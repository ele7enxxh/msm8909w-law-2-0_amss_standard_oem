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erforce\commercial\MPSS.JO.2.0.c1\Main\modem_proc\mcfg\mcfg_gen\generic\common\MSM8909\"/>
    </mc:Choice>
  </mc:AlternateContent>
  <bookViews>
    <workbookView xWindow="-90" yWindow="465" windowWidth="16875" windowHeight="7755" tabRatio="652"/>
  </bookViews>
  <sheets>
    <sheet name="Summary" sheetId="10" r:id="rId1"/>
    <sheet name="SS-WP8" sheetId="16" r:id="rId2"/>
    <sheet name="SS-LA" sheetId="17" r:id="rId3"/>
    <sheet name="DS-WP8" sheetId="18" r:id="rId4"/>
    <sheet name="DS-LA" sheetId="19" r:id="rId5"/>
    <sheet name="SR_DSDS-WP8-7+5_mode" sheetId="20" r:id="rId6"/>
    <sheet name="SR_DSDS-LA-7+5_mode" sheetId="21" r:id="rId7"/>
    <sheet name="Revision History" sheetId="8" r:id="rId8"/>
  </sheets>
  <functionGroups builtInGroupCount="18"/>
  <calcPr calcId="152511"/>
</workbook>
</file>

<file path=xl/calcChain.xml><?xml version="1.0" encoding="utf-8"?>
<calcChain xmlns="http://schemas.openxmlformats.org/spreadsheetml/2006/main">
  <c r="F63" i="19" l="1"/>
  <c r="F66" i="18"/>
  <c r="F59" i="17" l="1"/>
  <c r="F61" i="16"/>
  <c r="F67" i="21"/>
  <c r="F70" i="20"/>
  <c r="F13" i="10"/>
  <c r="G13" i="10"/>
  <c r="F63" i="21"/>
  <c r="E64" i="21" s="1"/>
  <c r="F66" i="20"/>
  <c r="E67" i="20" s="1"/>
  <c r="B13" i="10"/>
  <c r="F59" i="19"/>
  <c r="E60" i="19" s="1"/>
  <c r="F62" i="18"/>
  <c r="E63" i="18" s="1"/>
  <c r="F55" i="17"/>
  <c r="E56" i="17" s="1"/>
  <c r="F57" i="16"/>
  <c r="E58" i="16" s="1"/>
  <c r="E13" i="10"/>
  <c r="D13" i="10"/>
  <c r="C13" i="10"/>
  <c r="B4" i="10"/>
  <c r="B5" i="10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2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3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4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5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6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<sst xmlns="http://schemas.openxmlformats.org/spreadsheetml/2006/main" count="987" uniqueCount="241">
  <si>
    <t>RELEASE DATE:</t>
  </si>
  <si>
    <t>FILE VERSION:</t>
  </si>
  <si>
    <t>Carrier Index</t>
  </si>
  <si>
    <t>Notes</t>
  </si>
  <si>
    <t xml:space="preserve"> </t>
  </si>
  <si>
    <t>NV Item ID</t>
  </si>
  <si>
    <t>NV Item Name</t>
  </si>
  <si>
    <t>NV Item Struct</t>
  </si>
  <si>
    <t>Comments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</si>
  <si>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</si>
  <si>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</si>
  <si>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</si>
  <si>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</si>
  <si>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</si>
  <si>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</si>
  <si>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</si>
  <si>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</si>
  <si>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</si>
  <si>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</si>
  <si>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</si>
  <si>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</si>
  <si>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efs</t>
  </si>
  <si>
    <t>Full MCFG Version</t>
  </si>
  <si>
    <t>EFS Files</t>
  </si>
  <si>
    <t>Attributes</t>
  </si>
  <si>
    <t>EFS Item Size</t>
  </si>
  <si>
    <t>EFS Item Type</t>
  </si>
  <si>
    <t>0x09</t>
  </si>
  <si>
    <t>EFS Filename</t>
  </si>
  <si>
    <t>Configuration Type</t>
  </si>
  <si>
    <t>MPSS Configuration Items Listing</t>
  </si>
  <si>
    <t>Summary</t>
  </si>
  <si>
    <t>RFC</t>
  </si>
  <si>
    <t xml:space="preserve">    RFC-CDMA</t>
  </si>
  <si>
    <t xml:space="preserve">    RFC - GSM</t>
  </si>
  <si>
    <t xml:space="preserve">    RFC - WCDMA</t>
  </si>
  <si>
    <t xml:space="preserve">    RFC - LTE</t>
  </si>
  <si>
    <t>UIM</t>
  </si>
  <si>
    <t xml:space="preserve">    RFC - GNSS</t>
  </si>
  <si>
    <t>Keep command window open</t>
  </si>
  <si>
    <t>Product Line</t>
  </si>
  <si>
    <t>Trailer Record</t>
  </si>
  <si>
    <t>Data field</t>
  </si>
  <si>
    <t>Data Type</t>
  </si>
  <si>
    <t>Data Size</t>
  </si>
  <si>
    <t>Data Value</t>
  </si>
  <si>
    <t>trl</t>
  </si>
  <si>
    <t>0x00</t>
  </si>
  <si>
    <t>MCFG_trl_struct_version_type</t>
  </si>
  <si>
    <t>MCFG_trl_struct_version_len</t>
  </si>
  <si>
    <t>MCFG_trl_struct_version</t>
  </si>
  <si>
    <t>0x0100</t>
  </si>
  <si>
    <t>MCFG_version_type</t>
  </si>
  <si>
    <t>0x01</t>
  </si>
  <si>
    <t>MCFG_version_len</t>
  </si>
  <si>
    <t>MCFG_version</t>
  </si>
  <si>
    <t>0x03</t>
  </si>
  <si>
    <t>string</t>
  </si>
  <si>
    <t>For Debug purposes only</t>
  </si>
  <si>
    <t>HWID_Name_type</t>
  </si>
  <si>
    <t>HWID_name_size</t>
  </si>
  <si>
    <t>HWID_name</t>
  </si>
  <si>
    <t>Config</t>
  </si>
  <si>
    <t>Chipset</t>
  </si>
  <si>
    <t>Initial revision for Dime 3.0</t>
  </si>
  <si>
    <t>NV Items</t>
  </si>
  <si>
    <t>Select Carriers for Generation</t>
  </si>
  <si>
    <t>Spreadsheet statistics</t>
  </si>
  <si>
    <t>Total carrier configurations</t>
  </si>
  <si>
    <t>Total supported items (NV &amp; EFS)</t>
  </si>
  <si>
    <t>Carrier Version Update(s)</t>
  </si>
  <si>
    <t>UIM HW Config</t>
  </si>
  <si>
    <t>/nv/item_files/modem/uim/uimdrv/uim_hw_config</t>
  </si>
  <si>
    <t xml:space="preserve"> 70210, hw_config.UIM[1].DISABLE_UIM = TRUE</t>
  </si>
  <si>
    <t xml:space="preserve"> 70210, hw_config.UIM[1].DISABLE_UIM = FALSE</t>
  </si>
  <si>
    <t>Removed NV items and fluff in EFS file categories. Split NA1 spreadsheet into single sim and dual sim</t>
  </si>
  <si>
    <t>Ported from Dime 4.0 revision 3</t>
  </si>
  <si>
    <t>MTP9x35_SingleSim &amp; MTP9x35_DualSim configurations</t>
  </si>
  <si>
    <t>MTP9635SingleSim: 0x02B10132
MTP9635DualSim: 0x02B10132</t>
  </si>
  <si>
    <t>New conigurations: MTP9x35_SingleSim, MTP9x35_DualSim</t>
  </si>
  <si>
    <t>Ported from DI 4.0 rev 2</t>
  </si>
  <si>
    <t>Default: 0x04E10100
MTP9x35_SingleSim: 0x04B10100
MTP9x35_DualSim: 0x04B10120</t>
  </si>
  <si>
    <t>* Enabled hw_config.UIM[0].ENABLE_UIM_HOTSWAP for SingleSim
* Enabled hw_config.UIM[0].ENABLE_UIM_HOTSWAP and hw_config.UIM[1].ENABLE_UIM_HOTSWAP for DualSim</t>
  </si>
  <si>
    <t>MTP9x35_SingleSim: 0x04B10101
MTP9x35_DualSim: 0x04B10121</t>
  </si>
  <si>
    <t>HW Updates</t>
  </si>
  <si>
    <t>efs_item</t>
  </si>
  <si>
    <t>UIM Select Default USIM Application</t>
  </si>
  <si>
    <t>uim_select_default_usim_app</t>
  </si>
  <si>
    <t>/nv/item_files/modem/qmi/cat/qmi_cat_mode</t>
  </si>
  <si>
    <t>QMI Card Application Toolkit (CAT)  MODE</t>
  </si>
  <si>
    <t>Dual Standby Config Items</t>
  </si>
  <si>
    <t>dedicated_voice_subs</t>
  </si>
  <si>
    <t>dedicated_data_subs</t>
  </si>
  <si>
    <t>active_subs</t>
  </si>
  <si>
    <t>priority_subs</t>
  </si>
  <si>
    <t>dual_standby_pref</t>
  </si>
  <si>
    <t>701629
701631
701431</t>
  </si>
  <si>
    <t>Default 0x04E10101
MTP9x35_SingleSim 0x04B10101
MTP9x35_DualSim 0x04B10122
MSM8994_WP8_SS 0x04B10140
MSM8994_LA_SS 0x04B10160
MSM8994_WP8_DS 0x04B10180
MSM8994_LA_DS 0x04B101A0</t>
  </si>
  <si>
    <t>HW updates
New configs: 
MSM8994_WP8_SS
MSM8994_LA_SS
MSM8994_WP8_DS
MSM8994_LA_DS
MDM_9x35_MAV</t>
  </si>
  <si>
    <t>added EFS (all configs) :
/nv/item_files/modem/qmi/cat/qmi_cat_mode = 2 (sans MAV / WP)
/nv/item_files/modem/qmi/cat/qmi_cat_mode = 3 (MAV)
/nv/item_files/modem/qmi/cat/qmi_cat_mode = 5 (WP)</t>
  </si>
  <si>
    <t>Device Mode</t>
  </si>
  <si>
    <t>/nv/item_files/modem/mmode/device_mode</t>
  </si>
  <si>
    <t>HW Updates:
-Default
-MTP9x35_SingleSim
-MTP9x35_DualSim
-MSM8994_WP8_SS 
-MSM8994_WP8_DS 
-MSM8994_LA_DS
-MAV_9x35_Fusion_MTP</t>
  </si>
  <si>
    <t>70287=0 (MAV_9x35_Fusion_MTP only)
70266=1 (DS + Fusion)
70266=0 (SS)</t>
  </si>
  <si>
    <t>Default: 0x04E10102
MTP9x35_SingleSim: 0x04B10102
MTP9x35_DualSim: 0x04B10123
MSM8994_WP8_SS: 0x04B10141
MSM8994_LA_SS: 0x04B10161
MSM8994_WP8_DS: 0x04B10181
MSM8994_LA_DS: 0x04B101A1
MAV_9x35_Fusion_MTP 0x04B101C1</t>
  </si>
  <si>
    <t>HW_Product</t>
  </si>
  <si>
    <t>Generic</t>
  </si>
  <si>
    <t>Common</t>
  </si>
  <si>
    <t>MCFG.MPSS.5.0</t>
  </si>
  <si>
    <t>MSM8909</t>
  </si>
  <si>
    <t>MSM8909_WP8_SS</t>
  </si>
  <si>
    <t>MSM8909_LA_SS</t>
  </si>
  <si>
    <t>MSM8909_WP8_DS</t>
  </si>
  <si>
    <t>MSM8909_LA_DS</t>
  </si>
  <si>
    <t>modem_proc\mcfg\mcfg_gen\scripts\data\efs_files\8909_ss_uim_hw_config</t>
  </si>
  <si>
    <t>modem_proc\mcfg\mcfg_gen\scripts\data\efs_files\8909_dsdx_uim_hw_config</t>
  </si>
  <si>
    <t>HW Updates:New configs: 
MSM8909_WP8_SS
MSM8909_LA_SS
MSM8909_WP8_DS
MSM8909_LA_DS</t>
  </si>
  <si>
    <t>730000 and 760823</t>
  </si>
  <si>
    <t>MSM8909_WP8_SS: 0x04B10142
MSM8909_LA_SS: 0x04B10162
MSM8909_WP8_DS: 0x04B10182
MSM8909_LA_DS: 0x04B101A2</t>
  </si>
  <si>
    <t>UIM HW SIM Config</t>
  </si>
  <si>
    <t>UIM_HW_SIM_CONFIG</t>
  </si>
  <si>
    <t>NV65683:2 Added efs files for 8909_ss_uim_hw_config and 8909_dsdx_uim_hw_config  NV6876(Dual_standby_pref):5 for WP8_DS, LA_DS
NV6907:1 for WP8_DS, LA_DS
NV4398:0
NV70266:1 for WP8_DS, LA_DS</t>
  </si>
  <si>
    <t>MTP8909 NA717 Trailer Record</t>
  </si>
  <si>
    <t>MTP8909_DualSim</t>
  </si>
  <si>
    <t>8909_WP8_SS</t>
  </si>
  <si>
    <t>8909_LA_SS</t>
  </si>
  <si>
    <t>8909_WP8_DS</t>
  </si>
  <si>
    <t>QC_version_type</t>
  </si>
  <si>
    <t>0x05</t>
  </si>
  <si>
    <t>QC_version_len</t>
  </si>
  <si>
    <t>QC_version</t>
  </si>
  <si>
    <t>750720</t>
  </si>
  <si>
    <t>Compatibilty and QC_Version Updates</t>
  </si>
  <si>
    <t>MSM8909_WP8_SS: 0x05010101
MSM8909_LA_SS: 0x05010101
MSM8909_WP8_DS: 0x05010101
MSM8909_LA_DS: 0x05010101</t>
  </si>
  <si>
    <t>769542</t>
  </si>
  <si>
    <t>NV4398:1 for SS</t>
  </si>
  <si>
    <t>MSM8909_WP8_SS: 0x05010102
MSM8909_LA_SS: 0x05010102</t>
  </si>
  <si>
    <t>Disable Global Mode</t>
  </si>
  <si>
    <t>/nv/item_files/modem/mmode/disable_global_mode</t>
  </si>
  <si>
    <t xml:space="preserve">HW Updates:New configs: 
MSM8909_WP8_SS
MSM8909_WP8_DS
</t>
  </si>
  <si>
    <t>814744</t>
  </si>
  <si>
    <t>CT WM configuration update</t>
  </si>
  <si>
    <t>MSM8909_WP8_SS: 0x05010103
MSM8909_LA_SS: 0x05010103</t>
  </si>
  <si>
    <t xml:space="preserve">HW Updates:New configs: 
MSM8909_WP8_SS
</t>
  </si>
  <si>
    <t>838916</t>
  </si>
  <si>
    <t xml:space="preserve">MSM8909_WP8_SS: 0x05010104
</t>
  </si>
  <si>
    <t>modem_proc\mcfg\mcfg_gen\scripts\data\efs_files\uim_hw_config</t>
  </si>
  <si>
    <t>848986</t>
  </si>
  <si>
    <t>NV6876 WP dual_standby_pref = 9
NV 6876 LA dual_standby_pref = 5</t>
  </si>
  <si>
    <t>MSM8909_WP8_SS: 0x05010105
MSM8909_LA_SS: 0x05010104
MSM8909_WP8_DS: 0x05010103
MSM8909_LA_DS: 0x05010102</t>
  </si>
  <si>
    <t>WP8_SS@0x05010106
LA_SS@0x05010105
WP8_DS@0x05010104
LA_DS@0x05010103</t>
  </si>
  <si>
    <t>MSM8916-Updates</t>
  </si>
  <si>
    <t>896882</t>
  </si>
  <si>
    <t>|MSM8909.WP.1.0 AT&amp;T| Device stays in Airplane mode  with MBN</t>
  </si>
  <si>
    <t>MSM8909-Updates</t>
  </si>
  <si>
    <t>LA_SS@0x05010106
LA_DS@0x05010104</t>
  </si>
  <si>
    <t>Hybrid Feature to be Enabled/Disabled</t>
  </si>
  <si>
    <t>/nv/item_files/ims/ims_hybrid_enable</t>
  </si>
  <si>
    <t>WP8_SS@0x05010107
LA_SS@0x05010107
WP8_DS@0x05010105
LA_DS@0x05010105</t>
  </si>
  <si>
    <t>MSM Updates</t>
  </si>
  <si>
    <t>ROW MBN IMS changes; HW MBN updates - added nv 70287</t>
  </si>
  <si>
    <t>SS_UIM_HW_CONFIG is incorrect in 8909</t>
  </si>
  <si>
    <t xml:space="preserve">
LA_SS@0x05010108
</t>
  </si>
  <si>
    <t>SR_DSDS-WP8-7+5_mode</t>
  </si>
  <si>
    <t>SR_DSDS-LA-7+5_mode</t>
  </si>
  <si>
    <t>/nv/item_files/modem/nas/csg_support_configuration</t>
  </si>
  <si>
    <t>NAS CSG Support Configuration</t>
  </si>
  <si>
    <t>/nv/item_files/ims/ims_hybrid_enable_Subscription01</t>
  </si>
  <si>
    <t>0x19</t>
  </si>
  <si>
    <t xml:space="preserve">/nv/item_files/modem/mmode/scan_scope_rule </t>
  </si>
  <si>
    <t xml:space="preserve">scan_scope_rule </t>
  </si>
  <si>
    <t>modem_proc\mmcp\policyman\configurations\DevConfig\7+5_mode\device_config.xml</t>
  </si>
  <si>
    <t>/policyman/device_config.xml</t>
  </si>
  <si>
    <t>Device Config</t>
  </si>
  <si>
    <t>trm_config.mask</t>
  </si>
  <si>
    <t>trm_config.rf_config</t>
  </si>
  <si>
    <t>trm_config</t>
  </si>
  <si>
    <t>TRM Configuration</t>
  </si>
  <si>
    <t>MSM8952_WP8_DS</t>
  </si>
  <si>
    <t>MSM8952_LA_DS</t>
  </si>
  <si>
    <t>SR_DSDS-LA-7+5_mode-MSM8909</t>
  </si>
  <si>
    <t>SR_DSDS-WP8-7+5_mode-MSM8909</t>
  </si>
  <si>
    <t>7+5 changes (Adding SR_DSDS_WP8 &amp; LA)</t>
  </si>
  <si>
    <t>Pulling all 7+5 MBN changes from TA.2.0</t>
  </si>
  <si>
    <t>SR_DSDS-WP8-7+5_mode@0x05010116
SR_DSDS-LA-7+5_mode@0x05010117</t>
  </si>
  <si>
    <t>SR_DSDS-WP8-7+5_mode@0x05010117
SR_DSDS-LA-7+5_mode@0x05010118</t>
  </si>
  <si>
    <t>MCFG Updates</t>
  </si>
  <si>
    <t>Update new PM changes for CR 878752, updated version &amp; missing efs files</t>
  </si>
  <si>
    <t>modem_proc\mmcp\policyman\configurations\DevConfig\SS\device_config.xml</t>
  </si>
  <si>
    <t>Update new PM changes for CR 878752, updated version &amp; missing efs files - Reopened for Single sim PM reference update</t>
  </si>
  <si>
    <t>MSM8909_WP8_SS: 0x05010108
MSM8909_LA_SS: 0x05010109</t>
  </si>
  <si>
    <t>SR_DSDS-WP8-7+5_mode@0x05010118
SR_DSDS-LA-7+5_mode@0x05010119</t>
  </si>
  <si>
    <t>942875</t>
  </si>
  <si>
    <t>device config XML update with policyman CR 918272</t>
  </si>
  <si>
    <t>SS-WP8</t>
  </si>
  <si>
    <t>SS-LA</t>
  </si>
  <si>
    <t>DS-WP8</t>
  </si>
  <si>
    <t>DS-LA</t>
  </si>
  <si>
    <t>SS-WP8:0x05010100
SS-LA:0x05010110
DS-WP8:0x05010120
DS-LA:0x05010130
SR_DSDS-WP8-7+5_mode:0x05010140
SR_DSDS-LA-7+5_mode:0x05010150</t>
  </si>
  <si>
    <t>952340</t>
  </si>
  <si>
    <t>MCFG-1209|8937 Feero|7+5 HW MBN not available for 8937 target path</t>
  </si>
  <si>
    <t>926461</t>
  </si>
  <si>
    <t>updated nv 73502 = 62</t>
  </si>
  <si>
    <t>SS-WP8:0x05010101
SS-LA:0x05010111
DS-WP8:0x05010121
DS-LA:0x05010131
SR_DSDS-WP8-7+5_mode:0x05010141
SR_DSDS-LA-7+5_mode:0x05010151</t>
  </si>
  <si>
    <t>DS-WP8:0x05010122
DS-LA:0x05010132</t>
  </si>
  <si>
    <t>As there is no CR to incorporate the device_config.xml file with the HW_MBN files used this CR to port this change</t>
  </si>
  <si>
    <t>950110</t>
  </si>
  <si>
    <t>NV850 Added</t>
  </si>
  <si>
    <t>SS-WP8:0x05010102
SS-LA:0x05010112</t>
  </si>
  <si>
    <t>Removed update_band_range from CMCC/CT/CU &amp; added the same to hw_mbn</t>
  </si>
  <si>
    <t>SS-WP8:0x05010104
SS-LA:0x05010114
DS-WP8:0x05010124
DS-LA:0x05010134
SR_DSDS-WP8-7+5_mode:0x05010143
SR_DSDS-LA-7+5_mode:0x05010153</t>
  </si>
  <si>
    <t>DS-WP8:0x05010125
DS-LA:0x05010135
SR_DSDS-WP8-7+5_mode:0x05010144
SR_DSDS-LA-7+5_mode:0x05010154</t>
  </si>
  <si>
    <t>998979</t>
  </si>
  <si>
    <t>Reopened - remove NV3446 from SW n add to HW, for DRDS NV3446=2,256 and for SRDS, NV3446=2,2</t>
  </si>
  <si>
    <t>1006389</t>
  </si>
  <si>
    <t>NV850 Removed</t>
  </si>
  <si>
    <t>SS-WP8:0x05010105
SS-LA:0x05010115</t>
  </si>
  <si>
    <t>MCFG_capability_type</t>
  </si>
  <si>
    <t>0x07</t>
  </si>
  <si>
    <t>MCFG_capability_Length</t>
  </si>
  <si>
    <t>MCFG_capability_values</t>
  </si>
  <si>
    <t>0x00000000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</si>
  <si>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</si>
  <si>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0x00000001</t>
  </si>
  <si>
    <t>0x05010107</t>
  </si>
  <si>
    <t>0x05010117</t>
  </si>
  <si>
    <t>0x05010146</t>
  </si>
  <si>
    <t>0x05010156</t>
  </si>
  <si>
    <t>FR31322: Support requirement for CMCC  Open Mkt and Subsidized phones with a single SKU.</t>
  </si>
  <si>
    <t>1014053</t>
  </si>
  <si>
    <t>PM XML Removed</t>
  </si>
  <si>
    <t>DS-WP8:0x05010128
DS-LA:0x05010138</t>
  </si>
  <si>
    <t>modem_proc\mmcp\policyman\configurations\DevConfig\7+1_mode\DSDS\device_config.xml</t>
  </si>
  <si>
    <t>1026836</t>
  </si>
  <si>
    <t>PM XML Added</t>
  </si>
  <si>
    <t>DS-WP8:0x05010129
DS-LA:0x05010139</t>
  </si>
  <si>
    <t>0x0501012A</t>
  </si>
  <si>
    <t>0x0501013A</t>
  </si>
  <si>
    <t>DS-WP8:0x0501012A
DS-LA:0x0501013A</t>
  </si>
  <si>
    <t>PM XML Update</t>
  </si>
  <si>
    <t>1038503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</si>
</sst>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2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sz val="11"/>
      <color rgb="FF9C6500"/>
      <name val="Gill Sans MT"/>
      <family val="2"/>
      <scheme val="minor"/>
    </font>
    <font>
      <sz val="10"/>
      <color rgb="FF0070C0"/>
      <name val="Gill Sans MT"/>
      <family val="2"/>
      <scheme val="maj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10"/>
      <name val="Gill Sans MT"/>
      <family val="2"/>
      <scheme val="major"/>
    </font>
    <font>
      <sz val="10"/>
      <name val="Gill Sans MT"/>
      <family val="2"/>
      <scheme val="major"/>
    </font>
    <font>
      <sz val="10"/>
      <color rgb="FF00B0F0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1"/>
      <name val="Gill Sans MT"/>
      <family val="2"/>
      <scheme val="minor"/>
    </font>
    <font>
      <sz val="10"/>
      <color theme="4"/>
      <name val="Arial"/>
      <family val="2"/>
    </font>
    <font>
      <b/>
      <sz val="18"/>
      <name val="Gill Sans MT"/>
      <family val="2"/>
      <scheme val="major"/>
    </font>
    <font>
      <b/>
      <sz val="12"/>
      <name val="Gill Sans MT"/>
      <family val="2"/>
      <scheme val="major"/>
    </font>
    <font>
      <sz val="12"/>
      <name val="Gill Sans MT"/>
      <family val="2"/>
      <scheme val="major"/>
    </font>
    <font>
      <b/>
      <i/>
      <sz val="10"/>
      <name val="Gill Sans MT"/>
      <family val="2"/>
      <scheme val="major"/>
    </font>
    <font>
      <sz val="8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</fills>
  <borders count="2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62">
    <xf numFmtId="0" fontId="0" fillId="0" borderId="0"/>
    <xf numFmtId="0" fontId="26" fillId="5" borderId="0" applyNumberFormat="0" applyBorder="0" applyAlignment="0" applyProtection="0"/>
    <xf numFmtId="0" fontId="13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29" fillId="0" borderId="0"/>
    <xf numFmtId="49" fontId="30" fillId="0" borderId="22" applyNumberFormat="0" applyFont="0" applyFill="0" applyAlignment="0" applyProtection="0">
      <alignment horizontal="center" vertical="center"/>
      <protection locked="0"/>
    </xf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0" borderId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13" borderId="0" applyNumberFormat="0" applyBorder="0" applyAlignment="0" applyProtection="0"/>
    <xf numFmtId="0" fontId="29" fillId="0" borderId="0"/>
    <xf numFmtId="0" fontId="10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8" fillId="13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4" fillId="13" borderId="0" applyNumberFormat="0" applyBorder="0" applyAlignment="0" applyProtection="0"/>
    <xf numFmtId="0" fontId="3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0" borderId="0"/>
    <xf numFmtId="0" fontId="1" fillId="0" borderId="0"/>
    <xf numFmtId="0" fontId="29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</cellStyleXfs>
  <cellXfs count="168">
    <xf numFmtId="0" fontId="0" fillId="0" borderId="0" xfId="0"/>
    <xf numFmtId="0" fontId="14" fillId="0" borderId="0" xfId="0" applyFont="1"/>
    <xf numFmtId="0" fontId="15" fillId="0" borderId="0" xfId="0" applyFont="1"/>
    <xf numFmtId="0" fontId="16" fillId="0" borderId="0" xfId="0" applyFont="1" applyFill="1" applyAlignment="1">
      <alignment horizontal="right"/>
    </xf>
    <xf numFmtId="0" fontId="15" fillId="0" borderId="9" xfId="0" applyFont="1" applyBorder="1" applyAlignment="1">
      <alignment horizontal="left" indent="1"/>
    </xf>
    <xf numFmtId="0" fontId="14" fillId="2" borderId="7" xfId="0" applyFont="1" applyFill="1" applyBorder="1" applyAlignment="1">
      <alignment horizontal="center"/>
    </xf>
    <xf numFmtId="0" fontId="18" fillId="0" borderId="0" xfId="0" applyFont="1" applyFill="1" applyAlignment="1">
      <alignment vertical="center"/>
    </xf>
    <xf numFmtId="0" fontId="20" fillId="0" borderId="0" xfId="0" applyFont="1"/>
    <xf numFmtId="0" fontId="21" fillId="0" borderId="0" xfId="0" applyFont="1"/>
    <xf numFmtId="0" fontId="24" fillId="0" borderId="0" xfId="0" applyFont="1"/>
    <xf numFmtId="0" fontId="0" fillId="0" borderId="0" xfId="0" applyAlignment="1">
      <alignment wrapText="1"/>
    </xf>
    <xf numFmtId="14" fontId="27" fillId="0" borderId="0" xfId="0" applyNumberFormat="1" applyFont="1" applyFill="1" applyAlignment="1">
      <alignment horizontal="left" indent="1"/>
    </xf>
    <xf numFmtId="0" fontId="27" fillId="0" borderId="0" xfId="0" applyFont="1" applyFill="1" applyAlignment="1">
      <alignment horizontal="left" indent="1"/>
    </xf>
    <xf numFmtId="0" fontId="22" fillId="6" borderId="16" xfId="1" applyFont="1" applyFill="1" applyBorder="1" applyAlignment="1">
      <alignment horizontal="left" indent="1"/>
    </xf>
    <xf numFmtId="0" fontId="22" fillId="6" borderId="16" xfId="1" applyFont="1" applyFill="1" applyBorder="1" applyAlignment="1">
      <alignment horizontal="left" wrapText="1" indent="1"/>
    </xf>
    <xf numFmtId="0" fontId="22" fillId="6" borderId="16" xfId="1" applyFont="1" applyFill="1" applyBorder="1"/>
    <xf numFmtId="0" fontId="22" fillId="6" borderId="16" xfId="1" applyFont="1" applyFill="1" applyBorder="1" applyAlignment="1">
      <alignment wrapText="1"/>
    </xf>
    <xf numFmtId="0" fontId="22" fillId="6" borderId="16" xfId="1" applyFont="1" applyFill="1" applyBorder="1" applyAlignment="1">
      <alignment horizontal="center" wrapText="1"/>
    </xf>
    <xf numFmtId="0" fontId="23" fillId="6" borderId="0" xfId="0" applyFont="1" applyFill="1"/>
    <xf numFmtId="0" fontId="22" fillId="6" borderId="16" xfId="1" applyFont="1" applyFill="1" applyBorder="1" applyAlignment="1">
      <alignment horizontal="left" wrapText="1"/>
    </xf>
    <xf numFmtId="0" fontId="23" fillId="0" borderId="0" xfId="0" applyFont="1" applyFill="1"/>
    <xf numFmtId="0" fontId="22" fillId="7" borderId="16" xfId="1" applyFont="1" applyFill="1" applyBorder="1" applyAlignment="1">
      <alignment horizontal="left" indent="1"/>
    </xf>
    <xf numFmtId="0" fontId="22" fillId="7" borderId="16" xfId="1" applyFont="1" applyFill="1" applyBorder="1" applyAlignment="1">
      <alignment horizontal="left" wrapText="1" indent="1"/>
    </xf>
    <xf numFmtId="0" fontId="22" fillId="7" borderId="16" xfId="1" applyFont="1" applyFill="1" applyBorder="1"/>
    <xf numFmtId="0" fontId="22" fillId="7" borderId="16" xfId="1" applyFont="1" applyFill="1" applyBorder="1" applyAlignment="1">
      <alignment wrapText="1"/>
    </xf>
    <xf numFmtId="0" fontId="22" fillId="7" borderId="16" xfId="1" applyFont="1" applyFill="1" applyBorder="1" applyAlignment="1">
      <alignment horizontal="center" wrapText="1"/>
    </xf>
    <xf numFmtId="0" fontId="22" fillId="8" borderId="17" xfId="1" applyFont="1" applyFill="1" applyBorder="1" applyAlignment="1">
      <alignment horizontal="left" indent="1"/>
    </xf>
    <xf numFmtId="0" fontId="0" fillId="0" borderId="0" xfId="0" applyFill="1"/>
    <xf numFmtId="0" fontId="22" fillId="10" borderId="17" xfId="1" applyFont="1" applyFill="1" applyBorder="1" applyAlignment="1">
      <alignment horizontal="left" indent="1"/>
    </xf>
    <xf numFmtId="0" fontId="22" fillId="11" borderId="17" xfId="1" applyFont="1" applyFill="1" applyBorder="1" applyAlignment="1">
      <alignment horizontal="left" indent="1"/>
    </xf>
    <xf numFmtId="0" fontId="22" fillId="12" borderId="17" xfId="1" applyFont="1" applyFill="1" applyBorder="1" applyAlignment="1">
      <alignment horizontal="left" indent="1"/>
    </xf>
    <xf numFmtId="0" fontId="0" fillId="0" borderId="0" xfId="0" applyFont="1" applyAlignment="1">
      <alignment horizontal="left" indent="2"/>
    </xf>
    <xf numFmtId="0" fontId="22" fillId="0" borderId="10" xfId="0" applyFont="1" applyBorder="1" applyAlignment="1">
      <alignment horizontal="left" indent="1"/>
    </xf>
    <xf numFmtId="0" fontId="13" fillId="13" borderId="21" xfId="2" applyBorder="1"/>
    <xf numFmtId="0" fontId="13" fillId="13" borderId="21" xfId="2" applyBorder="1" applyAlignment="1">
      <alignment wrapText="1"/>
    </xf>
    <xf numFmtId="0" fontId="0" fillId="0" borderId="21" xfId="0" applyBorder="1"/>
    <xf numFmtId="0" fontId="13" fillId="13" borderId="21" xfId="2" applyFont="1" applyBorder="1" applyAlignment="1">
      <alignment wrapText="1"/>
    </xf>
    <xf numFmtId="0" fontId="14" fillId="0" borderId="0" xfId="0" applyFont="1"/>
    <xf numFmtId="0" fontId="16" fillId="0" borderId="0" xfId="0" applyFont="1" applyAlignment="1">
      <alignment horizontal="right"/>
    </xf>
    <xf numFmtId="0" fontId="14" fillId="0" borderId="0" xfId="0" applyFont="1" applyAlignment="1">
      <alignment horizontal="left" indent="1"/>
    </xf>
    <xf numFmtId="0" fontId="31" fillId="0" borderId="0" xfId="0" applyFont="1" applyAlignment="1">
      <alignment horizontal="right"/>
    </xf>
    <xf numFmtId="0" fontId="32" fillId="0" borderId="0" xfId="0" applyFont="1" applyFill="1" applyAlignment="1">
      <alignment horizontal="left" indent="1"/>
    </xf>
    <xf numFmtId="0" fontId="32" fillId="0" borderId="0" xfId="0" applyFont="1"/>
    <xf numFmtId="0" fontId="17" fillId="4" borderId="0" xfId="0" applyFont="1" applyFill="1" applyAlignment="1">
      <alignment horizontal="centerContinuous"/>
    </xf>
    <xf numFmtId="0" fontId="22" fillId="0" borderId="0" xfId="0" applyFont="1" applyFill="1" applyBorder="1" applyAlignment="1">
      <alignment horizontal="left" wrapText="1"/>
    </xf>
    <xf numFmtId="0" fontId="34" fillId="13" borderId="21" xfId="2" applyFont="1" applyBorder="1"/>
    <xf numFmtId="0" fontId="35" fillId="0" borderId="21" xfId="0" applyFont="1" applyBorder="1"/>
    <xf numFmtId="0" fontId="34" fillId="13" borderId="21" xfId="2" applyFont="1" applyBorder="1" applyAlignment="1">
      <alignment wrapText="1"/>
    </xf>
    <xf numFmtId="0" fontId="35" fillId="0" borderId="0" xfId="0" applyFont="1"/>
    <xf numFmtId="0" fontId="33" fillId="0" borderId="0" xfId="0" applyFont="1"/>
    <xf numFmtId="0" fontId="22" fillId="0" borderId="12" xfId="0" applyFont="1" applyFill="1" applyBorder="1" applyAlignment="1">
      <alignment horizontal="left" wrapText="1"/>
    </xf>
    <xf numFmtId="0" fontId="37" fillId="14" borderId="0" xfId="0" applyFont="1" applyFill="1"/>
    <xf numFmtId="0" fontId="23" fillId="7" borderId="0" xfId="0" applyFont="1" applyFill="1" applyBorder="1" applyAlignment="1"/>
    <xf numFmtId="0" fontId="23" fillId="0" borderId="0" xfId="0" applyFont="1" applyBorder="1" applyAlignment="1"/>
    <xf numFmtId="0" fontId="22" fillId="0" borderId="0" xfId="0" applyFont="1" applyAlignment="1"/>
    <xf numFmtId="0" fontId="22" fillId="7" borderId="0" xfId="0" applyFont="1" applyFill="1" applyAlignment="1"/>
    <xf numFmtId="0" fontId="19" fillId="3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23" fillId="0" borderId="23" xfId="0" applyFont="1" applyBorder="1" applyAlignment="1">
      <alignment horizontal="left" wrapText="1"/>
    </xf>
    <xf numFmtId="0" fontId="23" fillId="0" borderId="14" xfId="0" applyFont="1" applyBorder="1" applyAlignment="1">
      <alignment horizontal="left" wrapText="1"/>
    </xf>
    <xf numFmtId="0" fontId="19" fillId="3" borderId="0" xfId="0" applyFont="1" applyFill="1" applyAlignment="1">
      <alignment horizontal="left"/>
    </xf>
    <xf numFmtId="0" fontId="14" fillId="2" borderId="6" xfId="0" applyFont="1" applyFill="1" applyBorder="1" applyAlignment="1">
      <alignment horizontal="left"/>
    </xf>
    <xf numFmtId="0" fontId="15" fillId="0" borderId="1" xfId="0" applyFont="1" applyFill="1" applyBorder="1" applyAlignment="1">
      <alignment horizontal="left"/>
    </xf>
    <xf numFmtId="0" fontId="14" fillId="2" borderId="11" xfId="0" applyFont="1" applyFill="1" applyBorder="1" applyAlignment="1">
      <alignment horizontal="left"/>
    </xf>
    <xf numFmtId="0" fontId="15" fillId="0" borderId="13" xfId="0" applyFont="1" applyFill="1" applyBorder="1" applyAlignment="1">
      <alignment horizontal="left"/>
    </xf>
    <xf numFmtId="0" fontId="15" fillId="0" borderId="12" xfId="0" applyFont="1" applyFill="1" applyBorder="1" applyAlignment="1">
      <alignment horizontal="left" wrapText="1"/>
    </xf>
    <xf numFmtId="0" fontId="22" fillId="0" borderId="13" xfId="0" applyFont="1" applyFill="1" applyBorder="1" applyAlignment="1">
      <alignment horizontal="left"/>
    </xf>
    <xf numFmtId="0" fontId="22" fillId="0" borderId="13" xfId="0" applyFont="1" applyFill="1" applyBorder="1" applyAlignment="1">
      <alignment horizontal="left" wrapText="1"/>
    </xf>
    <xf numFmtId="0" fontId="22" fillId="0" borderId="12" xfId="0" applyFont="1" applyBorder="1" applyAlignment="1">
      <alignment horizontal="left" wrapText="1"/>
    </xf>
    <xf numFmtId="0" fontId="0" fillId="0" borderId="0" xfId="0" applyAlignment="1">
      <alignment horizontal="center"/>
    </xf>
    <xf numFmtId="0" fontId="22" fillId="0" borderId="9" xfId="0" applyFont="1" applyFill="1" applyBorder="1" applyAlignment="1">
      <alignment horizontal="center"/>
    </xf>
    <xf numFmtId="0" fontId="22" fillId="0" borderId="1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14" fontId="22" fillId="0" borderId="13" xfId="0" applyNumberFormat="1" applyFont="1" applyFill="1" applyBorder="1" applyAlignment="1">
      <alignment horizontal="center" vertical="center"/>
    </xf>
    <xf numFmtId="14" fontId="22" fillId="0" borderId="12" xfId="0" applyNumberFormat="1" applyFont="1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0" fontId="14" fillId="2" borderId="11" xfId="0" applyFont="1" applyFill="1" applyBorder="1" applyAlignment="1">
      <alignment horizontal="center"/>
    </xf>
    <xf numFmtId="0" fontId="22" fillId="0" borderId="13" xfId="0" applyFont="1" applyFill="1" applyBorder="1" applyAlignment="1">
      <alignment horizontal="center"/>
    </xf>
    <xf numFmtId="0" fontId="22" fillId="0" borderId="8" xfId="0" applyFont="1" applyFill="1" applyBorder="1" applyAlignment="1">
      <alignment horizontal="center" wrapText="1"/>
    </xf>
    <xf numFmtId="49" fontId="15" fillId="0" borderId="12" xfId="0" applyNumberFormat="1" applyFont="1" applyBorder="1" applyAlignment="1">
      <alignment horizontal="center" wrapText="1"/>
    </xf>
    <xf numFmtId="0" fontId="34" fillId="13" borderId="21" xfId="112" applyFont="1" applyBorder="1" applyAlignment="1">
      <alignment wrapText="1"/>
    </xf>
    <xf numFmtId="0" fontId="34" fillId="13" borderId="21" xfId="112" applyFont="1" applyBorder="1"/>
    <xf numFmtId="0" fontId="6" fillId="13" borderId="21" xfId="112" applyBorder="1" applyAlignment="1">
      <alignment wrapText="1"/>
    </xf>
    <xf numFmtId="0" fontId="6" fillId="13" borderId="21" xfId="112" applyBorder="1"/>
    <xf numFmtId="14" fontId="22" fillId="0" borderId="12" xfId="0" applyNumberFormat="1" applyFont="1" applyBorder="1" applyAlignment="1">
      <alignment horizontal="center" vertical="center"/>
    </xf>
    <xf numFmtId="0" fontId="36" fillId="13" borderId="21" xfId="112" applyFont="1" applyBorder="1"/>
    <xf numFmtId="0" fontId="23" fillId="0" borderId="21" xfId="0" applyFont="1" applyBorder="1"/>
    <xf numFmtId="0" fontId="36" fillId="13" borderId="21" xfId="112" applyFont="1" applyBorder="1" applyAlignment="1">
      <alignment wrapText="1"/>
    </xf>
    <xf numFmtId="0" fontId="23" fillId="0" borderId="0" xfId="0" applyFont="1"/>
    <xf numFmtId="0" fontId="23" fillId="0" borderId="0" xfId="0" applyFont="1" applyAlignment="1">
      <alignment wrapText="1"/>
    </xf>
    <xf numFmtId="0" fontId="23" fillId="0" borderId="0" xfId="0" applyFont="1" applyBorder="1"/>
    <xf numFmtId="0" fontId="40" fillId="0" borderId="0" xfId="0" applyFont="1"/>
    <xf numFmtId="0" fontId="32" fillId="2" borderId="11" xfId="0" applyFont="1" applyFill="1" applyBorder="1" applyAlignment="1">
      <alignment horizontal="left" indent="1"/>
    </xf>
    <xf numFmtId="0" fontId="32" fillId="2" borderId="7" xfId="0" applyFont="1" applyFill="1" applyBorder="1" applyAlignment="1">
      <alignment horizontal="left" indent="1"/>
    </xf>
    <xf numFmtId="0" fontId="32" fillId="2" borderId="6" xfId="0" applyFont="1" applyFill="1" applyBorder="1" applyAlignment="1">
      <alignment horizontal="left" indent="1"/>
    </xf>
    <xf numFmtId="0" fontId="32" fillId="2" borderId="6" xfId="0" applyFont="1" applyFill="1" applyBorder="1" applyAlignment="1">
      <alignment horizontal="left" wrapText="1"/>
    </xf>
    <xf numFmtId="0" fontId="36" fillId="13" borderId="13" xfId="115" applyFont="1" applyBorder="1" applyAlignment="1">
      <alignment horizontal="left" indent="1"/>
    </xf>
    <xf numFmtId="0" fontId="22" fillId="0" borderId="9" xfId="0" applyFont="1" applyBorder="1" applyAlignment="1">
      <alignment horizontal="left" indent="1"/>
    </xf>
    <xf numFmtId="0" fontId="22" fillId="0" borderId="13" xfId="0" applyFont="1" applyBorder="1" applyAlignment="1">
      <alignment horizontal="left" indent="1"/>
    </xf>
    <xf numFmtId="0" fontId="22" fillId="0" borderId="0" xfId="0" applyFont="1"/>
    <xf numFmtId="0" fontId="22" fillId="0" borderId="13" xfId="0" applyFont="1" applyBorder="1"/>
    <xf numFmtId="0" fontId="36" fillId="13" borderId="1" xfId="115" applyFont="1" applyBorder="1" applyAlignment="1">
      <alignment horizontal="left" wrapText="1"/>
    </xf>
    <xf numFmtId="0" fontId="36" fillId="13" borderId="13" xfId="112" applyFont="1" applyBorder="1" applyAlignment="1">
      <alignment horizontal="left" indent="1"/>
    </xf>
    <xf numFmtId="0" fontId="22" fillId="0" borderId="1" xfId="0" applyFont="1" applyBorder="1"/>
    <xf numFmtId="0" fontId="36" fillId="13" borderId="1" xfId="112" applyFont="1" applyBorder="1" applyAlignment="1">
      <alignment horizontal="left" wrapText="1"/>
    </xf>
    <xf numFmtId="0" fontId="22" fillId="0" borderId="12" xfId="0" applyFont="1" applyBorder="1" applyAlignment="1">
      <alignment horizontal="left" indent="1"/>
    </xf>
    <xf numFmtId="0" fontId="22" fillId="0" borderId="3" xfId="0" applyFont="1" applyBorder="1" applyAlignment="1">
      <alignment horizontal="left" indent="1"/>
    </xf>
    <xf numFmtId="0" fontId="22" fillId="0" borderId="3" xfId="0" applyFont="1" applyBorder="1" applyAlignment="1">
      <alignment horizontal="left" wrapText="1"/>
    </xf>
    <xf numFmtId="0" fontId="22" fillId="0" borderId="2" xfId="0" applyFont="1" applyBorder="1" applyAlignment="1">
      <alignment horizontal="left" indent="1"/>
    </xf>
    <xf numFmtId="0" fontId="22" fillId="0" borderId="2" xfId="0" applyFont="1" applyBorder="1" applyAlignment="1">
      <alignment horizontal="left" wrapText="1"/>
    </xf>
    <xf numFmtId="0" fontId="22" fillId="0" borderId="0" xfId="0" applyFont="1" applyBorder="1"/>
    <xf numFmtId="0" fontId="39" fillId="4" borderId="4" xfId="0" applyFont="1" applyFill="1" applyBorder="1" applyAlignment="1">
      <alignment horizontal="centerContinuous"/>
    </xf>
    <xf numFmtId="0" fontId="39" fillId="4" borderId="5" xfId="0" applyFont="1" applyFill="1" applyBorder="1" applyAlignment="1">
      <alignment horizontal="centerContinuous"/>
    </xf>
    <xf numFmtId="0" fontId="39" fillId="4" borderId="6" xfId="0" applyFont="1" applyFill="1" applyBorder="1" applyAlignment="1">
      <alignment horizontal="centerContinuous"/>
    </xf>
    <xf numFmtId="0" fontId="32" fillId="2" borderId="5" xfId="0" applyFont="1" applyFill="1" applyBorder="1" applyAlignment="1">
      <alignment horizontal="left" indent="1"/>
    </xf>
    <xf numFmtId="0" fontId="32" fillId="2" borderId="15" xfId="0" applyFont="1" applyFill="1" applyBorder="1" applyAlignment="1">
      <alignment horizontal="center"/>
    </xf>
    <xf numFmtId="0" fontId="41" fillId="9" borderId="0" xfId="0" applyFont="1" applyFill="1" applyBorder="1" applyAlignment="1">
      <alignment horizontal="left" indent="1"/>
    </xf>
    <xf numFmtId="0" fontId="32" fillId="9" borderId="0" xfId="0" applyFont="1" applyFill="1" applyBorder="1" applyAlignment="1">
      <alignment horizontal="left" indent="1"/>
    </xf>
    <xf numFmtId="0" fontId="32" fillId="9" borderId="0" xfId="0" applyFont="1" applyFill="1" applyBorder="1" applyAlignment="1">
      <alignment horizontal="left" wrapText="1"/>
    </xf>
    <xf numFmtId="0" fontId="32" fillId="9" borderId="0" xfId="0" applyFont="1" applyFill="1" applyBorder="1" applyAlignment="1">
      <alignment horizontal="center"/>
    </xf>
    <xf numFmtId="0" fontId="23" fillId="8" borderId="0" xfId="0" applyFont="1" applyFill="1"/>
    <xf numFmtId="0" fontId="23" fillId="8" borderId="0" xfId="0" applyFont="1" applyFill="1" applyAlignment="1">
      <alignment wrapText="1"/>
    </xf>
    <xf numFmtId="0" fontId="23" fillId="10" borderId="0" xfId="0" applyFont="1" applyFill="1"/>
    <xf numFmtId="0" fontId="23" fillId="10" borderId="0" xfId="0" applyFont="1" applyFill="1" applyAlignment="1">
      <alignment wrapText="1"/>
    </xf>
    <xf numFmtId="0" fontId="23" fillId="11" borderId="0" xfId="0" applyFont="1" applyFill="1"/>
    <xf numFmtId="0" fontId="23" fillId="11" borderId="0" xfId="0" applyFont="1" applyFill="1" applyAlignment="1">
      <alignment wrapText="1"/>
    </xf>
    <xf numFmtId="0" fontId="23" fillId="12" borderId="0" xfId="0" applyFont="1" applyFill="1"/>
    <xf numFmtId="0" fontId="23" fillId="12" borderId="0" xfId="0" applyFont="1" applyFill="1" applyAlignment="1">
      <alignment wrapText="1"/>
    </xf>
    <xf numFmtId="0" fontId="36" fillId="14" borderId="24" xfId="113" applyFont="1" applyFill="1" applyBorder="1" applyAlignment="1">
      <alignment horizontal="left" indent="1"/>
    </xf>
    <xf numFmtId="0" fontId="23" fillId="14" borderId="0" xfId="0" applyFont="1" applyFill="1" applyBorder="1"/>
    <xf numFmtId="0" fontId="23" fillId="14" borderId="13" xfId="0" applyFont="1" applyFill="1" applyBorder="1"/>
    <xf numFmtId="0" fontId="23" fillId="14" borderId="1" xfId="0" applyFont="1" applyFill="1" applyBorder="1"/>
    <xf numFmtId="0" fontId="36" fillId="2" borderId="1" xfId="114" applyFont="1" applyFill="1" applyBorder="1" applyAlignment="1">
      <alignment wrapText="1"/>
    </xf>
    <xf numFmtId="0" fontId="36" fillId="2" borderId="24" xfId="113" applyFont="1" applyFill="1" applyBorder="1" applyAlignment="1">
      <alignment horizontal="center" wrapText="1"/>
    </xf>
    <xf numFmtId="0" fontId="36" fillId="14" borderId="24" xfId="114" applyFont="1" applyFill="1" applyBorder="1" applyAlignment="1"/>
    <xf numFmtId="0" fontId="23" fillId="14" borderId="1" xfId="0" applyFont="1" applyFill="1" applyBorder="1" applyAlignment="1"/>
    <xf numFmtId="0" fontId="23" fillId="14" borderId="0" xfId="0" applyFont="1" applyFill="1" applyBorder="1" applyAlignment="1"/>
    <xf numFmtId="0" fontId="23" fillId="14" borderId="13" xfId="0" applyFont="1" applyFill="1" applyBorder="1" applyAlignment="1"/>
    <xf numFmtId="0" fontId="36" fillId="13" borderId="21" xfId="2" applyFont="1" applyBorder="1"/>
    <xf numFmtId="0" fontId="36" fillId="13" borderId="21" xfId="2" applyFont="1" applyBorder="1" applyAlignment="1">
      <alignment wrapText="1"/>
    </xf>
    <xf numFmtId="0" fontId="36" fillId="13" borderId="13" xfId="105" applyFont="1" applyBorder="1" applyAlignment="1">
      <alignment horizontal="left" indent="1"/>
    </xf>
    <xf numFmtId="0" fontId="36" fillId="13" borderId="1" xfId="105" applyFont="1" applyBorder="1" applyAlignment="1">
      <alignment horizontal="left" wrapText="1"/>
    </xf>
    <xf numFmtId="0" fontId="36" fillId="14" borderId="24" xfId="108" applyFont="1" applyFill="1" applyBorder="1" applyAlignment="1">
      <alignment horizontal="left" indent="1"/>
    </xf>
    <xf numFmtId="0" fontId="36" fillId="2" borderId="1" xfId="107" applyFont="1" applyFill="1" applyBorder="1" applyAlignment="1">
      <alignment wrapText="1"/>
    </xf>
    <xf numFmtId="0" fontId="36" fillId="2" borderId="24" xfId="108" applyFont="1" applyFill="1" applyBorder="1" applyAlignment="1">
      <alignment horizontal="center" wrapText="1"/>
    </xf>
    <xf numFmtId="0" fontId="41" fillId="4" borderId="0" xfId="0" applyFont="1" applyFill="1" applyBorder="1" applyAlignment="1">
      <alignment horizontal="left" indent="1"/>
    </xf>
    <xf numFmtId="0" fontId="32" fillId="4" borderId="0" xfId="0" applyFont="1" applyFill="1" applyBorder="1" applyAlignment="1">
      <alignment horizontal="left" indent="1"/>
    </xf>
    <xf numFmtId="0" fontId="32" fillId="4" borderId="0" xfId="0" applyFont="1" applyFill="1" applyBorder="1" applyAlignment="1">
      <alignment horizontal="left" wrapText="1"/>
    </xf>
    <xf numFmtId="0" fontId="32" fillId="4" borderId="0" xfId="0" applyFont="1" applyFill="1" applyBorder="1" applyAlignment="1">
      <alignment horizontal="center"/>
    </xf>
    <xf numFmtId="0" fontId="36" fillId="14" borderId="24" xfId="107" applyFont="1" applyFill="1" applyBorder="1" applyAlignment="1"/>
    <xf numFmtId="0" fontId="34" fillId="13" borderId="21" xfId="229" applyFont="1" applyBorder="1"/>
    <xf numFmtId="0" fontId="35" fillId="0" borderId="21" xfId="230" applyFont="1" applyBorder="1" applyAlignment="1">
      <alignment horizontal="left" indent="1"/>
    </xf>
    <xf numFmtId="0" fontId="35" fillId="0" borderId="21" xfId="230" applyFont="1" applyBorder="1"/>
    <xf numFmtId="0" fontId="35" fillId="0" borderId="21" xfId="230" applyNumberFormat="1" applyFont="1" applyBorder="1" applyAlignment="1">
      <alignment horizontal="left" indent="1"/>
    </xf>
    <xf numFmtId="0" fontId="34" fillId="13" borderId="21" xfId="229" applyFont="1" applyBorder="1" applyAlignment="1">
      <alignment wrapText="1"/>
    </xf>
    <xf numFmtId="0" fontId="35" fillId="0" borderId="21" xfId="230" applyNumberFormat="1" applyFont="1" applyBorder="1" applyAlignment="1">
      <alignment horizontal="left" wrapText="1" indent="1"/>
    </xf>
    <xf numFmtId="0" fontId="19" fillId="3" borderId="0" xfId="0" applyFont="1" applyFill="1" applyAlignment="1">
      <alignment horizontal="center" vertical="center"/>
    </xf>
    <xf numFmtId="0" fontId="38" fillId="3" borderId="0" xfId="0" applyFont="1" applyFill="1" applyAlignment="1">
      <alignment horizontal="center" vertical="center" wrapText="1"/>
    </xf>
    <xf numFmtId="0" fontId="39" fillId="4" borderId="4" xfId="0" applyFont="1" applyFill="1" applyBorder="1" applyAlignment="1">
      <alignment horizontal="center"/>
    </xf>
    <xf numFmtId="0" fontId="39" fillId="4" borderId="5" xfId="0" applyFont="1" applyFill="1" applyBorder="1" applyAlignment="1">
      <alignment horizontal="center"/>
    </xf>
    <xf numFmtId="0" fontId="39" fillId="4" borderId="6" xfId="0" applyFont="1" applyFill="1" applyBorder="1" applyAlignment="1">
      <alignment horizontal="center"/>
    </xf>
    <xf numFmtId="0" fontId="39" fillId="4" borderId="18" xfId="0" applyFont="1" applyFill="1" applyBorder="1" applyAlignment="1">
      <alignment horizontal="center"/>
    </xf>
    <xf numFmtId="0" fontId="39" fillId="4" borderId="19" xfId="0" applyFont="1" applyFill="1" applyBorder="1" applyAlignment="1">
      <alignment horizontal="center"/>
    </xf>
    <xf numFmtId="0" fontId="39" fillId="4" borderId="20" xfId="0" applyFont="1" applyFill="1" applyBorder="1" applyAlignment="1">
      <alignment horizontal="center"/>
    </xf>
    <xf numFmtId="0" fontId="17" fillId="4" borderId="18" xfId="0" applyFont="1" applyFill="1" applyBorder="1" applyAlignment="1">
      <alignment horizontal="center"/>
    </xf>
    <xf numFmtId="0" fontId="17" fillId="4" borderId="19" xfId="0" applyFont="1" applyFill="1" applyBorder="1" applyAlignment="1">
      <alignment horizontal="center"/>
    </xf>
    <xf numFmtId="0" fontId="17" fillId="4" borderId="20" xfId="0" applyFont="1" applyFill="1" applyBorder="1" applyAlignment="1">
      <alignment horizontal="center"/>
    </xf>
  </cellXfs>
  <cellStyles count="462">
    <cellStyle name="20% - Accent1" xfId="105" builtinId="30"/>
    <cellStyle name="20% - Accent1 2" xfId="2"/>
    <cellStyle name="20% - Accent1 2 10" xfId="3"/>
    <cellStyle name="20% - Accent1 2 10 2" xfId="117"/>
    <cellStyle name="20% - Accent1 2 10 2 2" xfId="344"/>
    <cellStyle name="20% - Accent1 2 10 3" xfId="234"/>
    <cellStyle name="20% - Accent1 2 11" xfId="112"/>
    <cellStyle name="20% - Accent1 2 11 2" xfId="223"/>
    <cellStyle name="20% - Accent1 2 11 2 2" xfId="450"/>
    <cellStyle name="20% - Accent1 2 11 3" xfId="455"/>
    <cellStyle name="20% - Accent1 2 11 4" xfId="339"/>
    <cellStyle name="20% - Accent1 2 12" xfId="116"/>
    <cellStyle name="20% - Accent1 2 12 2" xfId="343"/>
    <cellStyle name="20% - Accent1 2 13" xfId="233"/>
    <cellStyle name="20% - Accent1 2 2" xfId="8"/>
    <cellStyle name="20% - Accent1 2 2 2" xfId="12"/>
    <cellStyle name="20% - Accent1 2 2 2 2" xfId="16"/>
    <cellStyle name="20% - Accent1 2 2 2 2 2" xfId="21"/>
    <cellStyle name="20% - Accent1 2 2 2 2 2 2" xfId="56"/>
    <cellStyle name="20% - Accent1 2 2 2 2 2 2 2" xfId="168"/>
    <cellStyle name="20% - Accent1 2 2 2 2 2 2 2 2" xfId="395"/>
    <cellStyle name="20% - Accent1 2 2 2 2 2 2 3" xfId="285"/>
    <cellStyle name="20% - Accent1 2 2 2 2 2 3" xfId="133"/>
    <cellStyle name="20% - Accent1 2 2 2 2 2 3 2" xfId="360"/>
    <cellStyle name="20% - Accent1 2 2 2 2 2 4" xfId="250"/>
    <cellStyle name="20% - Accent1 2 2 2 2 3" xfId="57"/>
    <cellStyle name="20% - Accent1 2 2 2 2 3 2" xfId="169"/>
    <cellStyle name="20% - Accent1 2 2 2 2 3 2 2" xfId="396"/>
    <cellStyle name="20% - Accent1 2 2 2 2 3 3" xfId="286"/>
    <cellStyle name="20% - Accent1 2 2 2 2 4" xfId="128"/>
    <cellStyle name="20% - Accent1 2 2 2 2 4 2" xfId="355"/>
    <cellStyle name="20% - Accent1 2 2 2 2 5" xfId="245"/>
    <cellStyle name="20% - Accent1 2 2 2 3" xfId="22"/>
    <cellStyle name="20% - Accent1 2 2 2 3 2" xfId="58"/>
    <cellStyle name="20% - Accent1 2 2 2 3 2 2" xfId="170"/>
    <cellStyle name="20% - Accent1 2 2 2 3 2 2 2" xfId="397"/>
    <cellStyle name="20% - Accent1 2 2 2 3 2 3" xfId="287"/>
    <cellStyle name="20% - Accent1 2 2 2 3 3" xfId="134"/>
    <cellStyle name="20% - Accent1 2 2 2 3 3 2" xfId="361"/>
    <cellStyle name="20% - Accent1 2 2 2 3 4" xfId="251"/>
    <cellStyle name="20% - Accent1 2 2 2 4" xfId="23"/>
    <cellStyle name="20% - Accent1 2 2 2 4 2" xfId="59"/>
    <cellStyle name="20% - Accent1 2 2 2 4 2 2" xfId="171"/>
    <cellStyle name="20% - Accent1 2 2 2 4 2 2 2" xfId="398"/>
    <cellStyle name="20% - Accent1 2 2 2 4 2 3" xfId="288"/>
    <cellStyle name="20% - Accent1 2 2 2 4 3" xfId="135"/>
    <cellStyle name="20% - Accent1 2 2 2 4 3 2" xfId="362"/>
    <cellStyle name="20% - Accent1 2 2 2 4 4" xfId="252"/>
    <cellStyle name="20% - Accent1 2 2 2 5" xfId="60"/>
    <cellStyle name="20% - Accent1 2 2 2 5 2" xfId="172"/>
    <cellStyle name="20% - Accent1 2 2 2 5 2 2" xfId="399"/>
    <cellStyle name="20% - Accent1 2 2 2 5 3" xfId="289"/>
    <cellStyle name="20% - Accent1 2 2 2 6" xfId="124"/>
    <cellStyle name="20% - Accent1 2 2 2 6 2" xfId="351"/>
    <cellStyle name="20% - Accent1 2 2 2 7" xfId="241"/>
    <cellStyle name="20% - Accent1 2 2 21" xfId="227"/>
    <cellStyle name="20% - Accent1 2 2 21 2" xfId="458"/>
    <cellStyle name="20% - Accent1 2 2 3" xfId="24"/>
    <cellStyle name="20% - Accent1 2 2 3 2" xfId="54"/>
    <cellStyle name="20% - Accent1 2 2 3 2 2" xfId="166"/>
    <cellStyle name="20% - Accent1 2 2 3 2 2 2" xfId="393"/>
    <cellStyle name="20% - Accent1 2 2 3 2 3" xfId="283"/>
    <cellStyle name="20% - Accent1 2 2 3 3" xfId="61"/>
    <cellStyle name="20% - Accent1 2 2 3 3 2" xfId="173"/>
    <cellStyle name="20% - Accent1 2 2 3 3 2 2" xfId="400"/>
    <cellStyle name="20% - Accent1 2 2 3 3 3" xfId="290"/>
    <cellStyle name="20% - Accent1 2 2 3 4" xfId="136"/>
    <cellStyle name="20% - Accent1 2 2 3 4 2" xfId="363"/>
    <cellStyle name="20% - Accent1 2 2 3 5" xfId="253"/>
    <cellStyle name="20% - Accent1 2 2 4" xfId="25"/>
    <cellStyle name="20% - Accent1 2 2 4 2" xfId="62"/>
    <cellStyle name="20% - Accent1 2 2 4 2 2" xfId="174"/>
    <cellStyle name="20% - Accent1 2 2 4 2 2 2" xfId="401"/>
    <cellStyle name="20% - Accent1 2 2 4 2 3" xfId="291"/>
    <cellStyle name="20% - Accent1 2 2 4 3" xfId="137"/>
    <cellStyle name="20% - Accent1 2 2 4 3 2" xfId="364"/>
    <cellStyle name="20% - Accent1 2 2 4 4" xfId="254"/>
    <cellStyle name="20% - Accent1 2 2 5" xfId="26"/>
    <cellStyle name="20% - Accent1 2 2 5 2" xfId="63"/>
    <cellStyle name="20% - Accent1 2 2 5 2 2" xfId="175"/>
    <cellStyle name="20% - Accent1 2 2 5 2 2 2" xfId="402"/>
    <cellStyle name="20% - Accent1 2 2 5 2 3" xfId="292"/>
    <cellStyle name="20% - Accent1 2 2 5 3" xfId="138"/>
    <cellStyle name="20% - Accent1 2 2 5 3 2" xfId="365"/>
    <cellStyle name="20% - Accent1 2 2 5 4" xfId="255"/>
    <cellStyle name="20% - Accent1 2 2 6" xfId="64"/>
    <cellStyle name="20% - Accent1 2 2 6 2" xfId="176"/>
    <cellStyle name="20% - Accent1 2 2 6 2 2" xfId="403"/>
    <cellStyle name="20% - Accent1 2 2 6 3" xfId="293"/>
    <cellStyle name="20% - Accent1 2 2 7" xfId="120"/>
    <cellStyle name="20% - Accent1 2 2 7 2" xfId="347"/>
    <cellStyle name="20% - Accent1 2 2 8" xfId="237"/>
    <cellStyle name="20% - Accent1 2 3" xfId="10"/>
    <cellStyle name="20% - Accent1 2 3 2" xfId="27"/>
    <cellStyle name="20% - Accent1 2 3 2 2" xfId="65"/>
    <cellStyle name="20% - Accent1 2 3 2 2 2" xfId="177"/>
    <cellStyle name="20% - Accent1 2 3 2 2 2 2" xfId="404"/>
    <cellStyle name="20% - Accent1 2 3 2 2 3" xfId="294"/>
    <cellStyle name="20% - Accent1 2 3 2 3" xfId="139"/>
    <cellStyle name="20% - Accent1 2 3 2 3 2" xfId="366"/>
    <cellStyle name="20% - Accent1 2 3 2 4" xfId="256"/>
    <cellStyle name="20% - Accent1 2 3 3" xfId="28"/>
    <cellStyle name="20% - Accent1 2 3 3 2" xfId="66"/>
    <cellStyle name="20% - Accent1 2 3 3 2 2" xfId="178"/>
    <cellStyle name="20% - Accent1 2 3 3 2 2 2" xfId="405"/>
    <cellStyle name="20% - Accent1 2 3 3 2 3" xfId="295"/>
    <cellStyle name="20% - Accent1 2 3 3 3" xfId="140"/>
    <cellStyle name="20% - Accent1 2 3 3 3 2" xfId="367"/>
    <cellStyle name="20% - Accent1 2 3 3 4" xfId="257"/>
    <cellStyle name="20% - Accent1 2 3 4" xfId="29"/>
    <cellStyle name="20% - Accent1 2 3 4 2" xfId="67"/>
    <cellStyle name="20% - Accent1 2 3 4 2 2" xfId="179"/>
    <cellStyle name="20% - Accent1 2 3 4 2 2 2" xfId="406"/>
    <cellStyle name="20% - Accent1 2 3 4 2 3" xfId="296"/>
    <cellStyle name="20% - Accent1 2 3 4 3" xfId="141"/>
    <cellStyle name="20% - Accent1 2 3 4 3 2" xfId="368"/>
    <cellStyle name="20% - Accent1 2 3 4 4" xfId="258"/>
    <cellStyle name="20% - Accent1 2 3 5" xfId="68"/>
    <cellStyle name="20% - Accent1 2 3 5 2" xfId="180"/>
    <cellStyle name="20% - Accent1 2 3 5 2 2" xfId="407"/>
    <cellStyle name="20% - Accent1 2 3 5 3" xfId="297"/>
    <cellStyle name="20% - Accent1 2 3 6" xfId="122"/>
    <cellStyle name="20% - Accent1 2 3 6 2" xfId="349"/>
    <cellStyle name="20% - Accent1 2 3 7" xfId="239"/>
    <cellStyle name="20% - Accent1 2 4" xfId="13"/>
    <cellStyle name="20% - Accent1 2 4 2" xfId="17"/>
    <cellStyle name="20% - Accent1 2 4 2 2" xfId="30"/>
    <cellStyle name="20% - Accent1 2 4 2 2 2" xfId="69"/>
    <cellStyle name="20% - Accent1 2 4 2 2 2 2" xfId="181"/>
    <cellStyle name="20% - Accent1 2 4 2 2 2 2 2" xfId="408"/>
    <cellStyle name="20% - Accent1 2 4 2 2 2 3" xfId="298"/>
    <cellStyle name="20% - Accent1 2 4 2 2 3" xfId="142"/>
    <cellStyle name="20% - Accent1 2 4 2 2 3 2" xfId="369"/>
    <cellStyle name="20% - Accent1 2 4 2 2 4" xfId="259"/>
    <cellStyle name="20% - Accent1 2 4 2 3" xfId="70"/>
    <cellStyle name="20% - Accent1 2 4 2 3 2" xfId="182"/>
    <cellStyle name="20% - Accent1 2 4 2 3 2 2" xfId="409"/>
    <cellStyle name="20% - Accent1 2 4 2 3 3" xfId="299"/>
    <cellStyle name="20% - Accent1 2 4 2 4" xfId="129"/>
    <cellStyle name="20% - Accent1 2 4 2 4 2" xfId="356"/>
    <cellStyle name="20% - Accent1 2 4 2 5" xfId="246"/>
    <cellStyle name="20% - Accent1 2 4 3" xfId="18"/>
    <cellStyle name="20% - Accent1 2 4 3 17 2 2 2 2 2" xfId="228"/>
    <cellStyle name="20% - Accent1 2 4 3 17 2 2 2 2 2 2" xfId="459"/>
    <cellStyle name="20% - Accent1 2 4 3 17 2 2 3 4" xfId="229"/>
    <cellStyle name="20% - Accent1 2 4 3 17 2 2 3 4 2" xfId="460"/>
    <cellStyle name="20% - Accent1 2 4 3 2" xfId="31"/>
    <cellStyle name="20% - Accent1 2 4 3 2 2" xfId="71"/>
    <cellStyle name="20% - Accent1 2 4 3 2 2 2" xfId="183"/>
    <cellStyle name="20% - Accent1 2 4 3 2 2 2 2" xfId="410"/>
    <cellStyle name="20% - Accent1 2 4 3 2 2 2 2 2 2 2 3 2 2 3" xfId="107"/>
    <cellStyle name="20% - Accent1 2 4 3 2 2 2 2 2 2 2 3 2 2 3 2" xfId="114"/>
    <cellStyle name="20% - Accent1 2 4 3 2 2 2 2 2 2 2 3 2 2 3 2 2" xfId="225"/>
    <cellStyle name="20% - Accent1 2 4 3 2 2 2 2 2 2 2 3 2 2 3 2 2 2" xfId="452"/>
    <cellStyle name="20% - Accent1 2 4 3 2 2 2 2 2 2 2 3 2 2 3 2 3" xfId="456"/>
    <cellStyle name="20% - Accent1 2 4 3 2 2 2 2 2 2 2 3 2 2 3 2 4" xfId="341"/>
    <cellStyle name="20% - Accent1 2 4 3 2 2 2 2 2 2 2 3 2 2 3 3" xfId="218"/>
    <cellStyle name="20% - Accent1 2 4 3 2 2 2 2 2 2 2 3 2 2 3 3 2" xfId="445"/>
    <cellStyle name="20% - Accent1 2 4 3 2 2 2 2 2 2 2 3 2 2 3 4" xfId="334"/>
    <cellStyle name="20% - Accent1 2 4 3 2 2 3" xfId="300"/>
    <cellStyle name="20% - Accent1 2 4 3 2 3" xfId="143"/>
    <cellStyle name="20% - Accent1 2 4 3 2 3 2" xfId="370"/>
    <cellStyle name="20% - Accent1 2 4 3 2 4" xfId="260"/>
    <cellStyle name="20% - Accent1 2 4 3 3" xfId="72"/>
    <cellStyle name="20% - Accent1 2 4 3 3 2" xfId="184"/>
    <cellStyle name="20% - Accent1 2 4 3 3 2 2" xfId="411"/>
    <cellStyle name="20% - Accent1 2 4 3 3 3" xfId="301"/>
    <cellStyle name="20% - Accent1 2 4 3 4" xfId="130"/>
    <cellStyle name="20% - Accent1 2 4 3 4 2" xfId="357"/>
    <cellStyle name="20% - Accent1 2 4 3 5" xfId="247"/>
    <cellStyle name="20% - Accent1 2 4 4" xfId="32"/>
    <cellStyle name="20% - Accent1 2 4 4 2" xfId="73"/>
    <cellStyle name="20% - Accent1 2 4 4 2 2" xfId="185"/>
    <cellStyle name="20% - Accent1 2 4 4 2 2 2" xfId="412"/>
    <cellStyle name="20% - Accent1 2 4 4 2 3" xfId="302"/>
    <cellStyle name="20% - Accent1 2 4 4 3" xfId="144"/>
    <cellStyle name="20% - Accent1 2 4 4 3 2" xfId="371"/>
    <cellStyle name="20% - Accent1 2 4 4 4" xfId="261"/>
    <cellStyle name="20% - Accent1 2 4 5" xfId="74"/>
    <cellStyle name="20% - Accent1 2 4 5 2" xfId="186"/>
    <cellStyle name="20% - Accent1 2 4 5 2 2" xfId="413"/>
    <cellStyle name="20% - Accent1 2 4 5 3" xfId="303"/>
    <cellStyle name="20% - Accent1 2 4 6" xfId="125"/>
    <cellStyle name="20% - Accent1 2 4 6 2" xfId="352"/>
    <cellStyle name="20% - Accent1 2 4 7" xfId="242"/>
    <cellStyle name="20% - Accent1 2 5" xfId="20"/>
    <cellStyle name="20% - Accent1 2 5 2" xfId="75"/>
    <cellStyle name="20% - Accent1 2 5 2 2" xfId="187"/>
    <cellStyle name="20% - Accent1 2 5 2 2 2" xfId="414"/>
    <cellStyle name="20% - Accent1 2 5 2 3" xfId="304"/>
    <cellStyle name="20% - Accent1 2 5 3" xfId="132"/>
    <cellStyle name="20% - Accent1 2 5 3 2" xfId="359"/>
    <cellStyle name="20% - Accent1 2 5 4" xfId="249"/>
    <cellStyle name="20% - Accent1 2 6" xfId="33"/>
    <cellStyle name="20% - Accent1 2 6 2" xfId="76"/>
    <cellStyle name="20% - Accent1 2 6 2 2" xfId="188"/>
    <cellStyle name="20% - Accent1 2 6 2 2 2" xfId="415"/>
    <cellStyle name="20% - Accent1 2 6 2 3" xfId="305"/>
    <cellStyle name="20% - Accent1 2 6 3" xfId="145"/>
    <cellStyle name="20% - Accent1 2 6 3 2" xfId="372"/>
    <cellStyle name="20% - Accent1 2 6 4" xfId="262"/>
    <cellStyle name="20% - Accent1 2 7" xfId="34"/>
    <cellStyle name="20% - Accent1 2 7 2" xfId="77"/>
    <cellStyle name="20% - Accent1 2 7 2 2" xfId="189"/>
    <cellStyle name="20% - Accent1 2 7 2 2 2" xfId="416"/>
    <cellStyle name="20% - Accent1 2 7 2 3" xfId="306"/>
    <cellStyle name="20% - Accent1 2 7 3" xfId="146"/>
    <cellStyle name="20% - Accent1 2 7 3 2" xfId="373"/>
    <cellStyle name="20% - Accent1 2 7 4" xfId="263"/>
    <cellStyle name="20% - Accent1 2 8" xfId="55"/>
    <cellStyle name="20% - Accent1 2 8 2" xfId="167"/>
    <cellStyle name="20% - Accent1 2 8 2 2" xfId="394"/>
    <cellStyle name="20% - Accent1 2 8 3" xfId="284"/>
    <cellStyle name="20% - Accent1 2 9" xfId="78"/>
    <cellStyle name="20% - Accent1 2 9 2" xfId="190"/>
    <cellStyle name="20% - Accent1 2 9 2 2" xfId="417"/>
    <cellStyle name="20% - Accent1 2 9 3" xfId="307"/>
    <cellStyle name="20% - Accent1 3" xfId="4"/>
    <cellStyle name="20% - Accent1 3 2" xfId="35"/>
    <cellStyle name="20% - Accent1 3 2 2" xfId="79"/>
    <cellStyle name="20% - Accent1 3 2 2 2" xfId="191"/>
    <cellStyle name="20% - Accent1 3 2 2 2 2" xfId="418"/>
    <cellStyle name="20% - Accent1 3 2 2 3" xfId="308"/>
    <cellStyle name="20% - Accent1 3 2 3" xfId="147"/>
    <cellStyle name="20% - Accent1 3 2 3 2" xfId="374"/>
    <cellStyle name="20% - Accent1 3 2 4" xfId="264"/>
    <cellStyle name="20% - Accent1 3 3" xfId="36"/>
    <cellStyle name="20% - Accent1 3 3 2" xfId="80"/>
    <cellStyle name="20% - Accent1 3 3 2 2" xfId="192"/>
    <cellStyle name="20% - Accent1 3 3 2 2 2" xfId="419"/>
    <cellStyle name="20% - Accent1 3 3 2 3" xfId="309"/>
    <cellStyle name="20% - Accent1 3 3 3" xfId="148"/>
    <cellStyle name="20% - Accent1 3 3 3 2" xfId="375"/>
    <cellStyle name="20% - Accent1 3 3 4" xfId="265"/>
    <cellStyle name="20% - Accent1 3 4" xfId="37"/>
    <cellStyle name="20% - Accent1 3 4 2" xfId="81"/>
    <cellStyle name="20% - Accent1 3 4 2 2" xfId="193"/>
    <cellStyle name="20% - Accent1 3 4 2 2 2" xfId="420"/>
    <cellStyle name="20% - Accent1 3 4 2 3" xfId="310"/>
    <cellStyle name="20% - Accent1 3 4 3" xfId="149"/>
    <cellStyle name="20% - Accent1 3 4 3 2" xfId="376"/>
    <cellStyle name="20% - Accent1 3 4 4" xfId="266"/>
    <cellStyle name="20% - Accent1 3 5" xfId="82"/>
    <cellStyle name="20% - Accent1 3 5 2" xfId="194"/>
    <cellStyle name="20% - Accent1 3 5 2 2" xfId="421"/>
    <cellStyle name="20% - Accent1 3 5 3" xfId="311"/>
    <cellStyle name="20% - Accent1 3 6" xfId="118"/>
    <cellStyle name="20% - Accent1 3 6 2" xfId="345"/>
    <cellStyle name="20% - Accent1 3 7" xfId="235"/>
    <cellStyle name="20% - Accent1 4" xfId="7"/>
    <cellStyle name="20% - Accent1 4 2" xfId="11"/>
    <cellStyle name="20% - Accent1 4 2 2" xfId="15"/>
    <cellStyle name="20% - Accent1 4 2 2 2" xfId="38"/>
    <cellStyle name="20% - Accent1 4 2 2 2 2" xfId="83"/>
    <cellStyle name="20% - Accent1 4 2 2 2 2 2" xfId="195"/>
    <cellStyle name="20% - Accent1 4 2 2 2 2 2 2" xfId="422"/>
    <cellStyle name="20% - Accent1 4 2 2 2 2 3" xfId="312"/>
    <cellStyle name="20% - Accent1 4 2 2 2 3" xfId="150"/>
    <cellStyle name="20% - Accent1 4 2 2 2 3 2" xfId="377"/>
    <cellStyle name="20% - Accent1 4 2 2 2 4" xfId="267"/>
    <cellStyle name="20% - Accent1 4 2 2 3" xfId="84"/>
    <cellStyle name="20% - Accent1 4 2 2 3 2" xfId="196"/>
    <cellStyle name="20% - Accent1 4 2 2 3 2 2" xfId="423"/>
    <cellStyle name="20% - Accent1 4 2 2 3 3" xfId="313"/>
    <cellStyle name="20% - Accent1 4 2 2 4" xfId="127"/>
    <cellStyle name="20% - Accent1 4 2 2 4 2" xfId="354"/>
    <cellStyle name="20% - Accent1 4 2 2 5" xfId="244"/>
    <cellStyle name="20% - Accent1 4 2 3" xfId="39"/>
    <cellStyle name="20% - Accent1 4 2 3 2" xfId="85"/>
    <cellStyle name="20% - Accent1 4 2 3 2 2" xfId="197"/>
    <cellStyle name="20% - Accent1 4 2 3 2 2 2" xfId="424"/>
    <cellStyle name="20% - Accent1 4 2 3 2 3" xfId="314"/>
    <cellStyle name="20% - Accent1 4 2 3 3" xfId="151"/>
    <cellStyle name="20% - Accent1 4 2 3 3 2" xfId="378"/>
    <cellStyle name="20% - Accent1 4 2 3 4" xfId="268"/>
    <cellStyle name="20% - Accent1 4 2 4" xfId="40"/>
    <cellStyle name="20% - Accent1 4 2 4 2" xfId="86"/>
    <cellStyle name="20% - Accent1 4 2 4 2 2" xfId="198"/>
    <cellStyle name="20% - Accent1 4 2 4 2 2 2" xfId="425"/>
    <cellStyle name="20% - Accent1 4 2 4 2 3" xfId="315"/>
    <cellStyle name="20% - Accent1 4 2 4 3" xfId="152"/>
    <cellStyle name="20% - Accent1 4 2 4 3 2" xfId="379"/>
    <cellStyle name="20% - Accent1 4 2 4 4" xfId="269"/>
    <cellStyle name="20% - Accent1 4 2 5" xfId="87"/>
    <cellStyle name="20% - Accent1 4 2 5 2" xfId="199"/>
    <cellStyle name="20% - Accent1 4 2 5 2 2" xfId="426"/>
    <cellStyle name="20% - Accent1 4 2 5 3" xfId="316"/>
    <cellStyle name="20% - Accent1 4 2 6" xfId="123"/>
    <cellStyle name="20% - Accent1 4 2 6 2" xfId="350"/>
    <cellStyle name="20% - Accent1 4 2 7" xfId="240"/>
    <cellStyle name="20% - Accent1 4 3" xfId="41"/>
    <cellStyle name="20% - Accent1 4 3 2" xfId="88"/>
    <cellStyle name="20% - Accent1 4 3 2 2" xfId="200"/>
    <cellStyle name="20% - Accent1 4 3 2 2 2" xfId="427"/>
    <cellStyle name="20% - Accent1 4 3 2 3" xfId="317"/>
    <cellStyle name="20% - Accent1 4 3 3" xfId="153"/>
    <cellStyle name="20% - Accent1 4 3 3 2" xfId="380"/>
    <cellStyle name="20% - Accent1 4 3 4" xfId="270"/>
    <cellStyle name="20% - Accent1 4 4" xfId="42"/>
    <cellStyle name="20% - Accent1 4 4 2" xfId="89"/>
    <cellStyle name="20% - Accent1 4 4 2 2" xfId="201"/>
    <cellStyle name="20% - Accent1 4 4 2 2 2" xfId="428"/>
    <cellStyle name="20% - Accent1 4 4 2 3" xfId="318"/>
    <cellStyle name="20% - Accent1 4 4 3" xfId="154"/>
    <cellStyle name="20% - Accent1 4 4 3 2" xfId="381"/>
    <cellStyle name="20% - Accent1 4 4 4" xfId="271"/>
    <cellStyle name="20% - Accent1 4 5" xfId="43"/>
    <cellStyle name="20% - Accent1 4 5 2" xfId="90"/>
    <cellStyle name="20% - Accent1 4 5 2 2" xfId="202"/>
    <cellStyle name="20% - Accent1 4 5 2 2 2" xfId="429"/>
    <cellStyle name="20% - Accent1 4 5 2 3" xfId="319"/>
    <cellStyle name="20% - Accent1 4 5 3" xfId="155"/>
    <cellStyle name="20% - Accent1 4 5 3 2" xfId="382"/>
    <cellStyle name="20% - Accent1 4 5 4" xfId="272"/>
    <cellStyle name="20% - Accent1 4 6" xfId="91"/>
    <cellStyle name="20% - Accent1 4 6 2" xfId="203"/>
    <cellStyle name="20% - Accent1 4 6 2 2" xfId="430"/>
    <cellStyle name="20% - Accent1 4 6 3" xfId="320"/>
    <cellStyle name="20% - Accent1 4 7" xfId="119"/>
    <cellStyle name="20% - Accent1 4 7 2" xfId="346"/>
    <cellStyle name="20% - Accent1 4 8" xfId="236"/>
    <cellStyle name="20% - Accent1 5" xfId="9"/>
    <cellStyle name="20% - Accent1 5 19 2" xfId="115"/>
    <cellStyle name="20% - Accent1 5 19 2 2" xfId="226"/>
    <cellStyle name="20% - Accent1 5 19 2 2 2" xfId="453"/>
    <cellStyle name="20% - Accent1 5 19 2 3" xfId="454"/>
    <cellStyle name="20% - Accent1 5 19 2 4" xfId="342"/>
    <cellStyle name="20% - Accent1 5 2" xfId="44"/>
    <cellStyle name="20% - Accent1 5 2 2" xfId="92"/>
    <cellStyle name="20% - Accent1 5 2 2 2" xfId="204"/>
    <cellStyle name="20% - Accent1 5 2 2 2 2" xfId="431"/>
    <cellStyle name="20% - Accent1 5 2 2 3" xfId="321"/>
    <cellStyle name="20% - Accent1 5 2 3" xfId="156"/>
    <cellStyle name="20% - Accent1 5 2 3 2" xfId="383"/>
    <cellStyle name="20% - Accent1 5 2 4" xfId="273"/>
    <cellStyle name="20% - Accent1 5 3" xfId="45"/>
    <cellStyle name="20% - Accent1 5 3 2" xfId="93"/>
    <cellStyle name="20% - Accent1 5 3 2 2" xfId="205"/>
    <cellStyle name="20% - Accent1 5 3 2 2 2" xfId="432"/>
    <cellStyle name="20% - Accent1 5 3 2 3" xfId="322"/>
    <cellStyle name="20% - Accent1 5 3 3" xfId="157"/>
    <cellStyle name="20% - Accent1 5 3 3 2" xfId="384"/>
    <cellStyle name="20% - Accent1 5 3 4" xfId="274"/>
    <cellStyle name="20% - Accent1 5 4" xfId="46"/>
    <cellStyle name="20% - Accent1 5 4 2" xfId="94"/>
    <cellStyle name="20% - Accent1 5 4 2 2" xfId="206"/>
    <cellStyle name="20% - Accent1 5 4 2 2 2" xfId="433"/>
    <cellStyle name="20% - Accent1 5 4 2 3" xfId="323"/>
    <cellStyle name="20% - Accent1 5 4 3" xfId="158"/>
    <cellStyle name="20% - Accent1 5 4 3 2" xfId="385"/>
    <cellStyle name="20% - Accent1 5 4 4" xfId="275"/>
    <cellStyle name="20% - Accent1 5 5" xfId="95"/>
    <cellStyle name="20% - Accent1 5 5 2" xfId="207"/>
    <cellStyle name="20% - Accent1 5 5 2 2" xfId="434"/>
    <cellStyle name="20% - Accent1 5 5 3" xfId="324"/>
    <cellStyle name="20% - Accent1 5 6" xfId="121"/>
    <cellStyle name="20% - Accent1 5 6 2" xfId="348"/>
    <cellStyle name="20% - Accent1 5 7" xfId="238"/>
    <cellStyle name="20% - Accent1 6" xfId="19"/>
    <cellStyle name="20% - Accent1 6 2" xfId="96"/>
    <cellStyle name="20% - Accent1 6 2 2" xfId="208"/>
    <cellStyle name="20% - Accent1 6 2 2 2" xfId="435"/>
    <cellStyle name="20% - Accent1 6 2 3" xfId="325"/>
    <cellStyle name="20% - Accent1 6 3" xfId="131"/>
    <cellStyle name="20% - Accent1 6 3 2" xfId="358"/>
    <cellStyle name="20% - Accent1 6 4" xfId="248"/>
    <cellStyle name="20% - Accent1 7" xfId="53"/>
    <cellStyle name="20% - Accent1 7 2" xfId="165"/>
    <cellStyle name="20% - Accent1 7 2 2" xfId="392"/>
    <cellStyle name="20% - Accent1 7 3" xfId="282"/>
    <cellStyle name="20% - Accent1 7 4 11 2 2" xfId="111"/>
    <cellStyle name="20% - Accent1 7 4 11 2 2 2" xfId="222"/>
    <cellStyle name="20% - Accent1 7 4 11 2 2 2 2" xfId="449"/>
    <cellStyle name="20% - Accent1 7 4 11 2 2 3" xfId="338"/>
    <cellStyle name="20% - Accent1 7 4 11 2 3" xfId="109"/>
    <cellStyle name="20% - Accent1 7 4 11 2 3 2" xfId="220"/>
    <cellStyle name="20% - Accent1 7 4 11 2 3 2 2" xfId="447"/>
    <cellStyle name="20% - Accent1 7 4 11 2 3 3" xfId="336"/>
    <cellStyle name="20% - Accent1 7 4 12 2 3 5 2" xfId="110"/>
    <cellStyle name="20% - Accent1 7 4 12 2 3 5 2 2" xfId="221"/>
    <cellStyle name="20% - Accent1 7 4 12 2 3 5 2 2 2" xfId="448"/>
    <cellStyle name="20% - Accent1 7 4 12 2 3 5 2 3" xfId="337"/>
    <cellStyle name="20% - Accent1 7 4 2 4 5" xfId="108"/>
    <cellStyle name="20% - Accent1 7 4 2 4 5 2" xfId="113"/>
    <cellStyle name="20% - Accent1 7 4 2 4 5 2 2" xfId="224"/>
    <cellStyle name="20% - Accent1 7 4 2 4 5 2 2 2" xfId="451"/>
    <cellStyle name="20% - Accent1 7 4 2 4 5 2 3" xfId="457"/>
    <cellStyle name="20% - Accent1 7 4 2 4 5 2 4" xfId="340"/>
    <cellStyle name="20% - Accent1 7 4 2 4 5 3" xfId="219"/>
    <cellStyle name="20% - Accent1 7 4 2 4 5 3 2" xfId="446"/>
    <cellStyle name="20% - Accent1 7 4 2 4 5 4" xfId="335"/>
    <cellStyle name="20% - Accent1 8" xfId="97"/>
    <cellStyle name="20% - Accent1 8 2" xfId="209"/>
    <cellStyle name="20% - Accent1 8 2 2" xfId="436"/>
    <cellStyle name="20% - Accent1 8 3" xfId="326"/>
    <cellStyle name="20% - Accent1 9" xfId="217"/>
    <cellStyle name="20% - Accent1 9 2" xfId="444"/>
    <cellStyle name="Neutral" xfId="1" builtinId="28"/>
    <cellStyle name="Normal" xfId="0" builtinId="0"/>
    <cellStyle name="Normal 2" xfId="14"/>
    <cellStyle name="Normal 2 2" xfId="47"/>
    <cellStyle name="Normal 2 2 2" xfId="98"/>
    <cellStyle name="Normal 2 2 2 2" xfId="210"/>
    <cellStyle name="Normal 2 2 2 2 2" xfId="437"/>
    <cellStyle name="Normal 2 2 2 3" xfId="327"/>
    <cellStyle name="Normal 2 2 3" xfId="159"/>
    <cellStyle name="Normal 2 2 3 2" xfId="386"/>
    <cellStyle name="Normal 2 2 4" xfId="276"/>
    <cellStyle name="Normal 2 3" xfId="48"/>
    <cellStyle name="Normal 2 3 2" xfId="99"/>
    <cellStyle name="Normal 2 3 2 2" xfId="211"/>
    <cellStyle name="Normal 2 3 2 2 2" xfId="438"/>
    <cellStyle name="Normal 2 3 2 3" xfId="328"/>
    <cellStyle name="Normal 2 3 3" xfId="160"/>
    <cellStyle name="Normal 2 3 3 2" xfId="387"/>
    <cellStyle name="Normal 2 3 4" xfId="277"/>
    <cellStyle name="Normal 2 4" xfId="49"/>
    <cellStyle name="Normal 2 4 2" xfId="100"/>
    <cellStyle name="Normal 2 4 2 2" xfId="212"/>
    <cellStyle name="Normal 2 4 2 2 2" xfId="439"/>
    <cellStyle name="Normal 2 4 2 3" xfId="329"/>
    <cellStyle name="Normal 2 4 3" xfId="161"/>
    <cellStyle name="Normal 2 4 3 2" xfId="388"/>
    <cellStyle name="Normal 2 4 4" xfId="278"/>
    <cellStyle name="Normal 2 5" xfId="101"/>
    <cellStyle name="Normal 2 5 2" xfId="213"/>
    <cellStyle name="Normal 2 5 2 2" xfId="440"/>
    <cellStyle name="Normal 2 5 3" xfId="330"/>
    <cellStyle name="Normal 2 6" xfId="126"/>
    <cellStyle name="Normal 2 6 2" xfId="353"/>
    <cellStyle name="Normal 2 7" xfId="243"/>
    <cellStyle name="Normal 3" xfId="5"/>
    <cellStyle name="Normal 4" xfId="50"/>
    <cellStyle name="Normal 4 2" xfId="51"/>
    <cellStyle name="Normal 4 2 2" xfId="102"/>
    <cellStyle name="Normal 4 2 2 2" xfId="214"/>
    <cellStyle name="Normal 4 2 2 2 2" xfId="441"/>
    <cellStyle name="Normal 4 2 2 3" xfId="331"/>
    <cellStyle name="Normal 4 2 3" xfId="163"/>
    <cellStyle name="Normal 4 2 3 2" xfId="390"/>
    <cellStyle name="Normal 4 2 4" xfId="280"/>
    <cellStyle name="Normal 4 3" xfId="52"/>
    <cellStyle name="Normal 4 3 2" xfId="103"/>
    <cellStyle name="Normal 4 3 2 2" xfId="215"/>
    <cellStyle name="Normal 4 3 2 2 2" xfId="442"/>
    <cellStyle name="Normal 4 3 2 3" xfId="332"/>
    <cellStyle name="Normal 4 3 3" xfId="164"/>
    <cellStyle name="Normal 4 3 3 2" xfId="391"/>
    <cellStyle name="Normal 4 3 4" xfId="281"/>
    <cellStyle name="Normal 4 4" xfId="104"/>
    <cellStyle name="Normal 4 4 2" xfId="216"/>
    <cellStyle name="Normal 4 4 2 2" xfId="443"/>
    <cellStyle name="Normal 4 4 3" xfId="333"/>
    <cellStyle name="Normal 4 5" xfId="162"/>
    <cellStyle name="Normal 4 5 2" xfId="389"/>
    <cellStyle name="Normal 4 6" xfId="279"/>
    <cellStyle name="Normal 5" xfId="106"/>
    <cellStyle name="Normal 6" xfId="230"/>
    <cellStyle name="Normal 6 2" xfId="461"/>
    <cellStyle name="Normal 7" xfId="232"/>
    <cellStyle name="Normal 8" xfId="231"/>
    <cellStyle name="Style 2" xfId="6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20</xdr:row>
          <xdr:rowOff>0</xdr:rowOff>
        </xdr:from>
        <xdr:to>
          <xdr:col>1</xdr:col>
          <xdr:colOff>695325</xdr:colOff>
          <xdr:row>21</xdr:row>
          <xdr:rowOff>28575</xdr:rowOff>
        </xdr:to>
        <xdr:sp macro="" textlink="">
          <xdr:nvSpPr>
            <xdr:cNvPr id="4109" name="keepBuildWindowOpen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1276350</xdr:colOff>
          <xdr:row>22</xdr:row>
          <xdr:rowOff>133350</xdr:rowOff>
        </xdr:from>
        <xdr:to>
          <xdr:col>4</xdr:col>
          <xdr:colOff>0</xdr:colOff>
          <xdr:row>25</xdr:row>
          <xdr:rowOff>104775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27</xdr:row>
          <xdr:rowOff>19050</xdr:rowOff>
        </xdr:from>
        <xdr:to>
          <xdr:col>4</xdr:col>
          <xdr:colOff>0</xdr:colOff>
          <xdr:row>29</xdr:row>
          <xdr:rowOff>152400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76200</xdr:rowOff>
        </xdr:from>
        <xdr:to>
          <xdr:col>0</xdr:col>
          <xdr:colOff>1914525</xdr:colOff>
          <xdr:row>16</xdr:row>
          <xdr:rowOff>114300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133350</xdr:rowOff>
        </xdr:from>
        <xdr:to>
          <xdr:col>0</xdr:col>
          <xdr:colOff>1914525</xdr:colOff>
          <xdr:row>17</xdr:row>
          <xdr:rowOff>152400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18</xdr:row>
          <xdr:rowOff>0</xdr:rowOff>
        </xdr:from>
        <xdr:to>
          <xdr:col>0</xdr:col>
          <xdr:colOff>1914525</xdr:colOff>
          <xdr:row>18</xdr:row>
          <xdr:rowOff>200025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4433" name="SS-WP8" hidden="1">
              <a:extLst>
                <a:ext uri="{63B3BB69-23CF-44E3-9099-C40C66FF867C}">
                  <a14:compatExt spid="_x0000_s4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9525</xdr:rowOff>
        </xdr:to>
        <xdr:sp macro="" textlink="">
          <xdr:nvSpPr>
            <xdr:cNvPr id="4434" name="SS-LA" hidden="1">
              <a:extLst>
                <a:ext uri="{63B3BB69-23CF-44E3-9099-C40C66FF867C}">
                  <a14:compatExt spid="_x0000_s4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9525</xdr:rowOff>
        </xdr:to>
        <xdr:sp macro="" textlink="">
          <xdr:nvSpPr>
            <xdr:cNvPr id="4435" name="DS-WP8" hidden="1">
              <a:extLst>
                <a:ext uri="{63B3BB69-23CF-44E3-9099-C40C66FF867C}">
                  <a14:compatExt spid="_x0000_s4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9525</xdr:rowOff>
        </xdr:to>
        <xdr:sp macro="" textlink="">
          <xdr:nvSpPr>
            <xdr:cNvPr id="4436" name="DS-LA" hidden="1">
              <a:extLst>
                <a:ext uri="{63B3BB69-23CF-44E3-9099-C40C66FF867C}">
                  <a14:compatExt spid="_x0000_s4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9525</xdr:rowOff>
        </xdr:to>
        <xdr:sp macro="" textlink="">
          <xdr:nvSpPr>
            <xdr:cNvPr id="4437" name="SR_DSDS-WP8-7+5_mode" hidden="1">
              <a:extLst>
                <a:ext uri="{63B3BB69-23CF-44E3-9099-C40C66FF867C}">
                  <a14:compatExt spid="_x0000_s4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9525</xdr:rowOff>
        </xdr:to>
        <xdr:sp macro="" textlink="">
          <xdr:nvSpPr>
            <xdr:cNvPr id="4438" name="SR_DSDS-LA-7+5_mode" hidden="1">
              <a:extLst>
                <a:ext uri="{63B3BB69-23CF-44E3-9099-C40C66FF867C}">
                  <a14:compatExt spid="_x0000_s4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21"/>
  <sheetViews>
    <sheetView tabSelected="1" zoomScaleNormal="100" workbookViewId="0">
      <selection activeCell="G10" sqref="G10:G15"/>
    </sheetView>
  </sheetViews>
  <sheetFormatPr defaultRowHeight="12.75" x14ac:dyDescent="0.2"/>
  <cols>
    <col min="1" max="1" width="29.140625" bestFit="1" customWidth="1"/>
    <col min="2" max="2" width="24.28515625" customWidth="1"/>
    <col min="3" max="3" width="16.85546875" bestFit="1" customWidth="1"/>
    <col min="4" max="5" width="16.140625" bestFit="1" customWidth="1"/>
    <col min="6" max="6" width="22.5703125" bestFit="1" customWidth="1"/>
    <col min="7" max="7" width="20.5703125" bestFit="1" customWidth="1"/>
    <col min="8" max="8" width="16.140625" bestFit="1" customWidth="1"/>
    <col min="9" max="9" width="20.7109375" bestFit="1" customWidth="1"/>
  </cols>
  <sheetData>
    <row r="1" spans="1:11" s="1" customFormat="1" ht="12.75" customHeight="1" x14ac:dyDescent="0.3">
      <c r="C1" s="37"/>
    </row>
    <row r="2" spans="1:11" s="6" customFormat="1" ht="45" customHeight="1" x14ac:dyDescent="0.2">
      <c r="A2" s="157" t="s">
        <v>30</v>
      </c>
      <c r="B2" s="157"/>
      <c r="C2" s="157"/>
      <c r="D2" s="157"/>
      <c r="E2" s="157"/>
    </row>
    <row r="3" spans="1:11" s="1" customFormat="1" ht="15" x14ac:dyDescent="0.3">
      <c r="C3" s="37"/>
    </row>
    <row r="4" spans="1:11" s="1" customFormat="1" ht="15" x14ac:dyDescent="0.3">
      <c r="A4" s="3" t="s">
        <v>0</v>
      </c>
      <c r="B4" s="11">
        <f>MAX('Revision History'!C9:C35)</f>
        <v>42482</v>
      </c>
      <c r="C4" s="11"/>
    </row>
    <row r="5" spans="1:11" s="1" customFormat="1" ht="15" x14ac:dyDescent="0.3">
      <c r="A5" s="3" t="s">
        <v>1</v>
      </c>
      <c r="B5" s="12">
        <f>MAX('Revision History'!B9:B35)</f>
        <v>27</v>
      </c>
      <c r="C5" s="12"/>
    </row>
    <row r="6" spans="1:11" s="42" customFormat="1" ht="15" x14ac:dyDescent="0.3">
      <c r="A6" s="40" t="s">
        <v>40</v>
      </c>
      <c r="B6" s="41" t="s">
        <v>108</v>
      </c>
      <c r="C6" s="41"/>
    </row>
    <row r="7" spans="1:11" s="1" customFormat="1" ht="15" x14ac:dyDescent="0.3">
      <c r="A7" s="38" t="s">
        <v>62</v>
      </c>
      <c r="B7" s="39" t="s">
        <v>106</v>
      </c>
      <c r="C7" s="39"/>
      <c r="D7" s="37"/>
      <c r="E7" s="37"/>
      <c r="F7" s="37"/>
      <c r="G7" s="37"/>
      <c r="H7" s="37"/>
      <c r="I7" s="37"/>
      <c r="J7" s="37"/>
      <c r="K7" s="37"/>
    </row>
    <row r="8" spans="1:11" s="37" customFormat="1" ht="15" x14ac:dyDescent="0.3">
      <c r="A8" s="38" t="s">
        <v>105</v>
      </c>
      <c r="B8" s="39" t="s">
        <v>107</v>
      </c>
      <c r="C8" s="39"/>
    </row>
    <row r="9" spans="1:11" s="37" customFormat="1" ht="15" x14ac:dyDescent="0.3">
      <c r="A9" s="38" t="s">
        <v>63</v>
      </c>
      <c r="B9" s="39" t="s">
        <v>109</v>
      </c>
      <c r="C9" s="39"/>
    </row>
    <row r="10" spans="1:11" s="1" customFormat="1" ht="20.25" thickBot="1" x14ac:dyDescent="0.45">
      <c r="A10" s="43" t="s">
        <v>31</v>
      </c>
      <c r="B10" s="43"/>
      <c r="C10" s="43"/>
      <c r="D10" s="43"/>
      <c r="E10" s="43"/>
      <c r="F10" s="43"/>
      <c r="G10" s="43"/>
    </row>
    <row r="11" spans="1:11" s="1" customFormat="1" ht="15.75" thickBot="1" x14ac:dyDescent="0.35">
      <c r="A11" s="5"/>
      <c r="B11" s="5" t="s">
        <v>194</v>
      </c>
      <c r="C11" s="5" t="s">
        <v>195</v>
      </c>
      <c r="D11" s="5" t="s">
        <v>196</v>
      </c>
      <c r="E11" s="5" t="s">
        <v>197</v>
      </c>
      <c r="F11" s="5" t="s">
        <v>163</v>
      </c>
      <c r="G11" s="5" t="s">
        <v>164</v>
      </c>
    </row>
    <row r="12" spans="1:11" s="2" customFormat="1" ht="15" x14ac:dyDescent="0.3">
      <c r="A12" s="4" t="s">
        <v>2</v>
      </c>
      <c r="B12" s="4"/>
      <c r="C12" s="4"/>
      <c r="D12" s="4"/>
      <c r="E12" s="4"/>
      <c r="F12" s="4"/>
      <c r="G12" s="4"/>
    </row>
    <row r="13" spans="1:11" s="2" customFormat="1" ht="15" x14ac:dyDescent="0.3">
      <c r="A13" s="4" t="s">
        <v>22</v>
      </c>
      <c r="B13" s="4" t="str">
        <f>'SS-WP8'!$F$55</f>
        <v>0x05010107</v>
      </c>
      <c r="C13" s="4" t="str">
        <f>'SS-LA'!$F$53</f>
        <v>0x05010117</v>
      </c>
      <c r="D13" s="4" t="str">
        <f>'DS-WP8'!$F$60</f>
        <v>0x0501012A</v>
      </c>
      <c r="E13" s="4" t="str">
        <f>'DS-LA'!$F$57</f>
        <v>0x0501013A</v>
      </c>
      <c r="F13" s="4" t="str">
        <f>'SR_DSDS-WP8-7+5_mode'!F64</f>
        <v>0x05010146</v>
      </c>
      <c r="G13" s="4" t="str">
        <f>'SR_DSDS-LA-7+5_mode'!F61</f>
        <v>0x05010156</v>
      </c>
    </row>
    <row r="14" spans="1:11" s="2" customFormat="1" ht="15" x14ac:dyDescent="0.3">
      <c r="A14" s="4" t="s">
        <v>29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</row>
    <row r="15" spans="1:11" ht="15.75" thickBot="1" x14ac:dyDescent="0.35">
      <c r="A15" s="32" t="s">
        <v>66</v>
      </c>
      <c r="B15" s="32"/>
      <c r="C15" s="32"/>
      <c r="D15" s="32"/>
      <c r="E15" s="32"/>
      <c r="F15" s="32"/>
      <c r="G15" s="32"/>
    </row>
    <row r="16" spans="1:11" ht="15" x14ac:dyDescent="0.3">
      <c r="E16" s="2"/>
    </row>
    <row r="19" spans="1:1" ht="22.5" customHeight="1" x14ac:dyDescent="0.2"/>
    <row r="20" spans="1:1" ht="15" x14ac:dyDescent="0.3">
      <c r="A20" s="2"/>
    </row>
    <row r="21" spans="1:1" x14ac:dyDescent="0.2">
      <c r="A21" s="31" t="s">
        <v>39</v>
      </c>
    </row>
  </sheetData>
  <mergeCells count="1">
    <mergeCell ref="A2:E2"/>
  </mergeCells>
  <hyperlinks>
    <hyperlink ref="B11" location="'SS-WP8'!A5" tooltip="Jump to worksheet" display="'SS-WP8'!A5"/>
    <hyperlink ref="C11" location="'SS-LA'!A5" tooltip="Jump to worksheet" display="'SS-LA'!A5"/>
    <hyperlink ref="D11" location="'DS-WP8'!A5" tooltip="Jump to worksheet" display="'DS-WP8'!A5"/>
    <hyperlink ref="E11" location="'DS-LA'!A5" tooltip="Jump to worksheet" display="'DS-LA'!A5"/>
    <hyperlink ref="F11" location="'SR_DSDS-WP8-7+5_mode'!A5" tooltip="Jump to worksheet" display="'SR_DSDS-WP8-7+5_mode'!A5"/>
    <hyperlink ref="G11" location="'SR_DSDS-LA-7+5_mode'!A5" tooltip="Jump to worksheet" display="'SR_DSDS-LA-7+5_mode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keepBuildWindowOpen">
              <controlPr defaultSize="0" autoFill="0" autoLine="0" autoPict="0" altText="">
                <anchor moveWithCells="1">
                  <from>
                    <xdr:col>1</xdr:col>
                    <xdr:colOff>485775</xdr:colOff>
                    <xdr:row>20</xdr:row>
                    <xdr:rowOff>0</xdr:rowOff>
                  </from>
                  <to>
                    <xdr:col>1</xdr:col>
                    <xdr:colOff>695325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5" name="Button 19">
              <controlPr defaultSize="0" print="0" autoFill="0" autoPict="0" macro="[0]!GenerateSources">
                <anchor moveWithCells="1" sizeWithCells="1">
                  <from>
                    <xdr:col>0</xdr:col>
                    <xdr:colOff>1276350</xdr:colOff>
                    <xdr:row>22</xdr:row>
                    <xdr:rowOff>133350</xdr:rowOff>
                  </from>
                  <to>
                    <xdr:col>4</xdr:col>
                    <xdr:colOff>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6" name="Button 20">
              <controlPr defaultSize="0" print="0" autoFill="0" autoPict="0" macro="[0]!GenerateMBNs">
                <anchor moveWithCells="1" sizeWithCells="1">
                  <from>
                    <xdr:col>0</xdr:col>
                    <xdr:colOff>1285875</xdr:colOff>
                    <xdr:row>27</xdr:row>
                    <xdr:rowOff>19050</xdr:rowOff>
                  </from>
                  <to>
                    <xdr:col>4</xdr:col>
                    <xdr:colOff>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7" name="Button 22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76200</xdr:rowOff>
                  </from>
                  <to>
                    <xdr:col>0</xdr:col>
                    <xdr:colOff>1914525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8" name="Button 23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133350</xdr:rowOff>
                  </from>
                  <to>
                    <xdr:col>0</xdr:col>
                    <xdr:colOff>1914525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9" name="Button 28">
              <controlPr defaultSize="0" print="0" autoFill="0" autoPict="0" macro="[0]!RefreshSummary">
                <anchor moveWithCells="1" sizeWithCells="1">
                  <from>
                    <xdr:col>0</xdr:col>
                    <xdr:colOff>571500</xdr:colOff>
                    <xdr:row>18</xdr:row>
                    <xdr:rowOff>0</xdr:rowOff>
                  </from>
                  <to>
                    <xdr:col>0</xdr:col>
                    <xdr:colOff>1914525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" r:id="rId10" name="SS-WP8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4" r:id="rId11" name="SS-LA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5" r:id="rId12" name="DS-WP8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6" r:id="rId13" name="DS-LA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7" r:id="rId14" name="SR_DSDS-WP8-7+5_mode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8" r:id="rId15" name="SR_DSDS-LA-7+5_mode">
              <controlPr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64"/>
  <sheetViews>
    <sheetView topLeftCell="A39" zoomScaleNormal="100" workbookViewId="0">
      <selection activeCell="B1" sqref="B1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21.5703125" customWidth="1"/>
    <col min="6" max="6" width="26" bestFit="1" customWidth="1"/>
    <col min="7" max="7" width="10.42578125" bestFit="1" customWidth="1"/>
    <col min="8" max="8" width="66" style="10" customWidth="1"/>
    <col min="9" max="9" width="35.42578125" bestFit="1" customWidth="1"/>
    <col min="12" max="12" width="22.7109375" bestFit="1" customWidth="1"/>
  </cols>
  <sheetData>
    <row r="1" spans="1:9" x14ac:dyDescent="0.2">
      <c r="A1" s="89"/>
      <c r="B1" s="89"/>
      <c r="C1" s="89"/>
      <c r="D1" s="89"/>
      <c r="E1" s="89"/>
      <c r="F1" s="89"/>
      <c r="G1" s="89"/>
      <c r="H1" s="90"/>
      <c r="I1" s="89"/>
    </row>
    <row r="2" spans="1:9" s="7" customFormat="1" ht="45" customHeight="1" x14ac:dyDescent="0.55000000000000004">
      <c r="A2" s="158" t="s">
        <v>110</v>
      </c>
      <c r="B2" s="158"/>
      <c r="C2" s="158"/>
      <c r="D2" s="158"/>
      <c r="E2" s="158"/>
      <c r="F2" s="158"/>
      <c r="G2" s="158"/>
      <c r="H2" s="158"/>
      <c r="I2" s="158"/>
    </row>
    <row r="3" spans="1:9" ht="13.5" thickBot="1" x14ac:dyDescent="0.25">
      <c r="A3" s="91"/>
      <c r="B3" s="89"/>
      <c r="C3" s="89"/>
      <c r="D3" s="89"/>
      <c r="E3" s="89"/>
      <c r="F3" s="89"/>
      <c r="G3" s="89"/>
      <c r="H3" s="90"/>
      <c r="I3" s="89"/>
    </row>
    <row r="4" spans="1:9" s="8" customFormat="1" ht="20.25" thickBot="1" x14ac:dyDescent="0.45">
      <c r="A4" s="159" t="s">
        <v>65</v>
      </c>
      <c r="B4" s="160"/>
      <c r="C4" s="160"/>
      <c r="D4" s="160"/>
      <c r="E4" s="160"/>
      <c r="F4" s="160"/>
      <c r="G4" s="160"/>
      <c r="H4" s="161"/>
      <c r="I4" s="92"/>
    </row>
    <row r="5" spans="1:9" s="37" customFormat="1" ht="15.75" thickBot="1" x14ac:dyDescent="0.35">
      <c r="A5" s="93" t="s">
        <v>6</v>
      </c>
      <c r="B5" s="94" t="s">
        <v>5</v>
      </c>
      <c r="C5" s="93" t="s">
        <v>17</v>
      </c>
      <c r="D5" s="93" t="s">
        <v>18</v>
      </c>
      <c r="E5" s="93" t="s">
        <v>7</v>
      </c>
      <c r="F5" s="93" t="s">
        <v>19</v>
      </c>
      <c r="G5" s="95" t="s">
        <v>24</v>
      </c>
      <c r="H5" s="96" t="s">
        <v>8</v>
      </c>
      <c r="I5" s="42"/>
    </row>
    <row r="6" spans="1:9" s="2" customFormat="1" ht="17.25" x14ac:dyDescent="0.35">
      <c r="A6" s="141" t="s">
        <v>86</v>
      </c>
      <c r="B6" s="98">
        <v>4398</v>
      </c>
      <c r="C6" s="99" t="s">
        <v>20</v>
      </c>
      <c r="D6" s="100">
        <v>1</v>
      </c>
      <c r="E6" s="141" t="s">
        <v>87</v>
      </c>
      <c r="F6" s="99">
        <v>0</v>
      </c>
      <c r="G6" s="104" t="s">
        <v>27</v>
      </c>
      <c r="H6" s="142"/>
      <c r="I6" s="100"/>
    </row>
    <row r="7" spans="1:9" s="49" customFormat="1" ht="17.25" x14ac:dyDescent="0.35">
      <c r="A7" s="141" t="s">
        <v>90</v>
      </c>
      <c r="B7" s="98">
        <v>6876</v>
      </c>
      <c r="C7" s="99"/>
      <c r="D7" s="100"/>
      <c r="E7" s="141"/>
      <c r="F7" s="99"/>
      <c r="G7" s="104" t="s">
        <v>27</v>
      </c>
      <c r="H7" s="142"/>
      <c r="I7" s="100"/>
    </row>
    <row r="8" spans="1:9" s="49" customFormat="1" ht="17.25" x14ac:dyDescent="0.35">
      <c r="A8" s="141"/>
      <c r="B8" s="98"/>
      <c r="C8" s="99" t="s">
        <v>20</v>
      </c>
      <c r="D8" s="100">
        <v>1</v>
      </c>
      <c r="E8" s="141" t="s">
        <v>91</v>
      </c>
      <c r="F8" s="99">
        <v>0</v>
      </c>
      <c r="G8" s="104"/>
      <c r="H8" s="142"/>
      <c r="I8" s="100"/>
    </row>
    <row r="9" spans="1:9" s="49" customFormat="1" ht="17.25" x14ac:dyDescent="0.35">
      <c r="A9" s="141"/>
      <c r="B9" s="98"/>
      <c r="C9" s="99" t="s">
        <v>20</v>
      </c>
      <c r="D9" s="100">
        <v>1</v>
      </c>
      <c r="E9" s="141" t="s">
        <v>92</v>
      </c>
      <c r="F9" s="99">
        <v>0</v>
      </c>
      <c r="G9" s="104"/>
      <c r="H9" s="142"/>
      <c r="I9" s="100"/>
    </row>
    <row r="10" spans="1:9" s="49" customFormat="1" ht="17.25" x14ac:dyDescent="0.35">
      <c r="A10" s="141"/>
      <c r="B10" s="98"/>
      <c r="C10" s="99" t="s">
        <v>20</v>
      </c>
      <c r="D10" s="100">
        <v>1</v>
      </c>
      <c r="E10" s="141" t="s">
        <v>93</v>
      </c>
      <c r="F10" s="99">
        <v>0</v>
      </c>
      <c r="G10" s="104"/>
      <c r="H10" s="142"/>
      <c r="I10" s="100"/>
    </row>
    <row r="11" spans="1:9" s="49" customFormat="1" ht="17.25" x14ac:dyDescent="0.35">
      <c r="A11" s="141"/>
      <c r="B11" s="98"/>
      <c r="C11" s="99" t="s">
        <v>20</v>
      </c>
      <c r="D11" s="100">
        <v>1</v>
      </c>
      <c r="E11" s="141" t="s">
        <v>94</v>
      </c>
      <c r="F11" s="99">
        <v>0</v>
      </c>
      <c r="G11" s="104"/>
      <c r="H11" s="142"/>
      <c r="I11" s="100"/>
    </row>
    <row r="12" spans="1:9" s="49" customFormat="1" ht="17.25" x14ac:dyDescent="0.35">
      <c r="A12" s="141"/>
      <c r="B12" s="98"/>
      <c r="C12" s="99" t="s">
        <v>20</v>
      </c>
      <c r="D12" s="100">
        <v>1</v>
      </c>
      <c r="E12" s="141" t="s">
        <v>95</v>
      </c>
      <c r="F12" s="99">
        <v>9</v>
      </c>
      <c r="G12" s="104"/>
      <c r="H12" s="142"/>
      <c r="I12" s="100"/>
    </row>
    <row r="13" spans="1:9" s="2" customFormat="1" ht="15.75" thickBot="1" x14ac:dyDescent="0.35">
      <c r="A13" s="106"/>
      <c r="B13" s="32"/>
      <c r="C13" s="106"/>
      <c r="D13" s="106"/>
      <c r="E13" s="106"/>
      <c r="F13" s="106"/>
      <c r="G13" s="107"/>
      <c r="H13" s="108"/>
      <c r="I13" s="100"/>
    </row>
    <row r="14" spans="1:9" s="2" customFormat="1" ht="15.75" thickBot="1" x14ac:dyDescent="0.35">
      <c r="A14" s="109"/>
      <c r="B14" s="109"/>
      <c r="C14" s="109"/>
      <c r="D14" s="109"/>
      <c r="E14" s="109"/>
      <c r="F14" s="109"/>
      <c r="G14" s="109"/>
      <c r="H14" s="110"/>
      <c r="I14" s="111"/>
    </row>
    <row r="15" spans="1:9" s="8" customFormat="1" ht="20.25" thickBot="1" x14ac:dyDescent="0.45">
      <c r="A15" s="112" t="s">
        <v>23</v>
      </c>
      <c r="B15" s="113"/>
      <c r="C15" s="113"/>
      <c r="D15" s="113"/>
      <c r="E15" s="113"/>
      <c r="F15" s="113"/>
      <c r="G15" s="113"/>
      <c r="H15" s="113"/>
      <c r="I15" s="114"/>
    </row>
    <row r="16" spans="1:9" ht="15.75" thickBot="1" x14ac:dyDescent="0.35">
      <c r="A16" s="93" t="s">
        <v>9</v>
      </c>
      <c r="B16" s="93" t="s">
        <v>10</v>
      </c>
      <c r="C16" s="93" t="s">
        <v>17</v>
      </c>
      <c r="D16" s="94" t="s">
        <v>26</v>
      </c>
      <c r="E16" s="93" t="s">
        <v>25</v>
      </c>
      <c r="F16" s="93" t="s">
        <v>19</v>
      </c>
      <c r="G16" s="115" t="s">
        <v>24</v>
      </c>
      <c r="H16" s="96" t="s">
        <v>28</v>
      </c>
      <c r="I16" s="116" t="s">
        <v>11</v>
      </c>
    </row>
    <row r="17" spans="1:11" x14ac:dyDescent="0.2">
      <c r="A17" s="89"/>
      <c r="B17" s="89"/>
      <c r="C17" s="89"/>
      <c r="D17" s="89"/>
      <c r="E17" s="89"/>
      <c r="F17" s="89"/>
      <c r="G17" s="89"/>
      <c r="H17" s="90"/>
      <c r="I17" s="89"/>
    </row>
    <row r="18" spans="1:11" s="27" customFormat="1" ht="15" x14ac:dyDescent="0.3">
      <c r="A18" s="117" t="s">
        <v>32</v>
      </c>
      <c r="B18" s="118"/>
      <c r="C18" s="118"/>
      <c r="D18" s="118"/>
      <c r="E18" s="118"/>
      <c r="F18" s="118"/>
      <c r="G18" s="118"/>
      <c r="H18" s="119"/>
      <c r="I18" s="120"/>
    </row>
    <row r="19" spans="1:11" s="18" customFormat="1" ht="15" x14ac:dyDescent="0.3">
      <c r="A19" s="13"/>
      <c r="B19" s="13"/>
      <c r="C19" s="13"/>
      <c r="D19" s="14"/>
      <c r="E19" s="13"/>
      <c r="F19" s="13"/>
      <c r="G19" s="15"/>
      <c r="H19" s="16"/>
      <c r="I19" s="17"/>
    </row>
    <row r="20" spans="1:11" s="20" customFormat="1" ht="15" x14ac:dyDescent="0.3">
      <c r="A20" s="21" t="s">
        <v>33</v>
      </c>
      <c r="B20" s="21"/>
      <c r="C20" s="21"/>
      <c r="D20" s="22"/>
      <c r="E20" s="21"/>
      <c r="F20" s="21"/>
      <c r="G20" s="23"/>
      <c r="H20" s="24"/>
      <c r="I20" s="25"/>
    </row>
    <row r="21" spans="1:11" s="18" customFormat="1" ht="15" x14ac:dyDescent="0.3">
      <c r="A21" s="13"/>
      <c r="B21" s="13"/>
      <c r="C21" s="13"/>
      <c r="D21" s="14"/>
      <c r="E21" s="13"/>
      <c r="F21" s="13"/>
      <c r="G21" s="15"/>
      <c r="H21" s="16"/>
      <c r="I21" s="17"/>
    </row>
    <row r="22" spans="1:11" s="27" customFormat="1" ht="15" x14ac:dyDescent="0.3">
      <c r="A22" s="26" t="s">
        <v>34</v>
      </c>
      <c r="B22" s="121"/>
      <c r="C22" s="121"/>
      <c r="D22" s="121"/>
      <c r="E22" s="121"/>
      <c r="F22" s="121"/>
      <c r="G22" s="121" t="s">
        <v>4</v>
      </c>
      <c r="H22" s="122"/>
      <c r="I22" s="121"/>
    </row>
    <row r="23" spans="1:11" s="18" customFormat="1" ht="15" x14ac:dyDescent="0.3">
      <c r="A23" s="13"/>
      <c r="B23" s="13"/>
      <c r="C23" s="13"/>
      <c r="D23" s="14"/>
      <c r="E23" s="13"/>
      <c r="F23" s="13"/>
      <c r="G23" s="15"/>
      <c r="H23" s="16"/>
      <c r="I23" s="17"/>
    </row>
    <row r="24" spans="1:11" ht="15" x14ac:dyDescent="0.3">
      <c r="A24" s="28" t="s">
        <v>35</v>
      </c>
      <c r="B24" s="123"/>
      <c r="C24" s="123"/>
      <c r="D24" s="123"/>
      <c r="E24" s="123"/>
      <c r="F24" s="123"/>
      <c r="G24" s="123"/>
      <c r="H24" s="124"/>
      <c r="I24" s="123"/>
    </row>
    <row r="25" spans="1:11" ht="15" x14ac:dyDescent="0.3">
      <c r="A25" s="13"/>
      <c r="B25" s="13"/>
      <c r="C25" s="13"/>
      <c r="D25" s="13"/>
      <c r="E25" s="13"/>
      <c r="F25" s="14"/>
      <c r="G25" s="15"/>
      <c r="H25" s="19"/>
      <c r="I25" s="17"/>
    </row>
    <row r="26" spans="1:11" ht="15" x14ac:dyDescent="0.3">
      <c r="A26" s="29" t="s">
        <v>36</v>
      </c>
      <c r="B26" s="125"/>
      <c r="C26" s="125"/>
      <c r="D26" s="125"/>
      <c r="E26" s="125"/>
      <c r="F26" s="125"/>
      <c r="G26" s="125"/>
      <c r="H26" s="126"/>
      <c r="I26" s="125"/>
    </row>
    <row r="27" spans="1:11" ht="15" x14ac:dyDescent="0.3">
      <c r="A27" s="13"/>
      <c r="B27" s="13"/>
      <c r="C27" s="13"/>
      <c r="D27" s="13"/>
      <c r="E27" s="13"/>
      <c r="F27" s="14"/>
      <c r="G27" s="15"/>
      <c r="H27" s="19"/>
      <c r="I27" s="17"/>
    </row>
    <row r="28" spans="1:11" ht="15" x14ac:dyDescent="0.3">
      <c r="A28" s="30" t="s">
        <v>38</v>
      </c>
      <c r="B28" s="127"/>
      <c r="C28" s="127"/>
      <c r="D28" s="127"/>
      <c r="E28" s="127"/>
      <c r="F28" s="127"/>
      <c r="G28" s="127" t="s">
        <v>4</v>
      </c>
      <c r="H28" s="128"/>
      <c r="I28" s="127"/>
    </row>
    <row r="29" spans="1:11" ht="15" x14ac:dyDescent="0.3">
      <c r="A29" s="13"/>
      <c r="B29" s="13"/>
      <c r="C29" s="13"/>
      <c r="D29" s="13"/>
      <c r="E29" s="13"/>
      <c r="F29" s="14"/>
      <c r="G29" s="15"/>
      <c r="H29" s="19"/>
      <c r="I29" s="17"/>
    </row>
    <row r="30" spans="1:11" ht="15" x14ac:dyDescent="0.3">
      <c r="A30" s="13"/>
      <c r="B30" s="13"/>
      <c r="C30" s="13"/>
      <c r="D30" s="13"/>
      <c r="E30" s="13"/>
      <c r="F30" s="14"/>
      <c r="G30" s="15" t="s">
        <v>4</v>
      </c>
      <c r="H30" s="19"/>
      <c r="I30" s="17"/>
    </row>
    <row r="31" spans="1:11" ht="15" x14ac:dyDescent="0.3">
      <c r="A31" s="146" t="s">
        <v>37</v>
      </c>
      <c r="B31" s="147"/>
      <c r="C31" s="147"/>
      <c r="D31" s="147"/>
      <c r="E31" s="147"/>
      <c r="F31" s="147"/>
      <c r="G31" s="147"/>
      <c r="H31" s="148"/>
      <c r="I31" s="149"/>
    </row>
    <row r="32" spans="1:11" s="53" customFormat="1" ht="51.75" x14ac:dyDescent="0.35">
      <c r="A32" s="150" t="s">
        <v>71</v>
      </c>
      <c r="B32" s="136" t="s">
        <v>72</v>
      </c>
      <c r="C32" s="137" t="s">
        <v>21</v>
      </c>
      <c r="D32" s="138"/>
      <c r="E32" s="138"/>
      <c r="F32" s="137"/>
      <c r="G32" s="138" t="s">
        <v>27</v>
      </c>
      <c r="H32" s="136" t="s">
        <v>146</v>
      </c>
      <c r="I32" s="144" t="s">
        <v>73</v>
      </c>
      <c r="J32" s="54"/>
      <c r="K32" s="54"/>
    </row>
    <row r="33" spans="1:11" s="53" customFormat="1" ht="17.25" x14ac:dyDescent="0.35">
      <c r="A33" s="150" t="s">
        <v>89</v>
      </c>
      <c r="B33" s="136" t="s">
        <v>88</v>
      </c>
      <c r="C33" s="137" t="s">
        <v>85</v>
      </c>
      <c r="D33" s="138"/>
      <c r="E33" s="138"/>
      <c r="F33" s="137"/>
      <c r="G33" s="138" t="s">
        <v>27</v>
      </c>
      <c r="H33" s="136"/>
      <c r="I33" s="144">
        <v>65683</v>
      </c>
      <c r="J33" s="54"/>
      <c r="K33" s="54"/>
    </row>
    <row r="34" spans="1:11" s="52" customFormat="1" ht="17.25" x14ac:dyDescent="0.35">
      <c r="A34" s="150"/>
      <c r="B34" s="136"/>
      <c r="C34" s="137"/>
      <c r="D34" s="138" t="s">
        <v>20</v>
      </c>
      <c r="E34" s="138">
        <v>1</v>
      </c>
      <c r="F34" s="137">
        <v>2</v>
      </c>
      <c r="G34" s="138"/>
      <c r="H34" s="136"/>
      <c r="I34" s="144"/>
      <c r="J34" s="55"/>
      <c r="K34" s="55"/>
    </row>
    <row r="35" spans="1:11" s="51" customFormat="1" ht="17.25" x14ac:dyDescent="0.35">
      <c r="A35" s="143" t="s">
        <v>137</v>
      </c>
      <c r="B35" s="130" t="s">
        <v>138</v>
      </c>
      <c r="C35" s="131" t="s">
        <v>85</v>
      </c>
      <c r="D35" s="131"/>
      <c r="E35" s="130"/>
      <c r="F35" s="131"/>
      <c r="G35" s="131" t="s">
        <v>27</v>
      </c>
      <c r="H35" s="132"/>
      <c r="I35" s="145">
        <v>73671</v>
      </c>
    </row>
    <row r="36" spans="1:11" s="51" customFormat="1" ht="17.25" x14ac:dyDescent="0.35">
      <c r="A36" s="143"/>
      <c r="B36" s="130"/>
      <c r="C36" s="131"/>
      <c r="D36" s="131" t="s">
        <v>20</v>
      </c>
      <c r="E36" s="130">
        <v>1</v>
      </c>
      <c r="F36" s="131">
        <v>1</v>
      </c>
      <c r="G36" s="131"/>
      <c r="H36" s="132"/>
      <c r="I36" s="145"/>
    </row>
    <row r="37" spans="1:11" s="51" customFormat="1" ht="17.25" x14ac:dyDescent="0.35">
      <c r="A37" s="143" t="s">
        <v>100</v>
      </c>
      <c r="B37" s="130" t="s">
        <v>101</v>
      </c>
      <c r="C37" s="131" t="s">
        <v>85</v>
      </c>
      <c r="D37" s="131"/>
      <c r="E37" s="130"/>
      <c r="F37" s="131"/>
      <c r="G37" s="131" t="s">
        <v>27</v>
      </c>
      <c r="H37" s="132"/>
      <c r="I37" s="145">
        <v>70266</v>
      </c>
    </row>
    <row r="38" spans="1:11" s="51" customFormat="1" ht="17.25" x14ac:dyDescent="0.35">
      <c r="A38" s="143"/>
      <c r="B38" s="130"/>
      <c r="C38" s="131"/>
      <c r="D38" s="131" t="s">
        <v>20</v>
      </c>
      <c r="E38" s="130">
        <v>1</v>
      </c>
      <c r="F38" s="131">
        <v>0</v>
      </c>
      <c r="G38" s="131"/>
      <c r="H38" s="132"/>
      <c r="I38" s="145"/>
    </row>
    <row r="39" spans="1:11" ht="17.25" x14ac:dyDescent="0.35">
      <c r="A39" s="143" t="s">
        <v>156</v>
      </c>
      <c r="B39" s="130" t="s">
        <v>157</v>
      </c>
      <c r="C39" s="131" t="s">
        <v>85</v>
      </c>
      <c r="D39" s="131"/>
      <c r="E39" s="130"/>
      <c r="F39" s="131"/>
      <c r="G39" s="131" t="s">
        <v>27</v>
      </c>
      <c r="H39" s="132"/>
      <c r="I39" s="145">
        <v>70287</v>
      </c>
    </row>
    <row r="40" spans="1:11" ht="17.25" x14ac:dyDescent="0.35">
      <c r="A40" s="143"/>
      <c r="B40" s="130"/>
      <c r="C40" s="131"/>
      <c r="D40" s="131" t="s">
        <v>20</v>
      </c>
      <c r="E40" s="130">
        <v>1</v>
      </c>
      <c r="F40" s="131">
        <v>1</v>
      </c>
      <c r="G40" s="131"/>
      <c r="H40" s="132"/>
      <c r="I40" s="145"/>
    </row>
    <row r="41" spans="1:11" ht="17.25" x14ac:dyDescent="0.35">
      <c r="A41" s="143" t="s">
        <v>173</v>
      </c>
      <c r="B41" s="130" t="s">
        <v>172</v>
      </c>
      <c r="C41" s="131" t="s">
        <v>21</v>
      </c>
      <c r="D41" s="131"/>
      <c r="E41" s="130"/>
      <c r="F41" s="131"/>
      <c r="G41" s="131" t="s">
        <v>27</v>
      </c>
      <c r="H41" s="132" t="s">
        <v>188</v>
      </c>
      <c r="I41" s="145"/>
    </row>
    <row r="42" spans="1:11" ht="17.25" x14ac:dyDescent="0.35">
      <c r="A42" s="129" t="s">
        <v>170</v>
      </c>
      <c r="B42" s="130" t="s">
        <v>169</v>
      </c>
      <c r="C42" s="131" t="s">
        <v>85</v>
      </c>
      <c r="D42" s="131"/>
      <c r="E42" s="130"/>
      <c r="F42" s="131"/>
      <c r="G42" s="131" t="s">
        <v>168</v>
      </c>
      <c r="H42" s="132"/>
      <c r="I42" s="134">
        <v>73502</v>
      </c>
    </row>
    <row r="43" spans="1:11" ht="17.25" x14ac:dyDescent="0.35">
      <c r="A43" s="129"/>
      <c r="B43" s="130"/>
      <c r="C43" s="131"/>
      <c r="D43" s="131" t="s">
        <v>20</v>
      </c>
      <c r="E43" s="130">
        <v>1</v>
      </c>
      <c r="F43" s="131">
        <v>62</v>
      </c>
      <c r="G43" s="131"/>
      <c r="H43" s="132"/>
      <c r="I43" s="134"/>
    </row>
    <row r="44" spans="1:11" ht="15" x14ac:dyDescent="0.3">
      <c r="A44" s="13"/>
      <c r="B44" s="13"/>
      <c r="C44" s="13"/>
      <c r="D44" s="13"/>
      <c r="E44" s="13"/>
      <c r="F44" s="14"/>
      <c r="G44" s="15"/>
      <c r="H44" s="19"/>
      <c r="I44" s="17"/>
    </row>
    <row r="45" spans="1:11" x14ac:dyDescent="0.2">
      <c r="A45" s="89"/>
      <c r="B45" s="89"/>
      <c r="C45" s="89"/>
      <c r="D45" s="89"/>
      <c r="E45" s="89"/>
      <c r="F45" s="89"/>
      <c r="G45" s="89"/>
      <c r="H45" s="90"/>
      <c r="I45" s="89"/>
    </row>
    <row r="46" spans="1:11" ht="13.5" thickBot="1" x14ac:dyDescent="0.25">
      <c r="A46" s="89"/>
      <c r="B46" s="89"/>
      <c r="C46" s="89"/>
      <c r="D46" s="89"/>
      <c r="E46" s="89"/>
      <c r="F46" s="89"/>
      <c r="G46" s="89"/>
      <c r="H46" s="90"/>
      <c r="I46" s="89"/>
    </row>
    <row r="47" spans="1:11" ht="19.5" x14ac:dyDescent="0.4">
      <c r="A47" s="162" t="s">
        <v>41</v>
      </c>
      <c r="B47" s="163"/>
      <c r="C47" s="163"/>
      <c r="D47" s="163"/>
      <c r="E47" s="163"/>
      <c r="F47" s="163"/>
      <c r="G47" s="163"/>
      <c r="H47" s="164"/>
      <c r="I47" s="89"/>
    </row>
    <row r="48" spans="1:11" s="48" customFormat="1" ht="17.25" x14ac:dyDescent="0.35">
      <c r="A48" s="139" t="s">
        <v>42</v>
      </c>
      <c r="B48" s="139"/>
      <c r="C48" s="139" t="s">
        <v>17</v>
      </c>
      <c r="D48" s="139" t="s">
        <v>43</v>
      </c>
      <c r="E48" s="139" t="s">
        <v>44</v>
      </c>
      <c r="F48" s="139" t="s">
        <v>45</v>
      </c>
      <c r="G48" s="139" t="s">
        <v>24</v>
      </c>
      <c r="H48" s="140"/>
      <c r="I48" s="89"/>
    </row>
    <row r="49" spans="1:9" ht="17.25" x14ac:dyDescent="0.35">
      <c r="A49" s="139" t="s">
        <v>122</v>
      </c>
      <c r="B49" s="139"/>
      <c r="C49" s="87" t="s">
        <v>46</v>
      </c>
      <c r="D49" s="87"/>
      <c r="E49" s="87"/>
      <c r="F49" s="87"/>
      <c r="G49" s="87" t="s">
        <v>47</v>
      </c>
      <c r="H49" s="140"/>
      <c r="I49" s="89"/>
    </row>
    <row r="50" spans="1:9" ht="17.25" x14ac:dyDescent="0.35">
      <c r="A50" s="33" t="s">
        <v>48</v>
      </c>
      <c r="B50" s="33"/>
      <c r="C50" s="35"/>
      <c r="D50" s="35" t="s">
        <v>20</v>
      </c>
      <c r="E50" s="35">
        <v>1</v>
      </c>
      <c r="F50" s="35">
        <v>0</v>
      </c>
      <c r="G50" s="35"/>
      <c r="H50" s="34"/>
    </row>
    <row r="51" spans="1:9" ht="17.25" x14ac:dyDescent="0.35">
      <c r="A51" s="33" t="s">
        <v>49</v>
      </c>
      <c r="B51" s="33"/>
      <c r="C51" s="35"/>
      <c r="D51" s="35" t="s">
        <v>20</v>
      </c>
      <c r="E51" s="35">
        <v>2</v>
      </c>
      <c r="F51" s="35">
        <v>2</v>
      </c>
      <c r="G51" s="35"/>
      <c r="H51" s="34"/>
    </row>
    <row r="52" spans="1:9" ht="17.25" x14ac:dyDescent="0.35">
      <c r="A52" s="33" t="s">
        <v>50</v>
      </c>
      <c r="B52" s="33"/>
      <c r="C52" s="35"/>
      <c r="D52" s="35" t="s">
        <v>20</v>
      </c>
      <c r="E52" s="35">
        <v>2</v>
      </c>
      <c r="F52" s="35" t="s">
        <v>51</v>
      </c>
      <c r="G52" s="35"/>
      <c r="H52" s="34"/>
    </row>
    <row r="53" spans="1:9" ht="17.25" x14ac:dyDescent="0.35">
      <c r="A53" s="33" t="s">
        <v>52</v>
      </c>
      <c r="B53" s="33"/>
      <c r="C53" s="35"/>
      <c r="D53" s="35" t="s">
        <v>20</v>
      </c>
      <c r="E53" s="35">
        <v>1</v>
      </c>
      <c r="F53" s="35" t="s">
        <v>53</v>
      </c>
      <c r="G53" s="35"/>
      <c r="H53" s="34"/>
    </row>
    <row r="54" spans="1:9" ht="17.25" x14ac:dyDescent="0.35">
      <c r="A54" s="33" t="s">
        <v>54</v>
      </c>
      <c r="B54" s="33"/>
      <c r="C54" s="35"/>
      <c r="D54" s="35" t="s">
        <v>20</v>
      </c>
      <c r="E54" s="35">
        <v>2</v>
      </c>
      <c r="F54" s="35">
        <v>4</v>
      </c>
      <c r="G54" s="35"/>
      <c r="H54" s="34"/>
    </row>
    <row r="55" spans="1:9" ht="17.25" x14ac:dyDescent="0.35">
      <c r="A55" s="45" t="s">
        <v>55</v>
      </c>
      <c r="B55" s="45"/>
      <c r="C55" s="46"/>
      <c r="D55" s="46" t="s">
        <v>20</v>
      </c>
      <c r="E55" s="46">
        <v>4</v>
      </c>
      <c r="F55" s="46" t="s">
        <v>224</v>
      </c>
      <c r="G55" s="46"/>
      <c r="H55" s="47"/>
      <c r="I55" s="48"/>
    </row>
    <row r="56" spans="1:9" ht="17.25" x14ac:dyDescent="0.35">
      <c r="A56" s="33" t="s">
        <v>59</v>
      </c>
      <c r="B56" s="33"/>
      <c r="C56" s="35"/>
      <c r="D56" s="35" t="s">
        <v>20</v>
      </c>
      <c r="E56" s="35">
        <v>1</v>
      </c>
      <c r="F56" s="35" t="s">
        <v>56</v>
      </c>
      <c r="G56" s="35"/>
      <c r="H56" s="34"/>
    </row>
    <row r="57" spans="1:9" ht="17.25" x14ac:dyDescent="0.35">
      <c r="A57" s="33" t="s">
        <v>60</v>
      </c>
      <c r="B57" s="33"/>
      <c r="C57" s="35"/>
      <c r="D57" s="35" t="s">
        <v>20</v>
      </c>
      <c r="E57" s="35">
        <v>2</v>
      </c>
      <c r="F57" s="35">
        <f>LEN(F58)</f>
        <v>11</v>
      </c>
      <c r="G57" s="35"/>
      <c r="H57" s="34"/>
    </row>
    <row r="58" spans="1:9" ht="17.25" x14ac:dyDescent="0.35">
      <c r="A58" s="139" t="s">
        <v>61</v>
      </c>
      <c r="B58" s="139"/>
      <c r="C58" s="87"/>
      <c r="D58" s="87" t="s">
        <v>57</v>
      </c>
      <c r="E58" s="87">
        <f>F57</f>
        <v>11</v>
      </c>
      <c r="F58" s="87" t="s">
        <v>124</v>
      </c>
      <c r="G58" s="87"/>
      <c r="H58" s="140" t="s">
        <v>58</v>
      </c>
    </row>
    <row r="59" spans="1:9" ht="17.25" x14ac:dyDescent="0.35">
      <c r="A59" s="33" t="s">
        <v>127</v>
      </c>
      <c r="B59" s="33"/>
      <c r="C59" s="35"/>
      <c r="D59" s="35" t="s">
        <v>20</v>
      </c>
      <c r="E59" s="35">
        <v>1</v>
      </c>
      <c r="F59" s="35" t="s">
        <v>128</v>
      </c>
      <c r="G59" s="35"/>
      <c r="H59" s="34"/>
    </row>
    <row r="60" spans="1:9" ht="17.25" x14ac:dyDescent="0.35">
      <c r="A60" s="33" t="s">
        <v>129</v>
      </c>
      <c r="B60" s="33"/>
      <c r="C60" s="35"/>
      <c r="D60" s="35" t="s">
        <v>20</v>
      </c>
      <c r="E60" s="35">
        <v>2</v>
      </c>
      <c r="F60" s="35">
        <v>4</v>
      </c>
      <c r="G60" s="35"/>
      <c r="H60" s="34"/>
    </row>
    <row r="61" spans="1:9" ht="17.25" x14ac:dyDescent="0.35">
      <c r="A61" s="45" t="s">
        <v>130</v>
      </c>
      <c r="B61" s="45"/>
      <c r="C61" s="46"/>
      <c r="D61" s="46" t="s">
        <v>20</v>
      </c>
      <c r="E61" s="46">
        <v>4</v>
      </c>
      <c r="F61" s="46" t="str">
        <f>$F$55</f>
        <v>0x05010107</v>
      </c>
      <c r="G61" s="46"/>
      <c r="H61" s="47"/>
    </row>
    <row r="62" spans="1:9" ht="17.25" x14ac:dyDescent="0.35">
      <c r="A62" s="151" t="s">
        <v>217</v>
      </c>
      <c r="B62" s="151"/>
      <c r="C62" s="152"/>
      <c r="D62" s="153" t="s">
        <v>20</v>
      </c>
      <c r="E62" s="153">
        <v>1</v>
      </c>
      <c r="F62" s="154" t="s">
        <v>218</v>
      </c>
      <c r="G62" s="153"/>
      <c r="H62" s="155"/>
    </row>
    <row r="63" spans="1:9" ht="17.25" x14ac:dyDescent="0.35">
      <c r="A63" s="151" t="s">
        <v>219</v>
      </c>
      <c r="B63" s="151"/>
      <c r="C63" s="152"/>
      <c r="D63" s="153" t="s">
        <v>20</v>
      </c>
      <c r="E63" s="153">
        <v>2</v>
      </c>
      <c r="F63" s="156">
        <v>4</v>
      </c>
      <c r="G63" s="153"/>
      <c r="H63" s="155"/>
    </row>
    <row r="64" spans="1:9" ht="138" x14ac:dyDescent="0.35">
      <c r="A64" s="151" t="s">
        <v>220</v>
      </c>
      <c r="B64" s="151"/>
      <c r="C64" s="152"/>
      <c r="D64" s="153" t="s">
        <v>20</v>
      </c>
      <c r="E64" s="153">
        <v>4</v>
      </c>
      <c r="F64" s="153" t="s">
        <v>221</v>
      </c>
      <c r="G64" s="153"/>
      <c r="H64" s="155" t="s">
        <v>222</v>
      </c>
    </row>
  </sheetData>
  <mergeCells count="3">
    <mergeCell ref="A2:I2"/>
    <mergeCell ref="A4:H4"/>
    <mergeCell ref="A47:H47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62"/>
  <sheetViews>
    <sheetView topLeftCell="A43" zoomScaleNormal="100" workbookViewId="0">
      <selection activeCell="B1" sqref="B1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23.5703125" customWidth="1"/>
    <col min="6" max="6" width="26" bestFit="1" customWidth="1"/>
    <col min="7" max="7" width="10.42578125" bestFit="1" customWidth="1"/>
    <col min="8" max="8" width="70.5703125" style="10" customWidth="1"/>
    <col min="9" max="9" width="35.42578125" bestFit="1" customWidth="1"/>
    <col min="12" max="12" width="22.7109375" bestFit="1" customWidth="1"/>
  </cols>
  <sheetData>
    <row r="1" spans="1:9" x14ac:dyDescent="0.2">
      <c r="A1" s="89"/>
      <c r="B1" s="89"/>
      <c r="C1" s="89"/>
      <c r="D1" s="89"/>
      <c r="E1" s="89"/>
      <c r="F1" s="89"/>
      <c r="G1" s="89"/>
      <c r="H1" s="90"/>
      <c r="I1" s="89"/>
    </row>
    <row r="2" spans="1:9" s="7" customFormat="1" ht="45" customHeight="1" x14ac:dyDescent="0.55000000000000004">
      <c r="A2" s="158" t="s">
        <v>111</v>
      </c>
      <c r="B2" s="158"/>
      <c r="C2" s="158"/>
      <c r="D2" s="158"/>
      <c r="E2" s="158"/>
      <c r="F2" s="158"/>
      <c r="G2" s="158"/>
      <c r="H2" s="158"/>
      <c r="I2" s="158"/>
    </row>
    <row r="3" spans="1:9" ht="13.5" thickBot="1" x14ac:dyDescent="0.25">
      <c r="A3" s="91"/>
      <c r="B3" s="89"/>
      <c r="C3" s="89"/>
      <c r="D3" s="89"/>
      <c r="E3" s="89"/>
      <c r="F3" s="89"/>
      <c r="G3" s="89"/>
      <c r="H3" s="90"/>
      <c r="I3" s="89"/>
    </row>
    <row r="4" spans="1:9" s="8" customFormat="1" ht="20.25" thickBot="1" x14ac:dyDescent="0.45">
      <c r="A4" s="159" t="s">
        <v>65</v>
      </c>
      <c r="B4" s="160"/>
      <c r="C4" s="160"/>
      <c r="D4" s="160"/>
      <c r="E4" s="160"/>
      <c r="F4" s="160"/>
      <c r="G4" s="160"/>
      <c r="H4" s="161"/>
      <c r="I4" s="92"/>
    </row>
    <row r="5" spans="1:9" s="37" customFormat="1" ht="15.75" thickBot="1" x14ac:dyDescent="0.35">
      <c r="A5" s="93" t="s">
        <v>6</v>
      </c>
      <c r="B5" s="94" t="s">
        <v>5</v>
      </c>
      <c r="C5" s="93" t="s">
        <v>17</v>
      </c>
      <c r="D5" s="93" t="s">
        <v>18</v>
      </c>
      <c r="E5" s="93" t="s">
        <v>7</v>
      </c>
      <c r="F5" s="93" t="s">
        <v>19</v>
      </c>
      <c r="G5" s="95" t="s">
        <v>24</v>
      </c>
      <c r="H5" s="96" t="s">
        <v>8</v>
      </c>
      <c r="I5" s="42"/>
    </row>
    <row r="6" spans="1:9" s="2" customFormat="1" ht="17.25" x14ac:dyDescent="0.35">
      <c r="A6" s="141" t="s">
        <v>86</v>
      </c>
      <c r="B6" s="98">
        <v>4398</v>
      </c>
      <c r="C6" s="99" t="s">
        <v>20</v>
      </c>
      <c r="D6" s="100">
        <v>1</v>
      </c>
      <c r="E6" s="141" t="s">
        <v>87</v>
      </c>
      <c r="F6" s="99">
        <v>1</v>
      </c>
      <c r="G6" s="104" t="s">
        <v>27</v>
      </c>
      <c r="H6" s="142"/>
      <c r="I6" s="100"/>
    </row>
    <row r="7" spans="1:9" s="2" customFormat="1" ht="17.25" x14ac:dyDescent="0.35">
      <c r="A7" s="141" t="s">
        <v>90</v>
      </c>
      <c r="B7" s="98">
        <v>6876</v>
      </c>
      <c r="C7" s="99"/>
      <c r="D7" s="100"/>
      <c r="E7" s="141"/>
      <c r="F7" s="99"/>
      <c r="G7" s="104" t="s">
        <v>27</v>
      </c>
      <c r="H7" s="142"/>
      <c r="I7" s="100"/>
    </row>
    <row r="8" spans="1:9" s="2" customFormat="1" ht="17.25" x14ac:dyDescent="0.35">
      <c r="A8" s="141"/>
      <c r="B8" s="98"/>
      <c r="C8" s="99" t="s">
        <v>20</v>
      </c>
      <c r="D8" s="100">
        <v>1</v>
      </c>
      <c r="E8" s="141" t="s">
        <v>91</v>
      </c>
      <c r="F8" s="99">
        <v>0</v>
      </c>
      <c r="G8" s="104"/>
      <c r="H8" s="142"/>
      <c r="I8" s="100"/>
    </row>
    <row r="9" spans="1:9" s="2" customFormat="1" ht="17.25" x14ac:dyDescent="0.35">
      <c r="A9" s="141"/>
      <c r="B9" s="98"/>
      <c r="C9" s="99" t="s">
        <v>20</v>
      </c>
      <c r="D9" s="100">
        <v>1</v>
      </c>
      <c r="E9" s="141" t="s">
        <v>92</v>
      </c>
      <c r="F9" s="99">
        <v>0</v>
      </c>
      <c r="G9" s="104"/>
      <c r="H9" s="142"/>
      <c r="I9" s="100"/>
    </row>
    <row r="10" spans="1:9" s="2" customFormat="1" ht="17.25" x14ac:dyDescent="0.35">
      <c r="A10" s="141"/>
      <c r="B10" s="98"/>
      <c r="C10" s="99" t="s">
        <v>20</v>
      </c>
      <c r="D10" s="100">
        <v>1</v>
      </c>
      <c r="E10" s="141" t="s">
        <v>93</v>
      </c>
      <c r="F10" s="99">
        <v>0</v>
      </c>
      <c r="G10" s="104"/>
      <c r="H10" s="142"/>
      <c r="I10" s="100"/>
    </row>
    <row r="11" spans="1:9" s="2" customFormat="1" ht="17.25" x14ac:dyDescent="0.35">
      <c r="A11" s="141"/>
      <c r="B11" s="98"/>
      <c r="C11" s="99" t="s">
        <v>20</v>
      </c>
      <c r="D11" s="100">
        <v>1</v>
      </c>
      <c r="E11" s="141" t="s">
        <v>94</v>
      </c>
      <c r="F11" s="99">
        <v>0</v>
      </c>
      <c r="G11" s="104"/>
      <c r="H11" s="142"/>
      <c r="I11" s="100"/>
    </row>
    <row r="12" spans="1:9" s="2" customFormat="1" ht="17.25" x14ac:dyDescent="0.35">
      <c r="A12" s="141"/>
      <c r="B12" s="98"/>
      <c r="C12" s="99" t="s">
        <v>20</v>
      </c>
      <c r="D12" s="100">
        <v>1</v>
      </c>
      <c r="E12" s="141" t="s">
        <v>95</v>
      </c>
      <c r="F12" s="99">
        <v>5</v>
      </c>
      <c r="G12" s="104"/>
      <c r="H12" s="142"/>
      <c r="I12" s="100"/>
    </row>
    <row r="13" spans="1:9" x14ac:dyDescent="0.2">
      <c r="A13" s="89"/>
      <c r="B13" s="89"/>
      <c r="C13" s="89"/>
      <c r="D13" s="89"/>
      <c r="E13" s="89"/>
      <c r="F13" s="89"/>
      <c r="G13" s="89"/>
      <c r="H13" s="90"/>
      <c r="I13" s="89"/>
    </row>
    <row r="14" spans="1:9" s="2" customFormat="1" ht="15.75" thickBot="1" x14ac:dyDescent="0.35">
      <c r="A14" s="106"/>
      <c r="B14" s="32"/>
      <c r="C14" s="106"/>
      <c r="D14" s="106"/>
      <c r="E14" s="106"/>
      <c r="F14" s="106"/>
      <c r="G14" s="107"/>
      <c r="H14" s="108"/>
      <c r="I14" s="100"/>
    </row>
    <row r="15" spans="1:9" s="2" customFormat="1" ht="15.75" thickBot="1" x14ac:dyDescent="0.35">
      <c r="A15" s="109"/>
      <c r="B15" s="109"/>
      <c r="C15" s="109"/>
      <c r="D15" s="109"/>
      <c r="E15" s="109"/>
      <c r="F15" s="109"/>
      <c r="G15" s="109"/>
      <c r="H15" s="110"/>
      <c r="I15" s="111"/>
    </row>
    <row r="16" spans="1:9" s="8" customFormat="1" ht="20.25" thickBot="1" x14ac:dyDescent="0.45">
      <c r="A16" s="112" t="s">
        <v>23</v>
      </c>
      <c r="B16" s="113"/>
      <c r="C16" s="113"/>
      <c r="D16" s="113"/>
      <c r="E16" s="113"/>
      <c r="F16" s="113"/>
      <c r="G16" s="113"/>
      <c r="H16" s="113"/>
      <c r="I16" s="114"/>
    </row>
    <row r="17" spans="1:11" ht="15.75" thickBot="1" x14ac:dyDescent="0.35">
      <c r="A17" s="93" t="s">
        <v>9</v>
      </c>
      <c r="B17" s="93" t="s">
        <v>10</v>
      </c>
      <c r="C17" s="93" t="s">
        <v>17</v>
      </c>
      <c r="D17" s="94" t="s">
        <v>26</v>
      </c>
      <c r="E17" s="93" t="s">
        <v>25</v>
      </c>
      <c r="F17" s="93" t="s">
        <v>19</v>
      </c>
      <c r="G17" s="115" t="s">
        <v>24</v>
      </c>
      <c r="H17" s="96" t="s">
        <v>28</v>
      </c>
      <c r="I17" s="116" t="s">
        <v>11</v>
      </c>
    </row>
    <row r="18" spans="1:11" x14ac:dyDescent="0.2">
      <c r="A18" s="89"/>
      <c r="B18" s="89"/>
      <c r="C18" s="89"/>
      <c r="D18" s="89"/>
      <c r="E18" s="89"/>
      <c r="F18" s="89"/>
      <c r="G18" s="89"/>
      <c r="H18" s="90"/>
      <c r="I18" s="89"/>
    </row>
    <row r="19" spans="1:11" s="27" customFormat="1" ht="15" x14ac:dyDescent="0.3">
      <c r="A19" s="117" t="s">
        <v>32</v>
      </c>
      <c r="B19" s="118"/>
      <c r="C19" s="118"/>
      <c r="D19" s="118"/>
      <c r="E19" s="118"/>
      <c r="F19" s="118"/>
      <c r="G19" s="118"/>
      <c r="H19" s="119"/>
      <c r="I19" s="120"/>
    </row>
    <row r="20" spans="1:11" s="18" customFormat="1" ht="15" x14ac:dyDescent="0.3">
      <c r="A20" s="13"/>
      <c r="B20" s="13"/>
      <c r="C20" s="13"/>
      <c r="D20" s="14"/>
      <c r="E20" s="13"/>
      <c r="F20" s="13"/>
      <c r="G20" s="15"/>
      <c r="H20" s="16"/>
      <c r="I20" s="17"/>
    </row>
    <row r="21" spans="1:11" s="20" customFormat="1" ht="15" x14ac:dyDescent="0.3">
      <c r="A21" s="21" t="s">
        <v>33</v>
      </c>
      <c r="B21" s="21"/>
      <c r="C21" s="21"/>
      <c r="D21" s="22"/>
      <c r="E21" s="21"/>
      <c r="F21" s="21"/>
      <c r="G21" s="23"/>
      <c r="H21" s="24"/>
      <c r="I21" s="25"/>
    </row>
    <row r="22" spans="1:11" s="18" customFormat="1" ht="15" x14ac:dyDescent="0.3">
      <c r="A22" s="13"/>
      <c r="B22" s="13"/>
      <c r="C22" s="13"/>
      <c r="D22" s="14"/>
      <c r="E22" s="13"/>
      <c r="F22" s="13"/>
      <c r="G22" s="15"/>
      <c r="H22" s="16"/>
      <c r="I22" s="17"/>
    </row>
    <row r="23" spans="1:11" s="27" customFormat="1" ht="15" x14ac:dyDescent="0.3">
      <c r="A23" s="26" t="s">
        <v>34</v>
      </c>
      <c r="B23" s="121"/>
      <c r="C23" s="121"/>
      <c r="D23" s="121"/>
      <c r="E23" s="121"/>
      <c r="F23" s="121"/>
      <c r="G23" s="121" t="s">
        <v>4</v>
      </c>
      <c r="H23" s="122"/>
      <c r="I23" s="121"/>
    </row>
    <row r="24" spans="1:11" s="18" customFormat="1" ht="15" x14ac:dyDescent="0.3">
      <c r="A24" s="13"/>
      <c r="B24" s="13"/>
      <c r="C24" s="13"/>
      <c r="D24" s="14"/>
      <c r="E24" s="13"/>
      <c r="F24" s="13"/>
      <c r="G24" s="15"/>
      <c r="H24" s="16"/>
      <c r="I24" s="17"/>
    </row>
    <row r="25" spans="1:11" ht="15" x14ac:dyDescent="0.3">
      <c r="A25" s="28" t="s">
        <v>35</v>
      </c>
      <c r="B25" s="123"/>
      <c r="C25" s="123"/>
      <c r="D25" s="123"/>
      <c r="E25" s="123"/>
      <c r="F25" s="123"/>
      <c r="G25" s="123"/>
      <c r="H25" s="124"/>
      <c r="I25" s="123"/>
    </row>
    <row r="26" spans="1:11" ht="15" x14ac:dyDescent="0.3">
      <c r="A26" s="13"/>
      <c r="B26" s="13"/>
      <c r="C26" s="13"/>
      <c r="D26" s="13"/>
      <c r="E26" s="13"/>
      <c r="F26" s="14"/>
      <c r="G26" s="15"/>
      <c r="H26" s="19"/>
      <c r="I26" s="17"/>
    </row>
    <row r="27" spans="1:11" ht="15" x14ac:dyDescent="0.3">
      <c r="A27" s="29" t="s">
        <v>36</v>
      </c>
      <c r="B27" s="125"/>
      <c r="C27" s="125"/>
      <c r="D27" s="125"/>
      <c r="E27" s="125"/>
      <c r="F27" s="125"/>
      <c r="G27" s="125"/>
      <c r="H27" s="126"/>
      <c r="I27" s="125"/>
    </row>
    <row r="28" spans="1:11" ht="15" x14ac:dyDescent="0.3">
      <c r="A28" s="13"/>
      <c r="B28" s="13"/>
      <c r="C28" s="13"/>
      <c r="D28" s="13"/>
      <c r="E28" s="13"/>
      <c r="F28" s="14"/>
      <c r="G28" s="15"/>
      <c r="H28" s="19"/>
      <c r="I28" s="17"/>
    </row>
    <row r="29" spans="1:11" ht="15" x14ac:dyDescent="0.3">
      <c r="A29" s="30" t="s">
        <v>38</v>
      </c>
      <c r="B29" s="127"/>
      <c r="C29" s="127"/>
      <c r="D29" s="127"/>
      <c r="E29" s="127"/>
      <c r="F29" s="127"/>
      <c r="G29" s="127" t="s">
        <v>4</v>
      </c>
      <c r="H29" s="128"/>
      <c r="I29" s="127"/>
    </row>
    <row r="30" spans="1:11" ht="15" x14ac:dyDescent="0.3">
      <c r="A30" s="13"/>
      <c r="B30" s="13"/>
      <c r="C30" s="13"/>
      <c r="D30" s="13"/>
      <c r="E30" s="13"/>
      <c r="F30" s="14"/>
      <c r="G30" s="15" t="s">
        <v>4</v>
      </c>
      <c r="H30" s="19"/>
      <c r="I30" s="17"/>
    </row>
    <row r="31" spans="1:11" ht="15" x14ac:dyDescent="0.3">
      <c r="A31" s="146" t="s">
        <v>37</v>
      </c>
      <c r="B31" s="147"/>
      <c r="C31" s="147"/>
      <c r="D31" s="147"/>
      <c r="E31" s="147"/>
      <c r="F31" s="147"/>
      <c r="G31" s="147"/>
      <c r="H31" s="148"/>
      <c r="I31" s="149"/>
    </row>
    <row r="32" spans="1:11" s="53" customFormat="1" ht="51.75" x14ac:dyDescent="0.35">
      <c r="A32" s="150" t="s">
        <v>71</v>
      </c>
      <c r="B32" s="136" t="s">
        <v>72</v>
      </c>
      <c r="C32" s="137" t="s">
        <v>21</v>
      </c>
      <c r="D32" s="138"/>
      <c r="E32" s="138"/>
      <c r="F32" s="137"/>
      <c r="G32" s="138" t="s">
        <v>27</v>
      </c>
      <c r="H32" s="136" t="s">
        <v>114</v>
      </c>
      <c r="I32" s="144" t="s">
        <v>73</v>
      </c>
      <c r="J32" s="54"/>
      <c r="K32" s="54"/>
    </row>
    <row r="33" spans="1:11" s="53" customFormat="1" ht="17.25" x14ac:dyDescent="0.35">
      <c r="A33" s="150" t="s">
        <v>89</v>
      </c>
      <c r="B33" s="136" t="s">
        <v>88</v>
      </c>
      <c r="C33" s="137" t="s">
        <v>85</v>
      </c>
      <c r="D33" s="138"/>
      <c r="E33" s="138"/>
      <c r="F33" s="137"/>
      <c r="G33" s="138" t="s">
        <v>27</v>
      </c>
      <c r="H33" s="136"/>
      <c r="I33" s="144">
        <v>65683</v>
      </c>
      <c r="J33" s="54"/>
      <c r="K33" s="54"/>
    </row>
    <row r="34" spans="1:11" s="53" customFormat="1" ht="17.25" x14ac:dyDescent="0.35">
      <c r="A34" s="150"/>
      <c r="B34" s="136"/>
      <c r="C34" s="137"/>
      <c r="D34" s="138" t="s">
        <v>20</v>
      </c>
      <c r="E34" s="138">
        <v>1</v>
      </c>
      <c r="F34" s="137">
        <v>2</v>
      </c>
      <c r="G34" s="138"/>
      <c r="H34" s="136"/>
      <c r="I34" s="144"/>
      <c r="J34" s="54"/>
      <c r="K34" s="54"/>
    </row>
    <row r="35" spans="1:11" s="53" customFormat="1" ht="17.25" x14ac:dyDescent="0.35">
      <c r="A35" s="150"/>
      <c r="B35" s="137"/>
      <c r="C35" s="137"/>
      <c r="D35" s="138"/>
      <c r="E35" s="137"/>
      <c r="F35" s="137"/>
      <c r="G35" s="138"/>
      <c r="H35" s="136"/>
      <c r="I35" s="144"/>
      <c r="J35" s="54"/>
      <c r="K35" s="54"/>
    </row>
    <row r="36" spans="1:11" s="51" customFormat="1" ht="17.25" x14ac:dyDescent="0.35">
      <c r="A36" s="143" t="s">
        <v>100</v>
      </c>
      <c r="B36" s="130" t="s">
        <v>101</v>
      </c>
      <c r="C36" s="131" t="s">
        <v>85</v>
      </c>
      <c r="D36" s="131"/>
      <c r="E36" s="130"/>
      <c r="F36" s="131"/>
      <c r="G36" s="131" t="s">
        <v>27</v>
      </c>
      <c r="H36" s="132"/>
      <c r="I36" s="145">
        <v>70266</v>
      </c>
    </row>
    <row r="37" spans="1:11" s="51" customFormat="1" ht="17.25" x14ac:dyDescent="0.35">
      <c r="A37" s="143"/>
      <c r="B37" s="130"/>
      <c r="C37" s="131"/>
      <c r="D37" s="131" t="s">
        <v>20</v>
      </c>
      <c r="E37" s="130">
        <v>1</v>
      </c>
      <c r="F37" s="131">
        <v>0</v>
      </c>
      <c r="G37" s="131"/>
      <c r="H37" s="132"/>
      <c r="I37" s="145"/>
    </row>
    <row r="38" spans="1:11" ht="17.25" x14ac:dyDescent="0.35">
      <c r="A38" s="143" t="s">
        <v>156</v>
      </c>
      <c r="B38" s="130" t="s">
        <v>157</v>
      </c>
      <c r="C38" s="131" t="s">
        <v>85</v>
      </c>
      <c r="D38" s="131"/>
      <c r="E38" s="130"/>
      <c r="F38" s="131"/>
      <c r="G38" s="131" t="s">
        <v>27</v>
      </c>
      <c r="H38" s="132"/>
      <c r="I38" s="145">
        <v>70287</v>
      </c>
    </row>
    <row r="39" spans="1:11" ht="17.25" x14ac:dyDescent="0.35">
      <c r="A39" s="143"/>
      <c r="B39" s="130"/>
      <c r="C39" s="131"/>
      <c r="D39" s="131" t="s">
        <v>20</v>
      </c>
      <c r="E39" s="130">
        <v>1</v>
      </c>
      <c r="F39" s="131">
        <v>1</v>
      </c>
      <c r="G39" s="131"/>
      <c r="H39" s="132"/>
      <c r="I39" s="145"/>
    </row>
    <row r="40" spans="1:11" ht="17.25" x14ac:dyDescent="0.35">
      <c r="A40" s="143" t="s">
        <v>173</v>
      </c>
      <c r="B40" s="130" t="s">
        <v>172</v>
      </c>
      <c r="C40" s="131" t="s">
        <v>21</v>
      </c>
      <c r="D40" s="131"/>
      <c r="E40" s="130"/>
      <c r="F40" s="131"/>
      <c r="G40" s="131" t="s">
        <v>27</v>
      </c>
      <c r="H40" s="132" t="s">
        <v>188</v>
      </c>
      <c r="I40" s="145"/>
    </row>
    <row r="41" spans="1:11" ht="17.25" x14ac:dyDescent="0.35">
      <c r="A41" s="129" t="s">
        <v>170</v>
      </c>
      <c r="B41" s="130" t="s">
        <v>169</v>
      </c>
      <c r="C41" s="131" t="s">
        <v>85</v>
      </c>
      <c r="D41" s="131"/>
      <c r="E41" s="130"/>
      <c r="F41" s="131"/>
      <c r="G41" s="131" t="s">
        <v>168</v>
      </c>
      <c r="H41" s="132"/>
      <c r="I41" s="134">
        <v>73502</v>
      </c>
    </row>
    <row r="42" spans="1:11" ht="17.25" x14ac:dyDescent="0.35">
      <c r="A42" s="129"/>
      <c r="B42" s="130"/>
      <c r="C42" s="131"/>
      <c r="D42" s="131" t="s">
        <v>20</v>
      </c>
      <c r="E42" s="130">
        <v>1</v>
      </c>
      <c r="F42" s="131">
        <v>62</v>
      </c>
      <c r="G42" s="131"/>
      <c r="H42" s="132"/>
      <c r="I42" s="134"/>
    </row>
    <row r="43" spans="1:11" x14ac:dyDescent="0.2">
      <c r="A43" s="89"/>
      <c r="B43" s="89"/>
      <c r="C43" s="89"/>
      <c r="D43" s="89"/>
      <c r="E43" s="89"/>
      <c r="F43" s="89"/>
      <c r="G43" s="89"/>
      <c r="H43" s="90"/>
      <c r="I43" s="89"/>
    </row>
    <row r="44" spans="1:11" ht="13.5" thickBot="1" x14ac:dyDescent="0.25">
      <c r="A44" s="89"/>
      <c r="B44" s="89"/>
      <c r="C44" s="89"/>
      <c r="D44" s="89"/>
      <c r="E44" s="89"/>
      <c r="F44" s="89"/>
      <c r="G44" s="89"/>
      <c r="H44" s="90"/>
      <c r="I44" s="89"/>
    </row>
    <row r="45" spans="1:11" ht="19.5" x14ac:dyDescent="0.4">
      <c r="A45" s="162" t="s">
        <v>41</v>
      </c>
      <c r="B45" s="163"/>
      <c r="C45" s="163"/>
      <c r="D45" s="163"/>
      <c r="E45" s="163"/>
      <c r="F45" s="163"/>
      <c r="G45" s="163"/>
      <c r="H45" s="164"/>
      <c r="I45" s="89"/>
    </row>
    <row r="46" spans="1:11" s="48" customFormat="1" ht="17.25" x14ac:dyDescent="0.35">
      <c r="A46" s="139" t="s">
        <v>42</v>
      </c>
      <c r="B46" s="139"/>
      <c r="C46" s="139" t="s">
        <v>17</v>
      </c>
      <c r="D46" s="139" t="s">
        <v>43</v>
      </c>
      <c r="E46" s="139" t="s">
        <v>44</v>
      </c>
      <c r="F46" s="139" t="s">
        <v>45</v>
      </c>
      <c r="G46" s="139" t="s">
        <v>24</v>
      </c>
      <c r="H46" s="140"/>
      <c r="I46" s="89"/>
    </row>
    <row r="47" spans="1:11" ht="17.25" x14ac:dyDescent="0.35">
      <c r="A47" s="139" t="s">
        <v>122</v>
      </c>
      <c r="B47" s="139"/>
      <c r="C47" s="87" t="s">
        <v>46</v>
      </c>
      <c r="D47" s="87"/>
      <c r="E47" s="87"/>
      <c r="F47" s="87"/>
      <c r="G47" s="87" t="s">
        <v>47</v>
      </c>
      <c r="H47" s="140"/>
      <c r="I47" s="89"/>
    </row>
    <row r="48" spans="1:11" ht="17.25" x14ac:dyDescent="0.35">
      <c r="A48" s="33" t="s">
        <v>48</v>
      </c>
      <c r="B48" s="33"/>
      <c r="C48" s="35"/>
      <c r="D48" s="35" t="s">
        <v>20</v>
      </c>
      <c r="E48" s="35">
        <v>1</v>
      </c>
      <c r="F48" s="35">
        <v>0</v>
      </c>
      <c r="G48" s="35"/>
      <c r="H48" s="34"/>
    </row>
    <row r="49" spans="1:9" ht="17.25" x14ac:dyDescent="0.35">
      <c r="A49" s="33" t="s">
        <v>49</v>
      </c>
      <c r="B49" s="33"/>
      <c r="C49" s="35"/>
      <c r="D49" s="35" t="s">
        <v>20</v>
      </c>
      <c r="E49" s="35">
        <v>2</v>
      </c>
      <c r="F49" s="35">
        <v>2</v>
      </c>
      <c r="G49" s="35"/>
      <c r="H49" s="34"/>
    </row>
    <row r="50" spans="1:9" ht="17.25" x14ac:dyDescent="0.35">
      <c r="A50" s="33" t="s">
        <v>50</v>
      </c>
      <c r="B50" s="33"/>
      <c r="C50" s="35"/>
      <c r="D50" s="35" t="s">
        <v>20</v>
      </c>
      <c r="E50" s="35">
        <v>2</v>
      </c>
      <c r="F50" s="35" t="s">
        <v>51</v>
      </c>
      <c r="G50" s="35"/>
      <c r="H50" s="34"/>
    </row>
    <row r="51" spans="1:9" ht="17.25" x14ac:dyDescent="0.35">
      <c r="A51" s="33" t="s">
        <v>52</v>
      </c>
      <c r="B51" s="33"/>
      <c r="C51" s="35"/>
      <c r="D51" s="35" t="s">
        <v>20</v>
      </c>
      <c r="E51" s="35">
        <v>1</v>
      </c>
      <c r="F51" s="35" t="s">
        <v>53</v>
      </c>
      <c r="G51" s="35"/>
      <c r="H51" s="34"/>
    </row>
    <row r="52" spans="1:9" ht="17.25" x14ac:dyDescent="0.35">
      <c r="A52" s="33" t="s">
        <v>54</v>
      </c>
      <c r="B52" s="33"/>
      <c r="C52" s="35"/>
      <c r="D52" s="35" t="s">
        <v>20</v>
      </c>
      <c r="E52" s="35">
        <v>2</v>
      </c>
      <c r="F52" s="35">
        <v>4</v>
      </c>
      <c r="G52" s="35"/>
      <c r="H52" s="34"/>
    </row>
    <row r="53" spans="1:9" ht="17.25" x14ac:dyDescent="0.35">
      <c r="A53" s="45" t="s">
        <v>55</v>
      </c>
      <c r="B53" s="45"/>
      <c r="C53" s="46"/>
      <c r="D53" s="46" t="s">
        <v>20</v>
      </c>
      <c r="E53" s="46">
        <v>4</v>
      </c>
      <c r="F53" s="46" t="s">
        <v>225</v>
      </c>
      <c r="G53" s="46"/>
      <c r="H53" s="47"/>
      <c r="I53" s="48"/>
    </row>
    <row r="54" spans="1:9" ht="17.25" x14ac:dyDescent="0.35">
      <c r="A54" s="33" t="s">
        <v>59</v>
      </c>
      <c r="B54" s="33"/>
      <c r="C54" s="35"/>
      <c r="D54" s="35" t="s">
        <v>20</v>
      </c>
      <c r="E54" s="35">
        <v>1</v>
      </c>
      <c r="F54" s="35" t="s">
        <v>56</v>
      </c>
      <c r="G54" s="35"/>
      <c r="H54" s="34"/>
    </row>
    <row r="55" spans="1:9" ht="17.25" x14ac:dyDescent="0.35">
      <c r="A55" s="33" t="s">
        <v>60</v>
      </c>
      <c r="B55" s="33"/>
      <c r="C55" s="35"/>
      <c r="D55" s="35" t="s">
        <v>20</v>
      </c>
      <c r="E55" s="35">
        <v>2</v>
      </c>
      <c r="F55" s="35">
        <f>LEN(F56)</f>
        <v>10</v>
      </c>
      <c r="G55" s="35"/>
      <c r="H55" s="34"/>
    </row>
    <row r="56" spans="1:9" ht="17.25" x14ac:dyDescent="0.35">
      <c r="A56" s="33" t="s">
        <v>61</v>
      </c>
      <c r="B56" s="33"/>
      <c r="C56" s="35"/>
      <c r="D56" s="35" t="s">
        <v>57</v>
      </c>
      <c r="E56" s="35">
        <f>F55</f>
        <v>10</v>
      </c>
      <c r="F56" s="35" t="s">
        <v>125</v>
      </c>
      <c r="G56" s="35"/>
      <c r="H56" s="36" t="s">
        <v>58</v>
      </c>
    </row>
    <row r="57" spans="1:9" ht="17.25" x14ac:dyDescent="0.35">
      <c r="A57" s="33" t="s">
        <v>127</v>
      </c>
      <c r="B57" s="33"/>
      <c r="C57" s="35"/>
      <c r="D57" s="35" t="s">
        <v>20</v>
      </c>
      <c r="E57" s="35">
        <v>1</v>
      </c>
      <c r="F57" s="35" t="s">
        <v>128</v>
      </c>
      <c r="G57" s="35"/>
      <c r="H57" s="34"/>
    </row>
    <row r="58" spans="1:9" ht="17.25" x14ac:dyDescent="0.35">
      <c r="A58" s="33" t="s">
        <v>129</v>
      </c>
      <c r="B58" s="33"/>
      <c r="C58" s="35"/>
      <c r="D58" s="35" t="s">
        <v>20</v>
      </c>
      <c r="E58" s="35">
        <v>2</v>
      </c>
      <c r="F58" s="35">
        <v>4</v>
      </c>
      <c r="G58" s="35"/>
      <c r="H58" s="34"/>
    </row>
    <row r="59" spans="1:9" ht="17.25" x14ac:dyDescent="0.35">
      <c r="A59" s="45" t="s">
        <v>130</v>
      </c>
      <c r="B59" s="45"/>
      <c r="C59" s="46"/>
      <c r="D59" s="46" t="s">
        <v>20</v>
      </c>
      <c r="E59" s="46">
        <v>4</v>
      </c>
      <c r="F59" s="46" t="str">
        <f>$F$53</f>
        <v>0x05010117</v>
      </c>
      <c r="G59" s="46"/>
      <c r="H59" s="47"/>
    </row>
    <row r="60" spans="1:9" ht="17.25" x14ac:dyDescent="0.35">
      <c r="A60" s="151" t="s">
        <v>217</v>
      </c>
      <c r="B60" s="151"/>
      <c r="C60" s="152"/>
      <c r="D60" s="153" t="s">
        <v>20</v>
      </c>
      <c r="E60" s="153">
        <v>1</v>
      </c>
      <c r="F60" s="154" t="s">
        <v>218</v>
      </c>
      <c r="G60" s="153"/>
      <c r="H60" s="155"/>
    </row>
    <row r="61" spans="1:9" ht="17.25" x14ac:dyDescent="0.35">
      <c r="A61" s="151" t="s">
        <v>219</v>
      </c>
      <c r="B61" s="151"/>
      <c r="C61" s="152"/>
      <c r="D61" s="153" t="s">
        <v>20</v>
      </c>
      <c r="E61" s="153">
        <v>2</v>
      </c>
      <c r="F61" s="156">
        <v>4</v>
      </c>
      <c r="G61" s="153"/>
      <c r="H61" s="155"/>
    </row>
    <row r="62" spans="1:9" ht="138" x14ac:dyDescent="0.35">
      <c r="A62" s="151" t="s">
        <v>220</v>
      </c>
      <c r="B62" s="151"/>
      <c r="C62" s="152"/>
      <c r="D62" s="153" t="s">
        <v>20</v>
      </c>
      <c r="E62" s="153">
        <v>4</v>
      </c>
      <c r="F62" s="153" t="s">
        <v>221</v>
      </c>
      <c r="G62" s="153"/>
      <c r="H62" s="155" t="s">
        <v>222</v>
      </c>
    </row>
  </sheetData>
  <mergeCells count="3">
    <mergeCell ref="A2:I2"/>
    <mergeCell ref="A4:H4"/>
    <mergeCell ref="A45:H45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69"/>
  <sheetViews>
    <sheetView topLeftCell="A29" zoomScaleNormal="100" workbookViewId="0">
      <selection activeCell="F60" sqref="F60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14.42578125" bestFit="1" customWidth="1"/>
    <col min="6" max="6" width="26" bestFit="1" customWidth="1"/>
    <col min="7" max="7" width="10.42578125" bestFit="1" customWidth="1"/>
    <col min="8" max="8" width="73.7109375" style="10" bestFit="1" customWidth="1"/>
    <col min="9" max="9" width="35.42578125" bestFit="1" customWidth="1"/>
    <col min="12" max="12" width="22.7109375" bestFit="1" customWidth="1"/>
  </cols>
  <sheetData>
    <row r="1" spans="1:9" x14ac:dyDescent="0.2">
      <c r="A1" s="89"/>
      <c r="B1" s="89"/>
      <c r="C1" s="89"/>
      <c r="D1" s="89"/>
      <c r="E1" s="89"/>
      <c r="F1" s="89"/>
      <c r="G1" s="89"/>
      <c r="H1" s="90"/>
      <c r="I1" s="89"/>
    </row>
    <row r="2" spans="1:9" s="7" customFormat="1" ht="45" customHeight="1" x14ac:dyDescent="0.55000000000000004">
      <c r="A2" s="158" t="s">
        <v>112</v>
      </c>
      <c r="B2" s="158"/>
      <c r="C2" s="158"/>
      <c r="D2" s="158"/>
      <c r="E2" s="158"/>
      <c r="F2" s="158"/>
      <c r="G2" s="158"/>
      <c r="H2" s="158"/>
      <c r="I2" s="158"/>
    </row>
    <row r="3" spans="1:9" ht="13.5" thickBot="1" x14ac:dyDescent="0.25">
      <c r="A3" s="91"/>
      <c r="B3" s="89"/>
      <c r="C3" s="89"/>
      <c r="D3" s="89"/>
      <c r="E3" s="89"/>
      <c r="F3" s="89"/>
      <c r="G3" s="89"/>
      <c r="H3" s="90"/>
      <c r="I3" s="89"/>
    </row>
    <row r="4" spans="1:9" s="8" customFormat="1" ht="20.25" thickBot="1" x14ac:dyDescent="0.45">
      <c r="A4" s="159" t="s">
        <v>65</v>
      </c>
      <c r="B4" s="160"/>
      <c r="C4" s="160"/>
      <c r="D4" s="160"/>
      <c r="E4" s="160"/>
      <c r="F4" s="160"/>
      <c r="G4" s="160"/>
      <c r="H4" s="161"/>
      <c r="I4" s="92"/>
    </row>
    <row r="5" spans="1:9" s="37" customFormat="1" ht="15.75" thickBot="1" x14ac:dyDescent="0.35">
      <c r="A5" s="93" t="s">
        <v>6</v>
      </c>
      <c r="B5" s="94" t="s">
        <v>5</v>
      </c>
      <c r="C5" s="93" t="s">
        <v>17</v>
      </c>
      <c r="D5" s="93" t="s">
        <v>18</v>
      </c>
      <c r="E5" s="93" t="s">
        <v>7</v>
      </c>
      <c r="F5" s="93" t="s">
        <v>19</v>
      </c>
      <c r="G5" s="95" t="s">
        <v>24</v>
      </c>
      <c r="H5" s="96" t="s">
        <v>8</v>
      </c>
      <c r="I5" s="42"/>
    </row>
    <row r="6" spans="1:9" s="2" customFormat="1" ht="17.25" x14ac:dyDescent="0.35">
      <c r="A6" s="141" t="s">
        <v>86</v>
      </c>
      <c r="B6" s="98">
        <v>4398</v>
      </c>
      <c r="C6" s="99" t="s">
        <v>20</v>
      </c>
      <c r="D6" s="100">
        <v>1</v>
      </c>
      <c r="E6" s="141" t="s">
        <v>87</v>
      </c>
      <c r="F6" s="99">
        <v>0</v>
      </c>
      <c r="G6" s="104" t="s">
        <v>27</v>
      </c>
      <c r="H6" s="142"/>
      <c r="I6" s="100"/>
    </row>
    <row r="7" spans="1:9" s="49" customFormat="1" ht="17.25" x14ac:dyDescent="0.35">
      <c r="A7" s="141" t="s">
        <v>90</v>
      </c>
      <c r="B7" s="98">
        <v>6876</v>
      </c>
      <c r="C7" s="99"/>
      <c r="D7" s="100"/>
      <c r="E7" s="141"/>
      <c r="F7" s="99"/>
      <c r="G7" s="104" t="s">
        <v>27</v>
      </c>
      <c r="H7" s="142"/>
      <c r="I7" s="100"/>
    </row>
    <row r="8" spans="1:9" s="49" customFormat="1" ht="17.25" x14ac:dyDescent="0.35">
      <c r="A8" s="141"/>
      <c r="B8" s="98"/>
      <c r="C8" s="99" t="s">
        <v>20</v>
      </c>
      <c r="D8" s="100">
        <v>1</v>
      </c>
      <c r="E8" s="141" t="s">
        <v>91</v>
      </c>
      <c r="F8" s="99">
        <v>0</v>
      </c>
      <c r="G8" s="104"/>
      <c r="H8" s="142"/>
      <c r="I8" s="100"/>
    </row>
    <row r="9" spans="1:9" s="49" customFormat="1" ht="17.25" x14ac:dyDescent="0.35">
      <c r="A9" s="141"/>
      <c r="B9" s="98"/>
      <c r="C9" s="99" t="s">
        <v>20</v>
      </c>
      <c r="D9" s="100">
        <v>1</v>
      </c>
      <c r="E9" s="141" t="s">
        <v>92</v>
      </c>
      <c r="F9" s="99">
        <v>0</v>
      </c>
      <c r="G9" s="104"/>
      <c r="H9" s="142"/>
      <c r="I9" s="100"/>
    </row>
    <row r="10" spans="1:9" s="49" customFormat="1" ht="17.25" x14ac:dyDescent="0.35">
      <c r="A10" s="141"/>
      <c r="B10" s="98"/>
      <c r="C10" s="99" t="s">
        <v>20</v>
      </c>
      <c r="D10" s="100">
        <v>1</v>
      </c>
      <c r="E10" s="141" t="s">
        <v>93</v>
      </c>
      <c r="F10" s="99">
        <v>0</v>
      </c>
      <c r="G10" s="104"/>
      <c r="H10" s="142"/>
      <c r="I10" s="100"/>
    </row>
    <row r="11" spans="1:9" s="49" customFormat="1" ht="17.25" x14ac:dyDescent="0.35">
      <c r="A11" s="141"/>
      <c r="B11" s="98"/>
      <c r="C11" s="99" t="s">
        <v>20</v>
      </c>
      <c r="D11" s="100">
        <v>1</v>
      </c>
      <c r="E11" s="141" t="s">
        <v>94</v>
      </c>
      <c r="F11" s="99">
        <v>0</v>
      </c>
      <c r="G11" s="104"/>
      <c r="H11" s="142"/>
      <c r="I11" s="100"/>
    </row>
    <row r="12" spans="1:9" s="49" customFormat="1" ht="17.25" x14ac:dyDescent="0.35">
      <c r="A12" s="141"/>
      <c r="B12" s="98"/>
      <c r="C12" s="99" t="s">
        <v>20</v>
      </c>
      <c r="D12" s="100">
        <v>1</v>
      </c>
      <c r="E12" s="141" t="s">
        <v>95</v>
      </c>
      <c r="F12" s="99">
        <v>9</v>
      </c>
      <c r="G12" s="104"/>
      <c r="H12" s="142"/>
      <c r="I12" s="100"/>
    </row>
    <row r="13" spans="1:9" s="49" customFormat="1" ht="17.25" x14ac:dyDescent="0.35">
      <c r="A13" s="141"/>
      <c r="B13" s="98"/>
      <c r="C13" s="99"/>
      <c r="D13" s="100"/>
      <c r="E13" s="141"/>
      <c r="F13" s="99"/>
      <c r="G13" s="104"/>
      <c r="H13" s="142"/>
      <c r="I13" s="100"/>
    </row>
    <row r="14" spans="1:9" s="49" customFormat="1" ht="17.25" x14ac:dyDescent="0.35">
      <c r="A14" s="141" t="s">
        <v>119</v>
      </c>
      <c r="B14" s="98">
        <v>6907</v>
      </c>
      <c r="C14" s="99" t="s">
        <v>20</v>
      </c>
      <c r="D14" s="100">
        <v>1</v>
      </c>
      <c r="E14" s="141" t="s">
        <v>120</v>
      </c>
      <c r="F14" s="99">
        <v>1</v>
      </c>
      <c r="G14" s="104" t="s">
        <v>27</v>
      </c>
      <c r="H14" s="142"/>
      <c r="I14" s="100"/>
    </row>
    <row r="15" spans="1:9" s="2" customFormat="1" ht="17.25" x14ac:dyDescent="0.35">
      <c r="A15" s="97" t="s">
        <v>177</v>
      </c>
      <c r="B15" s="98">
        <v>3446</v>
      </c>
      <c r="C15" s="99"/>
      <c r="D15" s="100"/>
      <c r="E15" s="97" t="s">
        <v>176</v>
      </c>
      <c r="F15" s="99"/>
      <c r="G15" s="101" t="s">
        <v>27</v>
      </c>
      <c r="H15" s="102" t="s">
        <v>4</v>
      </c>
      <c r="I15" s="100"/>
    </row>
    <row r="16" spans="1:9" s="2" customFormat="1" ht="17.25" x14ac:dyDescent="0.35">
      <c r="A16" s="97"/>
      <c r="B16" s="98"/>
      <c r="C16" s="99" t="s">
        <v>20</v>
      </c>
      <c r="D16" s="100">
        <v>2</v>
      </c>
      <c r="E16" s="97" t="s">
        <v>175</v>
      </c>
      <c r="F16" s="99">
        <v>2</v>
      </c>
      <c r="G16" s="101"/>
      <c r="H16" s="102"/>
      <c r="I16" s="100"/>
    </row>
    <row r="17" spans="1:9" s="8" customFormat="1" ht="19.5" x14ac:dyDescent="0.4">
      <c r="A17" s="97"/>
      <c r="B17" s="98"/>
      <c r="C17" s="99" t="s">
        <v>20</v>
      </c>
      <c r="D17" s="100">
        <v>4</v>
      </c>
      <c r="E17" s="97" t="s">
        <v>174</v>
      </c>
      <c r="F17" s="99">
        <v>0</v>
      </c>
      <c r="G17" s="101"/>
      <c r="H17" s="102"/>
      <c r="I17" s="100"/>
    </row>
    <row r="18" spans="1:9" ht="15.75" thickBot="1" x14ac:dyDescent="0.35">
      <c r="A18" s="106"/>
      <c r="B18" s="32"/>
      <c r="C18" s="106"/>
      <c r="D18" s="106"/>
      <c r="E18" s="106"/>
      <c r="F18" s="106"/>
      <c r="G18" s="107"/>
      <c r="H18" s="108"/>
      <c r="I18" s="100"/>
    </row>
    <row r="19" spans="1:9" ht="15.75" thickBot="1" x14ac:dyDescent="0.35">
      <c r="A19" s="109"/>
      <c r="B19" s="109"/>
      <c r="C19" s="109"/>
      <c r="D19" s="109"/>
      <c r="E19" s="109"/>
      <c r="F19" s="109"/>
      <c r="G19" s="109"/>
      <c r="H19" s="110"/>
      <c r="I19" s="111"/>
    </row>
    <row r="20" spans="1:9" s="27" customFormat="1" ht="20.25" thickBot="1" x14ac:dyDescent="0.45">
      <c r="A20" s="112" t="s">
        <v>23</v>
      </c>
      <c r="B20" s="113"/>
      <c r="C20" s="113"/>
      <c r="D20" s="113"/>
      <c r="E20" s="113"/>
      <c r="F20" s="113"/>
      <c r="G20" s="113"/>
      <c r="H20" s="113"/>
      <c r="I20" s="114"/>
    </row>
    <row r="21" spans="1:9" s="18" customFormat="1" ht="15.75" thickBot="1" x14ac:dyDescent="0.35">
      <c r="A21" s="93" t="s">
        <v>9</v>
      </c>
      <c r="B21" s="93" t="s">
        <v>10</v>
      </c>
      <c r="C21" s="93" t="s">
        <v>17</v>
      </c>
      <c r="D21" s="94" t="s">
        <v>26</v>
      </c>
      <c r="E21" s="93" t="s">
        <v>25</v>
      </c>
      <c r="F21" s="93" t="s">
        <v>19</v>
      </c>
      <c r="G21" s="115" t="s">
        <v>24</v>
      </c>
      <c r="H21" s="96" t="s">
        <v>28</v>
      </c>
      <c r="I21" s="116" t="s">
        <v>11</v>
      </c>
    </row>
    <row r="22" spans="1:9" s="20" customFormat="1" x14ac:dyDescent="0.2">
      <c r="A22" s="89"/>
      <c r="B22" s="89"/>
      <c r="C22" s="89"/>
      <c r="D22" s="89"/>
      <c r="E22" s="89"/>
      <c r="F22" s="89"/>
      <c r="G22" s="89"/>
      <c r="H22" s="90"/>
      <c r="I22" s="89"/>
    </row>
    <row r="23" spans="1:9" s="18" customFormat="1" ht="15" x14ac:dyDescent="0.3">
      <c r="A23" s="117" t="s">
        <v>32</v>
      </c>
      <c r="B23" s="118"/>
      <c r="C23" s="118"/>
      <c r="D23" s="118"/>
      <c r="E23" s="118"/>
      <c r="F23" s="118"/>
      <c r="G23" s="118"/>
      <c r="H23" s="119"/>
      <c r="I23" s="120"/>
    </row>
    <row r="24" spans="1:9" s="27" customFormat="1" ht="15" x14ac:dyDescent="0.3">
      <c r="A24" s="13"/>
      <c r="B24" s="13"/>
      <c r="C24" s="13"/>
      <c r="D24" s="14"/>
      <c r="E24" s="13"/>
      <c r="F24" s="13"/>
      <c r="G24" s="15"/>
      <c r="H24" s="16"/>
      <c r="I24" s="17"/>
    </row>
    <row r="25" spans="1:9" s="18" customFormat="1" ht="15" x14ac:dyDescent="0.3">
      <c r="A25" s="21" t="s">
        <v>33</v>
      </c>
      <c r="B25" s="21"/>
      <c r="C25" s="21"/>
      <c r="D25" s="22"/>
      <c r="E25" s="21"/>
      <c r="F25" s="21"/>
      <c r="G25" s="23"/>
      <c r="H25" s="24"/>
      <c r="I25" s="25"/>
    </row>
    <row r="26" spans="1:9" ht="15" x14ac:dyDescent="0.3">
      <c r="A26" s="13"/>
      <c r="B26" s="13"/>
      <c r="C26" s="13"/>
      <c r="D26" s="14"/>
      <c r="E26" s="13"/>
      <c r="F26" s="13"/>
      <c r="G26" s="15"/>
      <c r="H26" s="16"/>
      <c r="I26" s="17"/>
    </row>
    <row r="27" spans="1:9" ht="15" x14ac:dyDescent="0.3">
      <c r="A27" s="26" t="s">
        <v>34</v>
      </c>
      <c r="B27" s="121"/>
      <c r="C27" s="121"/>
      <c r="D27" s="121"/>
      <c r="E27" s="121"/>
      <c r="F27" s="121"/>
      <c r="G27" s="121" t="s">
        <v>4</v>
      </c>
      <c r="H27" s="122"/>
      <c r="I27" s="121"/>
    </row>
    <row r="28" spans="1:9" ht="15" x14ac:dyDescent="0.3">
      <c r="A28" s="13"/>
      <c r="B28" s="13"/>
      <c r="C28" s="13"/>
      <c r="D28" s="14"/>
      <c r="E28" s="13"/>
      <c r="F28" s="13"/>
      <c r="G28" s="15"/>
      <c r="H28" s="16"/>
      <c r="I28" s="17"/>
    </row>
    <row r="29" spans="1:9" ht="15" x14ac:dyDescent="0.3">
      <c r="A29" s="28" t="s">
        <v>35</v>
      </c>
      <c r="B29" s="123"/>
      <c r="C29" s="123"/>
      <c r="D29" s="123"/>
      <c r="E29" s="123"/>
      <c r="F29" s="123"/>
      <c r="G29" s="123"/>
      <c r="H29" s="124"/>
      <c r="I29" s="123"/>
    </row>
    <row r="30" spans="1:9" ht="15" x14ac:dyDescent="0.3">
      <c r="A30" s="13"/>
      <c r="B30" s="13"/>
      <c r="C30" s="13"/>
      <c r="D30" s="13"/>
      <c r="E30" s="13"/>
      <c r="F30" s="14"/>
      <c r="G30" s="15"/>
      <c r="H30" s="19"/>
      <c r="I30" s="17"/>
    </row>
    <row r="31" spans="1:9" ht="15" x14ac:dyDescent="0.3">
      <c r="A31" s="29" t="s">
        <v>36</v>
      </c>
      <c r="B31" s="125"/>
      <c r="C31" s="125"/>
      <c r="D31" s="125"/>
      <c r="E31" s="125"/>
      <c r="F31" s="125"/>
      <c r="G31" s="125"/>
      <c r="H31" s="126"/>
      <c r="I31" s="125"/>
    </row>
    <row r="32" spans="1:9" ht="15" x14ac:dyDescent="0.3">
      <c r="A32" s="13"/>
      <c r="B32" s="13"/>
      <c r="C32" s="13"/>
      <c r="D32" s="13"/>
      <c r="E32" s="13"/>
      <c r="F32" s="14"/>
      <c r="G32" s="15"/>
      <c r="H32" s="19"/>
      <c r="I32" s="17"/>
    </row>
    <row r="33" spans="1:11" ht="15" x14ac:dyDescent="0.3">
      <c r="A33" s="30" t="s">
        <v>38</v>
      </c>
      <c r="B33" s="127"/>
      <c r="C33" s="127"/>
      <c r="D33" s="127"/>
      <c r="E33" s="127"/>
      <c r="F33" s="127"/>
      <c r="G33" s="127" t="s">
        <v>4</v>
      </c>
      <c r="H33" s="128"/>
      <c r="I33" s="127"/>
    </row>
    <row r="34" spans="1:11" s="53" customFormat="1" ht="15" x14ac:dyDescent="0.3">
      <c r="A34" s="13"/>
      <c r="B34" s="13"/>
      <c r="C34" s="13"/>
      <c r="D34" s="13"/>
      <c r="E34" s="13"/>
      <c r="F34" s="14"/>
      <c r="G34" s="15"/>
      <c r="H34" s="19"/>
      <c r="I34" s="17"/>
      <c r="J34" s="54"/>
      <c r="K34" s="54"/>
    </row>
    <row r="35" spans="1:11" s="53" customFormat="1" ht="15" x14ac:dyDescent="0.3">
      <c r="A35" s="13"/>
      <c r="B35" s="13"/>
      <c r="C35" s="13"/>
      <c r="D35" s="13"/>
      <c r="E35" s="13"/>
      <c r="F35" s="14"/>
      <c r="G35" s="15" t="s">
        <v>4</v>
      </c>
      <c r="H35" s="19"/>
      <c r="I35" s="17"/>
      <c r="J35" s="54"/>
      <c r="K35" s="54"/>
    </row>
    <row r="36" spans="1:11" s="52" customFormat="1" ht="15" x14ac:dyDescent="0.3">
      <c r="A36" s="146" t="s">
        <v>37</v>
      </c>
      <c r="B36" s="147"/>
      <c r="C36" s="147"/>
      <c r="D36" s="147"/>
      <c r="E36" s="147"/>
      <c r="F36" s="147"/>
      <c r="G36" s="147"/>
      <c r="H36" s="148"/>
      <c r="I36" s="149"/>
      <c r="J36" s="55"/>
      <c r="K36" s="55"/>
    </row>
    <row r="37" spans="1:11" s="51" customFormat="1" ht="51.75" x14ac:dyDescent="0.35">
      <c r="A37" s="150" t="s">
        <v>71</v>
      </c>
      <c r="B37" s="136" t="s">
        <v>72</v>
      </c>
      <c r="C37" s="137" t="s">
        <v>21</v>
      </c>
      <c r="D37" s="138"/>
      <c r="E37" s="138"/>
      <c r="F37" s="137"/>
      <c r="G37" s="138" t="s">
        <v>27</v>
      </c>
      <c r="H37" s="136" t="s">
        <v>115</v>
      </c>
      <c r="I37" s="144" t="s">
        <v>74</v>
      </c>
    </row>
    <row r="38" spans="1:11" s="51" customFormat="1" ht="17.25" x14ac:dyDescent="0.35">
      <c r="A38" s="150" t="s">
        <v>89</v>
      </c>
      <c r="B38" s="136" t="s">
        <v>88</v>
      </c>
      <c r="C38" s="137" t="s">
        <v>85</v>
      </c>
      <c r="D38" s="138"/>
      <c r="E38" s="138"/>
      <c r="F38" s="137"/>
      <c r="G38" s="138" t="s">
        <v>27</v>
      </c>
      <c r="H38" s="136"/>
      <c r="I38" s="144">
        <v>65683</v>
      </c>
    </row>
    <row r="39" spans="1:11" s="51" customFormat="1" ht="17.25" x14ac:dyDescent="0.35">
      <c r="A39" s="150"/>
      <c r="B39" s="136"/>
      <c r="C39" s="137"/>
      <c r="D39" s="138" t="s">
        <v>20</v>
      </c>
      <c r="E39" s="138">
        <v>1</v>
      </c>
      <c r="F39" s="137">
        <v>2</v>
      </c>
      <c r="G39" s="138"/>
      <c r="H39" s="136"/>
      <c r="I39" s="144"/>
    </row>
    <row r="40" spans="1:11" s="51" customFormat="1" ht="17.25" x14ac:dyDescent="0.35">
      <c r="A40" s="143" t="s">
        <v>137</v>
      </c>
      <c r="B40" s="130" t="s">
        <v>138</v>
      </c>
      <c r="C40" s="131" t="s">
        <v>85</v>
      </c>
      <c r="D40" s="131"/>
      <c r="E40" s="130"/>
      <c r="F40" s="131"/>
      <c r="G40" s="131" t="s">
        <v>27</v>
      </c>
      <c r="H40" s="132"/>
      <c r="I40" s="145">
        <v>73671</v>
      </c>
    </row>
    <row r="41" spans="1:11" ht="17.25" x14ac:dyDescent="0.35">
      <c r="A41" s="143"/>
      <c r="B41" s="130"/>
      <c r="C41" s="131"/>
      <c r="D41" s="131" t="s">
        <v>20</v>
      </c>
      <c r="E41" s="130">
        <v>1</v>
      </c>
      <c r="F41" s="131">
        <v>1</v>
      </c>
      <c r="G41" s="131"/>
      <c r="H41" s="132"/>
      <c r="I41" s="145"/>
    </row>
    <row r="42" spans="1:11" ht="17.25" x14ac:dyDescent="0.35">
      <c r="A42" s="143" t="s">
        <v>100</v>
      </c>
      <c r="B42" s="130" t="s">
        <v>101</v>
      </c>
      <c r="C42" s="131" t="s">
        <v>85</v>
      </c>
      <c r="D42" s="131"/>
      <c r="E42" s="130"/>
      <c r="F42" s="131"/>
      <c r="G42" s="131" t="s">
        <v>27</v>
      </c>
      <c r="H42" s="132"/>
      <c r="I42" s="145">
        <v>70266</v>
      </c>
    </row>
    <row r="43" spans="1:11" ht="17.25" x14ac:dyDescent="0.35">
      <c r="A43" s="143"/>
      <c r="B43" s="130"/>
      <c r="C43" s="131"/>
      <c r="D43" s="131" t="s">
        <v>20</v>
      </c>
      <c r="E43" s="130">
        <v>1</v>
      </c>
      <c r="F43" s="131">
        <v>1</v>
      </c>
      <c r="G43" s="131"/>
      <c r="H43" s="132"/>
      <c r="I43" s="145"/>
    </row>
    <row r="44" spans="1:11" ht="17.25" x14ac:dyDescent="0.35">
      <c r="A44" s="143" t="s">
        <v>156</v>
      </c>
      <c r="B44" s="130" t="s">
        <v>157</v>
      </c>
      <c r="C44" s="131" t="s">
        <v>85</v>
      </c>
      <c r="D44" s="131"/>
      <c r="E44" s="130"/>
      <c r="F44" s="131"/>
      <c r="G44" s="131" t="s">
        <v>27</v>
      </c>
      <c r="H44" s="132"/>
      <c r="I44" s="145">
        <v>70287</v>
      </c>
    </row>
    <row r="45" spans="1:11" ht="17.25" x14ac:dyDescent="0.35">
      <c r="A45" s="143"/>
      <c r="B45" s="130"/>
      <c r="C45" s="131"/>
      <c r="D45" s="131" t="s">
        <v>20</v>
      </c>
      <c r="E45" s="130">
        <v>1</v>
      </c>
      <c r="F45" s="131">
        <v>1</v>
      </c>
      <c r="G45" s="131"/>
      <c r="H45" s="132"/>
      <c r="I45" s="145"/>
    </row>
    <row r="46" spans="1:11" ht="17.25" x14ac:dyDescent="0.35">
      <c r="A46" s="129" t="s">
        <v>170</v>
      </c>
      <c r="B46" s="130" t="s">
        <v>169</v>
      </c>
      <c r="C46" s="131" t="s">
        <v>85</v>
      </c>
      <c r="D46" s="131"/>
      <c r="E46" s="130"/>
      <c r="F46" s="131"/>
      <c r="G46" s="131" t="s">
        <v>168</v>
      </c>
      <c r="H46" s="132"/>
      <c r="I46" s="134">
        <v>73502</v>
      </c>
    </row>
    <row r="47" spans="1:11" ht="17.25" x14ac:dyDescent="0.35">
      <c r="A47" s="129"/>
      <c r="B47" s="130"/>
      <c r="C47" s="131"/>
      <c r="D47" s="131" t="s">
        <v>20</v>
      </c>
      <c r="E47" s="130">
        <v>1</v>
      </c>
      <c r="F47" s="131">
        <v>62</v>
      </c>
      <c r="G47" s="131"/>
      <c r="H47" s="132"/>
      <c r="I47" s="134"/>
    </row>
    <row r="48" spans="1:11" ht="17.25" x14ac:dyDescent="0.35">
      <c r="A48" s="129" t="s">
        <v>173</v>
      </c>
      <c r="B48" s="130" t="s">
        <v>172</v>
      </c>
      <c r="C48" s="131" t="s">
        <v>21</v>
      </c>
      <c r="D48" s="131"/>
      <c r="E48" s="130"/>
      <c r="F48" s="131"/>
      <c r="G48" s="131" t="s">
        <v>27</v>
      </c>
      <c r="H48" s="132" t="s">
        <v>232</v>
      </c>
      <c r="I48" s="134"/>
    </row>
    <row r="49" spans="1:9" ht="17.25" x14ac:dyDescent="0.35">
      <c r="A49" s="129"/>
      <c r="B49" s="130"/>
      <c r="C49" s="131"/>
      <c r="D49" s="131"/>
      <c r="E49" s="130"/>
      <c r="F49" s="131"/>
      <c r="G49" s="131"/>
      <c r="H49" s="132"/>
      <c r="I49" s="134"/>
    </row>
    <row r="50" spans="1:9" s="48" customFormat="1" x14ac:dyDescent="0.2">
      <c r="A50" s="89"/>
      <c r="B50" s="89"/>
      <c r="C50" s="89"/>
      <c r="D50" s="89"/>
      <c r="E50" s="89"/>
      <c r="F50" s="89"/>
      <c r="G50" s="89"/>
      <c r="H50" s="90"/>
      <c r="I50" s="89"/>
    </row>
    <row r="51" spans="1:9" ht="13.5" thickBot="1" x14ac:dyDescent="0.25">
      <c r="A51" s="89"/>
      <c r="B51" s="89"/>
      <c r="C51" s="89"/>
      <c r="D51" s="89"/>
      <c r="E51" s="89"/>
      <c r="F51" s="89"/>
      <c r="G51" s="89"/>
      <c r="H51" s="90"/>
      <c r="I51" s="89"/>
    </row>
    <row r="52" spans="1:9" ht="19.5" x14ac:dyDescent="0.4">
      <c r="A52" s="162" t="s">
        <v>41</v>
      </c>
      <c r="B52" s="163"/>
      <c r="C52" s="163"/>
      <c r="D52" s="163"/>
      <c r="E52" s="163"/>
      <c r="F52" s="163"/>
      <c r="G52" s="163"/>
      <c r="H52" s="164"/>
      <c r="I52" s="89"/>
    </row>
    <row r="53" spans="1:9" ht="17.25" x14ac:dyDescent="0.35">
      <c r="A53" s="139" t="s">
        <v>42</v>
      </c>
      <c r="B53" s="139"/>
      <c r="C53" s="139" t="s">
        <v>17</v>
      </c>
      <c r="D53" s="139" t="s">
        <v>43</v>
      </c>
      <c r="E53" s="139" t="s">
        <v>44</v>
      </c>
      <c r="F53" s="139" t="s">
        <v>45</v>
      </c>
      <c r="G53" s="139" t="s">
        <v>24</v>
      </c>
      <c r="H53" s="140"/>
      <c r="I53" s="89"/>
    </row>
    <row r="54" spans="1:9" ht="17.25" x14ac:dyDescent="0.35">
      <c r="A54" s="139" t="s">
        <v>122</v>
      </c>
      <c r="B54" s="139"/>
      <c r="C54" s="87" t="s">
        <v>46</v>
      </c>
      <c r="D54" s="87"/>
      <c r="E54" s="87"/>
      <c r="F54" s="87"/>
      <c r="G54" s="87" t="s">
        <v>47</v>
      </c>
      <c r="H54" s="140"/>
      <c r="I54" s="89"/>
    </row>
    <row r="55" spans="1:9" ht="17.25" x14ac:dyDescent="0.35">
      <c r="A55" s="33" t="s">
        <v>48</v>
      </c>
      <c r="B55" s="33"/>
      <c r="C55" s="35"/>
      <c r="D55" s="35" t="s">
        <v>20</v>
      </c>
      <c r="E55" s="35">
        <v>1</v>
      </c>
      <c r="F55" s="35">
        <v>0</v>
      </c>
      <c r="G55" s="35"/>
      <c r="H55" s="34"/>
    </row>
    <row r="56" spans="1:9" ht="17.25" x14ac:dyDescent="0.35">
      <c r="A56" s="33" t="s">
        <v>49</v>
      </c>
      <c r="B56" s="33"/>
      <c r="C56" s="35"/>
      <c r="D56" s="35" t="s">
        <v>20</v>
      </c>
      <c r="E56" s="35">
        <v>2</v>
      </c>
      <c r="F56" s="35">
        <v>2</v>
      </c>
      <c r="G56" s="35"/>
      <c r="H56" s="34"/>
    </row>
    <row r="57" spans="1:9" ht="17.25" x14ac:dyDescent="0.35">
      <c r="A57" s="33" t="s">
        <v>50</v>
      </c>
      <c r="B57" s="33"/>
      <c r="C57" s="35"/>
      <c r="D57" s="35" t="s">
        <v>20</v>
      </c>
      <c r="E57" s="35">
        <v>2</v>
      </c>
      <c r="F57" s="35" t="s">
        <v>51</v>
      </c>
      <c r="G57" s="35"/>
      <c r="H57" s="34"/>
    </row>
    <row r="58" spans="1:9" ht="17.25" x14ac:dyDescent="0.35">
      <c r="A58" s="33" t="s">
        <v>52</v>
      </c>
      <c r="B58" s="33"/>
      <c r="C58" s="35"/>
      <c r="D58" s="35" t="s">
        <v>20</v>
      </c>
      <c r="E58" s="35">
        <v>1</v>
      </c>
      <c r="F58" s="35" t="s">
        <v>53</v>
      </c>
      <c r="G58" s="35"/>
      <c r="H58" s="34"/>
    </row>
    <row r="59" spans="1:9" ht="17.25" x14ac:dyDescent="0.35">
      <c r="A59" s="33" t="s">
        <v>54</v>
      </c>
      <c r="B59" s="33"/>
      <c r="C59" s="35"/>
      <c r="D59" s="35" t="s">
        <v>20</v>
      </c>
      <c r="E59" s="35">
        <v>2</v>
      </c>
      <c r="F59" s="35">
        <v>4</v>
      </c>
      <c r="G59" s="35"/>
      <c r="H59" s="34"/>
    </row>
    <row r="60" spans="1:9" ht="17.25" x14ac:dyDescent="0.35">
      <c r="A60" s="45" t="s">
        <v>55</v>
      </c>
      <c r="B60" s="45"/>
      <c r="C60" s="46"/>
      <c r="D60" s="46" t="s">
        <v>20</v>
      </c>
      <c r="E60" s="46">
        <v>4</v>
      </c>
      <c r="F60" s="46" t="s">
        <v>236</v>
      </c>
      <c r="G60" s="46"/>
      <c r="H60" s="47"/>
      <c r="I60" s="48"/>
    </row>
    <row r="61" spans="1:9" ht="17.25" x14ac:dyDescent="0.35">
      <c r="A61" s="33" t="s">
        <v>59</v>
      </c>
      <c r="B61" s="33"/>
      <c r="C61" s="35"/>
      <c r="D61" s="35" t="s">
        <v>20</v>
      </c>
      <c r="E61" s="35">
        <v>1</v>
      </c>
      <c r="F61" s="35" t="s">
        <v>56</v>
      </c>
      <c r="G61" s="35"/>
      <c r="H61" s="34"/>
    </row>
    <row r="62" spans="1:9" ht="17.25" x14ac:dyDescent="0.35">
      <c r="A62" s="33" t="s">
        <v>60</v>
      </c>
      <c r="B62" s="33"/>
      <c r="C62" s="35"/>
      <c r="D62" s="35" t="s">
        <v>20</v>
      </c>
      <c r="E62" s="35">
        <v>2</v>
      </c>
      <c r="F62" s="35">
        <f>LEN(F63)</f>
        <v>11</v>
      </c>
      <c r="G62" s="35"/>
      <c r="H62" s="34"/>
    </row>
    <row r="63" spans="1:9" ht="17.25" x14ac:dyDescent="0.35">
      <c r="A63" s="139" t="s">
        <v>61</v>
      </c>
      <c r="B63" s="139"/>
      <c r="C63" s="87"/>
      <c r="D63" s="87" t="s">
        <v>57</v>
      </c>
      <c r="E63" s="87">
        <f>F62</f>
        <v>11</v>
      </c>
      <c r="F63" s="87" t="s">
        <v>126</v>
      </c>
      <c r="G63" s="87"/>
      <c r="H63" s="140" t="s">
        <v>58</v>
      </c>
    </row>
    <row r="64" spans="1:9" ht="17.25" x14ac:dyDescent="0.35">
      <c r="A64" s="33" t="s">
        <v>127</v>
      </c>
      <c r="B64" s="33"/>
      <c r="C64" s="35"/>
      <c r="D64" s="35" t="s">
        <v>20</v>
      </c>
      <c r="E64" s="35">
        <v>1</v>
      </c>
      <c r="F64" s="35" t="s">
        <v>128</v>
      </c>
      <c r="G64" s="35"/>
      <c r="H64" s="34"/>
    </row>
    <row r="65" spans="1:8" ht="17.25" x14ac:dyDescent="0.35">
      <c r="A65" s="33" t="s">
        <v>129</v>
      </c>
      <c r="B65" s="33"/>
      <c r="C65" s="35"/>
      <c r="D65" s="35" t="s">
        <v>20</v>
      </c>
      <c r="E65" s="35">
        <v>2</v>
      </c>
      <c r="F65" s="35">
        <v>4</v>
      </c>
      <c r="G65" s="35"/>
      <c r="H65" s="34"/>
    </row>
    <row r="66" spans="1:8" ht="17.25" x14ac:dyDescent="0.35">
      <c r="A66" s="45" t="s">
        <v>130</v>
      </c>
      <c r="B66" s="45"/>
      <c r="C66" s="46"/>
      <c r="D66" s="46" t="s">
        <v>20</v>
      </c>
      <c r="E66" s="46">
        <v>4</v>
      </c>
      <c r="F66" s="46" t="str">
        <f>$F$60</f>
        <v>0x0501012A</v>
      </c>
      <c r="G66" s="46"/>
      <c r="H66" s="47"/>
    </row>
    <row r="67" spans="1:8" ht="17.25" x14ac:dyDescent="0.35">
      <c r="A67" s="151" t="s">
        <v>217</v>
      </c>
      <c r="B67" s="151"/>
      <c r="C67" s="152"/>
      <c r="D67" s="153" t="s">
        <v>20</v>
      </c>
      <c r="E67" s="153">
        <v>1</v>
      </c>
      <c r="F67" s="154" t="s">
        <v>218</v>
      </c>
      <c r="G67" s="153"/>
      <c r="H67" s="155"/>
    </row>
    <row r="68" spans="1:8" ht="17.25" x14ac:dyDescent="0.35">
      <c r="A68" s="151" t="s">
        <v>219</v>
      </c>
      <c r="B68" s="151"/>
      <c r="C68" s="152"/>
      <c r="D68" s="153" t="s">
        <v>20</v>
      </c>
      <c r="E68" s="153">
        <v>2</v>
      </c>
      <c r="F68" s="156">
        <v>4</v>
      </c>
      <c r="G68" s="153"/>
      <c r="H68" s="155"/>
    </row>
    <row r="69" spans="1:8" ht="138" x14ac:dyDescent="0.35">
      <c r="A69" s="151" t="s">
        <v>220</v>
      </c>
      <c r="B69" s="151"/>
      <c r="C69" s="152"/>
      <c r="D69" s="153" t="s">
        <v>20</v>
      </c>
      <c r="E69" s="153">
        <v>4</v>
      </c>
      <c r="F69" s="153" t="s">
        <v>223</v>
      </c>
      <c r="G69" s="153"/>
      <c r="H69" s="155" t="s">
        <v>222</v>
      </c>
    </row>
  </sheetData>
  <mergeCells count="3">
    <mergeCell ref="A2:I2"/>
    <mergeCell ref="A4:H4"/>
    <mergeCell ref="A52:H52"/>
  </mergeCells>
  <conditionalFormatting sqref="B16:B17">
    <cfRule type="duplicateValues" dxfId="7" priority="2"/>
  </conditionalFormatting>
  <conditionalFormatting sqref="B15">
    <cfRule type="duplicateValues" dxfId="6" priority="1"/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66"/>
  <sheetViews>
    <sheetView topLeftCell="A34" zoomScaleNormal="100" workbookViewId="0">
      <selection activeCell="F57" sqref="F57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14.42578125" bestFit="1" customWidth="1"/>
    <col min="6" max="6" width="26" bestFit="1" customWidth="1"/>
    <col min="7" max="7" width="10.42578125" bestFit="1" customWidth="1"/>
    <col min="8" max="8" width="70.5703125" style="10" customWidth="1"/>
    <col min="9" max="9" width="35.42578125" bestFit="1" customWidth="1"/>
    <col min="12" max="12" width="22.7109375" bestFit="1" customWidth="1"/>
  </cols>
  <sheetData>
    <row r="1" spans="1:9" x14ac:dyDescent="0.2">
      <c r="A1" s="89"/>
      <c r="B1" s="89"/>
      <c r="C1" s="89"/>
      <c r="D1" s="89"/>
      <c r="E1" s="89"/>
      <c r="F1" s="89"/>
      <c r="G1" s="89"/>
      <c r="H1" s="90"/>
      <c r="I1" s="89"/>
    </row>
    <row r="2" spans="1:9" s="7" customFormat="1" ht="45" customHeight="1" x14ac:dyDescent="0.55000000000000004">
      <c r="A2" s="158" t="s">
        <v>113</v>
      </c>
      <c r="B2" s="158"/>
      <c r="C2" s="158"/>
      <c r="D2" s="158"/>
      <c r="E2" s="158"/>
      <c r="F2" s="158"/>
      <c r="G2" s="158"/>
      <c r="H2" s="158"/>
      <c r="I2" s="158"/>
    </row>
    <row r="3" spans="1:9" ht="13.5" thickBot="1" x14ac:dyDescent="0.25">
      <c r="A3" s="91"/>
      <c r="B3" s="89"/>
      <c r="C3" s="89"/>
      <c r="D3" s="89"/>
      <c r="E3" s="89"/>
      <c r="F3" s="89"/>
      <c r="G3" s="89"/>
      <c r="H3" s="90"/>
      <c r="I3" s="89"/>
    </row>
    <row r="4" spans="1:9" s="8" customFormat="1" ht="20.25" thickBot="1" x14ac:dyDescent="0.45">
      <c r="A4" s="159" t="s">
        <v>65</v>
      </c>
      <c r="B4" s="160"/>
      <c r="C4" s="160"/>
      <c r="D4" s="160"/>
      <c r="E4" s="160"/>
      <c r="F4" s="160"/>
      <c r="G4" s="160"/>
      <c r="H4" s="161"/>
      <c r="I4" s="92"/>
    </row>
    <row r="5" spans="1:9" s="37" customFormat="1" ht="15.75" thickBot="1" x14ac:dyDescent="0.35">
      <c r="A5" s="93" t="s">
        <v>6</v>
      </c>
      <c r="B5" s="94" t="s">
        <v>5</v>
      </c>
      <c r="C5" s="93" t="s">
        <v>17</v>
      </c>
      <c r="D5" s="93" t="s">
        <v>18</v>
      </c>
      <c r="E5" s="93" t="s">
        <v>7</v>
      </c>
      <c r="F5" s="93" t="s">
        <v>19</v>
      </c>
      <c r="G5" s="95" t="s">
        <v>24</v>
      </c>
      <c r="H5" s="96" t="s">
        <v>8</v>
      </c>
      <c r="I5" s="42"/>
    </row>
    <row r="6" spans="1:9" s="2" customFormat="1" ht="17.25" x14ac:dyDescent="0.35">
      <c r="A6" s="141" t="s">
        <v>86</v>
      </c>
      <c r="B6" s="98">
        <v>4398</v>
      </c>
      <c r="C6" s="99" t="s">
        <v>20</v>
      </c>
      <c r="D6" s="100">
        <v>1</v>
      </c>
      <c r="E6" s="141" t="s">
        <v>87</v>
      </c>
      <c r="F6" s="99">
        <v>0</v>
      </c>
      <c r="G6" s="104" t="s">
        <v>27</v>
      </c>
      <c r="H6" s="142"/>
      <c r="I6" s="100"/>
    </row>
    <row r="7" spans="1:9" s="2" customFormat="1" ht="17.25" x14ac:dyDescent="0.35">
      <c r="A7" s="141" t="s">
        <v>90</v>
      </c>
      <c r="B7" s="98">
        <v>6876</v>
      </c>
      <c r="C7" s="99"/>
      <c r="D7" s="100"/>
      <c r="E7" s="141"/>
      <c r="F7" s="99"/>
      <c r="G7" s="104" t="s">
        <v>27</v>
      </c>
      <c r="H7" s="142"/>
      <c r="I7" s="100"/>
    </row>
    <row r="8" spans="1:9" s="2" customFormat="1" ht="17.25" x14ac:dyDescent="0.35">
      <c r="A8" s="141"/>
      <c r="B8" s="98"/>
      <c r="C8" s="99" t="s">
        <v>20</v>
      </c>
      <c r="D8" s="100">
        <v>1</v>
      </c>
      <c r="E8" s="141" t="s">
        <v>91</v>
      </c>
      <c r="F8" s="99">
        <v>0</v>
      </c>
      <c r="G8" s="104"/>
      <c r="H8" s="142"/>
      <c r="I8" s="100"/>
    </row>
    <row r="9" spans="1:9" s="2" customFormat="1" ht="17.25" x14ac:dyDescent="0.35">
      <c r="A9" s="141"/>
      <c r="B9" s="98"/>
      <c r="C9" s="99" t="s">
        <v>20</v>
      </c>
      <c r="D9" s="100">
        <v>1</v>
      </c>
      <c r="E9" s="141" t="s">
        <v>92</v>
      </c>
      <c r="F9" s="99">
        <v>0</v>
      </c>
      <c r="G9" s="104"/>
      <c r="H9" s="142"/>
      <c r="I9" s="100"/>
    </row>
    <row r="10" spans="1:9" s="2" customFormat="1" ht="17.25" x14ac:dyDescent="0.35">
      <c r="A10" s="141"/>
      <c r="B10" s="98"/>
      <c r="C10" s="99" t="s">
        <v>20</v>
      </c>
      <c r="D10" s="100">
        <v>1</v>
      </c>
      <c r="E10" s="141" t="s">
        <v>93</v>
      </c>
      <c r="F10" s="99">
        <v>0</v>
      </c>
      <c r="G10" s="104"/>
      <c r="H10" s="142"/>
      <c r="I10" s="100"/>
    </row>
    <row r="11" spans="1:9" s="2" customFormat="1" ht="17.25" x14ac:dyDescent="0.35">
      <c r="A11" s="141"/>
      <c r="B11" s="98"/>
      <c r="C11" s="99" t="s">
        <v>20</v>
      </c>
      <c r="D11" s="100">
        <v>1</v>
      </c>
      <c r="E11" s="141" t="s">
        <v>94</v>
      </c>
      <c r="F11" s="99">
        <v>0</v>
      </c>
      <c r="G11" s="104"/>
      <c r="H11" s="142"/>
      <c r="I11" s="100"/>
    </row>
    <row r="12" spans="1:9" s="2" customFormat="1" ht="17.25" x14ac:dyDescent="0.35">
      <c r="A12" s="141"/>
      <c r="B12" s="98"/>
      <c r="C12" s="99" t="s">
        <v>20</v>
      </c>
      <c r="D12" s="100">
        <v>1</v>
      </c>
      <c r="E12" s="141" t="s">
        <v>95</v>
      </c>
      <c r="F12" s="99">
        <v>5</v>
      </c>
      <c r="G12" s="104"/>
      <c r="H12" s="142"/>
      <c r="I12" s="100"/>
    </row>
    <row r="13" spans="1:9" s="2" customFormat="1" ht="17.25" x14ac:dyDescent="0.35">
      <c r="A13" s="141" t="s">
        <v>119</v>
      </c>
      <c r="B13" s="98">
        <v>6907</v>
      </c>
      <c r="C13" s="99" t="s">
        <v>20</v>
      </c>
      <c r="D13" s="100">
        <v>1</v>
      </c>
      <c r="E13" s="141" t="s">
        <v>120</v>
      </c>
      <c r="F13" s="99">
        <v>1</v>
      </c>
      <c r="G13" s="104" t="s">
        <v>27</v>
      </c>
      <c r="H13" s="142"/>
      <c r="I13" s="100"/>
    </row>
    <row r="14" spans="1:9" s="2" customFormat="1" ht="17.25" x14ac:dyDescent="0.35">
      <c r="A14" s="141"/>
      <c r="B14" s="98"/>
      <c r="C14" s="99"/>
      <c r="D14" s="100"/>
      <c r="E14" s="141"/>
      <c r="F14" s="99"/>
      <c r="G14" s="104"/>
      <c r="H14" s="142"/>
      <c r="I14" s="100"/>
    </row>
    <row r="15" spans="1:9" s="2" customFormat="1" ht="17.25" x14ac:dyDescent="0.35">
      <c r="A15" s="141"/>
      <c r="B15" s="98"/>
      <c r="C15" s="99"/>
      <c r="D15" s="100"/>
      <c r="E15" s="141"/>
      <c r="F15" s="99"/>
      <c r="G15" s="104"/>
      <c r="H15" s="142"/>
      <c r="I15" s="100"/>
    </row>
    <row r="16" spans="1:9" s="2" customFormat="1" ht="17.25" x14ac:dyDescent="0.35">
      <c r="A16" s="97" t="s">
        <v>177</v>
      </c>
      <c r="B16" s="98">
        <v>3446</v>
      </c>
      <c r="C16" s="99"/>
      <c r="D16" s="100"/>
      <c r="E16" s="97" t="s">
        <v>176</v>
      </c>
      <c r="F16" s="99"/>
      <c r="G16" s="101" t="s">
        <v>27</v>
      </c>
      <c r="H16" s="102" t="s">
        <v>4</v>
      </c>
      <c r="I16" s="100"/>
    </row>
    <row r="17" spans="1:9" s="2" customFormat="1" ht="17.25" x14ac:dyDescent="0.35">
      <c r="A17" s="97"/>
      <c r="B17" s="98"/>
      <c r="C17" s="99" t="s">
        <v>20</v>
      </c>
      <c r="D17" s="100">
        <v>2</v>
      </c>
      <c r="E17" s="97" t="s">
        <v>175</v>
      </c>
      <c r="F17" s="99">
        <v>2</v>
      </c>
      <c r="G17" s="101"/>
      <c r="H17" s="102"/>
      <c r="I17" s="100"/>
    </row>
    <row r="18" spans="1:9" s="8" customFormat="1" ht="19.5" x14ac:dyDescent="0.4">
      <c r="A18" s="97"/>
      <c r="B18" s="98"/>
      <c r="C18" s="99" t="s">
        <v>20</v>
      </c>
      <c r="D18" s="100">
        <v>4</v>
      </c>
      <c r="E18" s="97" t="s">
        <v>174</v>
      </c>
      <c r="F18" s="99">
        <v>0</v>
      </c>
      <c r="G18" s="101"/>
      <c r="H18" s="102"/>
      <c r="I18" s="100"/>
    </row>
    <row r="19" spans="1:9" ht="15.75" thickBot="1" x14ac:dyDescent="0.35">
      <c r="A19" s="106"/>
      <c r="B19" s="32"/>
      <c r="C19" s="106"/>
      <c r="D19" s="106"/>
      <c r="E19" s="106"/>
      <c r="F19" s="106"/>
      <c r="G19" s="107"/>
      <c r="H19" s="108"/>
      <c r="I19" s="100"/>
    </row>
    <row r="20" spans="1:9" ht="15.75" thickBot="1" x14ac:dyDescent="0.35">
      <c r="A20" s="109"/>
      <c r="B20" s="109"/>
      <c r="C20" s="109"/>
      <c r="D20" s="109"/>
      <c r="E20" s="109"/>
      <c r="F20" s="109"/>
      <c r="G20" s="109"/>
      <c r="H20" s="110"/>
      <c r="I20" s="111"/>
    </row>
    <row r="21" spans="1:9" s="27" customFormat="1" ht="20.25" thickBot="1" x14ac:dyDescent="0.45">
      <c r="A21" s="112" t="s">
        <v>23</v>
      </c>
      <c r="B21" s="113"/>
      <c r="C21" s="113"/>
      <c r="D21" s="113"/>
      <c r="E21" s="113"/>
      <c r="F21" s="113"/>
      <c r="G21" s="113"/>
      <c r="H21" s="113"/>
      <c r="I21" s="114"/>
    </row>
    <row r="22" spans="1:9" s="18" customFormat="1" ht="15.75" thickBot="1" x14ac:dyDescent="0.35">
      <c r="A22" s="93" t="s">
        <v>9</v>
      </c>
      <c r="B22" s="93" t="s">
        <v>10</v>
      </c>
      <c r="C22" s="93" t="s">
        <v>17</v>
      </c>
      <c r="D22" s="94" t="s">
        <v>26</v>
      </c>
      <c r="E22" s="93" t="s">
        <v>25</v>
      </c>
      <c r="F22" s="93" t="s">
        <v>19</v>
      </c>
      <c r="G22" s="115" t="s">
        <v>24</v>
      </c>
      <c r="H22" s="96" t="s">
        <v>28</v>
      </c>
      <c r="I22" s="116" t="s">
        <v>11</v>
      </c>
    </row>
    <row r="23" spans="1:9" s="20" customFormat="1" x14ac:dyDescent="0.2">
      <c r="A23" s="89"/>
      <c r="B23" s="89"/>
      <c r="C23" s="89"/>
      <c r="D23" s="89"/>
      <c r="E23" s="89"/>
      <c r="F23" s="89"/>
      <c r="G23" s="89"/>
      <c r="H23" s="90"/>
      <c r="I23" s="89"/>
    </row>
    <row r="24" spans="1:9" s="18" customFormat="1" ht="15" x14ac:dyDescent="0.3">
      <c r="A24" s="117" t="s">
        <v>32</v>
      </c>
      <c r="B24" s="118"/>
      <c r="C24" s="118"/>
      <c r="D24" s="118"/>
      <c r="E24" s="118"/>
      <c r="F24" s="118"/>
      <c r="G24" s="118"/>
      <c r="H24" s="119"/>
      <c r="I24" s="120"/>
    </row>
    <row r="25" spans="1:9" s="27" customFormat="1" ht="15" x14ac:dyDescent="0.3">
      <c r="A25" s="13"/>
      <c r="B25" s="13"/>
      <c r="C25" s="13"/>
      <c r="D25" s="14"/>
      <c r="E25" s="13"/>
      <c r="F25" s="13"/>
      <c r="G25" s="15"/>
      <c r="H25" s="16"/>
      <c r="I25" s="17"/>
    </row>
    <row r="26" spans="1:9" s="18" customFormat="1" ht="15" x14ac:dyDescent="0.3">
      <c r="A26" s="21" t="s">
        <v>33</v>
      </c>
      <c r="B26" s="21"/>
      <c r="C26" s="21"/>
      <c r="D26" s="22"/>
      <c r="E26" s="21"/>
      <c r="F26" s="21"/>
      <c r="G26" s="23"/>
      <c r="H26" s="24"/>
      <c r="I26" s="25"/>
    </row>
    <row r="27" spans="1:9" ht="15" x14ac:dyDescent="0.3">
      <c r="A27" s="13"/>
      <c r="B27" s="13"/>
      <c r="C27" s="13"/>
      <c r="D27" s="14"/>
      <c r="E27" s="13"/>
      <c r="F27" s="13"/>
      <c r="G27" s="15"/>
      <c r="H27" s="16"/>
      <c r="I27" s="17"/>
    </row>
    <row r="28" spans="1:9" ht="15" x14ac:dyDescent="0.3">
      <c r="A28" s="26" t="s">
        <v>34</v>
      </c>
      <c r="B28" s="121"/>
      <c r="C28" s="121"/>
      <c r="D28" s="121"/>
      <c r="E28" s="121"/>
      <c r="F28" s="121"/>
      <c r="G28" s="121" t="s">
        <v>4</v>
      </c>
      <c r="H28" s="122"/>
      <c r="I28" s="121"/>
    </row>
    <row r="29" spans="1:9" ht="15" x14ac:dyDescent="0.3">
      <c r="A29" s="13"/>
      <c r="B29" s="13"/>
      <c r="C29" s="13"/>
      <c r="D29" s="14"/>
      <c r="E29" s="13"/>
      <c r="F29" s="13"/>
      <c r="G29" s="15"/>
      <c r="H29" s="16"/>
      <c r="I29" s="17"/>
    </row>
    <row r="30" spans="1:9" ht="15" x14ac:dyDescent="0.3">
      <c r="A30" s="28" t="s">
        <v>35</v>
      </c>
      <c r="B30" s="123"/>
      <c r="C30" s="123"/>
      <c r="D30" s="123"/>
      <c r="E30" s="123"/>
      <c r="F30" s="123"/>
      <c r="G30" s="123"/>
      <c r="H30" s="124"/>
      <c r="I30" s="123"/>
    </row>
    <row r="31" spans="1:9" ht="15" x14ac:dyDescent="0.3">
      <c r="A31" s="13"/>
      <c r="B31" s="13"/>
      <c r="C31" s="13"/>
      <c r="D31" s="13"/>
      <c r="E31" s="13"/>
      <c r="F31" s="14"/>
      <c r="G31" s="15"/>
      <c r="H31" s="19"/>
      <c r="I31" s="17"/>
    </row>
    <row r="32" spans="1:9" ht="15" x14ac:dyDescent="0.3">
      <c r="A32" s="29" t="s">
        <v>36</v>
      </c>
      <c r="B32" s="125"/>
      <c r="C32" s="125"/>
      <c r="D32" s="125"/>
      <c r="E32" s="125"/>
      <c r="F32" s="125"/>
      <c r="G32" s="125"/>
      <c r="H32" s="126"/>
      <c r="I32" s="125"/>
    </row>
    <row r="33" spans="1:11" ht="15" x14ac:dyDescent="0.3">
      <c r="A33" s="13"/>
      <c r="B33" s="13"/>
      <c r="C33" s="13"/>
      <c r="D33" s="13"/>
      <c r="E33" s="13"/>
      <c r="F33" s="14"/>
      <c r="G33" s="15"/>
      <c r="H33" s="19"/>
      <c r="I33" s="17"/>
    </row>
    <row r="34" spans="1:11" s="53" customFormat="1" ht="15" x14ac:dyDescent="0.3">
      <c r="A34" s="30" t="s">
        <v>38</v>
      </c>
      <c r="B34" s="127"/>
      <c r="C34" s="127"/>
      <c r="D34" s="127"/>
      <c r="E34" s="127"/>
      <c r="F34" s="127"/>
      <c r="G34" s="127" t="s">
        <v>4</v>
      </c>
      <c r="H34" s="128"/>
      <c r="I34" s="127"/>
      <c r="J34" s="54"/>
      <c r="K34" s="54"/>
    </row>
    <row r="35" spans="1:11" s="53" customFormat="1" ht="15" x14ac:dyDescent="0.3">
      <c r="A35" s="13"/>
      <c r="B35" s="13"/>
      <c r="C35" s="13"/>
      <c r="D35" s="13"/>
      <c r="E35" s="13"/>
      <c r="F35" s="14"/>
      <c r="G35" s="15" t="s">
        <v>4</v>
      </c>
      <c r="H35" s="19"/>
      <c r="I35" s="17"/>
      <c r="J35" s="54"/>
      <c r="K35" s="54"/>
    </row>
    <row r="36" spans="1:11" s="53" customFormat="1" ht="15" x14ac:dyDescent="0.3">
      <c r="A36" s="146" t="s">
        <v>37</v>
      </c>
      <c r="B36" s="147"/>
      <c r="C36" s="147"/>
      <c r="D36" s="147"/>
      <c r="E36" s="147"/>
      <c r="F36" s="147"/>
      <c r="G36" s="147"/>
      <c r="H36" s="148"/>
      <c r="I36" s="149"/>
      <c r="J36" s="54"/>
      <c r="K36" s="54"/>
    </row>
    <row r="37" spans="1:11" s="51" customFormat="1" ht="51.75" x14ac:dyDescent="0.35">
      <c r="A37" s="150" t="s">
        <v>71</v>
      </c>
      <c r="B37" s="136" t="s">
        <v>72</v>
      </c>
      <c r="C37" s="137" t="s">
        <v>21</v>
      </c>
      <c r="D37" s="138"/>
      <c r="E37" s="138"/>
      <c r="F37" s="137"/>
      <c r="G37" s="138" t="s">
        <v>27</v>
      </c>
      <c r="H37" s="136" t="s">
        <v>115</v>
      </c>
      <c r="I37" s="144" t="s">
        <v>74</v>
      </c>
    </row>
    <row r="38" spans="1:11" s="51" customFormat="1" ht="17.25" x14ac:dyDescent="0.35">
      <c r="A38" s="150" t="s">
        <v>89</v>
      </c>
      <c r="B38" s="136" t="s">
        <v>88</v>
      </c>
      <c r="C38" s="137" t="s">
        <v>85</v>
      </c>
      <c r="D38" s="138"/>
      <c r="E38" s="138"/>
      <c r="F38" s="137"/>
      <c r="G38" s="138" t="s">
        <v>27</v>
      </c>
      <c r="H38" s="136"/>
      <c r="I38" s="144">
        <v>65683</v>
      </c>
    </row>
    <row r="39" spans="1:11" ht="17.25" x14ac:dyDescent="0.35">
      <c r="A39" s="150"/>
      <c r="B39" s="136"/>
      <c r="C39" s="137"/>
      <c r="D39" s="138" t="s">
        <v>20</v>
      </c>
      <c r="E39" s="138">
        <v>1</v>
      </c>
      <c r="F39" s="137">
        <v>2</v>
      </c>
      <c r="G39" s="138"/>
      <c r="H39" s="136"/>
      <c r="I39" s="144"/>
    </row>
    <row r="40" spans="1:11" ht="17.25" x14ac:dyDescent="0.35">
      <c r="A40" s="143" t="s">
        <v>100</v>
      </c>
      <c r="B40" s="130" t="s">
        <v>101</v>
      </c>
      <c r="C40" s="131" t="s">
        <v>85</v>
      </c>
      <c r="D40" s="131"/>
      <c r="E40" s="130"/>
      <c r="F40" s="131"/>
      <c r="G40" s="131" t="s">
        <v>27</v>
      </c>
      <c r="H40" s="132"/>
      <c r="I40" s="145">
        <v>70266</v>
      </c>
    </row>
    <row r="41" spans="1:11" ht="17.25" x14ac:dyDescent="0.35">
      <c r="A41" s="143"/>
      <c r="B41" s="130"/>
      <c r="C41" s="131"/>
      <c r="D41" s="131" t="s">
        <v>20</v>
      </c>
      <c r="E41" s="130">
        <v>1</v>
      </c>
      <c r="F41" s="131">
        <v>1</v>
      </c>
      <c r="G41" s="131"/>
      <c r="H41" s="132"/>
      <c r="I41" s="145"/>
    </row>
    <row r="42" spans="1:11" ht="17.25" x14ac:dyDescent="0.35">
      <c r="A42" s="143" t="s">
        <v>156</v>
      </c>
      <c r="B42" s="130" t="s">
        <v>157</v>
      </c>
      <c r="C42" s="131" t="s">
        <v>85</v>
      </c>
      <c r="D42" s="131"/>
      <c r="E42" s="130"/>
      <c r="F42" s="131"/>
      <c r="G42" s="131" t="s">
        <v>27</v>
      </c>
      <c r="H42" s="132"/>
      <c r="I42" s="145">
        <v>70287</v>
      </c>
    </row>
    <row r="43" spans="1:11" ht="17.25" x14ac:dyDescent="0.35">
      <c r="A43" s="143"/>
      <c r="B43" s="130"/>
      <c r="C43" s="131"/>
      <c r="D43" s="131" t="s">
        <v>20</v>
      </c>
      <c r="E43" s="130">
        <v>1</v>
      </c>
      <c r="F43" s="131">
        <v>1</v>
      </c>
      <c r="G43" s="131"/>
      <c r="H43" s="132"/>
      <c r="I43" s="145"/>
    </row>
    <row r="44" spans="1:11" ht="17.25" x14ac:dyDescent="0.35">
      <c r="A44" s="129" t="s">
        <v>170</v>
      </c>
      <c r="B44" s="130" t="s">
        <v>169</v>
      </c>
      <c r="C44" s="131" t="s">
        <v>85</v>
      </c>
      <c r="D44" s="131"/>
      <c r="E44" s="130"/>
      <c r="F44" s="131"/>
      <c r="G44" s="131" t="s">
        <v>168</v>
      </c>
      <c r="H44" s="132"/>
      <c r="I44" s="134">
        <v>73502</v>
      </c>
    </row>
    <row r="45" spans="1:11" ht="17.25" x14ac:dyDescent="0.35">
      <c r="A45" s="129"/>
      <c r="B45" s="130"/>
      <c r="C45" s="131"/>
      <c r="D45" s="131" t="s">
        <v>20</v>
      </c>
      <c r="E45" s="130">
        <v>1</v>
      </c>
      <c r="F45" s="131">
        <v>62</v>
      </c>
      <c r="G45" s="131"/>
      <c r="H45" s="132"/>
      <c r="I45" s="134"/>
    </row>
    <row r="46" spans="1:11" ht="17.25" x14ac:dyDescent="0.35">
      <c r="A46" s="129" t="s">
        <v>173</v>
      </c>
      <c r="B46" s="130" t="s">
        <v>172</v>
      </c>
      <c r="C46" s="131" t="s">
        <v>21</v>
      </c>
      <c r="D46" s="131"/>
      <c r="E46" s="130"/>
      <c r="F46" s="131"/>
      <c r="G46" s="131" t="s">
        <v>27</v>
      </c>
      <c r="H46" s="132" t="s">
        <v>232</v>
      </c>
      <c r="I46" s="134"/>
    </row>
    <row r="47" spans="1:11" s="48" customFormat="1" x14ac:dyDescent="0.2">
      <c r="A47" s="89"/>
      <c r="B47" s="89"/>
      <c r="C47" s="89"/>
      <c r="D47" s="89"/>
      <c r="E47" s="89"/>
      <c r="F47" s="89"/>
      <c r="G47" s="89"/>
      <c r="H47" s="90"/>
      <c r="I47" s="89"/>
    </row>
    <row r="48" spans="1:11" ht="13.5" thickBot="1" x14ac:dyDescent="0.25">
      <c r="A48" s="89"/>
      <c r="B48" s="89"/>
      <c r="C48" s="89"/>
      <c r="D48" s="89"/>
      <c r="E48" s="89"/>
      <c r="F48" s="89"/>
      <c r="G48" s="89"/>
      <c r="H48" s="90"/>
      <c r="I48" s="89"/>
    </row>
    <row r="49" spans="1:9" ht="19.5" x14ac:dyDescent="0.4">
      <c r="A49" s="162" t="s">
        <v>41</v>
      </c>
      <c r="B49" s="163"/>
      <c r="C49" s="163"/>
      <c r="D49" s="163"/>
      <c r="E49" s="163"/>
      <c r="F49" s="163"/>
      <c r="G49" s="163"/>
      <c r="H49" s="164"/>
      <c r="I49" s="89"/>
    </row>
    <row r="50" spans="1:9" ht="17.25" x14ac:dyDescent="0.35">
      <c r="A50" s="139" t="s">
        <v>42</v>
      </c>
      <c r="B50" s="139"/>
      <c r="C50" s="139" t="s">
        <v>17</v>
      </c>
      <c r="D50" s="139" t="s">
        <v>43</v>
      </c>
      <c r="E50" s="139" t="s">
        <v>44</v>
      </c>
      <c r="F50" s="139" t="s">
        <v>45</v>
      </c>
      <c r="G50" s="139" t="s">
        <v>24</v>
      </c>
      <c r="H50" s="140"/>
      <c r="I50" s="89"/>
    </row>
    <row r="51" spans="1:9" ht="17.25" x14ac:dyDescent="0.35">
      <c r="A51" s="139" t="s">
        <v>122</v>
      </c>
      <c r="B51" s="139"/>
      <c r="C51" s="87" t="s">
        <v>46</v>
      </c>
      <c r="D51" s="87"/>
      <c r="E51" s="87"/>
      <c r="F51" s="87"/>
      <c r="G51" s="87" t="s">
        <v>47</v>
      </c>
      <c r="H51" s="140"/>
      <c r="I51" s="89"/>
    </row>
    <row r="52" spans="1:9" ht="17.25" x14ac:dyDescent="0.35">
      <c r="A52" s="33" t="s">
        <v>48</v>
      </c>
      <c r="B52" s="33"/>
      <c r="C52" s="35"/>
      <c r="D52" s="35" t="s">
        <v>20</v>
      </c>
      <c r="E52" s="35">
        <v>1</v>
      </c>
      <c r="F52" s="35">
        <v>0</v>
      </c>
      <c r="G52" s="35"/>
      <c r="H52" s="34"/>
    </row>
    <row r="53" spans="1:9" ht="17.25" x14ac:dyDescent="0.35">
      <c r="A53" s="33" t="s">
        <v>49</v>
      </c>
      <c r="B53" s="33"/>
      <c r="C53" s="35"/>
      <c r="D53" s="35" t="s">
        <v>20</v>
      </c>
      <c r="E53" s="35">
        <v>2</v>
      </c>
      <c r="F53" s="35">
        <v>2</v>
      </c>
      <c r="G53" s="35"/>
      <c r="H53" s="34"/>
    </row>
    <row r="54" spans="1:9" ht="17.25" x14ac:dyDescent="0.35">
      <c r="A54" s="33" t="s">
        <v>50</v>
      </c>
      <c r="B54" s="33"/>
      <c r="C54" s="35"/>
      <c r="D54" s="35" t="s">
        <v>20</v>
      </c>
      <c r="E54" s="35">
        <v>2</v>
      </c>
      <c r="F54" s="35" t="s">
        <v>51</v>
      </c>
      <c r="G54" s="35"/>
      <c r="H54" s="34"/>
    </row>
    <row r="55" spans="1:9" ht="17.25" x14ac:dyDescent="0.35">
      <c r="A55" s="33" t="s">
        <v>52</v>
      </c>
      <c r="B55" s="33"/>
      <c r="C55" s="35"/>
      <c r="D55" s="35" t="s">
        <v>20</v>
      </c>
      <c r="E55" s="35">
        <v>1</v>
      </c>
      <c r="F55" s="35" t="s">
        <v>53</v>
      </c>
      <c r="G55" s="35"/>
      <c r="H55" s="34"/>
    </row>
    <row r="56" spans="1:9" ht="17.25" x14ac:dyDescent="0.35">
      <c r="A56" s="33" t="s">
        <v>54</v>
      </c>
      <c r="B56" s="33"/>
      <c r="C56" s="35"/>
      <c r="D56" s="35" t="s">
        <v>20</v>
      </c>
      <c r="E56" s="35">
        <v>2</v>
      </c>
      <c r="F56" s="35">
        <v>4</v>
      </c>
      <c r="G56" s="35"/>
      <c r="H56" s="34"/>
    </row>
    <row r="57" spans="1:9" ht="17.25" x14ac:dyDescent="0.35">
      <c r="A57" s="45" t="s">
        <v>55</v>
      </c>
      <c r="B57" s="45"/>
      <c r="C57" s="46"/>
      <c r="D57" s="46" t="s">
        <v>20</v>
      </c>
      <c r="E57" s="46">
        <v>4</v>
      </c>
      <c r="F57" s="46" t="s">
        <v>237</v>
      </c>
      <c r="G57" s="46"/>
      <c r="H57" s="47"/>
      <c r="I57" s="48"/>
    </row>
    <row r="58" spans="1:9" ht="17.25" x14ac:dyDescent="0.35">
      <c r="A58" s="33" t="s">
        <v>59</v>
      </c>
      <c r="B58" s="33"/>
      <c r="C58" s="35"/>
      <c r="D58" s="35" t="s">
        <v>20</v>
      </c>
      <c r="E58" s="35">
        <v>1</v>
      </c>
      <c r="F58" s="35" t="s">
        <v>56</v>
      </c>
      <c r="G58" s="35"/>
      <c r="H58" s="34"/>
    </row>
    <row r="59" spans="1:9" ht="17.25" x14ac:dyDescent="0.35">
      <c r="A59" s="33" t="s">
        <v>60</v>
      </c>
      <c r="B59" s="33"/>
      <c r="C59" s="35"/>
      <c r="D59" s="35" t="s">
        <v>20</v>
      </c>
      <c r="E59" s="35">
        <v>2</v>
      </c>
      <c r="F59" s="35">
        <f>LEN(F60)</f>
        <v>15</v>
      </c>
      <c r="G59" s="35"/>
      <c r="H59" s="34"/>
    </row>
    <row r="60" spans="1:9" ht="17.25" x14ac:dyDescent="0.35">
      <c r="A60" s="139" t="s">
        <v>61</v>
      </c>
      <c r="B60" s="139"/>
      <c r="C60" s="87"/>
      <c r="D60" s="87" t="s">
        <v>57</v>
      </c>
      <c r="E60" s="87">
        <f>F59</f>
        <v>15</v>
      </c>
      <c r="F60" s="87" t="s">
        <v>123</v>
      </c>
      <c r="G60" s="87"/>
      <c r="H60" s="140" t="s">
        <v>58</v>
      </c>
    </row>
    <row r="61" spans="1:9" ht="17.25" x14ac:dyDescent="0.35">
      <c r="A61" s="33" t="s">
        <v>127</v>
      </c>
      <c r="B61" s="33"/>
      <c r="C61" s="35"/>
      <c r="D61" s="35" t="s">
        <v>20</v>
      </c>
      <c r="E61" s="35">
        <v>1</v>
      </c>
      <c r="F61" s="35" t="s">
        <v>128</v>
      </c>
      <c r="G61" s="35"/>
      <c r="H61" s="34"/>
    </row>
    <row r="62" spans="1:9" ht="17.25" x14ac:dyDescent="0.35">
      <c r="A62" s="33" t="s">
        <v>129</v>
      </c>
      <c r="B62" s="33"/>
      <c r="C62" s="35"/>
      <c r="D62" s="35" t="s">
        <v>20</v>
      </c>
      <c r="E62" s="35">
        <v>2</v>
      </c>
      <c r="F62" s="35">
        <v>4</v>
      </c>
      <c r="G62" s="35"/>
      <c r="H62" s="34"/>
    </row>
    <row r="63" spans="1:9" ht="17.25" x14ac:dyDescent="0.35">
      <c r="A63" s="45" t="s">
        <v>130</v>
      </c>
      <c r="B63" s="45"/>
      <c r="C63" s="46"/>
      <c r="D63" s="46" t="s">
        <v>20</v>
      </c>
      <c r="E63" s="46">
        <v>4</v>
      </c>
      <c r="F63" s="46" t="str">
        <f>$F$57</f>
        <v>0x0501013A</v>
      </c>
      <c r="G63" s="46"/>
      <c r="H63" s="47"/>
    </row>
    <row r="64" spans="1:9" ht="17.25" x14ac:dyDescent="0.35">
      <c r="A64" s="151" t="s">
        <v>217</v>
      </c>
      <c r="B64" s="151"/>
      <c r="C64" s="152"/>
      <c r="D64" s="153" t="s">
        <v>20</v>
      </c>
      <c r="E64" s="153">
        <v>1</v>
      </c>
      <c r="F64" s="154" t="s">
        <v>218</v>
      </c>
      <c r="G64" s="153"/>
      <c r="H64" s="155"/>
    </row>
    <row r="65" spans="1:8" ht="17.25" x14ac:dyDescent="0.35">
      <c r="A65" s="151" t="s">
        <v>219</v>
      </c>
      <c r="B65" s="151"/>
      <c r="C65" s="152"/>
      <c r="D65" s="153" t="s">
        <v>20</v>
      </c>
      <c r="E65" s="153">
        <v>2</v>
      </c>
      <c r="F65" s="156">
        <v>4</v>
      </c>
      <c r="G65" s="153"/>
      <c r="H65" s="155"/>
    </row>
    <row r="66" spans="1:8" ht="138" x14ac:dyDescent="0.35">
      <c r="A66" s="151" t="s">
        <v>220</v>
      </c>
      <c r="B66" s="151"/>
      <c r="C66" s="152"/>
      <c r="D66" s="153" t="s">
        <v>20</v>
      </c>
      <c r="E66" s="153">
        <v>4</v>
      </c>
      <c r="F66" s="153" t="s">
        <v>223</v>
      </c>
      <c r="G66" s="153"/>
      <c r="H66" s="155" t="s">
        <v>222</v>
      </c>
    </row>
  </sheetData>
  <mergeCells count="3">
    <mergeCell ref="A2:I2"/>
    <mergeCell ref="A4:H4"/>
    <mergeCell ref="A49:H49"/>
  </mergeCells>
  <conditionalFormatting sqref="B17:B18">
    <cfRule type="duplicateValues" dxfId="5" priority="2"/>
  </conditionalFormatting>
  <conditionalFormatting sqref="B16">
    <cfRule type="duplicateValues" dxfId="4" priority="1"/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K73"/>
  <sheetViews>
    <sheetView topLeftCell="A49" zoomScaleNormal="100" workbookViewId="0">
      <selection activeCell="B1" sqref="B1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14.42578125" bestFit="1" customWidth="1"/>
    <col min="6" max="6" width="26" bestFit="1" customWidth="1"/>
    <col min="7" max="7" width="10.42578125" bestFit="1" customWidth="1"/>
    <col min="8" max="8" width="66" style="10" customWidth="1"/>
    <col min="9" max="9" width="35.42578125" bestFit="1" customWidth="1"/>
    <col min="12" max="12" width="22.7109375" bestFit="1" customWidth="1"/>
  </cols>
  <sheetData>
    <row r="1" spans="1:9" x14ac:dyDescent="0.2">
      <c r="A1" s="89"/>
      <c r="B1" s="89"/>
      <c r="C1" s="89"/>
      <c r="D1" s="89"/>
      <c r="E1" s="89"/>
      <c r="F1" s="89"/>
      <c r="G1" s="89"/>
      <c r="H1" s="90"/>
      <c r="I1" s="89"/>
    </row>
    <row r="2" spans="1:9" s="7" customFormat="1" ht="45" customHeight="1" x14ac:dyDescent="0.55000000000000004">
      <c r="A2" s="158" t="s">
        <v>178</v>
      </c>
      <c r="B2" s="158"/>
      <c r="C2" s="158"/>
      <c r="D2" s="158"/>
      <c r="E2" s="158"/>
      <c r="F2" s="158"/>
      <c r="G2" s="158"/>
      <c r="H2" s="158"/>
      <c r="I2" s="158"/>
    </row>
    <row r="3" spans="1:9" ht="13.5" thickBot="1" x14ac:dyDescent="0.25">
      <c r="A3" s="91"/>
      <c r="B3" s="89"/>
      <c r="C3" s="89"/>
      <c r="D3" s="89"/>
      <c r="E3" s="89"/>
      <c r="F3" s="89"/>
      <c r="G3" s="89"/>
      <c r="H3" s="90"/>
      <c r="I3" s="89"/>
    </row>
    <row r="4" spans="1:9" s="8" customFormat="1" ht="20.25" thickBot="1" x14ac:dyDescent="0.45">
      <c r="A4" s="159" t="s">
        <v>65</v>
      </c>
      <c r="B4" s="160"/>
      <c r="C4" s="160"/>
      <c r="D4" s="160"/>
      <c r="E4" s="160"/>
      <c r="F4" s="160"/>
      <c r="G4" s="160"/>
      <c r="H4" s="161"/>
      <c r="I4" s="92"/>
    </row>
    <row r="5" spans="1:9" s="37" customFormat="1" ht="15.75" thickBot="1" x14ac:dyDescent="0.35">
      <c r="A5" s="93" t="s">
        <v>6</v>
      </c>
      <c r="B5" s="94" t="s">
        <v>5</v>
      </c>
      <c r="C5" s="93" t="s">
        <v>17</v>
      </c>
      <c r="D5" s="93" t="s">
        <v>18</v>
      </c>
      <c r="E5" s="93" t="s">
        <v>7</v>
      </c>
      <c r="F5" s="93" t="s">
        <v>19</v>
      </c>
      <c r="G5" s="95" t="s">
        <v>24</v>
      </c>
      <c r="H5" s="96" t="s">
        <v>8</v>
      </c>
      <c r="I5" s="42"/>
    </row>
    <row r="6" spans="1:9" s="49" customFormat="1" ht="17.25" x14ac:dyDescent="0.35">
      <c r="A6" s="97" t="s">
        <v>177</v>
      </c>
      <c r="B6" s="98">
        <v>3446</v>
      </c>
      <c r="C6" s="99"/>
      <c r="D6" s="100"/>
      <c r="E6" s="97" t="s">
        <v>176</v>
      </c>
      <c r="F6" s="99"/>
      <c r="G6" s="101" t="s">
        <v>27</v>
      </c>
      <c r="H6" s="102" t="s">
        <v>4</v>
      </c>
      <c r="I6" s="100"/>
    </row>
    <row r="7" spans="1:9" s="49" customFormat="1" ht="17.25" x14ac:dyDescent="0.35">
      <c r="A7" s="97"/>
      <c r="B7" s="98"/>
      <c r="C7" s="99" t="s">
        <v>20</v>
      </c>
      <c r="D7" s="100">
        <v>2</v>
      </c>
      <c r="E7" s="97" t="s">
        <v>175</v>
      </c>
      <c r="F7" s="99">
        <v>2</v>
      </c>
      <c r="G7" s="101"/>
      <c r="H7" s="102"/>
      <c r="I7" s="100"/>
    </row>
    <row r="8" spans="1:9" s="49" customFormat="1" ht="17.25" x14ac:dyDescent="0.35">
      <c r="A8" s="97"/>
      <c r="B8" s="98"/>
      <c r="C8" s="99" t="s">
        <v>20</v>
      </c>
      <c r="D8" s="100">
        <v>4</v>
      </c>
      <c r="E8" s="97" t="s">
        <v>174</v>
      </c>
      <c r="F8" s="99">
        <v>0</v>
      </c>
      <c r="G8" s="101"/>
      <c r="H8" s="102"/>
      <c r="I8" s="100"/>
    </row>
    <row r="9" spans="1:9" s="2" customFormat="1" ht="17.25" x14ac:dyDescent="0.35">
      <c r="A9" s="103" t="s">
        <v>86</v>
      </c>
      <c r="B9" s="98">
        <v>4398</v>
      </c>
      <c r="C9" s="99" t="s">
        <v>20</v>
      </c>
      <c r="D9" s="100">
        <v>1</v>
      </c>
      <c r="E9" s="103" t="s">
        <v>87</v>
      </c>
      <c r="F9" s="99">
        <v>0</v>
      </c>
      <c r="G9" s="104" t="s">
        <v>27</v>
      </c>
      <c r="H9" s="105"/>
      <c r="I9" s="100"/>
    </row>
    <row r="10" spans="1:9" s="49" customFormat="1" ht="17.25" x14ac:dyDescent="0.35">
      <c r="A10" s="103" t="s">
        <v>90</v>
      </c>
      <c r="B10" s="98">
        <v>6876</v>
      </c>
      <c r="C10" s="99"/>
      <c r="D10" s="100"/>
      <c r="E10" s="103"/>
      <c r="F10" s="99"/>
      <c r="G10" s="104" t="s">
        <v>27</v>
      </c>
      <c r="H10" s="105"/>
      <c r="I10" s="100"/>
    </row>
    <row r="11" spans="1:9" s="49" customFormat="1" ht="17.25" x14ac:dyDescent="0.35">
      <c r="A11" s="103"/>
      <c r="B11" s="98"/>
      <c r="C11" s="99" t="s">
        <v>20</v>
      </c>
      <c r="D11" s="100">
        <v>1</v>
      </c>
      <c r="E11" s="103" t="s">
        <v>91</v>
      </c>
      <c r="F11" s="99">
        <v>0</v>
      </c>
      <c r="G11" s="104"/>
      <c r="H11" s="105"/>
      <c r="I11" s="100"/>
    </row>
    <row r="12" spans="1:9" s="49" customFormat="1" ht="17.25" x14ac:dyDescent="0.35">
      <c r="A12" s="103"/>
      <c r="B12" s="98"/>
      <c r="C12" s="99" t="s">
        <v>20</v>
      </c>
      <c r="D12" s="100">
        <v>1</v>
      </c>
      <c r="E12" s="103" t="s">
        <v>92</v>
      </c>
      <c r="F12" s="99">
        <v>0</v>
      </c>
      <c r="G12" s="104"/>
      <c r="H12" s="105"/>
      <c r="I12" s="100"/>
    </row>
    <row r="13" spans="1:9" s="49" customFormat="1" ht="17.25" x14ac:dyDescent="0.35">
      <c r="A13" s="103"/>
      <c r="B13" s="98"/>
      <c r="C13" s="99" t="s">
        <v>20</v>
      </c>
      <c r="D13" s="100">
        <v>1</v>
      </c>
      <c r="E13" s="103" t="s">
        <v>93</v>
      </c>
      <c r="F13" s="99">
        <v>0</v>
      </c>
      <c r="G13" s="104"/>
      <c r="H13" s="105"/>
      <c r="I13" s="100"/>
    </row>
    <row r="14" spans="1:9" s="49" customFormat="1" ht="17.25" x14ac:dyDescent="0.35">
      <c r="A14" s="103"/>
      <c r="B14" s="98"/>
      <c r="C14" s="99" t="s">
        <v>20</v>
      </c>
      <c r="D14" s="100">
        <v>1</v>
      </c>
      <c r="E14" s="103" t="s">
        <v>94</v>
      </c>
      <c r="F14" s="99">
        <v>0</v>
      </c>
      <c r="G14" s="104"/>
      <c r="H14" s="105"/>
      <c r="I14" s="100"/>
    </row>
    <row r="15" spans="1:9" s="49" customFormat="1" ht="17.25" x14ac:dyDescent="0.35">
      <c r="A15" s="103"/>
      <c r="B15" s="98"/>
      <c r="C15" s="99" t="s">
        <v>20</v>
      </c>
      <c r="D15" s="100">
        <v>1</v>
      </c>
      <c r="E15" s="103" t="s">
        <v>95</v>
      </c>
      <c r="F15" s="99">
        <v>9</v>
      </c>
      <c r="G15" s="104"/>
      <c r="H15" s="105"/>
      <c r="I15" s="100"/>
    </row>
    <row r="16" spans="1:9" s="49" customFormat="1" ht="17.25" x14ac:dyDescent="0.35">
      <c r="A16" s="103"/>
      <c r="B16" s="98"/>
      <c r="C16" s="99"/>
      <c r="D16" s="100"/>
      <c r="E16" s="103"/>
      <c r="F16" s="99"/>
      <c r="G16" s="104"/>
      <c r="H16" s="105"/>
      <c r="I16" s="100"/>
    </row>
    <row r="17" spans="1:9" s="49" customFormat="1" ht="17.25" x14ac:dyDescent="0.35">
      <c r="A17" s="103" t="s">
        <v>119</v>
      </c>
      <c r="B17" s="98">
        <v>6907</v>
      </c>
      <c r="C17" s="99" t="s">
        <v>20</v>
      </c>
      <c r="D17" s="100">
        <v>1</v>
      </c>
      <c r="E17" s="103" t="s">
        <v>120</v>
      </c>
      <c r="F17" s="99">
        <v>1</v>
      </c>
      <c r="G17" s="104" t="s">
        <v>27</v>
      </c>
      <c r="H17" s="105"/>
      <c r="I17" s="100"/>
    </row>
    <row r="18" spans="1:9" s="2" customFormat="1" ht="15.75" thickBot="1" x14ac:dyDescent="0.35">
      <c r="A18" s="106"/>
      <c r="B18" s="32"/>
      <c r="C18" s="106"/>
      <c r="D18" s="106"/>
      <c r="E18" s="106"/>
      <c r="F18" s="106"/>
      <c r="G18" s="107"/>
      <c r="H18" s="108"/>
      <c r="I18" s="100"/>
    </row>
    <row r="19" spans="1:9" s="2" customFormat="1" ht="15.75" thickBot="1" x14ac:dyDescent="0.35">
      <c r="A19" s="109"/>
      <c r="B19" s="109"/>
      <c r="C19" s="109"/>
      <c r="D19" s="109"/>
      <c r="E19" s="109"/>
      <c r="F19" s="109"/>
      <c r="G19" s="109"/>
      <c r="H19" s="110"/>
      <c r="I19" s="111"/>
    </row>
    <row r="20" spans="1:9" s="8" customFormat="1" ht="20.25" thickBot="1" x14ac:dyDescent="0.45">
      <c r="A20" s="112" t="s">
        <v>23</v>
      </c>
      <c r="B20" s="113"/>
      <c r="C20" s="113"/>
      <c r="D20" s="113"/>
      <c r="E20" s="113"/>
      <c r="F20" s="113"/>
      <c r="G20" s="113"/>
      <c r="H20" s="113"/>
      <c r="I20" s="114"/>
    </row>
    <row r="21" spans="1:9" ht="15.75" thickBot="1" x14ac:dyDescent="0.35">
      <c r="A21" s="93" t="s">
        <v>9</v>
      </c>
      <c r="B21" s="93" t="s">
        <v>10</v>
      </c>
      <c r="C21" s="93" t="s">
        <v>17</v>
      </c>
      <c r="D21" s="94" t="s">
        <v>26</v>
      </c>
      <c r="E21" s="93" t="s">
        <v>25</v>
      </c>
      <c r="F21" s="93" t="s">
        <v>19</v>
      </c>
      <c r="G21" s="115" t="s">
        <v>24</v>
      </c>
      <c r="H21" s="96" t="s">
        <v>28</v>
      </c>
      <c r="I21" s="116" t="s">
        <v>11</v>
      </c>
    </row>
    <row r="22" spans="1:9" x14ac:dyDescent="0.2">
      <c r="A22" s="89"/>
      <c r="B22" s="89"/>
      <c r="C22" s="89"/>
      <c r="D22" s="89"/>
      <c r="E22" s="89"/>
      <c r="F22" s="89"/>
      <c r="G22" s="89"/>
      <c r="H22" s="90"/>
      <c r="I22" s="89"/>
    </row>
    <row r="23" spans="1:9" s="27" customFormat="1" ht="15" x14ac:dyDescent="0.3">
      <c r="A23" s="117" t="s">
        <v>32</v>
      </c>
      <c r="B23" s="118"/>
      <c r="C23" s="118"/>
      <c r="D23" s="118"/>
      <c r="E23" s="118"/>
      <c r="F23" s="118"/>
      <c r="G23" s="118"/>
      <c r="H23" s="119"/>
      <c r="I23" s="120"/>
    </row>
    <row r="24" spans="1:9" s="18" customFormat="1" ht="15" x14ac:dyDescent="0.3">
      <c r="A24" s="13"/>
      <c r="B24" s="13"/>
      <c r="C24" s="13"/>
      <c r="D24" s="14"/>
      <c r="E24" s="13"/>
      <c r="F24" s="13"/>
      <c r="G24" s="15"/>
      <c r="H24" s="16"/>
      <c r="I24" s="17"/>
    </row>
    <row r="25" spans="1:9" s="20" customFormat="1" ht="15" x14ac:dyDescent="0.3">
      <c r="A25" s="21" t="s">
        <v>33</v>
      </c>
      <c r="B25" s="21"/>
      <c r="C25" s="21"/>
      <c r="D25" s="22"/>
      <c r="E25" s="21"/>
      <c r="F25" s="21"/>
      <c r="G25" s="23"/>
      <c r="H25" s="24"/>
      <c r="I25" s="25"/>
    </row>
    <row r="26" spans="1:9" s="18" customFormat="1" ht="15" x14ac:dyDescent="0.3">
      <c r="A26" s="13"/>
      <c r="B26" s="13"/>
      <c r="C26" s="13"/>
      <c r="D26" s="14"/>
      <c r="E26" s="13"/>
      <c r="F26" s="13"/>
      <c r="G26" s="15"/>
      <c r="H26" s="16"/>
      <c r="I26" s="17"/>
    </row>
    <row r="27" spans="1:9" s="27" customFormat="1" ht="15" x14ac:dyDescent="0.3">
      <c r="A27" s="26" t="s">
        <v>34</v>
      </c>
      <c r="B27" s="121"/>
      <c r="C27" s="121"/>
      <c r="D27" s="121"/>
      <c r="E27" s="121"/>
      <c r="F27" s="121"/>
      <c r="G27" s="121" t="s">
        <v>4</v>
      </c>
      <c r="H27" s="122"/>
      <c r="I27" s="121"/>
    </row>
    <row r="28" spans="1:9" s="18" customFormat="1" ht="15" x14ac:dyDescent="0.3">
      <c r="A28" s="13"/>
      <c r="B28" s="13"/>
      <c r="C28" s="13"/>
      <c r="D28" s="14"/>
      <c r="E28" s="13"/>
      <c r="F28" s="13"/>
      <c r="G28" s="15"/>
      <c r="H28" s="16"/>
      <c r="I28" s="17"/>
    </row>
    <row r="29" spans="1:9" ht="15" x14ac:dyDescent="0.3">
      <c r="A29" s="28" t="s">
        <v>35</v>
      </c>
      <c r="B29" s="123"/>
      <c r="C29" s="123"/>
      <c r="D29" s="123"/>
      <c r="E29" s="123"/>
      <c r="F29" s="123"/>
      <c r="G29" s="123"/>
      <c r="H29" s="124"/>
      <c r="I29" s="123"/>
    </row>
    <row r="30" spans="1:9" ht="15" x14ac:dyDescent="0.3">
      <c r="A30" s="13"/>
      <c r="B30" s="13"/>
      <c r="C30" s="13"/>
      <c r="D30" s="13"/>
      <c r="E30" s="13"/>
      <c r="F30" s="14"/>
      <c r="G30" s="15"/>
      <c r="H30" s="19"/>
      <c r="I30" s="17"/>
    </row>
    <row r="31" spans="1:9" ht="15" x14ac:dyDescent="0.3">
      <c r="A31" s="29" t="s">
        <v>36</v>
      </c>
      <c r="B31" s="125"/>
      <c r="C31" s="125"/>
      <c r="D31" s="125"/>
      <c r="E31" s="125"/>
      <c r="F31" s="125"/>
      <c r="G31" s="125"/>
      <c r="H31" s="126"/>
      <c r="I31" s="125"/>
    </row>
    <row r="32" spans="1:9" ht="15" x14ac:dyDescent="0.3">
      <c r="A32" s="13"/>
      <c r="B32" s="13"/>
      <c r="C32" s="13"/>
      <c r="D32" s="13"/>
      <c r="E32" s="13"/>
      <c r="F32" s="14"/>
      <c r="G32" s="15"/>
      <c r="H32" s="19"/>
      <c r="I32" s="17"/>
    </row>
    <row r="33" spans="1:11" ht="15" x14ac:dyDescent="0.3">
      <c r="A33" s="30" t="s">
        <v>38</v>
      </c>
      <c r="B33" s="127"/>
      <c r="C33" s="127"/>
      <c r="D33" s="127"/>
      <c r="E33" s="127"/>
      <c r="F33" s="127"/>
      <c r="G33" s="127" t="s">
        <v>4</v>
      </c>
      <c r="H33" s="128"/>
      <c r="I33" s="127"/>
    </row>
    <row r="34" spans="1:11" ht="15" x14ac:dyDescent="0.3">
      <c r="A34" s="13"/>
      <c r="B34" s="13"/>
      <c r="C34" s="13"/>
      <c r="D34" s="13"/>
      <c r="E34" s="13"/>
      <c r="F34" s="14"/>
      <c r="G34" s="15"/>
      <c r="H34" s="19"/>
      <c r="I34" s="17"/>
    </row>
    <row r="35" spans="1:11" ht="15" x14ac:dyDescent="0.3">
      <c r="A35" s="13"/>
      <c r="B35" s="13"/>
      <c r="C35" s="13"/>
      <c r="D35" s="13"/>
      <c r="E35" s="13"/>
      <c r="F35" s="14"/>
      <c r="G35" s="15" t="s">
        <v>4</v>
      </c>
      <c r="H35" s="19"/>
      <c r="I35" s="17"/>
    </row>
    <row r="36" spans="1:11" ht="15" x14ac:dyDescent="0.3">
      <c r="A36" s="117" t="s">
        <v>37</v>
      </c>
      <c r="B36" s="118"/>
      <c r="C36" s="118"/>
      <c r="D36" s="118"/>
      <c r="E36" s="118"/>
      <c r="F36" s="118"/>
      <c r="G36" s="118"/>
      <c r="H36" s="119"/>
      <c r="I36" s="120"/>
    </row>
    <row r="37" spans="1:11" s="53" customFormat="1" ht="51.75" x14ac:dyDescent="0.35">
      <c r="A37" s="135" t="s">
        <v>71</v>
      </c>
      <c r="B37" s="136" t="s">
        <v>72</v>
      </c>
      <c r="C37" s="137" t="s">
        <v>21</v>
      </c>
      <c r="D37" s="138"/>
      <c r="E37" s="138"/>
      <c r="F37" s="137"/>
      <c r="G37" s="138" t="s">
        <v>27</v>
      </c>
      <c r="H37" s="136" t="s">
        <v>115</v>
      </c>
      <c r="I37" s="133" t="s">
        <v>74</v>
      </c>
      <c r="J37" s="54"/>
      <c r="K37" s="54"/>
    </row>
    <row r="38" spans="1:11" s="53" customFormat="1" ht="17.25" x14ac:dyDescent="0.35">
      <c r="A38" s="135" t="s">
        <v>89</v>
      </c>
      <c r="B38" s="136" t="s">
        <v>88</v>
      </c>
      <c r="C38" s="137" t="s">
        <v>85</v>
      </c>
      <c r="D38" s="138"/>
      <c r="E38" s="138"/>
      <c r="F38" s="137"/>
      <c r="G38" s="138" t="s">
        <v>27</v>
      </c>
      <c r="H38" s="136"/>
      <c r="I38" s="133">
        <v>65683</v>
      </c>
      <c r="J38" s="54"/>
      <c r="K38" s="54"/>
    </row>
    <row r="39" spans="1:11" s="52" customFormat="1" ht="17.25" x14ac:dyDescent="0.35">
      <c r="A39" s="135"/>
      <c r="B39" s="136"/>
      <c r="C39" s="137"/>
      <c r="D39" s="138" t="s">
        <v>20</v>
      </c>
      <c r="E39" s="138">
        <v>1</v>
      </c>
      <c r="F39" s="137">
        <v>2</v>
      </c>
      <c r="G39" s="138"/>
      <c r="H39" s="136"/>
      <c r="I39" s="133"/>
      <c r="J39" s="55"/>
      <c r="K39" s="55"/>
    </row>
    <row r="40" spans="1:11" s="51" customFormat="1" ht="17.25" x14ac:dyDescent="0.35">
      <c r="A40" s="129" t="s">
        <v>137</v>
      </c>
      <c r="B40" s="130" t="s">
        <v>138</v>
      </c>
      <c r="C40" s="131" t="s">
        <v>85</v>
      </c>
      <c r="D40" s="131"/>
      <c r="E40" s="130"/>
      <c r="F40" s="131"/>
      <c r="G40" s="131" t="s">
        <v>27</v>
      </c>
      <c r="H40" s="132"/>
      <c r="I40" s="134">
        <v>73671</v>
      </c>
    </row>
    <row r="41" spans="1:11" s="51" customFormat="1" ht="17.25" x14ac:dyDescent="0.35">
      <c r="A41" s="129"/>
      <c r="B41" s="130"/>
      <c r="C41" s="131"/>
      <c r="D41" s="131" t="s">
        <v>20</v>
      </c>
      <c r="E41" s="130">
        <v>1</v>
      </c>
      <c r="F41" s="131">
        <v>1</v>
      </c>
      <c r="G41" s="131"/>
      <c r="H41" s="132"/>
      <c r="I41" s="134"/>
    </row>
    <row r="42" spans="1:11" s="51" customFormat="1" ht="17.25" x14ac:dyDescent="0.35">
      <c r="A42" s="129" t="s">
        <v>100</v>
      </c>
      <c r="B42" s="130" t="s">
        <v>101</v>
      </c>
      <c r="C42" s="131" t="s">
        <v>85</v>
      </c>
      <c r="D42" s="131"/>
      <c r="E42" s="130"/>
      <c r="F42" s="131"/>
      <c r="G42" s="131" t="s">
        <v>27</v>
      </c>
      <c r="H42" s="132"/>
      <c r="I42" s="134">
        <v>70266</v>
      </c>
    </row>
    <row r="43" spans="1:11" s="51" customFormat="1" ht="17.25" x14ac:dyDescent="0.35">
      <c r="A43" s="129"/>
      <c r="B43" s="130"/>
      <c r="C43" s="131"/>
      <c r="D43" s="131" t="s">
        <v>20</v>
      </c>
      <c r="E43" s="130">
        <v>1</v>
      </c>
      <c r="F43" s="131">
        <v>1</v>
      </c>
      <c r="G43" s="131"/>
      <c r="H43" s="132"/>
      <c r="I43" s="134"/>
    </row>
    <row r="44" spans="1:11" s="51" customFormat="1" ht="17.25" x14ac:dyDescent="0.35">
      <c r="A44" s="129" t="s">
        <v>173</v>
      </c>
      <c r="B44" s="130" t="s">
        <v>172</v>
      </c>
      <c r="C44" s="131" t="s">
        <v>21</v>
      </c>
      <c r="D44" s="131"/>
      <c r="E44" s="130"/>
      <c r="F44" s="131"/>
      <c r="G44" s="131" t="s">
        <v>27</v>
      </c>
      <c r="H44" s="132" t="s">
        <v>171</v>
      </c>
      <c r="I44" s="134"/>
    </row>
    <row r="45" spans="1:11" s="51" customFormat="1" ht="17.25" x14ac:dyDescent="0.35">
      <c r="A45" s="129" t="s">
        <v>170</v>
      </c>
      <c r="B45" s="130" t="s">
        <v>169</v>
      </c>
      <c r="C45" s="131" t="s">
        <v>85</v>
      </c>
      <c r="D45" s="131"/>
      <c r="E45" s="130"/>
      <c r="F45" s="131"/>
      <c r="G45" s="131" t="s">
        <v>168</v>
      </c>
      <c r="H45" s="132"/>
      <c r="I45" s="134">
        <v>73502</v>
      </c>
    </row>
    <row r="46" spans="1:11" s="51" customFormat="1" ht="17.25" x14ac:dyDescent="0.35">
      <c r="A46" s="129"/>
      <c r="B46" s="130"/>
      <c r="C46" s="131"/>
      <c r="D46" s="131" t="s">
        <v>20</v>
      </c>
      <c r="E46" s="130">
        <v>1</v>
      </c>
      <c r="F46" s="131">
        <v>62</v>
      </c>
      <c r="G46" s="131"/>
      <c r="H46" s="132"/>
      <c r="I46" s="134"/>
    </row>
    <row r="47" spans="1:11" s="51" customFormat="1" ht="17.25" x14ac:dyDescent="0.35">
      <c r="A47" s="129" t="s">
        <v>156</v>
      </c>
      <c r="B47" s="130" t="s">
        <v>167</v>
      </c>
      <c r="C47" s="131" t="s">
        <v>85</v>
      </c>
      <c r="D47" s="131"/>
      <c r="E47" s="130"/>
      <c r="F47" s="131"/>
      <c r="G47" s="131" t="s">
        <v>27</v>
      </c>
      <c r="H47" s="132"/>
      <c r="I47" s="134">
        <v>70287</v>
      </c>
    </row>
    <row r="48" spans="1:11" s="51" customFormat="1" ht="17.25" x14ac:dyDescent="0.35">
      <c r="A48" s="129"/>
      <c r="B48" s="130"/>
      <c r="C48" s="131"/>
      <c r="D48" s="131" t="s">
        <v>20</v>
      </c>
      <c r="E48" s="130">
        <v>1</v>
      </c>
      <c r="F48" s="131">
        <v>1</v>
      </c>
      <c r="G48" s="131"/>
      <c r="H48" s="132"/>
      <c r="I48" s="134"/>
    </row>
    <row r="49" spans="1:9" ht="17.25" x14ac:dyDescent="0.35">
      <c r="A49" s="129" t="s">
        <v>166</v>
      </c>
      <c r="B49" s="130" t="s">
        <v>165</v>
      </c>
      <c r="C49" s="131" t="s">
        <v>85</v>
      </c>
      <c r="D49" s="131"/>
      <c r="E49" s="130"/>
      <c r="F49" s="131"/>
      <c r="G49" s="131" t="s">
        <v>27</v>
      </c>
      <c r="H49" s="132"/>
      <c r="I49" s="134">
        <v>70361</v>
      </c>
    </row>
    <row r="50" spans="1:9" ht="17.25" x14ac:dyDescent="0.35">
      <c r="A50" s="129"/>
      <c r="B50" s="130"/>
      <c r="C50" s="131"/>
      <c r="D50" s="131" t="s">
        <v>20</v>
      </c>
      <c r="E50" s="130">
        <v>1</v>
      </c>
      <c r="F50" s="131">
        <v>0</v>
      </c>
      <c r="G50" s="131"/>
      <c r="H50" s="132"/>
      <c r="I50" s="134"/>
    </row>
    <row r="51" spans="1:9" ht="17.25" x14ac:dyDescent="0.35">
      <c r="A51" s="129" t="s">
        <v>156</v>
      </c>
      <c r="B51" s="130" t="s">
        <v>157</v>
      </c>
      <c r="C51" s="131" t="s">
        <v>85</v>
      </c>
      <c r="D51" s="131"/>
      <c r="E51" s="130"/>
      <c r="F51" s="131"/>
      <c r="G51" s="131" t="s">
        <v>27</v>
      </c>
      <c r="H51" s="132"/>
      <c r="I51" s="134">
        <v>70287</v>
      </c>
    </row>
    <row r="52" spans="1:9" ht="17.25" x14ac:dyDescent="0.35">
      <c r="A52" s="129"/>
      <c r="B52" s="130"/>
      <c r="C52" s="131"/>
      <c r="D52" s="131" t="s">
        <v>20</v>
      </c>
      <c r="E52" s="130">
        <v>1</v>
      </c>
      <c r="F52" s="131">
        <v>1</v>
      </c>
      <c r="G52" s="131"/>
      <c r="H52" s="132"/>
      <c r="I52" s="134"/>
    </row>
    <row r="53" spans="1:9" ht="15" x14ac:dyDescent="0.3">
      <c r="A53" s="13"/>
      <c r="B53" s="13"/>
      <c r="C53" s="13"/>
      <c r="D53" s="13"/>
      <c r="E53" s="13"/>
      <c r="F53" s="14"/>
      <c r="G53" s="15"/>
      <c r="H53" s="19"/>
      <c r="I53" s="17"/>
    </row>
    <row r="55" spans="1:9" ht="13.5" thickBot="1" x14ac:dyDescent="0.25"/>
    <row r="56" spans="1:9" ht="19.5" x14ac:dyDescent="0.4">
      <c r="A56" s="165" t="s">
        <v>41</v>
      </c>
      <c r="B56" s="166"/>
      <c r="C56" s="166"/>
      <c r="D56" s="166"/>
      <c r="E56" s="166"/>
      <c r="F56" s="166"/>
      <c r="G56" s="166"/>
      <c r="H56" s="167"/>
    </row>
    <row r="57" spans="1:9" ht="17.25" x14ac:dyDescent="0.35">
      <c r="A57" s="84" t="s">
        <v>42</v>
      </c>
      <c r="B57" s="84"/>
      <c r="C57" s="84" t="s">
        <v>17</v>
      </c>
      <c r="D57" s="84" t="s">
        <v>43</v>
      </c>
      <c r="E57" s="84" t="s">
        <v>44</v>
      </c>
      <c r="F57" s="84" t="s">
        <v>45</v>
      </c>
      <c r="G57" s="84" t="s">
        <v>24</v>
      </c>
      <c r="H57" s="83"/>
    </row>
    <row r="58" spans="1:9" s="48" customFormat="1" ht="17.25" x14ac:dyDescent="0.35">
      <c r="A58" s="86" t="s">
        <v>122</v>
      </c>
      <c r="B58" s="86"/>
      <c r="C58" s="87" t="s">
        <v>46</v>
      </c>
      <c r="D58" s="87"/>
      <c r="E58" s="87"/>
      <c r="F58" s="87"/>
      <c r="G58" s="87" t="s">
        <v>47</v>
      </c>
      <c r="H58" s="88"/>
      <c r="I58"/>
    </row>
    <row r="59" spans="1:9" ht="17.25" x14ac:dyDescent="0.35">
      <c r="A59" s="84" t="s">
        <v>48</v>
      </c>
      <c r="B59" s="84"/>
      <c r="C59" s="35"/>
      <c r="D59" s="35" t="s">
        <v>20</v>
      </c>
      <c r="E59" s="35">
        <v>1</v>
      </c>
      <c r="F59" s="35">
        <v>0</v>
      </c>
      <c r="G59" s="35"/>
      <c r="H59" s="83"/>
    </row>
    <row r="60" spans="1:9" ht="17.25" x14ac:dyDescent="0.35">
      <c r="A60" s="84" t="s">
        <v>49</v>
      </c>
      <c r="B60" s="84"/>
      <c r="C60" s="35"/>
      <c r="D60" s="35" t="s">
        <v>20</v>
      </c>
      <c r="E60" s="35">
        <v>2</v>
      </c>
      <c r="F60" s="35">
        <v>2</v>
      </c>
      <c r="G60" s="35"/>
      <c r="H60" s="83"/>
    </row>
    <row r="61" spans="1:9" ht="17.25" x14ac:dyDescent="0.35">
      <c r="A61" s="84" t="s">
        <v>50</v>
      </c>
      <c r="B61" s="84"/>
      <c r="C61" s="35"/>
      <c r="D61" s="35" t="s">
        <v>20</v>
      </c>
      <c r="E61" s="35">
        <v>2</v>
      </c>
      <c r="F61" s="35" t="s">
        <v>51</v>
      </c>
      <c r="G61" s="35"/>
      <c r="H61" s="83"/>
    </row>
    <row r="62" spans="1:9" ht="17.25" x14ac:dyDescent="0.35">
      <c r="A62" s="84" t="s">
        <v>52</v>
      </c>
      <c r="B62" s="84"/>
      <c r="C62" s="35"/>
      <c r="D62" s="35" t="s">
        <v>20</v>
      </c>
      <c r="E62" s="35">
        <v>1</v>
      </c>
      <c r="F62" s="35" t="s">
        <v>53</v>
      </c>
      <c r="G62" s="35"/>
      <c r="H62" s="83"/>
    </row>
    <row r="63" spans="1:9" ht="17.25" x14ac:dyDescent="0.35">
      <c r="A63" s="84" t="s">
        <v>54</v>
      </c>
      <c r="B63" s="84"/>
      <c r="C63" s="35"/>
      <c r="D63" s="35" t="s">
        <v>20</v>
      </c>
      <c r="E63" s="35">
        <v>2</v>
      </c>
      <c r="F63" s="35">
        <v>4</v>
      </c>
      <c r="G63" s="35"/>
      <c r="H63" s="83"/>
    </row>
    <row r="64" spans="1:9" ht="17.25" x14ac:dyDescent="0.35">
      <c r="A64" s="82" t="s">
        <v>55</v>
      </c>
      <c r="B64" s="82"/>
      <c r="C64" s="46"/>
      <c r="D64" s="46" t="s">
        <v>20</v>
      </c>
      <c r="E64" s="46">
        <v>4</v>
      </c>
      <c r="F64" s="46" t="s">
        <v>226</v>
      </c>
      <c r="G64" s="46"/>
      <c r="H64" s="81"/>
      <c r="I64" s="48"/>
    </row>
    <row r="65" spans="1:8" ht="17.25" x14ac:dyDescent="0.35">
      <c r="A65" s="84" t="s">
        <v>59</v>
      </c>
      <c r="B65" s="84"/>
      <c r="C65" s="35"/>
      <c r="D65" s="35" t="s">
        <v>20</v>
      </c>
      <c r="E65" s="35">
        <v>1</v>
      </c>
      <c r="F65" s="35" t="s">
        <v>56</v>
      </c>
      <c r="G65" s="35"/>
      <c r="H65" s="83"/>
    </row>
    <row r="66" spans="1:8" ht="17.25" x14ac:dyDescent="0.35">
      <c r="A66" s="84" t="s">
        <v>60</v>
      </c>
      <c r="B66" s="84"/>
      <c r="C66" s="35"/>
      <c r="D66" s="35" t="s">
        <v>20</v>
      </c>
      <c r="E66" s="35">
        <v>2</v>
      </c>
      <c r="F66" s="35">
        <f>LEN(F67)</f>
        <v>28</v>
      </c>
      <c r="G66" s="35"/>
      <c r="H66" s="83"/>
    </row>
    <row r="67" spans="1:8" ht="17.25" x14ac:dyDescent="0.35">
      <c r="A67" s="86" t="s">
        <v>61</v>
      </c>
      <c r="B67" s="86"/>
      <c r="C67" s="87"/>
      <c r="D67" s="87" t="s">
        <v>57</v>
      </c>
      <c r="E67" s="87">
        <f>F66</f>
        <v>28</v>
      </c>
      <c r="F67" s="87" t="s">
        <v>181</v>
      </c>
      <c r="G67" s="87"/>
      <c r="H67" s="88" t="s">
        <v>58</v>
      </c>
    </row>
    <row r="68" spans="1:8" ht="17.25" x14ac:dyDescent="0.35">
      <c r="A68" s="84" t="s">
        <v>127</v>
      </c>
      <c r="B68" s="84"/>
      <c r="C68" s="35"/>
      <c r="D68" s="35" t="s">
        <v>20</v>
      </c>
      <c r="E68" s="35">
        <v>1</v>
      </c>
      <c r="F68" s="35" t="s">
        <v>128</v>
      </c>
      <c r="G68" s="35"/>
      <c r="H68" s="83"/>
    </row>
    <row r="69" spans="1:8" ht="17.25" x14ac:dyDescent="0.35">
      <c r="A69" s="84" t="s">
        <v>129</v>
      </c>
      <c r="B69" s="84"/>
      <c r="C69" s="35"/>
      <c r="D69" s="35" t="s">
        <v>20</v>
      </c>
      <c r="E69" s="35">
        <v>2</v>
      </c>
      <c r="F69" s="35">
        <v>4</v>
      </c>
      <c r="G69" s="35"/>
      <c r="H69" s="83"/>
    </row>
    <row r="70" spans="1:8" ht="17.25" x14ac:dyDescent="0.35">
      <c r="A70" s="82" t="s">
        <v>130</v>
      </c>
      <c r="B70" s="82"/>
      <c r="C70" s="46"/>
      <c r="D70" s="46" t="s">
        <v>20</v>
      </c>
      <c r="E70" s="46">
        <v>4</v>
      </c>
      <c r="F70" s="46" t="str">
        <f>F64</f>
        <v>0x05010146</v>
      </c>
      <c r="G70" s="46"/>
      <c r="H70" s="81"/>
    </row>
    <row r="71" spans="1:8" ht="17.25" x14ac:dyDescent="0.35">
      <c r="A71" s="151" t="s">
        <v>217</v>
      </c>
      <c r="B71" s="151"/>
      <c r="C71" s="152"/>
      <c r="D71" s="153" t="s">
        <v>20</v>
      </c>
      <c r="E71" s="153">
        <v>1</v>
      </c>
      <c r="F71" s="154" t="s">
        <v>218</v>
      </c>
      <c r="G71" s="153"/>
      <c r="H71" s="155"/>
    </row>
    <row r="72" spans="1:8" ht="17.25" x14ac:dyDescent="0.35">
      <c r="A72" s="151" t="s">
        <v>219</v>
      </c>
      <c r="B72" s="151"/>
      <c r="C72" s="152"/>
      <c r="D72" s="153" t="s">
        <v>20</v>
      </c>
      <c r="E72" s="153">
        <v>2</v>
      </c>
      <c r="F72" s="156">
        <v>4</v>
      </c>
      <c r="G72" s="153"/>
      <c r="H72" s="155"/>
    </row>
    <row r="73" spans="1:8" ht="138" x14ac:dyDescent="0.35">
      <c r="A73" s="151" t="s">
        <v>220</v>
      </c>
      <c r="B73" s="151"/>
      <c r="C73" s="152"/>
      <c r="D73" s="153" t="s">
        <v>20</v>
      </c>
      <c r="E73" s="153">
        <v>4</v>
      </c>
      <c r="F73" s="153" t="s">
        <v>223</v>
      </c>
      <c r="G73" s="153"/>
      <c r="H73" s="155" t="s">
        <v>222</v>
      </c>
    </row>
  </sheetData>
  <mergeCells count="3">
    <mergeCell ref="A2:I2"/>
    <mergeCell ref="A4:H4"/>
    <mergeCell ref="A56:H56"/>
  </mergeCells>
  <conditionalFormatting sqref="B7:B8">
    <cfRule type="duplicateValues" dxfId="3" priority="2"/>
  </conditionalFormatting>
  <conditionalFormatting sqref="B6">
    <cfRule type="duplicateValues" dxfId="2" priority="1"/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K70"/>
  <sheetViews>
    <sheetView topLeftCell="A45" zoomScaleNormal="100" workbookViewId="0">
      <selection activeCell="B1" sqref="B1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14.42578125" bestFit="1" customWidth="1"/>
    <col min="6" max="6" width="26" bestFit="1" customWidth="1"/>
    <col min="7" max="7" width="10.42578125" bestFit="1" customWidth="1"/>
    <col min="8" max="8" width="70.5703125" style="10" customWidth="1"/>
    <col min="9" max="9" width="35.42578125" bestFit="1" customWidth="1"/>
    <col min="12" max="12" width="22.7109375" bestFit="1" customWidth="1"/>
  </cols>
  <sheetData>
    <row r="1" spans="1:9" x14ac:dyDescent="0.2">
      <c r="A1" s="89"/>
      <c r="B1" s="89"/>
      <c r="C1" s="89"/>
      <c r="D1" s="89"/>
      <c r="E1" s="89"/>
      <c r="F1" s="89"/>
      <c r="G1" s="89"/>
      <c r="H1" s="90"/>
      <c r="I1" s="89"/>
    </row>
    <row r="2" spans="1:9" s="7" customFormat="1" ht="45" customHeight="1" x14ac:dyDescent="0.55000000000000004">
      <c r="A2" s="158" t="s">
        <v>179</v>
      </c>
      <c r="B2" s="158"/>
      <c r="C2" s="158"/>
      <c r="D2" s="158"/>
      <c r="E2" s="158"/>
      <c r="F2" s="158"/>
      <c r="G2" s="158"/>
      <c r="H2" s="158"/>
      <c r="I2" s="158"/>
    </row>
    <row r="3" spans="1:9" ht="13.5" thickBot="1" x14ac:dyDescent="0.25">
      <c r="A3" s="91"/>
      <c r="B3" s="89"/>
      <c r="C3" s="89"/>
      <c r="D3" s="89"/>
      <c r="E3" s="89"/>
      <c r="F3" s="89"/>
      <c r="G3" s="89"/>
      <c r="H3" s="90"/>
      <c r="I3" s="89"/>
    </row>
    <row r="4" spans="1:9" s="8" customFormat="1" ht="20.25" thickBot="1" x14ac:dyDescent="0.45">
      <c r="A4" s="159" t="s">
        <v>65</v>
      </c>
      <c r="B4" s="160"/>
      <c r="C4" s="160"/>
      <c r="D4" s="160"/>
      <c r="E4" s="160"/>
      <c r="F4" s="160"/>
      <c r="G4" s="160"/>
      <c r="H4" s="161"/>
      <c r="I4" s="92"/>
    </row>
    <row r="5" spans="1:9" s="37" customFormat="1" ht="15.75" thickBot="1" x14ac:dyDescent="0.35">
      <c r="A5" s="93" t="s">
        <v>6</v>
      </c>
      <c r="B5" s="94" t="s">
        <v>5</v>
      </c>
      <c r="C5" s="93" t="s">
        <v>17</v>
      </c>
      <c r="D5" s="93" t="s">
        <v>18</v>
      </c>
      <c r="E5" s="93" t="s">
        <v>7</v>
      </c>
      <c r="F5" s="93" t="s">
        <v>19</v>
      </c>
      <c r="G5" s="95" t="s">
        <v>24</v>
      </c>
      <c r="H5" s="96" t="s">
        <v>8</v>
      </c>
      <c r="I5" s="42"/>
    </row>
    <row r="6" spans="1:9" s="49" customFormat="1" ht="17.25" x14ac:dyDescent="0.35">
      <c r="A6" s="97" t="s">
        <v>177</v>
      </c>
      <c r="B6" s="98">
        <v>3446</v>
      </c>
      <c r="C6" s="99"/>
      <c r="D6" s="100"/>
      <c r="E6" s="97" t="s">
        <v>176</v>
      </c>
      <c r="F6" s="99"/>
      <c r="G6" s="101" t="s">
        <v>27</v>
      </c>
      <c r="H6" s="102" t="s">
        <v>4</v>
      </c>
      <c r="I6" s="100"/>
    </row>
    <row r="7" spans="1:9" s="49" customFormat="1" ht="17.25" x14ac:dyDescent="0.35">
      <c r="A7" s="97"/>
      <c r="B7" s="98"/>
      <c r="C7" s="99" t="s">
        <v>20</v>
      </c>
      <c r="D7" s="100">
        <v>2</v>
      </c>
      <c r="E7" s="97" t="s">
        <v>175</v>
      </c>
      <c r="F7" s="99">
        <v>2</v>
      </c>
      <c r="G7" s="101"/>
      <c r="H7" s="102"/>
      <c r="I7" s="100"/>
    </row>
    <row r="8" spans="1:9" s="49" customFormat="1" ht="17.25" x14ac:dyDescent="0.35">
      <c r="A8" s="97"/>
      <c r="B8" s="98"/>
      <c r="C8" s="99" t="s">
        <v>20</v>
      </c>
      <c r="D8" s="100">
        <v>4</v>
      </c>
      <c r="E8" s="97" t="s">
        <v>174</v>
      </c>
      <c r="F8" s="99">
        <v>0</v>
      </c>
      <c r="G8" s="101"/>
      <c r="H8" s="102"/>
      <c r="I8" s="100"/>
    </row>
    <row r="9" spans="1:9" s="2" customFormat="1" ht="17.25" x14ac:dyDescent="0.35">
      <c r="A9" s="103" t="s">
        <v>86</v>
      </c>
      <c r="B9" s="98">
        <v>4398</v>
      </c>
      <c r="C9" s="99" t="s">
        <v>20</v>
      </c>
      <c r="D9" s="100">
        <v>1</v>
      </c>
      <c r="E9" s="103" t="s">
        <v>87</v>
      </c>
      <c r="F9" s="99">
        <v>0</v>
      </c>
      <c r="G9" s="104" t="s">
        <v>27</v>
      </c>
      <c r="H9" s="105"/>
      <c r="I9" s="100"/>
    </row>
    <row r="10" spans="1:9" s="2" customFormat="1" ht="17.25" x14ac:dyDescent="0.35">
      <c r="A10" s="103" t="s">
        <v>90</v>
      </c>
      <c r="B10" s="98">
        <v>6876</v>
      </c>
      <c r="C10" s="99"/>
      <c r="D10" s="100"/>
      <c r="E10" s="103"/>
      <c r="F10" s="99"/>
      <c r="G10" s="104" t="s">
        <v>27</v>
      </c>
      <c r="H10" s="105"/>
      <c r="I10" s="100"/>
    </row>
    <row r="11" spans="1:9" s="2" customFormat="1" ht="17.25" x14ac:dyDescent="0.35">
      <c r="A11" s="103"/>
      <c r="B11" s="98"/>
      <c r="C11" s="99" t="s">
        <v>20</v>
      </c>
      <c r="D11" s="100">
        <v>1</v>
      </c>
      <c r="E11" s="103" t="s">
        <v>91</v>
      </c>
      <c r="F11" s="99">
        <v>0</v>
      </c>
      <c r="G11" s="104"/>
      <c r="H11" s="105"/>
      <c r="I11" s="100"/>
    </row>
    <row r="12" spans="1:9" s="2" customFormat="1" ht="17.25" x14ac:dyDescent="0.35">
      <c r="A12" s="103"/>
      <c r="B12" s="98"/>
      <c r="C12" s="99" t="s">
        <v>20</v>
      </c>
      <c r="D12" s="100">
        <v>1</v>
      </c>
      <c r="E12" s="103" t="s">
        <v>92</v>
      </c>
      <c r="F12" s="99">
        <v>0</v>
      </c>
      <c r="G12" s="104"/>
      <c r="H12" s="105"/>
      <c r="I12" s="100"/>
    </row>
    <row r="13" spans="1:9" s="2" customFormat="1" ht="17.25" x14ac:dyDescent="0.35">
      <c r="A13" s="103"/>
      <c r="B13" s="98"/>
      <c r="C13" s="99" t="s">
        <v>20</v>
      </c>
      <c r="D13" s="100">
        <v>1</v>
      </c>
      <c r="E13" s="103" t="s">
        <v>93</v>
      </c>
      <c r="F13" s="99">
        <v>0</v>
      </c>
      <c r="G13" s="104"/>
      <c r="H13" s="105"/>
      <c r="I13" s="100"/>
    </row>
    <row r="14" spans="1:9" s="2" customFormat="1" ht="17.25" x14ac:dyDescent="0.35">
      <c r="A14" s="103"/>
      <c r="B14" s="98"/>
      <c r="C14" s="99" t="s">
        <v>20</v>
      </c>
      <c r="D14" s="100">
        <v>1</v>
      </c>
      <c r="E14" s="103" t="s">
        <v>94</v>
      </c>
      <c r="F14" s="99">
        <v>0</v>
      </c>
      <c r="G14" s="104"/>
      <c r="H14" s="105"/>
      <c r="I14" s="100"/>
    </row>
    <row r="15" spans="1:9" s="2" customFormat="1" ht="17.25" x14ac:dyDescent="0.35">
      <c r="A15" s="103"/>
      <c r="B15" s="98"/>
      <c r="C15" s="99" t="s">
        <v>20</v>
      </c>
      <c r="D15" s="100">
        <v>1</v>
      </c>
      <c r="E15" s="103" t="s">
        <v>95</v>
      </c>
      <c r="F15" s="99">
        <v>5</v>
      </c>
      <c r="G15" s="104"/>
      <c r="H15" s="105"/>
      <c r="I15" s="100"/>
    </row>
    <row r="16" spans="1:9" s="2" customFormat="1" ht="17.25" x14ac:dyDescent="0.35">
      <c r="A16" s="103" t="s">
        <v>119</v>
      </c>
      <c r="B16" s="98">
        <v>6907</v>
      </c>
      <c r="C16" s="99" t="s">
        <v>20</v>
      </c>
      <c r="D16" s="100">
        <v>1</v>
      </c>
      <c r="E16" s="103" t="s">
        <v>120</v>
      </c>
      <c r="F16" s="99">
        <v>1</v>
      </c>
      <c r="G16" s="104" t="s">
        <v>27</v>
      </c>
      <c r="H16" s="105"/>
      <c r="I16" s="100"/>
    </row>
    <row r="17" spans="1:9" s="2" customFormat="1" ht="17.25" x14ac:dyDescent="0.35">
      <c r="A17" s="103"/>
      <c r="B17" s="98"/>
      <c r="C17" s="99"/>
      <c r="D17" s="100"/>
      <c r="E17" s="103"/>
      <c r="F17" s="99"/>
      <c r="G17" s="104"/>
      <c r="H17" s="105"/>
      <c r="I17" s="100"/>
    </row>
    <row r="18" spans="1:9" s="2" customFormat="1" ht="17.25" x14ac:dyDescent="0.35">
      <c r="A18" s="103"/>
      <c r="B18" s="98"/>
      <c r="C18" s="99"/>
      <c r="D18" s="100"/>
      <c r="E18" s="103"/>
      <c r="F18" s="99"/>
      <c r="G18" s="104"/>
      <c r="H18" s="105"/>
      <c r="I18" s="100"/>
    </row>
    <row r="19" spans="1:9" s="2" customFormat="1" ht="15.75" thickBot="1" x14ac:dyDescent="0.35">
      <c r="A19" s="106"/>
      <c r="B19" s="32"/>
      <c r="C19" s="106"/>
      <c r="D19" s="106"/>
      <c r="E19" s="106"/>
      <c r="F19" s="106"/>
      <c r="G19" s="107"/>
      <c r="H19" s="108"/>
      <c r="I19" s="100"/>
    </row>
    <row r="20" spans="1:9" s="2" customFormat="1" ht="15.75" thickBot="1" x14ac:dyDescent="0.35">
      <c r="A20" s="109"/>
      <c r="B20" s="109"/>
      <c r="C20" s="109"/>
      <c r="D20" s="109"/>
      <c r="E20" s="109"/>
      <c r="F20" s="109"/>
      <c r="G20" s="109"/>
      <c r="H20" s="110"/>
      <c r="I20" s="111"/>
    </row>
    <row r="21" spans="1:9" s="8" customFormat="1" ht="20.25" thickBot="1" x14ac:dyDescent="0.45">
      <c r="A21" s="112" t="s">
        <v>23</v>
      </c>
      <c r="B21" s="113"/>
      <c r="C21" s="113"/>
      <c r="D21" s="113"/>
      <c r="E21" s="113"/>
      <c r="F21" s="113"/>
      <c r="G21" s="113"/>
      <c r="H21" s="113"/>
      <c r="I21" s="114"/>
    </row>
    <row r="22" spans="1:9" ht="15.75" thickBot="1" x14ac:dyDescent="0.35">
      <c r="A22" s="93" t="s">
        <v>9</v>
      </c>
      <c r="B22" s="93" t="s">
        <v>10</v>
      </c>
      <c r="C22" s="93" t="s">
        <v>17</v>
      </c>
      <c r="D22" s="94" t="s">
        <v>26</v>
      </c>
      <c r="E22" s="93" t="s">
        <v>25</v>
      </c>
      <c r="F22" s="93" t="s">
        <v>19</v>
      </c>
      <c r="G22" s="115" t="s">
        <v>24</v>
      </c>
      <c r="H22" s="96" t="s">
        <v>28</v>
      </c>
      <c r="I22" s="116" t="s">
        <v>11</v>
      </c>
    </row>
    <row r="23" spans="1:9" x14ac:dyDescent="0.2">
      <c r="A23" s="89"/>
      <c r="B23" s="89"/>
      <c r="C23" s="89"/>
      <c r="D23" s="89"/>
      <c r="E23" s="89"/>
      <c r="F23" s="89"/>
      <c r="G23" s="89"/>
      <c r="H23" s="90"/>
      <c r="I23" s="89"/>
    </row>
    <row r="24" spans="1:9" s="27" customFormat="1" ht="15" x14ac:dyDescent="0.3">
      <c r="A24" s="117" t="s">
        <v>32</v>
      </c>
      <c r="B24" s="118"/>
      <c r="C24" s="118"/>
      <c r="D24" s="118"/>
      <c r="E24" s="118"/>
      <c r="F24" s="118"/>
      <c r="G24" s="118"/>
      <c r="H24" s="119"/>
      <c r="I24" s="120"/>
    </row>
    <row r="25" spans="1:9" s="18" customFormat="1" ht="15" x14ac:dyDescent="0.3">
      <c r="A25" s="13"/>
      <c r="B25" s="13"/>
      <c r="C25" s="13"/>
      <c r="D25" s="14"/>
      <c r="E25" s="13"/>
      <c r="F25" s="13"/>
      <c r="G25" s="15"/>
      <c r="H25" s="16"/>
      <c r="I25" s="17"/>
    </row>
    <row r="26" spans="1:9" s="20" customFormat="1" ht="15" x14ac:dyDescent="0.3">
      <c r="A26" s="21" t="s">
        <v>33</v>
      </c>
      <c r="B26" s="21"/>
      <c r="C26" s="21"/>
      <c r="D26" s="22"/>
      <c r="E26" s="21"/>
      <c r="F26" s="21"/>
      <c r="G26" s="23"/>
      <c r="H26" s="24"/>
      <c r="I26" s="25"/>
    </row>
    <row r="27" spans="1:9" s="18" customFormat="1" ht="15" x14ac:dyDescent="0.3">
      <c r="A27" s="13"/>
      <c r="B27" s="13"/>
      <c r="C27" s="13"/>
      <c r="D27" s="14"/>
      <c r="E27" s="13"/>
      <c r="F27" s="13"/>
      <c r="G27" s="15"/>
      <c r="H27" s="16"/>
      <c r="I27" s="17"/>
    </row>
    <row r="28" spans="1:9" s="27" customFormat="1" ht="15" x14ac:dyDescent="0.3">
      <c r="A28" s="26" t="s">
        <v>34</v>
      </c>
      <c r="B28" s="121"/>
      <c r="C28" s="121"/>
      <c r="D28" s="121"/>
      <c r="E28" s="121"/>
      <c r="F28" s="121"/>
      <c r="G28" s="121" t="s">
        <v>4</v>
      </c>
      <c r="H28" s="122"/>
      <c r="I28" s="121"/>
    </row>
    <row r="29" spans="1:9" s="18" customFormat="1" ht="15" x14ac:dyDescent="0.3">
      <c r="A29" s="13"/>
      <c r="B29" s="13"/>
      <c r="C29" s="13"/>
      <c r="D29" s="14"/>
      <c r="E29" s="13"/>
      <c r="F29" s="13"/>
      <c r="G29" s="15"/>
      <c r="H29" s="16"/>
      <c r="I29" s="17"/>
    </row>
    <row r="30" spans="1:9" ht="15" x14ac:dyDescent="0.3">
      <c r="A30" s="28" t="s">
        <v>35</v>
      </c>
      <c r="B30" s="123"/>
      <c r="C30" s="123"/>
      <c r="D30" s="123"/>
      <c r="E30" s="123"/>
      <c r="F30" s="123"/>
      <c r="G30" s="123"/>
      <c r="H30" s="124"/>
      <c r="I30" s="123"/>
    </row>
    <row r="31" spans="1:9" ht="15" x14ac:dyDescent="0.3">
      <c r="A31" s="13"/>
      <c r="B31" s="13"/>
      <c r="C31" s="13"/>
      <c r="D31" s="13"/>
      <c r="E31" s="13"/>
      <c r="F31" s="14"/>
      <c r="G31" s="15"/>
      <c r="H31" s="19"/>
      <c r="I31" s="17"/>
    </row>
    <row r="32" spans="1:9" ht="15" x14ac:dyDescent="0.3">
      <c r="A32" s="29" t="s">
        <v>36</v>
      </c>
      <c r="B32" s="125"/>
      <c r="C32" s="125"/>
      <c r="D32" s="125"/>
      <c r="E32" s="125"/>
      <c r="F32" s="125"/>
      <c r="G32" s="125"/>
      <c r="H32" s="126"/>
      <c r="I32" s="125"/>
    </row>
    <row r="33" spans="1:11" ht="15" x14ac:dyDescent="0.3">
      <c r="A33" s="13"/>
      <c r="B33" s="13"/>
      <c r="C33" s="13"/>
      <c r="D33" s="13"/>
      <c r="E33" s="13"/>
      <c r="F33" s="14"/>
      <c r="G33" s="15"/>
      <c r="H33" s="19"/>
      <c r="I33" s="17"/>
    </row>
    <row r="34" spans="1:11" ht="15" x14ac:dyDescent="0.3">
      <c r="A34" s="30" t="s">
        <v>38</v>
      </c>
      <c r="B34" s="127"/>
      <c r="C34" s="127"/>
      <c r="D34" s="127"/>
      <c r="E34" s="127"/>
      <c r="F34" s="127"/>
      <c r="G34" s="127" t="s">
        <v>4</v>
      </c>
      <c r="H34" s="128"/>
      <c r="I34" s="127"/>
    </row>
    <row r="35" spans="1:11" ht="15" x14ac:dyDescent="0.3">
      <c r="A35" s="13"/>
      <c r="B35" s="13"/>
      <c r="C35" s="13"/>
      <c r="D35" s="13"/>
      <c r="E35" s="13"/>
      <c r="F35" s="14"/>
      <c r="G35" s="15" t="s">
        <v>4</v>
      </c>
      <c r="H35" s="19"/>
      <c r="I35" s="17"/>
    </row>
    <row r="36" spans="1:11" ht="15" x14ac:dyDescent="0.3">
      <c r="A36" s="117" t="s">
        <v>37</v>
      </c>
      <c r="B36" s="118"/>
      <c r="C36" s="118"/>
      <c r="D36" s="118"/>
      <c r="E36" s="118"/>
      <c r="F36" s="118"/>
      <c r="G36" s="118"/>
      <c r="H36" s="119"/>
      <c r="I36" s="120"/>
    </row>
    <row r="37" spans="1:11" s="53" customFormat="1" ht="51.75" x14ac:dyDescent="0.35">
      <c r="A37" s="135" t="s">
        <v>71</v>
      </c>
      <c r="B37" s="136" t="s">
        <v>72</v>
      </c>
      <c r="C37" s="137" t="s">
        <v>21</v>
      </c>
      <c r="D37" s="138"/>
      <c r="E37" s="138"/>
      <c r="F37" s="137"/>
      <c r="G37" s="138" t="s">
        <v>27</v>
      </c>
      <c r="H37" s="136" t="s">
        <v>115</v>
      </c>
      <c r="I37" s="133" t="s">
        <v>74</v>
      </c>
      <c r="J37" s="54"/>
      <c r="K37" s="54"/>
    </row>
    <row r="38" spans="1:11" s="53" customFormat="1" ht="17.25" x14ac:dyDescent="0.35">
      <c r="A38" s="135" t="s">
        <v>89</v>
      </c>
      <c r="B38" s="136" t="s">
        <v>88</v>
      </c>
      <c r="C38" s="137" t="s">
        <v>85</v>
      </c>
      <c r="D38" s="138"/>
      <c r="E38" s="138"/>
      <c r="F38" s="137"/>
      <c r="G38" s="138" t="s">
        <v>27</v>
      </c>
      <c r="H38" s="136"/>
      <c r="I38" s="133">
        <v>65683</v>
      </c>
      <c r="J38" s="54"/>
      <c r="K38" s="54"/>
    </row>
    <row r="39" spans="1:11" s="53" customFormat="1" ht="17.25" x14ac:dyDescent="0.35">
      <c r="A39" s="135"/>
      <c r="B39" s="136"/>
      <c r="C39" s="137"/>
      <c r="D39" s="138" t="s">
        <v>20</v>
      </c>
      <c r="E39" s="138">
        <v>1</v>
      </c>
      <c r="F39" s="137">
        <v>2</v>
      </c>
      <c r="G39" s="138"/>
      <c r="H39" s="136"/>
      <c r="I39" s="133"/>
      <c r="J39" s="54"/>
      <c r="K39" s="54"/>
    </row>
    <row r="40" spans="1:11" s="51" customFormat="1" ht="17.25" x14ac:dyDescent="0.35">
      <c r="A40" s="129" t="s">
        <v>156</v>
      </c>
      <c r="B40" s="130" t="s">
        <v>167</v>
      </c>
      <c r="C40" s="131" t="s">
        <v>85</v>
      </c>
      <c r="D40" s="131"/>
      <c r="E40" s="130"/>
      <c r="F40" s="131"/>
      <c r="G40" s="131" t="s">
        <v>27</v>
      </c>
      <c r="H40" s="132"/>
      <c r="I40" s="134">
        <v>70287</v>
      </c>
    </row>
    <row r="41" spans="1:11" s="51" customFormat="1" ht="17.25" x14ac:dyDescent="0.35">
      <c r="A41" s="129"/>
      <c r="B41" s="130"/>
      <c r="C41" s="131"/>
      <c r="D41" s="131" t="s">
        <v>20</v>
      </c>
      <c r="E41" s="130">
        <v>1</v>
      </c>
      <c r="F41" s="131">
        <v>1</v>
      </c>
      <c r="G41" s="131"/>
      <c r="H41" s="132"/>
      <c r="I41" s="134"/>
    </row>
    <row r="42" spans="1:11" s="51" customFormat="1" ht="17.25" x14ac:dyDescent="0.35">
      <c r="A42" s="129" t="s">
        <v>156</v>
      </c>
      <c r="B42" s="130" t="s">
        <v>157</v>
      </c>
      <c r="C42" s="131" t="s">
        <v>85</v>
      </c>
      <c r="D42" s="131"/>
      <c r="E42" s="130"/>
      <c r="F42" s="131"/>
      <c r="G42" s="131" t="s">
        <v>27</v>
      </c>
      <c r="H42" s="132"/>
      <c r="I42" s="134">
        <v>70287</v>
      </c>
    </row>
    <row r="43" spans="1:11" ht="17.25" x14ac:dyDescent="0.35">
      <c r="A43" s="129"/>
      <c r="B43" s="130"/>
      <c r="C43" s="131"/>
      <c r="D43" s="131" t="s">
        <v>20</v>
      </c>
      <c r="E43" s="130">
        <v>1</v>
      </c>
      <c r="F43" s="131">
        <v>1</v>
      </c>
      <c r="G43" s="131"/>
      <c r="H43" s="132"/>
      <c r="I43" s="134"/>
    </row>
    <row r="44" spans="1:11" ht="17.25" x14ac:dyDescent="0.35">
      <c r="A44" s="129" t="s">
        <v>170</v>
      </c>
      <c r="B44" s="130" t="s">
        <v>169</v>
      </c>
      <c r="C44" s="131" t="s">
        <v>85</v>
      </c>
      <c r="D44" s="131"/>
      <c r="E44" s="130"/>
      <c r="F44" s="131"/>
      <c r="G44" s="131" t="s">
        <v>168</v>
      </c>
      <c r="H44" s="132"/>
      <c r="I44" s="134">
        <v>73502</v>
      </c>
    </row>
    <row r="45" spans="1:11" ht="17.25" x14ac:dyDescent="0.35">
      <c r="A45" s="129"/>
      <c r="B45" s="130"/>
      <c r="C45" s="131"/>
      <c r="D45" s="131" t="s">
        <v>20</v>
      </c>
      <c r="E45" s="130">
        <v>1</v>
      </c>
      <c r="F45" s="131">
        <v>62</v>
      </c>
      <c r="G45" s="131"/>
      <c r="H45" s="132"/>
      <c r="I45" s="134"/>
    </row>
    <row r="46" spans="1:11" s="51" customFormat="1" ht="17.25" x14ac:dyDescent="0.35">
      <c r="A46" s="129" t="s">
        <v>100</v>
      </c>
      <c r="B46" s="130" t="s">
        <v>101</v>
      </c>
      <c r="C46" s="131" t="s">
        <v>85</v>
      </c>
      <c r="D46" s="131"/>
      <c r="E46" s="130"/>
      <c r="F46" s="131"/>
      <c r="G46" s="131" t="s">
        <v>27</v>
      </c>
      <c r="H46" s="132"/>
      <c r="I46" s="134">
        <v>70266</v>
      </c>
    </row>
    <row r="47" spans="1:11" s="51" customFormat="1" ht="17.25" x14ac:dyDescent="0.35">
      <c r="A47" s="129"/>
      <c r="B47" s="130"/>
      <c r="C47" s="131"/>
      <c r="D47" s="131" t="s">
        <v>20</v>
      </c>
      <c r="E47" s="130">
        <v>1</v>
      </c>
      <c r="F47" s="131">
        <v>1</v>
      </c>
      <c r="G47" s="131"/>
      <c r="H47" s="132"/>
      <c r="I47" s="134"/>
    </row>
    <row r="48" spans="1:11" ht="17.25" x14ac:dyDescent="0.35">
      <c r="A48" s="129" t="s">
        <v>166</v>
      </c>
      <c r="B48" s="130" t="s">
        <v>165</v>
      </c>
      <c r="C48" s="131" t="s">
        <v>85</v>
      </c>
      <c r="D48" s="131"/>
      <c r="E48" s="130"/>
      <c r="F48" s="131"/>
      <c r="G48" s="131" t="s">
        <v>27</v>
      </c>
      <c r="H48" s="132"/>
      <c r="I48" s="134">
        <v>70361</v>
      </c>
    </row>
    <row r="49" spans="1:9" ht="17.25" x14ac:dyDescent="0.35">
      <c r="A49" s="129"/>
      <c r="B49" s="130"/>
      <c r="C49" s="131"/>
      <c r="D49" s="131" t="s">
        <v>20</v>
      </c>
      <c r="E49" s="130">
        <v>1</v>
      </c>
      <c r="F49" s="131">
        <v>0</v>
      </c>
      <c r="G49" s="131"/>
      <c r="H49" s="132"/>
      <c r="I49" s="134"/>
    </row>
    <row r="50" spans="1:9" ht="17.25" x14ac:dyDescent="0.35">
      <c r="A50" s="129" t="s">
        <v>173</v>
      </c>
      <c r="B50" s="130" t="s">
        <v>172</v>
      </c>
      <c r="C50" s="131" t="s">
        <v>21</v>
      </c>
      <c r="D50" s="131"/>
      <c r="E50" s="130"/>
      <c r="F50" s="131"/>
      <c r="G50" s="131" t="s">
        <v>27</v>
      </c>
      <c r="H50" s="132" t="s">
        <v>171</v>
      </c>
      <c r="I50" s="134"/>
    </row>
    <row r="51" spans="1:9" x14ac:dyDescent="0.2">
      <c r="A51" s="89"/>
      <c r="B51" s="89"/>
      <c r="C51" s="89"/>
      <c r="D51" s="89"/>
      <c r="E51" s="89"/>
      <c r="F51" s="89"/>
      <c r="G51" s="89"/>
      <c r="H51" s="90"/>
      <c r="I51" s="89"/>
    </row>
    <row r="52" spans="1:9" ht="13.5" thickBot="1" x14ac:dyDescent="0.25"/>
    <row r="53" spans="1:9" s="48" customFormat="1" ht="19.5" x14ac:dyDescent="0.4">
      <c r="A53" s="165" t="s">
        <v>41</v>
      </c>
      <c r="B53" s="166"/>
      <c r="C53" s="166"/>
      <c r="D53" s="166"/>
      <c r="E53" s="166"/>
      <c r="F53" s="166"/>
      <c r="G53" s="166"/>
      <c r="H53" s="167"/>
      <c r="I53"/>
    </row>
    <row r="54" spans="1:9" ht="17.25" x14ac:dyDescent="0.35">
      <c r="A54" s="84" t="s">
        <v>42</v>
      </c>
      <c r="B54" s="84"/>
      <c r="C54" s="84" t="s">
        <v>17</v>
      </c>
      <c r="D54" s="84" t="s">
        <v>43</v>
      </c>
      <c r="E54" s="84" t="s">
        <v>44</v>
      </c>
      <c r="F54" s="84" t="s">
        <v>45</v>
      </c>
      <c r="G54" s="84" t="s">
        <v>24</v>
      </c>
      <c r="H54" s="83"/>
    </row>
    <row r="55" spans="1:9" ht="17.25" x14ac:dyDescent="0.35">
      <c r="A55" s="86" t="s">
        <v>122</v>
      </c>
      <c r="B55" s="86"/>
      <c r="C55" s="87" t="s">
        <v>46</v>
      </c>
      <c r="D55" s="87"/>
      <c r="E55" s="87"/>
      <c r="F55" s="87"/>
      <c r="G55" s="87" t="s">
        <v>47</v>
      </c>
      <c r="H55" s="88"/>
    </row>
    <row r="56" spans="1:9" ht="17.25" x14ac:dyDescent="0.35">
      <c r="A56" s="84" t="s">
        <v>48</v>
      </c>
      <c r="B56" s="84"/>
      <c r="C56" s="35"/>
      <c r="D56" s="35" t="s">
        <v>20</v>
      </c>
      <c r="E56" s="35">
        <v>1</v>
      </c>
      <c r="F56" s="35">
        <v>0</v>
      </c>
      <c r="G56" s="35"/>
      <c r="H56" s="83"/>
    </row>
    <row r="57" spans="1:9" ht="17.25" x14ac:dyDescent="0.35">
      <c r="A57" s="84" t="s">
        <v>49</v>
      </c>
      <c r="B57" s="84"/>
      <c r="C57" s="35"/>
      <c r="D57" s="35" t="s">
        <v>20</v>
      </c>
      <c r="E57" s="35">
        <v>2</v>
      </c>
      <c r="F57" s="35">
        <v>2</v>
      </c>
      <c r="G57" s="35"/>
      <c r="H57" s="83"/>
    </row>
    <row r="58" spans="1:9" ht="17.25" x14ac:dyDescent="0.35">
      <c r="A58" s="84" t="s">
        <v>50</v>
      </c>
      <c r="B58" s="84"/>
      <c r="C58" s="35"/>
      <c r="D58" s="35" t="s">
        <v>20</v>
      </c>
      <c r="E58" s="35">
        <v>2</v>
      </c>
      <c r="F58" s="35" t="s">
        <v>51</v>
      </c>
      <c r="G58" s="35"/>
      <c r="H58" s="83"/>
    </row>
    <row r="59" spans="1:9" ht="17.25" x14ac:dyDescent="0.35">
      <c r="A59" s="84" t="s">
        <v>52</v>
      </c>
      <c r="B59" s="84"/>
      <c r="C59" s="35"/>
      <c r="D59" s="35" t="s">
        <v>20</v>
      </c>
      <c r="E59" s="35">
        <v>1</v>
      </c>
      <c r="F59" s="35" t="s">
        <v>53</v>
      </c>
      <c r="G59" s="35"/>
      <c r="H59" s="83"/>
    </row>
    <row r="60" spans="1:9" ht="17.25" x14ac:dyDescent="0.35">
      <c r="A60" s="84" t="s">
        <v>54</v>
      </c>
      <c r="B60" s="84"/>
      <c r="C60" s="35"/>
      <c r="D60" s="35" t="s">
        <v>20</v>
      </c>
      <c r="E60" s="35">
        <v>2</v>
      </c>
      <c r="F60" s="35">
        <v>4</v>
      </c>
      <c r="G60" s="35"/>
      <c r="H60" s="83"/>
    </row>
    <row r="61" spans="1:9" ht="17.25" x14ac:dyDescent="0.35">
      <c r="A61" s="82" t="s">
        <v>55</v>
      </c>
      <c r="B61" s="82"/>
      <c r="C61" s="46"/>
      <c r="D61" s="46" t="s">
        <v>20</v>
      </c>
      <c r="E61" s="46">
        <v>4</v>
      </c>
      <c r="F61" s="46" t="s">
        <v>227</v>
      </c>
      <c r="G61" s="46"/>
      <c r="H61" s="81"/>
      <c r="I61" s="48"/>
    </row>
    <row r="62" spans="1:9" ht="17.25" x14ac:dyDescent="0.35">
      <c r="A62" s="84" t="s">
        <v>59</v>
      </c>
      <c r="B62" s="84"/>
      <c r="C62" s="35"/>
      <c r="D62" s="35" t="s">
        <v>20</v>
      </c>
      <c r="E62" s="35">
        <v>1</v>
      </c>
      <c r="F62" s="35" t="s">
        <v>56</v>
      </c>
      <c r="G62" s="35"/>
      <c r="H62" s="83"/>
    </row>
    <row r="63" spans="1:9" ht="17.25" x14ac:dyDescent="0.35">
      <c r="A63" s="84" t="s">
        <v>60</v>
      </c>
      <c r="B63" s="84"/>
      <c r="C63" s="35"/>
      <c r="D63" s="35" t="s">
        <v>20</v>
      </c>
      <c r="E63" s="35">
        <v>2</v>
      </c>
      <c r="F63" s="35">
        <f>LEN(F64)</f>
        <v>27</v>
      </c>
      <c r="G63" s="35"/>
      <c r="H63" s="83"/>
    </row>
    <row r="64" spans="1:9" ht="17.25" x14ac:dyDescent="0.35">
      <c r="A64" s="86" t="s">
        <v>61</v>
      </c>
      <c r="B64" s="86"/>
      <c r="C64" s="87"/>
      <c r="D64" s="87" t="s">
        <v>57</v>
      </c>
      <c r="E64" s="87">
        <f>F63</f>
        <v>27</v>
      </c>
      <c r="F64" s="87" t="s">
        <v>180</v>
      </c>
      <c r="G64" s="87"/>
      <c r="H64" s="88" t="s">
        <v>58</v>
      </c>
    </row>
    <row r="65" spans="1:8" ht="17.25" x14ac:dyDescent="0.35">
      <c r="A65" s="84" t="s">
        <v>127</v>
      </c>
      <c r="B65" s="84"/>
      <c r="C65" s="35"/>
      <c r="D65" s="35" t="s">
        <v>20</v>
      </c>
      <c r="E65" s="35">
        <v>1</v>
      </c>
      <c r="F65" s="35" t="s">
        <v>128</v>
      </c>
      <c r="G65" s="35"/>
      <c r="H65" s="83"/>
    </row>
    <row r="66" spans="1:8" ht="17.25" x14ac:dyDescent="0.35">
      <c r="A66" s="84" t="s">
        <v>129</v>
      </c>
      <c r="B66" s="84"/>
      <c r="C66" s="35"/>
      <c r="D66" s="35" t="s">
        <v>20</v>
      </c>
      <c r="E66" s="35">
        <v>2</v>
      </c>
      <c r="F66" s="35">
        <v>4</v>
      </c>
      <c r="G66" s="35"/>
      <c r="H66" s="83"/>
    </row>
    <row r="67" spans="1:8" ht="17.25" x14ac:dyDescent="0.35">
      <c r="A67" s="82" t="s">
        <v>130</v>
      </c>
      <c r="B67" s="82"/>
      <c r="C67" s="46"/>
      <c r="D67" s="46" t="s">
        <v>20</v>
      </c>
      <c r="E67" s="46">
        <v>4</v>
      </c>
      <c r="F67" s="46" t="str">
        <f>F61</f>
        <v>0x05010156</v>
      </c>
      <c r="G67" s="46"/>
      <c r="H67" s="81"/>
    </row>
    <row r="68" spans="1:8" ht="17.25" x14ac:dyDescent="0.35">
      <c r="A68" s="151" t="s">
        <v>217</v>
      </c>
      <c r="B68" s="151"/>
      <c r="C68" s="152"/>
      <c r="D68" s="153" t="s">
        <v>20</v>
      </c>
      <c r="E68" s="153">
        <v>1</v>
      </c>
      <c r="F68" s="154" t="s">
        <v>218</v>
      </c>
      <c r="G68" s="153"/>
      <c r="H68" s="155"/>
    </row>
    <row r="69" spans="1:8" ht="17.25" x14ac:dyDescent="0.35">
      <c r="A69" s="151" t="s">
        <v>219</v>
      </c>
      <c r="B69" s="151"/>
      <c r="C69" s="152"/>
      <c r="D69" s="153" t="s">
        <v>20</v>
      </c>
      <c r="E69" s="153">
        <v>2</v>
      </c>
      <c r="F69" s="156">
        <v>4</v>
      </c>
      <c r="G69" s="153"/>
      <c r="H69" s="155"/>
    </row>
    <row r="70" spans="1:8" ht="138" x14ac:dyDescent="0.35">
      <c r="A70" s="151" t="s">
        <v>220</v>
      </c>
      <c r="B70" s="151"/>
      <c r="C70" s="152"/>
      <c r="D70" s="153" t="s">
        <v>20</v>
      </c>
      <c r="E70" s="153">
        <v>4</v>
      </c>
      <c r="F70" s="153" t="s">
        <v>223</v>
      </c>
      <c r="G70" s="153"/>
      <c r="H70" s="155" t="s">
        <v>222</v>
      </c>
    </row>
  </sheetData>
  <mergeCells count="3">
    <mergeCell ref="A2:I2"/>
    <mergeCell ref="A4:H4"/>
    <mergeCell ref="A53:H53"/>
  </mergeCells>
  <conditionalFormatting sqref="B7:B8">
    <cfRule type="duplicateValues" dxfId="1" priority="2"/>
  </conditionalFormatting>
  <conditionalFormatting sqref="B6">
    <cfRule type="duplicateValues" dxfId="0" priority="1"/>
  </conditionalFormatting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G39"/>
  <sheetViews>
    <sheetView topLeftCell="A29" zoomScaleNormal="100" workbookViewId="0">
      <selection activeCell="E39" sqref="E39"/>
    </sheetView>
  </sheetViews>
  <sheetFormatPr defaultRowHeight="12.75" x14ac:dyDescent="0.2"/>
  <cols>
    <col min="1" max="1" width="2.85546875" customWidth="1"/>
    <col min="2" max="2" width="11.7109375" style="69" customWidth="1"/>
    <col min="3" max="3" width="11.7109375" style="72" customWidth="1"/>
    <col min="4" max="4" width="51.42578125" style="57" bestFit="1" customWidth="1"/>
    <col min="5" max="5" width="18.140625" style="69" customWidth="1"/>
    <col min="6" max="6" width="49.140625" style="57" customWidth="1"/>
    <col min="7" max="7" width="50.7109375" style="57" customWidth="1"/>
    <col min="8" max="8" width="2.85546875" customWidth="1"/>
  </cols>
  <sheetData>
    <row r="2" spans="2:7" s="7" customFormat="1" ht="45" customHeight="1" x14ac:dyDescent="0.55000000000000004">
      <c r="B2" s="56" t="s">
        <v>15</v>
      </c>
      <c r="C2" s="56"/>
      <c r="D2" s="60"/>
      <c r="E2" s="76"/>
      <c r="F2" s="60"/>
      <c r="G2" s="60"/>
    </row>
    <row r="3" spans="2:7" ht="13.5" thickBot="1" x14ac:dyDescent="0.25"/>
    <row r="4" spans="2:7" ht="15.75" thickBot="1" x14ac:dyDescent="0.35">
      <c r="D4" s="63" t="s">
        <v>67</v>
      </c>
      <c r="E4" s="77"/>
    </row>
    <row r="5" spans="2:7" x14ac:dyDescent="0.2">
      <c r="D5" s="57" t="s">
        <v>68</v>
      </c>
      <c r="E5" s="69">
        <v>6</v>
      </c>
    </row>
    <row r="6" spans="2:7" x14ac:dyDescent="0.2">
      <c r="D6" s="57" t="s">
        <v>69</v>
      </c>
      <c r="E6" s="69">
        <v>63</v>
      </c>
    </row>
    <row r="7" spans="2:7" ht="13.5" thickBot="1" x14ac:dyDescent="0.25"/>
    <row r="8" spans="2:7" s="1" customFormat="1" ht="15.75" thickBot="1" x14ac:dyDescent="0.35">
      <c r="B8" s="5" t="s">
        <v>16</v>
      </c>
      <c r="C8" s="73" t="s">
        <v>12</v>
      </c>
      <c r="D8" s="63" t="s">
        <v>13</v>
      </c>
      <c r="E8" s="77" t="s">
        <v>14</v>
      </c>
      <c r="F8" s="63" t="s">
        <v>3</v>
      </c>
      <c r="G8" s="61" t="s">
        <v>70</v>
      </c>
    </row>
    <row r="9" spans="2:7" s="2" customFormat="1" ht="15" x14ac:dyDescent="0.3">
      <c r="B9" s="70">
        <v>1</v>
      </c>
      <c r="C9" s="74">
        <v>41572</v>
      </c>
      <c r="D9" s="66" t="s">
        <v>64</v>
      </c>
      <c r="E9" s="78">
        <v>566149</v>
      </c>
      <c r="F9" s="64"/>
      <c r="G9" s="62" t="s">
        <v>76</v>
      </c>
    </row>
    <row r="10" spans="2:7" s="2" customFormat="1" ht="30" x14ac:dyDescent="0.3">
      <c r="B10" s="70">
        <v>2</v>
      </c>
      <c r="C10" s="74">
        <v>41842</v>
      </c>
      <c r="D10" s="66" t="s">
        <v>77</v>
      </c>
      <c r="E10" s="79">
        <v>688670</v>
      </c>
      <c r="F10" s="44" t="s">
        <v>75</v>
      </c>
      <c r="G10" s="58" t="s">
        <v>78</v>
      </c>
    </row>
    <row r="11" spans="2:7" s="2" customFormat="1" ht="42.75" customHeight="1" x14ac:dyDescent="0.3">
      <c r="B11" s="70">
        <v>3</v>
      </c>
      <c r="C11" s="74">
        <v>41843</v>
      </c>
      <c r="D11" s="66" t="s">
        <v>79</v>
      </c>
      <c r="E11" s="79">
        <v>696680</v>
      </c>
      <c r="F11" s="44" t="s">
        <v>80</v>
      </c>
      <c r="G11" s="58" t="s">
        <v>81</v>
      </c>
    </row>
    <row r="12" spans="2:7" s="2" customFormat="1" ht="42.75" customHeight="1" thickBot="1" x14ac:dyDescent="0.35">
      <c r="B12" s="70">
        <v>4</v>
      </c>
      <c r="C12" s="74">
        <v>41857</v>
      </c>
      <c r="D12" s="66" t="s">
        <v>84</v>
      </c>
      <c r="E12" s="79">
        <v>702905</v>
      </c>
      <c r="F12" s="50" t="s">
        <v>82</v>
      </c>
      <c r="G12" s="58" t="s">
        <v>83</v>
      </c>
    </row>
    <row r="13" spans="2:7" s="2" customFormat="1" ht="120.75" thickBot="1" x14ac:dyDescent="0.35">
      <c r="B13" s="70">
        <v>5</v>
      </c>
      <c r="C13" s="74">
        <v>41915</v>
      </c>
      <c r="D13" s="67" t="s">
        <v>98</v>
      </c>
      <c r="E13" s="79" t="s">
        <v>96</v>
      </c>
      <c r="F13" s="50" t="s">
        <v>99</v>
      </c>
      <c r="G13" s="58" t="s">
        <v>97</v>
      </c>
    </row>
    <row r="14" spans="2:7" s="2" customFormat="1" ht="120.75" thickBot="1" x14ac:dyDescent="0.35">
      <c r="B14" s="70">
        <v>6</v>
      </c>
      <c r="C14" s="74">
        <v>41942</v>
      </c>
      <c r="D14" s="67" t="s">
        <v>102</v>
      </c>
      <c r="E14" s="79">
        <v>739229</v>
      </c>
      <c r="F14" s="50" t="s">
        <v>103</v>
      </c>
      <c r="G14" s="58" t="s">
        <v>104</v>
      </c>
    </row>
    <row r="15" spans="2:7" s="2" customFormat="1" ht="90.75" thickBot="1" x14ac:dyDescent="0.35">
      <c r="B15" s="71">
        <v>7</v>
      </c>
      <c r="C15" s="75">
        <v>41975</v>
      </c>
      <c r="D15" s="68" t="s">
        <v>116</v>
      </c>
      <c r="E15" s="80" t="s">
        <v>117</v>
      </c>
      <c r="F15" s="65" t="s">
        <v>121</v>
      </c>
      <c r="G15" s="59" t="s">
        <v>118</v>
      </c>
    </row>
    <row r="16" spans="2:7" s="2" customFormat="1" ht="75.75" thickBot="1" x14ac:dyDescent="0.35">
      <c r="B16" s="71">
        <v>8</v>
      </c>
      <c r="C16" s="75">
        <v>41983</v>
      </c>
      <c r="D16" s="68" t="s">
        <v>116</v>
      </c>
      <c r="E16" s="80" t="s">
        <v>131</v>
      </c>
      <c r="F16" s="65" t="s">
        <v>132</v>
      </c>
      <c r="G16" s="59" t="s">
        <v>133</v>
      </c>
    </row>
    <row r="17" spans="2:7" s="9" customFormat="1" ht="75.75" thickBot="1" x14ac:dyDescent="0.35">
      <c r="B17" s="71">
        <v>9</v>
      </c>
      <c r="C17" s="75">
        <v>41988</v>
      </c>
      <c r="D17" s="68" t="s">
        <v>116</v>
      </c>
      <c r="E17" s="80" t="s">
        <v>134</v>
      </c>
      <c r="F17" s="65" t="s">
        <v>135</v>
      </c>
      <c r="G17" s="59" t="s">
        <v>136</v>
      </c>
    </row>
    <row r="18" spans="2:7" s="9" customFormat="1" ht="75.75" thickBot="1" x14ac:dyDescent="0.35">
      <c r="B18" s="71">
        <v>10</v>
      </c>
      <c r="C18" s="75">
        <v>42107</v>
      </c>
      <c r="D18" s="68" t="s">
        <v>139</v>
      </c>
      <c r="E18" s="80" t="s">
        <v>140</v>
      </c>
      <c r="F18" s="65" t="s">
        <v>141</v>
      </c>
      <c r="G18" s="59" t="s">
        <v>142</v>
      </c>
    </row>
    <row r="19" spans="2:7" s="9" customFormat="1" ht="60.75" thickBot="1" x14ac:dyDescent="0.35">
      <c r="B19" s="71">
        <v>11</v>
      </c>
      <c r="C19" s="75">
        <v>42158</v>
      </c>
      <c r="D19" s="68" t="s">
        <v>143</v>
      </c>
      <c r="E19" s="80" t="s">
        <v>144</v>
      </c>
      <c r="F19" s="65" t="s">
        <v>141</v>
      </c>
      <c r="G19" s="59" t="s">
        <v>145</v>
      </c>
    </row>
    <row r="20" spans="2:7" s="9" customFormat="1" ht="75.75" thickBot="1" x14ac:dyDescent="0.35">
      <c r="B20" s="71">
        <v>12</v>
      </c>
      <c r="C20" s="75">
        <v>42179</v>
      </c>
      <c r="D20" s="68" t="s">
        <v>116</v>
      </c>
      <c r="E20" s="80" t="s">
        <v>147</v>
      </c>
      <c r="F20" s="65" t="s">
        <v>148</v>
      </c>
      <c r="G20" s="59" t="s">
        <v>149</v>
      </c>
    </row>
    <row r="21" spans="2:7" s="9" customFormat="1" ht="53.25" thickBot="1" x14ac:dyDescent="0.35">
      <c r="B21" s="71">
        <v>13</v>
      </c>
      <c r="C21" s="75">
        <v>42243</v>
      </c>
      <c r="D21" s="68" t="s">
        <v>151</v>
      </c>
      <c r="E21" s="80" t="s">
        <v>152</v>
      </c>
      <c r="F21" s="65" t="s">
        <v>153</v>
      </c>
      <c r="G21" s="59" t="s">
        <v>150</v>
      </c>
    </row>
    <row r="22" spans="2:7" s="9" customFormat="1" ht="30.75" thickBot="1" x14ac:dyDescent="0.35">
      <c r="B22" s="71">
        <v>14</v>
      </c>
      <c r="C22" s="75">
        <v>42248</v>
      </c>
      <c r="D22" s="68" t="s">
        <v>154</v>
      </c>
      <c r="E22" s="80" t="s">
        <v>152</v>
      </c>
      <c r="F22" s="65" t="s">
        <v>153</v>
      </c>
      <c r="G22" s="59" t="s">
        <v>155</v>
      </c>
    </row>
    <row r="23" spans="2:7" s="9" customFormat="1" ht="53.25" thickBot="1" x14ac:dyDescent="0.35">
      <c r="B23" s="71">
        <v>15</v>
      </c>
      <c r="C23" s="75">
        <v>42257</v>
      </c>
      <c r="D23" s="68" t="s">
        <v>159</v>
      </c>
      <c r="E23" s="80">
        <v>865733</v>
      </c>
      <c r="F23" s="65" t="s">
        <v>160</v>
      </c>
      <c r="G23" s="59" t="s">
        <v>158</v>
      </c>
    </row>
    <row r="24" spans="2:7" s="9" customFormat="1" ht="40.5" thickBot="1" x14ac:dyDescent="0.35">
      <c r="B24" s="71">
        <v>16</v>
      </c>
      <c r="C24" s="75">
        <v>42285</v>
      </c>
      <c r="D24" s="68" t="s">
        <v>159</v>
      </c>
      <c r="E24" s="80">
        <v>916719</v>
      </c>
      <c r="F24" s="65" t="s">
        <v>161</v>
      </c>
      <c r="G24" s="59" t="s">
        <v>162</v>
      </c>
    </row>
    <row r="25" spans="2:7" s="9" customFormat="1" ht="27.75" thickBot="1" x14ac:dyDescent="0.35">
      <c r="B25" s="71">
        <v>17</v>
      </c>
      <c r="C25" s="85">
        <v>42291</v>
      </c>
      <c r="D25" s="68" t="s">
        <v>182</v>
      </c>
      <c r="E25" s="80">
        <v>922673</v>
      </c>
      <c r="F25" s="65" t="s">
        <v>183</v>
      </c>
      <c r="G25" s="59" t="s">
        <v>184</v>
      </c>
    </row>
    <row r="26" spans="2:7" s="9" customFormat="1" ht="30.75" thickBot="1" x14ac:dyDescent="0.35">
      <c r="B26" s="71">
        <v>18</v>
      </c>
      <c r="C26" s="85">
        <v>42312</v>
      </c>
      <c r="D26" s="68" t="s">
        <v>186</v>
      </c>
      <c r="E26" s="80">
        <v>878757</v>
      </c>
      <c r="F26" s="65" t="s">
        <v>187</v>
      </c>
      <c r="G26" s="59" t="s">
        <v>185</v>
      </c>
    </row>
    <row r="27" spans="2:7" s="9" customFormat="1" ht="45.75" thickBot="1" x14ac:dyDescent="0.35">
      <c r="B27" s="71">
        <v>19</v>
      </c>
      <c r="C27" s="85">
        <v>42312</v>
      </c>
      <c r="D27" s="68" t="s">
        <v>186</v>
      </c>
      <c r="E27" s="80">
        <v>878757</v>
      </c>
      <c r="F27" s="65" t="s">
        <v>189</v>
      </c>
      <c r="G27" s="59" t="s">
        <v>190</v>
      </c>
    </row>
    <row r="28" spans="2:7" s="9" customFormat="1" ht="27.75" thickBot="1" x14ac:dyDescent="0.35">
      <c r="B28" s="71">
        <v>20</v>
      </c>
      <c r="C28" s="85">
        <v>42353</v>
      </c>
      <c r="D28" s="68" t="s">
        <v>186</v>
      </c>
      <c r="E28" s="80" t="s">
        <v>192</v>
      </c>
      <c r="F28" s="65" t="s">
        <v>193</v>
      </c>
      <c r="G28" s="59" t="s">
        <v>191</v>
      </c>
    </row>
    <row r="29" spans="2:7" s="9" customFormat="1" ht="78.75" thickBot="1" x14ac:dyDescent="0.35">
      <c r="B29" s="71">
        <v>21</v>
      </c>
      <c r="C29" s="85">
        <v>42355</v>
      </c>
      <c r="D29" s="68" t="s">
        <v>186</v>
      </c>
      <c r="E29" s="80" t="s">
        <v>199</v>
      </c>
      <c r="F29" s="65" t="s">
        <v>200</v>
      </c>
      <c r="G29" s="59" t="s">
        <v>198</v>
      </c>
    </row>
    <row r="30" spans="2:7" s="9" customFormat="1" ht="78.75" thickBot="1" x14ac:dyDescent="0.35">
      <c r="B30" s="71">
        <v>22</v>
      </c>
      <c r="C30" s="85">
        <v>42356</v>
      </c>
      <c r="D30" s="68" t="s">
        <v>186</v>
      </c>
      <c r="E30" s="80" t="s">
        <v>201</v>
      </c>
      <c r="F30" s="65" t="s">
        <v>202</v>
      </c>
      <c r="G30" s="59" t="s">
        <v>203</v>
      </c>
    </row>
    <row r="31" spans="2:7" s="9" customFormat="1" ht="30.75" thickBot="1" x14ac:dyDescent="0.35">
      <c r="B31" s="71">
        <v>23</v>
      </c>
      <c r="C31" s="85">
        <v>42356</v>
      </c>
      <c r="D31" s="68" t="s">
        <v>186</v>
      </c>
      <c r="E31" s="80" t="s">
        <v>206</v>
      </c>
      <c r="F31" s="65" t="s">
        <v>205</v>
      </c>
      <c r="G31" s="59" t="s">
        <v>204</v>
      </c>
    </row>
    <row r="32" spans="2:7" s="9" customFormat="1" ht="27.75" thickBot="1" x14ac:dyDescent="0.35">
      <c r="B32" s="71">
        <v>24</v>
      </c>
      <c r="C32" s="85">
        <v>42424</v>
      </c>
      <c r="D32" s="68" t="s">
        <v>186</v>
      </c>
      <c r="E32" s="80">
        <v>973486</v>
      </c>
      <c r="F32" s="65" t="s">
        <v>207</v>
      </c>
      <c r="G32" s="59" t="s">
        <v>208</v>
      </c>
    </row>
    <row r="33" spans="2:7" s="9" customFormat="1" ht="78.75" thickBot="1" x14ac:dyDescent="0.35">
      <c r="B33" s="71">
        <v>25</v>
      </c>
      <c r="C33" s="85">
        <v>42438</v>
      </c>
      <c r="D33" s="68" t="s">
        <v>186</v>
      </c>
      <c r="E33" s="80">
        <v>946133</v>
      </c>
      <c r="F33" s="65" t="s">
        <v>209</v>
      </c>
      <c r="G33" s="59" t="s">
        <v>210</v>
      </c>
    </row>
    <row r="34" spans="2:7" s="9" customFormat="1" ht="53.25" thickBot="1" x14ac:dyDescent="0.35">
      <c r="B34" s="71">
        <v>26</v>
      </c>
      <c r="C34" s="85">
        <v>42482</v>
      </c>
      <c r="D34" s="68" t="s">
        <v>186</v>
      </c>
      <c r="E34" s="80" t="s">
        <v>212</v>
      </c>
      <c r="F34" s="65" t="s">
        <v>213</v>
      </c>
      <c r="G34" s="59" t="s">
        <v>211</v>
      </c>
    </row>
    <row r="35" spans="2:7" s="9" customFormat="1" ht="27.75" thickBot="1" x14ac:dyDescent="0.35">
      <c r="B35" s="71">
        <v>27</v>
      </c>
      <c r="C35" s="85">
        <v>42482</v>
      </c>
      <c r="D35" s="68" t="s">
        <v>186</v>
      </c>
      <c r="E35" s="80" t="s">
        <v>214</v>
      </c>
      <c r="F35" s="65" t="s">
        <v>215</v>
      </c>
      <c r="G35" s="59" t="s">
        <v>216</v>
      </c>
    </row>
    <row r="36" spans="2:7" s="9" customFormat="1" ht="30.75" thickBot="1" x14ac:dyDescent="0.35">
      <c r="B36" s="71">
        <v>28</v>
      </c>
      <c r="C36" s="85">
        <v>42496</v>
      </c>
      <c r="D36" s="68" t="s">
        <v>186</v>
      </c>
      <c r="E36" s="80">
        <v>923682</v>
      </c>
      <c r="F36" s="65" t="s">
        <v>228</v>
      </c>
      <c r="G36" s="59"/>
    </row>
    <row r="37" spans="2:7" s="9" customFormat="1" ht="27.75" thickBot="1" x14ac:dyDescent="0.35">
      <c r="B37" s="71">
        <v>29</v>
      </c>
      <c r="C37" s="85">
        <v>42502</v>
      </c>
      <c r="D37" s="68" t="s">
        <v>186</v>
      </c>
      <c r="E37" s="80" t="s">
        <v>229</v>
      </c>
      <c r="F37" s="65" t="s">
        <v>230</v>
      </c>
      <c r="G37" s="59" t="s">
        <v>231</v>
      </c>
    </row>
    <row r="38" spans="2:7" ht="27.75" thickBot="1" x14ac:dyDescent="0.35">
      <c r="B38" s="71">
        <v>30</v>
      </c>
      <c r="C38" s="85">
        <v>42531</v>
      </c>
      <c r="D38" s="68" t="s">
        <v>186</v>
      </c>
      <c r="E38" s="80" t="s">
        <v>233</v>
      </c>
      <c r="F38" s="65" t="s">
        <v>234</v>
      </c>
      <c r="G38" s="59" t="s">
        <v>235</v>
      </c>
    </row>
    <row r="39" spans="2:7" ht="27.75" thickBot="1" x14ac:dyDescent="0.35">
      <c r="B39" s="71">
        <v>31</v>
      </c>
      <c r="C39" s="85">
        <v>42583</v>
      </c>
      <c r="D39" s="68" t="s">
        <v>186</v>
      </c>
      <c r="E39" s="80" t="s">
        <v>240</v>
      </c>
      <c r="F39" s="65" t="s">
        <v>239</v>
      </c>
      <c r="G39" s="59" t="s">
        <v>238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SS-WP8</vt:lpstr>
      <vt:lpstr>SS-LA</vt:lpstr>
      <vt:lpstr>DS-WP8</vt:lpstr>
      <vt:lpstr>DS-LA</vt:lpstr>
      <vt:lpstr>SR_DSDS-WP8-7+5_mode</vt:lpstr>
      <vt:lpstr>SR_DSDS-LA-7+5_mode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Desai, Sanjeev</dc:creator>
  <cp:lastModifiedBy>Qualcomm User</cp:lastModifiedBy>
  <dcterms:created xsi:type="dcterms:W3CDTF">2009-07-08T16:51:53Z</dcterms:created>
  <dcterms:modified xsi:type="dcterms:W3CDTF">2016-08-01T09:12:37Z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