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O_BUILD\May26\mcfg.mpss.5.0.May26_jo50_2\modem_proc\mcfg\mcfg_gen\generic\common\Default\"/>
    </mc:Choice>
  </mc:AlternateContent>
  <bookViews>
    <workbookView xWindow="-90" yWindow="465" windowWidth="16875" windowHeight="7755" tabRatio="652"/>
  </bookViews>
  <sheets>
    <sheet name="Summary" sheetId="10" r:id="rId1"/>
    <sheet name="Default" sheetId="14" r:id="rId2"/>
    <sheet name="Revision History" sheetId="8" r:id="rId3"/>
  </sheets>
  <functionGroups builtInGroupCount="18"/>
  <calcPr calcId="152511"/>
</workbook>
</file>

<file path=xl/calcChain.xml><?xml version="1.0" encoding="utf-8"?>
<calcChain xmlns="http://schemas.openxmlformats.org/spreadsheetml/2006/main">
  <c r="F47" i="14" l="1"/>
  <c r="F43" i="14" l="1"/>
  <c r="E44" i="14" s="1"/>
  <c r="B13" i="10" l="1"/>
  <c r="B4" i="10" l="1"/>
  <c r="B5" i="10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<sst xmlns="http://schemas.openxmlformats.org/spreadsheetml/2006/main" count="141" uniqueCount="115">
  <si>
    <t>RELEASE DATE:</t>
  </si>
  <si>
    <t>FILE VERSION:</t>
  </si>
  <si>
    <t>Carrier Index</t>
  </si>
  <si>
    <t>Notes</t>
  </si>
  <si>
    <t xml:space="preserve"> </t>
  </si>
  <si>
    <t>NV Item ID</t>
  </si>
  <si>
    <t>NV Item Name</t>
  </si>
  <si>
    <t>NV Item Struct</t>
  </si>
  <si>
    <t>Comments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</si>
  <si>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</si>
  <si>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</si>
  <si>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</si>
  <si>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</si>
  <si>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</si>
  <si>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</si>
  <si>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</si>
  <si>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</si>
  <si>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</si>
  <si>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</si>
  <si>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</si>
  <si>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</si>
  <si>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Full MCFG Version</t>
  </si>
  <si>
    <t>EFS Files</t>
  </si>
  <si>
    <t>Attributes</t>
  </si>
  <si>
    <t>EFS Item Size</t>
  </si>
  <si>
    <t>EFS Item Type</t>
  </si>
  <si>
    <t>0x09</t>
  </si>
  <si>
    <t>EFS Filename</t>
  </si>
  <si>
    <t>Configuration Type</t>
  </si>
  <si>
    <t>MPSS Configuration Items Listing</t>
  </si>
  <si>
    <t>Summary</t>
  </si>
  <si>
    <t>RFC</t>
  </si>
  <si>
    <t xml:space="preserve">    RFC-CDMA</t>
  </si>
  <si>
    <t xml:space="preserve">    RFC - GSM</t>
  </si>
  <si>
    <t xml:space="preserve">    RFC - WCDMA</t>
  </si>
  <si>
    <t xml:space="preserve">    RFC - LTE</t>
  </si>
  <si>
    <t>UIM</t>
  </si>
  <si>
    <t xml:space="preserve">    RFC - GNSS</t>
  </si>
  <si>
    <t>MTP9615_NA717 -&gt; MCFG HW Items List</t>
  </si>
  <si>
    <t>Keep command window open</t>
  </si>
  <si>
    <t>Product Line</t>
  </si>
  <si>
    <t>Trailer Record</t>
  </si>
  <si>
    <t>Data field</t>
  </si>
  <si>
    <t>Data Type</t>
  </si>
  <si>
    <t>Data Size</t>
  </si>
  <si>
    <t>Data Value</t>
  </si>
  <si>
    <t>trl</t>
  </si>
  <si>
    <t>0x00</t>
  </si>
  <si>
    <t>MCFG_trl_struct_version_type</t>
  </si>
  <si>
    <t>MCFG_trl_struct_version_len</t>
  </si>
  <si>
    <t>MCFG_trl_struct_version</t>
  </si>
  <si>
    <t>0x0100</t>
  </si>
  <si>
    <t>MCFG_version_type</t>
  </si>
  <si>
    <t>0x01</t>
  </si>
  <si>
    <t>MCFG_version_len</t>
  </si>
  <si>
    <t>MCFG_version</t>
  </si>
  <si>
    <t>0x03</t>
  </si>
  <si>
    <t>string</t>
  </si>
  <si>
    <t>For Debug purposes only</t>
  </si>
  <si>
    <t>MTP9615 NA717 Trailer Record</t>
  </si>
  <si>
    <t>HWID_Name_type</t>
  </si>
  <si>
    <t>HWID_name_size</t>
  </si>
  <si>
    <t>HWID_name</t>
  </si>
  <si>
    <t>HW_DEFAULT</t>
  </si>
  <si>
    <t>Config</t>
  </si>
  <si>
    <t>Chipset</t>
  </si>
  <si>
    <t>Banner</t>
  </si>
  <si>
    <t>banner</t>
  </si>
  <si>
    <t>letters</t>
  </si>
  <si>
    <t>Initial revision for Dime 3.0</t>
  </si>
  <si>
    <t>NV Items</t>
  </si>
  <si>
    <t>Select Carriers for Generation</t>
  </si>
  <si>
    <t>Spreadsheet statistics</t>
  </si>
  <si>
    <t>Total carrier configurations</t>
  </si>
  <si>
    <t>Total supported items (NV &amp; EFS)</t>
  </si>
  <si>
    <t>Carrier Version Update(s)</t>
  </si>
  <si>
    <t>Removed NV items and fluff in EFS file categories. Split NA1 spreadsheet into single sim and dual sim</t>
  </si>
  <si>
    <t>Ported from Dime 4.0 revision 3</t>
  </si>
  <si>
    <t>MTP9x35_SingleSim &amp; MTP9x35_DualSim configurations</t>
  </si>
  <si>
    <t>MTP9635SingleSim: 0x02B10132
MTP9635DualSim: 0x02B10132</t>
  </si>
  <si>
    <t>New conigurations: MTP9x35_SingleSim, MTP9x35_DualSim</t>
  </si>
  <si>
    <t>Ported from DI 4.0 rev 2</t>
  </si>
  <si>
    <t>Default: 0x04E10100
MTP9x35_SingleSim: 0x04B10100
MTP9x35_DualSim: 0x04B10120</t>
  </si>
  <si>
    <t>* Enabled hw_config.UIM[0].ENABLE_UIM_HOTSWAP for SingleSim
* Enabled hw_config.UIM[0].ENABLE_UIM_HOTSWAP and hw_config.UIM[1].ENABLE_UIM_HOTSWAP for DualSim</t>
  </si>
  <si>
    <t>MTP9x35_SingleSim: 0x04B10101
MTP9x35_DualSim: 0x04B10121</t>
  </si>
  <si>
    <t>HW Updates</t>
  </si>
  <si>
    <t>efs_item</t>
  </si>
  <si>
    <t>701629
701631
701431</t>
  </si>
  <si>
    <t>Default 0x04E10101
MTP9x35_SingleSim 0x04B10101
MTP9x35_DualSim 0x04B10122
MSM8994_WP8_SS 0x04B10140
MSM8994_LA_SS 0x04B10160
MSM8994_WP8_DS 0x04B10180
MSM8994_LA_DS 0x04B101A0</t>
  </si>
  <si>
    <t>HW updates
New configs: 
MSM8994_WP8_SS
MSM8994_LA_SS
MSM8994_WP8_DS
MSM8994_LA_DS
MDM_9x35_MAV</t>
  </si>
  <si>
    <t>added EFS (all configs) :
/nv/item_files/modem/qmi/cat/qmi_cat_mode = 2 (sans MAV / WP)
/nv/item_files/modem/qmi/cat/qmi_cat_mode = 3 (MAV)
/nv/item_files/modem/qmi/cat/qmi_cat_mode = 5 (WP)</t>
  </si>
  <si>
    <t>Device Mode</t>
  </si>
  <si>
    <t>/nv/item_files/modem/mmode/device_mode</t>
  </si>
  <si>
    <t>HW Updates:
-Default
-MTP9x35_SingleSim
-MTP9x35_DualSim
-MSM8994_WP8_SS 
-MSM8994_WP8_DS 
-MSM8994_LA_DS
-MAV_9x35_Fusion_MTP</t>
  </si>
  <si>
    <t>70287=0 (MAV_9x35_Fusion_MTP only)
70266=1 (DS + Fusion)
70266=0 (SS)</t>
  </si>
  <si>
    <t>Default: 0x04E10102
MTP9x35_SingleSim: 0x04B10102
MTP9x35_DualSim: 0x04B10123
MSM8994_WP8_SS: 0x04B10141
MSM8994_LA_SS: 0x04B10161
MSM8994_WP8_DS: 0x04B10181
MSM8994_LA_DS: 0x04B101A1
MAV_9x35_Fusion_MTP 0x04B101C1</t>
  </si>
  <si>
    <t>Default</t>
  </si>
  <si>
    <t>Generic</t>
  </si>
  <si>
    <t>Common</t>
  </si>
  <si>
    <t>Carrier</t>
  </si>
  <si>
    <t>MCFG.MPSS.5.0</t>
  </si>
  <si>
    <t>QC_version_type</t>
  </si>
  <si>
    <t>0x05</t>
  </si>
  <si>
    <t>QC_version_len</t>
  </si>
  <si>
    <t>QC_version</t>
  </si>
  <si>
    <t>Compatibilty and QC_Version Updates</t>
  </si>
  <si>
    <t>Default:0x05010101</t>
  </si>
  <si>
    <t>NV 70287 = 1</t>
  </si>
  <si>
    <t>Default:0x05010102</t>
  </si>
  <si>
    <t>MCFG Updates</t>
  </si>
  <si>
    <t>Default:0x05012E00</t>
  </si>
  <si>
    <t>Remove NV73690 from SW default MBN - As part of this CR updated the Version of the HW_DEFAULT MBN.</t>
  </si>
  <si>
    <t>Deleted this nv/item_files/ims/ims_hybrid_enable</t>
  </si>
  <si>
    <t>Default:0x05012E01</t>
  </si>
  <si>
    <t>0x05012E01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</si>
</sst>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5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2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sz val="11"/>
      <color rgb="FF9C6500"/>
      <name val="Gill Sans MT"/>
      <family val="2"/>
      <scheme val="minor"/>
    </font>
    <font>
      <sz val="10"/>
      <color rgb="FF0070C0"/>
      <name val="Gill Sans MT"/>
      <family val="2"/>
      <scheme val="major"/>
    </font>
    <font>
      <b/>
      <i/>
      <sz val="10"/>
      <color theme="1"/>
      <name val="Gill Sans MT"/>
      <family val="2"/>
      <scheme val="maj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10"/>
      <name val="Gill Sans MT"/>
      <family val="2"/>
      <scheme val="major"/>
    </font>
    <font>
      <sz val="10"/>
      <name val="Gill Sans MT"/>
      <family val="2"/>
      <scheme val="major"/>
    </font>
    <font>
      <sz val="10"/>
      <color rgb="FF00B0F0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theme="4"/>
      <name val="Arial"/>
      <family val="2"/>
    </font>
    <font>
      <sz val="11"/>
      <name val="Gill Sans MT"/>
      <family val="2"/>
      <scheme val="minor"/>
    </font>
    <font>
      <sz val="8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</fills>
  <borders count="25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12">
    <xf numFmtId="0" fontId="0" fillId="0" borderId="0"/>
    <xf numFmtId="0" fontId="21" fillId="5" borderId="0" applyNumberFormat="0" applyBorder="0" applyAlignment="0" applyProtection="0"/>
    <xf numFmtId="0" fontId="8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25" fillId="0" borderId="0"/>
    <xf numFmtId="49" fontId="26" fillId="0" borderId="21" applyNumberFormat="0" applyFont="0" applyFill="0" applyAlignment="0" applyProtection="0">
      <alignment horizontal="center" vertical="center"/>
      <protection locked="0"/>
    </xf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13" borderId="0" applyNumberFormat="0" applyBorder="0" applyAlignment="0" applyProtection="0"/>
    <xf numFmtId="0" fontId="25" fillId="0" borderId="0"/>
    <xf numFmtId="0" fontId="4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2" fillId="13" borderId="0" applyNumberFormat="0" applyBorder="0" applyAlignment="0" applyProtection="0"/>
    <xf numFmtId="0" fontId="1" fillId="13" borderId="0" applyNumberFormat="0" applyBorder="0" applyAlignment="0" applyProtection="0"/>
  </cellStyleXfs>
  <cellXfs count="125">
    <xf numFmtId="0" fontId="0" fillId="0" borderId="0" xfId="0"/>
    <xf numFmtId="0" fontId="9" fillId="0" borderId="0" xfId="0" applyFont="1"/>
    <xf numFmtId="0" fontId="10" fillId="0" borderId="0" xfId="0" applyFont="1"/>
    <xf numFmtId="0" fontId="10" fillId="0" borderId="0" xfId="0" applyFont="1" applyBorder="1"/>
    <xf numFmtId="0" fontId="10" fillId="0" borderId="1" xfId="0" applyFont="1" applyBorder="1"/>
    <xf numFmtId="0" fontId="0" fillId="0" borderId="0" xfId="0" applyBorder="1"/>
    <xf numFmtId="0" fontId="11" fillId="0" borderId="0" xfId="0" applyFont="1" applyFill="1" applyAlignment="1">
      <alignment horizontal="right"/>
    </xf>
    <xf numFmtId="0" fontId="10" fillId="0" borderId="9" xfId="0" applyFont="1" applyBorder="1" applyAlignment="1">
      <alignment horizontal="left" indent="1"/>
    </xf>
    <xf numFmtId="0" fontId="10" fillId="0" borderId="10" xfId="0" applyFont="1" applyBorder="1" applyAlignment="1">
      <alignment horizontal="left" indent="1"/>
    </xf>
    <xf numFmtId="0" fontId="10" fillId="0" borderId="12" xfId="0" applyFont="1" applyBorder="1" applyAlignment="1">
      <alignment horizontal="left" indent="1"/>
    </xf>
    <xf numFmtId="0" fontId="9" fillId="2" borderId="7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left" indent="1"/>
    </xf>
    <xf numFmtId="0" fontId="9" fillId="2" borderId="11" xfId="0" applyFont="1" applyFill="1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left" vertical="top" indent="1"/>
    </xf>
    <xf numFmtId="14" fontId="0" fillId="0" borderId="0" xfId="0" applyNumberFormat="1" applyAlignment="1">
      <alignment horizontal="left" vertical="top" indent="1"/>
    </xf>
    <xf numFmtId="0" fontId="0" fillId="0" borderId="0" xfId="0" applyAlignment="1">
      <alignment horizontal="left" vertical="top" wrapText="1" indent="1"/>
    </xf>
    <xf numFmtId="0" fontId="9" fillId="2" borderId="6" xfId="0" applyFont="1" applyFill="1" applyBorder="1" applyAlignment="1">
      <alignment horizontal="left" indent="1"/>
    </xf>
    <xf numFmtId="0" fontId="10" fillId="0" borderId="3" xfId="0" applyFont="1" applyBorder="1" applyAlignment="1">
      <alignment horizontal="left" indent="1"/>
    </xf>
    <xf numFmtId="0" fontId="13" fillId="0" borderId="0" xfId="0" applyFont="1" applyFill="1" applyAlignment="1">
      <alignment vertical="center"/>
    </xf>
    <xf numFmtId="0" fontId="15" fillId="0" borderId="0" xfId="0" applyFont="1"/>
    <xf numFmtId="0" fontId="16" fillId="0" borderId="0" xfId="0" applyFont="1"/>
    <xf numFmtId="0" fontId="10" fillId="0" borderId="13" xfId="0" applyFont="1" applyFill="1" applyBorder="1" applyAlignment="1">
      <alignment horizontal="left" indent="1"/>
    </xf>
    <xf numFmtId="0" fontId="10" fillId="0" borderId="1" xfId="0" applyFont="1" applyFill="1" applyBorder="1" applyAlignment="1">
      <alignment horizontal="left" indent="1"/>
    </xf>
    <xf numFmtId="0" fontId="17" fillId="0" borderId="9" xfId="0" applyFont="1" applyFill="1" applyBorder="1" applyAlignment="1">
      <alignment horizontal="left" indent="1"/>
    </xf>
    <xf numFmtId="14" fontId="17" fillId="0" borderId="13" xfId="0" applyNumberFormat="1" applyFont="1" applyFill="1" applyBorder="1" applyAlignment="1">
      <alignment horizontal="left" indent="1"/>
    </xf>
    <xf numFmtId="0" fontId="17" fillId="0" borderId="13" xfId="0" applyFont="1" applyFill="1" applyBorder="1" applyAlignment="1">
      <alignment horizontal="left" indent="1"/>
    </xf>
    <xf numFmtId="0" fontId="19" fillId="0" borderId="0" xfId="0" applyFont="1"/>
    <xf numFmtId="0" fontId="9" fillId="2" borderId="6" xfId="0" applyFont="1" applyFill="1" applyBorder="1" applyAlignment="1">
      <alignment horizontal="left" indent="1"/>
    </xf>
    <xf numFmtId="0" fontId="10" fillId="0" borderId="2" xfId="0" applyFont="1" applyBorder="1" applyAlignment="1">
      <alignment horizontal="left" indent="1"/>
    </xf>
    <xf numFmtId="0" fontId="9" fillId="2" borderId="5" xfId="0" applyFont="1" applyFill="1" applyBorder="1" applyAlignment="1">
      <alignment horizontal="left" indent="1"/>
    </xf>
    <xf numFmtId="0" fontId="9" fillId="2" borderId="14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9" fillId="2" borderId="6" xfId="0" applyFont="1" applyFill="1" applyBorder="1" applyAlignment="1">
      <alignment horizontal="left" wrapText="1"/>
    </xf>
    <xf numFmtId="0" fontId="10" fillId="0" borderId="3" xfId="0" applyFont="1" applyBorder="1" applyAlignment="1">
      <alignment horizontal="left" wrapText="1"/>
    </xf>
    <xf numFmtId="0" fontId="10" fillId="0" borderId="2" xfId="0" applyFont="1" applyBorder="1" applyAlignment="1">
      <alignment horizontal="left" wrapText="1"/>
    </xf>
    <xf numFmtId="14" fontId="22" fillId="0" borderId="0" xfId="0" applyNumberFormat="1" applyFont="1" applyFill="1" applyAlignment="1">
      <alignment horizontal="left" indent="1"/>
    </xf>
    <xf numFmtId="0" fontId="22" fillId="0" borderId="0" xfId="0" applyFont="1" applyFill="1" applyAlignment="1">
      <alignment horizontal="left" indent="1"/>
    </xf>
    <xf numFmtId="0" fontId="17" fillId="6" borderId="15" xfId="1" applyFont="1" applyFill="1" applyBorder="1" applyAlignment="1">
      <alignment horizontal="left" indent="1"/>
    </xf>
    <xf numFmtId="0" fontId="17" fillId="6" borderId="15" xfId="1" applyFont="1" applyFill="1" applyBorder="1" applyAlignment="1">
      <alignment horizontal="left" wrapText="1" indent="1"/>
    </xf>
    <xf numFmtId="0" fontId="17" fillId="6" borderId="15" xfId="1" applyFont="1" applyFill="1" applyBorder="1"/>
    <xf numFmtId="0" fontId="17" fillId="6" borderId="15" xfId="1" applyFont="1" applyFill="1" applyBorder="1" applyAlignment="1">
      <alignment wrapText="1"/>
    </xf>
    <xf numFmtId="0" fontId="17" fillId="6" borderId="15" xfId="1" applyFont="1" applyFill="1" applyBorder="1" applyAlignment="1">
      <alignment horizontal="center" wrapText="1"/>
    </xf>
    <xf numFmtId="0" fontId="18" fillId="6" borderId="0" xfId="0" applyFont="1" applyFill="1"/>
    <xf numFmtId="0" fontId="17" fillId="6" borderId="15" xfId="1" applyFont="1" applyFill="1" applyBorder="1" applyAlignment="1">
      <alignment horizontal="left" wrapText="1"/>
    </xf>
    <xf numFmtId="0" fontId="18" fillId="0" borderId="0" xfId="0" applyFont="1" applyFill="1"/>
    <xf numFmtId="0" fontId="17" fillId="7" borderId="15" xfId="1" applyFont="1" applyFill="1" applyBorder="1" applyAlignment="1">
      <alignment horizontal="left" indent="1"/>
    </xf>
    <xf numFmtId="0" fontId="17" fillId="7" borderId="15" xfId="1" applyFont="1" applyFill="1" applyBorder="1" applyAlignment="1">
      <alignment horizontal="left" wrapText="1" indent="1"/>
    </xf>
    <xf numFmtId="0" fontId="17" fillId="7" borderId="15" xfId="1" applyFont="1" applyFill="1" applyBorder="1"/>
    <xf numFmtId="0" fontId="17" fillId="7" borderId="15" xfId="1" applyFont="1" applyFill="1" applyBorder="1" applyAlignment="1">
      <alignment wrapText="1"/>
    </xf>
    <xf numFmtId="0" fontId="17" fillId="7" borderId="15" xfId="1" applyFont="1" applyFill="1" applyBorder="1" applyAlignment="1">
      <alignment horizontal="center" wrapText="1"/>
    </xf>
    <xf numFmtId="0" fontId="17" fillId="8" borderId="16" xfId="1" applyFont="1" applyFill="1" applyBorder="1" applyAlignment="1">
      <alignment horizontal="left" indent="1"/>
    </xf>
    <xf numFmtId="0" fontId="0" fillId="8" borderId="0" xfId="0" applyFill="1"/>
    <xf numFmtId="0" fontId="0" fillId="8" borderId="0" xfId="0" applyFill="1" applyAlignment="1">
      <alignment wrapText="1"/>
    </xf>
    <xf numFmtId="0" fontId="0" fillId="0" borderId="0" xfId="0" applyFill="1"/>
    <xf numFmtId="0" fontId="17" fillId="10" borderId="16" xfId="1" applyFont="1" applyFill="1" applyBorder="1" applyAlignment="1">
      <alignment horizontal="left" indent="1"/>
    </xf>
    <xf numFmtId="0" fontId="0" fillId="10" borderId="0" xfId="0" applyFill="1"/>
    <xf numFmtId="0" fontId="0" fillId="10" borderId="0" xfId="0" applyFill="1" applyAlignment="1">
      <alignment wrapText="1"/>
    </xf>
    <xf numFmtId="0" fontId="17" fillId="11" borderId="16" xfId="1" applyFont="1" applyFill="1" applyBorder="1" applyAlignment="1">
      <alignment horizontal="left" indent="1"/>
    </xf>
    <xf numFmtId="0" fontId="0" fillId="11" borderId="0" xfId="0" applyFill="1"/>
    <xf numFmtId="0" fontId="0" fillId="11" borderId="0" xfId="0" applyFill="1" applyAlignment="1">
      <alignment wrapText="1"/>
    </xf>
    <xf numFmtId="0" fontId="9" fillId="9" borderId="0" xfId="0" applyFont="1" applyFill="1" applyBorder="1" applyAlignment="1">
      <alignment horizontal="left" indent="1"/>
    </xf>
    <xf numFmtId="0" fontId="9" fillId="9" borderId="0" xfId="0" applyFont="1" applyFill="1" applyBorder="1" applyAlignment="1">
      <alignment horizontal="left" wrapText="1"/>
    </xf>
    <xf numFmtId="0" fontId="9" fillId="9" borderId="0" xfId="0" applyFont="1" applyFill="1" applyBorder="1" applyAlignment="1">
      <alignment horizontal="center"/>
    </xf>
    <xf numFmtId="0" fontId="23" fillId="9" borderId="0" xfId="0" applyFont="1" applyFill="1" applyBorder="1" applyAlignment="1">
      <alignment horizontal="left" indent="1"/>
    </xf>
    <xf numFmtId="0" fontId="17" fillId="12" borderId="16" xfId="1" applyFont="1" applyFill="1" applyBorder="1" applyAlignment="1">
      <alignment horizontal="left" indent="1"/>
    </xf>
    <xf numFmtId="0" fontId="0" fillId="12" borderId="0" xfId="0" applyFill="1"/>
    <xf numFmtId="0" fontId="0" fillId="12" borderId="0" xfId="0" applyFill="1" applyAlignment="1">
      <alignment wrapText="1"/>
    </xf>
    <xf numFmtId="0" fontId="0" fillId="0" borderId="0" xfId="0" applyFont="1" applyAlignment="1">
      <alignment horizontal="left" indent="2"/>
    </xf>
    <xf numFmtId="0" fontId="17" fillId="0" borderId="10" xfId="0" applyFont="1" applyBorder="1" applyAlignment="1">
      <alignment horizontal="left" indent="1"/>
    </xf>
    <xf numFmtId="0" fontId="8" fillId="13" borderId="20" xfId="2" applyBorder="1"/>
    <xf numFmtId="0" fontId="8" fillId="13" borderId="20" xfId="2" applyBorder="1" applyAlignment="1">
      <alignment wrapText="1"/>
    </xf>
    <xf numFmtId="0" fontId="0" fillId="0" borderId="20" xfId="0" applyBorder="1"/>
    <xf numFmtId="0" fontId="8" fillId="13" borderId="20" xfId="2" applyFont="1" applyBorder="1" applyAlignment="1">
      <alignment wrapText="1"/>
    </xf>
    <xf numFmtId="0" fontId="7" fillId="13" borderId="20" xfId="2" applyFont="1" applyBorder="1"/>
    <xf numFmtId="0" fontId="9" fillId="0" borderId="0" xfId="0" applyFont="1"/>
    <xf numFmtId="0" fontId="11" fillId="0" borderId="0" xfId="0" applyFont="1" applyAlignment="1">
      <alignment horizontal="right"/>
    </xf>
    <xf numFmtId="0" fontId="9" fillId="0" borderId="0" xfId="0" applyFont="1" applyAlignment="1">
      <alignment horizontal="left" indent="1"/>
    </xf>
    <xf numFmtId="0" fontId="5" fillId="13" borderId="13" xfId="105" applyBorder="1" applyAlignment="1">
      <alignment horizontal="left" indent="1"/>
    </xf>
    <xf numFmtId="0" fontId="10" fillId="0" borderId="13" xfId="0" applyFont="1" applyBorder="1" applyAlignment="1">
      <alignment horizontal="left" indent="1"/>
    </xf>
    <xf numFmtId="0" fontId="5" fillId="13" borderId="1" xfId="105" applyBorder="1" applyAlignment="1">
      <alignment horizontal="left" wrapText="1"/>
    </xf>
    <xf numFmtId="0" fontId="27" fillId="0" borderId="0" xfId="0" applyFont="1" applyAlignment="1">
      <alignment horizontal="right"/>
    </xf>
    <xf numFmtId="0" fontId="28" fillId="0" borderId="0" xfId="0" applyFont="1" applyFill="1" applyAlignment="1">
      <alignment horizontal="left" indent="1"/>
    </xf>
    <xf numFmtId="0" fontId="28" fillId="0" borderId="0" xfId="0" applyFont="1"/>
    <xf numFmtId="0" fontId="12" fillId="4" borderId="0" xfId="0" applyFont="1" applyFill="1" applyAlignment="1">
      <alignment horizontal="centerContinuous"/>
    </xf>
    <xf numFmtId="0" fontId="14" fillId="3" borderId="0" xfId="0" applyFont="1" applyFill="1" applyAlignment="1">
      <alignment horizontal="centerContinuous" vertical="center"/>
    </xf>
    <xf numFmtId="0" fontId="12" fillId="4" borderId="4" xfId="0" applyFont="1" applyFill="1" applyBorder="1" applyAlignment="1">
      <alignment horizontal="centerContinuous"/>
    </xf>
    <xf numFmtId="0" fontId="12" fillId="4" borderId="5" xfId="0" applyFont="1" applyFill="1" applyBorder="1" applyAlignment="1">
      <alignment horizontal="centerContinuous"/>
    </xf>
    <xf numFmtId="0" fontId="12" fillId="4" borderId="6" xfId="0" applyFont="1" applyFill="1" applyBorder="1" applyAlignment="1">
      <alignment horizontal="centerContinuous"/>
    </xf>
    <xf numFmtId="0" fontId="17" fillId="0" borderId="8" xfId="0" applyFont="1" applyFill="1" applyBorder="1" applyAlignment="1">
      <alignment horizontal="left" wrapText="1" indent="1"/>
    </xf>
    <xf numFmtId="0" fontId="17" fillId="0" borderId="0" xfId="0" applyFont="1" applyFill="1" applyBorder="1" applyAlignment="1">
      <alignment horizontal="left" wrapText="1"/>
    </xf>
    <xf numFmtId="0" fontId="18" fillId="0" borderId="22" xfId="0" applyFont="1" applyBorder="1" applyAlignment="1">
      <alignment wrapText="1"/>
    </xf>
    <xf numFmtId="0" fontId="9" fillId="2" borderId="11" xfId="0" applyFont="1" applyFill="1" applyBorder="1" applyAlignment="1">
      <alignment horizontal="centerContinuous"/>
    </xf>
    <xf numFmtId="0" fontId="0" fillId="0" borderId="0" xfId="0" applyAlignment="1"/>
    <xf numFmtId="0" fontId="30" fillId="13" borderId="20" xfId="2" applyFont="1" applyBorder="1"/>
    <xf numFmtId="0" fontId="31" fillId="0" borderId="20" xfId="0" applyFont="1" applyBorder="1"/>
    <xf numFmtId="0" fontId="30" fillId="13" borderId="20" xfId="2" applyFont="1" applyBorder="1" applyAlignment="1">
      <alignment wrapText="1"/>
    </xf>
    <xf numFmtId="0" fontId="31" fillId="0" borderId="0" xfId="0" applyFont="1"/>
    <xf numFmtId="0" fontId="29" fillId="0" borderId="0" xfId="0" applyFont="1"/>
    <xf numFmtId="0" fontId="31" fillId="0" borderId="0" xfId="0" applyFont="1" applyBorder="1"/>
    <xf numFmtId="0" fontId="17" fillId="0" borderId="12" xfId="0" applyFont="1" applyFill="1" applyBorder="1" applyAlignment="1">
      <alignment horizontal="left" wrapText="1"/>
    </xf>
    <xf numFmtId="0" fontId="0" fillId="0" borderId="20" xfId="0" applyBorder="1" applyAlignment="1">
      <alignment horizontal="left" indent="1"/>
    </xf>
    <xf numFmtId="0" fontId="17" fillId="0" borderId="13" xfId="0" applyFont="1" applyFill="1" applyBorder="1" applyAlignment="1">
      <alignment horizontal="left" wrapText="1" indent="1"/>
    </xf>
    <xf numFmtId="0" fontId="31" fillId="0" borderId="20" xfId="0" applyFont="1" applyBorder="1" applyAlignment="1">
      <alignment horizontal="left" indent="1"/>
    </xf>
    <xf numFmtId="0" fontId="32" fillId="14" borderId="0" xfId="0" applyFont="1" applyFill="1"/>
    <xf numFmtId="0" fontId="18" fillId="14" borderId="0" xfId="0" applyFont="1" applyFill="1" applyBorder="1"/>
    <xf numFmtId="0" fontId="18" fillId="14" borderId="13" xfId="0" applyFont="1" applyFill="1" applyBorder="1"/>
    <xf numFmtId="0" fontId="18" fillId="14" borderId="1" xfId="0" applyFont="1" applyFill="1" applyBorder="1"/>
    <xf numFmtId="0" fontId="33" fillId="14" borderId="23" xfId="108" applyFont="1" applyFill="1" applyBorder="1" applyAlignment="1">
      <alignment horizontal="left" indent="1"/>
    </xf>
    <xf numFmtId="0" fontId="33" fillId="2" borderId="1" xfId="107" applyFont="1" applyFill="1" applyBorder="1" applyAlignment="1">
      <alignment horizontal="center" wrapText="1"/>
    </xf>
    <xf numFmtId="0" fontId="33" fillId="2" borderId="23" xfId="108" applyFont="1" applyFill="1" applyBorder="1" applyAlignment="1">
      <alignment horizontal="center" wrapText="1"/>
    </xf>
    <xf numFmtId="0" fontId="33" fillId="14" borderId="23" xfId="107" applyFont="1" applyFill="1" applyBorder="1" applyAlignment="1">
      <alignment horizontal="left" indent="1"/>
    </xf>
    <xf numFmtId="0" fontId="18" fillId="14" borderId="0" xfId="0" applyFont="1" applyFill="1" applyBorder="1" applyAlignment="1">
      <alignment horizontal="left" indent="1"/>
    </xf>
    <xf numFmtId="0" fontId="18" fillId="14" borderId="13" xfId="0" applyFont="1" applyFill="1" applyBorder="1" applyAlignment="1">
      <alignment horizontal="left" indent="1"/>
    </xf>
    <xf numFmtId="14" fontId="17" fillId="0" borderId="12" xfId="0" applyNumberFormat="1" applyFont="1" applyFill="1" applyBorder="1" applyAlignment="1">
      <alignment horizontal="left" indent="1"/>
    </xf>
    <xf numFmtId="0" fontId="17" fillId="0" borderId="24" xfId="0" applyFont="1" applyFill="1" applyBorder="1" applyAlignment="1">
      <alignment horizontal="left" wrapText="1" indent="1"/>
    </xf>
    <xf numFmtId="0" fontId="17" fillId="0" borderId="2" xfId="0" applyFont="1" applyFill="1" applyBorder="1" applyAlignment="1">
      <alignment horizontal="left" wrapText="1" indent="1"/>
    </xf>
    <xf numFmtId="0" fontId="14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 wrapText="1"/>
    </xf>
    <xf numFmtId="0" fontId="12" fillId="4" borderId="4" xfId="0" applyFont="1" applyFill="1" applyBorder="1" applyAlignment="1">
      <alignment horizontal="center"/>
    </xf>
    <xf numFmtId="0" fontId="12" fillId="4" borderId="5" xfId="0" applyFont="1" applyFill="1" applyBorder="1" applyAlignment="1">
      <alignment horizontal="center"/>
    </xf>
    <xf numFmtId="0" fontId="12" fillId="4" borderId="6" xfId="0" applyFont="1" applyFill="1" applyBorder="1" applyAlignment="1">
      <alignment horizontal="center"/>
    </xf>
    <xf numFmtId="0" fontId="12" fillId="4" borderId="17" xfId="0" applyFont="1" applyFill="1" applyBorder="1" applyAlignment="1">
      <alignment horizontal="center"/>
    </xf>
    <xf numFmtId="0" fontId="12" fillId="4" borderId="18" xfId="0" applyFont="1" applyFill="1" applyBorder="1" applyAlignment="1">
      <alignment horizontal="center"/>
    </xf>
    <xf numFmtId="0" fontId="12" fillId="4" borderId="19" xfId="0" applyFont="1" applyFill="1" applyBorder="1" applyAlignment="1">
      <alignment horizontal="center"/>
    </xf>
  </cellXfs>
  <cellStyles count="112">
    <cellStyle name="20% - Accent1" xfId="105" builtinId="30"/>
    <cellStyle name="20% - Accent1 2" xfId="2"/>
    <cellStyle name="20% - Accent1 2 10" xfId="3"/>
    <cellStyle name="20% - Accent1 2 2" xfId="8"/>
    <cellStyle name="20% - Accent1 2 2 2" xfId="12"/>
    <cellStyle name="20% - Accent1 2 2 2 2" xfId="16"/>
    <cellStyle name="20% - Accent1 2 2 2 2 2" xfId="21"/>
    <cellStyle name="20% - Accent1 2 2 2 2 2 2" xfId="56"/>
    <cellStyle name="20% - Accent1 2 2 2 2 3" xfId="57"/>
    <cellStyle name="20% - Accent1 2 2 2 3" xfId="22"/>
    <cellStyle name="20% - Accent1 2 2 2 3 2" xfId="58"/>
    <cellStyle name="20% - Accent1 2 2 2 4" xfId="23"/>
    <cellStyle name="20% - Accent1 2 2 2 4 2" xfId="59"/>
    <cellStyle name="20% - Accent1 2 2 2 5" xfId="60"/>
    <cellStyle name="20% - Accent1 2 2 3" xfId="24"/>
    <cellStyle name="20% - Accent1 2 2 3 2" xfId="54"/>
    <cellStyle name="20% - Accent1 2 2 3 3" xfId="61"/>
    <cellStyle name="20% - Accent1 2 2 4" xfId="25"/>
    <cellStyle name="20% - Accent1 2 2 4 2" xfId="62"/>
    <cellStyle name="20% - Accent1 2 2 5" xfId="26"/>
    <cellStyle name="20% - Accent1 2 2 5 2" xfId="63"/>
    <cellStyle name="20% - Accent1 2 2 6" xfId="64"/>
    <cellStyle name="20% - Accent1 2 3" xfId="10"/>
    <cellStyle name="20% - Accent1 2 3 2" xfId="27"/>
    <cellStyle name="20% - Accent1 2 3 2 2" xfId="65"/>
    <cellStyle name="20% - Accent1 2 3 3" xfId="28"/>
    <cellStyle name="20% - Accent1 2 3 3 2" xfId="66"/>
    <cellStyle name="20% - Accent1 2 3 4" xfId="29"/>
    <cellStyle name="20% - Accent1 2 3 4 2" xfId="67"/>
    <cellStyle name="20% - Accent1 2 3 5" xfId="68"/>
    <cellStyle name="20% - Accent1 2 4" xfId="13"/>
    <cellStyle name="20% - Accent1 2 4 2" xfId="17"/>
    <cellStyle name="20% - Accent1 2 4 2 2" xfId="30"/>
    <cellStyle name="20% - Accent1 2 4 2 2 2" xfId="69"/>
    <cellStyle name="20% - Accent1 2 4 2 3" xfId="70"/>
    <cellStyle name="20% - Accent1 2 4 3" xfId="18"/>
    <cellStyle name="20% - Accent1 2 4 3 2" xfId="31"/>
    <cellStyle name="20% - Accent1 2 4 3 2 2" xfId="71"/>
    <cellStyle name="20% - Accent1 2 4 3 2 2 2 2 2 2 2 3 2 2 3" xfId="107"/>
    <cellStyle name="20% - Accent1 2 4 3 3" xfId="72"/>
    <cellStyle name="20% - Accent1 2 4 4" xfId="32"/>
    <cellStyle name="20% - Accent1 2 4 4 2" xfId="73"/>
    <cellStyle name="20% - Accent1 2 4 5" xfId="74"/>
    <cellStyle name="20% - Accent1 2 5" xfId="20"/>
    <cellStyle name="20% - Accent1 2 5 2" xfId="75"/>
    <cellStyle name="20% - Accent1 2 6" xfId="33"/>
    <cellStyle name="20% - Accent1 2 6 2" xfId="76"/>
    <cellStyle name="20% - Accent1 2 7" xfId="34"/>
    <cellStyle name="20% - Accent1 2 7 2" xfId="77"/>
    <cellStyle name="20% - Accent1 2 8" xfId="55"/>
    <cellStyle name="20% - Accent1 2 9" xfId="78"/>
    <cellStyle name="20% - Accent1 3" xfId="4"/>
    <cellStyle name="20% - Accent1 3 2" xfId="35"/>
    <cellStyle name="20% - Accent1 3 2 2" xfId="79"/>
    <cellStyle name="20% - Accent1 3 3" xfId="36"/>
    <cellStyle name="20% - Accent1 3 3 2" xfId="80"/>
    <cellStyle name="20% - Accent1 3 4" xfId="37"/>
    <cellStyle name="20% - Accent1 3 4 2" xfId="81"/>
    <cellStyle name="20% - Accent1 3 5" xfId="82"/>
    <cellStyle name="20% - Accent1 4" xfId="7"/>
    <cellStyle name="20% - Accent1 4 2" xfId="11"/>
    <cellStyle name="20% - Accent1 4 2 2" xfId="15"/>
    <cellStyle name="20% - Accent1 4 2 2 2" xfId="38"/>
    <cellStyle name="20% - Accent1 4 2 2 2 2" xfId="83"/>
    <cellStyle name="20% - Accent1 4 2 2 3" xfId="84"/>
    <cellStyle name="20% - Accent1 4 2 3" xfId="39"/>
    <cellStyle name="20% - Accent1 4 2 3 2" xfId="85"/>
    <cellStyle name="20% - Accent1 4 2 4" xfId="40"/>
    <cellStyle name="20% - Accent1 4 2 4 2" xfId="86"/>
    <cellStyle name="20% - Accent1 4 2 5" xfId="87"/>
    <cellStyle name="20% - Accent1 4 3" xfId="41"/>
    <cellStyle name="20% - Accent1 4 3 2" xfId="88"/>
    <cellStyle name="20% - Accent1 4 4" xfId="42"/>
    <cellStyle name="20% - Accent1 4 4 2" xfId="89"/>
    <cellStyle name="20% - Accent1 4 5" xfId="43"/>
    <cellStyle name="20% - Accent1 4 5 2" xfId="90"/>
    <cellStyle name="20% - Accent1 4 6" xfId="91"/>
    <cellStyle name="20% - Accent1 5" xfId="9"/>
    <cellStyle name="20% - Accent1 5 2" xfId="44"/>
    <cellStyle name="20% - Accent1 5 2 2" xfId="92"/>
    <cellStyle name="20% - Accent1 5 3" xfId="45"/>
    <cellStyle name="20% - Accent1 5 3 2" xfId="93"/>
    <cellStyle name="20% - Accent1 5 4" xfId="46"/>
    <cellStyle name="20% - Accent1 5 4 2" xfId="94"/>
    <cellStyle name="20% - Accent1 5 5" xfId="95"/>
    <cellStyle name="20% - Accent1 6" xfId="19"/>
    <cellStyle name="20% - Accent1 6 2" xfId="96"/>
    <cellStyle name="20% - Accent1 7" xfId="53"/>
    <cellStyle name="20% - Accent1 7 4 11 2 2" xfId="111"/>
    <cellStyle name="20% - Accent1 7 4 11 2 3" xfId="109"/>
    <cellStyle name="20% - Accent1 7 4 12 2 3 5 2" xfId="110"/>
    <cellStyle name="20% - Accent1 7 4 2 4 5" xfId="108"/>
    <cellStyle name="20% - Accent1 8" xfId="97"/>
    <cellStyle name="Neutral" xfId="1" builtinId="28"/>
    <cellStyle name="Normal" xfId="0" builtinId="0"/>
    <cellStyle name="Normal 2" xfId="14"/>
    <cellStyle name="Normal 2 2" xfId="47"/>
    <cellStyle name="Normal 2 2 2" xfId="98"/>
    <cellStyle name="Normal 2 3" xfId="48"/>
    <cellStyle name="Normal 2 3 2" xfId="99"/>
    <cellStyle name="Normal 2 4" xfId="49"/>
    <cellStyle name="Normal 2 4 2" xfId="100"/>
    <cellStyle name="Normal 2 5" xfId="101"/>
    <cellStyle name="Normal 3" xfId="5"/>
    <cellStyle name="Normal 4" xfId="50"/>
    <cellStyle name="Normal 4 2" xfId="51"/>
    <cellStyle name="Normal 4 2 2" xfId="102"/>
    <cellStyle name="Normal 4 3" xfId="52"/>
    <cellStyle name="Normal 4 3 2" xfId="103"/>
    <cellStyle name="Normal 4 4" xfId="104"/>
    <cellStyle name="Normal 5" xfId="106"/>
    <cellStyle name="Style 2" xfId="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20</xdr:row>
          <xdr:rowOff>0</xdr:rowOff>
        </xdr:from>
        <xdr:to>
          <xdr:col>1</xdr:col>
          <xdr:colOff>695325</xdr:colOff>
          <xdr:row>21</xdr:row>
          <xdr:rowOff>28575</xdr:rowOff>
        </xdr:to>
        <xdr:sp macro="" textlink="">
          <xdr:nvSpPr>
            <xdr:cNvPr id="4109" name="keepBuildWindowOpen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1276350</xdr:colOff>
          <xdr:row>22</xdr:row>
          <xdr:rowOff>133350</xdr:rowOff>
        </xdr:from>
        <xdr:to>
          <xdr:col>4</xdr:col>
          <xdr:colOff>0</xdr:colOff>
          <xdr:row>25</xdr:row>
          <xdr:rowOff>104775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27</xdr:row>
          <xdr:rowOff>19050</xdr:rowOff>
        </xdr:from>
        <xdr:to>
          <xdr:col>4</xdr:col>
          <xdr:colOff>0</xdr:colOff>
          <xdr:row>29</xdr:row>
          <xdr:rowOff>152400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76200</xdr:rowOff>
        </xdr:from>
        <xdr:to>
          <xdr:col>0</xdr:col>
          <xdr:colOff>1914525</xdr:colOff>
          <xdr:row>16</xdr:row>
          <xdr:rowOff>114300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133350</xdr:rowOff>
        </xdr:from>
        <xdr:to>
          <xdr:col>0</xdr:col>
          <xdr:colOff>1914525</xdr:colOff>
          <xdr:row>17</xdr:row>
          <xdr:rowOff>152400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18</xdr:row>
          <xdr:rowOff>0</xdr:rowOff>
        </xdr:from>
        <xdr:to>
          <xdr:col>0</xdr:col>
          <xdr:colOff>1895475</xdr:colOff>
          <xdr:row>19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</xdr:rowOff>
        </xdr:to>
        <xdr:sp macro="" textlink="">
          <xdr:nvSpPr>
            <xdr:cNvPr id="4134" name="Default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21"/>
  <sheetViews>
    <sheetView tabSelected="1" topLeftCell="A4" zoomScaleNormal="100" workbookViewId="0">
      <selection activeCell="B10" sqref="B10:B15"/>
    </sheetView>
  </sheetViews>
  <sheetFormatPr defaultRowHeight="12.75" x14ac:dyDescent="0.2"/>
  <cols>
    <col min="1" max="1" width="29.140625" bestFit="1" customWidth="1"/>
    <col min="2" max="2" width="24.28515625" customWidth="1"/>
    <col min="3" max="3" width="16.85546875" bestFit="1" customWidth="1"/>
    <col min="4" max="8" width="16.140625" bestFit="1" customWidth="1"/>
    <col min="9" max="9" width="20.7109375" bestFit="1" customWidth="1"/>
  </cols>
  <sheetData>
    <row r="1" spans="1:11" s="1" customFormat="1" ht="12.75" customHeight="1" x14ac:dyDescent="0.3">
      <c r="C1" s="75"/>
    </row>
    <row r="2" spans="1:11" s="19" customFormat="1" ht="45" customHeight="1" x14ac:dyDescent="0.2">
      <c r="A2" s="117" t="s">
        <v>29</v>
      </c>
      <c r="B2" s="117"/>
      <c r="C2" s="117"/>
      <c r="D2" s="117"/>
      <c r="E2" s="117"/>
    </row>
    <row r="3" spans="1:11" s="1" customFormat="1" ht="15" x14ac:dyDescent="0.3">
      <c r="C3" s="75"/>
    </row>
    <row r="4" spans="1:11" s="1" customFormat="1" ht="15" x14ac:dyDescent="0.3">
      <c r="A4" s="6" t="s">
        <v>0</v>
      </c>
      <c r="B4" s="36">
        <f>MAX('Revision History'!C9:C38)</f>
        <v>42516</v>
      </c>
      <c r="C4" s="36"/>
    </row>
    <row r="5" spans="1:11" s="1" customFormat="1" ht="15" x14ac:dyDescent="0.3">
      <c r="A5" s="6" t="s">
        <v>1</v>
      </c>
      <c r="B5" s="37">
        <f>MAX('Revision History'!B9:B38)</f>
        <v>10</v>
      </c>
      <c r="C5" s="37"/>
    </row>
    <row r="6" spans="1:11" s="83" customFormat="1" ht="15" x14ac:dyDescent="0.3">
      <c r="A6" s="81" t="s">
        <v>40</v>
      </c>
      <c r="B6" s="82" t="s">
        <v>100</v>
      </c>
      <c r="C6" s="82"/>
    </row>
    <row r="7" spans="1:11" s="1" customFormat="1" ht="15" x14ac:dyDescent="0.3">
      <c r="A7" s="76" t="s">
        <v>64</v>
      </c>
      <c r="B7" s="77" t="s">
        <v>97</v>
      </c>
      <c r="C7" s="77"/>
      <c r="D7" s="75"/>
      <c r="E7" s="75"/>
      <c r="F7" s="75"/>
      <c r="G7" s="75"/>
      <c r="H7" s="75"/>
      <c r="I7" s="75"/>
      <c r="J7" s="75"/>
      <c r="K7" s="75"/>
    </row>
    <row r="8" spans="1:11" s="75" customFormat="1" ht="15" x14ac:dyDescent="0.3">
      <c r="A8" s="76" t="s">
        <v>65</v>
      </c>
      <c r="B8" s="77" t="s">
        <v>98</v>
      </c>
      <c r="C8" s="77"/>
    </row>
    <row r="9" spans="1:11" s="75" customFormat="1" ht="15" x14ac:dyDescent="0.3">
      <c r="A9" s="76" t="s">
        <v>99</v>
      </c>
      <c r="B9" s="77" t="s">
        <v>96</v>
      </c>
      <c r="C9" s="77"/>
    </row>
    <row r="10" spans="1:11" s="1" customFormat="1" ht="20.25" thickBot="1" x14ac:dyDescent="0.45">
      <c r="A10" s="84" t="s">
        <v>30</v>
      </c>
      <c r="B10" s="84"/>
    </row>
    <row r="11" spans="1:11" s="1" customFormat="1" ht="15.75" thickBot="1" x14ac:dyDescent="0.35">
      <c r="A11" s="10"/>
      <c r="B11" s="10" t="s">
        <v>96</v>
      </c>
      <c r="C11" s="75"/>
      <c r="D11" s="75"/>
      <c r="E11" s="75"/>
      <c r="F11" s="75"/>
      <c r="G11" s="75"/>
      <c r="H11" s="75"/>
    </row>
    <row r="12" spans="1:11" s="2" customFormat="1" ht="15" x14ac:dyDescent="0.3">
      <c r="A12" s="7" t="s">
        <v>2</v>
      </c>
      <c r="B12" s="7"/>
      <c r="C12" s="83"/>
      <c r="D12" s="83"/>
      <c r="E12" s="83"/>
      <c r="F12" s="83"/>
      <c r="G12" s="83"/>
      <c r="H12" s="83"/>
    </row>
    <row r="13" spans="1:11" s="2" customFormat="1" ht="15" x14ac:dyDescent="0.3">
      <c r="A13" s="7" t="s">
        <v>21</v>
      </c>
      <c r="B13" s="7" t="str">
        <f>Default!$F$41</f>
        <v>0x05012E01</v>
      </c>
      <c r="C13" s="75"/>
      <c r="D13" s="75"/>
      <c r="E13" s="75"/>
      <c r="F13" s="75"/>
      <c r="G13" s="75"/>
      <c r="H13" s="75"/>
    </row>
    <row r="14" spans="1:11" s="2" customFormat="1" ht="15" x14ac:dyDescent="0.3">
      <c r="A14" s="7" t="s">
        <v>28</v>
      </c>
      <c r="B14" s="7">
        <v>0</v>
      </c>
      <c r="C14" s="75"/>
      <c r="D14" s="75"/>
      <c r="E14" s="75"/>
      <c r="F14" s="75"/>
      <c r="G14" s="75"/>
      <c r="H14" s="75"/>
    </row>
    <row r="15" spans="1:11" ht="15.75" thickBot="1" x14ac:dyDescent="0.35">
      <c r="A15" s="69" t="s">
        <v>71</v>
      </c>
      <c r="B15" s="69"/>
    </row>
    <row r="16" spans="1:11" ht="15" x14ac:dyDescent="0.3">
      <c r="E16" s="2"/>
    </row>
    <row r="20" spans="1:1" ht="15" x14ac:dyDescent="0.3">
      <c r="A20" s="2"/>
    </row>
    <row r="21" spans="1:1" x14ac:dyDescent="0.2">
      <c r="A21" s="68" t="s">
        <v>39</v>
      </c>
    </row>
  </sheetData>
  <mergeCells count="1">
    <mergeCell ref="A2:E2"/>
  </mergeCells>
  <hyperlinks>
    <hyperlink ref="B11" location="'Default'!A5" tooltip="Jump to worksheet" display="'Default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keepBuildWindowOpen">
              <controlPr defaultSize="0" autoFill="0" autoLine="0" autoPict="0" altText="">
                <anchor moveWithCells="1">
                  <from>
                    <xdr:col>1</xdr:col>
                    <xdr:colOff>485775</xdr:colOff>
                    <xdr:row>20</xdr:row>
                    <xdr:rowOff>0</xdr:rowOff>
                  </from>
                  <to>
                    <xdr:col>1</xdr:col>
                    <xdr:colOff>695325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5" name="Button 19">
              <controlPr defaultSize="0" print="0" autoFill="0" autoPict="0" macro="[0]!GenerateSources">
                <anchor moveWithCells="1" sizeWithCells="1">
                  <from>
                    <xdr:col>0</xdr:col>
                    <xdr:colOff>1276350</xdr:colOff>
                    <xdr:row>22</xdr:row>
                    <xdr:rowOff>133350</xdr:rowOff>
                  </from>
                  <to>
                    <xdr:col>4</xdr:col>
                    <xdr:colOff>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6" name="Button 20">
              <controlPr defaultSize="0" print="0" autoFill="0" autoPict="0" macro="[0]!GenerateMBNs">
                <anchor moveWithCells="1" sizeWithCells="1">
                  <from>
                    <xdr:col>0</xdr:col>
                    <xdr:colOff>1285875</xdr:colOff>
                    <xdr:row>27</xdr:row>
                    <xdr:rowOff>19050</xdr:rowOff>
                  </from>
                  <to>
                    <xdr:col>4</xdr:col>
                    <xdr:colOff>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7" name="Button 22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76200</xdr:rowOff>
                  </from>
                  <to>
                    <xdr:col>0</xdr:col>
                    <xdr:colOff>1914525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8" name="Button 23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133350</xdr:rowOff>
                  </from>
                  <to>
                    <xdr:col>0</xdr:col>
                    <xdr:colOff>1914525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9" name="Button 32">
              <controlPr defaultSize="0" print="0" autoFill="0" autoPict="0" macro="[0]!RefreshSummary">
                <anchor moveWithCells="1" sizeWithCells="1">
                  <from>
                    <xdr:col>0</xdr:col>
                    <xdr:colOff>552450</xdr:colOff>
                    <xdr:row>18</xdr:row>
                    <xdr:rowOff>0</xdr:rowOff>
                  </from>
                  <to>
                    <xdr:col>0</xdr:col>
                    <xdr:colOff>1895475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10" name="Default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K47"/>
  <sheetViews>
    <sheetView topLeftCell="A4" zoomScale="80" zoomScaleNormal="80" workbookViewId="0">
      <selection activeCell="F42" sqref="F42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14.42578125" bestFit="1" customWidth="1"/>
    <col min="6" max="6" width="26" bestFit="1" customWidth="1"/>
    <col min="7" max="7" width="10.42578125" bestFit="1" customWidth="1"/>
    <col min="8" max="8" width="46.85546875" style="32" customWidth="1"/>
    <col min="9" max="9" width="35.42578125" bestFit="1" customWidth="1"/>
    <col min="12" max="12" width="22.7109375" bestFit="1" customWidth="1"/>
  </cols>
  <sheetData>
    <row r="2" spans="1:9" s="20" customFormat="1" ht="45" customHeight="1" x14ac:dyDescent="0.55000000000000004">
      <c r="A2" s="118" t="s">
        <v>38</v>
      </c>
      <c r="B2" s="118"/>
      <c r="C2" s="118"/>
      <c r="D2" s="118"/>
      <c r="E2" s="118"/>
      <c r="F2" s="118"/>
      <c r="G2" s="118"/>
      <c r="H2" s="118"/>
      <c r="I2" s="118"/>
    </row>
    <row r="3" spans="1:9" ht="13.5" thickBot="1" x14ac:dyDescent="0.25">
      <c r="A3" s="5"/>
    </row>
    <row r="4" spans="1:9" s="21" customFormat="1" ht="20.25" thickBot="1" x14ac:dyDescent="0.45">
      <c r="A4" s="119" t="s">
        <v>70</v>
      </c>
      <c r="B4" s="120"/>
      <c r="C4" s="120"/>
      <c r="D4" s="120"/>
      <c r="E4" s="120"/>
      <c r="F4" s="120"/>
      <c r="G4" s="120"/>
      <c r="H4" s="121"/>
    </row>
    <row r="5" spans="1:9" s="1" customFormat="1" ht="15.75" thickBot="1" x14ac:dyDescent="0.35">
      <c r="A5" s="12" t="s">
        <v>6</v>
      </c>
      <c r="B5" s="11" t="s">
        <v>5</v>
      </c>
      <c r="C5" s="12" t="s">
        <v>17</v>
      </c>
      <c r="D5" s="12" t="s">
        <v>18</v>
      </c>
      <c r="E5" s="12" t="s">
        <v>7</v>
      </c>
      <c r="F5" s="12" t="s">
        <v>19</v>
      </c>
      <c r="G5" s="28" t="s">
        <v>23</v>
      </c>
      <c r="H5" s="33" t="s">
        <v>8</v>
      </c>
    </row>
    <row r="6" spans="1:9" s="2" customFormat="1" ht="17.25" x14ac:dyDescent="0.35">
      <c r="A6" s="78" t="s">
        <v>66</v>
      </c>
      <c r="B6" s="7">
        <v>71</v>
      </c>
      <c r="C6" s="79"/>
      <c r="E6" s="78" t="s">
        <v>67</v>
      </c>
      <c r="F6" s="79"/>
      <c r="G6" s="4" t="s">
        <v>26</v>
      </c>
      <c r="H6" s="80" t="s">
        <v>4</v>
      </c>
    </row>
    <row r="7" spans="1:9" s="2" customFormat="1" ht="17.25" x14ac:dyDescent="0.35">
      <c r="A7" s="78"/>
      <c r="B7" s="7"/>
      <c r="C7" s="79" t="s">
        <v>57</v>
      </c>
      <c r="D7" s="2">
        <v>13</v>
      </c>
      <c r="E7" s="78" t="s">
        <v>68</v>
      </c>
      <c r="F7" s="79" t="s">
        <v>63</v>
      </c>
      <c r="G7" s="4"/>
      <c r="H7" s="80" t="s">
        <v>4</v>
      </c>
    </row>
    <row r="8" spans="1:9" s="2" customFormat="1" ht="15.75" thickBot="1" x14ac:dyDescent="0.35">
      <c r="A8" s="9"/>
      <c r="B8" s="8"/>
      <c r="C8" s="9"/>
      <c r="D8" s="9"/>
      <c r="E8" s="9"/>
      <c r="F8" s="9"/>
      <c r="G8" s="18"/>
      <c r="H8" s="34"/>
    </row>
    <row r="9" spans="1:9" s="2" customFormat="1" ht="15.75" thickBot="1" x14ac:dyDescent="0.35">
      <c r="A9" s="29"/>
      <c r="B9" s="29"/>
      <c r="C9" s="29"/>
      <c r="D9" s="29"/>
      <c r="E9" s="29"/>
      <c r="F9" s="29"/>
      <c r="G9" s="29"/>
      <c r="H9" s="35"/>
      <c r="I9" s="3"/>
    </row>
    <row r="10" spans="1:9" s="21" customFormat="1" ht="20.25" thickBot="1" x14ac:dyDescent="0.45">
      <c r="A10" s="86" t="s">
        <v>22</v>
      </c>
      <c r="B10" s="87"/>
      <c r="C10" s="87"/>
      <c r="D10" s="87"/>
      <c r="E10" s="87"/>
      <c r="F10" s="87"/>
      <c r="G10" s="87"/>
      <c r="H10" s="87"/>
      <c r="I10" s="88"/>
    </row>
    <row r="11" spans="1:9" ht="15.75" thickBot="1" x14ac:dyDescent="0.35">
      <c r="A11" s="12" t="s">
        <v>9</v>
      </c>
      <c r="B11" s="12" t="s">
        <v>10</v>
      </c>
      <c r="C11" s="12" t="s">
        <v>17</v>
      </c>
      <c r="D11" s="11" t="s">
        <v>25</v>
      </c>
      <c r="E11" s="12" t="s">
        <v>24</v>
      </c>
      <c r="F11" s="12" t="s">
        <v>19</v>
      </c>
      <c r="G11" s="30" t="s">
        <v>23</v>
      </c>
      <c r="H11" s="33" t="s">
        <v>27</v>
      </c>
      <c r="I11" s="31" t="s">
        <v>11</v>
      </c>
    </row>
    <row r="12" spans="1:9" ht="15" x14ac:dyDescent="0.3">
      <c r="A12" s="38"/>
      <c r="B12" s="38"/>
      <c r="C12" s="38"/>
      <c r="D12" s="38"/>
      <c r="E12" s="38"/>
      <c r="F12" s="39"/>
      <c r="G12" s="40"/>
      <c r="H12" s="44"/>
      <c r="I12" s="42"/>
    </row>
    <row r="13" spans="1:9" s="54" customFormat="1" ht="15" x14ac:dyDescent="0.3">
      <c r="A13" s="64" t="s">
        <v>31</v>
      </c>
      <c r="B13" s="61"/>
      <c r="C13" s="61"/>
      <c r="D13" s="61"/>
      <c r="E13" s="61"/>
      <c r="F13" s="61"/>
      <c r="G13" s="61"/>
      <c r="H13" s="62"/>
      <c r="I13" s="63"/>
    </row>
    <row r="14" spans="1:9" s="43" customFormat="1" ht="15" x14ac:dyDescent="0.3">
      <c r="A14" s="38"/>
      <c r="B14" s="38"/>
      <c r="C14" s="38"/>
      <c r="D14" s="39"/>
      <c r="E14" s="38"/>
      <c r="F14" s="38"/>
      <c r="G14" s="40"/>
      <c r="H14" s="41"/>
      <c r="I14" s="42"/>
    </row>
    <row r="15" spans="1:9" s="45" customFormat="1" ht="15" x14ac:dyDescent="0.3">
      <c r="A15" s="46" t="s">
        <v>32</v>
      </c>
      <c r="B15" s="46"/>
      <c r="C15" s="46"/>
      <c r="D15" s="47"/>
      <c r="E15" s="46"/>
      <c r="F15" s="46"/>
      <c r="G15" s="48"/>
      <c r="H15" s="49"/>
      <c r="I15" s="50"/>
    </row>
    <row r="16" spans="1:9" s="43" customFormat="1" ht="15" x14ac:dyDescent="0.3">
      <c r="A16" s="38"/>
      <c r="B16" s="38"/>
      <c r="C16" s="38"/>
      <c r="D16" s="39"/>
      <c r="E16" s="38"/>
      <c r="F16" s="38"/>
      <c r="G16" s="40"/>
      <c r="H16" s="41"/>
      <c r="I16" s="42"/>
    </row>
    <row r="17" spans="1:11" s="54" customFormat="1" ht="15" x14ac:dyDescent="0.3">
      <c r="A17" s="51" t="s">
        <v>33</v>
      </c>
      <c r="B17" s="52"/>
      <c r="C17" s="52"/>
      <c r="D17" s="52"/>
      <c r="E17" s="52"/>
      <c r="F17" s="52"/>
      <c r="G17" s="52" t="s">
        <v>4</v>
      </c>
      <c r="H17" s="53"/>
      <c r="I17" s="52"/>
    </row>
    <row r="18" spans="1:11" s="43" customFormat="1" ht="15" x14ac:dyDescent="0.3">
      <c r="A18" s="38"/>
      <c r="B18" s="38"/>
      <c r="C18" s="38"/>
      <c r="D18" s="39"/>
      <c r="E18" s="38"/>
      <c r="F18" s="38"/>
      <c r="G18" s="40"/>
      <c r="H18" s="41"/>
      <c r="I18" s="42"/>
    </row>
    <row r="19" spans="1:11" ht="15" x14ac:dyDescent="0.3">
      <c r="A19" s="55" t="s">
        <v>34</v>
      </c>
      <c r="B19" s="56"/>
      <c r="C19" s="56"/>
      <c r="D19" s="56"/>
      <c r="E19" s="56"/>
      <c r="F19" s="56"/>
      <c r="G19" s="56"/>
      <c r="H19" s="57"/>
      <c r="I19" s="56"/>
    </row>
    <row r="20" spans="1:11" ht="15" x14ac:dyDescent="0.3">
      <c r="A20" s="38"/>
      <c r="B20" s="38"/>
      <c r="C20" s="38"/>
      <c r="D20" s="38"/>
      <c r="E20" s="38"/>
      <c r="F20" s="39"/>
      <c r="G20" s="40"/>
      <c r="H20" s="44"/>
      <c r="I20" s="42"/>
    </row>
    <row r="21" spans="1:11" ht="15" x14ac:dyDescent="0.3">
      <c r="A21" s="58" t="s">
        <v>35</v>
      </c>
      <c r="B21" s="59"/>
      <c r="C21" s="59"/>
      <c r="D21" s="59"/>
      <c r="E21" s="59"/>
      <c r="F21" s="59"/>
      <c r="G21" s="59"/>
      <c r="H21" s="60"/>
      <c r="I21" s="59"/>
    </row>
    <row r="22" spans="1:11" ht="15" x14ac:dyDescent="0.3">
      <c r="A22" s="38"/>
      <c r="B22" s="38"/>
      <c r="C22" s="38"/>
      <c r="D22" s="38"/>
      <c r="E22" s="38"/>
      <c r="F22" s="39"/>
      <c r="G22" s="40"/>
      <c r="H22" s="44"/>
      <c r="I22" s="42"/>
    </row>
    <row r="23" spans="1:11" ht="15" x14ac:dyDescent="0.3">
      <c r="A23" s="65" t="s">
        <v>37</v>
      </c>
      <c r="B23" s="66"/>
      <c r="C23" s="66"/>
      <c r="D23" s="66"/>
      <c r="E23" s="66"/>
      <c r="F23" s="66"/>
      <c r="G23" s="66" t="s">
        <v>4</v>
      </c>
      <c r="H23" s="67"/>
      <c r="I23" s="66"/>
    </row>
    <row r="24" spans="1:11" ht="15" x14ac:dyDescent="0.3">
      <c r="A24" s="38"/>
      <c r="B24" s="38"/>
      <c r="C24" s="38"/>
      <c r="D24" s="38"/>
      <c r="E24" s="38"/>
      <c r="F24" s="39"/>
      <c r="G24" s="40"/>
      <c r="H24" s="44"/>
      <c r="I24" s="42"/>
    </row>
    <row r="25" spans="1:11" ht="15" x14ac:dyDescent="0.3">
      <c r="A25" s="64" t="s">
        <v>36</v>
      </c>
      <c r="B25" s="61"/>
      <c r="C25" s="61"/>
      <c r="D25" s="61"/>
      <c r="E25" s="61"/>
      <c r="F25" s="61"/>
      <c r="G25" s="61"/>
      <c r="H25" s="62"/>
      <c r="I25" s="63"/>
    </row>
    <row r="26" spans="1:11" s="99" customFormat="1" ht="17.25" x14ac:dyDescent="0.35">
      <c r="A26" s="111"/>
      <c r="B26" s="107"/>
      <c r="C26" s="112"/>
      <c r="D26" s="113"/>
      <c r="E26" s="106"/>
      <c r="F26" s="112"/>
      <c r="G26" s="106"/>
      <c r="H26" s="107"/>
      <c r="I26" s="109"/>
      <c r="J26" s="98"/>
      <c r="K26" s="98"/>
    </row>
    <row r="27" spans="1:11" s="104" customFormat="1" ht="17.25" x14ac:dyDescent="0.35">
      <c r="A27" s="108" t="s">
        <v>91</v>
      </c>
      <c r="B27" s="105" t="s">
        <v>92</v>
      </c>
      <c r="C27" s="106" t="s">
        <v>86</v>
      </c>
      <c r="D27" s="106"/>
      <c r="E27" s="105"/>
      <c r="F27" s="106"/>
      <c r="G27" s="106" t="s">
        <v>26</v>
      </c>
      <c r="H27" s="107"/>
      <c r="I27" s="110">
        <v>70266</v>
      </c>
    </row>
    <row r="28" spans="1:11" s="104" customFormat="1" ht="17.25" x14ac:dyDescent="0.35">
      <c r="A28" s="108"/>
      <c r="B28" s="105"/>
      <c r="C28" s="106"/>
      <c r="D28" s="106" t="s">
        <v>20</v>
      </c>
      <c r="E28" s="105">
        <v>1</v>
      </c>
      <c r="F28" s="106">
        <v>0</v>
      </c>
      <c r="G28" s="106"/>
      <c r="H28" s="107"/>
      <c r="I28" s="110"/>
    </row>
    <row r="29" spans="1:11" s="99" customFormat="1" ht="17.25" x14ac:dyDescent="0.35">
      <c r="A29" s="111"/>
      <c r="B29" s="107"/>
      <c r="C29" s="112"/>
      <c r="D29" s="113"/>
      <c r="E29" s="106"/>
      <c r="F29" s="112"/>
      <c r="G29" s="106"/>
      <c r="H29" s="107"/>
      <c r="I29" s="109"/>
      <c r="J29" s="98"/>
      <c r="K29" s="98"/>
    </row>
    <row r="30" spans="1:11" ht="15" x14ac:dyDescent="0.3">
      <c r="A30" s="38"/>
      <c r="B30" s="38"/>
      <c r="C30" s="38"/>
      <c r="D30" s="38"/>
      <c r="E30" s="38"/>
      <c r="F30" s="39"/>
      <c r="G30" s="40"/>
      <c r="H30" s="44"/>
      <c r="I30" s="42"/>
    </row>
    <row r="32" spans="1:11" ht="13.5" thickBot="1" x14ac:dyDescent="0.25"/>
    <row r="33" spans="1:8" ht="19.5" x14ac:dyDescent="0.4">
      <c r="A33" s="122" t="s">
        <v>41</v>
      </c>
      <c r="B33" s="123"/>
      <c r="C33" s="123"/>
      <c r="D33" s="123"/>
      <c r="E33" s="123"/>
      <c r="F33" s="123"/>
      <c r="G33" s="123"/>
      <c r="H33" s="124"/>
    </row>
    <row r="34" spans="1:8" ht="17.25" x14ac:dyDescent="0.35">
      <c r="A34" s="70" t="s">
        <v>42</v>
      </c>
      <c r="B34" s="70"/>
      <c r="C34" s="70" t="s">
        <v>17</v>
      </c>
      <c r="D34" s="70" t="s">
        <v>43</v>
      </c>
      <c r="E34" s="70" t="s">
        <v>44</v>
      </c>
      <c r="F34" s="70" t="s">
        <v>45</v>
      </c>
      <c r="G34" s="70" t="s">
        <v>23</v>
      </c>
      <c r="H34" s="71"/>
    </row>
    <row r="35" spans="1:8" ht="17.25" x14ac:dyDescent="0.35">
      <c r="A35" s="74" t="s">
        <v>59</v>
      </c>
      <c r="B35" s="70"/>
      <c r="C35" s="72" t="s">
        <v>46</v>
      </c>
      <c r="D35" s="72"/>
      <c r="E35" s="72"/>
      <c r="F35" s="72"/>
      <c r="G35" s="72" t="s">
        <v>47</v>
      </c>
      <c r="H35" s="71"/>
    </row>
    <row r="36" spans="1:8" ht="17.25" x14ac:dyDescent="0.35">
      <c r="A36" s="70" t="s">
        <v>48</v>
      </c>
      <c r="B36" s="70"/>
      <c r="C36" s="72"/>
      <c r="D36" s="72" t="s">
        <v>20</v>
      </c>
      <c r="E36" s="72">
        <v>1</v>
      </c>
      <c r="F36" s="101">
        <v>0</v>
      </c>
      <c r="G36" s="72"/>
      <c r="H36" s="71"/>
    </row>
    <row r="37" spans="1:8" ht="17.25" x14ac:dyDescent="0.35">
      <c r="A37" s="70" t="s">
        <v>49</v>
      </c>
      <c r="B37" s="70"/>
      <c r="C37" s="72"/>
      <c r="D37" s="72" t="s">
        <v>20</v>
      </c>
      <c r="E37" s="72">
        <v>2</v>
      </c>
      <c r="F37" s="101">
        <v>2</v>
      </c>
      <c r="G37" s="72"/>
      <c r="H37" s="71"/>
    </row>
    <row r="38" spans="1:8" ht="17.25" x14ac:dyDescent="0.35">
      <c r="A38" s="70" t="s">
        <v>50</v>
      </c>
      <c r="B38" s="70"/>
      <c r="C38" s="72"/>
      <c r="D38" s="72" t="s">
        <v>20</v>
      </c>
      <c r="E38" s="72">
        <v>2</v>
      </c>
      <c r="F38" s="101" t="s">
        <v>51</v>
      </c>
      <c r="G38" s="72"/>
      <c r="H38" s="71"/>
    </row>
    <row r="39" spans="1:8" ht="17.25" x14ac:dyDescent="0.35">
      <c r="A39" s="70" t="s">
        <v>52</v>
      </c>
      <c r="B39" s="70"/>
      <c r="C39" s="72"/>
      <c r="D39" s="72" t="s">
        <v>20</v>
      </c>
      <c r="E39" s="72">
        <v>1</v>
      </c>
      <c r="F39" s="101" t="s">
        <v>53</v>
      </c>
      <c r="G39" s="72"/>
      <c r="H39" s="71"/>
    </row>
    <row r="40" spans="1:8" ht="17.25" x14ac:dyDescent="0.35">
      <c r="A40" s="70" t="s">
        <v>54</v>
      </c>
      <c r="B40" s="70"/>
      <c r="C40" s="72"/>
      <c r="D40" s="72" t="s">
        <v>20</v>
      </c>
      <c r="E40" s="72">
        <v>2</v>
      </c>
      <c r="F40" s="101">
        <v>4</v>
      </c>
      <c r="G40" s="72"/>
      <c r="H40" s="71"/>
    </row>
    <row r="41" spans="1:8" s="97" customFormat="1" ht="17.25" x14ac:dyDescent="0.35">
      <c r="A41" s="94" t="s">
        <v>55</v>
      </c>
      <c r="B41" s="94"/>
      <c r="C41" s="95"/>
      <c r="D41" s="95" t="s">
        <v>20</v>
      </c>
      <c r="E41" s="95">
        <v>4</v>
      </c>
      <c r="F41" s="103" t="s">
        <v>114</v>
      </c>
      <c r="G41" s="95"/>
      <c r="H41" s="96"/>
    </row>
    <row r="42" spans="1:8" ht="17.25" x14ac:dyDescent="0.35">
      <c r="A42" s="70" t="s">
        <v>60</v>
      </c>
      <c r="B42" s="70"/>
      <c r="C42" s="72"/>
      <c r="D42" s="72" t="s">
        <v>20</v>
      </c>
      <c r="E42" s="72">
        <v>1</v>
      </c>
      <c r="F42" s="101" t="s">
        <v>56</v>
      </c>
      <c r="G42" s="72"/>
      <c r="H42" s="71"/>
    </row>
    <row r="43" spans="1:8" ht="17.25" x14ac:dyDescent="0.35">
      <c r="A43" s="70" t="s">
        <v>61</v>
      </c>
      <c r="B43" s="70"/>
      <c r="C43" s="72"/>
      <c r="D43" s="72" t="s">
        <v>20</v>
      </c>
      <c r="E43" s="72">
        <v>2</v>
      </c>
      <c r="F43" s="101">
        <f>LEN(F44)</f>
        <v>10</v>
      </c>
      <c r="G43" s="72"/>
      <c r="H43" s="71"/>
    </row>
    <row r="44" spans="1:8" ht="17.25" x14ac:dyDescent="0.35">
      <c r="A44" s="70" t="s">
        <v>62</v>
      </c>
      <c r="B44" s="70"/>
      <c r="C44" s="72"/>
      <c r="D44" s="72" t="s">
        <v>57</v>
      </c>
      <c r="E44" s="72">
        <f>F43</f>
        <v>10</v>
      </c>
      <c r="F44" s="101" t="s">
        <v>63</v>
      </c>
      <c r="G44" s="72"/>
      <c r="H44" s="73" t="s">
        <v>58</v>
      </c>
    </row>
    <row r="45" spans="1:8" ht="17.25" x14ac:dyDescent="0.35">
      <c r="A45" s="70" t="s">
        <v>101</v>
      </c>
      <c r="B45" s="70"/>
      <c r="C45" s="72"/>
      <c r="D45" s="72" t="s">
        <v>20</v>
      </c>
      <c r="E45" s="72">
        <v>1</v>
      </c>
      <c r="F45" s="101" t="s">
        <v>102</v>
      </c>
      <c r="G45" s="72"/>
      <c r="H45" s="71"/>
    </row>
    <row r="46" spans="1:8" ht="17.25" x14ac:dyDescent="0.35">
      <c r="A46" s="70" t="s">
        <v>103</v>
      </c>
      <c r="B46" s="70"/>
      <c r="C46" s="72"/>
      <c r="D46" s="72" t="s">
        <v>20</v>
      </c>
      <c r="E46" s="72">
        <v>2</v>
      </c>
      <c r="F46" s="101">
        <v>4</v>
      </c>
      <c r="G46" s="72"/>
      <c r="H46" s="71"/>
    </row>
    <row r="47" spans="1:8" ht="17.25" x14ac:dyDescent="0.35">
      <c r="A47" s="94" t="s">
        <v>104</v>
      </c>
      <c r="B47" s="94"/>
      <c r="C47" s="95"/>
      <c r="D47" s="95" t="s">
        <v>20</v>
      </c>
      <c r="E47" s="95">
        <v>4</v>
      </c>
      <c r="F47" s="95" t="str">
        <f>$F$41</f>
        <v>0x05012E01</v>
      </c>
      <c r="G47" s="95"/>
      <c r="H47" s="96"/>
    </row>
  </sheetData>
  <mergeCells count="3">
    <mergeCell ref="A2:I2"/>
    <mergeCell ref="A4:H4"/>
    <mergeCell ref="A33:H33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G34"/>
  <sheetViews>
    <sheetView topLeftCell="A13" zoomScaleNormal="100" workbookViewId="0">
      <selection activeCell="E18" sqref="E18"/>
    </sheetView>
  </sheetViews>
  <sheetFormatPr defaultRowHeight="12.75" x14ac:dyDescent="0.2"/>
  <cols>
    <col min="1" max="1" width="2.85546875" customWidth="1"/>
    <col min="2" max="3" width="11.7109375" customWidth="1"/>
    <col min="4" max="4" width="51.42578125" bestFit="1" customWidth="1"/>
    <col min="5" max="5" width="18.140625" customWidth="1"/>
    <col min="6" max="6" width="49.140625" customWidth="1"/>
    <col min="7" max="7" width="50.7109375" customWidth="1"/>
    <col min="8" max="8" width="2.85546875" customWidth="1"/>
  </cols>
  <sheetData>
    <row r="2" spans="2:7" s="20" customFormat="1" ht="45" customHeight="1" x14ac:dyDescent="0.55000000000000004">
      <c r="B2" s="85" t="s">
        <v>15</v>
      </c>
      <c r="C2" s="85"/>
      <c r="D2" s="85"/>
      <c r="E2" s="85"/>
      <c r="F2" s="85"/>
      <c r="G2" s="85"/>
    </row>
    <row r="3" spans="2:7" ht="13.5" thickBot="1" x14ac:dyDescent="0.25"/>
    <row r="4" spans="2:7" ht="15.75" thickBot="1" x14ac:dyDescent="0.35">
      <c r="D4" s="92" t="s">
        <v>72</v>
      </c>
      <c r="E4" s="92"/>
    </row>
    <row r="5" spans="2:7" x14ac:dyDescent="0.2">
      <c r="D5" s="93" t="s">
        <v>73</v>
      </c>
      <c r="E5">
        <v>1</v>
      </c>
    </row>
    <row r="6" spans="2:7" x14ac:dyDescent="0.2">
      <c r="D6" s="93" t="s">
        <v>74</v>
      </c>
      <c r="E6">
        <v>3</v>
      </c>
    </row>
    <row r="7" spans="2:7" ht="13.5" thickBot="1" x14ac:dyDescent="0.25"/>
    <row r="8" spans="2:7" s="1" customFormat="1" ht="15.75" thickBot="1" x14ac:dyDescent="0.35">
      <c r="B8" s="11" t="s">
        <v>16</v>
      </c>
      <c r="C8" s="12" t="s">
        <v>12</v>
      </c>
      <c r="D8" s="12" t="s">
        <v>13</v>
      </c>
      <c r="E8" s="12" t="s">
        <v>14</v>
      </c>
      <c r="F8" s="12" t="s">
        <v>3</v>
      </c>
      <c r="G8" s="17" t="s">
        <v>75</v>
      </c>
    </row>
    <row r="9" spans="2:7" s="2" customFormat="1" ht="15" x14ac:dyDescent="0.3">
      <c r="B9" s="24">
        <v>1</v>
      </c>
      <c r="C9" s="25">
        <v>41572</v>
      </c>
      <c r="D9" s="26" t="s">
        <v>69</v>
      </c>
      <c r="E9" s="26">
        <v>566149</v>
      </c>
      <c r="F9" s="22"/>
      <c r="G9" s="23" t="s">
        <v>77</v>
      </c>
    </row>
    <row r="10" spans="2:7" s="2" customFormat="1" ht="30" x14ac:dyDescent="0.3">
      <c r="B10" s="24">
        <v>2</v>
      </c>
      <c r="C10" s="25">
        <v>41842</v>
      </c>
      <c r="D10" s="26" t="s">
        <v>78</v>
      </c>
      <c r="E10" s="89">
        <v>688670</v>
      </c>
      <c r="F10" s="90" t="s">
        <v>76</v>
      </c>
      <c r="G10" s="91" t="s">
        <v>79</v>
      </c>
    </row>
    <row r="11" spans="2:7" s="2" customFormat="1" ht="42.75" customHeight="1" x14ac:dyDescent="0.3">
      <c r="B11" s="24">
        <v>3</v>
      </c>
      <c r="C11" s="25">
        <v>41843</v>
      </c>
      <c r="D11" s="26" t="s">
        <v>80</v>
      </c>
      <c r="E11" s="89">
        <v>696680</v>
      </c>
      <c r="F11" s="90" t="s">
        <v>81</v>
      </c>
      <c r="G11" s="91" t="s">
        <v>82</v>
      </c>
    </row>
    <row r="12" spans="2:7" s="2" customFormat="1" ht="42.75" customHeight="1" thickBot="1" x14ac:dyDescent="0.35">
      <c r="B12" s="24">
        <v>4</v>
      </c>
      <c r="C12" s="25">
        <v>41857</v>
      </c>
      <c r="D12" s="26" t="s">
        <v>85</v>
      </c>
      <c r="E12" s="89">
        <v>702905</v>
      </c>
      <c r="F12" s="100" t="s">
        <v>83</v>
      </c>
      <c r="G12" s="91" t="s">
        <v>84</v>
      </c>
    </row>
    <row r="13" spans="2:7" s="2" customFormat="1" ht="120.75" thickBot="1" x14ac:dyDescent="0.35">
      <c r="B13" s="24">
        <v>5</v>
      </c>
      <c r="C13" s="25">
        <v>41915</v>
      </c>
      <c r="D13" s="102" t="s">
        <v>89</v>
      </c>
      <c r="E13" s="89" t="s">
        <v>87</v>
      </c>
      <c r="F13" s="100" t="s">
        <v>90</v>
      </c>
      <c r="G13" s="91" t="s">
        <v>88</v>
      </c>
    </row>
    <row r="14" spans="2:7" s="2" customFormat="1" ht="120.75" thickBot="1" x14ac:dyDescent="0.35">
      <c r="B14" s="24">
        <v>6</v>
      </c>
      <c r="C14" s="25">
        <v>41942</v>
      </c>
      <c r="D14" s="102" t="s">
        <v>93</v>
      </c>
      <c r="E14" s="89">
        <v>739229</v>
      </c>
      <c r="F14" s="100" t="s">
        <v>94</v>
      </c>
      <c r="G14" s="91" t="s">
        <v>95</v>
      </c>
    </row>
    <row r="15" spans="2:7" s="2" customFormat="1" ht="15.75" thickBot="1" x14ac:dyDescent="0.35">
      <c r="B15" s="24">
        <v>7</v>
      </c>
      <c r="C15" s="25">
        <v>41983</v>
      </c>
      <c r="D15" s="102" t="s">
        <v>96</v>
      </c>
      <c r="E15" s="89">
        <v>750720</v>
      </c>
      <c r="F15" s="100" t="s">
        <v>105</v>
      </c>
      <c r="G15" s="91" t="s">
        <v>106</v>
      </c>
    </row>
    <row r="16" spans="2:7" s="2" customFormat="1" ht="15.75" thickBot="1" x14ac:dyDescent="0.35">
      <c r="B16" s="24">
        <v>8</v>
      </c>
      <c r="C16" s="25">
        <v>42179</v>
      </c>
      <c r="D16" s="102" t="s">
        <v>96</v>
      </c>
      <c r="E16" s="89">
        <v>848986</v>
      </c>
      <c r="F16" s="100" t="s">
        <v>107</v>
      </c>
      <c r="G16" s="91" t="s">
        <v>108</v>
      </c>
    </row>
    <row r="17" spans="2:7" s="27" customFormat="1" ht="30.75" thickBot="1" x14ac:dyDescent="0.35">
      <c r="B17" s="69">
        <v>9</v>
      </c>
      <c r="C17" s="114">
        <v>42340</v>
      </c>
      <c r="D17" s="115" t="s">
        <v>109</v>
      </c>
      <c r="E17" s="115">
        <v>940629</v>
      </c>
      <c r="F17" s="116" t="s">
        <v>111</v>
      </c>
      <c r="G17" s="91" t="s">
        <v>110</v>
      </c>
    </row>
    <row r="18" spans="2:7" x14ac:dyDescent="0.2">
      <c r="B18" s="14">
        <v>10</v>
      </c>
      <c r="C18" s="15">
        <v>42516</v>
      </c>
      <c r="D18" s="16" t="s">
        <v>109</v>
      </c>
      <c r="E18" s="14">
        <v>1017296</v>
      </c>
      <c r="F18" s="14" t="s">
        <v>112</v>
      </c>
      <c r="G18" s="91" t="s">
        <v>113</v>
      </c>
    </row>
    <row r="19" spans="2:7" x14ac:dyDescent="0.2">
      <c r="B19" s="14"/>
      <c r="C19" s="15"/>
      <c r="D19" s="16"/>
      <c r="E19" s="14"/>
      <c r="F19" s="14"/>
      <c r="G19" s="14"/>
    </row>
    <row r="20" spans="2:7" x14ac:dyDescent="0.2">
      <c r="B20" s="14"/>
      <c r="C20" s="15"/>
      <c r="D20" s="16"/>
      <c r="E20" s="14"/>
      <c r="F20" s="14"/>
      <c r="G20" s="14"/>
    </row>
    <row r="21" spans="2:7" x14ac:dyDescent="0.2">
      <c r="B21" s="14"/>
      <c r="C21" s="15"/>
      <c r="D21" s="16"/>
      <c r="E21" s="14"/>
      <c r="F21" s="14"/>
      <c r="G21" s="14"/>
    </row>
    <row r="22" spans="2:7" x14ac:dyDescent="0.2">
      <c r="B22" s="14"/>
      <c r="C22" s="15"/>
      <c r="D22" s="16"/>
      <c r="E22" s="14"/>
      <c r="F22" s="14"/>
      <c r="G22" s="14"/>
    </row>
    <row r="23" spans="2:7" x14ac:dyDescent="0.2">
      <c r="B23" s="14"/>
      <c r="C23" s="15"/>
      <c r="D23" s="16"/>
      <c r="E23" s="14"/>
      <c r="F23" s="14"/>
      <c r="G23" s="14"/>
    </row>
    <row r="24" spans="2:7" x14ac:dyDescent="0.2">
      <c r="B24" s="14"/>
      <c r="C24" s="15"/>
      <c r="D24" s="16"/>
      <c r="E24" s="14"/>
      <c r="F24" s="14"/>
      <c r="G24" s="14"/>
    </row>
    <row r="25" spans="2:7" x14ac:dyDescent="0.2">
      <c r="B25" s="14"/>
      <c r="C25" s="14"/>
      <c r="D25" s="16"/>
      <c r="E25" s="14"/>
      <c r="F25" s="14"/>
      <c r="G25" s="14"/>
    </row>
    <row r="26" spans="2:7" x14ac:dyDescent="0.2">
      <c r="B26" s="14"/>
      <c r="C26" s="14"/>
      <c r="D26" s="16"/>
      <c r="E26" s="14"/>
      <c r="F26" s="14"/>
      <c r="G26" s="14"/>
    </row>
    <row r="27" spans="2:7" x14ac:dyDescent="0.2">
      <c r="B27" s="14"/>
      <c r="C27" s="14"/>
      <c r="D27" s="16"/>
      <c r="E27" s="14"/>
      <c r="F27" s="14"/>
      <c r="G27" s="14"/>
    </row>
    <row r="28" spans="2:7" x14ac:dyDescent="0.2">
      <c r="B28" s="14"/>
      <c r="C28" s="14"/>
      <c r="D28" s="16"/>
      <c r="E28" s="14"/>
      <c r="F28" s="14"/>
      <c r="G28" s="14"/>
    </row>
    <row r="29" spans="2:7" x14ac:dyDescent="0.2">
      <c r="B29" s="14"/>
      <c r="C29" s="14"/>
      <c r="D29" s="14"/>
      <c r="E29" s="14"/>
      <c r="F29" s="14"/>
      <c r="G29" s="14"/>
    </row>
    <row r="30" spans="2:7" x14ac:dyDescent="0.2">
      <c r="B30" s="14"/>
      <c r="C30" s="14"/>
      <c r="D30" s="14"/>
      <c r="E30" s="14"/>
      <c r="F30" s="14"/>
      <c r="G30" s="14"/>
    </row>
    <row r="31" spans="2:7" x14ac:dyDescent="0.2">
      <c r="B31" s="13"/>
      <c r="C31" s="13"/>
      <c r="D31" s="13"/>
      <c r="E31" s="13"/>
      <c r="F31" s="13"/>
      <c r="G31" s="13"/>
    </row>
    <row r="32" spans="2:7" x14ac:dyDescent="0.2">
      <c r="B32" s="13"/>
      <c r="C32" s="13"/>
      <c r="D32" s="13"/>
      <c r="E32" s="13"/>
      <c r="F32" s="13"/>
      <c r="G32" s="13"/>
    </row>
    <row r="33" spans="2:7" x14ac:dyDescent="0.2">
      <c r="B33" s="13"/>
      <c r="C33" s="13"/>
      <c r="D33" s="13"/>
      <c r="E33" s="13"/>
      <c r="F33" s="13"/>
      <c r="G33" s="13"/>
    </row>
    <row r="34" spans="2:7" x14ac:dyDescent="0.2">
      <c r="B34" s="13"/>
      <c r="C34" s="13"/>
      <c r="D34" s="13"/>
      <c r="E34" s="13"/>
      <c r="F34" s="13"/>
      <c r="G34" s="1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Default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Qualcomm User</cp:lastModifiedBy>
  <dcterms:created xsi:type="dcterms:W3CDTF">2009-07-08T16:51:53Z</dcterms:created>
  <dcterms:modified xsi:type="dcterms:W3CDTF">2016-05-26T12:05:43Z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