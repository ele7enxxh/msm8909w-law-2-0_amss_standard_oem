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Neelima\work\Workspaces\CR997592\commercial\MPSS.JO.2.0.c1\Main\modem_proc\mcfg\mcfg_gen\generic\common\W_One\"/>
    </mc:Choice>
  </mc:AlternateContent>
  <bookViews>
    <workbookView xWindow="45" yWindow="30" windowWidth="19440" windowHeight="9495" tabRatio="924"/>
  </bookViews>
  <sheets>
    <sheet name="Summary" sheetId="10" r:id="rId1"/>
    <sheet name="Commercial" sheetId="28" r:id="rId2"/>
    <sheet name="Th_Bringup" sheetId="31" r:id="rId3"/>
    <sheet name="Revision History" sheetId="29" r:id="rId4"/>
  </sheets>
  <functionGroups builtInGroupCount="18"/>
  <definedNames>
    <definedName name="_xlnm._FilterDatabase" localSheetId="1" hidden="1">Commercial!$C$1:$C$541</definedName>
    <definedName name="_xlnm._FilterDatabase" localSheetId="2" hidden="1">Th_Bringup!$C$1:$C$551</definedName>
  </definedNames>
  <calcPr calcId="152511"/>
</workbook>
</file>

<file path=xl/calcChain.xml><?xml version="1.0" encoding="utf-8"?>
<calcChain xmlns="http://schemas.openxmlformats.org/spreadsheetml/2006/main">
  <c r="F532" i="31" l="1"/>
  <c r="F530" i="31" s="1"/>
  <c r="F520" i="28"/>
  <c r="F522" i="28"/>
  <c r="F514" i="28" l="1"/>
  <c r="F512" i="28" s="1"/>
  <c r="F528" i="31" l="1"/>
  <c r="F518" i="28"/>
  <c r="F524" i="31" l="1"/>
  <c r="F522" i="31" s="1"/>
  <c r="C13" i="10" l="1"/>
  <c r="F519" i="31"/>
  <c r="E520" i="31" s="1"/>
  <c r="E517" i="31"/>
  <c r="B13" i="10" l="1"/>
  <c r="B5" i="10" l="1"/>
  <c r="B4" i="10"/>
  <c r="F509" i="28" l="1"/>
  <c r="E510" i="28" s="1"/>
  <c r="E507" i="28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<sst xmlns="http://schemas.openxmlformats.org/spreadsheetml/2006/main" count="3617" uniqueCount="1030">
  <si>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</si>
  <si>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</si>
  <si>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</si>
  <si>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</si>
  <si>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</si>
  <si>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</si>
  <si>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</si>
  <si>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</si>
  <si>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</si>
  <si>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</si>
  <si>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</si>
  <si>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Mobile CAI Revision Number</t>
  </si>
  <si>
    <t>QNC Enabled Flag</t>
  </si>
  <si>
    <t>Data Service Option Set</t>
  </si>
  <si>
    <t>mob_cai_rev</t>
  </si>
  <si>
    <t>data_qnc_enabled</t>
  </si>
  <si>
    <t>data_so_set</t>
  </si>
  <si>
    <t>nam</t>
  </si>
  <si>
    <t>(enabled)</t>
  </si>
  <si>
    <t>(IS-707)</t>
  </si>
  <si>
    <t>PZID Hysterisis activation timer</t>
  </si>
  <si>
    <t>hysterisis_activation_timer</t>
  </si>
  <si>
    <t>PZID Hysterisis timer</t>
  </si>
  <si>
    <t>hysterisis_timer</t>
  </si>
  <si>
    <t>0x3C</t>
  </si>
  <si>
    <t>(60 sec)</t>
  </si>
  <si>
    <t>OFF</t>
  </si>
  <si>
    <t>HDR SCP Force Release 0 Session Configuration</t>
  </si>
  <si>
    <t>hdrscp_force_rel0_config</t>
  </si>
  <si>
    <t>Phone Lock</t>
  </si>
  <si>
    <t>lock</t>
  </si>
  <si>
    <t>Authentication Require Password Encryption</t>
  </si>
  <si>
    <t>auth_require_password_encryption</t>
  </si>
  <si>
    <t>enabled</t>
  </si>
  <si>
    <t>Roaming List Enabled</t>
  </si>
  <si>
    <t>prl_enabled</t>
  </si>
  <si>
    <t>IS2000 CAI Radio Configuration RC Preference</t>
  </si>
  <si>
    <t>pref_for_rc</t>
  </si>
  <si>
    <t>field</t>
  </si>
  <si>
    <t>RC3</t>
  </si>
  <si>
    <t>Voice Privacy</t>
  </si>
  <si>
    <t>voice_priv</t>
  </si>
  <si>
    <t>HDR Receive diversity</t>
  </si>
  <si>
    <t>hdr_rx_diversity_ctrl</t>
  </si>
  <si>
    <t>(enable)</t>
  </si>
  <si>
    <t>CDMA Receive diversity</t>
  </si>
  <si>
    <t>cdma_rx_diversity_ctrl</t>
  </si>
  <si>
    <t>SMS Service option</t>
  </si>
  <si>
    <t>sms_service_option</t>
  </si>
  <si>
    <t>sms_so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</si>
  <si>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</si>
  <si>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</si>
  <si>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</si>
  <si>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</si>
  <si>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</si>
  <si>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</si>
  <si>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</si>
  <si>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</si>
  <si>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</si>
  <si>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 xml:space="preserve">disable_cm_call_type </t>
  </si>
  <si>
    <t>0x00</t>
  </si>
  <si>
    <t>Digital/Analog Mode Preference</t>
  </si>
  <si>
    <t>pref_mode</t>
  </si>
  <si>
    <t>mode</t>
  </si>
  <si>
    <t>ds_mip_qc_drs_opt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</si>
  <si>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</si>
  <si>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</si>
  <si>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</si>
  <si>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</si>
  <si>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</si>
  <si>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</si>
  <si>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</si>
  <si>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</si>
  <si>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SMS MO on Traffic Channel</t>
  </si>
  <si>
    <t>sms_mo_on_traffic_channel</t>
  </si>
  <si>
    <t xml:space="preserve">for SO 6, set to 1 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</si>
  <si>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</si>
  <si>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</si>
  <si>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</si>
  <si>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</si>
  <si>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</si>
  <si>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</si>
  <si>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</si>
  <si>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</si>
  <si>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</si>
  <si>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</si>
  <si>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</si>
  <si>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</si>
  <si>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</si>
  <si>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</si>
  <si>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</si>
  <si>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</si>
  <si>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</si>
  <si>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</si>
  <si>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</si>
  <si>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Ipv6 Enabled</t>
  </si>
  <si>
    <t>NV_IPV6_ENABLED_I</t>
  </si>
  <si>
    <t>CDMA SO68 enabled</t>
  </si>
  <si>
    <t>VOIP Registration Mode</t>
  </si>
  <si>
    <t>HDR SCP force AT configuration</t>
  </si>
  <si>
    <t>PDN Throttling Config</t>
  </si>
  <si>
    <t>/nv/item_files/modem/data/epc/pdn_throttling_config.txt</t>
  </si>
  <si>
    <t>Thermal Config</t>
  </si>
  <si>
    <t>LTE NAS temp forbidden PLMN feature</t>
  </si>
  <si>
    <t>/nv/item_files/modem/nas/lte_nas_temp_fplmn_backoff_time</t>
  </si>
  <si>
    <t>0xFFFFFFFF</t>
  </si>
  <si>
    <t>/nv/item_files/data/3gpp2/mpit_enabled</t>
  </si>
  <si>
    <t>eHRPD Partial context</t>
  </si>
  <si>
    <t>/nv/item_files/data/3gpp2/ehrpd_partial_context</t>
  </si>
  <si>
    <t>eHRPD-to-HRPD fallback</t>
  </si>
  <si>
    <t>/nv/item_files/data/3gpp2/ehrpd_to_hrpd_fallback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</si>
  <si>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</si>
  <si>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</si>
  <si>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</si>
  <si>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</si>
  <si>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</si>
  <si>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</si>
  <si>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InitialBufferTimeValue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</si>
  <si>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</si>
  <si>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</si>
  <si>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</si>
  <si>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</si>
  <si>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</si>
  <si>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</si>
  <si>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</si>
  <si>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</si>
  <si>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</si>
  <si>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</si>
  <si>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</si>
  <si>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</si>
  <si>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</si>
  <si>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</si>
  <si>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</si>
  <si>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</si>
  <si>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</si>
  <si>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</si>
  <si>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</si>
  <si>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</si>
  <si>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</si>
  <si>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</si>
  <si>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</si>
  <si>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</si>
  <si>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</si>
  <si>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</si>
  <si>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SIP Configuration</t>
  </si>
  <si>
    <t>/nv/item_files/ims/qp_ims_sip_config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</si>
  <si>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</si>
  <si>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</si>
  <si>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</si>
  <si>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</si>
  <si>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</si>
  <si>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</si>
  <si>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</si>
  <si>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</si>
  <si>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</si>
  <si>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</si>
  <si>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</si>
  <si>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</si>
  <si>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</si>
  <si>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</si>
  <si>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</si>
  <si>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</si>
  <si>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</si>
  <si>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</si>
  <si>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</si>
  <si>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0000008197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</si>
  <si>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</si>
  <si>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</si>
  <si>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</si>
  <si>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</si>
  <si>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</si>
  <si>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</si>
  <si>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</si>
  <si>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Minimum APN List</t>
  </si>
  <si>
    <t>Attach Profile</t>
  </si>
  <si>
    <t>Disable Rel 10 Ies</t>
  </si>
  <si>
    <t>/nv/item_files/modem/nas/exclude_ptmsi_type_field</t>
  </si>
  <si>
    <t>LTE Profile 1</t>
  </si>
  <si>
    <t>Technology Order Table</t>
  </si>
  <si>
    <t>/sd/rat_acq_order</t>
  </si>
  <si>
    <t>/nv/item_files/modem/mmode/ue_usage_setting</t>
  </si>
  <si>
    <t>/nv/item_files/modem/data/3gpp/lteps/attach_profile</t>
  </si>
  <si>
    <t>3GPP2 Max PPP Inactivity TimerEnabled</t>
  </si>
  <si>
    <t>Mandatory APN List</t>
  </si>
  <si>
    <t>/eHRPD/mandatory_apn_list.txt</t>
  </si>
  <si>
    <t>/nv/item_files/therm_monitor/config_test.ini</t>
  </si>
  <si>
    <t>Summary</t>
  </si>
  <si>
    <t>0x29</t>
  </si>
  <si>
    <t>RMNET Config</t>
  </si>
  <si>
    <t>/rmnet_config.txt</t>
  </si>
  <si>
    <t>/pdp_profiles/consl_profiles/socks_call_prof_num</t>
  </si>
  <si>
    <t>/pdp_profiles/consl_profiles/rmnet_call_prof_num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</si>
  <si>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</si>
  <si>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</si>
  <si>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</si>
  <si>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</si>
  <si>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</si>
  <si>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</si>
  <si>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</si>
  <si>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</si>
  <si>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</si>
  <si>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</si>
  <si>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</si>
  <si>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</si>
  <si>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</si>
  <si>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</si>
  <si>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</si>
  <si>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</si>
  <si>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</si>
  <si>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</si>
  <si>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</si>
  <si>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</si>
  <si>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</si>
  <si>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</si>
  <si>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</si>
  <si>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</si>
  <si>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UIM First Instruction Class</t>
  </si>
  <si>
    <t>uim_first_inst_cla</t>
  </si>
  <si>
    <t>NV_BAND_PREF_I6_32_I</t>
  </si>
  <si>
    <t>band_pref_16_31</t>
  </si>
  <si>
    <t>NV_BAND_PREF_32_63_I</t>
  </si>
  <si>
    <t>band_pref_32_63</t>
  </si>
  <si>
    <t>UE Usage Setting</t>
  </si>
  <si>
    <t>0=CSIM, make sure this is present and set to 0</t>
  </si>
  <si>
    <t>MRU Table for NAM0</t>
  </si>
  <si>
    <t>MRU Table for NAM1</t>
  </si>
  <si>
    <t>65627,  addtions for C, GW and LTE, muxd EFS files</t>
  </si>
  <si>
    <t>/sd/mru001</t>
  </si>
  <si>
    <t>/sd/mru002</t>
  </si>
  <si>
    <t>0xBFFF</t>
  </si>
  <si>
    <t>modem_proc\mcfg\mcfg_gen\scripts\data\efs_files\config.ini</t>
  </si>
  <si>
    <t xml:space="preserve">0 – Starts card as GSM SIM                                                                     1 – Starts card as USIM  </t>
  </si>
  <si>
    <t>UIM HW SIM Config</t>
  </si>
  <si>
    <t>uim_hw_single_sim_ffa</t>
  </si>
  <si>
    <t>UIM Select Default SIM Application</t>
  </si>
  <si>
    <t>uim_select_default_sim_app</t>
  </si>
  <si>
    <t>0 = wait for UI to select of AID ( WP8/dongles ); 1 = select first AID in EF DIR for multiap USIM (Android/QNX)</t>
  </si>
  <si>
    <t>Toolkit CS PS Parallel</t>
  </si>
  <si>
    <t>used in 7x27 DSDS code, to become obsolete soon</t>
  </si>
  <si>
    <t>toolkit_cs_ps_parallel</t>
  </si>
  <si>
    <t>IMS SIP Extended Configuration</t>
  </si>
  <si>
    <t>/nv/item_files/ims/qp_ims_sip_extended_0_config</t>
  </si>
  <si>
    <t>/nv/item_files/ims/ims_operation_mode</t>
  </si>
  <si>
    <t>IMS Operation mode</t>
  </si>
  <si>
    <t>/nv/item_files/modem/data/3gpp/lteps/profile_list</t>
  </si>
  <si>
    <t>65628 - above two are enh CRs, placeholder for now</t>
  </si>
  <si>
    <t>Placeholder for now</t>
  </si>
  <si>
    <t>/nv/item_files/modem/utils/a2/sps_dynamic_usb_endpoint</t>
  </si>
  <si>
    <t>SPS Dynamic USB Endpoint</t>
  </si>
  <si>
    <t>EFS file</t>
  </si>
  <si>
    <t>Preferred Hybrid Mode</t>
  </si>
  <si>
    <t>hybrid_pref</t>
  </si>
  <si>
    <t>HDR EMPA Supported</t>
  </si>
  <si>
    <t>VOIP Preferred URI</t>
  </si>
  <si>
    <t>+g.3gpp.smsip</t>
  </si>
  <si>
    <t>IMS VOIP Configuration</t>
  </si>
  <si>
    <t>/nv/item_files/ims/qp_ims_voip_config</t>
  </si>
  <si>
    <t>IMS Configuration</t>
  </si>
  <si>
    <t>/nv/item_files/ims/qp_ims_param_config</t>
  </si>
  <si>
    <t>Placeholder for enabling autoconnect if required</t>
  </si>
  <si>
    <t>3GPP2 Min APN List Disallow Call</t>
  </si>
  <si>
    <t>/nv/item_files/data/3gpp2/minapnlist_disallow_call</t>
  </si>
  <si>
    <t>67326, set to 1 for 3GPP</t>
  </si>
  <si>
    <t>/nv/item_files/modem/data/3gpp/ps/allow_infinite_throt</t>
  </si>
  <si>
    <t>3GPP PS Allow Infinite Throttling</t>
  </si>
  <si>
    <t>Enable infinite throttling</t>
  </si>
  <si>
    <t>/nv/item_files/data/dsd/ds_apn_switching</t>
  </si>
  <si>
    <t>Data APN Switching</t>
  </si>
  <si>
    <t>Enable APN switch</t>
  </si>
  <si>
    <t>Configure attach profile list</t>
  </si>
  <si>
    <t>/data/ds_dsd_attach_profile.txt</t>
  </si>
  <si>
    <t>APN switch config - Config rules</t>
  </si>
  <si>
    <t>/data/ds_dsd_apm_rules.txt</t>
  </si>
  <si>
    <t>RegRATConfig = CONFIG_RAT_LTE</t>
  </si>
  <si>
    <t>vzims.com</t>
  </si>
  <si>
    <t>Enable HDR ACQ Diversity</t>
  </si>
  <si>
    <t>TTY mode</t>
  </si>
  <si>
    <t>HDR Acquistion Diversity Threshold 0</t>
  </si>
  <si>
    <t>/nv/item_files/modem/hdr/srch/hdr_acq_div_thresh0</t>
  </si>
  <si>
    <t>tty</t>
  </si>
  <si>
    <t>HDR Acquistion Diversity Threshold 1</t>
  </si>
  <si>
    <t>/nv/item_files/modem/hdr/srch/hdr_acq_div_thresh1</t>
  </si>
  <si>
    <t>/nv/item_files/modem/hdr/srch/hdr_acq_div_enable</t>
  </si>
  <si>
    <t>/pdp_profiles/embedded_call_prof_num</t>
  </si>
  <si>
    <t>Embedded Profile Num</t>
  </si>
  <si>
    <t>/pdp_profiles/tethered_call_prof_num</t>
  </si>
  <si>
    <t>Tethered Call Profile Num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</si>
  <si>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</si>
  <si>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</si>
  <si>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</si>
  <si>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67258 - note this has user specific parameters, currently set to MST configs</t>
  </si>
  <si>
    <t>HRPD IPv6 Enabling</t>
  </si>
  <si>
    <t>/nv/item_files/data/3gpp2/hrpd_ipv6_config_info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</si>
  <si>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</si>
  <si>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</si>
  <si>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</si>
  <si>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</si>
  <si>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</si>
  <si>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</si>
  <si>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/nv/item_files/modem/mmode/voice_domain_pref</t>
  </si>
  <si>
    <t>/nv/item_files/cne/1XDataServiceTransferTimer</t>
  </si>
  <si>
    <t>/nv/item_files/ims/qipcall_dan_enable</t>
  </si>
  <si>
    <t>/nv/item_files/ims/qipcall_1xsmsandvoice</t>
  </si>
  <si>
    <t>/nv/item_files/modem/uim/mmgsdi/refresh_vote_ok</t>
  </si>
  <si>
    <t>SMS Retry Limit</t>
  </si>
  <si>
    <t>/nv/item_files/modem/sms/sms_rety_limit</t>
  </si>
  <si>
    <t>CDMA 1x ZZ2_2 Selection Param</t>
  </si>
  <si>
    <t>/nv/item_files/modem/1x/zz2_2_sel_parms</t>
  </si>
  <si>
    <t>CDMA 1x ZZ2_2 Threshold</t>
  </si>
  <si>
    <t>/nv/item_files/modem/1x/zz2_2_thresh</t>
  </si>
  <si>
    <t>TDS RRC Integrity Protection Enabled</t>
  </si>
  <si>
    <t>/nv/item_files/modem/tdscdma/rrc/integrity_enabled</t>
  </si>
  <si>
    <t>TDS RRC Ciphering Enabled</t>
  </si>
  <si>
    <t>/nv/item_files/modem/tdscdma/rrc/ciphering_enabled</t>
  </si>
  <si>
    <t>TDS RRC Fake Security Status</t>
  </si>
  <si>
    <t>/nv/item_files/modem/tdscdma/rrc/fake_sec_enabled</t>
  </si>
  <si>
    <t>TDS RRC Version</t>
  </si>
  <si>
    <t>/nv/item_files/modem/tdscdma/rrc/tds_rrc_version</t>
  </si>
  <si>
    <t/>
  </si>
  <si>
    <t>QIPCall DAN Enabled</t>
  </si>
  <si>
    <t>QIPCall Preferred URI Type</t>
  </si>
  <si>
    <t>Voice Domain Preference</t>
  </si>
  <si>
    <t>MMGSDI Refresh Vote OK</t>
  </si>
  <si>
    <t>PtimeValue</t>
  </si>
  <si>
    <t>AMR_Mode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</si>
  <si>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</si>
  <si>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</si>
  <si>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</si>
  <si>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</si>
  <si>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</si>
  <si>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</si>
  <si>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</si>
  <si>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</si>
  <si>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</si>
  <si>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</si>
  <si>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</si>
  <si>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</si>
  <si>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</si>
  <si>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</si>
  <si>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</si>
  <si>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</si>
  <si>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</si>
  <si>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</si>
  <si>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</si>
  <si>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</si>
  <si>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</si>
  <si>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</si>
  <si>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</si>
  <si>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</si>
  <si>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</si>
  <si>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</si>
  <si>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</si>
  <si>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DTX Enabled</t>
  </si>
  <si>
    <t>/nv/item_files/ims/qipcall_dtx_enabled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</si>
  <si>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</si>
  <si>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</si>
  <si>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</si>
  <si>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</si>
  <si>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</si>
  <si>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</si>
  <si>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</si>
  <si>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</si>
  <si>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</si>
  <si>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</si>
  <si>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</si>
  <si>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</si>
  <si>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</si>
  <si>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</si>
  <si>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CNE 1X Data Service Transfer Timer</t>
  </si>
  <si>
    <t>QIPCall 1x SMS And Voice Enabled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</si>
  <si>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</si>
  <si>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</si>
  <si>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</si>
  <si>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</si>
  <si>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</si>
  <si>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</si>
  <si>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</si>
  <si>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</si>
  <si>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</si>
  <si>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</si>
  <si>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</si>
  <si>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</si>
  <si>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</si>
  <si>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</si>
  <si>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</si>
  <si>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</si>
  <si>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</si>
  <si>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</si>
  <si>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</si>
  <si>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</si>
  <si>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</si>
  <si>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</si>
  <si>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</si>
  <si>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</si>
  <si>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</si>
  <si>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</si>
  <si>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</si>
  <si>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</si>
  <si>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</si>
  <si>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</si>
  <si>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</si>
  <si>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</si>
  <si>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</si>
  <si>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</si>
  <si>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</si>
  <si>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</si>
  <si>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</si>
  <si>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</si>
  <si>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</si>
  <si>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</si>
  <si>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</si>
  <si>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</si>
  <si>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</si>
  <si>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</si>
  <si>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</si>
  <si>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</si>
  <si>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</si>
  <si>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</si>
  <si>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</si>
  <si>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</si>
  <si>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</si>
  <si>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</si>
  <si>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</si>
  <si>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</si>
  <si>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</si>
  <si>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</si>
  <si>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</si>
  <si>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</si>
  <si>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</si>
  <si>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</si>
  <si>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</si>
  <si>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</si>
  <si>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MIP Handoff Optimization Enabled</t>
  </si>
  <si>
    <t>video_calls</t>
  </si>
  <si>
    <t>mobile_data</t>
  </si>
  <si>
    <t>AudioFeatureTag</t>
  </si>
  <si>
    <t>VideoFeatureTag</t>
  </si>
  <si>
    <t>ReservedBytes</t>
  </si>
  <si>
    <t>69679, set to 1 for 3GPP (Placeholder for now), disable APN switch</t>
  </si>
  <si>
    <t>0x00000640</t>
  </si>
  <si>
    <t>video</t>
  </si>
  <si>
    <t>confserver@ims.com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</si>
  <si>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</si>
  <si>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</si>
  <si>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</si>
  <si>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</si>
  <si>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</si>
  <si>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</si>
  <si>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</si>
  <si>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</si>
  <si>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</si>
  <si>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</si>
  <si>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</si>
  <si>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</si>
  <si>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</si>
  <si>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</si>
  <si>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</si>
  <si>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</si>
  <si>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</si>
  <si>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</si>
  <si>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</si>
  <si>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</si>
  <si>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</si>
  <si>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</si>
  <si>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</si>
  <si>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</si>
  <si>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</si>
  <si>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</si>
  <si>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int[13]</t>
  </si>
  <si>
    <t>Carrier Version Update(s)</t>
  </si>
  <si>
    <t>W-One</t>
  </si>
  <si>
    <t>WirelessOne MCFG SW Items List</t>
  </si>
  <si>
    <t>Factory Testmode Phone Mode</t>
  </si>
  <si>
    <t>HDRSCP session status</t>
  </si>
  <si>
    <t>SMS Config Routing</t>
  </si>
  <si>
    <t>sms_cfg_routing</t>
  </si>
  <si>
    <t>Aside from route 5, all route values set to default (wmscm.c@296)</t>
  </si>
  <si>
    <t>pp_routes [0]</t>
  </si>
  <si>
    <t>pp_mem_stores[0]</t>
  </si>
  <si>
    <t>bc_routes [0]</t>
  </si>
  <si>
    <t>bc_mem_stores[0]</t>
  </si>
  <si>
    <t>pp_routes [1]</t>
  </si>
  <si>
    <t>pp_mem_stores[1]</t>
  </si>
  <si>
    <t>bc_routes [1]</t>
  </si>
  <si>
    <t>bc_mem_stores[1]</t>
  </si>
  <si>
    <t>pp_routes [2]</t>
  </si>
  <si>
    <t>pp_mem_stores[2]</t>
  </si>
  <si>
    <t>bc_routes [2]</t>
  </si>
  <si>
    <t>bc_mem_stores[2]</t>
  </si>
  <si>
    <t>pp_routes [3]</t>
  </si>
  <si>
    <t>pp_mem_stores[3]</t>
  </si>
  <si>
    <t>bc_routes [3]</t>
  </si>
  <si>
    <t>bc_mem_stores[3]</t>
  </si>
  <si>
    <t>pp_routes [4]</t>
  </si>
  <si>
    <t>pp_mem_stores[4]</t>
  </si>
  <si>
    <t>bc_routes [4]</t>
  </si>
  <si>
    <t>bc_mem_stores[4]</t>
  </si>
  <si>
    <t>pp_routes [5]</t>
  </si>
  <si>
    <t>pp_mem_stores[5]</t>
  </si>
  <si>
    <t>bc_routes [5]</t>
  </si>
  <si>
    <t>bc_mem_stores[5]</t>
  </si>
  <si>
    <t>transfer_status_report</t>
  </si>
  <si>
    <t>Original value = 0x6C91</t>
  </si>
  <si>
    <t>CDMA SO70 Enable</t>
  </si>
  <si>
    <t>EHRPD Enabled</t>
  </si>
  <si>
    <t>modem_proc\mcfg\mcfg_gen\scripts\data\efs_files\wo\pdn_throttling_config.txt</t>
  </si>
  <si>
    <t>modem_proc\mcfg\mcfg_gen\scripts\data\efs_files\wo\lte_nas_temp_fplmn_backoff_time</t>
  </si>
  <si>
    <t>modem_proc\mcfg\mcfg_gen\scripts\data\efs_files\wo\mpit_enabled</t>
  </si>
  <si>
    <t>modem_proc\mcfg\mcfg_gen\scripts\data\efs_files\wo\ehrpd_partial_context</t>
  </si>
  <si>
    <t>GSTK Proactive Configuration Bitmask</t>
  </si>
  <si>
    <t>/nv/item_files/modem/uim/gstk/proactive_feature_enable_cfg</t>
  </si>
  <si>
    <t>0x7FFFFFF7</t>
  </si>
  <si>
    <t>modem_proc\mcfg\mcfg_gen\scripts\data\efs_files\wo\ehrpd_to_hrpd_fallback</t>
  </si>
  <si>
    <t>HDR eHRPD Network Setting</t>
  </si>
  <si>
    <t>/nv/item_files/modem/hdr/cp/scp/ehrpdnetworksetting</t>
  </si>
  <si>
    <t>modem_proc\mcfg\mcfg_gen\scripts\data\efs_files\wo\ehrpdnetworksetting</t>
  </si>
  <si>
    <t>modem_proc\mcfg\mcfg_gen\scripts\data\efs_files\wo\hrpd_ipv6_config_info</t>
  </si>
  <si>
    <t>modem_proc\mcfg\mcfg_gen\scripts\data\efs_files\wo\ue_usage_setting</t>
  </si>
  <si>
    <t>modem_proc\mcfg\mcfg_gen\scripts\data\efs_files\wo\IMS_enable</t>
  </si>
  <si>
    <t>modem_proc\mcfg\mcfg_gen\scripts\data\efs_files\wo\qp_ims_param_config</t>
  </si>
  <si>
    <t>modem_proc\mcfg\mcfg_gen\scripts\data\efs_files\wo\rmnet_config.txt</t>
  </si>
  <si>
    <t>modem_proc\mcfg\mcfg_gen\scripts\data\efs_files\wo\profile_list</t>
  </si>
  <si>
    <t>modem_proc\mcfg\mcfg_gen\scripts\data\efs_files\wo\embedded_call_prof_num</t>
  </si>
  <si>
    <t>modem_proc\mcfg\mcfg_gen\scripts\data\efs_files\wo\tethered_call_prof_num</t>
  </si>
  <si>
    <t>modem_proc\mcfg\mcfg_gen\scripts\data\efs_files\wo\attach_profile</t>
  </si>
  <si>
    <t>modem_proc\mcfg\mcfg_gen\scripts\data\efs_files\wo\exclude_ptmsi_type_field</t>
  </si>
  <si>
    <t>modem_proc\mcfg\mcfg_gen\scripts\data\efs_files\wo\rat_acq_order</t>
  </si>
  <si>
    <t>Initial Sequence Number</t>
  </si>
  <si>
    <t>/eHRPD/initial_sequence_number.txt</t>
  </si>
  <si>
    <t>modem_proc\mcfg\mcfg_gen\scripts\data\efs_files\wo\initial_sequence_number.txt</t>
  </si>
  <si>
    <t>modem_proc\mcfg\mcfg_gen\scripts\data\efs_files\wo\mandatory_apn_list.txt</t>
  </si>
  <si>
    <t>RMNET Call Prof Num</t>
  </si>
  <si>
    <t>modem_proc\mcfg\mcfg_gen\scripts\data\efs_files\wo\rmnet_call_prof_num</t>
  </si>
  <si>
    <t>System Determination Timers</t>
  </si>
  <si>
    <t>/nv/item_files/modem/mmode/sd/sdssscr_timers</t>
  </si>
  <si>
    <t>modem_proc\mcfg\mcfg_gen\scripts\data\efs_files\wo\sdssscr_timers</t>
  </si>
  <si>
    <t>Socks Call Prof Num</t>
  </si>
  <si>
    <t>modem_proc\mcfg\mcfg_gen\scripts\data\efs_files\wo\socks_call_prof_num</t>
  </si>
  <si>
    <t>modem_proc\mcfg\mcfg_gen\scripts\data\efs_files\wo\ds_dsd_attach_profile.txt</t>
  </si>
  <si>
    <t>modem_proc\mcfg\mcfg_gen\scripts\data\efs_files\wo\ds_dsd_apm_rules.txt</t>
  </si>
  <si>
    <t>modem_proc\mcfg\mcfg_gen\scripts\data\efs_files\wo\hdr_acq_div_thresh0</t>
  </si>
  <si>
    <t>modem_proc\mcfg\mcfg_gen\scripts\data\efs_files\wo\hdr_acq_div_thresh1</t>
  </si>
  <si>
    <t>APN  = wirelessone.com</t>
  </si>
  <si>
    <t>/nv/item_files/modem/data/protocols/tcp_ack_prio</t>
  </si>
  <si>
    <t>TCP ACK Priority</t>
  </si>
  <si>
    <t>Image</t>
  </si>
  <si>
    <t>SW Product</t>
  </si>
  <si>
    <t>MCFG PW</t>
  </si>
  <si>
    <t>MPSS Configuration Items Listing</t>
  </si>
  <si>
    <t>All carrier versions initialized to 0x31</t>
  </si>
  <si>
    <t>Ported from Dime 2.0 file version 30</t>
  </si>
  <si>
    <t>Initial Version for Dime 3.0</t>
  </si>
  <si>
    <t>Wireless One update</t>
  </si>
  <si>
    <t>edited NVs:
562=1</t>
  </si>
  <si>
    <t>WirelessOne: 0x02011932</t>
  </si>
  <si>
    <t>removed: 
/sd/bst_tbl</t>
  </si>
  <si>
    <t>WirelessOne: 0x02011933</t>
  </si>
  <si>
    <t>NV Items</t>
  </si>
  <si>
    <t>edited:
rat_acq_order file includes TDSCDMA</t>
  </si>
  <si>
    <t>WirelessOne: 0x02011934</t>
  </si>
  <si>
    <t>/pdp_profiles/tethered_call_prof_nums</t>
  </si>
  <si>
    <t>Tethered Call Profile Num (multi-SIM)</t>
  </si>
  <si>
    <t>Verizon &amp; WirelessOne udpate: PDP profile updates for Multi-SIM</t>
  </si>
  <si>
    <t>Verizon: 0x02010137
W-One: 0x02011935</t>
  </si>
  <si>
    <t>/pdp_profiles/embedded_call_prof_nums</t>
  </si>
  <si>
    <t>Embedded Profile Num (multi-SIM)</t>
  </si>
  <si>
    <t>Verizon &amp; W-One: 
added EFS: 
/pdp_profiles/tethered_call_prof_nums
/pdp_profiles/embedded_call_prof_nums</t>
  </si>
  <si>
    <t>Verizon: 0x02010138
W-One: 0x02011936</t>
  </si>
  <si>
    <t>modem_proc\mcfg\mcfg_gen\scripts\data\efs_files\wo\embedded_call_prof_nums</t>
  </si>
  <si>
    <t>modem_proc\mcfg\mcfg_gen\scripts\data\efs_files\wo\tethered_call_prof_nums</t>
  </si>
  <si>
    <t>edited EFS: 
Verizon:
/pdp_profiles/tethered_call_prof_nums: 3,3
/pdp_profiles/embedded_call_prof_nums: 3,3
W-One: 
/pdp_profiles/tethered_call_prof_nums: 1,1
/pdp_profiles/embedded_call_prof_nums: 1,1</t>
  </si>
  <si>
    <t>removed: 
/mmode/cmph/soa_config
/mmode/cmph/svlte_plmn_id_list</t>
  </si>
  <si>
    <t>WirelessOne: 0x02011937</t>
  </si>
  <si>
    <t>W-One: 0x02011939</t>
  </si>
  <si>
    <t>edited EFS: 
mandatory_apn_list: wirelessone.com
removed EFS: 
Profile_000, Profile_103, Profile_104, Profile_106, Profile_107, /data/ds_dsd_apm_rules.txt</t>
  </si>
  <si>
    <t>3GPP2 Back Pressure Removal</t>
  </si>
  <si>
    <t>/nv/item_files/data/3gpp2/3gpp2_back_pressure_removal</t>
  </si>
  <si>
    <t>timer_value</t>
  </si>
  <si>
    <t>Spreadsheet statistics</t>
  </si>
  <si>
    <t>Total carrier configurations</t>
  </si>
  <si>
    <t>Total supported items (NV &amp; EFS)</t>
  </si>
  <si>
    <t>Default - added NV: 
69731 = 2</t>
  </si>
  <si>
    <t>Default: 0x02E00032</t>
  </si>
  <si>
    <t>Deafult config update</t>
  </si>
  <si>
    <t>Select Carriers for Generation</t>
  </si>
  <si>
    <t>W-one update for gstk feature mask</t>
  </si>
  <si>
    <t>65674 GSTK Feature Bitmask set to 0x47</t>
  </si>
  <si>
    <t>W-One: 0x0201193B</t>
  </si>
  <si>
    <t>APN  = wonev4v6.com for 3gpp</t>
  </si>
  <si>
    <t>APN  = wonev6.com for 3gpp2</t>
  </si>
  <si>
    <t>APN  = wonev4v6.com for 3gpp2</t>
  </si>
  <si>
    <t>W-one update</t>
  </si>
  <si>
    <t>W-One : 0x0201193C</t>
  </si>
  <si>
    <t>Set 70319 to 2 by default in MCFG</t>
  </si>
  <si>
    <t>Default : 0x02E00033</t>
  </si>
  <si>
    <t>Default update</t>
  </si>
  <si>
    <t>CMCC Update</t>
  </si>
  <si>
    <t>added NV: 
71532=0x06 (Dime 3.0 + later)</t>
  </si>
  <si>
    <t>CMCC: 0x02011832</t>
  </si>
  <si>
    <t>KDDI Update</t>
  </si>
  <si>
    <t>removed file:
Mandatory_apn_list.txt</t>
  </si>
  <si>
    <t>KDDI: 0x02010732</t>
  </si>
  <si>
    <t>ATT update</t>
  </si>
  <si>
    <t>removed NVs:
3649, 4722
Fix for IMS settings
added NVs:
67261, 67259, 69744, 67257</t>
  </si>
  <si>
    <t>ATT: 0x02010332</t>
  </si>
  <si>
    <t>Vzw Update</t>
  </si>
  <si>
    <t>edited NVs:
3446=66,2
added NVs:
70233 (IMS RCS Auto-Config Parameters.iDisableAutoConfig = 1)</t>
  </si>
  <si>
    <t>Verizon: 0x02010132</t>
  </si>
  <si>
    <t>Sprint update: Policy manager</t>
  </si>
  <si>
    <t>Sprint:
FR3164 Policy-manager</t>
  </si>
  <si>
    <t>Sprint:  0x02010208</t>
  </si>
  <si>
    <t>New Carrier: Reliance</t>
  </si>
  <si>
    <t>Reliance: 0x02011B31</t>
  </si>
  <si>
    <t>New Carrier: AirTel</t>
  </si>
  <si>
    <t>AirTel: 0x02011A31</t>
  </si>
  <si>
    <t>CMCC Updates
New Carrier Config: CMCC_Lab</t>
  </si>
  <si>
    <t>CMCC
added NVs:
880=1, 881=1, 882=0
65777=0
TDD/FDD Intermode FGI capability = 1
CMCC_procured policy manager
edited NVs:
10=59, 441=0x2F, 69731=2
CMCC_Lab = original CMCC + following deltas:
added NVs:
880=1, 881=1, 882=0
65777=0
TDD/FDD Intermode FGI capability = 1
CMCC test policy manager 
edited NVs:
10=55, 441=0xFFFF, 69731=1</t>
  </si>
  <si>
    <t>CMCC: 0x02011833
CMCC_Lab: 0x02011831</t>
  </si>
  <si>
    <t>ATT Updates</t>
  </si>
  <si>
    <t>ATT
edited NVs:
74, 65777=0, 67205, 67259
removed NVs:
6862, 947, 4173, 4210, 4432, 4722, 5107, 3852, 3635, 67210 (rpm_info)
duplicate CR items:
remove NVs: 3649, 4722
Airtel
editedNV: 67205 -- corrected EFS filepath</t>
  </si>
  <si>
    <t>ATT: 0x02010333
Airtel: 0x02011A32</t>
  </si>
  <si>
    <t>Sprint Update</t>
  </si>
  <si>
    <t>added NVs:
6828 = bands 25, 26, 41: 0x0000 0100 0300 0000</t>
  </si>
  <si>
    <t>Sprint:  0x02010233</t>
  </si>
  <si>
    <t>Verizon Update</t>
  </si>
  <si>
    <t>PCO container elements added to LTE profiles:
1. Op_pco_id=65280 
2. Pco_mcc=311
3. Mnc=480
4. Mnc_includes_pcs_digit=1</t>
  </si>
  <si>
    <t>Verizon: 0x02010133</t>
  </si>
  <si>
    <t>CMCC &amp; CMCC_Lab update</t>
  </si>
  <si>
    <t>removed NVs:
65633 (made placeholder in spreadsheet)</t>
  </si>
  <si>
    <t>CMCC: 0x02011834
CMCC_Lab: 0x02011832</t>
  </si>
  <si>
    <t>edited NVs:
65538 = LTE_3GPP_REL10_SEP12
70328 = 1 (REL_10_THROTTLING)</t>
  </si>
  <si>
    <t>Verizon: 0x02010134</t>
  </si>
  <si>
    <t>added: 
diff_fdd_tdd_fgi_enable=1</t>
  </si>
  <si>
    <t>Sprint: 0x0201020A</t>
  </si>
  <si>
    <t>Spreadsheet update
Verizon Update</t>
  </si>
  <si>
    <t>Grouped items into 3 main categories: NV, PRL, EFS
Verizon:
edited NV
65777 = 1 (should not have changed in CR539228)</t>
  </si>
  <si>
    <t>Verizon: 0x02010135</t>
  </si>
  <si>
    <t>added NVs:
1897 (ipv6_sm_config)</t>
  </si>
  <si>
    <t>Verizon: 0x02010136</t>
  </si>
  <si>
    <t>New Carrier Config: TEST_Ota_DI_23_1</t>
  </si>
  <si>
    <t>Test OTA versions added for SS DS configurations.
Some settings obtained from email: 12/18/13 @ 10:15PM
6876 -&gt; 0 0 0 0 5 (DSDS)
04398 -&gt; 0 DSDS
6907 -&gt; 1 DSDS
70266 -&gt; 1 DSDS
00855 -&gt; 0</t>
  </si>
  <si>
    <t>TEST_Ota_DI_23_1: 0x02011D31</t>
  </si>
  <si>
    <t>New Carrier Config: TEST_Ota_DI_23_2</t>
  </si>
  <si>
    <t>TEST_Ota_DI_23_2 contains settings from TEST_Ota_DI_23_1 plus settings for 2nd subscription</t>
  </si>
  <si>
    <t>TEST_Ota_DI_23_2: 0x02011E31</t>
  </si>
  <si>
    <t xml:space="preserve">Verizon update </t>
  </si>
  <si>
    <t>update: 
70328 , rel_10_throttling set to 0</t>
  </si>
  <si>
    <t>Verizon: 0x02010139</t>
  </si>
  <si>
    <t>update: 
NV72512 set to 1, NV 67257
voipSilentRedialEnabled  set to 1</t>
  </si>
  <si>
    <t>Verizon: 0x0201013A</t>
  </si>
  <si>
    <t>update: 
1018 (CDMA Rx diversity) changed to 0xB1 for KDDI</t>
  </si>
  <si>
    <t>KDDI: 0x02010733</t>
  </si>
  <si>
    <t>Carrier Updates: Verizon, Sprint, KDDI, CT</t>
  </si>
  <si>
    <t>already present: 
67290: HDR ACQ Diversity Enabled =1
added EFS: 
67288: HDR ACQ DIV Threshold 0  = -98
67289: HDR ACQ DIV Threshold 1  = -105</t>
  </si>
  <si>
    <t>Verizon: 0x0201013B
KDDI: 0x02010734
Sprint: 0x02010235
CT: 0x02011332</t>
  </si>
  <si>
    <t>Removed Mux'd attribute from all NV/EFS settings
CMCC Update</t>
  </si>
  <si>
    <t>edited carriers: 
Verizon, Sprint, ATT, TMO, CT, CU CMBB_Lab, CMCC, W-One, Airtel, Reliance, SBM, TEST_Ota_DI_23_1, TEST_Ota_DI_23_2
Policy manager updates for CMCC MBNs.</t>
  </si>
  <si>
    <t>Verizon: 0x0201013C
Sprint: 0x02010236
ATT: 0x02010334
TMO: 0x02010532
CT: 0x02011333
CU: 0x02011532
CMCC_Lab: 0x02011833
CMCC: 0x02011835
W-One: 0x02011938
Airtel: 0x02011A33
Reliance: 0x02011B32
SBM: 0x02011C32
TEST_Ota_DI_23_1: 0x02011D32
TEST_Ota_DI_23_2: 0x02011E32</t>
  </si>
  <si>
    <t>New Carrier config: SKT LTE Only</t>
  </si>
  <si>
    <t>SKT_LTE_Only: 0x02011F30</t>
  </si>
  <si>
    <t>Carrier Updates: SKT LTE Only</t>
  </si>
  <si>
    <t>edited NVs:
850 = 1
added NVs/EFS:
5280 = 0
1014 = 0
67353 = 0</t>
  </si>
  <si>
    <t>SKT_LTE_Only: 0x02011F31</t>
  </si>
  <si>
    <t>New Carrier Configuration: ATT_VoLTE</t>
  </si>
  <si>
    <t>Difference from ATT: 
PDP Profile 1 = at+cgdcont=1,"ip","nxtgenphone"
PDP Profile 2 = at+cgdcont=2,"ipv4v6","ims"
PDP Profile 3 = at+cgdcont=3,"ipv4v6","sos"</t>
  </si>
  <si>
    <t>ATT_VoLTE: 0x02010330</t>
  </si>
  <si>
    <t>added NV: 
6828 = 0x100A</t>
  </si>
  <si>
    <t>Verizon: 0x0201013D</t>
  </si>
  <si>
    <t>SKT_LTE_Only Update</t>
  </si>
  <si>
    <t>added NVs: 
1015,1016,1017 all = 0
added EFS: 
67305: 0
/ds/atcop/atcop_cops_auto_mode.txt
/nv/item_files/modem/lte/rrc/sib/cmas
72524: 0
72525: 0
edted EFS: 
/nv/item_files/modem/lte/rrc/cap/fgi
/nv/item_files/modem/lte/rrc/csg/csg_control</t>
  </si>
  <si>
    <t>SKT_LTE_Only: 0x02011F32</t>
  </si>
  <si>
    <t>edited NVs: 
65777 = 0
3532 = 240
3533 = 5</t>
  </si>
  <si>
    <t>Sprint: 0x02010237</t>
  </si>
  <si>
    <t>ATT &amp; ATT_VoLTE carrier update</t>
  </si>
  <si>
    <t>ATT: 
updated profile1 file strucutre. No delta with actual contents
ATT_VoLTE: 
added NV: 
/nv/item_files/ims/qp_ims_reg_config_db (71527)
/nv/item_files/ims/qp_ims_ut_config (70263)
/nv/item_files/modem/mmode/supplement_service_domain_pref (70239)
edited NV:
/nv/item_files/ims/qp_ims_sip_extended_0_config (69744)</t>
  </si>
  <si>
    <t>ATT: 0x02010335
ATT_VoLTE: 0x02010331</t>
  </si>
  <si>
    <t>editedNVs/EFS:
70354, 70362
newNVs/EFS:
67213, 67267, 67268, 67266, 66048, 65778, 66472, 65819</t>
  </si>
  <si>
    <t>Sprint: 0x02010238</t>
  </si>
  <si>
    <t>CMCC updates
CMCC_Lab</t>
  </si>
  <si>
    <t>NV69731 = 2 
Includes policyman update</t>
  </si>
  <si>
    <t>CMCC_Lab: 0x02011834
CMCC: 0x02011836</t>
  </si>
  <si>
    <t xml:space="preserve">edited NV:
1897.Solicitation Interval </t>
  </si>
  <si>
    <t>Verizon: 0x0201013E</t>
  </si>
  <si>
    <t>ATT &amp; ATT_VoLTE Update</t>
  </si>
  <si>
    <t>addedNV:
70332 = 1, 69679 = 1
addedEFS:
conn_control_barring_optmz_enable
conn_control_param_cfg
lte_connection_control</t>
  </si>
  <si>
    <t>ATT: 0x02010336
ATT_VoLTE: 0x02010332</t>
  </si>
  <si>
    <t>TMO update</t>
  </si>
  <si>
    <t>editedNVs: 
65693
removedNVs: 
553, 896, 1030, 1031, 1302, 2508, 2509, 3649, 4118, 4173, 4210, 4432, 5107, 3635, 67204, 67205, 67210, 69676, 66035, 
/nv/item_files/modem/data/3gpp/ps/ser_req_throttle_behavior
/nv/item_files/modem/data/epc/pdn_throttling_config.txt
/nv/item_files/wcdma/rrc/wcdma_rrc_wtol_cm_support</t>
  </si>
  <si>
    <t>TMO: 0x02010533</t>
  </si>
  <si>
    <t>629305, 624749</t>
  </si>
  <si>
    <t>added NV:
6253 = 1
added EFS:
/data/ds_eps_kamgr_pdn.txt
/data/iwlan_s2b_config.txt
/data/pdn_policy_db.txt</t>
  </si>
  <si>
    <t>VZW: 0x0201013E</t>
  </si>
  <si>
    <t>Verizon / ATT IMS updates</t>
  </si>
  <si>
    <t>Verizon updates:
4228, 67283, 67284, 70213, 66031, 67198, 67197, 70199, 70200, 70267, 65961, 65777, 67239, 67348, 67261, 67259, 69744, 67332, 67314, 67257, 69750, 71527, 71542, 67194, 70360, /nv/item_files/ims/qp_ims_presence_ext_config
ATT updates:
1896, 1920, 69673, 67332, 69749, 65814, 70202, 69750, 67283, 67284, 70287, 71572, 67194, 67195, 70233, 70291, 65768, 70319, 70263, 70239, 67261, 67264, 71527, 69744, 65959, 67348, 67281, 70235</t>
  </si>
  <si>
    <t>Verizon: 0x02010140
ATT_VoLTE: 0x02010333</t>
  </si>
  <si>
    <t>edited NV: 
6 = 9</t>
  </si>
  <si>
    <t>Sprint: 0x02010239</t>
  </si>
  <si>
    <t>added NV: 
72590 = 1</t>
  </si>
  <si>
    <t>Sprint: 0x0201023A</t>
  </si>
  <si>
    <t xml:space="preserve">
Verizon updates:
67280 = 55000
67281 = 60000
67348.version = 15
67348.local_upgrade_accept_timer = 55000
ATT_VoLTE updates:
67259.smsRATMaskString = 0x640E
67259.RatMaskValue = 25614
71527.ims_rat_apn_info[0].iRAT = 119
71527.rat_apn_fb_info[4].iRATAPNFallback = 25088
71527.rat_apn_fb_info[5].iRATAPNFallback = 29184</t>
  </si>
  <si>
    <t>Verizon: 0x02010141
ATT_VoLTE: 0x02010334</t>
  </si>
  <si>
    <t>edited NVs:
71522=0,1,1,1</t>
  </si>
  <si>
    <t>Verizon: 0x02010142</t>
  </si>
  <si>
    <t>added EFS: 
segment_loading.xml
72542 = 1</t>
  </si>
  <si>
    <t>CMCC: 0x02011837</t>
  </si>
  <si>
    <t>edited NVs: 
67213 = 3, 67268 = 3, 67266 = 5000</t>
  </si>
  <si>
    <t>Sprint: 0x0201023B</t>
  </si>
  <si>
    <t>ATT Update</t>
  </si>
  <si>
    <t>Enable p-CSCF bits on Profies 2 &amp; 3</t>
  </si>
  <si>
    <t>ATT_VoLTE: 0x02010335</t>
  </si>
  <si>
    <t xml:space="preserve">added NVs: 
01014 =  0,1,0x1112, 0x1125, 0x1,0,0,0,0
01015 = 1, 00374=2 
00375=2, 02826=1, 0
no change: 
01016=1, 01017=2 </t>
  </si>
  <si>
    <t>Verizon: 0x02010143</t>
  </si>
  <si>
    <t>Updated PRL</t>
  </si>
  <si>
    <t>Sprint: 0x0201023C</t>
  </si>
  <si>
    <t>CMCC Lab Update</t>
  </si>
  <si>
    <t>Added EFS files: 
atcop_cops_auto_mode.txt
tdscdma_op_plmn_list</t>
  </si>
  <si>
    <t>CMCC_Lab: 0x02011835</t>
  </si>
  <si>
    <t>New Carrier Configurations: CT_DSDS, CT_DSDA
Update to CT</t>
  </si>
  <si>
    <t>CT_DSDS, CT_DSDA based off CT. 
CT = SVLTE SS
CT_DSDS = C + G DSDS
CT_DSDA = SVLTE + G DSDA
Following changes added to all 3 CT configs: 
Added NVs to all CT configs: 
4398, 6876, 6907, 70266, 67291</t>
  </si>
  <si>
    <t>CT: 0x02011333
CT_DSDS: 0x02011330
CT_DSDA: 0x02011330</t>
  </si>
  <si>
    <t>TMO Update</t>
  </si>
  <si>
    <t>TMO: 0x02010534</t>
  </si>
  <si>
    <t>C2K Updates</t>
  </si>
  <si>
    <t>Back pressure NV items to be set for all c2k MBNs
added EFS for Verizon, CT_x, Sprint, KDDI, W-One: 
NV 69739 = 1 (enabled) and 1000 (timer_value)
NV 67208 = 1</t>
  </si>
  <si>
    <t>Verizon: 0x02010144
Sprint: 0x0201023D
CT: 0x02011335
CT_DSDS: 0x02011331
CT_DSDA: 0x02011331
W-One: 0x0201193A
KDDI: 0x02010735</t>
  </si>
  <si>
    <t>Add APN_Class to 3GPP2 profiles. Made all IPV4_V6.
edited EFS: 
/pdp_profiles/embedded_call_prof_num = 3</t>
  </si>
  <si>
    <t>Verizon: 0x02010145</t>
  </si>
  <si>
    <t>TMO &amp; ADAPT updates
Sprint Update</t>
  </si>
  <si>
    <t>Added NV: 
4722 = 3
Also updated Sprints carrier_policy path: 
modem_proc\mmcp\policyman\configurations\Carrier\Sprint\No_GSM_in_USA\carrier_policy.xml
Updated internal macros to generate revision statistics</t>
  </si>
  <si>
    <t>TMO: 0x02010535
ATT: 0x02010337
ATT_VoLTE: 0x02010336
Sprint: 0x0201023E</t>
  </si>
  <si>
    <t>CMCC &amp; CMCC_Lab updates</t>
  </si>
  <si>
    <t>CMCC edited EFS: 
Segmented Loading Policy 
CMCC_Lab edited EFS: 
Carrier_Policy
70189 - /nv/item_files/modem/nas/tdscdma_op_plmn_list</t>
  </si>
  <si>
    <t>CMCC: 0x02011838
CMCC_Lab: 0x02011836</t>
  </si>
  <si>
    <t>Corrections: TMO update</t>
  </si>
  <si>
    <t>corrected EFS entries: 
71540, 70263</t>
  </si>
  <si>
    <t>TMO: 0x02010536</t>
  </si>
  <si>
    <t>Workbook updates</t>
  </si>
  <si>
    <t>Updates enable generation of single carriers</t>
  </si>
  <si>
    <t>Verizon_1xSRLTE update</t>
  </si>
  <si>
    <t>Verizon_1xSRLTE update:
updated/edited NVs: 
5, 905, 4399, 1892, 1895, 1962, 2822, 3446, 3632, 4231, 4227
edited EFS: 
65674, 67288, 67289, 66045, 66048
new EFS: 
67288, 67270, 67292, 65677, 72538, 72539, 72550, 65819, 72594, 72608
/nv/item_files/modem/lte/ML1/spv_timer_connected
/nv/item_files/modem/lte/ML1/cdrx_collision_params
/policyman/carrier_policy.xml</t>
  </si>
  <si>
    <t xml:space="preserve">
Verizon_1xSRLTE: 0x02010140</t>
  </si>
  <si>
    <t>ATT/ATTVoLTE update</t>
  </si>
  <si>
    <t>Update profile path to lower case</t>
  </si>
  <si>
    <t>ATT: 0x02010338
ATT_VoLTE: 0x02010337</t>
  </si>
  <si>
    <t>Corrected profile1
udpated carrier_policy entry</t>
  </si>
  <si>
    <t xml:space="preserve">
Verizon_1xSRLTE: 0x02010141</t>
  </si>
  <si>
    <t>ATT_VoLTE IMS update</t>
  </si>
  <si>
    <t>added EFS: 
71597: /nv/item_files/ims/qipcall_qos_config</t>
  </si>
  <si>
    <t>ATT_VoLTE: 0x02010338</t>
  </si>
  <si>
    <t>Verizon update
Verizon_1xSRLTE update</t>
  </si>
  <si>
    <t xml:space="preserve">both Verizon Configs: 
added  new NV/EFS :                                                               NV 70299 =2000 /nv/item_files/modem/uim/gstk/attach_ctrl_timer   </t>
  </si>
  <si>
    <t>Verizon: 0x02010146
Verizon_1xSRLTE : 0x02010142</t>
  </si>
  <si>
    <t>677496
665181</t>
  </si>
  <si>
    <t>editedEFS: 
(67219 not included )
72561 = 311, 480
updated EFS: 
added Operator Reserved PCO bits  to profiles 1 &amp; 3
updated carrier policy.xml
ds_dsd_attach_profile.txt
ds_dsd_apm_rules.txt
Profile1, profile3</t>
  </si>
  <si>
    <t>Verizon_1xSRLTE: 0x02010143</t>
  </si>
  <si>
    <t>Sprint update</t>
  </si>
  <si>
    <t>added NVs/EFS and removed place holder &amp; NV 304: 6,10,441,562,850,855,880,881,1018,3515,3532,3533,4204,4964,6828,65777,66035,65881,65883,4398,3635,67290,3634,4185,4192,259,463,67213,67268,65778</t>
  </si>
  <si>
    <t>Sprint: 0x0201023F</t>
  </si>
  <si>
    <t>Removed  unrelated carrier spreadsheet</t>
  </si>
  <si>
    <t xml:space="preserve">Kept Default and W-One only
Removed 70319 from DI 4.0 spreadsheet. (CR658811) Never included in mbn </t>
  </si>
  <si>
    <t>APN  = camo-term-01.qualcomm.com for 3gpp</t>
  </si>
  <si>
    <t>W-One update</t>
  </si>
  <si>
    <t>Added new 3gpp APN name - camo-term-01.qualcomm.com</t>
  </si>
  <si>
    <t>W-One: 0x0201193D</t>
  </si>
  <si>
    <t>All configs updated</t>
  </si>
  <si>
    <t>Ported from Dime 4.0 ver 76</t>
  </si>
  <si>
    <t>Default 0x04E00000
W-One 0x04011900</t>
  </si>
  <si>
    <t xml:space="preserve">Profiles updates:      (1)  Profile3-/Data_Profiles/Profile3-APN  =  wonev6.com for 3gpp (2) Profile4- /Data_Profiles/Profile4 -APN  = wonev4v6.com for 3gpp (3) Profile_102  - /application_specific_profiles/profile_102.txt  - APN  = wonev6.com for 3gpp2, (4) Profile_104 - /application_specific_profiles/profile_104.txt -APN  = wonev4v6.com for 3gpp2                                                                   </t>
  </si>
  <si>
    <t>modem_proc\mcfg\mcfg_gen\scripts\data\efs_files\wo\Profile1</t>
  </si>
  <si>
    <t>LTE Profile 100</t>
  </si>
  <si>
    <t>modem_proc\mcfg\mcfg_gen\scripts\data\efs_files\wo\Profile100</t>
  </si>
  <si>
    <t>Profile101</t>
  </si>
  <si>
    <t>modem_proc\mcfg\mcfg_gen\scripts\data\efs_files\wo\Profile101</t>
  </si>
  <si>
    <t>APN  = wonev6.com for 3gpp</t>
  </si>
  <si>
    <t>Profile102</t>
  </si>
  <si>
    <t>modem_proc\mcfg\mcfg_gen\scripts\data\efs_files\wo\Profile102</t>
  </si>
  <si>
    <t>Profile103</t>
  </si>
  <si>
    <t>modem_proc\mcfg\mcfg_gen\scripts\data\efs_files\wo\Profile103</t>
  </si>
  <si>
    <t>Profile 104</t>
  </si>
  <si>
    <t>modem_proc\mcfg\mcfg_gen\scripts\data\efs_files\wo\Profile104</t>
  </si>
  <si>
    <t>Profile 105</t>
  </si>
  <si>
    <t>modem_proc\mcfg\mcfg_gen\scripts\data\efs_files\wo\Profile105</t>
  </si>
  <si>
    <t>Config updates</t>
  </si>
  <si>
    <t xml:space="preserve">Updates to target profiles paths for all configs. Profiles now stored in “/Data_Profiles/SubsX” directory </t>
  </si>
  <si>
    <t>W-One 0x04011901</t>
  </si>
  <si>
    <t>W-One Update</t>
  </si>
  <si>
    <t>* Set NV 4964 to 4
* Set NV 6862 to 1</t>
  </si>
  <si>
    <t>0x04011902</t>
  </si>
  <si>
    <t>eHRPD Authentication Mode</t>
  </si>
  <si>
    <t>nv_ehrpd_auth_in_usim_i</t>
  </si>
  <si>
    <t>IIN update:  8900310</t>
  </si>
  <si>
    <t>W-One 0x04011903</t>
  </si>
  <si>
    <t xml:space="preserve">Updated IIN list count </t>
  </si>
  <si>
    <t>W-One 0x04011904</t>
  </si>
  <si>
    <t>APN_String:wirelessone.com;
PDN_IP_Version_Type:V4_V6;
RAN_Type:HRPD_EHRPD;</t>
  </si>
  <si>
    <t>modem_proc\mcfg\mcfg_gen\scripts\data\efs_files\wo\Profile0</t>
  </si>
  <si>
    <t>W-One 0x04011905</t>
  </si>
  <si>
    <t>Added Profile0: 
APN_String:wirelessone.com;
PDN_IP_Version_Type:V4_V6;
RAN_Type:HRPD_EHRPD;
Corrected IIN List Length</t>
  </si>
  <si>
    <t>3gpp2 Profile (Profile0 must be 3gpp)</t>
  </si>
  <si>
    <t>USCC Creation</t>
  </si>
  <si>
    <t>Added US Cellular Config</t>
  </si>
  <si>
    <t>US_Cellular: 0x04012000</t>
  </si>
  <si>
    <t>IN NV 67264:
RegManagerPdpProfileName =w1v6v4.com
RegPCOEnable = 0
RegPreConfigEnabled = 1
regManagerPreConfigServer = 172.20.204.92
RegRATConfig = 10
In NV 71527 
iISIMPriority = 2
iNVPriority = 1
iPCOPriority =0
ims_apn_name_db[0] = w1v6v4.com
(other settings from Verizon config in later PL)
removed 67258
profile6 = IPV4V6, w1v6v4.com
profile7 = IPV4V6, w1v4v6.com</t>
  </si>
  <si>
    <t>W-One: 0x04011906</t>
  </si>
  <si>
    <t>w1v6v4.com</t>
  </si>
  <si>
    <t>172.20.204.92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</si>
  <si>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</si>
  <si>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</si>
  <si>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</si>
  <si>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</si>
  <si>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</si>
  <si>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</si>
  <si>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</si>
  <si>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</si>
  <si>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</si>
  <si>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</si>
  <si>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</si>
  <si>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</si>
  <si>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</si>
  <si>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</si>
  <si>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</si>
  <si>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</si>
  <si>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</si>
  <si>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</si>
  <si>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</si>
  <si>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</si>
  <si>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</si>
  <si>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</si>
  <si>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</si>
  <si>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</si>
  <si>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</si>
  <si>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</si>
  <si>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</si>
  <si>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</si>
  <si>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</si>
  <si>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</si>
  <si>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</si>
  <si>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</si>
  <si>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</si>
  <si>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</si>
  <si>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</si>
  <si>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</si>
  <si>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</si>
  <si>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</si>
  <si>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</si>
  <si>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</si>
  <si>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</si>
  <si>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</si>
  <si>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</si>
  <si>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</si>
  <si>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</si>
  <si>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</si>
  <si>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</si>
  <si>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</si>
  <si>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</si>
  <si>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</si>
  <si>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</si>
  <si>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</si>
  <si>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</si>
  <si>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</si>
  <si>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</si>
  <si>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</si>
  <si>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</si>
  <si>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</si>
  <si>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</si>
  <si>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</si>
  <si>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</si>
  <si>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</si>
  <si>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</si>
  <si>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</si>
  <si>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</si>
  <si>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</si>
  <si>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</si>
  <si>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</si>
  <si>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</si>
  <si>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</si>
  <si>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</si>
  <si>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</si>
  <si>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</si>
  <si>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</si>
  <si>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</si>
  <si>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</si>
  <si>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</si>
  <si>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</si>
  <si>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</si>
  <si>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</si>
  <si>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</si>
  <si>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</si>
  <si>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W-One_Th_Bringup</t>
  </si>
  <si>
    <t>W-One_Th</t>
  </si>
  <si>
    <t>New Carrier Config</t>
  </si>
  <si>
    <t>W-One: 0x040119E0</t>
  </si>
  <si>
    <t>CDMA 1x Device Only DTX Params</t>
  </si>
  <si>
    <t>/nv/item_files/modem/1x/device_only_dtx_params</t>
  </si>
  <si>
    <t>Band Class Pref</t>
  </si>
  <si>
    <t>0xFFFF</t>
  </si>
  <si>
    <t>ENABLE_DEVICE_ONLY_DTX</t>
  </si>
  <si>
    <t>Reserved</t>
  </si>
  <si>
    <t>TDS L1 RXD Parameters</t>
  </si>
  <si>
    <t>/nv/item_files/modem/tdscdma/l1/rxd_params</t>
  </si>
  <si>
    <t>RxD_Enable</t>
  </si>
  <si>
    <t>RxD_RDDS_Enable</t>
  </si>
  <si>
    <t>bler_high_threshold</t>
  </si>
  <si>
    <t>bler_low_threshold</t>
  </si>
  <si>
    <t>bler_alpha</t>
  </si>
  <si>
    <t>timer_trans</t>
  </si>
  <si>
    <t>sir_target_threshold</t>
  </si>
  <si>
    <t>special_burst_quality_threshold_low</t>
  </si>
  <si>
    <t>sir_target_set_point</t>
  </si>
  <si>
    <t>time_span_special_brst_qual</t>
  </si>
  <si>
    <t>special_burst_quality_threshold_high</t>
  </si>
  <si>
    <t>reserved byte</t>
  </si>
  <si>
    <t>/nv/item_files/sleep/core0/sleep_config.ini</t>
  </si>
  <si>
    <t>Sleep_config.ini</t>
  </si>
  <si>
    <t>modem_proc\mcfg\mcfg_gen\scripts\data\efs_files\wo\sleep_config.ini</t>
  </si>
  <si>
    <t xml:space="preserve">Based on W-One config plus 
added EFS/NV itesm: 
4192:1
4102: 1
CDMA (1x)
441 – 0xFFFF
850 – CS+PS
74 – 1 (Auto Answer)
70193 – 0
70310 – 1
WCDMA
880-0
881-0
882-1
TDS
Rxd NV 69745: Version=3 | RxD_Enable=0 | RxD_RDDS_Enable=0
 /nv/item_files/sleep/core0/sleep_config.ini
no delta: 
850 = 2, 74 = 1, 441 = 0, 0xFFFF
</t>
  </si>
  <si>
    <t>W-One Updates</t>
  </si>
  <si>
    <t>W-One: 0x040119E1</t>
  </si>
  <si>
    <t>VT Calling Enabled</t>
  </si>
  <si>
    <t>mobile_data_enabled</t>
  </si>
  <si>
    <t>volte_disabled</t>
  </si>
  <si>
    <t>cvo_enabled</t>
  </si>
  <si>
    <t>audio_feature_tag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</si>
  <si>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</si>
  <si>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</si>
  <si>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</si>
  <si>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</si>
  <si>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</si>
  <si>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</si>
  <si>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</si>
  <si>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</si>
  <si>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</si>
  <si>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</si>
  <si>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</si>
  <si>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IsIpv6PrivateAddrEnabled</t>
  </si>
  <si>
    <t>E911IPV6Enabled</t>
  </si>
  <si>
    <t>67348:
version = 15
video_media_profile_mode = 3
67264:
RegPCOEEnabled = 1
regManagerPreConfigServerBase = &lt;blank&gt;
71527: 
ims_rat_apn_info[1].iIPTypeInfo = 80
iISIMPriority = 3
67261.E911IPV6Enabled = 1
Enabled PCO bit on Profile1</t>
  </si>
  <si>
    <t>Profile1 correction</t>
  </si>
  <si>
    <t>W-One: 0x04011908</t>
  </si>
  <si>
    <t>W-One: 0x04011909</t>
  </si>
  <si>
    <t>67196=1</t>
  </si>
  <si>
    <t>wirelessone.com</t>
  </si>
  <si>
    <t>120,1*</t>
  </si>
  <si>
    <t>qipcall_confrd_uri</t>
  </si>
  <si>
    <t>NV 67258,67264,69744,71527,67259,67261,65956 update</t>
  </si>
  <si>
    <t>W-One: 0x0401190A</t>
  </si>
  <si>
    <t>Generic</t>
  </si>
  <si>
    <t>Common</t>
  </si>
  <si>
    <t>Carrier</t>
  </si>
  <si>
    <t>W_One</t>
  </si>
  <si>
    <t>Commercial</t>
  </si>
  <si>
    <t>Th_Bringup</t>
  </si>
  <si>
    <t>0x7FFFFF7F</t>
  </si>
  <si>
    <t xml:space="preserve">66007 = 0x7FFFFF7F </t>
  </si>
  <si>
    <t>W-One: 0x0401190B</t>
  </si>
  <si>
    <t>QC_version_type</t>
  </si>
  <si>
    <t>0x05</t>
  </si>
  <si>
    <t>QC_version_len</t>
  </si>
  <si>
    <t>4</t>
  </si>
  <si>
    <t>QC_version</t>
  </si>
  <si>
    <t>Compatibilty and QC_Version Updates</t>
  </si>
  <si>
    <t>W-One: 0x05011901</t>
  </si>
  <si>
    <t>MCFG.MPSS.5.0</t>
  </si>
  <si>
    <t>H264.min_bit_rate -&gt; 64 and H264.resolutions_supported -&gt; 0</t>
  </si>
  <si>
    <t>Commercial:0x05011902
edited NVs: 
850, 882, 1920, 3532, 3533, 10
added NVs/EFS: 
562, 855, 3446, 6862, 4265, 6830, 6831, 65956, 65961, 66472, 66473, 65777, 66048, 67218, 67261, 67264, 67259, 69744, 69673, 67348, 67332, 67257, 65959, 69750, 69749, 65814, 70202, 65955, 65957, 67194, 67195, 67199, 67280, 67281, 67282, 65964, 65960, 66031, 67239, 67240, 67241, 70213, 67225, 70291, 70287, 70233, 70239, 70263, 71527, 71540</t>
  </si>
  <si>
    <t>Commercial:0x05011902
Th_Bringup:0x05011902</t>
  </si>
  <si>
    <t xml:space="preserve"> NV65674 = 0x47</t>
  </si>
  <si>
    <t>Commercial:0x05011903
Th_Bringup:0x05011903</t>
  </si>
  <si>
    <t>Removed NV74, NV75</t>
  </si>
  <si>
    <t>Commercial:0x05011904
Th_Bringup:0x05011904</t>
  </si>
  <si>
    <t>Commercial:0x05011905
Th_Bringup:0x05011904</t>
  </si>
  <si>
    <t>NV67258 updated</t>
  </si>
  <si>
    <t>IIN_list length updated to 10.</t>
  </si>
  <si>
    <t>Commercial:0x05011906
Th_Bringup:0x05011905</t>
  </si>
  <si>
    <t>JO PL MBN needs to update the NV 65674 to inactive .</t>
  </si>
  <si>
    <t>Commercial:0x05011907
Th_Bringup:0x05011906</t>
  </si>
  <si>
    <t>modem_proc\mcfg\mcfg_gen\scripts\data\efs_files\wo\qp_ims_vt_4G_media_capability</t>
  </si>
  <si>
    <t xml:space="preserve">Enabling VT in Wone MCFG mbn </t>
  </si>
  <si>
    <t>Commercial:0x05011908
Th_Bringup:0x05011907</t>
  </si>
  <si>
    <t>LTE Profile 2</t>
  </si>
  <si>
    <t>modem_proc\mcfg\mcfg_gen\scripts\data\efs_files\wo\Profile2</t>
  </si>
  <si>
    <t>Missing profiles in Jolokia (vs DPM) causing VOLTE data call failures.</t>
  </si>
  <si>
    <t xml:space="preserve">Commercial:0x05011909
</t>
  </si>
  <si>
    <t>/Data_Profiles/Profile1</t>
  </si>
  <si>
    <t>0x19</t>
  </si>
  <si>
    <t>/Data_Profiles/Profile2</t>
  </si>
  <si>
    <t>/Data_Profiles/Profile0</t>
  </si>
  <si>
    <t>/Data_Profiles/Profile100</t>
  </si>
  <si>
    <t>/Data_Profiles/Profile101</t>
  </si>
  <si>
    <t>/Data_Profiles/Profile102</t>
  </si>
  <si>
    <t>/Data_Profiles/Profile103</t>
  </si>
  <si>
    <t>/Data_Profiles/Profile104</t>
  </si>
  <si>
    <t>/Data_Profiles/Profile105</t>
  </si>
  <si>
    <t>All configs</t>
  </si>
  <si>
    <t>Updated all profiles to be multiSIM efs type</t>
  </si>
  <si>
    <t>Commercial 0x0501190A
Th_Bringup 0x05011908</t>
  </si>
  <si>
    <t>Commercial 0x0501190B
Th_Bringup 0x05011918</t>
  </si>
  <si>
    <t>MCFG_Updates</t>
  </si>
  <si>
    <t>IMS HW_MBN NV 70287 is removed</t>
  </si>
  <si>
    <t>Th_Bringup 0x05011919</t>
  </si>
  <si>
    <t>NV 70310 should be added to h/w mbn of 9x07 JO 1.2 PL - removed this nv from sw_mbn</t>
  </si>
  <si>
    <t>8901000, 8900310,8901001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</si>
  <si>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</si>
  <si>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</si>
  <si>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</si>
  <si>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</si>
  <si>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</si>
  <si>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</si>
  <si>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</si>
  <si>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</si>
  <si>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310-480</t>
  </si>
  <si>
    <t>added this 8901001 to IIN_list</t>
  </si>
  <si>
    <t>Commercial 0x0501190C
Th_Bringup 0x0501191A</t>
  </si>
  <si>
    <t>Commercial 0x0501190D
Th_Bringup 0x0501191B</t>
  </si>
  <si>
    <t>NV850 Removed</t>
  </si>
  <si>
    <t>Commercial 0x0501190E
Th_Bringup 0x0501191C</t>
  </si>
  <si>
    <t>MCFG Updates</t>
  </si>
  <si>
    <t>removal of NV 3446 from all sw_mbn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</si>
  <si>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</si>
  <si>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</si>
  <si>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</si>
  <si>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</si>
  <si>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</si>
  <si>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</si>
  <si>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</si>
  <si>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W_One_Commercial</t>
  </si>
  <si>
    <t>0x05011910</t>
  </si>
  <si>
    <t>0x05011901</t>
  </si>
  <si>
    <t>MCFG Attribute changed to 0x19 for IMS NVs</t>
  </si>
  <si>
    <t>Commercial: 0x05011901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</si>
</sst>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0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b/>
      <sz val="18"/>
      <name val="Gill Sans MT"/>
      <family val="2"/>
      <scheme val="major"/>
    </font>
    <font>
      <b/>
      <sz val="12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sz val="11"/>
      <name val="Gill Sans MT"/>
      <family val="2"/>
      <scheme val="minor"/>
    </font>
    <font>
      <b/>
      <sz val="10"/>
      <name val="Gill Sans MT"/>
      <family val="2"/>
      <scheme val="major"/>
    </font>
    <font>
      <sz val="18"/>
      <name val="Gill Sans MT"/>
      <family val="2"/>
      <scheme val="major"/>
    </font>
    <font>
      <b/>
      <sz val="10"/>
      <name val="Arial"/>
      <family val="2"/>
    </font>
    <font>
      <sz val="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798">
    <xf numFmtId="0" fontId="0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65" fillId="0" borderId="0"/>
    <xf numFmtId="49" fontId="69" fillId="0" borderId="23" applyNumberFormat="0" applyFont="0" applyFill="0" applyAlignment="0" applyProtection="0">
      <alignment horizontal="center" vertical="center"/>
      <protection locked="0"/>
    </xf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5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202">
    <xf numFmtId="0" fontId="0" fillId="0" borderId="0" xfId="0"/>
    <xf numFmtId="0" fontId="53" fillId="0" borderId="0" xfId="0" applyFont="1"/>
    <xf numFmtId="0" fontId="54" fillId="0" borderId="0" xfId="0" applyFont="1"/>
    <xf numFmtId="0" fontId="55" fillId="0" borderId="0" xfId="0" applyFont="1" applyFill="1" applyAlignment="1">
      <alignment horizontal="right"/>
    </xf>
    <xf numFmtId="0" fontId="54" fillId="0" borderId="11" xfId="0" applyFont="1" applyBorder="1" applyAlignment="1">
      <alignment horizontal="left" indent="1"/>
    </xf>
    <xf numFmtId="0" fontId="53" fillId="2" borderId="8" xfId="0" applyFont="1" applyFill="1" applyBorder="1" applyAlignment="1">
      <alignment horizontal="center"/>
    </xf>
    <xf numFmtId="0" fontId="57" fillId="0" borderId="0" xfId="0" applyFont="1" applyFill="1" applyAlignment="1">
      <alignment vertical="center"/>
    </xf>
    <xf numFmtId="0" fontId="65" fillId="0" borderId="0" xfId="0" applyFont="1"/>
    <xf numFmtId="0" fontId="0" fillId="0" borderId="0" xfId="0" applyFont="1"/>
    <xf numFmtId="0" fontId="0" fillId="0" borderId="0" xfId="0" applyFont="1" applyFill="1" applyBorder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/>
    <xf numFmtId="0" fontId="55" fillId="0" borderId="0" xfId="0" applyFont="1" applyAlignment="1">
      <alignment horizontal="right"/>
    </xf>
    <xf numFmtId="0" fontId="53" fillId="0" borderId="0" xfId="0" applyFont="1" applyAlignment="1">
      <alignment horizontal="left" indent="1"/>
    </xf>
    <xf numFmtId="0" fontId="67" fillId="0" borderId="20" xfId="0" applyFont="1" applyBorder="1"/>
    <xf numFmtId="0" fontId="67" fillId="0" borderId="0" xfId="0" applyFont="1"/>
    <xf numFmtId="0" fontId="56" fillId="4" borderId="3" xfId="0" applyFont="1" applyFill="1" applyBorder="1" applyAlignment="1">
      <alignment horizontal="centerContinuous"/>
    </xf>
    <xf numFmtId="14" fontId="70" fillId="0" borderId="0" xfId="0" applyNumberFormat="1" applyFont="1" applyFill="1" applyAlignment="1">
      <alignment horizontal="left" indent="1"/>
    </xf>
    <xf numFmtId="0" fontId="70" fillId="0" borderId="0" xfId="0" applyFont="1" applyFill="1" applyAlignment="1">
      <alignment horizontal="left" indent="1"/>
    </xf>
    <xf numFmtId="0" fontId="60" fillId="0" borderId="0" xfId="0" applyFont="1"/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20" xfId="0" applyBorder="1"/>
    <xf numFmtId="0" fontId="59" fillId="0" borderId="0" xfId="0" applyFont="1" applyAlignment="1"/>
    <xf numFmtId="0" fontId="0" fillId="0" borderId="0" xfId="0" applyAlignment="1"/>
    <xf numFmtId="0" fontId="53" fillId="0" borderId="0" xfId="0" applyFont="1" applyAlignment="1"/>
    <xf numFmtId="0" fontId="53" fillId="2" borderId="8" xfId="0" applyFont="1" applyFill="1" applyBorder="1" applyAlignment="1">
      <alignment horizontal="left"/>
    </xf>
    <xf numFmtId="0" fontId="54" fillId="0" borderId="0" xfId="0" applyFont="1" applyAlignment="1"/>
    <xf numFmtId="0" fontId="0" fillId="0" borderId="0" xfId="0" applyAlignment="1">
      <alignment horizontal="left"/>
    </xf>
    <xf numFmtId="0" fontId="54" fillId="0" borderId="11" xfId="0" applyFont="1" applyBorder="1" applyAlignment="1">
      <alignment horizontal="left" indent="1"/>
    </xf>
    <xf numFmtId="0" fontId="53" fillId="2" borderId="13" xfId="0" applyFont="1" applyFill="1" applyBorder="1" applyAlignment="1">
      <alignment horizontal="left" indent="1"/>
    </xf>
    <xf numFmtId="0" fontId="53" fillId="2" borderId="7" xfId="0" applyFont="1" applyFill="1" applyBorder="1" applyAlignment="1">
      <alignment horizontal="left" indent="1"/>
    </xf>
    <xf numFmtId="0" fontId="53" fillId="2" borderId="6" xfId="0" applyFont="1" applyFill="1" applyBorder="1" applyAlignment="1">
      <alignment horizontal="left" indent="1"/>
    </xf>
    <xf numFmtId="0" fontId="0" fillId="0" borderId="0" xfId="0" applyFont="1"/>
    <xf numFmtId="0" fontId="29" fillId="5" borderId="20" xfId="5450" applyBorder="1"/>
    <xf numFmtId="0" fontId="29" fillId="5" borderId="20" xfId="5450" applyBorder="1" applyAlignment="1">
      <alignment wrapText="1"/>
    </xf>
    <xf numFmtId="0" fontId="66" fillId="5" borderId="20" xfId="5450" applyFont="1" applyBorder="1"/>
    <xf numFmtId="0" fontId="66" fillId="5" borderId="20" xfId="5450" applyFont="1" applyBorder="1" applyAlignment="1">
      <alignment wrapText="1"/>
    </xf>
    <xf numFmtId="0" fontId="62" fillId="0" borderId="16" xfId="0" applyFont="1" applyBorder="1" applyAlignment="1">
      <alignment horizontal="left" wrapText="1" indent="1"/>
    </xf>
    <xf numFmtId="0" fontId="60" fillId="0" borderId="10" xfId="0" applyFont="1" applyFill="1" applyBorder="1" applyAlignment="1">
      <alignment horizontal="left" wrapText="1" indent="1"/>
    </xf>
    <xf numFmtId="0" fontId="60" fillId="0" borderId="0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1" fillId="0" borderId="0" xfId="0" applyFont="1" applyBorder="1" applyAlignment="1">
      <alignment horizontal="left" indent="1"/>
    </xf>
    <xf numFmtId="0" fontId="68" fillId="0" borderId="0" xfId="0" applyFont="1"/>
    <xf numFmtId="0" fontId="58" fillId="3" borderId="0" xfId="0" applyFont="1" applyFill="1" applyAlignment="1">
      <alignment horizontal="centerContinuous" vertical="center"/>
    </xf>
    <xf numFmtId="0" fontId="54" fillId="0" borderId="0" xfId="0" applyFont="1"/>
    <xf numFmtId="0" fontId="60" fillId="0" borderId="11" xfId="0" applyFont="1" applyFill="1" applyBorder="1" applyAlignment="1">
      <alignment horizontal="center"/>
    </xf>
    <xf numFmtId="14" fontId="60" fillId="0" borderId="15" xfId="0" applyNumberFormat="1" applyFont="1" applyFill="1" applyBorder="1" applyAlignment="1">
      <alignment horizontal="left" indent="1"/>
    </xf>
    <xf numFmtId="0" fontId="62" fillId="0" borderId="16" xfId="0" applyFont="1" applyBorder="1" applyAlignment="1">
      <alignment wrapText="1"/>
    </xf>
    <xf numFmtId="0" fontId="60" fillId="0" borderId="0" xfId="0" applyFont="1" applyFill="1" applyBorder="1" applyAlignment="1">
      <alignment horizontal="left" wrapText="1"/>
    </xf>
    <xf numFmtId="0" fontId="60" fillId="0" borderId="10" xfId="3" applyFont="1" applyFill="1" applyBorder="1" applyAlignment="1">
      <alignment horizontal="left" wrapText="1" indent="1"/>
    </xf>
    <xf numFmtId="0" fontId="60" fillId="0" borderId="10" xfId="1896" applyFont="1" applyFill="1" applyBorder="1" applyAlignment="1">
      <alignment horizontal="left" wrapText="1" indent="1"/>
    </xf>
    <xf numFmtId="0" fontId="18" fillId="5" borderId="20" xfId="5450" applyFont="1" applyBorder="1"/>
    <xf numFmtId="0" fontId="65" fillId="0" borderId="20" xfId="0" applyFont="1" applyBorder="1"/>
    <xf numFmtId="0" fontId="18" fillId="5" borderId="20" xfId="5450" applyFont="1" applyBorder="1" applyAlignment="1">
      <alignment wrapText="1"/>
    </xf>
    <xf numFmtId="0" fontId="60" fillId="0" borderId="12" xfId="0" applyFont="1" applyBorder="1" applyAlignment="1">
      <alignment horizontal="left" indent="1"/>
    </xf>
    <xf numFmtId="0" fontId="53" fillId="2" borderId="13" xfId="0" applyFont="1" applyFill="1" applyBorder="1" applyAlignment="1">
      <alignment horizontal="centerContinuous"/>
    </xf>
    <xf numFmtId="0" fontId="68" fillId="0" borderId="0" xfId="0" applyFont="1" applyBorder="1" applyAlignment="1">
      <alignment horizontal="left" indent="1"/>
    </xf>
    <xf numFmtId="0" fontId="62" fillId="0" borderId="0" xfId="0" applyFont="1" applyBorder="1"/>
    <xf numFmtId="0" fontId="62" fillId="0" borderId="0" xfId="0" applyFont="1"/>
    <xf numFmtId="0" fontId="62" fillId="0" borderId="0" xfId="0" applyFont="1" applyAlignment="1">
      <alignment wrapText="1"/>
    </xf>
    <xf numFmtId="0" fontId="73" fillId="0" borderId="0" xfId="0" applyFont="1"/>
    <xf numFmtId="0" fontId="74" fillId="2" borderId="13" xfId="0" applyFont="1" applyFill="1" applyBorder="1" applyAlignment="1">
      <alignment horizontal="left" indent="1"/>
    </xf>
    <xf numFmtId="0" fontId="74" fillId="2" borderId="8" xfId="0" applyFont="1" applyFill="1" applyBorder="1" applyAlignment="1">
      <alignment horizontal="left" indent="1"/>
    </xf>
    <xf numFmtId="0" fontId="74" fillId="2" borderId="7" xfId="0" applyFont="1" applyFill="1" applyBorder="1" applyAlignment="1">
      <alignment horizontal="left" indent="1"/>
    </xf>
    <xf numFmtId="0" fontId="74" fillId="2" borderId="7" xfId="0" applyFont="1" applyFill="1" applyBorder="1" applyAlignment="1">
      <alignment horizontal="left" wrapText="1"/>
    </xf>
    <xf numFmtId="0" fontId="74" fillId="0" borderId="0" xfId="0" applyFont="1"/>
    <xf numFmtId="0" fontId="75" fillId="5" borderId="15" xfId="5450" applyFont="1" applyBorder="1" applyAlignment="1">
      <alignment horizontal="left" indent="1"/>
    </xf>
    <xf numFmtId="0" fontId="60" fillId="0" borderId="11" xfId="0" applyFont="1" applyBorder="1" applyAlignment="1">
      <alignment horizontal="left" indent="1"/>
    </xf>
    <xf numFmtId="0" fontId="60" fillId="0" borderId="15" xfId="0" applyFont="1" applyBorder="1" applyAlignment="1">
      <alignment horizontal="left" indent="1"/>
    </xf>
    <xf numFmtId="0" fontId="60" fillId="0" borderId="15" xfId="0" applyFont="1" applyBorder="1"/>
    <xf numFmtId="0" fontId="75" fillId="5" borderId="2" xfId="5450" applyFont="1" applyBorder="1" applyAlignment="1">
      <alignment horizontal="left" wrapText="1"/>
    </xf>
    <xf numFmtId="0" fontId="75" fillId="5" borderId="14" xfId="5450" applyFont="1" applyBorder="1" applyAlignment="1">
      <alignment horizontal="left" indent="1"/>
    </xf>
    <xf numFmtId="0" fontId="60" fillId="0" borderId="14" xfId="0" applyFont="1" applyBorder="1" applyAlignment="1">
      <alignment horizontal="left" indent="1"/>
    </xf>
    <xf numFmtId="0" fontId="60" fillId="0" borderId="14" xfId="0" applyFont="1" applyBorder="1"/>
    <xf numFmtId="0" fontId="75" fillId="5" borderId="4" xfId="5450" applyFont="1" applyBorder="1" applyAlignment="1">
      <alignment horizontal="left" wrapText="1"/>
    </xf>
    <xf numFmtId="0" fontId="72" fillId="4" borderId="6" xfId="0" applyFont="1" applyFill="1" applyBorder="1" applyAlignment="1">
      <alignment horizontal="centerContinuous"/>
    </xf>
    <xf numFmtId="0" fontId="72" fillId="4" borderId="6" xfId="0" applyFont="1" applyFill="1" applyBorder="1" applyAlignment="1">
      <alignment horizontal="centerContinuous" wrapText="1"/>
    </xf>
    <xf numFmtId="0" fontId="76" fillId="4" borderId="7" xfId="0" applyFont="1" applyFill="1" applyBorder="1" applyAlignment="1">
      <alignment horizontal="centerContinuous"/>
    </xf>
    <xf numFmtId="0" fontId="76" fillId="2" borderId="18" xfId="0" applyFont="1" applyFill="1" applyBorder="1" applyAlignment="1">
      <alignment horizontal="left" indent="1"/>
    </xf>
    <xf numFmtId="0" fontId="76" fillId="2" borderId="6" xfId="0" applyFont="1" applyFill="1" applyBorder="1" applyAlignment="1">
      <alignment horizontal="left" indent="1"/>
    </xf>
    <xf numFmtId="0" fontId="76" fillId="2" borderId="13" xfId="0" applyFont="1" applyFill="1" applyBorder="1" applyAlignment="1">
      <alignment horizontal="left" indent="1"/>
    </xf>
    <xf numFmtId="0" fontId="76" fillId="2" borderId="9" xfId="0" applyFont="1" applyFill="1" applyBorder="1" applyAlignment="1">
      <alignment horizontal="left" indent="1"/>
    </xf>
    <xf numFmtId="0" fontId="76" fillId="2" borderId="7" xfId="0" applyFont="1" applyFill="1" applyBorder="1" applyAlignment="1">
      <alignment horizontal="left" wrapText="1"/>
    </xf>
    <xf numFmtId="0" fontId="76" fillId="2" borderId="18" xfId="0" applyFont="1" applyFill="1" applyBorder="1" applyAlignment="1">
      <alignment horizontal="center"/>
    </xf>
    <xf numFmtId="0" fontId="62" fillId="6" borderId="15" xfId="0" applyFont="1" applyFill="1" applyBorder="1"/>
    <xf numFmtId="0" fontId="77" fillId="0" borderId="0" xfId="0" applyFont="1"/>
    <xf numFmtId="0" fontId="0" fillId="0" borderId="20" xfId="0" applyBorder="1" applyAlignment="1">
      <alignment horizontal="left" indent="1"/>
    </xf>
    <xf numFmtId="0" fontId="67" fillId="0" borderId="20" xfId="0" applyFont="1" applyBorder="1" applyAlignment="1">
      <alignment horizontal="left" indent="1"/>
    </xf>
    <xf numFmtId="49" fontId="0" fillId="0" borderId="20" xfId="0" applyNumberFormat="1" applyBorder="1" applyAlignment="1">
      <alignment horizontal="left" indent="1"/>
    </xf>
    <xf numFmtId="0" fontId="58" fillId="3" borderId="0" xfId="0" applyFont="1" applyFill="1" applyAlignment="1">
      <alignment horizontal="center" vertical="center"/>
    </xf>
    <xf numFmtId="0" fontId="78" fillId="0" borderId="0" xfId="0" applyFont="1" applyBorder="1"/>
    <xf numFmtId="0" fontId="75" fillId="2" borderId="19" xfId="5450" applyFont="1" applyFill="1" applyBorder="1" applyAlignment="1">
      <alignment horizontal="center" wrapText="1"/>
    </xf>
    <xf numFmtId="0" fontId="75" fillId="5" borderId="20" xfId="5450" applyFont="1" applyBorder="1"/>
    <xf numFmtId="0" fontId="62" fillId="0" borderId="20" xfId="0" applyFont="1" applyBorder="1"/>
    <xf numFmtId="49" fontId="62" fillId="0" borderId="20" xfId="0" applyNumberFormat="1" applyFont="1" applyBorder="1" applyAlignment="1">
      <alignment horizontal="left" indent="1"/>
    </xf>
    <xf numFmtId="0" fontId="75" fillId="2" borderId="19" xfId="61794" applyFont="1" applyFill="1" applyBorder="1" applyAlignment="1">
      <alignment horizontal="center" wrapText="1"/>
    </xf>
    <xf numFmtId="0" fontId="75" fillId="2" borderId="19" xfId="61795" applyFont="1" applyFill="1" applyBorder="1" applyAlignment="1">
      <alignment horizontal="center" wrapText="1"/>
    </xf>
    <xf numFmtId="0" fontId="75" fillId="2" borderId="19" xfId="61736" applyFont="1" applyFill="1" applyBorder="1" applyAlignment="1">
      <alignment horizontal="center" wrapText="1"/>
    </xf>
    <xf numFmtId="0" fontId="75" fillId="2" borderId="19" xfId="31009" applyFont="1" applyFill="1" applyBorder="1" applyAlignment="1">
      <alignment horizontal="center" wrapText="1"/>
    </xf>
    <xf numFmtId="0" fontId="75" fillId="2" borderId="19" xfId="31009" applyFont="1" applyFill="1" applyBorder="1" applyAlignment="1">
      <alignment horizontal="left" wrapText="1" indent="1"/>
    </xf>
    <xf numFmtId="0" fontId="75" fillId="2" borderId="19" xfId="31009" applyFont="1" applyFill="1" applyBorder="1" applyAlignment="1">
      <alignment horizontal="left" indent="1"/>
    </xf>
    <xf numFmtId="0" fontId="75" fillId="6" borderId="15" xfId="5450" applyFont="1" applyFill="1" applyBorder="1" applyAlignment="1">
      <alignment horizontal="left" indent="1"/>
    </xf>
    <xf numFmtId="0" fontId="60" fillId="6" borderId="15" xfId="0" applyFont="1" applyFill="1" applyBorder="1" applyAlignment="1">
      <alignment horizontal="left" indent="1"/>
    </xf>
    <xf numFmtId="0" fontId="75" fillId="6" borderId="15" xfId="5450" applyFont="1" applyFill="1" applyBorder="1" applyAlignment="1">
      <alignment horizontal="left" wrapText="1"/>
    </xf>
    <xf numFmtId="0" fontId="75" fillId="2" borderId="19" xfId="61784" applyFont="1" applyFill="1" applyBorder="1" applyAlignment="1">
      <alignment horizontal="center" wrapText="1"/>
    </xf>
    <xf numFmtId="0" fontId="2" fillId="5" borderId="20" xfId="5450" applyFont="1" applyBorder="1"/>
    <xf numFmtId="0" fontId="2" fillId="5" borderId="20" xfId="5450" applyFont="1" applyBorder="1" applyAlignment="1">
      <alignment wrapText="1"/>
    </xf>
    <xf numFmtId="0" fontId="62" fillId="0" borderId="0" xfId="0" applyFont="1" applyFill="1" applyBorder="1"/>
    <xf numFmtId="0" fontId="60" fillId="0" borderId="0" xfId="0" applyFont="1" applyFill="1"/>
    <xf numFmtId="0" fontId="78" fillId="0" borderId="0" xfId="0" applyFont="1" applyFill="1" applyBorder="1"/>
    <xf numFmtId="0" fontId="62" fillId="0" borderId="0" xfId="0" applyFont="1" applyFill="1"/>
    <xf numFmtId="0" fontId="67" fillId="0" borderId="0" xfId="0" applyFont="1" applyFill="1"/>
    <xf numFmtId="0" fontId="67" fillId="0" borderId="0" xfId="0" applyFont="1" applyFill="1" applyBorder="1"/>
    <xf numFmtId="0" fontId="66" fillId="0" borderId="0" xfId="61795" applyFont="1" applyFill="1" applyBorder="1" applyAlignment="1">
      <alignment horizontal="center" wrapText="1"/>
    </xf>
    <xf numFmtId="0" fontId="0" fillId="0" borderId="0" xfId="0" applyFill="1"/>
    <xf numFmtId="0" fontId="75" fillId="2" borderId="19" xfId="31009" applyFont="1" applyFill="1" applyBorder="1" applyAlignment="1">
      <alignment horizontal="center"/>
    </xf>
    <xf numFmtId="0" fontId="75" fillId="2" borderId="24" xfId="5450" applyFont="1" applyFill="1" applyBorder="1" applyAlignment="1">
      <alignment horizontal="center" wrapText="1"/>
    </xf>
    <xf numFmtId="0" fontId="60" fillId="2" borderId="19" xfId="0" applyFont="1" applyFill="1" applyBorder="1" applyAlignment="1">
      <alignment horizontal="center"/>
    </xf>
    <xf numFmtId="0" fontId="60" fillId="2" borderId="25" xfId="0" applyFont="1" applyFill="1" applyBorder="1" applyAlignment="1">
      <alignment horizontal="center"/>
    </xf>
    <xf numFmtId="0" fontId="62" fillId="6" borderId="15" xfId="0" applyFont="1" applyFill="1" applyBorder="1" applyAlignment="1">
      <alignment wrapText="1"/>
    </xf>
    <xf numFmtId="0" fontId="60" fillId="6" borderId="15" xfId="0" applyFont="1" applyFill="1" applyBorder="1" applyAlignment="1">
      <alignment horizontal="left" wrapText="1"/>
    </xf>
    <xf numFmtId="0" fontId="75" fillId="6" borderId="26" xfId="5450" applyFont="1" applyFill="1" applyBorder="1" applyAlignment="1">
      <alignment horizontal="left" wrapText="1"/>
    </xf>
    <xf numFmtId="0" fontId="62" fillId="6" borderId="27" xfId="0" applyFont="1" applyFill="1" applyBorder="1" applyAlignment="1">
      <alignment wrapText="1"/>
    </xf>
    <xf numFmtId="0" fontId="62" fillId="6" borderId="28" xfId="0" applyFont="1" applyFill="1" applyBorder="1" applyAlignment="1">
      <alignment wrapText="1"/>
    </xf>
    <xf numFmtId="0" fontId="75" fillId="6" borderId="11" xfId="5450" applyFont="1" applyFill="1" applyBorder="1" applyAlignment="1">
      <alignment horizontal="left" wrapText="1"/>
    </xf>
    <xf numFmtId="0" fontId="62" fillId="6" borderId="16" xfId="0" applyFont="1" applyFill="1" applyBorder="1" applyAlignment="1">
      <alignment wrapText="1"/>
    </xf>
    <xf numFmtId="0" fontId="75" fillId="6" borderId="11" xfId="61794" applyFont="1" applyFill="1" applyBorder="1" applyAlignment="1">
      <alignment horizontal="left" wrapText="1"/>
    </xf>
    <xf numFmtId="0" fontId="75" fillId="6" borderId="11" xfId="61795" applyFont="1" applyFill="1" applyBorder="1" applyAlignment="1">
      <alignment horizontal="left" wrapText="1"/>
    </xf>
    <xf numFmtId="0" fontId="75" fillId="6" borderId="11" xfId="61736" applyFont="1" applyFill="1" applyBorder="1" applyAlignment="1">
      <alignment horizontal="left" wrapText="1"/>
    </xf>
    <xf numFmtId="0" fontId="62" fillId="6" borderId="11" xfId="0" applyFont="1" applyFill="1" applyBorder="1" applyAlignment="1">
      <alignment wrapText="1"/>
    </xf>
    <xf numFmtId="0" fontId="75" fillId="6" borderId="11" xfId="31009" applyFont="1" applyFill="1" applyBorder="1" applyAlignment="1">
      <alignment horizontal="left" wrapText="1"/>
    </xf>
    <xf numFmtId="0" fontId="60" fillId="6" borderId="15" xfId="0" applyFont="1" applyFill="1" applyBorder="1" applyAlignment="1">
      <alignment wrapText="1"/>
    </xf>
    <xf numFmtId="0" fontId="75" fillId="6" borderId="16" xfId="5450" applyFont="1" applyFill="1" applyBorder="1" applyAlignment="1">
      <alignment horizontal="left" wrapText="1"/>
    </xf>
    <xf numFmtId="0" fontId="75" fillId="6" borderId="12" xfId="5450" applyFont="1" applyFill="1" applyBorder="1" applyAlignment="1">
      <alignment horizontal="left" wrapText="1"/>
    </xf>
    <xf numFmtId="0" fontId="60" fillId="6" borderId="14" xfId="0" applyFont="1" applyFill="1" applyBorder="1" applyAlignment="1">
      <alignment horizontal="left" wrapText="1"/>
    </xf>
    <xf numFmtId="0" fontId="62" fillId="6" borderId="14" xfId="0" applyFont="1" applyFill="1" applyBorder="1" applyAlignment="1">
      <alignment wrapText="1"/>
    </xf>
    <xf numFmtId="0" fontId="75" fillId="6" borderId="14" xfId="5450" applyFont="1" applyFill="1" applyBorder="1" applyAlignment="1">
      <alignment horizontal="left" wrapText="1"/>
    </xf>
    <xf numFmtId="0" fontId="60" fillId="6" borderId="14" xfId="0" applyFont="1" applyFill="1" applyBorder="1" applyAlignment="1">
      <alignment wrapText="1"/>
    </xf>
    <xf numFmtId="0" fontId="75" fillId="6" borderId="29" xfId="5450" applyFont="1" applyFill="1" applyBorder="1" applyAlignment="1">
      <alignment horizontal="left" wrapText="1"/>
    </xf>
    <xf numFmtId="0" fontId="62" fillId="0" borderId="20" xfId="0" applyFont="1" applyBorder="1" applyAlignment="1">
      <alignment horizontal="left" indent="1"/>
    </xf>
    <xf numFmtId="49" fontId="62" fillId="0" borderId="0" xfId="0" applyNumberFormat="1" applyFont="1" applyAlignment="1">
      <alignment horizontal="left" indent="1"/>
    </xf>
    <xf numFmtId="0" fontId="75" fillId="0" borderId="0" xfId="61784" applyFont="1" applyFill="1" applyBorder="1" applyAlignment="1">
      <alignment horizontal="center" wrapText="1"/>
    </xf>
    <xf numFmtId="0" fontId="62" fillId="0" borderId="0" xfId="0" applyFont="1" applyFill="1" applyAlignment="1">
      <alignment wrapText="1"/>
    </xf>
    <xf numFmtId="0" fontId="62" fillId="0" borderId="20" xfId="0" applyFont="1" applyFill="1" applyBorder="1"/>
    <xf numFmtId="0" fontId="62" fillId="0" borderId="20" xfId="0" applyFont="1" applyFill="1" applyBorder="1" applyAlignment="1">
      <alignment horizontal="left" indent="1"/>
    </xf>
    <xf numFmtId="0" fontId="0" fillId="0" borderId="0" xfId="0" applyFont="1" applyFill="1"/>
    <xf numFmtId="0" fontId="60" fillId="2" borderId="19" xfId="0" applyFont="1" applyFill="1" applyBorder="1" applyAlignment="1">
      <alignment horizontal="left" indent="1"/>
    </xf>
    <xf numFmtId="0" fontId="60" fillId="2" borderId="25" xfId="0" applyFont="1" applyFill="1" applyBorder="1" applyAlignment="1">
      <alignment horizontal="left" indent="1"/>
    </xf>
    <xf numFmtId="0" fontId="75" fillId="6" borderId="26" xfId="5450" applyFont="1" applyFill="1" applyBorder="1" applyAlignment="1">
      <alignment horizontal="left" indent="1"/>
    </xf>
    <xf numFmtId="0" fontId="62" fillId="6" borderId="27" xfId="0" applyFont="1" applyFill="1" applyBorder="1"/>
    <xf numFmtId="0" fontId="62" fillId="6" borderId="28" xfId="0" applyFont="1" applyFill="1" applyBorder="1"/>
    <xf numFmtId="0" fontId="75" fillId="6" borderId="11" xfId="5450" applyFont="1" applyFill="1" applyBorder="1" applyAlignment="1">
      <alignment horizontal="left" indent="1"/>
    </xf>
    <xf numFmtId="0" fontId="62" fillId="6" borderId="16" xfId="0" applyFont="1" applyFill="1" applyBorder="1"/>
    <xf numFmtId="0" fontId="75" fillId="6" borderId="11" xfId="61784" applyFont="1" applyFill="1" applyBorder="1" applyAlignment="1">
      <alignment horizontal="left" indent="1"/>
    </xf>
    <xf numFmtId="0" fontId="75" fillId="6" borderId="11" xfId="61736" applyFont="1" applyFill="1" applyBorder="1" applyAlignment="1">
      <alignment horizontal="left" indent="1"/>
    </xf>
    <xf numFmtId="0" fontId="62" fillId="6" borderId="11" xfId="0" applyFont="1" applyFill="1" applyBorder="1"/>
    <xf numFmtId="0" fontId="75" fillId="6" borderId="11" xfId="31009" applyFont="1" applyFill="1" applyBorder="1" applyAlignment="1">
      <alignment horizontal="left" indent="1"/>
    </xf>
    <xf numFmtId="0" fontId="60" fillId="6" borderId="15" xfId="0" applyFont="1" applyFill="1" applyBorder="1"/>
    <xf numFmtId="0" fontId="75" fillId="6" borderId="12" xfId="5450" applyFont="1" applyFill="1" applyBorder="1" applyAlignment="1">
      <alignment horizontal="left" indent="1"/>
    </xf>
    <xf numFmtId="0" fontId="60" fillId="6" borderId="14" xfId="0" applyFont="1" applyFill="1" applyBorder="1" applyAlignment="1">
      <alignment horizontal="left" indent="1"/>
    </xf>
    <xf numFmtId="0" fontId="62" fillId="6" borderId="14" xfId="0" applyFont="1" applyFill="1" applyBorder="1"/>
    <xf numFmtId="0" fontId="75" fillId="6" borderId="14" xfId="5450" applyFont="1" applyFill="1" applyBorder="1" applyAlignment="1">
      <alignment horizontal="left" indent="1"/>
    </xf>
    <xf numFmtId="0" fontId="60" fillId="6" borderId="14" xfId="0" applyFont="1" applyFill="1" applyBorder="1"/>
    <xf numFmtId="0" fontId="62" fillId="0" borderId="22" xfId="0" applyFont="1" applyFill="1" applyBorder="1"/>
    <xf numFmtId="0" fontId="62" fillId="0" borderId="22" xfId="0" applyFont="1" applyFill="1" applyBorder="1" applyAlignment="1">
      <alignment horizontal="left" indent="1"/>
    </xf>
    <xf numFmtId="0" fontId="75" fillId="2" borderId="18" xfId="5450" applyFont="1" applyFill="1" applyBorder="1"/>
    <xf numFmtId="0" fontId="75" fillId="2" borderId="18" xfId="5450" applyFont="1" applyFill="1" applyBorder="1" applyAlignment="1">
      <alignment wrapText="1"/>
    </xf>
    <xf numFmtId="0" fontId="75" fillId="2" borderId="22" xfId="5450" applyFont="1" applyFill="1" applyBorder="1" applyAlignment="1">
      <alignment wrapText="1"/>
    </xf>
    <xf numFmtId="0" fontId="75" fillId="2" borderId="20" xfId="5450" applyFont="1" applyFill="1" applyBorder="1" applyAlignment="1">
      <alignment wrapText="1"/>
    </xf>
    <xf numFmtId="0" fontId="75" fillId="2" borderId="22" xfId="5450" applyFont="1" applyFill="1" applyBorder="1"/>
    <xf numFmtId="0" fontId="75" fillId="2" borderId="20" xfId="5450" applyFont="1" applyFill="1" applyBorder="1"/>
    <xf numFmtId="0" fontId="0" fillId="0" borderId="0" xfId="0" applyAlignment="1">
      <alignment horizontal="center"/>
    </xf>
    <xf numFmtId="0" fontId="75" fillId="5" borderId="20" xfId="5450" applyFont="1" applyBorder="1" applyAlignment="1">
      <alignment wrapText="1"/>
    </xf>
    <xf numFmtId="0" fontId="75" fillId="5" borderId="20" xfId="61796" applyFont="1" applyBorder="1"/>
    <xf numFmtId="0" fontId="62" fillId="0" borderId="20" xfId="61797" applyFont="1" applyBorder="1" applyAlignment="1">
      <alignment horizontal="left" indent="1"/>
    </xf>
    <xf numFmtId="0" fontId="62" fillId="0" borderId="20" xfId="61797" applyFont="1" applyBorder="1"/>
    <xf numFmtId="0" fontId="75" fillId="5" borderId="20" xfId="61796" applyFont="1" applyBorder="1" applyAlignment="1">
      <alignment wrapText="1"/>
    </xf>
    <xf numFmtId="0" fontId="62" fillId="0" borderId="20" xfId="61797" applyNumberFormat="1" applyFont="1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67" fillId="0" borderId="20" xfId="0" applyFont="1" applyBorder="1" applyAlignment="1">
      <alignment horizontal="left" wrapText="1" indent="1"/>
    </xf>
    <xf numFmtId="49" fontId="0" fillId="0" borderId="0" xfId="0" applyNumberFormat="1" applyAlignment="1">
      <alignment horizontal="left" wrapText="1" indent="1"/>
    </xf>
    <xf numFmtId="49" fontId="0" fillId="0" borderId="20" xfId="0" applyNumberFormat="1" applyBorder="1" applyAlignment="1">
      <alignment horizontal="left" wrapText="1" indent="1"/>
    </xf>
    <xf numFmtId="49" fontId="62" fillId="0" borderId="20" xfId="0" applyNumberFormat="1" applyFont="1" applyBorder="1" applyAlignment="1">
      <alignment horizontal="left" wrapText="1" indent="1"/>
    </xf>
    <xf numFmtId="0" fontId="62" fillId="0" borderId="20" xfId="61797" applyNumberFormat="1" applyFont="1" applyBorder="1" applyAlignment="1">
      <alignment horizontal="left" indent="1"/>
    </xf>
    <xf numFmtId="0" fontId="58" fillId="3" borderId="0" xfId="0" applyFont="1" applyFill="1" applyAlignment="1">
      <alignment horizontal="center" vertical="center"/>
    </xf>
    <xf numFmtId="0" fontId="71" fillId="3" borderId="0" xfId="0" applyFont="1" applyFill="1" applyAlignment="1">
      <alignment horizontal="center" vertical="center" wrapText="1"/>
    </xf>
    <xf numFmtId="0" fontId="72" fillId="4" borderId="5" xfId="0" applyFont="1" applyFill="1" applyBorder="1" applyAlignment="1">
      <alignment horizontal="center"/>
    </xf>
    <xf numFmtId="0" fontId="72" fillId="4" borderId="6" xfId="0" applyFont="1" applyFill="1" applyBorder="1" applyAlignment="1">
      <alignment horizontal="center"/>
    </xf>
    <xf numFmtId="0" fontId="72" fillId="4" borderId="7" xfId="0" applyFont="1" applyFill="1" applyBorder="1" applyAlignment="1">
      <alignment horizontal="center"/>
    </xf>
    <xf numFmtId="0" fontId="56" fillId="4" borderId="21" xfId="0" applyFont="1" applyFill="1" applyBorder="1" applyAlignment="1">
      <alignment horizontal="center"/>
    </xf>
    <xf numFmtId="0" fontId="56" fillId="4" borderId="17" xfId="0" applyFont="1" applyFill="1" applyBorder="1" applyAlignment="1">
      <alignment horizontal="center"/>
    </xf>
    <xf numFmtId="0" fontId="56" fillId="4" borderId="1" xfId="0" applyFont="1" applyFill="1" applyBorder="1" applyAlignment="1">
      <alignment horizontal="center"/>
    </xf>
    <xf numFmtId="0" fontId="72" fillId="4" borderId="21" xfId="0" applyFont="1" applyFill="1" applyBorder="1" applyAlignment="1">
      <alignment horizontal="center"/>
    </xf>
    <xf numFmtId="0" fontId="72" fillId="4" borderId="17" xfId="0" applyFont="1" applyFill="1" applyBorder="1" applyAlignment="1">
      <alignment horizontal="center"/>
    </xf>
    <xf numFmtId="0" fontId="72" fillId="4" borderId="1" xfId="0" applyFont="1" applyFill="1" applyBorder="1" applyAlignment="1">
      <alignment horizontal="center"/>
    </xf>
    <xf numFmtId="0" fontId="60" fillId="0" borderId="0" xfId="3" applyFont="1" applyFill="1" applyBorder="1" applyAlignment="1">
      <alignment horizontal="left" wrapText="1" indent="1"/>
    </xf>
    <xf numFmtId="0" fontId="62" fillId="0" borderId="0" xfId="0" applyFont="1" applyFill="1" applyBorder="1" applyAlignment="1">
      <alignment wrapText="1"/>
    </xf>
  </cellXfs>
  <cellStyles count="61798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3" xfId="61771"/>
    <cellStyle name="20% - Accent1 2 20 6" xfId="61772"/>
    <cellStyle name="20% - Accent1 2 20 7" xfId="61766"/>
    <cellStyle name="20% - Accent1 2 20 7 2" xfId="61793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4" xfId="61740"/>
    <cellStyle name="20% - Accent1 2 24 2" xfId="6179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79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791"/>
    <cellStyle name="20% - Accent1 7 4 11 2 3 3" xfId="61795"/>
    <cellStyle name="20% - Accent1 7 4 11 3" xfId="61768"/>
    <cellStyle name="20% - Accent1 7 4 11 3 2" xfId="61792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88"/>
    <cellStyle name="20% - Accent1 7 4 12 2 3 4" xfId="61786"/>
    <cellStyle name="20% - Accent1 7 4 12 2 3 5" xfId="61787"/>
    <cellStyle name="20% - Accent1 7 4 12 2 4" xfId="61777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7" xfId="61789"/>
    <cellStyle name="20% - Accent1 7 4 2 4 5 8" xfId="61794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797"/>
    <cellStyle name="Style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2</xdr:col>
          <xdr:colOff>847725</xdr:colOff>
          <xdr:row>24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2</xdr:col>
          <xdr:colOff>838200</xdr:colOff>
          <xdr:row>28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20</xdr:row>
          <xdr:rowOff>0</xdr:rowOff>
        </xdr:from>
        <xdr:to>
          <xdr:col>1</xdr:col>
          <xdr:colOff>247650</xdr:colOff>
          <xdr:row>21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17</xdr:row>
          <xdr:rowOff>133350</xdr:rowOff>
        </xdr:from>
        <xdr:to>
          <xdr:col>0</xdr:col>
          <xdr:colOff>1905000</xdr:colOff>
          <xdr:row>18</xdr:row>
          <xdr:rowOff>142875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39" name="Commercial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240" name="Th_Bringup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onfserver@ims.com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onfserver@ims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M38"/>
  <sheetViews>
    <sheetView tabSelected="1" topLeftCell="A4" zoomScale="80" zoomScaleNormal="80" workbookViewId="0">
      <selection activeCell="C10" sqref="C10:C15"/>
    </sheetView>
  </sheetViews>
  <sheetFormatPr defaultRowHeight="12.75" x14ac:dyDescent="0.2"/>
  <cols>
    <col min="1" max="1" width="45.28515625" customWidth="1"/>
    <col min="2" max="2" width="15.28515625" style="11" bestFit="1" customWidth="1"/>
    <col min="3" max="3" width="15.28515625" style="20" customWidth="1"/>
    <col min="4" max="4" width="17.42578125" bestFit="1" customWidth="1"/>
    <col min="5" max="5" width="12.7109375" bestFit="1" customWidth="1"/>
  </cols>
  <sheetData>
    <row r="1" spans="1:4" s="1" customFormat="1" ht="12.75" customHeight="1" x14ac:dyDescent="0.3"/>
    <row r="2" spans="1:4" s="6" customFormat="1" ht="45" customHeight="1" x14ac:dyDescent="0.2">
      <c r="A2" s="189" t="s">
        <v>548</v>
      </c>
      <c r="B2" s="189"/>
      <c r="C2" s="94"/>
    </row>
    <row r="3" spans="1:4" s="1" customFormat="1" ht="15" x14ac:dyDescent="0.3"/>
    <row r="4" spans="1:4" s="1" customFormat="1" ht="15" x14ac:dyDescent="0.3">
      <c r="A4" s="3" t="s">
        <v>0</v>
      </c>
      <c r="B4" s="17">
        <f>MAX('Revision History'!C:C)</f>
        <v>42606</v>
      </c>
      <c r="C4" s="17"/>
    </row>
    <row r="5" spans="1:4" s="1" customFormat="1" ht="15" x14ac:dyDescent="0.3">
      <c r="A5" s="3" t="s">
        <v>1</v>
      </c>
      <c r="B5" s="18">
        <f>MAX('Revision History'!B:B)</f>
        <v>107</v>
      </c>
      <c r="C5" s="18"/>
    </row>
    <row r="6" spans="1:4" s="1" customFormat="1" ht="15" x14ac:dyDescent="0.3">
      <c r="A6" s="12" t="s">
        <v>547</v>
      </c>
      <c r="B6" s="13" t="s">
        <v>962</v>
      </c>
      <c r="C6" s="13"/>
    </row>
    <row r="7" spans="1:4" s="1" customFormat="1" ht="15" x14ac:dyDescent="0.3">
      <c r="A7" s="12" t="s">
        <v>545</v>
      </c>
      <c r="B7" s="13" t="s">
        <v>946</v>
      </c>
      <c r="C7" s="13"/>
    </row>
    <row r="8" spans="1:4" s="1" customFormat="1" ht="15" x14ac:dyDescent="0.3">
      <c r="A8" s="12" t="s">
        <v>546</v>
      </c>
      <c r="B8" s="13" t="s">
        <v>947</v>
      </c>
      <c r="C8" s="13"/>
    </row>
    <row r="9" spans="1:4" s="1" customFormat="1" ht="15" x14ac:dyDescent="0.3">
      <c r="A9" s="12" t="s">
        <v>948</v>
      </c>
      <c r="B9" s="13" t="s">
        <v>949</v>
      </c>
      <c r="C9" s="13"/>
    </row>
    <row r="10" spans="1:4" s="1" customFormat="1" ht="20.25" thickBot="1" x14ac:dyDescent="0.45">
      <c r="A10" s="16" t="s">
        <v>186</v>
      </c>
      <c r="B10" s="16"/>
      <c r="C10" s="16"/>
    </row>
    <row r="11" spans="1:4" s="1" customFormat="1" ht="15.75" thickBot="1" x14ac:dyDescent="0.35">
      <c r="A11" s="5"/>
      <c r="B11" s="5" t="s">
        <v>950</v>
      </c>
      <c r="C11" s="5" t="s">
        <v>951</v>
      </c>
    </row>
    <row r="12" spans="1:4" s="2" customFormat="1" ht="15" x14ac:dyDescent="0.3">
      <c r="A12" s="4" t="s">
        <v>2</v>
      </c>
      <c r="B12" s="30">
        <v>25</v>
      </c>
      <c r="C12" s="30">
        <v>25</v>
      </c>
    </row>
    <row r="13" spans="1:4" s="2" customFormat="1" ht="15" x14ac:dyDescent="0.3">
      <c r="A13" s="4" t="s">
        <v>82</v>
      </c>
      <c r="B13" s="30" t="str">
        <f>Commercial!$F$507</f>
        <v>0x05011901</v>
      </c>
      <c r="C13" s="30" t="str">
        <f>Th_Bringup!F517</f>
        <v>0x05011910</v>
      </c>
    </row>
    <row r="14" spans="1:4" s="49" customFormat="1" ht="15" x14ac:dyDescent="0.3">
      <c r="A14" s="30" t="s">
        <v>90</v>
      </c>
      <c r="B14" s="30">
        <v>1</v>
      </c>
      <c r="C14" s="30">
        <v>1</v>
      </c>
    </row>
    <row r="15" spans="1:4" s="19" customFormat="1" ht="15.75" thickBot="1" x14ac:dyDescent="0.35">
      <c r="A15" s="59" t="s">
        <v>584</v>
      </c>
      <c r="B15" s="59"/>
      <c r="C15" s="59"/>
    </row>
    <row r="16" spans="1:4" s="47" customFormat="1" ht="15" x14ac:dyDescent="0.3">
      <c r="A16" s="61"/>
      <c r="B16" s="61"/>
      <c r="C16" s="61"/>
      <c r="D16" s="61"/>
    </row>
    <row r="17" spans="1:13" s="47" customFormat="1" ht="15" x14ac:dyDescent="0.3">
      <c r="A17" s="61"/>
      <c r="D17" s="61"/>
    </row>
    <row r="18" spans="1:13" s="47" customFormat="1" ht="15" x14ac:dyDescent="0.3">
      <c r="A18" s="61"/>
      <c r="B18" s="61"/>
      <c r="C18" s="61"/>
      <c r="D18" s="61"/>
    </row>
    <row r="19" spans="1:13" s="2" customFormat="1" ht="15" x14ac:dyDescent="0.3">
      <c r="A19"/>
      <c r="B19" s="11"/>
      <c r="C19" s="20"/>
      <c r="K19" s="49"/>
      <c r="L19" s="49"/>
    </row>
    <row r="20" spans="1:13" s="2" customFormat="1" ht="15" x14ac:dyDescent="0.3">
      <c r="A20" s="9"/>
      <c r="B20" s="9"/>
      <c r="C20" s="9"/>
      <c r="K20" s="49"/>
      <c r="L20" s="49"/>
      <c r="M20" s="49"/>
    </row>
    <row r="21" spans="1:13" s="2" customFormat="1" ht="15" x14ac:dyDescent="0.3">
      <c r="A21" s="10" t="s">
        <v>215</v>
      </c>
      <c r="B21" s="10"/>
      <c r="C21" s="10"/>
    </row>
    <row r="22" spans="1:13" s="2" customFormat="1" ht="15" x14ac:dyDescent="0.3">
      <c r="A22" s="8"/>
      <c r="B22" s="8"/>
      <c r="C22" s="34"/>
    </row>
    <row r="23" spans="1:13" s="2" customFormat="1" ht="15" x14ac:dyDescent="0.3">
      <c r="A23"/>
      <c r="B23" s="11"/>
      <c r="C23" s="20"/>
    </row>
    <row r="24" spans="1:13" s="2" customFormat="1" ht="15" x14ac:dyDescent="0.3">
      <c r="A24"/>
      <c r="B24" s="11"/>
      <c r="C24" s="20"/>
    </row>
    <row r="25" spans="1:13" s="2" customFormat="1" ht="15" x14ac:dyDescent="0.3">
      <c r="A25"/>
      <c r="B25" s="11"/>
      <c r="C25" s="20"/>
    </row>
    <row r="37" spans="2:2" x14ac:dyDescent="0.2">
      <c r="B37" s="20"/>
    </row>
    <row r="38" spans="2:2" x14ac:dyDescent="0.2">
      <c r="B38" s="20"/>
    </row>
  </sheetData>
  <dataConsolidate/>
  <mergeCells count="1">
    <mergeCell ref="A2:B2"/>
  </mergeCells>
  <hyperlinks>
    <hyperlink ref="B11" location="'Commercial'!A5" tooltip="Jump to worksheet" display="'Commercial'!A5"/>
    <hyperlink ref="C11" location="'Th_Bringup'!A5" tooltip="Jump to worksheet" display="'Th_Bringup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66675</xdr:colOff>
                    <xdr:row>20</xdr:row>
                    <xdr:rowOff>0</xdr:rowOff>
                  </from>
                  <to>
                    <xdr:col>1</xdr:col>
                    <xdr:colOff>247650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2</xdr:col>
                    <xdr:colOff>847725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2</xdr:col>
                    <xdr:colOff>838200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9" name="Button 84">
              <controlPr defaultSize="0" print="0" autoFill="0" autoPict="0" macro="[0]!RefreshSummary">
                <anchor moveWithCells="1" sizeWithCells="1">
                  <from>
                    <xdr:col>0</xdr:col>
                    <xdr:colOff>561975</xdr:colOff>
                    <xdr:row>17</xdr:row>
                    <xdr:rowOff>133350</xdr:rowOff>
                  </from>
                  <to>
                    <xdr:col>0</xdr:col>
                    <xdr:colOff>1905000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1" name="Th_Bringup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autoPageBreaks="0"/>
  </sheetPr>
  <dimension ref="A1:O526"/>
  <sheetViews>
    <sheetView topLeftCell="B487" zoomScale="70" zoomScaleNormal="70" workbookViewId="0">
      <selection activeCell="F507" sqref="F507"/>
    </sheetView>
  </sheetViews>
  <sheetFormatPr defaultColWidth="9.140625" defaultRowHeight="12.75" x14ac:dyDescent="0.2"/>
  <cols>
    <col min="1" max="1" width="43.7109375" style="20" customWidth="1"/>
    <col min="2" max="2" width="56.7109375" style="20" bestFit="1" customWidth="1"/>
    <col min="3" max="3" width="28.85546875" style="20" customWidth="1"/>
    <col min="4" max="4" width="17.7109375" style="20" customWidth="1"/>
    <col min="5" max="5" width="42.7109375" style="20" customWidth="1"/>
    <col min="6" max="6" width="43.7109375" style="20" customWidth="1"/>
    <col min="7" max="7" width="13.42578125" style="20" customWidth="1"/>
    <col min="8" max="8" width="77.140625" style="22" customWidth="1"/>
    <col min="9" max="9" width="47.85546875" style="20" bestFit="1" customWidth="1"/>
    <col min="10" max="16384" width="9.140625" style="20"/>
  </cols>
  <sheetData>
    <row r="1" spans="1:9" s="63" customFormat="1" x14ac:dyDescent="0.2">
      <c r="A1" s="62"/>
      <c r="H1" s="64"/>
    </row>
    <row r="2" spans="1:9" s="90" customFormat="1" ht="45" customHeight="1" x14ac:dyDescent="0.55000000000000004">
      <c r="A2" s="190" t="s">
        <v>471</v>
      </c>
      <c r="B2" s="190"/>
      <c r="C2" s="190"/>
      <c r="D2" s="190"/>
      <c r="E2" s="190"/>
      <c r="F2" s="190"/>
      <c r="G2" s="190"/>
      <c r="H2" s="190"/>
      <c r="I2" s="190"/>
    </row>
    <row r="3" spans="1:9" s="63" customFormat="1" ht="13.5" thickBot="1" x14ac:dyDescent="0.25">
      <c r="A3" s="62"/>
      <c r="H3" s="64"/>
    </row>
    <row r="4" spans="1:9" s="65" customFormat="1" ht="20.25" thickBot="1" x14ac:dyDescent="0.45">
      <c r="A4" s="191" t="s">
        <v>557</v>
      </c>
      <c r="B4" s="192"/>
      <c r="C4" s="192"/>
      <c r="D4" s="192"/>
      <c r="E4" s="192"/>
      <c r="F4" s="192"/>
      <c r="G4" s="192"/>
      <c r="H4" s="193"/>
    </row>
    <row r="5" spans="1:9" s="70" customFormat="1" ht="15.75" thickBot="1" x14ac:dyDescent="0.35">
      <c r="A5" s="66" t="s">
        <v>8</v>
      </c>
      <c r="B5" s="67" t="s">
        <v>7</v>
      </c>
      <c r="C5" s="66" t="s">
        <v>76</v>
      </c>
      <c r="D5" s="66" t="s">
        <v>77</v>
      </c>
      <c r="E5" s="66" t="s">
        <v>9</v>
      </c>
      <c r="F5" s="66" t="s">
        <v>78</v>
      </c>
      <c r="G5" s="68" t="s">
        <v>84</v>
      </c>
      <c r="H5" s="69" t="s">
        <v>10</v>
      </c>
    </row>
    <row r="6" spans="1:9" s="19" customFormat="1" ht="17.25" x14ac:dyDescent="0.35">
      <c r="A6" s="71" t="s">
        <v>11</v>
      </c>
      <c r="B6" s="72">
        <v>6</v>
      </c>
      <c r="C6" s="73" t="s">
        <v>79</v>
      </c>
      <c r="D6" s="19">
        <v>1</v>
      </c>
      <c r="E6" s="71" t="s">
        <v>14</v>
      </c>
      <c r="F6" s="73">
        <v>9</v>
      </c>
      <c r="G6" s="74" t="s">
        <v>88</v>
      </c>
      <c r="H6" s="75" t="s">
        <v>6</v>
      </c>
    </row>
    <row r="7" spans="1:9" s="19" customFormat="1" ht="17.25" x14ac:dyDescent="0.35">
      <c r="A7" s="71" t="s">
        <v>50</v>
      </c>
      <c r="B7" s="72">
        <v>71</v>
      </c>
      <c r="C7" s="73"/>
      <c r="E7" s="71" t="s">
        <v>51</v>
      </c>
      <c r="F7" s="73"/>
      <c r="G7" s="74" t="s">
        <v>88</v>
      </c>
      <c r="H7" s="75" t="s">
        <v>6</v>
      </c>
    </row>
    <row r="8" spans="1:9" s="19" customFormat="1" ht="17.25" x14ac:dyDescent="0.35">
      <c r="A8" s="71"/>
      <c r="B8" s="72"/>
      <c r="C8" s="73" t="s">
        <v>80</v>
      </c>
      <c r="D8" s="19">
        <v>13</v>
      </c>
      <c r="E8" s="71" t="s">
        <v>52</v>
      </c>
      <c r="F8" s="73" t="s">
        <v>470</v>
      </c>
      <c r="G8" s="74"/>
      <c r="H8" s="75" t="s">
        <v>6</v>
      </c>
    </row>
    <row r="9" spans="1:9" s="19" customFormat="1" ht="17.25" x14ac:dyDescent="0.35">
      <c r="A9" s="71" t="s">
        <v>29</v>
      </c>
      <c r="B9" s="72">
        <v>81</v>
      </c>
      <c r="C9" s="73" t="s">
        <v>79</v>
      </c>
      <c r="D9" s="19">
        <v>1</v>
      </c>
      <c r="E9" s="71" t="s">
        <v>30</v>
      </c>
      <c r="F9" s="73">
        <v>0</v>
      </c>
      <c r="G9" s="74" t="s">
        <v>88</v>
      </c>
      <c r="H9" s="75" t="s">
        <v>26</v>
      </c>
    </row>
    <row r="10" spans="1:9" s="19" customFormat="1" ht="17.25" x14ac:dyDescent="0.35">
      <c r="A10" s="71" t="s">
        <v>40</v>
      </c>
      <c r="B10" s="72">
        <v>179</v>
      </c>
      <c r="C10" s="73" t="s">
        <v>79</v>
      </c>
      <c r="D10" s="19">
        <v>1</v>
      </c>
      <c r="E10" s="71" t="s">
        <v>41</v>
      </c>
      <c r="F10" s="73">
        <v>0</v>
      </c>
      <c r="G10" s="74" t="s">
        <v>88</v>
      </c>
      <c r="H10" s="75"/>
    </row>
    <row r="11" spans="1:9" s="19" customFormat="1" ht="17.25" x14ac:dyDescent="0.35">
      <c r="A11" s="71" t="s">
        <v>12</v>
      </c>
      <c r="B11" s="72">
        <v>240</v>
      </c>
      <c r="C11" s="73" t="s">
        <v>79</v>
      </c>
      <c r="D11" s="19">
        <v>1</v>
      </c>
      <c r="E11" s="71" t="s">
        <v>15</v>
      </c>
      <c r="F11" s="73">
        <v>0</v>
      </c>
      <c r="G11" s="74" t="s">
        <v>88</v>
      </c>
      <c r="H11" s="75" t="s">
        <v>18</v>
      </c>
    </row>
    <row r="12" spans="1:9" s="19" customFormat="1" ht="17.25" x14ac:dyDescent="0.35">
      <c r="A12" s="71" t="s">
        <v>13</v>
      </c>
      <c r="B12" s="72">
        <v>241</v>
      </c>
      <c r="C12" s="73" t="s">
        <v>79</v>
      </c>
      <c r="D12" s="19">
        <v>1</v>
      </c>
      <c r="E12" s="71" t="s">
        <v>16</v>
      </c>
      <c r="F12" s="73">
        <v>2</v>
      </c>
      <c r="G12" s="74" t="s">
        <v>88</v>
      </c>
      <c r="H12" s="75" t="s">
        <v>19</v>
      </c>
    </row>
    <row r="13" spans="1:9" s="19" customFormat="1" ht="17.25" x14ac:dyDescent="0.35">
      <c r="A13" s="71" t="s">
        <v>34</v>
      </c>
      <c r="B13" s="72">
        <v>256</v>
      </c>
      <c r="C13" s="73"/>
      <c r="E13" s="71" t="s">
        <v>35</v>
      </c>
      <c r="F13" s="73"/>
      <c r="G13" s="74" t="s">
        <v>187</v>
      </c>
      <c r="H13" s="75"/>
    </row>
    <row r="14" spans="1:9" s="19" customFormat="1" ht="17.25" x14ac:dyDescent="0.35">
      <c r="A14" s="71"/>
      <c r="B14" s="72"/>
      <c r="C14" s="73" t="s">
        <v>79</v>
      </c>
      <c r="D14" s="19">
        <v>1</v>
      </c>
      <c r="E14" s="71" t="s">
        <v>17</v>
      </c>
      <c r="F14" s="73">
        <v>0</v>
      </c>
      <c r="G14" s="74"/>
      <c r="H14" s="75"/>
    </row>
    <row r="15" spans="1:9" s="19" customFormat="1" ht="17.25" x14ac:dyDescent="0.35">
      <c r="A15" s="71"/>
      <c r="B15" s="72"/>
      <c r="C15" s="73" t="s">
        <v>79</v>
      </c>
      <c r="D15" s="19">
        <v>1</v>
      </c>
      <c r="E15" s="71" t="s">
        <v>33</v>
      </c>
      <c r="F15" s="73">
        <v>1</v>
      </c>
      <c r="G15" s="74"/>
      <c r="H15" s="75" t="s">
        <v>33</v>
      </c>
    </row>
    <row r="16" spans="1:9" s="19" customFormat="1" ht="17.25" x14ac:dyDescent="0.35">
      <c r="A16" s="71" t="s">
        <v>36</v>
      </c>
      <c r="B16" s="72">
        <v>405</v>
      </c>
      <c r="C16" s="73"/>
      <c r="E16" s="71" t="s">
        <v>37</v>
      </c>
      <c r="F16" s="73"/>
      <c r="G16" s="74" t="s">
        <v>88</v>
      </c>
      <c r="H16" s="75"/>
    </row>
    <row r="17" spans="1:8" s="19" customFormat="1" ht="17.25" x14ac:dyDescent="0.35">
      <c r="A17" s="71"/>
      <c r="B17" s="72"/>
      <c r="C17" s="73" t="s">
        <v>79</v>
      </c>
      <c r="D17" s="19">
        <v>2</v>
      </c>
      <c r="E17" s="71" t="s">
        <v>38</v>
      </c>
      <c r="F17" s="73">
        <v>3</v>
      </c>
      <c r="G17" s="74"/>
      <c r="H17" s="75" t="s">
        <v>39</v>
      </c>
    </row>
    <row r="18" spans="1:8" s="19" customFormat="1" ht="17.25" x14ac:dyDescent="0.35">
      <c r="A18" s="71" t="s">
        <v>276</v>
      </c>
      <c r="B18" s="72">
        <v>409</v>
      </c>
      <c r="C18" s="73" t="s">
        <v>79</v>
      </c>
      <c r="D18" s="19">
        <v>1</v>
      </c>
      <c r="E18" s="71" t="s">
        <v>279</v>
      </c>
      <c r="F18" s="73" t="s">
        <v>214</v>
      </c>
      <c r="G18" s="74" t="s">
        <v>88</v>
      </c>
      <c r="H18" s="75" t="s">
        <v>44</v>
      </c>
    </row>
    <row r="19" spans="1:8" s="19" customFormat="1" ht="17.25" x14ac:dyDescent="0.35">
      <c r="A19" s="71" t="s">
        <v>472</v>
      </c>
      <c r="B19" s="72">
        <v>453</v>
      </c>
      <c r="C19" s="73" t="s">
        <v>79</v>
      </c>
      <c r="D19" s="19">
        <v>1</v>
      </c>
      <c r="E19" s="71"/>
      <c r="F19" s="73">
        <v>0</v>
      </c>
      <c r="G19" s="74" t="s">
        <v>88</v>
      </c>
      <c r="H19" s="75"/>
    </row>
    <row r="20" spans="1:8" s="19" customFormat="1" ht="17.25" x14ac:dyDescent="0.35">
      <c r="A20" s="71" t="s">
        <v>473</v>
      </c>
      <c r="B20" s="72">
        <v>475</v>
      </c>
      <c r="C20" s="73" t="s">
        <v>79</v>
      </c>
      <c r="D20" s="19">
        <v>2</v>
      </c>
      <c r="E20" s="71"/>
      <c r="F20" s="73">
        <v>0</v>
      </c>
      <c r="G20" s="74" t="s">
        <v>88</v>
      </c>
      <c r="H20" s="75"/>
    </row>
    <row r="21" spans="1:8" s="19" customFormat="1" ht="17.25" x14ac:dyDescent="0.35">
      <c r="A21" s="71" t="s">
        <v>432</v>
      </c>
      <c r="B21" s="72">
        <v>495</v>
      </c>
      <c r="C21" s="73" t="s">
        <v>79</v>
      </c>
      <c r="D21" s="19">
        <v>1</v>
      </c>
      <c r="E21" s="71" t="s">
        <v>64</v>
      </c>
      <c r="F21" s="73">
        <v>1</v>
      </c>
      <c r="G21" s="74" t="s">
        <v>88</v>
      </c>
      <c r="H21" s="75" t="s">
        <v>44</v>
      </c>
    </row>
    <row r="22" spans="1:8" s="19" customFormat="1" ht="17.25" x14ac:dyDescent="0.35">
      <c r="A22" s="71" t="s">
        <v>250</v>
      </c>
      <c r="B22" s="72">
        <v>562</v>
      </c>
      <c r="C22" s="73" t="s">
        <v>79</v>
      </c>
      <c r="D22" s="19">
        <v>1</v>
      </c>
      <c r="E22" s="71" t="s">
        <v>251</v>
      </c>
      <c r="F22" s="73">
        <v>1</v>
      </c>
      <c r="G22" s="74" t="s">
        <v>88</v>
      </c>
      <c r="H22" s="75" t="s">
        <v>44</v>
      </c>
    </row>
    <row r="23" spans="1:8" s="19" customFormat="1" ht="17.25" x14ac:dyDescent="0.35">
      <c r="A23" s="71" t="s">
        <v>42</v>
      </c>
      <c r="B23" s="72">
        <v>818</v>
      </c>
      <c r="C23" s="73" t="s">
        <v>79</v>
      </c>
      <c r="D23" s="19">
        <v>1</v>
      </c>
      <c r="E23" s="71" t="s">
        <v>43</v>
      </c>
      <c r="F23" s="73">
        <v>0</v>
      </c>
      <c r="G23" s="74" t="s">
        <v>88</v>
      </c>
      <c r="H23" s="75" t="s">
        <v>44</v>
      </c>
    </row>
    <row r="24" spans="1:8" s="19" customFormat="1" ht="17.25" x14ac:dyDescent="0.35">
      <c r="A24" s="71" t="s">
        <v>474</v>
      </c>
      <c r="B24" s="72">
        <v>830</v>
      </c>
      <c r="C24" s="73"/>
      <c r="E24" s="71" t="s">
        <v>475</v>
      </c>
      <c r="F24" s="73"/>
      <c r="G24" s="74" t="s">
        <v>88</v>
      </c>
      <c r="H24" s="75" t="s">
        <v>476</v>
      </c>
    </row>
    <row r="25" spans="1:8" s="19" customFormat="1" ht="17.25" x14ac:dyDescent="0.35">
      <c r="A25" s="71"/>
      <c r="B25" s="72"/>
      <c r="C25" s="73" t="s">
        <v>79</v>
      </c>
      <c r="D25" s="19">
        <v>1</v>
      </c>
      <c r="E25" s="71"/>
      <c r="F25" s="73">
        <v>3</v>
      </c>
      <c r="G25" s="74"/>
      <c r="H25" s="75" t="s">
        <v>477</v>
      </c>
    </row>
    <row r="26" spans="1:8" s="19" customFormat="1" ht="17.25" x14ac:dyDescent="0.35">
      <c r="A26" s="71"/>
      <c r="B26" s="72"/>
      <c r="C26" s="73" t="s">
        <v>79</v>
      </c>
      <c r="D26" s="19">
        <v>1</v>
      </c>
      <c r="E26" s="71"/>
      <c r="F26" s="73">
        <v>0</v>
      </c>
      <c r="G26" s="74"/>
      <c r="H26" s="75" t="s">
        <v>478</v>
      </c>
    </row>
    <row r="27" spans="1:8" s="19" customFormat="1" ht="17.25" x14ac:dyDescent="0.35">
      <c r="A27" s="71"/>
      <c r="B27" s="72"/>
      <c r="C27" s="73" t="s">
        <v>79</v>
      </c>
      <c r="D27" s="19">
        <v>1</v>
      </c>
      <c r="E27" s="71"/>
      <c r="F27" s="73">
        <v>0</v>
      </c>
      <c r="G27" s="74"/>
      <c r="H27" s="75" t="s">
        <v>479</v>
      </c>
    </row>
    <row r="28" spans="1:8" s="19" customFormat="1" ht="17.25" x14ac:dyDescent="0.35">
      <c r="A28" s="71"/>
      <c r="B28" s="72"/>
      <c r="C28" s="73" t="s">
        <v>79</v>
      </c>
      <c r="D28" s="19">
        <v>1</v>
      </c>
      <c r="E28" s="71"/>
      <c r="F28" s="73">
        <v>0</v>
      </c>
      <c r="G28" s="74"/>
      <c r="H28" s="75" t="s">
        <v>480</v>
      </c>
    </row>
    <row r="29" spans="1:8" s="19" customFormat="1" ht="17.25" x14ac:dyDescent="0.35">
      <c r="A29" s="71"/>
      <c r="B29" s="72"/>
      <c r="C29" s="73" t="s">
        <v>79</v>
      </c>
      <c r="D29" s="19">
        <v>1</v>
      </c>
      <c r="E29" s="71"/>
      <c r="F29" s="73">
        <v>1</v>
      </c>
      <c r="G29" s="74"/>
      <c r="H29" s="75" t="s">
        <v>481</v>
      </c>
    </row>
    <row r="30" spans="1:8" s="19" customFormat="1" ht="17.25" x14ac:dyDescent="0.35">
      <c r="A30" s="71"/>
      <c r="B30" s="72"/>
      <c r="C30" s="73" t="s">
        <v>79</v>
      </c>
      <c r="D30" s="19">
        <v>1</v>
      </c>
      <c r="E30" s="71"/>
      <c r="F30" s="73">
        <v>3</v>
      </c>
      <c r="G30" s="74"/>
      <c r="H30" s="75" t="s">
        <v>482</v>
      </c>
    </row>
    <row r="31" spans="1:8" s="19" customFormat="1" ht="17.25" x14ac:dyDescent="0.35">
      <c r="A31" s="71"/>
      <c r="B31" s="72"/>
      <c r="C31" s="73" t="s">
        <v>79</v>
      </c>
      <c r="D31" s="19">
        <v>1</v>
      </c>
      <c r="E31" s="71"/>
      <c r="F31" s="73">
        <v>0</v>
      </c>
      <c r="G31" s="74"/>
      <c r="H31" s="75" t="s">
        <v>483</v>
      </c>
    </row>
    <row r="32" spans="1:8" s="19" customFormat="1" ht="17.25" x14ac:dyDescent="0.35">
      <c r="A32" s="71"/>
      <c r="B32" s="72"/>
      <c r="C32" s="73" t="s">
        <v>79</v>
      </c>
      <c r="D32" s="19">
        <v>1</v>
      </c>
      <c r="E32" s="71"/>
      <c r="F32" s="73">
        <v>0</v>
      </c>
      <c r="G32" s="74"/>
      <c r="H32" s="75" t="s">
        <v>484</v>
      </c>
    </row>
    <row r="33" spans="1:8" s="19" customFormat="1" ht="17.25" x14ac:dyDescent="0.35">
      <c r="A33" s="71"/>
      <c r="B33" s="72"/>
      <c r="C33" s="73" t="s">
        <v>79</v>
      </c>
      <c r="D33" s="19">
        <v>1</v>
      </c>
      <c r="E33" s="71"/>
      <c r="F33" s="73">
        <v>1</v>
      </c>
      <c r="G33" s="74"/>
      <c r="H33" s="75" t="s">
        <v>485</v>
      </c>
    </row>
    <row r="34" spans="1:8" s="19" customFormat="1" ht="17.25" x14ac:dyDescent="0.35">
      <c r="A34" s="71"/>
      <c r="B34" s="72"/>
      <c r="C34" s="73" t="s">
        <v>79</v>
      </c>
      <c r="D34" s="19">
        <v>1</v>
      </c>
      <c r="E34" s="71"/>
      <c r="F34" s="73">
        <v>2</v>
      </c>
      <c r="G34" s="74"/>
      <c r="H34" s="75" t="s">
        <v>486</v>
      </c>
    </row>
    <row r="35" spans="1:8" s="19" customFormat="1" ht="17.25" x14ac:dyDescent="0.35">
      <c r="A35" s="71"/>
      <c r="B35" s="72"/>
      <c r="C35" s="73" t="s">
        <v>79</v>
      </c>
      <c r="D35" s="19">
        <v>1</v>
      </c>
      <c r="E35" s="71"/>
      <c r="F35" s="73">
        <v>0</v>
      </c>
      <c r="G35" s="74"/>
      <c r="H35" s="75" t="s">
        <v>487</v>
      </c>
    </row>
    <row r="36" spans="1:8" s="19" customFormat="1" ht="17.25" x14ac:dyDescent="0.35">
      <c r="A36" s="71"/>
      <c r="B36" s="72"/>
      <c r="C36" s="73" t="s">
        <v>79</v>
      </c>
      <c r="D36" s="19">
        <v>1</v>
      </c>
      <c r="E36" s="71"/>
      <c r="F36" s="73">
        <v>0</v>
      </c>
      <c r="G36" s="74"/>
      <c r="H36" s="75" t="s">
        <v>488</v>
      </c>
    </row>
    <row r="37" spans="1:8" s="19" customFormat="1" ht="17.25" x14ac:dyDescent="0.35">
      <c r="A37" s="71"/>
      <c r="B37" s="72"/>
      <c r="C37" s="73" t="s">
        <v>79</v>
      </c>
      <c r="D37" s="19">
        <v>1</v>
      </c>
      <c r="E37" s="71"/>
      <c r="F37" s="73">
        <v>1</v>
      </c>
      <c r="G37" s="74"/>
      <c r="H37" s="75" t="s">
        <v>489</v>
      </c>
    </row>
    <row r="38" spans="1:8" s="19" customFormat="1" ht="17.25" x14ac:dyDescent="0.35">
      <c r="A38" s="71"/>
      <c r="B38" s="72"/>
      <c r="C38" s="73" t="s">
        <v>79</v>
      </c>
      <c r="D38" s="19">
        <v>1</v>
      </c>
      <c r="E38" s="71"/>
      <c r="F38" s="73">
        <v>3</v>
      </c>
      <c r="G38" s="74"/>
      <c r="H38" s="75" t="s">
        <v>490</v>
      </c>
    </row>
    <row r="39" spans="1:8" s="19" customFormat="1" ht="17.25" x14ac:dyDescent="0.35">
      <c r="A39" s="71"/>
      <c r="B39" s="72"/>
      <c r="C39" s="73" t="s">
        <v>79</v>
      </c>
      <c r="D39" s="19">
        <v>1</v>
      </c>
      <c r="E39" s="71"/>
      <c r="F39" s="73">
        <v>0</v>
      </c>
      <c r="G39" s="74"/>
      <c r="H39" s="75" t="s">
        <v>491</v>
      </c>
    </row>
    <row r="40" spans="1:8" s="19" customFormat="1" ht="17.25" x14ac:dyDescent="0.35">
      <c r="A40" s="71"/>
      <c r="B40" s="72"/>
      <c r="C40" s="73" t="s">
        <v>79</v>
      </c>
      <c r="D40" s="19">
        <v>1</v>
      </c>
      <c r="E40" s="71"/>
      <c r="F40" s="73">
        <v>0</v>
      </c>
      <c r="G40" s="74"/>
      <c r="H40" s="75" t="s">
        <v>492</v>
      </c>
    </row>
    <row r="41" spans="1:8" s="19" customFormat="1" ht="17.25" x14ac:dyDescent="0.35">
      <c r="A41" s="71"/>
      <c r="B41" s="72"/>
      <c r="C41" s="73" t="s">
        <v>79</v>
      </c>
      <c r="D41" s="19">
        <v>1</v>
      </c>
      <c r="E41" s="71"/>
      <c r="F41" s="73">
        <v>1</v>
      </c>
      <c r="G41" s="74"/>
      <c r="H41" s="75" t="s">
        <v>493</v>
      </c>
    </row>
    <row r="42" spans="1:8" s="19" customFormat="1" ht="17.25" x14ac:dyDescent="0.35">
      <c r="A42" s="71"/>
      <c r="B42" s="72"/>
      <c r="C42" s="73" t="s">
        <v>79</v>
      </c>
      <c r="D42" s="19">
        <v>1</v>
      </c>
      <c r="E42" s="71"/>
      <c r="F42" s="73">
        <v>3</v>
      </c>
      <c r="G42" s="74"/>
      <c r="H42" s="75" t="s">
        <v>494</v>
      </c>
    </row>
    <row r="43" spans="1:8" s="19" customFormat="1" ht="17.25" x14ac:dyDescent="0.35">
      <c r="A43" s="71"/>
      <c r="B43" s="72"/>
      <c r="C43" s="73" t="s">
        <v>79</v>
      </c>
      <c r="D43" s="19">
        <v>1</v>
      </c>
      <c r="E43" s="71"/>
      <c r="F43" s="73">
        <v>0</v>
      </c>
      <c r="G43" s="74"/>
      <c r="H43" s="75" t="s">
        <v>495</v>
      </c>
    </row>
    <row r="44" spans="1:8" s="19" customFormat="1" ht="17.25" x14ac:dyDescent="0.35">
      <c r="A44" s="71"/>
      <c r="B44" s="72"/>
      <c r="C44" s="73" t="s">
        <v>79</v>
      </c>
      <c r="D44" s="19">
        <v>1</v>
      </c>
      <c r="E44" s="71"/>
      <c r="F44" s="73">
        <v>0</v>
      </c>
      <c r="G44" s="74"/>
      <c r="H44" s="75" t="s">
        <v>496</v>
      </c>
    </row>
    <row r="45" spans="1:8" s="19" customFormat="1" ht="17.25" x14ac:dyDescent="0.35">
      <c r="A45" s="71"/>
      <c r="B45" s="72"/>
      <c r="C45" s="73" t="s">
        <v>79</v>
      </c>
      <c r="D45" s="19">
        <v>1</v>
      </c>
      <c r="E45" s="71"/>
      <c r="F45" s="73">
        <v>2</v>
      </c>
      <c r="G45" s="74"/>
      <c r="H45" s="75" t="s">
        <v>497</v>
      </c>
    </row>
    <row r="46" spans="1:8" s="19" customFormat="1" ht="17.25" x14ac:dyDescent="0.35">
      <c r="A46" s="71"/>
      <c r="B46" s="72"/>
      <c r="C46" s="73" t="s">
        <v>79</v>
      </c>
      <c r="D46" s="19">
        <v>1</v>
      </c>
      <c r="E46" s="71"/>
      <c r="F46" s="73">
        <v>0</v>
      </c>
      <c r="G46" s="74"/>
      <c r="H46" s="75" t="s">
        <v>498</v>
      </c>
    </row>
    <row r="47" spans="1:8" s="19" customFormat="1" ht="17.25" x14ac:dyDescent="0.35">
      <c r="A47" s="71"/>
      <c r="B47" s="72"/>
      <c r="C47" s="73" t="s">
        <v>79</v>
      </c>
      <c r="D47" s="19">
        <v>1</v>
      </c>
      <c r="E47" s="71"/>
      <c r="F47" s="73">
        <v>0</v>
      </c>
      <c r="G47" s="74"/>
      <c r="H47" s="75" t="s">
        <v>499</v>
      </c>
    </row>
    <row r="48" spans="1:8" s="19" customFormat="1" ht="17.25" x14ac:dyDescent="0.35">
      <c r="A48" s="71"/>
      <c r="B48" s="72"/>
      <c r="C48" s="73" t="s">
        <v>79</v>
      </c>
      <c r="D48" s="19">
        <v>1</v>
      </c>
      <c r="E48" s="71"/>
      <c r="F48" s="73">
        <v>0</v>
      </c>
      <c r="G48" s="74"/>
      <c r="H48" s="75" t="s">
        <v>500</v>
      </c>
    </row>
    <row r="49" spans="1:8" s="19" customFormat="1" ht="17.25" x14ac:dyDescent="0.35">
      <c r="A49" s="71"/>
      <c r="B49" s="72"/>
      <c r="C49" s="73" t="s">
        <v>79</v>
      </c>
      <c r="D49" s="19">
        <v>1</v>
      </c>
      <c r="E49" s="71" t="s">
        <v>501</v>
      </c>
      <c r="F49" s="73">
        <v>0</v>
      </c>
      <c r="G49" s="74"/>
      <c r="H49" s="75"/>
    </row>
    <row r="50" spans="1:8" s="19" customFormat="1" ht="17.25" x14ac:dyDescent="0.35">
      <c r="A50" s="71" t="s">
        <v>91</v>
      </c>
      <c r="B50" s="72">
        <v>855</v>
      </c>
      <c r="C50" s="73" t="s">
        <v>79</v>
      </c>
      <c r="D50" s="19">
        <v>2</v>
      </c>
      <c r="E50" s="71" t="s">
        <v>53</v>
      </c>
      <c r="F50" s="73">
        <v>0</v>
      </c>
      <c r="G50" s="74" t="s">
        <v>88</v>
      </c>
      <c r="H50" s="75" t="s">
        <v>223</v>
      </c>
    </row>
    <row r="51" spans="1:8" s="19" customFormat="1" ht="17.25" x14ac:dyDescent="0.35">
      <c r="A51" s="71" t="s">
        <v>92</v>
      </c>
      <c r="B51" s="72">
        <v>880</v>
      </c>
      <c r="C51" s="73" t="s">
        <v>79</v>
      </c>
      <c r="D51" s="19">
        <v>1</v>
      </c>
      <c r="E51" s="71"/>
      <c r="F51" s="73">
        <v>1</v>
      </c>
      <c r="G51" s="74" t="s">
        <v>88</v>
      </c>
      <c r="H51" s="75"/>
    </row>
    <row r="52" spans="1:8" s="19" customFormat="1" ht="17.25" x14ac:dyDescent="0.35">
      <c r="A52" s="71" t="s">
        <v>93</v>
      </c>
      <c r="B52" s="72">
        <v>881</v>
      </c>
      <c r="C52" s="73" t="s">
        <v>79</v>
      </c>
      <c r="D52" s="19">
        <v>1</v>
      </c>
      <c r="E52" s="71"/>
      <c r="F52" s="73">
        <v>1</v>
      </c>
      <c r="G52" s="74" t="s">
        <v>88</v>
      </c>
      <c r="H52" s="75"/>
    </row>
    <row r="53" spans="1:8" s="19" customFormat="1" ht="17.25" x14ac:dyDescent="0.35">
      <c r="A53" s="71" t="s">
        <v>94</v>
      </c>
      <c r="B53" s="72">
        <v>882</v>
      </c>
      <c r="C53" s="73" t="s">
        <v>79</v>
      </c>
      <c r="D53" s="19">
        <v>1</v>
      </c>
      <c r="E53" s="71"/>
      <c r="F53" s="73">
        <v>0</v>
      </c>
      <c r="G53" s="74" t="s">
        <v>88</v>
      </c>
      <c r="H53" s="75"/>
    </row>
    <row r="54" spans="1:8" s="19" customFormat="1" ht="34.5" x14ac:dyDescent="0.35">
      <c r="A54" s="71" t="s">
        <v>216</v>
      </c>
      <c r="B54" s="72">
        <v>896</v>
      </c>
      <c r="C54" s="73" t="s">
        <v>79</v>
      </c>
      <c r="D54" s="19">
        <v>2</v>
      </c>
      <c r="E54" s="71" t="s">
        <v>217</v>
      </c>
      <c r="F54" s="73">
        <v>1</v>
      </c>
      <c r="G54" s="74" t="s">
        <v>88</v>
      </c>
      <c r="H54" s="75" t="s">
        <v>231</v>
      </c>
    </row>
    <row r="55" spans="1:8" s="19" customFormat="1" ht="17.25" x14ac:dyDescent="0.35">
      <c r="A55" s="71" t="s">
        <v>20</v>
      </c>
      <c r="B55" s="72">
        <v>928</v>
      </c>
      <c r="C55" s="73" t="s">
        <v>79</v>
      </c>
      <c r="D55" s="19">
        <v>2</v>
      </c>
      <c r="E55" s="71" t="s">
        <v>21</v>
      </c>
      <c r="F55" s="73">
        <v>0</v>
      </c>
      <c r="G55" s="74" t="s">
        <v>88</v>
      </c>
      <c r="H55" s="75"/>
    </row>
    <row r="56" spans="1:8" s="19" customFormat="1" ht="17.25" x14ac:dyDescent="0.35">
      <c r="A56" s="71" t="s">
        <v>22</v>
      </c>
      <c r="B56" s="72">
        <v>929</v>
      </c>
      <c r="C56" s="73" t="s">
        <v>79</v>
      </c>
      <c r="D56" s="19">
        <v>2</v>
      </c>
      <c r="E56" s="71" t="s">
        <v>23</v>
      </c>
      <c r="F56" s="73" t="s">
        <v>24</v>
      </c>
      <c r="G56" s="74" t="s">
        <v>88</v>
      </c>
      <c r="H56" s="75" t="s">
        <v>25</v>
      </c>
    </row>
    <row r="57" spans="1:8" s="19" customFormat="1" ht="17.25" x14ac:dyDescent="0.35">
      <c r="A57" s="71" t="s">
        <v>45</v>
      </c>
      <c r="B57" s="72">
        <v>1018</v>
      </c>
      <c r="C57" s="73" t="s">
        <v>79</v>
      </c>
      <c r="D57" s="19">
        <v>2</v>
      </c>
      <c r="E57" s="71" t="s">
        <v>46</v>
      </c>
      <c r="F57" s="73">
        <v>0</v>
      </c>
      <c r="G57" s="74" t="s">
        <v>88</v>
      </c>
      <c r="H57" s="75" t="s">
        <v>502</v>
      </c>
    </row>
    <row r="58" spans="1:8" s="19" customFormat="1" ht="17.25" x14ac:dyDescent="0.35">
      <c r="A58" s="71" t="s">
        <v>218</v>
      </c>
      <c r="B58" s="72">
        <v>946</v>
      </c>
      <c r="C58" s="73"/>
      <c r="E58" s="71"/>
      <c r="F58" s="73"/>
      <c r="G58" s="74" t="s">
        <v>187</v>
      </c>
      <c r="H58" s="75"/>
    </row>
    <row r="59" spans="1:8" s="19" customFormat="1" ht="17.25" x14ac:dyDescent="0.35">
      <c r="A59" s="71"/>
      <c r="B59" s="72"/>
      <c r="C59" s="73" t="s">
        <v>79</v>
      </c>
      <c r="D59" s="19">
        <v>1</v>
      </c>
      <c r="E59" s="71" t="s">
        <v>17</v>
      </c>
      <c r="F59" s="73">
        <v>0</v>
      </c>
      <c r="G59" s="74"/>
      <c r="H59" s="75"/>
    </row>
    <row r="60" spans="1:8" s="19" customFormat="1" ht="17.25" x14ac:dyDescent="0.35">
      <c r="A60" s="71"/>
      <c r="B60" s="72"/>
      <c r="C60" s="73" t="s">
        <v>79</v>
      </c>
      <c r="D60" s="19">
        <v>2</v>
      </c>
      <c r="E60" s="71" t="s">
        <v>219</v>
      </c>
      <c r="F60" s="73" t="s">
        <v>229</v>
      </c>
      <c r="G60" s="74"/>
      <c r="H60" s="75" t="s">
        <v>6</v>
      </c>
    </row>
    <row r="61" spans="1:8" s="19" customFormat="1" ht="17.25" x14ac:dyDescent="0.35">
      <c r="A61" s="71" t="s">
        <v>220</v>
      </c>
      <c r="B61" s="72">
        <v>2954</v>
      </c>
      <c r="C61" s="73"/>
      <c r="E61" s="71"/>
      <c r="F61" s="73"/>
      <c r="G61" s="74" t="s">
        <v>187</v>
      </c>
      <c r="H61" s="75"/>
    </row>
    <row r="62" spans="1:8" s="19" customFormat="1" ht="17.25" x14ac:dyDescent="0.35">
      <c r="A62" s="71"/>
      <c r="B62" s="72"/>
      <c r="C62" s="73" t="s">
        <v>79</v>
      </c>
      <c r="D62" s="19">
        <v>1</v>
      </c>
      <c r="E62" s="71" t="s">
        <v>17</v>
      </c>
      <c r="F62" s="73">
        <v>0</v>
      </c>
      <c r="G62" s="74"/>
      <c r="H62" s="75"/>
    </row>
    <row r="63" spans="1:8" s="19" customFormat="1" ht="17.25" x14ac:dyDescent="0.35">
      <c r="A63" s="71"/>
      <c r="B63" s="72"/>
      <c r="C63" s="73" t="s">
        <v>79</v>
      </c>
      <c r="D63" s="19">
        <v>4</v>
      </c>
      <c r="E63" s="71" t="s">
        <v>221</v>
      </c>
      <c r="F63" s="73" t="s">
        <v>105</v>
      </c>
      <c r="G63" s="74"/>
      <c r="H63" s="75" t="s">
        <v>6</v>
      </c>
    </row>
    <row r="64" spans="1:8" s="19" customFormat="1" ht="17.25" x14ac:dyDescent="0.35">
      <c r="A64" s="71" t="s">
        <v>95</v>
      </c>
      <c r="B64" s="72">
        <v>1896</v>
      </c>
      <c r="C64" s="73" t="s">
        <v>79</v>
      </c>
      <c r="D64" s="19">
        <v>1</v>
      </c>
      <c r="E64" s="71" t="s">
        <v>96</v>
      </c>
      <c r="F64" s="73">
        <v>0</v>
      </c>
      <c r="G64" s="74" t="s">
        <v>88</v>
      </c>
      <c r="H64" s="75"/>
    </row>
    <row r="65" spans="1:8" s="19" customFormat="1" ht="17.25" x14ac:dyDescent="0.35">
      <c r="A65" s="71" t="s">
        <v>31</v>
      </c>
      <c r="B65" s="72">
        <v>1907</v>
      </c>
      <c r="C65" s="73" t="s">
        <v>79</v>
      </c>
      <c r="D65" s="19">
        <v>1</v>
      </c>
      <c r="E65" s="71" t="s">
        <v>32</v>
      </c>
      <c r="F65" s="73">
        <v>1</v>
      </c>
      <c r="G65" s="74" t="s">
        <v>88</v>
      </c>
      <c r="H65" s="75"/>
    </row>
    <row r="66" spans="1:8" s="19" customFormat="1" ht="17.25" x14ac:dyDescent="0.35">
      <c r="A66" s="71" t="s">
        <v>54</v>
      </c>
      <c r="B66" s="72">
        <v>3532</v>
      </c>
      <c r="C66" s="73" t="s">
        <v>79</v>
      </c>
      <c r="D66" s="19">
        <v>1</v>
      </c>
      <c r="E66" s="71" t="s">
        <v>55</v>
      </c>
      <c r="F66" s="73">
        <v>135</v>
      </c>
      <c r="G66" s="74" t="s">
        <v>88</v>
      </c>
      <c r="H66" s="75" t="s">
        <v>6</v>
      </c>
    </row>
    <row r="67" spans="1:8" s="19" customFormat="1" ht="17.25" x14ac:dyDescent="0.35">
      <c r="A67" s="71" t="s">
        <v>56</v>
      </c>
      <c r="B67" s="72">
        <v>3533</v>
      </c>
      <c r="C67" s="73" t="s">
        <v>79</v>
      </c>
      <c r="D67" s="19">
        <v>1</v>
      </c>
      <c r="E67" s="71" t="s">
        <v>57</v>
      </c>
      <c r="F67" s="73">
        <v>30</v>
      </c>
      <c r="G67" s="74" t="s">
        <v>88</v>
      </c>
      <c r="H67" s="75" t="s">
        <v>6</v>
      </c>
    </row>
    <row r="68" spans="1:8" s="19" customFormat="1" ht="17.25" x14ac:dyDescent="0.35">
      <c r="A68" s="71" t="s">
        <v>97</v>
      </c>
      <c r="B68" s="72">
        <v>4102</v>
      </c>
      <c r="C68" s="73" t="s">
        <v>79</v>
      </c>
      <c r="D68" s="19">
        <v>1</v>
      </c>
      <c r="E68" s="71"/>
      <c r="F68" s="73">
        <v>0</v>
      </c>
      <c r="G68" s="74" t="s">
        <v>88</v>
      </c>
      <c r="H68" s="75"/>
    </row>
    <row r="69" spans="1:8" s="19" customFormat="1" ht="17.25" x14ac:dyDescent="0.35">
      <c r="A69" s="71" t="s">
        <v>503</v>
      </c>
      <c r="B69" s="72">
        <v>4192</v>
      </c>
      <c r="C69" s="73" t="s">
        <v>79</v>
      </c>
      <c r="D69" s="19">
        <v>1</v>
      </c>
      <c r="E69" s="71"/>
      <c r="F69" s="73">
        <v>0</v>
      </c>
      <c r="G69" s="74" t="s">
        <v>88</v>
      </c>
      <c r="H69" s="75"/>
    </row>
    <row r="70" spans="1:8" s="19" customFormat="1" ht="17.25" x14ac:dyDescent="0.35">
      <c r="A70" s="71" t="s">
        <v>27</v>
      </c>
      <c r="B70" s="72">
        <v>4204</v>
      </c>
      <c r="C70" s="73" t="s">
        <v>79</v>
      </c>
      <c r="D70" s="19">
        <v>1</v>
      </c>
      <c r="E70" s="71" t="s">
        <v>28</v>
      </c>
      <c r="F70" s="73">
        <v>0</v>
      </c>
      <c r="G70" s="74" t="s">
        <v>88</v>
      </c>
      <c r="H70" s="75"/>
    </row>
    <row r="71" spans="1:8" s="19" customFormat="1" ht="17.25" x14ac:dyDescent="0.35">
      <c r="A71" s="71" t="s">
        <v>98</v>
      </c>
      <c r="B71" s="72">
        <v>4265</v>
      </c>
      <c r="C71" s="73" t="s">
        <v>79</v>
      </c>
      <c r="D71" s="19">
        <v>1</v>
      </c>
      <c r="E71" s="71"/>
      <c r="F71" s="73" t="s">
        <v>60</v>
      </c>
      <c r="G71" s="74" t="s">
        <v>88</v>
      </c>
      <c r="H71" s="75"/>
    </row>
    <row r="72" spans="1:8" s="19" customFormat="1" ht="17.25" x14ac:dyDescent="0.35">
      <c r="A72" s="71" t="s">
        <v>47</v>
      </c>
      <c r="B72" s="72">
        <v>4366</v>
      </c>
      <c r="C72" s="73"/>
      <c r="E72" s="71" t="s">
        <v>48</v>
      </c>
      <c r="F72" s="73"/>
      <c r="G72" s="74" t="s">
        <v>88</v>
      </c>
      <c r="H72" s="75"/>
    </row>
    <row r="73" spans="1:8" s="19" customFormat="1" ht="17.25" x14ac:dyDescent="0.35">
      <c r="A73" s="71"/>
      <c r="B73" s="72"/>
      <c r="C73" s="73" t="s">
        <v>79</v>
      </c>
      <c r="D73" s="19">
        <v>4</v>
      </c>
      <c r="E73" s="71" t="s">
        <v>49</v>
      </c>
      <c r="F73" s="73">
        <v>1</v>
      </c>
      <c r="G73" s="74"/>
      <c r="H73" s="75" t="s">
        <v>75</v>
      </c>
    </row>
    <row r="74" spans="1:8" s="19" customFormat="1" ht="17.25" x14ac:dyDescent="0.35">
      <c r="A74" s="71" t="s">
        <v>253</v>
      </c>
      <c r="B74" s="72">
        <v>4230</v>
      </c>
      <c r="C74" s="73" t="s">
        <v>79</v>
      </c>
      <c r="D74" s="19">
        <v>2</v>
      </c>
      <c r="E74" s="71"/>
      <c r="F74" s="73">
        <v>0</v>
      </c>
      <c r="G74" s="74" t="s">
        <v>88</v>
      </c>
      <c r="H74" s="75"/>
    </row>
    <row r="75" spans="1:8" s="19" customFormat="1" ht="17.25" x14ac:dyDescent="0.35">
      <c r="A75" s="71" t="s">
        <v>252</v>
      </c>
      <c r="B75" s="72">
        <v>4528</v>
      </c>
      <c r="C75" s="73" t="s">
        <v>79</v>
      </c>
      <c r="D75" s="19">
        <v>1</v>
      </c>
      <c r="E75" s="71"/>
      <c r="F75" s="73">
        <v>0</v>
      </c>
      <c r="G75" s="74" t="s">
        <v>88</v>
      </c>
      <c r="H75" s="75"/>
    </row>
    <row r="76" spans="1:8" s="19" customFormat="1" ht="17.25" x14ac:dyDescent="0.35">
      <c r="A76" s="71" t="s">
        <v>99</v>
      </c>
      <c r="B76" s="72">
        <v>4964</v>
      </c>
      <c r="C76" s="73" t="s">
        <v>79</v>
      </c>
      <c r="D76" s="19">
        <v>2</v>
      </c>
      <c r="E76" s="71"/>
      <c r="F76" s="73">
        <v>4</v>
      </c>
      <c r="G76" s="74" t="s">
        <v>88</v>
      </c>
      <c r="H76" s="75"/>
    </row>
    <row r="77" spans="1:8" s="19" customFormat="1" ht="17.25" x14ac:dyDescent="0.35">
      <c r="A77" s="71" t="s">
        <v>232</v>
      </c>
      <c r="B77" s="72">
        <v>6907</v>
      </c>
      <c r="C77" s="73" t="s">
        <v>79</v>
      </c>
      <c r="D77" s="19">
        <v>2</v>
      </c>
      <c r="E77" s="71" t="s">
        <v>233</v>
      </c>
      <c r="F77" s="73">
        <v>1</v>
      </c>
      <c r="G77" s="74" t="s">
        <v>88</v>
      </c>
      <c r="H77" s="75" t="s">
        <v>238</v>
      </c>
    </row>
    <row r="78" spans="1:8" s="19" customFormat="1" ht="34.5" x14ac:dyDescent="0.35">
      <c r="A78" s="71" t="s">
        <v>234</v>
      </c>
      <c r="B78" s="72">
        <v>4398</v>
      </c>
      <c r="C78" s="73" t="s">
        <v>79</v>
      </c>
      <c r="D78" s="19">
        <v>1</v>
      </c>
      <c r="E78" s="71" t="s">
        <v>235</v>
      </c>
      <c r="F78" s="73">
        <v>1</v>
      </c>
      <c r="G78" s="74" t="s">
        <v>88</v>
      </c>
      <c r="H78" s="75" t="s">
        <v>236</v>
      </c>
    </row>
    <row r="79" spans="1:8" s="19" customFormat="1" ht="17.25" x14ac:dyDescent="0.35">
      <c r="A79" s="71" t="s">
        <v>237</v>
      </c>
      <c r="B79" s="72">
        <v>5770</v>
      </c>
      <c r="C79" s="73" t="s">
        <v>79</v>
      </c>
      <c r="D79" s="19">
        <v>1</v>
      </c>
      <c r="E79" s="71" t="s">
        <v>239</v>
      </c>
      <c r="F79" s="73">
        <v>0</v>
      </c>
      <c r="G79" s="74" t="s">
        <v>88</v>
      </c>
      <c r="H79" s="75"/>
    </row>
    <row r="80" spans="1:8" s="19" customFormat="1" ht="17.25" x14ac:dyDescent="0.35">
      <c r="A80" s="71" t="s">
        <v>504</v>
      </c>
      <c r="B80" s="72">
        <v>6248</v>
      </c>
      <c r="C80" s="73" t="s">
        <v>79</v>
      </c>
      <c r="D80" s="19">
        <v>1</v>
      </c>
      <c r="E80" s="71"/>
      <c r="F80" s="73">
        <v>0</v>
      </c>
      <c r="G80" s="74" t="s">
        <v>88</v>
      </c>
      <c r="H80" s="75"/>
    </row>
    <row r="81" spans="1:9" s="19" customFormat="1" ht="17.25" x14ac:dyDescent="0.35">
      <c r="A81" s="71" t="s">
        <v>788</v>
      </c>
      <c r="B81" s="72">
        <v>6862</v>
      </c>
      <c r="C81" s="73"/>
      <c r="E81" s="71"/>
      <c r="F81" s="73"/>
      <c r="G81" s="74" t="s">
        <v>88</v>
      </c>
      <c r="H81" s="75" t="s">
        <v>6</v>
      </c>
    </row>
    <row r="82" spans="1:9" s="19" customFormat="1" ht="17.25" x14ac:dyDescent="0.35">
      <c r="A82" s="71"/>
      <c r="B82" s="72"/>
      <c r="C82" s="73" t="s">
        <v>79</v>
      </c>
      <c r="D82" s="19">
        <v>1</v>
      </c>
      <c r="E82" s="71" t="s">
        <v>789</v>
      </c>
      <c r="F82" s="73">
        <v>1</v>
      </c>
      <c r="G82" s="74"/>
      <c r="H82" s="75"/>
    </row>
    <row r="83" spans="1:9" s="19" customFormat="1" ht="17.25" x14ac:dyDescent="0.35">
      <c r="A83" s="71" t="s">
        <v>61</v>
      </c>
      <c r="B83" s="72">
        <v>10</v>
      </c>
      <c r="C83" s="73"/>
      <c r="E83" s="71" t="s">
        <v>62</v>
      </c>
      <c r="F83" s="73"/>
      <c r="G83" s="74" t="s">
        <v>187</v>
      </c>
      <c r="H83" s="75" t="s">
        <v>6</v>
      </c>
    </row>
    <row r="84" spans="1:9" s="19" customFormat="1" ht="17.25" x14ac:dyDescent="0.35">
      <c r="A84" s="71"/>
      <c r="B84" s="72"/>
      <c r="C84" s="73" t="s">
        <v>79</v>
      </c>
      <c r="D84" s="19">
        <v>1</v>
      </c>
      <c r="E84" s="71" t="s">
        <v>17</v>
      </c>
      <c r="F84" s="73">
        <v>0</v>
      </c>
      <c r="G84" s="74"/>
      <c r="H84" s="75"/>
    </row>
    <row r="85" spans="1:9" s="19" customFormat="1" ht="17.25" x14ac:dyDescent="0.35">
      <c r="A85" s="71"/>
      <c r="B85" s="72"/>
      <c r="C85" s="73" t="s">
        <v>79</v>
      </c>
      <c r="D85" s="19">
        <v>2</v>
      </c>
      <c r="E85" s="71" t="s">
        <v>63</v>
      </c>
      <c r="F85" s="73">
        <v>4</v>
      </c>
      <c r="G85" s="74"/>
      <c r="H85" s="75" t="s">
        <v>6</v>
      </c>
    </row>
    <row r="86" spans="1:9" s="19" customFormat="1" ht="17.25" x14ac:dyDescent="0.35">
      <c r="A86" s="71" t="s">
        <v>73</v>
      </c>
      <c r="B86" s="72">
        <v>4229</v>
      </c>
      <c r="C86" s="73" t="s">
        <v>79</v>
      </c>
      <c r="D86" s="19">
        <v>1</v>
      </c>
      <c r="E86" s="71" t="s">
        <v>74</v>
      </c>
      <c r="F86" s="73">
        <v>1</v>
      </c>
      <c r="G86" s="74" t="s">
        <v>88</v>
      </c>
      <c r="H86" s="75"/>
    </row>
    <row r="87" spans="1:9" s="19" customFormat="1" ht="17.25" x14ac:dyDescent="0.35">
      <c r="A87" s="71" t="s">
        <v>58</v>
      </c>
      <c r="B87" s="72">
        <v>5280</v>
      </c>
      <c r="C87" s="73" t="s">
        <v>79</v>
      </c>
      <c r="D87" s="19">
        <v>8</v>
      </c>
      <c r="E87" s="71" t="s">
        <v>59</v>
      </c>
      <c r="F87" s="73">
        <v>0</v>
      </c>
      <c r="G87" s="74" t="s">
        <v>88</v>
      </c>
      <c r="H87" s="75"/>
    </row>
    <row r="88" spans="1:9" s="19" customFormat="1" ht="18" thickBot="1" x14ac:dyDescent="0.4">
      <c r="A88" s="76"/>
      <c r="B88" s="59"/>
      <c r="C88" s="77"/>
      <c r="D88" s="78"/>
      <c r="E88" s="76"/>
      <c r="F88" s="77"/>
      <c r="G88" s="78"/>
      <c r="H88" s="79"/>
    </row>
    <row r="89" spans="1:9" s="19" customFormat="1" ht="15.75" thickBot="1" x14ac:dyDescent="0.35">
      <c r="A89" s="63"/>
      <c r="B89" s="63"/>
      <c r="C89" s="63"/>
      <c r="D89" s="63"/>
      <c r="E89" s="63"/>
      <c r="F89" s="63"/>
      <c r="G89" s="63"/>
      <c r="H89" s="64"/>
    </row>
    <row r="90" spans="1:9" s="19" customFormat="1" ht="20.25" thickBot="1" x14ac:dyDescent="0.45">
      <c r="A90" s="80" t="s">
        <v>83</v>
      </c>
      <c r="B90" s="80"/>
      <c r="C90" s="80"/>
      <c r="D90" s="80"/>
      <c r="E90" s="80"/>
      <c r="F90" s="80"/>
      <c r="G90" s="80"/>
      <c r="H90" s="81"/>
      <c r="I90" s="82"/>
    </row>
    <row r="91" spans="1:9" s="19" customFormat="1" ht="15.75" thickBot="1" x14ac:dyDescent="0.35">
      <c r="A91" s="83" t="s">
        <v>65</v>
      </c>
      <c r="B91" s="84" t="s">
        <v>66</v>
      </c>
      <c r="C91" s="85" t="s">
        <v>76</v>
      </c>
      <c r="D91" s="86" t="s">
        <v>86</v>
      </c>
      <c r="E91" s="85" t="s">
        <v>85</v>
      </c>
      <c r="F91" s="85" t="s">
        <v>78</v>
      </c>
      <c r="G91" s="85" t="s">
        <v>84</v>
      </c>
      <c r="H91" s="87" t="s">
        <v>89</v>
      </c>
      <c r="I91" s="88" t="s">
        <v>67</v>
      </c>
    </row>
    <row r="92" spans="1:9" s="19" customFormat="1" ht="17.25" x14ac:dyDescent="0.35">
      <c r="A92" s="126"/>
      <c r="B92" s="127"/>
      <c r="C92" s="127"/>
      <c r="D92" s="127"/>
      <c r="E92" s="127"/>
      <c r="F92" s="127"/>
      <c r="G92" s="127"/>
      <c r="H92" s="128"/>
      <c r="I92" s="121"/>
    </row>
    <row r="93" spans="1:9" s="113" customFormat="1" ht="17.25" x14ac:dyDescent="0.35">
      <c r="A93" s="129" t="s">
        <v>100</v>
      </c>
      <c r="B93" s="124" t="s">
        <v>101</v>
      </c>
      <c r="C93" s="124" t="s">
        <v>81</v>
      </c>
      <c r="D93" s="124"/>
      <c r="E93" s="124"/>
      <c r="F93" s="124"/>
      <c r="G93" s="124" t="s">
        <v>88</v>
      </c>
      <c r="H93" s="130" t="s">
        <v>505</v>
      </c>
      <c r="I93" s="96" t="s">
        <v>249</v>
      </c>
    </row>
    <row r="94" spans="1:9" s="113" customFormat="1" ht="17.25" x14ac:dyDescent="0.35">
      <c r="A94" s="129" t="s">
        <v>102</v>
      </c>
      <c r="B94" s="124" t="s">
        <v>185</v>
      </c>
      <c r="C94" s="124" t="s">
        <v>81</v>
      </c>
      <c r="D94" s="124"/>
      <c r="E94" s="124"/>
      <c r="F94" s="124"/>
      <c r="G94" s="124" t="s">
        <v>88</v>
      </c>
      <c r="H94" s="130" t="s">
        <v>230</v>
      </c>
      <c r="I94" s="96" t="s">
        <v>249</v>
      </c>
    </row>
    <row r="95" spans="1:9" s="113" customFormat="1" ht="17.25" x14ac:dyDescent="0.35">
      <c r="A95" s="129" t="s">
        <v>103</v>
      </c>
      <c r="B95" s="124" t="s">
        <v>104</v>
      </c>
      <c r="C95" s="124" t="s">
        <v>81</v>
      </c>
      <c r="D95" s="124"/>
      <c r="E95" s="124"/>
      <c r="F95" s="124"/>
      <c r="G95" s="124" t="s">
        <v>88</v>
      </c>
      <c r="H95" s="130" t="s">
        <v>506</v>
      </c>
      <c r="I95" s="96">
        <v>65591</v>
      </c>
    </row>
    <row r="96" spans="1:9" s="114" customFormat="1" ht="17.25" x14ac:dyDescent="0.35">
      <c r="A96" s="129" t="s">
        <v>182</v>
      </c>
      <c r="B96" s="124" t="s">
        <v>106</v>
      </c>
      <c r="C96" s="124" t="s">
        <v>81</v>
      </c>
      <c r="D96" s="124"/>
      <c r="E96" s="124"/>
      <c r="F96" s="124"/>
      <c r="G96" s="124" t="s">
        <v>88</v>
      </c>
      <c r="H96" s="130" t="s">
        <v>507</v>
      </c>
      <c r="I96" s="96">
        <v>66035</v>
      </c>
    </row>
    <row r="97" spans="1:9" s="115" customFormat="1" ht="17.25" x14ac:dyDescent="0.35">
      <c r="A97" s="129" t="s">
        <v>107</v>
      </c>
      <c r="B97" s="124" t="s">
        <v>108</v>
      </c>
      <c r="C97" s="124" t="s">
        <v>81</v>
      </c>
      <c r="D97" s="124"/>
      <c r="E97" s="124"/>
      <c r="F97" s="124"/>
      <c r="G97" s="124" t="s">
        <v>88</v>
      </c>
      <c r="H97" s="130" t="s">
        <v>508</v>
      </c>
      <c r="I97" s="96">
        <v>65953</v>
      </c>
    </row>
    <row r="98" spans="1:9" s="115" customFormat="1" ht="17.25" x14ac:dyDescent="0.35">
      <c r="A98" s="129" t="s">
        <v>509</v>
      </c>
      <c r="B98" s="124" t="s">
        <v>510</v>
      </c>
      <c r="C98" s="124" t="s">
        <v>116</v>
      </c>
      <c r="D98" s="124"/>
      <c r="E98" s="124"/>
      <c r="F98" s="124"/>
      <c r="G98" s="124" t="s">
        <v>88</v>
      </c>
      <c r="H98" s="130"/>
      <c r="I98" s="96">
        <v>66007</v>
      </c>
    </row>
    <row r="99" spans="1:9" s="115" customFormat="1" ht="17.25" x14ac:dyDescent="0.35">
      <c r="A99" s="129"/>
      <c r="B99" s="124"/>
      <c r="C99" s="124"/>
      <c r="D99" s="124" t="s">
        <v>79</v>
      </c>
      <c r="E99" s="124">
        <v>4</v>
      </c>
      <c r="F99" s="124" t="s">
        <v>952</v>
      </c>
      <c r="G99" s="124"/>
      <c r="H99" s="130"/>
      <c r="I99" s="96"/>
    </row>
    <row r="100" spans="1:9" s="115" customFormat="1" ht="17.25" x14ac:dyDescent="0.35">
      <c r="A100" s="129" t="s">
        <v>109</v>
      </c>
      <c r="B100" s="124" t="s">
        <v>110</v>
      </c>
      <c r="C100" s="124" t="s">
        <v>81</v>
      </c>
      <c r="D100" s="124"/>
      <c r="E100" s="124"/>
      <c r="F100" s="124"/>
      <c r="G100" s="124" t="s">
        <v>88</v>
      </c>
      <c r="H100" s="130" t="s">
        <v>512</v>
      </c>
      <c r="I100" s="96">
        <v>67200</v>
      </c>
    </row>
    <row r="101" spans="1:9" s="115" customFormat="1" ht="17.25" x14ac:dyDescent="0.35">
      <c r="A101" s="129" t="s">
        <v>513</v>
      </c>
      <c r="B101" s="124" t="s">
        <v>514</v>
      </c>
      <c r="C101" s="124" t="s">
        <v>81</v>
      </c>
      <c r="D101" s="124"/>
      <c r="E101" s="124"/>
      <c r="F101" s="124"/>
      <c r="G101" s="124" t="s">
        <v>88</v>
      </c>
      <c r="H101" s="130" t="s">
        <v>515</v>
      </c>
      <c r="I101" s="96">
        <v>66033</v>
      </c>
    </row>
    <row r="102" spans="1:9" s="115" customFormat="1" ht="17.25" x14ac:dyDescent="0.35">
      <c r="A102" s="129" t="s">
        <v>291</v>
      </c>
      <c r="B102" s="124" t="s">
        <v>292</v>
      </c>
      <c r="C102" s="124" t="s">
        <v>81</v>
      </c>
      <c r="D102" s="124"/>
      <c r="E102" s="124"/>
      <c r="F102" s="124"/>
      <c r="G102" s="124" t="s">
        <v>88</v>
      </c>
      <c r="H102" s="130" t="s">
        <v>516</v>
      </c>
      <c r="I102" s="96">
        <v>65677</v>
      </c>
    </row>
    <row r="103" spans="1:9" s="115" customFormat="1" ht="17.25" x14ac:dyDescent="0.35">
      <c r="A103" s="131" t="s">
        <v>320</v>
      </c>
      <c r="B103" s="124" t="s">
        <v>111</v>
      </c>
      <c r="C103" s="124" t="s">
        <v>116</v>
      </c>
      <c r="D103" s="124"/>
      <c r="E103" s="124"/>
      <c r="F103" s="124"/>
      <c r="G103" s="124" t="s">
        <v>984</v>
      </c>
      <c r="H103" s="130"/>
      <c r="I103" s="100">
        <v>65956</v>
      </c>
    </row>
    <row r="104" spans="1:9" s="115" customFormat="1" ht="17.25" x14ac:dyDescent="0.35">
      <c r="A104" s="131" t="s">
        <v>318</v>
      </c>
      <c r="B104" s="124" t="s">
        <v>318</v>
      </c>
      <c r="C104" s="124"/>
      <c r="D104" s="124" t="s">
        <v>79</v>
      </c>
      <c r="E104" s="124">
        <v>2</v>
      </c>
      <c r="F104" s="124">
        <v>0</v>
      </c>
      <c r="G104" s="124"/>
      <c r="H104" s="130"/>
      <c r="I104" s="100" t="s">
        <v>943</v>
      </c>
    </row>
    <row r="105" spans="1:9" s="115" customFormat="1" ht="17.25" x14ac:dyDescent="0.35">
      <c r="A105" s="129" t="s">
        <v>362</v>
      </c>
      <c r="B105" s="124" t="s">
        <v>363</v>
      </c>
      <c r="C105" s="124" t="s">
        <v>116</v>
      </c>
      <c r="D105" s="124"/>
      <c r="E105" s="124"/>
      <c r="F105" s="124"/>
      <c r="G105" s="124" t="s">
        <v>984</v>
      </c>
      <c r="H105" s="130"/>
      <c r="I105" s="96">
        <v>67280</v>
      </c>
    </row>
    <row r="106" spans="1:9" s="115" customFormat="1" ht="17.25" x14ac:dyDescent="0.35">
      <c r="A106" s="129" t="s">
        <v>318</v>
      </c>
      <c r="B106" s="124" t="s">
        <v>318</v>
      </c>
      <c r="C106" s="124"/>
      <c r="D106" s="124" t="s">
        <v>79</v>
      </c>
      <c r="E106" s="124">
        <v>4</v>
      </c>
      <c r="F106" s="124">
        <v>30000</v>
      </c>
      <c r="G106" s="124"/>
      <c r="H106" s="130"/>
      <c r="I106" s="96"/>
    </row>
    <row r="107" spans="1:9" s="115" customFormat="1" ht="17.25" x14ac:dyDescent="0.35">
      <c r="A107" s="129" t="s">
        <v>364</v>
      </c>
      <c r="B107" s="124" t="s">
        <v>365</v>
      </c>
      <c r="C107" s="124" t="s">
        <v>116</v>
      </c>
      <c r="D107" s="124"/>
      <c r="E107" s="124"/>
      <c r="F107" s="124"/>
      <c r="G107" s="124" t="s">
        <v>984</v>
      </c>
      <c r="H107" s="130"/>
      <c r="I107" s="96">
        <v>67281</v>
      </c>
    </row>
    <row r="108" spans="1:9" s="115" customFormat="1" ht="17.25" x14ac:dyDescent="0.35">
      <c r="A108" s="129" t="s">
        <v>318</v>
      </c>
      <c r="B108" s="124" t="s">
        <v>318</v>
      </c>
      <c r="C108" s="124"/>
      <c r="D108" s="124" t="s">
        <v>79</v>
      </c>
      <c r="E108" s="124">
        <v>4</v>
      </c>
      <c r="F108" s="124">
        <v>35000</v>
      </c>
      <c r="G108" s="124"/>
      <c r="H108" s="130"/>
      <c r="I108" s="96"/>
    </row>
    <row r="109" spans="1:9" s="116" customFormat="1" ht="17.25" x14ac:dyDescent="0.35">
      <c r="A109" s="129" t="s">
        <v>366</v>
      </c>
      <c r="B109" s="124" t="s">
        <v>367</v>
      </c>
      <c r="C109" s="124" t="s">
        <v>116</v>
      </c>
      <c r="D109" s="124"/>
      <c r="E109" s="124"/>
      <c r="F109" s="124"/>
      <c r="G109" s="124" t="s">
        <v>984</v>
      </c>
      <c r="H109" s="130"/>
      <c r="I109" s="96">
        <v>67282</v>
      </c>
    </row>
    <row r="110" spans="1:9" s="116" customFormat="1" ht="17.25" x14ac:dyDescent="0.35">
      <c r="A110" s="129" t="s">
        <v>318</v>
      </c>
      <c r="B110" s="124" t="s">
        <v>318</v>
      </c>
      <c r="C110" s="124"/>
      <c r="D110" s="124" t="s">
        <v>79</v>
      </c>
      <c r="E110" s="124">
        <v>4</v>
      </c>
      <c r="F110" s="124">
        <v>10</v>
      </c>
      <c r="G110" s="124"/>
      <c r="H110" s="130"/>
      <c r="I110" s="96"/>
    </row>
    <row r="111" spans="1:9" s="115" customFormat="1" ht="17.25" x14ac:dyDescent="0.35">
      <c r="A111" s="129" t="s">
        <v>360</v>
      </c>
      <c r="B111" s="124" t="s">
        <v>361</v>
      </c>
      <c r="C111" s="124" t="s">
        <v>116</v>
      </c>
      <c r="D111" s="124"/>
      <c r="E111" s="124"/>
      <c r="F111" s="124"/>
      <c r="G111" s="124" t="s">
        <v>984</v>
      </c>
      <c r="H111" s="130"/>
      <c r="I111" s="96">
        <v>66031</v>
      </c>
    </row>
    <row r="112" spans="1:9" s="115" customFormat="1" ht="17.25" x14ac:dyDescent="0.35">
      <c r="A112" s="129" t="s">
        <v>318</v>
      </c>
      <c r="B112" s="124" t="s">
        <v>318</v>
      </c>
      <c r="C112" s="124"/>
      <c r="D112" s="124" t="s">
        <v>79</v>
      </c>
      <c r="E112" s="124">
        <v>4</v>
      </c>
      <c r="F112" s="124">
        <v>7</v>
      </c>
      <c r="G112" s="124"/>
      <c r="H112" s="130"/>
      <c r="I112" s="96"/>
    </row>
    <row r="113" spans="1:9" s="115" customFormat="1" ht="17.25" x14ac:dyDescent="0.35">
      <c r="A113" s="129" t="s">
        <v>295</v>
      </c>
      <c r="B113" s="124" t="s">
        <v>296</v>
      </c>
      <c r="C113" s="124" t="s">
        <v>116</v>
      </c>
      <c r="D113" s="124"/>
      <c r="E113" s="124"/>
      <c r="F113" s="124"/>
      <c r="G113" s="124" t="s">
        <v>88</v>
      </c>
      <c r="H113" s="130"/>
      <c r="I113" s="96">
        <v>66472</v>
      </c>
    </row>
    <row r="114" spans="1:9" s="115" customFormat="1" ht="17.25" x14ac:dyDescent="0.35">
      <c r="A114" s="129" t="s">
        <v>318</v>
      </c>
      <c r="B114" s="124" t="s">
        <v>318</v>
      </c>
      <c r="C114" s="124"/>
      <c r="D114" s="124" t="s">
        <v>79</v>
      </c>
      <c r="E114" s="124">
        <v>1</v>
      </c>
      <c r="F114" s="124">
        <v>1</v>
      </c>
      <c r="G114" s="124"/>
      <c r="H114" s="130"/>
      <c r="I114" s="96"/>
    </row>
    <row r="115" spans="1:9" s="115" customFormat="1" ht="17.25" x14ac:dyDescent="0.35">
      <c r="A115" s="129" t="s">
        <v>297</v>
      </c>
      <c r="B115" s="124" t="s">
        <v>298</v>
      </c>
      <c r="C115" s="124" t="s">
        <v>116</v>
      </c>
      <c r="D115" s="124"/>
      <c r="E115" s="124"/>
      <c r="F115" s="124"/>
      <c r="G115" s="124" t="s">
        <v>88</v>
      </c>
      <c r="H115" s="130"/>
      <c r="I115" s="96">
        <v>66473</v>
      </c>
    </row>
    <row r="116" spans="1:9" s="115" customFormat="1" ht="17.25" x14ac:dyDescent="0.35">
      <c r="A116" s="129" t="s">
        <v>318</v>
      </c>
      <c r="B116" s="124" t="s">
        <v>318</v>
      </c>
      <c r="C116" s="124"/>
      <c r="D116" s="124" t="s">
        <v>79</v>
      </c>
      <c r="E116" s="124">
        <v>1</v>
      </c>
      <c r="F116" s="124">
        <v>0</v>
      </c>
      <c r="G116" s="124"/>
      <c r="H116" s="130"/>
      <c r="I116" s="96"/>
    </row>
    <row r="117" spans="1:9" s="115" customFormat="1" ht="17.25" x14ac:dyDescent="0.35">
      <c r="A117" s="129" t="s">
        <v>304</v>
      </c>
      <c r="B117" s="124" t="s">
        <v>305</v>
      </c>
      <c r="C117" s="124" t="s">
        <v>116</v>
      </c>
      <c r="D117" s="124"/>
      <c r="E117" s="124"/>
      <c r="F117" s="124"/>
      <c r="G117" s="124" t="s">
        <v>88</v>
      </c>
      <c r="H117" s="130"/>
      <c r="I117" s="96">
        <v>70222</v>
      </c>
    </row>
    <row r="118" spans="1:9" s="115" customFormat="1" ht="17.25" x14ac:dyDescent="0.35">
      <c r="A118" s="129" t="s">
        <v>318</v>
      </c>
      <c r="B118" s="124" t="s">
        <v>318</v>
      </c>
      <c r="C118" s="124"/>
      <c r="D118" s="124" t="s">
        <v>79</v>
      </c>
      <c r="E118" s="124">
        <v>1</v>
      </c>
      <c r="F118" s="124">
        <v>1</v>
      </c>
      <c r="G118" s="124"/>
      <c r="H118" s="130"/>
      <c r="I118" s="96"/>
    </row>
    <row r="119" spans="1:9" s="115" customFormat="1" ht="17.25" x14ac:dyDescent="0.35">
      <c r="A119" s="129" t="s">
        <v>368</v>
      </c>
      <c r="B119" s="124" t="s">
        <v>300</v>
      </c>
      <c r="C119" s="124" t="s">
        <v>116</v>
      </c>
      <c r="D119" s="124"/>
      <c r="E119" s="124"/>
      <c r="F119" s="124"/>
      <c r="G119" s="124" t="s">
        <v>88</v>
      </c>
      <c r="H119" s="130"/>
      <c r="I119" s="96">
        <v>65601</v>
      </c>
    </row>
    <row r="120" spans="1:9" s="115" customFormat="1" ht="17.25" x14ac:dyDescent="0.35">
      <c r="A120" s="129" t="s">
        <v>318</v>
      </c>
      <c r="B120" s="124" t="s">
        <v>318</v>
      </c>
      <c r="C120" s="124"/>
      <c r="D120" s="124" t="s">
        <v>79</v>
      </c>
      <c r="E120" s="124">
        <v>4</v>
      </c>
      <c r="F120" s="124">
        <v>22</v>
      </c>
      <c r="G120" s="124"/>
      <c r="H120" s="130"/>
      <c r="I120" s="96"/>
    </row>
    <row r="121" spans="1:9" s="115" customFormat="1" ht="17.25" x14ac:dyDescent="0.35">
      <c r="A121" s="129" t="s">
        <v>369</v>
      </c>
      <c r="B121" s="124" t="s">
        <v>302</v>
      </c>
      <c r="C121" s="124" t="s">
        <v>116</v>
      </c>
      <c r="D121" s="124"/>
      <c r="E121" s="124"/>
      <c r="F121" s="124"/>
      <c r="G121" s="124" t="s">
        <v>984</v>
      </c>
      <c r="H121" s="130"/>
      <c r="I121" s="96">
        <v>67196</v>
      </c>
    </row>
    <row r="122" spans="1:9" s="115" customFormat="1" ht="17.25" x14ac:dyDescent="0.35">
      <c r="A122" s="129" t="s">
        <v>318</v>
      </c>
      <c r="B122" s="124" t="s">
        <v>318</v>
      </c>
      <c r="C122" s="124"/>
      <c r="D122" s="124" t="s">
        <v>79</v>
      </c>
      <c r="E122" s="124">
        <v>1</v>
      </c>
      <c r="F122" s="124">
        <v>1</v>
      </c>
      <c r="G122" s="124"/>
      <c r="H122" s="130"/>
      <c r="I122" s="96"/>
    </row>
    <row r="123" spans="1:9" s="115" customFormat="1" ht="17.25" x14ac:dyDescent="0.35">
      <c r="A123" s="129" t="s">
        <v>319</v>
      </c>
      <c r="B123" s="124" t="s">
        <v>301</v>
      </c>
      <c r="C123" s="124" t="s">
        <v>116</v>
      </c>
      <c r="D123" s="124"/>
      <c r="E123" s="124"/>
      <c r="F123" s="124"/>
      <c r="G123" s="124" t="s">
        <v>984</v>
      </c>
      <c r="H123" s="130"/>
      <c r="I123" s="96">
        <v>65961</v>
      </c>
    </row>
    <row r="124" spans="1:9" s="115" customFormat="1" ht="17.25" x14ac:dyDescent="0.35">
      <c r="A124" s="129" t="s">
        <v>318</v>
      </c>
      <c r="B124" s="124" t="s">
        <v>318</v>
      </c>
      <c r="C124" s="124"/>
      <c r="D124" s="124" t="s">
        <v>79</v>
      </c>
      <c r="E124" s="124">
        <v>1</v>
      </c>
      <c r="F124" s="124">
        <v>0</v>
      </c>
      <c r="G124" s="124"/>
      <c r="H124" s="130"/>
      <c r="I124" s="96"/>
    </row>
    <row r="125" spans="1:9" s="115" customFormat="1" ht="17.25" x14ac:dyDescent="0.35">
      <c r="A125" s="129" t="s">
        <v>222</v>
      </c>
      <c r="B125" s="124" t="s">
        <v>180</v>
      </c>
      <c r="C125" s="124" t="s">
        <v>81</v>
      </c>
      <c r="D125" s="124"/>
      <c r="E125" s="124"/>
      <c r="F125" s="124"/>
      <c r="G125" s="124" t="s">
        <v>88</v>
      </c>
      <c r="H125" s="130" t="s">
        <v>517</v>
      </c>
      <c r="I125" s="96">
        <v>65777</v>
      </c>
    </row>
    <row r="126" spans="1:9" s="115" customFormat="1" ht="17.25" x14ac:dyDescent="0.35">
      <c r="A126" s="129" t="s">
        <v>321</v>
      </c>
      <c r="B126" s="124" t="s">
        <v>299</v>
      </c>
      <c r="C126" s="124" t="s">
        <v>116</v>
      </c>
      <c r="D126" s="124"/>
      <c r="E126" s="124"/>
      <c r="F126" s="124"/>
      <c r="G126" s="124" t="s">
        <v>88</v>
      </c>
      <c r="H126" s="130"/>
      <c r="I126" s="96">
        <v>66048</v>
      </c>
    </row>
    <row r="127" spans="1:9" s="115" customFormat="1" ht="17.25" x14ac:dyDescent="0.35">
      <c r="A127" s="129" t="s">
        <v>318</v>
      </c>
      <c r="B127" s="124" t="s">
        <v>318</v>
      </c>
      <c r="C127" s="124"/>
      <c r="D127" s="124" t="s">
        <v>79</v>
      </c>
      <c r="E127" s="124">
        <v>1</v>
      </c>
      <c r="F127" s="124">
        <v>2</v>
      </c>
      <c r="G127" s="124"/>
      <c r="H127" s="130"/>
      <c r="I127" s="96"/>
    </row>
    <row r="128" spans="1:9" s="116" customFormat="1" ht="17.25" x14ac:dyDescent="0.35">
      <c r="A128" s="129" t="s">
        <v>322</v>
      </c>
      <c r="B128" s="124" t="s">
        <v>303</v>
      </c>
      <c r="C128" s="124" t="s">
        <v>116</v>
      </c>
      <c r="D128" s="124"/>
      <c r="E128" s="124"/>
      <c r="F128" s="124"/>
      <c r="G128" s="124" t="s">
        <v>88</v>
      </c>
      <c r="H128" s="130"/>
      <c r="I128" s="96">
        <v>67328</v>
      </c>
    </row>
    <row r="129" spans="1:9" s="115" customFormat="1" ht="17.25" x14ac:dyDescent="0.35">
      <c r="A129" s="129" t="s">
        <v>318</v>
      </c>
      <c r="B129" s="124" t="s">
        <v>318</v>
      </c>
      <c r="C129" s="124"/>
      <c r="D129" s="124" t="s">
        <v>79</v>
      </c>
      <c r="E129" s="124">
        <v>1</v>
      </c>
      <c r="F129" s="124">
        <v>1</v>
      </c>
      <c r="G129" s="124"/>
      <c r="H129" s="130"/>
      <c r="I129" s="96"/>
    </row>
    <row r="130" spans="1:9" s="115" customFormat="1" ht="17.25" x14ac:dyDescent="0.35">
      <c r="A130" s="129" t="s">
        <v>344</v>
      </c>
      <c r="B130" s="124" t="s">
        <v>345</v>
      </c>
      <c r="C130" s="124" t="s">
        <v>116</v>
      </c>
      <c r="D130" s="124"/>
      <c r="E130" s="124"/>
      <c r="F130" s="124"/>
      <c r="G130" s="124" t="s">
        <v>984</v>
      </c>
      <c r="H130" s="130"/>
      <c r="I130" s="96">
        <v>65959</v>
      </c>
    </row>
    <row r="131" spans="1:9" s="115" customFormat="1" ht="17.25" x14ac:dyDescent="0.35">
      <c r="A131" s="129" t="s">
        <v>318</v>
      </c>
      <c r="B131" s="124" t="s">
        <v>318</v>
      </c>
      <c r="C131" s="124"/>
      <c r="D131" s="124" t="s">
        <v>79</v>
      </c>
      <c r="E131" s="124">
        <v>2</v>
      </c>
      <c r="F131" s="124">
        <v>0</v>
      </c>
      <c r="G131" s="124"/>
      <c r="H131" s="130"/>
      <c r="I131" s="96"/>
    </row>
    <row r="132" spans="1:9" s="115" customFormat="1" ht="17.25" x14ac:dyDescent="0.35">
      <c r="A132" s="129" t="s">
        <v>346</v>
      </c>
      <c r="B132" s="124" t="s">
        <v>347</v>
      </c>
      <c r="C132" s="124" t="s">
        <v>116</v>
      </c>
      <c r="D132" s="124"/>
      <c r="E132" s="124"/>
      <c r="F132" s="124"/>
      <c r="G132" s="124" t="s">
        <v>984</v>
      </c>
      <c r="H132" s="130"/>
      <c r="I132" s="96">
        <v>65955</v>
      </c>
    </row>
    <row r="133" spans="1:9" s="115" customFormat="1" ht="17.25" x14ac:dyDescent="0.35">
      <c r="A133" s="129" t="s">
        <v>318</v>
      </c>
      <c r="B133" s="124" t="s">
        <v>318</v>
      </c>
      <c r="C133" s="124"/>
      <c r="D133" s="124" t="s">
        <v>79</v>
      </c>
      <c r="E133" s="124">
        <v>1</v>
      </c>
      <c r="F133" s="124">
        <v>0</v>
      </c>
      <c r="G133" s="124"/>
      <c r="H133" s="130"/>
      <c r="I133" s="96"/>
    </row>
    <row r="134" spans="1:9" s="115" customFormat="1" ht="17.25" x14ac:dyDescent="0.35">
      <c r="A134" s="129" t="s">
        <v>348</v>
      </c>
      <c r="B134" s="124" t="s">
        <v>349</v>
      </c>
      <c r="C134" s="124" t="s">
        <v>116</v>
      </c>
      <c r="D134" s="124"/>
      <c r="E134" s="124"/>
      <c r="F134" s="124"/>
      <c r="G134" s="124" t="s">
        <v>984</v>
      </c>
      <c r="H134" s="130"/>
      <c r="I134" s="96">
        <v>65957</v>
      </c>
    </row>
    <row r="135" spans="1:9" s="115" customFormat="1" ht="17.25" x14ac:dyDescent="0.35">
      <c r="A135" s="129" t="s">
        <v>318</v>
      </c>
      <c r="B135" s="124" t="s">
        <v>318</v>
      </c>
      <c r="C135" s="124"/>
      <c r="D135" s="124" t="s">
        <v>79</v>
      </c>
      <c r="E135" s="124">
        <v>1</v>
      </c>
      <c r="F135" s="124">
        <v>0</v>
      </c>
      <c r="G135" s="124"/>
      <c r="H135" s="130"/>
      <c r="I135" s="96"/>
    </row>
    <row r="136" spans="1:9" s="115" customFormat="1" ht="17.25" x14ac:dyDescent="0.35">
      <c r="A136" s="129" t="s">
        <v>293</v>
      </c>
      <c r="B136" s="124" t="s">
        <v>294</v>
      </c>
      <c r="C136" s="124" t="s">
        <v>116</v>
      </c>
      <c r="D136" s="124"/>
      <c r="E136" s="124"/>
      <c r="F136" s="124"/>
      <c r="G136" s="124" t="s">
        <v>984</v>
      </c>
      <c r="H136" s="130"/>
      <c r="I136" s="96">
        <v>67199</v>
      </c>
    </row>
    <row r="137" spans="1:9" s="115" customFormat="1" ht="17.25" x14ac:dyDescent="0.35">
      <c r="A137" s="129" t="s">
        <v>318</v>
      </c>
      <c r="B137" s="124" t="s">
        <v>318</v>
      </c>
      <c r="C137" s="124"/>
      <c r="D137" s="124" t="s">
        <v>79</v>
      </c>
      <c r="E137" s="124">
        <v>1</v>
      </c>
      <c r="F137" s="124">
        <v>1</v>
      </c>
      <c r="G137" s="124"/>
      <c r="H137" s="130"/>
      <c r="I137" s="96"/>
    </row>
    <row r="138" spans="1:9" s="115" customFormat="1" ht="17.25" x14ac:dyDescent="0.35">
      <c r="A138" s="129" t="s">
        <v>350</v>
      </c>
      <c r="B138" s="124" t="s">
        <v>351</v>
      </c>
      <c r="C138" s="124" t="s">
        <v>116</v>
      </c>
      <c r="D138" s="124"/>
      <c r="E138" s="124"/>
      <c r="F138" s="124"/>
      <c r="G138" s="124" t="s">
        <v>984</v>
      </c>
      <c r="H138" s="130"/>
      <c r="I138" s="96">
        <v>65964</v>
      </c>
    </row>
    <row r="139" spans="1:9" s="115" customFormat="1" ht="17.25" x14ac:dyDescent="0.35">
      <c r="A139" s="129" t="s">
        <v>318</v>
      </c>
      <c r="B139" s="124" t="s">
        <v>318</v>
      </c>
      <c r="C139" s="124"/>
      <c r="D139" s="124" t="s">
        <v>79</v>
      </c>
      <c r="E139" s="124">
        <v>1</v>
      </c>
      <c r="F139" s="124">
        <v>1</v>
      </c>
      <c r="G139" s="124"/>
      <c r="H139" s="130"/>
      <c r="I139" s="96"/>
    </row>
    <row r="140" spans="1:9" s="115" customFormat="1" ht="17.25" x14ac:dyDescent="0.35">
      <c r="A140" s="129" t="s">
        <v>352</v>
      </c>
      <c r="B140" s="124" t="s">
        <v>353</v>
      </c>
      <c r="C140" s="124" t="s">
        <v>116</v>
      </c>
      <c r="D140" s="124"/>
      <c r="E140" s="124"/>
      <c r="F140" s="124"/>
      <c r="G140" s="124" t="s">
        <v>984</v>
      </c>
      <c r="H140" s="130"/>
      <c r="I140" s="96">
        <v>65960</v>
      </c>
    </row>
    <row r="141" spans="1:9" s="115" customFormat="1" ht="17.25" x14ac:dyDescent="0.35">
      <c r="A141" s="129" t="s">
        <v>318</v>
      </c>
      <c r="B141" s="124" t="s">
        <v>318</v>
      </c>
      <c r="C141" s="124"/>
      <c r="D141" s="124" t="s">
        <v>79</v>
      </c>
      <c r="E141" s="124">
        <v>1</v>
      </c>
      <c r="F141" s="124">
        <v>1</v>
      </c>
      <c r="G141" s="124"/>
      <c r="H141" s="130"/>
      <c r="I141" s="96"/>
    </row>
    <row r="142" spans="1:9" s="115" customFormat="1" ht="17.25" x14ac:dyDescent="0.35">
      <c r="A142" s="129" t="s">
        <v>354</v>
      </c>
      <c r="B142" s="124" t="s">
        <v>355</v>
      </c>
      <c r="C142" s="124" t="s">
        <v>116</v>
      </c>
      <c r="D142" s="124"/>
      <c r="E142" s="124"/>
      <c r="F142" s="124"/>
      <c r="G142" s="124" t="s">
        <v>984</v>
      </c>
      <c r="H142" s="130"/>
      <c r="I142" s="96">
        <v>67239</v>
      </c>
    </row>
    <row r="143" spans="1:9" s="115" customFormat="1" ht="17.25" x14ac:dyDescent="0.35">
      <c r="A143" s="129" t="s">
        <v>318</v>
      </c>
      <c r="B143" s="124" t="s">
        <v>318</v>
      </c>
      <c r="C143" s="124"/>
      <c r="D143" s="124" t="s">
        <v>79</v>
      </c>
      <c r="E143" s="124">
        <v>4</v>
      </c>
      <c r="F143" s="124">
        <v>2</v>
      </c>
      <c r="G143" s="124"/>
      <c r="H143" s="130"/>
      <c r="I143" s="96"/>
    </row>
    <row r="144" spans="1:9" s="115" customFormat="1" ht="17.25" x14ac:dyDescent="0.35">
      <c r="A144" s="129" t="s">
        <v>356</v>
      </c>
      <c r="B144" s="124" t="s">
        <v>357</v>
      </c>
      <c r="C144" s="124" t="s">
        <v>116</v>
      </c>
      <c r="D144" s="124"/>
      <c r="E144" s="124"/>
      <c r="F144" s="124"/>
      <c r="G144" s="124" t="s">
        <v>984</v>
      </c>
      <c r="H144" s="130"/>
      <c r="I144" s="96">
        <v>67240</v>
      </c>
    </row>
    <row r="145" spans="1:9" s="115" customFormat="1" ht="17.25" x14ac:dyDescent="0.35">
      <c r="A145" s="129" t="s">
        <v>318</v>
      </c>
      <c r="B145" s="124" t="s">
        <v>318</v>
      </c>
      <c r="C145" s="124"/>
      <c r="D145" s="124" t="s">
        <v>79</v>
      </c>
      <c r="E145" s="124">
        <v>1</v>
      </c>
      <c r="F145" s="124">
        <v>0</v>
      </c>
      <c r="G145" s="124"/>
      <c r="H145" s="130"/>
      <c r="I145" s="96"/>
    </row>
    <row r="146" spans="1:9" s="115" customFormat="1" ht="17.25" x14ac:dyDescent="0.35">
      <c r="A146" s="129" t="s">
        <v>358</v>
      </c>
      <c r="B146" s="124" t="s">
        <v>359</v>
      </c>
      <c r="C146" s="124" t="s">
        <v>116</v>
      </c>
      <c r="D146" s="124"/>
      <c r="E146" s="124"/>
      <c r="F146" s="124"/>
      <c r="G146" s="124" t="s">
        <v>984</v>
      </c>
      <c r="H146" s="130"/>
      <c r="I146" s="96">
        <v>67241</v>
      </c>
    </row>
    <row r="147" spans="1:9" s="115" customFormat="1" ht="17.25" x14ac:dyDescent="0.35">
      <c r="A147" s="129" t="s">
        <v>318</v>
      </c>
      <c r="B147" s="124" t="s">
        <v>318</v>
      </c>
      <c r="C147" s="124"/>
      <c r="D147" s="124" t="s">
        <v>79</v>
      </c>
      <c r="E147" s="124">
        <v>1</v>
      </c>
      <c r="F147" s="124">
        <v>0</v>
      </c>
      <c r="G147" s="124"/>
      <c r="H147" s="130"/>
      <c r="I147" s="96"/>
    </row>
    <row r="148" spans="1:9" s="115" customFormat="1" ht="17.25" x14ac:dyDescent="0.35">
      <c r="A148" s="129" t="s">
        <v>370</v>
      </c>
      <c r="B148" s="124" t="s">
        <v>371</v>
      </c>
      <c r="C148" s="124" t="s">
        <v>116</v>
      </c>
      <c r="D148" s="124"/>
      <c r="E148" s="124"/>
      <c r="F148" s="124"/>
      <c r="G148" s="124" t="s">
        <v>984</v>
      </c>
      <c r="H148" s="130"/>
      <c r="I148" s="96">
        <v>67348</v>
      </c>
    </row>
    <row r="149" spans="1:9" s="115" customFormat="1" ht="17.25" x14ac:dyDescent="0.35">
      <c r="A149" s="129" t="s">
        <v>318</v>
      </c>
      <c r="B149" s="124" t="s">
        <v>318</v>
      </c>
      <c r="C149" s="124"/>
      <c r="D149" s="124" t="s">
        <v>79</v>
      </c>
      <c r="E149" s="124">
        <v>1</v>
      </c>
      <c r="F149" s="124">
        <v>15</v>
      </c>
      <c r="G149" s="124"/>
      <c r="H149" s="130"/>
      <c r="I149" s="96" t="s">
        <v>372</v>
      </c>
    </row>
    <row r="150" spans="1:9" s="115" customFormat="1" ht="17.25" x14ac:dyDescent="0.35">
      <c r="A150" s="129" t="s">
        <v>318</v>
      </c>
      <c r="B150" s="124" t="s">
        <v>318</v>
      </c>
      <c r="C150" s="124"/>
      <c r="D150" s="124" t="s">
        <v>79</v>
      </c>
      <c r="E150" s="124">
        <v>1</v>
      </c>
      <c r="F150" s="124">
        <v>0</v>
      </c>
      <c r="G150" s="124"/>
      <c r="H150" s="130"/>
      <c r="I150" s="96" t="s">
        <v>373</v>
      </c>
    </row>
    <row r="151" spans="1:9" s="115" customFormat="1" ht="17.25" x14ac:dyDescent="0.35">
      <c r="A151" s="129" t="s">
        <v>318</v>
      </c>
      <c r="B151" s="124" t="s">
        <v>318</v>
      </c>
      <c r="C151" s="124"/>
      <c r="D151" s="124" t="s">
        <v>79</v>
      </c>
      <c r="E151" s="124">
        <v>4</v>
      </c>
      <c r="F151" s="124">
        <v>1</v>
      </c>
      <c r="G151" s="124"/>
      <c r="H151" s="130"/>
      <c r="I151" s="96" t="s">
        <v>374</v>
      </c>
    </row>
    <row r="152" spans="1:9" s="115" customFormat="1" ht="17.25" x14ac:dyDescent="0.35">
      <c r="A152" s="129" t="s">
        <v>318</v>
      </c>
      <c r="B152" s="124" t="s">
        <v>318</v>
      </c>
      <c r="C152" s="124"/>
      <c r="D152" s="124" t="s">
        <v>79</v>
      </c>
      <c r="E152" s="124">
        <v>1</v>
      </c>
      <c r="F152" s="124">
        <v>0</v>
      </c>
      <c r="G152" s="124"/>
      <c r="H152" s="130"/>
      <c r="I152" s="96" t="s">
        <v>375</v>
      </c>
    </row>
    <row r="153" spans="1:9" s="115" customFormat="1" ht="17.25" x14ac:dyDescent="0.35">
      <c r="A153" s="129" t="s">
        <v>318</v>
      </c>
      <c r="B153" s="124" t="s">
        <v>318</v>
      </c>
      <c r="C153" s="124"/>
      <c r="D153" s="124" t="s">
        <v>79</v>
      </c>
      <c r="E153" s="124">
        <v>1</v>
      </c>
      <c r="F153" s="124">
        <v>0</v>
      </c>
      <c r="G153" s="124"/>
      <c r="H153" s="130"/>
      <c r="I153" s="96" t="s">
        <v>376</v>
      </c>
    </row>
    <row r="154" spans="1:9" s="115" customFormat="1" ht="17.25" x14ac:dyDescent="0.35">
      <c r="A154" s="129" t="s">
        <v>318</v>
      </c>
      <c r="B154" s="124" t="s">
        <v>318</v>
      </c>
      <c r="C154" s="124"/>
      <c r="D154" s="124" t="s">
        <v>79</v>
      </c>
      <c r="E154" s="124">
        <v>1</v>
      </c>
      <c r="F154" s="124">
        <v>0</v>
      </c>
      <c r="G154" s="124"/>
      <c r="H154" s="130"/>
      <c r="I154" s="96" t="s">
        <v>377</v>
      </c>
    </row>
    <row r="155" spans="1:9" s="115" customFormat="1" ht="17.25" x14ac:dyDescent="0.35">
      <c r="A155" s="129" t="s">
        <v>318</v>
      </c>
      <c r="B155" s="124" t="s">
        <v>318</v>
      </c>
      <c r="C155" s="124"/>
      <c r="D155" s="124" t="s">
        <v>79</v>
      </c>
      <c r="E155" s="124">
        <v>1</v>
      </c>
      <c r="F155" s="124">
        <v>0</v>
      </c>
      <c r="G155" s="124"/>
      <c r="H155" s="130"/>
      <c r="I155" s="96" t="s">
        <v>378</v>
      </c>
    </row>
    <row r="156" spans="1:9" s="115" customFormat="1" ht="17.25" x14ac:dyDescent="0.35">
      <c r="A156" s="129" t="s">
        <v>318</v>
      </c>
      <c r="B156" s="124" t="s">
        <v>318</v>
      </c>
      <c r="C156" s="124"/>
      <c r="D156" s="124" t="s">
        <v>80</v>
      </c>
      <c r="E156" s="124">
        <v>16</v>
      </c>
      <c r="F156" s="124"/>
      <c r="G156" s="124"/>
      <c r="H156" s="130"/>
      <c r="I156" s="96" t="s">
        <v>379</v>
      </c>
    </row>
    <row r="157" spans="1:9" s="115" customFormat="1" ht="17.25" x14ac:dyDescent="0.35">
      <c r="A157" s="129" t="s">
        <v>318</v>
      </c>
      <c r="B157" s="124" t="s">
        <v>318</v>
      </c>
      <c r="C157" s="124"/>
      <c r="D157" s="124" t="s">
        <v>79</v>
      </c>
      <c r="E157" s="124">
        <v>1</v>
      </c>
      <c r="F157" s="124">
        <v>0</v>
      </c>
      <c r="G157" s="124"/>
      <c r="H157" s="130"/>
      <c r="I157" s="96" t="s">
        <v>380</v>
      </c>
    </row>
    <row r="158" spans="1:9" s="115" customFormat="1" ht="17.25" x14ac:dyDescent="0.35">
      <c r="A158" s="129" t="s">
        <v>318</v>
      </c>
      <c r="B158" s="124" t="s">
        <v>318</v>
      </c>
      <c r="C158" s="124"/>
      <c r="D158" s="124" t="s">
        <v>79</v>
      </c>
      <c r="E158" s="124">
        <v>1</v>
      </c>
      <c r="F158" s="124">
        <v>0</v>
      </c>
      <c r="G158" s="124"/>
      <c r="H158" s="130"/>
      <c r="I158" s="96" t="s">
        <v>381</v>
      </c>
    </row>
    <row r="159" spans="1:9" s="115" customFormat="1" ht="17.25" x14ac:dyDescent="0.35">
      <c r="A159" s="129" t="s">
        <v>318</v>
      </c>
      <c r="B159" s="124" t="s">
        <v>318</v>
      </c>
      <c r="C159" s="124"/>
      <c r="D159" s="124" t="s">
        <v>79</v>
      </c>
      <c r="E159" s="124">
        <v>1</v>
      </c>
      <c r="F159" s="124">
        <v>0</v>
      </c>
      <c r="G159" s="124"/>
      <c r="H159" s="130"/>
      <c r="I159" s="96" t="s">
        <v>382</v>
      </c>
    </row>
    <row r="160" spans="1:9" s="115" customFormat="1" ht="17.25" x14ac:dyDescent="0.35">
      <c r="A160" s="129"/>
      <c r="B160" s="124"/>
      <c r="C160" s="124"/>
      <c r="D160" s="124" t="s">
        <v>79</v>
      </c>
      <c r="E160" s="124">
        <v>1</v>
      </c>
      <c r="F160" s="124">
        <v>0</v>
      </c>
      <c r="G160" s="124"/>
      <c r="H160" s="130"/>
      <c r="I160" s="96" t="s">
        <v>383</v>
      </c>
    </row>
    <row r="161" spans="1:9" s="115" customFormat="1" ht="17.25" x14ac:dyDescent="0.35">
      <c r="A161" s="129"/>
      <c r="B161" s="124"/>
      <c r="C161" s="124"/>
      <c r="D161" s="124" t="s">
        <v>79</v>
      </c>
      <c r="E161" s="124">
        <v>1</v>
      </c>
      <c r="F161" s="124">
        <v>3</v>
      </c>
      <c r="G161" s="124"/>
      <c r="H161" s="130"/>
      <c r="I161" s="96" t="s">
        <v>384</v>
      </c>
    </row>
    <row r="162" spans="1:9" s="115" customFormat="1" ht="17.25" x14ac:dyDescent="0.35">
      <c r="A162" s="129"/>
      <c r="B162" s="124"/>
      <c r="C162" s="124"/>
      <c r="D162" s="124" t="s">
        <v>79</v>
      </c>
      <c r="E162" s="124">
        <v>1</v>
      </c>
      <c r="F162" s="124">
        <v>1</v>
      </c>
      <c r="G162" s="124"/>
      <c r="H162" s="130"/>
      <c r="I162" s="96" t="s">
        <v>918</v>
      </c>
    </row>
    <row r="163" spans="1:9" s="115" customFormat="1" ht="17.25" x14ac:dyDescent="0.35">
      <c r="A163" s="129"/>
      <c r="B163" s="124"/>
      <c r="C163" s="124"/>
      <c r="D163" s="124" t="s">
        <v>79</v>
      </c>
      <c r="E163" s="124">
        <v>1</v>
      </c>
      <c r="F163" s="124">
        <v>1</v>
      </c>
      <c r="G163" s="124"/>
      <c r="H163" s="130"/>
      <c r="I163" s="96" t="s">
        <v>919</v>
      </c>
    </row>
    <row r="164" spans="1:9" s="115" customFormat="1" ht="17.25" x14ac:dyDescent="0.35">
      <c r="A164" s="129"/>
      <c r="B164" s="124"/>
      <c r="C164" s="124"/>
      <c r="D164" s="124" t="s">
        <v>79</v>
      </c>
      <c r="E164" s="124">
        <v>1</v>
      </c>
      <c r="F164" s="124">
        <v>0</v>
      </c>
      <c r="G164" s="124"/>
      <c r="H164" s="130"/>
      <c r="I164" s="96" t="s">
        <v>920</v>
      </c>
    </row>
    <row r="165" spans="1:9" s="115" customFormat="1" ht="17.25" x14ac:dyDescent="0.35">
      <c r="A165" s="129"/>
      <c r="B165" s="124"/>
      <c r="C165" s="124"/>
      <c r="D165" s="124" t="s">
        <v>79</v>
      </c>
      <c r="E165" s="124">
        <v>1</v>
      </c>
      <c r="F165" s="124">
        <v>0</v>
      </c>
      <c r="G165" s="124"/>
      <c r="H165" s="130"/>
      <c r="I165" s="96" t="s">
        <v>921</v>
      </c>
    </row>
    <row r="166" spans="1:9" s="115" customFormat="1" ht="17.25" x14ac:dyDescent="0.35">
      <c r="A166" s="129"/>
      <c r="B166" s="124"/>
      <c r="C166" s="124"/>
      <c r="D166" s="124" t="s">
        <v>80</v>
      </c>
      <c r="E166" s="124">
        <v>128</v>
      </c>
      <c r="F166" s="124"/>
      <c r="G166" s="124"/>
      <c r="H166" s="130"/>
      <c r="I166" s="96" t="s">
        <v>922</v>
      </c>
    </row>
    <row r="167" spans="1:9" s="115" customFormat="1" ht="17.25" x14ac:dyDescent="0.35">
      <c r="A167" s="129"/>
      <c r="B167" s="124"/>
      <c r="C167" s="124"/>
      <c r="D167" s="124" t="s">
        <v>80</v>
      </c>
      <c r="E167" s="124">
        <v>128</v>
      </c>
      <c r="F167" s="124" t="s">
        <v>440</v>
      </c>
      <c r="G167" s="124"/>
      <c r="H167" s="130"/>
      <c r="I167" s="96" t="s">
        <v>923</v>
      </c>
    </row>
    <row r="168" spans="1:9" s="115" customFormat="1" ht="17.25" x14ac:dyDescent="0.35">
      <c r="A168" s="129"/>
      <c r="B168" s="124"/>
      <c r="C168" s="124"/>
      <c r="D168" s="124" t="s">
        <v>79</v>
      </c>
      <c r="E168" s="124">
        <v>1</v>
      </c>
      <c r="F168" s="124">
        <v>0</v>
      </c>
      <c r="G168" s="124"/>
      <c r="H168" s="130"/>
      <c r="I168" s="96" t="s">
        <v>924</v>
      </c>
    </row>
    <row r="169" spans="1:9" s="115" customFormat="1" ht="17.25" x14ac:dyDescent="0.35">
      <c r="A169" s="129"/>
      <c r="B169" s="124"/>
      <c r="C169" s="124"/>
      <c r="D169" s="124" t="s">
        <v>79</v>
      </c>
      <c r="E169" s="124">
        <v>1</v>
      </c>
      <c r="F169" s="124">
        <v>0</v>
      </c>
      <c r="G169" s="124"/>
      <c r="H169" s="130"/>
      <c r="I169" s="96" t="s">
        <v>925</v>
      </c>
    </row>
    <row r="170" spans="1:9" s="115" customFormat="1" ht="17.25" x14ac:dyDescent="0.35">
      <c r="A170" s="129"/>
      <c r="B170" s="124"/>
      <c r="C170" s="124"/>
      <c r="D170" s="124" t="s">
        <v>79</v>
      </c>
      <c r="E170" s="124">
        <v>1</v>
      </c>
      <c r="F170" s="124">
        <v>0</v>
      </c>
      <c r="G170" s="124"/>
      <c r="H170" s="130"/>
      <c r="I170" s="96" t="s">
        <v>926</v>
      </c>
    </row>
    <row r="171" spans="1:9" s="115" customFormat="1" ht="17.25" x14ac:dyDescent="0.35">
      <c r="A171" s="129"/>
      <c r="B171" s="124"/>
      <c r="C171" s="124"/>
      <c r="D171" s="124" t="s">
        <v>79</v>
      </c>
      <c r="E171" s="124">
        <v>1</v>
      </c>
      <c r="F171" s="124">
        <v>0</v>
      </c>
      <c r="G171" s="124"/>
      <c r="H171" s="130"/>
      <c r="I171" s="96" t="s">
        <v>927</v>
      </c>
    </row>
    <row r="172" spans="1:9" s="115" customFormat="1" ht="17.25" x14ac:dyDescent="0.35">
      <c r="A172" s="129"/>
      <c r="B172" s="124"/>
      <c r="C172" s="124"/>
      <c r="D172" s="124" t="s">
        <v>79</v>
      </c>
      <c r="E172" s="124">
        <v>1</v>
      </c>
      <c r="F172" s="124">
        <v>0</v>
      </c>
      <c r="G172" s="124"/>
      <c r="H172" s="130"/>
      <c r="I172" s="96" t="s">
        <v>928</v>
      </c>
    </row>
    <row r="173" spans="1:9" s="115" customFormat="1" ht="17.25" x14ac:dyDescent="0.35">
      <c r="A173" s="129"/>
      <c r="B173" s="124"/>
      <c r="C173" s="124"/>
      <c r="D173" s="124" t="s">
        <v>79</v>
      </c>
      <c r="E173" s="124">
        <v>1</v>
      </c>
      <c r="F173" s="124">
        <v>0</v>
      </c>
      <c r="G173" s="124"/>
      <c r="H173" s="130"/>
      <c r="I173" s="96" t="s">
        <v>929</v>
      </c>
    </row>
    <row r="174" spans="1:9" s="115" customFormat="1" ht="17.25" x14ac:dyDescent="0.35">
      <c r="A174" s="129"/>
      <c r="B174" s="124"/>
      <c r="C174" s="124"/>
      <c r="D174" s="124" t="s">
        <v>79</v>
      </c>
      <c r="E174" s="124">
        <v>1</v>
      </c>
      <c r="F174" s="124">
        <v>0</v>
      </c>
      <c r="G174" s="124"/>
      <c r="H174" s="130"/>
      <c r="I174" s="96" t="s">
        <v>930</v>
      </c>
    </row>
    <row r="175" spans="1:9" s="115" customFormat="1" ht="17.25" x14ac:dyDescent="0.35">
      <c r="A175" s="129"/>
      <c r="B175" s="124"/>
      <c r="C175" s="124"/>
      <c r="D175" s="124" t="s">
        <v>79</v>
      </c>
      <c r="E175" s="124">
        <v>1</v>
      </c>
      <c r="F175" s="124">
        <v>0</v>
      </c>
      <c r="G175" s="124"/>
      <c r="H175" s="130"/>
      <c r="I175" s="96" t="s">
        <v>931</v>
      </c>
    </row>
    <row r="176" spans="1:9" s="115" customFormat="1" ht="17.25" x14ac:dyDescent="0.35">
      <c r="A176" s="129"/>
      <c r="B176" s="124"/>
      <c r="C176" s="124"/>
      <c r="D176" s="124" t="s">
        <v>79</v>
      </c>
      <c r="E176" s="124">
        <v>4</v>
      </c>
      <c r="F176" s="124">
        <v>0</v>
      </c>
      <c r="G176" s="124"/>
      <c r="H176" s="130"/>
      <c r="I176" s="96" t="s">
        <v>932</v>
      </c>
    </row>
    <row r="177" spans="1:9" s="115" customFormat="1" ht="17.25" x14ac:dyDescent="0.35">
      <c r="A177" s="129"/>
      <c r="B177" s="124"/>
      <c r="C177" s="124"/>
      <c r="D177" s="124" t="s">
        <v>79</v>
      </c>
      <c r="E177" s="124">
        <v>4</v>
      </c>
      <c r="F177" s="124">
        <v>0</v>
      </c>
      <c r="G177" s="124"/>
      <c r="H177" s="130"/>
      <c r="I177" s="96" t="s">
        <v>933</v>
      </c>
    </row>
    <row r="178" spans="1:9" s="115" customFormat="1" ht="17.25" x14ac:dyDescent="0.35">
      <c r="A178" s="129"/>
      <c r="B178" s="124"/>
      <c r="C178" s="124"/>
      <c r="D178" s="124" t="s">
        <v>80</v>
      </c>
      <c r="E178" s="124">
        <v>205</v>
      </c>
      <c r="F178" s="124"/>
      <c r="G178" s="124"/>
      <c r="H178" s="130"/>
      <c r="I178" s="96" t="s">
        <v>437</v>
      </c>
    </row>
    <row r="179" spans="1:9" s="115" customFormat="1" ht="17.25" x14ac:dyDescent="0.35">
      <c r="A179" s="131" t="s">
        <v>114</v>
      </c>
      <c r="B179" s="124" t="s">
        <v>115</v>
      </c>
      <c r="C179" s="124" t="s">
        <v>116</v>
      </c>
      <c r="D179" s="124"/>
      <c r="E179" s="124"/>
      <c r="F179" s="124"/>
      <c r="G179" s="124" t="s">
        <v>984</v>
      </c>
      <c r="H179" s="130"/>
      <c r="I179" s="100">
        <v>67261</v>
      </c>
    </row>
    <row r="180" spans="1:9" s="115" customFormat="1" ht="17.25" x14ac:dyDescent="0.35">
      <c r="A180" s="131"/>
      <c r="B180" s="124"/>
      <c r="C180" s="124"/>
      <c r="D180" s="124" t="s">
        <v>79</v>
      </c>
      <c r="E180" s="124">
        <v>2</v>
      </c>
      <c r="F180" s="124">
        <v>0</v>
      </c>
      <c r="G180" s="124"/>
      <c r="H180" s="130"/>
      <c r="I180" s="100" t="s">
        <v>323</v>
      </c>
    </row>
    <row r="181" spans="1:9" s="115" customFormat="1" ht="17.25" x14ac:dyDescent="0.35">
      <c r="A181" s="131"/>
      <c r="B181" s="124"/>
      <c r="C181" s="124"/>
      <c r="D181" s="124" t="s">
        <v>79</v>
      </c>
      <c r="E181" s="124">
        <v>2</v>
      </c>
      <c r="F181" s="124">
        <v>0</v>
      </c>
      <c r="G181" s="124"/>
      <c r="H181" s="130"/>
      <c r="I181" s="100" t="s">
        <v>934</v>
      </c>
    </row>
    <row r="182" spans="1:9" s="115" customFormat="1" ht="17.25" x14ac:dyDescent="0.35">
      <c r="A182" s="131"/>
      <c r="B182" s="124"/>
      <c r="C182" s="124"/>
      <c r="D182" s="124" t="s">
        <v>79</v>
      </c>
      <c r="E182" s="124">
        <v>1</v>
      </c>
      <c r="F182" s="124">
        <v>0</v>
      </c>
      <c r="G182" s="124"/>
      <c r="H182" s="130"/>
      <c r="I182" s="100" t="s">
        <v>935</v>
      </c>
    </row>
    <row r="183" spans="1:9" s="115" customFormat="1" ht="17.25" x14ac:dyDescent="0.35">
      <c r="A183" s="131"/>
      <c r="B183" s="124"/>
      <c r="C183" s="124"/>
      <c r="D183" s="124" t="s">
        <v>79</v>
      </c>
      <c r="E183" s="124">
        <v>1</v>
      </c>
      <c r="F183" s="124">
        <v>0</v>
      </c>
      <c r="G183" s="124"/>
      <c r="H183" s="130"/>
      <c r="I183" s="100" t="s">
        <v>118</v>
      </c>
    </row>
    <row r="184" spans="1:9" s="115" customFormat="1" ht="17.25" x14ac:dyDescent="0.35">
      <c r="A184" s="131"/>
      <c r="B184" s="124"/>
      <c r="C184" s="124"/>
      <c r="D184" s="124" t="s">
        <v>79</v>
      </c>
      <c r="E184" s="124">
        <v>2</v>
      </c>
      <c r="F184" s="124">
        <v>0</v>
      </c>
      <c r="G184" s="124"/>
      <c r="H184" s="130"/>
      <c r="I184" s="100" t="s">
        <v>325</v>
      </c>
    </row>
    <row r="185" spans="1:9" s="116" customFormat="1" ht="17.25" x14ac:dyDescent="0.35">
      <c r="A185" s="131"/>
      <c r="B185" s="124"/>
      <c r="C185" s="124"/>
      <c r="D185" s="124" t="s">
        <v>79</v>
      </c>
      <c r="E185" s="124">
        <v>4</v>
      </c>
      <c r="F185" s="124">
        <v>0</v>
      </c>
      <c r="G185" s="124"/>
      <c r="H185" s="130"/>
      <c r="I185" s="100" t="s">
        <v>119</v>
      </c>
    </row>
    <row r="186" spans="1:9" s="116" customFormat="1" ht="17.25" x14ac:dyDescent="0.35">
      <c r="A186" s="131"/>
      <c r="B186" s="124"/>
      <c r="C186" s="124"/>
      <c r="D186" s="124" t="s">
        <v>79</v>
      </c>
      <c r="E186" s="124">
        <v>1</v>
      </c>
      <c r="F186" s="124">
        <v>0</v>
      </c>
      <c r="G186" s="124"/>
      <c r="H186" s="130"/>
      <c r="I186" s="100" t="s">
        <v>120</v>
      </c>
    </row>
    <row r="187" spans="1:9" s="116" customFormat="1" ht="17.25" x14ac:dyDescent="0.35">
      <c r="A187" s="131"/>
      <c r="B187" s="124"/>
      <c r="C187" s="124"/>
      <c r="D187" s="124" t="s">
        <v>79</v>
      </c>
      <c r="E187" s="124">
        <v>1</v>
      </c>
      <c r="F187" s="124">
        <v>2</v>
      </c>
      <c r="G187" s="124"/>
      <c r="H187" s="130"/>
      <c r="I187" s="100" t="s">
        <v>121</v>
      </c>
    </row>
    <row r="188" spans="1:9" s="116" customFormat="1" ht="17.25" x14ac:dyDescent="0.35">
      <c r="A188" s="131" t="s">
        <v>163</v>
      </c>
      <c r="B188" s="124" t="s">
        <v>164</v>
      </c>
      <c r="C188" s="124" t="s">
        <v>116</v>
      </c>
      <c r="D188" s="124"/>
      <c r="E188" s="124"/>
      <c r="F188" s="124" t="s">
        <v>6</v>
      </c>
      <c r="G188" s="124" t="s">
        <v>984</v>
      </c>
      <c r="H188" s="130"/>
      <c r="I188" s="100">
        <v>67259</v>
      </c>
    </row>
    <row r="189" spans="1:9" s="116" customFormat="1" ht="17.25" x14ac:dyDescent="0.35">
      <c r="A189" s="131" t="s">
        <v>318</v>
      </c>
      <c r="B189" s="124" t="s">
        <v>318</v>
      </c>
      <c r="C189" s="124"/>
      <c r="D189" s="124" t="s">
        <v>80</v>
      </c>
      <c r="E189" s="124">
        <v>128</v>
      </c>
      <c r="F189" s="124" t="s">
        <v>165</v>
      </c>
      <c r="G189" s="124"/>
      <c r="H189" s="130"/>
      <c r="I189" s="100" t="s">
        <v>166</v>
      </c>
    </row>
    <row r="190" spans="1:9" s="116" customFormat="1" ht="17.25" x14ac:dyDescent="0.35">
      <c r="A190" s="131" t="s">
        <v>318</v>
      </c>
      <c r="B190" s="124" t="s">
        <v>318</v>
      </c>
      <c r="C190" s="124"/>
      <c r="D190" s="124" t="s">
        <v>79</v>
      </c>
      <c r="E190" s="124">
        <v>1</v>
      </c>
      <c r="F190" s="124">
        <v>1</v>
      </c>
      <c r="G190" s="124"/>
      <c r="H190" s="130"/>
      <c r="I190" s="100" t="s">
        <v>167</v>
      </c>
    </row>
    <row r="191" spans="1:9" s="116" customFormat="1" ht="17.25" x14ac:dyDescent="0.35">
      <c r="A191" s="131" t="s">
        <v>318</v>
      </c>
      <c r="B191" s="124" t="s">
        <v>318</v>
      </c>
      <c r="C191" s="124"/>
      <c r="D191" s="124" t="s">
        <v>80</v>
      </c>
      <c r="E191" s="124">
        <v>128</v>
      </c>
      <c r="F191" s="124" t="s">
        <v>254</v>
      </c>
      <c r="G191" s="124"/>
      <c r="H191" s="130"/>
      <c r="I191" s="100" t="s">
        <v>168</v>
      </c>
    </row>
    <row r="192" spans="1:9" s="116" customFormat="1" ht="17.25" x14ac:dyDescent="0.35">
      <c r="A192" s="131" t="s">
        <v>318</v>
      </c>
      <c r="B192" s="124" t="s">
        <v>318</v>
      </c>
      <c r="C192" s="124"/>
      <c r="D192" s="124" t="s">
        <v>80</v>
      </c>
      <c r="E192" s="124">
        <v>64</v>
      </c>
      <c r="F192" s="124" t="s">
        <v>439</v>
      </c>
      <c r="G192" s="124"/>
      <c r="H192" s="130"/>
      <c r="I192" s="100" t="s">
        <v>169</v>
      </c>
    </row>
    <row r="193" spans="1:9" s="116" customFormat="1" ht="17.25" x14ac:dyDescent="0.35">
      <c r="A193" s="131" t="s">
        <v>318</v>
      </c>
      <c r="B193" s="124" t="s">
        <v>318</v>
      </c>
      <c r="C193" s="124"/>
      <c r="D193" s="124" t="s">
        <v>79</v>
      </c>
      <c r="E193" s="124">
        <v>4</v>
      </c>
      <c r="F193" s="124">
        <v>1600</v>
      </c>
      <c r="G193" s="124"/>
      <c r="H193" s="130"/>
      <c r="I193" s="100" t="s">
        <v>170</v>
      </c>
    </row>
    <row r="194" spans="1:9" s="116" customFormat="1" ht="17.25" x14ac:dyDescent="0.35">
      <c r="A194" s="131" t="s">
        <v>318</v>
      </c>
      <c r="B194" s="124" t="s">
        <v>318</v>
      </c>
      <c r="C194" s="124"/>
      <c r="D194" s="124" t="s">
        <v>80</v>
      </c>
      <c r="E194" s="124">
        <v>256</v>
      </c>
      <c r="F194" s="124"/>
      <c r="G194" s="124"/>
      <c r="H194" s="130"/>
      <c r="I194" s="100" t="s">
        <v>171</v>
      </c>
    </row>
    <row r="195" spans="1:9" s="116" customFormat="1" ht="17.25" x14ac:dyDescent="0.35">
      <c r="A195" s="131" t="s">
        <v>318</v>
      </c>
      <c r="B195" s="124" t="s">
        <v>318</v>
      </c>
      <c r="C195" s="124"/>
      <c r="D195" s="124" t="s">
        <v>79</v>
      </c>
      <c r="E195" s="124">
        <v>1</v>
      </c>
      <c r="F195" s="124">
        <v>1</v>
      </c>
      <c r="G195" s="124"/>
      <c r="H195" s="130"/>
      <c r="I195" s="100" t="s">
        <v>172</v>
      </c>
    </row>
    <row r="196" spans="1:9" s="116" customFormat="1" ht="17.25" x14ac:dyDescent="0.35">
      <c r="A196" s="131" t="s">
        <v>240</v>
      </c>
      <c r="B196" s="124" t="s">
        <v>241</v>
      </c>
      <c r="C196" s="124" t="s">
        <v>116</v>
      </c>
      <c r="D196" s="124"/>
      <c r="E196" s="124"/>
      <c r="F196" s="124"/>
      <c r="G196" s="124" t="s">
        <v>984</v>
      </c>
      <c r="H196" s="130"/>
      <c r="I196" s="100">
        <v>69744</v>
      </c>
    </row>
    <row r="197" spans="1:9" s="116" customFormat="1" ht="17.25" x14ac:dyDescent="0.35">
      <c r="A197" s="131" t="s">
        <v>318</v>
      </c>
      <c r="B197" s="124" t="s">
        <v>318</v>
      </c>
      <c r="C197" s="124"/>
      <c r="D197" s="124" t="s">
        <v>79</v>
      </c>
      <c r="E197" s="124">
        <v>1</v>
      </c>
      <c r="F197" s="124">
        <v>1</v>
      </c>
      <c r="G197" s="124"/>
      <c r="H197" s="130"/>
      <c r="I197" s="100" t="s">
        <v>326</v>
      </c>
    </row>
    <row r="198" spans="1:9" s="116" customFormat="1" ht="17.25" x14ac:dyDescent="0.35">
      <c r="A198" s="131" t="s">
        <v>318</v>
      </c>
      <c r="B198" s="124" t="s">
        <v>318</v>
      </c>
      <c r="C198" s="124"/>
      <c r="D198" s="124" t="s">
        <v>79</v>
      </c>
      <c r="E198" s="124">
        <v>2</v>
      </c>
      <c r="F198" s="124">
        <v>5060</v>
      </c>
      <c r="G198" s="124"/>
      <c r="H198" s="130"/>
      <c r="I198" s="100" t="s">
        <v>146</v>
      </c>
    </row>
    <row r="199" spans="1:9" s="116" customFormat="1" ht="17.25" x14ac:dyDescent="0.35">
      <c r="A199" s="131" t="s">
        <v>318</v>
      </c>
      <c r="B199" s="124" t="s">
        <v>318</v>
      </c>
      <c r="C199" s="124"/>
      <c r="D199" s="124" t="s">
        <v>79</v>
      </c>
      <c r="E199" s="124">
        <v>4</v>
      </c>
      <c r="F199" s="124">
        <v>600000</v>
      </c>
      <c r="G199" s="124"/>
      <c r="H199" s="130"/>
      <c r="I199" s="100" t="s">
        <v>147</v>
      </c>
    </row>
    <row r="200" spans="1:9" s="116" customFormat="1" ht="17.25" x14ac:dyDescent="0.35">
      <c r="A200" s="131" t="s">
        <v>318</v>
      </c>
      <c r="B200" s="124" t="s">
        <v>318</v>
      </c>
      <c r="C200" s="124"/>
      <c r="D200" s="124" t="s">
        <v>79</v>
      </c>
      <c r="E200" s="124">
        <v>4</v>
      </c>
      <c r="F200" s="124">
        <v>600000</v>
      </c>
      <c r="G200" s="124"/>
      <c r="H200" s="130"/>
      <c r="I200" s="100" t="s">
        <v>148</v>
      </c>
    </row>
    <row r="201" spans="1:9" s="116" customFormat="1" ht="17.25" x14ac:dyDescent="0.35">
      <c r="A201" s="131" t="s">
        <v>318</v>
      </c>
      <c r="B201" s="124" t="s">
        <v>318</v>
      </c>
      <c r="C201" s="124"/>
      <c r="D201" s="124" t="s">
        <v>79</v>
      </c>
      <c r="E201" s="124">
        <v>4</v>
      </c>
      <c r="F201" s="124">
        <v>3000</v>
      </c>
      <c r="G201" s="124"/>
      <c r="H201" s="130"/>
      <c r="I201" s="100" t="s">
        <v>149</v>
      </c>
    </row>
    <row r="202" spans="1:9" s="116" customFormat="1" ht="17.25" x14ac:dyDescent="0.35">
      <c r="A202" s="131" t="s">
        <v>318</v>
      </c>
      <c r="B202" s="124" t="s">
        <v>318</v>
      </c>
      <c r="C202" s="124"/>
      <c r="D202" s="124" t="s">
        <v>79</v>
      </c>
      <c r="E202" s="124">
        <v>4</v>
      </c>
      <c r="F202" s="124">
        <v>16000</v>
      </c>
      <c r="G202" s="124"/>
      <c r="H202" s="130"/>
      <c r="I202" s="100" t="s">
        <v>150</v>
      </c>
    </row>
    <row r="203" spans="1:9" s="116" customFormat="1" ht="17.25" x14ac:dyDescent="0.35">
      <c r="A203" s="131" t="s">
        <v>318</v>
      </c>
      <c r="B203" s="124" t="s">
        <v>318</v>
      </c>
      <c r="C203" s="124"/>
      <c r="D203" s="124" t="s">
        <v>79</v>
      </c>
      <c r="E203" s="124">
        <v>4</v>
      </c>
      <c r="F203" s="124">
        <v>17000</v>
      </c>
      <c r="G203" s="124"/>
      <c r="H203" s="130"/>
      <c r="I203" s="100" t="s">
        <v>151</v>
      </c>
    </row>
    <row r="204" spans="1:9" s="116" customFormat="1" ht="17.25" x14ac:dyDescent="0.35">
      <c r="A204" s="131" t="s">
        <v>318</v>
      </c>
      <c r="B204" s="124" t="s">
        <v>318</v>
      </c>
      <c r="C204" s="124"/>
      <c r="D204" s="124" t="s">
        <v>79</v>
      </c>
      <c r="E204" s="124">
        <v>4</v>
      </c>
      <c r="F204" s="124">
        <v>30000</v>
      </c>
      <c r="G204" s="124"/>
      <c r="H204" s="130"/>
      <c r="I204" s="100" t="s">
        <v>152</v>
      </c>
    </row>
    <row r="205" spans="1:9" s="116" customFormat="1" ht="17.25" x14ac:dyDescent="0.35">
      <c r="A205" s="131" t="s">
        <v>318</v>
      </c>
      <c r="B205" s="124" t="s">
        <v>318</v>
      </c>
      <c r="C205" s="124"/>
      <c r="D205" s="124" t="s">
        <v>79</v>
      </c>
      <c r="E205" s="124">
        <v>4</v>
      </c>
      <c r="F205" s="124">
        <v>30000</v>
      </c>
      <c r="G205" s="124"/>
      <c r="H205" s="130"/>
      <c r="I205" s="100" t="s">
        <v>327</v>
      </c>
    </row>
    <row r="206" spans="1:9" s="116" customFormat="1" ht="17.25" x14ac:dyDescent="0.35">
      <c r="A206" s="131" t="s">
        <v>318</v>
      </c>
      <c r="B206" s="124" t="s">
        <v>318</v>
      </c>
      <c r="C206" s="124"/>
      <c r="D206" s="124" t="s">
        <v>79</v>
      </c>
      <c r="E206" s="124">
        <v>2</v>
      </c>
      <c r="F206" s="124">
        <v>0</v>
      </c>
      <c r="G206" s="124"/>
      <c r="H206" s="130"/>
      <c r="I206" s="100" t="s">
        <v>153</v>
      </c>
    </row>
    <row r="207" spans="1:9" s="116" customFormat="1" ht="17.25" x14ac:dyDescent="0.35">
      <c r="A207" s="131" t="s">
        <v>318</v>
      </c>
      <c r="B207" s="124" t="s">
        <v>318</v>
      </c>
      <c r="C207" s="124"/>
      <c r="D207" s="124" t="s">
        <v>79</v>
      </c>
      <c r="E207" s="124">
        <v>1</v>
      </c>
      <c r="F207" s="124">
        <v>1</v>
      </c>
      <c r="G207" s="124"/>
      <c r="H207" s="130"/>
      <c r="I207" s="100" t="s">
        <v>154</v>
      </c>
    </row>
    <row r="208" spans="1:9" s="116" customFormat="1" ht="17.25" x14ac:dyDescent="0.35">
      <c r="A208" s="131" t="s">
        <v>318</v>
      </c>
      <c r="B208" s="124" t="s">
        <v>318</v>
      </c>
      <c r="C208" s="124"/>
      <c r="D208" s="124" t="s">
        <v>79</v>
      </c>
      <c r="E208" s="124">
        <v>1</v>
      </c>
      <c r="F208" s="124">
        <v>0</v>
      </c>
      <c r="G208" s="124"/>
      <c r="H208" s="130"/>
      <c r="I208" s="100" t="s">
        <v>155</v>
      </c>
    </row>
    <row r="209" spans="1:9" s="116" customFormat="1" ht="17.25" x14ac:dyDescent="0.35">
      <c r="A209" s="131" t="s">
        <v>318</v>
      </c>
      <c r="B209" s="124" t="s">
        <v>318</v>
      </c>
      <c r="C209" s="124"/>
      <c r="D209" s="124" t="s">
        <v>79</v>
      </c>
      <c r="E209" s="124">
        <v>1</v>
      </c>
      <c r="F209" s="124">
        <v>0</v>
      </c>
      <c r="G209" s="124"/>
      <c r="H209" s="130"/>
      <c r="I209" s="100" t="s">
        <v>156</v>
      </c>
    </row>
    <row r="210" spans="1:9" s="116" customFormat="1" ht="17.25" x14ac:dyDescent="0.35">
      <c r="A210" s="131" t="s">
        <v>318</v>
      </c>
      <c r="B210" s="124" t="s">
        <v>318</v>
      </c>
      <c r="C210" s="124"/>
      <c r="D210" s="124" t="s">
        <v>79</v>
      </c>
      <c r="E210" s="124">
        <v>1</v>
      </c>
      <c r="F210" s="124">
        <v>0</v>
      </c>
      <c r="G210" s="124"/>
      <c r="H210" s="130"/>
      <c r="I210" s="100" t="s">
        <v>157</v>
      </c>
    </row>
    <row r="211" spans="1:9" s="116" customFormat="1" ht="17.25" x14ac:dyDescent="0.35">
      <c r="A211" s="131" t="s">
        <v>318</v>
      </c>
      <c r="B211" s="124" t="s">
        <v>318</v>
      </c>
      <c r="C211" s="124"/>
      <c r="D211" s="124" t="s">
        <v>79</v>
      </c>
      <c r="E211" s="124">
        <v>1</v>
      </c>
      <c r="F211" s="124">
        <v>0</v>
      </c>
      <c r="G211" s="124"/>
      <c r="H211" s="130"/>
      <c r="I211" s="100" t="s">
        <v>158</v>
      </c>
    </row>
    <row r="212" spans="1:9" s="116" customFormat="1" ht="17.25" x14ac:dyDescent="0.35">
      <c r="A212" s="131" t="s">
        <v>318</v>
      </c>
      <c r="B212" s="124" t="s">
        <v>318</v>
      </c>
      <c r="C212" s="124"/>
      <c r="D212" s="124" t="s">
        <v>79</v>
      </c>
      <c r="E212" s="124">
        <v>1</v>
      </c>
      <c r="F212" s="124">
        <v>3</v>
      </c>
      <c r="G212" s="124"/>
      <c r="H212" s="130"/>
      <c r="I212" s="100" t="s">
        <v>159</v>
      </c>
    </row>
    <row r="213" spans="1:9" s="116" customFormat="1" ht="17.25" x14ac:dyDescent="0.35">
      <c r="A213" s="131" t="s">
        <v>318</v>
      </c>
      <c r="B213" s="124" t="s">
        <v>318</v>
      </c>
      <c r="C213" s="124"/>
      <c r="D213" s="124" t="s">
        <v>79</v>
      </c>
      <c r="E213" s="124">
        <v>1</v>
      </c>
      <c r="F213" s="124">
        <v>0</v>
      </c>
      <c r="G213" s="124"/>
      <c r="H213" s="130"/>
      <c r="I213" s="100" t="s">
        <v>160</v>
      </c>
    </row>
    <row r="214" spans="1:9" s="116" customFormat="1" ht="17.25" x14ac:dyDescent="0.35">
      <c r="A214" s="131" t="s">
        <v>318</v>
      </c>
      <c r="B214" s="124" t="s">
        <v>318</v>
      </c>
      <c r="C214" s="124"/>
      <c r="D214" s="124" t="s">
        <v>80</v>
      </c>
      <c r="E214" s="124">
        <v>256</v>
      </c>
      <c r="F214" s="124"/>
      <c r="G214" s="124"/>
      <c r="H214" s="130"/>
      <c r="I214" s="100" t="s">
        <v>161</v>
      </c>
    </row>
    <row r="215" spans="1:9" s="116" customFormat="1" ht="17.25" x14ac:dyDescent="0.35">
      <c r="A215" s="131" t="s">
        <v>318</v>
      </c>
      <c r="B215" s="124" t="s">
        <v>318</v>
      </c>
      <c r="C215" s="124"/>
      <c r="D215" s="124" t="s">
        <v>80</v>
      </c>
      <c r="E215" s="124">
        <v>256</v>
      </c>
      <c r="F215" s="124"/>
      <c r="G215" s="124"/>
      <c r="H215" s="130"/>
      <c r="I215" s="100" t="s">
        <v>162</v>
      </c>
    </row>
    <row r="216" spans="1:9" s="116" customFormat="1" ht="17.25" x14ac:dyDescent="0.35">
      <c r="A216" s="131"/>
      <c r="B216" s="124"/>
      <c r="C216" s="124"/>
      <c r="D216" s="124" t="s">
        <v>79</v>
      </c>
      <c r="E216" s="124">
        <v>1</v>
      </c>
      <c r="F216" s="124"/>
      <c r="G216" s="124"/>
      <c r="H216" s="130"/>
      <c r="I216" s="100" t="s">
        <v>328</v>
      </c>
    </row>
    <row r="217" spans="1:9" s="116" customFormat="1" ht="17.25" x14ac:dyDescent="0.35">
      <c r="A217" s="131"/>
      <c r="B217" s="124"/>
      <c r="C217" s="124"/>
      <c r="D217" s="124" t="s">
        <v>79</v>
      </c>
      <c r="E217" s="124">
        <v>4</v>
      </c>
      <c r="F217" s="124"/>
      <c r="G217" s="124"/>
      <c r="H217" s="130"/>
      <c r="I217" s="100" t="s">
        <v>329</v>
      </c>
    </row>
    <row r="218" spans="1:9" s="116" customFormat="1" ht="17.25" x14ac:dyDescent="0.35">
      <c r="A218" s="131"/>
      <c r="B218" s="124"/>
      <c r="C218" s="124"/>
      <c r="D218" s="124" t="s">
        <v>80</v>
      </c>
      <c r="E218" s="124">
        <v>467</v>
      </c>
      <c r="F218" s="124"/>
      <c r="G218" s="124"/>
      <c r="H218" s="130"/>
      <c r="I218" s="100" t="s">
        <v>437</v>
      </c>
    </row>
    <row r="219" spans="1:9" s="116" customFormat="1" ht="17.25" x14ac:dyDescent="0.35">
      <c r="A219" s="129" t="s">
        <v>385</v>
      </c>
      <c r="B219" s="124" t="s">
        <v>386</v>
      </c>
      <c r="C219" s="124" t="s">
        <v>116</v>
      </c>
      <c r="D219" s="124"/>
      <c r="E219" s="124"/>
      <c r="F219" s="124"/>
      <c r="G219" s="124" t="s">
        <v>984</v>
      </c>
      <c r="H219" s="130"/>
      <c r="I219" s="96">
        <v>67332</v>
      </c>
    </row>
    <row r="220" spans="1:9" s="116" customFormat="1" ht="17.25" x14ac:dyDescent="0.35">
      <c r="A220" s="129" t="s">
        <v>318</v>
      </c>
      <c r="B220" s="124" t="s">
        <v>318</v>
      </c>
      <c r="C220" s="124"/>
      <c r="D220" s="124" t="s">
        <v>79</v>
      </c>
      <c r="E220" s="124">
        <v>1</v>
      </c>
      <c r="F220" s="124">
        <v>2</v>
      </c>
      <c r="G220" s="124"/>
      <c r="H220" s="130"/>
      <c r="I220" s="96" t="s">
        <v>326</v>
      </c>
    </row>
    <row r="221" spans="1:9" s="116" customFormat="1" ht="17.25" x14ac:dyDescent="0.35">
      <c r="A221" s="129" t="s">
        <v>318</v>
      </c>
      <c r="B221" s="124" t="s">
        <v>318</v>
      </c>
      <c r="C221" s="124"/>
      <c r="D221" s="124" t="s">
        <v>79</v>
      </c>
      <c r="E221" s="124">
        <v>2</v>
      </c>
      <c r="F221" s="124">
        <v>1428</v>
      </c>
      <c r="G221" s="124"/>
      <c r="H221" s="130"/>
      <c r="I221" s="96" t="s">
        <v>387</v>
      </c>
    </row>
    <row r="222" spans="1:9" s="116" customFormat="1" ht="17.25" x14ac:dyDescent="0.35">
      <c r="A222" s="129" t="s">
        <v>318</v>
      </c>
      <c r="B222" s="124" t="s">
        <v>318</v>
      </c>
      <c r="C222" s="124"/>
      <c r="D222" s="124" t="s">
        <v>79</v>
      </c>
      <c r="E222" s="124">
        <v>1</v>
      </c>
      <c r="F222" s="124"/>
      <c r="G222" s="124"/>
      <c r="H222" s="130"/>
      <c r="I222" s="96" t="s">
        <v>388</v>
      </c>
    </row>
    <row r="223" spans="1:9" s="116" customFormat="1" ht="17.25" x14ac:dyDescent="0.35">
      <c r="A223" s="129" t="s">
        <v>318</v>
      </c>
      <c r="B223" s="124" t="s">
        <v>318</v>
      </c>
      <c r="C223" s="124"/>
      <c r="D223" s="124" t="s">
        <v>79</v>
      </c>
      <c r="E223" s="124">
        <v>2</v>
      </c>
      <c r="F223" s="124"/>
      <c r="G223" s="124"/>
      <c r="H223" s="130"/>
      <c r="I223" s="96" t="s">
        <v>389</v>
      </c>
    </row>
    <row r="224" spans="1:9" s="116" customFormat="1" ht="17.25" x14ac:dyDescent="0.35">
      <c r="A224" s="129" t="s">
        <v>318</v>
      </c>
      <c r="B224" s="124" t="s">
        <v>318</v>
      </c>
      <c r="C224" s="124"/>
      <c r="D224" s="124" t="s">
        <v>79</v>
      </c>
      <c r="E224" s="124">
        <v>1</v>
      </c>
      <c r="F224" s="124"/>
      <c r="G224" s="124"/>
      <c r="H224" s="130"/>
      <c r="I224" s="96" t="s">
        <v>390</v>
      </c>
    </row>
    <row r="225" spans="1:9" s="115" customFormat="1" ht="17.25" x14ac:dyDescent="0.35">
      <c r="A225" s="129" t="s">
        <v>318</v>
      </c>
      <c r="B225" s="124" t="s">
        <v>318</v>
      </c>
      <c r="C225" s="124"/>
      <c r="D225" s="124" t="s">
        <v>79</v>
      </c>
      <c r="E225" s="124">
        <v>1</v>
      </c>
      <c r="F225" s="124"/>
      <c r="G225" s="124"/>
      <c r="H225" s="130"/>
      <c r="I225" s="96" t="s">
        <v>391</v>
      </c>
    </row>
    <row r="226" spans="1:9" s="115" customFormat="1" ht="17.25" x14ac:dyDescent="0.35">
      <c r="A226" s="129" t="s">
        <v>318</v>
      </c>
      <c r="B226" s="124" t="s">
        <v>318</v>
      </c>
      <c r="C226" s="124"/>
      <c r="D226" s="124" t="s">
        <v>79</v>
      </c>
      <c r="E226" s="124">
        <v>1</v>
      </c>
      <c r="F226" s="124">
        <v>0</v>
      </c>
      <c r="G226" s="124"/>
      <c r="H226" s="130"/>
      <c r="I226" s="96" t="s">
        <v>392</v>
      </c>
    </row>
    <row r="227" spans="1:9" s="115" customFormat="1" ht="17.25" x14ac:dyDescent="0.35">
      <c r="A227" s="129" t="s">
        <v>318</v>
      </c>
      <c r="B227" s="124" t="s">
        <v>318</v>
      </c>
      <c r="C227" s="124"/>
      <c r="D227" s="124" t="s">
        <v>79</v>
      </c>
      <c r="E227" s="124">
        <v>1</v>
      </c>
      <c r="F227" s="124">
        <v>0</v>
      </c>
      <c r="G227" s="124"/>
      <c r="H227" s="130"/>
      <c r="I227" s="96" t="s">
        <v>393</v>
      </c>
    </row>
    <row r="228" spans="1:9" s="115" customFormat="1" ht="17.25" x14ac:dyDescent="0.35">
      <c r="A228" s="129" t="s">
        <v>318</v>
      </c>
      <c r="B228" s="124" t="s">
        <v>318</v>
      </c>
      <c r="C228" s="124"/>
      <c r="D228" s="124" t="s">
        <v>79</v>
      </c>
      <c r="E228" s="124">
        <v>1</v>
      </c>
      <c r="F228" s="124"/>
      <c r="G228" s="124"/>
      <c r="H228" s="130"/>
      <c r="I228" s="96" t="s">
        <v>394</v>
      </c>
    </row>
    <row r="229" spans="1:9" s="115" customFormat="1" ht="17.25" x14ac:dyDescent="0.35">
      <c r="A229" s="129" t="s">
        <v>318</v>
      </c>
      <c r="B229" s="124" t="s">
        <v>318</v>
      </c>
      <c r="C229" s="124"/>
      <c r="D229" s="124" t="s">
        <v>79</v>
      </c>
      <c r="E229" s="124">
        <v>1</v>
      </c>
      <c r="F229" s="124"/>
      <c r="G229" s="124"/>
      <c r="H229" s="130"/>
      <c r="I229" s="96" t="s">
        <v>395</v>
      </c>
    </row>
    <row r="230" spans="1:9" s="115" customFormat="1" ht="17.25" x14ac:dyDescent="0.35">
      <c r="A230" s="129" t="s">
        <v>318</v>
      </c>
      <c r="B230" s="124" t="s">
        <v>318</v>
      </c>
      <c r="C230" s="124"/>
      <c r="D230" s="124" t="s">
        <v>79</v>
      </c>
      <c r="E230" s="124">
        <v>2</v>
      </c>
      <c r="F230" s="124">
        <v>0</v>
      </c>
      <c r="G230" s="124"/>
      <c r="H230" s="130"/>
      <c r="I230" s="96" t="s">
        <v>396</v>
      </c>
    </row>
    <row r="231" spans="1:9" s="115" customFormat="1" ht="17.25" x14ac:dyDescent="0.35">
      <c r="A231" s="129" t="s">
        <v>318</v>
      </c>
      <c r="B231" s="124" t="s">
        <v>318</v>
      </c>
      <c r="C231" s="124"/>
      <c r="D231" s="124" t="s">
        <v>79</v>
      </c>
      <c r="E231" s="124">
        <v>2</v>
      </c>
      <c r="F231" s="124">
        <v>0</v>
      </c>
      <c r="G231" s="124"/>
      <c r="H231" s="130"/>
      <c r="I231" s="96" t="s">
        <v>397</v>
      </c>
    </row>
    <row r="232" spans="1:9" s="115" customFormat="1" ht="17.25" x14ac:dyDescent="0.35">
      <c r="A232" s="129" t="s">
        <v>318</v>
      </c>
      <c r="B232" s="124" t="s">
        <v>318</v>
      </c>
      <c r="C232" s="124"/>
      <c r="D232" s="124" t="s">
        <v>79</v>
      </c>
      <c r="E232" s="124">
        <v>1</v>
      </c>
      <c r="F232" s="124">
        <v>1</v>
      </c>
      <c r="G232" s="124"/>
      <c r="H232" s="130"/>
      <c r="I232" s="96" t="s">
        <v>398</v>
      </c>
    </row>
    <row r="233" spans="1:9" s="115" customFormat="1" ht="17.25" x14ac:dyDescent="0.35">
      <c r="A233" s="129" t="s">
        <v>318</v>
      </c>
      <c r="B233" s="124" t="s">
        <v>318</v>
      </c>
      <c r="C233" s="124"/>
      <c r="D233" s="124" t="s">
        <v>79</v>
      </c>
      <c r="E233" s="124">
        <v>1</v>
      </c>
      <c r="F233" s="124">
        <v>0</v>
      </c>
      <c r="G233" s="124"/>
      <c r="H233" s="130"/>
      <c r="I233" s="96" t="s">
        <v>399</v>
      </c>
    </row>
    <row r="234" spans="1:9" s="115" customFormat="1" ht="17.25" x14ac:dyDescent="0.35">
      <c r="A234" s="129" t="s">
        <v>318</v>
      </c>
      <c r="B234" s="124" t="s">
        <v>318</v>
      </c>
      <c r="C234" s="124"/>
      <c r="D234" s="124" t="s">
        <v>79</v>
      </c>
      <c r="E234" s="124">
        <v>1</v>
      </c>
      <c r="F234" s="124">
        <v>2</v>
      </c>
      <c r="G234" s="124"/>
      <c r="H234" s="130"/>
      <c r="I234" s="96" t="s">
        <v>400</v>
      </c>
    </row>
    <row r="235" spans="1:9" s="115" customFormat="1" ht="17.25" x14ac:dyDescent="0.35">
      <c r="A235" s="129" t="s">
        <v>318</v>
      </c>
      <c r="B235" s="124" t="s">
        <v>318</v>
      </c>
      <c r="C235" s="124"/>
      <c r="D235" s="124" t="s">
        <v>79</v>
      </c>
      <c r="E235" s="124">
        <v>1</v>
      </c>
      <c r="F235" s="124">
        <v>0</v>
      </c>
      <c r="G235" s="124"/>
      <c r="H235" s="130"/>
      <c r="I235" s="96" t="s">
        <v>401</v>
      </c>
    </row>
    <row r="236" spans="1:9" s="115" customFormat="1" ht="17.25" x14ac:dyDescent="0.35">
      <c r="A236" s="129" t="s">
        <v>318</v>
      </c>
      <c r="B236" s="124" t="s">
        <v>318</v>
      </c>
      <c r="C236" s="124"/>
      <c r="D236" s="124" t="s">
        <v>79</v>
      </c>
      <c r="E236" s="124">
        <v>1</v>
      </c>
      <c r="F236" s="124">
        <v>100</v>
      </c>
      <c r="G236" s="124"/>
      <c r="H236" s="130"/>
      <c r="I236" s="96" t="s">
        <v>402</v>
      </c>
    </row>
    <row r="237" spans="1:9" s="115" customFormat="1" ht="17.25" x14ac:dyDescent="0.35">
      <c r="A237" s="129" t="s">
        <v>318</v>
      </c>
      <c r="B237" s="124" t="s">
        <v>318</v>
      </c>
      <c r="C237" s="124"/>
      <c r="D237" s="124" t="s">
        <v>79</v>
      </c>
      <c r="E237" s="124">
        <v>1</v>
      </c>
      <c r="F237" s="124">
        <v>40</v>
      </c>
      <c r="G237" s="124"/>
      <c r="H237" s="130"/>
      <c r="I237" s="96" t="s">
        <v>403</v>
      </c>
    </row>
    <row r="238" spans="1:9" s="115" customFormat="1" ht="17.25" x14ac:dyDescent="0.35">
      <c r="A238" s="129" t="s">
        <v>318</v>
      </c>
      <c r="B238" s="124" t="s">
        <v>318</v>
      </c>
      <c r="C238" s="124"/>
      <c r="D238" s="124" t="s">
        <v>79</v>
      </c>
      <c r="E238" s="124">
        <v>1</v>
      </c>
      <c r="F238" s="124"/>
      <c r="G238" s="124"/>
      <c r="H238" s="130"/>
      <c r="I238" s="96" t="s">
        <v>404</v>
      </c>
    </row>
    <row r="239" spans="1:9" s="115" customFormat="1" ht="17.25" x14ac:dyDescent="0.35">
      <c r="A239" s="129" t="s">
        <v>318</v>
      </c>
      <c r="B239" s="124" t="s">
        <v>318</v>
      </c>
      <c r="C239" s="124"/>
      <c r="D239" s="124" t="s">
        <v>79</v>
      </c>
      <c r="E239" s="124">
        <v>1</v>
      </c>
      <c r="F239" s="124"/>
      <c r="G239" s="124"/>
      <c r="H239" s="130"/>
      <c r="I239" s="96" t="s">
        <v>405</v>
      </c>
    </row>
    <row r="240" spans="1:9" s="115" customFormat="1" ht="17.25" x14ac:dyDescent="0.35">
      <c r="A240" s="129" t="s">
        <v>318</v>
      </c>
      <c r="B240" s="124" t="s">
        <v>318</v>
      </c>
      <c r="C240" s="124"/>
      <c r="D240" s="124" t="s">
        <v>79</v>
      </c>
      <c r="E240" s="124">
        <v>1</v>
      </c>
      <c r="F240" s="124"/>
      <c r="G240" s="124"/>
      <c r="H240" s="130"/>
      <c r="I240" s="96" t="s">
        <v>406</v>
      </c>
    </row>
    <row r="241" spans="1:9" s="115" customFormat="1" ht="17.25" x14ac:dyDescent="0.35">
      <c r="A241" s="129" t="s">
        <v>318</v>
      </c>
      <c r="B241" s="124" t="s">
        <v>318</v>
      </c>
      <c r="C241" s="124"/>
      <c r="D241" s="124" t="s">
        <v>79</v>
      </c>
      <c r="E241" s="124">
        <v>1</v>
      </c>
      <c r="F241" s="124">
        <v>20</v>
      </c>
      <c r="G241" s="124"/>
      <c r="H241" s="130"/>
      <c r="I241" s="96" t="s">
        <v>407</v>
      </c>
    </row>
    <row r="242" spans="1:9" s="115" customFormat="1" ht="17.25" x14ac:dyDescent="0.35">
      <c r="A242" s="129" t="s">
        <v>318</v>
      </c>
      <c r="B242" s="124" t="s">
        <v>318</v>
      </c>
      <c r="C242" s="124"/>
      <c r="D242" s="124" t="s">
        <v>79</v>
      </c>
      <c r="E242" s="124">
        <v>2</v>
      </c>
      <c r="F242" s="124">
        <v>5</v>
      </c>
      <c r="G242" s="124"/>
      <c r="H242" s="130"/>
      <c r="I242" s="96" t="s">
        <v>408</v>
      </c>
    </row>
    <row r="243" spans="1:9" s="115" customFormat="1" ht="17.25" x14ac:dyDescent="0.35">
      <c r="A243" s="129" t="s">
        <v>318</v>
      </c>
      <c r="B243" s="124" t="s">
        <v>318</v>
      </c>
      <c r="C243" s="124"/>
      <c r="D243" s="124" t="s">
        <v>79</v>
      </c>
      <c r="E243" s="124">
        <v>2</v>
      </c>
      <c r="F243" s="124">
        <v>50</v>
      </c>
      <c r="G243" s="124"/>
      <c r="H243" s="130"/>
      <c r="I243" s="96" t="s">
        <v>409</v>
      </c>
    </row>
    <row r="244" spans="1:9" s="115" customFormat="1" ht="17.25" x14ac:dyDescent="0.35">
      <c r="A244" s="129" t="s">
        <v>318</v>
      </c>
      <c r="B244" s="124" t="s">
        <v>318</v>
      </c>
      <c r="C244" s="124"/>
      <c r="D244" s="124" t="s">
        <v>79</v>
      </c>
      <c r="E244" s="124">
        <v>2</v>
      </c>
      <c r="F244" s="124"/>
      <c r="G244" s="124"/>
      <c r="H244" s="130"/>
      <c r="I244" s="96" t="s">
        <v>410</v>
      </c>
    </row>
    <row r="245" spans="1:9" s="115" customFormat="1" ht="17.25" x14ac:dyDescent="0.35">
      <c r="A245" s="129" t="s">
        <v>318</v>
      </c>
      <c r="B245" s="124" t="s">
        <v>318</v>
      </c>
      <c r="C245" s="124"/>
      <c r="D245" s="124" t="s">
        <v>79</v>
      </c>
      <c r="E245" s="124">
        <v>2</v>
      </c>
      <c r="F245" s="124">
        <v>60</v>
      </c>
      <c r="G245" s="124"/>
      <c r="H245" s="130"/>
      <c r="I245" s="96" t="s">
        <v>411</v>
      </c>
    </row>
    <row r="246" spans="1:9" s="115" customFormat="1" ht="17.25" x14ac:dyDescent="0.35">
      <c r="A246" s="129" t="s">
        <v>318</v>
      </c>
      <c r="B246" s="124" t="s">
        <v>318</v>
      </c>
      <c r="C246" s="124"/>
      <c r="D246" s="124" t="s">
        <v>79</v>
      </c>
      <c r="E246" s="124">
        <v>1</v>
      </c>
      <c r="F246" s="124"/>
      <c r="G246" s="124"/>
      <c r="H246" s="130"/>
      <c r="I246" s="96" t="s">
        <v>412</v>
      </c>
    </row>
    <row r="247" spans="1:9" s="115" customFormat="1" ht="17.25" x14ac:dyDescent="0.35">
      <c r="A247" s="129" t="s">
        <v>318</v>
      </c>
      <c r="B247" s="124" t="s">
        <v>318</v>
      </c>
      <c r="C247" s="124"/>
      <c r="D247" s="124" t="s">
        <v>79</v>
      </c>
      <c r="E247" s="124">
        <v>1</v>
      </c>
      <c r="F247" s="124"/>
      <c r="G247" s="124"/>
      <c r="H247" s="130"/>
      <c r="I247" s="96" t="s">
        <v>413</v>
      </c>
    </row>
    <row r="248" spans="1:9" s="115" customFormat="1" ht="17.25" x14ac:dyDescent="0.35">
      <c r="A248" s="129" t="s">
        <v>318</v>
      </c>
      <c r="B248" s="124" t="s">
        <v>318</v>
      </c>
      <c r="C248" s="124"/>
      <c r="D248" s="124" t="s">
        <v>79</v>
      </c>
      <c r="E248" s="124">
        <v>1</v>
      </c>
      <c r="F248" s="124"/>
      <c r="G248" s="124"/>
      <c r="H248" s="130"/>
      <c r="I248" s="96" t="s">
        <v>414</v>
      </c>
    </row>
    <row r="249" spans="1:9" s="115" customFormat="1" ht="17.25" x14ac:dyDescent="0.35">
      <c r="A249" s="129" t="s">
        <v>415</v>
      </c>
      <c r="B249" s="124" t="s">
        <v>416</v>
      </c>
      <c r="C249" s="124" t="s">
        <v>116</v>
      </c>
      <c r="D249" s="124"/>
      <c r="E249" s="124"/>
      <c r="F249" s="124"/>
      <c r="G249" s="124" t="s">
        <v>984</v>
      </c>
      <c r="H249" s="130"/>
      <c r="I249" s="96">
        <v>67314</v>
      </c>
    </row>
    <row r="250" spans="1:9" s="115" customFormat="1" ht="17.25" x14ac:dyDescent="0.35">
      <c r="A250" s="129" t="s">
        <v>318</v>
      </c>
      <c r="B250" s="124" t="s">
        <v>318</v>
      </c>
      <c r="C250" s="124"/>
      <c r="D250" s="124" t="s">
        <v>79</v>
      </c>
      <c r="E250" s="124">
        <v>4</v>
      </c>
      <c r="F250" s="124">
        <v>1200</v>
      </c>
      <c r="G250" s="124"/>
      <c r="H250" s="130"/>
      <c r="I250" s="96" t="s">
        <v>417</v>
      </c>
    </row>
    <row r="251" spans="1:9" s="115" customFormat="1" ht="17.25" x14ac:dyDescent="0.35">
      <c r="A251" s="129" t="s">
        <v>318</v>
      </c>
      <c r="B251" s="124" t="s">
        <v>318</v>
      </c>
      <c r="C251" s="124"/>
      <c r="D251" s="124" t="s">
        <v>79</v>
      </c>
      <c r="E251" s="124">
        <v>4</v>
      </c>
      <c r="F251" s="124">
        <v>86400</v>
      </c>
      <c r="G251" s="124"/>
      <c r="H251" s="130"/>
      <c r="I251" s="96" t="s">
        <v>418</v>
      </c>
    </row>
    <row r="252" spans="1:9" s="115" customFormat="1" ht="17.25" x14ac:dyDescent="0.35">
      <c r="A252" s="129" t="s">
        <v>318</v>
      </c>
      <c r="B252" s="124" t="s">
        <v>318</v>
      </c>
      <c r="C252" s="124"/>
      <c r="D252" s="124" t="s">
        <v>79</v>
      </c>
      <c r="E252" s="124">
        <v>4</v>
      </c>
      <c r="F252" s="124">
        <v>60</v>
      </c>
      <c r="G252" s="124"/>
      <c r="H252" s="130"/>
      <c r="I252" s="96" t="s">
        <v>419</v>
      </c>
    </row>
    <row r="253" spans="1:9" s="115" customFormat="1" ht="17.25" x14ac:dyDescent="0.35">
      <c r="A253" s="129" t="s">
        <v>318</v>
      </c>
      <c r="B253" s="124" t="s">
        <v>318</v>
      </c>
      <c r="C253" s="124"/>
      <c r="D253" s="124" t="s">
        <v>79</v>
      </c>
      <c r="E253" s="124">
        <v>4</v>
      </c>
      <c r="F253" s="124">
        <v>30</v>
      </c>
      <c r="G253" s="124"/>
      <c r="H253" s="130"/>
      <c r="I253" s="96" t="s">
        <v>420</v>
      </c>
    </row>
    <row r="254" spans="1:9" s="115" customFormat="1" ht="17.25" x14ac:dyDescent="0.35">
      <c r="A254" s="129" t="s">
        <v>318</v>
      </c>
      <c r="B254" s="124" t="s">
        <v>318</v>
      </c>
      <c r="C254" s="124"/>
      <c r="D254" s="124" t="s">
        <v>79</v>
      </c>
      <c r="E254" s="124">
        <v>1</v>
      </c>
      <c r="F254" s="124">
        <v>1</v>
      </c>
      <c r="G254" s="124"/>
      <c r="H254" s="130"/>
      <c r="I254" s="96" t="s">
        <v>421</v>
      </c>
    </row>
    <row r="255" spans="1:9" s="115" customFormat="1" ht="17.25" x14ac:dyDescent="0.35">
      <c r="A255" s="129" t="s">
        <v>318</v>
      </c>
      <c r="B255" s="124" t="s">
        <v>318</v>
      </c>
      <c r="C255" s="124"/>
      <c r="D255" s="124" t="s">
        <v>79</v>
      </c>
      <c r="E255" s="124">
        <v>4</v>
      </c>
      <c r="F255" s="124">
        <v>7776000</v>
      </c>
      <c r="G255" s="124"/>
      <c r="H255" s="130"/>
      <c r="I255" s="96" t="s">
        <v>422</v>
      </c>
    </row>
    <row r="256" spans="1:9" s="115" customFormat="1" ht="17.25" x14ac:dyDescent="0.35">
      <c r="A256" s="129" t="s">
        <v>318</v>
      </c>
      <c r="B256" s="124" t="s">
        <v>318</v>
      </c>
      <c r="C256" s="124"/>
      <c r="D256" s="124" t="s">
        <v>79</v>
      </c>
      <c r="E256" s="124">
        <v>4</v>
      </c>
      <c r="F256" s="124">
        <v>60</v>
      </c>
      <c r="G256" s="124"/>
      <c r="H256" s="130"/>
      <c r="I256" s="96" t="s">
        <v>423</v>
      </c>
    </row>
    <row r="257" spans="1:9" s="115" customFormat="1" ht="17.25" x14ac:dyDescent="0.35">
      <c r="A257" s="129" t="s">
        <v>318</v>
      </c>
      <c r="B257" s="124" t="s">
        <v>318</v>
      </c>
      <c r="C257" s="124"/>
      <c r="D257" s="124" t="s">
        <v>79</v>
      </c>
      <c r="E257" s="124">
        <v>4</v>
      </c>
      <c r="F257" s="124">
        <v>604800</v>
      </c>
      <c r="G257" s="124"/>
      <c r="H257" s="130"/>
      <c r="I257" s="96" t="s">
        <v>424</v>
      </c>
    </row>
    <row r="258" spans="1:9" s="115" customFormat="1" ht="17.25" x14ac:dyDescent="0.35">
      <c r="A258" s="129" t="s">
        <v>318</v>
      </c>
      <c r="B258" s="124" t="s">
        <v>318</v>
      </c>
      <c r="C258" s="124"/>
      <c r="D258" s="124" t="s">
        <v>79</v>
      </c>
      <c r="E258" s="124">
        <v>4</v>
      </c>
      <c r="F258" s="124">
        <v>30</v>
      </c>
      <c r="G258" s="124"/>
      <c r="H258" s="130"/>
      <c r="I258" s="96" t="s">
        <v>425</v>
      </c>
    </row>
    <row r="259" spans="1:9" s="115" customFormat="1" ht="17.25" x14ac:dyDescent="0.35">
      <c r="A259" s="129" t="s">
        <v>318</v>
      </c>
      <c r="B259" s="124" t="s">
        <v>318</v>
      </c>
      <c r="C259" s="124"/>
      <c r="D259" s="124" t="s">
        <v>79</v>
      </c>
      <c r="E259" s="124">
        <v>1</v>
      </c>
      <c r="F259" s="124">
        <v>1</v>
      </c>
      <c r="G259" s="124"/>
      <c r="H259" s="130"/>
      <c r="I259" s="96" t="s">
        <v>426</v>
      </c>
    </row>
    <row r="260" spans="1:9" s="115" customFormat="1" ht="17.25" x14ac:dyDescent="0.35">
      <c r="A260" s="129" t="s">
        <v>318</v>
      </c>
      <c r="B260" s="124" t="s">
        <v>318</v>
      </c>
      <c r="C260" s="124"/>
      <c r="D260" s="124" t="s">
        <v>80</v>
      </c>
      <c r="E260" s="124">
        <v>128</v>
      </c>
      <c r="F260" s="124"/>
      <c r="G260" s="124"/>
      <c r="H260" s="130"/>
      <c r="I260" s="96" t="s">
        <v>427</v>
      </c>
    </row>
    <row r="261" spans="1:9" s="115" customFormat="1" ht="17.25" x14ac:dyDescent="0.35">
      <c r="A261" s="129" t="s">
        <v>318</v>
      </c>
      <c r="B261" s="124" t="s">
        <v>318</v>
      </c>
      <c r="C261" s="124"/>
      <c r="D261" s="124" t="s">
        <v>79</v>
      </c>
      <c r="E261" s="124">
        <v>4</v>
      </c>
      <c r="F261" s="124">
        <v>0</v>
      </c>
      <c r="G261" s="124"/>
      <c r="H261" s="130"/>
      <c r="I261" s="96" t="s">
        <v>428</v>
      </c>
    </row>
    <row r="262" spans="1:9" s="115" customFormat="1" ht="17.25" x14ac:dyDescent="0.35">
      <c r="A262" s="129" t="s">
        <v>318</v>
      </c>
      <c r="B262" s="124" t="s">
        <v>318</v>
      </c>
      <c r="C262" s="124"/>
      <c r="D262" s="124" t="s">
        <v>79</v>
      </c>
      <c r="E262" s="124">
        <v>4</v>
      </c>
      <c r="F262" s="124">
        <v>0</v>
      </c>
      <c r="G262" s="124"/>
      <c r="H262" s="130"/>
      <c r="I262" s="96" t="s">
        <v>429</v>
      </c>
    </row>
    <row r="263" spans="1:9" s="115" customFormat="1" ht="17.25" x14ac:dyDescent="0.35">
      <c r="A263" s="129" t="s">
        <v>318</v>
      </c>
      <c r="B263" s="124" t="s">
        <v>318</v>
      </c>
      <c r="C263" s="124"/>
      <c r="D263" s="124" t="s">
        <v>79</v>
      </c>
      <c r="E263" s="124">
        <v>1</v>
      </c>
      <c r="F263" s="124">
        <v>1</v>
      </c>
      <c r="G263" s="124"/>
      <c r="H263" s="130"/>
      <c r="I263" s="96" t="s">
        <v>430</v>
      </c>
    </row>
    <row r="264" spans="1:9" s="115" customFormat="1" ht="17.25" x14ac:dyDescent="0.35">
      <c r="A264" s="129" t="s">
        <v>318</v>
      </c>
      <c r="B264" s="124" t="s">
        <v>318</v>
      </c>
      <c r="C264" s="124"/>
      <c r="D264" s="124" t="s">
        <v>79</v>
      </c>
      <c r="E264" s="124">
        <v>1</v>
      </c>
      <c r="F264" s="124">
        <v>30</v>
      </c>
      <c r="G264" s="124"/>
      <c r="H264" s="130"/>
      <c r="I264" s="96" t="s">
        <v>431</v>
      </c>
    </row>
    <row r="265" spans="1:9" s="115" customFormat="1" ht="17.25" x14ac:dyDescent="0.35">
      <c r="A265" s="129" t="s">
        <v>255</v>
      </c>
      <c r="B265" s="124" t="s">
        <v>256</v>
      </c>
      <c r="C265" s="124" t="s">
        <v>116</v>
      </c>
      <c r="D265" s="124"/>
      <c r="E265" s="124"/>
      <c r="F265" s="124"/>
      <c r="G265" s="124" t="s">
        <v>984</v>
      </c>
      <c r="H265" s="130"/>
      <c r="I265" s="96">
        <v>67257</v>
      </c>
    </row>
    <row r="266" spans="1:9" s="115" customFormat="1" ht="17.25" x14ac:dyDescent="0.35">
      <c r="A266" s="129" t="s">
        <v>318</v>
      </c>
      <c r="B266" s="124" t="s">
        <v>318</v>
      </c>
      <c r="C266" s="124"/>
      <c r="D266" s="124" t="s">
        <v>79</v>
      </c>
      <c r="E266" s="124">
        <v>1</v>
      </c>
      <c r="F266" s="124">
        <v>0</v>
      </c>
      <c r="G266" s="124"/>
      <c r="H266" s="130"/>
      <c r="I266" s="96" t="s">
        <v>330</v>
      </c>
    </row>
    <row r="267" spans="1:9" s="115" customFormat="1" ht="17.25" x14ac:dyDescent="0.35">
      <c r="A267" s="129" t="s">
        <v>318</v>
      </c>
      <c r="B267" s="124" t="s">
        <v>318</v>
      </c>
      <c r="C267" s="124"/>
      <c r="D267" s="124" t="s">
        <v>79</v>
      </c>
      <c r="E267" s="124">
        <v>1</v>
      </c>
      <c r="F267" s="124">
        <v>1</v>
      </c>
      <c r="G267" s="124"/>
      <c r="H267" s="130"/>
      <c r="I267" s="96" t="s">
        <v>331</v>
      </c>
    </row>
    <row r="268" spans="1:9" s="115" customFormat="1" ht="17.25" x14ac:dyDescent="0.35">
      <c r="A268" s="129" t="s">
        <v>318</v>
      </c>
      <c r="B268" s="124" t="s">
        <v>318</v>
      </c>
      <c r="C268" s="124"/>
      <c r="D268" s="124" t="s">
        <v>79</v>
      </c>
      <c r="E268" s="124">
        <v>1</v>
      </c>
      <c r="F268" s="124">
        <v>1</v>
      </c>
      <c r="G268" s="124"/>
      <c r="H268" s="130"/>
      <c r="I268" s="96" t="s">
        <v>332</v>
      </c>
    </row>
    <row r="269" spans="1:9" s="115" customFormat="1" ht="17.25" x14ac:dyDescent="0.35">
      <c r="A269" s="129" t="s">
        <v>318</v>
      </c>
      <c r="B269" s="124" t="s">
        <v>318</v>
      </c>
      <c r="C269" s="124"/>
      <c r="D269" s="124" t="s">
        <v>80</v>
      </c>
      <c r="E269" s="124">
        <v>128</v>
      </c>
      <c r="F269" s="124" t="s">
        <v>333</v>
      </c>
      <c r="G269" s="124"/>
      <c r="H269" s="130"/>
      <c r="I269" s="96" t="s">
        <v>334</v>
      </c>
    </row>
    <row r="270" spans="1:9" s="115" customFormat="1" ht="17.25" x14ac:dyDescent="0.35">
      <c r="A270" s="129" t="s">
        <v>318</v>
      </c>
      <c r="B270" s="124" t="s">
        <v>318</v>
      </c>
      <c r="C270" s="124"/>
      <c r="D270" s="124" t="s">
        <v>79</v>
      </c>
      <c r="E270" s="124">
        <v>2</v>
      </c>
      <c r="F270" s="124">
        <v>90</v>
      </c>
      <c r="G270" s="124"/>
      <c r="H270" s="130"/>
      <c r="I270" s="96" t="s">
        <v>335</v>
      </c>
    </row>
    <row r="271" spans="1:9" s="115" customFormat="1" ht="17.25" x14ac:dyDescent="0.35">
      <c r="A271" s="129" t="s">
        <v>318</v>
      </c>
      <c r="B271" s="124" t="s">
        <v>318</v>
      </c>
      <c r="C271" s="124"/>
      <c r="D271" s="124" t="s">
        <v>79</v>
      </c>
      <c r="E271" s="124">
        <v>2</v>
      </c>
      <c r="F271" s="124">
        <v>90</v>
      </c>
      <c r="G271" s="124"/>
      <c r="H271" s="130"/>
      <c r="I271" s="96" t="s">
        <v>336</v>
      </c>
    </row>
    <row r="272" spans="1:9" s="115" customFormat="1" ht="17.25" x14ac:dyDescent="0.35">
      <c r="A272" s="129" t="s">
        <v>318</v>
      </c>
      <c r="B272" s="124" t="s">
        <v>318</v>
      </c>
      <c r="C272" s="124"/>
      <c r="D272" s="124" t="s">
        <v>79</v>
      </c>
      <c r="E272" s="124">
        <v>1</v>
      </c>
      <c r="F272" s="124">
        <v>1</v>
      </c>
      <c r="G272" s="124"/>
      <c r="H272" s="130"/>
      <c r="I272" s="96" t="s">
        <v>337</v>
      </c>
    </row>
    <row r="273" spans="1:9" s="115" customFormat="1" ht="17.25" x14ac:dyDescent="0.35">
      <c r="A273" s="129" t="s">
        <v>318</v>
      </c>
      <c r="B273" s="124" t="s">
        <v>318</v>
      </c>
      <c r="C273" s="124"/>
      <c r="D273" s="124" t="s">
        <v>80</v>
      </c>
      <c r="E273" s="124">
        <v>128</v>
      </c>
      <c r="F273" s="124" t="s">
        <v>441</v>
      </c>
      <c r="G273" s="124"/>
      <c r="H273" s="130"/>
      <c r="I273" s="96" t="s">
        <v>338</v>
      </c>
    </row>
    <row r="274" spans="1:9" s="115" customFormat="1" ht="17.25" x14ac:dyDescent="0.35">
      <c r="A274" s="129" t="s">
        <v>318</v>
      </c>
      <c r="B274" s="124" t="s">
        <v>318</v>
      </c>
      <c r="C274" s="124"/>
      <c r="D274" s="124" t="s">
        <v>79</v>
      </c>
      <c r="E274" s="124">
        <v>1</v>
      </c>
      <c r="F274" s="124">
        <v>0</v>
      </c>
      <c r="G274" s="124"/>
      <c r="H274" s="130"/>
      <c r="I274" s="96" t="s">
        <v>339</v>
      </c>
    </row>
    <row r="275" spans="1:9" s="115" customFormat="1" ht="17.25" x14ac:dyDescent="0.35">
      <c r="A275" s="129" t="s">
        <v>318</v>
      </c>
      <c r="B275" s="124" t="s">
        <v>318</v>
      </c>
      <c r="C275" s="124"/>
      <c r="D275" s="124" t="s">
        <v>79</v>
      </c>
      <c r="E275" s="124">
        <v>2</v>
      </c>
      <c r="F275" s="124"/>
      <c r="G275" s="124"/>
      <c r="H275" s="130"/>
      <c r="I275" s="96" t="s">
        <v>340</v>
      </c>
    </row>
    <row r="276" spans="1:9" s="115" customFormat="1" ht="17.25" x14ac:dyDescent="0.35">
      <c r="A276" s="129" t="s">
        <v>318</v>
      </c>
      <c r="B276" s="124" t="s">
        <v>318</v>
      </c>
      <c r="C276" s="124"/>
      <c r="D276" s="124" t="s">
        <v>79</v>
      </c>
      <c r="E276" s="124">
        <v>1</v>
      </c>
      <c r="F276" s="124">
        <v>2</v>
      </c>
      <c r="G276" s="124"/>
      <c r="H276" s="130"/>
      <c r="I276" s="96" t="s">
        <v>341</v>
      </c>
    </row>
    <row r="277" spans="1:9" s="115" customFormat="1" ht="17.25" x14ac:dyDescent="0.35">
      <c r="A277" s="129" t="s">
        <v>318</v>
      </c>
      <c r="B277" s="124" t="s">
        <v>318</v>
      </c>
      <c r="C277" s="124"/>
      <c r="D277" s="124" t="s">
        <v>79</v>
      </c>
      <c r="E277" s="124">
        <v>1</v>
      </c>
      <c r="F277" s="124">
        <v>1</v>
      </c>
      <c r="G277" s="124"/>
      <c r="H277" s="130"/>
      <c r="I277" s="96" t="s">
        <v>342</v>
      </c>
    </row>
    <row r="278" spans="1:9" s="115" customFormat="1" ht="17.25" x14ac:dyDescent="0.35">
      <c r="A278" s="129" t="s">
        <v>318</v>
      </c>
      <c r="B278" s="124" t="s">
        <v>318</v>
      </c>
      <c r="C278" s="124"/>
      <c r="D278" s="124" t="s">
        <v>80</v>
      </c>
      <c r="E278" s="124">
        <v>128</v>
      </c>
      <c r="F278" s="124"/>
      <c r="G278" s="124"/>
      <c r="H278" s="130"/>
      <c r="I278" s="96" t="s">
        <v>343</v>
      </c>
    </row>
    <row r="279" spans="1:9" s="115" customFormat="1" ht="17.25" x14ac:dyDescent="0.35">
      <c r="A279" s="129" t="s">
        <v>112</v>
      </c>
      <c r="B279" s="124" t="s">
        <v>113</v>
      </c>
      <c r="C279" s="124" t="s">
        <v>81</v>
      </c>
      <c r="D279" s="124"/>
      <c r="E279" s="124"/>
      <c r="F279" s="124"/>
      <c r="G279" s="124" t="s">
        <v>984</v>
      </c>
      <c r="H279" s="130" t="s">
        <v>518</v>
      </c>
      <c r="I279" s="96">
        <v>67218</v>
      </c>
    </row>
    <row r="280" spans="1:9" s="115" customFormat="1" ht="17.25" x14ac:dyDescent="0.35">
      <c r="A280" s="131" t="s">
        <v>122</v>
      </c>
      <c r="B280" s="124" t="s">
        <v>123</v>
      </c>
      <c r="C280" s="124" t="s">
        <v>116</v>
      </c>
      <c r="D280" s="124"/>
      <c r="E280" s="124"/>
      <c r="F280" s="124"/>
      <c r="G280" s="124" t="s">
        <v>984</v>
      </c>
      <c r="H280" s="130"/>
      <c r="I280" s="100">
        <v>67264</v>
      </c>
    </row>
    <row r="281" spans="1:9" s="115" customFormat="1" ht="17.25" x14ac:dyDescent="0.35">
      <c r="A281" s="131"/>
      <c r="B281" s="124"/>
      <c r="C281" s="124"/>
      <c r="D281" s="124" t="s">
        <v>79</v>
      </c>
      <c r="E281" s="124">
        <v>1</v>
      </c>
      <c r="F281" s="124">
        <v>1</v>
      </c>
      <c r="G281" s="124"/>
      <c r="H281" s="130"/>
      <c r="I281" s="100" t="s">
        <v>287</v>
      </c>
    </row>
    <row r="282" spans="1:9" s="115" customFormat="1" ht="34.5" x14ac:dyDescent="0.35">
      <c r="A282" s="131"/>
      <c r="B282" s="124"/>
      <c r="C282" s="124"/>
      <c r="D282" s="124" t="s">
        <v>79</v>
      </c>
      <c r="E282" s="124">
        <v>1</v>
      </c>
      <c r="F282" s="124">
        <v>3</v>
      </c>
      <c r="G282" s="124"/>
      <c r="H282" s="130"/>
      <c r="I282" s="100" t="s">
        <v>288</v>
      </c>
    </row>
    <row r="283" spans="1:9" s="115" customFormat="1" ht="51.75" x14ac:dyDescent="0.35">
      <c r="A283" s="131"/>
      <c r="B283" s="124"/>
      <c r="C283" s="124"/>
      <c r="D283" s="124" t="s">
        <v>80</v>
      </c>
      <c r="E283" s="124">
        <v>32</v>
      </c>
      <c r="F283" s="124" t="s">
        <v>941</v>
      </c>
      <c r="G283" s="124"/>
      <c r="H283" s="130"/>
      <c r="I283" s="100" t="s">
        <v>289</v>
      </c>
    </row>
    <row r="284" spans="1:9" s="115" customFormat="1" ht="17.25" x14ac:dyDescent="0.35">
      <c r="A284" s="131"/>
      <c r="B284" s="124"/>
      <c r="C284" s="124"/>
      <c r="D284" s="124" t="s">
        <v>79</v>
      </c>
      <c r="E284" s="124">
        <v>1</v>
      </c>
      <c r="F284" s="124">
        <v>1</v>
      </c>
      <c r="G284" s="124"/>
      <c r="H284" s="130"/>
      <c r="I284" s="100" t="s">
        <v>124</v>
      </c>
    </row>
    <row r="285" spans="1:9" s="115" customFormat="1" ht="17.25" x14ac:dyDescent="0.35">
      <c r="A285" s="131"/>
      <c r="B285" s="124"/>
      <c r="C285" s="124"/>
      <c r="D285" s="124" t="s">
        <v>79</v>
      </c>
      <c r="E285" s="124">
        <v>1</v>
      </c>
      <c r="F285" s="124">
        <v>1</v>
      </c>
      <c r="G285" s="124"/>
      <c r="H285" s="130"/>
      <c r="I285" s="100" t="s">
        <v>125</v>
      </c>
    </row>
    <row r="286" spans="1:9" s="115" customFormat="1" ht="17.25" x14ac:dyDescent="0.35">
      <c r="A286" s="131"/>
      <c r="B286" s="124"/>
      <c r="C286" s="124"/>
      <c r="D286" s="124" t="s">
        <v>79</v>
      </c>
      <c r="E286" s="124">
        <v>1</v>
      </c>
      <c r="F286" s="124">
        <v>0</v>
      </c>
      <c r="G286" s="124"/>
      <c r="H286" s="130"/>
      <c r="I286" s="100" t="s">
        <v>126</v>
      </c>
    </row>
    <row r="287" spans="1:9" s="115" customFormat="1" ht="17.25" x14ac:dyDescent="0.35">
      <c r="A287" s="131"/>
      <c r="B287" s="124"/>
      <c r="C287" s="124"/>
      <c r="D287" s="124" t="s">
        <v>79</v>
      </c>
      <c r="E287" s="124">
        <v>1</v>
      </c>
      <c r="F287" s="124">
        <v>1</v>
      </c>
      <c r="G287" s="124"/>
      <c r="H287" s="130"/>
      <c r="I287" s="100" t="s">
        <v>127</v>
      </c>
    </row>
    <row r="288" spans="1:9" s="115" customFormat="1" ht="17.25" x14ac:dyDescent="0.35">
      <c r="A288" s="131"/>
      <c r="B288" s="124"/>
      <c r="C288" s="124"/>
      <c r="D288" s="124" t="s">
        <v>80</v>
      </c>
      <c r="E288" s="124">
        <v>256</v>
      </c>
      <c r="F288" s="124"/>
      <c r="G288" s="124"/>
      <c r="H288" s="130"/>
      <c r="I288" s="100" t="s">
        <v>128</v>
      </c>
    </row>
    <row r="289" spans="1:9" s="115" customFormat="1" ht="17.25" x14ac:dyDescent="0.35">
      <c r="A289" s="131"/>
      <c r="B289" s="124"/>
      <c r="C289" s="124"/>
      <c r="D289" s="124" t="s">
        <v>79</v>
      </c>
      <c r="E289" s="124">
        <v>1</v>
      </c>
      <c r="F289" s="124">
        <v>10</v>
      </c>
      <c r="G289" s="124"/>
      <c r="H289" s="130"/>
      <c r="I289" s="100" t="s">
        <v>273</v>
      </c>
    </row>
    <row r="290" spans="1:9" s="115" customFormat="1" ht="17.25" x14ac:dyDescent="0.35">
      <c r="A290" s="131"/>
      <c r="B290" s="124"/>
      <c r="C290" s="124"/>
      <c r="D290" s="124" t="s">
        <v>79</v>
      </c>
      <c r="E290" s="124">
        <v>1</v>
      </c>
      <c r="F290" s="124">
        <v>0</v>
      </c>
      <c r="G290" s="124"/>
      <c r="H290" s="130"/>
      <c r="I290" s="100" t="s">
        <v>129</v>
      </c>
    </row>
    <row r="291" spans="1:9" s="115" customFormat="1" ht="17.25" x14ac:dyDescent="0.35">
      <c r="A291" s="131"/>
      <c r="B291" s="124"/>
      <c r="C291" s="124"/>
      <c r="D291" s="124" t="s">
        <v>79</v>
      </c>
      <c r="E291" s="124">
        <v>1</v>
      </c>
      <c r="F291" s="124">
        <v>0</v>
      </c>
      <c r="G291" s="124"/>
      <c r="H291" s="130"/>
      <c r="I291" s="100" t="s">
        <v>130</v>
      </c>
    </row>
    <row r="292" spans="1:9" s="115" customFormat="1" ht="17.25" x14ac:dyDescent="0.35">
      <c r="A292" s="131"/>
      <c r="B292" s="124"/>
      <c r="C292" s="124"/>
      <c r="D292" s="124" t="s">
        <v>79</v>
      </c>
      <c r="E292" s="124">
        <v>2</v>
      </c>
      <c r="F292" s="124">
        <v>0</v>
      </c>
      <c r="G292" s="124"/>
      <c r="H292" s="130"/>
      <c r="I292" s="100" t="s">
        <v>131</v>
      </c>
    </row>
    <row r="293" spans="1:9" s="115" customFormat="1" ht="17.25" x14ac:dyDescent="0.35">
      <c r="A293" s="131"/>
      <c r="B293" s="124"/>
      <c r="C293" s="124"/>
      <c r="D293" s="124" t="s">
        <v>79</v>
      </c>
      <c r="E293" s="124">
        <v>1</v>
      </c>
      <c r="F293" s="124">
        <v>0</v>
      </c>
      <c r="G293" s="124"/>
      <c r="H293" s="130"/>
      <c r="I293" s="100" t="s">
        <v>132</v>
      </c>
    </row>
    <row r="294" spans="1:9" s="115" customFormat="1" ht="17.25" x14ac:dyDescent="0.35">
      <c r="A294" s="131"/>
      <c r="B294" s="124"/>
      <c r="C294" s="124"/>
      <c r="D294" s="124" t="s">
        <v>79</v>
      </c>
      <c r="E294" s="124">
        <v>1</v>
      </c>
      <c r="F294" s="124">
        <v>0</v>
      </c>
      <c r="G294" s="124"/>
      <c r="H294" s="130"/>
      <c r="I294" s="100" t="s">
        <v>133</v>
      </c>
    </row>
    <row r="295" spans="1:9" s="115" customFormat="1" ht="17.25" x14ac:dyDescent="0.35">
      <c r="A295" s="131"/>
      <c r="B295" s="124"/>
      <c r="C295" s="124"/>
      <c r="D295" s="124" t="s">
        <v>80</v>
      </c>
      <c r="E295" s="124">
        <v>32</v>
      </c>
      <c r="F295" s="124" t="s">
        <v>942</v>
      </c>
      <c r="G295" s="124"/>
      <c r="H295" s="130"/>
      <c r="I295" s="100" t="s">
        <v>134</v>
      </c>
    </row>
    <row r="296" spans="1:9" s="115" customFormat="1" ht="17.25" x14ac:dyDescent="0.35">
      <c r="A296" s="131"/>
      <c r="B296" s="124"/>
      <c r="C296" s="124"/>
      <c r="D296" s="124" t="s">
        <v>80</v>
      </c>
      <c r="E296" s="124">
        <v>32</v>
      </c>
      <c r="F296" s="124"/>
      <c r="G296" s="124"/>
      <c r="H296" s="130"/>
      <c r="I296" s="100" t="s">
        <v>135</v>
      </c>
    </row>
    <row r="297" spans="1:9" s="115" customFormat="1" ht="17.25" x14ac:dyDescent="0.35">
      <c r="A297" s="131"/>
      <c r="B297" s="124"/>
      <c r="C297" s="124"/>
      <c r="D297" s="124" t="s">
        <v>79</v>
      </c>
      <c r="E297" s="124">
        <v>1</v>
      </c>
      <c r="F297" s="124">
        <v>30</v>
      </c>
      <c r="G297" s="124"/>
      <c r="H297" s="130"/>
      <c r="I297" s="100" t="s">
        <v>136</v>
      </c>
    </row>
    <row r="298" spans="1:9" s="115" customFormat="1" ht="17.25" x14ac:dyDescent="0.35">
      <c r="A298" s="131"/>
      <c r="B298" s="124"/>
      <c r="C298" s="124"/>
      <c r="D298" s="124" t="s">
        <v>80</v>
      </c>
      <c r="E298" s="124">
        <v>32</v>
      </c>
      <c r="F298" s="124">
        <v>10</v>
      </c>
      <c r="G298" s="124"/>
      <c r="H298" s="130"/>
      <c r="I298" s="100" t="s">
        <v>137</v>
      </c>
    </row>
    <row r="299" spans="1:9" s="115" customFormat="1" ht="17.25" x14ac:dyDescent="0.35">
      <c r="A299" s="131"/>
      <c r="B299" s="124"/>
      <c r="C299" s="124"/>
      <c r="D299" s="124" t="s">
        <v>79</v>
      </c>
      <c r="E299" s="124">
        <v>1</v>
      </c>
      <c r="F299" s="124">
        <v>1</v>
      </c>
      <c r="G299" s="124"/>
      <c r="H299" s="130"/>
      <c r="I299" s="100" t="s">
        <v>138</v>
      </c>
    </row>
    <row r="300" spans="1:9" s="115" customFormat="1" ht="17.25" x14ac:dyDescent="0.35">
      <c r="A300" s="131"/>
      <c r="B300" s="124"/>
      <c r="C300" s="124"/>
      <c r="D300" s="124" t="s">
        <v>79</v>
      </c>
      <c r="E300" s="124">
        <v>1</v>
      </c>
      <c r="F300" s="124">
        <v>15</v>
      </c>
      <c r="G300" s="124"/>
      <c r="H300" s="130"/>
      <c r="I300" s="100" t="s">
        <v>139</v>
      </c>
    </row>
    <row r="301" spans="1:9" s="115" customFormat="1" ht="17.25" x14ac:dyDescent="0.35">
      <c r="A301" s="131"/>
      <c r="B301" s="124"/>
      <c r="C301" s="124"/>
      <c r="D301" s="124" t="s">
        <v>79</v>
      </c>
      <c r="E301" s="124">
        <v>1</v>
      </c>
      <c r="F301" s="124">
        <v>2</v>
      </c>
      <c r="G301" s="124"/>
      <c r="H301" s="130"/>
      <c r="I301" s="100" t="s">
        <v>140</v>
      </c>
    </row>
    <row r="302" spans="1:9" s="115" customFormat="1" ht="17.25" x14ac:dyDescent="0.35">
      <c r="A302" s="131"/>
      <c r="B302" s="124"/>
      <c r="C302" s="124"/>
      <c r="D302" s="124" t="s">
        <v>79</v>
      </c>
      <c r="E302" s="124">
        <v>1</v>
      </c>
      <c r="F302" s="124">
        <v>30</v>
      </c>
      <c r="G302" s="124"/>
      <c r="H302" s="130"/>
      <c r="I302" s="100" t="s">
        <v>141</v>
      </c>
    </row>
    <row r="303" spans="1:9" s="115" customFormat="1" ht="17.25" x14ac:dyDescent="0.35">
      <c r="A303" s="131"/>
      <c r="B303" s="124"/>
      <c r="C303" s="124"/>
      <c r="D303" s="124" t="s">
        <v>79</v>
      </c>
      <c r="E303" s="124">
        <v>1</v>
      </c>
      <c r="F303" s="124">
        <v>0</v>
      </c>
      <c r="G303" s="124"/>
      <c r="H303" s="130"/>
      <c r="I303" s="100" t="s">
        <v>142</v>
      </c>
    </row>
    <row r="304" spans="1:9" s="115" customFormat="1" ht="17.25" x14ac:dyDescent="0.35">
      <c r="A304" s="131"/>
      <c r="B304" s="124"/>
      <c r="C304" s="124"/>
      <c r="D304" s="124" t="s">
        <v>79</v>
      </c>
      <c r="E304" s="124">
        <v>2</v>
      </c>
      <c r="F304" s="124">
        <v>5060</v>
      </c>
      <c r="G304" s="124"/>
      <c r="H304" s="130"/>
      <c r="I304" s="100" t="s">
        <v>143</v>
      </c>
    </row>
    <row r="305" spans="1:9" s="115" customFormat="1" ht="17.25" x14ac:dyDescent="0.35">
      <c r="A305" s="132" t="s">
        <v>806</v>
      </c>
      <c r="B305" s="124" t="s">
        <v>807</v>
      </c>
      <c r="C305" s="124" t="s">
        <v>116</v>
      </c>
      <c r="D305" s="124"/>
      <c r="E305" s="124"/>
      <c r="F305" s="124"/>
      <c r="G305" s="124" t="s">
        <v>984</v>
      </c>
      <c r="H305" s="130"/>
      <c r="I305" s="101">
        <v>71527</v>
      </c>
    </row>
    <row r="306" spans="1:9" s="115" customFormat="1" ht="17.25" x14ac:dyDescent="0.35">
      <c r="A306" s="132"/>
      <c r="B306" s="124"/>
      <c r="C306" s="124"/>
      <c r="D306" s="124" t="s">
        <v>79</v>
      </c>
      <c r="E306" s="124">
        <v>1</v>
      </c>
      <c r="F306" s="124">
        <v>0</v>
      </c>
      <c r="G306" s="124"/>
      <c r="H306" s="130"/>
      <c r="I306" s="101" t="s">
        <v>372</v>
      </c>
    </row>
    <row r="307" spans="1:9" s="115" customFormat="1" ht="17.25" x14ac:dyDescent="0.35">
      <c r="A307" s="132"/>
      <c r="B307" s="124"/>
      <c r="C307" s="124"/>
      <c r="D307" s="124" t="s">
        <v>79</v>
      </c>
      <c r="E307" s="124">
        <v>2</v>
      </c>
      <c r="F307" s="124">
        <v>16</v>
      </c>
      <c r="G307" s="124"/>
      <c r="H307" s="130"/>
      <c r="I307" s="101" t="s">
        <v>808</v>
      </c>
    </row>
    <row r="308" spans="1:9" s="115" customFormat="1" ht="17.25" x14ac:dyDescent="0.35">
      <c r="A308" s="132"/>
      <c r="B308" s="124"/>
      <c r="C308" s="124"/>
      <c r="D308" s="124" t="s">
        <v>79</v>
      </c>
      <c r="E308" s="124">
        <v>1</v>
      </c>
      <c r="F308" s="124">
        <v>17</v>
      </c>
      <c r="G308" s="124"/>
      <c r="H308" s="130"/>
      <c r="I308" s="101" t="s">
        <v>809</v>
      </c>
    </row>
    <row r="309" spans="1:9" s="115" customFormat="1" ht="17.25" x14ac:dyDescent="0.35">
      <c r="A309" s="132"/>
      <c r="B309" s="124"/>
      <c r="C309" s="124"/>
      <c r="D309" s="124" t="s">
        <v>79</v>
      </c>
      <c r="E309" s="124">
        <v>2</v>
      </c>
      <c r="F309" s="124">
        <v>263</v>
      </c>
      <c r="G309" s="124"/>
      <c r="H309" s="130"/>
      <c r="I309" s="101" t="s">
        <v>810</v>
      </c>
    </row>
    <row r="310" spans="1:9" s="115" customFormat="1" ht="17.25" x14ac:dyDescent="0.35">
      <c r="A310" s="132"/>
      <c r="B310" s="124"/>
      <c r="C310" s="124"/>
      <c r="D310" s="124" t="s">
        <v>79</v>
      </c>
      <c r="E310" s="124">
        <v>1</v>
      </c>
      <c r="F310" s="124">
        <v>200</v>
      </c>
      <c r="G310" s="124"/>
      <c r="H310" s="130"/>
      <c r="I310" s="101" t="s">
        <v>811</v>
      </c>
    </row>
    <row r="311" spans="1:9" s="116" customFormat="1" ht="17.25" x14ac:dyDescent="0.35">
      <c r="A311" s="132"/>
      <c r="B311" s="124"/>
      <c r="C311" s="124"/>
      <c r="D311" s="124" t="s">
        <v>79</v>
      </c>
      <c r="E311" s="124">
        <v>1</v>
      </c>
      <c r="F311" s="124">
        <v>32</v>
      </c>
      <c r="G311" s="124"/>
      <c r="H311" s="130"/>
      <c r="I311" s="101" t="s">
        <v>812</v>
      </c>
    </row>
    <row r="312" spans="1:9" s="116" customFormat="1" ht="17.25" x14ac:dyDescent="0.35">
      <c r="A312" s="132"/>
      <c r="B312" s="124"/>
      <c r="C312" s="124"/>
      <c r="D312" s="124" t="s">
        <v>79</v>
      </c>
      <c r="E312" s="124">
        <v>2</v>
      </c>
      <c r="F312" s="124">
        <v>8</v>
      </c>
      <c r="G312" s="124"/>
      <c r="H312" s="130"/>
      <c r="I312" s="101" t="s">
        <v>813</v>
      </c>
    </row>
    <row r="313" spans="1:9" s="116" customFormat="1" ht="17.25" x14ac:dyDescent="0.35">
      <c r="A313" s="132"/>
      <c r="B313" s="124"/>
      <c r="C313" s="124"/>
      <c r="D313" s="124" t="s">
        <v>79</v>
      </c>
      <c r="E313" s="124">
        <v>1</v>
      </c>
      <c r="F313" s="124">
        <v>17</v>
      </c>
      <c r="G313" s="124"/>
      <c r="H313" s="130"/>
      <c r="I313" s="101" t="s">
        <v>814</v>
      </c>
    </row>
    <row r="314" spans="1:9" s="116" customFormat="1" ht="17.25" x14ac:dyDescent="0.35">
      <c r="A314" s="132"/>
      <c r="B314" s="124"/>
      <c r="C314" s="124"/>
      <c r="D314" s="124" t="s">
        <v>79</v>
      </c>
      <c r="E314" s="124">
        <v>2</v>
      </c>
      <c r="F314" s="124">
        <v>260</v>
      </c>
      <c r="G314" s="124"/>
      <c r="H314" s="130"/>
      <c r="I314" s="101" t="s">
        <v>815</v>
      </c>
    </row>
    <row r="315" spans="1:9" s="116" customFormat="1" ht="17.25" x14ac:dyDescent="0.35">
      <c r="A315" s="132"/>
      <c r="B315" s="124"/>
      <c r="C315" s="124"/>
      <c r="D315" s="124" t="s">
        <v>79</v>
      </c>
      <c r="E315" s="124">
        <v>1</v>
      </c>
      <c r="F315" s="124">
        <v>200</v>
      </c>
      <c r="G315" s="124"/>
      <c r="H315" s="130"/>
      <c r="I315" s="101" t="s">
        <v>816</v>
      </c>
    </row>
    <row r="316" spans="1:9" s="116" customFormat="1" ht="17.25" x14ac:dyDescent="0.35">
      <c r="A316" s="132"/>
      <c r="B316" s="124"/>
      <c r="C316" s="124"/>
      <c r="D316" s="124" t="s">
        <v>79</v>
      </c>
      <c r="E316" s="124">
        <v>1</v>
      </c>
      <c r="F316" s="124">
        <v>80</v>
      </c>
      <c r="G316" s="124"/>
      <c r="H316" s="130"/>
      <c r="I316" s="101" t="s">
        <v>817</v>
      </c>
    </row>
    <row r="317" spans="1:9" s="116" customFormat="1" ht="17.25" x14ac:dyDescent="0.35">
      <c r="A317" s="132"/>
      <c r="B317" s="124"/>
      <c r="C317" s="124"/>
      <c r="D317" s="124" t="s">
        <v>79</v>
      </c>
      <c r="E317" s="124">
        <v>2</v>
      </c>
      <c r="F317" s="124">
        <v>0</v>
      </c>
      <c r="G317" s="124"/>
      <c r="H317" s="130"/>
      <c r="I317" s="101" t="s">
        <v>818</v>
      </c>
    </row>
    <row r="318" spans="1:9" s="116" customFormat="1" ht="17.25" x14ac:dyDescent="0.35">
      <c r="A318" s="132"/>
      <c r="B318" s="124"/>
      <c r="C318" s="124"/>
      <c r="D318" s="124" t="s">
        <v>79</v>
      </c>
      <c r="E318" s="124">
        <v>1</v>
      </c>
      <c r="F318" s="124">
        <v>0</v>
      </c>
      <c r="G318" s="124"/>
      <c r="H318" s="130"/>
      <c r="I318" s="101" t="s">
        <v>819</v>
      </c>
    </row>
    <row r="319" spans="1:9" s="116" customFormat="1" ht="17.25" x14ac:dyDescent="0.35">
      <c r="A319" s="132"/>
      <c r="B319" s="124"/>
      <c r="C319" s="124"/>
      <c r="D319" s="124" t="s">
        <v>79</v>
      </c>
      <c r="E319" s="124">
        <v>2</v>
      </c>
      <c r="F319" s="124">
        <v>0</v>
      </c>
      <c r="G319" s="124"/>
      <c r="H319" s="130"/>
      <c r="I319" s="101" t="s">
        <v>820</v>
      </c>
    </row>
    <row r="320" spans="1:9" s="116" customFormat="1" ht="17.25" x14ac:dyDescent="0.35">
      <c r="A320" s="132"/>
      <c r="B320" s="124"/>
      <c r="C320" s="124"/>
      <c r="D320" s="124" t="s">
        <v>79</v>
      </c>
      <c r="E320" s="124">
        <v>1</v>
      </c>
      <c r="F320" s="124">
        <v>0</v>
      </c>
      <c r="G320" s="124"/>
      <c r="H320" s="130"/>
      <c r="I320" s="101" t="s">
        <v>821</v>
      </c>
    </row>
    <row r="321" spans="1:9" s="116" customFormat="1" ht="17.25" x14ac:dyDescent="0.35">
      <c r="A321" s="132"/>
      <c r="B321" s="124"/>
      <c r="C321" s="124"/>
      <c r="D321" s="124" t="s">
        <v>79</v>
      </c>
      <c r="E321" s="124">
        <v>1</v>
      </c>
      <c r="F321" s="124">
        <v>0</v>
      </c>
      <c r="G321" s="124"/>
      <c r="H321" s="130"/>
      <c r="I321" s="101" t="s">
        <v>822</v>
      </c>
    </row>
    <row r="322" spans="1:9" s="116" customFormat="1" ht="17.25" x14ac:dyDescent="0.35">
      <c r="A322" s="132"/>
      <c r="B322" s="124"/>
      <c r="C322" s="124"/>
      <c r="D322" s="124" t="s">
        <v>79</v>
      </c>
      <c r="E322" s="124">
        <v>2</v>
      </c>
      <c r="F322" s="124">
        <v>0</v>
      </c>
      <c r="G322" s="124"/>
      <c r="H322" s="130"/>
      <c r="I322" s="101" t="s">
        <v>823</v>
      </c>
    </row>
    <row r="323" spans="1:9" s="116" customFormat="1" ht="17.25" x14ac:dyDescent="0.35">
      <c r="A323" s="132"/>
      <c r="B323" s="124"/>
      <c r="C323" s="124"/>
      <c r="D323" s="124" t="s">
        <v>79</v>
      </c>
      <c r="E323" s="124">
        <v>1</v>
      </c>
      <c r="F323" s="124">
        <v>0</v>
      </c>
      <c r="G323" s="124"/>
      <c r="H323" s="130"/>
      <c r="I323" s="101" t="s">
        <v>824</v>
      </c>
    </row>
    <row r="324" spans="1:9" s="116" customFormat="1" ht="17.25" x14ac:dyDescent="0.35">
      <c r="A324" s="132"/>
      <c r="B324" s="124"/>
      <c r="C324" s="124"/>
      <c r="D324" s="124" t="s">
        <v>79</v>
      </c>
      <c r="E324" s="124">
        <v>2</v>
      </c>
      <c r="F324" s="124">
        <v>0</v>
      </c>
      <c r="G324" s="124"/>
      <c r="H324" s="130"/>
      <c r="I324" s="101" t="s">
        <v>825</v>
      </c>
    </row>
    <row r="325" spans="1:9" s="116" customFormat="1" ht="17.25" x14ac:dyDescent="0.35">
      <c r="A325" s="132"/>
      <c r="B325" s="124"/>
      <c r="C325" s="124"/>
      <c r="D325" s="124" t="s">
        <v>79</v>
      </c>
      <c r="E325" s="124">
        <v>1</v>
      </c>
      <c r="F325" s="124">
        <v>0</v>
      </c>
      <c r="G325" s="124"/>
      <c r="H325" s="130"/>
      <c r="I325" s="101" t="s">
        <v>826</v>
      </c>
    </row>
    <row r="326" spans="1:9" s="116" customFormat="1" ht="17.25" x14ac:dyDescent="0.35">
      <c r="A326" s="132"/>
      <c r="B326" s="124"/>
      <c r="C326" s="124"/>
      <c r="D326" s="124" t="s">
        <v>79</v>
      </c>
      <c r="E326" s="124">
        <v>1</v>
      </c>
      <c r="F326" s="124">
        <v>0</v>
      </c>
      <c r="G326" s="124"/>
      <c r="H326" s="130"/>
      <c r="I326" s="101" t="s">
        <v>827</v>
      </c>
    </row>
    <row r="327" spans="1:9" s="116" customFormat="1" ht="17.25" x14ac:dyDescent="0.35">
      <c r="A327" s="132"/>
      <c r="B327" s="124"/>
      <c r="C327" s="124"/>
      <c r="D327" s="124" t="s">
        <v>79</v>
      </c>
      <c r="E327" s="124">
        <v>2</v>
      </c>
      <c r="F327" s="124">
        <v>0</v>
      </c>
      <c r="G327" s="124"/>
      <c r="H327" s="130"/>
      <c r="I327" s="101" t="s">
        <v>828</v>
      </c>
    </row>
    <row r="328" spans="1:9" s="116" customFormat="1" ht="17.25" x14ac:dyDescent="0.35">
      <c r="A328" s="132"/>
      <c r="B328" s="124"/>
      <c r="C328" s="124"/>
      <c r="D328" s="124" t="s">
        <v>79</v>
      </c>
      <c r="E328" s="124">
        <v>1</v>
      </c>
      <c r="F328" s="124">
        <v>0</v>
      </c>
      <c r="G328" s="124"/>
      <c r="H328" s="130"/>
      <c r="I328" s="101" t="s">
        <v>829</v>
      </c>
    </row>
    <row r="329" spans="1:9" s="116" customFormat="1" ht="17.25" x14ac:dyDescent="0.35">
      <c r="A329" s="132"/>
      <c r="B329" s="124"/>
      <c r="C329" s="124"/>
      <c r="D329" s="124" t="s">
        <v>79</v>
      </c>
      <c r="E329" s="124">
        <v>2</v>
      </c>
      <c r="F329" s="124">
        <v>0</v>
      </c>
      <c r="G329" s="124"/>
      <c r="H329" s="130"/>
      <c r="I329" s="101" t="s">
        <v>830</v>
      </c>
    </row>
    <row r="330" spans="1:9" s="116" customFormat="1" ht="17.25" x14ac:dyDescent="0.35">
      <c r="A330" s="132"/>
      <c r="B330" s="124"/>
      <c r="C330" s="124"/>
      <c r="D330" s="124" t="s">
        <v>79</v>
      </c>
      <c r="E330" s="124">
        <v>1</v>
      </c>
      <c r="F330" s="124">
        <v>0</v>
      </c>
      <c r="G330" s="124"/>
      <c r="H330" s="130"/>
      <c r="I330" s="101" t="s">
        <v>831</v>
      </c>
    </row>
    <row r="331" spans="1:9" s="116" customFormat="1" ht="17.25" x14ac:dyDescent="0.35">
      <c r="A331" s="132"/>
      <c r="B331" s="124"/>
      <c r="C331" s="124"/>
      <c r="D331" s="124" t="s">
        <v>79</v>
      </c>
      <c r="E331" s="124">
        <v>1</v>
      </c>
      <c r="F331" s="124">
        <v>0</v>
      </c>
      <c r="G331" s="124"/>
      <c r="H331" s="130"/>
      <c r="I331" s="101" t="s">
        <v>832</v>
      </c>
    </row>
    <row r="332" spans="1:9" s="116" customFormat="1" ht="17.25" x14ac:dyDescent="0.35">
      <c r="A332" s="132"/>
      <c r="B332" s="124"/>
      <c r="C332" s="124"/>
      <c r="D332" s="124" t="s">
        <v>79</v>
      </c>
      <c r="E332" s="124">
        <v>2</v>
      </c>
      <c r="F332" s="124">
        <v>0</v>
      </c>
      <c r="G332" s="124"/>
      <c r="H332" s="130"/>
      <c r="I332" s="101" t="s">
        <v>833</v>
      </c>
    </row>
    <row r="333" spans="1:9" s="116" customFormat="1" ht="17.25" x14ac:dyDescent="0.35">
      <c r="A333" s="132"/>
      <c r="B333" s="124"/>
      <c r="C333" s="124"/>
      <c r="D333" s="124" t="s">
        <v>79</v>
      </c>
      <c r="E333" s="124">
        <v>1</v>
      </c>
      <c r="F333" s="124">
        <v>0</v>
      </c>
      <c r="G333" s="124"/>
      <c r="H333" s="130"/>
      <c r="I333" s="101" t="s">
        <v>834</v>
      </c>
    </row>
    <row r="334" spans="1:9" s="116" customFormat="1" ht="17.25" x14ac:dyDescent="0.35">
      <c r="A334" s="132"/>
      <c r="B334" s="124"/>
      <c r="C334" s="124"/>
      <c r="D334" s="124" t="s">
        <v>79</v>
      </c>
      <c r="E334" s="124">
        <v>2</v>
      </c>
      <c r="F334" s="124">
        <v>0</v>
      </c>
      <c r="G334" s="124"/>
      <c r="H334" s="130"/>
      <c r="I334" s="101" t="s">
        <v>835</v>
      </c>
    </row>
    <row r="335" spans="1:9" s="116" customFormat="1" ht="17.25" x14ac:dyDescent="0.35">
      <c r="A335" s="132"/>
      <c r="B335" s="124"/>
      <c r="C335" s="124"/>
      <c r="D335" s="124" t="s">
        <v>79</v>
      </c>
      <c r="E335" s="124">
        <v>1</v>
      </c>
      <c r="F335" s="124">
        <v>0</v>
      </c>
      <c r="G335" s="124"/>
      <c r="H335" s="130"/>
      <c r="I335" s="101" t="s">
        <v>836</v>
      </c>
    </row>
    <row r="336" spans="1:9" s="116" customFormat="1" ht="17.25" x14ac:dyDescent="0.35">
      <c r="A336" s="132"/>
      <c r="B336" s="124"/>
      <c r="C336" s="124"/>
      <c r="D336" s="124" t="s">
        <v>79</v>
      </c>
      <c r="E336" s="124">
        <v>1</v>
      </c>
      <c r="F336" s="124">
        <v>0</v>
      </c>
      <c r="G336" s="124"/>
      <c r="H336" s="130"/>
      <c r="I336" s="101" t="s">
        <v>837</v>
      </c>
    </row>
    <row r="337" spans="1:9" s="116" customFormat="1" ht="17.25" x14ac:dyDescent="0.35">
      <c r="A337" s="132"/>
      <c r="B337" s="124"/>
      <c r="C337" s="124"/>
      <c r="D337" s="124" t="s">
        <v>79</v>
      </c>
      <c r="E337" s="124">
        <v>2</v>
      </c>
      <c r="F337" s="124">
        <v>0</v>
      </c>
      <c r="G337" s="124"/>
      <c r="H337" s="130"/>
      <c r="I337" s="101" t="s">
        <v>838</v>
      </c>
    </row>
    <row r="338" spans="1:9" s="116" customFormat="1" ht="17.25" x14ac:dyDescent="0.35">
      <c r="A338" s="132"/>
      <c r="B338" s="124"/>
      <c r="C338" s="124"/>
      <c r="D338" s="124" t="s">
        <v>79</v>
      </c>
      <c r="E338" s="124">
        <v>1</v>
      </c>
      <c r="F338" s="124">
        <v>0</v>
      </c>
      <c r="G338" s="124"/>
      <c r="H338" s="130"/>
      <c r="I338" s="101" t="s">
        <v>839</v>
      </c>
    </row>
    <row r="339" spans="1:9" s="116" customFormat="1" ht="17.25" x14ac:dyDescent="0.35">
      <c r="A339" s="132"/>
      <c r="B339" s="124"/>
      <c r="C339" s="124"/>
      <c r="D339" s="124" t="s">
        <v>79</v>
      </c>
      <c r="E339" s="124">
        <v>2</v>
      </c>
      <c r="F339" s="124">
        <v>0</v>
      </c>
      <c r="G339" s="124"/>
      <c r="H339" s="130"/>
      <c r="I339" s="101" t="s">
        <v>840</v>
      </c>
    </row>
    <row r="340" spans="1:9" s="116" customFormat="1" ht="17.25" x14ac:dyDescent="0.35">
      <c r="A340" s="132"/>
      <c r="B340" s="124"/>
      <c r="C340" s="124"/>
      <c r="D340" s="124" t="s">
        <v>79</v>
      </c>
      <c r="E340" s="124">
        <v>1</v>
      </c>
      <c r="F340" s="124">
        <v>0</v>
      </c>
      <c r="G340" s="124"/>
      <c r="H340" s="130"/>
      <c r="I340" s="101" t="s">
        <v>841</v>
      </c>
    </row>
    <row r="341" spans="1:9" s="116" customFormat="1" ht="17.25" x14ac:dyDescent="0.35">
      <c r="A341" s="132"/>
      <c r="B341" s="124"/>
      <c r="C341" s="124"/>
      <c r="D341" s="124" t="s">
        <v>79</v>
      </c>
      <c r="E341" s="124">
        <v>1</v>
      </c>
      <c r="F341" s="124">
        <v>0</v>
      </c>
      <c r="G341" s="124"/>
      <c r="H341" s="130"/>
      <c r="I341" s="101" t="s">
        <v>842</v>
      </c>
    </row>
    <row r="342" spans="1:9" s="116" customFormat="1" ht="17.25" x14ac:dyDescent="0.35">
      <c r="A342" s="132"/>
      <c r="B342" s="124"/>
      <c r="C342" s="124"/>
      <c r="D342" s="124" t="s">
        <v>79</v>
      </c>
      <c r="E342" s="124">
        <v>2</v>
      </c>
      <c r="F342" s="124">
        <v>0</v>
      </c>
      <c r="G342" s="124"/>
      <c r="H342" s="130"/>
      <c r="I342" s="101" t="s">
        <v>843</v>
      </c>
    </row>
    <row r="343" spans="1:9" s="116" customFormat="1" ht="17.25" x14ac:dyDescent="0.35">
      <c r="A343" s="132"/>
      <c r="B343" s="124"/>
      <c r="C343" s="124"/>
      <c r="D343" s="124" t="s">
        <v>79</v>
      </c>
      <c r="E343" s="124">
        <v>1</v>
      </c>
      <c r="F343" s="124">
        <v>0</v>
      </c>
      <c r="G343" s="124"/>
      <c r="H343" s="130"/>
      <c r="I343" s="101" t="s">
        <v>844</v>
      </c>
    </row>
    <row r="344" spans="1:9" s="116" customFormat="1" ht="17.25" x14ac:dyDescent="0.35">
      <c r="A344" s="132"/>
      <c r="B344" s="124"/>
      <c r="C344" s="124"/>
      <c r="D344" s="124" t="s">
        <v>79</v>
      </c>
      <c r="E344" s="124">
        <v>2</v>
      </c>
      <c r="F344" s="124">
        <v>0</v>
      </c>
      <c r="G344" s="124"/>
      <c r="H344" s="130"/>
      <c r="I344" s="101" t="s">
        <v>845</v>
      </c>
    </row>
    <row r="345" spans="1:9" s="116" customFormat="1" ht="17.25" x14ac:dyDescent="0.35">
      <c r="A345" s="132"/>
      <c r="B345" s="124"/>
      <c r="C345" s="124"/>
      <c r="D345" s="124" t="s">
        <v>79</v>
      </c>
      <c r="E345" s="124">
        <v>1</v>
      </c>
      <c r="F345" s="124">
        <v>0</v>
      </c>
      <c r="G345" s="124"/>
      <c r="H345" s="130"/>
      <c r="I345" s="101" t="s">
        <v>846</v>
      </c>
    </row>
    <row r="346" spans="1:9" s="116" customFormat="1" ht="17.25" x14ac:dyDescent="0.35">
      <c r="A346" s="132"/>
      <c r="B346" s="124"/>
      <c r="C346" s="124"/>
      <c r="D346" s="124" t="s">
        <v>79</v>
      </c>
      <c r="E346" s="124">
        <v>1</v>
      </c>
      <c r="F346" s="124">
        <v>0</v>
      </c>
      <c r="G346" s="124"/>
      <c r="H346" s="130"/>
      <c r="I346" s="101" t="s">
        <v>847</v>
      </c>
    </row>
    <row r="347" spans="1:9" s="116" customFormat="1" ht="17.25" x14ac:dyDescent="0.35">
      <c r="A347" s="132"/>
      <c r="B347" s="124"/>
      <c r="C347" s="124"/>
      <c r="D347" s="124" t="s">
        <v>79</v>
      </c>
      <c r="E347" s="124">
        <v>2</v>
      </c>
      <c r="F347" s="124">
        <v>0</v>
      </c>
      <c r="G347" s="124"/>
      <c r="H347" s="130"/>
      <c r="I347" s="101" t="s">
        <v>848</v>
      </c>
    </row>
    <row r="348" spans="1:9" s="116" customFormat="1" ht="17.25" x14ac:dyDescent="0.35">
      <c r="A348" s="132"/>
      <c r="B348" s="124"/>
      <c r="C348" s="124"/>
      <c r="D348" s="124" t="s">
        <v>79</v>
      </c>
      <c r="E348" s="124">
        <v>1</v>
      </c>
      <c r="F348" s="124">
        <v>0</v>
      </c>
      <c r="G348" s="124"/>
      <c r="H348" s="130"/>
      <c r="I348" s="101" t="s">
        <v>849</v>
      </c>
    </row>
    <row r="349" spans="1:9" s="116" customFormat="1" ht="17.25" x14ac:dyDescent="0.35">
      <c r="A349" s="132"/>
      <c r="B349" s="124"/>
      <c r="C349" s="124"/>
      <c r="D349" s="124" t="s">
        <v>79</v>
      </c>
      <c r="E349" s="124">
        <v>2</v>
      </c>
      <c r="F349" s="124">
        <v>0</v>
      </c>
      <c r="G349" s="124"/>
      <c r="H349" s="130"/>
      <c r="I349" s="101" t="s">
        <v>850</v>
      </c>
    </row>
    <row r="350" spans="1:9" s="116" customFormat="1" ht="17.25" x14ac:dyDescent="0.35">
      <c r="A350" s="132"/>
      <c r="B350" s="124"/>
      <c r="C350" s="124"/>
      <c r="D350" s="124" t="s">
        <v>79</v>
      </c>
      <c r="E350" s="124">
        <v>1</v>
      </c>
      <c r="F350" s="124">
        <v>0</v>
      </c>
      <c r="G350" s="124"/>
      <c r="H350" s="130"/>
      <c r="I350" s="101" t="s">
        <v>851</v>
      </c>
    </row>
    <row r="351" spans="1:9" s="116" customFormat="1" ht="17.25" x14ac:dyDescent="0.35">
      <c r="A351" s="132"/>
      <c r="B351" s="124"/>
      <c r="C351" s="124"/>
      <c r="D351" s="124" t="s">
        <v>79</v>
      </c>
      <c r="E351" s="124">
        <v>1</v>
      </c>
      <c r="F351" s="124">
        <v>0</v>
      </c>
      <c r="G351" s="124"/>
      <c r="H351" s="130"/>
      <c r="I351" s="101" t="s">
        <v>852</v>
      </c>
    </row>
    <row r="352" spans="1:9" s="116" customFormat="1" ht="17.25" x14ac:dyDescent="0.35">
      <c r="A352" s="132"/>
      <c r="B352" s="124"/>
      <c r="C352" s="124"/>
      <c r="D352" s="124" t="s">
        <v>79</v>
      </c>
      <c r="E352" s="124">
        <v>2</v>
      </c>
      <c r="F352" s="124">
        <v>16</v>
      </c>
      <c r="G352" s="124"/>
      <c r="H352" s="130"/>
      <c r="I352" s="101" t="s">
        <v>853</v>
      </c>
    </row>
    <row r="353" spans="1:9" s="116" customFormat="1" ht="17.25" x14ac:dyDescent="0.35">
      <c r="A353" s="132"/>
      <c r="B353" s="124"/>
      <c r="C353" s="124"/>
      <c r="D353" s="124" t="s">
        <v>79</v>
      </c>
      <c r="E353" s="124">
        <v>1</v>
      </c>
      <c r="F353" s="124">
        <v>48</v>
      </c>
      <c r="G353" s="124"/>
      <c r="H353" s="130"/>
      <c r="I353" s="101" t="s">
        <v>854</v>
      </c>
    </row>
    <row r="354" spans="1:9" s="116" customFormat="1" ht="17.25" x14ac:dyDescent="0.35">
      <c r="A354" s="132"/>
      <c r="B354" s="124"/>
      <c r="C354" s="124"/>
      <c r="D354" s="124" t="s">
        <v>79</v>
      </c>
      <c r="E354" s="124">
        <v>2</v>
      </c>
      <c r="F354" s="124">
        <v>7</v>
      </c>
      <c r="G354" s="124"/>
      <c r="H354" s="130"/>
      <c r="I354" s="101" t="s">
        <v>855</v>
      </c>
    </row>
    <row r="355" spans="1:9" s="116" customFormat="1" ht="17.25" x14ac:dyDescent="0.35">
      <c r="A355" s="132"/>
      <c r="B355" s="124"/>
      <c r="C355" s="124"/>
      <c r="D355" s="124" t="s">
        <v>79</v>
      </c>
      <c r="E355" s="124">
        <v>1</v>
      </c>
      <c r="F355" s="124">
        <v>200</v>
      </c>
      <c r="G355" s="124"/>
      <c r="H355" s="130"/>
      <c r="I355" s="101" t="s">
        <v>856</v>
      </c>
    </row>
    <row r="356" spans="1:9" s="116" customFormat="1" ht="17.25" x14ac:dyDescent="0.35">
      <c r="A356" s="132"/>
      <c r="B356" s="124"/>
      <c r="C356" s="124"/>
      <c r="D356" s="124" t="s">
        <v>79</v>
      </c>
      <c r="E356" s="124">
        <v>1</v>
      </c>
      <c r="F356" s="124">
        <v>80</v>
      </c>
      <c r="G356" s="124"/>
      <c r="H356" s="130"/>
      <c r="I356" s="101" t="s">
        <v>857</v>
      </c>
    </row>
    <row r="357" spans="1:9" s="116" customFormat="1" ht="17.25" x14ac:dyDescent="0.35">
      <c r="A357" s="132"/>
      <c r="B357" s="124"/>
      <c r="C357" s="124"/>
      <c r="D357" s="124" t="s">
        <v>79</v>
      </c>
      <c r="E357" s="124">
        <v>2</v>
      </c>
      <c r="F357" s="124">
        <v>20992</v>
      </c>
      <c r="G357" s="124"/>
      <c r="H357" s="130"/>
      <c r="I357" s="101" t="s">
        <v>858</v>
      </c>
    </row>
    <row r="358" spans="1:9" s="116" customFormat="1" ht="17.25" x14ac:dyDescent="0.35">
      <c r="A358" s="132"/>
      <c r="B358" s="124"/>
      <c r="C358" s="124"/>
      <c r="D358" s="124" t="s">
        <v>79</v>
      </c>
      <c r="E358" s="124">
        <v>2</v>
      </c>
      <c r="F358" s="124">
        <v>0</v>
      </c>
      <c r="G358" s="124"/>
      <c r="H358" s="130"/>
      <c r="I358" s="101" t="s">
        <v>859</v>
      </c>
    </row>
    <row r="359" spans="1:9" s="116" customFormat="1" ht="17.25" x14ac:dyDescent="0.35">
      <c r="A359" s="132"/>
      <c r="B359" s="124"/>
      <c r="C359" s="124"/>
      <c r="D359" s="124" t="s">
        <v>79</v>
      </c>
      <c r="E359" s="124">
        <v>2</v>
      </c>
      <c r="F359" s="124">
        <v>16896</v>
      </c>
      <c r="G359" s="124"/>
      <c r="H359" s="130"/>
      <c r="I359" s="101" t="s">
        <v>860</v>
      </c>
    </row>
    <row r="360" spans="1:9" s="116" customFormat="1" ht="17.25" x14ac:dyDescent="0.35">
      <c r="A360" s="132"/>
      <c r="B360" s="124"/>
      <c r="C360" s="124"/>
      <c r="D360" s="124" t="s">
        <v>79</v>
      </c>
      <c r="E360" s="124">
        <v>2</v>
      </c>
      <c r="F360" s="124">
        <v>0</v>
      </c>
      <c r="G360" s="124"/>
      <c r="H360" s="130"/>
      <c r="I360" s="101" t="s">
        <v>861</v>
      </c>
    </row>
    <row r="361" spans="1:9" s="116" customFormat="1" ht="17.25" x14ac:dyDescent="0.35">
      <c r="A361" s="132"/>
      <c r="B361" s="124"/>
      <c r="C361" s="124"/>
      <c r="D361" s="124" t="s">
        <v>79</v>
      </c>
      <c r="E361" s="124">
        <v>2</v>
      </c>
      <c r="F361" s="124">
        <v>0</v>
      </c>
      <c r="G361" s="124"/>
      <c r="H361" s="130"/>
      <c r="I361" s="101" t="s">
        <v>862</v>
      </c>
    </row>
    <row r="362" spans="1:9" s="116" customFormat="1" ht="17.25" x14ac:dyDescent="0.35">
      <c r="A362" s="132"/>
      <c r="B362" s="124"/>
      <c r="C362" s="124"/>
      <c r="D362" s="124" t="s">
        <v>79</v>
      </c>
      <c r="E362" s="124">
        <v>2</v>
      </c>
      <c r="F362" s="124">
        <v>0</v>
      </c>
      <c r="G362" s="124"/>
      <c r="H362" s="130"/>
      <c r="I362" s="101" t="s">
        <v>863</v>
      </c>
    </row>
    <row r="363" spans="1:9" s="116" customFormat="1" ht="17.25" x14ac:dyDescent="0.35">
      <c r="A363" s="132"/>
      <c r="B363" s="124"/>
      <c r="C363" s="124"/>
      <c r="D363" s="124" t="s">
        <v>79</v>
      </c>
      <c r="E363" s="124">
        <v>2</v>
      </c>
      <c r="F363" s="124">
        <v>0</v>
      </c>
      <c r="G363" s="124"/>
      <c r="H363" s="130"/>
      <c r="I363" s="101" t="s">
        <v>864</v>
      </c>
    </row>
    <row r="364" spans="1:9" s="116" customFormat="1" ht="17.25" x14ac:dyDescent="0.35">
      <c r="A364" s="132"/>
      <c r="B364" s="124"/>
      <c r="C364" s="124"/>
      <c r="D364" s="124" t="s">
        <v>79</v>
      </c>
      <c r="E364" s="124">
        <v>2</v>
      </c>
      <c r="F364" s="124">
        <v>0</v>
      </c>
      <c r="G364" s="124"/>
      <c r="H364" s="130"/>
      <c r="I364" s="101" t="s">
        <v>865</v>
      </c>
    </row>
    <row r="365" spans="1:9" s="116" customFormat="1" ht="17.25" x14ac:dyDescent="0.35">
      <c r="A365" s="132"/>
      <c r="B365" s="124"/>
      <c r="C365" s="124"/>
      <c r="D365" s="124" t="s">
        <v>79</v>
      </c>
      <c r="E365" s="124">
        <v>2</v>
      </c>
      <c r="F365" s="124">
        <v>0</v>
      </c>
      <c r="G365" s="124"/>
      <c r="H365" s="130"/>
      <c r="I365" s="101" t="s">
        <v>866</v>
      </c>
    </row>
    <row r="366" spans="1:9" s="116" customFormat="1" ht="17.25" x14ac:dyDescent="0.35">
      <c r="A366" s="132"/>
      <c r="B366" s="124"/>
      <c r="C366" s="124"/>
      <c r="D366" s="124" t="s">
        <v>79</v>
      </c>
      <c r="E366" s="124">
        <v>2</v>
      </c>
      <c r="F366" s="124">
        <v>0</v>
      </c>
      <c r="G366" s="124"/>
      <c r="H366" s="130"/>
      <c r="I366" s="101" t="s">
        <v>867</v>
      </c>
    </row>
    <row r="367" spans="1:9" s="116" customFormat="1" ht="17.25" x14ac:dyDescent="0.35">
      <c r="A367" s="132"/>
      <c r="B367" s="124"/>
      <c r="C367" s="124"/>
      <c r="D367" s="124" t="s">
        <v>79</v>
      </c>
      <c r="E367" s="124">
        <v>2</v>
      </c>
      <c r="F367" s="124">
        <v>0</v>
      </c>
      <c r="G367" s="124"/>
      <c r="H367" s="130"/>
      <c r="I367" s="101" t="s">
        <v>868</v>
      </c>
    </row>
    <row r="368" spans="1:9" s="116" customFormat="1" ht="17.25" x14ac:dyDescent="0.35">
      <c r="A368" s="132"/>
      <c r="B368" s="124"/>
      <c r="C368" s="124"/>
      <c r="D368" s="124" t="s">
        <v>79</v>
      </c>
      <c r="E368" s="124">
        <v>2</v>
      </c>
      <c r="F368" s="124">
        <v>0</v>
      </c>
      <c r="G368" s="124"/>
      <c r="H368" s="130"/>
      <c r="I368" s="101" t="s">
        <v>869</v>
      </c>
    </row>
    <row r="369" spans="1:9" s="116" customFormat="1" ht="17.25" x14ac:dyDescent="0.35">
      <c r="A369" s="132"/>
      <c r="B369" s="124"/>
      <c r="C369" s="124"/>
      <c r="D369" s="124" t="s">
        <v>79</v>
      </c>
      <c r="E369" s="124">
        <v>2</v>
      </c>
      <c r="F369" s="124">
        <v>0</v>
      </c>
      <c r="G369" s="124"/>
      <c r="H369" s="130"/>
      <c r="I369" s="101" t="s">
        <v>870</v>
      </c>
    </row>
    <row r="370" spans="1:9" s="116" customFormat="1" ht="17.25" x14ac:dyDescent="0.35">
      <c r="A370" s="132"/>
      <c r="B370" s="124"/>
      <c r="C370" s="124"/>
      <c r="D370" s="124" t="s">
        <v>79</v>
      </c>
      <c r="E370" s="124">
        <v>2</v>
      </c>
      <c r="F370" s="124">
        <v>0</v>
      </c>
      <c r="G370" s="124"/>
      <c r="H370" s="130"/>
      <c r="I370" s="101" t="s">
        <v>871</v>
      </c>
    </row>
    <row r="371" spans="1:9" s="116" customFormat="1" ht="17.25" x14ac:dyDescent="0.35">
      <c r="A371" s="132"/>
      <c r="B371" s="124"/>
      <c r="C371" s="124"/>
      <c r="D371" s="124" t="s">
        <v>79</v>
      </c>
      <c r="E371" s="124">
        <v>2</v>
      </c>
      <c r="F371" s="124">
        <v>0</v>
      </c>
      <c r="G371" s="124"/>
      <c r="H371" s="130"/>
      <c r="I371" s="101" t="s">
        <v>872</v>
      </c>
    </row>
    <row r="372" spans="1:9" s="116" customFormat="1" ht="17.25" x14ac:dyDescent="0.35">
      <c r="A372" s="132"/>
      <c r="B372" s="124"/>
      <c r="C372" s="124"/>
      <c r="D372" s="124" t="s">
        <v>79</v>
      </c>
      <c r="E372" s="124">
        <v>2</v>
      </c>
      <c r="F372" s="124">
        <v>0</v>
      </c>
      <c r="G372" s="124"/>
      <c r="H372" s="130"/>
      <c r="I372" s="101" t="s">
        <v>873</v>
      </c>
    </row>
    <row r="373" spans="1:9" s="116" customFormat="1" ht="17.25" x14ac:dyDescent="0.35">
      <c r="A373" s="132"/>
      <c r="B373" s="124"/>
      <c r="C373" s="124"/>
      <c r="D373" s="124" t="s">
        <v>79</v>
      </c>
      <c r="E373" s="124">
        <v>2</v>
      </c>
      <c r="F373" s="124">
        <v>0</v>
      </c>
      <c r="G373" s="124"/>
      <c r="H373" s="130"/>
      <c r="I373" s="101" t="s">
        <v>874</v>
      </c>
    </row>
    <row r="374" spans="1:9" s="116" customFormat="1" ht="17.25" x14ac:dyDescent="0.35">
      <c r="A374" s="132"/>
      <c r="B374" s="124"/>
      <c r="C374" s="124"/>
      <c r="D374" s="124" t="s">
        <v>79</v>
      </c>
      <c r="E374" s="124">
        <v>2</v>
      </c>
      <c r="F374" s="124">
        <v>0</v>
      </c>
      <c r="G374" s="124"/>
      <c r="H374" s="130"/>
      <c r="I374" s="101" t="s">
        <v>875</v>
      </c>
    </row>
    <row r="375" spans="1:9" s="116" customFormat="1" ht="17.25" x14ac:dyDescent="0.35">
      <c r="A375" s="132"/>
      <c r="B375" s="124"/>
      <c r="C375" s="124"/>
      <c r="D375" s="124" t="s">
        <v>79</v>
      </c>
      <c r="E375" s="124">
        <v>2</v>
      </c>
      <c r="F375" s="124">
        <v>0</v>
      </c>
      <c r="G375" s="124"/>
      <c r="H375" s="130"/>
      <c r="I375" s="101" t="s">
        <v>876</v>
      </c>
    </row>
    <row r="376" spans="1:9" s="116" customFormat="1" ht="17.25" x14ac:dyDescent="0.35">
      <c r="A376" s="132"/>
      <c r="B376" s="124"/>
      <c r="C376" s="124"/>
      <c r="D376" s="124" t="s">
        <v>79</v>
      </c>
      <c r="E376" s="124">
        <v>2</v>
      </c>
      <c r="F376" s="124">
        <v>0</v>
      </c>
      <c r="G376" s="124"/>
      <c r="H376" s="130"/>
      <c r="I376" s="101" t="s">
        <v>877</v>
      </c>
    </row>
    <row r="377" spans="1:9" s="116" customFormat="1" ht="17.25" x14ac:dyDescent="0.35">
      <c r="A377" s="132"/>
      <c r="B377" s="124"/>
      <c r="C377" s="124"/>
      <c r="D377" s="124" t="s">
        <v>79</v>
      </c>
      <c r="E377" s="124">
        <v>2</v>
      </c>
      <c r="F377" s="124">
        <v>6</v>
      </c>
      <c r="G377" s="124"/>
      <c r="H377" s="130"/>
      <c r="I377" s="101" t="s">
        <v>878</v>
      </c>
    </row>
    <row r="378" spans="1:9" s="116" customFormat="1" ht="17.25" x14ac:dyDescent="0.35">
      <c r="A378" s="132"/>
      <c r="B378" s="124"/>
      <c r="C378" s="124"/>
      <c r="D378" s="124" t="s">
        <v>79</v>
      </c>
      <c r="E378" s="124">
        <v>1</v>
      </c>
      <c r="F378" s="124">
        <v>0</v>
      </c>
      <c r="G378" s="124"/>
      <c r="H378" s="130"/>
      <c r="I378" s="101" t="s">
        <v>879</v>
      </c>
    </row>
    <row r="379" spans="1:9" s="116" customFormat="1" ht="17.25" x14ac:dyDescent="0.35">
      <c r="A379" s="132"/>
      <c r="B379" s="124"/>
      <c r="C379" s="124"/>
      <c r="D379" s="124" t="s">
        <v>79</v>
      </c>
      <c r="E379" s="124">
        <v>1</v>
      </c>
      <c r="F379" s="124">
        <v>0</v>
      </c>
      <c r="G379" s="124"/>
      <c r="H379" s="130"/>
      <c r="I379" s="101" t="s">
        <v>880</v>
      </c>
    </row>
    <row r="380" spans="1:9" s="116" customFormat="1" ht="17.25" x14ac:dyDescent="0.35">
      <c r="A380" s="132"/>
      <c r="B380" s="124"/>
      <c r="C380" s="124"/>
      <c r="D380" s="124" t="s">
        <v>79</v>
      </c>
      <c r="E380" s="124">
        <v>1</v>
      </c>
      <c r="F380" s="124">
        <v>3</v>
      </c>
      <c r="G380" s="124"/>
      <c r="H380" s="130"/>
      <c r="I380" s="101" t="s">
        <v>881</v>
      </c>
    </row>
    <row r="381" spans="1:9" s="116" customFormat="1" ht="17.25" x14ac:dyDescent="0.35">
      <c r="A381" s="132"/>
      <c r="B381" s="124"/>
      <c r="C381" s="124"/>
      <c r="D381" s="124" t="s">
        <v>79</v>
      </c>
      <c r="E381" s="124">
        <v>1</v>
      </c>
      <c r="F381" s="124">
        <v>2</v>
      </c>
      <c r="G381" s="124"/>
      <c r="H381" s="130"/>
      <c r="I381" s="101" t="s">
        <v>882</v>
      </c>
    </row>
    <row r="382" spans="1:9" s="116" customFormat="1" ht="17.25" x14ac:dyDescent="0.35">
      <c r="A382" s="132"/>
      <c r="B382" s="124"/>
      <c r="C382" s="124"/>
      <c r="D382" s="124" t="s">
        <v>79</v>
      </c>
      <c r="E382" s="124">
        <v>1</v>
      </c>
      <c r="F382" s="124">
        <v>1</v>
      </c>
      <c r="G382" s="124"/>
      <c r="H382" s="130"/>
      <c r="I382" s="101" t="s">
        <v>883</v>
      </c>
    </row>
    <row r="383" spans="1:9" s="116" customFormat="1" ht="17.25" x14ac:dyDescent="0.35">
      <c r="A383" s="132"/>
      <c r="B383" s="124"/>
      <c r="C383" s="124"/>
      <c r="D383" s="124" t="s">
        <v>79</v>
      </c>
      <c r="E383" s="124">
        <v>2</v>
      </c>
      <c r="F383" s="124">
        <v>33039</v>
      </c>
      <c r="G383" s="124"/>
      <c r="H383" s="130"/>
      <c r="I383" s="101" t="s">
        <v>884</v>
      </c>
    </row>
    <row r="384" spans="1:9" s="116" customFormat="1" ht="17.25" x14ac:dyDescent="0.35">
      <c r="A384" s="132"/>
      <c r="B384" s="124"/>
      <c r="C384" s="124"/>
      <c r="D384" s="124" t="s">
        <v>80</v>
      </c>
      <c r="E384" s="124">
        <v>50</v>
      </c>
      <c r="F384" s="124" t="s">
        <v>941</v>
      </c>
      <c r="G384" s="124"/>
      <c r="H384" s="130"/>
      <c r="I384" s="101" t="s">
        <v>885</v>
      </c>
    </row>
    <row r="385" spans="1:15" s="116" customFormat="1" ht="17.25" x14ac:dyDescent="0.35">
      <c r="A385" s="132"/>
      <c r="B385" s="124"/>
      <c r="C385" s="124"/>
      <c r="D385" s="124" t="s">
        <v>80</v>
      </c>
      <c r="E385" s="124">
        <v>50</v>
      </c>
      <c r="F385" s="124"/>
      <c r="G385" s="124"/>
      <c r="H385" s="130"/>
      <c r="I385" s="101" t="s">
        <v>886</v>
      </c>
    </row>
    <row r="386" spans="1:15" s="116" customFormat="1" ht="17.25" x14ac:dyDescent="0.35">
      <c r="A386" s="132"/>
      <c r="B386" s="124"/>
      <c r="C386" s="124"/>
      <c r="D386" s="124" t="s">
        <v>80</v>
      </c>
      <c r="E386" s="124">
        <v>50</v>
      </c>
      <c r="F386" s="124"/>
      <c r="G386" s="124"/>
      <c r="H386" s="130"/>
      <c r="I386" s="101" t="s">
        <v>887</v>
      </c>
    </row>
    <row r="387" spans="1:15" s="116" customFormat="1" ht="17.25" x14ac:dyDescent="0.35">
      <c r="A387" s="132"/>
      <c r="B387" s="124"/>
      <c r="C387" s="124"/>
      <c r="D387" s="124" t="s">
        <v>79</v>
      </c>
      <c r="E387" s="124">
        <v>754</v>
      </c>
      <c r="F387" s="124"/>
      <c r="G387" s="124"/>
      <c r="H387" s="130"/>
      <c r="I387" s="101" t="s">
        <v>437</v>
      </c>
    </row>
    <row r="388" spans="1:15" s="116" customFormat="1" ht="17.25" x14ac:dyDescent="0.35">
      <c r="A388" s="129" t="s">
        <v>144</v>
      </c>
      <c r="B388" s="124" t="s">
        <v>145</v>
      </c>
      <c r="C388" s="124" t="s">
        <v>116</v>
      </c>
      <c r="D388" s="124"/>
      <c r="E388" s="124"/>
      <c r="F388" s="124"/>
      <c r="G388" s="124" t="s">
        <v>984</v>
      </c>
      <c r="H388" s="130"/>
      <c r="I388" s="96">
        <v>67262</v>
      </c>
    </row>
    <row r="389" spans="1:15" s="116" customFormat="1" ht="17.25" x14ac:dyDescent="0.35">
      <c r="A389" s="129"/>
      <c r="B389" s="124"/>
      <c r="C389" s="124"/>
      <c r="D389" s="124" t="s">
        <v>79</v>
      </c>
      <c r="E389" s="124">
        <v>2</v>
      </c>
      <c r="F389" s="124">
        <v>5060</v>
      </c>
      <c r="G389" s="124"/>
      <c r="H389" s="130"/>
      <c r="I389" s="96" t="s">
        <v>146</v>
      </c>
    </row>
    <row r="390" spans="1:15" s="116" customFormat="1" ht="17.25" x14ac:dyDescent="0.35">
      <c r="A390" s="129"/>
      <c r="B390" s="124"/>
      <c r="C390" s="124"/>
      <c r="D390" s="124" t="s">
        <v>79</v>
      </c>
      <c r="E390" s="124">
        <v>2</v>
      </c>
      <c r="F390" s="124">
        <v>0</v>
      </c>
      <c r="G390" s="124"/>
      <c r="H390" s="130"/>
      <c r="I390" s="96" t="s">
        <v>147</v>
      </c>
    </row>
    <row r="391" spans="1:15" s="116" customFormat="1" ht="19.5" customHeight="1" x14ac:dyDescent="0.35">
      <c r="A391" s="129"/>
      <c r="B391" s="124"/>
      <c r="C391" s="124"/>
      <c r="D391" s="124" t="s">
        <v>79</v>
      </c>
      <c r="E391" s="124">
        <v>2</v>
      </c>
      <c r="F391" s="124">
        <v>0</v>
      </c>
      <c r="G391" s="124"/>
      <c r="H391" s="130"/>
      <c r="I391" s="96" t="s">
        <v>148</v>
      </c>
    </row>
    <row r="392" spans="1:15" s="116" customFormat="1" ht="17.25" x14ac:dyDescent="0.35">
      <c r="A392" s="129"/>
      <c r="B392" s="124"/>
      <c r="C392" s="124"/>
      <c r="D392" s="124" t="s">
        <v>79</v>
      </c>
      <c r="E392" s="124">
        <v>2</v>
      </c>
      <c r="F392" s="124">
        <v>3000</v>
      </c>
      <c r="G392" s="124"/>
      <c r="H392" s="130"/>
      <c r="I392" s="96" t="s">
        <v>149</v>
      </c>
    </row>
    <row r="393" spans="1:15" s="116" customFormat="1" ht="17.25" x14ac:dyDescent="0.35">
      <c r="A393" s="129"/>
      <c r="B393" s="124"/>
      <c r="C393" s="124"/>
      <c r="D393" s="124" t="s">
        <v>79</v>
      </c>
      <c r="E393" s="124">
        <v>2</v>
      </c>
      <c r="F393" s="124">
        <v>16000</v>
      </c>
      <c r="G393" s="124"/>
      <c r="H393" s="130"/>
      <c r="I393" s="96" t="s">
        <v>150</v>
      </c>
      <c r="J393" s="117"/>
      <c r="K393" s="117"/>
      <c r="L393" s="117"/>
      <c r="M393" s="117"/>
      <c r="N393" s="117"/>
      <c r="O393" s="118"/>
    </row>
    <row r="394" spans="1:15" s="115" customFormat="1" ht="17.25" x14ac:dyDescent="0.35">
      <c r="A394" s="129"/>
      <c r="B394" s="124"/>
      <c r="C394" s="124"/>
      <c r="D394" s="124" t="s">
        <v>79</v>
      </c>
      <c r="E394" s="124">
        <v>2</v>
      </c>
      <c r="F394" s="124">
        <v>17000</v>
      </c>
      <c r="G394" s="124"/>
      <c r="H394" s="130"/>
      <c r="I394" s="96" t="s">
        <v>151</v>
      </c>
    </row>
    <row r="395" spans="1:15" s="115" customFormat="1" ht="17.25" x14ac:dyDescent="0.35">
      <c r="A395" s="129"/>
      <c r="B395" s="124"/>
      <c r="C395" s="124"/>
      <c r="D395" s="124" t="s">
        <v>79</v>
      </c>
      <c r="E395" s="124">
        <v>2</v>
      </c>
      <c r="F395" s="124">
        <v>30000</v>
      </c>
      <c r="G395" s="124"/>
      <c r="H395" s="130"/>
      <c r="I395" s="96" t="s">
        <v>152</v>
      </c>
    </row>
    <row r="396" spans="1:15" s="115" customFormat="1" ht="17.25" x14ac:dyDescent="0.35">
      <c r="A396" s="129"/>
      <c r="B396" s="124"/>
      <c r="C396" s="124"/>
      <c r="D396" s="124" t="s">
        <v>79</v>
      </c>
      <c r="E396" s="124">
        <v>2</v>
      </c>
      <c r="F396" s="124">
        <v>1500</v>
      </c>
      <c r="G396" s="124"/>
      <c r="H396" s="130"/>
      <c r="I396" s="96" t="s">
        <v>153</v>
      </c>
    </row>
    <row r="397" spans="1:15" s="115" customFormat="1" ht="17.25" x14ac:dyDescent="0.35">
      <c r="A397" s="129"/>
      <c r="B397" s="124"/>
      <c r="C397" s="124"/>
      <c r="D397" s="124" t="s">
        <v>79</v>
      </c>
      <c r="E397" s="124">
        <v>1</v>
      </c>
      <c r="F397" s="124">
        <v>1</v>
      </c>
      <c r="G397" s="124"/>
      <c r="H397" s="130"/>
      <c r="I397" s="96" t="s">
        <v>154</v>
      </c>
    </row>
    <row r="398" spans="1:15" s="115" customFormat="1" ht="17.25" x14ac:dyDescent="0.35">
      <c r="A398" s="129"/>
      <c r="B398" s="124"/>
      <c r="C398" s="124"/>
      <c r="D398" s="124" t="s">
        <v>79</v>
      </c>
      <c r="E398" s="124">
        <v>1</v>
      </c>
      <c r="F398" s="124">
        <v>0</v>
      </c>
      <c r="G398" s="124"/>
      <c r="H398" s="130"/>
      <c r="I398" s="96" t="s">
        <v>155</v>
      </c>
    </row>
    <row r="399" spans="1:15" s="115" customFormat="1" ht="17.25" x14ac:dyDescent="0.35">
      <c r="A399" s="129"/>
      <c r="B399" s="124"/>
      <c r="C399" s="124"/>
      <c r="D399" s="124" t="s">
        <v>79</v>
      </c>
      <c r="E399" s="124">
        <v>1</v>
      </c>
      <c r="F399" s="124">
        <v>0</v>
      </c>
      <c r="G399" s="124"/>
      <c r="H399" s="130"/>
      <c r="I399" s="96" t="s">
        <v>156</v>
      </c>
    </row>
    <row r="400" spans="1:15" s="115" customFormat="1" ht="17.25" x14ac:dyDescent="0.35">
      <c r="A400" s="129"/>
      <c r="B400" s="124"/>
      <c r="C400" s="124"/>
      <c r="D400" s="124" t="s">
        <v>79</v>
      </c>
      <c r="E400" s="124">
        <v>1</v>
      </c>
      <c r="F400" s="124">
        <v>0</v>
      </c>
      <c r="G400" s="124"/>
      <c r="H400" s="130"/>
      <c r="I400" s="96" t="s">
        <v>157</v>
      </c>
    </row>
    <row r="401" spans="1:9" s="115" customFormat="1" ht="17.25" x14ac:dyDescent="0.35">
      <c r="A401" s="129"/>
      <c r="B401" s="124"/>
      <c r="C401" s="124"/>
      <c r="D401" s="124" t="s">
        <v>79</v>
      </c>
      <c r="E401" s="124">
        <v>1</v>
      </c>
      <c r="F401" s="124">
        <v>0</v>
      </c>
      <c r="G401" s="124"/>
      <c r="H401" s="130"/>
      <c r="I401" s="96" t="s">
        <v>158</v>
      </c>
    </row>
    <row r="402" spans="1:9" s="115" customFormat="1" ht="17.25" x14ac:dyDescent="0.35">
      <c r="A402" s="129"/>
      <c r="B402" s="124"/>
      <c r="C402" s="124"/>
      <c r="D402" s="124" t="s">
        <v>79</v>
      </c>
      <c r="E402" s="124">
        <v>1</v>
      </c>
      <c r="F402" s="124">
        <v>1</v>
      </c>
      <c r="G402" s="124"/>
      <c r="H402" s="130"/>
      <c r="I402" s="96" t="s">
        <v>159</v>
      </c>
    </row>
    <row r="403" spans="1:9" s="115" customFormat="1" ht="17.25" x14ac:dyDescent="0.35">
      <c r="A403" s="129"/>
      <c r="B403" s="124"/>
      <c r="C403" s="124"/>
      <c r="D403" s="124" t="s">
        <v>79</v>
      </c>
      <c r="E403" s="124">
        <v>1</v>
      </c>
      <c r="F403" s="124">
        <v>0</v>
      </c>
      <c r="G403" s="124"/>
      <c r="H403" s="130"/>
      <c r="I403" s="96" t="s">
        <v>160</v>
      </c>
    </row>
    <row r="404" spans="1:9" s="115" customFormat="1" ht="17.25" x14ac:dyDescent="0.35">
      <c r="A404" s="129"/>
      <c r="B404" s="124"/>
      <c r="C404" s="124"/>
      <c r="D404" s="124" t="s">
        <v>80</v>
      </c>
      <c r="E404" s="124">
        <v>256</v>
      </c>
      <c r="F404" s="124"/>
      <c r="G404" s="124"/>
      <c r="H404" s="130"/>
      <c r="I404" s="96" t="s">
        <v>161</v>
      </c>
    </row>
    <row r="405" spans="1:9" s="115" customFormat="1" ht="17.25" x14ac:dyDescent="0.35">
      <c r="A405" s="129"/>
      <c r="B405" s="124"/>
      <c r="C405" s="124"/>
      <c r="D405" s="124" t="s">
        <v>80</v>
      </c>
      <c r="E405" s="124">
        <v>256</v>
      </c>
      <c r="F405" s="124"/>
      <c r="G405" s="124"/>
      <c r="H405" s="130"/>
      <c r="I405" s="96" t="s">
        <v>162</v>
      </c>
    </row>
    <row r="406" spans="1:9" s="115" customFormat="1" ht="17.25" x14ac:dyDescent="0.35">
      <c r="A406" s="129" t="s">
        <v>243</v>
      </c>
      <c r="B406" s="124" t="s">
        <v>242</v>
      </c>
      <c r="C406" s="124" t="s">
        <v>116</v>
      </c>
      <c r="D406" s="124"/>
      <c r="E406" s="124"/>
      <c r="F406" s="124"/>
      <c r="G406" s="124" t="s">
        <v>984</v>
      </c>
      <c r="H406" s="130"/>
      <c r="I406" s="96">
        <v>69673</v>
      </c>
    </row>
    <row r="407" spans="1:9" s="115" customFormat="1" ht="17.25" x14ac:dyDescent="0.35">
      <c r="A407" s="129"/>
      <c r="B407" s="124"/>
      <c r="C407" s="124"/>
      <c r="D407" s="124" t="s">
        <v>79</v>
      </c>
      <c r="E407" s="124">
        <v>1</v>
      </c>
      <c r="F407" s="124">
        <v>0</v>
      </c>
      <c r="G407" s="124"/>
      <c r="H407" s="130"/>
      <c r="I407" s="96" t="s">
        <v>6</v>
      </c>
    </row>
    <row r="408" spans="1:9" s="115" customFormat="1" ht="34.5" x14ac:dyDescent="0.35">
      <c r="A408" s="129" t="s">
        <v>257</v>
      </c>
      <c r="B408" s="124" t="s">
        <v>258</v>
      </c>
      <c r="C408" s="124" t="s">
        <v>81</v>
      </c>
      <c r="D408" s="124"/>
      <c r="E408" s="124"/>
      <c r="F408" s="124"/>
      <c r="G408" s="124" t="s">
        <v>984</v>
      </c>
      <c r="H408" s="130" t="s">
        <v>519</v>
      </c>
      <c r="I408" s="96" t="s">
        <v>290</v>
      </c>
    </row>
    <row r="409" spans="1:9" s="115" customFormat="1" ht="17.25" x14ac:dyDescent="0.35">
      <c r="A409" s="129" t="s">
        <v>188</v>
      </c>
      <c r="B409" s="124" t="s">
        <v>189</v>
      </c>
      <c r="C409" s="124" t="s">
        <v>81</v>
      </c>
      <c r="D409" s="124"/>
      <c r="E409" s="124"/>
      <c r="F409" s="124"/>
      <c r="G409" s="124" t="s">
        <v>6</v>
      </c>
      <c r="H409" s="130" t="s">
        <v>520</v>
      </c>
      <c r="I409" s="96" t="s">
        <v>259</v>
      </c>
    </row>
    <row r="410" spans="1:9" s="115" customFormat="1" ht="17.25" x14ac:dyDescent="0.35">
      <c r="A410" s="129" t="s">
        <v>173</v>
      </c>
      <c r="B410" s="124" t="s">
        <v>244</v>
      </c>
      <c r="C410" s="124" t="s">
        <v>81</v>
      </c>
      <c r="D410" s="124"/>
      <c r="E410" s="124"/>
      <c r="F410" s="124"/>
      <c r="G410" s="124" t="s">
        <v>88</v>
      </c>
      <c r="H410" s="130" t="s">
        <v>521</v>
      </c>
      <c r="I410" s="96">
        <v>65884</v>
      </c>
    </row>
    <row r="411" spans="1:9" s="115" customFormat="1" ht="17.25" x14ac:dyDescent="0.35">
      <c r="A411" s="129" t="s">
        <v>284</v>
      </c>
      <c r="B411" s="124" t="s">
        <v>283</v>
      </c>
      <c r="C411" s="124" t="s">
        <v>81</v>
      </c>
      <c r="D411" s="124"/>
      <c r="E411" s="124"/>
      <c r="F411" s="124"/>
      <c r="G411" s="124" t="s">
        <v>88</v>
      </c>
      <c r="H411" s="130" t="s">
        <v>522</v>
      </c>
      <c r="I411" s="96"/>
    </row>
    <row r="412" spans="1:9" s="115" customFormat="1" ht="17.25" x14ac:dyDescent="0.35">
      <c r="A412" s="129" t="s">
        <v>565</v>
      </c>
      <c r="B412" s="124" t="s">
        <v>564</v>
      </c>
      <c r="C412" s="124" t="s">
        <v>81</v>
      </c>
      <c r="D412" s="124"/>
      <c r="E412" s="124"/>
      <c r="F412" s="124"/>
      <c r="G412" s="124" t="s">
        <v>88</v>
      </c>
      <c r="H412" s="130" t="s">
        <v>568</v>
      </c>
      <c r="I412" s="96"/>
    </row>
    <row r="413" spans="1:9" s="115" customFormat="1" ht="17.25" x14ac:dyDescent="0.35">
      <c r="A413" s="129" t="s">
        <v>286</v>
      </c>
      <c r="B413" s="124" t="s">
        <v>285</v>
      </c>
      <c r="C413" s="124" t="s">
        <v>81</v>
      </c>
      <c r="D413" s="124"/>
      <c r="E413" s="124"/>
      <c r="F413" s="124"/>
      <c r="G413" s="124" t="s">
        <v>88</v>
      </c>
      <c r="H413" s="130" t="s">
        <v>523</v>
      </c>
      <c r="I413" s="96"/>
    </row>
    <row r="414" spans="1:9" s="115" customFormat="1" ht="17.25" x14ac:dyDescent="0.35">
      <c r="A414" s="133" t="s">
        <v>561</v>
      </c>
      <c r="B414" s="124" t="s">
        <v>560</v>
      </c>
      <c r="C414" s="124" t="s">
        <v>81</v>
      </c>
      <c r="D414" s="124"/>
      <c r="E414" s="124"/>
      <c r="F414" s="124"/>
      <c r="G414" s="124" t="s">
        <v>88</v>
      </c>
      <c r="H414" s="130" t="s">
        <v>569</v>
      </c>
      <c r="I414" s="102"/>
    </row>
    <row r="415" spans="1:9" s="115" customFormat="1" ht="17.25" x14ac:dyDescent="0.35">
      <c r="A415" s="129" t="s">
        <v>174</v>
      </c>
      <c r="B415" s="124" t="s">
        <v>181</v>
      </c>
      <c r="C415" s="124" t="s">
        <v>81</v>
      </c>
      <c r="D415" s="124"/>
      <c r="E415" s="124"/>
      <c r="F415" s="124"/>
      <c r="G415" s="124" t="s">
        <v>88</v>
      </c>
      <c r="H415" s="130" t="s">
        <v>524</v>
      </c>
      <c r="I415" s="96">
        <v>65883</v>
      </c>
    </row>
    <row r="416" spans="1:9" s="115" customFormat="1" ht="17.25" x14ac:dyDescent="0.35">
      <c r="A416" s="129" t="s">
        <v>175</v>
      </c>
      <c r="B416" s="124" t="s">
        <v>176</v>
      </c>
      <c r="C416" s="124" t="s">
        <v>81</v>
      </c>
      <c r="D416" s="124"/>
      <c r="E416" s="124"/>
      <c r="F416" s="124"/>
      <c r="G416" s="124" t="s">
        <v>88</v>
      </c>
      <c r="H416" s="130" t="s">
        <v>525</v>
      </c>
      <c r="I416" s="96">
        <v>67214</v>
      </c>
    </row>
    <row r="417" spans="1:9" s="115" customFormat="1" ht="17.25" x14ac:dyDescent="0.35">
      <c r="A417" s="129" t="s">
        <v>178</v>
      </c>
      <c r="B417" s="124" t="s">
        <v>179</v>
      </c>
      <c r="C417" s="124" t="s">
        <v>81</v>
      </c>
      <c r="D417" s="124"/>
      <c r="E417" s="124"/>
      <c r="F417" s="124"/>
      <c r="G417" s="124" t="s">
        <v>88</v>
      </c>
      <c r="H417" s="130" t="s">
        <v>526</v>
      </c>
      <c r="I417" s="96"/>
    </row>
    <row r="418" spans="1:9" s="115" customFormat="1" ht="17.25" x14ac:dyDescent="0.35">
      <c r="A418" s="129" t="s">
        <v>527</v>
      </c>
      <c r="B418" s="124" t="s">
        <v>528</v>
      </c>
      <c r="C418" s="124" t="s">
        <v>81</v>
      </c>
      <c r="D418" s="124"/>
      <c r="E418" s="124"/>
      <c r="F418" s="124"/>
      <c r="G418" s="124" t="s">
        <v>88</v>
      </c>
      <c r="H418" s="130" t="s">
        <v>529</v>
      </c>
      <c r="I418" s="96"/>
    </row>
    <row r="419" spans="1:9" s="115" customFormat="1" ht="17.25" x14ac:dyDescent="0.35">
      <c r="A419" s="129" t="s">
        <v>183</v>
      </c>
      <c r="B419" s="124" t="s">
        <v>184</v>
      </c>
      <c r="C419" s="124" t="s">
        <v>81</v>
      </c>
      <c r="D419" s="124"/>
      <c r="E419" s="124"/>
      <c r="F419" s="124"/>
      <c r="G419" s="124" t="s">
        <v>88</v>
      </c>
      <c r="H419" s="130" t="s">
        <v>530</v>
      </c>
      <c r="I419" s="96"/>
    </row>
    <row r="420" spans="1:9" s="115" customFormat="1" ht="17.25" x14ac:dyDescent="0.35">
      <c r="A420" s="129" t="s">
        <v>531</v>
      </c>
      <c r="B420" s="124" t="s">
        <v>191</v>
      </c>
      <c r="C420" s="124" t="s">
        <v>81</v>
      </c>
      <c r="D420" s="124"/>
      <c r="E420" s="124"/>
      <c r="F420" s="124"/>
      <c r="G420" s="124" t="s">
        <v>88</v>
      </c>
      <c r="H420" s="130" t="s">
        <v>532</v>
      </c>
      <c r="I420" s="96"/>
    </row>
    <row r="421" spans="1:9" s="115" customFormat="1" ht="17.25" x14ac:dyDescent="0.35">
      <c r="A421" s="129" t="s">
        <v>533</v>
      </c>
      <c r="B421" s="124" t="s">
        <v>534</v>
      </c>
      <c r="C421" s="124" t="s">
        <v>81</v>
      </c>
      <c r="D421" s="124"/>
      <c r="E421" s="124"/>
      <c r="F421" s="124"/>
      <c r="G421" s="124" t="s">
        <v>88</v>
      </c>
      <c r="H421" s="130" t="s">
        <v>535</v>
      </c>
      <c r="I421" s="96">
        <v>65819</v>
      </c>
    </row>
    <row r="422" spans="1:9" s="115" customFormat="1" ht="17.25" x14ac:dyDescent="0.35">
      <c r="A422" s="129" t="s">
        <v>536</v>
      </c>
      <c r="B422" s="124" t="s">
        <v>190</v>
      </c>
      <c r="C422" s="124" t="s">
        <v>81</v>
      </c>
      <c r="D422" s="124"/>
      <c r="E422" s="124"/>
      <c r="F422" s="124"/>
      <c r="G422" s="124" t="s">
        <v>88</v>
      </c>
      <c r="H422" s="130" t="s">
        <v>537</v>
      </c>
      <c r="I422" s="96"/>
    </row>
    <row r="423" spans="1:9" s="115" customFormat="1" ht="17.25" x14ac:dyDescent="0.35">
      <c r="A423" s="129" t="s">
        <v>260</v>
      </c>
      <c r="B423" s="124" t="s">
        <v>261</v>
      </c>
      <c r="C423" s="124" t="s">
        <v>6</v>
      </c>
      <c r="D423" s="124" t="s">
        <v>6</v>
      </c>
      <c r="E423" s="124" t="s">
        <v>6</v>
      </c>
      <c r="F423" s="124" t="s">
        <v>6</v>
      </c>
      <c r="G423" s="124" t="s">
        <v>6</v>
      </c>
      <c r="H423" s="130"/>
      <c r="I423" s="96" t="s">
        <v>262</v>
      </c>
    </row>
    <row r="424" spans="1:9" s="115" customFormat="1" ht="17.25" x14ac:dyDescent="0.35">
      <c r="A424" s="129"/>
      <c r="B424" s="124"/>
      <c r="C424" s="124"/>
      <c r="D424" s="124" t="s">
        <v>6</v>
      </c>
      <c r="E424" s="124" t="s">
        <v>6</v>
      </c>
      <c r="F424" s="124" t="s">
        <v>6</v>
      </c>
      <c r="G424" s="124"/>
      <c r="H424" s="130"/>
      <c r="I424" s="96"/>
    </row>
    <row r="425" spans="1:9" s="115" customFormat="1" ht="17.25" x14ac:dyDescent="0.35">
      <c r="A425" s="129" t="s">
        <v>264</v>
      </c>
      <c r="B425" s="124" t="s">
        <v>263</v>
      </c>
      <c r="C425" s="124" t="s">
        <v>116</v>
      </c>
      <c r="D425" s="124" t="s">
        <v>6</v>
      </c>
      <c r="E425" s="124" t="s">
        <v>6</v>
      </c>
      <c r="F425" s="124" t="s">
        <v>6</v>
      </c>
      <c r="G425" s="124" t="s">
        <v>88</v>
      </c>
      <c r="H425" s="130" t="s">
        <v>265</v>
      </c>
      <c r="I425" s="96" t="s">
        <v>262</v>
      </c>
    </row>
    <row r="426" spans="1:9" s="115" customFormat="1" ht="17.25" x14ac:dyDescent="0.35">
      <c r="A426" s="129"/>
      <c r="B426" s="124"/>
      <c r="C426" s="124"/>
      <c r="D426" s="124" t="s">
        <v>79</v>
      </c>
      <c r="E426" s="124">
        <v>1</v>
      </c>
      <c r="F426" s="124">
        <v>1</v>
      </c>
      <c r="G426" s="124"/>
      <c r="H426" s="130"/>
      <c r="I426" s="96"/>
    </row>
    <row r="427" spans="1:9" s="115" customFormat="1" ht="34.5" x14ac:dyDescent="0.35">
      <c r="A427" s="129" t="s">
        <v>267</v>
      </c>
      <c r="B427" s="124" t="s">
        <v>266</v>
      </c>
      <c r="C427" s="124" t="s">
        <v>116</v>
      </c>
      <c r="D427" s="124" t="s">
        <v>6</v>
      </c>
      <c r="E427" s="124" t="s">
        <v>6</v>
      </c>
      <c r="F427" s="124" t="s">
        <v>6</v>
      </c>
      <c r="G427" s="124" t="s">
        <v>88</v>
      </c>
      <c r="H427" s="130" t="s">
        <v>268</v>
      </c>
      <c r="I427" s="96" t="s">
        <v>438</v>
      </c>
    </row>
    <row r="428" spans="1:9" s="115" customFormat="1" ht="17.25" x14ac:dyDescent="0.35">
      <c r="A428" s="129"/>
      <c r="B428" s="124"/>
      <c r="C428" s="124"/>
      <c r="D428" s="124" t="s">
        <v>79</v>
      </c>
      <c r="E428" s="124">
        <v>1</v>
      </c>
      <c r="F428" s="124">
        <v>0</v>
      </c>
      <c r="G428" s="124"/>
      <c r="H428" s="130"/>
      <c r="I428" s="96"/>
    </row>
    <row r="429" spans="1:9" s="115" customFormat="1" ht="17.25" x14ac:dyDescent="0.35">
      <c r="A429" s="129" t="s">
        <v>248</v>
      </c>
      <c r="B429" s="124" t="s">
        <v>247</v>
      </c>
      <c r="C429" s="124" t="s">
        <v>116</v>
      </c>
      <c r="D429" s="124" t="s">
        <v>6</v>
      </c>
      <c r="E429" s="124" t="s">
        <v>6</v>
      </c>
      <c r="F429" s="124" t="s">
        <v>6</v>
      </c>
      <c r="G429" s="124" t="s">
        <v>88</v>
      </c>
      <c r="H429" s="130"/>
      <c r="I429" s="96">
        <v>65728</v>
      </c>
    </row>
    <row r="430" spans="1:9" s="115" customFormat="1" ht="17.25" x14ac:dyDescent="0.35">
      <c r="A430" s="129"/>
      <c r="B430" s="124"/>
      <c r="C430" s="124"/>
      <c r="D430" s="124" t="s">
        <v>79</v>
      </c>
      <c r="E430" s="124">
        <v>1</v>
      </c>
      <c r="F430" s="124">
        <v>0</v>
      </c>
      <c r="G430" s="124"/>
      <c r="H430" s="130"/>
      <c r="I430" s="96"/>
    </row>
    <row r="431" spans="1:9" s="115" customFormat="1" ht="17.25" x14ac:dyDescent="0.35">
      <c r="A431" s="134" t="s">
        <v>269</v>
      </c>
      <c r="B431" s="124" t="s">
        <v>270</v>
      </c>
      <c r="C431" s="124" t="s">
        <v>81</v>
      </c>
      <c r="D431" s="124"/>
      <c r="E431" s="124"/>
      <c r="F431" s="124"/>
      <c r="G431" s="124" t="s">
        <v>88</v>
      </c>
      <c r="H431" s="130" t="s">
        <v>538</v>
      </c>
      <c r="I431" s="96" t="s">
        <v>6</v>
      </c>
    </row>
    <row r="432" spans="1:9" s="115" customFormat="1" ht="17.25" x14ac:dyDescent="0.35">
      <c r="A432" s="134" t="s">
        <v>271</v>
      </c>
      <c r="B432" s="124" t="s">
        <v>272</v>
      </c>
      <c r="C432" s="124" t="s">
        <v>81</v>
      </c>
      <c r="D432" s="124"/>
      <c r="E432" s="124"/>
      <c r="F432" s="124"/>
      <c r="G432" s="124"/>
      <c r="H432" s="130" t="s">
        <v>539</v>
      </c>
      <c r="I432" s="96" t="s">
        <v>246</v>
      </c>
    </row>
    <row r="433" spans="1:9" s="115" customFormat="1" ht="17.25" x14ac:dyDescent="0.35">
      <c r="A433" s="129" t="s">
        <v>275</v>
      </c>
      <c r="B433" s="124" t="s">
        <v>282</v>
      </c>
      <c r="C433" s="124" t="s">
        <v>116</v>
      </c>
      <c r="D433" s="124"/>
      <c r="E433" s="124"/>
      <c r="F433" s="124"/>
      <c r="G433" s="124" t="s">
        <v>88</v>
      </c>
      <c r="H433" s="130"/>
      <c r="I433" s="96">
        <v>67290</v>
      </c>
    </row>
    <row r="434" spans="1:9" s="115" customFormat="1" ht="17.25" x14ac:dyDescent="0.35">
      <c r="A434" s="129"/>
      <c r="B434" s="124"/>
      <c r="C434" s="124"/>
      <c r="D434" s="124" t="s">
        <v>79</v>
      </c>
      <c r="E434" s="124">
        <v>1</v>
      </c>
      <c r="F434" s="124">
        <v>1</v>
      </c>
      <c r="G434" s="124"/>
      <c r="H434" s="130"/>
      <c r="I434" s="96"/>
    </row>
    <row r="435" spans="1:9" s="115" customFormat="1" ht="17.25" x14ac:dyDescent="0.35">
      <c r="A435" s="129" t="s">
        <v>277</v>
      </c>
      <c r="B435" s="124" t="s">
        <v>278</v>
      </c>
      <c r="C435" s="124" t="s">
        <v>81</v>
      </c>
      <c r="D435" s="124"/>
      <c r="E435" s="124"/>
      <c r="F435" s="124"/>
      <c r="G435" s="124" t="s">
        <v>88</v>
      </c>
      <c r="H435" s="130" t="s">
        <v>540</v>
      </c>
      <c r="I435" s="96">
        <v>67288</v>
      </c>
    </row>
    <row r="436" spans="1:9" s="115" customFormat="1" ht="17.25" x14ac:dyDescent="0.35">
      <c r="A436" s="129" t="s">
        <v>280</v>
      </c>
      <c r="B436" s="124" t="s">
        <v>281</v>
      </c>
      <c r="C436" s="124" t="s">
        <v>81</v>
      </c>
      <c r="D436" s="124"/>
      <c r="E436" s="124"/>
      <c r="F436" s="124"/>
      <c r="G436" s="124" t="s">
        <v>88</v>
      </c>
      <c r="H436" s="130" t="s">
        <v>541</v>
      </c>
      <c r="I436" s="96">
        <v>67289</v>
      </c>
    </row>
    <row r="437" spans="1:9" s="115" customFormat="1" ht="17.25" x14ac:dyDescent="0.35">
      <c r="A437" s="129" t="s">
        <v>306</v>
      </c>
      <c r="B437" s="124" t="s">
        <v>307</v>
      </c>
      <c r="C437" s="124" t="s">
        <v>116</v>
      </c>
      <c r="D437" s="124"/>
      <c r="E437" s="124"/>
      <c r="F437" s="124"/>
      <c r="G437" s="124" t="s">
        <v>88</v>
      </c>
      <c r="H437" s="130"/>
      <c r="I437" s="96">
        <v>66042</v>
      </c>
    </row>
    <row r="438" spans="1:9" s="115" customFormat="1" ht="17.25" x14ac:dyDescent="0.35">
      <c r="A438" s="129"/>
      <c r="B438" s="124"/>
      <c r="C438" s="124"/>
      <c r="D438" s="124" t="s">
        <v>79</v>
      </c>
      <c r="E438" s="124">
        <v>1</v>
      </c>
      <c r="F438" s="124">
        <v>0</v>
      </c>
      <c r="G438" s="124"/>
      <c r="H438" s="130"/>
      <c r="I438" s="96"/>
    </row>
    <row r="439" spans="1:9" s="115" customFormat="1" ht="17.25" x14ac:dyDescent="0.35">
      <c r="A439" s="129"/>
      <c r="B439" s="124"/>
      <c r="C439" s="124"/>
      <c r="D439" s="124" t="s">
        <v>79</v>
      </c>
      <c r="E439" s="124">
        <v>1</v>
      </c>
      <c r="F439" s="124">
        <v>0</v>
      </c>
      <c r="G439" s="124"/>
      <c r="H439" s="130"/>
      <c r="I439" s="96"/>
    </row>
    <row r="440" spans="1:9" s="115" customFormat="1" ht="17.25" x14ac:dyDescent="0.35">
      <c r="A440" s="129"/>
      <c r="B440" s="124"/>
      <c r="C440" s="124"/>
      <c r="D440" s="124" t="s">
        <v>79</v>
      </c>
      <c r="E440" s="124">
        <v>1</v>
      </c>
      <c r="F440" s="124">
        <v>8</v>
      </c>
      <c r="G440" s="124"/>
      <c r="H440" s="130"/>
      <c r="I440" s="96"/>
    </row>
    <row r="441" spans="1:9" s="115" customFormat="1" ht="17.25" x14ac:dyDescent="0.35">
      <c r="A441" s="129"/>
      <c r="B441" s="124"/>
      <c r="C441" s="124"/>
      <c r="D441" s="124" t="s">
        <v>79</v>
      </c>
      <c r="E441" s="124">
        <v>1</v>
      </c>
      <c r="F441" s="124">
        <v>30</v>
      </c>
      <c r="G441" s="124"/>
      <c r="H441" s="130"/>
      <c r="I441" s="96"/>
    </row>
    <row r="442" spans="1:9" s="115" customFormat="1" ht="17.25" x14ac:dyDescent="0.35">
      <c r="A442" s="129"/>
      <c r="B442" s="124"/>
      <c r="C442" s="124"/>
      <c r="D442" s="124" t="s">
        <v>79</v>
      </c>
      <c r="E442" s="124">
        <v>4</v>
      </c>
      <c r="F442" s="124" t="s">
        <v>105</v>
      </c>
      <c r="G442" s="124"/>
      <c r="H442" s="130"/>
      <c r="I442" s="96"/>
    </row>
    <row r="443" spans="1:9" s="115" customFormat="1" ht="17.25" x14ac:dyDescent="0.35">
      <c r="A443" s="129" t="s">
        <v>308</v>
      </c>
      <c r="B443" s="124" t="s">
        <v>309</v>
      </c>
      <c r="C443" s="124" t="s">
        <v>116</v>
      </c>
      <c r="D443" s="124"/>
      <c r="E443" s="124"/>
      <c r="F443" s="124"/>
      <c r="G443" s="124" t="s">
        <v>88</v>
      </c>
      <c r="H443" s="130"/>
      <c r="I443" s="96">
        <v>66043</v>
      </c>
    </row>
    <row r="444" spans="1:9" s="115" customFormat="1" ht="17.25" x14ac:dyDescent="0.35">
      <c r="A444" s="129"/>
      <c r="B444" s="124"/>
      <c r="C444" s="124"/>
      <c r="D444" s="124" t="s">
        <v>79</v>
      </c>
      <c r="E444" s="124">
        <v>1</v>
      </c>
      <c r="F444" s="124">
        <v>0</v>
      </c>
      <c r="G444" s="124"/>
      <c r="H444" s="130"/>
      <c r="I444" s="96"/>
    </row>
    <row r="445" spans="1:9" s="115" customFormat="1" ht="17.25" x14ac:dyDescent="0.35">
      <c r="A445" s="129"/>
      <c r="B445" s="124"/>
      <c r="C445" s="124"/>
      <c r="D445" s="124" t="s">
        <v>79</v>
      </c>
      <c r="E445" s="124">
        <v>1</v>
      </c>
      <c r="F445" s="124">
        <v>-100</v>
      </c>
      <c r="G445" s="124"/>
      <c r="H445" s="130"/>
      <c r="I445" s="96"/>
    </row>
    <row r="446" spans="1:9" s="115" customFormat="1" ht="17.25" x14ac:dyDescent="0.35">
      <c r="A446" s="129"/>
      <c r="B446" s="124"/>
      <c r="C446" s="124"/>
      <c r="D446" s="124" t="s">
        <v>79</v>
      </c>
      <c r="E446" s="124">
        <v>2</v>
      </c>
      <c r="F446" s="124">
        <v>-128</v>
      </c>
      <c r="G446" s="124"/>
      <c r="H446" s="130"/>
      <c r="I446" s="96"/>
    </row>
    <row r="447" spans="1:9" s="115" customFormat="1" ht="17.25" x14ac:dyDescent="0.35">
      <c r="A447" s="129"/>
      <c r="B447" s="124"/>
      <c r="C447" s="124"/>
      <c r="D447" s="124" t="s">
        <v>79</v>
      </c>
      <c r="E447" s="124">
        <v>1</v>
      </c>
      <c r="F447" s="124">
        <v>-95</v>
      </c>
      <c r="G447" s="124"/>
      <c r="H447" s="130"/>
      <c r="I447" s="96"/>
    </row>
    <row r="448" spans="1:9" s="115" customFormat="1" ht="17.25" x14ac:dyDescent="0.35">
      <c r="A448" s="129"/>
      <c r="B448" s="124"/>
      <c r="C448" s="124"/>
      <c r="D448" s="124" t="s">
        <v>79</v>
      </c>
      <c r="E448" s="124">
        <v>2</v>
      </c>
      <c r="F448" s="124">
        <v>-120</v>
      </c>
      <c r="G448" s="124"/>
      <c r="H448" s="130"/>
      <c r="I448" s="96"/>
    </row>
    <row r="449" spans="1:9" s="115" customFormat="1" ht="17.25" x14ac:dyDescent="0.35">
      <c r="A449" s="129"/>
      <c r="B449" s="124"/>
      <c r="C449" s="124"/>
      <c r="D449" s="124" t="s">
        <v>79</v>
      </c>
      <c r="E449" s="124">
        <v>1</v>
      </c>
      <c r="F449" s="124">
        <v>0</v>
      </c>
      <c r="G449" s="124"/>
      <c r="H449" s="130"/>
      <c r="I449" s="96"/>
    </row>
    <row r="450" spans="1:9" s="115" customFormat="1" ht="17.25" x14ac:dyDescent="0.35">
      <c r="A450" s="129" t="s">
        <v>442</v>
      </c>
      <c r="B450" s="124" t="s">
        <v>443</v>
      </c>
      <c r="C450" s="124" t="s">
        <v>116</v>
      </c>
      <c r="D450" s="124"/>
      <c r="E450" s="124"/>
      <c r="F450" s="124"/>
      <c r="G450" s="124" t="s">
        <v>984</v>
      </c>
      <c r="H450" s="130"/>
      <c r="I450" s="96">
        <v>70202</v>
      </c>
    </row>
    <row r="451" spans="1:9" s="115" customFormat="1" ht="17.25" x14ac:dyDescent="0.35">
      <c r="A451" s="129"/>
      <c r="B451" s="124"/>
      <c r="C451" s="124"/>
      <c r="D451" s="124" t="s">
        <v>79</v>
      </c>
      <c r="E451" s="124">
        <v>1</v>
      </c>
      <c r="F451" s="124">
        <v>0</v>
      </c>
      <c r="G451" s="124"/>
      <c r="H451" s="130"/>
      <c r="I451" s="96"/>
    </row>
    <row r="452" spans="1:9" s="115" customFormat="1" ht="17.25" x14ac:dyDescent="0.35">
      <c r="A452" s="129" t="s">
        <v>444</v>
      </c>
      <c r="B452" s="124" t="s">
        <v>445</v>
      </c>
      <c r="C452" s="124" t="s">
        <v>81</v>
      </c>
      <c r="D452" s="124"/>
      <c r="E452" s="124"/>
      <c r="F452" s="124"/>
      <c r="G452" s="124" t="s">
        <v>984</v>
      </c>
      <c r="H452" s="130" t="s">
        <v>976</v>
      </c>
      <c r="I452" s="96">
        <v>70291</v>
      </c>
    </row>
    <row r="453" spans="1:9" s="115" customFormat="1" ht="17.25" x14ac:dyDescent="0.35">
      <c r="A453" s="129" t="s">
        <v>446</v>
      </c>
      <c r="B453" s="124" t="s">
        <v>447</v>
      </c>
      <c r="C453" s="124" t="s">
        <v>116</v>
      </c>
      <c r="D453" s="124"/>
      <c r="E453" s="124"/>
      <c r="F453" s="124"/>
      <c r="G453" s="124" t="s">
        <v>984</v>
      </c>
      <c r="H453" s="130"/>
      <c r="I453" s="96">
        <v>70233</v>
      </c>
    </row>
    <row r="454" spans="1:9" s="115" customFormat="1" ht="17.25" x14ac:dyDescent="0.35">
      <c r="A454" s="129"/>
      <c r="B454" s="124"/>
      <c r="C454" s="124"/>
      <c r="D454" s="124" t="s">
        <v>79</v>
      </c>
      <c r="E454" s="124">
        <v>1</v>
      </c>
      <c r="F454" s="124">
        <v>0</v>
      </c>
      <c r="G454" s="124"/>
      <c r="H454" s="130"/>
      <c r="I454" s="96" t="s">
        <v>448</v>
      </c>
    </row>
    <row r="455" spans="1:9" s="115" customFormat="1" ht="17.25" x14ac:dyDescent="0.35">
      <c r="A455" s="129"/>
      <c r="B455" s="124"/>
      <c r="C455" s="124"/>
      <c r="D455" s="124" t="s">
        <v>79</v>
      </c>
      <c r="E455" s="124">
        <v>1</v>
      </c>
      <c r="F455" s="124">
        <v>1</v>
      </c>
      <c r="G455" s="124"/>
      <c r="H455" s="130"/>
      <c r="I455" s="96" t="s">
        <v>449</v>
      </c>
    </row>
    <row r="456" spans="1:9" s="115" customFormat="1" ht="17.25" x14ac:dyDescent="0.35">
      <c r="A456" s="129"/>
      <c r="B456" s="124"/>
      <c r="C456" s="124"/>
      <c r="D456" s="124" t="s">
        <v>79</v>
      </c>
      <c r="E456" s="124">
        <v>1</v>
      </c>
      <c r="F456" s="124">
        <v>0</v>
      </c>
      <c r="G456" s="124"/>
      <c r="H456" s="130"/>
      <c r="I456" s="96" t="s">
        <v>450</v>
      </c>
    </row>
    <row r="457" spans="1:9" s="115" customFormat="1" ht="17.25" x14ac:dyDescent="0.35">
      <c r="A457" s="129"/>
      <c r="B457" s="124"/>
      <c r="C457" s="124"/>
      <c r="D457" s="124" t="s">
        <v>79</v>
      </c>
      <c r="E457" s="124">
        <v>1</v>
      </c>
      <c r="F457" s="124"/>
      <c r="G457" s="124"/>
      <c r="H457" s="130"/>
      <c r="I457" s="96" t="s">
        <v>451</v>
      </c>
    </row>
    <row r="458" spans="1:9" s="115" customFormat="1" ht="17.25" x14ac:dyDescent="0.35">
      <c r="A458" s="129"/>
      <c r="B458" s="124"/>
      <c r="C458" s="124"/>
      <c r="D458" s="124" t="s">
        <v>79</v>
      </c>
      <c r="E458" s="124">
        <v>1</v>
      </c>
      <c r="F458" s="124"/>
      <c r="G458" s="124"/>
      <c r="H458" s="130"/>
      <c r="I458" s="96" t="s">
        <v>452</v>
      </c>
    </row>
    <row r="459" spans="1:9" s="115" customFormat="1" ht="17.25" x14ac:dyDescent="0.35">
      <c r="A459" s="129"/>
      <c r="B459" s="124"/>
      <c r="C459" s="124"/>
      <c r="D459" s="124" t="s">
        <v>79</v>
      </c>
      <c r="E459" s="124">
        <v>1</v>
      </c>
      <c r="F459" s="124">
        <v>0</v>
      </c>
      <c r="G459" s="124"/>
      <c r="H459" s="130"/>
      <c r="I459" s="96" t="s">
        <v>453</v>
      </c>
    </row>
    <row r="460" spans="1:9" s="115" customFormat="1" ht="17.25" x14ac:dyDescent="0.35">
      <c r="A460" s="129"/>
      <c r="B460" s="124"/>
      <c r="C460" s="124"/>
      <c r="D460" s="124" t="s">
        <v>79</v>
      </c>
      <c r="E460" s="124">
        <v>1</v>
      </c>
      <c r="F460" s="124">
        <v>0</v>
      </c>
      <c r="G460" s="124"/>
      <c r="H460" s="130"/>
      <c r="I460" s="96" t="s">
        <v>454</v>
      </c>
    </row>
    <row r="461" spans="1:9" s="115" customFormat="1" ht="17.25" x14ac:dyDescent="0.35">
      <c r="A461" s="129"/>
      <c r="B461" s="124"/>
      <c r="C461" s="124"/>
      <c r="D461" s="124" t="s">
        <v>79</v>
      </c>
      <c r="E461" s="124">
        <v>1</v>
      </c>
      <c r="F461" s="124">
        <v>0</v>
      </c>
      <c r="G461" s="124"/>
      <c r="H461" s="130"/>
      <c r="I461" s="96" t="s">
        <v>455</v>
      </c>
    </row>
    <row r="462" spans="1:9" s="115" customFormat="1" ht="17.25" x14ac:dyDescent="0.35">
      <c r="A462" s="129"/>
      <c r="B462" s="124"/>
      <c r="C462" s="124"/>
      <c r="D462" s="124" t="s">
        <v>79</v>
      </c>
      <c r="E462" s="124">
        <v>1</v>
      </c>
      <c r="F462" s="124">
        <v>0</v>
      </c>
      <c r="G462" s="124"/>
      <c r="H462" s="130"/>
      <c r="I462" s="96" t="s">
        <v>456</v>
      </c>
    </row>
    <row r="463" spans="1:9" s="115" customFormat="1" ht="17.25" x14ac:dyDescent="0.35">
      <c r="A463" s="129"/>
      <c r="B463" s="124"/>
      <c r="C463" s="124"/>
      <c r="D463" s="124" t="s">
        <v>79</v>
      </c>
      <c r="E463" s="124">
        <v>1</v>
      </c>
      <c r="F463" s="124"/>
      <c r="G463" s="124"/>
      <c r="H463" s="130"/>
      <c r="I463" s="96" t="s">
        <v>457</v>
      </c>
    </row>
    <row r="464" spans="1:9" s="115" customFormat="1" ht="17.25" x14ac:dyDescent="0.35">
      <c r="A464" s="129"/>
      <c r="B464" s="124"/>
      <c r="C464" s="124"/>
      <c r="D464" s="124" t="s">
        <v>79</v>
      </c>
      <c r="E464" s="124">
        <v>1</v>
      </c>
      <c r="F464" s="124"/>
      <c r="G464" s="124"/>
      <c r="H464" s="130"/>
      <c r="I464" s="96" t="s">
        <v>458</v>
      </c>
    </row>
    <row r="465" spans="1:9" s="115" customFormat="1" ht="17.25" x14ac:dyDescent="0.35">
      <c r="A465" s="129"/>
      <c r="B465" s="124"/>
      <c r="C465" s="124"/>
      <c r="D465" s="124" t="s">
        <v>79</v>
      </c>
      <c r="E465" s="124">
        <v>1</v>
      </c>
      <c r="F465" s="124"/>
      <c r="G465" s="124"/>
      <c r="H465" s="130"/>
      <c r="I465" s="96" t="s">
        <v>459</v>
      </c>
    </row>
    <row r="466" spans="1:9" s="115" customFormat="1" ht="17.25" x14ac:dyDescent="0.35">
      <c r="A466" s="129"/>
      <c r="B466" s="124"/>
      <c r="C466" s="124"/>
      <c r="D466" s="124" t="s">
        <v>79</v>
      </c>
      <c r="E466" s="124">
        <v>1</v>
      </c>
      <c r="F466" s="124"/>
      <c r="G466" s="124"/>
      <c r="H466" s="130"/>
      <c r="I466" s="96" t="s">
        <v>460</v>
      </c>
    </row>
    <row r="467" spans="1:9" s="115" customFormat="1" ht="17.25" x14ac:dyDescent="0.35">
      <c r="A467" s="129"/>
      <c r="B467" s="124"/>
      <c r="C467" s="124"/>
      <c r="D467" s="124" t="s">
        <v>79</v>
      </c>
      <c r="E467" s="124">
        <v>1</v>
      </c>
      <c r="F467" s="124"/>
      <c r="G467" s="124"/>
      <c r="H467" s="130"/>
      <c r="I467" s="96" t="s">
        <v>461</v>
      </c>
    </row>
    <row r="468" spans="1:9" s="115" customFormat="1" ht="17.25" x14ac:dyDescent="0.35">
      <c r="A468" s="129"/>
      <c r="B468" s="124"/>
      <c r="C468" s="124"/>
      <c r="D468" s="124" t="s">
        <v>79</v>
      </c>
      <c r="E468" s="124">
        <v>1</v>
      </c>
      <c r="F468" s="124"/>
      <c r="G468" s="124"/>
      <c r="H468" s="130"/>
      <c r="I468" s="96" t="s">
        <v>462</v>
      </c>
    </row>
    <row r="469" spans="1:9" s="115" customFormat="1" ht="17.25" x14ac:dyDescent="0.35">
      <c r="A469" s="129"/>
      <c r="B469" s="124"/>
      <c r="C469" s="124"/>
      <c r="D469" s="124" t="s">
        <v>79</v>
      </c>
      <c r="E469" s="124">
        <v>1</v>
      </c>
      <c r="F469" s="124"/>
      <c r="G469" s="124"/>
      <c r="H469" s="130"/>
      <c r="I469" s="96" t="s">
        <v>463</v>
      </c>
    </row>
    <row r="470" spans="1:9" s="115" customFormat="1" ht="17.25" x14ac:dyDescent="0.35">
      <c r="A470" s="129"/>
      <c r="B470" s="124"/>
      <c r="C470" s="124"/>
      <c r="D470" s="124" t="s">
        <v>79</v>
      </c>
      <c r="E470" s="124">
        <v>1</v>
      </c>
      <c r="F470" s="124"/>
      <c r="G470" s="124"/>
      <c r="H470" s="130"/>
      <c r="I470" s="96" t="s">
        <v>464</v>
      </c>
    </row>
    <row r="471" spans="1:9" s="115" customFormat="1" ht="17.25" x14ac:dyDescent="0.35">
      <c r="A471" s="129"/>
      <c r="B471" s="124"/>
      <c r="C471" s="124"/>
      <c r="D471" s="124" t="s">
        <v>79</v>
      </c>
      <c r="E471" s="124">
        <v>1</v>
      </c>
      <c r="F471" s="124"/>
      <c r="G471" s="124"/>
      <c r="H471" s="130"/>
      <c r="I471" s="96" t="s">
        <v>465</v>
      </c>
    </row>
    <row r="472" spans="1:9" s="115" customFormat="1" ht="17.25" x14ac:dyDescent="0.35">
      <c r="A472" s="129"/>
      <c r="B472" s="124"/>
      <c r="C472" s="124"/>
      <c r="D472" s="124" t="s">
        <v>79</v>
      </c>
      <c r="E472" s="124">
        <v>1</v>
      </c>
      <c r="F472" s="124">
        <v>0</v>
      </c>
      <c r="G472" s="124"/>
      <c r="H472" s="130"/>
      <c r="I472" s="96" t="s">
        <v>466</v>
      </c>
    </row>
    <row r="473" spans="1:9" s="115" customFormat="1" ht="17.25" x14ac:dyDescent="0.35">
      <c r="A473" s="129"/>
      <c r="B473" s="124"/>
      <c r="C473" s="124"/>
      <c r="D473" s="124" t="s">
        <v>468</v>
      </c>
      <c r="E473" s="124">
        <v>1</v>
      </c>
      <c r="F473" s="124"/>
      <c r="G473" s="124"/>
      <c r="H473" s="130"/>
      <c r="I473" s="96" t="s">
        <v>467</v>
      </c>
    </row>
    <row r="474" spans="1:9" s="115" customFormat="1" ht="17.25" x14ac:dyDescent="0.35">
      <c r="A474" s="129" t="s">
        <v>310</v>
      </c>
      <c r="B474" s="124" t="s">
        <v>311</v>
      </c>
      <c r="C474" s="124" t="s">
        <v>116</v>
      </c>
      <c r="D474" s="124"/>
      <c r="E474" s="124"/>
      <c r="F474" s="124"/>
      <c r="G474" s="124" t="s">
        <v>88</v>
      </c>
      <c r="H474" s="130"/>
      <c r="I474" s="96">
        <v>66011</v>
      </c>
    </row>
    <row r="475" spans="1:9" s="115" customFormat="1" ht="17.25" x14ac:dyDescent="0.35">
      <c r="A475" s="129"/>
      <c r="B475" s="124"/>
      <c r="C475" s="124"/>
      <c r="D475" s="124" t="s">
        <v>79</v>
      </c>
      <c r="E475" s="124">
        <v>1</v>
      </c>
      <c r="F475" s="124">
        <v>1</v>
      </c>
      <c r="G475" s="124"/>
      <c r="H475" s="130"/>
      <c r="I475" s="96"/>
    </row>
    <row r="476" spans="1:9" s="115" customFormat="1" ht="17.25" x14ac:dyDescent="0.35">
      <c r="A476" s="129" t="s">
        <v>312</v>
      </c>
      <c r="B476" s="124" t="s">
        <v>313</v>
      </c>
      <c r="C476" s="124" t="s">
        <v>116</v>
      </c>
      <c r="D476" s="124"/>
      <c r="E476" s="124"/>
      <c r="F476" s="124"/>
      <c r="G476" s="124" t="s">
        <v>88</v>
      </c>
      <c r="H476" s="130"/>
      <c r="I476" s="96">
        <v>66012</v>
      </c>
    </row>
    <row r="477" spans="1:9" s="119" customFormat="1" ht="17.25" x14ac:dyDescent="0.35">
      <c r="A477" s="129"/>
      <c r="B477" s="124"/>
      <c r="C477" s="124"/>
      <c r="D477" s="124" t="s">
        <v>79</v>
      </c>
      <c r="E477" s="124">
        <v>1</v>
      </c>
      <c r="F477" s="124">
        <v>1</v>
      </c>
      <c r="G477" s="124"/>
      <c r="H477" s="130"/>
      <c r="I477" s="96"/>
    </row>
    <row r="478" spans="1:9" s="119" customFormat="1" ht="17.25" x14ac:dyDescent="0.35">
      <c r="A478" s="129" t="s">
        <v>314</v>
      </c>
      <c r="B478" s="124" t="s">
        <v>315</v>
      </c>
      <c r="C478" s="124" t="s">
        <v>116</v>
      </c>
      <c r="D478" s="124"/>
      <c r="E478" s="124"/>
      <c r="F478" s="124"/>
      <c r="G478" s="124" t="s">
        <v>88</v>
      </c>
      <c r="H478" s="130"/>
      <c r="I478" s="96">
        <v>66013</v>
      </c>
    </row>
    <row r="479" spans="1:9" s="119" customFormat="1" ht="17.25" x14ac:dyDescent="0.35">
      <c r="A479" s="129"/>
      <c r="B479" s="124"/>
      <c r="C479" s="124"/>
      <c r="D479" s="124" t="s">
        <v>79</v>
      </c>
      <c r="E479" s="124">
        <v>1</v>
      </c>
      <c r="F479" s="124">
        <v>0</v>
      </c>
      <c r="G479" s="124"/>
      <c r="H479" s="130"/>
      <c r="I479" s="96"/>
    </row>
    <row r="480" spans="1:9" s="119" customFormat="1" ht="17.25" x14ac:dyDescent="0.35">
      <c r="A480" s="129" t="s">
        <v>316</v>
      </c>
      <c r="B480" s="124" t="s">
        <v>317</v>
      </c>
      <c r="C480" s="124" t="s">
        <v>116</v>
      </c>
      <c r="D480" s="124"/>
      <c r="E480" s="124"/>
      <c r="F480" s="124"/>
      <c r="G480" s="124" t="s">
        <v>88</v>
      </c>
      <c r="H480" s="130"/>
      <c r="I480" s="96">
        <v>66017</v>
      </c>
    </row>
    <row r="481" spans="1:9" s="119" customFormat="1" ht="17.25" x14ac:dyDescent="0.35">
      <c r="A481" s="129"/>
      <c r="B481" s="124"/>
      <c r="C481" s="124"/>
      <c r="D481" s="124" t="s">
        <v>79</v>
      </c>
      <c r="E481" s="124">
        <v>4</v>
      </c>
      <c r="F481" s="124">
        <v>3</v>
      </c>
      <c r="G481" s="124"/>
      <c r="H481" s="130"/>
      <c r="I481" s="96"/>
    </row>
    <row r="482" spans="1:9" s="119" customFormat="1" ht="17.25" x14ac:dyDescent="0.35">
      <c r="A482" s="135" t="s">
        <v>575</v>
      </c>
      <c r="B482" s="124" t="s">
        <v>576</v>
      </c>
      <c r="C482" s="124" t="s">
        <v>116</v>
      </c>
      <c r="D482" s="124"/>
      <c r="E482" s="124"/>
      <c r="F482" s="124"/>
      <c r="G482" s="124" t="s">
        <v>88</v>
      </c>
      <c r="H482" s="130"/>
      <c r="I482" s="103">
        <v>69739</v>
      </c>
    </row>
    <row r="483" spans="1:9" s="119" customFormat="1" ht="17.25" x14ac:dyDescent="0.35">
      <c r="A483" s="135"/>
      <c r="B483" s="124"/>
      <c r="C483" s="124"/>
      <c r="D483" s="124" t="s">
        <v>79</v>
      </c>
      <c r="E483" s="124">
        <v>1</v>
      </c>
      <c r="F483" s="124">
        <v>1</v>
      </c>
      <c r="G483" s="124"/>
      <c r="H483" s="130"/>
      <c r="I483" s="103" t="s">
        <v>33</v>
      </c>
    </row>
    <row r="484" spans="1:9" ht="17.25" x14ac:dyDescent="0.35">
      <c r="A484" s="135"/>
      <c r="B484" s="124"/>
      <c r="C484" s="124"/>
      <c r="D484" s="124" t="s">
        <v>79</v>
      </c>
      <c r="E484" s="124">
        <v>4</v>
      </c>
      <c r="F484" s="124">
        <v>1000</v>
      </c>
      <c r="G484" s="124"/>
      <c r="H484" s="130"/>
      <c r="I484" s="103" t="s">
        <v>577</v>
      </c>
    </row>
    <row r="485" spans="1:9" ht="17.25" x14ac:dyDescent="0.35">
      <c r="A485" s="135" t="s">
        <v>544</v>
      </c>
      <c r="B485" s="124" t="s">
        <v>543</v>
      </c>
      <c r="C485" s="124" t="s">
        <v>116</v>
      </c>
      <c r="D485" s="124"/>
      <c r="E485" s="124"/>
      <c r="F485" s="124"/>
      <c r="G485" s="124" t="s">
        <v>88</v>
      </c>
      <c r="H485" s="130"/>
      <c r="I485" s="103">
        <v>67208</v>
      </c>
    </row>
    <row r="486" spans="1:9" s="15" customFormat="1" ht="17.25" x14ac:dyDescent="0.35">
      <c r="A486" s="135"/>
      <c r="B486" s="124"/>
      <c r="C486" s="124"/>
      <c r="D486" s="124" t="s">
        <v>79</v>
      </c>
      <c r="E486" s="124">
        <v>1</v>
      </c>
      <c r="F486" s="124">
        <v>1</v>
      </c>
      <c r="G486" s="124"/>
      <c r="H486" s="130"/>
      <c r="I486" s="103"/>
    </row>
    <row r="487" spans="1:9" ht="51.75" x14ac:dyDescent="0.35">
      <c r="A487" s="135" t="s">
        <v>798</v>
      </c>
      <c r="B487" s="124" t="s">
        <v>986</v>
      </c>
      <c r="C487" s="124" t="s">
        <v>81</v>
      </c>
      <c r="D487" s="124"/>
      <c r="E487" s="124"/>
      <c r="F487" s="124"/>
      <c r="G487" s="124" t="s">
        <v>984</v>
      </c>
      <c r="H487" s="130" t="s">
        <v>795</v>
      </c>
      <c r="I487" s="103" t="s">
        <v>794</v>
      </c>
    </row>
    <row r="488" spans="1:9" ht="17.25" x14ac:dyDescent="0.35">
      <c r="A488" s="135" t="s">
        <v>177</v>
      </c>
      <c r="B488" s="124" t="s">
        <v>983</v>
      </c>
      <c r="C488" s="124" t="s">
        <v>81</v>
      </c>
      <c r="D488" s="124"/>
      <c r="E488" s="124"/>
      <c r="F488" s="124"/>
      <c r="G488" s="124" t="s">
        <v>984</v>
      </c>
      <c r="H488" s="130" t="s">
        <v>768</v>
      </c>
      <c r="I488" s="120" t="s">
        <v>542</v>
      </c>
    </row>
    <row r="489" spans="1:9" ht="17.25" x14ac:dyDescent="0.35">
      <c r="A489" s="135" t="s">
        <v>979</v>
      </c>
      <c r="B489" s="124" t="s">
        <v>985</v>
      </c>
      <c r="C489" s="124" t="s">
        <v>81</v>
      </c>
      <c r="D489" s="124"/>
      <c r="E489" s="124"/>
      <c r="F489" s="124"/>
      <c r="G489" s="124" t="s">
        <v>984</v>
      </c>
      <c r="H489" s="130" t="s">
        <v>980</v>
      </c>
      <c r="I489" s="120" t="s">
        <v>542</v>
      </c>
    </row>
    <row r="490" spans="1:9" ht="17.25" x14ac:dyDescent="0.35">
      <c r="A490" s="135" t="s">
        <v>769</v>
      </c>
      <c r="B490" s="124" t="s">
        <v>987</v>
      </c>
      <c r="C490" s="124" t="s">
        <v>81</v>
      </c>
      <c r="D490" s="124"/>
      <c r="E490" s="124"/>
      <c r="F490" s="124"/>
      <c r="G490" s="124" t="s">
        <v>984</v>
      </c>
      <c r="H490" s="130" t="s">
        <v>770</v>
      </c>
      <c r="I490" s="120" t="s">
        <v>542</v>
      </c>
    </row>
    <row r="491" spans="1:9" ht="17.25" x14ac:dyDescent="0.35">
      <c r="A491" s="135" t="s">
        <v>771</v>
      </c>
      <c r="B491" s="124" t="s">
        <v>988</v>
      </c>
      <c r="C491" s="124" t="s">
        <v>81</v>
      </c>
      <c r="D491" s="124"/>
      <c r="E491" s="124"/>
      <c r="F491" s="124"/>
      <c r="G491" s="124" t="s">
        <v>984</v>
      </c>
      <c r="H491" s="130" t="s">
        <v>772</v>
      </c>
      <c r="I491" s="120" t="s">
        <v>773</v>
      </c>
    </row>
    <row r="492" spans="1:9" ht="17.25" x14ac:dyDescent="0.35">
      <c r="A492" s="135" t="s">
        <v>774</v>
      </c>
      <c r="B492" s="124" t="s">
        <v>989</v>
      </c>
      <c r="C492" s="124" t="s">
        <v>81</v>
      </c>
      <c r="D492" s="124"/>
      <c r="E492" s="124"/>
      <c r="F492" s="124"/>
      <c r="G492" s="124" t="s">
        <v>984</v>
      </c>
      <c r="H492" s="130" t="s">
        <v>775</v>
      </c>
      <c r="I492" s="120" t="s">
        <v>589</v>
      </c>
    </row>
    <row r="493" spans="1:9" ht="17.25" x14ac:dyDescent="0.35">
      <c r="A493" s="135" t="s">
        <v>776</v>
      </c>
      <c r="B493" s="124" t="s">
        <v>990</v>
      </c>
      <c r="C493" s="124" t="s">
        <v>81</v>
      </c>
      <c r="D493" s="124"/>
      <c r="E493" s="124"/>
      <c r="F493" s="124"/>
      <c r="G493" s="124" t="s">
        <v>984</v>
      </c>
      <c r="H493" s="130" t="s">
        <v>777</v>
      </c>
      <c r="I493" s="120" t="s">
        <v>588</v>
      </c>
    </row>
    <row r="494" spans="1:9" ht="17.25" x14ac:dyDescent="0.35">
      <c r="A494" s="135" t="s">
        <v>778</v>
      </c>
      <c r="B494" s="124" t="s">
        <v>991</v>
      </c>
      <c r="C494" s="124" t="s">
        <v>81</v>
      </c>
      <c r="D494" s="124"/>
      <c r="E494" s="124"/>
      <c r="F494" s="124"/>
      <c r="G494" s="124" t="s">
        <v>984</v>
      </c>
      <c r="H494" s="130" t="s">
        <v>779</v>
      </c>
      <c r="I494" s="120" t="s">
        <v>590</v>
      </c>
    </row>
    <row r="495" spans="1:9" ht="17.25" x14ac:dyDescent="0.35">
      <c r="A495" s="135" t="s">
        <v>780</v>
      </c>
      <c r="B495" s="124" t="s">
        <v>992</v>
      </c>
      <c r="C495" s="124" t="s">
        <v>81</v>
      </c>
      <c r="D495" s="124"/>
      <c r="E495" s="124"/>
      <c r="F495" s="124"/>
      <c r="G495" s="124" t="s">
        <v>984</v>
      </c>
      <c r="H495" s="130" t="s">
        <v>781</v>
      </c>
      <c r="I495" s="120" t="s">
        <v>760</v>
      </c>
    </row>
    <row r="496" spans="1:9" ht="17.25" x14ac:dyDescent="0.35">
      <c r="A496" s="129" t="s">
        <v>224</v>
      </c>
      <c r="B496" s="125" t="s">
        <v>227</v>
      </c>
      <c r="C496" s="124" t="s">
        <v>81</v>
      </c>
      <c r="D496" s="125"/>
      <c r="E496" s="108"/>
      <c r="F496" s="125"/>
      <c r="G496" s="136" t="s">
        <v>6</v>
      </c>
      <c r="H496" s="137"/>
      <c r="I496" s="122" t="s">
        <v>226</v>
      </c>
    </row>
    <row r="497" spans="1:9" ht="18" thickBot="1" x14ac:dyDescent="0.4">
      <c r="A497" s="138" t="s">
        <v>225</v>
      </c>
      <c r="B497" s="139" t="s">
        <v>228</v>
      </c>
      <c r="C497" s="140" t="s">
        <v>81</v>
      </c>
      <c r="D497" s="139"/>
      <c r="E497" s="141"/>
      <c r="F497" s="139"/>
      <c r="G497" s="142" t="s">
        <v>6</v>
      </c>
      <c r="H497" s="143"/>
      <c r="I497" s="123" t="s">
        <v>245</v>
      </c>
    </row>
    <row r="498" spans="1:9" ht="13.5" thickBot="1" x14ac:dyDescent="0.25">
      <c r="A498" s="63"/>
      <c r="B498" s="63"/>
      <c r="C498" s="63"/>
      <c r="D498" s="63"/>
      <c r="E498" s="63"/>
      <c r="F498" s="63"/>
      <c r="G498" s="63"/>
      <c r="H498" s="64"/>
      <c r="I498" s="63"/>
    </row>
    <row r="499" spans="1:9" s="7" customFormat="1" ht="19.5" x14ac:dyDescent="0.4">
      <c r="A499" s="194" t="s">
        <v>192</v>
      </c>
      <c r="B499" s="195"/>
      <c r="C499" s="195"/>
      <c r="D499" s="195"/>
      <c r="E499" s="195"/>
      <c r="F499" s="195"/>
      <c r="G499" s="195"/>
      <c r="H499" s="196"/>
      <c r="I499" s="20"/>
    </row>
    <row r="500" spans="1:9" ht="17.25" x14ac:dyDescent="0.35">
      <c r="A500" s="35" t="s">
        <v>209</v>
      </c>
      <c r="B500" s="35"/>
      <c r="C500" s="35" t="s">
        <v>76</v>
      </c>
      <c r="D500" s="35" t="s">
        <v>210</v>
      </c>
      <c r="E500" s="35" t="s">
        <v>211</v>
      </c>
      <c r="F500" s="35" t="s">
        <v>212</v>
      </c>
      <c r="G500" s="35" t="s">
        <v>84</v>
      </c>
      <c r="H500" s="36"/>
    </row>
    <row r="501" spans="1:9" ht="17.25" x14ac:dyDescent="0.35">
      <c r="A501" s="35" t="s">
        <v>208</v>
      </c>
      <c r="B501" s="35"/>
      <c r="C501" s="23" t="s">
        <v>193</v>
      </c>
      <c r="D501" s="23"/>
      <c r="E501" s="23"/>
      <c r="F501" s="183"/>
      <c r="G501" s="23" t="s">
        <v>60</v>
      </c>
      <c r="H501" s="36"/>
    </row>
    <row r="502" spans="1:9" ht="17.25" x14ac:dyDescent="0.35">
      <c r="A502" s="35" t="s">
        <v>194</v>
      </c>
      <c r="B502" s="35"/>
      <c r="C502" s="23"/>
      <c r="D502" s="23" t="s">
        <v>79</v>
      </c>
      <c r="E502" s="23">
        <v>1</v>
      </c>
      <c r="F502" s="183">
        <v>0</v>
      </c>
      <c r="G502" s="23"/>
      <c r="H502" s="36"/>
    </row>
    <row r="503" spans="1:9" ht="17.25" x14ac:dyDescent="0.35">
      <c r="A503" s="35" t="s">
        <v>195</v>
      </c>
      <c r="B503" s="35"/>
      <c r="C503" s="23"/>
      <c r="D503" s="23" t="s">
        <v>79</v>
      </c>
      <c r="E503" s="23">
        <v>2</v>
      </c>
      <c r="F503" s="183">
        <v>2</v>
      </c>
      <c r="G503" s="23"/>
      <c r="H503" s="36"/>
    </row>
    <row r="504" spans="1:9" ht="17.25" x14ac:dyDescent="0.35">
      <c r="A504" s="35" t="s">
        <v>196</v>
      </c>
      <c r="B504" s="35"/>
      <c r="C504" s="23"/>
      <c r="D504" s="23" t="s">
        <v>79</v>
      </c>
      <c r="E504" s="23">
        <v>2</v>
      </c>
      <c r="F504" s="183" t="s">
        <v>213</v>
      </c>
      <c r="G504" s="23"/>
      <c r="H504" s="36"/>
    </row>
    <row r="505" spans="1:9" ht="17.25" x14ac:dyDescent="0.35">
      <c r="A505" s="35" t="s">
        <v>197</v>
      </c>
      <c r="B505" s="35"/>
      <c r="C505" s="23"/>
      <c r="D505" s="23" t="s">
        <v>79</v>
      </c>
      <c r="E505" s="23">
        <v>1</v>
      </c>
      <c r="F505" s="183" t="s">
        <v>4</v>
      </c>
      <c r="G505" s="23"/>
      <c r="H505" s="36"/>
    </row>
    <row r="506" spans="1:9" ht="17.25" x14ac:dyDescent="0.35">
      <c r="A506" s="35" t="s">
        <v>198</v>
      </c>
      <c r="B506" s="35"/>
      <c r="C506" s="23"/>
      <c r="D506" s="23" t="s">
        <v>79</v>
      </c>
      <c r="E506" s="23">
        <v>2</v>
      </c>
      <c r="F506" s="183">
        <v>4</v>
      </c>
      <c r="G506" s="23"/>
      <c r="H506" s="36"/>
    </row>
    <row r="507" spans="1:9" ht="17.25" x14ac:dyDescent="0.35">
      <c r="A507" s="37" t="s">
        <v>199</v>
      </c>
      <c r="B507" s="37"/>
      <c r="C507" s="14"/>
      <c r="D507" s="14" t="s">
        <v>79</v>
      </c>
      <c r="E507" s="14">
        <f>F506</f>
        <v>4</v>
      </c>
      <c r="F507" s="184" t="s">
        <v>1027</v>
      </c>
      <c r="G507" s="14"/>
      <c r="H507" s="38"/>
      <c r="I507" s="15"/>
    </row>
    <row r="508" spans="1:9" ht="17.25" x14ac:dyDescent="0.35">
      <c r="A508" s="35" t="s">
        <v>200</v>
      </c>
      <c r="B508" s="35"/>
      <c r="C508" s="23"/>
      <c r="D508" s="23" t="s">
        <v>79</v>
      </c>
      <c r="E508" s="23">
        <v>1</v>
      </c>
      <c r="F508" s="183" t="s">
        <v>5</v>
      </c>
      <c r="G508" s="23"/>
      <c r="H508" s="36"/>
    </row>
    <row r="509" spans="1:9" ht="17.25" x14ac:dyDescent="0.35">
      <c r="A509" s="35" t="s">
        <v>201</v>
      </c>
      <c r="B509" s="35"/>
      <c r="C509" s="23"/>
      <c r="D509" s="23" t="s">
        <v>79</v>
      </c>
      <c r="E509" s="23">
        <v>2</v>
      </c>
      <c r="F509" s="183">
        <f>LEN(F510)</f>
        <v>16</v>
      </c>
      <c r="G509" s="23"/>
      <c r="H509" s="36"/>
    </row>
    <row r="510" spans="1:9" ht="17.25" x14ac:dyDescent="0.35">
      <c r="A510" s="35" t="s">
        <v>202</v>
      </c>
      <c r="B510" s="35"/>
      <c r="C510" s="23"/>
      <c r="D510" s="23" t="s">
        <v>80</v>
      </c>
      <c r="E510" s="23">
        <f>F509</f>
        <v>16</v>
      </c>
      <c r="F510" s="183" t="s">
        <v>1025</v>
      </c>
      <c r="G510" s="23"/>
      <c r="H510" s="36"/>
    </row>
    <row r="511" spans="1:9" ht="17.25" x14ac:dyDescent="0.35">
      <c r="A511" s="35" t="s">
        <v>203</v>
      </c>
      <c r="B511" s="35"/>
      <c r="C511" s="23"/>
      <c r="D511" s="23" t="s">
        <v>79</v>
      </c>
      <c r="E511" s="23">
        <v>1</v>
      </c>
      <c r="F511" s="183" t="s">
        <v>214</v>
      </c>
      <c r="G511" s="23"/>
      <c r="H511" s="36"/>
    </row>
    <row r="512" spans="1:9" ht="17.25" x14ac:dyDescent="0.35">
      <c r="A512" s="97" t="s">
        <v>204</v>
      </c>
      <c r="B512" s="97"/>
      <c r="C512" s="98"/>
      <c r="D512" s="98" t="s">
        <v>79</v>
      </c>
      <c r="E512" s="98">
        <v>2</v>
      </c>
      <c r="F512" s="185">
        <f>SUM(E513:E514)+E515*F514</f>
        <v>14</v>
      </c>
      <c r="G512" s="14"/>
      <c r="H512" s="38"/>
    </row>
    <row r="513" spans="1:9" ht="17.25" x14ac:dyDescent="0.35">
      <c r="A513" s="35" t="s">
        <v>205</v>
      </c>
      <c r="B513" s="35"/>
      <c r="C513" s="23"/>
      <c r="D513" s="23" t="s">
        <v>79</v>
      </c>
      <c r="E513" s="23">
        <v>1</v>
      </c>
      <c r="F513" s="183">
        <v>0</v>
      </c>
      <c r="G513" s="23"/>
      <c r="H513" s="36"/>
    </row>
    <row r="514" spans="1:9" ht="17.25" x14ac:dyDescent="0.35">
      <c r="A514" s="35" t="s">
        <v>206</v>
      </c>
      <c r="B514" s="35"/>
      <c r="C514" s="23"/>
      <c r="D514" s="23" t="s">
        <v>79</v>
      </c>
      <c r="E514" s="23">
        <v>1</v>
      </c>
      <c r="F514" s="185">
        <f>LEN(F515)-LEN(SUBSTITUTE(F515,",",""))+1</f>
        <v>3</v>
      </c>
      <c r="G514" s="23"/>
      <c r="H514" s="36"/>
    </row>
    <row r="515" spans="1:9" ht="17.25" x14ac:dyDescent="0.35">
      <c r="A515" s="56" t="s">
        <v>207</v>
      </c>
      <c r="B515" s="56"/>
      <c r="C515" s="57"/>
      <c r="D515" s="57" t="s">
        <v>87</v>
      </c>
      <c r="E515" s="57">
        <v>4</v>
      </c>
      <c r="F515" s="186" t="s">
        <v>1001</v>
      </c>
      <c r="G515" s="57"/>
      <c r="H515" s="58"/>
      <c r="I515" s="7"/>
    </row>
    <row r="516" spans="1:9" ht="17.25" x14ac:dyDescent="0.35">
      <c r="A516" s="35" t="s">
        <v>955</v>
      </c>
      <c r="B516" s="35"/>
      <c r="C516" s="23"/>
      <c r="D516" s="23" t="s">
        <v>79</v>
      </c>
      <c r="E516" s="23">
        <v>1</v>
      </c>
      <c r="F516" s="183" t="s">
        <v>956</v>
      </c>
      <c r="G516" s="23"/>
      <c r="H516" s="36"/>
    </row>
    <row r="517" spans="1:9" ht="17.25" x14ac:dyDescent="0.35">
      <c r="A517" s="35" t="s">
        <v>957</v>
      </c>
      <c r="B517" s="35"/>
      <c r="C517" s="23"/>
      <c r="D517" s="23" t="s">
        <v>79</v>
      </c>
      <c r="E517" s="23">
        <v>2</v>
      </c>
      <c r="F517" s="186" t="s">
        <v>958</v>
      </c>
      <c r="G517" s="23"/>
      <c r="H517" s="36"/>
    </row>
    <row r="518" spans="1:9" ht="17.25" x14ac:dyDescent="0.35">
      <c r="A518" s="37" t="s">
        <v>959</v>
      </c>
      <c r="B518" s="37"/>
      <c r="C518" s="14"/>
      <c r="D518" s="14" t="s">
        <v>79</v>
      </c>
      <c r="E518" s="14">
        <v>4</v>
      </c>
      <c r="F518" s="184" t="str">
        <f>$F$507</f>
        <v>0x05011901</v>
      </c>
      <c r="G518" s="14"/>
      <c r="H518" s="38"/>
    </row>
    <row r="519" spans="1:9" ht="17.25" x14ac:dyDescent="0.35">
      <c r="A519" s="35" t="s">
        <v>1002</v>
      </c>
      <c r="B519" s="35"/>
      <c r="C519" s="23"/>
      <c r="D519" s="23" t="s">
        <v>79</v>
      </c>
      <c r="E519" s="23">
        <v>1</v>
      </c>
      <c r="F519" s="186" t="s">
        <v>1003</v>
      </c>
      <c r="G519" s="23"/>
      <c r="H519" s="36"/>
    </row>
    <row r="520" spans="1:9" ht="17.25" x14ac:dyDescent="0.35">
      <c r="A520" s="110" t="s">
        <v>1004</v>
      </c>
      <c r="B520" s="110"/>
      <c r="C520" s="57"/>
      <c r="D520" s="57" t="s">
        <v>79</v>
      </c>
      <c r="E520" s="57">
        <v>2</v>
      </c>
      <c r="F520" s="21">
        <f>SUM(E521:E522)+E523*F522*2</f>
        <v>6</v>
      </c>
      <c r="G520" s="57"/>
      <c r="H520" s="111"/>
    </row>
    <row r="521" spans="1:9" ht="17.25" x14ac:dyDescent="0.35">
      <c r="A521" s="35" t="s">
        <v>1005</v>
      </c>
      <c r="B521" s="35"/>
      <c r="C521" s="23"/>
      <c r="D521" s="23" t="s">
        <v>79</v>
      </c>
      <c r="E521" s="23">
        <v>1</v>
      </c>
      <c r="F521" s="183">
        <v>0</v>
      </c>
      <c r="G521" s="23"/>
      <c r="H521" s="36" t="s">
        <v>1006</v>
      </c>
    </row>
    <row r="522" spans="1:9" ht="17.25" x14ac:dyDescent="0.35">
      <c r="A522" s="35" t="s">
        <v>1007</v>
      </c>
      <c r="B522" s="35"/>
      <c r="C522" s="23"/>
      <c r="D522" s="23" t="s">
        <v>79</v>
      </c>
      <c r="E522" s="23">
        <v>1</v>
      </c>
      <c r="F522" s="21">
        <f>LEN(F523)-LEN(SUBSTITUTE(F523,"-",""))</f>
        <v>1</v>
      </c>
      <c r="G522" s="23"/>
      <c r="H522" s="36" t="s">
        <v>1008</v>
      </c>
    </row>
    <row r="523" spans="1:9" ht="17.25" x14ac:dyDescent="0.35">
      <c r="A523" s="97" t="s">
        <v>1009</v>
      </c>
      <c r="B523" s="97"/>
      <c r="C523" s="98"/>
      <c r="D523" s="98" t="s">
        <v>87</v>
      </c>
      <c r="E523" s="98">
        <v>2</v>
      </c>
      <c r="F523" s="187" t="s">
        <v>1010</v>
      </c>
      <c r="G523" s="98"/>
      <c r="H523" s="177"/>
    </row>
    <row r="524" spans="1:9" ht="17.25" x14ac:dyDescent="0.35">
      <c r="A524" s="178" t="s">
        <v>1018</v>
      </c>
      <c r="B524" s="178"/>
      <c r="C524" s="179"/>
      <c r="D524" s="180" t="s">
        <v>79</v>
      </c>
      <c r="E524" s="180">
        <v>1</v>
      </c>
      <c r="F524" s="182" t="s">
        <v>1019</v>
      </c>
      <c r="G524" s="180"/>
      <c r="H524" s="181"/>
    </row>
    <row r="525" spans="1:9" ht="17.25" x14ac:dyDescent="0.35">
      <c r="A525" s="178" t="s">
        <v>1020</v>
      </c>
      <c r="B525" s="178"/>
      <c r="C525" s="179"/>
      <c r="D525" s="180" t="s">
        <v>79</v>
      </c>
      <c r="E525" s="180">
        <v>2</v>
      </c>
      <c r="F525" s="182">
        <v>4</v>
      </c>
      <c r="G525" s="180"/>
      <c r="H525" s="181"/>
    </row>
    <row r="526" spans="1:9" ht="138" x14ac:dyDescent="0.35">
      <c r="A526" s="178" t="s">
        <v>1021</v>
      </c>
      <c r="B526" s="178"/>
      <c r="C526" s="179"/>
      <c r="D526" s="180" t="s">
        <v>79</v>
      </c>
      <c r="E526" s="180">
        <v>4</v>
      </c>
      <c r="F526" s="182" t="s">
        <v>1022</v>
      </c>
      <c r="G526" s="180"/>
      <c r="H526" s="181" t="s">
        <v>1023</v>
      </c>
    </row>
  </sheetData>
  <autoFilter ref="C1:C541"/>
  <mergeCells count="3">
    <mergeCell ref="A2:I2"/>
    <mergeCell ref="A4:H4"/>
    <mergeCell ref="A499:H499"/>
  </mergeCells>
  <hyperlinks>
    <hyperlink ref="F273" r:id="rId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autoPageBreaks="0"/>
  </sheetPr>
  <dimension ref="A1:O536"/>
  <sheetViews>
    <sheetView topLeftCell="A505" zoomScale="70" zoomScaleNormal="70" workbookViewId="0">
      <selection activeCell="B1" sqref="B1"/>
    </sheetView>
  </sheetViews>
  <sheetFormatPr defaultColWidth="9.140625" defaultRowHeight="12.75" x14ac:dyDescent="0.2"/>
  <cols>
    <col min="1" max="1" width="43.7109375" style="20" customWidth="1"/>
    <col min="2" max="2" width="56.7109375" style="20" bestFit="1" customWidth="1"/>
    <col min="3" max="3" width="28.85546875" style="20" customWidth="1"/>
    <col min="4" max="4" width="17.7109375" style="20" customWidth="1"/>
    <col min="5" max="5" width="42.7109375" style="20" customWidth="1"/>
    <col min="6" max="6" width="43.7109375" style="20" customWidth="1"/>
    <col min="7" max="7" width="13.42578125" style="20" customWidth="1"/>
    <col min="8" max="8" width="77.140625" style="22" customWidth="1"/>
    <col min="9" max="9" width="47.85546875" style="20" bestFit="1" customWidth="1"/>
    <col min="10" max="16384" width="9.140625" style="20"/>
  </cols>
  <sheetData>
    <row r="1" spans="1:9" s="63" customFormat="1" x14ac:dyDescent="0.2">
      <c r="A1" s="62"/>
      <c r="H1" s="64"/>
    </row>
    <row r="2" spans="1:9" s="90" customFormat="1" ht="45" customHeight="1" x14ac:dyDescent="0.55000000000000004">
      <c r="A2" s="190" t="s">
        <v>471</v>
      </c>
      <c r="B2" s="190"/>
      <c r="C2" s="190"/>
      <c r="D2" s="190"/>
      <c r="E2" s="190"/>
      <c r="F2" s="190"/>
      <c r="G2" s="190"/>
      <c r="H2" s="190"/>
      <c r="I2" s="190"/>
    </row>
    <row r="3" spans="1:9" s="63" customFormat="1" ht="13.5" thickBot="1" x14ac:dyDescent="0.25">
      <c r="A3" s="62"/>
      <c r="H3" s="64"/>
    </row>
    <row r="4" spans="1:9" s="65" customFormat="1" ht="20.25" thickBot="1" x14ac:dyDescent="0.45">
      <c r="A4" s="191" t="s">
        <v>557</v>
      </c>
      <c r="B4" s="192"/>
      <c r="C4" s="192"/>
      <c r="D4" s="192"/>
      <c r="E4" s="192"/>
      <c r="F4" s="192"/>
      <c r="G4" s="192"/>
      <c r="H4" s="193"/>
    </row>
    <row r="5" spans="1:9" s="70" customFormat="1" ht="15.75" thickBot="1" x14ac:dyDescent="0.35">
      <c r="A5" s="66" t="s">
        <v>8</v>
      </c>
      <c r="B5" s="67" t="s">
        <v>7</v>
      </c>
      <c r="C5" s="66" t="s">
        <v>76</v>
      </c>
      <c r="D5" s="66" t="s">
        <v>77</v>
      </c>
      <c r="E5" s="66" t="s">
        <v>9</v>
      </c>
      <c r="F5" s="66" t="s">
        <v>78</v>
      </c>
      <c r="G5" s="68" t="s">
        <v>84</v>
      </c>
      <c r="H5" s="69" t="s">
        <v>10</v>
      </c>
    </row>
    <row r="6" spans="1:9" s="19" customFormat="1" ht="17.25" x14ac:dyDescent="0.35">
      <c r="A6" s="71" t="s">
        <v>11</v>
      </c>
      <c r="B6" s="72">
        <v>6</v>
      </c>
      <c r="C6" s="73" t="s">
        <v>79</v>
      </c>
      <c r="D6" s="19">
        <v>1</v>
      </c>
      <c r="E6" s="71" t="s">
        <v>14</v>
      </c>
      <c r="F6" s="73">
        <v>9</v>
      </c>
      <c r="G6" s="74" t="s">
        <v>88</v>
      </c>
      <c r="H6" s="75" t="s">
        <v>6</v>
      </c>
    </row>
    <row r="7" spans="1:9" s="19" customFormat="1" ht="17.25" x14ac:dyDescent="0.35">
      <c r="A7" s="71" t="s">
        <v>50</v>
      </c>
      <c r="B7" s="72">
        <v>71</v>
      </c>
      <c r="C7" s="73"/>
      <c r="E7" s="71" t="s">
        <v>51</v>
      </c>
      <c r="F7" s="73"/>
      <c r="G7" s="74" t="s">
        <v>88</v>
      </c>
      <c r="H7" s="75" t="s">
        <v>6</v>
      </c>
    </row>
    <row r="8" spans="1:9" s="19" customFormat="1" ht="17.25" x14ac:dyDescent="0.35">
      <c r="A8" s="71"/>
      <c r="B8" s="72"/>
      <c r="C8" s="73" t="s">
        <v>80</v>
      </c>
      <c r="D8" s="19">
        <v>13</v>
      </c>
      <c r="E8" s="71" t="s">
        <v>52</v>
      </c>
      <c r="F8" s="73" t="s">
        <v>889</v>
      </c>
      <c r="G8" s="74"/>
      <c r="H8" s="75" t="s">
        <v>6</v>
      </c>
    </row>
    <row r="9" spans="1:9" s="19" customFormat="1" ht="17.25" x14ac:dyDescent="0.35">
      <c r="A9" s="71" t="s">
        <v>29</v>
      </c>
      <c r="B9" s="72">
        <v>81</v>
      </c>
      <c r="C9" s="73" t="s">
        <v>79</v>
      </c>
      <c r="D9" s="19">
        <v>1</v>
      </c>
      <c r="E9" s="71" t="s">
        <v>30</v>
      </c>
      <c r="F9" s="73">
        <v>0</v>
      </c>
      <c r="G9" s="74" t="s">
        <v>88</v>
      </c>
      <c r="H9" s="75" t="s">
        <v>26</v>
      </c>
    </row>
    <row r="10" spans="1:9" s="19" customFormat="1" ht="17.25" x14ac:dyDescent="0.35">
      <c r="A10" s="71" t="s">
        <v>40</v>
      </c>
      <c r="B10" s="72">
        <v>179</v>
      </c>
      <c r="C10" s="73" t="s">
        <v>79</v>
      </c>
      <c r="D10" s="19">
        <v>1</v>
      </c>
      <c r="E10" s="71" t="s">
        <v>41</v>
      </c>
      <c r="F10" s="73">
        <v>0</v>
      </c>
      <c r="G10" s="74" t="s">
        <v>88</v>
      </c>
      <c r="H10" s="75"/>
    </row>
    <row r="11" spans="1:9" s="19" customFormat="1" ht="17.25" x14ac:dyDescent="0.35">
      <c r="A11" s="71" t="s">
        <v>12</v>
      </c>
      <c r="B11" s="72">
        <v>240</v>
      </c>
      <c r="C11" s="73" t="s">
        <v>79</v>
      </c>
      <c r="D11" s="19">
        <v>1</v>
      </c>
      <c r="E11" s="71" t="s">
        <v>15</v>
      </c>
      <c r="F11" s="73">
        <v>0</v>
      </c>
      <c r="G11" s="74" t="s">
        <v>88</v>
      </c>
      <c r="H11" s="75" t="s">
        <v>18</v>
      </c>
    </row>
    <row r="12" spans="1:9" s="19" customFormat="1" ht="17.25" x14ac:dyDescent="0.35">
      <c r="A12" s="71" t="s">
        <v>13</v>
      </c>
      <c r="B12" s="72">
        <v>241</v>
      </c>
      <c r="C12" s="73" t="s">
        <v>79</v>
      </c>
      <c r="D12" s="19">
        <v>1</v>
      </c>
      <c r="E12" s="71" t="s">
        <v>16</v>
      </c>
      <c r="F12" s="73">
        <v>2</v>
      </c>
      <c r="G12" s="74" t="s">
        <v>88</v>
      </c>
      <c r="H12" s="75" t="s">
        <v>19</v>
      </c>
    </row>
    <row r="13" spans="1:9" s="19" customFormat="1" ht="17.25" x14ac:dyDescent="0.35">
      <c r="A13" s="71" t="s">
        <v>34</v>
      </c>
      <c r="B13" s="72">
        <v>256</v>
      </c>
      <c r="C13" s="73"/>
      <c r="E13" s="71" t="s">
        <v>35</v>
      </c>
      <c r="F13" s="73"/>
      <c r="G13" s="74" t="s">
        <v>187</v>
      </c>
      <c r="H13" s="75"/>
    </row>
    <row r="14" spans="1:9" s="19" customFormat="1" ht="17.25" x14ac:dyDescent="0.35">
      <c r="A14" s="71"/>
      <c r="B14" s="72"/>
      <c r="C14" s="73" t="s">
        <v>79</v>
      </c>
      <c r="D14" s="19">
        <v>1</v>
      </c>
      <c r="E14" s="71" t="s">
        <v>17</v>
      </c>
      <c r="F14" s="73">
        <v>0</v>
      </c>
      <c r="G14" s="74"/>
      <c r="H14" s="75"/>
    </row>
    <row r="15" spans="1:9" s="19" customFormat="1" ht="17.25" x14ac:dyDescent="0.35">
      <c r="A15" s="71"/>
      <c r="B15" s="72"/>
      <c r="C15" s="73" t="s">
        <v>79</v>
      </c>
      <c r="D15" s="19">
        <v>1</v>
      </c>
      <c r="E15" s="71" t="s">
        <v>33</v>
      </c>
      <c r="F15" s="73">
        <v>1</v>
      </c>
      <c r="G15" s="74"/>
      <c r="H15" s="75" t="s">
        <v>33</v>
      </c>
    </row>
    <row r="16" spans="1:9" s="19" customFormat="1" ht="17.25" x14ac:dyDescent="0.35">
      <c r="A16" s="71" t="s">
        <v>36</v>
      </c>
      <c r="B16" s="72">
        <v>405</v>
      </c>
      <c r="C16" s="73"/>
      <c r="E16" s="71" t="s">
        <v>37</v>
      </c>
      <c r="F16" s="73"/>
      <c r="G16" s="74" t="s">
        <v>88</v>
      </c>
      <c r="H16" s="75"/>
    </row>
    <row r="17" spans="1:10" s="19" customFormat="1" ht="17.25" x14ac:dyDescent="0.35">
      <c r="A17" s="71"/>
      <c r="B17" s="72"/>
      <c r="C17" s="73" t="s">
        <v>79</v>
      </c>
      <c r="D17" s="19">
        <v>2</v>
      </c>
      <c r="E17" s="71" t="s">
        <v>38</v>
      </c>
      <c r="F17" s="73">
        <v>3</v>
      </c>
      <c r="G17" s="74"/>
      <c r="H17" s="75" t="s">
        <v>39</v>
      </c>
    </row>
    <row r="18" spans="1:10" s="19" customFormat="1" ht="17.25" x14ac:dyDescent="0.35">
      <c r="A18" s="71" t="s">
        <v>276</v>
      </c>
      <c r="B18" s="72">
        <v>409</v>
      </c>
      <c r="C18" s="73" t="s">
        <v>79</v>
      </c>
      <c r="D18" s="19">
        <v>1</v>
      </c>
      <c r="E18" s="71" t="s">
        <v>279</v>
      </c>
      <c r="F18" s="73" t="s">
        <v>214</v>
      </c>
      <c r="G18" s="74" t="s">
        <v>88</v>
      </c>
      <c r="H18" s="75" t="s">
        <v>44</v>
      </c>
    </row>
    <row r="19" spans="1:10" s="19" customFormat="1" ht="17.25" x14ac:dyDescent="0.35">
      <c r="A19" s="71" t="s">
        <v>894</v>
      </c>
      <c r="B19" s="72">
        <v>441</v>
      </c>
      <c r="C19" s="73"/>
      <c r="E19" s="71"/>
      <c r="F19" s="73"/>
      <c r="G19" s="74" t="s">
        <v>187</v>
      </c>
      <c r="H19" s="75"/>
    </row>
    <row r="20" spans="1:10" s="19" customFormat="1" ht="17.25" x14ac:dyDescent="0.35">
      <c r="A20" s="71"/>
      <c r="B20" s="72"/>
      <c r="C20" s="73" t="s">
        <v>79</v>
      </c>
      <c r="D20" s="19">
        <v>1</v>
      </c>
      <c r="E20" s="71" t="s">
        <v>17</v>
      </c>
      <c r="F20" s="73">
        <v>0</v>
      </c>
      <c r="G20" s="74"/>
      <c r="H20" s="75"/>
    </row>
    <row r="21" spans="1:10" s="19" customFormat="1" ht="17.25" x14ac:dyDescent="0.35">
      <c r="A21" s="71"/>
      <c r="B21" s="72"/>
      <c r="C21" s="73" t="s">
        <v>79</v>
      </c>
      <c r="D21" s="19">
        <v>2</v>
      </c>
      <c r="E21" s="71" t="s">
        <v>33</v>
      </c>
      <c r="F21" s="73" t="s">
        <v>895</v>
      </c>
      <c r="G21" s="74"/>
      <c r="H21" s="75"/>
    </row>
    <row r="22" spans="1:10" s="19" customFormat="1" ht="17.25" x14ac:dyDescent="0.35">
      <c r="A22" s="71" t="s">
        <v>472</v>
      </c>
      <c r="B22" s="72">
        <v>453</v>
      </c>
      <c r="C22" s="73" t="s">
        <v>79</v>
      </c>
      <c r="D22" s="19">
        <v>1</v>
      </c>
      <c r="E22" s="71"/>
      <c r="F22" s="73">
        <v>0</v>
      </c>
      <c r="G22" s="74" t="s">
        <v>88</v>
      </c>
      <c r="H22" s="75"/>
    </row>
    <row r="23" spans="1:10" s="19" customFormat="1" ht="17.25" x14ac:dyDescent="0.35">
      <c r="A23" s="71" t="s">
        <v>473</v>
      </c>
      <c r="B23" s="72">
        <v>475</v>
      </c>
      <c r="C23" s="73" t="s">
        <v>79</v>
      </c>
      <c r="D23" s="19">
        <v>2</v>
      </c>
      <c r="E23" s="71"/>
      <c r="F23" s="73">
        <v>0</v>
      </c>
      <c r="G23" s="74" t="s">
        <v>88</v>
      </c>
      <c r="H23" s="75"/>
    </row>
    <row r="24" spans="1:10" s="19" customFormat="1" ht="17.25" x14ac:dyDescent="0.35">
      <c r="A24" s="71" t="s">
        <v>432</v>
      </c>
      <c r="B24" s="72">
        <v>495</v>
      </c>
      <c r="C24" s="73" t="s">
        <v>79</v>
      </c>
      <c r="D24" s="19">
        <v>1</v>
      </c>
      <c r="E24" s="71" t="s">
        <v>64</v>
      </c>
      <c r="F24" s="73">
        <v>1</v>
      </c>
      <c r="G24" s="74" t="s">
        <v>88</v>
      </c>
      <c r="H24" s="75" t="s">
        <v>44</v>
      </c>
    </row>
    <row r="25" spans="1:10" s="47" customFormat="1" ht="17.25" x14ac:dyDescent="0.35">
      <c r="A25" s="71" t="s">
        <v>250</v>
      </c>
      <c r="B25" s="72">
        <v>562</v>
      </c>
      <c r="C25" s="73" t="s">
        <v>79</v>
      </c>
      <c r="D25" s="19">
        <v>1</v>
      </c>
      <c r="E25" s="71" t="s">
        <v>251</v>
      </c>
      <c r="F25" s="73">
        <v>1</v>
      </c>
      <c r="G25" s="74" t="s">
        <v>88</v>
      </c>
      <c r="H25" s="75" t="s">
        <v>44</v>
      </c>
      <c r="I25" s="19"/>
      <c r="J25" s="19"/>
    </row>
    <row r="26" spans="1:10" s="47" customFormat="1" ht="17.25" x14ac:dyDescent="0.35">
      <c r="A26" s="71" t="s">
        <v>42</v>
      </c>
      <c r="B26" s="72">
        <v>818</v>
      </c>
      <c r="C26" s="73" t="s">
        <v>79</v>
      </c>
      <c r="D26" s="19">
        <v>1</v>
      </c>
      <c r="E26" s="71" t="s">
        <v>43</v>
      </c>
      <c r="F26" s="73">
        <v>0</v>
      </c>
      <c r="G26" s="74" t="s">
        <v>88</v>
      </c>
      <c r="H26" s="75" t="s">
        <v>44</v>
      </c>
      <c r="I26" s="19"/>
      <c r="J26" s="19"/>
    </row>
    <row r="27" spans="1:10" s="47" customFormat="1" ht="17.25" x14ac:dyDescent="0.35">
      <c r="A27" s="71" t="s">
        <v>474</v>
      </c>
      <c r="B27" s="72">
        <v>830</v>
      </c>
      <c r="C27" s="73"/>
      <c r="D27" s="19"/>
      <c r="E27" s="71" t="s">
        <v>475</v>
      </c>
      <c r="F27" s="73"/>
      <c r="G27" s="74" t="s">
        <v>88</v>
      </c>
      <c r="H27" s="75" t="s">
        <v>476</v>
      </c>
      <c r="I27" s="19"/>
      <c r="J27" s="19"/>
    </row>
    <row r="28" spans="1:10" s="19" customFormat="1" ht="17.25" x14ac:dyDescent="0.35">
      <c r="A28" s="71"/>
      <c r="B28" s="72"/>
      <c r="C28" s="73" t="s">
        <v>79</v>
      </c>
      <c r="D28" s="19">
        <v>1</v>
      </c>
      <c r="E28" s="71"/>
      <c r="F28" s="73">
        <v>3</v>
      </c>
      <c r="G28" s="74"/>
      <c r="H28" s="75" t="s">
        <v>477</v>
      </c>
    </row>
    <row r="29" spans="1:10" s="19" customFormat="1" ht="17.25" x14ac:dyDescent="0.35">
      <c r="A29" s="71"/>
      <c r="B29" s="72"/>
      <c r="C29" s="73" t="s">
        <v>79</v>
      </c>
      <c r="D29" s="19">
        <v>1</v>
      </c>
      <c r="E29" s="71"/>
      <c r="F29" s="73">
        <v>0</v>
      </c>
      <c r="G29" s="74"/>
      <c r="H29" s="75" t="s">
        <v>478</v>
      </c>
    </row>
    <row r="30" spans="1:10" s="19" customFormat="1" ht="17.25" x14ac:dyDescent="0.35">
      <c r="A30" s="71"/>
      <c r="B30" s="72"/>
      <c r="C30" s="73" t="s">
        <v>79</v>
      </c>
      <c r="D30" s="19">
        <v>1</v>
      </c>
      <c r="E30" s="71"/>
      <c r="F30" s="73">
        <v>0</v>
      </c>
      <c r="G30" s="74"/>
      <c r="H30" s="75" t="s">
        <v>479</v>
      </c>
    </row>
    <row r="31" spans="1:10" s="19" customFormat="1" ht="17.25" x14ac:dyDescent="0.35">
      <c r="A31" s="71"/>
      <c r="B31" s="72"/>
      <c r="C31" s="73" t="s">
        <v>79</v>
      </c>
      <c r="D31" s="19">
        <v>1</v>
      </c>
      <c r="E31" s="71"/>
      <c r="F31" s="73">
        <v>0</v>
      </c>
      <c r="G31" s="74"/>
      <c r="H31" s="75" t="s">
        <v>480</v>
      </c>
    </row>
    <row r="32" spans="1:10" s="19" customFormat="1" ht="17.25" x14ac:dyDescent="0.35">
      <c r="A32" s="71"/>
      <c r="B32" s="72"/>
      <c r="C32" s="73" t="s">
        <v>79</v>
      </c>
      <c r="D32" s="19">
        <v>1</v>
      </c>
      <c r="E32" s="71"/>
      <c r="F32" s="73">
        <v>1</v>
      </c>
      <c r="G32" s="74"/>
      <c r="H32" s="75" t="s">
        <v>481</v>
      </c>
    </row>
    <row r="33" spans="1:8" s="19" customFormat="1" ht="17.25" x14ac:dyDescent="0.35">
      <c r="A33" s="71"/>
      <c r="B33" s="72"/>
      <c r="C33" s="73" t="s">
        <v>79</v>
      </c>
      <c r="D33" s="19">
        <v>1</v>
      </c>
      <c r="E33" s="71"/>
      <c r="F33" s="73">
        <v>3</v>
      </c>
      <c r="G33" s="74"/>
      <c r="H33" s="75" t="s">
        <v>482</v>
      </c>
    </row>
    <row r="34" spans="1:8" s="19" customFormat="1" ht="17.25" x14ac:dyDescent="0.35">
      <c r="A34" s="71"/>
      <c r="B34" s="72"/>
      <c r="C34" s="73" t="s">
        <v>79</v>
      </c>
      <c r="D34" s="19">
        <v>1</v>
      </c>
      <c r="E34" s="71"/>
      <c r="F34" s="73">
        <v>0</v>
      </c>
      <c r="G34" s="74"/>
      <c r="H34" s="75" t="s">
        <v>483</v>
      </c>
    </row>
    <row r="35" spans="1:8" s="19" customFormat="1" ht="17.25" x14ac:dyDescent="0.35">
      <c r="A35" s="71"/>
      <c r="B35" s="72"/>
      <c r="C35" s="73" t="s">
        <v>79</v>
      </c>
      <c r="D35" s="19">
        <v>1</v>
      </c>
      <c r="E35" s="71"/>
      <c r="F35" s="73">
        <v>0</v>
      </c>
      <c r="G35" s="74"/>
      <c r="H35" s="75" t="s">
        <v>484</v>
      </c>
    </row>
    <row r="36" spans="1:8" s="19" customFormat="1" ht="17.25" x14ac:dyDescent="0.35">
      <c r="A36" s="71"/>
      <c r="B36" s="72"/>
      <c r="C36" s="73" t="s">
        <v>79</v>
      </c>
      <c r="D36" s="19">
        <v>1</v>
      </c>
      <c r="E36" s="71"/>
      <c r="F36" s="73">
        <v>1</v>
      </c>
      <c r="G36" s="74"/>
      <c r="H36" s="75" t="s">
        <v>485</v>
      </c>
    </row>
    <row r="37" spans="1:8" s="19" customFormat="1" ht="17.25" x14ac:dyDescent="0.35">
      <c r="A37" s="71"/>
      <c r="B37" s="72"/>
      <c r="C37" s="73" t="s">
        <v>79</v>
      </c>
      <c r="D37" s="19">
        <v>1</v>
      </c>
      <c r="E37" s="71"/>
      <c r="F37" s="73">
        <v>2</v>
      </c>
      <c r="G37" s="74"/>
      <c r="H37" s="75" t="s">
        <v>486</v>
      </c>
    </row>
    <row r="38" spans="1:8" s="19" customFormat="1" ht="17.25" x14ac:dyDescent="0.35">
      <c r="A38" s="71"/>
      <c r="B38" s="72"/>
      <c r="C38" s="73" t="s">
        <v>79</v>
      </c>
      <c r="D38" s="19">
        <v>1</v>
      </c>
      <c r="E38" s="71"/>
      <c r="F38" s="73">
        <v>0</v>
      </c>
      <c r="G38" s="74"/>
      <c r="H38" s="75" t="s">
        <v>487</v>
      </c>
    </row>
    <row r="39" spans="1:8" s="19" customFormat="1" ht="17.25" x14ac:dyDescent="0.35">
      <c r="A39" s="71"/>
      <c r="B39" s="72"/>
      <c r="C39" s="73" t="s">
        <v>79</v>
      </c>
      <c r="D39" s="19">
        <v>1</v>
      </c>
      <c r="E39" s="71"/>
      <c r="F39" s="73">
        <v>0</v>
      </c>
      <c r="G39" s="74"/>
      <c r="H39" s="75" t="s">
        <v>488</v>
      </c>
    </row>
    <row r="40" spans="1:8" s="19" customFormat="1" ht="17.25" x14ac:dyDescent="0.35">
      <c r="A40" s="71"/>
      <c r="B40" s="72"/>
      <c r="C40" s="73" t="s">
        <v>79</v>
      </c>
      <c r="D40" s="19">
        <v>1</v>
      </c>
      <c r="E40" s="71"/>
      <c r="F40" s="73">
        <v>1</v>
      </c>
      <c r="G40" s="74"/>
      <c r="H40" s="75" t="s">
        <v>489</v>
      </c>
    </row>
    <row r="41" spans="1:8" s="19" customFormat="1" ht="17.25" x14ac:dyDescent="0.35">
      <c r="A41" s="71"/>
      <c r="B41" s="72"/>
      <c r="C41" s="73" t="s">
        <v>79</v>
      </c>
      <c r="D41" s="19">
        <v>1</v>
      </c>
      <c r="E41" s="71"/>
      <c r="F41" s="73">
        <v>3</v>
      </c>
      <c r="G41" s="74"/>
      <c r="H41" s="75" t="s">
        <v>490</v>
      </c>
    </row>
    <row r="42" spans="1:8" s="19" customFormat="1" ht="17.25" x14ac:dyDescent="0.35">
      <c r="A42" s="71"/>
      <c r="B42" s="72"/>
      <c r="C42" s="73" t="s">
        <v>79</v>
      </c>
      <c r="D42" s="19">
        <v>1</v>
      </c>
      <c r="E42" s="71"/>
      <c r="F42" s="73">
        <v>0</v>
      </c>
      <c r="G42" s="74"/>
      <c r="H42" s="75" t="s">
        <v>491</v>
      </c>
    </row>
    <row r="43" spans="1:8" s="19" customFormat="1" ht="17.25" x14ac:dyDescent="0.35">
      <c r="A43" s="71"/>
      <c r="B43" s="72"/>
      <c r="C43" s="73" t="s">
        <v>79</v>
      </c>
      <c r="D43" s="19">
        <v>1</v>
      </c>
      <c r="E43" s="71"/>
      <c r="F43" s="73">
        <v>0</v>
      </c>
      <c r="G43" s="74"/>
      <c r="H43" s="75" t="s">
        <v>492</v>
      </c>
    </row>
    <row r="44" spans="1:8" s="19" customFormat="1" ht="17.25" x14ac:dyDescent="0.35">
      <c r="A44" s="71"/>
      <c r="B44" s="72"/>
      <c r="C44" s="73" t="s">
        <v>79</v>
      </c>
      <c r="D44" s="19">
        <v>1</v>
      </c>
      <c r="E44" s="71"/>
      <c r="F44" s="73">
        <v>1</v>
      </c>
      <c r="G44" s="74"/>
      <c r="H44" s="75" t="s">
        <v>493</v>
      </c>
    </row>
    <row r="45" spans="1:8" s="19" customFormat="1" ht="17.25" x14ac:dyDescent="0.35">
      <c r="A45" s="71"/>
      <c r="B45" s="72"/>
      <c r="C45" s="73" t="s">
        <v>79</v>
      </c>
      <c r="D45" s="19">
        <v>1</v>
      </c>
      <c r="E45" s="71"/>
      <c r="F45" s="73">
        <v>3</v>
      </c>
      <c r="G45" s="74"/>
      <c r="H45" s="75" t="s">
        <v>494</v>
      </c>
    </row>
    <row r="46" spans="1:8" s="19" customFormat="1" ht="17.25" x14ac:dyDescent="0.35">
      <c r="A46" s="71"/>
      <c r="B46" s="72"/>
      <c r="C46" s="73" t="s">
        <v>79</v>
      </c>
      <c r="D46" s="19">
        <v>1</v>
      </c>
      <c r="E46" s="71"/>
      <c r="F46" s="73">
        <v>0</v>
      </c>
      <c r="G46" s="74"/>
      <c r="H46" s="75" t="s">
        <v>495</v>
      </c>
    </row>
    <row r="47" spans="1:8" s="19" customFormat="1" ht="17.25" x14ac:dyDescent="0.35">
      <c r="A47" s="71"/>
      <c r="B47" s="72"/>
      <c r="C47" s="73" t="s">
        <v>79</v>
      </c>
      <c r="D47" s="19">
        <v>1</v>
      </c>
      <c r="E47" s="71"/>
      <c r="F47" s="73">
        <v>0</v>
      </c>
      <c r="G47" s="74"/>
      <c r="H47" s="75" t="s">
        <v>496</v>
      </c>
    </row>
    <row r="48" spans="1:8" s="19" customFormat="1" ht="17.25" x14ac:dyDescent="0.35">
      <c r="A48" s="71"/>
      <c r="B48" s="72"/>
      <c r="C48" s="73" t="s">
        <v>79</v>
      </c>
      <c r="D48" s="19">
        <v>1</v>
      </c>
      <c r="E48" s="71"/>
      <c r="F48" s="73">
        <v>2</v>
      </c>
      <c r="G48" s="74"/>
      <c r="H48" s="75" t="s">
        <v>497</v>
      </c>
    </row>
    <row r="49" spans="1:10" s="19" customFormat="1" ht="17.25" x14ac:dyDescent="0.35">
      <c r="A49" s="71"/>
      <c r="B49" s="72"/>
      <c r="C49" s="73" t="s">
        <v>79</v>
      </c>
      <c r="D49" s="19">
        <v>1</v>
      </c>
      <c r="E49" s="71"/>
      <c r="F49" s="73">
        <v>0</v>
      </c>
      <c r="G49" s="74"/>
      <c r="H49" s="75" t="s">
        <v>498</v>
      </c>
    </row>
    <row r="50" spans="1:10" s="19" customFormat="1" ht="17.25" x14ac:dyDescent="0.35">
      <c r="A50" s="71"/>
      <c r="B50" s="72"/>
      <c r="C50" s="73" t="s">
        <v>79</v>
      </c>
      <c r="D50" s="19">
        <v>1</v>
      </c>
      <c r="E50" s="71"/>
      <c r="F50" s="73">
        <v>0</v>
      </c>
      <c r="G50" s="74"/>
      <c r="H50" s="75" t="s">
        <v>499</v>
      </c>
    </row>
    <row r="51" spans="1:10" s="19" customFormat="1" ht="17.25" x14ac:dyDescent="0.35">
      <c r="A51" s="71"/>
      <c r="B51" s="72"/>
      <c r="C51" s="73" t="s">
        <v>79</v>
      </c>
      <c r="D51" s="19">
        <v>1</v>
      </c>
      <c r="E51" s="71"/>
      <c r="F51" s="73">
        <v>0</v>
      </c>
      <c r="G51" s="74"/>
      <c r="H51" s="75" t="s">
        <v>500</v>
      </c>
    </row>
    <row r="52" spans="1:10" s="19" customFormat="1" ht="17.25" x14ac:dyDescent="0.35">
      <c r="A52" s="71"/>
      <c r="B52" s="72"/>
      <c r="C52" s="73" t="s">
        <v>79</v>
      </c>
      <c r="D52" s="19">
        <v>1</v>
      </c>
      <c r="E52" s="71" t="s">
        <v>501</v>
      </c>
      <c r="F52" s="73">
        <v>0</v>
      </c>
      <c r="G52" s="74"/>
      <c r="H52" s="75"/>
    </row>
    <row r="53" spans="1:10" s="19" customFormat="1" ht="17.25" x14ac:dyDescent="0.35">
      <c r="A53" s="71" t="s">
        <v>91</v>
      </c>
      <c r="B53" s="72">
        <v>855</v>
      </c>
      <c r="C53" s="73" t="s">
        <v>79</v>
      </c>
      <c r="D53" s="19">
        <v>2</v>
      </c>
      <c r="E53" s="71" t="s">
        <v>53</v>
      </c>
      <c r="F53" s="73">
        <v>0</v>
      </c>
      <c r="G53" s="74" t="s">
        <v>88</v>
      </c>
      <c r="H53" s="75" t="s">
        <v>223</v>
      </c>
    </row>
    <row r="54" spans="1:10" s="19" customFormat="1" ht="17.25" x14ac:dyDescent="0.35">
      <c r="A54" s="71" t="s">
        <v>92</v>
      </c>
      <c r="B54" s="72">
        <v>880</v>
      </c>
      <c r="C54" s="73" t="s">
        <v>79</v>
      </c>
      <c r="D54" s="19">
        <v>1</v>
      </c>
      <c r="E54" s="71"/>
      <c r="F54" s="73">
        <v>0</v>
      </c>
      <c r="G54" s="74" t="s">
        <v>88</v>
      </c>
      <c r="H54" s="75"/>
    </row>
    <row r="55" spans="1:10" s="19" customFormat="1" ht="17.25" x14ac:dyDescent="0.35">
      <c r="A55" s="71" t="s">
        <v>93</v>
      </c>
      <c r="B55" s="72">
        <v>881</v>
      </c>
      <c r="C55" s="73" t="s">
        <v>79</v>
      </c>
      <c r="D55" s="19">
        <v>1</v>
      </c>
      <c r="E55" s="71"/>
      <c r="F55" s="73">
        <v>0</v>
      </c>
      <c r="G55" s="74" t="s">
        <v>88</v>
      </c>
      <c r="H55" s="75"/>
    </row>
    <row r="56" spans="1:10" s="19" customFormat="1" ht="17.25" x14ac:dyDescent="0.35">
      <c r="A56" s="71" t="s">
        <v>94</v>
      </c>
      <c r="B56" s="72">
        <v>882</v>
      </c>
      <c r="C56" s="73" t="s">
        <v>79</v>
      </c>
      <c r="D56" s="19">
        <v>1</v>
      </c>
      <c r="E56" s="71"/>
      <c r="F56" s="73">
        <v>1</v>
      </c>
      <c r="G56" s="74" t="s">
        <v>88</v>
      </c>
      <c r="H56" s="75"/>
    </row>
    <row r="57" spans="1:10" s="19" customFormat="1" ht="34.5" x14ac:dyDescent="0.35">
      <c r="A57" s="71" t="s">
        <v>216</v>
      </c>
      <c r="B57" s="72">
        <v>896</v>
      </c>
      <c r="C57" s="73" t="s">
        <v>79</v>
      </c>
      <c r="D57" s="19">
        <v>2</v>
      </c>
      <c r="E57" s="71" t="s">
        <v>217</v>
      </c>
      <c r="F57" s="73">
        <v>1</v>
      </c>
      <c r="G57" s="74" t="s">
        <v>88</v>
      </c>
      <c r="H57" s="75" t="s">
        <v>231</v>
      </c>
    </row>
    <row r="58" spans="1:10" s="19" customFormat="1" ht="17.25" x14ac:dyDescent="0.35">
      <c r="A58" s="71" t="s">
        <v>20</v>
      </c>
      <c r="B58" s="72">
        <v>928</v>
      </c>
      <c r="C58" s="73" t="s">
        <v>79</v>
      </c>
      <c r="D58" s="19">
        <v>2</v>
      </c>
      <c r="E58" s="71" t="s">
        <v>21</v>
      </c>
      <c r="F58" s="73">
        <v>0</v>
      </c>
      <c r="G58" s="74" t="s">
        <v>88</v>
      </c>
      <c r="H58" s="75"/>
    </row>
    <row r="59" spans="1:10" s="19" customFormat="1" ht="17.25" x14ac:dyDescent="0.35">
      <c r="A59" s="71" t="s">
        <v>22</v>
      </c>
      <c r="B59" s="72">
        <v>929</v>
      </c>
      <c r="C59" s="73" t="s">
        <v>79</v>
      </c>
      <c r="D59" s="19">
        <v>2</v>
      </c>
      <c r="E59" s="71" t="s">
        <v>23</v>
      </c>
      <c r="F59" s="73" t="s">
        <v>24</v>
      </c>
      <c r="G59" s="74" t="s">
        <v>88</v>
      </c>
      <c r="H59" s="75" t="s">
        <v>25</v>
      </c>
    </row>
    <row r="60" spans="1:10" s="47" customFormat="1" ht="17.25" x14ac:dyDescent="0.35">
      <c r="A60" s="71" t="s">
        <v>45</v>
      </c>
      <c r="B60" s="72">
        <v>1018</v>
      </c>
      <c r="C60" s="73" t="s">
        <v>79</v>
      </c>
      <c r="D60" s="19">
        <v>2</v>
      </c>
      <c r="E60" s="71" t="s">
        <v>46</v>
      </c>
      <c r="F60" s="73">
        <v>0</v>
      </c>
      <c r="G60" s="74" t="s">
        <v>88</v>
      </c>
      <c r="H60" s="75" t="s">
        <v>502</v>
      </c>
      <c r="I60" s="19"/>
      <c r="J60" s="19"/>
    </row>
    <row r="61" spans="1:10" s="47" customFormat="1" ht="17.25" x14ac:dyDescent="0.35">
      <c r="A61" s="71" t="s">
        <v>218</v>
      </c>
      <c r="B61" s="72">
        <v>946</v>
      </c>
      <c r="C61" s="73"/>
      <c r="D61" s="19"/>
      <c r="E61" s="71"/>
      <c r="F61" s="73"/>
      <c r="G61" s="74" t="s">
        <v>187</v>
      </c>
      <c r="H61" s="75"/>
      <c r="I61" s="19"/>
      <c r="J61" s="19"/>
    </row>
    <row r="62" spans="1:10" s="47" customFormat="1" ht="17.25" x14ac:dyDescent="0.35">
      <c r="A62" s="71"/>
      <c r="B62" s="72"/>
      <c r="C62" s="73" t="s">
        <v>79</v>
      </c>
      <c r="D62" s="19">
        <v>1</v>
      </c>
      <c r="E62" s="71" t="s">
        <v>17</v>
      </c>
      <c r="F62" s="73">
        <v>0</v>
      </c>
      <c r="G62" s="74"/>
      <c r="H62" s="75"/>
      <c r="I62" s="19"/>
      <c r="J62" s="19"/>
    </row>
    <row r="63" spans="1:10" s="19" customFormat="1" ht="17.25" x14ac:dyDescent="0.35">
      <c r="A63" s="71"/>
      <c r="B63" s="72"/>
      <c r="C63" s="73" t="s">
        <v>79</v>
      </c>
      <c r="D63" s="19">
        <v>2</v>
      </c>
      <c r="E63" s="71" t="s">
        <v>219</v>
      </c>
      <c r="F63" s="73" t="s">
        <v>229</v>
      </c>
      <c r="G63" s="74"/>
      <c r="H63" s="75" t="s">
        <v>6</v>
      </c>
    </row>
    <row r="64" spans="1:10" s="19" customFormat="1" ht="17.25" x14ac:dyDescent="0.35">
      <c r="A64" s="71" t="s">
        <v>220</v>
      </c>
      <c r="B64" s="72">
        <v>2954</v>
      </c>
      <c r="C64" s="73"/>
      <c r="E64" s="71"/>
      <c r="F64" s="73"/>
      <c r="G64" s="74" t="s">
        <v>187</v>
      </c>
      <c r="H64" s="75"/>
    </row>
    <row r="65" spans="1:10" s="19" customFormat="1" ht="17.25" x14ac:dyDescent="0.35">
      <c r="A65" s="71"/>
      <c r="B65" s="72"/>
      <c r="C65" s="73" t="s">
        <v>79</v>
      </c>
      <c r="D65" s="19">
        <v>1</v>
      </c>
      <c r="E65" s="71" t="s">
        <v>17</v>
      </c>
      <c r="F65" s="73">
        <v>0</v>
      </c>
      <c r="G65" s="74"/>
      <c r="H65" s="75"/>
    </row>
    <row r="66" spans="1:10" s="19" customFormat="1" ht="17.25" x14ac:dyDescent="0.35">
      <c r="A66" s="71"/>
      <c r="B66" s="72"/>
      <c r="C66" s="73" t="s">
        <v>79</v>
      </c>
      <c r="D66" s="19">
        <v>4</v>
      </c>
      <c r="E66" s="71" t="s">
        <v>221</v>
      </c>
      <c r="F66" s="73" t="s">
        <v>105</v>
      </c>
      <c r="G66" s="74"/>
      <c r="H66" s="75" t="s">
        <v>6</v>
      </c>
    </row>
    <row r="67" spans="1:10" s="19" customFormat="1" ht="17.25" x14ac:dyDescent="0.35">
      <c r="A67" s="71" t="s">
        <v>95</v>
      </c>
      <c r="B67" s="72">
        <v>1896</v>
      </c>
      <c r="C67" s="73" t="s">
        <v>79</v>
      </c>
      <c r="D67" s="19">
        <v>1</v>
      </c>
      <c r="E67" s="71" t="s">
        <v>96</v>
      </c>
      <c r="F67" s="73">
        <v>0</v>
      </c>
      <c r="G67" s="74" t="s">
        <v>88</v>
      </c>
      <c r="H67" s="75"/>
    </row>
    <row r="68" spans="1:10" s="19" customFormat="1" ht="17.25" x14ac:dyDescent="0.35">
      <c r="A68" s="71" t="s">
        <v>31</v>
      </c>
      <c r="B68" s="72">
        <v>1907</v>
      </c>
      <c r="C68" s="73" t="s">
        <v>79</v>
      </c>
      <c r="D68" s="19">
        <v>1</v>
      </c>
      <c r="E68" s="71" t="s">
        <v>32</v>
      </c>
      <c r="F68" s="73">
        <v>1</v>
      </c>
      <c r="G68" s="74" t="s">
        <v>88</v>
      </c>
      <c r="H68" s="75"/>
    </row>
    <row r="69" spans="1:10" s="19" customFormat="1" ht="17.25" x14ac:dyDescent="0.35">
      <c r="A69" s="71" t="s">
        <v>54</v>
      </c>
      <c r="B69" s="72">
        <v>3532</v>
      </c>
      <c r="C69" s="73" t="s">
        <v>79</v>
      </c>
      <c r="D69" s="19">
        <v>1</v>
      </c>
      <c r="E69" s="71" t="s">
        <v>55</v>
      </c>
      <c r="F69" s="73">
        <v>135</v>
      </c>
      <c r="G69" s="74" t="s">
        <v>88</v>
      </c>
      <c r="H69" s="75" t="s">
        <v>6</v>
      </c>
    </row>
    <row r="70" spans="1:10" s="19" customFormat="1" ht="17.25" x14ac:dyDescent="0.35">
      <c r="A70" s="71" t="s">
        <v>56</v>
      </c>
      <c r="B70" s="72">
        <v>3533</v>
      </c>
      <c r="C70" s="73" t="s">
        <v>79</v>
      </c>
      <c r="D70" s="19">
        <v>1</v>
      </c>
      <c r="E70" s="71" t="s">
        <v>57</v>
      </c>
      <c r="F70" s="73">
        <v>30</v>
      </c>
      <c r="G70" s="74" t="s">
        <v>88</v>
      </c>
      <c r="H70" s="75" t="s">
        <v>6</v>
      </c>
    </row>
    <row r="71" spans="1:10" s="19" customFormat="1" ht="17.25" x14ac:dyDescent="0.35">
      <c r="A71" s="71" t="s">
        <v>97</v>
      </c>
      <c r="B71" s="72">
        <v>4102</v>
      </c>
      <c r="C71" s="73" t="s">
        <v>79</v>
      </c>
      <c r="D71" s="19">
        <v>1</v>
      </c>
      <c r="E71" s="71"/>
      <c r="F71" s="73">
        <v>1</v>
      </c>
      <c r="G71" s="74" t="s">
        <v>88</v>
      </c>
      <c r="H71" s="75"/>
    </row>
    <row r="72" spans="1:10" s="19" customFormat="1" ht="17.25" x14ac:dyDescent="0.35">
      <c r="A72" s="71" t="s">
        <v>503</v>
      </c>
      <c r="B72" s="72">
        <v>4192</v>
      </c>
      <c r="C72" s="73" t="s">
        <v>79</v>
      </c>
      <c r="D72" s="19">
        <v>1</v>
      </c>
      <c r="E72" s="71"/>
      <c r="F72" s="73">
        <v>1</v>
      </c>
      <c r="G72" s="74" t="s">
        <v>88</v>
      </c>
      <c r="H72" s="75"/>
    </row>
    <row r="73" spans="1:10" s="19" customFormat="1" ht="17.25" x14ac:dyDescent="0.35">
      <c r="A73" s="71" t="s">
        <v>27</v>
      </c>
      <c r="B73" s="72">
        <v>4204</v>
      </c>
      <c r="C73" s="73" t="s">
        <v>79</v>
      </c>
      <c r="D73" s="19">
        <v>1</v>
      </c>
      <c r="E73" s="71" t="s">
        <v>28</v>
      </c>
      <c r="F73" s="73">
        <v>0</v>
      </c>
      <c r="G73" s="74" t="s">
        <v>88</v>
      </c>
      <c r="H73" s="75"/>
    </row>
    <row r="74" spans="1:10" s="19" customFormat="1" ht="17.25" x14ac:dyDescent="0.35">
      <c r="A74" s="71" t="s">
        <v>98</v>
      </c>
      <c r="B74" s="72">
        <v>4265</v>
      </c>
      <c r="C74" s="73" t="s">
        <v>79</v>
      </c>
      <c r="D74" s="19">
        <v>1</v>
      </c>
      <c r="E74" s="71"/>
      <c r="F74" s="73" t="s">
        <v>60</v>
      </c>
      <c r="G74" s="74" t="s">
        <v>88</v>
      </c>
      <c r="H74" s="75"/>
    </row>
    <row r="75" spans="1:10" s="19" customFormat="1" ht="17.25" x14ac:dyDescent="0.35">
      <c r="A75" s="71" t="s">
        <v>47</v>
      </c>
      <c r="B75" s="72">
        <v>4366</v>
      </c>
      <c r="C75" s="73"/>
      <c r="E75" s="71" t="s">
        <v>48</v>
      </c>
      <c r="F75" s="73"/>
      <c r="G75" s="74" t="s">
        <v>88</v>
      </c>
      <c r="H75" s="75"/>
    </row>
    <row r="76" spans="1:10" s="19" customFormat="1" ht="17.25" x14ac:dyDescent="0.35">
      <c r="A76" s="71"/>
      <c r="B76" s="72"/>
      <c r="C76" s="73" t="s">
        <v>79</v>
      </c>
      <c r="D76" s="19">
        <v>4</v>
      </c>
      <c r="E76" s="71" t="s">
        <v>49</v>
      </c>
      <c r="F76" s="73">
        <v>1</v>
      </c>
      <c r="G76" s="74"/>
      <c r="H76" s="75" t="s">
        <v>75</v>
      </c>
    </row>
    <row r="77" spans="1:10" s="47" customFormat="1" ht="17.25" x14ac:dyDescent="0.35">
      <c r="A77" s="71" t="s">
        <v>253</v>
      </c>
      <c r="B77" s="72">
        <v>4230</v>
      </c>
      <c r="C77" s="73" t="s">
        <v>79</v>
      </c>
      <c r="D77" s="19">
        <v>2</v>
      </c>
      <c r="E77" s="71"/>
      <c r="F77" s="73">
        <v>0</v>
      </c>
      <c r="G77" s="74" t="s">
        <v>88</v>
      </c>
      <c r="H77" s="75"/>
      <c r="I77" s="19"/>
      <c r="J77" s="19"/>
    </row>
    <row r="78" spans="1:10" s="47" customFormat="1" ht="17.25" x14ac:dyDescent="0.35">
      <c r="A78" s="71" t="s">
        <v>252</v>
      </c>
      <c r="B78" s="72">
        <v>4528</v>
      </c>
      <c r="C78" s="73" t="s">
        <v>79</v>
      </c>
      <c r="D78" s="19">
        <v>1</v>
      </c>
      <c r="E78" s="71"/>
      <c r="F78" s="73">
        <v>0</v>
      </c>
      <c r="G78" s="74" t="s">
        <v>88</v>
      </c>
      <c r="H78" s="75"/>
      <c r="I78" s="19"/>
      <c r="J78" s="19"/>
    </row>
    <row r="79" spans="1:10" s="19" customFormat="1" ht="17.25" x14ac:dyDescent="0.35">
      <c r="A79" s="71" t="s">
        <v>99</v>
      </c>
      <c r="B79" s="72">
        <v>4964</v>
      </c>
      <c r="C79" s="73" t="s">
        <v>79</v>
      </c>
      <c r="D79" s="19">
        <v>2</v>
      </c>
      <c r="E79" s="71"/>
      <c r="F79" s="73">
        <v>4</v>
      </c>
      <c r="G79" s="74" t="s">
        <v>88</v>
      </c>
      <c r="H79" s="75"/>
    </row>
    <row r="80" spans="1:10" s="19" customFormat="1" ht="17.25" x14ac:dyDescent="0.35">
      <c r="A80" s="71" t="s">
        <v>232</v>
      </c>
      <c r="B80" s="72">
        <v>6907</v>
      </c>
      <c r="C80" s="73" t="s">
        <v>79</v>
      </c>
      <c r="D80" s="19">
        <v>2</v>
      </c>
      <c r="E80" s="71" t="s">
        <v>233</v>
      </c>
      <c r="F80" s="73">
        <v>1</v>
      </c>
      <c r="G80" s="74" t="s">
        <v>88</v>
      </c>
      <c r="H80" s="75" t="s">
        <v>238</v>
      </c>
    </row>
    <row r="81" spans="1:9" s="19" customFormat="1" ht="34.5" x14ac:dyDescent="0.35">
      <c r="A81" s="71" t="s">
        <v>234</v>
      </c>
      <c r="B81" s="72">
        <v>4398</v>
      </c>
      <c r="C81" s="73" t="s">
        <v>79</v>
      </c>
      <c r="D81" s="19">
        <v>1</v>
      </c>
      <c r="E81" s="71" t="s">
        <v>235</v>
      </c>
      <c r="F81" s="73">
        <v>1</v>
      </c>
      <c r="G81" s="74" t="s">
        <v>88</v>
      </c>
      <c r="H81" s="75" t="s">
        <v>236</v>
      </c>
    </row>
    <row r="82" spans="1:9" s="19" customFormat="1" ht="17.25" x14ac:dyDescent="0.35">
      <c r="A82" s="71" t="s">
        <v>237</v>
      </c>
      <c r="B82" s="72">
        <v>5770</v>
      </c>
      <c r="C82" s="73" t="s">
        <v>79</v>
      </c>
      <c r="D82" s="19">
        <v>1</v>
      </c>
      <c r="E82" s="71" t="s">
        <v>239</v>
      </c>
      <c r="F82" s="73">
        <v>0</v>
      </c>
      <c r="G82" s="74" t="s">
        <v>88</v>
      </c>
      <c r="H82" s="75"/>
    </row>
    <row r="83" spans="1:9" s="19" customFormat="1" ht="17.25" x14ac:dyDescent="0.35">
      <c r="A83" s="71" t="s">
        <v>504</v>
      </c>
      <c r="B83" s="72">
        <v>6248</v>
      </c>
      <c r="C83" s="73" t="s">
        <v>79</v>
      </c>
      <c r="D83" s="19">
        <v>1</v>
      </c>
      <c r="E83" s="71"/>
      <c r="F83" s="73">
        <v>0</v>
      </c>
      <c r="G83" s="74" t="s">
        <v>88</v>
      </c>
      <c r="H83" s="75"/>
    </row>
    <row r="84" spans="1:9" s="19" customFormat="1" ht="17.25" x14ac:dyDescent="0.35">
      <c r="A84" s="71" t="s">
        <v>788</v>
      </c>
      <c r="B84" s="72">
        <v>6862</v>
      </c>
      <c r="C84" s="73"/>
      <c r="E84" s="71"/>
      <c r="F84" s="73"/>
      <c r="G84" s="74" t="s">
        <v>88</v>
      </c>
      <c r="H84" s="75" t="s">
        <v>6</v>
      </c>
    </row>
    <row r="85" spans="1:9" s="19" customFormat="1" ht="17.25" x14ac:dyDescent="0.35">
      <c r="A85" s="71"/>
      <c r="B85" s="72"/>
      <c r="C85" s="73" t="s">
        <v>79</v>
      </c>
      <c r="D85" s="19">
        <v>1</v>
      </c>
      <c r="E85" s="71" t="s">
        <v>789</v>
      </c>
      <c r="F85" s="73">
        <v>1</v>
      </c>
      <c r="G85" s="74"/>
      <c r="H85" s="75"/>
    </row>
    <row r="86" spans="1:9" s="19" customFormat="1" ht="17.25" x14ac:dyDescent="0.35">
      <c r="A86" s="71" t="s">
        <v>61</v>
      </c>
      <c r="B86" s="72">
        <v>10</v>
      </c>
      <c r="C86" s="73"/>
      <c r="E86" s="71" t="s">
        <v>62</v>
      </c>
      <c r="F86" s="73"/>
      <c r="G86" s="74" t="s">
        <v>187</v>
      </c>
      <c r="H86" s="75" t="s">
        <v>6</v>
      </c>
    </row>
    <row r="87" spans="1:9" s="19" customFormat="1" ht="17.25" x14ac:dyDescent="0.35">
      <c r="A87" s="71"/>
      <c r="B87" s="72"/>
      <c r="C87" s="73" t="s">
        <v>79</v>
      </c>
      <c r="D87" s="19">
        <v>1</v>
      </c>
      <c r="E87" s="71" t="s">
        <v>17</v>
      </c>
      <c r="F87" s="73">
        <v>0</v>
      </c>
      <c r="G87" s="74"/>
      <c r="H87" s="75"/>
    </row>
    <row r="88" spans="1:9" s="19" customFormat="1" ht="17.25" x14ac:dyDescent="0.35">
      <c r="A88" s="71"/>
      <c r="B88" s="72"/>
      <c r="C88" s="73" t="s">
        <v>79</v>
      </c>
      <c r="D88" s="19">
        <v>2</v>
      </c>
      <c r="E88" s="71" t="s">
        <v>63</v>
      </c>
      <c r="F88" s="73">
        <v>4</v>
      </c>
      <c r="G88" s="74"/>
      <c r="H88" s="75" t="s">
        <v>6</v>
      </c>
    </row>
    <row r="89" spans="1:9" s="19" customFormat="1" ht="17.25" x14ac:dyDescent="0.35">
      <c r="A89" s="71" t="s">
        <v>73</v>
      </c>
      <c r="B89" s="72">
        <v>4229</v>
      </c>
      <c r="C89" s="73" t="s">
        <v>79</v>
      </c>
      <c r="D89" s="19">
        <v>1</v>
      </c>
      <c r="E89" s="71" t="s">
        <v>74</v>
      </c>
      <c r="F89" s="73">
        <v>1</v>
      </c>
      <c r="G89" s="74" t="s">
        <v>88</v>
      </c>
      <c r="H89" s="75"/>
    </row>
    <row r="90" spans="1:9" s="19" customFormat="1" ht="17.25" x14ac:dyDescent="0.35">
      <c r="A90" s="71" t="s">
        <v>58</v>
      </c>
      <c r="B90" s="72">
        <v>5280</v>
      </c>
      <c r="C90" s="73" t="s">
        <v>79</v>
      </c>
      <c r="D90" s="19">
        <v>8</v>
      </c>
      <c r="E90" s="71" t="s">
        <v>59</v>
      </c>
      <c r="F90" s="73">
        <v>0</v>
      </c>
      <c r="G90" s="74" t="s">
        <v>88</v>
      </c>
      <c r="H90" s="75"/>
    </row>
    <row r="91" spans="1:9" s="19" customFormat="1" ht="18" thickBot="1" x14ac:dyDescent="0.4">
      <c r="A91" s="76"/>
      <c r="B91" s="59"/>
      <c r="C91" s="77"/>
      <c r="D91" s="78"/>
      <c r="E91" s="76"/>
      <c r="F91" s="77"/>
      <c r="G91" s="78"/>
      <c r="H91" s="79"/>
    </row>
    <row r="92" spans="1:9" s="19" customFormat="1" ht="15.75" thickBot="1" x14ac:dyDescent="0.35">
      <c r="A92" s="63"/>
      <c r="B92" s="63"/>
      <c r="C92" s="63"/>
      <c r="D92" s="63"/>
      <c r="E92" s="63"/>
      <c r="F92" s="63"/>
      <c r="G92" s="63"/>
      <c r="H92" s="64"/>
    </row>
    <row r="93" spans="1:9" s="19" customFormat="1" ht="20.25" thickBot="1" x14ac:dyDescent="0.45">
      <c r="A93" s="80" t="s">
        <v>83</v>
      </c>
      <c r="B93" s="80"/>
      <c r="C93" s="80"/>
      <c r="D93" s="80"/>
      <c r="E93" s="80"/>
      <c r="F93" s="80"/>
      <c r="G93" s="80"/>
      <c r="H93" s="81"/>
      <c r="I93" s="82"/>
    </row>
    <row r="94" spans="1:9" s="19" customFormat="1" ht="15.75" thickBot="1" x14ac:dyDescent="0.35">
      <c r="A94" s="83" t="s">
        <v>65</v>
      </c>
      <c r="B94" s="84" t="s">
        <v>66</v>
      </c>
      <c r="C94" s="85" t="s">
        <v>76</v>
      </c>
      <c r="D94" s="86" t="s">
        <v>86</v>
      </c>
      <c r="E94" s="85" t="s">
        <v>85</v>
      </c>
      <c r="F94" s="85" t="s">
        <v>78</v>
      </c>
      <c r="G94" s="85" t="s">
        <v>84</v>
      </c>
      <c r="H94" s="87" t="s">
        <v>89</v>
      </c>
      <c r="I94" s="88" t="s">
        <v>67</v>
      </c>
    </row>
    <row r="95" spans="1:9" s="19" customFormat="1" ht="17.25" x14ac:dyDescent="0.35">
      <c r="A95" s="153"/>
      <c r="B95" s="154"/>
      <c r="C95" s="154"/>
      <c r="D95" s="154"/>
      <c r="E95" s="154"/>
      <c r="F95" s="154"/>
      <c r="G95" s="154"/>
      <c r="H95" s="155"/>
      <c r="I95" s="121"/>
    </row>
    <row r="96" spans="1:9" s="19" customFormat="1" ht="17.25" x14ac:dyDescent="0.35">
      <c r="A96" s="156" t="s">
        <v>100</v>
      </c>
      <c r="B96" s="89" t="s">
        <v>101</v>
      </c>
      <c r="C96" s="89" t="s">
        <v>81</v>
      </c>
      <c r="D96" s="89"/>
      <c r="E96" s="89"/>
      <c r="F96" s="89"/>
      <c r="G96" s="89" t="s">
        <v>88</v>
      </c>
      <c r="H96" s="157" t="s">
        <v>505</v>
      </c>
      <c r="I96" s="96" t="s">
        <v>249</v>
      </c>
    </row>
    <row r="97" spans="1:9" s="19" customFormat="1" ht="17.25" x14ac:dyDescent="0.35">
      <c r="A97" s="156" t="s">
        <v>102</v>
      </c>
      <c r="B97" s="89" t="s">
        <v>185</v>
      </c>
      <c r="C97" s="89" t="s">
        <v>81</v>
      </c>
      <c r="D97" s="89"/>
      <c r="E97" s="89"/>
      <c r="F97" s="89"/>
      <c r="G97" s="89" t="s">
        <v>88</v>
      </c>
      <c r="H97" s="157" t="s">
        <v>230</v>
      </c>
      <c r="I97" s="96" t="s">
        <v>249</v>
      </c>
    </row>
    <row r="98" spans="1:9" s="19" customFormat="1" ht="17.25" x14ac:dyDescent="0.35">
      <c r="A98" s="156" t="s">
        <v>103</v>
      </c>
      <c r="B98" s="89" t="s">
        <v>104</v>
      </c>
      <c r="C98" s="89" t="s">
        <v>81</v>
      </c>
      <c r="D98" s="89"/>
      <c r="E98" s="89"/>
      <c r="F98" s="89"/>
      <c r="G98" s="89" t="s">
        <v>88</v>
      </c>
      <c r="H98" s="157" t="s">
        <v>506</v>
      </c>
      <c r="I98" s="96">
        <v>65591</v>
      </c>
    </row>
    <row r="99" spans="1:9" s="95" customFormat="1" ht="17.25" x14ac:dyDescent="0.35">
      <c r="A99" s="156" t="s">
        <v>182</v>
      </c>
      <c r="B99" s="89" t="s">
        <v>106</v>
      </c>
      <c r="C99" s="89" t="s">
        <v>81</v>
      </c>
      <c r="D99" s="89"/>
      <c r="E99" s="89"/>
      <c r="F99" s="89"/>
      <c r="G99" s="89" t="s">
        <v>88</v>
      </c>
      <c r="H99" s="157" t="s">
        <v>507</v>
      </c>
      <c r="I99" s="96">
        <v>66035</v>
      </c>
    </row>
    <row r="100" spans="1:9" s="115" customFormat="1" ht="17.25" x14ac:dyDescent="0.35">
      <c r="A100" s="156" t="s">
        <v>107</v>
      </c>
      <c r="B100" s="89" t="s">
        <v>108</v>
      </c>
      <c r="C100" s="89" t="s">
        <v>81</v>
      </c>
      <c r="D100" s="89"/>
      <c r="E100" s="89"/>
      <c r="F100" s="89"/>
      <c r="G100" s="89" t="s">
        <v>88</v>
      </c>
      <c r="H100" s="157" t="s">
        <v>508</v>
      </c>
      <c r="I100" s="96">
        <v>65953</v>
      </c>
    </row>
    <row r="101" spans="1:9" s="115" customFormat="1" ht="17.25" x14ac:dyDescent="0.35">
      <c r="A101" s="156" t="s">
        <v>509</v>
      </c>
      <c r="B101" s="89" t="s">
        <v>510</v>
      </c>
      <c r="C101" s="89" t="s">
        <v>116</v>
      </c>
      <c r="D101" s="89"/>
      <c r="E101" s="89"/>
      <c r="F101" s="89"/>
      <c r="G101" s="89" t="s">
        <v>88</v>
      </c>
      <c r="H101" s="157"/>
      <c r="I101" s="96">
        <v>66007</v>
      </c>
    </row>
    <row r="102" spans="1:9" s="115" customFormat="1" ht="17.25" x14ac:dyDescent="0.35">
      <c r="A102" s="156"/>
      <c r="B102" s="89"/>
      <c r="C102" s="89"/>
      <c r="D102" s="89" t="s">
        <v>79</v>
      </c>
      <c r="E102" s="89">
        <v>4</v>
      </c>
      <c r="F102" s="89" t="s">
        <v>511</v>
      </c>
      <c r="G102" s="89"/>
      <c r="H102" s="157"/>
      <c r="I102" s="96"/>
    </row>
    <row r="103" spans="1:9" s="115" customFormat="1" ht="17.25" x14ac:dyDescent="0.35">
      <c r="A103" s="156" t="s">
        <v>109</v>
      </c>
      <c r="B103" s="89" t="s">
        <v>110</v>
      </c>
      <c r="C103" s="89" t="s">
        <v>81</v>
      </c>
      <c r="D103" s="89"/>
      <c r="E103" s="89"/>
      <c r="F103" s="89"/>
      <c r="G103" s="89" t="s">
        <v>88</v>
      </c>
      <c r="H103" s="157" t="s">
        <v>512</v>
      </c>
      <c r="I103" s="96">
        <v>67200</v>
      </c>
    </row>
    <row r="104" spans="1:9" s="115" customFormat="1" ht="17.25" x14ac:dyDescent="0.35">
      <c r="A104" s="156" t="s">
        <v>513</v>
      </c>
      <c r="B104" s="89" t="s">
        <v>514</v>
      </c>
      <c r="C104" s="89" t="s">
        <v>81</v>
      </c>
      <c r="D104" s="89"/>
      <c r="E104" s="89"/>
      <c r="F104" s="89"/>
      <c r="G104" s="89" t="s">
        <v>88</v>
      </c>
      <c r="H104" s="157" t="s">
        <v>515</v>
      </c>
      <c r="I104" s="96">
        <v>66033</v>
      </c>
    </row>
    <row r="105" spans="1:9" s="115" customFormat="1" ht="17.25" x14ac:dyDescent="0.35">
      <c r="A105" s="156" t="s">
        <v>291</v>
      </c>
      <c r="B105" s="89" t="s">
        <v>292</v>
      </c>
      <c r="C105" s="89" t="s">
        <v>81</v>
      </c>
      <c r="D105" s="89"/>
      <c r="E105" s="89"/>
      <c r="F105" s="89"/>
      <c r="G105" s="89" t="s">
        <v>88</v>
      </c>
      <c r="H105" s="157" t="s">
        <v>516</v>
      </c>
      <c r="I105" s="96">
        <v>65677</v>
      </c>
    </row>
    <row r="106" spans="1:9" s="115" customFormat="1" ht="17.25" x14ac:dyDescent="0.35">
      <c r="A106" s="156" t="s">
        <v>320</v>
      </c>
      <c r="B106" s="89" t="s">
        <v>111</v>
      </c>
      <c r="C106" s="89" t="s">
        <v>116</v>
      </c>
      <c r="D106" s="89"/>
      <c r="E106" s="89"/>
      <c r="F106" s="89"/>
      <c r="G106" s="89" t="s">
        <v>88</v>
      </c>
      <c r="H106" s="157"/>
      <c r="I106" s="96">
        <v>65956</v>
      </c>
    </row>
    <row r="107" spans="1:9" s="115" customFormat="1" ht="17.25" x14ac:dyDescent="0.35">
      <c r="A107" s="156" t="s">
        <v>318</v>
      </c>
      <c r="B107" s="89" t="s">
        <v>318</v>
      </c>
      <c r="C107" s="89"/>
      <c r="D107" s="89" t="s">
        <v>79</v>
      </c>
      <c r="E107" s="89">
        <v>2</v>
      </c>
      <c r="F107" s="89">
        <v>1</v>
      </c>
      <c r="G107" s="89"/>
      <c r="H107" s="157"/>
      <c r="I107" s="96"/>
    </row>
    <row r="108" spans="1:9" s="115" customFormat="1" ht="17.25" x14ac:dyDescent="0.35">
      <c r="A108" s="156" t="s">
        <v>362</v>
      </c>
      <c r="B108" s="89" t="s">
        <v>363</v>
      </c>
      <c r="C108" s="89" t="s">
        <v>116</v>
      </c>
      <c r="D108" s="89"/>
      <c r="E108" s="89"/>
      <c r="F108" s="89"/>
      <c r="G108" s="89" t="s">
        <v>88</v>
      </c>
      <c r="H108" s="157"/>
      <c r="I108" s="96">
        <v>67280</v>
      </c>
    </row>
    <row r="109" spans="1:9" s="115" customFormat="1" ht="17.25" x14ac:dyDescent="0.35">
      <c r="A109" s="156" t="s">
        <v>318</v>
      </c>
      <c r="B109" s="89" t="s">
        <v>318</v>
      </c>
      <c r="C109" s="89"/>
      <c r="D109" s="89" t="s">
        <v>79</v>
      </c>
      <c r="E109" s="89">
        <v>4</v>
      </c>
      <c r="F109" s="89">
        <v>30000</v>
      </c>
      <c r="G109" s="89"/>
      <c r="H109" s="157"/>
      <c r="I109" s="96"/>
    </row>
    <row r="110" spans="1:9" s="115" customFormat="1" ht="17.25" x14ac:dyDescent="0.35">
      <c r="A110" s="156" t="s">
        <v>364</v>
      </c>
      <c r="B110" s="89" t="s">
        <v>365</v>
      </c>
      <c r="C110" s="89" t="s">
        <v>116</v>
      </c>
      <c r="D110" s="89"/>
      <c r="E110" s="89"/>
      <c r="F110" s="89"/>
      <c r="G110" s="89" t="s">
        <v>88</v>
      </c>
      <c r="H110" s="157"/>
      <c r="I110" s="96">
        <v>67281</v>
      </c>
    </row>
    <row r="111" spans="1:9" s="115" customFormat="1" ht="17.25" x14ac:dyDescent="0.35">
      <c r="A111" s="156" t="s">
        <v>318</v>
      </c>
      <c r="B111" s="89" t="s">
        <v>318</v>
      </c>
      <c r="C111" s="89"/>
      <c r="D111" s="89" t="s">
        <v>79</v>
      </c>
      <c r="E111" s="89">
        <v>4</v>
      </c>
      <c r="F111" s="89">
        <v>35000</v>
      </c>
      <c r="G111" s="89"/>
      <c r="H111" s="157"/>
      <c r="I111" s="96"/>
    </row>
    <row r="112" spans="1:9" s="115" customFormat="1" ht="17.25" x14ac:dyDescent="0.35">
      <c r="A112" s="156" t="s">
        <v>366</v>
      </c>
      <c r="B112" s="89" t="s">
        <v>367</v>
      </c>
      <c r="C112" s="89" t="s">
        <v>116</v>
      </c>
      <c r="D112" s="89"/>
      <c r="E112" s="89"/>
      <c r="F112" s="89"/>
      <c r="G112" s="89" t="s">
        <v>88</v>
      </c>
      <c r="H112" s="157"/>
      <c r="I112" s="96">
        <v>67282</v>
      </c>
    </row>
    <row r="113" spans="1:9" s="115" customFormat="1" ht="17.25" x14ac:dyDescent="0.35">
      <c r="A113" s="156" t="s">
        <v>318</v>
      </c>
      <c r="B113" s="89" t="s">
        <v>318</v>
      </c>
      <c r="C113" s="89"/>
      <c r="D113" s="89" t="s">
        <v>79</v>
      </c>
      <c r="E113" s="89">
        <v>4</v>
      </c>
      <c r="F113" s="89">
        <v>10</v>
      </c>
      <c r="G113" s="89"/>
      <c r="H113" s="157"/>
      <c r="I113" s="96"/>
    </row>
    <row r="114" spans="1:9" s="115" customFormat="1" ht="17.25" x14ac:dyDescent="0.35">
      <c r="A114" s="156" t="s">
        <v>360</v>
      </c>
      <c r="B114" s="89" t="s">
        <v>361</v>
      </c>
      <c r="C114" s="89" t="s">
        <v>116</v>
      </c>
      <c r="D114" s="89"/>
      <c r="E114" s="89"/>
      <c r="F114" s="89"/>
      <c r="G114" s="89" t="s">
        <v>88</v>
      </c>
      <c r="H114" s="157"/>
      <c r="I114" s="96">
        <v>66031</v>
      </c>
    </row>
    <row r="115" spans="1:9" s="115" customFormat="1" ht="17.25" x14ac:dyDescent="0.35">
      <c r="A115" s="156" t="s">
        <v>318</v>
      </c>
      <c r="B115" s="89" t="s">
        <v>318</v>
      </c>
      <c r="C115" s="89"/>
      <c r="D115" s="89" t="s">
        <v>79</v>
      </c>
      <c r="E115" s="89">
        <v>4</v>
      </c>
      <c r="F115" s="89">
        <v>7</v>
      </c>
      <c r="G115" s="89"/>
      <c r="H115" s="157"/>
      <c r="I115" s="96"/>
    </row>
    <row r="116" spans="1:9" s="115" customFormat="1" ht="17.25" x14ac:dyDescent="0.35">
      <c r="A116" s="156" t="s">
        <v>295</v>
      </c>
      <c r="B116" s="89" t="s">
        <v>296</v>
      </c>
      <c r="C116" s="89" t="s">
        <v>116</v>
      </c>
      <c r="D116" s="89"/>
      <c r="E116" s="89"/>
      <c r="F116" s="89"/>
      <c r="G116" s="89" t="s">
        <v>88</v>
      </c>
      <c r="H116" s="157"/>
      <c r="I116" s="96">
        <v>66472</v>
      </c>
    </row>
    <row r="117" spans="1:9" s="115" customFormat="1" ht="17.25" x14ac:dyDescent="0.35">
      <c r="A117" s="156" t="s">
        <v>318</v>
      </c>
      <c r="B117" s="89" t="s">
        <v>318</v>
      </c>
      <c r="C117" s="89"/>
      <c r="D117" s="89" t="s">
        <v>79</v>
      </c>
      <c r="E117" s="89">
        <v>1</v>
      </c>
      <c r="F117" s="89">
        <v>1</v>
      </c>
      <c r="G117" s="89"/>
      <c r="H117" s="157"/>
      <c r="I117" s="96"/>
    </row>
    <row r="118" spans="1:9" s="115" customFormat="1" ht="17.25" x14ac:dyDescent="0.35">
      <c r="A118" s="156" t="s">
        <v>297</v>
      </c>
      <c r="B118" s="89" t="s">
        <v>298</v>
      </c>
      <c r="C118" s="89" t="s">
        <v>116</v>
      </c>
      <c r="D118" s="89"/>
      <c r="E118" s="89"/>
      <c r="F118" s="89"/>
      <c r="G118" s="89" t="s">
        <v>88</v>
      </c>
      <c r="H118" s="157"/>
      <c r="I118" s="96">
        <v>66473</v>
      </c>
    </row>
    <row r="119" spans="1:9" s="115" customFormat="1" ht="17.25" x14ac:dyDescent="0.35">
      <c r="A119" s="156" t="s">
        <v>318</v>
      </c>
      <c r="B119" s="89" t="s">
        <v>318</v>
      </c>
      <c r="C119" s="89"/>
      <c r="D119" s="89" t="s">
        <v>79</v>
      </c>
      <c r="E119" s="89">
        <v>1</v>
      </c>
      <c r="F119" s="89">
        <v>0</v>
      </c>
      <c r="G119" s="89"/>
      <c r="H119" s="157"/>
      <c r="I119" s="96"/>
    </row>
    <row r="120" spans="1:9" s="115" customFormat="1" ht="17.25" x14ac:dyDescent="0.35">
      <c r="A120" s="156" t="s">
        <v>304</v>
      </c>
      <c r="B120" s="89" t="s">
        <v>305</v>
      </c>
      <c r="C120" s="89" t="s">
        <v>116</v>
      </c>
      <c r="D120" s="89"/>
      <c r="E120" s="89"/>
      <c r="F120" s="89"/>
      <c r="G120" s="89" t="s">
        <v>88</v>
      </c>
      <c r="H120" s="157"/>
      <c r="I120" s="96">
        <v>70222</v>
      </c>
    </row>
    <row r="121" spans="1:9" s="115" customFormat="1" ht="17.25" x14ac:dyDescent="0.35">
      <c r="A121" s="156" t="s">
        <v>318</v>
      </c>
      <c r="B121" s="89" t="s">
        <v>318</v>
      </c>
      <c r="C121" s="89"/>
      <c r="D121" s="89" t="s">
        <v>79</v>
      </c>
      <c r="E121" s="89">
        <v>1</v>
      </c>
      <c r="F121" s="89">
        <v>1</v>
      </c>
      <c r="G121" s="89"/>
      <c r="H121" s="157"/>
      <c r="I121" s="96"/>
    </row>
    <row r="122" spans="1:9" s="115" customFormat="1" ht="17.25" x14ac:dyDescent="0.35">
      <c r="A122" s="156" t="s">
        <v>368</v>
      </c>
      <c r="B122" s="89" t="s">
        <v>300</v>
      </c>
      <c r="C122" s="89" t="s">
        <v>116</v>
      </c>
      <c r="D122" s="89"/>
      <c r="E122" s="89"/>
      <c r="F122" s="89"/>
      <c r="G122" s="89" t="s">
        <v>88</v>
      </c>
      <c r="H122" s="157"/>
      <c r="I122" s="96">
        <v>65601</v>
      </c>
    </row>
    <row r="123" spans="1:9" s="115" customFormat="1" ht="17.25" x14ac:dyDescent="0.35">
      <c r="A123" s="156" t="s">
        <v>318</v>
      </c>
      <c r="B123" s="89" t="s">
        <v>318</v>
      </c>
      <c r="C123" s="89"/>
      <c r="D123" s="89" t="s">
        <v>79</v>
      </c>
      <c r="E123" s="89">
        <v>4</v>
      </c>
      <c r="F123" s="89">
        <v>22</v>
      </c>
      <c r="G123" s="89"/>
      <c r="H123" s="157"/>
      <c r="I123" s="96"/>
    </row>
    <row r="124" spans="1:9" s="115" customFormat="1" ht="17.25" x14ac:dyDescent="0.35">
      <c r="A124" s="156" t="s">
        <v>369</v>
      </c>
      <c r="B124" s="89" t="s">
        <v>302</v>
      </c>
      <c r="C124" s="89" t="s">
        <v>116</v>
      </c>
      <c r="D124" s="89"/>
      <c r="E124" s="89"/>
      <c r="F124" s="89"/>
      <c r="G124" s="89" t="s">
        <v>88</v>
      </c>
      <c r="H124" s="157"/>
      <c r="I124" s="96">
        <v>67196</v>
      </c>
    </row>
    <row r="125" spans="1:9" s="115" customFormat="1" ht="17.25" x14ac:dyDescent="0.35">
      <c r="A125" s="156" t="s">
        <v>318</v>
      </c>
      <c r="B125" s="89" t="s">
        <v>318</v>
      </c>
      <c r="C125" s="89"/>
      <c r="D125" s="89" t="s">
        <v>79</v>
      </c>
      <c r="E125" s="89">
        <v>1</v>
      </c>
      <c r="F125" s="89">
        <v>0</v>
      </c>
      <c r="G125" s="89"/>
      <c r="H125" s="157"/>
      <c r="I125" s="96"/>
    </row>
    <row r="126" spans="1:9" s="115" customFormat="1" ht="17.25" x14ac:dyDescent="0.35">
      <c r="A126" s="156" t="s">
        <v>319</v>
      </c>
      <c r="B126" s="89" t="s">
        <v>301</v>
      </c>
      <c r="C126" s="89" t="s">
        <v>116</v>
      </c>
      <c r="D126" s="89"/>
      <c r="E126" s="89"/>
      <c r="F126" s="89"/>
      <c r="G126" s="89" t="s">
        <v>88</v>
      </c>
      <c r="H126" s="157"/>
      <c r="I126" s="96">
        <v>65961</v>
      </c>
    </row>
    <row r="127" spans="1:9" s="115" customFormat="1" ht="17.25" x14ac:dyDescent="0.35">
      <c r="A127" s="156" t="s">
        <v>318</v>
      </c>
      <c r="B127" s="89" t="s">
        <v>318</v>
      </c>
      <c r="C127" s="89"/>
      <c r="D127" s="89" t="s">
        <v>79</v>
      </c>
      <c r="E127" s="89">
        <v>1</v>
      </c>
      <c r="F127" s="89">
        <v>0</v>
      </c>
      <c r="G127" s="89"/>
      <c r="H127" s="157"/>
      <c r="I127" s="96"/>
    </row>
    <row r="128" spans="1:9" s="115" customFormat="1" ht="17.25" x14ac:dyDescent="0.35">
      <c r="A128" s="156" t="s">
        <v>222</v>
      </c>
      <c r="B128" s="89" t="s">
        <v>180</v>
      </c>
      <c r="C128" s="89" t="s">
        <v>81</v>
      </c>
      <c r="D128" s="89"/>
      <c r="E128" s="89"/>
      <c r="F128" s="89"/>
      <c r="G128" s="89" t="s">
        <v>88</v>
      </c>
      <c r="H128" s="157" t="s">
        <v>517</v>
      </c>
      <c r="I128" s="96">
        <v>65777</v>
      </c>
    </row>
    <row r="129" spans="1:9" s="115" customFormat="1" ht="17.25" x14ac:dyDescent="0.35">
      <c r="A129" s="156" t="s">
        <v>321</v>
      </c>
      <c r="B129" s="89" t="s">
        <v>299</v>
      </c>
      <c r="C129" s="89" t="s">
        <v>116</v>
      </c>
      <c r="D129" s="89"/>
      <c r="E129" s="89"/>
      <c r="F129" s="89"/>
      <c r="G129" s="89" t="s">
        <v>88</v>
      </c>
      <c r="H129" s="157"/>
      <c r="I129" s="96">
        <v>66048</v>
      </c>
    </row>
    <row r="130" spans="1:9" s="115" customFormat="1" ht="17.25" x14ac:dyDescent="0.35">
      <c r="A130" s="156" t="s">
        <v>318</v>
      </c>
      <c r="B130" s="89" t="s">
        <v>318</v>
      </c>
      <c r="C130" s="89"/>
      <c r="D130" s="89" t="s">
        <v>79</v>
      </c>
      <c r="E130" s="89">
        <v>1</v>
      </c>
      <c r="F130" s="89">
        <v>2</v>
      </c>
      <c r="G130" s="89"/>
      <c r="H130" s="157"/>
      <c r="I130" s="96"/>
    </row>
    <row r="131" spans="1:9" s="115" customFormat="1" ht="17.25" x14ac:dyDescent="0.35">
      <c r="A131" s="156" t="s">
        <v>322</v>
      </c>
      <c r="B131" s="89" t="s">
        <v>303</v>
      </c>
      <c r="C131" s="89" t="s">
        <v>116</v>
      </c>
      <c r="D131" s="89"/>
      <c r="E131" s="89"/>
      <c r="F131" s="89"/>
      <c r="G131" s="89" t="s">
        <v>88</v>
      </c>
      <c r="H131" s="157"/>
      <c r="I131" s="96">
        <v>67328</v>
      </c>
    </row>
    <row r="132" spans="1:9" s="115" customFormat="1" ht="17.25" x14ac:dyDescent="0.35">
      <c r="A132" s="156" t="s">
        <v>318</v>
      </c>
      <c r="B132" s="89" t="s">
        <v>318</v>
      </c>
      <c r="C132" s="89"/>
      <c r="D132" s="89" t="s">
        <v>79</v>
      </c>
      <c r="E132" s="89">
        <v>1</v>
      </c>
      <c r="F132" s="89">
        <v>1</v>
      </c>
      <c r="G132" s="89"/>
      <c r="H132" s="157"/>
      <c r="I132" s="96"/>
    </row>
    <row r="133" spans="1:9" s="115" customFormat="1" ht="17.25" x14ac:dyDescent="0.35">
      <c r="A133" s="156" t="s">
        <v>344</v>
      </c>
      <c r="B133" s="89" t="s">
        <v>345</v>
      </c>
      <c r="C133" s="89" t="s">
        <v>116</v>
      </c>
      <c r="D133" s="89"/>
      <c r="E133" s="89"/>
      <c r="F133" s="89"/>
      <c r="G133" s="89" t="s">
        <v>88</v>
      </c>
      <c r="H133" s="157"/>
      <c r="I133" s="96">
        <v>65959</v>
      </c>
    </row>
    <row r="134" spans="1:9" s="115" customFormat="1" ht="17.25" x14ac:dyDescent="0.35">
      <c r="A134" s="156" t="s">
        <v>318</v>
      </c>
      <c r="B134" s="89" t="s">
        <v>318</v>
      </c>
      <c r="C134" s="89"/>
      <c r="D134" s="89" t="s">
        <v>79</v>
      </c>
      <c r="E134" s="89">
        <v>2</v>
      </c>
      <c r="F134" s="89">
        <v>0</v>
      </c>
      <c r="G134" s="89"/>
      <c r="H134" s="157"/>
      <c r="I134" s="96"/>
    </row>
    <row r="135" spans="1:9" s="115" customFormat="1" ht="17.25" x14ac:dyDescent="0.35">
      <c r="A135" s="156" t="s">
        <v>346</v>
      </c>
      <c r="B135" s="89" t="s">
        <v>347</v>
      </c>
      <c r="C135" s="89" t="s">
        <v>116</v>
      </c>
      <c r="D135" s="89"/>
      <c r="E135" s="89"/>
      <c r="F135" s="89"/>
      <c r="G135" s="89" t="s">
        <v>88</v>
      </c>
      <c r="H135" s="157"/>
      <c r="I135" s="96">
        <v>65955</v>
      </c>
    </row>
    <row r="136" spans="1:9" s="115" customFormat="1" ht="17.25" x14ac:dyDescent="0.35">
      <c r="A136" s="156" t="s">
        <v>318</v>
      </c>
      <c r="B136" s="89" t="s">
        <v>318</v>
      </c>
      <c r="C136" s="89"/>
      <c r="D136" s="89" t="s">
        <v>79</v>
      </c>
      <c r="E136" s="89">
        <v>1</v>
      </c>
      <c r="F136" s="89">
        <v>0</v>
      </c>
      <c r="G136" s="89"/>
      <c r="H136" s="157"/>
      <c r="I136" s="96"/>
    </row>
    <row r="137" spans="1:9" s="115" customFormat="1" ht="17.25" x14ac:dyDescent="0.35">
      <c r="A137" s="156" t="s">
        <v>348</v>
      </c>
      <c r="B137" s="89" t="s">
        <v>349</v>
      </c>
      <c r="C137" s="89" t="s">
        <v>116</v>
      </c>
      <c r="D137" s="89"/>
      <c r="E137" s="89"/>
      <c r="F137" s="89"/>
      <c r="G137" s="89" t="s">
        <v>88</v>
      </c>
      <c r="H137" s="157"/>
      <c r="I137" s="96">
        <v>65957</v>
      </c>
    </row>
    <row r="138" spans="1:9" s="115" customFormat="1" ht="17.25" x14ac:dyDescent="0.35">
      <c r="A138" s="156" t="s">
        <v>318</v>
      </c>
      <c r="B138" s="89" t="s">
        <v>318</v>
      </c>
      <c r="C138" s="89"/>
      <c r="D138" s="89" t="s">
        <v>79</v>
      </c>
      <c r="E138" s="89">
        <v>1</v>
      </c>
      <c r="F138" s="89">
        <v>0</v>
      </c>
      <c r="G138" s="89"/>
      <c r="H138" s="157"/>
      <c r="I138" s="96"/>
    </row>
    <row r="139" spans="1:9" s="115" customFormat="1" ht="17.25" x14ac:dyDescent="0.35">
      <c r="A139" s="156" t="s">
        <v>293</v>
      </c>
      <c r="B139" s="89" t="s">
        <v>294</v>
      </c>
      <c r="C139" s="89" t="s">
        <v>116</v>
      </c>
      <c r="D139" s="89"/>
      <c r="E139" s="89"/>
      <c r="F139" s="89"/>
      <c r="G139" s="89" t="s">
        <v>88</v>
      </c>
      <c r="H139" s="157"/>
      <c r="I139" s="96">
        <v>67199</v>
      </c>
    </row>
    <row r="140" spans="1:9" s="115" customFormat="1" ht="17.25" x14ac:dyDescent="0.35">
      <c r="A140" s="156" t="s">
        <v>318</v>
      </c>
      <c r="B140" s="89" t="s">
        <v>318</v>
      </c>
      <c r="C140" s="89"/>
      <c r="D140" s="89" t="s">
        <v>79</v>
      </c>
      <c r="E140" s="89">
        <v>1</v>
      </c>
      <c r="F140" s="89">
        <v>1</v>
      </c>
      <c r="G140" s="89"/>
      <c r="H140" s="157"/>
      <c r="I140" s="96"/>
    </row>
    <row r="141" spans="1:9" s="115" customFormat="1" ht="17.25" x14ac:dyDescent="0.35">
      <c r="A141" s="156" t="s">
        <v>350</v>
      </c>
      <c r="B141" s="89" t="s">
        <v>351</v>
      </c>
      <c r="C141" s="89" t="s">
        <v>116</v>
      </c>
      <c r="D141" s="89"/>
      <c r="E141" s="89"/>
      <c r="F141" s="89"/>
      <c r="G141" s="89" t="s">
        <v>88</v>
      </c>
      <c r="H141" s="157"/>
      <c r="I141" s="96">
        <v>65964</v>
      </c>
    </row>
    <row r="142" spans="1:9" s="115" customFormat="1" ht="17.25" x14ac:dyDescent="0.35">
      <c r="A142" s="156" t="s">
        <v>318</v>
      </c>
      <c r="B142" s="89" t="s">
        <v>318</v>
      </c>
      <c r="C142" s="89"/>
      <c r="D142" s="89" t="s">
        <v>79</v>
      </c>
      <c r="E142" s="89">
        <v>1</v>
      </c>
      <c r="F142" s="89">
        <v>1</v>
      </c>
      <c r="G142" s="89"/>
      <c r="H142" s="157"/>
      <c r="I142" s="96"/>
    </row>
    <row r="143" spans="1:9" s="115" customFormat="1" ht="17.25" x14ac:dyDescent="0.35">
      <c r="A143" s="156" t="s">
        <v>352</v>
      </c>
      <c r="B143" s="89" t="s">
        <v>353</v>
      </c>
      <c r="C143" s="89" t="s">
        <v>116</v>
      </c>
      <c r="D143" s="89"/>
      <c r="E143" s="89"/>
      <c r="F143" s="89"/>
      <c r="G143" s="89" t="s">
        <v>88</v>
      </c>
      <c r="H143" s="157"/>
      <c r="I143" s="96">
        <v>65960</v>
      </c>
    </row>
    <row r="144" spans="1:9" s="115" customFormat="1" ht="17.25" x14ac:dyDescent="0.35">
      <c r="A144" s="156" t="s">
        <v>318</v>
      </c>
      <c r="B144" s="89" t="s">
        <v>318</v>
      </c>
      <c r="C144" s="89"/>
      <c r="D144" s="89" t="s">
        <v>79</v>
      </c>
      <c r="E144" s="89">
        <v>1</v>
      </c>
      <c r="F144" s="89">
        <v>1</v>
      </c>
      <c r="G144" s="89"/>
      <c r="H144" s="157"/>
      <c r="I144" s="96"/>
    </row>
    <row r="145" spans="1:9" s="115" customFormat="1" ht="17.25" x14ac:dyDescent="0.35">
      <c r="A145" s="156" t="s">
        <v>354</v>
      </c>
      <c r="B145" s="89" t="s">
        <v>355</v>
      </c>
      <c r="C145" s="89" t="s">
        <v>116</v>
      </c>
      <c r="D145" s="89"/>
      <c r="E145" s="89"/>
      <c r="F145" s="89"/>
      <c r="G145" s="89" t="s">
        <v>88</v>
      </c>
      <c r="H145" s="157"/>
      <c r="I145" s="96">
        <v>67239</v>
      </c>
    </row>
    <row r="146" spans="1:9" s="115" customFormat="1" ht="17.25" x14ac:dyDescent="0.35">
      <c r="A146" s="156" t="s">
        <v>318</v>
      </c>
      <c r="B146" s="89" t="s">
        <v>318</v>
      </c>
      <c r="C146" s="89"/>
      <c r="D146" s="89" t="s">
        <v>79</v>
      </c>
      <c r="E146" s="89">
        <v>4</v>
      </c>
      <c r="F146" s="89">
        <v>2</v>
      </c>
      <c r="G146" s="89"/>
      <c r="H146" s="157"/>
      <c r="I146" s="96"/>
    </row>
    <row r="147" spans="1:9" s="115" customFormat="1" ht="17.25" x14ac:dyDescent="0.35">
      <c r="A147" s="156" t="s">
        <v>356</v>
      </c>
      <c r="B147" s="89" t="s">
        <v>357</v>
      </c>
      <c r="C147" s="89" t="s">
        <v>116</v>
      </c>
      <c r="D147" s="89"/>
      <c r="E147" s="89"/>
      <c r="F147" s="89"/>
      <c r="G147" s="89" t="s">
        <v>88</v>
      </c>
      <c r="H147" s="157"/>
      <c r="I147" s="96">
        <v>67240</v>
      </c>
    </row>
    <row r="148" spans="1:9" s="115" customFormat="1" ht="17.25" x14ac:dyDescent="0.35">
      <c r="A148" s="156" t="s">
        <v>318</v>
      </c>
      <c r="B148" s="89" t="s">
        <v>318</v>
      </c>
      <c r="C148" s="89"/>
      <c r="D148" s="89" t="s">
        <v>79</v>
      </c>
      <c r="E148" s="89">
        <v>1</v>
      </c>
      <c r="F148" s="89">
        <v>0</v>
      </c>
      <c r="G148" s="89"/>
      <c r="H148" s="157"/>
      <c r="I148" s="96"/>
    </row>
    <row r="149" spans="1:9" s="115" customFormat="1" ht="17.25" x14ac:dyDescent="0.35">
      <c r="A149" s="156" t="s">
        <v>358</v>
      </c>
      <c r="B149" s="89" t="s">
        <v>359</v>
      </c>
      <c r="C149" s="89" t="s">
        <v>116</v>
      </c>
      <c r="D149" s="89"/>
      <c r="E149" s="89"/>
      <c r="F149" s="89"/>
      <c r="G149" s="89" t="s">
        <v>88</v>
      </c>
      <c r="H149" s="157"/>
      <c r="I149" s="96">
        <v>67241</v>
      </c>
    </row>
    <row r="150" spans="1:9" s="115" customFormat="1" ht="17.25" x14ac:dyDescent="0.35">
      <c r="A150" s="156" t="s">
        <v>318</v>
      </c>
      <c r="B150" s="89" t="s">
        <v>318</v>
      </c>
      <c r="C150" s="89"/>
      <c r="D150" s="89" t="s">
        <v>79</v>
      </c>
      <c r="E150" s="89">
        <v>1</v>
      </c>
      <c r="F150" s="89">
        <v>0</v>
      </c>
      <c r="G150" s="89"/>
      <c r="H150" s="157"/>
      <c r="I150" s="96"/>
    </row>
    <row r="151" spans="1:9" s="115" customFormat="1" ht="17.25" x14ac:dyDescent="0.35">
      <c r="A151" s="156" t="s">
        <v>370</v>
      </c>
      <c r="B151" s="89" t="s">
        <v>371</v>
      </c>
      <c r="C151" s="89" t="s">
        <v>116</v>
      </c>
      <c r="D151" s="89"/>
      <c r="E151" s="89"/>
      <c r="F151" s="89"/>
      <c r="G151" s="89" t="s">
        <v>88</v>
      </c>
      <c r="H151" s="157"/>
      <c r="I151" s="96">
        <v>67348</v>
      </c>
    </row>
    <row r="152" spans="1:9" s="115" customFormat="1" ht="17.25" x14ac:dyDescent="0.35">
      <c r="A152" s="156" t="s">
        <v>318</v>
      </c>
      <c r="B152" s="89" t="s">
        <v>318</v>
      </c>
      <c r="C152" s="89"/>
      <c r="D152" s="89" t="s">
        <v>79</v>
      </c>
      <c r="E152" s="89">
        <v>1</v>
      </c>
      <c r="F152" s="89">
        <v>9</v>
      </c>
      <c r="G152" s="89"/>
      <c r="H152" s="157"/>
      <c r="I152" s="96" t="s">
        <v>372</v>
      </c>
    </row>
    <row r="153" spans="1:9" s="115" customFormat="1" ht="17.25" x14ac:dyDescent="0.35">
      <c r="A153" s="156" t="s">
        <v>318</v>
      </c>
      <c r="B153" s="89" t="s">
        <v>318</v>
      </c>
      <c r="C153" s="89"/>
      <c r="D153" s="89" t="s">
        <v>79</v>
      </c>
      <c r="E153" s="89">
        <v>1</v>
      </c>
      <c r="F153" s="89">
        <v>0</v>
      </c>
      <c r="G153" s="89"/>
      <c r="H153" s="157"/>
      <c r="I153" s="96" t="s">
        <v>373</v>
      </c>
    </row>
    <row r="154" spans="1:9" s="115" customFormat="1" ht="17.25" x14ac:dyDescent="0.35">
      <c r="A154" s="156" t="s">
        <v>318</v>
      </c>
      <c r="B154" s="89" t="s">
        <v>318</v>
      </c>
      <c r="C154" s="89"/>
      <c r="D154" s="89" t="s">
        <v>79</v>
      </c>
      <c r="E154" s="89">
        <v>4</v>
      </c>
      <c r="F154" s="89">
        <v>1</v>
      </c>
      <c r="G154" s="89"/>
      <c r="H154" s="157"/>
      <c r="I154" s="96" t="s">
        <v>374</v>
      </c>
    </row>
    <row r="155" spans="1:9" s="115" customFormat="1" ht="17.25" x14ac:dyDescent="0.35">
      <c r="A155" s="156" t="s">
        <v>318</v>
      </c>
      <c r="B155" s="89" t="s">
        <v>318</v>
      </c>
      <c r="C155" s="89"/>
      <c r="D155" s="89" t="s">
        <v>79</v>
      </c>
      <c r="E155" s="89">
        <v>1</v>
      </c>
      <c r="F155" s="89"/>
      <c r="G155" s="89"/>
      <c r="H155" s="157"/>
      <c r="I155" s="96" t="s">
        <v>375</v>
      </c>
    </row>
    <row r="156" spans="1:9" s="115" customFormat="1" ht="17.25" x14ac:dyDescent="0.35">
      <c r="A156" s="156" t="s">
        <v>318</v>
      </c>
      <c r="B156" s="89" t="s">
        <v>318</v>
      </c>
      <c r="C156" s="89"/>
      <c r="D156" s="89" t="s">
        <v>79</v>
      </c>
      <c r="E156" s="89">
        <v>1</v>
      </c>
      <c r="F156" s="89"/>
      <c r="G156" s="89"/>
      <c r="H156" s="157"/>
      <c r="I156" s="96" t="s">
        <v>376</v>
      </c>
    </row>
    <row r="157" spans="1:9" s="115" customFormat="1" ht="17.25" x14ac:dyDescent="0.35">
      <c r="A157" s="156" t="s">
        <v>318</v>
      </c>
      <c r="B157" s="89" t="s">
        <v>318</v>
      </c>
      <c r="C157" s="89"/>
      <c r="D157" s="89" t="s">
        <v>79</v>
      </c>
      <c r="E157" s="89">
        <v>1</v>
      </c>
      <c r="F157" s="89"/>
      <c r="G157" s="89"/>
      <c r="H157" s="157"/>
      <c r="I157" s="96" t="s">
        <v>377</v>
      </c>
    </row>
    <row r="158" spans="1:9" s="115" customFormat="1" ht="17.25" x14ac:dyDescent="0.35">
      <c r="A158" s="156" t="s">
        <v>318</v>
      </c>
      <c r="B158" s="89" t="s">
        <v>318</v>
      </c>
      <c r="C158" s="89"/>
      <c r="D158" s="89" t="s">
        <v>79</v>
      </c>
      <c r="E158" s="89">
        <v>1</v>
      </c>
      <c r="F158" s="89"/>
      <c r="G158" s="89"/>
      <c r="H158" s="157"/>
      <c r="I158" s="96" t="s">
        <v>378</v>
      </c>
    </row>
    <row r="159" spans="1:9" s="115" customFormat="1" ht="17.25" x14ac:dyDescent="0.35">
      <c r="A159" s="156" t="s">
        <v>318</v>
      </c>
      <c r="B159" s="89" t="s">
        <v>318</v>
      </c>
      <c r="C159" s="89"/>
      <c r="D159" s="89" t="s">
        <v>80</v>
      </c>
      <c r="E159" s="89">
        <v>16</v>
      </c>
      <c r="F159" s="89"/>
      <c r="G159" s="89"/>
      <c r="H159" s="157"/>
      <c r="I159" s="96" t="s">
        <v>379</v>
      </c>
    </row>
    <row r="160" spans="1:9" s="115" customFormat="1" ht="17.25" x14ac:dyDescent="0.35">
      <c r="A160" s="156" t="s">
        <v>318</v>
      </c>
      <c r="B160" s="89" t="s">
        <v>318</v>
      </c>
      <c r="C160" s="89"/>
      <c r="D160" s="89" t="s">
        <v>79</v>
      </c>
      <c r="E160" s="89">
        <v>1</v>
      </c>
      <c r="F160" s="89"/>
      <c r="G160" s="89"/>
      <c r="H160" s="157"/>
      <c r="I160" s="96" t="s">
        <v>380</v>
      </c>
    </row>
    <row r="161" spans="1:9" s="115" customFormat="1" ht="17.25" x14ac:dyDescent="0.35">
      <c r="A161" s="156" t="s">
        <v>318</v>
      </c>
      <c r="B161" s="89" t="s">
        <v>318</v>
      </c>
      <c r="C161" s="89"/>
      <c r="D161" s="89" t="s">
        <v>79</v>
      </c>
      <c r="E161" s="89">
        <v>1</v>
      </c>
      <c r="F161" s="89"/>
      <c r="G161" s="89"/>
      <c r="H161" s="157"/>
      <c r="I161" s="96" t="s">
        <v>381</v>
      </c>
    </row>
    <row r="162" spans="1:9" s="115" customFormat="1" ht="17.25" x14ac:dyDescent="0.35">
      <c r="A162" s="156" t="s">
        <v>318</v>
      </c>
      <c r="B162" s="89" t="s">
        <v>318</v>
      </c>
      <c r="C162" s="89"/>
      <c r="D162" s="89" t="s">
        <v>79</v>
      </c>
      <c r="E162" s="89">
        <v>1</v>
      </c>
      <c r="F162" s="89"/>
      <c r="G162" s="89"/>
      <c r="H162" s="157"/>
      <c r="I162" s="96" t="s">
        <v>382</v>
      </c>
    </row>
    <row r="163" spans="1:9" s="115" customFormat="1" ht="17.25" x14ac:dyDescent="0.35">
      <c r="A163" s="156"/>
      <c r="B163" s="89"/>
      <c r="C163" s="89"/>
      <c r="D163" s="89" t="s">
        <v>79</v>
      </c>
      <c r="E163" s="89">
        <v>1</v>
      </c>
      <c r="F163" s="89"/>
      <c r="G163" s="89"/>
      <c r="H163" s="157"/>
      <c r="I163" s="96" t="s">
        <v>383</v>
      </c>
    </row>
    <row r="164" spans="1:9" s="115" customFormat="1" ht="17.25" x14ac:dyDescent="0.35">
      <c r="A164" s="156"/>
      <c r="B164" s="89"/>
      <c r="C164" s="89"/>
      <c r="D164" s="89" t="s">
        <v>79</v>
      </c>
      <c r="E164" s="89">
        <v>1</v>
      </c>
      <c r="F164" s="89"/>
      <c r="G164" s="89"/>
      <c r="H164" s="157"/>
      <c r="I164" s="96" t="s">
        <v>384</v>
      </c>
    </row>
    <row r="165" spans="1:9" s="115" customFormat="1" ht="17.25" x14ac:dyDescent="0.35">
      <c r="A165" s="156"/>
      <c r="B165" s="89"/>
      <c r="C165" s="89"/>
      <c r="D165" s="89" t="s">
        <v>79</v>
      </c>
      <c r="E165" s="89">
        <v>1</v>
      </c>
      <c r="F165" s="89">
        <v>1</v>
      </c>
      <c r="G165" s="89"/>
      <c r="H165" s="157"/>
      <c r="I165" s="96" t="s">
        <v>433</v>
      </c>
    </row>
    <row r="166" spans="1:9" s="115" customFormat="1" ht="17.25" x14ac:dyDescent="0.35">
      <c r="A166" s="156"/>
      <c r="B166" s="89"/>
      <c r="C166" s="89"/>
      <c r="D166" s="89" t="s">
        <v>79</v>
      </c>
      <c r="E166" s="89">
        <v>1</v>
      </c>
      <c r="F166" s="89">
        <v>1</v>
      </c>
      <c r="G166" s="89"/>
      <c r="H166" s="157"/>
      <c r="I166" s="96" t="s">
        <v>434</v>
      </c>
    </row>
    <row r="167" spans="1:9" s="115" customFormat="1" ht="17.25" x14ac:dyDescent="0.35">
      <c r="A167" s="156"/>
      <c r="B167" s="89"/>
      <c r="C167" s="89"/>
      <c r="D167" s="89" t="s">
        <v>80</v>
      </c>
      <c r="E167" s="89">
        <v>128</v>
      </c>
      <c r="F167" s="89"/>
      <c r="G167" s="89"/>
      <c r="H167" s="157"/>
      <c r="I167" s="96" t="s">
        <v>435</v>
      </c>
    </row>
    <row r="168" spans="1:9" s="115" customFormat="1" ht="17.25" x14ac:dyDescent="0.35">
      <c r="A168" s="156"/>
      <c r="B168" s="89"/>
      <c r="C168" s="89"/>
      <c r="D168" s="89" t="s">
        <v>80</v>
      </c>
      <c r="E168" s="89">
        <v>128</v>
      </c>
      <c r="F168" s="89" t="s">
        <v>440</v>
      </c>
      <c r="G168" s="89"/>
      <c r="H168" s="157"/>
      <c r="I168" s="96" t="s">
        <v>436</v>
      </c>
    </row>
    <row r="169" spans="1:9" s="115" customFormat="1" ht="17.25" x14ac:dyDescent="0.35">
      <c r="A169" s="156"/>
      <c r="B169" s="89"/>
      <c r="C169" s="89"/>
      <c r="D169" s="89" t="s">
        <v>80</v>
      </c>
      <c r="E169" s="89">
        <v>223</v>
      </c>
      <c r="F169" s="89"/>
      <c r="G169" s="89"/>
      <c r="H169" s="157"/>
      <c r="I169" s="96" t="s">
        <v>437</v>
      </c>
    </row>
    <row r="170" spans="1:9" s="115" customFormat="1" ht="17.25" x14ac:dyDescent="0.35">
      <c r="A170" s="156" t="s">
        <v>114</v>
      </c>
      <c r="B170" s="89" t="s">
        <v>115</v>
      </c>
      <c r="C170" s="89" t="s">
        <v>116</v>
      </c>
      <c r="D170" s="89"/>
      <c r="E170" s="89"/>
      <c r="F170" s="89"/>
      <c r="G170" s="89" t="s">
        <v>88</v>
      </c>
      <c r="H170" s="157"/>
      <c r="I170" s="96">
        <v>67261</v>
      </c>
    </row>
    <row r="171" spans="1:9" s="115" customFormat="1" ht="17.25" x14ac:dyDescent="0.35">
      <c r="A171" s="156"/>
      <c r="B171" s="89"/>
      <c r="C171" s="89"/>
      <c r="D171" s="89" t="s">
        <v>79</v>
      </c>
      <c r="E171" s="89">
        <v>2</v>
      </c>
      <c r="F171" s="89">
        <v>0</v>
      </c>
      <c r="G171" s="89"/>
      <c r="H171" s="157"/>
      <c r="I171" s="96" t="s">
        <v>323</v>
      </c>
    </row>
    <row r="172" spans="1:9" s="115" customFormat="1" ht="17.25" x14ac:dyDescent="0.35">
      <c r="A172" s="156"/>
      <c r="B172" s="89"/>
      <c r="C172" s="89"/>
      <c r="D172" s="89" t="s">
        <v>79</v>
      </c>
      <c r="E172" s="89">
        <v>2</v>
      </c>
      <c r="F172" s="89">
        <v>0</v>
      </c>
      <c r="G172" s="89"/>
      <c r="H172" s="157"/>
      <c r="I172" s="96" t="s">
        <v>117</v>
      </c>
    </row>
    <row r="173" spans="1:9" s="115" customFormat="1" ht="17.25" x14ac:dyDescent="0.35">
      <c r="A173" s="156"/>
      <c r="B173" s="89"/>
      <c r="C173" s="89"/>
      <c r="D173" s="89" t="s">
        <v>79</v>
      </c>
      <c r="E173" s="89">
        <v>1</v>
      </c>
      <c r="F173" s="89">
        <v>0</v>
      </c>
      <c r="G173" s="89"/>
      <c r="H173" s="157"/>
      <c r="I173" s="96" t="s">
        <v>324</v>
      </c>
    </row>
    <row r="174" spans="1:9" s="115" customFormat="1" ht="17.25" x14ac:dyDescent="0.35">
      <c r="A174" s="156"/>
      <c r="B174" s="89"/>
      <c r="C174" s="89"/>
      <c r="D174" s="89" t="s">
        <v>79</v>
      </c>
      <c r="E174" s="89">
        <v>1</v>
      </c>
      <c r="F174" s="89">
        <v>1</v>
      </c>
      <c r="G174" s="89"/>
      <c r="H174" s="157"/>
      <c r="I174" s="96" t="s">
        <v>118</v>
      </c>
    </row>
    <row r="175" spans="1:9" s="115" customFormat="1" ht="17.25" x14ac:dyDescent="0.35">
      <c r="A175" s="156"/>
      <c r="B175" s="89"/>
      <c r="C175" s="89"/>
      <c r="D175" s="89" t="s">
        <v>79</v>
      </c>
      <c r="E175" s="89">
        <v>2</v>
      </c>
      <c r="F175" s="89">
        <v>0</v>
      </c>
      <c r="G175" s="89"/>
      <c r="H175" s="157"/>
      <c r="I175" s="96" t="s">
        <v>325</v>
      </c>
    </row>
    <row r="176" spans="1:9" s="115" customFormat="1" ht="17.25" x14ac:dyDescent="0.35">
      <c r="A176" s="156"/>
      <c r="B176" s="89"/>
      <c r="C176" s="89"/>
      <c r="D176" s="89" t="s">
        <v>79</v>
      </c>
      <c r="E176" s="89">
        <v>4</v>
      </c>
      <c r="F176" s="89">
        <v>0</v>
      </c>
      <c r="G176" s="89"/>
      <c r="H176" s="157"/>
      <c r="I176" s="96" t="s">
        <v>120</v>
      </c>
    </row>
    <row r="177" spans="1:9" s="115" customFormat="1" ht="17.25" x14ac:dyDescent="0.35">
      <c r="A177" s="156"/>
      <c r="B177" s="89"/>
      <c r="C177" s="89"/>
      <c r="D177" s="89" t="s">
        <v>79</v>
      </c>
      <c r="E177" s="89">
        <v>1</v>
      </c>
      <c r="F177" s="89">
        <v>0</v>
      </c>
      <c r="G177" s="89"/>
      <c r="H177" s="157"/>
      <c r="I177" s="96" t="s">
        <v>119</v>
      </c>
    </row>
    <row r="178" spans="1:9" s="115" customFormat="1" ht="17.25" x14ac:dyDescent="0.35">
      <c r="A178" s="156"/>
      <c r="B178" s="89"/>
      <c r="C178" s="89"/>
      <c r="D178" s="89" t="s">
        <v>79</v>
      </c>
      <c r="E178" s="89">
        <v>1</v>
      </c>
      <c r="F178" s="89">
        <v>2</v>
      </c>
      <c r="G178" s="89"/>
      <c r="H178" s="157"/>
      <c r="I178" s="96" t="s">
        <v>121</v>
      </c>
    </row>
    <row r="179" spans="1:9" s="115" customFormat="1" ht="17.25" x14ac:dyDescent="0.35">
      <c r="A179" s="156" t="s">
        <v>163</v>
      </c>
      <c r="B179" s="89" t="s">
        <v>164</v>
      </c>
      <c r="C179" s="89" t="s">
        <v>116</v>
      </c>
      <c r="D179" s="89"/>
      <c r="E179" s="89"/>
      <c r="F179" s="89" t="s">
        <v>6</v>
      </c>
      <c r="G179" s="89" t="s">
        <v>88</v>
      </c>
      <c r="H179" s="157"/>
      <c r="I179" s="96">
        <v>67259</v>
      </c>
    </row>
    <row r="180" spans="1:9" s="115" customFormat="1" ht="17.25" x14ac:dyDescent="0.35">
      <c r="A180" s="156" t="s">
        <v>318</v>
      </c>
      <c r="B180" s="89" t="s">
        <v>318</v>
      </c>
      <c r="C180" s="89"/>
      <c r="D180" s="89" t="s">
        <v>80</v>
      </c>
      <c r="E180" s="89">
        <v>128</v>
      </c>
      <c r="F180" s="89" t="s">
        <v>165</v>
      </c>
      <c r="G180" s="89"/>
      <c r="H180" s="157"/>
      <c r="I180" s="96" t="s">
        <v>166</v>
      </c>
    </row>
    <row r="181" spans="1:9" s="115" customFormat="1" ht="17.25" x14ac:dyDescent="0.35">
      <c r="A181" s="156" t="s">
        <v>318</v>
      </c>
      <c r="B181" s="89" t="s">
        <v>318</v>
      </c>
      <c r="C181" s="89"/>
      <c r="D181" s="89" t="s">
        <v>79</v>
      </c>
      <c r="E181" s="89">
        <v>1</v>
      </c>
      <c r="F181" s="89">
        <v>1</v>
      </c>
      <c r="G181" s="89"/>
      <c r="H181" s="157"/>
      <c r="I181" s="96" t="s">
        <v>167</v>
      </c>
    </row>
    <row r="182" spans="1:9" s="115" customFormat="1" ht="17.25" x14ac:dyDescent="0.35">
      <c r="A182" s="156" t="s">
        <v>318</v>
      </c>
      <c r="B182" s="89" t="s">
        <v>318</v>
      </c>
      <c r="C182" s="89"/>
      <c r="D182" s="89" t="s">
        <v>80</v>
      </c>
      <c r="E182" s="89">
        <v>128</v>
      </c>
      <c r="F182" s="89" t="s">
        <v>254</v>
      </c>
      <c r="G182" s="89"/>
      <c r="H182" s="157"/>
      <c r="I182" s="96" t="s">
        <v>168</v>
      </c>
    </row>
    <row r="183" spans="1:9" s="115" customFormat="1" ht="17.25" x14ac:dyDescent="0.35">
      <c r="A183" s="156" t="s">
        <v>318</v>
      </c>
      <c r="B183" s="89" t="s">
        <v>318</v>
      </c>
      <c r="C183" s="89"/>
      <c r="D183" s="89" t="s">
        <v>80</v>
      </c>
      <c r="E183" s="89">
        <v>64</v>
      </c>
      <c r="F183" s="89" t="s">
        <v>439</v>
      </c>
      <c r="G183" s="89"/>
      <c r="H183" s="157"/>
      <c r="I183" s="96" t="s">
        <v>169</v>
      </c>
    </row>
    <row r="184" spans="1:9" s="115" customFormat="1" ht="17.25" x14ac:dyDescent="0.35">
      <c r="A184" s="156" t="s">
        <v>318</v>
      </c>
      <c r="B184" s="89" t="s">
        <v>318</v>
      </c>
      <c r="C184" s="89"/>
      <c r="D184" s="89" t="s">
        <v>79</v>
      </c>
      <c r="E184" s="89">
        <v>4</v>
      </c>
      <c r="F184" s="89">
        <v>1600</v>
      </c>
      <c r="G184" s="89"/>
      <c r="H184" s="157"/>
      <c r="I184" s="96" t="s">
        <v>170</v>
      </c>
    </row>
    <row r="185" spans="1:9" s="115" customFormat="1" ht="17.25" x14ac:dyDescent="0.35">
      <c r="A185" s="156" t="s">
        <v>318</v>
      </c>
      <c r="B185" s="89" t="s">
        <v>318</v>
      </c>
      <c r="C185" s="89"/>
      <c r="D185" s="89" t="s">
        <v>80</v>
      </c>
      <c r="E185" s="89">
        <v>256</v>
      </c>
      <c r="F185" s="89" t="s">
        <v>274</v>
      </c>
      <c r="G185" s="89"/>
      <c r="H185" s="157"/>
      <c r="I185" s="96" t="s">
        <v>171</v>
      </c>
    </row>
    <row r="186" spans="1:9" s="115" customFormat="1" ht="17.25" x14ac:dyDescent="0.35">
      <c r="A186" s="156" t="s">
        <v>318</v>
      </c>
      <c r="B186" s="89" t="s">
        <v>318</v>
      </c>
      <c r="C186" s="89"/>
      <c r="D186" s="89" t="s">
        <v>79</v>
      </c>
      <c r="E186" s="89">
        <v>1</v>
      </c>
      <c r="F186" s="89">
        <v>1</v>
      </c>
      <c r="G186" s="89"/>
      <c r="H186" s="157"/>
      <c r="I186" s="96" t="s">
        <v>172</v>
      </c>
    </row>
    <row r="187" spans="1:9" s="115" customFormat="1" ht="17.25" x14ac:dyDescent="0.35">
      <c r="A187" s="156" t="s">
        <v>240</v>
      </c>
      <c r="B187" s="89" t="s">
        <v>241</v>
      </c>
      <c r="C187" s="89" t="s">
        <v>116</v>
      </c>
      <c r="D187" s="89"/>
      <c r="E187" s="89"/>
      <c r="F187" s="89"/>
      <c r="G187" s="89" t="s">
        <v>88</v>
      </c>
      <c r="H187" s="157"/>
      <c r="I187" s="96">
        <v>69744</v>
      </c>
    </row>
    <row r="188" spans="1:9" s="115" customFormat="1" ht="17.25" x14ac:dyDescent="0.35">
      <c r="A188" s="156" t="s">
        <v>318</v>
      </c>
      <c r="B188" s="89" t="s">
        <v>318</v>
      </c>
      <c r="C188" s="89"/>
      <c r="D188" s="89" t="s">
        <v>79</v>
      </c>
      <c r="E188" s="89">
        <v>1</v>
      </c>
      <c r="F188" s="89">
        <v>1</v>
      </c>
      <c r="G188" s="89"/>
      <c r="H188" s="157"/>
      <c r="I188" s="96" t="s">
        <v>326</v>
      </c>
    </row>
    <row r="189" spans="1:9" s="115" customFormat="1" ht="17.25" x14ac:dyDescent="0.35">
      <c r="A189" s="156" t="s">
        <v>318</v>
      </c>
      <c r="B189" s="89" t="s">
        <v>318</v>
      </c>
      <c r="C189" s="89"/>
      <c r="D189" s="89" t="s">
        <v>79</v>
      </c>
      <c r="E189" s="89">
        <v>2</v>
      </c>
      <c r="F189" s="89">
        <v>5060</v>
      </c>
      <c r="G189" s="89"/>
      <c r="H189" s="157"/>
      <c r="I189" s="96" t="s">
        <v>146</v>
      </c>
    </row>
    <row r="190" spans="1:9" s="115" customFormat="1" ht="17.25" x14ac:dyDescent="0.35">
      <c r="A190" s="156" t="s">
        <v>318</v>
      </c>
      <c r="B190" s="89" t="s">
        <v>318</v>
      </c>
      <c r="C190" s="89"/>
      <c r="D190" s="89" t="s">
        <v>79</v>
      </c>
      <c r="E190" s="89">
        <v>4</v>
      </c>
      <c r="F190" s="89">
        <v>600000</v>
      </c>
      <c r="G190" s="89"/>
      <c r="H190" s="157"/>
      <c r="I190" s="96" t="s">
        <v>147</v>
      </c>
    </row>
    <row r="191" spans="1:9" s="115" customFormat="1" ht="17.25" x14ac:dyDescent="0.35">
      <c r="A191" s="156" t="s">
        <v>318</v>
      </c>
      <c r="B191" s="89" t="s">
        <v>318</v>
      </c>
      <c r="C191" s="89"/>
      <c r="D191" s="89" t="s">
        <v>79</v>
      </c>
      <c r="E191" s="89">
        <v>4</v>
      </c>
      <c r="F191" s="89">
        <v>600000</v>
      </c>
      <c r="G191" s="89"/>
      <c r="H191" s="157"/>
      <c r="I191" s="96" t="s">
        <v>148</v>
      </c>
    </row>
    <row r="192" spans="1:9" s="115" customFormat="1" ht="17.25" x14ac:dyDescent="0.35">
      <c r="A192" s="156" t="s">
        <v>318</v>
      </c>
      <c r="B192" s="89" t="s">
        <v>318</v>
      </c>
      <c r="C192" s="89"/>
      <c r="D192" s="89" t="s">
        <v>79</v>
      </c>
      <c r="E192" s="89">
        <v>4</v>
      </c>
      <c r="F192" s="89">
        <v>3000</v>
      </c>
      <c r="G192" s="89"/>
      <c r="H192" s="157"/>
      <c r="I192" s="96" t="s">
        <v>149</v>
      </c>
    </row>
    <row r="193" spans="1:9" s="115" customFormat="1" ht="17.25" x14ac:dyDescent="0.35">
      <c r="A193" s="156" t="s">
        <v>318</v>
      </c>
      <c r="B193" s="89" t="s">
        <v>318</v>
      </c>
      <c r="C193" s="89"/>
      <c r="D193" s="89" t="s">
        <v>79</v>
      </c>
      <c r="E193" s="89">
        <v>4</v>
      </c>
      <c r="F193" s="89">
        <v>16000</v>
      </c>
      <c r="G193" s="89"/>
      <c r="H193" s="157"/>
      <c r="I193" s="96" t="s">
        <v>150</v>
      </c>
    </row>
    <row r="194" spans="1:9" s="115" customFormat="1" ht="17.25" x14ac:dyDescent="0.35">
      <c r="A194" s="156" t="s">
        <v>318</v>
      </c>
      <c r="B194" s="89" t="s">
        <v>318</v>
      </c>
      <c r="C194" s="89"/>
      <c r="D194" s="89" t="s">
        <v>79</v>
      </c>
      <c r="E194" s="89">
        <v>4</v>
      </c>
      <c r="F194" s="89">
        <v>17000</v>
      </c>
      <c r="G194" s="89"/>
      <c r="H194" s="157"/>
      <c r="I194" s="96" t="s">
        <v>151</v>
      </c>
    </row>
    <row r="195" spans="1:9" s="115" customFormat="1" ht="17.25" x14ac:dyDescent="0.35">
      <c r="A195" s="156" t="s">
        <v>318</v>
      </c>
      <c r="B195" s="89" t="s">
        <v>318</v>
      </c>
      <c r="C195" s="89"/>
      <c r="D195" s="89" t="s">
        <v>79</v>
      </c>
      <c r="E195" s="89">
        <v>4</v>
      </c>
      <c r="F195" s="89">
        <v>30000</v>
      </c>
      <c r="G195" s="89"/>
      <c r="H195" s="157"/>
      <c r="I195" s="96" t="s">
        <v>152</v>
      </c>
    </row>
    <row r="196" spans="1:9" s="115" customFormat="1" ht="17.25" x14ac:dyDescent="0.35">
      <c r="A196" s="156" t="s">
        <v>318</v>
      </c>
      <c r="B196" s="89" t="s">
        <v>318</v>
      </c>
      <c r="C196" s="89"/>
      <c r="D196" s="89" t="s">
        <v>79</v>
      </c>
      <c r="E196" s="89">
        <v>4</v>
      </c>
      <c r="F196" s="89">
        <v>30000</v>
      </c>
      <c r="G196" s="89"/>
      <c r="H196" s="157"/>
      <c r="I196" s="96" t="s">
        <v>327</v>
      </c>
    </row>
    <row r="197" spans="1:9" s="115" customFormat="1" ht="17.25" x14ac:dyDescent="0.35">
      <c r="A197" s="156" t="s">
        <v>318</v>
      </c>
      <c r="B197" s="89" t="s">
        <v>318</v>
      </c>
      <c r="C197" s="89"/>
      <c r="D197" s="89" t="s">
        <v>79</v>
      </c>
      <c r="E197" s="89">
        <v>2</v>
      </c>
      <c r="F197" s="89">
        <v>1500</v>
      </c>
      <c r="G197" s="89"/>
      <c r="H197" s="157"/>
      <c r="I197" s="96" t="s">
        <v>153</v>
      </c>
    </row>
    <row r="198" spans="1:9" s="115" customFormat="1" ht="17.25" x14ac:dyDescent="0.35">
      <c r="A198" s="156" t="s">
        <v>318</v>
      </c>
      <c r="B198" s="89" t="s">
        <v>318</v>
      </c>
      <c r="C198" s="89"/>
      <c r="D198" s="89" t="s">
        <v>79</v>
      </c>
      <c r="E198" s="89">
        <v>1</v>
      </c>
      <c r="F198" s="89">
        <v>1</v>
      </c>
      <c r="G198" s="89"/>
      <c r="H198" s="157"/>
      <c r="I198" s="96" t="s">
        <v>154</v>
      </c>
    </row>
    <row r="199" spans="1:9" s="115" customFormat="1" ht="17.25" x14ac:dyDescent="0.35">
      <c r="A199" s="156" t="s">
        <v>318</v>
      </c>
      <c r="B199" s="89" t="s">
        <v>318</v>
      </c>
      <c r="C199" s="89"/>
      <c r="D199" s="89" t="s">
        <v>79</v>
      </c>
      <c r="E199" s="89">
        <v>1</v>
      </c>
      <c r="F199" s="89">
        <v>0</v>
      </c>
      <c r="G199" s="89"/>
      <c r="H199" s="157"/>
      <c r="I199" s="96" t="s">
        <v>155</v>
      </c>
    </row>
    <row r="200" spans="1:9" s="115" customFormat="1" ht="17.25" x14ac:dyDescent="0.35">
      <c r="A200" s="156" t="s">
        <v>318</v>
      </c>
      <c r="B200" s="89" t="s">
        <v>318</v>
      </c>
      <c r="C200" s="89"/>
      <c r="D200" s="89" t="s">
        <v>79</v>
      </c>
      <c r="E200" s="89">
        <v>1</v>
      </c>
      <c r="F200" s="89">
        <v>0</v>
      </c>
      <c r="G200" s="89"/>
      <c r="H200" s="157"/>
      <c r="I200" s="96" t="s">
        <v>156</v>
      </c>
    </row>
    <row r="201" spans="1:9" s="115" customFormat="1" ht="17.25" x14ac:dyDescent="0.35">
      <c r="A201" s="156" t="s">
        <v>318</v>
      </c>
      <c r="B201" s="89" t="s">
        <v>318</v>
      </c>
      <c r="C201" s="89"/>
      <c r="D201" s="89" t="s">
        <v>79</v>
      </c>
      <c r="E201" s="89">
        <v>1</v>
      </c>
      <c r="F201" s="89">
        <v>0</v>
      </c>
      <c r="G201" s="89"/>
      <c r="H201" s="157"/>
      <c r="I201" s="96" t="s">
        <v>157</v>
      </c>
    </row>
    <row r="202" spans="1:9" s="115" customFormat="1" ht="17.25" x14ac:dyDescent="0.35">
      <c r="A202" s="156" t="s">
        <v>318</v>
      </c>
      <c r="B202" s="89" t="s">
        <v>318</v>
      </c>
      <c r="C202" s="89"/>
      <c r="D202" s="89" t="s">
        <v>79</v>
      </c>
      <c r="E202" s="89">
        <v>1</v>
      </c>
      <c r="F202" s="89">
        <v>0</v>
      </c>
      <c r="G202" s="89"/>
      <c r="H202" s="157"/>
      <c r="I202" s="96" t="s">
        <v>158</v>
      </c>
    </row>
    <row r="203" spans="1:9" s="115" customFormat="1" ht="17.25" x14ac:dyDescent="0.35">
      <c r="A203" s="156" t="s">
        <v>318</v>
      </c>
      <c r="B203" s="89" t="s">
        <v>318</v>
      </c>
      <c r="C203" s="89"/>
      <c r="D203" s="89" t="s">
        <v>79</v>
      </c>
      <c r="E203" s="89">
        <v>1</v>
      </c>
      <c r="F203" s="89">
        <v>3</v>
      </c>
      <c r="G203" s="89"/>
      <c r="H203" s="157"/>
      <c r="I203" s="96" t="s">
        <v>159</v>
      </c>
    </row>
    <row r="204" spans="1:9" s="115" customFormat="1" ht="17.25" x14ac:dyDescent="0.35">
      <c r="A204" s="156" t="s">
        <v>318</v>
      </c>
      <c r="B204" s="89" t="s">
        <v>318</v>
      </c>
      <c r="C204" s="89"/>
      <c r="D204" s="89" t="s">
        <v>79</v>
      </c>
      <c r="E204" s="89">
        <v>1</v>
      </c>
      <c r="F204" s="89">
        <v>0</v>
      </c>
      <c r="G204" s="89"/>
      <c r="H204" s="157"/>
      <c r="I204" s="96" t="s">
        <v>160</v>
      </c>
    </row>
    <row r="205" spans="1:9" s="115" customFormat="1" ht="17.25" x14ac:dyDescent="0.35">
      <c r="A205" s="156" t="s">
        <v>318</v>
      </c>
      <c r="B205" s="89" t="s">
        <v>318</v>
      </c>
      <c r="C205" s="89"/>
      <c r="D205" s="89" t="s">
        <v>80</v>
      </c>
      <c r="E205" s="89">
        <v>256</v>
      </c>
      <c r="F205" s="89"/>
      <c r="G205" s="89"/>
      <c r="H205" s="157"/>
      <c r="I205" s="96" t="s">
        <v>161</v>
      </c>
    </row>
    <row r="206" spans="1:9" s="115" customFormat="1" ht="17.25" x14ac:dyDescent="0.35">
      <c r="A206" s="156" t="s">
        <v>318</v>
      </c>
      <c r="B206" s="89" t="s">
        <v>318</v>
      </c>
      <c r="C206" s="89"/>
      <c r="D206" s="89" t="s">
        <v>80</v>
      </c>
      <c r="E206" s="89">
        <v>256</v>
      </c>
      <c r="F206" s="89"/>
      <c r="G206" s="89"/>
      <c r="H206" s="157"/>
      <c r="I206" s="96" t="s">
        <v>162</v>
      </c>
    </row>
    <row r="207" spans="1:9" s="115" customFormat="1" ht="17.25" x14ac:dyDescent="0.35">
      <c r="A207" s="156"/>
      <c r="B207" s="89"/>
      <c r="C207" s="89"/>
      <c r="D207" s="89" t="s">
        <v>79</v>
      </c>
      <c r="E207" s="89">
        <v>1</v>
      </c>
      <c r="F207" s="89"/>
      <c r="G207" s="89"/>
      <c r="H207" s="157"/>
      <c r="I207" s="96" t="s">
        <v>328</v>
      </c>
    </row>
    <row r="208" spans="1:9" s="115" customFormat="1" ht="17.25" x14ac:dyDescent="0.35">
      <c r="A208" s="156"/>
      <c r="B208" s="89"/>
      <c r="C208" s="89"/>
      <c r="D208" s="89" t="s">
        <v>79</v>
      </c>
      <c r="E208" s="89">
        <v>4</v>
      </c>
      <c r="F208" s="89"/>
      <c r="G208" s="89"/>
      <c r="H208" s="157"/>
      <c r="I208" s="96" t="s">
        <v>329</v>
      </c>
    </row>
    <row r="209" spans="1:9" s="115" customFormat="1" ht="17.25" x14ac:dyDescent="0.35">
      <c r="A209" s="156"/>
      <c r="B209" s="89"/>
      <c r="C209" s="89"/>
      <c r="D209" s="89" t="s">
        <v>80</v>
      </c>
      <c r="E209" s="89">
        <v>467</v>
      </c>
      <c r="F209" s="89"/>
      <c r="G209" s="89"/>
      <c r="H209" s="157"/>
      <c r="I209" s="96" t="s">
        <v>437</v>
      </c>
    </row>
    <row r="210" spans="1:9" s="115" customFormat="1" ht="17.25" x14ac:dyDescent="0.35">
      <c r="A210" s="156" t="s">
        <v>385</v>
      </c>
      <c r="B210" s="89" t="s">
        <v>386</v>
      </c>
      <c r="C210" s="89" t="s">
        <v>116</v>
      </c>
      <c r="D210" s="89"/>
      <c r="E210" s="89"/>
      <c r="F210" s="89"/>
      <c r="G210" s="89" t="s">
        <v>88</v>
      </c>
      <c r="H210" s="157"/>
      <c r="I210" s="96">
        <v>67332</v>
      </c>
    </row>
    <row r="211" spans="1:9" s="115" customFormat="1" ht="17.25" x14ac:dyDescent="0.35">
      <c r="A211" s="156" t="s">
        <v>318</v>
      </c>
      <c r="B211" s="89" t="s">
        <v>318</v>
      </c>
      <c r="C211" s="89"/>
      <c r="D211" s="89" t="s">
        <v>79</v>
      </c>
      <c r="E211" s="89">
        <v>1</v>
      </c>
      <c r="F211" s="89">
        <v>2</v>
      </c>
      <c r="G211" s="89"/>
      <c r="H211" s="157"/>
      <c r="I211" s="96" t="s">
        <v>326</v>
      </c>
    </row>
    <row r="212" spans="1:9" s="115" customFormat="1" ht="17.25" x14ac:dyDescent="0.35">
      <c r="A212" s="156" t="s">
        <v>318</v>
      </c>
      <c r="B212" s="89" t="s">
        <v>318</v>
      </c>
      <c r="C212" s="89"/>
      <c r="D212" s="89" t="s">
        <v>79</v>
      </c>
      <c r="E212" s="89">
        <v>2</v>
      </c>
      <c r="F212" s="89">
        <v>1428</v>
      </c>
      <c r="G212" s="89"/>
      <c r="H212" s="157"/>
      <c r="I212" s="96" t="s">
        <v>387</v>
      </c>
    </row>
    <row r="213" spans="1:9" s="115" customFormat="1" ht="17.25" x14ac:dyDescent="0.35">
      <c r="A213" s="156" t="s">
        <v>318</v>
      </c>
      <c r="B213" s="89" t="s">
        <v>318</v>
      </c>
      <c r="C213" s="89"/>
      <c r="D213" s="89" t="s">
        <v>79</v>
      </c>
      <c r="E213" s="89">
        <v>1</v>
      </c>
      <c r="F213" s="89"/>
      <c r="G213" s="89"/>
      <c r="H213" s="157"/>
      <c r="I213" s="96" t="s">
        <v>388</v>
      </c>
    </row>
    <row r="214" spans="1:9" s="115" customFormat="1" ht="17.25" x14ac:dyDescent="0.35">
      <c r="A214" s="156" t="s">
        <v>318</v>
      </c>
      <c r="B214" s="89" t="s">
        <v>318</v>
      </c>
      <c r="C214" s="89"/>
      <c r="D214" s="89" t="s">
        <v>79</v>
      </c>
      <c r="E214" s="89">
        <v>2</v>
      </c>
      <c r="F214" s="89"/>
      <c r="G214" s="89"/>
      <c r="H214" s="157"/>
      <c r="I214" s="96" t="s">
        <v>389</v>
      </c>
    </row>
    <row r="215" spans="1:9" s="115" customFormat="1" ht="17.25" x14ac:dyDescent="0.35">
      <c r="A215" s="156" t="s">
        <v>318</v>
      </c>
      <c r="B215" s="89" t="s">
        <v>318</v>
      </c>
      <c r="C215" s="89"/>
      <c r="D215" s="89" t="s">
        <v>79</v>
      </c>
      <c r="E215" s="89">
        <v>1</v>
      </c>
      <c r="F215" s="89"/>
      <c r="G215" s="89"/>
      <c r="H215" s="157"/>
      <c r="I215" s="96" t="s">
        <v>390</v>
      </c>
    </row>
    <row r="216" spans="1:9" s="115" customFormat="1" ht="17.25" x14ac:dyDescent="0.35">
      <c r="A216" s="156" t="s">
        <v>318</v>
      </c>
      <c r="B216" s="89" t="s">
        <v>318</v>
      </c>
      <c r="C216" s="89"/>
      <c r="D216" s="89" t="s">
        <v>79</v>
      </c>
      <c r="E216" s="89">
        <v>1</v>
      </c>
      <c r="F216" s="89"/>
      <c r="G216" s="89"/>
      <c r="H216" s="157"/>
      <c r="I216" s="96" t="s">
        <v>391</v>
      </c>
    </row>
    <row r="217" spans="1:9" s="115" customFormat="1" ht="17.25" x14ac:dyDescent="0.35">
      <c r="A217" s="156" t="s">
        <v>318</v>
      </c>
      <c r="B217" s="89" t="s">
        <v>318</v>
      </c>
      <c r="C217" s="89"/>
      <c r="D217" s="89" t="s">
        <v>79</v>
      </c>
      <c r="E217" s="89">
        <v>1</v>
      </c>
      <c r="F217" s="89">
        <v>0</v>
      </c>
      <c r="G217" s="89"/>
      <c r="H217" s="157"/>
      <c r="I217" s="96" t="s">
        <v>392</v>
      </c>
    </row>
    <row r="218" spans="1:9" s="115" customFormat="1" ht="17.25" x14ac:dyDescent="0.35">
      <c r="A218" s="156" t="s">
        <v>318</v>
      </c>
      <c r="B218" s="89" t="s">
        <v>318</v>
      </c>
      <c r="C218" s="89"/>
      <c r="D218" s="89" t="s">
        <v>79</v>
      </c>
      <c r="E218" s="89">
        <v>1</v>
      </c>
      <c r="F218" s="89">
        <v>0</v>
      </c>
      <c r="G218" s="89"/>
      <c r="H218" s="157"/>
      <c r="I218" s="96" t="s">
        <v>393</v>
      </c>
    </row>
    <row r="219" spans="1:9" s="115" customFormat="1" ht="17.25" x14ac:dyDescent="0.35">
      <c r="A219" s="156" t="s">
        <v>318</v>
      </c>
      <c r="B219" s="89" t="s">
        <v>318</v>
      </c>
      <c r="C219" s="89"/>
      <c r="D219" s="89" t="s">
        <v>79</v>
      </c>
      <c r="E219" s="89">
        <v>1</v>
      </c>
      <c r="F219" s="89"/>
      <c r="G219" s="89"/>
      <c r="H219" s="157"/>
      <c r="I219" s="96" t="s">
        <v>394</v>
      </c>
    </row>
    <row r="220" spans="1:9" s="115" customFormat="1" ht="17.25" x14ac:dyDescent="0.35">
      <c r="A220" s="156" t="s">
        <v>318</v>
      </c>
      <c r="B220" s="89" t="s">
        <v>318</v>
      </c>
      <c r="C220" s="89"/>
      <c r="D220" s="89" t="s">
        <v>79</v>
      </c>
      <c r="E220" s="89">
        <v>1</v>
      </c>
      <c r="F220" s="89"/>
      <c r="G220" s="89"/>
      <c r="H220" s="157"/>
      <c r="I220" s="96" t="s">
        <v>395</v>
      </c>
    </row>
    <row r="221" spans="1:9" s="115" customFormat="1" ht="17.25" x14ac:dyDescent="0.35">
      <c r="A221" s="156" t="s">
        <v>318</v>
      </c>
      <c r="B221" s="89" t="s">
        <v>318</v>
      </c>
      <c r="C221" s="89"/>
      <c r="D221" s="89" t="s">
        <v>79</v>
      </c>
      <c r="E221" s="89">
        <v>2</v>
      </c>
      <c r="F221" s="89">
        <v>0</v>
      </c>
      <c r="G221" s="89"/>
      <c r="H221" s="157"/>
      <c r="I221" s="96" t="s">
        <v>396</v>
      </c>
    </row>
    <row r="222" spans="1:9" s="115" customFormat="1" ht="17.25" x14ac:dyDescent="0.35">
      <c r="A222" s="156" t="s">
        <v>318</v>
      </c>
      <c r="B222" s="89" t="s">
        <v>318</v>
      </c>
      <c r="C222" s="89"/>
      <c r="D222" s="89" t="s">
        <v>79</v>
      </c>
      <c r="E222" s="89">
        <v>2</v>
      </c>
      <c r="F222" s="89">
        <v>0</v>
      </c>
      <c r="G222" s="89"/>
      <c r="H222" s="157"/>
      <c r="I222" s="96" t="s">
        <v>397</v>
      </c>
    </row>
    <row r="223" spans="1:9" s="115" customFormat="1" ht="17.25" x14ac:dyDescent="0.35">
      <c r="A223" s="156" t="s">
        <v>318</v>
      </c>
      <c r="B223" s="89" t="s">
        <v>318</v>
      </c>
      <c r="C223" s="89"/>
      <c r="D223" s="89" t="s">
        <v>79</v>
      </c>
      <c r="E223" s="89">
        <v>1</v>
      </c>
      <c r="F223" s="89">
        <v>1</v>
      </c>
      <c r="G223" s="89"/>
      <c r="H223" s="157"/>
      <c r="I223" s="96" t="s">
        <v>398</v>
      </c>
    </row>
    <row r="224" spans="1:9" s="115" customFormat="1" ht="17.25" x14ac:dyDescent="0.35">
      <c r="A224" s="156" t="s">
        <v>318</v>
      </c>
      <c r="B224" s="89" t="s">
        <v>318</v>
      </c>
      <c r="C224" s="89"/>
      <c r="D224" s="89" t="s">
        <v>79</v>
      </c>
      <c r="E224" s="89">
        <v>1</v>
      </c>
      <c r="F224" s="89">
        <v>0</v>
      </c>
      <c r="G224" s="89"/>
      <c r="H224" s="157"/>
      <c r="I224" s="96" t="s">
        <v>399</v>
      </c>
    </row>
    <row r="225" spans="1:9" s="115" customFormat="1" ht="17.25" x14ac:dyDescent="0.35">
      <c r="A225" s="156" t="s">
        <v>318</v>
      </c>
      <c r="B225" s="89" t="s">
        <v>318</v>
      </c>
      <c r="C225" s="89"/>
      <c r="D225" s="89" t="s">
        <v>79</v>
      </c>
      <c r="E225" s="89">
        <v>1</v>
      </c>
      <c r="F225" s="89">
        <v>2</v>
      </c>
      <c r="G225" s="89"/>
      <c r="H225" s="157"/>
      <c r="I225" s="96" t="s">
        <v>400</v>
      </c>
    </row>
    <row r="226" spans="1:9" s="115" customFormat="1" ht="17.25" x14ac:dyDescent="0.35">
      <c r="A226" s="156" t="s">
        <v>318</v>
      </c>
      <c r="B226" s="89" t="s">
        <v>318</v>
      </c>
      <c r="C226" s="89"/>
      <c r="D226" s="89" t="s">
        <v>79</v>
      </c>
      <c r="E226" s="89">
        <v>1</v>
      </c>
      <c r="F226" s="89">
        <v>0</v>
      </c>
      <c r="G226" s="89"/>
      <c r="H226" s="157"/>
      <c r="I226" s="96" t="s">
        <v>401</v>
      </c>
    </row>
    <row r="227" spans="1:9" s="115" customFormat="1" ht="17.25" x14ac:dyDescent="0.35">
      <c r="A227" s="156" t="s">
        <v>318</v>
      </c>
      <c r="B227" s="89" t="s">
        <v>318</v>
      </c>
      <c r="C227" s="89"/>
      <c r="D227" s="89" t="s">
        <v>79</v>
      </c>
      <c r="E227" s="89">
        <v>1</v>
      </c>
      <c r="F227" s="89">
        <v>100</v>
      </c>
      <c r="G227" s="89"/>
      <c r="H227" s="157"/>
      <c r="I227" s="96" t="s">
        <v>402</v>
      </c>
    </row>
    <row r="228" spans="1:9" s="115" customFormat="1" ht="17.25" x14ac:dyDescent="0.35">
      <c r="A228" s="156" t="s">
        <v>318</v>
      </c>
      <c r="B228" s="89" t="s">
        <v>318</v>
      </c>
      <c r="C228" s="89"/>
      <c r="D228" s="89" t="s">
        <v>79</v>
      </c>
      <c r="E228" s="89">
        <v>1</v>
      </c>
      <c r="F228" s="89">
        <v>40</v>
      </c>
      <c r="G228" s="89"/>
      <c r="H228" s="157"/>
      <c r="I228" s="96" t="s">
        <v>403</v>
      </c>
    </row>
    <row r="229" spans="1:9" s="115" customFormat="1" ht="17.25" x14ac:dyDescent="0.35">
      <c r="A229" s="156" t="s">
        <v>318</v>
      </c>
      <c r="B229" s="89" t="s">
        <v>318</v>
      </c>
      <c r="C229" s="89"/>
      <c r="D229" s="89" t="s">
        <v>79</v>
      </c>
      <c r="E229" s="89">
        <v>1</v>
      </c>
      <c r="F229" s="89"/>
      <c r="G229" s="89"/>
      <c r="H229" s="157"/>
      <c r="I229" s="96" t="s">
        <v>404</v>
      </c>
    </row>
    <row r="230" spans="1:9" s="115" customFormat="1" ht="17.25" x14ac:dyDescent="0.35">
      <c r="A230" s="156" t="s">
        <v>318</v>
      </c>
      <c r="B230" s="89" t="s">
        <v>318</v>
      </c>
      <c r="C230" s="89"/>
      <c r="D230" s="89" t="s">
        <v>79</v>
      </c>
      <c r="E230" s="89">
        <v>1</v>
      </c>
      <c r="F230" s="89"/>
      <c r="G230" s="89"/>
      <c r="H230" s="157"/>
      <c r="I230" s="96" t="s">
        <v>405</v>
      </c>
    </row>
    <row r="231" spans="1:9" s="115" customFormat="1" ht="17.25" x14ac:dyDescent="0.35">
      <c r="A231" s="156" t="s">
        <v>318</v>
      </c>
      <c r="B231" s="89" t="s">
        <v>318</v>
      </c>
      <c r="C231" s="89"/>
      <c r="D231" s="89" t="s">
        <v>79</v>
      </c>
      <c r="E231" s="89">
        <v>1</v>
      </c>
      <c r="F231" s="89"/>
      <c r="G231" s="89"/>
      <c r="H231" s="157"/>
      <c r="I231" s="96" t="s">
        <v>406</v>
      </c>
    </row>
    <row r="232" spans="1:9" s="115" customFormat="1" ht="17.25" x14ac:dyDescent="0.35">
      <c r="A232" s="156" t="s">
        <v>318</v>
      </c>
      <c r="B232" s="89" t="s">
        <v>318</v>
      </c>
      <c r="C232" s="89"/>
      <c r="D232" s="89" t="s">
        <v>79</v>
      </c>
      <c r="E232" s="89">
        <v>1</v>
      </c>
      <c r="F232" s="89">
        <v>20</v>
      </c>
      <c r="G232" s="89"/>
      <c r="H232" s="157"/>
      <c r="I232" s="96" t="s">
        <v>407</v>
      </c>
    </row>
    <row r="233" spans="1:9" s="115" customFormat="1" ht="17.25" x14ac:dyDescent="0.35">
      <c r="A233" s="156" t="s">
        <v>318</v>
      </c>
      <c r="B233" s="89" t="s">
        <v>318</v>
      </c>
      <c r="C233" s="89"/>
      <c r="D233" s="89" t="s">
        <v>79</v>
      </c>
      <c r="E233" s="89">
        <v>2</v>
      </c>
      <c r="F233" s="89">
        <v>5</v>
      </c>
      <c r="G233" s="89"/>
      <c r="H233" s="157"/>
      <c r="I233" s="96" t="s">
        <v>408</v>
      </c>
    </row>
    <row r="234" spans="1:9" s="115" customFormat="1" ht="17.25" x14ac:dyDescent="0.35">
      <c r="A234" s="156" t="s">
        <v>318</v>
      </c>
      <c r="B234" s="89" t="s">
        <v>318</v>
      </c>
      <c r="C234" s="89"/>
      <c r="D234" s="89" t="s">
        <v>79</v>
      </c>
      <c r="E234" s="89">
        <v>2</v>
      </c>
      <c r="F234" s="89">
        <v>50</v>
      </c>
      <c r="G234" s="89"/>
      <c r="H234" s="157"/>
      <c r="I234" s="96" t="s">
        <v>409</v>
      </c>
    </row>
    <row r="235" spans="1:9" s="115" customFormat="1" ht="17.25" x14ac:dyDescent="0.35">
      <c r="A235" s="156" t="s">
        <v>318</v>
      </c>
      <c r="B235" s="89" t="s">
        <v>318</v>
      </c>
      <c r="C235" s="89"/>
      <c r="D235" s="89" t="s">
        <v>79</v>
      </c>
      <c r="E235" s="89">
        <v>2</v>
      </c>
      <c r="F235" s="89"/>
      <c r="G235" s="89"/>
      <c r="H235" s="157"/>
      <c r="I235" s="96" t="s">
        <v>410</v>
      </c>
    </row>
    <row r="236" spans="1:9" s="115" customFormat="1" ht="17.25" x14ac:dyDescent="0.35">
      <c r="A236" s="156" t="s">
        <v>318</v>
      </c>
      <c r="B236" s="89" t="s">
        <v>318</v>
      </c>
      <c r="C236" s="89"/>
      <c r="D236" s="89" t="s">
        <v>79</v>
      </c>
      <c r="E236" s="89">
        <v>2</v>
      </c>
      <c r="F236" s="89">
        <v>60</v>
      </c>
      <c r="G236" s="89"/>
      <c r="H236" s="157"/>
      <c r="I236" s="96" t="s">
        <v>411</v>
      </c>
    </row>
    <row r="237" spans="1:9" s="115" customFormat="1" ht="17.25" x14ac:dyDescent="0.35">
      <c r="A237" s="156" t="s">
        <v>318</v>
      </c>
      <c r="B237" s="89" t="s">
        <v>318</v>
      </c>
      <c r="C237" s="89"/>
      <c r="D237" s="89" t="s">
        <v>79</v>
      </c>
      <c r="E237" s="89">
        <v>1</v>
      </c>
      <c r="F237" s="89"/>
      <c r="G237" s="89"/>
      <c r="H237" s="157"/>
      <c r="I237" s="96" t="s">
        <v>412</v>
      </c>
    </row>
    <row r="238" spans="1:9" s="115" customFormat="1" ht="17.25" x14ac:dyDescent="0.35">
      <c r="A238" s="156" t="s">
        <v>318</v>
      </c>
      <c r="B238" s="89" t="s">
        <v>318</v>
      </c>
      <c r="C238" s="89"/>
      <c r="D238" s="89" t="s">
        <v>79</v>
      </c>
      <c r="E238" s="89">
        <v>1</v>
      </c>
      <c r="F238" s="89"/>
      <c r="G238" s="89"/>
      <c r="H238" s="157"/>
      <c r="I238" s="96" t="s">
        <v>413</v>
      </c>
    </row>
    <row r="239" spans="1:9" s="115" customFormat="1" ht="17.25" x14ac:dyDescent="0.35">
      <c r="A239" s="156" t="s">
        <v>318</v>
      </c>
      <c r="B239" s="89" t="s">
        <v>318</v>
      </c>
      <c r="C239" s="89"/>
      <c r="D239" s="89" t="s">
        <v>79</v>
      </c>
      <c r="E239" s="89">
        <v>1</v>
      </c>
      <c r="F239" s="89"/>
      <c r="G239" s="89"/>
      <c r="H239" s="157"/>
      <c r="I239" s="96" t="s">
        <v>414</v>
      </c>
    </row>
    <row r="240" spans="1:9" s="115" customFormat="1" ht="17.25" x14ac:dyDescent="0.35">
      <c r="A240" s="156" t="s">
        <v>415</v>
      </c>
      <c r="B240" s="89" t="s">
        <v>416</v>
      </c>
      <c r="C240" s="89" t="s">
        <v>116</v>
      </c>
      <c r="D240" s="89"/>
      <c r="E240" s="89"/>
      <c r="F240" s="89"/>
      <c r="G240" s="89" t="s">
        <v>88</v>
      </c>
      <c r="H240" s="157"/>
      <c r="I240" s="96">
        <v>67314</v>
      </c>
    </row>
    <row r="241" spans="1:9" s="115" customFormat="1" ht="17.25" x14ac:dyDescent="0.35">
      <c r="A241" s="156" t="s">
        <v>318</v>
      </c>
      <c r="B241" s="89" t="s">
        <v>318</v>
      </c>
      <c r="C241" s="89"/>
      <c r="D241" s="89" t="s">
        <v>79</v>
      </c>
      <c r="E241" s="89">
        <v>4</v>
      </c>
      <c r="F241" s="89">
        <v>1200</v>
      </c>
      <c r="G241" s="89"/>
      <c r="H241" s="157"/>
      <c r="I241" s="96" t="s">
        <v>417</v>
      </c>
    </row>
    <row r="242" spans="1:9" s="115" customFormat="1" ht="17.25" x14ac:dyDescent="0.35">
      <c r="A242" s="156" t="s">
        <v>318</v>
      </c>
      <c r="B242" s="89" t="s">
        <v>318</v>
      </c>
      <c r="C242" s="89"/>
      <c r="D242" s="89" t="s">
        <v>79</v>
      </c>
      <c r="E242" s="89">
        <v>4</v>
      </c>
      <c r="F242" s="89">
        <v>86400</v>
      </c>
      <c r="G242" s="89"/>
      <c r="H242" s="157"/>
      <c r="I242" s="96" t="s">
        <v>418</v>
      </c>
    </row>
    <row r="243" spans="1:9" s="115" customFormat="1" ht="17.25" x14ac:dyDescent="0.35">
      <c r="A243" s="156" t="s">
        <v>318</v>
      </c>
      <c r="B243" s="89" t="s">
        <v>318</v>
      </c>
      <c r="C243" s="89"/>
      <c r="D243" s="89" t="s">
        <v>79</v>
      </c>
      <c r="E243" s="89">
        <v>4</v>
      </c>
      <c r="F243" s="89">
        <v>60</v>
      </c>
      <c r="G243" s="89"/>
      <c r="H243" s="157"/>
      <c r="I243" s="96" t="s">
        <v>419</v>
      </c>
    </row>
    <row r="244" spans="1:9" s="115" customFormat="1" ht="17.25" x14ac:dyDescent="0.35">
      <c r="A244" s="156" t="s">
        <v>318</v>
      </c>
      <c r="B244" s="89" t="s">
        <v>318</v>
      </c>
      <c r="C244" s="89"/>
      <c r="D244" s="89" t="s">
        <v>79</v>
      </c>
      <c r="E244" s="89">
        <v>4</v>
      </c>
      <c r="F244" s="89">
        <v>30</v>
      </c>
      <c r="G244" s="89"/>
      <c r="H244" s="157"/>
      <c r="I244" s="96" t="s">
        <v>420</v>
      </c>
    </row>
    <row r="245" spans="1:9" s="115" customFormat="1" ht="17.25" x14ac:dyDescent="0.35">
      <c r="A245" s="156" t="s">
        <v>318</v>
      </c>
      <c r="B245" s="89" t="s">
        <v>318</v>
      </c>
      <c r="C245" s="89"/>
      <c r="D245" s="89" t="s">
        <v>79</v>
      </c>
      <c r="E245" s="89">
        <v>1</v>
      </c>
      <c r="F245" s="89">
        <v>1</v>
      </c>
      <c r="G245" s="89"/>
      <c r="H245" s="157"/>
      <c r="I245" s="96" t="s">
        <v>421</v>
      </c>
    </row>
    <row r="246" spans="1:9" s="115" customFormat="1" ht="17.25" x14ac:dyDescent="0.35">
      <c r="A246" s="156" t="s">
        <v>318</v>
      </c>
      <c r="B246" s="89" t="s">
        <v>318</v>
      </c>
      <c r="C246" s="89"/>
      <c r="D246" s="89" t="s">
        <v>79</v>
      </c>
      <c r="E246" s="89">
        <v>4</v>
      </c>
      <c r="F246" s="89">
        <v>7776000</v>
      </c>
      <c r="G246" s="89"/>
      <c r="H246" s="157"/>
      <c r="I246" s="96" t="s">
        <v>422</v>
      </c>
    </row>
    <row r="247" spans="1:9" s="115" customFormat="1" ht="17.25" x14ac:dyDescent="0.35">
      <c r="A247" s="156" t="s">
        <v>318</v>
      </c>
      <c r="B247" s="89" t="s">
        <v>318</v>
      </c>
      <c r="C247" s="89"/>
      <c r="D247" s="89" t="s">
        <v>79</v>
      </c>
      <c r="E247" s="89">
        <v>4</v>
      </c>
      <c r="F247" s="89">
        <v>60</v>
      </c>
      <c r="G247" s="89"/>
      <c r="H247" s="157"/>
      <c r="I247" s="96" t="s">
        <v>423</v>
      </c>
    </row>
    <row r="248" spans="1:9" s="115" customFormat="1" ht="17.25" x14ac:dyDescent="0.35">
      <c r="A248" s="156" t="s">
        <v>318</v>
      </c>
      <c r="B248" s="89" t="s">
        <v>318</v>
      </c>
      <c r="C248" s="89"/>
      <c r="D248" s="89" t="s">
        <v>79</v>
      </c>
      <c r="E248" s="89">
        <v>4</v>
      </c>
      <c r="F248" s="89">
        <v>604800</v>
      </c>
      <c r="G248" s="89"/>
      <c r="H248" s="157"/>
      <c r="I248" s="96" t="s">
        <v>424</v>
      </c>
    </row>
    <row r="249" spans="1:9" s="115" customFormat="1" ht="17.25" x14ac:dyDescent="0.35">
      <c r="A249" s="156" t="s">
        <v>318</v>
      </c>
      <c r="B249" s="89" t="s">
        <v>318</v>
      </c>
      <c r="C249" s="89"/>
      <c r="D249" s="89" t="s">
        <v>79</v>
      </c>
      <c r="E249" s="89">
        <v>4</v>
      </c>
      <c r="F249" s="89">
        <v>30</v>
      </c>
      <c r="G249" s="89"/>
      <c r="H249" s="157"/>
      <c r="I249" s="96" t="s">
        <v>425</v>
      </c>
    </row>
    <row r="250" spans="1:9" s="115" customFormat="1" ht="17.25" x14ac:dyDescent="0.35">
      <c r="A250" s="156" t="s">
        <v>318</v>
      </c>
      <c r="B250" s="89" t="s">
        <v>318</v>
      </c>
      <c r="C250" s="89"/>
      <c r="D250" s="89" t="s">
        <v>79</v>
      </c>
      <c r="E250" s="89">
        <v>1</v>
      </c>
      <c r="F250" s="89">
        <v>1</v>
      </c>
      <c r="G250" s="89"/>
      <c r="H250" s="157"/>
      <c r="I250" s="96" t="s">
        <v>426</v>
      </c>
    </row>
    <row r="251" spans="1:9" s="115" customFormat="1" ht="17.25" x14ac:dyDescent="0.35">
      <c r="A251" s="156" t="s">
        <v>318</v>
      </c>
      <c r="B251" s="89" t="s">
        <v>318</v>
      </c>
      <c r="C251" s="89"/>
      <c r="D251" s="89" t="s">
        <v>80</v>
      </c>
      <c r="E251" s="89">
        <v>128</v>
      </c>
      <c r="F251" s="89"/>
      <c r="G251" s="89"/>
      <c r="H251" s="157"/>
      <c r="I251" s="96" t="s">
        <v>427</v>
      </c>
    </row>
    <row r="252" spans="1:9" s="115" customFormat="1" ht="17.25" x14ac:dyDescent="0.35">
      <c r="A252" s="156" t="s">
        <v>318</v>
      </c>
      <c r="B252" s="89" t="s">
        <v>318</v>
      </c>
      <c r="C252" s="89"/>
      <c r="D252" s="89" t="s">
        <v>79</v>
      </c>
      <c r="E252" s="89">
        <v>4</v>
      </c>
      <c r="F252" s="89">
        <v>0</v>
      </c>
      <c r="G252" s="89"/>
      <c r="H252" s="157"/>
      <c r="I252" s="96" t="s">
        <v>428</v>
      </c>
    </row>
    <row r="253" spans="1:9" s="115" customFormat="1" ht="17.25" x14ac:dyDescent="0.35">
      <c r="A253" s="156" t="s">
        <v>318</v>
      </c>
      <c r="B253" s="89" t="s">
        <v>318</v>
      </c>
      <c r="C253" s="89"/>
      <c r="D253" s="89" t="s">
        <v>79</v>
      </c>
      <c r="E253" s="89">
        <v>4</v>
      </c>
      <c r="F253" s="89">
        <v>0</v>
      </c>
      <c r="G253" s="89"/>
      <c r="H253" s="157"/>
      <c r="I253" s="96" t="s">
        <v>429</v>
      </c>
    </row>
    <row r="254" spans="1:9" s="115" customFormat="1" ht="17.25" x14ac:dyDescent="0.35">
      <c r="A254" s="156" t="s">
        <v>318</v>
      </c>
      <c r="B254" s="89" t="s">
        <v>318</v>
      </c>
      <c r="C254" s="89"/>
      <c r="D254" s="89" t="s">
        <v>79</v>
      </c>
      <c r="E254" s="89">
        <v>1</v>
      </c>
      <c r="F254" s="89">
        <v>1</v>
      </c>
      <c r="G254" s="89"/>
      <c r="H254" s="157"/>
      <c r="I254" s="96" t="s">
        <v>430</v>
      </c>
    </row>
    <row r="255" spans="1:9" s="115" customFormat="1" ht="17.25" x14ac:dyDescent="0.35">
      <c r="A255" s="156" t="s">
        <v>318</v>
      </c>
      <c r="B255" s="89" t="s">
        <v>318</v>
      </c>
      <c r="C255" s="89"/>
      <c r="D255" s="89" t="s">
        <v>79</v>
      </c>
      <c r="E255" s="89">
        <v>1</v>
      </c>
      <c r="F255" s="89">
        <v>30</v>
      </c>
      <c r="G255" s="89"/>
      <c r="H255" s="157"/>
      <c r="I255" s="96" t="s">
        <v>431</v>
      </c>
    </row>
    <row r="256" spans="1:9" s="115" customFormat="1" ht="17.25" x14ac:dyDescent="0.35">
      <c r="A256" s="156" t="s">
        <v>255</v>
      </c>
      <c r="B256" s="89" t="s">
        <v>256</v>
      </c>
      <c r="C256" s="89" t="s">
        <v>116</v>
      </c>
      <c r="D256" s="89"/>
      <c r="E256" s="89"/>
      <c r="F256" s="89"/>
      <c r="G256" s="89" t="s">
        <v>88</v>
      </c>
      <c r="H256" s="157"/>
      <c r="I256" s="96">
        <v>67257</v>
      </c>
    </row>
    <row r="257" spans="1:9" s="115" customFormat="1" ht="17.25" x14ac:dyDescent="0.35">
      <c r="A257" s="156" t="s">
        <v>318</v>
      </c>
      <c r="B257" s="89" t="s">
        <v>318</v>
      </c>
      <c r="C257" s="89"/>
      <c r="D257" s="89" t="s">
        <v>79</v>
      </c>
      <c r="E257" s="89">
        <v>1</v>
      </c>
      <c r="F257" s="89">
        <v>0</v>
      </c>
      <c r="G257" s="89"/>
      <c r="H257" s="157"/>
      <c r="I257" s="96" t="s">
        <v>330</v>
      </c>
    </row>
    <row r="258" spans="1:9" s="115" customFormat="1" ht="17.25" x14ac:dyDescent="0.35">
      <c r="A258" s="156" t="s">
        <v>318</v>
      </c>
      <c r="B258" s="89" t="s">
        <v>318</v>
      </c>
      <c r="C258" s="89"/>
      <c r="D258" s="89" t="s">
        <v>79</v>
      </c>
      <c r="E258" s="89">
        <v>1</v>
      </c>
      <c r="F258" s="89">
        <v>1</v>
      </c>
      <c r="G258" s="89"/>
      <c r="H258" s="157"/>
      <c r="I258" s="96" t="s">
        <v>331</v>
      </c>
    </row>
    <row r="259" spans="1:9" s="115" customFormat="1" ht="17.25" x14ac:dyDescent="0.35">
      <c r="A259" s="156" t="s">
        <v>318</v>
      </c>
      <c r="B259" s="89" t="s">
        <v>318</v>
      </c>
      <c r="C259" s="89"/>
      <c r="D259" s="89" t="s">
        <v>79</v>
      </c>
      <c r="E259" s="89">
        <v>1</v>
      </c>
      <c r="F259" s="89">
        <v>1</v>
      </c>
      <c r="G259" s="89"/>
      <c r="H259" s="157"/>
      <c r="I259" s="96" t="s">
        <v>332</v>
      </c>
    </row>
    <row r="260" spans="1:9" s="115" customFormat="1" ht="17.25" x14ac:dyDescent="0.35">
      <c r="A260" s="156" t="s">
        <v>318</v>
      </c>
      <c r="B260" s="89" t="s">
        <v>318</v>
      </c>
      <c r="C260" s="89"/>
      <c r="D260" s="89" t="s">
        <v>80</v>
      </c>
      <c r="E260" s="89">
        <v>128</v>
      </c>
      <c r="F260" s="89" t="s">
        <v>333</v>
      </c>
      <c r="G260" s="89"/>
      <c r="H260" s="157"/>
      <c r="I260" s="96" t="s">
        <v>334</v>
      </c>
    </row>
    <row r="261" spans="1:9" s="115" customFormat="1" ht="17.25" x14ac:dyDescent="0.35">
      <c r="A261" s="156" t="s">
        <v>318</v>
      </c>
      <c r="B261" s="89" t="s">
        <v>318</v>
      </c>
      <c r="C261" s="89"/>
      <c r="D261" s="89" t="s">
        <v>79</v>
      </c>
      <c r="E261" s="89">
        <v>2</v>
      </c>
      <c r="F261" s="89">
        <v>90</v>
      </c>
      <c r="G261" s="89"/>
      <c r="H261" s="157"/>
      <c r="I261" s="96" t="s">
        <v>335</v>
      </c>
    </row>
    <row r="262" spans="1:9" s="115" customFormat="1" ht="17.25" x14ac:dyDescent="0.35">
      <c r="A262" s="156" t="s">
        <v>318</v>
      </c>
      <c r="B262" s="89" t="s">
        <v>318</v>
      </c>
      <c r="C262" s="89"/>
      <c r="D262" s="89" t="s">
        <v>79</v>
      </c>
      <c r="E262" s="89">
        <v>2</v>
      </c>
      <c r="F262" s="89">
        <v>90</v>
      </c>
      <c r="G262" s="89"/>
      <c r="H262" s="157"/>
      <c r="I262" s="96" t="s">
        <v>336</v>
      </c>
    </row>
    <row r="263" spans="1:9" s="115" customFormat="1" ht="17.25" x14ac:dyDescent="0.35">
      <c r="A263" s="156" t="s">
        <v>318</v>
      </c>
      <c r="B263" s="89" t="s">
        <v>318</v>
      </c>
      <c r="C263" s="89"/>
      <c r="D263" s="89" t="s">
        <v>79</v>
      </c>
      <c r="E263" s="89">
        <v>1</v>
      </c>
      <c r="F263" s="89">
        <v>1</v>
      </c>
      <c r="G263" s="89"/>
      <c r="H263" s="157"/>
      <c r="I263" s="96" t="s">
        <v>337</v>
      </c>
    </row>
    <row r="264" spans="1:9" s="115" customFormat="1" ht="17.25" x14ac:dyDescent="0.35">
      <c r="A264" s="156" t="s">
        <v>318</v>
      </c>
      <c r="B264" s="89" t="s">
        <v>318</v>
      </c>
      <c r="C264" s="89"/>
      <c r="D264" s="89" t="s">
        <v>80</v>
      </c>
      <c r="E264" s="89">
        <v>128</v>
      </c>
      <c r="F264" s="89" t="s">
        <v>441</v>
      </c>
      <c r="G264" s="89"/>
      <c r="H264" s="157"/>
      <c r="I264" s="96" t="s">
        <v>338</v>
      </c>
    </row>
    <row r="265" spans="1:9" s="115" customFormat="1" ht="17.25" x14ac:dyDescent="0.35">
      <c r="A265" s="156" t="s">
        <v>318</v>
      </c>
      <c r="B265" s="89" t="s">
        <v>318</v>
      </c>
      <c r="C265" s="89"/>
      <c r="D265" s="89" t="s">
        <v>79</v>
      </c>
      <c r="E265" s="89">
        <v>1</v>
      </c>
      <c r="F265" s="89">
        <v>0</v>
      </c>
      <c r="G265" s="89"/>
      <c r="H265" s="157"/>
      <c r="I265" s="96" t="s">
        <v>339</v>
      </c>
    </row>
    <row r="266" spans="1:9" s="115" customFormat="1" ht="17.25" x14ac:dyDescent="0.35">
      <c r="A266" s="156" t="s">
        <v>318</v>
      </c>
      <c r="B266" s="89" t="s">
        <v>318</v>
      </c>
      <c r="C266" s="89"/>
      <c r="D266" s="89" t="s">
        <v>79</v>
      </c>
      <c r="E266" s="89">
        <v>2</v>
      </c>
      <c r="F266" s="89"/>
      <c r="G266" s="89"/>
      <c r="H266" s="157"/>
      <c r="I266" s="96" t="s">
        <v>340</v>
      </c>
    </row>
    <row r="267" spans="1:9" s="115" customFormat="1" ht="17.25" x14ac:dyDescent="0.35">
      <c r="A267" s="156" t="s">
        <v>318</v>
      </c>
      <c r="B267" s="89" t="s">
        <v>318</v>
      </c>
      <c r="C267" s="89"/>
      <c r="D267" s="89" t="s">
        <v>79</v>
      </c>
      <c r="E267" s="89">
        <v>1</v>
      </c>
      <c r="F267" s="89">
        <v>2</v>
      </c>
      <c r="G267" s="89"/>
      <c r="H267" s="157"/>
      <c r="I267" s="96" t="s">
        <v>341</v>
      </c>
    </row>
    <row r="268" spans="1:9" s="115" customFormat="1" ht="17.25" x14ac:dyDescent="0.35">
      <c r="A268" s="156" t="s">
        <v>318</v>
      </c>
      <c r="B268" s="89" t="s">
        <v>318</v>
      </c>
      <c r="C268" s="89"/>
      <c r="D268" s="89" t="s">
        <v>79</v>
      </c>
      <c r="E268" s="89">
        <v>1</v>
      </c>
      <c r="F268" s="89">
        <v>1</v>
      </c>
      <c r="G268" s="89"/>
      <c r="H268" s="157"/>
      <c r="I268" s="96" t="s">
        <v>342</v>
      </c>
    </row>
    <row r="269" spans="1:9" s="115" customFormat="1" ht="17.25" x14ac:dyDescent="0.35">
      <c r="A269" s="156" t="s">
        <v>318</v>
      </c>
      <c r="B269" s="89" t="s">
        <v>318</v>
      </c>
      <c r="C269" s="89"/>
      <c r="D269" s="89" t="s">
        <v>80</v>
      </c>
      <c r="E269" s="89">
        <v>128</v>
      </c>
      <c r="F269" s="89"/>
      <c r="G269" s="89"/>
      <c r="H269" s="157"/>
      <c r="I269" s="96" t="s">
        <v>343</v>
      </c>
    </row>
    <row r="270" spans="1:9" s="115" customFormat="1" ht="17.25" x14ac:dyDescent="0.35">
      <c r="A270" s="156" t="s">
        <v>112</v>
      </c>
      <c r="B270" s="89" t="s">
        <v>113</v>
      </c>
      <c r="C270" s="89" t="s">
        <v>81</v>
      </c>
      <c r="D270" s="89"/>
      <c r="E270" s="89"/>
      <c r="F270" s="89"/>
      <c r="G270" s="89" t="s">
        <v>88</v>
      </c>
      <c r="H270" s="157" t="s">
        <v>518</v>
      </c>
      <c r="I270" s="96">
        <v>67218</v>
      </c>
    </row>
    <row r="271" spans="1:9" s="115" customFormat="1" ht="17.25" x14ac:dyDescent="0.35">
      <c r="A271" s="156" t="s">
        <v>122</v>
      </c>
      <c r="B271" s="89" t="s">
        <v>123</v>
      </c>
      <c r="C271" s="89" t="s">
        <v>116</v>
      </c>
      <c r="D271" s="89"/>
      <c r="E271" s="89"/>
      <c r="F271" s="89"/>
      <c r="G271" s="89" t="s">
        <v>88</v>
      </c>
      <c r="H271" s="157"/>
      <c r="I271" s="96">
        <v>67264</v>
      </c>
    </row>
    <row r="272" spans="1:9" s="115" customFormat="1" ht="17.25" x14ac:dyDescent="0.35">
      <c r="A272" s="156"/>
      <c r="B272" s="89"/>
      <c r="C272" s="89"/>
      <c r="D272" s="89" t="s">
        <v>79</v>
      </c>
      <c r="E272" s="89">
        <v>1</v>
      </c>
      <c r="F272" s="89">
        <v>1</v>
      </c>
      <c r="G272" s="89"/>
      <c r="H272" s="157"/>
      <c r="I272" s="96" t="s">
        <v>287</v>
      </c>
    </row>
    <row r="273" spans="1:9" s="115" customFormat="1" ht="34.5" x14ac:dyDescent="0.35">
      <c r="A273" s="156"/>
      <c r="B273" s="89"/>
      <c r="C273" s="89"/>
      <c r="D273" s="89" t="s">
        <v>79</v>
      </c>
      <c r="E273" s="89">
        <v>1</v>
      </c>
      <c r="F273" s="89">
        <v>3</v>
      </c>
      <c r="G273" s="89"/>
      <c r="H273" s="157"/>
      <c r="I273" s="96" t="s">
        <v>288</v>
      </c>
    </row>
    <row r="274" spans="1:9" s="115" customFormat="1" ht="51.75" x14ac:dyDescent="0.35">
      <c r="A274" s="156"/>
      <c r="B274" s="89"/>
      <c r="C274" s="89"/>
      <c r="D274" s="89" t="s">
        <v>80</v>
      </c>
      <c r="E274" s="89">
        <v>32</v>
      </c>
      <c r="F274" s="89" t="s">
        <v>804</v>
      </c>
      <c r="G274" s="89"/>
      <c r="H274" s="157"/>
      <c r="I274" s="96" t="s">
        <v>289</v>
      </c>
    </row>
    <row r="275" spans="1:9" s="115" customFormat="1" ht="17.25" x14ac:dyDescent="0.35">
      <c r="A275" s="156"/>
      <c r="B275" s="89"/>
      <c r="C275" s="89"/>
      <c r="D275" s="89" t="s">
        <v>79</v>
      </c>
      <c r="E275" s="89">
        <v>1</v>
      </c>
      <c r="F275" s="89">
        <v>1</v>
      </c>
      <c r="G275" s="89"/>
      <c r="H275" s="157"/>
      <c r="I275" s="96" t="s">
        <v>124</v>
      </c>
    </row>
    <row r="276" spans="1:9" s="115" customFormat="1" ht="17.25" x14ac:dyDescent="0.35">
      <c r="A276" s="156"/>
      <c r="B276" s="89"/>
      <c r="C276" s="89"/>
      <c r="D276" s="89" t="s">
        <v>79</v>
      </c>
      <c r="E276" s="89">
        <v>1</v>
      </c>
      <c r="F276" s="89">
        <v>0</v>
      </c>
      <c r="G276" s="89"/>
      <c r="H276" s="157"/>
      <c r="I276" s="96" t="s">
        <v>125</v>
      </c>
    </row>
    <row r="277" spans="1:9" s="115" customFormat="1" ht="17.25" x14ac:dyDescent="0.35">
      <c r="A277" s="156"/>
      <c r="B277" s="89"/>
      <c r="C277" s="89"/>
      <c r="D277" s="89" t="s">
        <v>79</v>
      </c>
      <c r="E277" s="89">
        <v>1</v>
      </c>
      <c r="F277" s="89">
        <v>0</v>
      </c>
      <c r="G277" s="89"/>
      <c r="H277" s="157"/>
      <c r="I277" s="96" t="s">
        <v>126</v>
      </c>
    </row>
    <row r="278" spans="1:9" s="115" customFormat="1" ht="17.25" x14ac:dyDescent="0.35">
      <c r="A278" s="156"/>
      <c r="B278" s="89"/>
      <c r="C278" s="89"/>
      <c r="D278" s="89" t="s">
        <v>79</v>
      </c>
      <c r="E278" s="89">
        <v>1</v>
      </c>
      <c r="F278" s="89">
        <v>1</v>
      </c>
      <c r="G278" s="89"/>
      <c r="H278" s="157"/>
      <c r="I278" s="96" t="s">
        <v>127</v>
      </c>
    </row>
    <row r="279" spans="1:9" s="115" customFormat="1" ht="17.25" x14ac:dyDescent="0.35">
      <c r="A279" s="156"/>
      <c r="B279" s="89"/>
      <c r="C279" s="89"/>
      <c r="D279" s="89" t="s">
        <v>80</v>
      </c>
      <c r="E279" s="89">
        <v>256</v>
      </c>
      <c r="F279" s="89" t="s">
        <v>805</v>
      </c>
      <c r="G279" s="89"/>
      <c r="H279" s="157"/>
      <c r="I279" s="96" t="s">
        <v>128</v>
      </c>
    </row>
    <row r="280" spans="1:9" s="115" customFormat="1" ht="17.25" x14ac:dyDescent="0.35">
      <c r="A280" s="156"/>
      <c r="B280" s="89"/>
      <c r="C280" s="89"/>
      <c r="D280" s="89" t="s">
        <v>79</v>
      </c>
      <c r="E280" s="89">
        <v>1</v>
      </c>
      <c r="F280" s="89">
        <v>10</v>
      </c>
      <c r="G280" s="89"/>
      <c r="H280" s="157"/>
      <c r="I280" s="96" t="s">
        <v>273</v>
      </c>
    </row>
    <row r="281" spans="1:9" s="115" customFormat="1" ht="17.25" x14ac:dyDescent="0.35">
      <c r="A281" s="156"/>
      <c r="B281" s="89"/>
      <c r="C281" s="89"/>
      <c r="D281" s="89" t="s">
        <v>79</v>
      </c>
      <c r="E281" s="89">
        <v>1</v>
      </c>
      <c r="F281" s="89">
        <v>0</v>
      </c>
      <c r="G281" s="89"/>
      <c r="H281" s="157"/>
      <c r="I281" s="96" t="s">
        <v>129</v>
      </c>
    </row>
    <row r="282" spans="1:9" s="115" customFormat="1" ht="17.25" x14ac:dyDescent="0.35">
      <c r="A282" s="156"/>
      <c r="B282" s="89"/>
      <c r="C282" s="89"/>
      <c r="D282" s="89" t="s">
        <v>79</v>
      </c>
      <c r="E282" s="89">
        <v>1</v>
      </c>
      <c r="F282" s="89">
        <v>0</v>
      </c>
      <c r="G282" s="89"/>
      <c r="H282" s="157"/>
      <c r="I282" s="96" t="s">
        <v>130</v>
      </c>
    </row>
    <row r="283" spans="1:9" s="115" customFormat="1" ht="17.25" x14ac:dyDescent="0.35">
      <c r="A283" s="156"/>
      <c r="B283" s="89"/>
      <c r="C283" s="89"/>
      <c r="D283" s="89" t="s">
        <v>79</v>
      </c>
      <c r="E283" s="89">
        <v>2</v>
      </c>
      <c r="F283" s="89">
        <v>0</v>
      </c>
      <c r="G283" s="89"/>
      <c r="H283" s="157"/>
      <c r="I283" s="96" t="s">
        <v>131</v>
      </c>
    </row>
    <row r="284" spans="1:9" s="115" customFormat="1" ht="17.25" x14ac:dyDescent="0.35">
      <c r="A284" s="156"/>
      <c r="B284" s="89"/>
      <c r="C284" s="89"/>
      <c r="D284" s="89" t="s">
        <v>79</v>
      </c>
      <c r="E284" s="89">
        <v>1</v>
      </c>
      <c r="F284" s="89">
        <v>0</v>
      </c>
      <c r="G284" s="89"/>
      <c r="H284" s="157"/>
      <c r="I284" s="96" t="s">
        <v>132</v>
      </c>
    </row>
    <row r="285" spans="1:9" s="115" customFormat="1" ht="17.25" x14ac:dyDescent="0.35">
      <c r="A285" s="156"/>
      <c r="B285" s="89"/>
      <c r="C285" s="89"/>
      <c r="D285" s="89" t="s">
        <v>79</v>
      </c>
      <c r="E285" s="89">
        <v>1</v>
      </c>
      <c r="F285" s="89">
        <v>0</v>
      </c>
      <c r="G285" s="89"/>
      <c r="H285" s="157"/>
      <c r="I285" s="96" t="s">
        <v>133</v>
      </c>
    </row>
    <row r="286" spans="1:9" s="115" customFormat="1" ht="17.25" x14ac:dyDescent="0.35">
      <c r="A286" s="156"/>
      <c r="B286" s="89"/>
      <c r="C286" s="89"/>
      <c r="D286" s="89" t="s">
        <v>80</v>
      </c>
      <c r="E286" s="89">
        <v>32</v>
      </c>
      <c r="F286" s="89"/>
      <c r="G286" s="89"/>
      <c r="H286" s="157"/>
      <c r="I286" s="96" t="s">
        <v>134</v>
      </c>
    </row>
    <row r="287" spans="1:9" s="115" customFormat="1" ht="17.25" x14ac:dyDescent="0.35">
      <c r="A287" s="156"/>
      <c r="B287" s="89"/>
      <c r="C287" s="89"/>
      <c r="D287" s="89" t="s">
        <v>80</v>
      </c>
      <c r="E287" s="89">
        <v>32</v>
      </c>
      <c r="F287" s="89"/>
      <c r="G287" s="89"/>
      <c r="H287" s="157"/>
      <c r="I287" s="96" t="s">
        <v>135</v>
      </c>
    </row>
    <row r="288" spans="1:9" s="115" customFormat="1" ht="17.25" x14ac:dyDescent="0.35">
      <c r="A288" s="156"/>
      <c r="B288" s="89"/>
      <c r="C288" s="89"/>
      <c r="D288" s="89" t="s">
        <v>79</v>
      </c>
      <c r="E288" s="89">
        <v>1</v>
      </c>
      <c r="F288" s="89">
        <v>30</v>
      </c>
      <c r="G288" s="89"/>
      <c r="H288" s="157"/>
      <c r="I288" s="96" t="s">
        <v>136</v>
      </c>
    </row>
    <row r="289" spans="1:9" s="115" customFormat="1" ht="17.25" x14ac:dyDescent="0.35">
      <c r="A289" s="156"/>
      <c r="B289" s="89"/>
      <c r="C289" s="89"/>
      <c r="D289" s="89" t="s">
        <v>80</v>
      </c>
      <c r="E289" s="89">
        <v>32</v>
      </c>
      <c r="F289" s="89">
        <v>10</v>
      </c>
      <c r="G289" s="89"/>
      <c r="H289" s="157"/>
      <c r="I289" s="96" t="s">
        <v>137</v>
      </c>
    </row>
    <row r="290" spans="1:9" s="115" customFormat="1" ht="17.25" x14ac:dyDescent="0.35">
      <c r="A290" s="156"/>
      <c r="B290" s="89"/>
      <c r="C290" s="89"/>
      <c r="D290" s="89" t="s">
        <v>79</v>
      </c>
      <c r="E290" s="89">
        <v>1</v>
      </c>
      <c r="F290" s="89">
        <v>1</v>
      </c>
      <c r="G290" s="89"/>
      <c r="H290" s="157"/>
      <c r="I290" s="96" t="s">
        <v>138</v>
      </c>
    </row>
    <row r="291" spans="1:9" s="115" customFormat="1" ht="17.25" x14ac:dyDescent="0.35">
      <c r="A291" s="156"/>
      <c r="B291" s="89"/>
      <c r="C291" s="89"/>
      <c r="D291" s="89" t="s">
        <v>79</v>
      </c>
      <c r="E291" s="89">
        <v>1</v>
      </c>
      <c r="F291" s="89">
        <v>15</v>
      </c>
      <c r="G291" s="89"/>
      <c r="H291" s="157"/>
      <c r="I291" s="96" t="s">
        <v>139</v>
      </c>
    </row>
    <row r="292" spans="1:9" s="115" customFormat="1" ht="17.25" x14ac:dyDescent="0.35">
      <c r="A292" s="156"/>
      <c r="B292" s="89"/>
      <c r="C292" s="89"/>
      <c r="D292" s="89" t="s">
        <v>79</v>
      </c>
      <c r="E292" s="89">
        <v>1</v>
      </c>
      <c r="F292" s="89">
        <v>2</v>
      </c>
      <c r="G292" s="89"/>
      <c r="H292" s="157"/>
      <c r="I292" s="96" t="s">
        <v>140</v>
      </c>
    </row>
    <row r="293" spans="1:9" s="115" customFormat="1" ht="17.25" x14ac:dyDescent="0.35">
      <c r="A293" s="156"/>
      <c r="B293" s="89"/>
      <c r="C293" s="89"/>
      <c r="D293" s="89" t="s">
        <v>79</v>
      </c>
      <c r="E293" s="89">
        <v>1</v>
      </c>
      <c r="F293" s="89">
        <v>30</v>
      </c>
      <c r="G293" s="89"/>
      <c r="H293" s="157"/>
      <c r="I293" s="96" t="s">
        <v>141</v>
      </c>
    </row>
    <row r="294" spans="1:9" s="115" customFormat="1" ht="17.25" x14ac:dyDescent="0.35">
      <c r="A294" s="156"/>
      <c r="B294" s="89"/>
      <c r="C294" s="89"/>
      <c r="D294" s="89" t="s">
        <v>79</v>
      </c>
      <c r="E294" s="89">
        <v>1</v>
      </c>
      <c r="F294" s="89">
        <v>0</v>
      </c>
      <c r="G294" s="89"/>
      <c r="H294" s="157"/>
      <c r="I294" s="96" t="s">
        <v>142</v>
      </c>
    </row>
    <row r="295" spans="1:9" s="115" customFormat="1" ht="17.25" x14ac:dyDescent="0.35">
      <c r="A295" s="156"/>
      <c r="B295" s="89"/>
      <c r="C295" s="89"/>
      <c r="D295" s="89" t="s">
        <v>79</v>
      </c>
      <c r="E295" s="89">
        <v>2</v>
      </c>
      <c r="F295" s="89">
        <v>5060</v>
      </c>
      <c r="G295" s="89"/>
      <c r="H295" s="157"/>
      <c r="I295" s="96" t="s">
        <v>143</v>
      </c>
    </row>
    <row r="296" spans="1:9" s="115" customFormat="1" ht="17.25" x14ac:dyDescent="0.35">
      <c r="A296" s="158" t="s">
        <v>806</v>
      </c>
      <c r="B296" s="89" t="s">
        <v>807</v>
      </c>
      <c r="C296" s="89" t="s">
        <v>116</v>
      </c>
      <c r="D296" s="89"/>
      <c r="E296" s="89"/>
      <c r="F296" s="89"/>
      <c r="G296" s="89" t="s">
        <v>88</v>
      </c>
      <c r="H296" s="157"/>
      <c r="I296" s="109">
        <v>71527</v>
      </c>
    </row>
    <row r="297" spans="1:9" s="115" customFormat="1" ht="17.25" x14ac:dyDescent="0.35">
      <c r="A297" s="158"/>
      <c r="B297" s="89"/>
      <c r="C297" s="89"/>
      <c r="D297" s="89" t="s">
        <v>79</v>
      </c>
      <c r="E297" s="89">
        <v>1</v>
      </c>
      <c r="F297" s="89">
        <v>0</v>
      </c>
      <c r="G297" s="89"/>
      <c r="H297" s="157"/>
      <c r="I297" s="109" t="s">
        <v>372</v>
      </c>
    </row>
    <row r="298" spans="1:9" s="115" customFormat="1" ht="17.25" x14ac:dyDescent="0.35">
      <c r="A298" s="158"/>
      <c r="B298" s="89"/>
      <c r="C298" s="89"/>
      <c r="D298" s="89" t="s">
        <v>79</v>
      </c>
      <c r="E298" s="89">
        <v>2</v>
      </c>
      <c r="F298" s="89">
        <v>16</v>
      </c>
      <c r="G298" s="89"/>
      <c r="H298" s="157"/>
      <c r="I298" s="109" t="s">
        <v>808</v>
      </c>
    </row>
    <row r="299" spans="1:9" s="115" customFormat="1" ht="17.25" x14ac:dyDescent="0.35">
      <c r="A299" s="158"/>
      <c r="B299" s="89"/>
      <c r="C299" s="89"/>
      <c r="D299" s="89" t="s">
        <v>79</v>
      </c>
      <c r="E299" s="89">
        <v>1</v>
      </c>
      <c r="F299" s="89">
        <v>17</v>
      </c>
      <c r="G299" s="89"/>
      <c r="H299" s="157"/>
      <c r="I299" s="109" t="s">
        <v>809</v>
      </c>
    </row>
    <row r="300" spans="1:9" s="115" customFormat="1" ht="17.25" x14ac:dyDescent="0.35">
      <c r="A300" s="158"/>
      <c r="B300" s="89"/>
      <c r="C300" s="89"/>
      <c r="D300" s="89" t="s">
        <v>79</v>
      </c>
      <c r="E300" s="89">
        <v>2</v>
      </c>
      <c r="F300" s="89">
        <v>263</v>
      </c>
      <c r="G300" s="89"/>
      <c r="H300" s="157"/>
      <c r="I300" s="109" t="s">
        <v>810</v>
      </c>
    </row>
    <row r="301" spans="1:9" s="115" customFormat="1" ht="17.25" x14ac:dyDescent="0.35">
      <c r="A301" s="158"/>
      <c r="B301" s="89"/>
      <c r="C301" s="89"/>
      <c r="D301" s="89" t="s">
        <v>79</v>
      </c>
      <c r="E301" s="89">
        <v>1</v>
      </c>
      <c r="F301" s="89">
        <v>200</v>
      </c>
      <c r="G301" s="89"/>
      <c r="H301" s="157"/>
      <c r="I301" s="109" t="s">
        <v>811</v>
      </c>
    </row>
    <row r="302" spans="1:9" s="115" customFormat="1" ht="17.25" x14ac:dyDescent="0.35">
      <c r="A302" s="158"/>
      <c r="B302" s="89"/>
      <c r="C302" s="89"/>
      <c r="D302" s="89" t="s">
        <v>79</v>
      </c>
      <c r="E302" s="89">
        <v>1</v>
      </c>
      <c r="F302" s="89">
        <v>64</v>
      </c>
      <c r="G302" s="89"/>
      <c r="H302" s="157"/>
      <c r="I302" s="109" t="s">
        <v>812</v>
      </c>
    </row>
    <row r="303" spans="1:9" s="115" customFormat="1" ht="17.25" x14ac:dyDescent="0.35">
      <c r="A303" s="158"/>
      <c r="B303" s="89"/>
      <c r="C303" s="89"/>
      <c r="D303" s="89" t="s">
        <v>79</v>
      </c>
      <c r="E303" s="89">
        <v>2</v>
      </c>
      <c r="F303" s="89">
        <v>8</v>
      </c>
      <c r="G303" s="89"/>
      <c r="H303" s="157"/>
      <c r="I303" s="109" t="s">
        <v>813</v>
      </c>
    </row>
    <row r="304" spans="1:9" s="115" customFormat="1" ht="17.25" x14ac:dyDescent="0.35">
      <c r="A304" s="158"/>
      <c r="B304" s="89"/>
      <c r="C304" s="89"/>
      <c r="D304" s="89" t="s">
        <v>79</v>
      </c>
      <c r="E304" s="89">
        <v>1</v>
      </c>
      <c r="F304" s="89">
        <v>17</v>
      </c>
      <c r="G304" s="89"/>
      <c r="H304" s="157"/>
      <c r="I304" s="109" t="s">
        <v>814</v>
      </c>
    </row>
    <row r="305" spans="1:9" s="115" customFormat="1" ht="17.25" x14ac:dyDescent="0.35">
      <c r="A305" s="158"/>
      <c r="B305" s="89"/>
      <c r="C305" s="89"/>
      <c r="D305" s="89" t="s">
        <v>79</v>
      </c>
      <c r="E305" s="89">
        <v>2</v>
      </c>
      <c r="F305" s="89">
        <v>260</v>
      </c>
      <c r="G305" s="89"/>
      <c r="H305" s="157"/>
      <c r="I305" s="109" t="s">
        <v>815</v>
      </c>
    </row>
    <row r="306" spans="1:9" s="115" customFormat="1" ht="17.25" x14ac:dyDescent="0.35">
      <c r="A306" s="158"/>
      <c r="B306" s="89"/>
      <c r="C306" s="89"/>
      <c r="D306" s="89" t="s">
        <v>79</v>
      </c>
      <c r="E306" s="89">
        <v>1</v>
      </c>
      <c r="F306" s="89">
        <v>200</v>
      </c>
      <c r="G306" s="89"/>
      <c r="H306" s="157"/>
      <c r="I306" s="109" t="s">
        <v>816</v>
      </c>
    </row>
    <row r="307" spans="1:9" s="115" customFormat="1" ht="17.25" x14ac:dyDescent="0.35">
      <c r="A307" s="158"/>
      <c r="B307" s="89"/>
      <c r="C307" s="89"/>
      <c r="D307" s="89" t="s">
        <v>79</v>
      </c>
      <c r="E307" s="89">
        <v>1</v>
      </c>
      <c r="F307" s="89">
        <v>64</v>
      </c>
      <c r="G307" s="89"/>
      <c r="H307" s="157"/>
      <c r="I307" s="109" t="s">
        <v>817</v>
      </c>
    </row>
    <row r="308" spans="1:9" s="115" customFormat="1" ht="17.25" x14ac:dyDescent="0.35">
      <c r="A308" s="158"/>
      <c r="B308" s="89"/>
      <c r="C308" s="89"/>
      <c r="D308" s="89" t="s">
        <v>79</v>
      </c>
      <c r="E308" s="89">
        <v>2</v>
      </c>
      <c r="F308" s="89">
        <v>0</v>
      </c>
      <c r="G308" s="89"/>
      <c r="H308" s="157"/>
      <c r="I308" s="109" t="s">
        <v>818</v>
      </c>
    </row>
    <row r="309" spans="1:9" s="115" customFormat="1" ht="17.25" x14ac:dyDescent="0.35">
      <c r="A309" s="158"/>
      <c r="B309" s="89"/>
      <c r="C309" s="89"/>
      <c r="D309" s="89" t="s">
        <v>79</v>
      </c>
      <c r="E309" s="89">
        <v>1</v>
      </c>
      <c r="F309" s="89">
        <v>0</v>
      </c>
      <c r="G309" s="89"/>
      <c r="H309" s="157"/>
      <c r="I309" s="109" t="s">
        <v>819</v>
      </c>
    </row>
    <row r="310" spans="1:9" s="115" customFormat="1" ht="17.25" x14ac:dyDescent="0.35">
      <c r="A310" s="158"/>
      <c r="B310" s="89"/>
      <c r="C310" s="89"/>
      <c r="D310" s="89" t="s">
        <v>79</v>
      </c>
      <c r="E310" s="89">
        <v>2</v>
      </c>
      <c r="F310" s="89">
        <v>0</v>
      </c>
      <c r="G310" s="89"/>
      <c r="H310" s="157"/>
      <c r="I310" s="109" t="s">
        <v>820</v>
      </c>
    </row>
    <row r="311" spans="1:9" s="115" customFormat="1" ht="17.25" x14ac:dyDescent="0.35">
      <c r="A311" s="158"/>
      <c r="B311" s="89"/>
      <c r="C311" s="89"/>
      <c r="D311" s="89" t="s">
        <v>79</v>
      </c>
      <c r="E311" s="89">
        <v>1</v>
      </c>
      <c r="F311" s="89">
        <v>0</v>
      </c>
      <c r="G311" s="89"/>
      <c r="H311" s="157"/>
      <c r="I311" s="109" t="s">
        <v>821</v>
      </c>
    </row>
    <row r="312" spans="1:9" s="115" customFormat="1" ht="17.25" x14ac:dyDescent="0.35">
      <c r="A312" s="158"/>
      <c r="B312" s="89"/>
      <c r="C312" s="89"/>
      <c r="D312" s="89" t="s">
        <v>79</v>
      </c>
      <c r="E312" s="89">
        <v>1</v>
      </c>
      <c r="F312" s="89">
        <v>0</v>
      </c>
      <c r="G312" s="89"/>
      <c r="H312" s="157"/>
      <c r="I312" s="109" t="s">
        <v>822</v>
      </c>
    </row>
    <row r="313" spans="1:9" s="115" customFormat="1" ht="17.25" x14ac:dyDescent="0.35">
      <c r="A313" s="158"/>
      <c r="B313" s="89"/>
      <c r="C313" s="89"/>
      <c r="D313" s="89" t="s">
        <v>79</v>
      </c>
      <c r="E313" s="89">
        <v>2</v>
      </c>
      <c r="F313" s="89">
        <v>0</v>
      </c>
      <c r="G313" s="89"/>
      <c r="H313" s="157"/>
      <c r="I313" s="109" t="s">
        <v>823</v>
      </c>
    </row>
    <row r="314" spans="1:9" s="115" customFormat="1" ht="17.25" x14ac:dyDescent="0.35">
      <c r="A314" s="158"/>
      <c r="B314" s="89"/>
      <c r="C314" s="89"/>
      <c r="D314" s="89" t="s">
        <v>79</v>
      </c>
      <c r="E314" s="89">
        <v>1</v>
      </c>
      <c r="F314" s="89">
        <v>0</v>
      </c>
      <c r="G314" s="89"/>
      <c r="H314" s="157"/>
      <c r="I314" s="109" t="s">
        <v>824</v>
      </c>
    </row>
    <row r="315" spans="1:9" s="115" customFormat="1" ht="17.25" x14ac:dyDescent="0.35">
      <c r="A315" s="158"/>
      <c r="B315" s="89"/>
      <c r="C315" s="89"/>
      <c r="D315" s="89" t="s">
        <v>79</v>
      </c>
      <c r="E315" s="89">
        <v>2</v>
      </c>
      <c r="F315" s="89">
        <v>0</v>
      </c>
      <c r="G315" s="89"/>
      <c r="H315" s="157"/>
      <c r="I315" s="109" t="s">
        <v>825</v>
      </c>
    </row>
    <row r="316" spans="1:9" s="115" customFormat="1" ht="17.25" x14ac:dyDescent="0.35">
      <c r="A316" s="158"/>
      <c r="B316" s="89"/>
      <c r="C316" s="89"/>
      <c r="D316" s="89" t="s">
        <v>79</v>
      </c>
      <c r="E316" s="89">
        <v>1</v>
      </c>
      <c r="F316" s="89">
        <v>0</v>
      </c>
      <c r="G316" s="89"/>
      <c r="H316" s="157"/>
      <c r="I316" s="109" t="s">
        <v>826</v>
      </c>
    </row>
    <row r="317" spans="1:9" s="115" customFormat="1" ht="17.25" x14ac:dyDescent="0.35">
      <c r="A317" s="158"/>
      <c r="B317" s="89"/>
      <c r="C317" s="89"/>
      <c r="D317" s="89" t="s">
        <v>79</v>
      </c>
      <c r="E317" s="89">
        <v>1</v>
      </c>
      <c r="F317" s="89">
        <v>0</v>
      </c>
      <c r="G317" s="89"/>
      <c r="H317" s="157"/>
      <c r="I317" s="109" t="s">
        <v>827</v>
      </c>
    </row>
    <row r="318" spans="1:9" s="115" customFormat="1" ht="17.25" x14ac:dyDescent="0.35">
      <c r="A318" s="158"/>
      <c r="B318" s="89"/>
      <c r="C318" s="89"/>
      <c r="D318" s="89" t="s">
        <v>79</v>
      </c>
      <c r="E318" s="89">
        <v>2</v>
      </c>
      <c r="F318" s="89">
        <v>0</v>
      </c>
      <c r="G318" s="89"/>
      <c r="H318" s="157"/>
      <c r="I318" s="109" t="s">
        <v>828</v>
      </c>
    </row>
    <row r="319" spans="1:9" s="115" customFormat="1" ht="17.25" x14ac:dyDescent="0.35">
      <c r="A319" s="158"/>
      <c r="B319" s="89"/>
      <c r="C319" s="89"/>
      <c r="D319" s="89" t="s">
        <v>79</v>
      </c>
      <c r="E319" s="89">
        <v>1</v>
      </c>
      <c r="F319" s="89">
        <v>0</v>
      </c>
      <c r="G319" s="89"/>
      <c r="H319" s="157"/>
      <c r="I319" s="109" t="s">
        <v>829</v>
      </c>
    </row>
    <row r="320" spans="1:9" s="115" customFormat="1" ht="17.25" x14ac:dyDescent="0.35">
      <c r="A320" s="158"/>
      <c r="B320" s="89"/>
      <c r="C320" s="89"/>
      <c r="D320" s="89" t="s">
        <v>79</v>
      </c>
      <c r="E320" s="89">
        <v>2</v>
      </c>
      <c r="F320" s="89">
        <v>0</v>
      </c>
      <c r="G320" s="89"/>
      <c r="H320" s="157"/>
      <c r="I320" s="109" t="s">
        <v>830</v>
      </c>
    </row>
    <row r="321" spans="1:9" s="115" customFormat="1" ht="17.25" x14ac:dyDescent="0.35">
      <c r="A321" s="158"/>
      <c r="B321" s="89"/>
      <c r="C321" s="89"/>
      <c r="D321" s="89" t="s">
        <v>79</v>
      </c>
      <c r="E321" s="89">
        <v>1</v>
      </c>
      <c r="F321" s="89">
        <v>0</v>
      </c>
      <c r="G321" s="89"/>
      <c r="H321" s="157"/>
      <c r="I321" s="109" t="s">
        <v>831</v>
      </c>
    </row>
    <row r="322" spans="1:9" s="115" customFormat="1" ht="17.25" x14ac:dyDescent="0.35">
      <c r="A322" s="158"/>
      <c r="B322" s="89"/>
      <c r="C322" s="89"/>
      <c r="D322" s="89" t="s">
        <v>79</v>
      </c>
      <c r="E322" s="89">
        <v>1</v>
      </c>
      <c r="F322" s="89">
        <v>0</v>
      </c>
      <c r="G322" s="89"/>
      <c r="H322" s="157"/>
      <c r="I322" s="109" t="s">
        <v>832</v>
      </c>
    </row>
    <row r="323" spans="1:9" s="115" customFormat="1" ht="17.25" x14ac:dyDescent="0.35">
      <c r="A323" s="158"/>
      <c r="B323" s="89"/>
      <c r="C323" s="89"/>
      <c r="D323" s="89" t="s">
        <v>79</v>
      </c>
      <c r="E323" s="89">
        <v>2</v>
      </c>
      <c r="F323" s="89">
        <v>0</v>
      </c>
      <c r="G323" s="89"/>
      <c r="H323" s="157"/>
      <c r="I323" s="109" t="s">
        <v>833</v>
      </c>
    </row>
    <row r="324" spans="1:9" s="115" customFormat="1" ht="17.25" x14ac:dyDescent="0.35">
      <c r="A324" s="158"/>
      <c r="B324" s="89"/>
      <c r="C324" s="89"/>
      <c r="D324" s="89" t="s">
        <v>79</v>
      </c>
      <c r="E324" s="89">
        <v>1</v>
      </c>
      <c r="F324" s="89">
        <v>0</v>
      </c>
      <c r="G324" s="89"/>
      <c r="H324" s="157"/>
      <c r="I324" s="109" t="s">
        <v>834</v>
      </c>
    </row>
    <row r="325" spans="1:9" s="115" customFormat="1" ht="17.25" x14ac:dyDescent="0.35">
      <c r="A325" s="158"/>
      <c r="B325" s="89"/>
      <c r="C325" s="89"/>
      <c r="D325" s="89" t="s">
        <v>79</v>
      </c>
      <c r="E325" s="89">
        <v>2</v>
      </c>
      <c r="F325" s="89">
        <v>0</v>
      </c>
      <c r="G325" s="89"/>
      <c r="H325" s="157"/>
      <c r="I325" s="109" t="s">
        <v>835</v>
      </c>
    </row>
    <row r="326" spans="1:9" s="115" customFormat="1" ht="17.25" x14ac:dyDescent="0.35">
      <c r="A326" s="158"/>
      <c r="B326" s="89"/>
      <c r="C326" s="89"/>
      <c r="D326" s="89" t="s">
        <v>79</v>
      </c>
      <c r="E326" s="89">
        <v>1</v>
      </c>
      <c r="F326" s="89">
        <v>0</v>
      </c>
      <c r="G326" s="89"/>
      <c r="H326" s="157"/>
      <c r="I326" s="109" t="s">
        <v>836</v>
      </c>
    </row>
    <row r="327" spans="1:9" s="115" customFormat="1" ht="17.25" x14ac:dyDescent="0.35">
      <c r="A327" s="158"/>
      <c r="B327" s="89"/>
      <c r="C327" s="89"/>
      <c r="D327" s="89" t="s">
        <v>79</v>
      </c>
      <c r="E327" s="89">
        <v>1</v>
      </c>
      <c r="F327" s="89">
        <v>0</v>
      </c>
      <c r="G327" s="89"/>
      <c r="H327" s="157"/>
      <c r="I327" s="109" t="s">
        <v>837</v>
      </c>
    </row>
    <row r="328" spans="1:9" s="115" customFormat="1" ht="17.25" x14ac:dyDescent="0.35">
      <c r="A328" s="158"/>
      <c r="B328" s="89"/>
      <c r="C328" s="89"/>
      <c r="D328" s="89" t="s">
        <v>79</v>
      </c>
      <c r="E328" s="89">
        <v>2</v>
      </c>
      <c r="F328" s="89">
        <v>0</v>
      </c>
      <c r="G328" s="89"/>
      <c r="H328" s="157"/>
      <c r="I328" s="109" t="s">
        <v>838</v>
      </c>
    </row>
    <row r="329" spans="1:9" s="115" customFormat="1" ht="17.25" x14ac:dyDescent="0.35">
      <c r="A329" s="158"/>
      <c r="B329" s="89"/>
      <c r="C329" s="89"/>
      <c r="D329" s="89" t="s">
        <v>79</v>
      </c>
      <c r="E329" s="89">
        <v>1</v>
      </c>
      <c r="F329" s="89">
        <v>0</v>
      </c>
      <c r="G329" s="89"/>
      <c r="H329" s="157"/>
      <c r="I329" s="109" t="s">
        <v>839</v>
      </c>
    </row>
    <row r="330" spans="1:9" s="115" customFormat="1" ht="17.25" x14ac:dyDescent="0.35">
      <c r="A330" s="158"/>
      <c r="B330" s="89"/>
      <c r="C330" s="89"/>
      <c r="D330" s="89" t="s">
        <v>79</v>
      </c>
      <c r="E330" s="89">
        <v>2</v>
      </c>
      <c r="F330" s="89">
        <v>0</v>
      </c>
      <c r="G330" s="89"/>
      <c r="H330" s="157"/>
      <c r="I330" s="109" t="s">
        <v>840</v>
      </c>
    </row>
    <row r="331" spans="1:9" s="115" customFormat="1" ht="17.25" x14ac:dyDescent="0.35">
      <c r="A331" s="158"/>
      <c r="B331" s="89"/>
      <c r="C331" s="89"/>
      <c r="D331" s="89" t="s">
        <v>79</v>
      </c>
      <c r="E331" s="89">
        <v>1</v>
      </c>
      <c r="F331" s="89">
        <v>0</v>
      </c>
      <c r="G331" s="89"/>
      <c r="H331" s="157"/>
      <c r="I331" s="109" t="s">
        <v>841</v>
      </c>
    </row>
    <row r="332" spans="1:9" s="115" customFormat="1" ht="17.25" x14ac:dyDescent="0.35">
      <c r="A332" s="158"/>
      <c r="B332" s="89"/>
      <c r="C332" s="89"/>
      <c r="D332" s="89" t="s">
        <v>79</v>
      </c>
      <c r="E332" s="89">
        <v>1</v>
      </c>
      <c r="F332" s="89">
        <v>0</v>
      </c>
      <c r="G332" s="89"/>
      <c r="H332" s="157"/>
      <c r="I332" s="109" t="s">
        <v>842</v>
      </c>
    </row>
    <row r="333" spans="1:9" s="115" customFormat="1" ht="17.25" x14ac:dyDescent="0.35">
      <c r="A333" s="158"/>
      <c r="B333" s="89"/>
      <c r="C333" s="89"/>
      <c r="D333" s="89" t="s">
        <v>79</v>
      </c>
      <c r="E333" s="89">
        <v>2</v>
      </c>
      <c r="F333" s="89">
        <v>0</v>
      </c>
      <c r="G333" s="89"/>
      <c r="H333" s="157"/>
      <c r="I333" s="109" t="s">
        <v>843</v>
      </c>
    </row>
    <row r="334" spans="1:9" s="115" customFormat="1" ht="17.25" x14ac:dyDescent="0.35">
      <c r="A334" s="158"/>
      <c r="B334" s="89"/>
      <c r="C334" s="89"/>
      <c r="D334" s="89" t="s">
        <v>79</v>
      </c>
      <c r="E334" s="89">
        <v>1</v>
      </c>
      <c r="F334" s="89">
        <v>0</v>
      </c>
      <c r="G334" s="89"/>
      <c r="H334" s="157"/>
      <c r="I334" s="109" t="s">
        <v>844</v>
      </c>
    </row>
    <row r="335" spans="1:9" s="115" customFormat="1" ht="17.25" x14ac:dyDescent="0.35">
      <c r="A335" s="158"/>
      <c r="B335" s="89"/>
      <c r="C335" s="89"/>
      <c r="D335" s="89" t="s">
        <v>79</v>
      </c>
      <c r="E335" s="89">
        <v>2</v>
      </c>
      <c r="F335" s="89">
        <v>0</v>
      </c>
      <c r="G335" s="89"/>
      <c r="H335" s="157"/>
      <c r="I335" s="109" t="s">
        <v>845</v>
      </c>
    </row>
    <row r="336" spans="1:9" s="115" customFormat="1" ht="17.25" x14ac:dyDescent="0.35">
      <c r="A336" s="158"/>
      <c r="B336" s="89"/>
      <c r="C336" s="89"/>
      <c r="D336" s="89" t="s">
        <v>79</v>
      </c>
      <c r="E336" s="89">
        <v>1</v>
      </c>
      <c r="F336" s="89">
        <v>0</v>
      </c>
      <c r="G336" s="89"/>
      <c r="H336" s="157"/>
      <c r="I336" s="109" t="s">
        <v>846</v>
      </c>
    </row>
    <row r="337" spans="1:9" s="115" customFormat="1" ht="17.25" x14ac:dyDescent="0.35">
      <c r="A337" s="158"/>
      <c r="B337" s="89"/>
      <c r="C337" s="89"/>
      <c r="D337" s="89" t="s">
        <v>79</v>
      </c>
      <c r="E337" s="89">
        <v>1</v>
      </c>
      <c r="F337" s="89">
        <v>0</v>
      </c>
      <c r="G337" s="89"/>
      <c r="H337" s="157"/>
      <c r="I337" s="109" t="s">
        <v>847</v>
      </c>
    </row>
    <row r="338" spans="1:9" s="115" customFormat="1" ht="17.25" x14ac:dyDescent="0.35">
      <c r="A338" s="158"/>
      <c r="B338" s="89"/>
      <c r="C338" s="89"/>
      <c r="D338" s="89" t="s">
        <v>79</v>
      </c>
      <c r="E338" s="89">
        <v>2</v>
      </c>
      <c r="F338" s="89">
        <v>0</v>
      </c>
      <c r="G338" s="89"/>
      <c r="H338" s="157"/>
      <c r="I338" s="109" t="s">
        <v>848</v>
      </c>
    </row>
    <row r="339" spans="1:9" s="115" customFormat="1" ht="17.25" x14ac:dyDescent="0.35">
      <c r="A339" s="158"/>
      <c r="B339" s="89"/>
      <c r="C339" s="89"/>
      <c r="D339" s="89" t="s">
        <v>79</v>
      </c>
      <c r="E339" s="89">
        <v>1</v>
      </c>
      <c r="F339" s="89">
        <v>0</v>
      </c>
      <c r="G339" s="89"/>
      <c r="H339" s="157"/>
      <c r="I339" s="109" t="s">
        <v>849</v>
      </c>
    </row>
    <row r="340" spans="1:9" s="115" customFormat="1" ht="17.25" x14ac:dyDescent="0.35">
      <c r="A340" s="158"/>
      <c r="B340" s="89"/>
      <c r="C340" s="89"/>
      <c r="D340" s="89" t="s">
        <v>79</v>
      </c>
      <c r="E340" s="89">
        <v>2</v>
      </c>
      <c r="F340" s="89">
        <v>0</v>
      </c>
      <c r="G340" s="89"/>
      <c r="H340" s="157"/>
      <c r="I340" s="109" t="s">
        <v>850</v>
      </c>
    </row>
    <row r="341" spans="1:9" s="115" customFormat="1" ht="17.25" x14ac:dyDescent="0.35">
      <c r="A341" s="158"/>
      <c r="B341" s="89"/>
      <c r="C341" s="89"/>
      <c r="D341" s="89" t="s">
        <v>79</v>
      </c>
      <c r="E341" s="89">
        <v>1</v>
      </c>
      <c r="F341" s="89">
        <v>0</v>
      </c>
      <c r="G341" s="89"/>
      <c r="H341" s="157"/>
      <c r="I341" s="109" t="s">
        <v>851</v>
      </c>
    </row>
    <row r="342" spans="1:9" s="115" customFormat="1" ht="17.25" x14ac:dyDescent="0.35">
      <c r="A342" s="158"/>
      <c r="B342" s="89"/>
      <c r="C342" s="89"/>
      <c r="D342" s="89" t="s">
        <v>79</v>
      </c>
      <c r="E342" s="89">
        <v>1</v>
      </c>
      <c r="F342" s="89">
        <v>0</v>
      </c>
      <c r="G342" s="89"/>
      <c r="H342" s="157"/>
      <c r="I342" s="109" t="s">
        <v>852</v>
      </c>
    </row>
    <row r="343" spans="1:9" s="115" customFormat="1" ht="17.25" x14ac:dyDescent="0.35">
      <c r="A343" s="158"/>
      <c r="B343" s="89"/>
      <c r="C343" s="89"/>
      <c r="D343" s="89" t="s">
        <v>79</v>
      </c>
      <c r="E343" s="89">
        <v>2</v>
      </c>
      <c r="F343" s="89">
        <v>16</v>
      </c>
      <c r="G343" s="89"/>
      <c r="H343" s="157"/>
      <c r="I343" s="109" t="s">
        <v>853</v>
      </c>
    </row>
    <row r="344" spans="1:9" s="115" customFormat="1" ht="17.25" x14ac:dyDescent="0.35">
      <c r="A344" s="158"/>
      <c r="B344" s="89"/>
      <c r="C344" s="89"/>
      <c r="D344" s="89" t="s">
        <v>79</v>
      </c>
      <c r="E344" s="89">
        <v>1</v>
      </c>
      <c r="F344" s="89">
        <v>48</v>
      </c>
      <c r="G344" s="89"/>
      <c r="H344" s="157"/>
      <c r="I344" s="109" t="s">
        <v>854</v>
      </c>
    </row>
    <row r="345" spans="1:9" s="115" customFormat="1" ht="17.25" x14ac:dyDescent="0.35">
      <c r="A345" s="158"/>
      <c r="B345" s="89"/>
      <c r="C345" s="89"/>
      <c r="D345" s="89" t="s">
        <v>79</v>
      </c>
      <c r="E345" s="89">
        <v>2</v>
      </c>
      <c r="F345" s="89">
        <v>7</v>
      </c>
      <c r="G345" s="89"/>
      <c r="H345" s="157"/>
      <c r="I345" s="109" t="s">
        <v>855</v>
      </c>
    </row>
    <row r="346" spans="1:9" s="115" customFormat="1" ht="17.25" x14ac:dyDescent="0.35">
      <c r="A346" s="158"/>
      <c r="B346" s="89"/>
      <c r="C346" s="89"/>
      <c r="D346" s="89" t="s">
        <v>79</v>
      </c>
      <c r="E346" s="89">
        <v>1</v>
      </c>
      <c r="F346" s="89">
        <v>200</v>
      </c>
      <c r="G346" s="89"/>
      <c r="H346" s="157"/>
      <c r="I346" s="109" t="s">
        <v>856</v>
      </c>
    </row>
    <row r="347" spans="1:9" s="115" customFormat="1" ht="17.25" x14ac:dyDescent="0.35">
      <c r="A347" s="158"/>
      <c r="B347" s="89"/>
      <c r="C347" s="89"/>
      <c r="D347" s="89" t="s">
        <v>79</v>
      </c>
      <c r="E347" s="89">
        <v>1</v>
      </c>
      <c r="F347" s="89">
        <v>80</v>
      </c>
      <c r="G347" s="89"/>
      <c r="H347" s="157"/>
      <c r="I347" s="109" t="s">
        <v>857</v>
      </c>
    </row>
    <row r="348" spans="1:9" s="115" customFormat="1" ht="17.25" x14ac:dyDescent="0.35">
      <c r="A348" s="158"/>
      <c r="B348" s="89"/>
      <c r="C348" s="89"/>
      <c r="D348" s="89" t="s">
        <v>79</v>
      </c>
      <c r="E348" s="89">
        <v>2</v>
      </c>
      <c r="F348" s="89">
        <v>20992</v>
      </c>
      <c r="G348" s="89"/>
      <c r="H348" s="157"/>
      <c r="I348" s="109" t="s">
        <v>858</v>
      </c>
    </row>
    <row r="349" spans="1:9" s="115" customFormat="1" ht="17.25" x14ac:dyDescent="0.35">
      <c r="A349" s="158"/>
      <c r="B349" s="89"/>
      <c r="C349" s="89"/>
      <c r="D349" s="89" t="s">
        <v>79</v>
      </c>
      <c r="E349" s="89">
        <v>2</v>
      </c>
      <c r="F349" s="89">
        <v>0</v>
      </c>
      <c r="G349" s="89"/>
      <c r="H349" s="157"/>
      <c r="I349" s="109" t="s">
        <v>859</v>
      </c>
    </row>
    <row r="350" spans="1:9" s="115" customFormat="1" ht="17.25" x14ac:dyDescent="0.35">
      <c r="A350" s="158"/>
      <c r="B350" s="89"/>
      <c r="C350" s="89"/>
      <c r="D350" s="89" t="s">
        <v>79</v>
      </c>
      <c r="E350" s="89">
        <v>2</v>
      </c>
      <c r="F350" s="89">
        <v>16896</v>
      </c>
      <c r="G350" s="89"/>
      <c r="H350" s="157"/>
      <c r="I350" s="109" t="s">
        <v>860</v>
      </c>
    </row>
    <row r="351" spans="1:9" s="115" customFormat="1" ht="17.25" x14ac:dyDescent="0.35">
      <c r="A351" s="158"/>
      <c r="B351" s="89"/>
      <c r="C351" s="89"/>
      <c r="D351" s="89" t="s">
        <v>79</v>
      </c>
      <c r="E351" s="89">
        <v>2</v>
      </c>
      <c r="F351" s="89">
        <v>0</v>
      </c>
      <c r="G351" s="89"/>
      <c r="H351" s="157"/>
      <c r="I351" s="109" t="s">
        <v>861</v>
      </c>
    </row>
    <row r="352" spans="1:9" s="115" customFormat="1" ht="17.25" x14ac:dyDescent="0.35">
      <c r="A352" s="158"/>
      <c r="B352" s="89"/>
      <c r="C352" s="89"/>
      <c r="D352" s="89" t="s">
        <v>79</v>
      </c>
      <c r="E352" s="89">
        <v>2</v>
      </c>
      <c r="F352" s="89">
        <v>0</v>
      </c>
      <c r="G352" s="89"/>
      <c r="H352" s="157"/>
      <c r="I352" s="109" t="s">
        <v>862</v>
      </c>
    </row>
    <row r="353" spans="1:9" s="115" customFormat="1" ht="17.25" x14ac:dyDescent="0.35">
      <c r="A353" s="158"/>
      <c r="B353" s="89"/>
      <c r="C353" s="89"/>
      <c r="D353" s="89" t="s">
        <v>79</v>
      </c>
      <c r="E353" s="89">
        <v>2</v>
      </c>
      <c r="F353" s="89">
        <v>0</v>
      </c>
      <c r="G353" s="89"/>
      <c r="H353" s="157"/>
      <c r="I353" s="109" t="s">
        <v>863</v>
      </c>
    </row>
    <row r="354" spans="1:9" s="115" customFormat="1" ht="17.25" x14ac:dyDescent="0.35">
      <c r="A354" s="158"/>
      <c r="B354" s="89"/>
      <c r="C354" s="89"/>
      <c r="D354" s="89" t="s">
        <v>79</v>
      </c>
      <c r="E354" s="89">
        <v>2</v>
      </c>
      <c r="F354" s="89">
        <v>0</v>
      </c>
      <c r="G354" s="89"/>
      <c r="H354" s="157"/>
      <c r="I354" s="109" t="s">
        <v>864</v>
      </c>
    </row>
    <row r="355" spans="1:9" s="115" customFormat="1" ht="17.25" x14ac:dyDescent="0.35">
      <c r="A355" s="158"/>
      <c r="B355" s="89"/>
      <c r="C355" s="89"/>
      <c r="D355" s="89" t="s">
        <v>79</v>
      </c>
      <c r="E355" s="89">
        <v>2</v>
      </c>
      <c r="F355" s="89">
        <v>0</v>
      </c>
      <c r="G355" s="89"/>
      <c r="H355" s="157"/>
      <c r="I355" s="109" t="s">
        <v>865</v>
      </c>
    </row>
    <row r="356" spans="1:9" s="115" customFormat="1" ht="17.25" x14ac:dyDescent="0.35">
      <c r="A356" s="158"/>
      <c r="B356" s="89"/>
      <c r="C356" s="89"/>
      <c r="D356" s="89" t="s">
        <v>79</v>
      </c>
      <c r="E356" s="89">
        <v>2</v>
      </c>
      <c r="F356" s="89">
        <v>0</v>
      </c>
      <c r="G356" s="89"/>
      <c r="H356" s="157"/>
      <c r="I356" s="109" t="s">
        <v>866</v>
      </c>
    </row>
    <row r="357" spans="1:9" s="115" customFormat="1" ht="17.25" x14ac:dyDescent="0.35">
      <c r="A357" s="158"/>
      <c r="B357" s="89"/>
      <c r="C357" s="89"/>
      <c r="D357" s="89" t="s">
        <v>79</v>
      </c>
      <c r="E357" s="89">
        <v>2</v>
      </c>
      <c r="F357" s="89">
        <v>0</v>
      </c>
      <c r="G357" s="89"/>
      <c r="H357" s="157"/>
      <c r="I357" s="109" t="s">
        <v>867</v>
      </c>
    </row>
    <row r="358" spans="1:9" s="115" customFormat="1" ht="17.25" x14ac:dyDescent="0.35">
      <c r="A358" s="158"/>
      <c r="B358" s="89"/>
      <c r="C358" s="89"/>
      <c r="D358" s="89" t="s">
        <v>79</v>
      </c>
      <c r="E358" s="89">
        <v>2</v>
      </c>
      <c r="F358" s="89">
        <v>0</v>
      </c>
      <c r="G358" s="89"/>
      <c r="H358" s="157"/>
      <c r="I358" s="109" t="s">
        <v>868</v>
      </c>
    </row>
    <row r="359" spans="1:9" s="115" customFormat="1" ht="17.25" x14ac:dyDescent="0.35">
      <c r="A359" s="158"/>
      <c r="B359" s="89"/>
      <c r="C359" s="89"/>
      <c r="D359" s="89" t="s">
        <v>79</v>
      </c>
      <c r="E359" s="89">
        <v>2</v>
      </c>
      <c r="F359" s="89">
        <v>0</v>
      </c>
      <c r="G359" s="89"/>
      <c r="H359" s="157"/>
      <c r="I359" s="109" t="s">
        <v>869</v>
      </c>
    </row>
    <row r="360" spans="1:9" s="115" customFormat="1" ht="17.25" x14ac:dyDescent="0.35">
      <c r="A360" s="158"/>
      <c r="B360" s="89"/>
      <c r="C360" s="89"/>
      <c r="D360" s="89" t="s">
        <v>79</v>
      </c>
      <c r="E360" s="89">
        <v>2</v>
      </c>
      <c r="F360" s="89">
        <v>0</v>
      </c>
      <c r="G360" s="89"/>
      <c r="H360" s="157"/>
      <c r="I360" s="109" t="s">
        <v>870</v>
      </c>
    </row>
    <row r="361" spans="1:9" s="115" customFormat="1" ht="17.25" x14ac:dyDescent="0.35">
      <c r="A361" s="158"/>
      <c r="B361" s="89"/>
      <c r="C361" s="89"/>
      <c r="D361" s="89" t="s">
        <v>79</v>
      </c>
      <c r="E361" s="89">
        <v>2</v>
      </c>
      <c r="F361" s="89">
        <v>0</v>
      </c>
      <c r="G361" s="89"/>
      <c r="H361" s="157"/>
      <c r="I361" s="109" t="s">
        <v>871</v>
      </c>
    </row>
    <row r="362" spans="1:9" s="115" customFormat="1" ht="17.25" x14ac:dyDescent="0.35">
      <c r="A362" s="158"/>
      <c r="B362" s="89"/>
      <c r="C362" s="89"/>
      <c r="D362" s="89" t="s">
        <v>79</v>
      </c>
      <c r="E362" s="89">
        <v>2</v>
      </c>
      <c r="F362" s="89">
        <v>0</v>
      </c>
      <c r="G362" s="89"/>
      <c r="H362" s="157"/>
      <c r="I362" s="109" t="s">
        <v>872</v>
      </c>
    </row>
    <row r="363" spans="1:9" s="115" customFormat="1" ht="17.25" x14ac:dyDescent="0.35">
      <c r="A363" s="158"/>
      <c r="B363" s="89"/>
      <c r="C363" s="89"/>
      <c r="D363" s="89" t="s">
        <v>79</v>
      </c>
      <c r="E363" s="89">
        <v>2</v>
      </c>
      <c r="F363" s="89">
        <v>0</v>
      </c>
      <c r="G363" s="89"/>
      <c r="H363" s="157"/>
      <c r="I363" s="109" t="s">
        <v>873</v>
      </c>
    </row>
    <row r="364" spans="1:9" s="115" customFormat="1" ht="17.25" x14ac:dyDescent="0.35">
      <c r="A364" s="158"/>
      <c r="B364" s="89"/>
      <c r="C364" s="89"/>
      <c r="D364" s="89" t="s">
        <v>79</v>
      </c>
      <c r="E364" s="89">
        <v>2</v>
      </c>
      <c r="F364" s="89">
        <v>0</v>
      </c>
      <c r="G364" s="89"/>
      <c r="H364" s="157"/>
      <c r="I364" s="109" t="s">
        <v>874</v>
      </c>
    </row>
    <row r="365" spans="1:9" s="115" customFormat="1" ht="17.25" x14ac:dyDescent="0.35">
      <c r="A365" s="158"/>
      <c r="B365" s="89"/>
      <c r="C365" s="89"/>
      <c r="D365" s="89" t="s">
        <v>79</v>
      </c>
      <c r="E365" s="89">
        <v>2</v>
      </c>
      <c r="F365" s="89">
        <v>0</v>
      </c>
      <c r="G365" s="89"/>
      <c r="H365" s="157"/>
      <c r="I365" s="109" t="s">
        <v>875</v>
      </c>
    </row>
    <row r="366" spans="1:9" s="115" customFormat="1" ht="17.25" x14ac:dyDescent="0.35">
      <c r="A366" s="158"/>
      <c r="B366" s="89"/>
      <c r="C366" s="89"/>
      <c r="D366" s="89" t="s">
        <v>79</v>
      </c>
      <c r="E366" s="89">
        <v>2</v>
      </c>
      <c r="F366" s="89">
        <v>0</v>
      </c>
      <c r="G366" s="89"/>
      <c r="H366" s="157"/>
      <c r="I366" s="109" t="s">
        <v>876</v>
      </c>
    </row>
    <row r="367" spans="1:9" s="115" customFormat="1" ht="17.25" x14ac:dyDescent="0.35">
      <c r="A367" s="158"/>
      <c r="B367" s="89"/>
      <c r="C367" s="89"/>
      <c r="D367" s="89" t="s">
        <v>79</v>
      </c>
      <c r="E367" s="89">
        <v>2</v>
      </c>
      <c r="F367" s="89">
        <v>0</v>
      </c>
      <c r="G367" s="89"/>
      <c r="H367" s="157"/>
      <c r="I367" s="109" t="s">
        <v>877</v>
      </c>
    </row>
    <row r="368" spans="1:9" s="115" customFormat="1" ht="17.25" x14ac:dyDescent="0.35">
      <c r="A368" s="158"/>
      <c r="B368" s="89"/>
      <c r="C368" s="89"/>
      <c r="D368" s="89" t="s">
        <v>79</v>
      </c>
      <c r="E368" s="89">
        <v>2</v>
      </c>
      <c r="F368" s="89">
        <v>6</v>
      </c>
      <c r="G368" s="89"/>
      <c r="H368" s="157"/>
      <c r="I368" s="109" t="s">
        <v>878</v>
      </c>
    </row>
    <row r="369" spans="1:15" s="115" customFormat="1" ht="17.25" x14ac:dyDescent="0.35">
      <c r="A369" s="158"/>
      <c r="B369" s="89"/>
      <c r="C369" s="89"/>
      <c r="D369" s="89" t="s">
        <v>79</v>
      </c>
      <c r="E369" s="89">
        <v>1</v>
      </c>
      <c r="F369" s="89">
        <v>0</v>
      </c>
      <c r="G369" s="89"/>
      <c r="H369" s="157"/>
      <c r="I369" s="109" t="s">
        <v>879</v>
      </c>
    </row>
    <row r="370" spans="1:15" s="115" customFormat="1" ht="17.25" x14ac:dyDescent="0.35">
      <c r="A370" s="158"/>
      <c r="B370" s="89"/>
      <c r="C370" s="89"/>
      <c r="D370" s="89" t="s">
        <v>79</v>
      </c>
      <c r="E370" s="89">
        <v>1</v>
      </c>
      <c r="F370" s="89">
        <v>0</v>
      </c>
      <c r="G370" s="89"/>
      <c r="H370" s="157"/>
      <c r="I370" s="109" t="s">
        <v>880</v>
      </c>
    </row>
    <row r="371" spans="1:15" s="115" customFormat="1" ht="17.25" x14ac:dyDescent="0.35">
      <c r="A371" s="158"/>
      <c r="B371" s="89"/>
      <c r="C371" s="89"/>
      <c r="D371" s="89" t="s">
        <v>79</v>
      </c>
      <c r="E371" s="89">
        <v>1</v>
      </c>
      <c r="F371" s="89">
        <v>2</v>
      </c>
      <c r="G371" s="89"/>
      <c r="H371" s="157"/>
      <c r="I371" s="109" t="s">
        <v>881</v>
      </c>
    </row>
    <row r="372" spans="1:15" s="115" customFormat="1" ht="17.25" x14ac:dyDescent="0.35">
      <c r="A372" s="158"/>
      <c r="B372" s="89"/>
      <c r="C372" s="89"/>
      <c r="D372" s="89" t="s">
        <v>79</v>
      </c>
      <c r="E372" s="89">
        <v>1</v>
      </c>
      <c r="F372" s="89">
        <v>1</v>
      </c>
      <c r="G372" s="89"/>
      <c r="H372" s="157"/>
      <c r="I372" s="109" t="s">
        <v>882</v>
      </c>
    </row>
    <row r="373" spans="1:15" s="115" customFormat="1" ht="17.25" x14ac:dyDescent="0.35">
      <c r="A373" s="158"/>
      <c r="B373" s="89"/>
      <c r="C373" s="89"/>
      <c r="D373" s="89" t="s">
        <v>79</v>
      </c>
      <c r="E373" s="89">
        <v>1</v>
      </c>
      <c r="F373" s="89">
        <v>0</v>
      </c>
      <c r="G373" s="89"/>
      <c r="H373" s="157"/>
      <c r="I373" s="109" t="s">
        <v>883</v>
      </c>
    </row>
    <row r="374" spans="1:15" s="115" customFormat="1" ht="17.25" x14ac:dyDescent="0.35">
      <c r="A374" s="158"/>
      <c r="B374" s="89"/>
      <c r="C374" s="89"/>
      <c r="D374" s="89" t="s">
        <v>79</v>
      </c>
      <c r="E374" s="89">
        <v>2</v>
      </c>
      <c r="F374" s="89">
        <v>33039</v>
      </c>
      <c r="G374" s="89"/>
      <c r="H374" s="157"/>
      <c r="I374" s="109" t="s">
        <v>884</v>
      </c>
    </row>
    <row r="375" spans="1:15" s="115" customFormat="1" ht="17.25" x14ac:dyDescent="0.35">
      <c r="A375" s="158"/>
      <c r="B375" s="89"/>
      <c r="C375" s="89"/>
      <c r="D375" s="89" t="s">
        <v>80</v>
      </c>
      <c r="E375" s="89">
        <v>50</v>
      </c>
      <c r="F375" s="89" t="s">
        <v>804</v>
      </c>
      <c r="G375" s="89"/>
      <c r="H375" s="157"/>
      <c r="I375" s="109" t="s">
        <v>885</v>
      </c>
    </row>
    <row r="376" spans="1:15" s="115" customFormat="1" ht="17.25" x14ac:dyDescent="0.35">
      <c r="A376" s="158"/>
      <c r="B376" s="89"/>
      <c r="C376" s="89"/>
      <c r="D376" s="89" t="s">
        <v>80</v>
      </c>
      <c r="E376" s="89">
        <v>50</v>
      </c>
      <c r="F376" s="89"/>
      <c r="G376" s="89"/>
      <c r="H376" s="157"/>
      <c r="I376" s="109" t="s">
        <v>886</v>
      </c>
    </row>
    <row r="377" spans="1:15" s="115" customFormat="1" ht="17.25" x14ac:dyDescent="0.35">
      <c r="A377" s="158"/>
      <c r="B377" s="89"/>
      <c r="C377" s="89"/>
      <c r="D377" s="89" t="s">
        <v>80</v>
      </c>
      <c r="E377" s="89">
        <v>50</v>
      </c>
      <c r="F377" s="89"/>
      <c r="G377" s="89"/>
      <c r="H377" s="157"/>
      <c r="I377" s="109" t="s">
        <v>887</v>
      </c>
    </row>
    <row r="378" spans="1:15" s="115" customFormat="1" ht="17.25" x14ac:dyDescent="0.35">
      <c r="A378" s="158"/>
      <c r="B378" s="89"/>
      <c r="C378" s="89"/>
      <c r="D378" s="89" t="s">
        <v>79</v>
      </c>
      <c r="E378" s="89">
        <v>754</v>
      </c>
      <c r="F378" s="89"/>
      <c r="G378" s="89"/>
      <c r="H378" s="157"/>
      <c r="I378" s="109" t="s">
        <v>437</v>
      </c>
    </row>
    <row r="379" spans="1:15" s="115" customFormat="1" ht="17.25" x14ac:dyDescent="0.35">
      <c r="A379" s="156" t="s">
        <v>144</v>
      </c>
      <c r="B379" s="89" t="s">
        <v>145</v>
      </c>
      <c r="C379" s="89" t="s">
        <v>116</v>
      </c>
      <c r="D379" s="89"/>
      <c r="E379" s="89"/>
      <c r="F379" s="89"/>
      <c r="G379" s="89" t="s">
        <v>88</v>
      </c>
      <c r="H379" s="157"/>
      <c r="I379" s="96">
        <v>67262</v>
      </c>
    </row>
    <row r="380" spans="1:15" s="115" customFormat="1" ht="17.25" x14ac:dyDescent="0.35">
      <c r="A380" s="156"/>
      <c r="B380" s="89"/>
      <c r="C380" s="89"/>
      <c r="D380" s="89" t="s">
        <v>79</v>
      </c>
      <c r="E380" s="89">
        <v>2</v>
      </c>
      <c r="F380" s="89">
        <v>5060</v>
      </c>
      <c r="G380" s="89"/>
      <c r="H380" s="157"/>
      <c r="I380" s="96" t="s">
        <v>146</v>
      </c>
    </row>
    <row r="381" spans="1:15" s="115" customFormat="1" ht="17.25" x14ac:dyDescent="0.35">
      <c r="A381" s="156"/>
      <c r="B381" s="89"/>
      <c r="C381" s="89"/>
      <c r="D381" s="89" t="s">
        <v>79</v>
      </c>
      <c r="E381" s="89">
        <v>2</v>
      </c>
      <c r="F381" s="89">
        <v>0</v>
      </c>
      <c r="G381" s="89"/>
      <c r="H381" s="157"/>
      <c r="I381" s="96" t="s">
        <v>147</v>
      </c>
    </row>
    <row r="382" spans="1:15" s="115" customFormat="1" ht="19.5" customHeight="1" x14ac:dyDescent="0.35">
      <c r="A382" s="156"/>
      <c r="B382" s="89"/>
      <c r="C382" s="89"/>
      <c r="D382" s="89" t="s">
        <v>79</v>
      </c>
      <c r="E382" s="89">
        <v>2</v>
      </c>
      <c r="F382" s="89">
        <v>0</v>
      </c>
      <c r="G382" s="89"/>
      <c r="H382" s="157"/>
      <c r="I382" s="96" t="s">
        <v>148</v>
      </c>
    </row>
    <row r="383" spans="1:15" s="115" customFormat="1" ht="17.25" x14ac:dyDescent="0.35">
      <c r="A383" s="156"/>
      <c r="B383" s="89"/>
      <c r="C383" s="89"/>
      <c r="D383" s="89" t="s">
        <v>79</v>
      </c>
      <c r="E383" s="89">
        <v>2</v>
      </c>
      <c r="F383" s="89">
        <v>3000</v>
      </c>
      <c r="G383" s="89"/>
      <c r="H383" s="157"/>
      <c r="I383" s="96" t="s">
        <v>149</v>
      </c>
    </row>
    <row r="384" spans="1:15" s="115" customFormat="1" ht="17.25" x14ac:dyDescent="0.35">
      <c r="A384" s="156"/>
      <c r="B384" s="89"/>
      <c r="C384" s="89"/>
      <c r="D384" s="89" t="s">
        <v>79</v>
      </c>
      <c r="E384" s="89">
        <v>2</v>
      </c>
      <c r="F384" s="89">
        <v>16000</v>
      </c>
      <c r="G384" s="89"/>
      <c r="H384" s="157"/>
      <c r="I384" s="96" t="s">
        <v>150</v>
      </c>
      <c r="J384" s="112"/>
      <c r="K384" s="112"/>
      <c r="L384" s="112"/>
      <c r="M384" s="112"/>
      <c r="N384" s="112"/>
      <c r="O384" s="146"/>
    </row>
    <row r="385" spans="1:9" s="115" customFormat="1" ht="17.25" x14ac:dyDescent="0.35">
      <c r="A385" s="156"/>
      <c r="B385" s="89"/>
      <c r="C385" s="89"/>
      <c r="D385" s="89" t="s">
        <v>79</v>
      </c>
      <c r="E385" s="89">
        <v>2</v>
      </c>
      <c r="F385" s="89">
        <v>17000</v>
      </c>
      <c r="G385" s="89"/>
      <c r="H385" s="157"/>
      <c r="I385" s="96" t="s">
        <v>151</v>
      </c>
    </row>
    <row r="386" spans="1:9" s="115" customFormat="1" ht="17.25" x14ac:dyDescent="0.35">
      <c r="A386" s="156"/>
      <c r="B386" s="89"/>
      <c r="C386" s="89"/>
      <c r="D386" s="89" t="s">
        <v>79</v>
      </c>
      <c r="E386" s="89">
        <v>2</v>
      </c>
      <c r="F386" s="89">
        <v>30000</v>
      </c>
      <c r="G386" s="89"/>
      <c r="H386" s="157"/>
      <c r="I386" s="96" t="s">
        <v>152</v>
      </c>
    </row>
    <row r="387" spans="1:9" s="115" customFormat="1" ht="17.25" x14ac:dyDescent="0.35">
      <c r="A387" s="156"/>
      <c r="B387" s="89"/>
      <c r="C387" s="89"/>
      <c r="D387" s="89" t="s">
        <v>79</v>
      </c>
      <c r="E387" s="89">
        <v>2</v>
      </c>
      <c r="F387" s="89">
        <v>1500</v>
      </c>
      <c r="G387" s="89"/>
      <c r="H387" s="157"/>
      <c r="I387" s="96" t="s">
        <v>153</v>
      </c>
    </row>
    <row r="388" spans="1:9" s="115" customFormat="1" ht="17.25" x14ac:dyDescent="0.35">
      <c r="A388" s="156"/>
      <c r="B388" s="89"/>
      <c r="C388" s="89"/>
      <c r="D388" s="89" t="s">
        <v>79</v>
      </c>
      <c r="E388" s="89">
        <v>1</v>
      </c>
      <c r="F388" s="89">
        <v>1</v>
      </c>
      <c r="G388" s="89"/>
      <c r="H388" s="157"/>
      <c r="I388" s="96" t="s">
        <v>154</v>
      </c>
    </row>
    <row r="389" spans="1:9" s="115" customFormat="1" ht="17.25" x14ac:dyDescent="0.35">
      <c r="A389" s="156"/>
      <c r="B389" s="89"/>
      <c r="C389" s="89"/>
      <c r="D389" s="89" t="s">
        <v>79</v>
      </c>
      <c r="E389" s="89">
        <v>1</v>
      </c>
      <c r="F389" s="89">
        <v>0</v>
      </c>
      <c r="G389" s="89"/>
      <c r="H389" s="157"/>
      <c r="I389" s="96" t="s">
        <v>155</v>
      </c>
    </row>
    <row r="390" spans="1:9" s="115" customFormat="1" ht="17.25" x14ac:dyDescent="0.35">
      <c r="A390" s="156"/>
      <c r="B390" s="89"/>
      <c r="C390" s="89"/>
      <c r="D390" s="89" t="s">
        <v>79</v>
      </c>
      <c r="E390" s="89">
        <v>1</v>
      </c>
      <c r="F390" s="89">
        <v>0</v>
      </c>
      <c r="G390" s="89"/>
      <c r="H390" s="157"/>
      <c r="I390" s="96" t="s">
        <v>156</v>
      </c>
    </row>
    <row r="391" spans="1:9" s="115" customFormat="1" ht="17.25" x14ac:dyDescent="0.35">
      <c r="A391" s="156"/>
      <c r="B391" s="89"/>
      <c r="C391" s="89"/>
      <c r="D391" s="89" t="s">
        <v>79</v>
      </c>
      <c r="E391" s="89">
        <v>1</v>
      </c>
      <c r="F391" s="89">
        <v>0</v>
      </c>
      <c r="G391" s="89"/>
      <c r="H391" s="157"/>
      <c r="I391" s="96" t="s">
        <v>157</v>
      </c>
    </row>
    <row r="392" spans="1:9" s="115" customFormat="1" ht="17.25" x14ac:dyDescent="0.35">
      <c r="A392" s="156"/>
      <c r="B392" s="89"/>
      <c r="C392" s="89"/>
      <c r="D392" s="89" t="s">
        <v>79</v>
      </c>
      <c r="E392" s="89">
        <v>1</v>
      </c>
      <c r="F392" s="89">
        <v>0</v>
      </c>
      <c r="G392" s="89"/>
      <c r="H392" s="157"/>
      <c r="I392" s="96" t="s">
        <v>158</v>
      </c>
    </row>
    <row r="393" spans="1:9" s="115" customFormat="1" ht="17.25" x14ac:dyDescent="0.35">
      <c r="A393" s="156"/>
      <c r="B393" s="89"/>
      <c r="C393" s="89"/>
      <c r="D393" s="89" t="s">
        <v>79</v>
      </c>
      <c r="E393" s="89">
        <v>1</v>
      </c>
      <c r="F393" s="89">
        <v>1</v>
      </c>
      <c r="G393" s="89"/>
      <c r="H393" s="157"/>
      <c r="I393" s="96" t="s">
        <v>159</v>
      </c>
    </row>
    <row r="394" spans="1:9" s="115" customFormat="1" ht="17.25" x14ac:dyDescent="0.35">
      <c r="A394" s="156"/>
      <c r="B394" s="89"/>
      <c r="C394" s="89"/>
      <c r="D394" s="89" t="s">
        <v>79</v>
      </c>
      <c r="E394" s="89">
        <v>1</v>
      </c>
      <c r="F394" s="89">
        <v>0</v>
      </c>
      <c r="G394" s="89"/>
      <c r="H394" s="157"/>
      <c r="I394" s="96" t="s">
        <v>160</v>
      </c>
    </row>
    <row r="395" spans="1:9" s="115" customFormat="1" ht="17.25" x14ac:dyDescent="0.35">
      <c r="A395" s="156"/>
      <c r="B395" s="89"/>
      <c r="C395" s="89"/>
      <c r="D395" s="89" t="s">
        <v>80</v>
      </c>
      <c r="E395" s="89">
        <v>256</v>
      </c>
      <c r="F395" s="89"/>
      <c r="G395" s="89"/>
      <c r="H395" s="157"/>
      <c r="I395" s="96" t="s">
        <v>161</v>
      </c>
    </row>
    <row r="396" spans="1:9" s="115" customFormat="1" ht="17.25" x14ac:dyDescent="0.35">
      <c r="A396" s="156"/>
      <c r="B396" s="89"/>
      <c r="C396" s="89"/>
      <c r="D396" s="89" t="s">
        <v>80</v>
      </c>
      <c r="E396" s="89">
        <v>256</v>
      </c>
      <c r="F396" s="89"/>
      <c r="G396" s="89"/>
      <c r="H396" s="157"/>
      <c r="I396" s="96" t="s">
        <v>162</v>
      </c>
    </row>
    <row r="397" spans="1:9" s="115" customFormat="1" ht="17.25" x14ac:dyDescent="0.35">
      <c r="A397" s="156" t="s">
        <v>243</v>
      </c>
      <c r="B397" s="89" t="s">
        <v>242</v>
      </c>
      <c r="C397" s="89" t="s">
        <v>116</v>
      </c>
      <c r="D397" s="89"/>
      <c r="E397" s="89"/>
      <c r="F397" s="89"/>
      <c r="G397" s="89" t="s">
        <v>88</v>
      </c>
      <c r="H397" s="157"/>
      <c r="I397" s="96">
        <v>69673</v>
      </c>
    </row>
    <row r="398" spans="1:9" s="115" customFormat="1" ht="17.25" x14ac:dyDescent="0.35">
      <c r="A398" s="156"/>
      <c r="B398" s="89"/>
      <c r="C398" s="89"/>
      <c r="D398" s="89" t="s">
        <v>79</v>
      </c>
      <c r="E398" s="89">
        <v>1</v>
      </c>
      <c r="F398" s="89">
        <v>0</v>
      </c>
      <c r="G398" s="89"/>
      <c r="H398" s="157"/>
      <c r="I398" s="96" t="s">
        <v>6</v>
      </c>
    </row>
    <row r="399" spans="1:9" s="115" customFormat="1" ht="34.5" x14ac:dyDescent="0.35">
      <c r="A399" s="156" t="s">
        <v>257</v>
      </c>
      <c r="B399" s="89" t="s">
        <v>258</v>
      </c>
      <c r="C399" s="89" t="s">
        <v>81</v>
      </c>
      <c r="D399" s="89"/>
      <c r="E399" s="89"/>
      <c r="F399" s="89"/>
      <c r="G399" s="89" t="s">
        <v>88</v>
      </c>
      <c r="H399" s="157" t="s">
        <v>519</v>
      </c>
      <c r="I399" s="96" t="s">
        <v>290</v>
      </c>
    </row>
    <row r="400" spans="1:9" s="115" customFormat="1" ht="17.25" x14ac:dyDescent="0.35">
      <c r="A400" s="156" t="s">
        <v>188</v>
      </c>
      <c r="B400" s="89" t="s">
        <v>189</v>
      </c>
      <c r="C400" s="89" t="s">
        <v>81</v>
      </c>
      <c r="D400" s="89"/>
      <c r="E400" s="89"/>
      <c r="F400" s="89"/>
      <c r="G400" s="89" t="s">
        <v>6</v>
      </c>
      <c r="H400" s="157" t="s">
        <v>520</v>
      </c>
      <c r="I400" s="96" t="s">
        <v>259</v>
      </c>
    </row>
    <row r="401" spans="1:9" s="115" customFormat="1" ht="17.25" x14ac:dyDescent="0.35">
      <c r="A401" s="156" t="s">
        <v>173</v>
      </c>
      <c r="B401" s="89" t="s">
        <v>244</v>
      </c>
      <c r="C401" s="89" t="s">
        <v>81</v>
      </c>
      <c r="D401" s="89"/>
      <c r="E401" s="89"/>
      <c r="F401" s="89"/>
      <c r="G401" s="89" t="s">
        <v>88</v>
      </c>
      <c r="H401" s="157" t="s">
        <v>521</v>
      </c>
      <c r="I401" s="96">
        <v>65884</v>
      </c>
    </row>
    <row r="402" spans="1:9" s="115" customFormat="1" ht="17.25" x14ac:dyDescent="0.35">
      <c r="A402" s="156" t="s">
        <v>284</v>
      </c>
      <c r="B402" s="89" t="s">
        <v>283</v>
      </c>
      <c r="C402" s="89" t="s">
        <v>81</v>
      </c>
      <c r="D402" s="89"/>
      <c r="E402" s="89"/>
      <c r="F402" s="89"/>
      <c r="G402" s="89" t="s">
        <v>88</v>
      </c>
      <c r="H402" s="157" t="s">
        <v>522</v>
      </c>
      <c r="I402" s="96"/>
    </row>
    <row r="403" spans="1:9" s="115" customFormat="1" ht="17.25" x14ac:dyDescent="0.35">
      <c r="A403" s="156" t="s">
        <v>565</v>
      </c>
      <c r="B403" s="89" t="s">
        <v>564</v>
      </c>
      <c r="C403" s="89" t="s">
        <v>81</v>
      </c>
      <c r="D403" s="89"/>
      <c r="E403" s="89"/>
      <c r="F403" s="89"/>
      <c r="G403" s="89" t="s">
        <v>88</v>
      </c>
      <c r="H403" s="157" t="s">
        <v>568</v>
      </c>
      <c r="I403" s="96"/>
    </row>
    <row r="404" spans="1:9" s="115" customFormat="1" ht="17.25" x14ac:dyDescent="0.35">
      <c r="A404" s="156" t="s">
        <v>286</v>
      </c>
      <c r="B404" s="89" t="s">
        <v>285</v>
      </c>
      <c r="C404" s="89" t="s">
        <v>81</v>
      </c>
      <c r="D404" s="89"/>
      <c r="E404" s="89"/>
      <c r="F404" s="89"/>
      <c r="G404" s="89" t="s">
        <v>88</v>
      </c>
      <c r="H404" s="157" t="s">
        <v>523</v>
      </c>
      <c r="I404" s="96"/>
    </row>
    <row r="405" spans="1:9" s="115" customFormat="1" ht="17.25" x14ac:dyDescent="0.35">
      <c r="A405" s="159" t="s">
        <v>561</v>
      </c>
      <c r="B405" s="89" t="s">
        <v>560</v>
      </c>
      <c r="C405" s="89" t="s">
        <v>81</v>
      </c>
      <c r="D405" s="89"/>
      <c r="E405" s="89"/>
      <c r="F405" s="89"/>
      <c r="G405" s="89" t="s">
        <v>88</v>
      </c>
      <c r="H405" s="157" t="s">
        <v>569</v>
      </c>
      <c r="I405" s="102"/>
    </row>
    <row r="406" spans="1:9" s="115" customFormat="1" ht="17.25" x14ac:dyDescent="0.35">
      <c r="A406" s="156" t="s">
        <v>174</v>
      </c>
      <c r="B406" s="89" t="s">
        <v>181</v>
      </c>
      <c r="C406" s="89" t="s">
        <v>81</v>
      </c>
      <c r="D406" s="89"/>
      <c r="E406" s="89"/>
      <c r="F406" s="89"/>
      <c r="G406" s="89" t="s">
        <v>88</v>
      </c>
      <c r="H406" s="157" t="s">
        <v>524</v>
      </c>
      <c r="I406" s="96">
        <v>65883</v>
      </c>
    </row>
    <row r="407" spans="1:9" s="115" customFormat="1" ht="17.25" x14ac:dyDescent="0.35">
      <c r="A407" s="156" t="s">
        <v>175</v>
      </c>
      <c r="B407" s="89" t="s">
        <v>176</v>
      </c>
      <c r="C407" s="89" t="s">
        <v>81</v>
      </c>
      <c r="D407" s="89"/>
      <c r="E407" s="89"/>
      <c r="F407" s="89"/>
      <c r="G407" s="89" t="s">
        <v>88</v>
      </c>
      <c r="H407" s="157" t="s">
        <v>525</v>
      </c>
      <c r="I407" s="96">
        <v>67214</v>
      </c>
    </row>
    <row r="408" spans="1:9" s="115" customFormat="1" ht="17.25" x14ac:dyDescent="0.35">
      <c r="A408" s="156" t="s">
        <v>178</v>
      </c>
      <c r="B408" s="89" t="s">
        <v>179</v>
      </c>
      <c r="C408" s="89" t="s">
        <v>81</v>
      </c>
      <c r="D408" s="89"/>
      <c r="E408" s="89"/>
      <c r="F408" s="89"/>
      <c r="G408" s="89" t="s">
        <v>88</v>
      </c>
      <c r="H408" s="157" t="s">
        <v>526</v>
      </c>
      <c r="I408" s="96"/>
    </row>
    <row r="409" spans="1:9" s="115" customFormat="1" ht="17.25" x14ac:dyDescent="0.35">
      <c r="A409" s="156" t="s">
        <v>527</v>
      </c>
      <c r="B409" s="89" t="s">
        <v>528</v>
      </c>
      <c r="C409" s="89" t="s">
        <v>81</v>
      </c>
      <c r="D409" s="89"/>
      <c r="E409" s="89"/>
      <c r="F409" s="89"/>
      <c r="G409" s="89" t="s">
        <v>88</v>
      </c>
      <c r="H409" s="157" t="s">
        <v>529</v>
      </c>
      <c r="I409" s="96"/>
    </row>
    <row r="410" spans="1:9" s="115" customFormat="1" ht="17.25" x14ac:dyDescent="0.35">
      <c r="A410" s="156" t="s">
        <v>183</v>
      </c>
      <c r="B410" s="89" t="s">
        <v>184</v>
      </c>
      <c r="C410" s="89" t="s">
        <v>81</v>
      </c>
      <c r="D410" s="89"/>
      <c r="E410" s="89"/>
      <c r="F410" s="89"/>
      <c r="G410" s="89" t="s">
        <v>88</v>
      </c>
      <c r="H410" s="157" t="s">
        <v>530</v>
      </c>
      <c r="I410" s="96"/>
    </row>
    <row r="411" spans="1:9" s="115" customFormat="1" ht="17.25" x14ac:dyDescent="0.35">
      <c r="A411" s="156" t="s">
        <v>531</v>
      </c>
      <c r="B411" s="89" t="s">
        <v>191</v>
      </c>
      <c r="C411" s="89" t="s">
        <v>81</v>
      </c>
      <c r="D411" s="89"/>
      <c r="E411" s="89"/>
      <c r="F411" s="89"/>
      <c r="G411" s="89" t="s">
        <v>88</v>
      </c>
      <c r="H411" s="157" t="s">
        <v>532</v>
      </c>
      <c r="I411" s="96"/>
    </row>
    <row r="412" spans="1:9" s="115" customFormat="1" ht="17.25" x14ac:dyDescent="0.35">
      <c r="A412" s="156" t="s">
        <v>533</v>
      </c>
      <c r="B412" s="89" t="s">
        <v>534</v>
      </c>
      <c r="C412" s="89" t="s">
        <v>81</v>
      </c>
      <c r="D412" s="89"/>
      <c r="E412" s="89"/>
      <c r="F412" s="89"/>
      <c r="G412" s="89" t="s">
        <v>88</v>
      </c>
      <c r="H412" s="157" t="s">
        <v>535</v>
      </c>
      <c r="I412" s="96">
        <v>65819</v>
      </c>
    </row>
    <row r="413" spans="1:9" s="115" customFormat="1" ht="17.25" x14ac:dyDescent="0.35">
      <c r="A413" s="156" t="s">
        <v>536</v>
      </c>
      <c r="B413" s="89" t="s">
        <v>190</v>
      </c>
      <c r="C413" s="89" t="s">
        <v>81</v>
      </c>
      <c r="D413" s="89"/>
      <c r="E413" s="89"/>
      <c r="F413" s="89"/>
      <c r="G413" s="89" t="s">
        <v>88</v>
      </c>
      <c r="H413" s="157" t="s">
        <v>537</v>
      </c>
      <c r="I413" s="96"/>
    </row>
    <row r="414" spans="1:9" s="115" customFormat="1" ht="17.25" x14ac:dyDescent="0.35">
      <c r="A414" s="156" t="s">
        <v>260</v>
      </c>
      <c r="B414" s="89" t="s">
        <v>261</v>
      </c>
      <c r="C414" s="89" t="s">
        <v>6</v>
      </c>
      <c r="D414" s="89" t="s">
        <v>6</v>
      </c>
      <c r="E414" s="89" t="s">
        <v>6</v>
      </c>
      <c r="F414" s="89" t="s">
        <v>6</v>
      </c>
      <c r="G414" s="89" t="s">
        <v>6</v>
      </c>
      <c r="H414" s="157"/>
      <c r="I414" s="96" t="s">
        <v>262</v>
      </c>
    </row>
    <row r="415" spans="1:9" s="115" customFormat="1" ht="17.25" x14ac:dyDescent="0.35">
      <c r="A415" s="156"/>
      <c r="B415" s="89"/>
      <c r="C415" s="89"/>
      <c r="D415" s="89" t="s">
        <v>6</v>
      </c>
      <c r="E415" s="89" t="s">
        <v>6</v>
      </c>
      <c r="F415" s="89" t="s">
        <v>6</v>
      </c>
      <c r="G415" s="89"/>
      <c r="H415" s="157"/>
      <c r="I415" s="96"/>
    </row>
    <row r="416" spans="1:9" s="115" customFormat="1" ht="17.25" x14ac:dyDescent="0.35">
      <c r="A416" s="156" t="s">
        <v>264</v>
      </c>
      <c r="B416" s="89" t="s">
        <v>263</v>
      </c>
      <c r="C416" s="89" t="s">
        <v>116</v>
      </c>
      <c r="D416" s="89" t="s">
        <v>6</v>
      </c>
      <c r="E416" s="89" t="s">
        <v>6</v>
      </c>
      <c r="F416" s="89" t="s">
        <v>6</v>
      </c>
      <c r="G416" s="89" t="s">
        <v>88</v>
      </c>
      <c r="H416" s="157" t="s">
        <v>265</v>
      </c>
      <c r="I416" s="96" t="s">
        <v>262</v>
      </c>
    </row>
    <row r="417" spans="1:9" s="115" customFormat="1" ht="17.25" x14ac:dyDescent="0.35">
      <c r="A417" s="156"/>
      <c r="B417" s="89"/>
      <c r="C417" s="89"/>
      <c r="D417" s="89" t="s">
        <v>79</v>
      </c>
      <c r="E417" s="89">
        <v>1</v>
      </c>
      <c r="F417" s="89">
        <v>1</v>
      </c>
      <c r="G417" s="89"/>
      <c r="H417" s="157"/>
      <c r="I417" s="96"/>
    </row>
    <row r="418" spans="1:9" s="115" customFormat="1" ht="34.5" x14ac:dyDescent="0.35">
      <c r="A418" s="156" t="s">
        <v>267</v>
      </c>
      <c r="B418" s="89" t="s">
        <v>266</v>
      </c>
      <c r="C418" s="89" t="s">
        <v>116</v>
      </c>
      <c r="D418" s="89" t="s">
        <v>6</v>
      </c>
      <c r="E418" s="89" t="s">
        <v>6</v>
      </c>
      <c r="F418" s="89" t="s">
        <v>6</v>
      </c>
      <c r="G418" s="89" t="s">
        <v>88</v>
      </c>
      <c r="H418" s="157" t="s">
        <v>268</v>
      </c>
      <c r="I418" s="96" t="s">
        <v>438</v>
      </c>
    </row>
    <row r="419" spans="1:9" s="115" customFormat="1" ht="17.25" x14ac:dyDescent="0.35">
      <c r="A419" s="156"/>
      <c r="B419" s="89"/>
      <c r="C419" s="89"/>
      <c r="D419" s="89" t="s">
        <v>79</v>
      </c>
      <c r="E419" s="89">
        <v>1</v>
      </c>
      <c r="F419" s="89">
        <v>0</v>
      </c>
      <c r="G419" s="89"/>
      <c r="H419" s="157"/>
      <c r="I419" s="96"/>
    </row>
    <row r="420" spans="1:9" s="115" customFormat="1" ht="17.25" x14ac:dyDescent="0.35">
      <c r="A420" s="156" t="s">
        <v>248</v>
      </c>
      <c r="B420" s="89" t="s">
        <v>247</v>
      </c>
      <c r="C420" s="89" t="s">
        <v>116</v>
      </c>
      <c r="D420" s="89" t="s">
        <v>6</v>
      </c>
      <c r="E420" s="89" t="s">
        <v>6</v>
      </c>
      <c r="F420" s="89" t="s">
        <v>6</v>
      </c>
      <c r="G420" s="89" t="s">
        <v>88</v>
      </c>
      <c r="H420" s="157"/>
      <c r="I420" s="96">
        <v>65728</v>
      </c>
    </row>
    <row r="421" spans="1:9" s="115" customFormat="1" ht="17.25" x14ac:dyDescent="0.35">
      <c r="A421" s="156"/>
      <c r="B421" s="89"/>
      <c r="C421" s="89"/>
      <c r="D421" s="89" t="s">
        <v>79</v>
      </c>
      <c r="E421" s="89">
        <v>1</v>
      </c>
      <c r="F421" s="89">
        <v>0</v>
      </c>
      <c r="G421" s="89"/>
      <c r="H421" s="157"/>
      <c r="I421" s="96"/>
    </row>
    <row r="422" spans="1:9" s="115" customFormat="1" ht="17.25" x14ac:dyDescent="0.35">
      <c r="A422" s="160" t="s">
        <v>269</v>
      </c>
      <c r="B422" s="89" t="s">
        <v>270</v>
      </c>
      <c r="C422" s="89" t="s">
        <v>81</v>
      </c>
      <c r="D422" s="89"/>
      <c r="E422" s="89"/>
      <c r="F422" s="89"/>
      <c r="G422" s="89" t="s">
        <v>88</v>
      </c>
      <c r="H422" s="157" t="s">
        <v>538</v>
      </c>
      <c r="I422" s="96" t="s">
        <v>6</v>
      </c>
    </row>
    <row r="423" spans="1:9" s="115" customFormat="1" ht="17.25" x14ac:dyDescent="0.35">
      <c r="A423" s="160" t="s">
        <v>271</v>
      </c>
      <c r="B423" s="89" t="s">
        <v>272</v>
      </c>
      <c r="C423" s="89" t="s">
        <v>81</v>
      </c>
      <c r="D423" s="89"/>
      <c r="E423" s="89"/>
      <c r="F423" s="89"/>
      <c r="G423" s="89"/>
      <c r="H423" s="157" t="s">
        <v>539</v>
      </c>
      <c r="I423" s="96" t="s">
        <v>246</v>
      </c>
    </row>
    <row r="424" spans="1:9" s="115" customFormat="1" ht="17.25" x14ac:dyDescent="0.35">
      <c r="A424" s="156" t="s">
        <v>275</v>
      </c>
      <c r="B424" s="89" t="s">
        <v>282</v>
      </c>
      <c r="C424" s="89" t="s">
        <v>116</v>
      </c>
      <c r="D424" s="89"/>
      <c r="E424" s="89"/>
      <c r="F424" s="89"/>
      <c r="G424" s="89" t="s">
        <v>88</v>
      </c>
      <c r="H424" s="157"/>
      <c r="I424" s="96">
        <v>67290</v>
      </c>
    </row>
    <row r="425" spans="1:9" s="115" customFormat="1" ht="17.25" x14ac:dyDescent="0.35">
      <c r="A425" s="156"/>
      <c r="B425" s="89"/>
      <c r="C425" s="89"/>
      <c r="D425" s="89" t="s">
        <v>79</v>
      </c>
      <c r="E425" s="89">
        <v>1</v>
      </c>
      <c r="F425" s="89">
        <v>1</v>
      </c>
      <c r="G425" s="89"/>
      <c r="H425" s="157"/>
      <c r="I425" s="96"/>
    </row>
    <row r="426" spans="1:9" s="115" customFormat="1" ht="17.25" x14ac:dyDescent="0.35">
      <c r="A426" s="156" t="s">
        <v>277</v>
      </c>
      <c r="B426" s="89" t="s">
        <v>278</v>
      </c>
      <c r="C426" s="89" t="s">
        <v>81</v>
      </c>
      <c r="D426" s="89"/>
      <c r="E426" s="89"/>
      <c r="F426" s="89"/>
      <c r="G426" s="89" t="s">
        <v>88</v>
      </c>
      <c r="H426" s="157" t="s">
        <v>540</v>
      </c>
      <c r="I426" s="96">
        <v>67288</v>
      </c>
    </row>
    <row r="427" spans="1:9" s="115" customFormat="1" ht="17.25" x14ac:dyDescent="0.35">
      <c r="A427" s="156" t="s">
        <v>280</v>
      </c>
      <c r="B427" s="89" t="s">
        <v>281</v>
      </c>
      <c r="C427" s="89" t="s">
        <v>81</v>
      </c>
      <c r="D427" s="89"/>
      <c r="E427" s="89"/>
      <c r="F427" s="89"/>
      <c r="G427" s="89" t="s">
        <v>88</v>
      </c>
      <c r="H427" s="157" t="s">
        <v>541</v>
      </c>
      <c r="I427" s="96">
        <v>67289</v>
      </c>
    </row>
    <row r="428" spans="1:9" s="115" customFormat="1" ht="17.25" x14ac:dyDescent="0.35">
      <c r="A428" s="156" t="s">
        <v>306</v>
      </c>
      <c r="B428" s="89" t="s">
        <v>307</v>
      </c>
      <c r="C428" s="89" t="s">
        <v>116</v>
      </c>
      <c r="D428" s="89"/>
      <c r="E428" s="89"/>
      <c r="F428" s="89"/>
      <c r="G428" s="89" t="s">
        <v>88</v>
      </c>
      <c r="H428" s="157"/>
      <c r="I428" s="96">
        <v>66042</v>
      </c>
    </row>
    <row r="429" spans="1:9" s="115" customFormat="1" ht="17.25" x14ac:dyDescent="0.35">
      <c r="A429" s="156"/>
      <c r="B429" s="89"/>
      <c r="C429" s="89"/>
      <c r="D429" s="89" t="s">
        <v>79</v>
      </c>
      <c r="E429" s="89">
        <v>1</v>
      </c>
      <c r="F429" s="89">
        <v>0</v>
      </c>
      <c r="G429" s="89"/>
      <c r="H429" s="157"/>
      <c r="I429" s="96"/>
    </row>
    <row r="430" spans="1:9" s="115" customFormat="1" ht="17.25" x14ac:dyDescent="0.35">
      <c r="A430" s="156"/>
      <c r="B430" s="89"/>
      <c r="C430" s="89"/>
      <c r="D430" s="89" t="s">
        <v>79</v>
      </c>
      <c r="E430" s="89">
        <v>1</v>
      </c>
      <c r="F430" s="89">
        <v>0</v>
      </c>
      <c r="G430" s="89"/>
      <c r="H430" s="157"/>
      <c r="I430" s="96"/>
    </row>
    <row r="431" spans="1:9" s="115" customFormat="1" ht="17.25" x14ac:dyDescent="0.35">
      <c r="A431" s="156"/>
      <c r="B431" s="89"/>
      <c r="C431" s="89"/>
      <c r="D431" s="89" t="s">
        <v>79</v>
      </c>
      <c r="E431" s="89">
        <v>1</v>
      </c>
      <c r="F431" s="89">
        <v>8</v>
      </c>
      <c r="G431" s="89"/>
      <c r="H431" s="157"/>
      <c r="I431" s="96"/>
    </row>
    <row r="432" spans="1:9" s="115" customFormat="1" ht="17.25" x14ac:dyDescent="0.35">
      <c r="A432" s="156"/>
      <c r="B432" s="89"/>
      <c r="C432" s="89"/>
      <c r="D432" s="89" t="s">
        <v>79</v>
      </c>
      <c r="E432" s="89">
        <v>1</v>
      </c>
      <c r="F432" s="89">
        <v>30</v>
      </c>
      <c r="G432" s="89"/>
      <c r="H432" s="157"/>
      <c r="I432" s="96"/>
    </row>
    <row r="433" spans="1:9" s="115" customFormat="1" ht="17.25" x14ac:dyDescent="0.35">
      <c r="A433" s="156"/>
      <c r="B433" s="89"/>
      <c r="C433" s="89"/>
      <c r="D433" s="89" t="s">
        <v>79</v>
      </c>
      <c r="E433" s="89">
        <v>4</v>
      </c>
      <c r="F433" s="89" t="s">
        <v>105</v>
      </c>
      <c r="G433" s="89"/>
      <c r="H433" s="157"/>
      <c r="I433" s="96"/>
    </row>
    <row r="434" spans="1:9" s="115" customFormat="1" ht="17.25" x14ac:dyDescent="0.35">
      <c r="A434" s="156" t="s">
        <v>308</v>
      </c>
      <c r="B434" s="89" t="s">
        <v>309</v>
      </c>
      <c r="C434" s="89" t="s">
        <v>116</v>
      </c>
      <c r="D434" s="89"/>
      <c r="E434" s="89"/>
      <c r="F434" s="89"/>
      <c r="G434" s="89" t="s">
        <v>88</v>
      </c>
      <c r="H434" s="157"/>
      <c r="I434" s="96">
        <v>66043</v>
      </c>
    </row>
    <row r="435" spans="1:9" s="115" customFormat="1" ht="17.25" x14ac:dyDescent="0.35">
      <c r="A435" s="156"/>
      <c r="B435" s="89"/>
      <c r="C435" s="89"/>
      <c r="D435" s="89" t="s">
        <v>79</v>
      </c>
      <c r="E435" s="89">
        <v>1</v>
      </c>
      <c r="F435" s="89">
        <v>0</v>
      </c>
      <c r="G435" s="89"/>
      <c r="H435" s="157"/>
      <c r="I435" s="96"/>
    </row>
    <row r="436" spans="1:9" s="115" customFormat="1" ht="17.25" x14ac:dyDescent="0.35">
      <c r="A436" s="156"/>
      <c r="B436" s="89"/>
      <c r="C436" s="89"/>
      <c r="D436" s="89" t="s">
        <v>79</v>
      </c>
      <c r="E436" s="89">
        <v>1</v>
      </c>
      <c r="F436" s="89">
        <v>-100</v>
      </c>
      <c r="G436" s="89"/>
      <c r="H436" s="157"/>
      <c r="I436" s="96"/>
    </row>
    <row r="437" spans="1:9" s="115" customFormat="1" ht="17.25" x14ac:dyDescent="0.35">
      <c r="A437" s="156"/>
      <c r="B437" s="89"/>
      <c r="C437" s="89"/>
      <c r="D437" s="89" t="s">
        <v>79</v>
      </c>
      <c r="E437" s="89">
        <v>2</v>
      </c>
      <c r="F437" s="89">
        <v>-128</v>
      </c>
      <c r="G437" s="89"/>
      <c r="H437" s="157"/>
      <c r="I437" s="96"/>
    </row>
    <row r="438" spans="1:9" s="115" customFormat="1" ht="17.25" x14ac:dyDescent="0.35">
      <c r="A438" s="156"/>
      <c r="B438" s="89"/>
      <c r="C438" s="89"/>
      <c r="D438" s="89" t="s">
        <v>79</v>
      </c>
      <c r="E438" s="89">
        <v>1</v>
      </c>
      <c r="F438" s="89">
        <v>-95</v>
      </c>
      <c r="G438" s="89"/>
      <c r="H438" s="157"/>
      <c r="I438" s="96"/>
    </row>
    <row r="439" spans="1:9" s="115" customFormat="1" ht="17.25" x14ac:dyDescent="0.35">
      <c r="A439" s="156"/>
      <c r="B439" s="89"/>
      <c r="C439" s="89"/>
      <c r="D439" s="89" t="s">
        <v>79</v>
      </c>
      <c r="E439" s="89">
        <v>2</v>
      </c>
      <c r="F439" s="89">
        <v>-120</v>
      </c>
      <c r="G439" s="89"/>
      <c r="H439" s="157"/>
      <c r="I439" s="96"/>
    </row>
    <row r="440" spans="1:9" s="115" customFormat="1" ht="17.25" x14ac:dyDescent="0.35">
      <c r="A440" s="156"/>
      <c r="B440" s="89"/>
      <c r="C440" s="89"/>
      <c r="D440" s="89" t="s">
        <v>79</v>
      </c>
      <c r="E440" s="89">
        <v>1</v>
      </c>
      <c r="F440" s="89">
        <v>0</v>
      </c>
      <c r="G440" s="89"/>
      <c r="H440" s="157"/>
      <c r="I440" s="96"/>
    </row>
    <row r="441" spans="1:9" s="115" customFormat="1" ht="17.25" x14ac:dyDescent="0.35">
      <c r="A441" s="156" t="s">
        <v>442</v>
      </c>
      <c r="B441" s="89" t="s">
        <v>443</v>
      </c>
      <c r="C441" s="89" t="s">
        <v>116</v>
      </c>
      <c r="D441" s="89"/>
      <c r="E441" s="89"/>
      <c r="F441" s="89"/>
      <c r="G441" s="89" t="s">
        <v>88</v>
      </c>
      <c r="H441" s="157"/>
      <c r="I441" s="96">
        <v>70202</v>
      </c>
    </row>
    <row r="442" spans="1:9" s="115" customFormat="1" ht="17.25" x14ac:dyDescent="0.35">
      <c r="A442" s="156"/>
      <c r="B442" s="89"/>
      <c r="C442" s="89"/>
      <c r="D442" s="89" t="s">
        <v>79</v>
      </c>
      <c r="E442" s="89">
        <v>1</v>
      </c>
      <c r="F442" s="89">
        <v>0</v>
      </c>
      <c r="G442" s="89"/>
      <c r="H442" s="157"/>
      <c r="I442" s="96"/>
    </row>
    <row r="443" spans="1:9" s="115" customFormat="1" ht="17.25" x14ac:dyDescent="0.35">
      <c r="A443" s="156" t="s">
        <v>444</v>
      </c>
      <c r="B443" s="89" t="s">
        <v>445</v>
      </c>
      <c r="C443" s="89" t="s">
        <v>81</v>
      </c>
      <c r="D443" s="89"/>
      <c r="E443" s="89"/>
      <c r="F443" s="89"/>
      <c r="G443" s="89" t="s">
        <v>88</v>
      </c>
      <c r="H443" s="157" t="s">
        <v>976</v>
      </c>
      <c r="I443" s="96">
        <v>70291</v>
      </c>
    </row>
    <row r="444" spans="1:9" s="115" customFormat="1" ht="17.25" x14ac:dyDescent="0.35">
      <c r="A444" s="156" t="s">
        <v>446</v>
      </c>
      <c r="B444" s="89" t="s">
        <v>447</v>
      </c>
      <c r="C444" s="89" t="s">
        <v>116</v>
      </c>
      <c r="D444" s="89"/>
      <c r="E444" s="89"/>
      <c r="F444" s="89"/>
      <c r="G444" s="89"/>
      <c r="H444" s="157"/>
      <c r="I444" s="96">
        <v>70233</v>
      </c>
    </row>
    <row r="445" spans="1:9" s="115" customFormat="1" ht="17.25" x14ac:dyDescent="0.35">
      <c r="A445" s="156"/>
      <c r="B445" s="89"/>
      <c r="C445" s="89"/>
      <c r="D445" s="89" t="s">
        <v>79</v>
      </c>
      <c r="E445" s="89">
        <v>1</v>
      </c>
      <c r="F445" s="89">
        <v>0</v>
      </c>
      <c r="G445" s="89"/>
      <c r="H445" s="157"/>
      <c r="I445" s="96" t="s">
        <v>448</v>
      </c>
    </row>
    <row r="446" spans="1:9" s="115" customFormat="1" ht="17.25" x14ac:dyDescent="0.35">
      <c r="A446" s="156"/>
      <c r="B446" s="89"/>
      <c r="C446" s="89"/>
      <c r="D446" s="89" t="s">
        <v>79</v>
      </c>
      <c r="E446" s="89">
        <v>1</v>
      </c>
      <c r="F446" s="89">
        <v>1</v>
      </c>
      <c r="G446" s="89"/>
      <c r="H446" s="157"/>
      <c r="I446" s="96" t="s">
        <v>449</v>
      </c>
    </row>
    <row r="447" spans="1:9" s="115" customFormat="1" ht="17.25" x14ac:dyDescent="0.35">
      <c r="A447" s="156"/>
      <c r="B447" s="89"/>
      <c r="C447" s="89"/>
      <c r="D447" s="89" t="s">
        <v>79</v>
      </c>
      <c r="E447" s="89">
        <v>1</v>
      </c>
      <c r="F447" s="89">
        <v>0</v>
      </c>
      <c r="G447" s="89"/>
      <c r="H447" s="157"/>
      <c r="I447" s="96" t="s">
        <v>450</v>
      </c>
    </row>
    <row r="448" spans="1:9" s="115" customFormat="1" ht="17.25" x14ac:dyDescent="0.35">
      <c r="A448" s="156"/>
      <c r="B448" s="89"/>
      <c r="C448" s="89"/>
      <c r="D448" s="89" t="s">
        <v>79</v>
      </c>
      <c r="E448" s="89">
        <v>1</v>
      </c>
      <c r="F448" s="89"/>
      <c r="G448" s="89"/>
      <c r="H448" s="157"/>
      <c r="I448" s="96" t="s">
        <v>451</v>
      </c>
    </row>
    <row r="449" spans="1:9" s="115" customFormat="1" ht="17.25" x14ac:dyDescent="0.35">
      <c r="A449" s="156"/>
      <c r="B449" s="89"/>
      <c r="C449" s="89"/>
      <c r="D449" s="89" t="s">
        <v>79</v>
      </c>
      <c r="E449" s="89">
        <v>1</v>
      </c>
      <c r="F449" s="89"/>
      <c r="G449" s="89"/>
      <c r="H449" s="157"/>
      <c r="I449" s="96" t="s">
        <v>452</v>
      </c>
    </row>
    <row r="450" spans="1:9" s="115" customFormat="1" ht="17.25" x14ac:dyDescent="0.35">
      <c r="A450" s="156"/>
      <c r="B450" s="89"/>
      <c r="C450" s="89"/>
      <c r="D450" s="89" t="s">
        <v>79</v>
      </c>
      <c r="E450" s="89">
        <v>1</v>
      </c>
      <c r="F450" s="89">
        <v>0</v>
      </c>
      <c r="G450" s="89"/>
      <c r="H450" s="157"/>
      <c r="I450" s="96" t="s">
        <v>453</v>
      </c>
    </row>
    <row r="451" spans="1:9" s="115" customFormat="1" ht="17.25" x14ac:dyDescent="0.35">
      <c r="A451" s="156"/>
      <c r="B451" s="89"/>
      <c r="C451" s="89"/>
      <c r="D451" s="89" t="s">
        <v>79</v>
      </c>
      <c r="E451" s="89">
        <v>1</v>
      </c>
      <c r="F451" s="89">
        <v>0</v>
      </c>
      <c r="G451" s="89"/>
      <c r="H451" s="157"/>
      <c r="I451" s="96" t="s">
        <v>454</v>
      </c>
    </row>
    <row r="452" spans="1:9" s="115" customFormat="1" ht="17.25" x14ac:dyDescent="0.35">
      <c r="A452" s="156"/>
      <c r="B452" s="89"/>
      <c r="C452" s="89"/>
      <c r="D452" s="89" t="s">
        <v>79</v>
      </c>
      <c r="E452" s="89">
        <v>1</v>
      </c>
      <c r="F452" s="89">
        <v>0</v>
      </c>
      <c r="G452" s="89"/>
      <c r="H452" s="157"/>
      <c r="I452" s="96" t="s">
        <v>455</v>
      </c>
    </row>
    <row r="453" spans="1:9" s="115" customFormat="1" ht="17.25" x14ac:dyDescent="0.35">
      <c r="A453" s="156"/>
      <c r="B453" s="89"/>
      <c r="C453" s="89"/>
      <c r="D453" s="89" t="s">
        <v>79</v>
      </c>
      <c r="E453" s="89">
        <v>1</v>
      </c>
      <c r="F453" s="89">
        <v>0</v>
      </c>
      <c r="G453" s="89"/>
      <c r="H453" s="157"/>
      <c r="I453" s="96" t="s">
        <v>456</v>
      </c>
    </row>
    <row r="454" spans="1:9" s="115" customFormat="1" ht="17.25" x14ac:dyDescent="0.35">
      <c r="A454" s="156"/>
      <c r="B454" s="89"/>
      <c r="C454" s="89"/>
      <c r="D454" s="89" t="s">
        <v>79</v>
      </c>
      <c r="E454" s="89">
        <v>1</v>
      </c>
      <c r="F454" s="89"/>
      <c r="G454" s="89"/>
      <c r="H454" s="157"/>
      <c r="I454" s="96" t="s">
        <v>457</v>
      </c>
    </row>
    <row r="455" spans="1:9" s="115" customFormat="1" ht="17.25" x14ac:dyDescent="0.35">
      <c r="A455" s="156"/>
      <c r="B455" s="89"/>
      <c r="C455" s="89"/>
      <c r="D455" s="89" t="s">
        <v>79</v>
      </c>
      <c r="E455" s="89">
        <v>1</v>
      </c>
      <c r="F455" s="89"/>
      <c r="G455" s="89"/>
      <c r="H455" s="157"/>
      <c r="I455" s="96" t="s">
        <v>458</v>
      </c>
    </row>
    <row r="456" spans="1:9" s="115" customFormat="1" ht="17.25" x14ac:dyDescent="0.35">
      <c r="A456" s="156"/>
      <c r="B456" s="89"/>
      <c r="C456" s="89"/>
      <c r="D456" s="89" t="s">
        <v>79</v>
      </c>
      <c r="E456" s="89">
        <v>1</v>
      </c>
      <c r="F456" s="89"/>
      <c r="G456" s="89"/>
      <c r="H456" s="157"/>
      <c r="I456" s="96" t="s">
        <v>459</v>
      </c>
    </row>
    <row r="457" spans="1:9" s="115" customFormat="1" ht="17.25" x14ac:dyDescent="0.35">
      <c r="A457" s="156"/>
      <c r="B457" s="89"/>
      <c r="C457" s="89"/>
      <c r="D457" s="89" t="s">
        <v>79</v>
      </c>
      <c r="E457" s="89">
        <v>1</v>
      </c>
      <c r="F457" s="89"/>
      <c r="G457" s="89"/>
      <c r="H457" s="157"/>
      <c r="I457" s="96" t="s">
        <v>460</v>
      </c>
    </row>
    <row r="458" spans="1:9" s="115" customFormat="1" ht="17.25" x14ac:dyDescent="0.35">
      <c r="A458" s="156"/>
      <c r="B458" s="89"/>
      <c r="C458" s="89"/>
      <c r="D458" s="89" t="s">
        <v>79</v>
      </c>
      <c r="E458" s="89">
        <v>1</v>
      </c>
      <c r="F458" s="89"/>
      <c r="G458" s="89"/>
      <c r="H458" s="157"/>
      <c r="I458" s="96" t="s">
        <v>461</v>
      </c>
    </row>
    <row r="459" spans="1:9" s="115" customFormat="1" ht="17.25" x14ac:dyDescent="0.35">
      <c r="A459" s="156"/>
      <c r="B459" s="89"/>
      <c r="C459" s="89"/>
      <c r="D459" s="89" t="s">
        <v>79</v>
      </c>
      <c r="E459" s="89">
        <v>1</v>
      </c>
      <c r="F459" s="89"/>
      <c r="G459" s="89"/>
      <c r="H459" s="157"/>
      <c r="I459" s="96" t="s">
        <v>462</v>
      </c>
    </row>
    <row r="460" spans="1:9" s="115" customFormat="1" ht="17.25" x14ac:dyDescent="0.35">
      <c r="A460" s="156"/>
      <c r="B460" s="89"/>
      <c r="C460" s="89"/>
      <c r="D460" s="89" t="s">
        <v>79</v>
      </c>
      <c r="E460" s="89">
        <v>1</v>
      </c>
      <c r="F460" s="89"/>
      <c r="G460" s="89"/>
      <c r="H460" s="157"/>
      <c r="I460" s="96" t="s">
        <v>463</v>
      </c>
    </row>
    <row r="461" spans="1:9" s="115" customFormat="1" ht="17.25" x14ac:dyDescent="0.35">
      <c r="A461" s="156"/>
      <c r="B461" s="89"/>
      <c r="C461" s="89"/>
      <c r="D461" s="89" t="s">
        <v>79</v>
      </c>
      <c r="E461" s="89">
        <v>1</v>
      </c>
      <c r="F461" s="89"/>
      <c r="G461" s="89"/>
      <c r="H461" s="157"/>
      <c r="I461" s="96" t="s">
        <v>464</v>
      </c>
    </row>
    <row r="462" spans="1:9" s="115" customFormat="1" ht="17.25" x14ac:dyDescent="0.35">
      <c r="A462" s="156"/>
      <c r="B462" s="89"/>
      <c r="C462" s="89"/>
      <c r="D462" s="89" t="s">
        <v>79</v>
      </c>
      <c r="E462" s="89">
        <v>1</v>
      </c>
      <c r="F462" s="89"/>
      <c r="G462" s="89"/>
      <c r="H462" s="157"/>
      <c r="I462" s="96" t="s">
        <v>465</v>
      </c>
    </row>
    <row r="463" spans="1:9" s="115" customFormat="1" ht="17.25" x14ac:dyDescent="0.35">
      <c r="A463" s="156"/>
      <c r="B463" s="89"/>
      <c r="C463" s="89"/>
      <c r="D463" s="89" t="s">
        <v>79</v>
      </c>
      <c r="E463" s="89">
        <v>1</v>
      </c>
      <c r="F463" s="89">
        <v>0</v>
      </c>
      <c r="G463" s="89"/>
      <c r="H463" s="157"/>
      <c r="I463" s="96" t="s">
        <v>466</v>
      </c>
    </row>
    <row r="464" spans="1:9" s="115" customFormat="1" ht="17.25" x14ac:dyDescent="0.35">
      <c r="A464" s="156"/>
      <c r="B464" s="89"/>
      <c r="C464" s="89"/>
      <c r="D464" s="89" t="s">
        <v>468</v>
      </c>
      <c r="E464" s="89">
        <v>1</v>
      </c>
      <c r="F464" s="89"/>
      <c r="G464" s="89"/>
      <c r="H464" s="157"/>
      <c r="I464" s="96" t="s">
        <v>467</v>
      </c>
    </row>
    <row r="465" spans="1:9" s="115" customFormat="1" ht="17.25" x14ac:dyDescent="0.35">
      <c r="A465" s="156" t="s">
        <v>310</v>
      </c>
      <c r="B465" s="89" t="s">
        <v>311</v>
      </c>
      <c r="C465" s="89" t="s">
        <v>116</v>
      </c>
      <c r="D465" s="89"/>
      <c r="E465" s="89"/>
      <c r="F465" s="89"/>
      <c r="G465" s="89" t="s">
        <v>88</v>
      </c>
      <c r="H465" s="157"/>
      <c r="I465" s="96">
        <v>66011</v>
      </c>
    </row>
    <row r="466" spans="1:9" s="115" customFormat="1" ht="17.25" x14ac:dyDescent="0.35">
      <c r="A466" s="156"/>
      <c r="B466" s="89"/>
      <c r="C466" s="89"/>
      <c r="D466" s="89" t="s">
        <v>79</v>
      </c>
      <c r="E466" s="89">
        <v>1</v>
      </c>
      <c r="F466" s="89">
        <v>1</v>
      </c>
      <c r="G466" s="89"/>
      <c r="H466" s="157"/>
      <c r="I466" s="96"/>
    </row>
    <row r="467" spans="1:9" s="115" customFormat="1" ht="17.25" x14ac:dyDescent="0.35">
      <c r="A467" s="156" t="s">
        <v>312</v>
      </c>
      <c r="B467" s="89" t="s">
        <v>313</v>
      </c>
      <c r="C467" s="89" t="s">
        <v>116</v>
      </c>
      <c r="D467" s="89"/>
      <c r="E467" s="89"/>
      <c r="F467" s="89"/>
      <c r="G467" s="89" t="s">
        <v>88</v>
      </c>
      <c r="H467" s="157"/>
      <c r="I467" s="96">
        <v>66012</v>
      </c>
    </row>
    <row r="468" spans="1:9" s="115" customFormat="1" ht="17.25" x14ac:dyDescent="0.35">
      <c r="A468" s="156"/>
      <c r="B468" s="89"/>
      <c r="C468" s="89"/>
      <c r="D468" s="89" t="s">
        <v>79</v>
      </c>
      <c r="E468" s="89">
        <v>1</v>
      </c>
      <c r="F468" s="89">
        <v>1</v>
      </c>
      <c r="G468" s="89"/>
      <c r="H468" s="157"/>
      <c r="I468" s="96"/>
    </row>
    <row r="469" spans="1:9" s="115" customFormat="1" ht="17.25" x14ac:dyDescent="0.35">
      <c r="A469" s="156" t="s">
        <v>314</v>
      </c>
      <c r="B469" s="89" t="s">
        <v>315</v>
      </c>
      <c r="C469" s="89" t="s">
        <v>116</v>
      </c>
      <c r="D469" s="89"/>
      <c r="E469" s="89"/>
      <c r="F469" s="89"/>
      <c r="G469" s="89" t="s">
        <v>88</v>
      </c>
      <c r="H469" s="157"/>
      <c r="I469" s="96">
        <v>66013</v>
      </c>
    </row>
    <row r="470" spans="1:9" s="115" customFormat="1" ht="17.25" x14ac:dyDescent="0.35">
      <c r="A470" s="156"/>
      <c r="B470" s="89"/>
      <c r="C470" s="89"/>
      <c r="D470" s="89" t="s">
        <v>79</v>
      </c>
      <c r="E470" s="89">
        <v>1</v>
      </c>
      <c r="F470" s="89">
        <v>0</v>
      </c>
      <c r="G470" s="89"/>
      <c r="H470" s="157"/>
      <c r="I470" s="96"/>
    </row>
    <row r="471" spans="1:9" s="115" customFormat="1" ht="17.25" x14ac:dyDescent="0.35">
      <c r="A471" s="156" t="s">
        <v>316</v>
      </c>
      <c r="B471" s="89" t="s">
        <v>317</v>
      </c>
      <c r="C471" s="89" t="s">
        <v>116</v>
      </c>
      <c r="D471" s="89"/>
      <c r="E471" s="89"/>
      <c r="F471" s="89"/>
      <c r="G471" s="89" t="s">
        <v>88</v>
      </c>
      <c r="H471" s="157"/>
      <c r="I471" s="96">
        <v>66017</v>
      </c>
    </row>
    <row r="472" spans="1:9" s="115" customFormat="1" ht="17.25" x14ac:dyDescent="0.35">
      <c r="A472" s="156"/>
      <c r="B472" s="89"/>
      <c r="C472" s="89"/>
      <c r="D472" s="89" t="s">
        <v>79</v>
      </c>
      <c r="E472" s="89">
        <v>4</v>
      </c>
      <c r="F472" s="89">
        <v>3</v>
      </c>
      <c r="G472" s="89"/>
      <c r="H472" s="157"/>
      <c r="I472" s="96"/>
    </row>
    <row r="473" spans="1:9" s="115" customFormat="1" ht="17.25" x14ac:dyDescent="0.35">
      <c r="A473" s="161" t="s">
        <v>575</v>
      </c>
      <c r="B473" s="89" t="s">
        <v>576</v>
      </c>
      <c r="C473" s="89" t="s">
        <v>116</v>
      </c>
      <c r="D473" s="89"/>
      <c r="E473" s="89"/>
      <c r="F473" s="89"/>
      <c r="G473" s="89" t="s">
        <v>88</v>
      </c>
      <c r="H473" s="157"/>
      <c r="I473" s="103">
        <v>69739</v>
      </c>
    </row>
    <row r="474" spans="1:9" s="115" customFormat="1" ht="17.25" x14ac:dyDescent="0.35">
      <c r="A474" s="161"/>
      <c r="B474" s="89"/>
      <c r="C474" s="89"/>
      <c r="D474" s="89" t="s">
        <v>79</v>
      </c>
      <c r="E474" s="89">
        <v>1</v>
      </c>
      <c r="F474" s="89">
        <v>1</v>
      </c>
      <c r="G474" s="89"/>
      <c r="H474" s="157"/>
      <c r="I474" s="103" t="s">
        <v>33</v>
      </c>
    </row>
    <row r="475" spans="1:9" s="115" customFormat="1" ht="17.25" x14ac:dyDescent="0.35">
      <c r="A475" s="161"/>
      <c r="B475" s="89"/>
      <c r="C475" s="89"/>
      <c r="D475" s="89" t="s">
        <v>79</v>
      </c>
      <c r="E475" s="89">
        <v>4</v>
      </c>
      <c r="F475" s="89">
        <v>1000</v>
      </c>
      <c r="G475" s="89"/>
      <c r="H475" s="157"/>
      <c r="I475" s="103" t="s">
        <v>577</v>
      </c>
    </row>
    <row r="476" spans="1:9" s="115" customFormat="1" ht="17.25" x14ac:dyDescent="0.35">
      <c r="A476" s="161" t="s">
        <v>544</v>
      </c>
      <c r="B476" s="89" t="s">
        <v>543</v>
      </c>
      <c r="C476" s="89" t="s">
        <v>116</v>
      </c>
      <c r="D476" s="89"/>
      <c r="E476" s="89"/>
      <c r="F476" s="89"/>
      <c r="G476" s="89" t="s">
        <v>88</v>
      </c>
      <c r="H476" s="157"/>
      <c r="I476" s="103">
        <v>67208</v>
      </c>
    </row>
    <row r="477" spans="1:9" s="115" customFormat="1" ht="17.25" x14ac:dyDescent="0.35">
      <c r="A477" s="161"/>
      <c r="B477" s="89"/>
      <c r="C477" s="89"/>
      <c r="D477" s="89" t="s">
        <v>79</v>
      </c>
      <c r="E477" s="89">
        <v>1</v>
      </c>
      <c r="F477" s="89">
        <v>1</v>
      </c>
      <c r="G477" s="89"/>
      <c r="H477" s="157"/>
      <c r="I477" s="103"/>
    </row>
    <row r="478" spans="1:9" s="115" customFormat="1" ht="17.25" x14ac:dyDescent="0.35">
      <c r="A478" s="161" t="s">
        <v>892</v>
      </c>
      <c r="B478" s="89" t="s">
        <v>893</v>
      </c>
      <c r="C478" s="89" t="s">
        <v>116</v>
      </c>
      <c r="D478" s="89"/>
      <c r="E478" s="89"/>
      <c r="F478" s="89"/>
      <c r="G478" s="89" t="s">
        <v>88</v>
      </c>
      <c r="H478" s="157"/>
      <c r="I478" s="103">
        <v>70193</v>
      </c>
    </row>
    <row r="479" spans="1:9" s="115" customFormat="1" ht="17.25" x14ac:dyDescent="0.35">
      <c r="A479" s="161"/>
      <c r="B479" s="89"/>
      <c r="C479" s="89"/>
      <c r="D479" s="89" t="s">
        <v>79</v>
      </c>
      <c r="E479" s="89">
        <v>2</v>
      </c>
      <c r="F479" s="89">
        <v>0</v>
      </c>
      <c r="G479" s="89"/>
      <c r="H479" s="157"/>
      <c r="I479" s="103" t="s">
        <v>896</v>
      </c>
    </row>
    <row r="480" spans="1:9" s="115" customFormat="1" ht="17.25" x14ac:dyDescent="0.35">
      <c r="A480" s="161"/>
      <c r="B480" s="89"/>
      <c r="C480" s="89"/>
      <c r="D480" s="89" t="s">
        <v>79</v>
      </c>
      <c r="E480" s="89">
        <v>2</v>
      </c>
      <c r="F480" s="89"/>
      <c r="G480" s="89"/>
      <c r="H480" s="157"/>
      <c r="I480" s="103" t="s">
        <v>897</v>
      </c>
    </row>
    <row r="481" spans="1:10" s="115" customFormat="1" ht="17.25" x14ac:dyDescent="0.35">
      <c r="A481" s="161"/>
      <c r="B481" s="89"/>
      <c r="C481" s="89"/>
      <c r="D481" s="89" t="s">
        <v>79</v>
      </c>
      <c r="E481" s="89">
        <v>4</v>
      </c>
      <c r="F481" s="89"/>
      <c r="G481" s="89"/>
      <c r="H481" s="157"/>
      <c r="I481" s="103" t="s">
        <v>897</v>
      </c>
    </row>
    <row r="482" spans="1:10" s="115" customFormat="1" ht="17.25" x14ac:dyDescent="0.35">
      <c r="A482" s="161"/>
      <c r="B482" s="89"/>
      <c r="C482" s="89"/>
      <c r="D482" s="89" t="s">
        <v>79</v>
      </c>
      <c r="E482" s="89">
        <v>2</v>
      </c>
      <c r="F482" s="89"/>
      <c r="G482" s="89"/>
      <c r="H482" s="157"/>
      <c r="I482" s="103" t="s">
        <v>897</v>
      </c>
    </row>
    <row r="483" spans="1:10" s="116" customFormat="1" ht="17.25" x14ac:dyDescent="0.35">
      <c r="A483" s="161" t="s">
        <v>898</v>
      </c>
      <c r="B483" s="89" t="s">
        <v>899</v>
      </c>
      <c r="C483" s="89" t="s">
        <v>116</v>
      </c>
      <c r="D483" s="89"/>
      <c r="E483" s="89"/>
      <c r="F483" s="89"/>
      <c r="G483" s="89" t="s">
        <v>88</v>
      </c>
      <c r="H483" s="157"/>
      <c r="I483" s="103">
        <v>69745</v>
      </c>
      <c r="J483" s="115"/>
    </row>
    <row r="484" spans="1:10" s="116" customFormat="1" ht="17.25" x14ac:dyDescent="0.35">
      <c r="A484" s="161"/>
      <c r="B484" s="89"/>
      <c r="C484" s="89"/>
      <c r="D484" s="89" t="s">
        <v>79</v>
      </c>
      <c r="E484" s="89">
        <v>1</v>
      </c>
      <c r="F484" s="89">
        <v>3</v>
      </c>
      <c r="G484" s="89"/>
      <c r="H484" s="157"/>
      <c r="I484" s="103" t="s">
        <v>372</v>
      </c>
      <c r="J484" s="115"/>
    </row>
    <row r="485" spans="1:10" s="116" customFormat="1" ht="17.25" x14ac:dyDescent="0.35">
      <c r="A485" s="161"/>
      <c r="B485" s="89"/>
      <c r="C485" s="89"/>
      <c r="D485" s="89" t="s">
        <v>79</v>
      </c>
      <c r="E485" s="89">
        <v>1</v>
      </c>
      <c r="F485" s="89">
        <v>0</v>
      </c>
      <c r="G485" s="89"/>
      <c r="H485" s="157"/>
      <c r="I485" s="103" t="s">
        <v>900</v>
      </c>
      <c r="J485" s="115"/>
    </row>
    <row r="486" spans="1:10" s="116" customFormat="1" ht="17.25" x14ac:dyDescent="0.35">
      <c r="A486" s="161"/>
      <c r="B486" s="89"/>
      <c r="C486" s="89"/>
      <c r="D486" s="89" t="s">
        <v>79</v>
      </c>
      <c r="E486" s="89">
        <v>1</v>
      </c>
      <c r="F486" s="89">
        <v>0</v>
      </c>
      <c r="G486" s="89"/>
      <c r="H486" s="157"/>
      <c r="I486" s="103" t="s">
        <v>901</v>
      </c>
      <c r="J486" s="115"/>
    </row>
    <row r="487" spans="1:10" s="116" customFormat="1" ht="17.25" x14ac:dyDescent="0.35">
      <c r="A487" s="161"/>
      <c r="B487" s="89"/>
      <c r="C487" s="89"/>
      <c r="D487" s="89" t="s">
        <v>79</v>
      </c>
      <c r="E487" s="89">
        <v>4</v>
      </c>
      <c r="F487" s="89">
        <v>0</v>
      </c>
      <c r="G487" s="89"/>
      <c r="H487" s="157"/>
      <c r="I487" s="103" t="s">
        <v>902</v>
      </c>
      <c r="J487" s="115"/>
    </row>
    <row r="488" spans="1:10" s="116" customFormat="1" ht="17.25" x14ac:dyDescent="0.35">
      <c r="A488" s="161"/>
      <c r="B488" s="89"/>
      <c r="C488" s="89"/>
      <c r="D488" s="89" t="s">
        <v>79</v>
      </c>
      <c r="E488" s="89">
        <v>4</v>
      </c>
      <c r="F488" s="89">
        <v>0</v>
      </c>
      <c r="G488" s="89"/>
      <c r="H488" s="157"/>
      <c r="I488" s="103" t="s">
        <v>903</v>
      </c>
      <c r="J488" s="115"/>
    </row>
    <row r="489" spans="1:10" s="116" customFormat="1" ht="17.25" x14ac:dyDescent="0.35">
      <c r="A489" s="161"/>
      <c r="B489" s="89"/>
      <c r="C489" s="89"/>
      <c r="D489" s="89" t="s">
        <v>79</v>
      </c>
      <c r="E489" s="89">
        <v>1</v>
      </c>
      <c r="F489" s="89">
        <v>0</v>
      </c>
      <c r="G489" s="89"/>
      <c r="H489" s="157"/>
      <c r="I489" s="103" t="s">
        <v>904</v>
      </c>
      <c r="J489" s="115"/>
    </row>
    <row r="490" spans="1:10" s="116" customFormat="1" ht="17.25" x14ac:dyDescent="0.35">
      <c r="A490" s="161"/>
      <c r="B490" s="89"/>
      <c r="C490" s="89"/>
      <c r="D490" s="89" t="s">
        <v>79</v>
      </c>
      <c r="E490" s="89">
        <v>1</v>
      </c>
      <c r="F490" s="89">
        <v>0</v>
      </c>
      <c r="G490" s="89"/>
      <c r="H490" s="157"/>
      <c r="I490" s="103" t="s">
        <v>905</v>
      </c>
      <c r="J490" s="115"/>
    </row>
    <row r="491" spans="1:10" s="116" customFormat="1" ht="17.25" x14ac:dyDescent="0.35">
      <c r="A491" s="161"/>
      <c r="B491" s="89"/>
      <c r="C491" s="89"/>
      <c r="D491" s="89" t="s">
        <v>79</v>
      </c>
      <c r="E491" s="89">
        <v>2</v>
      </c>
      <c r="F491" s="89">
        <v>0</v>
      </c>
      <c r="G491" s="89"/>
      <c r="H491" s="157"/>
      <c r="I491" s="103" t="s">
        <v>906</v>
      </c>
      <c r="J491" s="115"/>
    </row>
    <row r="492" spans="1:10" s="116" customFormat="1" ht="17.25" x14ac:dyDescent="0.35">
      <c r="A492" s="161"/>
      <c r="B492" s="89"/>
      <c r="C492" s="89"/>
      <c r="D492" s="89" t="s">
        <v>79</v>
      </c>
      <c r="E492" s="89">
        <v>2</v>
      </c>
      <c r="F492" s="89">
        <v>0</v>
      </c>
      <c r="G492" s="89"/>
      <c r="H492" s="157"/>
      <c r="I492" s="103" t="s">
        <v>907</v>
      </c>
      <c r="J492" s="115"/>
    </row>
    <row r="493" spans="1:10" s="116" customFormat="1" ht="17.25" x14ac:dyDescent="0.35">
      <c r="A493" s="161"/>
      <c r="B493" s="89"/>
      <c r="C493" s="89"/>
      <c r="D493" s="89" t="s">
        <v>79</v>
      </c>
      <c r="E493" s="89">
        <v>1</v>
      </c>
      <c r="F493" s="89">
        <v>0</v>
      </c>
      <c r="G493" s="89"/>
      <c r="H493" s="157"/>
      <c r="I493" s="103" t="s">
        <v>908</v>
      </c>
      <c r="J493" s="115"/>
    </row>
    <row r="494" spans="1:10" s="116" customFormat="1" ht="17.25" x14ac:dyDescent="0.35">
      <c r="A494" s="161"/>
      <c r="B494" s="89"/>
      <c r="C494" s="89"/>
      <c r="D494" s="89" t="s">
        <v>79</v>
      </c>
      <c r="E494" s="89">
        <v>1</v>
      </c>
      <c r="F494" s="89">
        <v>0</v>
      </c>
      <c r="G494" s="89"/>
      <c r="H494" s="157"/>
      <c r="I494" s="103" t="s">
        <v>909</v>
      </c>
      <c r="J494" s="115"/>
    </row>
    <row r="495" spans="1:10" s="116" customFormat="1" ht="17.25" x14ac:dyDescent="0.35">
      <c r="A495" s="161"/>
      <c r="B495" s="89"/>
      <c r="C495" s="89"/>
      <c r="D495" s="89" t="s">
        <v>79</v>
      </c>
      <c r="E495" s="89">
        <v>2</v>
      </c>
      <c r="F495" s="89">
        <v>0</v>
      </c>
      <c r="G495" s="89"/>
      <c r="H495" s="157"/>
      <c r="I495" s="103" t="s">
        <v>910</v>
      </c>
      <c r="J495" s="115"/>
    </row>
    <row r="496" spans="1:10" s="116" customFormat="1" ht="17.25" x14ac:dyDescent="0.35">
      <c r="A496" s="161"/>
      <c r="B496" s="89"/>
      <c r="C496" s="89"/>
      <c r="D496" s="89" t="s">
        <v>79</v>
      </c>
      <c r="E496" s="89">
        <v>1</v>
      </c>
      <c r="F496" s="89"/>
      <c r="G496" s="89"/>
      <c r="H496" s="157"/>
      <c r="I496" s="103" t="s">
        <v>911</v>
      </c>
      <c r="J496" s="115"/>
    </row>
    <row r="497" spans="1:10" s="116" customFormat="1" ht="17.25" x14ac:dyDescent="0.35">
      <c r="A497" s="161" t="s">
        <v>913</v>
      </c>
      <c r="B497" s="89" t="s">
        <v>912</v>
      </c>
      <c r="C497" s="89" t="s">
        <v>81</v>
      </c>
      <c r="D497" s="89"/>
      <c r="E497" s="89"/>
      <c r="F497" s="89"/>
      <c r="G497" s="89" t="s">
        <v>88</v>
      </c>
      <c r="H497" s="157" t="s">
        <v>914</v>
      </c>
      <c r="I497" s="103"/>
      <c r="J497" s="115"/>
    </row>
    <row r="498" spans="1:10" s="116" customFormat="1" ht="51.75" x14ac:dyDescent="0.35">
      <c r="A498" s="161" t="s">
        <v>798</v>
      </c>
      <c r="B498" s="89" t="s">
        <v>986</v>
      </c>
      <c r="C498" s="89" t="s">
        <v>81</v>
      </c>
      <c r="D498" s="89"/>
      <c r="E498" s="89"/>
      <c r="F498" s="89"/>
      <c r="G498" s="89" t="s">
        <v>984</v>
      </c>
      <c r="H498" s="157" t="s">
        <v>795</v>
      </c>
      <c r="I498" s="104" t="s">
        <v>794</v>
      </c>
      <c r="J498" s="115"/>
    </row>
    <row r="499" spans="1:10" s="116" customFormat="1" ht="17.25" x14ac:dyDescent="0.35">
      <c r="A499" s="161" t="s">
        <v>177</v>
      </c>
      <c r="B499" s="89" t="s">
        <v>983</v>
      </c>
      <c r="C499" s="89" t="s">
        <v>81</v>
      </c>
      <c r="D499" s="89"/>
      <c r="E499" s="89"/>
      <c r="F499" s="89"/>
      <c r="G499" s="89" t="s">
        <v>984</v>
      </c>
      <c r="H499" s="157" t="s">
        <v>768</v>
      </c>
      <c r="I499" s="105" t="s">
        <v>542</v>
      </c>
      <c r="J499" s="115"/>
    </row>
    <row r="500" spans="1:10" s="116" customFormat="1" ht="17.25" x14ac:dyDescent="0.35">
      <c r="A500" s="161" t="s">
        <v>769</v>
      </c>
      <c r="B500" s="89" t="s">
        <v>987</v>
      </c>
      <c r="C500" s="89" t="s">
        <v>81</v>
      </c>
      <c r="D500" s="89"/>
      <c r="E500" s="89"/>
      <c r="F500" s="89"/>
      <c r="G500" s="89" t="s">
        <v>984</v>
      </c>
      <c r="H500" s="157" t="s">
        <v>770</v>
      </c>
      <c r="I500" s="105" t="s">
        <v>542</v>
      </c>
      <c r="J500" s="115"/>
    </row>
    <row r="501" spans="1:10" s="116" customFormat="1" ht="17.25" x14ac:dyDescent="0.35">
      <c r="A501" s="161" t="s">
        <v>771</v>
      </c>
      <c r="B501" s="89" t="s">
        <v>988</v>
      </c>
      <c r="C501" s="89" t="s">
        <v>81</v>
      </c>
      <c r="D501" s="89"/>
      <c r="E501" s="89"/>
      <c r="F501" s="89"/>
      <c r="G501" s="89" t="s">
        <v>984</v>
      </c>
      <c r="H501" s="157" t="s">
        <v>772</v>
      </c>
      <c r="I501" s="105" t="s">
        <v>773</v>
      </c>
      <c r="J501" s="115"/>
    </row>
    <row r="502" spans="1:10" s="116" customFormat="1" ht="17.25" x14ac:dyDescent="0.35">
      <c r="A502" s="161" t="s">
        <v>774</v>
      </c>
      <c r="B502" s="89" t="s">
        <v>989</v>
      </c>
      <c r="C502" s="89" t="s">
        <v>81</v>
      </c>
      <c r="D502" s="89"/>
      <c r="E502" s="89"/>
      <c r="F502" s="89"/>
      <c r="G502" s="89" t="s">
        <v>984</v>
      </c>
      <c r="H502" s="157" t="s">
        <v>775</v>
      </c>
      <c r="I502" s="105" t="s">
        <v>589</v>
      </c>
      <c r="J502" s="115"/>
    </row>
    <row r="503" spans="1:10" s="115" customFormat="1" ht="17.25" x14ac:dyDescent="0.35">
      <c r="A503" s="161" t="s">
        <v>776</v>
      </c>
      <c r="B503" s="89" t="s">
        <v>990</v>
      </c>
      <c r="C503" s="89" t="s">
        <v>81</v>
      </c>
      <c r="D503" s="89"/>
      <c r="E503" s="89"/>
      <c r="F503" s="89"/>
      <c r="G503" s="89" t="s">
        <v>984</v>
      </c>
      <c r="H503" s="157" t="s">
        <v>777</v>
      </c>
      <c r="I503" s="105" t="s">
        <v>588</v>
      </c>
    </row>
    <row r="504" spans="1:10" s="115" customFormat="1" ht="17.25" x14ac:dyDescent="0.35">
      <c r="A504" s="161" t="s">
        <v>778</v>
      </c>
      <c r="B504" s="89" t="s">
        <v>991</v>
      </c>
      <c r="C504" s="89" t="s">
        <v>81</v>
      </c>
      <c r="D504" s="89"/>
      <c r="E504" s="89"/>
      <c r="F504" s="89"/>
      <c r="G504" s="89" t="s">
        <v>984</v>
      </c>
      <c r="H504" s="157" t="s">
        <v>779</v>
      </c>
      <c r="I504" s="105" t="s">
        <v>590</v>
      </c>
    </row>
    <row r="505" spans="1:10" s="115" customFormat="1" ht="17.25" x14ac:dyDescent="0.35">
      <c r="A505" s="161" t="s">
        <v>780</v>
      </c>
      <c r="B505" s="89" t="s">
        <v>992</v>
      </c>
      <c r="C505" s="89" t="s">
        <v>81</v>
      </c>
      <c r="D505" s="89"/>
      <c r="E505" s="89"/>
      <c r="F505" s="89"/>
      <c r="G505" s="89" t="s">
        <v>984</v>
      </c>
      <c r="H505" s="157" t="s">
        <v>781</v>
      </c>
      <c r="I505" s="105" t="s">
        <v>760</v>
      </c>
    </row>
    <row r="506" spans="1:10" s="115" customFormat="1" ht="17.25" x14ac:dyDescent="0.35">
      <c r="A506" s="156" t="s">
        <v>224</v>
      </c>
      <c r="B506" s="107" t="s">
        <v>227</v>
      </c>
      <c r="C506" s="89" t="s">
        <v>81</v>
      </c>
      <c r="D506" s="107"/>
      <c r="E506" s="106"/>
      <c r="F506" s="107"/>
      <c r="G506" s="162" t="s">
        <v>6</v>
      </c>
      <c r="H506" s="137"/>
      <c r="I506" s="151" t="s">
        <v>226</v>
      </c>
    </row>
    <row r="507" spans="1:10" s="115" customFormat="1" ht="18" thickBot="1" x14ac:dyDescent="0.4">
      <c r="A507" s="163" t="s">
        <v>225</v>
      </c>
      <c r="B507" s="164" t="s">
        <v>228</v>
      </c>
      <c r="C507" s="165" t="s">
        <v>81</v>
      </c>
      <c r="D507" s="164"/>
      <c r="E507" s="166"/>
      <c r="F507" s="164"/>
      <c r="G507" s="167" t="s">
        <v>6</v>
      </c>
      <c r="H507" s="143"/>
      <c r="I507" s="152" t="s">
        <v>245</v>
      </c>
    </row>
    <row r="508" spans="1:10" s="115" customFormat="1" ht="13.5" thickBot="1" x14ac:dyDescent="0.25">
      <c r="H508" s="147"/>
    </row>
    <row r="509" spans="1:10" s="115" customFormat="1" ht="20.25" thickBot="1" x14ac:dyDescent="0.45">
      <c r="A509" s="197" t="s">
        <v>192</v>
      </c>
      <c r="B509" s="198"/>
      <c r="C509" s="198"/>
      <c r="D509" s="198"/>
      <c r="E509" s="198"/>
      <c r="F509" s="198"/>
      <c r="G509" s="198"/>
      <c r="H509" s="199"/>
    </row>
    <row r="510" spans="1:10" s="116" customFormat="1" ht="18" thickBot="1" x14ac:dyDescent="0.4">
      <c r="A510" s="170" t="s">
        <v>209</v>
      </c>
      <c r="B510" s="170"/>
      <c r="C510" s="170" t="s">
        <v>76</v>
      </c>
      <c r="D510" s="170" t="s">
        <v>210</v>
      </c>
      <c r="E510" s="170" t="s">
        <v>211</v>
      </c>
      <c r="F510" s="170" t="s">
        <v>212</v>
      </c>
      <c r="G510" s="170" t="s">
        <v>84</v>
      </c>
      <c r="H510" s="171"/>
      <c r="I510" s="115"/>
      <c r="J510" s="115"/>
    </row>
    <row r="511" spans="1:10" s="150" customFormat="1" ht="17.25" x14ac:dyDescent="0.35">
      <c r="A511" s="174" t="s">
        <v>208</v>
      </c>
      <c r="B511" s="174"/>
      <c r="C511" s="168" t="s">
        <v>193</v>
      </c>
      <c r="D511" s="168"/>
      <c r="E511" s="168"/>
      <c r="F511" s="169"/>
      <c r="G511" s="168" t="s">
        <v>60</v>
      </c>
      <c r="H511" s="172"/>
      <c r="I511" s="115"/>
      <c r="J511" s="115"/>
    </row>
    <row r="512" spans="1:10" s="150" customFormat="1" ht="17.25" x14ac:dyDescent="0.35">
      <c r="A512" s="175" t="s">
        <v>194</v>
      </c>
      <c r="B512" s="175"/>
      <c r="C512" s="148"/>
      <c r="D512" s="148" t="s">
        <v>79</v>
      </c>
      <c r="E512" s="148">
        <v>1</v>
      </c>
      <c r="F512" s="149">
        <v>0</v>
      </c>
      <c r="G512" s="148"/>
      <c r="H512" s="173"/>
      <c r="I512" s="115"/>
      <c r="J512" s="115"/>
    </row>
    <row r="513" spans="1:9" ht="17.25" x14ac:dyDescent="0.35">
      <c r="A513" s="35" t="s">
        <v>195</v>
      </c>
      <c r="B513" s="35"/>
      <c r="C513" s="23"/>
      <c r="D513" s="23" t="s">
        <v>79</v>
      </c>
      <c r="E513" s="23">
        <v>2</v>
      </c>
      <c r="F513" s="91">
        <v>2</v>
      </c>
      <c r="G513" s="23"/>
      <c r="H513" s="36"/>
    </row>
    <row r="514" spans="1:9" ht="17.25" x14ac:dyDescent="0.35">
      <c r="A514" s="35" t="s">
        <v>196</v>
      </c>
      <c r="B514" s="35"/>
      <c r="C514" s="23"/>
      <c r="D514" s="23" t="s">
        <v>79</v>
      </c>
      <c r="E514" s="23">
        <v>2</v>
      </c>
      <c r="F514" s="91" t="s">
        <v>213</v>
      </c>
      <c r="G514" s="23"/>
      <c r="H514" s="36"/>
    </row>
    <row r="515" spans="1:9" ht="17.25" x14ac:dyDescent="0.35">
      <c r="A515" s="35" t="s">
        <v>197</v>
      </c>
      <c r="B515" s="35"/>
      <c r="C515" s="23"/>
      <c r="D515" s="23" t="s">
        <v>79</v>
      </c>
      <c r="E515" s="23">
        <v>1</v>
      </c>
      <c r="F515" s="91" t="s">
        <v>4</v>
      </c>
      <c r="G515" s="23"/>
      <c r="H515" s="36"/>
    </row>
    <row r="516" spans="1:9" ht="17.25" x14ac:dyDescent="0.35">
      <c r="A516" s="35" t="s">
        <v>198</v>
      </c>
      <c r="B516" s="35"/>
      <c r="C516" s="23"/>
      <c r="D516" s="23" t="s">
        <v>79</v>
      </c>
      <c r="E516" s="23">
        <v>2</v>
      </c>
      <c r="F516" s="91">
        <v>4</v>
      </c>
      <c r="G516" s="23"/>
      <c r="H516" s="36"/>
    </row>
    <row r="517" spans="1:9" ht="17.25" x14ac:dyDescent="0.35">
      <c r="A517" s="37" t="s">
        <v>199</v>
      </c>
      <c r="B517" s="37"/>
      <c r="C517" s="14"/>
      <c r="D517" s="14" t="s">
        <v>79</v>
      </c>
      <c r="E517" s="14">
        <f>F516</f>
        <v>4</v>
      </c>
      <c r="F517" s="92" t="s">
        <v>1026</v>
      </c>
      <c r="G517" s="14"/>
      <c r="H517" s="38"/>
      <c r="I517" s="15"/>
    </row>
    <row r="518" spans="1:9" s="15" customFormat="1" ht="17.25" x14ac:dyDescent="0.35">
      <c r="A518" s="97" t="s">
        <v>200</v>
      </c>
      <c r="B518" s="97"/>
      <c r="C518" s="98"/>
      <c r="D518" s="98" t="s">
        <v>79</v>
      </c>
      <c r="E518" s="98">
        <v>1</v>
      </c>
      <c r="F518" s="144" t="s">
        <v>5</v>
      </c>
      <c r="G518" s="23"/>
      <c r="H518" s="36"/>
      <c r="I518" s="20"/>
    </row>
    <row r="519" spans="1:9" ht="17.25" x14ac:dyDescent="0.35">
      <c r="A519" s="97" t="s">
        <v>201</v>
      </c>
      <c r="B519" s="97"/>
      <c r="C519" s="98"/>
      <c r="D519" s="98" t="s">
        <v>79</v>
      </c>
      <c r="E519" s="98">
        <v>2</v>
      </c>
      <c r="F519" s="144">
        <f>LEN(F520)</f>
        <v>16</v>
      </c>
      <c r="G519" s="23"/>
      <c r="H519" s="36"/>
    </row>
    <row r="520" spans="1:9" ht="17.25" x14ac:dyDescent="0.35">
      <c r="A520" s="97" t="s">
        <v>202</v>
      </c>
      <c r="B520" s="97"/>
      <c r="C520" s="98"/>
      <c r="D520" s="98" t="s">
        <v>80</v>
      </c>
      <c r="E520" s="98">
        <f>F519</f>
        <v>16</v>
      </c>
      <c r="F520" s="144" t="s">
        <v>888</v>
      </c>
      <c r="G520" s="23"/>
      <c r="H520" s="36"/>
    </row>
    <row r="521" spans="1:9" ht="17.25" x14ac:dyDescent="0.35">
      <c r="A521" s="97" t="s">
        <v>203</v>
      </c>
      <c r="B521" s="97"/>
      <c r="C521" s="98"/>
      <c r="D521" s="98" t="s">
        <v>79</v>
      </c>
      <c r="E521" s="98">
        <v>1</v>
      </c>
      <c r="F521" s="144" t="s">
        <v>214</v>
      </c>
      <c r="G521" s="23"/>
      <c r="H521" s="36"/>
    </row>
    <row r="522" spans="1:9" ht="17.25" x14ac:dyDescent="0.35">
      <c r="A522" s="97" t="s">
        <v>204</v>
      </c>
      <c r="B522" s="97"/>
      <c r="C522" s="98"/>
      <c r="D522" s="98" t="s">
        <v>79</v>
      </c>
      <c r="E522" s="98">
        <v>2</v>
      </c>
      <c r="F522" s="145">
        <f>SUM(E523:E524)+E525*F524</f>
        <v>14</v>
      </c>
      <c r="G522" s="14"/>
      <c r="H522" s="38"/>
    </row>
    <row r="523" spans="1:9" ht="17.25" x14ac:dyDescent="0.35">
      <c r="A523" s="97" t="s">
        <v>205</v>
      </c>
      <c r="B523" s="97"/>
      <c r="C523" s="98"/>
      <c r="D523" s="98" t="s">
        <v>79</v>
      </c>
      <c r="E523" s="98">
        <v>1</v>
      </c>
      <c r="F523" s="144">
        <v>0</v>
      </c>
      <c r="G523" s="23"/>
      <c r="H523" s="36"/>
    </row>
    <row r="524" spans="1:9" ht="17.25" x14ac:dyDescent="0.35">
      <c r="A524" s="97" t="s">
        <v>206</v>
      </c>
      <c r="B524" s="97"/>
      <c r="C524" s="98"/>
      <c r="D524" s="98" t="s">
        <v>79</v>
      </c>
      <c r="E524" s="98">
        <v>1</v>
      </c>
      <c r="F524" s="99">
        <f>LEN(F525)-LEN(SUBSTITUTE(F525,",","")) +1</f>
        <v>3</v>
      </c>
      <c r="G524" s="23"/>
      <c r="H524" s="36"/>
    </row>
    <row r="525" spans="1:9" ht="17.25" x14ac:dyDescent="0.35">
      <c r="A525" s="97" t="s">
        <v>207</v>
      </c>
      <c r="B525" s="97"/>
      <c r="C525" s="98"/>
      <c r="D525" s="98" t="s">
        <v>87</v>
      </c>
      <c r="E525" s="98">
        <v>4</v>
      </c>
      <c r="F525" s="99" t="s">
        <v>1001</v>
      </c>
      <c r="G525" s="57"/>
      <c r="H525" s="58"/>
      <c r="I525" s="7"/>
    </row>
    <row r="526" spans="1:9" ht="17.25" x14ac:dyDescent="0.35">
      <c r="A526" s="97" t="s">
        <v>955</v>
      </c>
      <c r="B526" s="97"/>
      <c r="C526" s="98"/>
      <c r="D526" s="98" t="s">
        <v>79</v>
      </c>
      <c r="E526" s="98">
        <v>1</v>
      </c>
      <c r="F526" s="144" t="s">
        <v>956</v>
      </c>
      <c r="G526" s="23"/>
      <c r="H526" s="36"/>
    </row>
    <row r="527" spans="1:9" ht="17.25" x14ac:dyDescent="0.35">
      <c r="A527" s="97" t="s">
        <v>957</v>
      </c>
      <c r="B527" s="97"/>
      <c r="C527" s="98"/>
      <c r="D527" s="98" t="s">
        <v>79</v>
      </c>
      <c r="E527" s="98">
        <v>2</v>
      </c>
      <c r="F527" s="99" t="s">
        <v>958</v>
      </c>
      <c r="G527" s="23"/>
      <c r="H527" s="36"/>
    </row>
    <row r="528" spans="1:9" ht="17.25" x14ac:dyDescent="0.35">
      <c r="A528" s="37" t="s">
        <v>959</v>
      </c>
      <c r="B528" s="37"/>
      <c r="C528" s="14"/>
      <c r="D528" s="14" t="s">
        <v>79</v>
      </c>
      <c r="E528" s="14">
        <v>4</v>
      </c>
      <c r="F528" s="92" t="str">
        <f>$F$517</f>
        <v>0x05011910</v>
      </c>
      <c r="G528" s="14"/>
      <c r="H528" s="38"/>
    </row>
    <row r="529" spans="1:9" ht="17.25" x14ac:dyDescent="0.35">
      <c r="A529" s="35" t="s">
        <v>1002</v>
      </c>
      <c r="B529" s="35"/>
      <c r="C529" s="23"/>
      <c r="D529" s="23" t="s">
        <v>79</v>
      </c>
      <c r="E529" s="23">
        <v>1</v>
      </c>
      <c r="F529" s="93" t="s">
        <v>1003</v>
      </c>
      <c r="G529" s="23"/>
      <c r="H529" s="36"/>
    </row>
    <row r="530" spans="1:9" s="7" customFormat="1" ht="17.25" x14ac:dyDescent="0.35">
      <c r="A530" s="97" t="s">
        <v>1004</v>
      </c>
      <c r="B530" s="97"/>
      <c r="C530" s="98"/>
      <c r="D530" s="98" t="s">
        <v>79</v>
      </c>
      <c r="E530" s="98">
        <v>2</v>
      </c>
      <c r="F530" s="21">
        <f>SUM(E531:E532)+E533*F532*2</f>
        <v>6</v>
      </c>
      <c r="G530" s="57"/>
      <c r="H530" s="111"/>
      <c r="I530" s="20"/>
    </row>
    <row r="531" spans="1:9" ht="17.25" x14ac:dyDescent="0.35">
      <c r="A531" s="97" t="s">
        <v>1005</v>
      </c>
      <c r="B531" s="97"/>
      <c r="C531" s="98"/>
      <c r="D531" s="98" t="s">
        <v>79</v>
      </c>
      <c r="E531" s="98">
        <v>1</v>
      </c>
      <c r="F531" s="144">
        <v>0</v>
      </c>
      <c r="G531" s="23"/>
      <c r="H531" s="36" t="s">
        <v>1006</v>
      </c>
    </row>
    <row r="532" spans="1:9" ht="17.25" x14ac:dyDescent="0.35">
      <c r="A532" s="97" t="s">
        <v>1007</v>
      </c>
      <c r="B532" s="97"/>
      <c r="C532" s="98"/>
      <c r="D532" s="98" t="s">
        <v>79</v>
      </c>
      <c r="E532" s="98">
        <v>1</v>
      </c>
      <c r="F532" s="21">
        <f>LEN(F533)-LEN(SUBSTITUTE(F533,"-",""))</f>
        <v>1</v>
      </c>
      <c r="G532" s="23"/>
      <c r="H532" s="36" t="s">
        <v>1008</v>
      </c>
    </row>
    <row r="533" spans="1:9" ht="17.25" x14ac:dyDescent="0.35">
      <c r="A533" s="97" t="s">
        <v>1009</v>
      </c>
      <c r="B533" s="97"/>
      <c r="C533" s="98"/>
      <c r="D533" s="98" t="s">
        <v>87</v>
      </c>
      <c r="E533" s="98">
        <v>2</v>
      </c>
      <c r="F533" s="99" t="s">
        <v>1010</v>
      </c>
      <c r="G533" s="98"/>
      <c r="H533" s="177"/>
    </row>
    <row r="534" spans="1:9" ht="17.25" x14ac:dyDescent="0.35">
      <c r="A534" s="178" t="s">
        <v>1018</v>
      </c>
      <c r="B534" s="178"/>
      <c r="C534" s="179"/>
      <c r="D534" s="180" t="s">
        <v>79</v>
      </c>
      <c r="E534" s="180">
        <v>1</v>
      </c>
      <c r="F534" s="188" t="s">
        <v>1019</v>
      </c>
      <c r="G534" s="180"/>
      <c r="H534" s="181"/>
    </row>
    <row r="535" spans="1:9" ht="17.25" x14ac:dyDescent="0.35">
      <c r="A535" s="178" t="s">
        <v>1020</v>
      </c>
      <c r="B535" s="178"/>
      <c r="C535" s="179"/>
      <c r="D535" s="180" t="s">
        <v>79</v>
      </c>
      <c r="E535" s="180">
        <v>2</v>
      </c>
      <c r="F535" s="182">
        <v>4</v>
      </c>
      <c r="G535" s="180"/>
      <c r="H535" s="181"/>
    </row>
    <row r="536" spans="1:9" ht="138" x14ac:dyDescent="0.35">
      <c r="A536" s="178" t="s">
        <v>1021</v>
      </c>
      <c r="B536" s="178"/>
      <c r="C536" s="179"/>
      <c r="D536" s="180" t="s">
        <v>79</v>
      </c>
      <c r="E536" s="180">
        <v>4</v>
      </c>
      <c r="F536" s="188" t="s">
        <v>1022</v>
      </c>
      <c r="G536" s="180"/>
      <c r="H536" s="181" t="s">
        <v>1023</v>
      </c>
    </row>
  </sheetData>
  <autoFilter ref="C1:C551"/>
  <mergeCells count="3">
    <mergeCell ref="A2:I2"/>
    <mergeCell ref="A4:H4"/>
    <mergeCell ref="A509:H509"/>
  </mergeCells>
  <hyperlinks>
    <hyperlink ref="F264" r:id="rId1"/>
  </hyperlinks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2:G142"/>
  <sheetViews>
    <sheetView topLeftCell="A100" zoomScale="80" zoomScaleNormal="80" workbookViewId="0">
      <selection activeCell="G117" sqref="G117"/>
    </sheetView>
  </sheetViews>
  <sheetFormatPr defaultColWidth="9.140625" defaultRowHeight="12.75" x14ac:dyDescent="0.2"/>
  <cols>
    <col min="1" max="1" width="2.85546875" style="25" customWidth="1"/>
    <col min="2" max="2" width="11.7109375" style="25" customWidth="1"/>
    <col min="3" max="3" width="12.7109375" style="21" bestFit="1" customWidth="1"/>
    <col min="4" max="4" width="56.28515625" style="21" bestFit="1" customWidth="1"/>
    <col min="5" max="5" width="20.5703125" style="21" customWidth="1"/>
    <col min="6" max="6" width="46" style="21" customWidth="1"/>
    <col min="7" max="7" width="53.28515625" style="21" customWidth="1"/>
    <col min="8" max="8" width="9.140625" style="25" customWidth="1"/>
    <col min="9" max="11" width="9.140625" style="25"/>
    <col min="12" max="12" width="10.85546875" style="25" bestFit="1" customWidth="1"/>
    <col min="13" max="16384" width="9.140625" style="25"/>
  </cols>
  <sheetData>
    <row r="2" spans="1:7" s="24" customFormat="1" ht="45" customHeight="1" x14ac:dyDescent="0.55000000000000004">
      <c r="B2" s="48" t="s">
        <v>71</v>
      </c>
      <c r="C2" s="48"/>
      <c r="D2" s="48"/>
      <c r="E2" s="48"/>
      <c r="F2" s="48"/>
      <c r="G2" s="48"/>
    </row>
    <row r="3" spans="1:7" ht="13.5" thickBot="1" x14ac:dyDescent="0.25"/>
    <row r="4" spans="1:7" ht="15.75" thickBot="1" x14ac:dyDescent="0.35">
      <c r="D4" s="60" t="s">
        <v>578</v>
      </c>
      <c r="E4" s="60"/>
    </row>
    <row r="5" spans="1:7" x14ac:dyDescent="0.2">
      <c r="D5" s="25" t="s">
        <v>579</v>
      </c>
      <c r="E5" s="21">
        <v>2</v>
      </c>
    </row>
    <row r="6" spans="1:7" x14ac:dyDescent="0.2">
      <c r="D6" s="25" t="s">
        <v>580</v>
      </c>
      <c r="E6" s="21">
        <v>505</v>
      </c>
    </row>
    <row r="7" spans="1:7" ht="13.5" thickBot="1" x14ac:dyDescent="0.25"/>
    <row r="8" spans="1:7" s="26" customFormat="1" ht="15.75" thickBot="1" x14ac:dyDescent="0.35">
      <c r="B8" s="27" t="s">
        <v>72</v>
      </c>
      <c r="C8" s="31" t="s">
        <v>68</v>
      </c>
      <c r="D8" s="31" t="s">
        <v>69</v>
      </c>
      <c r="E8" s="31" t="s">
        <v>70</v>
      </c>
      <c r="F8" s="33" t="s">
        <v>3</v>
      </c>
      <c r="G8" s="32" t="s">
        <v>469</v>
      </c>
    </row>
    <row r="9" spans="1:7" s="49" customFormat="1" ht="15" x14ac:dyDescent="0.3">
      <c r="B9" s="50"/>
      <c r="C9" s="51"/>
      <c r="D9" s="54"/>
      <c r="E9" s="40"/>
      <c r="F9" s="53"/>
      <c r="G9" s="52"/>
    </row>
    <row r="10" spans="1:7" s="49" customFormat="1" ht="15" x14ac:dyDescent="0.3">
      <c r="B10" s="50">
        <v>1</v>
      </c>
      <c r="C10" s="51">
        <v>41571</v>
      </c>
      <c r="D10" s="54" t="s">
        <v>551</v>
      </c>
      <c r="E10" s="40">
        <v>566149</v>
      </c>
      <c r="F10" s="53" t="s">
        <v>550</v>
      </c>
      <c r="G10" s="52" t="s">
        <v>549</v>
      </c>
    </row>
    <row r="11" spans="1:7" s="49" customFormat="1" ht="30" x14ac:dyDescent="0.3">
      <c r="A11" s="49" t="s">
        <v>6</v>
      </c>
      <c r="B11" s="50">
        <v>2</v>
      </c>
      <c r="C11" s="51">
        <v>41573</v>
      </c>
      <c r="D11" s="54" t="s">
        <v>596</v>
      </c>
      <c r="E11" s="40">
        <v>537565</v>
      </c>
      <c r="F11" s="53" t="s">
        <v>597</v>
      </c>
      <c r="G11" s="52" t="s">
        <v>598</v>
      </c>
    </row>
    <row r="12" spans="1:7" s="49" customFormat="1" ht="30" x14ac:dyDescent="0.3">
      <c r="B12" s="50">
        <v>3</v>
      </c>
      <c r="C12" s="51">
        <v>41575</v>
      </c>
      <c r="D12" s="54" t="s">
        <v>599</v>
      </c>
      <c r="E12" s="40">
        <v>566042</v>
      </c>
      <c r="F12" s="53" t="s">
        <v>600</v>
      </c>
      <c r="G12" s="52" t="s">
        <v>601</v>
      </c>
    </row>
    <row r="13" spans="1:7" s="49" customFormat="1" ht="90" x14ac:dyDescent="0.3">
      <c r="B13" s="50">
        <v>4</v>
      </c>
      <c r="C13" s="51">
        <v>41577</v>
      </c>
      <c r="D13" s="54" t="s">
        <v>602</v>
      </c>
      <c r="E13" s="40">
        <v>568683</v>
      </c>
      <c r="F13" s="53" t="s">
        <v>603</v>
      </c>
      <c r="G13" s="52" t="s">
        <v>604</v>
      </c>
    </row>
    <row r="14" spans="1:7" s="49" customFormat="1" ht="90" x14ac:dyDescent="0.3">
      <c r="B14" s="50">
        <v>5</v>
      </c>
      <c r="C14" s="51">
        <v>41577</v>
      </c>
      <c r="D14" s="54" t="s">
        <v>605</v>
      </c>
      <c r="E14" s="40">
        <v>568646</v>
      </c>
      <c r="F14" s="53" t="s">
        <v>606</v>
      </c>
      <c r="G14" s="52" t="s">
        <v>607</v>
      </c>
    </row>
    <row r="15" spans="1:7" s="49" customFormat="1" ht="30" x14ac:dyDescent="0.3">
      <c r="B15" s="50">
        <v>6</v>
      </c>
      <c r="C15" s="51">
        <v>41577</v>
      </c>
      <c r="D15" s="54" t="s">
        <v>608</v>
      </c>
      <c r="E15" s="40">
        <v>527130</v>
      </c>
      <c r="F15" s="53" t="s">
        <v>609</v>
      </c>
      <c r="G15" s="52" t="s">
        <v>610</v>
      </c>
    </row>
    <row r="16" spans="1:7" s="49" customFormat="1" ht="15" x14ac:dyDescent="0.3">
      <c r="B16" s="50">
        <v>7</v>
      </c>
      <c r="C16" s="51">
        <v>41583</v>
      </c>
      <c r="D16" s="54" t="s">
        <v>611</v>
      </c>
      <c r="E16" s="40">
        <v>549524</v>
      </c>
      <c r="F16" s="53"/>
      <c r="G16" s="52" t="s">
        <v>612</v>
      </c>
    </row>
    <row r="17" spans="2:7" s="49" customFormat="1" ht="15" x14ac:dyDescent="0.3">
      <c r="B17" s="50">
        <v>8</v>
      </c>
      <c r="C17" s="51">
        <v>41584</v>
      </c>
      <c r="D17" s="54" t="s">
        <v>613</v>
      </c>
      <c r="E17" s="40">
        <v>533044</v>
      </c>
      <c r="F17" s="53"/>
      <c r="G17" s="52" t="s">
        <v>614</v>
      </c>
    </row>
    <row r="18" spans="2:7" s="49" customFormat="1" ht="255" x14ac:dyDescent="0.3">
      <c r="B18" s="50">
        <v>9</v>
      </c>
      <c r="C18" s="51">
        <v>41585</v>
      </c>
      <c r="D18" s="54" t="s">
        <v>615</v>
      </c>
      <c r="E18" s="40">
        <v>556422</v>
      </c>
      <c r="F18" s="53" t="s">
        <v>616</v>
      </c>
      <c r="G18" s="52" t="s">
        <v>617</v>
      </c>
    </row>
    <row r="19" spans="2:7" s="49" customFormat="1" ht="195" x14ac:dyDescent="0.3">
      <c r="B19" s="50">
        <v>10</v>
      </c>
      <c r="C19" s="51">
        <v>41586</v>
      </c>
      <c r="D19" s="54" t="s">
        <v>618</v>
      </c>
      <c r="E19" s="40">
        <v>572776</v>
      </c>
      <c r="F19" s="53" t="s">
        <v>619</v>
      </c>
      <c r="G19" s="52" t="s">
        <v>620</v>
      </c>
    </row>
    <row r="20" spans="2:7" s="49" customFormat="1" ht="30" x14ac:dyDescent="0.3">
      <c r="B20" s="50">
        <v>11</v>
      </c>
      <c r="C20" s="51">
        <v>41589</v>
      </c>
      <c r="D20" s="54" t="s">
        <v>552</v>
      </c>
      <c r="E20" s="40">
        <v>574001</v>
      </c>
      <c r="F20" s="53" t="s">
        <v>553</v>
      </c>
      <c r="G20" s="52" t="s">
        <v>554</v>
      </c>
    </row>
    <row r="21" spans="2:7" s="49" customFormat="1" ht="30" x14ac:dyDescent="0.3">
      <c r="B21" s="50">
        <v>12</v>
      </c>
      <c r="C21" s="51">
        <v>41591</v>
      </c>
      <c r="D21" s="54" t="s">
        <v>621</v>
      </c>
      <c r="E21" s="40">
        <v>573207</v>
      </c>
      <c r="F21" s="53" t="s">
        <v>622</v>
      </c>
      <c r="G21" s="52" t="s">
        <v>623</v>
      </c>
    </row>
    <row r="22" spans="2:7" s="49" customFormat="1" ht="75" x14ac:dyDescent="0.3">
      <c r="B22" s="50">
        <v>13</v>
      </c>
      <c r="C22" s="51">
        <v>41592</v>
      </c>
      <c r="D22" s="54" t="s">
        <v>624</v>
      </c>
      <c r="E22" s="40">
        <v>575756</v>
      </c>
      <c r="F22" s="53" t="s">
        <v>625</v>
      </c>
      <c r="G22" s="52" t="s">
        <v>626</v>
      </c>
    </row>
    <row r="23" spans="2:7" s="49" customFormat="1" ht="30" x14ac:dyDescent="0.3">
      <c r="B23" s="50">
        <v>14</v>
      </c>
      <c r="C23" s="51">
        <v>41593</v>
      </c>
      <c r="D23" s="54" t="s">
        <v>627</v>
      </c>
      <c r="E23" s="40">
        <v>575742</v>
      </c>
      <c r="F23" s="53" t="s">
        <v>628</v>
      </c>
      <c r="G23" s="52" t="s">
        <v>629</v>
      </c>
    </row>
    <row r="24" spans="2:7" s="49" customFormat="1" ht="45" x14ac:dyDescent="0.3">
      <c r="B24" s="50">
        <v>15</v>
      </c>
      <c r="C24" s="51">
        <v>41593</v>
      </c>
      <c r="D24" s="54" t="s">
        <v>624</v>
      </c>
      <c r="E24" s="40">
        <v>575733</v>
      </c>
      <c r="F24" s="53" t="s">
        <v>630</v>
      </c>
      <c r="G24" s="52" t="s">
        <v>631</v>
      </c>
    </row>
    <row r="25" spans="2:7" s="49" customFormat="1" ht="30" x14ac:dyDescent="0.3">
      <c r="B25" s="50">
        <v>16</v>
      </c>
      <c r="C25" s="51">
        <v>41604</v>
      </c>
      <c r="D25" s="54" t="s">
        <v>552</v>
      </c>
      <c r="E25" s="40">
        <v>580633</v>
      </c>
      <c r="F25" s="53" t="s">
        <v>555</v>
      </c>
      <c r="G25" s="52" t="s">
        <v>556</v>
      </c>
    </row>
    <row r="26" spans="2:7" s="49" customFormat="1" ht="30" x14ac:dyDescent="0.3">
      <c r="B26" s="50">
        <v>17</v>
      </c>
      <c r="C26" s="51">
        <v>41605</v>
      </c>
      <c r="D26" s="54" t="s">
        <v>621</v>
      </c>
      <c r="E26" s="40">
        <v>582187</v>
      </c>
      <c r="F26" s="53" t="s">
        <v>632</v>
      </c>
      <c r="G26" s="52" t="s">
        <v>633</v>
      </c>
    </row>
    <row r="27" spans="2:7" s="49" customFormat="1" ht="75" x14ac:dyDescent="0.3">
      <c r="B27" s="50">
        <v>18</v>
      </c>
      <c r="C27" s="51">
        <v>41612</v>
      </c>
      <c r="D27" s="54" t="s">
        <v>634</v>
      </c>
      <c r="E27" s="40">
        <v>584363</v>
      </c>
      <c r="F27" s="53" t="s">
        <v>635</v>
      </c>
      <c r="G27" s="52" t="s">
        <v>636</v>
      </c>
    </row>
    <row r="28" spans="2:7" s="49" customFormat="1" ht="30" x14ac:dyDescent="0.3">
      <c r="B28" s="50">
        <v>19</v>
      </c>
      <c r="C28" s="51">
        <v>41617</v>
      </c>
      <c r="D28" s="54" t="s">
        <v>552</v>
      </c>
      <c r="E28" s="55">
        <v>585930</v>
      </c>
      <c r="F28" s="53" t="s">
        <v>558</v>
      </c>
      <c r="G28" s="52" t="s">
        <v>559</v>
      </c>
    </row>
    <row r="29" spans="2:7" s="49" customFormat="1" ht="30" x14ac:dyDescent="0.3">
      <c r="B29" s="50">
        <v>20</v>
      </c>
      <c r="C29" s="51">
        <v>41620</v>
      </c>
      <c r="D29" s="54" t="s">
        <v>624</v>
      </c>
      <c r="E29" s="55">
        <v>588451</v>
      </c>
      <c r="F29" s="53" t="s">
        <v>637</v>
      </c>
      <c r="G29" s="52" t="s">
        <v>638</v>
      </c>
    </row>
    <row r="30" spans="2:7" s="49" customFormat="1" ht="120" x14ac:dyDescent="0.3">
      <c r="B30" s="50">
        <v>21</v>
      </c>
      <c r="C30" s="51">
        <v>41627</v>
      </c>
      <c r="D30" s="54" t="s">
        <v>639</v>
      </c>
      <c r="E30" s="40">
        <v>591710</v>
      </c>
      <c r="F30" s="53" t="s">
        <v>640</v>
      </c>
      <c r="G30" s="52" t="s">
        <v>641</v>
      </c>
    </row>
    <row r="31" spans="2:7" s="49" customFormat="1" ht="30" x14ac:dyDescent="0.3">
      <c r="B31" s="50">
        <v>22</v>
      </c>
      <c r="C31" s="51">
        <v>41628</v>
      </c>
      <c r="D31" s="54" t="s">
        <v>642</v>
      </c>
      <c r="E31" s="40">
        <v>592589</v>
      </c>
      <c r="F31" s="53" t="s">
        <v>643</v>
      </c>
      <c r="G31" s="52" t="s">
        <v>644</v>
      </c>
    </row>
    <row r="32" spans="2:7" s="49" customFormat="1" ht="60" x14ac:dyDescent="0.3">
      <c r="B32" s="50">
        <v>23</v>
      </c>
      <c r="C32" s="51">
        <v>41631</v>
      </c>
      <c r="D32" s="54" t="s">
        <v>562</v>
      </c>
      <c r="E32" s="40">
        <v>593228</v>
      </c>
      <c r="F32" s="53" t="s">
        <v>566</v>
      </c>
      <c r="G32" s="52" t="s">
        <v>563</v>
      </c>
    </row>
    <row r="33" spans="2:7" s="49" customFormat="1" ht="105" x14ac:dyDescent="0.3">
      <c r="B33" s="50">
        <v>24</v>
      </c>
      <c r="C33" s="51">
        <v>41281</v>
      </c>
      <c r="D33" s="54" t="s">
        <v>562</v>
      </c>
      <c r="E33" s="40">
        <v>593228</v>
      </c>
      <c r="F33" s="53" t="s">
        <v>570</v>
      </c>
      <c r="G33" s="52" t="s">
        <v>567</v>
      </c>
    </row>
    <row r="34" spans="2:7" s="49" customFormat="1" ht="45" x14ac:dyDescent="0.3">
      <c r="B34" s="50">
        <v>25</v>
      </c>
      <c r="C34" s="51">
        <v>41647</v>
      </c>
      <c r="D34" s="54" t="s">
        <v>552</v>
      </c>
      <c r="E34" s="55">
        <v>597108</v>
      </c>
      <c r="F34" s="53" t="s">
        <v>571</v>
      </c>
      <c r="G34" s="52" t="s">
        <v>572</v>
      </c>
    </row>
    <row r="35" spans="2:7" s="49" customFormat="1" ht="30" x14ac:dyDescent="0.3">
      <c r="B35" s="50">
        <v>26</v>
      </c>
      <c r="C35" s="51">
        <v>41660</v>
      </c>
      <c r="D35" s="54" t="s">
        <v>645</v>
      </c>
      <c r="E35" s="55">
        <v>605080</v>
      </c>
      <c r="F35" s="53" t="s">
        <v>646</v>
      </c>
      <c r="G35" s="52" t="s">
        <v>647</v>
      </c>
    </row>
    <row r="36" spans="2:7" s="49" customFormat="1" ht="45" x14ac:dyDescent="0.3">
      <c r="B36" s="50">
        <v>27</v>
      </c>
      <c r="C36" s="51">
        <v>41666</v>
      </c>
      <c r="D36" s="54" t="s">
        <v>645</v>
      </c>
      <c r="E36" s="55">
        <v>600954</v>
      </c>
      <c r="F36" s="53" t="s">
        <v>648</v>
      </c>
      <c r="G36" s="52" t="s">
        <v>649</v>
      </c>
    </row>
    <row r="37" spans="2:7" s="49" customFormat="1" ht="30" x14ac:dyDescent="0.3">
      <c r="B37" s="50">
        <v>28</v>
      </c>
      <c r="C37" s="51">
        <v>41667</v>
      </c>
      <c r="D37" s="54" t="s">
        <v>645</v>
      </c>
      <c r="E37" s="55">
        <v>607795</v>
      </c>
      <c r="F37" s="53" t="s">
        <v>650</v>
      </c>
      <c r="G37" s="52" t="s">
        <v>651</v>
      </c>
    </row>
    <row r="38" spans="2:7" s="49" customFormat="1" ht="75" x14ac:dyDescent="0.3">
      <c r="B38" s="50">
        <v>29</v>
      </c>
      <c r="C38" s="51">
        <v>41668</v>
      </c>
      <c r="D38" s="54" t="s">
        <v>652</v>
      </c>
      <c r="E38" s="55">
        <v>604548</v>
      </c>
      <c r="F38" s="53" t="s">
        <v>653</v>
      </c>
      <c r="G38" s="52" t="s">
        <v>654</v>
      </c>
    </row>
    <row r="39" spans="2:7" s="49" customFormat="1" ht="183" customHeight="1" x14ac:dyDescent="0.3">
      <c r="B39" s="50">
        <v>30</v>
      </c>
      <c r="C39" s="51">
        <v>41669</v>
      </c>
      <c r="D39" s="54" t="s">
        <v>655</v>
      </c>
      <c r="E39" s="55">
        <v>595984</v>
      </c>
      <c r="F39" s="53" t="s">
        <v>656</v>
      </c>
      <c r="G39" s="52" t="s">
        <v>657</v>
      </c>
    </row>
    <row r="40" spans="2:7" s="49" customFormat="1" ht="18" customHeight="1" x14ac:dyDescent="0.3">
      <c r="B40" s="50">
        <v>31</v>
      </c>
      <c r="C40" s="51">
        <v>41668</v>
      </c>
      <c r="D40" s="54" t="s">
        <v>658</v>
      </c>
      <c r="E40" s="55">
        <v>606544</v>
      </c>
      <c r="F40" s="53"/>
      <c r="G40" s="52" t="s">
        <v>659</v>
      </c>
    </row>
    <row r="41" spans="2:7" s="49" customFormat="1" ht="90" x14ac:dyDescent="0.3">
      <c r="B41" s="50">
        <v>32</v>
      </c>
      <c r="C41" s="51">
        <v>41676</v>
      </c>
      <c r="D41" s="54" t="s">
        <v>660</v>
      </c>
      <c r="E41" s="55">
        <v>612629</v>
      </c>
      <c r="F41" s="53" t="s">
        <v>661</v>
      </c>
      <c r="G41" s="52" t="s">
        <v>662</v>
      </c>
    </row>
    <row r="42" spans="2:7" s="49" customFormat="1" ht="65.25" customHeight="1" x14ac:dyDescent="0.3">
      <c r="B42" s="50">
        <v>33</v>
      </c>
      <c r="C42" s="51">
        <v>41677</v>
      </c>
      <c r="D42" s="54" t="s">
        <v>663</v>
      </c>
      <c r="E42" s="55">
        <v>612082</v>
      </c>
      <c r="F42" s="53" t="s">
        <v>664</v>
      </c>
      <c r="G42" s="52" t="s">
        <v>665</v>
      </c>
    </row>
    <row r="43" spans="2:7" s="49" customFormat="1" ht="65.25" customHeight="1" x14ac:dyDescent="0.3">
      <c r="B43" s="50">
        <v>34</v>
      </c>
      <c r="C43" s="51">
        <v>41683</v>
      </c>
      <c r="D43" s="54" t="s">
        <v>645</v>
      </c>
      <c r="E43" s="55">
        <v>615255</v>
      </c>
      <c r="F43" s="53" t="s">
        <v>666</v>
      </c>
      <c r="G43" s="52" t="s">
        <v>667</v>
      </c>
    </row>
    <row r="44" spans="2:7" s="49" customFormat="1" ht="195" x14ac:dyDescent="0.3">
      <c r="B44" s="50">
        <v>35</v>
      </c>
      <c r="C44" s="51">
        <v>41684</v>
      </c>
      <c r="D44" s="54" t="s">
        <v>668</v>
      </c>
      <c r="E44" s="55">
        <v>615268</v>
      </c>
      <c r="F44" s="53" t="s">
        <v>669</v>
      </c>
      <c r="G44" s="52" t="s">
        <v>670</v>
      </c>
    </row>
    <row r="45" spans="2:7" s="49" customFormat="1" ht="60" x14ac:dyDescent="0.3">
      <c r="B45" s="50">
        <v>36</v>
      </c>
      <c r="C45" s="51">
        <v>41689</v>
      </c>
      <c r="D45" s="54" t="s">
        <v>621</v>
      </c>
      <c r="E45" s="55">
        <v>619733</v>
      </c>
      <c r="F45" s="53" t="s">
        <v>671</v>
      </c>
      <c r="G45" s="52" t="s">
        <v>672</v>
      </c>
    </row>
    <row r="46" spans="2:7" s="49" customFormat="1" ht="90" x14ac:dyDescent="0.3">
      <c r="B46" s="50">
        <v>37</v>
      </c>
      <c r="C46" s="51">
        <v>41689</v>
      </c>
      <c r="D46" s="54" t="s">
        <v>552</v>
      </c>
      <c r="E46" s="55">
        <v>620025</v>
      </c>
      <c r="F46" s="53" t="s">
        <v>574</v>
      </c>
      <c r="G46" s="52" t="s">
        <v>573</v>
      </c>
    </row>
    <row r="47" spans="2:7" s="49" customFormat="1" ht="180" x14ac:dyDescent="0.3">
      <c r="B47" s="50">
        <v>38</v>
      </c>
      <c r="C47" s="51">
        <v>41690</v>
      </c>
      <c r="D47" s="54" t="s">
        <v>673</v>
      </c>
      <c r="E47" s="55">
        <v>619478</v>
      </c>
      <c r="F47" s="53" t="s">
        <v>674</v>
      </c>
      <c r="G47" s="52" t="s">
        <v>675</v>
      </c>
    </row>
    <row r="48" spans="2:7" s="49" customFormat="1" ht="90" x14ac:dyDescent="0.3">
      <c r="B48" s="50">
        <v>39</v>
      </c>
      <c r="C48" s="51">
        <v>41695</v>
      </c>
      <c r="D48" s="54" t="s">
        <v>621</v>
      </c>
      <c r="E48" s="55">
        <v>622214</v>
      </c>
      <c r="F48" s="53" t="s">
        <v>676</v>
      </c>
      <c r="G48" s="52" t="s">
        <v>677</v>
      </c>
    </row>
    <row r="49" spans="2:7" s="49" customFormat="1" ht="30" x14ac:dyDescent="0.3">
      <c r="B49" s="50">
        <v>40</v>
      </c>
      <c r="C49" s="51">
        <v>41695</v>
      </c>
      <c r="D49" s="54" t="s">
        <v>678</v>
      </c>
      <c r="E49" s="55">
        <v>620639</v>
      </c>
      <c r="F49" s="53" t="s">
        <v>679</v>
      </c>
      <c r="G49" s="52" t="s">
        <v>680</v>
      </c>
    </row>
    <row r="50" spans="2:7" s="49" customFormat="1" ht="30" x14ac:dyDescent="0.3">
      <c r="B50" s="50">
        <v>41</v>
      </c>
      <c r="C50" s="51">
        <v>41697</v>
      </c>
      <c r="D50" s="54" t="s">
        <v>624</v>
      </c>
      <c r="E50" s="54">
        <v>622664</v>
      </c>
      <c r="F50" s="53" t="s">
        <v>681</v>
      </c>
      <c r="G50" s="52" t="s">
        <v>682</v>
      </c>
    </row>
    <row r="51" spans="2:7" s="49" customFormat="1" ht="90" x14ac:dyDescent="0.3">
      <c r="B51" s="50">
        <v>42</v>
      </c>
      <c r="C51" s="51">
        <v>41698</v>
      </c>
      <c r="D51" s="54" t="s">
        <v>683</v>
      </c>
      <c r="E51" s="54">
        <v>623601</v>
      </c>
      <c r="F51" s="53" t="s">
        <v>684</v>
      </c>
      <c r="G51" s="52" t="s">
        <v>685</v>
      </c>
    </row>
    <row r="52" spans="2:7" s="49" customFormat="1" ht="150" x14ac:dyDescent="0.3">
      <c r="B52" s="50">
        <v>43</v>
      </c>
      <c r="C52" s="51">
        <v>41705</v>
      </c>
      <c r="D52" s="54" t="s">
        <v>686</v>
      </c>
      <c r="E52" s="54">
        <v>626253</v>
      </c>
      <c r="F52" s="53" t="s">
        <v>687</v>
      </c>
      <c r="G52" s="52" t="s">
        <v>688</v>
      </c>
    </row>
    <row r="53" spans="2:7" s="49" customFormat="1" ht="105" x14ac:dyDescent="0.3">
      <c r="B53" s="50">
        <v>44</v>
      </c>
      <c r="C53" s="51">
        <v>41709</v>
      </c>
      <c r="D53" s="54" t="s">
        <v>605</v>
      </c>
      <c r="E53" s="54" t="s">
        <v>689</v>
      </c>
      <c r="F53" s="53" t="s">
        <v>690</v>
      </c>
      <c r="G53" s="52" t="s">
        <v>691</v>
      </c>
    </row>
    <row r="54" spans="2:7" s="49" customFormat="1" ht="180" x14ac:dyDescent="0.3">
      <c r="B54" s="50">
        <v>45</v>
      </c>
      <c r="C54" s="51">
        <v>41710</v>
      </c>
      <c r="D54" s="54" t="s">
        <v>692</v>
      </c>
      <c r="E54" s="54">
        <v>598055</v>
      </c>
      <c r="F54" s="53" t="s">
        <v>693</v>
      </c>
      <c r="G54" s="52" t="s">
        <v>694</v>
      </c>
    </row>
    <row r="55" spans="2:7" s="49" customFormat="1" ht="30" x14ac:dyDescent="0.3">
      <c r="B55" s="50">
        <v>46</v>
      </c>
      <c r="C55" s="51">
        <v>41716</v>
      </c>
      <c r="D55" s="54" t="s">
        <v>621</v>
      </c>
      <c r="E55" s="54">
        <v>634822</v>
      </c>
      <c r="F55" s="53" t="s">
        <v>695</v>
      </c>
      <c r="G55" s="52" t="s">
        <v>696</v>
      </c>
    </row>
    <row r="56" spans="2:7" s="49" customFormat="1" ht="30" x14ac:dyDescent="0.3">
      <c r="B56" s="50">
        <v>47</v>
      </c>
      <c r="C56" s="51">
        <v>41717</v>
      </c>
      <c r="D56" s="54" t="s">
        <v>621</v>
      </c>
      <c r="E56" s="54">
        <v>634830</v>
      </c>
      <c r="F56" s="53" t="s">
        <v>697</v>
      </c>
      <c r="G56" s="52" t="s">
        <v>698</v>
      </c>
    </row>
    <row r="57" spans="2:7" s="49" customFormat="1" ht="195" x14ac:dyDescent="0.3">
      <c r="B57" s="50">
        <v>48</v>
      </c>
      <c r="C57" s="51">
        <v>41722</v>
      </c>
      <c r="D57" s="54" t="s">
        <v>692</v>
      </c>
      <c r="E57" s="54">
        <v>637527</v>
      </c>
      <c r="F57" s="53" t="s">
        <v>699</v>
      </c>
      <c r="G57" s="52" t="s">
        <v>700</v>
      </c>
    </row>
    <row r="58" spans="2:7" s="49" customFormat="1" ht="30" x14ac:dyDescent="0.3">
      <c r="B58" s="50">
        <v>49</v>
      </c>
      <c r="C58" s="51">
        <v>41723</v>
      </c>
      <c r="D58" s="54" t="s">
        <v>624</v>
      </c>
      <c r="E58" s="54">
        <v>627760</v>
      </c>
      <c r="F58" s="53" t="s">
        <v>701</v>
      </c>
      <c r="G58" s="52" t="s">
        <v>702</v>
      </c>
    </row>
    <row r="59" spans="2:7" s="49" customFormat="1" ht="45.75" customHeight="1" x14ac:dyDescent="0.3">
      <c r="B59" s="50">
        <v>50</v>
      </c>
      <c r="C59" s="51">
        <v>41725</v>
      </c>
      <c r="D59" s="54" t="s">
        <v>596</v>
      </c>
      <c r="E59" s="54">
        <v>625663</v>
      </c>
      <c r="F59" s="53" t="s">
        <v>703</v>
      </c>
      <c r="G59" s="52" t="s">
        <v>704</v>
      </c>
    </row>
    <row r="60" spans="2:7" s="49" customFormat="1" ht="30" x14ac:dyDescent="0.3">
      <c r="B60" s="50">
        <v>51</v>
      </c>
      <c r="C60" s="51">
        <v>41729</v>
      </c>
      <c r="D60" s="54" t="s">
        <v>621</v>
      </c>
      <c r="E60" s="54">
        <v>640206</v>
      </c>
      <c r="F60" s="53" t="s">
        <v>705</v>
      </c>
      <c r="G60" s="52" t="s">
        <v>706</v>
      </c>
    </row>
    <row r="61" spans="2:7" s="49" customFormat="1" ht="15" x14ac:dyDescent="0.3">
      <c r="B61" s="50">
        <v>52</v>
      </c>
      <c r="C61" s="51">
        <v>41730</v>
      </c>
      <c r="D61" s="54" t="s">
        <v>707</v>
      </c>
      <c r="E61" s="54">
        <v>636005</v>
      </c>
      <c r="F61" s="53" t="s">
        <v>708</v>
      </c>
      <c r="G61" s="52" t="s">
        <v>709</v>
      </c>
    </row>
    <row r="62" spans="2:7" s="49" customFormat="1" ht="105" x14ac:dyDescent="0.3">
      <c r="B62" s="50">
        <v>53</v>
      </c>
      <c r="C62" s="51">
        <v>41730</v>
      </c>
      <c r="D62" s="54" t="s">
        <v>624</v>
      </c>
      <c r="E62" s="54">
        <v>640507</v>
      </c>
      <c r="F62" s="53" t="s">
        <v>710</v>
      </c>
      <c r="G62" s="52" t="s">
        <v>711</v>
      </c>
    </row>
    <row r="63" spans="2:7" s="49" customFormat="1" ht="15" x14ac:dyDescent="0.3">
      <c r="B63" s="50">
        <v>54</v>
      </c>
      <c r="C63" s="51">
        <v>41731</v>
      </c>
      <c r="D63" s="54" t="s">
        <v>621</v>
      </c>
      <c r="E63" s="54">
        <v>641997</v>
      </c>
      <c r="F63" s="53" t="s">
        <v>712</v>
      </c>
      <c r="G63" s="52" t="s">
        <v>713</v>
      </c>
    </row>
    <row r="64" spans="2:7" s="49" customFormat="1" ht="45" x14ac:dyDescent="0.3">
      <c r="B64" s="50">
        <v>55</v>
      </c>
      <c r="C64" s="51">
        <v>41733</v>
      </c>
      <c r="D64" s="54" t="s">
        <v>714</v>
      </c>
      <c r="E64" s="54">
        <v>641991</v>
      </c>
      <c r="F64" s="53" t="s">
        <v>715</v>
      </c>
      <c r="G64" s="52" t="s">
        <v>716</v>
      </c>
    </row>
    <row r="65" spans="2:7" s="49" customFormat="1" ht="120" x14ac:dyDescent="0.3">
      <c r="B65" s="50">
        <v>56</v>
      </c>
      <c r="C65" s="51">
        <v>41740</v>
      </c>
      <c r="D65" s="54" t="s">
        <v>717</v>
      </c>
      <c r="E65" s="54">
        <v>626235</v>
      </c>
      <c r="F65" s="53" t="s">
        <v>718</v>
      </c>
      <c r="G65" s="52" t="s">
        <v>719</v>
      </c>
    </row>
    <row r="66" spans="2:7" s="49" customFormat="1" ht="180" x14ac:dyDescent="0.3">
      <c r="B66" s="50">
        <v>57</v>
      </c>
      <c r="C66" s="51">
        <v>41750</v>
      </c>
      <c r="D66" s="54" t="s">
        <v>720</v>
      </c>
      <c r="E66" s="54">
        <v>636791</v>
      </c>
      <c r="F66" s="53" t="s">
        <v>964</v>
      </c>
      <c r="G66" s="52" t="s">
        <v>721</v>
      </c>
    </row>
    <row r="67" spans="2:7" s="49" customFormat="1" ht="93.75" customHeight="1" x14ac:dyDescent="0.3">
      <c r="B67" s="50">
        <v>58</v>
      </c>
      <c r="C67" s="51">
        <v>41753</v>
      </c>
      <c r="D67" s="54" t="s">
        <v>722</v>
      </c>
      <c r="E67" s="54">
        <v>651193</v>
      </c>
      <c r="F67" s="53" t="s">
        <v>723</v>
      </c>
      <c r="G67" s="52" t="s">
        <v>724</v>
      </c>
    </row>
    <row r="68" spans="2:7" s="49" customFormat="1" ht="60" x14ac:dyDescent="0.3">
      <c r="B68" s="50">
        <v>59</v>
      </c>
      <c r="C68" s="51">
        <v>41754</v>
      </c>
      <c r="D68" s="54" t="s">
        <v>605</v>
      </c>
      <c r="E68" s="54">
        <v>643085</v>
      </c>
      <c r="F68" s="53" t="s">
        <v>725</v>
      </c>
      <c r="G68" s="52" t="s">
        <v>726</v>
      </c>
    </row>
    <row r="69" spans="2:7" s="49" customFormat="1" ht="120" x14ac:dyDescent="0.3">
      <c r="B69" s="50">
        <v>60</v>
      </c>
      <c r="C69" s="51">
        <v>41757</v>
      </c>
      <c r="D69" s="54" t="s">
        <v>727</v>
      </c>
      <c r="E69" s="54">
        <v>652703</v>
      </c>
      <c r="F69" s="53" t="s">
        <v>728</v>
      </c>
      <c r="G69" s="52" t="s">
        <v>729</v>
      </c>
    </row>
    <row r="70" spans="2:7" s="49" customFormat="1" ht="30" x14ac:dyDescent="0.3">
      <c r="B70" s="50">
        <v>61</v>
      </c>
      <c r="C70" s="51">
        <v>41757</v>
      </c>
      <c r="D70" s="54" t="s">
        <v>583</v>
      </c>
      <c r="E70" s="54">
        <v>651302</v>
      </c>
      <c r="F70" s="53" t="s">
        <v>581</v>
      </c>
      <c r="G70" s="52" t="s">
        <v>582</v>
      </c>
    </row>
    <row r="71" spans="2:7" s="49" customFormat="1" ht="105" x14ac:dyDescent="0.3">
      <c r="B71" s="50">
        <v>62</v>
      </c>
      <c r="C71" s="51">
        <v>41759</v>
      </c>
      <c r="D71" s="54" t="s">
        <v>730</v>
      </c>
      <c r="E71" s="54">
        <v>653320</v>
      </c>
      <c r="F71" s="53" t="s">
        <v>731</v>
      </c>
      <c r="G71" s="52" t="s">
        <v>732</v>
      </c>
    </row>
    <row r="72" spans="2:7" s="49" customFormat="1" ht="30" x14ac:dyDescent="0.3">
      <c r="B72" s="50">
        <v>63</v>
      </c>
      <c r="C72" s="51">
        <v>41759</v>
      </c>
      <c r="D72" s="54" t="s">
        <v>733</v>
      </c>
      <c r="E72" s="54">
        <v>624590</v>
      </c>
      <c r="F72" s="53" t="s">
        <v>734</v>
      </c>
      <c r="G72" s="52" t="s">
        <v>735</v>
      </c>
    </row>
    <row r="73" spans="2:7" s="49" customFormat="1" ht="15" x14ac:dyDescent="0.3">
      <c r="B73" s="50">
        <v>64</v>
      </c>
      <c r="C73" s="51">
        <v>41764</v>
      </c>
      <c r="D73" s="54" t="s">
        <v>736</v>
      </c>
      <c r="E73" s="54">
        <v>654168</v>
      </c>
      <c r="F73" s="53" t="s">
        <v>737</v>
      </c>
      <c r="G73" s="52"/>
    </row>
    <row r="74" spans="2:7" s="49" customFormat="1" ht="210" x14ac:dyDescent="0.3">
      <c r="B74" s="50">
        <v>65</v>
      </c>
      <c r="C74" s="51">
        <v>41765</v>
      </c>
      <c r="D74" s="54" t="s">
        <v>738</v>
      </c>
      <c r="E74" s="54">
        <v>653991</v>
      </c>
      <c r="F74" s="53" t="s">
        <v>739</v>
      </c>
      <c r="G74" s="52" t="s">
        <v>740</v>
      </c>
    </row>
    <row r="75" spans="2:7" s="49" customFormat="1" ht="27" x14ac:dyDescent="0.3">
      <c r="B75" s="50">
        <v>66</v>
      </c>
      <c r="C75" s="51">
        <v>41767</v>
      </c>
      <c r="D75" s="54" t="s">
        <v>741</v>
      </c>
      <c r="E75" s="54">
        <v>661656</v>
      </c>
      <c r="F75" s="53" t="s">
        <v>742</v>
      </c>
      <c r="G75" s="52" t="s">
        <v>743</v>
      </c>
    </row>
    <row r="76" spans="2:7" s="49" customFormat="1" ht="15" x14ac:dyDescent="0.3">
      <c r="B76" s="50">
        <v>67</v>
      </c>
      <c r="C76" s="51">
        <v>41768</v>
      </c>
      <c r="D76" s="54" t="s">
        <v>585</v>
      </c>
      <c r="E76" s="54">
        <v>661822</v>
      </c>
      <c r="F76" s="53" t="s">
        <v>586</v>
      </c>
      <c r="G76" s="52" t="s">
        <v>587</v>
      </c>
    </row>
    <row r="77" spans="2:7" s="49" customFormat="1" ht="30" x14ac:dyDescent="0.3">
      <c r="B77" s="50">
        <v>68</v>
      </c>
      <c r="C77" s="51">
        <v>41774</v>
      </c>
      <c r="D77" s="54" t="s">
        <v>738</v>
      </c>
      <c r="E77" s="54">
        <v>665181</v>
      </c>
      <c r="F77" s="53" t="s">
        <v>744</v>
      </c>
      <c r="G77" s="52" t="s">
        <v>745</v>
      </c>
    </row>
    <row r="78" spans="2:7" s="49" customFormat="1" ht="30" x14ac:dyDescent="0.3">
      <c r="B78" s="50">
        <v>69</v>
      </c>
      <c r="C78" s="51">
        <v>41782</v>
      </c>
      <c r="D78" s="54" t="s">
        <v>746</v>
      </c>
      <c r="E78" s="54">
        <v>668790</v>
      </c>
      <c r="F78" s="53" t="s">
        <v>747</v>
      </c>
      <c r="G78" s="52" t="s">
        <v>748</v>
      </c>
    </row>
    <row r="79" spans="2:7" s="49" customFormat="1" ht="120" x14ac:dyDescent="0.3">
      <c r="B79" s="50">
        <v>70</v>
      </c>
      <c r="C79" s="51">
        <v>41796</v>
      </c>
      <c r="D79" s="54" t="s">
        <v>591</v>
      </c>
      <c r="E79" s="54">
        <v>659628</v>
      </c>
      <c r="F79" s="53" t="s">
        <v>767</v>
      </c>
      <c r="G79" s="52" t="s">
        <v>592</v>
      </c>
    </row>
    <row r="80" spans="2:7" s="28" customFormat="1" ht="15" x14ac:dyDescent="0.3">
      <c r="B80" s="50">
        <v>71</v>
      </c>
      <c r="C80" s="51">
        <v>41796</v>
      </c>
      <c r="D80" s="40" t="s">
        <v>595</v>
      </c>
      <c r="E80" s="40">
        <v>658811</v>
      </c>
      <c r="F80" s="41" t="s">
        <v>593</v>
      </c>
      <c r="G80" s="39" t="s">
        <v>594</v>
      </c>
    </row>
    <row r="81" spans="2:7" s="28" customFormat="1" ht="60" x14ac:dyDescent="0.3">
      <c r="B81" s="50">
        <v>72</v>
      </c>
      <c r="C81" s="51">
        <v>41802</v>
      </c>
      <c r="D81" s="40" t="s">
        <v>749</v>
      </c>
      <c r="E81" s="40">
        <v>663855</v>
      </c>
      <c r="F81" s="41" t="s">
        <v>750</v>
      </c>
      <c r="G81" s="39" t="s">
        <v>751</v>
      </c>
    </row>
    <row r="82" spans="2:7" s="49" customFormat="1" ht="150" x14ac:dyDescent="0.3">
      <c r="B82" s="50">
        <v>73</v>
      </c>
      <c r="C82" s="51">
        <v>41802</v>
      </c>
      <c r="D82" s="54" t="s">
        <v>738</v>
      </c>
      <c r="E82" s="54" t="s">
        <v>752</v>
      </c>
      <c r="F82" s="53" t="s">
        <v>753</v>
      </c>
      <c r="G82" s="52" t="s">
        <v>754</v>
      </c>
    </row>
    <row r="83" spans="2:7" s="49" customFormat="1" ht="60" x14ac:dyDescent="0.3">
      <c r="B83" s="50">
        <v>74</v>
      </c>
      <c r="C83" s="51">
        <v>41805</v>
      </c>
      <c r="D83" s="54" t="s">
        <v>755</v>
      </c>
      <c r="E83" s="54">
        <v>663669</v>
      </c>
      <c r="F83" s="53" t="s">
        <v>756</v>
      </c>
      <c r="G83" s="52" t="s">
        <v>757</v>
      </c>
    </row>
    <row r="84" spans="2:7" s="49" customFormat="1" ht="45" x14ac:dyDescent="0.3">
      <c r="B84" s="50">
        <v>75</v>
      </c>
      <c r="C84" s="51">
        <v>41810</v>
      </c>
      <c r="D84" s="54" t="s">
        <v>758</v>
      </c>
      <c r="E84" s="54">
        <v>672662</v>
      </c>
      <c r="F84" s="53" t="s">
        <v>759</v>
      </c>
      <c r="G84" s="52" t="s">
        <v>582</v>
      </c>
    </row>
    <row r="85" spans="2:7" s="49" customFormat="1" ht="30" x14ac:dyDescent="0.3">
      <c r="B85" s="50">
        <v>76</v>
      </c>
      <c r="C85" s="51">
        <v>41820</v>
      </c>
      <c r="D85" s="54" t="s">
        <v>761</v>
      </c>
      <c r="E85" s="54">
        <v>685119</v>
      </c>
      <c r="F85" s="53" t="s">
        <v>762</v>
      </c>
      <c r="G85" s="52" t="s">
        <v>763</v>
      </c>
    </row>
    <row r="86" spans="2:7" s="49" customFormat="1" ht="27" x14ac:dyDescent="0.3">
      <c r="B86" s="50">
        <v>77</v>
      </c>
      <c r="C86" s="51">
        <v>41843</v>
      </c>
      <c r="D86" s="54" t="s">
        <v>764</v>
      </c>
      <c r="E86" s="54">
        <v>696680</v>
      </c>
      <c r="F86" s="53" t="s">
        <v>765</v>
      </c>
      <c r="G86" s="52" t="s">
        <v>766</v>
      </c>
    </row>
    <row r="87" spans="2:7" s="49" customFormat="1" ht="30" x14ac:dyDescent="0.3">
      <c r="B87" s="50">
        <v>78</v>
      </c>
      <c r="C87" s="51">
        <v>41855</v>
      </c>
      <c r="D87" s="54" t="s">
        <v>782</v>
      </c>
      <c r="E87" s="40">
        <v>704321</v>
      </c>
      <c r="F87" s="53" t="s">
        <v>783</v>
      </c>
      <c r="G87" s="52" t="s">
        <v>784</v>
      </c>
    </row>
    <row r="88" spans="2:7" s="49" customFormat="1" ht="30" x14ac:dyDescent="0.3">
      <c r="B88" s="50">
        <v>79</v>
      </c>
      <c r="C88" s="51">
        <v>41857</v>
      </c>
      <c r="D88" s="54" t="s">
        <v>785</v>
      </c>
      <c r="E88" s="40">
        <v>693878</v>
      </c>
      <c r="F88" s="53" t="s">
        <v>786</v>
      </c>
      <c r="G88" s="52" t="s">
        <v>787</v>
      </c>
    </row>
    <row r="89" spans="2:7" s="49" customFormat="1" ht="15" x14ac:dyDescent="0.3">
      <c r="B89" s="50">
        <v>80</v>
      </c>
      <c r="C89" s="51">
        <v>41864</v>
      </c>
      <c r="D89" s="54" t="s">
        <v>785</v>
      </c>
      <c r="E89" s="40">
        <v>705789</v>
      </c>
      <c r="F89" s="53" t="s">
        <v>790</v>
      </c>
      <c r="G89" s="52" t="s">
        <v>791</v>
      </c>
    </row>
    <row r="90" spans="2:7" s="49" customFormat="1" ht="15" x14ac:dyDescent="0.3">
      <c r="B90" s="50">
        <v>81</v>
      </c>
      <c r="C90" s="51">
        <v>41871</v>
      </c>
      <c r="D90" s="54" t="s">
        <v>785</v>
      </c>
      <c r="E90" s="40">
        <v>711902</v>
      </c>
      <c r="F90" s="53" t="s">
        <v>792</v>
      </c>
      <c r="G90" s="52" t="s">
        <v>793</v>
      </c>
    </row>
    <row r="91" spans="2:7" s="49" customFormat="1" ht="90" x14ac:dyDescent="0.3">
      <c r="B91" s="50">
        <v>82</v>
      </c>
      <c r="C91" s="51">
        <v>41873</v>
      </c>
      <c r="D91" s="54" t="s">
        <v>785</v>
      </c>
      <c r="E91" s="40">
        <v>714037</v>
      </c>
      <c r="F91" s="53" t="s">
        <v>797</v>
      </c>
      <c r="G91" s="52" t="s">
        <v>796</v>
      </c>
    </row>
    <row r="92" spans="2:7" s="49" customFormat="1" ht="15" x14ac:dyDescent="0.3">
      <c r="B92" s="50">
        <v>83</v>
      </c>
      <c r="C92" s="51">
        <v>41890</v>
      </c>
      <c r="D92" s="54" t="s">
        <v>799</v>
      </c>
      <c r="E92" s="40">
        <v>706588</v>
      </c>
      <c r="F92" s="53" t="s">
        <v>800</v>
      </c>
      <c r="G92" s="52" t="s">
        <v>801</v>
      </c>
    </row>
    <row r="93" spans="2:7" s="49" customFormat="1" ht="270" x14ac:dyDescent="0.3">
      <c r="B93" s="50">
        <v>84</v>
      </c>
      <c r="C93" s="51">
        <v>41906</v>
      </c>
      <c r="D93" s="54" t="s">
        <v>761</v>
      </c>
      <c r="E93" s="54">
        <v>713973</v>
      </c>
      <c r="F93" s="53" t="s">
        <v>802</v>
      </c>
      <c r="G93" s="52" t="s">
        <v>803</v>
      </c>
    </row>
    <row r="94" spans="2:7" s="49" customFormat="1" ht="360" x14ac:dyDescent="0.3">
      <c r="B94" s="50">
        <v>85</v>
      </c>
      <c r="C94" s="51">
        <v>41911</v>
      </c>
      <c r="D94" s="54" t="s">
        <v>890</v>
      </c>
      <c r="E94" s="54">
        <v>732129</v>
      </c>
      <c r="F94" s="53" t="s">
        <v>915</v>
      </c>
      <c r="G94" s="52" t="s">
        <v>891</v>
      </c>
    </row>
    <row r="95" spans="2:7" s="49" customFormat="1" ht="225" x14ac:dyDescent="0.3">
      <c r="B95" s="50">
        <v>86</v>
      </c>
      <c r="C95" s="51">
        <v>41925</v>
      </c>
      <c r="D95" s="54" t="s">
        <v>916</v>
      </c>
      <c r="E95" s="54">
        <v>737622</v>
      </c>
      <c r="F95" s="53" t="s">
        <v>936</v>
      </c>
      <c r="G95" s="52" t="s">
        <v>917</v>
      </c>
    </row>
    <row r="96" spans="2:7" s="49" customFormat="1" ht="15" x14ac:dyDescent="0.3">
      <c r="B96" s="50">
        <v>87</v>
      </c>
      <c r="C96" s="51">
        <v>41927</v>
      </c>
      <c r="D96" s="54" t="s">
        <v>916</v>
      </c>
      <c r="E96" s="54">
        <v>739977</v>
      </c>
      <c r="F96" s="53" t="s">
        <v>937</v>
      </c>
      <c r="G96" s="52" t="s">
        <v>938</v>
      </c>
    </row>
    <row r="97" spans="2:7" s="49" customFormat="1" ht="15" x14ac:dyDescent="0.3">
      <c r="B97" s="50">
        <v>88</v>
      </c>
      <c r="C97" s="51">
        <v>41948</v>
      </c>
      <c r="D97" s="54" t="s">
        <v>916</v>
      </c>
      <c r="E97" s="54">
        <v>731854</v>
      </c>
      <c r="F97" s="53" t="s">
        <v>940</v>
      </c>
      <c r="G97" s="52" t="s">
        <v>939</v>
      </c>
    </row>
    <row r="98" spans="2:7" s="49" customFormat="1" ht="30" x14ac:dyDescent="0.3">
      <c r="B98" s="50">
        <v>89</v>
      </c>
      <c r="C98" s="51">
        <v>41957</v>
      </c>
      <c r="D98" s="54" t="s">
        <v>916</v>
      </c>
      <c r="E98" s="54">
        <v>747855</v>
      </c>
      <c r="F98" s="53" t="s">
        <v>944</v>
      </c>
      <c r="G98" s="52" t="s">
        <v>945</v>
      </c>
    </row>
    <row r="99" spans="2:7" s="49" customFormat="1" ht="15" x14ac:dyDescent="0.3">
      <c r="B99" s="50">
        <v>90</v>
      </c>
      <c r="C99" s="51">
        <v>41964</v>
      </c>
      <c r="D99" s="54" t="s">
        <v>916</v>
      </c>
      <c r="E99" s="54"/>
      <c r="F99" s="53" t="s">
        <v>953</v>
      </c>
      <c r="G99" s="52" t="s">
        <v>954</v>
      </c>
    </row>
    <row r="100" spans="2:7" s="49" customFormat="1" ht="15" x14ac:dyDescent="0.3">
      <c r="B100" s="50">
        <v>91</v>
      </c>
      <c r="C100" s="51">
        <v>41924</v>
      </c>
      <c r="D100" s="54" t="s">
        <v>916</v>
      </c>
      <c r="E100" s="54">
        <v>750720</v>
      </c>
      <c r="F100" s="53" t="s">
        <v>960</v>
      </c>
      <c r="G100" s="52" t="s">
        <v>961</v>
      </c>
    </row>
    <row r="101" spans="2:7" s="49" customFormat="1" ht="30" x14ac:dyDescent="0.3">
      <c r="B101" s="50">
        <v>92</v>
      </c>
      <c r="C101" s="51">
        <v>41931</v>
      </c>
      <c r="D101" s="54" t="s">
        <v>916</v>
      </c>
      <c r="E101" s="54">
        <v>724627</v>
      </c>
      <c r="F101" s="53" t="s">
        <v>963</v>
      </c>
      <c r="G101" s="52" t="s">
        <v>965</v>
      </c>
    </row>
    <row r="102" spans="2:7" s="49" customFormat="1" ht="27" x14ac:dyDescent="0.3">
      <c r="B102" s="50">
        <v>93</v>
      </c>
      <c r="C102" s="51">
        <v>42026</v>
      </c>
      <c r="D102" s="54" t="s">
        <v>916</v>
      </c>
      <c r="E102" s="54">
        <v>661822</v>
      </c>
      <c r="F102" s="53" t="s">
        <v>966</v>
      </c>
      <c r="G102" s="52" t="s">
        <v>967</v>
      </c>
    </row>
    <row r="103" spans="2:7" s="49" customFormat="1" ht="27" x14ac:dyDescent="0.3">
      <c r="B103" s="50">
        <v>94</v>
      </c>
      <c r="C103" s="51">
        <v>42033</v>
      </c>
      <c r="D103" s="54" t="s">
        <v>916</v>
      </c>
      <c r="E103" s="54">
        <v>787074</v>
      </c>
      <c r="F103" s="53" t="s">
        <v>968</v>
      </c>
      <c r="G103" s="52" t="s">
        <v>969</v>
      </c>
    </row>
    <row r="104" spans="2:7" s="49" customFormat="1" ht="27" x14ac:dyDescent="0.3">
      <c r="B104" s="50">
        <v>95</v>
      </c>
      <c r="C104" s="51">
        <v>42041</v>
      </c>
      <c r="D104" s="54" t="s">
        <v>916</v>
      </c>
      <c r="E104" s="54">
        <v>789016</v>
      </c>
      <c r="F104" s="53" t="s">
        <v>971</v>
      </c>
      <c r="G104" s="52" t="s">
        <v>970</v>
      </c>
    </row>
    <row r="105" spans="2:7" s="49" customFormat="1" ht="27" x14ac:dyDescent="0.3">
      <c r="B105" s="50">
        <v>96</v>
      </c>
      <c r="C105" s="51">
        <v>42081</v>
      </c>
      <c r="D105" s="54" t="s">
        <v>916</v>
      </c>
      <c r="E105" s="54">
        <v>801464</v>
      </c>
      <c r="F105" s="53" t="s">
        <v>972</v>
      </c>
      <c r="G105" s="52" t="s">
        <v>973</v>
      </c>
    </row>
    <row r="106" spans="2:7" s="49" customFormat="1" ht="27" x14ac:dyDescent="0.3">
      <c r="B106" s="50">
        <v>97</v>
      </c>
      <c r="C106" s="51">
        <v>42090</v>
      </c>
      <c r="D106" s="54" t="s">
        <v>916</v>
      </c>
      <c r="E106" s="54">
        <v>805833</v>
      </c>
      <c r="F106" s="53" t="s">
        <v>974</v>
      </c>
      <c r="G106" s="52" t="s">
        <v>975</v>
      </c>
    </row>
    <row r="107" spans="2:7" s="49" customFormat="1" ht="27" x14ac:dyDescent="0.3">
      <c r="B107" s="50">
        <v>98</v>
      </c>
      <c r="C107" s="51">
        <v>42130</v>
      </c>
      <c r="D107" s="54" t="s">
        <v>916</v>
      </c>
      <c r="E107" s="54">
        <v>832408</v>
      </c>
      <c r="F107" s="53" t="s">
        <v>977</v>
      </c>
      <c r="G107" s="52" t="s">
        <v>978</v>
      </c>
    </row>
    <row r="108" spans="2:7" s="49" customFormat="1" ht="30" x14ac:dyDescent="0.3">
      <c r="B108" s="50">
        <v>99</v>
      </c>
      <c r="C108" s="51">
        <v>42145</v>
      </c>
      <c r="D108" s="54" t="s">
        <v>916</v>
      </c>
      <c r="E108" s="54">
        <v>837846</v>
      </c>
      <c r="F108" s="53" t="s">
        <v>981</v>
      </c>
      <c r="G108" s="52" t="s">
        <v>982</v>
      </c>
    </row>
    <row r="109" spans="2:7" s="49" customFormat="1" ht="27" x14ac:dyDescent="0.3">
      <c r="B109" s="50">
        <v>100</v>
      </c>
      <c r="C109" s="51">
        <v>42317</v>
      </c>
      <c r="D109" s="54" t="s">
        <v>993</v>
      </c>
      <c r="E109" s="54">
        <v>936684</v>
      </c>
      <c r="F109" s="53" t="s">
        <v>994</v>
      </c>
      <c r="G109" s="52" t="s">
        <v>995</v>
      </c>
    </row>
    <row r="110" spans="2:7" s="49" customFormat="1" ht="27" x14ac:dyDescent="0.3">
      <c r="B110" s="50">
        <v>101</v>
      </c>
      <c r="C110" s="51">
        <v>42334</v>
      </c>
      <c r="D110" s="54" t="s">
        <v>997</v>
      </c>
      <c r="E110" s="54">
        <v>942845</v>
      </c>
      <c r="F110" s="53" t="s">
        <v>998</v>
      </c>
      <c r="G110" s="52" t="s">
        <v>996</v>
      </c>
    </row>
    <row r="111" spans="2:7" s="49" customFormat="1" ht="30" x14ac:dyDescent="0.3">
      <c r="B111" s="50">
        <v>102</v>
      </c>
      <c r="C111" s="51">
        <v>42342</v>
      </c>
      <c r="D111" s="54" t="s">
        <v>997</v>
      </c>
      <c r="E111" s="54">
        <v>946811</v>
      </c>
      <c r="F111" s="53" t="s">
        <v>1000</v>
      </c>
      <c r="G111" s="52" t="s">
        <v>999</v>
      </c>
    </row>
    <row r="112" spans="2:7" s="49" customFormat="1" ht="27" x14ac:dyDescent="0.3">
      <c r="B112" s="50">
        <v>103</v>
      </c>
      <c r="C112" s="51">
        <v>42352</v>
      </c>
      <c r="D112" s="54" t="s">
        <v>997</v>
      </c>
      <c r="E112" s="54">
        <v>949717</v>
      </c>
      <c r="F112" s="53" t="s">
        <v>1011</v>
      </c>
      <c r="G112" s="52" t="s">
        <v>1012</v>
      </c>
    </row>
    <row r="113" spans="2:7" s="49" customFormat="1" ht="27" x14ac:dyDescent="0.3">
      <c r="B113" s="50">
        <v>104</v>
      </c>
      <c r="C113" s="51">
        <v>42424</v>
      </c>
      <c r="D113" s="54" t="s">
        <v>997</v>
      </c>
      <c r="E113" s="54">
        <v>973486</v>
      </c>
      <c r="F113" s="53" t="s">
        <v>1014</v>
      </c>
      <c r="G113" s="52" t="s">
        <v>1013</v>
      </c>
    </row>
    <row r="114" spans="2:7" ht="27" x14ac:dyDescent="0.3">
      <c r="B114" s="29">
        <v>105</v>
      </c>
      <c r="C114" s="42">
        <v>42465</v>
      </c>
      <c r="D114" s="43" t="s">
        <v>1016</v>
      </c>
      <c r="E114" s="176">
        <v>998979</v>
      </c>
      <c r="F114" s="53" t="s">
        <v>1017</v>
      </c>
      <c r="G114" s="52" t="s">
        <v>1015</v>
      </c>
    </row>
    <row r="115" spans="2:7" ht="25.5" x14ac:dyDescent="0.2">
      <c r="B115" s="29">
        <v>106</v>
      </c>
      <c r="C115" s="42">
        <v>42496</v>
      </c>
      <c r="D115" s="43" t="s">
        <v>1016</v>
      </c>
      <c r="E115" s="21">
        <v>923682</v>
      </c>
      <c r="F115" s="22" t="s">
        <v>1024</v>
      </c>
      <c r="G115" s="25"/>
    </row>
    <row r="116" spans="2:7" ht="15" x14ac:dyDescent="0.3">
      <c r="B116" s="29">
        <v>107</v>
      </c>
      <c r="C116" s="42">
        <v>42606</v>
      </c>
      <c r="D116" s="44" t="s">
        <v>1028</v>
      </c>
      <c r="E116" s="200">
        <v>1055779</v>
      </c>
      <c r="F116" s="44" t="s">
        <v>1028</v>
      </c>
      <c r="G116" s="201" t="s">
        <v>1029</v>
      </c>
    </row>
    <row r="117" spans="2:7" x14ac:dyDescent="0.2">
      <c r="B117" s="29"/>
      <c r="C117" s="42"/>
      <c r="D117" s="43"/>
      <c r="E117" s="25"/>
      <c r="F117" s="25"/>
      <c r="G117" s="25"/>
    </row>
    <row r="118" spans="2:7" x14ac:dyDescent="0.2">
      <c r="B118" s="29"/>
      <c r="C118" s="42"/>
      <c r="D118" s="43"/>
      <c r="E118" s="25"/>
      <c r="F118" s="25"/>
      <c r="G118" s="25"/>
    </row>
    <row r="119" spans="2:7" x14ac:dyDescent="0.2">
      <c r="B119" s="29"/>
      <c r="C119" s="42"/>
      <c r="D119" s="43"/>
      <c r="E119" s="25"/>
      <c r="F119" s="25"/>
      <c r="G119" s="25"/>
    </row>
    <row r="120" spans="2:7" x14ac:dyDescent="0.2">
      <c r="B120" s="29"/>
      <c r="C120" s="42"/>
      <c r="D120" s="43"/>
      <c r="E120" s="25"/>
      <c r="F120" s="25"/>
      <c r="G120" s="25"/>
    </row>
    <row r="121" spans="2:7" x14ac:dyDescent="0.2">
      <c r="B121" s="29"/>
      <c r="C121" s="42"/>
      <c r="D121" s="43"/>
      <c r="E121" s="25"/>
      <c r="F121" s="25"/>
      <c r="G121" s="25"/>
    </row>
    <row r="122" spans="2:7" x14ac:dyDescent="0.2">
      <c r="B122" s="29"/>
      <c r="C122" s="42"/>
      <c r="D122" s="43"/>
      <c r="E122" s="25"/>
      <c r="F122" s="25"/>
      <c r="G122" s="25"/>
    </row>
    <row r="123" spans="2:7" x14ac:dyDescent="0.2">
      <c r="B123" s="29"/>
      <c r="C123" s="42"/>
      <c r="D123" s="43"/>
      <c r="E123" s="25"/>
      <c r="F123" s="25"/>
      <c r="G123" s="25"/>
    </row>
    <row r="124" spans="2:7" x14ac:dyDescent="0.2">
      <c r="B124" s="29"/>
      <c r="C124" s="42"/>
      <c r="D124" s="43"/>
      <c r="E124" s="25"/>
      <c r="F124" s="25"/>
      <c r="G124" s="25"/>
    </row>
    <row r="125" spans="2:7" x14ac:dyDescent="0.2">
      <c r="B125" s="29"/>
      <c r="C125" s="42"/>
      <c r="D125" s="43"/>
      <c r="E125" s="25"/>
      <c r="F125" s="25"/>
      <c r="G125" s="25"/>
    </row>
    <row r="126" spans="2:7" ht="15" x14ac:dyDescent="0.3">
      <c r="B126" s="29"/>
      <c r="C126" s="45"/>
      <c r="D126" s="46"/>
      <c r="E126" s="25"/>
      <c r="F126" s="25"/>
      <c r="G126" s="25"/>
    </row>
    <row r="127" spans="2:7" x14ac:dyDescent="0.2">
      <c r="B127" s="29"/>
      <c r="C127" s="45"/>
      <c r="D127" s="44"/>
      <c r="E127" s="25"/>
      <c r="F127" s="25"/>
      <c r="G127" s="25"/>
    </row>
    <row r="128" spans="2:7" x14ac:dyDescent="0.2">
      <c r="B128" s="29"/>
      <c r="C128" s="42"/>
      <c r="D128" s="44"/>
      <c r="E128" s="25"/>
      <c r="F128" s="25"/>
      <c r="G128" s="25"/>
    </row>
    <row r="129" spans="2:7" x14ac:dyDescent="0.2">
      <c r="B129" s="29"/>
      <c r="C129" s="42"/>
      <c r="D129" s="43"/>
      <c r="E129" s="25"/>
      <c r="F129" s="25"/>
      <c r="G129" s="25"/>
    </row>
    <row r="130" spans="2:7" x14ac:dyDescent="0.2">
      <c r="B130" s="29"/>
      <c r="C130" s="42"/>
      <c r="D130" s="43"/>
      <c r="E130" s="25"/>
      <c r="F130" s="25"/>
      <c r="G130" s="25"/>
    </row>
    <row r="131" spans="2:7" x14ac:dyDescent="0.2">
      <c r="B131" s="29"/>
      <c r="C131" s="42"/>
      <c r="D131" s="43"/>
      <c r="E131" s="25"/>
      <c r="F131" s="25"/>
      <c r="G131" s="25"/>
    </row>
    <row r="132" spans="2:7" x14ac:dyDescent="0.2">
      <c r="B132" s="29"/>
      <c r="C132" s="42"/>
      <c r="D132" s="43"/>
      <c r="E132" s="25"/>
      <c r="F132" s="25"/>
      <c r="G132" s="25"/>
    </row>
    <row r="133" spans="2:7" x14ac:dyDescent="0.2">
      <c r="B133" s="29"/>
      <c r="D133" s="43"/>
      <c r="E133" s="25"/>
      <c r="F133" s="25"/>
      <c r="G133" s="25"/>
    </row>
    <row r="134" spans="2:7" x14ac:dyDescent="0.2">
      <c r="B134" s="29"/>
      <c r="D134" s="43"/>
      <c r="E134" s="25"/>
      <c r="F134" s="25"/>
      <c r="G134" s="25"/>
    </row>
    <row r="135" spans="2:7" x14ac:dyDescent="0.2">
      <c r="B135" s="29"/>
      <c r="D135" s="43"/>
      <c r="E135" s="25"/>
      <c r="F135" s="25"/>
      <c r="G135" s="25"/>
    </row>
    <row r="136" spans="2:7" x14ac:dyDescent="0.2">
      <c r="B136" s="29"/>
      <c r="D136" s="43"/>
      <c r="E136" s="25"/>
      <c r="F136" s="25"/>
      <c r="G136" s="25"/>
    </row>
    <row r="137" spans="2:7" x14ac:dyDescent="0.2">
      <c r="B137" s="29"/>
      <c r="E137" s="25"/>
      <c r="F137" s="25"/>
      <c r="G137" s="25"/>
    </row>
    <row r="138" spans="2:7" x14ac:dyDescent="0.2">
      <c r="B138" s="29"/>
      <c r="E138" s="25"/>
      <c r="F138" s="25"/>
      <c r="G138" s="25"/>
    </row>
    <row r="139" spans="2:7" x14ac:dyDescent="0.2">
      <c r="B139" s="29"/>
      <c r="E139" s="25"/>
      <c r="F139" s="25"/>
      <c r="G139" s="25"/>
    </row>
    <row r="140" spans="2:7" x14ac:dyDescent="0.2">
      <c r="B140" s="29"/>
      <c r="E140" s="25"/>
      <c r="F140" s="25"/>
      <c r="G140" s="25"/>
    </row>
    <row r="141" spans="2:7" x14ac:dyDescent="0.2">
      <c r="B141" s="29"/>
      <c r="E141" s="25"/>
      <c r="F141" s="25"/>
      <c r="G141" s="25"/>
    </row>
    <row r="142" spans="2:7" x14ac:dyDescent="0.2">
      <c r="B142" s="29"/>
      <c r="E142" s="25"/>
      <c r="F142" s="25"/>
      <c r="G142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Commercial</vt:lpstr>
      <vt:lpstr>Th_Bringup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2016-08-25T00:20:06Z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