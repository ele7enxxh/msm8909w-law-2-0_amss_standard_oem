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JO_BUILD\May6\mcfg.mpss.5.0.May6_jo50_1\modem_proc\mcfg\mcfg_gen\generic\common\MSM9X07\"/>
    </mc:Choice>
  </mc:AlternateContent>
  <bookViews>
    <workbookView xWindow="-90" yWindow="465" windowWidth="16875" windowHeight="7755" tabRatio="652"/>
  </bookViews>
  <sheets>
    <sheet name="Summary" sheetId="10" r:id="rId1"/>
    <sheet name="SS-WP8" sheetId="16" r:id="rId2"/>
    <sheet name="SS-LA" sheetId="17" r:id="rId3"/>
    <sheet name="SR_DSDS-WP8-7+5_mode" sheetId="18" r:id="rId4"/>
    <sheet name="SR_DSDS-LA-7+5_mode" sheetId="19" r:id="rId5"/>
    <sheet name="Revision History" sheetId="8" r:id="rId6"/>
  </sheets>
  <functionGroups builtInGroupCount="18"/>
  <calcPr calcId="152511"/>
</workbook>
</file>

<file path=xl/calcChain.xml><?xml version="1.0" encoding="utf-8"?>
<calcChain xmlns="http://schemas.openxmlformats.org/spreadsheetml/2006/main">
  <c r="E13" i="10" l="1"/>
  <c r="D13" i="10"/>
  <c r="F67" i="19"/>
  <c r="F63" i="19"/>
  <c r="E64" i="19" s="1"/>
  <c r="F70" i="18"/>
  <c r="F66" i="18"/>
  <c r="E67" i="18" s="1"/>
  <c r="B13" i="10" l="1"/>
  <c r="F61" i="17" l="1"/>
  <c r="F63" i="16"/>
  <c r="F57" i="17"/>
  <c r="E58" i="17" s="1"/>
  <c r="F59" i="16"/>
  <c r="E60" i="16" s="1"/>
  <c r="C13" i="10"/>
  <c r="B4" i="10"/>
  <c r="B5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<sst xmlns="http://schemas.openxmlformats.org/spreadsheetml/2006/main" count="639" uniqueCount="173">
  <si>
    <t>RELEASE DATE:</t>
  </si>
  <si>
    <t>FILE VERSION:</t>
  </si>
  <si>
    <t>Carrier Index</t>
  </si>
  <si>
    <t>Notes</t>
  </si>
  <si>
    <t xml:space="preserve"> </t>
  </si>
  <si>
    <t>NV Item ID</t>
  </si>
  <si>
    <t>NV Item Name</t>
  </si>
  <si>
    <t>NV Item Struct</t>
  </si>
  <si>
    <t>Comments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</si>
  <si>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</si>
  <si>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</si>
  <si>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</si>
  <si>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</si>
  <si>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</si>
  <si>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</si>
  <si>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</si>
  <si>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</si>
  <si>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</si>
  <si>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</si>
  <si>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</si>
  <si>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</si>
  <si>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efs</t>
  </si>
  <si>
    <t>Full MCFG Version</t>
  </si>
  <si>
    <t>EFS Files</t>
  </si>
  <si>
    <t>Attributes</t>
  </si>
  <si>
    <t>EFS Item Size</t>
  </si>
  <si>
    <t>EFS Item Type</t>
  </si>
  <si>
    <t>0x09</t>
  </si>
  <si>
    <t>EFS Filename</t>
  </si>
  <si>
    <t>Configuration Type</t>
  </si>
  <si>
    <t>MPSS Configuration Items Listing</t>
  </si>
  <si>
    <t>Summary</t>
  </si>
  <si>
    <t>RFC</t>
  </si>
  <si>
    <t xml:space="preserve">    RFC-CDMA</t>
  </si>
  <si>
    <t xml:space="preserve">    RFC - GSM</t>
  </si>
  <si>
    <t xml:space="preserve">    RFC - WCDMA</t>
  </si>
  <si>
    <t xml:space="preserve">    RFC - LTE</t>
  </si>
  <si>
    <t>UIM</t>
  </si>
  <si>
    <t xml:space="preserve">    RFC - GNSS</t>
  </si>
  <si>
    <t>Keep command window open</t>
  </si>
  <si>
    <t>Product Line</t>
  </si>
  <si>
    <t>Trailer Record</t>
  </si>
  <si>
    <t>Data field</t>
  </si>
  <si>
    <t>Data Type</t>
  </si>
  <si>
    <t>Data Size</t>
  </si>
  <si>
    <t>Data Value</t>
  </si>
  <si>
    <t>trl</t>
  </si>
  <si>
    <t>0x00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</si>
  <si>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</si>
  <si>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</si>
  <si>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</si>
  <si>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</si>
  <si>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</si>
  <si>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</si>
  <si>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</si>
  <si>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</si>
  <si>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0x03</t>
  </si>
  <si>
    <t>string</t>
  </si>
  <si>
    <t>For Debug purposes only</t>
  </si>
  <si>
    <t>HWID_Name_type</t>
  </si>
  <si>
    <t>HWID_name_size</t>
  </si>
  <si>
    <t>HWID_name</t>
  </si>
  <si>
    <t>Config</t>
  </si>
  <si>
    <t>Chipset</t>
  </si>
  <si>
    <t>NV Items</t>
  </si>
  <si>
    <t>Select Carriers for Generation</t>
  </si>
  <si>
    <t>Spreadsheet statistics</t>
  </si>
  <si>
    <t>Total carrier configurations</t>
  </si>
  <si>
    <t>Total supported items (NV &amp; EFS)</t>
  </si>
  <si>
    <t>Carrier Version Update(s)</t>
  </si>
  <si>
    <t>UIM HW Config</t>
  </si>
  <si>
    <t>/nv/item_files/modem/uim/uimdrv/uim_hw_config</t>
  </si>
  <si>
    <t xml:space="preserve"> 70210, hw_config.UIM[1].DISABLE_UIM = TRUE</t>
  </si>
  <si>
    <t>efs_item</t>
  </si>
  <si>
    <t>UIM Select Default USIM Application</t>
  </si>
  <si>
    <t>uim_select_default_usim_app</t>
  </si>
  <si>
    <t>/nv/item_files/modem/qmi/cat/qmi_cat_mode</t>
  </si>
  <si>
    <t>QMI Card Application Toolkit (CAT)  MODE</t>
  </si>
  <si>
    <t>Dual Standby Config Items</t>
  </si>
  <si>
    <t>dedicated_voice_subs</t>
  </si>
  <si>
    <t>dedicated_data_subs</t>
  </si>
  <si>
    <t>active_subs</t>
  </si>
  <si>
    <t>priority_subs</t>
  </si>
  <si>
    <t>dual_standby_pref</t>
  </si>
  <si>
    <t>Device Mode</t>
  </si>
  <si>
    <t>/nv/item_files/modem/mmode/device_mode</t>
  </si>
  <si>
    <t>HW_Product</t>
  </si>
  <si>
    <t>Generic</t>
  </si>
  <si>
    <t>Common</t>
  </si>
  <si>
    <t>MCFG.MPSS.5.0</t>
  </si>
  <si>
    <t>QC_version_type</t>
  </si>
  <si>
    <t>0x05</t>
  </si>
  <si>
    <t>QC_version_len</t>
  </si>
  <si>
    <t>QC_version</t>
  </si>
  <si>
    <t>Disable Global Mode</t>
  </si>
  <si>
    <t>/nv/item_files/modem/mmode/disable_global_mode</t>
  </si>
  <si>
    <t>Hybrid Feature to be Enabled/Disabled</t>
  </si>
  <si>
    <t>/nv/item_files/ims/ims_hybrid_enable</t>
  </si>
  <si>
    <t>/policyman/device_config.xml</t>
  </si>
  <si>
    <t>Device Config</t>
  </si>
  <si>
    <t>modem_proc\mmcp\policyman\configurations\DevConfig\SS\device_config.xml</t>
  </si>
  <si>
    <t>MSM9X07</t>
  </si>
  <si>
    <t>MSM9X07_WP8_SS</t>
  </si>
  <si>
    <t>MSM9X07_LA_SS</t>
  </si>
  <si>
    <t>9X07_WP8_SS</t>
  </si>
  <si>
    <t>MTP9X07 NA717 Trailer Record</t>
  </si>
  <si>
    <t>9X07_LA_SS</t>
  </si>
  <si>
    <t>Initial revision for MSM9X07</t>
  </si>
  <si>
    <t>created new MSM9X07, reference taken from MSM8909
and i deleted the dual sim subtypes from MSM8909</t>
  </si>
  <si>
    <t xml:space="preserve">WP8_SS:0x05020108
LA_SS:0x05020109
</t>
  </si>
  <si>
    <t>modem_proc\mcfg\mcfg_gen\scripts\data\efs_files\9x07_ss_uim_hw_config</t>
  </si>
  <si>
    <t>WP8_SS:0x05020109
LA_SS:0x05020119</t>
  </si>
  <si>
    <t>MCFG Updates(IMS NV)</t>
  </si>
  <si>
    <t>Updated the NV 70287 = 0</t>
  </si>
  <si>
    <t>942845</t>
  </si>
  <si>
    <t>UI Task Configurations</t>
  </si>
  <si>
    <t>/nv/item_files/Thin_UI/enable_thin_ui_cfg</t>
  </si>
  <si>
    <t>thin_ui_cfg</t>
  </si>
  <si>
    <t>MCFG Updates</t>
  </si>
  <si>
    <t>946811</t>
  </si>
  <si>
    <t>NV 70310 should be added to h/w mbn of 9x07 JO 1.2 PL</t>
  </si>
  <si>
    <t>WP8_SS:0x05023000
LA_SS:0x05023010</t>
  </si>
  <si>
    <t>MSM8952_WP8_DS</t>
  </si>
  <si>
    <t>TRM Configuration</t>
  </si>
  <si>
    <t>trm_config</t>
  </si>
  <si>
    <t>trm_config.rf_config</t>
  </si>
  <si>
    <t>trm_config.mask</t>
  </si>
  <si>
    <t>UIM HW SIM Config</t>
  </si>
  <si>
    <t>UIM_HW_SIM_CONFIG</t>
  </si>
  <si>
    <t xml:space="preserve"> 70210, hw_config.UIM[1].DISABLE_UIM = FALSE</t>
  </si>
  <si>
    <t>modem_proc\mmcp\policyman\configurations\DevConfig\7+5_mode\device_config.xml</t>
  </si>
  <si>
    <t xml:space="preserve">scan_scope_rule </t>
  </si>
  <si>
    <t xml:space="preserve">/nv/item_files/modem/mmode/scan_scope_rule </t>
  </si>
  <si>
    <t>0x19</t>
  </si>
  <si>
    <t>/nv/item_files/ims/ims_hybrid_enable_Subscription01</t>
  </si>
  <si>
    <t>NAS CSG Support Configuration</t>
  </si>
  <si>
    <t>/nv/item_files/modem/nas/csg_support_configuration</t>
  </si>
  <si>
    <t>MSM8952_LA_DS</t>
  </si>
  <si>
    <t>MTP9x07 NA717 Trailer Record</t>
  </si>
  <si>
    <t>SR_DSDS-WP8-7+5_mode-MSM9x07</t>
  </si>
  <si>
    <t>modem_proc\mcfg\mcfg_gen\scripts\data\efs_files\9x07_dsdx_uim_hw_config</t>
  </si>
  <si>
    <t>SR_DSDS-LA-7+5_mode-MSM9x07</t>
  </si>
  <si>
    <t>SS-WP8:0x05023000
SS-LA:0x05023010
SR_DSDS-WP8-7+5_mode:0x05023020
SR_DSDS-LA-7+5_mode:0x05023030</t>
  </si>
  <si>
    <t>952340</t>
  </si>
  <si>
    <t>MCFG-1209|8937 Feero|7+5 HW MBN not available for 8937 target path</t>
  </si>
  <si>
    <t>SR_DSDS-WP8-7+5_mode</t>
  </si>
  <si>
    <t>SR_DSDS-LA-7+5_mode</t>
  </si>
  <si>
    <t>SS-WP8</t>
  </si>
  <si>
    <t>SS-LA</t>
  </si>
  <si>
    <t>926461</t>
  </si>
  <si>
    <t>made changes for nv 73502 = 62</t>
  </si>
  <si>
    <t>SS-WP8:0x05023001
SS-LA:0x05023011
SR_DSDS-WP8-7+5_mode:0x05023021
SR_DSDS-LA-7+5_mode:0x05023031</t>
  </si>
  <si>
    <t>SS-WP8:0x05023002
SS-LA:0x05023012</t>
  </si>
  <si>
    <t>NV850 Added</t>
  </si>
  <si>
    <t>Removed update_band_range from CMCC/CT/CU &amp; added the same to hw_mbn</t>
  </si>
  <si>
    <t>SS-WP8:0x05023004
SS-LA:0x05023014
SR_DSDS-WP8-7+5_mode:0x05023023
SR_DSDS-LA-7+5_mode:0x05023033</t>
  </si>
  <si>
    <t>SR_DSDS-WP8-7+5_mode:0x05023024
SR_DSDS-LA-7+5_mode:0x05023034</t>
  </si>
  <si>
    <t>998979</t>
  </si>
  <si>
    <t>Reopened - MSIM expect, for DRDS NV3446=2,256 and for SRDS, NV3446=2,2</t>
  </si>
  <si>
    <t>SS-WP8:0x05023005
SS-LA:0x05023015</t>
  </si>
  <si>
    <t>Remove NV850</t>
  </si>
  <si>
    <t>MCFG_capability_type</t>
  </si>
  <si>
    <t>0x07</t>
  </si>
  <si>
    <t>MCFG_capability_Length</t>
  </si>
  <si>
    <t>MCFG_capability_values</t>
  </si>
  <si>
    <t>0x00000000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</si>
  <si>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</si>
  <si>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0x00000001</t>
  </si>
  <si>
    <t>0x05023007</t>
  </si>
  <si>
    <t>0x05023017</t>
  </si>
  <si>
    <t>0x05023026</t>
  </si>
  <si>
    <t>0x05023036</t>
  </si>
  <si>
    <t>FR31322: Support requirement for CMCC  Open Mkt and Subsidized phones with a single SKU.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</si>
</sst>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2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sz val="11"/>
      <color rgb="FF9C6500"/>
      <name val="Gill Sans MT"/>
      <family val="2"/>
      <scheme val="minor"/>
    </font>
    <font>
      <sz val="10"/>
      <color rgb="FF0070C0"/>
      <name val="Gill Sans MT"/>
      <family val="2"/>
      <scheme val="maj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sz val="10"/>
      <color rgb="FF00B0F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1"/>
      <name val="Gill Sans MT"/>
      <family val="2"/>
      <scheme val="minor"/>
    </font>
    <font>
      <sz val="10"/>
      <color theme="4"/>
      <name val="Arial"/>
      <family val="2"/>
    </font>
    <font>
      <b/>
      <sz val="12"/>
      <name val="Gill Sans MT"/>
      <family val="2"/>
      <scheme val="major"/>
    </font>
    <font>
      <b/>
      <i/>
      <sz val="10"/>
      <name val="Gill Sans MT"/>
      <family val="2"/>
      <scheme val="major"/>
    </font>
    <font>
      <b/>
      <sz val="18"/>
      <name val="Gill Sans MT"/>
      <family val="2"/>
      <scheme val="major"/>
    </font>
    <font>
      <sz val="12"/>
      <name val="Gill Sans MT"/>
      <family val="2"/>
      <scheme val="maj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35">
    <xf numFmtId="0" fontId="0" fillId="0" borderId="0"/>
    <xf numFmtId="0" fontId="26" fillId="5" borderId="0" applyNumberFormat="0" applyBorder="0" applyAlignment="0" applyProtection="0"/>
    <xf numFmtId="0" fontId="13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29" fillId="0" borderId="0"/>
    <xf numFmtId="49" fontId="30" fillId="0" borderId="21" applyNumberFormat="0" applyFont="0" applyFill="0" applyAlignment="0" applyProtection="0">
      <alignment horizontal="center" vertical="center"/>
      <protection locked="0"/>
    </xf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13" borderId="0" applyNumberFormat="0" applyBorder="0" applyAlignment="0" applyProtection="0"/>
    <xf numFmtId="0" fontId="29" fillId="0" borderId="0"/>
    <xf numFmtId="0" fontId="10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8" fillId="13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2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0" borderId="0"/>
  </cellStyleXfs>
  <cellXfs count="166">
    <xf numFmtId="0" fontId="0" fillId="0" borderId="0" xfId="0"/>
    <xf numFmtId="0" fontId="14" fillId="0" borderId="0" xfId="0" applyFont="1"/>
    <xf numFmtId="0" fontId="15" fillId="0" borderId="0" xfId="0" applyFont="1"/>
    <xf numFmtId="0" fontId="16" fillId="0" borderId="0" xfId="0" applyFont="1" applyFill="1" applyAlignment="1">
      <alignment horizontal="right"/>
    </xf>
    <xf numFmtId="0" fontId="15" fillId="0" borderId="8" xfId="0" applyFont="1" applyBorder="1" applyAlignment="1">
      <alignment horizontal="left" indent="1"/>
    </xf>
    <xf numFmtId="0" fontId="14" fillId="2" borderId="7" xfId="0" applyFont="1" applyFill="1" applyBorder="1" applyAlignment="1">
      <alignment horizontal="center"/>
    </xf>
    <xf numFmtId="0" fontId="18" fillId="0" borderId="0" xfId="0" applyFon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4" fillId="0" borderId="0" xfId="0" applyFont="1"/>
    <xf numFmtId="0" fontId="0" fillId="0" borderId="0" xfId="0" applyAlignment="1">
      <alignment wrapText="1"/>
    </xf>
    <xf numFmtId="14" fontId="27" fillId="0" borderId="0" xfId="0" applyNumberFormat="1" applyFont="1" applyFill="1" applyAlignment="1">
      <alignment horizontal="left" indent="1"/>
    </xf>
    <xf numFmtId="0" fontId="27" fillId="0" borderId="0" xfId="0" applyFont="1" applyFill="1" applyAlignment="1">
      <alignment horizontal="left" indent="1"/>
    </xf>
    <xf numFmtId="0" fontId="22" fillId="6" borderId="15" xfId="1" applyFont="1" applyFill="1" applyBorder="1" applyAlignment="1">
      <alignment horizontal="left" indent="1"/>
    </xf>
    <xf numFmtId="0" fontId="22" fillId="6" borderId="15" xfId="1" applyFont="1" applyFill="1" applyBorder="1" applyAlignment="1">
      <alignment horizontal="left" wrapText="1" indent="1"/>
    </xf>
    <xf numFmtId="0" fontId="22" fillId="6" borderId="15" xfId="1" applyFont="1" applyFill="1" applyBorder="1"/>
    <xf numFmtId="0" fontId="22" fillId="6" borderId="15" xfId="1" applyFont="1" applyFill="1" applyBorder="1" applyAlignment="1">
      <alignment wrapText="1"/>
    </xf>
    <xf numFmtId="0" fontId="22" fillId="6" borderId="15" xfId="1" applyFont="1" applyFill="1" applyBorder="1" applyAlignment="1">
      <alignment horizontal="center" wrapText="1"/>
    </xf>
    <xf numFmtId="0" fontId="23" fillId="6" borderId="0" xfId="0" applyFont="1" applyFill="1"/>
    <xf numFmtId="0" fontId="22" fillId="6" borderId="15" xfId="1" applyFont="1" applyFill="1" applyBorder="1" applyAlignment="1">
      <alignment horizontal="left" wrapText="1"/>
    </xf>
    <xf numFmtId="0" fontId="23" fillId="0" borderId="0" xfId="0" applyFont="1" applyFill="1"/>
    <xf numFmtId="0" fontId="22" fillId="7" borderId="15" xfId="1" applyFont="1" applyFill="1" applyBorder="1" applyAlignment="1">
      <alignment horizontal="left" indent="1"/>
    </xf>
    <xf numFmtId="0" fontId="22" fillId="7" borderId="15" xfId="1" applyFont="1" applyFill="1" applyBorder="1" applyAlignment="1">
      <alignment horizontal="left" wrapText="1" indent="1"/>
    </xf>
    <xf numFmtId="0" fontId="22" fillId="7" borderId="15" xfId="1" applyFont="1" applyFill="1" applyBorder="1"/>
    <xf numFmtId="0" fontId="22" fillId="7" borderId="15" xfId="1" applyFont="1" applyFill="1" applyBorder="1" applyAlignment="1">
      <alignment wrapText="1"/>
    </xf>
    <xf numFmtId="0" fontId="22" fillId="7" borderId="15" xfId="1" applyFont="1" applyFill="1" applyBorder="1" applyAlignment="1">
      <alignment horizontal="center" wrapText="1"/>
    </xf>
    <xf numFmtId="0" fontId="22" fillId="8" borderId="16" xfId="1" applyFont="1" applyFill="1" applyBorder="1" applyAlignment="1">
      <alignment horizontal="left" indent="1"/>
    </xf>
    <xf numFmtId="0" fontId="0" fillId="0" borderId="0" xfId="0" applyFill="1"/>
    <xf numFmtId="0" fontId="22" fillId="10" borderId="16" xfId="1" applyFont="1" applyFill="1" applyBorder="1" applyAlignment="1">
      <alignment horizontal="left" indent="1"/>
    </xf>
    <xf numFmtId="0" fontId="22" fillId="11" borderId="16" xfId="1" applyFont="1" applyFill="1" applyBorder="1" applyAlignment="1">
      <alignment horizontal="left" indent="1"/>
    </xf>
    <xf numFmtId="0" fontId="22" fillId="12" borderId="16" xfId="1" applyFont="1" applyFill="1" applyBorder="1" applyAlignment="1">
      <alignment horizontal="left" indent="1"/>
    </xf>
    <xf numFmtId="0" fontId="0" fillId="0" borderId="0" xfId="0" applyFont="1" applyAlignment="1">
      <alignment horizontal="left" indent="2"/>
    </xf>
    <xf numFmtId="0" fontId="22" fillId="0" borderId="9" xfId="0" applyFont="1" applyBorder="1" applyAlignment="1">
      <alignment horizontal="left" indent="1"/>
    </xf>
    <xf numFmtId="0" fontId="13" fillId="13" borderId="20" xfId="2" applyBorder="1"/>
    <xf numFmtId="0" fontId="13" fillId="13" borderId="20" xfId="2" applyBorder="1" applyAlignment="1">
      <alignment wrapText="1"/>
    </xf>
    <xf numFmtId="0" fontId="0" fillId="0" borderId="20" xfId="0" applyBorder="1"/>
    <xf numFmtId="0" fontId="13" fillId="13" borderId="20" xfId="2" applyFont="1" applyBorder="1" applyAlignment="1">
      <alignment wrapText="1"/>
    </xf>
    <xf numFmtId="0" fontId="14" fillId="0" borderId="0" xfId="0" applyFont="1"/>
    <xf numFmtId="0" fontId="16" fillId="0" borderId="0" xfId="0" applyFont="1" applyAlignment="1">
      <alignment horizontal="right"/>
    </xf>
    <xf numFmtId="0" fontId="14" fillId="0" borderId="0" xfId="0" applyFont="1" applyAlignment="1">
      <alignment horizontal="left" indent="1"/>
    </xf>
    <xf numFmtId="0" fontId="31" fillId="0" borderId="0" xfId="0" applyFont="1" applyAlignment="1">
      <alignment horizontal="right"/>
    </xf>
    <xf numFmtId="0" fontId="32" fillId="0" borderId="0" xfId="0" applyFont="1" applyFill="1" applyAlignment="1">
      <alignment horizontal="left" indent="1"/>
    </xf>
    <xf numFmtId="0" fontId="32" fillId="0" borderId="0" xfId="0" applyFont="1"/>
    <xf numFmtId="0" fontId="17" fillId="4" borderId="0" xfId="0" applyFont="1" applyFill="1" applyAlignment="1">
      <alignment horizontal="centerContinuous"/>
    </xf>
    <xf numFmtId="0" fontId="34" fillId="13" borderId="20" xfId="2" applyFont="1" applyBorder="1"/>
    <xf numFmtId="0" fontId="35" fillId="0" borderId="20" xfId="0" applyFont="1" applyBorder="1"/>
    <xf numFmtId="0" fontId="34" fillId="13" borderId="20" xfId="2" applyFont="1" applyBorder="1" applyAlignment="1">
      <alignment wrapText="1"/>
    </xf>
    <xf numFmtId="0" fontId="35" fillId="0" borderId="0" xfId="0" applyFont="1"/>
    <xf numFmtId="0" fontId="33" fillId="0" borderId="0" xfId="0" applyFont="1"/>
    <xf numFmtId="0" fontId="37" fillId="14" borderId="0" xfId="0" applyFont="1" applyFill="1"/>
    <xf numFmtId="0" fontId="23" fillId="7" borderId="0" xfId="0" applyFont="1" applyFill="1" applyBorder="1" applyAlignment="1"/>
    <xf numFmtId="0" fontId="23" fillId="0" borderId="0" xfId="0" applyFont="1" applyBorder="1" applyAlignment="1"/>
    <xf numFmtId="0" fontId="22" fillId="0" borderId="0" xfId="0" applyFont="1" applyAlignment="1"/>
    <xf numFmtId="0" fontId="22" fillId="7" borderId="0" xfId="0" applyFont="1" applyFill="1" applyAlignment="1"/>
    <xf numFmtId="0" fontId="19" fillId="3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3" fillId="0" borderId="13" xfId="0" applyFont="1" applyBorder="1" applyAlignment="1">
      <alignment horizontal="left" wrapText="1"/>
    </xf>
    <xf numFmtId="0" fontId="19" fillId="3" borderId="0" xfId="0" applyFont="1" applyFill="1" applyAlignment="1">
      <alignment horizontal="left"/>
    </xf>
    <xf numFmtId="0" fontId="14" fillId="2" borderId="6" xfId="0" applyFont="1" applyFill="1" applyBorder="1" applyAlignment="1">
      <alignment horizontal="left"/>
    </xf>
    <xf numFmtId="0" fontId="14" fillId="2" borderId="10" xfId="0" applyFont="1" applyFill="1" applyBorder="1" applyAlignment="1">
      <alignment horizontal="left"/>
    </xf>
    <xf numFmtId="0" fontId="15" fillId="0" borderId="11" xfId="0" applyFont="1" applyFill="1" applyBorder="1" applyAlignment="1">
      <alignment horizontal="left" wrapText="1"/>
    </xf>
    <xf numFmtId="0" fontId="22" fillId="0" borderId="12" xfId="0" applyFont="1" applyFill="1" applyBorder="1" applyAlignment="1">
      <alignment horizontal="left"/>
    </xf>
    <xf numFmtId="0" fontId="22" fillId="0" borderId="11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22" fillId="0" borderId="8" xfId="0" applyFont="1" applyFill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2" borderId="10" xfId="0" applyFont="1" applyFill="1" applyBorder="1" applyAlignment="1">
      <alignment horizontal="center" vertical="center"/>
    </xf>
    <xf numFmtId="14" fontId="22" fillId="0" borderId="12" xfId="0" applyNumberFormat="1" applyFont="1" applyFill="1" applyBorder="1" applyAlignment="1">
      <alignment horizontal="center" vertical="center"/>
    </xf>
    <xf numFmtId="14" fontId="22" fillId="0" borderId="11" xfId="0" applyNumberFormat="1" applyFont="1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14" fillId="2" borderId="10" xfId="0" applyFont="1" applyFill="1" applyBorder="1" applyAlignment="1">
      <alignment horizontal="center"/>
    </xf>
    <xf numFmtId="0" fontId="22" fillId="0" borderId="12" xfId="0" applyFont="1" applyFill="1" applyBorder="1" applyAlignment="1">
      <alignment horizontal="center"/>
    </xf>
    <xf numFmtId="49" fontId="15" fillId="0" borderId="11" xfId="0" applyNumberFormat="1" applyFont="1" applyBorder="1" applyAlignment="1">
      <alignment horizontal="center" wrapText="1"/>
    </xf>
    <xf numFmtId="0" fontId="15" fillId="0" borderId="1" xfId="0" applyFont="1" applyFill="1" applyBorder="1" applyAlignment="1">
      <alignment horizontal="left" wrapText="1"/>
    </xf>
    <xf numFmtId="0" fontId="15" fillId="0" borderId="12" xfId="0" applyFont="1" applyFill="1" applyBorder="1" applyAlignment="1">
      <alignment horizontal="left" wrapText="1"/>
    </xf>
    <xf numFmtId="0" fontId="36" fillId="13" borderId="12" xfId="105" applyFont="1" applyBorder="1" applyAlignment="1">
      <alignment horizontal="left" indent="1"/>
    </xf>
    <xf numFmtId="0" fontId="22" fillId="0" borderId="8" xfId="0" applyFont="1" applyBorder="1" applyAlignment="1">
      <alignment horizontal="left" indent="1"/>
    </xf>
    <xf numFmtId="0" fontId="22" fillId="0" borderId="12" xfId="0" applyFont="1" applyBorder="1" applyAlignment="1">
      <alignment horizontal="left" indent="1"/>
    </xf>
    <xf numFmtId="0" fontId="22" fillId="0" borderId="0" xfId="0" applyFont="1"/>
    <xf numFmtId="0" fontId="22" fillId="0" borderId="1" xfId="0" applyFont="1" applyBorder="1"/>
    <xf numFmtId="0" fontId="36" fillId="13" borderId="1" xfId="105" applyFont="1" applyBorder="1" applyAlignment="1">
      <alignment horizontal="left" wrapText="1"/>
    </xf>
    <xf numFmtId="0" fontId="22" fillId="0" borderId="11" xfId="0" applyFont="1" applyBorder="1" applyAlignment="1">
      <alignment horizontal="left" indent="1"/>
    </xf>
    <xf numFmtId="0" fontId="22" fillId="0" borderId="3" xfId="0" applyFont="1" applyBorder="1" applyAlignment="1">
      <alignment horizontal="left" indent="1"/>
    </xf>
    <xf numFmtId="0" fontId="22" fillId="0" borderId="3" xfId="0" applyFont="1" applyBorder="1" applyAlignment="1">
      <alignment horizontal="left" wrapText="1"/>
    </xf>
    <xf numFmtId="0" fontId="22" fillId="0" borderId="2" xfId="0" applyFont="1" applyBorder="1" applyAlignment="1">
      <alignment horizontal="left" indent="1"/>
    </xf>
    <xf numFmtId="0" fontId="22" fillId="0" borderId="2" xfId="0" applyFont="1" applyBorder="1" applyAlignment="1">
      <alignment horizontal="left" wrapText="1"/>
    </xf>
    <xf numFmtId="0" fontId="22" fillId="0" borderId="0" xfId="0" applyFont="1" applyBorder="1"/>
    <xf numFmtId="0" fontId="38" fillId="4" borderId="4" xfId="0" applyFont="1" applyFill="1" applyBorder="1" applyAlignment="1">
      <alignment horizontal="centerContinuous"/>
    </xf>
    <xf numFmtId="0" fontId="38" fillId="4" borderId="5" xfId="0" applyFont="1" applyFill="1" applyBorder="1" applyAlignment="1">
      <alignment horizontal="centerContinuous"/>
    </xf>
    <xf numFmtId="0" fontId="38" fillId="4" borderId="6" xfId="0" applyFont="1" applyFill="1" applyBorder="1" applyAlignment="1">
      <alignment horizontal="centerContinuous"/>
    </xf>
    <xf numFmtId="0" fontId="32" fillId="2" borderId="10" xfId="0" applyFont="1" applyFill="1" applyBorder="1" applyAlignment="1">
      <alignment horizontal="left" indent="1"/>
    </xf>
    <xf numFmtId="0" fontId="32" fillId="2" borderId="7" xfId="0" applyFont="1" applyFill="1" applyBorder="1" applyAlignment="1">
      <alignment horizontal="left" indent="1"/>
    </xf>
    <xf numFmtId="0" fontId="32" fillId="2" borderId="5" xfId="0" applyFont="1" applyFill="1" applyBorder="1" applyAlignment="1">
      <alignment horizontal="left" indent="1"/>
    </xf>
    <xf numFmtId="0" fontId="32" fillId="2" borderId="6" xfId="0" applyFont="1" applyFill="1" applyBorder="1" applyAlignment="1">
      <alignment horizontal="left" wrapText="1"/>
    </xf>
    <xf numFmtId="0" fontId="32" fillId="2" borderId="14" xfId="0" applyFont="1" applyFill="1" applyBorder="1" applyAlignment="1">
      <alignment horizontal="center"/>
    </xf>
    <xf numFmtId="0" fontId="23" fillId="0" borderId="0" xfId="0" applyFont="1"/>
    <xf numFmtId="0" fontId="23" fillId="0" borderId="0" xfId="0" applyFont="1" applyAlignment="1">
      <alignment wrapText="1"/>
    </xf>
    <xf numFmtId="0" fontId="39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indent="1"/>
    </xf>
    <xf numFmtId="0" fontId="32" fillId="9" borderId="0" xfId="0" applyFont="1" applyFill="1" applyBorder="1" applyAlignment="1">
      <alignment horizontal="left" wrapText="1"/>
    </xf>
    <xf numFmtId="0" fontId="32" fillId="9" borderId="0" xfId="0" applyFont="1" applyFill="1" applyBorder="1" applyAlignment="1">
      <alignment horizontal="center"/>
    </xf>
    <xf numFmtId="0" fontId="23" fillId="8" borderId="0" xfId="0" applyFont="1" applyFill="1"/>
    <xf numFmtId="0" fontId="23" fillId="8" borderId="0" xfId="0" applyFont="1" applyFill="1" applyAlignment="1">
      <alignment wrapText="1"/>
    </xf>
    <xf numFmtId="0" fontId="23" fillId="10" borderId="0" xfId="0" applyFont="1" applyFill="1"/>
    <xf numFmtId="0" fontId="23" fillId="10" borderId="0" xfId="0" applyFont="1" applyFill="1" applyAlignment="1">
      <alignment wrapText="1"/>
    </xf>
    <xf numFmtId="0" fontId="23" fillId="11" borderId="0" xfId="0" applyFont="1" applyFill="1"/>
    <xf numFmtId="0" fontId="23" fillId="11" borderId="0" xfId="0" applyFont="1" applyFill="1" applyAlignment="1">
      <alignment wrapText="1"/>
    </xf>
    <xf numFmtId="0" fontId="23" fillId="12" borderId="0" xfId="0" applyFont="1" applyFill="1"/>
    <xf numFmtId="0" fontId="23" fillId="12" borderId="0" xfId="0" applyFont="1" applyFill="1" applyAlignment="1">
      <alignment wrapText="1"/>
    </xf>
    <xf numFmtId="0" fontId="36" fillId="14" borderId="22" xfId="108" applyFont="1" applyFill="1" applyBorder="1" applyAlignment="1">
      <alignment horizontal="left" indent="1"/>
    </xf>
    <xf numFmtId="0" fontId="23" fillId="14" borderId="0" xfId="0" applyFont="1" applyFill="1" applyBorder="1"/>
    <xf numFmtId="0" fontId="23" fillId="14" borderId="12" xfId="0" applyFont="1" applyFill="1" applyBorder="1"/>
    <xf numFmtId="0" fontId="23" fillId="14" borderId="1" xfId="0" applyFont="1" applyFill="1" applyBorder="1"/>
    <xf numFmtId="0" fontId="36" fillId="13" borderId="20" xfId="2" applyFont="1" applyBorder="1"/>
    <xf numFmtId="0" fontId="23" fillId="0" borderId="20" xfId="0" applyFont="1" applyBorder="1"/>
    <xf numFmtId="0" fontId="36" fillId="13" borderId="20" xfId="2" applyFont="1" applyBorder="1" applyAlignment="1">
      <alignment wrapText="1"/>
    </xf>
    <xf numFmtId="0" fontId="36" fillId="2" borderId="1" xfId="107" applyFont="1" applyFill="1" applyBorder="1" applyAlignment="1">
      <alignment wrapText="1"/>
    </xf>
    <xf numFmtId="0" fontId="36" fillId="2" borderId="22" xfId="108" applyFont="1" applyFill="1" applyBorder="1" applyAlignment="1">
      <alignment horizontal="center" wrapText="1"/>
    </xf>
    <xf numFmtId="0" fontId="22" fillId="2" borderId="15" xfId="1" applyFont="1" applyFill="1" applyBorder="1" applyAlignment="1">
      <alignment horizontal="center" wrapText="1"/>
    </xf>
    <xf numFmtId="0" fontId="36" fillId="14" borderId="22" xfId="107" applyFont="1" applyFill="1" applyBorder="1" applyAlignment="1"/>
    <xf numFmtId="0" fontId="23" fillId="14" borderId="1" xfId="0" applyFont="1" applyFill="1" applyBorder="1" applyAlignment="1"/>
    <xf numFmtId="0" fontId="23" fillId="14" borderId="0" xfId="0" applyFont="1" applyFill="1" applyBorder="1" applyAlignment="1"/>
    <xf numFmtId="0" fontId="23" fillId="14" borderId="12" xfId="0" applyFont="1" applyFill="1" applyBorder="1" applyAlignment="1"/>
    <xf numFmtId="0" fontId="22" fillId="14" borderId="15" xfId="1" applyFont="1" applyFill="1" applyBorder="1" applyAlignment="1">
      <alignment horizontal="left" indent="1"/>
    </xf>
    <xf numFmtId="0" fontId="22" fillId="14" borderId="15" xfId="1" applyFont="1" applyFill="1" applyBorder="1" applyAlignment="1">
      <alignment horizontal="left" wrapText="1" indent="1"/>
    </xf>
    <xf numFmtId="0" fontId="22" fillId="14" borderId="15" xfId="1" applyFont="1" applyFill="1" applyBorder="1"/>
    <xf numFmtId="0" fontId="22" fillId="14" borderId="15" xfId="1" applyFont="1" applyFill="1" applyBorder="1" applyAlignment="1">
      <alignment horizontal="left" wrapText="1"/>
    </xf>
    <xf numFmtId="0" fontId="23" fillId="0" borderId="0" xfId="0" applyFont="1" applyBorder="1"/>
    <xf numFmtId="0" fontId="41" fillId="0" borderId="0" xfId="0" applyFont="1"/>
    <xf numFmtId="0" fontId="32" fillId="2" borderId="6" xfId="0" applyFont="1" applyFill="1" applyBorder="1" applyAlignment="1">
      <alignment horizontal="left" indent="1"/>
    </xf>
    <xf numFmtId="0" fontId="36" fillId="13" borderId="12" xfId="227" applyFont="1" applyBorder="1" applyAlignment="1">
      <alignment horizontal="left" indent="1"/>
    </xf>
    <xf numFmtId="0" fontId="22" fillId="0" borderId="12" xfId="0" applyFont="1" applyBorder="1"/>
    <xf numFmtId="0" fontId="36" fillId="13" borderId="1" xfId="227" applyFont="1" applyBorder="1" applyAlignment="1">
      <alignment horizontal="left" wrapText="1"/>
    </xf>
    <xf numFmtId="0" fontId="36" fillId="13" borderId="12" xfId="228" applyFont="1" applyBorder="1" applyAlignment="1">
      <alignment horizontal="left" indent="1"/>
    </xf>
    <xf numFmtId="0" fontId="36" fillId="13" borderId="1" xfId="228" applyFont="1" applyBorder="1" applyAlignment="1">
      <alignment horizontal="left" wrapText="1"/>
    </xf>
    <xf numFmtId="0" fontId="36" fillId="14" borderId="22" xfId="229" applyFont="1" applyFill="1" applyBorder="1" applyAlignment="1"/>
    <xf numFmtId="0" fontId="36" fillId="2" borderId="1" xfId="229" applyFont="1" applyFill="1" applyBorder="1" applyAlignment="1">
      <alignment wrapText="1"/>
    </xf>
    <xf numFmtId="0" fontId="36" fillId="14" borderId="22" xfId="230" applyFont="1" applyFill="1" applyBorder="1" applyAlignment="1">
      <alignment horizontal="left" indent="1"/>
    </xf>
    <xf numFmtId="0" fontId="36" fillId="2" borderId="22" xfId="230" applyFont="1" applyFill="1" applyBorder="1" applyAlignment="1">
      <alignment horizontal="center" wrapText="1"/>
    </xf>
    <xf numFmtId="0" fontId="4" fillId="13" borderId="20" xfId="228" applyBorder="1"/>
    <xf numFmtId="0" fontId="4" fillId="13" borderId="20" xfId="228" applyBorder="1" applyAlignment="1">
      <alignment wrapText="1"/>
    </xf>
    <xf numFmtId="0" fontId="36" fillId="13" borderId="20" xfId="228" applyFont="1" applyBorder="1"/>
    <xf numFmtId="0" fontId="36" fillId="13" borderId="20" xfId="228" applyFont="1" applyBorder="1" applyAlignment="1">
      <alignment wrapText="1"/>
    </xf>
    <xf numFmtId="0" fontId="34" fillId="13" borderId="20" xfId="228" applyFont="1" applyBorder="1"/>
    <xf numFmtId="0" fontId="34" fillId="13" borderId="20" xfId="228" applyFont="1" applyBorder="1" applyAlignment="1">
      <alignment wrapText="1"/>
    </xf>
    <xf numFmtId="0" fontId="34" fillId="13" borderId="20" xfId="233" applyFont="1" applyBorder="1"/>
    <xf numFmtId="0" fontId="35" fillId="0" borderId="20" xfId="234" applyFont="1" applyBorder="1" applyAlignment="1">
      <alignment horizontal="left" indent="1"/>
    </xf>
    <xf numFmtId="0" fontId="35" fillId="0" borderId="20" xfId="234" applyFont="1" applyBorder="1"/>
    <xf numFmtId="0" fontId="35" fillId="0" borderId="20" xfId="234" applyNumberFormat="1" applyFont="1" applyBorder="1" applyAlignment="1">
      <alignment horizontal="left" indent="1"/>
    </xf>
    <xf numFmtId="0" fontId="34" fillId="13" borderId="20" xfId="233" applyFont="1" applyBorder="1" applyAlignment="1">
      <alignment wrapText="1"/>
    </xf>
    <xf numFmtId="0" fontId="35" fillId="0" borderId="20" xfId="234" applyNumberFormat="1" applyFont="1" applyBorder="1" applyAlignment="1">
      <alignment horizontal="left" wrapText="1" indent="1"/>
    </xf>
    <xf numFmtId="0" fontId="19" fillId="3" borderId="0" xfId="0" applyFont="1" applyFill="1" applyAlignment="1">
      <alignment horizontal="center" vertical="center"/>
    </xf>
    <xf numFmtId="0" fontId="40" fillId="3" borderId="0" xfId="0" applyFont="1" applyFill="1" applyAlignment="1">
      <alignment horizontal="center" vertical="center" wrapText="1"/>
    </xf>
    <xf numFmtId="0" fontId="38" fillId="4" borderId="4" xfId="0" applyFont="1" applyFill="1" applyBorder="1" applyAlignment="1">
      <alignment horizontal="center"/>
    </xf>
    <xf numFmtId="0" fontId="38" fillId="4" borderId="5" xfId="0" applyFont="1" applyFill="1" applyBorder="1" applyAlignment="1">
      <alignment horizontal="center"/>
    </xf>
    <xf numFmtId="0" fontId="38" fillId="4" borderId="6" xfId="0" applyFont="1" applyFill="1" applyBorder="1" applyAlignment="1">
      <alignment horizontal="center"/>
    </xf>
    <xf numFmtId="0" fontId="38" fillId="4" borderId="17" xfId="0" applyFont="1" applyFill="1" applyBorder="1" applyAlignment="1">
      <alignment horizontal="center"/>
    </xf>
    <xf numFmtId="0" fontId="38" fillId="4" borderId="18" xfId="0" applyFont="1" applyFill="1" applyBorder="1" applyAlignment="1">
      <alignment horizontal="center"/>
    </xf>
    <xf numFmtId="0" fontId="38" fillId="4" borderId="19" xfId="0" applyFont="1" applyFill="1" applyBorder="1" applyAlignment="1">
      <alignment horizontal="center"/>
    </xf>
    <xf numFmtId="0" fontId="17" fillId="4" borderId="17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4" borderId="19" xfId="0" applyFont="1" applyFill="1" applyBorder="1" applyAlignment="1">
      <alignment horizontal="center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0" fillId="0" borderId="0" xfId="0" applyAlignment="1">
      <alignment horizontal="left" indent="1"/>
    </xf>
  </cellXfs>
  <cellStyles count="235">
    <cellStyle name="20% - Accent1" xfId="105" builtinId="30"/>
    <cellStyle name="20% - Accent1 2" xfId="2"/>
    <cellStyle name="20% - Accent1 2 10" xfId="3"/>
    <cellStyle name="20% - Accent1 2 10 2" xfId="117"/>
    <cellStyle name="20% - Accent1 2 11" xfId="112"/>
    <cellStyle name="20% - Accent1 2 11 2" xfId="223"/>
    <cellStyle name="20% - Accent1 2 11 3" xfId="228"/>
    <cellStyle name="20% - Accent1 2 12" xfId="116"/>
    <cellStyle name="20% - Accent1 2 2" xfId="8"/>
    <cellStyle name="20% - Accent1 2 2 2" xfId="12"/>
    <cellStyle name="20% - Accent1 2 2 2 2" xfId="16"/>
    <cellStyle name="20% - Accent1 2 2 2 2 2" xfId="21"/>
    <cellStyle name="20% - Accent1 2 2 2 2 2 2" xfId="56"/>
    <cellStyle name="20% - Accent1 2 2 2 2 2 2 2" xfId="168"/>
    <cellStyle name="20% - Accent1 2 2 2 2 2 3" xfId="133"/>
    <cellStyle name="20% - Accent1 2 2 2 2 3" xfId="57"/>
    <cellStyle name="20% - Accent1 2 2 2 2 3 2" xfId="169"/>
    <cellStyle name="20% - Accent1 2 2 2 2 4" xfId="128"/>
    <cellStyle name="20% - Accent1 2 2 2 3" xfId="22"/>
    <cellStyle name="20% - Accent1 2 2 2 3 2" xfId="58"/>
    <cellStyle name="20% - Accent1 2 2 2 3 2 2" xfId="170"/>
    <cellStyle name="20% - Accent1 2 2 2 3 3" xfId="134"/>
    <cellStyle name="20% - Accent1 2 2 2 4" xfId="23"/>
    <cellStyle name="20% - Accent1 2 2 2 4 2" xfId="59"/>
    <cellStyle name="20% - Accent1 2 2 2 4 2 2" xfId="171"/>
    <cellStyle name="20% - Accent1 2 2 2 4 3" xfId="135"/>
    <cellStyle name="20% - Accent1 2 2 2 5" xfId="60"/>
    <cellStyle name="20% - Accent1 2 2 2 5 2" xfId="172"/>
    <cellStyle name="20% - Accent1 2 2 2 6" xfId="124"/>
    <cellStyle name="20% - Accent1 2 2 21" xfId="231"/>
    <cellStyle name="20% - Accent1 2 2 3" xfId="24"/>
    <cellStyle name="20% - Accent1 2 2 3 2" xfId="54"/>
    <cellStyle name="20% - Accent1 2 2 3 2 2" xfId="166"/>
    <cellStyle name="20% - Accent1 2 2 3 3" xfId="61"/>
    <cellStyle name="20% - Accent1 2 2 3 3 2" xfId="173"/>
    <cellStyle name="20% - Accent1 2 2 3 4" xfId="136"/>
    <cellStyle name="20% - Accent1 2 2 4" xfId="25"/>
    <cellStyle name="20% - Accent1 2 2 4 2" xfId="62"/>
    <cellStyle name="20% - Accent1 2 2 4 2 2" xfId="174"/>
    <cellStyle name="20% - Accent1 2 2 4 3" xfId="137"/>
    <cellStyle name="20% - Accent1 2 2 5" xfId="26"/>
    <cellStyle name="20% - Accent1 2 2 5 2" xfId="63"/>
    <cellStyle name="20% - Accent1 2 2 5 2 2" xfId="175"/>
    <cellStyle name="20% - Accent1 2 2 5 3" xfId="138"/>
    <cellStyle name="20% - Accent1 2 2 6" xfId="64"/>
    <cellStyle name="20% - Accent1 2 2 6 2" xfId="176"/>
    <cellStyle name="20% - Accent1 2 2 7" xfId="120"/>
    <cellStyle name="20% - Accent1 2 3" xfId="10"/>
    <cellStyle name="20% - Accent1 2 3 2" xfId="27"/>
    <cellStyle name="20% - Accent1 2 3 2 2" xfId="65"/>
    <cellStyle name="20% - Accent1 2 3 2 2 2" xfId="177"/>
    <cellStyle name="20% - Accent1 2 3 2 3" xfId="139"/>
    <cellStyle name="20% - Accent1 2 3 3" xfId="28"/>
    <cellStyle name="20% - Accent1 2 3 3 2" xfId="66"/>
    <cellStyle name="20% - Accent1 2 3 3 2 2" xfId="178"/>
    <cellStyle name="20% - Accent1 2 3 3 3" xfId="140"/>
    <cellStyle name="20% - Accent1 2 3 4" xfId="29"/>
    <cellStyle name="20% - Accent1 2 3 4 2" xfId="67"/>
    <cellStyle name="20% - Accent1 2 3 4 2 2" xfId="179"/>
    <cellStyle name="20% - Accent1 2 3 4 3" xfId="141"/>
    <cellStyle name="20% - Accent1 2 3 5" xfId="68"/>
    <cellStyle name="20% - Accent1 2 3 5 2" xfId="180"/>
    <cellStyle name="20% - Accent1 2 3 6" xfId="122"/>
    <cellStyle name="20% - Accent1 2 4" xfId="13"/>
    <cellStyle name="20% - Accent1 2 4 2" xfId="17"/>
    <cellStyle name="20% - Accent1 2 4 2 2" xfId="30"/>
    <cellStyle name="20% - Accent1 2 4 2 2 2" xfId="69"/>
    <cellStyle name="20% - Accent1 2 4 2 2 2 2" xfId="181"/>
    <cellStyle name="20% - Accent1 2 4 2 2 3" xfId="142"/>
    <cellStyle name="20% - Accent1 2 4 2 3" xfId="70"/>
    <cellStyle name="20% - Accent1 2 4 2 3 2" xfId="182"/>
    <cellStyle name="20% - Accent1 2 4 2 4" xfId="129"/>
    <cellStyle name="20% - Accent1 2 4 3" xfId="18"/>
    <cellStyle name="20% - Accent1 2 4 3 17 2 2 2 2 2" xfId="232"/>
    <cellStyle name="20% - Accent1 2 4 3 17 2 2 3 4" xfId="233"/>
    <cellStyle name="20% - Accent1 2 4 3 2" xfId="31"/>
    <cellStyle name="20% - Accent1 2 4 3 2 2" xfId="71"/>
    <cellStyle name="20% - Accent1 2 4 3 2 2 2" xfId="183"/>
    <cellStyle name="20% - Accent1 2 4 3 2 2 2 2 2 2 2 3 2 2 3" xfId="107"/>
    <cellStyle name="20% - Accent1 2 4 3 2 2 2 2 2 2 2 3 2 2 3 2" xfId="114"/>
    <cellStyle name="20% - Accent1 2 4 3 2 2 2 2 2 2 2 3 2 2 3 2 2" xfId="225"/>
    <cellStyle name="20% - Accent1 2 4 3 2 2 2 2 2 2 2 3 2 2 3 2 3" xfId="229"/>
    <cellStyle name="20% - Accent1 2 4 3 2 2 2 2 2 2 2 3 2 2 3 3" xfId="218"/>
    <cellStyle name="20% - Accent1 2 4 3 2 3" xfId="143"/>
    <cellStyle name="20% - Accent1 2 4 3 3" xfId="72"/>
    <cellStyle name="20% - Accent1 2 4 3 3 2" xfId="184"/>
    <cellStyle name="20% - Accent1 2 4 3 4" xfId="130"/>
    <cellStyle name="20% - Accent1 2 4 4" xfId="32"/>
    <cellStyle name="20% - Accent1 2 4 4 2" xfId="73"/>
    <cellStyle name="20% - Accent1 2 4 4 2 2" xfId="185"/>
    <cellStyle name="20% - Accent1 2 4 4 3" xfId="144"/>
    <cellStyle name="20% - Accent1 2 4 5" xfId="74"/>
    <cellStyle name="20% - Accent1 2 4 5 2" xfId="186"/>
    <cellStyle name="20% - Accent1 2 4 6" xfId="125"/>
    <cellStyle name="20% - Accent1 2 5" xfId="20"/>
    <cellStyle name="20% - Accent1 2 5 2" xfId="75"/>
    <cellStyle name="20% - Accent1 2 5 2 2" xfId="187"/>
    <cellStyle name="20% - Accent1 2 5 3" xfId="132"/>
    <cellStyle name="20% - Accent1 2 6" xfId="33"/>
    <cellStyle name="20% - Accent1 2 6 2" xfId="76"/>
    <cellStyle name="20% - Accent1 2 6 2 2" xfId="188"/>
    <cellStyle name="20% - Accent1 2 6 3" xfId="145"/>
    <cellStyle name="20% - Accent1 2 7" xfId="34"/>
    <cellStyle name="20% - Accent1 2 7 2" xfId="77"/>
    <cellStyle name="20% - Accent1 2 7 2 2" xfId="189"/>
    <cellStyle name="20% - Accent1 2 7 3" xfId="146"/>
    <cellStyle name="20% - Accent1 2 8" xfId="55"/>
    <cellStyle name="20% - Accent1 2 8 2" xfId="167"/>
    <cellStyle name="20% - Accent1 2 9" xfId="78"/>
    <cellStyle name="20% - Accent1 2 9 2" xfId="190"/>
    <cellStyle name="20% - Accent1 3" xfId="4"/>
    <cellStyle name="20% - Accent1 3 2" xfId="35"/>
    <cellStyle name="20% - Accent1 3 2 2" xfId="79"/>
    <cellStyle name="20% - Accent1 3 2 2 2" xfId="191"/>
    <cellStyle name="20% - Accent1 3 2 3" xfId="147"/>
    <cellStyle name="20% - Accent1 3 3" xfId="36"/>
    <cellStyle name="20% - Accent1 3 3 2" xfId="80"/>
    <cellStyle name="20% - Accent1 3 3 2 2" xfId="192"/>
    <cellStyle name="20% - Accent1 3 3 3" xfId="148"/>
    <cellStyle name="20% - Accent1 3 4" xfId="37"/>
    <cellStyle name="20% - Accent1 3 4 2" xfId="81"/>
    <cellStyle name="20% - Accent1 3 4 2 2" xfId="193"/>
    <cellStyle name="20% - Accent1 3 4 3" xfId="149"/>
    <cellStyle name="20% - Accent1 3 5" xfId="82"/>
    <cellStyle name="20% - Accent1 3 5 2" xfId="194"/>
    <cellStyle name="20% - Accent1 3 6" xfId="118"/>
    <cellStyle name="20% - Accent1 4" xfId="7"/>
    <cellStyle name="20% - Accent1 4 2" xfId="11"/>
    <cellStyle name="20% - Accent1 4 2 2" xfId="15"/>
    <cellStyle name="20% - Accent1 4 2 2 2" xfId="38"/>
    <cellStyle name="20% - Accent1 4 2 2 2 2" xfId="83"/>
    <cellStyle name="20% - Accent1 4 2 2 2 2 2" xfId="195"/>
    <cellStyle name="20% - Accent1 4 2 2 2 3" xfId="150"/>
    <cellStyle name="20% - Accent1 4 2 2 3" xfId="84"/>
    <cellStyle name="20% - Accent1 4 2 2 3 2" xfId="196"/>
    <cellStyle name="20% - Accent1 4 2 2 4" xfId="127"/>
    <cellStyle name="20% - Accent1 4 2 3" xfId="39"/>
    <cellStyle name="20% - Accent1 4 2 3 2" xfId="85"/>
    <cellStyle name="20% - Accent1 4 2 3 2 2" xfId="197"/>
    <cellStyle name="20% - Accent1 4 2 3 3" xfId="151"/>
    <cellStyle name="20% - Accent1 4 2 4" xfId="40"/>
    <cellStyle name="20% - Accent1 4 2 4 2" xfId="86"/>
    <cellStyle name="20% - Accent1 4 2 4 2 2" xfId="198"/>
    <cellStyle name="20% - Accent1 4 2 4 3" xfId="152"/>
    <cellStyle name="20% - Accent1 4 2 5" xfId="87"/>
    <cellStyle name="20% - Accent1 4 2 5 2" xfId="199"/>
    <cellStyle name="20% - Accent1 4 2 6" xfId="123"/>
    <cellStyle name="20% - Accent1 4 3" xfId="41"/>
    <cellStyle name="20% - Accent1 4 3 2" xfId="88"/>
    <cellStyle name="20% - Accent1 4 3 2 2" xfId="200"/>
    <cellStyle name="20% - Accent1 4 3 3" xfId="153"/>
    <cellStyle name="20% - Accent1 4 4" xfId="42"/>
    <cellStyle name="20% - Accent1 4 4 2" xfId="89"/>
    <cellStyle name="20% - Accent1 4 4 2 2" xfId="201"/>
    <cellStyle name="20% - Accent1 4 4 3" xfId="154"/>
    <cellStyle name="20% - Accent1 4 5" xfId="43"/>
    <cellStyle name="20% - Accent1 4 5 2" xfId="90"/>
    <cellStyle name="20% - Accent1 4 5 2 2" xfId="202"/>
    <cellStyle name="20% - Accent1 4 5 3" xfId="155"/>
    <cellStyle name="20% - Accent1 4 6" xfId="91"/>
    <cellStyle name="20% - Accent1 4 6 2" xfId="203"/>
    <cellStyle name="20% - Accent1 4 7" xfId="119"/>
    <cellStyle name="20% - Accent1 5" xfId="9"/>
    <cellStyle name="20% - Accent1 5 19 2" xfId="115"/>
    <cellStyle name="20% - Accent1 5 19 2 2" xfId="226"/>
    <cellStyle name="20% - Accent1 5 19 2 3" xfId="227"/>
    <cellStyle name="20% - Accent1 5 2" xfId="44"/>
    <cellStyle name="20% - Accent1 5 2 2" xfId="92"/>
    <cellStyle name="20% - Accent1 5 2 2 2" xfId="204"/>
    <cellStyle name="20% - Accent1 5 2 3" xfId="156"/>
    <cellStyle name="20% - Accent1 5 3" xfId="45"/>
    <cellStyle name="20% - Accent1 5 3 2" xfId="93"/>
    <cellStyle name="20% - Accent1 5 3 2 2" xfId="205"/>
    <cellStyle name="20% - Accent1 5 3 3" xfId="157"/>
    <cellStyle name="20% - Accent1 5 4" xfId="46"/>
    <cellStyle name="20% - Accent1 5 4 2" xfId="94"/>
    <cellStyle name="20% - Accent1 5 4 2 2" xfId="206"/>
    <cellStyle name="20% - Accent1 5 4 3" xfId="158"/>
    <cellStyle name="20% - Accent1 5 5" xfId="95"/>
    <cellStyle name="20% - Accent1 5 5 2" xfId="207"/>
    <cellStyle name="20% - Accent1 5 6" xfId="121"/>
    <cellStyle name="20% - Accent1 6" xfId="19"/>
    <cellStyle name="20% - Accent1 6 2" xfId="96"/>
    <cellStyle name="20% - Accent1 6 2 2" xfId="208"/>
    <cellStyle name="20% - Accent1 6 3" xfId="131"/>
    <cellStyle name="20% - Accent1 7" xfId="53"/>
    <cellStyle name="20% - Accent1 7 2" xfId="165"/>
    <cellStyle name="20% - Accent1 7 4 11 2 2" xfId="111"/>
    <cellStyle name="20% - Accent1 7 4 11 2 2 2" xfId="222"/>
    <cellStyle name="20% - Accent1 7 4 11 2 3" xfId="109"/>
    <cellStyle name="20% - Accent1 7 4 11 2 3 2" xfId="220"/>
    <cellStyle name="20% - Accent1 7 4 12 2 3 5 2" xfId="110"/>
    <cellStyle name="20% - Accent1 7 4 12 2 3 5 2 2" xfId="221"/>
    <cellStyle name="20% - Accent1 7 4 2 4 5" xfId="108"/>
    <cellStyle name="20% - Accent1 7 4 2 4 5 2" xfId="113"/>
    <cellStyle name="20% - Accent1 7 4 2 4 5 2 2" xfId="224"/>
    <cellStyle name="20% - Accent1 7 4 2 4 5 2 3" xfId="230"/>
    <cellStyle name="20% - Accent1 7 4 2 4 5 3" xfId="219"/>
    <cellStyle name="20% - Accent1 8" xfId="97"/>
    <cellStyle name="20% - Accent1 8 2" xfId="209"/>
    <cellStyle name="20% - Accent1 9" xfId="217"/>
    <cellStyle name="Neutral" xfId="1" builtinId="28"/>
    <cellStyle name="Normal" xfId="0" builtinId="0"/>
    <cellStyle name="Normal 2" xfId="14"/>
    <cellStyle name="Normal 2 2" xfId="47"/>
    <cellStyle name="Normal 2 2 2" xfId="98"/>
    <cellStyle name="Normal 2 2 2 2" xfId="210"/>
    <cellStyle name="Normal 2 2 3" xfId="159"/>
    <cellStyle name="Normal 2 3" xfId="48"/>
    <cellStyle name="Normal 2 3 2" xfId="99"/>
    <cellStyle name="Normal 2 3 2 2" xfId="211"/>
    <cellStyle name="Normal 2 3 3" xfId="160"/>
    <cellStyle name="Normal 2 4" xfId="49"/>
    <cellStyle name="Normal 2 4 2" xfId="100"/>
    <cellStyle name="Normal 2 4 2 2" xfId="212"/>
    <cellStyle name="Normal 2 4 3" xfId="161"/>
    <cellStyle name="Normal 2 5" xfId="101"/>
    <cellStyle name="Normal 2 5 2" xfId="213"/>
    <cellStyle name="Normal 2 6" xfId="126"/>
    <cellStyle name="Normal 3" xfId="5"/>
    <cellStyle name="Normal 4" xfId="50"/>
    <cellStyle name="Normal 4 2" xfId="51"/>
    <cellStyle name="Normal 4 2 2" xfId="102"/>
    <cellStyle name="Normal 4 2 2 2" xfId="214"/>
    <cellStyle name="Normal 4 2 3" xfId="163"/>
    <cellStyle name="Normal 4 3" xfId="52"/>
    <cellStyle name="Normal 4 3 2" xfId="103"/>
    <cellStyle name="Normal 4 3 2 2" xfId="215"/>
    <cellStyle name="Normal 4 3 3" xfId="164"/>
    <cellStyle name="Normal 4 4" xfId="104"/>
    <cellStyle name="Normal 4 4 2" xfId="216"/>
    <cellStyle name="Normal 4 5" xfId="162"/>
    <cellStyle name="Normal 5" xfId="106"/>
    <cellStyle name="Normal 6" xfId="234"/>
    <cellStyle name="Style 2" xfId="6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485775</xdr:colOff>
          <xdr:row>20</xdr:row>
          <xdr:rowOff>0</xdr:rowOff>
        </xdr:from>
        <xdr:to>
          <xdr:col>1</xdr:col>
          <xdr:colOff>695325</xdr:colOff>
          <xdr:row>21</xdr:row>
          <xdr:rowOff>28575</xdr:rowOff>
        </xdr:to>
        <xdr:sp macro="" textlink="">
          <xdr:nvSpPr>
            <xdr:cNvPr id="4109" name="keepBuildWindowOpe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1276350</xdr:colOff>
          <xdr:row>22</xdr:row>
          <xdr:rowOff>133350</xdr:rowOff>
        </xdr:from>
        <xdr:to>
          <xdr:col>3</xdr:col>
          <xdr:colOff>0</xdr:colOff>
          <xdr:row>25</xdr:row>
          <xdr:rowOff>104775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27</xdr:row>
          <xdr:rowOff>19050</xdr:rowOff>
        </xdr:from>
        <xdr:to>
          <xdr:col>3</xdr:col>
          <xdr:colOff>0</xdr:colOff>
          <xdr:row>29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76200</xdr:rowOff>
        </xdr:from>
        <xdr:to>
          <xdr:col>0</xdr:col>
          <xdr:colOff>1914525</xdr:colOff>
          <xdr:row>16</xdr:row>
          <xdr:rowOff>114300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133350</xdr:rowOff>
        </xdr:from>
        <xdr:to>
          <xdr:col>0</xdr:col>
          <xdr:colOff>1914525</xdr:colOff>
          <xdr:row>17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18</xdr:row>
          <xdr:rowOff>0</xdr:rowOff>
        </xdr:from>
        <xdr:to>
          <xdr:col>0</xdr:col>
          <xdr:colOff>1914525</xdr:colOff>
          <xdr:row>18</xdr:row>
          <xdr:rowOff>200025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309" name="WP8_DS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47625</xdr:colOff>
          <xdr:row>15</xdr:row>
          <xdr:rowOff>9525</xdr:rowOff>
        </xdr:to>
        <xdr:sp macro="" textlink="">
          <xdr:nvSpPr>
            <xdr:cNvPr id="4325" name="LA_SS" hidden="1">
              <a:extLst>
                <a:ext uri="{63B3BB69-23CF-44E3-9099-C40C66FF867C}">
                  <a14:compatExt spid="_x0000_s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1123950</xdr:colOff>
          <xdr:row>15</xdr:row>
          <xdr:rowOff>9525</xdr:rowOff>
        </xdr:to>
        <xdr:sp macro="" textlink="">
          <xdr:nvSpPr>
            <xdr:cNvPr id="4326" name="LA_SS" hidden="1">
              <a:extLst>
                <a:ext uri="{63B3BB69-23CF-44E3-9099-C40C66FF867C}">
                  <a14:compatExt spid="_x0000_s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4375" name="SS-WP8" hidden="1">
              <a:extLst>
                <a:ext uri="{63B3BB69-23CF-44E3-9099-C40C66FF867C}">
                  <a14:compatExt spid="_x0000_s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4376" name="SS-LA" hidden="1">
              <a:extLst>
                <a:ext uri="{63B3BB69-23CF-44E3-9099-C40C66FF867C}">
                  <a14:compatExt spid="_x0000_s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4377" name="SR_DSDS-WP8-7+5_mode" hidden="1">
              <a:extLst>
                <a:ext uri="{63B3BB69-23CF-44E3-9099-C40C66FF867C}">
                  <a14:compatExt spid="_x0000_s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4378" name="SR_DSDS-LA-7+5_mode" hidden="1">
              <a:extLst>
                <a:ext uri="{63B3BB69-23CF-44E3-9099-C40C66FF867C}">
                  <a14:compatExt spid="_x0000_s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21"/>
  <sheetViews>
    <sheetView tabSelected="1" zoomScaleNormal="100" workbookViewId="0">
      <selection activeCell="E10" sqref="E10:E15"/>
    </sheetView>
  </sheetViews>
  <sheetFormatPr defaultRowHeight="12.75" x14ac:dyDescent="0.2"/>
  <cols>
    <col min="1" max="1" width="29.140625" bestFit="1" customWidth="1"/>
    <col min="2" max="2" width="24.28515625" customWidth="1"/>
    <col min="3" max="3" width="16.85546875" bestFit="1" customWidth="1"/>
    <col min="4" max="4" width="16.140625" bestFit="1" customWidth="1"/>
    <col min="5" max="5" width="20.7109375" bestFit="1" customWidth="1"/>
  </cols>
  <sheetData>
    <row r="1" spans="1:7" s="1" customFormat="1" ht="12.75" customHeight="1" x14ac:dyDescent="0.3">
      <c r="C1" s="37"/>
    </row>
    <row r="2" spans="1:7" s="6" customFormat="1" ht="45" customHeight="1" x14ac:dyDescent="0.2">
      <c r="A2" s="152" t="s">
        <v>30</v>
      </c>
      <c r="B2" s="152"/>
      <c r="C2" s="152"/>
    </row>
    <row r="3" spans="1:7" s="1" customFormat="1" ht="15" x14ac:dyDescent="0.3">
      <c r="C3" s="37"/>
    </row>
    <row r="4" spans="1:7" s="1" customFormat="1" ht="15" x14ac:dyDescent="0.3">
      <c r="A4" s="3" t="s">
        <v>0</v>
      </c>
      <c r="B4" s="11">
        <f>MAX('Revision History'!C9:C17)</f>
        <v>42482</v>
      </c>
      <c r="C4" s="11"/>
    </row>
    <row r="5" spans="1:7" s="1" customFormat="1" ht="15" x14ac:dyDescent="0.3">
      <c r="A5" s="3" t="s">
        <v>1</v>
      </c>
      <c r="B5" s="12">
        <f>MAX('Revision History'!B9:B17)</f>
        <v>9</v>
      </c>
      <c r="C5" s="12"/>
    </row>
    <row r="6" spans="1:7" s="42" customFormat="1" ht="15" x14ac:dyDescent="0.3">
      <c r="A6" s="40" t="s">
        <v>40</v>
      </c>
      <c r="B6" s="41" t="s">
        <v>89</v>
      </c>
      <c r="C6" s="41"/>
    </row>
    <row r="7" spans="1:7" s="1" customFormat="1" ht="15" x14ac:dyDescent="0.3">
      <c r="A7" s="38" t="s">
        <v>62</v>
      </c>
      <c r="B7" s="39" t="s">
        <v>87</v>
      </c>
      <c r="C7" s="39"/>
      <c r="D7" s="37"/>
      <c r="E7" s="37"/>
      <c r="F7" s="37"/>
      <c r="G7" s="37"/>
    </row>
    <row r="8" spans="1:7" s="37" customFormat="1" ht="15" x14ac:dyDescent="0.3">
      <c r="A8" s="38" t="s">
        <v>86</v>
      </c>
      <c r="B8" s="39" t="s">
        <v>88</v>
      </c>
      <c r="C8" s="39"/>
    </row>
    <row r="9" spans="1:7" s="37" customFormat="1" ht="15" x14ac:dyDescent="0.3">
      <c r="A9" s="38" t="s">
        <v>63</v>
      </c>
      <c r="B9" s="39" t="s">
        <v>101</v>
      </c>
      <c r="C9" s="39"/>
    </row>
    <row r="10" spans="1:7" s="1" customFormat="1" ht="20.25" thickBot="1" x14ac:dyDescent="0.45">
      <c r="A10" s="43" t="s">
        <v>31</v>
      </c>
      <c r="B10" s="43"/>
      <c r="C10" s="43"/>
      <c r="D10" s="43"/>
      <c r="E10" s="43"/>
    </row>
    <row r="11" spans="1:7" s="1" customFormat="1" ht="15.75" thickBot="1" x14ac:dyDescent="0.35">
      <c r="A11" s="5"/>
      <c r="B11" s="5" t="s">
        <v>147</v>
      </c>
      <c r="C11" s="5" t="s">
        <v>148</v>
      </c>
      <c r="D11" s="5" t="s">
        <v>145</v>
      </c>
      <c r="E11" s="5" t="s">
        <v>146</v>
      </c>
    </row>
    <row r="12" spans="1:7" s="2" customFormat="1" ht="15" x14ac:dyDescent="0.3">
      <c r="A12" s="4" t="s">
        <v>2</v>
      </c>
      <c r="B12" s="4"/>
      <c r="C12" s="4"/>
      <c r="D12" s="4"/>
      <c r="E12" s="4"/>
    </row>
    <row r="13" spans="1:7" s="2" customFormat="1" ht="15" x14ac:dyDescent="0.3">
      <c r="A13" s="4" t="s">
        <v>22</v>
      </c>
      <c r="B13" s="4" t="str">
        <f>'SS-WP8'!$F$57</f>
        <v>0x05023007</v>
      </c>
      <c r="C13" s="4" t="str">
        <f>'SS-LA'!$F$55</f>
        <v>0x05023017</v>
      </c>
      <c r="D13" s="4" t="str">
        <f>'SR_DSDS-WP8-7+5_mode'!$F$64</f>
        <v>0x05023026</v>
      </c>
      <c r="E13" s="4" t="str">
        <f>'SR_DSDS-LA-7+5_mode'!$F$61</f>
        <v>0x05023036</v>
      </c>
    </row>
    <row r="14" spans="1:7" s="2" customFormat="1" ht="15" x14ac:dyDescent="0.3">
      <c r="A14" s="4" t="s">
        <v>29</v>
      </c>
      <c r="B14" s="4">
        <v>0</v>
      </c>
      <c r="C14" s="4">
        <v>0</v>
      </c>
      <c r="D14" s="4">
        <v>0</v>
      </c>
      <c r="E14" s="4">
        <v>0</v>
      </c>
    </row>
    <row r="15" spans="1:7" ht="15.75" thickBot="1" x14ac:dyDescent="0.35">
      <c r="A15" s="32" t="s">
        <v>65</v>
      </c>
      <c r="B15" s="32"/>
      <c r="C15" s="32"/>
      <c r="D15" s="32"/>
      <c r="E15" s="32"/>
    </row>
    <row r="19" spans="1:1" ht="22.5" customHeight="1" x14ac:dyDescent="0.2"/>
    <row r="20" spans="1:1" ht="15" x14ac:dyDescent="0.3">
      <c r="A20" s="2"/>
    </row>
    <row r="21" spans="1:1" x14ac:dyDescent="0.2">
      <c r="A21" s="31" t="s">
        <v>39</v>
      </c>
    </row>
  </sheetData>
  <mergeCells count="1">
    <mergeCell ref="A2:C2"/>
  </mergeCells>
  <hyperlinks>
    <hyperlink ref="B11" location="'SS-WP8'!A5" tooltip="Jump to worksheet" display="'SS-WP8'!A5"/>
    <hyperlink ref="C11" location="'SS-LA'!A5" tooltip="Jump to worksheet" display="'SS-LA'!A5"/>
    <hyperlink ref="D11" location="'SR_DSDS-WP8-7+5_mode'!A5" tooltip="Jump to worksheet" display="'SR_DSDS-WP8-7+5_mode'!A5"/>
    <hyperlink ref="E11" location="'SR_DSDS-LA-7+5_mode'!A5" tooltip="Jump to worksheet" display="'SR_DSDS-LA-7+5_mod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keepBuildWindowOpen">
              <controlPr defaultSize="0" autoFill="0" autoLine="0" autoPict="0" altText="">
                <anchor moveWithCells="1">
                  <from>
                    <xdr:col>1</xdr:col>
                    <xdr:colOff>485775</xdr:colOff>
                    <xdr:row>20</xdr:row>
                    <xdr:rowOff>0</xdr:rowOff>
                  </from>
                  <to>
                    <xdr:col>1</xdr:col>
                    <xdr:colOff>695325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5" name="Button 19">
              <controlPr defaultSize="0" print="0" autoFill="0" autoPict="0" macro="[0]!GenerateSources">
                <anchor moveWithCells="1" sizeWithCells="1">
                  <from>
                    <xdr:col>0</xdr:col>
                    <xdr:colOff>1276350</xdr:colOff>
                    <xdr:row>22</xdr:row>
                    <xdr:rowOff>133350</xdr:rowOff>
                  </from>
                  <to>
                    <xdr:col>3</xdr:col>
                    <xdr:colOff>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6" name="Button 20">
              <controlPr defaultSize="0" print="0" autoFill="0" autoPict="0" macro="[0]!GenerateMBNs">
                <anchor moveWithCells="1" sizeWithCells="1">
                  <from>
                    <xdr:col>0</xdr:col>
                    <xdr:colOff>1285875</xdr:colOff>
                    <xdr:row>27</xdr:row>
                    <xdr:rowOff>19050</xdr:rowOff>
                  </from>
                  <to>
                    <xdr:col>3</xdr:col>
                    <xdr:colOff>0</xdr:colOff>
                    <xdr:row>29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7" name="Button 22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76200</xdr:rowOff>
                  </from>
                  <to>
                    <xdr:col>0</xdr:col>
                    <xdr:colOff>1914525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8" name="Button 23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133350</xdr:rowOff>
                  </from>
                  <to>
                    <xdr:col>0</xdr:col>
                    <xdr:colOff>1914525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9" name="Button 28">
              <controlPr defaultSize="0" print="0" autoFill="0" autoPict="0" macro="[0]!RefreshSummary">
                <anchor moveWithCells="1" sizeWithCells="1">
                  <from>
                    <xdr:col>0</xdr:col>
                    <xdr:colOff>571500</xdr:colOff>
                    <xdr:row>18</xdr:row>
                    <xdr:rowOff>0</xdr:rowOff>
                  </from>
                  <to>
                    <xdr:col>0</xdr:col>
                    <xdr:colOff>1914525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" r:id="rId10" name="WP8_DS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5" r:id="rId11" name="LA_SS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47625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6" r:id="rId12" name="LA_SS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4</xdr:col>
                    <xdr:colOff>1123950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5" r:id="rId13" name="SS-WP8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6" r:id="rId14" name="SS-LA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7" r:id="rId15" name="SR_DSDS-WP8-7+5_mode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8" r:id="rId16" name="SR_DSDS-LA-7+5_mode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66"/>
  <sheetViews>
    <sheetView topLeftCell="A45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21.5703125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96"/>
      <c r="B1" s="96"/>
      <c r="C1" s="96"/>
      <c r="D1" s="96"/>
      <c r="E1" s="96"/>
      <c r="F1" s="96"/>
      <c r="G1" s="96"/>
      <c r="H1" s="97"/>
      <c r="I1" s="96"/>
    </row>
    <row r="2" spans="1:9" s="7" customFormat="1" ht="45" customHeight="1" x14ac:dyDescent="0.55000000000000004">
      <c r="A2" s="153" t="s">
        <v>102</v>
      </c>
      <c r="B2" s="153"/>
      <c r="C2" s="153"/>
      <c r="D2" s="153"/>
      <c r="E2" s="153"/>
      <c r="F2" s="153"/>
      <c r="G2" s="153"/>
      <c r="H2" s="153"/>
      <c r="I2" s="153"/>
    </row>
    <row r="3" spans="1:9" ht="13.5" thickBot="1" x14ac:dyDescent="0.25">
      <c r="A3" s="128"/>
      <c r="B3" s="96"/>
      <c r="C3" s="96"/>
      <c r="D3" s="96"/>
      <c r="E3" s="96"/>
      <c r="F3" s="96"/>
      <c r="G3" s="96"/>
      <c r="H3" s="97"/>
      <c r="I3" s="96"/>
    </row>
    <row r="4" spans="1:9" s="8" customFormat="1" ht="20.25" thickBot="1" x14ac:dyDescent="0.45">
      <c r="A4" s="154" t="s">
        <v>64</v>
      </c>
      <c r="B4" s="155"/>
      <c r="C4" s="155"/>
      <c r="D4" s="155"/>
      <c r="E4" s="155"/>
      <c r="F4" s="155"/>
      <c r="G4" s="155"/>
      <c r="H4" s="156"/>
      <c r="I4" s="129"/>
    </row>
    <row r="5" spans="1:9" s="37" customFormat="1" ht="15.75" thickBot="1" x14ac:dyDescent="0.35">
      <c r="A5" s="91" t="s">
        <v>6</v>
      </c>
      <c r="B5" s="92" t="s">
        <v>5</v>
      </c>
      <c r="C5" s="91" t="s">
        <v>17</v>
      </c>
      <c r="D5" s="91" t="s">
        <v>18</v>
      </c>
      <c r="E5" s="91" t="s">
        <v>7</v>
      </c>
      <c r="F5" s="91" t="s">
        <v>19</v>
      </c>
      <c r="G5" s="130" t="s">
        <v>24</v>
      </c>
      <c r="H5" s="94" t="s">
        <v>8</v>
      </c>
      <c r="I5" s="42"/>
    </row>
    <row r="6" spans="1:9" s="2" customFormat="1" ht="17.25" x14ac:dyDescent="0.35">
      <c r="A6" s="76" t="s">
        <v>74</v>
      </c>
      <c r="B6" s="77">
        <v>4398</v>
      </c>
      <c r="C6" s="78" t="s">
        <v>20</v>
      </c>
      <c r="D6" s="79">
        <v>1</v>
      </c>
      <c r="E6" s="76" t="s">
        <v>75</v>
      </c>
      <c r="F6" s="78">
        <v>0</v>
      </c>
      <c r="G6" s="80" t="s">
        <v>27</v>
      </c>
      <c r="H6" s="81"/>
      <c r="I6" s="79"/>
    </row>
    <row r="7" spans="1:9" s="48" customFormat="1" ht="17.25" x14ac:dyDescent="0.35">
      <c r="A7" s="76" t="s">
        <v>78</v>
      </c>
      <c r="B7" s="77">
        <v>6876</v>
      </c>
      <c r="C7" s="78"/>
      <c r="D7" s="79"/>
      <c r="E7" s="76"/>
      <c r="F7" s="78"/>
      <c r="G7" s="80" t="s">
        <v>27</v>
      </c>
      <c r="H7" s="81"/>
      <c r="I7" s="79"/>
    </row>
    <row r="8" spans="1:9" s="48" customFormat="1" ht="17.25" x14ac:dyDescent="0.35">
      <c r="A8" s="76"/>
      <c r="B8" s="77"/>
      <c r="C8" s="78" t="s">
        <v>20</v>
      </c>
      <c r="D8" s="79">
        <v>1</v>
      </c>
      <c r="E8" s="76" t="s">
        <v>79</v>
      </c>
      <c r="F8" s="78">
        <v>0</v>
      </c>
      <c r="G8" s="80"/>
      <c r="H8" s="81"/>
      <c r="I8" s="79"/>
    </row>
    <row r="9" spans="1:9" s="48" customFormat="1" ht="17.25" x14ac:dyDescent="0.35">
      <c r="A9" s="76"/>
      <c r="B9" s="77"/>
      <c r="C9" s="78" t="s">
        <v>20</v>
      </c>
      <c r="D9" s="79">
        <v>1</v>
      </c>
      <c r="E9" s="76" t="s">
        <v>80</v>
      </c>
      <c r="F9" s="78">
        <v>0</v>
      </c>
      <c r="G9" s="80"/>
      <c r="H9" s="81"/>
      <c r="I9" s="79"/>
    </row>
    <row r="10" spans="1:9" s="48" customFormat="1" ht="17.25" x14ac:dyDescent="0.35">
      <c r="A10" s="76"/>
      <c r="B10" s="77"/>
      <c r="C10" s="78" t="s">
        <v>20</v>
      </c>
      <c r="D10" s="79">
        <v>1</v>
      </c>
      <c r="E10" s="76" t="s">
        <v>81</v>
      </c>
      <c r="F10" s="78">
        <v>0</v>
      </c>
      <c r="G10" s="80"/>
      <c r="H10" s="81"/>
      <c r="I10" s="79"/>
    </row>
    <row r="11" spans="1:9" s="48" customFormat="1" ht="17.25" x14ac:dyDescent="0.35">
      <c r="A11" s="76"/>
      <c r="B11" s="77"/>
      <c r="C11" s="78" t="s">
        <v>20</v>
      </c>
      <c r="D11" s="79">
        <v>1</v>
      </c>
      <c r="E11" s="76" t="s">
        <v>82</v>
      </c>
      <c r="F11" s="78">
        <v>0</v>
      </c>
      <c r="G11" s="80"/>
      <c r="H11" s="81"/>
      <c r="I11" s="79"/>
    </row>
    <row r="12" spans="1:9" s="48" customFormat="1" ht="17.25" x14ac:dyDescent="0.35">
      <c r="A12" s="76"/>
      <c r="B12" s="77"/>
      <c r="C12" s="78" t="s">
        <v>20</v>
      </c>
      <c r="D12" s="79">
        <v>1</v>
      </c>
      <c r="E12" s="76" t="s">
        <v>83</v>
      </c>
      <c r="F12" s="78">
        <v>9</v>
      </c>
      <c r="G12" s="80"/>
      <c r="H12" s="81"/>
      <c r="I12" s="79"/>
    </row>
    <row r="13" spans="1:9" s="2" customFormat="1" ht="15.75" thickBot="1" x14ac:dyDescent="0.35">
      <c r="A13" s="82"/>
      <c r="B13" s="32"/>
      <c r="C13" s="82"/>
      <c r="D13" s="82"/>
      <c r="E13" s="82"/>
      <c r="F13" s="82"/>
      <c r="G13" s="83"/>
      <c r="H13" s="84"/>
      <c r="I13" s="79"/>
    </row>
    <row r="14" spans="1:9" s="2" customFormat="1" ht="15.75" thickBot="1" x14ac:dyDescent="0.35">
      <c r="A14" s="85"/>
      <c r="B14" s="85"/>
      <c r="C14" s="85"/>
      <c r="D14" s="85"/>
      <c r="E14" s="85"/>
      <c r="F14" s="85"/>
      <c r="G14" s="85"/>
      <c r="H14" s="86"/>
      <c r="I14" s="87"/>
    </row>
    <row r="15" spans="1:9" s="8" customFormat="1" ht="20.25" thickBot="1" x14ac:dyDescent="0.45">
      <c r="A15" s="88" t="s">
        <v>23</v>
      </c>
      <c r="B15" s="89"/>
      <c r="C15" s="89"/>
      <c r="D15" s="89"/>
      <c r="E15" s="89"/>
      <c r="F15" s="89"/>
      <c r="G15" s="89"/>
      <c r="H15" s="89"/>
      <c r="I15" s="90"/>
    </row>
    <row r="16" spans="1:9" ht="15.75" thickBot="1" x14ac:dyDescent="0.35">
      <c r="A16" s="91" t="s">
        <v>9</v>
      </c>
      <c r="B16" s="91" t="s">
        <v>10</v>
      </c>
      <c r="C16" s="91" t="s">
        <v>17</v>
      </c>
      <c r="D16" s="92" t="s">
        <v>26</v>
      </c>
      <c r="E16" s="91" t="s">
        <v>25</v>
      </c>
      <c r="F16" s="91" t="s">
        <v>19</v>
      </c>
      <c r="G16" s="93" t="s">
        <v>24</v>
      </c>
      <c r="H16" s="94" t="s">
        <v>28</v>
      </c>
      <c r="I16" s="95" t="s">
        <v>11</v>
      </c>
    </row>
    <row r="17" spans="1:11" x14ac:dyDescent="0.2">
      <c r="A17" s="96"/>
      <c r="B17" s="96"/>
      <c r="C17" s="96"/>
      <c r="D17" s="96"/>
      <c r="E17" s="96"/>
      <c r="F17" s="96"/>
      <c r="G17" s="96"/>
      <c r="H17" s="97"/>
      <c r="I17" s="96"/>
    </row>
    <row r="18" spans="1:11" s="27" customFormat="1" ht="15" x14ac:dyDescent="0.3">
      <c r="A18" s="98" t="s">
        <v>32</v>
      </c>
      <c r="B18" s="99"/>
      <c r="C18" s="99"/>
      <c r="D18" s="99"/>
      <c r="E18" s="99"/>
      <c r="F18" s="99"/>
      <c r="G18" s="99"/>
      <c r="H18" s="100"/>
      <c r="I18" s="101"/>
    </row>
    <row r="19" spans="1:11" s="18" customFormat="1" ht="15" x14ac:dyDescent="0.3">
      <c r="A19" s="13"/>
      <c r="B19" s="13"/>
      <c r="C19" s="13"/>
      <c r="D19" s="14"/>
      <c r="E19" s="13"/>
      <c r="F19" s="13"/>
      <c r="G19" s="15"/>
      <c r="H19" s="16"/>
      <c r="I19" s="17"/>
    </row>
    <row r="20" spans="1:11" s="20" customFormat="1" ht="15" x14ac:dyDescent="0.3">
      <c r="A20" s="21" t="s">
        <v>33</v>
      </c>
      <c r="B20" s="21"/>
      <c r="C20" s="21"/>
      <c r="D20" s="22"/>
      <c r="E20" s="21"/>
      <c r="F20" s="21"/>
      <c r="G20" s="23"/>
      <c r="H20" s="24"/>
      <c r="I20" s="25"/>
    </row>
    <row r="21" spans="1:11" s="18" customFormat="1" ht="15" x14ac:dyDescent="0.3">
      <c r="A21" s="13"/>
      <c r="B21" s="13"/>
      <c r="C21" s="13"/>
      <c r="D21" s="14"/>
      <c r="E21" s="13"/>
      <c r="F21" s="13"/>
      <c r="G21" s="15"/>
      <c r="H21" s="16"/>
      <c r="I21" s="17"/>
    </row>
    <row r="22" spans="1:11" s="27" customFormat="1" ht="15" x14ac:dyDescent="0.3">
      <c r="A22" s="26" t="s">
        <v>34</v>
      </c>
      <c r="B22" s="102"/>
      <c r="C22" s="102"/>
      <c r="D22" s="102"/>
      <c r="E22" s="102"/>
      <c r="F22" s="102"/>
      <c r="G22" s="102" t="s">
        <v>4</v>
      </c>
      <c r="H22" s="103"/>
      <c r="I22" s="102"/>
    </row>
    <row r="23" spans="1:11" s="18" customFormat="1" ht="15" x14ac:dyDescent="0.3">
      <c r="A23" s="13"/>
      <c r="B23" s="13"/>
      <c r="C23" s="13"/>
      <c r="D23" s="14"/>
      <c r="E23" s="13"/>
      <c r="F23" s="13"/>
      <c r="G23" s="15"/>
      <c r="H23" s="16"/>
      <c r="I23" s="17"/>
    </row>
    <row r="24" spans="1:11" ht="15" x14ac:dyDescent="0.3">
      <c r="A24" s="28" t="s">
        <v>35</v>
      </c>
      <c r="B24" s="104"/>
      <c r="C24" s="104"/>
      <c r="D24" s="104"/>
      <c r="E24" s="104"/>
      <c r="F24" s="104"/>
      <c r="G24" s="104"/>
      <c r="H24" s="105"/>
      <c r="I24" s="104"/>
    </row>
    <row r="25" spans="1:11" ht="15" x14ac:dyDescent="0.3">
      <c r="A25" s="13"/>
      <c r="B25" s="13"/>
      <c r="C25" s="13"/>
      <c r="D25" s="13"/>
      <c r="E25" s="13"/>
      <c r="F25" s="14"/>
      <c r="G25" s="15"/>
      <c r="H25" s="19"/>
      <c r="I25" s="17"/>
    </row>
    <row r="26" spans="1:11" ht="15" x14ac:dyDescent="0.3">
      <c r="A26" s="29" t="s">
        <v>36</v>
      </c>
      <c r="B26" s="106"/>
      <c r="C26" s="106"/>
      <c r="D26" s="106"/>
      <c r="E26" s="106"/>
      <c r="F26" s="106"/>
      <c r="G26" s="106"/>
      <c r="H26" s="107"/>
      <c r="I26" s="106"/>
    </row>
    <row r="27" spans="1:11" ht="15" x14ac:dyDescent="0.3">
      <c r="A27" s="13"/>
      <c r="B27" s="13"/>
      <c r="C27" s="13"/>
      <c r="D27" s="13"/>
      <c r="E27" s="13"/>
      <c r="F27" s="14"/>
      <c r="G27" s="15"/>
      <c r="H27" s="19"/>
      <c r="I27" s="17"/>
    </row>
    <row r="28" spans="1:11" ht="15" x14ac:dyDescent="0.3">
      <c r="A28" s="30" t="s">
        <v>38</v>
      </c>
      <c r="B28" s="108"/>
      <c r="C28" s="108"/>
      <c r="D28" s="108"/>
      <c r="E28" s="108"/>
      <c r="F28" s="108"/>
      <c r="G28" s="108" t="s">
        <v>4</v>
      </c>
      <c r="H28" s="109"/>
      <c r="I28" s="108"/>
    </row>
    <row r="29" spans="1:11" ht="15" x14ac:dyDescent="0.3">
      <c r="A29" s="13"/>
      <c r="B29" s="13"/>
      <c r="C29" s="13"/>
      <c r="D29" s="13"/>
      <c r="E29" s="13"/>
      <c r="F29" s="14"/>
      <c r="G29" s="15"/>
      <c r="H29" s="19"/>
      <c r="I29" s="17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98" t="s">
        <v>37</v>
      </c>
      <c r="B31" s="99"/>
      <c r="C31" s="99"/>
      <c r="D31" s="99"/>
      <c r="E31" s="99"/>
      <c r="F31" s="99"/>
      <c r="G31" s="99"/>
      <c r="H31" s="100"/>
      <c r="I31" s="101"/>
    </row>
    <row r="32" spans="1:11" s="51" customFormat="1" ht="51.75" x14ac:dyDescent="0.35">
      <c r="A32" s="120" t="s">
        <v>70</v>
      </c>
      <c r="B32" s="121" t="s">
        <v>71</v>
      </c>
      <c r="C32" s="122" t="s">
        <v>21</v>
      </c>
      <c r="D32" s="123"/>
      <c r="E32" s="123"/>
      <c r="F32" s="122"/>
      <c r="G32" s="123" t="s">
        <v>27</v>
      </c>
      <c r="H32" s="121" t="s">
        <v>110</v>
      </c>
      <c r="I32" s="117" t="s">
        <v>72</v>
      </c>
      <c r="J32" s="52"/>
      <c r="K32" s="52"/>
    </row>
    <row r="33" spans="1:11" s="51" customFormat="1" ht="17.25" x14ac:dyDescent="0.35">
      <c r="A33" s="120" t="s">
        <v>77</v>
      </c>
      <c r="B33" s="121" t="s">
        <v>76</v>
      </c>
      <c r="C33" s="122" t="s">
        <v>73</v>
      </c>
      <c r="D33" s="123"/>
      <c r="E33" s="123"/>
      <c r="F33" s="122"/>
      <c r="G33" s="123" t="s">
        <v>27</v>
      </c>
      <c r="H33" s="121"/>
      <c r="I33" s="117">
        <v>65683</v>
      </c>
      <c r="J33" s="52"/>
      <c r="K33" s="52"/>
    </row>
    <row r="34" spans="1:11" s="50" customFormat="1" ht="17.25" x14ac:dyDescent="0.35">
      <c r="A34" s="120"/>
      <c r="B34" s="121"/>
      <c r="C34" s="122"/>
      <c r="D34" s="123" t="s">
        <v>20</v>
      </c>
      <c r="E34" s="123">
        <v>1</v>
      </c>
      <c r="F34" s="122">
        <v>2</v>
      </c>
      <c r="G34" s="123"/>
      <c r="H34" s="121"/>
      <c r="I34" s="117"/>
      <c r="J34" s="53"/>
      <c r="K34" s="53"/>
    </row>
    <row r="35" spans="1:11" s="49" customFormat="1" ht="17.25" x14ac:dyDescent="0.35">
      <c r="A35" s="110" t="s">
        <v>94</v>
      </c>
      <c r="B35" s="111" t="s">
        <v>95</v>
      </c>
      <c r="C35" s="112" t="s">
        <v>73</v>
      </c>
      <c r="D35" s="112"/>
      <c r="E35" s="111"/>
      <c r="F35" s="112"/>
      <c r="G35" s="112" t="s">
        <v>27</v>
      </c>
      <c r="H35" s="113"/>
      <c r="I35" s="118">
        <v>73671</v>
      </c>
    </row>
    <row r="36" spans="1:11" s="49" customFormat="1" ht="17.25" x14ac:dyDescent="0.35">
      <c r="A36" s="110"/>
      <c r="B36" s="111"/>
      <c r="C36" s="112"/>
      <c r="D36" s="112" t="s">
        <v>20</v>
      </c>
      <c r="E36" s="111">
        <v>1</v>
      </c>
      <c r="F36" s="112">
        <v>1</v>
      </c>
      <c r="G36" s="112"/>
      <c r="H36" s="113"/>
      <c r="I36" s="118"/>
    </row>
    <row r="37" spans="1:11" s="49" customFormat="1" ht="17.25" x14ac:dyDescent="0.35">
      <c r="A37" s="110" t="s">
        <v>84</v>
      </c>
      <c r="B37" s="111" t="s">
        <v>85</v>
      </c>
      <c r="C37" s="112" t="s">
        <v>73</v>
      </c>
      <c r="D37" s="112"/>
      <c r="E37" s="111"/>
      <c r="F37" s="112"/>
      <c r="G37" s="112" t="s">
        <v>27</v>
      </c>
      <c r="H37" s="113"/>
      <c r="I37" s="118">
        <v>70266</v>
      </c>
    </row>
    <row r="38" spans="1:11" s="49" customFormat="1" ht="17.25" x14ac:dyDescent="0.35">
      <c r="A38" s="110"/>
      <c r="B38" s="111"/>
      <c r="C38" s="112"/>
      <c r="D38" s="112" t="s">
        <v>20</v>
      </c>
      <c r="E38" s="111">
        <v>1</v>
      </c>
      <c r="F38" s="112">
        <v>0</v>
      </c>
      <c r="G38" s="112"/>
      <c r="H38" s="113"/>
      <c r="I38" s="118"/>
    </row>
    <row r="39" spans="1:11" ht="17.25" x14ac:dyDescent="0.35">
      <c r="A39" s="110" t="s">
        <v>96</v>
      </c>
      <c r="B39" s="111" t="s">
        <v>97</v>
      </c>
      <c r="C39" s="112" t="s">
        <v>73</v>
      </c>
      <c r="D39" s="112"/>
      <c r="E39" s="111"/>
      <c r="F39" s="112"/>
      <c r="G39" s="112" t="s">
        <v>27</v>
      </c>
      <c r="H39" s="113"/>
      <c r="I39" s="118">
        <v>70287</v>
      </c>
    </row>
    <row r="40" spans="1:11" ht="17.25" x14ac:dyDescent="0.35">
      <c r="A40" s="110"/>
      <c r="B40" s="111"/>
      <c r="C40" s="112"/>
      <c r="D40" s="112" t="s">
        <v>20</v>
      </c>
      <c r="E40" s="111">
        <v>1</v>
      </c>
      <c r="F40" s="112">
        <v>0</v>
      </c>
      <c r="G40" s="112"/>
      <c r="H40" s="113"/>
      <c r="I40" s="118"/>
    </row>
    <row r="41" spans="1:11" ht="17.25" x14ac:dyDescent="0.35">
      <c r="A41" s="110" t="s">
        <v>99</v>
      </c>
      <c r="B41" s="111" t="s">
        <v>98</v>
      </c>
      <c r="C41" s="112" t="s">
        <v>21</v>
      </c>
      <c r="D41" s="112"/>
      <c r="E41" s="111"/>
      <c r="F41" s="112"/>
      <c r="G41" s="112" t="s">
        <v>27</v>
      </c>
      <c r="H41" s="113" t="s">
        <v>100</v>
      </c>
      <c r="I41" s="118"/>
    </row>
    <row r="42" spans="1:11" ht="15" x14ac:dyDescent="0.3">
      <c r="A42" s="124"/>
      <c r="B42" s="124"/>
      <c r="C42" s="124"/>
      <c r="D42" s="124"/>
      <c r="E42" s="124"/>
      <c r="F42" s="125"/>
      <c r="G42" s="126"/>
      <c r="H42" s="127"/>
      <c r="I42" s="119"/>
    </row>
    <row r="43" spans="1:11" ht="17.25" x14ac:dyDescent="0.35">
      <c r="A43" s="110" t="s">
        <v>115</v>
      </c>
      <c r="B43" s="111" t="s">
        <v>116</v>
      </c>
      <c r="C43" s="112" t="s">
        <v>73</v>
      </c>
      <c r="D43" s="112"/>
      <c r="E43" s="111"/>
      <c r="F43" s="112"/>
      <c r="G43" s="112" t="s">
        <v>27</v>
      </c>
      <c r="H43" s="113"/>
      <c r="I43" s="118">
        <v>70310</v>
      </c>
    </row>
    <row r="44" spans="1:11" ht="17.25" x14ac:dyDescent="0.35">
      <c r="A44" s="110"/>
      <c r="B44" s="111"/>
      <c r="C44" s="112"/>
      <c r="D44" s="112" t="s">
        <v>20</v>
      </c>
      <c r="E44" s="111">
        <v>1</v>
      </c>
      <c r="F44" s="112">
        <v>1</v>
      </c>
      <c r="G44" s="112"/>
      <c r="H44" s="113"/>
      <c r="I44" s="118" t="s">
        <v>117</v>
      </c>
    </row>
    <row r="45" spans="1:11" ht="17.25" x14ac:dyDescent="0.35">
      <c r="A45" s="138" t="s">
        <v>131</v>
      </c>
      <c r="B45" s="111" t="s">
        <v>132</v>
      </c>
      <c r="C45" s="112" t="s">
        <v>73</v>
      </c>
      <c r="D45" s="112"/>
      <c r="E45" s="111"/>
      <c r="F45" s="112"/>
      <c r="G45" s="112" t="s">
        <v>133</v>
      </c>
      <c r="H45" s="113"/>
      <c r="I45" s="139">
        <v>73502</v>
      </c>
    </row>
    <row r="46" spans="1:11" ht="17.25" x14ac:dyDescent="0.35">
      <c r="A46" s="138"/>
      <c r="B46" s="111"/>
      <c r="C46" s="112"/>
      <c r="D46" s="112" t="s">
        <v>20</v>
      </c>
      <c r="E46" s="111">
        <v>1</v>
      </c>
      <c r="F46" s="112">
        <v>62</v>
      </c>
      <c r="G46" s="112"/>
      <c r="H46" s="113"/>
      <c r="I46" s="139"/>
    </row>
    <row r="47" spans="1:11" x14ac:dyDescent="0.2">
      <c r="A47" s="96"/>
      <c r="B47" s="96"/>
      <c r="C47" s="96"/>
      <c r="D47" s="96"/>
      <c r="E47" s="96"/>
      <c r="F47" s="96"/>
      <c r="G47" s="96"/>
      <c r="H47" s="97"/>
      <c r="I47" s="96"/>
    </row>
    <row r="48" spans="1:11" s="47" customFormat="1" ht="13.5" thickBot="1" x14ac:dyDescent="0.25">
      <c r="A48" s="96"/>
      <c r="B48" s="96"/>
      <c r="C48" s="96"/>
      <c r="D48" s="96"/>
      <c r="E48" s="96"/>
      <c r="F48" s="96"/>
      <c r="G48" s="96"/>
      <c r="H48" s="97"/>
      <c r="I48" s="96"/>
    </row>
    <row r="49" spans="1:9" ht="19.5" x14ac:dyDescent="0.4">
      <c r="A49" s="157" t="s">
        <v>41</v>
      </c>
      <c r="B49" s="158"/>
      <c r="C49" s="158"/>
      <c r="D49" s="158"/>
      <c r="E49" s="158"/>
      <c r="F49" s="158"/>
      <c r="G49" s="158"/>
      <c r="H49" s="159"/>
      <c r="I49" s="96"/>
    </row>
    <row r="50" spans="1:9" ht="17.25" x14ac:dyDescent="0.35">
      <c r="A50" s="114" t="s">
        <v>42</v>
      </c>
      <c r="B50" s="114"/>
      <c r="C50" s="114" t="s">
        <v>17</v>
      </c>
      <c r="D50" s="114" t="s">
        <v>43</v>
      </c>
      <c r="E50" s="114" t="s">
        <v>44</v>
      </c>
      <c r="F50" s="114" t="s">
        <v>45</v>
      </c>
      <c r="G50" s="114" t="s">
        <v>24</v>
      </c>
      <c r="H50" s="116"/>
      <c r="I50" s="96"/>
    </row>
    <row r="51" spans="1:9" ht="17.25" x14ac:dyDescent="0.35">
      <c r="A51" s="114" t="s">
        <v>105</v>
      </c>
      <c r="B51" s="114"/>
      <c r="C51" s="115" t="s">
        <v>46</v>
      </c>
      <c r="D51" s="115"/>
      <c r="E51" s="115"/>
      <c r="F51" s="115"/>
      <c r="G51" s="115" t="s">
        <v>47</v>
      </c>
      <c r="H51" s="116"/>
      <c r="I51" s="96"/>
    </row>
    <row r="52" spans="1:9" ht="17.25" x14ac:dyDescent="0.35">
      <c r="A52" s="114" t="s">
        <v>48</v>
      </c>
      <c r="B52" s="114"/>
      <c r="C52" s="115"/>
      <c r="D52" s="115" t="s">
        <v>20</v>
      </c>
      <c r="E52" s="115">
        <v>1</v>
      </c>
      <c r="F52" s="115">
        <v>0</v>
      </c>
      <c r="G52" s="115"/>
      <c r="H52" s="116"/>
      <c r="I52" s="96"/>
    </row>
    <row r="53" spans="1:9" ht="17.25" x14ac:dyDescent="0.35">
      <c r="A53" s="33" t="s">
        <v>49</v>
      </c>
      <c r="B53" s="33"/>
      <c r="C53" s="35"/>
      <c r="D53" s="35" t="s">
        <v>20</v>
      </c>
      <c r="E53" s="35">
        <v>2</v>
      </c>
      <c r="F53" s="35">
        <v>2</v>
      </c>
      <c r="G53" s="35"/>
      <c r="H53" s="34"/>
    </row>
    <row r="54" spans="1:9" ht="17.25" x14ac:dyDescent="0.35">
      <c r="A54" s="33" t="s">
        <v>50</v>
      </c>
      <c r="B54" s="33"/>
      <c r="C54" s="35"/>
      <c r="D54" s="35" t="s">
        <v>20</v>
      </c>
      <c r="E54" s="35">
        <v>2</v>
      </c>
      <c r="F54" s="35" t="s">
        <v>51</v>
      </c>
      <c r="G54" s="35"/>
      <c r="H54" s="34"/>
    </row>
    <row r="55" spans="1:9" ht="17.25" x14ac:dyDescent="0.35">
      <c r="A55" s="33" t="s">
        <v>52</v>
      </c>
      <c r="B55" s="33"/>
      <c r="C55" s="35"/>
      <c r="D55" s="35" t="s">
        <v>20</v>
      </c>
      <c r="E55" s="35">
        <v>1</v>
      </c>
      <c r="F55" s="35" t="s">
        <v>53</v>
      </c>
      <c r="G55" s="35"/>
      <c r="H55" s="34"/>
    </row>
    <row r="56" spans="1:9" ht="17.25" x14ac:dyDescent="0.35">
      <c r="A56" s="33" t="s">
        <v>54</v>
      </c>
      <c r="B56" s="33"/>
      <c r="C56" s="35"/>
      <c r="D56" s="35" t="s">
        <v>20</v>
      </c>
      <c r="E56" s="35">
        <v>2</v>
      </c>
      <c r="F56" s="35">
        <v>4</v>
      </c>
      <c r="G56" s="35"/>
      <c r="H56" s="34"/>
    </row>
    <row r="57" spans="1:9" ht="17.25" x14ac:dyDescent="0.35">
      <c r="A57" s="44" t="s">
        <v>55</v>
      </c>
      <c r="B57" s="44"/>
      <c r="C57" s="45"/>
      <c r="D57" s="45" t="s">
        <v>20</v>
      </c>
      <c r="E57" s="45">
        <v>4</v>
      </c>
      <c r="F57" s="45" t="s">
        <v>168</v>
      </c>
      <c r="G57" s="45"/>
      <c r="H57" s="46"/>
      <c r="I57" s="47"/>
    </row>
    <row r="58" spans="1:9" ht="17.25" x14ac:dyDescent="0.35">
      <c r="A58" s="33" t="s">
        <v>59</v>
      </c>
      <c r="B58" s="33"/>
      <c r="C58" s="35"/>
      <c r="D58" s="35" t="s">
        <v>20</v>
      </c>
      <c r="E58" s="35">
        <v>1</v>
      </c>
      <c r="F58" s="35" t="s">
        <v>56</v>
      </c>
      <c r="G58" s="35"/>
      <c r="H58" s="34"/>
    </row>
    <row r="59" spans="1:9" ht="17.25" x14ac:dyDescent="0.35">
      <c r="A59" s="33" t="s">
        <v>60</v>
      </c>
      <c r="B59" s="33"/>
      <c r="C59" s="35"/>
      <c r="D59" s="35" t="s">
        <v>20</v>
      </c>
      <c r="E59" s="35">
        <v>2</v>
      </c>
      <c r="F59" s="35">
        <f>LEN(F60)</f>
        <v>11</v>
      </c>
      <c r="G59" s="35"/>
      <c r="H59" s="34"/>
    </row>
    <row r="60" spans="1:9" ht="17.25" x14ac:dyDescent="0.35">
      <c r="A60" s="114" t="s">
        <v>61</v>
      </c>
      <c r="B60" s="114"/>
      <c r="C60" s="115"/>
      <c r="D60" s="115" t="s">
        <v>57</v>
      </c>
      <c r="E60" s="115">
        <f>F59</f>
        <v>11</v>
      </c>
      <c r="F60" s="115" t="s">
        <v>104</v>
      </c>
      <c r="G60" s="115"/>
      <c r="H60" s="116" t="s">
        <v>58</v>
      </c>
    </row>
    <row r="61" spans="1:9" ht="17.25" x14ac:dyDescent="0.35">
      <c r="A61" s="33" t="s">
        <v>90</v>
      </c>
      <c r="B61" s="33"/>
      <c r="C61" s="35"/>
      <c r="D61" s="35" t="s">
        <v>20</v>
      </c>
      <c r="E61" s="35">
        <v>1</v>
      </c>
      <c r="F61" s="35" t="s">
        <v>91</v>
      </c>
      <c r="G61" s="35"/>
      <c r="H61" s="34"/>
    </row>
    <row r="62" spans="1:9" ht="17.25" x14ac:dyDescent="0.35">
      <c r="A62" s="33" t="s">
        <v>92</v>
      </c>
      <c r="B62" s="33"/>
      <c r="C62" s="35"/>
      <c r="D62" s="35" t="s">
        <v>20</v>
      </c>
      <c r="E62" s="35">
        <v>2</v>
      </c>
      <c r="F62" s="35">
        <v>4</v>
      </c>
      <c r="G62" s="35"/>
      <c r="H62" s="34"/>
    </row>
    <row r="63" spans="1:9" ht="17.25" x14ac:dyDescent="0.35">
      <c r="A63" s="44" t="s">
        <v>93</v>
      </c>
      <c r="B63" s="44"/>
      <c r="C63" s="45"/>
      <c r="D63" s="45" t="s">
        <v>20</v>
      </c>
      <c r="E63" s="45">
        <v>4</v>
      </c>
      <c r="F63" s="45" t="str">
        <f>$F$57</f>
        <v>0x05023007</v>
      </c>
      <c r="G63" s="45"/>
      <c r="H63" s="46"/>
    </row>
    <row r="64" spans="1:9" ht="17.25" x14ac:dyDescent="0.35">
      <c r="A64" s="146" t="s">
        <v>161</v>
      </c>
      <c r="B64" s="146"/>
      <c r="C64" s="147"/>
      <c r="D64" s="148" t="s">
        <v>20</v>
      </c>
      <c r="E64" s="148">
        <v>1</v>
      </c>
      <c r="F64" s="149" t="s">
        <v>162</v>
      </c>
      <c r="G64" s="148"/>
      <c r="H64" s="150"/>
    </row>
    <row r="65" spans="1:8" ht="17.25" x14ac:dyDescent="0.35">
      <c r="A65" s="146" t="s">
        <v>163</v>
      </c>
      <c r="B65" s="146"/>
      <c r="C65" s="147"/>
      <c r="D65" s="148" t="s">
        <v>20</v>
      </c>
      <c r="E65" s="148">
        <v>2</v>
      </c>
      <c r="F65" s="151">
        <v>4</v>
      </c>
      <c r="G65" s="148"/>
      <c r="H65" s="150"/>
    </row>
    <row r="66" spans="1:8" ht="138" x14ac:dyDescent="0.35">
      <c r="A66" s="146" t="s">
        <v>164</v>
      </c>
      <c r="B66" s="146"/>
      <c r="C66" s="147"/>
      <c r="D66" s="148" t="s">
        <v>20</v>
      </c>
      <c r="E66" s="148">
        <v>4</v>
      </c>
      <c r="F66" s="148" t="s">
        <v>165</v>
      </c>
      <c r="G66" s="148"/>
      <c r="H66" s="150" t="s">
        <v>166</v>
      </c>
    </row>
  </sheetData>
  <mergeCells count="3">
    <mergeCell ref="A2:I2"/>
    <mergeCell ref="A4:H4"/>
    <mergeCell ref="A49:H49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64"/>
  <sheetViews>
    <sheetView topLeftCell="A42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31.42578125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96"/>
      <c r="B1" s="96"/>
      <c r="C1" s="96"/>
      <c r="D1" s="96"/>
      <c r="E1" s="96"/>
      <c r="F1" s="96"/>
      <c r="G1" s="96"/>
      <c r="H1" s="97"/>
      <c r="I1" s="96"/>
    </row>
    <row r="2" spans="1:9" s="7" customFormat="1" ht="45" customHeight="1" x14ac:dyDescent="0.55000000000000004">
      <c r="A2" s="153" t="s">
        <v>103</v>
      </c>
      <c r="B2" s="153"/>
      <c r="C2" s="153"/>
      <c r="D2" s="153"/>
      <c r="E2" s="153"/>
      <c r="F2" s="153"/>
      <c r="G2" s="153"/>
      <c r="H2" s="153"/>
      <c r="I2" s="153"/>
    </row>
    <row r="3" spans="1:9" ht="13.5" thickBot="1" x14ac:dyDescent="0.25">
      <c r="A3" s="128"/>
      <c r="B3" s="96"/>
      <c r="C3" s="96"/>
      <c r="D3" s="96"/>
      <c r="E3" s="96"/>
      <c r="F3" s="96"/>
      <c r="G3" s="96"/>
      <c r="H3" s="97"/>
      <c r="I3" s="96"/>
    </row>
    <row r="4" spans="1:9" s="8" customFormat="1" ht="20.25" thickBot="1" x14ac:dyDescent="0.45">
      <c r="A4" s="154" t="s">
        <v>64</v>
      </c>
      <c r="B4" s="155"/>
      <c r="C4" s="155"/>
      <c r="D4" s="155"/>
      <c r="E4" s="155"/>
      <c r="F4" s="155"/>
      <c r="G4" s="155"/>
      <c r="H4" s="156"/>
      <c r="I4" s="129"/>
    </row>
    <row r="5" spans="1:9" s="37" customFormat="1" ht="15.75" thickBot="1" x14ac:dyDescent="0.35">
      <c r="A5" s="91" t="s">
        <v>6</v>
      </c>
      <c r="B5" s="92" t="s">
        <v>5</v>
      </c>
      <c r="C5" s="91" t="s">
        <v>17</v>
      </c>
      <c r="D5" s="91" t="s">
        <v>18</v>
      </c>
      <c r="E5" s="91" t="s">
        <v>7</v>
      </c>
      <c r="F5" s="91" t="s">
        <v>19</v>
      </c>
      <c r="G5" s="130" t="s">
        <v>24</v>
      </c>
      <c r="H5" s="94" t="s">
        <v>8</v>
      </c>
      <c r="I5" s="42"/>
    </row>
    <row r="6" spans="1:9" s="2" customFormat="1" ht="17.25" x14ac:dyDescent="0.35">
      <c r="A6" s="76" t="s">
        <v>74</v>
      </c>
      <c r="B6" s="77">
        <v>4398</v>
      </c>
      <c r="C6" s="78" t="s">
        <v>20</v>
      </c>
      <c r="D6" s="79">
        <v>1</v>
      </c>
      <c r="E6" s="76" t="s">
        <v>75</v>
      </c>
      <c r="F6" s="78">
        <v>1</v>
      </c>
      <c r="G6" s="80" t="s">
        <v>27</v>
      </c>
      <c r="H6" s="81"/>
      <c r="I6" s="79"/>
    </row>
    <row r="7" spans="1:9" s="2" customFormat="1" ht="17.25" x14ac:dyDescent="0.35">
      <c r="A7" s="76" t="s">
        <v>78</v>
      </c>
      <c r="B7" s="77">
        <v>6876</v>
      </c>
      <c r="C7" s="78"/>
      <c r="D7" s="79"/>
      <c r="E7" s="76"/>
      <c r="F7" s="78"/>
      <c r="G7" s="80" t="s">
        <v>27</v>
      </c>
      <c r="H7" s="81"/>
      <c r="I7" s="79"/>
    </row>
    <row r="8" spans="1:9" s="2" customFormat="1" ht="17.25" x14ac:dyDescent="0.35">
      <c r="A8" s="76"/>
      <c r="B8" s="77"/>
      <c r="C8" s="78" t="s">
        <v>20</v>
      </c>
      <c r="D8" s="79">
        <v>1</v>
      </c>
      <c r="E8" s="76" t="s">
        <v>79</v>
      </c>
      <c r="F8" s="78">
        <v>0</v>
      </c>
      <c r="G8" s="80"/>
      <c r="H8" s="81"/>
      <c r="I8" s="79"/>
    </row>
    <row r="9" spans="1:9" s="2" customFormat="1" ht="17.25" x14ac:dyDescent="0.35">
      <c r="A9" s="76"/>
      <c r="B9" s="77"/>
      <c r="C9" s="78" t="s">
        <v>20</v>
      </c>
      <c r="D9" s="79">
        <v>1</v>
      </c>
      <c r="E9" s="76" t="s">
        <v>80</v>
      </c>
      <c r="F9" s="78">
        <v>0</v>
      </c>
      <c r="G9" s="80"/>
      <c r="H9" s="81"/>
      <c r="I9" s="79"/>
    </row>
    <row r="10" spans="1:9" s="2" customFormat="1" ht="17.25" x14ac:dyDescent="0.35">
      <c r="A10" s="76"/>
      <c r="B10" s="77"/>
      <c r="C10" s="78" t="s">
        <v>20</v>
      </c>
      <c r="D10" s="79">
        <v>1</v>
      </c>
      <c r="E10" s="76" t="s">
        <v>81</v>
      </c>
      <c r="F10" s="78">
        <v>0</v>
      </c>
      <c r="G10" s="80"/>
      <c r="H10" s="81"/>
      <c r="I10" s="79"/>
    </row>
    <row r="11" spans="1:9" s="2" customFormat="1" ht="17.25" x14ac:dyDescent="0.35">
      <c r="A11" s="76"/>
      <c r="B11" s="77"/>
      <c r="C11" s="78" t="s">
        <v>20</v>
      </c>
      <c r="D11" s="79">
        <v>1</v>
      </c>
      <c r="E11" s="76" t="s">
        <v>82</v>
      </c>
      <c r="F11" s="78">
        <v>0</v>
      </c>
      <c r="G11" s="80"/>
      <c r="H11" s="81"/>
      <c r="I11" s="79"/>
    </row>
    <row r="12" spans="1:9" s="2" customFormat="1" ht="17.25" x14ac:dyDescent="0.35">
      <c r="A12" s="76"/>
      <c r="B12" s="77"/>
      <c r="C12" s="78" t="s">
        <v>20</v>
      </c>
      <c r="D12" s="79">
        <v>1</v>
      </c>
      <c r="E12" s="76" t="s">
        <v>83</v>
      </c>
      <c r="F12" s="78">
        <v>5</v>
      </c>
      <c r="G12" s="80"/>
      <c r="H12" s="81"/>
      <c r="I12" s="79"/>
    </row>
    <row r="13" spans="1:9" x14ac:dyDescent="0.2">
      <c r="A13" s="96"/>
      <c r="B13" s="96"/>
      <c r="C13" s="96"/>
      <c r="D13" s="96"/>
      <c r="E13" s="96"/>
      <c r="F13" s="96"/>
      <c r="G13" s="96"/>
      <c r="H13" s="97"/>
      <c r="I13" s="96"/>
    </row>
    <row r="14" spans="1:9" s="2" customFormat="1" ht="15.75" thickBot="1" x14ac:dyDescent="0.35">
      <c r="A14" s="82"/>
      <c r="B14" s="32"/>
      <c r="C14" s="82"/>
      <c r="D14" s="82"/>
      <c r="E14" s="82"/>
      <c r="F14" s="82"/>
      <c r="G14" s="83"/>
      <c r="H14" s="84"/>
      <c r="I14" s="79"/>
    </row>
    <row r="15" spans="1:9" s="2" customFormat="1" ht="15.75" thickBot="1" x14ac:dyDescent="0.35">
      <c r="A15" s="85"/>
      <c r="B15" s="85"/>
      <c r="C15" s="85"/>
      <c r="D15" s="85"/>
      <c r="E15" s="85"/>
      <c r="F15" s="85"/>
      <c r="G15" s="85"/>
      <c r="H15" s="86"/>
      <c r="I15" s="87"/>
    </row>
    <row r="16" spans="1:9" s="8" customFormat="1" ht="20.25" thickBot="1" x14ac:dyDescent="0.45">
      <c r="A16" s="88" t="s">
        <v>23</v>
      </c>
      <c r="B16" s="89"/>
      <c r="C16" s="89"/>
      <c r="D16" s="89"/>
      <c r="E16" s="89"/>
      <c r="F16" s="89"/>
      <c r="G16" s="89"/>
      <c r="H16" s="89"/>
      <c r="I16" s="90"/>
    </row>
    <row r="17" spans="1:11" ht="15.75" thickBot="1" x14ac:dyDescent="0.35">
      <c r="A17" s="91" t="s">
        <v>9</v>
      </c>
      <c r="B17" s="91" t="s">
        <v>10</v>
      </c>
      <c r="C17" s="91" t="s">
        <v>17</v>
      </c>
      <c r="D17" s="92" t="s">
        <v>26</v>
      </c>
      <c r="E17" s="91" t="s">
        <v>25</v>
      </c>
      <c r="F17" s="91" t="s">
        <v>19</v>
      </c>
      <c r="G17" s="93" t="s">
        <v>24</v>
      </c>
      <c r="H17" s="94" t="s">
        <v>28</v>
      </c>
      <c r="I17" s="95" t="s">
        <v>11</v>
      </c>
    </row>
    <row r="18" spans="1:11" x14ac:dyDescent="0.2">
      <c r="A18" s="96"/>
      <c r="B18" s="96"/>
      <c r="C18" s="96"/>
      <c r="D18" s="96"/>
      <c r="E18" s="96"/>
      <c r="F18" s="96"/>
      <c r="G18" s="96"/>
      <c r="H18" s="97"/>
      <c r="I18" s="96"/>
    </row>
    <row r="19" spans="1:11" s="27" customFormat="1" ht="15" x14ac:dyDescent="0.3">
      <c r="A19" s="98" t="s">
        <v>32</v>
      </c>
      <c r="B19" s="99"/>
      <c r="C19" s="99"/>
      <c r="D19" s="99"/>
      <c r="E19" s="99"/>
      <c r="F19" s="99"/>
      <c r="G19" s="99"/>
      <c r="H19" s="100"/>
      <c r="I19" s="101"/>
    </row>
    <row r="20" spans="1:11" s="18" customFormat="1" ht="15" x14ac:dyDescent="0.3">
      <c r="A20" s="13"/>
      <c r="B20" s="13"/>
      <c r="C20" s="13"/>
      <c r="D20" s="14"/>
      <c r="E20" s="13"/>
      <c r="F20" s="13"/>
      <c r="G20" s="15"/>
      <c r="H20" s="16"/>
      <c r="I20" s="17"/>
    </row>
    <row r="21" spans="1:11" s="20" customFormat="1" ht="15" x14ac:dyDescent="0.3">
      <c r="A21" s="21" t="s">
        <v>33</v>
      </c>
      <c r="B21" s="21"/>
      <c r="C21" s="21"/>
      <c r="D21" s="22"/>
      <c r="E21" s="21"/>
      <c r="F21" s="21"/>
      <c r="G21" s="23"/>
      <c r="H21" s="24"/>
      <c r="I21" s="25"/>
    </row>
    <row r="22" spans="1:11" s="18" customFormat="1" ht="15" x14ac:dyDescent="0.3">
      <c r="A22" s="13"/>
      <c r="B22" s="13"/>
      <c r="C22" s="13"/>
      <c r="D22" s="14"/>
      <c r="E22" s="13"/>
      <c r="F22" s="13"/>
      <c r="G22" s="15"/>
      <c r="H22" s="16"/>
      <c r="I22" s="17"/>
    </row>
    <row r="23" spans="1:11" s="27" customFormat="1" ht="15" x14ac:dyDescent="0.3">
      <c r="A23" s="26" t="s">
        <v>34</v>
      </c>
      <c r="B23" s="102"/>
      <c r="C23" s="102"/>
      <c r="D23" s="102"/>
      <c r="E23" s="102"/>
      <c r="F23" s="102"/>
      <c r="G23" s="102" t="s">
        <v>4</v>
      </c>
      <c r="H23" s="103"/>
      <c r="I23" s="102"/>
    </row>
    <row r="24" spans="1:11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11" ht="15" x14ac:dyDescent="0.3">
      <c r="A25" s="28" t="s">
        <v>35</v>
      </c>
      <c r="B25" s="104"/>
      <c r="C25" s="104"/>
      <c r="D25" s="104"/>
      <c r="E25" s="104"/>
      <c r="F25" s="104"/>
      <c r="G25" s="104"/>
      <c r="H25" s="105"/>
      <c r="I25" s="104"/>
    </row>
    <row r="26" spans="1:11" ht="15" x14ac:dyDescent="0.3">
      <c r="A26" s="13"/>
      <c r="B26" s="13"/>
      <c r="C26" s="13"/>
      <c r="D26" s="13"/>
      <c r="E26" s="13"/>
      <c r="F26" s="14"/>
      <c r="G26" s="15"/>
      <c r="H26" s="19"/>
      <c r="I26" s="17"/>
    </row>
    <row r="27" spans="1:11" ht="15" x14ac:dyDescent="0.3">
      <c r="A27" s="29" t="s">
        <v>36</v>
      </c>
      <c r="B27" s="106"/>
      <c r="C27" s="106"/>
      <c r="D27" s="106"/>
      <c r="E27" s="106"/>
      <c r="F27" s="106"/>
      <c r="G27" s="106"/>
      <c r="H27" s="107"/>
      <c r="I27" s="106"/>
    </row>
    <row r="28" spans="1:11" ht="15" x14ac:dyDescent="0.3">
      <c r="A28" s="13"/>
      <c r="B28" s="13"/>
      <c r="C28" s="13"/>
      <c r="D28" s="13"/>
      <c r="E28" s="13"/>
      <c r="F28" s="14"/>
      <c r="G28" s="15"/>
      <c r="H28" s="19"/>
      <c r="I28" s="17"/>
    </row>
    <row r="29" spans="1:11" ht="15" x14ac:dyDescent="0.3">
      <c r="A29" s="30" t="s">
        <v>38</v>
      </c>
      <c r="B29" s="108"/>
      <c r="C29" s="108"/>
      <c r="D29" s="108"/>
      <c r="E29" s="108"/>
      <c r="F29" s="108"/>
      <c r="G29" s="108" t="s">
        <v>4</v>
      </c>
      <c r="H29" s="109"/>
      <c r="I29" s="108"/>
    </row>
    <row r="30" spans="1:11" ht="15" x14ac:dyDescent="0.3">
      <c r="A30" s="13"/>
      <c r="B30" s="13"/>
      <c r="C30" s="13"/>
      <c r="D30" s="13"/>
      <c r="E30" s="13"/>
      <c r="F30" s="14"/>
      <c r="G30" s="15" t="s">
        <v>4</v>
      </c>
      <c r="H30" s="19"/>
      <c r="I30" s="17"/>
    </row>
    <row r="31" spans="1:11" ht="15" x14ac:dyDescent="0.3">
      <c r="A31" s="98" t="s">
        <v>37</v>
      </c>
      <c r="B31" s="99"/>
      <c r="C31" s="99"/>
      <c r="D31" s="99"/>
      <c r="E31" s="99"/>
      <c r="F31" s="99"/>
      <c r="G31" s="99"/>
      <c r="H31" s="100"/>
      <c r="I31" s="101"/>
    </row>
    <row r="32" spans="1:11" s="51" customFormat="1" ht="51.75" x14ac:dyDescent="0.35">
      <c r="A32" s="120" t="s">
        <v>70</v>
      </c>
      <c r="B32" s="121" t="s">
        <v>71</v>
      </c>
      <c r="C32" s="122" t="s">
        <v>21</v>
      </c>
      <c r="D32" s="123"/>
      <c r="E32" s="123"/>
      <c r="F32" s="122"/>
      <c r="G32" s="123" t="s">
        <v>27</v>
      </c>
      <c r="H32" s="121" t="s">
        <v>110</v>
      </c>
      <c r="I32" s="117" t="s">
        <v>72</v>
      </c>
      <c r="J32" s="52"/>
      <c r="K32" s="52"/>
    </row>
    <row r="33" spans="1:11" s="51" customFormat="1" ht="17.25" x14ac:dyDescent="0.35">
      <c r="A33" s="120" t="s">
        <v>77</v>
      </c>
      <c r="B33" s="121" t="s">
        <v>76</v>
      </c>
      <c r="C33" s="122" t="s">
        <v>73</v>
      </c>
      <c r="D33" s="123"/>
      <c r="E33" s="123"/>
      <c r="F33" s="122"/>
      <c r="G33" s="123" t="s">
        <v>27</v>
      </c>
      <c r="H33" s="121"/>
      <c r="I33" s="117">
        <v>65683</v>
      </c>
      <c r="J33" s="52"/>
      <c r="K33" s="52"/>
    </row>
    <row r="34" spans="1:11" s="51" customFormat="1" ht="17.25" x14ac:dyDescent="0.35">
      <c r="A34" s="120"/>
      <c r="B34" s="121"/>
      <c r="C34" s="122"/>
      <c r="D34" s="123" t="s">
        <v>20</v>
      </c>
      <c r="E34" s="123">
        <v>1</v>
      </c>
      <c r="F34" s="122">
        <v>2</v>
      </c>
      <c r="G34" s="123"/>
      <c r="H34" s="121"/>
      <c r="I34" s="117"/>
      <c r="J34" s="52"/>
      <c r="K34" s="52"/>
    </row>
    <row r="35" spans="1:11" s="51" customFormat="1" ht="17.25" x14ac:dyDescent="0.35">
      <c r="A35" s="120"/>
      <c r="B35" s="122"/>
      <c r="C35" s="122"/>
      <c r="D35" s="123"/>
      <c r="E35" s="122"/>
      <c r="F35" s="122"/>
      <c r="G35" s="123"/>
      <c r="H35" s="121"/>
      <c r="I35" s="117"/>
      <c r="J35" s="52"/>
      <c r="K35" s="52"/>
    </row>
    <row r="36" spans="1:11" s="49" customFormat="1" ht="17.25" x14ac:dyDescent="0.35">
      <c r="A36" s="110" t="s">
        <v>84</v>
      </c>
      <c r="B36" s="111" t="s">
        <v>85</v>
      </c>
      <c r="C36" s="112" t="s">
        <v>73</v>
      </c>
      <c r="D36" s="112"/>
      <c r="E36" s="111"/>
      <c r="F36" s="112"/>
      <c r="G36" s="112" t="s">
        <v>27</v>
      </c>
      <c r="H36" s="113"/>
      <c r="I36" s="118">
        <v>70266</v>
      </c>
    </row>
    <row r="37" spans="1:11" s="49" customFormat="1" ht="17.25" x14ac:dyDescent="0.35">
      <c r="A37" s="110"/>
      <c r="B37" s="111"/>
      <c r="C37" s="112"/>
      <c r="D37" s="112" t="s">
        <v>20</v>
      </c>
      <c r="E37" s="111">
        <v>1</v>
      </c>
      <c r="F37" s="112">
        <v>0</v>
      </c>
      <c r="G37" s="112"/>
      <c r="H37" s="113"/>
      <c r="I37" s="118"/>
    </row>
    <row r="38" spans="1:11" ht="17.25" x14ac:dyDescent="0.35">
      <c r="A38" s="110" t="s">
        <v>96</v>
      </c>
      <c r="B38" s="111" t="s">
        <v>97</v>
      </c>
      <c r="C38" s="112" t="s">
        <v>73</v>
      </c>
      <c r="D38" s="112"/>
      <c r="E38" s="111"/>
      <c r="F38" s="112"/>
      <c r="G38" s="112" t="s">
        <v>27</v>
      </c>
      <c r="H38" s="113"/>
      <c r="I38" s="118">
        <v>70287</v>
      </c>
    </row>
    <row r="39" spans="1:11" ht="17.25" x14ac:dyDescent="0.35">
      <c r="A39" s="110"/>
      <c r="B39" s="111"/>
      <c r="C39" s="112"/>
      <c r="D39" s="112" t="s">
        <v>20</v>
      </c>
      <c r="E39" s="111">
        <v>1</v>
      </c>
      <c r="F39" s="112">
        <v>0</v>
      </c>
      <c r="G39" s="112"/>
      <c r="H39" s="113"/>
      <c r="I39" s="118"/>
    </row>
    <row r="40" spans="1:11" ht="17.25" x14ac:dyDescent="0.35">
      <c r="A40" s="110" t="s">
        <v>99</v>
      </c>
      <c r="B40" s="111" t="s">
        <v>98</v>
      </c>
      <c r="C40" s="112" t="s">
        <v>21</v>
      </c>
      <c r="D40" s="112"/>
      <c r="E40" s="111"/>
      <c r="F40" s="112"/>
      <c r="G40" s="112" t="s">
        <v>27</v>
      </c>
      <c r="H40" s="113" t="s">
        <v>100</v>
      </c>
      <c r="I40" s="118"/>
    </row>
    <row r="41" spans="1:11" ht="17.25" x14ac:dyDescent="0.35">
      <c r="A41" s="110" t="s">
        <v>115</v>
      </c>
      <c r="B41" s="111" t="s">
        <v>116</v>
      </c>
      <c r="C41" s="112" t="s">
        <v>73</v>
      </c>
      <c r="D41" s="112"/>
      <c r="E41" s="111"/>
      <c r="F41" s="112"/>
      <c r="G41" s="112" t="s">
        <v>27</v>
      </c>
      <c r="H41" s="113"/>
      <c r="I41" s="118">
        <v>70310</v>
      </c>
    </row>
    <row r="42" spans="1:11" ht="17.25" x14ac:dyDescent="0.35">
      <c r="A42" s="110"/>
      <c r="B42" s="111"/>
      <c r="C42" s="112"/>
      <c r="D42" s="112" t="s">
        <v>20</v>
      </c>
      <c r="E42" s="111">
        <v>1</v>
      </c>
      <c r="F42" s="112">
        <v>1</v>
      </c>
      <c r="G42" s="112"/>
      <c r="H42" s="113"/>
      <c r="I42" s="118" t="s">
        <v>117</v>
      </c>
    </row>
    <row r="43" spans="1:11" ht="17.25" x14ac:dyDescent="0.35">
      <c r="A43" s="138" t="s">
        <v>131</v>
      </c>
      <c r="B43" s="111" t="s">
        <v>132</v>
      </c>
      <c r="C43" s="112" t="s">
        <v>73</v>
      </c>
      <c r="D43" s="112"/>
      <c r="E43" s="111"/>
      <c r="F43" s="112"/>
      <c r="G43" s="112" t="s">
        <v>133</v>
      </c>
      <c r="H43" s="113"/>
      <c r="I43" s="139">
        <v>73502</v>
      </c>
    </row>
    <row r="44" spans="1:11" ht="17.25" x14ac:dyDescent="0.35">
      <c r="A44" s="138"/>
      <c r="B44" s="111"/>
      <c r="C44" s="112"/>
      <c r="D44" s="112" t="s">
        <v>20</v>
      </c>
      <c r="E44" s="111">
        <v>1</v>
      </c>
      <c r="F44" s="112">
        <v>62</v>
      </c>
      <c r="G44" s="112"/>
      <c r="H44" s="113"/>
      <c r="I44" s="139"/>
    </row>
    <row r="45" spans="1:11" x14ac:dyDescent="0.2">
      <c r="A45" s="96"/>
      <c r="B45" s="96"/>
      <c r="C45" s="96"/>
      <c r="D45" s="96"/>
      <c r="E45" s="96"/>
      <c r="F45" s="96"/>
      <c r="G45" s="96"/>
      <c r="H45" s="97"/>
      <c r="I45" s="96"/>
    </row>
    <row r="46" spans="1:11" s="47" customFormat="1" ht="13.5" thickBot="1" x14ac:dyDescent="0.25">
      <c r="A46" s="96"/>
      <c r="B46" s="96"/>
      <c r="C46" s="96"/>
      <c r="D46" s="96"/>
      <c r="E46" s="96"/>
      <c r="F46" s="96"/>
      <c r="G46" s="96"/>
      <c r="H46" s="97"/>
      <c r="I46" s="96"/>
    </row>
    <row r="47" spans="1:11" ht="19.5" x14ac:dyDescent="0.4">
      <c r="A47" s="157" t="s">
        <v>41</v>
      </c>
      <c r="B47" s="158"/>
      <c r="C47" s="158"/>
      <c r="D47" s="158"/>
      <c r="E47" s="158"/>
      <c r="F47" s="158"/>
      <c r="G47" s="158"/>
      <c r="H47" s="159"/>
      <c r="I47" s="96"/>
    </row>
    <row r="48" spans="1:11" ht="17.25" x14ac:dyDescent="0.35">
      <c r="A48" s="114" t="s">
        <v>42</v>
      </c>
      <c r="B48" s="114"/>
      <c r="C48" s="114" t="s">
        <v>17</v>
      </c>
      <c r="D48" s="114" t="s">
        <v>43</v>
      </c>
      <c r="E48" s="114" t="s">
        <v>44</v>
      </c>
      <c r="F48" s="114" t="s">
        <v>45</v>
      </c>
      <c r="G48" s="114" t="s">
        <v>24</v>
      </c>
      <c r="H48" s="116"/>
      <c r="I48" s="96"/>
    </row>
    <row r="49" spans="1:9" ht="17.25" x14ac:dyDescent="0.35">
      <c r="A49" s="114" t="s">
        <v>105</v>
      </c>
      <c r="B49" s="114"/>
      <c r="C49" s="115" t="s">
        <v>46</v>
      </c>
      <c r="D49" s="115"/>
      <c r="E49" s="115"/>
      <c r="F49" s="115"/>
      <c r="G49" s="115" t="s">
        <v>47</v>
      </c>
      <c r="H49" s="116"/>
      <c r="I49" s="96"/>
    </row>
    <row r="50" spans="1:9" ht="17.25" x14ac:dyDescent="0.35">
      <c r="A50" s="114" t="s">
        <v>48</v>
      </c>
      <c r="B50" s="114"/>
      <c r="C50" s="115"/>
      <c r="D50" s="115" t="s">
        <v>20</v>
      </c>
      <c r="E50" s="115">
        <v>1</v>
      </c>
      <c r="F50" s="115">
        <v>0</v>
      </c>
      <c r="G50" s="115"/>
      <c r="H50" s="116"/>
      <c r="I50" s="96"/>
    </row>
    <row r="51" spans="1:9" ht="17.25" x14ac:dyDescent="0.35">
      <c r="A51" s="114" t="s">
        <v>49</v>
      </c>
      <c r="B51" s="114"/>
      <c r="C51" s="115"/>
      <c r="D51" s="115" t="s">
        <v>20</v>
      </c>
      <c r="E51" s="115">
        <v>2</v>
      </c>
      <c r="F51" s="115">
        <v>2</v>
      </c>
      <c r="G51" s="115"/>
      <c r="H51" s="116"/>
      <c r="I51" s="96"/>
    </row>
    <row r="52" spans="1:9" ht="17.25" x14ac:dyDescent="0.35">
      <c r="A52" s="33" t="s">
        <v>50</v>
      </c>
      <c r="B52" s="33"/>
      <c r="C52" s="35"/>
      <c r="D52" s="35" t="s">
        <v>20</v>
      </c>
      <c r="E52" s="35">
        <v>2</v>
      </c>
      <c r="F52" s="35" t="s">
        <v>51</v>
      </c>
      <c r="G52" s="35"/>
      <c r="H52" s="34"/>
    </row>
    <row r="53" spans="1:9" ht="17.25" x14ac:dyDescent="0.35">
      <c r="A53" s="33" t="s">
        <v>52</v>
      </c>
      <c r="B53" s="33"/>
      <c r="C53" s="35"/>
      <c r="D53" s="35" t="s">
        <v>20</v>
      </c>
      <c r="E53" s="35">
        <v>1</v>
      </c>
      <c r="F53" s="35" t="s">
        <v>53</v>
      </c>
      <c r="G53" s="35"/>
      <c r="H53" s="34"/>
    </row>
    <row r="54" spans="1:9" ht="17.25" x14ac:dyDescent="0.35">
      <c r="A54" s="33" t="s">
        <v>54</v>
      </c>
      <c r="B54" s="33"/>
      <c r="C54" s="35"/>
      <c r="D54" s="35" t="s">
        <v>20</v>
      </c>
      <c r="E54" s="35">
        <v>2</v>
      </c>
      <c r="F54" s="35">
        <v>4</v>
      </c>
      <c r="G54" s="35"/>
      <c r="H54" s="34"/>
    </row>
    <row r="55" spans="1:9" ht="17.25" x14ac:dyDescent="0.35">
      <c r="A55" s="44" t="s">
        <v>55</v>
      </c>
      <c r="B55" s="44"/>
      <c r="C55" s="45"/>
      <c r="D55" s="45" t="s">
        <v>20</v>
      </c>
      <c r="E55" s="45">
        <v>4</v>
      </c>
      <c r="F55" s="45" t="s">
        <v>169</v>
      </c>
      <c r="G55" s="45"/>
      <c r="H55" s="46"/>
      <c r="I55" s="47"/>
    </row>
    <row r="56" spans="1:9" ht="17.25" x14ac:dyDescent="0.35">
      <c r="A56" s="33" t="s">
        <v>59</v>
      </c>
      <c r="B56" s="33"/>
      <c r="C56" s="35"/>
      <c r="D56" s="35" t="s">
        <v>20</v>
      </c>
      <c r="E56" s="35">
        <v>1</v>
      </c>
      <c r="F56" s="35" t="s">
        <v>56</v>
      </c>
      <c r="G56" s="35"/>
      <c r="H56" s="34"/>
    </row>
    <row r="57" spans="1:9" ht="17.25" x14ac:dyDescent="0.35">
      <c r="A57" s="33" t="s">
        <v>60</v>
      </c>
      <c r="B57" s="33"/>
      <c r="C57" s="35"/>
      <c r="D57" s="35" t="s">
        <v>20</v>
      </c>
      <c r="E57" s="35">
        <v>2</v>
      </c>
      <c r="F57" s="35">
        <f>LEN(F58)</f>
        <v>10</v>
      </c>
      <c r="G57" s="35"/>
      <c r="H57" s="34"/>
    </row>
    <row r="58" spans="1:9" ht="17.25" x14ac:dyDescent="0.35">
      <c r="A58" s="33" t="s">
        <v>61</v>
      </c>
      <c r="B58" s="33"/>
      <c r="C58" s="35"/>
      <c r="D58" s="35" t="s">
        <v>57</v>
      </c>
      <c r="E58" s="35">
        <f>F57</f>
        <v>10</v>
      </c>
      <c r="F58" s="35" t="s">
        <v>106</v>
      </c>
      <c r="G58" s="35"/>
      <c r="H58" s="36" t="s">
        <v>58</v>
      </c>
    </row>
    <row r="59" spans="1:9" ht="17.25" x14ac:dyDescent="0.35">
      <c r="A59" s="33" t="s">
        <v>90</v>
      </c>
      <c r="B59" s="33"/>
      <c r="C59" s="35"/>
      <c r="D59" s="35" t="s">
        <v>20</v>
      </c>
      <c r="E59" s="35">
        <v>1</v>
      </c>
      <c r="F59" s="35" t="s">
        <v>91</v>
      </c>
      <c r="G59" s="35"/>
      <c r="H59" s="34"/>
    </row>
    <row r="60" spans="1:9" ht="17.25" x14ac:dyDescent="0.35">
      <c r="A60" s="33" t="s">
        <v>92</v>
      </c>
      <c r="B60" s="33"/>
      <c r="C60" s="35"/>
      <c r="D60" s="35" t="s">
        <v>20</v>
      </c>
      <c r="E60" s="35">
        <v>2</v>
      </c>
      <c r="F60" s="35">
        <v>4</v>
      </c>
      <c r="G60" s="35"/>
      <c r="H60" s="34"/>
    </row>
    <row r="61" spans="1:9" ht="17.25" x14ac:dyDescent="0.35">
      <c r="A61" s="44" t="s">
        <v>93</v>
      </c>
      <c r="B61" s="44"/>
      <c r="C61" s="45"/>
      <c r="D61" s="45" t="s">
        <v>20</v>
      </c>
      <c r="E61" s="45">
        <v>4</v>
      </c>
      <c r="F61" s="45" t="str">
        <f>$F$55</f>
        <v>0x05023017</v>
      </c>
      <c r="G61" s="45"/>
      <c r="H61" s="46"/>
    </row>
    <row r="62" spans="1:9" ht="17.25" x14ac:dyDescent="0.35">
      <c r="A62" s="146" t="s">
        <v>161</v>
      </c>
      <c r="B62" s="146"/>
      <c r="C62" s="147"/>
      <c r="D62" s="148" t="s">
        <v>20</v>
      </c>
      <c r="E62" s="148">
        <v>1</v>
      </c>
      <c r="F62" s="149" t="s">
        <v>162</v>
      </c>
      <c r="G62" s="148"/>
      <c r="H62" s="150"/>
    </row>
    <row r="63" spans="1:9" ht="17.25" x14ac:dyDescent="0.35">
      <c r="A63" s="146" t="s">
        <v>163</v>
      </c>
      <c r="B63" s="146"/>
      <c r="C63" s="147"/>
      <c r="D63" s="148" t="s">
        <v>20</v>
      </c>
      <c r="E63" s="148">
        <v>2</v>
      </c>
      <c r="F63" s="151">
        <v>4</v>
      </c>
      <c r="G63" s="148"/>
      <c r="H63" s="150"/>
    </row>
    <row r="64" spans="1:9" ht="138" x14ac:dyDescent="0.35">
      <c r="A64" s="146" t="s">
        <v>164</v>
      </c>
      <c r="B64" s="146"/>
      <c r="C64" s="147"/>
      <c r="D64" s="148" t="s">
        <v>20</v>
      </c>
      <c r="E64" s="148">
        <v>4</v>
      </c>
      <c r="F64" s="148" t="s">
        <v>165</v>
      </c>
      <c r="G64" s="148"/>
      <c r="H64" s="150" t="s">
        <v>166</v>
      </c>
    </row>
  </sheetData>
  <mergeCells count="3">
    <mergeCell ref="A2:I2"/>
    <mergeCell ref="A4:H4"/>
    <mergeCell ref="A47:H47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73"/>
  <sheetViews>
    <sheetView topLeftCell="A49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66" style="10" customWidth="1"/>
    <col min="9" max="9" width="35.42578125" bestFit="1" customWidth="1"/>
    <col min="12" max="12" width="22.7109375" bestFit="1" customWidth="1"/>
  </cols>
  <sheetData>
    <row r="1" spans="1:9" x14ac:dyDescent="0.2">
      <c r="A1" s="96"/>
      <c r="B1" s="96"/>
      <c r="C1" s="96"/>
      <c r="D1" s="96"/>
      <c r="E1" s="96"/>
      <c r="F1" s="96"/>
      <c r="G1" s="96"/>
      <c r="H1" s="97"/>
      <c r="I1" s="96"/>
    </row>
    <row r="2" spans="1:9" s="7" customFormat="1" ht="45" customHeight="1" x14ac:dyDescent="0.55000000000000004">
      <c r="A2" s="153" t="s">
        <v>122</v>
      </c>
      <c r="B2" s="153"/>
      <c r="C2" s="153"/>
      <c r="D2" s="153"/>
      <c r="E2" s="153"/>
      <c r="F2" s="153"/>
      <c r="G2" s="153"/>
      <c r="H2" s="153"/>
      <c r="I2" s="153"/>
    </row>
    <row r="3" spans="1:9" ht="13.5" thickBot="1" x14ac:dyDescent="0.25">
      <c r="A3" s="128"/>
      <c r="B3" s="96"/>
      <c r="C3" s="96"/>
      <c r="D3" s="96"/>
      <c r="E3" s="96"/>
      <c r="F3" s="96"/>
      <c r="G3" s="96"/>
      <c r="H3" s="97"/>
      <c r="I3" s="96"/>
    </row>
    <row r="4" spans="1:9" s="8" customFormat="1" ht="20.25" thickBot="1" x14ac:dyDescent="0.45">
      <c r="A4" s="154" t="s">
        <v>64</v>
      </c>
      <c r="B4" s="155"/>
      <c r="C4" s="155"/>
      <c r="D4" s="155"/>
      <c r="E4" s="155"/>
      <c r="F4" s="155"/>
      <c r="G4" s="155"/>
      <c r="H4" s="156"/>
      <c r="I4" s="129"/>
    </row>
    <row r="5" spans="1:9" s="37" customFormat="1" ht="15.75" thickBot="1" x14ac:dyDescent="0.35">
      <c r="A5" s="91" t="s">
        <v>6</v>
      </c>
      <c r="B5" s="92" t="s">
        <v>5</v>
      </c>
      <c r="C5" s="91" t="s">
        <v>17</v>
      </c>
      <c r="D5" s="91" t="s">
        <v>18</v>
      </c>
      <c r="E5" s="91" t="s">
        <v>7</v>
      </c>
      <c r="F5" s="91" t="s">
        <v>19</v>
      </c>
      <c r="G5" s="130" t="s">
        <v>24</v>
      </c>
      <c r="H5" s="94" t="s">
        <v>8</v>
      </c>
      <c r="I5" s="42"/>
    </row>
    <row r="6" spans="1:9" s="48" customFormat="1" ht="17.25" x14ac:dyDescent="0.35">
      <c r="A6" s="131" t="s">
        <v>123</v>
      </c>
      <c r="B6" s="77">
        <v>3446</v>
      </c>
      <c r="C6" s="78"/>
      <c r="D6" s="79"/>
      <c r="E6" s="131" t="s">
        <v>124</v>
      </c>
      <c r="F6" s="78"/>
      <c r="G6" s="132" t="s">
        <v>27</v>
      </c>
      <c r="H6" s="133" t="s">
        <v>4</v>
      </c>
      <c r="I6" s="79"/>
    </row>
    <row r="7" spans="1:9" s="48" customFormat="1" ht="17.25" x14ac:dyDescent="0.35">
      <c r="A7" s="131"/>
      <c r="B7" s="77"/>
      <c r="C7" s="78" t="s">
        <v>20</v>
      </c>
      <c r="D7" s="79">
        <v>2</v>
      </c>
      <c r="E7" s="131" t="s">
        <v>125</v>
      </c>
      <c r="F7" s="78">
        <v>2</v>
      </c>
      <c r="G7" s="132"/>
      <c r="H7" s="133"/>
      <c r="I7" s="79"/>
    </row>
    <row r="8" spans="1:9" s="48" customFormat="1" ht="17.25" x14ac:dyDescent="0.35">
      <c r="A8" s="131"/>
      <c r="B8" s="77"/>
      <c r="C8" s="78" t="s">
        <v>20</v>
      </c>
      <c r="D8" s="79">
        <v>4</v>
      </c>
      <c r="E8" s="131" t="s">
        <v>126</v>
      </c>
      <c r="F8" s="78">
        <v>0</v>
      </c>
      <c r="G8" s="132"/>
      <c r="H8" s="133"/>
      <c r="I8" s="79"/>
    </row>
    <row r="9" spans="1:9" s="2" customFormat="1" ht="17.25" x14ac:dyDescent="0.35">
      <c r="A9" s="134" t="s">
        <v>74</v>
      </c>
      <c r="B9" s="77">
        <v>4398</v>
      </c>
      <c r="C9" s="78" t="s">
        <v>20</v>
      </c>
      <c r="D9" s="79">
        <v>1</v>
      </c>
      <c r="E9" s="134" t="s">
        <v>75</v>
      </c>
      <c r="F9" s="78">
        <v>0</v>
      </c>
      <c r="G9" s="80" t="s">
        <v>27</v>
      </c>
      <c r="H9" s="135"/>
      <c r="I9" s="79"/>
    </row>
    <row r="10" spans="1:9" s="48" customFormat="1" ht="17.25" x14ac:dyDescent="0.35">
      <c r="A10" s="134" t="s">
        <v>78</v>
      </c>
      <c r="B10" s="77">
        <v>6876</v>
      </c>
      <c r="C10" s="78"/>
      <c r="D10" s="79"/>
      <c r="E10" s="134"/>
      <c r="F10" s="78"/>
      <c r="G10" s="80" t="s">
        <v>27</v>
      </c>
      <c r="H10" s="135"/>
      <c r="I10" s="79"/>
    </row>
    <row r="11" spans="1:9" s="48" customFormat="1" ht="17.25" x14ac:dyDescent="0.35">
      <c r="A11" s="134"/>
      <c r="B11" s="77"/>
      <c r="C11" s="78" t="s">
        <v>20</v>
      </c>
      <c r="D11" s="79">
        <v>1</v>
      </c>
      <c r="E11" s="134" t="s">
        <v>79</v>
      </c>
      <c r="F11" s="78">
        <v>0</v>
      </c>
      <c r="G11" s="80"/>
      <c r="H11" s="135"/>
      <c r="I11" s="79"/>
    </row>
    <row r="12" spans="1:9" s="48" customFormat="1" ht="17.25" x14ac:dyDescent="0.35">
      <c r="A12" s="134"/>
      <c r="B12" s="77"/>
      <c r="C12" s="78" t="s">
        <v>20</v>
      </c>
      <c r="D12" s="79">
        <v>1</v>
      </c>
      <c r="E12" s="134" t="s">
        <v>80</v>
      </c>
      <c r="F12" s="78">
        <v>0</v>
      </c>
      <c r="G12" s="80"/>
      <c r="H12" s="135"/>
      <c r="I12" s="79"/>
    </row>
    <row r="13" spans="1:9" s="48" customFormat="1" ht="17.25" x14ac:dyDescent="0.35">
      <c r="A13" s="134"/>
      <c r="B13" s="77"/>
      <c r="C13" s="78" t="s">
        <v>20</v>
      </c>
      <c r="D13" s="79">
        <v>1</v>
      </c>
      <c r="E13" s="134" t="s">
        <v>81</v>
      </c>
      <c r="F13" s="78">
        <v>0</v>
      </c>
      <c r="G13" s="80"/>
      <c r="H13" s="135"/>
      <c r="I13" s="79"/>
    </row>
    <row r="14" spans="1:9" s="48" customFormat="1" ht="17.25" x14ac:dyDescent="0.35">
      <c r="A14" s="134"/>
      <c r="B14" s="77"/>
      <c r="C14" s="78" t="s">
        <v>20</v>
      </c>
      <c r="D14" s="79">
        <v>1</v>
      </c>
      <c r="E14" s="134" t="s">
        <v>82</v>
      </c>
      <c r="F14" s="78">
        <v>0</v>
      </c>
      <c r="G14" s="80"/>
      <c r="H14" s="135"/>
      <c r="I14" s="79"/>
    </row>
    <row r="15" spans="1:9" s="48" customFormat="1" ht="17.25" x14ac:dyDescent="0.35">
      <c r="A15" s="134"/>
      <c r="B15" s="77"/>
      <c r="C15" s="78" t="s">
        <v>20</v>
      </c>
      <c r="D15" s="79">
        <v>1</v>
      </c>
      <c r="E15" s="134" t="s">
        <v>83</v>
      </c>
      <c r="F15" s="78">
        <v>9</v>
      </c>
      <c r="G15" s="80"/>
      <c r="H15" s="135"/>
      <c r="I15" s="79"/>
    </row>
    <row r="16" spans="1:9" s="48" customFormat="1" ht="17.25" x14ac:dyDescent="0.35">
      <c r="A16" s="134"/>
      <c r="B16" s="77"/>
      <c r="C16" s="78"/>
      <c r="D16" s="79"/>
      <c r="E16" s="134"/>
      <c r="F16" s="78"/>
      <c r="G16" s="80"/>
      <c r="H16" s="135"/>
      <c r="I16" s="79"/>
    </row>
    <row r="17" spans="1:9" s="48" customFormat="1" ht="17.25" x14ac:dyDescent="0.35">
      <c r="A17" s="134" t="s">
        <v>127</v>
      </c>
      <c r="B17" s="77">
        <v>6907</v>
      </c>
      <c r="C17" s="78" t="s">
        <v>20</v>
      </c>
      <c r="D17" s="79">
        <v>1</v>
      </c>
      <c r="E17" s="134" t="s">
        <v>128</v>
      </c>
      <c r="F17" s="78">
        <v>1</v>
      </c>
      <c r="G17" s="80" t="s">
        <v>27</v>
      </c>
      <c r="H17" s="135"/>
      <c r="I17" s="79"/>
    </row>
    <row r="18" spans="1:9" s="2" customFormat="1" ht="15.75" thickBot="1" x14ac:dyDescent="0.35">
      <c r="A18" s="82"/>
      <c r="B18" s="32"/>
      <c r="C18" s="82"/>
      <c r="D18" s="82"/>
      <c r="E18" s="82"/>
      <c r="F18" s="82"/>
      <c r="G18" s="83"/>
      <c r="H18" s="84"/>
      <c r="I18" s="79"/>
    </row>
    <row r="19" spans="1:9" s="2" customFormat="1" ht="15.75" thickBot="1" x14ac:dyDescent="0.35">
      <c r="A19" s="85"/>
      <c r="B19" s="85"/>
      <c r="C19" s="85"/>
      <c r="D19" s="85"/>
      <c r="E19" s="85"/>
      <c r="F19" s="85"/>
      <c r="G19" s="85"/>
      <c r="H19" s="86"/>
      <c r="I19" s="87"/>
    </row>
    <row r="20" spans="1:9" s="8" customFormat="1" ht="20.25" thickBot="1" x14ac:dyDescent="0.45">
      <c r="A20" s="88" t="s">
        <v>23</v>
      </c>
      <c r="B20" s="89"/>
      <c r="C20" s="89"/>
      <c r="D20" s="89"/>
      <c r="E20" s="89"/>
      <c r="F20" s="89"/>
      <c r="G20" s="89"/>
      <c r="H20" s="89"/>
      <c r="I20" s="90"/>
    </row>
    <row r="21" spans="1:9" ht="15.75" thickBot="1" x14ac:dyDescent="0.35">
      <c r="A21" s="91" t="s">
        <v>9</v>
      </c>
      <c r="B21" s="91" t="s">
        <v>10</v>
      </c>
      <c r="C21" s="91" t="s">
        <v>17</v>
      </c>
      <c r="D21" s="92" t="s">
        <v>26</v>
      </c>
      <c r="E21" s="91" t="s">
        <v>25</v>
      </c>
      <c r="F21" s="91" t="s">
        <v>19</v>
      </c>
      <c r="G21" s="93" t="s">
        <v>24</v>
      </c>
      <c r="H21" s="94" t="s">
        <v>28</v>
      </c>
      <c r="I21" s="95" t="s">
        <v>11</v>
      </c>
    </row>
    <row r="22" spans="1:9" x14ac:dyDescent="0.2">
      <c r="A22" s="96"/>
      <c r="B22" s="96"/>
      <c r="C22" s="96"/>
      <c r="D22" s="96"/>
      <c r="E22" s="96"/>
      <c r="F22" s="96"/>
      <c r="G22" s="96"/>
      <c r="H22" s="97"/>
      <c r="I22" s="96"/>
    </row>
    <row r="23" spans="1:9" s="27" customFormat="1" ht="15" x14ac:dyDescent="0.3">
      <c r="A23" s="98" t="s">
        <v>32</v>
      </c>
      <c r="B23" s="99"/>
      <c r="C23" s="99"/>
      <c r="D23" s="99"/>
      <c r="E23" s="99"/>
      <c r="F23" s="99"/>
      <c r="G23" s="99"/>
      <c r="H23" s="100"/>
      <c r="I23" s="101"/>
    </row>
    <row r="24" spans="1:9" s="18" customFormat="1" ht="15" x14ac:dyDescent="0.3">
      <c r="A24" s="13"/>
      <c r="B24" s="13"/>
      <c r="C24" s="13"/>
      <c r="D24" s="14"/>
      <c r="E24" s="13"/>
      <c r="F24" s="13"/>
      <c r="G24" s="15"/>
      <c r="H24" s="16"/>
      <c r="I24" s="17"/>
    </row>
    <row r="25" spans="1:9" s="20" customFormat="1" ht="15" x14ac:dyDescent="0.3">
      <c r="A25" s="21" t="s">
        <v>33</v>
      </c>
      <c r="B25" s="21"/>
      <c r="C25" s="21"/>
      <c r="D25" s="22"/>
      <c r="E25" s="21"/>
      <c r="F25" s="21"/>
      <c r="G25" s="23"/>
      <c r="H25" s="24"/>
      <c r="I25" s="25"/>
    </row>
    <row r="26" spans="1:9" s="18" customFormat="1" ht="15" x14ac:dyDescent="0.3">
      <c r="A26" s="13"/>
      <c r="B26" s="13"/>
      <c r="C26" s="13"/>
      <c r="D26" s="14"/>
      <c r="E26" s="13"/>
      <c r="F26" s="13"/>
      <c r="G26" s="15"/>
      <c r="H26" s="16"/>
      <c r="I26" s="17"/>
    </row>
    <row r="27" spans="1:9" s="27" customFormat="1" ht="15" x14ac:dyDescent="0.3">
      <c r="A27" s="26" t="s">
        <v>34</v>
      </c>
      <c r="B27" s="102"/>
      <c r="C27" s="102"/>
      <c r="D27" s="102"/>
      <c r="E27" s="102"/>
      <c r="F27" s="102"/>
      <c r="G27" s="102" t="s">
        <v>4</v>
      </c>
      <c r="H27" s="103"/>
      <c r="I27" s="102"/>
    </row>
    <row r="28" spans="1:9" s="18" customFormat="1" ht="15" x14ac:dyDescent="0.3">
      <c r="A28" s="13"/>
      <c r="B28" s="13"/>
      <c r="C28" s="13"/>
      <c r="D28" s="14"/>
      <c r="E28" s="13"/>
      <c r="F28" s="13"/>
      <c r="G28" s="15"/>
      <c r="H28" s="16"/>
      <c r="I28" s="17"/>
    </row>
    <row r="29" spans="1:9" ht="15" x14ac:dyDescent="0.3">
      <c r="A29" s="28" t="s">
        <v>35</v>
      </c>
      <c r="B29" s="104"/>
      <c r="C29" s="104"/>
      <c r="D29" s="104"/>
      <c r="E29" s="104"/>
      <c r="F29" s="104"/>
      <c r="G29" s="104"/>
      <c r="H29" s="105"/>
      <c r="I29" s="104"/>
    </row>
    <row r="30" spans="1:9" ht="15" x14ac:dyDescent="0.3">
      <c r="A30" s="13"/>
      <c r="B30" s="13"/>
      <c r="C30" s="13"/>
      <c r="D30" s="13"/>
      <c r="E30" s="13"/>
      <c r="F30" s="14"/>
      <c r="G30" s="15"/>
      <c r="H30" s="19"/>
      <c r="I30" s="17"/>
    </row>
    <row r="31" spans="1:9" ht="15" x14ac:dyDescent="0.3">
      <c r="A31" s="29" t="s">
        <v>36</v>
      </c>
      <c r="B31" s="106"/>
      <c r="C31" s="106"/>
      <c r="D31" s="106"/>
      <c r="E31" s="106"/>
      <c r="F31" s="106"/>
      <c r="G31" s="106"/>
      <c r="H31" s="107"/>
      <c r="I31" s="106"/>
    </row>
    <row r="32" spans="1:9" ht="15" x14ac:dyDescent="0.3">
      <c r="A32" s="13"/>
      <c r="B32" s="13"/>
      <c r="C32" s="13"/>
      <c r="D32" s="13"/>
      <c r="E32" s="13"/>
      <c r="F32" s="14"/>
      <c r="G32" s="15"/>
      <c r="H32" s="19"/>
      <c r="I32" s="17"/>
    </row>
    <row r="33" spans="1:11" ht="15" x14ac:dyDescent="0.3">
      <c r="A33" s="30" t="s">
        <v>38</v>
      </c>
      <c r="B33" s="108"/>
      <c r="C33" s="108"/>
      <c r="D33" s="108"/>
      <c r="E33" s="108"/>
      <c r="F33" s="108"/>
      <c r="G33" s="108" t="s">
        <v>4</v>
      </c>
      <c r="H33" s="109"/>
      <c r="I33" s="108"/>
    </row>
    <row r="34" spans="1:11" ht="15" x14ac:dyDescent="0.3">
      <c r="A34" s="13"/>
      <c r="B34" s="13"/>
      <c r="C34" s="13"/>
      <c r="D34" s="13"/>
      <c r="E34" s="13"/>
      <c r="F34" s="14"/>
      <c r="G34" s="15"/>
      <c r="H34" s="19"/>
      <c r="I34" s="17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98" t="s">
        <v>37</v>
      </c>
      <c r="B36" s="99"/>
      <c r="C36" s="99"/>
      <c r="D36" s="99"/>
      <c r="E36" s="99"/>
      <c r="F36" s="99"/>
      <c r="G36" s="99"/>
      <c r="H36" s="100"/>
      <c r="I36" s="101"/>
    </row>
    <row r="37" spans="1:11" s="51" customFormat="1" ht="51.75" x14ac:dyDescent="0.35">
      <c r="A37" s="136" t="s">
        <v>70</v>
      </c>
      <c r="B37" s="121" t="s">
        <v>71</v>
      </c>
      <c r="C37" s="122" t="s">
        <v>21</v>
      </c>
      <c r="D37" s="123"/>
      <c r="E37" s="123"/>
      <c r="F37" s="122"/>
      <c r="G37" s="123" t="s">
        <v>27</v>
      </c>
      <c r="H37" s="121" t="s">
        <v>140</v>
      </c>
      <c r="I37" s="137" t="s">
        <v>129</v>
      </c>
      <c r="J37" s="52"/>
      <c r="K37" s="52"/>
    </row>
    <row r="38" spans="1:11" s="51" customFormat="1" ht="17.25" x14ac:dyDescent="0.35">
      <c r="A38" s="136" t="s">
        <v>77</v>
      </c>
      <c r="B38" s="121" t="s">
        <v>76</v>
      </c>
      <c r="C38" s="122" t="s">
        <v>73</v>
      </c>
      <c r="D38" s="123"/>
      <c r="E38" s="123"/>
      <c r="F38" s="122"/>
      <c r="G38" s="123" t="s">
        <v>27</v>
      </c>
      <c r="H38" s="121"/>
      <c r="I38" s="137">
        <v>65683</v>
      </c>
      <c r="J38" s="52"/>
      <c r="K38" s="52"/>
    </row>
    <row r="39" spans="1:11" s="50" customFormat="1" ht="17.25" x14ac:dyDescent="0.35">
      <c r="A39" s="136"/>
      <c r="B39" s="121"/>
      <c r="C39" s="122"/>
      <c r="D39" s="123" t="s">
        <v>20</v>
      </c>
      <c r="E39" s="123">
        <v>1</v>
      </c>
      <c r="F39" s="122">
        <v>2</v>
      </c>
      <c r="G39" s="123"/>
      <c r="H39" s="121"/>
      <c r="I39" s="137"/>
      <c r="J39" s="53"/>
      <c r="K39" s="53"/>
    </row>
    <row r="40" spans="1:11" s="49" customFormat="1" ht="17.25" x14ac:dyDescent="0.35">
      <c r="A40" s="138" t="s">
        <v>94</v>
      </c>
      <c r="B40" s="111" t="s">
        <v>95</v>
      </c>
      <c r="C40" s="112" t="s">
        <v>73</v>
      </c>
      <c r="D40" s="112"/>
      <c r="E40" s="111"/>
      <c r="F40" s="112"/>
      <c r="G40" s="112" t="s">
        <v>27</v>
      </c>
      <c r="H40" s="113"/>
      <c r="I40" s="139">
        <v>73671</v>
      </c>
    </row>
    <row r="41" spans="1:11" s="49" customFormat="1" ht="17.25" x14ac:dyDescent="0.35">
      <c r="A41" s="138"/>
      <c r="B41" s="111"/>
      <c r="C41" s="112"/>
      <c r="D41" s="112" t="s">
        <v>20</v>
      </c>
      <c r="E41" s="111">
        <v>1</v>
      </c>
      <c r="F41" s="112">
        <v>1</v>
      </c>
      <c r="G41" s="112"/>
      <c r="H41" s="113"/>
      <c r="I41" s="139"/>
    </row>
    <row r="42" spans="1:11" s="49" customFormat="1" ht="17.25" x14ac:dyDescent="0.35">
      <c r="A42" s="138" t="s">
        <v>84</v>
      </c>
      <c r="B42" s="111" t="s">
        <v>85</v>
      </c>
      <c r="C42" s="112" t="s">
        <v>73</v>
      </c>
      <c r="D42" s="112"/>
      <c r="E42" s="111"/>
      <c r="F42" s="112"/>
      <c r="G42" s="112" t="s">
        <v>27</v>
      </c>
      <c r="H42" s="113"/>
      <c r="I42" s="139">
        <v>70266</v>
      </c>
    </row>
    <row r="43" spans="1:11" s="49" customFormat="1" ht="17.25" x14ac:dyDescent="0.35">
      <c r="A43" s="138"/>
      <c r="B43" s="111"/>
      <c r="C43" s="112"/>
      <c r="D43" s="112" t="s">
        <v>20</v>
      </c>
      <c r="E43" s="111">
        <v>1</v>
      </c>
      <c r="F43" s="112">
        <v>1</v>
      </c>
      <c r="G43" s="112"/>
      <c r="H43" s="113"/>
      <c r="I43" s="139"/>
    </row>
    <row r="44" spans="1:11" s="49" customFormat="1" ht="17.25" x14ac:dyDescent="0.35">
      <c r="A44" s="138" t="s">
        <v>99</v>
      </c>
      <c r="B44" s="111" t="s">
        <v>98</v>
      </c>
      <c r="C44" s="112" t="s">
        <v>21</v>
      </c>
      <c r="D44" s="112"/>
      <c r="E44" s="111"/>
      <c r="F44" s="112"/>
      <c r="G44" s="112" t="s">
        <v>27</v>
      </c>
      <c r="H44" s="113" t="s">
        <v>130</v>
      </c>
      <c r="I44" s="139"/>
    </row>
    <row r="45" spans="1:11" s="49" customFormat="1" ht="17.25" x14ac:dyDescent="0.35">
      <c r="A45" s="138" t="s">
        <v>131</v>
      </c>
      <c r="B45" s="111" t="s">
        <v>132</v>
      </c>
      <c r="C45" s="112" t="s">
        <v>73</v>
      </c>
      <c r="D45" s="112"/>
      <c r="E45" s="111"/>
      <c r="F45" s="112"/>
      <c r="G45" s="112" t="s">
        <v>133</v>
      </c>
      <c r="H45" s="113"/>
      <c r="I45" s="139">
        <v>73502</v>
      </c>
    </row>
    <row r="46" spans="1:11" s="49" customFormat="1" ht="17.25" x14ac:dyDescent="0.35">
      <c r="A46" s="138"/>
      <c r="B46" s="111"/>
      <c r="C46" s="112"/>
      <c r="D46" s="112" t="s">
        <v>20</v>
      </c>
      <c r="E46" s="111">
        <v>1</v>
      </c>
      <c r="F46" s="112">
        <v>62</v>
      </c>
      <c r="G46" s="112"/>
      <c r="H46" s="113"/>
      <c r="I46" s="139"/>
    </row>
    <row r="47" spans="1:11" s="49" customFormat="1" ht="17.25" x14ac:dyDescent="0.35">
      <c r="A47" s="138" t="s">
        <v>96</v>
      </c>
      <c r="B47" s="111" t="s">
        <v>134</v>
      </c>
      <c r="C47" s="112" t="s">
        <v>73</v>
      </c>
      <c r="D47" s="112"/>
      <c r="E47" s="111"/>
      <c r="F47" s="112"/>
      <c r="G47" s="112" t="s">
        <v>27</v>
      </c>
      <c r="H47" s="113"/>
      <c r="I47" s="139">
        <v>70287</v>
      </c>
    </row>
    <row r="48" spans="1:11" s="49" customFormat="1" ht="17.25" x14ac:dyDescent="0.35">
      <c r="A48" s="138"/>
      <c r="B48" s="111"/>
      <c r="C48" s="112"/>
      <c r="D48" s="112" t="s">
        <v>20</v>
      </c>
      <c r="E48" s="111">
        <v>1</v>
      </c>
      <c r="F48" s="112">
        <v>1</v>
      </c>
      <c r="G48" s="112"/>
      <c r="H48" s="113"/>
      <c r="I48" s="139"/>
    </row>
    <row r="49" spans="1:9" ht="17.25" x14ac:dyDescent="0.35">
      <c r="A49" s="138" t="s">
        <v>135</v>
      </c>
      <c r="B49" s="111" t="s">
        <v>136</v>
      </c>
      <c r="C49" s="112" t="s">
        <v>73</v>
      </c>
      <c r="D49" s="112"/>
      <c r="E49" s="111"/>
      <c r="F49" s="112"/>
      <c r="G49" s="112" t="s">
        <v>27</v>
      </c>
      <c r="H49" s="113"/>
      <c r="I49" s="139">
        <v>70361</v>
      </c>
    </row>
    <row r="50" spans="1:9" ht="17.25" x14ac:dyDescent="0.35">
      <c r="A50" s="138"/>
      <c r="B50" s="111"/>
      <c r="C50" s="112"/>
      <c r="D50" s="112" t="s">
        <v>20</v>
      </c>
      <c r="E50" s="111">
        <v>1</v>
      </c>
      <c r="F50" s="112">
        <v>0</v>
      </c>
      <c r="G50" s="112"/>
      <c r="H50" s="113"/>
      <c r="I50" s="139"/>
    </row>
    <row r="51" spans="1:9" ht="17.25" x14ac:dyDescent="0.35">
      <c r="A51" s="138" t="s">
        <v>96</v>
      </c>
      <c r="B51" s="111" t="s">
        <v>97</v>
      </c>
      <c r="C51" s="112" t="s">
        <v>73</v>
      </c>
      <c r="D51" s="112"/>
      <c r="E51" s="111"/>
      <c r="F51" s="112"/>
      <c r="G51" s="112" t="s">
        <v>27</v>
      </c>
      <c r="H51" s="113"/>
      <c r="I51" s="139">
        <v>70287</v>
      </c>
    </row>
    <row r="52" spans="1:9" ht="17.25" x14ac:dyDescent="0.35">
      <c r="A52" s="138"/>
      <c r="B52" s="111"/>
      <c r="C52" s="112"/>
      <c r="D52" s="112" t="s">
        <v>20</v>
      </c>
      <c r="E52" s="111">
        <v>1</v>
      </c>
      <c r="F52" s="112">
        <v>1</v>
      </c>
      <c r="G52" s="112"/>
      <c r="H52" s="113"/>
      <c r="I52" s="139"/>
    </row>
    <row r="53" spans="1:9" ht="15" x14ac:dyDescent="0.3">
      <c r="A53" s="13"/>
      <c r="B53" s="13"/>
      <c r="C53" s="13"/>
      <c r="D53" s="13"/>
      <c r="E53" s="13"/>
      <c r="F53" s="14"/>
      <c r="G53" s="15"/>
      <c r="H53" s="19"/>
      <c r="I53" s="17"/>
    </row>
    <row r="55" spans="1:9" ht="13.5" thickBot="1" x14ac:dyDescent="0.25"/>
    <row r="56" spans="1:9" ht="19.5" x14ac:dyDescent="0.4">
      <c r="A56" s="160" t="s">
        <v>41</v>
      </c>
      <c r="B56" s="161"/>
      <c r="C56" s="161"/>
      <c r="D56" s="161"/>
      <c r="E56" s="161"/>
      <c r="F56" s="161"/>
      <c r="G56" s="161"/>
      <c r="H56" s="162"/>
    </row>
    <row r="57" spans="1:9" ht="17.25" x14ac:dyDescent="0.35">
      <c r="A57" s="140" t="s">
        <v>42</v>
      </c>
      <c r="B57" s="140"/>
      <c r="C57" s="140" t="s">
        <v>17</v>
      </c>
      <c r="D57" s="140" t="s">
        <v>43</v>
      </c>
      <c r="E57" s="140" t="s">
        <v>44</v>
      </c>
      <c r="F57" s="140" t="s">
        <v>45</v>
      </c>
      <c r="G57" s="140" t="s">
        <v>24</v>
      </c>
      <c r="H57" s="141"/>
    </row>
    <row r="58" spans="1:9" s="47" customFormat="1" ht="17.25" x14ac:dyDescent="0.35">
      <c r="A58" s="142" t="s">
        <v>138</v>
      </c>
      <c r="B58" s="142"/>
      <c r="C58" s="115" t="s">
        <v>46</v>
      </c>
      <c r="D58" s="115"/>
      <c r="E58" s="115"/>
      <c r="F58" s="115"/>
      <c r="G58" s="115" t="s">
        <v>47</v>
      </c>
      <c r="H58" s="143"/>
      <c r="I58"/>
    </row>
    <row r="59" spans="1:9" ht="17.25" x14ac:dyDescent="0.35">
      <c r="A59" s="140" t="s">
        <v>48</v>
      </c>
      <c r="B59" s="140"/>
      <c r="C59" s="35"/>
      <c r="D59" s="35" t="s">
        <v>20</v>
      </c>
      <c r="E59" s="35">
        <v>1</v>
      </c>
      <c r="F59" s="35">
        <v>0</v>
      </c>
      <c r="G59" s="35"/>
      <c r="H59" s="141"/>
    </row>
    <row r="60" spans="1:9" ht="17.25" x14ac:dyDescent="0.35">
      <c r="A60" s="140" t="s">
        <v>49</v>
      </c>
      <c r="B60" s="140"/>
      <c r="C60" s="35"/>
      <c r="D60" s="35" t="s">
        <v>20</v>
      </c>
      <c r="E60" s="35">
        <v>2</v>
      </c>
      <c r="F60" s="35">
        <v>2</v>
      </c>
      <c r="G60" s="35"/>
      <c r="H60" s="141"/>
    </row>
    <row r="61" spans="1:9" ht="17.25" x14ac:dyDescent="0.35">
      <c r="A61" s="140" t="s">
        <v>50</v>
      </c>
      <c r="B61" s="140"/>
      <c r="C61" s="35"/>
      <c r="D61" s="35" t="s">
        <v>20</v>
      </c>
      <c r="E61" s="35">
        <v>2</v>
      </c>
      <c r="F61" s="35" t="s">
        <v>51</v>
      </c>
      <c r="G61" s="35"/>
      <c r="H61" s="141"/>
    </row>
    <row r="62" spans="1:9" ht="17.25" x14ac:dyDescent="0.35">
      <c r="A62" s="140" t="s">
        <v>52</v>
      </c>
      <c r="B62" s="140"/>
      <c r="C62" s="35"/>
      <c r="D62" s="35" t="s">
        <v>20</v>
      </c>
      <c r="E62" s="35">
        <v>1</v>
      </c>
      <c r="F62" s="35" t="s">
        <v>53</v>
      </c>
      <c r="G62" s="35"/>
      <c r="H62" s="141"/>
    </row>
    <row r="63" spans="1:9" ht="17.25" x14ac:dyDescent="0.35">
      <c r="A63" s="140" t="s">
        <v>54</v>
      </c>
      <c r="B63" s="140"/>
      <c r="C63" s="35"/>
      <c r="D63" s="35" t="s">
        <v>20</v>
      </c>
      <c r="E63" s="35">
        <v>2</v>
      </c>
      <c r="F63" s="35">
        <v>4</v>
      </c>
      <c r="G63" s="35"/>
      <c r="H63" s="141"/>
    </row>
    <row r="64" spans="1:9" ht="17.25" x14ac:dyDescent="0.35">
      <c r="A64" s="144" t="s">
        <v>55</v>
      </c>
      <c r="B64" s="144"/>
      <c r="C64" s="45"/>
      <c r="D64" s="45" t="s">
        <v>20</v>
      </c>
      <c r="E64" s="45">
        <v>4</v>
      </c>
      <c r="F64" s="45" t="s">
        <v>170</v>
      </c>
      <c r="G64" s="45"/>
      <c r="H64" s="145"/>
      <c r="I64" s="47"/>
    </row>
    <row r="65" spans="1:8" ht="17.25" x14ac:dyDescent="0.35">
      <c r="A65" s="140" t="s">
        <v>59</v>
      </c>
      <c r="B65" s="140"/>
      <c r="C65" s="35"/>
      <c r="D65" s="35" t="s">
        <v>20</v>
      </c>
      <c r="E65" s="35">
        <v>1</v>
      </c>
      <c r="F65" s="35" t="s">
        <v>56</v>
      </c>
      <c r="G65" s="35"/>
      <c r="H65" s="141"/>
    </row>
    <row r="66" spans="1:8" ht="17.25" x14ac:dyDescent="0.35">
      <c r="A66" s="140" t="s">
        <v>60</v>
      </c>
      <c r="B66" s="140"/>
      <c r="C66" s="35"/>
      <c r="D66" s="35" t="s">
        <v>20</v>
      </c>
      <c r="E66" s="35">
        <v>2</v>
      </c>
      <c r="F66" s="35">
        <f>LEN(F67)</f>
        <v>28</v>
      </c>
      <c r="G66" s="35"/>
      <c r="H66" s="141"/>
    </row>
    <row r="67" spans="1:8" ht="17.25" x14ac:dyDescent="0.35">
      <c r="A67" s="142" t="s">
        <v>61</v>
      </c>
      <c r="B67" s="142"/>
      <c r="C67" s="115"/>
      <c r="D67" s="115" t="s">
        <v>57</v>
      </c>
      <c r="E67" s="115">
        <f>F66</f>
        <v>28</v>
      </c>
      <c r="F67" s="115" t="s">
        <v>139</v>
      </c>
      <c r="G67" s="115"/>
      <c r="H67" s="143" t="s">
        <v>58</v>
      </c>
    </row>
    <row r="68" spans="1:8" ht="17.25" x14ac:dyDescent="0.35">
      <c r="A68" s="140" t="s">
        <v>90</v>
      </c>
      <c r="B68" s="140"/>
      <c r="C68" s="35"/>
      <c r="D68" s="35" t="s">
        <v>20</v>
      </c>
      <c r="E68" s="35">
        <v>1</v>
      </c>
      <c r="F68" s="35" t="s">
        <v>91</v>
      </c>
      <c r="G68" s="35"/>
      <c r="H68" s="141"/>
    </row>
    <row r="69" spans="1:8" ht="17.25" x14ac:dyDescent="0.35">
      <c r="A69" s="140" t="s">
        <v>92</v>
      </c>
      <c r="B69" s="140"/>
      <c r="C69" s="35"/>
      <c r="D69" s="35" t="s">
        <v>20</v>
      </c>
      <c r="E69" s="35">
        <v>2</v>
      </c>
      <c r="F69" s="35">
        <v>4</v>
      </c>
      <c r="G69" s="35"/>
      <c r="H69" s="141"/>
    </row>
    <row r="70" spans="1:8" ht="17.25" x14ac:dyDescent="0.35">
      <c r="A70" s="144" t="s">
        <v>93</v>
      </c>
      <c r="B70" s="144"/>
      <c r="C70" s="45"/>
      <c r="D70" s="45" t="s">
        <v>20</v>
      </c>
      <c r="E70" s="45">
        <v>4</v>
      </c>
      <c r="F70" s="45" t="str">
        <f>F64</f>
        <v>0x05023026</v>
      </c>
      <c r="G70" s="45"/>
      <c r="H70" s="145"/>
    </row>
    <row r="71" spans="1:8" ht="17.25" x14ac:dyDescent="0.35">
      <c r="A71" s="146" t="s">
        <v>161</v>
      </c>
      <c r="B71" s="146"/>
      <c r="C71" s="147"/>
      <c r="D71" s="148" t="s">
        <v>20</v>
      </c>
      <c r="E71" s="148">
        <v>1</v>
      </c>
      <c r="F71" s="149" t="s">
        <v>162</v>
      </c>
      <c r="G71" s="148"/>
      <c r="H71" s="150"/>
    </row>
    <row r="72" spans="1:8" ht="17.25" x14ac:dyDescent="0.35">
      <c r="A72" s="146" t="s">
        <v>163</v>
      </c>
      <c r="B72" s="146"/>
      <c r="C72" s="147"/>
      <c r="D72" s="148" t="s">
        <v>20</v>
      </c>
      <c r="E72" s="148">
        <v>2</v>
      </c>
      <c r="F72" s="151">
        <v>4</v>
      </c>
      <c r="G72" s="148"/>
      <c r="H72" s="150"/>
    </row>
    <row r="73" spans="1:8" ht="138" x14ac:dyDescent="0.35">
      <c r="A73" s="146" t="s">
        <v>164</v>
      </c>
      <c r="B73" s="146"/>
      <c r="C73" s="147"/>
      <c r="D73" s="148" t="s">
        <v>20</v>
      </c>
      <c r="E73" s="148">
        <v>4</v>
      </c>
      <c r="F73" s="148" t="s">
        <v>167</v>
      </c>
      <c r="G73" s="148"/>
      <c r="H73" s="150" t="s">
        <v>166</v>
      </c>
    </row>
  </sheetData>
  <mergeCells count="3">
    <mergeCell ref="A2:I2"/>
    <mergeCell ref="A4:H4"/>
    <mergeCell ref="A56:H56"/>
  </mergeCells>
  <conditionalFormatting sqref="B7:B8">
    <cfRule type="duplicateValues" dxfId="3" priority="2"/>
  </conditionalFormatting>
  <conditionalFormatting sqref="B6">
    <cfRule type="duplicateValues" dxfId="2" priority="1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70"/>
  <sheetViews>
    <sheetView topLeftCell="A46" zoomScaleNormal="100" workbookViewId="0">
      <selection activeCell="B1" sqref="B1"/>
    </sheetView>
  </sheetViews>
  <sheetFormatPr defaultRowHeight="12.75" x14ac:dyDescent="0.2"/>
  <cols>
    <col min="1" max="1" width="41.85546875" bestFit="1" customWidth="1"/>
    <col min="2" max="2" width="56.7109375" bestFit="1" customWidth="1"/>
    <col min="3" max="3" width="13.7109375" bestFit="1" customWidth="1"/>
    <col min="4" max="4" width="13.85546875" bestFit="1" customWidth="1"/>
    <col min="5" max="5" width="14.42578125" bestFit="1" customWidth="1"/>
    <col min="6" max="6" width="26" bestFit="1" customWidth="1"/>
    <col min="7" max="7" width="10.42578125" bestFit="1" customWidth="1"/>
    <col min="8" max="8" width="70.5703125" style="10" customWidth="1"/>
    <col min="9" max="9" width="35.42578125" bestFit="1" customWidth="1"/>
    <col min="12" max="12" width="22.7109375" bestFit="1" customWidth="1"/>
  </cols>
  <sheetData>
    <row r="1" spans="1:9" x14ac:dyDescent="0.2">
      <c r="A1" s="96"/>
      <c r="B1" s="96"/>
      <c r="C1" s="96"/>
      <c r="D1" s="96"/>
      <c r="E1" s="96"/>
      <c r="F1" s="96"/>
      <c r="G1" s="96"/>
      <c r="H1" s="97"/>
      <c r="I1" s="96"/>
    </row>
    <row r="2" spans="1:9" s="7" customFormat="1" ht="45" customHeight="1" x14ac:dyDescent="0.55000000000000004">
      <c r="A2" s="153" t="s">
        <v>137</v>
      </c>
      <c r="B2" s="153"/>
      <c r="C2" s="153"/>
      <c r="D2" s="153"/>
      <c r="E2" s="153"/>
      <c r="F2" s="153"/>
      <c r="G2" s="153"/>
      <c r="H2" s="153"/>
      <c r="I2" s="153"/>
    </row>
    <row r="3" spans="1:9" ht="13.5" thickBot="1" x14ac:dyDescent="0.25">
      <c r="A3" s="128"/>
      <c r="B3" s="96"/>
      <c r="C3" s="96"/>
      <c r="D3" s="96"/>
      <c r="E3" s="96"/>
      <c r="F3" s="96"/>
      <c r="G3" s="96"/>
      <c r="H3" s="97"/>
      <c r="I3" s="96"/>
    </row>
    <row r="4" spans="1:9" s="8" customFormat="1" ht="20.25" thickBot="1" x14ac:dyDescent="0.45">
      <c r="A4" s="154" t="s">
        <v>64</v>
      </c>
      <c r="B4" s="155"/>
      <c r="C4" s="155"/>
      <c r="D4" s="155"/>
      <c r="E4" s="155"/>
      <c r="F4" s="155"/>
      <c r="G4" s="155"/>
      <c r="H4" s="156"/>
      <c r="I4" s="129"/>
    </row>
    <row r="5" spans="1:9" s="37" customFormat="1" ht="15.75" thickBot="1" x14ac:dyDescent="0.35">
      <c r="A5" s="91" t="s">
        <v>6</v>
      </c>
      <c r="B5" s="92" t="s">
        <v>5</v>
      </c>
      <c r="C5" s="91" t="s">
        <v>17</v>
      </c>
      <c r="D5" s="91" t="s">
        <v>18</v>
      </c>
      <c r="E5" s="91" t="s">
        <v>7</v>
      </c>
      <c r="F5" s="91" t="s">
        <v>19</v>
      </c>
      <c r="G5" s="130" t="s">
        <v>24</v>
      </c>
      <c r="H5" s="94" t="s">
        <v>8</v>
      </c>
      <c r="I5" s="42"/>
    </row>
    <row r="6" spans="1:9" s="48" customFormat="1" ht="17.25" x14ac:dyDescent="0.35">
      <c r="A6" s="131" t="s">
        <v>123</v>
      </c>
      <c r="B6" s="77">
        <v>3446</v>
      </c>
      <c r="C6" s="78"/>
      <c r="D6" s="79"/>
      <c r="E6" s="131" t="s">
        <v>124</v>
      </c>
      <c r="F6" s="78"/>
      <c r="G6" s="132" t="s">
        <v>27</v>
      </c>
      <c r="H6" s="133" t="s">
        <v>4</v>
      </c>
      <c r="I6" s="79"/>
    </row>
    <row r="7" spans="1:9" s="48" customFormat="1" ht="17.25" x14ac:dyDescent="0.35">
      <c r="A7" s="131"/>
      <c r="B7" s="77"/>
      <c r="C7" s="78" t="s">
        <v>20</v>
      </c>
      <c r="D7" s="79">
        <v>2</v>
      </c>
      <c r="E7" s="131" t="s">
        <v>125</v>
      </c>
      <c r="F7" s="78">
        <v>2</v>
      </c>
      <c r="G7" s="132"/>
      <c r="H7" s="133"/>
      <c r="I7" s="79"/>
    </row>
    <row r="8" spans="1:9" s="48" customFormat="1" ht="17.25" x14ac:dyDescent="0.35">
      <c r="A8" s="131"/>
      <c r="B8" s="77"/>
      <c r="C8" s="78" t="s">
        <v>20</v>
      </c>
      <c r="D8" s="79">
        <v>4</v>
      </c>
      <c r="E8" s="131" t="s">
        <v>126</v>
      </c>
      <c r="F8" s="78">
        <v>0</v>
      </c>
      <c r="G8" s="132"/>
      <c r="H8" s="133"/>
      <c r="I8" s="79"/>
    </row>
    <row r="9" spans="1:9" s="2" customFormat="1" ht="17.25" x14ac:dyDescent="0.35">
      <c r="A9" s="134" t="s">
        <v>74</v>
      </c>
      <c r="B9" s="77">
        <v>4398</v>
      </c>
      <c r="C9" s="78" t="s">
        <v>20</v>
      </c>
      <c r="D9" s="79">
        <v>1</v>
      </c>
      <c r="E9" s="134" t="s">
        <v>75</v>
      </c>
      <c r="F9" s="78">
        <v>0</v>
      </c>
      <c r="G9" s="80" t="s">
        <v>27</v>
      </c>
      <c r="H9" s="135"/>
      <c r="I9" s="79"/>
    </row>
    <row r="10" spans="1:9" s="2" customFormat="1" ht="17.25" x14ac:dyDescent="0.35">
      <c r="A10" s="134" t="s">
        <v>78</v>
      </c>
      <c r="B10" s="77">
        <v>6876</v>
      </c>
      <c r="C10" s="78"/>
      <c r="D10" s="79"/>
      <c r="E10" s="134"/>
      <c r="F10" s="78"/>
      <c r="G10" s="80" t="s">
        <v>27</v>
      </c>
      <c r="H10" s="135"/>
      <c r="I10" s="79"/>
    </row>
    <row r="11" spans="1:9" s="2" customFormat="1" ht="17.25" x14ac:dyDescent="0.35">
      <c r="A11" s="134"/>
      <c r="B11" s="77"/>
      <c r="C11" s="78" t="s">
        <v>20</v>
      </c>
      <c r="D11" s="79">
        <v>1</v>
      </c>
      <c r="E11" s="134" t="s">
        <v>79</v>
      </c>
      <c r="F11" s="78">
        <v>0</v>
      </c>
      <c r="G11" s="80"/>
      <c r="H11" s="135"/>
      <c r="I11" s="79"/>
    </row>
    <row r="12" spans="1:9" s="2" customFormat="1" ht="17.25" x14ac:dyDescent="0.35">
      <c r="A12" s="134"/>
      <c r="B12" s="77"/>
      <c r="C12" s="78" t="s">
        <v>20</v>
      </c>
      <c r="D12" s="79">
        <v>1</v>
      </c>
      <c r="E12" s="134" t="s">
        <v>80</v>
      </c>
      <c r="F12" s="78">
        <v>0</v>
      </c>
      <c r="G12" s="80"/>
      <c r="H12" s="135"/>
      <c r="I12" s="79"/>
    </row>
    <row r="13" spans="1:9" s="2" customFormat="1" ht="17.25" x14ac:dyDescent="0.35">
      <c r="A13" s="134"/>
      <c r="B13" s="77"/>
      <c r="C13" s="78" t="s">
        <v>20</v>
      </c>
      <c r="D13" s="79">
        <v>1</v>
      </c>
      <c r="E13" s="134" t="s">
        <v>81</v>
      </c>
      <c r="F13" s="78">
        <v>0</v>
      </c>
      <c r="G13" s="80"/>
      <c r="H13" s="135"/>
      <c r="I13" s="79"/>
    </row>
    <row r="14" spans="1:9" s="2" customFormat="1" ht="17.25" x14ac:dyDescent="0.35">
      <c r="A14" s="134"/>
      <c r="B14" s="77"/>
      <c r="C14" s="78" t="s">
        <v>20</v>
      </c>
      <c r="D14" s="79">
        <v>1</v>
      </c>
      <c r="E14" s="134" t="s">
        <v>82</v>
      </c>
      <c r="F14" s="78">
        <v>0</v>
      </c>
      <c r="G14" s="80"/>
      <c r="H14" s="135"/>
      <c r="I14" s="79"/>
    </row>
    <row r="15" spans="1:9" s="2" customFormat="1" ht="17.25" x14ac:dyDescent="0.35">
      <c r="A15" s="134"/>
      <c r="B15" s="77"/>
      <c r="C15" s="78" t="s">
        <v>20</v>
      </c>
      <c r="D15" s="79">
        <v>1</v>
      </c>
      <c r="E15" s="134" t="s">
        <v>83</v>
      </c>
      <c r="F15" s="78">
        <v>5</v>
      </c>
      <c r="G15" s="80"/>
      <c r="H15" s="135"/>
      <c r="I15" s="79"/>
    </row>
    <row r="16" spans="1:9" s="2" customFormat="1" ht="17.25" x14ac:dyDescent="0.35">
      <c r="A16" s="134" t="s">
        <v>127</v>
      </c>
      <c r="B16" s="77">
        <v>6907</v>
      </c>
      <c r="C16" s="78" t="s">
        <v>20</v>
      </c>
      <c r="D16" s="79">
        <v>1</v>
      </c>
      <c r="E16" s="134" t="s">
        <v>128</v>
      </c>
      <c r="F16" s="78">
        <v>1</v>
      </c>
      <c r="G16" s="80" t="s">
        <v>27</v>
      </c>
      <c r="H16" s="135"/>
      <c r="I16" s="79"/>
    </row>
    <row r="17" spans="1:9" s="2" customFormat="1" ht="17.25" x14ac:dyDescent="0.35">
      <c r="A17" s="134"/>
      <c r="B17" s="77"/>
      <c r="C17" s="78"/>
      <c r="D17" s="79"/>
      <c r="E17" s="134"/>
      <c r="F17" s="78"/>
      <c r="G17" s="80"/>
      <c r="H17" s="135"/>
      <c r="I17" s="79"/>
    </row>
    <row r="18" spans="1:9" s="2" customFormat="1" ht="17.25" x14ac:dyDescent="0.35">
      <c r="A18" s="134"/>
      <c r="B18" s="77"/>
      <c r="C18" s="78"/>
      <c r="D18" s="79"/>
      <c r="E18" s="134"/>
      <c r="F18" s="78"/>
      <c r="G18" s="80"/>
      <c r="H18" s="135"/>
      <c r="I18" s="79"/>
    </row>
    <row r="19" spans="1:9" s="2" customFormat="1" ht="15.75" thickBot="1" x14ac:dyDescent="0.35">
      <c r="A19" s="82"/>
      <c r="B19" s="32"/>
      <c r="C19" s="82"/>
      <c r="D19" s="82"/>
      <c r="E19" s="82"/>
      <c r="F19" s="82"/>
      <c r="G19" s="83"/>
      <c r="H19" s="84"/>
      <c r="I19" s="79"/>
    </row>
    <row r="20" spans="1:9" s="2" customFormat="1" ht="15.75" thickBot="1" x14ac:dyDescent="0.35">
      <c r="A20" s="85"/>
      <c r="B20" s="85"/>
      <c r="C20" s="85"/>
      <c r="D20" s="85"/>
      <c r="E20" s="85"/>
      <c r="F20" s="85"/>
      <c r="G20" s="85"/>
      <c r="H20" s="86"/>
      <c r="I20" s="87"/>
    </row>
    <row r="21" spans="1:9" s="8" customFormat="1" ht="20.25" thickBot="1" x14ac:dyDescent="0.45">
      <c r="A21" s="88" t="s">
        <v>23</v>
      </c>
      <c r="B21" s="89"/>
      <c r="C21" s="89"/>
      <c r="D21" s="89"/>
      <c r="E21" s="89"/>
      <c r="F21" s="89"/>
      <c r="G21" s="89"/>
      <c r="H21" s="89"/>
      <c r="I21" s="90"/>
    </row>
    <row r="22" spans="1:9" ht="15.75" thickBot="1" x14ac:dyDescent="0.35">
      <c r="A22" s="91" t="s">
        <v>9</v>
      </c>
      <c r="B22" s="91" t="s">
        <v>10</v>
      </c>
      <c r="C22" s="91" t="s">
        <v>17</v>
      </c>
      <c r="D22" s="92" t="s">
        <v>26</v>
      </c>
      <c r="E22" s="91" t="s">
        <v>25</v>
      </c>
      <c r="F22" s="91" t="s">
        <v>19</v>
      </c>
      <c r="G22" s="93" t="s">
        <v>24</v>
      </c>
      <c r="H22" s="94" t="s">
        <v>28</v>
      </c>
      <c r="I22" s="95" t="s">
        <v>11</v>
      </c>
    </row>
    <row r="23" spans="1:9" x14ac:dyDescent="0.2">
      <c r="A23" s="96"/>
      <c r="B23" s="96"/>
      <c r="C23" s="96"/>
      <c r="D23" s="96"/>
      <c r="E23" s="96"/>
      <c r="F23" s="96"/>
      <c r="G23" s="96"/>
      <c r="H23" s="97"/>
      <c r="I23" s="96"/>
    </row>
    <row r="24" spans="1:9" s="27" customFormat="1" ht="15" x14ac:dyDescent="0.3">
      <c r="A24" s="98" t="s">
        <v>32</v>
      </c>
      <c r="B24" s="99"/>
      <c r="C24" s="99"/>
      <c r="D24" s="99"/>
      <c r="E24" s="99"/>
      <c r="F24" s="99"/>
      <c r="G24" s="99"/>
      <c r="H24" s="100"/>
      <c r="I24" s="101"/>
    </row>
    <row r="25" spans="1:9" s="18" customFormat="1" ht="15" x14ac:dyDescent="0.3">
      <c r="A25" s="13"/>
      <c r="B25" s="13"/>
      <c r="C25" s="13"/>
      <c r="D25" s="14"/>
      <c r="E25" s="13"/>
      <c r="F25" s="13"/>
      <c r="G25" s="15"/>
      <c r="H25" s="16"/>
      <c r="I25" s="17"/>
    </row>
    <row r="26" spans="1:9" s="20" customFormat="1" ht="15" x14ac:dyDescent="0.3">
      <c r="A26" s="21" t="s">
        <v>33</v>
      </c>
      <c r="B26" s="21"/>
      <c r="C26" s="21"/>
      <c r="D26" s="22"/>
      <c r="E26" s="21"/>
      <c r="F26" s="21"/>
      <c r="G26" s="23"/>
      <c r="H26" s="24"/>
      <c r="I26" s="25"/>
    </row>
    <row r="27" spans="1:9" s="18" customFormat="1" ht="15" x14ac:dyDescent="0.3">
      <c r="A27" s="13"/>
      <c r="B27" s="13"/>
      <c r="C27" s="13"/>
      <c r="D27" s="14"/>
      <c r="E27" s="13"/>
      <c r="F27" s="13"/>
      <c r="G27" s="15"/>
      <c r="H27" s="16"/>
      <c r="I27" s="17"/>
    </row>
    <row r="28" spans="1:9" s="27" customFormat="1" ht="15" x14ac:dyDescent="0.3">
      <c r="A28" s="26" t="s">
        <v>34</v>
      </c>
      <c r="B28" s="102"/>
      <c r="C28" s="102"/>
      <c r="D28" s="102"/>
      <c r="E28" s="102"/>
      <c r="F28" s="102"/>
      <c r="G28" s="102" t="s">
        <v>4</v>
      </c>
      <c r="H28" s="103"/>
      <c r="I28" s="102"/>
    </row>
    <row r="29" spans="1:9" s="18" customFormat="1" ht="15" x14ac:dyDescent="0.3">
      <c r="A29" s="13"/>
      <c r="B29" s="13"/>
      <c r="C29" s="13"/>
      <c r="D29" s="14"/>
      <c r="E29" s="13"/>
      <c r="F29" s="13"/>
      <c r="G29" s="15"/>
      <c r="H29" s="16"/>
      <c r="I29" s="17"/>
    </row>
    <row r="30" spans="1:9" ht="15" x14ac:dyDescent="0.3">
      <c r="A30" s="28" t="s">
        <v>35</v>
      </c>
      <c r="B30" s="104"/>
      <c r="C30" s="104"/>
      <c r="D30" s="104"/>
      <c r="E30" s="104"/>
      <c r="F30" s="104"/>
      <c r="G30" s="104"/>
      <c r="H30" s="105"/>
      <c r="I30" s="104"/>
    </row>
    <row r="31" spans="1:9" ht="15" x14ac:dyDescent="0.3">
      <c r="A31" s="13"/>
      <c r="B31" s="13"/>
      <c r="C31" s="13"/>
      <c r="D31" s="13"/>
      <c r="E31" s="13"/>
      <c r="F31" s="14"/>
      <c r="G31" s="15"/>
      <c r="H31" s="19"/>
      <c r="I31" s="17"/>
    </row>
    <row r="32" spans="1:9" ht="15" x14ac:dyDescent="0.3">
      <c r="A32" s="29" t="s">
        <v>36</v>
      </c>
      <c r="B32" s="106"/>
      <c r="C32" s="106"/>
      <c r="D32" s="106"/>
      <c r="E32" s="106"/>
      <c r="F32" s="106"/>
      <c r="G32" s="106"/>
      <c r="H32" s="107"/>
      <c r="I32" s="106"/>
    </row>
    <row r="33" spans="1:11" ht="15" x14ac:dyDescent="0.3">
      <c r="A33" s="13"/>
      <c r="B33" s="13"/>
      <c r="C33" s="13"/>
      <c r="D33" s="13"/>
      <c r="E33" s="13"/>
      <c r="F33" s="14"/>
      <c r="G33" s="15"/>
      <c r="H33" s="19"/>
      <c r="I33" s="17"/>
    </row>
    <row r="34" spans="1:11" ht="15" x14ac:dyDescent="0.3">
      <c r="A34" s="30" t="s">
        <v>38</v>
      </c>
      <c r="B34" s="108"/>
      <c r="C34" s="108"/>
      <c r="D34" s="108"/>
      <c r="E34" s="108"/>
      <c r="F34" s="108"/>
      <c r="G34" s="108" t="s">
        <v>4</v>
      </c>
      <c r="H34" s="109"/>
      <c r="I34" s="108"/>
    </row>
    <row r="35" spans="1:11" ht="15" x14ac:dyDescent="0.3">
      <c r="A35" s="13"/>
      <c r="B35" s="13"/>
      <c r="C35" s="13"/>
      <c r="D35" s="13"/>
      <c r="E35" s="13"/>
      <c r="F35" s="14"/>
      <c r="G35" s="15" t="s">
        <v>4</v>
      </c>
      <c r="H35" s="19"/>
      <c r="I35" s="17"/>
    </row>
    <row r="36" spans="1:11" ht="15" x14ac:dyDescent="0.3">
      <c r="A36" s="98" t="s">
        <v>37</v>
      </c>
      <c r="B36" s="99"/>
      <c r="C36" s="99"/>
      <c r="D36" s="99"/>
      <c r="E36" s="99"/>
      <c r="F36" s="99"/>
      <c r="G36" s="99"/>
      <c r="H36" s="100"/>
      <c r="I36" s="101"/>
    </row>
    <row r="37" spans="1:11" s="51" customFormat="1" ht="51.75" x14ac:dyDescent="0.35">
      <c r="A37" s="136" t="s">
        <v>70</v>
      </c>
      <c r="B37" s="121" t="s">
        <v>71</v>
      </c>
      <c r="C37" s="122" t="s">
        <v>21</v>
      </c>
      <c r="D37" s="123"/>
      <c r="E37" s="123"/>
      <c r="F37" s="122"/>
      <c r="G37" s="123" t="s">
        <v>27</v>
      </c>
      <c r="H37" s="121" t="s">
        <v>140</v>
      </c>
      <c r="I37" s="137" t="s">
        <v>129</v>
      </c>
      <c r="J37" s="52"/>
      <c r="K37" s="52"/>
    </row>
    <row r="38" spans="1:11" s="51" customFormat="1" ht="17.25" x14ac:dyDescent="0.35">
      <c r="A38" s="136" t="s">
        <v>77</v>
      </c>
      <c r="B38" s="121" t="s">
        <v>76</v>
      </c>
      <c r="C38" s="122" t="s">
        <v>73</v>
      </c>
      <c r="D38" s="123"/>
      <c r="E38" s="123"/>
      <c r="F38" s="122"/>
      <c r="G38" s="123" t="s">
        <v>27</v>
      </c>
      <c r="H38" s="121"/>
      <c r="I38" s="137">
        <v>65683</v>
      </c>
      <c r="J38" s="52"/>
      <c r="K38" s="52"/>
    </row>
    <row r="39" spans="1:11" s="51" customFormat="1" ht="17.25" x14ac:dyDescent="0.35">
      <c r="A39" s="136"/>
      <c r="B39" s="121"/>
      <c r="C39" s="122"/>
      <c r="D39" s="123" t="s">
        <v>20</v>
      </c>
      <c r="E39" s="123">
        <v>1</v>
      </c>
      <c r="F39" s="122">
        <v>2</v>
      </c>
      <c r="G39" s="123"/>
      <c r="H39" s="121"/>
      <c r="I39" s="137"/>
      <c r="J39" s="52"/>
      <c r="K39" s="52"/>
    </row>
    <row r="40" spans="1:11" s="49" customFormat="1" ht="17.25" x14ac:dyDescent="0.35">
      <c r="A40" s="138" t="s">
        <v>96</v>
      </c>
      <c r="B40" s="111" t="s">
        <v>134</v>
      </c>
      <c r="C40" s="112" t="s">
        <v>73</v>
      </c>
      <c r="D40" s="112"/>
      <c r="E40" s="111"/>
      <c r="F40" s="112"/>
      <c r="G40" s="112" t="s">
        <v>27</v>
      </c>
      <c r="H40" s="113"/>
      <c r="I40" s="139">
        <v>70287</v>
      </c>
    </row>
    <row r="41" spans="1:11" s="49" customFormat="1" ht="17.25" x14ac:dyDescent="0.35">
      <c r="A41" s="138"/>
      <c r="B41" s="111"/>
      <c r="C41" s="112"/>
      <c r="D41" s="112" t="s">
        <v>20</v>
      </c>
      <c r="E41" s="111">
        <v>1</v>
      </c>
      <c r="F41" s="112">
        <v>1</v>
      </c>
      <c r="G41" s="112"/>
      <c r="H41" s="113"/>
      <c r="I41" s="139"/>
    </row>
    <row r="42" spans="1:11" s="49" customFormat="1" ht="17.25" x14ac:dyDescent="0.35">
      <c r="A42" s="138" t="s">
        <v>96</v>
      </c>
      <c r="B42" s="111" t="s">
        <v>97</v>
      </c>
      <c r="C42" s="112" t="s">
        <v>73</v>
      </c>
      <c r="D42" s="112"/>
      <c r="E42" s="111"/>
      <c r="F42" s="112"/>
      <c r="G42" s="112" t="s">
        <v>27</v>
      </c>
      <c r="H42" s="113"/>
      <c r="I42" s="139">
        <v>70287</v>
      </c>
    </row>
    <row r="43" spans="1:11" ht="17.25" x14ac:dyDescent="0.35">
      <c r="A43" s="138"/>
      <c r="B43" s="111"/>
      <c r="C43" s="112"/>
      <c r="D43" s="112" t="s">
        <v>20</v>
      </c>
      <c r="E43" s="111">
        <v>1</v>
      </c>
      <c r="F43" s="112">
        <v>1</v>
      </c>
      <c r="G43" s="112"/>
      <c r="H43" s="113"/>
      <c r="I43" s="139"/>
    </row>
    <row r="44" spans="1:11" ht="17.25" x14ac:dyDescent="0.35">
      <c r="A44" s="138" t="s">
        <v>131</v>
      </c>
      <c r="B44" s="111" t="s">
        <v>132</v>
      </c>
      <c r="C44" s="112" t="s">
        <v>73</v>
      </c>
      <c r="D44" s="112"/>
      <c r="E44" s="111"/>
      <c r="F44" s="112"/>
      <c r="G44" s="112" t="s">
        <v>133</v>
      </c>
      <c r="H44" s="113"/>
      <c r="I44" s="139">
        <v>73502</v>
      </c>
    </row>
    <row r="45" spans="1:11" ht="17.25" x14ac:dyDescent="0.35">
      <c r="A45" s="138"/>
      <c r="B45" s="111"/>
      <c r="C45" s="112"/>
      <c r="D45" s="112" t="s">
        <v>20</v>
      </c>
      <c r="E45" s="111">
        <v>1</v>
      </c>
      <c r="F45" s="112">
        <v>62</v>
      </c>
      <c r="G45" s="112"/>
      <c r="H45" s="113"/>
      <c r="I45" s="139"/>
    </row>
    <row r="46" spans="1:11" s="49" customFormat="1" ht="17.25" x14ac:dyDescent="0.35">
      <c r="A46" s="138" t="s">
        <v>84</v>
      </c>
      <c r="B46" s="111" t="s">
        <v>85</v>
      </c>
      <c r="C46" s="112" t="s">
        <v>73</v>
      </c>
      <c r="D46" s="112"/>
      <c r="E46" s="111"/>
      <c r="F46" s="112"/>
      <c r="G46" s="112" t="s">
        <v>27</v>
      </c>
      <c r="H46" s="113"/>
      <c r="I46" s="139">
        <v>70266</v>
      </c>
    </row>
    <row r="47" spans="1:11" s="49" customFormat="1" ht="17.25" x14ac:dyDescent="0.35">
      <c r="A47" s="138"/>
      <c r="B47" s="111"/>
      <c r="C47" s="112"/>
      <c r="D47" s="112" t="s">
        <v>20</v>
      </c>
      <c r="E47" s="111">
        <v>1</v>
      </c>
      <c r="F47" s="112">
        <v>1</v>
      </c>
      <c r="G47" s="112"/>
      <c r="H47" s="113"/>
      <c r="I47" s="139"/>
    </row>
    <row r="48" spans="1:11" ht="17.25" x14ac:dyDescent="0.35">
      <c r="A48" s="138" t="s">
        <v>135</v>
      </c>
      <c r="B48" s="111" t="s">
        <v>136</v>
      </c>
      <c r="C48" s="112" t="s">
        <v>73</v>
      </c>
      <c r="D48" s="112"/>
      <c r="E48" s="111"/>
      <c r="F48" s="112"/>
      <c r="G48" s="112" t="s">
        <v>27</v>
      </c>
      <c r="H48" s="113"/>
      <c r="I48" s="139">
        <v>70361</v>
      </c>
    </row>
    <row r="49" spans="1:9" ht="17.25" x14ac:dyDescent="0.35">
      <c r="A49" s="138"/>
      <c r="B49" s="111"/>
      <c r="C49" s="112"/>
      <c r="D49" s="112" t="s">
        <v>20</v>
      </c>
      <c r="E49" s="111">
        <v>1</v>
      </c>
      <c r="F49" s="112">
        <v>0</v>
      </c>
      <c r="G49" s="112"/>
      <c r="H49" s="113"/>
      <c r="I49" s="139"/>
    </row>
    <row r="50" spans="1:9" ht="17.25" x14ac:dyDescent="0.35">
      <c r="A50" s="138" t="s">
        <v>99</v>
      </c>
      <c r="B50" s="111" t="s">
        <v>98</v>
      </c>
      <c r="C50" s="112" t="s">
        <v>21</v>
      </c>
      <c r="D50" s="112"/>
      <c r="E50" s="111"/>
      <c r="F50" s="112"/>
      <c r="G50" s="112" t="s">
        <v>27</v>
      </c>
      <c r="H50" s="113" t="s">
        <v>130</v>
      </c>
      <c r="I50" s="139"/>
    </row>
    <row r="51" spans="1:9" x14ac:dyDescent="0.2">
      <c r="A51" s="96"/>
      <c r="B51" s="96"/>
      <c r="C51" s="96"/>
      <c r="D51" s="96"/>
      <c r="E51" s="96"/>
      <c r="F51" s="96"/>
      <c r="G51" s="96"/>
      <c r="H51" s="97"/>
      <c r="I51" s="96"/>
    </row>
    <row r="52" spans="1:9" ht="13.5" thickBot="1" x14ac:dyDescent="0.25"/>
    <row r="53" spans="1:9" s="47" customFormat="1" ht="19.5" x14ac:dyDescent="0.4">
      <c r="A53" s="160" t="s">
        <v>41</v>
      </c>
      <c r="B53" s="161"/>
      <c r="C53" s="161"/>
      <c r="D53" s="161"/>
      <c r="E53" s="161"/>
      <c r="F53" s="161"/>
      <c r="G53" s="161"/>
      <c r="H53" s="162"/>
      <c r="I53"/>
    </row>
    <row r="54" spans="1:9" ht="17.25" x14ac:dyDescent="0.35">
      <c r="A54" s="140" t="s">
        <v>42</v>
      </c>
      <c r="B54" s="140"/>
      <c r="C54" s="140" t="s">
        <v>17</v>
      </c>
      <c r="D54" s="140" t="s">
        <v>43</v>
      </c>
      <c r="E54" s="140" t="s">
        <v>44</v>
      </c>
      <c r="F54" s="140" t="s">
        <v>45</v>
      </c>
      <c r="G54" s="140" t="s">
        <v>24</v>
      </c>
      <c r="H54" s="141"/>
    </row>
    <row r="55" spans="1:9" ht="17.25" x14ac:dyDescent="0.35">
      <c r="A55" s="142" t="s">
        <v>138</v>
      </c>
      <c r="B55" s="142"/>
      <c r="C55" s="115" t="s">
        <v>46</v>
      </c>
      <c r="D55" s="115"/>
      <c r="E55" s="115"/>
      <c r="F55" s="115"/>
      <c r="G55" s="115" t="s">
        <v>47</v>
      </c>
      <c r="H55" s="143"/>
    </row>
    <row r="56" spans="1:9" ht="17.25" x14ac:dyDescent="0.35">
      <c r="A56" s="140" t="s">
        <v>48</v>
      </c>
      <c r="B56" s="140"/>
      <c r="C56" s="35"/>
      <c r="D56" s="35" t="s">
        <v>20</v>
      </c>
      <c r="E56" s="35">
        <v>1</v>
      </c>
      <c r="F56" s="35">
        <v>0</v>
      </c>
      <c r="G56" s="35"/>
      <c r="H56" s="141"/>
    </row>
    <row r="57" spans="1:9" ht="17.25" x14ac:dyDescent="0.35">
      <c r="A57" s="140" t="s">
        <v>49</v>
      </c>
      <c r="B57" s="140"/>
      <c r="C57" s="35"/>
      <c r="D57" s="35" t="s">
        <v>20</v>
      </c>
      <c r="E57" s="35">
        <v>2</v>
      </c>
      <c r="F57" s="35">
        <v>2</v>
      </c>
      <c r="G57" s="35"/>
      <c r="H57" s="141"/>
    </row>
    <row r="58" spans="1:9" ht="17.25" x14ac:dyDescent="0.35">
      <c r="A58" s="140" t="s">
        <v>50</v>
      </c>
      <c r="B58" s="140"/>
      <c r="C58" s="35"/>
      <c r="D58" s="35" t="s">
        <v>20</v>
      </c>
      <c r="E58" s="35">
        <v>2</v>
      </c>
      <c r="F58" s="35" t="s">
        <v>51</v>
      </c>
      <c r="G58" s="35"/>
      <c r="H58" s="141"/>
    </row>
    <row r="59" spans="1:9" ht="17.25" x14ac:dyDescent="0.35">
      <c r="A59" s="140" t="s">
        <v>52</v>
      </c>
      <c r="B59" s="140"/>
      <c r="C59" s="35"/>
      <c r="D59" s="35" t="s">
        <v>20</v>
      </c>
      <c r="E59" s="35">
        <v>1</v>
      </c>
      <c r="F59" s="35" t="s">
        <v>53</v>
      </c>
      <c r="G59" s="35"/>
      <c r="H59" s="141"/>
    </row>
    <row r="60" spans="1:9" ht="17.25" x14ac:dyDescent="0.35">
      <c r="A60" s="140" t="s">
        <v>54</v>
      </c>
      <c r="B60" s="140"/>
      <c r="C60" s="35"/>
      <c r="D60" s="35" t="s">
        <v>20</v>
      </c>
      <c r="E60" s="35">
        <v>2</v>
      </c>
      <c r="F60" s="35">
        <v>4</v>
      </c>
      <c r="G60" s="35"/>
      <c r="H60" s="141"/>
    </row>
    <row r="61" spans="1:9" ht="17.25" x14ac:dyDescent="0.35">
      <c r="A61" s="144" t="s">
        <v>55</v>
      </c>
      <c r="B61" s="144"/>
      <c r="C61" s="45"/>
      <c r="D61" s="45" t="s">
        <v>20</v>
      </c>
      <c r="E61" s="45">
        <v>4</v>
      </c>
      <c r="F61" s="45" t="s">
        <v>171</v>
      </c>
      <c r="G61" s="45"/>
      <c r="H61" s="145"/>
      <c r="I61" s="47"/>
    </row>
    <row r="62" spans="1:9" ht="17.25" x14ac:dyDescent="0.35">
      <c r="A62" s="140" t="s">
        <v>59</v>
      </c>
      <c r="B62" s="140"/>
      <c r="C62" s="35"/>
      <c r="D62" s="35" t="s">
        <v>20</v>
      </c>
      <c r="E62" s="35">
        <v>1</v>
      </c>
      <c r="F62" s="35" t="s">
        <v>56</v>
      </c>
      <c r="G62" s="35"/>
      <c r="H62" s="141"/>
    </row>
    <row r="63" spans="1:9" ht="17.25" x14ac:dyDescent="0.35">
      <c r="A63" s="140" t="s">
        <v>60</v>
      </c>
      <c r="B63" s="140"/>
      <c r="C63" s="35"/>
      <c r="D63" s="35" t="s">
        <v>20</v>
      </c>
      <c r="E63" s="35">
        <v>2</v>
      </c>
      <c r="F63" s="35">
        <f>LEN(F64)</f>
        <v>27</v>
      </c>
      <c r="G63" s="35"/>
      <c r="H63" s="141"/>
    </row>
    <row r="64" spans="1:9" ht="17.25" x14ac:dyDescent="0.35">
      <c r="A64" s="142" t="s">
        <v>61</v>
      </c>
      <c r="B64" s="142"/>
      <c r="C64" s="115"/>
      <c r="D64" s="115" t="s">
        <v>57</v>
      </c>
      <c r="E64" s="115">
        <f>F63</f>
        <v>27</v>
      </c>
      <c r="F64" s="115" t="s">
        <v>141</v>
      </c>
      <c r="G64" s="115"/>
      <c r="H64" s="143" t="s">
        <v>58</v>
      </c>
    </row>
    <row r="65" spans="1:8" ht="17.25" x14ac:dyDescent="0.35">
      <c r="A65" s="140" t="s">
        <v>90</v>
      </c>
      <c r="B65" s="140"/>
      <c r="C65" s="35"/>
      <c r="D65" s="35" t="s">
        <v>20</v>
      </c>
      <c r="E65" s="35">
        <v>1</v>
      </c>
      <c r="F65" s="35" t="s">
        <v>91</v>
      </c>
      <c r="G65" s="35"/>
      <c r="H65" s="141"/>
    </row>
    <row r="66" spans="1:8" ht="17.25" x14ac:dyDescent="0.35">
      <c r="A66" s="140" t="s">
        <v>92</v>
      </c>
      <c r="B66" s="140"/>
      <c r="C66" s="35"/>
      <c r="D66" s="35" t="s">
        <v>20</v>
      </c>
      <c r="E66" s="35">
        <v>2</v>
      </c>
      <c r="F66" s="35">
        <v>4</v>
      </c>
      <c r="G66" s="35"/>
      <c r="H66" s="141"/>
    </row>
    <row r="67" spans="1:8" ht="17.25" x14ac:dyDescent="0.35">
      <c r="A67" s="144" t="s">
        <v>93</v>
      </c>
      <c r="B67" s="144"/>
      <c r="C67" s="45"/>
      <c r="D67" s="45" t="s">
        <v>20</v>
      </c>
      <c r="E67" s="45">
        <v>4</v>
      </c>
      <c r="F67" s="45" t="str">
        <f>F61</f>
        <v>0x05023036</v>
      </c>
      <c r="G67" s="45"/>
      <c r="H67" s="145"/>
    </row>
    <row r="68" spans="1:8" ht="17.25" x14ac:dyDescent="0.35">
      <c r="A68" s="146" t="s">
        <v>161</v>
      </c>
      <c r="B68" s="146"/>
      <c r="C68" s="147"/>
      <c r="D68" s="148" t="s">
        <v>20</v>
      </c>
      <c r="E68" s="148">
        <v>1</v>
      </c>
      <c r="F68" s="149" t="s">
        <v>162</v>
      </c>
      <c r="G68" s="148"/>
      <c r="H68" s="150"/>
    </row>
    <row r="69" spans="1:8" ht="17.25" x14ac:dyDescent="0.35">
      <c r="A69" s="146" t="s">
        <v>163</v>
      </c>
      <c r="B69" s="146"/>
      <c r="C69" s="147"/>
      <c r="D69" s="148" t="s">
        <v>20</v>
      </c>
      <c r="E69" s="148">
        <v>2</v>
      </c>
      <c r="F69" s="151">
        <v>4</v>
      </c>
      <c r="G69" s="148"/>
      <c r="H69" s="150"/>
    </row>
    <row r="70" spans="1:8" ht="138" x14ac:dyDescent="0.35">
      <c r="A70" s="146" t="s">
        <v>164</v>
      </c>
      <c r="B70" s="146"/>
      <c r="C70" s="147"/>
      <c r="D70" s="148" t="s">
        <v>20</v>
      </c>
      <c r="E70" s="148">
        <v>4</v>
      </c>
      <c r="F70" s="148" t="s">
        <v>167</v>
      </c>
      <c r="G70" s="148"/>
      <c r="H70" s="150" t="s">
        <v>166</v>
      </c>
    </row>
  </sheetData>
  <mergeCells count="3">
    <mergeCell ref="A2:I2"/>
    <mergeCell ref="A4:H4"/>
    <mergeCell ref="A53:H53"/>
  </mergeCells>
  <conditionalFormatting sqref="B7:B8">
    <cfRule type="duplicateValues" dxfId="1" priority="2"/>
  </conditionalFormatting>
  <conditionalFormatting sqref="B6">
    <cfRule type="duplicateValues" dxfId="0" priority="1"/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18"/>
  <sheetViews>
    <sheetView zoomScaleNormal="100" workbookViewId="0">
      <selection activeCell="C18" sqref="C18:F18"/>
    </sheetView>
  </sheetViews>
  <sheetFormatPr defaultRowHeight="12.75" x14ac:dyDescent="0.2"/>
  <cols>
    <col min="1" max="1" width="2.85546875" customWidth="1"/>
    <col min="2" max="2" width="11.7109375" style="63" customWidth="1"/>
    <col min="3" max="3" width="11.7109375" style="66" customWidth="1"/>
    <col min="4" max="4" width="51.42578125" style="55" bestFit="1" customWidth="1"/>
    <col min="5" max="5" width="18.140625" style="63" customWidth="1"/>
    <col min="6" max="6" width="49.140625" style="55" customWidth="1"/>
    <col min="7" max="7" width="50.7109375" style="55" customWidth="1"/>
    <col min="8" max="8" width="2.85546875" customWidth="1"/>
  </cols>
  <sheetData>
    <row r="2" spans="2:7" s="7" customFormat="1" ht="45" customHeight="1" x14ac:dyDescent="0.55000000000000004">
      <c r="B2" s="54" t="s">
        <v>15</v>
      </c>
      <c r="C2" s="54"/>
      <c r="D2" s="57"/>
      <c r="E2" s="70"/>
      <c r="F2" s="57"/>
      <c r="G2" s="57"/>
    </row>
    <row r="3" spans="2:7" ht="13.5" thickBot="1" x14ac:dyDescent="0.25"/>
    <row r="4" spans="2:7" ht="15.75" thickBot="1" x14ac:dyDescent="0.35">
      <c r="D4" s="59" t="s">
        <v>66</v>
      </c>
      <c r="E4" s="71"/>
    </row>
    <row r="5" spans="2:7" x14ac:dyDescent="0.2">
      <c r="D5" s="55" t="s">
        <v>67</v>
      </c>
      <c r="E5" s="63">
        <v>4</v>
      </c>
    </row>
    <row r="6" spans="2:7" x14ac:dyDescent="0.2">
      <c r="D6" s="55" t="s">
        <v>68</v>
      </c>
      <c r="E6" s="63">
        <v>44</v>
      </c>
    </row>
    <row r="7" spans="2:7" ht="13.5" thickBot="1" x14ac:dyDescent="0.25"/>
    <row r="8" spans="2:7" s="1" customFormat="1" ht="15.75" thickBot="1" x14ac:dyDescent="0.35">
      <c r="B8" s="5" t="s">
        <v>16</v>
      </c>
      <c r="C8" s="67" t="s">
        <v>12</v>
      </c>
      <c r="D8" s="59" t="s">
        <v>13</v>
      </c>
      <c r="E8" s="71" t="s">
        <v>14</v>
      </c>
      <c r="F8" s="59" t="s">
        <v>3</v>
      </c>
      <c r="G8" s="58" t="s">
        <v>69</v>
      </c>
    </row>
    <row r="9" spans="2:7" s="2" customFormat="1" ht="45" x14ac:dyDescent="0.3">
      <c r="B9" s="64">
        <v>1</v>
      </c>
      <c r="C9" s="68">
        <v>42317</v>
      </c>
      <c r="D9" s="61" t="s">
        <v>107</v>
      </c>
      <c r="E9" s="72">
        <v>930791</v>
      </c>
      <c r="F9" s="75" t="s">
        <v>108</v>
      </c>
      <c r="G9" s="74" t="s">
        <v>109</v>
      </c>
    </row>
    <row r="10" spans="2:7" s="9" customFormat="1" ht="27.75" thickBot="1" x14ac:dyDescent="0.35">
      <c r="B10" s="65">
        <v>2</v>
      </c>
      <c r="C10" s="69">
        <v>42334</v>
      </c>
      <c r="D10" s="62" t="s">
        <v>112</v>
      </c>
      <c r="E10" s="73" t="s">
        <v>114</v>
      </c>
      <c r="F10" s="60" t="s">
        <v>113</v>
      </c>
      <c r="G10" s="56" t="s">
        <v>111</v>
      </c>
    </row>
    <row r="11" spans="2:7" s="9" customFormat="1" ht="27.75" thickBot="1" x14ac:dyDescent="0.35">
      <c r="B11" s="65">
        <v>3</v>
      </c>
      <c r="C11" s="69">
        <v>42342</v>
      </c>
      <c r="D11" s="62" t="s">
        <v>118</v>
      </c>
      <c r="E11" s="73" t="s">
        <v>119</v>
      </c>
      <c r="F11" s="60" t="s">
        <v>120</v>
      </c>
      <c r="G11" s="56" t="s">
        <v>121</v>
      </c>
    </row>
    <row r="12" spans="2:7" s="9" customFormat="1" ht="53.25" thickBot="1" x14ac:dyDescent="0.35">
      <c r="B12" s="65">
        <v>4</v>
      </c>
      <c r="C12" s="69">
        <v>42355</v>
      </c>
      <c r="D12" s="62" t="s">
        <v>118</v>
      </c>
      <c r="E12" s="73" t="s">
        <v>143</v>
      </c>
      <c r="F12" s="60" t="s">
        <v>144</v>
      </c>
      <c r="G12" s="56" t="s">
        <v>142</v>
      </c>
    </row>
    <row r="13" spans="2:7" s="9" customFormat="1" ht="53.25" thickBot="1" x14ac:dyDescent="0.35">
      <c r="B13" s="65">
        <v>5</v>
      </c>
      <c r="C13" s="69">
        <v>42356</v>
      </c>
      <c r="D13" s="62" t="s">
        <v>118</v>
      </c>
      <c r="E13" s="73" t="s">
        <v>149</v>
      </c>
      <c r="F13" s="60" t="s">
        <v>150</v>
      </c>
      <c r="G13" s="56" t="s">
        <v>151</v>
      </c>
    </row>
    <row r="14" spans="2:7" s="9" customFormat="1" ht="27.75" thickBot="1" x14ac:dyDescent="0.35">
      <c r="B14" s="65">
        <v>6</v>
      </c>
      <c r="C14" s="69">
        <v>42424</v>
      </c>
      <c r="D14" s="62" t="s">
        <v>118</v>
      </c>
      <c r="E14" s="73">
        <v>973486</v>
      </c>
      <c r="F14" s="60" t="s">
        <v>153</v>
      </c>
      <c r="G14" s="56" t="s">
        <v>152</v>
      </c>
    </row>
    <row r="15" spans="2:7" s="9" customFormat="1" ht="53.25" thickBot="1" x14ac:dyDescent="0.35">
      <c r="B15" s="65">
        <v>7</v>
      </c>
      <c r="C15" s="69">
        <v>42438</v>
      </c>
      <c r="D15" s="62" t="s">
        <v>118</v>
      </c>
      <c r="E15" s="73">
        <v>946133</v>
      </c>
      <c r="F15" s="60" t="s">
        <v>154</v>
      </c>
      <c r="G15" s="56" t="s">
        <v>155</v>
      </c>
    </row>
    <row r="16" spans="2:7" s="9" customFormat="1" ht="30.75" thickBot="1" x14ac:dyDescent="0.35">
      <c r="B16" s="65">
        <v>8</v>
      </c>
      <c r="C16" s="69">
        <v>42482</v>
      </c>
      <c r="D16" s="62" t="s">
        <v>118</v>
      </c>
      <c r="E16" s="73" t="s">
        <v>157</v>
      </c>
      <c r="F16" s="60" t="s">
        <v>158</v>
      </c>
      <c r="G16" s="56" t="s">
        <v>156</v>
      </c>
    </row>
    <row r="17" spans="2:7" s="9" customFormat="1" ht="27.75" thickBot="1" x14ac:dyDescent="0.35">
      <c r="B17" s="65">
        <v>9</v>
      </c>
      <c r="C17" s="69">
        <v>42482</v>
      </c>
      <c r="D17" s="62" t="s">
        <v>118</v>
      </c>
      <c r="E17" s="73">
        <v>1006389</v>
      </c>
      <c r="F17" s="60" t="s">
        <v>160</v>
      </c>
      <c r="G17" s="56" t="s">
        <v>159</v>
      </c>
    </row>
    <row r="18" spans="2:7" ht="25.5" x14ac:dyDescent="0.2">
      <c r="B18" s="63">
        <v>10</v>
      </c>
      <c r="C18" s="163">
        <v>42496</v>
      </c>
      <c r="D18" s="164" t="s">
        <v>118</v>
      </c>
      <c r="E18" s="165">
        <v>923682</v>
      </c>
      <c r="F18" s="10" t="s">
        <v>172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SS-WP8</vt:lpstr>
      <vt:lpstr>SS-LA</vt:lpstr>
      <vt:lpstr>SR_DSDS-WP8-7+5_mode</vt:lpstr>
      <vt:lpstr>SR_DSDS-LA-7+5_mode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Desai, Sanjeev</dc:creator>
  <cp:lastModifiedBy>Qualcomm User</cp:lastModifiedBy>
  <dcterms:created xsi:type="dcterms:W3CDTF">2009-07-08T16:51:53Z</dcterms:created>
  <dcterms:modified xsi:type="dcterms:W3CDTF">2016-05-06T09:25:00Z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