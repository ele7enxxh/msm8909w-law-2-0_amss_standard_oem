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common\US_Cellular\"/>
    </mc:Choice>
  </mc:AlternateContent>
  <bookViews>
    <workbookView xWindow="45" yWindow="30" windowWidth="19440" windowHeight="9495" tabRatio="924"/>
  </bookViews>
  <sheets>
    <sheet name="Summary" sheetId="10" r:id="rId1"/>
    <sheet name="Commercial" sheetId="30" r:id="rId2"/>
    <sheet name="Revision History" sheetId="29" r:id="rId3"/>
  </sheets>
  <functionGroups builtInGroupCount="18"/>
  <calcPr calcId="152511"/>
</workbook>
</file>

<file path=xl/calcChain.xml><?xml version="1.0" encoding="utf-8"?>
<calcChain xmlns="http://schemas.openxmlformats.org/spreadsheetml/2006/main">
  <c r="F274" i="30" l="1"/>
  <c r="F272" i="30" s="1"/>
  <c r="F270" i="30" l="1"/>
  <c r="F266" i="30" l="1"/>
  <c r="F264" i="30" s="1"/>
  <c r="B13" i="10" l="1"/>
  <c r="F261" i="30" l="1"/>
  <c r="E262" i="30" s="1"/>
  <c r="E259" i="30"/>
  <c r="B5" i="10" l="1"/>
  <c r="B4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<sst xmlns="http://schemas.openxmlformats.org/spreadsheetml/2006/main" count="1076" uniqueCount="670">
  <si>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</si>
  <si>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</si>
  <si>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</si>
  <si>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</si>
  <si>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</si>
  <si>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</si>
  <si>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</si>
  <si>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</si>
  <si>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</si>
  <si>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</si>
  <si>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</si>
  <si>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Mobile CAI Revision Number</t>
  </si>
  <si>
    <t>mob_cai_rev</t>
  </si>
  <si>
    <t>nam</t>
  </si>
  <si>
    <t>HDR SCP Force Release 0 Session Configuration</t>
  </si>
  <si>
    <t>hdrscp_force_rel0_config</t>
  </si>
  <si>
    <t>enabled</t>
  </si>
  <si>
    <t>Voice Privacy</t>
  </si>
  <si>
    <t>voice_priv</t>
  </si>
  <si>
    <t>HDR Receive diversity</t>
  </si>
  <si>
    <t>hdr_rx_diversity_ctrl</t>
  </si>
  <si>
    <t>(enable)</t>
  </si>
  <si>
    <t>CDMA Receive diversity</t>
  </si>
  <si>
    <t>cdma_rx_diversity_ctrl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</si>
  <si>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</si>
  <si>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</si>
  <si>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</si>
  <si>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</si>
  <si>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</si>
  <si>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</si>
  <si>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</si>
  <si>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</si>
  <si>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</si>
  <si>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</si>
  <si>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</si>
  <si>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</si>
  <si>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</si>
  <si>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</si>
  <si>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</si>
  <si>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</si>
  <si>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</si>
  <si>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</si>
  <si>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</si>
  <si>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SMS MO on Traffic Channel</t>
  </si>
  <si>
    <t>sms_mo_on_traffic_channel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</si>
  <si>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</si>
  <si>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</si>
  <si>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</si>
  <si>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</si>
  <si>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</si>
  <si>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</si>
  <si>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</si>
  <si>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</si>
  <si>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</si>
  <si>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</si>
  <si>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</si>
  <si>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</si>
  <si>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</si>
  <si>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</si>
  <si>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</si>
  <si>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</si>
  <si>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</si>
  <si>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</si>
  <si>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</si>
  <si>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Ipv6 Enabled</t>
  </si>
  <si>
    <t>NV_IPV6_ENABLED_I</t>
  </si>
  <si>
    <t>CDMA SO68 enabled</t>
  </si>
  <si>
    <t>HDR SCP force AT configuration</t>
  </si>
  <si>
    <t>LTE NAS temp forbidden PLMN feature</t>
  </si>
  <si>
    <t>/nv/item_files/modem/nas/lte_nas_temp_fplmn_backoff_time</t>
  </si>
  <si>
    <t>0xFFFFFFFF</t>
  </si>
  <si>
    <t>/nv/item_files/data/3gpp2/mpit_enabled</t>
  </si>
  <si>
    <t>eHRPD Partial context</t>
  </si>
  <si>
    <t>/nv/item_files/data/3gpp2/ehrpd_partial_context</t>
  </si>
  <si>
    <t>eHRPD-to-HRPD fallback</t>
  </si>
  <si>
    <t>/nv/item_files/data/3gpp2/ehrpd_to_hrpd_fallback</t>
  </si>
  <si>
    <t>IMS Enable</t>
  </si>
  <si>
    <t>/nv/item_files/ims/IMS_enable</t>
  </si>
  <si>
    <t>efs_item</t>
  </si>
  <si>
    <t>Attach Profile</t>
  </si>
  <si>
    <t>/nv/item_files/modem/mmode/ue_usage_setting</t>
  </si>
  <si>
    <t>/nv/item_files/modem/data/3gpp/lteps/attach_profile</t>
  </si>
  <si>
    <t>3GPP2 Max PPP Inactivity TimerEnabled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</si>
  <si>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</si>
  <si>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</si>
  <si>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</si>
  <si>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</si>
  <si>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</si>
  <si>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</si>
  <si>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</si>
  <si>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</si>
  <si>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</si>
  <si>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</si>
  <si>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</si>
  <si>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</si>
  <si>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</si>
  <si>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</si>
  <si>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</si>
  <si>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</si>
  <si>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</si>
  <si>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</si>
  <si>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</si>
  <si>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</si>
  <si>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</si>
  <si>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</si>
  <si>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</si>
  <si>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</si>
  <si>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</si>
  <si>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UE Usage Setting</t>
  </si>
  <si>
    <t>0=CSIM, make sure this is present and set to 0</t>
  </si>
  <si>
    <t>Placeholder for now</t>
  </si>
  <si>
    <t>Preferred Hybrid Mode</t>
  </si>
  <si>
    <t>hybrid_pref</t>
  </si>
  <si>
    <t>Enable HDR ACQ Diversity</t>
  </si>
  <si>
    <t>/nv/item_files/modem/hdr/srch/hdr_acq_div_thresh0</t>
  </si>
  <si>
    <t>/nv/item_files/modem/hdr/srch/hdr_acq_div_thresh1</t>
  </si>
  <si>
    <t>/nv/item_files/modem/hdr/srch/hdr_acq_div_enable</t>
  </si>
  <si>
    <t>HRPD IPv6 Enabling</t>
  </si>
  <si>
    <t>/nv/item_files/data/3gpp2/hrpd_ipv6_config_info</t>
  </si>
  <si>
    <t>SMS Domain Preference</t>
  </si>
  <si>
    <t>/nv/item_files/modem/mmode/sms_domain_pref</t>
  </si>
  <si>
    <t>SMS Mandatory</t>
  </si>
  <si>
    <t>/nv/item_files/modem/mmode/sms_mandatory</t>
  </si>
  <si>
    <t>/nv/item_files/modem/mmode/voice_domain_pref</t>
  </si>
  <si>
    <t>CDMA 1x ZZ2_2 Selection Param</t>
  </si>
  <si>
    <t>/nv/item_files/modem/1x/zz2_2_sel_parms</t>
  </si>
  <si>
    <t>CDMA 1x ZZ2_2 Threshold</t>
  </si>
  <si>
    <t>/nv/item_files/modem/1x/zz2_2_thresh</t>
  </si>
  <si>
    <t/>
  </si>
  <si>
    <t>Voice Domain Preference</t>
  </si>
  <si>
    <t>Version</t>
  </si>
  <si>
    <t>ReservedBytes</t>
  </si>
  <si>
    <t>Carrier Version Update(s)</t>
  </si>
  <si>
    <t>Factory Testmode Phone Mode</t>
  </si>
  <si>
    <t>System Determination Timers</t>
  </si>
  <si>
    <t>/nv/item_files/modem/mmode/sd/sdssscr_timers</t>
  </si>
  <si>
    <t>Image</t>
  </si>
  <si>
    <t>SW Product</t>
  </si>
  <si>
    <t>MCFG PW</t>
  </si>
  <si>
    <t>MPSS Configuration Items Listing</t>
  </si>
  <si>
    <t>All carrier versions initialized to 0x31</t>
  </si>
  <si>
    <t>Ported from Dime 2.0 file version 30</t>
  </si>
  <si>
    <t>Initial Version for Dime 3.0</t>
  </si>
  <si>
    <t>Wireless One update</t>
  </si>
  <si>
    <t>edited NVs:
562=1</t>
  </si>
  <si>
    <t>WirelessOne: 0x02011932</t>
  </si>
  <si>
    <t>removed: 
/sd/bst_tbl</t>
  </si>
  <si>
    <t>WirelessOne: 0x02011933</t>
  </si>
  <si>
    <t>NV Items</t>
  </si>
  <si>
    <t>edited:
rat_acq_order file includes TDSCDMA</t>
  </si>
  <si>
    <t>WirelessOne: 0x02011934</t>
  </si>
  <si>
    <t>Verizon &amp; WirelessOne udpate: PDP profile updates for Multi-SIM</t>
  </si>
  <si>
    <t>Verizon: 0x02010137
W-One: 0x02011935</t>
  </si>
  <si>
    <t>Verizon &amp; W-One: 
added EFS: 
/pdp_profiles/tethered_call_prof_nums
/pdp_profiles/embedded_call_prof_nums</t>
  </si>
  <si>
    <t>Verizon: 0x02010138
W-One: 0x02011936</t>
  </si>
  <si>
    <t>edited EFS: 
Verizon:
/pdp_profiles/tethered_call_prof_nums: 3,3
/pdp_profiles/embedded_call_prof_nums: 3,3
W-One: 
/pdp_profiles/tethered_call_prof_nums: 1,1
/pdp_profiles/embedded_call_prof_nums: 1,1</t>
  </si>
  <si>
    <t>removed: 
/mmode/cmph/soa_config
/mmode/cmph/svlte_plmn_id_list</t>
  </si>
  <si>
    <t>WirelessOne: 0x02011937</t>
  </si>
  <si>
    <t>W-One: 0x02011939</t>
  </si>
  <si>
    <t>edited EFS: 
mandatory_apn_list: wirelessone.com
removed EFS: 
Profile_000, Profile_103, Profile_104, Profile_106, Profile_107, /data/ds_dsd_apm_rules.txt</t>
  </si>
  <si>
    <t>Spreadsheet statistics</t>
  </si>
  <si>
    <t>Total carrier configurations</t>
  </si>
  <si>
    <t>Total supported items (NV &amp; EFS)</t>
  </si>
  <si>
    <t>Default - added NV: 
69731 = 2</t>
  </si>
  <si>
    <t>Default: 0x02E00032</t>
  </si>
  <si>
    <t>Deafult config update</t>
  </si>
  <si>
    <t>Select Carriers for Generation</t>
  </si>
  <si>
    <t>W-one update for gstk feature mask</t>
  </si>
  <si>
    <t>65674 GSTK Feature Bitmask set to 0x47</t>
  </si>
  <si>
    <t>W-One: 0x0201193B</t>
  </si>
  <si>
    <t>W-one update</t>
  </si>
  <si>
    <t>W-One : 0x0201193C</t>
  </si>
  <si>
    <t>Set 70319 to 2 by default in MCFG</t>
  </si>
  <si>
    <t>Default : 0x02E00033</t>
  </si>
  <si>
    <t>Default update</t>
  </si>
  <si>
    <t>CMCC Update</t>
  </si>
  <si>
    <t>added NV: 
71532=0x06 (Dime 3.0 + later)</t>
  </si>
  <si>
    <t>CMCC: 0x02011832</t>
  </si>
  <si>
    <t>KDDI Update</t>
  </si>
  <si>
    <t>removed file:
Mandatory_apn_list.txt</t>
  </si>
  <si>
    <t>KDDI: 0x02010732</t>
  </si>
  <si>
    <t>ATT update</t>
  </si>
  <si>
    <t>removed NVs:
3649, 4722
Fix for IMS settings
added NVs:
67261, 67259, 69744, 67257</t>
  </si>
  <si>
    <t>ATT: 0x02010332</t>
  </si>
  <si>
    <t>Vzw Update</t>
  </si>
  <si>
    <t>edited NVs:
3446=66,2
added NVs:
70233 (IMS RCS Auto-Config Parameters.iDisableAutoConfig = 1)</t>
  </si>
  <si>
    <t>Verizon: 0x02010132</t>
  </si>
  <si>
    <t>Sprint update: Policy manager</t>
  </si>
  <si>
    <t>Sprint:
FR3164 Policy-manager</t>
  </si>
  <si>
    <t>Sprint:  0x02010208</t>
  </si>
  <si>
    <t>New Carrier: Reliance</t>
  </si>
  <si>
    <t>Reliance: 0x02011B31</t>
  </si>
  <si>
    <t>New Carrier: AirTel</t>
  </si>
  <si>
    <t>AirTel: 0x02011A31</t>
  </si>
  <si>
    <t>CMCC Updates
New Carrier Config: CMCC_Lab</t>
  </si>
  <si>
    <t>CMCC
added NVs:
880=1, 881=1, 882=0
65777=0
TDD/FDD Intermode FGI capability = 1
CMCC_procured policy manager
edited NVs:
10=59, 441=0x2F, 69731=2
CMCC_Lab = original CMCC + following deltas:
added NVs:
880=1, 881=1, 882=0
65777=0
TDD/FDD Intermode FGI capability = 1
CMCC test policy manager 
edited NVs:
10=55, 441=0xFFFF, 69731=1</t>
  </si>
  <si>
    <t>CMCC: 0x02011833
CMCC_Lab: 0x02011831</t>
  </si>
  <si>
    <t>ATT Updates</t>
  </si>
  <si>
    <t>ATT
edited NVs:
74, 65777=0, 67205, 67259
removed NVs:
6862, 947, 4173, 4210, 4432, 4722, 5107, 3852, 3635, 67210 (rpm_info)
duplicate CR items:
remove NVs: 3649, 4722
Airtel
editedNV: 67205 -- corrected EFS filepath</t>
  </si>
  <si>
    <t>ATT: 0x02010333
Airtel: 0x02011A32</t>
  </si>
  <si>
    <t>Sprint Update</t>
  </si>
  <si>
    <t>added NVs:
6828 = bands 25, 26, 41: 0x0000 0100 0300 0000</t>
  </si>
  <si>
    <t>Sprint:  0x02010233</t>
  </si>
  <si>
    <t>Verizon Update</t>
  </si>
  <si>
    <t>PCO container elements added to LTE profiles:
1. Op_pco_id=65280 
2. Pco_mcc=311
3. Mnc=480
4. Mnc_includes_pcs_digit=1</t>
  </si>
  <si>
    <t>Verizon: 0x02010133</t>
  </si>
  <si>
    <t>CMCC &amp; CMCC_Lab update</t>
  </si>
  <si>
    <t>removed NVs:
65633 (made placeholder in spreadsheet)</t>
  </si>
  <si>
    <t>CMCC: 0x02011834
CMCC_Lab: 0x02011832</t>
  </si>
  <si>
    <t>edited NVs:
65538 = LTE_3GPP_REL10_SEP12
70328 = 1 (REL_10_THROTTLING)</t>
  </si>
  <si>
    <t>Verizon: 0x02010134</t>
  </si>
  <si>
    <t>added: 
diff_fdd_tdd_fgi_enable=1</t>
  </si>
  <si>
    <t>Sprint: 0x0201020A</t>
  </si>
  <si>
    <t>Spreadsheet update
Verizon Update</t>
  </si>
  <si>
    <t>Grouped items into 3 main categories: NV, PRL, EFS
Verizon:
edited NV
65777 = 1 (should not have changed in CR539228)</t>
  </si>
  <si>
    <t>Verizon: 0x02010135</t>
  </si>
  <si>
    <t>added NVs:
1897 (ipv6_sm_config)</t>
  </si>
  <si>
    <t>Verizon: 0x02010136</t>
  </si>
  <si>
    <t>New Carrier Config: TEST_Ota_DI_23_1</t>
  </si>
  <si>
    <t>Test OTA versions added for SS DS configurations.
Some settings obtained from email: 12/18/13 @ 10:15PM
6876 -&gt; 0 0 0 0 5 (DSDS)
04398 -&gt; 0 DSDS
6907 -&gt; 1 DSDS
70266 -&gt; 1 DSDS
00855 -&gt; 0</t>
  </si>
  <si>
    <t>TEST_Ota_DI_23_1: 0x02011D31</t>
  </si>
  <si>
    <t>New Carrier Config: TEST_Ota_DI_23_2</t>
  </si>
  <si>
    <t>TEST_Ota_DI_23_2 contains settings from TEST_Ota_DI_23_1 plus settings for 2nd subscription</t>
  </si>
  <si>
    <t>TEST_Ota_DI_23_2: 0x02011E31</t>
  </si>
  <si>
    <t xml:space="preserve">Verizon update </t>
  </si>
  <si>
    <t>update: 
70328 , rel_10_throttling set to 0</t>
  </si>
  <si>
    <t>Verizon: 0x02010139</t>
  </si>
  <si>
    <t>update: 
NV72512 set to 1, NV 67257
voipSilentRedialEnabled  set to 1</t>
  </si>
  <si>
    <t>Verizon: 0x0201013A</t>
  </si>
  <si>
    <t>update: 
1018 (CDMA Rx diversity) changed to 0xB1 for KDDI</t>
  </si>
  <si>
    <t>KDDI: 0x02010733</t>
  </si>
  <si>
    <t>Carrier Updates: Verizon, Sprint, KDDI, CT</t>
  </si>
  <si>
    <t>already present: 
67290: HDR ACQ Diversity Enabled =1
added EFS: 
67288: HDR ACQ DIV Threshold 0  = -98
67289: HDR ACQ DIV Threshold 1  = -105</t>
  </si>
  <si>
    <t>Verizon: 0x0201013B
KDDI: 0x02010734
Sprint: 0x02010235
CT: 0x02011332</t>
  </si>
  <si>
    <t>Removed Mux'd attribute from all NV/EFS settings
CMCC Update</t>
  </si>
  <si>
    <t>edited carriers: 
Verizon, Sprint, ATT, TMO, CT, CU CMBB_Lab, CMCC, W-One, Airtel, Reliance, SBM, TEST_Ota_DI_23_1, TEST_Ota_DI_23_2
Policy manager updates for CMCC MBNs.</t>
  </si>
  <si>
    <t>Verizon: 0x0201013C
Sprint: 0x02010236
ATT: 0x02010334
TMO: 0x02010532
CT: 0x02011333
CU: 0x02011532
CMCC_Lab: 0x02011833
CMCC: 0x02011835
W-One: 0x02011938
Airtel: 0x02011A33
Reliance: 0x02011B32
SBM: 0x02011C32
TEST_Ota_DI_23_1: 0x02011D32
TEST_Ota_DI_23_2: 0x02011E32</t>
  </si>
  <si>
    <t>New Carrier config: SKT LTE Only</t>
  </si>
  <si>
    <t>SKT_LTE_Only: 0x02011F30</t>
  </si>
  <si>
    <t>Carrier Updates: SKT LTE Only</t>
  </si>
  <si>
    <t>edited NVs:
850 = 1
added NVs/EFS:
5280 = 0
1014 = 0
67353 = 0</t>
  </si>
  <si>
    <t>SKT_LTE_Only: 0x02011F31</t>
  </si>
  <si>
    <t>New Carrier Configuration: ATT_VoLTE</t>
  </si>
  <si>
    <t>Difference from ATT: 
PDP Profile 1 = at+cgdcont=1,"ip","nxtgenphone"
PDP Profile 2 = at+cgdcont=2,"ipv4v6","ims"
PDP Profile 3 = at+cgdcont=3,"ipv4v6","sos"</t>
  </si>
  <si>
    <t>ATT_VoLTE: 0x02010330</t>
  </si>
  <si>
    <t>added NV: 
6828 = 0x100A</t>
  </si>
  <si>
    <t>Verizon: 0x0201013D</t>
  </si>
  <si>
    <t>SKT_LTE_Only Update</t>
  </si>
  <si>
    <t>added NVs: 
1015,1016,1017 all = 0
added EFS: 
67305: 0
/ds/atcop/atcop_cops_auto_mode.txt
/nv/item_files/modem/lte/rrc/sib/cmas
72524: 0
72525: 0
edted EFS: 
/nv/item_files/modem/lte/rrc/cap/fgi
/nv/item_files/modem/lte/rrc/csg/csg_control</t>
  </si>
  <si>
    <t>SKT_LTE_Only: 0x02011F32</t>
  </si>
  <si>
    <t>edited NVs: 
65777 = 0
3532 = 240
3533 = 5</t>
  </si>
  <si>
    <t>Sprint: 0x02010237</t>
  </si>
  <si>
    <t>ATT &amp; ATT_VoLTE carrier update</t>
  </si>
  <si>
    <t>ATT: 
updated profile1 file strucutre. No delta with actual contents
ATT_VoLTE: 
added NV: 
/nv/item_files/ims/qp_ims_reg_config_db (71527)
/nv/item_files/ims/qp_ims_ut_config (70263)
/nv/item_files/modem/mmode/supplement_service_domain_pref (70239)
edited NV:
/nv/item_files/ims/qp_ims_sip_extended_0_config (69744)</t>
  </si>
  <si>
    <t>ATT: 0x02010335
ATT_VoLTE: 0x02010331</t>
  </si>
  <si>
    <t>editedNVs/EFS:
70354, 70362
newNVs/EFS:
67213, 67267, 67268, 67266, 66048, 65778, 66472, 65819</t>
  </si>
  <si>
    <t>Sprint: 0x02010238</t>
  </si>
  <si>
    <t>CMCC updates
CMCC_Lab</t>
  </si>
  <si>
    <t>NV69731 = 2 
Includes policyman update</t>
  </si>
  <si>
    <t>CMCC_Lab: 0x02011834
CMCC: 0x02011836</t>
  </si>
  <si>
    <t xml:space="preserve">edited NV:
1897.Solicitation Interval </t>
  </si>
  <si>
    <t>Verizon: 0x0201013E</t>
  </si>
  <si>
    <t>ATT &amp; ATT_VoLTE Update</t>
  </si>
  <si>
    <t>addedNV:
70332 = 1, 69679 = 1
addedEFS:
conn_control_barring_optmz_enable
conn_control_param_cfg
lte_connection_control</t>
  </si>
  <si>
    <t>ATT: 0x02010336
ATT_VoLTE: 0x02010332</t>
  </si>
  <si>
    <t>TMO update</t>
  </si>
  <si>
    <t>editedNVs: 
65693
removedNVs: 
553, 896, 1030, 1031, 1302, 2508, 2509, 3649, 4118, 4173, 4210, 4432, 5107, 3635, 67204, 67205, 67210, 69676, 66035, 
/nv/item_files/modem/data/3gpp/ps/ser_req_throttle_behavior
/nv/item_files/modem/data/epc/pdn_throttling_config.txt
/nv/item_files/wcdma/rrc/wcdma_rrc_wtol_cm_support</t>
  </si>
  <si>
    <t>TMO: 0x02010533</t>
  </si>
  <si>
    <t>629305, 624749</t>
  </si>
  <si>
    <t>added NV:
6253 = 1
added EFS:
/data/ds_eps_kamgr_pdn.txt
/data/iwlan_s2b_config.txt
/data/pdn_policy_db.txt</t>
  </si>
  <si>
    <t>VZW: 0x0201013E</t>
  </si>
  <si>
    <t>Verizon / ATT IMS updates</t>
  </si>
  <si>
    <t>Verizon updates:
4228, 67283, 67284, 70213, 66031, 67198, 67197, 70199, 70200, 70267, 65961, 65777, 67239, 67348, 67261, 67259, 69744, 67332, 67314, 67257, 69750, 71527, 71542, 67194, 70360, /nv/item_files/ims/qp_ims_presence_ext_config
ATT updates:
1896, 1920, 69673, 67332, 69749, 65814, 70202, 69750, 67283, 67284, 70287, 71572, 67194, 67195, 70233, 70291, 65768, 70319, 70263, 70239, 67261, 67264, 71527, 69744, 65959, 67348, 67281, 70235</t>
  </si>
  <si>
    <t>Verizon: 0x02010140
ATT_VoLTE: 0x02010333</t>
  </si>
  <si>
    <t>edited NV: 
6 = 9</t>
  </si>
  <si>
    <t>Sprint: 0x02010239</t>
  </si>
  <si>
    <t>added NV: 
72590 = 1</t>
  </si>
  <si>
    <t>Sprint: 0x0201023A</t>
  </si>
  <si>
    <t xml:space="preserve">
Verizon updates:
67280 = 55000
67281 = 60000
67348.version = 15
67348.local_upgrade_accept_timer = 55000
ATT_VoLTE updates:
67259.smsRATMaskString = 0x640E
67259.RatMaskValue = 25614
71527.ims_rat_apn_info[0].iRAT = 119
71527.rat_apn_fb_info[4].iRATAPNFallback = 25088
71527.rat_apn_fb_info[5].iRATAPNFallback = 29184</t>
  </si>
  <si>
    <t>Verizon: 0x02010141
ATT_VoLTE: 0x02010334</t>
  </si>
  <si>
    <t>edited NVs:
71522=0,1,1,1</t>
  </si>
  <si>
    <t>Verizon: 0x02010142</t>
  </si>
  <si>
    <t>added EFS: 
segment_loading.xml
72542 = 1</t>
  </si>
  <si>
    <t>CMCC: 0x02011837</t>
  </si>
  <si>
    <t>edited NVs: 
67213 = 3, 67268 = 3, 67266 = 5000</t>
  </si>
  <si>
    <t>Sprint: 0x0201023B</t>
  </si>
  <si>
    <t>ATT Update</t>
  </si>
  <si>
    <t>Enable p-CSCF bits on Profies 2 &amp; 3</t>
  </si>
  <si>
    <t>ATT_VoLTE: 0x02010335</t>
  </si>
  <si>
    <t xml:space="preserve">added NVs: 
01014 =  0,1,0x1112, 0x1125, 0x1,0,0,0,0
01015 = 1, 00374=2 
00375=2, 02826=1, 0
no change: 
01016=1, 01017=2 </t>
  </si>
  <si>
    <t>Verizon: 0x02010143</t>
  </si>
  <si>
    <t>Updated PRL</t>
  </si>
  <si>
    <t>Sprint: 0x0201023C</t>
  </si>
  <si>
    <t>CMCC Lab Update</t>
  </si>
  <si>
    <t>Added EFS files: 
atcop_cops_auto_mode.txt
tdscdma_op_plmn_list</t>
  </si>
  <si>
    <t>CMCC_Lab: 0x02011835</t>
  </si>
  <si>
    <t>New Carrier Configurations: CT_DSDS, CT_DSDA
Update to CT</t>
  </si>
  <si>
    <t>CT_DSDS, CT_DSDA based off CT. 
CT = SVLTE SS
CT_DSDS = C + G DSDS
CT_DSDA = SVLTE + G DSDA
Following changes added to all 3 CT configs: 
Added NVs to all CT configs: 
4398, 6876, 6907, 70266, 67291</t>
  </si>
  <si>
    <t>CT: 0x02011333
CT_DSDS: 0x02011330
CT_DSDA: 0x02011330</t>
  </si>
  <si>
    <t>TMO Update</t>
  </si>
  <si>
    <t>IMS updates for TMO: 
edited NVs: 
850, 882, 1920, 3532, 3533, 10
added NVs/EFS: 
562, 855, 3446, 6862, 4265, 6830, 6831, 65956, 65961, 66472, 66473, 65777, 66048, 67218, 67261, 67264, 67259, 69744, 69673, 67348, 67332, 67257, 65959, 69750, 69749, 65814, 70202, 65955, 65957, 67194, 67195, 67199, 67280, 67281, 67282, 65964, 65960, 66031, 67239, 67240, 67241, 70213, 67225, 70291, 70287, 70233, 70239, 70263, 71527, 71540</t>
  </si>
  <si>
    <t>TMO: 0x02010534</t>
  </si>
  <si>
    <t>C2K Updates</t>
  </si>
  <si>
    <t>Back pressure NV items to be set for all c2k MBNs
added EFS for Verizon, CT_x, Sprint, KDDI, W-One: 
NV 69739 = 1 (enabled) and 1000 (timer_value)
NV 67208 = 1</t>
  </si>
  <si>
    <t>Verizon: 0x02010144
Sprint: 0x0201023D
CT: 0x02011335
CT_DSDS: 0x02011331
CT_DSDA: 0x02011331
W-One: 0x0201193A
KDDI: 0x02010735</t>
  </si>
  <si>
    <t>Add APN_Class to 3GPP2 profiles. Made all IPV4_V6.
edited EFS: 
/pdp_profiles/embedded_call_prof_num = 3</t>
  </si>
  <si>
    <t>Verizon: 0x02010145</t>
  </si>
  <si>
    <t>TMO &amp; ADAPT updates
Sprint Update</t>
  </si>
  <si>
    <t>Added NV: 
4722 = 3
Also updated Sprints carrier_policy path: 
modem_proc\mmcp\policyman\configurations\Carrier\Sprint\No_GSM_in_USA\carrier_policy.xml
Updated internal macros to generate revision statistics</t>
  </si>
  <si>
    <t>TMO: 0x02010535
ATT: 0x02010337
ATT_VoLTE: 0x02010336
Sprint: 0x0201023E</t>
  </si>
  <si>
    <t>CMCC &amp; CMCC_Lab updates</t>
  </si>
  <si>
    <t>CMCC edited EFS: 
Segmented Loading Policy 
CMCC_Lab edited EFS: 
Carrier_Policy
70189 - /nv/item_files/modem/nas/tdscdma_op_plmn_list</t>
  </si>
  <si>
    <t>CMCC: 0x02011838
CMCC_Lab: 0x02011836</t>
  </si>
  <si>
    <t>Corrections: TMO update</t>
  </si>
  <si>
    <t>corrected EFS entries: 
71540, 70263</t>
  </si>
  <si>
    <t>TMO: 0x02010536</t>
  </si>
  <si>
    <t>Workbook updates</t>
  </si>
  <si>
    <t>Updates enable generation of single carriers</t>
  </si>
  <si>
    <t>Verizon_1xSRLTE update</t>
  </si>
  <si>
    <t>Verizon_1xSRLTE update:
updated/edited NVs: 
5, 905, 4399, 1892, 1895, 1962, 2822, 3446, 3632, 4231, 4227
edited EFS: 
65674, 67288, 67289, 66045, 66048
new EFS: 
67288, 67270, 67292, 65677, 72538, 72539, 72550, 65819, 72594, 72608
/nv/item_files/modem/lte/ML1/spv_timer_connected
/nv/item_files/modem/lte/ML1/cdrx_collision_params
/policyman/carrier_policy.xml</t>
  </si>
  <si>
    <t xml:space="preserve">
Verizon_1xSRLTE: 0x02010140</t>
  </si>
  <si>
    <t>ATT/ATTVoLTE update</t>
  </si>
  <si>
    <t>Update profile path to lower case</t>
  </si>
  <si>
    <t>ATT: 0x02010338
ATT_VoLTE: 0x02010337</t>
  </si>
  <si>
    <t>Corrected profile1
udpated carrier_policy entry</t>
  </si>
  <si>
    <t xml:space="preserve">
Verizon_1xSRLTE: 0x02010141</t>
  </si>
  <si>
    <t>ATT_VoLTE IMS update</t>
  </si>
  <si>
    <t>added EFS: 
71597: /nv/item_files/ims/qipcall_qos_config</t>
  </si>
  <si>
    <t>ATT_VoLTE: 0x02010338</t>
  </si>
  <si>
    <t>Verizon update
Verizon_1xSRLTE update</t>
  </si>
  <si>
    <t xml:space="preserve">both Verizon Configs: 
added  new NV/EFS :                                                               NV 70299 =2000 /nv/item_files/modem/uim/gstk/attach_ctrl_timer   </t>
  </si>
  <si>
    <t>Verizon: 0x02010146
Verizon_1xSRLTE : 0x02010142</t>
  </si>
  <si>
    <t>677496
665181</t>
  </si>
  <si>
    <t>editedEFS: 
(67219 not included )
72561 = 311, 480
updated EFS: 
added Operator Reserved PCO bits  to profiles 1 &amp; 3
updated carrier policy.xml
ds_dsd_attach_profile.txt
ds_dsd_apm_rules.txt
Profile1, profile3</t>
  </si>
  <si>
    <t>Verizon_1xSRLTE: 0x02010143</t>
  </si>
  <si>
    <t>Sprint update</t>
  </si>
  <si>
    <t>added NVs/EFS and removed place holder &amp; NV 304: 6,10,441,562,850,855,880,881,1018,3515,3532,3533,4204,4964,6828,65777,66035,65881,65883,4398,3635,67290,3634,4185,4192,259,463,67213,67268,65778</t>
  </si>
  <si>
    <t>Sprint: 0x0201023F</t>
  </si>
  <si>
    <t>Removed  unrelated carrier spreadsheet</t>
  </si>
  <si>
    <t>GENERIC</t>
  </si>
  <si>
    <t>COMMON</t>
  </si>
  <si>
    <t xml:space="preserve">Kept Default and W-One only
Removed 70319 from DI 4.0 spreadsheet. (CR658811) Never included in mbn </t>
  </si>
  <si>
    <t>W-One update</t>
  </si>
  <si>
    <t>Added new 3gpp APN name - camo-term-01.qualcomm.com</t>
  </si>
  <si>
    <t>W-One: 0x0201193D</t>
  </si>
  <si>
    <t>All configs updated</t>
  </si>
  <si>
    <t>Ported from Dime 4.0 ver 76</t>
  </si>
  <si>
    <t>Default 0x04E00000
W-One 0x04011900</t>
  </si>
  <si>
    <t xml:space="preserve">Profiles updates:      (1)  Profile3-/Data_Profiles/Profile3-APN  =  wonev6.com for 3gpp (2) Profile4- /Data_Profiles/Profile4 -APN  = wonev4v6.com for 3gpp (3) Profile_102  - /application_specific_profiles/profile_102.txt  - APN  = wonev6.com for 3gpp2, (4) Profile_104 - /application_specific_profiles/profile_104.txt -APN  = wonev4v6.com for 3gpp2                                                                   </t>
  </si>
  <si>
    <t>Config updates</t>
  </si>
  <si>
    <t xml:space="preserve">Updates to target profiles paths for all configs. Profiles now stored in “/Data_Profiles/SubsX” directory </t>
  </si>
  <si>
    <t>W-One 0x04011901</t>
  </si>
  <si>
    <t>W-One Update</t>
  </si>
  <si>
    <t>* Set NV 4964 to 4
* Set NV 6862 to 1</t>
  </si>
  <si>
    <t>0x04011902</t>
  </si>
  <si>
    <t>IIN update:  8900310</t>
  </si>
  <si>
    <t>W-One 0x04011903</t>
  </si>
  <si>
    <t xml:space="preserve">Updated IIN list count </t>
  </si>
  <si>
    <t>W-One 0x04011904</t>
  </si>
  <si>
    <t>W-One 0x04011905</t>
  </si>
  <si>
    <t>Added Profile0: 
APN_String:wirelessone.com;
PDN_IP_Version_Type:V4_V6;
RAN_Type:HRPD_EHRPD;
Corrected IIN List Length</t>
  </si>
  <si>
    <t>Verizon MCFG SW Items List</t>
  </si>
  <si>
    <t>Slot Cycle Index</t>
  </si>
  <si>
    <t>slot_cycle_index</t>
  </si>
  <si>
    <t>0x0</t>
  </si>
  <si>
    <t>0x4</t>
  </si>
  <si>
    <t>USCC</t>
  </si>
  <si>
    <t>Home SID/NID List</t>
  </si>
  <si>
    <t>home_sid_nid</t>
  </si>
  <si>
    <t>pair[0].sid</t>
  </si>
  <si>
    <t>pair[0].nid</t>
  </si>
  <si>
    <t>pair[1].sid</t>
  </si>
  <si>
    <t>pair[1].nid</t>
  </si>
  <si>
    <t>pair[2].sid</t>
  </si>
  <si>
    <t>pair[2].nid</t>
  </si>
  <si>
    <t>pair[3].sid</t>
  </si>
  <si>
    <t>pair[3].nid</t>
  </si>
  <si>
    <t>pair[4].sid</t>
  </si>
  <si>
    <t>pair[4].nid</t>
  </si>
  <si>
    <t>pair[5].sid</t>
  </si>
  <si>
    <t>pair[5].nid</t>
  </si>
  <si>
    <t>pair[6].sid</t>
  </si>
  <si>
    <t>pair[6].nid</t>
  </si>
  <si>
    <t>pair[7].sid</t>
  </si>
  <si>
    <t>pair[7].nid</t>
  </si>
  <si>
    <t>pair[8].sid</t>
  </si>
  <si>
    <t>pair[8].nid</t>
  </si>
  <si>
    <t>pair[9].sid</t>
  </si>
  <si>
    <t>pair[9].nid</t>
  </si>
  <si>
    <t>pair[10].sid</t>
  </si>
  <si>
    <t>pair[10].nid</t>
  </si>
  <si>
    <t>pair[11].sid</t>
  </si>
  <si>
    <t>pair[11].nid</t>
  </si>
  <si>
    <t>pair[12].sid</t>
  </si>
  <si>
    <t>pair[12].nid</t>
  </si>
  <si>
    <t>pair[13].sid</t>
  </si>
  <si>
    <t>pair[13].nid</t>
  </si>
  <si>
    <t>pair[14].sid</t>
  </si>
  <si>
    <t>pair[14].nid</t>
  </si>
  <si>
    <t>pair[15].sid</t>
  </si>
  <si>
    <t>pair[15].nid</t>
  </si>
  <si>
    <t>pair[16].sid</t>
  </si>
  <si>
    <t>pair[16].nid</t>
  </si>
  <si>
    <t>pair[17].sid</t>
  </si>
  <si>
    <t>pair[17].nid</t>
  </si>
  <si>
    <t>pair[18].sid</t>
  </si>
  <si>
    <t>pair[18].nid</t>
  </si>
  <si>
    <t>pair[19].sid</t>
  </si>
  <si>
    <t>pair[19].nid</t>
  </si>
  <si>
    <t>ftm_mode</t>
  </si>
  <si>
    <t>Data Services QC Mobile IP</t>
  </si>
  <si>
    <t>ds_qcmip</t>
  </si>
  <si>
    <t>HDR SCP Session Status</t>
  </si>
  <si>
    <t>hdrscp_session_status</t>
  </si>
  <si>
    <t>0xC1</t>
  </si>
  <si>
    <t>Fatal Error Option</t>
  </si>
  <si>
    <t>err_fatal_option</t>
  </si>
  <si>
    <t>0x6C91</t>
  </si>
  <si>
    <t>Diag Debug Control</t>
  </si>
  <si>
    <t>diag_debug_control</t>
  </si>
  <si>
    <t>Diag Debug Detail</t>
  </si>
  <si>
    <t>diag_debug_detail</t>
  </si>
  <si>
    <t>0xFF</t>
  </si>
  <si>
    <t>Trace Files Saved EFS</t>
  </si>
  <si>
    <t>diag_debug_max_files</t>
  </si>
  <si>
    <t>USB Charging NV Disable Value</t>
  </si>
  <si>
    <t>chg_usb_nvdisable_val</t>
  </si>
  <si>
    <t>0x87</t>
  </si>
  <si>
    <t>DDTM Settings</t>
  </si>
  <si>
    <t>ddtm_settings</t>
  </si>
  <si>
    <t>nv_ddtm_pref_type</t>
  </si>
  <si>
    <t>nv_ddtm_act</t>
  </si>
  <si>
    <t>num_srv_opt</t>
  </si>
  <si>
    <t>srv_opt_list[num_srv_opt]</t>
  </si>
  <si>
    <t>reserved</t>
  </si>
  <si>
    <t>Application Power Disable</t>
  </si>
  <si>
    <t>apps_pwrc_disable</t>
  </si>
  <si>
    <t>HDR L1 debug mask</t>
  </si>
  <si>
    <t>hdrl1_dbg_msk</t>
  </si>
  <si>
    <t>hdrl1_dbg_msk.hdrsrch_dbg_msk</t>
  </si>
  <si>
    <t>hdrl1_dbg_msk.hdrmac_dbg_msk</t>
  </si>
  <si>
    <t>DS Mobile IP Deregistration Retries</t>
  </si>
  <si>
    <t>ds_mip_dereg_retries</t>
  </si>
  <si>
    <t>Detect HW Reset</t>
  </si>
  <si>
    <t>detect_hw_reset</t>
  </si>
  <si>
    <t>High Speed USB Current Composition</t>
  </si>
  <si>
    <t>hs_usb_current_composition</t>
  </si>
  <si>
    <t>UICC Mode</t>
  </si>
  <si>
    <t>HDR SCP Subtype Custom Config</t>
  </si>
  <si>
    <t>hdrscp_subtype_custom_config</t>
  </si>
  <si>
    <t>Custom Config Is Active</t>
  </si>
  <si>
    <t>(false)</t>
  </si>
  <si>
    <t>Protocol Subtypes</t>
  </si>
  <si>
    <t>Broadcast Subtypes</t>
  </si>
  <si>
    <t>Applications Subtypes</t>
  </si>
  <si>
    <t>SD Configurable Items</t>
  </si>
  <si>
    <t>sd_cfg_items</t>
  </si>
  <si>
    <t xml:space="preserve">nv_sd_cfg_items_s_type.version                  </t>
  </si>
  <si>
    <t xml:space="preserve">nv_sd_cfg_items_s_type.count                        </t>
  </si>
  <si>
    <t xml:space="preserve">nv_sd_cfg_items_s_type.items[0]              </t>
  </si>
  <si>
    <t>TMR_AMPS_RESEL</t>
  </si>
  <si>
    <t xml:space="preserve">nv_sd_cfg_items_s_type.items[1]        </t>
  </si>
  <si>
    <t>TMR_CDMA_RESEL</t>
  </si>
  <si>
    <t xml:space="preserve">nv_sd_cfg_items_s_type.items[2]                 </t>
  </si>
  <si>
    <t>TMR_CDMA_RESEL_HOLD_CALL_END</t>
  </si>
  <si>
    <t>nv_sd_cfg_items_s_type.items[3]</t>
  </si>
  <si>
    <t>TMR_CDMA_RESEL_HOLD_IDLE_HOFF</t>
  </si>
  <si>
    <t xml:space="preserve">nv_sd_cfg_items_s_type.items[4]               </t>
  </si>
  <si>
    <t>TMR_CDMA_REDIR</t>
  </si>
  <si>
    <t xml:space="preserve">nv_sd_cfg_items_s_type.items[5]    </t>
  </si>
  <si>
    <t>TMR_HDR_RESEL</t>
  </si>
  <si>
    <t xml:space="preserve">nv_sd_cfg_items_s_type.items[6]       </t>
  </si>
  <si>
    <t>TMR_HDR_RESEL_HOLD</t>
  </si>
  <si>
    <t xml:space="preserve">nv_sd_cfg_items_s_type.items[7]          </t>
  </si>
  <si>
    <t>TMR_HDR_REDIR</t>
  </si>
  <si>
    <t xml:space="preserve">nv_sd_cfg_items_s_type.items[8]     </t>
  </si>
  <si>
    <t>TMR_HDR_RESEL_HOLD_CALL_END</t>
  </si>
  <si>
    <t xml:space="preserve">nv_sd_cfg_items_s_type.items[9]     </t>
  </si>
  <si>
    <t>CDMA_PI_THR</t>
  </si>
  <si>
    <t>nv_sd_cfg_items_s_type.items[10]</t>
  </si>
  <si>
    <t>SDSSSCR_NV_ITEM_RESEL_HOLD_3GPP_ACTIVITY</t>
  </si>
  <si>
    <t>nv_sd_cfg_items_s_type.items[11]</t>
  </si>
  <si>
    <t>TMR_RESERVED_1</t>
  </si>
  <si>
    <t>nv_sd_cfg_items_s_type.items[12]</t>
  </si>
  <si>
    <t>TMR_RESEL_TIMEOUT_SS_PREF</t>
  </si>
  <si>
    <t>nv_sd_cfg_items_s_type.items[13]</t>
  </si>
  <si>
    <t>SDSSSCR_NV_ITEM_C2K_ALT_ALGR</t>
  </si>
  <si>
    <t xml:space="preserve">nv_sd_cfg_items_s_type.items[14]    </t>
  </si>
  <si>
    <t>SDSSSCR_NV_ITEM_ALT_CDMA_BSR_STAGE1_TIME</t>
  </si>
  <si>
    <t xml:space="preserve">nv_sd_cfg_items_s_type.items[15]    </t>
  </si>
  <si>
    <t>SDSSSCR_NV_ITEM_ALT_CDMA_BSR_STAGE2_TIME</t>
  </si>
  <si>
    <t xml:space="preserve">nv_sd_cfg_items_s_type.items[16]        </t>
  </si>
  <si>
    <t>TMR_CDMA_RESEL_HOLD_HDR_ACTIVITY</t>
  </si>
  <si>
    <t xml:space="preserve">nv_sd_cfg_items_s_type.items[17]       </t>
  </si>
  <si>
    <t>TMR_LOC_BAS_HDR_LTE_RESEL</t>
  </si>
  <si>
    <t xml:space="preserve">nv_sd_cfg_items_s_type.items[18]       </t>
  </si>
  <si>
    <t>PWR_SAVE_ENTER_TIME</t>
  </si>
  <si>
    <t xml:space="preserve">nv_sd_cfg_items_s_type.items[19]     </t>
  </si>
  <si>
    <t>PWR_SAVE_WAKEUP_TIME</t>
  </si>
  <si>
    <t xml:space="preserve">nv_sd_cfg_items_s_type.items[20]      </t>
  </si>
  <si>
    <t>TMR_PWR_SAVE_COLLOC</t>
  </si>
  <si>
    <t xml:space="preserve">nv_sd_cfg_items_s_type.items[21]         </t>
  </si>
  <si>
    <t>TMR_LTE_HRPD_RESEL</t>
  </si>
  <si>
    <t xml:space="preserve">nv_sd_cfg_items_s_type.items[22]          </t>
  </si>
  <si>
    <t>TMR_CDMA_MAP_AVOID_TIMER</t>
  </si>
  <si>
    <t xml:space="preserve">nv_sd_cfg_items_s_type.items[23]      </t>
  </si>
  <si>
    <t>TMR_CDMA_ABSR_COUNT</t>
  </si>
  <si>
    <t xml:space="preserve">nv_sd_cfg_items_s_type.items[24] </t>
  </si>
  <si>
    <t>TMR_CDMA_NUM_ABSR_PER_BSR</t>
  </si>
  <si>
    <t>SMS Max Payload Length</t>
  </si>
  <si>
    <t>sms_max_payload_length</t>
  </si>
  <si>
    <t>SMS MO on Access Channel</t>
  </si>
  <si>
    <t>sms_mo_on_access_channel</t>
  </si>
  <si>
    <t>UIM Select Default USIM Application</t>
  </si>
  <si>
    <t>uim_select_default_usim_app</t>
  </si>
  <si>
    <t>MRU Data Type</t>
  </si>
  <si>
    <t>mru3_table</t>
  </si>
  <si>
    <t>Enable SO73 Capability</t>
  </si>
  <si>
    <t>CDMA 1xCP Advanced Capability Status</t>
  </si>
  <si>
    <t>/nv/item_files/cdma/1xcp/1xadvanced_capability</t>
  </si>
  <si>
    <t>Enable Wideband HD Voice on SO73 (COP 0)</t>
  </si>
  <si>
    <t>/nv/item_files/cdma/1xcp/so73_cop0_supported</t>
  </si>
  <si>
    <t>Valid Count</t>
  </si>
  <si>
    <t>Item[0]</t>
  </si>
  <si>
    <t>Item[1]</t>
  </si>
  <si>
    <t>Item[2]</t>
  </si>
  <si>
    <t>Item[3]</t>
  </si>
  <si>
    <t>Item[4]</t>
  </si>
  <si>
    <t>Item[5]</t>
  </si>
  <si>
    <t>Item[6]</t>
  </si>
  <si>
    <t>Item[7]</t>
  </si>
  <si>
    <t>Item[8]</t>
  </si>
  <si>
    <t>Item[9]</t>
  </si>
  <si>
    <t>Item[10]</t>
  </si>
  <si>
    <t>int[39]</t>
  </si>
  <si>
    <t>3GPP PDN Type Override Flag</t>
  </si>
  <si>
    <t>/nv/item_files/modem/data/3gpp/lteps/profile_pdn_type_override</t>
  </si>
  <si>
    <t>10,300</t>
  </si>
  <si>
    <t>propose_ehrpd_after_irat</t>
  </si>
  <si>
    <t>is_roaming_ehrpd_disabled</t>
  </si>
  <si>
    <t>max_hard_fallback_count</t>
  </si>
  <si>
    <t>max_soft_fallback_count</t>
  </si>
  <si>
    <t>back_to_ehrpd_timer</t>
  </si>
  <si>
    <t>HDR ACQ DIV Threshold 0</t>
  </si>
  <si>
    <t>Default = -98</t>
  </si>
  <si>
    <t>Max SIB8 Waiting Slots</t>
  </si>
  <si>
    <t>/nv/item_files/modem/mmode/n_maxSIB8</t>
  </si>
  <si>
    <t>IMS_enable</t>
  </si>
  <si>
    <t>modem_proc\mcfg\mcfg_gen\scripts\data\efs_files\uscc\attach_profile</t>
  </si>
  <si>
    <t>CDMA 1x CSFB C2K Param Timeout</t>
  </si>
  <si>
    <t>/nv/item_files/cdma/1xcp/1xcsfb_t_max_no_c2k_param</t>
  </si>
  <si>
    <t>Maximum wait period after UE sends 1x Parameters request for response</t>
  </si>
  <si>
    <t>CDMA 1x CSFB Max No Voice Timeout</t>
  </si>
  <si>
    <t>/nv/item_files/cdma/1xcp/1xcsfb_t_max_no_voice</t>
  </si>
  <si>
    <t>Maximum waiting period for CDMA 1x CSFB No Voice</t>
  </si>
  <si>
    <t>CDMA 1x CSFB Max Registration Retry Count</t>
  </si>
  <si>
    <t>/nv/item_files/cdma/1xcp/1xcsfb_n_max_reg_retry_cnt</t>
  </si>
  <si>
    <t>Maximum Number of 1x CSFB CDMA Registration Retries</t>
  </si>
  <si>
    <t>3GPP2 Do Session Close After MIP Failure</t>
  </si>
  <si>
    <t>/nv/item_files/data/3gpp2/mip_fail_do_sess_close</t>
  </si>
  <si>
    <t>3GPP2 Max Fallback PDN Failure Count</t>
  </si>
  <si>
    <t>/nv/item_files/data/3gpp2/max_fb_pdn_failure_count</t>
  </si>
  <si>
    <t>LTE Disable Duration</t>
  </si>
  <si>
    <t>/nv/item_files/modem/mmode/lte_disable_duration</t>
  </si>
  <si>
    <t>0 --- disable LTE until next power cycle0 &lt; and &lt;720  all values between 0 and 720 are treated as 720 sec 720, values in seconds</t>
  </si>
  <si>
    <t>SXLTE Timers</t>
  </si>
  <si>
    <t>/nv/item_files/modem/mmode/sxlte_timers</t>
  </si>
  <si>
    <t>Support For Dual Rx UEs</t>
  </si>
  <si>
    <t>/nv/item_files/modem/mmode/supportfordualrxues</t>
  </si>
  <si>
    <t>NAS SRLTE ESR Timer Value</t>
  </si>
  <si>
    <t>/nv/item_files/modem/nas/lte_nas_srlte_esr_time</t>
  </si>
  <si>
    <t>MCS PBR Bias Information</t>
  </si>
  <si>
    <t>/nv/item_files/mcs/trm/pbr_info</t>
  </si>
  <si>
    <t>PBRBiasInfo.1X</t>
  </si>
  <si>
    <t>PBRBiasInfo.HDR</t>
  </si>
  <si>
    <t>PBRBiasInfo.GSM</t>
  </si>
  <si>
    <t>PBRBiasInfo.WCDMA</t>
  </si>
  <si>
    <t>PBRBiasInfo.LTE</t>
  </si>
  <si>
    <t>PBRBiasInfo.TDS</t>
  </si>
  <si>
    <t>PBRBiasInfo.GSM_Sim2</t>
  </si>
  <si>
    <t>PBRBiasInfo.Reserved[0]</t>
  </si>
  <si>
    <t>PBRBiasInfo.Reserved[1]</t>
  </si>
  <si>
    <t>PBRBiasInfo.Reserved[2]</t>
  </si>
  <si>
    <t>PBRBiasInfo.Reserved[3]</t>
  </si>
  <si>
    <t>1x ACQ Priority Inversion Timers</t>
  </si>
  <si>
    <t>/nv/item_files/modem/1x/acq_pri_timers</t>
  </si>
  <si>
    <t>en_mask</t>
  </si>
  <si>
    <t>acq_low_pri_timer</t>
  </si>
  <si>
    <t>acq_high_pri_timer</t>
  </si>
  <si>
    <t>Profile_000</t>
  </si>
  <si>
    <t>/application_specific_profiles/profile_000.txt</t>
  </si>
  <si>
    <t>modem_proc\mcfg\mcfg_gen\scripts\data\efs_files\uscc\profile_000.txt</t>
  </si>
  <si>
    <t>Profile_003</t>
  </si>
  <si>
    <t>/application_specific_profiles/profile_003.txt</t>
  </si>
  <si>
    <t>modem_proc\mcfg\mcfg_gen\scripts\data\efs_files\uscc\profile_003.txt</t>
  </si>
  <si>
    <t>Profile_004</t>
  </si>
  <si>
    <t>/application_specific_profiles/profile_004.txt</t>
  </si>
  <si>
    <t>modem_proc\mcfg\mcfg_gen\scripts\data\efs_files\uscc\profile_004.txt</t>
  </si>
  <si>
    <t>Profile_006</t>
  </si>
  <si>
    <t>/application_specific_profiles/profile_006.txt</t>
  </si>
  <si>
    <t>modem_proc\mcfg\mcfg_gen\scripts\data\efs_files\uscc\profile_006.txt</t>
  </si>
  <si>
    <t>Profile_007</t>
  </si>
  <si>
    <t>/application_specific_profiles/profile_007.txt</t>
  </si>
  <si>
    <t>modem_proc\mcfg\mcfg_gen\scripts\data\efs_files\uscc\profile_007.txt</t>
  </si>
  <si>
    <t>US Cellular Trailer Record</t>
  </si>
  <si>
    <t>US_Cellular</t>
  </si>
  <si>
    <t>890158</t>
  </si>
  <si>
    <t>USCC Creation</t>
  </si>
  <si>
    <t>Added US Cellular Config</t>
  </si>
  <si>
    <t>US_Cellular: 0x04012000</t>
  </si>
  <si>
    <t>IN NV 67264:
RegManagerPdpProfileName =w1v6v4.com
RegPCOEnable = 0
RegPreConfigEnabled = 1
regManagerPreConfigServer = 172.20.204.92
RegRATConfig = 10
In NV 71527 
iISIMPriority = 2
iNVPriority = 1
iPCOPriority =0
ims_apn_name_db[0] = w1v6v4.com
(other settings from Verizon config in later PL)
removed 67258
profile6 = IPV4V6, w1v6v4.com
profile7 = IPV4V6, w1v4v6.com</t>
  </si>
  <si>
    <t>W-One: 0x04011906</t>
  </si>
  <si>
    <t>New Carrier Config</t>
  </si>
  <si>
    <t>W-One: 0x040119E0</t>
  </si>
  <si>
    <t xml:space="preserve">Based on W-One config plus 
added EFS/NV itesm: 
4192:1
4102: 1
CDMA (1x)
441 – 0xFFFF
850 – CS+PS
74 – 1 (Auto Answer)
70193 – 0
70310 – 1
WCDMA
880-0
881-0
882-1
TDS
Rxd NV 69745: Version=3 | RxD_Enable=0 | RxD_RDDS_Enable=0
 /nv/item_files/sleep/core0/sleep_config.ini
no delta: 
850 = 2, 74 = 1, 441 = 0, 0xFFFF
</t>
  </si>
  <si>
    <t>W-One Updates</t>
  </si>
  <si>
    <t>W-One: 0x040119E1</t>
  </si>
  <si>
    <t>67348:
version = 15
video_media_profile_mode = 3
67264:
RegPCOEEnabled = 1
regManagerPreConfigServerBase = &lt;blank&gt;
71527: 
ims_rat_apn_info[1].iIPTypeInfo = 80
iISIMPriority = 3
67261.E911IPV6Enabled = 1
Enabled PCO bit on Profile1</t>
  </si>
  <si>
    <t>Profile1 correction</t>
  </si>
  <si>
    <t>W-One: 0x04011908</t>
  </si>
  <si>
    <t>W-One: 0x04011909</t>
  </si>
  <si>
    <t>67196=1</t>
  </si>
  <si>
    <t>NV 67258,67264,69744,71527,67259,67261,65956 update</t>
  </si>
  <si>
    <t>W-One: 0x0401190A</t>
  </si>
  <si>
    <t>Carrier</t>
  </si>
  <si>
    <t>Commercial</t>
  </si>
  <si>
    <t>Commercial-US_Cellular</t>
  </si>
  <si>
    <t>Commercial Updates</t>
  </si>
  <si>
    <t> 750260</t>
  </si>
  <si>
    <t>NV3446 updated to (2,0)</t>
  </si>
  <si>
    <t>Commercial:0x04012001</t>
  </si>
  <si>
    <t>MCFG.MPSS.5.0</t>
  </si>
  <si>
    <t>QC_version_type</t>
  </si>
  <si>
    <t>0x05</t>
  </si>
  <si>
    <t>QC_version_len</t>
  </si>
  <si>
    <t>QC_version</t>
  </si>
  <si>
    <t> 750720</t>
  </si>
  <si>
    <t>Commercial and QC_Version Updates</t>
  </si>
  <si>
    <t>Commercial:0x05012001</t>
  </si>
  <si>
    <t> 805833</t>
  </si>
  <si>
    <t>JO PL MBN needs to update the NV 65674 to inactive</t>
  </si>
  <si>
    <t>Commercial:0x05012002</t>
  </si>
  <si>
    <t>0x19</t>
  </si>
  <si>
    <t>0x3D</t>
  </si>
  <si>
    <t>7+5 changes for OPPO CPL</t>
  </si>
  <si>
    <t>Commercial:0x05012003</t>
  </si>
  <si>
    <t>Commercial:0x05011801</t>
  </si>
  <si>
    <t>All configs</t>
  </si>
  <si>
    <t>NV850 Removed</t>
  </si>
  <si>
    <t>Commercial:0x05011802</t>
  </si>
  <si>
    <t>MCFG Updates</t>
  </si>
  <si>
    <t>removal of NV 3446 from all sw_mbn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</si>
  <si>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</si>
  <si>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</si>
  <si>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</si>
  <si>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</si>
  <si>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</si>
  <si>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</si>
  <si>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</si>
  <si>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</si>
  <si>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</si>
  <si>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</si>
  <si>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</si>
  <si>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</si>
  <si>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</si>
  <si>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</si>
  <si>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</si>
  <si>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311-580</t>
  </si>
  <si>
    <t>0x05011801</t>
  </si>
  <si>
    <t>Expand NV blacklist in generation scripts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</si>
</sst>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7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b/>
      <sz val="18"/>
      <name val="Gill Sans MT"/>
      <family val="2"/>
      <scheme val="major"/>
    </font>
    <font>
      <b/>
      <sz val="12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sz val="11"/>
      <name val="Gill Sans MT"/>
      <family val="2"/>
      <scheme val="minor"/>
    </font>
    <font>
      <b/>
      <sz val="10"/>
      <name val="Gill Sans MT"/>
      <family val="2"/>
      <scheme val="major"/>
    </font>
    <font>
      <sz val="18"/>
      <name val="Gill Sans MT"/>
      <family val="2"/>
      <scheme val="major"/>
    </font>
    <font>
      <sz val="9"/>
      <name val="Arial"/>
      <family val="2"/>
    </font>
    <font>
      <sz val="8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1798">
    <xf numFmtId="0" fontId="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62" fillId="0" borderId="0"/>
    <xf numFmtId="49" fontId="66" fillId="0" borderId="21" applyNumberFormat="0" applyFont="0" applyFill="0" applyAlignment="0" applyProtection="0">
      <alignment horizontal="center" vertical="center"/>
      <protection locked="0"/>
    </xf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62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153">
    <xf numFmtId="0" fontId="0" fillId="0" borderId="0" xfId="0"/>
    <xf numFmtId="0" fontId="51" fillId="0" borderId="0" xfId="0" applyFont="1"/>
    <xf numFmtId="0" fontId="52" fillId="0" borderId="0" xfId="0" applyFont="1"/>
    <xf numFmtId="0" fontId="53" fillId="0" borderId="0" xfId="0" applyFont="1" applyFill="1" applyAlignment="1">
      <alignment horizontal="right"/>
    </xf>
    <xf numFmtId="0" fontId="52" fillId="0" borderId="10" xfId="0" applyFont="1" applyBorder="1" applyAlignment="1">
      <alignment horizontal="left" indent="1"/>
    </xf>
    <xf numFmtId="0" fontId="51" fillId="2" borderId="6" xfId="0" applyFont="1" applyFill="1" applyBorder="1" applyAlignment="1">
      <alignment horizontal="center"/>
    </xf>
    <xf numFmtId="0" fontId="55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52" fillId="0" borderId="0" xfId="0" applyFont="1"/>
    <xf numFmtId="0" fontId="53" fillId="0" borderId="0" xfId="0" applyFont="1" applyAlignment="1">
      <alignment horizontal="right"/>
    </xf>
    <xf numFmtId="0" fontId="51" fillId="0" borderId="0" xfId="0" applyFont="1" applyAlignment="1">
      <alignment horizontal="left" indent="1"/>
    </xf>
    <xf numFmtId="0" fontId="64" fillId="0" borderId="19" xfId="0" applyFont="1" applyBorder="1"/>
    <xf numFmtId="0" fontId="64" fillId="0" borderId="0" xfId="0" applyFont="1"/>
    <xf numFmtId="0" fontId="54" fillId="4" borderId="2" xfId="0" applyFont="1" applyFill="1" applyBorder="1" applyAlignment="1">
      <alignment horizontal="centerContinuous"/>
    </xf>
    <xf numFmtId="14" fontId="67" fillId="0" borderId="0" xfId="0" applyNumberFormat="1" applyFont="1" applyFill="1" applyAlignment="1">
      <alignment horizontal="left" indent="1"/>
    </xf>
    <xf numFmtId="0" fontId="67" fillId="0" borderId="0" xfId="0" applyFont="1" applyFill="1" applyAlignment="1">
      <alignment horizontal="left" indent="1"/>
    </xf>
    <xf numFmtId="0" fontId="58" fillId="0" borderId="0" xfId="0" applyFont="1"/>
    <xf numFmtId="0" fontId="0" fillId="0" borderId="0" xfId="0"/>
    <xf numFmtId="0" fontId="0" fillId="0" borderId="0" xfId="0" applyAlignment="1">
      <alignment horizontal="left" indent="1"/>
    </xf>
    <xf numFmtId="0" fontId="57" fillId="0" borderId="0" xfId="0" applyFont="1" applyAlignment="1"/>
    <xf numFmtId="0" fontId="0" fillId="0" borderId="0" xfId="0" applyAlignment="1"/>
    <xf numFmtId="0" fontId="51" fillId="0" borderId="0" xfId="0" applyFont="1" applyAlignment="1"/>
    <xf numFmtId="0" fontId="51" fillId="2" borderId="6" xfId="0" applyFont="1" applyFill="1" applyBorder="1" applyAlignment="1">
      <alignment horizontal="left"/>
    </xf>
    <xf numFmtId="0" fontId="52" fillId="0" borderId="0" xfId="0" applyFont="1" applyAlignment="1"/>
    <xf numFmtId="0" fontId="52" fillId="0" borderId="10" xfId="0" applyFont="1" applyBorder="1" applyAlignment="1">
      <alignment horizontal="left" indent="1"/>
    </xf>
    <xf numFmtId="0" fontId="51" fillId="2" borderId="12" xfId="0" applyFont="1" applyFill="1" applyBorder="1" applyAlignment="1">
      <alignment horizontal="left" indent="1"/>
    </xf>
    <xf numFmtId="0" fontId="51" fillId="2" borderId="5" xfId="0" applyFont="1" applyFill="1" applyBorder="1" applyAlignment="1">
      <alignment horizontal="left" indent="1"/>
    </xf>
    <xf numFmtId="0" fontId="51" fillId="2" borderId="4" xfId="0" applyFont="1" applyFill="1" applyBorder="1" applyAlignment="1">
      <alignment horizontal="left" indent="1"/>
    </xf>
    <xf numFmtId="0" fontId="0" fillId="0" borderId="0" xfId="0" applyFont="1"/>
    <xf numFmtId="0" fontId="59" fillId="0" borderId="15" xfId="0" applyFont="1" applyBorder="1" applyAlignment="1">
      <alignment horizontal="left" wrapText="1" indent="1"/>
    </xf>
    <xf numFmtId="0" fontId="58" fillId="0" borderId="8" xfId="0" applyFont="1" applyFill="1" applyBorder="1" applyAlignment="1">
      <alignment horizontal="left" wrapText="1" indent="1"/>
    </xf>
    <xf numFmtId="0" fontId="58" fillId="0" borderId="0" xfId="0" applyFont="1" applyFill="1" applyBorder="1" applyAlignment="1">
      <alignment horizontal="left" wrapText="1" indent="1"/>
    </xf>
    <xf numFmtId="0" fontId="65" fillId="0" borderId="0" xfId="0" applyFont="1"/>
    <xf numFmtId="0" fontId="56" fillId="3" borderId="0" xfId="0" applyFont="1" applyFill="1" applyAlignment="1">
      <alignment horizontal="centerContinuous" vertical="center"/>
    </xf>
    <xf numFmtId="0" fontId="52" fillId="0" borderId="0" xfId="0" applyFont="1"/>
    <xf numFmtId="0" fontId="58" fillId="0" borderId="10" xfId="0" applyFont="1" applyFill="1" applyBorder="1" applyAlignment="1">
      <alignment horizontal="center"/>
    </xf>
    <xf numFmtId="14" fontId="58" fillId="0" borderId="14" xfId="0" applyNumberFormat="1" applyFont="1" applyFill="1" applyBorder="1" applyAlignment="1">
      <alignment horizontal="left" indent="1"/>
    </xf>
    <xf numFmtId="0" fontId="59" fillId="0" borderId="15" xfId="0" applyFont="1" applyBorder="1" applyAlignment="1">
      <alignment wrapText="1"/>
    </xf>
    <xf numFmtId="0" fontId="58" fillId="0" borderId="0" xfId="0" applyFont="1" applyFill="1" applyBorder="1" applyAlignment="1">
      <alignment horizontal="left" wrapText="1"/>
    </xf>
    <xf numFmtId="0" fontId="58" fillId="0" borderId="8" xfId="3" applyFont="1" applyFill="1" applyBorder="1" applyAlignment="1">
      <alignment horizontal="left" wrapText="1" indent="1"/>
    </xf>
    <xf numFmtId="0" fontId="58" fillId="0" borderId="8" xfId="1896" applyFont="1" applyFill="1" applyBorder="1" applyAlignment="1">
      <alignment horizontal="left" wrapText="1" indent="1"/>
    </xf>
    <xf numFmtId="0" fontId="58" fillId="0" borderId="11" xfId="0" applyFont="1" applyBorder="1" applyAlignment="1">
      <alignment horizontal="left" indent="1"/>
    </xf>
    <xf numFmtId="0" fontId="51" fillId="2" borderId="12" xfId="0" applyFont="1" applyFill="1" applyBorder="1" applyAlignment="1">
      <alignment horizontal="centerContinuous"/>
    </xf>
    <xf numFmtId="0" fontId="65" fillId="0" borderId="0" xfId="0" applyFont="1" applyBorder="1" applyAlignment="1">
      <alignment horizontal="left" indent="1"/>
    </xf>
    <xf numFmtId="0" fontId="58" fillId="0" borderId="11" xfId="0" applyFont="1" applyFill="1" applyBorder="1" applyAlignment="1">
      <alignment horizontal="center"/>
    </xf>
    <xf numFmtId="14" fontId="58" fillId="0" borderId="13" xfId="0" applyNumberFormat="1" applyFont="1" applyFill="1" applyBorder="1" applyAlignment="1">
      <alignment horizontal="left" indent="1"/>
    </xf>
    <xf numFmtId="0" fontId="58" fillId="0" borderId="9" xfId="0" applyFont="1" applyFill="1" applyBorder="1" applyAlignment="1">
      <alignment horizontal="left" wrapText="1" indent="1"/>
    </xf>
    <xf numFmtId="0" fontId="58" fillId="0" borderId="2" xfId="0" applyFont="1" applyFill="1" applyBorder="1" applyAlignment="1">
      <alignment horizontal="left" wrapText="1" indent="1"/>
    </xf>
    <xf numFmtId="0" fontId="59" fillId="0" borderId="16" xfId="0" applyFont="1" applyBorder="1" applyAlignment="1">
      <alignment horizontal="left" wrapText="1" indent="1"/>
    </xf>
    <xf numFmtId="0" fontId="59" fillId="0" borderId="0" xfId="0" applyFont="1" applyBorder="1"/>
    <xf numFmtId="0" fontId="59" fillId="0" borderId="0" xfId="0" applyFont="1"/>
    <xf numFmtId="0" fontId="59" fillId="0" borderId="0" xfId="0" applyFont="1" applyAlignment="1">
      <alignment wrapText="1"/>
    </xf>
    <xf numFmtId="0" fontId="70" fillId="0" borderId="0" xfId="0" applyFont="1"/>
    <xf numFmtId="0" fontId="71" fillId="2" borderId="12" xfId="0" applyFont="1" applyFill="1" applyBorder="1" applyAlignment="1">
      <alignment horizontal="left" indent="1"/>
    </xf>
    <xf numFmtId="0" fontId="71" fillId="2" borderId="6" xfId="0" applyFont="1" applyFill="1" applyBorder="1" applyAlignment="1">
      <alignment horizontal="left" indent="1"/>
    </xf>
    <xf numFmtId="0" fontId="71" fillId="2" borderId="5" xfId="0" applyFont="1" applyFill="1" applyBorder="1" applyAlignment="1">
      <alignment horizontal="left" indent="1"/>
    </xf>
    <xf numFmtId="0" fontId="58" fillId="0" borderId="14" xfId="0" applyFont="1" applyBorder="1" applyAlignment="1">
      <alignment horizontal="left" indent="1"/>
    </xf>
    <xf numFmtId="0" fontId="58" fillId="0" borderId="14" xfId="0" applyFont="1" applyBorder="1"/>
    <xf numFmtId="0" fontId="58" fillId="0" borderId="13" xfId="0" applyFont="1" applyBorder="1" applyAlignment="1">
      <alignment horizontal="left" indent="1"/>
    </xf>
    <xf numFmtId="0" fontId="73" fillId="4" borderId="5" xfId="0" applyFont="1" applyFill="1" applyBorder="1" applyAlignment="1">
      <alignment horizontal="centerContinuous"/>
    </xf>
    <xf numFmtId="0" fontId="59" fillId="6" borderId="14" xfId="0" applyFont="1" applyFill="1" applyBorder="1"/>
    <xf numFmtId="0" fontId="74" fillId="0" borderId="0" xfId="0" applyFont="1"/>
    <xf numFmtId="0" fontId="56" fillId="3" borderId="0" xfId="0" applyFont="1" applyFill="1" applyAlignment="1">
      <alignment horizontal="center" vertical="center"/>
    </xf>
    <xf numFmtId="0" fontId="71" fillId="2" borderId="5" xfId="0" applyFont="1" applyFill="1" applyBorder="1" applyAlignment="1">
      <alignment horizontal="left" wrapText="1" indent="1"/>
    </xf>
    <xf numFmtId="0" fontId="71" fillId="0" borderId="0" xfId="0" applyFont="1" applyAlignment="1">
      <alignment horizontal="left" indent="1"/>
    </xf>
    <xf numFmtId="0" fontId="72" fillId="5" borderId="14" xfId="61787" applyFont="1" applyBorder="1" applyAlignment="1">
      <alignment horizontal="left" indent="1"/>
    </xf>
    <xf numFmtId="0" fontId="72" fillId="5" borderId="14" xfId="61788" applyFont="1" applyBorder="1" applyAlignment="1">
      <alignment horizontal="left" indent="1"/>
    </xf>
    <xf numFmtId="0" fontId="72" fillId="5" borderId="14" xfId="61789" applyFont="1" applyBorder="1" applyAlignment="1">
      <alignment horizontal="left" indent="1"/>
    </xf>
    <xf numFmtId="0" fontId="72" fillId="5" borderId="13" xfId="61788" applyFont="1" applyBorder="1" applyAlignment="1">
      <alignment horizontal="left" indent="1"/>
    </xf>
    <xf numFmtId="0" fontId="73" fillId="4" borderId="3" xfId="0" applyFont="1" applyFill="1" applyBorder="1" applyAlignment="1">
      <alignment horizontal="centerContinuous"/>
    </xf>
    <xf numFmtId="0" fontId="73" fillId="4" borderId="4" xfId="0" applyFont="1" applyFill="1" applyBorder="1" applyAlignment="1">
      <alignment horizontal="centerContinuous"/>
    </xf>
    <xf numFmtId="0" fontId="73" fillId="4" borderId="17" xfId="0" applyFont="1" applyFill="1" applyBorder="1" applyAlignment="1">
      <alignment horizontal="centerContinuous"/>
    </xf>
    <xf numFmtId="0" fontId="71" fillId="2" borderId="7" xfId="0" applyFont="1" applyFill="1" applyBorder="1" applyAlignment="1">
      <alignment horizontal="left" indent="1"/>
    </xf>
    <xf numFmtId="0" fontId="59" fillId="0" borderId="0" xfId="0" applyFont="1" applyAlignment="1">
      <alignment horizontal="left" indent="1"/>
    </xf>
    <xf numFmtId="0" fontId="59" fillId="6" borderId="15" xfId="0" applyFont="1" applyFill="1" applyBorder="1"/>
    <xf numFmtId="0" fontId="59" fillId="0" borderId="0" xfId="0" applyFont="1" applyFill="1"/>
    <xf numFmtId="0" fontId="72" fillId="5" borderId="19" xfId="61788" applyFont="1" applyBorder="1"/>
    <xf numFmtId="0" fontId="72" fillId="5" borderId="19" xfId="61788" applyFont="1" applyBorder="1" applyAlignment="1">
      <alignment wrapText="1"/>
    </xf>
    <xf numFmtId="0" fontId="59" fillId="0" borderId="19" xfId="0" applyFont="1" applyBorder="1"/>
    <xf numFmtId="0" fontId="63" fillId="5" borderId="19" xfId="61788" applyFont="1" applyBorder="1"/>
    <xf numFmtId="0" fontId="63" fillId="5" borderId="19" xfId="61788" applyFont="1" applyBorder="1" applyAlignment="1">
      <alignment wrapText="1"/>
    </xf>
    <xf numFmtId="0" fontId="75" fillId="0" borderId="0" xfId="0" applyFont="1"/>
    <xf numFmtId="0" fontId="59" fillId="0" borderId="19" xfId="0" applyFont="1" applyBorder="1" applyAlignment="1">
      <alignment horizontal="left" indent="1"/>
    </xf>
    <xf numFmtId="0" fontId="64" fillId="0" borderId="19" xfId="0" applyFont="1" applyBorder="1" applyAlignment="1">
      <alignment horizontal="left" indent="1"/>
    </xf>
    <xf numFmtId="49" fontId="59" fillId="0" borderId="19" xfId="0" applyNumberFormat="1" applyFont="1" applyBorder="1" applyAlignment="1">
      <alignment horizontal="left" wrapText="1" indent="1"/>
    </xf>
    <xf numFmtId="49" fontId="59" fillId="0" borderId="19" xfId="0" applyNumberFormat="1" applyFont="1" applyBorder="1" applyAlignment="1">
      <alignment horizontal="left" indent="1"/>
    </xf>
    <xf numFmtId="0" fontId="65" fillId="0" borderId="0" xfId="0" applyFont="1" applyFill="1"/>
    <xf numFmtId="0" fontId="58" fillId="0" borderId="14" xfId="0" applyFont="1" applyFill="1" applyBorder="1" applyAlignment="1">
      <alignment horizontal="left" indent="1"/>
    </xf>
    <xf numFmtId="0" fontId="58" fillId="0" borderId="14" xfId="0" applyFont="1" applyFill="1" applyBorder="1"/>
    <xf numFmtId="0" fontId="58" fillId="0" borderId="0" xfId="0" applyFont="1" applyFill="1"/>
    <xf numFmtId="0" fontId="64" fillId="0" borderId="0" xfId="0" applyFont="1" applyFill="1"/>
    <xf numFmtId="0" fontId="72" fillId="5" borderId="23" xfId="61787" applyFont="1" applyBorder="1" applyAlignment="1">
      <alignment horizontal="left" indent="1"/>
    </xf>
    <xf numFmtId="0" fontId="58" fillId="0" borderId="23" xfId="0" applyFont="1" applyBorder="1" applyAlignment="1">
      <alignment horizontal="left" indent="1"/>
    </xf>
    <xf numFmtId="0" fontId="58" fillId="0" borderId="23" xfId="0" applyFont="1" applyBorder="1"/>
    <xf numFmtId="0" fontId="72" fillId="5" borderId="24" xfId="61787" applyFont="1" applyBorder="1" applyAlignment="1">
      <alignment horizontal="left" indent="1"/>
    </xf>
    <xf numFmtId="0" fontId="72" fillId="5" borderId="10" xfId="61788" applyFont="1" applyBorder="1" applyAlignment="1">
      <alignment horizontal="left" indent="1"/>
    </xf>
    <xf numFmtId="0" fontId="72" fillId="5" borderId="10" xfId="61789" applyFont="1" applyBorder="1" applyAlignment="1">
      <alignment horizontal="left" indent="1"/>
    </xf>
    <xf numFmtId="0" fontId="72" fillId="5" borderId="10" xfId="61787" applyFont="1" applyBorder="1" applyAlignment="1">
      <alignment horizontal="left" indent="1"/>
    </xf>
    <xf numFmtId="0" fontId="72" fillId="5" borderId="11" xfId="61788" applyFont="1" applyBorder="1" applyAlignment="1">
      <alignment horizontal="left" indent="1"/>
    </xf>
    <xf numFmtId="0" fontId="72" fillId="2" borderId="25" xfId="61787" applyFont="1" applyFill="1" applyBorder="1" applyAlignment="1">
      <alignment horizontal="left" wrapText="1"/>
    </xf>
    <xf numFmtId="0" fontId="72" fillId="2" borderId="15" xfId="61788" applyFont="1" applyFill="1" applyBorder="1" applyAlignment="1">
      <alignment horizontal="left" wrapText="1"/>
    </xf>
    <xf numFmtId="0" fontId="72" fillId="2" borderId="15" xfId="61789" applyFont="1" applyFill="1" applyBorder="1" applyAlignment="1">
      <alignment horizontal="left" wrapText="1"/>
    </xf>
    <xf numFmtId="0" fontId="72" fillId="2" borderId="15" xfId="61787" applyFont="1" applyFill="1" applyBorder="1" applyAlignment="1">
      <alignment horizontal="left" wrapText="1"/>
    </xf>
    <xf numFmtId="0" fontId="72" fillId="2" borderId="15" xfId="61788" applyFont="1" applyFill="1" applyBorder="1" applyAlignment="1">
      <alignment horizontal="left" indent="1"/>
    </xf>
    <xf numFmtId="0" fontId="72" fillId="2" borderId="16" xfId="61788" applyFont="1" applyFill="1" applyBorder="1" applyAlignment="1">
      <alignment horizontal="left" wrapText="1"/>
    </xf>
    <xf numFmtId="0" fontId="72" fillId="2" borderId="14" xfId="61787" applyFont="1" applyFill="1" applyBorder="1" applyAlignment="1">
      <alignment horizontal="left" indent="1"/>
    </xf>
    <xf numFmtId="0" fontId="72" fillId="2" borderId="14" xfId="61788" applyFont="1" applyFill="1" applyBorder="1" applyAlignment="1">
      <alignment horizontal="left" indent="1"/>
    </xf>
    <xf numFmtId="0" fontId="72" fillId="2" borderId="10" xfId="61788" applyFont="1" applyFill="1" applyBorder="1" applyAlignment="1">
      <alignment horizontal="left" indent="1"/>
    </xf>
    <xf numFmtId="0" fontId="59" fillId="2" borderId="18" xfId="0" applyFont="1" applyFill="1" applyBorder="1" applyAlignment="1">
      <alignment horizontal="center" wrapText="1"/>
    </xf>
    <xf numFmtId="0" fontId="72" fillId="2" borderId="18" xfId="61788" applyFont="1" applyFill="1" applyBorder="1" applyAlignment="1">
      <alignment horizontal="center" wrapText="1"/>
    </xf>
    <xf numFmtId="0" fontId="72" fillId="2" borderId="18" xfId="61787" applyFont="1" applyFill="1" applyBorder="1" applyAlignment="1">
      <alignment horizontal="center" wrapText="1"/>
    </xf>
    <xf numFmtId="0" fontId="72" fillId="2" borderId="18" xfId="61791" applyFont="1" applyFill="1" applyBorder="1" applyAlignment="1">
      <alignment horizontal="center" wrapText="1"/>
    </xf>
    <xf numFmtId="0" fontId="72" fillId="2" borderId="18" xfId="61792" applyFont="1" applyFill="1" applyBorder="1" applyAlignment="1">
      <alignment horizontal="center" wrapText="1"/>
    </xf>
    <xf numFmtId="0" fontId="72" fillId="2" borderId="22" xfId="61793" applyFont="1" applyFill="1" applyBorder="1" applyAlignment="1">
      <alignment horizontal="center" wrapText="1"/>
    </xf>
    <xf numFmtId="0" fontId="72" fillId="6" borderId="24" xfId="61790" applyFont="1" applyFill="1" applyBorder="1" applyAlignment="1">
      <alignment horizontal="left" indent="1"/>
    </xf>
    <xf numFmtId="0" fontId="72" fillId="6" borderId="23" xfId="61790" applyFont="1" applyFill="1" applyBorder="1" applyAlignment="1">
      <alignment horizontal="left" indent="1"/>
    </xf>
    <xf numFmtId="0" fontId="59" fillId="6" borderId="23" xfId="0" applyFont="1" applyFill="1" applyBorder="1"/>
    <xf numFmtId="0" fontId="59" fillId="6" borderId="25" xfId="0" applyFont="1" applyFill="1" applyBorder="1"/>
    <xf numFmtId="0" fontId="72" fillId="6" borderId="10" xfId="61790" applyFont="1" applyFill="1" applyBorder="1" applyAlignment="1">
      <alignment horizontal="left" indent="1"/>
    </xf>
    <xf numFmtId="0" fontId="72" fillId="6" borderId="14" xfId="61790" applyFont="1" applyFill="1" applyBorder="1" applyAlignment="1">
      <alignment horizontal="left" indent="1"/>
    </xf>
    <xf numFmtId="0" fontId="72" fillId="6" borderId="10" xfId="61788" applyFont="1" applyFill="1" applyBorder="1" applyAlignment="1">
      <alignment horizontal="left" indent="1"/>
    </xf>
    <xf numFmtId="0" fontId="72" fillId="6" borderId="10" xfId="61787" applyFont="1" applyFill="1" applyBorder="1" applyAlignment="1">
      <alignment horizontal="left" indent="1"/>
    </xf>
    <xf numFmtId="0" fontId="72" fillId="6" borderId="10" xfId="61791" applyFont="1" applyFill="1" applyBorder="1" applyAlignment="1">
      <alignment horizontal="left" indent="1"/>
    </xf>
    <xf numFmtId="0" fontId="72" fillId="6" borderId="10" xfId="61792" applyFont="1" applyFill="1" applyBorder="1" applyAlignment="1">
      <alignment horizontal="left" indent="1"/>
    </xf>
    <xf numFmtId="0" fontId="72" fillId="6" borderId="11" xfId="61793" applyFont="1" applyFill="1" applyBorder="1" applyAlignment="1">
      <alignment horizontal="left" indent="1"/>
    </xf>
    <xf numFmtId="0" fontId="59" fillId="6" borderId="13" xfId="0" applyFont="1" applyFill="1" applyBorder="1"/>
    <xf numFmtId="0" fontId="59" fillId="6" borderId="16" xfId="0" applyFont="1" applyFill="1" applyBorder="1"/>
    <xf numFmtId="0" fontId="59" fillId="6" borderId="14" xfId="0" quotePrefix="1" applyFont="1" applyFill="1" applyBorder="1"/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7" fillId="5" borderId="19" xfId="5450" applyBorder="1"/>
    <xf numFmtId="0" fontId="0" fillId="0" borderId="19" xfId="0" applyBorder="1"/>
    <xf numFmtId="0" fontId="0" fillId="0" borderId="19" xfId="0" applyBorder="1" applyAlignment="1">
      <alignment horizontal="left" indent="1"/>
    </xf>
    <xf numFmtId="0" fontId="27" fillId="5" borderId="19" xfId="5450" applyBorder="1" applyAlignment="1">
      <alignment wrapText="1"/>
    </xf>
    <xf numFmtId="0" fontId="72" fillId="5" borderId="19" xfId="61796" applyFont="1" applyBorder="1"/>
    <xf numFmtId="0" fontId="59" fillId="0" borderId="19" xfId="61797" applyFont="1" applyBorder="1" applyAlignment="1">
      <alignment horizontal="left" indent="1"/>
    </xf>
    <xf numFmtId="0" fontId="59" fillId="0" borderId="19" xfId="61797" applyFont="1" applyBorder="1"/>
    <xf numFmtId="0" fontId="59" fillId="0" borderId="19" xfId="61797" applyNumberFormat="1" applyFont="1" applyBorder="1" applyAlignment="1">
      <alignment horizontal="left" indent="1"/>
    </xf>
    <xf numFmtId="0" fontId="72" fillId="5" borderId="19" xfId="61796" applyFont="1" applyBorder="1" applyAlignment="1">
      <alignment wrapText="1"/>
    </xf>
    <xf numFmtId="0" fontId="59" fillId="0" borderId="19" xfId="61797" applyNumberFormat="1" applyFont="1" applyBorder="1" applyAlignment="1">
      <alignment horizontal="left" wrapText="1" indent="1"/>
    </xf>
    <xf numFmtId="0" fontId="56" fillId="3" borderId="0" xfId="0" applyFont="1" applyFill="1" applyAlignment="1">
      <alignment horizontal="center" vertical="center"/>
    </xf>
    <xf numFmtId="0" fontId="68" fillId="3" borderId="0" xfId="0" applyFont="1" applyFill="1" applyAlignment="1">
      <alignment horizontal="center" vertical="center" wrapText="1"/>
    </xf>
    <xf numFmtId="0" fontId="69" fillId="4" borderId="3" xfId="0" applyFont="1" applyFill="1" applyBorder="1" applyAlignment="1">
      <alignment horizontal="center"/>
    </xf>
    <xf numFmtId="0" fontId="69" fillId="4" borderId="4" xfId="0" applyFont="1" applyFill="1" applyBorder="1" applyAlignment="1">
      <alignment horizontal="center"/>
    </xf>
    <xf numFmtId="0" fontId="69" fillId="4" borderId="5" xfId="0" applyFont="1" applyFill="1" applyBorder="1" applyAlignment="1">
      <alignment horizontal="center"/>
    </xf>
    <xf numFmtId="0" fontId="69" fillId="4" borderId="20" xfId="0" applyFont="1" applyFill="1" applyBorder="1" applyAlignment="1">
      <alignment horizontal="center"/>
    </xf>
    <xf numFmtId="0" fontId="69" fillId="4" borderId="17" xfId="0" applyFont="1" applyFill="1" applyBorder="1" applyAlignment="1">
      <alignment horizontal="center"/>
    </xf>
    <xf numFmtId="0" fontId="69" fillId="4" borderId="1" xfId="0" applyFont="1" applyFill="1" applyBorder="1" applyAlignment="1">
      <alignment horizontal="center"/>
    </xf>
    <xf numFmtId="0" fontId="0" fillId="0" borderId="0" xfId="0" applyAlignment="1">
      <alignment horizontal="left"/>
    </xf>
  </cellXfs>
  <cellStyles count="61798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3" xfId="61771"/>
    <cellStyle name="20% - Accent1 2 20 6" xfId="61772"/>
    <cellStyle name="20% - Accent1 2 20 7" xfId="61766"/>
    <cellStyle name="20% - Accent1 2 20 7 2" xfId="61793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4" xfId="61740"/>
    <cellStyle name="20% - Accent1 2 24 2" xfId="6179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796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791"/>
    <cellStyle name="20% - Accent1 7 4 11 2 3 3" xfId="61795"/>
    <cellStyle name="20% - Accent1 7 4 11 3" xfId="61768"/>
    <cellStyle name="20% - Accent1 7 4 11 3 2" xfId="61792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88"/>
    <cellStyle name="20% - Accent1 7 4 12 2 3 4" xfId="61786"/>
    <cellStyle name="20% - Accent1 7 4 12 2 3 5" xfId="61787"/>
    <cellStyle name="20% - Accent1 7 4 12 2 4" xfId="61777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7" xfId="61789"/>
    <cellStyle name="20% - Accent1 7 4 2 4 5 8" xfId="61794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Normal" xfId="0" builtinId="0"/>
    <cellStyle name="Normal 12" xfId="61797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Style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22</xdr:row>
          <xdr:rowOff>85725</xdr:rowOff>
        </xdr:from>
        <xdr:to>
          <xdr:col>2</xdr:col>
          <xdr:colOff>847725</xdr:colOff>
          <xdr:row>24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26</xdr:row>
          <xdr:rowOff>28575</xdr:rowOff>
        </xdr:from>
        <xdr:to>
          <xdr:col>2</xdr:col>
          <xdr:colOff>838200</xdr:colOff>
          <xdr:row>28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180975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17</xdr:row>
          <xdr:rowOff>76200</xdr:rowOff>
        </xdr:from>
        <xdr:to>
          <xdr:col>0</xdr:col>
          <xdr:colOff>1905000</xdr:colOff>
          <xdr:row>18</xdr:row>
          <xdr:rowOff>85725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69" name="Commercial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L38"/>
  <sheetViews>
    <sheetView tabSelected="1" zoomScale="80" zoomScaleNormal="80" workbookViewId="0">
      <selection activeCell="B10" sqref="B10:B15"/>
    </sheetView>
  </sheetViews>
  <sheetFormatPr defaultRowHeight="12.75" x14ac:dyDescent="0.2"/>
  <cols>
    <col min="1" max="1" width="45.28515625" customWidth="1"/>
    <col min="2" max="2" width="15.28515625" style="9" bestFit="1" customWidth="1"/>
    <col min="3" max="3" width="15.28515625" style="19" customWidth="1"/>
    <col min="4" max="4" width="17.42578125" bestFit="1" customWidth="1"/>
    <col min="5" max="5" width="14.85546875" customWidth="1"/>
  </cols>
  <sheetData>
    <row r="1" spans="1:4" s="1" customFormat="1" ht="12.75" customHeight="1" x14ac:dyDescent="0.3"/>
    <row r="2" spans="1:4" s="6" customFormat="1" ht="45" customHeight="1" x14ac:dyDescent="0.2">
      <c r="A2" s="144" t="s">
        <v>139</v>
      </c>
      <c r="B2" s="144"/>
      <c r="C2" s="64"/>
    </row>
    <row r="3" spans="1:4" s="1" customFormat="1" ht="15" x14ac:dyDescent="0.3"/>
    <row r="4" spans="1:4" s="1" customFormat="1" ht="15" x14ac:dyDescent="0.3">
      <c r="A4" s="3" t="s">
        <v>0</v>
      </c>
      <c r="B4" s="16">
        <f>MAX('Revision History'!C:C)</f>
        <v>42691</v>
      </c>
      <c r="C4" s="16"/>
    </row>
    <row r="5" spans="1:4" s="1" customFormat="1" ht="15" x14ac:dyDescent="0.3">
      <c r="A5" s="3" t="s">
        <v>1</v>
      </c>
      <c r="B5" s="17">
        <f>MAX('Revision History'!B:B)</f>
        <v>97</v>
      </c>
      <c r="C5" s="17"/>
    </row>
    <row r="6" spans="1:4" s="1" customFormat="1" ht="15" x14ac:dyDescent="0.3">
      <c r="A6" s="11" t="s">
        <v>138</v>
      </c>
      <c r="B6" s="12" t="s">
        <v>631</v>
      </c>
      <c r="C6" s="12"/>
    </row>
    <row r="7" spans="1:4" s="1" customFormat="1" ht="15" x14ac:dyDescent="0.3">
      <c r="A7" s="11" t="s">
        <v>136</v>
      </c>
      <c r="B7" s="12" t="s">
        <v>339</v>
      </c>
      <c r="C7" s="12"/>
    </row>
    <row r="8" spans="1:4" s="1" customFormat="1" ht="15" x14ac:dyDescent="0.3">
      <c r="A8" s="11" t="s">
        <v>137</v>
      </c>
      <c r="B8" s="12" t="s">
        <v>340</v>
      </c>
      <c r="C8" s="12"/>
    </row>
    <row r="9" spans="1:4" s="1" customFormat="1" ht="15" x14ac:dyDescent="0.3">
      <c r="A9" s="11" t="s">
        <v>624</v>
      </c>
      <c r="B9" s="12" t="s">
        <v>605</v>
      </c>
      <c r="C9" s="12"/>
    </row>
    <row r="10" spans="1:4" s="1" customFormat="1" ht="20.25" thickBot="1" x14ac:dyDescent="0.45">
      <c r="A10" s="15" t="s">
        <v>83</v>
      </c>
      <c r="B10" s="15"/>
    </row>
    <row r="11" spans="1:4" s="1" customFormat="1" ht="15.75" thickBot="1" x14ac:dyDescent="0.35">
      <c r="A11" s="5"/>
      <c r="B11" s="5" t="s">
        <v>625</v>
      </c>
    </row>
    <row r="12" spans="1:4" s="2" customFormat="1" ht="15" x14ac:dyDescent="0.3">
      <c r="A12" s="4" t="s">
        <v>2</v>
      </c>
      <c r="B12" s="26">
        <v>32</v>
      </c>
    </row>
    <row r="13" spans="1:4" s="2" customFormat="1" ht="15" x14ac:dyDescent="0.3">
      <c r="A13" s="4" t="s">
        <v>51</v>
      </c>
      <c r="B13" s="26" t="str">
        <f>Commercial!F259</f>
        <v>0x05011801</v>
      </c>
    </row>
    <row r="14" spans="1:4" s="36" customFormat="1" ht="15" x14ac:dyDescent="0.3">
      <c r="A14" s="26" t="s">
        <v>59</v>
      </c>
      <c r="B14" s="26">
        <v>1</v>
      </c>
    </row>
    <row r="15" spans="1:4" s="18" customFormat="1" ht="15.75" thickBot="1" x14ac:dyDescent="0.35">
      <c r="A15" s="43" t="s">
        <v>166</v>
      </c>
      <c r="B15" s="43"/>
    </row>
    <row r="16" spans="1:4" s="34" customFormat="1" ht="15" x14ac:dyDescent="0.3">
      <c r="A16" s="45"/>
      <c r="B16" s="45"/>
      <c r="C16" s="45"/>
      <c r="D16" s="45"/>
    </row>
    <row r="17" spans="1:12" s="34" customFormat="1" ht="15" x14ac:dyDescent="0.3">
      <c r="A17" s="45"/>
      <c r="D17" s="45"/>
    </row>
    <row r="18" spans="1:12" s="34" customFormat="1" ht="15" x14ac:dyDescent="0.3">
      <c r="A18" s="45"/>
      <c r="B18" s="45"/>
      <c r="C18" s="45"/>
      <c r="D18" s="45"/>
    </row>
    <row r="19" spans="1:12" s="2" customFormat="1" ht="15" x14ac:dyDescent="0.3">
      <c r="A19"/>
      <c r="B19" s="9"/>
      <c r="C19" s="19"/>
      <c r="K19" s="36"/>
      <c r="L19" s="36"/>
    </row>
    <row r="20" spans="1:12" s="2" customFormat="1" ht="15" x14ac:dyDescent="0.3">
      <c r="B20" s="10"/>
      <c r="C20" s="36"/>
    </row>
    <row r="21" spans="1:12" s="2" customFormat="1" ht="15" x14ac:dyDescent="0.3">
      <c r="A21" s="8" t="s">
        <v>107</v>
      </c>
      <c r="B21" s="8"/>
      <c r="C21" s="8"/>
    </row>
    <row r="22" spans="1:12" s="2" customFormat="1" ht="15" x14ac:dyDescent="0.3">
      <c r="A22" s="7"/>
      <c r="B22" s="7"/>
      <c r="C22" s="30"/>
    </row>
    <row r="23" spans="1:12" s="2" customFormat="1" ht="15" x14ac:dyDescent="0.3">
      <c r="A23"/>
      <c r="B23" s="9"/>
      <c r="C23" s="19"/>
    </row>
    <row r="24" spans="1:12" s="2" customFormat="1" ht="15" x14ac:dyDescent="0.3">
      <c r="A24"/>
      <c r="B24" s="9"/>
      <c r="C24" s="19"/>
    </row>
    <row r="25" spans="1:12" s="2" customFormat="1" ht="15" x14ac:dyDescent="0.3">
      <c r="A25"/>
      <c r="B25" s="9"/>
      <c r="C25" s="19"/>
    </row>
    <row r="38" spans="1:1" x14ac:dyDescent="0.2">
      <c r="A38" t="s">
        <v>6</v>
      </c>
    </row>
  </sheetData>
  <dataConsolidate/>
  <mergeCells count="1">
    <mergeCell ref="A2:B2"/>
  </mergeCells>
  <hyperlinks>
    <hyperlink ref="B11" location="'Commercial'!A5" tooltip="Jump to worksheet" display="'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3</xdr:col>
                    <xdr:colOff>0</xdr:colOff>
                    <xdr:row>19</xdr:row>
                    <xdr:rowOff>180975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22</xdr:row>
                    <xdr:rowOff>85725</xdr:rowOff>
                  </from>
                  <to>
                    <xdr:col>2</xdr:col>
                    <xdr:colOff>847725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26</xdr:row>
                    <xdr:rowOff>28575</xdr:rowOff>
                  </from>
                  <to>
                    <xdr:col>2</xdr:col>
                    <xdr:colOff>838200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9" name="Button 53">
              <controlPr defaultSize="0" print="0" autoFill="0" autoPict="0" macro="[0]!RefreshSummary">
                <anchor moveWithCells="1" sizeWithCells="1">
                  <from>
                    <xdr:col>0</xdr:col>
                    <xdr:colOff>561975</xdr:colOff>
                    <xdr:row>17</xdr:row>
                    <xdr:rowOff>76200</xdr:rowOff>
                  </from>
                  <to>
                    <xdr:col>0</xdr:col>
                    <xdr:colOff>1905000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autoPageBreaks="0"/>
  </sheetPr>
  <dimension ref="A1:L298"/>
  <sheetViews>
    <sheetView topLeftCell="A58" zoomScale="85" zoomScaleNormal="85" workbookViewId="0">
      <selection activeCell="B74" sqref="B74:B76"/>
    </sheetView>
  </sheetViews>
  <sheetFormatPr defaultColWidth="9.140625" defaultRowHeight="12.75" x14ac:dyDescent="0.2"/>
  <cols>
    <col min="1" max="1" width="54.7109375" style="52" customWidth="1"/>
    <col min="2" max="2" width="56.28515625" style="52" customWidth="1"/>
    <col min="3" max="3" width="28.85546875" style="52" customWidth="1"/>
    <col min="4" max="4" width="17.7109375" style="52" customWidth="1"/>
    <col min="5" max="5" width="55.42578125" style="52" customWidth="1"/>
    <col min="6" max="6" width="43.7109375" style="52" bestFit="1" customWidth="1"/>
    <col min="7" max="7" width="13.42578125" style="52" customWidth="1"/>
    <col min="8" max="8" width="77.140625" style="53" customWidth="1"/>
    <col min="9" max="9" width="47.85546875" style="52" bestFit="1" customWidth="1"/>
    <col min="10" max="16384" width="9.140625" style="52"/>
  </cols>
  <sheetData>
    <row r="1" spans="1:12" x14ac:dyDescent="0.2">
      <c r="A1" s="51"/>
    </row>
    <row r="2" spans="1:12" s="63" customFormat="1" ht="45" customHeight="1" x14ac:dyDescent="0.55000000000000004">
      <c r="A2" s="145" t="s">
        <v>361</v>
      </c>
      <c r="B2" s="145"/>
      <c r="C2" s="145"/>
      <c r="D2" s="145"/>
      <c r="E2" s="145"/>
      <c r="F2" s="145"/>
      <c r="G2" s="145"/>
      <c r="H2" s="145"/>
      <c r="I2" s="145"/>
    </row>
    <row r="3" spans="1:12" ht="13.5" thickBot="1" x14ac:dyDescent="0.25">
      <c r="A3" s="51"/>
    </row>
    <row r="4" spans="1:12" s="54" customFormat="1" ht="20.25" thickBot="1" x14ac:dyDescent="0.45">
      <c r="A4" s="146" t="s">
        <v>148</v>
      </c>
      <c r="B4" s="147"/>
      <c r="C4" s="147"/>
      <c r="D4" s="147"/>
      <c r="E4" s="147"/>
      <c r="F4" s="147"/>
      <c r="G4" s="147"/>
      <c r="H4" s="148"/>
    </row>
    <row r="5" spans="1:12" s="66" customFormat="1" ht="15.75" thickBot="1" x14ac:dyDescent="0.35">
      <c r="A5" s="55" t="s">
        <v>8</v>
      </c>
      <c r="B5" s="56" t="s">
        <v>7</v>
      </c>
      <c r="C5" s="55" t="s">
        <v>45</v>
      </c>
      <c r="D5" s="55" t="s">
        <v>46</v>
      </c>
      <c r="E5" s="55" t="s">
        <v>9</v>
      </c>
      <c r="F5" s="55" t="s">
        <v>47</v>
      </c>
      <c r="G5" s="57" t="s">
        <v>53</v>
      </c>
      <c r="H5" s="65" t="s">
        <v>10</v>
      </c>
    </row>
    <row r="6" spans="1:12" s="18" customFormat="1" ht="17.25" x14ac:dyDescent="0.35">
      <c r="A6" s="96" t="s">
        <v>362</v>
      </c>
      <c r="B6" s="94">
        <v>5</v>
      </c>
      <c r="C6" s="94" t="s">
        <v>48</v>
      </c>
      <c r="D6" s="95">
        <v>1</v>
      </c>
      <c r="E6" s="93" t="s">
        <v>363</v>
      </c>
      <c r="F6" s="94">
        <v>2</v>
      </c>
      <c r="G6" s="95" t="s">
        <v>57</v>
      </c>
      <c r="H6" s="101"/>
    </row>
    <row r="7" spans="1:12" s="18" customFormat="1" ht="17.25" x14ac:dyDescent="0.35">
      <c r="A7" s="97" t="s">
        <v>11</v>
      </c>
      <c r="B7" s="58">
        <v>6</v>
      </c>
      <c r="C7" s="58" t="s">
        <v>48</v>
      </c>
      <c r="D7" s="59">
        <v>1</v>
      </c>
      <c r="E7" s="68" t="s">
        <v>12</v>
      </c>
      <c r="F7" s="58">
        <v>6</v>
      </c>
      <c r="G7" s="59" t="s">
        <v>57</v>
      </c>
      <c r="H7" s="102" t="s">
        <v>6</v>
      </c>
    </row>
    <row r="8" spans="1:12" s="18" customFormat="1" ht="17.25" x14ac:dyDescent="0.35">
      <c r="A8" s="97" t="s">
        <v>33</v>
      </c>
      <c r="B8" s="58">
        <v>10</v>
      </c>
      <c r="C8" s="58"/>
      <c r="D8" s="59"/>
      <c r="E8" s="68"/>
      <c r="F8" s="58"/>
      <c r="G8" s="59" t="s">
        <v>84</v>
      </c>
      <c r="H8" s="102"/>
    </row>
    <row r="9" spans="1:12" s="18" customFormat="1" ht="17.25" x14ac:dyDescent="0.35">
      <c r="A9" s="97"/>
      <c r="B9" s="58"/>
      <c r="C9" s="58" t="s">
        <v>48</v>
      </c>
      <c r="D9" s="59">
        <v>1</v>
      </c>
      <c r="E9" s="68" t="s">
        <v>13</v>
      </c>
      <c r="F9" s="58" t="s">
        <v>364</v>
      </c>
      <c r="G9" s="59"/>
      <c r="H9" s="102"/>
    </row>
    <row r="10" spans="1:12" s="18" customFormat="1" ht="17.25" x14ac:dyDescent="0.35">
      <c r="A10" s="97"/>
      <c r="B10" s="58"/>
      <c r="C10" s="58" t="s">
        <v>48</v>
      </c>
      <c r="D10" s="59">
        <v>2</v>
      </c>
      <c r="E10" s="68" t="s">
        <v>34</v>
      </c>
      <c r="F10" s="58" t="s">
        <v>365</v>
      </c>
      <c r="G10" s="59"/>
      <c r="H10" s="102"/>
    </row>
    <row r="11" spans="1:12" s="34" customFormat="1" ht="17.25" x14ac:dyDescent="0.35">
      <c r="A11" s="98" t="s">
        <v>24</v>
      </c>
      <c r="B11" s="58">
        <v>71</v>
      </c>
      <c r="C11" s="58"/>
      <c r="D11" s="59"/>
      <c r="E11" s="69" t="s">
        <v>25</v>
      </c>
      <c r="F11" s="58"/>
      <c r="G11" s="59" t="s">
        <v>642</v>
      </c>
      <c r="H11" s="103" t="s">
        <v>6</v>
      </c>
      <c r="I11" s="18"/>
      <c r="J11" s="18"/>
      <c r="K11" s="18"/>
      <c r="L11" s="18"/>
    </row>
    <row r="12" spans="1:12" s="34" customFormat="1" ht="17.25" x14ac:dyDescent="0.35">
      <c r="A12" s="98"/>
      <c r="B12" s="58"/>
      <c r="C12" s="58" t="s">
        <v>49</v>
      </c>
      <c r="D12" s="59">
        <v>13</v>
      </c>
      <c r="E12" s="69" t="s">
        <v>26</v>
      </c>
      <c r="F12" s="58" t="s">
        <v>366</v>
      </c>
      <c r="G12" s="59"/>
      <c r="H12" s="103" t="s">
        <v>6</v>
      </c>
      <c r="I12" s="18"/>
      <c r="J12" s="18"/>
      <c r="K12" s="18"/>
      <c r="L12" s="18"/>
    </row>
    <row r="13" spans="1:12" s="18" customFormat="1" ht="17.25" x14ac:dyDescent="0.35">
      <c r="A13" s="97" t="s">
        <v>17</v>
      </c>
      <c r="B13" s="58">
        <v>179</v>
      </c>
      <c r="C13" s="58" t="s">
        <v>48</v>
      </c>
      <c r="D13" s="59">
        <v>1</v>
      </c>
      <c r="E13" s="68" t="s">
        <v>18</v>
      </c>
      <c r="F13" s="58">
        <v>0</v>
      </c>
      <c r="G13" s="59" t="s">
        <v>642</v>
      </c>
      <c r="H13" s="102"/>
    </row>
    <row r="14" spans="1:12" s="34" customFormat="1" ht="17.25" x14ac:dyDescent="0.35">
      <c r="A14" s="97" t="s">
        <v>367</v>
      </c>
      <c r="B14" s="58">
        <v>259</v>
      </c>
      <c r="C14" s="58"/>
      <c r="D14" s="58"/>
      <c r="E14" s="68" t="s">
        <v>368</v>
      </c>
      <c r="F14" s="58"/>
      <c r="G14" s="59" t="s">
        <v>643</v>
      </c>
      <c r="H14" s="102"/>
      <c r="I14" s="18"/>
      <c r="J14" s="18"/>
      <c r="K14" s="18"/>
      <c r="L14" s="18"/>
    </row>
    <row r="15" spans="1:12" s="34" customFormat="1" ht="17.25" x14ac:dyDescent="0.35">
      <c r="A15" s="97"/>
      <c r="B15" s="58"/>
      <c r="C15" s="58" t="s">
        <v>48</v>
      </c>
      <c r="D15" s="58">
        <v>1</v>
      </c>
      <c r="E15" s="68" t="s">
        <v>13</v>
      </c>
      <c r="F15" s="58">
        <v>0</v>
      </c>
      <c r="G15" s="59"/>
      <c r="H15" s="102"/>
      <c r="I15" s="18"/>
      <c r="J15" s="18"/>
      <c r="K15" s="18"/>
      <c r="L15" s="18"/>
    </row>
    <row r="16" spans="1:12" s="34" customFormat="1" ht="17.25" x14ac:dyDescent="0.35">
      <c r="A16" s="97"/>
      <c r="B16" s="58"/>
      <c r="C16" s="58" t="s">
        <v>48</v>
      </c>
      <c r="D16" s="58">
        <v>2</v>
      </c>
      <c r="E16" s="68" t="s">
        <v>369</v>
      </c>
      <c r="F16" s="58">
        <v>4112</v>
      </c>
      <c r="G16" s="59"/>
      <c r="H16" s="102"/>
      <c r="I16" s="18"/>
      <c r="J16" s="18"/>
      <c r="K16" s="18"/>
      <c r="L16" s="18"/>
    </row>
    <row r="17" spans="1:12" s="34" customFormat="1" ht="17.25" x14ac:dyDescent="0.35">
      <c r="A17" s="97"/>
      <c r="B17" s="58"/>
      <c r="C17" s="58" t="s">
        <v>48</v>
      </c>
      <c r="D17" s="58">
        <v>2</v>
      </c>
      <c r="E17" s="68" t="s">
        <v>370</v>
      </c>
      <c r="F17" s="58">
        <v>65535</v>
      </c>
      <c r="G17" s="59"/>
      <c r="H17" s="102"/>
      <c r="I17" s="18"/>
      <c r="J17" s="18"/>
      <c r="K17" s="18"/>
      <c r="L17" s="18"/>
    </row>
    <row r="18" spans="1:12" s="34" customFormat="1" ht="17.25" x14ac:dyDescent="0.35">
      <c r="A18" s="97"/>
      <c r="B18" s="58"/>
      <c r="C18" s="58" t="s">
        <v>48</v>
      </c>
      <c r="D18" s="58">
        <v>2</v>
      </c>
      <c r="E18" s="68" t="s">
        <v>371</v>
      </c>
      <c r="F18" s="58">
        <v>0</v>
      </c>
      <c r="G18" s="59"/>
      <c r="H18" s="102"/>
      <c r="I18" s="18"/>
      <c r="J18" s="18"/>
      <c r="K18" s="18"/>
      <c r="L18" s="18"/>
    </row>
    <row r="19" spans="1:12" s="34" customFormat="1" ht="17.25" x14ac:dyDescent="0.35">
      <c r="A19" s="97"/>
      <c r="B19" s="58"/>
      <c r="C19" s="58" t="s">
        <v>48</v>
      </c>
      <c r="D19" s="58">
        <v>2</v>
      </c>
      <c r="E19" s="68" t="s">
        <v>372</v>
      </c>
      <c r="F19" s="58">
        <v>0</v>
      </c>
      <c r="G19" s="59"/>
      <c r="H19" s="102"/>
      <c r="I19" s="18"/>
      <c r="J19" s="18"/>
      <c r="K19" s="18"/>
      <c r="L19" s="18"/>
    </row>
    <row r="20" spans="1:12" s="34" customFormat="1" ht="17.25" x14ac:dyDescent="0.35">
      <c r="A20" s="97"/>
      <c r="B20" s="58"/>
      <c r="C20" s="58" t="s">
        <v>48</v>
      </c>
      <c r="D20" s="58">
        <v>2</v>
      </c>
      <c r="E20" s="68" t="s">
        <v>373</v>
      </c>
      <c r="F20" s="58">
        <v>0</v>
      </c>
      <c r="G20" s="59"/>
      <c r="H20" s="102"/>
      <c r="I20" s="18"/>
      <c r="J20" s="18"/>
      <c r="K20" s="18"/>
      <c r="L20" s="18"/>
    </row>
    <row r="21" spans="1:12" s="34" customFormat="1" ht="17.25" x14ac:dyDescent="0.35">
      <c r="A21" s="97"/>
      <c r="B21" s="58"/>
      <c r="C21" s="58" t="s">
        <v>48</v>
      </c>
      <c r="D21" s="58">
        <v>2</v>
      </c>
      <c r="E21" s="68" t="s">
        <v>374</v>
      </c>
      <c r="F21" s="58">
        <v>0</v>
      </c>
      <c r="G21" s="59"/>
      <c r="H21" s="102"/>
      <c r="I21" s="18"/>
      <c r="J21" s="18"/>
      <c r="K21" s="18"/>
      <c r="L21" s="18"/>
    </row>
    <row r="22" spans="1:12" s="34" customFormat="1" ht="17.25" x14ac:dyDescent="0.35">
      <c r="A22" s="97"/>
      <c r="B22" s="58"/>
      <c r="C22" s="58" t="s">
        <v>48</v>
      </c>
      <c r="D22" s="58">
        <v>2</v>
      </c>
      <c r="E22" s="68" t="s">
        <v>375</v>
      </c>
      <c r="F22" s="58">
        <v>0</v>
      </c>
      <c r="G22" s="59"/>
      <c r="H22" s="102"/>
      <c r="I22" s="18"/>
      <c r="J22" s="18"/>
      <c r="K22" s="18"/>
      <c r="L22" s="18"/>
    </row>
    <row r="23" spans="1:12" s="34" customFormat="1" ht="17.25" x14ac:dyDescent="0.35">
      <c r="A23" s="97"/>
      <c r="B23" s="58"/>
      <c r="C23" s="58" t="s">
        <v>48</v>
      </c>
      <c r="D23" s="58">
        <v>2</v>
      </c>
      <c r="E23" s="68" t="s">
        <v>376</v>
      </c>
      <c r="F23" s="58">
        <v>0</v>
      </c>
      <c r="G23" s="59"/>
      <c r="H23" s="102"/>
      <c r="I23" s="18"/>
      <c r="J23" s="18"/>
      <c r="K23" s="18"/>
      <c r="L23" s="18"/>
    </row>
    <row r="24" spans="1:12" s="34" customFormat="1" ht="17.25" x14ac:dyDescent="0.35">
      <c r="A24" s="97"/>
      <c r="B24" s="58"/>
      <c r="C24" s="58" t="s">
        <v>48</v>
      </c>
      <c r="D24" s="58">
        <v>2</v>
      </c>
      <c r="E24" s="68" t="s">
        <v>377</v>
      </c>
      <c r="F24" s="58">
        <v>0</v>
      </c>
      <c r="G24" s="59"/>
      <c r="H24" s="102"/>
      <c r="I24" s="18"/>
      <c r="J24" s="18"/>
      <c r="K24" s="18"/>
      <c r="L24" s="18"/>
    </row>
    <row r="25" spans="1:12" s="34" customFormat="1" ht="17.25" x14ac:dyDescent="0.35">
      <c r="A25" s="97"/>
      <c r="B25" s="58"/>
      <c r="C25" s="58" t="s">
        <v>48</v>
      </c>
      <c r="D25" s="58">
        <v>2</v>
      </c>
      <c r="E25" s="68" t="s">
        <v>378</v>
      </c>
      <c r="F25" s="58">
        <v>0</v>
      </c>
      <c r="G25" s="59"/>
      <c r="H25" s="102"/>
      <c r="I25" s="18"/>
      <c r="J25" s="18"/>
      <c r="K25" s="18"/>
      <c r="L25" s="18"/>
    </row>
    <row r="26" spans="1:12" s="34" customFormat="1" ht="17.25" x14ac:dyDescent="0.35">
      <c r="A26" s="97"/>
      <c r="B26" s="58"/>
      <c r="C26" s="58" t="s">
        <v>48</v>
      </c>
      <c r="D26" s="58">
        <v>2</v>
      </c>
      <c r="E26" s="68" t="s">
        <v>379</v>
      </c>
      <c r="F26" s="58">
        <v>0</v>
      </c>
      <c r="G26" s="59"/>
      <c r="H26" s="102"/>
      <c r="I26" s="18"/>
      <c r="J26" s="18"/>
      <c r="K26" s="18"/>
      <c r="L26" s="18"/>
    </row>
    <row r="27" spans="1:12" s="34" customFormat="1" ht="17.25" x14ac:dyDescent="0.35">
      <c r="A27" s="97"/>
      <c r="B27" s="58"/>
      <c r="C27" s="58" t="s">
        <v>48</v>
      </c>
      <c r="D27" s="58">
        <v>2</v>
      </c>
      <c r="E27" s="68" t="s">
        <v>380</v>
      </c>
      <c r="F27" s="58">
        <v>0</v>
      </c>
      <c r="G27" s="59"/>
      <c r="H27" s="102"/>
      <c r="I27" s="18"/>
      <c r="J27" s="18"/>
      <c r="K27" s="18"/>
      <c r="L27" s="18"/>
    </row>
    <row r="28" spans="1:12" s="34" customFormat="1" ht="17.25" x14ac:dyDescent="0.35">
      <c r="A28" s="97"/>
      <c r="B28" s="58"/>
      <c r="C28" s="58" t="s">
        <v>48</v>
      </c>
      <c r="D28" s="58">
        <v>2</v>
      </c>
      <c r="E28" s="68" t="s">
        <v>381</v>
      </c>
      <c r="F28" s="58">
        <v>0</v>
      </c>
      <c r="G28" s="59"/>
      <c r="H28" s="102"/>
      <c r="I28" s="18"/>
      <c r="J28" s="18"/>
      <c r="K28" s="18"/>
      <c r="L28" s="18"/>
    </row>
    <row r="29" spans="1:12" s="34" customFormat="1" ht="17.25" x14ac:dyDescent="0.35">
      <c r="A29" s="97"/>
      <c r="B29" s="58"/>
      <c r="C29" s="58" t="s">
        <v>48</v>
      </c>
      <c r="D29" s="58">
        <v>2</v>
      </c>
      <c r="E29" s="68" t="s">
        <v>382</v>
      </c>
      <c r="F29" s="58">
        <v>0</v>
      </c>
      <c r="G29" s="59"/>
      <c r="H29" s="102"/>
      <c r="I29" s="18"/>
      <c r="J29" s="18"/>
      <c r="K29" s="18"/>
      <c r="L29" s="18"/>
    </row>
    <row r="30" spans="1:12" s="34" customFormat="1" ht="17.25" x14ac:dyDescent="0.35">
      <c r="A30" s="97"/>
      <c r="B30" s="58"/>
      <c r="C30" s="58" t="s">
        <v>48</v>
      </c>
      <c r="D30" s="58">
        <v>2</v>
      </c>
      <c r="E30" s="68" t="s">
        <v>383</v>
      </c>
      <c r="F30" s="58">
        <v>0</v>
      </c>
      <c r="G30" s="59"/>
      <c r="H30" s="102"/>
      <c r="I30" s="18"/>
      <c r="J30" s="18"/>
      <c r="K30" s="18"/>
      <c r="L30" s="18"/>
    </row>
    <row r="31" spans="1:12" s="34" customFormat="1" ht="17.25" x14ac:dyDescent="0.35">
      <c r="A31" s="97"/>
      <c r="B31" s="58"/>
      <c r="C31" s="58" t="s">
        <v>48</v>
      </c>
      <c r="D31" s="58">
        <v>2</v>
      </c>
      <c r="E31" s="68" t="s">
        <v>384</v>
      </c>
      <c r="F31" s="58">
        <v>0</v>
      </c>
      <c r="G31" s="59"/>
      <c r="H31" s="102"/>
      <c r="I31" s="18"/>
      <c r="J31" s="18"/>
      <c r="K31" s="18"/>
      <c r="L31" s="18"/>
    </row>
    <row r="32" spans="1:12" s="34" customFormat="1" ht="17.25" x14ac:dyDescent="0.35">
      <c r="A32" s="97"/>
      <c r="B32" s="58"/>
      <c r="C32" s="58" t="s">
        <v>48</v>
      </c>
      <c r="D32" s="58">
        <v>2</v>
      </c>
      <c r="E32" s="68" t="s">
        <v>385</v>
      </c>
      <c r="F32" s="58">
        <v>0</v>
      </c>
      <c r="G32" s="59"/>
      <c r="H32" s="102"/>
      <c r="I32" s="18"/>
      <c r="J32" s="18"/>
      <c r="K32" s="18"/>
      <c r="L32" s="18"/>
    </row>
    <row r="33" spans="1:12" s="34" customFormat="1" ht="17.25" x14ac:dyDescent="0.35">
      <c r="A33" s="97"/>
      <c r="B33" s="58"/>
      <c r="C33" s="58" t="s">
        <v>48</v>
      </c>
      <c r="D33" s="58">
        <v>2</v>
      </c>
      <c r="E33" s="68" t="s">
        <v>386</v>
      </c>
      <c r="F33" s="58">
        <v>0</v>
      </c>
      <c r="G33" s="59"/>
      <c r="H33" s="102"/>
      <c r="I33" s="18"/>
      <c r="J33" s="18"/>
      <c r="K33" s="18"/>
      <c r="L33" s="18"/>
    </row>
    <row r="34" spans="1:12" s="34" customFormat="1" ht="17.25" x14ac:dyDescent="0.35">
      <c r="A34" s="97"/>
      <c r="B34" s="58"/>
      <c r="C34" s="58" t="s">
        <v>48</v>
      </c>
      <c r="D34" s="58">
        <v>2</v>
      </c>
      <c r="E34" s="68" t="s">
        <v>387</v>
      </c>
      <c r="F34" s="58">
        <v>0</v>
      </c>
      <c r="G34" s="59"/>
      <c r="H34" s="102"/>
      <c r="I34" s="18"/>
      <c r="J34" s="18"/>
      <c r="K34" s="18"/>
      <c r="L34" s="18"/>
    </row>
    <row r="35" spans="1:12" s="34" customFormat="1" ht="17.25" x14ac:dyDescent="0.35">
      <c r="A35" s="97"/>
      <c r="B35" s="58"/>
      <c r="C35" s="58" t="s">
        <v>48</v>
      </c>
      <c r="D35" s="58">
        <v>2</v>
      </c>
      <c r="E35" s="68" t="s">
        <v>388</v>
      </c>
      <c r="F35" s="58">
        <v>0</v>
      </c>
      <c r="G35" s="59"/>
      <c r="H35" s="102"/>
      <c r="I35" s="18"/>
      <c r="J35" s="18"/>
      <c r="K35" s="18"/>
      <c r="L35" s="18"/>
    </row>
    <row r="36" spans="1:12" s="34" customFormat="1" ht="17.25" x14ac:dyDescent="0.35">
      <c r="A36" s="97"/>
      <c r="B36" s="58"/>
      <c r="C36" s="58" t="s">
        <v>48</v>
      </c>
      <c r="D36" s="58">
        <v>2</v>
      </c>
      <c r="E36" s="68" t="s">
        <v>389</v>
      </c>
      <c r="F36" s="58">
        <v>0</v>
      </c>
      <c r="G36" s="59"/>
      <c r="H36" s="102"/>
      <c r="I36" s="18"/>
      <c r="J36" s="18"/>
      <c r="K36" s="18"/>
      <c r="L36" s="18"/>
    </row>
    <row r="37" spans="1:12" s="34" customFormat="1" ht="17.25" x14ac:dyDescent="0.35">
      <c r="A37" s="97"/>
      <c r="B37" s="58"/>
      <c r="C37" s="58" t="s">
        <v>48</v>
      </c>
      <c r="D37" s="58">
        <v>2</v>
      </c>
      <c r="E37" s="68" t="s">
        <v>390</v>
      </c>
      <c r="F37" s="58">
        <v>0</v>
      </c>
      <c r="G37" s="59"/>
      <c r="H37" s="102"/>
      <c r="I37" s="18"/>
      <c r="J37" s="18"/>
      <c r="K37" s="18"/>
      <c r="L37" s="18"/>
    </row>
    <row r="38" spans="1:12" s="34" customFormat="1" ht="17.25" x14ac:dyDescent="0.35">
      <c r="A38" s="97"/>
      <c r="B38" s="58"/>
      <c r="C38" s="58" t="s">
        <v>48</v>
      </c>
      <c r="D38" s="58">
        <v>2</v>
      </c>
      <c r="E38" s="68" t="s">
        <v>391</v>
      </c>
      <c r="F38" s="58">
        <v>0</v>
      </c>
      <c r="G38" s="59"/>
      <c r="H38" s="102"/>
      <c r="I38" s="18"/>
      <c r="J38" s="18"/>
      <c r="K38" s="18"/>
      <c r="L38" s="18"/>
    </row>
    <row r="39" spans="1:12" s="34" customFormat="1" ht="17.25" x14ac:dyDescent="0.35">
      <c r="A39" s="97"/>
      <c r="B39" s="58"/>
      <c r="C39" s="58" t="s">
        <v>48</v>
      </c>
      <c r="D39" s="58">
        <v>2</v>
      </c>
      <c r="E39" s="68" t="s">
        <v>392</v>
      </c>
      <c r="F39" s="58">
        <v>0</v>
      </c>
      <c r="G39" s="59"/>
      <c r="H39" s="102"/>
      <c r="I39" s="18"/>
      <c r="J39" s="18"/>
      <c r="K39" s="18"/>
      <c r="L39" s="18"/>
    </row>
    <row r="40" spans="1:12" s="34" customFormat="1" ht="17.25" x14ac:dyDescent="0.35">
      <c r="A40" s="97"/>
      <c r="B40" s="58"/>
      <c r="C40" s="58" t="s">
        <v>48</v>
      </c>
      <c r="D40" s="58">
        <v>2</v>
      </c>
      <c r="E40" s="68" t="s">
        <v>393</v>
      </c>
      <c r="F40" s="58">
        <v>0</v>
      </c>
      <c r="G40" s="59"/>
      <c r="H40" s="102"/>
      <c r="I40" s="18"/>
      <c r="J40" s="18"/>
      <c r="K40" s="18"/>
      <c r="L40" s="18"/>
    </row>
    <row r="41" spans="1:12" s="34" customFormat="1" ht="17.25" x14ac:dyDescent="0.35">
      <c r="A41" s="97"/>
      <c r="B41" s="58"/>
      <c r="C41" s="58" t="s">
        <v>48</v>
      </c>
      <c r="D41" s="58">
        <v>2</v>
      </c>
      <c r="E41" s="68" t="s">
        <v>394</v>
      </c>
      <c r="F41" s="58">
        <v>0</v>
      </c>
      <c r="G41" s="59"/>
      <c r="H41" s="102"/>
      <c r="I41" s="18"/>
      <c r="J41" s="18"/>
      <c r="K41" s="18"/>
      <c r="L41" s="18"/>
    </row>
    <row r="42" spans="1:12" s="34" customFormat="1" ht="17.25" x14ac:dyDescent="0.35">
      <c r="A42" s="97"/>
      <c r="B42" s="58"/>
      <c r="C42" s="58" t="s">
        <v>48</v>
      </c>
      <c r="D42" s="58">
        <v>2</v>
      </c>
      <c r="E42" s="68" t="s">
        <v>395</v>
      </c>
      <c r="F42" s="58">
        <v>0</v>
      </c>
      <c r="G42" s="59"/>
      <c r="H42" s="102"/>
      <c r="I42" s="18"/>
      <c r="J42" s="18"/>
      <c r="K42" s="18"/>
      <c r="L42" s="18"/>
    </row>
    <row r="43" spans="1:12" s="34" customFormat="1" ht="17.25" x14ac:dyDescent="0.35">
      <c r="A43" s="97"/>
      <c r="B43" s="58"/>
      <c r="C43" s="58" t="s">
        <v>48</v>
      </c>
      <c r="D43" s="58">
        <v>2</v>
      </c>
      <c r="E43" s="68" t="s">
        <v>396</v>
      </c>
      <c r="F43" s="58">
        <v>0</v>
      </c>
      <c r="G43" s="59"/>
      <c r="H43" s="102"/>
      <c r="I43" s="18"/>
      <c r="J43" s="18"/>
      <c r="K43" s="18"/>
      <c r="L43" s="18"/>
    </row>
    <row r="44" spans="1:12" s="34" customFormat="1" ht="17.25" x14ac:dyDescent="0.35">
      <c r="A44" s="97"/>
      <c r="B44" s="58"/>
      <c r="C44" s="58" t="s">
        <v>48</v>
      </c>
      <c r="D44" s="58">
        <v>2</v>
      </c>
      <c r="E44" s="68" t="s">
        <v>397</v>
      </c>
      <c r="F44" s="58">
        <v>0</v>
      </c>
      <c r="G44" s="59"/>
      <c r="H44" s="102"/>
      <c r="I44" s="18"/>
      <c r="J44" s="18"/>
      <c r="K44" s="18"/>
      <c r="L44" s="18"/>
    </row>
    <row r="45" spans="1:12" s="34" customFormat="1" ht="17.25" x14ac:dyDescent="0.35">
      <c r="A45" s="97"/>
      <c r="B45" s="58"/>
      <c r="C45" s="58" t="s">
        <v>48</v>
      </c>
      <c r="D45" s="58">
        <v>2</v>
      </c>
      <c r="E45" s="68" t="s">
        <v>398</v>
      </c>
      <c r="F45" s="58">
        <v>0</v>
      </c>
      <c r="G45" s="59"/>
      <c r="H45" s="102"/>
      <c r="I45" s="18"/>
      <c r="J45" s="18"/>
      <c r="K45" s="18"/>
      <c r="L45" s="18"/>
    </row>
    <row r="46" spans="1:12" s="34" customFormat="1" ht="17.25" x14ac:dyDescent="0.35">
      <c r="A46" s="97"/>
      <c r="B46" s="58"/>
      <c r="C46" s="58" t="s">
        <v>48</v>
      </c>
      <c r="D46" s="58">
        <v>2</v>
      </c>
      <c r="E46" s="68" t="s">
        <v>399</v>
      </c>
      <c r="F46" s="58">
        <v>0</v>
      </c>
      <c r="G46" s="59"/>
      <c r="H46" s="102"/>
      <c r="I46" s="18"/>
      <c r="J46" s="18"/>
      <c r="K46" s="18"/>
      <c r="L46" s="18"/>
    </row>
    <row r="47" spans="1:12" s="34" customFormat="1" ht="17.25" x14ac:dyDescent="0.35">
      <c r="A47" s="97"/>
      <c r="B47" s="58"/>
      <c r="C47" s="58" t="s">
        <v>48</v>
      </c>
      <c r="D47" s="58">
        <v>2</v>
      </c>
      <c r="E47" s="68" t="s">
        <v>400</v>
      </c>
      <c r="F47" s="58">
        <v>0</v>
      </c>
      <c r="G47" s="59"/>
      <c r="H47" s="102"/>
      <c r="I47" s="18"/>
      <c r="J47" s="18"/>
      <c r="K47" s="18"/>
      <c r="L47" s="18"/>
    </row>
    <row r="48" spans="1:12" s="34" customFormat="1" ht="17.25" x14ac:dyDescent="0.35">
      <c r="A48" s="97"/>
      <c r="B48" s="58"/>
      <c r="C48" s="58" t="s">
        <v>48</v>
      </c>
      <c r="D48" s="58">
        <v>2</v>
      </c>
      <c r="E48" s="68" t="s">
        <v>401</v>
      </c>
      <c r="F48" s="58">
        <v>0</v>
      </c>
      <c r="G48" s="59"/>
      <c r="H48" s="102"/>
      <c r="I48" s="18"/>
      <c r="J48" s="18"/>
      <c r="K48" s="18"/>
      <c r="L48" s="18"/>
    </row>
    <row r="49" spans="1:12" s="34" customFormat="1" ht="17.25" x14ac:dyDescent="0.35">
      <c r="A49" s="97"/>
      <c r="B49" s="58"/>
      <c r="C49" s="58" t="s">
        <v>48</v>
      </c>
      <c r="D49" s="58">
        <v>2</v>
      </c>
      <c r="E49" s="68" t="s">
        <v>402</v>
      </c>
      <c r="F49" s="58">
        <v>0</v>
      </c>
      <c r="G49" s="59"/>
      <c r="H49" s="102"/>
      <c r="I49" s="18"/>
      <c r="J49" s="18"/>
      <c r="K49" s="18"/>
      <c r="L49" s="18"/>
    </row>
    <row r="50" spans="1:12" s="34" customFormat="1" ht="17.25" x14ac:dyDescent="0.35">
      <c r="A50" s="97"/>
      <c r="B50" s="58"/>
      <c r="C50" s="58" t="s">
        <v>48</v>
      </c>
      <c r="D50" s="58">
        <v>2</v>
      </c>
      <c r="E50" s="68" t="s">
        <v>403</v>
      </c>
      <c r="F50" s="58">
        <v>0</v>
      </c>
      <c r="G50" s="59"/>
      <c r="H50" s="102"/>
      <c r="I50" s="18"/>
      <c r="J50" s="18"/>
      <c r="K50" s="18"/>
      <c r="L50" s="18"/>
    </row>
    <row r="51" spans="1:12" s="34" customFormat="1" ht="17.25" x14ac:dyDescent="0.35">
      <c r="A51" s="97"/>
      <c r="B51" s="58"/>
      <c r="C51" s="58" t="s">
        <v>48</v>
      </c>
      <c r="D51" s="58">
        <v>2</v>
      </c>
      <c r="E51" s="68" t="s">
        <v>404</v>
      </c>
      <c r="F51" s="58">
        <v>0</v>
      </c>
      <c r="G51" s="59"/>
      <c r="H51" s="102"/>
      <c r="I51" s="18"/>
      <c r="J51" s="18"/>
      <c r="K51" s="18"/>
      <c r="L51" s="18"/>
    </row>
    <row r="52" spans="1:12" s="34" customFormat="1" ht="17.25" x14ac:dyDescent="0.35">
      <c r="A52" s="97"/>
      <c r="B52" s="58"/>
      <c r="C52" s="58" t="s">
        <v>48</v>
      </c>
      <c r="D52" s="58">
        <v>2</v>
      </c>
      <c r="E52" s="68" t="s">
        <v>405</v>
      </c>
      <c r="F52" s="58">
        <v>0</v>
      </c>
      <c r="G52" s="59"/>
      <c r="H52" s="102"/>
      <c r="I52" s="18"/>
      <c r="J52" s="18"/>
      <c r="K52" s="18"/>
      <c r="L52" s="18"/>
    </row>
    <row r="53" spans="1:12" s="34" customFormat="1" ht="17.25" x14ac:dyDescent="0.35">
      <c r="A53" s="97"/>
      <c r="B53" s="58"/>
      <c r="C53" s="58" t="s">
        <v>48</v>
      </c>
      <c r="D53" s="58">
        <v>2</v>
      </c>
      <c r="E53" s="68" t="s">
        <v>406</v>
      </c>
      <c r="F53" s="58">
        <v>0</v>
      </c>
      <c r="G53" s="59"/>
      <c r="H53" s="102"/>
      <c r="I53" s="18"/>
      <c r="J53" s="18"/>
      <c r="K53" s="18"/>
      <c r="L53" s="18"/>
    </row>
    <row r="54" spans="1:12" s="34" customFormat="1" ht="17.25" x14ac:dyDescent="0.35">
      <c r="A54" s="97"/>
      <c r="B54" s="58"/>
      <c r="C54" s="58" t="s">
        <v>48</v>
      </c>
      <c r="D54" s="58">
        <v>2</v>
      </c>
      <c r="E54" s="68" t="s">
        <v>407</v>
      </c>
      <c r="F54" s="58">
        <v>0</v>
      </c>
      <c r="G54" s="59"/>
      <c r="H54" s="102"/>
      <c r="I54" s="18"/>
      <c r="J54" s="18"/>
      <c r="K54" s="18"/>
      <c r="L54" s="18"/>
    </row>
    <row r="55" spans="1:12" s="34" customFormat="1" ht="17.25" x14ac:dyDescent="0.35">
      <c r="A55" s="97"/>
      <c r="B55" s="58"/>
      <c r="C55" s="58" t="s">
        <v>48</v>
      </c>
      <c r="D55" s="58">
        <v>2</v>
      </c>
      <c r="E55" s="68" t="s">
        <v>408</v>
      </c>
      <c r="F55" s="58">
        <v>0</v>
      </c>
      <c r="G55" s="59"/>
      <c r="H55" s="102"/>
      <c r="I55" s="18"/>
      <c r="J55" s="18"/>
      <c r="K55" s="18"/>
      <c r="L55" s="18"/>
    </row>
    <row r="56" spans="1:12" s="18" customFormat="1" ht="17.25" x14ac:dyDescent="0.35">
      <c r="A56" s="97" t="s">
        <v>133</v>
      </c>
      <c r="B56" s="58">
        <v>453</v>
      </c>
      <c r="C56" s="58" t="s">
        <v>48</v>
      </c>
      <c r="D56" s="59">
        <v>1</v>
      </c>
      <c r="E56" s="68" t="s">
        <v>409</v>
      </c>
      <c r="F56" s="58">
        <v>0</v>
      </c>
      <c r="G56" s="59" t="s">
        <v>642</v>
      </c>
      <c r="H56" s="102"/>
    </row>
    <row r="57" spans="1:12" s="34" customFormat="1" ht="17.25" x14ac:dyDescent="0.35">
      <c r="A57" s="97" t="s">
        <v>410</v>
      </c>
      <c r="B57" s="58">
        <v>459</v>
      </c>
      <c r="C57" s="58" t="s">
        <v>48</v>
      </c>
      <c r="D57" s="59">
        <v>1</v>
      </c>
      <c r="E57" s="68" t="s">
        <v>411</v>
      </c>
      <c r="F57" s="58">
        <v>2</v>
      </c>
      <c r="G57" s="59" t="s">
        <v>642</v>
      </c>
      <c r="H57" s="102"/>
      <c r="I57" s="18"/>
      <c r="J57" s="18"/>
      <c r="K57" s="18"/>
      <c r="L57" s="18"/>
    </row>
    <row r="58" spans="1:12" s="18" customFormat="1" ht="17.25" x14ac:dyDescent="0.35">
      <c r="A58" s="97" t="s">
        <v>412</v>
      </c>
      <c r="B58" s="58">
        <v>475</v>
      </c>
      <c r="C58" s="58" t="s">
        <v>48</v>
      </c>
      <c r="D58" s="59">
        <v>2</v>
      </c>
      <c r="E58" s="68" t="s">
        <v>413</v>
      </c>
      <c r="F58" s="58">
        <v>0</v>
      </c>
      <c r="G58" s="59" t="s">
        <v>57</v>
      </c>
      <c r="H58" s="102"/>
    </row>
    <row r="59" spans="1:12" s="18" customFormat="1" ht="17.25" x14ac:dyDescent="0.35">
      <c r="A59" s="97" t="s">
        <v>111</v>
      </c>
      <c r="B59" s="58">
        <v>562</v>
      </c>
      <c r="C59" s="58" t="s">
        <v>48</v>
      </c>
      <c r="D59" s="59">
        <v>1</v>
      </c>
      <c r="E59" s="68" t="s">
        <v>112</v>
      </c>
      <c r="F59" s="58">
        <v>1</v>
      </c>
      <c r="G59" s="59" t="s">
        <v>642</v>
      </c>
      <c r="H59" s="102" t="s">
        <v>21</v>
      </c>
    </row>
    <row r="60" spans="1:12" s="18" customFormat="1" ht="17.25" x14ac:dyDescent="0.35">
      <c r="A60" s="97" t="s">
        <v>19</v>
      </c>
      <c r="B60" s="58">
        <v>818</v>
      </c>
      <c r="C60" s="58" t="s">
        <v>48</v>
      </c>
      <c r="D60" s="59">
        <v>1</v>
      </c>
      <c r="E60" s="68" t="s">
        <v>20</v>
      </c>
      <c r="F60" s="58" t="s">
        <v>414</v>
      </c>
      <c r="G60" s="59" t="s">
        <v>57</v>
      </c>
      <c r="H60" s="102" t="s">
        <v>21</v>
      </c>
    </row>
    <row r="61" spans="1:12" s="18" customFormat="1" ht="17.25" x14ac:dyDescent="0.35">
      <c r="A61" s="97" t="s">
        <v>60</v>
      </c>
      <c r="B61" s="58">
        <v>855</v>
      </c>
      <c r="C61" s="58" t="s">
        <v>48</v>
      </c>
      <c r="D61" s="59">
        <v>1</v>
      </c>
      <c r="E61" s="68" t="s">
        <v>27</v>
      </c>
      <c r="F61" s="58" t="s">
        <v>364</v>
      </c>
      <c r="G61" s="59" t="s">
        <v>642</v>
      </c>
      <c r="H61" s="102" t="s">
        <v>109</v>
      </c>
    </row>
    <row r="62" spans="1:12" s="18" customFormat="1" ht="17.25" x14ac:dyDescent="0.35">
      <c r="A62" s="97" t="s">
        <v>61</v>
      </c>
      <c r="B62" s="58">
        <v>880</v>
      </c>
      <c r="C62" s="58" t="s">
        <v>48</v>
      </c>
      <c r="D62" s="59">
        <v>1</v>
      </c>
      <c r="E62" s="68"/>
      <c r="F62" s="58" t="s">
        <v>4</v>
      </c>
      <c r="G62" s="59" t="s">
        <v>642</v>
      </c>
      <c r="H62" s="102"/>
    </row>
    <row r="63" spans="1:12" s="18" customFormat="1" ht="17.25" x14ac:dyDescent="0.35">
      <c r="A63" s="97" t="s">
        <v>62</v>
      </c>
      <c r="B63" s="58">
        <v>881</v>
      </c>
      <c r="C63" s="58" t="s">
        <v>48</v>
      </c>
      <c r="D63" s="59">
        <v>1</v>
      </c>
      <c r="E63" s="68"/>
      <c r="F63" s="58" t="s">
        <v>4</v>
      </c>
      <c r="G63" s="59" t="s">
        <v>642</v>
      </c>
      <c r="H63" s="102"/>
    </row>
    <row r="64" spans="1:12" s="18" customFormat="1" ht="17.25" x14ac:dyDescent="0.35">
      <c r="A64" s="97" t="s">
        <v>63</v>
      </c>
      <c r="B64" s="58">
        <v>882</v>
      </c>
      <c r="C64" s="58" t="s">
        <v>48</v>
      </c>
      <c r="D64" s="59">
        <v>1</v>
      </c>
      <c r="E64" s="68"/>
      <c r="F64" s="58" t="s">
        <v>32</v>
      </c>
      <c r="G64" s="59" t="s">
        <v>642</v>
      </c>
      <c r="H64" s="102"/>
    </row>
    <row r="65" spans="1:12" s="18" customFormat="1" ht="17.25" x14ac:dyDescent="0.35">
      <c r="A65" s="98" t="s">
        <v>415</v>
      </c>
      <c r="B65" s="58">
        <v>905</v>
      </c>
      <c r="C65" s="58" t="s">
        <v>48</v>
      </c>
      <c r="D65" s="59">
        <v>2</v>
      </c>
      <c r="E65" s="69" t="s">
        <v>416</v>
      </c>
      <c r="F65" s="58">
        <v>0</v>
      </c>
      <c r="G65" s="59" t="s">
        <v>642</v>
      </c>
      <c r="H65" s="103"/>
    </row>
    <row r="66" spans="1:12" s="18" customFormat="1" ht="17.25" x14ac:dyDescent="0.35">
      <c r="A66" s="97" t="s">
        <v>22</v>
      </c>
      <c r="B66" s="58">
        <v>1018</v>
      </c>
      <c r="C66" s="58" t="s">
        <v>48</v>
      </c>
      <c r="D66" s="59">
        <v>2</v>
      </c>
      <c r="E66" s="68" t="s">
        <v>23</v>
      </c>
      <c r="F66" s="58" t="s">
        <v>417</v>
      </c>
      <c r="G66" s="59" t="s">
        <v>642</v>
      </c>
      <c r="H66" s="102"/>
    </row>
    <row r="67" spans="1:12" s="18" customFormat="1" ht="17.25" x14ac:dyDescent="0.35">
      <c r="A67" s="98" t="s">
        <v>418</v>
      </c>
      <c r="B67" s="58">
        <v>1892</v>
      </c>
      <c r="C67" s="58" t="s">
        <v>48</v>
      </c>
      <c r="D67" s="59">
        <v>1</v>
      </c>
      <c r="E67" s="69" t="s">
        <v>419</v>
      </c>
      <c r="F67" s="58">
        <v>5</v>
      </c>
      <c r="G67" s="59" t="s">
        <v>642</v>
      </c>
      <c r="H67" s="103"/>
    </row>
    <row r="68" spans="1:12" s="18" customFormat="1" ht="17.25" x14ac:dyDescent="0.35">
      <c r="A68" s="98" t="s">
        <v>420</v>
      </c>
      <c r="B68" s="58">
        <v>1895</v>
      </c>
      <c r="C68" s="58" t="s">
        <v>48</v>
      </c>
      <c r="D68" s="59">
        <v>1</v>
      </c>
      <c r="E68" s="69" t="s">
        <v>421</v>
      </c>
      <c r="F68" s="58" t="s">
        <v>422</v>
      </c>
      <c r="G68" s="59" t="s">
        <v>642</v>
      </c>
      <c r="H68" s="103"/>
    </row>
    <row r="69" spans="1:12" s="18" customFormat="1" ht="17.25" x14ac:dyDescent="0.35">
      <c r="A69" s="97" t="s">
        <v>64</v>
      </c>
      <c r="B69" s="58">
        <v>1896</v>
      </c>
      <c r="C69" s="58" t="s">
        <v>48</v>
      </c>
      <c r="D69" s="59">
        <v>1</v>
      </c>
      <c r="E69" s="68" t="s">
        <v>65</v>
      </c>
      <c r="F69" s="58" t="s">
        <v>4</v>
      </c>
      <c r="G69" s="59" t="s">
        <v>642</v>
      </c>
      <c r="H69" s="102"/>
    </row>
    <row r="70" spans="1:12" s="18" customFormat="1" ht="17.25" x14ac:dyDescent="0.35">
      <c r="A70" s="98" t="s">
        <v>423</v>
      </c>
      <c r="B70" s="58">
        <v>1962</v>
      </c>
      <c r="C70" s="58" t="s">
        <v>48</v>
      </c>
      <c r="D70" s="59">
        <v>1</v>
      </c>
      <c r="E70" s="69" t="s">
        <v>424</v>
      </c>
      <c r="F70" s="58">
        <v>1</v>
      </c>
      <c r="G70" s="59" t="s">
        <v>642</v>
      </c>
      <c r="H70" s="103"/>
    </row>
    <row r="71" spans="1:12" s="18" customFormat="1" ht="17.25" x14ac:dyDescent="0.35">
      <c r="A71" s="98" t="s">
        <v>425</v>
      </c>
      <c r="B71" s="58">
        <v>2822</v>
      </c>
      <c r="C71" s="58" t="s">
        <v>48</v>
      </c>
      <c r="D71" s="59">
        <v>2</v>
      </c>
      <c r="E71" s="69" t="s">
        <v>426</v>
      </c>
      <c r="F71" s="58">
        <v>0</v>
      </c>
      <c r="G71" s="59" t="s">
        <v>642</v>
      </c>
      <c r="H71" s="103"/>
    </row>
    <row r="72" spans="1:12" s="18" customFormat="1" ht="17.25" x14ac:dyDescent="0.35">
      <c r="A72" s="97" t="s">
        <v>28</v>
      </c>
      <c r="B72" s="58">
        <v>3532</v>
      </c>
      <c r="C72" s="58" t="s">
        <v>48</v>
      </c>
      <c r="D72" s="59">
        <v>1</v>
      </c>
      <c r="E72" s="68" t="s">
        <v>29</v>
      </c>
      <c r="F72" s="58" t="s">
        <v>427</v>
      </c>
      <c r="G72" s="59" t="s">
        <v>642</v>
      </c>
      <c r="H72" s="102" t="s">
        <v>6</v>
      </c>
    </row>
    <row r="73" spans="1:12" s="34" customFormat="1" ht="17.25" x14ac:dyDescent="0.35">
      <c r="A73" s="97" t="s">
        <v>30</v>
      </c>
      <c r="B73" s="58">
        <v>3533</v>
      </c>
      <c r="C73" s="58" t="s">
        <v>48</v>
      </c>
      <c r="D73" s="59">
        <v>1</v>
      </c>
      <c r="E73" s="68" t="s">
        <v>31</v>
      </c>
      <c r="F73" s="58">
        <v>5</v>
      </c>
      <c r="G73" s="59" t="s">
        <v>642</v>
      </c>
      <c r="H73" s="102" t="s">
        <v>6</v>
      </c>
      <c r="I73" s="18"/>
      <c r="J73" s="18"/>
      <c r="K73" s="18"/>
      <c r="L73" s="18"/>
    </row>
    <row r="74" spans="1:12" s="34" customFormat="1" ht="17.25" x14ac:dyDescent="0.35">
      <c r="A74" s="97" t="s">
        <v>428</v>
      </c>
      <c r="B74" s="58">
        <v>3634</v>
      </c>
      <c r="C74" s="58"/>
      <c r="D74" s="58"/>
      <c r="E74" s="68" t="s">
        <v>429</v>
      </c>
      <c r="F74" s="58"/>
      <c r="G74" s="59" t="s">
        <v>642</v>
      </c>
      <c r="H74" s="102"/>
      <c r="I74" s="18"/>
      <c r="J74" s="18"/>
      <c r="K74" s="18"/>
      <c r="L74" s="18"/>
    </row>
    <row r="75" spans="1:12" s="34" customFormat="1" ht="17.25" x14ac:dyDescent="0.35">
      <c r="A75" s="97"/>
      <c r="B75" s="58"/>
      <c r="C75" s="58" t="s">
        <v>48</v>
      </c>
      <c r="D75" s="59">
        <v>2</v>
      </c>
      <c r="E75" s="68"/>
      <c r="F75" s="58">
        <v>1</v>
      </c>
      <c r="G75" s="59"/>
      <c r="H75" s="102" t="s">
        <v>430</v>
      </c>
      <c r="I75" s="18"/>
      <c r="J75" s="18"/>
      <c r="K75" s="18"/>
      <c r="L75" s="18"/>
    </row>
    <row r="76" spans="1:12" s="18" customFormat="1" ht="17.25" x14ac:dyDescent="0.35">
      <c r="A76" s="97"/>
      <c r="B76" s="58"/>
      <c r="C76" s="58" t="s">
        <v>48</v>
      </c>
      <c r="D76" s="59">
        <v>2</v>
      </c>
      <c r="E76" s="68"/>
      <c r="F76" s="58">
        <v>4</v>
      </c>
      <c r="G76" s="59"/>
      <c r="H76" s="102" t="s">
        <v>431</v>
      </c>
    </row>
    <row r="77" spans="1:12" s="18" customFormat="1" ht="17.25" x14ac:dyDescent="0.35">
      <c r="A77" s="97"/>
      <c r="B77" s="58"/>
      <c r="C77" s="58" t="s">
        <v>48</v>
      </c>
      <c r="D77" s="59">
        <v>2</v>
      </c>
      <c r="E77" s="68"/>
      <c r="F77" s="58">
        <v>5</v>
      </c>
      <c r="G77" s="59"/>
      <c r="H77" s="102" t="s">
        <v>432</v>
      </c>
    </row>
    <row r="78" spans="1:12" s="18" customFormat="1" ht="17.25" x14ac:dyDescent="0.35">
      <c r="A78" s="97"/>
      <c r="B78" s="58"/>
      <c r="C78" s="58" t="s">
        <v>48</v>
      </c>
      <c r="D78" s="59">
        <v>2</v>
      </c>
      <c r="E78" s="68"/>
      <c r="F78" s="58">
        <v>4</v>
      </c>
      <c r="G78" s="59"/>
      <c r="H78" s="102" t="s">
        <v>433</v>
      </c>
    </row>
    <row r="79" spans="1:12" s="18" customFormat="1" ht="17.25" x14ac:dyDescent="0.35">
      <c r="A79" s="97"/>
      <c r="B79" s="58"/>
      <c r="C79" s="58" t="s">
        <v>48</v>
      </c>
      <c r="D79" s="59">
        <v>2</v>
      </c>
      <c r="E79" s="68"/>
      <c r="F79" s="58">
        <v>5</v>
      </c>
      <c r="G79" s="59"/>
      <c r="H79" s="102"/>
    </row>
    <row r="80" spans="1:12" s="18" customFormat="1" ht="17.25" x14ac:dyDescent="0.35">
      <c r="A80" s="97"/>
      <c r="B80" s="58"/>
      <c r="C80" s="58" t="s">
        <v>48</v>
      </c>
      <c r="D80" s="59">
        <v>2</v>
      </c>
      <c r="E80" s="68"/>
      <c r="F80" s="58">
        <v>12</v>
      </c>
      <c r="G80" s="59"/>
      <c r="H80" s="102"/>
    </row>
    <row r="81" spans="1:12" s="18" customFormat="1" ht="17.25" x14ac:dyDescent="0.35">
      <c r="A81" s="97"/>
      <c r="B81" s="58"/>
      <c r="C81" s="58" t="s">
        <v>48</v>
      </c>
      <c r="D81" s="59">
        <v>2</v>
      </c>
      <c r="E81" s="68"/>
      <c r="F81" s="58">
        <v>13</v>
      </c>
      <c r="G81" s="59"/>
      <c r="H81" s="102"/>
    </row>
    <row r="82" spans="1:12" s="18" customFormat="1" ht="17.25" x14ac:dyDescent="0.35">
      <c r="A82" s="97"/>
      <c r="B82" s="58"/>
      <c r="C82" s="58" t="s">
        <v>48</v>
      </c>
      <c r="D82" s="59">
        <v>2</v>
      </c>
      <c r="E82" s="68"/>
      <c r="F82" s="58">
        <v>13</v>
      </c>
      <c r="G82" s="59"/>
      <c r="H82" s="102"/>
    </row>
    <row r="83" spans="1:12" s="18" customFormat="1" ht="17.25" x14ac:dyDescent="0.35">
      <c r="A83" s="97"/>
      <c r="B83" s="58"/>
      <c r="C83" s="58" t="s">
        <v>48</v>
      </c>
      <c r="D83" s="59">
        <v>110</v>
      </c>
      <c r="E83" s="68"/>
      <c r="F83" s="58">
        <v>0</v>
      </c>
      <c r="G83" s="59"/>
      <c r="H83" s="102" t="s">
        <v>434</v>
      </c>
    </row>
    <row r="84" spans="1:12" s="18" customFormat="1" ht="17.25" x14ac:dyDescent="0.35">
      <c r="A84" s="97" t="s">
        <v>66</v>
      </c>
      <c r="B84" s="58">
        <v>4102</v>
      </c>
      <c r="C84" s="58" t="s">
        <v>48</v>
      </c>
      <c r="D84" s="59">
        <v>1</v>
      </c>
      <c r="E84" s="68"/>
      <c r="F84" s="58">
        <v>1</v>
      </c>
      <c r="G84" s="59" t="s">
        <v>57</v>
      </c>
      <c r="H84" s="102"/>
    </row>
    <row r="85" spans="1:12" s="18" customFormat="1" ht="17.25" x14ac:dyDescent="0.35">
      <c r="A85" s="97" t="s">
        <v>435</v>
      </c>
      <c r="B85" s="58">
        <v>4201</v>
      </c>
      <c r="C85" s="58" t="s">
        <v>48</v>
      </c>
      <c r="D85" s="59">
        <v>1</v>
      </c>
      <c r="E85" s="68" t="s">
        <v>436</v>
      </c>
      <c r="F85" s="58">
        <v>0</v>
      </c>
      <c r="G85" s="59" t="s">
        <v>642</v>
      </c>
      <c r="H85" s="102"/>
    </row>
    <row r="86" spans="1:12" s="18" customFormat="1" ht="17.25" x14ac:dyDescent="0.35">
      <c r="A86" s="97" t="s">
        <v>14</v>
      </c>
      <c r="B86" s="58">
        <v>4204</v>
      </c>
      <c r="C86" s="58" t="s">
        <v>48</v>
      </c>
      <c r="D86" s="59">
        <v>1</v>
      </c>
      <c r="E86" s="68" t="s">
        <v>15</v>
      </c>
      <c r="F86" s="58">
        <v>0</v>
      </c>
      <c r="G86" s="59" t="s">
        <v>57</v>
      </c>
      <c r="H86" s="102"/>
    </row>
    <row r="87" spans="1:12" s="18" customFormat="1" ht="17.25" x14ac:dyDescent="0.35">
      <c r="A87" s="99" t="s">
        <v>437</v>
      </c>
      <c r="B87" s="58">
        <v>4231</v>
      </c>
      <c r="C87" s="58"/>
      <c r="D87" s="59"/>
      <c r="E87" s="67" t="s">
        <v>438</v>
      </c>
      <c r="F87" s="58"/>
      <c r="G87" s="59" t="s">
        <v>57</v>
      </c>
      <c r="H87" s="104"/>
    </row>
    <row r="88" spans="1:12" s="18" customFormat="1" ht="17.25" x14ac:dyDescent="0.35">
      <c r="A88" s="99"/>
      <c r="B88" s="58"/>
      <c r="C88" s="58" t="s">
        <v>48</v>
      </c>
      <c r="D88" s="59">
        <v>8</v>
      </c>
      <c r="E88" s="67" t="s">
        <v>439</v>
      </c>
      <c r="F88" s="58">
        <v>0</v>
      </c>
      <c r="G88" s="59"/>
      <c r="H88" s="104"/>
    </row>
    <row r="89" spans="1:12" s="18" customFormat="1" ht="17.25" x14ac:dyDescent="0.35">
      <c r="A89" s="99"/>
      <c r="B89" s="58"/>
      <c r="C89" s="58" t="s">
        <v>48</v>
      </c>
      <c r="D89" s="59">
        <v>8</v>
      </c>
      <c r="E89" s="67" t="s">
        <v>440</v>
      </c>
      <c r="F89" s="58">
        <v>1</v>
      </c>
      <c r="G89" s="59"/>
      <c r="H89" s="104"/>
    </row>
    <row r="90" spans="1:12" s="34" customFormat="1" ht="17.25" x14ac:dyDescent="0.35">
      <c r="A90" s="99" t="s">
        <v>441</v>
      </c>
      <c r="B90" s="58">
        <v>4396</v>
      </c>
      <c r="C90" s="58" t="s">
        <v>48</v>
      </c>
      <c r="D90" s="59">
        <v>1</v>
      </c>
      <c r="E90" s="67" t="s">
        <v>442</v>
      </c>
      <c r="F90" s="58">
        <v>2</v>
      </c>
      <c r="G90" s="59" t="s">
        <v>642</v>
      </c>
      <c r="H90" s="104"/>
      <c r="I90" s="18"/>
      <c r="J90" s="18"/>
      <c r="K90" s="18"/>
      <c r="L90" s="18"/>
    </row>
    <row r="91" spans="1:12" s="18" customFormat="1" ht="17.25" x14ac:dyDescent="0.35">
      <c r="A91" s="98" t="s">
        <v>443</v>
      </c>
      <c r="B91" s="58">
        <v>4399</v>
      </c>
      <c r="C91" s="58" t="s">
        <v>48</v>
      </c>
      <c r="D91" s="59">
        <v>1</v>
      </c>
      <c r="E91" s="69" t="s">
        <v>444</v>
      </c>
      <c r="F91" s="58">
        <v>1</v>
      </c>
      <c r="G91" s="59" t="s">
        <v>642</v>
      </c>
      <c r="H91" s="103"/>
    </row>
    <row r="92" spans="1:12" s="18" customFormat="1" ht="17.25" x14ac:dyDescent="0.35">
      <c r="A92" s="99" t="s">
        <v>445</v>
      </c>
      <c r="B92" s="58">
        <v>4526</v>
      </c>
      <c r="C92" s="58" t="s">
        <v>48</v>
      </c>
      <c r="D92" s="59">
        <v>1</v>
      </c>
      <c r="E92" s="67" t="s">
        <v>446</v>
      </c>
      <c r="F92" s="58" t="s">
        <v>4</v>
      </c>
      <c r="G92" s="59" t="s">
        <v>642</v>
      </c>
      <c r="H92" s="104"/>
    </row>
    <row r="93" spans="1:12" s="18" customFormat="1" ht="17.25" x14ac:dyDescent="0.35">
      <c r="A93" s="97" t="s">
        <v>67</v>
      </c>
      <c r="B93" s="58">
        <v>4964</v>
      </c>
      <c r="C93" s="58" t="s">
        <v>48</v>
      </c>
      <c r="D93" s="59">
        <v>2</v>
      </c>
      <c r="E93" s="68"/>
      <c r="F93" s="58">
        <v>4</v>
      </c>
      <c r="G93" s="59" t="s">
        <v>57</v>
      </c>
      <c r="H93" s="102"/>
    </row>
    <row r="94" spans="1:12" s="18" customFormat="1" ht="17.25" x14ac:dyDescent="0.35">
      <c r="A94" s="97" t="s">
        <v>447</v>
      </c>
      <c r="B94" s="58">
        <v>6862</v>
      </c>
      <c r="C94" s="58" t="s">
        <v>48</v>
      </c>
      <c r="D94" s="59">
        <v>1</v>
      </c>
      <c r="E94" s="68"/>
      <c r="F94" s="58">
        <v>1</v>
      </c>
      <c r="G94" s="59" t="s">
        <v>57</v>
      </c>
      <c r="H94" s="102" t="s">
        <v>6</v>
      </c>
    </row>
    <row r="95" spans="1:12" s="18" customFormat="1" ht="17.25" x14ac:dyDescent="0.35">
      <c r="A95" s="97" t="s">
        <v>448</v>
      </c>
      <c r="B95" s="58">
        <v>3458</v>
      </c>
      <c r="C95" s="58"/>
      <c r="D95" s="59"/>
      <c r="E95" s="68" t="s">
        <v>449</v>
      </c>
      <c r="F95" s="58"/>
      <c r="G95" s="59" t="s">
        <v>57</v>
      </c>
      <c r="H95" s="102"/>
    </row>
    <row r="96" spans="1:12" s="18" customFormat="1" ht="17.25" x14ac:dyDescent="0.35">
      <c r="A96" s="97"/>
      <c r="B96" s="58"/>
      <c r="C96" s="58" t="s">
        <v>48</v>
      </c>
      <c r="D96" s="59">
        <v>1</v>
      </c>
      <c r="E96" s="68" t="s">
        <v>450</v>
      </c>
      <c r="F96" s="58">
        <v>1</v>
      </c>
      <c r="G96" s="59"/>
      <c r="H96" s="102" t="s">
        <v>451</v>
      </c>
    </row>
    <row r="97" spans="1:8" s="18" customFormat="1" ht="17.25" x14ac:dyDescent="0.35">
      <c r="A97" s="97"/>
      <c r="B97" s="58"/>
      <c r="C97" s="58" t="s">
        <v>48</v>
      </c>
      <c r="D97" s="59">
        <v>4</v>
      </c>
      <c r="E97" s="68" t="s">
        <v>452</v>
      </c>
      <c r="F97" s="58">
        <v>0</v>
      </c>
      <c r="G97" s="59"/>
      <c r="H97" s="102"/>
    </row>
    <row r="98" spans="1:8" s="18" customFormat="1" ht="17.25" x14ac:dyDescent="0.35">
      <c r="A98" s="97"/>
      <c r="B98" s="58"/>
      <c r="C98" s="58" t="s">
        <v>48</v>
      </c>
      <c r="D98" s="59">
        <v>4</v>
      </c>
      <c r="E98" s="68" t="s">
        <v>453</v>
      </c>
      <c r="F98" s="58">
        <v>0</v>
      </c>
      <c r="G98" s="59"/>
      <c r="H98" s="102"/>
    </row>
    <row r="99" spans="1:8" s="18" customFormat="1" ht="17.25" x14ac:dyDescent="0.35">
      <c r="A99" s="97"/>
      <c r="B99" s="58"/>
      <c r="C99" s="58" t="s">
        <v>48</v>
      </c>
      <c r="D99" s="59">
        <v>4</v>
      </c>
      <c r="E99" s="68" t="s">
        <v>454</v>
      </c>
      <c r="F99" s="58">
        <v>0</v>
      </c>
      <c r="G99" s="59"/>
      <c r="H99" s="102"/>
    </row>
    <row r="100" spans="1:8" s="18" customFormat="1" ht="17.25" x14ac:dyDescent="0.35">
      <c r="A100" s="97" t="s">
        <v>428</v>
      </c>
      <c r="B100" s="58">
        <v>3634</v>
      </c>
      <c r="C100" s="58" t="s">
        <v>48</v>
      </c>
      <c r="D100" s="58">
        <v>2</v>
      </c>
      <c r="E100" s="68" t="s">
        <v>429</v>
      </c>
      <c r="F100" s="58" t="s">
        <v>364</v>
      </c>
      <c r="G100" s="59" t="s">
        <v>642</v>
      </c>
      <c r="H100" s="102"/>
    </row>
    <row r="101" spans="1:8" s="18" customFormat="1" ht="17.25" x14ac:dyDescent="0.35">
      <c r="A101" s="97" t="s">
        <v>455</v>
      </c>
      <c r="B101" s="58">
        <v>3635</v>
      </c>
      <c r="C101" s="58"/>
      <c r="D101" s="59"/>
      <c r="E101" s="68" t="s">
        <v>456</v>
      </c>
      <c r="F101" s="58"/>
      <c r="G101" s="59" t="s">
        <v>642</v>
      </c>
      <c r="H101" s="102" t="s">
        <v>6</v>
      </c>
    </row>
    <row r="102" spans="1:8" s="18" customFormat="1" ht="17.25" x14ac:dyDescent="0.35">
      <c r="A102" s="97"/>
      <c r="B102" s="58"/>
      <c r="C102" s="58" t="s">
        <v>48</v>
      </c>
      <c r="D102" s="59">
        <v>2</v>
      </c>
      <c r="E102" s="68" t="s">
        <v>457</v>
      </c>
      <c r="F102" s="58">
        <v>3</v>
      </c>
      <c r="G102" s="59"/>
      <c r="H102" s="102"/>
    </row>
    <row r="103" spans="1:8" s="18" customFormat="1" ht="17.25" x14ac:dyDescent="0.35">
      <c r="A103" s="97"/>
      <c r="B103" s="58"/>
      <c r="C103" s="58" t="s">
        <v>48</v>
      </c>
      <c r="D103" s="59">
        <v>2</v>
      </c>
      <c r="E103" s="68" t="s">
        <v>458</v>
      </c>
      <c r="F103" s="58">
        <v>25</v>
      </c>
      <c r="G103" s="59"/>
      <c r="H103" s="102"/>
    </row>
    <row r="104" spans="1:8" s="18" customFormat="1" ht="17.25" x14ac:dyDescent="0.35">
      <c r="A104" s="97"/>
      <c r="B104" s="58"/>
      <c r="C104" s="58" t="s">
        <v>48</v>
      </c>
      <c r="D104" s="59">
        <v>4</v>
      </c>
      <c r="E104" s="68" t="s">
        <v>459</v>
      </c>
      <c r="F104" s="58">
        <v>60</v>
      </c>
      <c r="G104" s="59"/>
      <c r="H104" s="102" t="s">
        <v>460</v>
      </c>
    </row>
    <row r="105" spans="1:8" s="18" customFormat="1" ht="17.25" x14ac:dyDescent="0.35">
      <c r="A105" s="97"/>
      <c r="B105" s="58"/>
      <c r="C105" s="58" t="s">
        <v>48</v>
      </c>
      <c r="D105" s="59">
        <v>4</v>
      </c>
      <c r="E105" s="68" t="s">
        <v>461</v>
      </c>
      <c r="F105" s="58">
        <v>180</v>
      </c>
      <c r="G105" s="59"/>
      <c r="H105" s="102" t="s">
        <v>462</v>
      </c>
    </row>
    <row r="106" spans="1:8" s="18" customFormat="1" ht="17.25" x14ac:dyDescent="0.35">
      <c r="A106" s="97"/>
      <c r="B106" s="58"/>
      <c r="C106" s="58" t="s">
        <v>48</v>
      </c>
      <c r="D106" s="59">
        <v>4</v>
      </c>
      <c r="E106" s="68" t="s">
        <v>463</v>
      </c>
      <c r="F106" s="58">
        <v>5</v>
      </c>
      <c r="G106" s="59"/>
      <c r="H106" s="102" t="s">
        <v>464</v>
      </c>
    </row>
    <row r="107" spans="1:8" s="18" customFormat="1" ht="17.25" x14ac:dyDescent="0.35">
      <c r="A107" s="97"/>
      <c r="B107" s="58"/>
      <c r="C107" s="58" t="s">
        <v>48</v>
      </c>
      <c r="D107" s="59">
        <v>4</v>
      </c>
      <c r="E107" s="68" t="s">
        <v>465</v>
      </c>
      <c r="F107" s="58">
        <v>1</v>
      </c>
      <c r="G107" s="59"/>
      <c r="H107" s="102" t="s">
        <v>466</v>
      </c>
    </row>
    <row r="108" spans="1:8" s="18" customFormat="1" ht="17.25" x14ac:dyDescent="0.35">
      <c r="A108" s="97"/>
      <c r="B108" s="58"/>
      <c r="C108" s="58" t="s">
        <v>48</v>
      </c>
      <c r="D108" s="59">
        <v>4</v>
      </c>
      <c r="E108" s="68" t="s">
        <v>467</v>
      </c>
      <c r="F108" s="58">
        <v>180</v>
      </c>
      <c r="G108" s="59"/>
      <c r="H108" s="102" t="s">
        <v>468</v>
      </c>
    </row>
    <row r="109" spans="1:8" s="18" customFormat="1" ht="17.25" x14ac:dyDescent="0.35">
      <c r="A109" s="97"/>
      <c r="B109" s="58"/>
      <c r="C109" s="58" t="s">
        <v>48</v>
      </c>
      <c r="D109" s="59">
        <v>4</v>
      </c>
      <c r="E109" s="68" t="s">
        <v>469</v>
      </c>
      <c r="F109" s="58">
        <v>3600</v>
      </c>
      <c r="G109" s="59"/>
      <c r="H109" s="102" t="s">
        <v>470</v>
      </c>
    </row>
    <row r="110" spans="1:8" s="18" customFormat="1" ht="17.25" x14ac:dyDescent="0.35">
      <c r="A110" s="97"/>
      <c r="B110" s="58"/>
      <c r="C110" s="58" t="s">
        <v>48</v>
      </c>
      <c r="D110" s="59">
        <v>4</v>
      </c>
      <c r="E110" s="68" t="s">
        <v>471</v>
      </c>
      <c r="F110" s="58">
        <v>130</v>
      </c>
      <c r="G110" s="59"/>
      <c r="H110" s="102" t="s">
        <v>472</v>
      </c>
    </row>
    <row r="111" spans="1:8" s="18" customFormat="1" ht="17.25" x14ac:dyDescent="0.35">
      <c r="A111" s="97"/>
      <c r="B111" s="58"/>
      <c r="C111" s="58" t="s">
        <v>48</v>
      </c>
      <c r="D111" s="59">
        <v>4</v>
      </c>
      <c r="E111" s="68" t="s">
        <v>473</v>
      </c>
      <c r="F111" s="58">
        <v>3600</v>
      </c>
      <c r="G111" s="59"/>
      <c r="H111" s="102" t="s">
        <v>474</v>
      </c>
    </row>
    <row r="112" spans="1:8" s="18" customFormat="1" ht="17.25" x14ac:dyDescent="0.35">
      <c r="A112" s="97"/>
      <c r="B112" s="58"/>
      <c r="C112" s="58" t="s">
        <v>48</v>
      </c>
      <c r="D112" s="59">
        <v>4</v>
      </c>
      <c r="E112" s="68" t="s">
        <v>475</v>
      </c>
      <c r="F112" s="58">
        <v>130</v>
      </c>
      <c r="G112" s="59"/>
      <c r="H112" s="102" t="s">
        <v>476</v>
      </c>
    </row>
    <row r="113" spans="1:8" s="18" customFormat="1" ht="17.25" x14ac:dyDescent="0.35">
      <c r="A113" s="97"/>
      <c r="B113" s="58"/>
      <c r="C113" s="58" t="s">
        <v>48</v>
      </c>
      <c r="D113" s="59">
        <v>4</v>
      </c>
      <c r="E113" s="68" t="s">
        <v>477</v>
      </c>
      <c r="F113" s="58">
        <v>14</v>
      </c>
      <c r="G113" s="59"/>
      <c r="H113" s="102" t="s">
        <v>478</v>
      </c>
    </row>
    <row r="114" spans="1:8" s="18" customFormat="1" ht="17.25" x14ac:dyDescent="0.35">
      <c r="A114" s="97"/>
      <c r="B114" s="58"/>
      <c r="C114" s="58" t="s">
        <v>48</v>
      </c>
      <c r="D114" s="59">
        <v>4</v>
      </c>
      <c r="E114" s="68" t="s">
        <v>479</v>
      </c>
      <c r="F114" s="58">
        <v>0</v>
      </c>
      <c r="G114" s="59"/>
      <c r="H114" s="102" t="s">
        <v>480</v>
      </c>
    </row>
    <row r="115" spans="1:8" s="18" customFormat="1" ht="17.25" x14ac:dyDescent="0.35">
      <c r="A115" s="97"/>
      <c r="B115" s="58"/>
      <c r="C115" s="58" t="s">
        <v>48</v>
      </c>
      <c r="D115" s="59">
        <v>4</v>
      </c>
      <c r="E115" s="68" t="s">
        <v>481</v>
      </c>
      <c r="F115" s="58">
        <v>0</v>
      </c>
      <c r="G115" s="59"/>
      <c r="H115" s="102" t="s">
        <v>482</v>
      </c>
    </row>
    <row r="116" spans="1:8" s="18" customFormat="1" ht="17.25" x14ac:dyDescent="0.35">
      <c r="A116" s="97"/>
      <c r="B116" s="58"/>
      <c r="C116" s="58" t="s">
        <v>48</v>
      </c>
      <c r="D116" s="59">
        <v>4</v>
      </c>
      <c r="E116" s="68" t="s">
        <v>483</v>
      </c>
      <c r="F116" s="58">
        <v>60</v>
      </c>
      <c r="G116" s="59"/>
      <c r="H116" s="102" t="s">
        <v>484</v>
      </c>
    </row>
    <row r="117" spans="1:8" s="18" customFormat="1" ht="17.25" x14ac:dyDescent="0.35">
      <c r="A117" s="97"/>
      <c r="B117" s="58"/>
      <c r="C117" s="58" t="s">
        <v>48</v>
      </c>
      <c r="D117" s="59">
        <v>4</v>
      </c>
      <c r="E117" s="68" t="s">
        <v>485</v>
      </c>
      <c r="F117" s="58">
        <v>120</v>
      </c>
      <c r="G117" s="59"/>
      <c r="H117" s="102" t="s">
        <v>486</v>
      </c>
    </row>
    <row r="118" spans="1:8" s="18" customFormat="1" ht="17.25" x14ac:dyDescent="0.35">
      <c r="A118" s="97"/>
      <c r="B118" s="58"/>
      <c r="C118" s="58" t="s">
        <v>48</v>
      </c>
      <c r="D118" s="59">
        <v>4</v>
      </c>
      <c r="E118" s="68" t="s">
        <v>487</v>
      </c>
      <c r="F118" s="58">
        <v>180</v>
      </c>
      <c r="G118" s="59"/>
      <c r="H118" s="102" t="s">
        <v>488</v>
      </c>
    </row>
    <row r="119" spans="1:8" s="18" customFormat="1" ht="17.25" x14ac:dyDescent="0.35">
      <c r="A119" s="97"/>
      <c r="B119" s="58"/>
      <c r="C119" s="58" t="s">
        <v>48</v>
      </c>
      <c r="D119" s="59">
        <v>4</v>
      </c>
      <c r="E119" s="68" t="s">
        <v>489</v>
      </c>
      <c r="F119" s="58">
        <v>3600</v>
      </c>
      <c r="G119" s="59"/>
      <c r="H119" s="102" t="s">
        <v>490</v>
      </c>
    </row>
    <row r="120" spans="1:8" s="18" customFormat="1" ht="17.25" x14ac:dyDescent="0.35">
      <c r="A120" s="97"/>
      <c r="B120" s="58"/>
      <c r="C120" s="58" t="s">
        <v>48</v>
      </c>
      <c r="D120" s="59">
        <v>4</v>
      </c>
      <c r="E120" s="68" t="s">
        <v>491</v>
      </c>
      <c r="F120" s="58">
        <v>3</v>
      </c>
      <c r="G120" s="59"/>
      <c r="H120" s="102" t="s">
        <v>492</v>
      </c>
    </row>
    <row r="121" spans="1:8" s="18" customFormat="1" ht="17.25" x14ac:dyDescent="0.35">
      <c r="A121" s="97"/>
      <c r="B121" s="58"/>
      <c r="C121" s="58" t="s">
        <v>48</v>
      </c>
      <c r="D121" s="59">
        <v>4</v>
      </c>
      <c r="E121" s="68" t="s">
        <v>493</v>
      </c>
      <c r="F121" s="58">
        <v>253</v>
      </c>
      <c r="G121" s="59"/>
      <c r="H121" s="102" t="s">
        <v>494</v>
      </c>
    </row>
    <row r="122" spans="1:8" s="18" customFormat="1" ht="17.25" x14ac:dyDescent="0.35">
      <c r="A122" s="97"/>
      <c r="B122" s="58"/>
      <c r="C122" s="58" t="s">
        <v>48</v>
      </c>
      <c r="D122" s="59">
        <v>4</v>
      </c>
      <c r="E122" s="68" t="s">
        <v>495</v>
      </c>
      <c r="F122" s="58">
        <v>900</v>
      </c>
      <c r="G122" s="59"/>
      <c r="H122" s="102" t="s">
        <v>496</v>
      </c>
    </row>
    <row r="123" spans="1:8" s="18" customFormat="1" ht="17.25" x14ac:dyDescent="0.35">
      <c r="A123" s="97"/>
      <c r="B123" s="58"/>
      <c r="C123" s="58" t="s">
        <v>48</v>
      </c>
      <c r="D123" s="59">
        <v>4</v>
      </c>
      <c r="E123" s="68" t="s">
        <v>497</v>
      </c>
      <c r="F123" s="58">
        <v>180</v>
      </c>
      <c r="G123" s="59"/>
      <c r="H123" s="102" t="s">
        <v>498</v>
      </c>
    </row>
    <row r="124" spans="1:8" s="18" customFormat="1" ht="17.25" x14ac:dyDescent="0.35">
      <c r="A124" s="97"/>
      <c r="B124" s="58"/>
      <c r="C124" s="58" t="s">
        <v>48</v>
      </c>
      <c r="D124" s="59">
        <v>4</v>
      </c>
      <c r="E124" s="68" t="s">
        <v>499</v>
      </c>
      <c r="F124" s="58">
        <v>300</v>
      </c>
      <c r="G124" s="59"/>
      <c r="H124" s="102" t="s">
        <v>500</v>
      </c>
    </row>
    <row r="125" spans="1:8" s="18" customFormat="1" ht="17.25" x14ac:dyDescent="0.35">
      <c r="A125" s="97"/>
      <c r="B125" s="58"/>
      <c r="C125" s="58" t="s">
        <v>48</v>
      </c>
      <c r="D125" s="59">
        <v>4</v>
      </c>
      <c r="E125" s="68" t="s">
        <v>501</v>
      </c>
      <c r="F125" s="58">
        <v>300</v>
      </c>
      <c r="G125" s="59"/>
      <c r="H125" s="102" t="s">
        <v>502</v>
      </c>
    </row>
    <row r="126" spans="1:8" s="18" customFormat="1" ht="17.25" x14ac:dyDescent="0.35">
      <c r="A126" s="97"/>
      <c r="B126" s="58"/>
      <c r="C126" s="58" t="s">
        <v>48</v>
      </c>
      <c r="D126" s="59">
        <v>4</v>
      </c>
      <c r="E126" s="68" t="s">
        <v>503</v>
      </c>
      <c r="F126" s="58">
        <v>900</v>
      </c>
      <c r="G126" s="59"/>
      <c r="H126" s="102" t="s">
        <v>504</v>
      </c>
    </row>
    <row r="127" spans="1:8" s="18" customFormat="1" ht="17.25" x14ac:dyDescent="0.35">
      <c r="A127" s="97"/>
      <c r="B127" s="58"/>
      <c r="C127" s="58" t="s">
        <v>48</v>
      </c>
      <c r="D127" s="59">
        <v>4</v>
      </c>
      <c r="E127" s="68" t="s">
        <v>505</v>
      </c>
      <c r="F127" s="58">
        <v>3</v>
      </c>
      <c r="G127" s="59"/>
      <c r="H127" s="102" t="s">
        <v>506</v>
      </c>
    </row>
    <row r="128" spans="1:8" s="18" customFormat="1" ht="17.25" x14ac:dyDescent="0.35">
      <c r="A128" s="97"/>
      <c r="B128" s="58"/>
      <c r="C128" s="58" t="s">
        <v>48</v>
      </c>
      <c r="D128" s="59">
        <v>4</v>
      </c>
      <c r="E128" s="68" t="s">
        <v>507</v>
      </c>
      <c r="F128" s="58">
        <v>12</v>
      </c>
      <c r="G128" s="59"/>
      <c r="H128" s="102" t="s">
        <v>508</v>
      </c>
    </row>
    <row r="129" spans="1:12" s="18" customFormat="1" ht="17.25" x14ac:dyDescent="0.35">
      <c r="A129" s="99" t="s">
        <v>509</v>
      </c>
      <c r="B129" s="58">
        <v>4227</v>
      </c>
      <c r="C129" s="58" t="s">
        <v>48</v>
      </c>
      <c r="D129" s="59">
        <v>4</v>
      </c>
      <c r="E129" s="107" t="s">
        <v>510</v>
      </c>
      <c r="F129" s="58">
        <v>250</v>
      </c>
      <c r="G129" s="59" t="s">
        <v>642</v>
      </c>
      <c r="H129" s="104"/>
    </row>
    <row r="130" spans="1:12" s="18" customFormat="1" ht="17.25" x14ac:dyDescent="0.35">
      <c r="A130" s="97" t="s">
        <v>511</v>
      </c>
      <c r="B130" s="58">
        <v>4228</v>
      </c>
      <c r="C130" s="58" t="s">
        <v>48</v>
      </c>
      <c r="D130" s="59">
        <v>1</v>
      </c>
      <c r="E130" s="108" t="s">
        <v>512</v>
      </c>
      <c r="F130" s="58">
        <v>0</v>
      </c>
      <c r="G130" s="59" t="s">
        <v>642</v>
      </c>
      <c r="H130" s="102"/>
    </row>
    <row r="131" spans="1:12" s="18" customFormat="1" ht="17.25" x14ac:dyDescent="0.35">
      <c r="A131" s="109" t="s">
        <v>43</v>
      </c>
      <c r="B131" s="58">
        <v>4229</v>
      </c>
      <c r="C131" s="58" t="s">
        <v>48</v>
      </c>
      <c r="D131" s="59">
        <v>1</v>
      </c>
      <c r="E131" s="108" t="s">
        <v>44</v>
      </c>
      <c r="F131" s="58">
        <v>1</v>
      </c>
      <c r="G131" s="59" t="s">
        <v>642</v>
      </c>
      <c r="H131" s="102"/>
    </row>
    <row r="132" spans="1:12" s="88" customFormat="1" ht="17.25" x14ac:dyDescent="0.35">
      <c r="A132" s="109" t="s">
        <v>513</v>
      </c>
      <c r="B132" s="89">
        <v>4398</v>
      </c>
      <c r="C132" s="89" t="s">
        <v>48</v>
      </c>
      <c r="D132" s="90">
        <v>1</v>
      </c>
      <c r="E132" s="108" t="s">
        <v>514</v>
      </c>
      <c r="F132" s="89">
        <v>1</v>
      </c>
      <c r="G132" s="90" t="s">
        <v>57</v>
      </c>
      <c r="H132" s="105" t="s">
        <v>514</v>
      </c>
      <c r="I132" s="91"/>
      <c r="J132" s="91"/>
      <c r="K132" s="91"/>
      <c r="L132" s="91"/>
    </row>
    <row r="133" spans="1:12" s="77" customFormat="1" ht="17.25" x14ac:dyDescent="0.35">
      <c r="A133" s="109" t="s">
        <v>515</v>
      </c>
      <c r="B133" s="89">
        <v>945</v>
      </c>
      <c r="C133" s="89" t="s">
        <v>48</v>
      </c>
      <c r="D133" s="89">
        <v>1</v>
      </c>
      <c r="E133" s="108" t="s">
        <v>13</v>
      </c>
      <c r="F133" s="89">
        <v>0</v>
      </c>
      <c r="G133" s="90"/>
      <c r="H133" s="102" t="s">
        <v>110</v>
      </c>
    </row>
    <row r="134" spans="1:12" s="77" customFormat="1" ht="17.25" x14ac:dyDescent="0.35">
      <c r="A134" s="109"/>
      <c r="B134" s="89"/>
      <c r="C134" s="89" t="s">
        <v>48</v>
      </c>
      <c r="D134" s="89">
        <v>120</v>
      </c>
      <c r="E134" s="108" t="s">
        <v>516</v>
      </c>
      <c r="F134" s="89"/>
      <c r="G134" s="90"/>
      <c r="H134" s="102"/>
    </row>
    <row r="135" spans="1:12" s="91" customFormat="1" ht="17.25" x14ac:dyDescent="0.35">
      <c r="A135" s="109" t="s">
        <v>517</v>
      </c>
      <c r="B135" s="89">
        <v>7166</v>
      </c>
      <c r="C135" s="89" t="s">
        <v>48</v>
      </c>
      <c r="D135" s="89">
        <v>1</v>
      </c>
      <c r="E135" s="108"/>
      <c r="F135" s="89">
        <v>0</v>
      </c>
      <c r="G135" s="90" t="s">
        <v>642</v>
      </c>
      <c r="H135" s="102"/>
    </row>
    <row r="136" spans="1:12" ht="18" thickBot="1" x14ac:dyDescent="0.4">
      <c r="A136" s="100"/>
      <c r="B136" s="60"/>
      <c r="C136" s="60"/>
      <c r="D136" s="60"/>
      <c r="E136" s="70"/>
      <c r="F136" s="60"/>
      <c r="G136" s="60"/>
      <c r="H136" s="106"/>
    </row>
    <row r="137" spans="1:12" s="18" customFormat="1" ht="15.75" thickBot="1" x14ac:dyDescent="0.35">
      <c r="A137" s="52"/>
      <c r="B137" s="52"/>
      <c r="C137" s="52"/>
      <c r="D137" s="52"/>
      <c r="E137" s="52"/>
      <c r="F137" s="52"/>
      <c r="G137" s="52"/>
      <c r="H137" s="53"/>
    </row>
    <row r="138" spans="1:12" ht="15.75" thickBot="1" x14ac:dyDescent="0.35">
      <c r="A138" s="71" t="s">
        <v>52</v>
      </c>
      <c r="B138" s="72"/>
      <c r="C138" s="73"/>
      <c r="D138" s="72"/>
      <c r="E138" s="72"/>
      <c r="F138" s="72"/>
      <c r="G138" s="72"/>
      <c r="H138" s="72"/>
      <c r="I138" s="61"/>
    </row>
    <row r="139" spans="1:12" s="75" customFormat="1" ht="15.75" thickBot="1" x14ac:dyDescent="0.35">
      <c r="A139" s="55" t="s">
        <v>35</v>
      </c>
      <c r="B139" s="74" t="s">
        <v>36</v>
      </c>
      <c r="C139" s="55" t="s">
        <v>45</v>
      </c>
      <c r="D139" s="74" t="s">
        <v>55</v>
      </c>
      <c r="E139" s="55" t="s">
        <v>54</v>
      </c>
      <c r="F139" s="55" t="s">
        <v>47</v>
      </c>
      <c r="G139" s="55" t="s">
        <v>53</v>
      </c>
      <c r="H139" s="55" t="s">
        <v>58</v>
      </c>
      <c r="I139" s="65" t="s">
        <v>37</v>
      </c>
    </row>
    <row r="140" spans="1:12" ht="17.25" x14ac:dyDescent="0.35">
      <c r="A140" s="116" t="s">
        <v>518</v>
      </c>
      <c r="B140" s="117" t="s">
        <v>519</v>
      </c>
      <c r="C140" s="117" t="s">
        <v>78</v>
      </c>
      <c r="D140" s="117"/>
      <c r="E140" s="117"/>
      <c r="F140" s="118"/>
      <c r="G140" s="118" t="s">
        <v>57</v>
      </c>
      <c r="H140" s="119"/>
      <c r="I140" s="110">
        <v>65881</v>
      </c>
    </row>
    <row r="141" spans="1:12" s="77" customFormat="1" ht="17.25" x14ac:dyDescent="0.35">
      <c r="A141" s="120"/>
      <c r="B141" s="121"/>
      <c r="C141" s="121"/>
      <c r="D141" s="121" t="s">
        <v>48</v>
      </c>
      <c r="E141" s="121">
        <v>1</v>
      </c>
      <c r="F141" s="62">
        <v>0</v>
      </c>
      <c r="G141" s="62"/>
      <c r="H141" s="76"/>
      <c r="I141" s="110"/>
    </row>
    <row r="142" spans="1:12" s="77" customFormat="1" ht="17.25" x14ac:dyDescent="0.35">
      <c r="A142" s="122" t="s">
        <v>68</v>
      </c>
      <c r="B142" s="62" t="s">
        <v>69</v>
      </c>
      <c r="C142" s="62" t="s">
        <v>78</v>
      </c>
      <c r="D142" s="62"/>
      <c r="E142" s="62"/>
      <c r="F142" s="62"/>
      <c r="G142" s="62" t="s">
        <v>57</v>
      </c>
      <c r="H142" s="76"/>
      <c r="I142" s="111">
        <v>65591</v>
      </c>
    </row>
    <row r="143" spans="1:12" s="77" customFormat="1" ht="17.25" x14ac:dyDescent="0.35">
      <c r="A143" s="122"/>
      <c r="B143" s="62"/>
      <c r="C143" s="62"/>
      <c r="D143" s="62" t="s">
        <v>48</v>
      </c>
      <c r="E143" s="62">
        <v>4</v>
      </c>
      <c r="F143" s="62" t="s">
        <v>70</v>
      </c>
      <c r="G143" s="62"/>
      <c r="H143" s="76"/>
      <c r="I143" s="111"/>
    </row>
    <row r="144" spans="1:12" s="77" customFormat="1" ht="17.25" x14ac:dyDescent="0.35">
      <c r="A144" s="120" t="s">
        <v>520</v>
      </c>
      <c r="B144" s="121" t="s">
        <v>521</v>
      </c>
      <c r="C144" s="121" t="s">
        <v>78</v>
      </c>
      <c r="D144" s="121"/>
      <c r="E144" s="121"/>
      <c r="F144" s="62"/>
      <c r="G144" s="62" t="s">
        <v>642</v>
      </c>
      <c r="H144" s="76"/>
      <c r="I144" s="110">
        <v>65634</v>
      </c>
    </row>
    <row r="145" spans="1:9" s="77" customFormat="1" ht="17.25" x14ac:dyDescent="0.35">
      <c r="A145" s="120"/>
      <c r="B145" s="121"/>
      <c r="C145" s="121"/>
      <c r="D145" s="121" t="s">
        <v>48</v>
      </c>
      <c r="E145" s="121">
        <v>1</v>
      </c>
      <c r="F145" s="62">
        <v>0</v>
      </c>
      <c r="G145" s="62"/>
      <c r="H145" s="76"/>
      <c r="I145" s="110"/>
    </row>
    <row r="146" spans="1:9" s="77" customFormat="1" ht="17.25" x14ac:dyDescent="0.35">
      <c r="A146" s="123" t="s">
        <v>117</v>
      </c>
      <c r="B146" s="62" t="s">
        <v>118</v>
      </c>
      <c r="C146" s="62" t="s">
        <v>78</v>
      </c>
      <c r="D146" s="62"/>
      <c r="E146" s="62"/>
      <c r="F146" s="62"/>
      <c r="G146" s="62" t="s">
        <v>57</v>
      </c>
      <c r="H146" s="76"/>
      <c r="I146" s="112">
        <v>65677</v>
      </c>
    </row>
    <row r="147" spans="1:9" s="77" customFormat="1" ht="17.25" x14ac:dyDescent="0.35">
      <c r="A147" s="123"/>
      <c r="B147" s="62"/>
      <c r="C147" s="62"/>
      <c r="D147" s="62" t="s">
        <v>48</v>
      </c>
      <c r="E147" s="62">
        <v>1</v>
      </c>
      <c r="F147" s="62">
        <v>0</v>
      </c>
      <c r="G147" s="62"/>
      <c r="H147" s="76"/>
      <c r="I147" s="112"/>
    </row>
    <row r="148" spans="1:9" s="77" customFormat="1" ht="17.25" x14ac:dyDescent="0.35">
      <c r="A148" s="123" t="s">
        <v>134</v>
      </c>
      <c r="B148" s="62" t="s">
        <v>135</v>
      </c>
      <c r="C148" s="62" t="s">
        <v>78</v>
      </c>
      <c r="D148" s="62"/>
      <c r="E148" s="62"/>
      <c r="F148" s="62"/>
      <c r="G148" s="62" t="s">
        <v>642</v>
      </c>
      <c r="H148" s="76"/>
      <c r="I148" s="112">
        <v>65819</v>
      </c>
    </row>
    <row r="149" spans="1:9" s="77" customFormat="1" ht="17.25" x14ac:dyDescent="0.35">
      <c r="A149" s="123"/>
      <c r="B149" s="62"/>
      <c r="C149" s="62"/>
      <c r="D149" s="62" t="s">
        <v>48</v>
      </c>
      <c r="E149" s="62">
        <v>2</v>
      </c>
      <c r="F149" s="62">
        <v>1</v>
      </c>
      <c r="G149" s="62"/>
      <c r="H149" s="76"/>
      <c r="I149" s="112" t="s">
        <v>130</v>
      </c>
    </row>
    <row r="150" spans="1:9" s="77" customFormat="1" ht="17.25" x14ac:dyDescent="0.35">
      <c r="A150" s="123"/>
      <c r="B150" s="62"/>
      <c r="C150" s="62"/>
      <c r="D150" s="62" t="s">
        <v>48</v>
      </c>
      <c r="E150" s="62">
        <v>2</v>
      </c>
      <c r="F150" s="62">
        <v>11</v>
      </c>
      <c r="G150" s="62"/>
      <c r="H150" s="76"/>
      <c r="I150" s="112" t="s">
        <v>522</v>
      </c>
    </row>
    <row r="151" spans="1:9" s="77" customFormat="1" ht="17.25" x14ac:dyDescent="0.35">
      <c r="A151" s="123"/>
      <c r="B151" s="62"/>
      <c r="C151" s="62"/>
      <c r="D151" s="62" t="s">
        <v>48</v>
      </c>
      <c r="E151" s="62">
        <v>4</v>
      </c>
      <c r="F151" s="62">
        <v>15</v>
      </c>
      <c r="G151" s="62"/>
      <c r="H151" s="76"/>
      <c r="I151" s="112" t="s">
        <v>523</v>
      </c>
    </row>
    <row r="152" spans="1:9" s="77" customFormat="1" ht="17.25" x14ac:dyDescent="0.35">
      <c r="A152" s="123"/>
      <c r="B152" s="62"/>
      <c r="C152" s="62"/>
      <c r="D152" s="62" t="s">
        <v>48</v>
      </c>
      <c r="E152" s="62">
        <v>4</v>
      </c>
      <c r="F152" s="62">
        <v>0</v>
      </c>
      <c r="G152" s="62"/>
      <c r="H152" s="76"/>
      <c r="I152" s="112" t="s">
        <v>524</v>
      </c>
    </row>
    <row r="153" spans="1:9" s="77" customFormat="1" ht="17.25" x14ac:dyDescent="0.35">
      <c r="A153" s="123"/>
      <c r="B153" s="62"/>
      <c r="C153" s="62"/>
      <c r="D153" s="62" t="s">
        <v>48</v>
      </c>
      <c r="E153" s="62">
        <v>4</v>
      </c>
      <c r="F153" s="62">
        <v>300</v>
      </c>
      <c r="G153" s="62"/>
      <c r="H153" s="76"/>
      <c r="I153" s="112" t="s">
        <v>525</v>
      </c>
    </row>
    <row r="154" spans="1:9" s="77" customFormat="1" ht="17.25" x14ac:dyDescent="0.35">
      <c r="A154" s="123"/>
      <c r="B154" s="62"/>
      <c r="C154" s="62"/>
      <c r="D154" s="62" t="s">
        <v>48</v>
      </c>
      <c r="E154" s="62">
        <v>4</v>
      </c>
      <c r="F154" s="62">
        <v>2</v>
      </c>
      <c r="G154" s="62"/>
      <c r="H154" s="76"/>
      <c r="I154" s="112" t="s">
        <v>526</v>
      </c>
    </row>
    <row r="155" spans="1:9" s="77" customFormat="1" ht="17.25" x14ac:dyDescent="0.35">
      <c r="A155" s="123"/>
      <c r="B155" s="62"/>
      <c r="C155" s="62"/>
      <c r="D155" s="62" t="s">
        <v>48</v>
      </c>
      <c r="E155" s="62">
        <v>4</v>
      </c>
      <c r="F155" s="62">
        <v>3</v>
      </c>
      <c r="G155" s="62"/>
      <c r="H155" s="76"/>
      <c r="I155" s="112" t="s">
        <v>527</v>
      </c>
    </row>
    <row r="156" spans="1:9" s="77" customFormat="1" ht="17.25" x14ac:dyDescent="0.35">
      <c r="A156" s="123"/>
      <c r="B156" s="62"/>
      <c r="C156" s="62"/>
      <c r="D156" s="62" t="s">
        <v>48</v>
      </c>
      <c r="E156" s="62">
        <v>4</v>
      </c>
      <c r="F156" s="62">
        <v>1</v>
      </c>
      <c r="G156" s="62"/>
      <c r="H156" s="76"/>
      <c r="I156" s="112" t="s">
        <v>528</v>
      </c>
    </row>
    <row r="157" spans="1:9" s="77" customFormat="1" ht="17.25" x14ac:dyDescent="0.35">
      <c r="A157" s="123"/>
      <c r="B157" s="62"/>
      <c r="C157" s="62"/>
      <c r="D157" s="62" t="s">
        <v>48</v>
      </c>
      <c r="E157" s="62">
        <v>4</v>
      </c>
      <c r="F157" s="62">
        <v>60</v>
      </c>
      <c r="G157" s="62"/>
      <c r="H157" s="76"/>
      <c r="I157" s="112" t="s">
        <v>529</v>
      </c>
    </row>
    <row r="158" spans="1:9" s="77" customFormat="1" ht="17.25" x14ac:dyDescent="0.35">
      <c r="A158" s="123"/>
      <c r="B158" s="62"/>
      <c r="C158" s="62"/>
      <c r="D158" s="62" t="s">
        <v>48</v>
      </c>
      <c r="E158" s="62">
        <v>4</v>
      </c>
      <c r="F158" s="62">
        <v>0</v>
      </c>
      <c r="G158" s="62"/>
      <c r="H158" s="76"/>
      <c r="I158" s="112" t="s">
        <v>530</v>
      </c>
    </row>
    <row r="159" spans="1:9" s="77" customFormat="1" ht="17.25" x14ac:dyDescent="0.35">
      <c r="A159" s="123"/>
      <c r="B159" s="62"/>
      <c r="C159" s="62"/>
      <c r="D159" s="62" t="s">
        <v>48</v>
      </c>
      <c r="E159" s="62">
        <v>4</v>
      </c>
      <c r="F159" s="62">
        <v>5</v>
      </c>
      <c r="G159" s="62"/>
      <c r="H159" s="76"/>
      <c r="I159" s="112" t="s">
        <v>531</v>
      </c>
    </row>
    <row r="160" spans="1:9" s="77" customFormat="1" ht="17.25" x14ac:dyDescent="0.35">
      <c r="A160" s="123"/>
      <c r="B160" s="62"/>
      <c r="C160" s="62"/>
      <c r="D160" s="62" t="s">
        <v>48</v>
      </c>
      <c r="E160" s="62">
        <v>4</v>
      </c>
      <c r="F160" s="62">
        <v>5</v>
      </c>
      <c r="G160" s="62"/>
      <c r="H160" s="76"/>
      <c r="I160" s="112" t="s">
        <v>532</v>
      </c>
    </row>
    <row r="161" spans="1:12" s="77" customFormat="1" ht="17.25" x14ac:dyDescent="0.35">
      <c r="A161" s="123"/>
      <c r="B161" s="62"/>
      <c r="C161" s="62"/>
      <c r="D161" s="62" t="s">
        <v>48</v>
      </c>
      <c r="E161" s="62">
        <v>4</v>
      </c>
      <c r="F161" s="62">
        <v>2</v>
      </c>
      <c r="G161" s="62"/>
      <c r="H161" s="76"/>
      <c r="I161" s="112" t="s">
        <v>533</v>
      </c>
    </row>
    <row r="162" spans="1:12" s="77" customFormat="1" ht="17.25" x14ac:dyDescent="0.35">
      <c r="A162" s="123"/>
      <c r="B162" s="62"/>
      <c r="C162" s="62"/>
      <c r="D162" s="62" t="s">
        <v>534</v>
      </c>
      <c r="E162" s="62">
        <v>4</v>
      </c>
      <c r="F162" s="62">
        <v>0</v>
      </c>
      <c r="G162" s="62"/>
      <c r="H162" s="76"/>
      <c r="I162" s="112" t="s">
        <v>131</v>
      </c>
    </row>
    <row r="163" spans="1:12" s="77" customFormat="1" ht="17.25" x14ac:dyDescent="0.35">
      <c r="A163" s="122" t="s">
        <v>82</v>
      </c>
      <c r="B163" s="62" t="s">
        <v>71</v>
      </c>
      <c r="C163" s="62" t="s">
        <v>78</v>
      </c>
      <c r="D163" s="62"/>
      <c r="E163" s="62"/>
      <c r="F163" s="62"/>
      <c r="G163" s="62" t="s">
        <v>57</v>
      </c>
      <c r="H163" s="76"/>
      <c r="I163" s="111">
        <v>66035</v>
      </c>
    </row>
    <row r="164" spans="1:12" s="77" customFormat="1" ht="17.25" x14ac:dyDescent="0.35">
      <c r="A164" s="122"/>
      <c r="B164" s="62"/>
      <c r="C164" s="62"/>
      <c r="D164" s="62" t="s">
        <v>48</v>
      </c>
      <c r="E164" s="62">
        <v>1</v>
      </c>
      <c r="F164" s="62">
        <v>1</v>
      </c>
      <c r="G164" s="62"/>
      <c r="H164" s="76"/>
      <c r="I164" s="111"/>
    </row>
    <row r="165" spans="1:12" s="77" customFormat="1" ht="16.5" customHeight="1" x14ac:dyDescent="0.35">
      <c r="A165" s="123" t="s">
        <v>535</v>
      </c>
      <c r="B165" s="62" t="s">
        <v>536</v>
      </c>
      <c r="C165" s="62" t="s">
        <v>78</v>
      </c>
      <c r="D165" s="62"/>
      <c r="E165" s="62"/>
      <c r="F165" s="62"/>
      <c r="G165" s="62" t="s">
        <v>642</v>
      </c>
      <c r="H165" s="76"/>
      <c r="I165" s="112">
        <v>66045</v>
      </c>
    </row>
    <row r="166" spans="1:12" s="77" customFormat="1" ht="17.25" x14ac:dyDescent="0.35">
      <c r="A166" s="123" t="s">
        <v>128</v>
      </c>
      <c r="B166" s="62" t="s">
        <v>128</v>
      </c>
      <c r="C166" s="62"/>
      <c r="D166" s="62" t="s">
        <v>48</v>
      </c>
      <c r="E166" s="62">
        <v>1</v>
      </c>
      <c r="F166" s="62">
        <v>1</v>
      </c>
      <c r="G166" s="62"/>
      <c r="H166" s="76"/>
      <c r="I166" s="112"/>
    </row>
    <row r="167" spans="1:12" s="92" customFormat="1" ht="17.25" x14ac:dyDescent="0.35">
      <c r="A167" s="122" t="s">
        <v>72</v>
      </c>
      <c r="B167" s="62" t="s">
        <v>73</v>
      </c>
      <c r="C167" s="62" t="s">
        <v>78</v>
      </c>
      <c r="D167" s="62"/>
      <c r="E167" s="62"/>
      <c r="F167" s="129"/>
      <c r="G167" s="62" t="s">
        <v>57</v>
      </c>
      <c r="H167" s="76"/>
      <c r="I167" s="111">
        <v>65953</v>
      </c>
      <c r="J167" s="77"/>
      <c r="K167" s="77"/>
      <c r="L167" s="77"/>
    </row>
    <row r="168" spans="1:12" s="92" customFormat="1" ht="17.25" x14ac:dyDescent="0.35">
      <c r="A168" s="122"/>
      <c r="B168" s="62"/>
      <c r="C168" s="62"/>
      <c r="D168" s="62" t="s">
        <v>56</v>
      </c>
      <c r="E168" s="62">
        <v>4</v>
      </c>
      <c r="F168" s="129" t="s">
        <v>537</v>
      </c>
      <c r="G168" s="62"/>
      <c r="H168" s="76"/>
      <c r="I168" s="111"/>
      <c r="J168" s="77"/>
      <c r="K168" s="77"/>
      <c r="L168" s="77"/>
    </row>
    <row r="169" spans="1:12" s="77" customFormat="1" ht="17.25" x14ac:dyDescent="0.35">
      <c r="A169" s="122" t="s">
        <v>74</v>
      </c>
      <c r="B169" s="62" t="s">
        <v>75</v>
      </c>
      <c r="C169" s="62" t="s">
        <v>78</v>
      </c>
      <c r="D169" s="62"/>
      <c r="E169" s="62"/>
      <c r="F169" s="62"/>
      <c r="G169" s="62" t="s">
        <v>57</v>
      </c>
      <c r="H169" s="76"/>
      <c r="I169" s="111">
        <v>67200</v>
      </c>
    </row>
    <row r="170" spans="1:12" s="77" customFormat="1" ht="17.25" x14ac:dyDescent="0.35">
      <c r="A170" s="122"/>
      <c r="B170" s="62"/>
      <c r="C170" s="62"/>
      <c r="D170" s="62" t="s">
        <v>48</v>
      </c>
      <c r="E170" s="62">
        <v>1</v>
      </c>
      <c r="F170" s="62">
        <v>1</v>
      </c>
      <c r="G170" s="62"/>
      <c r="H170" s="76"/>
      <c r="I170" s="111" t="s">
        <v>16</v>
      </c>
    </row>
    <row r="171" spans="1:12" s="77" customFormat="1" ht="17.25" x14ac:dyDescent="0.35">
      <c r="A171" s="122"/>
      <c r="B171" s="62"/>
      <c r="C171" s="62"/>
      <c r="D171" s="62" t="s">
        <v>48</v>
      </c>
      <c r="E171" s="62">
        <v>1</v>
      </c>
      <c r="F171" s="62">
        <v>1</v>
      </c>
      <c r="G171" s="62"/>
      <c r="H171" s="76"/>
      <c r="I171" s="111" t="s">
        <v>538</v>
      </c>
    </row>
    <row r="172" spans="1:12" s="77" customFormat="1" ht="17.25" x14ac:dyDescent="0.35">
      <c r="A172" s="122"/>
      <c r="B172" s="62"/>
      <c r="C172" s="62"/>
      <c r="D172" s="62" t="s">
        <v>48</v>
      </c>
      <c r="E172" s="62">
        <v>1</v>
      </c>
      <c r="F172" s="62">
        <v>0</v>
      </c>
      <c r="G172" s="62"/>
      <c r="H172" s="76"/>
      <c r="I172" s="111" t="s">
        <v>539</v>
      </c>
    </row>
    <row r="173" spans="1:12" s="77" customFormat="1" ht="17.25" x14ac:dyDescent="0.35">
      <c r="A173" s="122" t="s">
        <v>6</v>
      </c>
      <c r="B173" s="62"/>
      <c r="C173" s="62"/>
      <c r="D173" s="62" t="s">
        <v>48</v>
      </c>
      <c r="E173" s="62">
        <v>1</v>
      </c>
      <c r="F173" s="62">
        <v>1</v>
      </c>
      <c r="G173" s="62"/>
      <c r="H173" s="76"/>
      <c r="I173" s="111" t="s">
        <v>540</v>
      </c>
    </row>
    <row r="174" spans="1:12" s="77" customFormat="1" ht="17.25" x14ac:dyDescent="0.35">
      <c r="A174" s="122"/>
      <c r="B174" s="62"/>
      <c r="C174" s="62"/>
      <c r="D174" s="62" t="s">
        <v>48</v>
      </c>
      <c r="E174" s="62">
        <v>1</v>
      </c>
      <c r="F174" s="62">
        <v>3</v>
      </c>
      <c r="G174" s="62"/>
      <c r="H174" s="76"/>
      <c r="I174" s="111" t="s">
        <v>541</v>
      </c>
    </row>
    <row r="175" spans="1:12" s="77" customFormat="1" ht="17.25" x14ac:dyDescent="0.35">
      <c r="A175" s="122"/>
      <c r="B175" s="62"/>
      <c r="C175" s="62"/>
      <c r="D175" s="62" t="s">
        <v>48</v>
      </c>
      <c r="E175" s="62">
        <v>2</v>
      </c>
      <c r="F175" s="62">
        <v>0</v>
      </c>
      <c r="G175" s="62"/>
      <c r="H175" s="76"/>
      <c r="I175" s="111" t="s">
        <v>542</v>
      </c>
    </row>
    <row r="176" spans="1:12" s="77" customFormat="1" ht="17.25" x14ac:dyDescent="0.35">
      <c r="A176" s="123" t="s">
        <v>543</v>
      </c>
      <c r="B176" s="62" t="s">
        <v>114</v>
      </c>
      <c r="C176" s="62" t="s">
        <v>78</v>
      </c>
      <c r="D176" s="62"/>
      <c r="E176" s="62"/>
      <c r="F176" s="62"/>
      <c r="G176" s="62" t="s">
        <v>57</v>
      </c>
      <c r="H176" s="76"/>
      <c r="I176" s="112">
        <v>67288</v>
      </c>
    </row>
    <row r="177" spans="1:9" s="77" customFormat="1" ht="17.25" x14ac:dyDescent="0.35">
      <c r="A177" s="123"/>
      <c r="B177" s="62"/>
      <c r="C177" s="62"/>
      <c r="D177" s="62" t="s">
        <v>48</v>
      </c>
      <c r="E177" s="62">
        <v>2</v>
      </c>
      <c r="F177" s="62">
        <v>-95</v>
      </c>
      <c r="G177" s="62"/>
      <c r="H177" s="76"/>
      <c r="I177" s="112" t="s">
        <v>544</v>
      </c>
    </row>
    <row r="178" spans="1:9" s="77" customFormat="1" ht="17.25" x14ac:dyDescent="0.35">
      <c r="A178" s="122" t="s">
        <v>119</v>
      </c>
      <c r="B178" s="62" t="s">
        <v>120</v>
      </c>
      <c r="C178" s="62" t="s">
        <v>78</v>
      </c>
      <c r="D178" s="62"/>
      <c r="E178" s="62"/>
      <c r="F178" s="62"/>
      <c r="G178" s="62" t="s">
        <v>642</v>
      </c>
      <c r="H178" s="76"/>
      <c r="I178" s="111">
        <v>66472</v>
      </c>
    </row>
    <row r="179" spans="1:9" s="77" customFormat="1" ht="17.25" x14ac:dyDescent="0.35">
      <c r="A179" s="122" t="s">
        <v>128</v>
      </c>
      <c r="B179" s="62" t="s">
        <v>128</v>
      </c>
      <c r="C179" s="62"/>
      <c r="D179" s="62" t="s">
        <v>48</v>
      </c>
      <c r="E179" s="62">
        <v>1</v>
      </c>
      <c r="F179" s="62">
        <v>0</v>
      </c>
      <c r="G179" s="62"/>
      <c r="H179" s="76"/>
      <c r="I179" s="111"/>
    </row>
    <row r="180" spans="1:9" s="77" customFormat="1" ht="17.25" x14ac:dyDescent="0.35">
      <c r="A180" s="122" t="s">
        <v>121</v>
      </c>
      <c r="B180" s="62" t="s">
        <v>122</v>
      </c>
      <c r="C180" s="62" t="s">
        <v>78</v>
      </c>
      <c r="D180" s="62"/>
      <c r="E180" s="62"/>
      <c r="F180" s="62"/>
      <c r="G180" s="62" t="s">
        <v>642</v>
      </c>
      <c r="H180" s="76"/>
      <c r="I180" s="111">
        <v>66473</v>
      </c>
    </row>
    <row r="181" spans="1:9" s="77" customFormat="1" ht="17.25" x14ac:dyDescent="0.35">
      <c r="A181" s="122" t="s">
        <v>128</v>
      </c>
      <c r="B181" s="62" t="s">
        <v>128</v>
      </c>
      <c r="C181" s="62"/>
      <c r="D181" s="62" t="s">
        <v>48</v>
      </c>
      <c r="E181" s="62">
        <v>1</v>
      </c>
      <c r="F181" s="62">
        <v>0</v>
      </c>
      <c r="G181" s="62"/>
      <c r="H181" s="76"/>
      <c r="I181" s="111"/>
    </row>
    <row r="182" spans="1:9" s="77" customFormat="1" ht="19.5" customHeight="1" x14ac:dyDescent="0.35">
      <c r="A182" s="124" t="s">
        <v>108</v>
      </c>
      <c r="B182" s="62" t="s">
        <v>80</v>
      </c>
      <c r="C182" s="62" t="s">
        <v>78</v>
      </c>
      <c r="D182" s="62"/>
      <c r="E182" s="62"/>
      <c r="F182" s="62"/>
      <c r="G182" s="62" t="s">
        <v>642</v>
      </c>
      <c r="H182" s="76"/>
      <c r="I182" s="113">
        <v>65777</v>
      </c>
    </row>
    <row r="183" spans="1:9" s="77" customFormat="1" ht="19.5" customHeight="1" x14ac:dyDescent="0.35">
      <c r="A183" s="124" t="s">
        <v>128</v>
      </c>
      <c r="B183" s="62" t="s">
        <v>128</v>
      </c>
      <c r="C183" s="62"/>
      <c r="D183" s="62" t="s">
        <v>48</v>
      </c>
      <c r="E183" s="62">
        <v>1</v>
      </c>
      <c r="F183" s="62">
        <v>0</v>
      </c>
      <c r="G183" s="62"/>
      <c r="H183" s="76"/>
      <c r="I183" s="113"/>
    </row>
    <row r="184" spans="1:9" s="77" customFormat="1" ht="16.5" customHeight="1" x14ac:dyDescent="0.35">
      <c r="A184" s="122" t="s">
        <v>129</v>
      </c>
      <c r="B184" s="62" t="s">
        <v>123</v>
      </c>
      <c r="C184" s="62" t="s">
        <v>78</v>
      </c>
      <c r="D184" s="62"/>
      <c r="E184" s="62"/>
      <c r="F184" s="62"/>
      <c r="G184" s="62" t="s">
        <v>642</v>
      </c>
      <c r="H184" s="76"/>
      <c r="I184" s="111">
        <v>66048</v>
      </c>
    </row>
    <row r="185" spans="1:9" s="77" customFormat="1" ht="17.25" x14ac:dyDescent="0.35">
      <c r="A185" s="122" t="s">
        <v>128</v>
      </c>
      <c r="B185" s="62" t="s">
        <v>128</v>
      </c>
      <c r="C185" s="62"/>
      <c r="D185" s="62" t="s">
        <v>48</v>
      </c>
      <c r="E185" s="62">
        <v>1</v>
      </c>
      <c r="F185" s="62">
        <v>0</v>
      </c>
      <c r="G185" s="62"/>
      <c r="H185" s="76"/>
      <c r="I185" s="111"/>
    </row>
    <row r="186" spans="1:9" s="77" customFormat="1" ht="17.25" x14ac:dyDescent="0.35">
      <c r="A186" s="120" t="s">
        <v>545</v>
      </c>
      <c r="B186" s="121" t="s">
        <v>546</v>
      </c>
      <c r="C186" s="121" t="s">
        <v>78</v>
      </c>
      <c r="D186" s="121"/>
      <c r="E186" s="121"/>
      <c r="F186" s="62"/>
      <c r="G186" s="62" t="s">
        <v>642</v>
      </c>
      <c r="H186" s="76"/>
      <c r="I186" s="110">
        <v>67213</v>
      </c>
    </row>
    <row r="187" spans="1:9" s="77" customFormat="1" ht="17.25" x14ac:dyDescent="0.35">
      <c r="A187" s="120"/>
      <c r="B187" s="121"/>
      <c r="C187" s="121"/>
      <c r="D187" s="121" t="s">
        <v>48</v>
      </c>
      <c r="E187" s="121">
        <v>1</v>
      </c>
      <c r="F187" s="62">
        <v>3</v>
      </c>
      <c r="G187" s="62"/>
      <c r="H187" s="76"/>
      <c r="I187" s="110"/>
    </row>
    <row r="188" spans="1:9" s="77" customFormat="1" ht="17.25" x14ac:dyDescent="0.35">
      <c r="A188" s="122" t="s">
        <v>76</v>
      </c>
      <c r="B188" s="62" t="s">
        <v>77</v>
      </c>
      <c r="C188" s="62" t="s">
        <v>78</v>
      </c>
      <c r="D188" s="62"/>
      <c r="E188" s="62"/>
      <c r="F188" s="62"/>
      <c r="G188" s="62" t="s">
        <v>642</v>
      </c>
      <c r="H188" s="76"/>
      <c r="I188" s="111">
        <v>67218</v>
      </c>
    </row>
    <row r="189" spans="1:9" s="77" customFormat="1" ht="17.25" x14ac:dyDescent="0.35">
      <c r="A189" s="122" t="s">
        <v>128</v>
      </c>
      <c r="B189" s="62" t="s">
        <v>128</v>
      </c>
      <c r="C189" s="62"/>
      <c r="D189" s="62" t="s">
        <v>48</v>
      </c>
      <c r="E189" s="62">
        <v>1</v>
      </c>
      <c r="F189" s="62">
        <v>0</v>
      </c>
      <c r="G189" s="62"/>
      <c r="H189" s="76"/>
      <c r="I189" s="111" t="s">
        <v>547</v>
      </c>
    </row>
    <row r="190" spans="1:9" s="77" customFormat="1" ht="17.25" x14ac:dyDescent="0.35">
      <c r="A190" s="122" t="s">
        <v>79</v>
      </c>
      <c r="B190" s="62" t="s">
        <v>81</v>
      </c>
      <c r="C190" s="62" t="s">
        <v>50</v>
      </c>
      <c r="D190" s="62"/>
      <c r="E190" s="62"/>
      <c r="F190" s="62"/>
      <c r="G190" s="62" t="s">
        <v>642</v>
      </c>
      <c r="H190" s="76" t="s">
        <v>548</v>
      </c>
      <c r="I190" s="111">
        <v>65883</v>
      </c>
    </row>
    <row r="191" spans="1:9" s="77" customFormat="1" ht="17.25" x14ac:dyDescent="0.35">
      <c r="A191" s="120" t="s">
        <v>549</v>
      </c>
      <c r="B191" s="121" t="s">
        <v>550</v>
      </c>
      <c r="C191" s="121" t="s">
        <v>78</v>
      </c>
      <c r="D191" s="121"/>
      <c r="E191" s="121"/>
      <c r="F191" s="62"/>
      <c r="G191" s="62" t="s">
        <v>57</v>
      </c>
      <c r="H191" s="76"/>
      <c r="I191" s="110">
        <v>67266</v>
      </c>
    </row>
    <row r="192" spans="1:9" s="77" customFormat="1" ht="27.75" x14ac:dyDescent="0.35">
      <c r="A192" s="120"/>
      <c r="B192" s="121"/>
      <c r="C192" s="121"/>
      <c r="D192" s="121" t="s">
        <v>48</v>
      </c>
      <c r="E192" s="121">
        <v>2</v>
      </c>
      <c r="F192" s="62">
        <v>5000</v>
      </c>
      <c r="G192" s="62"/>
      <c r="H192" s="76"/>
      <c r="I192" s="110" t="s">
        <v>551</v>
      </c>
    </row>
    <row r="193" spans="1:9" s="77" customFormat="1" ht="17.25" x14ac:dyDescent="0.35">
      <c r="A193" s="120" t="s">
        <v>552</v>
      </c>
      <c r="B193" s="121" t="s">
        <v>553</v>
      </c>
      <c r="C193" s="121" t="s">
        <v>78</v>
      </c>
      <c r="D193" s="121"/>
      <c r="E193" s="121"/>
      <c r="F193" s="62"/>
      <c r="G193" s="62" t="s">
        <v>57</v>
      </c>
      <c r="H193" s="76"/>
      <c r="I193" s="110">
        <v>67267</v>
      </c>
    </row>
    <row r="194" spans="1:9" s="77" customFormat="1" ht="17.25" x14ac:dyDescent="0.35">
      <c r="A194" s="120"/>
      <c r="B194" s="121"/>
      <c r="C194" s="121"/>
      <c r="D194" s="121" t="s">
        <v>48</v>
      </c>
      <c r="E194" s="121">
        <v>4</v>
      </c>
      <c r="F194" s="62">
        <v>90</v>
      </c>
      <c r="G194" s="62"/>
      <c r="H194" s="76"/>
      <c r="I194" s="110" t="s">
        <v>554</v>
      </c>
    </row>
    <row r="195" spans="1:9" s="77" customFormat="1" ht="17.25" x14ac:dyDescent="0.35">
      <c r="A195" s="120" t="s">
        <v>555</v>
      </c>
      <c r="B195" s="121" t="s">
        <v>556</v>
      </c>
      <c r="C195" s="121" t="s">
        <v>78</v>
      </c>
      <c r="D195" s="121"/>
      <c r="E195" s="121"/>
      <c r="F195" s="62"/>
      <c r="G195" s="62" t="s">
        <v>57</v>
      </c>
      <c r="H195" s="76"/>
      <c r="I195" s="110">
        <v>67268</v>
      </c>
    </row>
    <row r="196" spans="1:9" s="77" customFormat="1" ht="27.75" x14ac:dyDescent="0.35">
      <c r="A196" s="120"/>
      <c r="B196" s="121"/>
      <c r="C196" s="121"/>
      <c r="D196" s="121" t="s">
        <v>48</v>
      </c>
      <c r="E196" s="121">
        <v>1</v>
      </c>
      <c r="F196" s="62">
        <v>3</v>
      </c>
      <c r="G196" s="62"/>
      <c r="H196" s="76"/>
      <c r="I196" s="110" t="s">
        <v>557</v>
      </c>
    </row>
    <row r="197" spans="1:9" s="77" customFormat="1" ht="17.25" x14ac:dyDescent="0.35">
      <c r="A197" s="122" t="s">
        <v>558</v>
      </c>
      <c r="B197" s="62" t="s">
        <v>559</v>
      </c>
      <c r="C197" s="62" t="s">
        <v>78</v>
      </c>
      <c r="D197" s="62"/>
      <c r="E197" s="62"/>
      <c r="F197" s="62"/>
      <c r="G197" s="62" t="s">
        <v>57</v>
      </c>
      <c r="H197" s="76"/>
      <c r="I197" s="111">
        <v>67270</v>
      </c>
    </row>
    <row r="198" spans="1:9" s="77" customFormat="1" ht="17.25" x14ac:dyDescent="0.35">
      <c r="A198" s="122"/>
      <c r="B198" s="62"/>
      <c r="C198" s="62"/>
      <c r="D198" s="62" t="s">
        <v>48</v>
      </c>
      <c r="E198" s="62">
        <v>1</v>
      </c>
      <c r="F198" s="62">
        <v>1</v>
      </c>
      <c r="G198" s="62"/>
      <c r="H198" s="76"/>
      <c r="I198" s="111"/>
    </row>
    <row r="199" spans="1:9" s="77" customFormat="1" ht="17.25" x14ac:dyDescent="0.35">
      <c r="A199" s="123" t="s">
        <v>560</v>
      </c>
      <c r="B199" s="62" t="s">
        <v>561</v>
      </c>
      <c r="C199" s="62" t="s">
        <v>78</v>
      </c>
      <c r="D199" s="62"/>
      <c r="E199" s="62"/>
      <c r="F199" s="62"/>
      <c r="G199" s="62" t="s">
        <v>57</v>
      </c>
      <c r="H199" s="76"/>
      <c r="I199" s="112">
        <v>67292</v>
      </c>
    </row>
    <row r="200" spans="1:9" s="77" customFormat="1" ht="17.25" x14ac:dyDescent="0.35">
      <c r="A200" s="123"/>
      <c r="B200" s="62"/>
      <c r="C200" s="62"/>
      <c r="D200" s="62" t="s">
        <v>48</v>
      </c>
      <c r="E200" s="62">
        <v>1</v>
      </c>
      <c r="F200" s="62">
        <v>1</v>
      </c>
      <c r="G200" s="62"/>
      <c r="H200" s="76"/>
      <c r="I200" s="112"/>
    </row>
    <row r="201" spans="1:9" s="77" customFormat="1" ht="17.25" x14ac:dyDescent="0.35">
      <c r="A201" s="125" t="s">
        <v>562</v>
      </c>
      <c r="B201" s="62" t="s">
        <v>563</v>
      </c>
      <c r="C201" s="62" t="s">
        <v>78</v>
      </c>
      <c r="D201" s="62"/>
      <c r="E201" s="62"/>
      <c r="F201" s="62"/>
      <c r="G201" s="62" t="s">
        <v>642</v>
      </c>
      <c r="H201" s="76"/>
      <c r="I201" s="114">
        <v>65778</v>
      </c>
    </row>
    <row r="202" spans="1:9" s="77" customFormat="1" ht="51.75" x14ac:dyDescent="0.35">
      <c r="A202" s="125"/>
      <c r="B202" s="62"/>
      <c r="C202" s="62"/>
      <c r="D202" s="62" t="s">
        <v>48</v>
      </c>
      <c r="E202" s="62">
        <v>4</v>
      </c>
      <c r="F202" s="62">
        <v>720</v>
      </c>
      <c r="G202" s="62"/>
      <c r="H202" s="76"/>
      <c r="I202" s="114" t="s">
        <v>564</v>
      </c>
    </row>
    <row r="203" spans="1:9" s="77" customFormat="1" ht="17.25" x14ac:dyDescent="0.35">
      <c r="A203" s="122" t="s">
        <v>113</v>
      </c>
      <c r="B203" s="62" t="s">
        <v>116</v>
      </c>
      <c r="C203" s="62" t="s">
        <v>78</v>
      </c>
      <c r="D203" s="62"/>
      <c r="E203" s="62"/>
      <c r="F203" s="62"/>
      <c r="G203" s="62" t="s">
        <v>57</v>
      </c>
      <c r="H203" s="76"/>
      <c r="I203" s="111">
        <v>67290</v>
      </c>
    </row>
    <row r="204" spans="1:9" s="77" customFormat="1" ht="17.25" x14ac:dyDescent="0.35">
      <c r="A204" s="122"/>
      <c r="B204" s="62"/>
      <c r="C204" s="62"/>
      <c r="D204" s="62" t="s">
        <v>48</v>
      </c>
      <c r="E204" s="62">
        <v>1</v>
      </c>
      <c r="F204" s="62">
        <v>1</v>
      </c>
      <c r="G204" s="62"/>
      <c r="H204" s="76"/>
      <c r="I204" s="111"/>
    </row>
    <row r="205" spans="1:9" s="77" customFormat="1" ht="17.25" x14ac:dyDescent="0.35">
      <c r="A205" s="122" t="s">
        <v>543</v>
      </c>
      <c r="B205" s="62" t="s">
        <v>115</v>
      </c>
      <c r="C205" s="62" t="s">
        <v>78</v>
      </c>
      <c r="D205" s="62"/>
      <c r="E205" s="62"/>
      <c r="F205" s="62"/>
      <c r="G205" s="62" t="s">
        <v>57</v>
      </c>
      <c r="H205" s="76"/>
      <c r="I205" s="111">
        <v>67289</v>
      </c>
    </row>
    <row r="206" spans="1:9" s="77" customFormat="1" ht="17.25" x14ac:dyDescent="0.35">
      <c r="A206" s="122"/>
      <c r="B206" s="62"/>
      <c r="C206" s="62"/>
      <c r="D206" s="62" t="s">
        <v>48</v>
      </c>
      <c r="E206" s="62">
        <v>2</v>
      </c>
      <c r="F206" s="62">
        <v>-100</v>
      </c>
      <c r="G206" s="62"/>
      <c r="H206" s="76"/>
      <c r="I206" s="111" t="s">
        <v>544</v>
      </c>
    </row>
    <row r="207" spans="1:9" s="77" customFormat="1" ht="17.25" x14ac:dyDescent="0.35">
      <c r="A207" s="122" t="s">
        <v>124</v>
      </c>
      <c r="B207" s="62" t="s">
        <v>125</v>
      </c>
      <c r="C207" s="62" t="s">
        <v>78</v>
      </c>
      <c r="D207" s="62"/>
      <c r="E207" s="62"/>
      <c r="F207" s="62"/>
      <c r="G207" s="62" t="s">
        <v>57</v>
      </c>
      <c r="H207" s="76"/>
      <c r="I207" s="111">
        <v>66042</v>
      </c>
    </row>
    <row r="208" spans="1:9" s="77" customFormat="1" ht="17.25" x14ac:dyDescent="0.35">
      <c r="A208" s="122"/>
      <c r="B208" s="62"/>
      <c r="C208" s="62"/>
      <c r="D208" s="62" t="s">
        <v>48</v>
      </c>
      <c r="E208" s="62">
        <v>1</v>
      </c>
      <c r="F208" s="62">
        <v>0</v>
      </c>
      <c r="G208" s="62"/>
      <c r="H208" s="76"/>
      <c r="I208" s="111"/>
    </row>
    <row r="209" spans="1:9" s="77" customFormat="1" ht="17.25" x14ac:dyDescent="0.35">
      <c r="A209" s="122"/>
      <c r="B209" s="62"/>
      <c r="C209" s="62"/>
      <c r="D209" s="62" t="s">
        <v>48</v>
      </c>
      <c r="E209" s="62">
        <v>1</v>
      </c>
      <c r="F209" s="62">
        <v>0</v>
      </c>
      <c r="G209" s="62"/>
      <c r="H209" s="76"/>
      <c r="I209" s="111"/>
    </row>
    <row r="210" spans="1:9" s="77" customFormat="1" ht="17.25" x14ac:dyDescent="0.35">
      <c r="A210" s="122"/>
      <c r="B210" s="62"/>
      <c r="C210" s="62"/>
      <c r="D210" s="62" t="s">
        <v>48</v>
      </c>
      <c r="E210" s="62">
        <v>1</v>
      </c>
      <c r="F210" s="62">
        <v>8</v>
      </c>
      <c r="G210" s="62"/>
      <c r="H210" s="76"/>
      <c r="I210" s="111"/>
    </row>
    <row r="211" spans="1:9" s="77" customFormat="1" ht="17.25" x14ac:dyDescent="0.35">
      <c r="A211" s="122"/>
      <c r="B211" s="62"/>
      <c r="C211" s="62"/>
      <c r="D211" s="62" t="s">
        <v>48</v>
      </c>
      <c r="E211" s="62">
        <v>1</v>
      </c>
      <c r="F211" s="62">
        <v>30</v>
      </c>
      <c r="G211" s="62"/>
      <c r="H211" s="76"/>
      <c r="I211" s="111"/>
    </row>
    <row r="212" spans="1:9" s="77" customFormat="1" ht="17.25" x14ac:dyDescent="0.35">
      <c r="A212" s="122"/>
      <c r="B212" s="62"/>
      <c r="C212" s="62"/>
      <c r="D212" s="62" t="s">
        <v>48</v>
      </c>
      <c r="E212" s="62">
        <v>4</v>
      </c>
      <c r="F212" s="62" t="s">
        <v>70</v>
      </c>
      <c r="G212" s="62"/>
      <c r="H212" s="76"/>
      <c r="I212" s="111"/>
    </row>
    <row r="213" spans="1:9" s="77" customFormat="1" ht="17.25" x14ac:dyDescent="0.35">
      <c r="A213" s="122" t="s">
        <v>126</v>
      </c>
      <c r="B213" s="62" t="s">
        <v>127</v>
      </c>
      <c r="C213" s="62" t="s">
        <v>78</v>
      </c>
      <c r="D213" s="62"/>
      <c r="E213" s="62"/>
      <c r="F213" s="62"/>
      <c r="G213" s="62" t="s">
        <v>57</v>
      </c>
      <c r="H213" s="76"/>
      <c r="I213" s="111">
        <v>66043</v>
      </c>
    </row>
    <row r="214" spans="1:9" s="77" customFormat="1" ht="17.25" x14ac:dyDescent="0.35">
      <c r="A214" s="122"/>
      <c r="B214" s="62"/>
      <c r="C214" s="62"/>
      <c r="D214" s="62" t="s">
        <v>48</v>
      </c>
      <c r="E214" s="62">
        <v>1</v>
      </c>
      <c r="F214" s="62">
        <v>0</v>
      </c>
      <c r="G214" s="62"/>
      <c r="H214" s="76"/>
      <c r="I214" s="111"/>
    </row>
    <row r="215" spans="1:9" s="77" customFormat="1" ht="17.25" x14ac:dyDescent="0.35">
      <c r="A215" s="122"/>
      <c r="B215" s="62"/>
      <c r="C215" s="62"/>
      <c r="D215" s="62" t="s">
        <v>48</v>
      </c>
      <c r="E215" s="62">
        <v>1</v>
      </c>
      <c r="F215" s="62">
        <v>-100</v>
      </c>
      <c r="G215" s="62"/>
      <c r="H215" s="76"/>
      <c r="I215" s="111"/>
    </row>
    <row r="216" spans="1:9" s="77" customFormat="1" ht="17.25" x14ac:dyDescent="0.35">
      <c r="A216" s="122"/>
      <c r="B216" s="62"/>
      <c r="C216" s="62"/>
      <c r="D216" s="62" t="s">
        <v>48</v>
      </c>
      <c r="E216" s="62">
        <v>2</v>
      </c>
      <c r="F216" s="62">
        <v>-128</v>
      </c>
      <c r="G216" s="62"/>
      <c r="H216" s="76"/>
      <c r="I216" s="111"/>
    </row>
    <row r="217" spans="1:9" s="77" customFormat="1" ht="17.25" x14ac:dyDescent="0.35">
      <c r="A217" s="122"/>
      <c r="B217" s="62"/>
      <c r="C217" s="62"/>
      <c r="D217" s="62" t="s">
        <v>48</v>
      </c>
      <c r="E217" s="62">
        <v>1</v>
      </c>
      <c r="F217" s="62">
        <v>-95</v>
      </c>
      <c r="G217" s="62"/>
      <c r="H217" s="76"/>
      <c r="I217" s="111"/>
    </row>
    <row r="218" spans="1:9" s="77" customFormat="1" ht="17.25" x14ac:dyDescent="0.35">
      <c r="A218" s="122"/>
      <c r="B218" s="62"/>
      <c r="C218" s="62"/>
      <c r="D218" s="62" t="s">
        <v>48</v>
      </c>
      <c r="E218" s="62">
        <v>2</v>
      </c>
      <c r="F218" s="62">
        <v>-120</v>
      </c>
      <c r="G218" s="62"/>
      <c r="H218" s="76"/>
      <c r="I218" s="111"/>
    </row>
    <row r="219" spans="1:9" s="77" customFormat="1" ht="17.25" x14ac:dyDescent="0.35">
      <c r="A219" s="122"/>
      <c r="B219" s="62"/>
      <c r="C219" s="62"/>
      <c r="D219" s="62" t="s">
        <v>48</v>
      </c>
      <c r="E219" s="62">
        <v>1</v>
      </c>
      <c r="F219" s="62">
        <v>0</v>
      </c>
      <c r="G219" s="62"/>
      <c r="H219" s="76"/>
      <c r="I219" s="111"/>
    </row>
    <row r="220" spans="1:9" s="77" customFormat="1" ht="17.25" x14ac:dyDescent="0.35">
      <c r="A220" s="123" t="s">
        <v>565</v>
      </c>
      <c r="B220" s="62" t="s">
        <v>566</v>
      </c>
      <c r="C220" s="62" t="s">
        <v>78</v>
      </c>
      <c r="D220" s="62"/>
      <c r="E220" s="62"/>
      <c r="F220" s="62"/>
      <c r="G220" s="62" t="s">
        <v>642</v>
      </c>
      <c r="H220" s="76"/>
      <c r="I220" s="112">
        <v>72538</v>
      </c>
    </row>
    <row r="221" spans="1:9" s="77" customFormat="1" ht="17.25" x14ac:dyDescent="0.35">
      <c r="A221" s="123"/>
      <c r="B221" s="62"/>
      <c r="C221" s="62"/>
      <c r="D221" s="62" t="s">
        <v>48</v>
      </c>
      <c r="E221" s="62">
        <v>2</v>
      </c>
      <c r="F221" s="62">
        <v>300</v>
      </c>
      <c r="G221" s="62"/>
      <c r="H221" s="76"/>
      <c r="I221" s="112"/>
    </row>
    <row r="222" spans="1:9" s="77" customFormat="1" ht="17.25" x14ac:dyDescent="0.35">
      <c r="A222" s="123"/>
      <c r="B222" s="62"/>
      <c r="C222" s="62"/>
      <c r="D222" s="62" t="s">
        <v>48</v>
      </c>
      <c r="E222" s="62">
        <v>2</v>
      </c>
      <c r="F222" s="62">
        <v>10</v>
      </c>
      <c r="G222" s="62"/>
      <c r="H222" s="76"/>
      <c r="I222" s="112"/>
    </row>
    <row r="223" spans="1:9" s="77" customFormat="1" ht="17.25" x14ac:dyDescent="0.35">
      <c r="A223" s="123" t="s">
        <v>567</v>
      </c>
      <c r="B223" s="62" t="s">
        <v>568</v>
      </c>
      <c r="C223" s="62" t="s">
        <v>78</v>
      </c>
      <c r="D223" s="62"/>
      <c r="E223" s="62"/>
      <c r="F223" s="62"/>
      <c r="G223" s="62" t="s">
        <v>642</v>
      </c>
      <c r="H223" s="76"/>
      <c r="I223" s="112">
        <v>72539</v>
      </c>
    </row>
    <row r="224" spans="1:9" s="77" customFormat="1" ht="17.25" x14ac:dyDescent="0.35">
      <c r="A224" s="123"/>
      <c r="B224" s="62"/>
      <c r="C224" s="62"/>
      <c r="D224" s="62" t="s">
        <v>48</v>
      </c>
      <c r="E224" s="62">
        <v>1</v>
      </c>
      <c r="F224" s="62">
        <v>1</v>
      </c>
      <c r="G224" s="62"/>
      <c r="H224" s="76"/>
      <c r="I224" s="112"/>
    </row>
    <row r="225" spans="1:9" s="77" customFormat="1" ht="17.25" x14ac:dyDescent="0.35">
      <c r="A225" s="123" t="s">
        <v>569</v>
      </c>
      <c r="B225" s="62" t="s">
        <v>570</v>
      </c>
      <c r="C225" s="62" t="s">
        <v>78</v>
      </c>
      <c r="D225" s="62"/>
      <c r="E225" s="62"/>
      <c r="F225" s="62"/>
      <c r="G225" s="62" t="s">
        <v>642</v>
      </c>
      <c r="H225" s="76"/>
      <c r="I225" s="112">
        <v>72550</v>
      </c>
    </row>
    <row r="226" spans="1:9" s="77" customFormat="1" ht="17.25" x14ac:dyDescent="0.35">
      <c r="A226" s="123"/>
      <c r="B226" s="62"/>
      <c r="C226" s="62"/>
      <c r="D226" s="62" t="s">
        <v>48</v>
      </c>
      <c r="E226" s="62">
        <v>4</v>
      </c>
      <c r="F226" s="62">
        <v>500</v>
      </c>
      <c r="G226" s="62"/>
      <c r="H226" s="76"/>
      <c r="I226" s="112"/>
    </row>
    <row r="227" spans="1:9" s="77" customFormat="1" ht="17.25" x14ac:dyDescent="0.35">
      <c r="A227" s="123" t="s">
        <v>571</v>
      </c>
      <c r="B227" s="62" t="s">
        <v>572</v>
      </c>
      <c r="C227" s="62" t="s">
        <v>78</v>
      </c>
      <c r="D227" s="62"/>
      <c r="E227" s="62"/>
      <c r="F227" s="62"/>
      <c r="G227" s="62" t="s">
        <v>57</v>
      </c>
      <c r="H227" s="76"/>
      <c r="I227" s="112">
        <v>72594</v>
      </c>
    </row>
    <row r="228" spans="1:9" s="77" customFormat="1" ht="17.25" x14ac:dyDescent="0.35">
      <c r="A228" s="123"/>
      <c r="B228" s="62"/>
      <c r="C228" s="62"/>
      <c r="D228" s="62" t="s">
        <v>48</v>
      </c>
      <c r="E228" s="62">
        <v>1</v>
      </c>
      <c r="F228" s="62">
        <v>5</v>
      </c>
      <c r="G228" s="62"/>
      <c r="H228" s="76"/>
      <c r="I228" s="112" t="s">
        <v>573</v>
      </c>
    </row>
    <row r="229" spans="1:9" s="77" customFormat="1" ht="17.25" x14ac:dyDescent="0.35">
      <c r="A229" s="123"/>
      <c r="B229" s="62"/>
      <c r="C229" s="62"/>
      <c r="D229" s="62" t="s">
        <v>48</v>
      </c>
      <c r="E229" s="62">
        <v>1</v>
      </c>
      <c r="F229" s="62">
        <v>0</v>
      </c>
      <c r="G229" s="62"/>
      <c r="H229" s="76"/>
      <c r="I229" s="112" t="s">
        <v>574</v>
      </c>
    </row>
    <row r="230" spans="1:9" s="77" customFormat="1" ht="17.25" x14ac:dyDescent="0.35">
      <c r="A230" s="123"/>
      <c r="B230" s="62"/>
      <c r="C230" s="62"/>
      <c r="D230" s="62" t="s">
        <v>48</v>
      </c>
      <c r="E230" s="62">
        <v>1</v>
      </c>
      <c r="F230" s="62">
        <v>0</v>
      </c>
      <c r="G230" s="62"/>
      <c r="H230" s="76"/>
      <c r="I230" s="112" t="s">
        <v>575</v>
      </c>
    </row>
    <row r="231" spans="1:9" s="77" customFormat="1" ht="17.25" x14ac:dyDescent="0.35">
      <c r="A231" s="123"/>
      <c r="B231" s="62"/>
      <c r="C231" s="62"/>
      <c r="D231" s="62" t="s">
        <v>48</v>
      </c>
      <c r="E231" s="62">
        <v>1</v>
      </c>
      <c r="F231" s="62">
        <v>0</v>
      </c>
      <c r="G231" s="62"/>
      <c r="H231" s="76"/>
      <c r="I231" s="112" t="s">
        <v>576</v>
      </c>
    </row>
    <row r="232" spans="1:9" s="77" customFormat="1" ht="17.25" x14ac:dyDescent="0.35">
      <c r="A232" s="123"/>
      <c r="B232" s="62"/>
      <c r="C232" s="62"/>
      <c r="D232" s="62" t="s">
        <v>48</v>
      </c>
      <c r="E232" s="62">
        <v>1</v>
      </c>
      <c r="F232" s="62">
        <v>2</v>
      </c>
      <c r="G232" s="62"/>
      <c r="H232" s="76"/>
      <c r="I232" s="112" t="s">
        <v>577</v>
      </c>
    </row>
    <row r="233" spans="1:9" s="77" customFormat="1" ht="17.25" x14ac:dyDescent="0.35">
      <c r="A233" s="123"/>
      <c r="B233" s="62"/>
      <c r="C233" s="62"/>
      <c r="D233" s="62" t="s">
        <v>48</v>
      </c>
      <c r="E233" s="62">
        <v>1</v>
      </c>
      <c r="F233" s="62">
        <v>0</v>
      </c>
      <c r="G233" s="62"/>
      <c r="H233" s="76"/>
      <c r="I233" s="112" t="s">
        <v>578</v>
      </c>
    </row>
    <row r="234" spans="1:9" s="77" customFormat="1" ht="17.25" x14ac:dyDescent="0.35">
      <c r="A234" s="123"/>
      <c r="B234" s="62"/>
      <c r="C234" s="62"/>
      <c r="D234" s="62" t="s">
        <v>48</v>
      </c>
      <c r="E234" s="62">
        <v>1</v>
      </c>
      <c r="F234" s="62">
        <v>0</v>
      </c>
      <c r="G234" s="62"/>
      <c r="H234" s="76"/>
      <c r="I234" s="112" t="s">
        <v>579</v>
      </c>
    </row>
    <row r="235" spans="1:9" s="77" customFormat="1" ht="17.25" x14ac:dyDescent="0.35">
      <c r="A235" s="123"/>
      <c r="B235" s="62"/>
      <c r="C235" s="62"/>
      <c r="D235" s="62" t="s">
        <v>48</v>
      </c>
      <c r="E235" s="62">
        <v>1</v>
      </c>
      <c r="F235" s="62">
        <v>0</v>
      </c>
      <c r="G235" s="62"/>
      <c r="H235" s="76"/>
      <c r="I235" s="112" t="s">
        <v>580</v>
      </c>
    </row>
    <row r="236" spans="1:9" s="77" customFormat="1" ht="17.25" x14ac:dyDescent="0.35">
      <c r="A236" s="123"/>
      <c r="B236" s="62"/>
      <c r="C236" s="62"/>
      <c r="D236" s="62" t="s">
        <v>48</v>
      </c>
      <c r="E236" s="62">
        <v>1</v>
      </c>
      <c r="F236" s="62">
        <v>0</v>
      </c>
      <c r="G236" s="62"/>
      <c r="H236" s="76"/>
      <c r="I236" s="112" t="s">
        <v>581</v>
      </c>
    </row>
    <row r="237" spans="1:9" s="77" customFormat="1" ht="17.25" x14ac:dyDescent="0.35">
      <c r="A237" s="123"/>
      <c r="B237" s="62"/>
      <c r="C237" s="62"/>
      <c r="D237" s="62" t="s">
        <v>48</v>
      </c>
      <c r="E237" s="62">
        <v>1</v>
      </c>
      <c r="F237" s="62">
        <v>0</v>
      </c>
      <c r="G237" s="62"/>
      <c r="H237" s="76"/>
      <c r="I237" s="112" t="s">
        <v>582</v>
      </c>
    </row>
    <row r="238" spans="1:9" s="77" customFormat="1" ht="17.25" x14ac:dyDescent="0.35">
      <c r="A238" s="123"/>
      <c r="B238" s="62"/>
      <c r="C238" s="62"/>
      <c r="D238" s="62" t="s">
        <v>48</v>
      </c>
      <c r="E238" s="62">
        <v>1</v>
      </c>
      <c r="F238" s="62">
        <v>0</v>
      </c>
      <c r="G238" s="62"/>
      <c r="H238" s="76"/>
      <c r="I238" s="112" t="s">
        <v>583</v>
      </c>
    </row>
    <row r="239" spans="1:9" s="77" customFormat="1" ht="17.25" x14ac:dyDescent="0.35">
      <c r="A239" s="123" t="s">
        <v>584</v>
      </c>
      <c r="B239" s="62" t="s">
        <v>585</v>
      </c>
      <c r="C239" s="62" t="s">
        <v>78</v>
      </c>
      <c r="D239" s="62"/>
      <c r="E239" s="62"/>
      <c r="F239" s="62"/>
      <c r="G239" s="62" t="s">
        <v>57</v>
      </c>
      <c r="H239" s="76"/>
      <c r="I239" s="112">
        <v>72608</v>
      </c>
    </row>
    <row r="240" spans="1:9" s="77" customFormat="1" ht="17.25" x14ac:dyDescent="0.35">
      <c r="A240" s="123"/>
      <c r="B240" s="62"/>
      <c r="C240" s="62"/>
      <c r="D240" s="62" t="s">
        <v>48</v>
      </c>
      <c r="E240" s="62">
        <v>1</v>
      </c>
      <c r="F240" s="62">
        <v>1</v>
      </c>
      <c r="G240" s="62"/>
      <c r="H240" s="76"/>
      <c r="I240" s="112" t="s">
        <v>586</v>
      </c>
    </row>
    <row r="241" spans="1:9" s="77" customFormat="1" ht="17.25" x14ac:dyDescent="0.35">
      <c r="A241" s="123"/>
      <c r="B241" s="62"/>
      <c r="C241" s="62"/>
      <c r="D241" s="62" t="s">
        <v>48</v>
      </c>
      <c r="E241" s="62">
        <v>2</v>
      </c>
      <c r="F241" s="62">
        <v>100</v>
      </c>
      <c r="G241" s="62"/>
      <c r="H241" s="76"/>
      <c r="I241" s="112" t="s">
        <v>587</v>
      </c>
    </row>
    <row r="242" spans="1:9" s="77" customFormat="1" ht="17.25" x14ac:dyDescent="0.35">
      <c r="A242" s="123"/>
      <c r="B242" s="62"/>
      <c r="C242" s="62"/>
      <c r="D242" s="62" t="s">
        <v>48</v>
      </c>
      <c r="E242" s="62">
        <v>2</v>
      </c>
      <c r="F242" s="62">
        <v>900</v>
      </c>
      <c r="G242" s="62"/>
      <c r="H242" s="76"/>
      <c r="I242" s="112" t="s">
        <v>588</v>
      </c>
    </row>
    <row r="243" spans="1:9" s="77" customFormat="1" ht="17.25" x14ac:dyDescent="0.35">
      <c r="A243" s="123"/>
      <c r="B243" s="62"/>
      <c r="C243" s="62"/>
      <c r="D243" s="62"/>
      <c r="E243" s="62"/>
      <c r="F243" s="62"/>
      <c r="G243" s="62"/>
      <c r="H243" s="76"/>
      <c r="I243" s="112"/>
    </row>
    <row r="244" spans="1:9" s="77" customFormat="1" ht="19.5" customHeight="1" x14ac:dyDescent="0.35">
      <c r="A244" s="124" t="s">
        <v>589</v>
      </c>
      <c r="B244" s="62" t="s">
        <v>590</v>
      </c>
      <c r="C244" s="62" t="s">
        <v>50</v>
      </c>
      <c r="D244" s="62"/>
      <c r="E244" s="62"/>
      <c r="F244" s="62"/>
      <c r="G244" s="62" t="s">
        <v>57</v>
      </c>
      <c r="H244" s="76" t="s">
        <v>591</v>
      </c>
      <c r="I244" s="113"/>
    </row>
    <row r="245" spans="1:9" s="77" customFormat="1" ht="19.5" customHeight="1" x14ac:dyDescent="0.35">
      <c r="A245" s="124" t="s">
        <v>592</v>
      </c>
      <c r="B245" s="62" t="s">
        <v>593</v>
      </c>
      <c r="C245" s="62" t="s">
        <v>50</v>
      </c>
      <c r="D245" s="62"/>
      <c r="E245" s="62"/>
      <c r="F245" s="62"/>
      <c r="G245" s="62" t="s">
        <v>57</v>
      </c>
      <c r="H245" s="76" t="s">
        <v>594</v>
      </c>
      <c r="I245" s="113"/>
    </row>
    <row r="246" spans="1:9" s="77" customFormat="1" ht="19.5" customHeight="1" x14ac:dyDescent="0.35">
      <c r="A246" s="124" t="s">
        <v>595</v>
      </c>
      <c r="B246" s="62" t="s">
        <v>596</v>
      </c>
      <c r="C246" s="62" t="s">
        <v>50</v>
      </c>
      <c r="D246" s="62"/>
      <c r="E246" s="62"/>
      <c r="F246" s="62"/>
      <c r="G246" s="62" t="s">
        <v>57</v>
      </c>
      <c r="H246" s="76" t="s">
        <v>597</v>
      </c>
      <c r="I246" s="113"/>
    </row>
    <row r="247" spans="1:9" s="77" customFormat="1" ht="19.5" customHeight="1" x14ac:dyDescent="0.35">
      <c r="A247" s="124" t="s">
        <v>598</v>
      </c>
      <c r="B247" s="62" t="s">
        <v>599</v>
      </c>
      <c r="C247" s="62" t="s">
        <v>50</v>
      </c>
      <c r="D247" s="62"/>
      <c r="E247" s="62"/>
      <c r="F247" s="62"/>
      <c r="G247" s="62" t="s">
        <v>57</v>
      </c>
      <c r="H247" s="76" t="s">
        <v>600</v>
      </c>
      <c r="I247" s="113"/>
    </row>
    <row r="248" spans="1:9" s="77" customFormat="1" ht="19.5" customHeight="1" x14ac:dyDescent="0.35">
      <c r="A248" s="124" t="s">
        <v>601</v>
      </c>
      <c r="B248" s="62" t="s">
        <v>602</v>
      </c>
      <c r="C248" s="62" t="s">
        <v>50</v>
      </c>
      <c r="D248" s="62"/>
      <c r="E248" s="62"/>
      <c r="F248" s="62"/>
      <c r="G248" s="62" t="s">
        <v>57</v>
      </c>
      <c r="H248" s="76" t="s">
        <v>603</v>
      </c>
      <c r="I248" s="113"/>
    </row>
    <row r="249" spans="1:9" s="77" customFormat="1" ht="18" thickBot="1" x14ac:dyDescent="0.4">
      <c r="A249" s="126"/>
      <c r="B249" s="127"/>
      <c r="C249" s="127"/>
      <c r="D249" s="127"/>
      <c r="E249" s="127"/>
      <c r="F249" s="127"/>
      <c r="G249" s="127"/>
      <c r="H249" s="128"/>
      <c r="I249" s="115"/>
    </row>
    <row r="250" spans="1:9" ht="13.5" thickBot="1" x14ac:dyDescent="0.25"/>
    <row r="251" spans="1:9" ht="19.5" x14ac:dyDescent="0.4">
      <c r="A251" s="149" t="s">
        <v>85</v>
      </c>
      <c r="B251" s="150"/>
      <c r="C251" s="150"/>
      <c r="D251" s="150"/>
      <c r="E251" s="150"/>
      <c r="F251" s="150"/>
      <c r="G251" s="150"/>
      <c r="H251" s="151"/>
    </row>
    <row r="252" spans="1:9" ht="17.25" x14ac:dyDescent="0.35">
      <c r="A252" s="78" t="s">
        <v>101</v>
      </c>
      <c r="B252" s="78"/>
      <c r="C252" s="78" t="s">
        <v>45</v>
      </c>
      <c r="D252" s="78" t="s">
        <v>102</v>
      </c>
      <c r="E252" s="78" t="s">
        <v>103</v>
      </c>
      <c r="F252" s="78" t="s">
        <v>104</v>
      </c>
      <c r="G252" s="78" t="s">
        <v>53</v>
      </c>
      <c r="H252" s="79"/>
    </row>
    <row r="253" spans="1:9" ht="17.25" x14ac:dyDescent="0.35">
      <c r="A253" s="78" t="s">
        <v>604</v>
      </c>
      <c r="B253" s="78"/>
      <c r="C253" s="80" t="s">
        <v>86</v>
      </c>
      <c r="D253" s="80"/>
      <c r="E253" s="80"/>
      <c r="F253" s="84"/>
      <c r="G253" s="80" t="s">
        <v>32</v>
      </c>
      <c r="H253" s="79"/>
    </row>
    <row r="254" spans="1:9" ht="17.25" x14ac:dyDescent="0.35">
      <c r="A254" s="78" t="s">
        <v>87</v>
      </c>
      <c r="B254" s="78"/>
      <c r="C254" s="80"/>
      <c r="D254" s="80" t="s">
        <v>48</v>
      </c>
      <c r="E254" s="80">
        <v>1</v>
      </c>
      <c r="F254" s="84">
        <v>0</v>
      </c>
      <c r="G254" s="80"/>
      <c r="H254" s="79"/>
    </row>
    <row r="255" spans="1:9" ht="17.25" x14ac:dyDescent="0.35">
      <c r="A255" s="78" t="s">
        <v>88</v>
      </c>
      <c r="B255" s="78"/>
      <c r="C255" s="80"/>
      <c r="D255" s="80" t="s">
        <v>48</v>
      </c>
      <c r="E255" s="80">
        <v>2</v>
      </c>
      <c r="F255" s="84">
        <v>2</v>
      </c>
      <c r="G255" s="80"/>
      <c r="H255" s="79"/>
    </row>
    <row r="256" spans="1:9" ht="17.25" x14ac:dyDescent="0.35">
      <c r="A256" s="78" t="s">
        <v>89</v>
      </c>
      <c r="B256" s="78"/>
      <c r="C256" s="80"/>
      <c r="D256" s="80" t="s">
        <v>48</v>
      </c>
      <c r="E256" s="80">
        <v>2</v>
      </c>
      <c r="F256" s="84" t="s">
        <v>105</v>
      </c>
      <c r="G256" s="80"/>
      <c r="H256" s="79"/>
    </row>
    <row r="257" spans="1:8" ht="17.25" x14ac:dyDescent="0.35">
      <c r="A257" s="78" t="s">
        <v>90</v>
      </c>
      <c r="B257" s="78"/>
      <c r="C257" s="80"/>
      <c r="D257" s="80" t="s">
        <v>48</v>
      </c>
      <c r="E257" s="80">
        <v>1</v>
      </c>
      <c r="F257" s="84" t="s">
        <v>4</v>
      </c>
      <c r="G257" s="80"/>
      <c r="H257" s="79"/>
    </row>
    <row r="258" spans="1:8" ht="17.25" x14ac:dyDescent="0.35">
      <c r="A258" s="78" t="s">
        <v>91</v>
      </c>
      <c r="B258" s="78"/>
      <c r="C258" s="80"/>
      <c r="D258" s="80" t="s">
        <v>48</v>
      </c>
      <c r="E258" s="80">
        <v>2</v>
      </c>
      <c r="F258" s="84">
        <v>4</v>
      </c>
      <c r="G258" s="80"/>
      <c r="H258" s="79"/>
    </row>
    <row r="259" spans="1:8" s="14" customFormat="1" ht="17.25" x14ac:dyDescent="0.35">
      <c r="A259" s="81" t="s">
        <v>92</v>
      </c>
      <c r="B259" s="81"/>
      <c r="C259" s="13"/>
      <c r="D259" s="13" t="s">
        <v>48</v>
      </c>
      <c r="E259" s="13">
        <f>F258</f>
        <v>4</v>
      </c>
      <c r="F259" s="85" t="s">
        <v>668</v>
      </c>
      <c r="G259" s="13"/>
      <c r="H259" s="82"/>
    </row>
    <row r="260" spans="1:8" ht="17.25" x14ac:dyDescent="0.35">
      <c r="A260" s="78" t="s">
        <v>93</v>
      </c>
      <c r="B260" s="78"/>
      <c r="C260" s="80"/>
      <c r="D260" s="80" t="s">
        <v>48</v>
      </c>
      <c r="E260" s="80">
        <v>1</v>
      </c>
      <c r="F260" s="84" t="s">
        <v>5</v>
      </c>
      <c r="G260" s="80"/>
      <c r="H260" s="79"/>
    </row>
    <row r="261" spans="1:8" ht="17.25" x14ac:dyDescent="0.35">
      <c r="A261" s="78" t="s">
        <v>94</v>
      </c>
      <c r="B261" s="78"/>
      <c r="C261" s="80"/>
      <c r="D261" s="80" t="s">
        <v>48</v>
      </c>
      <c r="E261" s="80">
        <v>2</v>
      </c>
      <c r="F261" s="84">
        <f>LEN(F262)</f>
        <v>22</v>
      </c>
      <c r="G261" s="80"/>
      <c r="H261" s="79"/>
    </row>
    <row r="262" spans="1:8" ht="17.25" x14ac:dyDescent="0.35">
      <c r="A262" s="78" t="s">
        <v>95</v>
      </c>
      <c r="B262" s="78"/>
      <c r="C262" s="80"/>
      <c r="D262" s="80" t="s">
        <v>49</v>
      </c>
      <c r="E262" s="80">
        <f>F261</f>
        <v>22</v>
      </c>
      <c r="F262" s="84" t="s">
        <v>626</v>
      </c>
      <c r="G262" s="80"/>
      <c r="H262" s="79"/>
    </row>
    <row r="263" spans="1:8" ht="17.25" x14ac:dyDescent="0.35">
      <c r="A263" s="78" t="s">
        <v>96</v>
      </c>
      <c r="B263" s="78"/>
      <c r="C263" s="80"/>
      <c r="D263" s="80" t="s">
        <v>48</v>
      </c>
      <c r="E263" s="80">
        <v>1</v>
      </c>
      <c r="F263" s="84" t="s">
        <v>106</v>
      </c>
      <c r="G263" s="80"/>
      <c r="H263" s="79"/>
    </row>
    <row r="264" spans="1:8" ht="17.25" x14ac:dyDescent="0.35">
      <c r="A264" s="78" t="s">
        <v>97</v>
      </c>
      <c r="B264" s="78"/>
      <c r="C264" s="80"/>
      <c r="D264" s="80" t="s">
        <v>48</v>
      </c>
      <c r="E264" s="80">
        <v>2</v>
      </c>
      <c r="F264" s="87">
        <f>SUM(E265:E266)+E267*F266</f>
        <v>6</v>
      </c>
      <c r="G264" s="80"/>
      <c r="H264" s="79"/>
    </row>
    <row r="265" spans="1:8" ht="17.25" x14ac:dyDescent="0.35">
      <c r="A265" s="78" t="s">
        <v>98</v>
      </c>
      <c r="B265" s="78"/>
      <c r="C265" s="80"/>
      <c r="D265" s="80" t="s">
        <v>48</v>
      </c>
      <c r="E265" s="80">
        <v>1</v>
      </c>
      <c r="F265" s="84">
        <v>0</v>
      </c>
      <c r="G265" s="80"/>
      <c r="H265" s="79"/>
    </row>
    <row r="266" spans="1:8" ht="17.25" x14ac:dyDescent="0.35">
      <c r="A266" s="78" t="s">
        <v>99</v>
      </c>
      <c r="B266" s="78"/>
      <c r="C266" s="80"/>
      <c r="D266" s="80" t="s">
        <v>48</v>
      </c>
      <c r="E266" s="80">
        <v>1</v>
      </c>
      <c r="F266" s="87">
        <f>LEN(F267)-LEN(SUBSTITUTE(F267,",",""))+1</f>
        <v>1</v>
      </c>
      <c r="G266" s="80"/>
      <c r="H266" s="79"/>
    </row>
    <row r="267" spans="1:8" ht="17.25" x14ac:dyDescent="0.35">
      <c r="A267" s="78" t="s">
        <v>100</v>
      </c>
      <c r="B267" s="78"/>
      <c r="C267" s="80"/>
      <c r="D267" s="80" t="s">
        <v>56</v>
      </c>
      <c r="E267" s="80">
        <v>4</v>
      </c>
      <c r="F267" s="86" t="s">
        <v>606</v>
      </c>
      <c r="G267" s="80"/>
      <c r="H267" s="79"/>
    </row>
    <row r="268" spans="1:8" ht="17.25" x14ac:dyDescent="0.35">
      <c r="A268" s="78" t="s">
        <v>632</v>
      </c>
      <c r="B268" s="78"/>
      <c r="C268" s="80"/>
      <c r="D268" s="80" t="s">
        <v>48</v>
      </c>
      <c r="E268" s="80">
        <v>1</v>
      </c>
      <c r="F268" s="84" t="s">
        <v>633</v>
      </c>
      <c r="G268" s="80"/>
      <c r="H268" s="79"/>
    </row>
    <row r="269" spans="1:8" ht="17.25" x14ac:dyDescent="0.35">
      <c r="A269" s="78" t="s">
        <v>634</v>
      </c>
      <c r="B269" s="78"/>
      <c r="C269" s="80"/>
      <c r="D269" s="80" t="s">
        <v>48</v>
      </c>
      <c r="E269" s="80">
        <v>2</v>
      </c>
      <c r="F269" s="84">
        <v>4</v>
      </c>
      <c r="G269" s="80"/>
      <c r="H269" s="79"/>
    </row>
    <row r="270" spans="1:8" ht="17.25" x14ac:dyDescent="0.35">
      <c r="A270" s="81" t="s">
        <v>635</v>
      </c>
      <c r="B270" s="81"/>
      <c r="C270" s="13"/>
      <c r="D270" s="13" t="s">
        <v>48</v>
      </c>
      <c r="E270" s="13">
        <v>4</v>
      </c>
      <c r="F270" s="85" t="str">
        <f>$F$259</f>
        <v>0x05011801</v>
      </c>
      <c r="G270" s="13"/>
      <c r="H270" s="82"/>
    </row>
    <row r="271" spans="1:8" ht="17.25" x14ac:dyDescent="0.35">
      <c r="A271" s="134" t="s">
        <v>659</v>
      </c>
      <c r="B271" s="134"/>
      <c r="C271" s="135"/>
      <c r="D271" s="135" t="s">
        <v>48</v>
      </c>
      <c r="E271" s="135">
        <v>1</v>
      </c>
      <c r="F271" s="136" t="s">
        <v>660</v>
      </c>
      <c r="G271" s="135"/>
      <c r="H271" s="137"/>
    </row>
    <row r="272" spans="1:8" ht="17.25" x14ac:dyDescent="0.35">
      <c r="A272" s="134" t="s">
        <v>661</v>
      </c>
      <c r="B272" s="134"/>
      <c r="C272" s="135"/>
      <c r="D272" s="135" t="s">
        <v>48</v>
      </c>
      <c r="E272" s="135">
        <v>2</v>
      </c>
      <c r="F272" s="136">
        <f>2+F274*E275*2</f>
        <v>6</v>
      </c>
      <c r="G272" s="135"/>
      <c r="H272" s="137"/>
    </row>
    <row r="273" spans="1:8" ht="17.25" x14ac:dyDescent="0.35">
      <c r="A273" s="134" t="s">
        <v>662</v>
      </c>
      <c r="B273" s="134"/>
      <c r="C273" s="135"/>
      <c r="D273" s="135" t="s">
        <v>48</v>
      </c>
      <c r="E273" s="135">
        <v>1</v>
      </c>
      <c r="F273" s="136">
        <v>0</v>
      </c>
      <c r="G273" s="135"/>
      <c r="H273" s="137" t="s">
        <v>663</v>
      </c>
    </row>
    <row r="274" spans="1:8" ht="17.25" x14ac:dyDescent="0.35">
      <c r="A274" s="134" t="s">
        <v>664</v>
      </c>
      <c r="B274" s="134"/>
      <c r="C274" s="135"/>
      <c r="D274" s="135" t="s">
        <v>48</v>
      </c>
      <c r="E274" s="135">
        <v>1</v>
      </c>
      <c r="F274" s="136">
        <f>SUM(LEN(F275)-LEN(SUBSTITUTE(F275,"-","")))</f>
        <v>1</v>
      </c>
      <c r="G274" s="135"/>
      <c r="H274" s="137" t="s">
        <v>665</v>
      </c>
    </row>
    <row r="275" spans="1:8" ht="17.25" x14ac:dyDescent="0.35">
      <c r="A275" s="134" t="s">
        <v>666</v>
      </c>
      <c r="B275" s="134"/>
      <c r="C275" s="135"/>
      <c r="D275" s="135" t="s">
        <v>56</v>
      </c>
      <c r="E275" s="135">
        <v>2</v>
      </c>
      <c r="F275" s="136" t="s">
        <v>667</v>
      </c>
      <c r="G275" s="135"/>
      <c r="H275" s="137"/>
    </row>
    <row r="276" spans="1:8" ht="17.25" x14ac:dyDescent="0.35">
      <c r="A276" s="138" t="s">
        <v>652</v>
      </c>
      <c r="B276" s="138"/>
      <c r="C276" s="139"/>
      <c r="D276" s="140" t="s">
        <v>48</v>
      </c>
      <c r="E276" s="140">
        <v>1</v>
      </c>
      <c r="F276" s="141" t="s">
        <v>653</v>
      </c>
      <c r="G276" s="140"/>
      <c r="H276" s="142"/>
    </row>
    <row r="277" spans="1:8" ht="17.25" x14ac:dyDescent="0.35">
      <c r="A277" s="138" t="s">
        <v>654</v>
      </c>
      <c r="B277" s="138"/>
      <c r="C277" s="139"/>
      <c r="D277" s="140" t="s">
        <v>48</v>
      </c>
      <c r="E277" s="140">
        <v>2</v>
      </c>
      <c r="F277" s="143">
        <v>4</v>
      </c>
      <c r="G277" s="140"/>
      <c r="H277" s="142"/>
    </row>
    <row r="278" spans="1:8" ht="138" x14ac:dyDescent="0.35">
      <c r="A278" s="138" t="s">
        <v>655</v>
      </c>
      <c r="B278" s="138"/>
      <c r="C278" s="139"/>
      <c r="D278" s="140" t="s">
        <v>48</v>
      </c>
      <c r="E278" s="140">
        <v>4</v>
      </c>
      <c r="F278" s="141" t="s">
        <v>656</v>
      </c>
      <c r="G278" s="140"/>
      <c r="H278" s="142" t="s">
        <v>657</v>
      </c>
    </row>
    <row r="298" spans="2:8" x14ac:dyDescent="0.2">
      <c r="B298" s="83"/>
      <c r="H298" s="52"/>
    </row>
  </sheetData>
  <mergeCells count="3">
    <mergeCell ref="A2:I2"/>
    <mergeCell ref="A4:H4"/>
    <mergeCell ref="A251:H25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2:G146"/>
  <sheetViews>
    <sheetView topLeftCell="A99" zoomScale="80" zoomScaleNormal="80" workbookViewId="0">
      <selection activeCell="C106" sqref="C106:F106"/>
    </sheetView>
  </sheetViews>
  <sheetFormatPr defaultColWidth="9.140625" defaultRowHeight="12.75" x14ac:dyDescent="0.2"/>
  <cols>
    <col min="1" max="1" width="2.85546875" style="22" customWidth="1"/>
    <col min="2" max="2" width="11.7109375" style="22" customWidth="1"/>
    <col min="3" max="3" width="12.7109375" style="20" bestFit="1" customWidth="1"/>
    <col min="4" max="4" width="56.28515625" style="20" bestFit="1" customWidth="1"/>
    <col min="5" max="5" width="20.5703125" style="20" customWidth="1"/>
    <col min="6" max="6" width="46" style="20" customWidth="1"/>
    <col min="7" max="7" width="53.28515625" style="20" customWidth="1"/>
    <col min="8" max="8" width="9.140625" style="22" customWidth="1"/>
    <col min="9" max="11" width="9.140625" style="22"/>
    <col min="12" max="12" width="10.85546875" style="22" bestFit="1" customWidth="1"/>
    <col min="13" max="16384" width="9.140625" style="22"/>
  </cols>
  <sheetData>
    <row r="2" spans="1:7" s="21" customFormat="1" ht="45" customHeight="1" x14ac:dyDescent="0.55000000000000004">
      <c r="B2" s="35" t="s">
        <v>41</v>
      </c>
      <c r="C2" s="35"/>
      <c r="D2" s="35"/>
      <c r="E2" s="35"/>
      <c r="F2" s="35"/>
      <c r="G2" s="35"/>
    </row>
    <row r="3" spans="1:7" ht="13.5" thickBot="1" x14ac:dyDescent="0.25"/>
    <row r="4" spans="1:7" ht="15.75" thickBot="1" x14ac:dyDescent="0.35">
      <c r="D4" s="44" t="s">
        <v>160</v>
      </c>
      <c r="E4" s="44"/>
    </row>
    <row r="5" spans="1:7" x14ac:dyDescent="0.2">
      <c r="D5" s="22" t="s">
        <v>161</v>
      </c>
      <c r="E5" s="20">
        <v>1</v>
      </c>
    </row>
    <row r="6" spans="1:7" x14ac:dyDescent="0.2">
      <c r="D6" s="22" t="s">
        <v>162</v>
      </c>
      <c r="E6" s="20">
        <v>88</v>
      </c>
    </row>
    <row r="7" spans="1:7" ht="13.5" thickBot="1" x14ac:dyDescent="0.25"/>
    <row r="8" spans="1:7" s="23" customFormat="1" ht="15.75" thickBot="1" x14ac:dyDescent="0.35">
      <c r="B8" s="24" t="s">
        <v>42</v>
      </c>
      <c r="C8" s="27" t="s">
        <v>38</v>
      </c>
      <c r="D8" s="27" t="s">
        <v>39</v>
      </c>
      <c r="E8" s="27" t="s">
        <v>40</v>
      </c>
      <c r="F8" s="29" t="s">
        <v>3</v>
      </c>
      <c r="G8" s="28" t="s">
        <v>132</v>
      </c>
    </row>
    <row r="9" spans="1:7" s="36" customFormat="1" ht="15" x14ac:dyDescent="0.3">
      <c r="B9" s="37"/>
      <c r="C9" s="38"/>
      <c r="D9" s="41"/>
      <c r="E9" s="32"/>
      <c r="F9" s="40"/>
      <c r="G9" s="39"/>
    </row>
    <row r="10" spans="1:7" s="36" customFormat="1" ht="15" x14ac:dyDescent="0.3">
      <c r="B10" s="37">
        <v>1</v>
      </c>
      <c r="C10" s="38">
        <v>41571</v>
      </c>
      <c r="D10" s="41" t="s">
        <v>142</v>
      </c>
      <c r="E10" s="32">
        <v>566149</v>
      </c>
      <c r="F10" s="40" t="s">
        <v>141</v>
      </c>
      <c r="G10" s="39" t="s">
        <v>140</v>
      </c>
    </row>
    <row r="11" spans="1:7" s="36" customFormat="1" ht="30" x14ac:dyDescent="0.3">
      <c r="A11" s="36" t="s">
        <v>6</v>
      </c>
      <c r="B11" s="37">
        <v>2</v>
      </c>
      <c r="C11" s="38">
        <v>41573</v>
      </c>
      <c r="D11" s="41" t="s">
        <v>175</v>
      </c>
      <c r="E11" s="32">
        <v>537565</v>
      </c>
      <c r="F11" s="40" t="s">
        <v>176</v>
      </c>
      <c r="G11" s="39" t="s">
        <v>177</v>
      </c>
    </row>
    <row r="12" spans="1:7" s="36" customFormat="1" ht="30" x14ac:dyDescent="0.3">
      <c r="B12" s="37">
        <v>3</v>
      </c>
      <c r="C12" s="38">
        <v>41575</v>
      </c>
      <c r="D12" s="41" t="s">
        <v>178</v>
      </c>
      <c r="E12" s="32">
        <v>566042</v>
      </c>
      <c r="F12" s="40" t="s">
        <v>179</v>
      </c>
      <c r="G12" s="39" t="s">
        <v>180</v>
      </c>
    </row>
    <row r="13" spans="1:7" s="36" customFormat="1" ht="90" x14ac:dyDescent="0.3">
      <c r="B13" s="37">
        <v>4</v>
      </c>
      <c r="C13" s="38">
        <v>41577</v>
      </c>
      <c r="D13" s="41" t="s">
        <v>181</v>
      </c>
      <c r="E13" s="32">
        <v>568683</v>
      </c>
      <c r="F13" s="40" t="s">
        <v>182</v>
      </c>
      <c r="G13" s="39" t="s">
        <v>183</v>
      </c>
    </row>
    <row r="14" spans="1:7" s="36" customFormat="1" ht="90" x14ac:dyDescent="0.3">
      <c r="B14" s="37">
        <v>5</v>
      </c>
      <c r="C14" s="38">
        <v>41577</v>
      </c>
      <c r="D14" s="41" t="s">
        <v>184</v>
      </c>
      <c r="E14" s="32">
        <v>568646</v>
      </c>
      <c r="F14" s="40" t="s">
        <v>185</v>
      </c>
      <c r="G14" s="39" t="s">
        <v>186</v>
      </c>
    </row>
    <row r="15" spans="1:7" s="36" customFormat="1" ht="30" x14ac:dyDescent="0.3">
      <c r="B15" s="37">
        <v>6</v>
      </c>
      <c r="C15" s="38">
        <v>41577</v>
      </c>
      <c r="D15" s="41" t="s">
        <v>187</v>
      </c>
      <c r="E15" s="32">
        <v>527130</v>
      </c>
      <c r="F15" s="40" t="s">
        <v>188</v>
      </c>
      <c r="G15" s="39" t="s">
        <v>189</v>
      </c>
    </row>
    <row r="16" spans="1:7" s="36" customFormat="1" ht="15" x14ac:dyDescent="0.3">
      <c r="B16" s="37">
        <v>7</v>
      </c>
      <c r="C16" s="38">
        <v>41583</v>
      </c>
      <c r="D16" s="41" t="s">
        <v>190</v>
      </c>
      <c r="E16" s="32">
        <v>549524</v>
      </c>
      <c r="F16" s="40"/>
      <c r="G16" s="39" t="s">
        <v>191</v>
      </c>
    </row>
    <row r="17" spans="2:7" s="36" customFormat="1" ht="15" x14ac:dyDescent="0.3">
      <c r="B17" s="37">
        <v>8</v>
      </c>
      <c r="C17" s="38">
        <v>41584</v>
      </c>
      <c r="D17" s="41" t="s">
        <v>192</v>
      </c>
      <c r="E17" s="32">
        <v>533044</v>
      </c>
      <c r="F17" s="40"/>
      <c r="G17" s="39" t="s">
        <v>193</v>
      </c>
    </row>
    <row r="18" spans="2:7" s="36" customFormat="1" ht="255" x14ac:dyDescent="0.3">
      <c r="B18" s="37">
        <v>9</v>
      </c>
      <c r="C18" s="38">
        <v>41585</v>
      </c>
      <c r="D18" s="41" t="s">
        <v>194</v>
      </c>
      <c r="E18" s="32">
        <v>556422</v>
      </c>
      <c r="F18" s="40" t="s">
        <v>195</v>
      </c>
      <c r="G18" s="39" t="s">
        <v>196</v>
      </c>
    </row>
    <row r="19" spans="2:7" s="36" customFormat="1" ht="195" x14ac:dyDescent="0.3">
      <c r="B19" s="37">
        <v>10</v>
      </c>
      <c r="C19" s="38">
        <v>41586</v>
      </c>
      <c r="D19" s="41" t="s">
        <v>197</v>
      </c>
      <c r="E19" s="32">
        <v>572776</v>
      </c>
      <c r="F19" s="40" t="s">
        <v>198</v>
      </c>
      <c r="G19" s="39" t="s">
        <v>199</v>
      </c>
    </row>
    <row r="20" spans="2:7" s="36" customFormat="1" ht="30" x14ac:dyDescent="0.3">
      <c r="B20" s="37">
        <v>11</v>
      </c>
      <c r="C20" s="38">
        <v>41589</v>
      </c>
      <c r="D20" s="41" t="s">
        <v>143</v>
      </c>
      <c r="E20" s="32">
        <v>574001</v>
      </c>
      <c r="F20" s="40" t="s">
        <v>144</v>
      </c>
      <c r="G20" s="39" t="s">
        <v>145</v>
      </c>
    </row>
    <row r="21" spans="2:7" s="36" customFormat="1" ht="30" x14ac:dyDescent="0.3">
      <c r="B21" s="37">
        <v>12</v>
      </c>
      <c r="C21" s="38">
        <v>41591</v>
      </c>
      <c r="D21" s="41" t="s">
        <v>200</v>
      </c>
      <c r="E21" s="32">
        <v>573207</v>
      </c>
      <c r="F21" s="40" t="s">
        <v>201</v>
      </c>
      <c r="G21" s="39" t="s">
        <v>202</v>
      </c>
    </row>
    <row r="22" spans="2:7" s="36" customFormat="1" ht="75" x14ac:dyDescent="0.3">
      <c r="B22" s="37">
        <v>13</v>
      </c>
      <c r="C22" s="38">
        <v>41592</v>
      </c>
      <c r="D22" s="41" t="s">
        <v>203</v>
      </c>
      <c r="E22" s="32">
        <v>575756</v>
      </c>
      <c r="F22" s="40" t="s">
        <v>204</v>
      </c>
      <c r="G22" s="39" t="s">
        <v>205</v>
      </c>
    </row>
    <row r="23" spans="2:7" s="36" customFormat="1" ht="30" x14ac:dyDescent="0.3">
      <c r="B23" s="37">
        <v>14</v>
      </c>
      <c r="C23" s="38">
        <v>41593</v>
      </c>
      <c r="D23" s="41" t="s">
        <v>206</v>
      </c>
      <c r="E23" s="32">
        <v>575742</v>
      </c>
      <c r="F23" s="40" t="s">
        <v>207</v>
      </c>
      <c r="G23" s="39" t="s">
        <v>208</v>
      </c>
    </row>
    <row r="24" spans="2:7" s="36" customFormat="1" ht="45" x14ac:dyDescent="0.3">
      <c r="B24" s="37">
        <v>15</v>
      </c>
      <c r="C24" s="38">
        <v>41593</v>
      </c>
      <c r="D24" s="41" t="s">
        <v>203</v>
      </c>
      <c r="E24" s="32">
        <v>575733</v>
      </c>
      <c r="F24" s="40" t="s">
        <v>209</v>
      </c>
      <c r="G24" s="39" t="s">
        <v>210</v>
      </c>
    </row>
    <row r="25" spans="2:7" s="36" customFormat="1" ht="30" x14ac:dyDescent="0.3">
      <c r="B25" s="37">
        <v>16</v>
      </c>
      <c r="C25" s="38">
        <v>41604</v>
      </c>
      <c r="D25" s="41" t="s">
        <v>143</v>
      </c>
      <c r="E25" s="32">
        <v>580633</v>
      </c>
      <c r="F25" s="40" t="s">
        <v>146</v>
      </c>
      <c r="G25" s="39" t="s">
        <v>147</v>
      </c>
    </row>
    <row r="26" spans="2:7" s="36" customFormat="1" ht="30" x14ac:dyDescent="0.3">
      <c r="B26" s="37">
        <v>17</v>
      </c>
      <c r="C26" s="38">
        <v>41605</v>
      </c>
      <c r="D26" s="41" t="s">
        <v>200</v>
      </c>
      <c r="E26" s="32">
        <v>582187</v>
      </c>
      <c r="F26" s="40" t="s">
        <v>211</v>
      </c>
      <c r="G26" s="39" t="s">
        <v>212</v>
      </c>
    </row>
    <row r="27" spans="2:7" s="36" customFormat="1" ht="75" x14ac:dyDescent="0.3">
      <c r="B27" s="37">
        <v>18</v>
      </c>
      <c r="C27" s="38">
        <v>41612</v>
      </c>
      <c r="D27" s="41" t="s">
        <v>213</v>
      </c>
      <c r="E27" s="32">
        <v>584363</v>
      </c>
      <c r="F27" s="40" t="s">
        <v>214</v>
      </c>
      <c r="G27" s="39" t="s">
        <v>215</v>
      </c>
    </row>
    <row r="28" spans="2:7" s="36" customFormat="1" ht="30" x14ac:dyDescent="0.3">
      <c r="B28" s="37">
        <v>19</v>
      </c>
      <c r="C28" s="38">
        <v>41617</v>
      </c>
      <c r="D28" s="41" t="s">
        <v>143</v>
      </c>
      <c r="E28" s="42">
        <v>585930</v>
      </c>
      <c r="F28" s="40" t="s">
        <v>149</v>
      </c>
      <c r="G28" s="39" t="s">
        <v>150</v>
      </c>
    </row>
    <row r="29" spans="2:7" s="36" customFormat="1" ht="30" x14ac:dyDescent="0.3">
      <c r="B29" s="37">
        <v>20</v>
      </c>
      <c r="C29" s="38">
        <v>41620</v>
      </c>
      <c r="D29" s="41" t="s">
        <v>203</v>
      </c>
      <c r="E29" s="42">
        <v>588451</v>
      </c>
      <c r="F29" s="40" t="s">
        <v>216</v>
      </c>
      <c r="G29" s="39" t="s">
        <v>217</v>
      </c>
    </row>
    <row r="30" spans="2:7" s="36" customFormat="1" ht="120" x14ac:dyDescent="0.3">
      <c r="B30" s="37">
        <v>21</v>
      </c>
      <c r="C30" s="38">
        <v>41627</v>
      </c>
      <c r="D30" s="41" t="s">
        <v>218</v>
      </c>
      <c r="E30" s="32">
        <v>591710</v>
      </c>
      <c r="F30" s="40" t="s">
        <v>219</v>
      </c>
      <c r="G30" s="39" t="s">
        <v>220</v>
      </c>
    </row>
    <row r="31" spans="2:7" s="36" customFormat="1" ht="30" x14ac:dyDescent="0.3">
      <c r="B31" s="37">
        <v>22</v>
      </c>
      <c r="C31" s="38">
        <v>41628</v>
      </c>
      <c r="D31" s="41" t="s">
        <v>221</v>
      </c>
      <c r="E31" s="32">
        <v>592589</v>
      </c>
      <c r="F31" s="40" t="s">
        <v>222</v>
      </c>
      <c r="G31" s="39" t="s">
        <v>223</v>
      </c>
    </row>
    <row r="32" spans="2:7" s="36" customFormat="1" ht="60" x14ac:dyDescent="0.3">
      <c r="B32" s="37">
        <v>23</v>
      </c>
      <c r="C32" s="38">
        <v>41631</v>
      </c>
      <c r="D32" s="41" t="s">
        <v>151</v>
      </c>
      <c r="E32" s="32">
        <v>593228</v>
      </c>
      <c r="F32" s="40" t="s">
        <v>153</v>
      </c>
      <c r="G32" s="39" t="s">
        <v>152</v>
      </c>
    </row>
    <row r="33" spans="2:7" s="36" customFormat="1" ht="105" x14ac:dyDescent="0.3">
      <c r="B33" s="37">
        <v>24</v>
      </c>
      <c r="C33" s="38">
        <v>41281</v>
      </c>
      <c r="D33" s="41" t="s">
        <v>151</v>
      </c>
      <c r="E33" s="32">
        <v>593228</v>
      </c>
      <c r="F33" s="40" t="s">
        <v>155</v>
      </c>
      <c r="G33" s="39" t="s">
        <v>154</v>
      </c>
    </row>
    <row r="34" spans="2:7" s="36" customFormat="1" ht="45" x14ac:dyDescent="0.3">
      <c r="B34" s="37">
        <v>25</v>
      </c>
      <c r="C34" s="38">
        <v>41647</v>
      </c>
      <c r="D34" s="41" t="s">
        <v>143</v>
      </c>
      <c r="E34" s="42">
        <v>597108</v>
      </c>
      <c r="F34" s="40" t="s">
        <v>156</v>
      </c>
      <c r="G34" s="39" t="s">
        <v>157</v>
      </c>
    </row>
    <row r="35" spans="2:7" s="36" customFormat="1" ht="30" x14ac:dyDescent="0.3">
      <c r="B35" s="37">
        <v>26</v>
      </c>
      <c r="C35" s="38">
        <v>41660</v>
      </c>
      <c r="D35" s="41" t="s">
        <v>224</v>
      </c>
      <c r="E35" s="42">
        <v>605080</v>
      </c>
      <c r="F35" s="40" t="s">
        <v>225</v>
      </c>
      <c r="G35" s="39" t="s">
        <v>226</v>
      </c>
    </row>
    <row r="36" spans="2:7" s="36" customFormat="1" ht="45" x14ac:dyDescent="0.3">
      <c r="B36" s="37">
        <v>27</v>
      </c>
      <c r="C36" s="38">
        <v>41666</v>
      </c>
      <c r="D36" s="41" t="s">
        <v>224</v>
      </c>
      <c r="E36" s="42">
        <v>600954</v>
      </c>
      <c r="F36" s="40" t="s">
        <v>227</v>
      </c>
      <c r="G36" s="39" t="s">
        <v>228</v>
      </c>
    </row>
    <row r="37" spans="2:7" s="36" customFormat="1" ht="30" x14ac:dyDescent="0.3">
      <c r="B37" s="37">
        <v>28</v>
      </c>
      <c r="C37" s="38">
        <v>41667</v>
      </c>
      <c r="D37" s="41" t="s">
        <v>224</v>
      </c>
      <c r="E37" s="42">
        <v>607795</v>
      </c>
      <c r="F37" s="40" t="s">
        <v>229</v>
      </c>
      <c r="G37" s="39" t="s">
        <v>230</v>
      </c>
    </row>
    <row r="38" spans="2:7" s="36" customFormat="1" ht="75" x14ac:dyDescent="0.3">
      <c r="B38" s="37">
        <v>29</v>
      </c>
      <c r="C38" s="38">
        <v>41668</v>
      </c>
      <c r="D38" s="41" t="s">
        <v>231</v>
      </c>
      <c r="E38" s="42">
        <v>604548</v>
      </c>
      <c r="F38" s="40" t="s">
        <v>232</v>
      </c>
      <c r="G38" s="39" t="s">
        <v>233</v>
      </c>
    </row>
    <row r="39" spans="2:7" s="36" customFormat="1" ht="183" customHeight="1" x14ac:dyDescent="0.3">
      <c r="B39" s="37">
        <v>30</v>
      </c>
      <c r="C39" s="38">
        <v>41669</v>
      </c>
      <c r="D39" s="41" t="s">
        <v>234</v>
      </c>
      <c r="E39" s="42">
        <v>595984</v>
      </c>
      <c r="F39" s="40" t="s">
        <v>235</v>
      </c>
      <c r="G39" s="39" t="s">
        <v>236</v>
      </c>
    </row>
    <row r="40" spans="2:7" s="36" customFormat="1" ht="18" customHeight="1" x14ac:dyDescent="0.3">
      <c r="B40" s="37">
        <v>31</v>
      </c>
      <c r="C40" s="38">
        <v>41668</v>
      </c>
      <c r="D40" s="41" t="s">
        <v>237</v>
      </c>
      <c r="E40" s="42">
        <v>606544</v>
      </c>
      <c r="F40" s="40"/>
      <c r="G40" s="39" t="s">
        <v>238</v>
      </c>
    </row>
    <row r="41" spans="2:7" s="36" customFormat="1" ht="90" x14ac:dyDescent="0.3">
      <c r="B41" s="37">
        <v>32</v>
      </c>
      <c r="C41" s="38">
        <v>41676</v>
      </c>
      <c r="D41" s="41" t="s">
        <v>239</v>
      </c>
      <c r="E41" s="42">
        <v>612629</v>
      </c>
      <c r="F41" s="40" t="s">
        <v>240</v>
      </c>
      <c r="G41" s="39" t="s">
        <v>241</v>
      </c>
    </row>
    <row r="42" spans="2:7" s="36" customFormat="1" ht="65.25" customHeight="1" x14ac:dyDescent="0.3">
      <c r="B42" s="37">
        <v>33</v>
      </c>
      <c r="C42" s="38">
        <v>41677</v>
      </c>
      <c r="D42" s="41" t="s">
        <v>242</v>
      </c>
      <c r="E42" s="42">
        <v>612082</v>
      </c>
      <c r="F42" s="40" t="s">
        <v>243</v>
      </c>
      <c r="G42" s="39" t="s">
        <v>244</v>
      </c>
    </row>
    <row r="43" spans="2:7" s="36" customFormat="1" ht="65.25" customHeight="1" x14ac:dyDescent="0.3">
      <c r="B43" s="37">
        <v>34</v>
      </c>
      <c r="C43" s="38">
        <v>41683</v>
      </c>
      <c r="D43" s="41" t="s">
        <v>224</v>
      </c>
      <c r="E43" s="42">
        <v>615255</v>
      </c>
      <c r="F43" s="40" t="s">
        <v>245</v>
      </c>
      <c r="G43" s="39" t="s">
        <v>246</v>
      </c>
    </row>
    <row r="44" spans="2:7" s="36" customFormat="1" ht="195" x14ac:dyDescent="0.3">
      <c r="B44" s="37">
        <v>35</v>
      </c>
      <c r="C44" s="38">
        <v>41684</v>
      </c>
      <c r="D44" s="41" t="s">
        <v>247</v>
      </c>
      <c r="E44" s="42">
        <v>615268</v>
      </c>
      <c r="F44" s="40" t="s">
        <v>248</v>
      </c>
      <c r="G44" s="39" t="s">
        <v>249</v>
      </c>
    </row>
    <row r="45" spans="2:7" s="36" customFormat="1" ht="60" x14ac:dyDescent="0.3">
      <c r="B45" s="37">
        <v>36</v>
      </c>
      <c r="C45" s="38">
        <v>41689</v>
      </c>
      <c r="D45" s="41" t="s">
        <v>200</v>
      </c>
      <c r="E45" s="42">
        <v>619733</v>
      </c>
      <c r="F45" s="40" t="s">
        <v>250</v>
      </c>
      <c r="G45" s="39" t="s">
        <v>251</v>
      </c>
    </row>
    <row r="46" spans="2:7" s="36" customFormat="1" ht="90" x14ac:dyDescent="0.3">
      <c r="B46" s="37">
        <v>37</v>
      </c>
      <c r="C46" s="38">
        <v>41689</v>
      </c>
      <c r="D46" s="41" t="s">
        <v>143</v>
      </c>
      <c r="E46" s="42">
        <v>620025</v>
      </c>
      <c r="F46" s="40" t="s">
        <v>159</v>
      </c>
      <c r="G46" s="39" t="s">
        <v>158</v>
      </c>
    </row>
    <row r="47" spans="2:7" s="36" customFormat="1" ht="180" x14ac:dyDescent="0.3">
      <c r="B47" s="37">
        <v>38</v>
      </c>
      <c r="C47" s="38">
        <v>41690</v>
      </c>
      <c r="D47" s="41" t="s">
        <v>252</v>
      </c>
      <c r="E47" s="42">
        <v>619478</v>
      </c>
      <c r="F47" s="40" t="s">
        <v>253</v>
      </c>
      <c r="G47" s="39" t="s">
        <v>254</v>
      </c>
    </row>
    <row r="48" spans="2:7" s="36" customFormat="1" ht="90" x14ac:dyDescent="0.3">
      <c r="B48" s="37">
        <v>39</v>
      </c>
      <c r="C48" s="38">
        <v>41695</v>
      </c>
      <c r="D48" s="41" t="s">
        <v>200</v>
      </c>
      <c r="E48" s="42">
        <v>622214</v>
      </c>
      <c r="F48" s="40" t="s">
        <v>255</v>
      </c>
      <c r="G48" s="39" t="s">
        <v>256</v>
      </c>
    </row>
    <row r="49" spans="2:7" s="36" customFormat="1" ht="30" x14ac:dyDescent="0.3">
      <c r="B49" s="37">
        <v>40</v>
      </c>
      <c r="C49" s="38">
        <v>41695</v>
      </c>
      <c r="D49" s="41" t="s">
        <v>257</v>
      </c>
      <c r="E49" s="42">
        <v>620639</v>
      </c>
      <c r="F49" s="40" t="s">
        <v>258</v>
      </c>
      <c r="G49" s="39" t="s">
        <v>259</v>
      </c>
    </row>
    <row r="50" spans="2:7" s="36" customFormat="1" ht="30" x14ac:dyDescent="0.3">
      <c r="B50" s="37">
        <v>41</v>
      </c>
      <c r="C50" s="38">
        <v>41697</v>
      </c>
      <c r="D50" s="41" t="s">
        <v>203</v>
      </c>
      <c r="E50" s="41">
        <v>622664</v>
      </c>
      <c r="F50" s="40" t="s">
        <v>260</v>
      </c>
      <c r="G50" s="39" t="s">
        <v>261</v>
      </c>
    </row>
    <row r="51" spans="2:7" s="36" customFormat="1" ht="90" x14ac:dyDescent="0.3">
      <c r="B51" s="37">
        <v>42</v>
      </c>
      <c r="C51" s="38">
        <v>41698</v>
      </c>
      <c r="D51" s="41" t="s">
        <v>262</v>
      </c>
      <c r="E51" s="41">
        <v>623601</v>
      </c>
      <c r="F51" s="40" t="s">
        <v>263</v>
      </c>
      <c r="G51" s="39" t="s">
        <v>264</v>
      </c>
    </row>
    <row r="52" spans="2:7" s="36" customFormat="1" ht="150" x14ac:dyDescent="0.3">
      <c r="B52" s="37">
        <v>43</v>
      </c>
      <c r="C52" s="38">
        <v>41705</v>
      </c>
      <c r="D52" s="41" t="s">
        <v>265</v>
      </c>
      <c r="E52" s="41">
        <v>626253</v>
      </c>
      <c r="F52" s="40" t="s">
        <v>266</v>
      </c>
      <c r="G52" s="39" t="s">
        <v>267</v>
      </c>
    </row>
    <row r="53" spans="2:7" s="36" customFormat="1" ht="105" x14ac:dyDescent="0.3">
      <c r="B53" s="37">
        <v>44</v>
      </c>
      <c r="C53" s="38">
        <v>41709</v>
      </c>
      <c r="D53" s="41" t="s">
        <v>184</v>
      </c>
      <c r="E53" s="41" t="s">
        <v>268</v>
      </c>
      <c r="F53" s="40" t="s">
        <v>269</v>
      </c>
      <c r="G53" s="39" t="s">
        <v>270</v>
      </c>
    </row>
    <row r="54" spans="2:7" s="36" customFormat="1" ht="180" x14ac:dyDescent="0.3">
      <c r="B54" s="37">
        <v>45</v>
      </c>
      <c r="C54" s="38">
        <v>41710</v>
      </c>
      <c r="D54" s="41" t="s">
        <v>271</v>
      </c>
      <c r="E54" s="41">
        <v>598055</v>
      </c>
      <c r="F54" s="40" t="s">
        <v>272</v>
      </c>
      <c r="G54" s="39" t="s">
        <v>273</v>
      </c>
    </row>
    <row r="55" spans="2:7" s="36" customFormat="1" ht="30" x14ac:dyDescent="0.3">
      <c r="B55" s="37">
        <v>46</v>
      </c>
      <c r="C55" s="38">
        <v>41716</v>
      </c>
      <c r="D55" s="41" t="s">
        <v>200</v>
      </c>
      <c r="E55" s="41">
        <v>634822</v>
      </c>
      <c r="F55" s="40" t="s">
        <v>274</v>
      </c>
      <c r="G55" s="39" t="s">
        <v>275</v>
      </c>
    </row>
    <row r="56" spans="2:7" s="36" customFormat="1" ht="30" x14ac:dyDescent="0.3">
      <c r="B56" s="37">
        <v>47</v>
      </c>
      <c r="C56" s="38">
        <v>41717</v>
      </c>
      <c r="D56" s="41" t="s">
        <v>200</v>
      </c>
      <c r="E56" s="41">
        <v>634830</v>
      </c>
      <c r="F56" s="40" t="s">
        <v>276</v>
      </c>
      <c r="G56" s="39" t="s">
        <v>277</v>
      </c>
    </row>
    <row r="57" spans="2:7" s="36" customFormat="1" ht="195" x14ac:dyDescent="0.3">
      <c r="B57" s="37">
        <v>48</v>
      </c>
      <c r="C57" s="38">
        <v>41722</v>
      </c>
      <c r="D57" s="41" t="s">
        <v>271</v>
      </c>
      <c r="E57" s="41">
        <v>637527</v>
      </c>
      <c r="F57" s="40" t="s">
        <v>278</v>
      </c>
      <c r="G57" s="39" t="s">
        <v>279</v>
      </c>
    </row>
    <row r="58" spans="2:7" s="36" customFormat="1" ht="30" x14ac:dyDescent="0.3">
      <c r="B58" s="37">
        <v>49</v>
      </c>
      <c r="C58" s="38">
        <v>41723</v>
      </c>
      <c r="D58" s="41" t="s">
        <v>203</v>
      </c>
      <c r="E58" s="41">
        <v>627760</v>
      </c>
      <c r="F58" s="40" t="s">
        <v>280</v>
      </c>
      <c r="G58" s="39" t="s">
        <v>281</v>
      </c>
    </row>
    <row r="59" spans="2:7" s="36" customFormat="1" ht="45.75" customHeight="1" x14ac:dyDescent="0.3">
      <c r="B59" s="37">
        <v>50</v>
      </c>
      <c r="C59" s="38">
        <v>41725</v>
      </c>
      <c r="D59" s="41" t="s">
        <v>175</v>
      </c>
      <c r="E59" s="41">
        <v>625663</v>
      </c>
      <c r="F59" s="40" t="s">
        <v>282</v>
      </c>
      <c r="G59" s="39" t="s">
        <v>283</v>
      </c>
    </row>
    <row r="60" spans="2:7" s="36" customFormat="1" ht="30" x14ac:dyDescent="0.3">
      <c r="B60" s="37">
        <v>51</v>
      </c>
      <c r="C60" s="38">
        <v>41729</v>
      </c>
      <c r="D60" s="41" t="s">
        <v>200</v>
      </c>
      <c r="E60" s="41">
        <v>640206</v>
      </c>
      <c r="F60" s="40" t="s">
        <v>284</v>
      </c>
      <c r="G60" s="39" t="s">
        <v>285</v>
      </c>
    </row>
    <row r="61" spans="2:7" s="36" customFormat="1" ht="15" x14ac:dyDescent="0.3">
      <c r="B61" s="37">
        <v>52</v>
      </c>
      <c r="C61" s="38">
        <v>41730</v>
      </c>
      <c r="D61" s="41" t="s">
        <v>286</v>
      </c>
      <c r="E61" s="41">
        <v>636005</v>
      </c>
      <c r="F61" s="40" t="s">
        <v>287</v>
      </c>
      <c r="G61" s="39" t="s">
        <v>288</v>
      </c>
    </row>
    <row r="62" spans="2:7" s="36" customFormat="1" ht="105" x14ac:dyDescent="0.3">
      <c r="B62" s="37">
        <v>53</v>
      </c>
      <c r="C62" s="38">
        <v>41730</v>
      </c>
      <c r="D62" s="41" t="s">
        <v>203</v>
      </c>
      <c r="E62" s="41">
        <v>640507</v>
      </c>
      <c r="F62" s="40" t="s">
        <v>289</v>
      </c>
      <c r="G62" s="39" t="s">
        <v>290</v>
      </c>
    </row>
    <row r="63" spans="2:7" s="36" customFormat="1" ht="15" x14ac:dyDescent="0.3">
      <c r="B63" s="37">
        <v>54</v>
      </c>
      <c r="C63" s="38">
        <v>41731</v>
      </c>
      <c r="D63" s="41" t="s">
        <v>200</v>
      </c>
      <c r="E63" s="41">
        <v>641997</v>
      </c>
      <c r="F63" s="40" t="s">
        <v>291</v>
      </c>
      <c r="G63" s="39" t="s">
        <v>292</v>
      </c>
    </row>
    <row r="64" spans="2:7" s="36" customFormat="1" ht="45" x14ac:dyDescent="0.3">
      <c r="B64" s="37">
        <v>55</v>
      </c>
      <c r="C64" s="38">
        <v>41733</v>
      </c>
      <c r="D64" s="41" t="s">
        <v>293</v>
      </c>
      <c r="E64" s="41">
        <v>641991</v>
      </c>
      <c r="F64" s="40" t="s">
        <v>294</v>
      </c>
      <c r="G64" s="39" t="s">
        <v>295</v>
      </c>
    </row>
    <row r="65" spans="2:7" s="36" customFormat="1" ht="120" x14ac:dyDescent="0.3">
      <c r="B65" s="37">
        <v>56</v>
      </c>
      <c r="C65" s="38">
        <v>41740</v>
      </c>
      <c r="D65" s="41" t="s">
        <v>296</v>
      </c>
      <c r="E65" s="41">
        <v>626235</v>
      </c>
      <c r="F65" s="40" t="s">
        <v>297</v>
      </c>
      <c r="G65" s="39" t="s">
        <v>298</v>
      </c>
    </row>
    <row r="66" spans="2:7" s="36" customFormat="1" ht="180" x14ac:dyDescent="0.3">
      <c r="B66" s="37">
        <v>57</v>
      </c>
      <c r="C66" s="38">
        <v>41750</v>
      </c>
      <c r="D66" s="41" t="s">
        <v>299</v>
      </c>
      <c r="E66" s="41">
        <v>636791</v>
      </c>
      <c r="F66" s="40" t="s">
        <v>300</v>
      </c>
      <c r="G66" s="39" t="s">
        <v>301</v>
      </c>
    </row>
    <row r="67" spans="2:7" s="36" customFormat="1" ht="93.75" customHeight="1" x14ac:dyDescent="0.3">
      <c r="B67" s="37">
        <v>58</v>
      </c>
      <c r="C67" s="38">
        <v>41753</v>
      </c>
      <c r="D67" s="41" t="s">
        <v>302</v>
      </c>
      <c r="E67" s="41">
        <v>651193</v>
      </c>
      <c r="F67" s="40" t="s">
        <v>303</v>
      </c>
      <c r="G67" s="39" t="s">
        <v>304</v>
      </c>
    </row>
    <row r="68" spans="2:7" s="36" customFormat="1" ht="60" x14ac:dyDescent="0.3">
      <c r="B68" s="37">
        <v>59</v>
      </c>
      <c r="C68" s="38">
        <v>41754</v>
      </c>
      <c r="D68" s="41" t="s">
        <v>184</v>
      </c>
      <c r="E68" s="41">
        <v>643085</v>
      </c>
      <c r="F68" s="40" t="s">
        <v>305</v>
      </c>
      <c r="G68" s="39" t="s">
        <v>306</v>
      </c>
    </row>
    <row r="69" spans="2:7" s="36" customFormat="1" ht="120" x14ac:dyDescent="0.3">
      <c r="B69" s="37">
        <v>60</v>
      </c>
      <c r="C69" s="38">
        <v>41757</v>
      </c>
      <c r="D69" s="41" t="s">
        <v>307</v>
      </c>
      <c r="E69" s="41">
        <v>652703</v>
      </c>
      <c r="F69" s="40" t="s">
        <v>308</v>
      </c>
      <c r="G69" s="39" t="s">
        <v>309</v>
      </c>
    </row>
    <row r="70" spans="2:7" s="36" customFormat="1" ht="30" x14ac:dyDescent="0.3">
      <c r="B70" s="37">
        <v>61</v>
      </c>
      <c r="C70" s="38">
        <v>41757</v>
      </c>
      <c r="D70" s="41" t="s">
        <v>165</v>
      </c>
      <c r="E70" s="41">
        <v>651302</v>
      </c>
      <c r="F70" s="40" t="s">
        <v>163</v>
      </c>
      <c r="G70" s="39" t="s">
        <v>164</v>
      </c>
    </row>
    <row r="71" spans="2:7" s="36" customFormat="1" ht="105" x14ac:dyDescent="0.3">
      <c r="B71" s="37">
        <v>62</v>
      </c>
      <c r="C71" s="38">
        <v>41759</v>
      </c>
      <c r="D71" s="41" t="s">
        <v>310</v>
      </c>
      <c r="E71" s="41">
        <v>653320</v>
      </c>
      <c r="F71" s="40" t="s">
        <v>311</v>
      </c>
      <c r="G71" s="39" t="s">
        <v>312</v>
      </c>
    </row>
    <row r="72" spans="2:7" s="36" customFormat="1" ht="30" x14ac:dyDescent="0.3">
      <c r="B72" s="37">
        <v>63</v>
      </c>
      <c r="C72" s="38">
        <v>41759</v>
      </c>
      <c r="D72" s="41" t="s">
        <v>313</v>
      </c>
      <c r="E72" s="41">
        <v>624590</v>
      </c>
      <c r="F72" s="40" t="s">
        <v>314</v>
      </c>
      <c r="G72" s="39" t="s">
        <v>315</v>
      </c>
    </row>
    <row r="73" spans="2:7" s="36" customFormat="1" ht="15" x14ac:dyDescent="0.3">
      <c r="B73" s="37">
        <v>64</v>
      </c>
      <c r="C73" s="38">
        <v>41764</v>
      </c>
      <c r="D73" s="41" t="s">
        <v>316</v>
      </c>
      <c r="E73" s="41">
        <v>654168</v>
      </c>
      <c r="F73" s="40" t="s">
        <v>317</v>
      </c>
      <c r="G73" s="39"/>
    </row>
    <row r="74" spans="2:7" s="36" customFormat="1" ht="210" x14ac:dyDescent="0.3">
      <c r="B74" s="37">
        <v>65</v>
      </c>
      <c r="C74" s="38">
        <v>41765</v>
      </c>
      <c r="D74" s="41" t="s">
        <v>318</v>
      </c>
      <c r="E74" s="41">
        <v>653991</v>
      </c>
      <c r="F74" s="40" t="s">
        <v>319</v>
      </c>
      <c r="G74" s="39" t="s">
        <v>320</v>
      </c>
    </row>
    <row r="75" spans="2:7" s="36" customFormat="1" ht="27" x14ac:dyDescent="0.3">
      <c r="B75" s="37">
        <v>66</v>
      </c>
      <c r="C75" s="38">
        <v>41767</v>
      </c>
      <c r="D75" s="41" t="s">
        <v>321</v>
      </c>
      <c r="E75" s="41">
        <v>661656</v>
      </c>
      <c r="F75" s="40" t="s">
        <v>322</v>
      </c>
      <c r="G75" s="39" t="s">
        <v>323</v>
      </c>
    </row>
    <row r="76" spans="2:7" s="36" customFormat="1" ht="15" x14ac:dyDescent="0.3">
      <c r="B76" s="37">
        <v>67</v>
      </c>
      <c r="C76" s="38">
        <v>41768</v>
      </c>
      <c r="D76" s="41" t="s">
        <v>167</v>
      </c>
      <c r="E76" s="41">
        <v>661822</v>
      </c>
      <c r="F76" s="40" t="s">
        <v>168</v>
      </c>
      <c r="G76" s="39" t="s">
        <v>169</v>
      </c>
    </row>
    <row r="77" spans="2:7" s="36" customFormat="1" ht="30" x14ac:dyDescent="0.3">
      <c r="B77" s="37">
        <v>68</v>
      </c>
      <c r="C77" s="38">
        <v>41774</v>
      </c>
      <c r="D77" s="41" t="s">
        <v>318</v>
      </c>
      <c r="E77" s="41">
        <v>665181</v>
      </c>
      <c r="F77" s="40" t="s">
        <v>324</v>
      </c>
      <c r="G77" s="39" t="s">
        <v>325</v>
      </c>
    </row>
    <row r="78" spans="2:7" s="36" customFormat="1" ht="30" x14ac:dyDescent="0.3">
      <c r="B78" s="37">
        <v>69</v>
      </c>
      <c r="C78" s="38">
        <v>41782</v>
      </c>
      <c r="D78" s="41" t="s">
        <v>326</v>
      </c>
      <c r="E78" s="41">
        <v>668790</v>
      </c>
      <c r="F78" s="40" t="s">
        <v>327</v>
      </c>
      <c r="G78" s="39" t="s">
        <v>328</v>
      </c>
    </row>
    <row r="79" spans="2:7" s="36" customFormat="1" ht="120" x14ac:dyDescent="0.3">
      <c r="B79" s="37">
        <v>70</v>
      </c>
      <c r="C79" s="38">
        <v>41796</v>
      </c>
      <c r="D79" s="41" t="s">
        <v>170</v>
      </c>
      <c r="E79" s="41">
        <v>659628</v>
      </c>
      <c r="F79" s="40" t="s">
        <v>348</v>
      </c>
      <c r="G79" s="39" t="s">
        <v>171</v>
      </c>
    </row>
    <row r="80" spans="2:7" s="25" customFormat="1" ht="15" x14ac:dyDescent="0.3">
      <c r="B80" s="37">
        <v>71</v>
      </c>
      <c r="C80" s="38">
        <v>41796</v>
      </c>
      <c r="D80" s="32" t="s">
        <v>174</v>
      </c>
      <c r="E80" s="32">
        <v>658811</v>
      </c>
      <c r="F80" s="33" t="s">
        <v>172</v>
      </c>
      <c r="G80" s="31" t="s">
        <v>173</v>
      </c>
    </row>
    <row r="81" spans="2:7" s="25" customFormat="1" ht="60" x14ac:dyDescent="0.3">
      <c r="B81" s="37">
        <v>72</v>
      </c>
      <c r="C81" s="38">
        <v>41802</v>
      </c>
      <c r="D81" s="32" t="s">
        <v>329</v>
      </c>
      <c r="E81" s="32">
        <v>663855</v>
      </c>
      <c r="F81" s="33" t="s">
        <v>330</v>
      </c>
      <c r="G81" s="31" t="s">
        <v>331</v>
      </c>
    </row>
    <row r="82" spans="2:7" s="36" customFormat="1" ht="150" x14ac:dyDescent="0.3">
      <c r="B82" s="37">
        <v>73</v>
      </c>
      <c r="C82" s="38">
        <v>41802</v>
      </c>
      <c r="D82" s="41" t="s">
        <v>318</v>
      </c>
      <c r="E82" s="41" t="s">
        <v>332</v>
      </c>
      <c r="F82" s="40" t="s">
        <v>333</v>
      </c>
      <c r="G82" s="39" t="s">
        <v>334</v>
      </c>
    </row>
    <row r="83" spans="2:7" s="36" customFormat="1" ht="60" x14ac:dyDescent="0.3">
      <c r="B83" s="37">
        <v>74</v>
      </c>
      <c r="C83" s="38">
        <v>41805</v>
      </c>
      <c r="D83" s="41" t="s">
        <v>335</v>
      </c>
      <c r="E83" s="41">
        <v>663669</v>
      </c>
      <c r="F83" s="40" t="s">
        <v>336</v>
      </c>
      <c r="G83" s="39" t="s">
        <v>337</v>
      </c>
    </row>
    <row r="84" spans="2:7" s="36" customFormat="1" ht="45" x14ac:dyDescent="0.3">
      <c r="B84" s="37">
        <v>75</v>
      </c>
      <c r="C84" s="38">
        <v>41810</v>
      </c>
      <c r="D84" s="41" t="s">
        <v>338</v>
      </c>
      <c r="E84" s="41">
        <v>672662</v>
      </c>
      <c r="F84" s="40" t="s">
        <v>341</v>
      </c>
      <c r="G84" s="39" t="s">
        <v>164</v>
      </c>
    </row>
    <row r="85" spans="2:7" s="36" customFormat="1" ht="30" x14ac:dyDescent="0.3">
      <c r="B85" s="37">
        <v>76</v>
      </c>
      <c r="C85" s="38">
        <v>41820</v>
      </c>
      <c r="D85" s="41" t="s">
        <v>342</v>
      </c>
      <c r="E85" s="41">
        <v>685119</v>
      </c>
      <c r="F85" s="40" t="s">
        <v>343</v>
      </c>
      <c r="G85" s="39" t="s">
        <v>344</v>
      </c>
    </row>
    <row r="86" spans="2:7" s="36" customFormat="1" ht="27" x14ac:dyDescent="0.3">
      <c r="B86" s="37">
        <v>77</v>
      </c>
      <c r="C86" s="38">
        <v>41843</v>
      </c>
      <c r="D86" s="41" t="s">
        <v>345</v>
      </c>
      <c r="E86" s="41">
        <v>696680</v>
      </c>
      <c r="F86" s="40" t="s">
        <v>346</v>
      </c>
      <c r="G86" s="39" t="s">
        <v>347</v>
      </c>
    </row>
    <row r="87" spans="2:7" s="36" customFormat="1" ht="30" x14ac:dyDescent="0.3">
      <c r="B87" s="37">
        <v>78</v>
      </c>
      <c r="C87" s="38">
        <v>41855</v>
      </c>
      <c r="D87" s="41" t="s">
        <v>349</v>
      </c>
      <c r="E87" s="32">
        <v>704321</v>
      </c>
      <c r="F87" s="40" t="s">
        <v>350</v>
      </c>
      <c r="G87" s="39" t="s">
        <v>351</v>
      </c>
    </row>
    <row r="88" spans="2:7" s="36" customFormat="1" ht="30" x14ac:dyDescent="0.3">
      <c r="B88" s="37">
        <v>79</v>
      </c>
      <c r="C88" s="38">
        <v>41857</v>
      </c>
      <c r="D88" s="41" t="s">
        <v>352</v>
      </c>
      <c r="E88" s="32">
        <v>693878</v>
      </c>
      <c r="F88" s="40" t="s">
        <v>353</v>
      </c>
      <c r="G88" s="39" t="s">
        <v>354</v>
      </c>
    </row>
    <row r="89" spans="2:7" s="36" customFormat="1" ht="15" x14ac:dyDescent="0.3">
      <c r="B89" s="37">
        <v>80</v>
      </c>
      <c r="C89" s="38">
        <v>41864</v>
      </c>
      <c r="D89" s="41" t="s">
        <v>352</v>
      </c>
      <c r="E89" s="32">
        <v>705789</v>
      </c>
      <c r="F89" s="40" t="s">
        <v>355</v>
      </c>
      <c r="G89" s="39" t="s">
        <v>356</v>
      </c>
    </row>
    <row r="90" spans="2:7" s="36" customFormat="1" ht="15" x14ac:dyDescent="0.3">
      <c r="B90" s="37">
        <v>81</v>
      </c>
      <c r="C90" s="38">
        <v>41871</v>
      </c>
      <c r="D90" s="41" t="s">
        <v>352</v>
      </c>
      <c r="E90" s="32">
        <v>711902</v>
      </c>
      <c r="F90" s="40" t="s">
        <v>357</v>
      </c>
      <c r="G90" s="39" t="s">
        <v>358</v>
      </c>
    </row>
    <row r="91" spans="2:7" s="36" customFormat="1" ht="90" x14ac:dyDescent="0.3">
      <c r="B91" s="37">
        <v>82</v>
      </c>
      <c r="C91" s="38">
        <v>41873</v>
      </c>
      <c r="D91" s="41" t="s">
        <v>352</v>
      </c>
      <c r="E91" s="32">
        <v>714037</v>
      </c>
      <c r="F91" s="40" t="s">
        <v>360</v>
      </c>
      <c r="G91" s="39" t="s">
        <v>359</v>
      </c>
    </row>
    <row r="92" spans="2:7" s="36" customFormat="1" ht="15" x14ac:dyDescent="0.3">
      <c r="B92" s="37">
        <v>83</v>
      </c>
      <c r="C92" s="38">
        <v>41890</v>
      </c>
      <c r="D92" s="41" t="s">
        <v>607</v>
      </c>
      <c r="E92" s="32">
        <v>706588</v>
      </c>
      <c r="F92" s="40" t="s">
        <v>608</v>
      </c>
      <c r="G92" s="39" t="s">
        <v>609</v>
      </c>
    </row>
    <row r="93" spans="2:7" s="36" customFormat="1" ht="270" x14ac:dyDescent="0.3">
      <c r="B93" s="37">
        <v>84</v>
      </c>
      <c r="C93" s="38">
        <v>41906</v>
      </c>
      <c r="D93" s="41" t="s">
        <v>342</v>
      </c>
      <c r="E93" s="41">
        <v>713973</v>
      </c>
      <c r="F93" s="40" t="s">
        <v>610</v>
      </c>
      <c r="G93" s="39" t="s">
        <v>611</v>
      </c>
    </row>
    <row r="94" spans="2:7" s="36" customFormat="1" ht="360" x14ac:dyDescent="0.3">
      <c r="B94" s="37">
        <v>85</v>
      </c>
      <c r="C94" s="38">
        <v>41911</v>
      </c>
      <c r="D94" s="41" t="s">
        <v>612</v>
      </c>
      <c r="E94" s="41">
        <v>732129</v>
      </c>
      <c r="F94" s="40" t="s">
        <v>614</v>
      </c>
      <c r="G94" s="39" t="s">
        <v>613</v>
      </c>
    </row>
    <row r="95" spans="2:7" s="36" customFormat="1" ht="225" x14ac:dyDescent="0.3">
      <c r="B95" s="37">
        <v>86</v>
      </c>
      <c r="C95" s="38">
        <v>41925</v>
      </c>
      <c r="D95" s="41" t="s">
        <v>615</v>
      </c>
      <c r="E95" s="41">
        <v>737622</v>
      </c>
      <c r="F95" s="40" t="s">
        <v>617</v>
      </c>
      <c r="G95" s="39" t="s">
        <v>616</v>
      </c>
    </row>
    <row r="96" spans="2:7" s="36" customFormat="1" ht="15" x14ac:dyDescent="0.3">
      <c r="B96" s="37">
        <v>87</v>
      </c>
      <c r="C96" s="38">
        <v>41927</v>
      </c>
      <c r="D96" s="41" t="s">
        <v>615</v>
      </c>
      <c r="E96" s="41">
        <v>739977</v>
      </c>
      <c r="F96" s="40" t="s">
        <v>618</v>
      </c>
      <c r="G96" s="39" t="s">
        <v>619</v>
      </c>
    </row>
    <row r="97" spans="2:7" s="36" customFormat="1" ht="15" x14ac:dyDescent="0.3">
      <c r="B97" s="37">
        <v>88</v>
      </c>
      <c r="C97" s="38">
        <v>41948</v>
      </c>
      <c r="D97" s="41" t="s">
        <v>615</v>
      </c>
      <c r="E97" s="41">
        <v>731854</v>
      </c>
      <c r="F97" s="40" t="s">
        <v>621</v>
      </c>
      <c r="G97" s="39" t="s">
        <v>620</v>
      </c>
    </row>
    <row r="98" spans="2:7" s="36" customFormat="1" ht="30" x14ac:dyDescent="0.3">
      <c r="B98" s="37">
        <v>89</v>
      </c>
      <c r="C98" s="38">
        <v>41957</v>
      </c>
      <c r="D98" s="41" t="s">
        <v>615</v>
      </c>
      <c r="E98" s="32">
        <v>747855</v>
      </c>
      <c r="F98" s="40" t="s">
        <v>622</v>
      </c>
      <c r="G98" s="39" t="s">
        <v>623</v>
      </c>
    </row>
    <row r="99" spans="2:7" s="36" customFormat="1" ht="15" x14ac:dyDescent="0.3">
      <c r="B99" s="37">
        <v>90</v>
      </c>
      <c r="C99" s="38">
        <v>41976</v>
      </c>
      <c r="D99" s="41" t="s">
        <v>627</v>
      </c>
      <c r="E99" s="32" t="s">
        <v>628</v>
      </c>
      <c r="F99" s="40" t="s">
        <v>629</v>
      </c>
      <c r="G99" s="39" t="s">
        <v>630</v>
      </c>
    </row>
    <row r="100" spans="2:7" s="36" customFormat="1" ht="15" x14ac:dyDescent="0.3">
      <c r="B100" s="37">
        <v>91</v>
      </c>
      <c r="C100" s="38">
        <v>41983</v>
      </c>
      <c r="D100" s="41" t="s">
        <v>627</v>
      </c>
      <c r="E100" s="32" t="s">
        <v>636</v>
      </c>
      <c r="F100" s="40" t="s">
        <v>637</v>
      </c>
      <c r="G100" s="39" t="s">
        <v>638</v>
      </c>
    </row>
    <row r="101" spans="2:7" s="36" customFormat="1" ht="15" x14ac:dyDescent="0.3">
      <c r="B101" s="37">
        <v>92</v>
      </c>
      <c r="C101" s="38">
        <v>41725</v>
      </c>
      <c r="D101" s="41" t="s">
        <v>627</v>
      </c>
      <c r="E101" s="32" t="s">
        <v>639</v>
      </c>
      <c r="F101" s="40" t="s">
        <v>640</v>
      </c>
      <c r="G101" s="39" t="s">
        <v>641</v>
      </c>
    </row>
    <row r="102" spans="2:7" s="36" customFormat="1" ht="15" x14ac:dyDescent="0.3">
      <c r="B102" s="37">
        <v>93</v>
      </c>
      <c r="C102" s="38">
        <v>42291</v>
      </c>
      <c r="D102" s="41" t="s">
        <v>627</v>
      </c>
      <c r="E102" s="32">
        <v>922673</v>
      </c>
      <c r="F102" s="40" t="s">
        <v>644</v>
      </c>
      <c r="G102" s="39" t="s">
        <v>645</v>
      </c>
    </row>
    <row r="103" spans="2:7" s="36" customFormat="1" ht="15" x14ac:dyDescent="0.3">
      <c r="B103" s="37">
        <v>94</v>
      </c>
      <c r="C103" s="38">
        <v>42424</v>
      </c>
      <c r="D103" s="41" t="s">
        <v>647</v>
      </c>
      <c r="E103" s="32">
        <v>973486</v>
      </c>
      <c r="F103" s="40" t="s">
        <v>648</v>
      </c>
      <c r="G103" s="39" t="s">
        <v>646</v>
      </c>
    </row>
    <row r="104" spans="2:7" s="36" customFormat="1" ht="15" x14ac:dyDescent="0.3">
      <c r="B104" s="37">
        <v>95</v>
      </c>
      <c r="C104" s="130">
        <v>42465</v>
      </c>
      <c r="D104" s="131" t="s">
        <v>650</v>
      </c>
      <c r="E104" s="132">
        <v>998979</v>
      </c>
      <c r="F104" s="40" t="s">
        <v>651</v>
      </c>
      <c r="G104" s="39" t="s">
        <v>649</v>
      </c>
    </row>
    <row r="105" spans="2:7" s="36" customFormat="1" ht="27" x14ac:dyDescent="0.3">
      <c r="B105" s="37">
        <v>96</v>
      </c>
      <c r="C105" s="130">
        <v>42496</v>
      </c>
      <c r="D105" s="131" t="s">
        <v>650</v>
      </c>
      <c r="E105" s="20">
        <v>923682</v>
      </c>
      <c r="F105" s="133" t="s">
        <v>658</v>
      </c>
      <c r="G105" s="39"/>
    </row>
    <row r="106" spans="2:7" s="36" customFormat="1" ht="15" x14ac:dyDescent="0.3">
      <c r="B106" s="37">
        <v>97</v>
      </c>
      <c r="C106" s="130">
        <v>42691</v>
      </c>
      <c r="D106" s="152" t="s">
        <v>650</v>
      </c>
      <c r="E106" s="132">
        <v>1085350</v>
      </c>
      <c r="F106" s="152" t="s">
        <v>669</v>
      </c>
      <c r="G106" s="39" t="s">
        <v>646</v>
      </c>
    </row>
    <row r="107" spans="2:7" s="36" customFormat="1" ht="15" x14ac:dyDescent="0.3">
      <c r="B107" s="37"/>
      <c r="C107" s="38"/>
      <c r="D107" s="41"/>
      <c r="E107" s="32"/>
      <c r="F107" s="40"/>
      <c r="G107" s="39"/>
    </row>
    <row r="108" spans="2:7" s="36" customFormat="1" ht="15" x14ac:dyDescent="0.3">
      <c r="B108" s="37"/>
      <c r="C108" s="38"/>
      <c r="D108" s="41"/>
      <c r="E108" s="32"/>
      <c r="F108" s="40"/>
      <c r="G108" s="39"/>
    </row>
    <row r="109" spans="2:7" s="36" customFormat="1" ht="15" x14ac:dyDescent="0.3">
      <c r="B109" s="37"/>
      <c r="C109" s="38"/>
      <c r="D109" s="41"/>
      <c r="E109" s="32"/>
      <c r="F109" s="40"/>
      <c r="G109" s="39"/>
    </row>
    <row r="110" spans="2:7" s="36" customFormat="1" ht="15" x14ac:dyDescent="0.3">
      <c r="B110" s="37"/>
      <c r="C110" s="38"/>
      <c r="D110" s="41"/>
      <c r="E110" s="32"/>
      <c r="F110" s="40"/>
      <c r="G110" s="39"/>
    </row>
    <row r="111" spans="2:7" s="36" customFormat="1" ht="15" x14ac:dyDescent="0.3">
      <c r="B111" s="37"/>
      <c r="C111" s="38"/>
      <c r="D111" s="41"/>
      <c r="E111" s="32"/>
      <c r="F111" s="40"/>
      <c r="G111" s="39"/>
    </row>
    <row r="112" spans="2:7" s="36" customFormat="1" ht="15" x14ac:dyDescent="0.3">
      <c r="B112" s="37"/>
      <c r="C112" s="38"/>
      <c r="D112" s="41"/>
      <c r="E112" s="32"/>
      <c r="F112" s="40"/>
      <c r="G112" s="39"/>
    </row>
    <row r="113" spans="2:7" s="36" customFormat="1" ht="15" x14ac:dyDescent="0.3">
      <c r="B113" s="37"/>
      <c r="C113" s="38"/>
      <c r="D113" s="41"/>
      <c r="E113" s="32"/>
      <c r="F113" s="40"/>
      <c r="G113" s="39"/>
    </row>
    <row r="114" spans="2:7" s="36" customFormat="1" ht="15" x14ac:dyDescent="0.3">
      <c r="B114" s="37"/>
      <c r="C114" s="38"/>
      <c r="D114" s="41"/>
      <c r="E114" s="32"/>
      <c r="F114" s="40"/>
      <c r="G114" s="39"/>
    </row>
    <row r="115" spans="2:7" s="36" customFormat="1" ht="15" x14ac:dyDescent="0.3">
      <c r="B115" s="37"/>
      <c r="C115" s="38"/>
      <c r="D115" s="41"/>
      <c r="E115" s="32"/>
      <c r="F115" s="40"/>
      <c r="G115" s="39"/>
    </row>
    <row r="116" spans="2:7" s="36" customFormat="1" ht="15" x14ac:dyDescent="0.3">
      <c r="B116" s="37"/>
      <c r="C116" s="38"/>
      <c r="D116" s="41"/>
      <c r="E116" s="32"/>
      <c r="F116" s="40"/>
      <c r="G116" s="39"/>
    </row>
    <row r="117" spans="2:7" s="36" customFormat="1" ht="15" x14ac:dyDescent="0.3">
      <c r="B117" s="37"/>
      <c r="C117" s="38"/>
      <c r="D117" s="41"/>
      <c r="E117" s="32"/>
      <c r="F117" s="40"/>
      <c r="G117" s="39"/>
    </row>
    <row r="118" spans="2:7" s="36" customFormat="1" ht="15" x14ac:dyDescent="0.3">
      <c r="B118" s="37"/>
      <c r="C118" s="38"/>
      <c r="D118" s="41"/>
      <c r="E118" s="32"/>
      <c r="F118" s="40"/>
      <c r="G118" s="39"/>
    </row>
    <row r="119" spans="2:7" s="36" customFormat="1" ht="15" x14ac:dyDescent="0.3">
      <c r="B119" s="37"/>
      <c r="C119" s="38"/>
      <c r="D119" s="41"/>
      <c r="E119" s="32"/>
      <c r="F119" s="40"/>
      <c r="G119" s="39"/>
    </row>
    <row r="120" spans="2:7" s="36" customFormat="1" ht="15" x14ac:dyDescent="0.3">
      <c r="B120" s="37"/>
      <c r="C120" s="38"/>
      <c r="D120" s="41"/>
      <c r="E120" s="32"/>
      <c r="F120" s="40"/>
      <c r="G120" s="39"/>
    </row>
    <row r="121" spans="2:7" s="36" customFormat="1" ht="15" x14ac:dyDescent="0.3">
      <c r="B121" s="37"/>
      <c r="C121" s="38"/>
      <c r="D121" s="41"/>
      <c r="E121" s="32"/>
      <c r="F121" s="40"/>
      <c r="G121" s="39"/>
    </row>
    <row r="122" spans="2:7" s="36" customFormat="1" ht="15" x14ac:dyDescent="0.3">
      <c r="B122" s="37"/>
      <c r="C122" s="38"/>
      <c r="D122" s="41"/>
      <c r="E122" s="32"/>
      <c r="F122" s="40"/>
      <c r="G122" s="39"/>
    </row>
    <row r="123" spans="2:7" s="36" customFormat="1" ht="15" x14ac:dyDescent="0.3">
      <c r="B123" s="37"/>
      <c r="C123" s="38"/>
      <c r="D123" s="41"/>
      <c r="E123" s="32"/>
      <c r="F123" s="40"/>
      <c r="G123" s="39"/>
    </row>
    <row r="124" spans="2:7" s="36" customFormat="1" ht="15" x14ac:dyDescent="0.3">
      <c r="B124" s="37"/>
      <c r="C124" s="38"/>
      <c r="D124" s="41"/>
      <c r="E124" s="32"/>
      <c r="F124" s="40"/>
      <c r="G124" s="39"/>
    </row>
    <row r="125" spans="2:7" s="36" customFormat="1" ht="15" x14ac:dyDescent="0.3">
      <c r="B125" s="37"/>
      <c r="C125" s="38"/>
      <c r="D125" s="41"/>
      <c r="E125" s="32"/>
      <c r="F125" s="40"/>
      <c r="G125" s="39"/>
    </row>
    <row r="126" spans="2:7" s="36" customFormat="1" ht="15" x14ac:dyDescent="0.3">
      <c r="B126" s="37"/>
      <c r="C126" s="38"/>
      <c r="D126" s="41"/>
      <c r="E126" s="32"/>
      <c r="F126" s="40"/>
      <c r="G126" s="39"/>
    </row>
    <row r="127" spans="2:7" s="36" customFormat="1" ht="15" x14ac:dyDescent="0.3">
      <c r="B127" s="37"/>
      <c r="C127" s="38"/>
      <c r="D127" s="41"/>
      <c r="E127" s="32"/>
      <c r="F127" s="40"/>
      <c r="G127" s="39"/>
    </row>
    <row r="128" spans="2:7" s="36" customFormat="1" ht="15" x14ac:dyDescent="0.3">
      <c r="B128" s="37"/>
      <c r="C128" s="38"/>
      <c r="D128" s="41"/>
      <c r="E128" s="32"/>
      <c r="F128" s="40"/>
      <c r="G128" s="39"/>
    </row>
    <row r="129" spans="2:7" s="36" customFormat="1" ht="15" x14ac:dyDescent="0.3">
      <c r="B129" s="37"/>
      <c r="C129" s="38"/>
      <c r="D129" s="41"/>
      <c r="E129" s="32"/>
      <c r="F129" s="40"/>
      <c r="G129" s="39"/>
    </row>
    <row r="130" spans="2:7" s="36" customFormat="1" ht="15" x14ac:dyDescent="0.3">
      <c r="B130" s="37"/>
      <c r="C130" s="38"/>
      <c r="D130" s="41"/>
      <c r="E130" s="32"/>
      <c r="F130" s="40"/>
      <c r="G130" s="39"/>
    </row>
    <row r="131" spans="2:7" s="36" customFormat="1" ht="15" x14ac:dyDescent="0.3">
      <c r="B131" s="37"/>
      <c r="C131" s="38"/>
      <c r="D131" s="41"/>
      <c r="E131" s="32"/>
      <c r="F131" s="40"/>
      <c r="G131" s="39"/>
    </row>
    <row r="132" spans="2:7" s="36" customFormat="1" ht="15" x14ac:dyDescent="0.3">
      <c r="B132" s="37"/>
      <c r="C132" s="38"/>
      <c r="D132" s="41"/>
      <c r="E132" s="32"/>
      <c r="F132" s="40"/>
      <c r="G132" s="39"/>
    </row>
    <row r="133" spans="2:7" s="36" customFormat="1" ht="15" x14ac:dyDescent="0.3">
      <c r="B133" s="37"/>
      <c r="C133" s="38"/>
      <c r="D133" s="41"/>
      <c r="E133" s="32"/>
      <c r="F133" s="40"/>
      <c r="G133" s="39"/>
    </row>
    <row r="134" spans="2:7" s="36" customFormat="1" ht="15" x14ac:dyDescent="0.3">
      <c r="B134" s="37"/>
      <c r="C134" s="38"/>
      <c r="D134" s="41"/>
      <c r="E134" s="32"/>
      <c r="F134" s="40"/>
      <c r="G134" s="39"/>
    </row>
    <row r="135" spans="2:7" s="36" customFormat="1" ht="15" x14ac:dyDescent="0.3">
      <c r="B135" s="37"/>
      <c r="C135" s="38"/>
      <c r="D135" s="41"/>
      <c r="E135" s="32"/>
      <c r="F135" s="40"/>
      <c r="G135" s="39"/>
    </row>
    <row r="136" spans="2:7" s="36" customFormat="1" ht="15" x14ac:dyDescent="0.3">
      <c r="B136" s="37"/>
      <c r="C136" s="38"/>
      <c r="D136" s="41"/>
      <c r="E136" s="32"/>
      <c r="F136" s="40"/>
      <c r="G136" s="39"/>
    </row>
    <row r="137" spans="2:7" s="36" customFormat="1" ht="15" x14ac:dyDescent="0.3">
      <c r="B137" s="37"/>
      <c r="C137" s="38"/>
      <c r="D137" s="41"/>
      <c r="E137" s="32"/>
      <c r="F137" s="40"/>
      <c r="G137" s="39"/>
    </row>
    <row r="138" spans="2:7" s="36" customFormat="1" ht="15" x14ac:dyDescent="0.3">
      <c r="B138" s="37"/>
      <c r="C138" s="38"/>
      <c r="D138" s="41"/>
      <c r="E138" s="32"/>
      <c r="F138" s="40"/>
      <c r="G138" s="39"/>
    </row>
    <row r="139" spans="2:7" s="36" customFormat="1" ht="15" x14ac:dyDescent="0.3">
      <c r="B139" s="37"/>
      <c r="C139" s="38"/>
      <c r="D139" s="41"/>
      <c r="E139" s="32"/>
      <c r="F139" s="40"/>
      <c r="G139" s="39"/>
    </row>
    <row r="140" spans="2:7" s="36" customFormat="1" ht="15" x14ac:dyDescent="0.3">
      <c r="B140" s="37"/>
      <c r="C140" s="38"/>
      <c r="D140" s="41"/>
      <c r="E140" s="32"/>
      <c r="F140" s="40"/>
      <c r="G140" s="39"/>
    </row>
    <row r="141" spans="2:7" s="36" customFormat="1" ht="15" x14ac:dyDescent="0.3">
      <c r="B141" s="37"/>
      <c r="C141" s="38"/>
      <c r="D141" s="41"/>
      <c r="E141" s="32"/>
      <c r="F141" s="40"/>
      <c r="G141" s="39"/>
    </row>
    <row r="142" spans="2:7" s="36" customFormat="1" ht="15" x14ac:dyDescent="0.3">
      <c r="B142" s="37"/>
      <c r="C142" s="38"/>
      <c r="D142" s="41"/>
      <c r="E142" s="32"/>
      <c r="F142" s="40"/>
      <c r="G142" s="39"/>
    </row>
    <row r="143" spans="2:7" s="36" customFormat="1" ht="15" x14ac:dyDescent="0.3">
      <c r="B143" s="37"/>
      <c r="C143" s="38"/>
      <c r="D143" s="41"/>
      <c r="E143" s="32"/>
      <c r="F143" s="40"/>
      <c r="G143" s="39"/>
    </row>
    <row r="144" spans="2:7" s="36" customFormat="1" ht="15" x14ac:dyDescent="0.3">
      <c r="B144" s="37"/>
      <c r="C144" s="38"/>
      <c r="D144" s="41"/>
      <c r="E144" s="32"/>
      <c r="F144" s="40"/>
      <c r="G144" s="39"/>
    </row>
    <row r="145" spans="2:7" s="36" customFormat="1" ht="15" x14ac:dyDescent="0.3">
      <c r="B145" s="37"/>
      <c r="C145" s="38"/>
      <c r="D145" s="41"/>
      <c r="E145" s="32"/>
      <c r="F145" s="40"/>
      <c r="G145" s="39"/>
    </row>
    <row r="146" spans="2:7" s="25" customFormat="1" ht="15.75" thickBot="1" x14ac:dyDescent="0.35">
      <c r="B146" s="46"/>
      <c r="C146" s="47"/>
      <c r="D146" s="48"/>
      <c r="E146" s="48"/>
      <c r="F146" s="49"/>
      <c r="G146" s="5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2016-11-17T06:36:34Z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