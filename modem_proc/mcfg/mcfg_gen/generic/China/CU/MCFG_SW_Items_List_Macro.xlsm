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_mgorig_Latest\commercial\MPSS.JO.2.0.c1\Main\modem_proc\mcfg\mcfg_gen\generic\China\CU\"/>
    </mc:Choice>
  </mc:AlternateContent>
  <bookViews>
    <workbookView xWindow="13245" yWindow="600" windowWidth="5535" windowHeight="6285" tabRatio="861"/>
  </bookViews>
  <sheets>
    <sheet name="Summary" sheetId="10" r:id="rId1"/>
    <sheet name="OpenMkt-Commercial" sheetId="20" r:id="rId2"/>
    <sheet name="Test-Lab" sheetId="24" r:id="rId3"/>
    <sheet name="Subsidized-Commercial" sheetId="27" r:id="rId4"/>
    <sheet name="VoLTE_OpnMkt-Commercial" sheetId="28" r:id="rId5"/>
    <sheet name="Revision History" sheetId="8" r:id="rId6"/>
  </sheets>
  <functionGroups builtInGroupCount="18"/>
  <calcPr calcId="152511"/>
</workbook>
</file>

<file path=xl/calcChain.xml><?xml version="1.0" encoding="utf-8"?>
<calcChain xmlns="http://schemas.openxmlformats.org/spreadsheetml/2006/main">
  <c r="E13" i="10" l="1"/>
  <c r="F666" i="28"/>
  <c r="F664" i="28" s="1"/>
  <c r="F662" i="28"/>
  <c r="F658" i="28"/>
  <c r="F656" i="28" s="1"/>
  <c r="F653" i="28"/>
  <c r="E654" i="28" s="1"/>
  <c r="E651" i="28"/>
  <c r="F139" i="27" l="1"/>
  <c r="F137" i="27" s="1"/>
  <c r="F124" i="24"/>
  <c r="F122" i="24" s="1"/>
  <c r="F141" i="20"/>
  <c r="F139" i="20" s="1"/>
  <c r="F143" i="27" l="1"/>
  <c r="F128" i="24"/>
  <c r="F145" i="20"/>
  <c r="D13" i="10"/>
  <c r="C13" i="10"/>
  <c r="B13" i="10"/>
  <c r="F147" i="27"/>
  <c r="F145" i="27" s="1"/>
  <c r="F132" i="24"/>
  <c r="F130" i="24" s="1"/>
  <c r="F149" i="20"/>
  <c r="F147" i="20" s="1"/>
  <c r="F134" i="27"/>
  <c r="E135" i="27" s="1"/>
  <c r="E132" i="27"/>
  <c r="F119" i="24"/>
  <c r="E120" i="24" s="1"/>
  <c r="E117" i="24"/>
  <c r="B5" i="10"/>
  <c r="F136" i="20"/>
  <c r="E137" i="20"/>
  <c r="E134" i="20"/>
  <c r="B4" i="10"/>
</calcChain>
</file>

<file path=xl/sharedStrings.xml><?xml version="1.0" encoding="utf-8"?>
<sst xmlns="http://schemas.openxmlformats.org/spreadsheetml/2006/main" count="3386" uniqueCount="987">
  <si>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</si>
  <si>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</si>
  <si>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</si>
  <si>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</si>
  <si>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</si>
  <si>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</si>
  <si>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</si>
  <si>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</si>
  <si>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</si>
  <si>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</si>
  <si>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</si>
  <si>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</si>
  <si>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</si>
  <si>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</si>
  <si>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</si>
  <si>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</si>
  <si>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</si>
  <si>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</si>
  <si>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</si>
  <si>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</si>
  <si>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</si>
  <si>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</si>
  <si>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</si>
  <si>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</si>
  <si>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</si>
  <si>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</si>
  <si>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</si>
  <si>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</si>
  <si>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</si>
  <si>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</si>
  <si>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</si>
  <si>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</si>
  <si>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</si>
  <si>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</si>
  <si>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</si>
  <si>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</si>
  <si>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</si>
  <si>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</si>
  <si>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</si>
  <si>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</si>
  <si>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</si>
  <si>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</si>
  <si>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</si>
  <si>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</si>
  <si>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</si>
  <si>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</si>
  <si>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</si>
  <si>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</si>
  <si>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</si>
  <si>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RRC Integrity Enabled</t>
  </si>
  <si>
    <t>RRC Ciphering Enabled</t>
  </si>
  <si>
    <t>RRC Fake Security Enabled</t>
  </si>
  <si>
    <t>efs_item</t>
  </si>
  <si>
    <t>/sd/rat_acq_order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</si>
  <si>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</si>
  <si>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</si>
  <si>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</si>
  <si>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</si>
  <si>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</si>
  <si>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</si>
  <si>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</si>
  <si>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</si>
  <si>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</si>
  <si>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</si>
  <si>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</si>
  <si>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</si>
  <si>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</si>
  <si>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</si>
  <si>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</si>
  <si>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</si>
  <si>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</si>
  <si>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</si>
  <si>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</si>
  <si>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</si>
  <si>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</si>
  <si>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</si>
  <si>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</si>
  <si>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</si>
  <si>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</si>
  <si>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</si>
  <si>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</si>
  <si>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</si>
  <si>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</si>
  <si>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</si>
  <si>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</si>
  <si>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</si>
  <si>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</si>
  <si>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</si>
  <si>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UIM First Instruction Class</t>
  </si>
  <si>
    <t>uim_first_inst_cla</t>
  </si>
  <si>
    <t>0 – Starts card as GSM SIM                                                                     1 – Starts card as USIM</t>
  </si>
  <si>
    <t>GPRS Multislot Class</t>
  </si>
  <si>
    <t>multislot_class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</si>
  <si>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</si>
  <si>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</si>
  <si>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</si>
  <si>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</si>
  <si>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</si>
  <si>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</si>
  <si>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</si>
  <si>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</si>
  <si>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</si>
  <si>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</si>
  <si>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</si>
  <si>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</si>
  <si>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GPRS Enable Anite GCF 51.010</t>
  </si>
  <si>
    <t>gprs_anite_gcf</t>
  </si>
  <si>
    <t>Make sure it is set to 0, set to 1 for GCF testing</t>
  </si>
  <si>
    <t>GSM AMR Call Configuration</t>
  </si>
  <si>
    <t>gsm_amr_call_config</t>
  </si>
  <si>
    <t>1 – Enables NB and WB AMR vocoder support for GSM              0 – Disables AMR vocoder support altogether</t>
  </si>
  <si>
    <t>EDGE Feature Support</t>
  </si>
  <si>
    <t>edge_feature_support</t>
  </si>
  <si>
    <t>Edge Multislot class</t>
  </si>
  <si>
    <t>edge_mutlislot_class</t>
  </si>
  <si>
    <t>EDA Feature Support</t>
  </si>
  <si>
    <t>eda_feature_support</t>
  </si>
  <si>
    <t>0-Disable EDA Support  1 - Enables EDA Support</t>
  </si>
  <si>
    <t>GERAN Feature Pack1</t>
  </si>
  <si>
    <t>geran_feature_pack_1</t>
  </si>
  <si>
    <t>0 – Disables Network Assisted Cell Change 1 – Enables Network Assisted Cell Change</t>
  </si>
  <si>
    <t>MS Max Number of SMS</t>
  </si>
  <si>
    <t>ms_sms_max_number_of_sms</t>
  </si>
  <si>
    <t>DTM Feature Support</t>
  </si>
  <si>
    <t>dtm_feature_support</t>
  </si>
  <si>
    <t>0 - Disable DTM Feature Support   1 - Enable DTM Feature Support</t>
  </si>
  <si>
    <t>DTM Multislot class</t>
  </si>
  <si>
    <t>dtm_multislot_class</t>
  </si>
  <si>
    <t>3 - DTM MSC of 11 if GPRS MSC is set to 12.2 - DTM MSC of 9 f the GPRS MSC is set to 10</t>
  </si>
  <si>
    <t>WCDMA RX Diversity Control</t>
  </si>
  <si>
    <t>wcdma_rx_diversity_control</t>
  </si>
  <si>
    <t>0 - Disables Diversity3 - Enables Diversity</t>
  </si>
  <si>
    <t>RAT_ACQ_ORDER</t>
  </si>
  <si>
    <t>WCDMA RRC Feature Enabled</t>
  </si>
  <si>
    <t>0 - Not Support any feature. 1 - EFACH3 - EFACH + EPCH 5 - EFACH + EFACH_DRX 7 - EFACH + EPCH + EFACH_DRX  NOTE: Enhanced CELL_FACH (Rel-7) Enhanced CELL_PCH (Rel-7) DRX in CELL_FACH (Enhanced DRX) (Rel-8)</t>
  </si>
  <si>
    <t xml:space="preserve">Note - this is uint8/boolean, QXDM does not show it properly ,,, 0x01 - SAIC and eSAIC ON (default)0x09 SAIC and eSAIC OFF (conventional receiver)0x11 - SAIC ON for CS-voice only </t>
  </si>
  <si>
    <t>LTE BC Config</t>
  </si>
  <si>
    <t>nv_lte_bc_config_type.lte_bc_config</t>
  </si>
  <si>
    <t>For Debug purposes only</t>
  </si>
  <si>
    <t>PDP Profile 1</t>
  </si>
  <si>
    <t>China Unicom MCFG SW Items List</t>
  </si>
  <si>
    <t>0x20000</t>
  </si>
  <si>
    <t>modem_proc\mcfg\mcfg_gen\scripts\data\efs_files\cu\profile1</t>
  </si>
  <si>
    <t>Carrier Version Update(s)</t>
  </si>
  <si>
    <t>/nv/item_files/modem/nas/lte_nas_ue_sec_capability</t>
  </si>
  <si>
    <t>modem_proc\mcfg\mcfg_gen\scripts\data\efs_files\lte_nas_ue_sec_capability_china</t>
  </si>
  <si>
    <t>?NV : Included to set ZUC as primary security algorithm</t>
  </si>
  <si>
    <t>LTE NAS UE security capability</t>
  </si>
  <si>
    <t>Image</t>
  </si>
  <si>
    <t>SW Product</t>
  </si>
  <si>
    <t>MCFG PW</t>
  </si>
  <si>
    <t>MPSS Configuration Items Listing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</si>
  <si>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</si>
  <si>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</si>
  <si>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</si>
  <si>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</si>
  <si>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</si>
  <si>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0x21</t>
  </si>
  <si>
    <t>0xFFFF</t>
  </si>
  <si>
    <t>0xBFFF</t>
  </si>
  <si>
    <t>subs_mask</t>
  </si>
  <si>
    <t>0x06</t>
  </si>
  <si>
    <t>0x19</t>
  </si>
  <si>
    <t>0x39</t>
  </si>
  <si>
    <t>17: Auto (WCDMA or GSM)</t>
  </si>
  <si>
    <t>14: WCDMA only</t>
  </si>
  <si>
    <t>13: GSM Only</t>
  </si>
  <si>
    <t>/nv/item_files/modem/mmode/lte_bandpref</t>
  </si>
  <si>
    <t>LTE Band Preference</t>
  </si>
  <si>
    <t>0x10000000005</t>
  </si>
  <si>
    <t>To enable LTE Band capablity B1/B3/B41</t>
  </si>
  <si>
    <t>0x05</t>
  </si>
  <si>
    <t>Formatting Legend for Carrier Spreadsheets</t>
  </si>
  <si>
    <t>No background</t>
  </si>
  <si>
    <t>NV columns containing necessary data</t>
  </si>
  <si>
    <t>Blue Background</t>
  </si>
  <si>
    <t>NV/EFS columns containing notes/comments</t>
  </si>
  <si>
    <t>Yellow background</t>
  </si>
  <si>
    <t>EFS listing (as opposed to NV)</t>
  </si>
  <si>
    <t>Purple background</t>
  </si>
  <si>
    <t>MultiSIM listing</t>
  </si>
  <si>
    <t>Grey background</t>
  </si>
  <si>
    <t>Placeholder (Listing present in spreadsheet only. Data is not a part of MBN )</t>
  </si>
  <si>
    <t>Blue Font (any background)</t>
  </si>
  <si>
    <t>Recently changed item</t>
  </si>
  <si>
    <t>GoogleSuplCertificateGeo.cer</t>
  </si>
  <si>
    <t>/SUPL/GoogleSuplCertificateGeo.cer</t>
  </si>
  <si>
    <t>modem_proc\mcfg\mcfg_gen\scripts\data\efs_files\GoogleSuplCertificateGeo.cer</t>
  </si>
  <si>
    <t>TRM Configuration</t>
  </si>
  <si>
    <t>trm_config</t>
  </si>
  <si>
    <t>trm_config.rf_config</t>
  </si>
  <si>
    <t>trm_config.mask</t>
  </si>
  <si>
    <t>GNSS OEM Feature Mask</t>
  </si>
  <si>
    <t>gnss_OEM_Feature_Mask</t>
  </si>
  <si>
    <t>AAGPS Emergency Services Support</t>
  </si>
  <si>
    <t>aagps_emergency_services_spprt</t>
  </si>
  <si>
    <t>AAGPS_NV_EMERGENCY_SUPPORT_LOW_PRIORITY</t>
  </si>
  <si>
    <t>TDD/FDD Intermode FGI</t>
  </si>
  <si>
    <t>/nv/item_files/modem/lte/rrc/cap/diff_fdd_tdd_fgi_enable</t>
  </si>
  <si>
    <t>modem_proc\mcfg\mcfg_gen\scripts\data\efs_files\cu\diff_fdd_tdd_fgi_enable</t>
  </si>
  <si>
    <t>GNSS NV EFS SM E911 Config</t>
  </si>
  <si>
    <t>/nv/item_files/gps/cgps/sm/gnss_nv_efs_sm_e911_config</t>
  </si>
  <si>
    <t>TM_CORE_DONT_ABORT_GPS_SESSION_ON_E911</t>
  </si>
  <si>
    <t>MMGSDI Features Status List</t>
  </si>
  <si>
    <t>/nv/item_files/modem/uim/mmgsdi/features_status_list</t>
  </si>
  <si>
    <t>modem_proc\mcfg\mcfg_gen\scripts\data\efs_files\cu\features_status_list</t>
  </si>
  <si>
    <t>CU</t>
  </si>
  <si>
    <t>Generic</t>
  </si>
  <si>
    <t>China</t>
  </si>
  <si>
    <t>Carrier</t>
  </si>
  <si>
    <t>0x00001200</t>
  </si>
  <si>
    <t>XTRA-T Feature Control</t>
  </si>
  <si>
    <t>/nv/item_files/gps/cgps/ulp/tle/gnss_xtrat_feature_control</t>
  </si>
  <si>
    <t>QC_version_type</t>
  </si>
  <si>
    <t>QC_version_len</t>
  </si>
  <si>
    <t>QC_version</t>
  </si>
  <si>
    <t>CU_DS_CSFB_G</t>
  </si>
  <si>
    <t>CU_CSFB_SS</t>
  </si>
  <si>
    <t>0x18008000045</t>
  </si>
  <si>
    <t>65633 to 0x18008000045 to enable B1/B3/B7/B28/B41</t>
  </si>
  <si>
    <t>65633 to0x18008000045 to enable B1/B3/B7/B28/B41</t>
  </si>
  <si>
    <t>0xFF7F</t>
  </si>
  <si>
    <t>GPSOne Lock</t>
  </si>
  <si>
    <t>gps1_lock</t>
  </si>
  <si>
    <t>AAGPS Use Transport Security</t>
  </si>
  <si>
    <t>aagps_use_transport_security</t>
  </si>
  <si>
    <t>GNSS NMEA Sentence Type</t>
  </si>
  <si>
    <t>gnss_nmea_sentence_type</t>
  </si>
  <si>
    <t>0x3F</t>
  </si>
  <si>
    <t>GNSS NMEA Extended Sentence Type</t>
  </si>
  <si>
    <t>gnss_nmea_extended_sentence_type</t>
  </si>
  <si>
    <t>CGPS MO Method</t>
  </si>
  <si>
    <t>cgps_mo_method</t>
  </si>
  <si>
    <t>GPSOne Seed Position Option</t>
  </si>
  <si>
    <t>gps1_seedpos_option</t>
  </si>
  <si>
    <t>GPSOne XTRA Time Info Enabled</t>
  </si>
  <si>
    <t>gps1_xtra_time_info_enabled</t>
  </si>
  <si>
    <t>GPSOne XTRA Enabled</t>
  </si>
  <si>
    <t>gps1_xtra_enabled</t>
  </si>
  <si>
    <t>GPSOne XTRA Download Interval</t>
  </si>
  <si>
    <t>gps1_xtra_download_interval</t>
  </si>
  <si>
    <t>GPSOne XTRA Number Of Download Attempts</t>
  </si>
  <si>
    <t>gps1_xtra_num_download_attempts</t>
  </si>
  <si>
    <t>CGPS UMTS PDE Server Address URL</t>
  </si>
  <si>
    <t>cgps_umts_pde_server_addr_url</t>
  </si>
  <si>
    <t>supl.google.com:7275</t>
  </si>
  <si>
    <t>Set this to Google Secure SSL SUPL Server</t>
  </si>
  <si>
    <t>GNSS SUPL Version</t>
  </si>
  <si>
    <t>gnss_supl_version</t>
  </si>
  <si>
    <t>Set SUPL version to SUPL 2.0</t>
  </si>
  <si>
    <t>GPSOne XTRA Time Between Attempts</t>
  </si>
  <si>
    <t>gps1_xtra_time_between_attempts</t>
  </si>
  <si>
    <t>GPSOne XTRA Auto Download Enabled</t>
  </si>
  <si>
    <t>gps1_xtra_auto_download_enabled</t>
  </si>
  <si>
    <t>GNSS AGPS RAT Preference</t>
  </si>
  <si>
    <t>/nv/item_files/gps/cgps/sm/gnss_agps_rat_pref_config</t>
  </si>
  <si>
    <t>read_pch_during_transfer_whitelist</t>
  </si>
  <si>
    <t>/nv/item_files/modem/geran/read_pch_during_transfer_whitelist</t>
  </si>
  <si>
    <t>l1_debug</t>
  </si>
  <si>
    <t>/nv/item_files/gsm/l1/l1_debug</t>
  </si>
  <si>
    <t>modem_proc\mcfg\mcfg_gen\scripts\data\efs_files\cu\read_pch_during_transfer_whitelist</t>
  </si>
  <si>
    <t>modem_proc\mcfg\mcfg_gen\scripts\data\efs_files\cu\l1_debug</t>
  </si>
  <si>
    <t>Policy Manager</t>
  </si>
  <si>
    <t>/policyman/carrier_policy.xml</t>
  </si>
  <si>
    <t>? NV#</t>
  </si>
  <si>
    <t>/Data_Profiles/Profile1</t>
  </si>
  <si>
    <t>modem_proc\mmcp\policyman\configurations\Carrier\OpenMarket\7+5_mode\CU\openMarket\carrier_policy.xml</t>
  </si>
  <si>
    <t>All configs</t>
  </si>
  <si>
    <t>Test-Lab</t>
  </si>
  <si>
    <t>Test-Lab-CU</t>
  </si>
  <si>
    <t>modem_proc\mcfg\mcfg_gen\scripts\data\efs_files\cu\rat_acq_order.tot</t>
  </si>
  <si>
    <t>OpenMkt-Commercial</t>
  </si>
  <si>
    <t>Subsidized-Commercial</t>
  </si>
  <si>
    <t>OpenMkt-Commercial-CU</t>
  </si>
  <si>
    <t>Subsidized-Commercial-CU</t>
  </si>
  <si>
    <t>PDP Profile 2</t>
  </si>
  <si>
    <t>/Data_Profiles/Profile2</t>
  </si>
  <si>
    <t>modem_proc\mcfg\mcfg_gen\scripts\data\efs_files\cu\profile2</t>
  </si>
  <si>
    <t>APN = 3GWAP</t>
  </si>
  <si>
    <t>PDP Profile 3</t>
  </si>
  <si>
    <t>/Data_Profiles/Profile3</t>
  </si>
  <si>
    <t>modem_proc\mcfg\mcfg_gen\scripts\data\efs_files\cu\profile3</t>
  </si>
  <si>
    <t>APN = WONET</t>
  </si>
  <si>
    <t>Configure attach profile list</t>
  </si>
  <si>
    <t>/data/ds_dsd_attach_profile.txt</t>
  </si>
  <si>
    <t>modem_proc\mcfg\mcfg_gen\scripts\data\efs_files\cu\ds_dsd_attach_profile.txt</t>
  </si>
  <si>
    <t>MCFG.MPSS.7.0</t>
  </si>
  <si>
    <t>WCDMA RRC Idle Feature</t>
  </si>
  <si>
    <t>/nv/item_files/wcdma/rrc/wcdma_rrc_idle_feature</t>
  </si>
  <si>
    <t>0x1F</t>
  </si>
  <si>
    <t>modem_proc\mmcp\policyman\configurations\Carrier\CU\CSFB\subsidized\carrier_policy.xml</t>
  </si>
  <si>
    <t>Secondary ACQ DB</t>
  </si>
  <si>
    <t>/nv/reg_files/modem/lte/rrc/csp/pref_freq_list</t>
  </si>
  <si>
    <t>modem_proc\mcfg\mcfg_gen\scripts\data\efs_files\cu\pref_freq_list</t>
  </si>
  <si>
    <t>pref_freq_list</t>
  </si>
  <si>
    <t>msim_enable_cat9 </t>
  </si>
  <si>
    <t>/nv/item_files/modem/lte/rrc/cap/msim_enable_cat9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</si>
  <si>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</si>
  <si>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</si>
  <si>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</si>
  <si>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</si>
  <si>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</si>
  <si>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</si>
  <si>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</si>
  <si>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OpenMkt-Commercial 0x0501150A
Test-Lab 0x05011507
Subsidized-Commercial 0x0501150B</t>
  </si>
  <si>
    <t>7+5 changes for OPPO CPL, base changes taken from MPSS.TA.2.0-00361-8952_GEN_TEST-2</t>
  </si>
  <si>
    <t>OpenMkt-Commercial:0x0501150B
Test-Lab:0x05011508
Subsidized-Commercial:0x0501150C</t>
  </si>
  <si>
    <t>MCFG Updates</t>
  </si>
  <si>
    <t>Update new PM changes for CR 878752, updated version &amp; missing efs files</t>
  </si>
  <si>
    <t>460-01,460-09</t>
  </si>
  <si>
    <t>OpenMkt-Commercial:0x05011500
Test-Lab:0x05011510
Subsidized-Commercial:0x05011520</t>
  </si>
  <si>
    <t>Removal of extra mask 0x03 for the nv#65633.</t>
  </si>
  <si>
    <t>OpenMkt-Commercial:0x05011501</t>
  </si>
  <si>
    <t>Carrier Policy XML updates with PM CR 910938</t>
  </si>
  <si>
    <t>Operator Name For Enabling QRD Features</t>
  </si>
  <si>
    <t>/nv/item_files/modem/mmode/operator_name</t>
  </si>
  <si>
    <t>operator_name</t>
  </si>
  <si>
    <t>OpenMkt-Commercial:0x05011502
Test-Lab:0x05011511
Subsidized-Commercial:0x05011521</t>
  </si>
  <si>
    <t>Operator name updates to CU MBNs</t>
  </si>
  <si>
    <t>460-01,460-09,460-06</t>
  </si>
  <si>
    <t>Open market MBNs’ IIN or MCC/MNC are not same as expectation</t>
  </si>
  <si>
    <t>OpenMkt-Commercial:0x05011503</t>
  </si>
  <si>
    <t>0x29</t>
  </si>
  <si>
    <t>OpenMkt-Commercial:0x05011504
Subsidized-Commercial:0x05011522</t>
  </si>
  <si>
    <t>Reopening to fix the missed changes</t>
  </si>
  <si>
    <t>OpenMkt-Commercial:0x05011505
Test-Lab:0x05011512
Subsidized-Commercial:0x05011523</t>
  </si>
  <si>
    <t>NV850 Removed</t>
  </si>
  <si>
    <t>OpenMkt-Commercial:0x05011506
Subsidized-Commercial:0x05011524</t>
  </si>
  <si>
    <t>Removed update_band_range from CMCC/CT/CU &amp; added the same to hw_mbn</t>
  </si>
  <si>
    <t>898601, 898606, 898609</t>
  </si>
  <si>
    <t>OpenMkt-Commercial:0x05011506
Test-Lab:0x05011513
Subsidized-Commercial:0x05011524</t>
  </si>
  <si>
    <t>Add 898606 and 898609 to all CU MBN, Remove 898606 from any CMCC/CT MBN.</t>
  </si>
  <si>
    <t>/nv/item_files/wcdma/rrc/wcdma_rrc_feature</t>
  </si>
  <si>
    <t>CU MBN all updates</t>
  </si>
  <si>
    <t>Corrected efs path for NV 65693</t>
  </si>
  <si>
    <t>OpenMkt-Commercial:0x05011509
Test-Lab:0x05011514
Subsidized-Commercial:0x05011526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</si>
  <si>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</si>
  <si>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</si>
  <si>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</si>
  <si>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</si>
  <si>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</si>
  <si>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</si>
  <si>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0x00000008</t>
  </si>
  <si>
    <t>0x00000002</t>
  </si>
  <si>
    <t>FR31322: Support requirement for CMCC  Open Mkt and Subsidized phones with a single SKU.</t>
  </si>
  <si>
    <t>atcop_cops_auto_mode.txt</t>
  </si>
  <si>
    <t>/ds/atcop/atcop_cops_auto_mode.txt</t>
  </si>
  <si>
    <t>modem_proc\mcfg\mcfg_gen\scripts\data\efs_files\cu\atcop_cops_auto_mode.txt</t>
  </si>
  <si>
    <t>Test-Lab0x05011516</t>
  </si>
  <si>
    <t>Added atcop file</t>
  </si>
  <si>
    <t>NV-10 Update</t>
  </si>
  <si>
    <t>OpenMkt-Commercial:0x0501150B
Test-Lab:0x05011517
Subsidized-Commercial:0x05011528</t>
  </si>
  <si>
    <t>OpenMkt-Commercial:0x0501150C
Subsidized-Commercial:0x05011529</t>
  </si>
  <si>
    <t>PM XML Update</t>
  </si>
  <si>
    <t>NAS  Reg NV Items</t>
  </si>
  <si>
    <t xml:space="preserve">/nv/item_files/modem/nas/reg_nv_items </t>
  </si>
  <si>
    <t>version</t>
  </si>
  <si>
    <t>is_hplmn_has_to_be_selected</t>
  </si>
  <si>
    <t>is_roaming_on_in_eplmn</t>
  </si>
  <si>
    <t>is_sim_invalid_recovery_enabled</t>
  </si>
  <si>
    <t>is_camp_on_2g_if_reg_failure</t>
  </si>
  <si>
    <t>is_pseudo_reselection_allowed</t>
  </si>
  <si>
    <t>is_w_bplmn_pseudo_enabled</t>
  </si>
  <si>
    <t>Reserved bytes</t>
  </si>
  <si>
    <t>Added Nv 72509</t>
  </si>
  <si>
    <t>OpenMkt-Commercial:0x0501150D
Test-Lab:0x05011518
Subsidized-Commercial:0x0501152A</t>
  </si>
  <si>
    <t>emergency_call_1x_scan_first</t>
  </si>
  <si>
    <t>/sd/emergency_call_1x_scan_first</t>
  </si>
  <si>
    <t>OpenMkt-Commercial:0x0501150E</t>
  </si>
  <si>
    <t>Added NV-73825</t>
  </si>
  <si>
    <t>APN = null</t>
  </si>
  <si>
    <t>APN = 3GNET</t>
  </si>
  <si>
    <t>PDP Profile 4</t>
  </si>
  <si>
    <t>PDP Profile 5</t>
  </si>
  <si>
    <t>PDP Profile 6</t>
  </si>
  <si>
    <t>/Data_Profiles/Profile4</t>
  </si>
  <si>
    <t>/Data_Profiles/Profile5</t>
  </si>
  <si>
    <t>/Data_Profiles/Profile6</t>
  </si>
  <si>
    <t>modem_proc\mcfg\mcfg_gen\scripts\data\efs_files\cu\profile4</t>
  </si>
  <si>
    <t>modem_proc\mcfg\mcfg_gen\scripts\data\efs_files\cu\profile5</t>
  </si>
  <si>
    <t>modem_proc\mcfg\mcfg_gen\scripts\data\efs_files\cu\profile6</t>
  </si>
  <si>
    <t>APN = IMS</t>
  </si>
  <si>
    <t>APN = SOS</t>
  </si>
  <si>
    <t>Disable APN matching</t>
  </si>
  <si>
    <t>/nv/item_files/modem/data/3gpp/lteps/disable_apn_matching</t>
  </si>
  <si>
    <t>disable_apn_matching</t>
  </si>
  <si>
    <t>data profiles update</t>
  </si>
  <si>
    <t>OpenMkt-Commercial:0x0501150F
Test-Lab:0x05011519
Subsidized-Commercial:0x0501152B</t>
  </si>
  <si>
    <t>CU_VoLTE</t>
  </si>
  <si>
    <t>NAS SRVCC Support</t>
  </si>
  <si>
    <t>/nv/item_files/modem/nas/nas_srvcc_support</t>
  </si>
  <si>
    <t>As of now Modem default; to be modified if support for SRVCC handover from UTRA PS HS to UTRA CS I will be added</t>
  </si>
  <si>
    <t>/nv/item_files/wcdma/wcdma_rrc_feature</t>
  </si>
  <si>
    <t>Operator name for enabling QRD features</t>
  </si>
  <si>
    <t>WCDMA RRC Fast Return To LTE After CSFB Enabled</t>
  </si>
  <si>
    <t>/nv/item_files/wcdma/rrc/wcdma_rrc_fast_return_to_lte_after_csfb</t>
  </si>
  <si>
    <t>This is for specific "Fast Return to LTE" feature, 0 -- Disable1 -- Enable</t>
  </si>
  <si>
    <t>WCDMA RRC Fast Return To LTE After CSFB Timer</t>
  </si>
  <si>
    <t>/nv/item_files/wcdma/rrc/wcdma_rrc_fast_return_to_lte_after_csfb_timer</t>
  </si>
  <si>
    <t>default value is 2000</t>
  </si>
  <si>
    <t>GSM→LTE Blind Redirection after CSFB Calls</t>
  </si>
  <si>
    <t>/nv/item_files/modem/geran/grr/g2l_blind_redir_after_csfb_control</t>
  </si>
  <si>
    <t>/nv/item_files/modem/lte/rrc/irat/gsm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</si>
  <si>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</si>
  <si>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</si>
  <si>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</si>
  <si>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</si>
  <si>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</si>
  <si>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</si>
  <si>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PS Supplementary Service Domain Preference</t>
  </si>
  <si>
    <t>/nv/item_files/modem/mmode/supplement_service_domain_pref</t>
  </si>
  <si>
    <t>Wlan Offload Config</t>
  </si>
  <si>
    <t>/nv/item_files/data/wlan_config/wlan_offload_config</t>
  </si>
  <si>
    <t>Mid call SRVCC</t>
  </si>
  <si>
    <t>/nv/item_files/modem/mmode/mid_call_srvcc_info</t>
  </si>
  <si>
    <t>Version</t>
  </si>
  <si>
    <t>ims_cache_expiry_duration</t>
  </si>
  <si>
    <t>mid_call_support</t>
  </si>
  <si>
    <t>ReservedBytes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</si>
  <si>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</si>
  <si>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</si>
  <si>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</si>
  <si>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</si>
  <si>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</si>
  <si>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</si>
  <si>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</si>
  <si>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</si>
  <si>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</si>
  <si>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</si>
  <si>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</si>
  <si>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</si>
  <si>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</si>
  <si>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NAS Ignore MT CSFB During VOLTE Call</t>
  </si>
  <si>
    <t>/nv/item_files/modem/mmode/lte_nas_ignore_mt_csfb_during_volte_call</t>
  </si>
  <si>
    <t>GROUP:IMS</t>
  </si>
  <si>
    <t>QIPCall Preferred URI Type</t>
  </si>
  <si>
    <t>/nv/item_files/ims/qipcall_confrd_uri</t>
  </si>
  <si>
    <t>qipcall_confrd_uri</t>
  </si>
  <si>
    <t>QIPCall DAN Enabled</t>
  </si>
  <si>
    <t>/nv/item_files/ims/qipcall_dan_enable</t>
  </si>
  <si>
    <t>qipall_dan_enable</t>
  </si>
  <si>
    <t>IMS Enable</t>
  </si>
  <si>
    <t>/nv/item_files/ims/IMS_enable</t>
  </si>
  <si>
    <t>IMS_enable</t>
  </si>
  <si>
    <t>IMS DPL Configuration</t>
  </si>
  <si>
    <t>/nv/item_files/ims/qp_ims_dpl_config</t>
  </si>
  <si>
    <t>PtimeValue</t>
  </si>
  <si>
    <t>IsPrivateIPV6AddrEnabled</t>
  </si>
  <si>
    <t>E911IPV6Enabled</t>
  </si>
  <si>
    <t>IPV6Enabled</t>
  </si>
  <si>
    <t>MSRPPktSz</t>
  </si>
  <si>
    <t>RUIMIMSIValue</t>
  </si>
  <si>
    <t>DscpValue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</si>
  <si>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</si>
  <si>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</si>
  <si>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</si>
  <si>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</si>
  <si>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</si>
  <si>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ims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</si>
  <si>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</si>
  <si>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</si>
  <si>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</si>
  <si>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</si>
  <si>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</si>
  <si>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</si>
  <si>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</si>
  <si>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RegNVPCSCFEnabled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</si>
  <si>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</si>
  <si>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</si>
  <si>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</si>
  <si>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</si>
  <si>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</si>
  <si>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</si>
  <si>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</si>
  <si>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5,5,5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</si>
  <si>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</si>
  <si>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</si>
  <si>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</si>
  <si>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</si>
  <si>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</si>
  <si>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</si>
  <si>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</si>
  <si>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</si>
  <si>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</si>
  <si>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</si>
  <si>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</si>
  <si>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</si>
  <si>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</si>
  <si>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0x80640E</t>
  </si>
  <si>
    <t>smsRATMaskString</t>
  </si>
  <si>
    <t>8414222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</si>
  <si>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</si>
  <si>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</si>
  <si>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</si>
  <si>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</si>
  <si>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</si>
  <si>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</si>
  <si>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</si>
  <si>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</si>
  <si>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</si>
  <si>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</si>
  <si>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</si>
  <si>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</si>
  <si>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</si>
  <si>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</si>
  <si>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</si>
  <si>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</si>
  <si>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</si>
  <si>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</si>
  <si>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</si>
  <si>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</si>
  <si>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</si>
  <si>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</si>
  <si>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</si>
  <si>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</si>
  <si>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</si>
  <si>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</si>
  <si>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</si>
  <si>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</si>
  <si>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</si>
  <si>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</si>
  <si>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</si>
  <si>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</si>
  <si>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</si>
  <si>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</si>
  <si>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</si>
  <si>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</si>
  <si>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</si>
  <si>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</si>
  <si>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</si>
  <si>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</si>
  <si>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</si>
  <si>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</si>
  <si>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</si>
  <si>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</si>
  <si>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</si>
  <si>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</si>
  <si>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</si>
  <si>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</si>
  <si>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</si>
  <si>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iTimer_TIValue</t>
  </si>
  <si>
    <t>iTimer_TKValue</t>
  </si>
  <si>
    <t>iTimer_TRelResponseRetry</t>
  </si>
  <si>
    <t>iTimer_TCValue</t>
  </si>
  <si>
    <t>pMCCCountryCode</t>
  </si>
  <si>
    <t>iDisableLocInfoInNormalCall</t>
  </si>
  <si>
    <t>IMS Operation mode</t>
  </si>
  <si>
    <t>/nv/item_files/ims/ims_operation_mode</t>
  </si>
  <si>
    <t>ims_operation_mode</t>
  </si>
  <si>
    <t>IMS QIPCall Config Items</t>
  </si>
  <si>
    <t>/nv/item_files/ims/qipcall_config_items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</si>
  <si>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</si>
  <si>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</si>
  <si>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</si>
  <si>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</si>
  <si>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</si>
  <si>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</si>
  <si>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</si>
  <si>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</si>
  <si>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</si>
  <si>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</si>
  <si>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</si>
  <si>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</si>
  <si>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</si>
  <si>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</si>
  <si>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</si>
  <si>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</si>
  <si>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</si>
  <si>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</si>
  <si>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</si>
  <si>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</si>
  <si>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</si>
  <si>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</si>
  <si>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</si>
  <si>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</si>
  <si>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</si>
  <si>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</si>
  <si>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</si>
  <si>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</si>
  <si>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</si>
  <si>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</si>
  <si>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</si>
  <si>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</si>
  <si>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</si>
  <si>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</si>
  <si>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</si>
  <si>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</si>
  <si>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</si>
  <si>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</si>
  <si>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</si>
  <si>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</si>
  <si>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</si>
  <si>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</si>
  <si>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</si>
  <si>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</si>
  <si>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</si>
  <si>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</si>
  <si>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</si>
  <si>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</si>
  <si>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</si>
  <si>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</si>
  <si>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</si>
  <si>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</si>
  <si>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</si>
  <si>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</si>
  <si>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0x3</t>
  </si>
  <si>
    <t>SRVCC bitmask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</si>
  <si>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</si>
  <si>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</si>
  <si>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</si>
  <si>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</si>
  <si>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</si>
  <si>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</si>
  <si>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</si>
  <si>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</si>
  <si>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</si>
  <si>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</si>
  <si>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</si>
  <si>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</si>
  <si>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</si>
  <si>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</si>
  <si>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</si>
  <si>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</si>
  <si>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</si>
  <si>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</si>
  <si>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</si>
  <si>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</si>
  <si>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</si>
  <si>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</si>
  <si>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</si>
  <si>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</si>
  <si>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</si>
  <si>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</si>
  <si>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</si>
  <si>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</si>
  <si>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</si>
  <si>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</si>
  <si>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igps_read_time_at_run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</si>
  <si>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</si>
  <si>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</si>
  <si>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</si>
  <si>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</si>
  <si>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</si>
  <si>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RTPredundancytime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</si>
  <si>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</si>
  <si>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</si>
  <si>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</si>
  <si>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</si>
  <si>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</si>
  <si>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</si>
  <si>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</si>
  <si>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</si>
  <si>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</si>
  <si>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</si>
  <si>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</si>
  <si>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</si>
  <si>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</si>
  <si>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</si>
  <si>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</si>
  <si>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</si>
  <si>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</si>
  <si>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</si>
  <si>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</si>
  <si>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</si>
  <si>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</si>
  <si>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</si>
  <si>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</si>
  <si>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</si>
  <si>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</si>
  <si>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</si>
  <si>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</si>
  <si>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</si>
  <si>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</si>
  <si>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</si>
  <si>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</si>
  <si>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</si>
  <si>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</si>
  <si>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</si>
  <si>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</si>
  <si>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</si>
  <si>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 xml:space="preserve">qipcall_callerid_mode </t>
  </si>
  <si>
    <t>VOIP</t>
  </si>
  <si>
    <t>/nv/item_files/ims/qp_ims_config</t>
  </si>
  <si>
    <t>tip_tir_mode</t>
  </si>
  <si>
    <t>ir_restricted_type</t>
  </si>
  <si>
    <t>OMA_DM_Services_Mask</t>
  </si>
  <si>
    <t>WFC_Status</t>
  </si>
  <si>
    <t>Call ModePreference</t>
  </si>
  <si>
    <t>ims_operation_submode</t>
  </si>
  <si>
    <t>iWFCRoaming</t>
  </si>
  <si>
    <t>QIPCall Is Conference Aware Mode</t>
  </si>
  <si>
    <t>/nv/item_files/ims/qipcall_is_conference_aware</t>
  </si>
  <si>
    <t>qipcall_is_conference_aware</t>
  </si>
  <si>
    <t>QIPCall QoS Enabled</t>
  </si>
  <si>
    <t>/nv/item_files/ims/qipcall_qos_enabled</t>
  </si>
  <si>
    <t>qipcall_qos_enabled</t>
  </si>
  <si>
    <t>QIPCall Precondition Enabled</t>
  </si>
  <si>
    <t>/nv/item_files/ims/qipcall_precondition_enable</t>
  </si>
  <si>
    <t>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</si>
  <si>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</si>
  <si>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</si>
  <si>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</si>
  <si>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</si>
  <si>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</si>
  <si>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qipcall_rtcp_reporting_interval</t>
  </si>
  <si>
    <t>QIPCall Domain Selection Enabled</t>
  </si>
  <si>
    <t>/nv/item_files/ims/qipcall_domain_selection_enable</t>
  </si>
  <si>
    <t>qipcall_domain_selection_enable</t>
  </si>
  <si>
    <t>QIPCall Ringing Timer</t>
  </si>
  <si>
    <t>/nv/item_files/ims/qipcall_ringing_timer</t>
  </si>
  <si>
    <t>qipcall_ringer_timer</t>
  </si>
  <si>
    <t>QIPCall Ringback Timer</t>
  </si>
  <si>
    <t>/nv/item_files/ims/qipcall_ringback_timer</t>
  </si>
  <si>
    <t>qipcall_ringback_timer</t>
  </si>
  <si>
    <t>QIPCall RTP Link Alivness Timer</t>
  </si>
  <si>
    <t>/nv/item_files/ims/qipcall_rtp_link_aliveness_timer</t>
  </si>
  <si>
    <t>qipcall_rtp_link_aliveness_timer</t>
  </si>
  <si>
    <t>QIPCall HD Voice Enabled</t>
  </si>
  <si>
    <t>/nv/item_files/ims/qipcall_enable_hd_voice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</si>
  <si>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</si>
  <si>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</si>
  <si>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</si>
  <si>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</si>
  <si>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 Codec Mode Set</t>
  </si>
  <si>
    <t>/nv/item_files/ims/qipcall_codec_mode_set</t>
  </si>
  <si>
    <t>qipcall_codec_mode_set</t>
  </si>
  <si>
    <t>QIPCall Codec Mode Set AMR-WB</t>
  </si>
  <si>
    <t>/nv/item_files/ims/qipcall_codec_mode_set_amr_wb</t>
  </si>
  <si>
    <t>qipcall_codec_mode_set_amr_wb</t>
  </si>
  <si>
    <t>QIPCall Octet Aligned Mode AMR-WB</t>
  </si>
  <si>
    <t>/nv/item_files/ims/qipcall_octet_aligned_mode_amr_wb</t>
  </si>
  <si>
    <t>qipcall_octet_aligned_mode_amr_wb</t>
  </si>
  <si>
    <t>QIPCall Octet Aligned Mode AMR-NB</t>
  </si>
  <si>
    <t>/nv/item_files/ims/qipcall_octet_aligned_mode_amr_nb</t>
  </si>
  <si>
    <t>qipcall_octet_aligned_mode_amr_nb</t>
  </si>
  <si>
    <t>qipcall_signal_strength_threshold</t>
  </si>
  <si>
    <t>/nv/item_files/ims/qipcall_signal_strength_threshold</t>
  </si>
  <si>
    <t>qp_ims_vt_4G_media_capability</t>
  </si>
  <si>
    <t>/nv/item_files/ims/qp_ims_vt_4G_media_capability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</si>
  <si>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</si>
  <si>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</si>
  <si>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</si>
  <si>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</si>
  <si>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</si>
  <si>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</si>
  <si>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</si>
  <si>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</si>
  <si>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</si>
  <si>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</si>
  <si>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</si>
  <si>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</si>
  <si>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</si>
  <si>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</si>
  <si>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</si>
  <si>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</si>
  <si>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</si>
  <si>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</si>
  <si>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</si>
  <si>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</si>
  <si>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</si>
  <si>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</si>
  <si>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</si>
  <si>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</si>
  <si>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</si>
  <si>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</si>
  <si>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</si>
  <si>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</si>
  <si>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</si>
  <si>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</si>
  <si>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</si>
  <si>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</si>
  <si>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</si>
  <si>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</si>
  <si>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</si>
  <si>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</si>
  <si>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</si>
  <si>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</si>
  <si>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</si>
  <si>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</si>
  <si>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</si>
  <si>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</si>
  <si>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</si>
  <si>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</si>
  <si>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</si>
  <si>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</si>
  <si>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</si>
  <si>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</si>
  <si>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</si>
  <si>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</si>
  <si>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</si>
  <si>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</si>
  <si>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</si>
  <si>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UT Specific Config</t>
  </si>
  <si>
    <t>/nv/item_files/ims/qp_ims_ut_config</t>
  </si>
  <si>
    <t>3gnet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</si>
  <si>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</si>
  <si>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</si>
  <si>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</si>
  <si>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</si>
  <si>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</si>
  <si>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</si>
  <si>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</si>
  <si>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</si>
  <si>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</si>
  <si>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</si>
  <si>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</si>
  <si>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</si>
  <si>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</si>
  <si>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</si>
  <si>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</si>
  <si>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</si>
  <si>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</si>
  <si>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</si>
  <si>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</si>
  <si>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</si>
  <si>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</si>
  <si>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</si>
  <si>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</si>
  <si>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</si>
  <si>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</si>
  <si>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</si>
  <si>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</si>
  <si>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</si>
  <si>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</si>
  <si>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</si>
  <si>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</si>
  <si>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</si>
  <si>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</si>
  <si>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</si>
  <si>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</si>
  <si>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</si>
  <si>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</si>
  <si>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</si>
  <si>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</si>
  <si>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</si>
  <si>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</si>
  <si>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</si>
  <si>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</si>
  <si>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</si>
  <si>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</si>
  <si>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</si>
  <si>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</si>
  <si>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</si>
  <si>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</si>
  <si>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</si>
  <si>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</si>
  <si>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</si>
  <si>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</si>
  <si>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</si>
  <si>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</si>
  <si>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</si>
  <si>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</si>
  <si>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</si>
  <si>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</si>
  <si>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</si>
  <si>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</si>
  <si>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</si>
  <si>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</si>
  <si>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</si>
  <si>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</si>
  <si>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</si>
  <si>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</si>
  <si>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</si>
  <si>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</si>
  <si>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</si>
  <si>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</si>
  <si>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</si>
  <si>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</si>
  <si>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</si>
  <si>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</si>
  <si>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0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</si>
  <si>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</si>
  <si>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</si>
  <si>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</si>
  <si>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</si>
  <si>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</si>
  <si>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</si>
  <si>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</si>
  <si>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</si>
  <si>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</si>
  <si>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</si>
  <si>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</si>
  <si>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</si>
  <si>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</si>
  <si>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</si>
  <si>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</si>
  <si>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</si>
  <si>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</si>
  <si>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</si>
  <si>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</si>
  <si>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</si>
  <si>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</si>
  <si>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</si>
  <si>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</si>
  <si>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</si>
  <si>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</si>
  <si>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</si>
  <si>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</si>
  <si>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</si>
  <si>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</si>
  <si>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</si>
  <si>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</si>
  <si>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</si>
  <si>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</si>
  <si>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</si>
  <si>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</si>
  <si>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</si>
  <si>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 Test Mode</t>
  </si>
  <si>
    <t>/nv/item_files/ims/qp_ims_test_mode</t>
  </si>
  <si>
    <t>IMS Cell ID</t>
  </si>
  <si>
    <t>/nv/item_files/ims/qp_ims_cellid</t>
  </si>
  <si>
    <t>CellId &lt; version 1 &gt;</t>
  </si>
  <si>
    <t>IMS QP USSD Config</t>
  </si>
  <si>
    <t>/nv/item_files/ims/qp_ims_ussd_config</t>
  </si>
  <si>
    <t>USSDEnable</t>
  </si>
  <si>
    <t>QIPCALL QOS Reservation Timer</t>
  </si>
  <si>
    <t>/nv/item_files/ims/qipcall_qos_reservation_timer</t>
  </si>
  <si>
    <t>QOS reservation timer</t>
  </si>
  <si>
    <t>VOIP Preferred Codec</t>
  </si>
  <si>
    <t>/nv/item_files/ims/voip_prfrd_codec</t>
  </si>
  <si>
    <t>QIPCall Quality Selector</t>
  </si>
  <si>
    <t>/nv/item_files/ims/qipcall_vt_quality_selector</t>
  </si>
  <si>
    <t>QIPCall QOS Config</t>
  </si>
  <si>
    <t>/nv/item_files/ims/qipcall_qos_config</t>
  </si>
  <si>
    <t>LocalQoSAudio</t>
  </si>
  <si>
    <t>LocalQoSVideo</t>
  </si>
  <si>
    <t>QoSInactiveInvite &lt; version 1 &gt;</t>
  </si>
  <si>
    <t>QoSInactiveReInvite &lt; version 1 &gt;</t>
  </si>
  <si>
    <t>/efsprofiles/imshandoverconfig</t>
  </si>
  <si>
    <t>modem_proc\mcfg\mcfg_gen\scripts\data\efs_files\cu\imshandoverconfig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</si>
  <si>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</si>
  <si>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</si>
  <si>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</si>
  <si>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</si>
  <si>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</si>
  <si>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</si>
  <si>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</si>
  <si>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</si>
  <si>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</si>
  <si>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 REGManager Extended Configuration</t>
  </si>
  <si>
    <t>unit8</t>
  </si>
  <si>
    <t>5            </t>
  </si>
  <si>
    <t>unit16</t>
  </si>
  <si>
    <t>60          </t>
  </si>
  <si>
    <t>RegConfigNetworkInitiatedDeRegTimer </t>
  </si>
  <si>
    <t>0            </t>
  </si>
  <si>
    <t>Tdelay  </t>
  </si>
  <si>
    <t>iEmerIPFallback</t>
  </si>
  <si>
    <t>RegConfigPdnRecoveryImmediateTimer </t>
  </si>
  <si>
    <t>iRegRetryBaseTime         </t>
  </si>
  <si>
    <t>unit17</t>
  </si>
  <si>
    <t>iRegRetryMaxTime         </t>
  </si>
  <si>
    <t>signed Enum</t>
  </si>
  <si>
    <t>2            </t>
  </si>
  <si>
    <t>QPE_ENABLE_REG_INLPM_ON  </t>
  </si>
  <si>
    <t>eEnableRegInLPM           </t>
  </si>
  <si>
    <t>UE Based Call Waiting</t>
  </si>
  <si>
    <t>/nv/item_files/modem/mmode/ue_based_cw</t>
  </si>
  <si>
    <t>use_ue_based_cw</t>
  </si>
  <si>
    <t>is_enabled</t>
  </si>
  <si>
    <t>460-01,460-06,460-09</t>
  </si>
  <si>
    <t>0x00000004</t>
  </si>
  <si>
    <t>Addition of CU_VoLTE MBN from the RCI Build path //depot/SBA/users/lteswint/ebf/mpl/BF-ENG-MCFG-CU-MPSS.TA.2.3-00164-8953_GEN_TEST-1/modem_proc/mcfg/mcfg_gen/generic/China/CU/mcfg_sw_gen_VoLTE-Commercial.xml</t>
  </si>
  <si>
    <t>VoLTE_OpnMkt-Commercial:0x05011530</t>
  </si>
  <si>
    <t>VoLTE_OpnMkt-Commercial</t>
  </si>
  <si>
    <t>IMS Handover Config</t>
  </si>
  <si>
    <t>Modify VoLTE to VoWIFi RSRQ and SINR handover triggers in IMSHO config file</t>
  </si>
  <si>
    <t>VoLTE_OpnMkt-Commercial:0x05011531</t>
  </si>
  <si>
    <t>VoLTE_OpnMkt-Commercial:0x05011532</t>
  </si>
  <si>
    <t>imshandoverconfig file update</t>
  </si>
  <si>
    <t>VoLTE_OpnMkt-Commercial:0x05011533</t>
  </si>
  <si>
    <t>VoLTE_OpnMkt-Commercial:0x05011534</t>
  </si>
  <si>
    <t>0x05011500</t>
  </si>
  <si>
    <t>multiple NV updates</t>
  </si>
  <si>
    <t xml:space="preserve">Note - this is uint8/boolean, QXDM does not show it properly ,,, 0x01 - SAIC and eSAIC ON (default)0X09 SAIC and eSAIC OFF (conventional receiver)0x11 - SAIC ON for CS-voice only </t>
  </si>
  <si>
    <t>CU VoLTE MBN NV item attributes need review for MSIM scenario - Removed 1896 - all other NV/EFS is set to 0x19.</t>
  </si>
  <si>
    <t>NV 71527</t>
  </si>
  <si>
    <t>NV 69750 changes</t>
  </si>
  <si>
    <t>0x05011511</t>
  </si>
  <si>
    <t>0x05011521</t>
  </si>
  <si>
    <t>15thNOV</t>
  </si>
  <si>
    <t>FR 27584: Secondary ACQ_DB with EARFCNs of Home Operator</t>
  </si>
  <si>
    <t>OpenMkt-Commercial: 0x05011511                                 Subsidized-Commercial: 0x05011521</t>
  </si>
  <si>
    <t>17/11/2016</t>
  </si>
  <si>
    <t>Removed - NV 850</t>
  </si>
  <si>
    <t>0x05011535</t>
  </si>
  <si>
    <t>VoLTE_OpnMkt-Commercial:0x05011535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</si>
</sst>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6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b/>
      <sz val="10"/>
      <color theme="1"/>
      <name val="Arial"/>
      <family val="2"/>
    </font>
    <font>
      <sz val="10"/>
      <color rgb="FF0070C0"/>
      <name val="Gill Sans MT"/>
      <family val="2"/>
      <scheme val="major"/>
    </font>
    <font>
      <sz val="12"/>
      <color theme="1"/>
      <name val="Gill Sans MT"/>
      <family val="2"/>
      <scheme val="minor"/>
    </font>
    <font>
      <sz val="12"/>
      <color theme="1"/>
      <name val="Arial"/>
      <family val="2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1"/>
      <name val="Gill Sans MT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1835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70" fillId="0" borderId="0"/>
    <xf numFmtId="49" fontId="75" fillId="0" borderId="22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70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339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8" xfId="0" applyFont="1" applyBorder="1" applyAlignment="1">
      <alignment horizontal="left" indent="1"/>
    </xf>
    <xf numFmtId="0" fontId="58" fillId="2" borderId="6" xfId="0" applyFont="1" applyFill="1" applyBorder="1" applyAlignment="1">
      <alignment horizontal="center"/>
    </xf>
    <xf numFmtId="0" fontId="58" fillId="2" borderId="6" xfId="0" applyFont="1" applyFill="1" applyBorder="1" applyAlignment="1">
      <alignment horizontal="left" indent="1"/>
    </xf>
    <xf numFmtId="0" fontId="62" fillId="0" borderId="0" xfId="0" applyFont="1" applyFill="1" applyAlignment="1">
      <alignment vertical="center"/>
    </xf>
    <xf numFmtId="0" fontId="64" fillId="0" borderId="0" xfId="0" applyFont="1"/>
    <xf numFmtId="0" fontId="58" fillId="2" borderId="5" xfId="0" applyFont="1" applyFill="1" applyBorder="1" applyAlignment="1">
      <alignment horizontal="left" wrapText="1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58" fillId="2" borderId="5" xfId="0" applyFont="1" applyFill="1" applyBorder="1" applyAlignment="1">
      <alignment horizontal="center"/>
    </xf>
    <xf numFmtId="0" fontId="0" fillId="0" borderId="0" xfId="0"/>
    <xf numFmtId="0" fontId="59" fillId="0" borderId="0" xfId="0" applyFont="1"/>
    <xf numFmtId="0" fontId="59" fillId="0" borderId="0" xfId="0" applyFont="1" applyBorder="1"/>
    <xf numFmtId="0" fontId="66" fillId="0" borderId="8" xfId="0" applyFont="1" applyBorder="1" applyAlignment="1">
      <alignment horizontal="left" indent="1"/>
    </xf>
    <xf numFmtId="0" fontId="59" fillId="0" borderId="2" xfId="0" applyFont="1" applyBorder="1"/>
    <xf numFmtId="0" fontId="59" fillId="0" borderId="16" xfId="0" applyFont="1" applyBorder="1"/>
    <xf numFmtId="0" fontId="58" fillId="2" borderId="17" xfId="0" applyFont="1" applyFill="1" applyBorder="1" applyAlignment="1">
      <alignment horizontal="left" indent="1"/>
    </xf>
    <xf numFmtId="0" fontId="58" fillId="2" borderId="17" xfId="0" applyFont="1" applyFill="1" applyBorder="1" applyAlignment="1">
      <alignment horizontal="left" wrapText="1"/>
    </xf>
    <xf numFmtId="0" fontId="59" fillId="0" borderId="0" xfId="0" applyFont="1" applyBorder="1" applyAlignment="1">
      <alignment wrapText="1"/>
    </xf>
    <xf numFmtId="0" fontId="59" fillId="0" borderId="15" xfId="0" applyFont="1" applyBorder="1"/>
    <xf numFmtId="0" fontId="60" fillId="0" borderId="0" xfId="0" applyFont="1" applyAlignment="1">
      <alignment horizontal="right"/>
    </xf>
    <xf numFmtId="0" fontId="68" fillId="0" borderId="0" xfId="0" applyFont="1" applyBorder="1"/>
    <xf numFmtId="0" fontId="74" fillId="0" borderId="7" xfId="0" applyFont="1" applyBorder="1" applyAlignment="1">
      <alignment horizontal="left" indent="1"/>
    </xf>
    <xf numFmtId="0" fontId="73" fillId="0" borderId="20" xfId="0" applyFont="1" applyBorder="1" applyAlignment="1">
      <alignment horizontal="left" indent="1"/>
    </xf>
    <xf numFmtId="0" fontId="70" fillId="0" borderId="0" xfId="0" applyFont="1" applyFill="1"/>
    <xf numFmtId="0" fontId="58" fillId="0" borderId="0" xfId="0" applyFont="1" applyAlignment="1">
      <alignment horizontal="left" indent="1"/>
    </xf>
    <xf numFmtId="0" fontId="73" fillId="0" borderId="20" xfId="0" applyFont="1" applyBorder="1"/>
    <xf numFmtId="0" fontId="73" fillId="0" borderId="0" xfId="0" applyFont="1"/>
    <xf numFmtId="0" fontId="61" fillId="4" borderId="2" xfId="0" applyFont="1" applyFill="1" applyBorder="1" applyAlignment="1">
      <alignment horizontal="centerContinuous"/>
    </xf>
    <xf numFmtId="14" fontId="76" fillId="0" borderId="0" xfId="0" applyNumberFormat="1" applyFont="1" applyFill="1" applyAlignment="1">
      <alignment horizontal="left" indent="1"/>
    </xf>
    <xf numFmtId="0" fontId="76" fillId="0" borderId="0" xfId="0" applyFont="1" applyFill="1" applyAlignment="1">
      <alignment horizontal="left" indent="1"/>
    </xf>
    <xf numFmtId="0" fontId="53" fillId="5" borderId="20" xfId="15" applyBorder="1"/>
    <xf numFmtId="0" fontId="53" fillId="5" borderId="20" xfId="15" applyBorder="1" applyAlignment="1">
      <alignment horizontal="left" indent="1"/>
    </xf>
    <xf numFmtId="0" fontId="53" fillId="5" borderId="20" xfId="15" applyBorder="1" applyAlignment="1">
      <alignment wrapText="1"/>
    </xf>
    <xf numFmtId="0" fontId="72" fillId="5" borderId="20" xfId="15" applyFont="1" applyBorder="1"/>
    <xf numFmtId="0" fontId="72" fillId="5" borderId="20" xfId="15" applyFont="1" applyBorder="1" applyAlignment="1">
      <alignment wrapText="1"/>
    </xf>
    <xf numFmtId="0" fontId="61" fillId="4" borderId="4" xfId="0" applyFont="1" applyFill="1" applyBorder="1" applyAlignment="1">
      <alignment horizontal="centerContinuous"/>
    </xf>
    <xf numFmtId="0" fontId="60" fillId="4" borderId="5" xfId="0" applyFont="1" applyFill="1" applyBorder="1" applyAlignment="1">
      <alignment horizontal="centerContinuous"/>
    </xf>
    <xf numFmtId="0" fontId="66" fillId="0" borderId="0" xfId="0" applyFont="1"/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20" xfId="0" applyBorder="1"/>
    <xf numFmtId="0" fontId="0" fillId="0" borderId="20" xfId="0" applyBorder="1" applyAlignment="1">
      <alignment horizontal="left" indent="1"/>
    </xf>
    <xf numFmtId="0" fontId="0" fillId="0" borderId="0" xfId="0" applyBorder="1"/>
    <xf numFmtId="0" fontId="70" fillId="0" borderId="0" xfId="0" applyFont="1" applyBorder="1"/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9" fillId="0" borderId="0" xfId="0" applyFont="1" applyAlignment="1"/>
    <xf numFmtId="0" fontId="0" fillId="0" borderId="0" xfId="0" applyAlignment="1">
      <alignment horizontal="left"/>
    </xf>
    <xf numFmtId="0" fontId="66" fillId="0" borderId="0" xfId="0" applyFont="1" applyFill="1" applyBorder="1" applyAlignment="1">
      <alignment horizontal="center"/>
    </xf>
    <xf numFmtId="0" fontId="59" fillId="0" borderId="8" xfId="0" applyFont="1" applyBorder="1" applyAlignment="1">
      <alignment horizontal="left" indent="1"/>
    </xf>
    <xf numFmtId="0" fontId="58" fillId="2" borderId="10" xfId="0" applyFont="1" applyFill="1" applyBorder="1" applyAlignment="1">
      <alignment horizontal="left" indent="1"/>
    </xf>
    <xf numFmtId="0" fontId="65" fillId="0" borderId="0" xfId="0" applyFont="1"/>
    <xf numFmtId="0" fontId="58" fillId="2" borderId="5" xfId="0" applyFont="1" applyFill="1" applyBorder="1" applyAlignment="1">
      <alignment horizontal="left" indent="1"/>
    </xf>
    <xf numFmtId="0" fontId="58" fillId="2" borderId="4" xfId="0" applyFont="1" applyFill="1" applyBorder="1" applyAlignment="1">
      <alignment horizontal="left" indent="1"/>
    </xf>
    <xf numFmtId="0" fontId="59" fillId="0" borderId="0" xfId="0" applyFont="1" applyBorder="1" applyAlignment="1">
      <alignment horizontal="left" indent="1"/>
    </xf>
    <xf numFmtId="14" fontId="66" fillId="0" borderId="0" xfId="0" applyNumberFormat="1" applyFont="1" applyFill="1" applyBorder="1" applyAlignment="1">
      <alignment horizontal="left" indent="1"/>
    </xf>
    <xf numFmtId="14" fontId="0" fillId="0" borderId="0" xfId="0" applyNumberFormat="1" applyAlignment="1">
      <alignment horizontal="left" indent="1"/>
    </xf>
    <xf numFmtId="14" fontId="0" fillId="0" borderId="0" xfId="0" applyNumberFormat="1" applyBorder="1" applyAlignment="1">
      <alignment horizontal="left" indent="1"/>
    </xf>
    <xf numFmtId="0" fontId="74" fillId="0" borderId="0" xfId="0" applyFont="1"/>
    <xf numFmtId="0" fontId="63" fillId="3" borderId="0" xfId="0" applyFont="1" applyFill="1" applyAlignment="1">
      <alignment horizontal="centerContinuous" vertical="center"/>
    </xf>
    <xf numFmtId="0" fontId="59" fillId="0" borderId="0" xfId="0" applyFont="1"/>
    <xf numFmtId="0" fontId="66" fillId="0" borderId="0" xfId="0" applyFont="1" applyFill="1" applyBorder="1" applyAlignment="1">
      <alignment horizontal="left" wrapText="1"/>
    </xf>
    <xf numFmtId="0" fontId="61" fillId="4" borderId="4" xfId="0" applyFont="1" applyFill="1" applyBorder="1" applyAlignment="1">
      <alignment horizontal="centerContinuous" wrapText="1"/>
    </xf>
    <xf numFmtId="0" fontId="74" fillId="0" borderId="9" xfId="0" applyFont="1" applyBorder="1" applyAlignment="1">
      <alignment horizontal="left" indent="1"/>
    </xf>
    <xf numFmtId="0" fontId="58" fillId="2" borderId="10" xfId="0" applyFont="1" applyFill="1" applyBorder="1" applyAlignment="1">
      <alignment horizontal="centerContinuous"/>
    </xf>
    <xf numFmtId="0" fontId="58" fillId="2" borderId="24" xfId="0" applyFont="1" applyFill="1" applyBorder="1" applyAlignment="1">
      <alignment horizontal="left" indent="1"/>
    </xf>
    <xf numFmtId="0" fontId="58" fillId="2" borderId="25" xfId="0" applyFont="1" applyFill="1" applyBorder="1" applyAlignment="1">
      <alignment horizontal="left" indent="1"/>
    </xf>
    <xf numFmtId="0" fontId="59" fillId="0" borderId="7" xfId="0" applyFont="1" applyBorder="1"/>
    <xf numFmtId="0" fontId="63" fillId="3" borderId="0" xfId="0" applyFont="1" applyFill="1" applyAlignment="1">
      <alignment horizontal="center" vertical="center"/>
    </xf>
    <xf numFmtId="0" fontId="73" fillId="0" borderId="0" xfId="0" applyFont="1" applyBorder="1"/>
    <xf numFmtId="0" fontId="61" fillId="4" borderId="29" xfId="0" applyFont="1" applyFill="1" applyBorder="1" applyAlignment="1">
      <alignment horizontal="centerContinuous"/>
    </xf>
    <xf numFmtId="0" fontId="61" fillId="4" borderId="30" xfId="0" applyFont="1" applyFill="1" applyBorder="1" applyAlignment="1">
      <alignment horizontal="centerContinuous"/>
    </xf>
    <xf numFmtId="0" fontId="0" fillId="0" borderId="27" xfId="0" applyBorder="1" applyAlignment="1">
      <alignment horizontal="left" indent="1"/>
    </xf>
    <xf numFmtId="0" fontId="0" fillId="0" borderId="16" xfId="0" applyBorder="1"/>
    <xf numFmtId="0" fontId="0" fillId="0" borderId="27" xfId="0" applyBorder="1"/>
    <xf numFmtId="0" fontId="71" fillId="5" borderId="23" xfId="61769" applyFont="1" applyBorder="1" applyAlignment="1">
      <alignment horizontal="left" indent="1"/>
    </xf>
    <xf numFmtId="0" fontId="71" fillId="5" borderId="0" xfId="61769" applyFont="1" applyBorder="1" applyAlignment="1">
      <alignment horizontal="left" indent="1"/>
    </xf>
    <xf numFmtId="0" fontId="0" fillId="0" borderId="23" xfId="0" applyBorder="1"/>
    <xf numFmtId="0" fontId="68" fillId="6" borderId="23" xfId="0" applyFont="1" applyFill="1" applyBorder="1" applyAlignment="1">
      <alignment horizontal="left" indent="1"/>
    </xf>
    <xf numFmtId="0" fontId="68" fillId="6" borderId="0" xfId="0" applyFont="1" applyFill="1" applyBorder="1" applyAlignment="1">
      <alignment horizontal="left" indent="1"/>
    </xf>
    <xf numFmtId="0" fontId="66" fillId="7" borderId="23" xfId="0" applyFont="1" applyFill="1" applyBorder="1" applyAlignment="1">
      <alignment horizontal="left" indent="1"/>
    </xf>
    <xf numFmtId="0" fontId="66" fillId="7" borderId="0" xfId="0" applyFont="1" applyFill="1" applyBorder="1" applyAlignment="1">
      <alignment horizontal="left" indent="1"/>
    </xf>
    <xf numFmtId="0" fontId="71" fillId="8" borderId="23" xfId="61777" applyFont="1" applyFill="1" applyBorder="1" applyAlignment="1">
      <alignment horizontal="left" indent="1"/>
    </xf>
    <xf numFmtId="0" fontId="71" fillId="8" borderId="0" xfId="61777" applyFont="1" applyFill="1" applyBorder="1" applyAlignment="1">
      <alignment horizontal="left" indent="1"/>
    </xf>
    <xf numFmtId="0" fontId="74" fillId="0" borderId="31" xfId="0" applyFont="1" applyBorder="1" applyAlignment="1">
      <alignment horizontal="left" indent="1"/>
    </xf>
    <xf numFmtId="0" fontId="74" fillId="0" borderId="26" xfId="0" applyFont="1" applyBorder="1" applyAlignment="1">
      <alignment horizontal="left" indent="1"/>
    </xf>
    <xf numFmtId="0" fontId="0" fillId="0" borderId="31" xfId="0" applyBorder="1"/>
    <xf numFmtId="0" fontId="59" fillId="0" borderId="26" xfId="0" applyFont="1" applyBorder="1"/>
    <xf numFmtId="0" fontId="59" fillId="0" borderId="32" xfId="0" applyFont="1" applyBorder="1"/>
    <xf numFmtId="0" fontId="73" fillId="0" borderId="0" xfId="0" applyFont="1" applyFill="1"/>
    <xf numFmtId="0" fontId="78" fillId="0" borderId="0" xfId="0" applyFont="1" applyAlignment="1">
      <alignment horizontal="left" indent="1"/>
    </xf>
    <xf numFmtId="0" fontId="73" fillId="0" borderId="0" xfId="0" applyFont="1" applyAlignment="1">
      <alignment horizontal="left" indent="1"/>
    </xf>
    <xf numFmtId="0" fontId="6" fillId="5" borderId="20" xfId="15" applyFont="1" applyBorder="1"/>
    <xf numFmtId="0" fontId="70" fillId="0" borderId="20" xfId="0" applyFont="1" applyBorder="1" applyAlignment="1">
      <alignment horizontal="left" indent="1"/>
    </xf>
    <xf numFmtId="0" fontId="70" fillId="0" borderId="20" xfId="0" applyFont="1" applyBorder="1"/>
    <xf numFmtId="0" fontId="70" fillId="0" borderId="0" xfId="0" applyFont="1"/>
    <xf numFmtId="0" fontId="80" fillId="6" borderId="12" xfId="0" applyFont="1" applyFill="1" applyBorder="1"/>
    <xf numFmtId="0" fontId="6" fillId="2" borderId="18" xfId="61822" applyFont="1" applyFill="1" applyBorder="1" applyAlignment="1">
      <alignment horizontal="center" wrapText="1"/>
    </xf>
    <xf numFmtId="0" fontId="70" fillId="6" borderId="12" xfId="0" applyFont="1" applyFill="1" applyBorder="1"/>
    <xf numFmtId="0" fontId="79" fillId="2" borderId="18" xfId="61826" applyFont="1" applyFill="1" applyBorder="1" applyAlignment="1">
      <alignment horizontal="center" wrapText="1"/>
    </xf>
    <xf numFmtId="0" fontId="70" fillId="6" borderId="12" xfId="0" applyFont="1" applyFill="1" applyBorder="1" applyAlignment="1">
      <alignment horizontal="left" indent="1"/>
    </xf>
    <xf numFmtId="0" fontId="70" fillId="6" borderId="8" xfId="0" applyFont="1" applyFill="1" applyBorder="1"/>
    <xf numFmtId="0" fontId="70" fillId="6" borderId="11" xfId="0" applyFont="1" applyFill="1" applyBorder="1" applyAlignment="1">
      <alignment horizontal="left" indent="1"/>
    </xf>
    <xf numFmtId="0" fontId="70" fillId="6" borderId="11" xfId="0" applyFont="1" applyFill="1" applyBorder="1"/>
    <xf numFmtId="0" fontId="6" fillId="2" borderId="19" xfId="15" applyFont="1" applyFill="1" applyBorder="1" applyAlignment="1">
      <alignment horizontal="center" wrapText="1"/>
    </xf>
    <xf numFmtId="14" fontId="66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66" fillId="0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67" fillId="0" borderId="0" xfId="0" applyFont="1" applyBorder="1" applyAlignment="1"/>
    <xf numFmtId="0" fontId="66" fillId="0" borderId="0" xfId="0" applyFont="1" applyFill="1" applyBorder="1" applyAlignment="1">
      <alignment horizontal="center" wrapText="1"/>
    </xf>
    <xf numFmtId="0" fontId="68" fillId="0" borderId="0" xfId="0" applyFont="1" applyBorder="1" applyAlignment="1">
      <alignment horizontal="left" wrapText="1"/>
    </xf>
    <xf numFmtId="0" fontId="0" fillId="0" borderId="0" xfId="0" applyFill="1"/>
    <xf numFmtId="0" fontId="70" fillId="0" borderId="0" xfId="0" applyFont="1" applyFill="1" applyBorder="1"/>
    <xf numFmtId="0" fontId="0" fillId="0" borderId="0" xfId="0" applyFill="1" applyBorder="1"/>
    <xf numFmtId="0" fontId="6" fillId="2" borderId="18" xfId="15" applyFont="1" applyFill="1" applyBorder="1" applyAlignment="1">
      <alignment horizontal="center" wrapText="1"/>
    </xf>
    <xf numFmtId="0" fontId="6" fillId="2" borderId="18" xfId="61821" applyFont="1" applyFill="1" applyBorder="1" applyAlignment="1">
      <alignment horizontal="center" wrapText="1"/>
    </xf>
    <xf numFmtId="0" fontId="66" fillId="2" borderId="19" xfId="0" applyFont="1" applyFill="1" applyBorder="1" applyAlignment="1">
      <alignment horizontal="center"/>
    </xf>
    <xf numFmtId="0" fontId="6" fillId="2" borderId="33" xfId="15" applyFont="1" applyFill="1" applyBorder="1" applyAlignment="1">
      <alignment horizontal="center" wrapText="1"/>
    </xf>
    <xf numFmtId="0" fontId="6" fillId="2" borderId="18" xfId="61827" applyFont="1" applyFill="1" applyBorder="1" applyAlignment="1">
      <alignment horizontal="center" wrapText="1"/>
    </xf>
    <xf numFmtId="0" fontId="80" fillId="6" borderId="12" xfId="0" applyFont="1" applyFill="1" applyBorder="1" applyAlignment="1">
      <alignment wrapText="1"/>
    </xf>
    <xf numFmtId="0" fontId="70" fillId="6" borderId="8" xfId="0" applyFont="1" applyFill="1" applyBorder="1" applyAlignment="1">
      <alignment wrapText="1"/>
    </xf>
    <xf numFmtId="0" fontId="70" fillId="6" borderId="12" xfId="0" applyFont="1" applyFill="1" applyBorder="1" applyAlignment="1">
      <alignment wrapText="1"/>
    </xf>
    <xf numFmtId="0" fontId="70" fillId="6" borderId="12" xfId="0" applyFont="1" applyFill="1" applyBorder="1" applyAlignment="1">
      <alignment horizontal="left" wrapText="1"/>
    </xf>
    <xf numFmtId="0" fontId="6" fillId="6" borderId="24" xfId="15" applyFont="1" applyFill="1" applyBorder="1" applyAlignment="1">
      <alignment horizontal="left" wrapText="1"/>
    </xf>
    <xf numFmtId="0" fontId="70" fillId="6" borderId="25" xfId="0" applyFont="1" applyFill="1" applyBorder="1" applyAlignment="1">
      <alignment wrapText="1"/>
    </xf>
    <xf numFmtId="0" fontId="70" fillId="6" borderId="25" xfId="0" applyFont="1" applyFill="1" applyBorder="1" applyAlignment="1">
      <alignment horizontal="left" wrapText="1"/>
    </xf>
    <xf numFmtId="0" fontId="70" fillId="6" borderId="28" xfId="0" applyFont="1" applyFill="1" applyBorder="1" applyAlignment="1">
      <alignment wrapText="1"/>
    </xf>
    <xf numFmtId="0" fontId="70" fillId="6" borderId="13" xfId="0" applyFont="1" applyFill="1" applyBorder="1" applyAlignment="1">
      <alignment wrapText="1"/>
    </xf>
    <xf numFmtId="0" fontId="6" fillId="6" borderId="8" xfId="61827" applyFont="1" applyFill="1" applyBorder="1" applyAlignment="1">
      <alignment horizontal="left" wrapText="1"/>
    </xf>
    <xf numFmtId="0" fontId="6" fillId="6" borderId="8" xfId="15" applyFont="1" applyFill="1" applyBorder="1" applyAlignment="1">
      <alignment horizontal="left" wrapText="1"/>
    </xf>
    <xf numFmtId="0" fontId="79" fillId="6" borderId="8" xfId="61826" applyFont="1" applyFill="1" applyBorder="1" applyAlignment="1">
      <alignment horizontal="left" wrapText="1"/>
    </xf>
    <xf numFmtId="0" fontId="80" fillId="6" borderId="13" xfId="0" applyFont="1" applyFill="1" applyBorder="1" applyAlignment="1">
      <alignment wrapText="1"/>
    </xf>
    <xf numFmtId="0" fontId="6" fillId="6" borderId="8" xfId="61822" applyFont="1" applyFill="1" applyBorder="1" applyAlignment="1">
      <alignment horizontal="left" wrapText="1"/>
    </xf>
    <xf numFmtId="0" fontId="6" fillId="6" borderId="8" xfId="61821" applyFont="1" applyFill="1" applyBorder="1" applyAlignment="1">
      <alignment horizontal="left" wrapText="1"/>
    </xf>
    <xf numFmtId="0" fontId="71" fillId="6" borderId="9" xfId="61815" applyFont="1" applyFill="1" applyBorder="1" applyAlignment="1">
      <alignment horizontal="left" wrapText="1"/>
    </xf>
    <xf numFmtId="0" fontId="66" fillId="6" borderId="11" xfId="0" applyFont="1" applyFill="1" applyBorder="1" applyAlignment="1">
      <alignment horizontal="left" wrapText="1"/>
    </xf>
    <xf numFmtId="0" fontId="66" fillId="6" borderId="11" xfId="0" applyFont="1" applyFill="1" applyBorder="1" applyAlignment="1">
      <alignment wrapText="1"/>
    </xf>
    <xf numFmtId="0" fontId="71" fillId="6" borderId="11" xfId="61815" applyFont="1" applyFill="1" applyBorder="1" applyAlignment="1">
      <alignment horizontal="left" wrapText="1"/>
    </xf>
    <xf numFmtId="0" fontId="71" fillId="6" borderId="14" xfId="61815" applyFont="1" applyFill="1" applyBorder="1" applyAlignment="1">
      <alignment horizontal="left" wrapText="1"/>
    </xf>
    <xf numFmtId="0" fontId="77" fillId="0" borderId="0" xfId="0" applyFont="1" applyFill="1" applyBorder="1"/>
    <xf numFmtId="0" fontId="6" fillId="6" borderId="24" xfId="15" applyFont="1" applyFill="1" applyBorder="1" applyAlignment="1">
      <alignment horizontal="left" indent="1"/>
    </xf>
    <xf numFmtId="0" fontId="70" fillId="6" borderId="25" xfId="0" applyFont="1" applyFill="1" applyBorder="1"/>
    <xf numFmtId="0" fontId="70" fillId="6" borderId="25" xfId="0" applyFont="1" applyFill="1" applyBorder="1" applyAlignment="1">
      <alignment horizontal="left" indent="1"/>
    </xf>
    <xf numFmtId="0" fontId="70" fillId="6" borderId="28" xfId="0" applyFont="1" applyFill="1" applyBorder="1"/>
    <xf numFmtId="0" fontId="70" fillId="6" borderId="13" xfId="0" applyFont="1" applyFill="1" applyBorder="1"/>
    <xf numFmtId="0" fontId="6" fillId="6" borderId="8" xfId="61827" applyFont="1" applyFill="1" applyBorder="1" applyAlignment="1">
      <alignment horizontal="left" indent="1"/>
    </xf>
    <xf numFmtId="0" fontId="6" fillId="6" borderId="8" xfId="15" applyFont="1" applyFill="1" applyBorder="1" applyAlignment="1">
      <alignment horizontal="left" indent="1"/>
    </xf>
    <xf numFmtId="0" fontId="79" fillId="6" borderId="8" xfId="61826" applyFont="1" applyFill="1" applyBorder="1" applyAlignment="1">
      <alignment horizontal="left" indent="1"/>
    </xf>
    <xf numFmtId="0" fontId="80" fillId="6" borderId="13" xfId="0" applyFont="1" applyFill="1" applyBorder="1"/>
    <xf numFmtId="0" fontId="6" fillId="6" borderId="8" xfId="61822" applyFont="1" applyFill="1" applyBorder="1" applyAlignment="1">
      <alignment horizontal="left" indent="1"/>
    </xf>
    <xf numFmtId="0" fontId="6" fillId="6" borderId="8" xfId="61821" applyFont="1" applyFill="1" applyBorder="1" applyAlignment="1">
      <alignment horizontal="left" indent="1"/>
    </xf>
    <xf numFmtId="0" fontId="6" fillId="6" borderId="9" xfId="15" applyFont="1" applyFill="1" applyBorder="1" applyAlignment="1">
      <alignment horizontal="left" indent="1"/>
    </xf>
    <xf numFmtId="0" fontId="70" fillId="6" borderId="14" xfId="0" applyFont="1" applyFill="1" applyBorder="1"/>
    <xf numFmtId="0" fontId="59" fillId="2" borderId="19" xfId="0" applyFont="1" applyFill="1" applyBorder="1" applyAlignment="1">
      <alignment horizontal="center"/>
    </xf>
    <xf numFmtId="0" fontId="6" fillId="6" borderId="9" xfId="61815" applyFont="1" applyFill="1" applyBorder="1" applyAlignment="1">
      <alignment horizontal="left" indent="1"/>
    </xf>
    <xf numFmtId="0" fontId="59" fillId="6" borderId="11" xfId="0" applyFont="1" applyFill="1" applyBorder="1" applyAlignment="1">
      <alignment horizontal="left" indent="1"/>
    </xf>
    <xf numFmtId="0" fontId="59" fillId="6" borderId="11" xfId="0" applyFont="1" applyFill="1" applyBorder="1"/>
    <xf numFmtId="0" fontId="6" fillId="6" borderId="11" xfId="61815" applyFont="1" applyFill="1" applyBorder="1" applyAlignment="1">
      <alignment horizontal="left" indent="1"/>
    </xf>
    <xf numFmtId="0" fontId="6" fillId="6" borderId="14" xfId="61815" applyFont="1" applyFill="1" applyBorder="1" applyAlignment="1">
      <alignment horizontal="left" wrapText="1"/>
    </xf>
    <xf numFmtId="0" fontId="59" fillId="9" borderId="12" xfId="0" applyFont="1" applyFill="1" applyBorder="1" applyAlignment="1">
      <alignment horizontal="left" wrapText="1" indent="1"/>
    </xf>
    <xf numFmtId="0" fontId="6" fillId="2" borderId="12" xfId="15" applyFont="1" applyFill="1" applyBorder="1" applyAlignment="1">
      <alignment horizontal="left" wrapText="1" indent="1"/>
    </xf>
    <xf numFmtId="0" fontId="6" fillId="2" borderId="13" xfId="61812" applyFont="1" applyFill="1" applyBorder="1" applyAlignment="1">
      <alignment horizontal="left" wrapText="1" indent="1"/>
    </xf>
    <xf numFmtId="0" fontId="6" fillId="2" borderId="12" xfId="61812" applyFont="1" applyFill="1" applyBorder="1" applyAlignment="1">
      <alignment horizontal="left" wrapText="1" indent="1"/>
    </xf>
    <xf numFmtId="0" fontId="6" fillId="2" borderId="12" xfId="61804" applyFont="1" applyFill="1" applyBorder="1" applyAlignment="1">
      <alignment horizontal="left" wrapText="1" indent="1"/>
    </xf>
    <xf numFmtId="0" fontId="6" fillId="2" borderId="12" xfId="61825" applyFont="1" applyFill="1" applyBorder="1" applyAlignment="1">
      <alignment horizontal="left" wrapText="1" indent="1"/>
    </xf>
    <xf numFmtId="0" fontId="6" fillId="2" borderId="13" xfId="15" applyFont="1" applyFill="1" applyBorder="1" applyAlignment="1">
      <alignment horizontal="left" wrapText="1" indent="1"/>
    </xf>
    <xf numFmtId="0" fontId="6" fillId="2" borderId="12" xfId="61820" applyFont="1" applyFill="1" applyBorder="1" applyAlignment="1">
      <alignment horizontal="left" wrapText="1" indent="1"/>
    </xf>
    <xf numFmtId="0" fontId="6" fillId="2" borderId="12" xfId="61819" applyFont="1" applyFill="1" applyBorder="1" applyAlignment="1">
      <alignment horizontal="left" wrapText="1" indent="1"/>
    </xf>
    <xf numFmtId="0" fontId="5" fillId="2" borderId="12" xfId="15" applyFont="1" applyFill="1" applyBorder="1" applyAlignment="1">
      <alignment horizontal="left" wrapText="1" indent="1"/>
    </xf>
    <xf numFmtId="0" fontId="5" fillId="2" borderId="13" xfId="61812" applyFont="1" applyFill="1" applyBorder="1" applyAlignment="1">
      <alignment horizontal="left" wrapText="1" indent="1"/>
    </xf>
    <xf numFmtId="0" fontId="5" fillId="2" borderId="12" xfId="61812" applyFont="1" applyFill="1" applyBorder="1" applyAlignment="1">
      <alignment horizontal="left" wrapText="1" indent="1"/>
    </xf>
    <xf numFmtId="0" fontId="5" fillId="2" borderId="12" xfId="61804" applyFont="1" applyFill="1" applyBorder="1" applyAlignment="1">
      <alignment horizontal="left" wrapText="1" indent="1"/>
    </xf>
    <xf numFmtId="0" fontId="5" fillId="2" borderId="12" xfId="61825" applyFont="1" applyFill="1" applyBorder="1" applyAlignment="1">
      <alignment horizontal="left" wrapText="1" indent="1"/>
    </xf>
    <xf numFmtId="0" fontId="5" fillId="2" borderId="13" xfId="15" applyFont="1" applyFill="1" applyBorder="1" applyAlignment="1">
      <alignment horizontal="left" wrapText="1" indent="1"/>
    </xf>
    <xf numFmtId="0" fontId="5" fillId="2" borderId="12" xfId="61820" applyFont="1" applyFill="1" applyBorder="1" applyAlignment="1">
      <alignment horizontal="left" wrapText="1" indent="1"/>
    </xf>
    <xf numFmtId="0" fontId="5" fillId="2" borderId="12" xfId="61819" applyFont="1" applyFill="1" applyBorder="1" applyAlignment="1">
      <alignment horizontal="left" wrapText="1" indent="1"/>
    </xf>
    <xf numFmtId="0" fontId="58" fillId="2" borderId="1" xfId="0" applyFont="1" applyFill="1" applyBorder="1" applyAlignment="1">
      <alignment horizontal="left" indent="1"/>
    </xf>
    <xf numFmtId="0" fontId="58" fillId="2" borderId="1" xfId="0" applyFont="1" applyFill="1" applyBorder="1" applyAlignment="1">
      <alignment horizontal="left" wrapText="1"/>
    </xf>
    <xf numFmtId="0" fontId="5" fillId="2" borderId="24" xfId="15" applyFont="1" applyFill="1" applyBorder="1" applyAlignment="1">
      <alignment horizontal="left" wrapText="1" indent="1"/>
    </xf>
    <xf numFmtId="0" fontId="59" fillId="9" borderId="25" xfId="0" applyFont="1" applyFill="1" applyBorder="1" applyAlignment="1">
      <alignment horizontal="left" wrapText="1" indent="1"/>
    </xf>
    <xf numFmtId="0" fontId="5" fillId="2" borderId="25" xfId="15" applyFont="1" applyFill="1" applyBorder="1" applyAlignment="1">
      <alignment horizontal="left" wrapText="1" indent="1"/>
    </xf>
    <xf numFmtId="0" fontId="5" fillId="2" borderId="28" xfId="15" applyFont="1" applyFill="1" applyBorder="1" applyAlignment="1">
      <alignment horizontal="left" wrapText="1" indent="1"/>
    </xf>
    <xf numFmtId="0" fontId="5" fillId="2" borderId="8" xfId="15" applyFont="1" applyFill="1" applyBorder="1" applyAlignment="1">
      <alignment horizontal="left" wrapText="1" indent="1"/>
    </xf>
    <xf numFmtId="0" fontId="5" fillId="2" borderId="8" xfId="61812" applyFont="1" applyFill="1" applyBorder="1" applyAlignment="1">
      <alignment horizontal="left" wrapText="1" indent="1"/>
    </xf>
    <xf numFmtId="0" fontId="0" fillId="9" borderId="12" xfId="0" applyFont="1" applyFill="1" applyBorder="1" applyAlignment="1">
      <alignment horizontal="left" wrapText="1" indent="1"/>
    </xf>
    <xf numFmtId="0" fontId="5" fillId="2" borderId="8" xfId="61804" applyFont="1" applyFill="1" applyBorder="1" applyAlignment="1">
      <alignment horizontal="left" wrapText="1" indent="1"/>
    </xf>
    <xf numFmtId="0" fontId="5" fillId="2" borderId="13" xfId="61804" applyFont="1" applyFill="1" applyBorder="1" applyAlignment="1">
      <alignment horizontal="left" wrapText="1" indent="1"/>
    </xf>
    <xf numFmtId="0" fontId="5" fillId="2" borderId="8" xfId="61825" applyFont="1" applyFill="1" applyBorder="1" applyAlignment="1">
      <alignment horizontal="left" wrapText="1" indent="1"/>
    </xf>
    <xf numFmtId="0" fontId="5" fillId="2" borderId="13" xfId="61825" applyFont="1" applyFill="1" applyBorder="1" applyAlignment="1">
      <alignment horizontal="left" wrapText="1" indent="1"/>
    </xf>
    <xf numFmtId="0" fontId="5" fillId="2" borderId="8" xfId="61820" applyFont="1" applyFill="1" applyBorder="1" applyAlignment="1">
      <alignment horizontal="left" wrapText="1" indent="1"/>
    </xf>
    <xf numFmtId="0" fontId="5" fillId="2" borderId="13" xfId="61820" applyFont="1" applyFill="1" applyBorder="1" applyAlignment="1">
      <alignment horizontal="left" wrapText="1" indent="1"/>
    </xf>
    <xf numFmtId="0" fontId="5" fillId="2" borderId="13" xfId="61819" applyFont="1" applyFill="1" applyBorder="1" applyAlignment="1">
      <alignment horizontal="left" wrapText="1" indent="1"/>
    </xf>
    <xf numFmtId="0" fontId="5" fillId="2" borderId="9" xfId="15" applyFont="1" applyFill="1" applyBorder="1" applyAlignment="1">
      <alignment horizontal="left" wrapText="1" indent="1"/>
    </xf>
    <xf numFmtId="0" fontId="59" fillId="9" borderId="11" xfId="0" applyFont="1" applyFill="1" applyBorder="1" applyAlignment="1">
      <alignment horizontal="left" wrapText="1" indent="1"/>
    </xf>
    <xf numFmtId="0" fontId="5" fillId="2" borderId="11" xfId="15" applyFont="1" applyFill="1" applyBorder="1" applyAlignment="1">
      <alignment horizontal="left" wrapText="1" indent="1"/>
    </xf>
    <xf numFmtId="0" fontId="5" fillId="2" borderId="14" xfId="15" applyFont="1" applyFill="1" applyBorder="1" applyAlignment="1">
      <alignment horizontal="left" wrapText="1" indent="1"/>
    </xf>
    <xf numFmtId="0" fontId="59" fillId="0" borderId="12" xfId="0" applyFont="1" applyFill="1" applyBorder="1" applyAlignment="1">
      <alignment horizontal="left" wrapText="1" indent="1"/>
    </xf>
    <xf numFmtId="0" fontId="6" fillId="2" borderId="14" xfId="15" applyFont="1" applyFill="1" applyBorder="1" applyAlignment="1">
      <alignment horizontal="left" wrapText="1" indent="1"/>
    </xf>
    <xf numFmtId="0" fontId="6" fillId="2" borderId="24" xfId="15" applyFont="1" applyFill="1" applyBorder="1" applyAlignment="1">
      <alignment horizontal="left" wrapText="1" indent="1"/>
    </xf>
    <xf numFmtId="0" fontId="6" fillId="2" borderId="25" xfId="15" applyFont="1" applyFill="1" applyBorder="1" applyAlignment="1">
      <alignment horizontal="left" wrapText="1" indent="1"/>
    </xf>
    <xf numFmtId="0" fontId="6" fillId="2" borderId="28" xfId="15" applyFont="1" applyFill="1" applyBorder="1" applyAlignment="1">
      <alignment horizontal="left" wrapText="1" indent="1"/>
    </xf>
    <xf numFmtId="0" fontId="6" fillId="2" borderId="8" xfId="15" applyFont="1" applyFill="1" applyBorder="1" applyAlignment="1">
      <alignment horizontal="left" wrapText="1" indent="1"/>
    </xf>
    <xf numFmtId="0" fontId="6" fillId="2" borderId="8" xfId="61825" applyFont="1" applyFill="1" applyBorder="1" applyAlignment="1">
      <alignment horizontal="left" wrapText="1" indent="1"/>
    </xf>
    <xf numFmtId="0" fontId="6" fillId="2" borderId="13" xfId="61825" applyFont="1" applyFill="1" applyBorder="1" applyAlignment="1">
      <alignment horizontal="left" wrapText="1" indent="1"/>
    </xf>
    <xf numFmtId="0" fontId="6" fillId="2" borderId="8" xfId="61820" applyFont="1" applyFill="1" applyBorder="1" applyAlignment="1">
      <alignment horizontal="left" wrapText="1" indent="1"/>
    </xf>
    <xf numFmtId="0" fontId="6" fillId="2" borderId="13" xfId="61820" applyFont="1" applyFill="1" applyBorder="1" applyAlignment="1">
      <alignment horizontal="left" wrapText="1" indent="1"/>
    </xf>
    <xf numFmtId="0" fontId="6" fillId="2" borderId="8" xfId="61819" applyFont="1" applyFill="1" applyBorder="1" applyAlignment="1">
      <alignment horizontal="left" wrapText="1" indent="1"/>
    </xf>
    <xf numFmtId="0" fontId="6" fillId="2" borderId="13" xfId="61819" applyFont="1" applyFill="1" applyBorder="1" applyAlignment="1">
      <alignment horizontal="left" wrapText="1" indent="1"/>
    </xf>
    <xf numFmtId="0" fontId="6" fillId="2" borderId="9" xfId="15" applyFont="1" applyFill="1" applyBorder="1" applyAlignment="1">
      <alignment horizontal="left" wrapText="1" indent="1"/>
    </xf>
    <xf numFmtId="0" fontId="6" fillId="2" borderId="11" xfId="15" applyFont="1" applyFill="1" applyBorder="1" applyAlignment="1">
      <alignment horizontal="left" wrapText="1" indent="1"/>
    </xf>
    <xf numFmtId="0" fontId="59" fillId="0" borderId="25" xfId="0" applyFont="1" applyFill="1" applyBorder="1" applyAlignment="1">
      <alignment horizontal="left" wrapText="1" indent="1"/>
    </xf>
    <xf numFmtId="0" fontId="59" fillId="0" borderId="11" xfId="0" applyFont="1" applyFill="1" applyBorder="1" applyAlignment="1">
      <alignment horizontal="left" wrapText="1" indent="1"/>
    </xf>
    <xf numFmtId="0" fontId="6" fillId="5" borderId="24" xfId="15" applyFont="1" applyBorder="1" applyAlignment="1">
      <alignment horizontal="left" wrapText="1" indent="1"/>
    </xf>
    <xf numFmtId="0" fontId="59" fillId="0" borderId="25" xfId="0" applyFont="1" applyBorder="1" applyAlignment="1">
      <alignment horizontal="left" wrapText="1" indent="1"/>
    </xf>
    <xf numFmtId="0" fontId="6" fillId="5" borderId="8" xfId="15" applyFont="1" applyBorder="1" applyAlignment="1">
      <alignment horizontal="left" wrapText="1" indent="1"/>
    </xf>
    <xf numFmtId="0" fontId="59" fillId="0" borderId="12" xfId="0" applyFont="1" applyBorder="1" applyAlignment="1">
      <alignment horizontal="left" wrapText="1" indent="1"/>
    </xf>
    <xf numFmtId="0" fontId="70" fillId="0" borderId="12" xfId="0" applyFont="1" applyFill="1" applyBorder="1" applyAlignment="1">
      <alignment horizontal="left" wrapText="1" indent="1"/>
    </xf>
    <xf numFmtId="0" fontId="6" fillId="2" borderId="8" xfId="61804" applyFont="1" applyFill="1" applyBorder="1" applyAlignment="1">
      <alignment horizontal="left" wrapText="1" indent="1"/>
    </xf>
    <xf numFmtId="0" fontId="6" fillId="2" borderId="13" xfId="61804" applyFont="1" applyFill="1" applyBorder="1" applyAlignment="1">
      <alignment horizontal="left" wrapText="1" indent="1"/>
    </xf>
    <xf numFmtId="0" fontId="6" fillId="5" borderId="8" xfId="61812" applyFont="1" applyBorder="1" applyAlignment="1">
      <alignment horizontal="left" wrapText="1" indent="1"/>
    </xf>
    <xf numFmtId="0" fontId="59" fillId="0" borderId="11" xfId="0" applyFont="1" applyBorder="1" applyAlignment="1">
      <alignment horizontal="left" wrapText="1" indent="1"/>
    </xf>
    <xf numFmtId="0" fontId="0" fillId="6" borderId="12" xfId="0" applyFont="1" applyFill="1" applyBorder="1" applyAlignment="1">
      <alignment wrapText="1"/>
    </xf>
    <xf numFmtId="0" fontId="0" fillId="6" borderId="12" xfId="0" applyFont="1" applyFill="1" applyBorder="1"/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2" borderId="20" xfId="0" applyFont="1" applyFill="1" applyBorder="1" applyAlignment="1">
      <alignment horizontal="left" vertical="center"/>
    </xf>
    <xf numFmtId="0" fontId="58" fillId="2" borderId="20" xfId="0" applyFont="1" applyFill="1" applyBorder="1" applyAlignment="1">
      <alignment horizontal="center" vertical="center"/>
    </xf>
    <xf numFmtId="0" fontId="58" fillId="2" borderId="20" xfId="0" applyFont="1" applyFill="1" applyBorder="1" applyAlignment="1">
      <alignment vertical="center"/>
    </xf>
    <xf numFmtId="0" fontId="66" fillId="0" borderId="20" xfId="0" applyFont="1" applyFill="1" applyBorder="1" applyAlignment="1">
      <alignment horizontal="center" vertical="center"/>
    </xf>
    <xf numFmtId="14" fontId="66" fillId="0" borderId="20" xfId="0" applyNumberFormat="1" applyFont="1" applyFill="1" applyBorder="1" applyAlignment="1">
      <alignment horizontal="center" vertical="center"/>
    </xf>
    <xf numFmtId="0" fontId="66" fillId="0" borderId="20" xfId="3" applyFont="1" applyFill="1" applyBorder="1" applyAlignment="1">
      <alignment vertical="center" wrapText="1"/>
    </xf>
    <xf numFmtId="0" fontId="66" fillId="0" borderId="20" xfId="0" applyFont="1" applyFill="1" applyBorder="1" applyAlignment="1">
      <alignment horizontal="center" vertical="center" wrapText="1"/>
    </xf>
    <xf numFmtId="0" fontId="66" fillId="0" borderId="20" xfId="0" applyFont="1" applyFill="1" applyBorder="1" applyAlignment="1">
      <alignment horizontal="left" vertical="center" wrapText="1"/>
    </xf>
    <xf numFmtId="0" fontId="68" fillId="0" borderId="20" xfId="0" applyFont="1" applyBorder="1" applyAlignment="1">
      <alignment horizontal="left" vertical="center" wrapText="1"/>
    </xf>
    <xf numFmtId="0" fontId="66" fillId="0" borderId="20" xfId="3" applyFont="1" applyFill="1" applyBorder="1" applyAlignment="1">
      <alignment horizontal="center" vertical="center" wrapText="1"/>
    </xf>
    <xf numFmtId="0" fontId="66" fillId="0" borderId="20" xfId="3" applyFont="1" applyFill="1" applyBorder="1" applyAlignment="1">
      <alignment horizontal="left" vertical="center" wrapText="1"/>
    </xf>
    <xf numFmtId="14" fontId="66" fillId="0" borderId="20" xfId="0" applyNumberFormat="1" applyFont="1" applyFill="1" applyBorder="1" applyAlignment="1">
      <alignment horizontal="left" vertical="center"/>
    </xf>
    <xf numFmtId="14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71" fillId="6" borderId="8" xfId="61830" applyFont="1" applyFill="1" applyBorder="1" applyAlignment="1">
      <alignment horizontal="left" indent="1"/>
    </xf>
    <xf numFmtId="0" fontId="68" fillId="6" borderId="12" xfId="0" applyFont="1" applyFill="1" applyBorder="1"/>
    <xf numFmtId="0" fontId="68" fillId="6" borderId="12" xfId="0" applyFont="1" applyFill="1" applyBorder="1" applyAlignment="1">
      <alignment horizontal="left" indent="1"/>
    </xf>
    <xf numFmtId="0" fontId="68" fillId="6" borderId="13" xfId="0" applyFont="1" applyFill="1" applyBorder="1"/>
    <xf numFmtId="0" fontId="71" fillId="2" borderId="18" xfId="61830" applyFont="1" applyFill="1" applyBorder="1" applyAlignment="1">
      <alignment horizontal="center" wrapText="1"/>
    </xf>
    <xf numFmtId="0" fontId="71" fillId="6" borderId="8" xfId="61806" applyFont="1" applyFill="1" applyBorder="1" applyAlignment="1">
      <alignment horizontal="left" wrapText="1"/>
    </xf>
    <xf numFmtId="0" fontId="68" fillId="6" borderId="12" xfId="0" applyFont="1" applyFill="1" applyBorder="1" applyAlignment="1">
      <alignment wrapText="1"/>
    </xf>
    <xf numFmtId="0" fontId="68" fillId="6" borderId="12" xfId="0" applyFont="1" applyFill="1" applyBorder="1" applyAlignment="1">
      <alignment horizontal="left" wrapText="1"/>
    </xf>
    <xf numFmtId="0" fontId="68" fillId="6" borderId="13" xfId="0" applyFont="1" applyFill="1" applyBorder="1" applyAlignment="1">
      <alignment wrapText="1"/>
    </xf>
    <xf numFmtId="0" fontId="71" fillId="2" borderId="18" xfId="61806" applyFont="1" applyFill="1" applyBorder="1" applyAlignment="1">
      <alignment horizontal="center" wrapText="1"/>
    </xf>
    <xf numFmtId="0" fontId="68" fillId="0" borderId="0" xfId="0" applyFont="1"/>
    <xf numFmtId="0" fontId="2" fillId="2" borderId="18" xfId="15" applyFont="1" applyFill="1" applyBorder="1" applyAlignment="1">
      <alignment horizontal="center" wrapText="1"/>
    </xf>
    <xf numFmtId="0" fontId="2" fillId="6" borderId="8" xfId="15" applyFont="1" applyFill="1" applyBorder="1" applyAlignment="1">
      <alignment horizontal="left" wrapText="1"/>
    </xf>
    <xf numFmtId="0" fontId="0" fillId="6" borderId="13" xfId="0" applyFont="1" applyFill="1" applyBorder="1" applyAlignment="1">
      <alignment wrapText="1"/>
    </xf>
    <xf numFmtId="0" fontId="2" fillId="6" borderId="8" xfId="61831" applyFont="1" applyFill="1" applyBorder="1" applyAlignment="1">
      <alignment horizontal="left" indent="1"/>
    </xf>
    <xf numFmtId="0" fontId="0" fillId="6" borderId="13" xfId="0" applyFont="1" applyFill="1" applyBorder="1"/>
    <xf numFmtId="0" fontId="0" fillId="2" borderId="18" xfId="0" applyFont="1" applyFill="1" applyBorder="1" applyAlignment="1">
      <alignment horizontal="center"/>
    </xf>
    <xf numFmtId="0" fontId="81" fillId="2" borderId="25" xfId="0" applyFont="1" applyFill="1" applyBorder="1" applyAlignment="1">
      <alignment horizontal="left" indent="1"/>
    </xf>
    <xf numFmtId="0" fontId="81" fillId="2" borderId="24" xfId="0" applyFont="1" applyFill="1" applyBorder="1" applyAlignment="1">
      <alignment horizontal="left" indent="1"/>
    </xf>
    <xf numFmtId="0" fontId="81" fillId="2" borderId="1" xfId="0" applyFont="1" applyFill="1" applyBorder="1" applyAlignment="1">
      <alignment horizontal="left" indent="1"/>
    </xf>
    <xf numFmtId="0" fontId="81" fillId="2" borderId="1" xfId="0" applyFont="1" applyFill="1" applyBorder="1" applyAlignment="1">
      <alignment horizontal="left" wrapText="1"/>
    </xf>
    <xf numFmtId="0" fontId="0" fillId="2" borderId="24" xfId="0" applyFont="1" applyFill="1" applyBorder="1" applyAlignment="1">
      <alignment horizontal="left" vertical="center" wrapText="1" indent="1"/>
    </xf>
    <xf numFmtId="0" fontId="0" fillId="0" borderId="25" xfId="0" applyFont="1" applyBorder="1" applyAlignment="1">
      <alignment horizontal="left" vertical="center" wrapText="1" indent="1"/>
    </xf>
    <xf numFmtId="0" fontId="0" fillId="2" borderId="25" xfId="0" applyFont="1" applyFill="1" applyBorder="1" applyAlignment="1">
      <alignment horizontal="left" vertical="center" wrapText="1" indent="1"/>
    </xf>
    <xf numFmtId="0" fontId="0" fillId="2" borderId="28" xfId="0" applyFont="1" applyFill="1" applyBorder="1" applyAlignment="1">
      <alignment horizontal="left" vertical="center" wrapText="1" indent="1"/>
    </xf>
    <xf numFmtId="0" fontId="0" fillId="2" borderId="8" xfId="0" applyFont="1" applyFill="1" applyBorder="1" applyAlignment="1">
      <alignment horizontal="left" vertical="center" wrapText="1" indent="1"/>
    </xf>
    <xf numFmtId="0" fontId="0" fillId="0" borderId="12" xfId="0" applyFont="1" applyBorder="1" applyAlignment="1">
      <alignment horizontal="left" vertical="center" wrapText="1" indent="1"/>
    </xf>
    <xf numFmtId="0" fontId="0" fillId="2" borderId="12" xfId="0" applyFont="1" applyFill="1" applyBorder="1" applyAlignment="1">
      <alignment horizontal="left" vertical="center" wrapText="1" indent="1"/>
    </xf>
    <xf numFmtId="0" fontId="0" fillId="2" borderId="13" xfId="0" applyFont="1" applyFill="1" applyBorder="1" applyAlignment="1">
      <alignment horizontal="left" vertical="center" wrapText="1" indent="1"/>
    </xf>
    <xf numFmtId="0" fontId="0" fillId="2" borderId="9" xfId="0" applyFont="1" applyFill="1" applyBorder="1" applyAlignment="1">
      <alignment horizontal="left" vertical="center" wrapText="1" indent="1"/>
    </xf>
    <xf numFmtId="0" fontId="0" fillId="0" borderId="11" xfId="0" applyFont="1" applyBorder="1" applyAlignment="1">
      <alignment horizontal="left" vertical="center" wrapText="1" indent="1"/>
    </xf>
    <xf numFmtId="0" fontId="0" fillId="2" borderId="11" xfId="0" applyFont="1" applyFill="1" applyBorder="1" applyAlignment="1">
      <alignment horizontal="left" vertical="center" wrapText="1" indent="1"/>
    </xf>
    <xf numFmtId="0" fontId="0" fillId="2" borderId="14" xfId="0" applyFont="1" applyFill="1" applyBorder="1" applyAlignment="1">
      <alignment horizontal="left" vertical="center" wrapText="1" indent="1"/>
    </xf>
    <xf numFmtId="0" fontId="66" fillId="0" borderId="0" xfId="0" applyFont="1" applyBorder="1"/>
    <xf numFmtId="0" fontId="66" fillId="0" borderId="0" xfId="0" applyFont="1" applyBorder="1" applyAlignment="1">
      <alignment horizontal="left" indent="1"/>
    </xf>
    <xf numFmtId="0" fontId="66" fillId="0" borderId="0" xfId="0" applyFont="1" applyBorder="1" applyAlignment="1">
      <alignment wrapText="1"/>
    </xf>
    <xf numFmtId="0" fontId="66" fillId="0" borderId="15" xfId="0" applyFont="1" applyBorder="1"/>
    <xf numFmtId="0" fontId="66" fillId="0" borderId="2" xfId="0" applyFont="1" applyBorder="1"/>
    <xf numFmtId="0" fontId="82" fillId="4" borderId="4" xfId="0" applyFont="1" applyFill="1" applyBorder="1" applyAlignment="1">
      <alignment horizontal="centerContinuous"/>
    </xf>
    <xf numFmtId="0" fontId="82" fillId="4" borderId="4" xfId="0" applyFont="1" applyFill="1" applyBorder="1" applyAlignment="1">
      <alignment horizontal="centerContinuous" wrapText="1"/>
    </xf>
    <xf numFmtId="0" fontId="83" fillId="2" borderId="17" xfId="0" applyFont="1" applyFill="1" applyBorder="1" applyAlignment="1">
      <alignment horizontal="left" indent="1"/>
    </xf>
    <xf numFmtId="0" fontId="83" fillId="2" borderId="5" xfId="0" applyFont="1" applyFill="1" applyBorder="1" applyAlignment="1">
      <alignment horizontal="left" indent="1"/>
    </xf>
    <xf numFmtId="0" fontId="83" fillId="2" borderId="4" xfId="0" applyFont="1" applyFill="1" applyBorder="1" applyAlignment="1">
      <alignment horizontal="left" indent="1"/>
    </xf>
    <xf numFmtId="0" fontId="83" fillId="2" borderId="17" xfId="0" applyFont="1" applyFill="1" applyBorder="1" applyAlignment="1">
      <alignment horizontal="left" wrapText="1"/>
    </xf>
    <xf numFmtId="0" fontId="68" fillId="6" borderId="24" xfId="0" applyFont="1" applyFill="1" applyBorder="1" applyAlignment="1">
      <alignment horizontal="left" vertical="center" wrapText="1" indent="1"/>
    </xf>
    <xf numFmtId="0" fontId="68" fillId="6" borderId="25" xfId="0" applyFont="1" applyFill="1" applyBorder="1" applyAlignment="1">
      <alignment horizontal="left" vertical="center" wrapText="1" indent="1"/>
    </xf>
    <xf numFmtId="0" fontId="68" fillId="6" borderId="28" xfId="0" applyFont="1" applyFill="1" applyBorder="1" applyAlignment="1">
      <alignment horizontal="left" vertical="center" wrapText="1" indent="1"/>
    </xf>
    <xf numFmtId="0" fontId="68" fillId="2" borderId="33" xfId="0" applyFont="1" applyFill="1" applyBorder="1" applyAlignment="1">
      <alignment horizontal="center" vertical="center" wrapText="1"/>
    </xf>
    <xf numFmtId="0" fontId="68" fillId="6" borderId="8" xfId="0" applyFont="1" applyFill="1" applyBorder="1" applyAlignment="1">
      <alignment horizontal="left" vertical="center" wrapText="1" indent="1"/>
    </xf>
    <xf numFmtId="0" fontId="68" fillId="6" borderId="12" xfId="0" applyFont="1" applyFill="1" applyBorder="1" applyAlignment="1">
      <alignment horizontal="left" vertical="center" wrapText="1" indent="1"/>
    </xf>
    <xf numFmtId="0" fontId="68" fillId="6" borderId="13" xfId="0" applyFont="1" applyFill="1" applyBorder="1" applyAlignment="1">
      <alignment horizontal="left" vertical="center" wrapText="1" indent="1"/>
    </xf>
    <xf numFmtId="0" fontId="68" fillId="2" borderId="18" xfId="0" applyFont="1" applyFill="1" applyBorder="1" applyAlignment="1">
      <alignment horizontal="center" vertical="center" wrapText="1"/>
    </xf>
    <xf numFmtId="0" fontId="68" fillId="6" borderId="9" xfId="0" applyFont="1" applyFill="1" applyBorder="1" applyAlignment="1">
      <alignment horizontal="left" vertical="center" wrapText="1" indent="1"/>
    </xf>
    <xf numFmtId="0" fontId="68" fillId="6" borderId="11" xfId="0" applyFont="1" applyFill="1" applyBorder="1" applyAlignment="1">
      <alignment horizontal="left" vertical="center" wrapText="1" indent="1"/>
    </xf>
    <xf numFmtId="0" fontId="68" fillId="6" borderId="14" xfId="0" applyFont="1" applyFill="1" applyBorder="1" applyAlignment="1">
      <alignment horizontal="left" vertical="center" wrapText="1" indent="1"/>
    </xf>
    <xf numFmtId="0" fontId="68" fillId="2" borderId="19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84" fillId="5" borderId="20" xfId="61832" applyFont="1" applyBorder="1" applyAlignment="1">
      <alignment horizontal="left"/>
    </xf>
    <xf numFmtId="0" fontId="84" fillId="5" borderId="20" xfId="61832" applyFont="1" applyBorder="1" applyAlignment="1">
      <alignment horizontal="left" wrapText="1"/>
    </xf>
    <xf numFmtId="0" fontId="71" fillId="5" borderId="20" xfId="61832" applyFont="1" applyBorder="1" applyAlignment="1">
      <alignment horizontal="left" vertical="center" wrapText="1" indent="1"/>
    </xf>
    <xf numFmtId="0" fontId="68" fillId="0" borderId="20" xfId="0" applyFont="1" applyBorder="1" applyAlignment="1">
      <alignment horizontal="left" vertical="center" wrapText="1" indent="1"/>
    </xf>
    <xf numFmtId="0" fontId="72" fillId="5" borderId="20" xfId="61832" applyFont="1" applyBorder="1" applyAlignment="1">
      <alignment horizontal="left" vertical="center" wrapText="1" indent="1"/>
    </xf>
    <xf numFmtId="0" fontId="73" fillId="0" borderId="20" xfId="0" applyFont="1" applyBorder="1" applyAlignment="1">
      <alignment horizontal="left" vertical="center" wrapText="1" indent="1"/>
    </xf>
    <xf numFmtId="0" fontId="74" fillId="0" borderId="7" xfId="0" applyFont="1" applyBorder="1" applyAlignment="1">
      <alignment horizontal="left" vertical="center" wrapText="1" indent="1"/>
    </xf>
    <xf numFmtId="0" fontId="68" fillId="0" borderId="0" xfId="0" applyFont="1" applyAlignment="1">
      <alignment horizontal="left" vertical="center" wrapText="1" indent="1"/>
    </xf>
    <xf numFmtId="0" fontId="71" fillId="5" borderId="20" xfId="61833" applyFont="1" applyBorder="1" applyAlignment="1">
      <alignment horizontal="left" vertical="center" wrapText="1" indent="1"/>
    </xf>
    <xf numFmtId="0" fontId="68" fillId="0" borderId="20" xfId="61834" applyFont="1" applyBorder="1" applyAlignment="1">
      <alignment horizontal="left" vertical="center" wrapText="1" indent="1"/>
    </xf>
    <xf numFmtId="0" fontId="68" fillId="0" borderId="20" xfId="61834" applyNumberFormat="1" applyFont="1" applyBorder="1" applyAlignment="1">
      <alignment horizontal="left" vertical="center" wrapText="1" indent="1"/>
    </xf>
    <xf numFmtId="0" fontId="0" fillId="0" borderId="20" xfId="0" applyBorder="1" applyAlignment="1">
      <alignment horizontal="left" wrapText="1" indent="1"/>
    </xf>
    <xf numFmtId="0" fontId="74" fillId="0" borderId="7" xfId="0" applyFont="1" applyBorder="1" applyAlignment="1">
      <alignment horizontal="left" wrapText="1" indent="1"/>
    </xf>
    <xf numFmtId="0" fontId="70" fillId="0" borderId="20" xfId="0" applyFont="1" applyBorder="1" applyAlignment="1">
      <alignment horizontal="left" wrapText="1" indent="1"/>
    </xf>
    <xf numFmtId="0" fontId="73" fillId="0" borderId="0" xfId="0" applyFont="1" applyAlignment="1">
      <alignment horizontal="left" wrapText="1" indent="1"/>
    </xf>
    <xf numFmtId="0" fontId="0" fillId="0" borderId="20" xfId="0" applyFont="1" applyBorder="1" applyAlignment="1">
      <alignment horizontal="left" wrapText="1" indent="1"/>
    </xf>
    <xf numFmtId="0" fontId="71" fillId="5" borderId="20" xfId="61828" applyFont="1" applyBorder="1"/>
    <xf numFmtId="0" fontId="68" fillId="0" borderId="20" xfId="61829" applyFont="1" applyBorder="1" applyAlignment="1">
      <alignment horizontal="left" indent="1"/>
    </xf>
    <xf numFmtId="0" fontId="68" fillId="0" borderId="20" xfId="61829" applyFont="1" applyBorder="1"/>
    <xf numFmtId="0" fontId="68" fillId="0" borderId="20" xfId="61829" applyNumberFormat="1" applyFont="1" applyBorder="1" applyAlignment="1">
      <alignment horizontal="left" wrapText="1" indent="1"/>
    </xf>
    <xf numFmtId="0" fontId="71" fillId="5" borderId="20" xfId="61828" applyFont="1" applyBorder="1" applyAlignment="1">
      <alignment wrapText="1"/>
    </xf>
    <xf numFmtId="0" fontId="68" fillId="0" borderId="20" xfId="61829" applyNumberFormat="1" applyFont="1" applyBorder="1" applyAlignment="1">
      <alignment horizontal="left" indent="1"/>
    </xf>
    <xf numFmtId="0" fontId="63" fillId="3" borderId="0" xfId="0" applyFont="1" applyFill="1" applyAlignment="1">
      <alignment horizontal="center" vertical="center"/>
    </xf>
    <xf numFmtId="0" fontId="63" fillId="3" borderId="0" xfId="0" applyFont="1" applyFill="1" applyAlignment="1">
      <alignment horizontal="center" vertical="center" wrapText="1"/>
    </xf>
    <xf numFmtId="0" fontId="61" fillId="4" borderId="3" xfId="0" applyFont="1" applyFill="1" applyBorder="1" applyAlignment="1">
      <alignment horizontal="center"/>
    </xf>
    <xf numFmtId="0" fontId="61" fillId="4" borderId="4" xfId="0" applyFont="1" applyFill="1" applyBorder="1" applyAlignment="1">
      <alignment horizontal="center"/>
    </xf>
    <xf numFmtId="0" fontId="61" fillId="4" borderId="5" xfId="0" applyFont="1" applyFill="1" applyBorder="1" applyAlignment="1">
      <alignment horizontal="center"/>
    </xf>
    <xf numFmtId="0" fontId="61" fillId="4" borderId="21" xfId="0" applyFont="1" applyFill="1" applyBorder="1" applyAlignment="1">
      <alignment horizontal="center"/>
    </xf>
    <xf numFmtId="0" fontId="61" fillId="4" borderId="16" xfId="0" applyFont="1" applyFill="1" applyBorder="1" applyAlignment="1">
      <alignment horizontal="center"/>
    </xf>
    <xf numFmtId="0" fontId="61" fillId="4" borderId="1" xfId="0" applyFont="1" applyFill="1" applyBorder="1" applyAlignment="1">
      <alignment horizontal="center"/>
    </xf>
    <xf numFmtId="0" fontId="82" fillId="4" borderId="21" xfId="0" applyFont="1" applyFill="1" applyBorder="1" applyAlignment="1">
      <alignment horizontal="center"/>
    </xf>
    <xf numFmtId="0" fontId="82" fillId="4" borderId="16" xfId="0" applyFont="1" applyFill="1" applyBorder="1" applyAlignment="1">
      <alignment horizontal="center"/>
    </xf>
    <xf numFmtId="0" fontId="82" fillId="4" borderId="1" xfId="0" applyFont="1" applyFill="1" applyBorder="1" applyAlignment="1">
      <alignment horizontal="center"/>
    </xf>
  </cellXfs>
  <cellStyles count="61835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2 6 2 2" xfId="61771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78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80"/>
    <cellStyle name="20% - Accent1 2 20 5 2 2 3" xfId="61781"/>
    <cellStyle name="20% - Accent1 2 20 6" xfId="61782"/>
    <cellStyle name="20% - Accent1 2 20 7" xfId="61783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84"/>
    <cellStyle name="20% - Accent1 2 23 3" xfId="61785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2 6 2 2" xfId="61770"/>
    <cellStyle name="20% - Accent1 2 4 2 11 3 2 6 2 2 2" xfId="61824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19" xfId="61816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20" xfId="61832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64"/>
    <cellStyle name="20% - Accent1 2 4 3 17 2 2 2" xfId="61797"/>
    <cellStyle name="20% - Accent1 2 4 3 17 2 2 2 2" xfId="61808"/>
    <cellStyle name="20% - Accent1 2 4 3 17 2 2 3" xfId="61803"/>
    <cellStyle name="20% - Accent1 2 4 3 17 2 2 3 2" xfId="61812"/>
    <cellStyle name="20% - Accent1 2 4 3 17 2 2 3 2 2" xfId="61817"/>
    <cellStyle name="20% - Accent1 2 4 3 17 2 2 3 4" xfId="61827"/>
    <cellStyle name="20% - Accent1 2 4 3 17 2 2 3 4 2" xfId="61828"/>
    <cellStyle name="20% - Accent1 2 4 3 17 2 2 3 4 2 2" xfId="61833"/>
    <cellStyle name="20% - Accent1 2 4 3 17 2 3" xfId="61775"/>
    <cellStyle name="20% - Accent1 2 4 3 17 2 4" xfId="61796"/>
    <cellStyle name="20% - Accent1 2 4 3 17 2 4 2" xfId="61807"/>
    <cellStyle name="20% - Accent1 2 4 3 17 3" xfId="61734"/>
    <cellStyle name="20% - Accent1 2 4 3 17 4" xfId="61786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" xfId="61768"/>
    <cellStyle name="20% - Accent1 2 4 3 2 2 2 2 2 2 2 3 2 2 2" xfId="61802"/>
    <cellStyle name="20% - Accent1 2 4 3 2 2 2 2 2 2 2 3 2 2 2 2" xfId="61813"/>
    <cellStyle name="20% - Accent1 2 4 3 2 2 2 2 2 2 2 3 2 2 3" xfId="61806"/>
    <cellStyle name="20% - Accent1 2 4 3 2 2 2 2 2 2 2 3 2 2 3 2" xfId="61821"/>
    <cellStyle name="20% - Accent1 2 4 3 2 2 2 2 2 2 2 3 2 2 3 3" xfId="61830"/>
    <cellStyle name="20% - Accent1 2 4 3 2 2 2 2 2 2 2 3 2 3" xfId="61799"/>
    <cellStyle name="20% - Accent1 2 4 3 2 2 2 2 2 2 2 3 2 3 2" xfId="61811"/>
    <cellStyle name="20% - Accent1 2 4 3 2 2 2 2 2 2 2 3 3" xfId="61735"/>
    <cellStyle name="20% - Accent1 2 4 3 2 2 2 2 2 2 2 3 4" xfId="61787"/>
    <cellStyle name="20% - Accent1 2 4 3 2 2 2 2 2 2 2 3 5" xfId="61798"/>
    <cellStyle name="20% - Accent1 2 4 3 2 2 2 2 2 2 2 3 5 2" xfId="61810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2 6 2 2" xfId="61769"/>
    <cellStyle name="20% - Accent1 4 2 2 11 3 2 6 2 2 2" xfId="6182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88"/>
    <cellStyle name="20% - Accent1 4 21" xfId="61789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831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1" xfId="61826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72"/>
    <cellStyle name="20% - Accent1 7 4 11 2 3" xfId="61773"/>
    <cellStyle name="20% - Accent1 7 4 11 3" xfId="61777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66"/>
    <cellStyle name="20% - Accent1 7 4 12 2 3 3" xfId="61791"/>
    <cellStyle name="20% - Accent1 7 4 12 2 3 4" xfId="61822"/>
    <cellStyle name="20% - Accent1 7 4 12 2 4" xfId="61792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" xfId="61767"/>
    <cellStyle name="20% - Accent1 7 4 2 4 5 5 2 2 2" xfId="61776"/>
    <cellStyle name="20% - Accent1 7 4 2 4 5 5 2 2 3" xfId="61801"/>
    <cellStyle name="20% - Accent1 7 4 2 4 5 5 2 2 3 2" xfId="61815"/>
    <cellStyle name="20% - Accent1 7 4 2 4 5 5 2 2 3 2 2" xfId="61823"/>
    <cellStyle name="20% - Accent1 7 4 2 4 5 5 2 2 4" xfId="61805"/>
    <cellStyle name="20% - Accent1 7 4 2 4 5 5 2 2 4 2" xfId="61819"/>
    <cellStyle name="20% - Accent1 7 4 2 4 5 5 2 2 4 3" xfId="61825"/>
    <cellStyle name="20% - Accent1 7 4 2 4 5 5 2 3" xfId="61774"/>
    <cellStyle name="20% - Accent1 7 4 2 4 5 5 3" xfId="61765"/>
    <cellStyle name="20% - Accent1 7 4 2 4 5 5 3 2" xfId="61800"/>
    <cellStyle name="20% - Accent1 7 4 2 4 5 5 3 2 2" xfId="61814"/>
    <cellStyle name="20% - Accent1 7 4 2 4 5 5 3 3" xfId="61804"/>
    <cellStyle name="20% - Accent1 7 4 2 4 5 5 3 3 2" xfId="61818"/>
    <cellStyle name="20% - Accent1 7 4 2 4 5 6" xfId="61793"/>
    <cellStyle name="20% - Accent1 7 4 2 4 5 7" xfId="61809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94"/>
    <cellStyle name="20% - Accent1 7 4 9 3 2 3" xfId="61795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829"/>
    <cellStyle name="Normal 6 2" xfId="61834"/>
    <cellStyle name="Style 2" xfId="4"/>
  </cellStyles>
  <dxfs count="0"/>
  <tableStyles count="0" defaultTableStyle="TableStyleMedium9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2</xdr:col>
          <xdr:colOff>1533525</xdr:colOff>
          <xdr:row>24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2</xdr:col>
          <xdr:colOff>1524000</xdr:colOff>
          <xdr:row>28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20</xdr:row>
          <xdr:rowOff>9525</xdr:rowOff>
        </xdr:from>
        <xdr:to>
          <xdr:col>1</xdr:col>
          <xdr:colOff>476250</xdr:colOff>
          <xdr:row>21</xdr:row>
          <xdr:rowOff>19050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15</xdr:row>
          <xdr:rowOff>47625</xdr:rowOff>
        </xdr:from>
        <xdr:to>
          <xdr:col>0</xdr:col>
          <xdr:colOff>1924050</xdr:colOff>
          <xdr:row>16</xdr:row>
          <xdr:rowOff>57150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16</xdr:row>
          <xdr:rowOff>76200</xdr:rowOff>
        </xdr:from>
        <xdr:to>
          <xdr:col>0</xdr:col>
          <xdr:colOff>1924050</xdr:colOff>
          <xdr:row>17</xdr:row>
          <xdr:rowOff>66675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17</xdr:row>
          <xdr:rowOff>95250</xdr:rowOff>
        </xdr:from>
        <xdr:to>
          <xdr:col>0</xdr:col>
          <xdr:colOff>1924050</xdr:colOff>
          <xdr:row>18</xdr:row>
          <xdr:rowOff>104775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661" name="OpenMkt-Commercial" hidden="1">
              <a:extLst>
                <a:ext uri="{63B3BB69-23CF-44E3-9099-C40C66FF867C}">
                  <a14:compatExt spid="_x0000_s4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4662" name="Test-Lab" hidden="1">
              <a:extLst>
                <a:ext uri="{63B3BB69-23CF-44E3-9099-C40C66FF867C}">
                  <a14:compatExt spid="_x0000_s4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663" name="Subsidized-Commercial" hidden="1">
              <a:extLst>
                <a:ext uri="{63B3BB69-23CF-44E3-9099-C40C66FF867C}">
                  <a14:compatExt spid="_x0000_s4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4664" name="VoLTE_OpnMkt-Commercial" hidden="1">
              <a:extLst>
                <a:ext uri="{63B3BB69-23CF-44E3-9099-C40C66FF867C}">
                  <a14:compatExt spid="_x0000_s4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W51"/>
  <sheetViews>
    <sheetView tabSelected="1" zoomScale="85" zoomScaleNormal="85" workbookViewId="0">
      <selection activeCell="E32" sqref="E32"/>
    </sheetView>
  </sheetViews>
  <sheetFormatPr defaultRowHeight="12.75" x14ac:dyDescent="0.2"/>
  <cols>
    <col min="1" max="1" width="29.42578125" bestFit="1" customWidth="1"/>
    <col min="2" max="2" width="21" style="13" customWidth="1"/>
    <col min="3" max="3" width="27.5703125" customWidth="1"/>
    <col min="4" max="4" width="23.42578125" style="42" customWidth="1"/>
    <col min="5" max="5" width="25" customWidth="1"/>
    <col min="6" max="6" width="27.5703125" customWidth="1"/>
    <col min="7" max="7" width="27.85546875" customWidth="1"/>
  </cols>
  <sheetData>
    <row r="1" spans="1:23" s="1" customFormat="1" ht="12.75" customHeight="1" x14ac:dyDescent="0.3"/>
    <row r="2" spans="1:23" s="7" customFormat="1" ht="45" customHeight="1" x14ac:dyDescent="0.2">
      <c r="A2" s="328" t="s">
        <v>151</v>
      </c>
      <c r="B2" s="328"/>
      <c r="C2" s="328"/>
      <c r="D2" s="74"/>
    </row>
    <row r="3" spans="1:23" s="1" customFormat="1" ht="15" x14ac:dyDescent="0.3"/>
    <row r="4" spans="1:23" s="1" customFormat="1" ht="15" x14ac:dyDescent="0.3">
      <c r="A4" s="3" t="s">
        <v>0</v>
      </c>
      <c r="B4" s="32">
        <f>MAX('Revision History'!C:C)</f>
        <v>42636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</row>
    <row r="5" spans="1:23" s="1" customFormat="1" ht="15" x14ac:dyDescent="0.3">
      <c r="A5" s="3" t="s">
        <v>1</v>
      </c>
      <c r="B5" s="33">
        <f>LOOKUP(2,1/('Revision History'!B:B&lt;&gt;""),'Revision History'!B:B)</f>
        <v>75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</row>
    <row r="6" spans="1:23" s="1" customFormat="1" ht="15" x14ac:dyDescent="0.3">
      <c r="A6" s="23" t="s">
        <v>150</v>
      </c>
      <c r="B6" s="96" t="s">
        <v>286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</row>
    <row r="7" spans="1:23" s="1" customFormat="1" ht="15" x14ac:dyDescent="0.3">
      <c r="A7" s="23" t="s">
        <v>148</v>
      </c>
      <c r="B7" s="28" t="s">
        <v>207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23" s="1" customFormat="1" ht="15" x14ac:dyDescent="0.3">
      <c r="A8" s="23" t="s">
        <v>149</v>
      </c>
      <c r="B8" s="28" t="s">
        <v>208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</row>
    <row r="9" spans="1:23" s="1" customFormat="1" ht="15" x14ac:dyDescent="0.3">
      <c r="A9" s="23" t="s">
        <v>209</v>
      </c>
      <c r="B9" s="28" t="s">
        <v>206</v>
      </c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</row>
    <row r="10" spans="1:23" s="1" customFormat="1" ht="20.25" thickBot="1" x14ac:dyDescent="0.45">
      <c r="A10" s="31" t="s">
        <v>54</v>
      </c>
      <c r="B10" s="31"/>
      <c r="C10" s="31"/>
      <c r="D10" s="31"/>
      <c r="E10" s="31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</row>
    <row r="11" spans="1:23" s="1" customFormat="1" ht="15.75" thickBot="1" x14ac:dyDescent="0.35">
      <c r="A11" s="5"/>
      <c r="B11" s="5" t="s">
        <v>271</v>
      </c>
      <c r="C11" s="5" t="s">
        <v>268</v>
      </c>
      <c r="D11" s="5" t="s">
        <v>272</v>
      </c>
      <c r="E11" s="5" t="s">
        <v>964</v>
      </c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</row>
    <row r="12" spans="1:23" s="2" customFormat="1" ht="15" x14ac:dyDescent="0.3">
      <c r="A12" s="4" t="s">
        <v>2</v>
      </c>
      <c r="B12" s="55">
        <v>21</v>
      </c>
      <c r="C12" s="55">
        <v>21</v>
      </c>
      <c r="D12" s="55">
        <v>21</v>
      </c>
      <c r="E12" s="55">
        <v>21</v>
      </c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</row>
    <row r="13" spans="1:23" s="41" customFormat="1" ht="15" x14ac:dyDescent="0.3">
      <c r="A13" s="16" t="s">
        <v>41</v>
      </c>
      <c r="B13" s="16" t="str">
        <f>'OpenMkt-Commercial'!F134</f>
        <v>0x05011511</v>
      </c>
      <c r="C13" s="16" t="str">
        <f>'Test-Lab'!F117</f>
        <v>0x05011500</v>
      </c>
      <c r="D13" s="16" t="str">
        <f>'Subsidized-Commercial'!F132</f>
        <v>0x05011521</v>
      </c>
      <c r="E13" s="16" t="str">
        <f>'VoLTE_OpnMkt-Commercial'!$F$651</f>
        <v>0x05011535</v>
      </c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</row>
    <row r="14" spans="1:23" s="66" customFormat="1" ht="15" x14ac:dyDescent="0.3">
      <c r="A14" s="55" t="s">
        <v>48</v>
      </c>
      <c r="B14" s="55">
        <v>1</v>
      </c>
      <c r="C14" s="55">
        <v>1</v>
      </c>
      <c r="D14" s="55">
        <v>1</v>
      </c>
      <c r="E14" s="55">
        <v>1</v>
      </c>
      <c r="F14" s="42"/>
      <c r="G14" s="42"/>
      <c r="N14" s="42"/>
      <c r="O14" s="42"/>
      <c r="P14" s="42"/>
      <c r="Q14" s="42"/>
      <c r="R14" s="42"/>
      <c r="S14" s="42"/>
    </row>
    <row r="15" spans="1:23" s="64" customFormat="1" ht="15.75" thickBot="1" x14ac:dyDescent="0.35">
      <c r="A15" s="69" t="s">
        <v>153</v>
      </c>
      <c r="B15" s="69"/>
      <c r="C15" s="69"/>
      <c r="D15" s="69"/>
      <c r="E15" s="69"/>
      <c r="F15" s="42"/>
      <c r="G15" s="42"/>
      <c r="H15" s="66"/>
      <c r="I15" s="66"/>
      <c r="J15" s="66"/>
      <c r="K15" s="66"/>
      <c r="L15" s="66"/>
      <c r="M15" s="66"/>
      <c r="N15" s="42"/>
      <c r="O15" s="42"/>
      <c r="P15" s="42"/>
      <c r="Q15" s="42"/>
      <c r="R15" s="42"/>
      <c r="S15" s="42"/>
    </row>
    <row r="16" spans="1:23" s="66" customFormat="1" ht="15" x14ac:dyDescent="0.3">
      <c r="A16" s="60"/>
      <c r="B16" s="60"/>
      <c r="C16" s="60"/>
      <c r="E16" s="42"/>
      <c r="F16" s="42"/>
      <c r="G16" s="42"/>
      <c r="L16" s="42"/>
      <c r="M16" s="42"/>
      <c r="N16" s="42"/>
      <c r="O16" s="42"/>
      <c r="P16" s="42"/>
      <c r="Q16" s="42"/>
      <c r="R16" s="42"/>
      <c r="S16" s="42"/>
    </row>
    <row r="17" spans="1:23" s="66" customFormat="1" ht="15" x14ac:dyDescent="0.3">
      <c r="A17" s="60"/>
      <c r="B17" s="60"/>
      <c r="C17" s="60"/>
      <c r="D17" s="60"/>
      <c r="H17" s="42"/>
      <c r="I17" s="42"/>
      <c r="J17" s="42"/>
      <c r="K17" s="42"/>
      <c r="P17" s="42"/>
      <c r="Q17" s="42"/>
      <c r="R17" s="42"/>
      <c r="S17" s="42"/>
      <c r="T17" s="42"/>
      <c r="U17" s="42"/>
      <c r="V17" s="42"/>
      <c r="W17" s="42"/>
    </row>
    <row r="18" spans="1:23" s="2" customFormat="1" ht="15" x14ac:dyDescent="0.3">
      <c r="A18"/>
      <c r="B18" s="13"/>
      <c r="C18"/>
      <c r="D18" s="42"/>
      <c r="H18" s="42"/>
      <c r="I18" s="42"/>
      <c r="J18" s="42"/>
      <c r="K18" s="42"/>
      <c r="L18" s="66"/>
      <c r="M18" s="66"/>
      <c r="N18" s="66"/>
      <c r="O18" s="66"/>
      <c r="P18" s="42"/>
      <c r="Q18" s="42"/>
      <c r="R18" s="42"/>
      <c r="S18" s="42"/>
      <c r="T18" s="42"/>
      <c r="U18" s="42"/>
      <c r="V18" s="42"/>
      <c r="W18" s="42"/>
    </row>
    <row r="19" spans="1:23" s="2" customFormat="1" ht="15" x14ac:dyDescent="0.3">
      <c r="A19"/>
      <c r="B19" s="13"/>
      <c r="C19"/>
      <c r="D19" s="42"/>
      <c r="H19" s="42"/>
      <c r="I19" s="42"/>
      <c r="J19" s="42"/>
      <c r="K19" s="42"/>
      <c r="L19" s="66"/>
      <c r="M19" s="66"/>
      <c r="N19" s="66"/>
      <c r="O19" s="66"/>
      <c r="P19" s="42"/>
      <c r="Q19" s="42"/>
      <c r="R19" s="42"/>
      <c r="S19" s="42"/>
      <c r="T19" s="42"/>
      <c r="U19" s="42"/>
      <c r="V19" s="42"/>
      <c r="W19" s="42"/>
    </row>
    <row r="20" spans="1:23" s="2" customFormat="1" ht="15" x14ac:dyDescent="0.3">
      <c r="B20" s="14"/>
      <c r="D20" s="66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</row>
    <row r="21" spans="1:23" s="2" customFormat="1" ht="15" x14ac:dyDescent="0.3">
      <c r="A21" s="11" t="s">
        <v>78</v>
      </c>
      <c r="B21" s="11"/>
      <c r="D21" s="66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</row>
    <row r="22" spans="1:23" s="2" customFormat="1" ht="15" x14ac:dyDescent="0.3">
      <c r="A22" s="10"/>
      <c r="B22" s="10"/>
      <c r="D22" s="66"/>
    </row>
    <row r="23" spans="1:23" s="2" customFormat="1" ht="15" x14ac:dyDescent="0.3">
      <c r="A23"/>
      <c r="B23" s="13"/>
      <c r="C23"/>
      <c r="D23" s="42"/>
    </row>
    <row r="24" spans="1:23" s="2" customFormat="1" ht="15" x14ac:dyDescent="0.3">
      <c r="A24"/>
      <c r="B24" s="13"/>
      <c r="C24"/>
      <c r="D24" s="42"/>
    </row>
    <row r="25" spans="1:23" s="2" customFormat="1" ht="15" x14ac:dyDescent="0.3">
      <c r="A25"/>
      <c r="B25" s="13"/>
      <c r="C25"/>
      <c r="D25" s="42"/>
    </row>
    <row r="37" spans="1:6" ht="20.25" thickBot="1" x14ac:dyDescent="0.45">
      <c r="A37" s="76" t="s">
        <v>172</v>
      </c>
      <c r="B37" s="76"/>
      <c r="C37" s="76"/>
      <c r="D37" s="76"/>
      <c r="E37" s="76"/>
      <c r="F37" s="77"/>
    </row>
    <row r="38" spans="1:6" ht="15" x14ac:dyDescent="0.3">
      <c r="A38" s="78" t="s">
        <v>173</v>
      </c>
      <c r="B38" s="79"/>
      <c r="C38" s="80" t="s">
        <v>174</v>
      </c>
      <c r="D38" s="15"/>
      <c r="E38" s="15"/>
      <c r="F38" s="73"/>
    </row>
    <row r="39" spans="1:6" ht="17.25" x14ac:dyDescent="0.35">
      <c r="A39" s="81" t="s">
        <v>175</v>
      </c>
      <c r="B39" s="82"/>
      <c r="C39" s="83" t="s">
        <v>176</v>
      </c>
      <c r="D39" s="15"/>
      <c r="E39" s="15"/>
      <c r="F39" s="73"/>
    </row>
    <row r="40" spans="1:6" ht="15" x14ac:dyDescent="0.3">
      <c r="A40" s="84" t="s">
        <v>177</v>
      </c>
      <c r="B40" s="85"/>
      <c r="C40" s="83" t="s">
        <v>178</v>
      </c>
      <c r="D40" s="15"/>
      <c r="E40" s="15"/>
      <c r="F40" s="73"/>
    </row>
    <row r="41" spans="1:6" ht="15" x14ac:dyDescent="0.3">
      <c r="A41" s="86" t="s">
        <v>179</v>
      </c>
      <c r="B41" s="87"/>
      <c r="C41" s="83" t="s">
        <v>180</v>
      </c>
      <c r="D41" s="15"/>
      <c r="E41" s="15"/>
      <c r="F41" s="73"/>
    </row>
    <row r="42" spans="1:6" ht="17.25" x14ac:dyDescent="0.35">
      <c r="A42" s="88" t="s">
        <v>181</v>
      </c>
      <c r="B42" s="89"/>
      <c r="C42" s="83" t="s">
        <v>182</v>
      </c>
      <c r="D42" s="15"/>
      <c r="E42" s="15"/>
      <c r="F42" s="73"/>
    </row>
    <row r="43" spans="1:6" ht="15" x14ac:dyDescent="0.3">
      <c r="A43" s="90" t="s">
        <v>183</v>
      </c>
      <c r="B43" s="91"/>
      <c r="C43" s="92" t="s">
        <v>184</v>
      </c>
      <c r="D43" s="93"/>
      <c r="E43" s="93"/>
      <c r="F43" s="94"/>
    </row>
    <row r="50" spans="2:2" x14ac:dyDescent="0.2">
      <c r="B50"/>
    </row>
    <row r="51" spans="2:2" x14ac:dyDescent="0.2">
      <c r="B51"/>
    </row>
  </sheetData>
  <mergeCells count="1">
    <mergeCell ref="A2:C2"/>
  </mergeCells>
  <hyperlinks>
    <hyperlink ref="B11" location="'OpenMkt-Commercial'!A5" tooltip="Jump to worksheet" display="'OpenMkt-Commercial'!A5"/>
    <hyperlink ref="C11" location="'Test-Lab'!A5" tooltip="Jump to worksheet" display="'Test-Lab'!A5"/>
    <hyperlink ref="D11" location="'Subsidized-Commercial'!A5" tooltip="Jump to worksheet" display="'Subsidized-Commercial'!A5"/>
    <hyperlink ref="E11" location="'VoLTE_OpnMkt-Commercial'!A5" tooltip="Jump to worksheet" display="'VoLTE_OpnMkt-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295275</xdr:colOff>
                    <xdr:row>20</xdr:row>
                    <xdr:rowOff>9525</xdr:rowOff>
                  </from>
                  <to>
                    <xdr:col>1</xdr:col>
                    <xdr:colOff>476250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2</xdr:col>
                    <xdr:colOff>1533525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2</xdr:col>
                    <xdr:colOff>1524000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7" name="Button 23">
              <controlPr defaultSize="0" print="0" autoFill="0" autoPict="0" macro="[0]!SelAllCfgs">
                <anchor moveWithCells="1" sizeWithCells="1">
                  <from>
                    <xdr:col>0</xdr:col>
                    <xdr:colOff>552450</xdr:colOff>
                    <xdr:row>15</xdr:row>
                    <xdr:rowOff>47625</xdr:rowOff>
                  </from>
                  <to>
                    <xdr:col>0</xdr:col>
                    <xdr:colOff>1924050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8" name="Button 24">
              <controlPr defaultSize="0" print="0" autoFill="0" autoPict="0" macro="[0]!DeselAllCfgs">
                <anchor moveWithCells="1" sizeWithCells="1">
                  <from>
                    <xdr:col>0</xdr:col>
                    <xdr:colOff>561975</xdr:colOff>
                    <xdr:row>16</xdr:row>
                    <xdr:rowOff>76200</xdr:rowOff>
                  </from>
                  <to>
                    <xdr:col>0</xdr:col>
                    <xdr:colOff>1924050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Button 63">
              <controlPr defaultSize="0" print="0" autoFill="0" autoPict="0" macro="[0]!RefreshSummary">
                <anchor moveWithCells="1" sizeWithCells="1">
                  <from>
                    <xdr:col>0</xdr:col>
                    <xdr:colOff>581025</xdr:colOff>
                    <xdr:row>17</xdr:row>
                    <xdr:rowOff>95250</xdr:rowOff>
                  </from>
                  <to>
                    <xdr:col>0</xdr:col>
                    <xdr:colOff>1924050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0" name="OpenMkt-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1" name="Test-Lab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2" name="Subsidized-Commercial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3" name="VoLTE_OpnMkt-Commercial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autoPageBreaks="0"/>
  </sheetPr>
  <dimension ref="A2:M153"/>
  <sheetViews>
    <sheetView topLeftCell="C111" zoomScale="85" zoomScaleNormal="85" workbookViewId="0">
      <selection activeCell="B1" sqref="B1"/>
    </sheetView>
  </sheetViews>
  <sheetFormatPr defaultColWidth="9.140625" defaultRowHeight="12.75" x14ac:dyDescent="0.2"/>
  <cols>
    <col min="1" max="1" width="35.42578125" style="42" customWidth="1"/>
    <col min="2" max="2" width="52.28515625" style="42" customWidth="1"/>
    <col min="3" max="3" width="13.7109375" style="43" bestFit="1" customWidth="1"/>
    <col min="4" max="4" width="13.85546875" style="42" bestFit="1" customWidth="1"/>
    <col min="5" max="5" width="39.7109375" style="42" customWidth="1"/>
    <col min="6" max="6" width="47.5703125" style="43" customWidth="1"/>
    <col min="7" max="7" width="10.42578125" style="42" bestFit="1" customWidth="1"/>
    <col min="8" max="8" width="84" style="44" customWidth="1"/>
    <col min="9" max="9" width="46.140625" style="42" customWidth="1"/>
    <col min="10" max="10" width="19.28515625" style="42" customWidth="1"/>
    <col min="11" max="16384" width="9.140625" style="42"/>
  </cols>
  <sheetData>
    <row r="2" spans="1:9" s="8" customFormat="1" ht="27.75" x14ac:dyDescent="0.55000000000000004">
      <c r="A2" s="329" t="s">
        <v>140</v>
      </c>
      <c r="B2" s="329"/>
      <c r="C2" s="329"/>
      <c r="D2" s="329"/>
      <c r="E2" s="329"/>
      <c r="F2" s="329"/>
      <c r="G2" s="329"/>
      <c r="H2" s="329"/>
      <c r="I2" s="329"/>
    </row>
    <row r="3" spans="1:9" ht="13.5" thickBot="1" x14ac:dyDescent="0.25">
      <c r="A3" s="47"/>
    </row>
    <row r="4" spans="1:9" s="57" customFormat="1" ht="20.25" thickBot="1" x14ac:dyDescent="0.45">
      <c r="A4" s="330" t="s">
        <v>152</v>
      </c>
      <c r="B4" s="331"/>
      <c r="C4" s="331"/>
      <c r="D4" s="331"/>
      <c r="E4" s="331"/>
      <c r="F4" s="331"/>
      <c r="G4" s="331"/>
      <c r="H4" s="332"/>
    </row>
    <row r="5" spans="1:9" s="1" customFormat="1" ht="15.75" thickBot="1" x14ac:dyDescent="0.35">
      <c r="A5" s="72" t="s">
        <v>8</v>
      </c>
      <c r="B5" s="71" t="s">
        <v>7</v>
      </c>
      <c r="C5" s="72" t="s">
        <v>35</v>
      </c>
      <c r="D5" s="72" t="s">
        <v>36</v>
      </c>
      <c r="E5" s="72" t="s">
        <v>9</v>
      </c>
      <c r="F5" s="72" t="s">
        <v>37</v>
      </c>
      <c r="G5" s="183" t="s">
        <v>43</v>
      </c>
      <c r="H5" s="184" t="s">
        <v>10</v>
      </c>
    </row>
    <row r="6" spans="1:9" s="66" customFormat="1" ht="17.25" x14ac:dyDescent="0.35">
      <c r="A6" s="185" t="s">
        <v>12</v>
      </c>
      <c r="B6" s="186">
        <v>71</v>
      </c>
      <c r="C6" s="186"/>
      <c r="D6" s="186"/>
      <c r="E6" s="187" t="s">
        <v>13</v>
      </c>
      <c r="F6" s="186"/>
      <c r="G6" s="186" t="s">
        <v>162</v>
      </c>
      <c r="H6" s="188" t="s">
        <v>6</v>
      </c>
    </row>
    <row r="7" spans="1:9" s="66" customFormat="1" ht="17.25" x14ac:dyDescent="0.35">
      <c r="A7" s="189"/>
      <c r="B7" s="166"/>
      <c r="C7" s="166" t="s">
        <v>39</v>
      </c>
      <c r="D7" s="166">
        <v>13</v>
      </c>
      <c r="E7" s="175" t="s">
        <v>14</v>
      </c>
      <c r="F7" s="166" t="s">
        <v>216</v>
      </c>
      <c r="G7" s="166"/>
      <c r="H7" s="180"/>
    </row>
    <row r="8" spans="1:9" s="66" customFormat="1" ht="17.25" x14ac:dyDescent="0.35">
      <c r="A8" s="189" t="s">
        <v>79</v>
      </c>
      <c r="B8" s="166">
        <v>848</v>
      </c>
      <c r="C8" s="166"/>
      <c r="D8" s="166"/>
      <c r="E8" s="175"/>
      <c r="F8" s="166"/>
      <c r="G8" s="166" t="s">
        <v>163</v>
      </c>
      <c r="H8" s="180"/>
    </row>
    <row r="9" spans="1:9" s="66" customFormat="1" ht="17.25" x14ac:dyDescent="0.35">
      <c r="A9" s="189"/>
      <c r="B9" s="166"/>
      <c r="C9" s="166" t="s">
        <v>38</v>
      </c>
      <c r="D9" s="166">
        <v>1</v>
      </c>
      <c r="E9" s="175" t="s">
        <v>11</v>
      </c>
      <c r="F9" s="166">
        <v>0</v>
      </c>
      <c r="G9" s="166"/>
      <c r="H9" s="180"/>
    </row>
    <row r="10" spans="1:9" s="66" customFormat="1" ht="51.75" x14ac:dyDescent="0.35">
      <c r="A10" s="189"/>
      <c r="B10" s="166"/>
      <c r="C10" s="166" t="s">
        <v>38</v>
      </c>
      <c r="D10" s="166">
        <v>2</v>
      </c>
      <c r="E10" s="175" t="s">
        <v>80</v>
      </c>
      <c r="F10" s="166">
        <v>2</v>
      </c>
      <c r="G10" s="166"/>
      <c r="H10" s="180" t="s">
        <v>81</v>
      </c>
    </row>
    <row r="11" spans="1:9" s="66" customFormat="1" ht="34.5" x14ac:dyDescent="0.35">
      <c r="A11" s="189" t="s">
        <v>82</v>
      </c>
      <c r="B11" s="166">
        <v>849</v>
      </c>
      <c r="C11" s="166"/>
      <c r="D11" s="166"/>
      <c r="E11" s="175"/>
      <c r="F11" s="166"/>
      <c r="G11" s="166" t="s">
        <v>163</v>
      </c>
      <c r="H11" s="180"/>
    </row>
    <row r="12" spans="1:9" s="66" customFormat="1" ht="17.25" x14ac:dyDescent="0.35">
      <c r="A12" s="189"/>
      <c r="B12" s="166"/>
      <c r="C12" s="166" t="s">
        <v>38</v>
      </c>
      <c r="D12" s="166">
        <v>1</v>
      </c>
      <c r="E12" s="175" t="s">
        <v>11</v>
      </c>
      <c r="F12" s="166">
        <v>0</v>
      </c>
      <c r="G12" s="166"/>
      <c r="H12" s="180"/>
    </row>
    <row r="13" spans="1:9" s="66" customFormat="1" ht="34.5" x14ac:dyDescent="0.35">
      <c r="A13" s="189"/>
      <c r="B13" s="166"/>
      <c r="C13" s="166" t="s">
        <v>38</v>
      </c>
      <c r="D13" s="166">
        <v>2</v>
      </c>
      <c r="E13" s="175" t="s">
        <v>83</v>
      </c>
      <c r="F13" s="166">
        <v>0</v>
      </c>
      <c r="G13" s="166"/>
      <c r="H13" s="180" t="s">
        <v>84</v>
      </c>
    </row>
    <row r="14" spans="1:9" s="66" customFormat="1" ht="34.5" x14ac:dyDescent="0.35">
      <c r="A14" s="194" t="s">
        <v>194</v>
      </c>
      <c r="B14" s="166">
        <v>1930</v>
      </c>
      <c r="C14" s="166" t="s">
        <v>38</v>
      </c>
      <c r="D14" s="166">
        <v>1</v>
      </c>
      <c r="E14" s="179" t="s">
        <v>195</v>
      </c>
      <c r="F14" s="166">
        <v>2</v>
      </c>
      <c r="G14" s="166" t="s">
        <v>162</v>
      </c>
      <c r="H14" s="195" t="s">
        <v>196</v>
      </c>
    </row>
    <row r="15" spans="1:9" s="66" customFormat="1" ht="34.5" x14ac:dyDescent="0.35">
      <c r="A15" s="194" t="s">
        <v>17</v>
      </c>
      <c r="B15" s="166">
        <v>1920</v>
      </c>
      <c r="C15" s="166" t="s">
        <v>38</v>
      </c>
      <c r="D15" s="166">
        <v>4</v>
      </c>
      <c r="E15" s="179" t="s">
        <v>18</v>
      </c>
      <c r="F15" s="166" t="s">
        <v>221</v>
      </c>
      <c r="G15" s="166" t="s">
        <v>162</v>
      </c>
      <c r="H15" s="195" t="s">
        <v>17</v>
      </c>
    </row>
    <row r="16" spans="1:9" s="66" customFormat="1" ht="17.25" x14ac:dyDescent="0.35">
      <c r="A16" s="194" t="s">
        <v>222</v>
      </c>
      <c r="B16" s="166">
        <v>452</v>
      </c>
      <c r="C16" s="166" t="s">
        <v>38</v>
      </c>
      <c r="D16" s="166">
        <v>4</v>
      </c>
      <c r="E16" s="179" t="s">
        <v>223</v>
      </c>
      <c r="F16" s="166">
        <v>0</v>
      </c>
      <c r="G16" s="166" t="s">
        <v>162</v>
      </c>
      <c r="H16" s="195" t="s">
        <v>222</v>
      </c>
    </row>
    <row r="17" spans="1:8" s="66" customFormat="1" ht="17.25" x14ac:dyDescent="0.35">
      <c r="A17" s="194" t="s">
        <v>224</v>
      </c>
      <c r="B17" s="166">
        <v>3758</v>
      </c>
      <c r="C17" s="166" t="s">
        <v>38</v>
      </c>
      <c r="D17" s="166">
        <v>1</v>
      </c>
      <c r="E17" s="179" t="s">
        <v>225</v>
      </c>
      <c r="F17" s="166">
        <v>1</v>
      </c>
      <c r="G17" s="166" t="s">
        <v>162</v>
      </c>
      <c r="H17" s="195" t="s">
        <v>224</v>
      </c>
    </row>
    <row r="18" spans="1:8" s="66" customFormat="1" ht="17.25" x14ac:dyDescent="0.35">
      <c r="A18" s="194" t="s">
        <v>226</v>
      </c>
      <c r="B18" s="166">
        <v>6789</v>
      </c>
      <c r="C18" s="166" t="s">
        <v>38</v>
      </c>
      <c r="D18" s="166">
        <v>1</v>
      </c>
      <c r="E18" s="179" t="s">
        <v>227</v>
      </c>
      <c r="F18" s="166" t="s">
        <v>228</v>
      </c>
      <c r="G18" s="166" t="s">
        <v>162</v>
      </c>
      <c r="H18" s="195" t="s">
        <v>226</v>
      </c>
    </row>
    <row r="19" spans="1:8" s="66" customFormat="1" ht="34.5" x14ac:dyDescent="0.35">
      <c r="A19" s="194" t="s">
        <v>229</v>
      </c>
      <c r="B19" s="166">
        <v>6790</v>
      </c>
      <c r="C19" s="166" t="s">
        <v>38</v>
      </c>
      <c r="D19" s="166">
        <v>2</v>
      </c>
      <c r="E19" s="179" t="s">
        <v>230</v>
      </c>
      <c r="F19" s="166">
        <v>0</v>
      </c>
      <c r="G19" s="166" t="s">
        <v>162</v>
      </c>
      <c r="H19" s="195" t="s">
        <v>229</v>
      </c>
    </row>
    <row r="20" spans="1:8" s="66" customFormat="1" ht="17.25" x14ac:dyDescent="0.35">
      <c r="A20" s="194" t="s">
        <v>231</v>
      </c>
      <c r="B20" s="166">
        <v>4707</v>
      </c>
      <c r="C20" s="166" t="s">
        <v>38</v>
      </c>
      <c r="D20" s="166">
        <v>1</v>
      </c>
      <c r="E20" s="179" t="s">
        <v>232</v>
      </c>
      <c r="F20" s="166">
        <v>1</v>
      </c>
      <c r="G20" s="166" t="s">
        <v>162</v>
      </c>
      <c r="H20" s="195" t="s">
        <v>231</v>
      </c>
    </row>
    <row r="21" spans="1:8" s="66" customFormat="1" ht="17.25" x14ac:dyDescent="0.35">
      <c r="A21" s="194" t="s">
        <v>233</v>
      </c>
      <c r="B21" s="166">
        <v>3520</v>
      </c>
      <c r="C21" s="166" t="s">
        <v>38</v>
      </c>
      <c r="D21" s="166">
        <v>2</v>
      </c>
      <c r="E21" s="179" t="s">
        <v>234</v>
      </c>
      <c r="F21" s="166" t="s">
        <v>158</v>
      </c>
      <c r="G21" s="166" t="s">
        <v>162</v>
      </c>
      <c r="H21" s="195" t="s">
        <v>233</v>
      </c>
    </row>
    <row r="22" spans="1:8" s="66" customFormat="1" ht="17.25" x14ac:dyDescent="0.35">
      <c r="A22" s="194" t="s">
        <v>235</v>
      </c>
      <c r="B22" s="166">
        <v>4927</v>
      </c>
      <c r="C22" s="166" t="s">
        <v>38</v>
      </c>
      <c r="D22" s="166">
        <v>1</v>
      </c>
      <c r="E22" s="179" t="s">
        <v>236</v>
      </c>
      <c r="F22" s="166">
        <v>1</v>
      </c>
      <c r="G22" s="166" t="s">
        <v>162</v>
      </c>
      <c r="H22" s="195" t="s">
        <v>235</v>
      </c>
    </row>
    <row r="23" spans="1:8" s="66" customFormat="1" ht="17.25" x14ac:dyDescent="0.35">
      <c r="A23" s="194" t="s">
        <v>237</v>
      </c>
      <c r="B23" s="166">
        <v>4627</v>
      </c>
      <c r="C23" s="166" t="s">
        <v>38</v>
      </c>
      <c r="D23" s="166">
        <v>1</v>
      </c>
      <c r="E23" s="179" t="s">
        <v>238</v>
      </c>
      <c r="F23" s="166">
        <v>1</v>
      </c>
      <c r="G23" s="166" t="s">
        <v>162</v>
      </c>
      <c r="H23" s="195" t="s">
        <v>237</v>
      </c>
    </row>
    <row r="24" spans="1:8" s="66" customFormat="1" ht="17.25" x14ac:dyDescent="0.35">
      <c r="A24" s="194" t="s">
        <v>239</v>
      </c>
      <c r="B24" s="166">
        <v>4628</v>
      </c>
      <c r="C24" s="166" t="s">
        <v>38</v>
      </c>
      <c r="D24" s="166">
        <v>2</v>
      </c>
      <c r="E24" s="179" t="s">
        <v>240</v>
      </c>
      <c r="F24" s="166">
        <v>24</v>
      </c>
      <c r="G24" s="166" t="s">
        <v>162</v>
      </c>
      <c r="H24" s="195" t="s">
        <v>239</v>
      </c>
    </row>
    <row r="25" spans="1:8" s="66" customFormat="1" ht="34.5" x14ac:dyDescent="0.35">
      <c r="A25" s="194" t="s">
        <v>241</v>
      </c>
      <c r="B25" s="166">
        <v>4629</v>
      </c>
      <c r="C25" s="166" t="s">
        <v>38</v>
      </c>
      <c r="D25" s="166">
        <v>1</v>
      </c>
      <c r="E25" s="179" t="s">
        <v>242</v>
      </c>
      <c r="F25" s="166">
        <v>3</v>
      </c>
      <c r="G25" s="166" t="s">
        <v>162</v>
      </c>
      <c r="H25" s="195" t="s">
        <v>241</v>
      </c>
    </row>
    <row r="26" spans="1:8" s="66" customFormat="1" ht="34.5" x14ac:dyDescent="0.35">
      <c r="A26" s="194" t="s">
        <v>243</v>
      </c>
      <c r="B26" s="166">
        <v>4703</v>
      </c>
      <c r="C26" s="166" t="s">
        <v>39</v>
      </c>
      <c r="D26" s="166">
        <v>128</v>
      </c>
      <c r="E26" s="179" t="s">
        <v>244</v>
      </c>
      <c r="F26" s="166" t="s">
        <v>245</v>
      </c>
      <c r="G26" s="166" t="s">
        <v>162</v>
      </c>
      <c r="H26" s="195" t="s">
        <v>246</v>
      </c>
    </row>
    <row r="27" spans="1:8" s="66" customFormat="1" ht="17.25" x14ac:dyDescent="0.35">
      <c r="A27" s="194" t="s">
        <v>247</v>
      </c>
      <c r="B27" s="166">
        <v>6792</v>
      </c>
      <c r="C27" s="166" t="s">
        <v>38</v>
      </c>
      <c r="D27" s="166">
        <v>4</v>
      </c>
      <c r="E27" s="179" t="s">
        <v>248</v>
      </c>
      <c r="F27" s="166" t="s">
        <v>141</v>
      </c>
      <c r="G27" s="166" t="s">
        <v>162</v>
      </c>
      <c r="H27" s="195" t="s">
        <v>249</v>
      </c>
    </row>
    <row r="28" spans="1:8" s="66" customFormat="1" ht="34.5" x14ac:dyDescent="0.35">
      <c r="A28" s="194" t="s">
        <v>250</v>
      </c>
      <c r="B28" s="166">
        <v>4630</v>
      </c>
      <c r="C28" s="166" t="s">
        <v>38</v>
      </c>
      <c r="D28" s="166">
        <v>1</v>
      </c>
      <c r="E28" s="179" t="s">
        <v>251</v>
      </c>
      <c r="F28" s="166">
        <v>10</v>
      </c>
      <c r="G28" s="166" t="s">
        <v>162</v>
      </c>
      <c r="H28" s="195" t="s">
        <v>250</v>
      </c>
    </row>
    <row r="29" spans="1:8" s="66" customFormat="1" ht="34.5" x14ac:dyDescent="0.35">
      <c r="A29" s="194" t="s">
        <v>252</v>
      </c>
      <c r="B29" s="166">
        <v>4631</v>
      </c>
      <c r="C29" s="166" t="s">
        <v>38</v>
      </c>
      <c r="D29" s="166">
        <v>1</v>
      </c>
      <c r="E29" s="179" t="s">
        <v>253</v>
      </c>
      <c r="F29" s="166">
        <v>0</v>
      </c>
      <c r="G29" s="166" t="s">
        <v>162</v>
      </c>
      <c r="H29" s="195" t="s">
        <v>252</v>
      </c>
    </row>
    <row r="30" spans="1:8" s="66" customFormat="1" ht="17.25" x14ac:dyDescent="0.35">
      <c r="A30" s="189" t="s">
        <v>49</v>
      </c>
      <c r="B30" s="166">
        <v>880</v>
      </c>
      <c r="C30" s="166" t="s">
        <v>38</v>
      </c>
      <c r="D30" s="166">
        <v>1</v>
      </c>
      <c r="E30" s="175" t="s">
        <v>85</v>
      </c>
      <c r="F30" s="166" t="s">
        <v>4</v>
      </c>
      <c r="G30" s="166" t="s">
        <v>162</v>
      </c>
      <c r="H30" s="180"/>
    </row>
    <row r="31" spans="1:8" s="66" customFormat="1" ht="17.25" x14ac:dyDescent="0.35">
      <c r="A31" s="189" t="s">
        <v>50</v>
      </c>
      <c r="B31" s="166">
        <v>881</v>
      </c>
      <c r="C31" s="166" t="s">
        <v>38</v>
      </c>
      <c r="D31" s="166">
        <v>1</v>
      </c>
      <c r="E31" s="175" t="s">
        <v>86</v>
      </c>
      <c r="F31" s="166" t="s">
        <v>4</v>
      </c>
      <c r="G31" s="166" t="s">
        <v>162</v>
      </c>
      <c r="H31" s="180"/>
    </row>
    <row r="32" spans="1:8" s="66" customFormat="1" ht="17.25" x14ac:dyDescent="0.35">
      <c r="A32" s="189" t="s">
        <v>51</v>
      </c>
      <c r="B32" s="166">
        <v>882</v>
      </c>
      <c r="C32" s="166" t="s">
        <v>38</v>
      </c>
      <c r="D32" s="166">
        <v>1</v>
      </c>
      <c r="E32" s="175" t="s">
        <v>87</v>
      </c>
      <c r="F32" s="166" t="s">
        <v>23</v>
      </c>
      <c r="G32" s="166" t="s">
        <v>162</v>
      </c>
      <c r="H32" s="180"/>
    </row>
    <row r="33" spans="1:8" s="66" customFormat="1" ht="34.5" x14ac:dyDescent="0.35">
      <c r="A33" s="189" t="s">
        <v>88</v>
      </c>
      <c r="B33" s="166">
        <v>896</v>
      </c>
      <c r="C33" s="166" t="s">
        <v>38</v>
      </c>
      <c r="D33" s="166">
        <v>2</v>
      </c>
      <c r="E33" s="175" t="s">
        <v>89</v>
      </c>
      <c r="F33" s="166">
        <v>1</v>
      </c>
      <c r="G33" s="166" t="s">
        <v>162</v>
      </c>
      <c r="H33" s="180" t="s">
        <v>90</v>
      </c>
    </row>
    <row r="34" spans="1:8" s="66" customFormat="1" ht="17.25" x14ac:dyDescent="0.35">
      <c r="A34" s="189" t="s">
        <v>91</v>
      </c>
      <c r="B34" s="166">
        <v>911</v>
      </c>
      <c r="C34" s="166" t="s">
        <v>38</v>
      </c>
      <c r="D34" s="166">
        <v>1</v>
      </c>
      <c r="E34" s="175" t="s">
        <v>92</v>
      </c>
      <c r="F34" s="166" t="s">
        <v>157</v>
      </c>
      <c r="G34" s="166" t="s">
        <v>162</v>
      </c>
      <c r="H34" s="180" t="s">
        <v>6</v>
      </c>
    </row>
    <row r="35" spans="1:8" s="66" customFormat="1" ht="17.25" x14ac:dyDescent="0.35">
      <c r="A35" s="189" t="s">
        <v>136</v>
      </c>
      <c r="B35" s="166">
        <v>6828</v>
      </c>
      <c r="C35" s="166"/>
      <c r="D35" s="166"/>
      <c r="E35" s="175"/>
      <c r="F35" s="166"/>
      <c r="G35" s="166" t="s">
        <v>6</v>
      </c>
      <c r="H35" s="180"/>
    </row>
    <row r="36" spans="1:8" s="66" customFormat="1" ht="17.25" x14ac:dyDescent="0.35">
      <c r="A36" s="189"/>
      <c r="B36" s="166"/>
      <c r="C36" s="166" t="s">
        <v>38</v>
      </c>
      <c r="D36" s="166">
        <v>8</v>
      </c>
      <c r="E36" s="175" t="s">
        <v>137</v>
      </c>
      <c r="F36" s="166" t="s">
        <v>169</v>
      </c>
      <c r="G36" s="166"/>
      <c r="H36" s="180" t="s">
        <v>170</v>
      </c>
    </row>
    <row r="37" spans="1:8" s="66" customFormat="1" ht="17.25" x14ac:dyDescent="0.35">
      <c r="A37" s="189"/>
      <c r="B37" s="166"/>
      <c r="C37" s="166" t="s">
        <v>38</v>
      </c>
      <c r="D37" s="166">
        <v>8</v>
      </c>
      <c r="E37" s="175" t="s">
        <v>137</v>
      </c>
      <c r="F37" s="166">
        <v>0</v>
      </c>
      <c r="G37" s="166"/>
      <c r="H37" s="180"/>
    </row>
    <row r="38" spans="1:8" s="66" customFormat="1" ht="17.25" x14ac:dyDescent="0.35">
      <c r="A38" s="189" t="s">
        <v>93</v>
      </c>
      <c r="B38" s="166">
        <v>441</v>
      </c>
      <c r="C38" s="166"/>
      <c r="D38" s="166"/>
      <c r="E38" s="175"/>
      <c r="F38" s="166"/>
      <c r="G38" s="166" t="s">
        <v>163</v>
      </c>
      <c r="H38" s="180"/>
    </row>
    <row r="39" spans="1:8" s="66" customFormat="1" ht="17.25" x14ac:dyDescent="0.35">
      <c r="A39" s="189"/>
      <c r="B39" s="166"/>
      <c r="C39" s="166" t="s">
        <v>38</v>
      </c>
      <c r="D39" s="166">
        <v>1</v>
      </c>
      <c r="E39" s="175" t="s">
        <v>11</v>
      </c>
      <c r="F39" s="166">
        <v>0</v>
      </c>
      <c r="G39" s="166"/>
      <c r="H39" s="180"/>
    </row>
    <row r="40" spans="1:8" s="66" customFormat="1" ht="17.25" x14ac:dyDescent="0.35">
      <c r="A40" s="189"/>
      <c r="B40" s="166"/>
      <c r="C40" s="166" t="s">
        <v>38</v>
      </c>
      <c r="D40" s="166">
        <v>2</v>
      </c>
      <c r="E40" s="175" t="s">
        <v>94</v>
      </c>
      <c r="F40" s="166" t="s">
        <v>158</v>
      </c>
      <c r="G40" s="166"/>
      <c r="H40" s="180" t="s">
        <v>6</v>
      </c>
    </row>
    <row r="41" spans="1:8" s="66" customFormat="1" ht="17.25" x14ac:dyDescent="0.35">
      <c r="A41" s="189" t="s">
        <v>95</v>
      </c>
      <c r="B41" s="166">
        <v>946</v>
      </c>
      <c r="C41" s="166"/>
      <c r="D41" s="166"/>
      <c r="E41" s="175"/>
      <c r="F41" s="166"/>
      <c r="G41" s="166" t="s">
        <v>163</v>
      </c>
      <c r="H41" s="180"/>
    </row>
    <row r="42" spans="1:8" s="66" customFormat="1" ht="17.25" x14ac:dyDescent="0.35">
      <c r="A42" s="189"/>
      <c r="B42" s="166"/>
      <c r="C42" s="166" t="s">
        <v>38</v>
      </c>
      <c r="D42" s="166">
        <v>1</v>
      </c>
      <c r="E42" s="175" t="s">
        <v>11</v>
      </c>
      <c r="F42" s="166">
        <v>0</v>
      </c>
      <c r="G42" s="166"/>
      <c r="H42" s="180"/>
    </row>
    <row r="43" spans="1:8" s="66" customFormat="1" ht="17.25" x14ac:dyDescent="0.35">
      <c r="A43" s="189"/>
      <c r="B43" s="166"/>
      <c r="C43" s="166" t="s">
        <v>38</v>
      </c>
      <c r="D43" s="166">
        <v>2</v>
      </c>
      <c r="E43" s="175" t="s">
        <v>96</v>
      </c>
      <c r="F43" s="166" t="s">
        <v>159</v>
      </c>
      <c r="G43" s="166"/>
      <c r="H43" s="180" t="s">
        <v>6</v>
      </c>
    </row>
    <row r="44" spans="1:8" s="66" customFormat="1" ht="17.25" x14ac:dyDescent="0.35">
      <c r="A44" s="189" t="s">
        <v>97</v>
      </c>
      <c r="B44" s="166">
        <v>2954</v>
      </c>
      <c r="C44" s="166"/>
      <c r="D44" s="166"/>
      <c r="E44" s="175"/>
      <c r="F44" s="166"/>
      <c r="G44" s="166" t="s">
        <v>163</v>
      </c>
      <c r="H44" s="180"/>
    </row>
    <row r="45" spans="1:8" s="66" customFormat="1" ht="17.25" x14ac:dyDescent="0.35">
      <c r="A45" s="189"/>
      <c r="B45" s="166"/>
      <c r="C45" s="166" t="s">
        <v>38</v>
      </c>
      <c r="D45" s="166">
        <v>1</v>
      </c>
      <c r="E45" s="175" t="s">
        <v>11</v>
      </c>
      <c r="F45" s="166">
        <v>0</v>
      </c>
      <c r="G45" s="166"/>
      <c r="H45" s="180"/>
    </row>
    <row r="46" spans="1:8" s="66" customFormat="1" ht="17.25" x14ac:dyDescent="0.35">
      <c r="A46" s="189"/>
      <c r="B46" s="166"/>
      <c r="C46" s="166" t="s">
        <v>38</v>
      </c>
      <c r="D46" s="166">
        <v>4</v>
      </c>
      <c r="E46" s="175" t="s">
        <v>98</v>
      </c>
      <c r="F46" s="166" t="s">
        <v>141</v>
      </c>
      <c r="G46" s="166"/>
      <c r="H46" s="180" t="s">
        <v>6</v>
      </c>
    </row>
    <row r="47" spans="1:8" s="66" customFormat="1" ht="51.75" x14ac:dyDescent="0.35">
      <c r="A47" s="189" t="s">
        <v>99</v>
      </c>
      <c r="B47" s="166">
        <v>1016</v>
      </c>
      <c r="C47" s="166" t="s">
        <v>38</v>
      </c>
      <c r="D47" s="166">
        <v>1</v>
      </c>
      <c r="E47" s="175" t="s">
        <v>100</v>
      </c>
      <c r="F47" s="166">
        <v>1</v>
      </c>
      <c r="G47" s="166" t="s">
        <v>162</v>
      </c>
      <c r="H47" s="180" t="s">
        <v>101</v>
      </c>
    </row>
    <row r="48" spans="1:8" s="66" customFormat="1" ht="51.75" x14ac:dyDescent="0.35">
      <c r="A48" s="189" t="s">
        <v>102</v>
      </c>
      <c r="B48" s="166">
        <v>1017</v>
      </c>
      <c r="C48" s="166" t="s">
        <v>38</v>
      </c>
      <c r="D48" s="166">
        <v>1</v>
      </c>
      <c r="E48" s="175" t="s">
        <v>103</v>
      </c>
      <c r="F48" s="166">
        <v>2</v>
      </c>
      <c r="G48" s="166" t="s">
        <v>162</v>
      </c>
      <c r="H48" s="180" t="s">
        <v>104</v>
      </c>
    </row>
    <row r="49" spans="1:9" s="66" customFormat="1" ht="17.25" x14ac:dyDescent="0.35">
      <c r="A49" s="189" t="s">
        <v>105</v>
      </c>
      <c r="B49" s="166">
        <v>947</v>
      </c>
      <c r="C49" s="166" t="s">
        <v>38</v>
      </c>
      <c r="D49" s="166">
        <v>1</v>
      </c>
      <c r="E49" s="175" t="s">
        <v>106</v>
      </c>
      <c r="F49" s="166">
        <v>0</v>
      </c>
      <c r="G49" s="166" t="s">
        <v>162</v>
      </c>
      <c r="H49" s="180" t="s">
        <v>107</v>
      </c>
    </row>
    <row r="50" spans="1:9" s="66" customFormat="1" ht="34.5" x14ac:dyDescent="0.35">
      <c r="A50" s="189" t="s">
        <v>108</v>
      </c>
      <c r="B50" s="166">
        <v>1302</v>
      </c>
      <c r="C50" s="166" t="s">
        <v>38</v>
      </c>
      <c r="D50" s="166">
        <v>1</v>
      </c>
      <c r="E50" s="175" t="s">
        <v>109</v>
      </c>
      <c r="F50" s="166">
        <v>1</v>
      </c>
      <c r="G50" s="166" t="s">
        <v>162</v>
      </c>
      <c r="H50" s="180" t="s">
        <v>110</v>
      </c>
    </row>
    <row r="51" spans="1:9" s="66" customFormat="1" ht="17.25" x14ac:dyDescent="0.35">
      <c r="A51" s="189" t="s">
        <v>15</v>
      </c>
      <c r="B51" s="166">
        <v>1918</v>
      </c>
      <c r="C51" s="166" t="s">
        <v>38</v>
      </c>
      <c r="D51" s="166">
        <v>4</v>
      </c>
      <c r="E51" s="175" t="s">
        <v>16</v>
      </c>
      <c r="F51" s="166">
        <v>64</v>
      </c>
      <c r="G51" s="166" t="s">
        <v>162</v>
      </c>
      <c r="H51" s="180"/>
    </row>
    <row r="52" spans="1:9" s="66" customFormat="1" ht="51.75" x14ac:dyDescent="0.35">
      <c r="A52" s="189" t="s">
        <v>111</v>
      </c>
      <c r="B52" s="166">
        <v>2508</v>
      </c>
      <c r="C52" s="166" t="s">
        <v>38</v>
      </c>
      <c r="D52" s="166">
        <v>1</v>
      </c>
      <c r="E52" s="175" t="s">
        <v>112</v>
      </c>
      <c r="F52" s="166">
        <v>1</v>
      </c>
      <c r="G52" s="166" t="s">
        <v>162</v>
      </c>
      <c r="H52" s="180" t="s">
        <v>135</v>
      </c>
    </row>
    <row r="53" spans="1:9" s="66" customFormat="1" ht="17.25" x14ac:dyDescent="0.35">
      <c r="A53" s="189" t="s">
        <v>113</v>
      </c>
      <c r="B53" s="166">
        <v>2509</v>
      </c>
      <c r="C53" s="166" t="s">
        <v>38</v>
      </c>
      <c r="D53" s="166">
        <v>1</v>
      </c>
      <c r="E53" s="175" t="s">
        <v>114</v>
      </c>
      <c r="F53" s="166" t="s">
        <v>157</v>
      </c>
      <c r="G53" s="166" t="s">
        <v>162</v>
      </c>
      <c r="H53" s="180"/>
    </row>
    <row r="54" spans="1:9" s="66" customFormat="1" ht="17.25" x14ac:dyDescent="0.35">
      <c r="A54" s="189" t="s">
        <v>115</v>
      </c>
      <c r="B54" s="166">
        <v>3630</v>
      </c>
      <c r="C54" s="166" t="s">
        <v>38</v>
      </c>
      <c r="D54" s="166">
        <v>1</v>
      </c>
      <c r="E54" s="175" t="s">
        <v>116</v>
      </c>
      <c r="F54" s="166">
        <v>1</v>
      </c>
      <c r="G54" s="166" t="s">
        <v>162</v>
      </c>
      <c r="H54" s="180" t="s">
        <v>117</v>
      </c>
    </row>
    <row r="55" spans="1:9" ht="17.25" x14ac:dyDescent="0.35">
      <c r="A55" s="189" t="s">
        <v>118</v>
      </c>
      <c r="B55" s="166">
        <v>2512</v>
      </c>
      <c r="C55" s="166" t="s">
        <v>38</v>
      </c>
      <c r="D55" s="166">
        <v>1</v>
      </c>
      <c r="E55" s="175" t="s">
        <v>119</v>
      </c>
      <c r="F55" s="166">
        <v>1</v>
      </c>
      <c r="G55" s="166" t="s">
        <v>162</v>
      </c>
      <c r="H55" s="180" t="s">
        <v>120</v>
      </c>
      <c r="I55" s="101"/>
    </row>
    <row r="56" spans="1:9" ht="17.25" x14ac:dyDescent="0.35">
      <c r="A56" s="189" t="s">
        <v>121</v>
      </c>
      <c r="B56" s="166">
        <v>3006</v>
      </c>
      <c r="C56" s="166" t="s">
        <v>38</v>
      </c>
      <c r="D56" s="166">
        <v>2</v>
      </c>
      <c r="E56" s="175" t="s">
        <v>122</v>
      </c>
      <c r="F56" s="166">
        <v>255</v>
      </c>
      <c r="G56" s="166" t="s">
        <v>162</v>
      </c>
      <c r="H56" s="180"/>
      <c r="I56" s="101"/>
    </row>
    <row r="57" spans="1:9" ht="17.25" x14ac:dyDescent="0.35">
      <c r="A57" s="189" t="s">
        <v>19</v>
      </c>
      <c r="B57" s="166">
        <v>3532</v>
      </c>
      <c r="C57" s="166" t="s">
        <v>38</v>
      </c>
      <c r="D57" s="166">
        <v>1</v>
      </c>
      <c r="E57" s="175" t="s">
        <v>20</v>
      </c>
      <c r="F57" s="166">
        <v>180</v>
      </c>
      <c r="G57" s="166" t="s">
        <v>162</v>
      </c>
      <c r="H57" s="180" t="s">
        <v>6</v>
      </c>
      <c r="I57" s="101"/>
    </row>
    <row r="58" spans="1:9" ht="17.25" x14ac:dyDescent="0.35">
      <c r="A58" s="189" t="s">
        <v>21</v>
      </c>
      <c r="B58" s="166">
        <v>3533</v>
      </c>
      <c r="C58" s="166" t="s">
        <v>38</v>
      </c>
      <c r="D58" s="166">
        <v>1</v>
      </c>
      <c r="E58" s="175" t="s">
        <v>22</v>
      </c>
      <c r="F58" s="166">
        <v>45</v>
      </c>
      <c r="G58" s="166" t="s">
        <v>162</v>
      </c>
      <c r="H58" s="180" t="s">
        <v>6</v>
      </c>
      <c r="I58" s="101"/>
    </row>
    <row r="59" spans="1:9" ht="17.25" x14ac:dyDescent="0.35">
      <c r="A59" s="189" t="s">
        <v>123</v>
      </c>
      <c r="B59" s="166">
        <v>3628</v>
      </c>
      <c r="C59" s="166" t="s">
        <v>38</v>
      </c>
      <c r="D59" s="166">
        <v>1</v>
      </c>
      <c r="E59" s="175" t="s">
        <v>124</v>
      </c>
      <c r="F59" s="166">
        <v>0</v>
      </c>
      <c r="G59" s="166" t="s">
        <v>162</v>
      </c>
      <c r="H59" s="180" t="s">
        <v>125</v>
      </c>
      <c r="I59" s="101"/>
    </row>
    <row r="60" spans="1:9" ht="34.5" x14ac:dyDescent="0.35">
      <c r="A60" s="189" t="s">
        <v>126</v>
      </c>
      <c r="B60" s="166">
        <v>3629</v>
      </c>
      <c r="C60" s="166" t="s">
        <v>38</v>
      </c>
      <c r="D60" s="166">
        <v>1</v>
      </c>
      <c r="E60" s="175" t="s">
        <v>127</v>
      </c>
      <c r="F60" s="166">
        <v>3</v>
      </c>
      <c r="G60" s="166" t="s">
        <v>162</v>
      </c>
      <c r="H60" s="180" t="s">
        <v>128</v>
      </c>
      <c r="I60" s="101"/>
    </row>
    <row r="61" spans="1:9" ht="17.25" x14ac:dyDescent="0.35">
      <c r="A61" s="189" t="s">
        <v>129</v>
      </c>
      <c r="B61" s="166">
        <v>3851</v>
      </c>
      <c r="C61" s="166" t="s">
        <v>38</v>
      </c>
      <c r="D61" s="166">
        <v>1</v>
      </c>
      <c r="E61" s="175" t="s">
        <v>130</v>
      </c>
      <c r="F61" s="166">
        <v>3</v>
      </c>
      <c r="G61" s="166" t="s">
        <v>162</v>
      </c>
      <c r="H61" s="180" t="s">
        <v>131</v>
      </c>
      <c r="I61" s="101"/>
    </row>
    <row r="62" spans="1:9" ht="17.25" x14ac:dyDescent="0.35">
      <c r="A62" s="190" t="s">
        <v>24</v>
      </c>
      <c r="B62" s="166">
        <v>10</v>
      </c>
      <c r="C62" s="166"/>
      <c r="D62" s="166"/>
      <c r="E62" s="177" t="s">
        <v>25</v>
      </c>
      <c r="F62" s="191"/>
      <c r="G62" s="166" t="s">
        <v>322</v>
      </c>
      <c r="H62" s="176" t="s">
        <v>6</v>
      </c>
      <c r="I62" s="101"/>
    </row>
    <row r="63" spans="1:9" ht="17.25" x14ac:dyDescent="0.35">
      <c r="A63" s="190"/>
      <c r="B63" s="166"/>
      <c r="C63" s="166" t="s">
        <v>38</v>
      </c>
      <c r="D63" s="166">
        <v>1</v>
      </c>
      <c r="E63" s="177" t="s">
        <v>11</v>
      </c>
      <c r="F63" s="191">
        <v>0</v>
      </c>
      <c r="G63" s="166"/>
      <c r="H63" s="176"/>
      <c r="I63" s="101"/>
    </row>
    <row r="64" spans="1:9" ht="17.25" x14ac:dyDescent="0.35">
      <c r="A64" s="190"/>
      <c r="B64" s="166"/>
      <c r="C64" s="166" t="s">
        <v>38</v>
      </c>
      <c r="D64" s="166">
        <v>2</v>
      </c>
      <c r="E64" s="177" t="s">
        <v>26</v>
      </c>
      <c r="F64" s="191">
        <v>58</v>
      </c>
      <c r="G64" s="166"/>
      <c r="H64" s="176" t="s">
        <v>6</v>
      </c>
      <c r="I64" s="101"/>
    </row>
    <row r="65" spans="1:9" ht="17.25" x14ac:dyDescent="0.35">
      <c r="A65" s="192" t="s">
        <v>24</v>
      </c>
      <c r="B65" s="166">
        <v>10</v>
      </c>
      <c r="C65" s="166"/>
      <c r="D65" s="166"/>
      <c r="E65" s="178" t="s">
        <v>25</v>
      </c>
      <c r="F65" s="166"/>
      <c r="G65" s="166" t="s">
        <v>163</v>
      </c>
      <c r="H65" s="193" t="s">
        <v>6</v>
      </c>
      <c r="I65" s="101"/>
    </row>
    <row r="66" spans="1:9" ht="17.25" x14ac:dyDescent="0.35">
      <c r="A66" s="192"/>
      <c r="B66" s="166" t="s">
        <v>160</v>
      </c>
      <c r="C66" s="166" t="s">
        <v>38</v>
      </c>
      <c r="D66" s="166">
        <v>1</v>
      </c>
      <c r="E66" s="178"/>
      <c r="F66" s="166" t="s">
        <v>161</v>
      </c>
      <c r="G66" s="166"/>
      <c r="H66" s="193" t="s">
        <v>164</v>
      </c>
      <c r="I66" s="101"/>
    </row>
    <row r="67" spans="1:9" ht="17.25" x14ac:dyDescent="0.35">
      <c r="A67" s="192"/>
      <c r="B67" s="166"/>
      <c r="C67" s="166" t="s">
        <v>38</v>
      </c>
      <c r="D67" s="166">
        <v>1</v>
      </c>
      <c r="E67" s="178" t="s">
        <v>11</v>
      </c>
      <c r="F67" s="166">
        <v>0</v>
      </c>
      <c r="G67" s="166"/>
      <c r="H67" s="193" t="s">
        <v>165</v>
      </c>
      <c r="I67" s="101"/>
    </row>
    <row r="68" spans="1:9" ht="17.25" x14ac:dyDescent="0.35">
      <c r="A68" s="192"/>
      <c r="B68" s="166"/>
      <c r="C68" s="166" t="s">
        <v>38</v>
      </c>
      <c r="D68" s="166">
        <v>2</v>
      </c>
      <c r="E68" s="178" t="s">
        <v>26</v>
      </c>
      <c r="F68" s="166">
        <v>58</v>
      </c>
      <c r="G68" s="166"/>
      <c r="H68" s="193" t="s">
        <v>166</v>
      </c>
      <c r="I68" s="101"/>
    </row>
    <row r="69" spans="1:9" ht="17.25" x14ac:dyDescent="0.35">
      <c r="A69" s="196" t="s">
        <v>188</v>
      </c>
      <c r="B69" s="166">
        <v>3446</v>
      </c>
      <c r="C69" s="166"/>
      <c r="D69" s="166"/>
      <c r="E69" s="181" t="s">
        <v>189</v>
      </c>
      <c r="F69" s="166"/>
      <c r="G69" s="166"/>
      <c r="H69" s="197"/>
      <c r="I69" s="101"/>
    </row>
    <row r="70" spans="1:9" ht="16.5" customHeight="1" x14ac:dyDescent="0.35">
      <c r="A70" s="196"/>
      <c r="B70" s="166"/>
      <c r="C70" s="166" t="s">
        <v>38</v>
      </c>
      <c r="D70" s="166">
        <v>2</v>
      </c>
      <c r="E70" s="181" t="s">
        <v>190</v>
      </c>
      <c r="F70" s="166">
        <v>2</v>
      </c>
      <c r="G70" s="166"/>
      <c r="H70" s="197"/>
      <c r="I70" s="101"/>
    </row>
    <row r="71" spans="1:9" ht="17.25" x14ac:dyDescent="0.35">
      <c r="A71" s="196"/>
      <c r="B71" s="166"/>
      <c r="C71" s="166" t="s">
        <v>38</v>
      </c>
      <c r="D71" s="166">
        <v>4</v>
      </c>
      <c r="E71" s="181" t="s">
        <v>191</v>
      </c>
      <c r="F71" s="166">
        <v>0</v>
      </c>
      <c r="G71" s="166"/>
      <c r="H71" s="197"/>
      <c r="I71" s="101"/>
    </row>
    <row r="72" spans="1:9" ht="17.25" x14ac:dyDescent="0.35">
      <c r="A72" s="196" t="s">
        <v>192</v>
      </c>
      <c r="B72" s="166">
        <v>7165</v>
      </c>
      <c r="C72" s="166" t="s">
        <v>38</v>
      </c>
      <c r="D72" s="166">
        <v>4</v>
      </c>
      <c r="E72" s="182" t="s">
        <v>193</v>
      </c>
      <c r="F72" s="166" t="s">
        <v>210</v>
      </c>
      <c r="G72" s="166" t="s">
        <v>162</v>
      </c>
      <c r="H72" s="198"/>
      <c r="I72" s="101"/>
    </row>
    <row r="73" spans="1:9" s="30" customFormat="1" ht="18" thickBot="1" x14ac:dyDescent="0.4">
      <c r="A73" s="199"/>
      <c r="B73" s="200"/>
      <c r="C73" s="200"/>
      <c r="D73" s="200"/>
      <c r="E73" s="201"/>
      <c r="F73" s="200"/>
      <c r="G73" s="200"/>
      <c r="H73" s="202"/>
      <c r="I73" s="101"/>
    </row>
    <row r="74" spans="1:9" s="30" customFormat="1" ht="15" x14ac:dyDescent="0.3">
      <c r="A74" s="15"/>
      <c r="B74" s="15"/>
      <c r="C74" s="60"/>
      <c r="D74" s="15"/>
      <c r="E74" s="15"/>
      <c r="F74" s="60"/>
      <c r="G74" s="15"/>
      <c r="H74" s="21"/>
      <c r="I74" s="101"/>
    </row>
    <row r="75" spans="1:9" s="30" customFormat="1" ht="15.75" thickBot="1" x14ac:dyDescent="0.35">
      <c r="A75" s="22"/>
      <c r="B75" s="17"/>
      <c r="C75" s="60"/>
      <c r="D75" s="15"/>
      <c r="E75" s="15"/>
      <c r="F75" s="60"/>
      <c r="G75" s="15"/>
      <c r="H75" s="21"/>
      <c r="I75" s="101"/>
    </row>
    <row r="76" spans="1:9" s="30" customFormat="1" ht="20.25" thickBot="1" x14ac:dyDescent="0.45">
      <c r="A76" s="39" t="s">
        <v>42</v>
      </c>
      <c r="B76" s="39"/>
      <c r="C76" s="39"/>
      <c r="D76" s="39"/>
      <c r="E76" s="39"/>
      <c r="F76" s="39"/>
      <c r="G76" s="39"/>
      <c r="H76" s="68"/>
      <c r="I76" s="40"/>
    </row>
    <row r="77" spans="1:9" ht="15.75" thickBot="1" x14ac:dyDescent="0.35">
      <c r="A77" s="19" t="s">
        <v>27</v>
      </c>
      <c r="B77" s="58" t="s">
        <v>28</v>
      </c>
      <c r="C77" s="58" t="s">
        <v>35</v>
      </c>
      <c r="D77" s="19" t="s">
        <v>45</v>
      </c>
      <c r="E77" s="19" t="s">
        <v>44</v>
      </c>
      <c r="F77" s="19" t="s">
        <v>37</v>
      </c>
      <c r="G77" s="59" t="s">
        <v>43</v>
      </c>
      <c r="H77" s="20" t="s">
        <v>47</v>
      </c>
      <c r="I77" s="12" t="s">
        <v>29</v>
      </c>
    </row>
    <row r="78" spans="1:9" s="118" customFormat="1" ht="14.25" customHeight="1" x14ac:dyDescent="0.35">
      <c r="A78" s="130" t="s">
        <v>168</v>
      </c>
      <c r="B78" s="131" t="s">
        <v>167</v>
      </c>
      <c r="C78" s="132" t="s">
        <v>52</v>
      </c>
      <c r="D78" s="131"/>
      <c r="E78" s="131"/>
      <c r="F78" s="131"/>
      <c r="G78" s="131" t="s">
        <v>162</v>
      </c>
      <c r="H78" s="133"/>
      <c r="I78" s="124" t="s">
        <v>220</v>
      </c>
    </row>
    <row r="79" spans="1:9" s="118" customFormat="1" ht="17.25" x14ac:dyDescent="0.35">
      <c r="A79" s="127"/>
      <c r="B79" s="128"/>
      <c r="C79" s="128"/>
      <c r="D79" s="128" t="s">
        <v>38</v>
      </c>
      <c r="E79" s="128">
        <v>8</v>
      </c>
      <c r="F79" s="129" t="s">
        <v>218</v>
      </c>
      <c r="G79" s="128"/>
      <c r="H79" s="134"/>
      <c r="I79" s="121"/>
    </row>
    <row r="80" spans="1:9" s="120" customFormat="1" ht="17.25" x14ac:dyDescent="0.35">
      <c r="A80" s="135" t="s">
        <v>132</v>
      </c>
      <c r="B80" s="128" t="s">
        <v>53</v>
      </c>
      <c r="C80" s="129" t="s">
        <v>40</v>
      </c>
      <c r="D80" s="129"/>
      <c r="E80" s="128"/>
      <c r="F80" s="129"/>
      <c r="G80" s="128" t="s">
        <v>162</v>
      </c>
      <c r="H80" s="134" t="s">
        <v>270</v>
      </c>
      <c r="I80" s="125"/>
    </row>
    <row r="81" spans="1:11" s="119" customFormat="1" ht="17.25" x14ac:dyDescent="0.35">
      <c r="A81" s="136" t="s">
        <v>133</v>
      </c>
      <c r="B81" s="228" t="s">
        <v>332</v>
      </c>
      <c r="C81" s="129" t="s">
        <v>52</v>
      </c>
      <c r="D81" s="128"/>
      <c r="E81" s="128"/>
      <c r="F81" s="129"/>
      <c r="G81" s="128" t="s">
        <v>162</v>
      </c>
      <c r="H81" s="134"/>
      <c r="I81" s="121">
        <v>65693</v>
      </c>
    </row>
    <row r="82" spans="1:11" s="119" customFormat="1" ht="103.5" x14ac:dyDescent="0.35">
      <c r="A82" s="136"/>
      <c r="B82" s="128"/>
      <c r="C82" s="129"/>
      <c r="D82" s="128" t="s">
        <v>38</v>
      </c>
      <c r="E82" s="128">
        <v>2</v>
      </c>
      <c r="F82" s="129">
        <v>0</v>
      </c>
      <c r="G82" s="128"/>
      <c r="H82" s="134"/>
      <c r="I82" s="121" t="s">
        <v>134</v>
      </c>
    </row>
    <row r="83" spans="1:11" s="24" customFormat="1" ht="33" x14ac:dyDescent="0.4">
      <c r="A83" s="137" t="s">
        <v>254</v>
      </c>
      <c r="B83" s="126" t="s">
        <v>255</v>
      </c>
      <c r="C83" s="126" t="s">
        <v>52</v>
      </c>
      <c r="D83" s="126"/>
      <c r="E83" s="126"/>
      <c r="F83" s="126"/>
      <c r="G83" s="126" t="s">
        <v>162</v>
      </c>
      <c r="H83" s="138"/>
      <c r="I83" s="105">
        <v>67217</v>
      </c>
    </row>
    <row r="84" spans="1:11" s="24" customFormat="1" ht="19.5" x14ac:dyDescent="0.4">
      <c r="A84" s="137"/>
      <c r="B84" s="126"/>
      <c r="C84" s="126"/>
      <c r="D84" s="126" t="s">
        <v>38</v>
      </c>
      <c r="E84" s="126">
        <v>1</v>
      </c>
      <c r="F84" s="126">
        <v>1</v>
      </c>
      <c r="G84" s="126"/>
      <c r="H84" s="138"/>
      <c r="I84" s="105" t="s">
        <v>254</v>
      </c>
    </row>
    <row r="85" spans="1:11" s="24" customFormat="1" ht="19.5" x14ac:dyDescent="0.4">
      <c r="A85" s="137"/>
      <c r="B85" s="126"/>
      <c r="C85" s="126"/>
      <c r="D85" s="126" t="s">
        <v>38</v>
      </c>
      <c r="E85" s="126">
        <v>2</v>
      </c>
      <c r="F85" s="126" t="s">
        <v>158</v>
      </c>
      <c r="G85" s="126"/>
      <c r="H85" s="138"/>
      <c r="I85" s="105"/>
    </row>
    <row r="86" spans="1:11" s="24" customFormat="1" ht="17.25" x14ac:dyDescent="0.35">
      <c r="A86" s="139" t="s">
        <v>287</v>
      </c>
      <c r="B86" s="128" t="s">
        <v>288</v>
      </c>
      <c r="C86" s="128" t="s">
        <v>52</v>
      </c>
      <c r="D86" s="128"/>
      <c r="E86" s="128"/>
      <c r="F86" s="128"/>
      <c r="G86" s="128" t="s">
        <v>162</v>
      </c>
      <c r="H86" s="134"/>
      <c r="I86" s="103">
        <v>73584</v>
      </c>
    </row>
    <row r="87" spans="1:11" s="24" customFormat="1" ht="17.25" x14ac:dyDescent="0.35">
      <c r="A87" s="139"/>
      <c r="B87" s="128"/>
      <c r="C87" s="128"/>
      <c r="D87" s="128" t="s">
        <v>38</v>
      </c>
      <c r="E87" s="128">
        <v>4</v>
      </c>
      <c r="F87" s="128" t="s">
        <v>289</v>
      </c>
      <c r="G87" s="128"/>
      <c r="H87" s="134"/>
      <c r="I87" s="103"/>
    </row>
    <row r="88" spans="1:11" s="24" customFormat="1" ht="17.25" x14ac:dyDescent="0.35">
      <c r="A88" s="139" t="s">
        <v>200</v>
      </c>
      <c r="B88" s="128" t="s">
        <v>201</v>
      </c>
      <c r="C88" s="128" t="s">
        <v>52</v>
      </c>
      <c r="D88" s="128"/>
      <c r="E88" s="128"/>
      <c r="F88" s="128"/>
      <c r="G88" s="128" t="s">
        <v>162</v>
      </c>
      <c r="H88" s="134"/>
      <c r="I88" s="103">
        <v>72533</v>
      </c>
    </row>
    <row r="89" spans="1:11" s="24" customFormat="1" ht="34.5" hidden="1" x14ac:dyDescent="0.35">
      <c r="A89" s="139"/>
      <c r="B89" s="128"/>
      <c r="C89" s="128"/>
      <c r="D89" s="128" t="s">
        <v>38</v>
      </c>
      <c r="E89" s="128">
        <v>4</v>
      </c>
      <c r="F89" s="128">
        <v>1</v>
      </c>
      <c r="G89" s="128"/>
      <c r="H89" s="134"/>
      <c r="I89" s="103" t="s">
        <v>202</v>
      </c>
    </row>
    <row r="90" spans="1:11" s="75" customFormat="1" ht="27.75" x14ac:dyDescent="0.35">
      <c r="A90" s="139" t="s">
        <v>256</v>
      </c>
      <c r="B90" s="128" t="s">
        <v>257</v>
      </c>
      <c r="C90" s="128" t="s">
        <v>40</v>
      </c>
      <c r="D90" s="128"/>
      <c r="E90" s="128"/>
      <c r="F90" s="128"/>
      <c r="G90" s="128" t="s">
        <v>162</v>
      </c>
      <c r="H90" s="134" t="s">
        <v>260</v>
      </c>
      <c r="I90" s="103" t="s">
        <v>6</v>
      </c>
      <c r="J90" s="64"/>
      <c r="K90" s="64"/>
    </row>
    <row r="91" spans="1:11" s="48" customFormat="1" ht="17.25" x14ac:dyDescent="0.35">
      <c r="A91" s="139" t="s">
        <v>258</v>
      </c>
      <c r="B91" s="128" t="s">
        <v>259</v>
      </c>
      <c r="C91" s="128" t="s">
        <v>40</v>
      </c>
      <c r="D91" s="128"/>
      <c r="E91" s="128"/>
      <c r="F91" s="128"/>
      <c r="G91" s="128" t="s">
        <v>162</v>
      </c>
      <c r="H91" s="134" t="s">
        <v>261</v>
      </c>
      <c r="I91" s="103" t="s">
        <v>6</v>
      </c>
    </row>
    <row r="92" spans="1:11" s="27" customFormat="1" ht="17.25" x14ac:dyDescent="0.35">
      <c r="A92" s="139" t="s">
        <v>211</v>
      </c>
      <c r="B92" s="128" t="s">
        <v>212</v>
      </c>
      <c r="C92" s="128" t="s">
        <v>52</v>
      </c>
      <c r="D92" s="128"/>
      <c r="E92" s="128"/>
      <c r="F92" s="128"/>
      <c r="G92" s="128" t="s">
        <v>162</v>
      </c>
      <c r="H92" s="134"/>
      <c r="I92" s="103">
        <v>65733</v>
      </c>
    </row>
    <row r="93" spans="1:11" s="24" customFormat="1" ht="17.25" x14ac:dyDescent="0.35">
      <c r="A93" s="139"/>
      <c r="B93" s="128"/>
      <c r="C93" s="128"/>
      <c r="D93" s="128" t="s">
        <v>38</v>
      </c>
      <c r="E93" s="128">
        <v>1</v>
      </c>
      <c r="F93" s="128">
        <v>0</v>
      </c>
      <c r="G93" s="128"/>
      <c r="H93" s="134"/>
      <c r="I93" s="103"/>
      <c r="J93" s="41"/>
      <c r="K93" s="41"/>
    </row>
    <row r="94" spans="1:11" s="24" customFormat="1" ht="34.5" x14ac:dyDescent="0.35">
      <c r="A94" s="136" t="s">
        <v>147</v>
      </c>
      <c r="B94" s="128" t="s">
        <v>144</v>
      </c>
      <c r="C94" s="129" t="s">
        <v>40</v>
      </c>
      <c r="D94" s="128"/>
      <c r="E94" s="128"/>
      <c r="F94" s="129"/>
      <c r="G94" s="128" t="s">
        <v>162</v>
      </c>
      <c r="H94" s="134" t="s">
        <v>145</v>
      </c>
      <c r="I94" s="121" t="s">
        <v>146</v>
      </c>
      <c r="J94" s="41"/>
      <c r="K94" s="41"/>
    </row>
    <row r="95" spans="1:11" s="24" customFormat="1" ht="17.25" x14ac:dyDescent="0.35">
      <c r="A95" s="136" t="s">
        <v>185</v>
      </c>
      <c r="B95" s="128" t="s">
        <v>186</v>
      </c>
      <c r="C95" s="129" t="s">
        <v>40</v>
      </c>
      <c r="D95" s="128"/>
      <c r="E95" s="128"/>
      <c r="F95" s="129"/>
      <c r="G95" s="128" t="s">
        <v>162</v>
      </c>
      <c r="H95" s="134" t="s">
        <v>187</v>
      </c>
      <c r="I95" s="121"/>
      <c r="J95" s="41"/>
      <c r="K95" s="41"/>
    </row>
    <row r="96" spans="1:11" s="24" customFormat="1" ht="17.25" x14ac:dyDescent="0.35">
      <c r="A96" s="136" t="s">
        <v>139</v>
      </c>
      <c r="B96" s="128" t="s">
        <v>265</v>
      </c>
      <c r="C96" s="129" t="s">
        <v>40</v>
      </c>
      <c r="D96" s="128"/>
      <c r="E96" s="128"/>
      <c r="F96" s="129"/>
      <c r="G96" s="128" t="s">
        <v>162</v>
      </c>
      <c r="H96" s="134" t="s">
        <v>142</v>
      </c>
      <c r="I96" s="259" t="s">
        <v>370</v>
      </c>
      <c r="J96" s="41"/>
      <c r="K96" s="41"/>
    </row>
    <row r="97" spans="1:9" s="95" customFormat="1" ht="16.5" customHeight="1" x14ac:dyDescent="0.35">
      <c r="A97" s="136" t="s">
        <v>275</v>
      </c>
      <c r="B97" s="128" t="s">
        <v>276</v>
      </c>
      <c r="C97" s="129" t="s">
        <v>40</v>
      </c>
      <c r="D97" s="128"/>
      <c r="E97" s="128"/>
      <c r="F97" s="129"/>
      <c r="G97" s="128" t="s">
        <v>162</v>
      </c>
      <c r="H97" s="134" t="s">
        <v>277</v>
      </c>
      <c r="I97" s="259" t="s">
        <v>371</v>
      </c>
    </row>
    <row r="98" spans="1:9" ht="17.25" x14ac:dyDescent="0.35">
      <c r="A98" s="136" t="s">
        <v>279</v>
      </c>
      <c r="B98" s="128" t="s">
        <v>280</v>
      </c>
      <c r="C98" s="129" t="s">
        <v>40</v>
      </c>
      <c r="D98" s="128"/>
      <c r="E98" s="128"/>
      <c r="F98" s="129"/>
      <c r="G98" s="128" t="s">
        <v>162</v>
      </c>
      <c r="H98" s="134" t="s">
        <v>281</v>
      </c>
      <c r="I98" s="259" t="s">
        <v>278</v>
      </c>
    </row>
    <row r="99" spans="1:9" ht="17.25" x14ac:dyDescent="0.35">
      <c r="A99" s="260" t="s">
        <v>372</v>
      </c>
      <c r="B99" s="228" t="s">
        <v>375</v>
      </c>
      <c r="C99" s="129" t="s">
        <v>40</v>
      </c>
      <c r="D99" s="128"/>
      <c r="E99" s="128"/>
      <c r="F99" s="129"/>
      <c r="G99" s="128" t="s">
        <v>162</v>
      </c>
      <c r="H99" s="261" t="s">
        <v>378</v>
      </c>
      <c r="I99" s="259" t="s">
        <v>282</v>
      </c>
    </row>
    <row r="100" spans="1:9" ht="17.25" x14ac:dyDescent="0.35">
      <c r="A100" s="260" t="s">
        <v>373</v>
      </c>
      <c r="B100" s="228" t="s">
        <v>376</v>
      </c>
      <c r="C100" s="129" t="s">
        <v>40</v>
      </c>
      <c r="D100" s="128"/>
      <c r="E100" s="128"/>
      <c r="F100" s="129"/>
      <c r="G100" s="128" t="s">
        <v>162</v>
      </c>
      <c r="H100" s="261" t="s">
        <v>379</v>
      </c>
      <c r="I100" s="259" t="s">
        <v>381</v>
      </c>
    </row>
    <row r="101" spans="1:9" ht="17.25" x14ac:dyDescent="0.35">
      <c r="A101" s="260" t="s">
        <v>374</v>
      </c>
      <c r="B101" s="228" t="s">
        <v>377</v>
      </c>
      <c r="C101" s="129" t="s">
        <v>40</v>
      </c>
      <c r="D101" s="128"/>
      <c r="E101" s="128"/>
      <c r="F101" s="129"/>
      <c r="G101" s="128" t="s">
        <v>162</v>
      </c>
      <c r="H101" s="261" t="s">
        <v>380</v>
      </c>
      <c r="I101" s="259" t="s">
        <v>382</v>
      </c>
    </row>
    <row r="102" spans="1:9" ht="17.25" x14ac:dyDescent="0.35">
      <c r="A102" s="262" t="s">
        <v>383</v>
      </c>
      <c r="B102" s="229" t="s">
        <v>384</v>
      </c>
      <c r="C102" s="229" t="s">
        <v>52</v>
      </c>
      <c r="D102" s="229"/>
      <c r="E102" s="229"/>
      <c r="F102" s="229"/>
      <c r="G102" s="229" t="s">
        <v>162</v>
      </c>
      <c r="H102" s="263"/>
      <c r="I102" s="264">
        <v>73529</v>
      </c>
    </row>
    <row r="103" spans="1:9" ht="17.25" x14ac:dyDescent="0.35">
      <c r="A103" s="262"/>
      <c r="B103" s="229"/>
      <c r="C103" s="229"/>
      <c r="D103" s="229" t="s">
        <v>38</v>
      </c>
      <c r="E103" s="229">
        <v>1</v>
      </c>
      <c r="F103" s="229">
        <v>1</v>
      </c>
      <c r="G103" s="229"/>
      <c r="H103" s="263"/>
      <c r="I103" s="264" t="s">
        <v>385</v>
      </c>
    </row>
    <row r="104" spans="1:9" ht="17.25" x14ac:dyDescent="0.35">
      <c r="A104" s="136" t="s">
        <v>283</v>
      </c>
      <c r="B104" s="128" t="s">
        <v>284</v>
      </c>
      <c r="C104" s="129" t="s">
        <v>40</v>
      </c>
      <c r="D104" s="128"/>
      <c r="E104" s="128"/>
      <c r="F104" s="129"/>
      <c r="G104" s="128" t="s">
        <v>162</v>
      </c>
      <c r="H104" s="134" t="s">
        <v>285</v>
      </c>
      <c r="I104" s="121"/>
    </row>
    <row r="105" spans="1:9" ht="17.25" x14ac:dyDescent="0.35">
      <c r="A105" s="140" t="s">
        <v>197</v>
      </c>
      <c r="B105" s="128" t="s">
        <v>198</v>
      </c>
      <c r="C105" s="129" t="s">
        <v>40</v>
      </c>
      <c r="D105" s="129"/>
      <c r="E105" s="128"/>
      <c r="F105" s="129"/>
      <c r="G105" s="128" t="s">
        <v>162</v>
      </c>
      <c r="H105" s="134" t="s">
        <v>199</v>
      </c>
      <c r="I105" s="122"/>
    </row>
    <row r="106" spans="1:9" ht="17.25" x14ac:dyDescent="0.35">
      <c r="A106" s="140" t="s">
        <v>295</v>
      </c>
      <c r="B106" s="128" t="s">
        <v>296</v>
      </c>
      <c r="C106" s="129" t="s">
        <v>52</v>
      </c>
      <c r="D106" s="129"/>
      <c r="E106" s="128"/>
      <c r="F106" s="129"/>
      <c r="G106" s="128" t="s">
        <v>162</v>
      </c>
      <c r="H106" s="134"/>
      <c r="I106" s="122" t="s">
        <v>264</v>
      </c>
    </row>
    <row r="107" spans="1:9" s="30" customFormat="1" ht="17.25" x14ac:dyDescent="0.35">
      <c r="A107" s="140"/>
      <c r="B107" s="128"/>
      <c r="C107" s="129"/>
      <c r="D107" s="129" t="s">
        <v>38</v>
      </c>
      <c r="E107" s="128">
        <v>1</v>
      </c>
      <c r="F107" s="129">
        <v>1</v>
      </c>
      <c r="G107" s="128"/>
      <c r="H107" s="134"/>
      <c r="I107" s="122"/>
    </row>
    <row r="108" spans="1:9" ht="34.5" x14ac:dyDescent="0.35">
      <c r="A108" s="140" t="s">
        <v>314</v>
      </c>
      <c r="B108" s="128" t="s">
        <v>315</v>
      </c>
      <c r="C108" s="129" t="s">
        <v>52</v>
      </c>
      <c r="D108" s="129"/>
      <c r="E108" s="128"/>
      <c r="F108" s="129"/>
      <c r="G108" s="128" t="s">
        <v>162</v>
      </c>
      <c r="H108" s="134"/>
      <c r="I108" s="122">
        <v>70302</v>
      </c>
    </row>
    <row r="109" spans="1:9" ht="17.25" x14ac:dyDescent="0.35">
      <c r="A109" s="140"/>
      <c r="B109" s="128"/>
      <c r="C109" s="129"/>
      <c r="D109" s="129" t="s">
        <v>38</v>
      </c>
      <c r="E109" s="128">
        <v>1</v>
      </c>
      <c r="F109" s="129">
        <v>2</v>
      </c>
      <c r="G109" s="128"/>
      <c r="H109" s="134"/>
      <c r="I109" s="122" t="s">
        <v>316</v>
      </c>
    </row>
    <row r="110" spans="1:9" ht="17.25" x14ac:dyDescent="0.35">
      <c r="A110" s="139" t="s">
        <v>203</v>
      </c>
      <c r="B110" s="128" t="s">
        <v>204</v>
      </c>
      <c r="C110" s="128" t="s">
        <v>40</v>
      </c>
      <c r="D110" s="128"/>
      <c r="E110" s="128"/>
      <c r="F110" s="128"/>
      <c r="G110" s="128" t="s">
        <v>162</v>
      </c>
      <c r="H110" s="134" t="s">
        <v>205</v>
      </c>
      <c r="I110" s="103">
        <v>67211</v>
      </c>
    </row>
    <row r="111" spans="1:9" ht="17.25" x14ac:dyDescent="0.35">
      <c r="A111" s="139" t="s">
        <v>291</v>
      </c>
      <c r="B111" s="128" t="s">
        <v>292</v>
      </c>
      <c r="C111" s="128" t="s">
        <v>40</v>
      </c>
      <c r="D111" s="128"/>
      <c r="E111" s="128"/>
      <c r="F111" s="128"/>
      <c r="G111" s="128" t="s">
        <v>162</v>
      </c>
      <c r="H111" s="134" t="s">
        <v>293</v>
      </c>
      <c r="I111" s="103" t="s">
        <v>294</v>
      </c>
    </row>
    <row r="112" spans="1:9" ht="27.75" x14ac:dyDescent="0.35">
      <c r="A112" s="139" t="s">
        <v>262</v>
      </c>
      <c r="B112" s="128" t="s">
        <v>263</v>
      </c>
      <c r="C112" s="128" t="s">
        <v>40</v>
      </c>
      <c r="D112" s="128"/>
      <c r="E112" s="128"/>
      <c r="F112" s="128"/>
      <c r="G112" s="128" t="s">
        <v>162</v>
      </c>
      <c r="H112" s="134" t="s">
        <v>266</v>
      </c>
      <c r="I112" s="103"/>
    </row>
    <row r="113" spans="1:13" ht="17.25" x14ac:dyDescent="0.35">
      <c r="A113" s="253" t="s">
        <v>354</v>
      </c>
      <c r="B113" s="254" t="s">
        <v>355</v>
      </c>
      <c r="C113" s="255" t="s">
        <v>52</v>
      </c>
      <c r="D113" s="255"/>
      <c r="E113" s="254"/>
      <c r="F113" s="255"/>
      <c r="G113" s="254" t="s">
        <v>162</v>
      </c>
      <c r="H113" s="256"/>
      <c r="I113" s="257">
        <v>72509</v>
      </c>
      <c r="J113" s="258"/>
      <c r="K113" s="258"/>
      <c r="L113" s="258"/>
      <c r="M113" s="258"/>
    </row>
    <row r="114" spans="1:13" ht="17.25" x14ac:dyDescent="0.35">
      <c r="A114" s="253"/>
      <c r="B114" s="254"/>
      <c r="C114" s="255"/>
      <c r="D114" s="255" t="s">
        <v>38</v>
      </c>
      <c r="E114" s="254">
        <v>1</v>
      </c>
      <c r="F114" s="255">
        <v>5</v>
      </c>
      <c r="G114" s="254"/>
      <c r="H114" s="256"/>
      <c r="I114" s="257" t="s">
        <v>356</v>
      </c>
      <c r="J114" s="258"/>
      <c r="K114" s="258"/>
      <c r="L114" s="258"/>
      <c r="M114" s="258"/>
    </row>
    <row r="115" spans="1:13" ht="17.25" x14ac:dyDescent="0.35">
      <c r="A115" s="253"/>
      <c r="B115" s="254"/>
      <c r="C115" s="255"/>
      <c r="D115" s="255" t="s">
        <v>38</v>
      </c>
      <c r="E115" s="254">
        <v>1</v>
      </c>
      <c r="F115" s="255">
        <v>0</v>
      </c>
      <c r="G115" s="254"/>
      <c r="H115" s="256"/>
      <c r="I115" s="257" t="s">
        <v>357</v>
      </c>
      <c r="J115" s="258"/>
      <c r="K115" s="258"/>
      <c r="L115" s="258"/>
      <c r="M115" s="258"/>
    </row>
    <row r="116" spans="1:13" ht="17.25" x14ac:dyDescent="0.35">
      <c r="A116" s="253"/>
      <c r="B116" s="254"/>
      <c r="C116" s="255"/>
      <c r="D116" s="255" t="s">
        <v>38</v>
      </c>
      <c r="E116" s="254">
        <v>1</v>
      </c>
      <c r="F116" s="255">
        <v>0</v>
      </c>
      <c r="G116" s="254"/>
      <c r="H116" s="256"/>
      <c r="I116" s="257" t="s">
        <v>358</v>
      </c>
      <c r="J116" s="258"/>
      <c r="K116" s="258"/>
      <c r="L116" s="258"/>
      <c r="M116" s="258"/>
    </row>
    <row r="117" spans="1:13" ht="17.25" x14ac:dyDescent="0.35">
      <c r="A117" s="253"/>
      <c r="B117" s="254"/>
      <c r="C117" s="255"/>
      <c r="D117" s="255" t="s">
        <v>38</v>
      </c>
      <c r="E117" s="254">
        <v>1</v>
      </c>
      <c r="F117" s="255">
        <v>0</v>
      </c>
      <c r="G117" s="254"/>
      <c r="H117" s="256"/>
      <c r="I117" s="257" t="s">
        <v>359</v>
      </c>
      <c r="J117" s="258"/>
      <c r="K117" s="258"/>
      <c r="L117" s="258"/>
      <c r="M117" s="258"/>
    </row>
    <row r="118" spans="1:13" ht="17.25" x14ac:dyDescent="0.35">
      <c r="A118" s="253"/>
      <c r="B118" s="254"/>
      <c r="C118" s="255"/>
      <c r="D118" s="255" t="s">
        <v>38</v>
      </c>
      <c r="E118" s="254">
        <v>1</v>
      </c>
      <c r="F118" s="255">
        <v>0</v>
      </c>
      <c r="G118" s="254"/>
      <c r="H118" s="256"/>
      <c r="I118" s="257" t="s">
        <v>360</v>
      </c>
      <c r="J118" s="258"/>
      <c r="K118" s="258"/>
      <c r="L118" s="258"/>
      <c r="M118" s="258"/>
    </row>
    <row r="119" spans="1:13" ht="17.25" x14ac:dyDescent="0.35">
      <c r="A119" s="253"/>
      <c r="B119" s="254"/>
      <c r="C119" s="255"/>
      <c r="D119" s="255" t="s">
        <v>38</v>
      </c>
      <c r="E119" s="254">
        <v>1</v>
      </c>
      <c r="F119" s="255">
        <v>0</v>
      </c>
      <c r="G119" s="254"/>
      <c r="H119" s="256"/>
      <c r="I119" s="257" t="s">
        <v>361</v>
      </c>
      <c r="J119" s="258"/>
      <c r="K119" s="258"/>
      <c r="L119" s="258"/>
      <c r="M119" s="258"/>
    </row>
    <row r="120" spans="1:13" ht="17.25" x14ac:dyDescent="0.35">
      <c r="A120" s="253"/>
      <c r="B120" s="254"/>
      <c r="C120" s="255"/>
      <c r="D120" s="255" t="s">
        <v>38</v>
      </c>
      <c r="E120" s="254">
        <v>1</v>
      </c>
      <c r="F120" s="255">
        <v>1</v>
      </c>
      <c r="G120" s="254"/>
      <c r="H120" s="256"/>
      <c r="I120" s="257" t="s">
        <v>362</v>
      </c>
      <c r="J120" s="258"/>
      <c r="K120" s="258"/>
      <c r="L120" s="258"/>
      <c r="M120" s="258"/>
    </row>
    <row r="121" spans="1:13" ht="17.25" x14ac:dyDescent="0.35">
      <c r="A121" s="253"/>
      <c r="B121" s="254"/>
      <c r="C121" s="255"/>
      <c r="D121" s="255" t="s">
        <v>38</v>
      </c>
      <c r="E121" s="254">
        <v>20</v>
      </c>
      <c r="F121" s="255"/>
      <c r="G121" s="254"/>
      <c r="H121" s="256"/>
      <c r="I121" s="257" t="s">
        <v>363</v>
      </c>
      <c r="J121" s="258"/>
      <c r="K121" s="258"/>
      <c r="L121" s="258"/>
      <c r="M121" s="258"/>
    </row>
    <row r="122" spans="1:13" ht="17.25" x14ac:dyDescent="0.35">
      <c r="A122" s="253" t="s">
        <v>366</v>
      </c>
      <c r="B122" s="254" t="s">
        <v>367</v>
      </c>
      <c r="C122" s="255" t="s">
        <v>52</v>
      </c>
      <c r="D122" s="255"/>
      <c r="E122" s="254"/>
      <c r="F122" s="255"/>
      <c r="G122" s="254" t="s">
        <v>162</v>
      </c>
      <c r="H122" s="256"/>
      <c r="I122" s="257">
        <v>73825</v>
      </c>
      <c r="J122" s="258"/>
      <c r="K122" s="258"/>
      <c r="L122" s="258"/>
      <c r="M122" s="258"/>
    </row>
    <row r="123" spans="1:13" ht="17.25" x14ac:dyDescent="0.35">
      <c r="A123" s="253"/>
      <c r="B123" s="254"/>
      <c r="C123" s="255"/>
      <c r="D123" s="255" t="s">
        <v>38</v>
      </c>
      <c r="E123" s="254">
        <v>1</v>
      </c>
      <c r="F123" s="255">
        <v>1</v>
      </c>
      <c r="G123" s="254"/>
      <c r="H123" s="256"/>
      <c r="I123" s="257"/>
      <c r="J123" s="258"/>
      <c r="K123" s="258"/>
      <c r="L123" s="258"/>
      <c r="M123" s="258"/>
    </row>
    <row r="124" spans="1:13" ht="18" thickBot="1" x14ac:dyDescent="0.4">
      <c r="A124" s="141"/>
      <c r="B124" s="142"/>
      <c r="C124" s="142"/>
      <c r="D124" s="143"/>
      <c r="E124" s="144"/>
      <c r="F124" s="142"/>
      <c r="G124" s="143"/>
      <c r="H124" s="145"/>
      <c r="I124" s="123"/>
    </row>
    <row r="125" spans="1:13" ht="13.5" thickBot="1" x14ac:dyDescent="0.25">
      <c r="A125" s="47"/>
      <c r="B125" s="47"/>
    </row>
    <row r="126" spans="1:13" ht="19.5" x14ac:dyDescent="0.4">
      <c r="A126" s="333" t="s">
        <v>55</v>
      </c>
      <c r="B126" s="334"/>
      <c r="C126" s="334"/>
      <c r="D126" s="334"/>
      <c r="E126" s="334"/>
      <c r="F126" s="334"/>
      <c r="G126" s="334"/>
      <c r="H126" s="335"/>
    </row>
    <row r="127" spans="1:13" ht="17.25" x14ac:dyDescent="0.35">
      <c r="A127" s="34" t="s">
        <v>72</v>
      </c>
      <c r="B127" s="34"/>
      <c r="C127" s="35" t="s">
        <v>35</v>
      </c>
      <c r="D127" s="34" t="s">
        <v>73</v>
      </c>
      <c r="E127" s="34" t="s">
        <v>74</v>
      </c>
      <c r="F127" s="35" t="s">
        <v>75</v>
      </c>
      <c r="G127" s="34" t="s">
        <v>43</v>
      </c>
      <c r="H127" s="36"/>
    </row>
    <row r="128" spans="1:13" ht="17.25" x14ac:dyDescent="0.35">
      <c r="A128" s="34" t="s">
        <v>71</v>
      </c>
      <c r="B128" s="34"/>
      <c r="C128" s="46" t="s">
        <v>56</v>
      </c>
      <c r="D128" s="45"/>
      <c r="E128" s="45"/>
      <c r="F128" s="317"/>
      <c r="G128" s="45" t="s">
        <v>23</v>
      </c>
      <c r="H128" s="36"/>
    </row>
    <row r="129" spans="1:9" ht="17.25" x14ac:dyDescent="0.35">
      <c r="A129" s="34" t="s">
        <v>57</v>
      </c>
      <c r="B129" s="34"/>
      <c r="C129" s="46"/>
      <c r="D129" s="45" t="s">
        <v>38</v>
      </c>
      <c r="E129" s="45">
        <v>1</v>
      </c>
      <c r="F129" s="317">
        <v>0</v>
      </c>
      <c r="G129" s="45"/>
      <c r="H129" s="36"/>
    </row>
    <row r="130" spans="1:9" ht="17.25" x14ac:dyDescent="0.35">
      <c r="A130" s="34" t="s">
        <v>58</v>
      </c>
      <c r="B130" s="34"/>
      <c r="C130" s="46"/>
      <c r="D130" s="45" t="s">
        <v>38</v>
      </c>
      <c r="E130" s="45">
        <v>2</v>
      </c>
      <c r="F130" s="317">
        <v>2</v>
      </c>
      <c r="G130" s="45"/>
      <c r="H130" s="36"/>
    </row>
    <row r="131" spans="1:9" ht="17.25" x14ac:dyDescent="0.35">
      <c r="A131" s="34" t="s">
        <v>59</v>
      </c>
      <c r="B131" s="34"/>
      <c r="C131" s="46"/>
      <c r="D131" s="45" t="s">
        <v>38</v>
      </c>
      <c r="E131" s="45">
        <v>2</v>
      </c>
      <c r="F131" s="317" t="s">
        <v>76</v>
      </c>
      <c r="G131" s="45"/>
      <c r="H131" s="36"/>
    </row>
    <row r="132" spans="1:9" ht="17.25" x14ac:dyDescent="0.35">
      <c r="A132" s="34" t="s">
        <v>60</v>
      </c>
      <c r="B132" s="34"/>
      <c r="C132" s="46"/>
      <c r="D132" s="45" t="s">
        <v>38</v>
      </c>
      <c r="E132" s="45">
        <v>1</v>
      </c>
      <c r="F132" s="317" t="s">
        <v>4</v>
      </c>
      <c r="G132" s="45"/>
      <c r="H132" s="36"/>
    </row>
    <row r="133" spans="1:9" ht="17.25" x14ac:dyDescent="0.35">
      <c r="A133" s="34" t="s">
        <v>61</v>
      </c>
      <c r="B133" s="34"/>
      <c r="C133" s="46"/>
      <c r="D133" s="45" t="s">
        <v>38</v>
      </c>
      <c r="E133" s="45">
        <v>2</v>
      </c>
      <c r="F133" s="317">
        <v>4</v>
      </c>
      <c r="G133" s="45"/>
      <c r="H133" s="36"/>
    </row>
    <row r="134" spans="1:9" ht="17.25" x14ac:dyDescent="0.35">
      <c r="A134" s="37" t="s">
        <v>62</v>
      </c>
      <c r="B134" s="37"/>
      <c r="C134" s="26"/>
      <c r="D134" s="29" t="s">
        <v>38</v>
      </c>
      <c r="E134" s="29">
        <f>F133</f>
        <v>4</v>
      </c>
      <c r="F134" s="318" t="s">
        <v>978</v>
      </c>
      <c r="G134" s="29"/>
      <c r="H134" s="38"/>
      <c r="I134" s="30"/>
    </row>
    <row r="135" spans="1:9" ht="17.25" x14ac:dyDescent="0.35">
      <c r="A135" s="34" t="s">
        <v>63</v>
      </c>
      <c r="B135" s="34"/>
      <c r="C135" s="46"/>
      <c r="D135" s="45" t="s">
        <v>38</v>
      </c>
      <c r="E135" s="45">
        <v>1</v>
      </c>
      <c r="F135" s="317" t="s">
        <v>5</v>
      </c>
      <c r="G135" s="45"/>
      <c r="H135" s="36"/>
    </row>
    <row r="136" spans="1:9" ht="17.25" x14ac:dyDescent="0.35">
      <c r="A136" s="34" t="s">
        <v>64</v>
      </c>
      <c r="B136" s="34"/>
      <c r="C136" s="46"/>
      <c r="D136" s="45" t="s">
        <v>38</v>
      </c>
      <c r="E136" s="45">
        <v>2</v>
      </c>
      <c r="F136" s="317">
        <f>LEN(F137)</f>
        <v>21</v>
      </c>
      <c r="G136" s="45"/>
      <c r="H136" s="36"/>
    </row>
    <row r="137" spans="1:9" ht="17.25" x14ac:dyDescent="0.35">
      <c r="A137" s="34" t="s">
        <v>65</v>
      </c>
      <c r="B137" s="34"/>
      <c r="C137" s="46"/>
      <c r="D137" s="45" t="s">
        <v>39</v>
      </c>
      <c r="E137" s="45">
        <f>F136</f>
        <v>21</v>
      </c>
      <c r="F137" s="317" t="s">
        <v>273</v>
      </c>
      <c r="G137" s="45"/>
      <c r="H137" s="36" t="s">
        <v>138</v>
      </c>
    </row>
    <row r="138" spans="1:9" ht="17.25" x14ac:dyDescent="0.35">
      <c r="A138" s="34" t="s">
        <v>66</v>
      </c>
      <c r="B138" s="34"/>
      <c r="C138" s="46"/>
      <c r="D138" s="45" t="s">
        <v>38</v>
      </c>
      <c r="E138" s="45">
        <v>1</v>
      </c>
      <c r="F138" s="317" t="s">
        <v>77</v>
      </c>
      <c r="G138" s="45"/>
      <c r="H138" s="36"/>
    </row>
    <row r="139" spans="1:9" ht="17.25" x14ac:dyDescent="0.35">
      <c r="A139" s="98" t="s">
        <v>67</v>
      </c>
      <c r="B139" s="98"/>
      <c r="C139" s="99"/>
      <c r="D139" s="100" t="s">
        <v>38</v>
      </c>
      <c r="E139" s="100">
        <v>2</v>
      </c>
      <c r="F139" s="319">
        <f>SUM(E140:E141)+E142*F141</f>
        <v>14</v>
      </c>
      <c r="G139" s="29"/>
      <c r="H139" s="38"/>
    </row>
    <row r="140" spans="1:9" ht="17.25" x14ac:dyDescent="0.35">
      <c r="A140" s="34" t="s">
        <v>68</v>
      </c>
      <c r="B140" s="34"/>
      <c r="C140" s="46"/>
      <c r="D140" s="45" t="s">
        <v>38</v>
      </c>
      <c r="E140" s="45">
        <v>1</v>
      </c>
      <c r="F140" s="317">
        <v>0</v>
      </c>
      <c r="G140" s="45"/>
      <c r="H140" s="36"/>
    </row>
    <row r="141" spans="1:9" ht="17.25" x14ac:dyDescent="0.35">
      <c r="A141" s="34" t="s">
        <v>69</v>
      </c>
      <c r="B141" s="34"/>
      <c r="C141" s="46"/>
      <c r="D141" s="45" t="s">
        <v>38</v>
      </c>
      <c r="E141" s="45">
        <v>1</v>
      </c>
      <c r="F141" s="317">
        <f>LEN(F142)-LEN(SUBSTITUTE(F142,",",""))+1</f>
        <v>3</v>
      </c>
      <c r="G141" s="45"/>
      <c r="H141" s="36"/>
    </row>
    <row r="142" spans="1:9" ht="17.25" x14ac:dyDescent="0.35">
      <c r="A142" s="34" t="s">
        <v>70</v>
      </c>
      <c r="B142" s="34"/>
      <c r="C142" s="46"/>
      <c r="D142" s="45" t="s">
        <v>46</v>
      </c>
      <c r="E142" s="45">
        <v>4</v>
      </c>
      <c r="F142" s="317" t="s">
        <v>329</v>
      </c>
      <c r="G142" s="45"/>
      <c r="H142" s="36"/>
    </row>
    <row r="143" spans="1:9" ht="17.25" x14ac:dyDescent="0.35">
      <c r="A143" s="34" t="s">
        <v>213</v>
      </c>
      <c r="B143" s="34"/>
      <c r="C143" s="46"/>
      <c r="D143" s="45" t="s">
        <v>38</v>
      </c>
      <c r="E143" s="45">
        <v>1</v>
      </c>
      <c r="F143" s="317" t="s">
        <v>171</v>
      </c>
      <c r="G143" s="45"/>
      <c r="H143" s="36"/>
    </row>
    <row r="144" spans="1:9" ht="17.25" x14ac:dyDescent="0.35">
      <c r="A144" s="34" t="s">
        <v>214</v>
      </c>
      <c r="B144" s="34"/>
      <c r="C144" s="46"/>
      <c r="D144" s="45" t="s">
        <v>38</v>
      </c>
      <c r="E144" s="45">
        <v>2</v>
      </c>
      <c r="F144" s="317">
        <v>4</v>
      </c>
      <c r="G144" s="45"/>
      <c r="H144" s="36"/>
    </row>
    <row r="145" spans="1:8" ht="17.25" x14ac:dyDescent="0.35">
      <c r="A145" s="37" t="s">
        <v>215</v>
      </c>
      <c r="B145" s="37"/>
      <c r="C145" s="26"/>
      <c r="D145" s="29" t="s">
        <v>38</v>
      </c>
      <c r="E145" s="29">
        <v>4</v>
      </c>
      <c r="F145" s="320" t="str">
        <f>$F$134</f>
        <v>0x05011511</v>
      </c>
      <c r="G145" s="29"/>
      <c r="H145" s="38"/>
    </row>
    <row r="146" spans="1:8" ht="17.25" x14ac:dyDescent="0.35">
      <c r="A146" s="34" t="s">
        <v>297</v>
      </c>
      <c r="B146" s="34"/>
      <c r="C146" s="46"/>
      <c r="D146" s="45" t="s">
        <v>38</v>
      </c>
      <c r="E146" s="45">
        <v>1</v>
      </c>
      <c r="F146" s="317" t="s">
        <v>161</v>
      </c>
      <c r="G146" s="45"/>
      <c r="H146" s="36"/>
    </row>
    <row r="147" spans="1:8" ht="17.25" x14ac:dyDescent="0.35">
      <c r="A147" s="34" t="s">
        <v>298</v>
      </c>
      <c r="B147" s="34"/>
      <c r="C147" s="46"/>
      <c r="D147" s="45" t="s">
        <v>38</v>
      </c>
      <c r="E147" s="45">
        <v>2</v>
      </c>
      <c r="F147" s="317">
        <f>2+F149*E150*2</f>
        <v>14</v>
      </c>
      <c r="G147" s="45"/>
      <c r="H147" s="36"/>
    </row>
    <row r="148" spans="1:8" ht="17.25" x14ac:dyDescent="0.35">
      <c r="A148" s="34" t="s">
        <v>299</v>
      </c>
      <c r="B148" s="34"/>
      <c r="C148" s="46"/>
      <c r="D148" s="45" t="s">
        <v>38</v>
      </c>
      <c r="E148" s="45">
        <v>1</v>
      </c>
      <c r="F148" s="317">
        <v>0</v>
      </c>
      <c r="G148" s="45"/>
      <c r="H148" s="36" t="s">
        <v>300</v>
      </c>
    </row>
    <row r="149" spans="1:8" ht="17.25" x14ac:dyDescent="0.35">
      <c r="A149" s="34" t="s">
        <v>301</v>
      </c>
      <c r="B149" s="34"/>
      <c r="C149" s="46"/>
      <c r="D149" s="45" t="s">
        <v>38</v>
      </c>
      <c r="E149" s="45">
        <v>1</v>
      </c>
      <c r="F149" s="317">
        <f>SUM(LEN(F150)-LEN(SUBSTITUTE(F150,"-","")))</f>
        <v>3</v>
      </c>
      <c r="G149" s="45"/>
      <c r="H149" s="36" t="s">
        <v>302</v>
      </c>
    </row>
    <row r="150" spans="1:8" ht="17.25" x14ac:dyDescent="0.35">
      <c r="A150" s="98" t="s">
        <v>303</v>
      </c>
      <c r="B150" s="98"/>
      <c r="C150" s="99"/>
      <c r="D150" s="100" t="s">
        <v>46</v>
      </c>
      <c r="E150" s="100">
        <v>2</v>
      </c>
      <c r="F150" s="321" t="s">
        <v>319</v>
      </c>
      <c r="G150" s="29"/>
      <c r="H150" s="38"/>
    </row>
    <row r="151" spans="1:8" ht="17.25" x14ac:dyDescent="0.35">
      <c r="A151" s="322" t="s">
        <v>336</v>
      </c>
      <c r="B151" s="322"/>
      <c r="C151" s="323"/>
      <c r="D151" s="324" t="s">
        <v>38</v>
      </c>
      <c r="E151" s="324">
        <v>1</v>
      </c>
      <c r="F151" s="325" t="s">
        <v>337</v>
      </c>
      <c r="G151" s="324"/>
      <c r="H151" s="326"/>
    </row>
    <row r="152" spans="1:8" ht="17.25" x14ac:dyDescent="0.35">
      <c r="A152" s="322" t="s">
        <v>338</v>
      </c>
      <c r="B152" s="322"/>
      <c r="C152" s="323"/>
      <c r="D152" s="324" t="s">
        <v>38</v>
      </c>
      <c r="E152" s="324">
        <v>2</v>
      </c>
      <c r="F152" s="325">
        <v>4</v>
      </c>
      <c r="G152" s="324"/>
      <c r="H152" s="326"/>
    </row>
    <row r="153" spans="1:8" ht="138" x14ac:dyDescent="0.35">
      <c r="A153" s="322" t="s">
        <v>339</v>
      </c>
      <c r="B153" s="322"/>
      <c r="C153" s="323"/>
      <c r="D153" s="324" t="s">
        <v>38</v>
      </c>
      <c r="E153" s="324">
        <v>4</v>
      </c>
      <c r="F153" s="325" t="s">
        <v>340</v>
      </c>
      <c r="G153" s="324"/>
      <c r="H153" s="326" t="s">
        <v>341</v>
      </c>
    </row>
  </sheetData>
  <mergeCells count="3">
    <mergeCell ref="A2:I2"/>
    <mergeCell ref="A4:H4"/>
    <mergeCell ref="A126:H1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autoPageBreaks="0"/>
  </sheetPr>
  <dimension ref="A2:M136"/>
  <sheetViews>
    <sheetView topLeftCell="A110" zoomScale="85" zoomScaleNormal="85" workbookViewId="0">
      <selection activeCell="B1" sqref="B1"/>
    </sheetView>
  </sheetViews>
  <sheetFormatPr defaultColWidth="9.140625" defaultRowHeight="12.75" x14ac:dyDescent="0.2"/>
  <cols>
    <col min="1" max="1" width="35.42578125" style="42" customWidth="1"/>
    <col min="2" max="2" width="41.140625" style="42" customWidth="1"/>
    <col min="3" max="3" width="13.7109375" style="43" bestFit="1" customWidth="1"/>
    <col min="4" max="4" width="13.85546875" style="42" bestFit="1" customWidth="1"/>
    <col min="5" max="5" width="35" style="42" customWidth="1"/>
    <col min="6" max="6" width="24.85546875" style="43" customWidth="1"/>
    <col min="7" max="7" width="10.42578125" style="42" bestFit="1" customWidth="1"/>
    <col min="8" max="8" width="84" style="44" customWidth="1"/>
    <col min="9" max="9" width="45.42578125" style="42" customWidth="1"/>
    <col min="10" max="10" width="19.28515625" style="42" customWidth="1"/>
    <col min="11" max="16384" width="9.140625" style="42"/>
  </cols>
  <sheetData>
    <row r="2" spans="1:9" s="8" customFormat="1" ht="27.75" x14ac:dyDescent="0.55000000000000004">
      <c r="A2" s="329" t="s">
        <v>140</v>
      </c>
      <c r="B2" s="329"/>
      <c r="C2" s="329"/>
      <c r="D2" s="329"/>
      <c r="E2" s="329"/>
      <c r="F2" s="329"/>
      <c r="G2" s="329"/>
      <c r="H2" s="329"/>
      <c r="I2" s="329"/>
    </row>
    <row r="3" spans="1:9" ht="13.5" thickBot="1" x14ac:dyDescent="0.25">
      <c r="A3" s="47"/>
    </row>
    <row r="4" spans="1:9" s="57" customFormat="1" ht="20.25" thickBot="1" x14ac:dyDescent="0.45">
      <c r="A4" s="330" t="s">
        <v>152</v>
      </c>
      <c r="B4" s="331"/>
      <c r="C4" s="331"/>
      <c r="D4" s="331"/>
      <c r="E4" s="331"/>
      <c r="F4" s="331"/>
      <c r="G4" s="331"/>
      <c r="H4" s="332"/>
    </row>
    <row r="5" spans="1:9" s="1" customFormat="1" ht="15.75" thickBot="1" x14ac:dyDescent="0.35">
      <c r="A5" s="56" t="s">
        <v>8</v>
      </c>
      <c r="B5" s="6" t="s">
        <v>7</v>
      </c>
      <c r="C5" s="56" t="s">
        <v>35</v>
      </c>
      <c r="D5" s="56" t="s">
        <v>36</v>
      </c>
      <c r="E5" s="56" t="s">
        <v>9</v>
      </c>
      <c r="F5" s="56" t="s">
        <v>37</v>
      </c>
      <c r="G5" s="58" t="s">
        <v>43</v>
      </c>
      <c r="H5" s="9" t="s">
        <v>10</v>
      </c>
    </row>
    <row r="6" spans="1:9" s="66" customFormat="1" ht="17.25" x14ac:dyDescent="0.35">
      <c r="A6" s="205" t="s">
        <v>12</v>
      </c>
      <c r="B6" s="217">
        <v>71</v>
      </c>
      <c r="C6" s="217"/>
      <c r="D6" s="217"/>
      <c r="E6" s="206" t="s">
        <v>13</v>
      </c>
      <c r="F6" s="217"/>
      <c r="G6" s="217" t="s">
        <v>162</v>
      </c>
      <c r="H6" s="207" t="s">
        <v>6</v>
      </c>
    </row>
    <row r="7" spans="1:9" s="66" customFormat="1" ht="17.25" x14ac:dyDescent="0.35">
      <c r="A7" s="208"/>
      <c r="B7" s="203"/>
      <c r="C7" s="203" t="s">
        <v>39</v>
      </c>
      <c r="D7" s="203">
        <v>13</v>
      </c>
      <c r="E7" s="167" t="s">
        <v>14</v>
      </c>
      <c r="F7" s="203" t="s">
        <v>217</v>
      </c>
      <c r="G7" s="203"/>
      <c r="H7" s="172"/>
    </row>
    <row r="8" spans="1:9" s="66" customFormat="1" ht="17.25" x14ac:dyDescent="0.35">
      <c r="A8" s="208" t="s">
        <v>79</v>
      </c>
      <c r="B8" s="203">
        <v>848</v>
      </c>
      <c r="C8" s="203"/>
      <c r="D8" s="203"/>
      <c r="E8" s="167"/>
      <c r="F8" s="203"/>
      <c r="G8" s="203" t="s">
        <v>163</v>
      </c>
      <c r="H8" s="172"/>
    </row>
    <row r="9" spans="1:9" s="66" customFormat="1" ht="17.25" x14ac:dyDescent="0.35">
      <c r="A9" s="208"/>
      <c r="B9" s="203"/>
      <c r="C9" s="203" t="s">
        <v>38</v>
      </c>
      <c r="D9" s="203">
        <v>1</v>
      </c>
      <c r="E9" s="167" t="s">
        <v>11</v>
      </c>
      <c r="F9" s="203">
        <v>0</v>
      </c>
      <c r="G9" s="203"/>
      <c r="H9" s="172"/>
    </row>
    <row r="10" spans="1:9" s="66" customFormat="1" ht="51.75" x14ac:dyDescent="0.35">
      <c r="A10" s="208"/>
      <c r="B10" s="203"/>
      <c r="C10" s="203" t="s">
        <v>38</v>
      </c>
      <c r="D10" s="203">
        <v>2</v>
      </c>
      <c r="E10" s="167" t="s">
        <v>80</v>
      </c>
      <c r="F10" s="203">
        <v>2</v>
      </c>
      <c r="G10" s="203"/>
      <c r="H10" s="172" t="s">
        <v>81</v>
      </c>
    </row>
    <row r="11" spans="1:9" s="66" customFormat="1" ht="34.5" x14ac:dyDescent="0.35">
      <c r="A11" s="208" t="s">
        <v>82</v>
      </c>
      <c r="B11" s="203">
        <v>849</v>
      </c>
      <c r="C11" s="203"/>
      <c r="D11" s="203"/>
      <c r="E11" s="167"/>
      <c r="F11" s="203"/>
      <c r="G11" s="203" t="s">
        <v>163</v>
      </c>
      <c r="H11" s="172"/>
    </row>
    <row r="12" spans="1:9" s="66" customFormat="1" ht="17.25" x14ac:dyDescent="0.35">
      <c r="A12" s="208"/>
      <c r="B12" s="203"/>
      <c r="C12" s="203" t="s">
        <v>38</v>
      </c>
      <c r="D12" s="203">
        <v>1</v>
      </c>
      <c r="E12" s="167" t="s">
        <v>11</v>
      </c>
      <c r="F12" s="203">
        <v>0</v>
      </c>
      <c r="G12" s="203"/>
      <c r="H12" s="172"/>
    </row>
    <row r="13" spans="1:9" s="66" customFormat="1" ht="34.5" x14ac:dyDescent="0.35">
      <c r="A13" s="208"/>
      <c r="B13" s="203"/>
      <c r="C13" s="203" t="s">
        <v>38</v>
      </c>
      <c r="D13" s="203">
        <v>2</v>
      </c>
      <c r="E13" s="167" t="s">
        <v>83</v>
      </c>
      <c r="F13" s="203">
        <v>0</v>
      </c>
      <c r="G13" s="203"/>
      <c r="H13" s="172" t="s">
        <v>84</v>
      </c>
    </row>
    <row r="14" spans="1:9" s="66" customFormat="1" ht="34.5" x14ac:dyDescent="0.35">
      <c r="A14" s="209" t="s">
        <v>194</v>
      </c>
      <c r="B14" s="203">
        <v>1930</v>
      </c>
      <c r="C14" s="203" t="s">
        <v>38</v>
      </c>
      <c r="D14" s="203">
        <v>1</v>
      </c>
      <c r="E14" s="171" t="s">
        <v>195</v>
      </c>
      <c r="F14" s="203">
        <v>2</v>
      </c>
      <c r="G14" s="203" t="s">
        <v>162</v>
      </c>
      <c r="H14" s="210" t="s">
        <v>196</v>
      </c>
    </row>
    <row r="15" spans="1:9" s="66" customFormat="1" ht="34.5" x14ac:dyDescent="0.35">
      <c r="A15" s="209" t="s">
        <v>17</v>
      </c>
      <c r="B15" s="203">
        <v>1920</v>
      </c>
      <c r="C15" s="203" t="s">
        <v>38</v>
      </c>
      <c r="D15" s="203">
        <v>4</v>
      </c>
      <c r="E15" s="171" t="s">
        <v>18</v>
      </c>
      <c r="F15" s="203" t="s">
        <v>221</v>
      </c>
      <c r="G15" s="203" t="s">
        <v>162</v>
      </c>
      <c r="H15" s="210" t="s">
        <v>17</v>
      </c>
    </row>
    <row r="16" spans="1:9" s="66" customFormat="1" ht="17.25" x14ac:dyDescent="0.35">
      <c r="A16" s="209" t="s">
        <v>222</v>
      </c>
      <c r="B16" s="203">
        <v>452</v>
      </c>
      <c r="C16" s="203" t="s">
        <v>38</v>
      </c>
      <c r="D16" s="203">
        <v>4</v>
      </c>
      <c r="E16" s="171" t="s">
        <v>223</v>
      </c>
      <c r="F16" s="203">
        <v>0</v>
      </c>
      <c r="G16" s="203" t="s">
        <v>162</v>
      </c>
      <c r="H16" s="210" t="s">
        <v>222</v>
      </c>
    </row>
    <row r="17" spans="1:8" s="66" customFormat="1" ht="17.25" x14ac:dyDescent="0.35">
      <c r="A17" s="209" t="s">
        <v>224</v>
      </c>
      <c r="B17" s="203">
        <v>3758</v>
      </c>
      <c r="C17" s="203" t="s">
        <v>38</v>
      </c>
      <c r="D17" s="203">
        <v>1</v>
      </c>
      <c r="E17" s="171" t="s">
        <v>225</v>
      </c>
      <c r="F17" s="203">
        <v>1</v>
      </c>
      <c r="G17" s="203" t="s">
        <v>162</v>
      </c>
      <c r="H17" s="210" t="s">
        <v>224</v>
      </c>
    </row>
    <row r="18" spans="1:8" s="66" customFormat="1" ht="17.25" x14ac:dyDescent="0.35">
      <c r="A18" s="209" t="s">
        <v>226</v>
      </c>
      <c r="B18" s="203">
        <v>6789</v>
      </c>
      <c r="C18" s="203" t="s">
        <v>38</v>
      </c>
      <c r="D18" s="203">
        <v>1</v>
      </c>
      <c r="E18" s="171" t="s">
        <v>227</v>
      </c>
      <c r="F18" s="203" t="s">
        <v>228</v>
      </c>
      <c r="G18" s="203" t="s">
        <v>162</v>
      </c>
      <c r="H18" s="210" t="s">
        <v>226</v>
      </c>
    </row>
    <row r="19" spans="1:8" s="66" customFormat="1" ht="34.5" x14ac:dyDescent="0.35">
      <c r="A19" s="209" t="s">
        <v>229</v>
      </c>
      <c r="B19" s="203">
        <v>6790</v>
      </c>
      <c r="C19" s="203" t="s">
        <v>38</v>
      </c>
      <c r="D19" s="203">
        <v>2</v>
      </c>
      <c r="E19" s="171" t="s">
        <v>230</v>
      </c>
      <c r="F19" s="203">
        <v>0</v>
      </c>
      <c r="G19" s="203" t="s">
        <v>162</v>
      </c>
      <c r="H19" s="210" t="s">
        <v>229</v>
      </c>
    </row>
    <row r="20" spans="1:8" s="66" customFormat="1" ht="17.25" x14ac:dyDescent="0.35">
      <c r="A20" s="209" t="s">
        <v>231</v>
      </c>
      <c r="B20" s="203">
        <v>4707</v>
      </c>
      <c r="C20" s="203" t="s">
        <v>38</v>
      </c>
      <c r="D20" s="203">
        <v>1</v>
      </c>
      <c r="E20" s="171" t="s">
        <v>232</v>
      </c>
      <c r="F20" s="203">
        <v>1</v>
      </c>
      <c r="G20" s="203" t="s">
        <v>162</v>
      </c>
      <c r="H20" s="210" t="s">
        <v>231</v>
      </c>
    </row>
    <row r="21" spans="1:8" s="66" customFormat="1" ht="17.25" x14ac:dyDescent="0.35">
      <c r="A21" s="209" t="s">
        <v>233</v>
      </c>
      <c r="B21" s="203">
        <v>3520</v>
      </c>
      <c r="C21" s="203" t="s">
        <v>38</v>
      </c>
      <c r="D21" s="203">
        <v>2</v>
      </c>
      <c r="E21" s="171" t="s">
        <v>234</v>
      </c>
      <c r="F21" s="203" t="s">
        <v>158</v>
      </c>
      <c r="G21" s="203" t="s">
        <v>162</v>
      </c>
      <c r="H21" s="210" t="s">
        <v>233</v>
      </c>
    </row>
    <row r="22" spans="1:8" s="66" customFormat="1" ht="17.25" x14ac:dyDescent="0.35">
      <c r="A22" s="209" t="s">
        <v>235</v>
      </c>
      <c r="B22" s="203">
        <v>4927</v>
      </c>
      <c r="C22" s="203" t="s">
        <v>38</v>
      </c>
      <c r="D22" s="203">
        <v>1</v>
      </c>
      <c r="E22" s="171" t="s">
        <v>236</v>
      </c>
      <c r="F22" s="203">
        <v>1</v>
      </c>
      <c r="G22" s="203" t="s">
        <v>162</v>
      </c>
      <c r="H22" s="210" t="s">
        <v>235</v>
      </c>
    </row>
    <row r="23" spans="1:8" s="66" customFormat="1" ht="17.25" x14ac:dyDescent="0.35">
      <c r="A23" s="209" t="s">
        <v>237</v>
      </c>
      <c r="B23" s="203">
        <v>4627</v>
      </c>
      <c r="C23" s="203" t="s">
        <v>38</v>
      </c>
      <c r="D23" s="203">
        <v>1</v>
      </c>
      <c r="E23" s="171" t="s">
        <v>238</v>
      </c>
      <c r="F23" s="203">
        <v>1</v>
      </c>
      <c r="G23" s="203" t="s">
        <v>162</v>
      </c>
      <c r="H23" s="210" t="s">
        <v>237</v>
      </c>
    </row>
    <row r="24" spans="1:8" s="66" customFormat="1" ht="17.25" x14ac:dyDescent="0.35">
      <c r="A24" s="209" t="s">
        <v>239</v>
      </c>
      <c r="B24" s="203">
        <v>4628</v>
      </c>
      <c r="C24" s="203" t="s">
        <v>38</v>
      </c>
      <c r="D24" s="203">
        <v>2</v>
      </c>
      <c r="E24" s="171" t="s">
        <v>240</v>
      </c>
      <c r="F24" s="203">
        <v>24</v>
      </c>
      <c r="G24" s="203" t="s">
        <v>162</v>
      </c>
      <c r="H24" s="210" t="s">
        <v>239</v>
      </c>
    </row>
    <row r="25" spans="1:8" s="66" customFormat="1" ht="34.5" x14ac:dyDescent="0.35">
      <c r="A25" s="209" t="s">
        <v>241</v>
      </c>
      <c r="B25" s="203">
        <v>4629</v>
      </c>
      <c r="C25" s="203" t="s">
        <v>38</v>
      </c>
      <c r="D25" s="203">
        <v>1</v>
      </c>
      <c r="E25" s="171" t="s">
        <v>242</v>
      </c>
      <c r="F25" s="203">
        <v>3</v>
      </c>
      <c r="G25" s="203" t="s">
        <v>162</v>
      </c>
      <c r="H25" s="210" t="s">
        <v>241</v>
      </c>
    </row>
    <row r="26" spans="1:8" s="66" customFormat="1" ht="34.5" x14ac:dyDescent="0.35">
      <c r="A26" s="209" t="s">
        <v>243</v>
      </c>
      <c r="B26" s="203">
        <v>4703</v>
      </c>
      <c r="C26" s="203" t="s">
        <v>39</v>
      </c>
      <c r="D26" s="203">
        <v>128</v>
      </c>
      <c r="E26" s="171" t="s">
        <v>244</v>
      </c>
      <c r="F26" s="203" t="s">
        <v>245</v>
      </c>
      <c r="G26" s="203" t="s">
        <v>162</v>
      </c>
      <c r="H26" s="210" t="s">
        <v>246</v>
      </c>
    </row>
    <row r="27" spans="1:8" s="66" customFormat="1" ht="17.25" x14ac:dyDescent="0.35">
      <c r="A27" s="209" t="s">
        <v>247</v>
      </c>
      <c r="B27" s="203">
        <v>6792</v>
      </c>
      <c r="C27" s="203" t="s">
        <v>38</v>
      </c>
      <c r="D27" s="203">
        <v>4</v>
      </c>
      <c r="E27" s="171" t="s">
        <v>248</v>
      </c>
      <c r="F27" s="203" t="s">
        <v>141</v>
      </c>
      <c r="G27" s="203" t="s">
        <v>162</v>
      </c>
      <c r="H27" s="210" t="s">
        <v>249</v>
      </c>
    </row>
    <row r="28" spans="1:8" s="66" customFormat="1" ht="34.5" x14ac:dyDescent="0.35">
      <c r="A28" s="209" t="s">
        <v>250</v>
      </c>
      <c r="B28" s="203">
        <v>4630</v>
      </c>
      <c r="C28" s="203" t="s">
        <v>38</v>
      </c>
      <c r="D28" s="203">
        <v>1</v>
      </c>
      <c r="E28" s="171" t="s">
        <v>251</v>
      </c>
      <c r="F28" s="203">
        <v>10</v>
      </c>
      <c r="G28" s="203" t="s">
        <v>162</v>
      </c>
      <c r="H28" s="210" t="s">
        <v>250</v>
      </c>
    </row>
    <row r="29" spans="1:8" s="66" customFormat="1" ht="34.5" x14ac:dyDescent="0.35">
      <c r="A29" s="209" t="s">
        <v>252</v>
      </c>
      <c r="B29" s="203">
        <v>4631</v>
      </c>
      <c r="C29" s="203" t="s">
        <v>38</v>
      </c>
      <c r="D29" s="203">
        <v>1</v>
      </c>
      <c r="E29" s="171" t="s">
        <v>253</v>
      </c>
      <c r="F29" s="203">
        <v>0</v>
      </c>
      <c r="G29" s="203" t="s">
        <v>162</v>
      </c>
      <c r="H29" s="210" t="s">
        <v>252</v>
      </c>
    </row>
    <row r="30" spans="1:8" s="66" customFormat="1" ht="17.25" x14ac:dyDescent="0.35">
      <c r="A30" s="208" t="s">
        <v>49</v>
      </c>
      <c r="B30" s="203">
        <v>880</v>
      </c>
      <c r="C30" s="203" t="s">
        <v>38</v>
      </c>
      <c r="D30" s="203">
        <v>1</v>
      </c>
      <c r="E30" s="167" t="s">
        <v>85</v>
      </c>
      <c r="F30" s="203" t="s">
        <v>4</v>
      </c>
      <c r="G30" s="203" t="s">
        <v>162</v>
      </c>
      <c r="H30" s="172"/>
    </row>
    <row r="31" spans="1:8" s="66" customFormat="1" ht="17.25" x14ac:dyDescent="0.35">
      <c r="A31" s="208" t="s">
        <v>50</v>
      </c>
      <c r="B31" s="203">
        <v>881</v>
      </c>
      <c r="C31" s="203" t="s">
        <v>38</v>
      </c>
      <c r="D31" s="203">
        <v>1</v>
      </c>
      <c r="E31" s="167" t="s">
        <v>86</v>
      </c>
      <c r="F31" s="203" t="s">
        <v>4</v>
      </c>
      <c r="G31" s="203" t="s">
        <v>162</v>
      </c>
      <c r="H31" s="172"/>
    </row>
    <row r="32" spans="1:8" s="66" customFormat="1" ht="17.25" x14ac:dyDescent="0.35">
      <c r="A32" s="208" t="s">
        <v>51</v>
      </c>
      <c r="B32" s="203">
        <v>882</v>
      </c>
      <c r="C32" s="203" t="s">
        <v>38</v>
      </c>
      <c r="D32" s="203">
        <v>1</v>
      </c>
      <c r="E32" s="167" t="s">
        <v>87</v>
      </c>
      <c r="F32" s="203" t="s">
        <v>23</v>
      </c>
      <c r="G32" s="203" t="s">
        <v>162</v>
      </c>
      <c r="H32" s="172"/>
    </row>
    <row r="33" spans="1:9" s="66" customFormat="1" ht="34.5" x14ac:dyDescent="0.35">
      <c r="A33" s="208" t="s">
        <v>88</v>
      </c>
      <c r="B33" s="203">
        <v>896</v>
      </c>
      <c r="C33" s="203" t="s">
        <v>38</v>
      </c>
      <c r="D33" s="203">
        <v>2</v>
      </c>
      <c r="E33" s="167" t="s">
        <v>89</v>
      </c>
      <c r="F33" s="203">
        <v>1</v>
      </c>
      <c r="G33" s="203" t="s">
        <v>162</v>
      </c>
      <c r="H33" s="172" t="s">
        <v>90</v>
      </c>
    </row>
    <row r="34" spans="1:9" s="66" customFormat="1" ht="17.25" x14ac:dyDescent="0.35">
      <c r="A34" s="208" t="s">
        <v>91</v>
      </c>
      <c r="B34" s="203">
        <v>911</v>
      </c>
      <c r="C34" s="203" t="s">
        <v>38</v>
      </c>
      <c r="D34" s="203">
        <v>1</v>
      </c>
      <c r="E34" s="167" t="s">
        <v>92</v>
      </c>
      <c r="F34" s="203" t="s">
        <v>157</v>
      </c>
      <c r="G34" s="203" t="s">
        <v>162</v>
      </c>
      <c r="H34" s="172" t="s">
        <v>6</v>
      </c>
    </row>
    <row r="35" spans="1:9" s="66" customFormat="1" ht="17.25" x14ac:dyDescent="0.35">
      <c r="A35" s="208" t="s">
        <v>136</v>
      </c>
      <c r="B35" s="203">
        <v>6828</v>
      </c>
      <c r="C35" s="203"/>
      <c r="D35" s="203"/>
      <c r="E35" s="167"/>
      <c r="F35" s="203"/>
      <c r="G35" s="203" t="s">
        <v>6</v>
      </c>
      <c r="H35" s="172"/>
    </row>
    <row r="36" spans="1:9" s="66" customFormat="1" ht="34.5" x14ac:dyDescent="0.35">
      <c r="A36" s="208"/>
      <c r="B36" s="203"/>
      <c r="C36" s="203" t="s">
        <v>38</v>
      </c>
      <c r="D36" s="203">
        <v>8</v>
      </c>
      <c r="E36" s="167" t="s">
        <v>137</v>
      </c>
      <c r="F36" s="203" t="s">
        <v>169</v>
      </c>
      <c r="G36" s="203"/>
      <c r="H36" s="172" t="s">
        <v>170</v>
      </c>
    </row>
    <row r="37" spans="1:9" s="41" customFormat="1" ht="34.5" x14ac:dyDescent="0.35">
      <c r="A37" s="208"/>
      <c r="B37" s="203"/>
      <c r="C37" s="203" t="s">
        <v>38</v>
      </c>
      <c r="D37" s="203">
        <v>8</v>
      </c>
      <c r="E37" s="167" t="s">
        <v>137</v>
      </c>
      <c r="F37" s="203">
        <v>0</v>
      </c>
      <c r="G37" s="203"/>
      <c r="H37" s="172"/>
      <c r="I37" s="66"/>
    </row>
    <row r="38" spans="1:9" s="41" customFormat="1" ht="17.25" x14ac:dyDescent="0.35">
      <c r="A38" s="208" t="s">
        <v>93</v>
      </c>
      <c r="B38" s="203">
        <v>441</v>
      </c>
      <c r="C38" s="203"/>
      <c r="D38" s="203"/>
      <c r="E38" s="167"/>
      <c r="F38" s="203"/>
      <c r="G38" s="203" t="s">
        <v>163</v>
      </c>
      <c r="H38" s="172"/>
      <c r="I38" s="66"/>
    </row>
    <row r="39" spans="1:9" s="41" customFormat="1" ht="17.25" x14ac:dyDescent="0.35">
      <c r="A39" s="208"/>
      <c r="B39" s="203"/>
      <c r="C39" s="203" t="s">
        <v>38</v>
      </c>
      <c r="D39" s="203">
        <v>1</v>
      </c>
      <c r="E39" s="167" t="s">
        <v>11</v>
      </c>
      <c r="F39" s="203">
        <v>0</v>
      </c>
      <c r="G39" s="203"/>
      <c r="H39" s="172"/>
      <c r="I39" s="66"/>
    </row>
    <row r="40" spans="1:9" ht="17.25" x14ac:dyDescent="0.35">
      <c r="A40" s="208"/>
      <c r="B40" s="203"/>
      <c r="C40" s="203" t="s">
        <v>38</v>
      </c>
      <c r="D40" s="203">
        <v>2</v>
      </c>
      <c r="E40" s="167" t="s">
        <v>94</v>
      </c>
      <c r="F40" s="203" t="s">
        <v>158</v>
      </c>
      <c r="G40" s="203"/>
      <c r="H40" s="172" t="s">
        <v>6</v>
      </c>
      <c r="I40" s="101"/>
    </row>
    <row r="41" spans="1:9" ht="17.25" x14ac:dyDescent="0.35">
      <c r="A41" s="208" t="s">
        <v>95</v>
      </c>
      <c r="B41" s="203">
        <v>946</v>
      </c>
      <c r="C41" s="203"/>
      <c r="D41" s="203"/>
      <c r="E41" s="167"/>
      <c r="F41" s="203"/>
      <c r="G41" s="203" t="s">
        <v>163</v>
      </c>
      <c r="H41" s="172"/>
      <c r="I41" s="101"/>
    </row>
    <row r="42" spans="1:9" ht="17.25" x14ac:dyDescent="0.35">
      <c r="A42" s="208"/>
      <c r="B42" s="203"/>
      <c r="C42" s="203" t="s">
        <v>38</v>
      </c>
      <c r="D42" s="203">
        <v>1</v>
      </c>
      <c r="E42" s="167" t="s">
        <v>11</v>
      </c>
      <c r="F42" s="203">
        <v>0</v>
      </c>
      <c r="G42" s="203"/>
      <c r="H42" s="172"/>
      <c r="I42" s="101"/>
    </row>
    <row r="43" spans="1:9" s="66" customFormat="1" ht="17.25" x14ac:dyDescent="0.35">
      <c r="A43" s="208"/>
      <c r="B43" s="203"/>
      <c r="C43" s="203" t="s">
        <v>38</v>
      </c>
      <c r="D43" s="203">
        <v>2</v>
      </c>
      <c r="E43" s="167" t="s">
        <v>96</v>
      </c>
      <c r="F43" s="203" t="s">
        <v>159</v>
      </c>
      <c r="G43" s="203"/>
      <c r="H43" s="172" t="s">
        <v>6</v>
      </c>
    </row>
    <row r="44" spans="1:9" s="66" customFormat="1" ht="17.25" x14ac:dyDescent="0.35">
      <c r="A44" s="208" t="s">
        <v>97</v>
      </c>
      <c r="B44" s="203">
        <v>2954</v>
      </c>
      <c r="C44" s="203"/>
      <c r="D44" s="203"/>
      <c r="E44" s="167"/>
      <c r="F44" s="203"/>
      <c r="G44" s="203" t="s">
        <v>163</v>
      </c>
      <c r="H44" s="172"/>
    </row>
    <row r="45" spans="1:9" s="66" customFormat="1" ht="17.25" x14ac:dyDescent="0.35">
      <c r="A45" s="208"/>
      <c r="B45" s="203"/>
      <c r="C45" s="203" t="s">
        <v>38</v>
      </c>
      <c r="D45" s="203">
        <v>1</v>
      </c>
      <c r="E45" s="167" t="s">
        <v>11</v>
      </c>
      <c r="F45" s="203">
        <v>0</v>
      </c>
      <c r="G45" s="203"/>
      <c r="H45" s="172"/>
    </row>
    <row r="46" spans="1:9" s="30" customFormat="1" ht="17.25" x14ac:dyDescent="0.35">
      <c r="A46" s="208"/>
      <c r="B46" s="203"/>
      <c r="C46" s="203" t="s">
        <v>38</v>
      </c>
      <c r="D46" s="203">
        <v>4</v>
      </c>
      <c r="E46" s="167" t="s">
        <v>98</v>
      </c>
      <c r="F46" s="203" t="s">
        <v>141</v>
      </c>
      <c r="G46" s="203"/>
      <c r="H46" s="172" t="s">
        <v>6</v>
      </c>
      <c r="I46" s="101"/>
    </row>
    <row r="47" spans="1:9" s="30" customFormat="1" ht="34.5" x14ac:dyDescent="0.35">
      <c r="A47" s="208" t="s">
        <v>108</v>
      </c>
      <c r="B47" s="203">
        <v>1302</v>
      </c>
      <c r="C47" s="203" t="s">
        <v>38</v>
      </c>
      <c r="D47" s="203">
        <v>1</v>
      </c>
      <c r="E47" s="167" t="s">
        <v>109</v>
      </c>
      <c r="F47" s="203">
        <v>1</v>
      </c>
      <c r="G47" s="203" t="s">
        <v>162</v>
      </c>
      <c r="H47" s="172" t="s">
        <v>110</v>
      </c>
      <c r="I47" s="101"/>
    </row>
    <row r="48" spans="1:9" s="30" customFormat="1" ht="17.25" x14ac:dyDescent="0.35">
      <c r="A48" s="208" t="s">
        <v>123</v>
      </c>
      <c r="B48" s="203">
        <v>3628</v>
      </c>
      <c r="C48" s="203" t="s">
        <v>38</v>
      </c>
      <c r="D48" s="203">
        <v>1</v>
      </c>
      <c r="E48" s="167" t="s">
        <v>124</v>
      </c>
      <c r="F48" s="203">
        <v>0</v>
      </c>
      <c r="G48" s="203" t="s">
        <v>162</v>
      </c>
      <c r="H48" s="172" t="s">
        <v>125</v>
      </c>
      <c r="I48" s="101"/>
    </row>
    <row r="49" spans="1:9" s="30" customFormat="1" ht="34.5" x14ac:dyDescent="0.35">
      <c r="A49" s="208" t="s">
        <v>126</v>
      </c>
      <c r="B49" s="203">
        <v>3629</v>
      </c>
      <c r="C49" s="203" t="s">
        <v>38</v>
      </c>
      <c r="D49" s="203">
        <v>1</v>
      </c>
      <c r="E49" s="167" t="s">
        <v>127</v>
      </c>
      <c r="F49" s="203">
        <v>3</v>
      </c>
      <c r="G49" s="203" t="s">
        <v>162</v>
      </c>
      <c r="H49" s="172" t="s">
        <v>128</v>
      </c>
      <c r="I49" s="101"/>
    </row>
    <row r="50" spans="1:9" ht="17.25" x14ac:dyDescent="0.35">
      <c r="A50" s="208" t="s">
        <v>24</v>
      </c>
      <c r="B50" s="203">
        <v>10</v>
      </c>
      <c r="C50" s="203"/>
      <c r="D50" s="203"/>
      <c r="E50" s="167" t="s">
        <v>25</v>
      </c>
      <c r="F50" s="203"/>
      <c r="G50" s="203" t="s">
        <v>322</v>
      </c>
      <c r="H50" s="172" t="s">
        <v>6</v>
      </c>
      <c r="I50" s="101"/>
    </row>
    <row r="51" spans="1:9" ht="17.25" x14ac:dyDescent="0.35">
      <c r="A51" s="208"/>
      <c r="B51" s="203"/>
      <c r="C51" s="203" t="s">
        <v>38</v>
      </c>
      <c r="D51" s="203">
        <v>1</v>
      </c>
      <c r="E51" s="167" t="s">
        <v>11</v>
      </c>
      <c r="F51" s="203">
        <v>0</v>
      </c>
      <c r="G51" s="203"/>
      <c r="H51" s="172"/>
      <c r="I51" s="101"/>
    </row>
    <row r="52" spans="1:9" s="118" customFormat="1" ht="17.25" x14ac:dyDescent="0.35">
      <c r="A52" s="208"/>
      <c r="B52" s="203"/>
      <c r="C52" s="203" t="s">
        <v>38</v>
      </c>
      <c r="D52" s="203">
        <v>2</v>
      </c>
      <c r="E52" s="167" t="s">
        <v>26</v>
      </c>
      <c r="F52" s="203">
        <v>4</v>
      </c>
      <c r="G52" s="203"/>
      <c r="H52" s="172" t="s">
        <v>6</v>
      </c>
      <c r="I52" s="27"/>
    </row>
    <row r="53" spans="1:9" ht="17.25" x14ac:dyDescent="0.35">
      <c r="A53" s="192" t="s">
        <v>24</v>
      </c>
      <c r="B53" s="166">
        <v>10</v>
      </c>
      <c r="C53" s="166"/>
      <c r="D53" s="166"/>
      <c r="E53" s="178" t="s">
        <v>25</v>
      </c>
      <c r="F53" s="166"/>
      <c r="G53" s="166" t="s">
        <v>163</v>
      </c>
      <c r="H53" s="193" t="s">
        <v>6</v>
      </c>
      <c r="I53" s="101"/>
    </row>
    <row r="54" spans="1:9" ht="17.25" x14ac:dyDescent="0.35">
      <c r="A54" s="192"/>
      <c r="B54" s="166" t="s">
        <v>160</v>
      </c>
      <c r="C54" s="166" t="s">
        <v>38</v>
      </c>
      <c r="D54" s="166">
        <v>1</v>
      </c>
      <c r="E54" s="178"/>
      <c r="F54" s="166" t="s">
        <v>161</v>
      </c>
      <c r="G54" s="166"/>
      <c r="H54" s="193" t="s">
        <v>164</v>
      </c>
      <c r="I54" s="101"/>
    </row>
    <row r="55" spans="1:9" ht="17.25" x14ac:dyDescent="0.35">
      <c r="A55" s="192"/>
      <c r="B55" s="166"/>
      <c r="C55" s="166" t="s">
        <v>38</v>
      </c>
      <c r="D55" s="166">
        <v>1</v>
      </c>
      <c r="E55" s="178" t="s">
        <v>11</v>
      </c>
      <c r="F55" s="166">
        <v>0</v>
      </c>
      <c r="G55" s="166"/>
      <c r="H55" s="193" t="s">
        <v>165</v>
      </c>
      <c r="I55" s="101"/>
    </row>
    <row r="56" spans="1:9" ht="17.25" x14ac:dyDescent="0.35">
      <c r="A56" s="192"/>
      <c r="B56" s="166"/>
      <c r="C56" s="166" t="s">
        <v>38</v>
      </c>
      <c r="D56" s="166">
        <v>2</v>
      </c>
      <c r="E56" s="178" t="s">
        <v>26</v>
      </c>
      <c r="F56" s="166">
        <v>58</v>
      </c>
      <c r="G56" s="166"/>
      <c r="H56" s="193" t="s">
        <v>166</v>
      </c>
      <c r="I56" s="101"/>
    </row>
    <row r="57" spans="1:9" s="118" customFormat="1" ht="17.25" x14ac:dyDescent="0.35">
      <c r="A57" s="211" t="s">
        <v>188</v>
      </c>
      <c r="B57" s="203">
        <v>3446</v>
      </c>
      <c r="C57" s="203"/>
      <c r="D57" s="203"/>
      <c r="E57" s="173" t="s">
        <v>189</v>
      </c>
      <c r="F57" s="203"/>
      <c r="G57" s="203"/>
      <c r="H57" s="212"/>
      <c r="I57" s="27"/>
    </row>
    <row r="58" spans="1:9" s="146" customFormat="1" ht="17.25" x14ac:dyDescent="0.35">
      <c r="A58" s="211"/>
      <c r="B58" s="203"/>
      <c r="C58" s="203" t="s">
        <v>38</v>
      </c>
      <c r="D58" s="203">
        <v>2</v>
      </c>
      <c r="E58" s="173" t="s">
        <v>190</v>
      </c>
      <c r="F58" s="203">
        <v>2</v>
      </c>
      <c r="G58" s="203"/>
      <c r="H58" s="212"/>
      <c r="I58" s="27"/>
    </row>
    <row r="59" spans="1:9" s="120" customFormat="1" ht="17.25" x14ac:dyDescent="0.35">
      <c r="A59" s="211"/>
      <c r="B59" s="203"/>
      <c r="C59" s="203" t="s">
        <v>38</v>
      </c>
      <c r="D59" s="203">
        <v>4</v>
      </c>
      <c r="E59" s="173" t="s">
        <v>191</v>
      </c>
      <c r="F59" s="203">
        <v>0</v>
      </c>
      <c r="G59" s="203"/>
      <c r="H59" s="212"/>
      <c r="I59" s="27"/>
    </row>
    <row r="60" spans="1:9" s="24" customFormat="1" ht="17.25" x14ac:dyDescent="0.35">
      <c r="A60" s="213" t="s">
        <v>192</v>
      </c>
      <c r="B60" s="203">
        <v>7165</v>
      </c>
      <c r="C60" s="203" t="s">
        <v>38</v>
      </c>
      <c r="D60" s="203">
        <v>4</v>
      </c>
      <c r="E60" s="174" t="s">
        <v>193</v>
      </c>
      <c r="F60" s="203" t="s">
        <v>210</v>
      </c>
      <c r="G60" s="203" t="s">
        <v>162</v>
      </c>
      <c r="H60" s="214"/>
      <c r="I60" s="101"/>
    </row>
    <row r="61" spans="1:9" s="24" customFormat="1" ht="18" thickBot="1" x14ac:dyDescent="0.4">
      <c r="A61" s="215"/>
      <c r="B61" s="218"/>
      <c r="C61" s="218"/>
      <c r="D61" s="218"/>
      <c r="E61" s="216"/>
      <c r="F61" s="218"/>
      <c r="G61" s="218"/>
      <c r="H61" s="204"/>
      <c r="I61" s="101"/>
    </row>
    <row r="62" spans="1:9" s="24" customFormat="1" ht="15" x14ac:dyDescent="0.3">
      <c r="A62" s="18"/>
      <c r="B62" s="15"/>
      <c r="C62" s="60"/>
      <c r="D62" s="15"/>
      <c r="E62" s="15"/>
      <c r="F62" s="60"/>
      <c r="G62" s="15"/>
      <c r="H62" s="21"/>
      <c r="I62" s="101"/>
    </row>
    <row r="63" spans="1:9" s="24" customFormat="1" ht="15.75" thickBot="1" x14ac:dyDescent="0.35">
      <c r="A63" s="22"/>
      <c r="B63" s="17"/>
      <c r="C63" s="60"/>
      <c r="D63" s="15"/>
      <c r="E63" s="15"/>
      <c r="F63" s="60"/>
      <c r="G63" s="15"/>
      <c r="H63" s="21"/>
      <c r="I63" s="101"/>
    </row>
    <row r="64" spans="1:9" s="24" customFormat="1" ht="20.25" thickBot="1" x14ac:dyDescent="0.45">
      <c r="A64" s="39" t="s">
        <v>42</v>
      </c>
      <c r="B64" s="39"/>
      <c r="C64" s="39"/>
      <c r="D64" s="39"/>
      <c r="E64" s="39"/>
      <c r="F64" s="39"/>
      <c r="G64" s="39"/>
      <c r="H64" s="68"/>
      <c r="I64" s="40"/>
    </row>
    <row r="65" spans="1:11" s="24" customFormat="1" ht="15.75" thickBot="1" x14ac:dyDescent="0.35">
      <c r="A65" s="19" t="s">
        <v>27</v>
      </c>
      <c r="B65" s="58" t="s">
        <v>28</v>
      </c>
      <c r="C65" s="58" t="s">
        <v>35</v>
      </c>
      <c r="D65" s="19" t="s">
        <v>45</v>
      </c>
      <c r="E65" s="19" t="s">
        <v>44</v>
      </c>
      <c r="F65" s="19" t="s">
        <v>37</v>
      </c>
      <c r="G65" s="59" t="s">
        <v>43</v>
      </c>
      <c r="H65" s="20" t="s">
        <v>47</v>
      </c>
      <c r="I65" s="12" t="s">
        <v>29</v>
      </c>
    </row>
    <row r="66" spans="1:11" s="24" customFormat="1" ht="34.5" x14ac:dyDescent="0.35">
      <c r="A66" s="147" t="s">
        <v>168</v>
      </c>
      <c r="B66" s="148" t="s">
        <v>167</v>
      </c>
      <c r="C66" s="149" t="s">
        <v>52</v>
      </c>
      <c r="D66" s="148"/>
      <c r="E66" s="148"/>
      <c r="F66" s="148"/>
      <c r="G66" s="148" t="s">
        <v>162</v>
      </c>
      <c r="H66" s="150"/>
      <c r="I66" s="124" t="s">
        <v>219</v>
      </c>
    </row>
    <row r="67" spans="1:11" s="24" customFormat="1" ht="17.25" x14ac:dyDescent="0.35">
      <c r="A67" s="107"/>
      <c r="B67" s="104"/>
      <c r="C67" s="104"/>
      <c r="D67" s="104" t="s">
        <v>38</v>
      </c>
      <c r="E67" s="104">
        <v>8</v>
      </c>
      <c r="F67" s="106" t="s">
        <v>218</v>
      </c>
      <c r="G67" s="104"/>
      <c r="H67" s="151"/>
      <c r="I67" s="121"/>
    </row>
    <row r="68" spans="1:11" s="24" customFormat="1" ht="17.25" x14ac:dyDescent="0.35">
      <c r="A68" s="152" t="s">
        <v>132</v>
      </c>
      <c r="B68" s="104" t="s">
        <v>53</v>
      </c>
      <c r="C68" s="106" t="s">
        <v>40</v>
      </c>
      <c r="D68" s="106"/>
      <c r="E68" s="104"/>
      <c r="F68" s="106"/>
      <c r="G68" s="104" t="s">
        <v>162</v>
      </c>
      <c r="H68" s="151" t="s">
        <v>270</v>
      </c>
      <c r="I68" s="125"/>
      <c r="J68" s="41"/>
      <c r="K68" s="41"/>
    </row>
    <row r="69" spans="1:11" s="24" customFormat="1" ht="17.25" x14ac:dyDescent="0.35">
      <c r="A69" s="153" t="s">
        <v>133</v>
      </c>
      <c r="B69" s="229" t="s">
        <v>332</v>
      </c>
      <c r="C69" s="106" t="s">
        <v>52</v>
      </c>
      <c r="D69" s="104"/>
      <c r="E69" s="104"/>
      <c r="F69" s="106"/>
      <c r="G69" s="104" t="s">
        <v>162</v>
      </c>
      <c r="H69" s="134"/>
      <c r="I69" s="121">
        <v>65693</v>
      </c>
      <c r="J69" s="41"/>
      <c r="K69" s="41"/>
    </row>
    <row r="70" spans="1:11" s="24" customFormat="1" ht="103.5" x14ac:dyDescent="0.35">
      <c r="A70" s="153"/>
      <c r="B70" s="104"/>
      <c r="C70" s="106"/>
      <c r="D70" s="104" t="s">
        <v>38</v>
      </c>
      <c r="E70" s="104">
        <v>2</v>
      </c>
      <c r="F70" s="106">
        <v>0</v>
      </c>
      <c r="G70" s="104"/>
      <c r="H70" s="134"/>
      <c r="I70" s="121" t="s">
        <v>134</v>
      </c>
      <c r="J70" s="41"/>
      <c r="K70" s="41"/>
    </row>
    <row r="71" spans="1:11" s="24" customFormat="1" ht="19.5" x14ac:dyDescent="0.4">
      <c r="A71" s="154" t="s">
        <v>254</v>
      </c>
      <c r="B71" s="102" t="s">
        <v>255</v>
      </c>
      <c r="C71" s="102" t="s">
        <v>52</v>
      </c>
      <c r="D71" s="102"/>
      <c r="E71" s="102"/>
      <c r="F71" s="102"/>
      <c r="G71" s="102" t="s">
        <v>162</v>
      </c>
      <c r="H71" s="155"/>
      <c r="I71" s="105">
        <v>67217</v>
      </c>
      <c r="J71" s="41"/>
      <c r="K71" s="41"/>
    </row>
    <row r="72" spans="1:11" s="24" customFormat="1" ht="19.5" x14ac:dyDescent="0.4">
      <c r="A72" s="154"/>
      <c r="B72" s="102"/>
      <c r="C72" s="102"/>
      <c r="D72" s="102" t="s">
        <v>38</v>
      </c>
      <c r="E72" s="102">
        <v>1</v>
      </c>
      <c r="F72" s="102">
        <v>1</v>
      </c>
      <c r="G72" s="102"/>
      <c r="H72" s="155"/>
      <c r="I72" s="105" t="s">
        <v>254</v>
      </c>
      <c r="J72" s="41"/>
      <c r="K72" s="41"/>
    </row>
    <row r="73" spans="1:11" s="95" customFormat="1" ht="16.5" customHeight="1" x14ac:dyDescent="0.4">
      <c r="A73" s="154"/>
      <c r="B73" s="102"/>
      <c r="C73" s="102"/>
      <c r="D73" s="102" t="s">
        <v>38</v>
      </c>
      <c r="E73" s="102">
        <v>2</v>
      </c>
      <c r="F73" s="102" t="s">
        <v>158</v>
      </c>
      <c r="G73" s="102"/>
      <c r="H73" s="155"/>
      <c r="I73" s="105"/>
    </row>
    <row r="74" spans="1:11" s="27" customFormat="1" ht="17.25" x14ac:dyDescent="0.35">
      <c r="A74" s="156" t="s">
        <v>200</v>
      </c>
      <c r="B74" s="104" t="s">
        <v>201</v>
      </c>
      <c r="C74" s="104" t="s">
        <v>52</v>
      </c>
      <c r="D74" s="104"/>
      <c r="E74" s="104"/>
      <c r="F74" s="104"/>
      <c r="G74" s="104" t="s">
        <v>162</v>
      </c>
      <c r="H74" s="151"/>
      <c r="I74" s="103">
        <v>72533</v>
      </c>
    </row>
    <row r="75" spans="1:11" ht="34.5" x14ac:dyDescent="0.35">
      <c r="A75" s="156"/>
      <c r="B75" s="104"/>
      <c r="C75" s="104"/>
      <c r="D75" s="104" t="s">
        <v>38</v>
      </c>
      <c r="E75" s="104">
        <v>4</v>
      </c>
      <c r="F75" s="104">
        <v>1</v>
      </c>
      <c r="G75" s="104"/>
      <c r="H75" s="151"/>
      <c r="I75" s="103" t="s">
        <v>202</v>
      </c>
    </row>
    <row r="76" spans="1:11" ht="17.25" x14ac:dyDescent="0.35">
      <c r="A76" s="157" t="s">
        <v>295</v>
      </c>
      <c r="B76" s="104" t="s">
        <v>296</v>
      </c>
      <c r="C76" s="106" t="s">
        <v>52</v>
      </c>
      <c r="D76" s="106"/>
      <c r="E76" s="104"/>
      <c r="F76" s="106"/>
      <c r="G76" s="104" t="s">
        <v>162</v>
      </c>
      <c r="H76" s="151"/>
      <c r="I76" s="122" t="s">
        <v>264</v>
      </c>
    </row>
    <row r="77" spans="1:11" ht="17.25" x14ac:dyDescent="0.35">
      <c r="A77" s="157"/>
      <c r="B77" s="104"/>
      <c r="C77" s="106"/>
      <c r="D77" s="106" t="s">
        <v>38</v>
      </c>
      <c r="E77" s="104">
        <v>1</v>
      </c>
      <c r="F77" s="106">
        <v>1</v>
      </c>
      <c r="G77" s="104"/>
      <c r="H77" s="151"/>
      <c r="I77" s="122"/>
    </row>
    <row r="78" spans="1:11" ht="17.25" x14ac:dyDescent="0.35">
      <c r="A78" s="156" t="s">
        <v>211</v>
      </c>
      <c r="B78" s="104" t="s">
        <v>212</v>
      </c>
      <c r="C78" s="104" t="s">
        <v>52</v>
      </c>
      <c r="D78" s="104"/>
      <c r="E78" s="104"/>
      <c r="F78" s="104"/>
      <c r="G78" s="104" t="s">
        <v>162</v>
      </c>
      <c r="H78" s="151"/>
      <c r="I78" s="103">
        <v>65733</v>
      </c>
    </row>
    <row r="79" spans="1:11" ht="17.25" x14ac:dyDescent="0.35">
      <c r="A79" s="156"/>
      <c r="B79" s="104"/>
      <c r="C79" s="104"/>
      <c r="D79" s="104" t="s">
        <v>38</v>
      </c>
      <c r="E79" s="104">
        <v>1</v>
      </c>
      <c r="F79" s="104">
        <v>0</v>
      </c>
      <c r="G79" s="104"/>
      <c r="H79" s="151"/>
      <c r="I79" s="103"/>
    </row>
    <row r="80" spans="1:11" ht="17.25" x14ac:dyDescent="0.35">
      <c r="A80" s="156" t="s">
        <v>256</v>
      </c>
      <c r="B80" s="104" t="s">
        <v>257</v>
      </c>
      <c r="C80" s="104" t="s">
        <v>40</v>
      </c>
      <c r="D80" s="104"/>
      <c r="E80" s="104"/>
      <c r="F80" s="104"/>
      <c r="G80" s="104" t="s">
        <v>162</v>
      </c>
      <c r="H80" s="151" t="s">
        <v>260</v>
      </c>
      <c r="I80" s="103" t="s">
        <v>6</v>
      </c>
    </row>
    <row r="81" spans="1:9" ht="17.25" x14ac:dyDescent="0.35">
      <c r="A81" s="156" t="s">
        <v>258</v>
      </c>
      <c r="B81" s="104" t="s">
        <v>259</v>
      </c>
      <c r="C81" s="104" t="s">
        <v>40</v>
      </c>
      <c r="D81" s="104"/>
      <c r="E81" s="104"/>
      <c r="F81" s="104"/>
      <c r="G81" s="104" t="s">
        <v>162</v>
      </c>
      <c r="H81" s="151" t="s">
        <v>261</v>
      </c>
      <c r="I81" s="103" t="s">
        <v>6</v>
      </c>
    </row>
    <row r="82" spans="1:9" s="30" customFormat="1" ht="34.5" x14ac:dyDescent="0.35">
      <c r="A82" s="153" t="s">
        <v>147</v>
      </c>
      <c r="B82" s="104" t="s">
        <v>144</v>
      </c>
      <c r="C82" s="106" t="s">
        <v>40</v>
      </c>
      <c r="D82" s="104"/>
      <c r="E82" s="104"/>
      <c r="F82" s="106"/>
      <c r="G82" s="104" t="s">
        <v>162</v>
      </c>
      <c r="H82" s="134" t="s">
        <v>145</v>
      </c>
      <c r="I82" s="121" t="s">
        <v>146</v>
      </c>
    </row>
    <row r="83" spans="1:9" s="30" customFormat="1" ht="17.25" x14ac:dyDescent="0.35">
      <c r="A83" s="153" t="s">
        <v>185</v>
      </c>
      <c r="B83" s="104" t="s">
        <v>186</v>
      </c>
      <c r="C83" s="106" t="s">
        <v>40</v>
      </c>
      <c r="D83" s="104"/>
      <c r="E83" s="104"/>
      <c r="F83" s="106"/>
      <c r="G83" s="104" t="s">
        <v>162</v>
      </c>
      <c r="H83" s="134" t="s">
        <v>187</v>
      </c>
      <c r="I83" s="121"/>
    </row>
    <row r="84" spans="1:9" ht="17.25" x14ac:dyDescent="0.35">
      <c r="A84" s="136" t="s">
        <v>139</v>
      </c>
      <c r="B84" s="128" t="s">
        <v>265</v>
      </c>
      <c r="C84" s="129" t="s">
        <v>40</v>
      </c>
      <c r="D84" s="128"/>
      <c r="E84" s="128"/>
      <c r="F84" s="129"/>
      <c r="G84" s="128" t="s">
        <v>162</v>
      </c>
      <c r="H84" s="134" t="s">
        <v>142</v>
      </c>
      <c r="I84" s="259" t="s">
        <v>370</v>
      </c>
    </row>
    <row r="85" spans="1:9" ht="17.25" x14ac:dyDescent="0.35">
      <c r="A85" s="136" t="s">
        <v>275</v>
      </c>
      <c r="B85" s="128" t="s">
        <v>276</v>
      </c>
      <c r="C85" s="129" t="s">
        <v>40</v>
      </c>
      <c r="D85" s="128"/>
      <c r="E85" s="128"/>
      <c r="F85" s="129"/>
      <c r="G85" s="128" t="s">
        <v>162</v>
      </c>
      <c r="H85" s="134" t="s">
        <v>277</v>
      </c>
      <c r="I85" s="259" t="s">
        <v>371</v>
      </c>
    </row>
    <row r="86" spans="1:9" ht="17.25" x14ac:dyDescent="0.35">
      <c r="A86" s="136" t="s">
        <v>279</v>
      </c>
      <c r="B86" s="128" t="s">
        <v>280</v>
      </c>
      <c r="C86" s="129" t="s">
        <v>40</v>
      </c>
      <c r="D86" s="128"/>
      <c r="E86" s="128"/>
      <c r="F86" s="129"/>
      <c r="G86" s="128" t="s">
        <v>162</v>
      </c>
      <c r="H86" s="134" t="s">
        <v>281</v>
      </c>
      <c r="I86" s="259" t="s">
        <v>278</v>
      </c>
    </row>
    <row r="87" spans="1:9" ht="17.25" x14ac:dyDescent="0.35">
      <c r="A87" s="260" t="s">
        <v>372</v>
      </c>
      <c r="B87" s="228" t="s">
        <v>375</v>
      </c>
      <c r="C87" s="129" t="s">
        <v>40</v>
      </c>
      <c r="D87" s="128"/>
      <c r="E87" s="128"/>
      <c r="F87" s="129"/>
      <c r="G87" s="128" t="s">
        <v>162</v>
      </c>
      <c r="H87" s="261" t="s">
        <v>378</v>
      </c>
      <c r="I87" s="259" t="s">
        <v>282</v>
      </c>
    </row>
    <row r="88" spans="1:9" ht="17.25" x14ac:dyDescent="0.35">
      <c r="A88" s="260" t="s">
        <v>373</v>
      </c>
      <c r="B88" s="228" t="s">
        <v>376</v>
      </c>
      <c r="C88" s="129" t="s">
        <v>40</v>
      </c>
      <c r="D88" s="128"/>
      <c r="E88" s="128"/>
      <c r="F88" s="129"/>
      <c r="G88" s="128" t="s">
        <v>162</v>
      </c>
      <c r="H88" s="261" t="s">
        <v>379</v>
      </c>
      <c r="I88" s="259" t="s">
        <v>381</v>
      </c>
    </row>
    <row r="89" spans="1:9" ht="17.25" x14ac:dyDescent="0.35">
      <c r="A89" s="260" t="s">
        <v>374</v>
      </c>
      <c r="B89" s="228" t="s">
        <v>377</v>
      </c>
      <c r="C89" s="129" t="s">
        <v>40</v>
      </c>
      <c r="D89" s="128"/>
      <c r="E89" s="128"/>
      <c r="F89" s="129"/>
      <c r="G89" s="128" t="s">
        <v>162</v>
      </c>
      <c r="H89" s="261" t="s">
        <v>380</v>
      </c>
      <c r="I89" s="259" t="s">
        <v>382</v>
      </c>
    </row>
    <row r="90" spans="1:9" ht="17.25" x14ac:dyDescent="0.35">
      <c r="A90" s="262" t="s">
        <v>383</v>
      </c>
      <c r="B90" s="229" t="s">
        <v>384</v>
      </c>
      <c r="C90" s="229" t="s">
        <v>52</v>
      </c>
      <c r="D90" s="229"/>
      <c r="E90" s="229"/>
      <c r="F90" s="229"/>
      <c r="G90" s="229" t="s">
        <v>162</v>
      </c>
      <c r="H90" s="263"/>
      <c r="I90" s="264">
        <v>73529</v>
      </c>
    </row>
    <row r="91" spans="1:9" ht="17.25" x14ac:dyDescent="0.35">
      <c r="A91" s="262"/>
      <c r="B91" s="229"/>
      <c r="C91" s="229"/>
      <c r="D91" s="229" t="s">
        <v>38</v>
      </c>
      <c r="E91" s="229">
        <v>1</v>
      </c>
      <c r="F91" s="229">
        <v>1</v>
      </c>
      <c r="G91" s="229"/>
      <c r="H91" s="263"/>
      <c r="I91" s="264" t="s">
        <v>385</v>
      </c>
    </row>
    <row r="92" spans="1:9" ht="34.5" x14ac:dyDescent="0.35">
      <c r="A92" s="140" t="s">
        <v>314</v>
      </c>
      <c r="B92" s="128" t="s">
        <v>315</v>
      </c>
      <c r="C92" s="129" t="s">
        <v>52</v>
      </c>
      <c r="D92" s="129"/>
      <c r="E92" s="128"/>
      <c r="F92" s="129"/>
      <c r="G92" s="128" t="s">
        <v>162</v>
      </c>
      <c r="H92" s="134"/>
      <c r="I92" s="122">
        <v>70302</v>
      </c>
    </row>
    <row r="93" spans="1:9" ht="17.25" x14ac:dyDescent="0.35">
      <c r="A93" s="140"/>
      <c r="B93" s="128"/>
      <c r="C93" s="129"/>
      <c r="D93" s="129" t="s">
        <v>38</v>
      </c>
      <c r="E93" s="128">
        <v>1</v>
      </c>
      <c r="F93" s="129">
        <v>2</v>
      </c>
      <c r="G93" s="128"/>
      <c r="H93" s="134"/>
      <c r="I93" s="122" t="s">
        <v>316</v>
      </c>
    </row>
    <row r="94" spans="1:9" ht="17.25" x14ac:dyDescent="0.35">
      <c r="A94" s="153" t="s">
        <v>283</v>
      </c>
      <c r="B94" s="104" t="s">
        <v>284</v>
      </c>
      <c r="C94" s="106" t="s">
        <v>40</v>
      </c>
      <c r="D94" s="104"/>
      <c r="E94" s="104"/>
      <c r="F94" s="106"/>
      <c r="G94" s="104" t="s">
        <v>162</v>
      </c>
      <c r="H94" s="134" t="s">
        <v>285</v>
      </c>
      <c r="I94" s="121"/>
    </row>
    <row r="95" spans="1:9" ht="17.25" x14ac:dyDescent="0.35">
      <c r="A95" s="157" t="s">
        <v>197</v>
      </c>
      <c r="B95" s="104" t="s">
        <v>198</v>
      </c>
      <c r="C95" s="106" t="s">
        <v>40</v>
      </c>
      <c r="D95" s="106"/>
      <c r="E95" s="104"/>
      <c r="F95" s="106"/>
      <c r="G95" s="104" t="s">
        <v>162</v>
      </c>
      <c r="H95" s="151" t="s">
        <v>199</v>
      </c>
      <c r="I95" s="122"/>
    </row>
    <row r="96" spans="1:9" ht="17.25" x14ac:dyDescent="0.35">
      <c r="A96" s="156" t="s">
        <v>203</v>
      </c>
      <c r="B96" s="104" t="s">
        <v>204</v>
      </c>
      <c r="C96" s="104" t="s">
        <v>40</v>
      </c>
      <c r="D96" s="104"/>
      <c r="E96" s="104"/>
      <c r="F96" s="104"/>
      <c r="G96" s="104" t="s">
        <v>162</v>
      </c>
      <c r="H96" s="151" t="s">
        <v>205</v>
      </c>
      <c r="I96" s="103">
        <v>67211</v>
      </c>
    </row>
    <row r="97" spans="1:13" ht="17.25" x14ac:dyDescent="0.35">
      <c r="A97" s="248" t="s">
        <v>345</v>
      </c>
      <c r="B97" s="249" t="s">
        <v>346</v>
      </c>
      <c r="C97" s="250" t="s">
        <v>40</v>
      </c>
      <c r="D97" s="250"/>
      <c r="E97" s="249"/>
      <c r="F97" s="250"/>
      <c r="G97" s="249" t="s">
        <v>162</v>
      </c>
      <c r="H97" s="251" t="s">
        <v>347</v>
      </c>
      <c r="I97" s="252"/>
    </row>
    <row r="98" spans="1:13" ht="17.25" x14ac:dyDescent="0.35">
      <c r="A98" s="253" t="s">
        <v>354</v>
      </c>
      <c r="B98" s="254" t="s">
        <v>355</v>
      </c>
      <c r="C98" s="255" t="s">
        <v>52</v>
      </c>
      <c r="D98" s="255"/>
      <c r="E98" s="254"/>
      <c r="F98" s="255"/>
      <c r="G98" s="254" t="s">
        <v>162</v>
      </c>
      <c r="H98" s="256"/>
      <c r="I98" s="257">
        <v>72509</v>
      </c>
      <c r="J98" s="258"/>
      <c r="K98" s="258"/>
      <c r="L98" s="258"/>
      <c r="M98" s="258"/>
    </row>
    <row r="99" spans="1:13" ht="17.25" x14ac:dyDescent="0.35">
      <c r="A99" s="253"/>
      <c r="B99" s="254"/>
      <c r="C99" s="255"/>
      <c r="D99" s="255" t="s">
        <v>38</v>
      </c>
      <c r="E99" s="254">
        <v>1</v>
      </c>
      <c r="F99" s="255">
        <v>5</v>
      </c>
      <c r="G99" s="254"/>
      <c r="H99" s="256"/>
      <c r="I99" s="257" t="s">
        <v>356</v>
      </c>
      <c r="J99" s="258"/>
      <c r="K99" s="258"/>
      <c r="L99" s="258"/>
      <c r="M99" s="258"/>
    </row>
    <row r="100" spans="1:13" ht="17.25" x14ac:dyDescent="0.35">
      <c r="A100" s="253"/>
      <c r="B100" s="254"/>
      <c r="C100" s="255"/>
      <c r="D100" s="255" t="s">
        <v>38</v>
      </c>
      <c r="E100" s="254">
        <v>1</v>
      </c>
      <c r="F100" s="255">
        <v>0</v>
      </c>
      <c r="G100" s="254"/>
      <c r="H100" s="256"/>
      <c r="I100" s="257" t="s">
        <v>357</v>
      </c>
      <c r="J100" s="258"/>
      <c r="K100" s="258"/>
      <c r="L100" s="258"/>
      <c r="M100" s="258"/>
    </row>
    <row r="101" spans="1:13" ht="17.25" x14ac:dyDescent="0.35">
      <c r="A101" s="253"/>
      <c r="B101" s="254"/>
      <c r="C101" s="255"/>
      <c r="D101" s="255" t="s">
        <v>38</v>
      </c>
      <c r="E101" s="254">
        <v>1</v>
      </c>
      <c r="F101" s="255">
        <v>0</v>
      </c>
      <c r="G101" s="254"/>
      <c r="H101" s="256"/>
      <c r="I101" s="257" t="s">
        <v>358</v>
      </c>
      <c r="J101" s="258"/>
      <c r="K101" s="258"/>
      <c r="L101" s="258"/>
      <c r="M101" s="258"/>
    </row>
    <row r="102" spans="1:13" ht="17.25" x14ac:dyDescent="0.35">
      <c r="A102" s="253"/>
      <c r="B102" s="254"/>
      <c r="C102" s="255"/>
      <c r="D102" s="255" t="s">
        <v>38</v>
      </c>
      <c r="E102" s="254">
        <v>1</v>
      </c>
      <c r="F102" s="255">
        <v>0</v>
      </c>
      <c r="G102" s="254"/>
      <c r="H102" s="256"/>
      <c r="I102" s="257" t="s">
        <v>359</v>
      </c>
      <c r="J102" s="258"/>
      <c r="K102" s="258"/>
      <c r="L102" s="258"/>
      <c r="M102" s="258"/>
    </row>
    <row r="103" spans="1:13" ht="17.25" x14ac:dyDescent="0.35">
      <c r="A103" s="253"/>
      <c r="B103" s="254"/>
      <c r="C103" s="255"/>
      <c r="D103" s="255" t="s">
        <v>38</v>
      </c>
      <c r="E103" s="254">
        <v>1</v>
      </c>
      <c r="F103" s="255">
        <v>0</v>
      </c>
      <c r="G103" s="254"/>
      <c r="H103" s="256"/>
      <c r="I103" s="257" t="s">
        <v>360</v>
      </c>
      <c r="J103" s="258"/>
      <c r="K103" s="258"/>
      <c r="L103" s="258"/>
      <c r="M103" s="258"/>
    </row>
    <row r="104" spans="1:13" ht="17.25" x14ac:dyDescent="0.35">
      <c r="A104" s="253"/>
      <c r="B104" s="254"/>
      <c r="C104" s="255"/>
      <c r="D104" s="255" t="s">
        <v>38</v>
      </c>
      <c r="E104" s="254">
        <v>1</v>
      </c>
      <c r="F104" s="255">
        <v>0</v>
      </c>
      <c r="G104" s="254"/>
      <c r="H104" s="256"/>
      <c r="I104" s="257" t="s">
        <v>361</v>
      </c>
      <c r="J104" s="258"/>
      <c r="K104" s="258"/>
      <c r="L104" s="258"/>
      <c r="M104" s="258"/>
    </row>
    <row r="105" spans="1:13" ht="17.25" x14ac:dyDescent="0.35">
      <c r="A105" s="253"/>
      <c r="B105" s="254"/>
      <c r="C105" s="255"/>
      <c r="D105" s="255" t="s">
        <v>38</v>
      </c>
      <c r="E105" s="254">
        <v>1</v>
      </c>
      <c r="F105" s="255">
        <v>1</v>
      </c>
      <c r="G105" s="254"/>
      <c r="H105" s="256"/>
      <c r="I105" s="257" t="s">
        <v>362</v>
      </c>
      <c r="J105" s="258"/>
      <c r="K105" s="258"/>
      <c r="L105" s="258"/>
      <c r="M105" s="258"/>
    </row>
    <row r="106" spans="1:13" ht="17.25" x14ac:dyDescent="0.35">
      <c r="A106" s="253"/>
      <c r="B106" s="254"/>
      <c r="C106" s="255"/>
      <c r="D106" s="255" t="s">
        <v>38</v>
      </c>
      <c r="E106" s="254">
        <v>20</v>
      </c>
      <c r="F106" s="255"/>
      <c r="G106" s="254"/>
      <c r="H106" s="256"/>
      <c r="I106" s="257" t="s">
        <v>363</v>
      </c>
      <c r="J106" s="258"/>
      <c r="K106" s="258"/>
      <c r="L106" s="258"/>
      <c r="M106" s="258"/>
    </row>
    <row r="107" spans="1:13" ht="18" thickBot="1" x14ac:dyDescent="0.4">
      <c r="A107" s="158"/>
      <c r="B107" s="109"/>
      <c r="C107" s="108"/>
      <c r="D107" s="109"/>
      <c r="E107" s="109"/>
      <c r="F107" s="109"/>
      <c r="G107" s="109"/>
      <c r="H107" s="159"/>
      <c r="I107" s="110"/>
    </row>
    <row r="108" spans="1:13" ht="13.5" thickBot="1" x14ac:dyDescent="0.25">
      <c r="A108" s="47"/>
      <c r="B108" s="47"/>
    </row>
    <row r="109" spans="1:13" ht="19.5" x14ac:dyDescent="0.4">
      <c r="A109" s="333" t="s">
        <v>55</v>
      </c>
      <c r="B109" s="334"/>
      <c r="C109" s="334"/>
      <c r="D109" s="334"/>
      <c r="E109" s="334"/>
      <c r="F109" s="334"/>
      <c r="G109" s="334"/>
      <c r="H109" s="335"/>
    </row>
    <row r="110" spans="1:13" ht="17.25" x14ac:dyDescent="0.35">
      <c r="A110" s="34" t="s">
        <v>72</v>
      </c>
      <c r="B110" s="34"/>
      <c r="C110" s="35" t="s">
        <v>35</v>
      </c>
      <c r="D110" s="34" t="s">
        <v>73</v>
      </c>
      <c r="E110" s="34" t="s">
        <v>74</v>
      </c>
      <c r="F110" s="35" t="s">
        <v>75</v>
      </c>
      <c r="G110" s="34" t="s">
        <v>43</v>
      </c>
      <c r="H110" s="36"/>
    </row>
    <row r="111" spans="1:13" ht="17.25" x14ac:dyDescent="0.35">
      <c r="A111" s="34" t="s">
        <v>71</v>
      </c>
      <c r="B111" s="34"/>
      <c r="C111" s="46" t="s">
        <v>56</v>
      </c>
      <c r="D111" s="45"/>
      <c r="E111" s="45"/>
      <c r="F111" s="46"/>
      <c r="G111" s="45" t="s">
        <v>23</v>
      </c>
      <c r="H111" s="36"/>
    </row>
    <row r="112" spans="1:13" ht="17.25" x14ac:dyDescent="0.35">
      <c r="A112" s="34" t="s">
        <v>57</v>
      </c>
      <c r="B112" s="34"/>
      <c r="C112" s="46"/>
      <c r="D112" s="45" t="s">
        <v>38</v>
      </c>
      <c r="E112" s="45">
        <v>1</v>
      </c>
      <c r="F112" s="46">
        <v>0</v>
      </c>
      <c r="G112" s="45"/>
      <c r="H112" s="36"/>
    </row>
    <row r="113" spans="1:9" ht="17.25" x14ac:dyDescent="0.35">
      <c r="A113" s="34" t="s">
        <v>58</v>
      </c>
      <c r="B113" s="34"/>
      <c r="C113" s="46"/>
      <c r="D113" s="45" t="s">
        <v>38</v>
      </c>
      <c r="E113" s="45">
        <v>2</v>
      </c>
      <c r="F113" s="46">
        <v>2</v>
      </c>
      <c r="G113" s="45"/>
      <c r="H113" s="36"/>
    </row>
    <row r="114" spans="1:9" ht="17.25" x14ac:dyDescent="0.35">
      <c r="A114" s="34" t="s">
        <v>59</v>
      </c>
      <c r="B114" s="34"/>
      <c r="C114" s="46"/>
      <c r="D114" s="45" t="s">
        <v>38</v>
      </c>
      <c r="E114" s="45">
        <v>2</v>
      </c>
      <c r="F114" s="46" t="s">
        <v>76</v>
      </c>
      <c r="G114" s="45"/>
      <c r="H114" s="36"/>
    </row>
    <row r="115" spans="1:9" ht="17.25" x14ac:dyDescent="0.35">
      <c r="A115" s="34" t="s">
        <v>60</v>
      </c>
      <c r="B115" s="34"/>
      <c r="C115" s="46"/>
      <c r="D115" s="45" t="s">
        <v>38</v>
      </c>
      <c r="E115" s="45">
        <v>1</v>
      </c>
      <c r="F115" s="46" t="s">
        <v>4</v>
      </c>
      <c r="G115" s="45"/>
      <c r="H115" s="36"/>
    </row>
    <row r="116" spans="1:9" ht="17.25" x14ac:dyDescent="0.35">
      <c r="A116" s="34" t="s">
        <v>61</v>
      </c>
      <c r="B116" s="34"/>
      <c r="C116" s="46"/>
      <c r="D116" s="45" t="s">
        <v>38</v>
      </c>
      <c r="E116" s="45">
        <v>2</v>
      </c>
      <c r="F116" s="46">
        <v>4</v>
      </c>
      <c r="G116" s="45"/>
      <c r="H116" s="36"/>
    </row>
    <row r="117" spans="1:9" ht="17.25" x14ac:dyDescent="0.35">
      <c r="A117" s="37" t="s">
        <v>62</v>
      </c>
      <c r="B117" s="37"/>
      <c r="C117" s="26"/>
      <c r="D117" s="29" t="s">
        <v>38</v>
      </c>
      <c r="E117" s="29">
        <f>F116</f>
        <v>4</v>
      </c>
      <c r="F117" s="25" t="s">
        <v>972</v>
      </c>
      <c r="G117" s="29"/>
      <c r="H117" s="38"/>
      <c r="I117" s="30"/>
    </row>
    <row r="118" spans="1:9" ht="17.25" x14ac:dyDescent="0.35">
      <c r="A118" s="34" t="s">
        <v>63</v>
      </c>
      <c r="B118" s="34"/>
      <c r="C118" s="46"/>
      <c r="D118" s="45" t="s">
        <v>38</v>
      </c>
      <c r="E118" s="45">
        <v>1</v>
      </c>
      <c r="F118" s="46" t="s">
        <v>5</v>
      </c>
      <c r="G118" s="45"/>
      <c r="H118" s="36"/>
    </row>
    <row r="119" spans="1:9" ht="17.25" x14ac:dyDescent="0.35">
      <c r="A119" s="34" t="s">
        <v>64</v>
      </c>
      <c r="B119" s="34"/>
      <c r="C119" s="46"/>
      <c r="D119" s="45" t="s">
        <v>38</v>
      </c>
      <c r="E119" s="45">
        <v>2</v>
      </c>
      <c r="F119" s="46">
        <f>LEN(F120)</f>
        <v>11</v>
      </c>
      <c r="G119" s="45"/>
      <c r="H119" s="36"/>
    </row>
    <row r="120" spans="1:9" ht="17.25" x14ac:dyDescent="0.35">
      <c r="A120" s="34" t="s">
        <v>65</v>
      </c>
      <c r="B120" s="34"/>
      <c r="C120" s="46"/>
      <c r="D120" s="45" t="s">
        <v>39</v>
      </c>
      <c r="E120" s="45">
        <f>F119</f>
        <v>11</v>
      </c>
      <c r="F120" s="46" t="s">
        <v>269</v>
      </c>
      <c r="G120" s="45"/>
      <c r="H120" s="36" t="s">
        <v>138</v>
      </c>
    </row>
    <row r="121" spans="1:9" ht="17.25" x14ac:dyDescent="0.35">
      <c r="A121" s="34" t="s">
        <v>66</v>
      </c>
      <c r="B121" s="34"/>
      <c r="C121" s="46"/>
      <c r="D121" s="45" t="s">
        <v>38</v>
      </c>
      <c r="E121" s="45">
        <v>1</v>
      </c>
      <c r="F121" s="46" t="s">
        <v>77</v>
      </c>
      <c r="G121" s="45"/>
      <c r="H121" s="36"/>
    </row>
    <row r="122" spans="1:9" ht="17.25" x14ac:dyDescent="0.35">
      <c r="A122" s="98" t="s">
        <v>67</v>
      </c>
      <c r="B122" s="98"/>
      <c r="C122" s="99"/>
      <c r="D122" s="100" t="s">
        <v>38</v>
      </c>
      <c r="E122" s="100">
        <v>2</v>
      </c>
      <c r="F122" s="99">
        <f>SUM(E123:E124)+E125*F124</f>
        <v>14</v>
      </c>
      <c r="G122" s="29"/>
      <c r="H122" s="38"/>
    </row>
    <row r="123" spans="1:9" ht="17.25" x14ac:dyDescent="0.35">
      <c r="A123" s="34" t="s">
        <v>68</v>
      </c>
      <c r="B123" s="34"/>
      <c r="C123" s="46"/>
      <c r="D123" s="45" t="s">
        <v>38</v>
      </c>
      <c r="E123" s="45">
        <v>1</v>
      </c>
      <c r="F123" s="46">
        <v>0</v>
      </c>
      <c r="G123" s="45"/>
      <c r="H123" s="36"/>
    </row>
    <row r="124" spans="1:9" ht="17.25" x14ac:dyDescent="0.35">
      <c r="A124" s="34" t="s">
        <v>69</v>
      </c>
      <c r="B124" s="34"/>
      <c r="C124" s="46"/>
      <c r="D124" s="45" t="s">
        <v>38</v>
      </c>
      <c r="E124" s="45">
        <v>1</v>
      </c>
      <c r="F124" s="46">
        <f>LEN(F125)-LEN(SUBSTITUTE(F125,",",""))+1</f>
        <v>3</v>
      </c>
      <c r="G124" s="45"/>
      <c r="H124" s="36"/>
    </row>
    <row r="125" spans="1:9" ht="17.25" x14ac:dyDescent="0.35">
      <c r="A125" s="34" t="s">
        <v>70</v>
      </c>
      <c r="B125" s="34"/>
      <c r="C125" s="46"/>
      <c r="D125" s="45" t="s">
        <v>46</v>
      </c>
      <c r="E125" s="45">
        <v>4</v>
      </c>
      <c r="F125" s="46" t="s">
        <v>329</v>
      </c>
      <c r="G125" s="45"/>
      <c r="H125" s="36"/>
    </row>
    <row r="126" spans="1:9" ht="17.25" x14ac:dyDescent="0.35">
      <c r="A126" s="34" t="s">
        <v>213</v>
      </c>
      <c r="B126" s="34"/>
      <c r="C126" s="46"/>
      <c r="D126" s="45" t="s">
        <v>38</v>
      </c>
      <c r="E126" s="45">
        <v>1</v>
      </c>
      <c r="F126" s="46" t="s">
        <v>171</v>
      </c>
      <c r="G126" s="45"/>
      <c r="H126" s="36"/>
    </row>
    <row r="127" spans="1:9" ht="17.25" x14ac:dyDescent="0.35">
      <c r="A127" s="34" t="s">
        <v>214</v>
      </c>
      <c r="B127" s="34"/>
      <c r="C127" s="46"/>
      <c r="D127" s="45" t="s">
        <v>38</v>
      </c>
      <c r="E127" s="45">
        <v>2</v>
      </c>
      <c r="F127" s="46">
        <v>4</v>
      </c>
      <c r="G127" s="45"/>
      <c r="H127" s="36"/>
    </row>
    <row r="128" spans="1:9" ht="17.25" x14ac:dyDescent="0.35">
      <c r="A128" s="37" t="s">
        <v>215</v>
      </c>
      <c r="B128" s="37"/>
      <c r="C128" s="26"/>
      <c r="D128" s="29" t="s">
        <v>38</v>
      </c>
      <c r="E128" s="29">
        <v>4</v>
      </c>
      <c r="F128" s="97" t="str">
        <f>$F$117</f>
        <v>0x05011500</v>
      </c>
      <c r="G128" s="29"/>
      <c r="H128" s="38"/>
    </row>
    <row r="129" spans="1:8" ht="17.25" x14ac:dyDescent="0.35">
      <c r="A129" s="34" t="s">
        <v>297</v>
      </c>
      <c r="B129" s="34"/>
      <c r="C129" s="46"/>
      <c r="D129" s="45" t="s">
        <v>38</v>
      </c>
      <c r="E129" s="45">
        <v>1</v>
      </c>
      <c r="F129" s="46" t="s">
        <v>161</v>
      </c>
      <c r="G129" s="45"/>
      <c r="H129" s="36"/>
    </row>
    <row r="130" spans="1:8" ht="17.25" x14ac:dyDescent="0.35">
      <c r="A130" s="34" t="s">
        <v>298</v>
      </c>
      <c r="B130" s="34"/>
      <c r="C130" s="46"/>
      <c r="D130" s="45" t="s">
        <v>38</v>
      </c>
      <c r="E130" s="45">
        <v>2</v>
      </c>
      <c r="F130" s="46">
        <f>2+F132*E133*2</f>
        <v>10</v>
      </c>
      <c r="G130" s="45"/>
      <c r="H130" s="36"/>
    </row>
    <row r="131" spans="1:8" ht="17.25" x14ac:dyDescent="0.35">
      <c r="A131" s="34" t="s">
        <v>299</v>
      </c>
      <c r="B131" s="34"/>
      <c r="C131" s="46"/>
      <c r="D131" s="45" t="s">
        <v>38</v>
      </c>
      <c r="E131" s="45">
        <v>1</v>
      </c>
      <c r="F131" s="46">
        <v>0</v>
      </c>
      <c r="G131" s="45"/>
      <c r="H131" s="36" t="s">
        <v>300</v>
      </c>
    </row>
    <row r="132" spans="1:8" ht="17.25" x14ac:dyDescent="0.35">
      <c r="A132" s="34" t="s">
        <v>301</v>
      </c>
      <c r="B132" s="34"/>
      <c r="C132" s="46"/>
      <c r="D132" s="45" t="s">
        <v>38</v>
      </c>
      <c r="E132" s="45">
        <v>1</v>
      </c>
      <c r="F132" s="46">
        <f>SUM(LEN(F133)-LEN(SUBSTITUTE(F133,"-","")))</f>
        <v>2</v>
      </c>
      <c r="G132" s="45"/>
      <c r="H132" s="36" t="s">
        <v>302</v>
      </c>
    </row>
    <row r="133" spans="1:8" ht="17.25" x14ac:dyDescent="0.35">
      <c r="A133" s="98" t="s">
        <v>303</v>
      </c>
      <c r="B133" s="98"/>
      <c r="C133" s="99"/>
      <c r="D133" s="100" t="s">
        <v>46</v>
      </c>
      <c r="E133" s="100">
        <v>2</v>
      </c>
      <c r="F133" s="99" t="s">
        <v>309</v>
      </c>
      <c r="G133" s="29"/>
      <c r="H133" s="38"/>
    </row>
    <row r="134" spans="1:8" ht="17.25" x14ac:dyDescent="0.35">
      <c r="A134" s="322" t="s">
        <v>336</v>
      </c>
      <c r="B134" s="322"/>
      <c r="C134" s="323"/>
      <c r="D134" s="324" t="s">
        <v>38</v>
      </c>
      <c r="E134" s="324">
        <v>1</v>
      </c>
      <c r="F134" s="327" t="s">
        <v>337</v>
      </c>
      <c r="G134" s="324"/>
      <c r="H134" s="326"/>
    </row>
    <row r="135" spans="1:8" ht="17.25" x14ac:dyDescent="0.35">
      <c r="A135" s="322" t="s">
        <v>338</v>
      </c>
      <c r="B135" s="322"/>
      <c r="C135" s="323"/>
      <c r="D135" s="324" t="s">
        <v>38</v>
      </c>
      <c r="E135" s="324">
        <v>2</v>
      </c>
      <c r="F135" s="325">
        <v>4</v>
      </c>
      <c r="G135" s="324"/>
      <c r="H135" s="326"/>
    </row>
    <row r="136" spans="1:8" ht="138" x14ac:dyDescent="0.35">
      <c r="A136" s="322" t="s">
        <v>339</v>
      </c>
      <c r="B136" s="322"/>
      <c r="C136" s="323"/>
      <c r="D136" s="324" t="s">
        <v>38</v>
      </c>
      <c r="E136" s="324">
        <v>4</v>
      </c>
      <c r="F136" s="327" t="s">
        <v>342</v>
      </c>
      <c r="G136" s="324"/>
      <c r="H136" s="326" t="s">
        <v>341</v>
      </c>
    </row>
  </sheetData>
  <mergeCells count="3">
    <mergeCell ref="A2:I2"/>
    <mergeCell ref="A4:H4"/>
    <mergeCell ref="A109:H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autoPageBreaks="0"/>
  </sheetPr>
  <dimension ref="A2:M151"/>
  <sheetViews>
    <sheetView topLeftCell="C111" zoomScale="85" zoomScaleNormal="85" workbookViewId="0">
      <selection activeCell="B1" sqref="B1"/>
    </sheetView>
  </sheetViews>
  <sheetFormatPr defaultColWidth="9.140625" defaultRowHeight="12.75" x14ac:dyDescent="0.2"/>
  <cols>
    <col min="1" max="1" width="35.42578125" style="42" customWidth="1"/>
    <col min="2" max="2" width="52.28515625" style="42" customWidth="1"/>
    <col min="3" max="3" width="13.7109375" style="43" bestFit="1" customWidth="1"/>
    <col min="4" max="4" width="13.85546875" style="42" bestFit="1" customWidth="1"/>
    <col min="5" max="5" width="39.7109375" style="42" customWidth="1"/>
    <col min="6" max="6" width="47.5703125" style="43" customWidth="1"/>
    <col min="7" max="7" width="10.42578125" style="42" bestFit="1" customWidth="1"/>
    <col min="8" max="8" width="84" style="44" customWidth="1"/>
    <col min="9" max="9" width="46.140625" style="42" customWidth="1"/>
    <col min="10" max="10" width="19.28515625" style="42" customWidth="1"/>
    <col min="11" max="16384" width="9.140625" style="42"/>
  </cols>
  <sheetData>
    <row r="2" spans="1:9" s="8" customFormat="1" ht="27.75" x14ac:dyDescent="0.55000000000000004">
      <c r="A2" s="329" t="s">
        <v>140</v>
      </c>
      <c r="B2" s="329"/>
      <c r="C2" s="329"/>
      <c r="D2" s="329"/>
      <c r="E2" s="329"/>
      <c r="F2" s="329"/>
      <c r="G2" s="329"/>
      <c r="H2" s="329"/>
      <c r="I2" s="329"/>
    </row>
    <row r="3" spans="1:9" ht="13.5" thickBot="1" x14ac:dyDescent="0.25">
      <c r="A3" s="47"/>
    </row>
    <row r="4" spans="1:9" s="57" customFormat="1" ht="20.25" thickBot="1" x14ac:dyDescent="0.45">
      <c r="A4" s="330" t="s">
        <v>152</v>
      </c>
      <c r="B4" s="331"/>
      <c r="C4" s="331"/>
      <c r="D4" s="331"/>
      <c r="E4" s="331"/>
      <c r="F4" s="331"/>
      <c r="G4" s="331"/>
      <c r="H4" s="332"/>
    </row>
    <row r="5" spans="1:9" s="1" customFormat="1" ht="15.75" thickBot="1" x14ac:dyDescent="0.35">
      <c r="A5" s="72" t="s">
        <v>8</v>
      </c>
      <c r="B5" s="71" t="s">
        <v>7</v>
      </c>
      <c r="C5" s="72" t="s">
        <v>35</v>
      </c>
      <c r="D5" s="72" t="s">
        <v>36</v>
      </c>
      <c r="E5" s="72" t="s">
        <v>9</v>
      </c>
      <c r="F5" s="72" t="s">
        <v>37</v>
      </c>
      <c r="G5" s="183" t="s">
        <v>43</v>
      </c>
      <c r="H5" s="184" t="s">
        <v>10</v>
      </c>
    </row>
    <row r="6" spans="1:9" s="66" customFormat="1" ht="17.25" x14ac:dyDescent="0.35">
      <c r="A6" s="219" t="s">
        <v>12</v>
      </c>
      <c r="B6" s="220">
        <v>71</v>
      </c>
      <c r="C6" s="220"/>
      <c r="D6" s="220"/>
      <c r="E6" s="206" t="s">
        <v>13</v>
      </c>
      <c r="F6" s="220"/>
      <c r="G6" s="220" t="s">
        <v>162</v>
      </c>
      <c r="H6" s="207" t="s">
        <v>6</v>
      </c>
    </row>
    <row r="7" spans="1:9" s="66" customFormat="1" ht="17.25" x14ac:dyDescent="0.35">
      <c r="A7" s="221"/>
      <c r="B7" s="222"/>
      <c r="C7" s="222" t="s">
        <v>39</v>
      </c>
      <c r="D7" s="222">
        <v>13</v>
      </c>
      <c r="E7" s="167" t="s">
        <v>14</v>
      </c>
      <c r="F7" s="222" t="s">
        <v>216</v>
      </c>
      <c r="G7" s="222"/>
      <c r="H7" s="172"/>
    </row>
    <row r="8" spans="1:9" s="66" customFormat="1" ht="17.25" x14ac:dyDescent="0.35">
      <c r="A8" s="221" t="s">
        <v>79</v>
      </c>
      <c r="B8" s="222">
        <v>848</v>
      </c>
      <c r="C8" s="222"/>
      <c r="D8" s="222"/>
      <c r="E8" s="167"/>
      <c r="F8" s="222"/>
      <c r="G8" s="222" t="s">
        <v>163</v>
      </c>
      <c r="H8" s="172"/>
    </row>
    <row r="9" spans="1:9" s="66" customFormat="1" ht="17.25" x14ac:dyDescent="0.35">
      <c r="A9" s="221"/>
      <c r="B9" s="222"/>
      <c r="C9" s="222" t="s">
        <v>38</v>
      </c>
      <c r="D9" s="222">
        <v>1</v>
      </c>
      <c r="E9" s="167" t="s">
        <v>11</v>
      </c>
      <c r="F9" s="222">
        <v>0</v>
      </c>
      <c r="G9" s="222"/>
      <c r="H9" s="172"/>
    </row>
    <row r="10" spans="1:9" s="66" customFormat="1" ht="51.75" x14ac:dyDescent="0.35">
      <c r="A10" s="221"/>
      <c r="B10" s="222"/>
      <c r="C10" s="222" t="s">
        <v>38</v>
      </c>
      <c r="D10" s="222">
        <v>2</v>
      </c>
      <c r="E10" s="167" t="s">
        <v>80</v>
      </c>
      <c r="F10" s="222">
        <v>2</v>
      </c>
      <c r="G10" s="222"/>
      <c r="H10" s="172" t="s">
        <v>81</v>
      </c>
    </row>
    <row r="11" spans="1:9" s="66" customFormat="1" ht="34.5" x14ac:dyDescent="0.35">
      <c r="A11" s="221" t="s">
        <v>82</v>
      </c>
      <c r="B11" s="222">
        <v>849</v>
      </c>
      <c r="C11" s="222"/>
      <c r="D11" s="222"/>
      <c r="E11" s="167"/>
      <c r="F11" s="222"/>
      <c r="G11" s="222" t="s">
        <v>163</v>
      </c>
      <c r="H11" s="172"/>
    </row>
    <row r="12" spans="1:9" s="66" customFormat="1" ht="17.25" x14ac:dyDescent="0.35">
      <c r="A12" s="221"/>
      <c r="B12" s="222"/>
      <c r="C12" s="222" t="s">
        <v>38</v>
      </c>
      <c r="D12" s="222">
        <v>1</v>
      </c>
      <c r="E12" s="167" t="s">
        <v>11</v>
      </c>
      <c r="F12" s="222">
        <v>0</v>
      </c>
      <c r="G12" s="222"/>
      <c r="H12" s="172"/>
    </row>
    <row r="13" spans="1:9" s="66" customFormat="1" ht="34.5" x14ac:dyDescent="0.35">
      <c r="A13" s="221"/>
      <c r="B13" s="222"/>
      <c r="C13" s="222" t="s">
        <v>38</v>
      </c>
      <c r="D13" s="222">
        <v>2</v>
      </c>
      <c r="E13" s="167" t="s">
        <v>83</v>
      </c>
      <c r="F13" s="222">
        <v>0</v>
      </c>
      <c r="G13" s="222"/>
      <c r="H13" s="172" t="s">
        <v>84</v>
      </c>
    </row>
    <row r="14" spans="1:9" s="66" customFormat="1" ht="34.5" x14ac:dyDescent="0.35">
      <c r="A14" s="209" t="s">
        <v>194</v>
      </c>
      <c r="B14" s="203">
        <v>1930</v>
      </c>
      <c r="C14" s="203" t="s">
        <v>38</v>
      </c>
      <c r="D14" s="203">
        <v>1</v>
      </c>
      <c r="E14" s="171" t="s">
        <v>195</v>
      </c>
      <c r="F14" s="203">
        <v>2</v>
      </c>
      <c r="G14" s="203" t="s">
        <v>162</v>
      </c>
      <c r="H14" s="210" t="s">
        <v>196</v>
      </c>
    </row>
    <row r="15" spans="1:9" s="66" customFormat="1" ht="34.5" x14ac:dyDescent="0.35">
      <c r="A15" s="209" t="s">
        <v>17</v>
      </c>
      <c r="B15" s="203">
        <v>1920</v>
      </c>
      <c r="C15" s="203" t="s">
        <v>38</v>
      </c>
      <c r="D15" s="203">
        <v>4</v>
      </c>
      <c r="E15" s="171" t="s">
        <v>18</v>
      </c>
      <c r="F15" s="203" t="s">
        <v>221</v>
      </c>
      <c r="G15" s="203" t="s">
        <v>162</v>
      </c>
      <c r="H15" s="210" t="s">
        <v>17</v>
      </c>
    </row>
    <row r="16" spans="1:9" s="66" customFormat="1" ht="17.25" x14ac:dyDescent="0.35">
      <c r="A16" s="209" t="s">
        <v>222</v>
      </c>
      <c r="B16" s="203">
        <v>452</v>
      </c>
      <c r="C16" s="203" t="s">
        <v>38</v>
      </c>
      <c r="D16" s="203">
        <v>4</v>
      </c>
      <c r="E16" s="171" t="s">
        <v>223</v>
      </c>
      <c r="F16" s="203">
        <v>0</v>
      </c>
      <c r="G16" s="203" t="s">
        <v>162</v>
      </c>
      <c r="H16" s="210" t="s">
        <v>222</v>
      </c>
    </row>
    <row r="17" spans="1:8" s="66" customFormat="1" ht="17.25" x14ac:dyDescent="0.35">
      <c r="A17" s="209" t="s">
        <v>224</v>
      </c>
      <c r="B17" s="203">
        <v>3758</v>
      </c>
      <c r="C17" s="203" t="s">
        <v>38</v>
      </c>
      <c r="D17" s="203">
        <v>1</v>
      </c>
      <c r="E17" s="171" t="s">
        <v>225</v>
      </c>
      <c r="F17" s="203">
        <v>1</v>
      </c>
      <c r="G17" s="203" t="s">
        <v>162</v>
      </c>
      <c r="H17" s="210" t="s">
        <v>224</v>
      </c>
    </row>
    <row r="18" spans="1:8" s="66" customFormat="1" ht="17.25" x14ac:dyDescent="0.35">
      <c r="A18" s="209" t="s">
        <v>226</v>
      </c>
      <c r="B18" s="203">
        <v>6789</v>
      </c>
      <c r="C18" s="203" t="s">
        <v>38</v>
      </c>
      <c r="D18" s="203">
        <v>1</v>
      </c>
      <c r="E18" s="171" t="s">
        <v>227</v>
      </c>
      <c r="F18" s="203" t="s">
        <v>228</v>
      </c>
      <c r="G18" s="203" t="s">
        <v>162</v>
      </c>
      <c r="H18" s="210" t="s">
        <v>226</v>
      </c>
    </row>
    <row r="19" spans="1:8" s="66" customFormat="1" ht="34.5" x14ac:dyDescent="0.35">
      <c r="A19" s="209" t="s">
        <v>229</v>
      </c>
      <c r="B19" s="203">
        <v>6790</v>
      </c>
      <c r="C19" s="203" t="s">
        <v>38</v>
      </c>
      <c r="D19" s="203">
        <v>2</v>
      </c>
      <c r="E19" s="171" t="s">
        <v>230</v>
      </c>
      <c r="F19" s="203">
        <v>0</v>
      </c>
      <c r="G19" s="203" t="s">
        <v>162</v>
      </c>
      <c r="H19" s="210" t="s">
        <v>229</v>
      </c>
    </row>
    <row r="20" spans="1:8" s="66" customFormat="1" ht="17.25" x14ac:dyDescent="0.35">
      <c r="A20" s="209" t="s">
        <v>231</v>
      </c>
      <c r="B20" s="203">
        <v>4707</v>
      </c>
      <c r="C20" s="203" t="s">
        <v>38</v>
      </c>
      <c r="D20" s="203">
        <v>1</v>
      </c>
      <c r="E20" s="171" t="s">
        <v>232</v>
      </c>
      <c r="F20" s="203">
        <v>1</v>
      </c>
      <c r="G20" s="203" t="s">
        <v>162</v>
      </c>
      <c r="H20" s="210" t="s">
        <v>231</v>
      </c>
    </row>
    <row r="21" spans="1:8" s="66" customFormat="1" ht="17.25" x14ac:dyDescent="0.35">
      <c r="A21" s="209" t="s">
        <v>233</v>
      </c>
      <c r="B21" s="203">
        <v>3520</v>
      </c>
      <c r="C21" s="203" t="s">
        <v>38</v>
      </c>
      <c r="D21" s="203">
        <v>2</v>
      </c>
      <c r="E21" s="171" t="s">
        <v>234</v>
      </c>
      <c r="F21" s="203" t="s">
        <v>158</v>
      </c>
      <c r="G21" s="203" t="s">
        <v>162</v>
      </c>
      <c r="H21" s="210" t="s">
        <v>233</v>
      </c>
    </row>
    <row r="22" spans="1:8" s="66" customFormat="1" ht="17.25" x14ac:dyDescent="0.35">
      <c r="A22" s="209" t="s">
        <v>235</v>
      </c>
      <c r="B22" s="203">
        <v>4927</v>
      </c>
      <c r="C22" s="203" t="s">
        <v>38</v>
      </c>
      <c r="D22" s="203">
        <v>1</v>
      </c>
      <c r="E22" s="171" t="s">
        <v>236</v>
      </c>
      <c r="F22" s="203">
        <v>1</v>
      </c>
      <c r="G22" s="203" t="s">
        <v>162</v>
      </c>
      <c r="H22" s="210" t="s">
        <v>235</v>
      </c>
    </row>
    <row r="23" spans="1:8" s="66" customFormat="1" ht="17.25" x14ac:dyDescent="0.35">
      <c r="A23" s="209" t="s">
        <v>237</v>
      </c>
      <c r="B23" s="203">
        <v>4627</v>
      </c>
      <c r="C23" s="203" t="s">
        <v>38</v>
      </c>
      <c r="D23" s="203">
        <v>1</v>
      </c>
      <c r="E23" s="171" t="s">
        <v>238</v>
      </c>
      <c r="F23" s="203">
        <v>1</v>
      </c>
      <c r="G23" s="203" t="s">
        <v>162</v>
      </c>
      <c r="H23" s="210" t="s">
        <v>237</v>
      </c>
    </row>
    <row r="24" spans="1:8" s="66" customFormat="1" ht="17.25" x14ac:dyDescent="0.35">
      <c r="A24" s="209" t="s">
        <v>239</v>
      </c>
      <c r="B24" s="203">
        <v>4628</v>
      </c>
      <c r="C24" s="203" t="s">
        <v>38</v>
      </c>
      <c r="D24" s="203">
        <v>2</v>
      </c>
      <c r="E24" s="171" t="s">
        <v>240</v>
      </c>
      <c r="F24" s="203">
        <v>24</v>
      </c>
      <c r="G24" s="203" t="s">
        <v>162</v>
      </c>
      <c r="H24" s="210" t="s">
        <v>239</v>
      </c>
    </row>
    <row r="25" spans="1:8" s="66" customFormat="1" ht="34.5" x14ac:dyDescent="0.35">
      <c r="A25" s="209" t="s">
        <v>241</v>
      </c>
      <c r="B25" s="203">
        <v>4629</v>
      </c>
      <c r="C25" s="203" t="s">
        <v>38</v>
      </c>
      <c r="D25" s="203">
        <v>1</v>
      </c>
      <c r="E25" s="171" t="s">
        <v>242</v>
      </c>
      <c r="F25" s="203">
        <v>3</v>
      </c>
      <c r="G25" s="203" t="s">
        <v>162</v>
      </c>
      <c r="H25" s="210" t="s">
        <v>241</v>
      </c>
    </row>
    <row r="26" spans="1:8" s="66" customFormat="1" ht="34.5" x14ac:dyDescent="0.35">
      <c r="A26" s="209" t="s">
        <v>243</v>
      </c>
      <c r="B26" s="203">
        <v>4703</v>
      </c>
      <c r="C26" s="203" t="s">
        <v>39</v>
      </c>
      <c r="D26" s="203">
        <v>128</v>
      </c>
      <c r="E26" s="171" t="s">
        <v>244</v>
      </c>
      <c r="F26" s="203" t="s">
        <v>245</v>
      </c>
      <c r="G26" s="203" t="s">
        <v>162</v>
      </c>
      <c r="H26" s="210" t="s">
        <v>246</v>
      </c>
    </row>
    <row r="27" spans="1:8" s="66" customFormat="1" ht="17.25" x14ac:dyDescent="0.35">
      <c r="A27" s="209" t="s">
        <v>247</v>
      </c>
      <c r="B27" s="203">
        <v>6792</v>
      </c>
      <c r="C27" s="203" t="s">
        <v>38</v>
      </c>
      <c r="D27" s="203">
        <v>4</v>
      </c>
      <c r="E27" s="171" t="s">
        <v>248</v>
      </c>
      <c r="F27" s="203" t="s">
        <v>141</v>
      </c>
      <c r="G27" s="203" t="s">
        <v>162</v>
      </c>
      <c r="H27" s="210" t="s">
        <v>249</v>
      </c>
    </row>
    <row r="28" spans="1:8" s="66" customFormat="1" ht="34.5" x14ac:dyDescent="0.35">
      <c r="A28" s="209" t="s">
        <v>250</v>
      </c>
      <c r="B28" s="203">
        <v>4630</v>
      </c>
      <c r="C28" s="203" t="s">
        <v>38</v>
      </c>
      <c r="D28" s="203">
        <v>1</v>
      </c>
      <c r="E28" s="171" t="s">
        <v>251</v>
      </c>
      <c r="F28" s="203">
        <v>10</v>
      </c>
      <c r="G28" s="203" t="s">
        <v>162</v>
      </c>
      <c r="H28" s="210" t="s">
        <v>250</v>
      </c>
    </row>
    <row r="29" spans="1:8" s="66" customFormat="1" ht="34.5" x14ac:dyDescent="0.35">
      <c r="A29" s="209" t="s">
        <v>252</v>
      </c>
      <c r="B29" s="203">
        <v>4631</v>
      </c>
      <c r="C29" s="203" t="s">
        <v>38</v>
      </c>
      <c r="D29" s="203">
        <v>1</v>
      </c>
      <c r="E29" s="171" t="s">
        <v>253</v>
      </c>
      <c r="F29" s="203">
        <v>0</v>
      </c>
      <c r="G29" s="203" t="s">
        <v>162</v>
      </c>
      <c r="H29" s="210" t="s">
        <v>252</v>
      </c>
    </row>
    <row r="30" spans="1:8" s="66" customFormat="1" ht="17.25" x14ac:dyDescent="0.35">
      <c r="A30" s="221" t="s">
        <v>49</v>
      </c>
      <c r="B30" s="222">
        <v>880</v>
      </c>
      <c r="C30" s="222" t="s">
        <v>38</v>
      </c>
      <c r="D30" s="222">
        <v>1</v>
      </c>
      <c r="E30" s="167" t="s">
        <v>85</v>
      </c>
      <c r="F30" s="222" t="s">
        <v>4</v>
      </c>
      <c r="G30" s="222" t="s">
        <v>162</v>
      </c>
      <c r="H30" s="172"/>
    </row>
    <row r="31" spans="1:8" s="66" customFormat="1" ht="17.25" x14ac:dyDescent="0.35">
      <c r="A31" s="221" t="s">
        <v>50</v>
      </c>
      <c r="B31" s="222">
        <v>881</v>
      </c>
      <c r="C31" s="222" t="s">
        <v>38</v>
      </c>
      <c r="D31" s="222">
        <v>1</v>
      </c>
      <c r="E31" s="167" t="s">
        <v>86</v>
      </c>
      <c r="F31" s="222" t="s">
        <v>4</v>
      </c>
      <c r="G31" s="222" t="s">
        <v>162</v>
      </c>
      <c r="H31" s="172"/>
    </row>
    <row r="32" spans="1:8" s="66" customFormat="1" ht="17.25" x14ac:dyDescent="0.35">
      <c r="A32" s="221" t="s">
        <v>51</v>
      </c>
      <c r="B32" s="222">
        <v>882</v>
      </c>
      <c r="C32" s="222" t="s">
        <v>38</v>
      </c>
      <c r="D32" s="222">
        <v>1</v>
      </c>
      <c r="E32" s="167" t="s">
        <v>87</v>
      </c>
      <c r="F32" s="222" t="s">
        <v>23</v>
      </c>
      <c r="G32" s="222" t="s">
        <v>162</v>
      </c>
      <c r="H32" s="172"/>
    </row>
    <row r="33" spans="1:8" s="66" customFormat="1" ht="34.5" x14ac:dyDescent="0.35">
      <c r="A33" s="221" t="s">
        <v>88</v>
      </c>
      <c r="B33" s="222">
        <v>896</v>
      </c>
      <c r="C33" s="222" t="s">
        <v>38</v>
      </c>
      <c r="D33" s="222">
        <v>2</v>
      </c>
      <c r="E33" s="167" t="s">
        <v>89</v>
      </c>
      <c r="F33" s="222">
        <v>1</v>
      </c>
      <c r="G33" s="222" t="s">
        <v>162</v>
      </c>
      <c r="H33" s="172" t="s">
        <v>90</v>
      </c>
    </row>
    <row r="34" spans="1:8" s="66" customFormat="1" ht="17.25" x14ac:dyDescent="0.35">
      <c r="A34" s="221" t="s">
        <v>91</v>
      </c>
      <c r="B34" s="222">
        <v>911</v>
      </c>
      <c r="C34" s="222" t="s">
        <v>38</v>
      </c>
      <c r="D34" s="222">
        <v>1</v>
      </c>
      <c r="E34" s="167" t="s">
        <v>92</v>
      </c>
      <c r="F34" s="222" t="s">
        <v>157</v>
      </c>
      <c r="G34" s="222" t="s">
        <v>162</v>
      </c>
      <c r="H34" s="172" t="s">
        <v>6</v>
      </c>
    </row>
    <row r="35" spans="1:8" s="66" customFormat="1" ht="17.25" x14ac:dyDescent="0.35">
      <c r="A35" s="221" t="s">
        <v>136</v>
      </c>
      <c r="B35" s="222">
        <v>6828</v>
      </c>
      <c r="C35" s="222"/>
      <c r="D35" s="222"/>
      <c r="E35" s="167"/>
      <c r="F35" s="222"/>
      <c r="G35" s="222" t="s">
        <v>6</v>
      </c>
      <c r="H35" s="172"/>
    </row>
    <row r="36" spans="1:8" s="66" customFormat="1" ht="17.25" x14ac:dyDescent="0.35">
      <c r="A36" s="221"/>
      <c r="B36" s="222"/>
      <c r="C36" s="222" t="s">
        <v>38</v>
      </c>
      <c r="D36" s="222">
        <v>8</v>
      </c>
      <c r="E36" s="167" t="s">
        <v>137</v>
      </c>
      <c r="F36" s="222" t="s">
        <v>169</v>
      </c>
      <c r="G36" s="222"/>
      <c r="H36" s="172" t="s">
        <v>170</v>
      </c>
    </row>
    <row r="37" spans="1:8" s="66" customFormat="1" ht="17.25" x14ac:dyDescent="0.35">
      <c r="A37" s="221"/>
      <c r="B37" s="222"/>
      <c r="C37" s="222" t="s">
        <v>38</v>
      </c>
      <c r="D37" s="222">
        <v>8</v>
      </c>
      <c r="E37" s="167" t="s">
        <v>137</v>
      </c>
      <c r="F37" s="222">
        <v>0</v>
      </c>
      <c r="G37" s="222"/>
      <c r="H37" s="172"/>
    </row>
    <row r="38" spans="1:8" s="66" customFormat="1" ht="17.25" x14ac:dyDescent="0.35">
      <c r="A38" s="221" t="s">
        <v>93</v>
      </c>
      <c r="B38" s="222">
        <v>441</v>
      </c>
      <c r="C38" s="222"/>
      <c r="D38" s="222"/>
      <c r="E38" s="167"/>
      <c r="F38" s="222"/>
      <c r="G38" s="222" t="s">
        <v>163</v>
      </c>
      <c r="H38" s="172"/>
    </row>
    <row r="39" spans="1:8" s="66" customFormat="1" ht="17.25" x14ac:dyDescent="0.35">
      <c r="A39" s="221"/>
      <c r="B39" s="222"/>
      <c r="C39" s="222" t="s">
        <v>38</v>
      </c>
      <c r="D39" s="222">
        <v>1</v>
      </c>
      <c r="E39" s="167" t="s">
        <v>11</v>
      </c>
      <c r="F39" s="222">
        <v>0</v>
      </c>
      <c r="G39" s="222"/>
      <c r="H39" s="172"/>
    </row>
    <row r="40" spans="1:8" s="66" customFormat="1" ht="17.25" x14ac:dyDescent="0.35">
      <c r="A40" s="221"/>
      <c r="B40" s="222"/>
      <c r="C40" s="222" t="s">
        <v>38</v>
      </c>
      <c r="D40" s="222">
        <v>2</v>
      </c>
      <c r="E40" s="167" t="s">
        <v>94</v>
      </c>
      <c r="F40" s="222" t="s">
        <v>158</v>
      </c>
      <c r="G40" s="222"/>
      <c r="H40" s="172" t="s">
        <v>6</v>
      </c>
    </row>
    <row r="41" spans="1:8" s="66" customFormat="1" ht="17.25" x14ac:dyDescent="0.35">
      <c r="A41" s="221" t="s">
        <v>95</v>
      </c>
      <c r="B41" s="222">
        <v>946</v>
      </c>
      <c r="C41" s="222"/>
      <c r="D41" s="222"/>
      <c r="E41" s="167"/>
      <c r="F41" s="222"/>
      <c r="G41" s="222" t="s">
        <v>163</v>
      </c>
      <c r="H41" s="172"/>
    </row>
    <row r="42" spans="1:8" s="66" customFormat="1" ht="17.25" x14ac:dyDescent="0.35">
      <c r="A42" s="221"/>
      <c r="B42" s="222"/>
      <c r="C42" s="222" t="s">
        <v>38</v>
      </c>
      <c r="D42" s="222">
        <v>1</v>
      </c>
      <c r="E42" s="167" t="s">
        <v>11</v>
      </c>
      <c r="F42" s="222">
        <v>0</v>
      </c>
      <c r="G42" s="222"/>
      <c r="H42" s="172"/>
    </row>
    <row r="43" spans="1:8" s="66" customFormat="1" ht="17.25" x14ac:dyDescent="0.35">
      <c r="A43" s="221"/>
      <c r="B43" s="222"/>
      <c r="C43" s="222" t="s">
        <v>38</v>
      </c>
      <c r="D43" s="222">
        <v>2</v>
      </c>
      <c r="E43" s="167" t="s">
        <v>96</v>
      </c>
      <c r="F43" s="222" t="s">
        <v>159</v>
      </c>
      <c r="G43" s="222"/>
      <c r="H43" s="172" t="s">
        <v>6</v>
      </c>
    </row>
    <row r="44" spans="1:8" s="66" customFormat="1" ht="17.25" x14ac:dyDescent="0.35">
      <c r="A44" s="221" t="s">
        <v>97</v>
      </c>
      <c r="B44" s="222">
        <v>2954</v>
      </c>
      <c r="C44" s="222"/>
      <c r="D44" s="222"/>
      <c r="E44" s="167"/>
      <c r="F44" s="222"/>
      <c r="G44" s="222" t="s">
        <v>163</v>
      </c>
      <c r="H44" s="172"/>
    </row>
    <row r="45" spans="1:8" s="66" customFormat="1" ht="17.25" x14ac:dyDescent="0.35">
      <c r="A45" s="221"/>
      <c r="B45" s="222"/>
      <c r="C45" s="222" t="s">
        <v>38</v>
      </c>
      <c r="D45" s="222">
        <v>1</v>
      </c>
      <c r="E45" s="167" t="s">
        <v>11</v>
      </c>
      <c r="F45" s="222">
        <v>0</v>
      </c>
      <c r="G45" s="222"/>
      <c r="H45" s="172"/>
    </row>
    <row r="46" spans="1:8" s="66" customFormat="1" ht="17.25" x14ac:dyDescent="0.35">
      <c r="A46" s="221"/>
      <c r="B46" s="222"/>
      <c r="C46" s="222" t="s">
        <v>38</v>
      </c>
      <c r="D46" s="222">
        <v>4</v>
      </c>
      <c r="E46" s="167" t="s">
        <v>98</v>
      </c>
      <c r="F46" s="222" t="s">
        <v>141</v>
      </c>
      <c r="G46" s="222"/>
      <c r="H46" s="172" t="s">
        <v>6</v>
      </c>
    </row>
    <row r="47" spans="1:8" s="66" customFormat="1" ht="51.75" x14ac:dyDescent="0.35">
      <c r="A47" s="221" t="s">
        <v>99</v>
      </c>
      <c r="B47" s="222">
        <v>1016</v>
      </c>
      <c r="C47" s="222" t="s">
        <v>38</v>
      </c>
      <c r="D47" s="222">
        <v>1</v>
      </c>
      <c r="E47" s="167" t="s">
        <v>100</v>
      </c>
      <c r="F47" s="222">
        <v>1</v>
      </c>
      <c r="G47" s="222" t="s">
        <v>162</v>
      </c>
      <c r="H47" s="172" t="s">
        <v>101</v>
      </c>
    </row>
    <row r="48" spans="1:8" s="66" customFormat="1" ht="51.75" x14ac:dyDescent="0.35">
      <c r="A48" s="221" t="s">
        <v>102</v>
      </c>
      <c r="B48" s="222">
        <v>1017</v>
      </c>
      <c r="C48" s="222" t="s">
        <v>38</v>
      </c>
      <c r="D48" s="222">
        <v>1</v>
      </c>
      <c r="E48" s="167" t="s">
        <v>103</v>
      </c>
      <c r="F48" s="222">
        <v>2</v>
      </c>
      <c r="G48" s="222" t="s">
        <v>162</v>
      </c>
      <c r="H48" s="172" t="s">
        <v>104</v>
      </c>
    </row>
    <row r="49" spans="1:9" s="66" customFormat="1" ht="17.25" x14ac:dyDescent="0.35">
      <c r="A49" s="221" t="s">
        <v>105</v>
      </c>
      <c r="B49" s="222">
        <v>947</v>
      </c>
      <c r="C49" s="222" t="s">
        <v>38</v>
      </c>
      <c r="D49" s="222">
        <v>1</v>
      </c>
      <c r="E49" s="167" t="s">
        <v>106</v>
      </c>
      <c r="F49" s="222">
        <v>0</v>
      </c>
      <c r="G49" s="222" t="s">
        <v>162</v>
      </c>
      <c r="H49" s="172" t="s">
        <v>107</v>
      </c>
    </row>
    <row r="50" spans="1:9" s="66" customFormat="1" ht="34.5" x14ac:dyDescent="0.35">
      <c r="A50" s="221" t="s">
        <v>108</v>
      </c>
      <c r="B50" s="222">
        <v>1302</v>
      </c>
      <c r="C50" s="222" t="s">
        <v>38</v>
      </c>
      <c r="D50" s="222">
        <v>1</v>
      </c>
      <c r="E50" s="167" t="s">
        <v>109</v>
      </c>
      <c r="F50" s="222">
        <v>1</v>
      </c>
      <c r="G50" s="222" t="s">
        <v>162</v>
      </c>
      <c r="H50" s="172" t="s">
        <v>110</v>
      </c>
    </row>
    <row r="51" spans="1:9" s="66" customFormat="1" ht="17.25" x14ac:dyDescent="0.35">
      <c r="A51" s="221" t="s">
        <v>15</v>
      </c>
      <c r="B51" s="222">
        <v>1918</v>
      </c>
      <c r="C51" s="222" t="s">
        <v>38</v>
      </c>
      <c r="D51" s="222">
        <v>4</v>
      </c>
      <c r="E51" s="167" t="s">
        <v>16</v>
      </c>
      <c r="F51" s="222">
        <v>64</v>
      </c>
      <c r="G51" s="222" t="s">
        <v>162</v>
      </c>
      <c r="H51" s="172"/>
    </row>
    <row r="52" spans="1:9" s="66" customFormat="1" ht="51.75" x14ac:dyDescent="0.35">
      <c r="A52" s="221" t="s">
        <v>111</v>
      </c>
      <c r="B52" s="222">
        <v>2508</v>
      </c>
      <c r="C52" s="222" t="s">
        <v>38</v>
      </c>
      <c r="D52" s="222">
        <v>1</v>
      </c>
      <c r="E52" s="167" t="s">
        <v>112</v>
      </c>
      <c r="F52" s="222">
        <v>1</v>
      </c>
      <c r="G52" s="222" t="s">
        <v>162</v>
      </c>
      <c r="H52" s="172" t="s">
        <v>135</v>
      </c>
    </row>
    <row r="53" spans="1:9" s="66" customFormat="1" ht="17.25" x14ac:dyDescent="0.35">
      <c r="A53" s="221" t="s">
        <v>113</v>
      </c>
      <c r="B53" s="222">
        <v>2509</v>
      </c>
      <c r="C53" s="222" t="s">
        <v>38</v>
      </c>
      <c r="D53" s="222">
        <v>1</v>
      </c>
      <c r="E53" s="167" t="s">
        <v>114</v>
      </c>
      <c r="F53" s="222" t="s">
        <v>157</v>
      </c>
      <c r="G53" s="222" t="s">
        <v>162</v>
      </c>
      <c r="H53" s="172"/>
    </row>
    <row r="54" spans="1:9" s="66" customFormat="1" ht="17.25" x14ac:dyDescent="0.35">
      <c r="A54" s="221" t="s">
        <v>115</v>
      </c>
      <c r="B54" s="222">
        <v>3630</v>
      </c>
      <c r="C54" s="222" t="s">
        <v>38</v>
      </c>
      <c r="D54" s="222">
        <v>1</v>
      </c>
      <c r="E54" s="167" t="s">
        <v>116</v>
      </c>
      <c r="F54" s="222">
        <v>1</v>
      </c>
      <c r="G54" s="222" t="s">
        <v>162</v>
      </c>
      <c r="H54" s="172" t="s">
        <v>117</v>
      </c>
    </row>
    <row r="55" spans="1:9" ht="17.25" x14ac:dyDescent="0.35">
      <c r="A55" s="221" t="s">
        <v>118</v>
      </c>
      <c r="B55" s="222">
        <v>2512</v>
      </c>
      <c r="C55" s="222" t="s">
        <v>38</v>
      </c>
      <c r="D55" s="222">
        <v>1</v>
      </c>
      <c r="E55" s="167" t="s">
        <v>119</v>
      </c>
      <c r="F55" s="222">
        <v>1</v>
      </c>
      <c r="G55" s="222" t="s">
        <v>162</v>
      </c>
      <c r="H55" s="172" t="s">
        <v>120</v>
      </c>
      <c r="I55" s="101"/>
    </row>
    <row r="56" spans="1:9" ht="17.25" x14ac:dyDescent="0.35">
      <c r="A56" s="221" t="s">
        <v>121</v>
      </c>
      <c r="B56" s="222">
        <v>3006</v>
      </c>
      <c r="C56" s="222" t="s">
        <v>38</v>
      </c>
      <c r="D56" s="222">
        <v>2</v>
      </c>
      <c r="E56" s="167" t="s">
        <v>122</v>
      </c>
      <c r="F56" s="222">
        <v>255</v>
      </c>
      <c r="G56" s="222" t="s">
        <v>162</v>
      </c>
      <c r="H56" s="172"/>
      <c r="I56" s="101"/>
    </row>
    <row r="57" spans="1:9" ht="17.25" x14ac:dyDescent="0.35">
      <c r="A57" s="221" t="s">
        <v>19</v>
      </c>
      <c r="B57" s="222">
        <v>3532</v>
      </c>
      <c r="C57" s="222" t="s">
        <v>38</v>
      </c>
      <c r="D57" s="222">
        <v>1</v>
      </c>
      <c r="E57" s="167" t="s">
        <v>20</v>
      </c>
      <c r="F57" s="222">
        <v>180</v>
      </c>
      <c r="G57" s="222" t="s">
        <v>162</v>
      </c>
      <c r="H57" s="172" t="s">
        <v>6</v>
      </c>
      <c r="I57" s="101"/>
    </row>
    <row r="58" spans="1:9" ht="17.25" x14ac:dyDescent="0.35">
      <c r="A58" s="221" t="s">
        <v>21</v>
      </c>
      <c r="B58" s="222">
        <v>3533</v>
      </c>
      <c r="C58" s="222" t="s">
        <v>38</v>
      </c>
      <c r="D58" s="222">
        <v>1</v>
      </c>
      <c r="E58" s="167" t="s">
        <v>22</v>
      </c>
      <c r="F58" s="222">
        <v>45</v>
      </c>
      <c r="G58" s="222" t="s">
        <v>162</v>
      </c>
      <c r="H58" s="172" t="s">
        <v>6</v>
      </c>
      <c r="I58" s="101"/>
    </row>
    <row r="59" spans="1:9" ht="17.25" x14ac:dyDescent="0.35">
      <c r="A59" s="221" t="s">
        <v>123</v>
      </c>
      <c r="B59" s="222">
        <v>3628</v>
      </c>
      <c r="C59" s="222" t="s">
        <v>38</v>
      </c>
      <c r="D59" s="222">
        <v>1</v>
      </c>
      <c r="E59" s="167" t="s">
        <v>124</v>
      </c>
      <c r="F59" s="222">
        <v>0</v>
      </c>
      <c r="G59" s="222" t="s">
        <v>162</v>
      </c>
      <c r="H59" s="172" t="s">
        <v>125</v>
      </c>
      <c r="I59" s="101"/>
    </row>
    <row r="60" spans="1:9" ht="34.5" x14ac:dyDescent="0.35">
      <c r="A60" s="221" t="s">
        <v>126</v>
      </c>
      <c r="B60" s="222">
        <v>3629</v>
      </c>
      <c r="C60" s="222" t="s">
        <v>38</v>
      </c>
      <c r="D60" s="222">
        <v>1</v>
      </c>
      <c r="E60" s="167" t="s">
        <v>127</v>
      </c>
      <c r="F60" s="222">
        <v>3</v>
      </c>
      <c r="G60" s="222" t="s">
        <v>162</v>
      </c>
      <c r="H60" s="172" t="s">
        <v>128</v>
      </c>
      <c r="I60" s="101"/>
    </row>
    <row r="61" spans="1:9" ht="17.25" x14ac:dyDescent="0.35">
      <c r="A61" s="221" t="s">
        <v>129</v>
      </c>
      <c r="B61" s="222">
        <v>3851</v>
      </c>
      <c r="C61" s="222" t="s">
        <v>38</v>
      </c>
      <c r="D61" s="222">
        <v>1</v>
      </c>
      <c r="E61" s="167" t="s">
        <v>130</v>
      </c>
      <c r="F61" s="222">
        <v>3</v>
      </c>
      <c r="G61" s="222" t="s">
        <v>162</v>
      </c>
      <c r="H61" s="172" t="s">
        <v>131</v>
      </c>
      <c r="I61" s="101"/>
    </row>
    <row r="62" spans="1:9" ht="17.25" x14ac:dyDescent="0.35">
      <c r="A62" s="226" t="s">
        <v>24</v>
      </c>
      <c r="B62" s="222">
        <v>10</v>
      </c>
      <c r="C62" s="222"/>
      <c r="D62" s="222"/>
      <c r="E62" s="169" t="s">
        <v>25</v>
      </c>
      <c r="F62" s="223"/>
      <c r="G62" s="222" t="s">
        <v>322</v>
      </c>
      <c r="H62" s="168" t="s">
        <v>6</v>
      </c>
      <c r="I62" s="101"/>
    </row>
    <row r="63" spans="1:9" ht="17.25" x14ac:dyDescent="0.35">
      <c r="A63" s="226"/>
      <c r="B63" s="222"/>
      <c r="C63" s="222" t="s">
        <v>38</v>
      </c>
      <c r="D63" s="222">
        <v>1</v>
      </c>
      <c r="E63" s="169" t="s">
        <v>11</v>
      </c>
      <c r="F63" s="223">
        <v>0</v>
      </c>
      <c r="G63" s="222"/>
      <c r="H63" s="168"/>
      <c r="I63" s="101"/>
    </row>
    <row r="64" spans="1:9" ht="17.25" x14ac:dyDescent="0.35">
      <c r="A64" s="226"/>
      <c r="B64" s="222"/>
      <c r="C64" s="222" t="s">
        <v>38</v>
      </c>
      <c r="D64" s="222">
        <v>2</v>
      </c>
      <c r="E64" s="169" t="s">
        <v>26</v>
      </c>
      <c r="F64" s="223">
        <v>58</v>
      </c>
      <c r="G64" s="222"/>
      <c r="H64" s="168" t="s">
        <v>6</v>
      </c>
      <c r="I64" s="101"/>
    </row>
    <row r="65" spans="1:9" ht="17.25" x14ac:dyDescent="0.35">
      <c r="A65" s="224" t="s">
        <v>24</v>
      </c>
      <c r="B65" s="203">
        <v>10</v>
      </c>
      <c r="C65" s="203"/>
      <c r="D65" s="203"/>
      <c r="E65" s="170" t="s">
        <v>25</v>
      </c>
      <c r="F65" s="203"/>
      <c r="G65" s="203" t="s">
        <v>163</v>
      </c>
      <c r="H65" s="225" t="s">
        <v>6</v>
      </c>
      <c r="I65" s="101"/>
    </row>
    <row r="66" spans="1:9" ht="17.25" x14ac:dyDescent="0.35">
      <c r="A66" s="224"/>
      <c r="B66" s="203" t="s">
        <v>160</v>
      </c>
      <c r="C66" s="203" t="s">
        <v>38</v>
      </c>
      <c r="D66" s="203">
        <v>1</v>
      </c>
      <c r="E66" s="170"/>
      <c r="F66" s="203" t="s">
        <v>161</v>
      </c>
      <c r="G66" s="203"/>
      <c r="H66" s="225" t="s">
        <v>164</v>
      </c>
      <c r="I66" s="101"/>
    </row>
    <row r="67" spans="1:9" ht="17.25" x14ac:dyDescent="0.35">
      <c r="A67" s="224"/>
      <c r="B67" s="203"/>
      <c r="C67" s="203" t="s">
        <v>38</v>
      </c>
      <c r="D67" s="203">
        <v>1</v>
      </c>
      <c r="E67" s="170" t="s">
        <v>11</v>
      </c>
      <c r="F67" s="203">
        <v>0</v>
      </c>
      <c r="G67" s="203"/>
      <c r="H67" s="225" t="s">
        <v>165</v>
      </c>
      <c r="I67" s="101"/>
    </row>
    <row r="68" spans="1:9" ht="17.25" x14ac:dyDescent="0.35">
      <c r="A68" s="224"/>
      <c r="B68" s="203"/>
      <c r="C68" s="203" t="s">
        <v>38</v>
      </c>
      <c r="D68" s="203">
        <v>2</v>
      </c>
      <c r="E68" s="170" t="s">
        <v>26</v>
      </c>
      <c r="F68" s="203">
        <v>58</v>
      </c>
      <c r="G68" s="203"/>
      <c r="H68" s="225" t="s">
        <v>166</v>
      </c>
      <c r="I68" s="101"/>
    </row>
    <row r="69" spans="1:9" ht="17.25" x14ac:dyDescent="0.35">
      <c r="A69" s="224" t="s">
        <v>188</v>
      </c>
      <c r="B69" s="203">
        <v>3446</v>
      </c>
      <c r="C69" s="203"/>
      <c r="D69" s="203"/>
      <c r="E69" s="170" t="s">
        <v>189</v>
      </c>
      <c r="F69" s="203"/>
      <c r="G69" s="203"/>
      <c r="H69" s="225"/>
      <c r="I69" s="101"/>
    </row>
    <row r="70" spans="1:9" ht="17.25" x14ac:dyDescent="0.35">
      <c r="A70" s="224"/>
      <c r="B70" s="203"/>
      <c r="C70" s="203" t="s">
        <v>38</v>
      </c>
      <c r="D70" s="203">
        <v>2</v>
      </c>
      <c r="E70" s="170" t="s">
        <v>190</v>
      </c>
      <c r="F70" s="203">
        <v>2</v>
      </c>
      <c r="G70" s="203"/>
      <c r="H70" s="225"/>
      <c r="I70" s="101"/>
    </row>
    <row r="71" spans="1:9" ht="17.25" x14ac:dyDescent="0.35">
      <c r="A71" s="224"/>
      <c r="B71" s="203"/>
      <c r="C71" s="203" t="s">
        <v>38</v>
      </c>
      <c r="D71" s="203">
        <v>4</v>
      </c>
      <c r="E71" s="170" t="s">
        <v>191</v>
      </c>
      <c r="F71" s="203">
        <v>0</v>
      </c>
      <c r="G71" s="203"/>
      <c r="H71" s="225"/>
      <c r="I71" s="101"/>
    </row>
    <row r="72" spans="1:9" ht="17.25" x14ac:dyDescent="0.35">
      <c r="A72" s="224" t="s">
        <v>192</v>
      </c>
      <c r="B72" s="203">
        <v>7165</v>
      </c>
      <c r="C72" s="203" t="s">
        <v>38</v>
      </c>
      <c r="D72" s="203">
        <v>4</v>
      </c>
      <c r="E72" s="170" t="s">
        <v>193</v>
      </c>
      <c r="F72" s="203" t="s">
        <v>210</v>
      </c>
      <c r="G72" s="203" t="s">
        <v>162</v>
      </c>
      <c r="H72" s="225"/>
      <c r="I72" s="101"/>
    </row>
    <row r="73" spans="1:9" s="30" customFormat="1" ht="18" thickBot="1" x14ac:dyDescent="0.4">
      <c r="A73" s="215"/>
      <c r="B73" s="227"/>
      <c r="C73" s="227"/>
      <c r="D73" s="227"/>
      <c r="E73" s="216"/>
      <c r="F73" s="227"/>
      <c r="G73" s="227"/>
      <c r="H73" s="204"/>
      <c r="I73" s="101"/>
    </row>
    <row r="74" spans="1:9" s="30" customFormat="1" ht="15" x14ac:dyDescent="0.3">
      <c r="A74" s="15"/>
      <c r="B74" s="15"/>
      <c r="C74" s="60"/>
      <c r="D74" s="15"/>
      <c r="E74" s="15"/>
      <c r="F74" s="60"/>
      <c r="G74" s="15"/>
      <c r="H74" s="21"/>
      <c r="I74" s="101"/>
    </row>
    <row r="75" spans="1:9" s="30" customFormat="1" ht="15.75" thickBot="1" x14ac:dyDescent="0.35">
      <c r="A75" s="22"/>
      <c r="B75" s="17"/>
      <c r="C75" s="60"/>
      <c r="D75" s="15"/>
      <c r="E75" s="15"/>
      <c r="F75" s="60"/>
      <c r="G75" s="15"/>
      <c r="H75" s="21"/>
      <c r="I75" s="101"/>
    </row>
    <row r="76" spans="1:9" s="30" customFormat="1" ht="20.25" thickBot="1" x14ac:dyDescent="0.45">
      <c r="A76" s="39" t="s">
        <v>42</v>
      </c>
      <c r="B76" s="39"/>
      <c r="C76" s="39"/>
      <c r="D76" s="39"/>
      <c r="E76" s="39"/>
      <c r="F76" s="39"/>
      <c r="G76" s="39"/>
      <c r="H76" s="68"/>
      <c r="I76" s="40"/>
    </row>
    <row r="77" spans="1:9" ht="15.75" thickBot="1" x14ac:dyDescent="0.35">
      <c r="A77" s="19" t="s">
        <v>27</v>
      </c>
      <c r="B77" s="58" t="s">
        <v>28</v>
      </c>
      <c r="C77" s="58" t="s">
        <v>35</v>
      </c>
      <c r="D77" s="19" t="s">
        <v>45</v>
      </c>
      <c r="E77" s="19" t="s">
        <v>44</v>
      </c>
      <c r="F77" s="19" t="s">
        <v>37</v>
      </c>
      <c r="G77" s="59" t="s">
        <v>43</v>
      </c>
      <c r="H77" s="20" t="s">
        <v>47</v>
      </c>
      <c r="I77" s="12" t="s">
        <v>29</v>
      </c>
    </row>
    <row r="78" spans="1:9" s="118" customFormat="1" ht="14.25" customHeight="1" x14ac:dyDescent="0.35">
      <c r="A78" s="147" t="s">
        <v>168</v>
      </c>
      <c r="B78" s="148" t="s">
        <v>167</v>
      </c>
      <c r="C78" s="149" t="s">
        <v>52</v>
      </c>
      <c r="D78" s="148"/>
      <c r="E78" s="148"/>
      <c r="F78" s="148"/>
      <c r="G78" s="148" t="s">
        <v>162</v>
      </c>
      <c r="H78" s="150"/>
      <c r="I78" s="124" t="s">
        <v>220</v>
      </c>
    </row>
    <row r="79" spans="1:9" s="118" customFormat="1" ht="17.25" x14ac:dyDescent="0.35">
      <c r="A79" s="107"/>
      <c r="B79" s="104"/>
      <c r="C79" s="104"/>
      <c r="D79" s="104" t="s">
        <v>38</v>
      </c>
      <c r="E79" s="104">
        <v>8</v>
      </c>
      <c r="F79" s="106" t="s">
        <v>218</v>
      </c>
      <c r="G79" s="104"/>
      <c r="H79" s="151"/>
      <c r="I79" s="121"/>
    </row>
    <row r="80" spans="1:9" s="120" customFormat="1" ht="17.25" x14ac:dyDescent="0.35">
      <c r="A80" s="152" t="s">
        <v>132</v>
      </c>
      <c r="B80" s="104" t="s">
        <v>53</v>
      </c>
      <c r="C80" s="106" t="s">
        <v>40</v>
      </c>
      <c r="D80" s="106"/>
      <c r="E80" s="104"/>
      <c r="F80" s="106"/>
      <c r="G80" s="104" t="s">
        <v>162</v>
      </c>
      <c r="H80" s="151" t="s">
        <v>270</v>
      </c>
      <c r="I80" s="125"/>
    </row>
    <row r="81" spans="1:11" s="119" customFormat="1" ht="17.25" x14ac:dyDescent="0.35">
      <c r="A81" s="153" t="s">
        <v>133</v>
      </c>
      <c r="B81" s="229" t="s">
        <v>332</v>
      </c>
      <c r="C81" s="106" t="s">
        <v>52</v>
      </c>
      <c r="D81" s="104"/>
      <c r="E81" s="104"/>
      <c r="F81" s="106"/>
      <c r="G81" s="104" t="s">
        <v>162</v>
      </c>
      <c r="H81" s="134"/>
      <c r="I81" s="121">
        <v>65693</v>
      </c>
    </row>
    <row r="82" spans="1:11" s="48" customFormat="1" ht="103.5" x14ac:dyDescent="0.35">
      <c r="A82" s="153"/>
      <c r="B82" s="104"/>
      <c r="C82" s="106"/>
      <c r="D82" s="104" t="s">
        <v>38</v>
      </c>
      <c r="E82" s="104">
        <v>2</v>
      </c>
      <c r="F82" s="106">
        <v>0</v>
      </c>
      <c r="G82" s="104"/>
      <c r="H82" s="134"/>
      <c r="I82" s="121" t="s">
        <v>134</v>
      </c>
    </row>
    <row r="83" spans="1:11" s="24" customFormat="1" ht="19.5" x14ac:dyDescent="0.4">
      <c r="A83" s="154" t="s">
        <v>254</v>
      </c>
      <c r="B83" s="102" t="s">
        <v>255</v>
      </c>
      <c r="C83" s="102" t="s">
        <v>52</v>
      </c>
      <c r="D83" s="102"/>
      <c r="E83" s="102"/>
      <c r="F83" s="102"/>
      <c r="G83" s="102" t="s">
        <v>162</v>
      </c>
      <c r="H83" s="155"/>
      <c r="I83" s="105">
        <v>67217</v>
      </c>
    </row>
    <row r="84" spans="1:11" s="24" customFormat="1" ht="19.5" x14ac:dyDescent="0.4">
      <c r="A84" s="154"/>
      <c r="B84" s="102"/>
      <c r="C84" s="102"/>
      <c r="D84" s="102" t="s">
        <v>38</v>
      </c>
      <c r="E84" s="102">
        <v>1</v>
      </c>
      <c r="F84" s="102">
        <v>1</v>
      </c>
      <c r="G84" s="102"/>
      <c r="H84" s="155"/>
      <c r="I84" s="105" t="s">
        <v>254</v>
      </c>
    </row>
    <row r="85" spans="1:11" s="24" customFormat="1" ht="19.5" x14ac:dyDescent="0.4">
      <c r="A85" s="154"/>
      <c r="B85" s="102"/>
      <c r="C85" s="102"/>
      <c r="D85" s="102" t="s">
        <v>38</v>
      </c>
      <c r="E85" s="102">
        <v>2</v>
      </c>
      <c r="F85" s="102" t="s">
        <v>158</v>
      </c>
      <c r="G85" s="102"/>
      <c r="H85" s="155"/>
      <c r="I85" s="105"/>
    </row>
    <row r="86" spans="1:11" s="24" customFormat="1" ht="17.25" x14ac:dyDescent="0.35">
      <c r="A86" s="157" t="s">
        <v>295</v>
      </c>
      <c r="B86" s="104" t="s">
        <v>296</v>
      </c>
      <c r="C86" s="106" t="s">
        <v>52</v>
      </c>
      <c r="D86" s="106"/>
      <c r="E86" s="104"/>
      <c r="F86" s="106"/>
      <c r="G86" s="104" t="s">
        <v>162</v>
      </c>
      <c r="H86" s="151"/>
      <c r="I86" s="122" t="s">
        <v>264</v>
      </c>
    </row>
    <row r="87" spans="1:11" s="24" customFormat="1" ht="17.25" x14ac:dyDescent="0.35">
      <c r="A87" s="157"/>
      <c r="B87" s="104"/>
      <c r="C87" s="106"/>
      <c r="D87" s="106" t="s">
        <v>38</v>
      </c>
      <c r="E87" s="104">
        <v>1</v>
      </c>
      <c r="F87" s="106">
        <v>1</v>
      </c>
      <c r="G87" s="104"/>
      <c r="H87" s="151"/>
      <c r="I87" s="122"/>
    </row>
    <row r="88" spans="1:11" s="24" customFormat="1" ht="17.25" x14ac:dyDescent="0.35">
      <c r="A88" s="156" t="s">
        <v>287</v>
      </c>
      <c r="B88" s="104" t="s">
        <v>288</v>
      </c>
      <c r="C88" s="104" t="s">
        <v>52</v>
      </c>
      <c r="D88" s="104"/>
      <c r="E88" s="104"/>
      <c r="F88" s="104"/>
      <c r="G88" s="104" t="s">
        <v>162</v>
      </c>
      <c r="H88" s="151"/>
      <c r="I88" s="103">
        <v>73584</v>
      </c>
    </row>
    <row r="89" spans="1:11" s="24" customFormat="1" ht="17.25" hidden="1" x14ac:dyDescent="0.35">
      <c r="A89" s="156"/>
      <c r="B89" s="104"/>
      <c r="C89" s="104"/>
      <c r="D89" s="104" t="s">
        <v>38</v>
      </c>
      <c r="E89" s="104">
        <v>4</v>
      </c>
      <c r="F89" s="104" t="s">
        <v>289</v>
      </c>
      <c r="G89" s="104"/>
      <c r="H89" s="151"/>
      <c r="I89" s="103"/>
    </row>
    <row r="90" spans="1:11" s="75" customFormat="1" ht="17.25" x14ac:dyDescent="0.35">
      <c r="A90" s="156" t="s">
        <v>200</v>
      </c>
      <c r="B90" s="104" t="s">
        <v>201</v>
      </c>
      <c r="C90" s="104" t="s">
        <v>52</v>
      </c>
      <c r="D90" s="104"/>
      <c r="E90" s="104"/>
      <c r="F90" s="104"/>
      <c r="G90" s="104" t="s">
        <v>162</v>
      </c>
      <c r="H90" s="151"/>
      <c r="I90" s="103">
        <v>72533</v>
      </c>
      <c r="J90" s="64"/>
      <c r="K90" s="64"/>
    </row>
    <row r="91" spans="1:11" s="48" customFormat="1" ht="34.5" x14ac:dyDescent="0.35">
      <c r="A91" s="156"/>
      <c r="B91" s="104"/>
      <c r="C91" s="104"/>
      <c r="D91" s="104" t="s">
        <v>38</v>
      </c>
      <c r="E91" s="104">
        <v>4</v>
      </c>
      <c r="F91" s="104">
        <v>1</v>
      </c>
      <c r="G91" s="104"/>
      <c r="H91" s="151"/>
      <c r="I91" s="103" t="s">
        <v>202</v>
      </c>
    </row>
    <row r="92" spans="1:11" s="27" customFormat="1" ht="17.25" x14ac:dyDescent="0.35">
      <c r="A92" s="156" t="s">
        <v>256</v>
      </c>
      <c r="B92" s="104" t="s">
        <v>257</v>
      </c>
      <c r="C92" s="104" t="s">
        <v>40</v>
      </c>
      <c r="D92" s="104"/>
      <c r="E92" s="104"/>
      <c r="F92" s="104"/>
      <c r="G92" s="104" t="s">
        <v>162</v>
      </c>
      <c r="H92" s="151" t="s">
        <v>260</v>
      </c>
      <c r="I92" s="103" t="s">
        <v>6</v>
      </c>
    </row>
    <row r="93" spans="1:11" s="24" customFormat="1" ht="17.25" x14ac:dyDescent="0.35">
      <c r="A93" s="156" t="s">
        <v>258</v>
      </c>
      <c r="B93" s="104" t="s">
        <v>259</v>
      </c>
      <c r="C93" s="104" t="s">
        <v>40</v>
      </c>
      <c r="D93" s="104"/>
      <c r="E93" s="104"/>
      <c r="F93" s="104"/>
      <c r="G93" s="104" t="s">
        <v>162</v>
      </c>
      <c r="H93" s="151" t="s">
        <v>261</v>
      </c>
      <c r="I93" s="103" t="s">
        <v>6</v>
      </c>
      <c r="J93" s="41"/>
      <c r="K93" s="41"/>
    </row>
    <row r="94" spans="1:11" s="24" customFormat="1" ht="17.25" x14ac:dyDescent="0.35">
      <c r="A94" s="156" t="s">
        <v>211</v>
      </c>
      <c r="B94" s="104" t="s">
        <v>212</v>
      </c>
      <c r="C94" s="104" t="s">
        <v>52</v>
      </c>
      <c r="D94" s="104"/>
      <c r="E94" s="104"/>
      <c r="F94" s="104"/>
      <c r="G94" s="104" t="s">
        <v>162</v>
      </c>
      <c r="H94" s="151"/>
      <c r="I94" s="103">
        <v>65733</v>
      </c>
      <c r="J94" s="41"/>
      <c r="K94" s="41"/>
    </row>
    <row r="95" spans="1:11" s="24" customFormat="1" ht="17.25" x14ac:dyDescent="0.35">
      <c r="A95" s="156"/>
      <c r="B95" s="104"/>
      <c r="C95" s="104"/>
      <c r="D95" s="104" t="s">
        <v>38</v>
      </c>
      <c r="E95" s="104">
        <v>1</v>
      </c>
      <c r="F95" s="104">
        <v>0</v>
      </c>
      <c r="G95" s="104"/>
      <c r="H95" s="151"/>
      <c r="I95" s="103"/>
      <c r="J95" s="41"/>
      <c r="K95" s="41"/>
    </row>
    <row r="96" spans="1:11" s="24" customFormat="1" ht="34.5" x14ac:dyDescent="0.35">
      <c r="A96" s="153" t="s">
        <v>147</v>
      </c>
      <c r="B96" s="104" t="s">
        <v>144</v>
      </c>
      <c r="C96" s="106" t="s">
        <v>40</v>
      </c>
      <c r="D96" s="104"/>
      <c r="E96" s="104"/>
      <c r="F96" s="106"/>
      <c r="G96" s="104" t="s">
        <v>162</v>
      </c>
      <c r="H96" s="134" t="s">
        <v>145</v>
      </c>
      <c r="I96" s="121" t="s">
        <v>146</v>
      </c>
      <c r="J96" s="41"/>
      <c r="K96" s="41"/>
    </row>
    <row r="97" spans="1:9" s="95" customFormat="1" ht="16.5" customHeight="1" x14ac:dyDescent="0.35">
      <c r="A97" s="153" t="s">
        <v>185</v>
      </c>
      <c r="B97" s="104" t="s">
        <v>186</v>
      </c>
      <c r="C97" s="106" t="s">
        <v>40</v>
      </c>
      <c r="D97" s="104"/>
      <c r="E97" s="104"/>
      <c r="F97" s="106"/>
      <c r="G97" s="104" t="s">
        <v>162</v>
      </c>
      <c r="H97" s="134" t="s">
        <v>187</v>
      </c>
      <c r="I97" s="121"/>
    </row>
    <row r="98" spans="1:9" ht="17.25" x14ac:dyDescent="0.35">
      <c r="A98" s="136" t="s">
        <v>139</v>
      </c>
      <c r="B98" s="128" t="s">
        <v>265</v>
      </c>
      <c r="C98" s="129" t="s">
        <v>40</v>
      </c>
      <c r="D98" s="128"/>
      <c r="E98" s="128"/>
      <c r="F98" s="129"/>
      <c r="G98" s="128" t="s">
        <v>162</v>
      </c>
      <c r="H98" s="134" t="s">
        <v>142</v>
      </c>
      <c r="I98" s="259" t="s">
        <v>370</v>
      </c>
    </row>
    <row r="99" spans="1:9" ht="17.25" x14ac:dyDescent="0.35">
      <c r="A99" s="136" t="s">
        <v>275</v>
      </c>
      <c r="B99" s="128" t="s">
        <v>276</v>
      </c>
      <c r="C99" s="129" t="s">
        <v>40</v>
      </c>
      <c r="D99" s="128"/>
      <c r="E99" s="128"/>
      <c r="F99" s="129"/>
      <c r="G99" s="128" t="s">
        <v>162</v>
      </c>
      <c r="H99" s="134" t="s">
        <v>277</v>
      </c>
      <c r="I99" s="259" t="s">
        <v>371</v>
      </c>
    </row>
    <row r="100" spans="1:9" ht="17.25" x14ac:dyDescent="0.35">
      <c r="A100" s="136" t="s">
        <v>279</v>
      </c>
      <c r="B100" s="128" t="s">
        <v>280</v>
      </c>
      <c r="C100" s="129" t="s">
        <v>40</v>
      </c>
      <c r="D100" s="128"/>
      <c r="E100" s="128"/>
      <c r="F100" s="129"/>
      <c r="G100" s="128" t="s">
        <v>162</v>
      </c>
      <c r="H100" s="134" t="s">
        <v>281</v>
      </c>
      <c r="I100" s="259" t="s">
        <v>278</v>
      </c>
    </row>
    <row r="101" spans="1:9" ht="17.25" x14ac:dyDescent="0.35">
      <c r="A101" s="260" t="s">
        <v>372</v>
      </c>
      <c r="B101" s="228" t="s">
        <v>375</v>
      </c>
      <c r="C101" s="129" t="s">
        <v>40</v>
      </c>
      <c r="D101" s="128"/>
      <c r="E101" s="128"/>
      <c r="F101" s="129"/>
      <c r="G101" s="128" t="s">
        <v>162</v>
      </c>
      <c r="H101" s="261" t="s">
        <v>378</v>
      </c>
      <c r="I101" s="259" t="s">
        <v>282</v>
      </c>
    </row>
    <row r="102" spans="1:9" ht="17.25" x14ac:dyDescent="0.35">
      <c r="A102" s="260" t="s">
        <v>373</v>
      </c>
      <c r="B102" s="228" t="s">
        <v>376</v>
      </c>
      <c r="C102" s="129" t="s">
        <v>40</v>
      </c>
      <c r="D102" s="128"/>
      <c r="E102" s="128"/>
      <c r="F102" s="129"/>
      <c r="G102" s="128" t="s">
        <v>162</v>
      </c>
      <c r="H102" s="261" t="s">
        <v>379</v>
      </c>
      <c r="I102" s="259" t="s">
        <v>381</v>
      </c>
    </row>
    <row r="103" spans="1:9" ht="17.25" x14ac:dyDescent="0.35">
      <c r="A103" s="260" t="s">
        <v>374</v>
      </c>
      <c r="B103" s="228" t="s">
        <v>377</v>
      </c>
      <c r="C103" s="129" t="s">
        <v>40</v>
      </c>
      <c r="D103" s="128"/>
      <c r="E103" s="128"/>
      <c r="F103" s="129"/>
      <c r="G103" s="128" t="s">
        <v>162</v>
      </c>
      <c r="H103" s="261" t="s">
        <v>380</v>
      </c>
      <c r="I103" s="259" t="s">
        <v>382</v>
      </c>
    </row>
    <row r="104" spans="1:9" ht="17.25" x14ac:dyDescent="0.35">
      <c r="A104" s="262" t="s">
        <v>383</v>
      </c>
      <c r="B104" s="229" t="s">
        <v>384</v>
      </c>
      <c r="C104" s="229" t="s">
        <v>52</v>
      </c>
      <c r="D104" s="229"/>
      <c r="E104" s="229"/>
      <c r="F104" s="229"/>
      <c r="G104" s="229" t="s">
        <v>162</v>
      </c>
      <c r="H104" s="263"/>
      <c r="I104" s="264">
        <v>73529</v>
      </c>
    </row>
    <row r="105" spans="1:9" ht="17.25" x14ac:dyDescent="0.35">
      <c r="A105" s="262"/>
      <c r="B105" s="229"/>
      <c r="C105" s="229"/>
      <c r="D105" s="229" t="s">
        <v>38</v>
      </c>
      <c r="E105" s="229">
        <v>1</v>
      </c>
      <c r="F105" s="229">
        <v>1</v>
      </c>
      <c r="G105" s="229"/>
      <c r="H105" s="263"/>
      <c r="I105" s="264" t="s">
        <v>385</v>
      </c>
    </row>
    <row r="106" spans="1:9" ht="34.5" x14ac:dyDescent="0.35">
      <c r="A106" s="140" t="s">
        <v>314</v>
      </c>
      <c r="B106" s="128" t="s">
        <v>315</v>
      </c>
      <c r="C106" s="129" t="s">
        <v>52</v>
      </c>
      <c r="D106" s="129"/>
      <c r="E106" s="128"/>
      <c r="F106" s="129"/>
      <c r="G106" s="128" t="s">
        <v>162</v>
      </c>
      <c r="H106" s="134"/>
      <c r="I106" s="122">
        <v>70302</v>
      </c>
    </row>
    <row r="107" spans="1:9" s="30" customFormat="1" ht="17.25" x14ac:dyDescent="0.35">
      <c r="A107" s="140"/>
      <c r="B107" s="128"/>
      <c r="C107" s="129"/>
      <c r="D107" s="129" t="s">
        <v>38</v>
      </c>
      <c r="E107" s="128">
        <v>1</v>
      </c>
      <c r="F107" s="129">
        <v>2</v>
      </c>
      <c r="G107" s="128"/>
      <c r="H107" s="134"/>
      <c r="I107" s="122" t="s">
        <v>316</v>
      </c>
    </row>
    <row r="108" spans="1:9" ht="17.25" x14ac:dyDescent="0.35">
      <c r="A108" s="153" t="s">
        <v>283</v>
      </c>
      <c r="B108" s="104" t="s">
        <v>284</v>
      </c>
      <c r="C108" s="106" t="s">
        <v>40</v>
      </c>
      <c r="D108" s="104"/>
      <c r="E108" s="104"/>
      <c r="F108" s="106"/>
      <c r="G108" s="104" t="s">
        <v>162</v>
      </c>
      <c r="H108" s="134" t="s">
        <v>285</v>
      </c>
      <c r="I108" s="121"/>
    </row>
    <row r="109" spans="1:9" ht="17.25" x14ac:dyDescent="0.35">
      <c r="A109" s="157" t="s">
        <v>197</v>
      </c>
      <c r="B109" s="104" t="s">
        <v>198</v>
      </c>
      <c r="C109" s="106" t="s">
        <v>40</v>
      </c>
      <c r="D109" s="106"/>
      <c r="E109" s="104"/>
      <c r="F109" s="106"/>
      <c r="G109" s="104" t="s">
        <v>162</v>
      </c>
      <c r="H109" s="151" t="s">
        <v>199</v>
      </c>
      <c r="I109" s="122"/>
    </row>
    <row r="110" spans="1:9" ht="17.25" x14ac:dyDescent="0.35">
      <c r="A110" s="156" t="s">
        <v>203</v>
      </c>
      <c r="B110" s="104" t="s">
        <v>204</v>
      </c>
      <c r="C110" s="104" t="s">
        <v>40</v>
      </c>
      <c r="D110" s="104"/>
      <c r="E110" s="104"/>
      <c r="F110" s="104"/>
      <c r="G110" s="104" t="s">
        <v>162</v>
      </c>
      <c r="H110" s="151" t="s">
        <v>205</v>
      </c>
      <c r="I110" s="103">
        <v>67211</v>
      </c>
    </row>
    <row r="111" spans="1:9" ht="17.25" x14ac:dyDescent="0.35">
      <c r="A111" s="156" t="s">
        <v>291</v>
      </c>
      <c r="B111" s="104" t="s">
        <v>292</v>
      </c>
      <c r="C111" s="104" t="s">
        <v>40</v>
      </c>
      <c r="D111" s="104"/>
      <c r="E111" s="104"/>
      <c r="F111" s="104"/>
      <c r="G111" s="104" t="s">
        <v>162</v>
      </c>
      <c r="H111" s="151" t="s">
        <v>293</v>
      </c>
      <c r="I111" s="103" t="s">
        <v>294</v>
      </c>
    </row>
    <row r="112" spans="1:9" ht="17.25" x14ac:dyDescent="0.35">
      <c r="A112" s="156" t="s">
        <v>262</v>
      </c>
      <c r="B112" s="104" t="s">
        <v>263</v>
      </c>
      <c r="C112" s="104" t="s">
        <v>40</v>
      </c>
      <c r="D112" s="104"/>
      <c r="E112" s="104"/>
      <c r="F112" s="104"/>
      <c r="G112" s="104" t="s">
        <v>162</v>
      </c>
      <c r="H112" s="151" t="s">
        <v>290</v>
      </c>
      <c r="I112" s="103"/>
    </row>
    <row r="113" spans="1:13" ht="17.25" x14ac:dyDescent="0.35">
      <c r="A113" s="253" t="s">
        <v>354</v>
      </c>
      <c r="B113" s="254" t="s">
        <v>355</v>
      </c>
      <c r="C113" s="255" t="s">
        <v>52</v>
      </c>
      <c r="D113" s="255"/>
      <c r="E113" s="254"/>
      <c r="F113" s="255"/>
      <c r="G113" s="254" t="s">
        <v>162</v>
      </c>
      <c r="H113" s="256"/>
      <c r="I113" s="257">
        <v>72509</v>
      </c>
      <c r="J113" s="258"/>
      <c r="K113" s="258"/>
      <c r="L113" s="258"/>
      <c r="M113" s="258"/>
    </row>
    <row r="114" spans="1:13" ht="17.25" x14ac:dyDescent="0.35">
      <c r="A114" s="253"/>
      <c r="B114" s="254"/>
      <c r="C114" s="255"/>
      <c r="D114" s="255" t="s">
        <v>38</v>
      </c>
      <c r="E114" s="254">
        <v>1</v>
      </c>
      <c r="F114" s="255">
        <v>5</v>
      </c>
      <c r="G114" s="254"/>
      <c r="H114" s="256"/>
      <c r="I114" s="257" t="s">
        <v>356</v>
      </c>
      <c r="J114" s="258"/>
      <c r="K114" s="258"/>
      <c r="L114" s="258"/>
      <c r="M114" s="258"/>
    </row>
    <row r="115" spans="1:13" ht="17.25" x14ac:dyDescent="0.35">
      <c r="A115" s="253"/>
      <c r="B115" s="254"/>
      <c r="C115" s="255"/>
      <c r="D115" s="255" t="s">
        <v>38</v>
      </c>
      <c r="E115" s="254">
        <v>1</v>
      </c>
      <c r="F115" s="255">
        <v>0</v>
      </c>
      <c r="G115" s="254"/>
      <c r="H115" s="256"/>
      <c r="I115" s="257" t="s">
        <v>357</v>
      </c>
      <c r="J115" s="258"/>
      <c r="K115" s="258"/>
      <c r="L115" s="258"/>
      <c r="M115" s="258"/>
    </row>
    <row r="116" spans="1:13" ht="17.25" x14ac:dyDescent="0.35">
      <c r="A116" s="253"/>
      <c r="B116" s="254"/>
      <c r="C116" s="255"/>
      <c r="D116" s="255" t="s">
        <v>38</v>
      </c>
      <c r="E116" s="254">
        <v>1</v>
      </c>
      <c r="F116" s="255">
        <v>0</v>
      </c>
      <c r="G116" s="254"/>
      <c r="H116" s="256"/>
      <c r="I116" s="257" t="s">
        <v>358</v>
      </c>
      <c r="J116" s="258"/>
      <c r="K116" s="258"/>
      <c r="L116" s="258"/>
      <c r="M116" s="258"/>
    </row>
    <row r="117" spans="1:13" ht="17.25" x14ac:dyDescent="0.35">
      <c r="A117" s="253"/>
      <c r="B117" s="254"/>
      <c r="C117" s="255"/>
      <c r="D117" s="255" t="s">
        <v>38</v>
      </c>
      <c r="E117" s="254">
        <v>1</v>
      </c>
      <c r="F117" s="255">
        <v>0</v>
      </c>
      <c r="G117" s="254"/>
      <c r="H117" s="256"/>
      <c r="I117" s="257" t="s">
        <v>359</v>
      </c>
      <c r="J117" s="258"/>
      <c r="K117" s="258"/>
      <c r="L117" s="258"/>
      <c r="M117" s="258"/>
    </row>
    <row r="118" spans="1:13" ht="17.25" x14ac:dyDescent="0.35">
      <c r="A118" s="253"/>
      <c r="B118" s="254"/>
      <c r="C118" s="255"/>
      <c r="D118" s="255" t="s">
        <v>38</v>
      </c>
      <c r="E118" s="254">
        <v>1</v>
      </c>
      <c r="F118" s="255">
        <v>0</v>
      </c>
      <c r="G118" s="254"/>
      <c r="H118" s="256"/>
      <c r="I118" s="257" t="s">
        <v>360</v>
      </c>
      <c r="J118" s="258"/>
      <c r="K118" s="258"/>
      <c r="L118" s="258"/>
      <c r="M118" s="258"/>
    </row>
    <row r="119" spans="1:13" ht="17.25" x14ac:dyDescent="0.35">
      <c r="A119" s="253"/>
      <c r="B119" s="254"/>
      <c r="C119" s="255"/>
      <c r="D119" s="255" t="s">
        <v>38</v>
      </c>
      <c r="E119" s="254">
        <v>1</v>
      </c>
      <c r="F119" s="255">
        <v>0</v>
      </c>
      <c r="G119" s="254"/>
      <c r="H119" s="256"/>
      <c r="I119" s="257" t="s">
        <v>361</v>
      </c>
      <c r="J119" s="258"/>
      <c r="K119" s="258"/>
      <c r="L119" s="258"/>
      <c r="M119" s="258"/>
    </row>
    <row r="120" spans="1:13" ht="17.25" x14ac:dyDescent="0.35">
      <c r="A120" s="253"/>
      <c r="B120" s="254"/>
      <c r="C120" s="255"/>
      <c r="D120" s="255" t="s">
        <v>38</v>
      </c>
      <c r="E120" s="254">
        <v>1</v>
      </c>
      <c r="F120" s="255">
        <v>1</v>
      </c>
      <c r="G120" s="254"/>
      <c r="H120" s="256"/>
      <c r="I120" s="257" t="s">
        <v>362</v>
      </c>
      <c r="J120" s="258"/>
      <c r="K120" s="258"/>
      <c r="L120" s="258"/>
      <c r="M120" s="258"/>
    </row>
    <row r="121" spans="1:13" ht="17.25" x14ac:dyDescent="0.35">
      <c r="A121" s="253"/>
      <c r="B121" s="254"/>
      <c r="C121" s="255"/>
      <c r="D121" s="255" t="s">
        <v>38</v>
      </c>
      <c r="E121" s="254">
        <v>20</v>
      </c>
      <c r="F121" s="255"/>
      <c r="G121" s="254"/>
      <c r="H121" s="256"/>
      <c r="I121" s="257" t="s">
        <v>363</v>
      </c>
      <c r="J121" s="258"/>
      <c r="K121" s="258"/>
      <c r="L121" s="258"/>
      <c r="M121" s="258"/>
    </row>
    <row r="122" spans="1:13" ht="18" thickBot="1" x14ac:dyDescent="0.4">
      <c r="A122" s="161"/>
      <c r="B122" s="162"/>
      <c r="C122" s="162"/>
      <c r="D122" s="163"/>
      <c r="E122" s="164"/>
      <c r="F122" s="162"/>
      <c r="G122" s="163"/>
      <c r="H122" s="165"/>
      <c r="I122" s="160"/>
    </row>
    <row r="123" spans="1:13" ht="13.5" thickBot="1" x14ac:dyDescent="0.25">
      <c r="A123" s="47"/>
      <c r="B123" s="47"/>
    </row>
    <row r="124" spans="1:13" ht="19.5" x14ac:dyDescent="0.4">
      <c r="A124" s="333" t="s">
        <v>55</v>
      </c>
      <c r="B124" s="334"/>
      <c r="C124" s="334"/>
      <c r="D124" s="334"/>
      <c r="E124" s="334"/>
      <c r="F124" s="334"/>
      <c r="G124" s="334"/>
      <c r="H124" s="335"/>
    </row>
    <row r="125" spans="1:13" ht="17.25" x14ac:dyDescent="0.35">
      <c r="A125" s="34" t="s">
        <v>72</v>
      </c>
      <c r="B125" s="34"/>
      <c r="C125" s="35" t="s">
        <v>35</v>
      </c>
      <c r="D125" s="34" t="s">
        <v>73</v>
      </c>
      <c r="E125" s="34" t="s">
        <v>74</v>
      </c>
      <c r="F125" s="35" t="s">
        <v>75</v>
      </c>
      <c r="G125" s="34" t="s">
        <v>43</v>
      </c>
      <c r="H125" s="36"/>
    </row>
    <row r="126" spans="1:13" ht="17.25" x14ac:dyDescent="0.35">
      <c r="A126" s="34" t="s">
        <v>71</v>
      </c>
      <c r="B126" s="34"/>
      <c r="C126" s="46" t="s">
        <v>56</v>
      </c>
      <c r="D126" s="45"/>
      <c r="E126" s="45"/>
      <c r="F126" s="46"/>
      <c r="G126" s="45" t="s">
        <v>23</v>
      </c>
      <c r="H126" s="36"/>
    </row>
    <row r="127" spans="1:13" ht="17.25" x14ac:dyDescent="0.35">
      <c r="A127" s="34" t="s">
        <v>57</v>
      </c>
      <c r="B127" s="34"/>
      <c r="C127" s="46"/>
      <c r="D127" s="45" t="s">
        <v>38</v>
      </c>
      <c r="E127" s="45">
        <v>1</v>
      </c>
      <c r="F127" s="46">
        <v>0</v>
      </c>
      <c r="G127" s="45"/>
      <c r="H127" s="36"/>
    </row>
    <row r="128" spans="1:13" ht="17.25" x14ac:dyDescent="0.35">
      <c r="A128" s="34" t="s">
        <v>58</v>
      </c>
      <c r="B128" s="34"/>
      <c r="C128" s="46"/>
      <c r="D128" s="45" t="s">
        <v>38</v>
      </c>
      <c r="E128" s="45">
        <v>2</v>
      </c>
      <c r="F128" s="46">
        <v>2</v>
      </c>
      <c r="G128" s="45"/>
      <c r="H128" s="36"/>
    </row>
    <row r="129" spans="1:9" ht="17.25" x14ac:dyDescent="0.35">
      <c r="A129" s="34" t="s">
        <v>59</v>
      </c>
      <c r="B129" s="34"/>
      <c r="C129" s="46"/>
      <c r="D129" s="45" t="s">
        <v>38</v>
      </c>
      <c r="E129" s="45">
        <v>2</v>
      </c>
      <c r="F129" s="46" t="s">
        <v>76</v>
      </c>
      <c r="G129" s="45"/>
      <c r="H129" s="36"/>
    </row>
    <row r="130" spans="1:9" ht="17.25" x14ac:dyDescent="0.35">
      <c r="A130" s="34" t="s">
        <v>60</v>
      </c>
      <c r="B130" s="34"/>
      <c r="C130" s="46"/>
      <c r="D130" s="45" t="s">
        <v>38</v>
      </c>
      <c r="E130" s="45">
        <v>1</v>
      </c>
      <c r="F130" s="46" t="s">
        <v>4</v>
      </c>
      <c r="G130" s="45"/>
      <c r="H130" s="36"/>
    </row>
    <row r="131" spans="1:9" ht="17.25" x14ac:dyDescent="0.35">
      <c r="A131" s="34" t="s">
        <v>61</v>
      </c>
      <c r="B131" s="34"/>
      <c r="C131" s="46"/>
      <c r="D131" s="45" t="s">
        <v>38</v>
      </c>
      <c r="E131" s="45">
        <v>2</v>
      </c>
      <c r="F131" s="46">
        <v>4</v>
      </c>
      <c r="G131" s="45"/>
      <c r="H131" s="36"/>
    </row>
    <row r="132" spans="1:9" ht="17.25" x14ac:dyDescent="0.35">
      <c r="A132" s="37" t="s">
        <v>62</v>
      </c>
      <c r="B132" s="37"/>
      <c r="C132" s="26"/>
      <c r="D132" s="29" t="s">
        <v>38</v>
      </c>
      <c r="E132" s="29">
        <f>F131</f>
        <v>4</v>
      </c>
      <c r="F132" s="25" t="s">
        <v>979</v>
      </c>
      <c r="G132" s="29"/>
      <c r="H132" s="38"/>
      <c r="I132" s="30"/>
    </row>
    <row r="133" spans="1:9" ht="17.25" x14ac:dyDescent="0.35">
      <c r="A133" s="34" t="s">
        <v>63</v>
      </c>
      <c r="B133" s="34"/>
      <c r="C133" s="46"/>
      <c r="D133" s="45" t="s">
        <v>38</v>
      </c>
      <c r="E133" s="45">
        <v>1</v>
      </c>
      <c r="F133" s="46" t="s">
        <v>5</v>
      </c>
      <c r="G133" s="45"/>
      <c r="H133" s="36"/>
    </row>
    <row r="134" spans="1:9" ht="17.25" x14ac:dyDescent="0.35">
      <c r="A134" s="34" t="s">
        <v>64</v>
      </c>
      <c r="B134" s="34"/>
      <c r="C134" s="46"/>
      <c r="D134" s="45" t="s">
        <v>38</v>
      </c>
      <c r="E134" s="45">
        <v>2</v>
      </c>
      <c r="F134" s="46">
        <f>LEN(F135)</f>
        <v>24</v>
      </c>
      <c r="G134" s="45"/>
      <c r="H134" s="36"/>
    </row>
    <row r="135" spans="1:9" ht="17.25" x14ac:dyDescent="0.35">
      <c r="A135" s="34" t="s">
        <v>65</v>
      </c>
      <c r="B135" s="34"/>
      <c r="C135" s="46"/>
      <c r="D135" s="45" t="s">
        <v>39</v>
      </c>
      <c r="E135" s="45">
        <f>F134</f>
        <v>24</v>
      </c>
      <c r="F135" s="46" t="s">
        <v>274</v>
      </c>
      <c r="G135" s="45"/>
      <c r="H135" s="36" t="s">
        <v>138</v>
      </c>
    </row>
    <row r="136" spans="1:9" ht="17.25" x14ac:dyDescent="0.35">
      <c r="A136" s="34" t="s">
        <v>66</v>
      </c>
      <c r="B136" s="34"/>
      <c r="C136" s="46"/>
      <c r="D136" s="45" t="s">
        <v>38</v>
      </c>
      <c r="E136" s="45">
        <v>1</v>
      </c>
      <c r="F136" s="46" t="s">
        <v>77</v>
      </c>
      <c r="G136" s="45"/>
      <c r="H136" s="36"/>
    </row>
    <row r="137" spans="1:9" ht="17.25" x14ac:dyDescent="0.35">
      <c r="A137" s="98" t="s">
        <v>67</v>
      </c>
      <c r="B137" s="98"/>
      <c r="C137" s="99"/>
      <c r="D137" s="100" t="s">
        <v>38</v>
      </c>
      <c r="E137" s="100">
        <v>2</v>
      </c>
      <c r="F137" s="99">
        <f>SUM(E138:E139)+E140*F139</f>
        <v>14</v>
      </c>
      <c r="G137" s="29"/>
      <c r="H137" s="38"/>
    </row>
    <row r="138" spans="1:9" ht="17.25" x14ac:dyDescent="0.35">
      <c r="A138" s="34" t="s">
        <v>68</v>
      </c>
      <c r="B138" s="34"/>
      <c r="C138" s="46"/>
      <c r="D138" s="45" t="s">
        <v>38</v>
      </c>
      <c r="E138" s="45">
        <v>1</v>
      </c>
      <c r="F138" s="46">
        <v>0</v>
      </c>
      <c r="G138" s="45"/>
      <c r="H138" s="36"/>
    </row>
    <row r="139" spans="1:9" ht="17.25" x14ac:dyDescent="0.35">
      <c r="A139" s="34" t="s">
        <v>69</v>
      </c>
      <c r="B139" s="34"/>
      <c r="C139" s="46"/>
      <c r="D139" s="45" t="s">
        <v>38</v>
      </c>
      <c r="E139" s="45">
        <v>1</v>
      </c>
      <c r="F139" s="46">
        <f>LEN(F140)-LEN(SUBSTITUTE(F140,",",""))+1</f>
        <v>3</v>
      </c>
      <c r="G139" s="45"/>
      <c r="H139" s="36"/>
    </row>
    <row r="140" spans="1:9" ht="17.25" x14ac:dyDescent="0.35">
      <c r="A140" s="34" t="s">
        <v>70</v>
      </c>
      <c r="B140" s="34"/>
      <c r="C140" s="46"/>
      <c r="D140" s="45" t="s">
        <v>46</v>
      </c>
      <c r="E140" s="45">
        <v>4</v>
      </c>
      <c r="F140" s="46" t="s">
        <v>329</v>
      </c>
      <c r="G140" s="45"/>
      <c r="H140" s="36"/>
    </row>
    <row r="141" spans="1:9" ht="17.25" x14ac:dyDescent="0.35">
      <c r="A141" s="34" t="s">
        <v>213</v>
      </c>
      <c r="B141" s="34"/>
      <c r="C141" s="46"/>
      <c r="D141" s="45" t="s">
        <v>38</v>
      </c>
      <c r="E141" s="45">
        <v>1</v>
      </c>
      <c r="F141" s="46" t="s">
        <v>171</v>
      </c>
      <c r="G141" s="45"/>
      <c r="H141" s="36"/>
    </row>
    <row r="142" spans="1:9" ht="17.25" x14ac:dyDescent="0.35">
      <c r="A142" s="34" t="s">
        <v>214</v>
      </c>
      <c r="B142" s="34"/>
      <c r="C142" s="46"/>
      <c r="D142" s="45" t="s">
        <v>38</v>
      </c>
      <c r="E142" s="45">
        <v>2</v>
      </c>
      <c r="F142" s="46">
        <v>4</v>
      </c>
      <c r="G142" s="45"/>
      <c r="H142" s="36"/>
    </row>
    <row r="143" spans="1:9" ht="17.25" x14ac:dyDescent="0.35">
      <c r="A143" s="37" t="s">
        <v>215</v>
      </c>
      <c r="B143" s="37"/>
      <c r="C143" s="26"/>
      <c r="D143" s="29" t="s">
        <v>38</v>
      </c>
      <c r="E143" s="29">
        <v>4</v>
      </c>
      <c r="F143" s="97" t="str">
        <f>$F$132</f>
        <v>0x05011521</v>
      </c>
      <c r="G143" s="29"/>
      <c r="H143" s="38"/>
    </row>
    <row r="144" spans="1:9" ht="17.25" x14ac:dyDescent="0.35">
      <c r="A144" s="34" t="s">
        <v>297</v>
      </c>
      <c r="B144" s="34"/>
      <c r="C144" s="46"/>
      <c r="D144" s="45" t="s">
        <v>38</v>
      </c>
      <c r="E144" s="45">
        <v>1</v>
      </c>
      <c r="F144" s="46" t="s">
        <v>161</v>
      </c>
      <c r="G144" s="45"/>
      <c r="H144" s="36"/>
    </row>
    <row r="145" spans="1:8" ht="17.25" x14ac:dyDescent="0.35">
      <c r="A145" s="34" t="s">
        <v>298</v>
      </c>
      <c r="B145" s="34"/>
      <c r="C145" s="46"/>
      <c r="D145" s="45" t="s">
        <v>38</v>
      </c>
      <c r="E145" s="45">
        <v>2</v>
      </c>
      <c r="F145" s="46">
        <f>2+F147*E148*2</f>
        <v>10</v>
      </c>
      <c r="G145" s="45"/>
      <c r="H145" s="36"/>
    </row>
    <row r="146" spans="1:8" ht="17.25" x14ac:dyDescent="0.35">
      <c r="A146" s="34" t="s">
        <v>299</v>
      </c>
      <c r="B146" s="34"/>
      <c r="C146" s="46"/>
      <c r="D146" s="45" t="s">
        <v>38</v>
      </c>
      <c r="E146" s="45">
        <v>1</v>
      </c>
      <c r="F146" s="46">
        <v>0</v>
      </c>
      <c r="G146" s="45"/>
      <c r="H146" s="36" t="s">
        <v>300</v>
      </c>
    </row>
    <row r="147" spans="1:8" ht="17.25" x14ac:dyDescent="0.35">
      <c r="A147" s="34" t="s">
        <v>301</v>
      </c>
      <c r="B147" s="34"/>
      <c r="C147" s="46"/>
      <c r="D147" s="45" t="s">
        <v>38</v>
      </c>
      <c r="E147" s="45">
        <v>1</v>
      </c>
      <c r="F147" s="46">
        <f>SUM(LEN(F148)-LEN(SUBSTITUTE(F148,"-","")))</f>
        <v>2</v>
      </c>
      <c r="G147" s="45"/>
      <c r="H147" s="36" t="s">
        <v>302</v>
      </c>
    </row>
    <row r="148" spans="1:8" ht="17.25" x14ac:dyDescent="0.35">
      <c r="A148" s="98" t="s">
        <v>303</v>
      </c>
      <c r="B148" s="98"/>
      <c r="C148" s="99"/>
      <c r="D148" s="100" t="s">
        <v>46</v>
      </c>
      <c r="E148" s="100">
        <v>2</v>
      </c>
      <c r="F148" s="99" t="s">
        <v>309</v>
      </c>
      <c r="G148" s="29"/>
      <c r="H148" s="38"/>
    </row>
    <row r="149" spans="1:8" ht="17.25" x14ac:dyDescent="0.35">
      <c r="A149" s="322" t="s">
        <v>336</v>
      </c>
      <c r="B149" s="322"/>
      <c r="C149" s="323"/>
      <c r="D149" s="324" t="s">
        <v>38</v>
      </c>
      <c r="E149" s="324">
        <v>1</v>
      </c>
      <c r="F149" s="327" t="s">
        <v>337</v>
      </c>
      <c r="G149" s="324"/>
      <c r="H149" s="326"/>
    </row>
    <row r="150" spans="1:8" ht="17.25" x14ac:dyDescent="0.35">
      <c r="A150" s="322" t="s">
        <v>338</v>
      </c>
      <c r="B150" s="322"/>
      <c r="C150" s="323"/>
      <c r="D150" s="324" t="s">
        <v>38</v>
      </c>
      <c r="E150" s="324">
        <v>2</v>
      </c>
      <c r="F150" s="325">
        <v>4</v>
      </c>
      <c r="G150" s="324"/>
      <c r="H150" s="326"/>
    </row>
    <row r="151" spans="1:8" ht="138" x14ac:dyDescent="0.35">
      <c r="A151" s="322" t="s">
        <v>339</v>
      </c>
      <c r="B151" s="322"/>
      <c r="C151" s="323"/>
      <c r="D151" s="324" t="s">
        <v>38</v>
      </c>
      <c r="E151" s="324">
        <v>4</v>
      </c>
      <c r="F151" s="327" t="s">
        <v>343</v>
      </c>
      <c r="G151" s="324"/>
      <c r="H151" s="326" t="s">
        <v>341</v>
      </c>
    </row>
  </sheetData>
  <mergeCells count="3">
    <mergeCell ref="A2:I2"/>
    <mergeCell ref="A4:H4"/>
    <mergeCell ref="A124:H12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autoPageBreaks="0"/>
  </sheetPr>
  <dimension ref="A2:K670"/>
  <sheetViews>
    <sheetView topLeftCell="C644" zoomScale="85" zoomScaleNormal="85" workbookViewId="0">
      <selection activeCell="F664" sqref="F664"/>
    </sheetView>
  </sheetViews>
  <sheetFormatPr defaultColWidth="9.140625" defaultRowHeight="12.75" x14ac:dyDescent="0.2"/>
  <cols>
    <col min="1" max="1" width="35.42578125" style="42" customWidth="1"/>
    <col min="2" max="2" width="52.28515625" style="42" customWidth="1"/>
    <col min="3" max="3" width="13.7109375" style="43" bestFit="1" customWidth="1"/>
    <col min="4" max="4" width="13.85546875" style="42" bestFit="1" customWidth="1"/>
    <col min="5" max="5" width="39.7109375" style="42" customWidth="1"/>
    <col min="6" max="6" width="47.5703125" style="43" customWidth="1"/>
    <col min="7" max="7" width="10.42578125" style="42" bestFit="1" customWidth="1"/>
    <col min="8" max="8" width="84" style="44" customWidth="1"/>
    <col min="9" max="9" width="46.140625" style="42" customWidth="1"/>
    <col min="10" max="10" width="19.28515625" style="42" customWidth="1"/>
    <col min="11" max="16384" width="9.140625" style="42"/>
  </cols>
  <sheetData>
    <row r="2" spans="1:9" s="8" customFormat="1" ht="27.75" x14ac:dyDescent="0.55000000000000004">
      <c r="A2" s="329" t="s">
        <v>140</v>
      </c>
      <c r="B2" s="329"/>
      <c r="C2" s="329"/>
      <c r="D2" s="329"/>
      <c r="E2" s="329"/>
      <c r="F2" s="329"/>
      <c r="G2" s="329"/>
      <c r="H2" s="329"/>
      <c r="I2" s="329"/>
    </row>
    <row r="3" spans="1:9" ht="13.5" thickBot="1" x14ac:dyDescent="0.25">
      <c r="A3" s="47"/>
    </row>
    <row r="4" spans="1:9" s="57" customFormat="1" ht="20.25" thickBot="1" x14ac:dyDescent="0.45">
      <c r="A4" s="330" t="s">
        <v>152</v>
      </c>
      <c r="B4" s="331"/>
      <c r="C4" s="331"/>
      <c r="D4" s="331"/>
      <c r="E4" s="331"/>
      <c r="F4" s="331"/>
      <c r="G4" s="331"/>
      <c r="H4" s="332"/>
    </row>
    <row r="5" spans="1:9" s="1" customFormat="1" ht="15.75" thickBot="1" x14ac:dyDescent="0.35">
      <c r="A5" s="265" t="s">
        <v>8</v>
      </c>
      <c r="B5" s="266" t="s">
        <v>7</v>
      </c>
      <c r="C5" s="265" t="s">
        <v>35</v>
      </c>
      <c r="D5" s="265" t="s">
        <v>36</v>
      </c>
      <c r="E5" s="265" t="s">
        <v>9</v>
      </c>
      <c r="F5" s="265" t="s">
        <v>37</v>
      </c>
      <c r="G5" s="267" t="s">
        <v>43</v>
      </c>
      <c r="H5" s="268" t="s">
        <v>10</v>
      </c>
    </row>
    <row r="6" spans="1:9" s="66" customFormat="1" ht="15" x14ac:dyDescent="0.3">
      <c r="A6" s="269" t="s">
        <v>12</v>
      </c>
      <c r="B6" s="270">
        <v>71</v>
      </c>
      <c r="C6" s="270"/>
      <c r="D6" s="270"/>
      <c r="E6" s="271" t="s">
        <v>13</v>
      </c>
      <c r="F6" s="270"/>
      <c r="G6" s="270" t="s">
        <v>162</v>
      </c>
      <c r="H6" s="272" t="s">
        <v>6</v>
      </c>
    </row>
    <row r="7" spans="1:9" s="66" customFormat="1" ht="15" x14ac:dyDescent="0.3">
      <c r="A7" s="273"/>
      <c r="B7" s="274"/>
      <c r="C7" s="274" t="s">
        <v>39</v>
      </c>
      <c r="D7" s="274">
        <v>13</v>
      </c>
      <c r="E7" s="275" t="s">
        <v>14</v>
      </c>
      <c r="F7" s="274" t="s">
        <v>388</v>
      </c>
      <c r="G7" s="274"/>
      <c r="H7" s="276"/>
    </row>
    <row r="8" spans="1:9" s="66" customFormat="1" ht="15" x14ac:dyDescent="0.3">
      <c r="A8" s="273" t="s">
        <v>79</v>
      </c>
      <c r="B8" s="274">
        <v>848</v>
      </c>
      <c r="C8" s="274"/>
      <c r="D8" s="274"/>
      <c r="E8" s="275"/>
      <c r="F8" s="274"/>
      <c r="G8" s="274" t="s">
        <v>163</v>
      </c>
      <c r="H8" s="276"/>
    </row>
    <row r="9" spans="1:9" s="66" customFormat="1" ht="15" x14ac:dyDescent="0.3">
      <c r="A9" s="273"/>
      <c r="B9" s="274"/>
      <c r="C9" s="274" t="s">
        <v>38</v>
      </c>
      <c r="D9" s="274">
        <v>1</v>
      </c>
      <c r="E9" s="275" t="s">
        <v>11</v>
      </c>
      <c r="F9" s="274">
        <v>0</v>
      </c>
      <c r="G9" s="274"/>
      <c r="H9" s="276"/>
    </row>
    <row r="10" spans="1:9" s="66" customFormat="1" ht="25.5" x14ac:dyDescent="0.3">
      <c r="A10" s="273"/>
      <c r="B10" s="274"/>
      <c r="C10" s="274" t="s">
        <v>38</v>
      </c>
      <c r="D10" s="274">
        <v>2</v>
      </c>
      <c r="E10" s="275" t="s">
        <v>80</v>
      </c>
      <c r="F10" s="274">
        <v>2</v>
      </c>
      <c r="G10" s="274"/>
      <c r="H10" s="276" t="s">
        <v>81</v>
      </c>
    </row>
    <row r="11" spans="1:9" s="66" customFormat="1" ht="15" x14ac:dyDescent="0.3">
      <c r="A11" s="273" t="s">
        <v>82</v>
      </c>
      <c r="B11" s="274">
        <v>849</v>
      </c>
      <c r="C11" s="274"/>
      <c r="D11" s="274"/>
      <c r="E11" s="275"/>
      <c r="F11" s="274"/>
      <c r="G11" s="274" t="s">
        <v>163</v>
      </c>
      <c r="H11" s="276"/>
    </row>
    <row r="12" spans="1:9" s="66" customFormat="1" ht="15" x14ac:dyDescent="0.3">
      <c r="A12" s="273"/>
      <c r="B12" s="274"/>
      <c r="C12" s="274" t="s">
        <v>38</v>
      </c>
      <c r="D12" s="274">
        <v>1</v>
      </c>
      <c r="E12" s="275" t="s">
        <v>11</v>
      </c>
      <c r="F12" s="274">
        <v>0</v>
      </c>
      <c r="G12" s="274"/>
      <c r="H12" s="276"/>
    </row>
    <row r="13" spans="1:9" s="66" customFormat="1" ht="25.5" x14ac:dyDescent="0.3">
      <c r="A13" s="273"/>
      <c r="B13" s="274"/>
      <c r="C13" s="274" t="s">
        <v>38</v>
      </c>
      <c r="D13" s="274">
        <v>2</v>
      </c>
      <c r="E13" s="275" t="s">
        <v>83</v>
      </c>
      <c r="F13" s="274">
        <v>0</v>
      </c>
      <c r="G13" s="274"/>
      <c r="H13" s="276" t="s">
        <v>84</v>
      </c>
    </row>
    <row r="14" spans="1:9" s="66" customFormat="1" ht="15" x14ac:dyDescent="0.3">
      <c r="A14" s="273" t="s">
        <v>194</v>
      </c>
      <c r="B14" s="274">
        <v>1930</v>
      </c>
      <c r="C14" s="274" t="s">
        <v>38</v>
      </c>
      <c r="D14" s="274">
        <v>1</v>
      </c>
      <c r="E14" s="275" t="s">
        <v>195</v>
      </c>
      <c r="F14" s="274">
        <v>2</v>
      </c>
      <c r="G14" s="274" t="s">
        <v>162</v>
      </c>
      <c r="H14" s="276" t="s">
        <v>196</v>
      </c>
    </row>
    <row r="15" spans="1:9" s="66" customFormat="1" ht="15" x14ac:dyDescent="0.3">
      <c r="A15" s="273" t="s">
        <v>17</v>
      </c>
      <c r="B15" s="274">
        <v>1920</v>
      </c>
      <c r="C15" s="274" t="s">
        <v>38</v>
      </c>
      <c r="D15" s="274">
        <v>4</v>
      </c>
      <c r="E15" s="275" t="s">
        <v>18</v>
      </c>
      <c r="F15" s="274" t="s">
        <v>221</v>
      </c>
      <c r="G15" s="274" t="s">
        <v>162</v>
      </c>
      <c r="H15" s="276" t="s">
        <v>17</v>
      </c>
    </row>
    <row r="16" spans="1:9" s="66" customFormat="1" ht="15" x14ac:dyDescent="0.3">
      <c r="A16" s="273" t="s">
        <v>222</v>
      </c>
      <c r="B16" s="274">
        <v>452</v>
      </c>
      <c r="C16" s="274" t="s">
        <v>38</v>
      </c>
      <c r="D16" s="274">
        <v>4</v>
      </c>
      <c r="E16" s="275" t="s">
        <v>223</v>
      </c>
      <c r="F16" s="274">
        <v>0</v>
      </c>
      <c r="G16" s="274" t="s">
        <v>162</v>
      </c>
      <c r="H16" s="276" t="s">
        <v>222</v>
      </c>
    </row>
    <row r="17" spans="1:8" s="66" customFormat="1" ht="15" x14ac:dyDescent="0.3">
      <c r="A17" s="273" t="s">
        <v>224</v>
      </c>
      <c r="B17" s="274">
        <v>3758</v>
      </c>
      <c r="C17" s="274" t="s">
        <v>38</v>
      </c>
      <c r="D17" s="274">
        <v>1</v>
      </c>
      <c r="E17" s="275" t="s">
        <v>225</v>
      </c>
      <c r="F17" s="274">
        <v>1</v>
      </c>
      <c r="G17" s="274" t="s">
        <v>162</v>
      </c>
      <c r="H17" s="276" t="s">
        <v>224</v>
      </c>
    </row>
    <row r="18" spans="1:8" s="66" customFormat="1" ht="15" x14ac:dyDescent="0.3">
      <c r="A18" s="273" t="s">
        <v>226</v>
      </c>
      <c r="B18" s="274">
        <v>6789</v>
      </c>
      <c r="C18" s="274" t="s">
        <v>38</v>
      </c>
      <c r="D18" s="274">
        <v>1</v>
      </c>
      <c r="E18" s="275" t="s">
        <v>227</v>
      </c>
      <c r="F18" s="274" t="s">
        <v>228</v>
      </c>
      <c r="G18" s="274" t="s">
        <v>162</v>
      </c>
      <c r="H18" s="276" t="s">
        <v>226</v>
      </c>
    </row>
    <row r="19" spans="1:8" s="66" customFormat="1" ht="25.5" x14ac:dyDescent="0.3">
      <c r="A19" s="273" t="s">
        <v>229</v>
      </c>
      <c r="B19" s="274">
        <v>6790</v>
      </c>
      <c r="C19" s="274" t="s">
        <v>38</v>
      </c>
      <c r="D19" s="274">
        <v>2</v>
      </c>
      <c r="E19" s="275" t="s">
        <v>230</v>
      </c>
      <c r="F19" s="274">
        <v>0</v>
      </c>
      <c r="G19" s="274" t="s">
        <v>162</v>
      </c>
      <c r="H19" s="276" t="s">
        <v>229</v>
      </c>
    </row>
    <row r="20" spans="1:8" s="66" customFormat="1" ht="15" x14ac:dyDescent="0.3">
      <c r="A20" s="273" t="s">
        <v>231</v>
      </c>
      <c r="B20" s="274">
        <v>4707</v>
      </c>
      <c r="C20" s="274" t="s">
        <v>38</v>
      </c>
      <c r="D20" s="274">
        <v>1</v>
      </c>
      <c r="E20" s="275" t="s">
        <v>232</v>
      </c>
      <c r="F20" s="274">
        <v>1</v>
      </c>
      <c r="G20" s="274" t="s">
        <v>162</v>
      </c>
      <c r="H20" s="276" t="s">
        <v>231</v>
      </c>
    </row>
    <row r="21" spans="1:8" s="66" customFormat="1" ht="15" x14ac:dyDescent="0.3">
      <c r="A21" s="273" t="s">
        <v>233</v>
      </c>
      <c r="B21" s="274">
        <v>3520</v>
      </c>
      <c r="C21" s="274" t="s">
        <v>38</v>
      </c>
      <c r="D21" s="274">
        <v>2</v>
      </c>
      <c r="E21" s="275" t="s">
        <v>234</v>
      </c>
      <c r="F21" s="274" t="s">
        <v>158</v>
      </c>
      <c r="G21" s="274" t="s">
        <v>162</v>
      </c>
      <c r="H21" s="276" t="s">
        <v>233</v>
      </c>
    </row>
    <row r="22" spans="1:8" s="66" customFormat="1" ht="15" x14ac:dyDescent="0.3">
      <c r="A22" s="273" t="s">
        <v>235</v>
      </c>
      <c r="B22" s="274">
        <v>4927</v>
      </c>
      <c r="C22" s="274" t="s">
        <v>38</v>
      </c>
      <c r="D22" s="274">
        <v>1</v>
      </c>
      <c r="E22" s="275" t="s">
        <v>236</v>
      </c>
      <c r="F22" s="274">
        <v>1</v>
      </c>
      <c r="G22" s="274" t="s">
        <v>162</v>
      </c>
      <c r="H22" s="276" t="s">
        <v>235</v>
      </c>
    </row>
    <row r="23" spans="1:8" s="66" customFormat="1" ht="15" x14ac:dyDescent="0.3">
      <c r="A23" s="273" t="s">
        <v>237</v>
      </c>
      <c r="B23" s="274">
        <v>4627</v>
      </c>
      <c r="C23" s="274" t="s">
        <v>38</v>
      </c>
      <c r="D23" s="274">
        <v>1</v>
      </c>
      <c r="E23" s="275" t="s">
        <v>238</v>
      </c>
      <c r="F23" s="274">
        <v>1</v>
      </c>
      <c r="G23" s="274" t="s">
        <v>162</v>
      </c>
      <c r="H23" s="276" t="s">
        <v>237</v>
      </c>
    </row>
    <row r="24" spans="1:8" s="66" customFormat="1" ht="15" x14ac:dyDescent="0.3">
      <c r="A24" s="273" t="s">
        <v>239</v>
      </c>
      <c r="B24" s="274">
        <v>4628</v>
      </c>
      <c r="C24" s="274" t="s">
        <v>38</v>
      </c>
      <c r="D24" s="274">
        <v>2</v>
      </c>
      <c r="E24" s="275" t="s">
        <v>240</v>
      </c>
      <c r="F24" s="274">
        <v>24</v>
      </c>
      <c r="G24" s="274" t="s">
        <v>162</v>
      </c>
      <c r="H24" s="276" t="s">
        <v>239</v>
      </c>
    </row>
    <row r="25" spans="1:8" s="66" customFormat="1" ht="25.5" x14ac:dyDescent="0.3">
      <c r="A25" s="273" t="s">
        <v>241</v>
      </c>
      <c r="B25" s="274">
        <v>4629</v>
      </c>
      <c r="C25" s="274" t="s">
        <v>38</v>
      </c>
      <c r="D25" s="274">
        <v>1</v>
      </c>
      <c r="E25" s="275" t="s">
        <v>242</v>
      </c>
      <c r="F25" s="274">
        <v>3</v>
      </c>
      <c r="G25" s="274" t="s">
        <v>162</v>
      </c>
      <c r="H25" s="276" t="s">
        <v>241</v>
      </c>
    </row>
    <row r="26" spans="1:8" s="66" customFormat="1" ht="25.5" x14ac:dyDescent="0.3">
      <c r="A26" s="273" t="s">
        <v>243</v>
      </c>
      <c r="B26" s="274">
        <v>4703</v>
      </c>
      <c r="C26" s="274" t="s">
        <v>39</v>
      </c>
      <c r="D26" s="274">
        <v>128</v>
      </c>
      <c r="E26" s="275" t="s">
        <v>244</v>
      </c>
      <c r="F26" s="274" t="s">
        <v>245</v>
      </c>
      <c r="G26" s="274" t="s">
        <v>162</v>
      </c>
      <c r="H26" s="276" t="s">
        <v>246</v>
      </c>
    </row>
    <row r="27" spans="1:8" s="66" customFormat="1" ht="15" x14ac:dyDescent="0.3">
      <c r="A27" s="273" t="s">
        <v>247</v>
      </c>
      <c r="B27" s="274">
        <v>6792</v>
      </c>
      <c r="C27" s="274" t="s">
        <v>38</v>
      </c>
      <c r="D27" s="274">
        <v>4</v>
      </c>
      <c r="E27" s="275" t="s">
        <v>248</v>
      </c>
      <c r="F27" s="274" t="s">
        <v>141</v>
      </c>
      <c r="G27" s="274" t="s">
        <v>162</v>
      </c>
      <c r="H27" s="276" t="s">
        <v>249</v>
      </c>
    </row>
    <row r="28" spans="1:8" s="66" customFormat="1" ht="25.5" x14ac:dyDescent="0.3">
      <c r="A28" s="273" t="s">
        <v>250</v>
      </c>
      <c r="B28" s="274">
        <v>4630</v>
      </c>
      <c r="C28" s="274" t="s">
        <v>38</v>
      </c>
      <c r="D28" s="274">
        <v>1</v>
      </c>
      <c r="E28" s="275" t="s">
        <v>251</v>
      </c>
      <c r="F28" s="274">
        <v>10</v>
      </c>
      <c r="G28" s="274" t="s">
        <v>162</v>
      </c>
      <c r="H28" s="276" t="s">
        <v>250</v>
      </c>
    </row>
    <row r="29" spans="1:8" s="66" customFormat="1" ht="25.5" x14ac:dyDescent="0.3">
      <c r="A29" s="273" t="s">
        <v>252</v>
      </c>
      <c r="B29" s="274">
        <v>4631</v>
      </c>
      <c r="C29" s="274" t="s">
        <v>38</v>
      </c>
      <c r="D29" s="274">
        <v>1</v>
      </c>
      <c r="E29" s="275" t="s">
        <v>253</v>
      </c>
      <c r="F29" s="274">
        <v>0</v>
      </c>
      <c r="G29" s="274" t="s">
        <v>162</v>
      </c>
      <c r="H29" s="276" t="s">
        <v>252</v>
      </c>
    </row>
    <row r="30" spans="1:8" s="66" customFormat="1" ht="15" x14ac:dyDescent="0.3">
      <c r="A30" s="273" t="s">
        <v>49</v>
      </c>
      <c r="B30" s="274">
        <v>880</v>
      </c>
      <c r="C30" s="274" t="s">
        <v>38</v>
      </c>
      <c r="D30" s="274">
        <v>1</v>
      </c>
      <c r="E30" s="275" t="s">
        <v>85</v>
      </c>
      <c r="F30" s="274" t="s">
        <v>4</v>
      </c>
      <c r="G30" s="274" t="s">
        <v>162</v>
      </c>
      <c r="H30" s="276"/>
    </row>
    <row r="31" spans="1:8" s="66" customFormat="1" ht="15" x14ac:dyDescent="0.3">
      <c r="A31" s="273" t="s">
        <v>50</v>
      </c>
      <c r="B31" s="274">
        <v>881</v>
      </c>
      <c r="C31" s="274" t="s">
        <v>38</v>
      </c>
      <c r="D31" s="274">
        <v>1</v>
      </c>
      <c r="E31" s="275" t="s">
        <v>86</v>
      </c>
      <c r="F31" s="274" t="s">
        <v>4</v>
      </c>
      <c r="G31" s="274" t="s">
        <v>162</v>
      </c>
      <c r="H31" s="276"/>
    </row>
    <row r="32" spans="1:8" s="66" customFormat="1" ht="15" x14ac:dyDescent="0.3">
      <c r="A32" s="273" t="s">
        <v>51</v>
      </c>
      <c r="B32" s="274">
        <v>882</v>
      </c>
      <c r="C32" s="274" t="s">
        <v>38</v>
      </c>
      <c r="D32" s="274">
        <v>1</v>
      </c>
      <c r="E32" s="275" t="s">
        <v>87</v>
      </c>
      <c r="F32" s="274" t="s">
        <v>23</v>
      </c>
      <c r="G32" s="274" t="s">
        <v>162</v>
      </c>
      <c r="H32" s="276"/>
    </row>
    <row r="33" spans="1:8" s="66" customFormat="1" ht="25.5" x14ac:dyDescent="0.3">
      <c r="A33" s="273" t="s">
        <v>88</v>
      </c>
      <c r="B33" s="274">
        <v>896</v>
      </c>
      <c r="C33" s="274" t="s">
        <v>38</v>
      </c>
      <c r="D33" s="274">
        <v>2</v>
      </c>
      <c r="E33" s="275" t="s">
        <v>89</v>
      </c>
      <c r="F33" s="274">
        <v>1</v>
      </c>
      <c r="G33" s="274" t="s">
        <v>162</v>
      </c>
      <c r="H33" s="276" t="s">
        <v>90</v>
      </c>
    </row>
    <row r="34" spans="1:8" s="66" customFormat="1" ht="15" x14ac:dyDescent="0.3">
      <c r="A34" s="273" t="s">
        <v>91</v>
      </c>
      <c r="B34" s="274">
        <v>911</v>
      </c>
      <c r="C34" s="274" t="s">
        <v>38</v>
      </c>
      <c r="D34" s="274">
        <v>1</v>
      </c>
      <c r="E34" s="275" t="s">
        <v>92</v>
      </c>
      <c r="F34" s="274" t="s">
        <v>157</v>
      </c>
      <c r="G34" s="274" t="s">
        <v>162</v>
      </c>
      <c r="H34" s="276" t="s">
        <v>6</v>
      </c>
    </row>
    <row r="35" spans="1:8" s="66" customFormat="1" ht="15" x14ac:dyDescent="0.3">
      <c r="A35" s="273" t="s">
        <v>136</v>
      </c>
      <c r="B35" s="274">
        <v>6828</v>
      </c>
      <c r="C35" s="274"/>
      <c r="D35" s="274"/>
      <c r="E35" s="275"/>
      <c r="F35" s="274"/>
      <c r="G35" s="274" t="s">
        <v>6</v>
      </c>
      <c r="H35" s="276"/>
    </row>
    <row r="36" spans="1:8" s="66" customFormat="1" ht="15" x14ac:dyDescent="0.3">
      <c r="A36" s="273"/>
      <c r="B36" s="274"/>
      <c r="C36" s="274" t="s">
        <v>38</v>
      </c>
      <c r="D36" s="274">
        <v>8</v>
      </c>
      <c r="E36" s="275" t="s">
        <v>137</v>
      </c>
      <c r="F36" s="274" t="s">
        <v>169</v>
      </c>
      <c r="G36" s="274"/>
      <c r="H36" s="276" t="s">
        <v>170</v>
      </c>
    </row>
    <row r="37" spans="1:8" s="66" customFormat="1" ht="15" x14ac:dyDescent="0.3">
      <c r="A37" s="273"/>
      <c r="B37" s="274"/>
      <c r="C37" s="274" t="s">
        <v>38</v>
      </c>
      <c r="D37" s="274">
        <v>8</v>
      </c>
      <c r="E37" s="275" t="s">
        <v>137</v>
      </c>
      <c r="F37" s="274">
        <v>0</v>
      </c>
      <c r="G37" s="274"/>
      <c r="H37" s="276"/>
    </row>
    <row r="38" spans="1:8" s="66" customFormat="1" ht="15" x14ac:dyDescent="0.3">
      <c r="A38" s="273" t="s">
        <v>93</v>
      </c>
      <c r="B38" s="274">
        <v>441</v>
      </c>
      <c r="C38" s="274"/>
      <c r="D38" s="274"/>
      <c r="E38" s="275"/>
      <c r="F38" s="274"/>
      <c r="G38" s="274" t="s">
        <v>163</v>
      </c>
      <c r="H38" s="276"/>
    </row>
    <row r="39" spans="1:8" s="66" customFormat="1" ht="15" x14ac:dyDescent="0.3">
      <c r="A39" s="273"/>
      <c r="B39" s="274"/>
      <c r="C39" s="274" t="s">
        <v>38</v>
      </c>
      <c r="D39" s="274">
        <v>1</v>
      </c>
      <c r="E39" s="275" t="s">
        <v>11</v>
      </c>
      <c r="F39" s="274">
        <v>0</v>
      </c>
      <c r="G39" s="274"/>
      <c r="H39" s="276"/>
    </row>
    <row r="40" spans="1:8" s="66" customFormat="1" ht="15" x14ac:dyDescent="0.3">
      <c r="A40" s="273"/>
      <c r="B40" s="274"/>
      <c r="C40" s="274" t="s">
        <v>38</v>
      </c>
      <c r="D40" s="274">
        <v>2</v>
      </c>
      <c r="E40" s="275" t="s">
        <v>94</v>
      </c>
      <c r="F40" s="274" t="s">
        <v>158</v>
      </c>
      <c r="G40" s="274"/>
      <c r="H40" s="276" t="s">
        <v>6</v>
      </c>
    </row>
    <row r="41" spans="1:8" s="66" customFormat="1" ht="15" x14ac:dyDescent="0.3">
      <c r="A41" s="273" t="s">
        <v>95</v>
      </c>
      <c r="B41" s="274">
        <v>946</v>
      </c>
      <c r="C41" s="274"/>
      <c r="D41" s="274"/>
      <c r="E41" s="275"/>
      <c r="F41" s="274"/>
      <c r="G41" s="274" t="s">
        <v>163</v>
      </c>
      <c r="H41" s="276"/>
    </row>
    <row r="42" spans="1:8" s="66" customFormat="1" ht="15" x14ac:dyDescent="0.3">
      <c r="A42" s="273"/>
      <c r="B42" s="274"/>
      <c r="C42" s="274" t="s">
        <v>38</v>
      </c>
      <c r="D42" s="274">
        <v>1</v>
      </c>
      <c r="E42" s="275" t="s">
        <v>11</v>
      </c>
      <c r="F42" s="274">
        <v>0</v>
      </c>
      <c r="G42" s="274"/>
      <c r="H42" s="276"/>
    </row>
    <row r="43" spans="1:8" s="66" customFormat="1" ht="15" x14ac:dyDescent="0.3">
      <c r="A43" s="273"/>
      <c r="B43" s="274"/>
      <c r="C43" s="274" t="s">
        <v>38</v>
      </c>
      <c r="D43" s="274">
        <v>2</v>
      </c>
      <c r="E43" s="275" t="s">
        <v>96</v>
      </c>
      <c r="F43" s="274" t="s">
        <v>159</v>
      </c>
      <c r="G43" s="274"/>
      <c r="H43" s="276" t="s">
        <v>6</v>
      </c>
    </row>
    <row r="44" spans="1:8" s="66" customFormat="1" ht="15" x14ac:dyDescent="0.3">
      <c r="A44" s="273" t="s">
        <v>97</v>
      </c>
      <c r="B44" s="274">
        <v>2954</v>
      </c>
      <c r="C44" s="274"/>
      <c r="D44" s="274"/>
      <c r="E44" s="275"/>
      <c r="F44" s="274"/>
      <c r="G44" s="274" t="s">
        <v>163</v>
      </c>
      <c r="H44" s="276"/>
    </row>
    <row r="45" spans="1:8" s="66" customFormat="1" ht="15" x14ac:dyDescent="0.3">
      <c r="A45" s="273"/>
      <c r="B45" s="274"/>
      <c r="C45" s="274" t="s">
        <v>38</v>
      </c>
      <c r="D45" s="274">
        <v>1</v>
      </c>
      <c r="E45" s="275" t="s">
        <v>11</v>
      </c>
      <c r="F45" s="274">
        <v>0</v>
      </c>
      <c r="G45" s="274"/>
      <c r="H45" s="276"/>
    </row>
    <row r="46" spans="1:8" s="66" customFormat="1" ht="15" x14ac:dyDescent="0.3">
      <c r="A46" s="273"/>
      <c r="B46" s="274"/>
      <c r="C46" s="274" t="s">
        <v>38</v>
      </c>
      <c r="D46" s="274">
        <v>4</v>
      </c>
      <c r="E46" s="275" t="s">
        <v>98</v>
      </c>
      <c r="F46" s="274" t="s">
        <v>141</v>
      </c>
      <c r="G46" s="274"/>
      <c r="H46" s="276" t="s">
        <v>6</v>
      </c>
    </row>
    <row r="47" spans="1:8" s="66" customFormat="1" ht="38.25" x14ac:dyDescent="0.3">
      <c r="A47" s="273" t="s">
        <v>99</v>
      </c>
      <c r="B47" s="274">
        <v>1016</v>
      </c>
      <c r="C47" s="274" t="s">
        <v>38</v>
      </c>
      <c r="D47" s="274">
        <v>1</v>
      </c>
      <c r="E47" s="275" t="s">
        <v>100</v>
      </c>
      <c r="F47" s="274">
        <v>1</v>
      </c>
      <c r="G47" s="274" t="s">
        <v>162</v>
      </c>
      <c r="H47" s="276" t="s">
        <v>101</v>
      </c>
    </row>
    <row r="48" spans="1:8" ht="38.25" x14ac:dyDescent="0.2">
      <c r="A48" s="273" t="s">
        <v>102</v>
      </c>
      <c r="B48" s="274">
        <v>1017</v>
      </c>
      <c r="C48" s="274" t="s">
        <v>38</v>
      </c>
      <c r="D48" s="274">
        <v>1</v>
      </c>
      <c r="E48" s="275" t="s">
        <v>103</v>
      </c>
      <c r="F48" s="274">
        <v>2</v>
      </c>
      <c r="G48" s="274" t="s">
        <v>162</v>
      </c>
      <c r="H48" s="276" t="s">
        <v>104</v>
      </c>
    </row>
    <row r="49" spans="1:9" x14ac:dyDescent="0.2">
      <c r="A49" s="273" t="s">
        <v>105</v>
      </c>
      <c r="B49" s="274">
        <v>947</v>
      </c>
      <c r="C49" s="274" t="s">
        <v>38</v>
      </c>
      <c r="D49" s="274">
        <v>1</v>
      </c>
      <c r="E49" s="275" t="s">
        <v>106</v>
      </c>
      <c r="F49" s="274">
        <v>0</v>
      </c>
      <c r="G49" s="274" t="s">
        <v>162</v>
      </c>
      <c r="H49" s="276" t="s">
        <v>107</v>
      </c>
    </row>
    <row r="50" spans="1:9" ht="25.5" x14ac:dyDescent="0.2">
      <c r="A50" s="273" t="s">
        <v>108</v>
      </c>
      <c r="B50" s="274">
        <v>1302</v>
      </c>
      <c r="C50" s="274" t="s">
        <v>38</v>
      </c>
      <c r="D50" s="274">
        <v>1</v>
      </c>
      <c r="E50" s="275" t="s">
        <v>109</v>
      </c>
      <c r="F50" s="274">
        <v>1</v>
      </c>
      <c r="G50" s="274" t="s">
        <v>162</v>
      </c>
      <c r="H50" s="276" t="s">
        <v>110</v>
      </c>
    </row>
    <row r="51" spans="1:9" x14ac:dyDescent="0.2">
      <c r="A51" s="273" t="s">
        <v>15</v>
      </c>
      <c r="B51" s="274">
        <v>1918</v>
      </c>
      <c r="C51" s="274" t="s">
        <v>38</v>
      </c>
      <c r="D51" s="274">
        <v>4</v>
      </c>
      <c r="E51" s="275" t="s">
        <v>16</v>
      </c>
      <c r="F51" s="274">
        <v>64</v>
      </c>
      <c r="G51" s="274" t="s">
        <v>162</v>
      </c>
      <c r="H51" s="276"/>
    </row>
    <row r="52" spans="1:9" ht="25.5" x14ac:dyDescent="0.2">
      <c r="A52" s="273" t="s">
        <v>111</v>
      </c>
      <c r="B52" s="274">
        <v>2508</v>
      </c>
      <c r="C52" s="274" t="s">
        <v>38</v>
      </c>
      <c r="D52" s="274">
        <v>1</v>
      </c>
      <c r="E52" s="275" t="s">
        <v>112</v>
      </c>
      <c r="F52" s="274">
        <v>1</v>
      </c>
      <c r="G52" s="274" t="s">
        <v>162</v>
      </c>
      <c r="H52" s="276" t="s">
        <v>974</v>
      </c>
    </row>
    <row r="53" spans="1:9" x14ac:dyDescent="0.2">
      <c r="A53" s="273" t="s">
        <v>113</v>
      </c>
      <c r="B53" s="274">
        <v>2509</v>
      </c>
      <c r="C53" s="274" t="s">
        <v>38</v>
      </c>
      <c r="D53" s="274">
        <v>1</v>
      </c>
      <c r="E53" s="275" t="s">
        <v>114</v>
      </c>
      <c r="F53" s="274" t="s">
        <v>157</v>
      </c>
      <c r="G53" s="274" t="s">
        <v>162</v>
      </c>
      <c r="H53" s="276"/>
    </row>
    <row r="54" spans="1:9" x14ac:dyDescent="0.2">
      <c r="A54" s="273" t="s">
        <v>115</v>
      </c>
      <c r="B54" s="274">
        <v>3630</v>
      </c>
      <c r="C54" s="274" t="s">
        <v>38</v>
      </c>
      <c r="D54" s="274">
        <v>1</v>
      </c>
      <c r="E54" s="275" t="s">
        <v>116</v>
      </c>
      <c r="F54" s="274">
        <v>1</v>
      </c>
      <c r="G54" s="274" t="s">
        <v>162</v>
      </c>
      <c r="H54" s="276" t="s">
        <v>117</v>
      </c>
    </row>
    <row r="55" spans="1:9" x14ac:dyDescent="0.2">
      <c r="A55" s="273" t="s">
        <v>118</v>
      </c>
      <c r="B55" s="274">
        <v>2512</v>
      </c>
      <c r="C55" s="274" t="s">
        <v>38</v>
      </c>
      <c r="D55" s="274">
        <v>1</v>
      </c>
      <c r="E55" s="275" t="s">
        <v>119</v>
      </c>
      <c r="F55" s="274">
        <v>1</v>
      </c>
      <c r="G55" s="274" t="s">
        <v>162</v>
      </c>
      <c r="H55" s="276" t="s">
        <v>120</v>
      </c>
    </row>
    <row r="56" spans="1:9" x14ac:dyDescent="0.2">
      <c r="A56" s="273" t="s">
        <v>121</v>
      </c>
      <c r="B56" s="274">
        <v>3006</v>
      </c>
      <c r="C56" s="274" t="s">
        <v>38</v>
      </c>
      <c r="D56" s="274">
        <v>2</v>
      </c>
      <c r="E56" s="275" t="s">
        <v>122</v>
      </c>
      <c r="F56" s="274">
        <v>255</v>
      </c>
      <c r="G56" s="274" t="s">
        <v>162</v>
      </c>
      <c r="H56" s="276"/>
    </row>
    <row r="57" spans="1:9" x14ac:dyDescent="0.2">
      <c r="A57" s="273" t="s">
        <v>19</v>
      </c>
      <c r="B57" s="274">
        <v>3532</v>
      </c>
      <c r="C57" s="274" t="s">
        <v>38</v>
      </c>
      <c r="D57" s="274">
        <v>1</v>
      </c>
      <c r="E57" s="275" t="s">
        <v>20</v>
      </c>
      <c r="F57" s="274">
        <v>180</v>
      </c>
      <c r="G57" s="274" t="s">
        <v>162</v>
      </c>
      <c r="H57" s="276" t="s">
        <v>6</v>
      </c>
    </row>
    <row r="58" spans="1:9" x14ac:dyDescent="0.2">
      <c r="A58" s="273" t="s">
        <v>21</v>
      </c>
      <c r="B58" s="274">
        <v>3533</v>
      </c>
      <c r="C58" s="274" t="s">
        <v>38</v>
      </c>
      <c r="D58" s="274">
        <v>1</v>
      </c>
      <c r="E58" s="275" t="s">
        <v>22</v>
      </c>
      <c r="F58" s="274">
        <v>45</v>
      </c>
      <c r="G58" s="274" t="s">
        <v>162</v>
      </c>
      <c r="H58" s="276" t="s">
        <v>6</v>
      </c>
    </row>
    <row r="59" spans="1:9" ht="16.5" customHeight="1" x14ac:dyDescent="0.2">
      <c r="A59" s="273" t="s">
        <v>123</v>
      </c>
      <c r="B59" s="274">
        <v>3628</v>
      </c>
      <c r="C59" s="274" t="s">
        <v>38</v>
      </c>
      <c r="D59" s="274">
        <v>1</v>
      </c>
      <c r="E59" s="275" t="s">
        <v>124</v>
      </c>
      <c r="F59" s="274">
        <v>0</v>
      </c>
      <c r="G59" s="274" t="s">
        <v>162</v>
      </c>
      <c r="H59" s="276" t="s">
        <v>125</v>
      </c>
    </row>
    <row r="60" spans="1:9" x14ac:dyDescent="0.2">
      <c r="A60" s="273" t="s">
        <v>126</v>
      </c>
      <c r="B60" s="274">
        <v>3629</v>
      </c>
      <c r="C60" s="274" t="s">
        <v>38</v>
      </c>
      <c r="D60" s="274">
        <v>1</v>
      </c>
      <c r="E60" s="275" t="s">
        <v>127</v>
      </c>
      <c r="F60" s="274">
        <v>3</v>
      </c>
      <c r="G60" s="274" t="s">
        <v>162</v>
      </c>
      <c r="H60" s="276" t="s">
        <v>128</v>
      </c>
    </row>
    <row r="61" spans="1:9" x14ac:dyDescent="0.2">
      <c r="A61" s="273" t="s">
        <v>129</v>
      </c>
      <c r="B61" s="274">
        <v>3851</v>
      </c>
      <c r="C61" s="274" t="s">
        <v>38</v>
      </c>
      <c r="D61" s="274">
        <v>1</v>
      </c>
      <c r="E61" s="275" t="s">
        <v>130</v>
      </c>
      <c r="F61" s="274">
        <v>3</v>
      </c>
      <c r="G61" s="274" t="s">
        <v>162</v>
      </c>
      <c r="H61" s="276" t="s">
        <v>131</v>
      </c>
    </row>
    <row r="62" spans="1:9" s="30" customFormat="1" x14ac:dyDescent="0.2">
      <c r="A62" s="273" t="s">
        <v>24</v>
      </c>
      <c r="B62" s="274">
        <v>10</v>
      </c>
      <c r="C62" s="274"/>
      <c r="D62" s="274"/>
      <c r="E62" s="275" t="s">
        <v>25</v>
      </c>
      <c r="F62" s="274"/>
      <c r="G62" s="274" t="s">
        <v>322</v>
      </c>
      <c r="H62" s="276" t="s">
        <v>6</v>
      </c>
      <c r="I62" s="42"/>
    </row>
    <row r="63" spans="1:9" s="30" customFormat="1" x14ac:dyDescent="0.2">
      <c r="A63" s="273"/>
      <c r="B63" s="274"/>
      <c r="C63" s="274" t="s">
        <v>38</v>
      </c>
      <c r="D63" s="274">
        <v>1</v>
      </c>
      <c r="E63" s="275" t="s">
        <v>11</v>
      </c>
      <c r="F63" s="274">
        <v>0</v>
      </c>
      <c r="G63" s="274"/>
      <c r="H63" s="276"/>
      <c r="I63" s="42"/>
    </row>
    <row r="64" spans="1:9" s="30" customFormat="1" x14ac:dyDescent="0.2">
      <c r="A64" s="273"/>
      <c r="B64" s="274"/>
      <c r="C64" s="274" t="s">
        <v>38</v>
      </c>
      <c r="D64" s="274">
        <v>2</v>
      </c>
      <c r="E64" s="275" t="s">
        <v>26</v>
      </c>
      <c r="F64" s="274">
        <v>58</v>
      </c>
      <c r="G64" s="274"/>
      <c r="H64" s="276" t="s">
        <v>6</v>
      </c>
      <c r="I64" s="42"/>
    </row>
    <row r="65" spans="1:11" s="30" customFormat="1" x14ac:dyDescent="0.2">
      <c r="A65" s="273" t="s">
        <v>24</v>
      </c>
      <c r="B65" s="274">
        <v>10</v>
      </c>
      <c r="C65" s="274"/>
      <c r="D65" s="274"/>
      <c r="E65" s="275" t="s">
        <v>25</v>
      </c>
      <c r="F65" s="274"/>
      <c r="G65" s="274" t="s">
        <v>163</v>
      </c>
      <c r="H65" s="276" t="s">
        <v>6</v>
      </c>
      <c r="I65" s="42"/>
    </row>
    <row r="66" spans="1:11" x14ac:dyDescent="0.2">
      <c r="A66" s="273"/>
      <c r="B66" s="274" t="s">
        <v>160</v>
      </c>
      <c r="C66" s="274" t="s">
        <v>38</v>
      </c>
      <c r="D66" s="274">
        <v>1</v>
      </c>
      <c r="E66" s="275" t="s">
        <v>160</v>
      </c>
      <c r="F66" s="274" t="s">
        <v>161</v>
      </c>
      <c r="G66" s="274"/>
      <c r="H66" s="276" t="s">
        <v>164</v>
      </c>
    </row>
    <row r="67" spans="1:11" s="118" customFormat="1" ht="14.25" customHeight="1" x14ac:dyDescent="0.2">
      <c r="A67" s="273"/>
      <c r="B67" s="274"/>
      <c r="C67" s="274" t="s">
        <v>38</v>
      </c>
      <c r="D67" s="274">
        <v>1</v>
      </c>
      <c r="E67" s="275" t="s">
        <v>11</v>
      </c>
      <c r="F67" s="274">
        <v>0</v>
      </c>
      <c r="G67" s="274"/>
      <c r="H67" s="276" t="s">
        <v>165</v>
      </c>
    </row>
    <row r="68" spans="1:11" s="118" customFormat="1" x14ac:dyDescent="0.2">
      <c r="A68" s="273"/>
      <c r="B68" s="274"/>
      <c r="C68" s="274" t="s">
        <v>38</v>
      </c>
      <c r="D68" s="274">
        <v>2</v>
      </c>
      <c r="E68" s="275" t="s">
        <v>26</v>
      </c>
      <c r="F68" s="274">
        <v>13</v>
      </c>
      <c r="G68" s="274"/>
      <c r="H68" s="276" t="s">
        <v>166</v>
      </c>
    </row>
    <row r="69" spans="1:11" s="120" customFormat="1" x14ac:dyDescent="0.2">
      <c r="A69" s="273" t="s">
        <v>192</v>
      </c>
      <c r="B69" s="274">
        <v>7165</v>
      </c>
      <c r="C69" s="274" t="s">
        <v>38</v>
      </c>
      <c r="D69" s="274">
        <v>4</v>
      </c>
      <c r="E69" s="275" t="s">
        <v>193</v>
      </c>
      <c r="F69" s="274" t="s">
        <v>210</v>
      </c>
      <c r="G69" s="274" t="s">
        <v>162</v>
      </c>
      <c r="H69" s="276"/>
      <c r="I69" s="118"/>
    </row>
    <row r="70" spans="1:11" s="24" customFormat="1" ht="13.5" thickBot="1" x14ac:dyDescent="0.25">
      <c r="A70" s="277"/>
      <c r="B70" s="278"/>
      <c r="C70" s="278"/>
      <c r="D70" s="278"/>
      <c r="E70" s="279"/>
      <c r="F70" s="278"/>
      <c r="G70" s="278"/>
      <c r="H70" s="280"/>
      <c r="I70" s="30"/>
    </row>
    <row r="71" spans="1:11" s="24" customFormat="1" ht="15" x14ac:dyDescent="0.3">
      <c r="A71" s="281"/>
      <c r="B71" s="281"/>
      <c r="C71" s="282"/>
      <c r="D71" s="281"/>
      <c r="E71" s="281"/>
      <c r="F71" s="282"/>
      <c r="G71" s="281"/>
      <c r="H71" s="283"/>
      <c r="I71" s="30"/>
    </row>
    <row r="72" spans="1:11" s="24" customFormat="1" ht="15.75" thickBot="1" x14ac:dyDescent="0.35">
      <c r="A72" s="284"/>
      <c r="B72" s="285"/>
      <c r="C72" s="282"/>
      <c r="D72" s="281"/>
      <c r="E72" s="281"/>
      <c r="F72" s="282"/>
      <c r="G72" s="281"/>
      <c r="H72" s="283"/>
      <c r="I72" s="30"/>
    </row>
    <row r="73" spans="1:11" s="24" customFormat="1" ht="20.25" thickBot="1" x14ac:dyDescent="0.45">
      <c r="A73" s="286" t="s">
        <v>42</v>
      </c>
      <c r="B73" s="286"/>
      <c r="C73" s="286"/>
      <c r="D73" s="286"/>
      <c r="E73" s="286"/>
      <c r="F73" s="286"/>
      <c r="G73" s="286"/>
      <c r="H73" s="287"/>
      <c r="I73" s="40"/>
    </row>
    <row r="74" spans="1:11" s="24" customFormat="1" ht="15.75" thickBot="1" x14ac:dyDescent="0.35">
      <c r="A74" s="288" t="s">
        <v>27</v>
      </c>
      <c r="B74" s="289" t="s">
        <v>28</v>
      </c>
      <c r="C74" s="289" t="s">
        <v>35</v>
      </c>
      <c r="D74" s="288" t="s">
        <v>45</v>
      </c>
      <c r="E74" s="288" t="s">
        <v>44</v>
      </c>
      <c r="F74" s="288" t="s">
        <v>37</v>
      </c>
      <c r="G74" s="290" t="s">
        <v>43</v>
      </c>
      <c r="H74" s="291" t="s">
        <v>47</v>
      </c>
      <c r="I74" s="12" t="s">
        <v>29</v>
      </c>
    </row>
    <row r="75" spans="1:11" s="24" customFormat="1" ht="20.25" customHeight="1" x14ac:dyDescent="0.2">
      <c r="A75" s="292" t="s">
        <v>389</v>
      </c>
      <c r="B75" s="293" t="s">
        <v>390</v>
      </c>
      <c r="C75" s="293" t="s">
        <v>52</v>
      </c>
      <c r="D75" s="293"/>
      <c r="E75" s="293"/>
      <c r="F75" s="293"/>
      <c r="G75" s="293" t="s">
        <v>162</v>
      </c>
      <c r="H75" s="294"/>
      <c r="I75" s="295">
        <v>67275</v>
      </c>
    </row>
    <row r="76" spans="1:11" s="24" customFormat="1" ht="40.5" customHeight="1" x14ac:dyDescent="0.2">
      <c r="A76" s="296"/>
      <c r="B76" s="297"/>
      <c r="C76" s="297"/>
      <c r="D76" s="297" t="s">
        <v>38</v>
      </c>
      <c r="E76" s="297">
        <v>1</v>
      </c>
      <c r="F76" s="297">
        <v>1</v>
      </c>
      <c r="G76" s="297"/>
      <c r="H76" s="298"/>
      <c r="I76" s="299" t="s">
        <v>391</v>
      </c>
    </row>
    <row r="77" spans="1:11" s="75" customFormat="1" ht="25.5" x14ac:dyDescent="0.3">
      <c r="A77" s="296" t="s">
        <v>168</v>
      </c>
      <c r="B77" s="297" t="s">
        <v>167</v>
      </c>
      <c r="C77" s="297" t="s">
        <v>52</v>
      </c>
      <c r="D77" s="297"/>
      <c r="E77" s="297"/>
      <c r="F77" s="297"/>
      <c r="G77" s="297" t="s">
        <v>162</v>
      </c>
      <c r="H77" s="298"/>
      <c r="I77" s="299" t="s">
        <v>220</v>
      </c>
      <c r="J77" s="64"/>
      <c r="K77" s="64"/>
    </row>
    <row r="78" spans="1:11" s="48" customFormat="1" x14ac:dyDescent="0.2">
      <c r="A78" s="296"/>
      <c r="B78" s="297"/>
      <c r="C78" s="297"/>
      <c r="D78" s="297" t="s">
        <v>38</v>
      </c>
      <c r="E78" s="297">
        <v>8</v>
      </c>
      <c r="F78" s="297" t="s">
        <v>218</v>
      </c>
      <c r="G78" s="297"/>
      <c r="H78" s="298"/>
      <c r="I78" s="299"/>
    </row>
    <row r="79" spans="1:11" s="27" customFormat="1" x14ac:dyDescent="0.2">
      <c r="A79" s="296" t="s">
        <v>132</v>
      </c>
      <c r="B79" s="297" t="s">
        <v>53</v>
      </c>
      <c r="C79" s="297" t="s">
        <v>40</v>
      </c>
      <c r="D79" s="297"/>
      <c r="E79" s="297"/>
      <c r="F79" s="297"/>
      <c r="G79" s="297" t="s">
        <v>162</v>
      </c>
      <c r="H79" s="298" t="s">
        <v>270</v>
      </c>
      <c r="I79" s="299"/>
    </row>
    <row r="80" spans="1:11" s="24" customFormat="1" ht="15" x14ac:dyDescent="0.3">
      <c r="A80" s="296" t="s">
        <v>133</v>
      </c>
      <c r="B80" s="297" t="s">
        <v>392</v>
      </c>
      <c r="C80" s="297" t="s">
        <v>52</v>
      </c>
      <c r="D80" s="297"/>
      <c r="E80" s="297"/>
      <c r="F80" s="297"/>
      <c r="G80" s="297" t="s">
        <v>162</v>
      </c>
      <c r="H80" s="298"/>
      <c r="I80" s="299"/>
      <c r="J80" s="41"/>
      <c r="K80" s="41"/>
    </row>
    <row r="81" spans="1:11" s="24" customFormat="1" ht="63.75" x14ac:dyDescent="0.3">
      <c r="A81" s="296"/>
      <c r="B81" s="297"/>
      <c r="C81" s="297"/>
      <c r="D81" s="297" t="s">
        <v>38</v>
      </c>
      <c r="E81" s="297">
        <v>2</v>
      </c>
      <c r="F81" s="297">
        <v>0</v>
      </c>
      <c r="G81" s="297"/>
      <c r="H81" s="298"/>
      <c r="I81" s="299" t="s">
        <v>134</v>
      </c>
      <c r="J81" s="41"/>
      <c r="K81" s="41"/>
    </row>
    <row r="82" spans="1:11" s="24" customFormat="1" ht="15" x14ac:dyDescent="0.3">
      <c r="A82" s="296" t="s">
        <v>254</v>
      </c>
      <c r="B82" s="297" t="s">
        <v>255</v>
      </c>
      <c r="C82" s="297" t="s">
        <v>52</v>
      </c>
      <c r="D82" s="297"/>
      <c r="E82" s="297"/>
      <c r="F82" s="297"/>
      <c r="G82" s="297" t="s">
        <v>162</v>
      </c>
      <c r="H82" s="298"/>
      <c r="I82" s="299">
        <v>67217</v>
      </c>
      <c r="J82" s="41"/>
      <c r="K82" s="41"/>
    </row>
    <row r="83" spans="1:11" s="24" customFormat="1" ht="15" x14ac:dyDescent="0.3">
      <c r="A83" s="296"/>
      <c r="B83" s="297"/>
      <c r="C83" s="297"/>
      <c r="D83" s="297" t="s">
        <v>38</v>
      </c>
      <c r="E83" s="297">
        <v>1</v>
      </c>
      <c r="F83" s="297">
        <v>1</v>
      </c>
      <c r="G83" s="297"/>
      <c r="H83" s="298"/>
      <c r="I83" s="299" t="s">
        <v>254</v>
      </c>
      <c r="J83" s="41"/>
      <c r="K83" s="41"/>
    </row>
    <row r="84" spans="1:11" s="95" customFormat="1" ht="16.5" customHeight="1" x14ac:dyDescent="0.2">
      <c r="A84" s="296"/>
      <c r="B84" s="297"/>
      <c r="C84" s="297"/>
      <c r="D84" s="297" t="s">
        <v>38</v>
      </c>
      <c r="E84" s="297">
        <v>2</v>
      </c>
      <c r="F84" s="297" t="s">
        <v>158</v>
      </c>
      <c r="G84" s="297"/>
      <c r="H84" s="298"/>
      <c r="I84" s="299"/>
    </row>
    <row r="85" spans="1:11" x14ac:dyDescent="0.2">
      <c r="A85" s="296" t="s">
        <v>287</v>
      </c>
      <c r="B85" s="297" t="s">
        <v>288</v>
      </c>
      <c r="C85" s="297" t="s">
        <v>52</v>
      </c>
      <c r="D85" s="297"/>
      <c r="E85" s="297"/>
      <c r="F85" s="297"/>
      <c r="G85" s="297" t="s">
        <v>162</v>
      </c>
      <c r="H85" s="298"/>
      <c r="I85" s="299">
        <v>73584</v>
      </c>
    </row>
    <row r="86" spans="1:11" x14ac:dyDescent="0.2">
      <c r="A86" s="296"/>
      <c r="B86" s="297"/>
      <c r="C86" s="297"/>
      <c r="D86" s="297" t="s">
        <v>38</v>
      </c>
      <c r="E86" s="297">
        <v>4</v>
      </c>
      <c r="F86" s="297" t="s">
        <v>289</v>
      </c>
      <c r="G86" s="297"/>
      <c r="H86" s="298"/>
      <c r="I86" s="299"/>
    </row>
    <row r="87" spans="1:11" x14ac:dyDescent="0.2">
      <c r="A87" s="296" t="s">
        <v>200</v>
      </c>
      <c r="B87" s="297" t="s">
        <v>201</v>
      </c>
      <c r="C87" s="297" t="s">
        <v>52</v>
      </c>
      <c r="D87" s="297"/>
      <c r="E87" s="297"/>
      <c r="F87" s="297"/>
      <c r="G87" s="297" t="s">
        <v>162</v>
      </c>
      <c r="H87" s="298"/>
      <c r="I87" s="299">
        <v>72533</v>
      </c>
    </row>
    <row r="88" spans="1:11" ht="25.5" x14ac:dyDescent="0.2">
      <c r="A88" s="296"/>
      <c r="B88" s="297"/>
      <c r="C88" s="297"/>
      <c r="D88" s="297" t="s">
        <v>38</v>
      </c>
      <c r="E88" s="297">
        <v>4</v>
      </c>
      <c r="F88" s="297">
        <v>1</v>
      </c>
      <c r="G88" s="297"/>
      <c r="H88" s="298"/>
      <c r="I88" s="299" t="s">
        <v>202</v>
      </c>
    </row>
    <row r="89" spans="1:11" s="30" customFormat="1" ht="25.5" x14ac:dyDescent="0.2">
      <c r="A89" s="296" t="s">
        <v>256</v>
      </c>
      <c r="B89" s="297" t="s">
        <v>257</v>
      </c>
      <c r="C89" s="297" t="s">
        <v>40</v>
      </c>
      <c r="D89" s="297"/>
      <c r="E89" s="297"/>
      <c r="F89" s="297"/>
      <c r="G89" s="297" t="s">
        <v>162</v>
      </c>
      <c r="H89" s="298" t="s">
        <v>260</v>
      </c>
      <c r="I89" s="299" t="s">
        <v>6</v>
      </c>
    </row>
    <row r="90" spans="1:11" x14ac:dyDescent="0.2">
      <c r="A90" s="296" t="s">
        <v>258</v>
      </c>
      <c r="B90" s="297" t="s">
        <v>259</v>
      </c>
      <c r="C90" s="297" t="s">
        <v>40</v>
      </c>
      <c r="D90" s="297"/>
      <c r="E90" s="297"/>
      <c r="F90" s="297"/>
      <c r="G90" s="297" t="s">
        <v>162</v>
      </c>
      <c r="H90" s="298" t="s">
        <v>261</v>
      </c>
      <c r="I90" s="299" t="s">
        <v>6</v>
      </c>
    </row>
    <row r="91" spans="1:11" x14ac:dyDescent="0.2">
      <c r="A91" s="296" t="s">
        <v>211</v>
      </c>
      <c r="B91" s="297" t="s">
        <v>212</v>
      </c>
      <c r="C91" s="297" t="s">
        <v>52</v>
      </c>
      <c r="D91" s="297"/>
      <c r="E91" s="297"/>
      <c r="F91" s="297"/>
      <c r="G91" s="297" t="s">
        <v>162</v>
      </c>
      <c r="H91" s="298"/>
      <c r="I91" s="299">
        <v>65733</v>
      </c>
    </row>
    <row r="92" spans="1:11" x14ac:dyDescent="0.2">
      <c r="A92" s="296"/>
      <c r="B92" s="297"/>
      <c r="C92" s="297"/>
      <c r="D92" s="297" t="s">
        <v>38</v>
      </c>
      <c r="E92" s="297">
        <v>1</v>
      </c>
      <c r="F92" s="297">
        <v>0</v>
      </c>
      <c r="G92" s="297"/>
      <c r="H92" s="298"/>
      <c r="I92" s="299"/>
    </row>
    <row r="93" spans="1:11" s="24" customFormat="1" ht="25.5" x14ac:dyDescent="0.3">
      <c r="A93" s="296" t="s">
        <v>147</v>
      </c>
      <c r="B93" s="297" t="s">
        <v>144</v>
      </c>
      <c r="C93" s="297" t="s">
        <v>40</v>
      </c>
      <c r="D93" s="297"/>
      <c r="E93" s="297"/>
      <c r="F93" s="297"/>
      <c r="G93" s="297" t="s">
        <v>162</v>
      </c>
      <c r="H93" s="298" t="s">
        <v>145</v>
      </c>
      <c r="I93" s="299" t="s">
        <v>146</v>
      </c>
      <c r="J93" s="41"/>
      <c r="K93" s="41"/>
    </row>
    <row r="94" spans="1:11" s="95" customFormat="1" ht="16.5" customHeight="1" x14ac:dyDescent="0.2">
      <c r="A94" s="296" t="s">
        <v>185</v>
      </c>
      <c r="B94" s="297" t="s">
        <v>186</v>
      </c>
      <c r="C94" s="297" t="s">
        <v>40</v>
      </c>
      <c r="D94" s="297"/>
      <c r="E94" s="297"/>
      <c r="F94" s="297"/>
      <c r="G94" s="297" t="s">
        <v>162</v>
      </c>
      <c r="H94" s="298" t="s">
        <v>187</v>
      </c>
      <c r="I94" s="299"/>
    </row>
    <row r="95" spans="1:11" x14ac:dyDescent="0.2">
      <c r="A95" s="296" t="s">
        <v>139</v>
      </c>
      <c r="B95" s="297" t="s">
        <v>265</v>
      </c>
      <c r="C95" s="297" t="s">
        <v>40</v>
      </c>
      <c r="D95" s="297"/>
      <c r="E95" s="297"/>
      <c r="F95" s="297"/>
      <c r="G95" s="297" t="s">
        <v>162</v>
      </c>
      <c r="H95" s="298" t="s">
        <v>142</v>
      </c>
      <c r="I95" s="299" t="s">
        <v>370</v>
      </c>
    </row>
    <row r="96" spans="1:11" x14ac:dyDescent="0.2">
      <c r="A96" s="296" t="s">
        <v>275</v>
      </c>
      <c r="B96" s="297" t="s">
        <v>276</v>
      </c>
      <c r="C96" s="297" t="s">
        <v>40</v>
      </c>
      <c r="D96" s="297"/>
      <c r="E96" s="297"/>
      <c r="F96" s="297"/>
      <c r="G96" s="297" t="s">
        <v>162</v>
      </c>
      <c r="H96" s="298" t="s">
        <v>277</v>
      </c>
      <c r="I96" s="299" t="s">
        <v>371</v>
      </c>
    </row>
    <row r="97" spans="1:9" x14ac:dyDescent="0.2">
      <c r="A97" s="296" t="s">
        <v>279</v>
      </c>
      <c r="B97" s="297" t="s">
        <v>280</v>
      </c>
      <c r="C97" s="297" t="s">
        <v>40</v>
      </c>
      <c r="D97" s="297"/>
      <c r="E97" s="297"/>
      <c r="F97" s="297"/>
      <c r="G97" s="297" t="s">
        <v>162</v>
      </c>
      <c r="H97" s="298" t="s">
        <v>281</v>
      </c>
      <c r="I97" s="299" t="s">
        <v>278</v>
      </c>
    </row>
    <row r="98" spans="1:9" x14ac:dyDescent="0.2">
      <c r="A98" s="296" t="s">
        <v>372</v>
      </c>
      <c r="B98" s="297" t="s">
        <v>375</v>
      </c>
      <c r="C98" s="297" t="s">
        <v>40</v>
      </c>
      <c r="D98" s="297"/>
      <c r="E98" s="297"/>
      <c r="F98" s="297"/>
      <c r="G98" s="297" t="s">
        <v>162</v>
      </c>
      <c r="H98" s="298" t="s">
        <v>378</v>
      </c>
      <c r="I98" s="299" t="s">
        <v>282</v>
      </c>
    </row>
    <row r="99" spans="1:9" x14ac:dyDescent="0.2">
      <c r="A99" s="296" t="s">
        <v>373</v>
      </c>
      <c r="B99" s="297" t="s">
        <v>376</v>
      </c>
      <c r="C99" s="297" t="s">
        <v>40</v>
      </c>
      <c r="D99" s="297"/>
      <c r="E99" s="297"/>
      <c r="F99" s="297"/>
      <c r="G99" s="297" t="s">
        <v>162</v>
      </c>
      <c r="H99" s="298" t="s">
        <v>379</v>
      </c>
      <c r="I99" s="299" t="s">
        <v>381</v>
      </c>
    </row>
    <row r="100" spans="1:9" x14ac:dyDescent="0.2">
      <c r="A100" s="296" t="s">
        <v>374</v>
      </c>
      <c r="B100" s="297" t="s">
        <v>377</v>
      </c>
      <c r="C100" s="297" t="s">
        <v>40</v>
      </c>
      <c r="D100" s="297"/>
      <c r="E100" s="297"/>
      <c r="F100" s="297"/>
      <c r="G100" s="297" t="s">
        <v>162</v>
      </c>
      <c r="H100" s="298" t="s">
        <v>380</v>
      </c>
      <c r="I100" s="299" t="s">
        <v>382</v>
      </c>
    </row>
    <row r="101" spans="1:9" ht="25.5" x14ac:dyDescent="0.2">
      <c r="A101" s="296" t="s">
        <v>383</v>
      </c>
      <c r="B101" s="297" t="s">
        <v>384</v>
      </c>
      <c r="C101" s="297" t="s">
        <v>52</v>
      </c>
      <c r="D101" s="297"/>
      <c r="E101" s="297"/>
      <c r="F101" s="297"/>
      <c r="G101" s="297" t="s">
        <v>162</v>
      </c>
      <c r="H101" s="298"/>
      <c r="I101" s="299">
        <v>73529</v>
      </c>
    </row>
    <row r="102" spans="1:9" x14ac:dyDescent="0.2">
      <c r="A102" s="296"/>
      <c r="B102" s="297"/>
      <c r="C102" s="297"/>
      <c r="D102" s="297" t="s">
        <v>38</v>
      </c>
      <c r="E102" s="297">
        <v>1</v>
      </c>
      <c r="F102" s="297">
        <v>1</v>
      </c>
      <c r="G102" s="297"/>
      <c r="H102" s="298"/>
      <c r="I102" s="299" t="s">
        <v>385</v>
      </c>
    </row>
    <row r="103" spans="1:9" x14ac:dyDescent="0.2">
      <c r="A103" s="296" t="s">
        <v>283</v>
      </c>
      <c r="B103" s="297" t="s">
        <v>284</v>
      </c>
      <c r="C103" s="297" t="s">
        <v>40</v>
      </c>
      <c r="D103" s="297"/>
      <c r="E103" s="297"/>
      <c r="F103" s="297"/>
      <c r="G103" s="297" t="s">
        <v>162</v>
      </c>
      <c r="H103" s="298" t="s">
        <v>285</v>
      </c>
      <c r="I103" s="299"/>
    </row>
    <row r="104" spans="1:9" x14ac:dyDescent="0.2">
      <c r="A104" s="296" t="s">
        <v>197</v>
      </c>
      <c r="B104" s="297" t="s">
        <v>198</v>
      </c>
      <c r="C104" s="297" t="s">
        <v>40</v>
      </c>
      <c r="D104" s="297"/>
      <c r="E104" s="297"/>
      <c r="F104" s="297"/>
      <c r="G104" s="297" t="s">
        <v>162</v>
      </c>
      <c r="H104" s="298" t="s">
        <v>199</v>
      </c>
      <c r="I104" s="299"/>
    </row>
    <row r="105" spans="1:9" x14ac:dyDescent="0.2">
      <c r="A105" s="296" t="s">
        <v>203</v>
      </c>
      <c r="B105" s="297" t="s">
        <v>204</v>
      </c>
      <c r="C105" s="297" t="s">
        <v>40</v>
      </c>
      <c r="D105" s="297"/>
      <c r="E105" s="297"/>
      <c r="F105" s="297"/>
      <c r="G105" s="297" t="s">
        <v>162</v>
      </c>
      <c r="H105" s="298" t="s">
        <v>205</v>
      </c>
      <c r="I105" s="299">
        <v>67211</v>
      </c>
    </row>
    <row r="106" spans="1:9" ht="25.5" x14ac:dyDescent="0.2">
      <c r="A106" s="296" t="s">
        <v>262</v>
      </c>
      <c r="B106" s="297" t="s">
        <v>263</v>
      </c>
      <c r="C106" s="297" t="s">
        <v>40</v>
      </c>
      <c r="D106" s="297"/>
      <c r="E106" s="297"/>
      <c r="F106" s="297"/>
      <c r="G106" s="297" t="s">
        <v>162</v>
      </c>
      <c r="H106" s="298" t="s">
        <v>266</v>
      </c>
      <c r="I106" s="299"/>
    </row>
    <row r="107" spans="1:9" x14ac:dyDescent="0.2">
      <c r="A107" s="296" t="s">
        <v>291</v>
      </c>
      <c r="B107" s="297" t="s">
        <v>292</v>
      </c>
      <c r="C107" s="297" t="s">
        <v>40</v>
      </c>
      <c r="D107" s="297"/>
      <c r="E107" s="297"/>
      <c r="F107" s="297"/>
      <c r="G107" s="297" t="s">
        <v>162</v>
      </c>
      <c r="H107" s="298" t="s">
        <v>293</v>
      </c>
      <c r="I107" s="299" t="s">
        <v>264</v>
      </c>
    </row>
    <row r="108" spans="1:9" x14ac:dyDescent="0.2">
      <c r="A108" s="296" t="s">
        <v>354</v>
      </c>
      <c r="B108" s="297" t="s">
        <v>355</v>
      </c>
      <c r="C108" s="297" t="s">
        <v>52</v>
      </c>
      <c r="D108" s="297"/>
      <c r="E108" s="297"/>
      <c r="F108" s="297"/>
      <c r="G108" s="297" t="s">
        <v>162</v>
      </c>
      <c r="H108" s="298"/>
      <c r="I108" s="299">
        <v>72509</v>
      </c>
    </row>
    <row r="109" spans="1:9" x14ac:dyDescent="0.2">
      <c r="A109" s="296"/>
      <c r="B109" s="297"/>
      <c r="C109" s="297"/>
      <c r="D109" s="297" t="s">
        <v>38</v>
      </c>
      <c r="E109" s="297">
        <v>1</v>
      </c>
      <c r="F109" s="297">
        <v>5</v>
      </c>
      <c r="G109" s="297"/>
      <c r="H109" s="298"/>
      <c r="I109" s="299" t="s">
        <v>356</v>
      </c>
    </row>
    <row r="110" spans="1:9" x14ac:dyDescent="0.2">
      <c r="A110" s="296"/>
      <c r="B110" s="297"/>
      <c r="C110" s="297"/>
      <c r="D110" s="297" t="s">
        <v>38</v>
      </c>
      <c r="E110" s="297">
        <v>1</v>
      </c>
      <c r="F110" s="297">
        <v>0</v>
      </c>
      <c r="G110" s="297"/>
      <c r="H110" s="298"/>
      <c r="I110" s="299" t="s">
        <v>357</v>
      </c>
    </row>
    <row r="111" spans="1:9" x14ac:dyDescent="0.2">
      <c r="A111" s="296"/>
      <c r="B111" s="297"/>
      <c r="C111" s="297"/>
      <c r="D111" s="297" t="s">
        <v>38</v>
      </c>
      <c r="E111" s="297">
        <v>1</v>
      </c>
      <c r="F111" s="297">
        <v>0</v>
      </c>
      <c r="G111" s="297"/>
      <c r="H111" s="298"/>
      <c r="I111" s="299" t="s">
        <v>358</v>
      </c>
    </row>
    <row r="112" spans="1:9" x14ac:dyDescent="0.2">
      <c r="A112" s="296"/>
      <c r="B112" s="297"/>
      <c r="C112" s="297"/>
      <c r="D112" s="297" t="s">
        <v>38</v>
      </c>
      <c r="E112" s="297">
        <v>1</v>
      </c>
      <c r="F112" s="297">
        <v>0</v>
      </c>
      <c r="G112" s="297"/>
      <c r="H112" s="298"/>
      <c r="I112" s="299" t="s">
        <v>359</v>
      </c>
    </row>
    <row r="113" spans="1:9" x14ac:dyDescent="0.2">
      <c r="A113" s="296"/>
      <c r="B113" s="297"/>
      <c r="C113" s="297"/>
      <c r="D113" s="297" t="s">
        <v>38</v>
      </c>
      <c r="E113" s="297">
        <v>1</v>
      </c>
      <c r="F113" s="297">
        <v>0</v>
      </c>
      <c r="G113" s="297"/>
      <c r="H113" s="298"/>
      <c r="I113" s="299" t="s">
        <v>360</v>
      </c>
    </row>
    <row r="114" spans="1:9" x14ac:dyDescent="0.2">
      <c r="A114" s="296"/>
      <c r="B114" s="297"/>
      <c r="C114" s="297"/>
      <c r="D114" s="297" t="s">
        <v>38</v>
      </c>
      <c r="E114" s="297">
        <v>1</v>
      </c>
      <c r="F114" s="297">
        <v>0</v>
      </c>
      <c r="G114" s="297"/>
      <c r="H114" s="298"/>
      <c r="I114" s="299" t="s">
        <v>361</v>
      </c>
    </row>
    <row r="115" spans="1:9" x14ac:dyDescent="0.2">
      <c r="A115" s="296"/>
      <c r="B115" s="297"/>
      <c r="C115" s="297"/>
      <c r="D115" s="297" t="s">
        <v>38</v>
      </c>
      <c r="E115" s="297">
        <v>1</v>
      </c>
      <c r="F115" s="297">
        <v>1</v>
      </c>
      <c r="G115" s="297"/>
      <c r="H115" s="298"/>
      <c r="I115" s="299" t="s">
        <v>362</v>
      </c>
    </row>
    <row r="116" spans="1:9" x14ac:dyDescent="0.2">
      <c r="A116" s="296"/>
      <c r="B116" s="297"/>
      <c r="C116" s="297"/>
      <c r="D116" s="297" t="s">
        <v>38</v>
      </c>
      <c r="E116" s="297">
        <v>20</v>
      </c>
      <c r="F116" s="297"/>
      <c r="G116" s="297"/>
      <c r="H116" s="298"/>
      <c r="I116" s="299" t="s">
        <v>363</v>
      </c>
    </row>
    <row r="117" spans="1:9" ht="25.5" x14ac:dyDescent="0.2">
      <c r="A117" s="296" t="s">
        <v>393</v>
      </c>
      <c r="B117" s="297" t="s">
        <v>315</v>
      </c>
      <c r="C117" s="297" t="s">
        <v>52</v>
      </c>
      <c r="D117" s="297"/>
      <c r="E117" s="297"/>
      <c r="F117" s="297"/>
      <c r="G117" s="297" t="s">
        <v>162</v>
      </c>
      <c r="H117" s="298"/>
      <c r="I117" s="299">
        <v>70302</v>
      </c>
    </row>
    <row r="118" spans="1:9" x14ac:dyDescent="0.2">
      <c r="A118" s="296"/>
      <c r="B118" s="297"/>
      <c r="C118" s="297"/>
      <c r="D118" s="297" t="s">
        <v>38</v>
      </c>
      <c r="E118" s="297">
        <v>1</v>
      </c>
      <c r="F118" s="297">
        <v>2</v>
      </c>
      <c r="G118" s="297"/>
      <c r="H118" s="298"/>
      <c r="I118" s="299"/>
    </row>
    <row r="119" spans="1:9" ht="25.5" x14ac:dyDescent="0.2">
      <c r="A119" s="296" t="s">
        <v>394</v>
      </c>
      <c r="B119" s="297" t="s">
        <v>395</v>
      </c>
      <c r="C119" s="297" t="s">
        <v>52</v>
      </c>
      <c r="D119" s="297"/>
      <c r="E119" s="297"/>
      <c r="F119" s="297"/>
      <c r="G119" s="297" t="s">
        <v>162</v>
      </c>
      <c r="H119" s="298"/>
      <c r="I119" s="299">
        <v>67219</v>
      </c>
    </row>
    <row r="120" spans="1:9" ht="25.5" x14ac:dyDescent="0.2">
      <c r="A120" s="296"/>
      <c r="B120" s="297"/>
      <c r="C120" s="297"/>
      <c r="D120" s="297" t="s">
        <v>38</v>
      </c>
      <c r="E120" s="297">
        <v>1</v>
      </c>
      <c r="F120" s="297">
        <v>0</v>
      </c>
      <c r="G120" s="297"/>
      <c r="H120" s="298"/>
      <c r="I120" s="299" t="s">
        <v>396</v>
      </c>
    </row>
    <row r="121" spans="1:9" ht="25.5" x14ac:dyDescent="0.2">
      <c r="A121" s="296" t="s">
        <v>397</v>
      </c>
      <c r="B121" s="297" t="s">
        <v>398</v>
      </c>
      <c r="C121" s="297" t="s">
        <v>52</v>
      </c>
      <c r="D121" s="297"/>
      <c r="E121" s="297"/>
      <c r="F121" s="297"/>
      <c r="G121" s="297" t="s">
        <v>162</v>
      </c>
      <c r="H121" s="298"/>
      <c r="I121" s="299">
        <v>67220</v>
      </c>
    </row>
    <row r="122" spans="1:9" x14ac:dyDescent="0.2">
      <c r="A122" s="296"/>
      <c r="B122" s="297"/>
      <c r="C122" s="297"/>
      <c r="D122" s="297" t="s">
        <v>38</v>
      </c>
      <c r="E122" s="297">
        <v>2</v>
      </c>
      <c r="F122" s="297">
        <v>2000</v>
      </c>
      <c r="G122" s="297"/>
      <c r="H122" s="298"/>
      <c r="I122" s="299" t="s">
        <v>399</v>
      </c>
    </row>
    <row r="123" spans="1:9" ht="25.5" x14ac:dyDescent="0.2">
      <c r="A123" s="296" t="s">
        <v>400</v>
      </c>
      <c r="B123" s="297" t="s">
        <v>401</v>
      </c>
      <c r="C123" s="297" t="s">
        <v>52</v>
      </c>
      <c r="D123" s="297"/>
      <c r="E123" s="297"/>
      <c r="F123" s="297"/>
      <c r="G123" s="297" t="s">
        <v>162</v>
      </c>
      <c r="H123" s="298"/>
      <c r="I123" s="299"/>
    </row>
    <row r="124" spans="1:9" x14ac:dyDescent="0.2">
      <c r="A124" s="296"/>
      <c r="B124" s="297"/>
      <c r="C124" s="297"/>
      <c r="D124" s="297" t="s">
        <v>38</v>
      </c>
      <c r="E124" s="297">
        <v>1</v>
      </c>
      <c r="F124" s="297">
        <v>1</v>
      </c>
      <c r="G124" s="297"/>
      <c r="H124" s="298"/>
      <c r="I124" s="299"/>
    </row>
    <row r="125" spans="1:9" ht="25.5" x14ac:dyDescent="0.2">
      <c r="A125" s="296" t="s">
        <v>400</v>
      </c>
      <c r="B125" s="297" t="s">
        <v>402</v>
      </c>
      <c r="C125" s="297" t="s">
        <v>52</v>
      </c>
      <c r="D125" s="297"/>
      <c r="E125" s="297"/>
      <c r="F125" s="297"/>
      <c r="G125" s="297" t="s">
        <v>162</v>
      </c>
      <c r="H125" s="298"/>
      <c r="I125" s="299"/>
    </row>
    <row r="126" spans="1:9" x14ac:dyDescent="0.2">
      <c r="A126" s="296"/>
      <c r="B126" s="297"/>
      <c r="C126" s="297"/>
      <c r="D126" s="297" t="s">
        <v>38</v>
      </c>
      <c r="E126" s="297">
        <v>4</v>
      </c>
      <c r="F126" s="297">
        <v>2000</v>
      </c>
      <c r="G126" s="297"/>
      <c r="H126" s="298"/>
      <c r="I126" s="299"/>
    </row>
    <row r="127" spans="1:9" x14ac:dyDescent="0.2">
      <c r="A127" s="296" t="s">
        <v>133</v>
      </c>
      <c r="B127" s="297" t="s">
        <v>332</v>
      </c>
      <c r="C127" s="297" t="s">
        <v>52</v>
      </c>
      <c r="D127" s="297"/>
      <c r="E127" s="297"/>
      <c r="F127" s="297"/>
      <c r="G127" s="297" t="s">
        <v>162</v>
      </c>
      <c r="H127" s="298"/>
      <c r="I127" s="299">
        <v>65693</v>
      </c>
    </row>
    <row r="128" spans="1:9" ht="63.75" x14ac:dyDescent="0.2">
      <c r="A128" s="296"/>
      <c r="B128" s="297"/>
      <c r="C128" s="297"/>
      <c r="D128" s="297" t="s">
        <v>38</v>
      </c>
      <c r="E128" s="297">
        <v>2</v>
      </c>
      <c r="F128" s="297">
        <v>0</v>
      </c>
      <c r="G128" s="297"/>
      <c r="H128" s="298"/>
      <c r="I128" s="299" t="s">
        <v>134</v>
      </c>
    </row>
    <row r="129" spans="1:9" x14ac:dyDescent="0.2">
      <c r="A129" s="296" t="s">
        <v>403</v>
      </c>
      <c r="B129" s="297" t="s">
        <v>404</v>
      </c>
      <c r="C129" s="297" t="s">
        <v>52</v>
      </c>
      <c r="D129" s="297"/>
      <c r="E129" s="297"/>
      <c r="F129" s="297"/>
      <c r="G129" s="297" t="s">
        <v>162</v>
      </c>
      <c r="H129" s="298"/>
      <c r="I129" s="299">
        <v>66472</v>
      </c>
    </row>
    <row r="130" spans="1:9" x14ac:dyDescent="0.2">
      <c r="A130" s="296"/>
      <c r="B130" s="297"/>
      <c r="C130" s="297"/>
      <c r="D130" s="297" t="s">
        <v>38</v>
      </c>
      <c r="E130" s="297">
        <v>1</v>
      </c>
      <c r="F130" s="297">
        <v>1</v>
      </c>
      <c r="G130" s="297"/>
      <c r="H130" s="298"/>
      <c r="I130" s="299"/>
    </row>
    <row r="131" spans="1:9" x14ac:dyDescent="0.2">
      <c r="A131" s="296" t="s">
        <v>405</v>
      </c>
      <c r="B131" s="297" t="s">
        <v>406</v>
      </c>
      <c r="C131" s="297" t="s">
        <v>52</v>
      </c>
      <c r="D131" s="297"/>
      <c r="E131" s="297"/>
      <c r="F131" s="297"/>
      <c r="G131" s="297" t="s">
        <v>162</v>
      </c>
      <c r="H131" s="298"/>
      <c r="I131" s="299">
        <v>66473</v>
      </c>
    </row>
    <row r="132" spans="1:9" x14ac:dyDescent="0.2">
      <c r="A132" s="296"/>
      <c r="B132" s="297"/>
      <c r="C132" s="297"/>
      <c r="D132" s="297" t="s">
        <v>38</v>
      </c>
      <c r="E132" s="297">
        <v>1</v>
      </c>
      <c r="F132" s="297">
        <v>1</v>
      </c>
      <c r="G132" s="297"/>
      <c r="H132" s="298"/>
      <c r="I132" s="299"/>
    </row>
    <row r="133" spans="1:9" x14ac:dyDescent="0.2">
      <c r="A133" s="296" t="s">
        <v>407</v>
      </c>
      <c r="B133" s="297" t="s">
        <v>408</v>
      </c>
      <c r="C133" s="297" t="s">
        <v>52</v>
      </c>
      <c r="D133" s="297"/>
      <c r="E133" s="297"/>
      <c r="F133" s="297"/>
      <c r="G133" s="297" t="s">
        <v>162</v>
      </c>
      <c r="H133" s="298"/>
      <c r="I133" s="299">
        <v>66048</v>
      </c>
    </row>
    <row r="134" spans="1:9" x14ac:dyDescent="0.2">
      <c r="A134" s="296"/>
      <c r="B134" s="297"/>
      <c r="C134" s="297"/>
      <c r="D134" s="297" t="s">
        <v>38</v>
      </c>
      <c r="E134" s="297">
        <v>1</v>
      </c>
      <c r="F134" s="297">
        <v>3</v>
      </c>
      <c r="G134" s="297"/>
      <c r="H134" s="298"/>
      <c r="I134" s="299"/>
    </row>
    <row r="135" spans="1:9" ht="25.5" x14ac:dyDescent="0.2">
      <c r="A135" s="296" t="s">
        <v>409</v>
      </c>
      <c r="B135" s="297" t="s">
        <v>410</v>
      </c>
      <c r="C135" s="297" t="s">
        <v>52</v>
      </c>
      <c r="D135" s="297"/>
      <c r="E135" s="297"/>
      <c r="F135" s="297"/>
      <c r="G135" s="297" t="s">
        <v>162</v>
      </c>
      <c r="H135" s="298"/>
      <c r="I135" s="299">
        <v>70239</v>
      </c>
    </row>
    <row r="136" spans="1:9" x14ac:dyDescent="0.2">
      <c r="A136" s="296"/>
      <c r="B136" s="297"/>
      <c r="C136" s="297"/>
      <c r="D136" s="297" t="s">
        <v>38</v>
      </c>
      <c r="E136" s="297">
        <v>1</v>
      </c>
      <c r="F136" s="297">
        <v>3</v>
      </c>
      <c r="G136" s="297"/>
      <c r="H136" s="298"/>
      <c r="I136" s="299"/>
    </row>
    <row r="137" spans="1:9" x14ac:dyDescent="0.2">
      <c r="A137" s="296" t="s">
        <v>411</v>
      </c>
      <c r="B137" s="297" t="s">
        <v>412</v>
      </c>
      <c r="C137" s="297" t="s">
        <v>52</v>
      </c>
      <c r="D137" s="297"/>
      <c r="E137" s="297"/>
      <c r="F137" s="297"/>
      <c r="G137" s="297" t="s">
        <v>162</v>
      </c>
      <c r="H137" s="298"/>
      <c r="I137" s="299">
        <v>70315</v>
      </c>
    </row>
    <row r="138" spans="1:9" x14ac:dyDescent="0.2">
      <c r="A138" s="296"/>
      <c r="B138" s="297"/>
      <c r="C138" s="297"/>
      <c r="D138" s="297" t="s">
        <v>38</v>
      </c>
      <c r="E138" s="297">
        <v>1</v>
      </c>
      <c r="F138" s="297">
        <v>2</v>
      </c>
      <c r="G138" s="297"/>
      <c r="H138" s="298"/>
      <c r="I138" s="299"/>
    </row>
    <row r="139" spans="1:9" x14ac:dyDescent="0.2">
      <c r="A139" s="296" t="s">
        <v>413</v>
      </c>
      <c r="B139" s="297" t="s">
        <v>414</v>
      </c>
      <c r="C139" s="297" t="s">
        <v>52</v>
      </c>
      <c r="D139" s="297"/>
      <c r="E139" s="297"/>
      <c r="F139" s="297"/>
      <c r="G139" s="297" t="s">
        <v>162</v>
      </c>
      <c r="H139" s="298"/>
      <c r="I139" s="299">
        <v>71554</v>
      </c>
    </row>
    <row r="140" spans="1:9" x14ac:dyDescent="0.2">
      <c r="A140" s="296"/>
      <c r="B140" s="297"/>
      <c r="C140" s="297"/>
      <c r="D140" s="297" t="s">
        <v>38</v>
      </c>
      <c r="E140" s="297">
        <v>1</v>
      </c>
      <c r="F140" s="297">
        <v>1</v>
      </c>
      <c r="G140" s="297"/>
      <c r="H140" s="298"/>
      <c r="I140" s="299" t="s">
        <v>415</v>
      </c>
    </row>
    <row r="141" spans="1:9" x14ac:dyDescent="0.2">
      <c r="A141" s="296"/>
      <c r="B141" s="297"/>
      <c r="C141" s="297"/>
      <c r="D141" s="297" t="s">
        <v>38</v>
      </c>
      <c r="E141" s="297">
        <v>4</v>
      </c>
      <c r="F141" s="297">
        <v>5000</v>
      </c>
      <c r="G141" s="297"/>
      <c r="H141" s="298"/>
      <c r="I141" s="299" t="s">
        <v>416</v>
      </c>
    </row>
    <row r="142" spans="1:9" x14ac:dyDescent="0.2">
      <c r="A142" s="296"/>
      <c r="B142" s="297"/>
      <c r="C142" s="297"/>
      <c r="D142" s="297" t="s">
        <v>38</v>
      </c>
      <c r="E142" s="297">
        <v>1</v>
      </c>
      <c r="F142" s="297">
        <v>1</v>
      </c>
      <c r="G142" s="297"/>
      <c r="H142" s="298"/>
      <c r="I142" s="299" t="s">
        <v>417</v>
      </c>
    </row>
    <row r="143" spans="1:9" x14ac:dyDescent="0.2">
      <c r="A143" s="296"/>
      <c r="B143" s="297"/>
      <c r="C143" s="297"/>
      <c r="D143" s="297" t="s">
        <v>38</v>
      </c>
      <c r="E143" s="297">
        <v>2</v>
      </c>
      <c r="F143" s="297"/>
      <c r="G143" s="297"/>
      <c r="H143" s="298"/>
      <c r="I143" s="299" t="s">
        <v>418</v>
      </c>
    </row>
    <row r="144" spans="1:9" x14ac:dyDescent="0.2">
      <c r="A144" s="296" t="s">
        <v>419</v>
      </c>
      <c r="B144" s="297" t="s">
        <v>420</v>
      </c>
      <c r="C144" s="297" t="s">
        <v>52</v>
      </c>
      <c r="D144" s="297"/>
      <c r="E144" s="297"/>
      <c r="F144" s="297"/>
      <c r="G144" s="297" t="s">
        <v>162</v>
      </c>
      <c r="H144" s="298"/>
      <c r="I144" s="299">
        <v>73545</v>
      </c>
    </row>
    <row r="145" spans="1:9" x14ac:dyDescent="0.2">
      <c r="A145" s="296"/>
      <c r="B145" s="297"/>
      <c r="C145" s="297"/>
      <c r="D145" s="297" t="s">
        <v>38</v>
      </c>
      <c r="E145" s="297">
        <v>1</v>
      </c>
      <c r="F145" s="297">
        <v>0</v>
      </c>
      <c r="G145" s="297"/>
      <c r="H145" s="298"/>
      <c r="I145" s="299" t="s">
        <v>421</v>
      </c>
    </row>
    <row r="146" spans="1:9" ht="25.5" x14ac:dyDescent="0.2">
      <c r="A146" s="296"/>
      <c r="B146" s="297"/>
      <c r="C146" s="297"/>
      <c r="D146" s="297" t="s">
        <v>38</v>
      </c>
      <c r="E146" s="297">
        <v>1</v>
      </c>
      <c r="F146" s="297">
        <v>1</v>
      </c>
      <c r="G146" s="297"/>
      <c r="H146" s="298"/>
      <c r="I146" s="299" t="s">
        <v>422</v>
      </c>
    </row>
    <row r="147" spans="1:9" x14ac:dyDescent="0.2">
      <c r="A147" s="296"/>
      <c r="B147" s="297"/>
      <c r="C147" s="297"/>
      <c r="D147" s="297" t="s">
        <v>38</v>
      </c>
      <c r="E147" s="297">
        <v>1</v>
      </c>
      <c r="F147" s="297">
        <v>1</v>
      </c>
      <c r="G147" s="297"/>
      <c r="H147" s="298"/>
      <c r="I147" s="299" t="s">
        <v>423</v>
      </c>
    </row>
    <row r="148" spans="1:9" x14ac:dyDescent="0.2">
      <c r="A148" s="296"/>
      <c r="B148" s="297"/>
      <c r="C148" s="297"/>
      <c r="D148" s="297" t="s">
        <v>38</v>
      </c>
      <c r="E148" s="297">
        <v>1</v>
      </c>
      <c r="F148" s="297">
        <v>5</v>
      </c>
      <c r="G148" s="297"/>
      <c r="H148" s="298"/>
      <c r="I148" s="299" t="s">
        <v>424</v>
      </c>
    </row>
    <row r="149" spans="1:9" x14ac:dyDescent="0.2">
      <c r="A149" s="296"/>
      <c r="B149" s="297"/>
      <c r="C149" s="297"/>
      <c r="D149" s="297" t="s">
        <v>38</v>
      </c>
      <c r="E149" s="297">
        <v>1</v>
      </c>
      <c r="F149" s="297">
        <v>0</v>
      </c>
      <c r="G149" s="297"/>
      <c r="H149" s="298"/>
      <c r="I149" s="299" t="s">
        <v>425</v>
      </c>
    </row>
    <row r="150" spans="1:9" x14ac:dyDescent="0.2">
      <c r="A150" s="296"/>
      <c r="B150" s="297"/>
      <c r="C150" s="297"/>
      <c r="D150" s="297" t="s">
        <v>38</v>
      </c>
      <c r="E150" s="297">
        <v>1</v>
      </c>
      <c r="F150" s="297">
        <v>0</v>
      </c>
      <c r="G150" s="297"/>
      <c r="H150" s="298"/>
      <c r="I150" s="299" t="s">
        <v>426</v>
      </c>
    </row>
    <row r="151" spans="1:9" x14ac:dyDescent="0.2">
      <c r="A151" s="296"/>
      <c r="B151" s="297"/>
      <c r="C151" s="297"/>
      <c r="D151" s="297" t="s">
        <v>38</v>
      </c>
      <c r="E151" s="297">
        <v>1</v>
      </c>
      <c r="F151" s="297">
        <v>0</v>
      </c>
      <c r="G151" s="297"/>
      <c r="H151" s="298"/>
      <c r="I151" s="299" t="s">
        <v>427</v>
      </c>
    </row>
    <row r="152" spans="1:9" x14ac:dyDescent="0.2">
      <c r="A152" s="296"/>
      <c r="B152" s="297"/>
      <c r="C152" s="297"/>
      <c r="D152" s="297" t="s">
        <v>38</v>
      </c>
      <c r="E152" s="297">
        <v>1</v>
      </c>
      <c r="F152" s="297">
        <v>0</v>
      </c>
      <c r="G152" s="297"/>
      <c r="H152" s="298"/>
      <c r="I152" s="299" t="s">
        <v>428</v>
      </c>
    </row>
    <row r="153" spans="1:9" x14ac:dyDescent="0.2">
      <c r="A153" s="296"/>
      <c r="B153" s="297"/>
      <c r="C153" s="297"/>
      <c r="D153" s="297" t="s">
        <v>38</v>
      </c>
      <c r="E153" s="297">
        <v>1</v>
      </c>
      <c r="F153" s="297">
        <v>0</v>
      </c>
      <c r="G153" s="297"/>
      <c r="H153" s="298"/>
      <c r="I153" s="299" t="s">
        <v>429</v>
      </c>
    </row>
    <row r="154" spans="1:9" x14ac:dyDescent="0.2">
      <c r="A154" s="296"/>
      <c r="B154" s="297"/>
      <c r="C154" s="297"/>
      <c r="D154" s="297" t="s">
        <v>38</v>
      </c>
      <c r="E154" s="297">
        <v>1</v>
      </c>
      <c r="F154" s="297">
        <v>0</v>
      </c>
      <c r="G154" s="297"/>
      <c r="H154" s="298"/>
      <c r="I154" s="299" t="s">
        <v>430</v>
      </c>
    </row>
    <row r="155" spans="1:9" x14ac:dyDescent="0.2">
      <c r="A155" s="296"/>
      <c r="B155" s="297"/>
      <c r="C155" s="297"/>
      <c r="D155" s="297" t="s">
        <v>38</v>
      </c>
      <c r="E155" s="297">
        <v>1</v>
      </c>
      <c r="F155" s="297">
        <v>0</v>
      </c>
      <c r="G155" s="297"/>
      <c r="H155" s="298"/>
      <c r="I155" s="299" t="s">
        <v>431</v>
      </c>
    </row>
    <row r="156" spans="1:9" ht="25.5" x14ac:dyDescent="0.2">
      <c r="A156" s="296" t="s">
        <v>432</v>
      </c>
      <c r="B156" s="297" t="s">
        <v>433</v>
      </c>
      <c r="C156" s="297" t="s">
        <v>52</v>
      </c>
      <c r="D156" s="297"/>
      <c r="E156" s="297"/>
      <c r="F156" s="297"/>
      <c r="G156" s="297" t="s">
        <v>162</v>
      </c>
      <c r="H156" s="298"/>
      <c r="I156" s="299">
        <v>73544</v>
      </c>
    </row>
    <row r="157" spans="1:9" x14ac:dyDescent="0.2">
      <c r="A157" s="296"/>
      <c r="B157" s="297"/>
      <c r="C157" s="297"/>
      <c r="D157" s="297" t="s">
        <v>38</v>
      </c>
      <c r="E157" s="297">
        <v>1</v>
      </c>
      <c r="F157" s="297">
        <v>1</v>
      </c>
      <c r="G157" s="297"/>
      <c r="H157" s="298"/>
      <c r="I157" s="299" t="s">
        <v>432</v>
      </c>
    </row>
    <row r="158" spans="1:9" x14ac:dyDescent="0.2">
      <c r="A158" s="296" t="s">
        <v>434</v>
      </c>
      <c r="B158" s="297"/>
      <c r="C158" s="297"/>
      <c r="D158" s="297"/>
      <c r="E158" s="297"/>
      <c r="F158" s="297"/>
      <c r="G158" s="297"/>
      <c r="H158" s="298"/>
      <c r="I158" s="299"/>
    </row>
    <row r="159" spans="1:9" x14ac:dyDescent="0.2">
      <c r="A159" s="296" t="s">
        <v>435</v>
      </c>
      <c r="B159" s="297" t="s">
        <v>436</v>
      </c>
      <c r="C159" s="297" t="s">
        <v>52</v>
      </c>
      <c r="D159" s="297"/>
      <c r="E159" s="297"/>
      <c r="F159" s="297"/>
      <c r="G159" s="297" t="s">
        <v>162</v>
      </c>
      <c r="H159" s="298"/>
      <c r="I159" s="299">
        <v>65956</v>
      </c>
    </row>
    <row r="160" spans="1:9" x14ac:dyDescent="0.2">
      <c r="A160" s="296"/>
      <c r="B160" s="297"/>
      <c r="C160" s="297"/>
      <c r="D160" s="297" t="s">
        <v>38</v>
      </c>
      <c r="E160" s="297">
        <v>2</v>
      </c>
      <c r="F160" s="297">
        <v>1</v>
      </c>
      <c r="G160" s="297"/>
      <c r="H160" s="298"/>
      <c r="I160" s="299" t="s">
        <v>437</v>
      </c>
    </row>
    <row r="161" spans="1:9" x14ac:dyDescent="0.2">
      <c r="A161" s="296" t="s">
        <v>438</v>
      </c>
      <c r="B161" s="297" t="s">
        <v>439</v>
      </c>
      <c r="C161" s="297" t="s">
        <v>52</v>
      </c>
      <c r="D161" s="297"/>
      <c r="E161" s="297"/>
      <c r="F161" s="297"/>
      <c r="G161" s="297" t="s">
        <v>162</v>
      </c>
      <c r="H161" s="298"/>
      <c r="I161" s="299">
        <v>65961</v>
      </c>
    </row>
    <row r="162" spans="1:9" x14ac:dyDescent="0.2">
      <c r="A162" s="296"/>
      <c r="B162" s="297"/>
      <c r="C162" s="297"/>
      <c r="D162" s="297" t="s">
        <v>38</v>
      </c>
      <c r="E162" s="297">
        <v>1</v>
      </c>
      <c r="F162" s="297">
        <v>0</v>
      </c>
      <c r="G162" s="297"/>
      <c r="H162" s="298"/>
      <c r="I162" s="299" t="s">
        <v>440</v>
      </c>
    </row>
    <row r="163" spans="1:9" x14ac:dyDescent="0.2">
      <c r="A163" s="296" t="s">
        <v>441</v>
      </c>
      <c r="B163" s="297" t="s">
        <v>442</v>
      </c>
      <c r="C163" s="297" t="s">
        <v>52</v>
      </c>
      <c r="D163" s="297"/>
      <c r="E163" s="297"/>
      <c r="F163" s="297"/>
      <c r="G163" s="297" t="s">
        <v>162</v>
      </c>
      <c r="H163" s="298"/>
      <c r="I163" s="299">
        <v>67218</v>
      </c>
    </row>
    <row r="164" spans="1:9" x14ac:dyDescent="0.2">
      <c r="A164" s="296"/>
      <c r="B164" s="297"/>
      <c r="C164" s="297"/>
      <c r="D164" s="297" t="s">
        <v>38</v>
      </c>
      <c r="E164" s="297">
        <v>1</v>
      </c>
      <c r="F164" s="297">
        <v>1</v>
      </c>
      <c r="G164" s="297"/>
      <c r="H164" s="298"/>
      <c r="I164" s="299" t="s">
        <v>443</v>
      </c>
    </row>
    <row r="165" spans="1:9" x14ac:dyDescent="0.2">
      <c r="A165" s="296" t="s">
        <v>444</v>
      </c>
      <c r="B165" s="297" t="s">
        <v>445</v>
      </c>
      <c r="C165" s="297" t="s">
        <v>52</v>
      </c>
      <c r="D165" s="297"/>
      <c r="E165" s="297"/>
      <c r="F165" s="297"/>
      <c r="G165" s="297" t="s">
        <v>162</v>
      </c>
      <c r="H165" s="298"/>
      <c r="I165" s="299">
        <v>67261</v>
      </c>
    </row>
    <row r="166" spans="1:9" x14ac:dyDescent="0.2">
      <c r="A166" s="296"/>
      <c r="B166" s="297"/>
      <c r="C166" s="297"/>
      <c r="D166" s="297" t="s">
        <v>38</v>
      </c>
      <c r="E166" s="297">
        <v>2</v>
      </c>
      <c r="F166" s="297">
        <v>0</v>
      </c>
      <c r="G166" s="297"/>
      <c r="H166" s="298"/>
      <c r="I166" s="299" t="s">
        <v>446</v>
      </c>
    </row>
    <row r="167" spans="1:9" x14ac:dyDescent="0.2">
      <c r="A167" s="296"/>
      <c r="B167" s="297"/>
      <c r="C167" s="297"/>
      <c r="D167" s="297" t="s">
        <v>38</v>
      </c>
      <c r="E167" s="297">
        <v>2</v>
      </c>
      <c r="F167" s="297">
        <v>0</v>
      </c>
      <c r="G167" s="297"/>
      <c r="H167" s="298"/>
      <c r="I167" s="299" t="s">
        <v>447</v>
      </c>
    </row>
    <row r="168" spans="1:9" x14ac:dyDescent="0.2">
      <c r="A168" s="296"/>
      <c r="B168" s="297"/>
      <c r="C168" s="297"/>
      <c r="D168" s="297" t="s">
        <v>38</v>
      </c>
      <c r="E168" s="297">
        <v>1</v>
      </c>
      <c r="F168" s="297">
        <v>0</v>
      </c>
      <c r="G168" s="297"/>
      <c r="H168" s="298"/>
      <c r="I168" s="299" t="s">
        <v>448</v>
      </c>
    </row>
    <row r="169" spans="1:9" x14ac:dyDescent="0.2">
      <c r="A169" s="296"/>
      <c r="B169" s="297"/>
      <c r="C169" s="297"/>
      <c r="D169" s="297" t="s">
        <v>38</v>
      </c>
      <c r="E169" s="297">
        <v>1</v>
      </c>
      <c r="F169" s="297">
        <v>1</v>
      </c>
      <c r="G169" s="297"/>
      <c r="H169" s="298"/>
      <c r="I169" s="299" t="s">
        <v>449</v>
      </c>
    </row>
    <row r="170" spans="1:9" x14ac:dyDescent="0.2">
      <c r="A170" s="296"/>
      <c r="B170" s="297"/>
      <c r="C170" s="297"/>
      <c r="D170" s="297" t="s">
        <v>38</v>
      </c>
      <c r="E170" s="297">
        <v>2</v>
      </c>
      <c r="F170" s="297">
        <v>0</v>
      </c>
      <c r="G170" s="297"/>
      <c r="H170" s="298"/>
      <c r="I170" s="299" t="s">
        <v>450</v>
      </c>
    </row>
    <row r="171" spans="1:9" x14ac:dyDescent="0.2">
      <c r="A171" s="296"/>
      <c r="B171" s="297"/>
      <c r="C171" s="297"/>
      <c r="D171" s="297" t="s">
        <v>38</v>
      </c>
      <c r="E171" s="297">
        <v>1</v>
      </c>
      <c r="F171" s="297">
        <v>0</v>
      </c>
      <c r="G171" s="297"/>
      <c r="H171" s="298"/>
      <c r="I171" s="299" t="s">
        <v>451</v>
      </c>
    </row>
    <row r="172" spans="1:9" x14ac:dyDescent="0.2">
      <c r="A172" s="296"/>
      <c r="B172" s="297"/>
      <c r="C172" s="297"/>
      <c r="D172" s="297" t="s">
        <v>38</v>
      </c>
      <c r="E172" s="297">
        <v>4</v>
      </c>
      <c r="F172" s="297">
        <v>0</v>
      </c>
      <c r="G172" s="297"/>
      <c r="H172" s="298"/>
      <c r="I172" s="299" t="s">
        <v>452</v>
      </c>
    </row>
    <row r="173" spans="1:9" x14ac:dyDescent="0.2">
      <c r="A173" s="296"/>
      <c r="B173" s="297"/>
      <c r="C173" s="297"/>
      <c r="D173" s="297" t="s">
        <v>38</v>
      </c>
      <c r="E173" s="297">
        <v>1</v>
      </c>
      <c r="F173" s="297">
        <v>2</v>
      </c>
      <c r="G173" s="297"/>
      <c r="H173" s="298"/>
      <c r="I173" s="299" t="s">
        <v>453</v>
      </c>
    </row>
    <row r="174" spans="1:9" x14ac:dyDescent="0.2">
      <c r="A174" s="296" t="s">
        <v>454</v>
      </c>
      <c r="B174" s="297" t="s">
        <v>455</v>
      </c>
      <c r="C174" s="297" t="s">
        <v>52</v>
      </c>
      <c r="D174" s="297"/>
      <c r="E174" s="297"/>
      <c r="F174" s="297"/>
      <c r="G174" s="297" t="s">
        <v>162</v>
      </c>
      <c r="H174" s="298"/>
      <c r="I174" s="299">
        <v>67264</v>
      </c>
    </row>
    <row r="175" spans="1:9" x14ac:dyDescent="0.2">
      <c r="A175" s="296"/>
      <c r="B175" s="297"/>
      <c r="C175" s="297"/>
      <c r="D175" s="297" t="s">
        <v>38</v>
      </c>
      <c r="E175" s="297">
        <v>1</v>
      </c>
      <c r="F175" s="297">
        <v>1</v>
      </c>
      <c r="G175" s="297"/>
      <c r="H175" s="298"/>
      <c r="I175" s="299" t="s">
        <v>456</v>
      </c>
    </row>
    <row r="176" spans="1:9" ht="25.5" x14ac:dyDescent="0.2">
      <c r="A176" s="296"/>
      <c r="B176" s="297"/>
      <c r="C176" s="297"/>
      <c r="D176" s="297" t="s">
        <v>38</v>
      </c>
      <c r="E176" s="297">
        <v>1</v>
      </c>
      <c r="F176" s="297">
        <v>2</v>
      </c>
      <c r="G176" s="297"/>
      <c r="H176" s="298"/>
      <c r="I176" s="299" t="s">
        <v>457</v>
      </c>
    </row>
    <row r="177" spans="1:9" ht="38.25" x14ac:dyDescent="0.2">
      <c r="A177" s="296"/>
      <c r="B177" s="297"/>
      <c r="C177" s="297"/>
      <c r="D177" s="297" t="s">
        <v>39</v>
      </c>
      <c r="E177" s="297">
        <v>32</v>
      </c>
      <c r="F177" s="297" t="s">
        <v>458</v>
      </c>
      <c r="G177" s="297"/>
      <c r="H177" s="298"/>
      <c r="I177" s="299" t="s">
        <v>459</v>
      </c>
    </row>
    <row r="178" spans="1:9" x14ac:dyDescent="0.2">
      <c r="A178" s="296"/>
      <c r="B178" s="297"/>
      <c r="C178" s="297"/>
      <c r="D178" s="297" t="s">
        <v>38</v>
      </c>
      <c r="E178" s="297">
        <v>1</v>
      </c>
      <c r="F178" s="297">
        <v>1</v>
      </c>
      <c r="G178" s="297"/>
      <c r="H178" s="298"/>
      <c r="I178" s="299" t="s">
        <v>460</v>
      </c>
    </row>
    <row r="179" spans="1:9" x14ac:dyDescent="0.2">
      <c r="A179" s="296"/>
      <c r="B179" s="297"/>
      <c r="C179" s="297"/>
      <c r="D179" s="297" t="s">
        <v>38</v>
      </c>
      <c r="E179" s="297">
        <v>1</v>
      </c>
      <c r="F179" s="297">
        <v>1</v>
      </c>
      <c r="G179" s="297"/>
      <c r="H179" s="298"/>
      <c r="I179" s="299" t="s">
        <v>461</v>
      </c>
    </row>
    <row r="180" spans="1:9" x14ac:dyDescent="0.2">
      <c r="A180" s="296"/>
      <c r="B180" s="297"/>
      <c r="C180" s="297"/>
      <c r="D180" s="297" t="s">
        <v>38</v>
      </c>
      <c r="E180" s="297">
        <v>1</v>
      </c>
      <c r="F180" s="297">
        <v>0</v>
      </c>
      <c r="G180" s="297"/>
      <c r="H180" s="298"/>
      <c r="I180" s="299" t="s">
        <v>462</v>
      </c>
    </row>
    <row r="181" spans="1:9" x14ac:dyDescent="0.2">
      <c r="A181" s="296"/>
      <c r="B181" s="297"/>
      <c r="C181" s="297"/>
      <c r="D181" s="297" t="s">
        <v>38</v>
      </c>
      <c r="E181" s="297">
        <v>1</v>
      </c>
      <c r="F181" s="297">
        <v>0</v>
      </c>
      <c r="G181" s="297"/>
      <c r="H181" s="298"/>
      <c r="I181" s="299" t="s">
        <v>463</v>
      </c>
    </row>
    <row r="182" spans="1:9" x14ac:dyDescent="0.2">
      <c r="A182" s="296"/>
      <c r="B182" s="297"/>
      <c r="C182" s="297"/>
      <c r="D182" s="297" t="s">
        <v>39</v>
      </c>
      <c r="E182" s="297">
        <v>256</v>
      </c>
      <c r="F182" s="297"/>
      <c r="G182" s="297"/>
      <c r="H182" s="298"/>
      <c r="I182" s="299" t="s">
        <v>464</v>
      </c>
    </row>
    <row r="183" spans="1:9" x14ac:dyDescent="0.2">
      <c r="A183" s="296"/>
      <c r="B183" s="297"/>
      <c r="C183" s="297"/>
      <c r="D183" s="297" t="s">
        <v>38</v>
      </c>
      <c r="E183" s="297">
        <v>1</v>
      </c>
      <c r="F183" s="297">
        <v>10</v>
      </c>
      <c r="G183" s="297"/>
      <c r="H183" s="298"/>
      <c r="I183" s="299" t="s">
        <v>465</v>
      </c>
    </row>
    <row r="184" spans="1:9" x14ac:dyDescent="0.2">
      <c r="A184" s="296"/>
      <c r="B184" s="297"/>
      <c r="C184" s="297"/>
      <c r="D184" s="297" t="s">
        <v>38</v>
      </c>
      <c r="E184" s="297">
        <v>1</v>
      </c>
      <c r="F184" s="297">
        <v>0</v>
      </c>
      <c r="G184" s="297"/>
      <c r="H184" s="298"/>
      <c r="I184" s="299" t="s">
        <v>466</v>
      </c>
    </row>
    <row r="185" spans="1:9" x14ac:dyDescent="0.2">
      <c r="A185" s="296"/>
      <c r="B185" s="297"/>
      <c r="C185" s="297"/>
      <c r="D185" s="297" t="s">
        <v>38</v>
      </c>
      <c r="E185" s="297">
        <v>1</v>
      </c>
      <c r="F185" s="297">
        <v>0</v>
      </c>
      <c r="G185" s="297"/>
      <c r="H185" s="298"/>
      <c r="I185" s="299" t="s">
        <v>467</v>
      </c>
    </row>
    <row r="186" spans="1:9" x14ac:dyDescent="0.2">
      <c r="A186" s="296"/>
      <c r="B186" s="297"/>
      <c r="C186" s="297"/>
      <c r="D186" s="297" t="s">
        <v>38</v>
      </c>
      <c r="E186" s="297">
        <v>2</v>
      </c>
      <c r="F186" s="297">
        <v>0</v>
      </c>
      <c r="G186" s="297"/>
      <c r="H186" s="298"/>
      <c r="I186" s="299" t="s">
        <v>468</v>
      </c>
    </row>
    <row r="187" spans="1:9" x14ac:dyDescent="0.2">
      <c r="A187" s="296"/>
      <c r="B187" s="297"/>
      <c r="C187" s="297"/>
      <c r="D187" s="297" t="s">
        <v>38</v>
      </c>
      <c r="E187" s="297">
        <v>1</v>
      </c>
      <c r="F187" s="297">
        <v>0</v>
      </c>
      <c r="G187" s="297"/>
      <c r="H187" s="298"/>
      <c r="I187" s="299" t="s">
        <v>469</v>
      </c>
    </row>
    <row r="188" spans="1:9" x14ac:dyDescent="0.2">
      <c r="A188" s="296"/>
      <c r="B188" s="297"/>
      <c r="C188" s="297"/>
      <c r="D188" s="297" t="s">
        <v>38</v>
      </c>
      <c r="E188" s="297">
        <v>1</v>
      </c>
      <c r="F188" s="297">
        <v>0</v>
      </c>
      <c r="G188" s="297"/>
      <c r="H188" s="298"/>
      <c r="I188" s="299" t="s">
        <v>470</v>
      </c>
    </row>
    <row r="189" spans="1:9" x14ac:dyDescent="0.2">
      <c r="A189" s="296"/>
      <c r="B189" s="297"/>
      <c r="C189" s="297"/>
      <c r="D189" s="297" t="s">
        <v>39</v>
      </c>
      <c r="E189" s="297">
        <v>32</v>
      </c>
      <c r="F189" s="297"/>
      <c r="G189" s="297"/>
      <c r="H189" s="298"/>
      <c r="I189" s="299" t="s">
        <v>471</v>
      </c>
    </row>
    <row r="190" spans="1:9" x14ac:dyDescent="0.2">
      <c r="A190" s="296"/>
      <c r="B190" s="297"/>
      <c r="C190" s="297"/>
      <c r="D190" s="297" t="s">
        <v>39</v>
      </c>
      <c r="E190" s="297">
        <v>32</v>
      </c>
      <c r="F190" s="297"/>
      <c r="G190" s="297"/>
      <c r="H190" s="298"/>
      <c r="I190" s="299" t="s">
        <v>472</v>
      </c>
    </row>
    <row r="191" spans="1:9" x14ac:dyDescent="0.2">
      <c r="A191" s="296"/>
      <c r="B191" s="297"/>
      <c r="C191" s="297"/>
      <c r="D191" s="297" t="s">
        <v>38</v>
      </c>
      <c r="E191" s="297">
        <v>1</v>
      </c>
      <c r="F191" s="297">
        <v>60</v>
      </c>
      <c r="G191" s="297"/>
      <c r="H191" s="298"/>
      <c r="I191" s="299" t="s">
        <v>473</v>
      </c>
    </row>
    <row r="192" spans="1:9" x14ac:dyDescent="0.2">
      <c r="A192" s="296"/>
      <c r="B192" s="297"/>
      <c r="C192" s="297"/>
      <c r="D192" s="297" t="s">
        <v>39</v>
      </c>
      <c r="E192" s="297">
        <v>32</v>
      </c>
      <c r="F192" s="297" t="s">
        <v>474</v>
      </c>
      <c r="G192" s="297"/>
      <c r="H192" s="298"/>
      <c r="I192" s="299" t="s">
        <v>475</v>
      </c>
    </row>
    <row r="193" spans="1:9" x14ac:dyDescent="0.2">
      <c r="A193" s="296"/>
      <c r="B193" s="297"/>
      <c r="C193" s="297"/>
      <c r="D193" s="297" t="s">
        <v>38</v>
      </c>
      <c r="E193" s="297">
        <v>1</v>
      </c>
      <c r="F193" s="297">
        <v>1</v>
      </c>
      <c r="G193" s="297"/>
      <c r="H193" s="298"/>
      <c r="I193" s="299" t="s">
        <v>476</v>
      </c>
    </row>
    <row r="194" spans="1:9" x14ac:dyDescent="0.2">
      <c r="A194" s="296"/>
      <c r="B194" s="297"/>
      <c r="C194" s="297"/>
      <c r="D194" s="297" t="s">
        <v>38</v>
      </c>
      <c r="E194" s="297">
        <v>1</v>
      </c>
      <c r="F194" s="297">
        <v>15</v>
      </c>
      <c r="G194" s="297"/>
      <c r="H194" s="298"/>
      <c r="I194" s="299" t="s">
        <v>477</v>
      </c>
    </row>
    <row r="195" spans="1:9" x14ac:dyDescent="0.2">
      <c r="A195" s="296"/>
      <c r="B195" s="297"/>
      <c r="C195" s="297"/>
      <c r="D195" s="297" t="s">
        <v>38</v>
      </c>
      <c r="E195" s="297">
        <v>1</v>
      </c>
      <c r="F195" s="297">
        <v>3</v>
      </c>
      <c r="G195" s="297"/>
      <c r="H195" s="298"/>
      <c r="I195" s="299" t="s">
        <v>478</v>
      </c>
    </row>
    <row r="196" spans="1:9" x14ac:dyDescent="0.2">
      <c r="A196" s="296"/>
      <c r="B196" s="297"/>
      <c r="C196" s="297"/>
      <c r="D196" s="297" t="s">
        <v>38</v>
      </c>
      <c r="E196" s="297">
        <v>1</v>
      </c>
      <c r="F196" s="297">
        <v>30</v>
      </c>
      <c r="G196" s="297"/>
      <c r="H196" s="298"/>
      <c r="I196" s="299" t="s">
        <v>479</v>
      </c>
    </row>
    <row r="197" spans="1:9" x14ac:dyDescent="0.2">
      <c r="A197" s="296"/>
      <c r="B197" s="297"/>
      <c r="C197" s="297"/>
      <c r="D197" s="297" t="s">
        <v>38</v>
      </c>
      <c r="E197" s="297">
        <v>1</v>
      </c>
      <c r="F197" s="297">
        <v>0</v>
      </c>
      <c r="G197" s="297"/>
      <c r="H197" s="298"/>
      <c r="I197" s="299" t="s">
        <v>480</v>
      </c>
    </row>
    <row r="198" spans="1:9" x14ac:dyDescent="0.2">
      <c r="A198" s="296"/>
      <c r="B198" s="297"/>
      <c r="C198" s="297"/>
      <c r="D198" s="297" t="s">
        <v>38</v>
      </c>
      <c r="E198" s="297">
        <v>2</v>
      </c>
      <c r="F198" s="297">
        <v>5060</v>
      </c>
      <c r="G198" s="297"/>
      <c r="H198" s="298"/>
      <c r="I198" s="299" t="s">
        <v>481</v>
      </c>
    </row>
    <row r="199" spans="1:9" x14ac:dyDescent="0.2">
      <c r="A199" s="296" t="s">
        <v>482</v>
      </c>
      <c r="B199" s="297" t="s">
        <v>483</v>
      </c>
      <c r="C199" s="297" t="s">
        <v>52</v>
      </c>
      <c r="D199" s="297"/>
      <c r="E199" s="297"/>
      <c r="F199" s="297" t="s">
        <v>6</v>
      </c>
      <c r="G199" s="297" t="s">
        <v>162</v>
      </c>
      <c r="H199" s="298"/>
      <c r="I199" s="299">
        <v>67259</v>
      </c>
    </row>
    <row r="200" spans="1:9" x14ac:dyDescent="0.2">
      <c r="A200" s="296"/>
      <c r="B200" s="297"/>
      <c r="C200" s="297"/>
      <c r="D200" s="297" t="s">
        <v>39</v>
      </c>
      <c r="E200" s="297">
        <v>128</v>
      </c>
      <c r="F200" s="297">
        <v>8197</v>
      </c>
      <c r="G200" s="297"/>
      <c r="H200" s="298"/>
      <c r="I200" s="299" t="s">
        <v>484</v>
      </c>
    </row>
    <row r="201" spans="1:9" x14ac:dyDescent="0.2">
      <c r="A201" s="296"/>
      <c r="B201" s="297"/>
      <c r="C201" s="297"/>
      <c r="D201" s="297" t="s">
        <v>38</v>
      </c>
      <c r="E201" s="297">
        <v>1</v>
      </c>
      <c r="F201" s="297">
        <v>1</v>
      </c>
      <c r="G201" s="297"/>
      <c r="H201" s="298"/>
      <c r="I201" s="299" t="s">
        <v>485</v>
      </c>
    </row>
    <row r="202" spans="1:9" x14ac:dyDescent="0.2">
      <c r="A202" s="296"/>
      <c r="B202" s="297"/>
      <c r="C202" s="297"/>
      <c r="D202" s="297" t="s">
        <v>39</v>
      </c>
      <c r="E202" s="297">
        <v>128</v>
      </c>
      <c r="F202" s="297" t="s">
        <v>486</v>
      </c>
      <c r="G202" s="297"/>
      <c r="H202" s="298"/>
      <c r="I202" s="299" t="s">
        <v>487</v>
      </c>
    </row>
    <row r="203" spans="1:9" x14ac:dyDescent="0.2">
      <c r="A203" s="296"/>
      <c r="B203" s="297"/>
      <c r="C203" s="297"/>
      <c r="D203" s="297" t="s">
        <v>39</v>
      </c>
      <c r="E203" s="297">
        <v>64</v>
      </c>
      <c r="F203" s="297" t="s">
        <v>488</v>
      </c>
      <c r="G203" s="297"/>
      <c r="H203" s="298"/>
      <c r="I203" s="299" t="s">
        <v>489</v>
      </c>
    </row>
    <row r="204" spans="1:9" x14ac:dyDescent="0.2">
      <c r="A204" s="296"/>
      <c r="B204" s="297"/>
      <c r="C204" s="297"/>
      <c r="D204" s="297" t="s">
        <v>38</v>
      </c>
      <c r="E204" s="297">
        <v>4</v>
      </c>
      <c r="F204" s="297" t="s">
        <v>490</v>
      </c>
      <c r="G204" s="297"/>
      <c r="H204" s="298"/>
      <c r="I204" s="299" t="s">
        <v>491</v>
      </c>
    </row>
    <row r="205" spans="1:9" x14ac:dyDescent="0.2">
      <c r="A205" s="296"/>
      <c r="B205" s="297"/>
      <c r="C205" s="297"/>
      <c r="D205" s="297" t="s">
        <v>39</v>
      </c>
      <c r="E205" s="297">
        <v>256</v>
      </c>
      <c r="F205" s="297"/>
      <c r="G205" s="297"/>
      <c r="H205" s="298"/>
      <c r="I205" s="299" t="s">
        <v>492</v>
      </c>
    </row>
    <row r="206" spans="1:9" x14ac:dyDescent="0.2">
      <c r="A206" s="296"/>
      <c r="B206" s="297"/>
      <c r="C206" s="297"/>
      <c r="D206" s="297" t="s">
        <v>38</v>
      </c>
      <c r="E206" s="297">
        <v>1</v>
      </c>
      <c r="F206" s="297">
        <v>1</v>
      </c>
      <c r="G206" s="297"/>
      <c r="H206" s="298"/>
      <c r="I206" s="299" t="s">
        <v>493</v>
      </c>
    </row>
    <row r="207" spans="1:9" x14ac:dyDescent="0.2">
      <c r="A207" s="296" t="s">
        <v>494</v>
      </c>
      <c r="B207" s="297" t="s">
        <v>495</v>
      </c>
      <c r="C207" s="297" t="s">
        <v>52</v>
      </c>
      <c r="D207" s="297"/>
      <c r="E207" s="297"/>
      <c r="F207" s="297"/>
      <c r="G207" s="297" t="s">
        <v>162</v>
      </c>
      <c r="H207" s="298"/>
      <c r="I207" s="299">
        <v>69744</v>
      </c>
    </row>
    <row r="208" spans="1:9" x14ac:dyDescent="0.2">
      <c r="A208" s="296" t="s">
        <v>6</v>
      </c>
      <c r="B208" s="297"/>
      <c r="C208" s="297"/>
      <c r="D208" s="297" t="s">
        <v>38</v>
      </c>
      <c r="E208" s="297">
        <v>1</v>
      </c>
      <c r="F208" s="297">
        <v>14</v>
      </c>
      <c r="G208" s="297"/>
      <c r="H208" s="298"/>
      <c r="I208" s="299" t="s">
        <v>356</v>
      </c>
    </row>
    <row r="209" spans="1:9" x14ac:dyDescent="0.2">
      <c r="A209" s="296"/>
      <c r="B209" s="297"/>
      <c r="C209" s="297"/>
      <c r="D209" s="297" t="s">
        <v>38</v>
      </c>
      <c r="E209" s="297">
        <v>2</v>
      </c>
      <c r="F209" s="297">
        <v>5060</v>
      </c>
      <c r="G209" s="297"/>
      <c r="H209" s="298"/>
      <c r="I209" s="299" t="s">
        <v>496</v>
      </c>
    </row>
    <row r="210" spans="1:9" x14ac:dyDescent="0.2">
      <c r="A210" s="296"/>
      <c r="B210" s="297"/>
      <c r="C210" s="297"/>
      <c r="D210" s="297" t="s">
        <v>38</v>
      </c>
      <c r="E210" s="297">
        <v>4</v>
      </c>
      <c r="F210" s="297">
        <v>0</v>
      </c>
      <c r="G210" s="297"/>
      <c r="H210" s="298"/>
      <c r="I210" s="299" t="s">
        <v>497</v>
      </c>
    </row>
    <row r="211" spans="1:9" x14ac:dyDescent="0.2">
      <c r="A211" s="296"/>
      <c r="B211" s="297"/>
      <c r="C211" s="297"/>
      <c r="D211" s="297" t="s">
        <v>38</v>
      </c>
      <c r="E211" s="297">
        <v>4</v>
      </c>
      <c r="F211" s="297">
        <v>0</v>
      </c>
      <c r="G211" s="297"/>
      <c r="H211" s="298"/>
      <c r="I211" s="299" t="s">
        <v>498</v>
      </c>
    </row>
    <row r="212" spans="1:9" x14ac:dyDescent="0.2">
      <c r="A212" s="296"/>
      <c r="B212" s="297"/>
      <c r="C212" s="297"/>
      <c r="D212" s="297" t="s">
        <v>38</v>
      </c>
      <c r="E212" s="297">
        <v>4</v>
      </c>
      <c r="F212" s="297">
        <v>2000</v>
      </c>
      <c r="G212" s="297"/>
      <c r="H212" s="298"/>
      <c r="I212" s="299" t="s">
        <v>499</v>
      </c>
    </row>
    <row r="213" spans="1:9" x14ac:dyDescent="0.2">
      <c r="A213" s="296"/>
      <c r="B213" s="297"/>
      <c r="C213" s="297"/>
      <c r="D213" s="297" t="s">
        <v>38</v>
      </c>
      <c r="E213" s="297">
        <v>4</v>
      </c>
      <c r="F213" s="297">
        <v>16000</v>
      </c>
      <c r="G213" s="297"/>
      <c r="H213" s="298"/>
      <c r="I213" s="299" t="s">
        <v>500</v>
      </c>
    </row>
    <row r="214" spans="1:9" x14ac:dyDescent="0.2">
      <c r="A214" s="296"/>
      <c r="B214" s="297"/>
      <c r="C214" s="297"/>
      <c r="D214" s="297" t="s">
        <v>38</v>
      </c>
      <c r="E214" s="297">
        <v>4</v>
      </c>
      <c r="F214" s="297">
        <v>17000</v>
      </c>
      <c r="G214" s="297"/>
      <c r="H214" s="298"/>
      <c r="I214" s="299" t="s">
        <v>501</v>
      </c>
    </row>
    <row r="215" spans="1:9" x14ac:dyDescent="0.2">
      <c r="A215" s="296"/>
      <c r="B215" s="297"/>
      <c r="C215" s="297"/>
      <c r="D215" s="297" t="s">
        <v>38</v>
      </c>
      <c r="E215" s="297">
        <v>4</v>
      </c>
      <c r="F215" s="297">
        <v>128000</v>
      </c>
      <c r="G215" s="297"/>
      <c r="H215" s="298"/>
      <c r="I215" s="299" t="s">
        <v>502</v>
      </c>
    </row>
    <row r="216" spans="1:9" x14ac:dyDescent="0.2">
      <c r="A216" s="296"/>
      <c r="B216" s="297"/>
      <c r="C216" s="297"/>
      <c r="D216" s="297" t="s">
        <v>38</v>
      </c>
      <c r="E216" s="297">
        <v>4</v>
      </c>
      <c r="F216" s="297">
        <v>0</v>
      </c>
      <c r="G216" s="297"/>
      <c r="H216" s="298"/>
      <c r="I216" s="299" t="s">
        <v>503</v>
      </c>
    </row>
    <row r="217" spans="1:9" x14ac:dyDescent="0.2">
      <c r="A217" s="296"/>
      <c r="B217" s="297"/>
      <c r="C217" s="297"/>
      <c r="D217" s="297" t="s">
        <v>38</v>
      </c>
      <c r="E217" s="297">
        <v>2</v>
      </c>
      <c r="F217" s="297">
        <v>1300</v>
      </c>
      <c r="G217" s="297"/>
      <c r="H217" s="298"/>
      <c r="I217" s="299" t="s">
        <v>504</v>
      </c>
    </row>
    <row r="218" spans="1:9" x14ac:dyDescent="0.2">
      <c r="A218" s="296"/>
      <c r="B218" s="297"/>
      <c r="C218" s="297"/>
      <c r="D218" s="297" t="s">
        <v>38</v>
      </c>
      <c r="E218" s="297">
        <v>1</v>
      </c>
      <c r="F218" s="297">
        <v>0</v>
      </c>
      <c r="G218" s="297"/>
      <c r="H218" s="298"/>
      <c r="I218" s="299" t="s">
        <v>505</v>
      </c>
    </row>
    <row r="219" spans="1:9" x14ac:dyDescent="0.2">
      <c r="A219" s="296"/>
      <c r="B219" s="297"/>
      <c r="C219" s="297"/>
      <c r="D219" s="297" t="s">
        <v>38</v>
      </c>
      <c r="E219" s="297">
        <v>1</v>
      </c>
      <c r="F219" s="297">
        <v>0</v>
      </c>
      <c r="G219" s="297"/>
      <c r="H219" s="298"/>
      <c r="I219" s="299" t="s">
        <v>506</v>
      </c>
    </row>
    <row r="220" spans="1:9" x14ac:dyDescent="0.2">
      <c r="A220" s="296"/>
      <c r="B220" s="297"/>
      <c r="C220" s="297"/>
      <c r="D220" s="297" t="s">
        <v>38</v>
      </c>
      <c r="E220" s="297">
        <v>1</v>
      </c>
      <c r="F220" s="297">
        <v>0</v>
      </c>
      <c r="G220" s="297"/>
      <c r="H220" s="298"/>
      <c r="I220" s="299" t="s">
        <v>507</v>
      </c>
    </row>
    <row r="221" spans="1:9" x14ac:dyDescent="0.2">
      <c r="A221" s="296"/>
      <c r="B221" s="297"/>
      <c r="C221" s="297"/>
      <c r="D221" s="297" t="s">
        <v>38</v>
      </c>
      <c r="E221" s="297">
        <v>1</v>
      </c>
      <c r="F221" s="297">
        <v>3</v>
      </c>
      <c r="G221" s="297"/>
      <c r="H221" s="298"/>
      <c r="I221" s="299" t="s">
        <v>508</v>
      </c>
    </row>
    <row r="222" spans="1:9" x14ac:dyDescent="0.2">
      <c r="A222" s="296"/>
      <c r="B222" s="297"/>
      <c r="C222" s="297"/>
      <c r="D222" s="297" t="s">
        <v>38</v>
      </c>
      <c r="E222" s="297">
        <v>1</v>
      </c>
      <c r="F222" s="297">
        <v>7</v>
      </c>
      <c r="G222" s="297"/>
      <c r="H222" s="298"/>
      <c r="I222" s="299" t="s">
        <v>509</v>
      </c>
    </row>
    <row r="223" spans="1:9" x14ac:dyDescent="0.2">
      <c r="A223" s="296"/>
      <c r="B223" s="297"/>
      <c r="C223" s="297"/>
      <c r="D223" s="297" t="s">
        <v>38</v>
      </c>
      <c r="E223" s="297">
        <v>1</v>
      </c>
      <c r="F223" s="297">
        <v>3</v>
      </c>
      <c r="G223" s="297"/>
      <c r="H223" s="298"/>
      <c r="I223" s="299" t="s">
        <v>510</v>
      </c>
    </row>
    <row r="224" spans="1:9" x14ac:dyDescent="0.2">
      <c r="A224" s="296"/>
      <c r="B224" s="297"/>
      <c r="C224" s="297"/>
      <c r="D224" s="297" t="s">
        <v>38</v>
      </c>
      <c r="E224" s="297">
        <v>1</v>
      </c>
      <c r="F224" s="297">
        <v>0</v>
      </c>
      <c r="G224" s="297"/>
      <c r="H224" s="298"/>
      <c r="I224" s="299" t="s">
        <v>511</v>
      </c>
    </row>
    <row r="225" spans="1:9" x14ac:dyDescent="0.2">
      <c r="A225" s="296"/>
      <c r="B225" s="297"/>
      <c r="C225" s="297"/>
      <c r="D225" s="297" t="s">
        <v>39</v>
      </c>
      <c r="E225" s="297">
        <v>256</v>
      </c>
      <c r="F225" s="297"/>
      <c r="G225" s="297"/>
      <c r="H225" s="298"/>
      <c r="I225" s="299" t="s">
        <v>512</v>
      </c>
    </row>
    <row r="226" spans="1:9" x14ac:dyDescent="0.2">
      <c r="A226" s="296"/>
      <c r="B226" s="297"/>
      <c r="C226" s="297"/>
      <c r="D226" s="297" t="s">
        <v>39</v>
      </c>
      <c r="E226" s="297">
        <v>256</v>
      </c>
      <c r="F226" s="297"/>
      <c r="G226" s="297"/>
      <c r="H226" s="298"/>
      <c r="I226" s="299" t="s">
        <v>513</v>
      </c>
    </row>
    <row r="227" spans="1:9" x14ac:dyDescent="0.2">
      <c r="A227" s="296"/>
      <c r="B227" s="297"/>
      <c r="C227" s="297"/>
      <c r="D227" s="297" t="s">
        <v>38</v>
      </c>
      <c r="E227" s="297">
        <v>1</v>
      </c>
      <c r="F227" s="297"/>
      <c r="G227" s="297"/>
      <c r="H227" s="298"/>
      <c r="I227" s="299" t="s">
        <v>514</v>
      </c>
    </row>
    <row r="228" spans="1:9" x14ac:dyDescent="0.2">
      <c r="A228" s="296"/>
      <c r="B228" s="297"/>
      <c r="C228" s="297"/>
      <c r="D228" s="297" t="s">
        <v>38</v>
      </c>
      <c r="E228" s="297">
        <v>4</v>
      </c>
      <c r="F228" s="297"/>
      <c r="G228" s="297"/>
      <c r="H228" s="298"/>
      <c r="I228" s="299" t="s">
        <v>515</v>
      </c>
    </row>
    <row r="229" spans="1:9" x14ac:dyDescent="0.2">
      <c r="A229" s="296"/>
      <c r="B229" s="297"/>
      <c r="C229" s="297"/>
      <c r="D229" s="297" t="s">
        <v>38</v>
      </c>
      <c r="E229" s="297">
        <v>4</v>
      </c>
      <c r="F229" s="297"/>
      <c r="G229" s="297"/>
      <c r="H229" s="298"/>
      <c r="I229" s="299" t="s">
        <v>516</v>
      </c>
    </row>
    <row r="230" spans="1:9" x14ac:dyDescent="0.2">
      <c r="A230" s="296"/>
      <c r="B230" s="297"/>
      <c r="C230" s="297"/>
      <c r="D230" s="297" t="s">
        <v>38</v>
      </c>
      <c r="E230" s="297">
        <v>4</v>
      </c>
      <c r="F230" s="297"/>
      <c r="G230" s="297"/>
      <c r="H230" s="298"/>
      <c r="I230" s="299" t="s">
        <v>517</v>
      </c>
    </row>
    <row r="231" spans="1:9" x14ac:dyDescent="0.2">
      <c r="A231" s="296"/>
      <c r="B231" s="297"/>
      <c r="C231" s="297"/>
      <c r="D231" s="297" t="s">
        <v>38</v>
      </c>
      <c r="E231" s="297">
        <v>4</v>
      </c>
      <c r="F231" s="297"/>
      <c r="G231" s="297"/>
      <c r="H231" s="298"/>
      <c r="I231" s="299" t="s">
        <v>518</v>
      </c>
    </row>
    <row r="232" spans="1:9" x14ac:dyDescent="0.2">
      <c r="A232" s="296"/>
      <c r="B232" s="297"/>
      <c r="C232" s="297"/>
      <c r="D232" s="297" t="s">
        <v>38</v>
      </c>
      <c r="E232" s="297">
        <v>4</v>
      </c>
      <c r="F232" s="297"/>
      <c r="G232" s="297"/>
      <c r="H232" s="298"/>
      <c r="I232" s="299" t="s">
        <v>519</v>
      </c>
    </row>
    <row r="233" spans="1:9" x14ac:dyDescent="0.2">
      <c r="A233" s="296"/>
      <c r="B233" s="297"/>
      <c r="C233" s="297"/>
      <c r="D233" s="297" t="s">
        <v>38</v>
      </c>
      <c r="E233" s="297">
        <v>4</v>
      </c>
      <c r="F233" s="297"/>
      <c r="G233" s="297"/>
      <c r="H233" s="298"/>
      <c r="I233" s="299" t="s">
        <v>520</v>
      </c>
    </row>
    <row r="234" spans="1:9" x14ac:dyDescent="0.2">
      <c r="A234" s="296"/>
      <c r="B234" s="297"/>
      <c r="C234" s="297"/>
      <c r="D234" s="297" t="s">
        <v>38</v>
      </c>
      <c r="E234" s="297">
        <v>4</v>
      </c>
      <c r="F234" s="297"/>
      <c r="G234" s="297"/>
      <c r="H234" s="298"/>
      <c r="I234" s="299" t="s">
        <v>521</v>
      </c>
    </row>
    <row r="235" spans="1:9" x14ac:dyDescent="0.2">
      <c r="A235" s="296"/>
      <c r="B235" s="297"/>
      <c r="C235" s="297"/>
      <c r="D235" s="297" t="s">
        <v>38</v>
      </c>
      <c r="E235" s="297">
        <v>4</v>
      </c>
      <c r="F235" s="297"/>
      <c r="G235" s="297"/>
      <c r="H235" s="298"/>
      <c r="I235" s="299" t="s">
        <v>522</v>
      </c>
    </row>
    <row r="236" spans="1:9" x14ac:dyDescent="0.2">
      <c r="A236" s="296"/>
      <c r="B236" s="297"/>
      <c r="C236" s="297"/>
      <c r="D236" s="297" t="s">
        <v>38</v>
      </c>
      <c r="E236" s="297">
        <v>1</v>
      </c>
      <c r="F236" s="297"/>
      <c r="G236" s="297"/>
      <c r="H236" s="298"/>
      <c r="I236" s="299" t="s">
        <v>523</v>
      </c>
    </row>
    <row r="237" spans="1:9" x14ac:dyDescent="0.2">
      <c r="A237" s="296"/>
      <c r="B237" s="297"/>
      <c r="C237" s="297"/>
      <c r="D237" s="297" t="s">
        <v>38</v>
      </c>
      <c r="E237" s="297">
        <v>2</v>
      </c>
      <c r="F237" s="297"/>
      <c r="G237" s="297"/>
      <c r="H237" s="298"/>
      <c r="I237" s="299" t="s">
        <v>524</v>
      </c>
    </row>
    <row r="238" spans="1:9" x14ac:dyDescent="0.2">
      <c r="A238" s="296"/>
      <c r="B238" s="297"/>
      <c r="C238" s="297"/>
      <c r="D238" s="297" t="s">
        <v>38</v>
      </c>
      <c r="E238" s="297">
        <v>4</v>
      </c>
      <c r="F238" s="297"/>
      <c r="G238" s="297"/>
      <c r="H238" s="298"/>
      <c r="I238" s="299" t="s">
        <v>525</v>
      </c>
    </row>
    <row r="239" spans="1:9" x14ac:dyDescent="0.2">
      <c r="A239" s="296"/>
      <c r="B239" s="297"/>
      <c r="C239" s="297"/>
      <c r="D239" s="297" t="s">
        <v>38</v>
      </c>
      <c r="E239" s="297">
        <v>1</v>
      </c>
      <c r="F239" s="297"/>
      <c r="G239" s="297"/>
      <c r="H239" s="298"/>
      <c r="I239" s="299" t="s">
        <v>526</v>
      </c>
    </row>
    <row r="240" spans="1:9" x14ac:dyDescent="0.2">
      <c r="A240" s="296"/>
      <c r="B240" s="297"/>
      <c r="C240" s="297"/>
      <c r="D240" s="297" t="s">
        <v>38</v>
      </c>
      <c r="E240" s="297">
        <v>1</v>
      </c>
      <c r="F240" s="297"/>
      <c r="G240" s="297"/>
      <c r="H240" s="298"/>
      <c r="I240" s="299" t="s">
        <v>527</v>
      </c>
    </row>
    <row r="241" spans="1:9" x14ac:dyDescent="0.2">
      <c r="A241" s="296"/>
      <c r="B241" s="297"/>
      <c r="C241" s="297"/>
      <c r="D241" s="297" t="s">
        <v>38</v>
      </c>
      <c r="E241" s="297">
        <v>4</v>
      </c>
      <c r="F241" s="297"/>
      <c r="G241" s="297"/>
      <c r="H241" s="298"/>
      <c r="I241" s="299" t="s">
        <v>528</v>
      </c>
    </row>
    <row r="242" spans="1:9" x14ac:dyDescent="0.2">
      <c r="A242" s="296"/>
      <c r="B242" s="297"/>
      <c r="C242" s="297"/>
      <c r="D242" s="297" t="s">
        <v>38</v>
      </c>
      <c r="E242" s="297">
        <v>1</v>
      </c>
      <c r="F242" s="297">
        <v>1</v>
      </c>
      <c r="G242" s="297"/>
      <c r="H242" s="298"/>
      <c r="I242" s="299" t="s">
        <v>529</v>
      </c>
    </row>
    <row r="243" spans="1:9" x14ac:dyDescent="0.2">
      <c r="A243" s="296"/>
      <c r="B243" s="297"/>
      <c r="C243" s="297"/>
      <c r="D243" s="297" t="s">
        <v>38</v>
      </c>
      <c r="E243" s="297">
        <v>1</v>
      </c>
      <c r="F243" s="297"/>
      <c r="G243" s="297"/>
      <c r="H243" s="298"/>
      <c r="I243" s="299" t="s">
        <v>530</v>
      </c>
    </row>
    <row r="244" spans="1:9" x14ac:dyDescent="0.2">
      <c r="A244" s="296"/>
      <c r="B244" s="297"/>
      <c r="C244" s="297"/>
      <c r="D244" s="297" t="s">
        <v>38</v>
      </c>
      <c r="E244" s="297">
        <v>4</v>
      </c>
      <c r="F244" s="297"/>
      <c r="G244" s="297"/>
      <c r="H244" s="298"/>
      <c r="I244" s="299" t="s">
        <v>531</v>
      </c>
    </row>
    <row r="245" spans="1:9" x14ac:dyDescent="0.2">
      <c r="A245" s="296"/>
      <c r="B245" s="297"/>
      <c r="C245" s="297"/>
      <c r="D245" s="297" t="s">
        <v>38</v>
      </c>
      <c r="E245" s="297">
        <v>4</v>
      </c>
      <c r="F245" s="297"/>
      <c r="G245" s="297"/>
      <c r="H245" s="298"/>
      <c r="I245" s="299" t="s">
        <v>532</v>
      </c>
    </row>
    <row r="246" spans="1:9" x14ac:dyDescent="0.2">
      <c r="A246" s="296"/>
      <c r="B246" s="297"/>
      <c r="C246" s="297"/>
      <c r="D246" s="297" t="s">
        <v>38</v>
      </c>
      <c r="E246" s="297">
        <v>50</v>
      </c>
      <c r="F246" s="297"/>
      <c r="G246" s="297"/>
      <c r="H246" s="298"/>
      <c r="I246" s="299" t="s">
        <v>533</v>
      </c>
    </row>
    <row r="247" spans="1:9" x14ac:dyDescent="0.2">
      <c r="A247" s="296"/>
      <c r="B247" s="297"/>
      <c r="C247" s="297"/>
      <c r="D247" s="297" t="s">
        <v>38</v>
      </c>
      <c r="E247" s="297">
        <v>4</v>
      </c>
      <c r="F247" s="297">
        <v>6000</v>
      </c>
      <c r="G247" s="297"/>
      <c r="H247" s="298"/>
      <c r="I247" s="299" t="s">
        <v>534</v>
      </c>
    </row>
    <row r="248" spans="1:9" x14ac:dyDescent="0.2">
      <c r="A248" s="296"/>
      <c r="B248" s="297"/>
      <c r="C248" s="297"/>
      <c r="D248" s="297" t="s">
        <v>38</v>
      </c>
      <c r="E248" s="297">
        <v>4</v>
      </c>
      <c r="F248" s="297"/>
      <c r="G248" s="297"/>
      <c r="H248" s="298"/>
      <c r="I248" s="299" t="s">
        <v>535</v>
      </c>
    </row>
    <row r="249" spans="1:9" x14ac:dyDescent="0.2">
      <c r="A249" s="296"/>
      <c r="B249" s="297"/>
      <c r="C249" s="297"/>
      <c r="D249" s="297" t="s">
        <v>38</v>
      </c>
      <c r="E249" s="297">
        <v>4</v>
      </c>
      <c r="F249" s="297"/>
      <c r="G249" s="297"/>
      <c r="H249" s="298"/>
      <c r="I249" s="299" t="s">
        <v>536</v>
      </c>
    </row>
    <row r="250" spans="1:9" x14ac:dyDescent="0.2">
      <c r="A250" s="296"/>
      <c r="B250" s="297"/>
      <c r="C250" s="297"/>
      <c r="D250" s="297" t="s">
        <v>38</v>
      </c>
      <c r="E250" s="297">
        <v>4</v>
      </c>
      <c r="F250" s="297"/>
      <c r="G250" s="297"/>
      <c r="H250" s="298"/>
      <c r="I250" s="299" t="s">
        <v>537</v>
      </c>
    </row>
    <row r="251" spans="1:9" x14ac:dyDescent="0.2">
      <c r="A251" s="296"/>
      <c r="B251" s="297"/>
      <c r="C251" s="297"/>
      <c r="D251" s="297" t="s">
        <v>38</v>
      </c>
      <c r="E251" s="297">
        <v>4</v>
      </c>
      <c r="F251" s="297"/>
      <c r="G251" s="297"/>
      <c r="H251" s="298"/>
      <c r="I251" s="299" t="s">
        <v>538</v>
      </c>
    </row>
    <row r="252" spans="1:9" x14ac:dyDescent="0.2">
      <c r="A252" s="296"/>
      <c r="B252" s="297"/>
      <c r="C252" s="297"/>
      <c r="D252" s="297" t="s">
        <v>38</v>
      </c>
      <c r="E252" s="297">
        <v>4</v>
      </c>
      <c r="F252" s="297"/>
      <c r="G252" s="297"/>
      <c r="H252" s="298"/>
      <c r="I252" s="299" t="s">
        <v>539</v>
      </c>
    </row>
    <row r="253" spans="1:9" x14ac:dyDescent="0.2">
      <c r="A253" s="296"/>
      <c r="B253" s="297"/>
      <c r="C253" s="297"/>
      <c r="D253" s="297" t="s">
        <v>38</v>
      </c>
      <c r="E253" s="297">
        <v>4</v>
      </c>
      <c r="F253" s="297"/>
      <c r="G253" s="297"/>
      <c r="H253" s="298"/>
      <c r="I253" s="299" t="s">
        <v>540</v>
      </c>
    </row>
    <row r="254" spans="1:9" x14ac:dyDescent="0.2">
      <c r="A254" s="296"/>
      <c r="B254" s="297"/>
      <c r="C254" s="297"/>
      <c r="D254" s="297" t="s">
        <v>38</v>
      </c>
      <c r="E254" s="297">
        <v>4</v>
      </c>
      <c r="F254" s="297"/>
      <c r="G254" s="297"/>
      <c r="H254" s="298"/>
      <c r="I254" s="299" t="s">
        <v>541</v>
      </c>
    </row>
    <row r="255" spans="1:9" x14ac:dyDescent="0.2">
      <c r="A255" s="296"/>
      <c r="B255" s="297"/>
      <c r="C255" s="297"/>
      <c r="D255" s="297" t="s">
        <v>38</v>
      </c>
      <c r="E255" s="297">
        <v>4</v>
      </c>
      <c r="F255" s="297"/>
      <c r="G255" s="297"/>
      <c r="H255" s="298"/>
      <c r="I255" s="299" t="s">
        <v>542</v>
      </c>
    </row>
    <row r="256" spans="1:9" x14ac:dyDescent="0.2">
      <c r="A256" s="296"/>
      <c r="B256" s="297"/>
      <c r="C256" s="297"/>
      <c r="D256" s="297" t="s">
        <v>38</v>
      </c>
      <c r="E256" s="297">
        <v>4</v>
      </c>
      <c r="F256" s="297"/>
      <c r="G256" s="297"/>
      <c r="H256" s="298"/>
      <c r="I256" s="299" t="s">
        <v>543</v>
      </c>
    </row>
    <row r="257" spans="1:9" x14ac:dyDescent="0.2">
      <c r="A257" s="296"/>
      <c r="B257" s="297"/>
      <c r="C257" s="297"/>
      <c r="D257" s="297" t="s">
        <v>38</v>
      </c>
      <c r="E257" s="297">
        <v>10</v>
      </c>
      <c r="F257" s="297"/>
      <c r="G257" s="297"/>
      <c r="H257" s="298"/>
      <c r="I257" s="299" t="s">
        <v>544</v>
      </c>
    </row>
    <row r="258" spans="1:9" x14ac:dyDescent="0.2">
      <c r="A258" s="296"/>
      <c r="B258" s="297"/>
      <c r="C258" s="297"/>
      <c r="D258" s="297" t="s">
        <v>38</v>
      </c>
      <c r="E258" s="297">
        <v>1</v>
      </c>
      <c r="F258" s="297"/>
      <c r="G258" s="297"/>
      <c r="H258" s="298"/>
      <c r="I258" s="299" t="s">
        <v>545</v>
      </c>
    </row>
    <row r="259" spans="1:9" x14ac:dyDescent="0.2">
      <c r="A259" s="296"/>
      <c r="B259" s="297"/>
      <c r="C259" s="297"/>
      <c r="D259" s="297" t="s">
        <v>39</v>
      </c>
      <c r="E259" s="297">
        <v>315</v>
      </c>
      <c r="F259" s="297"/>
      <c r="G259" s="297"/>
      <c r="H259" s="298"/>
      <c r="I259" s="299" t="s">
        <v>418</v>
      </c>
    </row>
    <row r="260" spans="1:9" x14ac:dyDescent="0.2">
      <c r="A260" s="296" t="s">
        <v>546</v>
      </c>
      <c r="B260" s="297" t="s">
        <v>547</v>
      </c>
      <c r="C260" s="297" t="s">
        <v>52</v>
      </c>
      <c r="D260" s="297"/>
      <c r="E260" s="297"/>
      <c r="F260" s="297"/>
      <c r="G260" s="297" t="s">
        <v>162</v>
      </c>
      <c r="H260" s="298"/>
      <c r="I260" s="299">
        <v>69673</v>
      </c>
    </row>
    <row r="261" spans="1:9" x14ac:dyDescent="0.2">
      <c r="A261" s="296"/>
      <c r="B261" s="297"/>
      <c r="C261" s="297"/>
      <c r="D261" s="297" t="s">
        <v>38</v>
      </c>
      <c r="E261" s="297">
        <v>1</v>
      </c>
      <c r="F261" s="297">
        <v>2</v>
      </c>
      <c r="G261" s="297"/>
      <c r="H261" s="298"/>
      <c r="I261" s="299" t="s">
        <v>548</v>
      </c>
    </row>
    <row r="262" spans="1:9" x14ac:dyDescent="0.2">
      <c r="A262" s="296" t="s">
        <v>549</v>
      </c>
      <c r="B262" s="297" t="s">
        <v>550</v>
      </c>
      <c r="C262" s="297" t="s">
        <v>52</v>
      </c>
      <c r="D262" s="297"/>
      <c r="E262" s="297"/>
      <c r="F262" s="297"/>
      <c r="G262" s="297" t="s">
        <v>162</v>
      </c>
      <c r="H262" s="298"/>
      <c r="I262" s="299">
        <v>67348</v>
      </c>
    </row>
    <row r="263" spans="1:9" x14ac:dyDescent="0.2">
      <c r="A263" s="296"/>
      <c r="B263" s="297"/>
      <c r="C263" s="297"/>
      <c r="D263" s="297" t="s">
        <v>38</v>
      </c>
      <c r="E263" s="297">
        <v>1</v>
      </c>
      <c r="F263" s="297">
        <v>25</v>
      </c>
      <c r="G263" s="297"/>
      <c r="H263" s="298"/>
      <c r="I263" s="299" t="s">
        <v>415</v>
      </c>
    </row>
    <row r="264" spans="1:9" x14ac:dyDescent="0.2">
      <c r="A264" s="296"/>
      <c r="B264" s="297"/>
      <c r="C264" s="297"/>
      <c r="D264" s="297" t="s">
        <v>38</v>
      </c>
      <c r="E264" s="297">
        <v>1</v>
      </c>
      <c r="F264" s="297">
        <v>1</v>
      </c>
      <c r="G264" s="297"/>
      <c r="H264" s="298"/>
      <c r="I264" s="299" t="s">
        <v>551</v>
      </c>
    </row>
    <row r="265" spans="1:9" x14ac:dyDescent="0.2">
      <c r="A265" s="296"/>
      <c r="B265" s="297"/>
      <c r="C265" s="297"/>
      <c r="D265" s="297" t="s">
        <v>38</v>
      </c>
      <c r="E265" s="297">
        <v>4</v>
      </c>
      <c r="F265" s="297">
        <v>1</v>
      </c>
      <c r="G265" s="297"/>
      <c r="H265" s="298"/>
      <c r="I265" s="299" t="s">
        <v>552</v>
      </c>
    </row>
    <row r="266" spans="1:9" x14ac:dyDescent="0.2">
      <c r="A266" s="296"/>
      <c r="B266" s="297"/>
      <c r="C266" s="297"/>
      <c r="D266" s="297" t="s">
        <v>38</v>
      </c>
      <c r="E266" s="297">
        <v>1</v>
      </c>
      <c r="F266" s="297">
        <v>0</v>
      </c>
      <c r="G266" s="297"/>
      <c r="H266" s="298"/>
      <c r="I266" s="299" t="s">
        <v>553</v>
      </c>
    </row>
    <row r="267" spans="1:9" x14ac:dyDescent="0.2">
      <c r="A267" s="296"/>
      <c r="B267" s="297"/>
      <c r="C267" s="297"/>
      <c r="D267" s="297" t="s">
        <v>38</v>
      </c>
      <c r="E267" s="297">
        <v>1</v>
      </c>
      <c r="F267" s="297">
        <v>0</v>
      </c>
      <c r="G267" s="297"/>
      <c r="H267" s="298"/>
      <c r="I267" s="299" t="s">
        <v>554</v>
      </c>
    </row>
    <row r="268" spans="1:9" x14ac:dyDescent="0.2">
      <c r="A268" s="296"/>
      <c r="B268" s="297"/>
      <c r="C268" s="297"/>
      <c r="D268" s="297" t="s">
        <v>38</v>
      </c>
      <c r="E268" s="297">
        <v>1</v>
      </c>
      <c r="F268" s="297">
        <v>0</v>
      </c>
      <c r="G268" s="297"/>
      <c r="H268" s="298"/>
      <c r="I268" s="299" t="s">
        <v>555</v>
      </c>
    </row>
    <row r="269" spans="1:9" x14ac:dyDescent="0.2">
      <c r="A269" s="296"/>
      <c r="B269" s="297"/>
      <c r="C269" s="297"/>
      <c r="D269" s="297" t="s">
        <v>38</v>
      </c>
      <c r="E269" s="297">
        <v>1</v>
      </c>
      <c r="F269" s="297">
        <v>0</v>
      </c>
      <c r="G269" s="297"/>
      <c r="H269" s="298"/>
      <c r="I269" s="299" t="s">
        <v>556</v>
      </c>
    </row>
    <row r="270" spans="1:9" x14ac:dyDescent="0.2">
      <c r="A270" s="296"/>
      <c r="B270" s="297"/>
      <c r="C270" s="297"/>
      <c r="D270" s="297" t="s">
        <v>39</v>
      </c>
      <c r="E270" s="297">
        <v>16</v>
      </c>
      <c r="F270" s="297">
        <v>0</v>
      </c>
      <c r="G270" s="297"/>
      <c r="H270" s="298"/>
      <c r="I270" s="299" t="s">
        <v>557</v>
      </c>
    </row>
    <row r="271" spans="1:9" x14ac:dyDescent="0.2">
      <c r="A271" s="296"/>
      <c r="B271" s="297"/>
      <c r="C271" s="297"/>
      <c r="D271" s="297" t="s">
        <v>38</v>
      </c>
      <c r="E271" s="297">
        <v>1</v>
      </c>
      <c r="F271" s="297">
        <v>1</v>
      </c>
      <c r="G271" s="297"/>
      <c r="H271" s="298"/>
      <c r="I271" s="299" t="s">
        <v>558</v>
      </c>
    </row>
    <row r="272" spans="1:9" x14ac:dyDescent="0.2">
      <c r="A272" s="296"/>
      <c r="B272" s="297"/>
      <c r="C272" s="297"/>
      <c r="D272" s="297" t="s">
        <v>38</v>
      </c>
      <c r="E272" s="297">
        <v>1</v>
      </c>
      <c r="F272" s="297">
        <v>0</v>
      </c>
      <c r="G272" s="297"/>
      <c r="H272" s="298"/>
      <c r="I272" s="299" t="s">
        <v>559</v>
      </c>
    </row>
    <row r="273" spans="1:9" x14ac:dyDescent="0.2">
      <c r="A273" s="296"/>
      <c r="B273" s="297"/>
      <c r="C273" s="297"/>
      <c r="D273" s="297" t="s">
        <v>38</v>
      </c>
      <c r="E273" s="297">
        <v>1</v>
      </c>
      <c r="F273" s="297">
        <v>0</v>
      </c>
      <c r="G273" s="297"/>
      <c r="H273" s="298"/>
      <c r="I273" s="299" t="s">
        <v>560</v>
      </c>
    </row>
    <row r="274" spans="1:9" x14ac:dyDescent="0.2">
      <c r="A274" s="296"/>
      <c r="B274" s="297"/>
      <c r="C274" s="297"/>
      <c r="D274" s="297" t="s">
        <v>38</v>
      </c>
      <c r="E274" s="297">
        <v>1</v>
      </c>
      <c r="F274" s="297">
        <v>0</v>
      </c>
      <c r="G274" s="297"/>
      <c r="H274" s="298"/>
      <c r="I274" s="299" t="s">
        <v>561</v>
      </c>
    </row>
    <row r="275" spans="1:9" x14ac:dyDescent="0.2">
      <c r="A275" s="296"/>
      <c r="B275" s="297"/>
      <c r="C275" s="297"/>
      <c r="D275" s="297" t="s">
        <v>38</v>
      </c>
      <c r="E275" s="297">
        <v>1</v>
      </c>
      <c r="F275" s="297">
        <v>3</v>
      </c>
      <c r="G275" s="297"/>
      <c r="H275" s="298"/>
      <c r="I275" s="299" t="s">
        <v>562</v>
      </c>
    </row>
    <row r="276" spans="1:9" x14ac:dyDescent="0.2">
      <c r="A276" s="296"/>
      <c r="B276" s="297"/>
      <c r="C276" s="297"/>
      <c r="D276" s="297" t="s">
        <v>38</v>
      </c>
      <c r="E276" s="297">
        <v>1</v>
      </c>
      <c r="F276" s="297">
        <v>1</v>
      </c>
      <c r="G276" s="297"/>
      <c r="H276" s="298"/>
      <c r="I276" s="299" t="s">
        <v>563</v>
      </c>
    </row>
    <row r="277" spans="1:9" x14ac:dyDescent="0.2">
      <c r="A277" s="296"/>
      <c r="B277" s="297"/>
      <c r="C277" s="297"/>
      <c r="D277" s="297" t="s">
        <v>38</v>
      </c>
      <c r="E277" s="297">
        <v>1</v>
      </c>
      <c r="F277" s="297">
        <v>1</v>
      </c>
      <c r="G277" s="297"/>
      <c r="H277" s="298"/>
      <c r="I277" s="299" t="s">
        <v>564</v>
      </c>
    </row>
    <row r="278" spans="1:9" x14ac:dyDescent="0.2">
      <c r="A278" s="296"/>
      <c r="B278" s="297"/>
      <c r="C278" s="297"/>
      <c r="D278" s="297" t="s">
        <v>38</v>
      </c>
      <c r="E278" s="297">
        <v>1</v>
      </c>
      <c r="F278" s="297">
        <v>0</v>
      </c>
      <c r="G278" s="297"/>
      <c r="H278" s="298"/>
      <c r="I278" s="299" t="s">
        <v>565</v>
      </c>
    </row>
    <row r="279" spans="1:9" x14ac:dyDescent="0.2">
      <c r="A279" s="296"/>
      <c r="B279" s="297"/>
      <c r="C279" s="297"/>
      <c r="D279" s="297" t="s">
        <v>38</v>
      </c>
      <c r="E279" s="297">
        <v>1</v>
      </c>
      <c r="F279" s="297">
        <v>1</v>
      </c>
      <c r="G279" s="297"/>
      <c r="H279" s="298"/>
      <c r="I279" s="299" t="s">
        <v>566</v>
      </c>
    </row>
    <row r="280" spans="1:9" x14ac:dyDescent="0.2">
      <c r="A280" s="296"/>
      <c r="B280" s="297"/>
      <c r="C280" s="297"/>
      <c r="D280" s="297" t="s">
        <v>39</v>
      </c>
      <c r="E280" s="297">
        <v>128</v>
      </c>
      <c r="F280" s="297"/>
      <c r="G280" s="297"/>
      <c r="H280" s="298"/>
      <c r="I280" s="299" t="s">
        <v>567</v>
      </c>
    </row>
    <row r="281" spans="1:9" x14ac:dyDescent="0.2">
      <c r="A281" s="296"/>
      <c r="B281" s="297"/>
      <c r="C281" s="297"/>
      <c r="D281" s="297" t="s">
        <v>39</v>
      </c>
      <c r="E281" s="297">
        <v>128</v>
      </c>
      <c r="F281" s="297" t="s">
        <v>568</v>
      </c>
      <c r="G281" s="297"/>
      <c r="H281" s="298"/>
      <c r="I281" s="299" t="s">
        <v>569</v>
      </c>
    </row>
    <row r="282" spans="1:9" x14ac:dyDescent="0.2">
      <c r="A282" s="296"/>
      <c r="B282" s="297"/>
      <c r="C282" s="297"/>
      <c r="D282" s="297" t="s">
        <v>38</v>
      </c>
      <c r="E282" s="297">
        <v>1</v>
      </c>
      <c r="F282" s="297">
        <v>0</v>
      </c>
      <c r="G282" s="297"/>
      <c r="H282" s="298"/>
      <c r="I282" s="299" t="s">
        <v>570</v>
      </c>
    </row>
    <row r="283" spans="1:9" x14ac:dyDescent="0.2">
      <c r="A283" s="296"/>
      <c r="B283" s="297"/>
      <c r="C283" s="297"/>
      <c r="D283" s="297" t="s">
        <v>38</v>
      </c>
      <c r="E283" s="297">
        <v>1</v>
      </c>
      <c r="F283" s="297">
        <v>0</v>
      </c>
      <c r="G283" s="297"/>
      <c r="H283" s="298"/>
      <c r="I283" s="299" t="s">
        <v>571</v>
      </c>
    </row>
    <row r="284" spans="1:9" x14ac:dyDescent="0.2">
      <c r="A284" s="296"/>
      <c r="B284" s="297"/>
      <c r="C284" s="297"/>
      <c r="D284" s="297" t="s">
        <v>38</v>
      </c>
      <c r="E284" s="297">
        <v>1</v>
      </c>
      <c r="F284" s="297">
        <v>0</v>
      </c>
      <c r="G284" s="297"/>
      <c r="H284" s="298"/>
      <c r="I284" s="299" t="s">
        <v>572</v>
      </c>
    </row>
    <row r="285" spans="1:9" x14ac:dyDescent="0.2">
      <c r="A285" s="296"/>
      <c r="B285" s="297"/>
      <c r="C285" s="297"/>
      <c r="D285" s="297" t="s">
        <v>38</v>
      </c>
      <c r="E285" s="297">
        <v>1</v>
      </c>
      <c r="F285" s="297">
        <v>0</v>
      </c>
      <c r="G285" s="297"/>
      <c r="H285" s="298"/>
      <c r="I285" s="299" t="s">
        <v>573</v>
      </c>
    </row>
    <row r="286" spans="1:9" x14ac:dyDescent="0.2">
      <c r="A286" s="296"/>
      <c r="B286" s="297"/>
      <c r="C286" s="297"/>
      <c r="D286" s="297" t="s">
        <v>38</v>
      </c>
      <c r="E286" s="297">
        <v>1</v>
      </c>
      <c r="F286" s="297">
        <v>0</v>
      </c>
      <c r="G286" s="297"/>
      <c r="H286" s="298"/>
      <c r="I286" s="299" t="s">
        <v>574</v>
      </c>
    </row>
    <row r="287" spans="1:9" x14ac:dyDescent="0.2">
      <c r="A287" s="296"/>
      <c r="B287" s="297"/>
      <c r="C287" s="297"/>
      <c r="D287" s="297" t="s">
        <v>38</v>
      </c>
      <c r="E287" s="297">
        <v>1</v>
      </c>
      <c r="F287" s="297">
        <v>0</v>
      </c>
      <c r="G287" s="297"/>
      <c r="H287" s="298"/>
      <c r="I287" s="299" t="s">
        <v>575</v>
      </c>
    </row>
    <row r="288" spans="1:9" x14ac:dyDescent="0.2">
      <c r="A288" s="296"/>
      <c r="B288" s="297"/>
      <c r="C288" s="297"/>
      <c r="D288" s="297" t="s">
        <v>38</v>
      </c>
      <c r="E288" s="297">
        <v>4</v>
      </c>
      <c r="F288" s="297">
        <v>20000</v>
      </c>
      <c r="G288" s="297"/>
      <c r="H288" s="298"/>
      <c r="I288" s="299" t="s">
        <v>576</v>
      </c>
    </row>
    <row r="289" spans="1:9" x14ac:dyDescent="0.2">
      <c r="A289" s="296"/>
      <c r="B289" s="297"/>
      <c r="C289" s="297"/>
      <c r="D289" s="297" t="s">
        <v>38</v>
      </c>
      <c r="E289" s="297">
        <v>4</v>
      </c>
      <c r="F289" s="297">
        <v>55000</v>
      </c>
      <c r="G289" s="297"/>
      <c r="H289" s="298"/>
      <c r="I289" s="299" t="s">
        <v>577</v>
      </c>
    </row>
    <row r="290" spans="1:9" x14ac:dyDescent="0.2">
      <c r="A290" s="296"/>
      <c r="B290" s="297"/>
      <c r="C290" s="297"/>
      <c r="D290" s="297" t="s">
        <v>38</v>
      </c>
      <c r="E290" s="297">
        <v>1</v>
      </c>
      <c r="F290" s="297">
        <v>1</v>
      </c>
      <c r="G290" s="297"/>
      <c r="H290" s="298"/>
      <c r="I290" s="299" t="s">
        <v>578</v>
      </c>
    </row>
    <row r="291" spans="1:9" x14ac:dyDescent="0.2">
      <c r="A291" s="296"/>
      <c r="B291" s="297"/>
      <c r="C291" s="297"/>
      <c r="D291" s="297" t="s">
        <v>38</v>
      </c>
      <c r="E291" s="297">
        <v>1</v>
      </c>
      <c r="F291" s="297">
        <v>0</v>
      </c>
      <c r="G291" s="297"/>
      <c r="H291" s="298"/>
      <c r="I291" s="299" t="s">
        <v>579</v>
      </c>
    </row>
    <row r="292" spans="1:9" x14ac:dyDescent="0.2">
      <c r="A292" s="296"/>
      <c r="B292" s="297"/>
      <c r="C292" s="297"/>
      <c r="D292" s="297" t="s">
        <v>39</v>
      </c>
      <c r="E292" s="297">
        <v>128</v>
      </c>
      <c r="F292" s="297"/>
      <c r="G292" s="297"/>
      <c r="H292" s="298"/>
      <c r="I292" s="299" t="s">
        <v>580</v>
      </c>
    </row>
    <row r="293" spans="1:9" x14ac:dyDescent="0.2">
      <c r="A293" s="296"/>
      <c r="B293" s="297"/>
      <c r="C293" s="297"/>
      <c r="D293" s="297" t="s">
        <v>38</v>
      </c>
      <c r="E293" s="297">
        <v>1</v>
      </c>
      <c r="F293" s="297"/>
      <c r="G293" s="297"/>
      <c r="H293" s="298"/>
      <c r="I293" s="299" t="s">
        <v>581</v>
      </c>
    </row>
    <row r="294" spans="1:9" x14ac:dyDescent="0.2">
      <c r="A294" s="296"/>
      <c r="B294" s="297"/>
      <c r="C294" s="297"/>
      <c r="D294" s="297" t="s">
        <v>38</v>
      </c>
      <c r="E294" s="297">
        <v>1</v>
      </c>
      <c r="F294" s="297"/>
      <c r="G294" s="297"/>
      <c r="H294" s="298"/>
      <c r="I294" s="299" t="s">
        <v>582</v>
      </c>
    </row>
    <row r="295" spans="1:9" x14ac:dyDescent="0.2">
      <c r="A295" s="296"/>
      <c r="B295" s="297"/>
      <c r="C295" s="297"/>
      <c r="D295" s="297" t="s">
        <v>38</v>
      </c>
      <c r="E295" s="297">
        <v>1</v>
      </c>
      <c r="F295" s="297">
        <v>1</v>
      </c>
      <c r="G295" s="297"/>
      <c r="H295" s="298"/>
      <c r="I295" s="299" t="s">
        <v>583</v>
      </c>
    </row>
    <row r="296" spans="1:9" x14ac:dyDescent="0.2">
      <c r="A296" s="296"/>
      <c r="B296" s="297"/>
      <c r="C296" s="297"/>
      <c r="D296" s="297" t="s">
        <v>38</v>
      </c>
      <c r="E296" s="297">
        <v>2</v>
      </c>
      <c r="F296" s="297"/>
      <c r="G296" s="297"/>
      <c r="H296" s="298"/>
      <c r="I296" s="299" t="s">
        <v>584</v>
      </c>
    </row>
    <row r="297" spans="1:9" x14ac:dyDescent="0.2">
      <c r="A297" s="296"/>
      <c r="B297" s="297"/>
      <c r="C297" s="297"/>
      <c r="D297" s="297" t="s">
        <v>38</v>
      </c>
      <c r="E297" s="297">
        <v>2</v>
      </c>
      <c r="F297" s="297"/>
      <c r="G297" s="297"/>
      <c r="H297" s="298"/>
      <c r="I297" s="299" t="s">
        <v>585</v>
      </c>
    </row>
    <row r="298" spans="1:9" x14ac:dyDescent="0.2">
      <c r="A298" s="296"/>
      <c r="B298" s="297"/>
      <c r="C298" s="297"/>
      <c r="D298" s="297" t="s">
        <v>38</v>
      </c>
      <c r="E298" s="297">
        <v>2</v>
      </c>
      <c r="F298" s="297"/>
      <c r="G298" s="297"/>
      <c r="H298" s="298"/>
      <c r="I298" s="299" t="s">
        <v>586</v>
      </c>
    </row>
    <row r="299" spans="1:9" x14ac:dyDescent="0.2">
      <c r="A299" s="296"/>
      <c r="B299" s="297"/>
      <c r="C299" s="297"/>
      <c r="D299" s="297" t="s">
        <v>38</v>
      </c>
      <c r="E299" s="297">
        <v>2</v>
      </c>
      <c r="F299" s="297"/>
      <c r="G299" s="297"/>
      <c r="H299" s="298"/>
      <c r="I299" s="299" t="s">
        <v>587</v>
      </c>
    </row>
    <row r="300" spans="1:9" x14ac:dyDescent="0.2">
      <c r="A300" s="296"/>
      <c r="B300" s="297"/>
      <c r="C300" s="297"/>
      <c r="D300" s="297" t="s">
        <v>38</v>
      </c>
      <c r="E300" s="297">
        <v>2</v>
      </c>
      <c r="F300" s="297"/>
      <c r="G300" s="297"/>
      <c r="H300" s="298"/>
      <c r="I300" s="299" t="s">
        <v>588</v>
      </c>
    </row>
    <row r="301" spans="1:9" x14ac:dyDescent="0.2">
      <c r="A301" s="296"/>
      <c r="B301" s="297"/>
      <c r="C301" s="297"/>
      <c r="D301" s="297" t="s">
        <v>38</v>
      </c>
      <c r="E301" s="297">
        <v>2</v>
      </c>
      <c r="F301" s="297"/>
      <c r="G301" s="297"/>
      <c r="H301" s="298"/>
      <c r="I301" s="299" t="s">
        <v>589</v>
      </c>
    </row>
    <row r="302" spans="1:9" x14ac:dyDescent="0.2">
      <c r="A302" s="296"/>
      <c r="B302" s="297"/>
      <c r="C302" s="297"/>
      <c r="D302" s="297" t="s">
        <v>38</v>
      </c>
      <c r="E302" s="297">
        <v>2</v>
      </c>
      <c r="F302" s="297"/>
      <c r="G302" s="297"/>
      <c r="H302" s="298"/>
      <c r="I302" s="299" t="s">
        <v>590</v>
      </c>
    </row>
    <row r="303" spans="1:9" x14ac:dyDescent="0.2">
      <c r="A303" s="296"/>
      <c r="B303" s="297"/>
      <c r="C303" s="297"/>
      <c r="D303" s="297" t="s">
        <v>38</v>
      </c>
      <c r="E303" s="297">
        <v>2</v>
      </c>
      <c r="F303" s="297"/>
      <c r="G303" s="297"/>
      <c r="H303" s="298"/>
      <c r="I303" s="299" t="s">
        <v>591</v>
      </c>
    </row>
    <row r="304" spans="1:9" x14ac:dyDescent="0.2">
      <c r="A304" s="296"/>
      <c r="B304" s="297"/>
      <c r="C304" s="297"/>
      <c r="D304" s="297" t="s">
        <v>38</v>
      </c>
      <c r="E304" s="297">
        <v>2</v>
      </c>
      <c r="F304" s="297"/>
      <c r="G304" s="297"/>
      <c r="H304" s="298"/>
      <c r="I304" s="299" t="s">
        <v>592</v>
      </c>
    </row>
    <row r="305" spans="1:9" x14ac:dyDescent="0.2">
      <c r="A305" s="296"/>
      <c r="B305" s="297"/>
      <c r="C305" s="297"/>
      <c r="D305" s="297" t="s">
        <v>38</v>
      </c>
      <c r="E305" s="297">
        <v>1</v>
      </c>
      <c r="F305" s="297"/>
      <c r="G305" s="297"/>
      <c r="H305" s="298"/>
      <c r="I305" s="299" t="s">
        <v>593</v>
      </c>
    </row>
    <row r="306" spans="1:9" x14ac:dyDescent="0.2">
      <c r="A306" s="296"/>
      <c r="B306" s="297"/>
      <c r="C306" s="297"/>
      <c r="D306" s="297" t="s">
        <v>38</v>
      </c>
      <c r="E306" s="297">
        <v>1</v>
      </c>
      <c r="F306" s="297"/>
      <c r="G306" s="297"/>
      <c r="H306" s="298"/>
      <c r="I306" s="299" t="s">
        <v>594</v>
      </c>
    </row>
    <row r="307" spans="1:9" x14ac:dyDescent="0.2">
      <c r="A307" s="296"/>
      <c r="B307" s="297"/>
      <c r="C307" s="297"/>
      <c r="D307" s="297" t="s">
        <v>38</v>
      </c>
      <c r="E307" s="297">
        <v>2</v>
      </c>
      <c r="F307" s="297"/>
      <c r="G307" s="297"/>
      <c r="H307" s="298"/>
      <c r="I307" s="299" t="s">
        <v>595</v>
      </c>
    </row>
    <row r="308" spans="1:9" x14ac:dyDescent="0.2">
      <c r="A308" s="296"/>
      <c r="B308" s="297"/>
      <c r="C308" s="297"/>
      <c r="D308" s="297" t="s">
        <v>38</v>
      </c>
      <c r="E308" s="297">
        <v>2</v>
      </c>
      <c r="F308" s="297"/>
      <c r="G308" s="297"/>
      <c r="H308" s="298"/>
      <c r="I308" s="299" t="s">
        <v>596</v>
      </c>
    </row>
    <row r="309" spans="1:9" x14ac:dyDescent="0.2">
      <c r="A309" s="296"/>
      <c r="B309" s="297"/>
      <c r="C309" s="297"/>
      <c r="D309" s="297" t="s">
        <v>38</v>
      </c>
      <c r="E309" s="297">
        <v>2</v>
      </c>
      <c r="F309" s="297"/>
      <c r="G309" s="297"/>
      <c r="H309" s="298"/>
      <c r="I309" s="299" t="s">
        <v>597</v>
      </c>
    </row>
    <row r="310" spans="1:9" x14ac:dyDescent="0.2">
      <c r="A310" s="296"/>
      <c r="B310" s="297"/>
      <c r="C310" s="297"/>
      <c r="D310" s="297" t="s">
        <v>38</v>
      </c>
      <c r="E310" s="297">
        <v>2</v>
      </c>
      <c r="F310" s="297"/>
      <c r="G310" s="297"/>
      <c r="H310" s="298"/>
      <c r="I310" s="299" t="s">
        <v>598</v>
      </c>
    </row>
    <row r="311" spans="1:9" x14ac:dyDescent="0.2">
      <c r="A311" s="296"/>
      <c r="B311" s="297"/>
      <c r="C311" s="297"/>
      <c r="D311" s="297" t="s">
        <v>38</v>
      </c>
      <c r="E311" s="297">
        <v>1</v>
      </c>
      <c r="F311" s="297">
        <v>1</v>
      </c>
      <c r="G311" s="297"/>
      <c r="H311" s="298"/>
      <c r="I311" s="299" t="s">
        <v>599</v>
      </c>
    </row>
    <row r="312" spans="1:9" x14ac:dyDescent="0.2">
      <c r="A312" s="296"/>
      <c r="B312" s="297"/>
      <c r="C312" s="297"/>
      <c r="D312" s="297" t="s">
        <v>38</v>
      </c>
      <c r="E312" s="297">
        <v>2</v>
      </c>
      <c r="F312" s="297">
        <v>2000</v>
      </c>
      <c r="G312" s="297"/>
      <c r="H312" s="298"/>
      <c r="I312" s="299" t="s">
        <v>600</v>
      </c>
    </row>
    <row r="313" spans="1:9" x14ac:dyDescent="0.2">
      <c r="A313" s="296"/>
      <c r="B313" s="297"/>
      <c r="C313" s="297"/>
      <c r="D313" s="297" t="s">
        <v>38</v>
      </c>
      <c r="E313" s="297">
        <v>2</v>
      </c>
      <c r="F313" s="297">
        <v>600</v>
      </c>
      <c r="G313" s="297"/>
      <c r="H313" s="298"/>
      <c r="I313" s="299" t="s">
        <v>601</v>
      </c>
    </row>
    <row r="314" spans="1:9" x14ac:dyDescent="0.2">
      <c r="A314" s="296"/>
      <c r="B314" s="297"/>
      <c r="C314" s="297"/>
      <c r="D314" s="297" t="s">
        <v>38</v>
      </c>
      <c r="E314" s="297">
        <v>2</v>
      </c>
      <c r="F314" s="297">
        <v>6000</v>
      </c>
      <c r="G314" s="297"/>
      <c r="H314" s="298"/>
      <c r="I314" s="299" t="s">
        <v>602</v>
      </c>
    </row>
    <row r="315" spans="1:9" x14ac:dyDescent="0.2">
      <c r="A315" s="296"/>
      <c r="B315" s="297"/>
      <c r="C315" s="297"/>
      <c r="D315" s="297" t="s">
        <v>38</v>
      </c>
      <c r="E315" s="297">
        <v>2</v>
      </c>
      <c r="F315" s="297">
        <v>8000</v>
      </c>
      <c r="G315" s="297"/>
      <c r="H315" s="298"/>
      <c r="I315" s="299" t="s">
        <v>603</v>
      </c>
    </row>
    <row r="316" spans="1:9" x14ac:dyDescent="0.2">
      <c r="A316" s="296"/>
      <c r="B316" s="297"/>
      <c r="C316" s="297"/>
      <c r="D316" s="297" t="s">
        <v>38</v>
      </c>
      <c r="E316" s="297">
        <v>1</v>
      </c>
      <c r="F316" s="297"/>
      <c r="G316" s="297"/>
      <c r="H316" s="298"/>
      <c r="I316" s="299" t="s">
        <v>604</v>
      </c>
    </row>
    <row r="317" spans="1:9" x14ac:dyDescent="0.2">
      <c r="A317" s="296"/>
      <c r="B317" s="297"/>
      <c r="C317" s="297"/>
      <c r="D317" s="297" t="s">
        <v>38</v>
      </c>
      <c r="E317" s="297">
        <v>1</v>
      </c>
      <c r="F317" s="297" t="s">
        <v>605</v>
      </c>
      <c r="G317" s="297"/>
      <c r="H317" s="298"/>
      <c r="I317" s="299" t="s">
        <v>606</v>
      </c>
    </row>
    <row r="318" spans="1:9" x14ac:dyDescent="0.2">
      <c r="A318" s="296"/>
      <c r="B318" s="297"/>
      <c r="C318" s="297"/>
      <c r="D318" s="297" t="s">
        <v>39</v>
      </c>
      <c r="E318" s="297">
        <v>35</v>
      </c>
      <c r="F318" s="297"/>
      <c r="G318" s="297"/>
      <c r="H318" s="298"/>
      <c r="I318" s="299" t="s">
        <v>418</v>
      </c>
    </row>
    <row r="319" spans="1:9" x14ac:dyDescent="0.2">
      <c r="A319" s="296" t="s">
        <v>607</v>
      </c>
      <c r="B319" s="297" t="s">
        <v>608</v>
      </c>
      <c r="C319" s="297" t="s">
        <v>52</v>
      </c>
      <c r="D319" s="297"/>
      <c r="E319" s="297"/>
      <c r="F319" s="297"/>
      <c r="G319" s="297" t="s">
        <v>162</v>
      </c>
      <c r="H319" s="298"/>
      <c r="I319" s="299">
        <v>67332</v>
      </c>
    </row>
    <row r="320" spans="1:9" x14ac:dyDescent="0.2">
      <c r="A320" s="296"/>
      <c r="B320" s="297"/>
      <c r="C320" s="297"/>
      <c r="D320" s="297" t="s">
        <v>38</v>
      </c>
      <c r="E320" s="297">
        <v>1</v>
      </c>
      <c r="F320" s="297">
        <v>6</v>
      </c>
      <c r="G320" s="297"/>
      <c r="H320" s="298"/>
      <c r="I320" s="299" t="s">
        <v>356</v>
      </c>
    </row>
    <row r="321" spans="1:9" x14ac:dyDescent="0.2">
      <c r="A321" s="296"/>
      <c r="B321" s="297"/>
      <c r="C321" s="297"/>
      <c r="D321" s="297" t="s">
        <v>38</v>
      </c>
      <c r="E321" s="297">
        <v>2</v>
      </c>
      <c r="F321" s="297">
        <v>1358</v>
      </c>
      <c r="G321" s="297"/>
      <c r="H321" s="298"/>
      <c r="I321" s="299" t="s">
        <v>609</v>
      </c>
    </row>
    <row r="322" spans="1:9" x14ac:dyDescent="0.2">
      <c r="A322" s="296"/>
      <c r="B322" s="297"/>
      <c r="C322" s="297"/>
      <c r="D322" s="297" t="s">
        <v>38</v>
      </c>
      <c r="E322" s="297">
        <v>1</v>
      </c>
      <c r="F322" s="297">
        <v>4</v>
      </c>
      <c r="G322" s="297"/>
      <c r="H322" s="298"/>
      <c r="I322" s="299" t="s">
        <v>610</v>
      </c>
    </row>
    <row r="323" spans="1:9" x14ac:dyDescent="0.2">
      <c r="A323" s="296"/>
      <c r="B323" s="297"/>
      <c r="C323" s="297"/>
      <c r="D323" s="297" t="s">
        <v>38</v>
      </c>
      <c r="E323" s="297">
        <v>2</v>
      </c>
      <c r="F323" s="297"/>
      <c r="G323" s="297"/>
      <c r="H323" s="298"/>
      <c r="I323" s="299" t="s">
        <v>611</v>
      </c>
    </row>
    <row r="324" spans="1:9" x14ac:dyDescent="0.2">
      <c r="A324" s="296"/>
      <c r="B324" s="297"/>
      <c r="C324" s="297"/>
      <c r="D324" s="297" t="s">
        <v>38</v>
      </c>
      <c r="E324" s="297">
        <v>1</v>
      </c>
      <c r="F324" s="297"/>
      <c r="G324" s="297"/>
      <c r="H324" s="298"/>
      <c r="I324" s="299" t="s">
        <v>612</v>
      </c>
    </row>
    <row r="325" spans="1:9" x14ac:dyDescent="0.2">
      <c r="A325" s="296"/>
      <c r="B325" s="297"/>
      <c r="C325" s="297"/>
      <c r="D325" s="297" t="s">
        <v>38</v>
      </c>
      <c r="E325" s="297">
        <v>1</v>
      </c>
      <c r="F325" s="297"/>
      <c r="G325" s="297"/>
      <c r="H325" s="298"/>
      <c r="I325" s="299" t="s">
        <v>613</v>
      </c>
    </row>
    <row r="326" spans="1:9" x14ac:dyDescent="0.2">
      <c r="A326" s="296"/>
      <c r="B326" s="297"/>
      <c r="C326" s="297"/>
      <c r="D326" s="297" t="s">
        <v>38</v>
      </c>
      <c r="E326" s="297">
        <v>1</v>
      </c>
      <c r="F326" s="297"/>
      <c r="G326" s="297"/>
      <c r="H326" s="298"/>
      <c r="I326" s="299" t="s">
        <v>614</v>
      </c>
    </row>
    <row r="327" spans="1:9" x14ac:dyDescent="0.2">
      <c r="A327" s="296"/>
      <c r="B327" s="297"/>
      <c r="C327" s="297"/>
      <c r="D327" s="297" t="s">
        <v>38</v>
      </c>
      <c r="E327" s="297">
        <v>1</v>
      </c>
      <c r="F327" s="297"/>
      <c r="G327" s="297"/>
      <c r="H327" s="298"/>
      <c r="I327" s="299" t="s">
        <v>615</v>
      </c>
    </row>
    <row r="328" spans="1:9" x14ac:dyDescent="0.2">
      <c r="A328" s="296"/>
      <c r="B328" s="297"/>
      <c r="C328" s="297"/>
      <c r="D328" s="297" t="s">
        <v>38</v>
      </c>
      <c r="E328" s="297">
        <v>1</v>
      </c>
      <c r="F328" s="297"/>
      <c r="G328" s="297"/>
      <c r="H328" s="298"/>
      <c r="I328" s="299" t="s">
        <v>616</v>
      </c>
    </row>
    <row r="329" spans="1:9" x14ac:dyDescent="0.2">
      <c r="A329" s="296"/>
      <c r="B329" s="297"/>
      <c r="C329" s="297"/>
      <c r="D329" s="297" t="s">
        <v>38</v>
      </c>
      <c r="E329" s="297">
        <v>1</v>
      </c>
      <c r="F329" s="297"/>
      <c r="G329" s="297"/>
      <c r="H329" s="298"/>
      <c r="I329" s="299" t="s">
        <v>617</v>
      </c>
    </row>
    <row r="330" spans="1:9" x14ac:dyDescent="0.2">
      <c r="A330" s="296"/>
      <c r="B330" s="297"/>
      <c r="C330" s="297"/>
      <c r="D330" s="297" t="s">
        <v>38</v>
      </c>
      <c r="E330" s="297">
        <v>2</v>
      </c>
      <c r="F330" s="297"/>
      <c r="G330" s="297"/>
      <c r="H330" s="298"/>
      <c r="I330" s="299" t="s">
        <v>618</v>
      </c>
    </row>
    <row r="331" spans="1:9" x14ac:dyDescent="0.2">
      <c r="A331" s="296"/>
      <c r="B331" s="297"/>
      <c r="C331" s="297"/>
      <c r="D331" s="297" t="s">
        <v>38</v>
      </c>
      <c r="E331" s="297">
        <v>2</v>
      </c>
      <c r="F331" s="297"/>
      <c r="G331" s="297"/>
      <c r="H331" s="298"/>
      <c r="I331" s="299" t="s">
        <v>619</v>
      </c>
    </row>
    <row r="332" spans="1:9" x14ac:dyDescent="0.2">
      <c r="A332" s="296"/>
      <c r="B332" s="297"/>
      <c r="C332" s="297"/>
      <c r="D332" s="297" t="s">
        <v>38</v>
      </c>
      <c r="E332" s="297">
        <v>1</v>
      </c>
      <c r="F332" s="297"/>
      <c r="G332" s="297"/>
      <c r="H332" s="298"/>
      <c r="I332" s="299" t="s">
        <v>620</v>
      </c>
    </row>
    <row r="333" spans="1:9" x14ac:dyDescent="0.2">
      <c r="A333" s="296"/>
      <c r="B333" s="297"/>
      <c r="C333" s="297"/>
      <c r="D333" s="297" t="s">
        <v>38</v>
      </c>
      <c r="E333" s="297">
        <v>1</v>
      </c>
      <c r="F333" s="297">
        <v>0</v>
      </c>
      <c r="G333" s="297"/>
      <c r="H333" s="298"/>
      <c r="I333" s="299" t="s">
        <v>621</v>
      </c>
    </row>
    <row r="334" spans="1:9" x14ac:dyDescent="0.2">
      <c r="A334" s="296"/>
      <c r="B334" s="297"/>
      <c r="C334" s="297"/>
      <c r="D334" s="297" t="s">
        <v>38</v>
      </c>
      <c r="E334" s="297">
        <v>1</v>
      </c>
      <c r="F334" s="297">
        <v>2</v>
      </c>
      <c r="G334" s="297"/>
      <c r="H334" s="298"/>
      <c r="I334" s="299" t="s">
        <v>622</v>
      </c>
    </row>
    <row r="335" spans="1:9" x14ac:dyDescent="0.2">
      <c r="A335" s="296"/>
      <c r="B335" s="297"/>
      <c r="C335" s="297"/>
      <c r="D335" s="297" t="s">
        <v>38</v>
      </c>
      <c r="E335" s="297">
        <v>1</v>
      </c>
      <c r="F335" s="297">
        <v>0</v>
      </c>
      <c r="G335" s="297"/>
      <c r="H335" s="298"/>
      <c r="I335" s="299" t="s">
        <v>623</v>
      </c>
    </row>
    <row r="336" spans="1:9" x14ac:dyDescent="0.2">
      <c r="A336" s="296"/>
      <c r="B336" s="297"/>
      <c r="C336" s="297"/>
      <c r="D336" s="297" t="s">
        <v>38</v>
      </c>
      <c r="E336" s="297">
        <v>1</v>
      </c>
      <c r="F336" s="297">
        <v>100</v>
      </c>
      <c r="G336" s="297"/>
      <c r="H336" s="298"/>
      <c r="I336" s="299" t="s">
        <v>624</v>
      </c>
    </row>
    <row r="337" spans="1:9" x14ac:dyDescent="0.2">
      <c r="A337" s="296"/>
      <c r="B337" s="297"/>
      <c r="C337" s="297"/>
      <c r="D337" s="297" t="s">
        <v>38</v>
      </c>
      <c r="E337" s="297">
        <v>1</v>
      </c>
      <c r="F337" s="297">
        <v>40</v>
      </c>
      <c r="G337" s="297"/>
      <c r="H337" s="298"/>
      <c r="I337" s="299" t="s">
        <v>625</v>
      </c>
    </row>
    <row r="338" spans="1:9" x14ac:dyDescent="0.2">
      <c r="A338" s="296"/>
      <c r="B338" s="297"/>
      <c r="C338" s="297"/>
      <c r="D338" s="297" t="s">
        <v>38</v>
      </c>
      <c r="E338" s="297">
        <v>1</v>
      </c>
      <c r="F338" s="297">
        <v>0</v>
      </c>
      <c r="G338" s="297"/>
      <c r="H338" s="298"/>
      <c r="I338" s="299" t="s">
        <v>626</v>
      </c>
    </row>
    <row r="339" spans="1:9" x14ac:dyDescent="0.2">
      <c r="A339" s="296"/>
      <c r="B339" s="297"/>
      <c r="C339" s="297"/>
      <c r="D339" s="297" t="s">
        <v>38</v>
      </c>
      <c r="E339" s="297">
        <v>1</v>
      </c>
      <c r="F339" s="297"/>
      <c r="G339" s="297"/>
      <c r="H339" s="298"/>
      <c r="I339" s="299" t="s">
        <v>627</v>
      </c>
    </row>
    <row r="340" spans="1:9" x14ac:dyDescent="0.2">
      <c r="A340" s="296"/>
      <c r="B340" s="297"/>
      <c r="C340" s="297"/>
      <c r="D340" s="297" t="s">
        <v>38</v>
      </c>
      <c r="E340" s="297">
        <v>1</v>
      </c>
      <c r="F340" s="297"/>
      <c r="G340" s="297"/>
      <c r="H340" s="298"/>
      <c r="I340" s="299" t="s">
        <v>628</v>
      </c>
    </row>
    <row r="341" spans="1:9" x14ac:dyDescent="0.2">
      <c r="A341" s="296"/>
      <c r="B341" s="297"/>
      <c r="C341" s="297"/>
      <c r="D341" s="297" t="s">
        <v>38</v>
      </c>
      <c r="E341" s="297">
        <v>1</v>
      </c>
      <c r="F341" s="297">
        <v>20</v>
      </c>
      <c r="G341" s="297"/>
      <c r="H341" s="298"/>
      <c r="I341" s="299" t="s">
        <v>629</v>
      </c>
    </row>
    <row r="342" spans="1:9" x14ac:dyDescent="0.2">
      <c r="A342" s="296"/>
      <c r="B342" s="297"/>
      <c r="C342" s="297"/>
      <c r="D342" s="297" t="s">
        <v>38</v>
      </c>
      <c r="E342" s="297">
        <v>2</v>
      </c>
      <c r="F342" s="297">
        <v>5</v>
      </c>
      <c r="G342" s="297"/>
      <c r="H342" s="298"/>
      <c r="I342" s="299" t="s">
        <v>630</v>
      </c>
    </row>
    <row r="343" spans="1:9" x14ac:dyDescent="0.2">
      <c r="A343" s="296"/>
      <c r="B343" s="297"/>
      <c r="C343" s="297"/>
      <c r="D343" s="297" t="s">
        <v>38</v>
      </c>
      <c r="E343" s="297">
        <v>2</v>
      </c>
      <c r="F343" s="297">
        <v>60</v>
      </c>
      <c r="G343" s="297"/>
      <c r="H343" s="298"/>
      <c r="I343" s="299" t="s">
        <v>631</v>
      </c>
    </row>
    <row r="344" spans="1:9" x14ac:dyDescent="0.2">
      <c r="A344" s="296"/>
      <c r="B344" s="297"/>
      <c r="C344" s="297"/>
      <c r="D344" s="297" t="s">
        <v>38</v>
      </c>
      <c r="E344" s="297">
        <v>2</v>
      </c>
      <c r="F344" s="297">
        <v>60</v>
      </c>
      <c r="G344" s="297"/>
      <c r="H344" s="298"/>
      <c r="I344" s="299" t="s">
        <v>632</v>
      </c>
    </row>
    <row r="345" spans="1:9" x14ac:dyDescent="0.2">
      <c r="A345" s="296"/>
      <c r="B345" s="297"/>
      <c r="C345" s="297"/>
      <c r="D345" s="297" t="s">
        <v>38</v>
      </c>
      <c r="E345" s="297">
        <v>2</v>
      </c>
      <c r="F345" s="297">
        <v>60</v>
      </c>
      <c r="G345" s="297"/>
      <c r="H345" s="298"/>
      <c r="I345" s="299" t="s">
        <v>633</v>
      </c>
    </row>
    <row r="346" spans="1:9" x14ac:dyDescent="0.2">
      <c r="A346" s="296"/>
      <c r="B346" s="297"/>
      <c r="C346" s="297"/>
      <c r="D346" s="297" t="s">
        <v>38</v>
      </c>
      <c r="E346" s="297">
        <v>1</v>
      </c>
      <c r="F346" s="297"/>
      <c r="G346" s="297"/>
      <c r="H346" s="298"/>
      <c r="I346" s="299" t="s">
        <v>634</v>
      </c>
    </row>
    <row r="347" spans="1:9" x14ac:dyDescent="0.2">
      <c r="A347" s="296"/>
      <c r="B347" s="297"/>
      <c r="C347" s="297"/>
      <c r="D347" s="297" t="s">
        <v>38</v>
      </c>
      <c r="E347" s="297">
        <v>1</v>
      </c>
      <c r="F347" s="297"/>
      <c r="G347" s="297"/>
      <c r="H347" s="298"/>
      <c r="I347" s="299" t="s">
        <v>635</v>
      </c>
    </row>
    <row r="348" spans="1:9" x14ac:dyDescent="0.2">
      <c r="A348" s="296"/>
      <c r="B348" s="297"/>
      <c r="C348" s="297"/>
      <c r="D348" s="297" t="s">
        <v>38</v>
      </c>
      <c r="E348" s="297">
        <v>1</v>
      </c>
      <c r="F348" s="297"/>
      <c r="G348" s="297"/>
      <c r="H348" s="298"/>
      <c r="I348" s="299" t="s">
        <v>636</v>
      </c>
    </row>
    <row r="349" spans="1:9" x14ac:dyDescent="0.2">
      <c r="A349" s="296"/>
      <c r="B349" s="297"/>
      <c r="C349" s="297"/>
      <c r="D349" s="297" t="s">
        <v>38</v>
      </c>
      <c r="E349" s="297">
        <v>2</v>
      </c>
      <c r="F349" s="297">
        <v>0</v>
      </c>
      <c r="G349" s="297"/>
      <c r="H349" s="298"/>
      <c r="I349" s="299" t="s">
        <v>637</v>
      </c>
    </row>
    <row r="350" spans="1:9" x14ac:dyDescent="0.2">
      <c r="A350" s="296"/>
      <c r="B350" s="297"/>
      <c r="C350" s="297"/>
      <c r="D350" s="297" t="s">
        <v>38</v>
      </c>
      <c r="E350" s="297">
        <v>1</v>
      </c>
      <c r="F350" s="297">
        <v>0</v>
      </c>
      <c r="G350" s="297"/>
      <c r="H350" s="298"/>
      <c r="I350" s="299" t="s">
        <v>638</v>
      </c>
    </row>
    <row r="351" spans="1:9" x14ac:dyDescent="0.2">
      <c r="A351" s="296"/>
      <c r="B351" s="297"/>
      <c r="C351" s="297"/>
      <c r="D351" s="297" t="s">
        <v>38</v>
      </c>
      <c r="E351" s="297">
        <v>1</v>
      </c>
      <c r="F351" s="297">
        <v>0</v>
      </c>
      <c r="G351" s="297"/>
      <c r="H351" s="298"/>
      <c r="I351" s="299" t="s">
        <v>639</v>
      </c>
    </row>
    <row r="352" spans="1:9" x14ac:dyDescent="0.2">
      <c r="A352" s="296"/>
      <c r="B352" s="297"/>
      <c r="C352" s="297"/>
      <c r="D352" s="297" t="s">
        <v>38</v>
      </c>
      <c r="E352" s="297">
        <v>1</v>
      </c>
      <c r="F352" s="297">
        <v>0</v>
      </c>
      <c r="G352" s="297"/>
      <c r="H352" s="298"/>
      <c r="I352" s="299" t="s">
        <v>640</v>
      </c>
    </row>
    <row r="353" spans="1:9" x14ac:dyDescent="0.2">
      <c r="A353" s="296"/>
      <c r="B353" s="297"/>
      <c r="C353" s="297"/>
      <c r="D353" s="297" t="s">
        <v>38</v>
      </c>
      <c r="E353" s="297">
        <v>4</v>
      </c>
      <c r="F353" s="297">
        <v>46</v>
      </c>
      <c r="G353" s="297"/>
      <c r="H353" s="298"/>
      <c r="I353" s="299" t="s">
        <v>641</v>
      </c>
    </row>
    <row r="354" spans="1:9" x14ac:dyDescent="0.2">
      <c r="A354" s="296"/>
      <c r="B354" s="297"/>
      <c r="C354" s="297"/>
      <c r="D354" s="297" t="s">
        <v>38</v>
      </c>
      <c r="E354" s="297">
        <v>4</v>
      </c>
      <c r="F354" s="297">
        <v>46</v>
      </c>
      <c r="G354" s="297"/>
      <c r="H354" s="298"/>
      <c r="I354" s="299" t="s">
        <v>642</v>
      </c>
    </row>
    <row r="355" spans="1:9" x14ac:dyDescent="0.2">
      <c r="A355" s="296"/>
      <c r="B355" s="297"/>
      <c r="C355" s="297"/>
      <c r="D355" s="297" t="s">
        <v>38</v>
      </c>
      <c r="E355" s="297">
        <v>1</v>
      </c>
      <c r="F355" s="297">
        <v>0</v>
      </c>
      <c r="G355" s="297"/>
      <c r="H355" s="298"/>
      <c r="I355" s="299" t="s">
        <v>643</v>
      </c>
    </row>
    <row r="356" spans="1:9" x14ac:dyDescent="0.2">
      <c r="A356" s="296"/>
      <c r="B356" s="297"/>
      <c r="C356" s="297"/>
      <c r="D356" s="297" t="s">
        <v>38</v>
      </c>
      <c r="E356" s="297">
        <v>484</v>
      </c>
      <c r="F356" s="297">
        <v>0</v>
      </c>
      <c r="G356" s="297"/>
      <c r="H356" s="298"/>
      <c r="I356" s="299" t="s">
        <v>644</v>
      </c>
    </row>
    <row r="357" spans="1:9" x14ac:dyDescent="0.2">
      <c r="A357" s="296" t="s">
        <v>645</v>
      </c>
      <c r="B357" s="297" t="s">
        <v>646</v>
      </c>
      <c r="C357" s="297" t="s">
        <v>52</v>
      </c>
      <c r="D357" s="297"/>
      <c r="E357" s="297"/>
      <c r="F357" s="297"/>
      <c r="G357" s="297" t="s">
        <v>162</v>
      </c>
      <c r="H357" s="298"/>
      <c r="I357" s="299">
        <v>67314</v>
      </c>
    </row>
    <row r="358" spans="1:9" x14ac:dyDescent="0.2">
      <c r="A358" s="296"/>
      <c r="B358" s="297"/>
      <c r="C358" s="297"/>
      <c r="D358" s="297" t="s">
        <v>38</v>
      </c>
      <c r="E358" s="297">
        <v>4</v>
      </c>
      <c r="F358" s="297"/>
      <c r="G358" s="297"/>
      <c r="H358" s="298"/>
      <c r="I358" s="299" t="s">
        <v>647</v>
      </c>
    </row>
    <row r="359" spans="1:9" x14ac:dyDescent="0.2">
      <c r="A359" s="296"/>
      <c r="B359" s="297"/>
      <c r="C359" s="297"/>
      <c r="D359" s="297" t="s">
        <v>38</v>
      </c>
      <c r="E359" s="297">
        <v>4</v>
      </c>
      <c r="F359" s="297"/>
      <c r="G359" s="297"/>
      <c r="H359" s="298"/>
      <c r="I359" s="299" t="s">
        <v>648</v>
      </c>
    </row>
    <row r="360" spans="1:9" x14ac:dyDescent="0.2">
      <c r="A360" s="296"/>
      <c r="B360" s="297"/>
      <c r="C360" s="297"/>
      <c r="D360" s="297" t="s">
        <v>38</v>
      </c>
      <c r="E360" s="297">
        <v>4</v>
      </c>
      <c r="F360" s="297"/>
      <c r="G360" s="297"/>
      <c r="H360" s="298"/>
      <c r="I360" s="299" t="s">
        <v>649</v>
      </c>
    </row>
    <row r="361" spans="1:9" x14ac:dyDescent="0.2">
      <c r="A361" s="296"/>
      <c r="B361" s="297"/>
      <c r="C361" s="297"/>
      <c r="D361" s="297" t="s">
        <v>38</v>
      </c>
      <c r="E361" s="297">
        <v>4</v>
      </c>
      <c r="F361" s="297"/>
      <c r="G361" s="297"/>
      <c r="H361" s="298"/>
      <c r="I361" s="299" t="s">
        <v>650</v>
      </c>
    </row>
    <row r="362" spans="1:9" ht="25.5" x14ac:dyDescent="0.2">
      <c r="A362" s="296"/>
      <c r="B362" s="297"/>
      <c r="C362" s="297"/>
      <c r="D362" s="297" t="s">
        <v>38</v>
      </c>
      <c r="E362" s="297">
        <v>1</v>
      </c>
      <c r="F362" s="297"/>
      <c r="G362" s="297"/>
      <c r="H362" s="298"/>
      <c r="I362" s="299" t="s">
        <v>651</v>
      </c>
    </row>
    <row r="363" spans="1:9" x14ac:dyDescent="0.2">
      <c r="A363" s="296"/>
      <c r="B363" s="297"/>
      <c r="C363" s="297"/>
      <c r="D363" s="297" t="s">
        <v>38</v>
      </c>
      <c r="E363" s="297">
        <v>4</v>
      </c>
      <c r="F363" s="297"/>
      <c r="G363" s="297"/>
      <c r="H363" s="298"/>
      <c r="I363" s="299" t="s">
        <v>652</v>
      </c>
    </row>
    <row r="364" spans="1:9" x14ac:dyDescent="0.2">
      <c r="A364" s="296"/>
      <c r="B364" s="297"/>
      <c r="C364" s="297"/>
      <c r="D364" s="297" t="s">
        <v>38</v>
      </c>
      <c r="E364" s="297">
        <v>4</v>
      </c>
      <c r="F364" s="297"/>
      <c r="G364" s="297"/>
      <c r="H364" s="298"/>
      <c r="I364" s="299" t="s">
        <v>653</v>
      </c>
    </row>
    <row r="365" spans="1:9" x14ac:dyDescent="0.2">
      <c r="A365" s="296"/>
      <c r="B365" s="297"/>
      <c r="C365" s="297"/>
      <c r="D365" s="297" t="s">
        <v>38</v>
      </c>
      <c r="E365" s="297">
        <v>4</v>
      </c>
      <c r="F365" s="297"/>
      <c r="G365" s="297"/>
      <c r="H365" s="298"/>
      <c r="I365" s="299" t="s">
        <v>654</v>
      </c>
    </row>
    <row r="366" spans="1:9" x14ac:dyDescent="0.2">
      <c r="A366" s="296"/>
      <c r="B366" s="297"/>
      <c r="C366" s="297"/>
      <c r="D366" s="297" t="s">
        <v>38</v>
      </c>
      <c r="E366" s="297">
        <v>4</v>
      </c>
      <c r="F366" s="297"/>
      <c r="G366" s="297"/>
      <c r="H366" s="298"/>
      <c r="I366" s="299" t="s">
        <v>655</v>
      </c>
    </row>
    <row r="367" spans="1:9" x14ac:dyDescent="0.2">
      <c r="A367" s="296"/>
      <c r="B367" s="297"/>
      <c r="C367" s="297"/>
      <c r="D367" s="297" t="s">
        <v>38</v>
      </c>
      <c r="E367" s="297">
        <v>1</v>
      </c>
      <c r="F367" s="297"/>
      <c r="G367" s="297"/>
      <c r="H367" s="298"/>
      <c r="I367" s="299" t="s">
        <v>656</v>
      </c>
    </row>
    <row r="368" spans="1:9" x14ac:dyDescent="0.2">
      <c r="A368" s="296"/>
      <c r="B368" s="297"/>
      <c r="C368" s="297"/>
      <c r="D368" s="297" t="s">
        <v>39</v>
      </c>
      <c r="E368" s="297">
        <v>128</v>
      </c>
      <c r="F368" s="297"/>
      <c r="G368" s="297"/>
      <c r="H368" s="298"/>
      <c r="I368" s="299" t="s">
        <v>657</v>
      </c>
    </row>
    <row r="369" spans="1:9" x14ac:dyDescent="0.2">
      <c r="A369" s="296"/>
      <c r="B369" s="297"/>
      <c r="C369" s="297"/>
      <c r="D369" s="297" t="s">
        <v>38</v>
      </c>
      <c r="E369" s="297">
        <v>4</v>
      </c>
      <c r="F369" s="297"/>
      <c r="G369" s="297"/>
      <c r="H369" s="298"/>
      <c r="I369" s="299" t="s">
        <v>658</v>
      </c>
    </row>
    <row r="370" spans="1:9" x14ac:dyDescent="0.2">
      <c r="A370" s="296"/>
      <c r="B370" s="297"/>
      <c r="C370" s="297"/>
      <c r="D370" s="297" t="s">
        <v>38</v>
      </c>
      <c r="E370" s="297">
        <v>4</v>
      </c>
      <c r="F370" s="297"/>
      <c r="G370" s="297"/>
      <c r="H370" s="298"/>
      <c r="I370" s="299" t="s">
        <v>659</v>
      </c>
    </row>
    <row r="371" spans="1:9" x14ac:dyDescent="0.2">
      <c r="A371" s="296"/>
      <c r="B371" s="297"/>
      <c r="C371" s="297"/>
      <c r="D371" s="297" t="s">
        <v>38</v>
      </c>
      <c r="E371" s="297">
        <v>1</v>
      </c>
      <c r="F371" s="297"/>
      <c r="G371" s="297"/>
      <c r="H371" s="298"/>
      <c r="I371" s="299" t="s">
        <v>660</v>
      </c>
    </row>
    <row r="372" spans="1:9" x14ac:dyDescent="0.2">
      <c r="A372" s="296"/>
      <c r="B372" s="297"/>
      <c r="C372" s="297"/>
      <c r="D372" s="297" t="s">
        <v>38</v>
      </c>
      <c r="E372" s="297">
        <v>1</v>
      </c>
      <c r="F372" s="297"/>
      <c r="G372" s="297"/>
      <c r="H372" s="298"/>
      <c r="I372" s="299" t="s">
        <v>661</v>
      </c>
    </row>
    <row r="373" spans="1:9" x14ac:dyDescent="0.2">
      <c r="A373" s="296" t="s">
        <v>662</v>
      </c>
      <c r="B373" s="297" t="s">
        <v>663</v>
      </c>
      <c r="C373" s="297" t="s">
        <v>52</v>
      </c>
      <c r="D373" s="297"/>
      <c r="E373" s="297"/>
      <c r="F373" s="297"/>
      <c r="G373" s="297" t="s">
        <v>162</v>
      </c>
      <c r="H373" s="298"/>
      <c r="I373" s="299">
        <v>67257</v>
      </c>
    </row>
    <row r="374" spans="1:9" x14ac:dyDescent="0.2">
      <c r="A374" s="296"/>
      <c r="B374" s="297"/>
      <c r="C374" s="297"/>
      <c r="D374" s="297" t="s">
        <v>38</v>
      </c>
      <c r="E374" s="297">
        <v>1</v>
      </c>
      <c r="F374" s="297">
        <v>0</v>
      </c>
      <c r="G374" s="297"/>
      <c r="H374" s="298"/>
      <c r="I374" s="299" t="s">
        <v>664</v>
      </c>
    </row>
    <row r="375" spans="1:9" x14ac:dyDescent="0.2">
      <c r="A375" s="296"/>
      <c r="B375" s="297"/>
      <c r="C375" s="297"/>
      <c r="D375" s="297" t="s">
        <v>38</v>
      </c>
      <c r="E375" s="297">
        <v>1</v>
      </c>
      <c r="F375" s="297">
        <v>1</v>
      </c>
      <c r="G375" s="297"/>
      <c r="H375" s="298"/>
      <c r="I375" s="299" t="s">
        <v>665</v>
      </c>
    </row>
    <row r="376" spans="1:9" x14ac:dyDescent="0.2">
      <c r="A376" s="296"/>
      <c r="B376" s="297"/>
      <c r="C376" s="297"/>
      <c r="D376" s="297" t="s">
        <v>38</v>
      </c>
      <c r="E376" s="297">
        <v>1</v>
      </c>
      <c r="F376" s="297">
        <v>1</v>
      </c>
      <c r="G376" s="297"/>
      <c r="H376" s="298"/>
      <c r="I376" s="299" t="s">
        <v>666</v>
      </c>
    </row>
    <row r="377" spans="1:9" x14ac:dyDescent="0.2">
      <c r="A377" s="296"/>
      <c r="B377" s="297"/>
      <c r="C377" s="297"/>
      <c r="D377" s="297" t="s">
        <v>39</v>
      </c>
      <c r="E377" s="297">
        <v>128</v>
      </c>
      <c r="F377" s="297" t="s">
        <v>667</v>
      </c>
      <c r="G377" s="297"/>
      <c r="H377" s="298"/>
      <c r="I377" s="299" t="s">
        <v>668</v>
      </c>
    </row>
    <row r="378" spans="1:9" x14ac:dyDescent="0.2">
      <c r="A378" s="296"/>
      <c r="B378" s="297"/>
      <c r="C378" s="297"/>
      <c r="D378" s="297" t="s">
        <v>38</v>
      </c>
      <c r="E378" s="297">
        <v>2</v>
      </c>
      <c r="F378" s="297">
        <v>0</v>
      </c>
      <c r="G378" s="297"/>
      <c r="H378" s="298"/>
      <c r="I378" s="299" t="s">
        <v>669</v>
      </c>
    </row>
    <row r="379" spans="1:9" x14ac:dyDescent="0.2">
      <c r="A379" s="296"/>
      <c r="B379" s="297"/>
      <c r="C379" s="297"/>
      <c r="D379" s="297" t="s">
        <v>38</v>
      </c>
      <c r="E379" s="297">
        <v>2</v>
      </c>
      <c r="F379" s="297">
        <v>0</v>
      </c>
      <c r="G379" s="297"/>
      <c r="H379" s="298"/>
      <c r="I379" s="299" t="s">
        <v>670</v>
      </c>
    </row>
    <row r="380" spans="1:9" x14ac:dyDescent="0.2">
      <c r="A380" s="296"/>
      <c r="B380" s="297"/>
      <c r="C380" s="297"/>
      <c r="D380" s="297" t="s">
        <v>38</v>
      </c>
      <c r="E380" s="297">
        <v>1</v>
      </c>
      <c r="F380" s="297">
        <v>0</v>
      </c>
      <c r="G380" s="297"/>
      <c r="H380" s="298"/>
      <c r="I380" s="299" t="s">
        <v>671</v>
      </c>
    </row>
    <row r="381" spans="1:9" x14ac:dyDescent="0.2">
      <c r="A381" s="296"/>
      <c r="B381" s="297"/>
      <c r="C381" s="297"/>
      <c r="D381" s="297" t="s">
        <v>39</v>
      </c>
      <c r="E381" s="297">
        <v>128</v>
      </c>
      <c r="F381" s="297"/>
      <c r="G381" s="297"/>
      <c r="H381" s="298"/>
      <c r="I381" s="299" t="s">
        <v>672</v>
      </c>
    </row>
    <row r="382" spans="1:9" x14ac:dyDescent="0.2">
      <c r="A382" s="296">
        <v>1</v>
      </c>
      <c r="B382" s="297"/>
      <c r="C382" s="297"/>
      <c r="D382" s="297" t="s">
        <v>38</v>
      </c>
      <c r="E382" s="297">
        <v>1</v>
      </c>
      <c r="F382" s="297">
        <v>1</v>
      </c>
      <c r="G382" s="297"/>
      <c r="H382" s="298"/>
      <c r="I382" s="299" t="s">
        <v>673</v>
      </c>
    </row>
    <row r="383" spans="1:9" x14ac:dyDescent="0.2">
      <c r="A383" s="296"/>
      <c r="B383" s="297"/>
      <c r="C383" s="297"/>
      <c r="D383" s="297" t="s">
        <v>38</v>
      </c>
      <c r="E383" s="297">
        <v>2</v>
      </c>
      <c r="F383" s="297">
        <v>1800</v>
      </c>
      <c r="G383" s="297"/>
      <c r="H383" s="298"/>
      <c r="I383" s="299" t="s">
        <v>674</v>
      </c>
    </row>
    <row r="384" spans="1:9" x14ac:dyDescent="0.2">
      <c r="A384" s="296"/>
      <c r="B384" s="297"/>
      <c r="C384" s="297"/>
      <c r="D384" s="297" t="s">
        <v>38</v>
      </c>
      <c r="E384" s="297">
        <v>1</v>
      </c>
      <c r="F384" s="297">
        <v>2</v>
      </c>
      <c r="G384" s="297"/>
      <c r="H384" s="298"/>
      <c r="I384" s="299" t="s">
        <v>675</v>
      </c>
    </row>
    <row r="385" spans="1:9" x14ac:dyDescent="0.2">
      <c r="A385" s="296"/>
      <c r="B385" s="297"/>
      <c r="C385" s="297"/>
      <c r="D385" s="297" t="s">
        <v>38</v>
      </c>
      <c r="E385" s="297">
        <v>1</v>
      </c>
      <c r="F385" s="297">
        <v>1</v>
      </c>
      <c r="G385" s="297"/>
      <c r="H385" s="298"/>
      <c r="I385" s="299" t="s">
        <v>676</v>
      </c>
    </row>
    <row r="386" spans="1:9" x14ac:dyDescent="0.2">
      <c r="A386" s="296"/>
      <c r="B386" s="297"/>
      <c r="C386" s="297"/>
      <c r="D386" s="297" t="s">
        <v>39</v>
      </c>
      <c r="E386" s="297">
        <v>128</v>
      </c>
      <c r="F386" s="297"/>
      <c r="G386" s="297"/>
      <c r="H386" s="298"/>
      <c r="I386" s="299" t="s">
        <v>677</v>
      </c>
    </row>
    <row r="387" spans="1:9" x14ac:dyDescent="0.2">
      <c r="A387" s="296"/>
      <c r="B387" s="297"/>
      <c r="C387" s="297"/>
      <c r="D387" s="297"/>
      <c r="E387" s="297"/>
      <c r="F387" s="297"/>
      <c r="G387" s="297"/>
      <c r="H387" s="298"/>
      <c r="I387" s="299"/>
    </row>
    <row r="388" spans="1:9" x14ac:dyDescent="0.2">
      <c r="A388" s="296" t="s">
        <v>678</v>
      </c>
      <c r="B388" s="297" t="s">
        <v>679</v>
      </c>
      <c r="C388" s="297" t="s">
        <v>52</v>
      </c>
      <c r="D388" s="297"/>
      <c r="E388" s="297"/>
      <c r="F388" s="297"/>
      <c r="G388" s="297" t="s">
        <v>162</v>
      </c>
      <c r="H388" s="298"/>
      <c r="I388" s="299">
        <v>65959</v>
      </c>
    </row>
    <row r="389" spans="1:9" x14ac:dyDescent="0.2">
      <c r="A389" s="296"/>
      <c r="B389" s="297"/>
      <c r="C389" s="297"/>
      <c r="D389" s="297" t="s">
        <v>38</v>
      </c>
      <c r="E389" s="297">
        <v>2</v>
      </c>
      <c r="F389" s="297">
        <v>16</v>
      </c>
      <c r="G389" s="297"/>
      <c r="H389" s="298"/>
      <c r="I389" s="299" t="s">
        <v>680</v>
      </c>
    </row>
    <row r="390" spans="1:9" x14ac:dyDescent="0.2">
      <c r="A390" s="296" t="s">
        <v>681</v>
      </c>
      <c r="B390" s="297" t="s">
        <v>682</v>
      </c>
      <c r="C390" s="297" t="s">
        <v>52</v>
      </c>
      <c r="D390" s="297"/>
      <c r="E390" s="297"/>
      <c r="F390" s="297"/>
      <c r="G390" s="297" t="s">
        <v>162</v>
      </c>
      <c r="H390" s="298"/>
      <c r="I390" s="299">
        <v>69750</v>
      </c>
    </row>
    <row r="391" spans="1:9" x14ac:dyDescent="0.2">
      <c r="A391" s="296"/>
      <c r="B391" s="297"/>
      <c r="C391" s="297"/>
      <c r="D391" s="297" t="s">
        <v>38</v>
      </c>
      <c r="E391" s="297">
        <v>1</v>
      </c>
      <c r="F391" s="297">
        <v>3</v>
      </c>
      <c r="G391" s="297"/>
      <c r="H391" s="298"/>
      <c r="I391" s="299" t="s">
        <v>415</v>
      </c>
    </row>
    <row r="392" spans="1:9" x14ac:dyDescent="0.2">
      <c r="A392" s="296"/>
      <c r="B392" s="297"/>
      <c r="C392" s="297"/>
      <c r="D392" s="297" t="s">
        <v>38</v>
      </c>
      <c r="E392" s="297">
        <v>1</v>
      </c>
      <c r="F392" s="297">
        <v>1</v>
      </c>
      <c r="G392" s="297"/>
      <c r="H392" s="298"/>
      <c r="I392" s="299" t="s">
        <v>683</v>
      </c>
    </row>
    <row r="393" spans="1:9" x14ac:dyDescent="0.2">
      <c r="A393" s="296"/>
      <c r="B393" s="297"/>
      <c r="C393" s="297"/>
      <c r="D393" s="297" t="s">
        <v>38</v>
      </c>
      <c r="E393" s="297">
        <v>1</v>
      </c>
      <c r="F393" s="297">
        <v>2</v>
      </c>
      <c r="G393" s="297"/>
      <c r="H393" s="298"/>
      <c r="I393" s="299" t="s">
        <v>684</v>
      </c>
    </row>
    <row r="394" spans="1:9" x14ac:dyDescent="0.2">
      <c r="A394" s="296"/>
      <c r="B394" s="297"/>
      <c r="C394" s="297"/>
      <c r="D394" s="297" t="s">
        <v>38</v>
      </c>
      <c r="E394" s="297">
        <v>4</v>
      </c>
      <c r="F394" s="297">
        <v>0</v>
      </c>
      <c r="G394" s="297"/>
      <c r="H394" s="298"/>
      <c r="I394" s="299" t="s">
        <v>685</v>
      </c>
    </row>
    <row r="395" spans="1:9" x14ac:dyDescent="0.2">
      <c r="A395" s="296"/>
      <c r="B395" s="297"/>
      <c r="C395" s="297"/>
      <c r="D395" s="297" t="s">
        <v>38</v>
      </c>
      <c r="E395" s="297">
        <v>1</v>
      </c>
      <c r="F395" s="297">
        <v>1</v>
      </c>
      <c r="G395" s="297"/>
      <c r="H395" s="298"/>
      <c r="I395" s="299" t="s">
        <v>686</v>
      </c>
    </row>
    <row r="396" spans="1:9" x14ac:dyDescent="0.2">
      <c r="A396" s="296"/>
      <c r="B396" s="297"/>
      <c r="C396" s="297"/>
      <c r="D396" s="297" t="s">
        <v>38</v>
      </c>
      <c r="E396" s="297">
        <v>1</v>
      </c>
      <c r="F396" s="297">
        <v>1</v>
      </c>
      <c r="G396" s="297"/>
      <c r="H396" s="298"/>
      <c r="I396" s="299" t="s">
        <v>687</v>
      </c>
    </row>
    <row r="397" spans="1:9" x14ac:dyDescent="0.2">
      <c r="A397" s="296"/>
      <c r="B397" s="297"/>
      <c r="C397" s="297"/>
      <c r="D397" s="297" t="s">
        <v>38</v>
      </c>
      <c r="E397" s="297">
        <v>1</v>
      </c>
      <c r="F397" s="297">
        <v>1</v>
      </c>
      <c r="G397" s="297"/>
      <c r="H397" s="298"/>
      <c r="I397" s="299" t="s">
        <v>688</v>
      </c>
    </row>
    <row r="398" spans="1:9" x14ac:dyDescent="0.2">
      <c r="A398" s="296"/>
      <c r="B398" s="297"/>
      <c r="C398" s="297"/>
      <c r="D398" s="297" t="s">
        <v>38</v>
      </c>
      <c r="E398" s="297">
        <v>502</v>
      </c>
      <c r="F398" s="297">
        <v>1</v>
      </c>
      <c r="G398" s="297"/>
      <c r="H398" s="298"/>
      <c r="I398" s="299" t="s">
        <v>689</v>
      </c>
    </row>
    <row r="399" spans="1:9" x14ac:dyDescent="0.2">
      <c r="A399" s="296" t="s">
        <v>690</v>
      </c>
      <c r="B399" s="297" t="s">
        <v>691</v>
      </c>
      <c r="C399" s="297" t="s">
        <v>52</v>
      </c>
      <c r="D399" s="297"/>
      <c r="E399" s="297"/>
      <c r="F399" s="297"/>
      <c r="G399" s="297" t="s">
        <v>162</v>
      </c>
      <c r="H399" s="298"/>
      <c r="I399" s="299">
        <v>70202</v>
      </c>
    </row>
    <row r="400" spans="1:9" x14ac:dyDescent="0.2">
      <c r="A400" s="296"/>
      <c r="B400" s="297"/>
      <c r="C400" s="297"/>
      <c r="D400" s="297" t="s">
        <v>38</v>
      </c>
      <c r="E400" s="297">
        <v>1</v>
      </c>
      <c r="F400" s="297">
        <v>2</v>
      </c>
      <c r="G400" s="297"/>
      <c r="H400" s="298"/>
      <c r="I400" s="299" t="s">
        <v>692</v>
      </c>
    </row>
    <row r="401" spans="1:9" x14ac:dyDescent="0.2">
      <c r="A401" s="296" t="s">
        <v>693</v>
      </c>
      <c r="B401" s="297" t="s">
        <v>694</v>
      </c>
      <c r="C401" s="297" t="s">
        <v>52</v>
      </c>
      <c r="D401" s="297"/>
      <c r="E401" s="297"/>
      <c r="F401" s="297"/>
      <c r="G401" s="297" t="s">
        <v>162</v>
      </c>
      <c r="H401" s="298"/>
      <c r="I401" s="299">
        <v>65955</v>
      </c>
    </row>
    <row r="402" spans="1:9" x14ac:dyDescent="0.2">
      <c r="A402" s="296"/>
      <c r="B402" s="297"/>
      <c r="C402" s="297"/>
      <c r="D402" s="297" t="s">
        <v>38</v>
      </c>
      <c r="E402" s="297">
        <v>1</v>
      </c>
      <c r="F402" s="297">
        <v>1</v>
      </c>
      <c r="G402" s="297"/>
      <c r="H402" s="298"/>
      <c r="I402" s="299" t="s">
        <v>695</v>
      </c>
    </row>
    <row r="403" spans="1:9" x14ac:dyDescent="0.2">
      <c r="A403" s="296" t="s">
        <v>696</v>
      </c>
      <c r="B403" s="297" t="s">
        <v>697</v>
      </c>
      <c r="C403" s="297" t="s">
        <v>52</v>
      </c>
      <c r="D403" s="297"/>
      <c r="E403" s="297"/>
      <c r="F403" s="297"/>
      <c r="G403" s="297" t="s">
        <v>162</v>
      </c>
      <c r="H403" s="298"/>
      <c r="I403" s="299">
        <v>65957</v>
      </c>
    </row>
    <row r="404" spans="1:9" x14ac:dyDescent="0.2">
      <c r="A404" s="296"/>
      <c r="B404" s="297"/>
      <c r="C404" s="297"/>
      <c r="D404" s="297" t="s">
        <v>38</v>
      </c>
      <c r="E404" s="297">
        <v>1</v>
      </c>
      <c r="F404" s="297">
        <v>1</v>
      </c>
      <c r="G404" s="297"/>
      <c r="H404" s="298"/>
      <c r="I404" s="299" t="s">
        <v>698</v>
      </c>
    </row>
    <row r="405" spans="1:9" x14ac:dyDescent="0.2">
      <c r="A405" s="296" t="s">
        <v>699</v>
      </c>
      <c r="B405" s="297" t="s">
        <v>700</v>
      </c>
      <c r="C405" s="297" t="s">
        <v>52</v>
      </c>
      <c r="D405" s="297"/>
      <c r="E405" s="297"/>
      <c r="F405" s="297"/>
      <c r="G405" s="297" t="s">
        <v>162</v>
      </c>
      <c r="H405" s="298"/>
      <c r="I405" s="299">
        <v>67194</v>
      </c>
    </row>
    <row r="406" spans="1:9" ht="51" x14ac:dyDescent="0.2">
      <c r="A406" s="296"/>
      <c r="B406" s="297"/>
      <c r="C406" s="297"/>
      <c r="D406" s="297" t="s">
        <v>38</v>
      </c>
      <c r="E406" s="297">
        <v>4</v>
      </c>
      <c r="F406" s="297">
        <v>20</v>
      </c>
      <c r="G406" s="297"/>
      <c r="H406" s="298"/>
      <c r="I406" s="299" t="s">
        <v>701</v>
      </c>
    </row>
    <row r="407" spans="1:9" x14ac:dyDescent="0.2">
      <c r="A407" s="296" t="s">
        <v>702</v>
      </c>
      <c r="B407" s="297" t="s">
        <v>703</v>
      </c>
      <c r="C407" s="297" t="s">
        <v>52</v>
      </c>
      <c r="D407" s="297"/>
      <c r="E407" s="297"/>
      <c r="F407" s="297"/>
      <c r="G407" s="297" t="s">
        <v>162</v>
      </c>
      <c r="H407" s="298"/>
      <c r="I407" s="299">
        <v>67195</v>
      </c>
    </row>
    <row r="408" spans="1:9" x14ac:dyDescent="0.2">
      <c r="A408" s="296"/>
      <c r="B408" s="297"/>
      <c r="C408" s="297"/>
      <c r="D408" s="297" t="s">
        <v>38</v>
      </c>
      <c r="E408" s="297">
        <v>4</v>
      </c>
      <c r="F408" s="297">
        <v>5</v>
      </c>
      <c r="G408" s="297"/>
      <c r="H408" s="298"/>
      <c r="I408" s="299" t="s">
        <v>704</v>
      </c>
    </row>
    <row r="409" spans="1:9" x14ac:dyDescent="0.2">
      <c r="A409" s="296" t="s">
        <v>705</v>
      </c>
      <c r="B409" s="297" t="s">
        <v>706</v>
      </c>
      <c r="C409" s="297" t="s">
        <v>52</v>
      </c>
      <c r="D409" s="297"/>
      <c r="E409" s="297"/>
      <c r="F409" s="297"/>
      <c r="G409" s="297" t="s">
        <v>162</v>
      </c>
      <c r="H409" s="298"/>
      <c r="I409" s="299">
        <v>67199</v>
      </c>
    </row>
    <row r="410" spans="1:9" x14ac:dyDescent="0.2">
      <c r="A410" s="296"/>
      <c r="B410" s="297"/>
      <c r="C410" s="297"/>
      <c r="D410" s="297" t="s">
        <v>38</v>
      </c>
      <c r="E410" s="297">
        <v>1</v>
      </c>
      <c r="F410" s="297">
        <v>1</v>
      </c>
      <c r="G410" s="297"/>
      <c r="H410" s="298"/>
      <c r="I410" s="299" t="s">
        <v>707</v>
      </c>
    </row>
    <row r="411" spans="1:9" x14ac:dyDescent="0.2">
      <c r="A411" s="296" t="s">
        <v>708</v>
      </c>
      <c r="B411" s="297" t="s">
        <v>709</v>
      </c>
      <c r="C411" s="297" t="s">
        <v>52</v>
      </c>
      <c r="D411" s="297"/>
      <c r="E411" s="297"/>
      <c r="F411" s="297"/>
      <c r="G411" s="297" t="s">
        <v>162</v>
      </c>
      <c r="H411" s="298"/>
      <c r="I411" s="299">
        <v>67280</v>
      </c>
    </row>
    <row r="412" spans="1:9" x14ac:dyDescent="0.2">
      <c r="A412" s="296"/>
      <c r="B412" s="297"/>
      <c r="C412" s="297"/>
      <c r="D412" s="297" t="s">
        <v>38</v>
      </c>
      <c r="E412" s="297">
        <v>4</v>
      </c>
      <c r="F412" s="297">
        <v>60000</v>
      </c>
      <c r="G412" s="297"/>
      <c r="H412" s="298"/>
      <c r="I412" s="299" t="s">
        <v>710</v>
      </c>
    </row>
    <row r="413" spans="1:9" x14ac:dyDescent="0.2">
      <c r="A413" s="296" t="s">
        <v>711</v>
      </c>
      <c r="B413" s="297" t="s">
        <v>712</v>
      </c>
      <c r="C413" s="297" t="s">
        <v>52</v>
      </c>
      <c r="D413" s="297"/>
      <c r="E413" s="297"/>
      <c r="F413" s="297"/>
      <c r="G413" s="297" t="s">
        <v>162</v>
      </c>
      <c r="H413" s="298"/>
      <c r="I413" s="299">
        <v>67281</v>
      </c>
    </row>
    <row r="414" spans="1:9" x14ac:dyDescent="0.2">
      <c r="A414" s="296"/>
      <c r="B414" s="297"/>
      <c r="C414" s="297"/>
      <c r="D414" s="297" t="s">
        <v>38</v>
      </c>
      <c r="E414" s="297">
        <v>4</v>
      </c>
      <c r="F414" s="297">
        <v>35000</v>
      </c>
      <c r="G414" s="297"/>
      <c r="H414" s="298"/>
      <c r="I414" s="299" t="s">
        <v>713</v>
      </c>
    </row>
    <row r="415" spans="1:9" x14ac:dyDescent="0.2">
      <c r="A415" s="296" t="s">
        <v>714</v>
      </c>
      <c r="B415" s="297" t="s">
        <v>715</v>
      </c>
      <c r="C415" s="297" t="s">
        <v>52</v>
      </c>
      <c r="D415" s="297"/>
      <c r="E415" s="297"/>
      <c r="F415" s="297"/>
      <c r="G415" s="297" t="s">
        <v>162</v>
      </c>
      <c r="H415" s="298"/>
      <c r="I415" s="299">
        <v>67282</v>
      </c>
    </row>
    <row r="416" spans="1:9" x14ac:dyDescent="0.2">
      <c r="A416" s="296"/>
      <c r="B416" s="297"/>
      <c r="C416" s="297"/>
      <c r="D416" s="297" t="s">
        <v>38</v>
      </c>
      <c r="E416" s="297">
        <v>4</v>
      </c>
      <c r="F416" s="297">
        <v>20</v>
      </c>
      <c r="G416" s="297"/>
      <c r="H416" s="298"/>
      <c r="I416" s="299" t="s">
        <v>716</v>
      </c>
    </row>
    <row r="417" spans="1:9" x14ac:dyDescent="0.2">
      <c r="A417" s="296" t="s">
        <v>717</v>
      </c>
      <c r="B417" s="297" t="s">
        <v>718</v>
      </c>
      <c r="C417" s="297" t="s">
        <v>52</v>
      </c>
      <c r="D417" s="297"/>
      <c r="E417" s="297"/>
      <c r="F417" s="297"/>
      <c r="G417" s="297" t="s">
        <v>162</v>
      </c>
      <c r="H417" s="298"/>
      <c r="I417" s="299">
        <v>65964</v>
      </c>
    </row>
    <row r="418" spans="1:9" x14ac:dyDescent="0.2">
      <c r="A418" s="296"/>
      <c r="B418" s="297"/>
      <c r="C418" s="297"/>
      <c r="D418" s="297" t="s">
        <v>38</v>
      </c>
      <c r="E418" s="297">
        <v>1</v>
      </c>
      <c r="F418" s="297">
        <v>1</v>
      </c>
      <c r="G418" s="297"/>
      <c r="H418" s="298"/>
      <c r="I418" s="299" t="s">
        <v>719</v>
      </c>
    </row>
    <row r="419" spans="1:9" ht="25.5" x14ac:dyDescent="0.2">
      <c r="A419" s="296" t="s">
        <v>720</v>
      </c>
      <c r="B419" s="297" t="s">
        <v>721</v>
      </c>
      <c r="C419" s="297" t="s">
        <v>52</v>
      </c>
      <c r="D419" s="297"/>
      <c r="E419" s="297"/>
      <c r="F419" s="297"/>
      <c r="G419" s="297" t="s">
        <v>162</v>
      </c>
      <c r="H419" s="298"/>
      <c r="I419" s="299">
        <v>65960</v>
      </c>
    </row>
    <row r="420" spans="1:9" x14ac:dyDescent="0.2">
      <c r="A420" s="296"/>
      <c r="B420" s="297"/>
      <c r="C420" s="297"/>
      <c r="D420" s="297" t="s">
        <v>38</v>
      </c>
      <c r="E420" s="297">
        <v>1</v>
      </c>
      <c r="F420" s="297">
        <v>1</v>
      </c>
      <c r="G420" s="297"/>
      <c r="H420" s="298"/>
      <c r="I420" s="299" t="s">
        <v>722</v>
      </c>
    </row>
    <row r="421" spans="1:9" x14ac:dyDescent="0.2">
      <c r="A421" s="296" t="s">
        <v>723</v>
      </c>
      <c r="B421" s="297" t="s">
        <v>724</v>
      </c>
      <c r="C421" s="297" t="s">
        <v>52</v>
      </c>
      <c r="D421" s="297"/>
      <c r="E421" s="297"/>
      <c r="F421" s="297"/>
      <c r="G421" s="297" t="s">
        <v>162</v>
      </c>
      <c r="H421" s="298"/>
      <c r="I421" s="299">
        <v>66031</v>
      </c>
    </row>
    <row r="422" spans="1:9" x14ac:dyDescent="0.2">
      <c r="A422" s="296"/>
      <c r="B422" s="297"/>
      <c r="C422" s="297"/>
      <c r="D422" s="297" t="s">
        <v>38</v>
      </c>
      <c r="E422" s="297">
        <v>4</v>
      </c>
      <c r="F422" s="297">
        <v>0</v>
      </c>
      <c r="G422" s="297"/>
      <c r="H422" s="298"/>
      <c r="I422" s="299" t="s">
        <v>725</v>
      </c>
    </row>
    <row r="423" spans="1:9" x14ac:dyDescent="0.2">
      <c r="A423" s="296" t="s">
        <v>726</v>
      </c>
      <c r="B423" s="297" t="s">
        <v>727</v>
      </c>
      <c r="C423" s="297" t="s">
        <v>52</v>
      </c>
      <c r="D423" s="297"/>
      <c r="E423" s="297"/>
      <c r="F423" s="297"/>
      <c r="G423" s="297" t="s">
        <v>162</v>
      </c>
      <c r="H423" s="298"/>
      <c r="I423" s="299">
        <v>67239</v>
      </c>
    </row>
    <row r="424" spans="1:9" x14ac:dyDescent="0.2">
      <c r="A424" s="296"/>
      <c r="B424" s="297"/>
      <c r="C424" s="297"/>
      <c r="D424" s="297" t="s">
        <v>38</v>
      </c>
      <c r="E424" s="297">
        <v>4</v>
      </c>
      <c r="F424" s="297">
        <v>0</v>
      </c>
      <c r="G424" s="297"/>
      <c r="H424" s="298"/>
      <c r="I424" s="299" t="s">
        <v>728</v>
      </c>
    </row>
    <row r="425" spans="1:9" x14ac:dyDescent="0.2">
      <c r="A425" s="296" t="s">
        <v>729</v>
      </c>
      <c r="B425" s="297" t="s">
        <v>730</v>
      </c>
      <c r="C425" s="297" t="s">
        <v>52</v>
      </c>
      <c r="D425" s="297"/>
      <c r="E425" s="297"/>
      <c r="F425" s="297"/>
      <c r="G425" s="297" t="s">
        <v>162</v>
      </c>
      <c r="H425" s="298"/>
      <c r="I425" s="299">
        <v>67240</v>
      </c>
    </row>
    <row r="426" spans="1:9" x14ac:dyDescent="0.2">
      <c r="A426" s="296"/>
      <c r="B426" s="297"/>
      <c r="C426" s="297"/>
      <c r="D426" s="297" t="s">
        <v>38</v>
      </c>
      <c r="E426" s="297">
        <v>1</v>
      </c>
      <c r="F426" s="297">
        <v>0</v>
      </c>
      <c r="G426" s="297"/>
      <c r="H426" s="298"/>
      <c r="I426" s="299" t="s">
        <v>731</v>
      </c>
    </row>
    <row r="427" spans="1:9" x14ac:dyDescent="0.2">
      <c r="A427" s="296" t="s">
        <v>732</v>
      </c>
      <c r="B427" s="297" t="s">
        <v>733</v>
      </c>
      <c r="C427" s="297" t="s">
        <v>52</v>
      </c>
      <c r="D427" s="297"/>
      <c r="E427" s="297"/>
      <c r="F427" s="297"/>
      <c r="G427" s="297" t="s">
        <v>162</v>
      </c>
      <c r="H427" s="298"/>
      <c r="I427" s="299">
        <v>67241</v>
      </c>
    </row>
    <row r="428" spans="1:9" x14ac:dyDescent="0.2">
      <c r="A428" s="296"/>
      <c r="B428" s="297"/>
      <c r="C428" s="297"/>
      <c r="D428" s="297" t="s">
        <v>38</v>
      </c>
      <c r="E428" s="297">
        <v>1</v>
      </c>
      <c r="F428" s="297">
        <v>0</v>
      </c>
      <c r="G428" s="297"/>
      <c r="H428" s="298"/>
      <c r="I428" s="299" t="s">
        <v>734</v>
      </c>
    </row>
    <row r="429" spans="1:9" x14ac:dyDescent="0.2">
      <c r="A429" s="296" t="s">
        <v>735</v>
      </c>
      <c r="B429" s="297" t="s">
        <v>736</v>
      </c>
      <c r="C429" s="297" t="s">
        <v>52</v>
      </c>
      <c r="D429" s="297"/>
      <c r="E429" s="297"/>
      <c r="F429" s="297"/>
      <c r="G429" s="297" t="s">
        <v>162</v>
      </c>
      <c r="H429" s="298"/>
      <c r="I429" s="299">
        <v>70213</v>
      </c>
    </row>
    <row r="430" spans="1:9" x14ac:dyDescent="0.2">
      <c r="A430" s="296"/>
      <c r="B430" s="297"/>
      <c r="C430" s="297"/>
      <c r="D430" s="297" t="s">
        <v>38</v>
      </c>
      <c r="E430" s="297">
        <v>2</v>
      </c>
      <c r="F430" s="297">
        <v>-115</v>
      </c>
      <c r="G430" s="297"/>
      <c r="H430" s="298"/>
      <c r="I430" s="299" t="s">
        <v>735</v>
      </c>
    </row>
    <row r="431" spans="1:9" x14ac:dyDescent="0.2">
      <c r="A431" s="296" t="s">
        <v>737</v>
      </c>
      <c r="B431" s="297" t="s">
        <v>738</v>
      </c>
      <c r="C431" s="297" t="s">
        <v>52</v>
      </c>
      <c r="D431" s="297"/>
      <c r="E431" s="297"/>
      <c r="F431" s="297"/>
      <c r="G431" s="297" t="s">
        <v>162</v>
      </c>
      <c r="H431" s="298"/>
      <c r="I431" s="299">
        <v>70291</v>
      </c>
    </row>
    <row r="432" spans="1:9" x14ac:dyDescent="0.2">
      <c r="A432" s="296"/>
      <c r="B432" s="297"/>
      <c r="C432" s="297"/>
      <c r="D432" s="297" t="s">
        <v>38</v>
      </c>
      <c r="E432" s="297">
        <v>1</v>
      </c>
      <c r="F432" s="297">
        <v>2</v>
      </c>
      <c r="G432" s="297"/>
      <c r="H432" s="298"/>
      <c r="I432" s="299" t="s">
        <v>415</v>
      </c>
    </row>
    <row r="433" spans="1:9" x14ac:dyDescent="0.2">
      <c r="A433" s="296"/>
      <c r="B433" s="297"/>
      <c r="C433" s="297"/>
      <c r="D433" s="297" t="s">
        <v>38</v>
      </c>
      <c r="E433" s="297">
        <v>1</v>
      </c>
      <c r="F433" s="297">
        <v>1</v>
      </c>
      <c r="G433" s="297"/>
      <c r="H433" s="298"/>
      <c r="I433" s="299" t="s">
        <v>739</v>
      </c>
    </row>
    <row r="434" spans="1:9" x14ac:dyDescent="0.2">
      <c r="A434" s="296"/>
      <c r="B434" s="297"/>
      <c r="C434" s="297"/>
      <c r="D434" s="297" t="s">
        <v>38</v>
      </c>
      <c r="E434" s="297">
        <v>1</v>
      </c>
      <c r="F434" s="297">
        <v>0</v>
      </c>
      <c r="G434" s="297"/>
      <c r="H434" s="298"/>
      <c r="I434" s="299" t="s">
        <v>740</v>
      </c>
    </row>
    <row r="435" spans="1:9" x14ac:dyDescent="0.2">
      <c r="A435" s="296"/>
      <c r="B435" s="297"/>
      <c r="C435" s="297"/>
      <c r="D435" s="297" t="s">
        <v>38</v>
      </c>
      <c r="E435" s="297">
        <v>2</v>
      </c>
      <c r="F435" s="297">
        <v>0</v>
      </c>
      <c r="G435" s="297"/>
      <c r="H435" s="298"/>
      <c r="I435" s="299" t="s">
        <v>741</v>
      </c>
    </row>
    <row r="436" spans="1:9" x14ac:dyDescent="0.2">
      <c r="A436" s="296"/>
      <c r="B436" s="297"/>
      <c r="C436" s="297"/>
      <c r="D436" s="297" t="s">
        <v>38</v>
      </c>
      <c r="E436" s="297">
        <v>1</v>
      </c>
      <c r="F436" s="297">
        <v>0</v>
      </c>
      <c r="G436" s="297"/>
      <c r="H436" s="298"/>
      <c r="I436" s="299" t="s">
        <v>742</v>
      </c>
    </row>
    <row r="437" spans="1:9" x14ac:dyDescent="0.2">
      <c r="A437" s="296"/>
      <c r="B437" s="297"/>
      <c r="C437" s="297"/>
      <c r="D437" s="297" t="s">
        <v>38</v>
      </c>
      <c r="E437" s="297">
        <v>1</v>
      </c>
      <c r="F437" s="297">
        <v>0</v>
      </c>
      <c r="G437" s="297"/>
      <c r="H437" s="298"/>
      <c r="I437" s="299" t="s">
        <v>743</v>
      </c>
    </row>
    <row r="438" spans="1:9" x14ac:dyDescent="0.2">
      <c r="A438" s="296"/>
      <c r="B438" s="297"/>
      <c r="C438" s="297"/>
      <c r="D438" s="297" t="s">
        <v>38</v>
      </c>
      <c r="E438" s="297">
        <v>1</v>
      </c>
      <c r="F438" s="297">
        <v>0</v>
      </c>
      <c r="G438" s="297"/>
      <c r="H438" s="298"/>
      <c r="I438" s="299" t="s">
        <v>744</v>
      </c>
    </row>
    <row r="439" spans="1:9" x14ac:dyDescent="0.2">
      <c r="A439" s="296"/>
      <c r="B439" s="297"/>
      <c r="C439" s="297"/>
      <c r="D439" s="297" t="s">
        <v>38</v>
      </c>
      <c r="E439" s="297">
        <v>4</v>
      </c>
      <c r="F439" s="297">
        <v>0</v>
      </c>
      <c r="G439" s="297"/>
      <c r="H439" s="298"/>
      <c r="I439" s="299" t="s">
        <v>745</v>
      </c>
    </row>
    <row r="440" spans="1:9" x14ac:dyDescent="0.2">
      <c r="A440" s="296"/>
      <c r="B440" s="297"/>
      <c r="C440" s="297"/>
      <c r="D440" s="297" t="s">
        <v>38</v>
      </c>
      <c r="E440" s="297">
        <v>2</v>
      </c>
      <c r="F440" s="297">
        <v>0</v>
      </c>
      <c r="G440" s="297"/>
      <c r="H440" s="298"/>
      <c r="I440" s="299" t="s">
        <v>746</v>
      </c>
    </row>
    <row r="441" spans="1:9" x14ac:dyDescent="0.2">
      <c r="A441" s="296"/>
      <c r="B441" s="297"/>
      <c r="C441" s="297"/>
      <c r="D441" s="297" t="s">
        <v>38</v>
      </c>
      <c r="E441" s="297">
        <v>2</v>
      </c>
      <c r="F441" s="297">
        <v>0</v>
      </c>
      <c r="G441" s="297"/>
      <c r="H441" s="298"/>
      <c r="I441" s="299" t="s">
        <v>747</v>
      </c>
    </row>
    <row r="442" spans="1:9" x14ac:dyDescent="0.2">
      <c r="A442" s="296"/>
      <c r="B442" s="297"/>
      <c r="C442" s="297"/>
      <c r="D442" s="297" t="s">
        <v>38</v>
      </c>
      <c r="E442" s="297">
        <v>2</v>
      </c>
      <c r="F442" s="297">
        <v>0</v>
      </c>
      <c r="G442" s="297"/>
      <c r="H442" s="298"/>
      <c r="I442" s="299" t="s">
        <v>748</v>
      </c>
    </row>
    <row r="443" spans="1:9" x14ac:dyDescent="0.2">
      <c r="A443" s="296"/>
      <c r="B443" s="297"/>
      <c r="C443" s="297"/>
      <c r="D443" s="297" t="s">
        <v>38</v>
      </c>
      <c r="E443" s="297">
        <v>1</v>
      </c>
      <c r="F443" s="297">
        <v>0</v>
      </c>
      <c r="G443" s="297"/>
      <c r="H443" s="298"/>
      <c r="I443" s="299" t="s">
        <v>749</v>
      </c>
    </row>
    <row r="444" spans="1:9" x14ac:dyDescent="0.2">
      <c r="A444" s="296"/>
      <c r="B444" s="297"/>
      <c r="C444" s="297"/>
      <c r="D444" s="297" t="s">
        <v>38</v>
      </c>
      <c r="E444" s="297">
        <v>1</v>
      </c>
      <c r="F444" s="297">
        <v>0</v>
      </c>
      <c r="G444" s="297"/>
      <c r="H444" s="298"/>
      <c r="I444" s="299" t="s">
        <v>750</v>
      </c>
    </row>
    <row r="445" spans="1:9" x14ac:dyDescent="0.2">
      <c r="A445" s="296"/>
      <c r="B445" s="297"/>
      <c r="C445" s="297"/>
      <c r="D445" s="297" t="s">
        <v>38</v>
      </c>
      <c r="E445" s="297">
        <v>1</v>
      </c>
      <c r="F445" s="297">
        <v>0</v>
      </c>
      <c r="G445" s="297"/>
      <c r="H445" s="298"/>
      <c r="I445" s="299" t="s">
        <v>751</v>
      </c>
    </row>
    <row r="446" spans="1:9" x14ac:dyDescent="0.2">
      <c r="A446" s="296"/>
      <c r="B446" s="297"/>
      <c r="C446" s="297"/>
      <c r="D446" s="297" t="s">
        <v>38</v>
      </c>
      <c r="E446" s="297">
        <v>2</v>
      </c>
      <c r="F446" s="297">
        <v>0</v>
      </c>
      <c r="G446" s="297"/>
      <c r="H446" s="298"/>
      <c r="I446" s="299" t="s">
        <v>752</v>
      </c>
    </row>
    <row r="447" spans="1:9" x14ac:dyDescent="0.2">
      <c r="A447" s="296"/>
      <c r="B447" s="297"/>
      <c r="C447" s="297"/>
      <c r="D447" s="297" t="s">
        <v>38</v>
      </c>
      <c r="E447" s="297">
        <v>2</v>
      </c>
      <c r="F447" s="297">
        <v>0</v>
      </c>
      <c r="G447" s="297"/>
      <c r="H447" s="298"/>
      <c r="I447" s="299" t="s">
        <v>753</v>
      </c>
    </row>
    <row r="448" spans="1:9" x14ac:dyDescent="0.2">
      <c r="A448" s="296"/>
      <c r="B448" s="297"/>
      <c r="C448" s="297"/>
      <c r="D448" s="297" t="s">
        <v>38</v>
      </c>
      <c r="E448" s="297">
        <v>1</v>
      </c>
      <c r="F448" s="297">
        <v>0</v>
      </c>
      <c r="G448" s="297"/>
      <c r="H448" s="298"/>
      <c r="I448" s="299" t="s">
        <v>754</v>
      </c>
    </row>
    <row r="449" spans="1:9" x14ac:dyDescent="0.2">
      <c r="A449" s="296"/>
      <c r="B449" s="297"/>
      <c r="C449" s="297"/>
      <c r="D449" s="297" t="s">
        <v>38</v>
      </c>
      <c r="E449" s="297">
        <v>2</v>
      </c>
      <c r="F449" s="297">
        <v>0</v>
      </c>
      <c r="G449" s="297"/>
      <c r="H449" s="298"/>
      <c r="I449" s="299" t="s">
        <v>755</v>
      </c>
    </row>
    <row r="450" spans="1:9" x14ac:dyDescent="0.2">
      <c r="A450" s="296"/>
      <c r="B450" s="297"/>
      <c r="C450" s="297"/>
      <c r="D450" s="297" t="s">
        <v>38</v>
      </c>
      <c r="E450" s="297">
        <v>2</v>
      </c>
      <c r="F450" s="297">
        <v>0</v>
      </c>
      <c r="G450" s="297"/>
      <c r="H450" s="298"/>
      <c r="I450" s="299" t="s">
        <v>756</v>
      </c>
    </row>
    <row r="451" spans="1:9" x14ac:dyDescent="0.2">
      <c r="A451" s="296"/>
      <c r="B451" s="297"/>
      <c r="C451" s="297"/>
      <c r="D451" s="297" t="s">
        <v>38</v>
      </c>
      <c r="E451" s="297">
        <v>1</v>
      </c>
      <c r="F451" s="297">
        <v>1</v>
      </c>
      <c r="G451" s="297"/>
      <c r="H451" s="298"/>
      <c r="I451" s="299" t="s">
        <v>757</v>
      </c>
    </row>
    <row r="452" spans="1:9" x14ac:dyDescent="0.2">
      <c r="A452" s="296"/>
      <c r="B452" s="297"/>
      <c r="C452" s="297"/>
      <c r="D452" s="297" t="s">
        <v>38</v>
      </c>
      <c r="E452" s="297">
        <v>1</v>
      </c>
      <c r="F452" s="297">
        <v>9</v>
      </c>
      <c r="G452" s="297"/>
      <c r="H452" s="298"/>
      <c r="I452" s="299" t="s">
        <v>758</v>
      </c>
    </row>
    <row r="453" spans="1:9" x14ac:dyDescent="0.2">
      <c r="A453" s="296"/>
      <c r="B453" s="297"/>
      <c r="C453" s="297"/>
      <c r="D453" s="297" t="s">
        <v>38</v>
      </c>
      <c r="E453" s="297">
        <v>1</v>
      </c>
      <c r="F453" s="297">
        <v>11</v>
      </c>
      <c r="G453" s="297"/>
      <c r="H453" s="298"/>
      <c r="I453" s="299" t="s">
        <v>759</v>
      </c>
    </row>
    <row r="454" spans="1:9" x14ac:dyDescent="0.2">
      <c r="A454" s="296"/>
      <c r="B454" s="297"/>
      <c r="C454" s="297"/>
      <c r="D454" s="297" t="s">
        <v>38</v>
      </c>
      <c r="E454" s="297">
        <v>4</v>
      </c>
      <c r="F454" s="297">
        <v>1104</v>
      </c>
      <c r="G454" s="297"/>
      <c r="H454" s="298"/>
      <c r="I454" s="299" t="s">
        <v>760</v>
      </c>
    </row>
    <row r="455" spans="1:9" x14ac:dyDescent="0.2">
      <c r="A455" s="296"/>
      <c r="B455" s="297"/>
      <c r="C455" s="297"/>
      <c r="D455" s="297" t="s">
        <v>38</v>
      </c>
      <c r="E455" s="297">
        <v>2</v>
      </c>
      <c r="F455" s="297">
        <v>913</v>
      </c>
      <c r="G455" s="297"/>
      <c r="H455" s="298"/>
      <c r="I455" s="299" t="s">
        <v>761</v>
      </c>
    </row>
    <row r="456" spans="1:9" x14ac:dyDescent="0.2">
      <c r="A456" s="296"/>
      <c r="B456" s="297"/>
      <c r="C456" s="297"/>
      <c r="D456" s="297" t="s">
        <v>38</v>
      </c>
      <c r="E456" s="297">
        <v>2</v>
      </c>
      <c r="F456" s="297">
        <v>64</v>
      </c>
      <c r="G456" s="297"/>
      <c r="H456" s="298"/>
      <c r="I456" s="299" t="s">
        <v>762</v>
      </c>
    </row>
    <row r="457" spans="1:9" x14ac:dyDescent="0.2">
      <c r="A457" s="296"/>
      <c r="B457" s="297"/>
      <c r="C457" s="297"/>
      <c r="D457" s="297" t="s">
        <v>38</v>
      </c>
      <c r="E457" s="297">
        <v>2</v>
      </c>
      <c r="F457" s="297">
        <v>913</v>
      </c>
      <c r="G457" s="297"/>
      <c r="H457" s="298"/>
      <c r="I457" s="299" t="s">
        <v>763</v>
      </c>
    </row>
    <row r="458" spans="1:9" x14ac:dyDescent="0.2">
      <c r="A458" s="296"/>
      <c r="B458" s="297"/>
      <c r="C458" s="297"/>
      <c r="D458" s="297" t="s">
        <v>38</v>
      </c>
      <c r="E458" s="297">
        <v>1</v>
      </c>
      <c r="F458" s="297">
        <v>30</v>
      </c>
      <c r="G458" s="297"/>
      <c r="H458" s="298"/>
      <c r="I458" s="299" t="s">
        <v>764</v>
      </c>
    </row>
    <row r="459" spans="1:9" x14ac:dyDescent="0.2">
      <c r="A459" s="296"/>
      <c r="B459" s="297"/>
      <c r="C459" s="297"/>
      <c r="D459" s="297" t="s">
        <v>38</v>
      </c>
      <c r="E459" s="297">
        <v>1</v>
      </c>
      <c r="F459" s="297">
        <v>7</v>
      </c>
      <c r="G459" s="297"/>
      <c r="H459" s="298"/>
      <c r="I459" s="299" t="s">
        <v>765</v>
      </c>
    </row>
    <row r="460" spans="1:9" x14ac:dyDescent="0.2">
      <c r="A460" s="296"/>
      <c r="B460" s="297"/>
      <c r="C460" s="297"/>
      <c r="D460" s="297" t="s">
        <v>38</v>
      </c>
      <c r="E460" s="297">
        <v>1</v>
      </c>
      <c r="F460" s="297">
        <v>30</v>
      </c>
      <c r="G460" s="297"/>
      <c r="H460" s="298"/>
      <c r="I460" s="299" t="s">
        <v>766</v>
      </c>
    </row>
    <row r="461" spans="1:9" x14ac:dyDescent="0.2">
      <c r="A461" s="296"/>
      <c r="B461" s="297"/>
      <c r="C461" s="297"/>
      <c r="D461" s="297" t="s">
        <v>38</v>
      </c>
      <c r="E461" s="297">
        <v>2</v>
      </c>
      <c r="F461" s="297">
        <v>0</v>
      </c>
      <c r="G461" s="297"/>
      <c r="H461" s="298"/>
      <c r="I461" s="299" t="s">
        <v>767</v>
      </c>
    </row>
    <row r="462" spans="1:9" x14ac:dyDescent="0.2">
      <c r="A462" s="296"/>
      <c r="B462" s="297"/>
      <c r="C462" s="297"/>
      <c r="D462" s="297" t="s">
        <v>38</v>
      </c>
      <c r="E462" s="297">
        <v>2</v>
      </c>
      <c r="F462" s="297">
        <v>0</v>
      </c>
      <c r="G462" s="297"/>
      <c r="H462" s="298"/>
      <c r="I462" s="299" t="s">
        <v>768</v>
      </c>
    </row>
    <row r="463" spans="1:9" x14ac:dyDescent="0.2">
      <c r="A463" s="296"/>
      <c r="B463" s="297"/>
      <c r="C463" s="297"/>
      <c r="D463" s="297" t="s">
        <v>38</v>
      </c>
      <c r="E463" s="297">
        <v>532</v>
      </c>
      <c r="F463" s="297"/>
      <c r="G463" s="297"/>
      <c r="H463" s="298"/>
      <c r="I463" s="299" t="s">
        <v>769</v>
      </c>
    </row>
    <row r="464" spans="1:9" x14ac:dyDescent="0.2">
      <c r="A464" s="296" t="s">
        <v>770</v>
      </c>
      <c r="B464" s="297" t="s">
        <v>771</v>
      </c>
      <c r="C464" s="297" t="s">
        <v>52</v>
      </c>
      <c r="D464" s="297"/>
      <c r="E464" s="297"/>
      <c r="F464" s="297"/>
      <c r="G464" s="297" t="s">
        <v>162</v>
      </c>
      <c r="H464" s="298"/>
      <c r="I464" s="299">
        <v>70233</v>
      </c>
    </row>
    <row r="465" spans="1:9" x14ac:dyDescent="0.2">
      <c r="A465" s="296"/>
      <c r="B465" s="297"/>
      <c r="C465" s="297"/>
      <c r="D465" s="297" t="s">
        <v>38</v>
      </c>
      <c r="E465" s="297">
        <v>1</v>
      </c>
      <c r="F465" s="297">
        <v>0</v>
      </c>
      <c r="G465" s="297"/>
      <c r="H465" s="298"/>
      <c r="I465" s="299" t="s">
        <v>772</v>
      </c>
    </row>
    <row r="466" spans="1:9" x14ac:dyDescent="0.2">
      <c r="A466" s="296"/>
      <c r="B466" s="297"/>
      <c r="C466" s="297"/>
      <c r="D466" s="297" t="s">
        <v>38</v>
      </c>
      <c r="E466" s="297">
        <v>1</v>
      </c>
      <c r="F466" s="297">
        <v>1</v>
      </c>
      <c r="G466" s="297"/>
      <c r="H466" s="298"/>
      <c r="I466" s="299" t="s">
        <v>773</v>
      </c>
    </row>
    <row r="467" spans="1:9" x14ac:dyDescent="0.2">
      <c r="A467" s="296"/>
      <c r="B467" s="297"/>
      <c r="C467" s="297"/>
      <c r="D467" s="297" t="s">
        <v>38</v>
      </c>
      <c r="E467" s="297">
        <v>1</v>
      </c>
      <c r="F467" s="297"/>
      <c r="G467" s="297"/>
      <c r="H467" s="298"/>
      <c r="I467" s="299" t="s">
        <v>774</v>
      </c>
    </row>
    <row r="468" spans="1:9" x14ac:dyDescent="0.2">
      <c r="A468" s="296"/>
      <c r="B468" s="297"/>
      <c r="C468" s="297"/>
      <c r="D468" s="297" t="s">
        <v>39</v>
      </c>
      <c r="E468" s="297">
        <v>32</v>
      </c>
      <c r="F468" s="297"/>
      <c r="G468" s="297"/>
      <c r="H468" s="298"/>
      <c r="I468" s="299" t="s">
        <v>775</v>
      </c>
    </row>
    <row r="469" spans="1:9" x14ac:dyDescent="0.2">
      <c r="A469" s="296"/>
      <c r="B469" s="297"/>
      <c r="C469" s="297"/>
      <c r="D469" s="297" t="s">
        <v>39</v>
      </c>
      <c r="E469" s="297">
        <v>32</v>
      </c>
      <c r="F469" s="297"/>
      <c r="G469" s="297"/>
      <c r="H469" s="298"/>
      <c r="I469" s="299" t="s">
        <v>776</v>
      </c>
    </row>
    <row r="470" spans="1:9" x14ac:dyDescent="0.2">
      <c r="A470" s="296"/>
      <c r="B470" s="297"/>
      <c r="C470" s="297"/>
      <c r="D470" s="297" t="s">
        <v>38</v>
      </c>
      <c r="E470" s="297">
        <v>1</v>
      </c>
      <c r="F470" s="297"/>
      <c r="G470" s="297"/>
      <c r="H470" s="298"/>
      <c r="I470" s="299" t="s">
        <v>777</v>
      </c>
    </row>
    <row r="471" spans="1:9" x14ac:dyDescent="0.2">
      <c r="A471" s="296"/>
      <c r="B471" s="297"/>
      <c r="C471" s="297"/>
      <c r="D471" s="297" t="s">
        <v>38</v>
      </c>
      <c r="E471" s="297">
        <v>1</v>
      </c>
      <c r="F471" s="297"/>
      <c r="G471" s="297"/>
      <c r="H471" s="298"/>
      <c r="I471" s="299" t="s">
        <v>778</v>
      </c>
    </row>
    <row r="472" spans="1:9" x14ac:dyDescent="0.2">
      <c r="A472" s="296"/>
      <c r="B472" s="297"/>
      <c r="C472" s="297"/>
      <c r="D472" s="297" t="s">
        <v>38</v>
      </c>
      <c r="E472" s="297">
        <v>1</v>
      </c>
      <c r="F472" s="297"/>
      <c r="G472" s="297"/>
      <c r="H472" s="298"/>
      <c r="I472" s="299" t="s">
        <v>779</v>
      </c>
    </row>
    <row r="473" spans="1:9" x14ac:dyDescent="0.2">
      <c r="A473" s="296"/>
      <c r="B473" s="297"/>
      <c r="C473" s="297"/>
      <c r="D473" s="297" t="s">
        <v>38</v>
      </c>
      <c r="E473" s="297">
        <v>1</v>
      </c>
      <c r="F473" s="297"/>
      <c r="G473" s="297"/>
      <c r="H473" s="298"/>
      <c r="I473" s="299" t="s">
        <v>780</v>
      </c>
    </row>
    <row r="474" spans="1:9" x14ac:dyDescent="0.2">
      <c r="A474" s="296"/>
      <c r="B474" s="297"/>
      <c r="C474" s="297"/>
      <c r="D474" s="297" t="s">
        <v>39</v>
      </c>
      <c r="E474" s="297">
        <v>16</v>
      </c>
      <c r="F474" s="297"/>
      <c r="G474" s="297"/>
      <c r="H474" s="298"/>
      <c r="I474" s="299" t="s">
        <v>781</v>
      </c>
    </row>
    <row r="475" spans="1:9" x14ac:dyDescent="0.2">
      <c r="A475" s="296"/>
      <c r="B475" s="297"/>
      <c r="C475" s="297"/>
      <c r="D475" s="297" t="s">
        <v>39</v>
      </c>
      <c r="E475" s="297">
        <v>16</v>
      </c>
      <c r="F475" s="297"/>
      <c r="G475" s="297"/>
      <c r="H475" s="298"/>
      <c r="I475" s="299" t="s">
        <v>782</v>
      </c>
    </row>
    <row r="476" spans="1:9" x14ac:dyDescent="0.2">
      <c r="A476" s="296"/>
      <c r="B476" s="297"/>
      <c r="C476" s="297"/>
      <c r="D476" s="297" t="s">
        <v>39</v>
      </c>
      <c r="E476" s="297">
        <v>16</v>
      </c>
      <c r="F476" s="297"/>
      <c r="G476" s="297"/>
      <c r="H476" s="298"/>
      <c r="I476" s="299" t="s">
        <v>783</v>
      </c>
    </row>
    <row r="477" spans="1:9" x14ac:dyDescent="0.2">
      <c r="A477" s="296"/>
      <c r="B477" s="297"/>
      <c r="C477" s="297"/>
      <c r="D477" s="297" t="s">
        <v>39</v>
      </c>
      <c r="E477" s="297">
        <v>16</v>
      </c>
      <c r="F477" s="297"/>
      <c r="G477" s="297"/>
      <c r="H477" s="298"/>
      <c r="I477" s="299" t="s">
        <v>784</v>
      </c>
    </row>
    <row r="478" spans="1:9" x14ac:dyDescent="0.2">
      <c r="A478" s="296"/>
      <c r="B478" s="297"/>
      <c r="C478" s="297"/>
      <c r="D478" s="297" t="s">
        <v>39</v>
      </c>
      <c r="E478" s="297">
        <v>16</v>
      </c>
      <c r="F478" s="297"/>
      <c r="G478" s="297"/>
      <c r="H478" s="298"/>
      <c r="I478" s="299" t="s">
        <v>785</v>
      </c>
    </row>
    <row r="479" spans="1:9" x14ac:dyDescent="0.2">
      <c r="A479" s="296"/>
      <c r="B479" s="297"/>
      <c r="C479" s="297"/>
      <c r="D479" s="297" t="s">
        <v>39</v>
      </c>
      <c r="E479" s="297">
        <v>45</v>
      </c>
      <c r="F479" s="297"/>
      <c r="G479" s="297"/>
      <c r="H479" s="298"/>
      <c r="I479" s="299" t="s">
        <v>786</v>
      </c>
    </row>
    <row r="480" spans="1:9" x14ac:dyDescent="0.2">
      <c r="A480" s="296"/>
      <c r="B480" s="297"/>
      <c r="C480" s="297"/>
      <c r="D480" s="297" t="s">
        <v>39</v>
      </c>
      <c r="E480" s="297">
        <v>5</v>
      </c>
      <c r="F480" s="297"/>
      <c r="G480" s="297"/>
      <c r="H480" s="298"/>
      <c r="I480" s="299" t="s">
        <v>787</v>
      </c>
    </row>
    <row r="481" spans="1:9" x14ac:dyDescent="0.2">
      <c r="A481" s="296"/>
      <c r="B481" s="297"/>
      <c r="C481" s="297"/>
      <c r="D481" s="297" t="s">
        <v>39</v>
      </c>
      <c r="E481" s="297">
        <v>270</v>
      </c>
      <c r="F481" s="297"/>
      <c r="G481" s="297"/>
      <c r="H481" s="298"/>
      <c r="I481" s="299" t="s">
        <v>788</v>
      </c>
    </row>
    <row r="482" spans="1:9" x14ac:dyDescent="0.2">
      <c r="A482" s="296"/>
      <c r="B482" s="297"/>
      <c r="C482" s="297"/>
      <c r="D482" s="297" t="s">
        <v>39</v>
      </c>
      <c r="E482" s="297">
        <v>270</v>
      </c>
      <c r="F482" s="297"/>
      <c r="G482" s="297"/>
      <c r="H482" s="298"/>
      <c r="I482" s="299" t="s">
        <v>789</v>
      </c>
    </row>
    <row r="483" spans="1:9" x14ac:dyDescent="0.2">
      <c r="A483" s="296"/>
      <c r="B483" s="297"/>
      <c r="C483" s="297"/>
      <c r="D483" s="297" t="s">
        <v>39</v>
      </c>
      <c r="E483" s="297">
        <v>270</v>
      </c>
      <c r="F483" s="297"/>
      <c r="G483" s="297"/>
      <c r="H483" s="298"/>
      <c r="I483" s="299" t="s">
        <v>790</v>
      </c>
    </row>
    <row r="484" spans="1:9" x14ac:dyDescent="0.2">
      <c r="A484" s="296"/>
      <c r="B484" s="297"/>
      <c r="C484" s="297"/>
      <c r="D484" s="297" t="s">
        <v>38</v>
      </c>
      <c r="E484" s="297">
        <v>13</v>
      </c>
      <c r="F484" s="297"/>
      <c r="G484" s="297"/>
      <c r="H484" s="298"/>
      <c r="I484" s="299" t="s">
        <v>791</v>
      </c>
    </row>
    <row r="485" spans="1:9" x14ac:dyDescent="0.2">
      <c r="A485" s="296" t="s">
        <v>792</v>
      </c>
      <c r="B485" s="297" t="s">
        <v>793</v>
      </c>
      <c r="C485" s="297" t="s">
        <v>52</v>
      </c>
      <c r="D485" s="297"/>
      <c r="E485" s="297"/>
      <c r="F485" s="297"/>
      <c r="G485" s="297" t="s">
        <v>162</v>
      </c>
      <c r="H485" s="298"/>
      <c r="I485" s="299">
        <v>70263</v>
      </c>
    </row>
    <row r="486" spans="1:9" x14ac:dyDescent="0.2">
      <c r="A486" s="296"/>
      <c r="B486" s="297"/>
      <c r="C486" s="297"/>
      <c r="D486" s="297" t="s">
        <v>38</v>
      </c>
      <c r="E486" s="297">
        <v>1</v>
      </c>
      <c r="F486" s="297">
        <v>8</v>
      </c>
      <c r="G486" s="297"/>
      <c r="H486" s="298"/>
      <c r="I486" s="299" t="s">
        <v>415</v>
      </c>
    </row>
    <row r="487" spans="1:9" x14ac:dyDescent="0.2">
      <c r="A487" s="296"/>
      <c r="B487" s="297"/>
      <c r="C487" s="297"/>
      <c r="D487" s="297" t="s">
        <v>39</v>
      </c>
      <c r="E487" s="297">
        <v>64</v>
      </c>
      <c r="F487" s="297" t="s">
        <v>794</v>
      </c>
      <c r="G487" s="297"/>
      <c r="H487" s="298"/>
      <c r="I487" s="299" t="s">
        <v>795</v>
      </c>
    </row>
    <row r="488" spans="1:9" x14ac:dyDescent="0.2">
      <c r="A488" s="296"/>
      <c r="B488" s="297"/>
      <c r="C488" s="297"/>
      <c r="D488" s="297" t="s">
        <v>39</v>
      </c>
      <c r="E488" s="297">
        <v>256</v>
      </c>
      <c r="F488" s="297"/>
      <c r="G488" s="297"/>
      <c r="H488" s="298"/>
      <c r="I488" s="299" t="s">
        <v>796</v>
      </c>
    </row>
    <row r="489" spans="1:9" x14ac:dyDescent="0.2">
      <c r="A489" s="296"/>
      <c r="B489" s="297"/>
      <c r="C489" s="297"/>
      <c r="D489" s="297" t="s">
        <v>39</v>
      </c>
      <c r="E489" s="297">
        <v>256</v>
      </c>
      <c r="F489" s="297"/>
      <c r="G489" s="297"/>
      <c r="H489" s="298"/>
      <c r="I489" s="299" t="s">
        <v>797</v>
      </c>
    </row>
    <row r="490" spans="1:9" x14ac:dyDescent="0.2">
      <c r="A490" s="296"/>
      <c r="B490" s="297"/>
      <c r="C490" s="297"/>
      <c r="D490" s="297" t="s">
        <v>39</v>
      </c>
      <c r="E490" s="297">
        <v>128</v>
      </c>
      <c r="F490" s="297" t="s">
        <v>798</v>
      </c>
      <c r="G490" s="297"/>
      <c r="H490" s="298"/>
      <c r="I490" s="299" t="s">
        <v>799</v>
      </c>
    </row>
    <row r="491" spans="1:9" x14ac:dyDescent="0.2">
      <c r="A491" s="296"/>
      <c r="B491" s="297"/>
      <c r="C491" s="297"/>
      <c r="D491" s="297" t="s">
        <v>38</v>
      </c>
      <c r="E491" s="297">
        <v>4</v>
      </c>
      <c r="F491" s="297">
        <v>10</v>
      </c>
      <c r="G491" s="297"/>
      <c r="H491" s="298"/>
      <c r="I491" s="299" t="s">
        <v>800</v>
      </c>
    </row>
    <row r="492" spans="1:9" x14ac:dyDescent="0.2">
      <c r="A492" s="296"/>
      <c r="B492" s="297"/>
      <c r="C492" s="297"/>
      <c r="D492" s="297" t="s">
        <v>38</v>
      </c>
      <c r="E492" s="297">
        <v>1</v>
      </c>
      <c r="F492" s="297">
        <v>1</v>
      </c>
      <c r="G492" s="297"/>
      <c r="H492" s="298"/>
      <c r="I492" s="299" t="s">
        <v>801</v>
      </c>
    </row>
    <row r="493" spans="1:9" x14ac:dyDescent="0.2">
      <c r="A493" s="296"/>
      <c r="B493" s="297"/>
      <c r="C493" s="297"/>
      <c r="D493" s="297" t="s">
        <v>38</v>
      </c>
      <c r="E493" s="297">
        <v>1</v>
      </c>
      <c r="F493" s="297">
        <v>8</v>
      </c>
      <c r="G493" s="297"/>
      <c r="H493" s="298"/>
      <c r="I493" s="299" t="s">
        <v>802</v>
      </c>
    </row>
    <row r="494" spans="1:9" x14ac:dyDescent="0.2">
      <c r="A494" s="296"/>
      <c r="B494" s="297"/>
      <c r="C494" s="297"/>
      <c r="D494" s="297" t="s">
        <v>38</v>
      </c>
      <c r="E494" s="297">
        <v>1</v>
      </c>
      <c r="F494" s="297">
        <v>0</v>
      </c>
      <c r="G494" s="297"/>
      <c r="H494" s="298"/>
      <c r="I494" s="299" t="s">
        <v>803</v>
      </c>
    </row>
    <row r="495" spans="1:9" x14ac:dyDescent="0.2">
      <c r="A495" s="296"/>
      <c r="B495" s="297"/>
      <c r="C495" s="297"/>
      <c r="D495" s="297" t="s">
        <v>38</v>
      </c>
      <c r="E495" s="297">
        <v>1</v>
      </c>
      <c r="F495" s="297">
        <v>2</v>
      </c>
      <c r="G495" s="297"/>
      <c r="H495" s="298"/>
      <c r="I495" s="299" t="s">
        <v>804</v>
      </c>
    </row>
    <row r="496" spans="1:9" x14ac:dyDescent="0.2">
      <c r="A496" s="296"/>
      <c r="B496" s="297"/>
      <c r="C496" s="297"/>
      <c r="D496" s="297" t="s">
        <v>38</v>
      </c>
      <c r="E496" s="297">
        <v>1</v>
      </c>
      <c r="F496" s="297">
        <v>0</v>
      </c>
      <c r="G496" s="297"/>
      <c r="H496" s="298"/>
      <c r="I496" s="299" t="s">
        <v>805</v>
      </c>
    </row>
    <row r="497" spans="1:9" x14ac:dyDescent="0.2">
      <c r="A497" s="296"/>
      <c r="B497" s="297"/>
      <c r="C497" s="297"/>
      <c r="D497" s="297" t="s">
        <v>38</v>
      </c>
      <c r="E497" s="297">
        <v>1</v>
      </c>
      <c r="F497" s="297">
        <v>2</v>
      </c>
      <c r="G497" s="297"/>
      <c r="H497" s="298"/>
      <c r="I497" s="299" t="s">
        <v>806</v>
      </c>
    </row>
    <row r="498" spans="1:9" x14ac:dyDescent="0.2">
      <c r="A498" s="296"/>
      <c r="B498" s="297"/>
      <c r="C498" s="297"/>
      <c r="D498" s="297" t="s">
        <v>39</v>
      </c>
      <c r="E498" s="297">
        <v>64</v>
      </c>
      <c r="F498" s="297"/>
      <c r="G498" s="297"/>
      <c r="H498" s="298"/>
      <c r="I498" s="299" t="s">
        <v>807</v>
      </c>
    </row>
    <row r="499" spans="1:9" x14ac:dyDescent="0.2">
      <c r="A499" s="296"/>
      <c r="B499" s="297"/>
      <c r="C499" s="297"/>
      <c r="D499" s="297" t="s">
        <v>38</v>
      </c>
      <c r="E499" s="297">
        <v>1</v>
      </c>
      <c r="F499" s="297">
        <v>0</v>
      </c>
      <c r="G499" s="297"/>
      <c r="H499" s="298"/>
      <c r="I499" s="299" t="s">
        <v>808</v>
      </c>
    </row>
    <row r="500" spans="1:9" x14ac:dyDescent="0.2">
      <c r="A500" s="296"/>
      <c r="B500" s="297"/>
      <c r="C500" s="297"/>
      <c r="D500" s="297" t="s">
        <v>38</v>
      </c>
      <c r="E500" s="297">
        <v>1</v>
      </c>
      <c r="F500" s="297">
        <v>0</v>
      </c>
      <c r="G500" s="297"/>
      <c r="H500" s="298"/>
      <c r="I500" s="299" t="s">
        <v>809</v>
      </c>
    </row>
    <row r="501" spans="1:9" x14ac:dyDescent="0.2">
      <c r="A501" s="296"/>
      <c r="B501" s="297"/>
      <c r="C501" s="297"/>
      <c r="D501" s="297" t="s">
        <v>38</v>
      </c>
      <c r="E501" s="297">
        <v>2</v>
      </c>
      <c r="F501" s="297">
        <v>0</v>
      </c>
      <c r="G501" s="297"/>
      <c r="H501" s="298"/>
      <c r="I501" s="299" t="s">
        <v>810</v>
      </c>
    </row>
    <row r="502" spans="1:9" x14ac:dyDescent="0.2">
      <c r="A502" s="296"/>
      <c r="B502" s="297"/>
      <c r="C502" s="297"/>
      <c r="D502" s="297" t="s">
        <v>38</v>
      </c>
      <c r="E502" s="297">
        <v>4</v>
      </c>
      <c r="F502" s="297">
        <v>0</v>
      </c>
      <c r="G502" s="297"/>
      <c r="H502" s="298"/>
      <c r="I502" s="299" t="s">
        <v>811</v>
      </c>
    </row>
    <row r="503" spans="1:9" x14ac:dyDescent="0.2">
      <c r="A503" s="296"/>
      <c r="B503" s="297"/>
      <c r="C503" s="297"/>
      <c r="D503" s="297" t="s">
        <v>38</v>
      </c>
      <c r="E503" s="297">
        <v>1</v>
      </c>
      <c r="F503" s="297">
        <v>1</v>
      </c>
      <c r="G503" s="297"/>
      <c r="H503" s="298"/>
      <c r="I503" s="299"/>
    </row>
    <row r="504" spans="1:9" x14ac:dyDescent="0.2">
      <c r="A504" s="296"/>
      <c r="B504" s="297"/>
      <c r="C504" s="297"/>
      <c r="D504" s="297" t="s">
        <v>39</v>
      </c>
      <c r="E504" s="297">
        <v>100</v>
      </c>
      <c r="F504" s="297" t="s">
        <v>794</v>
      </c>
      <c r="G504" s="297"/>
      <c r="H504" s="298"/>
      <c r="I504" s="299"/>
    </row>
    <row r="505" spans="1:9" x14ac:dyDescent="0.2">
      <c r="A505" s="296"/>
      <c r="B505" s="297"/>
      <c r="C505" s="297"/>
      <c r="D505" s="297" t="s">
        <v>38</v>
      </c>
      <c r="E505" s="297">
        <v>108</v>
      </c>
      <c r="F505" s="297"/>
      <c r="G505" s="297"/>
      <c r="H505" s="298"/>
      <c r="I505" s="299" t="s">
        <v>418</v>
      </c>
    </row>
    <row r="506" spans="1:9" ht="25.5" x14ac:dyDescent="0.2">
      <c r="A506" s="296" t="s">
        <v>812</v>
      </c>
      <c r="B506" s="297" t="s">
        <v>813</v>
      </c>
      <c r="C506" s="297" t="s">
        <v>52</v>
      </c>
      <c r="D506" s="297"/>
      <c r="E506" s="297"/>
      <c r="F506" s="297"/>
      <c r="G506" s="297" t="s">
        <v>162</v>
      </c>
      <c r="H506" s="298"/>
      <c r="I506" s="299" t="s">
        <v>814</v>
      </c>
    </row>
    <row r="507" spans="1:9" x14ac:dyDescent="0.2">
      <c r="A507" s="296"/>
      <c r="B507" s="297"/>
      <c r="C507" s="297"/>
      <c r="D507" s="297" t="s">
        <v>38</v>
      </c>
      <c r="E507" s="297">
        <v>1</v>
      </c>
      <c r="F507" s="297">
        <v>0</v>
      </c>
      <c r="G507" s="297"/>
      <c r="H507" s="298"/>
      <c r="I507" s="299" t="s">
        <v>356</v>
      </c>
    </row>
    <row r="508" spans="1:9" x14ac:dyDescent="0.2">
      <c r="A508" s="296"/>
      <c r="B508" s="297"/>
      <c r="C508" s="297"/>
      <c r="D508" s="297" t="s">
        <v>38</v>
      </c>
      <c r="E508" s="297">
        <v>4</v>
      </c>
      <c r="F508" s="297"/>
      <c r="G508" s="297"/>
      <c r="H508" s="298"/>
      <c r="I508" s="299" t="s">
        <v>815</v>
      </c>
    </row>
    <row r="509" spans="1:9" x14ac:dyDescent="0.2">
      <c r="A509" s="296"/>
      <c r="B509" s="297"/>
      <c r="C509" s="297"/>
      <c r="D509" s="297" t="s">
        <v>38</v>
      </c>
      <c r="E509" s="297">
        <v>1</v>
      </c>
      <c r="F509" s="297">
        <v>0</v>
      </c>
      <c r="G509" s="297"/>
      <c r="H509" s="298"/>
      <c r="I509" s="299" t="s">
        <v>816</v>
      </c>
    </row>
    <row r="510" spans="1:9" x14ac:dyDescent="0.2">
      <c r="A510" s="296"/>
      <c r="B510" s="297"/>
      <c r="C510" s="297"/>
      <c r="D510" s="297" t="s">
        <v>38</v>
      </c>
      <c r="E510" s="297">
        <v>122</v>
      </c>
      <c r="F510" s="297"/>
      <c r="G510" s="297"/>
      <c r="H510" s="298"/>
      <c r="I510" s="299" t="s">
        <v>418</v>
      </c>
    </row>
    <row r="511" spans="1:9" x14ac:dyDescent="0.2">
      <c r="A511" s="296" t="s">
        <v>817</v>
      </c>
      <c r="B511" s="297" t="s">
        <v>818</v>
      </c>
      <c r="C511" s="297" t="s">
        <v>52</v>
      </c>
      <c r="D511" s="297"/>
      <c r="E511" s="297"/>
      <c r="F511" s="297"/>
      <c r="G511" s="297" t="s">
        <v>162</v>
      </c>
      <c r="H511" s="298"/>
      <c r="I511" s="299">
        <v>71527</v>
      </c>
    </row>
    <row r="512" spans="1:9" x14ac:dyDescent="0.2">
      <c r="A512" s="296"/>
      <c r="B512" s="297"/>
      <c r="C512" s="297"/>
      <c r="D512" s="297" t="s">
        <v>38</v>
      </c>
      <c r="E512" s="297">
        <v>1</v>
      </c>
      <c r="F512" s="297">
        <v>0</v>
      </c>
      <c r="G512" s="297"/>
      <c r="H512" s="298"/>
      <c r="I512" s="299" t="s">
        <v>415</v>
      </c>
    </row>
    <row r="513" spans="1:9" x14ac:dyDescent="0.2">
      <c r="A513" s="296"/>
      <c r="B513" s="297"/>
      <c r="C513" s="297"/>
      <c r="D513" s="297" t="s">
        <v>38</v>
      </c>
      <c r="E513" s="297">
        <v>2</v>
      </c>
      <c r="F513" s="297">
        <v>272</v>
      </c>
      <c r="G513" s="297"/>
      <c r="H513" s="298"/>
      <c r="I513" s="299" t="s">
        <v>819</v>
      </c>
    </row>
    <row r="514" spans="1:9" x14ac:dyDescent="0.2">
      <c r="A514" s="296"/>
      <c r="B514" s="297"/>
      <c r="C514" s="297"/>
      <c r="D514" s="297" t="s">
        <v>38</v>
      </c>
      <c r="E514" s="297">
        <v>1</v>
      </c>
      <c r="F514" s="297">
        <v>17</v>
      </c>
      <c r="G514" s="297"/>
      <c r="H514" s="298"/>
      <c r="I514" s="299" t="s">
        <v>820</v>
      </c>
    </row>
    <row r="515" spans="1:9" x14ac:dyDescent="0.2">
      <c r="A515" s="296"/>
      <c r="B515" s="297"/>
      <c r="C515" s="297"/>
      <c r="D515" s="297" t="s">
        <v>38</v>
      </c>
      <c r="E515" s="297">
        <v>2</v>
      </c>
      <c r="F515" s="297">
        <v>7</v>
      </c>
      <c r="G515" s="297"/>
      <c r="H515" s="298"/>
      <c r="I515" s="299" t="s">
        <v>821</v>
      </c>
    </row>
    <row r="516" spans="1:9" x14ac:dyDescent="0.2">
      <c r="A516" s="296"/>
      <c r="B516" s="297"/>
      <c r="C516" s="297"/>
      <c r="D516" s="297" t="s">
        <v>38</v>
      </c>
      <c r="E516" s="297">
        <v>1</v>
      </c>
      <c r="F516" s="297">
        <v>136</v>
      </c>
      <c r="G516" s="297"/>
      <c r="H516" s="298"/>
      <c r="I516" s="299" t="s">
        <v>822</v>
      </c>
    </row>
    <row r="517" spans="1:9" x14ac:dyDescent="0.2">
      <c r="A517" s="296"/>
      <c r="B517" s="297"/>
      <c r="C517" s="297"/>
      <c r="D517" s="297" t="s">
        <v>38</v>
      </c>
      <c r="E517" s="297">
        <v>1</v>
      </c>
      <c r="F517" s="297">
        <v>80</v>
      </c>
      <c r="G517" s="297"/>
      <c r="H517" s="298"/>
      <c r="I517" s="299" t="s">
        <v>823</v>
      </c>
    </row>
    <row r="518" spans="1:9" x14ac:dyDescent="0.2">
      <c r="A518" s="296"/>
      <c r="B518" s="297"/>
      <c r="C518" s="297"/>
      <c r="D518" s="297" t="s">
        <v>38</v>
      </c>
      <c r="E518" s="297">
        <v>2</v>
      </c>
      <c r="F518" s="297">
        <v>612</v>
      </c>
      <c r="G518" s="297"/>
      <c r="H518" s="298"/>
      <c r="I518" s="299" t="s">
        <v>824</v>
      </c>
    </row>
    <row r="519" spans="1:9" x14ac:dyDescent="0.2">
      <c r="A519" s="296"/>
      <c r="B519" s="297"/>
      <c r="C519" s="297"/>
      <c r="D519" s="297" t="s">
        <v>38</v>
      </c>
      <c r="E519" s="297">
        <v>1</v>
      </c>
      <c r="F519" s="297">
        <v>17</v>
      </c>
      <c r="G519" s="297"/>
      <c r="H519" s="298"/>
      <c r="I519" s="299" t="s">
        <v>825</v>
      </c>
    </row>
    <row r="520" spans="1:9" x14ac:dyDescent="0.2">
      <c r="A520" s="296"/>
      <c r="B520" s="297"/>
      <c r="C520" s="297"/>
      <c r="D520" s="297" t="s">
        <v>38</v>
      </c>
      <c r="E520" s="297">
        <v>2</v>
      </c>
      <c r="F520" s="297">
        <v>0</v>
      </c>
      <c r="G520" s="297"/>
      <c r="H520" s="298"/>
      <c r="I520" s="299" t="s">
        <v>826</v>
      </c>
    </row>
    <row r="521" spans="1:9" x14ac:dyDescent="0.2">
      <c r="A521" s="296"/>
      <c r="B521" s="297"/>
      <c r="C521" s="297"/>
      <c r="D521" s="297" t="s">
        <v>38</v>
      </c>
      <c r="E521" s="297">
        <v>1</v>
      </c>
      <c r="F521" s="297">
        <v>0</v>
      </c>
      <c r="G521" s="297"/>
      <c r="H521" s="298"/>
      <c r="I521" s="299" t="s">
        <v>827</v>
      </c>
    </row>
    <row r="522" spans="1:9" x14ac:dyDescent="0.2">
      <c r="A522" s="296"/>
      <c r="B522" s="297"/>
      <c r="C522" s="297"/>
      <c r="D522" s="297" t="s">
        <v>38</v>
      </c>
      <c r="E522" s="297">
        <v>1</v>
      </c>
      <c r="F522" s="297">
        <v>80</v>
      </c>
      <c r="G522" s="297"/>
      <c r="H522" s="298"/>
      <c r="I522" s="299" t="s">
        <v>828</v>
      </c>
    </row>
    <row r="523" spans="1:9" x14ac:dyDescent="0.2">
      <c r="A523" s="296"/>
      <c r="B523" s="297"/>
      <c r="C523" s="297"/>
      <c r="D523" s="297" t="s">
        <v>38</v>
      </c>
      <c r="E523" s="297">
        <v>2</v>
      </c>
      <c r="F523" s="297">
        <v>0</v>
      </c>
      <c r="G523" s="297"/>
      <c r="H523" s="298"/>
      <c r="I523" s="299" t="s">
        <v>829</v>
      </c>
    </row>
    <row r="524" spans="1:9" x14ac:dyDescent="0.2">
      <c r="A524" s="296"/>
      <c r="B524" s="297"/>
      <c r="C524" s="297"/>
      <c r="D524" s="297" t="s">
        <v>38</v>
      </c>
      <c r="E524" s="297">
        <v>1</v>
      </c>
      <c r="F524" s="297">
        <v>0</v>
      </c>
      <c r="G524" s="297"/>
      <c r="H524" s="298"/>
      <c r="I524" s="299" t="s">
        <v>830</v>
      </c>
    </row>
    <row r="525" spans="1:9" x14ac:dyDescent="0.2">
      <c r="A525" s="296"/>
      <c r="B525" s="297"/>
      <c r="C525" s="297"/>
      <c r="D525" s="297" t="s">
        <v>38</v>
      </c>
      <c r="E525" s="297">
        <v>2</v>
      </c>
      <c r="F525" s="297">
        <v>0</v>
      </c>
      <c r="G525" s="297"/>
      <c r="H525" s="298"/>
      <c r="I525" s="299" t="s">
        <v>831</v>
      </c>
    </row>
    <row r="526" spans="1:9" x14ac:dyDescent="0.2">
      <c r="A526" s="296"/>
      <c r="B526" s="297"/>
      <c r="C526" s="297"/>
      <c r="D526" s="297" t="s">
        <v>38</v>
      </c>
      <c r="E526" s="297">
        <v>1</v>
      </c>
      <c r="F526" s="297">
        <v>0</v>
      </c>
      <c r="G526" s="297"/>
      <c r="H526" s="298"/>
      <c r="I526" s="299" t="s">
        <v>832</v>
      </c>
    </row>
    <row r="527" spans="1:9" x14ac:dyDescent="0.2">
      <c r="A527" s="296"/>
      <c r="B527" s="297"/>
      <c r="C527" s="297"/>
      <c r="D527" s="297" t="s">
        <v>38</v>
      </c>
      <c r="E527" s="297">
        <v>1</v>
      </c>
      <c r="F527" s="297">
        <v>0</v>
      </c>
      <c r="G527" s="297"/>
      <c r="H527" s="298"/>
      <c r="I527" s="299" t="s">
        <v>833</v>
      </c>
    </row>
    <row r="528" spans="1:9" x14ac:dyDescent="0.2">
      <c r="A528" s="296"/>
      <c r="B528" s="297"/>
      <c r="C528" s="297"/>
      <c r="D528" s="297" t="s">
        <v>38</v>
      </c>
      <c r="E528" s="297">
        <v>2</v>
      </c>
      <c r="F528" s="297">
        <v>0</v>
      </c>
      <c r="G528" s="297"/>
      <c r="H528" s="298"/>
      <c r="I528" s="299" t="s">
        <v>834</v>
      </c>
    </row>
    <row r="529" spans="1:9" x14ac:dyDescent="0.2">
      <c r="A529" s="296"/>
      <c r="B529" s="297"/>
      <c r="C529" s="297"/>
      <c r="D529" s="297" t="s">
        <v>38</v>
      </c>
      <c r="E529" s="297">
        <v>1</v>
      </c>
      <c r="F529" s="297">
        <v>0</v>
      </c>
      <c r="G529" s="297"/>
      <c r="H529" s="298"/>
      <c r="I529" s="299" t="s">
        <v>835</v>
      </c>
    </row>
    <row r="530" spans="1:9" x14ac:dyDescent="0.2">
      <c r="A530" s="296"/>
      <c r="B530" s="297"/>
      <c r="C530" s="297"/>
      <c r="D530" s="297" t="s">
        <v>38</v>
      </c>
      <c r="E530" s="297">
        <v>2</v>
      </c>
      <c r="F530" s="297">
        <v>0</v>
      </c>
      <c r="G530" s="297"/>
      <c r="H530" s="298"/>
      <c r="I530" s="299" t="s">
        <v>836</v>
      </c>
    </row>
    <row r="531" spans="1:9" x14ac:dyDescent="0.2">
      <c r="A531" s="296"/>
      <c r="B531" s="297"/>
      <c r="C531" s="297"/>
      <c r="D531" s="297" t="s">
        <v>38</v>
      </c>
      <c r="E531" s="297">
        <v>1</v>
      </c>
      <c r="F531" s="297">
        <v>0</v>
      </c>
      <c r="G531" s="297"/>
      <c r="H531" s="298"/>
      <c r="I531" s="299" t="s">
        <v>837</v>
      </c>
    </row>
    <row r="532" spans="1:9" x14ac:dyDescent="0.2">
      <c r="A532" s="296"/>
      <c r="B532" s="297"/>
      <c r="C532" s="297"/>
      <c r="D532" s="297" t="s">
        <v>38</v>
      </c>
      <c r="E532" s="297">
        <v>1</v>
      </c>
      <c r="F532" s="297">
        <v>0</v>
      </c>
      <c r="G532" s="297"/>
      <c r="H532" s="298"/>
      <c r="I532" s="299" t="s">
        <v>838</v>
      </c>
    </row>
    <row r="533" spans="1:9" x14ac:dyDescent="0.2">
      <c r="A533" s="296"/>
      <c r="B533" s="297"/>
      <c r="C533" s="297"/>
      <c r="D533" s="297" t="s">
        <v>38</v>
      </c>
      <c r="E533" s="297">
        <v>2</v>
      </c>
      <c r="F533" s="297">
        <v>0</v>
      </c>
      <c r="G533" s="297"/>
      <c r="H533" s="298"/>
      <c r="I533" s="299" t="s">
        <v>839</v>
      </c>
    </row>
    <row r="534" spans="1:9" x14ac:dyDescent="0.2">
      <c r="A534" s="296"/>
      <c r="B534" s="297"/>
      <c r="C534" s="297"/>
      <c r="D534" s="297" t="s">
        <v>38</v>
      </c>
      <c r="E534" s="297">
        <v>1</v>
      </c>
      <c r="F534" s="297">
        <v>0</v>
      </c>
      <c r="G534" s="297"/>
      <c r="H534" s="298"/>
      <c r="I534" s="299" t="s">
        <v>840</v>
      </c>
    </row>
    <row r="535" spans="1:9" x14ac:dyDescent="0.2">
      <c r="A535" s="296"/>
      <c r="B535" s="297"/>
      <c r="C535" s="297"/>
      <c r="D535" s="297" t="s">
        <v>38</v>
      </c>
      <c r="E535" s="297">
        <v>2</v>
      </c>
      <c r="F535" s="297">
        <v>0</v>
      </c>
      <c r="G535" s="297"/>
      <c r="H535" s="298"/>
      <c r="I535" s="299" t="s">
        <v>841</v>
      </c>
    </row>
    <row r="536" spans="1:9" x14ac:dyDescent="0.2">
      <c r="A536" s="296"/>
      <c r="B536" s="297"/>
      <c r="C536" s="297"/>
      <c r="D536" s="297" t="s">
        <v>38</v>
      </c>
      <c r="E536" s="297">
        <v>1</v>
      </c>
      <c r="F536" s="297">
        <v>0</v>
      </c>
      <c r="G536" s="297"/>
      <c r="H536" s="298"/>
      <c r="I536" s="299" t="s">
        <v>842</v>
      </c>
    </row>
    <row r="537" spans="1:9" x14ac:dyDescent="0.2">
      <c r="A537" s="296"/>
      <c r="B537" s="297"/>
      <c r="C537" s="297"/>
      <c r="D537" s="297" t="s">
        <v>38</v>
      </c>
      <c r="E537" s="297">
        <v>1</v>
      </c>
      <c r="F537" s="297">
        <v>0</v>
      </c>
      <c r="G537" s="297"/>
      <c r="H537" s="298"/>
      <c r="I537" s="299" t="s">
        <v>843</v>
      </c>
    </row>
    <row r="538" spans="1:9" x14ac:dyDescent="0.2">
      <c r="A538" s="296"/>
      <c r="B538" s="297"/>
      <c r="C538" s="297"/>
      <c r="D538" s="297" t="s">
        <v>38</v>
      </c>
      <c r="E538" s="297">
        <v>2</v>
      </c>
      <c r="F538" s="297">
        <v>0</v>
      </c>
      <c r="G538" s="297"/>
      <c r="H538" s="298"/>
      <c r="I538" s="299" t="s">
        <v>844</v>
      </c>
    </row>
    <row r="539" spans="1:9" x14ac:dyDescent="0.2">
      <c r="A539" s="296"/>
      <c r="B539" s="297"/>
      <c r="C539" s="297"/>
      <c r="D539" s="297" t="s">
        <v>38</v>
      </c>
      <c r="E539" s="297">
        <v>1</v>
      </c>
      <c r="F539" s="297">
        <v>0</v>
      </c>
      <c r="G539" s="297"/>
      <c r="H539" s="298"/>
      <c r="I539" s="299" t="s">
        <v>845</v>
      </c>
    </row>
    <row r="540" spans="1:9" x14ac:dyDescent="0.2">
      <c r="A540" s="296"/>
      <c r="B540" s="297"/>
      <c r="C540" s="297"/>
      <c r="D540" s="297" t="s">
        <v>38</v>
      </c>
      <c r="E540" s="297">
        <v>2</v>
      </c>
      <c r="F540" s="297">
        <v>0</v>
      </c>
      <c r="G540" s="297"/>
      <c r="H540" s="298"/>
      <c r="I540" s="299" t="s">
        <v>846</v>
      </c>
    </row>
    <row r="541" spans="1:9" x14ac:dyDescent="0.2">
      <c r="A541" s="296"/>
      <c r="B541" s="297"/>
      <c r="C541" s="297"/>
      <c r="D541" s="297" t="s">
        <v>38</v>
      </c>
      <c r="E541" s="297">
        <v>1</v>
      </c>
      <c r="F541" s="297">
        <v>0</v>
      </c>
      <c r="G541" s="297"/>
      <c r="H541" s="298"/>
      <c r="I541" s="299" t="s">
        <v>847</v>
      </c>
    </row>
    <row r="542" spans="1:9" x14ac:dyDescent="0.2">
      <c r="A542" s="296"/>
      <c r="B542" s="297"/>
      <c r="C542" s="297"/>
      <c r="D542" s="297" t="s">
        <v>38</v>
      </c>
      <c r="E542" s="297">
        <v>1</v>
      </c>
      <c r="F542" s="297">
        <v>0</v>
      </c>
      <c r="G542" s="297"/>
      <c r="H542" s="298"/>
      <c r="I542" s="299" t="s">
        <v>848</v>
      </c>
    </row>
    <row r="543" spans="1:9" x14ac:dyDescent="0.2">
      <c r="A543" s="296"/>
      <c r="B543" s="297"/>
      <c r="C543" s="297"/>
      <c r="D543" s="297" t="s">
        <v>38</v>
      </c>
      <c r="E543" s="297">
        <v>2</v>
      </c>
      <c r="F543" s="297">
        <v>0</v>
      </c>
      <c r="G543" s="297"/>
      <c r="H543" s="298"/>
      <c r="I543" s="299" t="s">
        <v>849</v>
      </c>
    </row>
    <row r="544" spans="1:9" x14ac:dyDescent="0.2">
      <c r="A544" s="296"/>
      <c r="B544" s="297"/>
      <c r="C544" s="297"/>
      <c r="D544" s="297" t="s">
        <v>38</v>
      </c>
      <c r="E544" s="297">
        <v>1</v>
      </c>
      <c r="F544" s="297">
        <v>0</v>
      </c>
      <c r="G544" s="297"/>
      <c r="H544" s="298"/>
      <c r="I544" s="299" t="s">
        <v>850</v>
      </c>
    </row>
    <row r="545" spans="1:9" x14ac:dyDescent="0.2">
      <c r="A545" s="296"/>
      <c r="B545" s="297"/>
      <c r="C545" s="297"/>
      <c r="D545" s="297" t="s">
        <v>38</v>
      </c>
      <c r="E545" s="297">
        <v>2</v>
      </c>
      <c r="F545" s="297">
        <v>0</v>
      </c>
      <c r="G545" s="297"/>
      <c r="H545" s="298"/>
      <c r="I545" s="299" t="s">
        <v>851</v>
      </c>
    </row>
    <row r="546" spans="1:9" x14ac:dyDescent="0.2">
      <c r="A546" s="296"/>
      <c r="B546" s="297"/>
      <c r="C546" s="297"/>
      <c r="D546" s="297" t="s">
        <v>38</v>
      </c>
      <c r="E546" s="297">
        <v>1</v>
      </c>
      <c r="F546" s="297">
        <v>0</v>
      </c>
      <c r="G546" s="297"/>
      <c r="H546" s="298"/>
      <c r="I546" s="299" t="s">
        <v>852</v>
      </c>
    </row>
    <row r="547" spans="1:9" x14ac:dyDescent="0.2">
      <c r="A547" s="296"/>
      <c r="B547" s="297"/>
      <c r="C547" s="297"/>
      <c r="D547" s="297" t="s">
        <v>38</v>
      </c>
      <c r="E547" s="297">
        <v>1</v>
      </c>
      <c r="F547" s="297">
        <v>0</v>
      </c>
      <c r="G547" s="297"/>
      <c r="H547" s="298"/>
      <c r="I547" s="299" t="s">
        <v>853</v>
      </c>
    </row>
    <row r="548" spans="1:9" x14ac:dyDescent="0.2">
      <c r="A548" s="296"/>
      <c r="B548" s="297"/>
      <c r="C548" s="297"/>
      <c r="D548" s="297" t="s">
        <v>38</v>
      </c>
      <c r="E548" s="297">
        <v>2</v>
      </c>
      <c r="F548" s="297">
        <v>0</v>
      </c>
      <c r="G548" s="297"/>
      <c r="H548" s="298"/>
      <c r="I548" s="299" t="s">
        <v>854</v>
      </c>
    </row>
    <row r="549" spans="1:9" x14ac:dyDescent="0.2">
      <c r="A549" s="296"/>
      <c r="B549" s="297"/>
      <c r="C549" s="297"/>
      <c r="D549" s="297" t="s">
        <v>38</v>
      </c>
      <c r="E549" s="297">
        <v>1</v>
      </c>
      <c r="F549" s="297">
        <v>0</v>
      </c>
      <c r="G549" s="297"/>
      <c r="H549" s="298"/>
      <c r="I549" s="299" t="s">
        <v>855</v>
      </c>
    </row>
    <row r="550" spans="1:9" x14ac:dyDescent="0.2">
      <c r="A550" s="296"/>
      <c r="B550" s="297"/>
      <c r="C550" s="297"/>
      <c r="D550" s="297" t="s">
        <v>38</v>
      </c>
      <c r="E550" s="297">
        <v>2</v>
      </c>
      <c r="F550" s="297">
        <v>0</v>
      </c>
      <c r="G550" s="297"/>
      <c r="H550" s="298"/>
      <c r="I550" s="299" t="s">
        <v>856</v>
      </c>
    </row>
    <row r="551" spans="1:9" x14ac:dyDescent="0.2">
      <c r="A551" s="296"/>
      <c r="B551" s="297"/>
      <c r="C551" s="297"/>
      <c r="D551" s="297" t="s">
        <v>38</v>
      </c>
      <c r="E551" s="297">
        <v>1</v>
      </c>
      <c r="F551" s="297">
        <v>0</v>
      </c>
      <c r="G551" s="297"/>
      <c r="H551" s="298"/>
      <c r="I551" s="299" t="s">
        <v>857</v>
      </c>
    </row>
    <row r="552" spans="1:9" x14ac:dyDescent="0.2">
      <c r="A552" s="296"/>
      <c r="B552" s="297"/>
      <c r="C552" s="297"/>
      <c r="D552" s="297" t="s">
        <v>38</v>
      </c>
      <c r="E552" s="297">
        <v>1</v>
      </c>
      <c r="F552" s="297">
        <v>0</v>
      </c>
      <c r="G552" s="297"/>
      <c r="H552" s="298"/>
      <c r="I552" s="299" t="s">
        <v>858</v>
      </c>
    </row>
    <row r="553" spans="1:9" x14ac:dyDescent="0.2">
      <c r="A553" s="296"/>
      <c r="B553" s="297"/>
      <c r="C553" s="297"/>
      <c r="D553" s="297" t="s">
        <v>38</v>
      </c>
      <c r="E553" s="297">
        <v>2</v>
      </c>
      <c r="F553" s="297">
        <v>0</v>
      </c>
      <c r="G553" s="297"/>
      <c r="H553" s="298"/>
      <c r="I553" s="299" t="s">
        <v>859</v>
      </c>
    </row>
    <row r="554" spans="1:9" x14ac:dyDescent="0.2">
      <c r="A554" s="296"/>
      <c r="B554" s="297"/>
      <c r="C554" s="297"/>
      <c r="D554" s="297" t="s">
        <v>38</v>
      </c>
      <c r="E554" s="297">
        <v>1</v>
      </c>
      <c r="F554" s="297">
        <v>0</v>
      </c>
      <c r="G554" s="297"/>
      <c r="H554" s="298"/>
      <c r="I554" s="299" t="s">
        <v>860</v>
      </c>
    </row>
    <row r="555" spans="1:9" x14ac:dyDescent="0.2">
      <c r="A555" s="296"/>
      <c r="B555" s="297"/>
      <c r="C555" s="297"/>
      <c r="D555" s="297" t="s">
        <v>38</v>
      </c>
      <c r="E555" s="297">
        <v>2</v>
      </c>
      <c r="F555" s="297">
        <v>0</v>
      </c>
      <c r="G555" s="297"/>
      <c r="H555" s="298"/>
      <c r="I555" s="299" t="s">
        <v>861</v>
      </c>
    </row>
    <row r="556" spans="1:9" x14ac:dyDescent="0.2">
      <c r="A556" s="296"/>
      <c r="B556" s="297"/>
      <c r="C556" s="297"/>
      <c r="D556" s="297" t="s">
        <v>38</v>
      </c>
      <c r="E556" s="297">
        <v>1</v>
      </c>
      <c r="F556" s="297">
        <v>0</v>
      </c>
      <c r="G556" s="297"/>
      <c r="H556" s="298"/>
      <c r="I556" s="299" t="s">
        <v>862</v>
      </c>
    </row>
    <row r="557" spans="1:9" x14ac:dyDescent="0.2">
      <c r="A557" s="296"/>
      <c r="B557" s="297"/>
      <c r="C557" s="297"/>
      <c r="D557" s="297" t="s">
        <v>38</v>
      </c>
      <c r="E557" s="297">
        <v>1</v>
      </c>
      <c r="F557" s="297">
        <v>0</v>
      </c>
      <c r="G557" s="297"/>
      <c r="H557" s="298"/>
      <c r="I557" s="299" t="s">
        <v>863</v>
      </c>
    </row>
    <row r="558" spans="1:9" x14ac:dyDescent="0.2">
      <c r="A558" s="296"/>
      <c r="B558" s="297"/>
      <c r="C558" s="297"/>
      <c r="D558" s="297" t="s">
        <v>38</v>
      </c>
      <c r="E558" s="297">
        <v>2</v>
      </c>
      <c r="F558" s="297">
        <v>528</v>
      </c>
      <c r="G558" s="297"/>
      <c r="H558" s="298"/>
      <c r="I558" s="299" t="s">
        <v>864</v>
      </c>
    </row>
    <row r="559" spans="1:9" x14ac:dyDescent="0.2">
      <c r="A559" s="296"/>
      <c r="B559" s="297"/>
      <c r="C559" s="297"/>
      <c r="D559" s="297" t="s">
        <v>38</v>
      </c>
      <c r="E559" s="297">
        <v>1</v>
      </c>
      <c r="F559" s="297">
        <v>48</v>
      </c>
      <c r="G559" s="297"/>
      <c r="H559" s="298"/>
      <c r="I559" s="299" t="s">
        <v>865</v>
      </c>
    </row>
    <row r="560" spans="1:9" x14ac:dyDescent="0.2">
      <c r="A560" s="296"/>
      <c r="B560" s="297"/>
      <c r="C560" s="297"/>
      <c r="D560" s="297" t="s">
        <v>38</v>
      </c>
      <c r="E560" s="297">
        <v>2</v>
      </c>
      <c r="F560" s="297">
        <v>3</v>
      </c>
      <c r="G560" s="297"/>
      <c r="H560" s="298"/>
      <c r="I560" s="299" t="s">
        <v>866</v>
      </c>
    </row>
    <row r="561" spans="1:9" x14ac:dyDescent="0.2">
      <c r="A561" s="296"/>
      <c r="B561" s="297"/>
      <c r="C561" s="297"/>
      <c r="D561" s="297" t="s">
        <v>38</v>
      </c>
      <c r="E561" s="297">
        <v>1</v>
      </c>
      <c r="F561" s="297">
        <v>136</v>
      </c>
      <c r="G561" s="297"/>
      <c r="H561" s="298"/>
      <c r="I561" s="299" t="s">
        <v>867</v>
      </c>
    </row>
    <row r="562" spans="1:9" x14ac:dyDescent="0.2">
      <c r="A562" s="296"/>
      <c r="B562" s="297"/>
      <c r="C562" s="297"/>
      <c r="D562" s="297" t="s">
        <v>38</v>
      </c>
      <c r="E562" s="297">
        <v>1</v>
      </c>
      <c r="F562" s="297">
        <v>80</v>
      </c>
      <c r="G562" s="297"/>
      <c r="H562" s="298"/>
      <c r="I562" s="299" t="s">
        <v>868</v>
      </c>
    </row>
    <row r="563" spans="1:9" x14ac:dyDescent="0.2">
      <c r="A563" s="296"/>
      <c r="B563" s="297"/>
      <c r="C563" s="297"/>
      <c r="D563" s="297" t="s">
        <v>38</v>
      </c>
      <c r="E563" s="297">
        <v>2</v>
      </c>
      <c r="F563" s="297">
        <v>20992</v>
      </c>
      <c r="G563" s="297"/>
      <c r="H563" s="298"/>
      <c r="I563" s="299" t="s">
        <v>869</v>
      </c>
    </row>
    <row r="564" spans="1:9" x14ac:dyDescent="0.2">
      <c r="A564" s="296"/>
      <c r="B564" s="297"/>
      <c r="C564" s="297"/>
      <c r="D564" s="297" t="s">
        <v>38</v>
      </c>
      <c r="E564" s="297">
        <v>2</v>
      </c>
      <c r="F564" s="297" t="s">
        <v>870</v>
      </c>
      <c r="G564" s="297"/>
      <c r="H564" s="298"/>
      <c r="I564" s="299" t="s">
        <v>871</v>
      </c>
    </row>
    <row r="565" spans="1:9" x14ac:dyDescent="0.2">
      <c r="A565" s="296"/>
      <c r="B565" s="297"/>
      <c r="C565" s="297"/>
      <c r="D565" s="297" t="s">
        <v>38</v>
      </c>
      <c r="E565" s="297">
        <v>2</v>
      </c>
      <c r="F565" s="297">
        <v>12800</v>
      </c>
      <c r="G565" s="297"/>
      <c r="H565" s="298"/>
      <c r="I565" s="299" t="s">
        <v>872</v>
      </c>
    </row>
    <row r="566" spans="1:9" x14ac:dyDescent="0.2">
      <c r="A566" s="296"/>
      <c r="B566" s="297"/>
      <c r="C566" s="297"/>
      <c r="D566" s="297" t="s">
        <v>38</v>
      </c>
      <c r="E566" s="297">
        <v>2</v>
      </c>
      <c r="F566" s="297" t="s">
        <v>870</v>
      </c>
      <c r="G566" s="297"/>
      <c r="H566" s="298"/>
      <c r="I566" s="299" t="s">
        <v>873</v>
      </c>
    </row>
    <row r="567" spans="1:9" x14ac:dyDescent="0.2">
      <c r="A567" s="296"/>
      <c r="B567" s="297"/>
      <c r="C567" s="297"/>
      <c r="D567" s="297" t="s">
        <v>38</v>
      </c>
      <c r="E567" s="297">
        <v>2</v>
      </c>
      <c r="F567" s="297">
        <v>25088</v>
      </c>
      <c r="G567" s="297"/>
      <c r="H567" s="298"/>
      <c r="I567" s="299" t="s">
        <v>874</v>
      </c>
    </row>
    <row r="568" spans="1:9" x14ac:dyDescent="0.2">
      <c r="A568" s="296"/>
      <c r="B568" s="297"/>
      <c r="C568" s="297"/>
      <c r="D568" s="297" t="s">
        <v>38</v>
      </c>
      <c r="E568" s="297">
        <v>2</v>
      </c>
      <c r="F568" s="297" t="s">
        <v>870</v>
      </c>
      <c r="G568" s="297"/>
      <c r="H568" s="298"/>
      <c r="I568" s="299" t="s">
        <v>875</v>
      </c>
    </row>
    <row r="569" spans="1:9" x14ac:dyDescent="0.2">
      <c r="A569" s="296"/>
      <c r="B569" s="297"/>
      <c r="C569" s="297"/>
      <c r="D569" s="297" t="s">
        <v>38</v>
      </c>
      <c r="E569" s="297">
        <v>2</v>
      </c>
      <c r="F569" s="297">
        <v>29184</v>
      </c>
      <c r="G569" s="297"/>
      <c r="H569" s="298"/>
      <c r="I569" s="299" t="s">
        <v>876</v>
      </c>
    </row>
    <row r="570" spans="1:9" x14ac:dyDescent="0.2">
      <c r="A570" s="296"/>
      <c r="B570" s="297"/>
      <c r="C570" s="297"/>
      <c r="D570" s="297" t="s">
        <v>38</v>
      </c>
      <c r="E570" s="297">
        <v>2</v>
      </c>
      <c r="F570" s="297" t="s">
        <v>870</v>
      </c>
      <c r="G570" s="297"/>
      <c r="H570" s="298"/>
      <c r="I570" s="299" t="s">
        <v>877</v>
      </c>
    </row>
    <row r="571" spans="1:9" x14ac:dyDescent="0.2">
      <c r="A571" s="296"/>
      <c r="B571" s="297"/>
      <c r="C571" s="297"/>
      <c r="D571" s="297" t="s">
        <v>38</v>
      </c>
      <c r="E571" s="297">
        <v>2</v>
      </c>
      <c r="F571" s="297">
        <v>0</v>
      </c>
      <c r="G571" s="297"/>
      <c r="H571" s="298"/>
      <c r="I571" s="299" t="s">
        <v>878</v>
      </c>
    </row>
    <row r="572" spans="1:9" x14ac:dyDescent="0.2">
      <c r="A572" s="296"/>
      <c r="B572" s="297"/>
      <c r="C572" s="297"/>
      <c r="D572" s="297" t="s">
        <v>38</v>
      </c>
      <c r="E572" s="297">
        <v>2</v>
      </c>
      <c r="F572" s="297" t="s">
        <v>870</v>
      </c>
      <c r="G572" s="297"/>
      <c r="H572" s="298"/>
      <c r="I572" s="299" t="s">
        <v>879</v>
      </c>
    </row>
    <row r="573" spans="1:9" x14ac:dyDescent="0.2">
      <c r="A573" s="296"/>
      <c r="B573" s="297"/>
      <c r="C573" s="297"/>
      <c r="D573" s="297" t="s">
        <v>38</v>
      </c>
      <c r="E573" s="297">
        <v>2</v>
      </c>
      <c r="F573" s="297">
        <v>0</v>
      </c>
      <c r="G573" s="297"/>
      <c r="H573" s="298"/>
      <c r="I573" s="299" t="s">
        <v>880</v>
      </c>
    </row>
    <row r="574" spans="1:9" x14ac:dyDescent="0.2">
      <c r="A574" s="296"/>
      <c r="B574" s="297"/>
      <c r="C574" s="297"/>
      <c r="D574" s="297" t="s">
        <v>38</v>
      </c>
      <c r="E574" s="297">
        <v>2</v>
      </c>
      <c r="F574" s="297" t="s">
        <v>870</v>
      </c>
      <c r="G574" s="297"/>
      <c r="H574" s="298"/>
      <c r="I574" s="299" t="s">
        <v>881</v>
      </c>
    </row>
    <row r="575" spans="1:9" x14ac:dyDescent="0.2">
      <c r="A575" s="296"/>
      <c r="B575" s="297"/>
      <c r="C575" s="297"/>
      <c r="D575" s="297" t="s">
        <v>38</v>
      </c>
      <c r="E575" s="297">
        <v>2</v>
      </c>
      <c r="F575" s="297">
        <v>0</v>
      </c>
      <c r="G575" s="297"/>
      <c r="H575" s="298"/>
      <c r="I575" s="299" t="s">
        <v>882</v>
      </c>
    </row>
    <row r="576" spans="1:9" x14ac:dyDescent="0.2">
      <c r="A576" s="296"/>
      <c r="B576" s="297"/>
      <c r="C576" s="297"/>
      <c r="D576" s="297" t="s">
        <v>38</v>
      </c>
      <c r="E576" s="297">
        <v>2</v>
      </c>
      <c r="F576" s="297" t="s">
        <v>870</v>
      </c>
      <c r="G576" s="297"/>
      <c r="H576" s="298"/>
      <c r="I576" s="299" t="s">
        <v>883</v>
      </c>
    </row>
    <row r="577" spans="1:9" x14ac:dyDescent="0.2">
      <c r="A577" s="296"/>
      <c r="B577" s="297"/>
      <c r="C577" s="297"/>
      <c r="D577" s="297" t="s">
        <v>38</v>
      </c>
      <c r="E577" s="297">
        <v>2</v>
      </c>
      <c r="F577" s="297">
        <v>0</v>
      </c>
      <c r="G577" s="297"/>
      <c r="H577" s="298"/>
      <c r="I577" s="299" t="s">
        <v>884</v>
      </c>
    </row>
    <row r="578" spans="1:9" x14ac:dyDescent="0.2">
      <c r="A578" s="296"/>
      <c r="B578" s="297"/>
      <c r="C578" s="297"/>
      <c r="D578" s="297" t="s">
        <v>38</v>
      </c>
      <c r="E578" s="297">
        <v>2</v>
      </c>
      <c r="F578" s="297">
        <v>0</v>
      </c>
      <c r="G578" s="297"/>
      <c r="H578" s="298"/>
      <c r="I578" s="299" t="s">
        <v>885</v>
      </c>
    </row>
    <row r="579" spans="1:9" x14ac:dyDescent="0.2">
      <c r="A579" s="296"/>
      <c r="B579" s="297"/>
      <c r="C579" s="297"/>
      <c r="D579" s="297" t="s">
        <v>38</v>
      </c>
      <c r="E579" s="297">
        <v>2</v>
      </c>
      <c r="F579" s="297">
        <v>0</v>
      </c>
      <c r="G579" s="297"/>
      <c r="H579" s="298"/>
      <c r="I579" s="299" t="s">
        <v>886</v>
      </c>
    </row>
    <row r="580" spans="1:9" x14ac:dyDescent="0.2">
      <c r="A580" s="296"/>
      <c r="B580" s="297"/>
      <c r="C580" s="297"/>
      <c r="D580" s="297" t="s">
        <v>38</v>
      </c>
      <c r="E580" s="297">
        <v>2</v>
      </c>
      <c r="F580" s="297">
        <v>0</v>
      </c>
      <c r="G580" s="297"/>
      <c r="H580" s="298"/>
      <c r="I580" s="299" t="s">
        <v>887</v>
      </c>
    </row>
    <row r="581" spans="1:9" x14ac:dyDescent="0.2">
      <c r="A581" s="296"/>
      <c r="B581" s="297"/>
      <c r="C581" s="297"/>
      <c r="D581" s="297" t="s">
        <v>38</v>
      </c>
      <c r="E581" s="297">
        <v>2</v>
      </c>
      <c r="F581" s="297">
        <v>0</v>
      </c>
      <c r="G581" s="297"/>
      <c r="H581" s="298"/>
      <c r="I581" s="299" t="s">
        <v>888</v>
      </c>
    </row>
    <row r="582" spans="1:9" x14ac:dyDescent="0.2">
      <c r="A582" s="296"/>
      <c r="B582" s="297"/>
      <c r="C582" s="297"/>
      <c r="D582" s="297" t="s">
        <v>38</v>
      </c>
      <c r="E582" s="297">
        <v>2</v>
      </c>
      <c r="F582" s="297">
        <v>0</v>
      </c>
      <c r="G582" s="297"/>
      <c r="H582" s="298"/>
      <c r="I582" s="299" t="s">
        <v>889</v>
      </c>
    </row>
    <row r="583" spans="1:9" x14ac:dyDescent="0.2">
      <c r="A583" s="296"/>
      <c r="B583" s="297"/>
      <c r="C583" s="297"/>
      <c r="D583" s="297" t="s">
        <v>38</v>
      </c>
      <c r="E583" s="297">
        <v>2</v>
      </c>
      <c r="F583" s="297">
        <v>3</v>
      </c>
      <c r="G583" s="297"/>
      <c r="H583" s="298"/>
      <c r="I583" s="299" t="s">
        <v>890</v>
      </c>
    </row>
    <row r="584" spans="1:9" x14ac:dyDescent="0.2">
      <c r="A584" s="296"/>
      <c r="B584" s="297"/>
      <c r="C584" s="297"/>
      <c r="D584" s="297" t="s">
        <v>38</v>
      </c>
      <c r="E584" s="297">
        <v>1</v>
      </c>
      <c r="F584" s="297">
        <v>0</v>
      </c>
      <c r="G584" s="297"/>
      <c r="H584" s="298"/>
      <c r="I584" s="299" t="s">
        <v>891</v>
      </c>
    </row>
    <row r="585" spans="1:9" x14ac:dyDescent="0.2">
      <c r="A585" s="296"/>
      <c r="B585" s="297"/>
      <c r="C585" s="297"/>
      <c r="D585" s="297" t="s">
        <v>38</v>
      </c>
      <c r="E585" s="297">
        <v>1</v>
      </c>
      <c r="F585" s="297">
        <v>0</v>
      </c>
      <c r="G585" s="297"/>
      <c r="H585" s="298"/>
      <c r="I585" s="299" t="s">
        <v>892</v>
      </c>
    </row>
    <row r="586" spans="1:9" x14ac:dyDescent="0.2">
      <c r="A586" s="296"/>
      <c r="B586" s="297"/>
      <c r="C586" s="297"/>
      <c r="D586" s="297" t="s">
        <v>38</v>
      </c>
      <c r="E586" s="297">
        <v>1</v>
      </c>
      <c r="F586" s="297">
        <v>2</v>
      </c>
      <c r="G586" s="297"/>
      <c r="H586" s="298"/>
      <c r="I586" s="299" t="s">
        <v>893</v>
      </c>
    </row>
    <row r="587" spans="1:9" x14ac:dyDescent="0.2">
      <c r="A587" s="296"/>
      <c r="B587" s="297"/>
      <c r="C587" s="297"/>
      <c r="D587" s="297" t="s">
        <v>38</v>
      </c>
      <c r="E587" s="297">
        <v>1</v>
      </c>
      <c r="F587" s="297">
        <v>3</v>
      </c>
      <c r="G587" s="297"/>
      <c r="H587" s="298"/>
      <c r="I587" s="299" t="s">
        <v>894</v>
      </c>
    </row>
    <row r="588" spans="1:9" x14ac:dyDescent="0.2">
      <c r="A588" s="296"/>
      <c r="B588" s="297"/>
      <c r="C588" s="297"/>
      <c r="D588" s="297" t="s">
        <v>38</v>
      </c>
      <c r="E588" s="297">
        <v>1</v>
      </c>
      <c r="F588" s="297">
        <v>1</v>
      </c>
      <c r="G588" s="297"/>
      <c r="H588" s="298"/>
      <c r="I588" s="299" t="s">
        <v>895</v>
      </c>
    </row>
    <row r="589" spans="1:9" x14ac:dyDescent="0.2">
      <c r="A589" s="296"/>
      <c r="B589" s="297"/>
      <c r="C589" s="297"/>
      <c r="D589" s="297" t="s">
        <v>38</v>
      </c>
      <c r="E589" s="297">
        <v>2</v>
      </c>
      <c r="F589" s="297">
        <v>32775</v>
      </c>
      <c r="G589" s="297"/>
      <c r="H589" s="298"/>
      <c r="I589" s="299" t="s">
        <v>896</v>
      </c>
    </row>
    <row r="590" spans="1:9" x14ac:dyDescent="0.2">
      <c r="A590" s="296"/>
      <c r="B590" s="297"/>
      <c r="C590" s="297"/>
      <c r="D590" s="297" t="s">
        <v>39</v>
      </c>
      <c r="E590" s="297">
        <v>50</v>
      </c>
      <c r="F590" s="297" t="s">
        <v>458</v>
      </c>
      <c r="G590" s="297"/>
      <c r="H590" s="298"/>
      <c r="I590" s="299" t="s">
        <v>897</v>
      </c>
    </row>
    <row r="591" spans="1:9" x14ac:dyDescent="0.2">
      <c r="A591" s="296"/>
      <c r="B591" s="297"/>
      <c r="C591" s="297"/>
      <c r="D591" s="297" t="s">
        <v>39</v>
      </c>
      <c r="E591" s="297">
        <v>50</v>
      </c>
      <c r="F591" s="297"/>
      <c r="G591" s="297"/>
      <c r="H591" s="298"/>
      <c r="I591" s="299" t="s">
        <v>898</v>
      </c>
    </row>
    <row r="592" spans="1:9" x14ac:dyDescent="0.2">
      <c r="A592" s="296"/>
      <c r="B592" s="297"/>
      <c r="C592" s="297"/>
      <c r="D592" s="297" t="s">
        <v>39</v>
      </c>
      <c r="E592" s="297">
        <v>50</v>
      </c>
      <c r="F592" s="297"/>
      <c r="G592" s="297"/>
      <c r="H592" s="298"/>
      <c r="I592" s="299" t="s">
        <v>899</v>
      </c>
    </row>
    <row r="593" spans="1:9" x14ac:dyDescent="0.2">
      <c r="A593" s="296"/>
      <c r="B593" s="297"/>
      <c r="C593" s="297"/>
      <c r="D593" s="297" t="s">
        <v>39</v>
      </c>
      <c r="E593" s="297">
        <v>754</v>
      </c>
      <c r="F593" s="297"/>
      <c r="G593" s="297"/>
      <c r="H593" s="298"/>
      <c r="I593" s="299" t="s">
        <v>418</v>
      </c>
    </row>
    <row r="594" spans="1:9" x14ac:dyDescent="0.2">
      <c r="A594" s="296" t="s">
        <v>900</v>
      </c>
      <c r="B594" s="297" t="s">
        <v>901</v>
      </c>
      <c r="C594" s="297" t="s">
        <v>52</v>
      </c>
      <c r="D594" s="297"/>
      <c r="E594" s="297"/>
      <c r="F594" s="297"/>
      <c r="G594" s="297" t="s">
        <v>162</v>
      </c>
      <c r="H594" s="298"/>
      <c r="I594" s="299">
        <v>71581</v>
      </c>
    </row>
    <row r="595" spans="1:9" x14ac:dyDescent="0.2">
      <c r="A595" s="296"/>
      <c r="B595" s="297"/>
      <c r="C595" s="297"/>
      <c r="D595" s="297" t="s">
        <v>38</v>
      </c>
      <c r="E595" s="297">
        <v>1</v>
      </c>
      <c r="F595" s="297"/>
      <c r="G595" s="297"/>
      <c r="H595" s="298"/>
      <c r="I595" s="299" t="s">
        <v>772</v>
      </c>
    </row>
    <row r="596" spans="1:9" x14ac:dyDescent="0.2">
      <c r="A596" s="296"/>
      <c r="B596" s="297"/>
      <c r="C596" s="297"/>
      <c r="D596" s="297" t="s">
        <v>38</v>
      </c>
      <c r="E596" s="297">
        <v>4</v>
      </c>
      <c r="F596" s="297"/>
      <c r="G596" s="297"/>
      <c r="H596" s="298"/>
      <c r="I596" s="299" t="s">
        <v>902</v>
      </c>
    </row>
    <row r="597" spans="1:9" x14ac:dyDescent="0.2">
      <c r="A597" s="296"/>
      <c r="B597" s="297"/>
      <c r="C597" s="297"/>
      <c r="D597" s="297" t="s">
        <v>38</v>
      </c>
      <c r="E597" s="297">
        <v>4</v>
      </c>
      <c r="F597" s="297"/>
      <c r="G597" s="297"/>
      <c r="H597" s="298"/>
      <c r="I597" s="299" t="s">
        <v>903</v>
      </c>
    </row>
    <row r="598" spans="1:9" x14ac:dyDescent="0.2">
      <c r="A598" s="296"/>
      <c r="B598" s="297"/>
      <c r="C598" s="297"/>
      <c r="D598" s="297" t="s">
        <v>38</v>
      </c>
      <c r="E598" s="297">
        <v>2</v>
      </c>
      <c r="F598" s="297"/>
      <c r="G598" s="297"/>
      <c r="H598" s="298"/>
      <c r="I598" s="299" t="s">
        <v>904</v>
      </c>
    </row>
    <row r="599" spans="1:9" x14ac:dyDescent="0.2">
      <c r="A599" s="296"/>
      <c r="B599" s="297"/>
      <c r="C599" s="297"/>
      <c r="D599" s="297" t="s">
        <v>38</v>
      </c>
      <c r="E599" s="297">
        <v>2</v>
      </c>
      <c r="F599" s="297"/>
      <c r="G599" s="297"/>
      <c r="H599" s="298"/>
      <c r="I599" s="299" t="s">
        <v>905</v>
      </c>
    </row>
    <row r="600" spans="1:9" x14ac:dyDescent="0.2">
      <c r="A600" s="296"/>
      <c r="B600" s="297"/>
      <c r="C600" s="297"/>
      <c r="D600" s="297" t="s">
        <v>38</v>
      </c>
      <c r="E600" s="297">
        <v>499</v>
      </c>
      <c r="F600" s="297"/>
      <c r="G600" s="297"/>
      <c r="H600" s="298"/>
      <c r="I600" s="299" t="s">
        <v>906</v>
      </c>
    </row>
    <row r="601" spans="1:9" x14ac:dyDescent="0.2">
      <c r="A601" s="296" t="s">
        <v>907</v>
      </c>
      <c r="B601" s="297" t="s">
        <v>908</v>
      </c>
      <c r="C601" s="297" t="s">
        <v>52</v>
      </c>
      <c r="D601" s="297"/>
      <c r="E601" s="297"/>
      <c r="F601" s="297"/>
      <c r="G601" s="297" t="s">
        <v>162</v>
      </c>
      <c r="H601" s="298"/>
      <c r="I601" s="299">
        <v>71545</v>
      </c>
    </row>
    <row r="602" spans="1:9" x14ac:dyDescent="0.2">
      <c r="A602" s="296"/>
      <c r="B602" s="297"/>
      <c r="C602" s="297"/>
      <c r="D602" s="297" t="s">
        <v>38</v>
      </c>
      <c r="E602" s="297">
        <v>1</v>
      </c>
      <c r="F602" s="297">
        <v>0</v>
      </c>
      <c r="G602" s="297"/>
      <c r="H602" s="298"/>
      <c r="I602" s="299" t="s">
        <v>356</v>
      </c>
    </row>
    <row r="603" spans="1:9" x14ac:dyDescent="0.2">
      <c r="A603" s="296" t="s">
        <v>909</v>
      </c>
      <c r="B603" s="297" t="s">
        <v>910</v>
      </c>
      <c r="C603" s="297" t="s">
        <v>52</v>
      </c>
      <c r="D603" s="297"/>
      <c r="E603" s="297"/>
      <c r="F603" s="297"/>
      <c r="G603" s="297" t="s">
        <v>162</v>
      </c>
      <c r="H603" s="298"/>
      <c r="I603" s="299">
        <v>71544</v>
      </c>
    </row>
    <row r="604" spans="1:9" x14ac:dyDescent="0.2">
      <c r="A604" s="296"/>
      <c r="B604" s="297"/>
      <c r="C604" s="297"/>
      <c r="D604" s="297" t="s">
        <v>38</v>
      </c>
      <c r="E604" s="297">
        <v>1</v>
      </c>
      <c r="F604" s="297">
        <v>0</v>
      </c>
      <c r="G604" s="297"/>
      <c r="H604" s="298"/>
      <c r="I604" s="299" t="s">
        <v>356</v>
      </c>
    </row>
    <row r="605" spans="1:9" x14ac:dyDescent="0.2">
      <c r="A605" s="296"/>
      <c r="B605" s="297"/>
      <c r="C605" s="297"/>
      <c r="D605" s="297" t="s">
        <v>39</v>
      </c>
      <c r="E605" s="297">
        <v>24</v>
      </c>
      <c r="F605" s="297"/>
      <c r="G605" s="297"/>
      <c r="H605" s="298"/>
      <c r="I605" s="299" t="s">
        <v>911</v>
      </c>
    </row>
    <row r="606" spans="1:9" x14ac:dyDescent="0.2">
      <c r="A606" s="296" t="s">
        <v>912</v>
      </c>
      <c r="B606" s="297" t="s">
        <v>913</v>
      </c>
      <c r="C606" s="297" t="s">
        <v>52</v>
      </c>
      <c r="D606" s="297"/>
      <c r="E606" s="297"/>
      <c r="F606" s="297"/>
      <c r="G606" s="297" t="s">
        <v>162</v>
      </c>
      <c r="H606" s="298"/>
      <c r="I606" s="299">
        <v>71540</v>
      </c>
    </row>
    <row r="607" spans="1:9" x14ac:dyDescent="0.2">
      <c r="A607" s="296"/>
      <c r="B607" s="297"/>
      <c r="C607" s="297"/>
      <c r="D607" s="297" t="s">
        <v>38</v>
      </c>
      <c r="E607" s="297">
        <v>1</v>
      </c>
      <c r="F607" s="297">
        <v>0</v>
      </c>
      <c r="G607" s="297"/>
      <c r="H607" s="298"/>
      <c r="I607" s="299" t="s">
        <v>356</v>
      </c>
    </row>
    <row r="608" spans="1:9" x14ac:dyDescent="0.2">
      <c r="A608" s="296"/>
      <c r="B608" s="297"/>
      <c r="C608" s="297"/>
      <c r="D608" s="297" t="s">
        <v>38</v>
      </c>
      <c r="E608" s="297">
        <v>1</v>
      </c>
      <c r="F608" s="297">
        <v>0</v>
      </c>
      <c r="G608" s="297"/>
      <c r="H608" s="298"/>
      <c r="I608" s="299" t="s">
        <v>914</v>
      </c>
    </row>
    <row r="609" spans="1:9" x14ac:dyDescent="0.2">
      <c r="A609" s="296"/>
      <c r="B609" s="297"/>
      <c r="C609" s="297"/>
      <c r="D609" s="297" t="s">
        <v>38</v>
      </c>
      <c r="E609" s="297">
        <v>509</v>
      </c>
      <c r="F609" s="297"/>
      <c r="G609" s="297"/>
      <c r="H609" s="298"/>
      <c r="I609" s="299" t="s">
        <v>418</v>
      </c>
    </row>
    <row r="610" spans="1:9" x14ac:dyDescent="0.2">
      <c r="A610" s="296" t="s">
        <v>915</v>
      </c>
      <c r="B610" s="297" t="s">
        <v>916</v>
      </c>
      <c r="C610" s="297" t="s">
        <v>52</v>
      </c>
      <c r="D610" s="297"/>
      <c r="E610" s="297"/>
      <c r="F610" s="297"/>
      <c r="G610" s="297" t="s">
        <v>162</v>
      </c>
      <c r="H610" s="298"/>
      <c r="I610" s="299">
        <v>71572</v>
      </c>
    </row>
    <row r="611" spans="1:9" x14ac:dyDescent="0.2">
      <c r="A611" s="296"/>
      <c r="B611" s="297"/>
      <c r="C611" s="297"/>
      <c r="D611" s="297" t="s">
        <v>38</v>
      </c>
      <c r="E611" s="297">
        <v>4</v>
      </c>
      <c r="F611" s="297">
        <v>6000</v>
      </c>
      <c r="G611" s="297"/>
      <c r="H611" s="298"/>
      <c r="I611" s="299" t="s">
        <v>917</v>
      </c>
    </row>
    <row r="612" spans="1:9" x14ac:dyDescent="0.2">
      <c r="A612" s="296" t="s">
        <v>918</v>
      </c>
      <c r="B612" s="297" t="s">
        <v>919</v>
      </c>
      <c r="C612" s="297" t="s">
        <v>52</v>
      </c>
      <c r="D612" s="297"/>
      <c r="E612" s="297"/>
      <c r="F612" s="297"/>
      <c r="G612" s="297" t="s">
        <v>162</v>
      </c>
      <c r="H612" s="298"/>
      <c r="I612" s="299">
        <v>65958</v>
      </c>
    </row>
    <row r="613" spans="1:9" x14ac:dyDescent="0.2">
      <c r="A613" s="296"/>
      <c r="B613" s="297"/>
      <c r="C613" s="297"/>
      <c r="D613" s="297" t="s">
        <v>38</v>
      </c>
      <c r="E613" s="297">
        <v>2</v>
      </c>
      <c r="F613" s="297"/>
      <c r="G613" s="297"/>
      <c r="H613" s="298"/>
      <c r="I613" s="299" t="s">
        <v>918</v>
      </c>
    </row>
    <row r="614" spans="1:9" x14ac:dyDescent="0.2">
      <c r="A614" s="296" t="s">
        <v>920</v>
      </c>
      <c r="B614" s="297" t="s">
        <v>921</v>
      </c>
      <c r="C614" s="297" t="s">
        <v>52</v>
      </c>
      <c r="D614" s="297"/>
      <c r="E614" s="297"/>
      <c r="F614" s="297"/>
      <c r="G614" s="297" t="s">
        <v>162</v>
      </c>
      <c r="H614" s="298"/>
      <c r="I614" s="299">
        <v>72553</v>
      </c>
    </row>
    <row r="615" spans="1:9" x14ac:dyDescent="0.2">
      <c r="A615" s="296"/>
      <c r="B615" s="297"/>
      <c r="C615" s="297"/>
      <c r="D615" s="297" t="s">
        <v>38</v>
      </c>
      <c r="E615" s="297">
        <v>1</v>
      </c>
      <c r="F615" s="297">
        <v>0</v>
      </c>
      <c r="G615" s="297"/>
      <c r="H615" s="298"/>
      <c r="I615" s="299" t="s">
        <v>920</v>
      </c>
    </row>
    <row r="616" spans="1:9" x14ac:dyDescent="0.2">
      <c r="A616" s="296" t="s">
        <v>922</v>
      </c>
      <c r="B616" s="297" t="s">
        <v>923</v>
      </c>
      <c r="C616" s="297" t="s">
        <v>52</v>
      </c>
      <c r="D616" s="297"/>
      <c r="E616" s="297"/>
      <c r="F616" s="297"/>
      <c r="G616" s="297" t="s">
        <v>162</v>
      </c>
      <c r="H616" s="298"/>
      <c r="I616" s="299">
        <v>71597</v>
      </c>
    </row>
    <row r="617" spans="1:9" x14ac:dyDescent="0.2">
      <c r="A617" s="296"/>
      <c r="B617" s="297"/>
      <c r="C617" s="297"/>
      <c r="D617" s="297" t="s">
        <v>38</v>
      </c>
      <c r="E617" s="297">
        <v>1</v>
      </c>
      <c r="F617" s="297">
        <v>1</v>
      </c>
      <c r="G617" s="297"/>
      <c r="H617" s="298"/>
      <c r="I617" s="299" t="s">
        <v>356</v>
      </c>
    </row>
    <row r="618" spans="1:9" x14ac:dyDescent="0.2">
      <c r="A618" s="296"/>
      <c r="B618" s="297"/>
      <c r="C618" s="297"/>
      <c r="D618" s="297" t="s">
        <v>38</v>
      </c>
      <c r="E618" s="297">
        <v>1</v>
      </c>
      <c r="F618" s="297">
        <v>1</v>
      </c>
      <c r="G618" s="297"/>
      <c r="H618" s="298"/>
      <c r="I618" s="299" t="s">
        <v>924</v>
      </c>
    </row>
    <row r="619" spans="1:9" x14ac:dyDescent="0.2">
      <c r="A619" s="296"/>
      <c r="B619" s="297"/>
      <c r="C619" s="297"/>
      <c r="D619" s="297" t="s">
        <v>38</v>
      </c>
      <c r="E619" s="297">
        <v>1</v>
      </c>
      <c r="F619" s="297">
        <v>1</v>
      </c>
      <c r="G619" s="297"/>
      <c r="H619" s="298"/>
      <c r="I619" s="299" t="s">
        <v>925</v>
      </c>
    </row>
    <row r="620" spans="1:9" x14ac:dyDescent="0.2">
      <c r="A620" s="296"/>
      <c r="B620" s="297"/>
      <c r="C620" s="297"/>
      <c r="D620" s="297" t="s">
        <v>38</v>
      </c>
      <c r="E620" s="297">
        <v>1</v>
      </c>
      <c r="F620" s="297">
        <v>0</v>
      </c>
      <c r="G620" s="297"/>
      <c r="H620" s="298"/>
      <c r="I620" s="299" t="s">
        <v>926</v>
      </c>
    </row>
    <row r="621" spans="1:9" x14ac:dyDescent="0.2">
      <c r="A621" s="296"/>
      <c r="B621" s="297"/>
      <c r="C621" s="297"/>
      <c r="D621" s="297" t="s">
        <v>38</v>
      </c>
      <c r="E621" s="297">
        <v>1</v>
      </c>
      <c r="F621" s="297">
        <v>0</v>
      </c>
      <c r="G621" s="297"/>
      <c r="H621" s="298"/>
      <c r="I621" s="299" t="s">
        <v>927</v>
      </c>
    </row>
    <row r="622" spans="1:9" x14ac:dyDescent="0.2">
      <c r="A622" s="296"/>
      <c r="B622" s="297"/>
      <c r="C622" s="297"/>
      <c r="D622" s="297" t="s">
        <v>38</v>
      </c>
      <c r="E622" s="297">
        <v>27</v>
      </c>
      <c r="F622" s="297"/>
      <c r="G622" s="297"/>
      <c r="H622" s="298"/>
      <c r="I622" s="299" t="s">
        <v>418</v>
      </c>
    </row>
    <row r="623" spans="1:9" x14ac:dyDescent="0.2">
      <c r="A623" s="296" t="s">
        <v>965</v>
      </c>
      <c r="B623" s="297" t="s">
        <v>928</v>
      </c>
      <c r="C623" s="297" t="s">
        <v>40</v>
      </c>
      <c r="D623" s="297"/>
      <c r="E623" s="297"/>
      <c r="F623" s="297"/>
      <c r="G623" s="297" t="s">
        <v>162</v>
      </c>
      <c r="H623" s="298" t="s">
        <v>929</v>
      </c>
      <c r="I623" s="299"/>
    </row>
    <row r="624" spans="1:9" x14ac:dyDescent="0.2">
      <c r="A624" s="296" t="s">
        <v>930</v>
      </c>
      <c r="B624" s="297" t="s">
        <v>931</v>
      </c>
      <c r="C624" s="297" t="s">
        <v>52</v>
      </c>
      <c r="D624" s="297"/>
      <c r="E624" s="297"/>
      <c r="F624" s="297"/>
      <c r="G624" s="297" t="s">
        <v>162</v>
      </c>
      <c r="H624" s="298"/>
      <c r="I624" s="299">
        <v>69689</v>
      </c>
    </row>
    <row r="625" spans="1:9" x14ac:dyDescent="0.2">
      <c r="A625" s="296"/>
      <c r="B625" s="297"/>
      <c r="C625" s="297"/>
      <c r="D625" s="297" t="s">
        <v>39</v>
      </c>
      <c r="E625" s="297">
        <v>1024</v>
      </c>
      <c r="F625" s="297"/>
      <c r="G625" s="297"/>
      <c r="H625" s="298"/>
      <c r="I625" s="299" t="s">
        <v>932</v>
      </c>
    </row>
    <row r="626" spans="1:9" x14ac:dyDescent="0.2">
      <c r="A626" s="296" t="s">
        <v>933</v>
      </c>
      <c r="B626" s="297" t="s">
        <v>934</v>
      </c>
      <c r="C626" s="297" t="s">
        <v>52</v>
      </c>
      <c r="D626" s="297"/>
      <c r="E626" s="297"/>
      <c r="F626" s="297"/>
      <c r="G626" s="297" t="s">
        <v>162</v>
      </c>
      <c r="H626" s="298"/>
      <c r="I626" s="299">
        <v>67283</v>
      </c>
    </row>
    <row r="627" spans="1:9" x14ac:dyDescent="0.2">
      <c r="A627" s="296"/>
      <c r="B627" s="297"/>
      <c r="C627" s="297"/>
      <c r="D627" s="297" t="s">
        <v>38</v>
      </c>
      <c r="E627" s="297">
        <v>1</v>
      </c>
      <c r="F627" s="297">
        <v>1</v>
      </c>
      <c r="G627" s="297"/>
      <c r="H627" s="298"/>
      <c r="I627" s="299" t="s">
        <v>935</v>
      </c>
    </row>
    <row r="628" spans="1:9" x14ac:dyDescent="0.2">
      <c r="A628" s="296" t="s">
        <v>936</v>
      </c>
      <c r="B628" s="297" t="s">
        <v>937</v>
      </c>
      <c r="C628" s="297" t="s">
        <v>52</v>
      </c>
      <c r="D628" s="297"/>
      <c r="E628" s="297"/>
      <c r="F628" s="297"/>
      <c r="G628" s="297" t="s">
        <v>162</v>
      </c>
      <c r="H628" s="298"/>
      <c r="I628" s="299">
        <v>67284</v>
      </c>
    </row>
    <row r="629" spans="1:9" x14ac:dyDescent="0.2">
      <c r="A629" s="296"/>
      <c r="B629" s="297"/>
      <c r="C629" s="297"/>
      <c r="D629" s="297" t="s">
        <v>38</v>
      </c>
      <c r="E629" s="297">
        <v>1</v>
      </c>
      <c r="F629" s="297">
        <v>1</v>
      </c>
      <c r="G629" s="297"/>
      <c r="H629" s="298"/>
      <c r="I629" s="299" t="s">
        <v>938</v>
      </c>
    </row>
    <row r="630" spans="1:9" ht="25.5" x14ac:dyDescent="0.2">
      <c r="A630" s="296" t="s">
        <v>939</v>
      </c>
      <c r="B630" s="297"/>
      <c r="C630" s="297"/>
      <c r="D630" s="297"/>
      <c r="E630" s="297"/>
      <c r="F630" s="297"/>
      <c r="G630" s="297"/>
      <c r="H630" s="298"/>
      <c r="I630" s="299">
        <v>70235</v>
      </c>
    </row>
    <row r="631" spans="1:9" ht="25.5" x14ac:dyDescent="0.2">
      <c r="A631" s="296"/>
      <c r="B631" s="297"/>
      <c r="C631" s="297"/>
      <c r="D631" s="297" t="s">
        <v>940</v>
      </c>
      <c r="E631" s="297"/>
      <c r="F631" s="297" t="s">
        <v>941</v>
      </c>
      <c r="G631" s="297" t="s">
        <v>941</v>
      </c>
      <c r="H631" s="298"/>
      <c r="I631" s="299" t="s">
        <v>415</v>
      </c>
    </row>
    <row r="632" spans="1:9" x14ac:dyDescent="0.2">
      <c r="A632" s="296"/>
      <c r="B632" s="297"/>
      <c r="C632" s="297"/>
      <c r="D632" s="297" t="s">
        <v>942</v>
      </c>
      <c r="E632" s="297"/>
      <c r="F632" s="297" t="s">
        <v>943</v>
      </c>
      <c r="G632" s="297" t="s">
        <v>943</v>
      </c>
      <c r="H632" s="298"/>
      <c r="I632" s="299" t="s">
        <v>944</v>
      </c>
    </row>
    <row r="633" spans="1:9" ht="25.5" x14ac:dyDescent="0.2">
      <c r="A633" s="296"/>
      <c r="B633" s="297"/>
      <c r="C633" s="297"/>
      <c r="D633" s="297" t="s">
        <v>942</v>
      </c>
      <c r="E633" s="297"/>
      <c r="F633" s="297" t="s">
        <v>945</v>
      </c>
      <c r="G633" s="297" t="s">
        <v>945</v>
      </c>
      <c r="H633" s="298"/>
      <c r="I633" s="299" t="s">
        <v>946</v>
      </c>
    </row>
    <row r="634" spans="1:9" ht="25.5" x14ac:dyDescent="0.2">
      <c r="A634" s="296"/>
      <c r="B634" s="297"/>
      <c r="C634" s="297"/>
      <c r="D634" s="297" t="s">
        <v>942</v>
      </c>
      <c r="E634" s="297"/>
      <c r="F634" s="297" t="s">
        <v>945</v>
      </c>
      <c r="G634" s="297" t="s">
        <v>945</v>
      </c>
      <c r="H634" s="298"/>
      <c r="I634" s="299" t="s">
        <v>947</v>
      </c>
    </row>
    <row r="635" spans="1:9" ht="25.5" x14ac:dyDescent="0.2">
      <c r="A635" s="296"/>
      <c r="B635" s="297"/>
      <c r="C635" s="297"/>
      <c r="D635" s="297" t="s">
        <v>940</v>
      </c>
      <c r="E635" s="297"/>
      <c r="F635" s="297" t="s">
        <v>945</v>
      </c>
      <c r="G635" s="297" t="s">
        <v>945</v>
      </c>
      <c r="H635" s="298"/>
      <c r="I635" s="299" t="s">
        <v>948</v>
      </c>
    </row>
    <row r="636" spans="1:9" ht="25.5" x14ac:dyDescent="0.2">
      <c r="A636" s="296"/>
      <c r="B636" s="297"/>
      <c r="C636" s="297"/>
      <c r="D636" s="297" t="s">
        <v>942</v>
      </c>
      <c r="E636" s="297"/>
      <c r="F636" s="297" t="s">
        <v>945</v>
      </c>
      <c r="G636" s="297" t="s">
        <v>945</v>
      </c>
      <c r="H636" s="298"/>
      <c r="I636" s="299" t="s">
        <v>949</v>
      </c>
    </row>
    <row r="637" spans="1:9" ht="25.5" x14ac:dyDescent="0.2">
      <c r="A637" s="296"/>
      <c r="B637" s="297"/>
      <c r="C637" s="297"/>
      <c r="D637" s="297" t="s">
        <v>950</v>
      </c>
      <c r="E637" s="297"/>
      <c r="F637" s="297" t="s">
        <v>945</v>
      </c>
      <c r="G637" s="297" t="s">
        <v>945</v>
      </c>
      <c r="H637" s="298"/>
      <c r="I637" s="299" t="s">
        <v>951</v>
      </c>
    </row>
    <row r="638" spans="1:9" ht="51" x14ac:dyDescent="0.2">
      <c r="A638" s="296"/>
      <c r="B638" s="297"/>
      <c r="C638" s="297"/>
      <c r="D638" s="297" t="s">
        <v>952</v>
      </c>
      <c r="E638" s="297"/>
      <c r="F638" s="297" t="s">
        <v>953</v>
      </c>
      <c r="G638" s="297" t="s">
        <v>954</v>
      </c>
      <c r="H638" s="298"/>
      <c r="I638" s="299" t="s">
        <v>955</v>
      </c>
    </row>
    <row r="639" spans="1:9" x14ac:dyDescent="0.2">
      <c r="A639" s="296" t="s">
        <v>956</v>
      </c>
      <c r="B639" s="297" t="s">
        <v>957</v>
      </c>
      <c r="C639" s="297" t="s">
        <v>52</v>
      </c>
      <c r="D639" s="297"/>
      <c r="E639" s="297"/>
      <c r="F639" s="297"/>
      <c r="G639" s="297" t="s">
        <v>162</v>
      </c>
      <c r="H639" s="298"/>
      <c r="I639" s="299">
        <v>73538</v>
      </c>
    </row>
    <row r="640" spans="1:9" x14ac:dyDescent="0.2">
      <c r="A640" s="296"/>
      <c r="B640" s="297"/>
      <c r="C640" s="297"/>
      <c r="D640" s="297" t="s">
        <v>38</v>
      </c>
      <c r="E640" s="297">
        <v>1</v>
      </c>
      <c r="F640" s="297">
        <v>1</v>
      </c>
      <c r="G640" s="297"/>
      <c r="H640" s="298"/>
      <c r="I640" s="299" t="s">
        <v>958</v>
      </c>
    </row>
    <row r="641" spans="1:9" ht="13.5" thickBot="1" x14ac:dyDescent="0.25">
      <c r="A641" s="300"/>
      <c r="B641" s="301"/>
      <c r="C641" s="301"/>
      <c r="D641" s="301" t="s">
        <v>38</v>
      </c>
      <c r="E641" s="301">
        <v>1</v>
      </c>
      <c r="F641" s="301">
        <v>1</v>
      </c>
      <c r="G641" s="301"/>
      <c r="H641" s="302"/>
      <c r="I641" s="303" t="s">
        <v>959</v>
      </c>
    </row>
    <row r="642" spans="1:9" ht="13.5" thickBot="1" x14ac:dyDescent="0.25">
      <c r="A642" s="24"/>
      <c r="B642" s="24"/>
      <c r="C642" s="304"/>
      <c r="D642" s="258"/>
      <c r="E642" s="258"/>
      <c r="F642" s="304"/>
      <c r="G642" s="258"/>
      <c r="H642" s="305"/>
    </row>
    <row r="643" spans="1:9" ht="19.5" x14ac:dyDescent="0.4">
      <c r="A643" s="336" t="s">
        <v>55</v>
      </c>
      <c r="B643" s="337"/>
      <c r="C643" s="337"/>
      <c r="D643" s="337"/>
      <c r="E643" s="337"/>
      <c r="F643" s="337"/>
      <c r="G643" s="337"/>
      <c r="H643" s="338"/>
    </row>
    <row r="644" spans="1:9" ht="17.25" x14ac:dyDescent="0.35">
      <c r="A644" s="306" t="s">
        <v>72</v>
      </c>
      <c r="B644" s="306"/>
      <c r="C644" s="306" t="s">
        <v>35</v>
      </c>
      <c r="D644" s="306" t="s">
        <v>73</v>
      </c>
      <c r="E644" s="306" t="s">
        <v>74</v>
      </c>
      <c r="F644" s="306" t="s">
        <v>75</v>
      </c>
      <c r="G644" s="306" t="s">
        <v>43</v>
      </c>
      <c r="H644" s="307"/>
    </row>
    <row r="645" spans="1:9" ht="17.25" x14ac:dyDescent="0.2">
      <c r="A645" s="308" t="s">
        <v>71</v>
      </c>
      <c r="B645" s="308"/>
      <c r="C645" s="309" t="s">
        <v>56</v>
      </c>
      <c r="D645" s="309"/>
      <c r="E645" s="309"/>
      <c r="F645" s="309"/>
      <c r="G645" s="309" t="s">
        <v>23</v>
      </c>
      <c r="H645" s="308"/>
    </row>
    <row r="646" spans="1:9" ht="17.25" x14ac:dyDescent="0.2">
      <c r="A646" s="308" t="s">
        <v>57</v>
      </c>
      <c r="B646" s="308"/>
      <c r="C646" s="309"/>
      <c r="D646" s="309" t="s">
        <v>38</v>
      </c>
      <c r="E646" s="309">
        <v>1</v>
      </c>
      <c r="F646" s="309">
        <v>0</v>
      </c>
      <c r="G646" s="309"/>
      <c r="H646" s="308"/>
    </row>
    <row r="647" spans="1:9" ht="17.25" x14ac:dyDescent="0.2">
      <c r="A647" s="308" t="s">
        <v>58</v>
      </c>
      <c r="B647" s="308"/>
      <c r="C647" s="309"/>
      <c r="D647" s="309" t="s">
        <v>38</v>
      </c>
      <c r="E647" s="309">
        <v>2</v>
      </c>
      <c r="F647" s="309">
        <v>2</v>
      </c>
      <c r="G647" s="309"/>
      <c r="H647" s="308"/>
    </row>
    <row r="648" spans="1:9" ht="17.25" x14ac:dyDescent="0.2">
      <c r="A648" s="308" t="s">
        <v>59</v>
      </c>
      <c r="B648" s="308"/>
      <c r="C648" s="309"/>
      <c r="D648" s="309" t="s">
        <v>38</v>
      </c>
      <c r="E648" s="309">
        <v>2</v>
      </c>
      <c r="F648" s="309" t="s">
        <v>76</v>
      </c>
      <c r="G648" s="309"/>
      <c r="H648" s="308"/>
    </row>
    <row r="649" spans="1:9" ht="17.25" x14ac:dyDescent="0.2">
      <c r="A649" s="308" t="s">
        <v>60</v>
      </c>
      <c r="B649" s="308"/>
      <c r="C649" s="309"/>
      <c r="D649" s="309" t="s">
        <v>38</v>
      </c>
      <c r="E649" s="309">
        <v>1</v>
      </c>
      <c r="F649" s="309" t="s">
        <v>4</v>
      </c>
      <c r="G649" s="309"/>
      <c r="H649" s="308"/>
    </row>
    <row r="650" spans="1:9" ht="17.25" x14ac:dyDescent="0.2">
      <c r="A650" s="308" t="s">
        <v>61</v>
      </c>
      <c r="B650" s="308"/>
      <c r="C650" s="309"/>
      <c r="D650" s="309" t="s">
        <v>38</v>
      </c>
      <c r="E650" s="309">
        <v>2</v>
      </c>
      <c r="F650" s="309">
        <v>4</v>
      </c>
      <c r="G650" s="309"/>
      <c r="H650" s="308"/>
    </row>
    <row r="651" spans="1:9" ht="17.25" x14ac:dyDescent="0.2">
      <c r="A651" s="310" t="s">
        <v>62</v>
      </c>
      <c r="B651" s="310"/>
      <c r="C651" s="311"/>
      <c r="D651" s="311" t="s">
        <v>38</v>
      </c>
      <c r="E651" s="311">
        <f>F650</f>
        <v>4</v>
      </c>
      <c r="F651" s="312" t="s">
        <v>985</v>
      </c>
      <c r="G651" s="309"/>
      <c r="H651" s="308"/>
      <c r="I651" s="30"/>
    </row>
    <row r="652" spans="1:9" ht="17.25" x14ac:dyDescent="0.2">
      <c r="A652" s="308" t="s">
        <v>63</v>
      </c>
      <c r="B652" s="308"/>
      <c r="C652" s="309"/>
      <c r="D652" s="309" t="s">
        <v>38</v>
      </c>
      <c r="E652" s="309">
        <v>1</v>
      </c>
      <c r="F652" s="309" t="s">
        <v>5</v>
      </c>
      <c r="G652" s="309"/>
      <c r="H652" s="308"/>
    </row>
    <row r="653" spans="1:9" ht="17.25" x14ac:dyDescent="0.2">
      <c r="A653" s="308" t="s">
        <v>64</v>
      </c>
      <c r="B653" s="308"/>
      <c r="C653" s="309"/>
      <c r="D653" s="309" t="s">
        <v>38</v>
      </c>
      <c r="E653" s="309">
        <v>2</v>
      </c>
      <c r="F653" s="309">
        <f>LEN(F654)</f>
        <v>8</v>
      </c>
      <c r="G653" s="309"/>
      <c r="H653" s="308"/>
    </row>
    <row r="654" spans="1:9" ht="17.25" x14ac:dyDescent="0.2">
      <c r="A654" s="308" t="s">
        <v>65</v>
      </c>
      <c r="B654" s="308"/>
      <c r="C654" s="309"/>
      <c r="D654" s="309" t="s">
        <v>39</v>
      </c>
      <c r="E654" s="309">
        <f>F653</f>
        <v>8</v>
      </c>
      <c r="F654" s="309" t="s">
        <v>388</v>
      </c>
      <c r="G654" s="309"/>
      <c r="H654" s="308" t="s">
        <v>138</v>
      </c>
    </row>
    <row r="655" spans="1:9" ht="17.25" x14ac:dyDescent="0.2">
      <c r="A655" s="308" t="s">
        <v>66</v>
      </c>
      <c r="B655" s="308"/>
      <c r="C655" s="309"/>
      <c r="D655" s="309" t="s">
        <v>38</v>
      </c>
      <c r="E655" s="309">
        <v>1</v>
      </c>
      <c r="F655" s="309" t="s">
        <v>77</v>
      </c>
      <c r="G655" s="309"/>
      <c r="H655" s="308"/>
    </row>
    <row r="656" spans="1:9" ht="17.25" x14ac:dyDescent="0.2">
      <c r="A656" s="308" t="s">
        <v>67</v>
      </c>
      <c r="B656" s="308"/>
      <c r="C656" s="309"/>
      <c r="D656" s="309" t="s">
        <v>38</v>
      </c>
      <c r="E656" s="309">
        <v>2</v>
      </c>
      <c r="F656" s="309">
        <f>SUM(E657:E658)+F658*E659</f>
        <v>14</v>
      </c>
      <c r="G656" s="309"/>
      <c r="H656" s="308"/>
    </row>
    <row r="657" spans="1:8" ht="17.25" x14ac:dyDescent="0.2">
      <c r="A657" s="308" t="s">
        <v>68</v>
      </c>
      <c r="B657" s="308"/>
      <c r="C657" s="309"/>
      <c r="D657" s="309" t="s">
        <v>38</v>
      </c>
      <c r="E657" s="309">
        <v>1</v>
      </c>
      <c r="F657" s="309">
        <v>0</v>
      </c>
      <c r="G657" s="309"/>
      <c r="H657" s="308"/>
    </row>
    <row r="658" spans="1:8" ht="17.25" x14ac:dyDescent="0.2">
      <c r="A658" s="308" t="s">
        <v>69</v>
      </c>
      <c r="B658" s="308"/>
      <c r="C658" s="309"/>
      <c r="D658" s="309" t="s">
        <v>38</v>
      </c>
      <c r="E658" s="309">
        <v>1</v>
      </c>
      <c r="F658" s="309">
        <f>LEN(F659)-LEN(SUBSTITUTE(F659,",",""))+1</f>
        <v>3</v>
      </c>
      <c r="G658" s="309"/>
      <c r="H658" s="308"/>
    </row>
    <row r="659" spans="1:8" ht="17.25" x14ac:dyDescent="0.2">
      <c r="A659" s="308" t="s">
        <v>70</v>
      </c>
      <c r="B659" s="308"/>
      <c r="C659" s="309"/>
      <c r="D659" s="309" t="s">
        <v>46</v>
      </c>
      <c r="E659" s="309">
        <v>4</v>
      </c>
      <c r="F659" s="309" t="s">
        <v>329</v>
      </c>
      <c r="G659" s="309"/>
      <c r="H659" s="308"/>
    </row>
    <row r="660" spans="1:8" ht="17.25" x14ac:dyDescent="0.2">
      <c r="A660" s="308" t="s">
        <v>213</v>
      </c>
      <c r="B660" s="308"/>
      <c r="C660" s="309"/>
      <c r="D660" s="309" t="s">
        <v>38</v>
      </c>
      <c r="E660" s="309">
        <v>1</v>
      </c>
      <c r="F660" s="309" t="s">
        <v>171</v>
      </c>
      <c r="G660" s="309"/>
      <c r="H660" s="308"/>
    </row>
    <row r="661" spans="1:8" ht="17.25" x14ac:dyDescent="0.2">
      <c r="A661" s="308" t="s">
        <v>214</v>
      </c>
      <c r="B661" s="308"/>
      <c r="C661" s="309"/>
      <c r="D661" s="309" t="s">
        <v>38</v>
      </c>
      <c r="E661" s="309">
        <v>2</v>
      </c>
      <c r="F661" s="309">
        <v>4</v>
      </c>
      <c r="G661" s="309"/>
      <c r="H661" s="308"/>
    </row>
    <row r="662" spans="1:8" ht="17.25" x14ac:dyDescent="0.2">
      <c r="A662" s="310" t="s">
        <v>215</v>
      </c>
      <c r="B662" s="310"/>
      <c r="C662" s="311"/>
      <c r="D662" s="311" t="s">
        <v>38</v>
      </c>
      <c r="E662" s="311">
        <v>4</v>
      </c>
      <c r="F662" s="312" t="str">
        <f>$F$651</f>
        <v>0x05011535</v>
      </c>
      <c r="G662" s="309"/>
      <c r="H662" s="308"/>
    </row>
    <row r="663" spans="1:8" ht="17.25" x14ac:dyDescent="0.2">
      <c r="A663" s="308" t="s">
        <v>297</v>
      </c>
      <c r="B663" s="308"/>
      <c r="C663" s="309"/>
      <c r="D663" s="309" t="s">
        <v>38</v>
      </c>
      <c r="E663" s="309">
        <v>1</v>
      </c>
      <c r="F663" s="309" t="s">
        <v>161</v>
      </c>
      <c r="G663" s="309"/>
      <c r="H663" s="308"/>
    </row>
    <row r="664" spans="1:8" ht="17.25" x14ac:dyDescent="0.2">
      <c r="A664" s="308" t="s">
        <v>298</v>
      </c>
      <c r="B664" s="308"/>
      <c r="C664" s="309"/>
      <c r="D664" s="309" t="s">
        <v>38</v>
      </c>
      <c r="E664" s="309">
        <v>2</v>
      </c>
      <c r="F664" s="309">
        <f>2+F666*E667*2</f>
        <v>14</v>
      </c>
      <c r="G664" s="309"/>
      <c r="H664" s="308"/>
    </row>
    <row r="665" spans="1:8" ht="17.25" x14ac:dyDescent="0.2">
      <c r="A665" s="308" t="s">
        <v>299</v>
      </c>
      <c r="B665" s="308"/>
      <c r="C665" s="309"/>
      <c r="D665" s="309" t="s">
        <v>38</v>
      </c>
      <c r="E665" s="309">
        <v>1</v>
      </c>
      <c r="F665" s="309">
        <v>0</v>
      </c>
      <c r="G665" s="309"/>
      <c r="H665" s="308" t="s">
        <v>300</v>
      </c>
    </row>
    <row r="666" spans="1:8" ht="17.25" x14ac:dyDescent="0.2">
      <c r="A666" s="308" t="s">
        <v>301</v>
      </c>
      <c r="B666" s="308"/>
      <c r="C666" s="309"/>
      <c r="D666" s="309" t="s">
        <v>38</v>
      </c>
      <c r="E666" s="309">
        <v>1</v>
      </c>
      <c r="F666" s="309">
        <f>SUM(LEN(F667)-LEN(SUBSTITUTE(F667,"-","")))</f>
        <v>3</v>
      </c>
      <c r="G666" s="309"/>
      <c r="H666" s="308" t="s">
        <v>302</v>
      </c>
    </row>
    <row r="667" spans="1:8" ht="17.25" x14ac:dyDescent="0.2">
      <c r="A667" s="308" t="s">
        <v>303</v>
      </c>
      <c r="B667" s="308"/>
      <c r="C667" s="309"/>
      <c r="D667" s="309" t="s">
        <v>46</v>
      </c>
      <c r="E667" s="309">
        <v>2</v>
      </c>
      <c r="F667" s="313" t="s">
        <v>960</v>
      </c>
      <c r="G667" s="309"/>
      <c r="H667" s="308"/>
    </row>
    <row r="668" spans="1:8" ht="17.25" x14ac:dyDescent="0.2">
      <c r="A668" s="314" t="s">
        <v>336</v>
      </c>
      <c r="B668" s="314"/>
      <c r="C668" s="315"/>
      <c r="D668" s="315" t="s">
        <v>38</v>
      </c>
      <c r="E668" s="315">
        <v>1</v>
      </c>
      <c r="F668" s="316" t="s">
        <v>337</v>
      </c>
      <c r="G668" s="315"/>
      <c r="H668" s="314"/>
    </row>
    <row r="669" spans="1:8" ht="17.25" x14ac:dyDescent="0.2">
      <c r="A669" s="314" t="s">
        <v>338</v>
      </c>
      <c r="B669" s="314"/>
      <c r="C669" s="315"/>
      <c r="D669" s="315" t="s">
        <v>38</v>
      </c>
      <c r="E669" s="315">
        <v>2</v>
      </c>
      <c r="F669" s="316">
        <v>4</v>
      </c>
      <c r="G669" s="315"/>
      <c r="H669" s="314"/>
    </row>
    <row r="670" spans="1:8" ht="138" x14ac:dyDescent="0.2">
      <c r="A670" s="314" t="s">
        <v>339</v>
      </c>
      <c r="B670" s="314"/>
      <c r="C670" s="315"/>
      <c r="D670" s="315" t="s">
        <v>38</v>
      </c>
      <c r="E670" s="315">
        <v>4</v>
      </c>
      <c r="F670" s="315" t="s">
        <v>961</v>
      </c>
      <c r="G670" s="315"/>
      <c r="H670" s="314" t="s">
        <v>341</v>
      </c>
    </row>
  </sheetData>
  <mergeCells count="3">
    <mergeCell ref="A2:I2"/>
    <mergeCell ref="A4:H4"/>
    <mergeCell ref="A643:H64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91"/>
  <sheetViews>
    <sheetView topLeftCell="A22" zoomScale="85" zoomScaleNormal="85" workbookViewId="0">
      <selection activeCell="D42" sqref="D42"/>
    </sheetView>
  </sheetViews>
  <sheetFormatPr defaultColWidth="9.140625" defaultRowHeight="12.75" x14ac:dyDescent="0.2"/>
  <cols>
    <col min="1" max="1" width="2.85546875" style="50" customWidth="1"/>
    <col min="2" max="2" width="11.7109375" style="50" customWidth="1"/>
    <col min="3" max="3" width="11.7109375" style="43" customWidth="1"/>
    <col min="4" max="4" width="56.28515625" style="43" bestFit="1" customWidth="1"/>
    <col min="5" max="5" width="20.5703125" style="43" customWidth="1"/>
    <col min="6" max="7" width="53.28515625" style="43" customWidth="1"/>
    <col min="8" max="8" width="9.140625" style="50" customWidth="1"/>
    <col min="9" max="11" width="9.140625" style="50"/>
    <col min="12" max="12" width="10.85546875" style="50" bestFit="1" customWidth="1"/>
    <col min="13" max="16384" width="9.140625" style="50"/>
  </cols>
  <sheetData>
    <row r="2" spans="2:7" s="49" customFormat="1" ht="45" customHeight="1" x14ac:dyDescent="0.55000000000000004">
      <c r="B2" s="65" t="s">
        <v>33</v>
      </c>
      <c r="C2" s="65"/>
      <c r="D2" s="65"/>
      <c r="E2" s="65"/>
      <c r="F2" s="65"/>
      <c r="G2" s="65"/>
    </row>
    <row r="3" spans="2:7" ht="13.5" thickBot="1" x14ac:dyDescent="0.25"/>
    <row r="4" spans="2:7" ht="15.75" thickBot="1" x14ac:dyDescent="0.35">
      <c r="D4" s="70" t="s">
        <v>154</v>
      </c>
      <c r="E4" s="70"/>
    </row>
    <row r="5" spans="2:7" x14ac:dyDescent="0.2">
      <c r="D5" s="50" t="s">
        <v>155</v>
      </c>
      <c r="E5" s="43">
        <v>4</v>
      </c>
    </row>
    <row r="6" spans="2:7" x14ac:dyDescent="0.2">
      <c r="D6" s="50" t="s">
        <v>156</v>
      </c>
      <c r="E6" s="43">
        <v>346</v>
      </c>
    </row>
    <row r="8" spans="2:7" s="51" customFormat="1" ht="15" x14ac:dyDescent="0.3">
      <c r="B8" s="233" t="s">
        <v>34</v>
      </c>
      <c r="C8" s="234" t="s">
        <v>30</v>
      </c>
      <c r="D8" s="235" t="s">
        <v>31</v>
      </c>
      <c r="E8" s="234" t="s">
        <v>32</v>
      </c>
      <c r="F8" s="233" t="s">
        <v>3</v>
      </c>
      <c r="G8" s="233" t="s">
        <v>143</v>
      </c>
    </row>
    <row r="9" spans="2:7" s="66" customFormat="1" ht="15" x14ac:dyDescent="0.3">
      <c r="B9" s="236"/>
      <c r="C9" s="237"/>
      <c r="D9" s="238"/>
      <c r="E9" s="239"/>
      <c r="F9" s="240"/>
      <c r="G9" s="241"/>
    </row>
    <row r="10" spans="2:7" s="66" customFormat="1" ht="38.25" x14ac:dyDescent="0.3">
      <c r="B10" s="236">
        <v>1</v>
      </c>
      <c r="C10" s="237">
        <v>42292</v>
      </c>
      <c r="D10" s="238" t="s">
        <v>267</v>
      </c>
      <c r="E10" s="239">
        <v>922673</v>
      </c>
      <c r="F10" s="240" t="s">
        <v>305</v>
      </c>
      <c r="G10" s="241" t="s">
        <v>304</v>
      </c>
    </row>
    <row r="11" spans="2:7" s="66" customFormat="1" ht="38.25" x14ac:dyDescent="0.3">
      <c r="B11" s="236">
        <v>2</v>
      </c>
      <c r="C11" s="237">
        <v>42312</v>
      </c>
      <c r="D11" s="238" t="s">
        <v>307</v>
      </c>
      <c r="E11" s="242">
        <v>878757</v>
      </c>
      <c r="F11" s="240" t="s">
        <v>308</v>
      </c>
      <c r="G11" s="241" t="s">
        <v>306</v>
      </c>
    </row>
    <row r="12" spans="2:7" s="66" customFormat="1" ht="38.25" x14ac:dyDescent="0.3">
      <c r="B12" s="236">
        <v>3</v>
      </c>
      <c r="C12" s="237">
        <v>42325</v>
      </c>
      <c r="D12" s="238" t="s">
        <v>307</v>
      </c>
      <c r="E12" s="239">
        <v>936682</v>
      </c>
      <c r="F12" s="243" t="s">
        <v>311</v>
      </c>
      <c r="G12" s="241" t="s">
        <v>310</v>
      </c>
    </row>
    <row r="13" spans="2:7" s="66" customFormat="1" ht="15" x14ac:dyDescent="0.3">
      <c r="B13" s="236">
        <v>4</v>
      </c>
      <c r="C13" s="237">
        <v>42353</v>
      </c>
      <c r="D13" s="238" t="s">
        <v>307</v>
      </c>
      <c r="E13" s="239">
        <v>950032</v>
      </c>
      <c r="F13" s="243" t="s">
        <v>313</v>
      </c>
      <c r="G13" s="241" t="s">
        <v>312</v>
      </c>
    </row>
    <row r="14" spans="2:7" s="66" customFormat="1" ht="38.25" x14ac:dyDescent="0.3">
      <c r="B14" s="236">
        <v>5</v>
      </c>
      <c r="C14" s="237">
        <v>42376</v>
      </c>
      <c r="D14" s="238" t="s">
        <v>307</v>
      </c>
      <c r="E14" s="239">
        <v>958134</v>
      </c>
      <c r="F14" s="240" t="s">
        <v>318</v>
      </c>
      <c r="G14" s="241" t="s">
        <v>317</v>
      </c>
    </row>
    <row r="15" spans="2:7" s="66" customFormat="1" ht="30" x14ac:dyDescent="0.3">
      <c r="B15" s="236">
        <v>6</v>
      </c>
      <c r="C15" s="237">
        <v>42389</v>
      </c>
      <c r="D15" s="238" t="s">
        <v>307</v>
      </c>
      <c r="E15" s="239">
        <v>959084</v>
      </c>
      <c r="F15" s="240" t="s">
        <v>320</v>
      </c>
      <c r="G15" s="241" t="s">
        <v>321</v>
      </c>
    </row>
    <row r="16" spans="2:7" s="66" customFormat="1" ht="25.5" x14ac:dyDescent="0.3">
      <c r="B16" s="236">
        <v>7</v>
      </c>
      <c r="C16" s="237">
        <v>42404</v>
      </c>
      <c r="D16" s="238" t="s">
        <v>307</v>
      </c>
      <c r="E16" s="239">
        <v>936682</v>
      </c>
      <c r="F16" s="240" t="s">
        <v>324</v>
      </c>
      <c r="G16" s="241" t="s">
        <v>323</v>
      </c>
    </row>
    <row r="17" spans="2:7" s="66" customFormat="1" ht="38.25" x14ac:dyDescent="0.3">
      <c r="B17" s="236">
        <v>8</v>
      </c>
      <c r="C17" s="244">
        <v>42424</v>
      </c>
      <c r="D17" s="243" t="s">
        <v>267</v>
      </c>
      <c r="E17" s="240">
        <v>973486</v>
      </c>
      <c r="F17" s="240" t="s">
        <v>326</v>
      </c>
      <c r="G17" s="241" t="s">
        <v>325</v>
      </c>
    </row>
    <row r="18" spans="2:7" s="66" customFormat="1" ht="25.5" x14ac:dyDescent="0.3">
      <c r="B18" s="236">
        <v>9</v>
      </c>
      <c r="C18" s="245">
        <v>42438</v>
      </c>
      <c r="D18" s="246" t="s">
        <v>307</v>
      </c>
      <c r="E18" s="247">
        <v>946133</v>
      </c>
      <c r="F18" s="246" t="s">
        <v>328</v>
      </c>
      <c r="G18" s="241" t="s">
        <v>327</v>
      </c>
    </row>
    <row r="19" spans="2:7" s="66" customFormat="1" ht="38.25" x14ac:dyDescent="0.3">
      <c r="B19" s="236">
        <v>10</v>
      </c>
      <c r="C19" s="237">
        <v>42494</v>
      </c>
      <c r="D19" s="238" t="s">
        <v>307</v>
      </c>
      <c r="E19" s="242">
        <v>1011399</v>
      </c>
      <c r="F19" s="240" t="s">
        <v>331</v>
      </c>
      <c r="G19" s="241" t="s">
        <v>330</v>
      </c>
    </row>
    <row r="20" spans="2:7" s="66" customFormat="1" ht="38.25" x14ac:dyDescent="0.3">
      <c r="B20" s="236">
        <v>11</v>
      </c>
      <c r="C20" s="237">
        <v>42495</v>
      </c>
      <c r="D20" s="238" t="s">
        <v>333</v>
      </c>
      <c r="E20" s="242">
        <v>1009244</v>
      </c>
      <c r="F20" s="240" t="s">
        <v>334</v>
      </c>
      <c r="G20" s="241" t="s">
        <v>335</v>
      </c>
    </row>
    <row r="21" spans="2:7" s="66" customFormat="1" ht="30" x14ac:dyDescent="0.3">
      <c r="B21" s="236">
        <v>12</v>
      </c>
      <c r="C21" s="237">
        <v>42496</v>
      </c>
      <c r="D21" s="238" t="s">
        <v>307</v>
      </c>
      <c r="E21" s="242">
        <v>923682</v>
      </c>
      <c r="F21" s="240" t="s">
        <v>344</v>
      </c>
      <c r="G21" s="241"/>
    </row>
    <row r="22" spans="2:7" s="66" customFormat="1" ht="15" x14ac:dyDescent="0.3">
      <c r="B22" s="236">
        <v>13</v>
      </c>
      <c r="C22" s="237">
        <v>42499</v>
      </c>
      <c r="D22" s="238" t="s">
        <v>307</v>
      </c>
      <c r="E22" s="242">
        <v>999519</v>
      </c>
      <c r="F22" s="240" t="s">
        <v>349</v>
      </c>
      <c r="G22" s="241" t="s">
        <v>348</v>
      </c>
    </row>
    <row r="23" spans="2:7" s="66" customFormat="1" ht="38.25" x14ac:dyDescent="0.3">
      <c r="B23" s="236">
        <v>14</v>
      </c>
      <c r="C23" s="237">
        <v>42501</v>
      </c>
      <c r="D23" s="238" t="s">
        <v>307</v>
      </c>
      <c r="E23" s="242">
        <v>978190</v>
      </c>
      <c r="F23" s="240" t="s">
        <v>350</v>
      </c>
      <c r="G23" s="241" t="s">
        <v>351</v>
      </c>
    </row>
    <row r="24" spans="2:7" s="52" customFormat="1" ht="25.5" x14ac:dyDescent="0.3">
      <c r="B24" s="236">
        <v>15</v>
      </c>
      <c r="C24" s="237">
        <v>42507</v>
      </c>
      <c r="D24" s="238" t="s">
        <v>307</v>
      </c>
      <c r="E24" s="242">
        <v>1016858</v>
      </c>
      <c r="F24" s="240" t="s">
        <v>353</v>
      </c>
      <c r="G24" s="241" t="s">
        <v>352</v>
      </c>
    </row>
    <row r="25" spans="2:7" s="66" customFormat="1" ht="38.25" x14ac:dyDescent="0.3">
      <c r="B25" s="236">
        <v>16</v>
      </c>
      <c r="C25" s="237">
        <v>42509</v>
      </c>
      <c r="D25" s="238" t="s">
        <v>307</v>
      </c>
      <c r="E25" s="242">
        <v>961366</v>
      </c>
      <c r="F25" s="240" t="s">
        <v>364</v>
      </c>
      <c r="G25" s="241" t="s">
        <v>365</v>
      </c>
    </row>
    <row r="26" spans="2:7" ht="15" x14ac:dyDescent="0.2">
      <c r="B26" s="236">
        <v>17</v>
      </c>
      <c r="C26" s="237">
        <v>42510</v>
      </c>
      <c r="D26" s="238" t="s">
        <v>307</v>
      </c>
      <c r="E26" s="242">
        <v>1008268</v>
      </c>
      <c r="F26" s="240" t="s">
        <v>369</v>
      </c>
      <c r="G26" s="241" t="s">
        <v>368</v>
      </c>
    </row>
    <row r="27" spans="2:7" ht="38.25" x14ac:dyDescent="0.2">
      <c r="B27" s="236">
        <v>18</v>
      </c>
      <c r="C27" s="237">
        <v>42536</v>
      </c>
      <c r="D27" s="238" t="s">
        <v>307</v>
      </c>
      <c r="E27" s="242">
        <v>1004415</v>
      </c>
      <c r="F27" s="240" t="s">
        <v>386</v>
      </c>
      <c r="G27" s="241" t="s">
        <v>387</v>
      </c>
    </row>
    <row r="28" spans="2:7" ht="75" x14ac:dyDescent="0.2">
      <c r="B28" s="236">
        <v>19</v>
      </c>
      <c r="C28" s="237">
        <v>42548</v>
      </c>
      <c r="D28" s="238" t="s">
        <v>307</v>
      </c>
      <c r="E28" s="242">
        <v>1014416</v>
      </c>
      <c r="F28" s="240" t="s">
        <v>962</v>
      </c>
      <c r="G28" s="241" t="s">
        <v>963</v>
      </c>
    </row>
    <row r="29" spans="2:7" s="52" customFormat="1" ht="15" x14ac:dyDescent="0.3">
      <c r="B29" s="236">
        <v>20</v>
      </c>
      <c r="C29" s="237">
        <v>42550</v>
      </c>
      <c r="D29" t="s">
        <v>966</v>
      </c>
      <c r="E29" s="242">
        <v>1030314</v>
      </c>
      <c r="F29" t="s">
        <v>966</v>
      </c>
      <c r="G29" s="241" t="s">
        <v>967</v>
      </c>
    </row>
    <row r="30" spans="2:7" s="52" customFormat="1" ht="15" x14ac:dyDescent="0.3">
      <c r="B30" s="236">
        <v>21</v>
      </c>
      <c r="C30" s="237">
        <v>42555</v>
      </c>
      <c r="D30" s="238" t="s">
        <v>307</v>
      </c>
      <c r="E30">
        <v>1036916</v>
      </c>
      <c r="F30" s="240" t="s">
        <v>969</v>
      </c>
      <c r="G30" s="241" t="s">
        <v>968</v>
      </c>
    </row>
    <row r="31" spans="2:7" s="52" customFormat="1" ht="15" x14ac:dyDescent="0.3">
      <c r="B31" s="236">
        <v>22</v>
      </c>
      <c r="C31" s="237">
        <v>42559</v>
      </c>
      <c r="D31" s="238" t="s">
        <v>333</v>
      </c>
      <c r="E31" s="242">
        <v>1038114</v>
      </c>
      <c r="F31" s="240">
        <v>71527</v>
      </c>
      <c r="G31" s="241" t="s">
        <v>970</v>
      </c>
    </row>
    <row r="32" spans="2:7" s="52" customFormat="1" ht="15" x14ac:dyDescent="0.3">
      <c r="B32" s="236">
        <v>23</v>
      </c>
      <c r="C32" s="237">
        <v>42563</v>
      </c>
      <c r="D32" s="238" t="s">
        <v>307</v>
      </c>
      <c r="E32" s="42">
        <v>1036916</v>
      </c>
      <c r="F32" s="240" t="s">
        <v>969</v>
      </c>
      <c r="G32" s="241" t="s">
        <v>971</v>
      </c>
    </row>
    <row r="33" spans="2:7" s="52" customFormat="1" ht="15" x14ac:dyDescent="0.3">
      <c r="B33" s="236">
        <v>24</v>
      </c>
      <c r="C33" s="237">
        <v>42583</v>
      </c>
      <c r="D33" s="238" t="s">
        <v>307</v>
      </c>
      <c r="E33" s="42">
        <v>1041480</v>
      </c>
      <c r="F33" s="240" t="s">
        <v>973</v>
      </c>
      <c r="G33" s="241" t="s">
        <v>967</v>
      </c>
    </row>
    <row r="34" spans="2:7" s="52" customFormat="1" ht="30" x14ac:dyDescent="0.3">
      <c r="B34" s="236">
        <v>24</v>
      </c>
      <c r="C34" s="237">
        <v>42591</v>
      </c>
      <c r="D34" s="238" t="s">
        <v>307</v>
      </c>
      <c r="E34" s="242">
        <v>1049400</v>
      </c>
      <c r="F34" s="240" t="s">
        <v>975</v>
      </c>
      <c r="G34" s="241" t="s">
        <v>968</v>
      </c>
    </row>
    <row r="35" spans="2:7" ht="15" x14ac:dyDescent="0.2">
      <c r="B35" s="236">
        <v>25</v>
      </c>
      <c r="C35" s="237">
        <v>42604</v>
      </c>
      <c r="D35" s="238" t="s">
        <v>333</v>
      </c>
      <c r="E35" s="242">
        <v>1052879</v>
      </c>
      <c r="F35" s="240" t="s">
        <v>976</v>
      </c>
      <c r="G35" s="241" t="s">
        <v>970</v>
      </c>
    </row>
    <row r="36" spans="2:7" ht="15" x14ac:dyDescent="0.2">
      <c r="B36" s="236">
        <v>26</v>
      </c>
      <c r="C36" s="237">
        <v>42636</v>
      </c>
      <c r="D36" s="238" t="s">
        <v>333</v>
      </c>
      <c r="E36" s="242">
        <v>1061047</v>
      </c>
      <c r="F36" s="240" t="s">
        <v>977</v>
      </c>
      <c r="G36" s="241" t="s">
        <v>971</v>
      </c>
    </row>
    <row r="37" spans="2:7" ht="30" x14ac:dyDescent="0.2">
      <c r="B37" s="236">
        <v>27</v>
      </c>
      <c r="C37" s="237" t="s">
        <v>980</v>
      </c>
      <c r="D37" s="238" t="s">
        <v>307</v>
      </c>
      <c r="E37" s="242">
        <v>843567</v>
      </c>
      <c r="F37" s="240" t="s">
        <v>981</v>
      </c>
      <c r="G37" s="241" t="s">
        <v>982</v>
      </c>
    </row>
    <row r="38" spans="2:7" ht="15" x14ac:dyDescent="0.2">
      <c r="B38" s="236">
        <v>28</v>
      </c>
      <c r="C38" s="237" t="s">
        <v>983</v>
      </c>
      <c r="D38" s="238" t="s">
        <v>307</v>
      </c>
      <c r="E38" s="242">
        <v>1090468</v>
      </c>
      <c r="F38" s="240" t="s">
        <v>984</v>
      </c>
      <c r="G38" s="241" t="s">
        <v>986</v>
      </c>
    </row>
    <row r="39" spans="2:7" ht="15" x14ac:dyDescent="0.2">
      <c r="B39" s="236">
        <v>29</v>
      </c>
      <c r="C39" s="237"/>
      <c r="D39" s="238"/>
      <c r="E39" s="242"/>
      <c r="F39" s="240"/>
      <c r="G39" s="241"/>
    </row>
    <row r="40" spans="2:7" ht="15" x14ac:dyDescent="0.2">
      <c r="B40" s="236">
        <v>30</v>
      </c>
      <c r="C40" s="237"/>
      <c r="D40" s="238"/>
      <c r="E40" s="242"/>
      <c r="F40" s="240"/>
      <c r="G40" s="241"/>
    </row>
    <row r="41" spans="2:7" ht="15" x14ac:dyDescent="0.2">
      <c r="B41" s="236">
        <v>31</v>
      </c>
      <c r="C41" s="237"/>
      <c r="D41" s="238"/>
      <c r="E41" s="242"/>
      <c r="F41" s="240"/>
      <c r="G41" s="241"/>
    </row>
    <row r="42" spans="2:7" ht="15" x14ac:dyDescent="0.2">
      <c r="B42" s="236">
        <v>32</v>
      </c>
      <c r="C42" s="237"/>
      <c r="D42" s="238"/>
      <c r="E42" s="242"/>
      <c r="F42" s="240"/>
      <c r="G42" s="241"/>
    </row>
    <row r="43" spans="2:7" s="66" customFormat="1" ht="15" x14ac:dyDescent="0.3">
      <c r="B43" s="236">
        <v>66</v>
      </c>
      <c r="C43" s="237"/>
      <c r="D43" s="238"/>
      <c r="E43" s="239"/>
      <c r="F43" s="240"/>
      <c r="G43" s="241"/>
    </row>
    <row r="44" spans="2:7" s="66" customFormat="1" ht="15" x14ac:dyDescent="0.3">
      <c r="B44" s="236">
        <v>67</v>
      </c>
      <c r="C44" s="237"/>
      <c r="D44" s="238"/>
      <c r="E44" s="239"/>
      <c r="F44" s="240"/>
      <c r="G44" s="241"/>
    </row>
    <row r="45" spans="2:7" ht="15" x14ac:dyDescent="0.2">
      <c r="B45" s="236">
        <v>68</v>
      </c>
      <c r="C45" s="237"/>
      <c r="D45" s="238"/>
      <c r="E45" s="239"/>
      <c r="F45" s="240"/>
      <c r="G45" s="241"/>
    </row>
    <row r="46" spans="2:7" ht="15" x14ac:dyDescent="0.2">
      <c r="B46" s="236">
        <v>69</v>
      </c>
      <c r="C46" s="237"/>
      <c r="D46" s="238"/>
      <c r="E46" s="239"/>
      <c r="F46" s="240"/>
      <c r="G46" s="241"/>
    </row>
    <row r="47" spans="2:7" ht="15" x14ac:dyDescent="0.2">
      <c r="B47" s="236">
        <v>70</v>
      </c>
      <c r="C47" s="237"/>
      <c r="D47" s="238"/>
      <c r="E47" s="239"/>
      <c r="F47" s="240"/>
      <c r="G47" s="241"/>
    </row>
    <row r="48" spans="2:7" ht="15" x14ac:dyDescent="0.2">
      <c r="B48" s="236">
        <v>71</v>
      </c>
      <c r="C48" s="237"/>
      <c r="D48" s="238"/>
      <c r="E48" s="239"/>
      <c r="F48" s="240"/>
      <c r="G48" s="241"/>
    </row>
    <row r="49" spans="2:7" ht="15" x14ac:dyDescent="0.2">
      <c r="B49" s="236">
        <v>72</v>
      </c>
      <c r="C49" s="237"/>
      <c r="D49" s="238"/>
      <c r="E49" s="239"/>
      <c r="F49" s="240"/>
      <c r="G49" s="241"/>
    </row>
    <row r="50" spans="2:7" ht="15" x14ac:dyDescent="0.2">
      <c r="B50" s="236">
        <v>73</v>
      </c>
      <c r="C50" s="237"/>
      <c r="D50" s="238"/>
      <c r="E50" s="239"/>
      <c r="F50" s="240"/>
      <c r="G50" s="241"/>
    </row>
    <row r="51" spans="2:7" ht="15" x14ac:dyDescent="0.2">
      <c r="B51" s="236">
        <v>74</v>
      </c>
      <c r="C51" s="237"/>
      <c r="D51" s="238"/>
      <c r="E51" s="239"/>
      <c r="F51" s="240"/>
      <c r="G51" s="241"/>
    </row>
    <row r="52" spans="2:7" ht="15" x14ac:dyDescent="0.2">
      <c r="B52" s="236">
        <v>75</v>
      </c>
      <c r="C52" s="237"/>
      <c r="D52" s="238"/>
      <c r="E52" s="239"/>
      <c r="F52" s="240"/>
      <c r="G52" s="241"/>
    </row>
    <row r="53" spans="2:7" ht="15" x14ac:dyDescent="0.2">
      <c r="B53" s="236"/>
      <c r="C53" s="237"/>
      <c r="D53" s="238"/>
      <c r="E53" s="242"/>
      <c r="F53" s="240"/>
      <c r="G53" s="241"/>
    </row>
    <row r="54" spans="2:7" x14ac:dyDescent="0.2">
      <c r="B54" s="230"/>
      <c r="C54" s="231"/>
      <c r="D54" s="114"/>
      <c r="E54" s="232"/>
      <c r="F54" s="230"/>
      <c r="G54" s="230"/>
    </row>
    <row r="55" spans="2:7" ht="15" x14ac:dyDescent="0.3">
      <c r="B55" s="54"/>
      <c r="C55" s="111"/>
      <c r="D55" s="113"/>
      <c r="E55" s="116"/>
      <c r="F55" s="67"/>
      <c r="G55" s="117"/>
    </row>
    <row r="56" spans="2:7" ht="15" x14ac:dyDescent="0.3">
      <c r="B56" s="54"/>
      <c r="C56" s="111"/>
      <c r="D56" s="113"/>
      <c r="E56" s="116"/>
      <c r="F56" s="67"/>
      <c r="G56" s="117"/>
    </row>
    <row r="57" spans="2:7" x14ac:dyDescent="0.2">
      <c r="C57" s="112"/>
      <c r="D57" s="50"/>
      <c r="E57" s="112"/>
      <c r="F57" s="53"/>
      <c r="G57" s="53"/>
    </row>
    <row r="58" spans="2:7" x14ac:dyDescent="0.2">
      <c r="B58" s="53"/>
      <c r="C58" s="62"/>
      <c r="D58" s="44"/>
      <c r="E58" s="112"/>
      <c r="F58" s="53"/>
      <c r="G58" s="53"/>
    </row>
    <row r="59" spans="2:7" x14ac:dyDescent="0.2">
      <c r="B59" s="53"/>
      <c r="C59" s="62"/>
      <c r="D59" s="44"/>
      <c r="E59" s="112"/>
      <c r="F59" s="53"/>
      <c r="G59" s="53"/>
    </row>
    <row r="60" spans="2:7" ht="15" x14ac:dyDescent="0.3">
      <c r="B60" s="54"/>
      <c r="C60" s="61"/>
      <c r="D60" s="113"/>
      <c r="E60" s="116"/>
      <c r="F60" s="67"/>
      <c r="G60" s="117"/>
    </row>
    <row r="61" spans="2:7" x14ac:dyDescent="0.2">
      <c r="D61" s="50"/>
      <c r="E61" s="112"/>
      <c r="F61" s="53"/>
      <c r="G61" s="53"/>
    </row>
    <row r="62" spans="2:7" x14ac:dyDescent="0.2">
      <c r="B62" s="53"/>
      <c r="C62" s="62"/>
      <c r="D62" s="44"/>
      <c r="E62" s="112"/>
      <c r="F62" s="53"/>
      <c r="G62" s="53"/>
    </row>
    <row r="63" spans="2:7" x14ac:dyDescent="0.2">
      <c r="B63" s="53"/>
      <c r="C63" s="62"/>
      <c r="D63" s="44"/>
      <c r="E63" s="112"/>
      <c r="F63" s="53"/>
      <c r="G63" s="53"/>
    </row>
    <row r="64" spans="2:7" x14ac:dyDescent="0.2">
      <c r="B64" s="53"/>
      <c r="C64" s="62"/>
      <c r="D64" s="44"/>
      <c r="E64" s="112"/>
      <c r="F64" s="53"/>
      <c r="G64" s="53"/>
    </row>
    <row r="65" spans="2:7" x14ac:dyDescent="0.2">
      <c r="B65" s="53"/>
      <c r="C65" s="62"/>
      <c r="D65" s="114"/>
      <c r="E65" s="112"/>
      <c r="F65" s="53"/>
      <c r="G65" s="53"/>
    </row>
    <row r="66" spans="2:7" x14ac:dyDescent="0.2">
      <c r="B66" s="53"/>
      <c r="C66" s="62"/>
      <c r="D66" s="44"/>
      <c r="E66" s="112"/>
      <c r="F66" s="53"/>
      <c r="G66" s="50"/>
    </row>
    <row r="67" spans="2:7" x14ac:dyDescent="0.2">
      <c r="B67" s="53"/>
      <c r="C67" s="62"/>
      <c r="D67" s="44"/>
      <c r="E67" s="112"/>
      <c r="F67" s="53"/>
      <c r="G67" s="50"/>
    </row>
    <row r="68" spans="2:7" x14ac:dyDescent="0.2">
      <c r="B68" s="53"/>
      <c r="C68" s="62"/>
      <c r="D68" s="44"/>
      <c r="E68" s="112"/>
      <c r="F68" s="53"/>
      <c r="G68" s="50"/>
    </row>
    <row r="69" spans="2:7" x14ac:dyDescent="0.2">
      <c r="B69" s="53"/>
      <c r="C69" s="62"/>
      <c r="D69" s="44"/>
      <c r="E69" s="112"/>
      <c r="F69" s="53"/>
      <c r="G69" s="50"/>
    </row>
    <row r="70" spans="2:7" x14ac:dyDescent="0.2">
      <c r="B70" s="53"/>
      <c r="C70" s="62"/>
      <c r="D70" s="44"/>
      <c r="E70" s="112"/>
      <c r="F70" s="53"/>
      <c r="G70" s="50"/>
    </row>
    <row r="71" spans="2:7" x14ac:dyDescent="0.2">
      <c r="B71" s="53"/>
      <c r="C71" s="62"/>
      <c r="D71" s="44"/>
      <c r="E71" s="112"/>
      <c r="F71" s="53"/>
      <c r="G71" s="50"/>
    </row>
    <row r="72" spans="2:7" x14ac:dyDescent="0.2">
      <c r="B72" s="53"/>
      <c r="C72" s="62"/>
      <c r="D72" s="44"/>
      <c r="E72" s="112"/>
      <c r="F72" s="53"/>
      <c r="G72" s="50"/>
    </row>
    <row r="73" spans="2:7" x14ac:dyDescent="0.2">
      <c r="B73" s="53"/>
      <c r="C73" s="62"/>
      <c r="D73" s="44"/>
      <c r="E73" s="112"/>
      <c r="F73" s="53"/>
      <c r="G73" s="50"/>
    </row>
    <row r="74" spans="2:7" x14ac:dyDescent="0.2">
      <c r="B74" s="53"/>
      <c r="C74" s="62"/>
      <c r="D74" s="44"/>
      <c r="E74" s="112"/>
      <c r="F74" s="53"/>
      <c r="G74" s="50"/>
    </row>
    <row r="75" spans="2:7" ht="15" x14ac:dyDescent="0.3">
      <c r="B75" s="53"/>
      <c r="C75" s="63"/>
      <c r="D75" s="115"/>
      <c r="E75" s="112"/>
      <c r="F75" s="53"/>
      <c r="G75" s="50"/>
    </row>
    <row r="76" spans="2:7" x14ac:dyDescent="0.2">
      <c r="B76" s="53"/>
      <c r="C76" s="63"/>
      <c r="D76" s="114"/>
      <c r="E76" s="112"/>
      <c r="F76" s="53"/>
      <c r="G76" s="50"/>
    </row>
    <row r="77" spans="2:7" x14ac:dyDescent="0.2">
      <c r="B77" s="53"/>
      <c r="C77" s="62"/>
      <c r="D77" s="114"/>
      <c r="E77" s="112"/>
      <c r="F77" s="53"/>
      <c r="G77" s="50"/>
    </row>
    <row r="78" spans="2:7" x14ac:dyDescent="0.2">
      <c r="B78" s="53"/>
      <c r="C78" s="62"/>
      <c r="D78" s="44"/>
      <c r="E78" s="112"/>
      <c r="F78" s="53"/>
      <c r="G78" s="50"/>
    </row>
    <row r="79" spans="2:7" x14ac:dyDescent="0.2">
      <c r="B79" s="53"/>
      <c r="C79" s="62"/>
      <c r="D79" s="44"/>
      <c r="E79" s="112"/>
      <c r="F79" s="53"/>
      <c r="G79" s="50"/>
    </row>
    <row r="80" spans="2:7" x14ac:dyDescent="0.2">
      <c r="B80" s="53"/>
      <c r="C80" s="62"/>
      <c r="D80" s="44"/>
      <c r="E80" s="112"/>
      <c r="F80" s="53"/>
      <c r="G80" s="50"/>
    </row>
    <row r="81" spans="2:7" x14ac:dyDescent="0.2">
      <c r="B81" s="53"/>
      <c r="C81" s="62"/>
      <c r="D81" s="44"/>
      <c r="E81" s="112"/>
      <c r="F81" s="53"/>
      <c r="G81" s="50"/>
    </row>
    <row r="82" spans="2:7" x14ac:dyDescent="0.2">
      <c r="B82" s="53"/>
      <c r="D82" s="44"/>
      <c r="E82" s="112"/>
      <c r="F82" s="50"/>
      <c r="G82" s="50"/>
    </row>
    <row r="83" spans="2:7" x14ac:dyDescent="0.2">
      <c r="B83" s="53"/>
      <c r="D83" s="44"/>
      <c r="E83" s="112"/>
      <c r="F83" s="50"/>
      <c r="G83" s="50"/>
    </row>
    <row r="84" spans="2:7" x14ac:dyDescent="0.2">
      <c r="B84" s="53"/>
      <c r="D84" s="44"/>
      <c r="E84" s="112"/>
      <c r="F84" s="50"/>
      <c r="G84" s="50"/>
    </row>
    <row r="85" spans="2:7" x14ac:dyDescent="0.2">
      <c r="B85" s="53"/>
      <c r="D85" s="44"/>
      <c r="E85" s="112"/>
      <c r="F85" s="50"/>
      <c r="G85" s="50"/>
    </row>
    <row r="86" spans="2:7" x14ac:dyDescent="0.2">
      <c r="B86" s="53"/>
      <c r="D86" s="50"/>
      <c r="E86" s="50"/>
      <c r="F86" s="50"/>
      <c r="G86" s="50"/>
    </row>
    <row r="87" spans="2:7" x14ac:dyDescent="0.2">
      <c r="B87" s="53"/>
      <c r="D87" s="50"/>
      <c r="E87" s="50"/>
      <c r="F87" s="50"/>
      <c r="G87" s="50"/>
    </row>
    <row r="88" spans="2:7" x14ac:dyDescent="0.2">
      <c r="B88" s="53"/>
      <c r="E88" s="50"/>
      <c r="F88" s="50"/>
      <c r="G88" s="50"/>
    </row>
    <row r="89" spans="2:7" x14ac:dyDescent="0.2">
      <c r="B89" s="53"/>
      <c r="E89" s="50"/>
      <c r="F89" s="50"/>
      <c r="G89" s="50"/>
    </row>
    <row r="90" spans="2:7" x14ac:dyDescent="0.2">
      <c r="B90" s="53"/>
      <c r="E90" s="50"/>
      <c r="F90" s="50"/>
      <c r="G90" s="50"/>
    </row>
    <row r="91" spans="2:7" x14ac:dyDescent="0.2">
      <c r="B91" s="53"/>
      <c r="E91" s="50"/>
      <c r="F91" s="50"/>
      <c r="G91" s="5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OpenMkt-Commercial</vt:lpstr>
      <vt:lpstr>Test-Lab</vt:lpstr>
      <vt:lpstr>Subsidized-Commercial</vt:lpstr>
      <vt:lpstr>VoLTE_OpnMkt-Commercial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2016-11-17T05:41:54Z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238735366</vt:i4>
  </property>
  <property fmtid="{D5CDD505-2E9C-101B-9397-08002B2CF9AE}" pid="3" name="_NewReviewCycle">
    <vt:lpwstr/>
  </property>
  <property fmtid="{D5CDD505-2E9C-101B-9397-08002B2CF9AE}" pid="4" name="_EmailSubject">
    <vt:lpwstr>    CU Spread sheet     (was FW: [Need review] 70210 : USB-UICC  -&gt; do we need to set this in China MBNs  &gt;&gt;&gt; http://prism/CR/677418 )</vt:lpwstr>
  </property>
  <property fmtid="{D5CDD505-2E9C-101B-9397-08002B2CF9AE}" pid="5" name="_AuthorEmail">
    <vt:lpwstr>samirt@qti.qualcomm.com</vt:lpwstr>
  </property>
  <property fmtid="{D5CDD505-2E9C-101B-9397-08002B2CF9AE}" pid="6" name="_AuthorEmailDisplayName">
    <vt:lpwstr>Thakkar, Samir</vt:lpwstr>
  </property>
  <property fmtid="{D5CDD505-2E9C-101B-9397-08002B2CF9AE}" pid="7" name="_PreviousAdHocReviewCycleID">
    <vt:i4>-377990292</vt:i4>
  </property>
  <property fmtid="{D5CDD505-2E9C-101B-9397-08002B2CF9AE}" pid="8" name="_ReviewingToolsShownOnce">
    <vt:lpwstr/>
  </property>
</Properties>
</file>