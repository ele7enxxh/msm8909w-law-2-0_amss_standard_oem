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kdasar\Perforce\c_kdasar_c-kdasar_7769\commercial\MPSS.JO.2.0.c1\Main\modem_proc\mcfg\mcfg_gen\generic\China\CT\"/>
    </mc:Choice>
  </mc:AlternateContent>
  <bookViews>
    <workbookView xWindow="3585" yWindow="615" windowWidth="5535" windowHeight="6990" tabRatio="773"/>
  </bookViews>
  <sheets>
    <sheet name="Summary" sheetId="10" r:id="rId1"/>
    <sheet name="TEST-Lab" sheetId="67" r:id="rId2"/>
    <sheet name="TEST_NO_APN-Lab" sheetId="68" r:id="rId3"/>
    <sheet name="TEST_EPS_ONLY-Lab" sheetId="69" r:id="rId4"/>
    <sheet name="CTA-Lab" sheetId="72" r:id="rId5"/>
    <sheet name="Subsidized-Commercial" sheetId="73" r:id="rId6"/>
    <sheet name="OpenMkt-Commercial" sheetId="65" r:id="rId7"/>
    <sheet name="VoLTE_OpenMkt-Commercial" sheetId="74" r:id="rId8"/>
    <sheet name="Conf_VoLTE-Lab" sheetId="75" r:id="rId9"/>
    <sheet name="Revision History" sheetId="8" r:id="rId10"/>
  </sheets>
  <functionGroups builtInGroupCount="18"/>
  <calcPr calcId="152511"/>
</workbook>
</file>

<file path=xl/calcChain.xml><?xml version="1.0" encoding="utf-8"?>
<calcChain xmlns="http://schemas.openxmlformats.org/spreadsheetml/2006/main">
  <c r="I13" i="10" l="1"/>
  <c r="F673" i="75" l="1"/>
  <c r="F671" i="75"/>
  <c r="F669" i="75"/>
  <c r="F665" i="75"/>
  <c r="F663" i="75"/>
  <c r="F660" i="75"/>
  <c r="E661" i="75" s="1"/>
  <c r="G13" i="10" l="1"/>
  <c r="H13" i="10" l="1"/>
  <c r="F806" i="74"/>
  <c r="F804" i="74" s="1"/>
  <c r="F802" i="74"/>
  <c r="F798" i="74"/>
  <c r="F796" i="74" s="1"/>
  <c r="F793" i="74"/>
  <c r="E794" i="74" s="1"/>
  <c r="F21" i="74"/>
  <c r="F303" i="65" l="1"/>
  <c r="F282" i="67"/>
  <c r="F263" i="68"/>
  <c r="F275" i="69"/>
  <c r="F303" i="72"/>
  <c r="F306" i="73"/>
  <c r="F13" i="10"/>
  <c r="E13" i="10"/>
  <c r="D13" i="10"/>
  <c r="C13" i="10"/>
  <c r="B13" i="10"/>
  <c r="F310" i="73"/>
  <c r="F308" i="73" s="1"/>
  <c r="F302" i="73"/>
  <c r="F300" i="73" s="1"/>
  <c r="F307" i="72"/>
  <c r="F305" i="72" s="1"/>
  <c r="F299" i="72"/>
  <c r="F297" i="72" s="1"/>
  <c r="F279" i="69"/>
  <c r="F277" i="69" s="1"/>
  <c r="F271" i="69"/>
  <c r="F269" i="69" s="1"/>
  <c r="F267" i="68"/>
  <c r="F265" i="68" s="1"/>
  <c r="F259" i="68"/>
  <c r="F257" i="68" s="1"/>
  <c r="F286" i="67"/>
  <c r="F284" i="67" s="1"/>
  <c r="F278" i="67"/>
  <c r="F276" i="67" s="1"/>
  <c r="F307" i="65"/>
  <c r="F305" i="65" s="1"/>
  <c r="F299" i="65"/>
  <c r="F297" i="65" s="1"/>
  <c r="F297" i="73"/>
  <c r="E298" i="73" s="1"/>
  <c r="F21" i="73"/>
  <c r="F294" i="72"/>
  <c r="E295" i="72" s="1"/>
  <c r="F21" i="72"/>
  <c r="F21" i="69"/>
  <c r="F266" i="69"/>
  <c r="E267" i="69" s="1"/>
  <c r="F21" i="68"/>
  <c r="F254" i="68"/>
  <c r="E255" i="68" s="1"/>
  <c r="F21" i="67"/>
  <c r="F273" i="67"/>
  <c r="E274" i="67" s="1"/>
  <c r="F21" i="65"/>
  <c r="F294" i="65"/>
  <c r="E295" i="65" s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  <comment ref="F220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  <comment ref="F221" authorId="0" shapeId="0">
      <text>
        <r>
          <rPr>
            <b/>
            <sz val="9"/>
            <color indexed="81"/>
            <rFont val="Tahoma"/>
            <family val="2"/>
          </rPr>
          <t>Qualcomm User:</t>
        </r>
        <r>
          <rPr>
            <sz val="9"/>
            <color indexed="81"/>
            <rFont val="Tahoma"/>
            <family val="2"/>
          </rPr>
          <t xml:space="preserve">
Ankush</t>
        </r>
      </text>
    </comment>
  </commentList>
</comments>
</file>

<file path=xl/sharedStrings.xml><?xml version="1.0" encoding="utf-8"?>
<sst xmlns="http://schemas.openxmlformats.org/spreadsheetml/2006/main" count="9723" uniqueCount="1638">
  <si>
    <t>RELEASE DATE:</t>
  </si>
  <si>
    <t>FILE VERSION:</t>
  </si>
  <si>
    <t>Carrier Index</t>
  </si>
  <si>
    <t>Notes</t>
  </si>
  <si>
    <t>0x01</t>
  </si>
  <si>
    <t>0x03</t>
  </si>
  <si>
    <t>0x02</t>
  </si>
  <si>
    <t xml:space="preserve"> </t>
  </si>
  <si>
    <t>NV Item ID</t>
  </si>
  <si>
    <t>NV Item Name</t>
  </si>
  <si>
    <t>NV Item Struct</t>
  </si>
  <si>
    <t>Comments</t>
  </si>
  <si>
    <t>Slot Cycle Index</t>
  </si>
  <si>
    <t>Mobile CAI Revision Number</t>
  </si>
  <si>
    <t>slot_cycle_index</t>
  </si>
  <si>
    <t>mob_cai_rev</t>
  </si>
  <si>
    <t>nam</t>
  </si>
  <si>
    <t>PZID Hysterisis activation timer</t>
  </si>
  <si>
    <t>hysterisis_activation_timer</t>
  </si>
  <si>
    <t>PZID Hysterisis timer</t>
  </si>
  <si>
    <t>hysterisis_timer</t>
  </si>
  <si>
    <t>0x3C</t>
  </si>
  <si>
    <t>(60 sec)</t>
  </si>
  <si>
    <t>HDR SCP Force Release 0 Session Configuration</t>
  </si>
  <si>
    <t>hdrscp_force_rel0_config</t>
  </si>
  <si>
    <t>Authentication Require Password Encryption</t>
  </si>
  <si>
    <t>auth_require_password_encryption</t>
  </si>
  <si>
    <t>enabled</t>
  </si>
  <si>
    <t>IS2000 CAI Radio Configuration RC Preference</t>
  </si>
  <si>
    <t>pref_for_rc</t>
  </si>
  <si>
    <t>field</t>
  </si>
  <si>
    <t>RC3</t>
  </si>
  <si>
    <t>HDR Receive diversity</t>
  </si>
  <si>
    <t>hdr_rx_diversity_ctrl</t>
  </si>
  <si>
    <t>CDMA Receive diversity</t>
  </si>
  <si>
    <t>cdma_rx_diversity_ctrl</t>
  </si>
  <si>
    <t>SMS Service option</t>
  </si>
  <si>
    <t>sms_service_option</t>
  </si>
  <si>
    <t>sms_so</t>
  </si>
  <si>
    <t>Banner</t>
  </si>
  <si>
    <t>banner</t>
  </si>
  <si>
    <t>letters</t>
  </si>
  <si>
    <t>AAGPS Positioning Modes Supported</t>
  </si>
  <si>
    <t>aagps_positioning_modes_supported</t>
  </si>
  <si>
    <t>Disable CM Call Type</t>
  </si>
  <si>
    <t xml:space="preserve">disable_cm_call_type </t>
  </si>
  <si>
    <t>0x00</t>
  </si>
  <si>
    <t>Digital/Analog Mode Preference</t>
  </si>
  <si>
    <t>pref_mode</t>
  </si>
  <si>
    <t>mode</t>
  </si>
  <si>
    <t>TRM Configuration</t>
  </si>
  <si>
    <t>trm_config</t>
  </si>
  <si>
    <t>trm_config.rf_config</t>
  </si>
  <si>
    <t>trm_config.mask</t>
  </si>
  <si>
    <t>MRU Data Type</t>
  </si>
  <si>
    <t>mru3_table</t>
  </si>
  <si>
    <t>EFS File Description</t>
  </si>
  <si>
    <t>Comment</t>
  </si>
  <si>
    <t>PRL File Name</t>
  </si>
  <si>
    <t>Date</t>
  </si>
  <si>
    <t>Details</t>
  </si>
  <si>
    <t>CR Details</t>
  </si>
  <si>
    <t>Revision History</t>
  </si>
  <si>
    <t>Revision</t>
  </si>
  <si>
    <t>Verison</t>
  </si>
  <si>
    <t>RF Band Configuration</t>
  </si>
  <si>
    <t>rf_bc_config</t>
  </si>
  <si>
    <t>NV Item Type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</si>
  <si>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</si>
  <si>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</si>
  <si>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</si>
  <si>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</si>
  <si>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</si>
  <si>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</si>
  <si>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</si>
  <si>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</si>
  <si>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</si>
  <si>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</si>
  <si>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PRL File</t>
  </si>
  <si>
    <t>0x09</t>
  </si>
  <si>
    <t>Configuration Type</t>
  </si>
  <si>
    <t>RRC Integrity Enabled</t>
  </si>
  <si>
    <t>RRC Ciphering Enabled</t>
  </si>
  <si>
    <t>RRC Fake Security Enabled</t>
  </si>
  <si>
    <t>0xFFFFFFFF</t>
  </si>
  <si>
    <t>/nv/item_files/data/3gpp2/mpit_enabled</t>
  </si>
  <si>
    <t>eHRPD Partial context</t>
  </si>
  <si>
    <t>/nv/item_files/data/3gpp2/ehrpd_partial_context</t>
  </si>
  <si>
    <t>eHRPD-to-HRPD fallback</t>
  </si>
  <si>
    <t>/nv/item_files/data/3gpp2/ehrpd_to_hrpd_fallback</t>
  </si>
  <si>
    <t>efs_item</t>
  </si>
  <si>
    <t>/nv/item_files/modem/mmode/ue_usage_setting</t>
  </si>
  <si>
    <t>3GPP2 Max PPP Inactivity TimerEnabled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</si>
  <si>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</si>
  <si>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</si>
  <si>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</si>
  <si>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</si>
  <si>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</si>
  <si>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</si>
  <si>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</si>
  <si>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</si>
  <si>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</si>
  <si>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</si>
  <si>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</si>
  <si>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</si>
  <si>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</si>
  <si>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</si>
  <si>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</si>
  <si>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</si>
  <si>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</si>
  <si>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</si>
  <si>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</si>
  <si>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</si>
  <si>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</si>
  <si>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</si>
  <si>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</si>
  <si>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</si>
  <si>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</si>
  <si>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</si>
  <si>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band_pref</t>
  </si>
  <si>
    <t>UE Usage Setting</t>
  </si>
  <si>
    <t>0xFFFF</t>
  </si>
  <si>
    <t>propose_ehrpd_after_irat</t>
  </si>
  <si>
    <t>is_roaming_ehrpd_disabled</t>
  </si>
  <si>
    <t>max_hard_fallback_count</t>
  </si>
  <si>
    <t>max_soft_fallback_count</t>
  </si>
  <si>
    <t>back_to_ehrpd_timer</t>
  </si>
  <si>
    <t>For Debug purposes only</t>
  </si>
  <si>
    <t>hybrid_pref</t>
  </si>
  <si>
    <t>Enable HDR ACQ Diversity</t>
  </si>
  <si>
    <t>/nv/item_files/modem/hdr/srch/hdr_acq_div_thresh0</t>
  </si>
  <si>
    <t>/nv/item_files/modem/hdr/srch/hdr_acq_div_thresh1</t>
  </si>
  <si>
    <t>/nv/item_files/modem/hdr/srch/hdr_acq_div_enable</t>
  </si>
  <si>
    <t>HDRSCP Force Restricted CF</t>
  </si>
  <si>
    <t>hdrscp_force_restricted_cf</t>
  </si>
  <si>
    <t>CDMA 1x ZZ2_2 Selection Param</t>
  </si>
  <si>
    <t>/nv/item_files/modem/1x/zz2_2_sel_parms</t>
  </si>
  <si>
    <t>CDMA 1x ZZ2_2 Threshold</t>
  </si>
  <si>
    <t>/nv/item_files/modem/1x/zz2_2_thresh</t>
  </si>
  <si>
    <t/>
  </si>
  <si>
    <t>Carrier Version Update(s)</t>
  </si>
  <si>
    <t>/nv/item_files/modem/data/protocols/tcp_ack_prio</t>
  </si>
  <si>
    <t>TCP ACK Priority</t>
  </si>
  <si>
    <t>Image</t>
  </si>
  <si>
    <t>SW Product</t>
  </si>
  <si>
    <t>MCFG PW</t>
  </si>
  <si>
    <t>Item Type</t>
  </si>
  <si>
    <t>Item Size</t>
  </si>
  <si>
    <t>Item Attribs</t>
  </si>
  <si>
    <t>GPSOne Capability</t>
  </si>
  <si>
    <t>gps1_capability</t>
  </si>
  <si>
    <t>disable Sending System Parameter Info Msg because CT's PDE server does not support it</t>
  </si>
  <si>
    <t xml:space="preserve">Enables the following:
- 1x Access state Rxdiv, 1x Dyn/Static Idle Div, 1x RDDS, Searcher Max combining
</t>
  </si>
  <si>
    <t>Placehodler: for CDMA BC0 and BC1 only</t>
  </si>
  <si>
    <t>0xFF</t>
  </si>
  <si>
    <t>7 for user plane/standalone positioning mode
127 for user plane/control plane/standalone positioning mode</t>
  </si>
  <si>
    <t>GPSOne Vx LCS Agent</t>
  </si>
  <si>
    <t>gps1_vx_lcs_agent</t>
  </si>
  <si>
    <t>V2 architecture is enabled</t>
  </si>
  <si>
    <t>GPSOne Vx Application Trusted Settings</t>
  </si>
  <si>
    <t>gps1_vx_app_trusted_settings</t>
  </si>
  <si>
    <t>all applications are based on no-trusted</t>
  </si>
  <si>
    <t>GPSOne Vx Dedicated SMS Teleservice Identifier</t>
  </si>
  <si>
    <t>gps1_vx_ni_teleservice_id</t>
  </si>
  <si>
    <t>Vx dedicated SMS teleservice identifier is 65001</t>
  </si>
  <si>
    <t>GPSOne Vx MO Max Duration</t>
  </si>
  <si>
    <t>gps1_vx_mo_max_duration</t>
  </si>
  <si>
    <t>set MO tracking max value to default one</t>
  </si>
  <si>
    <t>GPSOne Seed Position Option</t>
  </si>
  <si>
    <t>gps1_seedpos_option</t>
  </si>
  <si>
    <t>0xFFFD</t>
  </si>
  <si>
    <t>disable seed position from system parameter for standalone mode</t>
  </si>
  <si>
    <t>AAGPS Use Transport Security</t>
  </si>
  <si>
    <t>aagps_use_transport_security</t>
  </si>
  <si>
    <t>0 for connecting to a SUPL server without security(TLS/SSL) mechanism
1 for connecting to a SUPL server with security(TLS/SSL) mechanism</t>
  </si>
  <si>
    <t>CDMA SO68 Enabled</t>
  </si>
  <si>
    <t>cdma_so68_enabled</t>
  </si>
  <si>
    <t>enable 4GV</t>
  </si>
  <si>
    <t>SMS MO On Access Channel</t>
  </si>
  <si>
    <t>channel_preference</t>
  </si>
  <si>
    <t>Based on the network selection:
For CT network, disable access channel for short message.
For CDG test, 1 Enable send short message on access channel, 0 Disable send short message on access channel</t>
  </si>
  <si>
    <t>SMS MO On Traffic Channel</t>
  </si>
  <si>
    <t>sms_mo_on_traffic</t>
  </si>
  <si>
    <t>for SO 6</t>
  </si>
  <si>
    <t>CGPS 1X MPC Server Address IPV4</t>
  </si>
  <si>
    <t>cgps_1x_mpc_server_addr_ipv4</t>
  </si>
  <si>
    <t>0x0AC716A5</t>
  </si>
  <si>
    <t>mpc address:10.199.22.165</t>
  </si>
  <si>
    <t>CGPS 1X MPC Server Port</t>
  </si>
  <si>
    <t>cgps_1x_mpc_server_port</t>
  </si>
  <si>
    <t>mpc port: 6066</t>
  </si>
  <si>
    <t>CGPS MO Method</t>
  </si>
  <si>
    <t>cgps_mo_method</t>
  </si>
  <si>
    <t>User Plane(SUPL)</t>
  </si>
  <si>
    <t>GPSOne XTRA Time Info Enabled</t>
  </si>
  <si>
    <t>gps1_xtra_time_info_enabled</t>
  </si>
  <si>
    <t>enable SNTP time auto download</t>
  </si>
  <si>
    <t>Band Class Preference</t>
  </si>
  <si>
    <t>Strucutre modified</t>
  </si>
  <si>
    <t>Any band</t>
  </si>
  <si>
    <t>GPS1 Lock</t>
  </si>
  <si>
    <t>gps1_lock</t>
  </si>
  <si>
    <t>GPSOne XTRA Enabled</t>
  </si>
  <si>
    <t>gps1_xtra_enabled</t>
  </si>
  <si>
    <t>GPSOne XTRA Download Interval</t>
  </si>
  <si>
    <t>gps1_xtra_download_interval</t>
  </si>
  <si>
    <t>GPSOne XTRA No. of Download Attempts</t>
  </si>
  <si>
    <t>gps1_xtra_num_download_attempts</t>
  </si>
  <si>
    <t>GPSOne XTRA Time Between Attempts</t>
  </si>
  <si>
    <t>gps1_xtra_time_between_attempts</t>
  </si>
  <si>
    <t>GPSOne XTRA Auto Download Enabled</t>
  </si>
  <si>
    <t>gps1_xtra_auto_download_enabled</t>
  </si>
  <si>
    <t xml:space="preserve">DS707 Go Null Timer 1X </t>
  </si>
  <si>
    <t>ds707_go_null_timer_1x</t>
  </si>
  <si>
    <t>(N/A)</t>
  </si>
  <si>
    <t>DS707 Go Null Timer DO</t>
  </si>
  <si>
    <t>ds707_go_null_timer_do</t>
  </si>
  <si>
    <t>CGPS NMEA Configuartion Information</t>
  </si>
  <si>
    <t>cgps_nmea_config_info</t>
  </si>
  <si>
    <t>cgps_nmea_config_info.nmea_port_type</t>
  </si>
  <si>
    <t>cgps_nmea_config_info.nmea_reporting_type</t>
  </si>
  <si>
    <t>HDR IS683A Scan List</t>
  </si>
  <si>
    <t>nv_hdr_is683a_scan_list_type</t>
  </si>
  <si>
    <t>nv_hdr_is683a_scan_list_type.nam</t>
  </si>
  <si>
    <t>nv_hdr_is683a_scan_list_type.band</t>
  </si>
  <si>
    <t>nv_hdr_is683a_scan_list_type.chan</t>
  </si>
  <si>
    <t>GPS Default Operating Mode</t>
  </si>
  <si>
    <t>gps_default_operating_mode</t>
  </si>
  <si>
    <t>GPS Default TBF</t>
  </si>
  <si>
    <t>gps_default_tbf</t>
  </si>
  <si>
    <t>Filename</t>
  </si>
  <si>
    <t>NV item type</t>
  </si>
  <si>
    <t>EFS File Name</t>
  </si>
  <si>
    <t>Operator name for enabling QRD features</t>
  </si>
  <si>
    <t>/nv/item_files/modem/mmode/operator_name</t>
  </si>
  <si>
    <t>MPSS Configuration Items Listing</t>
  </si>
  <si>
    <t>/policyman/carrier_policy.xml</t>
  </si>
  <si>
    <t>NV Items</t>
  </si>
  <si>
    <t>0x39</t>
  </si>
  <si>
    <t>0x19</t>
  </si>
  <si>
    <t>HDR ACQ DIV Threshold 0</t>
  </si>
  <si>
    <t>Default = -98</t>
  </si>
  <si>
    <t>HDR ACQ DIV Threshold 1</t>
  </si>
  <si>
    <t>Default = -105</t>
  </si>
  <si>
    <t>subs_mask</t>
  </si>
  <si>
    <t>3GPP2 Internal Auth</t>
  </si>
  <si>
    <t>/nv/item_files/data/3gpp2/internal_auth</t>
  </si>
  <si>
    <t>Policy Manager</t>
  </si>
  <si>
    <t>SVLTE_LWG+G_DSDS_roam</t>
  </si>
  <si>
    <t>3GPP2 Back Pressure Removal</t>
  </si>
  <si>
    <t>/nv/item_files/data/3gpp2/3gpp2_back_pressure_removal</t>
  </si>
  <si>
    <t>timer_value</t>
  </si>
  <si>
    <t>/nv/item_files/mcs/lmtsmgr/coex/backoff/non_im_desense_gsm_victim_lte_aggr</t>
  </si>
  <si>
    <t>/nv/item_files/mcs/lmtsmgr/coex/backoff/non_im_desense_gsm_victim_tdscdma_aggr</t>
  </si>
  <si>
    <t>EVRC Voice Service Options</t>
  </si>
  <si>
    <t>pref_voice_so</t>
  </si>
  <si>
    <t>evrc_capability_enabled</t>
  </si>
  <si>
    <t>home_page_voice_so</t>
  </si>
  <si>
    <t>home_orig_voice_so</t>
  </si>
  <si>
    <t>roam_orig_voice_so</t>
  </si>
  <si>
    <t>HDR SCP Session Status</t>
  </si>
  <si>
    <t>hdrscp_session_status</t>
  </si>
  <si>
    <t>Interrat NACC Support</t>
  </si>
  <si>
    <t>interrat_nacc_support</t>
  </si>
  <si>
    <t>HDR L1 debug mask</t>
  </si>
  <si>
    <t>hdrl1_dbg_msk</t>
  </si>
  <si>
    <t>hdrl1_dbg_msk.hdrsrch_dbg_msk</t>
  </si>
  <si>
    <t>hdrl1_dbg_msk.hdrmac_dbg_msk</t>
  </si>
  <si>
    <t>eHRPD Authentication Mode</t>
  </si>
  <si>
    <t>nv_ehrpd_auth_in_usim_i</t>
  </si>
  <si>
    <t>for DSDA</t>
  </si>
  <si>
    <t>ASID 1</t>
  </si>
  <si>
    <t>AS_ID_1_DATA</t>
  </si>
  <si>
    <t>ASID 2</t>
  </si>
  <si>
    <t>AS_ID_2_DATA</t>
  </si>
  <si>
    <t>1x_victim_gsm_aggr</t>
  </si>
  <si>
    <t>/nv/item_files/mcs/lmtsmgr/coex/blank/1x_victim_gsm_aggr</t>
  </si>
  <si>
    <t>modem_proc\mcfg\mcfg_gen\scripts\data\efs_files\ct\dsda\1x_victim_gsm_aggr</t>
  </si>
  <si>
    <t>gsm1_victim_gsm2_aggr</t>
  </si>
  <si>
    <t>/nv/item_files/mcs/lmtsmgr/coex/blank/gsm1_victim_gsm2_aggr</t>
  </si>
  <si>
    <t>modem_proc\mcfg\mcfg_gen\scripts\data\efs_files\ct\dsda\gsm1_victim_gsm2_aggr</t>
  </si>
  <si>
    <t>gsm2_victim_gsm1_aggr</t>
  </si>
  <si>
    <t>/nv/item_files/mcs/lmtsmgr/coex/blank/gsm2_victim_gsm1_aggr</t>
  </si>
  <si>
    <t>modem_proc\mcfg\mcfg_gen\scripts\data\efs_files\ct\dsda\gsm2_victim_gsm1_aggr</t>
  </si>
  <si>
    <t>gsm_victim_1x_aggr</t>
  </si>
  <si>
    <t>/nv/item_files/mcs/lmtsmgr/coex/blank/gsm_victim_1x_aggr</t>
  </si>
  <si>
    <t>modem_proc\mcfg\mcfg_gen\scripts\data\efs_files\ct\dsda\gsm_victim_1x_aggr</t>
  </si>
  <si>
    <t>gsm_victim_hdr_aggr</t>
  </si>
  <si>
    <t>/nv/item_files/mcs/lmtsmgr/coex/blank/gsm_victim_hdr_aggr</t>
  </si>
  <si>
    <t>modem_proc\mcfg\mcfg_gen\scripts\data\efs_files\ct\dsda\gsm_victim_hdr_aggr</t>
  </si>
  <si>
    <t>gsm_victim_wcdma_aggr</t>
  </si>
  <si>
    <t>/nv/item_files/mcs/lmtsmgr/coex/blank/gsm_victim_wcdma_aggr</t>
  </si>
  <si>
    <t>modem_proc\mcfg\mcfg_gen\scripts\data\efs_files\ct\dsda\gsm_victim_wcdma_aggr</t>
  </si>
  <si>
    <t>hdr_victim_gsm_aggr</t>
  </si>
  <si>
    <t>/nv/item_files/mcs/lmtsmgr/coex/blank/hdr_victim_gsm_aggr</t>
  </si>
  <si>
    <t>modem_proc\mcfg\mcfg_gen\scripts\data\efs_files\ct\dsda\hdr_victim_gsm_aggr</t>
  </si>
  <si>
    <t>non_im_desense_gsm_victim_lte_aggr</t>
  </si>
  <si>
    <t>modem_proc\mcfg\mcfg_gen\scripts\data\efs_files\ct\dsda\non_im_desense_gsm_victim_lte_aggr</t>
  </si>
  <si>
    <t>non_im_desense_gsm_victim_tdscdma_aggr</t>
  </si>
  <si>
    <t>modem_proc\mcfg\mcfg_gen\scripts\data\efs_files\ct\dsda\non_im_desense_gsm_victim_tdscdma_aggr</t>
  </si>
  <si>
    <t>wcdma_victim_gsm_aggr</t>
  </si>
  <si>
    <t>/nv/item_files/mcs/lmtsmgr/coex/blank/wcdma_victim_gsm_aggr</t>
  </si>
  <si>
    <t>modem_proc\mcfg\mcfg_gen\scripts\data\efs_files\ct\dsda\wcdma_victim_gsm_aggr</t>
  </si>
  <si>
    <t>Select Carriers for Generation</t>
  </si>
  <si>
    <t>Spreadsheet statistics</t>
  </si>
  <si>
    <t>Total carrier configurations</t>
  </si>
  <si>
    <t>Total supported items (NV &amp; EFS)</t>
  </si>
  <si>
    <t>Voice Domain Preference</t>
  </si>
  <si>
    <t>/nv/item_files/modem/mmode/voice_domain_pref</t>
  </si>
  <si>
    <t>CS preferred</t>
  </si>
  <si>
    <t>CT_RG_DS</t>
  </si>
  <si>
    <t>Default</t>
  </si>
  <si>
    <t>Carrier Labels are of the form: [Carrier_Name]_&lt;v1&gt;_&lt;v2&gt;_&lt;v3&gt;
&lt;v1&gt;: C = CSFB+G, S = SGLTE + G, V = SVLTE, R = SRLTE, VG = SVLTE+G, RG = SRLTE + G
&lt;v2&gt;: SS = SingleSIM, DA = DSDA, DS = DSDS
&lt;v3&gt;: M = ComMercial, F = ConFormance</t>
  </si>
  <si>
    <t>Defaults</t>
  </si>
  <si>
    <t>enable HDR Idle &amp; Access Div  Defaulted</t>
  </si>
  <si>
    <t>Defaulted</t>
  </si>
  <si>
    <t>enable SMS ON TCH -- Defaulted</t>
  </si>
  <si>
    <t>LTE NAS temp forbidden PLMN feature</t>
  </si>
  <si>
    <t>/nv/item_files/modem/nas/lte_nas_temp_fplmn_backoff_time</t>
  </si>
  <si>
    <t>pcmt_val_ehrpd</t>
  </si>
  <si>
    <t>3GPP2 Max Fallback PDN Failure Count</t>
  </si>
  <si>
    <t>/nv/item_files/data/3gpp2/max_fb_pdn_failure_count</t>
  </si>
  <si>
    <t>SMS MO Retry Period</t>
  </si>
  <si>
    <t>sms_mo_retry_period</t>
  </si>
  <si>
    <t>SMS MO Retry Interval</t>
  </si>
  <si>
    <t>sms_mo_retry_interval</t>
  </si>
  <si>
    <t>SMS Max Payload Length</t>
  </si>
  <si>
    <t>sms_max_payload_length</t>
  </si>
  <si>
    <t xml:space="preserve">Is this really needed? </t>
  </si>
  <si>
    <t>SXLTE Timers</t>
  </si>
  <si>
    <t>/nv/item_files/modem/mmode/sxlte_timers</t>
  </si>
  <si>
    <t>1x ACQ Priority Inversion Timers</t>
  </si>
  <si>
    <t>/nv/item_files/modem/1x/acq_pri_timers</t>
  </si>
  <si>
    <t>en_mask</t>
  </si>
  <si>
    <t>acq_low_pri_timer</t>
  </si>
  <si>
    <t>acq_high_pri_timer</t>
  </si>
  <si>
    <t>3GPP2 Do Session Close After MIP Failure</t>
  </si>
  <si>
    <t>/nv/item_files/data/3gpp2/mip_fail_do_sess_close</t>
  </si>
  <si>
    <t>pcmt_val_irat</t>
  </si>
  <si>
    <t xml:space="preserve">Preferred Hybrid Mode </t>
  </si>
  <si>
    <t>Preferred Hybrid Mode (sub 1)</t>
  </si>
  <si>
    <t>China Telecom(CT_SRLTE+G_DSDS)  MCFG SW Items List</t>
  </si>
  <si>
    <t>/nv/item_files/modem/lte/rrc/lte_rrc_1xcsfb_enabled</t>
  </si>
  <si>
    <t>lte_rrc_1xcsfb_enabled</t>
  </si>
  <si>
    <t>? N#</t>
  </si>
  <si>
    <t>Support For Dual Rx UEs</t>
  </si>
  <si>
    <t>/nv/item_files/modem/mmode/supportfordualrxues</t>
  </si>
  <si>
    <t>CT</t>
  </si>
  <si>
    <t>Grey background</t>
  </si>
  <si>
    <t>Purple background</t>
  </si>
  <si>
    <t>Yellow background</t>
  </si>
  <si>
    <t>Blue Background</t>
  </si>
  <si>
    <t>No background</t>
  </si>
  <si>
    <t>NV columns containing necessary data</t>
  </si>
  <si>
    <t>NV/EFS columns containing notes/comments</t>
  </si>
  <si>
    <t>MultiSIM listing</t>
  </si>
  <si>
    <t>EFS listing (as opposed to NV)</t>
  </si>
  <si>
    <t>Recently changed item</t>
  </si>
  <si>
    <t>Blue Font (any background)</t>
  </si>
  <si>
    <t>Formatting Legend for Carrier Spreadsheets</t>
  </si>
  <si>
    <t>HDR SCP force AT configuration</t>
  </si>
  <si>
    <t>Placeholder (Listing present in spreadsheet only. Data is not a part of MBN )</t>
  </si>
  <si>
    <t>MSIM Standby ESR Support</t>
  </si>
  <si>
    <t>/nv/item_files/modem/mmode/msim_standby_esr_support</t>
  </si>
  <si>
    <t>is_esr_supported</t>
  </si>
  <si>
    <t>IP PPP Password</t>
  </si>
  <si>
    <t>ppp_password</t>
  </si>
  <si>
    <t>passsword_len</t>
  </si>
  <si>
    <t>vnet.mobi</t>
  </si>
  <si>
    <t>PPP User Id</t>
  </si>
  <si>
    <t>password</t>
  </si>
  <si>
    <t>ppp_user_id</t>
  </si>
  <si>
    <t>len</t>
  </si>
  <si>
    <t>id</t>
  </si>
  <si>
    <t>ctnet@mycdma.cn</t>
  </si>
  <si>
    <t>modem_proc\mcfg\mcfg_gen\scripts\data\efs_files\ct\Profile101</t>
  </si>
  <si>
    <t>MMGSDI  Features Status List</t>
  </si>
  <si>
    <t>/nv/item_files/modem/uim/mmgsdi/features_status_list</t>
  </si>
  <si>
    <t>modem_proc\mcfg\mcfg_gen\scripts\data\efs_files\ct\features_status_list</t>
  </si>
  <si>
    <t>bst_tbl</t>
  </si>
  <si>
    <t>/sd/bst_tbl</t>
  </si>
  <si>
    <t>modem_proc\mcfg\mcfg_gen\scripts\data\efs_files\ct\bst_tbl</t>
  </si>
  <si>
    <t>spv_timer_connected</t>
  </si>
  <si>
    <t>/nv/item_files/modem/lte/ML1/spv_timer_connected</t>
  </si>
  <si>
    <t>modem_proc\mcfg\mcfg_gen\scripts\data\efs_files\ct\spv_timer_connected</t>
  </si>
  <si>
    <t>? NV#</t>
  </si>
  <si>
    <t>PBM ECC Number</t>
  </si>
  <si>
    <t xml:space="preserve">/nv/item_files/pbm/pbm_ecc_nums </t>
  </si>
  <si>
    <t>int[480]</t>
  </si>
  <si>
    <t>0,3,3,57,49,49,0,0,0,0,0,0,0,0,0,0,0,0,0,0,0,0,0,0,0,0,0,0,0,0,0,0,0,0,0,0,0,0,0,0,0,0,0,0,0,0,0,2,0,3,3,49,49,50,0,0,0,0,0,0,0,0,0,0,0,0,0,0,0,0,0,0,0,0,0,0,0,0,0,0,0,0,0,0,0,0,0,0,0,0,0,0,0,0,0,2,0</t>
  </si>
  <si>
    <t>PBM ECC Read Config</t>
  </si>
  <si>
    <t>/nv/item_files/pbm/pbm_nv_ecc_config</t>
  </si>
  <si>
    <t>PBM Hardcoded ECC Config</t>
  </si>
  <si>
    <t>/nv/item_files/pbm/pbm_hardcoded_ecc_config</t>
  </si>
  <si>
    <t>PBM Hardcoded ECC Numbers</t>
  </si>
  <si>
    <t>/nv/item_files/pbm/pbm_hardcoded_ecc_list</t>
  </si>
  <si>
    <t>int[350]</t>
  </si>
  <si>
    <t>4,42,57,49,49,0,0,0,0,0,0,0,0,0,0,0,0,0,0,0,0,0,0,0,0,0,0,0,0,0,1,0,0,1,0,4,35,57,49,49,0,0,0,0,0,0,0,0,0,0,0,0,0,0,0,0,0,0,0,0,0,0,0,0,0,1,0,0,1,0,3,48,48,48,0,0,0,0,0,0,0,0,0,0,0,0,0,0,0,0,0,0,0,0,0,0,0,0,0,0,1,0,0,2,1,2,48,56,0,0,0,0,0,0,0,0,0,0,0,0,0,0,0,0,0,0,0,0,0,0,0,0,0,0,0,1,0,0,2,1,3,49,49,48,0,0,0,0,0,0,0,0,0,0,0,0,0,0,0,0,0,0,0,0,0,0,0,0,0,0,1,0,0,2,1,3,57,57,57,0,0,0,0,0,0,0,0,0,0,0,0,0,0,0,0,0,0,0,0,0,0,0,0,0,0,1,0,0,2,1,3,49,49,56,0,0,0,0,0,0,0,0,0,0,0,0,0,0,0,0,0,0,0,0,0,0,0,0,0,0,1,0,0,2,1,3,49,49,57,0,0,0,0,0,0,0,0,0,0,0,0,0,0,0,0,0,0,0,0,0,0,0,0,0,0,1,0,0,2,1,3,49,50,48,0,0,0,0,0,0,0,0,0,0,0,0,0,0,0,0,0,0,0,0,0,0,0,0,0,0,1,0,0,2,1,3,49,50,50,0,0,0,0,0,0,0,0,0,0,0,0,0,0,0,0,0,0,0,0,0,0,0,0,0,0,1,0,0,2,1</t>
  </si>
  <si>
    <t>EHRPD Max Transmission Unit</t>
  </si>
  <si>
    <t>/nv/item_files/data/1x/707/ds707_ehrpd_mtu</t>
  </si>
  <si>
    <t>diff_fdd_tdd_fgi_enable</t>
  </si>
  <si>
    <t>/nv/item_files/modem/lte/rrc/cap/diff_fdd_tdd_fgi_enable</t>
  </si>
  <si>
    <t>QC_Version</t>
  </si>
  <si>
    <t>QC_Version_len</t>
  </si>
  <si>
    <t>0x05</t>
  </si>
  <si>
    <t>QC_Version_type</t>
  </si>
  <si>
    <t>/nv/item_files/gps/cgps/sm/gnss_1x_up_supl_enable</t>
  </si>
  <si>
    <t>GNSS 1X Up SUPL Enable</t>
  </si>
  <si>
    <t>/nv/item_files/modem/mmode/c2k_switch_2_srlte</t>
  </si>
  <si>
    <t>C2K Switch To SRLTE</t>
  </si>
  <si>
    <t>TM_CORE_DONT_ABORT_GPS_SESSION_ON_E911</t>
  </si>
  <si>
    <t>/nv/item_files/gps/cgps/sm/gnss_nv_efs_sm_e911_config</t>
  </si>
  <si>
    <t>GNSS NV EFS SM E911 Config</t>
  </si>
  <si>
    <t>gnss_agps_rat_pref_config.agps_rat_enable_bitmask</t>
  </si>
  <si>
    <t>gnss_agps_rat_pref_config.umts_lte_prefered</t>
  </si>
  <si>
    <t>/nv/item_files/gps/cgps/sm/gnss_agps_rat_pref_config</t>
  </si>
  <si>
    <t>GNSS AGPS RAT Preference</t>
  </si>
  <si>
    <t xml:space="preserve"> Included to set ZUC as primary security algorithm</t>
  </si>
  <si>
    <t>modem_proc\mcfg\mcfg_gen\scripts\data\efs_files\lte_nas_ue_sec_capability_china</t>
  </si>
  <si>
    <t>/nv/item_files/modem/nas/lte_nas_ue_sec_capability</t>
  </si>
  <si>
    <t>LTE NAS UE security capability</t>
  </si>
  <si>
    <t>/nv/item_files/modem/qmi/cat/qmi_cat_mode</t>
  </si>
  <si>
    <t>QMI CAT Mode</t>
  </si>
  <si>
    <t>65819
EFS file also includes deafaults (not listed below):
item[1] = 1</t>
  </si>
  <si>
    <t>modem_proc\mcfg\mcfg_gen\scripts\data\efs_files\ct\sdssscr_timers</t>
  </si>
  <si>
    <t>/nv/item_files/modem/mmode/sd/sdssscr_timers</t>
  </si>
  <si>
    <t>System Determination Timers</t>
  </si>
  <si>
    <t>4,100,240,0,100,240,32,100,240,112,100,240,128,0</t>
  </si>
  <si>
    <t>int[61]</t>
  </si>
  <si>
    <t>/nv/item_files/modem/nas/ehplmn</t>
  </si>
  <si>
    <t>Equivalent HPLMN</t>
  </si>
  <si>
    <t>modem_proc\mcfg\mcfg_gen\scripts\data\efs_files\ct\band_priority_list</t>
  </si>
  <si>
    <t>/nv/item_files/modem/lte/rrc/csp/band_priority_list</t>
  </si>
  <si>
    <t>band_priority_list</t>
  </si>
  <si>
    <t>Enable 04960 NV t 1for CT configurations</t>
  </si>
  <si>
    <t>hs_based_plus_dial_setting CDMA</t>
  </si>
  <si>
    <t xml:space="preserve">HS Based Plus Dial Setting </t>
  </si>
  <si>
    <t>AAGPS_NV_EMERGENCY_SUPPORT_LOW_PRIORITY</t>
  </si>
  <si>
    <t>aagps_emergency_services_spprt</t>
  </si>
  <si>
    <t>AAGPS Emergency Services Support</t>
  </si>
  <si>
    <t>0x800</t>
  </si>
  <si>
    <t>gnss_OEM_Feature_Mask</t>
  </si>
  <si>
    <t>GNSS OEM Feature Mask</t>
  </si>
  <si>
    <t>0xFF7F</t>
  </si>
  <si>
    <t>0x6C91</t>
  </si>
  <si>
    <t>0xC1</t>
  </si>
  <si>
    <t>CT_RG_DS_UE1</t>
  </si>
  <si>
    <t>CT_RG_DS_UE2</t>
  </si>
  <si>
    <t>CT_RG_DS_UE3</t>
  </si>
  <si>
    <t>Generic</t>
  </si>
  <si>
    <t>China</t>
  </si>
  <si>
    <t>Carrier</t>
  </si>
  <si>
    <t>XTRA-T Feature Control</t>
  </si>
  <si>
    <t>/nv/item_files/gps/cgps/ulp/tle/gnss_xtrat_feature_control</t>
  </si>
  <si>
    <t>QC_version_type</t>
  </si>
  <si>
    <t>QC_version_len</t>
  </si>
  <si>
    <t>QC_version</t>
  </si>
  <si>
    <t>1X to LTE Handup Enabled</t>
  </si>
  <si>
    <t>/nv/item_files/data/3gpp2/1x_to_LTE_handup_enabled</t>
  </si>
  <si>
    <t>0x387</t>
  </si>
  <si>
    <t>NV_BAND_PREF_I6_32_I</t>
  </si>
  <si>
    <t>band_pref_16_31</t>
  </si>
  <si>
    <t>0x4FF</t>
  </si>
  <si>
    <t>0xC0A80101</t>
  </si>
  <si>
    <t>GPSOne Enable MS-B Throtlling</t>
  </si>
  <si>
    <t>gps1_msb_throttle_enable</t>
  </si>
  <si>
    <t>CGPS Minimum GPS Week Number</t>
  </si>
  <si>
    <t>cgps_minimum_gps_week_number</t>
  </si>
  <si>
    <t>adjust GPS week to old GPS week</t>
  </si>
  <si>
    <t>disable MPC/PDE throttling</t>
  </si>
  <si>
    <t>APN = ctwap</t>
  </si>
  <si>
    <t>SD Configurable Items</t>
  </si>
  <si>
    <t>sd_cfg_items</t>
  </si>
  <si>
    <t xml:space="preserve">nv_sd_cfg_items_s_type.items[16]        </t>
  </si>
  <si>
    <t xml:space="preserve">nv_sd_cfg_items_s_type.version                  </t>
  </si>
  <si>
    <t xml:space="preserve">nv_sd_cfg_items_s_type.count                        </t>
  </si>
  <si>
    <t xml:space="preserve">nv_sd_cfg_items_s_type.items[0]              </t>
  </si>
  <si>
    <t xml:space="preserve">nv_sd_cfg_items_s_type.items[1]        </t>
  </si>
  <si>
    <t xml:space="preserve">nv_sd_cfg_items_s_type.items[2]                 </t>
  </si>
  <si>
    <t>nv_sd_cfg_items_s_type.items[3]</t>
  </si>
  <si>
    <t xml:space="preserve">nv_sd_cfg_items_s_type.items[4]               </t>
  </si>
  <si>
    <t xml:space="preserve">nv_sd_cfg_items_s_type.items[5]    </t>
  </si>
  <si>
    <t xml:space="preserve">nv_sd_cfg_items_s_type.items[6]       </t>
  </si>
  <si>
    <t xml:space="preserve">nv_sd_cfg_items_s_type.items[7]          </t>
  </si>
  <si>
    <t xml:space="preserve">nv_sd_cfg_items_s_type.items[8]     </t>
  </si>
  <si>
    <t xml:space="preserve">nv_sd_cfg_items_s_type.items[9]     </t>
  </si>
  <si>
    <t>nv_sd_cfg_items_s_type.items[10]</t>
  </si>
  <si>
    <t>nv_sd_cfg_items_s_type.items[11]</t>
  </si>
  <si>
    <t>nv_sd_cfg_items_s_type.items[12]</t>
  </si>
  <si>
    <t>nv_sd_cfg_items_s_type.items[13]</t>
  </si>
  <si>
    <t xml:space="preserve">nv_sd_cfg_items_s_type.items[14]    </t>
  </si>
  <si>
    <t xml:space="preserve">nv_sd_cfg_items_s_type.items[15]    </t>
  </si>
  <si>
    <t xml:space="preserve">nv_sd_cfg_items_s_type.items[17]       </t>
  </si>
  <si>
    <t xml:space="preserve">nv_sd_cfg_items_s_type.items[18]       </t>
  </si>
  <si>
    <t xml:space="preserve">nv_sd_cfg_items_s_type.items[19]     </t>
  </si>
  <si>
    <t xml:space="preserve">nv_sd_cfg_items_s_type.items[20]      </t>
  </si>
  <si>
    <t xml:space="preserve">nv_sd_cfg_items_s_type.items[21]         </t>
  </si>
  <si>
    <t xml:space="preserve">nv_sd_cfg_items_s_type.items[22]          </t>
  </si>
  <si>
    <t xml:space="preserve">nv_sd_cfg_items_s_type.items[23]      </t>
  </si>
  <si>
    <t xml:space="preserve">nv_sd_cfg_items_s_type.items[24] </t>
  </si>
  <si>
    <t>3GPP2 Profile_0</t>
  </si>
  <si>
    <t>modem_proc\mcfg\mcfg_gen\scripts\data\efs_files\ct\Profile0</t>
  </si>
  <si>
    <t>3GPP_Profile1</t>
  </si>
  <si>
    <t>modem_proc\mcfg\mcfg_gen\scripts\data\efs_files\ct\Profile1</t>
  </si>
  <si>
    <t>3GPP2_Profile101</t>
  </si>
  <si>
    <t>3GPP Default LTE PDN Teardown Allowed</t>
  </si>
  <si>
    <t>/nv/item_files/modem/data/3gpp/lteps/allow_def_lte_pdn_teardown</t>
  </si>
  <si>
    <t>allow_def_lte_pdn_teardown</t>
  </si>
  <si>
    <t>Remove Unused Pdn</t>
  </si>
  <si>
    <t>/nv/item_files/modem/data/3gpp/ps/remove_unused_pdn</t>
  </si>
  <si>
    <t>remove_unused_pdn</t>
  </si>
  <si>
    <t>Global Mode CSG Support</t>
  </si>
  <si>
    <t>/nv/item_files/modem/mmode/global_mode_csg</t>
  </si>
  <si>
    <t>Get Net Auto Mode</t>
  </si>
  <si>
    <t>/nv/item_files/modem/mmode/get_net_auto_mode</t>
  </si>
  <si>
    <t>modem_proc\mcfg\mcfg_gen\scripts\data\efs_files\ct\global_mode_csg</t>
  </si>
  <si>
    <t>modem_proc\mcfg\mcfg_gen\scripts\data\efs_files\ct\get_net_auto_mode</t>
  </si>
  <si>
    <t>/sd/rat_acq_order</t>
  </si>
  <si>
    <t>rat_acq_order</t>
  </si>
  <si>
    <t>MMode 1xsxlte Optimization</t>
  </si>
  <si>
    <t>/nv/item_files/modem/mmode/mmode_1xsxlte_optimization</t>
  </si>
  <si>
    <t>atcop_cops_auto_mode.txt</t>
  </si>
  <si>
    <t>/ds/atcop/atcop_cops_auto_mode.txt</t>
  </si>
  <si>
    <t>modem_proc\mcfg\mcfg_gen\scripts\data\efs_files\ct\lab\atcop_cops_auto_mode.txt</t>
  </si>
  <si>
    <t>QNC Enabled Flag</t>
  </si>
  <si>
    <t>data_qnc_enabled</t>
  </si>
  <si>
    <t xml:space="preserve">Disable QNC NV item for China Telecom MBN 0240=0
</t>
  </si>
  <si>
    <t>/Data_Profiles/Profile0</t>
  </si>
  <si>
    <t>/Data_Profiles/Profile1</t>
  </si>
  <si>
    <t>/Data_Profiles/Profile101</t>
  </si>
  <si>
    <t>All configs</t>
  </si>
  <si>
    <t>OpenMkt-Commercial</t>
  </si>
  <si>
    <t>TEST-Lab</t>
  </si>
  <si>
    <t>TEST_NO_APN-Lab</t>
  </si>
  <si>
    <t>TEST_EPS_ONLY-Lab</t>
  </si>
  <si>
    <t>Subsidized-Commercial</t>
  </si>
  <si>
    <t>OpenMkt-Commercial-CT</t>
  </si>
  <si>
    <t>TEST-Lab-CT</t>
  </si>
  <si>
    <t>TEST_NO_APN-Lab-CT</t>
  </si>
  <si>
    <t>TEST_EPS_ONLY-Lab-CT</t>
  </si>
  <si>
    <t>Subsidized-Commercial-CT</t>
  </si>
  <si>
    <t>modem_proc\mcfg\mcfg_gen\scripts\data\efs_files\ct\rat_acq_order.tot</t>
  </si>
  <si>
    <t>CTA-Lab</t>
  </si>
  <si>
    <t>CTA-Lab-CT</t>
  </si>
  <si>
    <t>Data 1x ACQ Hysteresis Timer</t>
  </si>
  <si>
    <t>/nv/item_files/data/dsd/data_1x_acq_hyst_timer</t>
  </si>
  <si>
    <t>Device Config</t>
  </si>
  <si>
    <t>modem_proc\mmcp\policyman\configurations\Carrier\OpenMarket\7+5_mode\CT\1xSRLTE\openMarket\carrier_policy.xml</t>
  </si>
  <si>
    <t>modem_proc\mmcp\policyman\configurations\Carrier\CT\1xSRLTE\subsidized\carrier_policy.xml</t>
  </si>
  <si>
    <t>modem_proc\mmcp\policyman\configurations\DevConfig\7+1_mode\DSDS\device_config.xml</t>
  </si>
  <si>
    <t>/policyman/device_config.xml</t>
  </si>
  <si>
    <t>Secondary ACQ DB</t>
  </si>
  <si>
    <t>/nv/reg_files/modem/lte/rrc/csp/pref_freq_list</t>
  </si>
  <si>
    <t>modem_proc\mcfg\mcfg_gen\scripts\data\efs_files\ct\pref_freq_list</t>
  </si>
  <si>
    <t>pref_freq_list</t>
  </si>
  <si>
    <t>PBM NV ECC List Per Sub</t>
  </si>
  <si>
    <t>/nv/item_files/pbm/pbm_nv_ecc_list_per_sub</t>
  </si>
  <si>
    <t>modem_proc\mcfg\mcfg_gen\scripts\data\efs_files\ct\pbm_nv_ecc_list_per_sub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</si>
  <si>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</si>
  <si>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</si>
  <si>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</si>
  <si>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</si>
  <si>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</si>
  <si>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</si>
  <si>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</si>
  <si>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</si>
  <si>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Configure attach profile list</t>
  </si>
  <si>
    <t>/data/ds_dsd_attach_profile.txt</t>
  </si>
  <si>
    <t>modem_proc\mcfg\mcfg_gen\scripts\data\efs_files\ct\ds_dsd_attach_profile.txt</t>
  </si>
  <si>
    <t>APN:ctnet</t>
  </si>
  <si>
    <t>3GPP_Profile2</t>
  </si>
  <si>
    <t>/Data_Profiles/Profile2</t>
  </si>
  <si>
    <t>modem_proc\mcfg\mcfg_gen\scripts\data\efs_files\ct\Profile2</t>
  </si>
  <si>
    <t>APN:ctwap</t>
  </si>
  <si>
    <t>3GPP2_Profile100</t>
  </si>
  <si>
    <t>/Data_Profiles/Profile100</t>
  </si>
  <si>
    <t>modem_proc\mcfg\mcfg_gen\scripts\data\efs_files\ct\Profile100</t>
  </si>
  <si>
    <t>7+5 changes for OPPO CPL - Got the CT changes from MPSS.TA.2.0-00361-8952_GEN_TEST-2</t>
  </si>
  <si>
    <t>OpenMkt-Commercial@0x05011310
TEST-Lab@0x0501132A
TEST_NO_APN-Lab@0x0501134A
TEST_EPS_ONLY-Lab@0x0501136A
CTA-Lab@0x05011389
Subsidized-Commercial@0x050113AD</t>
  </si>
  <si>
    <t>OpenMkt-Commercial:0x05011311
TEST-Lab:0x0501132B
TEST_NO_APN-Lab:0x0501134B
TEST_EPS_ONLY-Lab:0x0501136B
CTA-Lab:0x0501138A
Subsidized-Commercial:0x050113AE</t>
  </si>
  <si>
    <t>MCFG Updates</t>
  </si>
  <si>
    <t>Update new PM changes for CR 878752, updated version &amp; missing efs files</t>
  </si>
  <si>
    <t>updating profiles</t>
  </si>
  <si>
    <t>MCFG.MPSS.5.0</t>
  </si>
  <si>
    <t>OpenMkt-Commercial:0x05011312
TEST-Lab:0x0501132C
TEST_NO_APN-Lab:0x0501134C
TEST_EPS_ONLY-Lab:0x0501136C
CTA-Lab:0x0501138B
Subsidized-Commercial:0x050113AF</t>
  </si>
  <si>
    <t>Policyman updates to JO 1.2 CT Lab MBNs</t>
  </si>
  <si>
    <t xml:space="preserve">
TEST_NO_APN-Lab:0x0501134D
TEST_EPS_ONLY-Lab:0x0501136D</t>
  </si>
  <si>
    <t>version</t>
  </si>
  <si>
    <t xml:space="preserve"> updated NV 73596 opti[30] = 1</t>
  </si>
  <si>
    <t>OpenMkt-Commercial:0x05011313
CTA-Lab:0x0501138C
Subsidized-Commercial:0x050113B0</t>
  </si>
  <si>
    <t>OpenMkt-Commercial:0x05011314
TEST-Lab:0x0501132D
TEST_NO_APN-Lab:0x0501134E
TEST_EPS_ONLY-Lab:0x0501136E
CTA-Lab:0x0501138D
Subsidized-Commercial:0x050113B1</t>
  </si>
  <si>
    <t>Removed 3189</t>
  </si>
  <si>
    <t>OpenMkt-Commercial:0x05011315
TEST-Lab:0x0501132E
TEST_NO_APN-Lab:0x0501134F
TEST_EPS_ONLY-Lab:0x0501136F
CTA-Lab:0x0501138E</t>
  </si>
  <si>
    <t>Carrier Policy XML updates with PM CR 910938</t>
  </si>
  <si>
    <t>TEST_NO_APN-Lab:0x05011350
TEST_EPS_ONLY-Lab:0x05011370</t>
  </si>
  <si>
    <t>Incorrect PM files in CT Test MBN's - changed the carried policyman file path</t>
  </si>
  <si>
    <t>removed nv 73502 as this is present as part of hw_mbn</t>
  </si>
  <si>
    <t>OpenMkt-Commercial:0x0501136
TEST-Lab:0x0501132F
TEST_NO_APN-Lab:0x05011351
TEST_EPS_ONLY-Lab:0x05011371
CTA-Lab:0x0501138F
Subsidized-Commercial:0x050113B2</t>
  </si>
  <si>
    <t>CT Lab MBN PM file updates: Revert the changes of 839662</t>
  </si>
  <si>
    <t>TEST_NO_APN-Lab:0x05011352
TEST_EPS_ONLY-Lab:0x05011372</t>
  </si>
  <si>
    <t>OpenMkt-Commercial:0x05011317
TEST-Lab:0x05011320
TEST_NO_APN-Lab:0x05011330
TEST_EPS_ONLY-Lab:0x05011340
CTA-Lab:0x05011350
Subsidized-Commercial:0x05011360</t>
  </si>
  <si>
    <t>MCFG-1306|Feero|7+5|CT|LTE B40 is not present in bst_tbl for CT Configuration - updated bst_tbl</t>
  </si>
  <si>
    <t>NV850 not correctly configured by CTA MBN</t>
  </si>
  <si>
    <t>OpenMkt-Commercial:0x05011318
TEST-Lab:0x05011321
TEST_NO_APN-Lab:0x05011331
TEST_EPS_ONLY-Lab:0x05011341
CTA-Lab:0x05011351
Subsidized-Commercial:0x05011361</t>
  </si>
  <si>
    <t>OpenMkt-Commercial:0x05011319</t>
  </si>
  <si>
    <t>Open market MBNs’ IIN or MCC/MNC are not same as expectation</t>
  </si>
  <si>
    <t>OpenMkt-Commercial:0x0501131A
TEST-Lab:0x05011322
TEST_NO_APN-Lab:0x05011332
TEST_EPS_ONLY-Lab:0x05011342
CTA-Lab:0x05011352
Subsidized-Commercial:0x05011362</t>
  </si>
  <si>
    <t>Reopening to fix the missed changes</t>
  </si>
  <si>
    <t>modem_proc\mmcp\policyman\configurations\Carrier\CT\1xSRLTE\test\carrier_policy.xml</t>
  </si>
  <si>
    <t>TEST-Lab:0x05011323</t>
  </si>
  <si>
    <t>TEST-Lab Updates</t>
  </si>
  <si>
    <t>TEST-Lab policyman XML updates with PM CR972001 and set NV-65777 as 0 to work SRLTE Functionality.</t>
  </si>
  <si>
    <t>NV850 Removed</t>
  </si>
  <si>
    <t>OpenMkt-Commercial:0x0501131B
TEST-Lab:0x05011324
TEST_NO_APN-Lab:0x05011333
TEST_EPS_ONLY-Lab:0x05011343
CTA-Lab:0x05011353
Subsidized-Commercial:0x05011363</t>
  </si>
  <si>
    <t>Removed update_band_range from CMCC/CT/CU &amp; added the same to hw_mbn</t>
  </si>
  <si>
    <t>OpenMkt-Commercial:0x0501131C
CTA-Lab:0x05011354
Subsidized-Commercial:0x05011364</t>
  </si>
  <si>
    <t>PM XML files update</t>
  </si>
  <si>
    <t>OpenMkt-Commercial:0x0501131D
TEST_NO_APN-Lab:0x05011334
TEST_EPS_ONLY-Lab:0x05011344
CTA-Lab:0x05011355</t>
  </si>
  <si>
    <t>VoLTE_OPNMKT_CT</t>
  </si>
  <si>
    <t>CT_VoLTE_OM</t>
  </si>
  <si>
    <t>GROUP:IMS</t>
  </si>
  <si>
    <t>QIPCall Preferred URI Type</t>
  </si>
  <si>
    <t>/nv/item_files/ims/qipcall_confrd_uri</t>
  </si>
  <si>
    <t>qipcall_confrd_uri</t>
  </si>
  <si>
    <t>QIPCall DAN Enabled</t>
  </si>
  <si>
    <t>/nv/item_files/ims/qipcall_dan_enable</t>
  </si>
  <si>
    <t>qipall_dan_enable</t>
  </si>
  <si>
    <t>IMS Enable</t>
  </si>
  <si>
    <t>/nv/item_files/ims/IMS_enable</t>
  </si>
  <si>
    <t>IMS_enable</t>
  </si>
  <si>
    <t>IMS DPL Configuration</t>
  </si>
  <si>
    <t>/nv/item_files/ims/qp_ims_dpl_config</t>
  </si>
  <si>
    <t>PtimeValue</t>
  </si>
  <si>
    <t>IsPrivateIPV6AddrEnabled</t>
  </si>
  <si>
    <t>E911IPV6Enabled</t>
  </si>
  <si>
    <t>IPV6Enabled</t>
  </si>
  <si>
    <t>MSRPPktSz</t>
  </si>
  <si>
    <t>RUIMIMSIValue</t>
  </si>
  <si>
    <t>DscpValue</t>
  </si>
  <si>
    <t>IMSParamSrc</t>
  </si>
  <si>
    <t>IMS Registration Module Configuration</t>
  </si>
  <si>
    <t>/nv/item_files/ims/qp_ims_reg_config</t>
  </si>
  <si>
    <t>RegOnMode (0 Power on, 1 On Call)</t>
  </si>
  <si>
    <t>RegModeConfig (0 IETF, 1 EARLY, 2 IMS with IPSec, 3 IMS without IPSec, 4 No IMS)</t>
  </si>
  <si>
    <t>ims</t>
  </si>
  <si>
    <t>regManagerPdpProfileName (In NI 5.0 or later, APN name is used instead of the profile number. Please confirm with test labs for exact APN info)</t>
  </si>
  <si>
    <t>RegEventPacket</t>
  </si>
  <si>
    <t>RegPCOEEnabled</t>
  </si>
  <si>
    <t>RegDHCPEnabled</t>
  </si>
  <si>
    <t>RegPreConfigEnabled</t>
  </si>
  <si>
    <t>regManagerPreConfigServerBase</t>
  </si>
  <si>
    <t>RegRATConfig = CONFIG_RAT_LTE</t>
  </si>
  <si>
    <t>RegNVPCSCFEnabled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</si>
  <si>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</si>
  <si>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</si>
  <si>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</si>
  <si>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</si>
  <si>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</si>
  <si>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</si>
  <si>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</si>
  <si>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5,5,5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</si>
  <si>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</si>
  <si>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</si>
  <si>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</si>
  <si>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</si>
  <si>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</si>
  <si>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</si>
  <si>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</si>
  <si>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SMS Configuration</t>
  </si>
  <si>
    <t>/nv/item_files/ims/qp_ims_sms_config</t>
  </si>
  <si>
    <t>smsConfigVDN</t>
  </si>
  <si>
    <t>SMSFormat</t>
  </si>
  <si>
    <t>+g.3gpp.smsip</t>
  </si>
  <si>
    <t>smsAcceptContact</t>
  </si>
  <si>
    <t>0x440</t>
  </si>
  <si>
    <t>smsRATMaskString</t>
  </si>
  <si>
    <t>RatMaskValue</t>
  </si>
  <si>
    <t>PhoneContextURI</t>
  </si>
  <si>
    <t>iSMSOverIPNetworkIndication</t>
  </si>
  <si>
    <t>IMS SIP Extended Configuration</t>
  </si>
  <si>
    <t>/nv/item_files/ims/qp_ims_sip_extended_0_config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</si>
  <si>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</si>
  <si>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</si>
  <si>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</si>
  <si>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</si>
  <si>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</si>
  <si>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</si>
  <si>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</si>
  <si>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</si>
  <si>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</si>
  <si>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</si>
  <si>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</si>
  <si>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</si>
  <si>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</si>
  <si>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</si>
  <si>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</si>
  <si>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</si>
  <si>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</si>
  <si>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</si>
  <si>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</si>
  <si>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</si>
  <si>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</si>
  <si>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</si>
  <si>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</si>
  <si>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</si>
  <si>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</si>
  <si>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</si>
  <si>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</si>
  <si>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IsSecAgreeforTls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</si>
  <si>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</si>
  <si>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</si>
  <si>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</si>
  <si>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</si>
  <si>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</si>
  <si>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</si>
  <si>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</si>
  <si>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ReservedBytes</t>
  </si>
  <si>
    <t>IMS Operation mode</t>
  </si>
  <si>
    <t>/nv/item_files/ims/ims_operation_mode</t>
  </si>
  <si>
    <t>ims_operation_mode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</si>
  <si>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</si>
  <si>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</si>
  <si>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</si>
  <si>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</si>
  <si>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</si>
  <si>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</si>
  <si>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</si>
  <si>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qipcall_rtp_nb_dtmf_payload_type</t>
  </si>
  <si>
    <t>qipcall_rtp_wb_dtmf_payload_type</t>
  </si>
  <si>
    <t>MediaAttribute</t>
  </si>
  <si>
    <t>qipcall_desired_qos_strength</t>
  </si>
  <si>
    <t>AUDIO_CMR_AMR_NB</t>
  </si>
  <si>
    <t>AUDIO_CMR_AMR_WB</t>
  </si>
  <si>
    <t>emerg_call_cs_only</t>
  </si>
  <si>
    <t>video_media_profile_mode</t>
  </si>
  <si>
    <t>VT Calling Enabled</t>
  </si>
  <si>
    <t>mobile_data_enabled</t>
  </si>
  <si>
    <t>volte_disabled</t>
  </si>
  <si>
    <t>cvo_enabled</t>
  </si>
  <si>
    <t>audio_feature_tag</t>
  </si>
  <si>
    <t>video</t>
  </si>
  <si>
    <t>video_feature_tag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</si>
  <si>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</si>
  <si>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</si>
  <si>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</si>
  <si>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</si>
  <si>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</si>
  <si>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</si>
  <si>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E911_Call_Timer</t>
  </si>
  <si>
    <t>local_upgrade_accept_timer</t>
  </si>
  <si>
    <t>eQipcall_Conference_Subscription_Type</t>
  </si>
  <si>
    <t>multitask_mode</t>
  </si>
  <si>
    <t>qipcall_three_party_call_factory_uri</t>
  </si>
  <si>
    <t>CallWaitingType</t>
  </si>
  <si>
    <t>isCallWaitingEnabled</t>
  </si>
  <si>
    <t>consent_controlled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</si>
  <si>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</si>
  <si>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</si>
  <si>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</si>
  <si>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</si>
  <si>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</si>
  <si>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</si>
  <si>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</si>
  <si>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</si>
  <si>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</si>
  <si>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</si>
  <si>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</si>
  <si>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</si>
  <si>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</si>
  <si>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</si>
  <si>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</si>
  <si>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</si>
  <si>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</si>
  <si>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</si>
  <si>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</si>
  <si>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</si>
  <si>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</si>
  <si>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0x7</t>
  </si>
  <si>
    <t>SRVCC bitmask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</si>
  <si>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</si>
  <si>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</si>
  <si>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</si>
  <si>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</si>
  <si>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</si>
  <si>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</si>
  <si>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</si>
  <si>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</si>
  <si>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</si>
  <si>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</si>
  <si>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</si>
  <si>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</si>
  <si>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</si>
  <si>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</si>
  <si>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</si>
  <si>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</si>
  <si>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</si>
  <si>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</si>
  <si>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</si>
  <si>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</si>
  <si>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</si>
  <si>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</si>
  <si>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</si>
  <si>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</si>
  <si>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</si>
  <si>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</si>
  <si>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</si>
  <si>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gmin</t>
  </si>
  <si>
    <t>tx_system_delay</t>
  </si>
  <si>
    <t>rx_system_delay</t>
  </si>
  <si>
    <t>igps_read_time_at_run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</si>
  <si>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</si>
  <si>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</si>
  <si>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</si>
  <si>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</si>
  <si>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</si>
  <si>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RTPredundancytime</t>
  </si>
  <si>
    <t>Reservedbytes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</si>
  <si>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</si>
  <si>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</si>
  <si>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</si>
  <si>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</si>
  <si>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</si>
  <si>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</si>
  <si>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Capability_discovery_enable
1 - on, 0 - off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</si>
  <si>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</si>
  <si>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</si>
  <si>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</si>
  <si>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</si>
  <si>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</si>
  <si>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</si>
  <si>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</si>
  <si>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</si>
  <si>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</si>
  <si>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</si>
  <si>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 VOIP Configuration</t>
  </si>
  <si>
    <t>/nv/item_files/ims/qp_ims_voip_config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</si>
  <si>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</si>
  <si>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</si>
  <si>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</si>
  <si>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</si>
  <si>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</si>
  <si>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</si>
  <si>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</si>
  <si>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</si>
  <si>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</si>
  <si>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</si>
  <si>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</si>
  <si>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</si>
  <si>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</si>
  <si>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</si>
  <si>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</si>
  <si>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</si>
  <si>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 xml:space="preserve">qipcall_callerid_mode </t>
  </si>
  <si>
    <t>VOIP</t>
  </si>
  <si>
    <t>/nv/item_files/ims/qp_ims_config</t>
  </si>
  <si>
    <t>tip_tir_mode</t>
  </si>
  <si>
    <t>ir_restricted_type</t>
  </si>
  <si>
    <t>OMA_DM_Services_Mask</t>
  </si>
  <si>
    <t>WFC_Status</t>
  </si>
  <si>
    <t>Call ModePreference</t>
  </si>
  <si>
    <t>ims_operation_submode</t>
  </si>
  <si>
    <t>QIPCall Is Conference Aware Mode</t>
  </si>
  <si>
    <t>/nv/item_files/ims/qipcall_is_conference_aware</t>
  </si>
  <si>
    <t>qipcall_is_conference_aware</t>
  </si>
  <si>
    <t>QIPCall QoS Enabled</t>
  </si>
  <si>
    <t>/nv/item_files/ims/qipcall_qos_enabled</t>
  </si>
  <si>
    <t>qipcall_qos_enabled</t>
  </si>
  <si>
    <t>QIPCall Precondition Enabled</t>
  </si>
  <si>
    <t>/nv/item_files/ims/qipcall_precondition_enable</t>
  </si>
  <si>
    <t>qipcall_precondition_enable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</si>
  <si>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</si>
  <si>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</si>
  <si>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</si>
  <si>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</si>
  <si>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</si>
  <si>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qipcall_rtcp_reporting_interval</t>
  </si>
  <si>
    <t>QIPCall Domain Selection Enabled</t>
  </si>
  <si>
    <t>/nv/item_files/ims/qipcall_domain_selection_enable</t>
  </si>
  <si>
    <t>qipcall_domain_selection_enable</t>
  </si>
  <si>
    <t>QIPCall Ringing Timer</t>
  </si>
  <si>
    <t>/nv/item_files/ims/qipcall_ringing_timer</t>
  </si>
  <si>
    <t>qipcall_ringer_timer</t>
  </si>
  <si>
    <t>QIPCall Ringback Timer</t>
  </si>
  <si>
    <t>/nv/item_files/ims/qipcall_ringback_timer</t>
  </si>
  <si>
    <t>qipcall_ringback_timer</t>
  </si>
  <si>
    <t>QIPCall RTP Link Alivness Timer</t>
  </si>
  <si>
    <t>/nv/item_files/ims/qipcall_rtp_link_aliveness_timer</t>
  </si>
  <si>
    <t>qipcall_rtp_link_aliveness_timer</t>
  </si>
  <si>
    <t>QIPCall HD Voice Enabled</t>
  </si>
  <si>
    <t>/nv/item_files/ims/qipcall_enable_hd_voice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</si>
  <si>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</si>
  <si>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</si>
  <si>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</si>
  <si>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</si>
  <si>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 Codec Mode Set</t>
  </si>
  <si>
    <t>/nv/item_files/ims/qipcall_codec_mode_set</t>
  </si>
  <si>
    <t>qipcall_codec_mode_set</t>
  </si>
  <si>
    <t>QIPCall Codec Mode Set AMR-WB</t>
  </si>
  <si>
    <t>/nv/item_files/ims/qipcall_codec_mode_set_amr_wb</t>
  </si>
  <si>
    <t>qipcall_codec_mode_set_amr_wb</t>
  </si>
  <si>
    <t>QIPCall Octet Aligned Mode AMR-WB</t>
  </si>
  <si>
    <t>/nv/item_files/ims/qipcall_octet_aligned_mode_amr_wb</t>
  </si>
  <si>
    <t>qipcall_octet_aligned_mode_amr_wb</t>
  </si>
  <si>
    <t>QIPCall Octet Aligned Mode AMR-NB</t>
  </si>
  <si>
    <t>/nv/item_files/ims/qipcall_octet_aligned_mode_amr_nb</t>
  </si>
  <si>
    <t>qipcall_octet_aligned_mode_amr_nb</t>
  </si>
  <si>
    <t>qipcall_signal_strength_threshold</t>
  </si>
  <si>
    <t>/nv/item_files/ims/qipcall_signal_strength_threshold</t>
  </si>
  <si>
    <t>qp_ims_vt_4G_media_capability</t>
  </si>
  <si>
    <t>/nv/item_files/ims/qp_ims_vt_4G_media_capability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</si>
  <si>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</si>
  <si>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</si>
  <si>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</si>
  <si>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</si>
  <si>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</si>
  <si>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</si>
  <si>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</si>
  <si>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</si>
  <si>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</si>
  <si>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</si>
  <si>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</si>
  <si>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</si>
  <si>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</si>
  <si>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</si>
  <si>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</si>
  <si>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</si>
  <si>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</si>
  <si>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</si>
  <si>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</si>
  <si>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</si>
  <si>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</si>
  <si>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</si>
  <si>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</si>
  <si>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</si>
  <si>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</si>
  <si>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</si>
  <si>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</si>
  <si>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</si>
  <si>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</si>
  <si>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</si>
  <si>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</si>
  <si>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</si>
  <si>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</si>
  <si>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</si>
  <si>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</si>
  <si>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</si>
  <si>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</si>
  <si>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</si>
  <si>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</si>
  <si>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</si>
  <si>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</si>
  <si>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</si>
  <si>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</si>
  <si>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</si>
  <si>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</si>
  <si>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</si>
  <si>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</si>
  <si>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</si>
  <si>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</si>
  <si>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</si>
  <si>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</si>
  <si>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</si>
  <si>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</si>
  <si>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IMS UT Specific Config</t>
  </si>
  <si>
    <t>/nv/item_files/ims/qp_ims_ut_config</t>
  </si>
  <si>
    <t>CTNET</t>
  </si>
  <si>
    <t>utAPNName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</si>
  <si>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</si>
  <si>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</si>
  <si>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</si>
  <si>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</si>
  <si>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</si>
  <si>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</si>
  <si>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iUtRetryTimerValue</t>
  </si>
  <si>
    <t>iUtRetryAttemptCount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</si>
  <si>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</si>
  <si>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</si>
  <si>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</si>
  <si>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</si>
  <si>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</si>
  <si>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</si>
  <si>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</si>
  <si>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</si>
  <si>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xcap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</si>
  <si>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</si>
  <si>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</si>
  <si>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</si>
  <si>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</si>
  <si>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</si>
  <si>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</si>
  <si>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</si>
  <si>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</si>
  <si>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</si>
  <si>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</si>
  <si>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</si>
  <si>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</si>
  <si>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</si>
  <si>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</si>
  <si>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</si>
  <si>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</si>
  <si>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</si>
  <si>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</si>
  <si>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</si>
  <si>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</si>
  <si>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</si>
  <si>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</si>
  <si>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</si>
  <si>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</si>
  <si>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</si>
  <si>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</si>
  <si>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</si>
  <si>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</si>
  <si>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</si>
  <si>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</si>
  <si>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</si>
  <si>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</si>
  <si>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</si>
  <si>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</si>
  <si>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</si>
  <si>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</si>
  <si>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</si>
  <si>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</si>
  <si>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</si>
  <si>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</si>
  <si>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</si>
  <si>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</si>
  <si>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</si>
  <si>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</si>
  <si>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</si>
  <si>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</si>
  <si>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</si>
  <si>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</si>
  <si>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</si>
  <si>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</si>
  <si>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</si>
  <si>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</si>
  <si>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</si>
  <si>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</si>
  <si>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</si>
  <si>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</si>
  <si>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</si>
  <si>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</si>
  <si>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</si>
  <si>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</si>
  <si>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</si>
  <si>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</si>
  <si>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</si>
  <si>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</si>
  <si>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</si>
  <si>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</si>
  <si>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</si>
  <si>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</si>
  <si>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</si>
  <si>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</si>
  <si>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</si>
  <si>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</si>
  <si>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</si>
  <si>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</si>
  <si>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</si>
  <si>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</si>
  <si>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</si>
  <si>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</si>
  <si>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</si>
  <si>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</si>
  <si>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</si>
  <si>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</si>
  <si>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</si>
  <si>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</si>
  <si>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</si>
  <si>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</si>
  <si>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</si>
  <si>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</si>
  <si>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</si>
  <si>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</si>
  <si>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</si>
  <si>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</si>
  <si>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</si>
  <si>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</si>
  <si>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IMS Test Mode</t>
  </si>
  <si>
    <t>/nv/item_files/ims/qp_ims_test_mode</t>
  </si>
  <si>
    <t>IMS Cell ID</t>
  </si>
  <si>
    <t>/nv/item_files/ims/qp_ims_cellid</t>
  </si>
  <si>
    <t>CellId &lt; version 1 &gt;</t>
  </si>
  <si>
    <t>IMS QP USSD Config</t>
  </si>
  <si>
    <t>/nv/item_files/ims/qp_ims_ussd_config</t>
  </si>
  <si>
    <t>USSDEnable</t>
  </si>
  <si>
    <t>QIPCALL QOS Reservation Timer</t>
  </si>
  <si>
    <t>/nv/item_files/ims/qipcall_qos_reservation_timer</t>
  </si>
  <si>
    <t>QOS reservation timer</t>
  </si>
  <si>
    <t>VOIP Preferred Codec</t>
  </si>
  <si>
    <t>/nv/item_files/ims/voip_prfrd_codec</t>
  </si>
  <si>
    <t>QIPCall Quality Selector</t>
  </si>
  <si>
    <t>/nv/item_files/ims/qipcall_vt_quality_selector</t>
  </si>
  <si>
    <t>QIPCall QOS Config</t>
  </si>
  <si>
    <t>/nv/item_files/ims/qipcall_qos_config</t>
  </si>
  <si>
    <t>LocalQoSAudio</t>
  </si>
  <si>
    <t>LocalQoSVideo</t>
  </si>
  <si>
    <t>QoSInactiveInvite &lt; version 1 &gt;</t>
  </si>
  <si>
    <t>QoSInactiveReInvite &lt; version 1 &gt;</t>
  </si>
  <si>
    <t>imshandoverconfig</t>
  </si>
  <si>
    <t>/efsprofiles/imshandoverconfig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</si>
  <si>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</si>
  <si>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</si>
  <si>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</si>
  <si>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</si>
  <si>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</si>
  <si>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</si>
  <si>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</si>
  <si>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</si>
  <si>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</si>
  <si>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</si>
  <si>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</si>
  <si>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</si>
  <si>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</si>
  <si>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</si>
  <si>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</si>
  <si>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</si>
  <si>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</si>
  <si>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</si>
  <si>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</si>
  <si>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</si>
  <si>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</si>
  <si>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</si>
  <si>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IMS REGManager Extended Configuration</t>
  </si>
  <si>
    <t>/nv/item_files/ims/qp_ims_reg_extended_0_config</t>
  </si>
  <si>
    <t>RegConfigNetworkInitiatedDeRegTimer </t>
  </si>
  <si>
    <t>Tdelay  </t>
  </si>
  <si>
    <t>iEmerIPFallback</t>
  </si>
  <si>
    <t>RegConfigPdnRecoveryImmediateTimer </t>
  </si>
  <si>
    <t>iRegRetryBaseTime         </t>
  </si>
  <si>
    <t>iRegRetryMaxTime         </t>
  </si>
  <si>
    <t>eEnableRegInLPM           </t>
  </si>
  <si>
    <t>SMS Domain Preference</t>
  </si>
  <si>
    <t>/nv/item_files/modem/mmode/sms_domain_pref</t>
  </si>
  <si>
    <t>VoLTE_OpenMkt-Commercial</t>
  </si>
  <si>
    <t>All Configurations</t>
  </si>
  <si>
    <t>Removed WCDMA NV 67256 from CT MBNs</t>
  </si>
  <si>
    <t>OpenMkt-Commercial:0x0501131E
TEST-Lab:0x05011325
TEST_NO_APN-Lab:0x05011335
TEST_EPS_ONLY-Lab:0x05011345
CTA-Lab:0x05011356
Subsidized-Commercial:0x05011365
VoLTE_OpenMkt-Commercial:0x050113E1</t>
  </si>
  <si>
    <t>PS Supplementary Service Domain Preference</t>
  </si>
  <si>
    <t>/nv/item_files/modem/mmode/supplement_service_domain_pref</t>
  </si>
  <si>
    <t>VoLTE Configuration</t>
  </si>
  <si>
    <t>Add NV 70239 with Value 3</t>
  </si>
  <si>
    <t>VoLTE_OpenMkt-Commercial:0x050113E2</t>
  </si>
  <si>
    <t>VoLTE_OpenMkt-Commercial:0x050113E3</t>
  </si>
  <si>
    <t>NV-66048 Update</t>
  </si>
  <si>
    <t xml:space="preserve">IsIpv6PrivateAddrEnabled </t>
  </si>
  <si>
    <t>AMR_Mode</t>
  </si>
  <si>
    <t>IMS USIM fallback enabled for CT</t>
  </si>
  <si>
    <t>Wlan Offload Config</t>
  </si>
  <si>
    <t>/nv/item_files/data/wlan_config/wlan_offload_config</t>
  </si>
  <si>
    <t>default_andsf.xml</t>
  </si>
  <si>
    <t>/data/default_andsf.xml</t>
  </si>
  <si>
    <t>ANDSF settings</t>
  </si>
  <si>
    <t>andsf.xml</t>
  </si>
  <si>
    <t>/data/andsf.xml</t>
  </si>
  <si>
    <t>ds_andsf_config.txt</t>
  </si>
  <si>
    <t>/data/ds_andsf_config.txt</t>
  </si>
  <si>
    <t>iwlan_s2b_config.txt</t>
  </si>
  <si>
    <t>/data/iwlan_s2b_config.txt</t>
  </si>
  <si>
    <t>ePDG settings</t>
  </si>
  <si>
    <t>modem_proc\mcfg\mcfg_gen\scripts\data\efs_files\ct\default_andsf.xml</t>
  </si>
  <si>
    <t>modem_proc\mcfg\mcfg_gen\scripts\data\efs_files\ct\andsf.xml</t>
  </si>
  <si>
    <t>modem_proc\mcfg\mcfg_gen\scripts\data\efs_files\ct\ds_andsf_config.txt</t>
  </si>
  <si>
    <t>modem_proc\mcfg\mcfg_gen\scripts\data\efs_files\ct\iwlan_s2b_config.txt</t>
  </si>
  <si>
    <t>3GPP_Profile3</t>
  </si>
  <si>
    <t>3GPP_Profile4</t>
  </si>
  <si>
    <t>/Data_Profiles/Profile3</t>
  </si>
  <si>
    <t>/Data_Profiles/Profile4</t>
  </si>
  <si>
    <t>modem_proc\mcfg\mcfg_gen\scripts\data\efs_files\ct\Profile3</t>
  </si>
  <si>
    <t>modem_proc\mcfg\mcfg_gen\scripts\data\efs_files\ct\Profile4</t>
  </si>
  <si>
    <t>APN:ims</t>
  </si>
  <si>
    <t>APN:sos</t>
  </si>
  <si>
    <t>Updated data profiles</t>
  </si>
  <si>
    <t>OpenMkt-Commercial:0x05011320                                                 TEST-Lab:0x05011327
CTA-Lab:0x05011358
Subsidized-Commercial:0x05011367
VoLTE_OpenMkt-Commercial:0x050113E5</t>
  </si>
  <si>
    <t>Modified NV 70263</t>
  </si>
  <si>
    <t>VoLTE_OpenMkt-Commercial:0x050113E6</t>
  </si>
  <si>
    <t>898603, 898611, 8985302, 8985307</t>
  </si>
  <si>
    <t>OpenMkt-Commercial:0x05011321
TEST-Lab:0x05011328
TEST_NO_APN-Lab:0x05011337
TEST_EPS_ONLY-Lab:0x05011347
CTA-Lab:0x05011359
Subsidized-Commercial:0x05011368
VoLTE_OpenMkt-Commercial:0x050113E7</t>
  </si>
  <si>
    <t>removed 898606 from ICCID list and added 46012 to MCC/MNC list.</t>
  </si>
  <si>
    <t>Updated NV 71527</t>
  </si>
  <si>
    <t>VoLTE_OpenMkt-Commercial:0x050113E8</t>
  </si>
  <si>
    <t>Service Domain Preference</t>
  </si>
  <si>
    <t>srv_domain</t>
  </si>
  <si>
    <t>0 - CS Only, 1 - PS Only, 2 - CS+PS</t>
  </si>
  <si>
    <t>CS</t>
  </si>
  <si>
    <t>Added NV-850</t>
  </si>
  <si>
    <t>TEST_EPS_ONLY-Lab:0x05011348</t>
  </si>
  <si>
    <t>Removed NV 70334 and 70260</t>
  </si>
  <si>
    <t>OpenMkt-Commercial:0x05011322                                                 TEST-Lab:0x05011329
CTA-Lab:0x0501135A
Subsidized-Commercial:0x05011369
VoLTE_OpenMkt-Commercial:0x050113E9</t>
  </si>
  <si>
    <t>MCFG_capability_type</t>
  </si>
  <si>
    <t>0x07</t>
  </si>
  <si>
    <t>MCFG_capability_Length</t>
  </si>
  <si>
    <t>MCFG_capability_values</t>
  </si>
  <si>
    <t>0x00000000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</si>
  <si>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</si>
  <si>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0x00000008</t>
  </si>
  <si>
    <t>0x00000002</t>
  </si>
  <si>
    <t>0x00000004</t>
  </si>
  <si>
    <t>FR31322: Support requirement for CMCC  Open Mkt and Subsidized phones with a single SKU.</t>
  </si>
  <si>
    <t>modem_proc\mcfg\mcfg_gen\scripts\data\efs_files\ct\ehplmn</t>
  </si>
  <si>
    <t>NAS equivalent HPLMN 1</t>
  </si>
  <si>
    <t>/nv/item_files/modem/nas/ehplmn1</t>
  </si>
  <si>
    <t>modem_proc\mcfg\mcfg_gen\scripts\data\efs_files\ct\ehplmn1</t>
  </si>
  <si>
    <t>Added NV-65602 and 73658</t>
  </si>
  <si>
    <t>Subsidized-Commercial:0x0501136B</t>
  </si>
  <si>
    <t>Subsidized-Commercial:0x0501136C</t>
  </si>
  <si>
    <t>OpenMkt-Commercial:0x05011324
TEST-Lab:0x0501132B
TEST_NO_APN-Lab:0x05011339
TEST_EPS_ONLY-Lab:0x0501134A
CTA-Lab:0x0501135C
Subsidized-Commercial:0x0501136D
VoLTE_OpenMkt-Commercial:0x050113EB</t>
  </si>
  <si>
    <t>PM XML Update</t>
  </si>
  <si>
    <t>emergency_call_1x_scan_first</t>
  </si>
  <si>
    <t>/sd/emergency_call_1x_scan_first</t>
  </si>
  <si>
    <t>OpenMkt-Commercial:0x05011325
Subsidized-Commercial:0x0501136E
VoLTE_OpenMkt-Commercial:0x050113EC</t>
  </si>
  <si>
    <t>NV-73825 Added</t>
  </si>
  <si>
    <t>460-03, 460-05, 460-11, 460-12, 455-02, 455-07, 204-04</t>
  </si>
  <si>
    <t>Added 204-04</t>
  </si>
  <si>
    <t>all</t>
  </si>
  <si>
    <t>Multiple NVs updates</t>
  </si>
  <si>
    <t>VoLTE_OpenMkt-Commercial:0x050113EE</t>
  </si>
  <si>
    <t>c_kdasar</t>
  </si>
  <si>
    <t>OpenMkt-Commercial:0x05011327
TEST_NO_APN-Lab:0x0501133B
TEST_EPS_ONLY-Lab:0x0501134C
CTA-Lab:0x0501135E
VoLTE_OpenMkt-Commercial:0x050113EF</t>
  </si>
  <si>
    <t>reserved bytes</t>
  </si>
  <si>
    <t>NV 70235 updates</t>
  </si>
  <si>
    <t>VoLTE_OpenMkt-Commercial:0x050113F0</t>
  </si>
  <si>
    <t>MCFG Updates for CT</t>
  </si>
  <si>
    <t>VoLTE_OpenMkt-Commercial:0x050113F1</t>
  </si>
  <si>
    <t>OpenMkt-Commercial:0x05011328
TEST-Lab:0x0501132E
TEST_NO_APN-Lab:0x0501133D
TEST_EPS_ONLY-Lab:0x0501134E
CTA-Lab:0x0501135F
VoLTE_OpenMkt-Commercial:0x050113F2</t>
  </si>
  <si>
    <t>EVS_Configuration</t>
  </si>
  <si>
    <t>/nv/item_files/ims/qipcall_audio_codec_list</t>
  </si>
  <si>
    <t>AMR_WB_OA;AMR_WB_BE;AMR_OA;AMR_BE</t>
  </si>
  <si>
    <t>qipcall_aduio_codec_list</t>
  </si>
  <si>
    <t xml:space="preserve">    efs_item</t>
  </si>
  <si>
    <t>XML update</t>
  </si>
  <si>
    <t>OpenMkt-Commercial:0x05011328
TEST-Lab:0x0501132E
TEST_NO_APN-Lab:0x0501133D
TEST_EPS_ONLY-Lab:0x0501134E
CTA-Lab:0x0501135F
VoLTE_OpenMkt-Commercial:0x050113F3</t>
  </si>
  <si>
    <t>NV-73596 Update</t>
  </si>
  <si>
    <t>OpenMkt-Commercial:0x05011329
TEST-Lab:0x0501132F
TEST_NO_APN-Lab:0x0501133E
TEST_EPS_ONLY-Lab:0x0501134F
CTA-Lab:0x05011360
Subsidized-Commercial:0x05011370
VoLTE_OpenMkt-Commercial:0x050113F4</t>
  </si>
  <si>
    <t>modem_proc\mcfg\mcfg_gen\scripts\data\efs_files\ct\mmode_1xsxlte_optimization</t>
  </si>
  <si>
    <t>modem_proc\mcfg\mcfg_gen\scripts\data\efs_files\ct\imshandoverconfig</t>
  </si>
  <si>
    <t>imshandover file path updated</t>
  </si>
  <si>
    <t>VoLTE_OpenMkt-Commercial:0x050113F5</t>
  </si>
  <si>
    <t>VoLTE_OpenMkt-Commercial:0x050113F6</t>
  </si>
  <si>
    <t>vailani</t>
  </si>
  <si>
    <t>VoLTE_OpenMkt-Commercial:0x050113F7</t>
  </si>
  <si>
    <t>VoLTE_OpenMkt-Commercial:0x050113F8</t>
  </si>
  <si>
    <t>OpenMkt-Commercial:0x05011310
TEST-Lab:0x05011330
TEST_NO_APN-Lab:0x05011350
TEST_EPS_ONLY-Lab:0x05011370
CTA-Lab:0x05011390
Subsidized-Commercial:0x050113B0
VoLTE_OpenMkt-Commercial:0x050113E0</t>
  </si>
  <si>
    <t>kavik</t>
  </si>
  <si>
    <t>tlv 6 addition tlv 2 deletion &amp; corrections made to versions</t>
  </si>
  <si>
    <t>:8080</t>
  </si>
  <si>
    <t>OpenMkt-Commercial:0x05011310
TEST-Lab:0x05011330
TEST_NO_APN-Lab:0x05011350
TEST_EPS_ONLY-Lab:0x05011370
CTA-Lab:0x05011390
Subsidized-Commercial:0x050113B0
VoLTE_OpenMkt-Commercial:0x050113E1</t>
  </si>
  <si>
    <t>slot_efs</t>
  </si>
  <si>
    <t>OpenMkt-Commercial:0x05011310
TEST-Lab:0x05011330
TEST_NO_APN-Lab:0x05011350
TEST_EPS_ONLY-Lab:0x05011370
CTA-Lab:0x05011390
Subsidized-Commercial:0x050113B0
VoLTE_OpenMkt-Commercial:0x050113E3</t>
  </si>
  <si>
    <t xml:space="preserve">IMS handover config </t>
  </si>
  <si>
    <t>/nv/item_files/ims/ims_rat_ho_config</t>
  </si>
  <si>
    <t>ims_ho_hyst_timer_ePDG_LTE</t>
  </si>
  <si>
    <t>ims_ho_hyst_timer_ePDG_1X</t>
  </si>
  <si>
    <t>ims_ho_hyst_timer_ePDG_WiFi</t>
  </si>
  <si>
    <t>ims_ho_enabled</t>
  </si>
  <si>
    <t>ims_drvcc_enable</t>
  </si>
  <si>
    <t>ims_drvcc_roaming_enabled</t>
  </si>
  <si>
    <t>ims_drvcc_backoff_timer_max</t>
  </si>
  <si>
    <t>ims_drvcc_backoff_timer_min</t>
  </si>
  <si>
    <t>ims_stn</t>
  </si>
  <si>
    <t>ims_ho_lte_qual_th1</t>
  </si>
  <si>
    <t>ims_ho_lte_qual_th2</t>
  </si>
  <si>
    <t>ims_ho_lte_qual_th3</t>
  </si>
  <si>
    <t>ims_ho_1x_qual_th</t>
  </si>
  <si>
    <t>ims_ho_wifi_qual_thA</t>
  </si>
  <si>
    <t>ims_ho_wifi_qual_thB</t>
  </si>
  <si>
    <t>ims_ho_wifi_connectivity_backoff_timer</t>
  </si>
  <si>
    <t>ims_ho_midcall_connectivity_timer</t>
  </si>
  <si>
    <t>ims_ho_RTT_threshold</t>
  </si>
  <si>
    <t>VoLTE_OpenMkt-Commercial: 0x050113E4</t>
  </si>
  <si>
    <t>rohitag</t>
  </si>
  <si>
    <t xml:space="preserve">[MCFG-Data]: Correct 65953(/nv/item_files/data/3gpp2/ehrpd_partial_context) for CT MBN </t>
  </si>
  <si>
    <t>NV update</t>
  </si>
  <si>
    <t>OpenMkt-Commercial:0x05011312
TEST-Lab:0x05011332
TEST_NO_APN-Lab:0x05011352
TEST_EPS_ONLY-Lab:0x05011372
CTA-Lab:0x05011392
Subsidized-Commercial:0x050113B2
VoLTE_OpenMkt-Commercial:0x050113E2</t>
  </si>
  <si>
    <t>kbaig</t>
  </si>
  <si>
    <t>China Mobile MCFG SW Items List</t>
  </si>
  <si>
    <t>NV Item Size</t>
  </si>
  <si>
    <t>CT_C_DS_VF</t>
  </si>
  <si>
    <t>DTM Feature Support</t>
  </si>
  <si>
    <t>dtm_feature_support</t>
  </si>
  <si>
    <t>0 - Disable DTM Feature Support   1 - Enable DTM Feature Support</t>
  </si>
  <si>
    <t>DTM Multislot class</t>
  </si>
  <si>
    <t>dtm_multislot_class</t>
  </si>
  <si>
    <t>3 - DTM MSC of 11 if GPRS MSC is set to 12.2 - DTM MSC of 9 f the GPRS MSC is set to 10</t>
  </si>
  <si>
    <t>EDTM Feature Support</t>
  </si>
  <si>
    <t>edtm_feature_support</t>
  </si>
  <si>
    <t>0 - Disable EDTM Feature Support1 - Enable EDTM Feature Support</t>
  </si>
  <si>
    <t>NV_BAND_PREF_I</t>
  </si>
  <si>
    <t>Ipv6 Enabled</t>
  </si>
  <si>
    <t>NV_IPV6_ENABLED_I</t>
  </si>
  <si>
    <t>GPSOne Lock</t>
  </si>
  <si>
    <t>GNSS NMEA Sentence Type</t>
  </si>
  <si>
    <t>gnss_nmea_sentence_type</t>
  </si>
  <si>
    <t>0x3F</t>
  </si>
  <si>
    <t>GNSS NMEA Extended Sentence Type</t>
  </si>
  <si>
    <t>gnss_nmea_extended_sentence_type</t>
  </si>
  <si>
    <t>GPSOne XTRA Number Of Download Attempts</t>
  </si>
  <si>
    <t>gnss_oem_feature_mask</t>
  </si>
  <si>
    <t>0x1200</t>
  </si>
  <si>
    <t>GNSS SUpL Version</t>
  </si>
  <si>
    <t>gnss_SUPL_version</t>
  </si>
  <si>
    <t xml:space="preserve"> 0x20000</t>
  </si>
  <si>
    <t>CGPS UMTS PDE Server Address</t>
  </si>
  <si>
    <t>cgps_umts_pde_server_addr_url</t>
  </si>
  <si>
    <t>supl.google.com:7275</t>
  </si>
  <si>
    <t>VOIP Registration Mode</t>
  </si>
  <si>
    <t>voip_registration_mode</t>
  </si>
  <si>
    <t>TTY Enabled/Disabled</t>
  </si>
  <si>
    <t>tty</t>
  </si>
  <si>
    <t>WCDMA HSUPA Category</t>
  </si>
  <si>
    <t xml:space="preserve">   wcdma_hsupa_category</t>
  </si>
  <si>
    <t xml:space="preserve">   0x19</t>
  </si>
  <si>
    <t>wcdma_hsupa_category</t>
  </si>
  <si>
    <t>Full Path in EFS Filesystem</t>
  </si>
  <si>
    <t>EFS Filename</t>
  </si>
  <si>
    <t>modem_proc\mcfg\mcfg_gen\scripts\data\efs_files\cmcc\pbm_nv_ecc_list_per_sub</t>
  </si>
  <si>
    <t>CMCC_Lab_CA_root.cer</t>
  </si>
  <si>
    <t>/SUPL/CMCC_Lab_CA_root.cer</t>
  </si>
  <si>
    <t>modem_proc\mcfg\mcfg_gen\scripts\data\efs_files\cmcc\lab\CMCC_Lab_CA_root.cer</t>
  </si>
  <si>
    <t>GoogleSuplCertificateGeo.cer</t>
  </si>
  <si>
    <t>/SUPL/GoogleSuplCertificateGeo.cer</t>
  </si>
  <si>
    <t>modem_proc\mcfg\mcfg_gen\scripts\data\efs_files\GoogleSuplCertificateGeo.cer</t>
  </si>
  <si>
    <t>TD-SCDMA Band Preference</t>
  </si>
  <si>
    <t>/nv/item_files/modem/mmode/tds_bandpref</t>
  </si>
  <si>
    <t>0x00000021</t>
  </si>
  <si>
    <t>CMCC Equivalent HPLMN List</t>
  </si>
  <si>
    <t>65602: * read from USIM. Includes 460 00, 460 02, 460 07, 460 08, 001 01, 466 02
for lab testing: EFS_files/config_Lab_Config --&gt; /nv/item_files/modem/nas</t>
  </si>
  <si>
    <t>6,100,240,0,100,240,32,100,240,112,100,240,128,0,241,16,100,246,32,0</t>
  </si>
  <si>
    <t xml:space="preserve">ehplmn[0] = number of PLMN IDs
ehplmn[1] = 0x64, MCC digit 2 = 6, MCC digit 1 = 4
ehplmn[2] = 0xF0, MNC digit 3 = F, MCC digit 3 = 0
ehplmn[3] = 0x00, MNC digit 2 = 0, MNC digit 1 = 0
ehplmn[4] = 0x64, MCC digit 2 = 6, MCC digit 1 = 4
ehplmn[5] = 0xF0, MNC digit 3 = F, MCC digit 3 = 0
ehplmn[6] = 0x20, MNC digit 2 = 2, MNC digit 1 = 0
ehplmn[7] = 0x64, MCC digit 2 = 6, MCC digit 1 = 4
ehplmn[8] = 0xF0, MNC digit 3 = F, MCC digit 3 = 0
ehplmn[9] = 0x70, MNC digit 2 = 7, MNC digit 1 = 0
ehplmn[10] = 0x64, MCC digit 2 = 6, MCC digit 1 = 4
ehplmn[11] = 0xF0, MNC digit 3 = F, MCC digit 3 = 0
ehplmn[12] = 0x80, MNC digit 2 = 8, MNC digit 1 = 0
ehplmn[13] = 0x00, MCC digit 2 = 0, MCC digit 1 = 0
ehplmn[14] = 0xF1, MNC digit 3 = F, MCC digit 3 = 1
ehplmn[15] = 0x10, MNC digit 2 = 1, MNC digit 1 = 0
ehplmn[16] = 0x64, MCC digit 2 = 6, MCC digit 1 = 4
ehplmn[17] = 0xF6, MNC digit 3 = F, MCC digit 3 = 6
ehplmn[18] = 0x20, MNC digit 2 = 2, MNC digit 1 = 0
</t>
  </si>
  <si>
    <t>NAS TDSCDMA OP PLMNs List</t>
  </si>
  <si>
    <t>/nv/item_files/modem/nas/tdscdma_op_plmn_list</t>
  </si>
  <si>
    <t>modem_proc\mcfg\mcfg_gen\scripts\data\efs_files\cmcc\lab\tdscdma_op_plmn_list</t>
  </si>
  <si>
    <t>LTE band Preference</t>
  </si>
  <si>
    <t>/nv/item_files/modem/mmode/lte_bandpref</t>
  </si>
  <si>
    <t>0x1e000010045</t>
  </si>
  <si>
    <t>Throughput Optimization Parameters</t>
  </si>
  <si>
    <t>/nv/item_files/data/common/tput_opt_params</t>
  </si>
  <si>
    <t>back_pressure_removal</t>
  </si>
  <si>
    <t>um_wm_params_valid</t>
  </si>
  <si>
    <t>ul_wm_high_level</t>
  </si>
  <si>
    <t>ul_wm_low_level</t>
  </si>
  <si>
    <t>ul_wm_dne_level</t>
  </si>
  <si>
    <t>dl_wm_high_level</t>
  </si>
  <si>
    <t>dl_wm_low_level</t>
  </si>
  <si>
    <t>dl_wm_dne_level</t>
  </si>
  <si>
    <t>tx_timestamp_timer_val</t>
  </si>
  <si>
    <t>tcp_ack_priority</t>
  </si>
  <si>
    <t>RAT_ACQ_ORDER</t>
  </si>
  <si>
    <t>0xE703</t>
  </si>
  <si>
    <t>Tech. Order Table ver.</t>
  </si>
  <si>
    <t>0x0400</t>
  </si>
  <si>
    <t>Number of RATs: 4 (max 10)</t>
  </si>
  <si>
    <t>Priority = L&gt;T&gt;G</t>
  </si>
  <si>
    <t>0x0B</t>
  </si>
  <si>
    <t xml:space="preserve">RAT_AMPS=1, /**&lt; Analog Mobile Phone System (AMPS) mode. */
RAT_CDMA=2, /**&lt; CDMA mode. */
RAT_GSM=3, /**&lt; GSM mode. */
RAT_HDR=4, /**&lt; HDR mode. */
RAT_WCDMA=5, /**&lt; WCDMA mode. */
RAT_GPS=6, /**&lt; GPS mode. */
RAT_GW=7, /**&lt; GSM and WCDMA mode. */
RAT_WLAN=8, /**&lt; WLAN mode. */
RAT_LTE=9, /**&lt; LTE mode. */
RAT_GWL=10, /**&lt; GSM, WCDMA, and LTE mode. */
RAT_TDS=11, /**&lt; TDS mode. */
</t>
  </si>
  <si>
    <t>? NV #
 Included to set ZUC as primary security algorithm</t>
  </si>
  <si>
    <t>Bitmap to enable specific segment</t>
  </si>
  <si>
    <t>/nv/item_files/mcfg/mcfg_segload_config</t>
  </si>
  <si>
    <t>boot_option value: 
1= Excludes W from MBN
2 (default) = Excludes T from MBN</t>
  </si>
  <si>
    <t>TDD/FDD Intermode FGI</t>
  </si>
  <si>
    <t>modem_proc\mcfg\mcfg_gen\scripts\data\efs_files\cmcc\diff_fdd_tdd_fgi_enable</t>
  </si>
  <si>
    <t>NAS Force IRAT</t>
  </si>
  <si>
    <t>/nv/item_files/modem/nas/forced_irat</t>
  </si>
  <si>
    <t>Enable NAS Force IRAT</t>
  </si>
  <si>
    <t>GERAN G2L Blind Redirection Control CSFB</t>
  </si>
  <si>
    <t>/nv/item_files/modem/geran/grr/g2l_blind_redir_after_csfb_control</t>
  </si>
  <si>
    <t>modem_proc\mcfg\mcfg_gen\scripts\data\efs_files\cmcc\g2l_blind_redir_after_csfb_control</t>
  </si>
  <si>
    <t>Enables fast return feature from UE side after hanging up CSFB call</t>
  </si>
  <si>
    <t>modem_proc\mcfg\mcfg_gen\scripts\data\efs_files\cmcc\lab\atcop_cops_auto_mode.txt</t>
  </si>
  <si>
    <t>nas_l2g_srvcc_support</t>
  </si>
  <si>
    <t>/nv/item_files/modem/nas/nas_l2g_srvcc_support</t>
  </si>
  <si>
    <t>NAS SRVCC Support</t>
  </si>
  <si>
    <t>/nv/item_files/modem/nas/nas_srvcc_support</t>
  </si>
  <si>
    <t>gstk_feature_bmask</t>
  </si>
  <si>
    <t>/nv/item_files/modem/uim/gstk/feature_bmsk</t>
  </si>
  <si>
    <t>0x00000046</t>
  </si>
  <si>
    <t>NAS Max Recovery For SIM Invalidation</t>
  </si>
  <si>
    <t>/nv/item_files/modem/nas/max_validate_sim_counter</t>
  </si>
  <si>
    <t>SMS Mandatory</t>
  </si>
  <si>
    <t>/nv/item_files/modem/mmode/sms_mandatory</t>
  </si>
  <si>
    <t>Operator Name For Enabling QRD Features</t>
  </si>
  <si>
    <t>modem_proc\mcfg\mcfg_gen\scripts\data\efs_files\cmcc\pbm_ecc_nums</t>
  </si>
  <si>
    <t>modem_proc\mcfg\mcfg_gen\scripts\data\efs_files\cmcc\pbm_nv_ecc_config</t>
  </si>
  <si>
    <t>modem_proc\mcfg\mcfg_gen\scripts\data\efs_files\cmcc\pbm_hardcoded_ecc_config</t>
  </si>
  <si>
    <t>modem_proc\mcfg\mcfg_gen\scripts\data\efs_files\cmcc\pbm_hardcoded_ecc_list</t>
  </si>
  <si>
    <t>UE Based Call Waiting</t>
  </si>
  <si>
    <t>/nv/item_files/modem/mmode/ue_based_cw</t>
  </si>
  <si>
    <t>use_ue_based_cw</t>
  </si>
  <si>
    <t>is_enabled</t>
  </si>
  <si>
    <t>Disable APN Name Matching</t>
  </si>
  <si>
    <t>/nv/item_files/modem/data/3gpp/lteps/disable_apn_matching</t>
  </si>
  <si>
    <t>disable_apn_matching</t>
  </si>
  <si>
    <t>3GPP PS Dual IP Fallback</t>
  </si>
  <si>
    <t>/nv/item_files/modem/data/3gpp/ps/dual_ip_fallback</t>
  </si>
  <si>
    <t>fallback_enabled</t>
  </si>
  <si>
    <t>fallback_ip_type</t>
  </si>
  <si>
    <t>Reg NV Items</t>
  </si>
  <si>
    <t>/nv/item_files/modem/nas/reg_nv_items</t>
  </si>
  <si>
    <t>is_hplmn_has_to_be_selected</t>
  </si>
  <si>
    <t>is_roaming_on_in_eplmn</t>
  </si>
  <si>
    <t>is_sim_invalid_recovery_enabled</t>
  </si>
  <si>
    <t>is_camp_on_2g_if_reg_failure</t>
  </si>
  <si>
    <t>is_pseudo_reselection_allowed</t>
  </si>
  <si>
    <t>reserved</t>
  </si>
  <si>
    <t>WCDMA RRC DSDA concurrency NV</t>
  </si>
  <si>
    <t>/nv/item_files/wcdma/rrc/rrc_dsda_concurrency_extended</t>
  </si>
  <si>
    <t>TDS RRC Integrity Protection Enabled</t>
  </si>
  <si>
    <t>/nv/item_files/modem/tdscdma/rrc/integrity_enabled</t>
  </si>
  <si>
    <t>TDS RRC Ciphering Enabled</t>
  </si>
  <si>
    <t>/nv/item_files/modem/tdscdma/rrc/ciphering_enabled</t>
  </si>
  <si>
    <t>TDS RRC Fake Security Status</t>
  </si>
  <si>
    <t>/nv/item_files/modem/tdscdma/rrc/fake_sec_enabled</t>
  </si>
  <si>
    <t>PDP Profile 1</t>
  </si>
  <si>
    <t>modem_proc\mcfg\mcfg_gen\scripts\data\efs_files\ct\profile1</t>
  </si>
  <si>
    <t>PDP Profile 2</t>
  </si>
  <si>
    <t>modem_proc\mcfg\mcfg_gen\scripts\data\efs_files\ct\profile2</t>
  </si>
  <si>
    <t>PDP Profile 3</t>
  </si>
  <si>
    <t>modem_proc\mcfg\mcfg_gen\scripts\data\efs_files\ct\profile3</t>
  </si>
  <si>
    <t>PDP Profile 4</t>
  </si>
  <si>
    <t>modem_proc\mcfg\mcfg_gen\scripts\data\efs_files\ct\profile4</t>
  </si>
  <si>
    <t>G2l_blind_redir_after_srvcc_control</t>
  </si>
  <si>
    <t>/nv/item_files/modem/geran/grr/g2l_blind_redir_after_srvcc_control</t>
  </si>
  <si>
    <t>modem_proc\mcfg\mcfg_gen\scripts\data\efs_files\cmcc\g2l_blind_redir_after_srvcc_control</t>
  </si>
  <si>
    <t>Mid Call Service Info</t>
  </si>
  <si>
    <t>/nv/item_files/modem/mmode/mid_call_srvcc_info</t>
  </si>
  <si>
    <t>modem_proc\mcfg\mcfg_gen\scripts\data\efs_files\cmcc\mid_call_srvcc_info</t>
  </si>
  <si>
    <t>Sms Domain Preference</t>
  </si>
  <si>
    <t>PS Preference</t>
  </si>
  <si>
    <t>msim_enable_cat9 </t>
  </si>
  <si>
    <t>/nv/item_files/modem/lte/rrc/cap/msim_enable_cat9</t>
  </si>
  <si>
    <t>Group IMS</t>
  </si>
  <si>
    <t>IMS Extendable Common Config Items</t>
  </si>
  <si>
    <t>Call Mode Preference</t>
  </si>
  <si>
    <t>IMS_Enable_GCF_Test_Mode</t>
  </si>
  <si>
    <t>/nv/item_files/ims/IMS_Enable_GCF_Test_Mode</t>
  </si>
  <si>
    <t>Ptime value</t>
  </si>
  <si>
    <t>InitialBufferTimeValue</t>
  </si>
  <si>
    <t>AMB_Mode</t>
  </si>
  <si>
    <t>MSRPPktSize</t>
  </si>
  <si>
    <t>1</t>
  </si>
  <si>
    <t>RegOnMode</t>
  </si>
  <si>
    <t>2</t>
  </si>
  <si>
    <t>RegModeConfig</t>
  </si>
  <si>
    <t>regManagerPdpProfileName</t>
  </si>
  <si>
    <t>0</t>
  </si>
  <si>
    <t>10</t>
  </si>
  <si>
    <t>RegQOSProfile</t>
  </si>
  <si>
    <t>60</t>
  </si>
  <si>
    <t>15</t>
  </si>
  <si>
    <t>3</t>
  </si>
  <si>
    <t>30</t>
  </si>
  <si>
    <t>5060</t>
  </si>
  <si>
    <t>0x80640E</t>
  </si>
  <si>
    <t>14</t>
  </si>
  <si>
    <t>600000</t>
  </si>
  <si>
    <t>7</t>
  </si>
  <si>
    <t>iTimerNatRTOValue</t>
  </si>
  <si>
    <t>iTimer_VzW</t>
  </si>
  <si>
    <t>iTimerEmergencySipRegValue</t>
  </si>
  <si>
    <t>iTimerEmergency_T1Value</t>
  </si>
  <si>
    <t>iTimerEmergency_T2Value</t>
  </si>
  <si>
    <t>iTimerEmergency_T4Value</t>
  </si>
  <si>
    <t>iTimerEmergency_TfValue</t>
  </si>
  <si>
    <t>iTimerEmergency_TJValue</t>
  </si>
  <si>
    <t>iSipLocalTlsPort</t>
  </si>
  <si>
    <t>Timer TB Value</t>
  </si>
  <si>
    <t>iGRUUEnabled</t>
  </si>
  <si>
    <t>iTransportSwitchEnabled</t>
  </si>
  <si>
    <t>iTCPMaxBackOffTimer</t>
  </si>
  <si>
    <t>iRouteHeaderEnabled</t>
  </si>
  <si>
    <t>iGzipDecodingOutBufferMultiplier</t>
  </si>
  <si>
    <t>iTimer_TDValue</t>
  </si>
  <si>
    <t>iTimerEmergency_TDValue</t>
  </si>
  <si>
    <t>pWifiRegTimestamp</t>
  </si>
  <si>
    <t>iTimer_Tcall</t>
  </si>
  <si>
    <t>iTimer_Treg</t>
  </si>
  <si>
    <t>qdj_time_warping</t>
  </si>
  <si>
    <t>gps_read_time_at_run</t>
  </si>
  <si>
    <t>RTPRedundancy_time</t>
  </si>
  <si>
    <t>mmtel@conf-factory.test.3gpp.com</t>
  </si>
  <si>
    <t>IMS Qipcall_config_items</t>
  </si>
  <si>
    <t>VTRTCPreporting interval</t>
  </si>
  <si>
    <t>qipcall_rtp_nb_dtmp_payload_type</t>
  </si>
  <si>
    <t>qipcall_rtp_wb_dtmp_payload_type</t>
  </si>
  <si>
    <t>qipcall_desired_QOS_strength</t>
  </si>
  <si>
    <t>VT calling Enabled</t>
  </si>
  <si>
    <t>cvo_disabled</t>
  </si>
  <si>
    <t>qipcall_red_tty_text_payload_type</t>
  </si>
  <si>
    <t>E911_call_Timer</t>
  </si>
  <si>
    <t>eQIPcall Conference Subscription Type</t>
  </si>
  <si>
    <t>multitask mode</t>
  </si>
  <si>
    <t>qipcall_three_party_Call_factory_uri</t>
  </si>
  <si>
    <t>isCallWaititngEnabled</t>
  </si>
  <si>
    <t>consent controlled</t>
  </si>
  <si>
    <t>qiplcall_speech_start_port</t>
  </si>
  <si>
    <t>qiplcall_speech_stop_port</t>
  </si>
  <si>
    <t>qiplcall_dtmf_wb_dynamic_pt</t>
  </si>
  <si>
    <t>qiplcall_dtmf_nb_dynamic_pt</t>
  </si>
  <si>
    <t>qiplcall_amr_wb_default_mode</t>
  </si>
  <si>
    <t>qiplcall_third_call_support_reqd</t>
  </si>
  <si>
    <t>qipcall_video_stopt_port</t>
  </si>
  <si>
    <t>qiplcall_imageattr_support_reqd</t>
  </si>
  <si>
    <t>0x3</t>
  </si>
  <si>
    <t>SRVCC.bitmask</t>
  </si>
  <si>
    <t>reservedbits</t>
  </si>
  <si>
    <t>IMS Signal Strength Threshold</t>
  </si>
  <si>
    <t>xcap.ims.mnc000.mcc460.pub.3gppnetwork.org:80</t>
  </si>
  <si>
    <t>utPAssociatedURI = SIP AOR or &lt;BLANK&gt; - UE will choose either IMPU/P-Associated-URI based on registration status.</t>
  </si>
  <si>
    <t>XCAP.3gpp.org/simservs.ngn.etsi.org</t>
  </si>
  <si>
    <t>qp_ims_reg_config_db</t>
  </si>
  <si>
    <t>qp_ims_test_mode</t>
  </si>
  <si>
    <t>Cell ID Test Mode</t>
  </si>
  <si>
    <t>E911 Test Mode</t>
  </si>
  <si>
    <t>reserved byte</t>
  </si>
  <si>
    <t>qp_ims_cellid</t>
  </si>
  <si>
    <t>CellId</t>
  </si>
  <si>
    <t>qp_ims_ussd_config</t>
  </si>
  <si>
    <t>qipcall_qos_reservation_timer</t>
  </si>
  <si>
    <t>qp_ims_wifi_config</t>
  </si>
  <si>
    <t>voip_prfrd_codec</t>
  </si>
  <si>
    <t>qipcall_vt_quality_selector</t>
  </si>
  <si>
    <t>QIPCall Quality selector</t>
  </si>
  <si>
    <t>MMGSDI Features Status List</t>
  </si>
  <si>
    <t>absent_mandatory_files_init</t>
  </si>
  <si>
    <t>ecc_not_present_support</t>
  </si>
  <si>
    <t>special_usim_arr</t>
  </si>
  <si>
    <t>Deprecated</t>
  </si>
  <si>
    <t>cdma_df_select_before_tp</t>
  </si>
  <si>
    <t>change_inst_class</t>
  </si>
  <si>
    <t>card_slot_check</t>
  </si>
  <si>
    <t>tmsi_plmn_check</t>
  </si>
  <si>
    <t>ignore_init_error</t>
  </si>
  <si>
    <t>allow_send_apdu_only</t>
  </si>
  <si>
    <t>pref_mode_not_from_ruim</t>
  </si>
  <si>
    <t>ruim_allow_esn_fail</t>
  </si>
  <si>
    <t>ruim_zero_esn_fail</t>
  </si>
  <si>
    <t>uim_ruim_support_sci</t>
  </si>
  <si>
    <t>uim_an_hrpd_fallback</t>
  </si>
  <si>
    <t>uim_misconfig_ruim_n5_workaround</t>
  </si>
  <si>
    <t>personalization_slot2_locked_on_slot1</t>
  </si>
  <si>
    <t>csim_upp_update_after_otasp</t>
  </si>
  <si>
    <t>allow_access_before_app_ready</t>
  </si>
  <si>
    <t>skip_uicc_attr_check_before_read</t>
  </si>
  <si>
    <t>block_writes_to_refresh_files</t>
  </si>
  <si>
    <t>se13_table_lookup_get_first_gsma_match</t>
  </si>
  <si>
    <t>no_personalization_on_additional_slots</t>
  </si>
  <si>
    <t>unblock_pin_handle_invalid_sw</t>
  </si>
  <si>
    <t>uim_gsm_dcs_1800</t>
  </si>
  <si>
    <t>uicc_rat_indicator_support</t>
  </si>
  <si>
    <t>explicit_select_dfcdma_before_telecom_adn_read</t>
  </si>
  <si>
    <t>opl_pnn_lookup_for_non_rplmn</t>
  </si>
  <si>
    <t>halt_3gpp2_subs_if_3gpp_perso_fails</t>
  </si>
  <si>
    <t>multisim_auto_provisioning</t>
  </si>
  <si>
    <t>north_american_plmn_comparison</t>
  </si>
  <si>
    <t>halt_3gpp_subs_if_3gpp2_perso_fails</t>
  </si>
  <si>
    <t>skip_prov_app_termination</t>
  </si>
  <si>
    <t>refresh_3g_session_reset_per_etsi_spec</t>
  </si>
  <si>
    <t>use_3gpd_credentials_from_nv</t>
  </si>
  <si>
    <t>use_sfi</t>
  </si>
  <si>
    <t>oplmn_list_configurable_ota</t>
  </si>
  <si>
    <t>purge_temp_identities</t>
  </si>
  <si>
    <t>verify_pin_after_change</t>
  </si>
  <si>
    <t>block_ruim_eprl_access</t>
  </si>
  <si>
    <t>support_extended_fplmn_icc</t>
  </si>
  <si>
    <t>use_stored_rplmn_name_across_operators</t>
  </si>
  <si>
    <t>Reserved bytes</t>
  </si>
  <si>
    <t>qipcall_qos_config </t>
  </si>
  <si>
    <t xml:space="preserve">Version </t>
  </si>
  <si>
    <t>LocalQoSAudio </t>
  </si>
  <si>
    <t>LocalQosVideo </t>
  </si>
  <si>
    <t>QoSInactiveInvite</t>
  </si>
  <si>
    <t>QoSInactiveReInvite</t>
  </si>
  <si>
    <t>QIPCall Refer Subscription Expiration Duration</t>
  </si>
  <si>
    <t>/nv/item_files/ims/qipcall_refer_subscription_expires_duration</t>
  </si>
  <si>
    <t>QIPCall Notify Refer Response Duration</t>
  </si>
  <si>
    <t>/nv/item_files/ims/qipcall_notify_refer_response_duration</t>
  </si>
  <si>
    <t>lte_npg_list_size_conn</t>
  </si>
  <si>
    <t>/nv/item_files/modem/lte/rrc/lte_npg_list_size_conn</t>
  </si>
  <si>
    <t>modem_proc\mcfg\mcfg_gen\scripts\data\efs_files\cmcc\lte_npg_list_size_conn</t>
  </si>
  <si>
    <t>lte_npg_list_size_idle</t>
  </si>
  <si>
    <t>/nv/item_files/modem/lte/rrc/lte_npg_list_size_idle</t>
  </si>
  <si>
    <t>modem_proc\mcfg\mcfg_gen\scripts\data\efs_files\cmcc\lte_npg_list_size_idle</t>
  </si>
  <si>
    <t>incmon_rpg_npg_swap_threshold</t>
  </si>
  <si>
    <t>/nv/item_files/modem/lte/ML1/incmon_rpg_npg_swap_threshold</t>
  </si>
  <si>
    <t>modem_proc\mcfg\mcfg_gen\scripts\data\efs_files\cmcc\incmon_rpg_npg_swap_threshold</t>
  </si>
  <si>
    <t>Custom Emerg Info</t>
  </si>
  <si>
    <t>/nv/item_files/modem/mmode/custom_emerg_info</t>
  </si>
  <si>
    <t>is_ecbm_required</t>
  </si>
  <si>
    <t>hold_concurrent_voicecall_during_emergency</t>
  </si>
  <si>
    <t>is_alternate_redial_algorithm</t>
  </si>
  <si>
    <t>is_store_ral_in_efs</t>
  </si>
  <si>
    <t>int[7]</t>
  </si>
  <si>
    <t>Conf_VoLTE-Lab-CT</t>
  </si>
  <si>
    <t>0x0000000C</t>
  </si>
  <si>
    <t>Conf_VoLTE-Lab mbn added</t>
  </si>
  <si>
    <t>seeded from CMCC Conf Volte configuration</t>
  </si>
  <si>
    <t>Conf_VoLTE-Lab:0x050113D0</t>
  </si>
  <si>
    <t>asandstr</t>
  </si>
  <si>
    <t>MCFG Updates Conf_VoLTE-Lab</t>
  </si>
  <si>
    <t>RCI build</t>
  </si>
  <si>
    <t>MCFG-3446 for IMS</t>
  </si>
  <si>
    <t>Conf_VoLTE-Lab:0x050113D1</t>
  </si>
  <si>
    <t>NV#70302 set to 1</t>
  </si>
  <si>
    <t>Conf_VoLTE-Lab:0x050113D2</t>
  </si>
  <si>
    <t>MCFG-3159 for IMS</t>
  </si>
  <si>
    <t>Conf_VoLTE-Lab:0x050113D3</t>
  </si>
  <si>
    <t>FR 37422: New MBN Req – CT VoLTE Conf - adding new MBN</t>
  </si>
  <si>
    <t>Kavik</t>
  </si>
  <si>
    <t>Conf_VoLTE-Lab</t>
  </si>
  <si>
    <t>CT MBN</t>
  </si>
  <si>
    <t>NV 70263</t>
  </si>
  <si>
    <t>OpenMkt-Commercial:0x05011312
TEST-Lab:0x05011332
TEST_NO_APN-Lab:0x05011352
TEST_EPS_ONLY-Lab:0x05011372
CTA-Lab:0x05011392
Subsidized-Commercial:0x050113B2
VoLTE_OpenMkt-Commercial:0x050113E3</t>
  </si>
  <si>
    <t>modem_proc\mmcp\policyman\configurations\Carrier\OpenMarket\7+5_mode\CT\1xSRLTE\openMarket\volte\carrier_policy.xml</t>
  </si>
  <si>
    <t>modem_proc\mmcp\policyman\configurations\Carrier\OpenMarket\7+5_mode\CT\1xSRLTE\test\volte\carrier_policy.xml</t>
  </si>
  <si>
    <t>OpenMkt-Commercial:0x05011313
TEST_NO_APN-Lab:0x05011353
TEST_EPS_ONLY-Lab:0x05011373
CTA-Lab:0x05011393
VoLTE_OpenMkt-Commercial:0x050113E4
Conf_VoLTE-Lab: 0x050113D1</t>
  </si>
  <si>
    <t>Subsidized-Commercial:0x050113B3                                                                                                  OpenMkt-Commercial:0x05011314                                                     VoLTE_OpenMkt-Commercial:0x050113E5</t>
  </si>
  <si>
    <t>FR 27584: Secondary ACQ_DB with EARFCNs of Home Operator</t>
  </si>
  <si>
    <t>15thNOV</t>
  </si>
  <si>
    <t>TEST-Lab:0x05011333
TEST_NO_APN-Lab:0x05011354
TEST_EPS_ONLY-Lab:0x05011374
CTA-Lab:0x05011394
Subsidized-Commercial:0x050113B4
OpenMkt-Commercial:0x05011315
VoLTE_OpenMkt-Commercial:0x050113E6</t>
  </si>
  <si>
    <t>Expand NV blacklist in generation scripts</t>
  </si>
  <si>
    <t xml:space="preserve">NV73538 need be set as 1 in CT VoLTE commercial MBN </t>
  </si>
  <si>
    <t>VoLTE_OpenMkt-Commercial:0x050113E7</t>
  </si>
  <si>
    <t>Remove B26 and Add B5 to band_priority_list for CT commercial mbn</t>
  </si>
  <si>
    <t>TEST-Lab:0x05011334
TEST_NO_APN-Lab:0x05011355
TEST_EPS_ONLY-Lab:0x05011375
CTA-Lab:0x05011395
Subsidized-Commercial:0x050113B5
OpenMkt-Commercial:0x05011316
VoLTE_OpenMkt-Commercial:0x050113E8</t>
  </si>
  <si>
    <t>0x050113D2</t>
  </si>
  <si>
    <t>Remove unnecessary LTE earfcns from pref_freq_list for CT commercial mbn</t>
  </si>
  <si>
    <t xml:space="preserve">TEST-Lab:0x05011335
TEST_NO_APN-Lab:0x05011356
TEST_EPS_ONLY-Lab:0x05011376
CTA-Lab:0x05011396
Subsidized-Commercial:0x050113B6
OpenMkt-Commercial:0x05011317
VoLTE_OpenMkt-Commercial:0x050113E9                                     Conf_VoLTE-Lab: 0x050113D2                         </t>
  </si>
  <si>
    <t>0x05011336</t>
  </si>
  <si>
    <t>0x05011377</t>
  </si>
  <si>
    <t>0x05011397</t>
  </si>
  <si>
    <t>0x050113B7</t>
  </si>
  <si>
    <t>0x05011318</t>
  </si>
  <si>
    <t>0x05011357</t>
  </si>
  <si>
    <t xml:space="preserve">TEST-Lab:0x05011336
TEST_NO_APN-Lab:0x05011357
TEST_EPS_ONLY-Lab:0x05011377
CTA-Lab:0x05011397
Subsidized-Commercial:0x050113B7
OpenMkt-Commercial:0x05011318
VoLTE_OpenMkt-Commercial:0x050113EA                                                      </t>
  </si>
  <si>
    <t xml:space="preserve">BST table to include EUTRAN Band 5 </t>
  </si>
  <si>
    <t>0x050113EB</t>
  </si>
  <si>
    <t>Need to disable IMS by setting IMS test mode configuration to be 1 as default on the CT commercial MBN</t>
  </si>
  <si>
    <t xml:space="preserve">VoLTE_OpenMkt-Commercial:0x050113EB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</si>
</sst>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2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10"/>
      <color rgb="FF0070C0"/>
      <name val="Gill Sans MT"/>
      <family val="2"/>
      <scheme val="minor"/>
    </font>
    <font>
      <sz val="10"/>
      <color rgb="FF0070C0"/>
      <name val="Arial"/>
      <family val="2"/>
    </font>
    <font>
      <b/>
      <sz val="11"/>
      <color theme="1"/>
      <name val="Gill Sans MT"/>
      <family val="2"/>
      <scheme val="minor"/>
    </font>
    <font>
      <sz val="11"/>
      <color rgb="FF333333"/>
      <name val="Arial"/>
      <family val="2"/>
    </font>
    <font>
      <sz val="10.5"/>
      <color rgb="FF333333"/>
      <name val="Arial"/>
      <family val="2"/>
    </font>
    <font>
      <sz val="10"/>
      <color theme="2" tint="-0.89999084444715716"/>
      <name val="Arial"/>
      <family val="2"/>
    </font>
    <font>
      <b/>
      <sz val="10"/>
      <name val="Arial"/>
      <family val="2"/>
    </font>
    <font>
      <sz val="12"/>
      <name val="Gill Sans MT"/>
      <family val="2"/>
      <scheme val="minor"/>
    </font>
    <font>
      <sz val="12"/>
      <name val="Arial"/>
      <family val="2"/>
    </font>
    <font>
      <sz val="12"/>
      <color rgb="FF00B0F0"/>
      <name val="Arial"/>
      <family val="2"/>
    </font>
    <font>
      <sz val="12"/>
      <color theme="1"/>
      <name val="Arial"/>
      <family val="2"/>
    </font>
    <font>
      <sz val="12"/>
      <color theme="1"/>
      <name val="Gill Sans MT"/>
      <family val="2"/>
      <scheme val="minor"/>
    </font>
    <font>
      <sz val="12"/>
      <color rgb="FF00B0F0"/>
      <name val="Gill Sans MT"/>
      <family val="2"/>
      <scheme val="minor"/>
    </font>
    <font>
      <sz val="10"/>
      <color rgb="FF00B050"/>
      <name val="Arial"/>
      <family val="2"/>
    </font>
    <font>
      <sz val="10"/>
      <color rgb="FF002060"/>
      <name val="Arial"/>
      <family val="2"/>
    </font>
    <font>
      <sz val="12"/>
      <color theme="1"/>
      <name val="Gill Sans M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1885">
    <xf numFmtId="0" fontId="0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70" fillId="0" borderId="0"/>
    <xf numFmtId="49" fontId="75" fillId="0" borderId="24" applyNumberFormat="0" applyFont="0" applyFill="0" applyAlignment="0" applyProtection="0">
      <alignment horizontal="center" vertical="center"/>
      <protection locked="0"/>
    </xf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70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0" borderId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0" borderId="0"/>
  </cellStyleXfs>
  <cellXfs count="528">
    <xf numFmtId="0" fontId="0" fillId="0" borderId="0" xfId="0"/>
    <xf numFmtId="0" fontId="60" fillId="0" borderId="0" xfId="0" applyFont="1"/>
    <xf numFmtId="0" fontId="61" fillId="0" borderId="0" xfId="0" applyFont="1"/>
    <xf numFmtId="0" fontId="62" fillId="0" borderId="0" xfId="0" applyFont="1" applyFill="1" applyAlignment="1">
      <alignment horizontal="right"/>
    </xf>
    <xf numFmtId="0" fontId="61" fillId="0" borderId="12" xfId="0" applyFont="1" applyBorder="1" applyAlignment="1">
      <alignment horizontal="left" indent="1"/>
    </xf>
    <xf numFmtId="0" fontId="60" fillId="2" borderId="8" xfId="0" applyFont="1" applyFill="1" applyBorder="1" applyAlignment="1">
      <alignment horizontal="center"/>
    </xf>
    <xf numFmtId="0" fontId="63" fillId="0" borderId="0" xfId="0" applyFont="1" applyFill="1" applyAlignment="1">
      <alignment horizontal="left"/>
    </xf>
    <xf numFmtId="0" fontId="64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67" fillId="0" borderId="12" xfId="0" applyFont="1" applyBorder="1" applyAlignment="1">
      <alignment horizontal="left" indent="1"/>
    </xf>
    <xf numFmtId="0" fontId="68" fillId="6" borderId="16" xfId="0" applyFont="1" applyFill="1" applyBorder="1"/>
    <xf numFmtId="0" fontId="62" fillId="0" borderId="0" xfId="0" applyFont="1" applyAlignment="1">
      <alignment horizontal="right"/>
    </xf>
    <xf numFmtId="0" fontId="68" fillId="0" borderId="0" xfId="0" applyFont="1" applyBorder="1"/>
    <xf numFmtId="0" fontId="73" fillId="0" borderId="23" xfId="0" applyFont="1" applyBorder="1"/>
    <xf numFmtId="0" fontId="73" fillId="0" borderId="0" xfId="0" applyFont="1"/>
    <xf numFmtId="0" fontId="63" fillId="4" borderId="3" xfId="0" applyFont="1" applyFill="1" applyBorder="1" applyAlignment="1">
      <alignment horizontal="centerContinuous"/>
    </xf>
    <xf numFmtId="0" fontId="67" fillId="0" borderId="0" xfId="0" applyFont="1"/>
    <xf numFmtId="0" fontId="0" fillId="0" borderId="0" xfId="0" applyAlignment="1">
      <alignment horizontal="left" indent="1"/>
    </xf>
    <xf numFmtId="0" fontId="0" fillId="0" borderId="23" xfId="0" applyBorder="1"/>
    <xf numFmtId="0" fontId="0" fillId="0" borderId="23" xfId="0" applyBorder="1" applyAlignment="1">
      <alignment horizontal="left" indent="1"/>
    </xf>
    <xf numFmtId="0" fontId="73" fillId="0" borderId="23" xfId="0" applyFont="1" applyBorder="1" applyAlignment="1">
      <alignment horizontal="left" indent="1"/>
    </xf>
    <xf numFmtId="0" fontId="66" fillId="0" borderId="0" xfId="0" applyFont="1" applyAlignment="1"/>
    <xf numFmtId="0" fontId="0" fillId="0" borderId="0" xfId="0" applyAlignment="1"/>
    <xf numFmtId="0" fontId="60" fillId="0" borderId="0" xfId="0" applyFont="1" applyAlignment="1"/>
    <xf numFmtId="0" fontId="61" fillId="0" borderId="12" xfId="0" applyFont="1" applyBorder="1" applyAlignment="1">
      <alignment horizontal="left" indent="1"/>
    </xf>
    <xf numFmtId="0" fontId="68" fillId="0" borderId="0" xfId="0" applyFont="1"/>
    <xf numFmtId="0" fontId="61" fillId="0" borderId="0" xfId="0" applyFont="1" applyBorder="1" applyAlignment="1">
      <alignment horizontal="left" indent="1"/>
    </xf>
    <xf numFmtId="0" fontId="63" fillId="4" borderId="3" xfId="0" applyFont="1" applyFill="1" applyBorder="1" applyAlignment="1">
      <alignment horizontal="centerContinuous"/>
    </xf>
    <xf numFmtId="0" fontId="74" fillId="0" borderId="0" xfId="0" applyFont="1"/>
    <xf numFmtId="0" fontId="65" fillId="3" borderId="0" xfId="0" applyFont="1" applyFill="1" applyAlignment="1">
      <alignment horizontal="centerContinuous" vertical="center"/>
    </xf>
    <xf numFmtId="0" fontId="0" fillId="0" borderId="0" xfId="0"/>
    <xf numFmtId="0" fontId="61" fillId="0" borderId="0" xfId="0" applyFont="1"/>
    <xf numFmtId="0" fontId="77" fillId="0" borderId="0" xfId="0" applyFont="1"/>
    <xf numFmtId="0" fontId="82" fillId="0" borderId="0" xfId="0" applyFont="1"/>
    <xf numFmtId="0" fontId="79" fillId="2" borderId="6" xfId="0" applyFont="1" applyFill="1" applyBorder="1" applyAlignment="1">
      <alignment horizontal="left" indent="1"/>
    </xf>
    <xf numFmtId="0" fontId="79" fillId="2" borderId="14" xfId="0" applyFont="1" applyFill="1" applyBorder="1" applyAlignment="1">
      <alignment horizontal="left" indent="1"/>
    </xf>
    <xf numFmtId="0" fontId="79" fillId="2" borderId="9" xfId="0" applyFont="1" applyFill="1" applyBorder="1" applyAlignment="1">
      <alignment horizontal="left" indent="1"/>
    </xf>
    <xf numFmtId="0" fontId="79" fillId="2" borderId="7" xfId="0" applyFont="1" applyFill="1" applyBorder="1" applyAlignment="1">
      <alignment horizontal="left" wrapText="1"/>
    </xf>
    <xf numFmtId="0" fontId="81" fillId="3" borderId="0" xfId="0" applyFont="1" applyFill="1" applyAlignment="1">
      <alignment horizontal="centerContinuous" vertical="center" wrapText="1"/>
    </xf>
    <xf numFmtId="0" fontId="80" fillId="0" borderId="0" xfId="0" applyFont="1"/>
    <xf numFmtId="0" fontId="79" fillId="2" borderId="19" xfId="0" applyFont="1" applyFill="1" applyBorder="1" applyAlignment="1">
      <alignment horizontal="left" indent="1"/>
    </xf>
    <xf numFmtId="0" fontId="68" fillId="0" borderId="0" xfId="0" applyFont="1" applyAlignment="1">
      <alignment horizontal="center"/>
    </xf>
    <xf numFmtId="0" fontId="80" fillId="4" borderId="6" xfId="0" applyFont="1" applyFill="1" applyBorder="1" applyAlignment="1">
      <alignment horizontal="centerContinuous" vertical="top"/>
    </xf>
    <xf numFmtId="0" fontId="80" fillId="4" borderId="5" xfId="0" applyFont="1" applyFill="1" applyBorder="1" applyAlignment="1">
      <alignment horizontal="centerContinuous" vertical="top"/>
    </xf>
    <xf numFmtId="0" fontId="80" fillId="4" borderId="7" xfId="0" applyFont="1" applyFill="1" applyBorder="1" applyAlignment="1">
      <alignment horizontal="centerContinuous" vertical="top"/>
    </xf>
    <xf numFmtId="0" fontId="77" fillId="4" borderId="6" xfId="0" applyFont="1" applyFill="1" applyBorder="1" applyAlignment="1">
      <alignment horizontal="centerContinuous"/>
    </xf>
    <xf numFmtId="0" fontId="77" fillId="4" borderId="6" xfId="0" applyFont="1" applyFill="1" applyBorder="1" applyAlignment="1">
      <alignment horizontal="centerContinuous" wrapText="1"/>
    </xf>
    <xf numFmtId="0" fontId="78" fillId="4" borderId="7" xfId="0" applyFont="1" applyFill="1" applyBorder="1" applyAlignment="1">
      <alignment horizontal="centerContinuous"/>
    </xf>
    <xf numFmtId="0" fontId="15" fillId="5" borderId="23" xfId="61770" applyBorder="1"/>
    <xf numFmtId="0" fontId="15" fillId="5" borderId="23" xfId="61770" applyBorder="1" applyAlignment="1">
      <alignment wrapText="1"/>
    </xf>
    <xf numFmtId="0" fontId="72" fillId="5" borderId="23" xfId="61770" applyFont="1" applyBorder="1"/>
    <xf numFmtId="0" fontId="72" fillId="5" borderId="23" xfId="61770" applyFont="1" applyBorder="1" applyAlignment="1">
      <alignment wrapText="1"/>
    </xf>
    <xf numFmtId="0" fontId="74" fillId="0" borderId="13" xfId="0" applyFont="1" applyBorder="1" applyAlignment="1">
      <alignment horizontal="left" indent="1"/>
    </xf>
    <xf numFmtId="0" fontId="60" fillId="2" borderId="14" xfId="0" applyFont="1" applyFill="1" applyBorder="1" applyAlignment="1">
      <alignment horizontal="centerContinuous"/>
    </xf>
    <xf numFmtId="49" fontId="68" fillId="0" borderId="0" xfId="0" applyNumberFormat="1" applyFont="1"/>
    <xf numFmtId="0" fontId="68" fillId="0" borderId="0" xfId="0" applyFont="1" applyFill="1"/>
    <xf numFmtId="0" fontId="63" fillId="4" borderId="27" xfId="0" applyFont="1" applyFill="1" applyBorder="1" applyAlignment="1">
      <alignment horizontal="centerContinuous"/>
    </xf>
    <xf numFmtId="0" fontId="0" fillId="0" borderId="28" xfId="0" applyBorder="1"/>
    <xf numFmtId="0" fontId="61" fillId="0" borderId="0" xfId="0" applyFont="1" applyBorder="1"/>
    <xf numFmtId="0" fontId="61" fillId="0" borderId="10" xfId="0" applyFont="1" applyBorder="1"/>
    <xf numFmtId="0" fontId="61" fillId="0" borderId="30" xfId="0" applyFont="1" applyBorder="1"/>
    <xf numFmtId="0" fontId="61" fillId="0" borderId="31" xfId="0" applyFont="1" applyBorder="1"/>
    <xf numFmtId="0" fontId="0" fillId="0" borderId="32" xfId="0" applyBorder="1" applyAlignment="1">
      <alignment horizontal="left" indent="1"/>
    </xf>
    <xf numFmtId="0" fontId="71" fillId="5" borderId="28" xfId="61769" applyFont="1" applyBorder="1" applyAlignment="1">
      <alignment horizontal="left" indent="1"/>
    </xf>
    <xf numFmtId="0" fontId="68" fillId="6" borderId="28" xfId="0" applyFont="1" applyFill="1" applyBorder="1" applyAlignment="1">
      <alignment horizontal="left" indent="1"/>
    </xf>
    <xf numFmtId="0" fontId="67" fillId="7" borderId="28" xfId="0" applyFont="1" applyFill="1" applyBorder="1" applyAlignment="1">
      <alignment horizontal="left" indent="1"/>
    </xf>
    <xf numFmtId="0" fontId="71" fillId="8" borderId="28" xfId="61777" applyFont="1" applyFill="1" applyBorder="1" applyAlignment="1">
      <alignment horizontal="left" indent="1"/>
    </xf>
    <xf numFmtId="0" fontId="74" fillId="0" borderId="29" xfId="0" applyFont="1" applyBorder="1" applyAlignment="1">
      <alignment horizontal="left" indent="1"/>
    </xf>
    <xf numFmtId="0" fontId="0" fillId="0" borderId="32" xfId="0" applyBorder="1"/>
    <xf numFmtId="0" fontId="0" fillId="0" borderId="29" xfId="0" applyBorder="1"/>
    <xf numFmtId="0" fontId="63" fillId="4" borderId="33" xfId="0" applyFont="1" applyFill="1" applyBorder="1" applyAlignment="1">
      <alignment horizontal="centerContinuous"/>
    </xf>
    <xf numFmtId="0" fontId="8" fillId="5" borderId="23" xfId="61828" applyBorder="1" applyAlignment="1">
      <alignment wrapText="1"/>
    </xf>
    <xf numFmtId="0" fontId="8" fillId="5" borderId="23" xfId="61828" applyBorder="1"/>
    <xf numFmtId="0" fontId="8" fillId="5" borderId="23" xfId="61828" applyFont="1" applyBorder="1"/>
    <xf numFmtId="0" fontId="68" fillId="0" borderId="23" xfId="0" applyFont="1" applyBorder="1" applyAlignment="1">
      <alignment horizontal="left" wrapText="1" indent="1"/>
    </xf>
    <xf numFmtId="0" fontId="72" fillId="5" borderId="23" xfId="61828" applyFont="1" applyBorder="1" applyAlignment="1">
      <alignment wrapText="1"/>
    </xf>
    <xf numFmtId="0" fontId="72" fillId="5" borderId="23" xfId="61828" applyFont="1" applyBorder="1"/>
    <xf numFmtId="0" fontId="8" fillId="5" borderId="23" xfId="61828" applyBorder="1" applyAlignment="1">
      <alignment horizontal="left" indent="1"/>
    </xf>
    <xf numFmtId="0" fontId="68" fillId="6" borderId="16" xfId="0" applyFont="1" applyFill="1" applyBorder="1" applyAlignment="1">
      <alignment horizontal="left" indent="1"/>
    </xf>
    <xf numFmtId="0" fontId="68" fillId="6" borderId="16" xfId="0" applyFont="1" applyFill="1" applyBorder="1" applyAlignment="1">
      <alignment horizontal="right"/>
    </xf>
    <xf numFmtId="0" fontId="67" fillId="0" borderId="0" xfId="0" applyFont="1" applyFill="1"/>
    <xf numFmtId="0" fontId="71" fillId="2" borderId="16" xfId="61842" applyFont="1" applyFill="1" applyBorder="1" applyAlignment="1">
      <alignment horizontal="left" indent="1"/>
    </xf>
    <xf numFmtId="0" fontId="0" fillId="0" borderId="0" xfId="0" applyBorder="1"/>
    <xf numFmtId="0" fontId="68" fillId="6" borderId="16" xfId="0" applyFont="1" applyFill="1" applyBorder="1" applyAlignment="1">
      <alignment horizontal="left"/>
    </xf>
    <xf numFmtId="0" fontId="71" fillId="2" borderId="16" xfId="61769" applyFont="1" applyFill="1" applyBorder="1" applyAlignment="1">
      <alignment horizontal="left" indent="1"/>
    </xf>
    <xf numFmtId="0" fontId="71" fillId="2" borderId="16" xfId="30860" applyFont="1" applyFill="1" applyBorder="1" applyAlignment="1">
      <alignment horizontal="left" indent="1"/>
    </xf>
    <xf numFmtId="14" fontId="76" fillId="0" borderId="0" xfId="0" applyNumberFormat="1" applyFont="1" applyAlignment="1">
      <alignment horizontal="left" indent="1"/>
    </xf>
    <xf numFmtId="0" fontId="76" fillId="0" borderId="0" xfId="0" applyFont="1" applyAlignment="1">
      <alignment horizontal="left" indent="1"/>
    </xf>
    <xf numFmtId="0" fontId="60" fillId="0" borderId="0" xfId="0" applyFont="1" applyAlignment="1">
      <alignment horizontal="left" indent="1"/>
    </xf>
    <xf numFmtId="0" fontId="71" fillId="2" borderId="23" xfId="61828" applyFont="1" applyFill="1" applyBorder="1"/>
    <xf numFmtId="0" fontId="68" fillId="9" borderId="23" xfId="0" applyFont="1" applyFill="1" applyBorder="1" applyAlignment="1">
      <alignment horizontal="left" indent="1"/>
    </xf>
    <xf numFmtId="0" fontId="68" fillId="9" borderId="23" xfId="0" applyFont="1" applyFill="1" applyBorder="1"/>
    <xf numFmtId="0" fontId="71" fillId="2" borderId="23" xfId="61828" applyFont="1" applyFill="1" applyBorder="1" applyAlignment="1">
      <alignment wrapText="1"/>
    </xf>
    <xf numFmtId="0" fontId="71" fillId="5" borderId="23" xfId="61828" applyFont="1" applyBorder="1"/>
    <xf numFmtId="0" fontId="68" fillId="0" borderId="23" xfId="0" applyFont="1" applyBorder="1" applyAlignment="1">
      <alignment horizontal="left" indent="1"/>
    </xf>
    <xf numFmtId="0" fontId="68" fillId="0" borderId="23" xfId="0" applyFont="1" applyBorder="1"/>
    <xf numFmtId="0" fontId="71" fillId="5" borderId="23" xfId="61828" applyFont="1" applyBorder="1" applyAlignment="1">
      <alignment wrapText="1"/>
    </xf>
    <xf numFmtId="0" fontId="71" fillId="5" borderId="23" xfId="61770" applyFont="1" applyBorder="1"/>
    <xf numFmtId="0" fontId="71" fillId="5" borderId="23" xfId="61770" applyFont="1" applyBorder="1" applyAlignment="1">
      <alignment wrapText="1"/>
    </xf>
    <xf numFmtId="0" fontId="71" fillId="2" borderId="20" xfId="61829" applyFont="1" applyFill="1" applyBorder="1" applyAlignment="1">
      <alignment horizontal="center" wrapText="1"/>
    </xf>
    <xf numFmtId="0" fontId="71" fillId="2" borderId="20" xfId="61834" applyFont="1" applyFill="1" applyBorder="1" applyAlignment="1">
      <alignment horizontal="center" wrapText="1"/>
    </xf>
    <xf numFmtId="0" fontId="71" fillId="2" borderId="20" xfId="61839" applyFont="1" applyFill="1" applyBorder="1" applyAlignment="1">
      <alignment horizontal="center" wrapText="1"/>
    </xf>
    <xf numFmtId="0" fontId="67" fillId="2" borderId="20" xfId="0" applyFont="1" applyFill="1" applyBorder="1" applyAlignment="1">
      <alignment horizontal="center"/>
    </xf>
    <xf numFmtId="0" fontId="71" fillId="2" borderId="20" xfId="61836" applyFont="1" applyFill="1" applyBorder="1" applyAlignment="1">
      <alignment horizontal="center" wrapText="1"/>
    </xf>
    <xf numFmtId="0" fontId="71" fillId="2" borderId="20" xfId="61838" applyFont="1" applyFill="1" applyBorder="1" applyAlignment="1">
      <alignment horizontal="center" wrapText="1"/>
    </xf>
    <xf numFmtId="0" fontId="71" fillId="2" borderId="20" xfId="61845" applyFont="1" applyFill="1" applyBorder="1" applyAlignment="1">
      <alignment horizontal="left" indent="1"/>
    </xf>
    <xf numFmtId="0" fontId="71" fillId="2" borderId="20" xfId="61757" applyFont="1" applyFill="1" applyBorder="1" applyAlignment="1">
      <alignment horizontal="center" wrapText="1"/>
    </xf>
    <xf numFmtId="0" fontId="67" fillId="6" borderId="16" xfId="0" applyFont="1" applyFill="1" applyBorder="1" applyAlignment="1">
      <alignment horizontal="left" indent="1"/>
    </xf>
    <xf numFmtId="0" fontId="67" fillId="6" borderId="16" xfId="0" applyFont="1" applyFill="1" applyBorder="1"/>
    <xf numFmtId="0" fontId="67" fillId="9" borderId="16" xfId="0" applyFont="1" applyFill="1" applyBorder="1" applyAlignment="1">
      <alignment horizontal="left" indent="1"/>
    </xf>
    <xf numFmtId="0" fontId="71" fillId="2" borderId="16" xfId="61837" applyFont="1" applyFill="1" applyBorder="1" applyAlignment="1">
      <alignment horizontal="left" indent="1"/>
    </xf>
    <xf numFmtId="0" fontId="71" fillId="2" borderId="16" xfId="61834" applyFont="1" applyFill="1" applyBorder="1" applyAlignment="1">
      <alignment horizontal="left" indent="1"/>
    </xf>
    <xf numFmtId="0" fontId="71" fillId="2" borderId="16" xfId="61838" applyFont="1" applyFill="1" applyBorder="1" applyAlignment="1">
      <alignment horizontal="left" indent="1"/>
    </xf>
    <xf numFmtId="0" fontId="71" fillId="2" borderId="16" xfId="61843" applyFont="1" applyFill="1" applyBorder="1" applyAlignment="1">
      <alignment horizontal="left" indent="1"/>
    </xf>
    <xf numFmtId="0" fontId="71" fillId="2" borderId="16" xfId="61841" applyFont="1" applyFill="1" applyBorder="1" applyAlignment="1">
      <alignment horizontal="left" indent="1"/>
    </xf>
    <xf numFmtId="0" fontId="71" fillId="2" borderId="20" xfId="61830" applyFont="1" applyFill="1" applyBorder="1" applyAlignment="1">
      <alignment horizontal="center" wrapText="1"/>
    </xf>
    <xf numFmtId="0" fontId="71" fillId="2" borderId="20" xfId="61791" applyFont="1" applyFill="1" applyBorder="1" applyAlignment="1">
      <alignment horizontal="center" wrapText="1"/>
    </xf>
    <xf numFmtId="0" fontId="71" fillId="5" borderId="23" xfId="61770" applyFont="1" applyBorder="1" applyAlignment="1">
      <alignment horizontal="left" indent="1"/>
    </xf>
    <xf numFmtId="0" fontId="71" fillId="2" borderId="20" xfId="61777" applyFont="1" applyFill="1" applyBorder="1" applyAlignment="1">
      <alignment horizontal="center" wrapText="1"/>
    </xf>
    <xf numFmtId="0" fontId="71" fillId="2" borderId="20" xfId="61772" applyFont="1" applyFill="1" applyBorder="1" applyAlignment="1">
      <alignment horizontal="center" wrapText="1"/>
    </xf>
    <xf numFmtId="0" fontId="71" fillId="2" borderId="20" xfId="61773" applyFont="1" applyFill="1" applyBorder="1" applyAlignment="1">
      <alignment horizontal="center" wrapText="1"/>
    </xf>
    <xf numFmtId="0" fontId="71" fillId="2" borderId="20" xfId="61831" applyFont="1" applyFill="1" applyBorder="1" applyAlignment="1">
      <alignment horizontal="center" wrapText="1"/>
    </xf>
    <xf numFmtId="0" fontId="71" fillId="2" borderId="20" xfId="61816" applyFont="1" applyFill="1" applyBorder="1" applyAlignment="1">
      <alignment horizontal="center" wrapText="1"/>
    </xf>
    <xf numFmtId="0" fontId="68" fillId="6" borderId="16" xfId="0" applyFont="1" applyFill="1" applyBorder="1" applyAlignment="1">
      <alignment wrapText="1"/>
    </xf>
    <xf numFmtId="0" fontId="71" fillId="2" borderId="16" xfId="61776" applyFont="1" applyFill="1" applyBorder="1" applyAlignment="1">
      <alignment horizontal="left" indent="1"/>
    </xf>
    <xf numFmtId="0" fontId="71" fillId="2" borderId="16" xfId="61791" applyFont="1" applyFill="1" applyBorder="1" applyAlignment="1">
      <alignment horizontal="left" indent="1"/>
    </xf>
    <xf numFmtId="0" fontId="71" fillId="2" borderId="16" xfId="5450" applyFont="1" applyFill="1" applyBorder="1" applyAlignment="1">
      <alignment horizontal="left" indent="1"/>
    </xf>
    <xf numFmtId="0" fontId="71" fillId="2" borderId="16" xfId="61816" applyFont="1" applyFill="1" applyBorder="1" applyAlignment="1">
      <alignment horizontal="left" indent="1"/>
    </xf>
    <xf numFmtId="0" fontId="71" fillId="2" borderId="15" xfId="61770" applyFont="1" applyFill="1" applyBorder="1" applyAlignment="1">
      <alignment horizontal="left" indent="1"/>
    </xf>
    <xf numFmtId="0" fontId="71" fillId="2" borderId="20" xfId="61820" applyFont="1" applyFill="1" applyBorder="1" applyAlignment="1">
      <alignment horizontal="center" wrapText="1"/>
    </xf>
    <xf numFmtId="0" fontId="68" fillId="6" borderId="15" xfId="0" applyFont="1" applyFill="1" applyBorder="1"/>
    <xf numFmtId="0" fontId="68" fillId="6" borderId="15" xfId="0" applyFont="1" applyFill="1" applyBorder="1" applyAlignment="1">
      <alignment horizontal="left" indent="1"/>
    </xf>
    <xf numFmtId="0" fontId="71" fillId="2" borderId="20" xfId="61845" applyFont="1" applyFill="1" applyBorder="1" applyAlignment="1">
      <alignment horizontal="center"/>
    </xf>
    <xf numFmtId="0" fontId="71" fillId="2" borderId="20" xfId="61833" applyFont="1" applyFill="1" applyBorder="1" applyAlignment="1">
      <alignment horizontal="center" wrapText="1"/>
    </xf>
    <xf numFmtId="0" fontId="71" fillId="2" borderId="16" xfId="61831" applyFont="1" applyFill="1" applyBorder="1" applyAlignment="1">
      <alignment horizontal="left" indent="1"/>
    </xf>
    <xf numFmtId="0" fontId="67" fillId="0" borderId="16" xfId="0" applyFont="1" applyFill="1" applyBorder="1" applyAlignment="1">
      <alignment horizontal="left" indent="1"/>
    </xf>
    <xf numFmtId="0" fontId="68" fillId="0" borderId="0" xfId="0" applyFont="1" applyFill="1" applyAlignment="1">
      <alignment horizontal="center"/>
    </xf>
    <xf numFmtId="0" fontId="67" fillId="0" borderId="16" xfId="0" applyFont="1" applyFill="1" applyBorder="1"/>
    <xf numFmtId="49" fontId="68" fillId="0" borderId="0" xfId="0" applyNumberFormat="1" applyFont="1" applyFill="1"/>
    <xf numFmtId="0" fontId="77" fillId="0" borderId="0" xfId="0" applyFont="1" applyFill="1"/>
    <xf numFmtId="0" fontId="68" fillId="0" borderId="0" xfId="0" applyFont="1" applyFill="1" applyBorder="1"/>
    <xf numFmtId="0" fontId="67" fillId="0" borderId="15" xfId="0" applyFont="1" applyFill="1" applyBorder="1" applyAlignment="1">
      <alignment horizontal="left" indent="1"/>
    </xf>
    <xf numFmtId="0" fontId="67" fillId="0" borderId="15" xfId="0" applyFont="1" applyFill="1" applyBorder="1"/>
    <xf numFmtId="0" fontId="68" fillId="0" borderId="16" xfId="0" applyFont="1" applyFill="1" applyBorder="1"/>
    <xf numFmtId="0" fontId="73" fillId="0" borderId="0" xfId="0" applyFont="1" applyFill="1"/>
    <xf numFmtId="0" fontId="61" fillId="0" borderId="0" xfId="0" applyFont="1" applyFill="1"/>
    <xf numFmtId="0" fontId="0" fillId="0" borderId="0" xfId="0" applyFill="1"/>
    <xf numFmtId="0" fontId="71" fillId="0" borderId="0" xfId="61791" applyFont="1" applyFill="1" applyBorder="1" applyAlignment="1">
      <alignment horizontal="left" indent="1"/>
    </xf>
    <xf numFmtId="0" fontId="71" fillId="0" borderId="0" xfId="61845" applyFont="1" applyFill="1" applyBorder="1" applyAlignment="1">
      <alignment horizontal="left" indent="1"/>
    </xf>
    <xf numFmtId="0" fontId="0" fillId="0" borderId="0" xfId="0" applyFill="1" applyBorder="1"/>
    <xf numFmtId="0" fontId="71" fillId="2" borderId="34" xfId="61777" applyFont="1" applyFill="1" applyBorder="1" applyAlignment="1">
      <alignment horizontal="center" wrapText="1"/>
    </xf>
    <xf numFmtId="0" fontId="71" fillId="2" borderId="20" xfId="61845" applyFont="1" applyFill="1" applyBorder="1" applyAlignment="1">
      <alignment horizontal="center" wrapText="1"/>
    </xf>
    <xf numFmtId="0" fontId="71" fillId="6" borderId="35" xfId="61777" applyFont="1" applyFill="1" applyBorder="1" applyAlignment="1">
      <alignment horizontal="left" indent="1"/>
    </xf>
    <xf numFmtId="0" fontId="68" fillId="6" borderId="36" xfId="0" applyFont="1" applyFill="1" applyBorder="1"/>
    <xf numFmtId="0" fontId="68" fillId="6" borderId="37" xfId="0" applyFont="1" applyFill="1" applyBorder="1"/>
    <xf numFmtId="0" fontId="71" fillId="6" borderId="12" xfId="61777" applyFont="1" applyFill="1" applyBorder="1" applyAlignment="1">
      <alignment horizontal="left" indent="1"/>
    </xf>
    <xf numFmtId="0" fontId="68" fillId="6" borderId="17" xfId="0" applyFont="1" applyFill="1" applyBorder="1"/>
    <xf numFmtId="0" fontId="71" fillId="6" borderId="12" xfId="61772" applyFont="1" applyFill="1" applyBorder="1" applyAlignment="1">
      <alignment horizontal="left" indent="1"/>
    </xf>
    <xf numFmtId="0" fontId="71" fillId="6" borderId="12" xfId="61830" applyFont="1" applyFill="1" applyBorder="1" applyAlignment="1">
      <alignment horizontal="left" indent="1"/>
    </xf>
    <xf numFmtId="0" fontId="71" fillId="6" borderId="12" xfId="61834" applyFont="1" applyFill="1" applyBorder="1" applyAlignment="1">
      <alignment horizontal="left" indent="1"/>
    </xf>
    <xf numFmtId="0" fontId="71" fillId="6" borderId="12" xfId="61845" applyFont="1" applyFill="1" applyBorder="1" applyAlignment="1">
      <alignment horizontal="left" indent="1"/>
    </xf>
    <xf numFmtId="0" fontId="71" fillId="6" borderId="12" xfId="61829" applyFont="1" applyFill="1" applyBorder="1" applyAlignment="1">
      <alignment horizontal="left" indent="1"/>
    </xf>
    <xf numFmtId="0" fontId="71" fillId="6" borderId="12" xfId="61773" applyFont="1" applyFill="1" applyBorder="1" applyAlignment="1">
      <alignment horizontal="left" indent="1"/>
    </xf>
    <xf numFmtId="0" fontId="71" fillId="6" borderId="12" xfId="61831" applyFont="1" applyFill="1" applyBorder="1" applyAlignment="1">
      <alignment horizontal="left" indent="1"/>
    </xf>
    <xf numFmtId="0" fontId="71" fillId="6" borderId="12" xfId="61757" applyFont="1" applyFill="1" applyBorder="1" applyAlignment="1">
      <alignment horizontal="left" indent="1"/>
    </xf>
    <xf numFmtId="0" fontId="71" fillId="6" borderId="12" xfId="61791" applyFont="1" applyFill="1" applyBorder="1" applyAlignment="1">
      <alignment horizontal="left" indent="1"/>
    </xf>
    <xf numFmtId="0" fontId="71" fillId="6" borderId="12" xfId="61816" applyFont="1" applyFill="1" applyBorder="1" applyAlignment="1">
      <alignment horizontal="left" indent="1"/>
    </xf>
    <xf numFmtId="0" fontId="79" fillId="2" borderId="19" xfId="0" applyFont="1" applyFill="1" applyBorder="1" applyAlignment="1">
      <alignment horizontal="left" wrapText="1"/>
    </xf>
    <xf numFmtId="0" fontId="77" fillId="4" borderId="5" xfId="0" applyFont="1" applyFill="1" applyBorder="1" applyAlignment="1">
      <alignment horizontal="centerContinuous"/>
    </xf>
    <xf numFmtId="0" fontId="71" fillId="6" borderId="16" xfId="61769" applyFont="1" applyFill="1" applyBorder="1" applyAlignment="1">
      <alignment horizontal="left" indent="1"/>
    </xf>
    <xf numFmtId="0" fontId="67" fillId="6" borderId="1" xfId="0" applyFont="1" applyFill="1" applyBorder="1" applyAlignment="1">
      <alignment horizontal="left" indent="1"/>
    </xf>
    <xf numFmtId="0" fontId="71" fillId="6" borderId="10" xfId="61769" applyFont="1" applyFill="1" applyBorder="1" applyAlignment="1">
      <alignment horizontal="left" indent="1"/>
    </xf>
    <xf numFmtId="0" fontId="71" fillId="6" borderId="2" xfId="61769" applyFont="1" applyFill="1" applyBorder="1" applyAlignment="1">
      <alignment horizontal="left" wrapText="1"/>
    </xf>
    <xf numFmtId="0" fontId="71" fillId="6" borderId="18" xfId="61771" applyFont="1" applyFill="1" applyBorder="1" applyAlignment="1">
      <alignment horizontal="left" indent="1"/>
    </xf>
    <xf numFmtId="0" fontId="67" fillId="6" borderId="11" xfId="0" applyFont="1" applyFill="1" applyBorder="1" applyAlignment="1">
      <alignment horizontal="left" indent="1"/>
    </xf>
    <xf numFmtId="0" fontId="67" fillId="6" borderId="15" xfId="0" applyFont="1" applyFill="1" applyBorder="1" applyAlignment="1">
      <alignment horizontal="left" indent="1"/>
    </xf>
    <xf numFmtId="0" fontId="71" fillId="6" borderId="15" xfId="61771" applyFont="1" applyFill="1" applyBorder="1" applyAlignment="1">
      <alignment horizontal="left" indent="1"/>
    </xf>
    <xf numFmtId="0" fontId="71" fillId="6" borderId="4" xfId="61771" applyFont="1" applyFill="1" applyBorder="1" applyAlignment="1">
      <alignment horizontal="left" wrapText="1"/>
    </xf>
    <xf numFmtId="0" fontId="67" fillId="0" borderId="36" xfId="0" applyFont="1" applyFill="1" applyBorder="1" applyAlignment="1">
      <alignment horizontal="left" indent="1"/>
    </xf>
    <xf numFmtId="0" fontId="71" fillId="2" borderId="37" xfId="61769" applyFont="1" applyFill="1" applyBorder="1" applyAlignment="1">
      <alignment horizontal="left" wrapText="1"/>
    </xf>
    <xf numFmtId="0" fontId="71" fillId="2" borderId="17" xfId="61769" applyFont="1" applyFill="1" applyBorder="1" applyAlignment="1">
      <alignment horizontal="left" wrapText="1"/>
    </xf>
    <xf numFmtId="0" fontId="71" fillId="2" borderId="17" xfId="61803" applyFont="1" applyFill="1" applyBorder="1" applyAlignment="1">
      <alignment horizontal="left" wrapText="1"/>
    </xf>
    <xf numFmtId="0" fontId="71" fillId="2" borderId="17" xfId="61837" applyFont="1" applyFill="1" applyBorder="1" applyAlignment="1">
      <alignment horizontal="left" wrapText="1"/>
    </xf>
    <xf numFmtId="0" fontId="71" fillId="2" borderId="17" xfId="61776" applyFont="1" applyFill="1" applyBorder="1" applyAlignment="1">
      <alignment horizontal="center" wrapText="1"/>
    </xf>
    <xf numFmtId="0" fontId="71" fillId="2" borderId="17" xfId="30860" applyFont="1" applyFill="1" applyBorder="1" applyAlignment="1">
      <alignment horizontal="left" wrapText="1"/>
    </xf>
    <xf numFmtId="0" fontId="71" fillId="2" borderId="17" xfId="61842" applyFont="1" applyFill="1" applyBorder="1" applyAlignment="1">
      <alignment horizontal="center" wrapText="1"/>
    </xf>
    <xf numFmtId="0" fontId="71" fillId="2" borderId="17" xfId="61791" applyFont="1" applyFill="1" applyBorder="1" applyAlignment="1">
      <alignment horizontal="left" wrapText="1"/>
    </xf>
    <xf numFmtId="0" fontId="71" fillId="2" borderId="17" xfId="5450" applyFont="1" applyFill="1" applyBorder="1" applyAlignment="1">
      <alignment horizontal="left" wrapText="1"/>
    </xf>
    <xf numFmtId="0" fontId="71" fillId="2" borderId="17" xfId="61816" applyFont="1" applyFill="1" applyBorder="1" applyAlignment="1">
      <alignment horizontal="left" wrapText="1"/>
    </xf>
    <xf numFmtId="0" fontId="71" fillId="2" borderId="18" xfId="61770" applyFont="1" applyFill="1" applyBorder="1" applyAlignment="1">
      <alignment horizontal="left" wrapText="1"/>
    </xf>
    <xf numFmtId="0" fontId="71" fillId="2" borderId="36" xfId="61769" applyFont="1" applyFill="1" applyBorder="1" applyAlignment="1">
      <alignment horizontal="left" indent="1"/>
    </xf>
    <xf numFmtId="0" fontId="71" fillId="2" borderId="35" xfId="61769" applyFont="1" applyFill="1" applyBorder="1" applyAlignment="1">
      <alignment horizontal="left" indent="1"/>
    </xf>
    <xf numFmtId="0" fontId="71" fillId="2" borderId="12" xfId="61769" applyFont="1" applyFill="1" applyBorder="1" applyAlignment="1">
      <alignment horizontal="left" indent="1"/>
    </xf>
    <xf numFmtId="0" fontId="71" fillId="2" borderId="12" xfId="61837" applyFont="1" applyFill="1" applyBorder="1" applyAlignment="1">
      <alignment horizontal="left" indent="1"/>
    </xf>
    <xf numFmtId="0" fontId="71" fillId="2" borderId="12" xfId="61776" applyFont="1" applyFill="1" applyBorder="1" applyAlignment="1">
      <alignment horizontal="left" indent="1"/>
    </xf>
    <xf numFmtId="0" fontId="71" fillId="2" borderId="12" xfId="30860" applyFont="1" applyFill="1" applyBorder="1" applyAlignment="1">
      <alignment horizontal="left" indent="1"/>
    </xf>
    <xf numFmtId="0" fontId="71" fillId="2" borderId="12" xfId="61842" applyFont="1" applyFill="1" applyBorder="1" applyAlignment="1">
      <alignment horizontal="left" indent="1"/>
    </xf>
    <xf numFmtId="0" fontId="71" fillId="2" borderId="12" xfId="61791" applyFont="1" applyFill="1" applyBorder="1" applyAlignment="1">
      <alignment horizontal="left" indent="1"/>
    </xf>
    <xf numFmtId="0" fontId="71" fillId="2" borderId="12" xfId="5450" applyFont="1" applyFill="1" applyBorder="1" applyAlignment="1">
      <alignment horizontal="left" indent="1"/>
    </xf>
    <xf numFmtId="0" fontId="71" fillId="2" borderId="12" xfId="61816" applyFont="1" applyFill="1" applyBorder="1" applyAlignment="1">
      <alignment horizontal="left" indent="1"/>
    </xf>
    <xf numFmtId="0" fontId="71" fillId="2" borderId="13" xfId="61770" applyFont="1" applyFill="1" applyBorder="1" applyAlignment="1">
      <alignment horizontal="left" indent="1"/>
    </xf>
    <xf numFmtId="0" fontId="84" fillId="0" borderId="0" xfId="0" applyFont="1" applyFill="1"/>
    <xf numFmtId="0" fontId="83" fillId="0" borderId="0" xfId="0" applyFont="1" applyFill="1"/>
    <xf numFmtId="0" fontId="0" fillId="0" borderId="23" xfId="0" applyFill="1" applyBorder="1" applyAlignment="1">
      <alignment horizontal="left" indent="1"/>
    </xf>
    <xf numFmtId="0" fontId="0" fillId="0" borderId="23" xfId="0" applyFill="1" applyBorder="1"/>
    <xf numFmtId="0" fontId="8" fillId="2" borderId="23" xfId="61828" applyFill="1" applyBorder="1"/>
    <xf numFmtId="0" fontId="8" fillId="2" borderId="23" xfId="61828" applyFill="1" applyBorder="1" applyAlignment="1">
      <alignment wrapText="1"/>
    </xf>
    <xf numFmtId="0" fontId="0" fillId="0" borderId="41" xfId="0" applyFill="1" applyBorder="1" applyAlignment="1">
      <alignment horizontal="left" indent="1"/>
    </xf>
    <xf numFmtId="0" fontId="0" fillId="0" borderId="41" xfId="0" applyFill="1" applyBorder="1"/>
    <xf numFmtId="0" fontId="8" fillId="2" borderId="19" xfId="61828" applyFill="1" applyBorder="1"/>
    <xf numFmtId="0" fontId="8" fillId="2" borderId="19" xfId="61828" applyFill="1" applyBorder="1" applyAlignment="1">
      <alignment horizontal="left" indent="1"/>
    </xf>
    <xf numFmtId="0" fontId="8" fillId="2" borderId="19" xfId="61828" applyFill="1" applyBorder="1" applyAlignment="1">
      <alignment wrapText="1"/>
    </xf>
    <xf numFmtId="0" fontId="71" fillId="2" borderId="20" xfId="61835" applyFont="1" applyFill="1" applyBorder="1" applyAlignment="1">
      <alignment horizontal="center" wrapText="1"/>
    </xf>
    <xf numFmtId="0" fontId="71" fillId="2" borderId="20" xfId="61855" applyFont="1" applyFill="1" applyBorder="1" applyAlignment="1">
      <alignment horizontal="center" wrapText="1"/>
    </xf>
    <xf numFmtId="0" fontId="71" fillId="2" borderId="20" xfId="61832" applyFont="1" applyFill="1" applyBorder="1" applyAlignment="1">
      <alignment horizontal="center" wrapText="1"/>
    </xf>
    <xf numFmtId="0" fontId="79" fillId="2" borderId="5" xfId="0" applyFont="1" applyFill="1" applyBorder="1" applyAlignment="1">
      <alignment horizontal="left" indent="1"/>
    </xf>
    <xf numFmtId="0" fontId="71" fillId="2" borderId="37" xfId="61843" applyFont="1" applyFill="1" applyBorder="1" applyAlignment="1">
      <alignment horizontal="left" wrapText="1"/>
    </xf>
    <xf numFmtId="0" fontId="71" fillId="2" borderId="17" xfId="61841" applyFont="1" applyFill="1" applyBorder="1" applyAlignment="1">
      <alignment horizontal="left" wrapText="1"/>
    </xf>
    <xf numFmtId="0" fontId="71" fillId="2" borderId="17" xfId="61835" applyFont="1" applyFill="1" applyBorder="1" applyAlignment="1">
      <alignment horizontal="left" wrapText="1"/>
    </xf>
    <xf numFmtId="0" fontId="71" fillId="2" borderId="17" xfId="61837" applyFont="1" applyFill="1" applyBorder="1" applyAlignment="1">
      <alignment horizontal="center" wrapText="1"/>
    </xf>
    <xf numFmtId="0" fontId="71" fillId="2" borderId="17" xfId="61831" applyFont="1" applyFill="1" applyBorder="1" applyAlignment="1">
      <alignment horizontal="left" wrapText="1"/>
    </xf>
    <xf numFmtId="0" fontId="71" fillId="2" borderId="17" xfId="61838" applyFont="1" applyFill="1" applyBorder="1" applyAlignment="1">
      <alignment horizontal="left" wrapText="1"/>
    </xf>
    <xf numFmtId="0" fontId="71" fillId="2" borderId="17" xfId="61828" applyFont="1" applyFill="1" applyBorder="1" applyAlignment="1">
      <alignment horizontal="left" wrapText="1"/>
    </xf>
    <xf numFmtId="0" fontId="71" fillId="2" borderId="18" xfId="61769" applyFont="1" applyFill="1" applyBorder="1" applyAlignment="1">
      <alignment horizontal="left" wrapText="1"/>
    </xf>
    <xf numFmtId="0" fontId="71" fillId="2" borderId="36" xfId="61843" applyFont="1" applyFill="1" applyBorder="1" applyAlignment="1">
      <alignment horizontal="left" indent="1"/>
    </xf>
    <xf numFmtId="0" fontId="71" fillId="2" borderId="16" xfId="61828" applyFont="1" applyFill="1" applyBorder="1" applyAlignment="1">
      <alignment horizontal="left" indent="1"/>
    </xf>
    <xf numFmtId="0" fontId="71" fillId="2" borderId="15" xfId="61769" applyFont="1" applyFill="1" applyBorder="1" applyAlignment="1">
      <alignment horizontal="left" indent="1"/>
    </xf>
    <xf numFmtId="0" fontId="71" fillId="2" borderId="35" xfId="61843" applyFont="1" applyFill="1" applyBorder="1" applyAlignment="1">
      <alignment horizontal="left" indent="1"/>
    </xf>
    <xf numFmtId="0" fontId="71" fillId="2" borderId="12" xfId="61841" applyFont="1" applyFill="1" applyBorder="1" applyAlignment="1">
      <alignment horizontal="left" indent="1"/>
    </xf>
    <xf numFmtId="0" fontId="71" fillId="2" borderId="12" xfId="61831" applyFont="1" applyFill="1" applyBorder="1" applyAlignment="1">
      <alignment horizontal="left" indent="1"/>
    </xf>
    <xf numFmtId="0" fontId="71" fillId="2" borderId="12" xfId="61838" applyFont="1" applyFill="1" applyBorder="1" applyAlignment="1">
      <alignment horizontal="left" indent="1"/>
    </xf>
    <xf numFmtId="0" fontId="71" fillId="2" borderId="12" xfId="61828" applyFont="1" applyFill="1" applyBorder="1" applyAlignment="1">
      <alignment horizontal="left" indent="1"/>
    </xf>
    <xf numFmtId="0" fontId="71" fillId="2" borderId="13" xfId="61769" applyFont="1" applyFill="1" applyBorder="1" applyAlignment="1">
      <alignment horizontal="left" indent="1"/>
    </xf>
    <xf numFmtId="0" fontId="8" fillId="2" borderId="41" xfId="61828" applyFill="1" applyBorder="1"/>
    <xf numFmtId="0" fontId="8" fillId="2" borderId="41" xfId="61828" applyFill="1" applyBorder="1" applyAlignment="1">
      <alignment wrapText="1"/>
    </xf>
    <xf numFmtId="0" fontId="71" fillId="6" borderId="35" xfId="61829" applyFont="1" applyFill="1" applyBorder="1" applyAlignment="1">
      <alignment horizontal="left" indent="1"/>
    </xf>
    <xf numFmtId="0" fontId="71" fillId="6" borderId="12" xfId="61839" applyFont="1" applyFill="1" applyBorder="1" applyAlignment="1">
      <alignment horizontal="left" indent="1"/>
    </xf>
    <xf numFmtId="0" fontId="71" fillId="6" borderId="12" xfId="61837" applyFont="1" applyFill="1" applyBorder="1" applyAlignment="1">
      <alignment horizontal="left" indent="1"/>
    </xf>
    <xf numFmtId="0" fontId="71" fillId="6" borderId="17" xfId="61837" applyFont="1" applyFill="1" applyBorder="1" applyAlignment="1">
      <alignment horizontal="left" wrapText="1"/>
    </xf>
    <xf numFmtId="0" fontId="71" fillId="6" borderId="12" xfId="61833" applyFont="1" applyFill="1" applyBorder="1" applyAlignment="1">
      <alignment horizontal="left" indent="1"/>
    </xf>
    <xf numFmtId="0" fontId="71" fillId="6" borderId="12" xfId="61838" applyFont="1" applyFill="1" applyBorder="1" applyAlignment="1">
      <alignment horizontal="left" indent="1"/>
    </xf>
    <xf numFmtId="0" fontId="68" fillId="6" borderId="16" xfId="0" applyFont="1" applyFill="1" applyBorder="1" applyAlignment="1">
      <alignment horizontal="center" wrapText="1"/>
    </xf>
    <xf numFmtId="0" fontId="71" fillId="6" borderId="12" xfId="61836" applyFont="1" applyFill="1" applyBorder="1" applyAlignment="1">
      <alignment horizontal="left" indent="1"/>
    </xf>
    <xf numFmtId="0" fontId="71" fillId="6" borderId="12" xfId="61855" applyFont="1" applyFill="1" applyBorder="1" applyAlignment="1">
      <alignment horizontal="left" indent="1"/>
    </xf>
    <xf numFmtId="0" fontId="71" fillId="6" borderId="16" xfId="61845" applyFont="1" applyFill="1" applyBorder="1" applyAlignment="1">
      <alignment horizontal="left" indent="1"/>
    </xf>
    <xf numFmtId="0" fontId="71" fillId="6" borderId="17" xfId="61845" applyFont="1" applyFill="1" applyBorder="1" applyAlignment="1">
      <alignment horizontal="left" indent="1"/>
    </xf>
    <xf numFmtId="0" fontId="71" fillId="6" borderId="12" xfId="61832" applyFont="1" applyFill="1" applyBorder="1" applyAlignment="1">
      <alignment horizontal="left" indent="1"/>
    </xf>
    <xf numFmtId="0" fontId="68" fillId="6" borderId="18" xfId="0" applyFont="1" applyFill="1" applyBorder="1"/>
    <xf numFmtId="0" fontId="71" fillId="6" borderId="16" xfId="61841" applyFont="1" applyFill="1" applyBorder="1" applyAlignment="1">
      <alignment horizontal="left" indent="1"/>
    </xf>
    <xf numFmtId="0" fontId="71" fillId="6" borderId="10" xfId="61841" applyFont="1" applyFill="1" applyBorder="1" applyAlignment="1">
      <alignment horizontal="left" indent="1"/>
    </xf>
    <xf numFmtId="0" fontId="71" fillId="6" borderId="2" xfId="61841" applyFont="1" applyFill="1" applyBorder="1" applyAlignment="1">
      <alignment horizontal="left" wrapText="1"/>
    </xf>
    <xf numFmtId="0" fontId="71" fillId="6" borderId="18" xfId="61840" applyFont="1" applyFill="1" applyBorder="1" applyAlignment="1">
      <alignment horizontal="left" indent="1"/>
    </xf>
    <xf numFmtId="0" fontId="71" fillId="6" borderId="15" xfId="61840" applyFont="1" applyFill="1" applyBorder="1" applyAlignment="1">
      <alignment horizontal="left" indent="1"/>
    </xf>
    <xf numFmtId="0" fontId="71" fillId="6" borderId="4" xfId="61840" applyFont="1" applyFill="1" applyBorder="1" applyAlignment="1">
      <alignment horizontal="left" wrapText="1"/>
    </xf>
    <xf numFmtId="0" fontId="71" fillId="2" borderId="17" xfId="61843" applyFont="1" applyFill="1" applyBorder="1" applyAlignment="1">
      <alignment horizontal="left" wrapText="1"/>
    </xf>
    <xf numFmtId="0" fontId="71" fillId="2" borderId="17" xfId="61834" applyFont="1" applyFill="1" applyBorder="1" applyAlignment="1">
      <alignment horizontal="left" wrapText="1"/>
    </xf>
    <xf numFmtId="0" fontId="71" fillId="2" borderId="12" xfId="61843" applyFont="1" applyFill="1" applyBorder="1" applyAlignment="1">
      <alignment horizontal="left" indent="1"/>
    </xf>
    <xf numFmtId="0" fontId="71" fillId="2" borderId="12" xfId="61834" applyFont="1" applyFill="1" applyBorder="1" applyAlignment="1">
      <alignment horizontal="left" indent="1"/>
    </xf>
    <xf numFmtId="0" fontId="68" fillId="6" borderId="16" xfId="0" applyFont="1" applyFill="1" applyBorder="1" applyAlignment="1">
      <alignment horizontal="left" wrapText="1"/>
    </xf>
    <xf numFmtId="0" fontId="71" fillId="6" borderId="16" xfId="61843" applyFont="1" applyFill="1" applyBorder="1" applyAlignment="1">
      <alignment horizontal="left" indent="1"/>
    </xf>
    <xf numFmtId="0" fontId="71" fillId="6" borderId="10" xfId="61843" applyFont="1" applyFill="1" applyBorder="1" applyAlignment="1">
      <alignment horizontal="left" indent="1"/>
    </xf>
    <xf numFmtId="0" fontId="71" fillId="6" borderId="2" xfId="61843" applyFont="1" applyFill="1" applyBorder="1" applyAlignment="1">
      <alignment horizontal="left" wrapText="1"/>
    </xf>
    <xf numFmtId="0" fontId="67" fillId="0" borderId="1" xfId="0" applyFont="1" applyBorder="1"/>
    <xf numFmtId="0" fontId="71" fillId="0" borderId="0" xfId="61770" applyFont="1" applyFill="1" applyBorder="1" applyAlignment="1">
      <alignment horizontal="center" wrapText="1"/>
    </xf>
    <xf numFmtId="0" fontId="71" fillId="2" borderId="21" xfId="61829" applyFont="1" applyFill="1" applyBorder="1" applyAlignment="1">
      <alignment horizontal="center" wrapText="1"/>
    </xf>
    <xf numFmtId="0" fontId="71" fillId="6" borderId="13" xfId="61770" applyFont="1" applyFill="1" applyBorder="1" applyAlignment="1">
      <alignment horizontal="left" indent="1"/>
    </xf>
    <xf numFmtId="0" fontId="67" fillId="9" borderId="36" xfId="0" applyFont="1" applyFill="1" applyBorder="1" applyAlignment="1">
      <alignment horizontal="left" indent="1"/>
    </xf>
    <xf numFmtId="0" fontId="71" fillId="6" borderId="35" xfId="61777" applyFont="1" applyFill="1" applyBorder="1" applyAlignment="1">
      <alignment horizontal="left" wrapText="1"/>
    </xf>
    <xf numFmtId="0" fontId="68" fillId="6" borderId="36" xfId="0" applyFont="1" applyFill="1" applyBorder="1" applyAlignment="1">
      <alignment wrapText="1"/>
    </xf>
    <xf numFmtId="0" fontId="68" fillId="6" borderId="37" xfId="0" applyFont="1" applyFill="1" applyBorder="1" applyAlignment="1">
      <alignment wrapText="1"/>
    </xf>
    <xf numFmtId="0" fontId="71" fillId="6" borderId="12" xfId="61777" applyFont="1" applyFill="1" applyBorder="1" applyAlignment="1">
      <alignment horizontal="left" wrapText="1"/>
    </xf>
    <xf numFmtId="0" fontId="68" fillId="6" borderId="17" xfId="0" applyFont="1" applyFill="1" applyBorder="1" applyAlignment="1">
      <alignment wrapText="1"/>
    </xf>
    <xf numFmtId="0" fontId="71" fillId="6" borderId="12" xfId="61772" applyFont="1" applyFill="1" applyBorder="1" applyAlignment="1">
      <alignment horizontal="left" wrapText="1"/>
    </xf>
    <xf numFmtId="0" fontId="71" fillId="6" borderId="12" xfId="61830" applyFont="1" applyFill="1" applyBorder="1" applyAlignment="1">
      <alignment horizontal="left" wrapText="1"/>
    </xf>
    <xf numFmtId="0" fontId="71" fillId="6" borderId="12" xfId="61834" applyFont="1" applyFill="1" applyBorder="1" applyAlignment="1">
      <alignment horizontal="left" wrapText="1"/>
    </xf>
    <xf numFmtId="0" fontId="68" fillId="6" borderId="16" xfId="0" applyFont="1" applyFill="1" applyBorder="1" applyAlignment="1">
      <alignment horizontal="right" wrapText="1"/>
    </xf>
    <xf numFmtId="0" fontId="71" fillId="6" borderId="12" xfId="61845" applyFont="1" applyFill="1" applyBorder="1" applyAlignment="1">
      <alignment horizontal="left" wrapText="1"/>
    </xf>
    <xf numFmtId="0" fontId="71" fillId="6" borderId="12" xfId="61829" applyFont="1" applyFill="1" applyBorder="1" applyAlignment="1">
      <alignment horizontal="left" wrapText="1"/>
    </xf>
    <xf numFmtId="0" fontId="71" fillId="6" borderId="12" xfId="61773" applyFont="1" applyFill="1" applyBorder="1" applyAlignment="1">
      <alignment horizontal="left" wrapText="1"/>
    </xf>
    <xf numFmtId="0" fontId="71" fillId="6" borderId="12" xfId="61831" applyFont="1" applyFill="1" applyBorder="1" applyAlignment="1">
      <alignment horizontal="left" wrapText="1"/>
    </xf>
    <xf numFmtId="0" fontId="71" fillId="6" borderId="12" xfId="61757" applyFont="1" applyFill="1" applyBorder="1" applyAlignment="1">
      <alignment horizontal="left" wrapText="1"/>
    </xf>
    <xf numFmtId="0" fontId="71" fillId="6" borderId="12" xfId="61791" applyFont="1" applyFill="1" applyBorder="1" applyAlignment="1">
      <alignment horizontal="left" wrapText="1"/>
    </xf>
    <xf numFmtId="0" fontId="71" fillId="6" borderId="12" xfId="61816" applyFont="1" applyFill="1" applyBorder="1" applyAlignment="1">
      <alignment horizontal="left" wrapText="1"/>
    </xf>
    <xf numFmtId="0" fontId="71" fillId="6" borderId="16" xfId="61845" applyFont="1" applyFill="1" applyBorder="1" applyAlignment="1">
      <alignment horizontal="left" wrapText="1"/>
    </xf>
    <xf numFmtId="0" fontId="71" fillId="6" borderId="17" xfId="61845" applyFont="1" applyFill="1" applyBorder="1" applyAlignment="1">
      <alignment horizontal="left" wrapText="1"/>
    </xf>
    <xf numFmtId="0" fontId="79" fillId="2" borderId="21" xfId="0" applyFont="1" applyFill="1" applyBorder="1" applyAlignment="1">
      <alignment horizontal="left" indent="1"/>
    </xf>
    <xf numFmtId="0" fontId="73" fillId="0" borderId="0" xfId="0" applyFont="1" applyAlignment="1">
      <alignment horizontal="left" indent="1"/>
    </xf>
    <xf numFmtId="0" fontId="0" fillId="0" borderId="23" xfId="0" applyFill="1" applyBorder="1" applyAlignment="1">
      <alignment horizontal="left" wrapText="1" indent="1"/>
    </xf>
    <xf numFmtId="0" fontId="0" fillId="0" borderId="23" xfId="0" applyBorder="1" applyAlignment="1">
      <alignment horizontal="left" wrapText="1" indent="1"/>
    </xf>
    <xf numFmtId="0" fontId="73" fillId="0" borderId="23" xfId="0" applyFont="1" applyBorder="1" applyAlignment="1">
      <alignment horizontal="left" wrapText="1" indent="1"/>
    </xf>
    <xf numFmtId="0" fontId="68" fillId="9" borderId="23" xfId="0" applyFont="1" applyFill="1" applyBorder="1" applyAlignment="1">
      <alignment horizontal="left" wrapText="1" indent="1"/>
    </xf>
    <xf numFmtId="0" fontId="0" fillId="0" borderId="23" xfId="0" applyFont="1" applyBorder="1" applyAlignment="1">
      <alignment horizontal="left" wrapText="1" indent="1"/>
    </xf>
    <xf numFmtId="0" fontId="73" fillId="0" borderId="0" xfId="0" applyFont="1" applyAlignment="1">
      <alignment horizontal="left" wrapText="1" indent="1"/>
    </xf>
    <xf numFmtId="0" fontId="71" fillId="6" borderId="35" xfId="61777" applyFont="1" applyFill="1" applyBorder="1" applyAlignment="1">
      <alignment horizontal="left" wrapText="1" indent="1"/>
    </xf>
    <xf numFmtId="0" fontId="68" fillId="6" borderId="36" xfId="0" applyFont="1" applyFill="1" applyBorder="1" applyAlignment="1">
      <alignment horizontal="left" wrapText="1" indent="1"/>
    </xf>
    <xf numFmtId="0" fontId="68" fillId="6" borderId="37" xfId="0" applyFont="1" applyFill="1" applyBorder="1" applyAlignment="1">
      <alignment horizontal="left" wrapText="1" indent="1"/>
    </xf>
    <xf numFmtId="0" fontId="71" fillId="2" borderId="34" xfId="61777" applyFont="1" applyFill="1" applyBorder="1" applyAlignment="1">
      <alignment horizontal="left" wrapText="1" indent="1"/>
    </xf>
    <xf numFmtId="0" fontId="71" fillId="6" borderId="12" xfId="61777" applyFont="1" applyFill="1" applyBorder="1" applyAlignment="1">
      <alignment horizontal="left" wrapText="1" indent="1"/>
    </xf>
    <xf numFmtId="0" fontId="68" fillId="6" borderId="16" xfId="0" applyFont="1" applyFill="1" applyBorder="1" applyAlignment="1">
      <alignment horizontal="left" wrapText="1" indent="1"/>
    </xf>
    <xf numFmtId="0" fontId="68" fillId="6" borderId="17" xfId="0" applyFont="1" applyFill="1" applyBorder="1" applyAlignment="1">
      <alignment horizontal="left" wrapText="1" indent="1"/>
    </xf>
    <xf numFmtId="0" fontId="71" fillId="2" borderId="20" xfId="61777" applyFont="1" applyFill="1" applyBorder="1" applyAlignment="1">
      <alignment horizontal="left" wrapText="1" indent="1"/>
    </xf>
    <xf numFmtId="0" fontId="71" fillId="6" borderId="12" xfId="61772" applyFont="1" applyFill="1" applyBorder="1" applyAlignment="1">
      <alignment horizontal="left" wrapText="1" indent="1"/>
    </xf>
    <xf numFmtId="0" fontId="71" fillId="2" borderId="20" xfId="61772" applyFont="1" applyFill="1" applyBorder="1" applyAlignment="1">
      <alignment horizontal="left" wrapText="1" indent="1"/>
    </xf>
    <xf numFmtId="0" fontId="71" fillId="6" borderId="12" xfId="61830" applyFont="1" applyFill="1" applyBorder="1" applyAlignment="1">
      <alignment horizontal="left" wrapText="1" indent="1"/>
    </xf>
    <xf numFmtId="0" fontId="71" fillId="2" borderId="20" xfId="61830" applyFont="1" applyFill="1" applyBorder="1" applyAlignment="1">
      <alignment horizontal="left" wrapText="1" indent="1"/>
    </xf>
    <xf numFmtId="0" fontId="71" fillId="6" borderId="12" xfId="61834" applyFont="1" applyFill="1" applyBorder="1" applyAlignment="1">
      <alignment horizontal="left" wrapText="1" indent="1"/>
    </xf>
    <xf numFmtId="0" fontId="71" fillId="2" borderId="20" xfId="61829" applyFont="1" applyFill="1" applyBorder="1" applyAlignment="1">
      <alignment horizontal="left" wrapText="1" indent="1"/>
    </xf>
    <xf numFmtId="0" fontId="71" fillId="6" borderId="12" xfId="61845" applyFont="1" applyFill="1" applyBorder="1" applyAlignment="1">
      <alignment horizontal="left" wrapText="1" indent="1"/>
    </xf>
    <xf numFmtId="0" fontId="71" fillId="2" borderId="20" xfId="61845" applyFont="1" applyFill="1" applyBorder="1" applyAlignment="1">
      <alignment horizontal="left" wrapText="1" indent="1"/>
    </xf>
    <xf numFmtId="0" fontId="71" fillId="6" borderId="12" xfId="61829" applyFont="1" applyFill="1" applyBorder="1" applyAlignment="1">
      <alignment horizontal="left" wrapText="1" indent="1"/>
    </xf>
    <xf numFmtId="0" fontId="71" fillId="2" borderId="20" xfId="61773" applyFont="1" applyFill="1" applyBorder="1" applyAlignment="1">
      <alignment horizontal="left" wrapText="1" indent="1"/>
    </xf>
    <xf numFmtId="0" fontId="71" fillId="6" borderId="12" xfId="61773" applyFont="1" applyFill="1" applyBorder="1" applyAlignment="1">
      <alignment horizontal="left" wrapText="1" indent="1"/>
    </xf>
    <xf numFmtId="0" fontId="71" fillId="2" borderId="20" xfId="61831" applyFont="1" applyFill="1" applyBorder="1" applyAlignment="1">
      <alignment horizontal="left" wrapText="1" indent="1"/>
    </xf>
    <xf numFmtId="0" fontId="71" fillId="6" borderId="12" xfId="61831" applyFont="1" applyFill="1" applyBorder="1" applyAlignment="1">
      <alignment horizontal="left" wrapText="1" indent="1"/>
    </xf>
    <xf numFmtId="0" fontId="71" fillId="2" borderId="20" xfId="61757" applyFont="1" applyFill="1" applyBorder="1" applyAlignment="1">
      <alignment horizontal="left" wrapText="1" indent="1"/>
    </xf>
    <xf numFmtId="0" fontId="71" fillId="6" borderId="12" xfId="61757" applyFont="1" applyFill="1" applyBorder="1" applyAlignment="1">
      <alignment horizontal="left" wrapText="1" indent="1"/>
    </xf>
    <xf numFmtId="0" fontId="71" fillId="2" borderId="20" xfId="61791" applyFont="1" applyFill="1" applyBorder="1" applyAlignment="1">
      <alignment horizontal="left" wrapText="1" indent="1"/>
    </xf>
    <xf numFmtId="0" fontId="71" fillId="6" borderId="12" xfId="61791" applyFont="1" applyFill="1" applyBorder="1" applyAlignment="1">
      <alignment horizontal="left" wrapText="1" indent="1"/>
    </xf>
    <xf numFmtId="0" fontId="71" fillId="2" borderId="20" xfId="61816" applyFont="1" applyFill="1" applyBorder="1" applyAlignment="1">
      <alignment horizontal="left" wrapText="1" indent="1"/>
    </xf>
    <xf numFmtId="0" fontId="71" fillId="6" borderId="12" xfId="61816" applyFont="1" applyFill="1" applyBorder="1" applyAlignment="1">
      <alignment horizontal="left" wrapText="1" indent="1"/>
    </xf>
    <xf numFmtId="0" fontId="71" fillId="6" borderId="16" xfId="61791" applyFont="1" applyFill="1" applyBorder="1" applyAlignment="1">
      <alignment horizontal="left" wrapText="1" indent="1"/>
    </xf>
    <xf numFmtId="0" fontId="71" fillId="6" borderId="17" xfId="61791" applyFont="1" applyFill="1" applyBorder="1" applyAlignment="1">
      <alignment horizontal="left" wrapText="1" indent="1"/>
    </xf>
    <xf numFmtId="0" fontId="0" fillId="6" borderId="35" xfId="0" applyFont="1" applyFill="1" applyBorder="1" applyAlignment="1">
      <alignment horizontal="left" wrapText="1" indent="1"/>
    </xf>
    <xf numFmtId="0" fontId="0" fillId="6" borderId="36" xfId="0" applyFont="1" applyFill="1" applyBorder="1" applyAlignment="1">
      <alignment horizontal="left" wrapText="1" indent="1"/>
    </xf>
    <xf numFmtId="0" fontId="0" fillId="6" borderId="37" xfId="0" applyFont="1" applyFill="1" applyBorder="1" applyAlignment="1">
      <alignment horizontal="left" wrapText="1" indent="1"/>
    </xf>
    <xf numFmtId="0" fontId="0" fillId="2" borderId="34" xfId="0" applyFont="1" applyFill="1" applyBorder="1" applyAlignment="1">
      <alignment horizontal="center" wrapText="1"/>
    </xf>
    <xf numFmtId="0" fontId="0" fillId="6" borderId="12" xfId="0" applyFont="1" applyFill="1" applyBorder="1" applyAlignment="1">
      <alignment horizontal="left" wrapText="1" indent="1"/>
    </xf>
    <xf numFmtId="0" fontId="0" fillId="6" borderId="16" xfId="0" applyFont="1" applyFill="1" applyBorder="1" applyAlignment="1">
      <alignment horizontal="left" wrapText="1" indent="1"/>
    </xf>
    <xf numFmtId="0" fontId="0" fillId="6" borderId="17" xfId="0" applyFont="1" applyFill="1" applyBorder="1" applyAlignment="1">
      <alignment horizontal="left" wrapText="1" indent="1"/>
    </xf>
    <xf numFmtId="0" fontId="0" fillId="2" borderId="20" xfId="0" applyFont="1" applyFill="1" applyBorder="1" applyAlignment="1">
      <alignment horizontal="center" wrapText="1"/>
    </xf>
    <xf numFmtId="0" fontId="60" fillId="2" borderId="23" xfId="0" applyFont="1" applyFill="1" applyBorder="1" applyAlignment="1">
      <alignment horizontal="left" vertical="center"/>
    </xf>
    <xf numFmtId="14" fontId="67" fillId="0" borderId="23" xfId="0" applyNumberFormat="1" applyFont="1" applyFill="1" applyBorder="1" applyAlignment="1">
      <alignment horizontal="left" vertical="center"/>
    </xf>
    <xf numFmtId="0" fontId="67" fillId="0" borderId="23" xfId="3" applyFont="1" applyFill="1" applyBorder="1" applyAlignment="1">
      <alignment horizontal="left" vertical="center" wrapText="1"/>
    </xf>
    <xf numFmtId="0" fontId="67" fillId="0" borderId="23" xfId="0" applyFont="1" applyFill="1" applyBorder="1" applyAlignment="1">
      <alignment horizontal="left" vertical="center" wrapText="1"/>
    </xf>
    <xf numFmtId="0" fontId="0" fillId="0" borderId="23" xfId="0" applyBorder="1" applyAlignment="1">
      <alignment horizontal="left" vertical="center"/>
    </xf>
    <xf numFmtId="0" fontId="67" fillId="0" borderId="23" xfId="0" applyFont="1" applyFill="1" applyBorder="1" applyAlignment="1">
      <alignment horizontal="left" vertical="center"/>
    </xf>
    <xf numFmtId="0" fontId="68" fillId="0" borderId="23" xfId="0" applyFont="1" applyBorder="1" applyAlignment="1">
      <alignment horizontal="left" vertical="center" wrapText="1"/>
    </xf>
    <xf numFmtId="0" fontId="0" fillId="0" borderId="23" xfId="0" applyBorder="1" applyAlignment="1">
      <alignment horizontal="left" vertical="center" wrapText="1"/>
    </xf>
    <xf numFmtId="0" fontId="85" fillId="7" borderId="20" xfId="0" applyFont="1" applyFill="1" applyBorder="1" applyAlignment="1">
      <alignment horizontal="left" indent="1"/>
    </xf>
    <xf numFmtId="0" fontId="70" fillId="7" borderId="0" xfId="0" applyFont="1" applyFill="1"/>
    <xf numFmtId="0" fontId="70" fillId="7" borderId="16" xfId="0" applyFont="1" applyFill="1" applyBorder="1"/>
    <xf numFmtId="0" fontId="70" fillId="7" borderId="10" xfId="0" applyFont="1" applyFill="1" applyBorder="1"/>
    <xf numFmtId="0" fontId="70" fillId="7" borderId="2" xfId="0" applyFont="1" applyFill="1" applyBorder="1"/>
    <xf numFmtId="0" fontId="4" fillId="7" borderId="20" xfId="0" applyFont="1" applyFill="1" applyBorder="1" applyAlignment="1">
      <alignment horizontal="center" wrapText="1"/>
    </xf>
    <xf numFmtId="0" fontId="4" fillId="7" borderId="20" xfId="0" applyFont="1" applyFill="1" applyBorder="1" applyAlignment="1">
      <alignment horizontal="left" indent="1"/>
    </xf>
    <xf numFmtId="0" fontId="4" fillId="7" borderId="0" xfId="0" applyFont="1" applyFill="1" applyBorder="1" applyAlignment="1">
      <alignment horizontal="left" indent="1"/>
    </xf>
    <xf numFmtId="0" fontId="70" fillId="7" borderId="0" xfId="0" applyFont="1" applyFill="1" applyBorder="1"/>
    <xf numFmtId="0" fontId="4" fillId="7" borderId="0" xfId="0" applyFont="1" applyFill="1" applyBorder="1" applyAlignment="1">
      <alignment horizontal="center" wrapText="1"/>
    </xf>
    <xf numFmtId="14" fontId="0" fillId="0" borderId="23" xfId="0" applyNumberFormat="1" applyBorder="1" applyAlignment="1">
      <alignment horizontal="left" vertical="center"/>
    </xf>
    <xf numFmtId="0" fontId="86" fillId="0" borderId="0" xfId="0" applyFont="1"/>
    <xf numFmtId="0" fontId="72" fillId="5" borderId="23" xfId="61861" applyFont="1" applyBorder="1"/>
    <xf numFmtId="0" fontId="73" fillId="0" borderId="23" xfId="61862" applyFont="1" applyBorder="1" applyAlignment="1">
      <alignment horizontal="left" indent="1"/>
    </xf>
    <xf numFmtId="0" fontId="73" fillId="0" borderId="23" xfId="61862" applyFont="1" applyBorder="1"/>
    <xf numFmtId="0" fontId="73" fillId="0" borderId="23" xfId="61862" applyNumberFormat="1" applyFont="1" applyBorder="1" applyAlignment="1">
      <alignment horizontal="left" indent="1"/>
    </xf>
    <xf numFmtId="0" fontId="72" fillId="5" borderId="23" xfId="61861" applyFont="1" applyBorder="1" applyAlignment="1">
      <alignment wrapText="1"/>
    </xf>
    <xf numFmtId="0" fontId="73" fillId="0" borderId="23" xfId="61862" applyNumberFormat="1" applyFont="1" applyBorder="1" applyAlignment="1">
      <alignment horizontal="left" wrapText="1" indent="1"/>
    </xf>
    <xf numFmtId="0" fontId="71" fillId="6" borderId="0" xfId="61791" applyFont="1" applyFill="1" applyBorder="1" applyAlignment="1">
      <alignment horizontal="left" wrapText="1"/>
    </xf>
    <xf numFmtId="0" fontId="68" fillId="6" borderId="0" xfId="0" applyFont="1" applyFill="1" applyBorder="1" applyAlignment="1">
      <alignment wrapText="1"/>
    </xf>
    <xf numFmtId="0" fontId="71" fillId="2" borderId="0" xfId="61791" applyFont="1" applyFill="1" applyBorder="1" applyAlignment="1">
      <alignment horizontal="center" wrapText="1"/>
    </xf>
    <xf numFmtId="0" fontId="0" fillId="0" borderId="16" xfId="0" applyFill="1" applyBorder="1" applyAlignment="1">
      <alignment horizontal="left" vertical="center"/>
    </xf>
    <xf numFmtId="0" fontId="87" fillId="0" borderId="0" xfId="0" applyFont="1"/>
    <xf numFmtId="0" fontId="71" fillId="6" borderId="20" xfId="61772" applyFont="1" applyFill="1" applyBorder="1" applyAlignment="1">
      <alignment horizontal="left" indent="1"/>
    </xf>
    <xf numFmtId="0" fontId="68" fillId="6" borderId="0" xfId="0" applyFont="1" applyFill="1" applyBorder="1"/>
    <xf numFmtId="0" fontId="68" fillId="6" borderId="10" xfId="0" applyFont="1" applyFill="1" applyBorder="1"/>
    <xf numFmtId="0" fontId="68" fillId="6" borderId="2" xfId="0" applyFont="1" applyFill="1" applyBorder="1"/>
    <xf numFmtId="0" fontId="71" fillId="5" borderId="23" xfId="61861" applyFont="1" applyBorder="1"/>
    <xf numFmtId="0" fontId="68" fillId="0" borderId="23" xfId="61862" applyFont="1" applyBorder="1" applyAlignment="1">
      <alignment horizontal="left" indent="1"/>
    </xf>
    <xf numFmtId="0" fontId="68" fillId="0" borderId="23" xfId="61862" applyFont="1" applyBorder="1"/>
    <xf numFmtId="0" fontId="71" fillId="5" borderId="23" xfId="61861" applyFont="1" applyBorder="1" applyAlignment="1">
      <alignment wrapText="1"/>
    </xf>
    <xf numFmtId="0" fontId="68" fillId="0" borderId="23" xfId="61862" applyNumberFormat="1" applyFont="1" applyBorder="1" applyAlignment="1">
      <alignment horizontal="left" wrapText="1" indent="1"/>
    </xf>
    <xf numFmtId="0" fontId="68" fillId="0" borderId="23" xfId="61862" applyFont="1" applyBorder="1" applyAlignment="1">
      <alignment horizontal="left" wrapText="1" indent="1"/>
    </xf>
    <xf numFmtId="0" fontId="0" fillId="0" borderId="41" xfId="0" applyFill="1" applyBorder="1" applyAlignment="1">
      <alignment horizontal="left" wrapText="1" indent="1"/>
    </xf>
    <xf numFmtId="0" fontId="0" fillId="0" borderId="0" xfId="0" applyAlignment="1">
      <alignment horizontal="left" wrapText="1" indent="1"/>
    </xf>
    <xf numFmtId="14" fontId="0" fillId="0" borderId="0" xfId="0" applyNumberFormat="1" applyAlignment="1">
      <alignment horizontal="left" indent="1"/>
    </xf>
    <xf numFmtId="16" fontId="0" fillId="0" borderId="0" xfId="0" applyNumberFormat="1" applyAlignment="1">
      <alignment horizontal="left" indent="1"/>
    </xf>
    <xf numFmtId="0" fontId="71" fillId="6" borderId="12" xfId="61858" applyFont="1" applyFill="1" applyBorder="1" applyAlignment="1">
      <alignment horizontal="left" indent="1"/>
    </xf>
    <xf numFmtId="0" fontId="71" fillId="6" borderId="16" xfId="61858" applyFont="1" applyFill="1" applyBorder="1" applyAlignment="1">
      <alignment horizontal="left" indent="1"/>
    </xf>
    <xf numFmtId="0" fontId="68" fillId="7" borderId="16" xfId="0" applyFont="1" applyFill="1" applyBorder="1"/>
    <xf numFmtId="0" fontId="71" fillId="6" borderId="17" xfId="61858" applyFont="1" applyFill="1" applyBorder="1" applyAlignment="1">
      <alignment horizontal="left" indent="1"/>
    </xf>
    <xf numFmtId="0" fontId="71" fillId="2" borderId="20" xfId="61858" applyFont="1" applyFill="1" applyBorder="1" applyAlignment="1">
      <alignment horizontal="center"/>
    </xf>
    <xf numFmtId="0" fontId="0" fillId="0" borderId="0" xfId="0" applyFill="1" applyBorder="1" applyAlignment="1"/>
    <xf numFmtId="0" fontId="68" fillId="0" borderId="0" xfId="0" applyFont="1" applyAlignment="1">
      <alignment horizontal="left" indent="1"/>
    </xf>
    <xf numFmtId="0" fontId="68" fillId="0" borderId="0" xfId="0" applyFont="1" applyAlignment="1">
      <alignment wrapText="1"/>
    </xf>
    <xf numFmtId="0" fontId="80" fillId="4" borderId="5" xfId="0" applyFont="1" applyFill="1" applyBorder="1" applyAlignment="1">
      <alignment horizontal="centerContinuous"/>
    </xf>
    <xf numFmtId="0" fontId="80" fillId="4" borderId="6" xfId="0" applyFont="1" applyFill="1" applyBorder="1" applyAlignment="1">
      <alignment horizontal="centerContinuous"/>
    </xf>
    <xf numFmtId="0" fontId="80" fillId="4" borderId="7" xfId="0" applyFont="1" applyFill="1" applyBorder="1" applyAlignment="1">
      <alignment horizontal="centerContinuous"/>
    </xf>
    <xf numFmtId="0" fontId="78" fillId="2" borderId="14" xfId="0" applyFont="1" applyFill="1" applyBorder="1" applyAlignment="1">
      <alignment horizontal="left" indent="1"/>
    </xf>
    <xf numFmtId="0" fontId="78" fillId="2" borderId="8" xfId="0" applyFont="1" applyFill="1" applyBorder="1" applyAlignment="1">
      <alignment horizontal="left" indent="1"/>
    </xf>
    <xf numFmtId="0" fontId="78" fillId="2" borderId="7" xfId="0" applyFont="1" applyFill="1" applyBorder="1" applyAlignment="1">
      <alignment horizontal="left" indent="1"/>
    </xf>
    <xf numFmtId="0" fontId="78" fillId="2" borderId="7" xfId="0" applyFont="1" applyFill="1" applyBorder="1" applyAlignment="1">
      <alignment horizontal="left" wrapText="1"/>
    </xf>
    <xf numFmtId="0" fontId="78" fillId="0" borderId="0" xfId="0" applyFont="1"/>
    <xf numFmtId="0" fontId="71" fillId="2" borderId="35" xfId="61863" applyFont="1" applyFill="1" applyBorder="1" applyAlignment="1">
      <alignment horizontal="left" wrapText="1" indent="1"/>
    </xf>
    <xf numFmtId="0" fontId="67" fillId="9" borderId="36" xfId="0" applyFont="1" applyFill="1" applyBorder="1" applyAlignment="1">
      <alignment horizontal="left" wrapText="1" indent="1"/>
    </xf>
    <xf numFmtId="0" fontId="71" fillId="2" borderId="36" xfId="61863" applyFont="1" applyFill="1" applyBorder="1" applyAlignment="1">
      <alignment horizontal="left" wrapText="1" indent="1"/>
    </xf>
    <xf numFmtId="0" fontId="68" fillId="9" borderId="36" xfId="0" applyFont="1" applyFill="1" applyBorder="1" applyAlignment="1">
      <alignment horizontal="left" wrapText="1" indent="1"/>
    </xf>
    <xf numFmtId="0" fontId="71" fillId="2" borderId="37" xfId="61863" applyFont="1" applyFill="1" applyBorder="1" applyAlignment="1">
      <alignment horizontal="left" wrapText="1" indent="1"/>
    </xf>
    <xf numFmtId="0" fontId="71" fillId="2" borderId="12" xfId="61863" applyFont="1" applyFill="1" applyBorder="1" applyAlignment="1">
      <alignment horizontal="left" wrapText="1" indent="1"/>
    </xf>
    <xf numFmtId="0" fontId="67" fillId="9" borderId="16" xfId="0" applyFont="1" applyFill="1" applyBorder="1" applyAlignment="1">
      <alignment horizontal="left" wrapText="1" indent="1"/>
    </xf>
    <xf numFmtId="0" fontId="71" fillId="2" borderId="16" xfId="61863" applyFont="1" applyFill="1" applyBorder="1" applyAlignment="1">
      <alignment horizontal="left" wrapText="1" indent="1"/>
    </xf>
    <xf numFmtId="0" fontId="71" fillId="2" borderId="17" xfId="61864" applyFont="1" applyFill="1" applyBorder="1" applyAlignment="1">
      <alignment horizontal="left" wrapText="1" indent="1"/>
    </xf>
    <xf numFmtId="0" fontId="71" fillId="2" borderId="12" xfId="61865" applyFont="1" applyFill="1" applyBorder="1" applyAlignment="1">
      <alignment horizontal="left" wrapText="1" indent="1"/>
    </xf>
    <xf numFmtId="0" fontId="71" fillId="2" borderId="16" xfId="61865" applyFont="1" applyFill="1" applyBorder="1" applyAlignment="1">
      <alignment horizontal="left" wrapText="1" indent="1"/>
    </xf>
    <xf numFmtId="0" fontId="71" fillId="2" borderId="17" xfId="61865" applyFont="1" applyFill="1" applyBorder="1" applyAlignment="1">
      <alignment horizontal="left" wrapText="1" indent="1"/>
    </xf>
    <xf numFmtId="0" fontId="76" fillId="0" borderId="0" xfId="0" applyFont="1"/>
    <xf numFmtId="0" fontId="68" fillId="9" borderId="16" xfId="0" applyFont="1" applyFill="1" applyBorder="1" applyAlignment="1">
      <alignment horizontal="left" wrapText="1" indent="1"/>
    </xf>
    <xf numFmtId="0" fontId="71" fillId="2" borderId="17" xfId="61863" applyFont="1" applyFill="1" applyBorder="1" applyAlignment="1">
      <alignment horizontal="left" wrapText="1" indent="1"/>
    </xf>
    <xf numFmtId="0" fontId="71" fillId="2" borderId="12" xfId="61866" applyFont="1" applyFill="1" applyBorder="1" applyAlignment="1">
      <alignment horizontal="left" wrapText="1" indent="1"/>
    </xf>
    <xf numFmtId="0" fontId="71" fillId="2" borderId="16" xfId="61866" applyFont="1" applyFill="1" applyBorder="1" applyAlignment="1">
      <alignment horizontal="left" wrapText="1" indent="1"/>
    </xf>
    <xf numFmtId="0" fontId="71" fillId="2" borderId="17" xfId="61866" applyFont="1" applyFill="1" applyBorder="1" applyAlignment="1">
      <alignment horizontal="left" wrapText="1" indent="1"/>
    </xf>
    <xf numFmtId="0" fontId="74" fillId="0" borderId="0" xfId="0" applyFont="1" applyFill="1"/>
    <xf numFmtId="0" fontId="71" fillId="2" borderId="12" xfId="61867" applyFont="1" applyFill="1" applyBorder="1" applyAlignment="1">
      <alignment horizontal="left" wrapText="1" indent="1"/>
    </xf>
    <xf numFmtId="0" fontId="71" fillId="2" borderId="16" xfId="61867" applyFont="1" applyFill="1" applyBorder="1" applyAlignment="1">
      <alignment horizontal="left" wrapText="1" indent="1"/>
    </xf>
    <xf numFmtId="0" fontId="71" fillId="2" borderId="17" xfId="61867" applyFont="1" applyFill="1" applyBorder="1" applyAlignment="1">
      <alignment horizontal="left" wrapText="1" indent="1"/>
    </xf>
    <xf numFmtId="0" fontId="67" fillId="0" borderId="16" xfId="0" applyFont="1" applyFill="1" applyBorder="1" applyAlignment="1">
      <alignment horizontal="left" wrapText="1" indent="1"/>
    </xf>
    <xf numFmtId="0" fontId="67" fillId="0" borderId="0" xfId="0" applyFont="1" applyFill="1" applyBorder="1"/>
    <xf numFmtId="0" fontId="74" fillId="0" borderId="0" xfId="0" applyFont="1" applyFill="1" applyBorder="1"/>
    <xf numFmtId="0" fontId="71" fillId="2" borderId="12" xfId="61868" applyFont="1" applyFill="1" applyBorder="1" applyAlignment="1">
      <alignment horizontal="left" wrapText="1" indent="1"/>
    </xf>
    <xf numFmtId="0" fontId="71" fillId="2" borderId="16" xfId="61868" applyFont="1" applyFill="1" applyBorder="1" applyAlignment="1">
      <alignment horizontal="left" wrapText="1" indent="1"/>
    </xf>
    <xf numFmtId="0" fontId="71" fillId="2" borderId="17" xfId="61868" applyFont="1" applyFill="1" applyBorder="1" applyAlignment="1">
      <alignment horizontal="left" wrapText="1" indent="1"/>
    </xf>
    <xf numFmtId="0" fontId="71" fillId="2" borderId="12" xfId="61869" applyFont="1" applyFill="1" applyBorder="1" applyAlignment="1">
      <alignment horizontal="left" wrapText="1" indent="1"/>
    </xf>
    <xf numFmtId="0" fontId="71" fillId="2" borderId="16" xfId="61869" applyFont="1" applyFill="1" applyBorder="1" applyAlignment="1">
      <alignment horizontal="left" wrapText="1" indent="1"/>
    </xf>
    <xf numFmtId="0" fontId="71" fillId="2" borderId="17" xfId="61869" applyFont="1" applyFill="1" applyBorder="1" applyAlignment="1">
      <alignment horizontal="left" wrapText="1" indent="1"/>
    </xf>
    <xf numFmtId="0" fontId="71" fillId="0" borderId="0" xfId="61869" applyFont="1" applyFill="1" applyBorder="1" applyAlignment="1">
      <alignment horizontal="left" indent="1"/>
    </xf>
    <xf numFmtId="0" fontId="67" fillId="0" borderId="0" xfId="0" applyFont="1" applyFill="1" applyBorder="1" applyAlignment="1">
      <alignment horizontal="left" indent="1"/>
    </xf>
    <xf numFmtId="0" fontId="61" fillId="0" borderId="0" xfId="0" applyFont="1" applyFill="1" applyBorder="1" applyAlignment="1">
      <alignment horizontal="left" indent="1"/>
    </xf>
    <xf numFmtId="0" fontId="1" fillId="0" borderId="0" xfId="61868" applyFont="1" applyFill="1" applyBorder="1" applyAlignment="1">
      <alignment horizontal="left" wrapText="1"/>
    </xf>
    <xf numFmtId="0" fontId="71" fillId="2" borderId="13" xfId="61869" applyFont="1" applyFill="1" applyBorder="1" applyAlignment="1">
      <alignment horizontal="left" wrapText="1" indent="1"/>
    </xf>
    <xf numFmtId="0" fontId="67" fillId="0" borderId="15" xfId="0" applyFont="1" applyFill="1" applyBorder="1" applyAlignment="1">
      <alignment horizontal="left" wrapText="1" indent="1"/>
    </xf>
    <xf numFmtId="0" fontId="71" fillId="2" borderId="15" xfId="61869" applyFont="1" applyFill="1" applyBorder="1" applyAlignment="1">
      <alignment horizontal="left" wrapText="1" indent="1"/>
    </xf>
    <xf numFmtId="0" fontId="71" fillId="2" borderId="18" xfId="61868" applyFont="1" applyFill="1" applyBorder="1" applyAlignment="1">
      <alignment horizontal="left" wrapText="1" indent="1"/>
    </xf>
    <xf numFmtId="0" fontId="67" fillId="0" borderId="42" xfId="0" applyFont="1" applyFill="1" applyBorder="1"/>
    <xf numFmtId="0" fontId="67" fillId="0" borderId="3" xfId="0" applyFont="1" applyFill="1" applyBorder="1"/>
    <xf numFmtId="0" fontId="67" fillId="0" borderId="0" xfId="0" applyFont="1" applyFill="1" applyBorder="1" applyAlignment="1">
      <alignment wrapText="1"/>
    </xf>
    <xf numFmtId="0" fontId="80" fillId="4" borderId="6" xfId="0" applyFont="1" applyFill="1" applyBorder="1" applyAlignment="1">
      <alignment horizontal="centerContinuous" wrapText="1"/>
    </xf>
    <xf numFmtId="0" fontId="79" fillId="4" borderId="7" xfId="0" applyFont="1" applyFill="1" applyBorder="1" applyAlignment="1">
      <alignment horizontal="centerContinuous"/>
    </xf>
    <xf numFmtId="0" fontId="78" fillId="2" borderId="19" xfId="0" applyFont="1" applyFill="1" applyBorder="1" applyAlignment="1">
      <alignment horizontal="left" indent="1"/>
    </xf>
    <xf numFmtId="0" fontId="78" fillId="2" borderId="19" xfId="0" applyFont="1" applyFill="1" applyBorder="1" applyAlignment="1">
      <alignment horizontal="left" wrapText="1"/>
    </xf>
    <xf numFmtId="0" fontId="78" fillId="2" borderId="19" xfId="0" applyFont="1" applyFill="1" applyBorder="1" applyAlignment="1">
      <alignment horizontal="center"/>
    </xf>
    <xf numFmtId="0" fontId="71" fillId="2" borderId="40" xfId="61870" applyFont="1" applyFill="1" applyBorder="1" applyAlignment="1">
      <alignment horizontal="center" wrapText="1"/>
    </xf>
    <xf numFmtId="0" fontId="71" fillId="2" borderId="2" xfId="61871" applyFont="1" applyFill="1" applyBorder="1" applyAlignment="1">
      <alignment horizontal="center" wrapText="1"/>
    </xf>
    <xf numFmtId="0" fontId="88" fillId="0" borderId="0" xfId="0" applyFont="1" applyFill="1"/>
    <xf numFmtId="0" fontId="71" fillId="2" borderId="2" xfId="61863" applyFont="1" applyFill="1" applyBorder="1" applyAlignment="1">
      <alignment horizontal="center" wrapText="1"/>
    </xf>
    <xf numFmtId="0" fontId="71" fillId="2" borderId="2" xfId="61872" applyFont="1" applyFill="1" applyBorder="1" applyAlignment="1">
      <alignment horizontal="center" wrapText="1"/>
    </xf>
    <xf numFmtId="0" fontId="89" fillId="0" borderId="0" xfId="0" applyFont="1" applyFill="1" applyBorder="1"/>
    <xf numFmtId="0" fontId="73" fillId="0" borderId="0" xfId="0" applyFont="1" applyFill="1" applyBorder="1"/>
    <xf numFmtId="0" fontId="71" fillId="2" borderId="2" xfId="61870" applyFont="1" applyFill="1" applyBorder="1" applyAlignment="1">
      <alignment horizontal="center" wrapText="1"/>
    </xf>
    <xf numFmtId="0" fontId="71" fillId="2" borderId="2" xfId="61873" applyFont="1" applyFill="1" applyBorder="1" applyAlignment="1">
      <alignment horizontal="center" wrapText="1"/>
    </xf>
    <xf numFmtId="0" fontId="71" fillId="2" borderId="2" xfId="61874" applyFont="1" applyFill="1" applyBorder="1" applyAlignment="1">
      <alignment horizontal="center" wrapText="1"/>
    </xf>
    <xf numFmtId="0" fontId="71" fillId="2" borderId="2" xfId="61875" applyFont="1" applyFill="1" applyBorder="1" applyAlignment="1">
      <alignment horizontal="center" wrapText="1"/>
    </xf>
    <xf numFmtId="0" fontId="71" fillId="2" borderId="2" xfId="61876" applyFont="1" applyFill="1" applyBorder="1" applyAlignment="1">
      <alignment horizontal="center" wrapText="1"/>
    </xf>
    <xf numFmtId="0" fontId="71" fillId="2" borderId="2" xfId="61877" applyFont="1" applyFill="1" applyBorder="1" applyAlignment="1">
      <alignment horizontal="center" wrapText="1"/>
    </xf>
    <xf numFmtId="0" fontId="71" fillId="2" borderId="2" xfId="61878" applyFont="1" applyFill="1" applyBorder="1" applyAlignment="1">
      <alignment horizontal="center" wrapText="1"/>
    </xf>
    <xf numFmtId="0" fontId="1" fillId="2" borderId="2" xfId="61879" applyFont="1" applyFill="1" applyBorder="1" applyAlignment="1">
      <alignment horizontal="center" wrapText="1"/>
    </xf>
    <xf numFmtId="0" fontId="1" fillId="2" borderId="2" xfId="61880" applyFont="1" applyFill="1" applyBorder="1" applyAlignment="1">
      <alignment horizontal="center" wrapText="1"/>
    </xf>
    <xf numFmtId="0" fontId="1" fillId="2" borderId="2" xfId="61871" applyFont="1" applyFill="1" applyBorder="1" applyAlignment="1">
      <alignment horizontal="center" wrapText="1"/>
    </xf>
    <xf numFmtId="0" fontId="71" fillId="2" borderId="2" xfId="61881" applyFont="1" applyFill="1" applyBorder="1" applyAlignment="1">
      <alignment horizontal="center" wrapText="1"/>
    </xf>
    <xf numFmtId="0" fontId="90" fillId="0" borderId="0" xfId="0" applyFont="1" applyFill="1"/>
    <xf numFmtId="0" fontId="91" fillId="0" borderId="0" xfId="0" applyFont="1" applyFill="1" applyBorder="1"/>
    <xf numFmtId="0" fontId="71" fillId="2" borderId="2" xfId="61879" applyFont="1" applyFill="1" applyBorder="1" applyAlignment="1">
      <alignment horizontal="center" wrapText="1"/>
    </xf>
    <xf numFmtId="0" fontId="92" fillId="0" borderId="0" xfId="0" applyFont="1" applyFill="1" applyBorder="1"/>
    <xf numFmtId="0" fontId="93" fillId="0" borderId="0" xfId="0" applyFont="1" applyFill="1" applyBorder="1"/>
    <xf numFmtId="0" fontId="90" fillId="0" borderId="0" xfId="61876" applyFont="1" applyFill="1" applyBorder="1" applyAlignment="1">
      <alignment horizontal="left" indent="1"/>
    </xf>
    <xf numFmtId="0" fontId="94" fillId="0" borderId="0" xfId="61876" applyFont="1" applyFill="1" applyBorder="1" applyAlignment="1">
      <alignment horizontal="left" indent="1"/>
    </xf>
    <xf numFmtId="0" fontId="90" fillId="0" borderId="0" xfId="0" applyFont="1" applyFill="1" applyBorder="1"/>
    <xf numFmtId="0" fontId="95" fillId="0" borderId="0" xfId="0" applyFont="1" applyFill="1"/>
    <xf numFmtId="0" fontId="96" fillId="0" borderId="0" xfId="0" applyFont="1" applyFill="1"/>
    <xf numFmtId="0" fontId="95" fillId="0" borderId="0" xfId="0" applyFont="1" applyFill="1" applyBorder="1"/>
    <xf numFmtId="0" fontId="0" fillId="6" borderId="13" xfId="0" applyFont="1" applyFill="1" applyBorder="1" applyAlignment="1">
      <alignment horizontal="left" wrapText="1" indent="1"/>
    </xf>
    <xf numFmtId="0" fontId="0" fillId="6" borderId="15" xfId="0" applyFont="1" applyFill="1" applyBorder="1" applyAlignment="1">
      <alignment horizontal="left" wrapText="1" indent="1"/>
    </xf>
    <xf numFmtId="0" fontId="0" fillId="6" borderId="18" xfId="0" applyFont="1" applyFill="1" applyBorder="1" applyAlignment="1">
      <alignment horizontal="left" wrapText="1" indent="1"/>
    </xf>
    <xf numFmtId="0" fontId="71" fillId="2" borderId="4" xfId="61863" applyFont="1" applyFill="1" applyBorder="1" applyAlignment="1">
      <alignment horizontal="center" wrapText="1"/>
    </xf>
    <xf numFmtId="0" fontId="68" fillId="0" borderId="0" xfId="0" applyFont="1" applyFill="1" applyBorder="1" applyAlignment="1">
      <alignment horizontal="left" indent="1"/>
    </xf>
    <xf numFmtId="0" fontId="68" fillId="0" borderId="0" xfId="0" applyFont="1" applyFill="1" applyBorder="1" applyAlignment="1">
      <alignment wrapText="1"/>
    </xf>
    <xf numFmtId="0" fontId="71" fillId="2" borderId="19" xfId="0" applyFont="1" applyFill="1" applyBorder="1"/>
    <xf numFmtId="0" fontId="71" fillId="2" borderId="19" xfId="0" applyFont="1" applyFill="1" applyBorder="1" applyAlignment="1">
      <alignment horizontal="left" indent="1"/>
    </xf>
    <xf numFmtId="0" fontId="71" fillId="2" borderId="19" xfId="0" applyFont="1" applyFill="1" applyBorder="1" applyAlignment="1">
      <alignment wrapText="1"/>
    </xf>
    <xf numFmtId="0" fontId="71" fillId="2" borderId="43" xfId="0" applyFont="1" applyFill="1" applyBorder="1"/>
    <xf numFmtId="0" fontId="71" fillId="2" borderId="41" xfId="0" applyFont="1" applyFill="1" applyBorder="1"/>
    <xf numFmtId="0" fontId="68" fillId="0" borderId="41" xfId="0" applyFont="1" applyFill="1" applyBorder="1" applyAlignment="1">
      <alignment horizontal="left" indent="1"/>
    </xf>
    <xf numFmtId="0" fontId="68" fillId="0" borderId="41" xfId="0" applyFont="1" applyFill="1" applyBorder="1"/>
    <xf numFmtId="0" fontId="71" fillId="2" borderId="44" xfId="0" applyFont="1" applyFill="1" applyBorder="1" applyAlignment="1">
      <alignment wrapText="1"/>
    </xf>
    <xf numFmtId="0" fontId="71" fillId="2" borderId="45" xfId="0" applyFont="1" applyFill="1" applyBorder="1"/>
    <xf numFmtId="0" fontId="71" fillId="2" borderId="23" xfId="0" applyFont="1" applyFill="1" applyBorder="1"/>
    <xf numFmtId="0" fontId="68" fillId="0" borderId="23" xfId="0" applyFont="1" applyFill="1" applyBorder="1" applyAlignment="1">
      <alignment horizontal="left" indent="1"/>
    </xf>
    <xf numFmtId="0" fontId="68" fillId="0" borderId="23" xfId="0" applyFont="1" applyFill="1" applyBorder="1"/>
    <xf numFmtId="0" fontId="71" fillId="2" borderId="46" xfId="0" applyFont="1" applyFill="1" applyBorder="1" applyAlignment="1">
      <alignment wrapText="1"/>
    </xf>
    <xf numFmtId="0" fontId="95" fillId="0" borderId="0" xfId="61876" applyFont="1" applyFill="1" applyBorder="1" applyAlignment="1">
      <alignment horizontal="left" indent="1"/>
    </xf>
    <xf numFmtId="0" fontId="72" fillId="2" borderId="45" xfId="0" applyFont="1" applyFill="1" applyBorder="1"/>
    <xf numFmtId="0" fontId="72" fillId="2" borderId="23" xfId="0" applyFont="1" applyFill="1" applyBorder="1"/>
    <xf numFmtId="0" fontId="73" fillId="0" borderId="23" xfId="0" applyFont="1" applyFill="1" applyBorder="1" applyAlignment="1">
      <alignment horizontal="left" indent="1"/>
    </xf>
    <xf numFmtId="0" fontId="73" fillId="0" borderId="23" xfId="0" applyFont="1" applyFill="1" applyBorder="1"/>
    <xf numFmtId="0" fontId="72" fillId="2" borderId="46" xfId="0" applyFont="1" applyFill="1" applyBorder="1" applyAlignment="1">
      <alignment wrapText="1"/>
    </xf>
    <xf numFmtId="0" fontId="68" fillId="0" borderId="23" xfId="0" applyFont="1" applyFill="1" applyBorder="1" applyAlignment="1">
      <alignment horizontal="left" wrapText="1" indent="1"/>
    </xf>
    <xf numFmtId="0" fontId="71" fillId="5" borderId="23" xfId="61882" applyFont="1" applyBorder="1"/>
    <xf numFmtId="0" fontId="71" fillId="5" borderId="23" xfId="61882" applyFont="1" applyBorder="1" applyAlignment="1">
      <alignment wrapText="1"/>
    </xf>
    <xf numFmtId="0" fontId="72" fillId="5" borderId="23" xfId="61882" applyFont="1" applyBorder="1"/>
    <xf numFmtId="0" fontId="72" fillId="5" borderId="23" xfId="61882" applyFont="1" applyBorder="1" applyAlignment="1">
      <alignment wrapText="1"/>
    </xf>
    <xf numFmtId="0" fontId="71" fillId="5" borderId="23" xfId="61883" applyFont="1" applyBorder="1"/>
    <xf numFmtId="0" fontId="68" fillId="0" borderId="23" xfId="61884" applyFont="1" applyBorder="1" applyAlignment="1">
      <alignment horizontal="left" indent="1"/>
    </xf>
    <xf numFmtId="0" fontId="68" fillId="0" borderId="23" xfId="61884" applyFont="1" applyBorder="1"/>
    <xf numFmtId="0" fontId="68" fillId="0" borderId="23" xfId="61884" applyNumberFormat="1" applyFont="1" applyBorder="1" applyAlignment="1">
      <alignment horizontal="left" indent="1"/>
    </xf>
    <xf numFmtId="0" fontId="71" fillId="5" borderId="23" xfId="61883" applyFont="1" applyBorder="1" applyAlignment="1">
      <alignment wrapText="1"/>
    </xf>
    <xf numFmtId="0" fontId="68" fillId="0" borderId="23" xfId="61884" applyNumberFormat="1" applyFont="1" applyBorder="1" applyAlignment="1">
      <alignment horizontal="left" wrapText="1" indent="1"/>
    </xf>
    <xf numFmtId="0" fontId="97" fillId="0" borderId="0" xfId="0" applyFont="1"/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0" fillId="0" borderId="0" xfId="0" applyFill="1" applyBorder="1" applyAlignment="1">
      <alignment horizontal="left" indent="1"/>
    </xf>
    <xf numFmtId="0" fontId="0" fillId="0" borderId="0" xfId="0" applyFill="1" applyBorder="1" applyAlignment="1">
      <alignment wrapText="1"/>
    </xf>
    <xf numFmtId="0" fontId="98" fillId="0" borderId="0" xfId="0" applyFont="1"/>
    <xf numFmtId="0" fontId="0" fillId="0" borderId="0" xfId="0" applyAlignment="1">
      <alignment wrapText="1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65" fillId="3" borderId="0" xfId="0" applyFont="1" applyFill="1" applyAlignment="1">
      <alignment horizontal="center" vertical="center"/>
    </xf>
    <xf numFmtId="0" fontId="80" fillId="4" borderId="5" xfId="0" applyFont="1" applyFill="1" applyBorder="1" applyAlignment="1">
      <alignment horizontal="center"/>
    </xf>
    <xf numFmtId="0" fontId="80" fillId="4" borderId="6" xfId="0" applyFont="1" applyFill="1" applyBorder="1" applyAlignment="1">
      <alignment horizontal="center"/>
    </xf>
    <xf numFmtId="0" fontId="80" fillId="4" borderId="7" xfId="0" applyFont="1" applyFill="1" applyBorder="1" applyAlignment="1">
      <alignment horizontal="center"/>
    </xf>
    <xf numFmtId="0" fontId="63" fillId="4" borderId="39" xfId="0" applyFont="1" applyFill="1" applyBorder="1" applyAlignment="1">
      <alignment horizontal="center"/>
    </xf>
    <xf numFmtId="0" fontId="63" fillId="4" borderId="38" xfId="0" applyFont="1" applyFill="1" applyBorder="1" applyAlignment="1">
      <alignment horizontal="center"/>
    </xf>
    <xf numFmtId="0" fontId="63" fillId="4" borderId="40" xfId="0" applyFont="1" applyFill="1" applyBorder="1" applyAlignment="1">
      <alignment horizontal="center"/>
    </xf>
    <xf numFmtId="0" fontId="63" fillId="4" borderId="25" xfId="0" applyFont="1" applyFill="1" applyBorder="1" applyAlignment="1">
      <alignment horizontal="center"/>
    </xf>
    <xf numFmtId="0" fontId="63" fillId="4" borderId="22" xfId="0" applyFont="1" applyFill="1" applyBorder="1" applyAlignment="1">
      <alignment horizontal="center"/>
    </xf>
    <xf numFmtId="0" fontId="63" fillId="4" borderId="26" xfId="0" applyFont="1" applyFill="1" applyBorder="1" applyAlignment="1">
      <alignment horizontal="center"/>
    </xf>
    <xf numFmtId="0" fontId="80" fillId="4" borderId="25" xfId="0" applyFont="1" applyFill="1" applyBorder="1" applyAlignment="1">
      <alignment horizontal="center"/>
    </xf>
    <xf numFmtId="0" fontId="80" fillId="4" borderId="22" xfId="0" applyFont="1" applyFill="1" applyBorder="1" applyAlignment="1">
      <alignment horizontal="center"/>
    </xf>
    <xf numFmtId="0" fontId="80" fillId="4" borderId="26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</cellXfs>
  <cellStyles count="61885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2 6 2 2" xfId="61771"/>
    <cellStyle name="20% - Accent1 2 2 2 2 11 3 2 6 2 2 2" xfId="61823"/>
    <cellStyle name="20% - Accent1 2 2 2 2 11 3 2 6 2 2 3" xfId="61840"/>
    <cellStyle name="20% - Accent1 2 2 2 2 11 3 2 6 2 2 4" xfId="61848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78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80"/>
    <cellStyle name="20% - Accent1 2 20 5 2 2 2 2" xfId="61827"/>
    <cellStyle name="20% - Accent1 2 20 5 2 2 3" xfId="61781"/>
    <cellStyle name="20% - Accent1 2 20 6" xfId="61782"/>
    <cellStyle name="20% - Accent1 2 20 7" xfId="61783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84"/>
    <cellStyle name="20% - Accent1 2 23 3" xfId="61785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2 6 2 2" xfId="61770"/>
    <cellStyle name="20% - Accent1 2 4 2 11 3 2 6 2 2 2" xfId="61822"/>
    <cellStyle name="20% - Accent1 2 4 2 11 3 2 6 2 2 3" xfId="61828"/>
    <cellStyle name="20% - Accent1 2 4 2 11 3 2 6 2 2 4" xfId="61856"/>
    <cellStyle name="20% - Accent1 2 4 2 11 3 2 6 2 2 5" xfId="61882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19" xfId="61860"/>
    <cellStyle name="20% - Accent1 2 4 2 19 2" xfId="61868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64"/>
    <cellStyle name="20% - Accent1 2 4 3 17 2 2 2" xfId="61797"/>
    <cellStyle name="20% - Accent1 2 4 3 17 2 2 2 2" xfId="61808"/>
    <cellStyle name="20% - Accent1 2 4 3 17 2 2 2 2 2" xfId="61878"/>
    <cellStyle name="20% - Accent1 2 4 3 17 2 2 2 2 3 2" xfId="61863"/>
    <cellStyle name="20% - Accent1 2 4 3 17 2 2 3" xfId="61803"/>
    <cellStyle name="20% - Accent1 2 4 3 17 2 2 3 2" xfId="61812"/>
    <cellStyle name="20% - Accent1 2 4 3 17 2 2 3 3" xfId="61818"/>
    <cellStyle name="20% - Accent1 2 4 3 17 2 2 3 3 2" xfId="61835"/>
    <cellStyle name="20% - Accent1 2 4 3 17 2 2 3 3 3" xfId="61854"/>
    <cellStyle name="20% - Accent1 2 4 3 17 2 2 3 4" xfId="61845"/>
    <cellStyle name="20% - Accent1 2 4 3 17 2 2 3 4 2" xfId="61861"/>
    <cellStyle name="20% - Accent1 2 4 3 17 2 2 3 4 2 2" xfId="61870"/>
    <cellStyle name="20% - Accent1 2 4 3 17 2 2 3 4 3" xfId="61883"/>
    <cellStyle name="20% - Accent1 2 4 3 17 2 2 3 5" xfId="61864"/>
    <cellStyle name="20% - Accent1 2 4 3 17 2 3" xfId="61775"/>
    <cellStyle name="20% - Accent1 2 4 3 17 2 4" xfId="61796"/>
    <cellStyle name="20% - Accent1 2 4 3 17 2 4 2" xfId="61807"/>
    <cellStyle name="20% - Accent1 2 4 3 17 2 4 2 3 2" xfId="61872"/>
    <cellStyle name="20% - Accent1 2 4 3 17 3" xfId="61734"/>
    <cellStyle name="20% - Accent1 2 4 3 17 4" xfId="61786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" xfId="61768"/>
    <cellStyle name="20% - Accent1 2 4 3 2 2 2 2 2 2 2 3 2 2 2" xfId="61802"/>
    <cellStyle name="20% - Accent1 2 4 3 2 2 2 2 2 2 2 3 2 2 2 2" xfId="61813"/>
    <cellStyle name="20% - Accent1 2 4 3 2 2 2 2 2 2 2 3 2 2 2 2 3 2" xfId="61873"/>
    <cellStyle name="20% - Accent1 2 4 3 2 2 2 2 2 2 2 3 2 2 3" xfId="61806"/>
    <cellStyle name="20% - Accent1 2 4 3 2 2 2 2 2 2 2 3 2 2 3 2" xfId="61832"/>
    <cellStyle name="20% - Accent1 2 4 3 2 2 2 2 2 2 2 3 2 2 3 3" xfId="61855"/>
    <cellStyle name="20% - Accent1 2 4 3 2 2 2 2 2 2 2 3 2 2 3 3 2 2" xfId="61871"/>
    <cellStyle name="20% - Accent1 2 4 3 2 2 2 2 2 2 2 3 2 3" xfId="61799"/>
    <cellStyle name="20% - Accent1 2 4 3 2 2 2 2 2 2 2 3 2 3 2" xfId="61811"/>
    <cellStyle name="20% - Accent1 2 4 3 2 2 2 2 2 2 2 3 3" xfId="61735"/>
    <cellStyle name="20% - Accent1 2 4 3 2 2 2 2 2 2 2 3 4" xfId="61787"/>
    <cellStyle name="20% - Accent1 2 4 3 2 2 2 2 2 2 2 3 5" xfId="61798"/>
    <cellStyle name="20% - Accent1 2 4 3 2 2 2 2 2 2 2 3 5 2" xfId="61810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2 2" xfId="61819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2 6 2 2" xfId="61769"/>
    <cellStyle name="20% - Accent1 4 2 2 11 3 2 6 2 2 2" xfId="61817"/>
    <cellStyle name="20% - Accent1 4 2 2 11 3 2 6 2 2 2 2" xfId="61843"/>
    <cellStyle name="20% - Accent1 4 2 2 11 3 2 6 2 2 2 3" xfId="61844"/>
    <cellStyle name="20% - Accent1 4 2 2 11 3 2 6 2 2 2 4" xfId="61867"/>
    <cellStyle name="20% - Accent1 4 2 2 11 3 2 6 2 2 3" xfId="61841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88"/>
    <cellStyle name="20% - Accent1 4 21" xfId="61789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19 2" xfId="61858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0 2" xfId="61876"/>
    <cellStyle name="20% - Accent1 5 21" xfId="61879"/>
    <cellStyle name="20% - Accent1 5 21 2" xfId="6188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72"/>
    <cellStyle name="20% - Accent1 7 4 11 2 2 2" xfId="61824"/>
    <cellStyle name="20% - Accent1 7 4 11 2 2 3" xfId="61839"/>
    <cellStyle name="20% - Accent1 7 4 11 2 2 4" xfId="61851"/>
    <cellStyle name="20% - Accent1 7 4 11 2 3" xfId="61773"/>
    <cellStyle name="20% - Accent1 7 4 11 2 3 2" xfId="61826"/>
    <cellStyle name="20% - Accent1 7 4 11 2 3 2 2" xfId="61836"/>
    <cellStyle name="20% - Accent1 7 4 11 2 3 2 3" xfId="61853"/>
    <cellStyle name="20% - Accent1 7 4 11 2 3 3" xfId="61833"/>
    <cellStyle name="20% - Accent1 7 4 11 2 3 4" xfId="61852"/>
    <cellStyle name="20% - Accent1 7 4 11 3" xfId="61777"/>
    <cellStyle name="20% - Accent1 7 4 11 3 2" xfId="61825"/>
    <cellStyle name="20% - Accent1 7 4 11 3 3" xfId="61829"/>
    <cellStyle name="20% - Accent1 7 4 11 3 4" xfId="61849"/>
    <cellStyle name="20% - Accent1 7 4 11 4" xfId="61790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66"/>
    <cellStyle name="20% - Accent1 7 4 12 2 3 3" xfId="61791"/>
    <cellStyle name="20% - Accent1 7 4 12 2 3 3 2" xfId="61821"/>
    <cellStyle name="20% - Accent1 7 4 12 2 3 3 2 2" xfId="61834"/>
    <cellStyle name="20% - Accent1 7 4 12 2 3 3 2 3" xfId="61850"/>
    <cellStyle name="20% - Accent1 7 4 12 2 3 3 2 3 2" xfId="61877"/>
    <cellStyle name="20% - Accent1 7 4 12 2 3 3 3" xfId="61831"/>
    <cellStyle name="20% - Accent1 7 4 12 2 3 3 3 2" xfId="61881"/>
    <cellStyle name="20% - Accent1 7 4 12 2 3 3 4" xfId="61875"/>
    <cellStyle name="20% - Accent1 7 4 12 2 3 4" xfId="61816"/>
    <cellStyle name="20% - Accent1 7 4 12 2 3 4 2" xfId="61820"/>
    <cellStyle name="20% - Accent1 7 4 12 2 3 4 3" xfId="61838"/>
    <cellStyle name="20% - Accent1 7 4 12 2 3 5" xfId="61830"/>
    <cellStyle name="20% - Accent1 7 4 12 2 3 5 2" xfId="61874"/>
    <cellStyle name="20% - Accent1 7 4 12 2 3 5 2 2" xfId="61857"/>
    <cellStyle name="20% - Accent1 7 4 12 2 4" xfId="61792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" xfId="61767"/>
    <cellStyle name="20% - Accent1 7 4 2 4 5 5 2 2 2" xfId="61776"/>
    <cellStyle name="20% - Accent1 7 4 2 4 5 5 2 2 2 2" xfId="61837"/>
    <cellStyle name="20% - Accent1 7 4 2 4 5 5 2 2 2 3" xfId="61846"/>
    <cellStyle name="20% - Accent1 7 4 2 4 5 5 2 2 3" xfId="61801"/>
    <cellStyle name="20% - Accent1 7 4 2 4 5 5 2 2 3 2" xfId="61815"/>
    <cellStyle name="20% - Accent1 7 4 2 4 5 5 2 2 3 2 3 2" xfId="61865"/>
    <cellStyle name="20% - Accent1 7 4 2 4 5 5 2 2 4" xfId="61805"/>
    <cellStyle name="20% - Accent1 7 4 2 4 5 5 2 2 4 2" xfId="61842"/>
    <cellStyle name="20% - Accent1 7 4 2 4 5 5 2 2 4 3" xfId="61847"/>
    <cellStyle name="20% - Accent1 7 4 2 4 5 5 2 2 4 3 2" xfId="61859"/>
    <cellStyle name="20% - Accent1 7 4 2 4 5 5 2 2 4 3 2 2" xfId="61869"/>
    <cellStyle name="20% - Accent1 7 4 2 4 5 5 2 2 4 4" xfId="61866"/>
    <cellStyle name="20% - Accent1 7 4 2 4 5 5 2 3" xfId="61774"/>
    <cellStyle name="20% - Accent1 7 4 2 4 5 5 3" xfId="61765"/>
    <cellStyle name="20% - Accent1 7 4 2 4 5 5 3 2" xfId="61800"/>
    <cellStyle name="20% - Accent1 7 4 2 4 5 5 3 2 2" xfId="61814"/>
    <cellStyle name="20% - Accent1 7 4 2 4 5 5 3 3" xfId="61804"/>
    <cellStyle name="20% - Accent1 7 4 2 4 5 6" xfId="61793"/>
    <cellStyle name="20% - Accent1 7 4 2 4 5 7" xfId="61809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94"/>
    <cellStyle name="20% - Accent1 7 4 9 3 2 3" xfId="61795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Normal" xfId="0" builtinId="0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6" xfId="61862"/>
    <cellStyle name="Normal 6 2" xfId="61884"/>
    <cellStyle name="Style 2" xfId="4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22</xdr:row>
          <xdr:rowOff>85725</xdr:rowOff>
        </xdr:from>
        <xdr:to>
          <xdr:col>3</xdr:col>
          <xdr:colOff>276225</xdr:colOff>
          <xdr:row>24</xdr:row>
          <xdr:rowOff>104775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26</xdr:row>
          <xdr:rowOff>28575</xdr:rowOff>
        </xdr:from>
        <xdr:to>
          <xdr:col>3</xdr:col>
          <xdr:colOff>266700</xdr:colOff>
          <xdr:row>28</xdr:row>
          <xdr:rowOff>66675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180975</xdr:colOff>
          <xdr:row>21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15</xdr:row>
          <xdr:rowOff>47625</xdr:rowOff>
        </xdr:from>
        <xdr:to>
          <xdr:col>0</xdr:col>
          <xdr:colOff>1924050</xdr:colOff>
          <xdr:row>16</xdr:row>
          <xdr:rowOff>57150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16</xdr:row>
          <xdr:rowOff>76200</xdr:rowOff>
        </xdr:from>
        <xdr:to>
          <xdr:col>0</xdr:col>
          <xdr:colOff>1924050</xdr:colOff>
          <xdr:row>17</xdr:row>
          <xdr:rowOff>66675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17</xdr:row>
          <xdr:rowOff>114300</xdr:rowOff>
        </xdr:from>
        <xdr:to>
          <xdr:col>0</xdr:col>
          <xdr:colOff>1914525</xdr:colOff>
          <xdr:row>18</xdr:row>
          <xdr:rowOff>123825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5096" name="TEST-Lab" hidden="1">
              <a:extLst>
                <a:ext uri="{63B3BB69-23CF-44E3-9099-C40C66FF867C}">
                  <a14:compatExt spid="_x0000_s5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5097" name="TEST_NO_APN-Lab" hidden="1">
              <a:extLst>
                <a:ext uri="{63B3BB69-23CF-44E3-9099-C40C66FF867C}">
                  <a14:compatExt spid="_x0000_s5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5098" name="TEST_EPS_ONLY-Lab" hidden="1">
              <a:extLst>
                <a:ext uri="{63B3BB69-23CF-44E3-9099-C40C66FF867C}">
                  <a14:compatExt spid="_x0000_s5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9525</xdr:rowOff>
        </xdr:to>
        <xdr:sp macro="" textlink="">
          <xdr:nvSpPr>
            <xdr:cNvPr id="5099" name="CTA-Lab" hidden="1">
              <a:extLst>
                <a:ext uri="{63B3BB69-23CF-44E3-9099-C40C66FF867C}">
                  <a14:compatExt spid="_x0000_s5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9525</xdr:rowOff>
        </xdr:to>
        <xdr:sp macro="" textlink="">
          <xdr:nvSpPr>
            <xdr:cNvPr id="5100" name="Subsidized-Commercial" hidden="1">
              <a:extLst>
                <a:ext uri="{63B3BB69-23CF-44E3-9099-C40C66FF867C}">
                  <a14:compatExt spid="_x0000_s5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9525</xdr:rowOff>
        </xdr:to>
        <xdr:sp macro="" textlink="">
          <xdr:nvSpPr>
            <xdr:cNvPr id="5101" name="OpenMkt-Commercial" hidden="1">
              <a:extLst>
                <a:ext uri="{63B3BB69-23CF-44E3-9099-C40C66FF867C}">
                  <a14:compatExt spid="_x0000_s5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9525</xdr:rowOff>
        </xdr:to>
        <xdr:sp macro="" textlink="">
          <xdr:nvSpPr>
            <xdr:cNvPr id="5102" name="VoLTE_OpenMkt-Commercial" hidden="1">
              <a:extLst>
                <a:ext uri="{63B3BB69-23CF-44E3-9099-C40C66FF867C}">
                  <a14:compatExt spid="_x0000_s5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9525</xdr:rowOff>
        </xdr:to>
        <xdr:sp macro="" textlink="">
          <xdr:nvSpPr>
            <xdr:cNvPr id="5103" name="Conf_VoLTE-Lab" hidden="1">
              <a:extLst>
                <a:ext uri="{63B3BB69-23CF-44E3-9099-C40C66FF867C}">
                  <a14:compatExt spid="_x0000_s5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mtel@conf-factory.test.3gpp.com" TargetMode="Externa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R51"/>
  <sheetViews>
    <sheetView tabSelected="1" zoomScale="85" zoomScaleNormal="85" workbookViewId="0">
      <selection activeCell="I10" sqref="I10:I15"/>
    </sheetView>
  </sheetViews>
  <sheetFormatPr defaultRowHeight="12.75" x14ac:dyDescent="0.2"/>
  <cols>
    <col min="1" max="1" width="29.42578125" bestFit="1" customWidth="1"/>
    <col min="2" max="2" width="15.7109375" customWidth="1"/>
    <col min="3" max="3" width="24" customWidth="1"/>
    <col min="4" max="4" width="21" customWidth="1"/>
    <col min="5" max="5" width="19" bestFit="1" customWidth="1"/>
    <col min="6" max="6" width="22.28515625" customWidth="1"/>
    <col min="7" max="7" width="19.140625" customWidth="1"/>
    <col min="8" max="8" width="29.85546875" bestFit="1" customWidth="1"/>
    <col min="9" max="9" width="19.42578125" bestFit="1" customWidth="1"/>
    <col min="10" max="10" width="24" bestFit="1" customWidth="1"/>
  </cols>
  <sheetData>
    <row r="1" spans="1:16" s="1" customFormat="1" ht="12.75" customHeight="1" x14ac:dyDescent="0.3"/>
    <row r="2" spans="1:16" s="7" customFormat="1" ht="45" customHeight="1" x14ac:dyDescent="0.2">
      <c r="A2" s="514" t="s">
        <v>235</v>
      </c>
      <c r="B2" s="514"/>
      <c r="C2" s="514"/>
      <c r="D2" s="514"/>
    </row>
    <row r="3" spans="1:16" s="1" customFormat="1" ht="15" x14ac:dyDescent="0.3"/>
    <row r="4" spans="1:16" s="1" customFormat="1" ht="15" x14ac:dyDescent="0.3">
      <c r="A4" s="3" t="s">
        <v>0</v>
      </c>
      <c r="B4" s="87">
        <v>42184</v>
      </c>
    </row>
    <row r="5" spans="1:16" s="1" customFormat="1" ht="15" x14ac:dyDescent="0.3">
      <c r="A5" s="3" t="s">
        <v>1</v>
      </c>
      <c r="B5" s="88">
        <v>60</v>
      </c>
    </row>
    <row r="6" spans="1:16" s="1" customFormat="1" ht="15" x14ac:dyDescent="0.3">
      <c r="A6" s="12" t="s">
        <v>145</v>
      </c>
      <c r="B6" s="89" t="s">
        <v>583</v>
      </c>
    </row>
    <row r="7" spans="1:16" s="1" customFormat="1" ht="15" x14ac:dyDescent="0.3">
      <c r="A7" s="12" t="s">
        <v>143</v>
      </c>
      <c r="B7" s="89" t="s">
        <v>449</v>
      </c>
    </row>
    <row r="8" spans="1:16" s="1" customFormat="1" ht="15" x14ac:dyDescent="0.3">
      <c r="A8" s="12" t="s">
        <v>144</v>
      </c>
      <c r="B8" s="89" t="s">
        <v>450</v>
      </c>
    </row>
    <row r="9" spans="1:16" s="1" customFormat="1" ht="15" x14ac:dyDescent="0.3">
      <c r="A9" s="12" t="s">
        <v>451</v>
      </c>
      <c r="B9" s="89" t="s">
        <v>347</v>
      </c>
    </row>
    <row r="10" spans="1:16" s="1" customFormat="1" ht="20.25" thickBot="1" x14ac:dyDescent="0.45">
      <c r="A10" s="16" t="s">
        <v>93</v>
      </c>
      <c r="B10" s="28"/>
      <c r="C10" s="28"/>
      <c r="D10" s="28"/>
      <c r="E10" s="28"/>
      <c r="F10" s="28"/>
      <c r="G10" s="28"/>
      <c r="H10" s="28"/>
      <c r="I10" s="28"/>
    </row>
    <row r="11" spans="1:16" s="1" customFormat="1" ht="30.75" customHeight="1" thickBot="1" x14ac:dyDescent="0.35">
      <c r="A11" s="5"/>
      <c r="B11" s="5" t="s">
        <v>532</v>
      </c>
      <c r="C11" s="5" t="s">
        <v>533</v>
      </c>
      <c r="D11" s="5" t="s">
        <v>534</v>
      </c>
      <c r="E11" s="5" t="s">
        <v>542</v>
      </c>
      <c r="F11" s="5" t="s">
        <v>535</v>
      </c>
      <c r="G11" s="5" t="s">
        <v>531</v>
      </c>
      <c r="H11" s="5" t="s">
        <v>1134</v>
      </c>
      <c r="I11" s="5" t="s">
        <v>1608</v>
      </c>
    </row>
    <row r="12" spans="1:16" s="2" customFormat="1" ht="15" x14ac:dyDescent="0.3">
      <c r="A12" s="4" t="s">
        <v>2</v>
      </c>
      <c r="B12" s="25">
        <v>19</v>
      </c>
      <c r="C12" s="25">
        <v>19</v>
      </c>
      <c r="D12" s="25">
        <v>19</v>
      </c>
      <c r="E12" s="25">
        <v>19</v>
      </c>
      <c r="F12" s="25">
        <v>19</v>
      </c>
      <c r="G12" s="25">
        <v>19</v>
      </c>
      <c r="H12" s="25">
        <v>19</v>
      </c>
      <c r="I12" s="25">
        <v>19</v>
      </c>
    </row>
    <row r="13" spans="1:16" s="17" customFormat="1" ht="15" x14ac:dyDescent="0.3">
      <c r="A13" s="10" t="s">
        <v>72</v>
      </c>
      <c r="B13" s="10" t="str">
        <f>'TEST-Lab'!F271</f>
        <v>0x05011336</v>
      </c>
      <c r="C13" s="10" t="str">
        <f>'TEST_NO_APN-Lab'!F252</f>
        <v>0x05011357</v>
      </c>
      <c r="D13" s="10" t="str">
        <f>'TEST_EPS_ONLY-Lab'!F264</f>
        <v>0x05011377</v>
      </c>
      <c r="E13" s="10" t="str">
        <f>'CTA-Lab'!F292</f>
        <v>0x05011397</v>
      </c>
      <c r="F13" s="10" t="str">
        <f>'Subsidized-Commercial'!F295</f>
        <v>0x050113B7</v>
      </c>
      <c r="G13" s="10" t="str">
        <f>'OpenMkt-Commercial'!F292</f>
        <v>0x05011318</v>
      </c>
      <c r="H13" s="10" t="str">
        <f>'VoLTE_OpenMkt-Commercial'!$F$791</f>
        <v>0x050113EB</v>
      </c>
      <c r="I13" s="10" t="str">
        <f>'Conf_VoLTE-Lab'!$F$658</f>
        <v>0x050113D2</v>
      </c>
    </row>
    <row r="14" spans="1:16" s="32" customFormat="1" ht="15" x14ac:dyDescent="0.3">
      <c r="A14" s="25" t="s">
        <v>80</v>
      </c>
      <c r="B14" s="25">
        <v>1</v>
      </c>
      <c r="C14" s="25">
        <v>1</v>
      </c>
      <c r="D14" s="25">
        <v>1</v>
      </c>
      <c r="E14" s="25">
        <v>1</v>
      </c>
      <c r="F14" s="25">
        <v>1</v>
      </c>
      <c r="G14" s="25">
        <v>1</v>
      </c>
      <c r="H14" s="25">
        <v>1</v>
      </c>
      <c r="I14" s="25">
        <v>1</v>
      </c>
    </row>
    <row r="15" spans="1:16" s="29" customFormat="1" ht="15.75" thickBot="1" x14ac:dyDescent="0.35">
      <c r="A15" s="53" t="s">
        <v>303</v>
      </c>
      <c r="B15" s="53"/>
      <c r="C15" s="53"/>
      <c r="D15" s="53"/>
      <c r="E15" s="53"/>
      <c r="F15" s="53"/>
      <c r="G15" s="53"/>
      <c r="H15" s="53"/>
      <c r="I15" s="53"/>
      <c r="J15" s="1"/>
      <c r="K15" s="1"/>
      <c r="L15" s="1"/>
      <c r="M15" s="1"/>
      <c r="N15" s="1"/>
      <c r="O15" s="1"/>
    </row>
    <row r="16" spans="1:16" s="32" customFormat="1" ht="15" x14ac:dyDescent="0.3">
      <c r="A16" s="27"/>
      <c r="B16" s="27"/>
      <c r="C16" s="27"/>
      <c r="D16" s="27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8" s="32" customFormat="1" ht="15" x14ac:dyDescent="0.3">
      <c r="A17" s="27"/>
      <c r="B17" s="27"/>
      <c r="C17" s="27"/>
      <c r="D17" s="27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8" s="2" customFormat="1" ht="15" x14ac:dyDescent="0.3">
      <c r="A18"/>
      <c r="B18"/>
      <c r="C18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s="2" customFormat="1" ht="15" x14ac:dyDescent="0.3">
      <c r="A19"/>
      <c r="B19"/>
      <c r="C19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s="32" customFormat="1" ht="15" x14ac:dyDescent="0.3">
      <c r="G20" s="1"/>
      <c r="H20" s="1"/>
      <c r="I20" s="1"/>
      <c r="J20" s="1"/>
    </row>
    <row r="21" spans="1:18" s="2" customFormat="1" ht="15" x14ac:dyDescent="0.3">
      <c r="A21" s="9" t="s">
        <v>118</v>
      </c>
      <c r="H21" s="1"/>
      <c r="I21" s="1"/>
      <c r="J21" s="1"/>
    </row>
    <row r="22" spans="1:18" s="2" customFormat="1" ht="15" x14ac:dyDescent="0.3">
      <c r="A22" s="8"/>
      <c r="G22" s="1"/>
      <c r="H22" s="1"/>
      <c r="I22" s="1"/>
      <c r="J22" s="1"/>
    </row>
    <row r="23" spans="1:18" s="2" customFormat="1" ht="19.5" x14ac:dyDescent="0.4">
      <c r="A23"/>
      <c r="B23"/>
      <c r="C23"/>
      <c r="D23"/>
      <c r="G23" s="6"/>
      <c r="H23" s="1"/>
      <c r="I23" s="1"/>
      <c r="J23" s="6"/>
    </row>
    <row r="24" spans="1:18" s="2" customFormat="1" ht="15" x14ac:dyDescent="0.3">
      <c r="A24"/>
      <c r="B24"/>
      <c r="C24"/>
      <c r="D24"/>
      <c r="G24" s="1"/>
      <c r="H24" s="1"/>
      <c r="I24" s="1"/>
      <c r="J24" s="1"/>
    </row>
    <row r="25" spans="1:18" s="2" customFormat="1" ht="15" x14ac:dyDescent="0.3">
      <c r="A25"/>
      <c r="B25"/>
      <c r="C25"/>
      <c r="D25"/>
      <c r="J25" s="1"/>
    </row>
    <row r="26" spans="1:18" ht="15" x14ac:dyDescent="0.3">
      <c r="J26" s="32"/>
    </row>
    <row r="27" spans="1:18" ht="15" x14ac:dyDescent="0.3">
      <c r="J27" s="32"/>
    </row>
    <row r="28" spans="1:18" ht="15" x14ac:dyDescent="0.3">
      <c r="J28" s="32"/>
    </row>
    <row r="29" spans="1:18" ht="15" x14ac:dyDescent="0.3">
      <c r="J29" s="32"/>
    </row>
    <row r="30" spans="1:18" ht="15" x14ac:dyDescent="0.3">
      <c r="J30" s="32"/>
    </row>
    <row r="31" spans="1:18" ht="15" x14ac:dyDescent="0.3">
      <c r="E31" s="32"/>
      <c r="F31" s="32"/>
      <c r="G31" s="1"/>
      <c r="H31" s="1"/>
      <c r="I31" s="1"/>
      <c r="J31" s="1"/>
      <c r="K31" s="32"/>
      <c r="L31" s="32"/>
      <c r="M31" s="32"/>
      <c r="N31" s="32"/>
      <c r="O31" s="32"/>
    </row>
    <row r="32" spans="1:18" ht="20.25" thickBot="1" x14ac:dyDescent="0.45">
      <c r="A32" s="57" t="s">
        <v>359</v>
      </c>
      <c r="B32" s="57"/>
      <c r="C32" s="57"/>
      <c r="D32" s="57"/>
      <c r="E32" s="71"/>
      <c r="F32" s="32"/>
      <c r="G32" s="1"/>
      <c r="H32" s="1"/>
      <c r="I32" s="1"/>
      <c r="J32" s="1"/>
      <c r="K32" s="32"/>
      <c r="L32" s="32"/>
      <c r="M32" s="32"/>
      <c r="N32" s="32"/>
      <c r="O32" s="32"/>
    </row>
    <row r="33" spans="1:15" ht="19.5" x14ac:dyDescent="0.4">
      <c r="A33" s="63" t="s">
        <v>352</v>
      </c>
      <c r="B33" s="69" t="s">
        <v>353</v>
      </c>
      <c r="C33" s="59"/>
      <c r="D33" s="59"/>
      <c r="E33" s="60"/>
      <c r="F33" s="32"/>
      <c r="G33" s="6"/>
      <c r="H33" s="6"/>
      <c r="I33" s="6"/>
      <c r="J33" s="6"/>
      <c r="K33" s="32"/>
      <c r="L33" s="32"/>
      <c r="M33" s="32"/>
      <c r="N33" s="32"/>
      <c r="O33" s="32"/>
    </row>
    <row r="34" spans="1:15" ht="17.25" x14ac:dyDescent="0.35">
      <c r="A34" s="64" t="s">
        <v>351</v>
      </c>
      <c r="B34" s="58" t="s">
        <v>354</v>
      </c>
      <c r="C34" s="59"/>
      <c r="D34" s="59"/>
      <c r="E34" s="60"/>
      <c r="F34" s="32"/>
      <c r="G34" s="1"/>
      <c r="H34" s="1"/>
      <c r="I34" s="1"/>
      <c r="J34" s="1"/>
      <c r="K34" s="32"/>
      <c r="L34" s="32"/>
      <c r="M34" s="32"/>
      <c r="N34" s="32"/>
      <c r="O34" s="32"/>
    </row>
    <row r="35" spans="1:15" ht="15" x14ac:dyDescent="0.3">
      <c r="A35" s="65" t="s">
        <v>350</v>
      </c>
      <c r="B35" s="58" t="s">
        <v>356</v>
      </c>
      <c r="C35" s="59"/>
      <c r="D35" s="59"/>
      <c r="E35" s="60"/>
      <c r="F35" s="32"/>
      <c r="G35" s="1"/>
      <c r="H35" s="1"/>
      <c r="I35" s="1"/>
      <c r="J35" s="1"/>
      <c r="K35" s="32"/>
      <c r="L35" s="32"/>
      <c r="M35" s="32"/>
      <c r="N35" s="32"/>
      <c r="O35" s="32"/>
    </row>
    <row r="36" spans="1:15" ht="15" x14ac:dyDescent="0.3">
      <c r="A36" s="66" t="s">
        <v>349</v>
      </c>
      <c r="B36" s="58" t="s">
        <v>355</v>
      </c>
      <c r="C36" s="59"/>
      <c r="D36" s="59"/>
      <c r="E36" s="60"/>
      <c r="F36" s="31"/>
      <c r="G36" s="32"/>
      <c r="H36" s="32"/>
      <c r="I36" s="32"/>
      <c r="J36" s="32"/>
      <c r="K36" s="31"/>
      <c r="L36" s="31"/>
      <c r="M36" s="31"/>
      <c r="N36" s="31"/>
      <c r="O36" s="31"/>
    </row>
    <row r="37" spans="1:15" ht="17.25" x14ac:dyDescent="0.35">
      <c r="A37" s="67" t="s">
        <v>348</v>
      </c>
      <c r="B37" s="58" t="s">
        <v>361</v>
      </c>
      <c r="C37" s="59"/>
      <c r="D37" s="59"/>
      <c r="E37" s="60"/>
      <c r="F37" s="31"/>
      <c r="G37" s="32"/>
      <c r="H37" s="32"/>
      <c r="I37" s="32"/>
      <c r="J37" s="32"/>
      <c r="K37" s="31"/>
      <c r="L37" s="31"/>
      <c r="M37" s="31"/>
      <c r="N37" s="31"/>
      <c r="O37" s="31"/>
    </row>
    <row r="38" spans="1:15" ht="15" x14ac:dyDescent="0.3">
      <c r="A38" s="68" t="s">
        <v>358</v>
      </c>
      <c r="B38" s="70" t="s">
        <v>357</v>
      </c>
      <c r="C38" s="61"/>
      <c r="D38" s="61"/>
      <c r="E38" s="62"/>
      <c r="F38" s="31"/>
      <c r="G38" s="32"/>
      <c r="H38" s="32"/>
      <c r="I38" s="32"/>
      <c r="J38" s="32"/>
      <c r="K38" s="31"/>
      <c r="L38" s="31"/>
      <c r="M38" s="31"/>
      <c r="N38" s="31"/>
      <c r="O38" s="31"/>
    </row>
    <row r="39" spans="1:15" ht="15" x14ac:dyDescent="0.3">
      <c r="E39" s="31"/>
      <c r="F39" s="31"/>
      <c r="G39" s="32"/>
      <c r="H39" s="32"/>
      <c r="I39" s="32"/>
      <c r="J39" s="32"/>
      <c r="K39" s="31"/>
      <c r="L39" s="31"/>
      <c r="M39" s="31"/>
      <c r="N39" s="31"/>
      <c r="O39" s="31"/>
    </row>
    <row r="40" spans="1:15" ht="15" x14ac:dyDescent="0.3">
      <c r="E40" s="31"/>
      <c r="F40" s="31"/>
      <c r="G40" s="32"/>
      <c r="H40" s="32"/>
      <c r="I40" s="32"/>
      <c r="J40" s="32"/>
      <c r="K40" s="31"/>
      <c r="L40" s="31"/>
      <c r="M40" s="31"/>
      <c r="N40" s="31"/>
      <c r="O40" s="31"/>
    </row>
    <row r="51" spans="2:2" x14ac:dyDescent="0.2">
      <c r="B51" s="31"/>
    </row>
  </sheetData>
  <mergeCells count="1">
    <mergeCell ref="A2:D2"/>
  </mergeCells>
  <hyperlinks>
    <hyperlink ref="B11" location="'TEST-Lab'!A5" tooltip="Jump to worksheet" display="'TEST-Lab'!A5"/>
    <hyperlink ref="C11" location="'TEST_NO_APN-Lab'!A5" tooltip="Jump to worksheet" display="'TEST_NO_APN-Lab'!A5"/>
    <hyperlink ref="D11" location="'TEST_EPS_ONLY-Lab'!A5" tooltip="Jump to worksheet" display="'TEST_EPS_ONLY-Lab'!A5"/>
    <hyperlink ref="E11" location="'CTA-Lab'!A5" tooltip="Jump to worksheet" display="'CTA-Lab'!A5"/>
    <hyperlink ref="G11" location="'OpenMkt-Commercial'!A5" tooltip="Jump to worksheet" display="'OpenMkt-Commercial'!A5"/>
    <hyperlink ref="F11" location="'Subsidized-Commercial'!A5" tooltip="Jump to worksheet" display="'Subsidized-Commercial'!A5"/>
    <hyperlink ref="H11" location="'VoLTE_OpenMkt-Commercial'!A5" tooltip="Jump to worksheet" display="'VoLTE_OpenMkt-Commercial'!A5"/>
    <hyperlink ref="I11" location="'Conf_VoLTE-Lab'!A5" tooltip="Jump to worksheet" display="'Conf_VoLTE-Lab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180975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22</xdr:row>
                    <xdr:rowOff>85725</xdr:rowOff>
                  </from>
                  <to>
                    <xdr:col>3</xdr:col>
                    <xdr:colOff>276225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26</xdr:row>
                    <xdr:rowOff>28575</xdr:rowOff>
                  </from>
                  <to>
                    <xdr:col>3</xdr:col>
                    <xdr:colOff>266700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7" name="Button 23">
              <controlPr defaultSize="0" print="0" autoFill="0" autoPict="0" macro="[0]!SelAllCfgs">
                <anchor moveWithCells="1" sizeWithCells="1">
                  <from>
                    <xdr:col>0</xdr:col>
                    <xdr:colOff>552450</xdr:colOff>
                    <xdr:row>15</xdr:row>
                    <xdr:rowOff>47625</xdr:rowOff>
                  </from>
                  <to>
                    <xdr:col>0</xdr:col>
                    <xdr:colOff>1924050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8" name="Button 24">
              <controlPr defaultSize="0" print="0" autoFill="0" autoPict="0" macro="[0]!DeselAllCfgs">
                <anchor moveWithCells="1" sizeWithCells="1">
                  <from>
                    <xdr:col>0</xdr:col>
                    <xdr:colOff>561975</xdr:colOff>
                    <xdr:row>16</xdr:row>
                    <xdr:rowOff>76200</xdr:rowOff>
                  </from>
                  <to>
                    <xdr:col>0</xdr:col>
                    <xdr:colOff>1924050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Button 59">
              <controlPr defaultSize="0" print="0" autoFill="0" autoPict="0" macro="[0]!RefreshSummary">
                <anchor moveWithCells="1" sizeWithCells="1">
                  <from>
                    <xdr:col>0</xdr:col>
                    <xdr:colOff>571500</xdr:colOff>
                    <xdr:row>17</xdr:row>
                    <xdr:rowOff>114300</xdr:rowOff>
                  </from>
                  <to>
                    <xdr:col>0</xdr:col>
                    <xdr:colOff>1914525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6" r:id="rId10" name="TEST-Lab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7" r:id="rId11" name="TEST_NO_APN-Lab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8" r:id="rId12" name="TEST_EPS_ONLY-Lab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9" r:id="rId13" name="CTA-Lab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0" r:id="rId14" name="Subsidized-Commercial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1" r:id="rId15" name="OpenMkt-Commercial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2" r:id="rId16" name="VoLTE_OpenMkt-Commercial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3" r:id="rId17" name="Conf_VoLTE-Lab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290"/>
  <sheetViews>
    <sheetView topLeftCell="A139" zoomScale="70" zoomScaleNormal="70" workbookViewId="0">
      <selection activeCell="B1" sqref="B1"/>
    </sheetView>
  </sheetViews>
  <sheetFormatPr defaultColWidth="9.140625" defaultRowHeight="12.75" x14ac:dyDescent="0.2"/>
  <cols>
    <col min="1" max="1" width="38.5703125" style="31" customWidth="1"/>
    <col min="2" max="2" width="78.7109375" style="31" bestFit="1" customWidth="1"/>
    <col min="3" max="3" width="13.42578125" style="31" bestFit="1" customWidth="1"/>
    <col min="4" max="4" width="12.85546875" style="31" bestFit="1" customWidth="1"/>
    <col min="5" max="5" width="44.85546875" style="31" bestFit="1" customWidth="1"/>
    <col min="6" max="6" width="45.5703125" style="31" customWidth="1"/>
    <col min="7" max="7" width="15.85546875" style="31" bestFit="1" customWidth="1"/>
    <col min="8" max="8" width="92.85546875" style="31" customWidth="1"/>
    <col min="9" max="9" width="62.7109375" style="31" customWidth="1"/>
    <col min="10" max="10" width="13" style="31" customWidth="1"/>
    <col min="11" max="11" width="72.42578125" style="31" bestFit="1" customWidth="1"/>
    <col min="12" max="12" width="38.42578125" style="31" bestFit="1" customWidth="1"/>
    <col min="13" max="16384" width="9.140625" style="31"/>
  </cols>
  <sheetData>
    <row r="1" spans="1:14" s="26" customFormat="1" x14ac:dyDescent="0.2"/>
    <row r="2" spans="1:14" s="34" customFormat="1" ht="45" customHeight="1" x14ac:dyDescent="0.55000000000000004">
      <c r="A2" s="39" t="s">
        <v>341</v>
      </c>
      <c r="B2" s="39"/>
      <c r="C2" s="39"/>
      <c r="D2" s="39"/>
      <c r="E2" s="39"/>
      <c r="F2" s="39"/>
      <c r="G2" s="39"/>
      <c r="H2" s="39"/>
    </row>
    <row r="3" spans="1:14" s="26" customFormat="1" ht="13.5" thickBot="1" x14ac:dyDescent="0.25">
      <c r="B3" s="13"/>
    </row>
    <row r="4" spans="1:14" s="40" customFormat="1" ht="20.25" thickBot="1" x14ac:dyDescent="0.45">
      <c r="A4" s="515" t="s">
        <v>237</v>
      </c>
      <c r="B4" s="516"/>
      <c r="C4" s="516"/>
      <c r="D4" s="516"/>
      <c r="E4" s="516"/>
      <c r="F4" s="516"/>
      <c r="G4" s="516"/>
      <c r="H4" s="517"/>
    </row>
    <row r="5" spans="1:14" s="26" customFormat="1" ht="20.25" thickBot="1" x14ac:dyDescent="0.45">
      <c r="A5" s="41" t="s">
        <v>9</v>
      </c>
      <c r="B5" s="35" t="s">
        <v>8</v>
      </c>
      <c r="C5" s="36" t="s">
        <v>146</v>
      </c>
      <c r="D5" s="37" t="s">
        <v>147</v>
      </c>
      <c r="E5" s="36" t="s">
        <v>10</v>
      </c>
      <c r="F5" s="36" t="s">
        <v>68</v>
      </c>
      <c r="G5" s="36" t="s">
        <v>148</v>
      </c>
      <c r="H5" s="38" t="s">
        <v>11</v>
      </c>
      <c r="I5" s="33"/>
    </row>
    <row r="6" spans="1:14" s="56" customFormat="1" ht="17.25" x14ac:dyDescent="0.35">
      <c r="A6" s="228" t="s">
        <v>12</v>
      </c>
      <c r="B6" s="179">
        <v>5</v>
      </c>
      <c r="C6" s="179" t="s">
        <v>69</v>
      </c>
      <c r="D6" s="179">
        <v>1</v>
      </c>
      <c r="E6" s="225" t="s">
        <v>14</v>
      </c>
      <c r="F6" s="179">
        <v>2</v>
      </c>
      <c r="G6" s="179"/>
      <c r="H6" s="217" t="s">
        <v>315</v>
      </c>
      <c r="N6" s="139"/>
    </row>
    <row r="7" spans="1:14" s="56" customFormat="1" ht="17.25" x14ac:dyDescent="0.35">
      <c r="A7" s="229" t="s">
        <v>13</v>
      </c>
      <c r="B7" s="136">
        <v>6</v>
      </c>
      <c r="C7" s="136" t="s">
        <v>69</v>
      </c>
      <c r="D7" s="136">
        <v>1</v>
      </c>
      <c r="E7" s="115" t="s">
        <v>15</v>
      </c>
      <c r="F7" s="136">
        <v>6</v>
      </c>
      <c r="G7" s="136" t="s">
        <v>79</v>
      </c>
      <c r="H7" s="218" t="s">
        <v>7</v>
      </c>
      <c r="N7" s="139"/>
    </row>
    <row r="8" spans="1:14" s="56" customFormat="1" ht="17.25" x14ac:dyDescent="0.35">
      <c r="A8" s="229" t="s">
        <v>39</v>
      </c>
      <c r="B8" s="136">
        <v>71</v>
      </c>
      <c r="C8" s="136"/>
      <c r="D8" s="136"/>
      <c r="E8" s="115" t="s">
        <v>40</v>
      </c>
      <c r="F8" s="136"/>
      <c r="G8" s="136" t="s">
        <v>239</v>
      </c>
      <c r="H8" s="218" t="s">
        <v>7</v>
      </c>
      <c r="I8" s="137"/>
    </row>
    <row r="9" spans="1:14" s="56" customFormat="1" ht="69" x14ac:dyDescent="0.35">
      <c r="A9" s="229"/>
      <c r="B9" s="136"/>
      <c r="C9" s="136" t="s">
        <v>70</v>
      </c>
      <c r="D9" s="136">
        <v>13</v>
      </c>
      <c r="E9" s="115" t="s">
        <v>41</v>
      </c>
      <c r="F9" s="136" t="s">
        <v>446</v>
      </c>
      <c r="G9" s="136"/>
      <c r="H9" s="219" t="s">
        <v>312</v>
      </c>
      <c r="I9" s="137"/>
    </row>
    <row r="10" spans="1:14" s="56" customFormat="1" ht="17.25" x14ac:dyDescent="0.35">
      <c r="A10" s="229" t="s">
        <v>149</v>
      </c>
      <c r="B10" s="136">
        <v>400</v>
      </c>
      <c r="C10" s="136" t="s">
        <v>69</v>
      </c>
      <c r="D10" s="136">
        <v>1</v>
      </c>
      <c r="E10" s="115" t="s">
        <v>150</v>
      </c>
      <c r="F10" s="136">
        <v>0</v>
      </c>
      <c r="G10" s="136" t="s">
        <v>239</v>
      </c>
      <c r="H10" s="218" t="s">
        <v>151</v>
      </c>
      <c r="I10" s="137"/>
    </row>
    <row r="11" spans="1:14" s="56" customFormat="1" ht="17.25" x14ac:dyDescent="0.35">
      <c r="A11" s="229" t="s">
        <v>28</v>
      </c>
      <c r="B11" s="136">
        <v>405</v>
      </c>
      <c r="C11" s="136"/>
      <c r="D11" s="136"/>
      <c r="E11" s="115" t="s">
        <v>29</v>
      </c>
      <c r="F11" s="136"/>
      <c r="G11" s="136" t="s">
        <v>79</v>
      </c>
      <c r="H11" s="218"/>
      <c r="I11" s="137"/>
    </row>
    <row r="12" spans="1:14" s="56" customFormat="1" ht="17.25" x14ac:dyDescent="0.35">
      <c r="A12" s="229"/>
      <c r="B12" s="136"/>
      <c r="C12" s="136" t="s">
        <v>69</v>
      </c>
      <c r="D12" s="136">
        <v>2</v>
      </c>
      <c r="E12" s="115" t="s">
        <v>30</v>
      </c>
      <c r="F12" s="136">
        <v>3</v>
      </c>
      <c r="G12" s="136"/>
      <c r="H12" s="218" t="s">
        <v>31</v>
      </c>
      <c r="I12" s="137"/>
    </row>
    <row r="13" spans="1:14" s="56" customFormat="1" ht="17.25" x14ac:dyDescent="0.35">
      <c r="A13" s="229" t="s">
        <v>32</v>
      </c>
      <c r="B13" s="136">
        <v>818</v>
      </c>
      <c r="C13" s="136" t="s">
        <v>69</v>
      </c>
      <c r="D13" s="136">
        <v>1</v>
      </c>
      <c r="E13" s="115" t="s">
        <v>33</v>
      </c>
      <c r="F13" s="136" t="s">
        <v>445</v>
      </c>
      <c r="G13" s="136" t="s">
        <v>79</v>
      </c>
      <c r="H13" s="218"/>
      <c r="I13" s="137"/>
    </row>
    <row r="14" spans="1:14" s="56" customFormat="1" ht="17.25" x14ac:dyDescent="0.35">
      <c r="A14" s="229" t="s">
        <v>81</v>
      </c>
      <c r="B14" s="136">
        <v>880</v>
      </c>
      <c r="C14" s="136" t="s">
        <v>69</v>
      </c>
      <c r="D14" s="136">
        <v>1</v>
      </c>
      <c r="E14" s="115"/>
      <c r="F14" s="136">
        <v>1</v>
      </c>
      <c r="G14" s="136" t="s">
        <v>239</v>
      </c>
      <c r="H14" s="218"/>
      <c r="I14" s="137"/>
    </row>
    <row r="15" spans="1:14" s="56" customFormat="1" ht="17.25" x14ac:dyDescent="0.35">
      <c r="A15" s="229" t="s">
        <v>82</v>
      </c>
      <c r="B15" s="136">
        <v>881</v>
      </c>
      <c r="C15" s="136" t="s">
        <v>69</v>
      </c>
      <c r="D15" s="136">
        <v>1</v>
      </c>
      <c r="E15" s="115"/>
      <c r="F15" s="136">
        <v>1</v>
      </c>
      <c r="G15" s="136" t="s">
        <v>239</v>
      </c>
      <c r="H15" s="218"/>
      <c r="I15" s="137"/>
    </row>
    <row r="16" spans="1:14" s="56" customFormat="1" ht="17.25" x14ac:dyDescent="0.35">
      <c r="A16" s="229" t="s">
        <v>83</v>
      </c>
      <c r="B16" s="136">
        <v>882</v>
      </c>
      <c r="C16" s="136" t="s">
        <v>69</v>
      </c>
      <c r="D16" s="136">
        <v>1</v>
      </c>
      <c r="E16" s="115"/>
      <c r="F16" s="136">
        <v>0</v>
      </c>
      <c r="G16" s="136" t="s">
        <v>239</v>
      </c>
      <c r="H16" s="218"/>
      <c r="I16" s="137"/>
    </row>
    <row r="17" spans="1:9" s="56" customFormat="1" ht="17.25" x14ac:dyDescent="0.35">
      <c r="A17" s="229" t="s">
        <v>365</v>
      </c>
      <c r="B17" s="136">
        <v>906</v>
      </c>
      <c r="C17" s="136"/>
      <c r="D17" s="136"/>
      <c r="E17" s="115" t="s">
        <v>366</v>
      </c>
      <c r="F17" s="136"/>
      <c r="G17" s="136" t="s">
        <v>239</v>
      </c>
      <c r="H17" s="218"/>
      <c r="I17" s="137"/>
    </row>
    <row r="18" spans="1:9" s="56" customFormat="1" ht="17.25" x14ac:dyDescent="0.35">
      <c r="A18" s="229"/>
      <c r="B18" s="136"/>
      <c r="C18" s="136" t="s">
        <v>69</v>
      </c>
      <c r="D18" s="136">
        <v>1</v>
      </c>
      <c r="E18" s="115" t="s">
        <v>367</v>
      </c>
      <c r="F18" s="136">
        <v>9</v>
      </c>
      <c r="G18" s="136"/>
      <c r="H18" s="218"/>
      <c r="I18" s="137"/>
    </row>
    <row r="19" spans="1:9" s="56" customFormat="1" ht="17.25" x14ac:dyDescent="0.35">
      <c r="A19" s="229"/>
      <c r="B19" s="136"/>
      <c r="C19" s="136" t="s">
        <v>70</v>
      </c>
      <c r="D19" s="136">
        <v>127</v>
      </c>
      <c r="E19" s="115" t="s">
        <v>370</v>
      </c>
      <c r="F19" s="136" t="s">
        <v>368</v>
      </c>
      <c r="G19" s="136"/>
      <c r="H19" s="218"/>
      <c r="I19" s="137"/>
    </row>
    <row r="20" spans="1:9" s="56" customFormat="1" ht="17.25" x14ac:dyDescent="0.35">
      <c r="A20" s="229" t="s">
        <v>369</v>
      </c>
      <c r="B20" s="136">
        <v>910</v>
      </c>
      <c r="C20" s="136"/>
      <c r="D20" s="136"/>
      <c r="E20" s="115" t="s">
        <v>371</v>
      </c>
      <c r="F20" s="136"/>
      <c r="G20" s="136" t="s">
        <v>239</v>
      </c>
      <c r="H20" s="218"/>
      <c r="I20" s="137"/>
    </row>
    <row r="21" spans="1:9" s="56" customFormat="1" ht="17.25" x14ac:dyDescent="0.35">
      <c r="A21" s="229"/>
      <c r="B21" s="136"/>
      <c r="C21" s="136" t="s">
        <v>69</v>
      </c>
      <c r="D21" s="136">
        <v>1</v>
      </c>
      <c r="E21" s="115" t="s">
        <v>372</v>
      </c>
      <c r="F21" s="136">
        <f>LEN(F22)</f>
        <v>15</v>
      </c>
      <c r="G21" s="136"/>
      <c r="H21" s="218"/>
      <c r="I21" s="137"/>
    </row>
    <row r="22" spans="1:9" s="56" customFormat="1" ht="17.25" x14ac:dyDescent="0.35">
      <c r="A22" s="229"/>
      <c r="B22" s="136"/>
      <c r="C22" s="136" t="s">
        <v>70</v>
      </c>
      <c r="D22" s="136">
        <v>127</v>
      </c>
      <c r="E22" s="115" t="s">
        <v>373</v>
      </c>
      <c r="F22" s="144" t="s">
        <v>374</v>
      </c>
      <c r="G22" s="136"/>
      <c r="H22" s="218"/>
      <c r="I22" s="137"/>
    </row>
    <row r="23" spans="1:9" s="56" customFormat="1" ht="17.25" x14ac:dyDescent="0.35">
      <c r="A23" s="229" t="s">
        <v>17</v>
      </c>
      <c r="B23" s="136">
        <v>928</v>
      </c>
      <c r="C23" s="136" t="s">
        <v>69</v>
      </c>
      <c r="D23" s="136">
        <v>2</v>
      </c>
      <c r="E23" s="115" t="s">
        <v>18</v>
      </c>
      <c r="F23" s="136">
        <v>0</v>
      </c>
      <c r="G23" s="136" t="s">
        <v>79</v>
      </c>
      <c r="H23" s="218"/>
      <c r="I23" s="137"/>
    </row>
    <row r="24" spans="1:9" s="56" customFormat="1" ht="17.25" x14ac:dyDescent="0.35">
      <c r="A24" s="229" t="s">
        <v>19</v>
      </c>
      <c r="B24" s="136">
        <v>929</v>
      </c>
      <c r="C24" s="136" t="s">
        <v>69</v>
      </c>
      <c r="D24" s="136">
        <v>2</v>
      </c>
      <c r="E24" s="115" t="s">
        <v>20</v>
      </c>
      <c r="F24" s="136" t="s">
        <v>21</v>
      </c>
      <c r="G24" s="136" t="s">
        <v>79</v>
      </c>
      <c r="H24" s="218" t="s">
        <v>22</v>
      </c>
      <c r="I24" s="137"/>
    </row>
    <row r="25" spans="1:9" s="56" customFormat="1" ht="51.75" x14ac:dyDescent="0.35">
      <c r="A25" s="229" t="s">
        <v>34</v>
      </c>
      <c r="B25" s="136">
        <v>1018</v>
      </c>
      <c r="C25" s="136" t="s">
        <v>69</v>
      </c>
      <c r="D25" s="136">
        <v>2</v>
      </c>
      <c r="E25" s="115" t="s">
        <v>35</v>
      </c>
      <c r="F25" s="136" t="s">
        <v>444</v>
      </c>
      <c r="G25" s="136" t="s">
        <v>79</v>
      </c>
      <c r="H25" s="218" t="s">
        <v>152</v>
      </c>
      <c r="I25" s="137"/>
    </row>
    <row r="26" spans="1:9" s="56" customFormat="1" ht="17.25" x14ac:dyDescent="0.35">
      <c r="A26" s="229" t="s">
        <v>25</v>
      </c>
      <c r="B26" s="136">
        <v>1907</v>
      </c>
      <c r="C26" s="136" t="s">
        <v>69</v>
      </c>
      <c r="D26" s="136">
        <v>1</v>
      </c>
      <c r="E26" s="115" t="s">
        <v>26</v>
      </c>
      <c r="F26" s="136">
        <v>1</v>
      </c>
      <c r="G26" s="136" t="s">
        <v>79</v>
      </c>
      <c r="H26" s="218"/>
      <c r="I26" s="137"/>
    </row>
    <row r="27" spans="1:9" s="56" customFormat="1" ht="34.5" x14ac:dyDescent="0.35">
      <c r="A27" s="229" t="s">
        <v>42</v>
      </c>
      <c r="B27" s="136">
        <v>1920</v>
      </c>
      <c r="C27" s="136" t="s">
        <v>69</v>
      </c>
      <c r="D27" s="136">
        <v>4</v>
      </c>
      <c r="E27" s="115" t="s">
        <v>43</v>
      </c>
      <c r="F27" s="136" t="s">
        <v>443</v>
      </c>
      <c r="G27" s="136" t="s">
        <v>239</v>
      </c>
      <c r="H27" s="218" t="s">
        <v>155</v>
      </c>
      <c r="I27" s="137"/>
    </row>
    <row r="28" spans="1:9" s="56" customFormat="1" ht="17.25" x14ac:dyDescent="0.35">
      <c r="A28" s="229" t="s">
        <v>156</v>
      </c>
      <c r="B28" s="136">
        <v>1993</v>
      </c>
      <c r="C28" s="136" t="s">
        <v>69</v>
      </c>
      <c r="D28" s="136">
        <v>1</v>
      </c>
      <c r="E28" s="115" t="s">
        <v>157</v>
      </c>
      <c r="F28" s="136">
        <v>2</v>
      </c>
      <c r="G28" s="136" t="s">
        <v>239</v>
      </c>
      <c r="H28" s="218" t="s">
        <v>158</v>
      </c>
      <c r="I28" s="137"/>
    </row>
    <row r="29" spans="1:9" s="56" customFormat="1" ht="17.25" x14ac:dyDescent="0.35">
      <c r="A29" s="229" t="s">
        <v>159</v>
      </c>
      <c r="B29" s="136">
        <v>1994</v>
      </c>
      <c r="C29" s="136" t="s">
        <v>69</v>
      </c>
      <c r="D29" s="136">
        <v>1</v>
      </c>
      <c r="E29" s="115" t="s">
        <v>160</v>
      </c>
      <c r="F29" s="136">
        <v>0</v>
      </c>
      <c r="G29" s="136" t="s">
        <v>239</v>
      </c>
      <c r="H29" s="218" t="s">
        <v>161</v>
      </c>
      <c r="I29" s="137"/>
    </row>
    <row r="30" spans="1:9" s="56" customFormat="1" ht="17.25" x14ac:dyDescent="0.35">
      <c r="A30" s="229" t="s">
        <v>162</v>
      </c>
      <c r="B30" s="136">
        <v>1995</v>
      </c>
      <c r="C30" s="136" t="s">
        <v>69</v>
      </c>
      <c r="D30" s="136">
        <v>2</v>
      </c>
      <c r="E30" s="115" t="s">
        <v>163</v>
      </c>
      <c r="F30" s="136">
        <v>65001</v>
      </c>
      <c r="G30" s="136" t="s">
        <v>239</v>
      </c>
      <c r="H30" s="218" t="s">
        <v>164</v>
      </c>
      <c r="I30" s="137"/>
    </row>
    <row r="31" spans="1:9" s="56" customFormat="1" ht="17.25" x14ac:dyDescent="0.35">
      <c r="A31" s="229" t="s">
        <v>165</v>
      </c>
      <c r="B31" s="136">
        <v>1997</v>
      </c>
      <c r="C31" s="136" t="s">
        <v>69</v>
      </c>
      <c r="D31" s="136">
        <v>4</v>
      </c>
      <c r="E31" s="115" t="s">
        <v>166</v>
      </c>
      <c r="F31" s="136" t="s">
        <v>84</v>
      </c>
      <c r="G31" s="136" t="s">
        <v>239</v>
      </c>
      <c r="H31" s="218" t="s">
        <v>167</v>
      </c>
      <c r="I31" s="137"/>
    </row>
    <row r="32" spans="1:9" s="56" customFormat="1" ht="17.25" x14ac:dyDescent="0.35">
      <c r="A32" s="229" t="s">
        <v>168</v>
      </c>
      <c r="B32" s="136">
        <v>3520</v>
      </c>
      <c r="C32" s="136" t="s">
        <v>69</v>
      </c>
      <c r="D32" s="136">
        <v>2</v>
      </c>
      <c r="E32" s="115" t="s">
        <v>169</v>
      </c>
      <c r="F32" s="136">
        <v>1</v>
      </c>
      <c r="G32" s="136" t="s">
        <v>239</v>
      </c>
      <c r="H32" s="218" t="s">
        <v>171</v>
      </c>
      <c r="I32" s="137"/>
    </row>
    <row r="33" spans="1:9" s="56" customFormat="1" ht="51.75" x14ac:dyDescent="0.35">
      <c r="A33" s="229" t="s">
        <v>172</v>
      </c>
      <c r="B33" s="136">
        <v>3758</v>
      </c>
      <c r="C33" s="136" t="s">
        <v>69</v>
      </c>
      <c r="D33" s="136">
        <v>1</v>
      </c>
      <c r="E33" s="115" t="s">
        <v>173</v>
      </c>
      <c r="F33" s="136">
        <v>1</v>
      </c>
      <c r="G33" s="136" t="s">
        <v>239</v>
      </c>
      <c r="H33" s="218" t="s">
        <v>174</v>
      </c>
      <c r="I33" s="137"/>
    </row>
    <row r="34" spans="1:9" s="56" customFormat="1" ht="17.25" x14ac:dyDescent="0.35">
      <c r="A34" s="229" t="s">
        <v>175</v>
      </c>
      <c r="B34" s="136">
        <v>4102</v>
      </c>
      <c r="C34" s="136" t="s">
        <v>69</v>
      </c>
      <c r="D34" s="136">
        <v>1</v>
      </c>
      <c r="E34" s="115" t="s">
        <v>176</v>
      </c>
      <c r="F34" s="136">
        <v>1</v>
      </c>
      <c r="G34" s="136" t="s">
        <v>79</v>
      </c>
      <c r="H34" s="218" t="s">
        <v>177</v>
      </c>
      <c r="I34" s="137"/>
    </row>
    <row r="35" spans="1:9" s="56" customFormat="1" ht="103.5" x14ac:dyDescent="0.35">
      <c r="A35" s="229" t="s">
        <v>178</v>
      </c>
      <c r="B35" s="136">
        <v>4228</v>
      </c>
      <c r="C35" s="136" t="s">
        <v>69</v>
      </c>
      <c r="D35" s="136">
        <v>1</v>
      </c>
      <c r="E35" s="115" t="s">
        <v>179</v>
      </c>
      <c r="F35" s="136">
        <v>1</v>
      </c>
      <c r="G35" s="136" t="s">
        <v>239</v>
      </c>
      <c r="H35" s="218" t="s">
        <v>180</v>
      </c>
      <c r="I35" s="137"/>
    </row>
    <row r="36" spans="1:9" s="56" customFormat="1" ht="17.25" x14ac:dyDescent="0.35">
      <c r="A36" s="229" t="s">
        <v>181</v>
      </c>
      <c r="B36" s="136">
        <v>4229</v>
      </c>
      <c r="C36" s="136" t="s">
        <v>69</v>
      </c>
      <c r="D36" s="136">
        <v>1</v>
      </c>
      <c r="E36" s="115" t="s">
        <v>182</v>
      </c>
      <c r="F36" s="136">
        <v>1</v>
      </c>
      <c r="G36" s="136"/>
      <c r="H36" s="218" t="s">
        <v>316</v>
      </c>
      <c r="I36" s="137"/>
    </row>
    <row r="37" spans="1:9" s="56" customFormat="1" ht="17.25" x14ac:dyDescent="0.35">
      <c r="A37" s="229" t="s">
        <v>36</v>
      </c>
      <c r="B37" s="136">
        <v>4366</v>
      </c>
      <c r="C37" s="136"/>
      <c r="D37" s="136"/>
      <c r="E37" s="115" t="s">
        <v>37</v>
      </c>
      <c r="F37" s="136"/>
      <c r="G37" s="136" t="s">
        <v>239</v>
      </c>
      <c r="H37" s="218"/>
      <c r="I37" s="137"/>
    </row>
    <row r="38" spans="1:9" s="56" customFormat="1" ht="17.25" x14ac:dyDescent="0.35">
      <c r="A38" s="229"/>
      <c r="B38" s="136"/>
      <c r="C38" s="136" t="s">
        <v>69</v>
      </c>
      <c r="D38" s="136">
        <v>4</v>
      </c>
      <c r="E38" s="115" t="s">
        <v>38</v>
      </c>
      <c r="F38" s="136">
        <v>6</v>
      </c>
      <c r="G38" s="136"/>
      <c r="H38" s="218" t="s">
        <v>183</v>
      </c>
      <c r="I38" s="137"/>
    </row>
    <row r="39" spans="1:9" s="56" customFormat="1" ht="17.25" x14ac:dyDescent="0.35">
      <c r="A39" s="229" t="s">
        <v>464</v>
      </c>
      <c r="B39" s="136">
        <v>3358</v>
      </c>
      <c r="C39" s="136" t="s">
        <v>69</v>
      </c>
      <c r="D39" s="136">
        <v>1</v>
      </c>
      <c r="E39" s="115" t="s">
        <v>465</v>
      </c>
      <c r="F39" s="136">
        <v>0</v>
      </c>
      <c r="G39" s="136" t="s">
        <v>239</v>
      </c>
      <c r="H39" s="218" t="s">
        <v>469</v>
      </c>
      <c r="I39" s="137"/>
    </row>
    <row r="40" spans="1:9" s="56" customFormat="1" ht="17.25" x14ac:dyDescent="0.35">
      <c r="A40" s="229" t="s">
        <v>466</v>
      </c>
      <c r="B40" s="136">
        <v>6264</v>
      </c>
      <c r="C40" s="136" t="s">
        <v>69</v>
      </c>
      <c r="D40" s="136">
        <v>4</v>
      </c>
      <c r="E40" s="115" t="s">
        <v>467</v>
      </c>
      <c r="F40" s="136">
        <v>1054</v>
      </c>
      <c r="G40" s="136" t="s">
        <v>239</v>
      </c>
      <c r="H40" s="218" t="s">
        <v>468</v>
      </c>
      <c r="I40" s="137"/>
    </row>
    <row r="41" spans="1:9" s="56" customFormat="1" ht="17.25" x14ac:dyDescent="0.35">
      <c r="A41" s="229" t="s">
        <v>184</v>
      </c>
      <c r="B41" s="136">
        <v>4698</v>
      </c>
      <c r="C41" s="136" t="s">
        <v>69</v>
      </c>
      <c r="D41" s="136">
        <v>4</v>
      </c>
      <c r="E41" s="115" t="s">
        <v>185</v>
      </c>
      <c r="F41" s="136" t="s">
        <v>463</v>
      </c>
      <c r="G41" s="136" t="s">
        <v>239</v>
      </c>
      <c r="H41" s="218" t="s">
        <v>187</v>
      </c>
      <c r="I41" s="137"/>
    </row>
    <row r="42" spans="1:9" s="56" customFormat="1" ht="17.25" x14ac:dyDescent="0.35">
      <c r="A42" s="229" t="s">
        <v>188</v>
      </c>
      <c r="B42" s="136">
        <v>4705</v>
      </c>
      <c r="C42" s="136" t="s">
        <v>69</v>
      </c>
      <c r="D42" s="136">
        <v>4</v>
      </c>
      <c r="E42" s="115" t="s">
        <v>189</v>
      </c>
      <c r="F42" s="136">
        <v>8000</v>
      </c>
      <c r="G42" s="136" t="s">
        <v>239</v>
      </c>
      <c r="H42" s="218" t="s">
        <v>190</v>
      </c>
      <c r="I42" s="137"/>
    </row>
    <row r="43" spans="1:9" s="56" customFormat="1" ht="17.25" x14ac:dyDescent="0.35">
      <c r="A43" s="229" t="s">
        <v>191</v>
      </c>
      <c r="B43" s="136">
        <v>4707</v>
      </c>
      <c r="C43" s="136" t="s">
        <v>69</v>
      </c>
      <c r="D43" s="136">
        <v>1</v>
      </c>
      <c r="E43" s="115" t="s">
        <v>192</v>
      </c>
      <c r="F43" s="136">
        <v>1</v>
      </c>
      <c r="G43" s="136" t="s">
        <v>239</v>
      </c>
      <c r="H43" s="218" t="s">
        <v>193</v>
      </c>
      <c r="I43" s="137"/>
    </row>
    <row r="44" spans="1:9" s="56" customFormat="1" ht="17.25" x14ac:dyDescent="0.35">
      <c r="A44" s="229" t="s">
        <v>194</v>
      </c>
      <c r="B44" s="136">
        <v>4927</v>
      </c>
      <c r="C44" s="136" t="s">
        <v>69</v>
      </c>
      <c r="D44" s="136">
        <v>1</v>
      </c>
      <c r="E44" s="115" t="s">
        <v>195</v>
      </c>
      <c r="F44" s="136">
        <v>1</v>
      </c>
      <c r="G44" s="136" t="s">
        <v>239</v>
      </c>
      <c r="H44" s="218" t="s">
        <v>196</v>
      </c>
      <c r="I44" s="137"/>
    </row>
    <row r="45" spans="1:9" s="56" customFormat="1" ht="17.25" x14ac:dyDescent="0.35">
      <c r="A45" s="229" t="s">
        <v>47</v>
      </c>
      <c r="B45" s="136">
        <v>10</v>
      </c>
      <c r="C45" s="136"/>
      <c r="D45" s="136"/>
      <c r="E45" s="115" t="s">
        <v>48</v>
      </c>
      <c r="F45" s="136"/>
      <c r="G45" s="136" t="s">
        <v>94</v>
      </c>
      <c r="H45" s="218" t="s">
        <v>7</v>
      </c>
    </row>
    <row r="46" spans="1:9" s="56" customFormat="1" ht="17.25" x14ac:dyDescent="0.35">
      <c r="A46" s="229"/>
      <c r="B46" s="136"/>
      <c r="C46" s="136" t="s">
        <v>69</v>
      </c>
      <c r="D46" s="136">
        <v>1</v>
      </c>
      <c r="E46" s="115" t="s">
        <v>16</v>
      </c>
      <c r="F46" s="136">
        <v>0</v>
      </c>
      <c r="G46" s="136"/>
      <c r="H46" s="218"/>
    </row>
    <row r="47" spans="1:9" s="56" customFormat="1" ht="17.25" x14ac:dyDescent="0.35">
      <c r="A47" s="229"/>
      <c r="B47" s="136"/>
      <c r="C47" s="136" t="s">
        <v>69</v>
      </c>
      <c r="D47" s="136">
        <v>2</v>
      </c>
      <c r="E47" s="115" t="s">
        <v>49</v>
      </c>
      <c r="F47" s="136">
        <v>4</v>
      </c>
      <c r="G47" s="136"/>
      <c r="H47" s="218" t="s">
        <v>7</v>
      </c>
    </row>
    <row r="48" spans="1:9" s="81" customFormat="1" ht="17.25" x14ac:dyDescent="0.35">
      <c r="A48" s="194" t="s">
        <v>47</v>
      </c>
      <c r="B48" s="136">
        <v>10</v>
      </c>
      <c r="C48" s="136"/>
      <c r="D48" s="138"/>
      <c r="E48" s="111" t="s">
        <v>48</v>
      </c>
      <c r="F48" s="136"/>
      <c r="G48" s="136" t="s">
        <v>238</v>
      </c>
      <c r="H48" s="220" t="s">
        <v>270</v>
      </c>
    </row>
    <row r="49" spans="1:8" s="81" customFormat="1" ht="17.25" x14ac:dyDescent="0.35">
      <c r="A49" s="194"/>
      <c r="B49" s="136" t="s">
        <v>244</v>
      </c>
      <c r="C49" s="136" t="s">
        <v>69</v>
      </c>
      <c r="D49" s="138">
        <v>1</v>
      </c>
      <c r="E49" s="111"/>
      <c r="F49" s="136" t="s">
        <v>6</v>
      </c>
      <c r="G49" s="136"/>
      <c r="H49" s="220"/>
    </row>
    <row r="50" spans="1:8" s="81" customFormat="1" ht="17.25" x14ac:dyDescent="0.35">
      <c r="A50" s="194"/>
      <c r="B50" s="136"/>
      <c r="C50" s="136" t="s">
        <v>69</v>
      </c>
      <c r="D50" s="138">
        <v>1</v>
      </c>
      <c r="E50" s="111" t="s">
        <v>16</v>
      </c>
      <c r="F50" s="136">
        <v>0</v>
      </c>
      <c r="G50" s="136"/>
      <c r="H50" s="220"/>
    </row>
    <row r="51" spans="1:8" s="81" customFormat="1" ht="17.25" x14ac:dyDescent="0.35">
      <c r="A51" s="194"/>
      <c r="B51" s="136"/>
      <c r="C51" s="136" t="s">
        <v>69</v>
      </c>
      <c r="D51" s="138">
        <v>2</v>
      </c>
      <c r="E51" s="111" t="s">
        <v>49</v>
      </c>
      <c r="F51" s="136">
        <v>13</v>
      </c>
      <c r="G51" s="136"/>
      <c r="H51" s="220" t="s">
        <v>7</v>
      </c>
    </row>
    <row r="52" spans="1:8" s="56" customFormat="1" ht="17.25" x14ac:dyDescent="0.35">
      <c r="A52" s="229" t="s">
        <v>197</v>
      </c>
      <c r="B52" s="136">
        <v>441</v>
      </c>
      <c r="C52" s="136"/>
      <c r="D52" s="136"/>
      <c r="E52" s="115" t="s">
        <v>119</v>
      </c>
      <c r="F52" s="136"/>
      <c r="G52" s="136" t="s">
        <v>238</v>
      </c>
      <c r="H52" s="218" t="s">
        <v>198</v>
      </c>
    </row>
    <row r="53" spans="1:8" s="56" customFormat="1" ht="17.25" x14ac:dyDescent="0.35">
      <c r="A53" s="229"/>
      <c r="B53" s="136"/>
      <c r="C53" s="136" t="s">
        <v>69</v>
      </c>
      <c r="D53" s="136">
        <v>1</v>
      </c>
      <c r="E53" s="115"/>
      <c r="F53" s="136">
        <v>0</v>
      </c>
      <c r="G53" s="136"/>
      <c r="H53" s="218"/>
    </row>
    <row r="54" spans="1:8" s="56" customFormat="1" ht="17.25" x14ac:dyDescent="0.35">
      <c r="A54" s="229"/>
      <c r="B54" s="136"/>
      <c r="C54" s="136" t="s">
        <v>69</v>
      </c>
      <c r="D54" s="136">
        <v>2</v>
      </c>
      <c r="E54" s="115"/>
      <c r="F54" s="136" t="s">
        <v>459</v>
      </c>
      <c r="G54" s="136"/>
      <c r="H54" s="218" t="s">
        <v>199</v>
      </c>
    </row>
    <row r="55" spans="1:8" s="56" customFormat="1" ht="17.25" x14ac:dyDescent="0.35">
      <c r="A55" s="196" t="s">
        <v>460</v>
      </c>
      <c r="B55" s="136">
        <v>946</v>
      </c>
      <c r="C55" s="136"/>
      <c r="D55" s="138"/>
      <c r="E55" s="86"/>
      <c r="F55" s="136"/>
      <c r="G55" s="138" t="s">
        <v>238</v>
      </c>
      <c r="H55" s="185"/>
    </row>
    <row r="56" spans="1:8" s="56" customFormat="1" ht="17.25" x14ac:dyDescent="0.35">
      <c r="A56" s="196"/>
      <c r="B56" s="136"/>
      <c r="C56" s="136" t="s">
        <v>69</v>
      </c>
      <c r="D56" s="138">
        <v>1</v>
      </c>
      <c r="E56" s="86" t="s">
        <v>16</v>
      </c>
      <c r="F56" s="136">
        <v>0</v>
      </c>
      <c r="G56" s="138"/>
      <c r="H56" s="185"/>
    </row>
    <row r="57" spans="1:8" s="56" customFormat="1" ht="17.25" x14ac:dyDescent="0.35">
      <c r="A57" s="196"/>
      <c r="B57" s="136"/>
      <c r="C57" s="136" t="s">
        <v>69</v>
      </c>
      <c r="D57" s="138">
        <v>2</v>
      </c>
      <c r="E57" s="86" t="s">
        <v>461</v>
      </c>
      <c r="F57" s="136" t="s">
        <v>462</v>
      </c>
      <c r="G57" s="138"/>
      <c r="H57" s="185" t="s">
        <v>7</v>
      </c>
    </row>
    <row r="58" spans="1:8" s="56" customFormat="1" ht="17.25" x14ac:dyDescent="0.35">
      <c r="A58" s="229" t="s">
        <v>200</v>
      </c>
      <c r="B58" s="136">
        <v>452</v>
      </c>
      <c r="C58" s="136" t="s">
        <v>69</v>
      </c>
      <c r="D58" s="136">
        <v>4</v>
      </c>
      <c r="E58" s="115" t="s">
        <v>201</v>
      </c>
      <c r="F58" s="136">
        <v>0</v>
      </c>
      <c r="G58" s="136" t="s">
        <v>239</v>
      </c>
      <c r="H58" s="218"/>
    </row>
    <row r="59" spans="1:8" s="56" customFormat="1" ht="17.25" x14ac:dyDescent="0.35">
      <c r="A59" s="229" t="s">
        <v>50</v>
      </c>
      <c r="B59" s="136">
        <v>3446</v>
      </c>
      <c r="C59" s="136"/>
      <c r="D59" s="136"/>
      <c r="E59" s="115" t="s">
        <v>51</v>
      </c>
      <c r="F59" s="136"/>
      <c r="G59" s="136"/>
      <c r="H59" s="218"/>
    </row>
    <row r="60" spans="1:8" s="56" customFormat="1" ht="17.25" x14ac:dyDescent="0.35">
      <c r="A60" s="229"/>
      <c r="B60" s="136"/>
      <c r="C60" s="136" t="s">
        <v>69</v>
      </c>
      <c r="D60" s="136">
        <v>2</v>
      </c>
      <c r="E60" s="115" t="s">
        <v>52</v>
      </c>
      <c r="F60" s="136">
        <v>258</v>
      </c>
      <c r="G60" s="136"/>
      <c r="H60" s="218"/>
    </row>
    <row r="61" spans="1:8" s="56" customFormat="1" ht="17.25" x14ac:dyDescent="0.35">
      <c r="A61" s="229"/>
      <c r="B61" s="136"/>
      <c r="C61" s="136" t="s">
        <v>69</v>
      </c>
      <c r="D61" s="136">
        <v>4</v>
      </c>
      <c r="E61" s="115" t="s">
        <v>53</v>
      </c>
      <c r="F61" s="136">
        <v>0</v>
      </c>
      <c r="G61" s="136"/>
      <c r="H61" s="218"/>
    </row>
    <row r="62" spans="1:8" s="56" customFormat="1" ht="17.25" x14ac:dyDescent="0.35">
      <c r="A62" s="229" t="s">
        <v>202</v>
      </c>
      <c r="B62" s="136">
        <v>4627</v>
      </c>
      <c r="C62" s="136" t="s">
        <v>69</v>
      </c>
      <c r="D62" s="136">
        <v>1</v>
      </c>
      <c r="E62" s="115" t="s">
        <v>203</v>
      </c>
      <c r="F62" s="136">
        <v>1</v>
      </c>
      <c r="G62" s="136" t="s">
        <v>239</v>
      </c>
      <c r="H62" s="218"/>
    </row>
    <row r="63" spans="1:8" s="56" customFormat="1" ht="17.25" x14ac:dyDescent="0.35">
      <c r="A63" s="229" t="s">
        <v>204</v>
      </c>
      <c r="B63" s="136">
        <v>4628</v>
      </c>
      <c r="C63" s="136" t="s">
        <v>69</v>
      </c>
      <c r="D63" s="136">
        <v>2</v>
      </c>
      <c r="E63" s="115" t="s">
        <v>205</v>
      </c>
      <c r="F63" s="136">
        <v>24</v>
      </c>
      <c r="G63" s="136" t="s">
        <v>239</v>
      </c>
      <c r="H63" s="218"/>
    </row>
    <row r="64" spans="1:8" s="56" customFormat="1" ht="17.25" x14ac:dyDescent="0.35">
      <c r="A64" s="229" t="s">
        <v>206</v>
      </c>
      <c r="B64" s="136">
        <v>4629</v>
      </c>
      <c r="C64" s="136" t="s">
        <v>69</v>
      </c>
      <c r="D64" s="136">
        <v>1</v>
      </c>
      <c r="E64" s="115" t="s">
        <v>207</v>
      </c>
      <c r="F64" s="136">
        <v>3</v>
      </c>
      <c r="G64" s="136" t="s">
        <v>239</v>
      </c>
      <c r="H64" s="218"/>
    </row>
    <row r="65" spans="1:13" s="56" customFormat="1" ht="17.25" x14ac:dyDescent="0.35">
      <c r="A65" s="229" t="s">
        <v>208</v>
      </c>
      <c r="B65" s="136">
        <v>4630</v>
      </c>
      <c r="C65" s="136" t="s">
        <v>69</v>
      </c>
      <c r="D65" s="136">
        <v>1</v>
      </c>
      <c r="E65" s="115" t="s">
        <v>209</v>
      </c>
      <c r="F65" s="136">
        <v>10</v>
      </c>
      <c r="G65" s="136" t="s">
        <v>239</v>
      </c>
      <c r="H65" s="218"/>
    </row>
    <row r="66" spans="1:13" s="56" customFormat="1" ht="17.25" x14ac:dyDescent="0.35">
      <c r="A66" s="229" t="s">
        <v>210</v>
      </c>
      <c r="B66" s="136">
        <v>4631</v>
      </c>
      <c r="C66" s="136" t="s">
        <v>69</v>
      </c>
      <c r="D66" s="136">
        <v>1</v>
      </c>
      <c r="E66" s="115" t="s">
        <v>211</v>
      </c>
      <c r="F66" s="136">
        <v>0</v>
      </c>
      <c r="G66" s="136" t="s">
        <v>239</v>
      </c>
      <c r="H66" s="218"/>
    </row>
    <row r="67" spans="1:13" s="56" customFormat="1" ht="17.25" x14ac:dyDescent="0.35">
      <c r="A67" s="229" t="s">
        <v>212</v>
      </c>
      <c r="B67" s="136">
        <v>4676</v>
      </c>
      <c r="C67" s="136" t="s">
        <v>69</v>
      </c>
      <c r="D67" s="136">
        <v>4</v>
      </c>
      <c r="E67" s="115" t="s">
        <v>213</v>
      </c>
      <c r="F67" s="136">
        <v>0</v>
      </c>
      <c r="G67" s="136" t="s">
        <v>239</v>
      </c>
      <c r="H67" s="218" t="s">
        <v>214</v>
      </c>
    </row>
    <row r="68" spans="1:13" s="56" customFormat="1" ht="17.25" x14ac:dyDescent="0.35">
      <c r="A68" s="229" t="s">
        <v>215</v>
      </c>
      <c r="B68" s="136">
        <v>4677</v>
      </c>
      <c r="C68" s="136" t="s">
        <v>69</v>
      </c>
      <c r="D68" s="136">
        <v>4</v>
      </c>
      <c r="E68" s="115" t="s">
        <v>216</v>
      </c>
      <c r="F68" s="136">
        <v>0</v>
      </c>
      <c r="G68" s="136" t="s">
        <v>239</v>
      </c>
      <c r="H68" s="218" t="s">
        <v>214</v>
      </c>
    </row>
    <row r="69" spans="1:13" s="56" customFormat="1" ht="17.25" x14ac:dyDescent="0.35">
      <c r="A69" s="229" t="s">
        <v>217</v>
      </c>
      <c r="B69" s="136">
        <v>5047</v>
      </c>
      <c r="C69" s="136"/>
      <c r="D69" s="136"/>
      <c r="E69" s="115" t="s">
        <v>218</v>
      </c>
      <c r="F69" s="136"/>
      <c r="G69" s="136" t="s">
        <v>239</v>
      </c>
      <c r="H69" s="218"/>
    </row>
    <row r="70" spans="1:13" s="56" customFormat="1" ht="17.25" x14ac:dyDescent="0.35">
      <c r="A70" s="229"/>
      <c r="B70" s="136"/>
      <c r="C70" s="136" t="s">
        <v>69</v>
      </c>
      <c r="D70" s="136">
        <v>4</v>
      </c>
      <c r="E70" s="115" t="s">
        <v>219</v>
      </c>
      <c r="F70" s="136">
        <v>2</v>
      </c>
      <c r="G70" s="136"/>
      <c r="H70" s="218"/>
    </row>
    <row r="71" spans="1:13" s="56" customFormat="1" ht="17.25" x14ac:dyDescent="0.35">
      <c r="A71" s="229"/>
      <c r="B71" s="136"/>
      <c r="C71" s="136" t="s">
        <v>69</v>
      </c>
      <c r="D71" s="136">
        <v>4</v>
      </c>
      <c r="E71" s="115" t="s">
        <v>220</v>
      </c>
      <c r="F71" s="136">
        <v>0</v>
      </c>
      <c r="G71" s="136"/>
      <c r="H71" s="218"/>
    </row>
    <row r="72" spans="1:13" s="56" customFormat="1" ht="17.25" x14ac:dyDescent="0.35">
      <c r="A72" s="229" t="s">
        <v>44</v>
      </c>
      <c r="B72" s="136">
        <v>5280</v>
      </c>
      <c r="C72" s="136" t="s">
        <v>69</v>
      </c>
      <c r="D72" s="136">
        <v>8</v>
      </c>
      <c r="E72" s="115" t="s">
        <v>45</v>
      </c>
      <c r="F72" s="136">
        <v>0</v>
      </c>
      <c r="G72" s="136" t="s">
        <v>239</v>
      </c>
      <c r="H72" s="218"/>
    </row>
    <row r="73" spans="1:13" s="56" customFormat="1" ht="17.25" x14ac:dyDescent="0.35">
      <c r="A73" s="229" t="s">
        <v>221</v>
      </c>
      <c r="B73" s="136">
        <v>6429</v>
      </c>
      <c r="C73" s="136"/>
      <c r="D73" s="136"/>
      <c r="E73" s="115" t="s">
        <v>222</v>
      </c>
      <c r="F73" s="136"/>
      <c r="G73" s="136" t="s">
        <v>238</v>
      </c>
      <c r="H73" s="218"/>
    </row>
    <row r="74" spans="1:13" s="56" customFormat="1" ht="17.25" x14ac:dyDescent="0.35">
      <c r="A74" s="229"/>
      <c r="B74" s="136"/>
      <c r="C74" s="136" t="s">
        <v>69</v>
      </c>
      <c r="D74" s="136">
        <v>1</v>
      </c>
      <c r="E74" s="115" t="s">
        <v>223</v>
      </c>
      <c r="F74" s="136">
        <v>0</v>
      </c>
      <c r="G74" s="136"/>
      <c r="H74" s="218"/>
    </row>
    <row r="75" spans="1:13" s="56" customFormat="1" ht="17.25" x14ac:dyDescent="0.35">
      <c r="A75" s="229"/>
      <c r="B75" s="136"/>
      <c r="C75" s="136" t="s">
        <v>69</v>
      </c>
      <c r="D75" s="136">
        <v>1</v>
      </c>
      <c r="E75" s="115" t="s">
        <v>224</v>
      </c>
      <c r="F75" s="136">
        <v>0</v>
      </c>
      <c r="G75" s="136"/>
      <c r="H75" s="218"/>
    </row>
    <row r="76" spans="1:13" s="56" customFormat="1" ht="17.25" x14ac:dyDescent="0.35">
      <c r="A76" s="229"/>
      <c r="B76" s="136"/>
      <c r="C76" s="136" t="s">
        <v>69</v>
      </c>
      <c r="D76" s="136">
        <v>2</v>
      </c>
      <c r="E76" s="115" t="s">
        <v>225</v>
      </c>
      <c r="F76" s="136">
        <v>37</v>
      </c>
      <c r="G76" s="136"/>
      <c r="H76" s="218"/>
      <c r="M76" s="139"/>
    </row>
    <row r="77" spans="1:13" s="56" customFormat="1" ht="17.25" x14ac:dyDescent="0.35">
      <c r="A77" s="229" t="s">
        <v>226</v>
      </c>
      <c r="B77" s="136">
        <v>6273</v>
      </c>
      <c r="C77" s="136" t="s">
        <v>69</v>
      </c>
      <c r="D77" s="136">
        <v>4</v>
      </c>
      <c r="E77" s="115" t="s">
        <v>227</v>
      </c>
      <c r="F77" s="136">
        <v>1</v>
      </c>
      <c r="G77" s="136" t="s">
        <v>239</v>
      </c>
      <c r="H77" s="218"/>
      <c r="M77" s="139"/>
    </row>
    <row r="78" spans="1:13" s="56" customFormat="1" ht="17.25" x14ac:dyDescent="0.35">
      <c r="A78" s="229" t="s">
        <v>228</v>
      </c>
      <c r="B78" s="136">
        <v>6274</v>
      </c>
      <c r="C78" s="136" t="s">
        <v>69</v>
      </c>
      <c r="D78" s="136">
        <v>4</v>
      </c>
      <c r="E78" s="115" t="s">
        <v>229</v>
      </c>
      <c r="F78" s="136">
        <v>1</v>
      </c>
      <c r="G78" s="136" t="s">
        <v>239</v>
      </c>
      <c r="H78" s="218"/>
      <c r="M78" s="139"/>
    </row>
    <row r="79" spans="1:13" s="56" customFormat="1" ht="17.25" x14ac:dyDescent="0.35">
      <c r="A79" s="229" t="s">
        <v>254</v>
      </c>
      <c r="B79" s="136">
        <v>285</v>
      </c>
      <c r="C79" s="136"/>
      <c r="D79" s="136"/>
      <c r="E79" s="115" t="s">
        <v>255</v>
      </c>
      <c r="F79" s="136"/>
      <c r="G79" s="136" t="s">
        <v>94</v>
      </c>
      <c r="H79" s="218"/>
      <c r="M79" s="139"/>
    </row>
    <row r="80" spans="1:13" s="56" customFormat="1" ht="17.25" x14ac:dyDescent="0.35">
      <c r="A80" s="229"/>
      <c r="B80" s="136"/>
      <c r="C80" s="136" t="s">
        <v>69</v>
      </c>
      <c r="D80" s="136">
        <v>1</v>
      </c>
      <c r="E80" s="115" t="s">
        <v>16</v>
      </c>
      <c r="F80" s="136">
        <v>0</v>
      </c>
      <c r="G80" s="136"/>
      <c r="H80" s="218"/>
      <c r="M80" s="139"/>
    </row>
    <row r="81" spans="1:13" s="56" customFormat="1" ht="17.25" x14ac:dyDescent="0.35">
      <c r="A81" s="229"/>
      <c r="B81" s="136"/>
      <c r="C81" s="136" t="s">
        <v>69</v>
      </c>
      <c r="D81" s="136">
        <v>1</v>
      </c>
      <c r="E81" s="115" t="s">
        <v>256</v>
      </c>
      <c r="F81" s="136">
        <v>1</v>
      </c>
      <c r="G81" s="136"/>
      <c r="H81" s="218"/>
      <c r="M81" s="139"/>
    </row>
    <row r="82" spans="1:13" s="56" customFormat="1" ht="17.25" x14ac:dyDescent="0.35">
      <c r="A82" s="229"/>
      <c r="B82" s="136"/>
      <c r="C82" s="136" t="s">
        <v>69</v>
      </c>
      <c r="D82" s="136">
        <v>2</v>
      </c>
      <c r="E82" s="115" t="s">
        <v>257</v>
      </c>
      <c r="F82" s="136">
        <v>3</v>
      </c>
      <c r="G82" s="136"/>
      <c r="H82" s="218"/>
      <c r="M82" s="139"/>
    </row>
    <row r="83" spans="1:13" s="56" customFormat="1" ht="17.25" x14ac:dyDescent="0.35">
      <c r="A83" s="229"/>
      <c r="B83" s="136"/>
      <c r="C83" s="136" t="s">
        <v>69</v>
      </c>
      <c r="D83" s="136">
        <v>2</v>
      </c>
      <c r="E83" s="115" t="s">
        <v>258</v>
      </c>
      <c r="F83" s="136">
        <v>3</v>
      </c>
      <c r="G83" s="136"/>
      <c r="H83" s="218"/>
      <c r="M83" s="139"/>
    </row>
    <row r="84" spans="1:13" s="81" customFormat="1" ht="17.25" x14ac:dyDescent="0.35">
      <c r="A84" s="229"/>
      <c r="B84" s="136"/>
      <c r="C84" s="136" t="s">
        <v>69</v>
      </c>
      <c r="D84" s="136">
        <v>2</v>
      </c>
      <c r="E84" s="115" t="s">
        <v>259</v>
      </c>
      <c r="F84" s="136">
        <v>3</v>
      </c>
      <c r="G84" s="136"/>
      <c r="H84" s="218"/>
    </row>
    <row r="85" spans="1:13" s="81" customFormat="1" ht="17.25" x14ac:dyDescent="0.35">
      <c r="A85" s="229" t="s">
        <v>260</v>
      </c>
      <c r="B85" s="136">
        <v>475</v>
      </c>
      <c r="C85" s="136" t="s">
        <v>69</v>
      </c>
      <c r="D85" s="136">
        <v>2</v>
      </c>
      <c r="E85" s="115" t="s">
        <v>261</v>
      </c>
      <c r="F85" s="136" t="s">
        <v>46</v>
      </c>
      <c r="G85" s="136" t="s">
        <v>79</v>
      </c>
      <c r="H85" s="218"/>
    </row>
    <row r="86" spans="1:13" s="56" customFormat="1" ht="17.25" x14ac:dyDescent="0.35">
      <c r="A86" s="194" t="s">
        <v>340</v>
      </c>
      <c r="B86" s="136">
        <v>562</v>
      </c>
      <c r="C86" s="136"/>
      <c r="D86" s="138"/>
      <c r="E86" s="111"/>
      <c r="F86" s="136"/>
      <c r="G86" s="136" t="s">
        <v>239</v>
      </c>
      <c r="H86" s="220"/>
      <c r="M86" s="139"/>
    </row>
    <row r="87" spans="1:13" s="56" customFormat="1" ht="17.25" x14ac:dyDescent="0.35">
      <c r="A87" s="194"/>
      <c r="B87" s="136" t="s">
        <v>244</v>
      </c>
      <c r="C87" s="136" t="s">
        <v>69</v>
      </c>
      <c r="D87" s="138">
        <v>1</v>
      </c>
      <c r="E87" s="111"/>
      <c r="F87" s="136" t="s">
        <v>6</v>
      </c>
      <c r="G87" s="136"/>
      <c r="H87" s="220"/>
      <c r="M87" s="139"/>
    </row>
    <row r="88" spans="1:13" s="56" customFormat="1" ht="17.25" x14ac:dyDescent="0.35">
      <c r="A88" s="194"/>
      <c r="B88" s="136"/>
      <c r="C88" s="136" t="s">
        <v>69</v>
      </c>
      <c r="D88" s="138">
        <v>1</v>
      </c>
      <c r="E88" s="111" t="s">
        <v>128</v>
      </c>
      <c r="F88" s="136">
        <v>0</v>
      </c>
      <c r="G88" s="136"/>
      <c r="H88" s="220"/>
      <c r="M88" s="139"/>
    </row>
    <row r="89" spans="1:13" s="56" customFormat="1" ht="17.25" x14ac:dyDescent="0.35">
      <c r="A89" s="229" t="s">
        <v>54</v>
      </c>
      <c r="B89" s="136">
        <v>945</v>
      </c>
      <c r="C89" s="136"/>
      <c r="D89" s="136"/>
      <c r="E89" s="115"/>
      <c r="F89" s="136"/>
      <c r="G89" s="136"/>
      <c r="H89" s="218"/>
      <c r="M89" s="139"/>
    </row>
    <row r="90" spans="1:13" s="56" customFormat="1" ht="17.25" x14ac:dyDescent="0.35">
      <c r="A90" s="229"/>
      <c r="B90" s="136"/>
      <c r="C90" s="136" t="s">
        <v>69</v>
      </c>
      <c r="D90" s="136">
        <v>1</v>
      </c>
      <c r="E90" s="115" t="s">
        <v>16</v>
      </c>
      <c r="F90" s="136">
        <v>0</v>
      </c>
      <c r="G90" s="136"/>
      <c r="H90" s="218"/>
      <c r="M90" s="139"/>
    </row>
    <row r="91" spans="1:13" s="56" customFormat="1" ht="17.25" x14ac:dyDescent="0.35">
      <c r="A91" s="229"/>
      <c r="B91" s="136"/>
      <c r="C91" s="136" t="s">
        <v>69</v>
      </c>
      <c r="D91" s="136">
        <v>120</v>
      </c>
      <c r="E91" s="115" t="s">
        <v>55</v>
      </c>
      <c r="F91" s="136">
        <v>0</v>
      </c>
      <c r="G91" s="136"/>
      <c r="H91" s="218"/>
      <c r="M91" s="139"/>
    </row>
    <row r="92" spans="1:13" s="56" customFormat="1" ht="17.25" x14ac:dyDescent="0.35">
      <c r="A92" s="229" t="s">
        <v>262</v>
      </c>
      <c r="B92" s="136">
        <v>4116</v>
      </c>
      <c r="C92" s="136" t="s">
        <v>69</v>
      </c>
      <c r="D92" s="136">
        <v>1</v>
      </c>
      <c r="E92" s="115" t="s">
        <v>263</v>
      </c>
      <c r="F92" s="136" t="s">
        <v>117</v>
      </c>
      <c r="G92" s="136" t="s">
        <v>239</v>
      </c>
      <c r="H92" s="218"/>
      <c r="M92" s="139"/>
    </row>
    <row r="93" spans="1:13" s="56" customFormat="1" ht="17.25" x14ac:dyDescent="0.35">
      <c r="A93" s="229" t="s">
        <v>23</v>
      </c>
      <c r="B93" s="136">
        <v>4204</v>
      </c>
      <c r="C93" s="136" t="s">
        <v>69</v>
      </c>
      <c r="D93" s="136">
        <v>1</v>
      </c>
      <c r="E93" s="115" t="s">
        <v>24</v>
      </c>
      <c r="F93" s="136">
        <v>0</v>
      </c>
      <c r="G93" s="136"/>
      <c r="H93" s="218"/>
      <c r="M93" s="139"/>
    </row>
    <row r="94" spans="1:13" s="56" customFormat="1" ht="17.25" x14ac:dyDescent="0.35">
      <c r="A94" s="229" t="s">
        <v>264</v>
      </c>
      <c r="B94" s="136">
        <v>4231</v>
      </c>
      <c r="C94" s="136"/>
      <c r="D94" s="136"/>
      <c r="E94" s="115" t="s">
        <v>265</v>
      </c>
      <c r="F94" s="136"/>
      <c r="G94" s="136" t="s">
        <v>79</v>
      </c>
      <c r="H94" s="218"/>
      <c r="M94" s="139"/>
    </row>
    <row r="95" spans="1:13" s="56" customFormat="1" ht="17.25" x14ac:dyDescent="0.35">
      <c r="A95" s="229"/>
      <c r="B95" s="136"/>
      <c r="C95" s="136" t="s">
        <v>69</v>
      </c>
      <c r="D95" s="136">
        <v>8</v>
      </c>
      <c r="E95" s="115" t="s">
        <v>266</v>
      </c>
      <c r="F95" s="136">
        <v>0</v>
      </c>
      <c r="G95" s="136"/>
      <c r="H95" s="218"/>
      <c r="M95" s="139"/>
    </row>
    <row r="96" spans="1:13" s="81" customFormat="1" ht="17.25" x14ac:dyDescent="0.35">
      <c r="A96" s="229"/>
      <c r="B96" s="136"/>
      <c r="C96" s="136" t="s">
        <v>69</v>
      </c>
      <c r="D96" s="136">
        <v>8</v>
      </c>
      <c r="E96" s="115" t="s">
        <v>267</v>
      </c>
      <c r="F96" s="136">
        <v>1</v>
      </c>
      <c r="G96" s="136"/>
      <c r="H96" s="218"/>
    </row>
    <row r="97" spans="1:8" s="81" customFormat="1" ht="17.25" x14ac:dyDescent="0.35">
      <c r="A97" s="229" t="s">
        <v>133</v>
      </c>
      <c r="B97" s="136">
        <v>6832</v>
      </c>
      <c r="C97" s="136" t="s">
        <v>69</v>
      </c>
      <c r="D97" s="136">
        <v>1</v>
      </c>
      <c r="E97" s="115" t="s">
        <v>134</v>
      </c>
      <c r="F97" s="136">
        <v>0</v>
      </c>
      <c r="G97" s="136" t="s">
        <v>79</v>
      </c>
      <c r="H97" s="218"/>
    </row>
    <row r="98" spans="1:8" s="81" customFormat="1" ht="17.25" x14ac:dyDescent="0.35">
      <c r="A98" s="229" t="s">
        <v>268</v>
      </c>
      <c r="B98" s="136">
        <v>6862</v>
      </c>
      <c r="C98" s="136" t="s">
        <v>69</v>
      </c>
      <c r="D98" s="136">
        <v>1</v>
      </c>
      <c r="E98" s="115" t="s">
        <v>269</v>
      </c>
      <c r="F98" s="136">
        <v>1</v>
      </c>
      <c r="G98" s="136" t="s">
        <v>79</v>
      </c>
      <c r="H98" s="218"/>
    </row>
    <row r="99" spans="1:8" s="81" customFormat="1" ht="17.25" x14ac:dyDescent="0.35">
      <c r="A99" s="230" t="s">
        <v>322</v>
      </c>
      <c r="B99" s="136">
        <v>3532</v>
      </c>
      <c r="C99" s="136" t="s">
        <v>69</v>
      </c>
      <c r="D99" s="138">
        <v>1</v>
      </c>
      <c r="E99" s="135" t="s">
        <v>323</v>
      </c>
      <c r="F99" s="136">
        <v>135</v>
      </c>
      <c r="G99" s="138" t="s">
        <v>239</v>
      </c>
      <c r="H99" s="221" t="s">
        <v>7</v>
      </c>
    </row>
    <row r="100" spans="1:8" s="81" customFormat="1" ht="17.25" x14ac:dyDescent="0.35">
      <c r="A100" s="230" t="s">
        <v>324</v>
      </c>
      <c r="B100" s="136">
        <v>3533</v>
      </c>
      <c r="C100" s="136" t="s">
        <v>69</v>
      </c>
      <c r="D100" s="138">
        <v>1</v>
      </c>
      <c r="E100" s="135" t="s">
        <v>325</v>
      </c>
      <c r="F100" s="136">
        <v>30</v>
      </c>
      <c r="G100" s="138" t="s">
        <v>239</v>
      </c>
      <c r="H100" s="221" t="s">
        <v>7</v>
      </c>
    </row>
    <row r="101" spans="1:8" s="81" customFormat="1" ht="17.25" x14ac:dyDescent="0.35">
      <c r="A101" s="194" t="s">
        <v>360</v>
      </c>
      <c r="B101" s="136">
        <v>4964</v>
      </c>
      <c r="C101" s="136" t="s">
        <v>69</v>
      </c>
      <c r="D101" s="138">
        <v>2</v>
      </c>
      <c r="E101" s="111"/>
      <c r="F101" s="136">
        <v>4</v>
      </c>
      <c r="G101" s="138" t="s">
        <v>79</v>
      </c>
      <c r="H101" s="183"/>
    </row>
    <row r="102" spans="1:8" s="81" customFormat="1" ht="17.25" x14ac:dyDescent="0.35">
      <c r="A102" s="231" t="s">
        <v>326</v>
      </c>
      <c r="B102" s="136">
        <v>4227</v>
      </c>
      <c r="C102" s="136" t="s">
        <v>69</v>
      </c>
      <c r="D102" s="138">
        <v>4</v>
      </c>
      <c r="E102" s="113" t="s">
        <v>327</v>
      </c>
      <c r="F102" s="136">
        <v>0</v>
      </c>
      <c r="G102" s="138"/>
      <c r="H102" s="222" t="s">
        <v>328</v>
      </c>
    </row>
    <row r="103" spans="1:8" s="81" customFormat="1" ht="17.25" x14ac:dyDescent="0.35">
      <c r="A103" s="194" t="s">
        <v>271</v>
      </c>
      <c r="B103" s="136">
        <v>6874</v>
      </c>
      <c r="C103" s="136"/>
      <c r="D103" s="138"/>
      <c r="E103" s="111"/>
      <c r="F103" s="136"/>
      <c r="G103" s="136" t="s">
        <v>239</v>
      </c>
      <c r="H103" s="220"/>
    </row>
    <row r="104" spans="1:8" s="81" customFormat="1" ht="17.25" x14ac:dyDescent="0.35">
      <c r="A104" s="194"/>
      <c r="B104" s="136" t="s">
        <v>244</v>
      </c>
      <c r="C104" s="136" t="s">
        <v>69</v>
      </c>
      <c r="D104" s="138">
        <v>1</v>
      </c>
      <c r="E104" s="111"/>
      <c r="F104" s="136" t="s">
        <v>5</v>
      </c>
      <c r="G104" s="136"/>
      <c r="H104" s="220"/>
    </row>
    <row r="105" spans="1:8" s="81" customFormat="1" ht="17.25" x14ac:dyDescent="0.35">
      <c r="A105" s="194"/>
      <c r="B105" s="136"/>
      <c r="C105" s="136" t="s">
        <v>69</v>
      </c>
      <c r="D105" s="138">
        <v>1</v>
      </c>
      <c r="E105" s="111" t="s">
        <v>272</v>
      </c>
      <c r="F105" s="136" t="s">
        <v>154</v>
      </c>
      <c r="G105" s="136"/>
      <c r="H105" s="220"/>
    </row>
    <row r="106" spans="1:8" s="81" customFormat="1" ht="17.25" x14ac:dyDescent="0.35">
      <c r="A106" s="194" t="s">
        <v>273</v>
      </c>
      <c r="B106" s="136">
        <v>6875</v>
      </c>
      <c r="C106" s="136"/>
      <c r="D106" s="138"/>
      <c r="E106" s="111"/>
      <c r="F106" s="136"/>
      <c r="G106" s="136" t="s">
        <v>239</v>
      </c>
      <c r="H106" s="220"/>
    </row>
    <row r="107" spans="1:8" s="81" customFormat="1" ht="17.25" x14ac:dyDescent="0.35">
      <c r="A107" s="194"/>
      <c r="B107" s="136" t="s">
        <v>244</v>
      </c>
      <c r="C107" s="136" t="s">
        <v>69</v>
      </c>
      <c r="D107" s="138">
        <v>1</v>
      </c>
      <c r="E107" s="111"/>
      <c r="F107" s="136" t="s">
        <v>5</v>
      </c>
      <c r="G107" s="136"/>
      <c r="H107" s="220"/>
    </row>
    <row r="108" spans="1:8" s="81" customFormat="1" ht="17.25" x14ac:dyDescent="0.35">
      <c r="A108" s="194"/>
      <c r="B108" s="136"/>
      <c r="C108" s="136" t="s">
        <v>69</v>
      </c>
      <c r="D108" s="138">
        <v>1</v>
      </c>
      <c r="E108" s="111" t="s">
        <v>274</v>
      </c>
      <c r="F108" s="136" t="s">
        <v>154</v>
      </c>
      <c r="G108" s="136"/>
      <c r="H108" s="220"/>
    </row>
    <row r="109" spans="1:8" s="81" customFormat="1" ht="17.25" x14ac:dyDescent="0.35">
      <c r="A109" s="197" t="s">
        <v>442</v>
      </c>
      <c r="B109" s="136">
        <v>7165</v>
      </c>
      <c r="C109" s="136" t="s">
        <v>69</v>
      </c>
      <c r="D109" s="138">
        <v>4</v>
      </c>
      <c r="E109" s="82" t="s">
        <v>441</v>
      </c>
      <c r="F109" s="136">
        <v>0</v>
      </c>
      <c r="G109" s="136" t="s">
        <v>239</v>
      </c>
      <c r="H109" s="186"/>
    </row>
    <row r="110" spans="1:8" s="81" customFormat="1" ht="17.25" x14ac:dyDescent="0.35">
      <c r="A110" s="197" t="s">
        <v>439</v>
      </c>
      <c r="B110" s="136">
        <v>1930</v>
      </c>
      <c r="C110" s="136" t="s">
        <v>69</v>
      </c>
      <c r="D110" s="138">
        <v>1</v>
      </c>
      <c r="E110" s="82" t="s">
        <v>438</v>
      </c>
      <c r="F110" s="136">
        <v>2</v>
      </c>
      <c r="G110" s="136" t="s">
        <v>239</v>
      </c>
      <c r="H110" s="186" t="s">
        <v>437</v>
      </c>
    </row>
    <row r="111" spans="1:8" s="81" customFormat="1" ht="17.25" x14ac:dyDescent="0.35">
      <c r="A111" s="232"/>
      <c r="B111" s="136"/>
      <c r="C111" s="136"/>
      <c r="D111" s="138"/>
      <c r="E111" s="226"/>
      <c r="F111" s="136"/>
      <c r="G111" s="138"/>
      <c r="H111" s="223"/>
    </row>
    <row r="112" spans="1:8" s="81" customFormat="1" ht="17.25" x14ac:dyDescent="0.35">
      <c r="A112" s="194" t="s">
        <v>436</v>
      </c>
      <c r="B112" s="136">
        <v>4960</v>
      </c>
      <c r="C112" s="136" t="s">
        <v>69</v>
      </c>
      <c r="D112" s="138">
        <v>1</v>
      </c>
      <c r="E112" s="111" t="s">
        <v>435</v>
      </c>
      <c r="F112" s="136">
        <v>1</v>
      </c>
      <c r="G112" s="138" t="s">
        <v>239</v>
      </c>
      <c r="H112" s="183" t="s">
        <v>434</v>
      </c>
    </row>
    <row r="113" spans="1:9" s="81" customFormat="1" ht="35.25" thickBot="1" x14ac:dyDescent="0.4">
      <c r="A113" s="233" t="s">
        <v>524</v>
      </c>
      <c r="B113" s="142">
        <v>240</v>
      </c>
      <c r="C113" s="142" t="s">
        <v>69</v>
      </c>
      <c r="D113" s="142">
        <v>1</v>
      </c>
      <c r="E113" s="227" t="s">
        <v>525</v>
      </c>
      <c r="F113" s="142">
        <v>0</v>
      </c>
      <c r="G113" s="142" t="s">
        <v>239</v>
      </c>
      <c r="H113" s="224" t="s">
        <v>526</v>
      </c>
    </row>
    <row r="114" spans="1:9" s="81" customFormat="1" ht="15.75" thickBot="1" x14ac:dyDescent="0.35"/>
    <row r="115" spans="1:9" s="81" customFormat="1" ht="20.25" thickBot="1" x14ac:dyDescent="0.35">
      <c r="A115" s="44"/>
      <c r="B115" s="43" t="s">
        <v>78</v>
      </c>
      <c r="C115" s="43"/>
      <c r="D115" s="43"/>
      <c r="E115" s="43"/>
      <c r="F115" s="43"/>
      <c r="G115" s="43"/>
      <c r="H115" s="45"/>
    </row>
    <row r="116" spans="1:9" s="202" customFormat="1" ht="15.75" thickBot="1" x14ac:dyDescent="0.35">
      <c r="A116" s="216" t="s">
        <v>64</v>
      </c>
      <c r="B116" s="35" t="s">
        <v>8</v>
      </c>
      <c r="C116" s="35"/>
      <c r="D116" s="35"/>
      <c r="E116" s="35" t="s">
        <v>58</v>
      </c>
      <c r="F116" s="35" t="s">
        <v>57</v>
      </c>
      <c r="G116" s="35"/>
      <c r="H116" s="38"/>
      <c r="I116" s="56"/>
    </row>
    <row r="117" spans="1:9" s="81" customFormat="1" ht="17.25" x14ac:dyDescent="0.35">
      <c r="A117" s="249"/>
      <c r="B117" s="171"/>
      <c r="C117" s="108"/>
      <c r="D117" s="108"/>
      <c r="E117" s="250"/>
      <c r="F117" s="108"/>
      <c r="G117" s="108"/>
      <c r="H117" s="251"/>
    </row>
    <row r="118" spans="1:9" s="81" customFormat="1" ht="18" thickBot="1" x14ac:dyDescent="0.4">
      <c r="A118" s="252"/>
      <c r="B118" s="175"/>
      <c r="C118" s="176"/>
      <c r="D118" s="176"/>
      <c r="E118" s="253"/>
      <c r="F118" s="176"/>
      <c r="G118" s="176"/>
      <c r="H118" s="254"/>
    </row>
    <row r="119" spans="1:9" s="203" customFormat="1" ht="15.75" thickBot="1" x14ac:dyDescent="0.35">
      <c r="A119" s="81"/>
      <c r="B119" s="81"/>
      <c r="C119" s="81"/>
      <c r="D119" s="81"/>
      <c r="E119" s="81"/>
      <c r="F119" s="81"/>
      <c r="G119" s="81"/>
      <c r="H119" s="81"/>
      <c r="I119" s="81"/>
    </row>
    <row r="120" spans="1:9" s="81" customFormat="1" ht="20.25" thickBot="1" x14ac:dyDescent="0.45">
      <c r="A120" s="46" t="s">
        <v>73</v>
      </c>
      <c r="B120" s="46"/>
      <c r="C120" s="46"/>
      <c r="D120" s="46"/>
      <c r="E120" s="46"/>
      <c r="F120" s="46"/>
      <c r="G120" s="46"/>
      <c r="H120" s="47"/>
      <c r="I120" s="48"/>
    </row>
    <row r="121" spans="1:9" s="140" customFormat="1" ht="20.25" thickBot="1" x14ac:dyDescent="0.45">
      <c r="A121" s="41" t="s">
        <v>56</v>
      </c>
      <c r="B121" s="41" t="s">
        <v>230</v>
      </c>
      <c r="C121" s="41" t="s">
        <v>231</v>
      </c>
      <c r="D121" s="41" t="s">
        <v>76</v>
      </c>
      <c r="E121" s="41" t="s">
        <v>75</v>
      </c>
      <c r="F121" s="41" t="s">
        <v>68</v>
      </c>
      <c r="G121" s="41" t="s">
        <v>74</v>
      </c>
      <c r="H121" s="41" t="s">
        <v>232</v>
      </c>
      <c r="I121" s="41" t="s">
        <v>11</v>
      </c>
    </row>
    <row r="122" spans="1:9" s="56" customFormat="1" ht="17.25" x14ac:dyDescent="0.35">
      <c r="A122" s="236" t="s">
        <v>400</v>
      </c>
      <c r="B122" s="154" t="s">
        <v>401</v>
      </c>
      <c r="C122" s="154" t="s">
        <v>90</v>
      </c>
      <c r="D122" s="154"/>
      <c r="E122" s="154"/>
      <c r="F122" s="154"/>
      <c r="G122" s="154" t="s">
        <v>239</v>
      </c>
      <c r="H122" s="155"/>
      <c r="I122" s="100"/>
    </row>
    <row r="123" spans="1:9" s="56" customFormat="1" ht="17.25" x14ac:dyDescent="0.35">
      <c r="A123" s="162"/>
      <c r="B123" s="11"/>
      <c r="C123" s="11"/>
      <c r="D123" s="11" t="s">
        <v>69</v>
      </c>
      <c r="E123" s="11">
        <v>1</v>
      </c>
      <c r="F123" s="11">
        <v>1</v>
      </c>
      <c r="G123" s="11"/>
      <c r="H123" s="157"/>
      <c r="I123" s="100"/>
    </row>
    <row r="124" spans="1:9" s="56" customFormat="1" ht="17.25" x14ac:dyDescent="0.35">
      <c r="A124" s="160" t="s">
        <v>518</v>
      </c>
      <c r="B124" s="11" t="s">
        <v>517</v>
      </c>
      <c r="C124" s="11" t="s">
        <v>71</v>
      </c>
      <c r="D124" s="11"/>
      <c r="E124" s="11"/>
      <c r="F124" s="11"/>
      <c r="G124" s="11" t="s">
        <v>239</v>
      </c>
      <c r="H124" s="157" t="s">
        <v>541</v>
      </c>
      <c r="I124" s="101"/>
    </row>
    <row r="125" spans="1:9" s="81" customFormat="1" ht="17.25" x14ac:dyDescent="0.35">
      <c r="A125" s="162" t="s">
        <v>433</v>
      </c>
      <c r="B125" s="11" t="s">
        <v>432</v>
      </c>
      <c r="C125" s="11" t="s">
        <v>71</v>
      </c>
      <c r="D125" s="11"/>
      <c r="E125" s="11"/>
      <c r="F125" s="11"/>
      <c r="G125" s="11" t="s">
        <v>239</v>
      </c>
      <c r="H125" s="157" t="s">
        <v>431</v>
      </c>
      <c r="I125" s="100"/>
    </row>
    <row r="126" spans="1:9" s="81" customFormat="1" ht="17.25" x14ac:dyDescent="0.35">
      <c r="A126" s="160" t="s">
        <v>430</v>
      </c>
      <c r="B126" s="11" t="s">
        <v>429</v>
      </c>
      <c r="C126" s="11" t="s">
        <v>90</v>
      </c>
      <c r="D126" s="11"/>
      <c r="E126" s="11"/>
      <c r="F126" s="11"/>
      <c r="G126" s="11" t="s">
        <v>239</v>
      </c>
      <c r="H126" s="157"/>
      <c r="I126" s="101">
        <v>65602</v>
      </c>
    </row>
    <row r="127" spans="1:9" s="141" customFormat="1" ht="17.25" x14ac:dyDescent="0.35">
      <c r="A127" s="160"/>
      <c r="B127" s="11"/>
      <c r="C127" s="11"/>
      <c r="D127" s="11" t="s">
        <v>428</v>
      </c>
      <c r="E127" s="11">
        <v>1</v>
      </c>
      <c r="F127" s="11" t="s">
        <v>427</v>
      </c>
      <c r="G127" s="11"/>
      <c r="H127" s="157"/>
      <c r="I127" s="101"/>
    </row>
    <row r="128" spans="1:9" s="56" customFormat="1" ht="17.25" x14ac:dyDescent="0.35">
      <c r="A128" s="162" t="s">
        <v>129</v>
      </c>
      <c r="B128" s="11" t="s">
        <v>132</v>
      </c>
      <c r="C128" s="11" t="s">
        <v>90</v>
      </c>
      <c r="D128" s="11"/>
      <c r="E128" s="11"/>
      <c r="F128" s="11"/>
      <c r="G128" s="11" t="s">
        <v>79</v>
      </c>
      <c r="H128" s="157"/>
      <c r="I128" s="100">
        <v>67290</v>
      </c>
    </row>
    <row r="129" spans="1:9" s="56" customFormat="1" ht="17.25" x14ac:dyDescent="0.35">
      <c r="A129" s="162"/>
      <c r="B129" s="11"/>
      <c r="C129" s="11"/>
      <c r="D129" s="11" t="s">
        <v>69</v>
      </c>
      <c r="E129" s="11">
        <v>1</v>
      </c>
      <c r="F129" s="11">
        <v>1</v>
      </c>
      <c r="G129" s="11"/>
      <c r="H129" s="157"/>
      <c r="I129" s="100"/>
    </row>
    <row r="130" spans="1:9" s="56" customFormat="1" ht="17.25" x14ac:dyDescent="0.35">
      <c r="A130" s="162" t="s">
        <v>240</v>
      </c>
      <c r="B130" s="11" t="s">
        <v>130</v>
      </c>
      <c r="C130" s="11" t="s">
        <v>90</v>
      </c>
      <c r="D130" s="11"/>
      <c r="E130" s="11"/>
      <c r="F130" s="11"/>
      <c r="G130" s="11" t="s">
        <v>79</v>
      </c>
      <c r="H130" s="157"/>
      <c r="I130" s="100">
        <v>67288</v>
      </c>
    </row>
    <row r="131" spans="1:9" s="56" customFormat="1" ht="17.25" x14ac:dyDescent="0.35">
      <c r="A131" s="162"/>
      <c r="B131" s="11"/>
      <c r="C131" s="11"/>
      <c r="D131" s="11" t="s">
        <v>69</v>
      </c>
      <c r="E131" s="11">
        <v>2</v>
      </c>
      <c r="F131" s="11">
        <v>-95</v>
      </c>
      <c r="G131" s="11"/>
      <c r="H131" s="157"/>
      <c r="I131" s="100" t="s">
        <v>241</v>
      </c>
    </row>
    <row r="132" spans="1:9" s="56" customFormat="1" ht="17.25" x14ac:dyDescent="0.35">
      <c r="A132" s="237" t="s">
        <v>242</v>
      </c>
      <c r="B132" s="11" t="s">
        <v>131</v>
      </c>
      <c r="C132" s="11" t="s">
        <v>90</v>
      </c>
      <c r="D132" s="11"/>
      <c r="E132" s="11"/>
      <c r="F132" s="11"/>
      <c r="G132" s="11"/>
      <c r="H132" s="157"/>
      <c r="I132" s="102">
        <v>67289</v>
      </c>
    </row>
    <row r="133" spans="1:9" s="56" customFormat="1" ht="17.25" x14ac:dyDescent="0.35">
      <c r="A133" s="237"/>
      <c r="B133" s="11"/>
      <c r="C133" s="11"/>
      <c r="D133" s="11" t="s">
        <v>69</v>
      </c>
      <c r="E133" s="11">
        <v>2</v>
      </c>
      <c r="F133" s="11">
        <v>-105</v>
      </c>
      <c r="G133" s="11"/>
      <c r="H133" s="157"/>
      <c r="I133" s="102" t="s">
        <v>243</v>
      </c>
    </row>
    <row r="134" spans="1:9" s="56" customFormat="1" ht="17.25" x14ac:dyDescent="0.35">
      <c r="A134" s="162" t="s">
        <v>135</v>
      </c>
      <c r="B134" s="11" t="s">
        <v>136</v>
      </c>
      <c r="C134" s="11" t="s">
        <v>90</v>
      </c>
      <c r="D134" s="11"/>
      <c r="E134" s="11"/>
      <c r="F134" s="11"/>
      <c r="G134" s="11" t="s">
        <v>79</v>
      </c>
      <c r="H134" s="157"/>
      <c r="I134" s="100">
        <v>66042</v>
      </c>
    </row>
    <row r="135" spans="1:9" s="56" customFormat="1" ht="17.25" x14ac:dyDescent="0.35">
      <c r="A135" s="162"/>
      <c r="B135" s="11"/>
      <c r="C135" s="11"/>
      <c r="D135" s="11" t="s">
        <v>69</v>
      </c>
      <c r="E135" s="11">
        <v>1</v>
      </c>
      <c r="F135" s="11">
        <v>0</v>
      </c>
      <c r="G135" s="11"/>
      <c r="H135" s="157"/>
      <c r="I135" s="100"/>
    </row>
    <row r="136" spans="1:9" s="56" customFormat="1" ht="17.25" x14ac:dyDescent="0.35">
      <c r="A136" s="162"/>
      <c r="B136" s="11"/>
      <c r="C136" s="11"/>
      <c r="D136" s="11" t="s">
        <v>69</v>
      </c>
      <c r="E136" s="11">
        <v>1</v>
      </c>
      <c r="F136" s="11">
        <v>0</v>
      </c>
      <c r="G136" s="11"/>
      <c r="H136" s="157"/>
      <c r="I136" s="100"/>
    </row>
    <row r="137" spans="1:9" s="56" customFormat="1" ht="17.25" x14ac:dyDescent="0.35">
      <c r="A137" s="162"/>
      <c r="B137" s="11"/>
      <c r="C137" s="11"/>
      <c r="D137" s="11" t="s">
        <v>69</v>
      </c>
      <c r="E137" s="11">
        <v>1</v>
      </c>
      <c r="F137" s="11">
        <v>8</v>
      </c>
      <c r="G137" s="11"/>
      <c r="H137" s="157"/>
      <c r="I137" s="100"/>
    </row>
    <row r="138" spans="1:9" s="56" customFormat="1" ht="17.25" x14ac:dyDescent="0.35">
      <c r="A138" s="162"/>
      <c r="B138" s="11"/>
      <c r="C138" s="11"/>
      <c r="D138" s="11" t="s">
        <v>69</v>
      </c>
      <c r="E138" s="11">
        <v>1</v>
      </c>
      <c r="F138" s="11">
        <v>30</v>
      </c>
      <c r="G138" s="11"/>
      <c r="H138" s="157"/>
      <c r="I138" s="100"/>
    </row>
    <row r="139" spans="1:9" s="56" customFormat="1" ht="17.25" x14ac:dyDescent="0.35">
      <c r="A139" s="162"/>
      <c r="B139" s="11"/>
      <c r="C139" s="11"/>
      <c r="D139" s="11" t="s">
        <v>69</v>
      </c>
      <c r="E139" s="11">
        <v>4</v>
      </c>
      <c r="F139" s="11" t="s">
        <v>84</v>
      </c>
      <c r="G139" s="11"/>
      <c r="H139" s="157"/>
      <c r="I139" s="100"/>
    </row>
    <row r="140" spans="1:9" s="56" customFormat="1" ht="17.25" x14ac:dyDescent="0.35">
      <c r="A140" s="162" t="s">
        <v>137</v>
      </c>
      <c r="B140" s="11" t="s">
        <v>138</v>
      </c>
      <c r="C140" s="11" t="s">
        <v>90</v>
      </c>
      <c r="D140" s="11"/>
      <c r="E140" s="11"/>
      <c r="F140" s="11"/>
      <c r="G140" s="11"/>
      <c r="H140" s="157"/>
      <c r="I140" s="100">
        <v>66043</v>
      </c>
    </row>
    <row r="141" spans="1:9" s="56" customFormat="1" ht="17.25" x14ac:dyDescent="0.35">
      <c r="A141" s="162"/>
      <c r="B141" s="11"/>
      <c r="C141" s="11"/>
      <c r="D141" s="11" t="s">
        <v>69</v>
      </c>
      <c r="E141" s="11">
        <v>1</v>
      </c>
      <c r="F141" s="11">
        <v>0</v>
      </c>
      <c r="G141" s="11"/>
      <c r="H141" s="157"/>
      <c r="I141" s="100" t="s">
        <v>313</v>
      </c>
    </row>
    <row r="142" spans="1:9" s="56" customFormat="1" ht="17.25" x14ac:dyDescent="0.35">
      <c r="A142" s="162"/>
      <c r="B142" s="11"/>
      <c r="C142" s="11"/>
      <c r="D142" s="11" t="s">
        <v>69</v>
      </c>
      <c r="E142" s="11">
        <v>1</v>
      </c>
      <c r="F142" s="11">
        <v>-100</v>
      </c>
      <c r="G142" s="11"/>
      <c r="H142" s="157"/>
      <c r="I142" s="100"/>
    </row>
    <row r="143" spans="1:9" s="56" customFormat="1" ht="17.25" x14ac:dyDescent="0.35">
      <c r="A143" s="162"/>
      <c r="B143" s="11"/>
      <c r="C143" s="11"/>
      <c r="D143" s="11" t="s">
        <v>69</v>
      </c>
      <c r="E143" s="11">
        <v>2</v>
      </c>
      <c r="F143" s="11">
        <v>-128</v>
      </c>
      <c r="G143" s="11"/>
      <c r="H143" s="157"/>
      <c r="I143" s="100"/>
    </row>
    <row r="144" spans="1:9" s="56" customFormat="1" ht="17.25" x14ac:dyDescent="0.35">
      <c r="A144" s="162"/>
      <c r="B144" s="11"/>
      <c r="C144" s="11"/>
      <c r="D144" s="11" t="s">
        <v>69</v>
      </c>
      <c r="E144" s="11">
        <v>1</v>
      </c>
      <c r="F144" s="11">
        <v>-95</v>
      </c>
      <c r="G144" s="11"/>
      <c r="H144" s="157"/>
      <c r="I144" s="100"/>
    </row>
    <row r="145" spans="1:9" s="56" customFormat="1" ht="17.25" x14ac:dyDescent="0.35">
      <c r="A145" s="162"/>
      <c r="B145" s="11"/>
      <c r="C145" s="11"/>
      <c r="D145" s="11" t="s">
        <v>69</v>
      </c>
      <c r="E145" s="11">
        <v>2</v>
      </c>
      <c r="F145" s="11">
        <v>-120</v>
      </c>
      <c r="G145" s="11"/>
      <c r="H145" s="157"/>
      <c r="I145" s="100"/>
    </row>
    <row r="146" spans="1:9" s="56" customFormat="1" ht="17.25" x14ac:dyDescent="0.35">
      <c r="A146" s="162"/>
      <c r="B146" s="11"/>
      <c r="C146" s="11"/>
      <c r="D146" s="11" t="s">
        <v>69</v>
      </c>
      <c r="E146" s="11">
        <v>1</v>
      </c>
      <c r="F146" s="11">
        <v>0</v>
      </c>
      <c r="G146" s="11"/>
      <c r="H146" s="157"/>
      <c r="I146" s="100"/>
    </row>
    <row r="147" spans="1:9" s="56" customFormat="1" ht="17.25" x14ac:dyDescent="0.35">
      <c r="A147" s="162" t="s">
        <v>92</v>
      </c>
      <c r="B147" s="11" t="s">
        <v>85</v>
      </c>
      <c r="C147" s="11" t="s">
        <v>90</v>
      </c>
      <c r="D147" s="11"/>
      <c r="E147" s="11"/>
      <c r="F147" s="11"/>
      <c r="G147" s="11"/>
      <c r="H147" s="157"/>
      <c r="I147" s="100">
        <v>66035</v>
      </c>
    </row>
    <row r="148" spans="1:9" s="56" customFormat="1" ht="17.25" x14ac:dyDescent="0.35">
      <c r="A148" s="162"/>
      <c r="B148" s="11"/>
      <c r="C148" s="11"/>
      <c r="D148" s="11" t="s">
        <v>69</v>
      </c>
      <c r="E148" s="11">
        <v>1</v>
      </c>
      <c r="F148" s="11">
        <v>1</v>
      </c>
      <c r="G148" s="11"/>
      <c r="H148" s="157"/>
      <c r="I148" s="100" t="s">
        <v>315</v>
      </c>
    </row>
    <row r="149" spans="1:9" s="56" customFormat="1" ht="17.25" x14ac:dyDescent="0.35">
      <c r="A149" s="162" t="s">
        <v>86</v>
      </c>
      <c r="B149" s="11" t="s">
        <v>87</v>
      </c>
      <c r="C149" s="11" t="s">
        <v>90</v>
      </c>
      <c r="D149" s="11"/>
      <c r="E149" s="11"/>
      <c r="F149" s="11"/>
      <c r="G149" s="11" t="s">
        <v>79</v>
      </c>
      <c r="H149" s="157"/>
      <c r="I149" s="100">
        <v>65953</v>
      </c>
    </row>
    <row r="150" spans="1:9" s="56" customFormat="1" ht="17.25" x14ac:dyDescent="0.35">
      <c r="A150" s="162"/>
      <c r="B150" s="11"/>
      <c r="C150" s="11"/>
      <c r="D150" s="11" t="s">
        <v>69</v>
      </c>
      <c r="E150" s="11">
        <v>4</v>
      </c>
      <c r="F150" s="11">
        <v>10</v>
      </c>
      <c r="G150" s="11"/>
      <c r="H150" s="157"/>
      <c r="I150" s="100" t="s">
        <v>319</v>
      </c>
    </row>
    <row r="151" spans="1:9" s="56" customFormat="1" ht="17.25" x14ac:dyDescent="0.35">
      <c r="A151" s="162"/>
      <c r="B151" s="11"/>
      <c r="C151" s="11"/>
      <c r="D151" s="11" t="s">
        <v>69</v>
      </c>
      <c r="E151" s="11">
        <v>4</v>
      </c>
      <c r="F151" s="11">
        <v>600</v>
      </c>
      <c r="G151" s="11"/>
      <c r="H151" s="157"/>
      <c r="I151" s="100" t="s">
        <v>338</v>
      </c>
    </row>
    <row r="152" spans="1:9" s="56" customFormat="1" ht="17.25" x14ac:dyDescent="0.35">
      <c r="A152" s="162" t="s">
        <v>88</v>
      </c>
      <c r="B152" s="11" t="s">
        <v>89</v>
      </c>
      <c r="C152" s="11" t="s">
        <v>90</v>
      </c>
      <c r="D152" s="11"/>
      <c r="E152" s="11"/>
      <c r="F152" s="11"/>
      <c r="G152" s="11"/>
      <c r="H152" s="157"/>
      <c r="I152" s="100">
        <v>67200</v>
      </c>
    </row>
    <row r="153" spans="1:9" s="56" customFormat="1" ht="17.25" x14ac:dyDescent="0.35">
      <c r="A153" s="162"/>
      <c r="B153" s="11"/>
      <c r="C153" s="11"/>
      <c r="D153" s="11" t="s">
        <v>69</v>
      </c>
      <c r="E153" s="11">
        <v>1</v>
      </c>
      <c r="F153" s="11">
        <v>1</v>
      </c>
      <c r="G153" s="11"/>
      <c r="H153" s="157"/>
      <c r="I153" s="100" t="s">
        <v>27</v>
      </c>
    </row>
    <row r="154" spans="1:9" s="56" customFormat="1" ht="17.25" x14ac:dyDescent="0.35">
      <c r="A154" s="162"/>
      <c r="B154" s="11"/>
      <c r="C154" s="11"/>
      <c r="D154" s="11" t="s">
        <v>69</v>
      </c>
      <c r="E154" s="11">
        <v>1</v>
      </c>
      <c r="F154" s="11">
        <v>1</v>
      </c>
      <c r="G154" s="11"/>
      <c r="H154" s="157"/>
      <c r="I154" s="100" t="s">
        <v>122</v>
      </c>
    </row>
    <row r="155" spans="1:9" s="56" customFormat="1" ht="17.25" x14ac:dyDescent="0.35">
      <c r="A155" s="162"/>
      <c r="B155" s="11"/>
      <c r="C155" s="11"/>
      <c r="D155" s="11" t="s">
        <v>69</v>
      </c>
      <c r="E155" s="11">
        <v>1</v>
      </c>
      <c r="F155" s="11">
        <v>0</v>
      </c>
      <c r="G155" s="11"/>
      <c r="H155" s="157"/>
      <c r="I155" s="100" t="s">
        <v>123</v>
      </c>
    </row>
    <row r="156" spans="1:9" s="56" customFormat="1" ht="17.25" x14ac:dyDescent="0.35">
      <c r="A156" s="162"/>
      <c r="B156" s="11"/>
      <c r="C156" s="11"/>
      <c r="D156" s="11" t="s">
        <v>69</v>
      </c>
      <c r="E156" s="11">
        <v>1</v>
      </c>
      <c r="F156" s="11">
        <v>1</v>
      </c>
      <c r="G156" s="11"/>
      <c r="H156" s="157"/>
      <c r="I156" s="100" t="s">
        <v>124</v>
      </c>
    </row>
    <row r="157" spans="1:9" s="56" customFormat="1" ht="17.25" x14ac:dyDescent="0.35">
      <c r="A157" s="162"/>
      <c r="B157" s="11"/>
      <c r="C157" s="11"/>
      <c r="D157" s="11" t="s">
        <v>69</v>
      </c>
      <c r="E157" s="11">
        <v>1</v>
      </c>
      <c r="F157" s="11">
        <v>3</v>
      </c>
      <c r="G157" s="11"/>
      <c r="H157" s="157"/>
      <c r="I157" s="100" t="s">
        <v>125</v>
      </c>
    </row>
    <row r="158" spans="1:9" s="56" customFormat="1" ht="17.25" x14ac:dyDescent="0.35">
      <c r="A158" s="162"/>
      <c r="B158" s="11"/>
      <c r="C158" s="11"/>
      <c r="D158" s="11" t="s">
        <v>69</v>
      </c>
      <c r="E158" s="11">
        <v>2</v>
      </c>
      <c r="F158" s="11">
        <v>0</v>
      </c>
      <c r="G158" s="11"/>
      <c r="H158" s="157"/>
      <c r="I158" s="100" t="s">
        <v>126</v>
      </c>
    </row>
    <row r="159" spans="1:9" s="56" customFormat="1" ht="17.25" x14ac:dyDescent="0.35">
      <c r="A159" s="162" t="s">
        <v>233</v>
      </c>
      <c r="B159" s="11" t="s">
        <v>234</v>
      </c>
      <c r="C159" s="11" t="s">
        <v>90</v>
      </c>
      <c r="D159" s="11"/>
      <c r="E159" s="11"/>
      <c r="F159" s="11"/>
      <c r="G159" s="11" t="s">
        <v>239</v>
      </c>
      <c r="H159" s="157"/>
      <c r="I159" s="100">
        <v>70302</v>
      </c>
    </row>
    <row r="160" spans="1:9" s="56" customFormat="1" ht="17.25" x14ac:dyDescent="0.35">
      <c r="A160" s="162"/>
      <c r="B160" s="11"/>
      <c r="C160" s="11"/>
      <c r="D160" s="11" t="s">
        <v>69</v>
      </c>
      <c r="E160" s="11">
        <v>1</v>
      </c>
      <c r="F160" s="11">
        <v>0</v>
      </c>
      <c r="G160" s="11"/>
      <c r="H160" s="157"/>
      <c r="I160" s="100"/>
    </row>
    <row r="161" spans="1:9" s="81" customFormat="1" ht="17.25" x14ac:dyDescent="0.35">
      <c r="A161" s="162" t="s">
        <v>245</v>
      </c>
      <c r="B161" s="11" t="s">
        <v>246</v>
      </c>
      <c r="C161" s="11" t="s">
        <v>90</v>
      </c>
      <c r="D161" s="11"/>
      <c r="E161" s="11"/>
      <c r="F161" s="11"/>
      <c r="G161" s="11" t="s">
        <v>79</v>
      </c>
      <c r="H161" s="157"/>
      <c r="I161" s="100">
        <v>67291</v>
      </c>
    </row>
    <row r="162" spans="1:9" s="81" customFormat="1" ht="17.25" x14ac:dyDescent="0.35">
      <c r="A162" s="162"/>
      <c r="B162" s="11"/>
      <c r="C162" s="11"/>
      <c r="D162" s="11" t="s">
        <v>69</v>
      </c>
      <c r="E162" s="11">
        <v>1</v>
      </c>
      <c r="F162" s="11">
        <v>0</v>
      </c>
      <c r="G162" s="11"/>
      <c r="H162" s="157"/>
      <c r="I162" s="100"/>
    </row>
    <row r="163" spans="1:9" s="81" customFormat="1" ht="17.25" x14ac:dyDescent="0.35">
      <c r="A163" s="162" t="s">
        <v>247</v>
      </c>
      <c r="B163" s="11" t="s">
        <v>236</v>
      </c>
      <c r="C163" s="11" t="s">
        <v>71</v>
      </c>
      <c r="D163" s="11"/>
      <c r="E163" s="11"/>
      <c r="F163" s="11"/>
      <c r="G163" s="11" t="s">
        <v>239</v>
      </c>
      <c r="H163" s="157" t="s">
        <v>608</v>
      </c>
      <c r="I163" s="100" t="s">
        <v>248</v>
      </c>
    </row>
    <row r="164" spans="1:9" s="81" customFormat="1" ht="17.25" x14ac:dyDescent="0.35">
      <c r="A164" s="162" t="s">
        <v>249</v>
      </c>
      <c r="B164" s="11" t="s">
        <v>250</v>
      </c>
      <c r="C164" s="11" t="s">
        <v>90</v>
      </c>
      <c r="D164" s="11"/>
      <c r="E164" s="11"/>
      <c r="F164" s="11"/>
      <c r="G164" s="11" t="s">
        <v>79</v>
      </c>
      <c r="H164" s="157"/>
      <c r="I164" s="100">
        <v>69739</v>
      </c>
    </row>
    <row r="165" spans="1:9" s="81" customFormat="1" ht="17.25" x14ac:dyDescent="0.35">
      <c r="A165" s="162"/>
      <c r="B165" s="11"/>
      <c r="C165" s="11"/>
      <c r="D165" s="11" t="s">
        <v>69</v>
      </c>
      <c r="E165" s="11">
        <v>1</v>
      </c>
      <c r="F165" s="11">
        <v>1</v>
      </c>
      <c r="G165" s="11"/>
      <c r="H165" s="157"/>
      <c r="I165" s="100" t="s">
        <v>27</v>
      </c>
    </row>
    <row r="166" spans="1:9" s="81" customFormat="1" ht="17.25" x14ac:dyDescent="0.35">
      <c r="A166" s="162"/>
      <c r="B166" s="11"/>
      <c r="C166" s="11"/>
      <c r="D166" s="11" t="s">
        <v>69</v>
      </c>
      <c r="E166" s="11">
        <v>4</v>
      </c>
      <c r="F166" s="11">
        <v>1000</v>
      </c>
      <c r="G166" s="11"/>
      <c r="H166" s="157"/>
      <c r="I166" s="100" t="s">
        <v>251</v>
      </c>
    </row>
    <row r="167" spans="1:9" s="56" customFormat="1" ht="17.25" x14ac:dyDescent="0.35">
      <c r="A167" s="162" t="s">
        <v>142</v>
      </c>
      <c r="B167" s="11" t="s">
        <v>141</v>
      </c>
      <c r="C167" s="11" t="s">
        <v>90</v>
      </c>
      <c r="D167" s="11"/>
      <c r="E167" s="11"/>
      <c r="F167" s="11"/>
      <c r="G167" s="11" t="s">
        <v>239</v>
      </c>
      <c r="H167" s="157"/>
      <c r="I167" s="100">
        <v>67208</v>
      </c>
    </row>
    <row r="168" spans="1:9" s="56" customFormat="1" ht="17.25" x14ac:dyDescent="0.35">
      <c r="A168" s="162"/>
      <c r="B168" s="11"/>
      <c r="C168" s="11"/>
      <c r="D168" s="11" t="s">
        <v>69</v>
      </c>
      <c r="E168" s="11">
        <v>1</v>
      </c>
      <c r="F168" s="11">
        <v>1</v>
      </c>
      <c r="G168" s="11"/>
      <c r="H168" s="157"/>
      <c r="I168" s="100"/>
    </row>
    <row r="169" spans="1:9" s="56" customFormat="1" ht="17.25" x14ac:dyDescent="0.35">
      <c r="A169" s="240" t="s">
        <v>275</v>
      </c>
      <c r="B169" s="11" t="s">
        <v>276</v>
      </c>
      <c r="C169" s="11" t="s">
        <v>71</v>
      </c>
      <c r="D169" s="11"/>
      <c r="E169" s="11"/>
      <c r="F169" s="11"/>
      <c r="G169" s="11" t="s">
        <v>79</v>
      </c>
      <c r="H169" s="157" t="s">
        <v>277</v>
      </c>
      <c r="I169" s="134"/>
    </row>
    <row r="170" spans="1:9" s="56" customFormat="1" ht="17.25" x14ac:dyDescent="0.35">
      <c r="A170" s="240" t="s">
        <v>278</v>
      </c>
      <c r="B170" s="11" t="s">
        <v>279</v>
      </c>
      <c r="C170" s="11" t="s">
        <v>71</v>
      </c>
      <c r="D170" s="11"/>
      <c r="E170" s="11"/>
      <c r="F170" s="11"/>
      <c r="G170" s="11" t="s">
        <v>239</v>
      </c>
      <c r="H170" s="157" t="s">
        <v>280</v>
      </c>
      <c r="I170" s="134"/>
    </row>
    <row r="171" spans="1:9" s="56" customFormat="1" ht="17.25" x14ac:dyDescent="0.35">
      <c r="A171" s="240" t="s">
        <v>281</v>
      </c>
      <c r="B171" s="11" t="s">
        <v>282</v>
      </c>
      <c r="C171" s="11" t="s">
        <v>71</v>
      </c>
      <c r="D171" s="11"/>
      <c r="E171" s="11"/>
      <c r="F171" s="11"/>
      <c r="G171" s="11" t="s">
        <v>239</v>
      </c>
      <c r="H171" s="157" t="s">
        <v>283</v>
      </c>
      <c r="I171" s="134"/>
    </row>
    <row r="172" spans="1:9" s="56" customFormat="1" ht="19.5" customHeight="1" x14ac:dyDescent="0.35">
      <c r="A172" s="240" t="s">
        <v>284</v>
      </c>
      <c r="B172" s="11" t="s">
        <v>285</v>
      </c>
      <c r="C172" s="11" t="s">
        <v>71</v>
      </c>
      <c r="D172" s="11"/>
      <c r="E172" s="11"/>
      <c r="F172" s="11"/>
      <c r="G172" s="11" t="s">
        <v>239</v>
      </c>
      <c r="H172" s="157" t="s">
        <v>286</v>
      </c>
      <c r="I172" s="134"/>
    </row>
    <row r="173" spans="1:9" s="56" customFormat="1" ht="19.5" customHeight="1" x14ac:dyDescent="0.35">
      <c r="A173" s="240" t="s">
        <v>287</v>
      </c>
      <c r="B173" s="11" t="s">
        <v>288</v>
      </c>
      <c r="C173" s="11" t="s">
        <v>71</v>
      </c>
      <c r="D173" s="11"/>
      <c r="E173" s="11"/>
      <c r="F173" s="11"/>
      <c r="G173" s="11" t="s">
        <v>239</v>
      </c>
      <c r="H173" s="157" t="s">
        <v>289</v>
      </c>
      <c r="I173" s="134"/>
    </row>
    <row r="174" spans="1:9" s="56" customFormat="1" ht="19.5" customHeight="1" x14ac:dyDescent="0.35">
      <c r="A174" s="240" t="s">
        <v>290</v>
      </c>
      <c r="B174" s="11" t="s">
        <v>291</v>
      </c>
      <c r="C174" s="11" t="s">
        <v>71</v>
      </c>
      <c r="D174" s="11"/>
      <c r="E174" s="11"/>
      <c r="F174" s="11"/>
      <c r="G174" s="11" t="s">
        <v>239</v>
      </c>
      <c r="H174" s="157" t="s">
        <v>292</v>
      </c>
      <c r="I174" s="134"/>
    </row>
    <row r="175" spans="1:9" s="56" customFormat="1" ht="17.25" x14ac:dyDescent="0.35">
      <c r="A175" s="240" t="s">
        <v>293</v>
      </c>
      <c r="B175" s="11" t="s">
        <v>294</v>
      </c>
      <c r="C175" s="11" t="s">
        <v>71</v>
      </c>
      <c r="D175" s="11"/>
      <c r="E175" s="11"/>
      <c r="F175" s="11"/>
      <c r="G175" s="11" t="s">
        <v>239</v>
      </c>
      <c r="H175" s="157" t="s">
        <v>295</v>
      </c>
      <c r="I175" s="134"/>
    </row>
    <row r="176" spans="1:9" s="56" customFormat="1" ht="19.5" customHeight="1" x14ac:dyDescent="0.35">
      <c r="A176" s="240" t="s">
        <v>296</v>
      </c>
      <c r="B176" s="11" t="s">
        <v>252</v>
      </c>
      <c r="C176" s="11" t="s">
        <v>71</v>
      </c>
      <c r="D176" s="11"/>
      <c r="E176" s="11"/>
      <c r="F176" s="11"/>
      <c r="G176" s="11" t="s">
        <v>239</v>
      </c>
      <c r="H176" s="157" t="s">
        <v>297</v>
      </c>
      <c r="I176" s="134"/>
    </row>
    <row r="177" spans="1:9" s="56" customFormat="1" ht="19.5" customHeight="1" x14ac:dyDescent="0.35">
      <c r="A177" s="240" t="s">
        <v>298</v>
      </c>
      <c r="B177" s="11" t="s">
        <v>253</v>
      </c>
      <c r="C177" s="11" t="s">
        <v>71</v>
      </c>
      <c r="D177" s="11"/>
      <c r="E177" s="11"/>
      <c r="F177" s="11"/>
      <c r="G177" s="11" t="s">
        <v>239</v>
      </c>
      <c r="H177" s="157" t="s">
        <v>299</v>
      </c>
      <c r="I177" s="134"/>
    </row>
    <row r="178" spans="1:9" s="56" customFormat="1" ht="19.5" customHeight="1" x14ac:dyDescent="0.35">
      <c r="A178" s="240" t="s">
        <v>300</v>
      </c>
      <c r="B178" s="11" t="s">
        <v>301</v>
      </c>
      <c r="C178" s="11" t="s">
        <v>71</v>
      </c>
      <c r="D178" s="11"/>
      <c r="E178" s="11"/>
      <c r="F178" s="11"/>
      <c r="G178" s="11" t="s">
        <v>239</v>
      </c>
      <c r="H178" s="157" t="s">
        <v>302</v>
      </c>
      <c r="I178" s="134"/>
    </row>
    <row r="179" spans="1:9" s="56" customFormat="1" ht="19.5" customHeight="1" x14ac:dyDescent="0.35">
      <c r="A179" s="240" t="s">
        <v>120</v>
      </c>
      <c r="B179" s="11" t="s">
        <v>91</v>
      </c>
      <c r="C179" s="11" t="s">
        <v>90</v>
      </c>
      <c r="D179" s="11"/>
      <c r="E179" s="11"/>
      <c r="F179" s="11"/>
      <c r="G179" s="11" t="s">
        <v>239</v>
      </c>
      <c r="H179" s="157"/>
      <c r="I179" s="134">
        <v>65777</v>
      </c>
    </row>
    <row r="180" spans="1:9" s="56" customFormat="1" ht="19.5" customHeight="1" x14ac:dyDescent="0.35">
      <c r="A180" s="240" t="s">
        <v>139</v>
      </c>
      <c r="B180" s="11" t="s">
        <v>139</v>
      </c>
      <c r="C180" s="11"/>
      <c r="D180" s="11" t="s">
        <v>69</v>
      </c>
      <c r="E180" s="11">
        <v>1</v>
      </c>
      <c r="F180" s="11">
        <v>0</v>
      </c>
      <c r="G180" s="11"/>
      <c r="H180" s="157"/>
      <c r="I180" s="134"/>
    </row>
    <row r="181" spans="1:9" s="56" customFormat="1" ht="19.5" customHeight="1" x14ac:dyDescent="0.35">
      <c r="A181" s="164" t="s">
        <v>317</v>
      </c>
      <c r="B181" s="11" t="s">
        <v>318</v>
      </c>
      <c r="C181" s="11" t="s">
        <v>90</v>
      </c>
      <c r="D181" s="11"/>
      <c r="E181" s="11"/>
      <c r="F181" s="11"/>
      <c r="G181" s="11" t="s">
        <v>239</v>
      </c>
      <c r="H181" s="157"/>
      <c r="I181" s="122">
        <v>65591</v>
      </c>
    </row>
    <row r="182" spans="1:9" s="56" customFormat="1" ht="19.5" customHeight="1" x14ac:dyDescent="0.35">
      <c r="A182" s="164"/>
      <c r="B182" s="11"/>
      <c r="C182" s="11"/>
      <c r="D182" s="11" t="s">
        <v>69</v>
      </c>
      <c r="E182" s="11">
        <v>4</v>
      </c>
      <c r="F182" s="11" t="s">
        <v>84</v>
      </c>
      <c r="G182" s="11"/>
      <c r="H182" s="157"/>
      <c r="I182" s="122"/>
    </row>
    <row r="183" spans="1:9" s="56" customFormat="1" ht="17.25" x14ac:dyDescent="0.35">
      <c r="A183" s="241" t="s">
        <v>320</v>
      </c>
      <c r="B183" s="11" t="s">
        <v>321</v>
      </c>
      <c r="C183" s="11" t="s">
        <v>90</v>
      </c>
      <c r="D183" s="11"/>
      <c r="E183" s="11"/>
      <c r="F183" s="11"/>
      <c r="G183" s="11" t="s">
        <v>79</v>
      </c>
      <c r="H183" s="157"/>
      <c r="I183" s="105">
        <v>67292</v>
      </c>
    </row>
    <row r="184" spans="1:9" s="56" customFormat="1" ht="17.25" x14ac:dyDescent="0.35">
      <c r="A184" s="241"/>
      <c r="B184" s="11"/>
      <c r="C184" s="11"/>
      <c r="D184" s="11" t="s">
        <v>69</v>
      </c>
      <c r="E184" s="11">
        <v>1</v>
      </c>
      <c r="F184" s="11">
        <v>1</v>
      </c>
      <c r="G184" s="11"/>
      <c r="H184" s="157"/>
      <c r="I184" s="105"/>
    </row>
    <row r="185" spans="1:9" s="56" customFormat="1" ht="16.5" customHeight="1" x14ac:dyDescent="0.35">
      <c r="A185" s="164" t="s">
        <v>336</v>
      </c>
      <c r="B185" s="11" t="s">
        <v>337</v>
      </c>
      <c r="C185" s="11" t="s">
        <v>90</v>
      </c>
      <c r="D185" s="11"/>
      <c r="E185" s="11"/>
      <c r="F185" s="11"/>
      <c r="G185" s="11" t="s">
        <v>79</v>
      </c>
      <c r="H185" s="157"/>
      <c r="I185" s="122">
        <v>67270</v>
      </c>
    </row>
    <row r="186" spans="1:9" s="56" customFormat="1" ht="17.25" x14ac:dyDescent="0.35">
      <c r="A186" s="164"/>
      <c r="B186" s="11"/>
      <c r="C186" s="11"/>
      <c r="D186" s="11" t="s">
        <v>69</v>
      </c>
      <c r="E186" s="11">
        <v>1</v>
      </c>
      <c r="F186" s="11">
        <v>1</v>
      </c>
      <c r="G186" s="11"/>
      <c r="H186" s="157"/>
      <c r="I186" s="122"/>
    </row>
    <row r="187" spans="1:9" s="56" customFormat="1" ht="17.25" x14ac:dyDescent="0.35">
      <c r="A187" s="164" t="s">
        <v>329</v>
      </c>
      <c r="B187" s="11" t="s">
        <v>330</v>
      </c>
      <c r="C187" s="11" t="s">
        <v>90</v>
      </c>
      <c r="D187" s="11"/>
      <c r="E187" s="11"/>
      <c r="F187" s="11"/>
      <c r="G187" s="11" t="s">
        <v>239</v>
      </c>
      <c r="H187" s="157"/>
      <c r="I187" s="122">
        <v>72538</v>
      </c>
    </row>
    <row r="188" spans="1:9" s="56" customFormat="1" ht="17.25" x14ac:dyDescent="0.35">
      <c r="A188" s="164"/>
      <c r="B188" s="11"/>
      <c r="C188" s="11"/>
      <c r="D188" s="11" t="s">
        <v>69</v>
      </c>
      <c r="E188" s="11">
        <v>2</v>
      </c>
      <c r="F188" s="11">
        <v>300</v>
      </c>
      <c r="G188" s="11"/>
      <c r="H188" s="157"/>
      <c r="I188" s="122"/>
    </row>
    <row r="189" spans="1:9" s="56" customFormat="1" ht="17.25" x14ac:dyDescent="0.35">
      <c r="A189" s="164"/>
      <c r="B189" s="11"/>
      <c r="C189" s="11"/>
      <c r="D189" s="11" t="s">
        <v>69</v>
      </c>
      <c r="E189" s="11">
        <v>2</v>
      </c>
      <c r="F189" s="11">
        <v>10</v>
      </c>
      <c r="G189" s="11"/>
      <c r="H189" s="157"/>
      <c r="I189" s="122"/>
    </row>
    <row r="190" spans="1:9" s="56" customFormat="1" ht="51.75" x14ac:dyDescent="0.35">
      <c r="A190" s="164" t="s">
        <v>426</v>
      </c>
      <c r="B190" s="11" t="s">
        <v>425</v>
      </c>
      <c r="C190" s="11" t="s">
        <v>71</v>
      </c>
      <c r="D190" s="11"/>
      <c r="E190" s="11"/>
      <c r="F190" s="11"/>
      <c r="G190" s="11" t="s">
        <v>239</v>
      </c>
      <c r="H190" s="157" t="s">
        <v>424</v>
      </c>
      <c r="I190" s="122" t="s">
        <v>423</v>
      </c>
    </row>
    <row r="191" spans="1:9" s="56" customFormat="1" ht="17.25" x14ac:dyDescent="0.35">
      <c r="A191" s="241" t="s">
        <v>331</v>
      </c>
      <c r="B191" s="11" t="s">
        <v>332</v>
      </c>
      <c r="C191" s="11" t="s">
        <v>90</v>
      </c>
      <c r="D191" s="11"/>
      <c r="E191" s="11"/>
      <c r="F191" s="11"/>
      <c r="G191" s="11"/>
      <c r="H191" s="157"/>
      <c r="I191" s="105">
        <v>72608</v>
      </c>
    </row>
    <row r="192" spans="1:9" s="56" customFormat="1" ht="17.25" x14ac:dyDescent="0.35">
      <c r="A192" s="241"/>
      <c r="B192" s="11"/>
      <c r="C192" s="11"/>
      <c r="D192" s="11" t="s">
        <v>69</v>
      </c>
      <c r="E192" s="11">
        <v>1</v>
      </c>
      <c r="F192" s="11">
        <v>1</v>
      </c>
      <c r="G192" s="11"/>
      <c r="H192" s="157"/>
      <c r="I192" s="105" t="s">
        <v>333</v>
      </c>
    </row>
    <row r="193" spans="1:9" s="56" customFormat="1" ht="17.25" x14ac:dyDescent="0.35">
      <c r="A193" s="241"/>
      <c r="B193" s="11"/>
      <c r="C193" s="11"/>
      <c r="D193" s="11" t="s">
        <v>69</v>
      </c>
      <c r="E193" s="11">
        <v>2</v>
      </c>
      <c r="F193" s="11">
        <v>900</v>
      </c>
      <c r="G193" s="11"/>
      <c r="H193" s="157"/>
      <c r="I193" s="105" t="s">
        <v>334</v>
      </c>
    </row>
    <row r="194" spans="1:9" s="56" customFormat="1" ht="17.25" x14ac:dyDescent="0.35">
      <c r="A194" s="241"/>
      <c r="B194" s="11"/>
      <c r="C194" s="11"/>
      <c r="D194" s="11" t="s">
        <v>69</v>
      </c>
      <c r="E194" s="11">
        <v>2</v>
      </c>
      <c r="F194" s="11">
        <v>100</v>
      </c>
      <c r="G194" s="11"/>
      <c r="H194" s="157"/>
      <c r="I194" s="105" t="s">
        <v>335</v>
      </c>
    </row>
    <row r="195" spans="1:9" s="56" customFormat="1" ht="17.25" x14ac:dyDescent="0.35">
      <c r="A195" s="164" t="s">
        <v>343</v>
      </c>
      <c r="B195" s="11" t="s">
        <v>342</v>
      </c>
      <c r="C195" s="11" t="s">
        <v>90</v>
      </c>
      <c r="D195" s="11"/>
      <c r="E195" s="11"/>
      <c r="F195" s="11"/>
      <c r="G195" s="11" t="s">
        <v>239</v>
      </c>
      <c r="H195" s="157"/>
      <c r="I195" s="122" t="s">
        <v>344</v>
      </c>
    </row>
    <row r="196" spans="1:9" s="56" customFormat="1" ht="17.25" x14ac:dyDescent="0.35">
      <c r="A196" s="164"/>
      <c r="B196" s="11"/>
      <c r="C196" s="11"/>
      <c r="D196" s="11" t="s">
        <v>69</v>
      </c>
      <c r="E196" s="11">
        <v>1</v>
      </c>
      <c r="F196" s="11">
        <v>0</v>
      </c>
      <c r="G196" s="11"/>
      <c r="H196" s="157"/>
      <c r="I196" s="122"/>
    </row>
    <row r="197" spans="1:9" s="56" customFormat="1" ht="17.25" x14ac:dyDescent="0.35">
      <c r="A197" s="164" t="s">
        <v>345</v>
      </c>
      <c r="B197" s="11" t="s">
        <v>346</v>
      </c>
      <c r="C197" s="11" t="s">
        <v>90</v>
      </c>
      <c r="D197" s="11"/>
      <c r="E197" s="11"/>
      <c r="F197" s="11"/>
      <c r="G197" s="11" t="s">
        <v>239</v>
      </c>
      <c r="H197" s="157"/>
      <c r="I197" s="122">
        <v>72539</v>
      </c>
    </row>
    <row r="198" spans="1:9" s="56" customFormat="1" ht="17.25" x14ac:dyDescent="0.35">
      <c r="A198" s="164"/>
      <c r="B198" s="11"/>
      <c r="C198" s="11"/>
      <c r="D198" s="11" t="s">
        <v>69</v>
      </c>
      <c r="E198" s="11">
        <v>1</v>
      </c>
      <c r="F198" s="11">
        <v>1</v>
      </c>
      <c r="G198" s="11"/>
      <c r="H198" s="157"/>
      <c r="I198" s="122"/>
    </row>
    <row r="199" spans="1:9" s="56" customFormat="1" ht="17.25" x14ac:dyDescent="0.35">
      <c r="A199" s="238" t="s">
        <v>362</v>
      </c>
      <c r="B199" s="108" t="s">
        <v>363</v>
      </c>
      <c r="C199" s="108" t="s">
        <v>90</v>
      </c>
      <c r="D199" s="108"/>
      <c r="E199" s="109"/>
      <c r="F199" s="108"/>
      <c r="G199" s="109" t="s">
        <v>239</v>
      </c>
      <c r="H199" s="239"/>
      <c r="I199" s="103">
        <v>72614</v>
      </c>
    </row>
    <row r="200" spans="1:9" s="56" customFormat="1" ht="17.25" x14ac:dyDescent="0.35">
      <c r="A200" s="238"/>
      <c r="B200" s="108" t="s">
        <v>244</v>
      </c>
      <c r="C200" s="108"/>
      <c r="D200" s="108" t="s">
        <v>69</v>
      </c>
      <c r="E200" s="109">
        <v>1</v>
      </c>
      <c r="F200" s="108" t="s">
        <v>6</v>
      </c>
      <c r="G200" s="109"/>
      <c r="H200" s="239"/>
      <c r="I200" s="103"/>
    </row>
    <row r="201" spans="1:9" s="56" customFormat="1" ht="16.5" customHeight="1" x14ac:dyDescent="0.35">
      <c r="A201" s="238"/>
      <c r="B201" s="108"/>
      <c r="C201" s="108"/>
      <c r="D201" s="108" t="s">
        <v>69</v>
      </c>
      <c r="E201" s="109">
        <v>1</v>
      </c>
      <c r="F201" s="108">
        <v>1</v>
      </c>
      <c r="G201" s="109"/>
      <c r="H201" s="239"/>
      <c r="I201" s="103" t="s">
        <v>364</v>
      </c>
    </row>
    <row r="202" spans="1:9" s="56" customFormat="1" ht="16.5" customHeight="1" x14ac:dyDescent="0.35">
      <c r="A202" s="160" t="s">
        <v>422</v>
      </c>
      <c r="B202" s="11" t="s">
        <v>421</v>
      </c>
      <c r="C202" s="11" t="s">
        <v>90</v>
      </c>
      <c r="D202" s="11"/>
      <c r="E202" s="11"/>
      <c r="F202" s="11"/>
      <c r="G202" s="11"/>
      <c r="H202" s="157"/>
      <c r="I202" s="101">
        <v>65683</v>
      </c>
    </row>
    <row r="203" spans="1:9" s="81" customFormat="1" ht="17.25" x14ac:dyDescent="0.35">
      <c r="A203" s="160"/>
      <c r="B203" s="11"/>
      <c r="C203" s="11"/>
      <c r="D203" s="11" t="s">
        <v>69</v>
      </c>
      <c r="E203" s="11">
        <v>1</v>
      </c>
      <c r="F203" s="242">
        <v>2</v>
      </c>
      <c r="G203" s="11"/>
      <c r="H203" s="157"/>
      <c r="I203" s="101"/>
    </row>
    <row r="204" spans="1:9" s="81" customFormat="1" ht="17.25" x14ac:dyDescent="0.35">
      <c r="A204" s="243" t="s">
        <v>420</v>
      </c>
      <c r="B204" s="11" t="s">
        <v>419</v>
      </c>
      <c r="C204" s="11" t="s">
        <v>71</v>
      </c>
      <c r="D204" s="11"/>
      <c r="E204" s="11"/>
      <c r="F204" s="11"/>
      <c r="G204" s="11" t="s">
        <v>239</v>
      </c>
      <c r="H204" s="157" t="s">
        <v>418</v>
      </c>
      <c r="I204" s="213" t="s">
        <v>417</v>
      </c>
    </row>
    <row r="205" spans="1:9" s="81" customFormat="1" ht="17.25" x14ac:dyDescent="0.35">
      <c r="A205" s="160" t="s">
        <v>386</v>
      </c>
      <c r="B205" s="11" t="s">
        <v>387</v>
      </c>
      <c r="C205" s="11" t="s">
        <v>90</v>
      </c>
      <c r="D205" s="11"/>
      <c r="E205" s="11"/>
      <c r="F205" s="11"/>
      <c r="G205" s="11" t="s">
        <v>239</v>
      </c>
      <c r="H205" s="157"/>
      <c r="I205" s="101">
        <v>67221</v>
      </c>
    </row>
    <row r="206" spans="1:9" s="56" customFormat="1" ht="16.5" customHeight="1" x14ac:dyDescent="0.35">
      <c r="A206" s="160"/>
      <c r="B206" s="11"/>
      <c r="C206" s="11"/>
      <c r="D206" s="11" t="s">
        <v>388</v>
      </c>
      <c r="E206" s="11">
        <v>1</v>
      </c>
      <c r="F206" s="242" t="s">
        <v>389</v>
      </c>
      <c r="G206" s="11"/>
      <c r="H206" s="157"/>
      <c r="I206" s="101"/>
    </row>
    <row r="207" spans="1:9" s="56" customFormat="1" ht="16.5" customHeight="1" x14ac:dyDescent="0.35">
      <c r="A207" s="160" t="s">
        <v>390</v>
      </c>
      <c r="B207" s="11" t="s">
        <v>391</v>
      </c>
      <c r="C207" s="11" t="s">
        <v>90</v>
      </c>
      <c r="D207" s="11"/>
      <c r="E207" s="11"/>
      <c r="F207" s="11"/>
      <c r="G207" s="11" t="s">
        <v>239</v>
      </c>
      <c r="H207" s="157"/>
      <c r="I207" s="101">
        <v>70242</v>
      </c>
    </row>
    <row r="208" spans="1:9" s="56" customFormat="1" ht="16.5" customHeight="1" x14ac:dyDescent="0.35">
      <c r="A208" s="160"/>
      <c r="B208" s="11"/>
      <c r="C208" s="11"/>
      <c r="D208" s="11" t="s">
        <v>69</v>
      </c>
      <c r="E208" s="11">
        <v>1</v>
      </c>
      <c r="F208" s="242">
        <v>0</v>
      </c>
      <c r="G208" s="11"/>
      <c r="H208" s="157"/>
      <c r="I208" s="101"/>
    </row>
    <row r="209" spans="1:11" s="56" customFormat="1" ht="16.5" customHeight="1" x14ac:dyDescent="0.35">
      <c r="A209" s="160" t="s">
        <v>392</v>
      </c>
      <c r="B209" s="11" t="s">
        <v>393</v>
      </c>
      <c r="C209" s="11" t="s">
        <v>90</v>
      </c>
      <c r="D209" s="11"/>
      <c r="E209" s="11"/>
      <c r="F209" s="11"/>
      <c r="G209" s="11" t="s">
        <v>239</v>
      </c>
      <c r="H209" s="157"/>
      <c r="I209" s="101">
        <v>69736</v>
      </c>
    </row>
    <row r="210" spans="1:11" s="56" customFormat="1" ht="19.5" customHeight="1" x14ac:dyDescent="0.35">
      <c r="A210" s="160"/>
      <c r="B210" s="11"/>
      <c r="C210" s="11"/>
      <c r="D210" s="11" t="s">
        <v>69</v>
      </c>
      <c r="E210" s="11">
        <v>1</v>
      </c>
      <c r="F210" s="242">
        <v>1</v>
      </c>
      <c r="G210" s="11"/>
      <c r="H210" s="157"/>
      <c r="I210" s="101"/>
    </row>
    <row r="211" spans="1:11" s="56" customFormat="1" ht="16.5" customHeight="1" x14ac:dyDescent="0.35">
      <c r="A211" s="160" t="s">
        <v>394</v>
      </c>
      <c r="B211" s="11" t="s">
        <v>395</v>
      </c>
      <c r="C211" s="11" t="s">
        <v>90</v>
      </c>
      <c r="D211" s="11"/>
      <c r="E211" s="11"/>
      <c r="F211" s="11"/>
      <c r="G211" s="11" t="s">
        <v>239</v>
      </c>
      <c r="H211" s="157"/>
      <c r="I211" s="101">
        <v>69737</v>
      </c>
    </row>
    <row r="212" spans="1:11" s="56" customFormat="1" ht="16.5" customHeight="1" x14ac:dyDescent="0.35">
      <c r="A212" s="160"/>
      <c r="B212" s="11"/>
      <c r="C212" s="11"/>
      <c r="D212" s="11" t="s">
        <v>396</v>
      </c>
      <c r="E212" s="11">
        <v>1</v>
      </c>
      <c r="F212" s="242" t="s">
        <v>397</v>
      </c>
      <c r="G212" s="11"/>
      <c r="H212" s="157"/>
      <c r="I212" s="101"/>
    </row>
    <row r="213" spans="1:11" s="56" customFormat="1" ht="16.5" customHeight="1" x14ac:dyDescent="0.35">
      <c r="A213" s="159" t="s">
        <v>398</v>
      </c>
      <c r="B213" s="11" t="s">
        <v>399</v>
      </c>
      <c r="C213" s="11" t="s">
        <v>90</v>
      </c>
      <c r="D213" s="11"/>
      <c r="E213" s="11"/>
      <c r="F213" s="11"/>
      <c r="G213" s="11" t="s">
        <v>79</v>
      </c>
      <c r="H213" s="157"/>
      <c r="I213" s="116">
        <v>65785</v>
      </c>
    </row>
    <row r="214" spans="1:11" s="56" customFormat="1" ht="16.5" customHeight="1" x14ac:dyDescent="0.35">
      <c r="A214" s="159"/>
      <c r="B214" s="11"/>
      <c r="C214" s="11"/>
      <c r="D214" s="11" t="s">
        <v>69</v>
      </c>
      <c r="E214" s="11">
        <v>2</v>
      </c>
      <c r="F214" s="11">
        <v>1500</v>
      </c>
      <c r="G214" s="11"/>
      <c r="H214" s="157"/>
      <c r="I214" s="116"/>
    </row>
    <row r="215" spans="1:11" s="56" customFormat="1" ht="16.5" customHeight="1" x14ac:dyDescent="0.35">
      <c r="A215" s="244" t="s">
        <v>521</v>
      </c>
      <c r="B215" s="11" t="s">
        <v>522</v>
      </c>
      <c r="C215" s="79" t="s">
        <v>71</v>
      </c>
      <c r="D215" s="79"/>
      <c r="E215" s="11"/>
      <c r="F215" s="79"/>
      <c r="G215" s="11" t="s">
        <v>239</v>
      </c>
      <c r="H215" s="157" t="s">
        <v>523</v>
      </c>
      <c r="I215" s="214"/>
    </row>
    <row r="216" spans="1:11" s="56" customFormat="1" ht="16.5" customHeight="1" x14ac:dyDescent="0.35">
      <c r="A216" s="159" t="s">
        <v>379</v>
      </c>
      <c r="B216" s="11" t="s">
        <v>380</v>
      </c>
      <c r="C216" s="11" t="s">
        <v>71</v>
      </c>
      <c r="D216" s="11"/>
      <c r="E216" s="11"/>
      <c r="F216" s="11"/>
      <c r="G216" s="11" t="s">
        <v>239</v>
      </c>
      <c r="H216" s="157" t="s">
        <v>381</v>
      </c>
      <c r="I216" s="116" t="s">
        <v>385</v>
      </c>
    </row>
    <row r="217" spans="1:11" s="56" customFormat="1" ht="16.5" customHeight="1" x14ac:dyDescent="0.35">
      <c r="A217" s="159" t="s">
        <v>382</v>
      </c>
      <c r="B217" s="11" t="s">
        <v>383</v>
      </c>
      <c r="C217" s="11" t="s">
        <v>71</v>
      </c>
      <c r="D217" s="11"/>
      <c r="E217" s="11"/>
      <c r="F217" s="11"/>
      <c r="G217" s="11" t="s">
        <v>239</v>
      </c>
      <c r="H217" s="157" t="s">
        <v>384</v>
      </c>
      <c r="I217" s="116" t="s">
        <v>385</v>
      </c>
    </row>
    <row r="218" spans="1:11" s="56" customFormat="1" ht="16.5" customHeight="1" x14ac:dyDescent="0.35">
      <c r="A218" s="164" t="s">
        <v>376</v>
      </c>
      <c r="B218" s="11" t="s">
        <v>377</v>
      </c>
      <c r="C218" s="11" t="s">
        <v>71</v>
      </c>
      <c r="D218" s="11"/>
      <c r="E218" s="11"/>
      <c r="F218" s="11"/>
      <c r="G218" s="11" t="s">
        <v>239</v>
      </c>
      <c r="H218" s="157" t="s">
        <v>378</v>
      </c>
      <c r="I218" s="122">
        <v>67211</v>
      </c>
    </row>
    <row r="219" spans="1:11" s="56" customFormat="1" ht="16.5" customHeight="1" x14ac:dyDescent="0.35">
      <c r="A219" s="159" t="s">
        <v>416</v>
      </c>
      <c r="B219" s="11" t="s">
        <v>415</v>
      </c>
      <c r="C219" s="11" t="s">
        <v>90</v>
      </c>
      <c r="D219" s="11"/>
      <c r="E219" s="11"/>
      <c r="F219" s="11"/>
      <c r="G219" s="11" t="s">
        <v>239</v>
      </c>
      <c r="H219" s="157"/>
      <c r="I219" s="100">
        <v>67217</v>
      </c>
    </row>
    <row r="220" spans="1:11" s="56" customFormat="1" ht="16.5" customHeight="1" x14ac:dyDescent="0.35">
      <c r="A220" s="159"/>
      <c r="B220" s="11"/>
      <c r="C220" s="11"/>
      <c r="D220" s="11" t="s">
        <v>69</v>
      </c>
      <c r="E220" s="11">
        <v>1</v>
      </c>
      <c r="F220" s="80">
        <v>0</v>
      </c>
      <c r="G220" s="11"/>
      <c r="H220" s="157"/>
      <c r="I220" s="100" t="s">
        <v>414</v>
      </c>
    </row>
    <row r="221" spans="1:11" s="56" customFormat="1" ht="4.5" customHeight="1" x14ac:dyDescent="0.35">
      <c r="A221" s="160"/>
      <c r="B221" s="11"/>
      <c r="C221" s="11"/>
      <c r="D221" s="11" t="s">
        <v>69</v>
      </c>
      <c r="E221" s="11">
        <v>2</v>
      </c>
      <c r="F221" s="80" t="s">
        <v>121</v>
      </c>
      <c r="G221" s="11"/>
      <c r="H221" s="157"/>
      <c r="I221" s="100" t="s">
        <v>413</v>
      </c>
    </row>
    <row r="222" spans="1:11" s="145" customFormat="1" ht="16.5" customHeight="1" x14ac:dyDescent="0.35">
      <c r="A222" s="159" t="s">
        <v>407</v>
      </c>
      <c r="B222" s="11" t="s">
        <v>406</v>
      </c>
      <c r="C222" s="11" t="s">
        <v>90</v>
      </c>
      <c r="D222" s="11"/>
      <c r="E222" s="11"/>
      <c r="F222" s="11"/>
      <c r="G222" s="11" t="s">
        <v>239</v>
      </c>
      <c r="H222" s="157"/>
      <c r="I222" s="116">
        <v>65811</v>
      </c>
    </row>
    <row r="223" spans="1:11" s="56" customFormat="1" ht="16.5" customHeight="1" x14ac:dyDescent="0.35">
      <c r="A223" s="159"/>
      <c r="B223" s="11"/>
      <c r="C223" s="11"/>
      <c r="D223" s="11" t="s">
        <v>69</v>
      </c>
      <c r="E223" s="11">
        <v>1</v>
      </c>
      <c r="F223" s="11">
        <v>0</v>
      </c>
      <c r="G223" s="11"/>
      <c r="H223" s="157"/>
      <c r="I223" s="116"/>
    </row>
    <row r="224" spans="1:11" s="141" customFormat="1" ht="17.25" x14ac:dyDescent="0.35">
      <c r="A224" s="161" t="s">
        <v>555</v>
      </c>
      <c r="B224" s="11" t="s">
        <v>556</v>
      </c>
      <c r="C224" s="79" t="s">
        <v>1247</v>
      </c>
      <c r="D224" s="79"/>
      <c r="E224" s="11"/>
      <c r="F224" s="79"/>
      <c r="G224" s="11" t="s">
        <v>239</v>
      </c>
      <c r="H224" s="157" t="s">
        <v>557</v>
      </c>
      <c r="I224" s="152">
        <v>73755</v>
      </c>
      <c r="J224" s="81"/>
      <c r="K224" s="81"/>
    </row>
    <row r="225" spans="1:11" s="141" customFormat="1" ht="17.25" x14ac:dyDescent="0.35">
      <c r="A225" s="161"/>
      <c r="B225" s="11"/>
      <c r="C225" s="79"/>
      <c r="D225" s="79"/>
      <c r="E225" s="11"/>
      <c r="F225" s="79"/>
      <c r="G225" s="11"/>
      <c r="H225" s="157"/>
      <c r="I225" s="152"/>
      <c r="J225" s="81"/>
      <c r="K225" s="81"/>
    </row>
    <row r="226" spans="1:11" s="141" customFormat="1" ht="17.25" x14ac:dyDescent="0.35">
      <c r="A226" s="318" t="s">
        <v>544</v>
      </c>
      <c r="B226" s="321" t="s">
        <v>545</v>
      </c>
      <c r="C226" s="321" t="s">
        <v>90</v>
      </c>
      <c r="D226" s="321"/>
      <c r="E226" s="321"/>
      <c r="F226" s="321"/>
      <c r="G226" s="321" t="s">
        <v>239</v>
      </c>
      <c r="H226" s="322"/>
      <c r="I226" s="317">
        <v>69681</v>
      </c>
      <c r="J226" s="81"/>
      <c r="K226" s="81"/>
    </row>
    <row r="227" spans="1:11" s="141" customFormat="1" ht="17.25" x14ac:dyDescent="0.35">
      <c r="A227" s="318"/>
      <c r="B227" s="321"/>
      <c r="C227" s="321"/>
      <c r="D227" s="321" t="s">
        <v>69</v>
      </c>
      <c r="E227" s="321">
        <v>2</v>
      </c>
      <c r="F227" s="321">
        <v>25</v>
      </c>
      <c r="G227" s="321"/>
      <c r="H227" s="322"/>
      <c r="I227" s="317"/>
      <c r="J227" s="81"/>
      <c r="K227" s="81"/>
    </row>
    <row r="228" spans="1:11" s="141" customFormat="1" ht="17.25" x14ac:dyDescent="0.35">
      <c r="A228" s="318" t="s">
        <v>457</v>
      </c>
      <c r="B228" s="299" t="s">
        <v>458</v>
      </c>
      <c r="C228" s="299" t="s">
        <v>90</v>
      </c>
      <c r="D228" s="299"/>
      <c r="E228" s="299"/>
      <c r="F228" s="299"/>
      <c r="G228" s="299" t="s">
        <v>239</v>
      </c>
      <c r="H228" s="300"/>
      <c r="I228" s="317">
        <v>73616</v>
      </c>
      <c r="J228" s="81"/>
      <c r="K228" s="81"/>
    </row>
    <row r="229" spans="1:11" s="141" customFormat="1" ht="17.25" x14ac:dyDescent="0.35">
      <c r="A229" s="318"/>
      <c r="B229" s="299"/>
      <c r="C229" s="299"/>
      <c r="D229" s="299" t="s">
        <v>69</v>
      </c>
      <c r="E229" s="299">
        <v>1</v>
      </c>
      <c r="F229" s="299">
        <v>1</v>
      </c>
      <c r="G229" s="299"/>
      <c r="H229" s="300"/>
      <c r="I229" s="317"/>
      <c r="J229" s="81"/>
      <c r="K229" s="81"/>
    </row>
    <row r="230" spans="1:11" s="56" customFormat="1" ht="19.5" customHeight="1" x14ac:dyDescent="0.35">
      <c r="A230" s="161" t="s">
        <v>566</v>
      </c>
      <c r="B230" s="245" t="s">
        <v>567</v>
      </c>
      <c r="C230" s="245" t="s">
        <v>71</v>
      </c>
      <c r="D230" s="245"/>
      <c r="E230" s="245"/>
      <c r="F230" s="245"/>
      <c r="G230" s="245" t="s">
        <v>239</v>
      </c>
      <c r="H230" s="246" t="s">
        <v>568</v>
      </c>
      <c r="I230" s="133"/>
    </row>
    <row r="231" spans="1:11" s="56" customFormat="1" ht="19.5" customHeight="1" x14ac:dyDescent="0.35">
      <c r="A231" s="318" t="s">
        <v>1150</v>
      </c>
      <c r="B231" s="299" t="s">
        <v>1151</v>
      </c>
      <c r="C231" s="299" t="s">
        <v>71</v>
      </c>
      <c r="D231" s="124"/>
      <c r="E231" s="124"/>
      <c r="F231" s="124"/>
      <c r="G231" s="299" t="s">
        <v>239</v>
      </c>
      <c r="H231" s="300" t="s">
        <v>1160</v>
      </c>
      <c r="I231" s="120" t="s">
        <v>1152</v>
      </c>
    </row>
    <row r="232" spans="1:11" s="56" customFormat="1" ht="19.5" customHeight="1" x14ac:dyDescent="0.35">
      <c r="A232" s="318" t="s">
        <v>1153</v>
      </c>
      <c r="B232" s="299" t="s">
        <v>1154</v>
      </c>
      <c r="C232" s="299" t="s">
        <v>71</v>
      </c>
      <c r="D232" s="124"/>
      <c r="E232" s="124"/>
      <c r="F232" s="124"/>
      <c r="G232" s="299" t="s">
        <v>239</v>
      </c>
      <c r="H232" s="300" t="s">
        <v>1161</v>
      </c>
      <c r="I232" s="120" t="s">
        <v>1152</v>
      </c>
    </row>
    <row r="233" spans="1:11" s="56" customFormat="1" ht="19.5" customHeight="1" x14ac:dyDescent="0.35">
      <c r="A233" s="318" t="s">
        <v>1155</v>
      </c>
      <c r="B233" s="299" t="s">
        <v>1156</v>
      </c>
      <c r="C233" s="299" t="s">
        <v>71</v>
      </c>
      <c r="D233" s="124"/>
      <c r="E233" s="124"/>
      <c r="F233" s="124"/>
      <c r="G233" s="299" t="s">
        <v>239</v>
      </c>
      <c r="H233" s="300" t="s">
        <v>1162</v>
      </c>
      <c r="I233" s="120" t="s">
        <v>1152</v>
      </c>
    </row>
    <row r="234" spans="1:11" s="56" customFormat="1" ht="19.5" customHeight="1" x14ac:dyDescent="0.35">
      <c r="A234" s="318" t="s">
        <v>1157</v>
      </c>
      <c r="B234" s="299" t="s">
        <v>1158</v>
      </c>
      <c r="C234" s="299" t="s">
        <v>71</v>
      </c>
      <c r="D234" s="124"/>
      <c r="E234" s="124"/>
      <c r="F234" s="124"/>
      <c r="G234" s="299" t="s">
        <v>239</v>
      </c>
      <c r="H234" s="300" t="s">
        <v>1163</v>
      </c>
      <c r="I234" s="120" t="s">
        <v>1159</v>
      </c>
    </row>
    <row r="235" spans="1:11" s="56" customFormat="1" ht="19.5" customHeight="1" x14ac:dyDescent="0.35">
      <c r="A235" s="161" t="s">
        <v>500</v>
      </c>
      <c r="B235" s="245" t="s">
        <v>527</v>
      </c>
      <c r="C235" s="245" t="s">
        <v>71</v>
      </c>
      <c r="D235" s="245"/>
      <c r="E235" s="245"/>
      <c r="F235" s="245"/>
      <c r="G235" s="245" t="s">
        <v>239</v>
      </c>
      <c r="H235" s="246" t="s">
        <v>501</v>
      </c>
      <c r="I235" s="133" t="s">
        <v>569</v>
      </c>
    </row>
    <row r="236" spans="1:11" s="56" customFormat="1" ht="19.5" customHeight="1" x14ac:dyDescent="0.35">
      <c r="A236" s="161" t="s">
        <v>502</v>
      </c>
      <c r="B236" s="245" t="s">
        <v>528</v>
      </c>
      <c r="C236" s="245" t="s">
        <v>71</v>
      </c>
      <c r="D236" s="245"/>
      <c r="E236" s="245"/>
      <c r="F236" s="245"/>
      <c r="G236" s="245" t="s">
        <v>239</v>
      </c>
      <c r="H236" s="246" t="s">
        <v>503</v>
      </c>
      <c r="I236" s="133" t="s">
        <v>569</v>
      </c>
    </row>
    <row r="237" spans="1:11" s="56" customFormat="1" ht="19.5" customHeight="1" x14ac:dyDescent="0.35">
      <c r="A237" s="161" t="s">
        <v>570</v>
      </c>
      <c r="B237" s="245" t="s">
        <v>571</v>
      </c>
      <c r="C237" s="245" t="s">
        <v>71</v>
      </c>
      <c r="D237" s="245"/>
      <c r="E237" s="245"/>
      <c r="F237" s="245"/>
      <c r="G237" s="245" t="s">
        <v>239</v>
      </c>
      <c r="H237" s="246" t="s">
        <v>572</v>
      </c>
      <c r="I237" s="133" t="s">
        <v>1170</v>
      </c>
    </row>
    <row r="238" spans="1:11" s="56" customFormat="1" ht="19.5" customHeight="1" x14ac:dyDescent="0.35">
      <c r="A238" s="318" t="s">
        <v>1164</v>
      </c>
      <c r="B238" s="299" t="s">
        <v>1166</v>
      </c>
      <c r="C238" s="299" t="s">
        <v>71</v>
      </c>
      <c r="D238" s="299"/>
      <c r="E238" s="299"/>
      <c r="F238" s="299"/>
      <c r="G238" s="299" t="s">
        <v>239</v>
      </c>
      <c r="H238" s="246" t="s">
        <v>1168</v>
      </c>
      <c r="I238" s="117" t="s">
        <v>1171</v>
      </c>
    </row>
    <row r="239" spans="1:11" s="56" customFormat="1" ht="19.5" customHeight="1" x14ac:dyDescent="0.35">
      <c r="A239" s="318" t="s">
        <v>1165</v>
      </c>
      <c r="B239" s="299" t="s">
        <v>1167</v>
      </c>
      <c r="C239" s="299" t="s">
        <v>71</v>
      </c>
      <c r="D239" s="299"/>
      <c r="E239" s="299"/>
      <c r="F239" s="299"/>
      <c r="G239" s="299" t="s">
        <v>239</v>
      </c>
      <c r="H239" s="246" t="s">
        <v>1169</v>
      </c>
      <c r="I239" s="117" t="s">
        <v>573</v>
      </c>
    </row>
    <row r="240" spans="1:11" s="56" customFormat="1" ht="19.5" customHeight="1" x14ac:dyDescent="0.35">
      <c r="A240" s="161" t="s">
        <v>574</v>
      </c>
      <c r="B240" s="245" t="s">
        <v>575</v>
      </c>
      <c r="C240" s="245" t="s">
        <v>71</v>
      </c>
      <c r="D240" s="245"/>
      <c r="E240" s="245"/>
      <c r="F240" s="245"/>
      <c r="G240" s="245" t="s">
        <v>239</v>
      </c>
      <c r="H240" s="246" t="s">
        <v>576</v>
      </c>
      <c r="I240" s="133" t="s">
        <v>569</v>
      </c>
    </row>
    <row r="241" spans="1:11" s="56" customFormat="1" ht="19.5" customHeight="1" x14ac:dyDescent="0.35">
      <c r="A241" s="161" t="s">
        <v>504</v>
      </c>
      <c r="B241" s="245" t="s">
        <v>529</v>
      </c>
      <c r="C241" s="245" t="s">
        <v>71</v>
      </c>
      <c r="D241" s="245"/>
      <c r="E241" s="245"/>
      <c r="F241" s="245"/>
      <c r="G241" s="245" t="s">
        <v>239</v>
      </c>
      <c r="H241" s="246" t="s">
        <v>375</v>
      </c>
      <c r="I241" s="133" t="s">
        <v>573</v>
      </c>
    </row>
    <row r="242" spans="1:11" s="56" customFormat="1" ht="19.5" customHeight="1" x14ac:dyDescent="0.35">
      <c r="A242" s="273" t="s">
        <v>1148</v>
      </c>
      <c r="B242" s="124" t="s">
        <v>1149</v>
      </c>
      <c r="C242" s="299" t="s">
        <v>90</v>
      </c>
      <c r="D242" s="124"/>
      <c r="E242" s="124"/>
      <c r="F242" s="124"/>
      <c r="G242" s="299" t="s">
        <v>239</v>
      </c>
      <c r="H242" s="272"/>
      <c r="I242" s="120">
        <v>70315</v>
      </c>
    </row>
    <row r="243" spans="1:11" s="56" customFormat="1" ht="19.5" customHeight="1" x14ac:dyDescent="0.35">
      <c r="A243" s="273"/>
      <c r="B243" s="124"/>
      <c r="C243" s="124"/>
      <c r="D243" s="299" t="s">
        <v>69</v>
      </c>
      <c r="E243" s="299">
        <v>1</v>
      </c>
      <c r="F243" s="299">
        <v>2</v>
      </c>
      <c r="G243" s="124"/>
      <c r="H243" s="272"/>
      <c r="I243" s="120"/>
    </row>
    <row r="244" spans="1:11" s="56" customFormat="1" ht="19.5" customHeight="1" x14ac:dyDescent="0.35">
      <c r="A244" s="247" t="s">
        <v>412</v>
      </c>
      <c r="B244" s="11" t="s">
        <v>411</v>
      </c>
      <c r="C244" s="79" t="s">
        <v>90</v>
      </c>
      <c r="D244" s="79"/>
      <c r="E244" s="11"/>
      <c r="F244" s="79"/>
      <c r="G244" s="11" t="s">
        <v>239</v>
      </c>
      <c r="H244" s="157"/>
      <c r="I244" s="215">
        <v>72533</v>
      </c>
    </row>
    <row r="245" spans="1:11" s="141" customFormat="1" ht="17.25" x14ac:dyDescent="0.35">
      <c r="A245" s="247"/>
      <c r="B245" s="11"/>
      <c r="C245" s="79"/>
      <c r="D245" s="79" t="s">
        <v>69</v>
      </c>
      <c r="E245" s="11">
        <v>4</v>
      </c>
      <c r="F245" s="79">
        <v>1</v>
      </c>
      <c r="G245" s="11"/>
      <c r="H245" s="157"/>
      <c r="I245" s="215" t="s">
        <v>410</v>
      </c>
      <c r="J245" s="81"/>
      <c r="K245" s="81"/>
    </row>
    <row r="246" spans="1:11" s="141" customFormat="1" ht="17.25" x14ac:dyDescent="0.35">
      <c r="A246" s="159" t="s">
        <v>409</v>
      </c>
      <c r="B246" s="11" t="s">
        <v>408</v>
      </c>
      <c r="C246" s="11" t="s">
        <v>90</v>
      </c>
      <c r="D246" s="11"/>
      <c r="E246" s="11"/>
      <c r="F246" s="11"/>
      <c r="G246" s="11" t="s">
        <v>79</v>
      </c>
      <c r="H246" s="157"/>
      <c r="I246" s="100">
        <v>73561</v>
      </c>
      <c r="J246" s="81"/>
      <c r="K246" s="81"/>
    </row>
    <row r="247" spans="1:11" s="141" customFormat="1" ht="17.25" x14ac:dyDescent="0.35">
      <c r="A247" s="159"/>
      <c r="B247" s="11"/>
      <c r="C247" s="11"/>
      <c r="D247" s="11" t="s">
        <v>69</v>
      </c>
      <c r="E247" s="11">
        <v>1</v>
      </c>
      <c r="F247" s="11">
        <v>1</v>
      </c>
      <c r="G247" s="11"/>
      <c r="H247" s="157"/>
      <c r="I247" s="100"/>
      <c r="J247" s="81"/>
      <c r="K247" s="81"/>
    </row>
    <row r="248" spans="1:11" s="141" customFormat="1" ht="17.25" x14ac:dyDescent="0.35">
      <c r="A248" s="159" t="s">
        <v>511</v>
      </c>
      <c r="B248" s="11" t="s">
        <v>512</v>
      </c>
      <c r="C248" s="11" t="s">
        <v>71</v>
      </c>
      <c r="D248" s="11"/>
      <c r="E248" s="11"/>
      <c r="F248" s="11"/>
      <c r="G248" s="11" t="s">
        <v>239</v>
      </c>
      <c r="H248" s="157" t="s">
        <v>515</v>
      </c>
      <c r="I248" s="100">
        <v>72541</v>
      </c>
      <c r="J248" s="81"/>
      <c r="K248" s="81"/>
    </row>
    <row r="249" spans="1:11" s="141" customFormat="1" ht="17.25" x14ac:dyDescent="0.35">
      <c r="A249" s="159" t="s">
        <v>513</v>
      </c>
      <c r="B249" s="11" t="s">
        <v>514</v>
      </c>
      <c r="C249" s="11" t="s">
        <v>71</v>
      </c>
      <c r="D249" s="11"/>
      <c r="E249" s="11"/>
      <c r="F249" s="11"/>
      <c r="G249" s="11" t="s">
        <v>239</v>
      </c>
      <c r="H249" s="157" t="s">
        <v>516</v>
      </c>
      <c r="I249" s="100">
        <v>71524</v>
      </c>
      <c r="J249" s="81"/>
      <c r="K249" s="81"/>
    </row>
    <row r="250" spans="1:11" s="141" customFormat="1" ht="17.25" x14ac:dyDescent="0.35">
      <c r="A250" s="159" t="s">
        <v>630</v>
      </c>
      <c r="B250" s="11" t="s">
        <v>631</v>
      </c>
      <c r="C250" s="11" t="s">
        <v>90</v>
      </c>
      <c r="D250" s="11"/>
      <c r="E250" s="11"/>
      <c r="F250" s="11"/>
      <c r="G250" s="11" t="s">
        <v>239</v>
      </c>
      <c r="H250" s="157"/>
      <c r="I250" s="100">
        <v>67261</v>
      </c>
      <c r="J250" s="81"/>
      <c r="K250" s="81"/>
    </row>
    <row r="251" spans="1:11" s="141" customFormat="1" ht="17.25" x14ac:dyDescent="0.35">
      <c r="A251" s="159"/>
      <c r="B251" s="11"/>
      <c r="C251" s="11"/>
      <c r="D251" s="11" t="s">
        <v>69</v>
      </c>
      <c r="E251" s="11">
        <v>2</v>
      </c>
      <c r="F251" s="11">
        <v>0</v>
      </c>
      <c r="G251" s="11"/>
      <c r="H251" s="157"/>
      <c r="I251" s="100" t="s">
        <v>632</v>
      </c>
      <c r="J251" s="81"/>
      <c r="K251" s="81"/>
    </row>
    <row r="252" spans="1:11" s="141" customFormat="1" ht="17.25" x14ac:dyDescent="0.35">
      <c r="A252" s="159"/>
      <c r="B252" s="11"/>
      <c r="C252" s="11"/>
      <c r="D252" s="11" t="s">
        <v>69</v>
      </c>
      <c r="E252" s="11">
        <v>2</v>
      </c>
      <c r="F252" s="11">
        <v>0</v>
      </c>
      <c r="G252" s="11"/>
      <c r="H252" s="157"/>
      <c r="I252" s="100" t="s">
        <v>1145</v>
      </c>
      <c r="J252" s="81"/>
      <c r="K252" s="81"/>
    </row>
    <row r="253" spans="1:11" s="141" customFormat="1" ht="17.25" x14ac:dyDescent="0.35">
      <c r="A253" s="159"/>
      <c r="B253" s="11"/>
      <c r="C253" s="11"/>
      <c r="D253" s="11" t="s">
        <v>69</v>
      </c>
      <c r="E253" s="11">
        <v>1</v>
      </c>
      <c r="F253" s="11">
        <v>0</v>
      </c>
      <c r="G253" s="11"/>
      <c r="H253" s="157"/>
      <c r="I253" s="100" t="s">
        <v>1146</v>
      </c>
      <c r="J253" s="81"/>
      <c r="K253" s="81"/>
    </row>
    <row r="254" spans="1:11" s="141" customFormat="1" ht="17.25" x14ac:dyDescent="0.35">
      <c r="A254" s="159"/>
      <c r="B254" s="11"/>
      <c r="C254" s="11"/>
      <c r="D254" s="11" t="s">
        <v>69</v>
      </c>
      <c r="E254" s="11">
        <v>1</v>
      </c>
      <c r="F254" s="11">
        <v>1</v>
      </c>
      <c r="G254" s="11"/>
      <c r="H254" s="157"/>
      <c r="I254" s="100" t="s">
        <v>635</v>
      </c>
      <c r="J254" s="81"/>
      <c r="K254" s="81"/>
    </row>
    <row r="255" spans="1:11" s="141" customFormat="1" ht="17.25" x14ac:dyDescent="0.35">
      <c r="A255" s="159"/>
      <c r="B255" s="11"/>
      <c r="C255" s="11"/>
      <c r="D255" s="11" t="s">
        <v>69</v>
      </c>
      <c r="E255" s="11">
        <v>2</v>
      </c>
      <c r="F255" s="11">
        <v>0</v>
      </c>
      <c r="G255" s="11"/>
      <c r="H255" s="157"/>
      <c r="I255" s="100" t="s">
        <v>636</v>
      </c>
      <c r="J255" s="81"/>
      <c r="K255" s="81"/>
    </row>
    <row r="256" spans="1:11" s="141" customFormat="1" ht="17.25" x14ac:dyDescent="0.35">
      <c r="A256" s="159"/>
      <c r="B256" s="11"/>
      <c r="C256" s="11"/>
      <c r="D256" s="11" t="s">
        <v>69</v>
      </c>
      <c r="E256" s="11">
        <v>1</v>
      </c>
      <c r="F256" s="11">
        <v>0</v>
      </c>
      <c r="G256" s="11"/>
      <c r="H256" s="157"/>
      <c r="I256" s="100" t="s">
        <v>638</v>
      </c>
      <c r="J256" s="81"/>
      <c r="K256" s="81"/>
    </row>
    <row r="257" spans="1:11" s="141" customFormat="1" ht="17.25" x14ac:dyDescent="0.35">
      <c r="A257" s="159"/>
      <c r="B257" s="11"/>
      <c r="C257" s="11"/>
      <c r="D257" s="11" t="s">
        <v>69</v>
      </c>
      <c r="E257" s="11">
        <v>4</v>
      </c>
      <c r="F257" s="11">
        <v>0</v>
      </c>
      <c r="G257" s="11"/>
      <c r="H257" s="157"/>
      <c r="I257" s="100" t="s">
        <v>637</v>
      </c>
      <c r="J257" s="81"/>
      <c r="K257" s="81"/>
    </row>
    <row r="258" spans="1:11" s="141" customFormat="1" ht="17.25" x14ac:dyDescent="0.35">
      <c r="A258" s="159"/>
      <c r="B258" s="11"/>
      <c r="C258" s="11"/>
      <c r="D258" s="11" t="s">
        <v>69</v>
      </c>
      <c r="E258" s="11">
        <v>1</v>
      </c>
      <c r="F258" s="11">
        <v>4</v>
      </c>
      <c r="G258" s="11"/>
      <c r="H258" s="157"/>
      <c r="I258" s="100" t="s">
        <v>639</v>
      </c>
      <c r="J258" s="81"/>
      <c r="K258" s="81"/>
    </row>
    <row r="259" spans="1:11" s="141" customFormat="1" ht="17.25" x14ac:dyDescent="0.35">
      <c r="A259" s="159"/>
      <c r="B259" s="11"/>
      <c r="C259" s="11"/>
      <c r="D259" s="11"/>
      <c r="E259" s="11"/>
      <c r="F259" s="11"/>
      <c r="G259" s="11"/>
      <c r="H259" s="157"/>
      <c r="I259" s="100"/>
      <c r="J259" s="81"/>
      <c r="K259" s="81"/>
    </row>
    <row r="260" spans="1:11" s="26" customFormat="1" ht="17.25" x14ac:dyDescent="0.35">
      <c r="A260" s="318" t="s">
        <v>519</v>
      </c>
      <c r="B260" s="299" t="s">
        <v>520</v>
      </c>
      <c r="C260" s="299" t="s">
        <v>71</v>
      </c>
      <c r="D260" s="299"/>
      <c r="E260" s="299"/>
      <c r="F260" s="299"/>
      <c r="G260" s="299" t="s">
        <v>239</v>
      </c>
      <c r="H260" s="300" t="s">
        <v>1234</v>
      </c>
      <c r="I260" s="117">
        <v>73596</v>
      </c>
    </row>
    <row r="261" spans="1:11" s="56" customFormat="1" ht="17.25" x14ac:dyDescent="0.35">
      <c r="A261" s="282" t="s">
        <v>551</v>
      </c>
      <c r="B261" s="124" t="s">
        <v>552</v>
      </c>
      <c r="C261" s="124" t="s">
        <v>71</v>
      </c>
      <c r="D261" s="124"/>
      <c r="E261" s="124"/>
      <c r="F261" s="124"/>
      <c r="G261" s="124" t="s">
        <v>239</v>
      </c>
      <c r="H261" s="272" t="s">
        <v>553</v>
      </c>
      <c r="I261" s="117" t="s">
        <v>554</v>
      </c>
    </row>
    <row r="262" spans="1:11" s="26" customFormat="1" ht="15.75" thickBot="1" x14ac:dyDescent="0.35">
      <c r="A262" s="81"/>
      <c r="B262" s="81"/>
      <c r="C262" s="81"/>
      <c r="D262" s="81"/>
      <c r="E262" s="81"/>
      <c r="F262" s="81"/>
      <c r="G262" s="81"/>
      <c r="H262" s="81"/>
      <c r="I262" s="81"/>
    </row>
    <row r="263" spans="1:11" s="26" customFormat="1" ht="20.25" thickBot="1" x14ac:dyDescent="0.45">
      <c r="A263" s="518" t="s">
        <v>95</v>
      </c>
      <c r="B263" s="519"/>
      <c r="C263" s="519"/>
      <c r="D263" s="519"/>
      <c r="E263" s="519"/>
      <c r="F263" s="519"/>
      <c r="G263" s="519"/>
      <c r="H263" s="520"/>
      <c r="I263" s="147"/>
    </row>
    <row r="264" spans="1:11" s="26" customFormat="1" ht="18" thickBot="1" x14ac:dyDescent="0.4">
      <c r="A264" s="210" t="s">
        <v>112</v>
      </c>
      <c r="B264" s="210"/>
      <c r="C264" s="211" t="s">
        <v>67</v>
      </c>
      <c r="D264" s="210" t="s">
        <v>113</v>
      </c>
      <c r="E264" s="210" t="s">
        <v>114</v>
      </c>
      <c r="F264" s="211" t="s">
        <v>115</v>
      </c>
      <c r="G264" s="210" t="s">
        <v>74</v>
      </c>
      <c r="H264" s="212"/>
      <c r="I264" s="147"/>
    </row>
    <row r="265" spans="1:11" s="26" customFormat="1" ht="17.25" x14ac:dyDescent="0.35">
      <c r="A265" s="234" t="s">
        <v>111</v>
      </c>
      <c r="B265" s="234"/>
      <c r="C265" s="208" t="s">
        <v>96</v>
      </c>
      <c r="D265" s="209"/>
      <c r="E265" s="209"/>
      <c r="F265" s="372"/>
      <c r="G265" s="209" t="s">
        <v>46</v>
      </c>
      <c r="H265" s="235"/>
      <c r="I265" s="147"/>
    </row>
    <row r="266" spans="1:11" s="26" customFormat="1" ht="17.25" x14ac:dyDescent="0.35">
      <c r="A266" s="206" t="s">
        <v>97</v>
      </c>
      <c r="B266" s="206"/>
      <c r="C266" s="204"/>
      <c r="D266" s="205" t="s">
        <v>69</v>
      </c>
      <c r="E266" s="205">
        <v>1</v>
      </c>
      <c r="F266" s="288">
        <v>0</v>
      </c>
      <c r="G266" s="205"/>
      <c r="H266" s="207"/>
      <c r="I266" s="147"/>
    </row>
    <row r="267" spans="1:11" s="26" customFormat="1" ht="17.25" x14ac:dyDescent="0.35">
      <c r="A267" s="73" t="s">
        <v>98</v>
      </c>
      <c r="B267" s="73"/>
      <c r="C267" s="20"/>
      <c r="D267" s="19" t="s">
        <v>69</v>
      </c>
      <c r="E267" s="19">
        <v>2</v>
      </c>
      <c r="F267" s="289">
        <v>2</v>
      </c>
      <c r="G267" s="19"/>
      <c r="H267" s="207"/>
      <c r="I267" s="31"/>
    </row>
    <row r="268" spans="1:11" ht="17.25" x14ac:dyDescent="0.35">
      <c r="A268" s="73" t="s">
        <v>99</v>
      </c>
      <c r="B268" s="73"/>
      <c r="C268" s="20"/>
      <c r="D268" s="19" t="s">
        <v>69</v>
      </c>
      <c r="E268" s="19">
        <v>2</v>
      </c>
      <c r="F268" s="289" t="s">
        <v>116</v>
      </c>
      <c r="G268" s="19"/>
      <c r="H268" s="72"/>
    </row>
    <row r="269" spans="1:11" ht="17.25" x14ac:dyDescent="0.35">
      <c r="A269" s="73" t="s">
        <v>100</v>
      </c>
      <c r="B269" s="73"/>
      <c r="C269" s="20"/>
      <c r="D269" s="19" t="s">
        <v>69</v>
      </c>
      <c r="E269" s="19">
        <v>1</v>
      </c>
      <c r="F269" s="289" t="s">
        <v>4</v>
      </c>
      <c r="G269" s="19"/>
      <c r="H269" s="72"/>
    </row>
    <row r="270" spans="1:11" ht="17.25" x14ac:dyDescent="0.35">
      <c r="A270" s="73" t="s">
        <v>101</v>
      </c>
      <c r="B270" s="73"/>
      <c r="C270" s="20"/>
      <c r="D270" s="19" t="s">
        <v>69</v>
      </c>
      <c r="E270" s="19">
        <v>2</v>
      </c>
      <c r="F270" s="289">
        <v>4</v>
      </c>
      <c r="G270" s="19"/>
      <c r="H270" s="72"/>
    </row>
    <row r="271" spans="1:11" ht="17.25" x14ac:dyDescent="0.35">
      <c r="A271" s="77" t="s">
        <v>102</v>
      </c>
      <c r="B271" s="77"/>
      <c r="C271" s="21"/>
      <c r="D271" s="14" t="s">
        <v>69</v>
      </c>
      <c r="E271" s="14">
        <v>4</v>
      </c>
      <c r="F271" s="290" t="s">
        <v>1627</v>
      </c>
      <c r="G271" s="14"/>
      <c r="H271" s="76"/>
      <c r="I271" s="15"/>
    </row>
    <row r="272" spans="1:11" ht="17.25" x14ac:dyDescent="0.35">
      <c r="A272" s="73" t="s">
        <v>103</v>
      </c>
      <c r="B272" s="73"/>
      <c r="C272" s="20"/>
      <c r="D272" s="19" t="s">
        <v>69</v>
      </c>
      <c r="E272" s="19">
        <v>1</v>
      </c>
      <c r="F272" s="289" t="s">
        <v>5</v>
      </c>
      <c r="G272" s="19"/>
      <c r="H272" s="72"/>
    </row>
    <row r="273" spans="1:8" ht="17.25" x14ac:dyDescent="0.35">
      <c r="A273" s="73" t="s">
        <v>104</v>
      </c>
      <c r="B273" s="73"/>
      <c r="C273" s="20"/>
      <c r="D273" s="19" t="s">
        <v>69</v>
      </c>
      <c r="E273" s="19">
        <v>2</v>
      </c>
      <c r="F273" s="289">
        <f>LEN(F274)</f>
        <v>11</v>
      </c>
      <c r="G273" s="19"/>
      <c r="H273" s="72"/>
    </row>
    <row r="274" spans="1:8" ht="17.25" x14ac:dyDescent="0.35">
      <c r="A274" s="73" t="s">
        <v>105</v>
      </c>
      <c r="B274" s="73"/>
      <c r="C274" s="20"/>
      <c r="D274" s="19" t="s">
        <v>70</v>
      </c>
      <c r="E274" s="19">
        <f>F273</f>
        <v>11</v>
      </c>
      <c r="F274" s="75" t="s">
        <v>537</v>
      </c>
      <c r="G274" s="19"/>
      <c r="H274" s="72" t="s">
        <v>127</v>
      </c>
    </row>
    <row r="275" spans="1:8" ht="17.25" x14ac:dyDescent="0.35">
      <c r="A275" s="73" t="s">
        <v>106</v>
      </c>
      <c r="B275" s="73"/>
      <c r="C275" s="20"/>
      <c r="D275" s="19" t="s">
        <v>69</v>
      </c>
      <c r="E275" s="19">
        <v>1</v>
      </c>
      <c r="F275" s="289" t="s">
        <v>117</v>
      </c>
      <c r="G275" s="19"/>
      <c r="H275" s="72"/>
    </row>
    <row r="276" spans="1:8" ht="17.25" x14ac:dyDescent="0.35">
      <c r="A276" s="90" t="s">
        <v>107</v>
      </c>
      <c r="B276" s="90"/>
      <c r="C276" s="91"/>
      <c r="D276" s="92" t="s">
        <v>69</v>
      </c>
      <c r="E276" s="92">
        <v>2</v>
      </c>
      <c r="F276" s="291">
        <f>SUM(E277:E278)+F278*E279</f>
        <v>18</v>
      </c>
      <c r="G276" s="92"/>
      <c r="H276" s="93"/>
    </row>
    <row r="277" spans="1:8" ht="17.25" x14ac:dyDescent="0.35">
      <c r="A277" s="73" t="s">
        <v>108</v>
      </c>
      <c r="B277" s="73"/>
      <c r="C277" s="20"/>
      <c r="D277" s="19" t="s">
        <v>69</v>
      </c>
      <c r="E277" s="19">
        <v>1</v>
      </c>
      <c r="F277" s="289">
        <v>0</v>
      </c>
      <c r="G277" s="19"/>
      <c r="H277" s="72"/>
    </row>
    <row r="278" spans="1:8" ht="17.25" x14ac:dyDescent="0.35">
      <c r="A278" s="73" t="s">
        <v>109</v>
      </c>
      <c r="B278" s="73"/>
      <c r="C278" s="20"/>
      <c r="D278" s="19" t="s">
        <v>69</v>
      </c>
      <c r="E278" s="19">
        <v>1</v>
      </c>
      <c r="F278" s="292">
        <f>LEN(F279)-LEN(SUBSTITUTE(F279,",","")) + 1</f>
        <v>4</v>
      </c>
      <c r="G278" s="19"/>
      <c r="H278" s="72"/>
    </row>
    <row r="279" spans="1:8" ht="17.25" x14ac:dyDescent="0.35">
      <c r="A279" s="94" t="s">
        <v>110</v>
      </c>
      <c r="B279" s="94"/>
      <c r="C279" s="95"/>
      <c r="D279" s="96" t="s">
        <v>77</v>
      </c>
      <c r="E279" s="96">
        <v>4</v>
      </c>
      <c r="F279" s="75" t="s">
        <v>1176</v>
      </c>
      <c r="G279" s="96"/>
      <c r="H279" s="97"/>
    </row>
    <row r="280" spans="1:8" ht="17.25" x14ac:dyDescent="0.35">
      <c r="A280" s="74" t="s">
        <v>405</v>
      </c>
      <c r="B280" s="73"/>
      <c r="C280" s="20"/>
      <c r="D280" s="19" t="s">
        <v>69</v>
      </c>
      <c r="E280" s="19">
        <v>1</v>
      </c>
      <c r="F280" s="289" t="s">
        <v>404</v>
      </c>
      <c r="G280" s="19"/>
      <c r="H280" s="72"/>
    </row>
    <row r="281" spans="1:8" ht="17.25" x14ac:dyDescent="0.35">
      <c r="A281" s="74" t="s">
        <v>403</v>
      </c>
      <c r="B281" s="73"/>
      <c r="C281" s="20"/>
      <c r="D281" s="19" t="s">
        <v>69</v>
      </c>
      <c r="E281" s="19">
        <v>2</v>
      </c>
      <c r="F281" s="289">
        <v>4</v>
      </c>
      <c r="G281" s="19"/>
      <c r="H281" s="72"/>
    </row>
    <row r="282" spans="1:8" ht="17.25" x14ac:dyDescent="0.35">
      <c r="A282" s="74" t="s">
        <v>402</v>
      </c>
      <c r="B282" s="73"/>
      <c r="C282" s="20"/>
      <c r="D282" s="14" t="s">
        <v>69</v>
      </c>
      <c r="E282" s="14">
        <v>4</v>
      </c>
      <c r="F282" s="293" t="str">
        <f>$F$271</f>
        <v>0x05011336</v>
      </c>
      <c r="G282" s="19"/>
      <c r="H282" s="72"/>
    </row>
    <row r="283" spans="1:8" ht="17.25" x14ac:dyDescent="0.35">
      <c r="A283" s="49" t="s">
        <v>558</v>
      </c>
      <c r="B283" s="49"/>
      <c r="C283" s="20"/>
      <c r="D283" s="19" t="s">
        <v>69</v>
      </c>
      <c r="E283" s="19">
        <v>1</v>
      </c>
      <c r="F283" s="289" t="s">
        <v>559</v>
      </c>
      <c r="G283" s="19"/>
      <c r="H283" s="50"/>
    </row>
    <row r="284" spans="1:8" ht="17.25" x14ac:dyDescent="0.35">
      <c r="A284" s="98" t="s">
        <v>560</v>
      </c>
      <c r="B284" s="98"/>
      <c r="C284" s="95"/>
      <c r="D284" s="96" t="s">
        <v>69</v>
      </c>
      <c r="E284" s="96">
        <v>2</v>
      </c>
      <c r="F284" s="75">
        <f>2+F286*E287*2</f>
        <v>30</v>
      </c>
      <c r="G284" s="19"/>
      <c r="H284" s="50"/>
    </row>
    <row r="285" spans="1:8" ht="17.25" x14ac:dyDescent="0.35">
      <c r="A285" s="98" t="s">
        <v>561</v>
      </c>
      <c r="B285" s="98"/>
      <c r="C285" s="95"/>
      <c r="D285" s="96" t="s">
        <v>69</v>
      </c>
      <c r="E285" s="96">
        <v>1</v>
      </c>
      <c r="F285" s="75">
        <v>0</v>
      </c>
      <c r="G285" s="19"/>
      <c r="H285" s="50" t="s">
        <v>562</v>
      </c>
    </row>
    <row r="286" spans="1:8" ht="17.25" x14ac:dyDescent="0.35">
      <c r="A286" s="98" t="s">
        <v>563</v>
      </c>
      <c r="B286" s="98"/>
      <c r="C286" s="95"/>
      <c r="D286" s="96" t="s">
        <v>69</v>
      </c>
      <c r="E286" s="96">
        <v>1</v>
      </c>
      <c r="F286" s="75">
        <f>SUM(LEN(F287)-LEN(SUBSTITUTE(F287,"-","")))</f>
        <v>7</v>
      </c>
      <c r="G286" s="19"/>
      <c r="H286" s="50" t="s">
        <v>564</v>
      </c>
    </row>
    <row r="287" spans="1:8" ht="27.75" x14ac:dyDescent="0.35">
      <c r="A287" s="98" t="s">
        <v>565</v>
      </c>
      <c r="B287" s="98"/>
      <c r="C287" s="95"/>
      <c r="D287" s="96" t="s">
        <v>77</v>
      </c>
      <c r="E287" s="96">
        <v>2</v>
      </c>
      <c r="F287" s="75" t="s">
        <v>1212</v>
      </c>
      <c r="G287" s="14"/>
      <c r="H287" s="52"/>
    </row>
    <row r="288" spans="1:8" ht="17.25" x14ac:dyDescent="0.35">
      <c r="A288" s="366" t="s">
        <v>1189</v>
      </c>
      <c r="B288" s="366"/>
      <c r="C288" s="367"/>
      <c r="D288" s="368" t="s">
        <v>69</v>
      </c>
      <c r="E288" s="368">
        <v>1</v>
      </c>
      <c r="F288" s="370" t="s">
        <v>1190</v>
      </c>
      <c r="G288" s="368"/>
      <c r="H288" s="369"/>
    </row>
    <row r="289" spans="1:8" ht="17.25" x14ac:dyDescent="0.35">
      <c r="A289" s="366" t="s">
        <v>1191</v>
      </c>
      <c r="B289" s="366"/>
      <c r="C289" s="367"/>
      <c r="D289" s="368" t="s">
        <v>69</v>
      </c>
      <c r="E289" s="368">
        <v>2</v>
      </c>
      <c r="F289" s="370">
        <v>4</v>
      </c>
      <c r="G289" s="368"/>
      <c r="H289" s="369"/>
    </row>
    <row r="290" spans="1:8" ht="138" x14ac:dyDescent="0.35">
      <c r="A290" s="366" t="s">
        <v>1192</v>
      </c>
      <c r="B290" s="366"/>
      <c r="C290" s="367"/>
      <c r="D290" s="368" t="s">
        <v>69</v>
      </c>
      <c r="E290" s="368">
        <v>4</v>
      </c>
      <c r="F290" s="371" t="s">
        <v>1195</v>
      </c>
      <c r="G290" s="368"/>
      <c r="H290" s="369" t="s">
        <v>1194</v>
      </c>
    </row>
  </sheetData>
  <mergeCells count="2">
    <mergeCell ref="A4:H4"/>
    <mergeCell ref="A263:H26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271"/>
  <sheetViews>
    <sheetView topLeftCell="A139" zoomScale="70" zoomScaleNormal="70" workbookViewId="0">
      <selection activeCell="B1" sqref="B1"/>
    </sheetView>
  </sheetViews>
  <sheetFormatPr defaultColWidth="9.140625" defaultRowHeight="12.75" x14ac:dyDescent="0.2"/>
  <cols>
    <col min="1" max="1" width="38.5703125" style="31" customWidth="1"/>
    <col min="2" max="2" width="78.7109375" style="31" bestFit="1" customWidth="1"/>
    <col min="3" max="3" width="13.42578125" style="31" bestFit="1" customWidth="1"/>
    <col min="4" max="4" width="12.85546875" style="31" bestFit="1" customWidth="1"/>
    <col min="5" max="5" width="44.85546875" style="31" bestFit="1" customWidth="1"/>
    <col min="6" max="6" width="39.28515625" style="31" customWidth="1"/>
    <col min="7" max="7" width="15.85546875" style="31" bestFit="1" customWidth="1"/>
    <col min="8" max="8" width="92.85546875" style="31" customWidth="1"/>
    <col min="9" max="9" width="62.7109375" style="31" customWidth="1"/>
    <col min="10" max="10" width="13" style="31" customWidth="1"/>
    <col min="11" max="11" width="72.42578125" style="31" bestFit="1" customWidth="1"/>
    <col min="12" max="12" width="38.42578125" style="31" bestFit="1" customWidth="1"/>
    <col min="13" max="16384" width="9.140625" style="31"/>
  </cols>
  <sheetData>
    <row r="1" spans="1:14" s="26" customFormat="1" x14ac:dyDescent="0.2"/>
    <row r="2" spans="1:14" s="34" customFormat="1" ht="45" customHeight="1" x14ac:dyDescent="0.55000000000000004">
      <c r="A2" s="39" t="s">
        <v>341</v>
      </c>
      <c r="B2" s="39"/>
      <c r="C2" s="39"/>
      <c r="D2" s="39"/>
      <c r="E2" s="39"/>
      <c r="F2" s="39"/>
      <c r="G2" s="39"/>
      <c r="H2" s="39"/>
    </row>
    <row r="3" spans="1:14" s="26" customFormat="1" ht="13.5" thickBot="1" x14ac:dyDescent="0.25">
      <c r="B3" s="13"/>
    </row>
    <row r="4" spans="1:14" s="40" customFormat="1" ht="20.25" thickBot="1" x14ac:dyDescent="0.45">
      <c r="A4" s="515" t="s">
        <v>237</v>
      </c>
      <c r="B4" s="516"/>
      <c r="C4" s="516"/>
      <c r="D4" s="516"/>
      <c r="E4" s="516"/>
      <c r="F4" s="516"/>
      <c r="G4" s="516"/>
      <c r="H4" s="517"/>
    </row>
    <row r="5" spans="1:14" s="26" customFormat="1" ht="20.25" thickBot="1" x14ac:dyDescent="0.45">
      <c r="A5" s="41" t="s">
        <v>9</v>
      </c>
      <c r="B5" s="35" t="s">
        <v>8</v>
      </c>
      <c r="C5" s="36" t="s">
        <v>146</v>
      </c>
      <c r="D5" s="37" t="s">
        <v>147</v>
      </c>
      <c r="E5" s="36" t="s">
        <v>10</v>
      </c>
      <c r="F5" s="36" t="s">
        <v>68</v>
      </c>
      <c r="G5" s="36" t="s">
        <v>148</v>
      </c>
      <c r="H5" s="38" t="s">
        <v>11</v>
      </c>
      <c r="I5" s="33"/>
    </row>
    <row r="6" spans="1:14" s="56" customFormat="1" ht="17.25" x14ac:dyDescent="0.35">
      <c r="A6" s="228" t="s">
        <v>12</v>
      </c>
      <c r="B6" s="179">
        <v>5</v>
      </c>
      <c r="C6" s="179" t="s">
        <v>69</v>
      </c>
      <c r="D6" s="179">
        <v>1</v>
      </c>
      <c r="E6" s="225" t="s">
        <v>14</v>
      </c>
      <c r="F6" s="179">
        <v>2</v>
      </c>
      <c r="G6" s="179"/>
      <c r="H6" s="217" t="s">
        <v>315</v>
      </c>
      <c r="N6" s="139"/>
    </row>
    <row r="7" spans="1:14" s="56" customFormat="1" ht="17.25" x14ac:dyDescent="0.35">
      <c r="A7" s="257" t="s">
        <v>13</v>
      </c>
      <c r="B7" s="136">
        <v>6</v>
      </c>
      <c r="C7" s="136" t="s">
        <v>69</v>
      </c>
      <c r="D7" s="136">
        <v>1</v>
      </c>
      <c r="E7" s="114" t="s">
        <v>15</v>
      </c>
      <c r="F7" s="136">
        <v>6</v>
      </c>
      <c r="G7" s="136" t="s">
        <v>79</v>
      </c>
      <c r="H7" s="255" t="s">
        <v>7</v>
      </c>
      <c r="N7" s="139"/>
    </row>
    <row r="8" spans="1:14" s="56" customFormat="1" ht="17.25" x14ac:dyDescent="0.35">
      <c r="A8" s="257" t="s">
        <v>39</v>
      </c>
      <c r="B8" s="136">
        <v>71</v>
      </c>
      <c r="C8" s="136"/>
      <c r="D8" s="136"/>
      <c r="E8" s="114" t="s">
        <v>40</v>
      </c>
      <c r="F8" s="136"/>
      <c r="G8" s="136" t="s">
        <v>239</v>
      </c>
      <c r="H8" s="255" t="s">
        <v>7</v>
      </c>
      <c r="I8" s="137"/>
    </row>
    <row r="9" spans="1:14" s="56" customFormat="1" ht="69" x14ac:dyDescent="0.35">
      <c r="A9" s="257"/>
      <c r="B9" s="136"/>
      <c r="C9" s="136" t="s">
        <v>70</v>
      </c>
      <c r="D9" s="136">
        <v>13</v>
      </c>
      <c r="E9" s="114" t="s">
        <v>41</v>
      </c>
      <c r="F9" s="136" t="s">
        <v>447</v>
      </c>
      <c r="G9" s="136"/>
      <c r="H9" s="219" t="s">
        <v>312</v>
      </c>
      <c r="I9" s="137"/>
    </row>
    <row r="10" spans="1:14" s="56" customFormat="1" ht="17.25" x14ac:dyDescent="0.35">
      <c r="A10" s="257" t="s">
        <v>149</v>
      </c>
      <c r="B10" s="136">
        <v>400</v>
      </c>
      <c r="C10" s="136" t="s">
        <v>69</v>
      </c>
      <c r="D10" s="136">
        <v>1</v>
      </c>
      <c r="E10" s="114" t="s">
        <v>150</v>
      </c>
      <c r="F10" s="136">
        <v>0</v>
      </c>
      <c r="G10" s="136" t="s">
        <v>239</v>
      </c>
      <c r="H10" s="255" t="s">
        <v>151</v>
      </c>
      <c r="I10" s="137"/>
    </row>
    <row r="11" spans="1:14" s="56" customFormat="1" ht="17.25" x14ac:dyDescent="0.35">
      <c r="A11" s="257" t="s">
        <v>28</v>
      </c>
      <c r="B11" s="136">
        <v>405</v>
      </c>
      <c r="C11" s="136"/>
      <c r="D11" s="136"/>
      <c r="E11" s="114" t="s">
        <v>29</v>
      </c>
      <c r="F11" s="136"/>
      <c r="G11" s="136" t="s">
        <v>79</v>
      </c>
      <c r="H11" s="255"/>
      <c r="I11" s="137"/>
    </row>
    <row r="12" spans="1:14" s="56" customFormat="1" ht="17.25" x14ac:dyDescent="0.35">
      <c r="A12" s="257"/>
      <c r="B12" s="136"/>
      <c r="C12" s="136" t="s">
        <v>69</v>
      </c>
      <c r="D12" s="136">
        <v>2</v>
      </c>
      <c r="E12" s="114" t="s">
        <v>30</v>
      </c>
      <c r="F12" s="136">
        <v>3</v>
      </c>
      <c r="G12" s="136"/>
      <c r="H12" s="255" t="s">
        <v>31</v>
      </c>
      <c r="I12" s="137"/>
    </row>
    <row r="13" spans="1:14" s="56" customFormat="1" ht="17.25" x14ac:dyDescent="0.35">
      <c r="A13" s="257" t="s">
        <v>32</v>
      </c>
      <c r="B13" s="136">
        <v>818</v>
      </c>
      <c r="C13" s="136" t="s">
        <v>69</v>
      </c>
      <c r="D13" s="136">
        <v>1</v>
      </c>
      <c r="E13" s="114" t="s">
        <v>33</v>
      </c>
      <c r="F13" s="136" t="s">
        <v>445</v>
      </c>
      <c r="G13" s="136" t="s">
        <v>79</v>
      </c>
      <c r="H13" s="255"/>
      <c r="I13" s="137"/>
    </row>
    <row r="14" spans="1:14" s="56" customFormat="1" ht="17.25" x14ac:dyDescent="0.35">
      <c r="A14" s="257" t="s">
        <v>81</v>
      </c>
      <c r="B14" s="136">
        <v>880</v>
      </c>
      <c r="C14" s="136" t="s">
        <v>69</v>
      </c>
      <c r="D14" s="136">
        <v>1</v>
      </c>
      <c r="E14" s="114"/>
      <c r="F14" s="136">
        <v>1</v>
      </c>
      <c r="G14" s="136" t="s">
        <v>239</v>
      </c>
      <c r="H14" s="255"/>
      <c r="I14" s="137"/>
    </row>
    <row r="15" spans="1:14" s="56" customFormat="1" ht="17.25" x14ac:dyDescent="0.35">
      <c r="A15" s="257" t="s">
        <v>82</v>
      </c>
      <c r="B15" s="136">
        <v>881</v>
      </c>
      <c r="C15" s="136" t="s">
        <v>69</v>
      </c>
      <c r="D15" s="136">
        <v>1</v>
      </c>
      <c r="E15" s="114"/>
      <c r="F15" s="136">
        <v>1</v>
      </c>
      <c r="G15" s="136" t="s">
        <v>239</v>
      </c>
      <c r="H15" s="255"/>
      <c r="I15" s="137"/>
    </row>
    <row r="16" spans="1:14" s="56" customFormat="1" ht="17.25" x14ac:dyDescent="0.35">
      <c r="A16" s="257" t="s">
        <v>83</v>
      </c>
      <c r="B16" s="136">
        <v>882</v>
      </c>
      <c r="C16" s="136" t="s">
        <v>69</v>
      </c>
      <c r="D16" s="136">
        <v>1</v>
      </c>
      <c r="E16" s="114"/>
      <c r="F16" s="136">
        <v>0</v>
      </c>
      <c r="G16" s="136" t="s">
        <v>239</v>
      </c>
      <c r="H16" s="255"/>
      <c r="I16" s="137"/>
    </row>
    <row r="17" spans="1:9" s="56" customFormat="1" ht="17.25" x14ac:dyDescent="0.35">
      <c r="A17" s="257" t="s">
        <v>365</v>
      </c>
      <c r="B17" s="136">
        <v>906</v>
      </c>
      <c r="C17" s="136"/>
      <c r="D17" s="136"/>
      <c r="E17" s="114" t="s">
        <v>366</v>
      </c>
      <c r="F17" s="136"/>
      <c r="G17" s="136" t="s">
        <v>239</v>
      </c>
      <c r="H17" s="255"/>
      <c r="I17" s="137"/>
    </row>
    <row r="18" spans="1:9" s="56" customFormat="1" ht="17.25" x14ac:dyDescent="0.35">
      <c r="A18" s="257"/>
      <c r="B18" s="136"/>
      <c r="C18" s="136" t="s">
        <v>69</v>
      </c>
      <c r="D18" s="136">
        <v>1</v>
      </c>
      <c r="E18" s="114" t="s">
        <v>367</v>
      </c>
      <c r="F18" s="136">
        <v>9</v>
      </c>
      <c r="G18" s="136"/>
      <c r="H18" s="255"/>
      <c r="I18" s="137"/>
    </row>
    <row r="19" spans="1:9" s="56" customFormat="1" ht="17.25" x14ac:dyDescent="0.35">
      <c r="A19" s="257"/>
      <c r="B19" s="136"/>
      <c r="C19" s="136" t="s">
        <v>70</v>
      </c>
      <c r="D19" s="136">
        <v>127</v>
      </c>
      <c r="E19" s="114" t="s">
        <v>370</v>
      </c>
      <c r="F19" s="136" t="s">
        <v>368</v>
      </c>
      <c r="G19" s="136"/>
      <c r="H19" s="255"/>
      <c r="I19" s="137"/>
    </row>
    <row r="20" spans="1:9" s="56" customFormat="1" ht="17.25" x14ac:dyDescent="0.35">
      <c r="A20" s="257" t="s">
        <v>369</v>
      </c>
      <c r="B20" s="136">
        <v>910</v>
      </c>
      <c r="C20" s="136"/>
      <c r="D20" s="136"/>
      <c r="E20" s="114" t="s">
        <v>371</v>
      </c>
      <c r="F20" s="136"/>
      <c r="G20" s="136" t="s">
        <v>239</v>
      </c>
      <c r="H20" s="255"/>
      <c r="I20" s="137"/>
    </row>
    <row r="21" spans="1:9" s="56" customFormat="1" ht="17.25" x14ac:dyDescent="0.35">
      <c r="A21" s="257"/>
      <c r="B21" s="136"/>
      <c r="C21" s="136" t="s">
        <v>69</v>
      </c>
      <c r="D21" s="136">
        <v>1</v>
      </c>
      <c r="E21" s="114" t="s">
        <v>372</v>
      </c>
      <c r="F21" s="136">
        <f>LEN(F22)</f>
        <v>15</v>
      </c>
      <c r="G21" s="136"/>
      <c r="H21" s="255"/>
      <c r="I21" s="137"/>
    </row>
    <row r="22" spans="1:9" s="56" customFormat="1" ht="17.25" x14ac:dyDescent="0.35">
      <c r="A22" s="257"/>
      <c r="B22" s="136"/>
      <c r="C22" s="136" t="s">
        <v>70</v>
      </c>
      <c r="D22" s="136">
        <v>127</v>
      </c>
      <c r="E22" s="114" t="s">
        <v>373</v>
      </c>
      <c r="F22" s="144" t="s">
        <v>374</v>
      </c>
      <c r="G22" s="136"/>
      <c r="H22" s="255"/>
      <c r="I22" s="137"/>
    </row>
    <row r="23" spans="1:9" s="56" customFormat="1" ht="17.25" x14ac:dyDescent="0.35">
      <c r="A23" s="257" t="s">
        <v>17</v>
      </c>
      <c r="B23" s="136">
        <v>928</v>
      </c>
      <c r="C23" s="136" t="s">
        <v>69</v>
      </c>
      <c r="D23" s="136">
        <v>2</v>
      </c>
      <c r="E23" s="114" t="s">
        <v>18</v>
      </c>
      <c r="F23" s="136">
        <v>0</v>
      </c>
      <c r="G23" s="136" t="s">
        <v>79</v>
      </c>
      <c r="H23" s="255"/>
      <c r="I23" s="137"/>
    </row>
    <row r="24" spans="1:9" s="56" customFormat="1" ht="17.25" x14ac:dyDescent="0.35">
      <c r="A24" s="257" t="s">
        <v>19</v>
      </c>
      <c r="B24" s="136">
        <v>929</v>
      </c>
      <c r="C24" s="136" t="s">
        <v>69</v>
      </c>
      <c r="D24" s="136">
        <v>2</v>
      </c>
      <c r="E24" s="114" t="s">
        <v>20</v>
      </c>
      <c r="F24" s="136" t="s">
        <v>21</v>
      </c>
      <c r="G24" s="136" t="s">
        <v>79</v>
      </c>
      <c r="H24" s="255" t="s">
        <v>22</v>
      </c>
      <c r="I24" s="137"/>
    </row>
    <row r="25" spans="1:9" s="56" customFormat="1" ht="51.75" x14ac:dyDescent="0.35">
      <c r="A25" s="257" t="s">
        <v>34</v>
      </c>
      <c r="B25" s="136">
        <v>1018</v>
      </c>
      <c r="C25" s="136" t="s">
        <v>69</v>
      </c>
      <c r="D25" s="136">
        <v>2</v>
      </c>
      <c r="E25" s="114" t="s">
        <v>35</v>
      </c>
      <c r="F25" s="136" t="s">
        <v>444</v>
      </c>
      <c r="G25" s="136" t="s">
        <v>79</v>
      </c>
      <c r="H25" s="255" t="s">
        <v>152</v>
      </c>
      <c r="I25" s="137"/>
    </row>
    <row r="26" spans="1:9" s="56" customFormat="1" ht="17.25" x14ac:dyDescent="0.35">
      <c r="A26" s="257" t="s">
        <v>25</v>
      </c>
      <c r="B26" s="136">
        <v>1907</v>
      </c>
      <c r="C26" s="136" t="s">
        <v>69</v>
      </c>
      <c r="D26" s="136">
        <v>1</v>
      </c>
      <c r="E26" s="114" t="s">
        <v>26</v>
      </c>
      <c r="F26" s="136">
        <v>1</v>
      </c>
      <c r="G26" s="136" t="s">
        <v>79</v>
      </c>
      <c r="H26" s="255"/>
      <c r="I26" s="137"/>
    </row>
    <row r="27" spans="1:9" s="56" customFormat="1" ht="34.5" x14ac:dyDescent="0.35">
      <c r="A27" s="257" t="s">
        <v>42</v>
      </c>
      <c r="B27" s="136">
        <v>1920</v>
      </c>
      <c r="C27" s="136" t="s">
        <v>69</v>
      </c>
      <c r="D27" s="136">
        <v>4</v>
      </c>
      <c r="E27" s="114" t="s">
        <v>43</v>
      </c>
      <c r="F27" s="136" t="s">
        <v>443</v>
      </c>
      <c r="G27" s="136" t="s">
        <v>239</v>
      </c>
      <c r="H27" s="255" t="s">
        <v>155</v>
      </c>
      <c r="I27" s="137"/>
    </row>
    <row r="28" spans="1:9" s="56" customFormat="1" ht="17.25" x14ac:dyDescent="0.35">
      <c r="A28" s="257" t="s">
        <v>156</v>
      </c>
      <c r="B28" s="136">
        <v>1993</v>
      </c>
      <c r="C28" s="136" t="s">
        <v>69</v>
      </c>
      <c r="D28" s="136">
        <v>1</v>
      </c>
      <c r="E28" s="114" t="s">
        <v>157</v>
      </c>
      <c r="F28" s="136">
        <v>2</v>
      </c>
      <c r="G28" s="136" t="s">
        <v>239</v>
      </c>
      <c r="H28" s="255" t="s">
        <v>158</v>
      </c>
      <c r="I28" s="137"/>
    </row>
    <row r="29" spans="1:9" s="56" customFormat="1" ht="17.25" x14ac:dyDescent="0.35">
      <c r="A29" s="257" t="s">
        <v>159</v>
      </c>
      <c r="B29" s="136">
        <v>1994</v>
      </c>
      <c r="C29" s="136" t="s">
        <v>69</v>
      </c>
      <c r="D29" s="136">
        <v>1</v>
      </c>
      <c r="E29" s="114" t="s">
        <v>160</v>
      </c>
      <c r="F29" s="136">
        <v>0</v>
      </c>
      <c r="G29" s="136" t="s">
        <v>239</v>
      </c>
      <c r="H29" s="255" t="s">
        <v>161</v>
      </c>
      <c r="I29" s="137"/>
    </row>
    <row r="30" spans="1:9" s="56" customFormat="1" ht="17.25" x14ac:dyDescent="0.35">
      <c r="A30" s="257" t="s">
        <v>162</v>
      </c>
      <c r="B30" s="136">
        <v>1995</v>
      </c>
      <c r="C30" s="136" t="s">
        <v>69</v>
      </c>
      <c r="D30" s="136">
        <v>2</v>
      </c>
      <c r="E30" s="114" t="s">
        <v>163</v>
      </c>
      <c r="F30" s="136">
        <v>65001</v>
      </c>
      <c r="G30" s="136" t="s">
        <v>239</v>
      </c>
      <c r="H30" s="255" t="s">
        <v>164</v>
      </c>
      <c r="I30" s="137"/>
    </row>
    <row r="31" spans="1:9" s="56" customFormat="1" ht="17.25" x14ac:dyDescent="0.35">
      <c r="A31" s="257" t="s">
        <v>165</v>
      </c>
      <c r="B31" s="136">
        <v>1997</v>
      </c>
      <c r="C31" s="136" t="s">
        <v>69</v>
      </c>
      <c r="D31" s="136">
        <v>4</v>
      </c>
      <c r="E31" s="114" t="s">
        <v>166</v>
      </c>
      <c r="F31" s="136" t="s">
        <v>84</v>
      </c>
      <c r="G31" s="136" t="s">
        <v>239</v>
      </c>
      <c r="H31" s="255" t="s">
        <v>167</v>
      </c>
      <c r="I31" s="137"/>
    </row>
    <row r="32" spans="1:9" s="56" customFormat="1" ht="17.25" x14ac:dyDescent="0.35">
      <c r="A32" s="257" t="s">
        <v>168</v>
      </c>
      <c r="B32" s="136">
        <v>3520</v>
      </c>
      <c r="C32" s="136" t="s">
        <v>69</v>
      </c>
      <c r="D32" s="136">
        <v>2</v>
      </c>
      <c r="E32" s="114" t="s">
        <v>169</v>
      </c>
      <c r="F32" s="136">
        <v>1</v>
      </c>
      <c r="G32" s="136" t="s">
        <v>239</v>
      </c>
      <c r="H32" s="255" t="s">
        <v>171</v>
      </c>
      <c r="I32" s="137"/>
    </row>
    <row r="33" spans="1:9" s="56" customFormat="1" ht="51.75" x14ac:dyDescent="0.35">
      <c r="A33" s="257" t="s">
        <v>172</v>
      </c>
      <c r="B33" s="136">
        <v>3758</v>
      </c>
      <c r="C33" s="136" t="s">
        <v>69</v>
      </c>
      <c r="D33" s="136">
        <v>1</v>
      </c>
      <c r="E33" s="114" t="s">
        <v>173</v>
      </c>
      <c r="F33" s="136">
        <v>1</v>
      </c>
      <c r="G33" s="136" t="s">
        <v>239</v>
      </c>
      <c r="H33" s="255" t="s">
        <v>174</v>
      </c>
      <c r="I33" s="137"/>
    </row>
    <row r="34" spans="1:9" s="56" customFormat="1" ht="17.25" x14ac:dyDescent="0.35">
      <c r="A34" s="257" t="s">
        <v>175</v>
      </c>
      <c r="B34" s="136">
        <v>4102</v>
      </c>
      <c r="C34" s="136" t="s">
        <v>69</v>
      </c>
      <c r="D34" s="136">
        <v>1</v>
      </c>
      <c r="E34" s="114" t="s">
        <v>176</v>
      </c>
      <c r="F34" s="136">
        <v>1</v>
      </c>
      <c r="G34" s="136" t="s">
        <v>79</v>
      </c>
      <c r="H34" s="255" t="s">
        <v>177</v>
      </c>
      <c r="I34" s="137"/>
    </row>
    <row r="35" spans="1:9" s="56" customFormat="1" ht="103.5" x14ac:dyDescent="0.35">
      <c r="A35" s="257" t="s">
        <v>178</v>
      </c>
      <c r="B35" s="136">
        <v>4228</v>
      </c>
      <c r="C35" s="136" t="s">
        <v>69</v>
      </c>
      <c r="D35" s="136">
        <v>1</v>
      </c>
      <c r="E35" s="114" t="s">
        <v>179</v>
      </c>
      <c r="F35" s="136">
        <v>1</v>
      </c>
      <c r="G35" s="136" t="s">
        <v>239</v>
      </c>
      <c r="H35" s="255" t="s">
        <v>180</v>
      </c>
      <c r="I35" s="137"/>
    </row>
    <row r="36" spans="1:9" s="56" customFormat="1" ht="17.25" x14ac:dyDescent="0.35">
      <c r="A36" s="257" t="s">
        <v>181</v>
      </c>
      <c r="B36" s="136">
        <v>4229</v>
      </c>
      <c r="C36" s="136" t="s">
        <v>69</v>
      </c>
      <c r="D36" s="136">
        <v>1</v>
      </c>
      <c r="E36" s="114" t="s">
        <v>182</v>
      </c>
      <c r="F36" s="136">
        <v>1</v>
      </c>
      <c r="G36" s="136"/>
      <c r="H36" s="255" t="s">
        <v>316</v>
      </c>
      <c r="I36" s="137"/>
    </row>
    <row r="37" spans="1:9" s="56" customFormat="1" ht="17.25" x14ac:dyDescent="0.35">
      <c r="A37" s="257" t="s">
        <v>36</v>
      </c>
      <c r="B37" s="136">
        <v>4366</v>
      </c>
      <c r="C37" s="136"/>
      <c r="D37" s="136"/>
      <c r="E37" s="114" t="s">
        <v>37</v>
      </c>
      <c r="F37" s="136"/>
      <c r="G37" s="136" t="s">
        <v>239</v>
      </c>
      <c r="H37" s="255"/>
      <c r="I37" s="137"/>
    </row>
    <row r="38" spans="1:9" s="56" customFormat="1" ht="17.25" x14ac:dyDescent="0.35">
      <c r="A38" s="257"/>
      <c r="B38" s="136"/>
      <c r="C38" s="136" t="s">
        <v>69</v>
      </c>
      <c r="D38" s="136">
        <v>4</v>
      </c>
      <c r="E38" s="114" t="s">
        <v>38</v>
      </c>
      <c r="F38" s="136">
        <v>6</v>
      </c>
      <c r="G38" s="136"/>
      <c r="H38" s="255" t="s">
        <v>183</v>
      </c>
      <c r="I38" s="137"/>
    </row>
    <row r="39" spans="1:9" s="56" customFormat="1" ht="17.25" x14ac:dyDescent="0.35">
      <c r="A39" s="229" t="s">
        <v>464</v>
      </c>
      <c r="B39" s="136">
        <v>3358</v>
      </c>
      <c r="C39" s="136" t="s">
        <v>69</v>
      </c>
      <c r="D39" s="136">
        <v>1</v>
      </c>
      <c r="E39" s="115" t="s">
        <v>465</v>
      </c>
      <c r="F39" s="136">
        <v>0</v>
      </c>
      <c r="G39" s="136" t="s">
        <v>239</v>
      </c>
      <c r="H39" s="218" t="s">
        <v>469</v>
      </c>
      <c r="I39" s="137"/>
    </row>
    <row r="40" spans="1:9" s="56" customFormat="1" ht="17.25" x14ac:dyDescent="0.35">
      <c r="A40" s="229" t="s">
        <v>466</v>
      </c>
      <c r="B40" s="136">
        <v>6264</v>
      </c>
      <c r="C40" s="136" t="s">
        <v>69</v>
      </c>
      <c r="D40" s="136">
        <v>4</v>
      </c>
      <c r="E40" s="115" t="s">
        <v>467</v>
      </c>
      <c r="F40" s="136">
        <v>1054</v>
      </c>
      <c r="G40" s="136" t="s">
        <v>239</v>
      </c>
      <c r="H40" s="218" t="s">
        <v>468</v>
      </c>
      <c r="I40" s="137"/>
    </row>
    <row r="41" spans="1:9" s="56" customFormat="1" ht="17.25" x14ac:dyDescent="0.35">
      <c r="A41" s="257" t="s">
        <v>184</v>
      </c>
      <c r="B41" s="136">
        <v>4698</v>
      </c>
      <c r="C41" s="136" t="s">
        <v>69</v>
      </c>
      <c r="D41" s="136">
        <v>4</v>
      </c>
      <c r="E41" s="114" t="s">
        <v>185</v>
      </c>
      <c r="F41" s="136" t="s">
        <v>463</v>
      </c>
      <c r="G41" s="136" t="s">
        <v>239</v>
      </c>
      <c r="H41" s="255" t="s">
        <v>187</v>
      </c>
      <c r="I41" s="137"/>
    </row>
    <row r="42" spans="1:9" s="56" customFormat="1" ht="17.25" x14ac:dyDescent="0.35">
      <c r="A42" s="257" t="s">
        <v>188</v>
      </c>
      <c r="B42" s="136">
        <v>4705</v>
      </c>
      <c r="C42" s="136" t="s">
        <v>69</v>
      </c>
      <c r="D42" s="136">
        <v>4</v>
      </c>
      <c r="E42" s="114" t="s">
        <v>189</v>
      </c>
      <c r="F42" s="136">
        <v>8000</v>
      </c>
      <c r="G42" s="136" t="s">
        <v>239</v>
      </c>
      <c r="H42" s="255" t="s">
        <v>190</v>
      </c>
      <c r="I42" s="137"/>
    </row>
    <row r="43" spans="1:9" s="56" customFormat="1" ht="17.25" x14ac:dyDescent="0.35">
      <c r="A43" s="257" t="s">
        <v>191</v>
      </c>
      <c r="B43" s="136">
        <v>4707</v>
      </c>
      <c r="C43" s="136" t="s">
        <v>69</v>
      </c>
      <c r="D43" s="136">
        <v>1</v>
      </c>
      <c r="E43" s="114" t="s">
        <v>192</v>
      </c>
      <c r="F43" s="136">
        <v>1</v>
      </c>
      <c r="G43" s="136" t="s">
        <v>239</v>
      </c>
      <c r="H43" s="255" t="s">
        <v>193</v>
      </c>
      <c r="I43" s="137"/>
    </row>
    <row r="44" spans="1:9" s="56" customFormat="1" ht="17.25" x14ac:dyDescent="0.35">
      <c r="A44" s="257" t="s">
        <v>194</v>
      </c>
      <c r="B44" s="136">
        <v>4927</v>
      </c>
      <c r="C44" s="136" t="s">
        <v>69</v>
      </c>
      <c r="D44" s="136">
        <v>1</v>
      </c>
      <c r="E44" s="114" t="s">
        <v>195</v>
      </c>
      <c r="F44" s="136">
        <v>1</v>
      </c>
      <c r="G44" s="136" t="s">
        <v>239</v>
      </c>
      <c r="H44" s="255" t="s">
        <v>196</v>
      </c>
      <c r="I44" s="137"/>
    </row>
    <row r="45" spans="1:9" s="56" customFormat="1" ht="17.25" x14ac:dyDescent="0.35">
      <c r="A45" s="257" t="s">
        <v>47</v>
      </c>
      <c r="B45" s="136">
        <v>10</v>
      </c>
      <c r="C45" s="136"/>
      <c r="D45" s="136"/>
      <c r="E45" s="114" t="s">
        <v>48</v>
      </c>
      <c r="F45" s="136"/>
      <c r="G45" s="136" t="s">
        <v>94</v>
      </c>
      <c r="H45" s="255" t="s">
        <v>7</v>
      </c>
    </row>
    <row r="46" spans="1:9" s="56" customFormat="1" ht="17.25" x14ac:dyDescent="0.35">
      <c r="A46" s="257"/>
      <c r="B46" s="136"/>
      <c r="C46" s="136" t="s">
        <v>69</v>
      </c>
      <c r="D46" s="136">
        <v>1</v>
      </c>
      <c r="E46" s="114" t="s">
        <v>16</v>
      </c>
      <c r="F46" s="136">
        <v>0</v>
      </c>
      <c r="G46" s="136"/>
      <c r="H46" s="255"/>
    </row>
    <row r="47" spans="1:9" s="56" customFormat="1" ht="17.25" x14ac:dyDescent="0.35">
      <c r="A47" s="257"/>
      <c r="B47" s="136"/>
      <c r="C47" s="136" t="s">
        <v>69</v>
      </c>
      <c r="D47" s="136">
        <v>2</v>
      </c>
      <c r="E47" s="114" t="s">
        <v>49</v>
      </c>
      <c r="F47" s="136">
        <v>4</v>
      </c>
      <c r="G47" s="136"/>
      <c r="H47" s="255" t="s">
        <v>7</v>
      </c>
    </row>
    <row r="48" spans="1:9" s="81" customFormat="1" ht="17.25" x14ac:dyDescent="0.35">
      <c r="A48" s="194" t="s">
        <v>47</v>
      </c>
      <c r="B48" s="136">
        <v>10</v>
      </c>
      <c r="C48" s="136"/>
      <c r="D48" s="138"/>
      <c r="E48" s="111" t="s">
        <v>48</v>
      </c>
      <c r="F48" s="136"/>
      <c r="G48" s="136" t="s">
        <v>238</v>
      </c>
      <c r="H48" s="220" t="s">
        <v>270</v>
      </c>
    </row>
    <row r="49" spans="1:8" s="81" customFormat="1" ht="17.25" x14ac:dyDescent="0.35">
      <c r="A49" s="194"/>
      <c r="B49" s="136" t="s">
        <v>244</v>
      </c>
      <c r="C49" s="136" t="s">
        <v>69</v>
      </c>
      <c r="D49" s="138">
        <v>1</v>
      </c>
      <c r="E49" s="111"/>
      <c r="F49" s="136" t="s">
        <v>6</v>
      </c>
      <c r="G49" s="136"/>
      <c r="H49" s="220"/>
    </row>
    <row r="50" spans="1:8" s="81" customFormat="1" ht="17.25" x14ac:dyDescent="0.35">
      <c r="A50" s="194"/>
      <c r="B50" s="136"/>
      <c r="C50" s="136" t="s">
        <v>69</v>
      </c>
      <c r="D50" s="138">
        <v>1</v>
      </c>
      <c r="E50" s="111" t="s">
        <v>16</v>
      </c>
      <c r="F50" s="136">
        <v>0</v>
      </c>
      <c r="G50" s="136"/>
      <c r="H50" s="220"/>
    </row>
    <row r="51" spans="1:8" s="81" customFormat="1" ht="17.25" x14ac:dyDescent="0.35">
      <c r="A51" s="194"/>
      <c r="B51" s="136"/>
      <c r="C51" s="136" t="s">
        <v>69</v>
      </c>
      <c r="D51" s="138">
        <v>2</v>
      </c>
      <c r="E51" s="111" t="s">
        <v>49</v>
      </c>
      <c r="F51" s="136">
        <v>13</v>
      </c>
      <c r="G51" s="136"/>
      <c r="H51" s="220" t="s">
        <v>7</v>
      </c>
    </row>
    <row r="52" spans="1:8" s="56" customFormat="1" ht="17.25" x14ac:dyDescent="0.35">
      <c r="A52" s="257" t="s">
        <v>197</v>
      </c>
      <c r="B52" s="136">
        <v>441</v>
      </c>
      <c r="C52" s="136"/>
      <c r="D52" s="136"/>
      <c r="E52" s="114" t="s">
        <v>119</v>
      </c>
      <c r="F52" s="136"/>
      <c r="G52" s="136" t="s">
        <v>238</v>
      </c>
      <c r="H52" s="255" t="s">
        <v>198</v>
      </c>
    </row>
    <row r="53" spans="1:8" s="56" customFormat="1" ht="17.25" x14ac:dyDescent="0.35">
      <c r="A53" s="257"/>
      <c r="B53" s="136"/>
      <c r="C53" s="136" t="s">
        <v>69</v>
      </c>
      <c r="D53" s="136">
        <v>1</v>
      </c>
      <c r="E53" s="114"/>
      <c r="F53" s="136">
        <v>0</v>
      </c>
      <c r="G53" s="136"/>
      <c r="H53" s="255"/>
    </row>
    <row r="54" spans="1:8" s="56" customFormat="1" ht="17.25" x14ac:dyDescent="0.35">
      <c r="A54" s="257"/>
      <c r="B54" s="136"/>
      <c r="C54" s="136" t="s">
        <v>69</v>
      </c>
      <c r="D54" s="136">
        <v>2</v>
      </c>
      <c r="E54" s="114"/>
      <c r="F54" s="136" t="s">
        <v>459</v>
      </c>
      <c r="G54" s="136"/>
      <c r="H54" s="255" t="s">
        <v>199</v>
      </c>
    </row>
    <row r="55" spans="1:8" s="56" customFormat="1" ht="17.25" x14ac:dyDescent="0.35">
      <c r="A55" s="196" t="s">
        <v>460</v>
      </c>
      <c r="B55" s="136">
        <v>946</v>
      </c>
      <c r="C55" s="136"/>
      <c r="D55" s="138"/>
      <c r="E55" s="86"/>
      <c r="F55" s="136"/>
      <c r="G55" s="138" t="s">
        <v>238</v>
      </c>
      <c r="H55" s="185"/>
    </row>
    <row r="56" spans="1:8" s="56" customFormat="1" ht="17.25" x14ac:dyDescent="0.35">
      <c r="A56" s="196"/>
      <c r="B56" s="136"/>
      <c r="C56" s="136" t="s">
        <v>69</v>
      </c>
      <c r="D56" s="138">
        <v>1</v>
      </c>
      <c r="E56" s="86" t="s">
        <v>16</v>
      </c>
      <c r="F56" s="136">
        <v>0</v>
      </c>
      <c r="G56" s="138"/>
      <c r="H56" s="185"/>
    </row>
    <row r="57" spans="1:8" s="56" customFormat="1" ht="17.25" x14ac:dyDescent="0.35">
      <c r="A57" s="196"/>
      <c r="B57" s="136"/>
      <c r="C57" s="136" t="s">
        <v>69</v>
      </c>
      <c r="D57" s="138">
        <v>2</v>
      </c>
      <c r="E57" s="86" t="s">
        <v>461</v>
      </c>
      <c r="F57" s="136" t="s">
        <v>462</v>
      </c>
      <c r="G57" s="138"/>
      <c r="H57" s="185" t="s">
        <v>7</v>
      </c>
    </row>
    <row r="58" spans="1:8" s="56" customFormat="1" ht="17.25" x14ac:dyDescent="0.35">
      <c r="A58" s="257" t="s">
        <v>200</v>
      </c>
      <c r="B58" s="136">
        <v>452</v>
      </c>
      <c r="C58" s="136" t="s">
        <v>69</v>
      </c>
      <c r="D58" s="136">
        <v>4</v>
      </c>
      <c r="E58" s="114" t="s">
        <v>201</v>
      </c>
      <c r="F58" s="136">
        <v>0</v>
      </c>
      <c r="G58" s="136" t="s">
        <v>239</v>
      </c>
      <c r="H58" s="255"/>
    </row>
    <row r="59" spans="1:8" s="56" customFormat="1" ht="17.25" x14ac:dyDescent="0.35">
      <c r="A59" s="257" t="s">
        <v>50</v>
      </c>
      <c r="B59" s="136">
        <v>3446</v>
      </c>
      <c r="C59" s="136"/>
      <c r="D59" s="136"/>
      <c r="E59" s="114" t="s">
        <v>51</v>
      </c>
      <c r="F59" s="136"/>
      <c r="G59" s="136"/>
      <c r="H59" s="255"/>
    </row>
    <row r="60" spans="1:8" s="56" customFormat="1" ht="17.25" x14ac:dyDescent="0.35">
      <c r="A60" s="257"/>
      <c r="B60" s="136"/>
      <c r="C60" s="136" t="s">
        <v>69</v>
      </c>
      <c r="D60" s="136">
        <v>2</v>
      </c>
      <c r="E60" s="114" t="s">
        <v>52</v>
      </c>
      <c r="F60" s="136">
        <v>258</v>
      </c>
      <c r="G60" s="136"/>
      <c r="H60" s="255"/>
    </row>
    <row r="61" spans="1:8" s="56" customFormat="1" ht="17.25" x14ac:dyDescent="0.35">
      <c r="A61" s="257"/>
      <c r="B61" s="136"/>
      <c r="C61" s="136" t="s">
        <v>69</v>
      </c>
      <c r="D61" s="136">
        <v>4</v>
      </c>
      <c r="E61" s="114" t="s">
        <v>53</v>
      </c>
      <c r="F61" s="136">
        <v>0</v>
      </c>
      <c r="G61" s="136"/>
      <c r="H61" s="255"/>
    </row>
    <row r="62" spans="1:8" s="56" customFormat="1" ht="17.25" x14ac:dyDescent="0.35">
      <c r="A62" s="257" t="s">
        <v>202</v>
      </c>
      <c r="B62" s="136">
        <v>4627</v>
      </c>
      <c r="C62" s="136" t="s">
        <v>69</v>
      </c>
      <c r="D62" s="136">
        <v>1</v>
      </c>
      <c r="E62" s="114" t="s">
        <v>203</v>
      </c>
      <c r="F62" s="136">
        <v>1</v>
      </c>
      <c r="G62" s="136" t="s">
        <v>239</v>
      </c>
      <c r="H62" s="255"/>
    </row>
    <row r="63" spans="1:8" s="56" customFormat="1" ht="17.25" x14ac:dyDescent="0.35">
      <c r="A63" s="257" t="s">
        <v>204</v>
      </c>
      <c r="B63" s="136">
        <v>4628</v>
      </c>
      <c r="C63" s="136" t="s">
        <v>69</v>
      </c>
      <c r="D63" s="136">
        <v>2</v>
      </c>
      <c r="E63" s="114" t="s">
        <v>205</v>
      </c>
      <c r="F63" s="136">
        <v>24</v>
      </c>
      <c r="G63" s="136" t="s">
        <v>239</v>
      </c>
      <c r="H63" s="255"/>
    </row>
    <row r="64" spans="1:8" s="56" customFormat="1" ht="17.25" x14ac:dyDescent="0.35">
      <c r="A64" s="257" t="s">
        <v>206</v>
      </c>
      <c r="B64" s="136">
        <v>4629</v>
      </c>
      <c r="C64" s="136" t="s">
        <v>69</v>
      </c>
      <c r="D64" s="136">
        <v>1</v>
      </c>
      <c r="E64" s="114" t="s">
        <v>207</v>
      </c>
      <c r="F64" s="136">
        <v>3</v>
      </c>
      <c r="G64" s="136" t="s">
        <v>239</v>
      </c>
      <c r="H64" s="255"/>
    </row>
    <row r="65" spans="1:13" s="56" customFormat="1" ht="17.25" x14ac:dyDescent="0.35">
      <c r="A65" s="257" t="s">
        <v>208</v>
      </c>
      <c r="B65" s="136">
        <v>4630</v>
      </c>
      <c r="C65" s="136" t="s">
        <v>69</v>
      </c>
      <c r="D65" s="136">
        <v>1</v>
      </c>
      <c r="E65" s="114" t="s">
        <v>209</v>
      </c>
      <c r="F65" s="136">
        <v>10</v>
      </c>
      <c r="G65" s="136" t="s">
        <v>239</v>
      </c>
      <c r="H65" s="255"/>
    </row>
    <row r="66" spans="1:13" s="56" customFormat="1" ht="17.25" x14ac:dyDescent="0.35">
      <c r="A66" s="257" t="s">
        <v>210</v>
      </c>
      <c r="B66" s="136">
        <v>4631</v>
      </c>
      <c r="C66" s="136" t="s">
        <v>69</v>
      </c>
      <c r="D66" s="136">
        <v>1</v>
      </c>
      <c r="E66" s="114" t="s">
        <v>211</v>
      </c>
      <c r="F66" s="136">
        <v>0</v>
      </c>
      <c r="G66" s="136" t="s">
        <v>239</v>
      </c>
      <c r="H66" s="255"/>
    </row>
    <row r="67" spans="1:13" s="56" customFormat="1" ht="17.25" x14ac:dyDescent="0.35">
      <c r="A67" s="257" t="s">
        <v>212</v>
      </c>
      <c r="B67" s="136">
        <v>4676</v>
      </c>
      <c r="C67" s="136" t="s">
        <v>69</v>
      </c>
      <c r="D67" s="136">
        <v>4</v>
      </c>
      <c r="E67" s="114" t="s">
        <v>213</v>
      </c>
      <c r="F67" s="136">
        <v>0</v>
      </c>
      <c r="G67" s="136" t="s">
        <v>239</v>
      </c>
      <c r="H67" s="255" t="s">
        <v>214</v>
      </c>
    </row>
    <row r="68" spans="1:13" s="56" customFormat="1" ht="17.25" x14ac:dyDescent="0.35">
      <c r="A68" s="257" t="s">
        <v>215</v>
      </c>
      <c r="B68" s="136">
        <v>4677</v>
      </c>
      <c r="C68" s="136" t="s">
        <v>69</v>
      </c>
      <c r="D68" s="136">
        <v>4</v>
      </c>
      <c r="E68" s="114" t="s">
        <v>216</v>
      </c>
      <c r="F68" s="136">
        <v>0</v>
      </c>
      <c r="G68" s="136" t="s">
        <v>239</v>
      </c>
      <c r="H68" s="255" t="s">
        <v>214</v>
      </c>
    </row>
    <row r="69" spans="1:13" s="56" customFormat="1" ht="17.25" x14ac:dyDescent="0.35">
      <c r="A69" s="257" t="s">
        <v>217</v>
      </c>
      <c r="B69" s="136">
        <v>5047</v>
      </c>
      <c r="C69" s="136"/>
      <c r="D69" s="136"/>
      <c r="E69" s="114" t="s">
        <v>218</v>
      </c>
      <c r="F69" s="136"/>
      <c r="G69" s="136" t="s">
        <v>239</v>
      </c>
      <c r="H69" s="255"/>
    </row>
    <row r="70" spans="1:13" s="56" customFormat="1" ht="17.25" x14ac:dyDescent="0.35">
      <c r="A70" s="257"/>
      <c r="B70" s="136"/>
      <c r="C70" s="136" t="s">
        <v>69</v>
      </c>
      <c r="D70" s="136">
        <v>4</v>
      </c>
      <c r="E70" s="114" t="s">
        <v>219</v>
      </c>
      <c r="F70" s="136">
        <v>2</v>
      </c>
      <c r="G70" s="136"/>
      <c r="H70" s="255"/>
    </row>
    <row r="71" spans="1:13" s="56" customFormat="1" ht="17.25" x14ac:dyDescent="0.35">
      <c r="A71" s="257"/>
      <c r="B71" s="136"/>
      <c r="C71" s="136" t="s">
        <v>69</v>
      </c>
      <c r="D71" s="136">
        <v>4</v>
      </c>
      <c r="E71" s="114" t="s">
        <v>220</v>
      </c>
      <c r="F71" s="136">
        <v>0</v>
      </c>
      <c r="G71" s="136"/>
      <c r="H71" s="255"/>
    </row>
    <row r="72" spans="1:13" s="56" customFormat="1" ht="17.25" x14ac:dyDescent="0.35">
      <c r="A72" s="257" t="s">
        <v>44</v>
      </c>
      <c r="B72" s="136">
        <v>5280</v>
      </c>
      <c r="C72" s="136" t="s">
        <v>69</v>
      </c>
      <c r="D72" s="136">
        <v>8</v>
      </c>
      <c r="E72" s="114" t="s">
        <v>45</v>
      </c>
      <c r="F72" s="136">
        <v>0</v>
      </c>
      <c r="G72" s="136" t="s">
        <v>239</v>
      </c>
      <c r="H72" s="255"/>
    </row>
    <row r="73" spans="1:13" s="56" customFormat="1" ht="17.25" x14ac:dyDescent="0.35">
      <c r="A73" s="257" t="s">
        <v>221</v>
      </c>
      <c r="B73" s="136">
        <v>6429</v>
      </c>
      <c r="C73" s="136"/>
      <c r="D73" s="136"/>
      <c r="E73" s="114" t="s">
        <v>222</v>
      </c>
      <c r="F73" s="136"/>
      <c r="G73" s="136" t="s">
        <v>94</v>
      </c>
      <c r="H73" s="255"/>
    </row>
    <row r="74" spans="1:13" s="56" customFormat="1" ht="17.25" x14ac:dyDescent="0.35">
      <c r="A74" s="257"/>
      <c r="B74" s="136"/>
      <c r="C74" s="136" t="s">
        <v>69</v>
      </c>
      <c r="D74" s="136">
        <v>1</v>
      </c>
      <c r="E74" s="114" t="s">
        <v>223</v>
      </c>
      <c r="F74" s="136">
        <v>0</v>
      </c>
      <c r="G74" s="136"/>
      <c r="H74" s="255"/>
    </row>
    <row r="75" spans="1:13" s="56" customFormat="1" ht="17.25" x14ac:dyDescent="0.35">
      <c r="A75" s="257"/>
      <c r="B75" s="136"/>
      <c r="C75" s="136" t="s">
        <v>69</v>
      </c>
      <c r="D75" s="136">
        <v>1</v>
      </c>
      <c r="E75" s="114" t="s">
        <v>224</v>
      </c>
      <c r="F75" s="136">
        <v>0</v>
      </c>
      <c r="G75" s="136"/>
      <c r="H75" s="255"/>
    </row>
    <row r="76" spans="1:13" s="56" customFormat="1" ht="17.25" x14ac:dyDescent="0.35">
      <c r="A76" s="257"/>
      <c r="B76" s="136"/>
      <c r="C76" s="136" t="s">
        <v>69</v>
      </c>
      <c r="D76" s="136">
        <v>2</v>
      </c>
      <c r="E76" s="114" t="s">
        <v>225</v>
      </c>
      <c r="F76" s="136">
        <v>37</v>
      </c>
      <c r="G76" s="136"/>
      <c r="H76" s="255"/>
      <c r="M76" s="139"/>
    </row>
    <row r="77" spans="1:13" s="56" customFormat="1" ht="17.25" x14ac:dyDescent="0.35">
      <c r="A77" s="257" t="s">
        <v>226</v>
      </c>
      <c r="B77" s="136">
        <v>6273</v>
      </c>
      <c r="C77" s="136" t="s">
        <v>69</v>
      </c>
      <c r="D77" s="136">
        <v>4</v>
      </c>
      <c r="E77" s="114" t="s">
        <v>227</v>
      </c>
      <c r="F77" s="136">
        <v>1</v>
      </c>
      <c r="G77" s="136" t="s">
        <v>239</v>
      </c>
      <c r="H77" s="255"/>
      <c r="M77" s="139"/>
    </row>
    <row r="78" spans="1:13" s="56" customFormat="1" ht="17.25" x14ac:dyDescent="0.35">
      <c r="A78" s="257" t="s">
        <v>228</v>
      </c>
      <c r="B78" s="136">
        <v>6274</v>
      </c>
      <c r="C78" s="136" t="s">
        <v>69</v>
      </c>
      <c r="D78" s="136">
        <v>4</v>
      </c>
      <c r="E78" s="114" t="s">
        <v>229</v>
      </c>
      <c r="F78" s="136">
        <v>1</v>
      </c>
      <c r="G78" s="136" t="s">
        <v>239</v>
      </c>
      <c r="H78" s="255"/>
      <c r="M78" s="139"/>
    </row>
    <row r="79" spans="1:13" s="56" customFormat="1" ht="17.25" x14ac:dyDescent="0.35">
      <c r="A79" s="257" t="s">
        <v>254</v>
      </c>
      <c r="B79" s="136">
        <v>285</v>
      </c>
      <c r="C79" s="136"/>
      <c r="D79" s="136"/>
      <c r="E79" s="114" t="s">
        <v>255</v>
      </c>
      <c r="F79" s="136"/>
      <c r="G79" s="136" t="s">
        <v>94</v>
      </c>
      <c r="H79" s="255"/>
      <c r="M79" s="139"/>
    </row>
    <row r="80" spans="1:13" s="56" customFormat="1" ht="17.25" x14ac:dyDescent="0.35">
      <c r="A80" s="257"/>
      <c r="B80" s="136"/>
      <c r="C80" s="136" t="s">
        <v>69</v>
      </c>
      <c r="D80" s="136">
        <v>1</v>
      </c>
      <c r="E80" s="114" t="s">
        <v>16</v>
      </c>
      <c r="F80" s="136">
        <v>0</v>
      </c>
      <c r="G80" s="136"/>
      <c r="H80" s="255"/>
      <c r="M80" s="139"/>
    </row>
    <row r="81" spans="1:13" s="56" customFormat="1" ht="17.25" x14ac:dyDescent="0.35">
      <c r="A81" s="257"/>
      <c r="B81" s="136"/>
      <c r="C81" s="136" t="s">
        <v>69</v>
      </c>
      <c r="D81" s="136">
        <v>1</v>
      </c>
      <c r="E81" s="114" t="s">
        <v>256</v>
      </c>
      <c r="F81" s="136">
        <v>1</v>
      </c>
      <c r="G81" s="136"/>
      <c r="H81" s="255"/>
      <c r="M81" s="139"/>
    </row>
    <row r="82" spans="1:13" s="56" customFormat="1" ht="17.25" x14ac:dyDescent="0.35">
      <c r="A82" s="257"/>
      <c r="B82" s="136"/>
      <c r="C82" s="136" t="s">
        <v>69</v>
      </c>
      <c r="D82" s="136">
        <v>2</v>
      </c>
      <c r="E82" s="114" t="s">
        <v>257</v>
      </c>
      <c r="F82" s="136">
        <v>3</v>
      </c>
      <c r="G82" s="136"/>
      <c r="H82" s="255"/>
      <c r="M82" s="139"/>
    </row>
    <row r="83" spans="1:13" s="56" customFormat="1" ht="17.25" x14ac:dyDescent="0.35">
      <c r="A83" s="257"/>
      <c r="B83" s="136"/>
      <c r="C83" s="136" t="s">
        <v>69</v>
      </c>
      <c r="D83" s="136">
        <v>2</v>
      </c>
      <c r="E83" s="114" t="s">
        <v>258</v>
      </c>
      <c r="F83" s="136">
        <v>3</v>
      </c>
      <c r="G83" s="136"/>
      <c r="H83" s="255"/>
      <c r="M83" s="139"/>
    </row>
    <row r="84" spans="1:13" s="81" customFormat="1" ht="17.25" x14ac:dyDescent="0.35">
      <c r="A84" s="257"/>
      <c r="B84" s="136"/>
      <c r="C84" s="136" t="s">
        <v>69</v>
      </c>
      <c r="D84" s="136">
        <v>2</v>
      </c>
      <c r="E84" s="114" t="s">
        <v>259</v>
      </c>
      <c r="F84" s="136">
        <v>3</v>
      </c>
      <c r="G84" s="136"/>
      <c r="H84" s="255"/>
    </row>
    <row r="85" spans="1:13" s="81" customFormat="1" ht="17.25" x14ac:dyDescent="0.35">
      <c r="A85" s="257" t="s">
        <v>260</v>
      </c>
      <c r="B85" s="136">
        <v>475</v>
      </c>
      <c r="C85" s="136" t="s">
        <v>69</v>
      </c>
      <c r="D85" s="136">
        <v>2</v>
      </c>
      <c r="E85" s="114" t="s">
        <v>261</v>
      </c>
      <c r="F85" s="136" t="s">
        <v>46</v>
      </c>
      <c r="G85" s="136" t="s">
        <v>79</v>
      </c>
      <c r="H85" s="255"/>
    </row>
    <row r="86" spans="1:13" s="56" customFormat="1" ht="17.25" x14ac:dyDescent="0.35">
      <c r="A86" s="194" t="s">
        <v>340</v>
      </c>
      <c r="B86" s="136">
        <v>562</v>
      </c>
      <c r="C86" s="136"/>
      <c r="D86" s="138"/>
      <c r="E86" s="111"/>
      <c r="F86" s="136"/>
      <c r="G86" s="136" t="s">
        <v>239</v>
      </c>
      <c r="H86" s="220"/>
      <c r="M86" s="139"/>
    </row>
    <row r="87" spans="1:13" s="56" customFormat="1" ht="17.25" x14ac:dyDescent="0.35">
      <c r="A87" s="194"/>
      <c r="B87" s="136" t="s">
        <v>244</v>
      </c>
      <c r="C87" s="136" t="s">
        <v>69</v>
      </c>
      <c r="D87" s="138">
        <v>1</v>
      </c>
      <c r="E87" s="111"/>
      <c r="F87" s="136" t="s">
        <v>6</v>
      </c>
      <c r="G87" s="136"/>
      <c r="H87" s="220"/>
      <c r="M87" s="139"/>
    </row>
    <row r="88" spans="1:13" s="56" customFormat="1" ht="17.25" x14ac:dyDescent="0.35">
      <c r="A88" s="194"/>
      <c r="B88" s="136"/>
      <c r="C88" s="136" t="s">
        <v>69</v>
      </c>
      <c r="D88" s="138">
        <v>1</v>
      </c>
      <c r="E88" s="111" t="s">
        <v>128</v>
      </c>
      <c r="F88" s="136">
        <v>0</v>
      </c>
      <c r="G88" s="136"/>
      <c r="H88" s="220"/>
      <c r="M88" s="139"/>
    </row>
    <row r="89" spans="1:13" s="56" customFormat="1" ht="17.25" x14ac:dyDescent="0.35">
      <c r="A89" s="257" t="s">
        <v>54</v>
      </c>
      <c r="B89" s="136">
        <v>945</v>
      </c>
      <c r="C89" s="136"/>
      <c r="D89" s="136"/>
      <c r="E89" s="114"/>
      <c r="F89" s="136"/>
      <c r="G89" s="136"/>
      <c r="H89" s="255"/>
      <c r="M89" s="139"/>
    </row>
    <row r="90" spans="1:13" s="56" customFormat="1" ht="17.25" x14ac:dyDescent="0.35">
      <c r="A90" s="257"/>
      <c r="B90" s="136"/>
      <c r="C90" s="136" t="s">
        <v>69</v>
      </c>
      <c r="D90" s="136">
        <v>1</v>
      </c>
      <c r="E90" s="114" t="s">
        <v>16</v>
      </c>
      <c r="F90" s="136">
        <v>0</v>
      </c>
      <c r="G90" s="136"/>
      <c r="H90" s="255"/>
      <c r="M90" s="139"/>
    </row>
    <row r="91" spans="1:13" s="56" customFormat="1" ht="17.25" x14ac:dyDescent="0.35">
      <c r="A91" s="257"/>
      <c r="B91" s="136"/>
      <c r="C91" s="136" t="s">
        <v>69</v>
      </c>
      <c r="D91" s="136">
        <v>120</v>
      </c>
      <c r="E91" s="114" t="s">
        <v>55</v>
      </c>
      <c r="F91" s="136">
        <v>0</v>
      </c>
      <c r="G91" s="136"/>
      <c r="H91" s="255"/>
      <c r="M91" s="139"/>
    </row>
    <row r="92" spans="1:13" s="56" customFormat="1" ht="17.25" x14ac:dyDescent="0.35">
      <c r="A92" s="257" t="s">
        <v>262</v>
      </c>
      <c r="B92" s="136">
        <v>4116</v>
      </c>
      <c r="C92" s="136" t="s">
        <v>69</v>
      </c>
      <c r="D92" s="136">
        <v>1</v>
      </c>
      <c r="E92" s="114" t="s">
        <v>263</v>
      </c>
      <c r="F92" s="136" t="s">
        <v>117</v>
      </c>
      <c r="G92" s="136" t="s">
        <v>239</v>
      </c>
      <c r="H92" s="255"/>
      <c r="M92" s="139"/>
    </row>
    <row r="93" spans="1:13" s="56" customFormat="1" ht="17.25" x14ac:dyDescent="0.35">
      <c r="A93" s="257" t="s">
        <v>23</v>
      </c>
      <c r="B93" s="136">
        <v>4204</v>
      </c>
      <c r="C93" s="136" t="s">
        <v>69</v>
      </c>
      <c r="D93" s="136">
        <v>1</v>
      </c>
      <c r="E93" s="114" t="s">
        <v>24</v>
      </c>
      <c r="F93" s="136">
        <v>0</v>
      </c>
      <c r="G93" s="136"/>
      <c r="H93" s="255"/>
      <c r="M93" s="139"/>
    </row>
    <row r="94" spans="1:13" s="56" customFormat="1" ht="17.25" x14ac:dyDescent="0.35">
      <c r="A94" s="257" t="s">
        <v>264</v>
      </c>
      <c r="B94" s="136">
        <v>4231</v>
      </c>
      <c r="C94" s="136"/>
      <c r="D94" s="136"/>
      <c r="E94" s="114" t="s">
        <v>265</v>
      </c>
      <c r="F94" s="136"/>
      <c r="G94" s="136" t="s">
        <v>79</v>
      </c>
      <c r="H94" s="255"/>
      <c r="M94" s="139"/>
    </row>
    <row r="95" spans="1:13" s="56" customFormat="1" ht="17.25" x14ac:dyDescent="0.35">
      <c r="A95" s="257"/>
      <c r="B95" s="136"/>
      <c r="C95" s="136" t="s">
        <v>69</v>
      </c>
      <c r="D95" s="136">
        <v>8</v>
      </c>
      <c r="E95" s="114" t="s">
        <v>266</v>
      </c>
      <c r="F95" s="136">
        <v>0</v>
      </c>
      <c r="G95" s="136"/>
      <c r="H95" s="255"/>
      <c r="M95" s="139"/>
    </row>
    <row r="96" spans="1:13" s="81" customFormat="1" ht="17.25" x14ac:dyDescent="0.35">
      <c r="A96" s="257"/>
      <c r="B96" s="136"/>
      <c r="C96" s="136" t="s">
        <v>69</v>
      </c>
      <c r="D96" s="136">
        <v>8</v>
      </c>
      <c r="E96" s="114" t="s">
        <v>267</v>
      </c>
      <c r="F96" s="136">
        <v>1</v>
      </c>
      <c r="G96" s="136"/>
      <c r="H96" s="255"/>
    </row>
    <row r="97" spans="1:8" s="81" customFormat="1" ht="17.25" x14ac:dyDescent="0.35">
      <c r="A97" s="257" t="s">
        <v>133</v>
      </c>
      <c r="B97" s="136">
        <v>6832</v>
      </c>
      <c r="C97" s="136" t="s">
        <v>69</v>
      </c>
      <c r="D97" s="136">
        <v>1</v>
      </c>
      <c r="E97" s="114" t="s">
        <v>134</v>
      </c>
      <c r="F97" s="136">
        <v>0</v>
      </c>
      <c r="G97" s="136" t="s">
        <v>79</v>
      </c>
      <c r="H97" s="255"/>
    </row>
    <row r="98" spans="1:8" s="81" customFormat="1" ht="17.25" x14ac:dyDescent="0.35">
      <c r="A98" s="257" t="s">
        <v>268</v>
      </c>
      <c r="B98" s="136">
        <v>6862</v>
      </c>
      <c r="C98" s="136" t="s">
        <v>69</v>
      </c>
      <c r="D98" s="136">
        <v>1</v>
      </c>
      <c r="E98" s="114" t="s">
        <v>269</v>
      </c>
      <c r="F98" s="136">
        <v>1</v>
      </c>
      <c r="G98" s="136" t="s">
        <v>79</v>
      </c>
      <c r="H98" s="255"/>
    </row>
    <row r="99" spans="1:8" s="81" customFormat="1" ht="17.25" x14ac:dyDescent="0.35">
      <c r="A99" s="258" t="s">
        <v>322</v>
      </c>
      <c r="B99" s="136">
        <v>3532</v>
      </c>
      <c r="C99" s="136" t="s">
        <v>69</v>
      </c>
      <c r="D99" s="138">
        <v>1</v>
      </c>
      <c r="E99" s="112" t="s">
        <v>323</v>
      </c>
      <c r="F99" s="136">
        <v>135</v>
      </c>
      <c r="G99" s="138" t="s">
        <v>239</v>
      </c>
      <c r="H99" s="256" t="s">
        <v>7</v>
      </c>
    </row>
    <row r="100" spans="1:8" s="81" customFormat="1" ht="17.25" x14ac:dyDescent="0.35">
      <c r="A100" s="258" t="s">
        <v>324</v>
      </c>
      <c r="B100" s="136">
        <v>3533</v>
      </c>
      <c r="C100" s="136" t="s">
        <v>69</v>
      </c>
      <c r="D100" s="138">
        <v>1</v>
      </c>
      <c r="E100" s="112" t="s">
        <v>325</v>
      </c>
      <c r="F100" s="136">
        <v>30</v>
      </c>
      <c r="G100" s="138" t="s">
        <v>239</v>
      </c>
      <c r="H100" s="256" t="s">
        <v>7</v>
      </c>
    </row>
    <row r="101" spans="1:8" s="81" customFormat="1" ht="17.25" x14ac:dyDescent="0.35">
      <c r="A101" s="194" t="s">
        <v>360</v>
      </c>
      <c r="B101" s="136">
        <v>4964</v>
      </c>
      <c r="C101" s="136" t="s">
        <v>69</v>
      </c>
      <c r="D101" s="138">
        <v>2</v>
      </c>
      <c r="E101" s="111"/>
      <c r="F101" s="136">
        <v>4</v>
      </c>
      <c r="G101" s="138" t="s">
        <v>79</v>
      </c>
      <c r="H101" s="183"/>
    </row>
    <row r="102" spans="1:8" s="81" customFormat="1" ht="17.25" x14ac:dyDescent="0.35">
      <c r="A102" s="231" t="s">
        <v>326</v>
      </c>
      <c r="B102" s="136">
        <v>4227</v>
      </c>
      <c r="C102" s="136" t="s">
        <v>69</v>
      </c>
      <c r="D102" s="138">
        <v>4</v>
      </c>
      <c r="E102" s="113" t="s">
        <v>327</v>
      </c>
      <c r="F102" s="136">
        <v>0</v>
      </c>
      <c r="G102" s="138"/>
      <c r="H102" s="222" t="s">
        <v>328</v>
      </c>
    </row>
    <row r="103" spans="1:8" s="81" customFormat="1" ht="17.25" x14ac:dyDescent="0.35">
      <c r="A103" s="194" t="s">
        <v>271</v>
      </c>
      <c r="B103" s="136">
        <v>6874</v>
      </c>
      <c r="C103" s="136"/>
      <c r="D103" s="138"/>
      <c r="E103" s="111"/>
      <c r="F103" s="136"/>
      <c r="G103" s="136" t="s">
        <v>239</v>
      </c>
      <c r="H103" s="220"/>
    </row>
    <row r="104" spans="1:8" s="81" customFormat="1" ht="17.25" x14ac:dyDescent="0.35">
      <c r="A104" s="194"/>
      <c r="B104" s="136" t="s">
        <v>244</v>
      </c>
      <c r="C104" s="136" t="s">
        <v>69</v>
      </c>
      <c r="D104" s="138">
        <v>1</v>
      </c>
      <c r="E104" s="111"/>
      <c r="F104" s="136" t="s">
        <v>5</v>
      </c>
      <c r="G104" s="136"/>
      <c r="H104" s="220"/>
    </row>
    <row r="105" spans="1:8" s="81" customFormat="1" ht="17.25" x14ac:dyDescent="0.35">
      <c r="A105" s="194"/>
      <c r="B105" s="136"/>
      <c r="C105" s="136" t="s">
        <v>69</v>
      </c>
      <c r="D105" s="138">
        <v>1</v>
      </c>
      <c r="E105" s="111" t="s">
        <v>272</v>
      </c>
      <c r="F105" s="136" t="s">
        <v>154</v>
      </c>
      <c r="G105" s="136"/>
      <c r="H105" s="220"/>
    </row>
    <row r="106" spans="1:8" s="81" customFormat="1" ht="17.25" x14ac:dyDescent="0.35">
      <c r="A106" s="194" t="s">
        <v>273</v>
      </c>
      <c r="B106" s="136">
        <v>6875</v>
      </c>
      <c r="C106" s="136"/>
      <c r="D106" s="138"/>
      <c r="E106" s="111"/>
      <c r="F106" s="136"/>
      <c r="G106" s="136" t="s">
        <v>239</v>
      </c>
      <c r="H106" s="220"/>
    </row>
    <row r="107" spans="1:8" s="81" customFormat="1" ht="17.25" x14ac:dyDescent="0.35">
      <c r="A107" s="194"/>
      <c r="B107" s="136" t="s">
        <v>244</v>
      </c>
      <c r="C107" s="136" t="s">
        <v>69</v>
      </c>
      <c r="D107" s="138">
        <v>1</v>
      </c>
      <c r="E107" s="111"/>
      <c r="F107" s="136" t="s">
        <v>5</v>
      </c>
      <c r="G107" s="136"/>
      <c r="H107" s="220"/>
    </row>
    <row r="108" spans="1:8" s="81" customFormat="1" ht="17.25" x14ac:dyDescent="0.35">
      <c r="A108" s="194"/>
      <c r="B108" s="136"/>
      <c r="C108" s="136" t="s">
        <v>69</v>
      </c>
      <c r="D108" s="138">
        <v>1</v>
      </c>
      <c r="E108" s="111" t="s">
        <v>274</v>
      </c>
      <c r="F108" s="136" t="s">
        <v>154</v>
      </c>
      <c r="G108" s="136"/>
      <c r="H108" s="220"/>
    </row>
    <row r="109" spans="1:8" s="81" customFormat="1" ht="17.25" x14ac:dyDescent="0.35">
      <c r="A109" s="197" t="s">
        <v>442</v>
      </c>
      <c r="B109" s="136">
        <v>7165</v>
      </c>
      <c r="C109" s="136" t="s">
        <v>69</v>
      </c>
      <c r="D109" s="138">
        <v>4</v>
      </c>
      <c r="E109" s="82" t="s">
        <v>441</v>
      </c>
      <c r="F109" s="136">
        <v>0</v>
      </c>
      <c r="G109" s="136" t="s">
        <v>239</v>
      </c>
      <c r="H109" s="186"/>
    </row>
    <row r="110" spans="1:8" s="81" customFormat="1" ht="17.25" x14ac:dyDescent="0.35">
      <c r="A110" s="197" t="s">
        <v>439</v>
      </c>
      <c r="B110" s="136">
        <v>1930</v>
      </c>
      <c r="C110" s="136" t="s">
        <v>69</v>
      </c>
      <c r="D110" s="138">
        <v>1</v>
      </c>
      <c r="E110" s="82" t="s">
        <v>438</v>
      </c>
      <c r="F110" s="136">
        <v>2</v>
      </c>
      <c r="G110" s="136" t="s">
        <v>239</v>
      </c>
      <c r="H110" s="186" t="s">
        <v>437</v>
      </c>
    </row>
    <row r="111" spans="1:8" s="81" customFormat="1" ht="17.25" x14ac:dyDescent="0.35">
      <c r="A111" s="232"/>
      <c r="B111" s="136"/>
      <c r="C111" s="136"/>
      <c r="D111" s="138"/>
      <c r="E111" s="226"/>
      <c r="F111" s="136"/>
      <c r="G111" s="138"/>
      <c r="H111" s="223"/>
    </row>
    <row r="112" spans="1:8" s="81" customFormat="1" ht="17.25" x14ac:dyDescent="0.35">
      <c r="A112" s="194" t="s">
        <v>436</v>
      </c>
      <c r="B112" s="136">
        <v>4960</v>
      </c>
      <c r="C112" s="136" t="s">
        <v>69</v>
      </c>
      <c r="D112" s="138">
        <v>1</v>
      </c>
      <c r="E112" s="111" t="s">
        <v>435</v>
      </c>
      <c r="F112" s="136">
        <v>1</v>
      </c>
      <c r="G112" s="138" t="s">
        <v>239</v>
      </c>
      <c r="H112" s="183" t="s">
        <v>434</v>
      </c>
    </row>
    <row r="113" spans="1:9" s="81" customFormat="1" ht="35.25" thickBot="1" x14ac:dyDescent="0.4">
      <c r="A113" s="233" t="s">
        <v>524</v>
      </c>
      <c r="B113" s="142">
        <v>240</v>
      </c>
      <c r="C113" s="142" t="s">
        <v>69</v>
      </c>
      <c r="D113" s="142">
        <v>1</v>
      </c>
      <c r="E113" s="227" t="s">
        <v>525</v>
      </c>
      <c r="F113" s="142">
        <v>0</v>
      </c>
      <c r="G113" s="142" t="s">
        <v>239</v>
      </c>
      <c r="H113" s="224" t="s">
        <v>526</v>
      </c>
    </row>
    <row r="114" spans="1:9" s="81" customFormat="1" ht="15.75" thickBot="1" x14ac:dyDescent="0.35"/>
    <row r="115" spans="1:9" s="81" customFormat="1" ht="20.25" thickBot="1" x14ac:dyDescent="0.35">
      <c r="A115" s="44"/>
      <c r="B115" s="43" t="s">
        <v>78</v>
      </c>
      <c r="C115" s="43"/>
      <c r="D115" s="43"/>
      <c r="E115" s="43"/>
      <c r="F115" s="43"/>
      <c r="G115" s="43"/>
      <c r="H115" s="45"/>
    </row>
    <row r="116" spans="1:9" s="202" customFormat="1" ht="15.75" thickBot="1" x14ac:dyDescent="0.35">
      <c r="A116" s="41" t="s">
        <v>64</v>
      </c>
      <c r="B116" s="41" t="s">
        <v>8</v>
      </c>
      <c r="C116" s="41"/>
      <c r="D116" s="41"/>
      <c r="E116" s="41" t="s">
        <v>58</v>
      </c>
      <c r="F116" s="41" t="s">
        <v>57</v>
      </c>
      <c r="G116" s="41"/>
      <c r="H116" s="168"/>
      <c r="I116" s="56"/>
    </row>
    <row r="117" spans="1:9" s="81" customFormat="1" ht="17.25" x14ac:dyDescent="0.35">
      <c r="A117" s="260"/>
      <c r="B117" s="171"/>
      <c r="C117" s="108"/>
      <c r="D117" s="108"/>
      <c r="E117" s="261"/>
      <c r="F117" s="108"/>
      <c r="G117" s="108"/>
      <c r="H117" s="262"/>
    </row>
    <row r="118" spans="1:9" s="81" customFormat="1" ht="18" thickBot="1" x14ac:dyDescent="0.4">
      <c r="A118" s="252"/>
      <c r="B118" s="175"/>
      <c r="C118" s="176"/>
      <c r="D118" s="176"/>
      <c r="E118" s="253"/>
      <c r="F118" s="176"/>
      <c r="G118" s="176"/>
      <c r="H118" s="254"/>
    </row>
    <row r="119" spans="1:9" s="203" customFormat="1" ht="15.75" thickBot="1" x14ac:dyDescent="0.35">
      <c r="A119" s="81"/>
      <c r="B119" s="81"/>
      <c r="C119" s="81"/>
      <c r="D119" s="81"/>
      <c r="E119" s="81"/>
      <c r="F119" s="81"/>
      <c r="G119" s="81"/>
      <c r="H119" s="81"/>
      <c r="I119" s="81"/>
    </row>
    <row r="120" spans="1:9" s="81" customFormat="1" ht="20.25" thickBot="1" x14ac:dyDescent="0.45">
      <c r="A120" s="169" t="s">
        <v>73</v>
      </c>
      <c r="B120" s="46"/>
      <c r="C120" s="46"/>
      <c r="D120" s="46"/>
      <c r="E120" s="46"/>
      <c r="F120" s="46"/>
      <c r="G120" s="46"/>
      <c r="H120" s="47"/>
      <c r="I120" s="48"/>
    </row>
    <row r="121" spans="1:9" s="140" customFormat="1" ht="20.25" thickBot="1" x14ac:dyDescent="0.45">
      <c r="A121" s="41" t="s">
        <v>56</v>
      </c>
      <c r="B121" s="41" t="s">
        <v>230</v>
      </c>
      <c r="C121" s="41" t="s">
        <v>231</v>
      </c>
      <c r="D121" s="41" t="s">
        <v>76</v>
      </c>
      <c r="E121" s="41" t="s">
        <v>75</v>
      </c>
      <c r="F121" s="41" t="s">
        <v>68</v>
      </c>
      <c r="G121" s="41" t="s">
        <v>74</v>
      </c>
      <c r="H121" s="41" t="s">
        <v>232</v>
      </c>
      <c r="I121" s="41" t="s">
        <v>11</v>
      </c>
    </row>
    <row r="122" spans="1:9" s="56" customFormat="1" ht="17.25" x14ac:dyDescent="0.35">
      <c r="A122" s="236" t="s">
        <v>400</v>
      </c>
      <c r="B122" s="154" t="s">
        <v>401</v>
      </c>
      <c r="C122" s="154" t="s">
        <v>90</v>
      </c>
      <c r="D122" s="154"/>
      <c r="E122" s="154"/>
      <c r="F122" s="154"/>
      <c r="G122" s="154" t="s">
        <v>239</v>
      </c>
      <c r="H122" s="155"/>
      <c r="I122" s="100"/>
    </row>
    <row r="123" spans="1:9" s="56" customFormat="1" ht="17.25" x14ac:dyDescent="0.35">
      <c r="A123" s="162"/>
      <c r="B123" s="11"/>
      <c r="C123" s="11"/>
      <c r="D123" s="11" t="s">
        <v>69</v>
      </c>
      <c r="E123" s="11">
        <v>1</v>
      </c>
      <c r="F123" s="11">
        <v>1</v>
      </c>
      <c r="G123" s="11"/>
      <c r="H123" s="157"/>
      <c r="I123" s="100"/>
    </row>
    <row r="124" spans="1:9" s="56" customFormat="1" ht="17.25" x14ac:dyDescent="0.35">
      <c r="A124" s="162" t="s">
        <v>518</v>
      </c>
      <c r="B124" s="11" t="s">
        <v>517</v>
      </c>
      <c r="C124" s="11" t="s">
        <v>71</v>
      </c>
      <c r="D124" s="11"/>
      <c r="E124" s="11"/>
      <c r="F124" s="11"/>
      <c r="G124" s="11" t="s">
        <v>239</v>
      </c>
      <c r="H124" s="157" t="s">
        <v>541</v>
      </c>
      <c r="I124" s="100"/>
    </row>
    <row r="125" spans="1:9" s="81" customFormat="1" ht="17.25" x14ac:dyDescent="0.35">
      <c r="A125" s="162" t="s">
        <v>433</v>
      </c>
      <c r="B125" s="11" t="s">
        <v>432</v>
      </c>
      <c r="C125" s="11" t="s">
        <v>71</v>
      </c>
      <c r="D125" s="11"/>
      <c r="E125" s="11"/>
      <c r="F125" s="11"/>
      <c r="G125" s="11" t="s">
        <v>239</v>
      </c>
      <c r="H125" s="157" t="s">
        <v>431</v>
      </c>
      <c r="I125" s="100"/>
    </row>
    <row r="126" spans="1:9" s="81" customFormat="1" ht="17.25" x14ac:dyDescent="0.35">
      <c r="A126" s="160" t="s">
        <v>430</v>
      </c>
      <c r="B126" s="11" t="s">
        <v>429</v>
      </c>
      <c r="C126" s="11" t="s">
        <v>90</v>
      </c>
      <c r="D126" s="11"/>
      <c r="E126" s="11"/>
      <c r="F126" s="11"/>
      <c r="G126" s="11" t="s">
        <v>239</v>
      </c>
      <c r="H126" s="157"/>
      <c r="I126" s="101">
        <v>65602</v>
      </c>
    </row>
    <row r="127" spans="1:9" s="141" customFormat="1" ht="27.75" x14ac:dyDescent="0.35">
      <c r="A127" s="160"/>
      <c r="B127" s="11"/>
      <c r="C127" s="11"/>
      <c r="D127" s="11" t="s">
        <v>428</v>
      </c>
      <c r="E127" s="11">
        <v>1</v>
      </c>
      <c r="F127" s="259" t="s">
        <v>427</v>
      </c>
      <c r="G127" s="11"/>
      <c r="H127" s="157"/>
      <c r="I127" s="101"/>
    </row>
    <row r="128" spans="1:9" s="56" customFormat="1" ht="17.25" x14ac:dyDescent="0.35">
      <c r="A128" s="162" t="s">
        <v>129</v>
      </c>
      <c r="B128" s="11" t="s">
        <v>132</v>
      </c>
      <c r="C128" s="11" t="s">
        <v>90</v>
      </c>
      <c r="D128" s="11"/>
      <c r="E128" s="11"/>
      <c r="F128" s="11"/>
      <c r="G128" s="11" t="s">
        <v>79</v>
      </c>
      <c r="H128" s="157"/>
      <c r="I128" s="100">
        <v>67290</v>
      </c>
    </row>
    <row r="129" spans="1:9" s="56" customFormat="1" ht="17.25" x14ac:dyDescent="0.35">
      <c r="A129" s="162"/>
      <c r="B129" s="11"/>
      <c r="C129" s="11"/>
      <c r="D129" s="11" t="s">
        <v>69</v>
      </c>
      <c r="E129" s="11">
        <v>1</v>
      </c>
      <c r="F129" s="11">
        <v>1</v>
      </c>
      <c r="G129" s="11"/>
      <c r="H129" s="157"/>
      <c r="I129" s="100"/>
    </row>
    <row r="130" spans="1:9" s="56" customFormat="1" ht="17.25" x14ac:dyDescent="0.35">
      <c r="A130" s="162" t="s">
        <v>240</v>
      </c>
      <c r="B130" s="11" t="s">
        <v>130</v>
      </c>
      <c r="C130" s="11" t="s">
        <v>90</v>
      </c>
      <c r="D130" s="11"/>
      <c r="E130" s="11"/>
      <c r="F130" s="11"/>
      <c r="G130" s="11" t="s">
        <v>79</v>
      </c>
      <c r="H130" s="157"/>
      <c r="I130" s="100">
        <v>67288</v>
      </c>
    </row>
    <row r="131" spans="1:9" s="56" customFormat="1" ht="17.25" x14ac:dyDescent="0.35">
      <c r="A131" s="162"/>
      <c r="B131" s="11"/>
      <c r="C131" s="11"/>
      <c r="D131" s="11" t="s">
        <v>69</v>
      </c>
      <c r="E131" s="11">
        <v>2</v>
      </c>
      <c r="F131" s="11">
        <v>-95</v>
      </c>
      <c r="G131" s="11"/>
      <c r="H131" s="157"/>
      <c r="I131" s="100" t="s">
        <v>241</v>
      </c>
    </row>
    <row r="132" spans="1:9" s="56" customFormat="1" ht="17.25" x14ac:dyDescent="0.35">
      <c r="A132" s="237" t="s">
        <v>242</v>
      </c>
      <c r="B132" s="11" t="s">
        <v>131</v>
      </c>
      <c r="C132" s="11" t="s">
        <v>90</v>
      </c>
      <c r="D132" s="11"/>
      <c r="E132" s="11"/>
      <c r="F132" s="11"/>
      <c r="G132" s="11"/>
      <c r="H132" s="157"/>
      <c r="I132" s="102">
        <v>67289</v>
      </c>
    </row>
    <row r="133" spans="1:9" s="56" customFormat="1" ht="17.25" x14ac:dyDescent="0.35">
      <c r="A133" s="237"/>
      <c r="B133" s="11"/>
      <c r="C133" s="11"/>
      <c r="D133" s="11" t="s">
        <v>69</v>
      </c>
      <c r="E133" s="11">
        <v>2</v>
      </c>
      <c r="F133" s="11">
        <v>-105</v>
      </c>
      <c r="G133" s="11"/>
      <c r="H133" s="157"/>
      <c r="I133" s="102" t="s">
        <v>243</v>
      </c>
    </row>
    <row r="134" spans="1:9" s="56" customFormat="1" ht="17.25" x14ac:dyDescent="0.35">
      <c r="A134" s="162" t="s">
        <v>135</v>
      </c>
      <c r="B134" s="11" t="s">
        <v>136</v>
      </c>
      <c r="C134" s="11" t="s">
        <v>90</v>
      </c>
      <c r="D134" s="11"/>
      <c r="E134" s="11"/>
      <c r="F134" s="11"/>
      <c r="G134" s="11" t="s">
        <v>79</v>
      </c>
      <c r="H134" s="157"/>
      <c r="I134" s="100">
        <v>66042</v>
      </c>
    </row>
    <row r="135" spans="1:9" s="56" customFormat="1" ht="17.25" x14ac:dyDescent="0.35">
      <c r="A135" s="162"/>
      <c r="B135" s="11"/>
      <c r="C135" s="11"/>
      <c r="D135" s="11" t="s">
        <v>69</v>
      </c>
      <c r="E135" s="11">
        <v>1</v>
      </c>
      <c r="F135" s="11">
        <v>0</v>
      </c>
      <c r="G135" s="11"/>
      <c r="H135" s="157"/>
      <c r="I135" s="100"/>
    </row>
    <row r="136" spans="1:9" s="56" customFormat="1" ht="17.25" x14ac:dyDescent="0.35">
      <c r="A136" s="162"/>
      <c r="B136" s="11"/>
      <c r="C136" s="11"/>
      <c r="D136" s="11" t="s">
        <v>69</v>
      </c>
      <c r="E136" s="11">
        <v>1</v>
      </c>
      <c r="F136" s="11">
        <v>0</v>
      </c>
      <c r="G136" s="11"/>
      <c r="H136" s="157"/>
      <c r="I136" s="100"/>
    </row>
    <row r="137" spans="1:9" s="56" customFormat="1" ht="17.25" x14ac:dyDescent="0.35">
      <c r="A137" s="162"/>
      <c r="B137" s="11"/>
      <c r="C137" s="11"/>
      <c r="D137" s="11" t="s">
        <v>69</v>
      </c>
      <c r="E137" s="11">
        <v>1</v>
      </c>
      <c r="F137" s="11">
        <v>8</v>
      </c>
      <c r="G137" s="11"/>
      <c r="H137" s="157"/>
      <c r="I137" s="100"/>
    </row>
    <row r="138" spans="1:9" s="56" customFormat="1" ht="17.25" x14ac:dyDescent="0.35">
      <c r="A138" s="162"/>
      <c r="B138" s="11"/>
      <c r="C138" s="11"/>
      <c r="D138" s="11" t="s">
        <v>69</v>
      </c>
      <c r="E138" s="11">
        <v>1</v>
      </c>
      <c r="F138" s="11">
        <v>30</v>
      </c>
      <c r="G138" s="11"/>
      <c r="H138" s="157"/>
      <c r="I138" s="100"/>
    </row>
    <row r="139" spans="1:9" s="56" customFormat="1" ht="17.25" x14ac:dyDescent="0.35">
      <c r="A139" s="162"/>
      <c r="B139" s="11"/>
      <c r="C139" s="11"/>
      <c r="D139" s="11" t="s">
        <v>69</v>
      </c>
      <c r="E139" s="11">
        <v>4</v>
      </c>
      <c r="F139" s="11" t="s">
        <v>84</v>
      </c>
      <c r="G139" s="11"/>
      <c r="H139" s="157"/>
      <c r="I139" s="100"/>
    </row>
    <row r="140" spans="1:9" s="56" customFormat="1" ht="17.25" x14ac:dyDescent="0.35">
      <c r="A140" s="162" t="s">
        <v>137</v>
      </c>
      <c r="B140" s="11" t="s">
        <v>138</v>
      </c>
      <c r="C140" s="11" t="s">
        <v>90</v>
      </c>
      <c r="D140" s="11"/>
      <c r="E140" s="11"/>
      <c r="F140" s="11"/>
      <c r="G140" s="11"/>
      <c r="H140" s="157"/>
      <c r="I140" s="100">
        <v>66043</v>
      </c>
    </row>
    <row r="141" spans="1:9" s="56" customFormat="1" ht="17.25" x14ac:dyDescent="0.35">
      <c r="A141" s="162"/>
      <c r="B141" s="11"/>
      <c r="C141" s="11"/>
      <c r="D141" s="11" t="s">
        <v>69</v>
      </c>
      <c r="E141" s="11">
        <v>1</v>
      </c>
      <c r="F141" s="11">
        <v>0</v>
      </c>
      <c r="G141" s="11"/>
      <c r="H141" s="157"/>
      <c r="I141" s="100" t="s">
        <v>313</v>
      </c>
    </row>
    <row r="142" spans="1:9" s="56" customFormat="1" ht="17.25" x14ac:dyDescent="0.35">
      <c r="A142" s="162"/>
      <c r="B142" s="11"/>
      <c r="C142" s="11"/>
      <c r="D142" s="11" t="s">
        <v>69</v>
      </c>
      <c r="E142" s="11">
        <v>1</v>
      </c>
      <c r="F142" s="11">
        <v>-100</v>
      </c>
      <c r="G142" s="11"/>
      <c r="H142" s="157"/>
      <c r="I142" s="100"/>
    </row>
    <row r="143" spans="1:9" s="56" customFormat="1" ht="17.25" x14ac:dyDescent="0.35">
      <c r="A143" s="162"/>
      <c r="B143" s="11"/>
      <c r="C143" s="11"/>
      <c r="D143" s="11" t="s">
        <v>69</v>
      </c>
      <c r="E143" s="11">
        <v>2</v>
      </c>
      <c r="F143" s="11">
        <v>-128</v>
      </c>
      <c r="G143" s="11"/>
      <c r="H143" s="157"/>
      <c r="I143" s="100"/>
    </row>
    <row r="144" spans="1:9" s="56" customFormat="1" ht="17.25" x14ac:dyDescent="0.35">
      <c r="A144" s="162"/>
      <c r="B144" s="11"/>
      <c r="C144" s="11"/>
      <c r="D144" s="11" t="s">
        <v>69</v>
      </c>
      <c r="E144" s="11">
        <v>1</v>
      </c>
      <c r="F144" s="11">
        <v>-95</v>
      </c>
      <c r="G144" s="11"/>
      <c r="H144" s="157"/>
      <c r="I144" s="100"/>
    </row>
    <row r="145" spans="1:9" s="56" customFormat="1" ht="17.25" x14ac:dyDescent="0.35">
      <c r="A145" s="162"/>
      <c r="B145" s="11"/>
      <c r="C145" s="11"/>
      <c r="D145" s="11" t="s">
        <v>69</v>
      </c>
      <c r="E145" s="11">
        <v>2</v>
      </c>
      <c r="F145" s="11">
        <v>-120</v>
      </c>
      <c r="G145" s="11"/>
      <c r="H145" s="157"/>
      <c r="I145" s="100"/>
    </row>
    <row r="146" spans="1:9" s="56" customFormat="1" ht="17.25" x14ac:dyDescent="0.35">
      <c r="A146" s="162"/>
      <c r="B146" s="11"/>
      <c r="C146" s="11"/>
      <c r="D146" s="11" t="s">
        <v>69</v>
      </c>
      <c r="E146" s="11">
        <v>1</v>
      </c>
      <c r="F146" s="11">
        <v>0</v>
      </c>
      <c r="G146" s="11"/>
      <c r="H146" s="157"/>
      <c r="I146" s="100"/>
    </row>
    <row r="147" spans="1:9" s="56" customFormat="1" ht="17.25" x14ac:dyDescent="0.35">
      <c r="A147" s="162" t="s">
        <v>92</v>
      </c>
      <c r="B147" s="11" t="s">
        <v>85</v>
      </c>
      <c r="C147" s="11" t="s">
        <v>90</v>
      </c>
      <c r="D147" s="11"/>
      <c r="E147" s="11"/>
      <c r="F147" s="11"/>
      <c r="G147" s="11"/>
      <c r="H147" s="157"/>
      <c r="I147" s="100">
        <v>66035</v>
      </c>
    </row>
    <row r="148" spans="1:9" s="56" customFormat="1" ht="17.25" x14ac:dyDescent="0.35">
      <c r="A148" s="162"/>
      <c r="B148" s="11"/>
      <c r="C148" s="11"/>
      <c r="D148" s="11" t="s">
        <v>69</v>
      </c>
      <c r="E148" s="11">
        <v>1</v>
      </c>
      <c r="F148" s="11">
        <v>1</v>
      </c>
      <c r="G148" s="11"/>
      <c r="H148" s="157"/>
      <c r="I148" s="100" t="s">
        <v>315</v>
      </c>
    </row>
    <row r="149" spans="1:9" s="56" customFormat="1" ht="17.25" x14ac:dyDescent="0.35">
      <c r="A149" s="162" t="s">
        <v>86</v>
      </c>
      <c r="B149" s="11" t="s">
        <v>87</v>
      </c>
      <c r="C149" s="11" t="s">
        <v>90</v>
      </c>
      <c r="D149" s="11"/>
      <c r="E149" s="11"/>
      <c r="F149" s="11"/>
      <c r="G149" s="11" t="s">
        <v>79</v>
      </c>
      <c r="H149" s="157"/>
      <c r="I149" s="100">
        <v>65953</v>
      </c>
    </row>
    <row r="150" spans="1:9" s="56" customFormat="1" ht="17.25" x14ac:dyDescent="0.35">
      <c r="A150" s="162"/>
      <c r="B150" s="11"/>
      <c r="C150" s="11"/>
      <c r="D150" s="11" t="s">
        <v>69</v>
      </c>
      <c r="E150" s="11">
        <v>4</v>
      </c>
      <c r="F150" s="11">
        <v>10</v>
      </c>
      <c r="G150" s="11"/>
      <c r="H150" s="157"/>
      <c r="I150" s="100" t="s">
        <v>319</v>
      </c>
    </row>
    <row r="151" spans="1:9" s="56" customFormat="1" ht="17.25" x14ac:dyDescent="0.35">
      <c r="A151" s="162"/>
      <c r="B151" s="11"/>
      <c r="C151" s="11"/>
      <c r="D151" s="11" t="s">
        <v>69</v>
      </c>
      <c r="E151" s="11">
        <v>4</v>
      </c>
      <c r="F151" s="11">
        <v>600</v>
      </c>
      <c r="G151" s="11"/>
      <c r="H151" s="157"/>
      <c r="I151" s="100" t="s">
        <v>338</v>
      </c>
    </row>
    <row r="152" spans="1:9" s="56" customFormat="1" ht="17.25" x14ac:dyDescent="0.35">
      <c r="A152" s="162" t="s">
        <v>88</v>
      </c>
      <c r="B152" s="11" t="s">
        <v>89</v>
      </c>
      <c r="C152" s="11" t="s">
        <v>90</v>
      </c>
      <c r="D152" s="11"/>
      <c r="E152" s="11"/>
      <c r="F152" s="11"/>
      <c r="G152" s="11"/>
      <c r="H152" s="157"/>
      <c r="I152" s="100">
        <v>67200</v>
      </c>
    </row>
    <row r="153" spans="1:9" s="56" customFormat="1" ht="17.25" x14ac:dyDescent="0.35">
      <c r="A153" s="162"/>
      <c r="B153" s="11"/>
      <c r="C153" s="11"/>
      <c r="D153" s="11" t="s">
        <v>69</v>
      </c>
      <c r="E153" s="11">
        <v>1</v>
      </c>
      <c r="F153" s="11">
        <v>1</v>
      </c>
      <c r="G153" s="11"/>
      <c r="H153" s="157"/>
      <c r="I153" s="100" t="s">
        <v>27</v>
      </c>
    </row>
    <row r="154" spans="1:9" s="56" customFormat="1" ht="17.25" x14ac:dyDescent="0.35">
      <c r="A154" s="162"/>
      <c r="B154" s="11"/>
      <c r="C154" s="11"/>
      <c r="D154" s="11" t="s">
        <v>69</v>
      </c>
      <c r="E154" s="11">
        <v>1</v>
      </c>
      <c r="F154" s="11">
        <v>1</v>
      </c>
      <c r="G154" s="11"/>
      <c r="H154" s="157"/>
      <c r="I154" s="100" t="s">
        <v>122</v>
      </c>
    </row>
    <row r="155" spans="1:9" s="56" customFormat="1" ht="17.25" x14ac:dyDescent="0.35">
      <c r="A155" s="162"/>
      <c r="B155" s="11"/>
      <c r="C155" s="11"/>
      <c r="D155" s="11" t="s">
        <v>69</v>
      </c>
      <c r="E155" s="11">
        <v>1</v>
      </c>
      <c r="F155" s="11">
        <v>0</v>
      </c>
      <c r="G155" s="11"/>
      <c r="H155" s="157"/>
      <c r="I155" s="100" t="s">
        <v>123</v>
      </c>
    </row>
    <row r="156" spans="1:9" s="56" customFormat="1" ht="17.25" x14ac:dyDescent="0.35">
      <c r="A156" s="162"/>
      <c r="B156" s="11"/>
      <c r="C156" s="11"/>
      <c r="D156" s="11" t="s">
        <v>69</v>
      </c>
      <c r="E156" s="11">
        <v>1</v>
      </c>
      <c r="F156" s="11">
        <v>1</v>
      </c>
      <c r="G156" s="11"/>
      <c r="H156" s="157"/>
      <c r="I156" s="100" t="s">
        <v>124</v>
      </c>
    </row>
    <row r="157" spans="1:9" s="56" customFormat="1" ht="17.25" x14ac:dyDescent="0.35">
      <c r="A157" s="162"/>
      <c r="B157" s="11"/>
      <c r="C157" s="11"/>
      <c r="D157" s="11" t="s">
        <v>69</v>
      </c>
      <c r="E157" s="11">
        <v>1</v>
      </c>
      <c r="F157" s="11">
        <v>3</v>
      </c>
      <c r="G157" s="11"/>
      <c r="H157" s="157"/>
      <c r="I157" s="100" t="s">
        <v>125</v>
      </c>
    </row>
    <row r="158" spans="1:9" s="56" customFormat="1" ht="17.25" x14ac:dyDescent="0.35">
      <c r="A158" s="162"/>
      <c r="B158" s="11"/>
      <c r="C158" s="11"/>
      <c r="D158" s="11" t="s">
        <v>69</v>
      </c>
      <c r="E158" s="11">
        <v>2</v>
      </c>
      <c r="F158" s="11">
        <v>0</v>
      </c>
      <c r="G158" s="11"/>
      <c r="H158" s="157"/>
      <c r="I158" s="100" t="s">
        <v>126</v>
      </c>
    </row>
    <row r="159" spans="1:9" s="56" customFormat="1" ht="17.25" x14ac:dyDescent="0.35">
      <c r="A159" s="162" t="s">
        <v>233</v>
      </c>
      <c r="B159" s="11" t="s">
        <v>234</v>
      </c>
      <c r="C159" s="11" t="s">
        <v>90</v>
      </c>
      <c r="D159" s="11"/>
      <c r="E159" s="11"/>
      <c r="F159" s="11"/>
      <c r="G159" s="11" t="s">
        <v>239</v>
      </c>
      <c r="H159" s="157"/>
      <c r="I159" s="100">
        <v>70302</v>
      </c>
    </row>
    <row r="160" spans="1:9" s="56" customFormat="1" ht="17.25" x14ac:dyDescent="0.35">
      <c r="A160" s="162"/>
      <c r="B160" s="11"/>
      <c r="C160" s="11"/>
      <c r="D160" s="11" t="s">
        <v>69</v>
      </c>
      <c r="E160" s="11">
        <v>1</v>
      </c>
      <c r="F160" s="11">
        <v>0</v>
      </c>
      <c r="G160" s="11"/>
      <c r="H160" s="157"/>
      <c r="I160" s="100"/>
    </row>
    <row r="161" spans="1:9" s="81" customFormat="1" ht="17.25" x14ac:dyDescent="0.35">
      <c r="A161" s="162" t="s">
        <v>245</v>
      </c>
      <c r="B161" s="11" t="s">
        <v>246</v>
      </c>
      <c r="C161" s="11" t="s">
        <v>90</v>
      </c>
      <c r="D161" s="11"/>
      <c r="E161" s="11"/>
      <c r="F161" s="11"/>
      <c r="G161" s="11" t="s">
        <v>79</v>
      </c>
      <c r="H161" s="157"/>
      <c r="I161" s="100">
        <v>67291</v>
      </c>
    </row>
    <row r="162" spans="1:9" s="81" customFormat="1" ht="17.25" x14ac:dyDescent="0.35">
      <c r="A162" s="162"/>
      <c r="B162" s="11"/>
      <c r="C162" s="11"/>
      <c r="D162" s="11" t="s">
        <v>69</v>
      </c>
      <c r="E162" s="11">
        <v>1</v>
      </c>
      <c r="F162" s="11">
        <v>0</v>
      </c>
      <c r="G162" s="11"/>
      <c r="H162" s="157"/>
      <c r="I162" s="100"/>
    </row>
    <row r="163" spans="1:9" s="81" customFormat="1" ht="17.25" x14ac:dyDescent="0.35">
      <c r="A163" s="162" t="s">
        <v>247</v>
      </c>
      <c r="B163" s="11" t="s">
        <v>236</v>
      </c>
      <c r="C163" s="11" t="s">
        <v>71</v>
      </c>
      <c r="D163" s="11"/>
      <c r="E163" s="11"/>
      <c r="F163" s="11"/>
      <c r="G163" s="11" t="s">
        <v>239</v>
      </c>
      <c r="H163" s="157" t="s">
        <v>547</v>
      </c>
      <c r="I163" s="100" t="s">
        <v>248</v>
      </c>
    </row>
    <row r="164" spans="1:9" s="81" customFormat="1" ht="17.25" x14ac:dyDescent="0.35">
      <c r="A164" s="162" t="s">
        <v>249</v>
      </c>
      <c r="B164" s="11" t="s">
        <v>250</v>
      </c>
      <c r="C164" s="11" t="s">
        <v>90</v>
      </c>
      <c r="D164" s="11"/>
      <c r="E164" s="11"/>
      <c r="F164" s="11"/>
      <c r="G164" s="11" t="s">
        <v>79</v>
      </c>
      <c r="H164" s="157"/>
      <c r="I164" s="100">
        <v>69739</v>
      </c>
    </row>
    <row r="165" spans="1:9" s="81" customFormat="1" ht="17.25" x14ac:dyDescent="0.35">
      <c r="A165" s="162"/>
      <c r="B165" s="11"/>
      <c r="C165" s="11"/>
      <c r="D165" s="11" t="s">
        <v>69</v>
      </c>
      <c r="E165" s="11">
        <v>1</v>
      </c>
      <c r="F165" s="11">
        <v>1</v>
      </c>
      <c r="G165" s="11"/>
      <c r="H165" s="157"/>
      <c r="I165" s="100" t="s">
        <v>27</v>
      </c>
    </row>
    <row r="166" spans="1:9" s="81" customFormat="1" ht="17.25" x14ac:dyDescent="0.35">
      <c r="A166" s="162"/>
      <c r="B166" s="11"/>
      <c r="C166" s="11"/>
      <c r="D166" s="11" t="s">
        <v>69</v>
      </c>
      <c r="E166" s="11">
        <v>4</v>
      </c>
      <c r="F166" s="11">
        <v>1000</v>
      </c>
      <c r="G166" s="11"/>
      <c r="H166" s="157"/>
      <c r="I166" s="100" t="s">
        <v>251</v>
      </c>
    </row>
    <row r="167" spans="1:9" s="56" customFormat="1" ht="17.25" x14ac:dyDescent="0.35">
      <c r="A167" s="162" t="s">
        <v>142</v>
      </c>
      <c r="B167" s="11" t="s">
        <v>141</v>
      </c>
      <c r="C167" s="11" t="s">
        <v>90</v>
      </c>
      <c r="D167" s="11"/>
      <c r="E167" s="11"/>
      <c r="F167" s="11"/>
      <c r="G167" s="11" t="s">
        <v>239</v>
      </c>
      <c r="H167" s="157"/>
      <c r="I167" s="100">
        <v>67208</v>
      </c>
    </row>
    <row r="168" spans="1:9" s="56" customFormat="1" ht="17.25" x14ac:dyDescent="0.35">
      <c r="A168" s="162"/>
      <c r="B168" s="11"/>
      <c r="C168" s="11"/>
      <c r="D168" s="11" t="s">
        <v>69</v>
      </c>
      <c r="E168" s="11">
        <v>1</v>
      </c>
      <c r="F168" s="11">
        <v>1</v>
      </c>
      <c r="G168" s="11"/>
      <c r="H168" s="157"/>
      <c r="I168" s="100"/>
    </row>
    <row r="169" spans="1:9" s="56" customFormat="1" ht="17.25" x14ac:dyDescent="0.35">
      <c r="A169" s="243" t="s">
        <v>275</v>
      </c>
      <c r="B169" s="11" t="s">
        <v>276</v>
      </c>
      <c r="C169" s="11" t="s">
        <v>71</v>
      </c>
      <c r="D169" s="11"/>
      <c r="E169" s="11"/>
      <c r="F169" s="11"/>
      <c r="G169" s="11" t="s">
        <v>79</v>
      </c>
      <c r="H169" s="157" t="s">
        <v>277</v>
      </c>
      <c r="I169" s="104"/>
    </row>
    <row r="170" spans="1:9" s="56" customFormat="1" ht="17.25" x14ac:dyDescent="0.35">
      <c r="A170" s="243" t="s">
        <v>278</v>
      </c>
      <c r="B170" s="11" t="s">
        <v>279</v>
      </c>
      <c r="C170" s="11" t="s">
        <v>71</v>
      </c>
      <c r="D170" s="11"/>
      <c r="E170" s="11"/>
      <c r="F170" s="11"/>
      <c r="G170" s="11" t="s">
        <v>239</v>
      </c>
      <c r="H170" s="157" t="s">
        <v>280</v>
      </c>
      <c r="I170" s="104"/>
    </row>
    <row r="171" spans="1:9" s="56" customFormat="1" ht="17.25" x14ac:dyDescent="0.35">
      <c r="A171" s="243" t="s">
        <v>281</v>
      </c>
      <c r="B171" s="11" t="s">
        <v>282</v>
      </c>
      <c r="C171" s="11" t="s">
        <v>71</v>
      </c>
      <c r="D171" s="11"/>
      <c r="E171" s="11"/>
      <c r="F171" s="11"/>
      <c r="G171" s="11" t="s">
        <v>239</v>
      </c>
      <c r="H171" s="157" t="s">
        <v>283</v>
      </c>
      <c r="I171" s="104"/>
    </row>
    <row r="172" spans="1:9" s="56" customFormat="1" ht="19.5" customHeight="1" x14ac:dyDescent="0.35">
      <c r="A172" s="243" t="s">
        <v>284</v>
      </c>
      <c r="B172" s="11" t="s">
        <v>285</v>
      </c>
      <c r="C172" s="11" t="s">
        <v>71</v>
      </c>
      <c r="D172" s="11"/>
      <c r="E172" s="11"/>
      <c r="F172" s="11"/>
      <c r="G172" s="11" t="s">
        <v>239</v>
      </c>
      <c r="H172" s="157" t="s">
        <v>286</v>
      </c>
      <c r="I172" s="104"/>
    </row>
    <row r="173" spans="1:9" s="56" customFormat="1" ht="19.5" customHeight="1" x14ac:dyDescent="0.35">
      <c r="A173" s="243" t="s">
        <v>287</v>
      </c>
      <c r="B173" s="11" t="s">
        <v>288</v>
      </c>
      <c r="C173" s="11" t="s">
        <v>71</v>
      </c>
      <c r="D173" s="11"/>
      <c r="E173" s="11"/>
      <c r="F173" s="11"/>
      <c r="G173" s="11" t="s">
        <v>239</v>
      </c>
      <c r="H173" s="157" t="s">
        <v>289</v>
      </c>
      <c r="I173" s="104"/>
    </row>
    <row r="174" spans="1:9" s="56" customFormat="1" ht="19.5" customHeight="1" x14ac:dyDescent="0.35">
      <c r="A174" s="243" t="s">
        <v>290</v>
      </c>
      <c r="B174" s="11" t="s">
        <v>291</v>
      </c>
      <c r="C174" s="11" t="s">
        <v>71</v>
      </c>
      <c r="D174" s="11"/>
      <c r="E174" s="11"/>
      <c r="F174" s="11"/>
      <c r="G174" s="11" t="s">
        <v>239</v>
      </c>
      <c r="H174" s="157" t="s">
        <v>292</v>
      </c>
      <c r="I174" s="104"/>
    </row>
    <row r="175" spans="1:9" s="56" customFormat="1" ht="17.25" x14ac:dyDescent="0.35">
      <c r="A175" s="243" t="s">
        <v>293</v>
      </c>
      <c r="B175" s="11" t="s">
        <v>294</v>
      </c>
      <c r="C175" s="11" t="s">
        <v>71</v>
      </c>
      <c r="D175" s="11"/>
      <c r="E175" s="11"/>
      <c r="F175" s="11"/>
      <c r="G175" s="11" t="s">
        <v>239</v>
      </c>
      <c r="H175" s="157" t="s">
        <v>295</v>
      </c>
      <c r="I175" s="104"/>
    </row>
    <row r="176" spans="1:9" s="56" customFormat="1" ht="19.5" customHeight="1" x14ac:dyDescent="0.35">
      <c r="A176" s="243" t="s">
        <v>296</v>
      </c>
      <c r="B176" s="11" t="s">
        <v>252</v>
      </c>
      <c r="C176" s="11" t="s">
        <v>71</v>
      </c>
      <c r="D176" s="11"/>
      <c r="E176" s="11"/>
      <c r="F176" s="11"/>
      <c r="G176" s="11" t="s">
        <v>239</v>
      </c>
      <c r="H176" s="157" t="s">
        <v>297</v>
      </c>
      <c r="I176" s="104"/>
    </row>
    <row r="177" spans="1:9" s="56" customFormat="1" ht="19.5" customHeight="1" x14ac:dyDescent="0.35">
      <c r="A177" s="243" t="s">
        <v>298</v>
      </c>
      <c r="B177" s="11" t="s">
        <v>253</v>
      </c>
      <c r="C177" s="11" t="s">
        <v>71</v>
      </c>
      <c r="D177" s="11"/>
      <c r="E177" s="11"/>
      <c r="F177" s="11"/>
      <c r="G177" s="11" t="s">
        <v>239</v>
      </c>
      <c r="H177" s="157" t="s">
        <v>299</v>
      </c>
      <c r="I177" s="104"/>
    </row>
    <row r="178" spans="1:9" s="56" customFormat="1" ht="19.5" customHeight="1" x14ac:dyDescent="0.35">
      <c r="A178" s="243" t="s">
        <v>300</v>
      </c>
      <c r="B178" s="11" t="s">
        <v>301</v>
      </c>
      <c r="C178" s="11" t="s">
        <v>71</v>
      </c>
      <c r="D178" s="11"/>
      <c r="E178" s="11"/>
      <c r="F178" s="11"/>
      <c r="G178" s="11" t="s">
        <v>239</v>
      </c>
      <c r="H178" s="157" t="s">
        <v>302</v>
      </c>
      <c r="I178" s="104"/>
    </row>
    <row r="179" spans="1:9" s="56" customFormat="1" ht="19.5" customHeight="1" x14ac:dyDescent="0.35">
      <c r="A179" s="160" t="s">
        <v>120</v>
      </c>
      <c r="B179" s="11" t="s">
        <v>91</v>
      </c>
      <c r="C179" s="11" t="s">
        <v>90</v>
      </c>
      <c r="D179" s="11"/>
      <c r="E179" s="11"/>
      <c r="F179" s="11"/>
      <c r="G179" s="11" t="s">
        <v>239</v>
      </c>
      <c r="H179" s="157"/>
      <c r="I179" s="101">
        <v>65777</v>
      </c>
    </row>
    <row r="180" spans="1:9" s="56" customFormat="1" ht="19.5" customHeight="1" x14ac:dyDescent="0.35">
      <c r="A180" s="160" t="s">
        <v>139</v>
      </c>
      <c r="B180" s="11" t="s">
        <v>139</v>
      </c>
      <c r="C180" s="11"/>
      <c r="D180" s="11" t="s">
        <v>69</v>
      </c>
      <c r="E180" s="11">
        <v>1</v>
      </c>
      <c r="F180" s="11">
        <v>1</v>
      </c>
      <c r="G180" s="11"/>
      <c r="H180" s="157"/>
      <c r="I180" s="101"/>
    </row>
    <row r="181" spans="1:9" s="56" customFormat="1" ht="19.5" customHeight="1" x14ac:dyDescent="0.35">
      <c r="A181" s="160" t="s">
        <v>317</v>
      </c>
      <c r="B181" s="11" t="s">
        <v>318</v>
      </c>
      <c r="C181" s="11" t="s">
        <v>90</v>
      </c>
      <c r="D181" s="11"/>
      <c r="E181" s="11"/>
      <c r="F181" s="11"/>
      <c r="G181" s="11" t="s">
        <v>239</v>
      </c>
      <c r="H181" s="157"/>
      <c r="I181" s="101">
        <v>65591</v>
      </c>
    </row>
    <row r="182" spans="1:9" s="56" customFormat="1" ht="19.5" customHeight="1" x14ac:dyDescent="0.35">
      <c r="A182" s="160"/>
      <c r="B182" s="11"/>
      <c r="C182" s="11"/>
      <c r="D182" s="11" t="s">
        <v>69</v>
      </c>
      <c r="E182" s="11">
        <v>4</v>
      </c>
      <c r="F182" s="11" t="s">
        <v>84</v>
      </c>
      <c r="G182" s="11"/>
      <c r="H182" s="157"/>
      <c r="I182" s="101"/>
    </row>
    <row r="183" spans="1:9" s="56" customFormat="1" ht="17.25" x14ac:dyDescent="0.35">
      <c r="A183" s="241" t="s">
        <v>320</v>
      </c>
      <c r="B183" s="11" t="s">
        <v>321</v>
      </c>
      <c r="C183" s="11" t="s">
        <v>90</v>
      </c>
      <c r="D183" s="11"/>
      <c r="E183" s="11"/>
      <c r="F183" s="11"/>
      <c r="G183" s="11" t="s">
        <v>79</v>
      </c>
      <c r="H183" s="157"/>
      <c r="I183" s="105">
        <v>67292</v>
      </c>
    </row>
    <row r="184" spans="1:9" s="56" customFormat="1" ht="17.25" x14ac:dyDescent="0.35">
      <c r="A184" s="241"/>
      <c r="B184" s="11"/>
      <c r="C184" s="11"/>
      <c r="D184" s="11" t="s">
        <v>69</v>
      </c>
      <c r="E184" s="11">
        <v>1</v>
      </c>
      <c r="F184" s="11">
        <v>1</v>
      </c>
      <c r="G184" s="11"/>
      <c r="H184" s="157"/>
      <c r="I184" s="105"/>
    </row>
    <row r="185" spans="1:9" s="56" customFormat="1" ht="16.5" customHeight="1" x14ac:dyDescent="0.35">
      <c r="A185" s="160" t="s">
        <v>336</v>
      </c>
      <c r="B185" s="11" t="s">
        <v>337</v>
      </c>
      <c r="C185" s="11" t="s">
        <v>90</v>
      </c>
      <c r="D185" s="11"/>
      <c r="E185" s="11"/>
      <c r="F185" s="11"/>
      <c r="G185" s="11" t="s">
        <v>79</v>
      </c>
      <c r="H185" s="157"/>
      <c r="I185" s="101">
        <v>67270</v>
      </c>
    </row>
    <row r="186" spans="1:9" s="56" customFormat="1" ht="17.25" x14ac:dyDescent="0.35">
      <c r="A186" s="160"/>
      <c r="B186" s="11"/>
      <c r="C186" s="11"/>
      <c r="D186" s="11" t="s">
        <v>69</v>
      </c>
      <c r="E186" s="11">
        <v>1</v>
      </c>
      <c r="F186" s="11">
        <v>1</v>
      </c>
      <c r="G186" s="11"/>
      <c r="H186" s="157"/>
      <c r="I186" s="101"/>
    </row>
    <row r="187" spans="1:9" s="56" customFormat="1" ht="17.25" x14ac:dyDescent="0.35">
      <c r="A187" s="160" t="s">
        <v>329</v>
      </c>
      <c r="B187" s="11" t="s">
        <v>330</v>
      </c>
      <c r="C187" s="11" t="s">
        <v>90</v>
      </c>
      <c r="D187" s="11"/>
      <c r="E187" s="11"/>
      <c r="F187" s="11"/>
      <c r="G187" s="11" t="s">
        <v>239</v>
      </c>
      <c r="H187" s="157"/>
      <c r="I187" s="101">
        <v>72538</v>
      </c>
    </row>
    <row r="188" spans="1:9" s="56" customFormat="1" ht="17.25" x14ac:dyDescent="0.35">
      <c r="A188" s="160"/>
      <c r="B188" s="11"/>
      <c r="C188" s="11"/>
      <c r="D188" s="11" t="s">
        <v>69</v>
      </c>
      <c r="E188" s="11">
        <v>2</v>
      </c>
      <c r="F188" s="11">
        <v>300</v>
      </c>
      <c r="G188" s="11"/>
      <c r="H188" s="157"/>
      <c r="I188" s="101"/>
    </row>
    <row r="189" spans="1:9" s="56" customFormat="1" ht="17.25" x14ac:dyDescent="0.35">
      <c r="A189" s="160"/>
      <c r="B189" s="11"/>
      <c r="C189" s="11"/>
      <c r="D189" s="11" t="s">
        <v>69</v>
      </c>
      <c r="E189" s="11">
        <v>2</v>
      </c>
      <c r="F189" s="11">
        <v>10</v>
      </c>
      <c r="G189" s="11"/>
      <c r="H189" s="157"/>
      <c r="I189" s="101"/>
    </row>
    <row r="190" spans="1:9" s="56" customFormat="1" ht="51.75" x14ac:dyDescent="0.35">
      <c r="A190" s="160" t="s">
        <v>426</v>
      </c>
      <c r="B190" s="11" t="s">
        <v>425</v>
      </c>
      <c r="C190" s="11" t="s">
        <v>71</v>
      </c>
      <c r="D190" s="11"/>
      <c r="E190" s="11"/>
      <c r="F190" s="11"/>
      <c r="G190" s="11" t="s">
        <v>239</v>
      </c>
      <c r="H190" s="157" t="s">
        <v>424</v>
      </c>
      <c r="I190" s="101" t="s">
        <v>423</v>
      </c>
    </row>
    <row r="191" spans="1:9" s="56" customFormat="1" ht="17.25" x14ac:dyDescent="0.35">
      <c r="A191" s="241" t="s">
        <v>331</v>
      </c>
      <c r="B191" s="11" t="s">
        <v>332</v>
      </c>
      <c r="C191" s="11" t="s">
        <v>90</v>
      </c>
      <c r="D191" s="11"/>
      <c r="E191" s="11"/>
      <c r="F191" s="11"/>
      <c r="G191" s="11"/>
      <c r="H191" s="157"/>
      <c r="I191" s="105">
        <v>72608</v>
      </c>
    </row>
    <row r="192" spans="1:9" s="56" customFormat="1" ht="17.25" x14ac:dyDescent="0.35">
      <c r="A192" s="241"/>
      <c r="B192" s="11"/>
      <c r="C192" s="11"/>
      <c r="D192" s="11" t="s">
        <v>69</v>
      </c>
      <c r="E192" s="11">
        <v>1</v>
      </c>
      <c r="F192" s="11">
        <v>1</v>
      </c>
      <c r="G192" s="11"/>
      <c r="H192" s="157"/>
      <c r="I192" s="105" t="s">
        <v>333</v>
      </c>
    </row>
    <row r="193" spans="1:9" s="56" customFormat="1" ht="17.25" x14ac:dyDescent="0.35">
      <c r="A193" s="241"/>
      <c r="B193" s="11"/>
      <c r="C193" s="11"/>
      <c r="D193" s="11" t="s">
        <v>69</v>
      </c>
      <c r="E193" s="11">
        <v>2</v>
      </c>
      <c r="F193" s="11">
        <v>900</v>
      </c>
      <c r="G193" s="11"/>
      <c r="H193" s="157"/>
      <c r="I193" s="105" t="s">
        <v>334</v>
      </c>
    </row>
    <row r="194" spans="1:9" s="56" customFormat="1" ht="17.25" x14ac:dyDescent="0.35">
      <c r="A194" s="241"/>
      <c r="B194" s="11"/>
      <c r="C194" s="11"/>
      <c r="D194" s="11" t="s">
        <v>69</v>
      </c>
      <c r="E194" s="11">
        <v>2</v>
      </c>
      <c r="F194" s="11">
        <v>100</v>
      </c>
      <c r="G194" s="11"/>
      <c r="H194" s="157"/>
      <c r="I194" s="105" t="s">
        <v>335</v>
      </c>
    </row>
    <row r="195" spans="1:9" s="56" customFormat="1" ht="17.25" x14ac:dyDescent="0.35">
      <c r="A195" s="160" t="s">
        <v>343</v>
      </c>
      <c r="B195" s="11" t="s">
        <v>342</v>
      </c>
      <c r="C195" s="11" t="s">
        <v>90</v>
      </c>
      <c r="D195" s="11"/>
      <c r="E195" s="11"/>
      <c r="F195" s="11"/>
      <c r="G195" s="11" t="s">
        <v>239</v>
      </c>
      <c r="H195" s="157"/>
      <c r="I195" s="101" t="s">
        <v>344</v>
      </c>
    </row>
    <row r="196" spans="1:9" s="56" customFormat="1" ht="17.25" x14ac:dyDescent="0.35">
      <c r="A196" s="160"/>
      <c r="B196" s="11"/>
      <c r="C196" s="11"/>
      <c r="D196" s="11" t="s">
        <v>69</v>
      </c>
      <c r="E196" s="11">
        <v>1</v>
      </c>
      <c r="F196" s="11">
        <v>0</v>
      </c>
      <c r="G196" s="11"/>
      <c r="H196" s="157"/>
      <c r="I196" s="101"/>
    </row>
    <row r="197" spans="1:9" s="56" customFormat="1" ht="17.25" x14ac:dyDescent="0.35">
      <c r="A197" s="160" t="s">
        <v>345</v>
      </c>
      <c r="B197" s="11" t="s">
        <v>346</v>
      </c>
      <c r="C197" s="11" t="s">
        <v>90</v>
      </c>
      <c r="D197" s="11"/>
      <c r="E197" s="11"/>
      <c r="F197" s="11"/>
      <c r="G197" s="11" t="s">
        <v>239</v>
      </c>
      <c r="H197" s="157"/>
      <c r="I197" s="101">
        <v>72539</v>
      </c>
    </row>
    <row r="198" spans="1:9" s="56" customFormat="1" ht="17.25" x14ac:dyDescent="0.35">
      <c r="A198" s="160"/>
      <c r="B198" s="11"/>
      <c r="C198" s="11"/>
      <c r="D198" s="11" t="s">
        <v>69</v>
      </c>
      <c r="E198" s="11">
        <v>1</v>
      </c>
      <c r="F198" s="11">
        <v>1</v>
      </c>
      <c r="G198" s="11"/>
      <c r="H198" s="157"/>
      <c r="I198" s="101"/>
    </row>
    <row r="199" spans="1:9" s="56" customFormat="1" ht="17.25" x14ac:dyDescent="0.35">
      <c r="A199" s="238" t="s">
        <v>362</v>
      </c>
      <c r="B199" s="108" t="s">
        <v>363</v>
      </c>
      <c r="C199" s="108" t="s">
        <v>90</v>
      </c>
      <c r="D199" s="108"/>
      <c r="E199" s="109"/>
      <c r="F199" s="108"/>
      <c r="G199" s="109" t="s">
        <v>239</v>
      </c>
      <c r="H199" s="239"/>
      <c r="I199" s="103">
        <v>72614</v>
      </c>
    </row>
    <row r="200" spans="1:9" s="56" customFormat="1" ht="17.25" x14ac:dyDescent="0.35">
      <c r="A200" s="238"/>
      <c r="B200" s="108" t="s">
        <v>244</v>
      </c>
      <c r="C200" s="108"/>
      <c r="D200" s="108" t="s">
        <v>69</v>
      </c>
      <c r="E200" s="109">
        <v>1</v>
      </c>
      <c r="F200" s="108" t="s">
        <v>6</v>
      </c>
      <c r="G200" s="109"/>
      <c r="H200" s="239"/>
      <c r="I200" s="103"/>
    </row>
    <row r="201" spans="1:9" s="56" customFormat="1" ht="16.5" customHeight="1" x14ac:dyDescent="0.35">
      <c r="A201" s="238"/>
      <c r="B201" s="108"/>
      <c r="C201" s="108"/>
      <c r="D201" s="108" t="s">
        <v>69</v>
      </c>
      <c r="E201" s="109">
        <v>1</v>
      </c>
      <c r="F201" s="108">
        <v>1</v>
      </c>
      <c r="G201" s="109"/>
      <c r="H201" s="239"/>
      <c r="I201" s="103" t="s">
        <v>364</v>
      </c>
    </row>
    <row r="202" spans="1:9" s="56" customFormat="1" ht="16.5" customHeight="1" x14ac:dyDescent="0.35">
      <c r="A202" s="160" t="s">
        <v>422</v>
      </c>
      <c r="B202" s="11" t="s">
        <v>421</v>
      </c>
      <c r="C202" s="11" t="s">
        <v>90</v>
      </c>
      <c r="D202" s="11"/>
      <c r="E202" s="11"/>
      <c r="F202" s="11"/>
      <c r="G202" s="11"/>
      <c r="H202" s="157"/>
      <c r="I202" s="101">
        <v>65683</v>
      </c>
    </row>
    <row r="203" spans="1:9" s="81" customFormat="1" ht="17.25" x14ac:dyDescent="0.35">
      <c r="A203" s="160"/>
      <c r="B203" s="11"/>
      <c r="C203" s="11"/>
      <c r="D203" s="11" t="s">
        <v>69</v>
      </c>
      <c r="E203" s="11">
        <v>1</v>
      </c>
      <c r="F203" s="242">
        <v>2</v>
      </c>
      <c r="G203" s="11"/>
      <c r="H203" s="157"/>
      <c r="I203" s="101"/>
    </row>
    <row r="204" spans="1:9" s="81" customFormat="1" ht="17.25" x14ac:dyDescent="0.35">
      <c r="A204" s="243" t="s">
        <v>420</v>
      </c>
      <c r="B204" s="11" t="s">
        <v>419</v>
      </c>
      <c r="C204" s="11" t="s">
        <v>71</v>
      </c>
      <c r="D204" s="11"/>
      <c r="E204" s="11"/>
      <c r="F204" s="11"/>
      <c r="G204" s="11" t="s">
        <v>239</v>
      </c>
      <c r="H204" s="157" t="s">
        <v>418</v>
      </c>
      <c r="I204" s="213" t="s">
        <v>417</v>
      </c>
    </row>
    <row r="205" spans="1:9" s="81" customFormat="1" ht="17.25" x14ac:dyDescent="0.35">
      <c r="A205" s="160" t="s">
        <v>386</v>
      </c>
      <c r="B205" s="11" t="s">
        <v>387</v>
      </c>
      <c r="C205" s="11" t="s">
        <v>90</v>
      </c>
      <c r="D205" s="11"/>
      <c r="E205" s="11"/>
      <c r="F205" s="11"/>
      <c r="G205" s="11" t="s">
        <v>239</v>
      </c>
      <c r="H205" s="157"/>
      <c r="I205" s="101">
        <v>67221</v>
      </c>
    </row>
    <row r="206" spans="1:9" s="56" customFormat="1" ht="16.5" customHeight="1" x14ac:dyDescent="0.35">
      <c r="A206" s="160"/>
      <c r="B206" s="11"/>
      <c r="C206" s="11"/>
      <c r="D206" s="11" t="s">
        <v>388</v>
      </c>
      <c r="E206" s="11">
        <v>1</v>
      </c>
      <c r="F206" s="242" t="s">
        <v>389</v>
      </c>
      <c r="G206" s="11"/>
      <c r="H206" s="157"/>
      <c r="I206" s="101"/>
    </row>
    <row r="207" spans="1:9" s="56" customFormat="1" ht="16.5" customHeight="1" x14ac:dyDescent="0.35">
      <c r="A207" s="160" t="s">
        <v>390</v>
      </c>
      <c r="B207" s="11" t="s">
        <v>391</v>
      </c>
      <c r="C207" s="11" t="s">
        <v>90</v>
      </c>
      <c r="D207" s="11"/>
      <c r="E207" s="11"/>
      <c r="F207" s="11"/>
      <c r="G207" s="11" t="s">
        <v>239</v>
      </c>
      <c r="H207" s="157"/>
      <c r="I207" s="101">
        <v>70242</v>
      </c>
    </row>
    <row r="208" spans="1:9" s="56" customFormat="1" ht="16.5" customHeight="1" x14ac:dyDescent="0.35">
      <c r="A208" s="160"/>
      <c r="B208" s="11"/>
      <c r="C208" s="11"/>
      <c r="D208" s="11" t="s">
        <v>69</v>
      </c>
      <c r="E208" s="11">
        <v>1</v>
      </c>
      <c r="F208" s="242">
        <v>0</v>
      </c>
      <c r="G208" s="11"/>
      <c r="H208" s="157"/>
      <c r="I208" s="101"/>
    </row>
    <row r="209" spans="1:9" s="56" customFormat="1" ht="16.5" customHeight="1" x14ac:dyDescent="0.35">
      <c r="A209" s="160" t="s">
        <v>392</v>
      </c>
      <c r="B209" s="11" t="s">
        <v>393</v>
      </c>
      <c r="C209" s="11" t="s">
        <v>90</v>
      </c>
      <c r="D209" s="11"/>
      <c r="E209" s="11"/>
      <c r="F209" s="11"/>
      <c r="G209" s="11" t="s">
        <v>239</v>
      </c>
      <c r="H209" s="157"/>
      <c r="I209" s="101">
        <v>69736</v>
      </c>
    </row>
    <row r="210" spans="1:9" s="56" customFormat="1" ht="19.5" customHeight="1" x14ac:dyDescent="0.35">
      <c r="A210" s="160"/>
      <c r="B210" s="11"/>
      <c r="C210" s="11"/>
      <c r="D210" s="11" t="s">
        <v>69</v>
      </c>
      <c r="E210" s="11">
        <v>1</v>
      </c>
      <c r="F210" s="242">
        <v>1</v>
      </c>
      <c r="G210" s="11"/>
      <c r="H210" s="157"/>
      <c r="I210" s="101"/>
    </row>
    <row r="211" spans="1:9" s="56" customFormat="1" ht="16.5" customHeight="1" x14ac:dyDescent="0.35">
      <c r="A211" s="160" t="s">
        <v>394</v>
      </c>
      <c r="B211" s="11" t="s">
        <v>395</v>
      </c>
      <c r="C211" s="11" t="s">
        <v>90</v>
      </c>
      <c r="D211" s="11"/>
      <c r="E211" s="11"/>
      <c r="F211" s="11"/>
      <c r="G211" s="11" t="s">
        <v>239</v>
      </c>
      <c r="H211" s="157"/>
      <c r="I211" s="101">
        <v>69737</v>
      </c>
    </row>
    <row r="212" spans="1:9" s="56" customFormat="1" ht="16.5" customHeight="1" x14ac:dyDescent="0.35">
      <c r="A212" s="160"/>
      <c r="B212" s="11"/>
      <c r="C212" s="11"/>
      <c r="D212" s="11" t="s">
        <v>396</v>
      </c>
      <c r="E212" s="11">
        <v>1</v>
      </c>
      <c r="F212" s="242" t="s">
        <v>397</v>
      </c>
      <c r="G212" s="11"/>
      <c r="H212" s="157"/>
      <c r="I212" s="101"/>
    </row>
    <row r="213" spans="1:9" s="56" customFormat="1" ht="16.5" customHeight="1" x14ac:dyDescent="0.35">
      <c r="A213" s="160" t="s">
        <v>398</v>
      </c>
      <c r="B213" s="11" t="s">
        <v>399</v>
      </c>
      <c r="C213" s="11" t="s">
        <v>90</v>
      </c>
      <c r="D213" s="11"/>
      <c r="E213" s="11"/>
      <c r="F213" s="11"/>
      <c r="G213" s="11" t="s">
        <v>79</v>
      </c>
      <c r="H213" s="157"/>
      <c r="I213" s="101">
        <v>65785</v>
      </c>
    </row>
    <row r="214" spans="1:9" s="56" customFormat="1" ht="16.5" customHeight="1" x14ac:dyDescent="0.35">
      <c r="A214" s="160"/>
      <c r="B214" s="11"/>
      <c r="C214" s="11"/>
      <c r="D214" s="11" t="s">
        <v>69</v>
      </c>
      <c r="E214" s="11">
        <v>2</v>
      </c>
      <c r="F214" s="11">
        <v>1500</v>
      </c>
      <c r="G214" s="11"/>
      <c r="H214" s="157"/>
      <c r="I214" s="101"/>
    </row>
    <row r="215" spans="1:9" s="56" customFormat="1" ht="16.5" customHeight="1" x14ac:dyDescent="0.35">
      <c r="A215" s="161" t="s">
        <v>521</v>
      </c>
      <c r="B215" s="245" t="s">
        <v>522</v>
      </c>
      <c r="C215" s="245" t="s">
        <v>71</v>
      </c>
      <c r="D215" s="245"/>
      <c r="E215" s="245"/>
      <c r="F215" s="245"/>
      <c r="G215" s="245" t="s">
        <v>239</v>
      </c>
      <c r="H215" s="246" t="s">
        <v>523</v>
      </c>
      <c r="I215" s="106"/>
    </row>
    <row r="216" spans="1:9" s="56" customFormat="1" ht="16.5" customHeight="1" x14ac:dyDescent="0.35">
      <c r="A216" s="160" t="s">
        <v>379</v>
      </c>
      <c r="B216" s="11" t="s">
        <v>380</v>
      </c>
      <c r="C216" s="11" t="s">
        <v>71</v>
      </c>
      <c r="D216" s="11"/>
      <c r="E216" s="11"/>
      <c r="F216" s="11"/>
      <c r="G216" s="11" t="s">
        <v>239</v>
      </c>
      <c r="H216" s="157" t="s">
        <v>381</v>
      </c>
      <c r="I216" s="101" t="s">
        <v>385</v>
      </c>
    </row>
    <row r="217" spans="1:9" s="56" customFormat="1" ht="16.5" customHeight="1" x14ac:dyDescent="0.35">
      <c r="A217" s="160" t="s">
        <v>382</v>
      </c>
      <c r="B217" s="11" t="s">
        <v>383</v>
      </c>
      <c r="C217" s="11" t="s">
        <v>71</v>
      </c>
      <c r="D217" s="11"/>
      <c r="E217" s="11"/>
      <c r="F217" s="11"/>
      <c r="G217" s="11" t="s">
        <v>239</v>
      </c>
      <c r="H217" s="157" t="s">
        <v>384</v>
      </c>
      <c r="I217" s="101" t="s">
        <v>385</v>
      </c>
    </row>
    <row r="218" spans="1:9" s="56" customFormat="1" ht="16.5" customHeight="1" x14ac:dyDescent="0.35">
      <c r="A218" s="160" t="s">
        <v>376</v>
      </c>
      <c r="B218" s="11" t="s">
        <v>377</v>
      </c>
      <c r="C218" s="11" t="s">
        <v>71</v>
      </c>
      <c r="D218" s="11"/>
      <c r="E218" s="11"/>
      <c r="F218" s="11"/>
      <c r="G218" s="11" t="s">
        <v>239</v>
      </c>
      <c r="H218" s="157" t="s">
        <v>378</v>
      </c>
      <c r="I218" s="101">
        <v>67211</v>
      </c>
    </row>
    <row r="219" spans="1:9" s="56" customFormat="1" ht="16.5" customHeight="1" x14ac:dyDescent="0.35">
      <c r="A219" s="160" t="s">
        <v>416</v>
      </c>
      <c r="B219" s="11" t="s">
        <v>415</v>
      </c>
      <c r="C219" s="11" t="s">
        <v>90</v>
      </c>
      <c r="D219" s="11"/>
      <c r="E219" s="11"/>
      <c r="F219" s="11"/>
      <c r="G219" s="11" t="s">
        <v>239</v>
      </c>
      <c r="H219" s="157"/>
      <c r="I219" s="100">
        <v>67217</v>
      </c>
    </row>
    <row r="220" spans="1:9" s="56" customFormat="1" ht="16.5" customHeight="1" x14ac:dyDescent="0.35">
      <c r="A220" s="160"/>
      <c r="B220" s="11"/>
      <c r="C220" s="11"/>
      <c r="D220" s="11" t="s">
        <v>69</v>
      </c>
      <c r="E220" s="11">
        <v>1</v>
      </c>
      <c r="F220" s="80">
        <v>0</v>
      </c>
      <c r="G220" s="11"/>
      <c r="H220" s="157"/>
      <c r="I220" s="100" t="s">
        <v>414</v>
      </c>
    </row>
    <row r="221" spans="1:9" s="56" customFormat="1" ht="16.5" customHeight="1" x14ac:dyDescent="0.35">
      <c r="A221" s="160"/>
      <c r="B221" s="11"/>
      <c r="C221" s="11"/>
      <c r="D221" s="11" t="s">
        <v>69</v>
      </c>
      <c r="E221" s="11">
        <v>2</v>
      </c>
      <c r="F221" s="80" t="s">
        <v>121</v>
      </c>
      <c r="G221" s="11"/>
      <c r="H221" s="157"/>
      <c r="I221" s="100" t="s">
        <v>413</v>
      </c>
    </row>
    <row r="222" spans="1:9" s="145" customFormat="1" ht="16.5" customHeight="1" x14ac:dyDescent="0.35">
      <c r="A222" s="160" t="s">
        <v>407</v>
      </c>
      <c r="B222" s="11" t="s">
        <v>406</v>
      </c>
      <c r="C222" s="11" t="s">
        <v>90</v>
      </c>
      <c r="D222" s="11"/>
      <c r="E222" s="11"/>
      <c r="F222" s="11"/>
      <c r="G222" s="11" t="s">
        <v>239</v>
      </c>
      <c r="H222" s="157"/>
      <c r="I222" s="101">
        <v>65811</v>
      </c>
    </row>
    <row r="223" spans="1:9" s="56" customFormat="1" ht="16.5" customHeight="1" x14ac:dyDescent="0.35">
      <c r="A223" s="160"/>
      <c r="B223" s="11"/>
      <c r="C223" s="11"/>
      <c r="D223" s="11" t="s">
        <v>69</v>
      </c>
      <c r="E223" s="11">
        <v>1</v>
      </c>
      <c r="F223" s="11">
        <v>0</v>
      </c>
      <c r="G223" s="11"/>
      <c r="H223" s="157"/>
      <c r="I223" s="101"/>
    </row>
    <row r="224" spans="1:9" s="56" customFormat="1" ht="17.25" x14ac:dyDescent="0.35">
      <c r="A224" s="247" t="s">
        <v>412</v>
      </c>
      <c r="B224" s="11" t="s">
        <v>411</v>
      </c>
      <c r="C224" s="84" t="s">
        <v>90</v>
      </c>
      <c r="D224" s="79"/>
      <c r="E224" s="11"/>
      <c r="F224" s="79"/>
      <c r="G224" s="11" t="s">
        <v>239</v>
      </c>
      <c r="H224" s="157"/>
      <c r="I224" s="215">
        <v>72533</v>
      </c>
    </row>
    <row r="225" spans="1:11" s="141" customFormat="1" ht="17.25" x14ac:dyDescent="0.35">
      <c r="A225" s="247"/>
      <c r="B225" s="11"/>
      <c r="C225" s="79"/>
      <c r="D225" s="84" t="s">
        <v>69</v>
      </c>
      <c r="E225" s="11">
        <v>4</v>
      </c>
      <c r="F225" s="80">
        <v>1</v>
      </c>
      <c r="G225" s="11"/>
      <c r="H225" s="157"/>
      <c r="I225" s="215" t="s">
        <v>410</v>
      </c>
      <c r="J225" s="81"/>
      <c r="K225" s="81"/>
    </row>
    <row r="226" spans="1:11" s="141" customFormat="1" ht="17.25" x14ac:dyDescent="0.35">
      <c r="A226" s="160" t="s">
        <v>409</v>
      </c>
      <c r="B226" s="11" t="s">
        <v>408</v>
      </c>
      <c r="C226" s="11" t="s">
        <v>90</v>
      </c>
      <c r="D226" s="11"/>
      <c r="E226" s="11"/>
      <c r="F226" s="11"/>
      <c r="G226" s="11" t="s">
        <v>79</v>
      </c>
      <c r="H226" s="157"/>
      <c r="I226" s="100">
        <v>73561</v>
      </c>
      <c r="J226" s="81"/>
      <c r="K226" s="81"/>
    </row>
    <row r="227" spans="1:11" s="141" customFormat="1" ht="17.25" x14ac:dyDescent="0.35">
      <c r="A227" s="160"/>
      <c r="B227" s="11"/>
      <c r="C227" s="11"/>
      <c r="D227" s="11" t="s">
        <v>69</v>
      </c>
      <c r="E227" s="11">
        <v>1</v>
      </c>
      <c r="F227" s="11">
        <v>1</v>
      </c>
      <c r="G227" s="11"/>
      <c r="H227" s="157"/>
      <c r="I227" s="100"/>
      <c r="J227" s="81"/>
      <c r="K227" s="81"/>
    </row>
    <row r="228" spans="1:11" s="141" customFormat="1" ht="17.25" x14ac:dyDescent="0.35">
      <c r="A228" s="160" t="s">
        <v>511</v>
      </c>
      <c r="B228" s="11" t="s">
        <v>512</v>
      </c>
      <c r="C228" s="11" t="s">
        <v>71</v>
      </c>
      <c r="D228" s="11"/>
      <c r="E228" s="11"/>
      <c r="F228" s="11"/>
      <c r="G228" s="11" t="s">
        <v>239</v>
      </c>
      <c r="H228" s="157" t="s">
        <v>515</v>
      </c>
      <c r="I228" s="100">
        <v>72541</v>
      </c>
      <c r="J228" s="81"/>
      <c r="K228" s="81"/>
    </row>
    <row r="229" spans="1:11" s="141" customFormat="1" ht="17.25" x14ac:dyDescent="0.35">
      <c r="A229" s="160" t="s">
        <v>513</v>
      </c>
      <c r="B229" s="11" t="s">
        <v>514</v>
      </c>
      <c r="C229" s="11" t="s">
        <v>71</v>
      </c>
      <c r="D229" s="11"/>
      <c r="E229" s="11"/>
      <c r="F229" s="11"/>
      <c r="G229" s="11" t="s">
        <v>239</v>
      </c>
      <c r="H229" s="157" t="s">
        <v>516</v>
      </c>
      <c r="I229" s="100">
        <v>71524</v>
      </c>
      <c r="J229" s="81"/>
      <c r="K229" s="81"/>
    </row>
    <row r="230" spans="1:11" s="141" customFormat="1" ht="17.25" x14ac:dyDescent="0.35">
      <c r="A230" s="160" t="s">
        <v>555</v>
      </c>
      <c r="B230" s="11" t="s">
        <v>556</v>
      </c>
      <c r="C230" s="11" t="s">
        <v>1247</v>
      </c>
      <c r="D230" s="11"/>
      <c r="E230" s="11"/>
      <c r="F230" s="11"/>
      <c r="G230" s="11" t="s">
        <v>239</v>
      </c>
      <c r="H230" s="157" t="s">
        <v>557</v>
      </c>
      <c r="I230" s="100">
        <v>73755</v>
      </c>
      <c r="J230" s="81"/>
      <c r="K230" s="81"/>
    </row>
    <row r="231" spans="1:11" s="141" customFormat="1" ht="17.25" x14ac:dyDescent="0.35">
      <c r="A231" s="160" t="s">
        <v>630</v>
      </c>
      <c r="B231" s="11" t="s">
        <v>631</v>
      </c>
      <c r="C231" s="11" t="s">
        <v>90</v>
      </c>
      <c r="D231" s="11"/>
      <c r="E231" s="11"/>
      <c r="F231" s="11"/>
      <c r="G231" s="11" t="s">
        <v>239</v>
      </c>
      <c r="H231" s="157"/>
      <c r="I231" s="100">
        <v>67261</v>
      </c>
      <c r="J231" s="81"/>
      <c r="K231" s="81"/>
    </row>
    <row r="232" spans="1:11" s="141" customFormat="1" ht="17.25" x14ac:dyDescent="0.35">
      <c r="A232" s="160"/>
      <c r="B232" s="11"/>
      <c r="C232" s="11"/>
      <c r="D232" s="11" t="s">
        <v>69</v>
      </c>
      <c r="E232" s="11">
        <v>2</v>
      </c>
      <c r="F232" s="11">
        <v>0</v>
      </c>
      <c r="G232" s="11"/>
      <c r="H232" s="157"/>
      <c r="I232" s="100" t="s">
        <v>632</v>
      </c>
      <c r="J232" s="81"/>
      <c r="K232" s="81"/>
    </row>
    <row r="233" spans="1:11" s="141" customFormat="1" ht="17.25" x14ac:dyDescent="0.35">
      <c r="A233" s="160"/>
      <c r="B233" s="11"/>
      <c r="C233" s="11"/>
      <c r="D233" s="11" t="s">
        <v>69</v>
      </c>
      <c r="E233" s="11">
        <v>2</v>
      </c>
      <c r="F233" s="11">
        <v>0</v>
      </c>
      <c r="G233" s="11"/>
      <c r="H233" s="157"/>
      <c r="I233" s="100" t="s">
        <v>1145</v>
      </c>
      <c r="J233" s="81"/>
      <c r="K233" s="81"/>
    </row>
    <row r="234" spans="1:11" s="141" customFormat="1" ht="17.25" x14ac:dyDescent="0.35">
      <c r="A234" s="160"/>
      <c r="B234" s="11"/>
      <c r="C234" s="11"/>
      <c r="D234" s="11" t="s">
        <v>69</v>
      </c>
      <c r="E234" s="11">
        <v>1</v>
      </c>
      <c r="F234" s="11">
        <v>0</v>
      </c>
      <c r="G234" s="11"/>
      <c r="H234" s="157"/>
      <c r="I234" s="100" t="s">
        <v>1146</v>
      </c>
      <c r="J234" s="81"/>
      <c r="K234" s="81"/>
    </row>
    <row r="235" spans="1:11" s="141" customFormat="1" ht="17.25" x14ac:dyDescent="0.35">
      <c r="A235" s="160"/>
      <c r="B235" s="11"/>
      <c r="C235" s="11"/>
      <c r="D235" s="11" t="s">
        <v>69</v>
      </c>
      <c r="E235" s="11">
        <v>1</v>
      </c>
      <c r="F235" s="11">
        <v>1</v>
      </c>
      <c r="G235" s="11"/>
      <c r="H235" s="157"/>
      <c r="I235" s="100" t="s">
        <v>635</v>
      </c>
      <c r="J235" s="81"/>
      <c r="K235" s="81"/>
    </row>
    <row r="236" spans="1:11" s="141" customFormat="1" ht="17.25" x14ac:dyDescent="0.35">
      <c r="A236" s="160"/>
      <c r="B236" s="11"/>
      <c r="C236" s="11"/>
      <c r="D236" s="11" t="s">
        <v>69</v>
      </c>
      <c r="E236" s="11">
        <v>2</v>
      </c>
      <c r="F236" s="11">
        <v>0</v>
      </c>
      <c r="G236" s="11"/>
      <c r="H236" s="157"/>
      <c r="I236" s="100" t="s">
        <v>636</v>
      </c>
      <c r="J236" s="81"/>
      <c r="K236" s="81"/>
    </row>
    <row r="237" spans="1:11" s="141" customFormat="1" ht="17.25" x14ac:dyDescent="0.35">
      <c r="A237" s="160"/>
      <c r="B237" s="11"/>
      <c r="C237" s="11"/>
      <c r="D237" s="11" t="s">
        <v>69</v>
      </c>
      <c r="E237" s="11">
        <v>1</v>
      </c>
      <c r="F237" s="11">
        <v>0</v>
      </c>
      <c r="G237" s="11"/>
      <c r="H237" s="157"/>
      <c r="I237" s="100" t="s">
        <v>638</v>
      </c>
      <c r="J237" s="81"/>
      <c r="K237" s="81"/>
    </row>
    <row r="238" spans="1:11" s="141" customFormat="1" ht="17.25" x14ac:dyDescent="0.35">
      <c r="A238" s="160"/>
      <c r="B238" s="11"/>
      <c r="C238" s="11"/>
      <c r="D238" s="11" t="s">
        <v>69</v>
      </c>
      <c r="E238" s="11">
        <v>4</v>
      </c>
      <c r="F238" s="11">
        <v>0</v>
      </c>
      <c r="G238" s="11"/>
      <c r="H238" s="157"/>
      <c r="I238" s="100" t="s">
        <v>637</v>
      </c>
      <c r="J238" s="81"/>
      <c r="K238" s="81"/>
    </row>
    <row r="239" spans="1:11" s="141" customFormat="1" ht="17.25" x14ac:dyDescent="0.35">
      <c r="A239" s="160"/>
      <c r="B239" s="11"/>
      <c r="C239" s="11"/>
      <c r="D239" s="11" t="s">
        <v>69</v>
      </c>
      <c r="E239" s="11">
        <v>1</v>
      </c>
      <c r="F239" s="11">
        <v>4</v>
      </c>
      <c r="G239" s="11"/>
      <c r="H239" s="157"/>
      <c r="I239" s="100" t="s">
        <v>639</v>
      </c>
      <c r="J239" s="81"/>
      <c r="K239" s="81"/>
    </row>
    <row r="240" spans="1:11" s="141" customFormat="1" ht="17.25" x14ac:dyDescent="0.35">
      <c r="A240" s="160"/>
      <c r="B240" s="11"/>
      <c r="C240" s="11"/>
      <c r="D240" s="11"/>
      <c r="E240" s="11"/>
      <c r="F240" s="11"/>
      <c r="G240" s="11"/>
      <c r="H240" s="157"/>
      <c r="I240" s="100"/>
      <c r="J240" s="81"/>
      <c r="K240" s="81"/>
    </row>
    <row r="241" spans="1:9" s="26" customFormat="1" ht="17.25" x14ac:dyDescent="0.35">
      <c r="A241" s="318" t="s">
        <v>519</v>
      </c>
      <c r="B241" s="299" t="s">
        <v>520</v>
      </c>
      <c r="C241" s="299" t="s">
        <v>71</v>
      </c>
      <c r="D241" s="299"/>
      <c r="E241" s="299"/>
      <c r="F241" s="299"/>
      <c r="G241" s="299" t="s">
        <v>239</v>
      </c>
      <c r="H241" s="300" t="s">
        <v>1234</v>
      </c>
      <c r="I241" s="117">
        <v>73596</v>
      </c>
    </row>
    <row r="242" spans="1:9" s="56" customFormat="1" ht="17.25" x14ac:dyDescent="0.35">
      <c r="A242" s="282" t="s">
        <v>551</v>
      </c>
      <c r="B242" s="124" t="s">
        <v>552</v>
      </c>
      <c r="C242" s="124" t="s">
        <v>71</v>
      </c>
      <c r="D242" s="124"/>
      <c r="E242" s="124"/>
      <c r="F242" s="124"/>
      <c r="G242" s="124" t="s">
        <v>239</v>
      </c>
      <c r="H242" s="272" t="s">
        <v>553</v>
      </c>
      <c r="I242" s="117" t="s">
        <v>554</v>
      </c>
    </row>
    <row r="243" spans="1:9" s="26" customFormat="1" ht="15.75" thickBot="1" x14ac:dyDescent="0.35">
      <c r="A243" s="146"/>
      <c r="B243" s="146"/>
      <c r="C243" s="146"/>
      <c r="D243" s="146"/>
      <c r="E243" s="146"/>
      <c r="F243" s="146"/>
      <c r="G243" s="146"/>
      <c r="H243" s="146"/>
      <c r="I243" s="146"/>
    </row>
    <row r="244" spans="1:9" s="26" customFormat="1" ht="19.5" x14ac:dyDescent="0.4">
      <c r="A244" s="521" t="s">
        <v>95</v>
      </c>
      <c r="B244" s="522"/>
      <c r="C244" s="522"/>
      <c r="D244" s="522"/>
      <c r="E244" s="522"/>
      <c r="F244" s="522"/>
      <c r="G244" s="522"/>
      <c r="H244" s="523"/>
      <c r="I244" s="31"/>
    </row>
    <row r="245" spans="1:9" ht="17.25" x14ac:dyDescent="0.35">
      <c r="A245" s="73" t="s">
        <v>112</v>
      </c>
      <c r="B245" s="73"/>
      <c r="C245" s="78" t="s">
        <v>67</v>
      </c>
      <c r="D245" s="73" t="s">
        <v>113</v>
      </c>
      <c r="E245" s="73" t="s">
        <v>114</v>
      </c>
      <c r="F245" s="78" t="s">
        <v>115</v>
      </c>
      <c r="G245" s="73" t="s">
        <v>74</v>
      </c>
      <c r="H245" s="72"/>
    </row>
    <row r="246" spans="1:9" ht="17.25" x14ac:dyDescent="0.35">
      <c r="A246" s="73" t="s">
        <v>111</v>
      </c>
      <c r="B246" s="73"/>
      <c r="C246" s="20" t="s">
        <v>96</v>
      </c>
      <c r="D246" s="19"/>
      <c r="E246" s="19"/>
      <c r="F246" s="289"/>
      <c r="G246" s="19" t="s">
        <v>46</v>
      </c>
      <c r="H246" s="72"/>
    </row>
    <row r="247" spans="1:9" ht="17.25" x14ac:dyDescent="0.35">
      <c r="A247" s="73" t="s">
        <v>97</v>
      </c>
      <c r="B247" s="73"/>
      <c r="C247" s="20"/>
      <c r="D247" s="19" t="s">
        <v>69</v>
      </c>
      <c r="E247" s="19">
        <v>1</v>
      </c>
      <c r="F247" s="289">
        <v>0</v>
      </c>
      <c r="G247" s="19"/>
      <c r="H247" s="72"/>
    </row>
    <row r="248" spans="1:9" ht="17.25" x14ac:dyDescent="0.35">
      <c r="A248" s="73" t="s">
        <v>98</v>
      </c>
      <c r="B248" s="73"/>
      <c r="C248" s="20"/>
      <c r="D248" s="19" t="s">
        <v>69</v>
      </c>
      <c r="E248" s="19">
        <v>2</v>
      </c>
      <c r="F248" s="289">
        <v>2</v>
      </c>
      <c r="G248" s="19"/>
      <c r="H248" s="72"/>
    </row>
    <row r="249" spans="1:9" ht="17.25" x14ac:dyDescent="0.35">
      <c r="A249" s="73" t="s">
        <v>99</v>
      </c>
      <c r="B249" s="73"/>
      <c r="C249" s="20"/>
      <c r="D249" s="19" t="s">
        <v>69</v>
      </c>
      <c r="E249" s="19">
        <v>2</v>
      </c>
      <c r="F249" s="289" t="s">
        <v>116</v>
      </c>
      <c r="G249" s="19"/>
      <c r="H249" s="72"/>
    </row>
    <row r="250" spans="1:9" ht="17.25" x14ac:dyDescent="0.35">
      <c r="A250" s="73" t="s">
        <v>100</v>
      </c>
      <c r="B250" s="73"/>
      <c r="C250" s="20"/>
      <c r="D250" s="19" t="s">
        <v>69</v>
      </c>
      <c r="E250" s="19">
        <v>1</v>
      </c>
      <c r="F250" s="289" t="s">
        <v>4</v>
      </c>
      <c r="G250" s="19"/>
      <c r="H250" s="72"/>
    </row>
    <row r="251" spans="1:9" ht="17.25" x14ac:dyDescent="0.35">
      <c r="A251" s="73" t="s">
        <v>101</v>
      </c>
      <c r="B251" s="73"/>
      <c r="C251" s="20"/>
      <c r="D251" s="19" t="s">
        <v>69</v>
      </c>
      <c r="E251" s="19">
        <v>2</v>
      </c>
      <c r="F251" s="289">
        <v>4</v>
      </c>
      <c r="G251" s="19"/>
      <c r="H251" s="72"/>
    </row>
    <row r="252" spans="1:9" ht="17.25" x14ac:dyDescent="0.35">
      <c r="A252" s="77" t="s">
        <v>102</v>
      </c>
      <c r="B252" s="77"/>
      <c r="C252" s="21"/>
      <c r="D252" s="14" t="s">
        <v>69</v>
      </c>
      <c r="E252" s="14">
        <v>4</v>
      </c>
      <c r="F252" s="290" t="s">
        <v>1632</v>
      </c>
      <c r="G252" s="14"/>
      <c r="H252" s="76"/>
      <c r="I252" s="15"/>
    </row>
    <row r="253" spans="1:9" ht="17.25" x14ac:dyDescent="0.35">
      <c r="A253" s="73" t="s">
        <v>103</v>
      </c>
      <c r="B253" s="73"/>
      <c r="C253" s="20"/>
      <c r="D253" s="19" t="s">
        <v>69</v>
      </c>
      <c r="E253" s="19">
        <v>1</v>
      </c>
      <c r="F253" s="289" t="s">
        <v>5</v>
      </c>
      <c r="G253" s="19"/>
      <c r="H253" s="72"/>
    </row>
    <row r="254" spans="1:9" ht="17.25" x14ac:dyDescent="0.35">
      <c r="A254" s="73" t="s">
        <v>104</v>
      </c>
      <c r="B254" s="73"/>
      <c r="C254" s="20"/>
      <c r="D254" s="19" t="s">
        <v>69</v>
      </c>
      <c r="E254" s="19">
        <v>2</v>
      </c>
      <c r="F254" s="289">
        <f>LEN(F255)</f>
        <v>18</v>
      </c>
      <c r="G254" s="19"/>
      <c r="H254" s="72"/>
    </row>
    <row r="255" spans="1:9" s="83" customFormat="1" ht="17.25" x14ac:dyDescent="0.35">
      <c r="A255" s="73" t="s">
        <v>105</v>
      </c>
      <c r="B255" s="73"/>
      <c r="C255" s="20"/>
      <c r="D255" s="19" t="s">
        <v>70</v>
      </c>
      <c r="E255" s="19">
        <f>F254</f>
        <v>18</v>
      </c>
      <c r="F255" s="75" t="s">
        <v>538</v>
      </c>
      <c r="G255" s="19"/>
      <c r="H255" s="72" t="s">
        <v>127</v>
      </c>
      <c r="I255" s="31"/>
    </row>
    <row r="256" spans="1:9" ht="17.25" x14ac:dyDescent="0.35">
      <c r="A256" s="73" t="s">
        <v>106</v>
      </c>
      <c r="B256" s="73"/>
      <c r="C256" s="20"/>
      <c r="D256" s="19" t="s">
        <v>69</v>
      </c>
      <c r="E256" s="19">
        <v>1</v>
      </c>
      <c r="F256" s="289" t="s">
        <v>117</v>
      </c>
      <c r="G256" s="19"/>
      <c r="H256" s="72"/>
    </row>
    <row r="257" spans="1:9" ht="17.25" x14ac:dyDescent="0.35">
      <c r="A257" s="90" t="s">
        <v>107</v>
      </c>
      <c r="B257" s="90"/>
      <c r="C257" s="91"/>
      <c r="D257" s="92" t="s">
        <v>69</v>
      </c>
      <c r="E257" s="92">
        <v>2</v>
      </c>
      <c r="F257" s="291">
        <f>SUM(E258:E259)+F259*E260</f>
        <v>18</v>
      </c>
      <c r="G257" s="92"/>
      <c r="H257" s="93"/>
    </row>
    <row r="258" spans="1:9" ht="17.25" x14ac:dyDescent="0.35">
      <c r="A258" s="94" t="s">
        <v>108</v>
      </c>
      <c r="B258" s="94"/>
      <c r="C258" s="95"/>
      <c r="D258" s="96" t="s">
        <v>69</v>
      </c>
      <c r="E258" s="96">
        <v>1</v>
      </c>
      <c r="F258" s="75">
        <v>0</v>
      </c>
      <c r="G258" s="96"/>
      <c r="H258" s="97"/>
    </row>
    <row r="259" spans="1:9" ht="17.25" x14ac:dyDescent="0.35">
      <c r="A259" s="94" t="s">
        <v>109</v>
      </c>
      <c r="B259" s="94"/>
      <c r="C259" s="95"/>
      <c r="D259" s="96" t="s">
        <v>69</v>
      </c>
      <c r="E259" s="96">
        <v>1</v>
      </c>
      <c r="F259" s="75">
        <f>LEN(F260)-LEN(SUBSTITUTE(F260,",","")) + 1</f>
        <v>4</v>
      </c>
      <c r="G259" s="96"/>
      <c r="H259" s="97"/>
    </row>
    <row r="260" spans="1:9" ht="17.25" x14ac:dyDescent="0.35">
      <c r="A260" s="94" t="s">
        <v>110</v>
      </c>
      <c r="B260" s="94"/>
      <c r="C260" s="95"/>
      <c r="D260" s="96" t="s">
        <v>77</v>
      </c>
      <c r="E260" s="96">
        <v>4</v>
      </c>
      <c r="F260" s="75" t="s">
        <v>1176</v>
      </c>
      <c r="G260" s="96"/>
      <c r="H260" s="97"/>
    </row>
    <row r="261" spans="1:9" ht="17.25" x14ac:dyDescent="0.35">
      <c r="A261" s="94" t="s">
        <v>405</v>
      </c>
      <c r="B261" s="94"/>
      <c r="C261" s="95"/>
      <c r="D261" s="96" t="s">
        <v>69</v>
      </c>
      <c r="E261" s="96">
        <v>1</v>
      </c>
      <c r="F261" s="75" t="s">
        <v>404</v>
      </c>
      <c r="G261" s="96"/>
      <c r="H261" s="97"/>
    </row>
    <row r="262" spans="1:9" ht="17.25" x14ac:dyDescent="0.35">
      <c r="A262" s="94" t="s">
        <v>403</v>
      </c>
      <c r="B262" s="94"/>
      <c r="C262" s="95"/>
      <c r="D262" s="96" t="s">
        <v>69</v>
      </c>
      <c r="E262" s="96">
        <v>2</v>
      </c>
      <c r="F262" s="75">
        <v>4</v>
      </c>
      <c r="G262" s="96"/>
      <c r="H262" s="97"/>
    </row>
    <row r="263" spans="1:9" ht="17.25" x14ac:dyDescent="0.35">
      <c r="A263" s="74" t="s">
        <v>402</v>
      </c>
      <c r="B263" s="73"/>
      <c r="C263" s="20"/>
      <c r="D263" s="14" t="s">
        <v>69</v>
      </c>
      <c r="E263" s="14">
        <v>4</v>
      </c>
      <c r="F263" s="293" t="str">
        <f>$F$252</f>
        <v>0x05011357</v>
      </c>
      <c r="G263" s="19"/>
      <c r="H263" s="72"/>
    </row>
    <row r="264" spans="1:9" ht="17.25" x14ac:dyDescent="0.35">
      <c r="A264" s="49" t="s">
        <v>558</v>
      </c>
      <c r="B264" s="49"/>
      <c r="C264" s="20"/>
      <c r="D264" s="19" t="s">
        <v>69</v>
      </c>
      <c r="E264" s="19">
        <v>1</v>
      </c>
      <c r="F264" s="289" t="s">
        <v>559</v>
      </c>
      <c r="G264" s="19"/>
      <c r="H264" s="50"/>
      <c r="I264" s="83"/>
    </row>
    <row r="265" spans="1:9" ht="17.25" x14ac:dyDescent="0.35">
      <c r="A265" s="98" t="s">
        <v>560</v>
      </c>
      <c r="B265" s="98"/>
      <c r="C265" s="95"/>
      <c r="D265" s="96" t="s">
        <v>69</v>
      </c>
      <c r="E265" s="96">
        <v>2</v>
      </c>
      <c r="F265" s="75">
        <f>2+F267*E268*2</f>
        <v>30</v>
      </c>
      <c r="G265" s="96"/>
      <c r="H265" s="99"/>
    </row>
    <row r="266" spans="1:9" ht="17.25" x14ac:dyDescent="0.35">
      <c r="A266" s="98" t="s">
        <v>561</v>
      </c>
      <c r="B266" s="98"/>
      <c r="C266" s="95"/>
      <c r="D266" s="96" t="s">
        <v>69</v>
      </c>
      <c r="E266" s="96">
        <v>1</v>
      </c>
      <c r="F266" s="75">
        <v>0</v>
      </c>
      <c r="G266" s="96"/>
      <c r="H266" s="99" t="s">
        <v>562</v>
      </c>
    </row>
    <row r="267" spans="1:9" ht="17.25" x14ac:dyDescent="0.35">
      <c r="A267" s="98" t="s">
        <v>563</v>
      </c>
      <c r="B267" s="98"/>
      <c r="C267" s="95"/>
      <c r="D267" s="96" t="s">
        <v>69</v>
      </c>
      <c r="E267" s="96">
        <v>1</v>
      </c>
      <c r="F267" s="75">
        <f>SUM(LEN(F268)-LEN(SUBSTITUTE(F268,"-","")))</f>
        <v>7</v>
      </c>
      <c r="G267" s="96"/>
      <c r="H267" s="99" t="s">
        <v>564</v>
      </c>
    </row>
    <row r="268" spans="1:9" ht="27.75" x14ac:dyDescent="0.35">
      <c r="A268" s="98" t="s">
        <v>565</v>
      </c>
      <c r="B268" s="98"/>
      <c r="C268" s="95"/>
      <c r="D268" s="96" t="s">
        <v>77</v>
      </c>
      <c r="E268" s="96">
        <v>2</v>
      </c>
      <c r="F268" s="75" t="s">
        <v>1212</v>
      </c>
      <c r="G268" s="96"/>
      <c r="H268" s="99"/>
    </row>
    <row r="269" spans="1:9" ht="17.25" x14ac:dyDescent="0.35">
      <c r="A269" s="366" t="s">
        <v>1189</v>
      </c>
      <c r="B269" s="366"/>
      <c r="C269" s="367"/>
      <c r="D269" s="368" t="s">
        <v>69</v>
      </c>
      <c r="E269" s="368">
        <v>1</v>
      </c>
      <c r="F269" s="370" t="s">
        <v>1190</v>
      </c>
      <c r="G269" s="368"/>
      <c r="H269" s="369"/>
    </row>
    <row r="270" spans="1:9" ht="17.25" x14ac:dyDescent="0.35">
      <c r="A270" s="366" t="s">
        <v>1191</v>
      </c>
      <c r="B270" s="366"/>
      <c r="C270" s="367"/>
      <c r="D270" s="368" t="s">
        <v>69</v>
      </c>
      <c r="E270" s="368">
        <v>2</v>
      </c>
      <c r="F270" s="370">
        <v>4</v>
      </c>
      <c r="G270" s="368"/>
      <c r="H270" s="369"/>
    </row>
    <row r="271" spans="1:9" ht="138" x14ac:dyDescent="0.35">
      <c r="A271" s="366" t="s">
        <v>1192</v>
      </c>
      <c r="B271" s="366"/>
      <c r="C271" s="367"/>
      <c r="D271" s="368" t="s">
        <v>69</v>
      </c>
      <c r="E271" s="368">
        <v>4</v>
      </c>
      <c r="F271" s="371" t="s">
        <v>1195</v>
      </c>
      <c r="G271" s="368"/>
      <c r="H271" s="369" t="s">
        <v>1194</v>
      </c>
    </row>
  </sheetData>
  <mergeCells count="2">
    <mergeCell ref="A4:H4"/>
    <mergeCell ref="A244:H24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283"/>
  <sheetViews>
    <sheetView topLeftCell="A147" zoomScale="70" zoomScaleNormal="70" workbookViewId="0">
      <selection activeCell="B1" sqref="B1"/>
    </sheetView>
  </sheetViews>
  <sheetFormatPr defaultColWidth="9.140625" defaultRowHeight="12.75" x14ac:dyDescent="0.2"/>
  <cols>
    <col min="1" max="1" width="38.5703125" style="31" customWidth="1"/>
    <col min="2" max="2" width="78.7109375" style="31" bestFit="1" customWidth="1"/>
    <col min="3" max="3" width="13.42578125" style="31" bestFit="1" customWidth="1"/>
    <col min="4" max="4" width="12.85546875" style="31" bestFit="1" customWidth="1"/>
    <col min="5" max="5" width="44.85546875" style="31" bestFit="1" customWidth="1"/>
    <col min="6" max="6" width="43.7109375" style="31" customWidth="1"/>
    <col min="7" max="7" width="15.85546875" style="31" bestFit="1" customWidth="1"/>
    <col min="8" max="8" width="92.85546875" style="31" customWidth="1"/>
    <col min="9" max="9" width="62.7109375" style="31" customWidth="1"/>
    <col min="10" max="10" width="13" style="31" customWidth="1"/>
    <col min="11" max="11" width="72.42578125" style="31" bestFit="1" customWidth="1"/>
    <col min="12" max="12" width="38.42578125" style="31" bestFit="1" customWidth="1"/>
    <col min="13" max="16384" width="9.140625" style="31"/>
  </cols>
  <sheetData>
    <row r="1" spans="1:14" s="26" customFormat="1" x14ac:dyDescent="0.2"/>
    <row r="2" spans="1:14" s="34" customFormat="1" ht="45" customHeight="1" x14ac:dyDescent="0.55000000000000004">
      <c r="A2" s="39" t="s">
        <v>341</v>
      </c>
      <c r="B2" s="39"/>
      <c r="C2" s="39"/>
      <c r="D2" s="39"/>
      <c r="E2" s="39"/>
      <c r="F2" s="39"/>
      <c r="G2" s="39"/>
      <c r="H2" s="39"/>
    </row>
    <row r="3" spans="1:14" s="26" customFormat="1" ht="13.5" thickBot="1" x14ac:dyDescent="0.25">
      <c r="B3" s="13"/>
    </row>
    <row r="4" spans="1:14" s="40" customFormat="1" ht="20.25" thickBot="1" x14ac:dyDescent="0.45">
      <c r="A4" s="515" t="s">
        <v>237</v>
      </c>
      <c r="B4" s="516"/>
      <c r="C4" s="516"/>
      <c r="D4" s="516"/>
      <c r="E4" s="516"/>
      <c r="F4" s="516"/>
      <c r="G4" s="516"/>
      <c r="H4" s="517"/>
    </row>
    <row r="5" spans="1:14" s="26" customFormat="1" ht="20.25" thickBot="1" x14ac:dyDescent="0.45">
      <c r="A5" s="41" t="s">
        <v>9</v>
      </c>
      <c r="B5" s="35" t="s">
        <v>8</v>
      </c>
      <c r="C5" s="36" t="s">
        <v>146</v>
      </c>
      <c r="D5" s="37" t="s">
        <v>147</v>
      </c>
      <c r="E5" s="36" t="s">
        <v>10</v>
      </c>
      <c r="F5" s="36" t="s">
        <v>68</v>
      </c>
      <c r="G5" s="36" t="s">
        <v>148</v>
      </c>
      <c r="H5" s="38" t="s">
        <v>11</v>
      </c>
      <c r="I5" s="33"/>
    </row>
    <row r="6" spans="1:14" s="56" customFormat="1" ht="17.25" x14ac:dyDescent="0.35">
      <c r="A6" s="228" t="s">
        <v>12</v>
      </c>
      <c r="B6" s="179">
        <v>5</v>
      </c>
      <c r="C6" s="179" t="s">
        <v>69</v>
      </c>
      <c r="D6" s="179">
        <v>1</v>
      </c>
      <c r="E6" s="225" t="s">
        <v>14</v>
      </c>
      <c r="F6" s="179">
        <v>2</v>
      </c>
      <c r="G6" s="179"/>
      <c r="H6" s="217" t="s">
        <v>315</v>
      </c>
      <c r="N6" s="139"/>
    </row>
    <row r="7" spans="1:14" s="56" customFormat="1" ht="17.25" x14ac:dyDescent="0.35">
      <c r="A7" s="257" t="s">
        <v>13</v>
      </c>
      <c r="B7" s="136">
        <v>6</v>
      </c>
      <c r="C7" s="136" t="s">
        <v>69</v>
      </c>
      <c r="D7" s="136">
        <v>1</v>
      </c>
      <c r="E7" s="114" t="s">
        <v>15</v>
      </c>
      <c r="F7" s="136">
        <v>6</v>
      </c>
      <c r="G7" s="136" t="s">
        <v>79</v>
      </c>
      <c r="H7" s="255" t="s">
        <v>7</v>
      </c>
      <c r="N7" s="139"/>
    </row>
    <row r="8" spans="1:14" s="56" customFormat="1" ht="17.25" x14ac:dyDescent="0.35">
      <c r="A8" s="257" t="s">
        <v>39</v>
      </c>
      <c r="B8" s="136">
        <v>71</v>
      </c>
      <c r="C8" s="136"/>
      <c r="D8" s="136"/>
      <c r="E8" s="114" t="s">
        <v>40</v>
      </c>
      <c r="F8" s="136"/>
      <c r="G8" s="136" t="s">
        <v>239</v>
      </c>
      <c r="H8" s="255" t="s">
        <v>7</v>
      </c>
      <c r="I8" s="137"/>
    </row>
    <row r="9" spans="1:14" s="56" customFormat="1" ht="69" x14ac:dyDescent="0.35">
      <c r="A9" s="257"/>
      <c r="B9" s="136"/>
      <c r="C9" s="136" t="s">
        <v>70</v>
      </c>
      <c r="D9" s="136">
        <v>13</v>
      </c>
      <c r="E9" s="114" t="s">
        <v>41</v>
      </c>
      <c r="F9" s="136" t="s">
        <v>448</v>
      </c>
      <c r="G9" s="136"/>
      <c r="H9" s="219" t="s">
        <v>312</v>
      </c>
      <c r="I9" s="137"/>
    </row>
    <row r="10" spans="1:14" s="56" customFormat="1" ht="17.25" x14ac:dyDescent="0.35">
      <c r="A10" s="257" t="s">
        <v>149</v>
      </c>
      <c r="B10" s="136">
        <v>400</v>
      </c>
      <c r="C10" s="136" t="s">
        <v>69</v>
      </c>
      <c r="D10" s="136">
        <v>1</v>
      </c>
      <c r="E10" s="114" t="s">
        <v>150</v>
      </c>
      <c r="F10" s="136">
        <v>0</v>
      </c>
      <c r="G10" s="136" t="s">
        <v>239</v>
      </c>
      <c r="H10" s="255" t="s">
        <v>151</v>
      </c>
      <c r="I10" s="137"/>
    </row>
    <row r="11" spans="1:14" s="56" customFormat="1" ht="17.25" x14ac:dyDescent="0.35">
      <c r="A11" s="257" t="s">
        <v>28</v>
      </c>
      <c r="B11" s="136">
        <v>405</v>
      </c>
      <c r="C11" s="136"/>
      <c r="D11" s="136"/>
      <c r="E11" s="114" t="s">
        <v>29</v>
      </c>
      <c r="F11" s="136"/>
      <c r="G11" s="136" t="s">
        <v>79</v>
      </c>
      <c r="H11" s="255"/>
      <c r="I11" s="137"/>
    </row>
    <row r="12" spans="1:14" s="56" customFormat="1" ht="17.25" x14ac:dyDescent="0.35">
      <c r="A12" s="257"/>
      <c r="B12" s="136"/>
      <c r="C12" s="136" t="s">
        <v>69</v>
      </c>
      <c r="D12" s="136">
        <v>2</v>
      </c>
      <c r="E12" s="114" t="s">
        <v>30</v>
      </c>
      <c r="F12" s="136">
        <v>3</v>
      </c>
      <c r="G12" s="136"/>
      <c r="H12" s="255" t="s">
        <v>31</v>
      </c>
      <c r="I12" s="137"/>
    </row>
    <row r="13" spans="1:14" s="56" customFormat="1" ht="17.25" x14ac:dyDescent="0.35">
      <c r="A13" s="257" t="s">
        <v>32</v>
      </c>
      <c r="B13" s="136">
        <v>818</v>
      </c>
      <c r="C13" s="136" t="s">
        <v>69</v>
      </c>
      <c r="D13" s="136">
        <v>1</v>
      </c>
      <c r="E13" s="114" t="s">
        <v>33</v>
      </c>
      <c r="F13" s="136" t="s">
        <v>445</v>
      </c>
      <c r="G13" s="136" t="s">
        <v>79</v>
      </c>
      <c r="H13" s="255"/>
      <c r="I13" s="137"/>
    </row>
    <row r="14" spans="1:14" s="56" customFormat="1" ht="17.25" x14ac:dyDescent="0.35">
      <c r="A14" s="257" t="s">
        <v>81</v>
      </c>
      <c r="B14" s="136">
        <v>880</v>
      </c>
      <c r="C14" s="136" t="s">
        <v>69</v>
      </c>
      <c r="D14" s="136">
        <v>1</v>
      </c>
      <c r="E14" s="114"/>
      <c r="F14" s="136">
        <v>1</v>
      </c>
      <c r="G14" s="136" t="s">
        <v>239</v>
      </c>
      <c r="H14" s="255"/>
      <c r="I14" s="137"/>
    </row>
    <row r="15" spans="1:14" s="56" customFormat="1" ht="17.25" x14ac:dyDescent="0.35">
      <c r="A15" s="257" t="s">
        <v>82</v>
      </c>
      <c r="B15" s="136">
        <v>881</v>
      </c>
      <c r="C15" s="136" t="s">
        <v>69</v>
      </c>
      <c r="D15" s="136">
        <v>1</v>
      </c>
      <c r="E15" s="114"/>
      <c r="F15" s="136">
        <v>1</v>
      </c>
      <c r="G15" s="136" t="s">
        <v>239</v>
      </c>
      <c r="H15" s="255"/>
      <c r="I15" s="137"/>
    </row>
    <row r="16" spans="1:14" s="56" customFormat="1" ht="17.25" x14ac:dyDescent="0.35">
      <c r="A16" s="257" t="s">
        <v>83</v>
      </c>
      <c r="B16" s="136">
        <v>882</v>
      </c>
      <c r="C16" s="136" t="s">
        <v>69</v>
      </c>
      <c r="D16" s="136">
        <v>1</v>
      </c>
      <c r="E16" s="114"/>
      <c r="F16" s="136">
        <v>0</v>
      </c>
      <c r="G16" s="136" t="s">
        <v>239</v>
      </c>
      <c r="H16" s="255"/>
      <c r="I16" s="137"/>
    </row>
    <row r="17" spans="1:9" s="56" customFormat="1" ht="17.25" x14ac:dyDescent="0.35">
      <c r="A17" s="257" t="s">
        <v>365</v>
      </c>
      <c r="B17" s="136">
        <v>906</v>
      </c>
      <c r="C17" s="136"/>
      <c r="D17" s="136"/>
      <c r="E17" s="114" t="s">
        <v>366</v>
      </c>
      <c r="F17" s="136"/>
      <c r="G17" s="136" t="s">
        <v>239</v>
      </c>
      <c r="H17" s="255"/>
      <c r="I17" s="137"/>
    </row>
    <row r="18" spans="1:9" s="56" customFormat="1" ht="17.25" x14ac:dyDescent="0.35">
      <c r="A18" s="257"/>
      <c r="B18" s="136"/>
      <c r="C18" s="136" t="s">
        <v>69</v>
      </c>
      <c r="D18" s="136">
        <v>1</v>
      </c>
      <c r="E18" s="114" t="s">
        <v>367</v>
      </c>
      <c r="F18" s="136">
        <v>9</v>
      </c>
      <c r="G18" s="136"/>
      <c r="H18" s="255"/>
      <c r="I18" s="137"/>
    </row>
    <row r="19" spans="1:9" s="56" customFormat="1" ht="17.25" x14ac:dyDescent="0.35">
      <c r="A19" s="257"/>
      <c r="B19" s="136"/>
      <c r="C19" s="136" t="s">
        <v>70</v>
      </c>
      <c r="D19" s="136">
        <v>127</v>
      </c>
      <c r="E19" s="114" t="s">
        <v>370</v>
      </c>
      <c r="F19" s="136" t="s">
        <v>368</v>
      </c>
      <c r="G19" s="136"/>
      <c r="H19" s="255"/>
      <c r="I19" s="137"/>
    </row>
    <row r="20" spans="1:9" s="56" customFormat="1" ht="17.25" x14ac:dyDescent="0.35">
      <c r="A20" s="257" t="s">
        <v>369</v>
      </c>
      <c r="B20" s="136">
        <v>910</v>
      </c>
      <c r="C20" s="136"/>
      <c r="D20" s="136"/>
      <c r="E20" s="114" t="s">
        <v>371</v>
      </c>
      <c r="F20" s="136"/>
      <c r="G20" s="136" t="s">
        <v>239</v>
      </c>
      <c r="H20" s="255"/>
      <c r="I20" s="137"/>
    </row>
    <row r="21" spans="1:9" s="56" customFormat="1" ht="17.25" x14ac:dyDescent="0.35">
      <c r="A21" s="257"/>
      <c r="B21" s="136"/>
      <c r="C21" s="136" t="s">
        <v>69</v>
      </c>
      <c r="D21" s="136">
        <v>1</v>
      </c>
      <c r="E21" s="114" t="s">
        <v>372</v>
      </c>
      <c r="F21" s="136">
        <f>LEN(F22)</f>
        <v>15</v>
      </c>
      <c r="G21" s="136"/>
      <c r="H21" s="255"/>
      <c r="I21" s="137"/>
    </row>
    <row r="22" spans="1:9" s="56" customFormat="1" ht="17.25" x14ac:dyDescent="0.35">
      <c r="A22" s="257"/>
      <c r="B22" s="136"/>
      <c r="C22" s="136" t="s">
        <v>70</v>
      </c>
      <c r="D22" s="136">
        <v>127</v>
      </c>
      <c r="E22" s="114" t="s">
        <v>373</v>
      </c>
      <c r="F22" s="144" t="s">
        <v>374</v>
      </c>
      <c r="G22" s="136"/>
      <c r="H22" s="255"/>
      <c r="I22" s="137"/>
    </row>
    <row r="23" spans="1:9" s="56" customFormat="1" ht="17.25" x14ac:dyDescent="0.35">
      <c r="A23" s="257" t="s">
        <v>17</v>
      </c>
      <c r="B23" s="136">
        <v>928</v>
      </c>
      <c r="C23" s="136" t="s">
        <v>69</v>
      </c>
      <c r="D23" s="136">
        <v>2</v>
      </c>
      <c r="E23" s="114" t="s">
        <v>18</v>
      </c>
      <c r="F23" s="136">
        <v>0</v>
      </c>
      <c r="G23" s="136" t="s">
        <v>79</v>
      </c>
      <c r="H23" s="255"/>
      <c r="I23" s="137"/>
    </row>
    <row r="24" spans="1:9" s="56" customFormat="1" ht="17.25" x14ac:dyDescent="0.35">
      <c r="A24" s="257" t="s">
        <v>19</v>
      </c>
      <c r="B24" s="136">
        <v>929</v>
      </c>
      <c r="C24" s="136" t="s">
        <v>69</v>
      </c>
      <c r="D24" s="136">
        <v>2</v>
      </c>
      <c r="E24" s="114" t="s">
        <v>20</v>
      </c>
      <c r="F24" s="136" t="s">
        <v>21</v>
      </c>
      <c r="G24" s="136" t="s">
        <v>79</v>
      </c>
      <c r="H24" s="255" t="s">
        <v>22</v>
      </c>
      <c r="I24" s="137"/>
    </row>
    <row r="25" spans="1:9" s="56" customFormat="1" ht="51.75" x14ac:dyDescent="0.35">
      <c r="A25" s="257" t="s">
        <v>34</v>
      </c>
      <c r="B25" s="136">
        <v>1018</v>
      </c>
      <c r="C25" s="136" t="s">
        <v>69</v>
      </c>
      <c r="D25" s="136">
        <v>2</v>
      </c>
      <c r="E25" s="114" t="s">
        <v>35</v>
      </c>
      <c r="F25" s="136" t="s">
        <v>444</v>
      </c>
      <c r="G25" s="136" t="s">
        <v>79</v>
      </c>
      <c r="H25" s="255" t="s">
        <v>152</v>
      </c>
      <c r="I25" s="137"/>
    </row>
    <row r="26" spans="1:9" s="56" customFormat="1" ht="17.25" x14ac:dyDescent="0.35">
      <c r="A26" s="257" t="s">
        <v>65</v>
      </c>
      <c r="B26" s="136">
        <v>1877</v>
      </c>
      <c r="C26" s="136"/>
      <c r="D26" s="136">
        <v>8</v>
      </c>
      <c r="E26" s="114" t="s">
        <v>66</v>
      </c>
      <c r="F26" s="136">
        <v>7</v>
      </c>
      <c r="G26" s="136"/>
      <c r="H26" s="255" t="s">
        <v>153</v>
      </c>
      <c r="I26" s="137"/>
    </row>
    <row r="27" spans="1:9" s="56" customFormat="1" ht="17.25" x14ac:dyDescent="0.35">
      <c r="A27" s="257" t="s">
        <v>25</v>
      </c>
      <c r="B27" s="136">
        <v>1907</v>
      </c>
      <c r="C27" s="136" t="s">
        <v>69</v>
      </c>
      <c r="D27" s="136">
        <v>1</v>
      </c>
      <c r="E27" s="114" t="s">
        <v>26</v>
      </c>
      <c r="F27" s="136">
        <v>1</v>
      </c>
      <c r="G27" s="136" t="s">
        <v>79</v>
      </c>
      <c r="H27" s="255"/>
      <c r="I27" s="137"/>
    </row>
    <row r="28" spans="1:9" s="56" customFormat="1" ht="34.5" x14ac:dyDescent="0.35">
      <c r="A28" s="257" t="s">
        <v>42</v>
      </c>
      <c r="B28" s="136">
        <v>1920</v>
      </c>
      <c r="C28" s="136" t="s">
        <v>69</v>
      </c>
      <c r="D28" s="136">
        <v>4</v>
      </c>
      <c r="E28" s="114" t="s">
        <v>43</v>
      </c>
      <c r="F28" s="136" t="s">
        <v>443</v>
      </c>
      <c r="G28" s="136" t="s">
        <v>239</v>
      </c>
      <c r="H28" s="255" t="s">
        <v>155</v>
      </c>
      <c r="I28" s="137"/>
    </row>
    <row r="29" spans="1:9" s="56" customFormat="1" ht="17.25" x14ac:dyDescent="0.35">
      <c r="A29" s="257" t="s">
        <v>156</v>
      </c>
      <c r="B29" s="136">
        <v>1993</v>
      </c>
      <c r="C29" s="136" t="s">
        <v>69</v>
      </c>
      <c r="D29" s="136">
        <v>1</v>
      </c>
      <c r="E29" s="114" t="s">
        <v>157</v>
      </c>
      <c r="F29" s="136">
        <v>2</v>
      </c>
      <c r="G29" s="136" t="s">
        <v>239</v>
      </c>
      <c r="H29" s="255" t="s">
        <v>158</v>
      </c>
      <c r="I29" s="137"/>
    </row>
    <row r="30" spans="1:9" s="56" customFormat="1" ht="17.25" x14ac:dyDescent="0.35">
      <c r="A30" s="257" t="s">
        <v>159</v>
      </c>
      <c r="B30" s="136">
        <v>1994</v>
      </c>
      <c r="C30" s="136" t="s">
        <v>69</v>
      </c>
      <c r="D30" s="136">
        <v>1</v>
      </c>
      <c r="E30" s="114" t="s">
        <v>160</v>
      </c>
      <c r="F30" s="136">
        <v>0</v>
      </c>
      <c r="G30" s="136" t="s">
        <v>239</v>
      </c>
      <c r="H30" s="255" t="s">
        <v>161</v>
      </c>
      <c r="I30" s="137"/>
    </row>
    <row r="31" spans="1:9" s="56" customFormat="1" ht="17.25" x14ac:dyDescent="0.35">
      <c r="A31" s="257" t="s">
        <v>162</v>
      </c>
      <c r="B31" s="136">
        <v>1995</v>
      </c>
      <c r="C31" s="136" t="s">
        <v>69</v>
      </c>
      <c r="D31" s="136">
        <v>2</v>
      </c>
      <c r="E31" s="114" t="s">
        <v>163</v>
      </c>
      <c r="F31" s="136">
        <v>65001</v>
      </c>
      <c r="G31" s="136" t="s">
        <v>239</v>
      </c>
      <c r="H31" s="255" t="s">
        <v>164</v>
      </c>
      <c r="I31" s="137"/>
    </row>
    <row r="32" spans="1:9" s="56" customFormat="1" ht="17.25" x14ac:dyDescent="0.35">
      <c r="A32" s="257" t="s">
        <v>165</v>
      </c>
      <c r="B32" s="136">
        <v>1997</v>
      </c>
      <c r="C32" s="136" t="s">
        <v>69</v>
      </c>
      <c r="D32" s="136">
        <v>4</v>
      </c>
      <c r="E32" s="114" t="s">
        <v>166</v>
      </c>
      <c r="F32" s="136" t="s">
        <v>84</v>
      </c>
      <c r="G32" s="136" t="s">
        <v>239</v>
      </c>
      <c r="H32" s="255" t="s">
        <v>167</v>
      </c>
      <c r="I32" s="137"/>
    </row>
    <row r="33" spans="1:9" s="56" customFormat="1" ht="17.25" x14ac:dyDescent="0.35">
      <c r="A33" s="257" t="s">
        <v>168</v>
      </c>
      <c r="B33" s="136">
        <v>3520</v>
      </c>
      <c r="C33" s="136" t="s">
        <v>69</v>
      </c>
      <c r="D33" s="136">
        <v>2</v>
      </c>
      <c r="E33" s="114" t="s">
        <v>169</v>
      </c>
      <c r="F33" s="136">
        <v>1</v>
      </c>
      <c r="G33" s="136" t="s">
        <v>239</v>
      </c>
      <c r="H33" s="255" t="s">
        <v>171</v>
      </c>
      <c r="I33" s="137"/>
    </row>
    <row r="34" spans="1:9" s="56" customFormat="1" ht="51.75" x14ac:dyDescent="0.35">
      <c r="A34" s="257" t="s">
        <v>172</v>
      </c>
      <c r="B34" s="136">
        <v>3758</v>
      </c>
      <c r="C34" s="136" t="s">
        <v>69</v>
      </c>
      <c r="D34" s="136">
        <v>1</v>
      </c>
      <c r="E34" s="114" t="s">
        <v>173</v>
      </c>
      <c r="F34" s="136">
        <v>1</v>
      </c>
      <c r="G34" s="136" t="s">
        <v>239</v>
      </c>
      <c r="H34" s="255" t="s">
        <v>174</v>
      </c>
      <c r="I34" s="137"/>
    </row>
    <row r="35" spans="1:9" s="56" customFormat="1" ht="17.25" x14ac:dyDescent="0.35">
      <c r="A35" s="257" t="s">
        <v>175</v>
      </c>
      <c r="B35" s="136">
        <v>4102</v>
      </c>
      <c r="C35" s="136" t="s">
        <v>69</v>
      </c>
      <c r="D35" s="136">
        <v>1</v>
      </c>
      <c r="E35" s="114" t="s">
        <v>176</v>
      </c>
      <c r="F35" s="136">
        <v>1</v>
      </c>
      <c r="G35" s="136" t="s">
        <v>79</v>
      </c>
      <c r="H35" s="255" t="s">
        <v>177</v>
      </c>
      <c r="I35" s="137"/>
    </row>
    <row r="36" spans="1:9" s="56" customFormat="1" ht="103.5" x14ac:dyDescent="0.35">
      <c r="A36" s="257" t="s">
        <v>178</v>
      </c>
      <c r="B36" s="136">
        <v>4228</v>
      </c>
      <c r="C36" s="136" t="s">
        <v>69</v>
      </c>
      <c r="D36" s="136">
        <v>1</v>
      </c>
      <c r="E36" s="114" t="s">
        <v>179</v>
      </c>
      <c r="F36" s="136">
        <v>1</v>
      </c>
      <c r="G36" s="136" t="s">
        <v>239</v>
      </c>
      <c r="H36" s="255" t="s">
        <v>180</v>
      </c>
      <c r="I36" s="137"/>
    </row>
    <row r="37" spans="1:9" s="56" customFormat="1" ht="17.25" x14ac:dyDescent="0.35">
      <c r="A37" s="257" t="s">
        <v>181</v>
      </c>
      <c r="B37" s="136">
        <v>4229</v>
      </c>
      <c r="C37" s="136" t="s">
        <v>69</v>
      </c>
      <c r="D37" s="136">
        <v>1</v>
      </c>
      <c r="E37" s="114" t="s">
        <v>182</v>
      </c>
      <c r="F37" s="136">
        <v>1</v>
      </c>
      <c r="G37" s="136"/>
      <c r="H37" s="255" t="s">
        <v>316</v>
      </c>
      <c r="I37" s="137"/>
    </row>
    <row r="38" spans="1:9" s="56" customFormat="1" ht="17.25" x14ac:dyDescent="0.35">
      <c r="A38" s="257" t="s">
        <v>36</v>
      </c>
      <c r="B38" s="136">
        <v>4366</v>
      </c>
      <c r="C38" s="136"/>
      <c r="D38" s="136"/>
      <c r="E38" s="114" t="s">
        <v>37</v>
      </c>
      <c r="F38" s="136"/>
      <c r="G38" s="136" t="s">
        <v>239</v>
      </c>
      <c r="H38" s="255"/>
      <c r="I38" s="137"/>
    </row>
    <row r="39" spans="1:9" s="56" customFormat="1" ht="17.25" x14ac:dyDescent="0.35">
      <c r="A39" s="257"/>
      <c r="B39" s="136"/>
      <c r="C39" s="136" t="s">
        <v>69</v>
      </c>
      <c r="D39" s="136">
        <v>4</v>
      </c>
      <c r="E39" s="114" t="s">
        <v>38</v>
      </c>
      <c r="F39" s="136">
        <v>6</v>
      </c>
      <c r="G39" s="136"/>
      <c r="H39" s="255" t="s">
        <v>183</v>
      </c>
      <c r="I39" s="137"/>
    </row>
    <row r="40" spans="1:9" s="56" customFormat="1" ht="17.25" x14ac:dyDescent="0.35">
      <c r="A40" s="229" t="s">
        <v>464</v>
      </c>
      <c r="B40" s="136">
        <v>3358</v>
      </c>
      <c r="C40" s="136" t="s">
        <v>69</v>
      </c>
      <c r="D40" s="136">
        <v>1</v>
      </c>
      <c r="E40" s="115" t="s">
        <v>465</v>
      </c>
      <c r="F40" s="136">
        <v>0</v>
      </c>
      <c r="G40" s="136" t="s">
        <v>239</v>
      </c>
      <c r="H40" s="218" t="s">
        <v>469</v>
      </c>
      <c r="I40" s="137"/>
    </row>
    <row r="41" spans="1:9" s="56" customFormat="1" ht="17.25" x14ac:dyDescent="0.35">
      <c r="A41" s="229" t="s">
        <v>466</v>
      </c>
      <c r="B41" s="136">
        <v>6264</v>
      </c>
      <c r="C41" s="136" t="s">
        <v>69</v>
      </c>
      <c r="D41" s="136">
        <v>4</v>
      </c>
      <c r="E41" s="115" t="s">
        <v>467</v>
      </c>
      <c r="F41" s="136">
        <v>1054</v>
      </c>
      <c r="G41" s="136" t="s">
        <v>239</v>
      </c>
      <c r="H41" s="218" t="s">
        <v>468</v>
      </c>
      <c r="I41" s="137"/>
    </row>
    <row r="42" spans="1:9" s="56" customFormat="1" ht="17.25" x14ac:dyDescent="0.35">
      <c r="A42" s="257" t="s">
        <v>184</v>
      </c>
      <c r="B42" s="136">
        <v>4698</v>
      </c>
      <c r="C42" s="136" t="s">
        <v>69</v>
      </c>
      <c r="D42" s="136">
        <v>4</v>
      </c>
      <c r="E42" s="114" t="s">
        <v>185</v>
      </c>
      <c r="F42" s="136" t="s">
        <v>463</v>
      </c>
      <c r="G42" s="136" t="s">
        <v>239</v>
      </c>
      <c r="H42" s="255" t="s">
        <v>187</v>
      </c>
      <c r="I42" s="137"/>
    </row>
    <row r="43" spans="1:9" s="56" customFormat="1" ht="17.25" x14ac:dyDescent="0.35">
      <c r="A43" s="257" t="s">
        <v>188</v>
      </c>
      <c r="B43" s="136">
        <v>4705</v>
      </c>
      <c r="C43" s="136" t="s">
        <v>69</v>
      </c>
      <c r="D43" s="136">
        <v>4</v>
      </c>
      <c r="E43" s="114" t="s">
        <v>189</v>
      </c>
      <c r="F43" s="136">
        <v>8000</v>
      </c>
      <c r="G43" s="136" t="s">
        <v>239</v>
      </c>
      <c r="H43" s="255" t="s">
        <v>190</v>
      </c>
      <c r="I43" s="137"/>
    </row>
    <row r="44" spans="1:9" s="56" customFormat="1" ht="17.25" x14ac:dyDescent="0.35">
      <c r="A44" s="257" t="s">
        <v>191</v>
      </c>
      <c r="B44" s="136">
        <v>4707</v>
      </c>
      <c r="C44" s="136" t="s">
        <v>69</v>
      </c>
      <c r="D44" s="136">
        <v>1</v>
      </c>
      <c r="E44" s="114" t="s">
        <v>192</v>
      </c>
      <c r="F44" s="136">
        <v>1</v>
      </c>
      <c r="G44" s="136" t="s">
        <v>239</v>
      </c>
      <c r="H44" s="255" t="s">
        <v>193</v>
      </c>
      <c r="I44" s="137"/>
    </row>
    <row r="45" spans="1:9" s="56" customFormat="1" ht="17.25" x14ac:dyDescent="0.35">
      <c r="A45" s="257" t="s">
        <v>194</v>
      </c>
      <c r="B45" s="136">
        <v>4927</v>
      </c>
      <c r="C45" s="136" t="s">
        <v>69</v>
      </c>
      <c r="D45" s="136">
        <v>1</v>
      </c>
      <c r="E45" s="114" t="s">
        <v>195</v>
      </c>
      <c r="F45" s="136">
        <v>1</v>
      </c>
      <c r="G45" s="136" t="s">
        <v>239</v>
      </c>
      <c r="H45" s="255" t="s">
        <v>196</v>
      </c>
      <c r="I45" s="137"/>
    </row>
    <row r="46" spans="1:9" s="56" customFormat="1" ht="17.25" x14ac:dyDescent="0.35">
      <c r="A46" s="257" t="s">
        <v>47</v>
      </c>
      <c r="B46" s="136">
        <v>10</v>
      </c>
      <c r="C46" s="136"/>
      <c r="D46" s="136"/>
      <c r="E46" s="114" t="s">
        <v>48</v>
      </c>
      <c r="F46" s="136"/>
      <c r="G46" s="136" t="s">
        <v>94</v>
      </c>
      <c r="H46" s="255" t="s">
        <v>7</v>
      </c>
    </row>
    <row r="47" spans="1:9" s="56" customFormat="1" ht="17.25" x14ac:dyDescent="0.35">
      <c r="A47" s="257"/>
      <c r="B47" s="136"/>
      <c r="C47" s="136" t="s">
        <v>69</v>
      </c>
      <c r="D47" s="136">
        <v>1</v>
      </c>
      <c r="E47" s="114" t="s">
        <v>16</v>
      </c>
      <c r="F47" s="136">
        <v>0</v>
      </c>
      <c r="G47" s="136"/>
      <c r="H47" s="255"/>
    </row>
    <row r="48" spans="1:9" s="56" customFormat="1" ht="17.25" x14ac:dyDescent="0.35">
      <c r="A48" s="257"/>
      <c r="B48" s="136"/>
      <c r="C48" s="136" t="s">
        <v>69</v>
      </c>
      <c r="D48" s="136">
        <v>2</v>
      </c>
      <c r="E48" s="114" t="s">
        <v>49</v>
      </c>
      <c r="F48" s="136">
        <v>4</v>
      </c>
      <c r="G48" s="136"/>
      <c r="H48" s="255" t="s">
        <v>7</v>
      </c>
    </row>
    <row r="49" spans="1:8" s="81" customFormat="1" ht="17.25" x14ac:dyDescent="0.35">
      <c r="A49" s="194" t="s">
        <v>47</v>
      </c>
      <c r="B49" s="136">
        <v>10</v>
      </c>
      <c r="C49" s="136"/>
      <c r="D49" s="138"/>
      <c r="E49" s="111" t="s">
        <v>48</v>
      </c>
      <c r="F49" s="136"/>
      <c r="G49" s="136" t="s">
        <v>238</v>
      </c>
      <c r="H49" s="220" t="s">
        <v>270</v>
      </c>
    </row>
    <row r="50" spans="1:8" s="81" customFormat="1" ht="17.25" x14ac:dyDescent="0.35">
      <c r="A50" s="194"/>
      <c r="B50" s="136" t="s">
        <v>244</v>
      </c>
      <c r="C50" s="136" t="s">
        <v>69</v>
      </c>
      <c r="D50" s="138">
        <v>1</v>
      </c>
      <c r="E50" s="111"/>
      <c r="F50" s="136" t="s">
        <v>6</v>
      </c>
      <c r="G50" s="136"/>
      <c r="H50" s="220"/>
    </row>
    <row r="51" spans="1:8" s="81" customFormat="1" ht="17.25" x14ac:dyDescent="0.35">
      <c r="A51" s="194"/>
      <c r="B51" s="136"/>
      <c r="C51" s="136" t="s">
        <v>69</v>
      </c>
      <c r="D51" s="138">
        <v>1</v>
      </c>
      <c r="E51" s="111" t="s">
        <v>16</v>
      </c>
      <c r="F51" s="136">
        <v>0</v>
      </c>
      <c r="G51" s="136"/>
      <c r="H51" s="220"/>
    </row>
    <row r="52" spans="1:8" s="81" customFormat="1" ht="17.25" x14ac:dyDescent="0.35">
      <c r="A52" s="194"/>
      <c r="B52" s="136"/>
      <c r="C52" s="136" t="s">
        <v>69</v>
      </c>
      <c r="D52" s="138">
        <v>2</v>
      </c>
      <c r="E52" s="111" t="s">
        <v>49</v>
      </c>
      <c r="F52" s="136">
        <v>13</v>
      </c>
      <c r="G52" s="136"/>
      <c r="H52" s="220" t="s">
        <v>7</v>
      </c>
    </row>
    <row r="53" spans="1:8" s="56" customFormat="1" ht="17.25" x14ac:dyDescent="0.35">
      <c r="A53" s="257" t="s">
        <v>197</v>
      </c>
      <c r="B53" s="136">
        <v>441</v>
      </c>
      <c r="C53" s="136"/>
      <c r="D53" s="136"/>
      <c r="E53" s="114" t="s">
        <v>119</v>
      </c>
      <c r="F53" s="136"/>
      <c r="G53" s="136" t="s">
        <v>238</v>
      </c>
      <c r="H53" s="255" t="s">
        <v>198</v>
      </c>
    </row>
    <row r="54" spans="1:8" s="56" customFormat="1" ht="17.25" x14ac:dyDescent="0.35">
      <c r="A54" s="257"/>
      <c r="B54" s="136"/>
      <c r="C54" s="136" t="s">
        <v>69</v>
      </c>
      <c r="D54" s="136">
        <v>1</v>
      </c>
      <c r="E54" s="114"/>
      <c r="F54" s="136">
        <v>0</v>
      </c>
      <c r="G54" s="136"/>
      <c r="H54" s="255"/>
    </row>
    <row r="55" spans="1:8" s="56" customFormat="1" ht="17.25" x14ac:dyDescent="0.35">
      <c r="A55" s="257"/>
      <c r="B55" s="136"/>
      <c r="C55" s="136" t="s">
        <v>69</v>
      </c>
      <c r="D55" s="136">
        <v>2</v>
      </c>
      <c r="E55" s="114"/>
      <c r="F55" s="136" t="s">
        <v>459</v>
      </c>
      <c r="G55" s="136"/>
      <c r="H55" s="255" t="s">
        <v>199</v>
      </c>
    </row>
    <row r="56" spans="1:8" s="56" customFormat="1" ht="17.25" x14ac:dyDescent="0.35">
      <c r="A56" s="196" t="s">
        <v>460</v>
      </c>
      <c r="B56" s="136">
        <v>946</v>
      </c>
      <c r="C56" s="136"/>
      <c r="D56" s="138"/>
      <c r="E56" s="86"/>
      <c r="F56" s="136"/>
      <c r="G56" s="138" t="s">
        <v>238</v>
      </c>
      <c r="H56" s="185"/>
    </row>
    <row r="57" spans="1:8" s="56" customFormat="1" ht="17.25" x14ac:dyDescent="0.35">
      <c r="A57" s="196"/>
      <c r="B57" s="136"/>
      <c r="C57" s="136" t="s">
        <v>69</v>
      </c>
      <c r="D57" s="138">
        <v>1</v>
      </c>
      <c r="E57" s="86" t="s">
        <v>16</v>
      </c>
      <c r="F57" s="136">
        <v>0</v>
      </c>
      <c r="G57" s="138"/>
      <c r="H57" s="185"/>
    </row>
    <row r="58" spans="1:8" s="56" customFormat="1" ht="17.25" x14ac:dyDescent="0.35">
      <c r="A58" s="196"/>
      <c r="B58" s="136"/>
      <c r="C58" s="136" t="s">
        <v>69</v>
      </c>
      <c r="D58" s="138">
        <v>2</v>
      </c>
      <c r="E58" s="86" t="s">
        <v>461</v>
      </c>
      <c r="F58" s="136" t="s">
        <v>462</v>
      </c>
      <c r="G58" s="138"/>
      <c r="H58" s="185" t="s">
        <v>7</v>
      </c>
    </row>
    <row r="59" spans="1:8" s="56" customFormat="1" ht="17.25" x14ac:dyDescent="0.35">
      <c r="A59" s="257" t="s">
        <v>200</v>
      </c>
      <c r="B59" s="136">
        <v>452</v>
      </c>
      <c r="C59" s="136" t="s">
        <v>69</v>
      </c>
      <c r="D59" s="136">
        <v>4</v>
      </c>
      <c r="E59" s="114" t="s">
        <v>201</v>
      </c>
      <c r="F59" s="136">
        <v>0</v>
      </c>
      <c r="G59" s="136" t="s">
        <v>239</v>
      </c>
      <c r="H59" s="255"/>
    </row>
    <row r="60" spans="1:8" s="56" customFormat="1" ht="17.25" x14ac:dyDescent="0.35">
      <c r="A60" s="257" t="s">
        <v>50</v>
      </c>
      <c r="B60" s="136">
        <v>3446</v>
      </c>
      <c r="C60" s="136"/>
      <c r="D60" s="136"/>
      <c r="E60" s="114" t="s">
        <v>51</v>
      </c>
      <c r="F60" s="136"/>
      <c r="G60" s="136"/>
      <c r="H60" s="255"/>
    </row>
    <row r="61" spans="1:8" s="56" customFormat="1" ht="17.25" x14ac:dyDescent="0.35">
      <c r="A61" s="257"/>
      <c r="B61" s="136"/>
      <c r="C61" s="136" t="s">
        <v>69</v>
      </c>
      <c r="D61" s="136">
        <v>2</v>
      </c>
      <c r="E61" s="114" t="s">
        <v>52</v>
      </c>
      <c r="F61" s="136">
        <v>258</v>
      </c>
      <c r="G61" s="136"/>
      <c r="H61" s="255"/>
    </row>
    <row r="62" spans="1:8" s="56" customFormat="1" ht="17.25" x14ac:dyDescent="0.35">
      <c r="A62" s="257"/>
      <c r="B62" s="136"/>
      <c r="C62" s="136" t="s">
        <v>69</v>
      </c>
      <c r="D62" s="136">
        <v>4</v>
      </c>
      <c r="E62" s="114" t="s">
        <v>53</v>
      </c>
      <c r="F62" s="136">
        <v>0</v>
      </c>
      <c r="G62" s="136"/>
      <c r="H62" s="255"/>
    </row>
    <row r="63" spans="1:8" s="56" customFormat="1" ht="17.25" x14ac:dyDescent="0.35">
      <c r="A63" s="257" t="s">
        <v>202</v>
      </c>
      <c r="B63" s="136">
        <v>4627</v>
      </c>
      <c r="C63" s="136" t="s">
        <v>69</v>
      </c>
      <c r="D63" s="136">
        <v>1</v>
      </c>
      <c r="E63" s="114" t="s">
        <v>203</v>
      </c>
      <c r="F63" s="136">
        <v>1</v>
      </c>
      <c r="G63" s="136" t="s">
        <v>239</v>
      </c>
      <c r="H63" s="255"/>
    </row>
    <row r="64" spans="1:8" s="56" customFormat="1" ht="17.25" x14ac:dyDescent="0.35">
      <c r="A64" s="257" t="s">
        <v>204</v>
      </c>
      <c r="B64" s="136">
        <v>4628</v>
      </c>
      <c r="C64" s="136" t="s">
        <v>69</v>
      </c>
      <c r="D64" s="136">
        <v>2</v>
      </c>
      <c r="E64" s="114" t="s">
        <v>205</v>
      </c>
      <c r="F64" s="136">
        <v>24</v>
      </c>
      <c r="G64" s="136" t="s">
        <v>239</v>
      </c>
      <c r="H64" s="255"/>
    </row>
    <row r="65" spans="1:13" s="56" customFormat="1" ht="17.25" x14ac:dyDescent="0.35">
      <c r="A65" s="257" t="s">
        <v>206</v>
      </c>
      <c r="B65" s="136">
        <v>4629</v>
      </c>
      <c r="C65" s="136" t="s">
        <v>69</v>
      </c>
      <c r="D65" s="136">
        <v>1</v>
      </c>
      <c r="E65" s="114" t="s">
        <v>207</v>
      </c>
      <c r="F65" s="136">
        <v>3</v>
      </c>
      <c r="G65" s="136" t="s">
        <v>239</v>
      </c>
      <c r="H65" s="255"/>
    </row>
    <row r="66" spans="1:13" s="56" customFormat="1" ht="17.25" x14ac:dyDescent="0.35">
      <c r="A66" s="257" t="s">
        <v>208</v>
      </c>
      <c r="B66" s="136">
        <v>4630</v>
      </c>
      <c r="C66" s="136" t="s">
        <v>69</v>
      </c>
      <c r="D66" s="136">
        <v>1</v>
      </c>
      <c r="E66" s="114" t="s">
        <v>209</v>
      </c>
      <c r="F66" s="136">
        <v>10</v>
      </c>
      <c r="G66" s="136" t="s">
        <v>239</v>
      </c>
      <c r="H66" s="255"/>
    </row>
    <row r="67" spans="1:13" s="56" customFormat="1" ht="17.25" x14ac:dyDescent="0.35">
      <c r="A67" s="257" t="s">
        <v>210</v>
      </c>
      <c r="B67" s="136">
        <v>4631</v>
      </c>
      <c r="C67" s="136" t="s">
        <v>69</v>
      </c>
      <c r="D67" s="136">
        <v>1</v>
      </c>
      <c r="E67" s="114" t="s">
        <v>211</v>
      </c>
      <c r="F67" s="136">
        <v>0</v>
      </c>
      <c r="G67" s="136" t="s">
        <v>239</v>
      </c>
      <c r="H67" s="255"/>
    </row>
    <row r="68" spans="1:13" s="56" customFormat="1" ht="17.25" x14ac:dyDescent="0.35">
      <c r="A68" s="257" t="s">
        <v>212</v>
      </c>
      <c r="B68" s="136">
        <v>4676</v>
      </c>
      <c r="C68" s="136" t="s">
        <v>69</v>
      </c>
      <c r="D68" s="136">
        <v>4</v>
      </c>
      <c r="E68" s="114" t="s">
        <v>213</v>
      </c>
      <c r="F68" s="136">
        <v>0</v>
      </c>
      <c r="G68" s="136" t="s">
        <v>239</v>
      </c>
      <c r="H68" s="255" t="s">
        <v>214</v>
      </c>
    </row>
    <row r="69" spans="1:13" s="56" customFormat="1" ht="17.25" x14ac:dyDescent="0.35">
      <c r="A69" s="257" t="s">
        <v>215</v>
      </c>
      <c r="B69" s="136">
        <v>4677</v>
      </c>
      <c r="C69" s="136" t="s">
        <v>69</v>
      </c>
      <c r="D69" s="136">
        <v>4</v>
      </c>
      <c r="E69" s="114" t="s">
        <v>216</v>
      </c>
      <c r="F69" s="136">
        <v>0</v>
      </c>
      <c r="G69" s="136" t="s">
        <v>239</v>
      </c>
      <c r="H69" s="255" t="s">
        <v>214</v>
      </c>
    </row>
    <row r="70" spans="1:13" s="56" customFormat="1" ht="17.25" x14ac:dyDescent="0.35">
      <c r="A70" s="257" t="s">
        <v>217</v>
      </c>
      <c r="B70" s="136">
        <v>5047</v>
      </c>
      <c r="C70" s="136"/>
      <c r="D70" s="136"/>
      <c r="E70" s="114" t="s">
        <v>218</v>
      </c>
      <c r="F70" s="136"/>
      <c r="G70" s="136" t="s">
        <v>239</v>
      </c>
      <c r="H70" s="255"/>
    </row>
    <row r="71" spans="1:13" s="56" customFormat="1" ht="17.25" x14ac:dyDescent="0.35">
      <c r="A71" s="257"/>
      <c r="B71" s="136"/>
      <c r="C71" s="136" t="s">
        <v>69</v>
      </c>
      <c r="D71" s="136">
        <v>4</v>
      </c>
      <c r="E71" s="114" t="s">
        <v>219</v>
      </c>
      <c r="F71" s="136">
        <v>2</v>
      </c>
      <c r="G71" s="136"/>
      <c r="H71" s="255"/>
    </row>
    <row r="72" spans="1:13" s="56" customFormat="1" ht="17.25" x14ac:dyDescent="0.35">
      <c r="A72" s="257"/>
      <c r="B72" s="136"/>
      <c r="C72" s="136" t="s">
        <v>69</v>
      </c>
      <c r="D72" s="136">
        <v>4</v>
      </c>
      <c r="E72" s="114" t="s">
        <v>220</v>
      </c>
      <c r="F72" s="136">
        <v>0</v>
      </c>
      <c r="G72" s="136"/>
      <c r="H72" s="255"/>
    </row>
    <row r="73" spans="1:13" s="56" customFormat="1" ht="17.25" x14ac:dyDescent="0.35">
      <c r="A73" s="257" t="s">
        <v>44</v>
      </c>
      <c r="B73" s="136">
        <v>5280</v>
      </c>
      <c r="C73" s="136" t="s">
        <v>69</v>
      </c>
      <c r="D73" s="136">
        <v>8</v>
      </c>
      <c r="E73" s="114" t="s">
        <v>45</v>
      </c>
      <c r="F73" s="136">
        <v>0</v>
      </c>
      <c r="G73" s="136" t="s">
        <v>239</v>
      </c>
      <c r="H73" s="255"/>
    </row>
    <row r="74" spans="1:13" s="56" customFormat="1" ht="17.25" x14ac:dyDescent="0.35">
      <c r="A74" s="257" t="s">
        <v>221</v>
      </c>
      <c r="B74" s="136">
        <v>6429</v>
      </c>
      <c r="C74" s="136"/>
      <c r="D74" s="136"/>
      <c r="E74" s="114" t="s">
        <v>222</v>
      </c>
      <c r="F74" s="136"/>
      <c r="G74" s="136" t="s">
        <v>94</v>
      </c>
      <c r="H74" s="255"/>
    </row>
    <row r="75" spans="1:13" s="56" customFormat="1" ht="17.25" x14ac:dyDescent="0.35">
      <c r="A75" s="257"/>
      <c r="B75" s="136"/>
      <c r="C75" s="136" t="s">
        <v>69</v>
      </c>
      <c r="D75" s="136">
        <v>1</v>
      </c>
      <c r="E75" s="114" t="s">
        <v>223</v>
      </c>
      <c r="F75" s="136">
        <v>0</v>
      </c>
      <c r="G75" s="136"/>
      <c r="H75" s="255"/>
    </row>
    <row r="76" spans="1:13" s="56" customFormat="1" ht="17.25" x14ac:dyDescent="0.35">
      <c r="A76" s="257"/>
      <c r="B76" s="136"/>
      <c r="C76" s="136" t="s">
        <v>69</v>
      </c>
      <c r="D76" s="136">
        <v>1</v>
      </c>
      <c r="E76" s="114" t="s">
        <v>224</v>
      </c>
      <c r="F76" s="136">
        <v>0</v>
      </c>
      <c r="G76" s="136"/>
      <c r="H76" s="255"/>
    </row>
    <row r="77" spans="1:13" s="56" customFormat="1" ht="17.25" x14ac:dyDescent="0.35">
      <c r="A77" s="257"/>
      <c r="B77" s="136"/>
      <c r="C77" s="136" t="s">
        <v>69</v>
      </c>
      <c r="D77" s="136">
        <v>2</v>
      </c>
      <c r="E77" s="114" t="s">
        <v>225</v>
      </c>
      <c r="F77" s="136">
        <v>37</v>
      </c>
      <c r="G77" s="136"/>
      <c r="H77" s="255"/>
      <c r="M77" s="139"/>
    </row>
    <row r="78" spans="1:13" s="56" customFormat="1" ht="17.25" x14ac:dyDescent="0.35">
      <c r="A78" s="257" t="s">
        <v>226</v>
      </c>
      <c r="B78" s="136">
        <v>6273</v>
      </c>
      <c r="C78" s="136" t="s">
        <v>69</v>
      </c>
      <c r="D78" s="136">
        <v>4</v>
      </c>
      <c r="E78" s="114" t="s">
        <v>227</v>
      </c>
      <c r="F78" s="136">
        <v>1</v>
      </c>
      <c r="G78" s="136" t="s">
        <v>239</v>
      </c>
      <c r="H78" s="255"/>
      <c r="M78" s="139"/>
    </row>
    <row r="79" spans="1:13" s="56" customFormat="1" ht="17.25" x14ac:dyDescent="0.35">
      <c r="A79" s="257" t="s">
        <v>228</v>
      </c>
      <c r="B79" s="136">
        <v>6274</v>
      </c>
      <c r="C79" s="136" t="s">
        <v>69</v>
      </c>
      <c r="D79" s="136">
        <v>4</v>
      </c>
      <c r="E79" s="114" t="s">
        <v>229</v>
      </c>
      <c r="F79" s="136">
        <v>1</v>
      </c>
      <c r="G79" s="136" t="s">
        <v>239</v>
      </c>
      <c r="H79" s="255"/>
      <c r="M79" s="139"/>
    </row>
    <row r="80" spans="1:13" s="56" customFormat="1" ht="17.25" x14ac:dyDescent="0.35">
      <c r="A80" s="257" t="s">
        <v>254</v>
      </c>
      <c r="B80" s="136">
        <v>285</v>
      </c>
      <c r="C80" s="136"/>
      <c r="D80" s="136"/>
      <c r="E80" s="114" t="s">
        <v>255</v>
      </c>
      <c r="F80" s="136"/>
      <c r="G80" s="136" t="s">
        <v>94</v>
      </c>
      <c r="H80" s="255"/>
      <c r="M80" s="139"/>
    </row>
    <row r="81" spans="1:13" s="56" customFormat="1" ht="17.25" x14ac:dyDescent="0.35">
      <c r="A81" s="257"/>
      <c r="B81" s="136"/>
      <c r="C81" s="136" t="s">
        <v>69</v>
      </c>
      <c r="D81" s="136">
        <v>1</v>
      </c>
      <c r="E81" s="114" t="s">
        <v>16</v>
      </c>
      <c r="F81" s="136">
        <v>0</v>
      </c>
      <c r="G81" s="136"/>
      <c r="H81" s="255"/>
      <c r="M81" s="139"/>
    </row>
    <row r="82" spans="1:13" s="56" customFormat="1" ht="17.25" x14ac:dyDescent="0.35">
      <c r="A82" s="257"/>
      <c r="B82" s="136"/>
      <c r="C82" s="136" t="s">
        <v>69</v>
      </c>
      <c r="D82" s="136">
        <v>1</v>
      </c>
      <c r="E82" s="114" t="s">
        <v>256</v>
      </c>
      <c r="F82" s="136">
        <v>1</v>
      </c>
      <c r="G82" s="136"/>
      <c r="H82" s="255"/>
      <c r="M82" s="139"/>
    </row>
    <row r="83" spans="1:13" s="56" customFormat="1" ht="17.25" x14ac:dyDescent="0.35">
      <c r="A83" s="257"/>
      <c r="B83" s="136"/>
      <c r="C83" s="136" t="s">
        <v>69</v>
      </c>
      <c r="D83" s="136">
        <v>2</v>
      </c>
      <c r="E83" s="114" t="s">
        <v>257</v>
      </c>
      <c r="F83" s="136">
        <v>3</v>
      </c>
      <c r="G83" s="136"/>
      <c r="H83" s="255"/>
      <c r="M83" s="139"/>
    </row>
    <row r="84" spans="1:13" s="56" customFormat="1" ht="17.25" x14ac:dyDescent="0.35">
      <c r="A84" s="257"/>
      <c r="B84" s="136"/>
      <c r="C84" s="136" t="s">
        <v>69</v>
      </c>
      <c r="D84" s="136">
        <v>2</v>
      </c>
      <c r="E84" s="114" t="s">
        <v>258</v>
      </c>
      <c r="F84" s="136">
        <v>3</v>
      </c>
      <c r="G84" s="136"/>
      <c r="H84" s="255"/>
      <c r="M84" s="139"/>
    </row>
    <row r="85" spans="1:13" s="81" customFormat="1" ht="17.25" x14ac:dyDescent="0.35">
      <c r="A85" s="257"/>
      <c r="B85" s="136"/>
      <c r="C85" s="136" t="s">
        <v>69</v>
      </c>
      <c r="D85" s="136">
        <v>2</v>
      </c>
      <c r="E85" s="114" t="s">
        <v>259</v>
      </c>
      <c r="F85" s="136">
        <v>3</v>
      </c>
      <c r="G85" s="136"/>
      <c r="H85" s="255"/>
    </row>
    <row r="86" spans="1:13" s="81" customFormat="1" ht="17.25" x14ac:dyDescent="0.35">
      <c r="A86" s="257" t="s">
        <v>260</v>
      </c>
      <c r="B86" s="136">
        <v>475</v>
      </c>
      <c r="C86" s="136" t="s">
        <v>69</v>
      </c>
      <c r="D86" s="136">
        <v>2</v>
      </c>
      <c r="E86" s="114" t="s">
        <v>261</v>
      </c>
      <c r="F86" s="136" t="s">
        <v>46</v>
      </c>
      <c r="G86" s="136" t="s">
        <v>79</v>
      </c>
      <c r="H86" s="255"/>
    </row>
    <row r="87" spans="1:13" s="56" customFormat="1" ht="17.25" x14ac:dyDescent="0.35">
      <c r="A87" s="194" t="s">
        <v>340</v>
      </c>
      <c r="B87" s="136">
        <v>562</v>
      </c>
      <c r="C87" s="136"/>
      <c r="D87" s="138"/>
      <c r="E87" s="111"/>
      <c r="F87" s="136"/>
      <c r="G87" s="136" t="s">
        <v>239</v>
      </c>
      <c r="H87" s="220"/>
      <c r="M87" s="139"/>
    </row>
    <row r="88" spans="1:13" s="56" customFormat="1" ht="17.25" x14ac:dyDescent="0.35">
      <c r="A88" s="194"/>
      <c r="B88" s="136" t="s">
        <v>244</v>
      </c>
      <c r="C88" s="136" t="s">
        <v>69</v>
      </c>
      <c r="D88" s="138">
        <v>1</v>
      </c>
      <c r="E88" s="111"/>
      <c r="F88" s="136" t="s">
        <v>6</v>
      </c>
      <c r="G88" s="136"/>
      <c r="H88" s="220"/>
      <c r="M88" s="139"/>
    </row>
    <row r="89" spans="1:13" s="56" customFormat="1" ht="17.25" x14ac:dyDescent="0.35">
      <c r="A89" s="194"/>
      <c r="B89" s="136"/>
      <c r="C89" s="136" t="s">
        <v>69</v>
      </c>
      <c r="D89" s="138">
        <v>1</v>
      </c>
      <c r="E89" s="111" t="s">
        <v>128</v>
      </c>
      <c r="F89" s="136">
        <v>0</v>
      </c>
      <c r="G89" s="136"/>
      <c r="H89" s="220"/>
      <c r="M89" s="139"/>
    </row>
    <row r="90" spans="1:13" s="56" customFormat="1" ht="17.25" x14ac:dyDescent="0.35">
      <c r="A90" s="257" t="s">
        <v>54</v>
      </c>
      <c r="B90" s="136">
        <v>945</v>
      </c>
      <c r="C90" s="136"/>
      <c r="D90" s="136"/>
      <c r="E90" s="114"/>
      <c r="F90" s="136"/>
      <c r="G90" s="136"/>
      <c r="H90" s="255"/>
      <c r="M90" s="139"/>
    </row>
    <row r="91" spans="1:13" s="56" customFormat="1" ht="17.25" x14ac:dyDescent="0.35">
      <c r="A91" s="257"/>
      <c r="B91" s="136"/>
      <c r="C91" s="136" t="s">
        <v>69</v>
      </c>
      <c r="D91" s="136">
        <v>1</v>
      </c>
      <c r="E91" s="114" t="s">
        <v>16</v>
      </c>
      <c r="F91" s="136">
        <v>0</v>
      </c>
      <c r="G91" s="136"/>
      <c r="H91" s="255"/>
      <c r="M91" s="139"/>
    </row>
    <row r="92" spans="1:13" s="56" customFormat="1" ht="17.25" x14ac:dyDescent="0.35">
      <c r="A92" s="257"/>
      <c r="B92" s="136"/>
      <c r="C92" s="136" t="s">
        <v>69</v>
      </c>
      <c r="D92" s="136">
        <v>120</v>
      </c>
      <c r="E92" s="114" t="s">
        <v>55</v>
      </c>
      <c r="F92" s="136">
        <v>0</v>
      </c>
      <c r="G92" s="136"/>
      <c r="H92" s="255"/>
      <c r="M92" s="139"/>
    </row>
    <row r="93" spans="1:13" s="56" customFormat="1" ht="17.25" x14ac:dyDescent="0.35">
      <c r="A93" s="257" t="s">
        <v>262</v>
      </c>
      <c r="B93" s="136">
        <v>4116</v>
      </c>
      <c r="C93" s="136" t="s">
        <v>69</v>
      </c>
      <c r="D93" s="136">
        <v>1</v>
      </c>
      <c r="E93" s="114" t="s">
        <v>263</v>
      </c>
      <c r="F93" s="136" t="s">
        <v>117</v>
      </c>
      <c r="G93" s="136" t="s">
        <v>239</v>
      </c>
      <c r="H93" s="255"/>
      <c r="M93" s="139"/>
    </row>
    <row r="94" spans="1:13" s="56" customFormat="1" ht="17.25" x14ac:dyDescent="0.35">
      <c r="A94" s="257" t="s">
        <v>23</v>
      </c>
      <c r="B94" s="136">
        <v>4204</v>
      </c>
      <c r="C94" s="136" t="s">
        <v>69</v>
      </c>
      <c r="D94" s="136">
        <v>1</v>
      </c>
      <c r="E94" s="114" t="s">
        <v>24</v>
      </c>
      <c r="F94" s="136">
        <v>0</v>
      </c>
      <c r="G94" s="136"/>
      <c r="H94" s="255"/>
      <c r="M94" s="139"/>
    </row>
    <row r="95" spans="1:13" s="56" customFormat="1" ht="17.25" x14ac:dyDescent="0.35">
      <c r="A95" s="257" t="s">
        <v>264</v>
      </c>
      <c r="B95" s="136">
        <v>4231</v>
      </c>
      <c r="C95" s="136"/>
      <c r="D95" s="136"/>
      <c r="E95" s="114" t="s">
        <v>265</v>
      </c>
      <c r="F95" s="136"/>
      <c r="G95" s="136" t="s">
        <v>79</v>
      </c>
      <c r="H95" s="255"/>
      <c r="M95" s="139"/>
    </row>
    <row r="96" spans="1:13" s="56" customFormat="1" ht="17.25" x14ac:dyDescent="0.35">
      <c r="A96" s="257"/>
      <c r="B96" s="136"/>
      <c r="C96" s="136" t="s">
        <v>69</v>
      </c>
      <c r="D96" s="136">
        <v>8</v>
      </c>
      <c r="E96" s="114" t="s">
        <v>266</v>
      </c>
      <c r="F96" s="136">
        <v>0</v>
      </c>
      <c r="G96" s="136"/>
      <c r="H96" s="255"/>
      <c r="M96" s="139"/>
    </row>
    <row r="97" spans="1:8" s="81" customFormat="1" ht="17.25" x14ac:dyDescent="0.35">
      <c r="A97" s="257"/>
      <c r="B97" s="136"/>
      <c r="C97" s="136" t="s">
        <v>69</v>
      </c>
      <c r="D97" s="136">
        <v>8</v>
      </c>
      <c r="E97" s="114" t="s">
        <v>267</v>
      </c>
      <c r="F97" s="136">
        <v>1</v>
      </c>
      <c r="G97" s="136"/>
      <c r="H97" s="255"/>
    </row>
    <row r="98" spans="1:8" s="81" customFormat="1" ht="17.25" x14ac:dyDescent="0.35">
      <c r="A98" s="257" t="s">
        <v>133</v>
      </c>
      <c r="B98" s="136">
        <v>6832</v>
      </c>
      <c r="C98" s="136" t="s">
        <v>69</v>
      </c>
      <c r="D98" s="136">
        <v>1</v>
      </c>
      <c r="E98" s="114" t="s">
        <v>134</v>
      </c>
      <c r="F98" s="136">
        <v>0</v>
      </c>
      <c r="G98" s="136" t="s">
        <v>79</v>
      </c>
      <c r="H98" s="255"/>
    </row>
    <row r="99" spans="1:8" s="81" customFormat="1" ht="17.25" x14ac:dyDescent="0.35">
      <c r="A99" s="257" t="s">
        <v>268</v>
      </c>
      <c r="B99" s="136">
        <v>6862</v>
      </c>
      <c r="C99" s="136" t="s">
        <v>69</v>
      </c>
      <c r="D99" s="136">
        <v>1</v>
      </c>
      <c r="E99" s="114" t="s">
        <v>269</v>
      </c>
      <c r="F99" s="136">
        <v>1</v>
      </c>
      <c r="G99" s="136" t="s">
        <v>79</v>
      </c>
      <c r="H99" s="255"/>
    </row>
    <row r="100" spans="1:8" s="81" customFormat="1" ht="17.25" x14ac:dyDescent="0.35">
      <c r="A100" s="258" t="s">
        <v>322</v>
      </c>
      <c r="B100" s="136">
        <v>3532</v>
      </c>
      <c r="C100" s="136" t="s">
        <v>69</v>
      </c>
      <c r="D100" s="138">
        <v>1</v>
      </c>
      <c r="E100" s="112" t="s">
        <v>323</v>
      </c>
      <c r="F100" s="136">
        <v>135</v>
      </c>
      <c r="G100" s="138" t="s">
        <v>239</v>
      </c>
      <c r="H100" s="256" t="s">
        <v>7</v>
      </c>
    </row>
    <row r="101" spans="1:8" s="81" customFormat="1" ht="17.25" x14ac:dyDescent="0.35">
      <c r="A101" s="258" t="s">
        <v>324</v>
      </c>
      <c r="B101" s="136">
        <v>3533</v>
      </c>
      <c r="C101" s="136" t="s">
        <v>69</v>
      </c>
      <c r="D101" s="138">
        <v>1</v>
      </c>
      <c r="E101" s="112" t="s">
        <v>325</v>
      </c>
      <c r="F101" s="136">
        <v>30</v>
      </c>
      <c r="G101" s="138" t="s">
        <v>239</v>
      </c>
      <c r="H101" s="256" t="s">
        <v>7</v>
      </c>
    </row>
    <row r="102" spans="1:8" s="81" customFormat="1" ht="17.25" x14ac:dyDescent="0.35">
      <c r="A102" s="194" t="s">
        <v>360</v>
      </c>
      <c r="B102" s="136">
        <v>4964</v>
      </c>
      <c r="C102" s="136" t="s">
        <v>69</v>
      </c>
      <c r="D102" s="138">
        <v>2</v>
      </c>
      <c r="E102" s="111"/>
      <c r="F102" s="136">
        <v>4</v>
      </c>
      <c r="G102" s="138" t="s">
        <v>79</v>
      </c>
      <c r="H102" s="183"/>
    </row>
    <row r="103" spans="1:8" s="81" customFormat="1" ht="17.25" x14ac:dyDescent="0.35">
      <c r="A103" s="231" t="s">
        <v>326</v>
      </c>
      <c r="B103" s="136">
        <v>4227</v>
      </c>
      <c r="C103" s="136" t="s">
        <v>69</v>
      </c>
      <c r="D103" s="138">
        <v>4</v>
      </c>
      <c r="E103" s="113" t="s">
        <v>327</v>
      </c>
      <c r="F103" s="136">
        <v>0</v>
      </c>
      <c r="G103" s="138"/>
      <c r="H103" s="222" t="s">
        <v>328</v>
      </c>
    </row>
    <row r="104" spans="1:8" s="81" customFormat="1" ht="17.25" x14ac:dyDescent="0.35">
      <c r="A104" s="194" t="s">
        <v>271</v>
      </c>
      <c r="B104" s="136">
        <v>6874</v>
      </c>
      <c r="C104" s="136"/>
      <c r="D104" s="138"/>
      <c r="E104" s="111"/>
      <c r="F104" s="136"/>
      <c r="G104" s="136" t="s">
        <v>239</v>
      </c>
      <c r="H104" s="220"/>
    </row>
    <row r="105" spans="1:8" s="81" customFormat="1" ht="17.25" x14ac:dyDescent="0.35">
      <c r="A105" s="194"/>
      <c r="B105" s="136" t="s">
        <v>244</v>
      </c>
      <c r="C105" s="136" t="s">
        <v>69</v>
      </c>
      <c r="D105" s="138">
        <v>1</v>
      </c>
      <c r="E105" s="111"/>
      <c r="F105" s="136" t="s">
        <v>5</v>
      </c>
      <c r="G105" s="136"/>
      <c r="H105" s="220"/>
    </row>
    <row r="106" spans="1:8" s="81" customFormat="1" ht="17.25" x14ac:dyDescent="0.35">
      <c r="A106" s="194"/>
      <c r="B106" s="136"/>
      <c r="C106" s="136" t="s">
        <v>69</v>
      </c>
      <c r="D106" s="138">
        <v>1</v>
      </c>
      <c r="E106" s="111" t="s">
        <v>272</v>
      </c>
      <c r="F106" s="136" t="s">
        <v>154</v>
      </c>
      <c r="G106" s="136"/>
      <c r="H106" s="220"/>
    </row>
    <row r="107" spans="1:8" s="81" customFormat="1" ht="17.25" x14ac:dyDescent="0.35">
      <c r="A107" s="194" t="s">
        <v>273</v>
      </c>
      <c r="B107" s="136">
        <v>6875</v>
      </c>
      <c r="C107" s="136"/>
      <c r="D107" s="138"/>
      <c r="E107" s="111"/>
      <c r="F107" s="136"/>
      <c r="G107" s="136" t="s">
        <v>239</v>
      </c>
      <c r="H107" s="220"/>
    </row>
    <row r="108" spans="1:8" s="81" customFormat="1" ht="17.25" x14ac:dyDescent="0.35">
      <c r="A108" s="194"/>
      <c r="B108" s="136" t="s">
        <v>244</v>
      </c>
      <c r="C108" s="136" t="s">
        <v>69</v>
      </c>
      <c r="D108" s="138">
        <v>1</v>
      </c>
      <c r="E108" s="111"/>
      <c r="F108" s="136" t="s">
        <v>5</v>
      </c>
      <c r="G108" s="136"/>
      <c r="H108" s="220"/>
    </row>
    <row r="109" spans="1:8" s="81" customFormat="1" ht="17.25" x14ac:dyDescent="0.35">
      <c r="A109" s="194"/>
      <c r="B109" s="136"/>
      <c r="C109" s="136" t="s">
        <v>69</v>
      </c>
      <c r="D109" s="138">
        <v>1</v>
      </c>
      <c r="E109" s="111" t="s">
        <v>274</v>
      </c>
      <c r="F109" s="136" t="s">
        <v>154</v>
      </c>
      <c r="G109" s="136"/>
      <c r="H109" s="220"/>
    </row>
    <row r="110" spans="1:8" s="81" customFormat="1" ht="17.25" x14ac:dyDescent="0.35">
      <c r="A110" s="197" t="s">
        <v>442</v>
      </c>
      <c r="B110" s="136">
        <v>7165</v>
      </c>
      <c r="C110" s="136" t="s">
        <v>69</v>
      </c>
      <c r="D110" s="138">
        <v>4</v>
      </c>
      <c r="E110" s="82" t="s">
        <v>441</v>
      </c>
      <c r="F110" s="136">
        <v>0</v>
      </c>
      <c r="G110" s="136" t="s">
        <v>239</v>
      </c>
      <c r="H110" s="186"/>
    </row>
    <row r="111" spans="1:8" s="81" customFormat="1" ht="17.25" x14ac:dyDescent="0.35">
      <c r="A111" s="197" t="s">
        <v>439</v>
      </c>
      <c r="B111" s="136">
        <v>1930</v>
      </c>
      <c r="C111" s="136" t="s">
        <v>69</v>
      </c>
      <c r="D111" s="138">
        <v>1</v>
      </c>
      <c r="E111" s="82" t="s">
        <v>438</v>
      </c>
      <c r="F111" s="136">
        <v>2</v>
      </c>
      <c r="G111" s="136" t="s">
        <v>239</v>
      </c>
      <c r="H111" s="186" t="s">
        <v>437</v>
      </c>
    </row>
    <row r="112" spans="1:8" s="81" customFormat="1" ht="17.25" x14ac:dyDescent="0.35">
      <c r="A112" s="197"/>
      <c r="B112" s="136"/>
      <c r="C112" s="136"/>
      <c r="D112" s="138"/>
      <c r="E112" s="82"/>
      <c r="F112" s="136"/>
      <c r="G112" s="136"/>
      <c r="H112" s="186"/>
    </row>
    <row r="113" spans="1:9" s="81" customFormat="1" ht="17.25" x14ac:dyDescent="0.35">
      <c r="A113" s="197" t="s">
        <v>436</v>
      </c>
      <c r="B113" s="136">
        <v>4960</v>
      </c>
      <c r="C113" s="136" t="s">
        <v>69</v>
      </c>
      <c r="D113" s="138">
        <v>1</v>
      </c>
      <c r="E113" s="82" t="s">
        <v>435</v>
      </c>
      <c r="F113" s="136">
        <v>1</v>
      </c>
      <c r="G113" s="136" t="s">
        <v>239</v>
      </c>
      <c r="H113" s="186" t="s">
        <v>434</v>
      </c>
    </row>
    <row r="114" spans="1:9" s="81" customFormat="1" ht="34.5" x14ac:dyDescent="0.35">
      <c r="A114" s="197" t="s">
        <v>524</v>
      </c>
      <c r="B114" s="136">
        <v>240</v>
      </c>
      <c r="C114" s="136" t="s">
        <v>69</v>
      </c>
      <c r="D114" s="138">
        <v>1</v>
      </c>
      <c r="E114" s="82" t="s">
        <v>525</v>
      </c>
      <c r="F114" s="136">
        <v>0</v>
      </c>
      <c r="G114" s="136" t="s">
        <v>239</v>
      </c>
      <c r="H114" s="186" t="s">
        <v>526</v>
      </c>
    </row>
    <row r="115" spans="1:9" s="81" customFormat="1" ht="17.25" x14ac:dyDescent="0.35">
      <c r="A115" s="197" t="s">
        <v>1181</v>
      </c>
      <c r="B115" s="136">
        <v>850</v>
      </c>
      <c r="C115" s="136" t="s">
        <v>7</v>
      </c>
      <c r="D115" s="138" t="s">
        <v>7</v>
      </c>
      <c r="E115" s="82" t="s">
        <v>7</v>
      </c>
      <c r="F115" s="136" t="s">
        <v>7</v>
      </c>
      <c r="G115" s="136" t="s">
        <v>94</v>
      </c>
      <c r="H115" s="186"/>
    </row>
    <row r="116" spans="1:9" s="81" customFormat="1" ht="17.25" x14ac:dyDescent="0.35">
      <c r="A116" s="197"/>
      <c r="B116" s="136"/>
      <c r="C116" s="136" t="s">
        <v>69</v>
      </c>
      <c r="D116" s="138">
        <v>1</v>
      </c>
      <c r="E116" s="82" t="s">
        <v>16</v>
      </c>
      <c r="F116" s="136">
        <v>0</v>
      </c>
      <c r="G116" s="136"/>
      <c r="H116" s="186"/>
    </row>
    <row r="117" spans="1:9" s="81" customFormat="1" ht="17.25" x14ac:dyDescent="0.35">
      <c r="A117" s="197"/>
      <c r="B117" s="136"/>
      <c r="C117" s="136" t="s">
        <v>69</v>
      </c>
      <c r="D117" s="138">
        <v>2</v>
      </c>
      <c r="E117" s="82" t="s">
        <v>1182</v>
      </c>
      <c r="F117" s="136">
        <v>1</v>
      </c>
      <c r="G117" s="136"/>
      <c r="H117" s="186" t="s">
        <v>1183</v>
      </c>
    </row>
    <row r="118" spans="1:9" s="81" customFormat="1" ht="17.25" x14ac:dyDescent="0.35">
      <c r="A118" s="197" t="s">
        <v>1181</v>
      </c>
      <c r="B118" s="136">
        <v>850</v>
      </c>
      <c r="C118" s="136"/>
      <c r="D118" s="138"/>
      <c r="E118" s="82"/>
      <c r="F118" s="136"/>
      <c r="G118" s="136" t="s">
        <v>238</v>
      </c>
      <c r="H118" s="186"/>
    </row>
    <row r="119" spans="1:9" s="81" customFormat="1" ht="17.25" x14ac:dyDescent="0.35">
      <c r="A119" s="197"/>
      <c r="B119" s="136" t="s">
        <v>244</v>
      </c>
      <c r="C119" s="136" t="s">
        <v>69</v>
      </c>
      <c r="D119" s="138">
        <v>1</v>
      </c>
      <c r="E119" s="82" t="s">
        <v>244</v>
      </c>
      <c r="F119" s="136" t="s">
        <v>559</v>
      </c>
      <c r="G119" s="136"/>
      <c r="H119" s="186"/>
    </row>
    <row r="120" spans="1:9" s="81" customFormat="1" ht="17.25" x14ac:dyDescent="0.35">
      <c r="A120" s="197"/>
      <c r="B120" s="136"/>
      <c r="C120" s="136" t="s">
        <v>69</v>
      </c>
      <c r="D120" s="138">
        <v>1</v>
      </c>
      <c r="E120" s="82" t="s">
        <v>16</v>
      </c>
      <c r="F120" s="136">
        <v>0</v>
      </c>
      <c r="G120" s="136"/>
      <c r="H120" s="186"/>
    </row>
    <row r="121" spans="1:9" s="81" customFormat="1" ht="17.25" x14ac:dyDescent="0.35">
      <c r="A121" s="197"/>
      <c r="B121" s="136"/>
      <c r="C121" s="136" t="s">
        <v>69</v>
      </c>
      <c r="D121" s="138">
        <v>2</v>
      </c>
      <c r="E121" s="82" t="s">
        <v>1182</v>
      </c>
      <c r="F121" s="136">
        <v>0</v>
      </c>
      <c r="G121" s="136"/>
      <c r="H121" s="186" t="s">
        <v>1184</v>
      </c>
    </row>
    <row r="122" spans="1:9" s="81" customFormat="1" ht="15.75" thickBot="1" x14ac:dyDescent="0.35"/>
    <row r="123" spans="1:9" s="81" customFormat="1" ht="20.25" thickBot="1" x14ac:dyDescent="0.35">
      <c r="A123" s="44"/>
      <c r="B123" s="43" t="s">
        <v>78</v>
      </c>
      <c r="C123" s="43"/>
      <c r="D123" s="43"/>
      <c r="E123" s="43"/>
      <c r="F123" s="43"/>
      <c r="G123" s="43"/>
      <c r="H123" s="45"/>
    </row>
    <row r="124" spans="1:9" s="202" customFormat="1" ht="15.75" thickBot="1" x14ac:dyDescent="0.35">
      <c r="A124" s="41" t="s">
        <v>64</v>
      </c>
      <c r="B124" s="41" t="s">
        <v>8</v>
      </c>
      <c r="C124" s="41"/>
      <c r="D124" s="41"/>
      <c r="E124" s="41" t="s">
        <v>58</v>
      </c>
      <c r="F124" s="41" t="s">
        <v>57</v>
      </c>
      <c r="G124" s="41"/>
      <c r="H124" s="168"/>
      <c r="I124" s="56"/>
    </row>
    <row r="125" spans="1:9" s="81" customFormat="1" ht="17.25" x14ac:dyDescent="0.35">
      <c r="A125" s="260"/>
      <c r="B125" s="171"/>
      <c r="C125" s="108"/>
      <c r="D125" s="108"/>
      <c r="E125" s="261"/>
      <c r="F125" s="108"/>
      <c r="G125" s="108"/>
      <c r="H125" s="262"/>
    </row>
    <row r="126" spans="1:9" s="81" customFormat="1" ht="18" thickBot="1" x14ac:dyDescent="0.4">
      <c r="A126" s="252"/>
      <c r="B126" s="175"/>
      <c r="C126" s="176"/>
      <c r="D126" s="176"/>
      <c r="E126" s="253"/>
      <c r="F126" s="176"/>
      <c r="G126" s="176"/>
      <c r="H126" s="254"/>
    </row>
    <row r="127" spans="1:9" s="203" customFormat="1" ht="15.75" thickBot="1" x14ac:dyDescent="0.35">
      <c r="A127" s="81"/>
      <c r="B127" s="81"/>
      <c r="C127" s="81"/>
      <c r="D127" s="81"/>
      <c r="E127" s="81"/>
      <c r="F127" s="81"/>
      <c r="G127" s="81"/>
      <c r="H127" s="81"/>
      <c r="I127" s="81"/>
    </row>
    <row r="128" spans="1:9" s="81" customFormat="1" ht="20.25" thickBot="1" x14ac:dyDescent="0.45">
      <c r="A128" s="46" t="s">
        <v>73</v>
      </c>
      <c r="B128" s="46"/>
      <c r="C128" s="46"/>
      <c r="D128" s="46"/>
      <c r="E128" s="46"/>
      <c r="F128" s="46"/>
      <c r="G128" s="46"/>
      <c r="H128" s="47"/>
      <c r="I128" s="48"/>
    </row>
    <row r="129" spans="1:9" s="140" customFormat="1" ht="20.25" thickBot="1" x14ac:dyDescent="0.45">
      <c r="A129" s="41" t="s">
        <v>56</v>
      </c>
      <c r="B129" s="41" t="s">
        <v>230</v>
      </c>
      <c r="C129" s="41" t="s">
        <v>231</v>
      </c>
      <c r="D129" s="41" t="s">
        <v>76</v>
      </c>
      <c r="E129" s="41" t="s">
        <v>75</v>
      </c>
      <c r="F129" s="41" t="s">
        <v>68</v>
      </c>
      <c r="G129" s="41" t="s">
        <v>74</v>
      </c>
      <c r="H129" s="41" t="s">
        <v>232</v>
      </c>
      <c r="I129" s="41" t="s">
        <v>11</v>
      </c>
    </row>
    <row r="130" spans="1:9" s="56" customFormat="1" ht="17.25" x14ac:dyDescent="0.35">
      <c r="A130" s="236" t="s">
        <v>400</v>
      </c>
      <c r="B130" s="154" t="s">
        <v>401</v>
      </c>
      <c r="C130" s="154" t="s">
        <v>90</v>
      </c>
      <c r="D130" s="154"/>
      <c r="E130" s="154"/>
      <c r="F130" s="154"/>
      <c r="G130" s="154" t="s">
        <v>239</v>
      </c>
      <c r="H130" s="155"/>
      <c r="I130" s="100"/>
    </row>
    <row r="131" spans="1:9" s="56" customFormat="1" ht="17.25" x14ac:dyDescent="0.35">
      <c r="A131" s="162"/>
      <c r="B131" s="11"/>
      <c r="C131" s="11"/>
      <c r="D131" s="11" t="s">
        <v>69</v>
      </c>
      <c r="E131" s="11">
        <v>1</v>
      </c>
      <c r="F131" s="11">
        <v>1</v>
      </c>
      <c r="G131" s="11"/>
      <c r="H131" s="157"/>
      <c r="I131" s="100"/>
    </row>
    <row r="132" spans="1:9" s="56" customFormat="1" ht="17.25" x14ac:dyDescent="0.35">
      <c r="A132" s="161" t="s">
        <v>518</v>
      </c>
      <c r="B132" s="11" t="s">
        <v>517</v>
      </c>
      <c r="C132" s="79" t="s">
        <v>71</v>
      </c>
      <c r="D132" s="79"/>
      <c r="E132" s="11"/>
      <c r="F132" s="79"/>
      <c r="G132" s="11" t="s">
        <v>239</v>
      </c>
      <c r="H132" s="157" t="s">
        <v>541</v>
      </c>
      <c r="I132" s="152"/>
    </row>
    <row r="133" spans="1:9" s="81" customFormat="1" ht="17.25" x14ac:dyDescent="0.35">
      <c r="A133" s="162" t="s">
        <v>433</v>
      </c>
      <c r="B133" s="11" t="s">
        <v>432</v>
      </c>
      <c r="C133" s="11" t="s">
        <v>71</v>
      </c>
      <c r="D133" s="11"/>
      <c r="E133" s="11"/>
      <c r="F133" s="11"/>
      <c r="G133" s="11" t="s">
        <v>239</v>
      </c>
      <c r="H133" s="157" t="s">
        <v>431</v>
      </c>
      <c r="I133" s="100"/>
    </row>
    <row r="134" spans="1:9" s="81" customFormat="1" ht="17.25" x14ac:dyDescent="0.35">
      <c r="A134" s="160" t="s">
        <v>430</v>
      </c>
      <c r="B134" s="11" t="s">
        <v>429</v>
      </c>
      <c r="C134" s="11" t="s">
        <v>90</v>
      </c>
      <c r="D134" s="11"/>
      <c r="E134" s="11"/>
      <c r="F134" s="11"/>
      <c r="G134" s="11" t="s">
        <v>239</v>
      </c>
      <c r="H134" s="157"/>
      <c r="I134" s="101">
        <v>65602</v>
      </c>
    </row>
    <row r="135" spans="1:9" s="141" customFormat="1" ht="27.75" x14ac:dyDescent="0.35">
      <c r="A135" s="160"/>
      <c r="B135" s="11"/>
      <c r="C135" s="11"/>
      <c r="D135" s="11" t="s">
        <v>428</v>
      </c>
      <c r="E135" s="11">
        <v>1</v>
      </c>
      <c r="F135" s="259" t="s">
        <v>427</v>
      </c>
      <c r="G135" s="11"/>
      <c r="H135" s="157"/>
      <c r="I135" s="101"/>
    </row>
    <row r="136" spans="1:9" s="56" customFormat="1" ht="17.25" x14ac:dyDescent="0.35">
      <c r="A136" s="162" t="s">
        <v>129</v>
      </c>
      <c r="B136" s="11" t="s">
        <v>132</v>
      </c>
      <c r="C136" s="11" t="s">
        <v>90</v>
      </c>
      <c r="D136" s="11"/>
      <c r="E136" s="11"/>
      <c r="F136" s="11"/>
      <c r="G136" s="11" t="s">
        <v>79</v>
      </c>
      <c r="H136" s="157"/>
      <c r="I136" s="100">
        <v>67290</v>
      </c>
    </row>
    <row r="137" spans="1:9" s="56" customFormat="1" ht="17.25" x14ac:dyDescent="0.35">
      <c r="A137" s="162"/>
      <c r="B137" s="11"/>
      <c r="C137" s="11"/>
      <c r="D137" s="11" t="s">
        <v>69</v>
      </c>
      <c r="E137" s="11">
        <v>1</v>
      </c>
      <c r="F137" s="11">
        <v>1</v>
      </c>
      <c r="G137" s="11"/>
      <c r="H137" s="157"/>
      <c r="I137" s="100"/>
    </row>
    <row r="138" spans="1:9" s="56" customFormat="1" ht="17.25" x14ac:dyDescent="0.35">
      <c r="A138" s="162" t="s">
        <v>240</v>
      </c>
      <c r="B138" s="11" t="s">
        <v>130</v>
      </c>
      <c r="C138" s="11" t="s">
        <v>90</v>
      </c>
      <c r="D138" s="11"/>
      <c r="E138" s="11"/>
      <c r="F138" s="11"/>
      <c r="G138" s="11" t="s">
        <v>79</v>
      </c>
      <c r="H138" s="157"/>
      <c r="I138" s="100">
        <v>67288</v>
      </c>
    </row>
    <row r="139" spans="1:9" s="56" customFormat="1" ht="17.25" x14ac:dyDescent="0.35">
      <c r="A139" s="162"/>
      <c r="B139" s="11"/>
      <c r="C139" s="11"/>
      <c r="D139" s="11" t="s">
        <v>69</v>
      </c>
      <c r="E139" s="11">
        <v>2</v>
      </c>
      <c r="F139" s="11">
        <v>-95</v>
      </c>
      <c r="G139" s="11"/>
      <c r="H139" s="157"/>
      <c r="I139" s="100" t="s">
        <v>241</v>
      </c>
    </row>
    <row r="140" spans="1:9" s="56" customFormat="1" ht="17.25" x14ac:dyDescent="0.35">
      <c r="A140" s="237" t="s">
        <v>242</v>
      </c>
      <c r="B140" s="11" t="s">
        <v>131</v>
      </c>
      <c r="C140" s="11" t="s">
        <v>90</v>
      </c>
      <c r="D140" s="11"/>
      <c r="E140" s="11"/>
      <c r="F140" s="11"/>
      <c r="G140" s="11"/>
      <c r="H140" s="157"/>
      <c r="I140" s="102">
        <v>67289</v>
      </c>
    </row>
    <row r="141" spans="1:9" s="56" customFormat="1" ht="17.25" x14ac:dyDescent="0.35">
      <c r="A141" s="237"/>
      <c r="B141" s="11"/>
      <c r="C141" s="11"/>
      <c r="D141" s="11" t="s">
        <v>69</v>
      </c>
      <c r="E141" s="11">
        <v>2</v>
      </c>
      <c r="F141" s="11">
        <v>-105</v>
      </c>
      <c r="G141" s="11"/>
      <c r="H141" s="157"/>
      <c r="I141" s="102" t="s">
        <v>243</v>
      </c>
    </row>
    <row r="142" spans="1:9" s="56" customFormat="1" ht="17.25" x14ac:dyDescent="0.35">
      <c r="A142" s="162" t="s">
        <v>135</v>
      </c>
      <c r="B142" s="11" t="s">
        <v>136</v>
      </c>
      <c r="C142" s="11" t="s">
        <v>90</v>
      </c>
      <c r="D142" s="11"/>
      <c r="E142" s="11"/>
      <c r="F142" s="11"/>
      <c r="G142" s="11" t="s">
        <v>79</v>
      </c>
      <c r="H142" s="157"/>
      <c r="I142" s="100">
        <v>66042</v>
      </c>
    </row>
    <row r="143" spans="1:9" s="56" customFormat="1" ht="17.25" x14ac:dyDescent="0.35">
      <c r="A143" s="162"/>
      <c r="B143" s="11"/>
      <c r="C143" s="11"/>
      <c r="D143" s="11" t="s">
        <v>69</v>
      </c>
      <c r="E143" s="11">
        <v>1</v>
      </c>
      <c r="F143" s="11">
        <v>0</v>
      </c>
      <c r="G143" s="11"/>
      <c r="H143" s="157"/>
      <c r="I143" s="100"/>
    </row>
    <row r="144" spans="1:9" s="56" customFormat="1" ht="17.25" x14ac:dyDescent="0.35">
      <c r="A144" s="162"/>
      <c r="B144" s="11"/>
      <c r="C144" s="11"/>
      <c r="D144" s="11" t="s">
        <v>69</v>
      </c>
      <c r="E144" s="11">
        <v>1</v>
      </c>
      <c r="F144" s="11">
        <v>0</v>
      </c>
      <c r="G144" s="11"/>
      <c r="H144" s="157"/>
      <c r="I144" s="100"/>
    </row>
    <row r="145" spans="1:9" s="56" customFormat="1" ht="17.25" x14ac:dyDescent="0.35">
      <c r="A145" s="162"/>
      <c r="B145" s="11"/>
      <c r="C145" s="11"/>
      <c r="D145" s="11" t="s">
        <v>69</v>
      </c>
      <c r="E145" s="11">
        <v>1</v>
      </c>
      <c r="F145" s="11">
        <v>8</v>
      </c>
      <c r="G145" s="11"/>
      <c r="H145" s="157"/>
      <c r="I145" s="100"/>
    </row>
    <row r="146" spans="1:9" s="56" customFormat="1" ht="17.25" x14ac:dyDescent="0.35">
      <c r="A146" s="162"/>
      <c r="B146" s="11"/>
      <c r="C146" s="11"/>
      <c r="D146" s="11" t="s">
        <v>69</v>
      </c>
      <c r="E146" s="11">
        <v>1</v>
      </c>
      <c r="F146" s="11">
        <v>30</v>
      </c>
      <c r="G146" s="11"/>
      <c r="H146" s="157"/>
      <c r="I146" s="100"/>
    </row>
    <row r="147" spans="1:9" s="56" customFormat="1" ht="17.25" x14ac:dyDescent="0.35">
      <c r="A147" s="162"/>
      <c r="B147" s="11"/>
      <c r="C147" s="11"/>
      <c r="D147" s="11" t="s">
        <v>69</v>
      </c>
      <c r="E147" s="11">
        <v>4</v>
      </c>
      <c r="F147" s="11" t="s">
        <v>84</v>
      </c>
      <c r="G147" s="11"/>
      <c r="H147" s="157"/>
      <c r="I147" s="100"/>
    </row>
    <row r="148" spans="1:9" s="56" customFormat="1" ht="17.25" x14ac:dyDescent="0.35">
      <c r="A148" s="162" t="s">
        <v>137</v>
      </c>
      <c r="B148" s="11" t="s">
        <v>138</v>
      </c>
      <c r="C148" s="11" t="s">
        <v>90</v>
      </c>
      <c r="D148" s="11"/>
      <c r="E148" s="11"/>
      <c r="F148" s="11"/>
      <c r="G148" s="11"/>
      <c r="H148" s="157"/>
      <c r="I148" s="100">
        <v>66043</v>
      </c>
    </row>
    <row r="149" spans="1:9" s="56" customFormat="1" ht="17.25" x14ac:dyDescent="0.35">
      <c r="A149" s="162"/>
      <c r="B149" s="11"/>
      <c r="C149" s="11"/>
      <c r="D149" s="11" t="s">
        <v>69</v>
      </c>
      <c r="E149" s="11">
        <v>1</v>
      </c>
      <c r="F149" s="11">
        <v>0</v>
      </c>
      <c r="G149" s="11"/>
      <c r="H149" s="157"/>
      <c r="I149" s="100" t="s">
        <v>313</v>
      </c>
    </row>
    <row r="150" spans="1:9" s="56" customFormat="1" ht="17.25" x14ac:dyDescent="0.35">
      <c r="A150" s="162"/>
      <c r="B150" s="11"/>
      <c r="C150" s="11"/>
      <c r="D150" s="11" t="s">
        <v>69</v>
      </c>
      <c r="E150" s="11">
        <v>1</v>
      </c>
      <c r="F150" s="11">
        <v>-100</v>
      </c>
      <c r="G150" s="11"/>
      <c r="H150" s="157"/>
      <c r="I150" s="100"/>
    </row>
    <row r="151" spans="1:9" s="56" customFormat="1" ht="17.25" x14ac:dyDescent="0.35">
      <c r="A151" s="162"/>
      <c r="B151" s="11"/>
      <c r="C151" s="11"/>
      <c r="D151" s="11" t="s">
        <v>69</v>
      </c>
      <c r="E151" s="11">
        <v>2</v>
      </c>
      <c r="F151" s="11">
        <v>-128</v>
      </c>
      <c r="G151" s="11"/>
      <c r="H151" s="157"/>
      <c r="I151" s="100"/>
    </row>
    <row r="152" spans="1:9" s="56" customFormat="1" ht="17.25" x14ac:dyDescent="0.35">
      <c r="A152" s="162"/>
      <c r="B152" s="11"/>
      <c r="C152" s="11"/>
      <c r="D152" s="11" t="s">
        <v>69</v>
      </c>
      <c r="E152" s="11">
        <v>1</v>
      </c>
      <c r="F152" s="11">
        <v>-95</v>
      </c>
      <c r="G152" s="11"/>
      <c r="H152" s="157"/>
      <c r="I152" s="100"/>
    </row>
    <row r="153" spans="1:9" s="56" customFormat="1" ht="17.25" x14ac:dyDescent="0.35">
      <c r="A153" s="162"/>
      <c r="B153" s="11"/>
      <c r="C153" s="11"/>
      <c r="D153" s="11" t="s">
        <v>69</v>
      </c>
      <c r="E153" s="11">
        <v>2</v>
      </c>
      <c r="F153" s="11">
        <v>-120</v>
      </c>
      <c r="G153" s="11"/>
      <c r="H153" s="157"/>
      <c r="I153" s="100"/>
    </row>
    <row r="154" spans="1:9" s="56" customFormat="1" ht="17.25" x14ac:dyDescent="0.35">
      <c r="A154" s="162"/>
      <c r="B154" s="11"/>
      <c r="C154" s="11"/>
      <c r="D154" s="11" t="s">
        <v>69</v>
      </c>
      <c r="E154" s="11">
        <v>1</v>
      </c>
      <c r="F154" s="11">
        <v>0</v>
      </c>
      <c r="G154" s="11"/>
      <c r="H154" s="157"/>
      <c r="I154" s="100"/>
    </row>
    <row r="155" spans="1:9" s="56" customFormat="1" ht="17.25" x14ac:dyDescent="0.35">
      <c r="A155" s="162" t="s">
        <v>92</v>
      </c>
      <c r="B155" s="11" t="s">
        <v>85</v>
      </c>
      <c r="C155" s="11" t="s">
        <v>90</v>
      </c>
      <c r="D155" s="11"/>
      <c r="E155" s="11"/>
      <c r="F155" s="11"/>
      <c r="G155" s="11"/>
      <c r="H155" s="157"/>
      <c r="I155" s="100">
        <v>66035</v>
      </c>
    </row>
    <row r="156" spans="1:9" s="56" customFormat="1" ht="17.25" x14ac:dyDescent="0.35">
      <c r="A156" s="162"/>
      <c r="B156" s="11"/>
      <c r="C156" s="11"/>
      <c r="D156" s="11" t="s">
        <v>69</v>
      </c>
      <c r="E156" s="11">
        <v>1</v>
      </c>
      <c r="F156" s="11">
        <v>1</v>
      </c>
      <c r="G156" s="11"/>
      <c r="H156" s="157"/>
      <c r="I156" s="100" t="s">
        <v>315</v>
      </c>
    </row>
    <row r="157" spans="1:9" s="56" customFormat="1" ht="17.25" x14ac:dyDescent="0.35">
      <c r="A157" s="162" t="s">
        <v>86</v>
      </c>
      <c r="B157" s="11" t="s">
        <v>87</v>
      </c>
      <c r="C157" s="11" t="s">
        <v>90</v>
      </c>
      <c r="D157" s="11"/>
      <c r="E157" s="11"/>
      <c r="F157" s="11"/>
      <c r="G157" s="11" t="s">
        <v>79</v>
      </c>
      <c r="H157" s="157"/>
      <c r="I157" s="100">
        <v>65953</v>
      </c>
    </row>
    <row r="158" spans="1:9" s="56" customFormat="1" ht="17.25" x14ac:dyDescent="0.35">
      <c r="A158" s="162"/>
      <c r="B158" s="11"/>
      <c r="C158" s="11"/>
      <c r="D158" s="11" t="s">
        <v>69</v>
      </c>
      <c r="E158" s="11">
        <v>4</v>
      </c>
      <c r="F158" s="11">
        <v>10</v>
      </c>
      <c r="G158" s="11"/>
      <c r="H158" s="157"/>
      <c r="I158" s="100" t="s">
        <v>319</v>
      </c>
    </row>
    <row r="159" spans="1:9" s="56" customFormat="1" ht="17.25" x14ac:dyDescent="0.35">
      <c r="A159" s="162"/>
      <c r="B159" s="11"/>
      <c r="C159" s="11"/>
      <c r="D159" s="11" t="s">
        <v>69</v>
      </c>
      <c r="E159" s="11">
        <v>4</v>
      </c>
      <c r="F159" s="11">
        <v>600</v>
      </c>
      <c r="G159" s="11"/>
      <c r="H159" s="157"/>
      <c r="I159" s="100" t="s">
        <v>338</v>
      </c>
    </row>
    <row r="160" spans="1:9" s="56" customFormat="1" ht="17.25" x14ac:dyDescent="0.35">
      <c r="A160" s="162" t="s">
        <v>88</v>
      </c>
      <c r="B160" s="11" t="s">
        <v>89</v>
      </c>
      <c r="C160" s="11" t="s">
        <v>90</v>
      </c>
      <c r="D160" s="11"/>
      <c r="E160" s="11"/>
      <c r="F160" s="11"/>
      <c r="G160" s="11"/>
      <c r="H160" s="157"/>
      <c r="I160" s="100">
        <v>67200</v>
      </c>
    </row>
    <row r="161" spans="1:9" s="56" customFormat="1" ht="17.25" x14ac:dyDescent="0.35">
      <c r="A161" s="162"/>
      <c r="B161" s="11"/>
      <c r="C161" s="11"/>
      <c r="D161" s="11" t="s">
        <v>69</v>
      </c>
      <c r="E161" s="11">
        <v>1</v>
      </c>
      <c r="F161" s="11">
        <v>1</v>
      </c>
      <c r="G161" s="11"/>
      <c r="H161" s="157"/>
      <c r="I161" s="100" t="s">
        <v>27</v>
      </c>
    </row>
    <row r="162" spans="1:9" s="56" customFormat="1" ht="17.25" x14ac:dyDescent="0.35">
      <c r="A162" s="162"/>
      <c r="B162" s="11"/>
      <c r="C162" s="11"/>
      <c r="D162" s="11" t="s">
        <v>69</v>
      </c>
      <c r="E162" s="11">
        <v>1</v>
      </c>
      <c r="F162" s="11">
        <v>1</v>
      </c>
      <c r="G162" s="11"/>
      <c r="H162" s="157"/>
      <c r="I162" s="100" t="s">
        <v>122</v>
      </c>
    </row>
    <row r="163" spans="1:9" s="56" customFormat="1" ht="17.25" x14ac:dyDescent="0.35">
      <c r="A163" s="162"/>
      <c r="B163" s="11"/>
      <c r="C163" s="11"/>
      <c r="D163" s="11" t="s">
        <v>69</v>
      </c>
      <c r="E163" s="11">
        <v>1</v>
      </c>
      <c r="F163" s="11">
        <v>0</v>
      </c>
      <c r="G163" s="11"/>
      <c r="H163" s="157"/>
      <c r="I163" s="100" t="s">
        <v>123</v>
      </c>
    </row>
    <row r="164" spans="1:9" s="56" customFormat="1" ht="17.25" x14ac:dyDescent="0.35">
      <c r="A164" s="162"/>
      <c r="B164" s="11"/>
      <c r="C164" s="11"/>
      <c r="D164" s="11" t="s">
        <v>69</v>
      </c>
      <c r="E164" s="11">
        <v>1</v>
      </c>
      <c r="F164" s="11">
        <v>1</v>
      </c>
      <c r="G164" s="11"/>
      <c r="H164" s="157"/>
      <c r="I164" s="100" t="s">
        <v>124</v>
      </c>
    </row>
    <row r="165" spans="1:9" s="56" customFormat="1" ht="17.25" x14ac:dyDescent="0.35">
      <c r="A165" s="162"/>
      <c r="B165" s="11"/>
      <c r="C165" s="11"/>
      <c r="D165" s="11" t="s">
        <v>69</v>
      </c>
      <c r="E165" s="11">
        <v>1</v>
      </c>
      <c r="F165" s="11">
        <v>3</v>
      </c>
      <c r="G165" s="11"/>
      <c r="H165" s="157"/>
      <c r="I165" s="100" t="s">
        <v>125</v>
      </c>
    </row>
    <row r="166" spans="1:9" s="56" customFormat="1" ht="17.25" x14ac:dyDescent="0.35">
      <c r="A166" s="162"/>
      <c r="B166" s="11"/>
      <c r="C166" s="11"/>
      <c r="D166" s="11" t="s">
        <v>69</v>
      </c>
      <c r="E166" s="11">
        <v>2</v>
      </c>
      <c r="F166" s="11">
        <v>0</v>
      </c>
      <c r="G166" s="11"/>
      <c r="H166" s="157"/>
      <c r="I166" s="100" t="s">
        <v>126</v>
      </c>
    </row>
    <row r="167" spans="1:9" s="56" customFormat="1" ht="17.25" x14ac:dyDescent="0.35">
      <c r="A167" s="162" t="s">
        <v>233</v>
      </c>
      <c r="B167" s="11" t="s">
        <v>234</v>
      </c>
      <c r="C167" s="11" t="s">
        <v>90</v>
      </c>
      <c r="D167" s="11"/>
      <c r="E167" s="11"/>
      <c r="F167" s="11"/>
      <c r="G167" s="11" t="s">
        <v>239</v>
      </c>
      <c r="H167" s="157"/>
      <c r="I167" s="100">
        <v>70302</v>
      </c>
    </row>
    <row r="168" spans="1:9" s="56" customFormat="1" ht="17.25" x14ac:dyDescent="0.35">
      <c r="A168" s="162"/>
      <c r="B168" s="11"/>
      <c r="C168" s="11"/>
      <c r="D168" s="11" t="s">
        <v>69</v>
      </c>
      <c r="E168" s="11">
        <v>1</v>
      </c>
      <c r="F168" s="11">
        <v>0</v>
      </c>
      <c r="G168" s="11"/>
      <c r="H168" s="157"/>
      <c r="I168" s="100"/>
    </row>
    <row r="169" spans="1:9" s="81" customFormat="1" ht="17.25" x14ac:dyDescent="0.35">
      <c r="A169" s="162" t="s">
        <v>245</v>
      </c>
      <c r="B169" s="11" t="s">
        <v>246</v>
      </c>
      <c r="C169" s="11" t="s">
        <v>90</v>
      </c>
      <c r="D169" s="11"/>
      <c r="E169" s="11"/>
      <c r="F169" s="11"/>
      <c r="G169" s="11" t="s">
        <v>79</v>
      </c>
      <c r="H169" s="157"/>
      <c r="I169" s="100">
        <v>67291</v>
      </c>
    </row>
    <row r="170" spans="1:9" s="81" customFormat="1" ht="17.25" x14ac:dyDescent="0.35">
      <c r="A170" s="162"/>
      <c r="B170" s="11"/>
      <c r="C170" s="11"/>
      <c r="D170" s="11" t="s">
        <v>69</v>
      </c>
      <c r="E170" s="11">
        <v>1</v>
      </c>
      <c r="F170" s="11">
        <v>0</v>
      </c>
      <c r="G170" s="11"/>
      <c r="H170" s="157"/>
      <c r="I170" s="100"/>
    </row>
    <row r="171" spans="1:9" s="81" customFormat="1" ht="17.25" x14ac:dyDescent="0.35">
      <c r="A171" s="162" t="s">
        <v>247</v>
      </c>
      <c r="B171" s="11" t="s">
        <v>236</v>
      </c>
      <c r="C171" s="11" t="s">
        <v>71</v>
      </c>
      <c r="D171" s="11"/>
      <c r="E171" s="11"/>
      <c r="F171" s="11"/>
      <c r="G171" s="11" t="s">
        <v>239</v>
      </c>
      <c r="H171" s="157" t="s">
        <v>547</v>
      </c>
      <c r="I171" s="100" t="s">
        <v>248</v>
      </c>
    </row>
    <row r="172" spans="1:9" s="81" customFormat="1" ht="17.25" x14ac:dyDescent="0.35">
      <c r="A172" s="162" t="s">
        <v>249</v>
      </c>
      <c r="B172" s="11" t="s">
        <v>250</v>
      </c>
      <c r="C172" s="11" t="s">
        <v>90</v>
      </c>
      <c r="D172" s="11"/>
      <c r="E172" s="11"/>
      <c r="F172" s="11"/>
      <c r="G172" s="11" t="s">
        <v>79</v>
      </c>
      <c r="H172" s="157"/>
      <c r="I172" s="100">
        <v>69739</v>
      </c>
    </row>
    <row r="173" spans="1:9" s="81" customFormat="1" ht="17.25" x14ac:dyDescent="0.35">
      <c r="A173" s="162"/>
      <c r="B173" s="11"/>
      <c r="C173" s="11"/>
      <c r="D173" s="11" t="s">
        <v>69</v>
      </c>
      <c r="E173" s="11">
        <v>1</v>
      </c>
      <c r="F173" s="11">
        <v>1</v>
      </c>
      <c r="G173" s="11"/>
      <c r="H173" s="157"/>
      <c r="I173" s="100" t="s">
        <v>27</v>
      </c>
    </row>
    <row r="174" spans="1:9" s="81" customFormat="1" ht="17.25" x14ac:dyDescent="0.35">
      <c r="A174" s="162"/>
      <c r="B174" s="11"/>
      <c r="C174" s="11"/>
      <c r="D174" s="11" t="s">
        <v>69</v>
      </c>
      <c r="E174" s="11">
        <v>4</v>
      </c>
      <c r="F174" s="11">
        <v>1000</v>
      </c>
      <c r="G174" s="11"/>
      <c r="H174" s="157"/>
      <c r="I174" s="100" t="s">
        <v>251</v>
      </c>
    </row>
    <row r="175" spans="1:9" s="56" customFormat="1" ht="17.25" x14ac:dyDescent="0.35">
      <c r="A175" s="162" t="s">
        <v>142</v>
      </c>
      <c r="B175" s="11" t="s">
        <v>141</v>
      </c>
      <c r="C175" s="11" t="s">
        <v>90</v>
      </c>
      <c r="D175" s="11"/>
      <c r="E175" s="11"/>
      <c r="F175" s="11"/>
      <c r="G175" s="11" t="s">
        <v>239</v>
      </c>
      <c r="H175" s="157"/>
      <c r="I175" s="100">
        <v>67208</v>
      </c>
    </row>
    <row r="176" spans="1:9" s="56" customFormat="1" ht="17.25" x14ac:dyDescent="0.35">
      <c r="A176" s="162"/>
      <c r="B176" s="11"/>
      <c r="C176" s="11"/>
      <c r="D176" s="11" t="s">
        <v>69</v>
      </c>
      <c r="E176" s="11">
        <v>1</v>
      </c>
      <c r="F176" s="11">
        <v>1</v>
      </c>
      <c r="G176" s="11"/>
      <c r="H176" s="157"/>
      <c r="I176" s="100"/>
    </row>
    <row r="177" spans="1:9" s="56" customFormat="1" ht="17.25" x14ac:dyDescent="0.35">
      <c r="A177" s="243" t="s">
        <v>275</v>
      </c>
      <c r="B177" s="11" t="s">
        <v>276</v>
      </c>
      <c r="C177" s="11" t="s">
        <v>71</v>
      </c>
      <c r="D177" s="11"/>
      <c r="E177" s="11"/>
      <c r="F177" s="11"/>
      <c r="G177" s="11" t="s">
        <v>79</v>
      </c>
      <c r="H177" s="157" t="s">
        <v>277</v>
      </c>
      <c r="I177" s="104"/>
    </row>
    <row r="178" spans="1:9" s="56" customFormat="1" ht="17.25" x14ac:dyDescent="0.35">
      <c r="A178" s="243" t="s">
        <v>278</v>
      </c>
      <c r="B178" s="11" t="s">
        <v>279</v>
      </c>
      <c r="C178" s="11" t="s">
        <v>71</v>
      </c>
      <c r="D178" s="11"/>
      <c r="E178" s="11"/>
      <c r="F178" s="11"/>
      <c r="G178" s="11" t="s">
        <v>239</v>
      </c>
      <c r="H178" s="157" t="s">
        <v>280</v>
      </c>
      <c r="I178" s="104"/>
    </row>
    <row r="179" spans="1:9" s="56" customFormat="1" ht="17.25" x14ac:dyDescent="0.35">
      <c r="A179" s="243" t="s">
        <v>281</v>
      </c>
      <c r="B179" s="11" t="s">
        <v>282</v>
      </c>
      <c r="C179" s="11" t="s">
        <v>71</v>
      </c>
      <c r="D179" s="11"/>
      <c r="E179" s="11"/>
      <c r="F179" s="11"/>
      <c r="G179" s="11" t="s">
        <v>239</v>
      </c>
      <c r="H179" s="157" t="s">
        <v>283</v>
      </c>
      <c r="I179" s="104"/>
    </row>
    <row r="180" spans="1:9" s="56" customFormat="1" ht="19.5" customHeight="1" x14ac:dyDescent="0.35">
      <c r="A180" s="243" t="s">
        <v>284</v>
      </c>
      <c r="B180" s="11" t="s">
        <v>285</v>
      </c>
      <c r="C180" s="11" t="s">
        <v>71</v>
      </c>
      <c r="D180" s="11"/>
      <c r="E180" s="11"/>
      <c r="F180" s="11"/>
      <c r="G180" s="11" t="s">
        <v>239</v>
      </c>
      <c r="H180" s="157" t="s">
        <v>286</v>
      </c>
      <c r="I180" s="104"/>
    </row>
    <row r="181" spans="1:9" s="56" customFormat="1" ht="19.5" customHeight="1" x14ac:dyDescent="0.35">
      <c r="A181" s="243" t="s">
        <v>287</v>
      </c>
      <c r="B181" s="11" t="s">
        <v>288</v>
      </c>
      <c r="C181" s="11" t="s">
        <v>71</v>
      </c>
      <c r="D181" s="11"/>
      <c r="E181" s="11"/>
      <c r="F181" s="11"/>
      <c r="G181" s="11" t="s">
        <v>239</v>
      </c>
      <c r="H181" s="157" t="s">
        <v>289</v>
      </c>
      <c r="I181" s="104"/>
    </row>
    <row r="182" spans="1:9" s="56" customFormat="1" ht="19.5" customHeight="1" x14ac:dyDescent="0.35">
      <c r="A182" s="243" t="s">
        <v>290</v>
      </c>
      <c r="B182" s="11" t="s">
        <v>291</v>
      </c>
      <c r="C182" s="11" t="s">
        <v>71</v>
      </c>
      <c r="D182" s="11"/>
      <c r="E182" s="11"/>
      <c r="F182" s="11"/>
      <c r="G182" s="11" t="s">
        <v>239</v>
      </c>
      <c r="H182" s="157" t="s">
        <v>292</v>
      </c>
      <c r="I182" s="104"/>
    </row>
    <row r="183" spans="1:9" s="56" customFormat="1" ht="19.5" customHeight="1" x14ac:dyDescent="0.35">
      <c r="A183" s="243" t="s">
        <v>293</v>
      </c>
      <c r="B183" s="11" t="s">
        <v>294</v>
      </c>
      <c r="C183" s="11" t="s">
        <v>71</v>
      </c>
      <c r="D183" s="11"/>
      <c r="E183" s="11"/>
      <c r="F183" s="11"/>
      <c r="G183" s="11" t="s">
        <v>239</v>
      </c>
      <c r="H183" s="157" t="s">
        <v>295</v>
      </c>
      <c r="I183" s="104"/>
    </row>
    <row r="184" spans="1:9" s="56" customFormat="1" ht="19.5" customHeight="1" x14ac:dyDescent="0.35">
      <c r="A184" s="243" t="s">
        <v>296</v>
      </c>
      <c r="B184" s="11" t="s">
        <v>252</v>
      </c>
      <c r="C184" s="11" t="s">
        <v>71</v>
      </c>
      <c r="D184" s="11"/>
      <c r="E184" s="11"/>
      <c r="F184" s="11"/>
      <c r="G184" s="11" t="s">
        <v>239</v>
      </c>
      <c r="H184" s="157" t="s">
        <v>297</v>
      </c>
      <c r="I184" s="104"/>
    </row>
    <row r="185" spans="1:9" s="56" customFormat="1" ht="19.5" customHeight="1" x14ac:dyDescent="0.35">
      <c r="A185" s="243" t="s">
        <v>298</v>
      </c>
      <c r="B185" s="11" t="s">
        <v>253</v>
      </c>
      <c r="C185" s="11" t="s">
        <v>71</v>
      </c>
      <c r="D185" s="11"/>
      <c r="E185" s="11"/>
      <c r="F185" s="11"/>
      <c r="G185" s="11" t="s">
        <v>239</v>
      </c>
      <c r="H185" s="157" t="s">
        <v>299</v>
      </c>
      <c r="I185" s="104"/>
    </row>
    <row r="186" spans="1:9" s="56" customFormat="1" ht="19.5" customHeight="1" x14ac:dyDescent="0.35">
      <c r="A186" s="243" t="s">
        <v>300</v>
      </c>
      <c r="B186" s="11" t="s">
        <v>301</v>
      </c>
      <c r="C186" s="11" t="s">
        <v>71</v>
      </c>
      <c r="D186" s="11"/>
      <c r="E186" s="11"/>
      <c r="F186" s="11"/>
      <c r="G186" s="11" t="s">
        <v>239</v>
      </c>
      <c r="H186" s="157" t="s">
        <v>302</v>
      </c>
      <c r="I186" s="104"/>
    </row>
    <row r="187" spans="1:9" s="56" customFormat="1" ht="19.5" customHeight="1" x14ac:dyDescent="0.35">
      <c r="A187" s="243" t="s">
        <v>120</v>
      </c>
      <c r="B187" s="11" t="s">
        <v>91</v>
      </c>
      <c r="C187" s="11" t="s">
        <v>90</v>
      </c>
      <c r="D187" s="11"/>
      <c r="E187" s="11"/>
      <c r="F187" s="11"/>
      <c r="G187" s="11" t="s">
        <v>239</v>
      </c>
      <c r="H187" s="157"/>
      <c r="I187" s="104">
        <v>65777</v>
      </c>
    </row>
    <row r="188" spans="1:9" s="56" customFormat="1" ht="19.5" customHeight="1" x14ac:dyDescent="0.35">
      <c r="A188" s="243" t="s">
        <v>139</v>
      </c>
      <c r="B188" s="11" t="s">
        <v>139</v>
      </c>
      <c r="C188" s="11"/>
      <c r="D188" s="11" t="s">
        <v>69</v>
      </c>
      <c r="E188" s="11">
        <v>1</v>
      </c>
      <c r="F188" s="11">
        <v>1</v>
      </c>
      <c r="G188" s="11"/>
      <c r="H188" s="157"/>
      <c r="I188" s="104"/>
    </row>
    <row r="189" spans="1:9" s="56" customFormat="1" ht="19.5" customHeight="1" x14ac:dyDescent="0.35">
      <c r="A189" s="160" t="s">
        <v>317</v>
      </c>
      <c r="B189" s="11" t="s">
        <v>318</v>
      </c>
      <c r="C189" s="11" t="s">
        <v>90</v>
      </c>
      <c r="D189" s="11"/>
      <c r="E189" s="11"/>
      <c r="F189" s="11"/>
      <c r="G189" s="11" t="s">
        <v>239</v>
      </c>
      <c r="H189" s="157"/>
      <c r="I189" s="101">
        <v>65591</v>
      </c>
    </row>
    <row r="190" spans="1:9" s="56" customFormat="1" ht="19.5" customHeight="1" x14ac:dyDescent="0.35">
      <c r="A190" s="160"/>
      <c r="B190" s="11"/>
      <c r="C190" s="11"/>
      <c r="D190" s="11" t="s">
        <v>69</v>
      </c>
      <c r="E190" s="11">
        <v>4</v>
      </c>
      <c r="F190" s="11" t="s">
        <v>84</v>
      </c>
      <c r="G190" s="11"/>
      <c r="H190" s="157"/>
      <c r="I190" s="101"/>
    </row>
    <row r="191" spans="1:9" s="56" customFormat="1" ht="17.25" x14ac:dyDescent="0.35">
      <c r="A191" s="241" t="s">
        <v>320</v>
      </c>
      <c r="B191" s="11" t="s">
        <v>321</v>
      </c>
      <c r="C191" s="11" t="s">
        <v>90</v>
      </c>
      <c r="D191" s="11"/>
      <c r="E191" s="11"/>
      <c r="F191" s="11"/>
      <c r="G191" s="11" t="s">
        <v>79</v>
      </c>
      <c r="H191" s="157"/>
      <c r="I191" s="105">
        <v>67292</v>
      </c>
    </row>
    <row r="192" spans="1:9" s="56" customFormat="1" ht="17.25" x14ac:dyDescent="0.35">
      <c r="A192" s="241"/>
      <c r="B192" s="11"/>
      <c r="C192" s="11"/>
      <c r="D192" s="11" t="s">
        <v>69</v>
      </c>
      <c r="E192" s="11">
        <v>1</v>
      </c>
      <c r="F192" s="11">
        <v>1</v>
      </c>
      <c r="G192" s="11"/>
      <c r="H192" s="157"/>
      <c r="I192" s="105"/>
    </row>
    <row r="193" spans="1:9" s="56" customFormat="1" ht="16.5" customHeight="1" x14ac:dyDescent="0.35">
      <c r="A193" s="160" t="s">
        <v>336</v>
      </c>
      <c r="B193" s="11" t="s">
        <v>337</v>
      </c>
      <c r="C193" s="11" t="s">
        <v>90</v>
      </c>
      <c r="D193" s="11"/>
      <c r="E193" s="11"/>
      <c r="F193" s="11"/>
      <c r="G193" s="11" t="s">
        <v>79</v>
      </c>
      <c r="H193" s="157"/>
      <c r="I193" s="101">
        <v>67270</v>
      </c>
    </row>
    <row r="194" spans="1:9" s="56" customFormat="1" ht="17.25" x14ac:dyDescent="0.35">
      <c r="A194" s="160"/>
      <c r="B194" s="11"/>
      <c r="C194" s="11"/>
      <c r="D194" s="11" t="s">
        <v>69</v>
      </c>
      <c r="E194" s="11">
        <v>1</v>
      </c>
      <c r="F194" s="11">
        <v>1</v>
      </c>
      <c r="G194" s="11"/>
      <c r="H194" s="157"/>
      <c r="I194" s="101"/>
    </row>
    <row r="195" spans="1:9" s="56" customFormat="1" ht="17.25" x14ac:dyDescent="0.35">
      <c r="A195" s="160" t="s">
        <v>329</v>
      </c>
      <c r="B195" s="11" t="s">
        <v>330</v>
      </c>
      <c r="C195" s="11" t="s">
        <v>90</v>
      </c>
      <c r="D195" s="11"/>
      <c r="E195" s="11"/>
      <c r="F195" s="11"/>
      <c r="G195" s="11" t="s">
        <v>239</v>
      </c>
      <c r="H195" s="157"/>
      <c r="I195" s="101">
        <v>72538</v>
      </c>
    </row>
    <row r="196" spans="1:9" s="56" customFormat="1" ht="17.25" x14ac:dyDescent="0.35">
      <c r="A196" s="160"/>
      <c r="B196" s="11"/>
      <c r="C196" s="11"/>
      <c r="D196" s="11" t="s">
        <v>69</v>
      </c>
      <c r="E196" s="11">
        <v>2</v>
      </c>
      <c r="F196" s="11">
        <v>300</v>
      </c>
      <c r="G196" s="11"/>
      <c r="H196" s="157"/>
      <c r="I196" s="101"/>
    </row>
    <row r="197" spans="1:9" s="56" customFormat="1" ht="17.25" x14ac:dyDescent="0.35">
      <c r="A197" s="160"/>
      <c r="B197" s="11"/>
      <c r="C197" s="11"/>
      <c r="D197" s="11" t="s">
        <v>69</v>
      </c>
      <c r="E197" s="11">
        <v>2</v>
      </c>
      <c r="F197" s="11">
        <v>10</v>
      </c>
      <c r="G197" s="11"/>
      <c r="H197" s="157"/>
      <c r="I197" s="101"/>
    </row>
    <row r="198" spans="1:9" s="56" customFormat="1" ht="51.75" x14ac:dyDescent="0.35">
      <c r="A198" s="160" t="s">
        <v>426</v>
      </c>
      <c r="B198" s="11" t="s">
        <v>425</v>
      </c>
      <c r="C198" s="11" t="s">
        <v>71</v>
      </c>
      <c r="D198" s="11"/>
      <c r="E198" s="11"/>
      <c r="F198" s="11"/>
      <c r="G198" s="11" t="s">
        <v>239</v>
      </c>
      <c r="H198" s="157" t="s">
        <v>424</v>
      </c>
      <c r="I198" s="101" t="s">
        <v>423</v>
      </c>
    </row>
    <row r="199" spans="1:9" s="56" customFormat="1" ht="17.25" x14ac:dyDescent="0.35">
      <c r="A199" s="241" t="s">
        <v>331</v>
      </c>
      <c r="B199" s="11" t="s">
        <v>332</v>
      </c>
      <c r="C199" s="11" t="s">
        <v>90</v>
      </c>
      <c r="D199" s="11"/>
      <c r="E199" s="11"/>
      <c r="F199" s="11"/>
      <c r="G199" s="11"/>
      <c r="H199" s="157"/>
      <c r="I199" s="105">
        <v>72608</v>
      </c>
    </row>
    <row r="200" spans="1:9" s="56" customFormat="1" ht="17.25" x14ac:dyDescent="0.35">
      <c r="A200" s="241"/>
      <c r="B200" s="11"/>
      <c r="C200" s="11"/>
      <c r="D200" s="11" t="s">
        <v>69</v>
      </c>
      <c r="E200" s="11">
        <v>1</v>
      </c>
      <c r="F200" s="11">
        <v>1</v>
      </c>
      <c r="G200" s="11"/>
      <c r="H200" s="157"/>
      <c r="I200" s="105" t="s">
        <v>333</v>
      </c>
    </row>
    <row r="201" spans="1:9" s="56" customFormat="1" ht="17.25" x14ac:dyDescent="0.35">
      <c r="A201" s="241"/>
      <c r="B201" s="11"/>
      <c r="C201" s="11"/>
      <c r="D201" s="11" t="s">
        <v>69</v>
      </c>
      <c r="E201" s="11">
        <v>2</v>
      </c>
      <c r="F201" s="11">
        <v>900</v>
      </c>
      <c r="G201" s="11"/>
      <c r="H201" s="157"/>
      <c r="I201" s="105" t="s">
        <v>334</v>
      </c>
    </row>
    <row r="202" spans="1:9" s="56" customFormat="1" ht="17.25" x14ac:dyDescent="0.35">
      <c r="A202" s="241"/>
      <c r="B202" s="11"/>
      <c r="C202" s="11"/>
      <c r="D202" s="11" t="s">
        <v>69</v>
      </c>
      <c r="E202" s="11">
        <v>2</v>
      </c>
      <c r="F202" s="11">
        <v>100</v>
      </c>
      <c r="G202" s="11"/>
      <c r="H202" s="157"/>
      <c r="I202" s="105" t="s">
        <v>335</v>
      </c>
    </row>
    <row r="203" spans="1:9" s="56" customFormat="1" ht="17.25" x14ac:dyDescent="0.35">
      <c r="A203" s="160" t="s">
        <v>343</v>
      </c>
      <c r="B203" s="11" t="s">
        <v>342</v>
      </c>
      <c r="C203" s="11" t="s">
        <v>90</v>
      </c>
      <c r="D203" s="11"/>
      <c r="E203" s="11"/>
      <c r="F203" s="11"/>
      <c r="G203" s="11" t="s">
        <v>239</v>
      </c>
      <c r="H203" s="157"/>
      <c r="I203" s="101" t="s">
        <v>344</v>
      </c>
    </row>
    <row r="204" spans="1:9" s="56" customFormat="1" ht="17.25" x14ac:dyDescent="0.35">
      <c r="A204" s="160"/>
      <c r="B204" s="11"/>
      <c r="C204" s="11"/>
      <c r="D204" s="11" t="s">
        <v>69</v>
      </c>
      <c r="E204" s="11">
        <v>1</v>
      </c>
      <c r="F204" s="11">
        <v>0</v>
      </c>
      <c r="G204" s="11"/>
      <c r="H204" s="157"/>
      <c r="I204" s="101"/>
    </row>
    <row r="205" spans="1:9" s="56" customFormat="1" ht="17.25" x14ac:dyDescent="0.35">
      <c r="A205" s="160" t="s">
        <v>345</v>
      </c>
      <c r="B205" s="11" t="s">
        <v>346</v>
      </c>
      <c r="C205" s="11" t="s">
        <v>90</v>
      </c>
      <c r="D205" s="11"/>
      <c r="E205" s="11"/>
      <c r="F205" s="11"/>
      <c r="G205" s="11" t="s">
        <v>239</v>
      </c>
      <c r="H205" s="157"/>
      <c r="I205" s="101">
        <v>72539</v>
      </c>
    </row>
    <row r="206" spans="1:9" s="56" customFormat="1" ht="17.25" x14ac:dyDescent="0.35">
      <c r="A206" s="160"/>
      <c r="B206" s="11"/>
      <c r="C206" s="11"/>
      <c r="D206" s="11" t="s">
        <v>69</v>
      </c>
      <c r="E206" s="11">
        <v>1</v>
      </c>
      <c r="F206" s="11">
        <v>1</v>
      </c>
      <c r="G206" s="11"/>
      <c r="H206" s="157"/>
      <c r="I206" s="101"/>
    </row>
    <row r="207" spans="1:9" s="56" customFormat="1" ht="17.25" x14ac:dyDescent="0.35">
      <c r="A207" s="238" t="s">
        <v>362</v>
      </c>
      <c r="B207" s="108" t="s">
        <v>363</v>
      </c>
      <c r="C207" s="108" t="s">
        <v>90</v>
      </c>
      <c r="D207" s="108"/>
      <c r="E207" s="109"/>
      <c r="F207" s="108"/>
      <c r="G207" s="109" t="s">
        <v>239</v>
      </c>
      <c r="H207" s="239"/>
      <c r="I207" s="103">
        <v>72614</v>
      </c>
    </row>
    <row r="208" spans="1:9" s="56" customFormat="1" ht="17.25" x14ac:dyDescent="0.35">
      <c r="A208" s="238"/>
      <c r="B208" s="108" t="s">
        <v>244</v>
      </c>
      <c r="C208" s="108"/>
      <c r="D208" s="108" t="s">
        <v>69</v>
      </c>
      <c r="E208" s="109">
        <v>1</v>
      </c>
      <c r="F208" s="108" t="s">
        <v>6</v>
      </c>
      <c r="G208" s="109"/>
      <c r="H208" s="239"/>
      <c r="I208" s="103"/>
    </row>
    <row r="209" spans="1:9" s="56" customFormat="1" ht="16.5" customHeight="1" x14ac:dyDescent="0.35">
      <c r="A209" s="238"/>
      <c r="B209" s="108"/>
      <c r="C209" s="108"/>
      <c r="D209" s="108" t="s">
        <v>69</v>
      </c>
      <c r="E209" s="109">
        <v>1</v>
      </c>
      <c r="F209" s="108">
        <v>1</v>
      </c>
      <c r="G209" s="109"/>
      <c r="H209" s="239"/>
      <c r="I209" s="103" t="s">
        <v>364</v>
      </c>
    </row>
    <row r="210" spans="1:9" s="56" customFormat="1" ht="16.5" customHeight="1" x14ac:dyDescent="0.35">
      <c r="A210" s="160" t="s">
        <v>422</v>
      </c>
      <c r="B210" s="11" t="s">
        <v>421</v>
      </c>
      <c r="C210" s="11" t="s">
        <v>90</v>
      </c>
      <c r="D210" s="11"/>
      <c r="E210" s="11"/>
      <c r="F210" s="11"/>
      <c r="G210" s="11"/>
      <c r="H210" s="157"/>
      <c r="I210" s="101">
        <v>65683</v>
      </c>
    </row>
    <row r="211" spans="1:9" s="81" customFormat="1" ht="17.25" x14ac:dyDescent="0.35">
      <c r="A211" s="160"/>
      <c r="B211" s="11"/>
      <c r="C211" s="11"/>
      <c r="D211" s="11" t="s">
        <v>69</v>
      </c>
      <c r="E211" s="11">
        <v>1</v>
      </c>
      <c r="F211" s="242">
        <v>2</v>
      </c>
      <c r="G211" s="11"/>
      <c r="H211" s="157"/>
      <c r="I211" s="101"/>
    </row>
    <row r="212" spans="1:9" s="81" customFormat="1" ht="17.25" x14ac:dyDescent="0.35">
      <c r="A212" s="243" t="s">
        <v>420</v>
      </c>
      <c r="B212" s="11" t="s">
        <v>419</v>
      </c>
      <c r="C212" s="11" t="s">
        <v>71</v>
      </c>
      <c r="D212" s="11"/>
      <c r="E212" s="11"/>
      <c r="F212" s="11"/>
      <c r="G212" s="11" t="s">
        <v>239</v>
      </c>
      <c r="H212" s="157" t="s">
        <v>418</v>
      </c>
      <c r="I212" s="213" t="s">
        <v>417</v>
      </c>
    </row>
    <row r="213" spans="1:9" s="81" customFormat="1" ht="17.25" x14ac:dyDescent="0.35">
      <c r="A213" s="160" t="s">
        <v>386</v>
      </c>
      <c r="B213" s="11" t="s">
        <v>387</v>
      </c>
      <c r="C213" s="11" t="s">
        <v>90</v>
      </c>
      <c r="D213" s="11"/>
      <c r="E213" s="11"/>
      <c r="F213" s="11"/>
      <c r="G213" s="11" t="s">
        <v>239</v>
      </c>
      <c r="H213" s="157"/>
      <c r="I213" s="101">
        <v>67221</v>
      </c>
    </row>
    <row r="214" spans="1:9" s="56" customFormat="1" ht="16.5" customHeight="1" x14ac:dyDescent="0.35">
      <c r="A214" s="160"/>
      <c r="B214" s="11"/>
      <c r="C214" s="11"/>
      <c r="D214" s="11" t="s">
        <v>388</v>
      </c>
      <c r="E214" s="11">
        <v>1</v>
      </c>
      <c r="F214" s="242" t="s">
        <v>389</v>
      </c>
      <c r="G214" s="11"/>
      <c r="H214" s="157"/>
      <c r="I214" s="101"/>
    </row>
    <row r="215" spans="1:9" s="56" customFormat="1" ht="16.5" customHeight="1" x14ac:dyDescent="0.35">
      <c r="A215" s="160" t="s">
        <v>390</v>
      </c>
      <c r="B215" s="11" t="s">
        <v>391</v>
      </c>
      <c r="C215" s="11" t="s">
        <v>90</v>
      </c>
      <c r="D215" s="11"/>
      <c r="E215" s="11"/>
      <c r="F215" s="11"/>
      <c r="G215" s="11" t="s">
        <v>239</v>
      </c>
      <c r="H215" s="157"/>
      <c r="I215" s="101">
        <v>70242</v>
      </c>
    </row>
    <row r="216" spans="1:9" s="56" customFormat="1" ht="16.5" customHeight="1" x14ac:dyDescent="0.35">
      <c r="A216" s="160"/>
      <c r="B216" s="11"/>
      <c r="C216" s="11"/>
      <c r="D216" s="11" t="s">
        <v>69</v>
      </c>
      <c r="E216" s="11">
        <v>1</v>
      </c>
      <c r="F216" s="242">
        <v>0</v>
      </c>
      <c r="G216" s="11"/>
      <c r="H216" s="157"/>
      <c r="I216" s="101"/>
    </row>
    <row r="217" spans="1:9" s="56" customFormat="1" ht="16.5" customHeight="1" x14ac:dyDescent="0.35">
      <c r="A217" s="160" t="s">
        <v>392</v>
      </c>
      <c r="B217" s="11" t="s">
        <v>393</v>
      </c>
      <c r="C217" s="11" t="s">
        <v>90</v>
      </c>
      <c r="D217" s="11"/>
      <c r="E217" s="11"/>
      <c r="F217" s="11"/>
      <c r="G217" s="11" t="s">
        <v>239</v>
      </c>
      <c r="H217" s="157"/>
      <c r="I217" s="101">
        <v>69736</v>
      </c>
    </row>
    <row r="218" spans="1:9" s="56" customFormat="1" ht="19.5" customHeight="1" x14ac:dyDescent="0.35">
      <c r="A218" s="160"/>
      <c r="B218" s="11"/>
      <c r="C218" s="11"/>
      <c r="D218" s="11" t="s">
        <v>69</v>
      </c>
      <c r="E218" s="11">
        <v>1</v>
      </c>
      <c r="F218" s="242">
        <v>1</v>
      </c>
      <c r="G218" s="11"/>
      <c r="H218" s="157"/>
      <c r="I218" s="101"/>
    </row>
    <row r="219" spans="1:9" s="56" customFormat="1" ht="16.5" customHeight="1" x14ac:dyDescent="0.35">
      <c r="A219" s="160" t="s">
        <v>394</v>
      </c>
      <c r="B219" s="11" t="s">
        <v>395</v>
      </c>
      <c r="C219" s="11" t="s">
        <v>90</v>
      </c>
      <c r="D219" s="11"/>
      <c r="E219" s="11"/>
      <c r="F219" s="11"/>
      <c r="G219" s="11" t="s">
        <v>239</v>
      </c>
      <c r="H219" s="157"/>
      <c r="I219" s="101">
        <v>69737</v>
      </c>
    </row>
    <row r="220" spans="1:9" s="56" customFormat="1" ht="16.5" customHeight="1" x14ac:dyDescent="0.35">
      <c r="A220" s="160"/>
      <c r="B220" s="11"/>
      <c r="C220" s="11"/>
      <c r="D220" s="11" t="s">
        <v>396</v>
      </c>
      <c r="E220" s="11">
        <v>1</v>
      </c>
      <c r="F220" s="242" t="s">
        <v>397</v>
      </c>
      <c r="G220" s="11"/>
      <c r="H220" s="157"/>
      <c r="I220" s="101"/>
    </row>
    <row r="221" spans="1:9" s="56" customFormat="1" ht="16.5" customHeight="1" x14ac:dyDescent="0.35">
      <c r="A221" s="160" t="s">
        <v>398</v>
      </c>
      <c r="B221" s="11" t="s">
        <v>399</v>
      </c>
      <c r="C221" s="11" t="s">
        <v>90</v>
      </c>
      <c r="D221" s="11"/>
      <c r="E221" s="11"/>
      <c r="F221" s="11"/>
      <c r="G221" s="11" t="s">
        <v>79</v>
      </c>
      <c r="H221" s="157"/>
      <c r="I221" s="101">
        <v>65785</v>
      </c>
    </row>
    <row r="222" spans="1:9" s="56" customFormat="1" ht="16.5" customHeight="1" x14ac:dyDescent="0.35">
      <c r="A222" s="160"/>
      <c r="B222" s="11"/>
      <c r="C222" s="11"/>
      <c r="D222" s="11" t="s">
        <v>69</v>
      </c>
      <c r="E222" s="11">
        <v>2</v>
      </c>
      <c r="F222" s="11">
        <v>1500</v>
      </c>
      <c r="G222" s="11"/>
      <c r="H222" s="157"/>
      <c r="I222" s="101"/>
    </row>
    <row r="223" spans="1:9" s="56" customFormat="1" ht="16.5" customHeight="1" x14ac:dyDescent="0.35">
      <c r="A223" s="244" t="s">
        <v>521</v>
      </c>
      <c r="B223" s="11" t="s">
        <v>522</v>
      </c>
      <c r="C223" s="79" t="s">
        <v>71</v>
      </c>
      <c r="D223" s="79"/>
      <c r="E223" s="11"/>
      <c r="F223" s="79"/>
      <c r="G223" s="11" t="s">
        <v>239</v>
      </c>
      <c r="H223" s="157" t="s">
        <v>523</v>
      </c>
      <c r="I223" s="214"/>
    </row>
    <row r="224" spans="1:9" s="56" customFormat="1" ht="16.5" customHeight="1" x14ac:dyDescent="0.35">
      <c r="A224" s="160" t="s">
        <v>379</v>
      </c>
      <c r="B224" s="11" t="s">
        <v>380</v>
      </c>
      <c r="C224" s="11" t="s">
        <v>71</v>
      </c>
      <c r="D224" s="11"/>
      <c r="E224" s="11"/>
      <c r="F224" s="11"/>
      <c r="G224" s="11" t="s">
        <v>239</v>
      </c>
      <c r="H224" s="157" t="s">
        <v>381</v>
      </c>
      <c r="I224" s="101" t="s">
        <v>385</v>
      </c>
    </row>
    <row r="225" spans="1:11" s="56" customFormat="1" ht="16.5" customHeight="1" x14ac:dyDescent="0.35">
      <c r="A225" s="160" t="s">
        <v>382</v>
      </c>
      <c r="B225" s="11" t="s">
        <v>383</v>
      </c>
      <c r="C225" s="11" t="s">
        <v>71</v>
      </c>
      <c r="D225" s="11"/>
      <c r="E225" s="11"/>
      <c r="F225" s="11"/>
      <c r="G225" s="11" t="s">
        <v>239</v>
      </c>
      <c r="H225" s="157" t="s">
        <v>384</v>
      </c>
      <c r="I225" s="101" t="s">
        <v>385</v>
      </c>
    </row>
    <row r="226" spans="1:11" s="56" customFormat="1" ht="16.5" customHeight="1" x14ac:dyDescent="0.35">
      <c r="A226" s="160" t="s">
        <v>376</v>
      </c>
      <c r="B226" s="11" t="s">
        <v>377</v>
      </c>
      <c r="C226" s="11" t="s">
        <v>71</v>
      </c>
      <c r="D226" s="11"/>
      <c r="E226" s="11"/>
      <c r="F226" s="11"/>
      <c r="G226" s="11" t="s">
        <v>239</v>
      </c>
      <c r="H226" s="157" t="s">
        <v>378</v>
      </c>
      <c r="I226" s="101">
        <v>67211</v>
      </c>
    </row>
    <row r="227" spans="1:11" s="56" customFormat="1" ht="16.5" customHeight="1" x14ac:dyDescent="0.35">
      <c r="A227" s="160" t="s">
        <v>416</v>
      </c>
      <c r="B227" s="11" t="s">
        <v>415</v>
      </c>
      <c r="C227" s="11" t="s">
        <v>90</v>
      </c>
      <c r="D227" s="11"/>
      <c r="E227" s="11"/>
      <c r="F227" s="11"/>
      <c r="G227" s="11" t="s">
        <v>239</v>
      </c>
      <c r="H227" s="157"/>
      <c r="I227" s="100">
        <v>67217</v>
      </c>
    </row>
    <row r="228" spans="1:11" s="56" customFormat="1" ht="16.5" customHeight="1" x14ac:dyDescent="0.35">
      <c r="A228" s="160"/>
      <c r="B228" s="11"/>
      <c r="C228" s="11"/>
      <c r="D228" s="11" t="s">
        <v>69</v>
      </c>
      <c r="E228" s="11">
        <v>1</v>
      </c>
      <c r="F228" s="80">
        <v>0</v>
      </c>
      <c r="G228" s="11"/>
      <c r="H228" s="157"/>
      <c r="I228" s="100" t="s">
        <v>414</v>
      </c>
    </row>
    <row r="229" spans="1:11" s="56" customFormat="1" ht="16.5" customHeight="1" x14ac:dyDescent="0.35">
      <c r="A229" s="160"/>
      <c r="B229" s="11"/>
      <c r="C229" s="11"/>
      <c r="D229" s="11" t="s">
        <v>69</v>
      </c>
      <c r="E229" s="11">
        <v>2</v>
      </c>
      <c r="F229" s="80" t="s">
        <v>121</v>
      </c>
      <c r="G229" s="11"/>
      <c r="H229" s="157"/>
      <c r="I229" s="100" t="s">
        <v>413</v>
      </c>
    </row>
    <row r="230" spans="1:11" s="56" customFormat="1" ht="16.5" customHeight="1" x14ac:dyDescent="0.35">
      <c r="A230" s="159" t="s">
        <v>505</v>
      </c>
      <c r="B230" s="11" t="s">
        <v>506</v>
      </c>
      <c r="C230" s="11" t="s">
        <v>90</v>
      </c>
      <c r="D230" s="11"/>
      <c r="E230" s="11"/>
      <c r="F230" s="11"/>
      <c r="G230" s="11" t="s">
        <v>239</v>
      </c>
      <c r="H230" s="157"/>
      <c r="I230" s="116">
        <v>70260</v>
      </c>
    </row>
    <row r="231" spans="1:11" s="56" customFormat="1" ht="17.25" x14ac:dyDescent="0.35">
      <c r="A231" s="159"/>
      <c r="B231" s="11"/>
      <c r="C231" s="11"/>
      <c r="D231" s="11" t="s">
        <v>69</v>
      </c>
      <c r="E231" s="11">
        <v>1</v>
      </c>
      <c r="F231" s="11">
        <v>0</v>
      </c>
      <c r="G231" s="11"/>
      <c r="H231" s="157"/>
      <c r="I231" s="116" t="s">
        <v>507</v>
      </c>
    </row>
    <row r="232" spans="1:11" s="56" customFormat="1" ht="16.5" customHeight="1" x14ac:dyDescent="0.35">
      <c r="A232" s="159" t="s">
        <v>508</v>
      </c>
      <c r="B232" s="11" t="s">
        <v>509</v>
      </c>
      <c r="C232" s="11" t="s">
        <v>90</v>
      </c>
      <c r="D232" s="11"/>
      <c r="E232" s="11"/>
      <c r="F232" s="11"/>
      <c r="G232" s="11" t="s">
        <v>239</v>
      </c>
      <c r="H232" s="157"/>
      <c r="I232" s="116">
        <v>70334</v>
      </c>
    </row>
    <row r="233" spans="1:11" s="56" customFormat="1" ht="16.5" customHeight="1" x14ac:dyDescent="0.35">
      <c r="A233" s="159"/>
      <c r="B233" s="11"/>
      <c r="C233" s="11"/>
      <c r="D233" s="11" t="s">
        <v>69</v>
      </c>
      <c r="E233" s="11">
        <v>1</v>
      </c>
      <c r="F233" s="80">
        <v>0</v>
      </c>
      <c r="G233" s="11"/>
      <c r="H233" s="157"/>
      <c r="I233" s="116" t="s">
        <v>510</v>
      </c>
    </row>
    <row r="234" spans="1:11" s="145" customFormat="1" ht="16.5" customHeight="1" x14ac:dyDescent="0.35">
      <c r="A234" s="160" t="s">
        <v>407</v>
      </c>
      <c r="B234" s="11" t="s">
        <v>406</v>
      </c>
      <c r="C234" s="11" t="s">
        <v>90</v>
      </c>
      <c r="D234" s="11"/>
      <c r="E234" s="11"/>
      <c r="F234" s="11"/>
      <c r="G234" s="11" t="s">
        <v>239</v>
      </c>
      <c r="H234" s="157"/>
      <c r="I234" s="101">
        <v>65811</v>
      </c>
    </row>
    <row r="235" spans="1:11" s="56" customFormat="1" ht="16.5" customHeight="1" x14ac:dyDescent="0.35">
      <c r="A235" s="160"/>
      <c r="B235" s="11"/>
      <c r="C235" s="11"/>
      <c r="D235" s="11" t="s">
        <v>69</v>
      </c>
      <c r="E235" s="11">
        <v>1</v>
      </c>
      <c r="F235" s="11">
        <v>0</v>
      </c>
      <c r="G235" s="11"/>
      <c r="H235" s="157"/>
      <c r="I235" s="101"/>
    </row>
    <row r="236" spans="1:11" s="56" customFormat="1" ht="17.25" x14ac:dyDescent="0.35">
      <c r="A236" s="247" t="s">
        <v>412</v>
      </c>
      <c r="B236" s="11" t="s">
        <v>411</v>
      </c>
      <c r="C236" s="84" t="s">
        <v>90</v>
      </c>
      <c r="D236" s="79"/>
      <c r="E236" s="11"/>
      <c r="F236" s="79"/>
      <c r="G236" s="11" t="s">
        <v>239</v>
      </c>
      <c r="H236" s="157"/>
      <c r="I236" s="215">
        <v>72533</v>
      </c>
    </row>
    <row r="237" spans="1:11" s="141" customFormat="1" ht="17.25" x14ac:dyDescent="0.35">
      <c r="A237" s="247"/>
      <c r="B237" s="11"/>
      <c r="C237" s="79"/>
      <c r="D237" s="84" t="s">
        <v>69</v>
      </c>
      <c r="E237" s="11">
        <v>4</v>
      </c>
      <c r="F237" s="80">
        <v>1</v>
      </c>
      <c r="G237" s="11"/>
      <c r="H237" s="157"/>
      <c r="I237" s="215" t="s">
        <v>410</v>
      </c>
      <c r="J237" s="81"/>
      <c r="K237" s="81"/>
    </row>
    <row r="238" spans="1:11" s="141" customFormat="1" ht="17.25" x14ac:dyDescent="0.35">
      <c r="A238" s="160" t="s">
        <v>409</v>
      </c>
      <c r="B238" s="11" t="s">
        <v>408</v>
      </c>
      <c r="C238" s="11" t="s">
        <v>90</v>
      </c>
      <c r="D238" s="11"/>
      <c r="E238" s="11"/>
      <c r="F238" s="11"/>
      <c r="G238" s="11" t="s">
        <v>79</v>
      </c>
      <c r="H238" s="157"/>
      <c r="I238" s="100">
        <v>73561</v>
      </c>
      <c r="J238" s="81"/>
      <c r="K238" s="81"/>
    </row>
    <row r="239" spans="1:11" s="141" customFormat="1" ht="17.25" x14ac:dyDescent="0.35">
      <c r="A239" s="160"/>
      <c r="B239" s="11"/>
      <c r="C239" s="11"/>
      <c r="D239" s="11" t="s">
        <v>69</v>
      </c>
      <c r="E239" s="11">
        <v>1</v>
      </c>
      <c r="F239" s="11">
        <v>1</v>
      </c>
      <c r="G239" s="11"/>
      <c r="H239" s="157"/>
      <c r="I239" s="100"/>
      <c r="J239" s="81"/>
      <c r="K239" s="81"/>
    </row>
    <row r="240" spans="1:11" s="141" customFormat="1" ht="17.25" x14ac:dyDescent="0.35">
      <c r="A240" s="160" t="s">
        <v>511</v>
      </c>
      <c r="B240" s="11" t="s">
        <v>512</v>
      </c>
      <c r="C240" s="11" t="s">
        <v>71</v>
      </c>
      <c r="D240" s="11"/>
      <c r="E240" s="11"/>
      <c r="F240" s="11"/>
      <c r="G240" s="11" t="s">
        <v>239</v>
      </c>
      <c r="H240" s="157" t="s">
        <v>515</v>
      </c>
      <c r="I240" s="100">
        <v>72541</v>
      </c>
      <c r="J240" s="81"/>
      <c r="K240" s="81"/>
    </row>
    <row r="241" spans="1:11" s="141" customFormat="1" ht="17.25" x14ac:dyDescent="0.35">
      <c r="A241" s="160" t="s">
        <v>513</v>
      </c>
      <c r="B241" s="11" t="s">
        <v>514</v>
      </c>
      <c r="C241" s="11" t="s">
        <v>71</v>
      </c>
      <c r="D241" s="11"/>
      <c r="E241" s="11"/>
      <c r="F241" s="11"/>
      <c r="G241" s="11" t="s">
        <v>239</v>
      </c>
      <c r="H241" s="157" t="s">
        <v>516</v>
      </c>
      <c r="I241" s="100">
        <v>71524</v>
      </c>
      <c r="J241" s="81"/>
      <c r="K241" s="81"/>
    </row>
    <row r="242" spans="1:11" s="141" customFormat="1" ht="17.25" x14ac:dyDescent="0.35">
      <c r="A242" s="160" t="s">
        <v>555</v>
      </c>
      <c r="B242" s="11" t="s">
        <v>556</v>
      </c>
      <c r="C242" s="11" t="s">
        <v>1247</v>
      </c>
      <c r="D242" s="11"/>
      <c r="E242" s="11"/>
      <c r="F242" s="11"/>
      <c r="G242" s="11" t="s">
        <v>239</v>
      </c>
      <c r="H242" s="157" t="s">
        <v>557</v>
      </c>
      <c r="I242" s="100">
        <v>73755</v>
      </c>
      <c r="J242" s="81"/>
      <c r="K242" s="81"/>
    </row>
    <row r="243" spans="1:11" s="26" customFormat="1" ht="17.25" x14ac:dyDescent="0.35">
      <c r="A243" s="318" t="s">
        <v>519</v>
      </c>
      <c r="B243" s="299" t="s">
        <v>520</v>
      </c>
      <c r="C243" s="299" t="s">
        <v>71</v>
      </c>
      <c r="D243" s="299"/>
      <c r="E243" s="299"/>
      <c r="F243" s="299"/>
      <c r="G243" s="299" t="s">
        <v>239</v>
      </c>
      <c r="H243" s="300" t="s">
        <v>1234</v>
      </c>
      <c r="I243" s="117">
        <v>73596</v>
      </c>
    </row>
    <row r="244" spans="1:11" s="56" customFormat="1" ht="16.5" customHeight="1" x14ac:dyDescent="0.35">
      <c r="A244" s="339" t="s">
        <v>630</v>
      </c>
      <c r="B244" s="340" t="s">
        <v>631</v>
      </c>
      <c r="C244" s="341" t="s">
        <v>90</v>
      </c>
      <c r="D244" s="341"/>
      <c r="E244" s="341"/>
      <c r="F244" s="341"/>
      <c r="G244" s="342" t="s">
        <v>239</v>
      </c>
      <c r="H244" s="343"/>
      <c r="I244" s="344">
        <v>67261</v>
      </c>
    </row>
    <row r="245" spans="1:11" s="17" customFormat="1" ht="17.25" x14ac:dyDescent="0.35">
      <c r="A245" s="345"/>
      <c r="B245" s="340"/>
      <c r="C245" s="341"/>
      <c r="D245" s="341" t="s">
        <v>69</v>
      </c>
      <c r="E245" s="341">
        <v>2</v>
      </c>
      <c r="F245" s="341">
        <v>0</v>
      </c>
      <c r="G245" s="342"/>
      <c r="H245" s="343"/>
      <c r="I245" s="344" t="s">
        <v>632</v>
      </c>
    </row>
    <row r="246" spans="1:11" s="26" customFormat="1" ht="17.25" x14ac:dyDescent="0.35">
      <c r="A246" s="345"/>
      <c r="B246" s="340"/>
      <c r="C246" s="341"/>
      <c r="D246" s="341" t="s">
        <v>69</v>
      </c>
      <c r="E246" s="341">
        <v>2</v>
      </c>
      <c r="F246" s="341">
        <v>0</v>
      </c>
      <c r="G246" s="342"/>
      <c r="H246" s="343"/>
      <c r="I246" s="344" t="s">
        <v>1145</v>
      </c>
    </row>
    <row r="247" spans="1:11" s="26" customFormat="1" ht="17.25" x14ac:dyDescent="0.35">
      <c r="A247" s="345"/>
      <c r="B247" s="340"/>
      <c r="C247" s="341"/>
      <c r="D247" s="341" t="s">
        <v>69</v>
      </c>
      <c r="E247" s="341">
        <v>1</v>
      </c>
      <c r="F247" s="341">
        <v>0</v>
      </c>
      <c r="G247" s="342"/>
      <c r="H247" s="343"/>
      <c r="I247" s="344" t="s">
        <v>1146</v>
      </c>
    </row>
    <row r="248" spans="1:11" s="26" customFormat="1" ht="17.25" x14ac:dyDescent="0.35">
      <c r="A248" s="345"/>
      <c r="B248" s="340"/>
      <c r="C248" s="341"/>
      <c r="D248" s="341" t="s">
        <v>69</v>
      </c>
      <c r="E248" s="341">
        <v>1</v>
      </c>
      <c r="F248" s="341">
        <v>1</v>
      </c>
      <c r="G248" s="342"/>
      <c r="H248" s="343"/>
      <c r="I248" s="344" t="s">
        <v>635</v>
      </c>
    </row>
    <row r="249" spans="1:11" s="26" customFormat="1" ht="17.25" x14ac:dyDescent="0.35">
      <c r="A249" s="345"/>
      <c r="B249" s="340"/>
      <c r="C249" s="341"/>
      <c r="D249" s="341" t="s">
        <v>69</v>
      </c>
      <c r="E249" s="341">
        <v>2</v>
      </c>
      <c r="F249" s="341">
        <v>0</v>
      </c>
      <c r="G249" s="342"/>
      <c r="H249" s="343"/>
      <c r="I249" s="344" t="s">
        <v>636</v>
      </c>
    </row>
    <row r="250" spans="1:11" s="26" customFormat="1" ht="17.25" x14ac:dyDescent="0.35">
      <c r="A250" s="345"/>
      <c r="B250" s="340"/>
      <c r="C250" s="341"/>
      <c r="D250" s="341" t="s">
        <v>69</v>
      </c>
      <c r="E250" s="341">
        <v>1</v>
      </c>
      <c r="F250" s="341">
        <v>0</v>
      </c>
      <c r="G250" s="342"/>
      <c r="H250" s="343"/>
      <c r="I250" s="344" t="s">
        <v>638</v>
      </c>
    </row>
    <row r="251" spans="1:11" s="26" customFormat="1" ht="17.25" x14ac:dyDescent="0.35">
      <c r="A251" s="345"/>
      <c r="B251" s="340"/>
      <c r="C251" s="341"/>
      <c r="D251" s="341" t="s">
        <v>69</v>
      </c>
      <c r="E251" s="341">
        <v>4</v>
      </c>
      <c r="F251" s="341">
        <v>0</v>
      </c>
      <c r="G251" s="342"/>
      <c r="H251" s="343"/>
      <c r="I251" s="344" t="s">
        <v>637</v>
      </c>
    </row>
    <row r="252" spans="1:11" s="26" customFormat="1" ht="17.25" x14ac:dyDescent="0.35">
      <c r="A252" s="345"/>
      <c r="B252" s="340"/>
      <c r="C252" s="341"/>
      <c r="D252" s="341" t="s">
        <v>69</v>
      </c>
      <c r="E252" s="341">
        <v>1</v>
      </c>
      <c r="F252" s="341">
        <v>4</v>
      </c>
      <c r="G252" s="342"/>
      <c r="H252" s="343"/>
      <c r="I252" s="344" t="s">
        <v>639</v>
      </c>
    </row>
    <row r="253" spans="1:11" s="26" customFormat="1" ht="17.25" x14ac:dyDescent="0.35">
      <c r="A253" s="346"/>
      <c r="B253" s="340"/>
      <c r="C253" s="341"/>
      <c r="D253" s="341"/>
      <c r="E253" s="341"/>
      <c r="F253" s="341"/>
      <c r="G253" s="342"/>
      <c r="H253" s="347"/>
      <c r="I253" s="348"/>
    </row>
    <row r="254" spans="1:11" s="56" customFormat="1" ht="17.25" x14ac:dyDescent="0.35">
      <c r="A254" s="282" t="s">
        <v>551</v>
      </c>
      <c r="B254" s="124" t="s">
        <v>552</v>
      </c>
      <c r="C254" s="124" t="s">
        <v>71</v>
      </c>
      <c r="D254" s="124"/>
      <c r="E254" s="124"/>
      <c r="F254" s="124"/>
      <c r="G254" s="124" t="s">
        <v>239</v>
      </c>
      <c r="H254" s="272" t="s">
        <v>553</v>
      </c>
      <c r="I254" s="117" t="s">
        <v>554</v>
      </c>
    </row>
    <row r="255" spans="1:11" s="26" customFormat="1" ht="15.75" thickBot="1" x14ac:dyDescent="0.35">
      <c r="A255" s="81"/>
      <c r="B255" s="81"/>
      <c r="C255" s="81"/>
      <c r="D255" s="81"/>
      <c r="E255" s="81"/>
      <c r="F255" s="81"/>
      <c r="G255" s="81"/>
      <c r="H255" s="81"/>
      <c r="I255" s="81"/>
    </row>
    <row r="256" spans="1:11" s="26" customFormat="1" ht="19.5" x14ac:dyDescent="0.4">
      <c r="A256" s="521" t="s">
        <v>95</v>
      </c>
      <c r="B256" s="522"/>
      <c r="C256" s="522"/>
      <c r="D256" s="522"/>
      <c r="E256" s="522"/>
      <c r="F256" s="522"/>
      <c r="G256" s="522"/>
      <c r="H256" s="523"/>
      <c r="I256" s="31"/>
    </row>
    <row r="257" spans="1:9" ht="17.25" x14ac:dyDescent="0.35">
      <c r="A257" s="73" t="s">
        <v>112</v>
      </c>
      <c r="B257" s="73"/>
      <c r="C257" s="78" t="s">
        <v>67</v>
      </c>
      <c r="D257" s="73" t="s">
        <v>113</v>
      </c>
      <c r="E257" s="73" t="s">
        <v>114</v>
      </c>
      <c r="F257" s="78" t="s">
        <v>115</v>
      </c>
      <c r="G257" s="73" t="s">
        <v>74</v>
      </c>
      <c r="H257" s="72"/>
    </row>
    <row r="258" spans="1:9" ht="17.25" x14ac:dyDescent="0.35">
      <c r="A258" s="73" t="s">
        <v>111</v>
      </c>
      <c r="B258" s="73"/>
      <c r="C258" s="20" t="s">
        <v>96</v>
      </c>
      <c r="D258" s="19"/>
      <c r="E258" s="19"/>
      <c r="F258" s="289"/>
      <c r="G258" s="19" t="s">
        <v>46</v>
      </c>
      <c r="H258" s="72"/>
    </row>
    <row r="259" spans="1:9" ht="17.25" x14ac:dyDescent="0.35">
      <c r="A259" s="73" t="s">
        <v>97</v>
      </c>
      <c r="B259" s="73"/>
      <c r="C259" s="20"/>
      <c r="D259" s="19" t="s">
        <v>69</v>
      </c>
      <c r="E259" s="19">
        <v>1</v>
      </c>
      <c r="F259" s="289">
        <v>0</v>
      </c>
      <c r="G259" s="19"/>
      <c r="H259" s="72"/>
    </row>
    <row r="260" spans="1:9" ht="17.25" x14ac:dyDescent="0.35">
      <c r="A260" s="73" t="s">
        <v>98</v>
      </c>
      <c r="B260" s="73"/>
      <c r="C260" s="20"/>
      <c r="D260" s="19" t="s">
        <v>69</v>
      </c>
      <c r="E260" s="19">
        <v>2</v>
      </c>
      <c r="F260" s="289">
        <v>2</v>
      </c>
      <c r="G260" s="19"/>
      <c r="H260" s="72"/>
    </row>
    <row r="261" spans="1:9" ht="17.25" x14ac:dyDescent="0.35">
      <c r="A261" s="73" t="s">
        <v>99</v>
      </c>
      <c r="B261" s="73"/>
      <c r="C261" s="20"/>
      <c r="D261" s="19" t="s">
        <v>69</v>
      </c>
      <c r="E261" s="19">
        <v>2</v>
      </c>
      <c r="F261" s="289" t="s">
        <v>116</v>
      </c>
      <c r="G261" s="19"/>
      <c r="H261" s="72"/>
    </row>
    <row r="262" spans="1:9" ht="17.25" x14ac:dyDescent="0.35">
      <c r="A262" s="73" t="s">
        <v>100</v>
      </c>
      <c r="B262" s="73"/>
      <c r="C262" s="20"/>
      <c r="D262" s="19" t="s">
        <v>69</v>
      </c>
      <c r="E262" s="19">
        <v>1</v>
      </c>
      <c r="F262" s="289" t="s">
        <v>4</v>
      </c>
      <c r="G262" s="19"/>
      <c r="H262" s="72"/>
    </row>
    <row r="263" spans="1:9" ht="17.25" x14ac:dyDescent="0.35">
      <c r="A263" s="73" t="s">
        <v>101</v>
      </c>
      <c r="B263" s="73"/>
      <c r="C263" s="20"/>
      <c r="D263" s="19" t="s">
        <v>69</v>
      </c>
      <c r="E263" s="19">
        <v>2</v>
      </c>
      <c r="F263" s="289">
        <v>4</v>
      </c>
      <c r="G263" s="19"/>
      <c r="H263" s="72"/>
    </row>
    <row r="264" spans="1:9" ht="17.25" x14ac:dyDescent="0.35">
      <c r="A264" s="77" t="s">
        <v>102</v>
      </c>
      <c r="B264" s="77"/>
      <c r="C264" s="21"/>
      <c r="D264" s="14" t="s">
        <v>69</v>
      </c>
      <c r="E264" s="14">
        <v>4</v>
      </c>
      <c r="F264" s="290" t="s">
        <v>1628</v>
      </c>
      <c r="G264" s="14"/>
      <c r="H264" s="76"/>
      <c r="I264" s="15"/>
    </row>
    <row r="265" spans="1:9" ht="17.25" x14ac:dyDescent="0.35">
      <c r="A265" s="73" t="s">
        <v>103</v>
      </c>
      <c r="B265" s="73"/>
      <c r="C265" s="20"/>
      <c r="D265" s="19" t="s">
        <v>69</v>
      </c>
      <c r="E265" s="19">
        <v>1</v>
      </c>
      <c r="F265" s="289" t="s">
        <v>5</v>
      </c>
      <c r="G265" s="19"/>
      <c r="H265" s="72"/>
    </row>
    <row r="266" spans="1:9" ht="17.25" x14ac:dyDescent="0.35">
      <c r="A266" s="73" t="s">
        <v>104</v>
      </c>
      <c r="B266" s="73"/>
      <c r="C266" s="20"/>
      <c r="D266" s="19" t="s">
        <v>69</v>
      </c>
      <c r="E266" s="19">
        <v>2</v>
      </c>
      <c r="F266" s="289">
        <f>LEN(F267)</f>
        <v>20</v>
      </c>
      <c r="G266" s="19"/>
      <c r="H266" s="72"/>
    </row>
    <row r="267" spans="1:9" ht="17.25" x14ac:dyDescent="0.35">
      <c r="A267" s="73" t="s">
        <v>105</v>
      </c>
      <c r="B267" s="73"/>
      <c r="C267" s="20"/>
      <c r="D267" s="19" t="s">
        <v>70</v>
      </c>
      <c r="E267" s="19">
        <f>F266</f>
        <v>20</v>
      </c>
      <c r="F267" s="75" t="s">
        <v>539</v>
      </c>
      <c r="G267" s="19"/>
      <c r="H267" s="72" t="s">
        <v>127</v>
      </c>
    </row>
    <row r="268" spans="1:9" ht="17.25" x14ac:dyDescent="0.35">
      <c r="A268" s="73" t="s">
        <v>106</v>
      </c>
      <c r="B268" s="73"/>
      <c r="C268" s="20"/>
      <c r="D268" s="19" t="s">
        <v>69</v>
      </c>
      <c r="E268" s="19">
        <v>1</v>
      </c>
      <c r="F268" s="289" t="s">
        <v>117</v>
      </c>
      <c r="G268" s="19"/>
      <c r="H268" s="72"/>
    </row>
    <row r="269" spans="1:9" ht="17.25" x14ac:dyDescent="0.35">
      <c r="A269" s="90" t="s">
        <v>107</v>
      </c>
      <c r="B269" s="90"/>
      <c r="C269" s="91"/>
      <c r="D269" s="92" t="s">
        <v>69</v>
      </c>
      <c r="E269" s="92">
        <v>2</v>
      </c>
      <c r="F269" s="291">
        <f>SUM(E270:E271)+F271*E272</f>
        <v>18</v>
      </c>
      <c r="G269" s="92"/>
      <c r="H269" s="93"/>
    </row>
    <row r="270" spans="1:9" ht="17.25" x14ac:dyDescent="0.35">
      <c r="A270" s="94" t="s">
        <v>108</v>
      </c>
      <c r="B270" s="94"/>
      <c r="C270" s="95"/>
      <c r="D270" s="96" t="s">
        <v>69</v>
      </c>
      <c r="E270" s="96">
        <v>1</v>
      </c>
      <c r="F270" s="75">
        <v>0</v>
      </c>
      <c r="G270" s="96"/>
      <c r="H270" s="97"/>
    </row>
    <row r="271" spans="1:9" ht="17.25" x14ac:dyDescent="0.35">
      <c r="A271" s="94" t="s">
        <v>109</v>
      </c>
      <c r="B271" s="94"/>
      <c r="C271" s="95"/>
      <c r="D271" s="96" t="s">
        <v>69</v>
      </c>
      <c r="E271" s="96">
        <v>1</v>
      </c>
      <c r="F271" s="75">
        <f>LEN(F272)-LEN(SUBSTITUTE(F272,",","")) + 1</f>
        <v>4</v>
      </c>
      <c r="G271" s="96"/>
      <c r="H271" s="97"/>
    </row>
    <row r="272" spans="1:9" ht="17.25" x14ac:dyDescent="0.35">
      <c r="A272" s="94" t="s">
        <v>110</v>
      </c>
      <c r="B272" s="94"/>
      <c r="C272" s="95"/>
      <c r="D272" s="96" t="s">
        <v>77</v>
      </c>
      <c r="E272" s="96">
        <v>4</v>
      </c>
      <c r="F272" s="75" t="s">
        <v>1176</v>
      </c>
      <c r="G272" s="96"/>
      <c r="H272" s="97"/>
    </row>
    <row r="273" spans="1:8" ht="17.25" x14ac:dyDescent="0.35">
      <c r="A273" s="94" t="s">
        <v>405</v>
      </c>
      <c r="B273" s="94"/>
      <c r="C273" s="95"/>
      <c r="D273" s="96" t="s">
        <v>69</v>
      </c>
      <c r="E273" s="96">
        <v>1</v>
      </c>
      <c r="F273" s="75" t="s">
        <v>404</v>
      </c>
      <c r="G273" s="96"/>
      <c r="H273" s="97"/>
    </row>
    <row r="274" spans="1:8" ht="17.25" x14ac:dyDescent="0.35">
      <c r="A274" s="74" t="s">
        <v>403</v>
      </c>
      <c r="B274" s="73"/>
      <c r="C274" s="20"/>
      <c r="D274" s="19" t="s">
        <v>69</v>
      </c>
      <c r="E274" s="19">
        <v>2</v>
      </c>
      <c r="F274" s="289">
        <v>4</v>
      </c>
      <c r="G274" s="19"/>
      <c r="H274" s="72"/>
    </row>
    <row r="275" spans="1:8" ht="17.25" x14ac:dyDescent="0.35">
      <c r="A275" s="74" t="s">
        <v>402</v>
      </c>
      <c r="B275" s="73"/>
      <c r="C275" s="20"/>
      <c r="D275" s="14" t="s">
        <v>69</v>
      </c>
      <c r="E275" s="14">
        <v>4</v>
      </c>
      <c r="F275" s="293" t="str">
        <f>$F$264</f>
        <v>0x05011377</v>
      </c>
      <c r="G275" s="19"/>
      <c r="H275" s="72"/>
    </row>
    <row r="276" spans="1:8" ht="17.25" x14ac:dyDescent="0.35">
      <c r="A276" s="49" t="s">
        <v>558</v>
      </c>
      <c r="B276" s="49"/>
      <c r="C276" s="20"/>
      <c r="D276" s="19" t="s">
        <v>69</v>
      </c>
      <c r="E276" s="19">
        <v>1</v>
      </c>
      <c r="F276" s="289" t="s">
        <v>559</v>
      </c>
      <c r="G276" s="19"/>
      <c r="H276" s="50"/>
    </row>
    <row r="277" spans="1:8" ht="17.25" x14ac:dyDescent="0.35">
      <c r="A277" s="98" t="s">
        <v>560</v>
      </c>
      <c r="B277" s="98"/>
      <c r="C277" s="95"/>
      <c r="D277" s="96" t="s">
        <v>69</v>
      </c>
      <c r="E277" s="96">
        <v>2</v>
      </c>
      <c r="F277" s="75">
        <f>2+F279*E280*2</f>
        <v>30</v>
      </c>
      <c r="G277" s="96"/>
      <c r="H277" s="99"/>
    </row>
    <row r="278" spans="1:8" ht="17.25" x14ac:dyDescent="0.35">
      <c r="A278" s="98" t="s">
        <v>561</v>
      </c>
      <c r="B278" s="98"/>
      <c r="C278" s="95"/>
      <c r="D278" s="96" t="s">
        <v>69</v>
      </c>
      <c r="E278" s="96">
        <v>1</v>
      </c>
      <c r="F278" s="75">
        <v>0</v>
      </c>
      <c r="G278" s="96"/>
      <c r="H278" s="99" t="s">
        <v>562</v>
      </c>
    </row>
    <row r="279" spans="1:8" ht="17.25" x14ac:dyDescent="0.35">
      <c r="A279" s="98" t="s">
        <v>563</v>
      </c>
      <c r="B279" s="98"/>
      <c r="C279" s="95"/>
      <c r="D279" s="96" t="s">
        <v>69</v>
      </c>
      <c r="E279" s="96">
        <v>1</v>
      </c>
      <c r="F279" s="75">
        <f>SUM(LEN(F280)-LEN(SUBSTITUTE(F280,"-","")))</f>
        <v>7</v>
      </c>
      <c r="G279" s="96"/>
      <c r="H279" s="99" t="s">
        <v>564</v>
      </c>
    </row>
    <row r="280" spans="1:8" ht="27.75" x14ac:dyDescent="0.35">
      <c r="A280" s="98" t="s">
        <v>565</v>
      </c>
      <c r="B280" s="98"/>
      <c r="C280" s="95"/>
      <c r="D280" s="96" t="s">
        <v>77</v>
      </c>
      <c r="E280" s="96">
        <v>2</v>
      </c>
      <c r="F280" s="75" t="s">
        <v>1212</v>
      </c>
      <c r="G280" s="96"/>
      <c r="H280" s="99"/>
    </row>
    <row r="281" spans="1:8" ht="17.25" x14ac:dyDescent="0.35">
      <c r="A281" s="366" t="s">
        <v>1189</v>
      </c>
      <c r="B281" s="366"/>
      <c r="C281" s="367"/>
      <c r="D281" s="368" t="s">
        <v>69</v>
      </c>
      <c r="E281" s="368">
        <v>1</v>
      </c>
      <c r="F281" s="370" t="s">
        <v>1190</v>
      </c>
      <c r="G281" s="368"/>
      <c r="H281" s="369"/>
    </row>
    <row r="282" spans="1:8" ht="17.25" x14ac:dyDescent="0.35">
      <c r="A282" s="366" t="s">
        <v>1191</v>
      </c>
      <c r="B282" s="366"/>
      <c r="C282" s="367"/>
      <c r="D282" s="368" t="s">
        <v>69</v>
      </c>
      <c r="E282" s="368">
        <v>2</v>
      </c>
      <c r="F282" s="370">
        <v>4</v>
      </c>
      <c r="G282" s="368"/>
      <c r="H282" s="369"/>
    </row>
    <row r="283" spans="1:8" ht="138" x14ac:dyDescent="0.35">
      <c r="A283" s="366" t="s">
        <v>1192</v>
      </c>
      <c r="B283" s="366"/>
      <c r="C283" s="367"/>
      <c r="D283" s="368" t="s">
        <v>69</v>
      </c>
      <c r="E283" s="368">
        <v>4</v>
      </c>
      <c r="F283" s="371" t="s">
        <v>1195</v>
      </c>
      <c r="G283" s="368"/>
      <c r="H283" s="369" t="s">
        <v>1194</v>
      </c>
    </row>
  </sheetData>
  <mergeCells count="2">
    <mergeCell ref="A4:H4"/>
    <mergeCell ref="A256:H25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N311"/>
  <sheetViews>
    <sheetView topLeftCell="A170" zoomScale="70" zoomScaleNormal="70" workbookViewId="0">
      <selection activeCell="B1" sqref="B1"/>
    </sheetView>
  </sheetViews>
  <sheetFormatPr defaultColWidth="9.140625" defaultRowHeight="12.75" x14ac:dyDescent="0.2"/>
  <cols>
    <col min="1" max="1" width="38.5703125" style="31" customWidth="1"/>
    <col min="2" max="2" width="78.7109375" style="31" bestFit="1" customWidth="1"/>
    <col min="3" max="3" width="13.42578125" style="31" bestFit="1" customWidth="1"/>
    <col min="4" max="4" width="12.85546875" style="31" bestFit="1" customWidth="1"/>
    <col min="5" max="5" width="44.85546875" style="31" bestFit="1" customWidth="1"/>
    <col min="6" max="6" width="56.140625" style="31" customWidth="1"/>
    <col min="7" max="7" width="15.85546875" style="31" bestFit="1" customWidth="1"/>
    <col min="8" max="8" width="129.42578125" style="31" customWidth="1"/>
    <col min="9" max="9" width="62.7109375" style="31" customWidth="1"/>
    <col min="10" max="10" width="13" style="31" customWidth="1"/>
    <col min="11" max="11" width="72.42578125" style="31" bestFit="1" customWidth="1"/>
    <col min="12" max="12" width="38.42578125" style="31" bestFit="1" customWidth="1"/>
    <col min="13" max="16384" width="9.140625" style="31"/>
  </cols>
  <sheetData>
    <row r="1" spans="1:14" s="26" customFormat="1" x14ac:dyDescent="0.2"/>
    <row r="2" spans="1:14" s="34" customFormat="1" ht="45" customHeight="1" x14ac:dyDescent="0.55000000000000004">
      <c r="A2" s="39" t="s">
        <v>341</v>
      </c>
      <c r="B2" s="39"/>
      <c r="C2" s="39"/>
      <c r="D2" s="39"/>
      <c r="E2" s="39"/>
      <c r="F2" s="39"/>
      <c r="G2" s="39"/>
      <c r="H2" s="39"/>
    </row>
    <row r="3" spans="1:14" s="26" customFormat="1" ht="13.5" thickBot="1" x14ac:dyDescent="0.25">
      <c r="B3" s="13"/>
    </row>
    <row r="4" spans="1:14" s="40" customFormat="1" ht="20.25" thickBot="1" x14ac:dyDescent="0.45">
      <c r="A4" s="515" t="s">
        <v>237</v>
      </c>
      <c r="B4" s="516"/>
      <c r="C4" s="516"/>
      <c r="D4" s="516"/>
      <c r="E4" s="516"/>
      <c r="F4" s="516"/>
      <c r="G4" s="516"/>
      <c r="H4" s="517"/>
    </row>
    <row r="5" spans="1:14" s="26" customFormat="1" ht="20.25" thickBot="1" x14ac:dyDescent="0.45">
      <c r="A5" s="41" t="s">
        <v>9</v>
      </c>
      <c r="B5" s="35" t="s">
        <v>8</v>
      </c>
      <c r="C5" s="36" t="s">
        <v>146</v>
      </c>
      <c r="D5" s="37" t="s">
        <v>147</v>
      </c>
      <c r="E5" s="36" t="s">
        <v>10</v>
      </c>
      <c r="F5" s="36" t="s">
        <v>68</v>
      </c>
      <c r="G5" s="36" t="s">
        <v>148</v>
      </c>
      <c r="H5" s="38" t="s">
        <v>11</v>
      </c>
      <c r="I5" s="33"/>
    </row>
    <row r="6" spans="1:14" s="56" customFormat="1" ht="17.25" x14ac:dyDescent="0.35">
      <c r="A6" s="192" t="s">
        <v>12</v>
      </c>
      <c r="B6" s="179">
        <v>5</v>
      </c>
      <c r="C6" s="179" t="s">
        <v>69</v>
      </c>
      <c r="D6" s="179">
        <v>1</v>
      </c>
      <c r="E6" s="191" t="s">
        <v>14</v>
      </c>
      <c r="F6" s="179">
        <v>1</v>
      </c>
      <c r="G6" s="179" t="s">
        <v>79</v>
      </c>
      <c r="H6" s="180"/>
      <c r="N6" s="139"/>
    </row>
    <row r="7" spans="1:14" s="56" customFormat="1" ht="17.25" x14ac:dyDescent="0.35">
      <c r="A7" s="193" t="s">
        <v>13</v>
      </c>
      <c r="B7" s="136">
        <v>6</v>
      </c>
      <c r="C7" s="136" t="s">
        <v>69</v>
      </c>
      <c r="D7" s="136">
        <v>1</v>
      </c>
      <c r="E7" s="85" t="s">
        <v>15</v>
      </c>
      <c r="F7" s="136">
        <v>6</v>
      </c>
      <c r="G7" s="136" t="s">
        <v>79</v>
      </c>
      <c r="H7" s="181" t="s">
        <v>7</v>
      </c>
      <c r="N7" s="139"/>
    </row>
    <row r="8" spans="1:14" s="56" customFormat="1" ht="17.25" x14ac:dyDescent="0.35">
      <c r="A8" s="193" t="s">
        <v>39</v>
      </c>
      <c r="B8" s="136">
        <v>71</v>
      </c>
      <c r="C8" s="136"/>
      <c r="D8" s="136"/>
      <c r="E8" s="85" t="s">
        <v>40</v>
      </c>
      <c r="F8" s="136"/>
      <c r="G8" s="136" t="s">
        <v>239</v>
      </c>
      <c r="H8" s="181" t="s">
        <v>7</v>
      </c>
      <c r="I8" s="137"/>
    </row>
    <row r="9" spans="1:14" s="56" customFormat="1" ht="69" x14ac:dyDescent="0.35">
      <c r="A9" s="193"/>
      <c r="B9" s="136"/>
      <c r="C9" s="136" t="s">
        <v>70</v>
      </c>
      <c r="D9" s="136">
        <v>13</v>
      </c>
      <c r="E9" s="85" t="s">
        <v>41</v>
      </c>
      <c r="F9" s="136" t="s">
        <v>310</v>
      </c>
      <c r="G9" s="136"/>
      <c r="H9" s="182" t="s">
        <v>312</v>
      </c>
      <c r="I9" s="137"/>
    </row>
    <row r="10" spans="1:14" s="56" customFormat="1" ht="17.25" x14ac:dyDescent="0.35">
      <c r="A10" s="193" t="s">
        <v>149</v>
      </c>
      <c r="B10" s="136">
        <v>400</v>
      </c>
      <c r="C10" s="136" t="s">
        <v>69</v>
      </c>
      <c r="D10" s="136">
        <v>1</v>
      </c>
      <c r="E10" s="85" t="s">
        <v>150</v>
      </c>
      <c r="F10" s="136">
        <v>0</v>
      </c>
      <c r="G10" s="136" t="s">
        <v>239</v>
      </c>
      <c r="H10" s="181" t="s">
        <v>151</v>
      </c>
    </row>
    <row r="11" spans="1:14" s="56" customFormat="1" ht="17.25" x14ac:dyDescent="0.35">
      <c r="A11" s="193" t="s">
        <v>28</v>
      </c>
      <c r="B11" s="136">
        <v>405</v>
      </c>
      <c r="C11" s="136"/>
      <c r="D11" s="136"/>
      <c r="E11" s="85" t="s">
        <v>29</v>
      </c>
      <c r="F11" s="136"/>
      <c r="G11" s="136" t="s">
        <v>79</v>
      </c>
      <c r="H11" s="181"/>
    </row>
    <row r="12" spans="1:14" s="56" customFormat="1" ht="17.25" x14ac:dyDescent="0.35">
      <c r="A12" s="193"/>
      <c r="B12" s="136"/>
      <c r="C12" s="136" t="s">
        <v>69</v>
      </c>
      <c r="D12" s="136">
        <v>2</v>
      </c>
      <c r="E12" s="85" t="s">
        <v>30</v>
      </c>
      <c r="F12" s="136">
        <v>3</v>
      </c>
      <c r="G12" s="136"/>
      <c r="H12" s="181" t="s">
        <v>31</v>
      </c>
    </row>
    <row r="13" spans="1:14" s="56" customFormat="1" ht="17.25" x14ac:dyDescent="0.35">
      <c r="A13" s="193" t="s">
        <v>32</v>
      </c>
      <c r="B13" s="136">
        <v>818</v>
      </c>
      <c r="C13" s="136" t="s">
        <v>69</v>
      </c>
      <c r="D13" s="136">
        <v>1</v>
      </c>
      <c r="E13" s="85" t="s">
        <v>33</v>
      </c>
      <c r="F13" s="136" t="s">
        <v>445</v>
      </c>
      <c r="G13" s="136" t="s">
        <v>79</v>
      </c>
      <c r="H13" s="181" t="s">
        <v>314</v>
      </c>
    </row>
    <row r="14" spans="1:14" s="56" customFormat="1" ht="17.25" x14ac:dyDescent="0.35">
      <c r="A14" s="193" t="s">
        <v>81</v>
      </c>
      <c r="B14" s="136">
        <v>880</v>
      </c>
      <c r="C14" s="136" t="s">
        <v>69</v>
      </c>
      <c r="D14" s="136">
        <v>1</v>
      </c>
      <c r="E14" s="85"/>
      <c r="F14" s="136">
        <v>1</v>
      </c>
      <c r="G14" s="136" t="s">
        <v>239</v>
      </c>
      <c r="H14" s="181"/>
    </row>
    <row r="15" spans="1:14" s="56" customFormat="1" ht="17.25" x14ac:dyDescent="0.35">
      <c r="A15" s="193" t="s">
        <v>82</v>
      </c>
      <c r="B15" s="136">
        <v>881</v>
      </c>
      <c r="C15" s="136" t="s">
        <v>69</v>
      </c>
      <c r="D15" s="136">
        <v>1</v>
      </c>
      <c r="E15" s="85"/>
      <c r="F15" s="136">
        <v>1</v>
      </c>
      <c r="G15" s="136" t="s">
        <v>239</v>
      </c>
      <c r="H15" s="181"/>
    </row>
    <row r="16" spans="1:14" s="56" customFormat="1" ht="17.25" x14ac:dyDescent="0.35">
      <c r="A16" s="193" t="s">
        <v>83</v>
      </c>
      <c r="B16" s="136">
        <v>882</v>
      </c>
      <c r="C16" s="136" t="s">
        <v>69</v>
      </c>
      <c r="D16" s="136">
        <v>1</v>
      </c>
      <c r="E16" s="85"/>
      <c r="F16" s="136">
        <v>0</v>
      </c>
      <c r="G16" s="136" t="s">
        <v>239</v>
      </c>
      <c r="H16" s="181"/>
      <c r="I16" s="137"/>
    </row>
    <row r="17" spans="1:9" s="56" customFormat="1" ht="17.25" x14ac:dyDescent="0.35">
      <c r="A17" s="193" t="s">
        <v>365</v>
      </c>
      <c r="B17" s="136">
        <v>906</v>
      </c>
      <c r="C17" s="136"/>
      <c r="D17" s="136"/>
      <c r="E17" s="85" t="s">
        <v>366</v>
      </c>
      <c r="F17" s="136"/>
      <c r="G17" s="136" t="s">
        <v>239</v>
      </c>
      <c r="H17" s="181"/>
      <c r="I17" s="137"/>
    </row>
    <row r="18" spans="1:9" s="56" customFormat="1" ht="17.25" x14ac:dyDescent="0.35">
      <c r="A18" s="193"/>
      <c r="B18" s="136"/>
      <c r="C18" s="136" t="s">
        <v>69</v>
      </c>
      <c r="D18" s="136">
        <v>1</v>
      </c>
      <c r="E18" s="85" t="s">
        <v>367</v>
      </c>
      <c r="F18" s="136">
        <v>9</v>
      </c>
      <c r="G18" s="136"/>
      <c r="H18" s="181"/>
      <c r="I18" s="137"/>
    </row>
    <row r="19" spans="1:9" s="56" customFormat="1" ht="17.25" x14ac:dyDescent="0.35">
      <c r="A19" s="193"/>
      <c r="B19" s="136"/>
      <c r="C19" s="136" t="s">
        <v>70</v>
      </c>
      <c r="D19" s="136">
        <v>127</v>
      </c>
      <c r="E19" s="85" t="s">
        <v>370</v>
      </c>
      <c r="F19" s="136" t="s">
        <v>368</v>
      </c>
      <c r="G19" s="136"/>
      <c r="H19" s="181"/>
      <c r="I19" s="137"/>
    </row>
    <row r="20" spans="1:9" s="56" customFormat="1" ht="17.25" x14ac:dyDescent="0.35">
      <c r="A20" s="193" t="s">
        <v>369</v>
      </c>
      <c r="B20" s="136">
        <v>910</v>
      </c>
      <c r="C20" s="136"/>
      <c r="D20" s="136"/>
      <c r="E20" s="85" t="s">
        <v>371</v>
      </c>
      <c r="F20" s="136"/>
      <c r="G20" s="136" t="s">
        <v>239</v>
      </c>
      <c r="H20" s="181"/>
      <c r="I20" s="137"/>
    </row>
    <row r="21" spans="1:9" s="56" customFormat="1" ht="17.25" x14ac:dyDescent="0.35">
      <c r="A21" s="193"/>
      <c r="B21" s="136"/>
      <c r="C21" s="136" t="s">
        <v>69</v>
      </c>
      <c r="D21" s="136">
        <v>1</v>
      </c>
      <c r="E21" s="85" t="s">
        <v>372</v>
      </c>
      <c r="F21" s="136">
        <f>LEN(F22)</f>
        <v>15</v>
      </c>
      <c r="G21" s="136"/>
      <c r="H21" s="181"/>
      <c r="I21" s="137"/>
    </row>
    <row r="22" spans="1:9" s="56" customFormat="1" ht="17.25" x14ac:dyDescent="0.35">
      <c r="A22" s="193"/>
      <c r="B22" s="136"/>
      <c r="C22" s="136" t="s">
        <v>70</v>
      </c>
      <c r="D22" s="136">
        <v>127</v>
      </c>
      <c r="E22" s="85" t="s">
        <v>373</v>
      </c>
      <c r="F22" s="144" t="s">
        <v>374</v>
      </c>
      <c r="G22" s="136"/>
      <c r="H22" s="181"/>
      <c r="I22" s="137"/>
    </row>
    <row r="23" spans="1:9" s="56" customFormat="1" ht="17.25" x14ac:dyDescent="0.35">
      <c r="A23" s="193" t="s">
        <v>17</v>
      </c>
      <c r="B23" s="136">
        <v>928</v>
      </c>
      <c r="C23" s="136" t="s">
        <v>69</v>
      </c>
      <c r="D23" s="136">
        <v>2</v>
      </c>
      <c r="E23" s="85" t="s">
        <v>18</v>
      </c>
      <c r="F23" s="136">
        <v>0</v>
      </c>
      <c r="G23" s="136" t="s">
        <v>79</v>
      </c>
      <c r="H23" s="181"/>
      <c r="I23" s="137"/>
    </row>
    <row r="24" spans="1:9" s="56" customFormat="1" ht="17.25" x14ac:dyDescent="0.35">
      <c r="A24" s="193" t="s">
        <v>19</v>
      </c>
      <c r="B24" s="136">
        <v>929</v>
      </c>
      <c r="C24" s="136" t="s">
        <v>69</v>
      </c>
      <c r="D24" s="136">
        <v>2</v>
      </c>
      <c r="E24" s="85" t="s">
        <v>20</v>
      </c>
      <c r="F24" s="136" t="s">
        <v>21</v>
      </c>
      <c r="G24" s="136" t="s">
        <v>79</v>
      </c>
      <c r="H24" s="181" t="s">
        <v>22</v>
      </c>
      <c r="I24" s="137"/>
    </row>
    <row r="25" spans="1:9" s="56" customFormat="1" ht="51.75" x14ac:dyDescent="0.35">
      <c r="A25" s="193" t="s">
        <v>34</v>
      </c>
      <c r="B25" s="136">
        <v>1018</v>
      </c>
      <c r="C25" s="136" t="s">
        <v>69</v>
      </c>
      <c r="D25" s="136">
        <v>2</v>
      </c>
      <c r="E25" s="85" t="s">
        <v>35</v>
      </c>
      <c r="F25" s="136" t="s">
        <v>444</v>
      </c>
      <c r="G25" s="136" t="s">
        <v>79</v>
      </c>
      <c r="H25" s="181" t="s">
        <v>152</v>
      </c>
      <c r="I25" s="137"/>
    </row>
    <row r="26" spans="1:9" s="56" customFormat="1" ht="17.25" x14ac:dyDescent="0.35">
      <c r="A26" s="193" t="s">
        <v>65</v>
      </c>
      <c r="B26" s="136">
        <v>1877</v>
      </c>
      <c r="C26" s="136"/>
      <c r="D26" s="136">
        <v>8</v>
      </c>
      <c r="E26" s="85" t="s">
        <v>66</v>
      </c>
      <c r="F26" s="136">
        <v>7</v>
      </c>
      <c r="G26" s="136"/>
      <c r="H26" s="181" t="s">
        <v>153</v>
      </c>
      <c r="I26" s="137"/>
    </row>
    <row r="27" spans="1:9" s="56" customFormat="1" ht="17.25" x14ac:dyDescent="0.35">
      <c r="A27" s="193" t="s">
        <v>25</v>
      </c>
      <c r="B27" s="136">
        <v>1907</v>
      </c>
      <c r="C27" s="136" t="s">
        <v>69</v>
      </c>
      <c r="D27" s="136">
        <v>1</v>
      </c>
      <c r="E27" s="85" t="s">
        <v>26</v>
      </c>
      <c r="F27" s="136">
        <v>1</v>
      </c>
      <c r="G27" s="136" t="s">
        <v>79</v>
      </c>
      <c r="H27" s="181"/>
      <c r="I27" s="137"/>
    </row>
    <row r="28" spans="1:9" s="56" customFormat="1" ht="34.5" x14ac:dyDescent="0.35">
      <c r="A28" s="193" t="s">
        <v>42</v>
      </c>
      <c r="B28" s="136">
        <v>1920</v>
      </c>
      <c r="C28" s="136" t="s">
        <v>69</v>
      </c>
      <c r="D28" s="136">
        <v>4</v>
      </c>
      <c r="E28" s="85" t="s">
        <v>43</v>
      </c>
      <c r="F28" s="136" t="s">
        <v>443</v>
      </c>
      <c r="G28" s="136" t="s">
        <v>239</v>
      </c>
      <c r="H28" s="181" t="s">
        <v>155</v>
      </c>
      <c r="I28" s="137"/>
    </row>
    <row r="29" spans="1:9" s="56" customFormat="1" ht="17.25" x14ac:dyDescent="0.35">
      <c r="A29" s="193" t="s">
        <v>156</v>
      </c>
      <c r="B29" s="136">
        <v>1993</v>
      </c>
      <c r="C29" s="136" t="s">
        <v>69</v>
      </c>
      <c r="D29" s="136">
        <v>1</v>
      </c>
      <c r="E29" s="85" t="s">
        <v>157</v>
      </c>
      <c r="F29" s="136">
        <v>2</v>
      </c>
      <c r="G29" s="136" t="s">
        <v>239</v>
      </c>
      <c r="H29" s="181" t="s">
        <v>158</v>
      </c>
      <c r="I29" s="137"/>
    </row>
    <row r="30" spans="1:9" s="56" customFormat="1" ht="17.25" x14ac:dyDescent="0.35">
      <c r="A30" s="193" t="s">
        <v>159</v>
      </c>
      <c r="B30" s="136">
        <v>1994</v>
      </c>
      <c r="C30" s="136" t="s">
        <v>69</v>
      </c>
      <c r="D30" s="136">
        <v>1</v>
      </c>
      <c r="E30" s="85" t="s">
        <v>160</v>
      </c>
      <c r="F30" s="136">
        <v>0</v>
      </c>
      <c r="G30" s="136" t="s">
        <v>239</v>
      </c>
      <c r="H30" s="181" t="s">
        <v>161</v>
      </c>
      <c r="I30" s="137"/>
    </row>
    <row r="31" spans="1:9" s="56" customFormat="1" ht="17.25" x14ac:dyDescent="0.35">
      <c r="A31" s="193" t="s">
        <v>162</v>
      </c>
      <c r="B31" s="136">
        <v>1995</v>
      </c>
      <c r="C31" s="136" t="s">
        <v>69</v>
      </c>
      <c r="D31" s="136">
        <v>2</v>
      </c>
      <c r="E31" s="85" t="s">
        <v>163</v>
      </c>
      <c r="F31" s="136">
        <v>65001</v>
      </c>
      <c r="G31" s="136" t="s">
        <v>239</v>
      </c>
      <c r="H31" s="181" t="s">
        <v>164</v>
      </c>
      <c r="I31" s="137"/>
    </row>
    <row r="32" spans="1:9" s="56" customFormat="1" ht="17.25" x14ac:dyDescent="0.35">
      <c r="A32" s="193" t="s">
        <v>165</v>
      </c>
      <c r="B32" s="136">
        <v>1997</v>
      </c>
      <c r="C32" s="136" t="s">
        <v>69</v>
      </c>
      <c r="D32" s="136">
        <v>4</v>
      </c>
      <c r="E32" s="85" t="s">
        <v>166</v>
      </c>
      <c r="F32" s="136" t="s">
        <v>84</v>
      </c>
      <c r="G32" s="136" t="s">
        <v>239</v>
      </c>
      <c r="H32" s="181" t="s">
        <v>167</v>
      </c>
      <c r="I32" s="137"/>
    </row>
    <row r="33" spans="1:9" s="56" customFormat="1" ht="17.25" x14ac:dyDescent="0.35">
      <c r="A33" s="193" t="s">
        <v>168</v>
      </c>
      <c r="B33" s="136">
        <v>3520</v>
      </c>
      <c r="C33" s="136" t="s">
        <v>69</v>
      </c>
      <c r="D33" s="136">
        <v>2</v>
      </c>
      <c r="E33" s="85" t="s">
        <v>169</v>
      </c>
      <c r="F33" s="136" t="s">
        <v>170</v>
      </c>
      <c r="G33" s="136" t="s">
        <v>239</v>
      </c>
      <c r="H33" s="181" t="s">
        <v>171</v>
      </c>
      <c r="I33" s="137"/>
    </row>
    <row r="34" spans="1:9" s="56" customFormat="1" ht="51.75" x14ac:dyDescent="0.35">
      <c r="A34" s="193" t="s">
        <v>172</v>
      </c>
      <c r="B34" s="136">
        <v>3758</v>
      </c>
      <c r="C34" s="136" t="s">
        <v>69</v>
      </c>
      <c r="D34" s="136">
        <v>1</v>
      </c>
      <c r="E34" s="85" t="s">
        <v>173</v>
      </c>
      <c r="F34" s="136">
        <v>1</v>
      </c>
      <c r="G34" s="136" t="s">
        <v>239</v>
      </c>
      <c r="H34" s="181" t="s">
        <v>174</v>
      </c>
      <c r="I34" s="137"/>
    </row>
    <row r="35" spans="1:9" s="56" customFormat="1" ht="17.25" x14ac:dyDescent="0.35">
      <c r="A35" s="193" t="s">
        <v>175</v>
      </c>
      <c r="B35" s="136">
        <v>4102</v>
      </c>
      <c r="C35" s="136" t="s">
        <v>69</v>
      </c>
      <c r="D35" s="136">
        <v>1</v>
      </c>
      <c r="E35" s="85" t="s">
        <v>176</v>
      </c>
      <c r="F35" s="136">
        <v>1</v>
      </c>
      <c r="G35" s="136" t="s">
        <v>79</v>
      </c>
      <c r="H35" s="181" t="s">
        <v>177</v>
      </c>
      <c r="I35" s="137"/>
    </row>
    <row r="36" spans="1:9" s="56" customFormat="1" ht="86.25" x14ac:dyDescent="0.35">
      <c r="A36" s="193" t="s">
        <v>178</v>
      </c>
      <c r="B36" s="136">
        <v>4228</v>
      </c>
      <c r="C36" s="136" t="s">
        <v>69</v>
      </c>
      <c r="D36" s="136">
        <v>1</v>
      </c>
      <c r="E36" s="85" t="s">
        <v>179</v>
      </c>
      <c r="F36" s="136">
        <v>0</v>
      </c>
      <c r="G36" s="136" t="s">
        <v>239</v>
      </c>
      <c r="H36" s="181" t="s">
        <v>180</v>
      </c>
      <c r="I36" s="137"/>
    </row>
    <row r="37" spans="1:9" s="56" customFormat="1" ht="17.25" x14ac:dyDescent="0.35">
      <c r="A37" s="193" t="s">
        <v>181</v>
      </c>
      <c r="B37" s="136">
        <v>4229</v>
      </c>
      <c r="C37" s="136" t="s">
        <v>69</v>
      </c>
      <c r="D37" s="136">
        <v>1</v>
      </c>
      <c r="E37" s="85" t="s">
        <v>182</v>
      </c>
      <c r="F37" s="136">
        <v>1</v>
      </c>
      <c r="G37" s="136"/>
      <c r="H37" s="181" t="s">
        <v>316</v>
      </c>
      <c r="I37" s="137"/>
    </row>
    <row r="38" spans="1:9" s="56" customFormat="1" ht="17.25" x14ac:dyDescent="0.35">
      <c r="A38" s="193" t="s">
        <v>36</v>
      </c>
      <c r="B38" s="136">
        <v>4366</v>
      </c>
      <c r="C38" s="136"/>
      <c r="D38" s="136"/>
      <c r="E38" s="85" t="s">
        <v>37</v>
      </c>
      <c r="F38" s="136"/>
      <c r="G38" s="136" t="s">
        <v>239</v>
      </c>
      <c r="H38" s="181"/>
      <c r="I38" s="137"/>
    </row>
    <row r="39" spans="1:9" s="56" customFormat="1" ht="17.25" x14ac:dyDescent="0.35">
      <c r="A39" s="193"/>
      <c r="B39" s="136"/>
      <c r="C39" s="136" t="s">
        <v>69</v>
      </c>
      <c r="D39" s="136">
        <v>4</v>
      </c>
      <c r="E39" s="85" t="s">
        <v>38</v>
      </c>
      <c r="F39" s="136">
        <v>6</v>
      </c>
      <c r="G39" s="136"/>
      <c r="H39" s="181" t="s">
        <v>183</v>
      </c>
      <c r="I39" s="137"/>
    </row>
    <row r="40" spans="1:9" s="56" customFormat="1" ht="17.25" x14ac:dyDescent="0.35">
      <c r="A40" s="193" t="s">
        <v>471</v>
      </c>
      <c r="B40" s="136">
        <v>3635</v>
      </c>
      <c r="C40" s="136"/>
      <c r="D40" s="136"/>
      <c r="E40" s="85" t="s">
        <v>472</v>
      </c>
      <c r="F40" s="136"/>
      <c r="G40" s="136" t="s">
        <v>239</v>
      </c>
      <c r="H40" s="181"/>
      <c r="I40" s="137"/>
    </row>
    <row r="41" spans="1:9" s="56" customFormat="1" ht="17.25" x14ac:dyDescent="0.35">
      <c r="A41" s="193"/>
      <c r="B41" s="136"/>
      <c r="C41" s="136" t="s">
        <v>69</v>
      </c>
      <c r="D41" s="136">
        <v>2</v>
      </c>
      <c r="E41" s="85" t="s">
        <v>474</v>
      </c>
      <c r="F41" s="136">
        <v>3</v>
      </c>
      <c r="G41" s="136"/>
      <c r="H41" s="181"/>
      <c r="I41" s="137"/>
    </row>
    <row r="42" spans="1:9" s="56" customFormat="1" ht="17.25" x14ac:dyDescent="0.35">
      <c r="A42" s="193"/>
      <c r="B42" s="136"/>
      <c r="C42" s="136" t="s">
        <v>69</v>
      </c>
      <c r="D42" s="136">
        <v>2</v>
      </c>
      <c r="E42" s="85" t="s">
        <v>475</v>
      </c>
      <c r="F42" s="136">
        <v>25</v>
      </c>
      <c r="G42" s="136"/>
      <c r="H42" s="181"/>
      <c r="I42" s="137"/>
    </row>
    <row r="43" spans="1:9" s="56" customFormat="1" ht="17.25" x14ac:dyDescent="0.35">
      <c r="A43" s="193"/>
      <c r="B43" s="136"/>
      <c r="C43" s="136" t="s">
        <v>69</v>
      </c>
      <c r="D43" s="136">
        <v>4</v>
      </c>
      <c r="E43" s="85" t="s">
        <v>476</v>
      </c>
      <c r="F43" s="136">
        <v>60</v>
      </c>
      <c r="G43" s="136"/>
      <c r="H43" s="181"/>
      <c r="I43" s="137"/>
    </row>
    <row r="44" spans="1:9" s="56" customFormat="1" ht="17.25" x14ac:dyDescent="0.35">
      <c r="A44" s="193"/>
      <c r="B44" s="136"/>
      <c r="C44" s="136" t="s">
        <v>69</v>
      </c>
      <c r="D44" s="136">
        <v>4</v>
      </c>
      <c r="E44" s="85" t="s">
        <v>477</v>
      </c>
      <c r="F44" s="136">
        <v>180</v>
      </c>
      <c r="G44" s="136"/>
      <c r="H44" s="181"/>
      <c r="I44" s="137"/>
    </row>
    <row r="45" spans="1:9" s="56" customFormat="1" ht="17.25" x14ac:dyDescent="0.35">
      <c r="A45" s="193"/>
      <c r="B45" s="136"/>
      <c r="C45" s="136" t="s">
        <v>69</v>
      </c>
      <c r="D45" s="136">
        <v>4</v>
      </c>
      <c r="E45" s="85" t="s">
        <v>478</v>
      </c>
      <c r="F45" s="136">
        <v>4</v>
      </c>
      <c r="G45" s="136"/>
      <c r="H45" s="181"/>
      <c r="I45" s="137"/>
    </row>
    <row r="46" spans="1:9" s="56" customFormat="1" ht="17.25" x14ac:dyDescent="0.35">
      <c r="A46" s="193"/>
      <c r="B46" s="136"/>
      <c r="C46" s="136" t="s">
        <v>69</v>
      </c>
      <c r="D46" s="136">
        <v>4</v>
      </c>
      <c r="E46" s="85" t="s">
        <v>479</v>
      </c>
      <c r="F46" s="136">
        <v>1</v>
      </c>
      <c r="G46" s="136"/>
      <c r="H46" s="181"/>
      <c r="I46" s="137"/>
    </row>
    <row r="47" spans="1:9" s="56" customFormat="1" ht="17.25" x14ac:dyDescent="0.35">
      <c r="A47" s="193"/>
      <c r="B47" s="136"/>
      <c r="C47" s="136" t="s">
        <v>69</v>
      </c>
      <c r="D47" s="136">
        <v>4</v>
      </c>
      <c r="E47" s="85" t="s">
        <v>480</v>
      </c>
      <c r="F47" s="136">
        <v>180</v>
      </c>
      <c r="G47" s="136"/>
      <c r="H47" s="181"/>
      <c r="I47" s="137"/>
    </row>
    <row r="48" spans="1:9" s="56" customFormat="1" ht="17.25" x14ac:dyDescent="0.35">
      <c r="A48" s="193"/>
      <c r="B48" s="136"/>
      <c r="C48" s="136" t="s">
        <v>69</v>
      </c>
      <c r="D48" s="136">
        <v>4</v>
      </c>
      <c r="E48" s="85" t="s">
        <v>481</v>
      </c>
      <c r="F48" s="136">
        <v>3600</v>
      </c>
      <c r="G48" s="136"/>
      <c r="H48" s="181"/>
      <c r="I48" s="137"/>
    </row>
    <row r="49" spans="1:9" s="56" customFormat="1" ht="17.25" x14ac:dyDescent="0.35">
      <c r="A49" s="193"/>
      <c r="B49" s="136"/>
      <c r="C49" s="136" t="s">
        <v>69</v>
      </c>
      <c r="D49" s="136">
        <v>4</v>
      </c>
      <c r="E49" s="85" t="s">
        <v>482</v>
      </c>
      <c r="F49" s="136">
        <v>130</v>
      </c>
      <c r="G49" s="136"/>
      <c r="H49" s="181"/>
      <c r="I49" s="137"/>
    </row>
    <row r="50" spans="1:9" s="56" customFormat="1" ht="17.25" x14ac:dyDescent="0.35">
      <c r="A50" s="193"/>
      <c r="B50" s="136"/>
      <c r="C50" s="136" t="s">
        <v>69</v>
      </c>
      <c r="D50" s="136">
        <v>4</v>
      </c>
      <c r="E50" s="85" t="s">
        <v>483</v>
      </c>
      <c r="F50" s="136">
        <v>3600</v>
      </c>
      <c r="G50" s="136"/>
      <c r="H50" s="181"/>
      <c r="I50" s="137"/>
    </row>
    <row r="51" spans="1:9" s="56" customFormat="1" ht="17.25" x14ac:dyDescent="0.35">
      <c r="A51" s="193"/>
      <c r="B51" s="136"/>
      <c r="C51" s="136" t="s">
        <v>69</v>
      </c>
      <c r="D51" s="136">
        <v>4</v>
      </c>
      <c r="E51" s="85" t="s">
        <v>484</v>
      </c>
      <c r="F51" s="136">
        <v>130</v>
      </c>
      <c r="G51" s="136"/>
      <c r="H51" s="181"/>
      <c r="I51" s="137"/>
    </row>
    <row r="52" spans="1:9" s="56" customFormat="1" ht="17.25" x14ac:dyDescent="0.35">
      <c r="A52" s="193"/>
      <c r="B52" s="136"/>
      <c r="C52" s="136" t="s">
        <v>69</v>
      </c>
      <c r="D52" s="136">
        <v>4</v>
      </c>
      <c r="E52" s="85" t="s">
        <v>485</v>
      </c>
      <c r="F52" s="136">
        <v>14</v>
      </c>
      <c r="G52" s="136"/>
      <c r="H52" s="181"/>
    </row>
    <row r="53" spans="1:9" s="56" customFormat="1" ht="17.25" x14ac:dyDescent="0.35">
      <c r="A53" s="193"/>
      <c r="B53" s="136"/>
      <c r="C53" s="136" t="s">
        <v>69</v>
      </c>
      <c r="D53" s="136">
        <v>4</v>
      </c>
      <c r="E53" s="85" t="s">
        <v>486</v>
      </c>
      <c r="F53" s="136">
        <v>36</v>
      </c>
      <c r="G53" s="136"/>
      <c r="H53" s="181"/>
    </row>
    <row r="54" spans="1:9" s="56" customFormat="1" ht="17.25" x14ac:dyDescent="0.35">
      <c r="A54" s="193"/>
      <c r="B54" s="136"/>
      <c r="C54" s="136" t="s">
        <v>69</v>
      </c>
      <c r="D54" s="136">
        <v>4</v>
      </c>
      <c r="E54" s="85" t="s">
        <v>487</v>
      </c>
      <c r="F54" s="136">
        <v>4</v>
      </c>
      <c r="G54" s="136"/>
      <c r="H54" s="181"/>
    </row>
    <row r="55" spans="1:9" s="81" customFormat="1" ht="17.25" x14ac:dyDescent="0.35">
      <c r="A55" s="193"/>
      <c r="B55" s="136"/>
      <c r="C55" s="136" t="s">
        <v>69</v>
      </c>
      <c r="D55" s="136">
        <v>4</v>
      </c>
      <c r="E55" s="85" t="s">
        <v>488</v>
      </c>
      <c r="F55" s="136">
        <v>1</v>
      </c>
      <c r="G55" s="136"/>
      <c r="H55" s="181"/>
    </row>
    <row r="56" spans="1:9" s="81" customFormat="1" ht="17.25" x14ac:dyDescent="0.35">
      <c r="A56" s="193"/>
      <c r="B56" s="136"/>
      <c r="C56" s="136" t="s">
        <v>69</v>
      </c>
      <c r="D56" s="136">
        <v>4</v>
      </c>
      <c r="E56" s="85" t="s">
        <v>489</v>
      </c>
      <c r="F56" s="136">
        <v>5200</v>
      </c>
      <c r="G56" s="136"/>
      <c r="H56" s="181"/>
    </row>
    <row r="57" spans="1:9" s="81" customFormat="1" ht="17.25" x14ac:dyDescent="0.35">
      <c r="A57" s="193"/>
      <c r="B57" s="136"/>
      <c r="C57" s="136" t="s">
        <v>69</v>
      </c>
      <c r="D57" s="136">
        <v>4</v>
      </c>
      <c r="E57" s="85" t="s">
        <v>490</v>
      </c>
      <c r="F57" s="136">
        <v>3000</v>
      </c>
      <c r="G57" s="136"/>
      <c r="H57" s="181"/>
    </row>
    <row r="58" spans="1:9" s="81" customFormat="1" ht="17.25" x14ac:dyDescent="0.35">
      <c r="A58" s="193"/>
      <c r="B58" s="136"/>
      <c r="C58" s="136" t="s">
        <v>69</v>
      </c>
      <c r="D58" s="136">
        <v>4</v>
      </c>
      <c r="E58" s="85" t="s">
        <v>491</v>
      </c>
      <c r="F58" s="136">
        <v>2200</v>
      </c>
      <c r="G58" s="136"/>
      <c r="H58" s="181"/>
    </row>
    <row r="59" spans="1:9" s="56" customFormat="1" ht="17.25" x14ac:dyDescent="0.35">
      <c r="A59" s="193"/>
      <c r="B59" s="136"/>
      <c r="C59" s="136" t="s">
        <v>69</v>
      </c>
      <c r="D59" s="136">
        <v>4</v>
      </c>
      <c r="E59" s="85" t="s">
        <v>473</v>
      </c>
      <c r="F59" s="136">
        <v>3</v>
      </c>
      <c r="G59" s="136"/>
      <c r="H59" s="181"/>
    </row>
    <row r="60" spans="1:9" s="56" customFormat="1" ht="17.25" x14ac:dyDescent="0.35">
      <c r="A60" s="193"/>
      <c r="B60" s="136"/>
      <c r="C60" s="136" t="s">
        <v>69</v>
      </c>
      <c r="D60" s="136">
        <v>4</v>
      </c>
      <c r="E60" s="85" t="s">
        <v>492</v>
      </c>
      <c r="F60" s="136">
        <v>253</v>
      </c>
      <c r="G60" s="136"/>
      <c r="H60" s="181"/>
    </row>
    <row r="61" spans="1:9" s="56" customFormat="1" ht="17.25" x14ac:dyDescent="0.35">
      <c r="A61" s="193"/>
      <c r="B61" s="136"/>
      <c r="C61" s="136" t="s">
        <v>69</v>
      </c>
      <c r="D61" s="136">
        <v>4</v>
      </c>
      <c r="E61" s="85" t="s">
        <v>493</v>
      </c>
      <c r="F61" s="136">
        <v>1000</v>
      </c>
      <c r="G61" s="136"/>
      <c r="H61" s="181"/>
    </row>
    <row r="62" spans="1:9" s="56" customFormat="1" ht="17.25" x14ac:dyDescent="0.35">
      <c r="A62" s="193"/>
      <c r="B62" s="136"/>
      <c r="C62" s="136" t="s">
        <v>69</v>
      </c>
      <c r="D62" s="136">
        <v>4</v>
      </c>
      <c r="E62" s="85" t="s">
        <v>494</v>
      </c>
      <c r="F62" s="136">
        <v>4</v>
      </c>
      <c r="G62" s="136"/>
      <c r="H62" s="181"/>
    </row>
    <row r="63" spans="1:9" s="56" customFormat="1" ht="17.25" x14ac:dyDescent="0.35">
      <c r="A63" s="193"/>
      <c r="B63" s="136"/>
      <c r="C63" s="136" t="s">
        <v>69</v>
      </c>
      <c r="D63" s="136">
        <v>4</v>
      </c>
      <c r="E63" s="85" t="s">
        <v>495</v>
      </c>
      <c r="F63" s="136">
        <v>300</v>
      </c>
      <c r="G63" s="136"/>
      <c r="H63" s="181"/>
    </row>
    <row r="64" spans="1:9" s="56" customFormat="1" ht="17.25" x14ac:dyDescent="0.35">
      <c r="A64" s="193"/>
      <c r="B64" s="136"/>
      <c r="C64" s="136" t="s">
        <v>69</v>
      </c>
      <c r="D64" s="136">
        <v>4</v>
      </c>
      <c r="E64" s="85" t="s">
        <v>496</v>
      </c>
      <c r="F64" s="136">
        <v>300</v>
      </c>
      <c r="G64" s="136"/>
      <c r="H64" s="181"/>
    </row>
    <row r="65" spans="1:8" s="56" customFormat="1" ht="17.25" x14ac:dyDescent="0.35">
      <c r="A65" s="193"/>
      <c r="B65" s="136"/>
      <c r="C65" s="136" t="s">
        <v>69</v>
      </c>
      <c r="D65" s="136">
        <v>4</v>
      </c>
      <c r="E65" s="85" t="s">
        <v>497</v>
      </c>
      <c r="F65" s="136">
        <v>0</v>
      </c>
      <c r="G65" s="136"/>
      <c r="H65" s="181"/>
    </row>
    <row r="66" spans="1:8" s="56" customFormat="1" ht="17.25" x14ac:dyDescent="0.35">
      <c r="A66" s="193"/>
      <c r="B66" s="136"/>
      <c r="C66" s="136" t="s">
        <v>69</v>
      </c>
      <c r="D66" s="136">
        <v>4</v>
      </c>
      <c r="E66" s="85" t="s">
        <v>498</v>
      </c>
      <c r="F66" s="136">
        <v>0</v>
      </c>
      <c r="G66" s="136"/>
      <c r="H66" s="181"/>
    </row>
    <row r="67" spans="1:8" s="56" customFormat="1" ht="17.25" x14ac:dyDescent="0.35">
      <c r="A67" s="193"/>
      <c r="B67" s="136"/>
      <c r="C67" s="136" t="s">
        <v>69</v>
      </c>
      <c r="D67" s="136">
        <v>4</v>
      </c>
      <c r="E67" s="85" t="s">
        <v>499</v>
      </c>
      <c r="F67" s="136">
        <v>0</v>
      </c>
      <c r="G67" s="136"/>
      <c r="H67" s="181"/>
    </row>
    <row r="68" spans="1:8" s="56" customFormat="1" ht="17.25" x14ac:dyDescent="0.35">
      <c r="A68" s="193" t="s">
        <v>184</v>
      </c>
      <c r="B68" s="136">
        <v>4698</v>
      </c>
      <c r="C68" s="136" t="s">
        <v>69</v>
      </c>
      <c r="D68" s="136">
        <v>4</v>
      </c>
      <c r="E68" s="85" t="s">
        <v>185</v>
      </c>
      <c r="F68" s="136" t="s">
        <v>186</v>
      </c>
      <c r="G68" s="136" t="s">
        <v>239</v>
      </c>
      <c r="H68" s="181" t="s">
        <v>187</v>
      </c>
    </row>
    <row r="69" spans="1:8" s="56" customFormat="1" ht="17.25" x14ac:dyDescent="0.35">
      <c r="A69" s="193" t="s">
        <v>188</v>
      </c>
      <c r="B69" s="136">
        <v>4705</v>
      </c>
      <c r="C69" s="136" t="s">
        <v>69</v>
      </c>
      <c r="D69" s="136">
        <v>4</v>
      </c>
      <c r="E69" s="85" t="s">
        <v>189</v>
      </c>
      <c r="F69" s="136">
        <v>6066</v>
      </c>
      <c r="G69" s="136" t="s">
        <v>239</v>
      </c>
      <c r="H69" s="181" t="s">
        <v>190</v>
      </c>
    </row>
    <row r="70" spans="1:8" s="56" customFormat="1" ht="17.25" x14ac:dyDescent="0.35">
      <c r="A70" s="193" t="s">
        <v>191</v>
      </c>
      <c r="B70" s="136">
        <v>4707</v>
      </c>
      <c r="C70" s="136" t="s">
        <v>69</v>
      </c>
      <c r="D70" s="136">
        <v>1</v>
      </c>
      <c r="E70" s="85" t="s">
        <v>192</v>
      </c>
      <c r="F70" s="136">
        <v>1</v>
      </c>
      <c r="G70" s="136" t="s">
        <v>239</v>
      </c>
      <c r="H70" s="181" t="s">
        <v>193</v>
      </c>
    </row>
    <row r="71" spans="1:8" s="56" customFormat="1" ht="17.25" x14ac:dyDescent="0.35">
      <c r="A71" s="194" t="s">
        <v>436</v>
      </c>
      <c r="B71" s="136">
        <v>4960</v>
      </c>
      <c r="C71" s="136" t="s">
        <v>69</v>
      </c>
      <c r="D71" s="138">
        <v>1</v>
      </c>
      <c r="E71" s="111" t="s">
        <v>435</v>
      </c>
      <c r="F71" s="136">
        <v>1</v>
      </c>
      <c r="G71" s="138" t="s">
        <v>239</v>
      </c>
      <c r="H71" s="183" t="s">
        <v>434</v>
      </c>
    </row>
    <row r="72" spans="1:8" s="56" customFormat="1" ht="17.25" x14ac:dyDescent="0.35">
      <c r="A72" s="193" t="s">
        <v>194</v>
      </c>
      <c r="B72" s="136">
        <v>4927</v>
      </c>
      <c r="C72" s="136" t="s">
        <v>69</v>
      </c>
      <c r="D72" s="136">
        <v>1</v>
      </c>
      <c r="E72" s="85" t="s">
        <v>195</v>
      </c>
      <c r="F72" s="136">
        <v>1</v>
      </c>
      <c r="G72" s="136" t="s">
        <v>239</v>
      </c>
      <c r="H72" s="181" t="s">
        <v>196</v>
      </c>
    </row>
    <row r="73" spans="1:8" s="56" customFormat="1" ht="17.25" x14ac:dyDescent="0.35">
      <c r="A73" s="193" t="s">
        <v>47</v>
      </c>
      <c r="B73" s="136">
        <v>10</v>
      </c>
      <c r="C73" s="136"/>
      <c r="D73" s="136"/>
      <c r="E73" s="85" t="s">
        <v>48</v>
      </c>
      <c r="F73" s="136"/>
      <c r="G73" s="136" t="s">
        <v>94</v>
      </c>
      <c r="H73" s="181" t="s">
        <v>7</v>
      </c>
    </row>
    <row r="74" spans="1:8" s="56" customFormat="1" ht="17.25" x14ac:dyDescent="0.35">
      <c r="A74" s="193"/>
      <c r="B74" s="136"/>
      <c r="C74" s="136" t="s">
        <v>69</v>
      </c>
      <c r="D74" s="136">
        <v>1</v>
      </c>
      <c r="E74" s="85" t="s">
        <v>16</v>
      </c>
      <c r="F74" s="136">
        <v>0</v>
      </c>
      <c r="G74" s="136"/>
      <c r="H74" s="181"/>
    </row>
    <row r="75" spans="1:8" s="56" customFormat="1" ht="17.25" x14ac:dyDescent="0.35">
      <c r="A75" s="193"/>
      <c r="B75" s="136"/>
      <c r="C75" s="136" t="s">
        <v>69</v>
      </c>
      <c r="D75" s="136">
        <v>2</v>
      </c>
      <c r="E75" s="85" t="s">
        <v>49</v>
      </c>
      <c r="F75" s="136">
        <v>4</v>
      </c>
      <c r="G75" s="136"/>
      <c r="H75" s="181" t="s">
        <v>7</v>
      </c>
    </row>
    <row r="76" spans="1:8" s="56" customFormat="1" ht="17.25" x14ac:dyDescent="0.35">
      <c r="A76" s="195" t="s">
        <v>47</v>
      </c>
      <c r="B76" s="136">
        <v>10</v>
      </c>
      <c r="C76" s="136"/>
      <c r="D76" s="138"/>
      <c r="E76" s="125" t="s">
        <v>48</v>
      </c>
      <c r="F76" s="136"/>
      <c r="G76" s="136" t="s">
        <v>238</v>
      </c>
      <c r="H76" s="184" t="s">
        <v>270</v>
      </c>
    </row>
    <row r="77" spans="1:8" s="56" customFormat="1" ht="17.25" x14ac:dyDescent="0.35">
      <c r="A77" s="195"/>
      <c r="B77" s="136" t="s">
        <v>244</v>
      </c>
      <c r="C77" s="136" t="s">
        <v>69</v>
      </c>
      <c r="D77" s="138">
        <v>1</v>
      </c>
      <c r="E77" s="125"/>
      <c r="F77" s="136" t="s">
        <v>6</v>
      </c>
      <c r="G77" s="136"/>
      <c r="H77" s="184"/>
    </row>
    <row r="78" spans="1:8" s="56" customFormat="1" ht="17.25" x14ac:dyDescent="0.35">
      <c r="A78" s="195"/>
      <c r="B78" s="136"/>
      <c r="C78" s="136" t="s">
        <v>69</v>
      </c>
      <c r="D78" s="138">
        <v>1</v>
      </c>
      <c r="E78" s="125" t="s">
        <v>16</v>
      </c>
      <c r="F78" s="136">
        <v>0</v>
      </c>
      <c r="G78" s="136"/>
      <c r="H78" s="184"/>
    </row>
    <row r="79" spans="1:8" s="56" customFormat="1" ht="17.25" x14ac:dyDescent="0.35">
      <c r="A79" s="195"/>
      <c r="B79" s="136"/>
      <c r="C79" s="136" t="s">
        <v>69</v>
      </c>
      <c r="D79" s="138">
        <v>2</v>
      </c>
      <c r="E79" s="125" t="s">
        <v>49</v>
      </c>
      <c r="F79" s="136">
        <v>13</v>
      </c>
      <c r="G79" s="136"/>
      <c r="H79" s="184" t="s">
        <v>7</v>
      </c>
    </row>
    <row r="80" spans="1:8" s="56" customFormat="1" ht="17.25" x14ac:dyDescent="0.35">
      <c r="A80" s="193" t="s">
        <v>197</v>
      </c>
      <c r="B80" s="136">
        <v>441</v>
      </c>
      <c r="C80" s="136"/>
      <c r="D80" s="136"/>
      <c r="E80" s="85" t="s">
        <v>119</v>
      </c>
      <c r="F80" s="136"/>
      <c r="G80" s="136" t="s">
        <v>238</v>
      </c>
      <c r="H80" s="181" t="s">
        <v>198</v>
      </c>
    </row>
    <row r="81" spans="1:13" s="56" customFormat="1" ht="17.25" x14ac:dyDescent="0.35">
      <c r="A81" s="193"/>
      <c r="B81" s="136"/>
      <c r="C81" s="136" t="s">
        <v>69</v>
      </c>
      <c r="D81" s="136">
        <v>1</v>
      </c>
      <c r="E81" s="85"/>
      <c r="F81" s="136">
        <v>0</v>
      </c>
      <c r="G81" s="136"/>
      <c r="H81" s="181"/>
    </row>
    <row r="82" spans="1:13" s="56" customFormat="1" ht="17.25" x14ac:dyDescent="0.35">
      <c r="A82" s="193"/>
      <c r="B82" s="136"/>
      <c r="C82" s="136" t="s">
        <v>69</v>
      </c>
      <c r="D82" s="136">
        <v>2</v>
      </c>
      <c r="E82" s="85"/>
      <c r="F82" s="136" t="s">
        <v>459</v>
      </c>
      <c r="G82" s="136"/>
      <c r="H82" s="181" t="s">
        <v>199</v>
      </c>
    </row>
    <row r="83" spans="1:13" s="56" customFormat="1" ht="17.25" x14ac:dyDescent="0.35">
      <c r="A83" s="196" t="s">
        <v>460</v>
      </c>
      <c r="B83" s="136">
        <v>946</v>
      </c>
      <c r="C83" s="136"/>
      <c r="D83" s="138"/>
      <c r="E83" s="86"/>
      <c r="F83" s="136"/>
      <c r="G83" s="138" t="s">
        <v>238</v>
      </c>
      <c r="H83" s="185"/>
      <c r="M83" s="139"/>
    </row>
    <row r="84" spans="1:13" s="56" customFormat="1" ht="17.25" x14ac:dyDescent="0.35">
      <c r="A84" s="196"/>
      <c r="B84" s="136"/>
      <c r="C84" s="136" t="s">
        <v>69</v>
      </c>
      <c r="D84" s="138">
        <v>1</v>
      </c>
      <c r="E84" s="86" t="s">
        <v>16</v>
      </c>
      <c r="F84" s="136">
        <v>0</v>
      </c>
      <c r="G84" s="138"/>
      <c r="H84" s="185"/>
      <c r="M84" s="139"/>
    </row>
    <row r="85" spans="1:13" s="56" customFormat="1" ht="17.25" x14ac:dyDescent="0.35">
      <c r="A85" s="196"/>
      <c r="B85" s="136"/>
      <c r="C85" s="136" t="s">
        <v>69</v>
      </c>
      <c r="D85" s="138">
        <v>2</v>
      </c>
      <c r="E85" s="86" t="s">
        <v>461</v>
      </c>
      <c r="F85" s="136" t="s">
        <v>462</v>
      </c>
      <c r="G85" s="138"/>
      <c r="H85" s="185" t="s">
        <v>7</v>
      </c>
      <c r="M85" s="139"/>
    </row>
    <row r="86" spans="1:13" s="56" customFormat="1" ht="17.25" x14ac:dyDescent="0.35">
      <c r="A86" s="193" t="s">
        <v>200</v>
      </c>
      <c r="B86" s="136">
        <v>452</v>
      </c>
      <c r="C86" s="136" t="s">
        <v>69</v>
      </c>
      <c r="D86" s="136">
        <v>4</v>
      </c>
      <c r="E86" s="85" t="s">
        <v>201</v>
      </c>
      <c r="F86" s="136">
        <v>0</v>
      </c>
      <c r="G86" s="136" t="s">
        <v>239</v>
      </c>
      <c r="H86" s="181"/>
      <c r="M86" s="139"/>
    </row>
    <row r="87" spans="1:13" s="56" customFormat="1" ht="17.25" x14ac:dyDescent="0.35">
      <c r="A87" s="193" t="s">
        <v>50</v>
      </c>
      <c r="B87" s="136">
        <v>3446</v>
      </c>
      <c r="C87" s="136"/>
      <c r="D87" s="136"/>
      <c r="E87" s="85" t="s">
        <v>51</v>
      </c>
      <c r="F87" s="136"/>
      <c r="G87" s="136"/>
      <c r="H87" s="181"/>
      <c r="M87" s="139"/>
    </row>
    <row r="88" spans="1:13" s="56" customFormat="1" ht="17.25" x14ac:dyDescent="0.35">
      <c r="A88" s="193"/>
      <c r="B88" s="136"/>
      <c r="C88" s="136" t="s">
        <v>69</v>
      </c>
      <c r="D88" s="136">
        <v>2</v>
      </c>
      <c r="E88" s="85" t="s">
        <v>52</v>
      </c>
      <c r="F88" s="136">
        <v>130</v>
      </c>
      <c r="G88" s="136"/>
      <c r="H88" s="181"/>
      <c r="M88" s="139"/>
    </row>
    <row r="89" spans="1:13" s="56" customFormat="1" ht="17.25" x14ac:dyDescent="0.35">
      <c r="A89" s="193"/>
      <c r="B89" s="136"/>
      <c r="C89" s="136" t="s">
        <v>69</v>
      </c>
      <c r="D89" s="136">
        <v>4</v>
      </c>
      <c r="E89" s="85" t="s">
        <v>53</v>
      </c>
      <c r="F89" s="136">
        <v>0</v>
      </c>
      <c r="G89" s="136"/>
      <c r="H89" s="181"/>
      <c r="M89" s="139"/>
    </row>
    <row r="90" spans="1:13" s="56" customFormat="1" ht="17.25" x14ac:dyDescent="0.35">
      <c r="A90" s="197" t="s">
        <v>442</v>
      </c>
      <c r="B90" s="136">
        <v>7165</v>
      </c>
      <c r="C90" s="136" t="s">
        <v>69</v>
      </c>
      <c r="D90" s="138">
        <v>4</v>
      </c>
      <c r="E90" s="82" t="s">
        <v>441</v>
      </c>
      <c r="F90" s="136" t="s">
        <v>440</v>
      </c>
      <c r="G90" s="136" t="s">
        <v>239</v>
      </c>
      <c r="H90" s="186"/>
      <c r="M90" s="139"/>
    </row>
    <row r="91" spans="1:13" s="81" customFormat="1" ht="17.25" x14ac:dyDescent="0.35">
      <c r="A91" s="193" t="s">
        <v>202</v>
      </c>
      <c r="B91" s="136">
        <v>4627</v>
      </c>
      <c r="C91" s="136" t="s">
        <v>69</v>
      </c>
      <c r="D91" s="136">
        <v>1</v>
      </c>
      <c r="E91" s="85" t="s">
        <v>203</v>
      </c>
      <c r="F91" s="136">
        <v>1</v>
      </c>
      <c r="G91" s="136" t="s">
        <v>239</v>
      </c>
      <c r="H91" s="181"/>
    </row>
    <row r="92" spans="1:13" s="81" customFormat="1" ht="17.25" x14ac:dyDescent="0.35">
      <c r="A92" s="193" t="s">
        <v>204</v>
      </c>
      <c r="B92" s="136">
        <v>4628</v>
      </c>
      <c r="C92" s="136" t="s">
        <v>69</v>
      </c>
      <c r="D92" s="136">
        <v>2</v>
      </c>
      <c r="E92" s="85" t="s">
        <v>205</v>
      </c>
      <c r="F92" s="136">
        <v>24</v>
      </c>
      <c r="G92" s="136" t="s">
        <v>239</v>
      </c>
      <c r="H92" s="181"/>
    </row>
    <row r="93" spans="1:13" s="81" customFormat="1" ht="17.25" x14ac:dyDescent="0.35">
      <c r="A93" s="193" t="s">
        <v>206</v>
      </c>
      <c r="B93" s="136">
        <v>4629</v>
      </c>
      <c r="C93" s="136" t="s">
        <v>69</v>
      </c>
      <c r="D93" s="136">
        <v>1</v>
      </c>
      <c r="E93" s="85" t="s">
        <v>207</v>
      </c>
      <c r="F93" s="136">
        <v>3</v>
      </c>
      <c r="G93" s="136" t="s">
        <v>239</v>
      </c>
      <c r="H93" s="181"/>
    </row>
    <row r="94" spans="1:13" s="56" customFormat="1" ht="17.25" x14ac:dyDescent="0.35">
      <c r="A94" s="193" t="s">
        <v>208</v>
      </c>
      <c r="B94" s="136">
        <v>4630</v>
      </c>
      <c r="C94" s="136" t="s">
        <v>69</v>
      </c>
      <c r="D94" s="136">
        <v>1</v>
      </c>
      <c r="E94" s="85" t="s">
        <v>209</v>
      </c>
      <c r="F94" s="136">
        <v>10</v>
      </c>
      <c r="G94" s="136" t="s">
        <v>239</v>
      </c>
      <c r="H94" s="181"/>
      <c r="M94" s="139"/>
    </row>
    <row r="95" spans="1:13" s="56" customFormat="1" ht="17.25" x14ac:dyDescent="0.35">
      <c r="A95" s="193" t="s">
        <v>210</v>
      </c>
      <c r="B95" s="136">
        <v>4631</v>
      </c>
      <c r="C95" s="136" t="s">
        <v>69</v>
      </c>
      <c r="D95" s="136">
        <v>1</v>
      </c>
      <c r="E95" s="85" t="s">
        <v>211</v>
      </c>
      <c r="F95" s="136">
        <v>0</v>
      </c>
      <c r="G95" s="136" t="s">
        <v>239</v>
      </c>
      <c r="H95" s="181"/>
      <c r="M95" s="139"/>
    </row>
    <row r="96" spans="1:13" s="56" customFormat="1" ht="17.25" x14ac:dyDescent="0.35">
      <c r="A96" s="193" t="s">
        <v>212</v>
      </c>
      <c r="B96" s="136">
        <v>4676</v>
      </c>
      <c r="C96" s="136" t="s">
        <v>69</v>
      </c>
      <c r="D96" s="136">
        <v>4</v>
      </c>
      <c r="E96" s="85" t="s">
        <v>213</v>
      </c>
      <c r="F96" s="136">
        <v>0</v>
      </c>
      <c r="G96" s="136" t="s">
        <v>239</v>
      </c>
      <c r="H96" s="181" t="s">
        <v>214</v>
      </c>
      <c r="M96" s="139"/>
    </row>
    <row r="97" spans="1:13" s="56" customFormat="1" ht="17.25" x14ac:dyDescent="0.35">
      <c r="A97" s="193" t="s">
        <v>215</v>
      </c>
      <c r="B97" s="136">
        <v>4677</v>
      </c>
      <c r="C97" s="136" t="s">
        <v>69</v>
      </c>
      <c r="D97" s="136">
        <v>4</v>
      </c>
      <c r="E97" s="85" t="s">
        <v>216</v>
      </c>
      <c r="F97" s="136">
        <v>0</v>
      </c>
      <c r="G97" s="136" t="s">
        <v>239</v>
      </c>
      <c r="H97" s="181" t="s">
        <v>214</v>
      </c>
      <c r="M97" s="139"/>
    </row>
    <row r="98" spans="1:13" s="56" customFormat="1" ht="17.25" x14ac:dyDescent="0.35">
      <c r="A98" s="193" t="s">
        <v>217</v>
      </c>
      <c r="B98" s="136">
        <v>5047</v>
      </c>
      <c r="C98" s="136"/>
      <c r="D98" s="136"/>
      <c r="E98" s="85" t="s">
        <v>218</v>
      </c>
      <c r="F98" s="136"/>
      <c r="G98" s="136" t="s">
        <v>239</v>
      </c>
      <c r="H98" s="181"/>
      <c r="M98" s="139"/>
    </row>
    <row r="99" spans="1:13" s="56" customFormat="1" ht="17.25" x14ac:dyDescent="0.35">
      <c r="A99" s="193"/>
      <c r="B99" s="136"/>
      <c r="C99" s="136" t="s">
        <v>69</v>
      </c>
      <c r="D99" s="136">
        <v>4</v>
      </c>
      <c r="E99" s="85" t="s">
        <v>219</v>
      </c>
      <c r="F99" s="136">
        <v>2</v>
      </c>
      <c r="G99" s="136"/>
      <c r="H99" s="181"/>
      <c r="M99" s="139"/>
    </row>
    <row r="100" spans="1:13" s="56" customFormat="1" ht="17.25" x14ac:dyDescent="0.35">
      <c r="A100" s="193"/>
      <c r="B100" s="136"/>
      <c r="C100" s="136" t="s">
        <v>69</v>
      </c>
      <c r="D100" s="136">
        <v>4</v>
      </c>
      <c r="E100" s="85" t="s">
        <v>220</v>
      </c>
      <c r="F100" s="136">
        <v>0</v>
      </c>
      <c r="G100" s="136"/>
      <c r="H100" s="181"/>
      <c r="M100" s="139"/>
    </row>
    <row r="101" spans="1:13" s="56" customFormat="1" ht="17.25" x14ac:dyDescent="0.35">
      <c r="A101" s="193" t="s">
        <v>44</v>
      </c>
      <c r="B101" s="136">
        <v>5280</v>
      </c>
      <c r="C101" s="136" t="s">
        <v>69</v>
      </c>
      <c r="D101" s="136">
        <v>8</v>
      </c>
      <c r="E101" s="85" t="s">
        <v>45</v>
      </c>
      <c r="F101" s="136">
        <v>0</v>
      </c>
      <c r="G101" s="136" t="s">
        <v>239</v>
      </c>
      <c r="H101" s="181"/>
      <c r="M101" s="139"/>
    </row>
    <row r="102" spans="1:13" s="56" customFormat="1" ht="17.25" x14ac:dyDescent="0.35">
      <c r="A102" s="193" t="s">
        <v>221</v>
      </c>
      <c r="B102" s="136">
        <v>6429</v>
      </c>
      <c r="C102" s="136"/>
      <c r="D102" s="136"/>
      <c r="E102" s="85" t="s">
        <v>222</v>
      </c>
      <c r="F102" s="136"/>
      <c r="G102" s="136" t="s">
        <v>94</v>
      </c>
      <c r="H102" s="181"/>
      <c r="M102" s="139"/>
    </row>
    <row r="103" spans="1:13" s="56" customFormat="1" ht="17.25" x14ac:dyDescent="0.35">
      <c r="A103" s="193"/>
      <c r="B103" s="136"/>
      <c r="C103" s="136" t="s">
        <v>69</v>
      </c>
      <c r="D103" s="136">
        <v>1</v>
      </c>
      <c r="E103" s="85" t="s">
        <v>223</v>
      </c>
      <c r="F103" s="136">
        <v>0</v>
      </c>
      <c r="G103" s="136"/>
      <c r="H103" s="181"/>
      <c r="M103" s="139"/>
    </row>
    <row r="104" spans="1:13" s="56" customFormat="1" ht="17.25" x14ac:dyDescent="0.35">
      <c r="A104" s="193"/>
      <c r="B104" s="136"/>
      <c r="C104" s="136" t="s">
        <v>69</v>
      </c>
      <c r="D104" s="136">
        <v>1</v>
      </c>
      <c r="E104" s="85" t="s">
        <v>224</v>
      </c>
      <c r="F104" s="136">
        <v>0</v>
      </c>
      <c r="G104" s="136"/>
      <c r="H104" s="181"/>
      <c r="M104" s="139"/>
    </row>
    <row r="105" spans="1:13" s="56" customFormat="1" ht="17.25" x14ac:dyDescent="0.35">
      <c r="A105" s="193"/>
      <c r="B105" s="136"/>
      <c r="C105" s="136" t="s">
        <v>69</v>
      </c>
      <c r="D105" s="136">
        <v>2</v>
      </c>
      <c r="E105" s="85" t="s">
        <v>225</v>
      </c>
      <c r="F105" s="136">
        <v>37</v>
      </c>
      <c r="G105" s="136"/>
      <c r="H105" s="181"/>
      <c r="M105" s="139"/>
    </row>
    <row r="106" spans="1:13" s="56" customFormat="1" ht="17.25" x14ac:dyDescent="0.35">
      <c r="A106" s="193" t="s">
        <v>226</v>
      </c>
      <c r="B106" s="136">
        <v>6273</v>
      </c>
      <c r="C106" s="136" t="s">
        <v>69</v>
      </c>
      <c r="D106" s="136">
        <v>4</v>
      </c>
      <c r="E106" s="85" t="s">
        <v>227</v>
      </c>
      <c r="F106" s="136">
        <v>1</v>
      </c>
      <c r="G106" s="136" t="s">
        <v>239</v>
      </c>
      <c r="H106" s="181"/>
      <c r="M106" s="139"/>
    </row>
    <row r="107" spans="1:13" s="81" customFormat="1" ht="17.25" x14ac:dyDescent="0.35">
      <c r="A107" s="193" t="s">
        <v>228</v>
      </c>
      <c r="B107" s="136">
        <v>6274</v>
      </c>
      <c r="C107" s="136" t="s">
        <v>69</v>
      </c>
      <c r="D107" s="136">
        <v>4</v>
      </c>
      <c r="E107" s="85" t="s">
        <v>229</v>
      </c>
      <c r="F107" s="136">
        <v>1</v>
      </c>
      <c r="G107" s="136" t="s">
        <v>239</v>
      </c>
      <c r="H107" s="181"/>
    </row>
    <row r="108" spans="1:13" s="81" customFormat="1" ht="17.25" x14ac:dyDescent="0.35">
      <c r="A108" s="193" t="s">
        <v>254</v>
      </c>
      <c r="B108" s="136">
        <v>285</v>
      </c>
      <c r="C108" s="136"/>
      <c r="D108" s="136"/>
      <c r="E108" s="85" t="s">
        <v>255</v>
      </c>
      <c r="F108" s="136"/>
      <c r="G108" s="136" t="s">
        <v>94</v>
      </c>
      <c r="H108" s="181"/>
    </row>
    <row r="109" spans="1:13" s="81" customFormat="1" ht="17.25" x14ac:dyDescent="0.35">
      <c r="A109" s="193"/>
      <c r="B109" s="136"/>
      <c r="C109" s="136" t="s">
        <v>69</v>
      </c>
      <c r="D109" s="136">
        <v>1</v>
      </c>
      <c r="E109" s="85" t="s">
        <v>16</v>
      </c>
      <c r="F109" s="136">
        <v>0</v>
      </c>
      <c r="G109" s="136"/>
      <c r="H109" s="181"/>
    </row>
    <row r="110" spans="1:13" s="81" customFormat="1" ht="17.25" x14ac:dyDescent="0.35">
      <c r="A110" s="193"/>
      <c r="B110" s="136"/>
      <c r="C110" s="136" t="s">
        <v>69</v>
      </c>
      <c r="D110" s="136">
        <v>1</v>
      </c>
      <c r="E110" s="85" t="s">
        <v>256</v>
      </c>
      <c r="F110" s="136">
        <v>1</v>
      </c>
      <c r="G110" s="136"/>
      <c r="H110" s="181"/>
    </row>
    <row r="111" spans="1:13" s="81" customFormat="1" ht="17.25" x14ac:dyDescent="0.35">
      <c r="A111" s="193"/>
      <c r="B111" s="136"/>
      <c r="C111" s="136" t="s">
        <v>69</v>
      </c>
      <c r="D111" s="136">
        <v>2</v>
      </c>
      <c r="E111" s="85" t="s">
        <v>257</v>
      </c>
      <c r="F111" s="136">
        <v>3</v>
      </c>
      <c r="G111" s="136"/>
      <c r="H111" s="181"/>
    </row>
    <row r="112" spans="1:13" s="81" customFormat="1" ht="17.25" x14ac:dyDescent="0.35">
      <c r="A112" s="193"/>
      <c r="B112" s="136"/>
      <c r="C112" s="136" t="s">
        <v>69</v>
      </c>
      <c r="D112" s="136">
        <v>2</v>
      </c>
      <c r="E112" s="85" t="s">
        <v>258</v>
      </c>
      <c r="F112" s="136">
        <v>3</v>
      </c>
      <c r="G112" s="136"/>
      <c r="H112" s="181"/>
    </row>
    <row r="113" spans="1:8" s="81" customFormat="1" ht="17.25" x14ac:dyDescent="0.35">
      <c r="A113" s="193"/>
      <c r="B113" s="136"/>
      <c r="C113" s="136" t="s">
        <v>69</v>
      </c>
      <c r="D113" s="136">
        <v>2</v>
      </c>
      <c r="E113" s="85" t="s">
        <v>259</v>
      </c>
      <c r="F113" s="136">
        <v>3</v>
      </c>
      <c r="G113" s="136"/>
      <c r="H113" s="181"/>
    </row>
    <row r="114" spans="1:8" s="81" customFormat="1" ht="17.25" x14ac:dyDescent="0.35">
      <c r="A114" s="193" t="s">
        <v>260</v>
      </c>
      <c r="B114" s="136">
        <v>475</v>
      </c>
      <c r="C114" s="136" t="s">
        <v>69</v>
      </c>
      <c r="D114" s="136">
        <v>2</v>
      </c>
      <c r="E114" s="85" t="s">
        <v>261</v>
      </c>
      <c r="F114" s="136" t="s">
        <v>46</v>
      </c>
      <c r="G114" s="136" t="s">
        <v>79</v>
      </c>
      <c r="H114" s="181"/>
    </row>
    <row r="115" spans="1:8" s="81" customFormat="1" ht="17.25" x14ac:dyDescent="0.35">
      <c r="A115" s="193" t="s">
        <v>339</v>
      </c>
      <c r="B115" s="136">
        <v>562</v>
      </c>
      <c r="C115" s="136" t="s">
        <v>69</v>
      </c>
      <c r="D115" s="136">
        <v>1</v>
      </c>
      <c r="E115" s="85" t="s">
        <v>128</v>
      </c>
      <c r="F115" s="136">
        <v>1</v>
      </c>
      <c r="G115" s="136"/>
      <c r="H115" s="181" t="s">
        <v>311</v>
      </c>
    </row>
    <row r="116" spans="1:8" s="81" customFormat="1" ht="17.25" x14ac:dyDescent="0.35">
      <c r="A116" s="195"/>
      <c r="B116" s="136" t="s">
        <v>244</v>
      </c>
      <c r="C116" s="136" t="s">
        <v>69</v>
      </c>
      <c r="D116" s="138">
        <v>1</v>
      </c>
      <c r="E116" s="125"/>
      <c r="F116" s="136" t="s">
        <v>6</v>
      </c>
      <c r="G116" s="136"/>
      <c r="H116" s="184"/>
    </row>
    <row r="117" spans="1:8" s="81" customFormat="1" ht="17.25" x14ac:dyDescent="0.35">
      <c r="A117" s="195"/>
      <c r="B117" s="136"/>
      <c r="C117" s="136" t="s">
        <v>69</v>
      </c>
      <c r="D117" s="138">
        <v>1</v>
      </c>
      <c r="E117" s="125" t="s">
        <v>128</v>
      </c>
      <c r="F117" s="136">
        <v>0</v>
      </c>
      <c r="G117" s="136"/>
      <c r="H117" s="184"/>
    </row>
    <row r="118" spans="1:8" s="81" customFormat="1" ht="17.25" x14ac:dyDescent="0.35">
      <c r="A118" s="193" t="s">
        <v>54</v>
      </c>
      <c r="B118" s="136">
        <v>945</v>
      </c>
      <c r="C118" s="136"/>
      <c r="D118" s="136"/>
      <c r="E118" s="85"/>
      <c r="F118" s="136"/>
      <c r="G118" s="136"/>
      <c r="H118" s="181"/>
    </row>
    <row r="119" spans="1:8" s="81" customFormat="1" ht="17.25" x14ac:dyDescent="0.35">
      <c r="A119" s="193"/>
      <c r="B119" s="136"/>
      <c r="C119" s="136" t="s">
        <v>69</v>
      </c>
      <c r="D119" s="136">
        <v>1</v>
      </c>
      <c r="E119" s="85" t="s">
        <v>16</v>
      </c>
      <c r="F119" s="136">
        <v>0</v>
      </c>
      <c r="G119" s="136"/>
      <c r="H119" s="181"/>
    </row>
    <row r="120" spans="1:8" s="81" customFormat="1" ht="17.25" x14ac:dyDescent="0.35">
      <c r="A120" s="193"/>
      <c r="B120" s="136"/>
      <c r="C120" s="136" t="s">
        <v>69</v>
      </c>
      <c r="D120" s="136">
        <v>120</v>
      </c>
      <c r="E120" s="85" t="s">
        <v>55</v>
      </c>
      <c r="F120" s="136">
        <v>0</v>
      </c>
      <c r="G120" s="136"/>
      <c r="H120" s="181"/>
    </row>
    <row r="121" spans="1:8" s="81" customFormat="1" ht="17.25" x14ac:dyDescent="0.35">
      <c r="A121" s="193" t="s">
        <v>262</v>
      </c>
      <c r="B121" s="136">
        <v>4116</v>
      </c>
      <c r="C121" s="136" t="s">
        <v>69</v>
      </c>
      <c r="D121" s="136">
        <v>1</v>
      </c>
      <c r="E121" s="85" t="s">
        <v>263</v>
      </c>
      <c r="F121" s="136" t="s">
        <v>117</v>
      </c>
      <c r="G121" s="136" t="s">
        <v>239</v>
      </c>
      <c r="H121" s="181"/>
    </row>
    <row r="122" spans="1:8" s="81" customFormat="1" ht="17.25" x14ac:dyDescent="0.35">
      <c r="A122" s="193" t="s">
        <v>23</v>
      </c>
      <c r="B122" s="136">
        <v>4204</v>
      </c>
      <c r="C122" s="136" t="s">
        <v>69</v>
      </c>
      <c r="D122" s="136">
        <v>1</v>
      </c>
      <c r="E122" s="85" t="s">
        <v>24</v>
      </c>
      <c r="F122" s="136">
        <v>0</v>
      </c>
      <c r="G122" s="136"/>
      <c r="H122" s="181"/>
    </row>
    <row r="123" spans="1:8" s="81" customFormat="1" ht="17.25" x14ac:dyDescent="0.35">
      <c r="A123" s="193" t="s">
        <v>264</v>
      </c>
      <c r="B123" s="136">
        <v>4231</v>
      </c>
      <c r="C123" s="136"/>
      <c r="D123" s="136"/>
      <c r="E123" s="85" t="s">
        <v>265</v>
      </c>
      <c r="F123" s="136"/>
      <c r="G123" s="136" t="s">
        <v>79</v>
      </c>
      <c r="H123" s="181"/>
    </row>
    <row r="124" spans="1:8" s="81" customFormat="1" ht="17.25" x14ac:dyDescent="0.35">
      <c r="A124" s="193"/>
      <c r="B124" s="136"/>
      <c r="C124" s="136" t="s">
        <v>69</v>
      </c>
      <c r="D124" s="136">
        <v>8</v>
      </c>
      <c r="E124" s="85" t="s">
        <v>266</v>
      </c>
      <c r="F124" s="136">
        <v>0</v>
      </c>
      <c r="G124" s="136"/>
      <c r="H124" s="181"/>
    </row>
    <row r="125" spans="1:8" s="81" customFormat="1" ht="17.25" x14ac:dyDescent="0.35">
      <c r="A125" s="193"/>
      <c r="B125" s="136"/>
      <c r="C125" s="136" t="s">
        <v>69</v>
      </c>
      <c r="D125" s="136">
        <v>8</v>
      </c>
      <c r="E125" s="85" t="s">
        <v>267</v>
      </c>
      <c r="F125" s="136">
        <v>1</v>
      </c>
      <c r="G125" s="136"/>
      <c r="H125" s="181"/>
    </row>
    <row r="126" spans="1:8" s="81" customFormat="1" ht="17.25" x14ac:dyDescent="0.35">
      <c r="A126" s="193" t="s">
        <v>133</v>
      </c>
      <c r="B126" s="136">
        <v>6832</v>
      </c>
      <c r="C126" s="136" t="s">
        <v>69</v>
      </c>
      <c r="D126" s="136">
        <v>1</v>
      </c>
      <c r="E126" s="85" t="s">
        <v>134</v>
      </c>
      <c r="F126" s="136">
        <v>0</v>
      </c>
      <c r="G126" s="136" t="s">
        <v>79</v>
      </c>
      <c r="H126" s="181"/>
    </row>
    <row r="127" spans="1:8" s="81" customFormat="1" ht="17.25" x14ac:dyDescent="0.35">
      <c r="A127" s="193" t="s">
        <v>268</v>
      </c>
      <c r="B127" s="136">
        <v>6862</v>
      </c>
      <c r="C127" s="136" t="s">
        <v>69</v>
      </c>
      <c r="D127" s="136">
        <v>1</v>
      </c>
      <c r="E127" s="85" t="s">
        <v>269</v>
      </c>
      <c r="F127" s="136">
        <v>1</v>
      </c>
      <c r="G127" s="136" t="s">
        <v>79</v>
      </c>
      <c r="H127" s="181"/>
    </row>
    <row r="128" spans="1:8" s="81" customFormat="1" ht="17.25" x14ac:dyDescent="0.35">
      <c r="A128" s="198" t="s">
        <v>322</v>
      </c>
      <c r="B128" s="136">
        <v>3532</v>
      </c>
      <c r="C128" s="136" t="s">
        <v>69</v>
      </c>
      <c r="D128" s="138">
        <v>1</v>
      </c>
      <c r="E128" s="126" t="s">
        <v>323</v>
      </c>
      <c r="F128" s="136">
        <v>135</v>
      </c>
      <c r="G128" s="138" t="s">
        <v>239</v>
      </c>
      <c r="H128" s="187" t="s">
        <v>7</v>
      </c>
    </row>
    <row r="129" spans="1:9" s="81" customFormat="1" ht="17.25" x14ac:dyDescent="0.35">
      <c r="A129" s="198" t="s">
        <v>324</v>
      </c>
      <c r="B129" s="136">
        <v>3533</v>
      </c>
      <c r="C129" s="136" t="s">
        <v>69</v>
      </c>
      <c r="D129" s="138">
        <v>1</v>
      </c>
      <c r="E129" s="126" t="s">
        <v>325</v>
      </c>
      <c r="F129" s="136">
        <v>30</v>
      </c>
      <c r="G129" s="138" t="s">
        <v>239</v>
      </c>
      <c r="H129" s="187" t="s">
        <v>7</v>
      </c>
    </row>
    <row r="130" spans="1:9" s="81" customFormat="1" ht="17.25" x14ac:dyDescent="0.35">
      <c r="A130" s="199" t="s">
        <v>360</v>
      </c>
      <c r="B130" s="136">
        <v>4964</v>
      </c>
      <c r="C130" s="136" t="s">
        <v>69</v>
      </c>
      <c r="D130" s="138">
        <v>2</v>
      </c>
      <c r="E130" s="127"/>
      <c r="F130" s="136">
        <v>4</v>
      </c>
      <c r="G130" s="138" t="s">
        <v>79</v>
      </c>
      <c r="H130" s="188"/>
    </row>
    <row r="131" spans="1:9" s="81" customFormat="1" ht="17.25" x14ac:dyDescent="0.35">
      <c r="A131" s="200" t="s">
        <v>326</v>
      </c>
      <c r="B131" s="136">
        <v>4227</v>
      </c>
      <c r="C131" s="136" t="s">
        <v>69</v>
      </c>
      <c r="D131" s="138">
        <v>4</v>
      </c>
      <c r="E131" s="128" t="s">
        <v>327</v>
      </c>
      <c r="F131" s="136">
        <v>0</v>
      </c>
      <c r="G131" s="138"/>
      <c r="H131" s="189" t="s">
        <v>328</v>
      </c>
    </row>
    <row r="132" spans="1:9" s="81" customFormat="1" ht="17.25" x14ac:dyDescent="0.35">
      <c r="A132" s="195" t="s">
        <v>271</v>
      </c>
      <c r="B132" s="136">
        <v>6874</v>
      </c>
      <c r="C132" s="136"/>
      <c r="D132" s="138"/>
      <c r="E132" s="125"/>
      <c r="F132" s="136"/>
      <c r="G132" s="136" t="s">
        <v>239</v>
      </c>
      <c r="H132" s="184"/>
    </row>
    <row r="133" spans="1:9" s="141" customFormat="1" ht="17.25" x14ac:dyDescent="0.35">
      <c r="A133" s="195"/>
      <c r="B133" s="136" t="s">
        <v>244</v>
      </c>
      <c r="C133" s="136" t="s">
        <v>69</v>
      </c>
      <c r="D133" s="138">
        <v>1</v>
      </c>
      <c r="E133" s="125"/>
      <c r="F133" s="136" t="s">
        <v>5</v>
      </c>
      <c r="G133" s="136"/>
      <c r="H133" s="184"/>
      <c r="I133" s="81"/>
    </row>
    <row r="134" spans="1:9" s="56" customFormat="1" ht="17.25" x14ac:dyDescent="0.35">
      <c r="A134" s="195"/>
      <c r="B134" s="136"/>
      <c r="C134" s="136" t="s">
        <v>69</v>
      </c>
      <c r="D134" s="138">
        <v>1</v>
      </c>
      <c r="E134" s="125" t="s">
        <v>272</v>
      </c>
      <c r="F134" s="136" t="s">
        <v>154</v>
      </c>
      <c r="G134" s="136"/>
      <c r="H134" s="184"/>
      <c r="I134" s="81"/>
    </row>
    <row r="135" spans="1:9" s="56" customFormat="1" ht="17.25" x14ac:dyDescent="0.35">
      <c r="A135" s="195" t="s">
        <v>273</v>
      </c>
      <c r="B135" s="136">
        <v>6875</v>
      </c>
      <c r="C135" s="136"/>
      <c r="D135" s="138"/>
      <c r="E135" s="125"/>
      <c r="F135" s="136"/>
      <c r="G135" s="136" t="s">
        <v>239</v>
      </c>
      <c r="H135" s="184"/>
      <c r="I135" s="81"/>
    </row>
    <row r="136" spans="1:9" s="56" customFormat="1" ht="17.25" x14ac:dyDescent="0.35">
      <c r="A136" s="195"/>
      <c r="B136" s="136" t="s">
        <v>244</v>
      </c>
      <c r="C136" s="136" t="s">
        <v>69</v>
      </c>
      <c r="D136" s="138">
        <v>1</v>
      </c>
      <c r="E136" s="125"/>
      <c r="F136" s="136" t="s">
        <v>5</v>
      </c>
      <c r="G136" s="136"/>
      <c r="H136" s="184"/>
      <c r="I136" s="81"/>
    </row>
    <row r="137" spans="1:9" s="56" customFormat="1" ht="17.25" x14ac:dyDescent="0.35">
      <c r="A137" s="195"/>
      <c r="B137" s="136"/>
      <c r="C137" s="136" t="s">
        <v>69</v>
      </c>
      <c r="D137" s="138">
        <v>1</v>
      </c>
      <c r="E137" s="125" t="s">
        <v>274</v>
      </c>
      <c r="F137" s="136" t="s">
        <v>154</v>
      </c>
      <c r="G137" s="136"/>
      <c r="H137" s="184"/>
      <c r="I137" s="81"/>
    </row>
    <row r="138" spans="1:9" s="56" customFormat="1" ht="34.5" x14ac:dyDescent="0.35">
      <c r="A138" s="193" t="s">
        <v>524</v>
      </c>
      <c r="B138" s="136">
        <v>240</v>
      </c>
      <c r="C138" s="136" t="s">
        <v>69</v>
      </c>
      <c r="D138" s="136">
        <v>1</v>
      </c>
      <c r="E138" s="85" t="s">
        <v>525</v>
      </c>
      <c r="F138" s="136">
        <v>0</v>
      </c>
      <c r="G138" s="136" t="s">
        <v>239</v>
      </c>
      <c r="H138" s="181" t="s">
        <v>526</v>
      </c>
      <c r="I138" s="81"/>
    </row>
    <row r="139" spans="1:9" s="56" customFormat="1" ht="18" thickBot="1" x14ac:dyDescent="0.4">
      <c r="A139" s="201"/>
      <c r="B139" s="142"/>
      <c r="C139" s="142"/>
      <c r="D139" s="143"/>
      <c r="E139" s="129"/>
      <c r="F139" s="142"/>
      <c r="G139" s="143"/>
      <c r="H139" s="190"/>
      <c r="I139" s="81"/>
    </row>
    <row r="140" spans="1:9" s="56" customFormat="1" ht="15.75" thickBot="1" x14ac:dyDescent="0.35">
      <c r="A140" s="81"/>
      <c r="B140" s="81"/>
      <c r="C140" s="81"/>
      <c r="D140" s="81"/>
      <c r="E140" s="81"/>
      <c r="F140" s="81"/>
      <c r="G140" s="81"/>
      <c r="H140" s="81"/>
      <c r="I140" s="81"/>
    </row>
    <row r="141" spans="1:9" s="56" customFormat="1" ht="20.25" thickBot="1" x14ac:dyDescent="0.35">
      <c r="A141" s="44"/>
      <c r="B141" s="43" t="s">
        <v>78</v>
      </c>
      <c r="C141" s="43"/>
      <c r="D141" s="43"/>
      <c r="E141" s="43"/>
      <c r="F141" s="43"/>
      <c r="G141" s="43"/>
      <c r="H141" s="45"/>
      <c r="I141" s="81"/>
    </row>
    <row r="142" spans="1:9" s="56" customFormat="1" ht="15.75" thickBot="1" x14ac:dyDescent="0.35">
      <c r="A142" s="41" t="s">
        <v>64</v>
      </c>
      <c r="B142" s="41" t="s">
        <v>8</v>
      </c>
      <c r="C142" s="41"/>
      <c r="D142" s="41"/>
      <c r="E142" s="41" t="s">
        <v>58</v>
      </c>
      <c r="F142" s="41" t="s">
        <v>57</v>
      </c>
      <c r="G142" s="41"/>
      <c r="H142" s="168"/>
      <c r="I142" s="81"/>
    </row>
    <row r="143" spans="1:9" s="56" customFormat="1" ht="17.25" x14ac:dyDescent="0.35">
      <c r="A143" s="170"/>
      <c r="B143" s="171"/>
      <c r="C143" s="108"/>
      <c r="D143" s="108"/>
      <c r="E143" s="172"/>
      <c r="F143" s="108"/>
      <c r="G143" s="108"/>
      <c r="H143" s="173"/>
      <c r="I143" s="81"/>
    </row>
    <row r="144" spans="1:9" s="56" customFormat="1" ht="18" thickBot="1" x14ac:dyDescent="0.4">
      <c r="A144" s="174"/>
      <c r="B144" s="175"/>
      <c r="C144" s="176"/>
      <c r="D144" s="176"/>
      <c r="E144" s="177"/>
      <c r="F144" s="176"/>
      <c r="G144" s="176"/>
      <c r="H144" s="178"/>
      <c r="I144" s="81"/>
    </row>
    <row r="145" spans="1:9" s="56" customFormat="1" ht="15.75" thickBot="1" x14ac:dyDescent="0.35">
      <c r="A145" s="81"/>
      <c r="B145" s="81"/>
      <c r="C145" s="81"/>
      <c r="D145" s="81"/>
      <c r="E145" s="81"/>
      <c r="F145" s="81"/>
      <c r="G145" s="81"/>
      <c r="H145" s="81"/>
      <c r="I145" s="81"/>
    </row>
    <row r="146" spans="1:9" s="56" customFormat="1" ht="20.25" thickBot="1" x14ac:dyDescent="0.45">
      <c r="A146" s="169" t="s">
        <v>73</v>
      </c>
      <c r="B146" s="46"/>
      <c r="C146" s="46"/>
      <c r="D146" s="46"/>
      <c r="E146" s="46"/>
      <c r="F146" s="46"/>
      <c r="G146" s="46"/>
      <c r="H146" s="47"/>
      <c r="I146" s="48"/>
    </row>
    <row r="147" spans="1:9" s="56" customFormat="1" ht="15.75" thickBot="1" x14ac:dyDescent="0.35">
      <c r="A147" s="41" t="s">
        <v>56</v>
      </c>
      <c r="B147" s="41" t="s">
        <v>230</v>
      </c>
      <c r="C147" s="41" t="s">
        <v>231</v>
      </c>
      <c r="D147" s="41" t="s">
        <v>76</v>
      </c>
      <c r="E147" s="41" t="s">
        <v>75</v>
      </c>
      <c r="F147" s="41" t="s">
        <v>68</v>
      </c>
      <c r="G147" s="41" t="s">
        <v>74</v>
      </c>
      <c r="H147" s="41" t="s">
        <v>232</v>
      </c>
      <c r="I147" s="41" t="s">
        <v>11</v>
      </c>
    </row>
    <row r="148" spans="1:9" s="56" customFormat="1" ht="17.25" x14ac:dyDescent="0.35">
      <c r="A148" s="153"/>
      <c r="B148" s="154"/>
      <c r="C148" s="154"/>
      <c r="D148" s="154"/>
      <c r="E148" s="154"/>
      <c r="F148" s="154"/>
      <c r="G148" s="154"/>
      <c r="H148" s="155"/>
      <c r="I148" s="119"/>
    </row>
    <row r="149" spans="1:9" s="56" customFormat="1" ht="17.25" x14ac:dyDescent="0.35">
      <c r="A149" s="156" t="s">
        <v>129</v>
      </c>
      <c r="B149" s="11" t="s">
        <v>132</v>
      </c>
      <c r="C149" s="11" t="s">
        <v>90</v>
      </c>
      <c r="D149" s="11"/>
      <c r="E149" s="11"/>
      <c r="F149" s="11"/>
      <c r="G149" s="11" t="s">
        <v>79</v>
      </c>
      <c r="H149" s="157"/>
      <c r="I149" s="119">
        <v>67290</v>
      </c>
    </row>
    <row r="150" spans="1:9" s="56" customFormat="1" ht="17.25" x14ac:dyDescent="0.35">
      <c r="A150" s="156"/>
      <c r="B150" s="11"/>
      <c r="C150" s="11"/>
      <c r="D150" s="11" t="s">
        <v>69</v>
      </c>
      <c r="E150" s="11">
        <v>1</v>
      </c>
      <c r="F150" s="11">
        <v>1</v>
      </c>
      <c r="G150" s="11"/>
      <c r="H150" s="157"/>
      <c r="I150" s="119"/>
    </row>
    <row r="151" spans="1:9" s="56" customFormat="1" ht="17.25" x14ac:dyDescent="0.35">
      <c r="A151" s="156" t="s">
        <v>240</v>
      </c>
      <c r="B151" s="11" t="s">
        <v>130</v>
      </c>
      <c r="C151" s="11" t="s">
        <v>90</v>
      </c>
      <c r="D151" s="11"/>
      <c r="E151" s="11"/>
      <c r="F151" s="11"/>
      <c r="G151" s="11" t="s">
        <v>79</v>
      </c>
      <c r="H151" s="157"/>
      <c r="I151" s="119">
        <v>67288</v>
      </c>
    </row>
    <row r="152" spans="1:9" s="56" customFormat="1" ht="17.25" x14ac:dyDescent="0.35">
      <c r="A152" s="156"/>
      <c r="B152" s="11"/>
      <c r="C152" s="11"/>
      <c r="D152" s="11" t="s">
        <v>69</v>
      </c>
      <c r="E152" s="11">
        <v>2</v>
      </c>
      <c r="F152" s="11">
        <v>-98</v>
      </c>
      <c r="G152" s="11"/>
      <c r="H152" s="157"/>
      <c r="I152" s="119" t="s">
        <v>241</v>
      </c>
    </row>
    <row r="153" spans="1:9" s="56" customFormat="1" ht="17.25" x14ac:dyDescent="0.35">
      <c r="A153" s="158" t="s">
        <v>242</v>
      </c>
      <c r="B153" s="11" t="s">
        <v>131</v>
      </c>
      <c r="C153" s="11" t="s">
        <v>90</v>
      </c>
      <c r="D153" s="11"/>
      <c r="E153" s="11"/>
      <c r="F153" s="11"/>
      <c r="G153" s="11"/>
      <c r="H153" s="157"/>
      <c r="I153" s="120">
        <v>67289</v>
      </c>
    </row>
    <row r="154" spans="1:9" s="56" customFormat="1" ht="17.25" x14ac:dyDescent="0.35">
      <c r="A154" s="158"/>
      <c r="B154" s="11"/>
      <c r="C154" s="11"/>
      <c r="D154" s="11" t="s">
        <v>69</v>
      </c>
      <c r="E154" s="11">
        <v>2</v>
      </c>
      <c r="F154" s="11">
        <v>-105</v>
      </c>
      <c r="G154" s="11"/>
      <c r="H154" s="157"/>
      <c r="I154" s="120" t="s">
        <v>243</v>
      </c>
    </row>
    <row r="155" spans="1:9" s="56" customFormat="1" ht="17.25" x14ac:dyDescent="0.35">
      <c r="A155" s="156" t="s">
        <v>135</v>
      </c>
      <c r="B155" s="11" t="s">
        <v>136</v>
      </c>
      <c r="C155" s="11" t="s">
        <v>90</v>
      </c>
      <c r="D155" s="11"/>
      <c r="E155" s="11"/>
      <c r="F155" s="11"/>
      <c r="G155" s="11" t="s">
        <v>79</v>
      </c>
      <c r="H155" s="157"/>
      <c r="I155" s="119">
        <v>66042</v>
      </c>
    </row>
    <row r="156" spans="1:9" s="56" customFormat="1" ht="17.25" x14ac:dyDescent="0.35">
      <c r="A156" s="156"/>
      <c r="B156" s="11"/>
      <c r="C156" s="11"/>
      <c r="D156" s="11" t="s">
        <v>69</v>
      </c>
      <c r="E156" s="11">
        <v>1</v>
      </c>
      <c r="F156" s="11">
        <v>0</v>
      </c>
      <c r="G156" s="11"/>
      <c r="H156" s="157"/>
      <c r="I156" s="119"/>
    </row>
    <row r="157" spans="1:9" s="56" customFormat="1" ht="17.25" x14ac:dyDescent="0.35">
      <c r="A157" s="156"/>
      <c r="B157" s="11"/>
      <c r="C157" s="11"/>
      <c r="D157" s="11" t="s">
        <v>69</v>
      </c>
      <c r="E157" s="11">
        <v>1</v>
      </c>
      <c r="F157" s="11">
        <v>0</v>
      </c>
      <c r="G157" s="11"/>
      <c r="H157" s="157"/>
      <c r="I157" s="119"/>
    </row>
    <row r="158" spans="1:9" s="56" customFormat="1" ht="17.25" x14ac:dyDescent="0.35">
      <c r="A158" s="156"/>
      <c r="B158" s="11"/>
      <c r="C158" s="11"/>
      <c r="D158" s="11" t="s">
        <v>69</v>
      </c>
      <c r="E158" s="11">
        <v>1</v>
      </c>
      <c r="F158" s="11">
        <v>8</v>
      </c>
      <c r="G158" s="11"/>
      <c r="H158" s="157"/>
      <c r="I158" s="119"/>
    </row>
    <row r="159" spans="1:9" s="56" customFormat="1" ht="17.25" x14ac:dyDescent="0.35">
      <c r="A159" s="156"/>
      <c r="B159" s="11"/>
      <c r="C159" s="11"/>
      <c r="D159" s="11" t="s">
        <v>69</v>
      </c>
      <c r="E159" s="11">
        <v>1</v>
      </c>
      <c r="F159" s="11">
        <v>30</v>
      </c>
      <c r="G159" s="11"/>
      <c r="H159" s="157"/>
      <c r="I159" s="119"/>
    </row>
    <row r="160" spans="1:9" s="56" customFormat="1" ht="17.25" x14ac:dyDescent="0.35">
      <c r="A160" s="156"/>
      <c r="B160" s="11"/>
      <c r="C160" s="11"/>
      <c r="D160" s="11" t="s">
        <v>69</v>
      </c>
      <c r="E160" s="11">
        <v>4</v>
      </c>
      <c r="F160" s="11" t="s">
        <v>84</v>
      </c>
      <c r="G160" s="11"/>
      <c r="H160" s="157"/>
      <c r="I160" s="119"/>
    </row>
    <row r="161" spans="1:9" s="56" customFormat="1" ht="17.25" x14ac:dyDescent="0.35">
      <c r="A161" s="156" t="s">
        <v>137</v>
      </c>
      <c r="B161" s="11" t="s">
        <v>138</v>
      </c>
      <c r="C161" s="11" t="s">
        <v>90</v>
      </c>
      <c r="D161" s="11"/>
      <c r="E161" s="11"/>
      <c r="F161" s="11"/>
      <c r="G161" s="11"/>
      <c r="H161" s="157"/>
      <c r="I161" s="119">
        <v>66043</v>
      </c>
    </row>
    <row r="162" spans="1:9" s="56" customFormat="1" ht="17.25" x14ac:dyDescent="0.35">
      <c r="A162" s="156"/>
      <c r="B162" s="11"/>
      <c r="C162" s="11"/>
      <c r="D162" s="11" t="s">
        <v>69</v>
      </c>
      <c r="E162" s="11">
        <v>1</v>
      </c>
      <c r="F162" s="11">
        <v>0</v>
      </c>
      <c r="G162" s="11"/>
      <c r="H162" s="157"/>
      <c r="I162" s="119" t="s">
        <v>313</v>
      </c>
    </row>
    <row r="163" spans="1:9" s="56" customFormat="1" ht="17.25" x14ac:dyDescent="0.35">
      <c r="A163" s="156"/>
      <c r="B163" s="11"/>
      <c r="C163" s="11"/>
      <c r="D163" s="11" t="s">
        <v>69</v>
      </c>
      <c r="E163" s="11">
        <v>1</v>
      </c>
      <c r="F163" s="11">
        <v>-100</v>
      </c>
      <c r="G163" s="11"/>
      <c r="H163" s="157"/>
      <c r="I163" s="119"/>
    </row>
    <row r="164" spans="1:9" s="56" customFormat="1" ht="17.25" x14ac:dyDescent="0.35">
      <c r="A164" s="156"/>
      <c r="B164" s="11"/>
      <c r="C164" s="11"/>
      <c r="D164" s="11" t="s">
        <v>69</v>
      </c>
      <c r="E164" s="11">
        <v>2</v>
      </c>
      <c r="F164" s="11">
        <v>-128</v>
      </c>
      <c r="G164" s="11"/>
      <c r="H164" s="157"/>
      <c r="I164" s="119"/>
    </row>
    <row r="165" spans="1:9" s="56" customFormat="1" ht="17.25" x14ac:dyDescent="0.35">
      <c r="A165" s="156"/>
      <c r="B165" s="11"/>
      <c r="C165" s="11"/>
      <c r="D165" s="11" t="s">
        <v>69</v>
      </c>
      <c r="E165" s="11">
        <v>1</v>
      </c>
      <c r="F165" s="11">
        <v>-95</v>
      </c>
      <c r="G165" s="11"/>
      <c r="H165" s="157"/>
      <c r="I165" s="119"/>
    </row>
    <row r="166" spans="1:9" s="56" customFormat="1" ht="17.25" x14ac:dyDescent="0.35">
      <c r="A166" s="156"/>
      <c r="B166" s="11"/>
      <c r="C166" s="11"/>
      <c r="D166" s="11" t="s">
        <v>69</v>
      </c>
      <c r="E166" s="11">
        <v>2</v>
      </c>
      <c r="F166" s="11">
        <v>-120</v>
      </c>
      <c r="G166" s="11"/>
      <c r="H166" s="157"/>
      <c r="I166" s="119"/>
    </row>
    <row r="167" spans="1:9" s="56" customFormat="1" ht="17.25" x14ac:dyDescent="0.35">
      <c r="A167" s="156"/>
      <c r="B167" s="11"/>
      <c r="C167" s="11"/>
      <c r="D167" s="11" t="s">
        <v>69</v>
      </c>
      <c r="E167" s="11">
        <v>1</v>
      </c>
      <c r="F167" s="11">
        <v>0</v>
      </c>
      <c r="G167" s="11"/>
      <c r="H167" s="157"/>
      <c r="I167" s="119"/>
    </row>
    <row r="168" spans="1:9" s="56" customFormat="1" ht="17.25" x14ac:dyDescent="0.35">
      <c r="A168" s="159" t="s">
        <v>452</v>
      </c>
      <c r="B168" s="11" t="s">
        <v>453</v>
      </c>
      <c r="C168" s="11" t="s">
        <v>90</v>
      </c>
      <c r="D168" s="11"/>
      <c r="E168" s="11"/>
      <c r="F168" s="11"/>
      <c r="G168" s="11" t="s">
        <v>239</v>
      </c>
      <c r="H168" s="157"/>
      <c r="I168" s="116">
        <v>65733</v>
      </c>
    </row>
    <row r="169" spans="1:9" s="56" customFormat="1" ht="17.25" x14ac:dyDescent="0.35">
      <c r="A169" s="159"/>
      <c r="B169" s="11"/>
      <c r="C169" s="11"/>
      <c r="D169" s="11" t="s">
        <v>69</v>
      </c>
      <c r="E169" s="11">
        <v>1</v>
      </c>
      <c r="F169" s="11">
        <v>0</v>
      </c>
      <c r="G169" s="11"/>
      <c r="H169" s="157"/>
      <c r="I169" s="116"/>
    </row>
    <row r="170" spans="1:9" s="56" customFormat="1" ht="17.25" x14ac:dyDescent="0.35">
      <c r="A170" s="156" t="s">
        <v>92</v>
      </c>
      <c r="B170" s="11" t="s">
        <v>85</v>
      </c>
      <c r="C170" s="11" t="s">
        <v>90</v>
      </c>
      <c r="D170" s="11"/>
      <c r="E170" s="11"/>
      <c r="F170" s="11"/>
      <c r="G170" s="11"/>
      <c r="H170" s="157"/>
      <c r="I170" s="119">
        <v>66035</v>
      </c>
    </row>
    <row r="171" spans="1:9" s="56" customFormat="1" ht="17.25" x14ac:dyDescent="0.35">
      <c r="A171" s="156"/>
      <c r="B171" s="11"/>
      <c r="C171" s="11"/>
      <c r="D171" s="11" t="s">
        <v>69</v>
      </c>
      <c r="E171" s="11">
        <v>1</v>
      </c>
      <c r="F171" s="11">
        <v>1</v>
      </c>
      <c r="G171" s="11"/>
      <c r="H171" s="157"/>
      <c r="I171" s="119" t="s">
        <v>315</v>
      </c>
    </row>
    <row r="172" spans="1:9" s="81" customFormat="1" ht="17.25" x14ac:dyDescent="0.35">
      <c r="A172" s="156" t="s">
        <v>86</v>
      </c>
      <c r="B172" s="11" t="s">
        <v>87</v>
      </c>
      <c r="C172" s="11" t="s">
        <v>90</v>
      </c>
      <c r="D172" s="11"/>
      <c r="E172" s="11"/>
      <c r="F172" s="11"/>
      <c r="G172" s="11" t="s">
        <v>79</v>
      </c>
      <c r="H172" s="157"/>
      <c r="I172" s="119">
        <v>65953</v>
      </c>
    </row>
    <row r="173" spans="1:9" s="81" customFormat="1" ht="17.25" x14ac:dyDescent="0.35">
      <c r="A173" s="156"/>
      <c r="B173" s="11"/>
      <c r="C173" s="11"/>
      <c r="D173" s="11" t="s">
        <v>69</v>
      </c>
      <c r="E173" s="11">
        <v>4</v>
      </c>
      <c r="F173" s="11">
        <v>10</v>
      </c>
      <c r="G173" s="11"/>
      <c r="H173" s="157"/>
      <c r="I173" s="119" t="s">
        <v>319</v>
      </c>
    </row>
    <row r="174" spans="1:9" s="81" customFormat="1" ht="17.25" x14ac:dyDescent="0.35">
      <c r="A174" s="156"/>
      <c r="B174" s="11"/>
      <c r="C174" s="11"/>
      <c r="D174" s="11" t="s">
        <v>69</v>
      </c>
      <c r="E174" s="11">
        <v>4</v>
      </c>
      <c r="F174" s="11">
        <v>600</v>
      </c>
      <c r="G174" s="11"/>
      <c r="H174" s="157"/>
      <c r="I174" s="119" t="s">
        <v>338</v>
      </c>
    </row>
    <row r="175" spans="1:9" s="81" customFormat="1" ht="17.25" x14ac:dyDescent="0.35">
      <c r="A175" s="156" t="s">
        <v>88</v>
      </c>
      <c r="B175" s="11" t="s">
        <v>89</v>
      </c>
      <c r="C175" s="11" t="s">
        <v>90</v>
      </c>
      <c r="D175" s="11"/>
      <c r="E175" s="11"/>
      <c r="F175" s="11"/>
      <c r="G175" s="11"/>
      <c r="H175" s="157"/>
      <c r="I175" s="119">
        <v>67200</v>
      </c>
    </row>
    <row r="176" spans="1:9" s="81" customFormat="1" ht="17.25" x14ac:dyDescent="0.35">
      <c r="A176" s="156"/>
      <c r="B176" s="11"/>
      <c r="C176" s="11"/>
      <c r="D176" s="11" t="s">
        <v>69</v>
      </c>
      <c r="E176" s="11">
        <v>1</v>
      </c>
      <c r="F176" s="11">
        <v>1</v>
      </c>
      <c r="G176" s="11"/>
      <c r="H176" s="157"/>
      <c r="I176" s="119" t="s">
        <v>27</v>
      </c>
    </row>
    <row r="177" spans="1:9" s="81" customFormat="1" ht="17.25" x14ac:dyDescent="0.35">
      <c r="A177" s="156"/>
      <c r="B177" s="11"/>
      <c r="C177" s="11"/>
      <c r="D177" s="11" t="s">
        <v>69</v>
      </c>
      <c r="E177" s="11">
        <v>1</v>
      </c>
      <c r="F177" s="11">
        <v>1</v>
      </c>
      <c r="G177" s="11"/>
      <c r="H177" s="157"/>
      <c r="I177" s="119" t="s">
        <v>122</v>
      </c>
    </row>
    <row r="178" spans="1:9" s="56" customFormat="1" ht="17.25" x14ac:dyDescent="0.35">
      <c r="A178" s="156"/>
      <c r="B178" s="11"/>
      <c r="C178" s="11"/>
      <c r="D178" s="11" t="s">
        <v>69</v>
      </c>
      <c r="E178" s="11">
        <v>1</v>
      </c>
      <c r="F178" s="11">
        <v>0</v>
      </c>
      <c r="G178" s="11"/>
      <c r="H178" s="157"/>
      <c r="I178" s="119" t="s">
        <v>123</v>
      </c>
    </row>
    <row r="179" spans="1:9" s="56" customFormat="1" ht="17.25" x14ac:dyDescent="0.35">
      <c r="A179" s="156"/>
      <c r="B179" s="11"/>
      <c r="C179" s="11"/>
      <c r="D179" s="11" t="s">
        <v>69</v>
      </c>
      <c r="E179" s="11">
        <v>1</v>
      </c>
      <c r="F179" s="11">
        <v>1</v>
      </c>
      <c r="G179" s="11"/>
      <c r="H179" s="157"/>
      <c r="I179" s="119" t="s">
        <v>124</v>
      </c>
    </row>
    <row r="180" spans="1:9" s="56" customFormat="1" ht="17.25" x14ac:dyDescent="0.35">
      <c r="A180" s="156"/>
      <c r="B180" s="11"/>
      <c r="C180" s="11"/>
      <c r="D180" s="11" t="s">
        <v>69</v>
      </c>
      <c r="E180" s="11">
        <v>1</v>
      </c>
      <c r="F180" s="11">
        <v>3</v>
      </c>
      <c r="G180" s="11"/>
      <c r="H180" s="157"/>
      <c r="I180" s="119" t="s">
        <v>125</v>
      </c>
    </row>
    <row r="181" spans="1:9" s="56" customFormat="1" ht="17.25" x14ac:dyDescent="0.35">
      <c r="A181" s="156"/>
      <c r="B181" s="11"/>
      <c r="C181" s="11"/>
      <c r="D181" s="11" t="s">
        <v>69</v>
      </c>
      <c r="E181" s="11">
        <v>2</v>
      </c>
      <c r="F181" s="11">
        <v>0</v>
      </c>
      <c r="G181" s="11"/>
      <c r="H181" s="157"/>
      <c r="I181" s="119" t="s">
        <v>126</v>
      </c>
    </row>
    <row r="182" spans="1:9" s="56" customFormat="1" ht="17.25" x14ac:dyDescent="0.35">
      <c r="A182" s="156" t="s">
        <v>233</v>
      </c>
      <c r="B182" s="11" t="s">
        <v>234</v>
      </c>
      <c r="C182" s="11" t="s">
        <v>90</v>
      </c>
      <c r="D182" s="11"/>
      <c r="E182" s="11"/>
      <c r="F182" s="11"/>
      <c r="G182" s="11" t="s">
        <v>239</v>
      </c>
      <c r="H182" s="157"/>
      <c r="I182" s="119">
        <v>70302</v>
      </c>
    </row>
    <row r="183" spans="1:9" s="56" customFormat="1" ht="17.25" x14ac:dyDescent="0.35">
      <c r="A183" s="156"/>
      <c r="B183" s="11"/>
      <c r="C183" s="11"/>
      <c r="D183" s="11" t="s">
        <v>69</v>
      </c>
      <c r="E183" s="11">
        <v>1</v>
      </c>
      <c r="F183" s="11">
        <v>0</v>
      </c>
      <c r="G183" s="11"/>
      <c r="H183" s="157"/>
      <c r="I183" s="119"/>
    </row>
    <row r="184" spans="1:9" s="56" customFormat="1" ht="19.5" customHeight="1" x14ac:dyDescent="0.35">
      <c r="A184" s="160" t="s">
        <v>416</v>
      </c>
      <c r="B184" s="11" t="s">
        <v>415</v>
      </c>
      <c r="C184" s="11" t="s">
        <v>90</v>
      </c>
      <c r="D184" s="11"/>
      <c r="E184" s="11"/>
      <c r="F184" s="11"/>
      <c r="G184" s="11" t="s">
        <v>239</v>
      </c>
      <c r="H184" s="157"/>
      <c r="I184" s="100">
        <v>67217</v>
      </c>
    </row>
    <row r="185" spans="1:9" s="56" customFormat="1" ht="19.5" customHeight="1" x14ac:dyDescent="0.35">
      <c r="A185" s="160"/>
      <c r="B185" s="11"/>
      <c r="C185" s="11"/>
      <c r="D185" s="11" t="s">
        <v>69</v>
      </c>
      <c r="E185" s="11">
        <v>1</v>
      </c>
      <c r="F185" s="80">
        <v>0</v>
      </c>
      <c r="G185" s="11"/>
      <c r="H185" s="157"/>
      <c r="I185" s="100" t="s">
        <v>414</v>
      </c>
    </row>
    <row r="186" spans="1:9" s="56" customFormat="1" ht="19.5" customHeight="1" x14ac:dyDescent="0.35">
      <c r="A186" s="160"/>
      <c r="B186" s="11"/>
      <c r="C186" s="11"/>
      <c r="D186" s="11" t="s">
        <v>69</v>
      </c>
      <c r="E186" s="11">
        <v>2</v>
      </c>
      <c r="F186" s="80" t="s">
        <v>121</v>
      </c>
      <c r="G186" s="11"/>
      <c r="H186" s="157"/>
      <c r="I186" s="100" t="s">
        <v>413</v>
      </c>
    </row>
    <row r="187" spans="1:9" s="56" customFormat="1" ht="19.5" customHeight="1" x14ac:dyDescent="0.35">
      <c r="A187" s="159" t="s">
        <v>407</v>
      </c>
      <c r="B187" s="11" t="s">
        <v>406</v>
      </c>
      <c r="C187" s="11" t="s">
        <v>90</v>
      </c>
      <c r="D187" s="11"/>
      <c r="E187" s="11"/>
      <c r="F187" s="11"/>
      <c r="G187" s="11" t="s">
        <v>239</v>
      </c>
      <c r="H187" s="157"/>
      <c r="I187" s="116">
        <v>65811</v>
      </c>
    </row>
    <row r="188" spans="1:9" s="56" customFormat="1" ht="19.5" customHeight="1" x14ac:dyDescent="0.35">
      <c r="A188" s="159"/>
      <c r="B188" s="11"/>
      <c r="C188" s="11"/>
      <c r="D188" s="11" t="s">
        <v>69</v>
      </c>
      <c r="E188" s="11">
        <v>1</v>
      </c>
      <c r="F188" s="11">
        <v>0</v>
      </c>
      <c r="G188" s="11"/>
      <c r="H188" s="157"/>
      <c r="I188" s="116"/>
    </row>
    <row r="189" spans="1:9" s="56" customFormat="1" ht="19.5" customHeight="1" x14ac:dyDescent="0.35">
      <c r="A189" s="156" t="s">
        <v>245</v>
      </c>
      <c r="B189" s="11" t="s">
        <v>246</v>
      </c>
      <c r="C189" s="11" t="s">
        <v>90</v>
      </c>
      <c r="D189" s="11"/>
      <c r="E189" s="11"/>
      <c r="F189" s="11"/>
      <c r="G189" s="11" t="s">
        <v>79</v>
      </c>
      <c r="H189" s="157"/>
      <c r="I189" s="119">
        <v>67291</v>
      </c>
    </row>
    <row r="190" spans="1:9" s="56" customFormat="1" ht="19.5" customHeight="1" x14ac:dyDescent="0.35">
      <c r="A190" s="156"/>
      <c r="B190" s="11"/>
      <c r="C190" s="11"/>
      <c r="D190" s="11" t="s">
        <v>69</v>
      </c>
      <c r="E190" s="11">
        <v>1</v>
      </c>
      <c r="F190" s="11">
        <v>0</v>
      </c>
      <c r="G190" s="11"/>
      <c r="H190" s="157"/>
      <c r="I190" s="119"/>
    </row>
    <row r="191" spans="1:9" s="56" customFormat="1" ht="19.5" customHeight="1" x14ac:dyDescent="0.35">
      <c r="A191" s="161" t="s">
        <v>518</v>
      </c>
      <c r="B191" s="11" t="s">
        <v>517</v>
      </c>
      <c r="C191" s="79" t="s">
        <v>71</v>
      </c>
      <c r="D191" s="79"/>
      <c r="E191" s="11"/>
      <c r="F191" s="79"/>
      <c r="G191" s="11" t="s">
        <v>239</v>
      </c>
      <c r="H191" s="157" t="s">
        <v>541</v>
      </c>
      <c r="I191" s="152"/>
    </row>
    <row r="192" spans="1:9" s="56" customFormat="1" ht="17.25" x14ac:dyDescent="0.35">
      <c r="A192" s="162" t="s">
        <v>433</v>
      </c>
      <c r="B192" s="11" t="s">
        <v>432</v>
      </c>
      <c r="C192" s="11" t="s">
        <v>71</v>
      </c>
      <c r="D192" s="11"/>
      <c r="E192" s="11"/>
      <c r="F192" s="11"/>
      <c r="G192" s="11" t="s">
        <v>239</v>
      </c>
      <c r="H192" s="157" t="s">
        <v>431</v>
      </c>
      <c r="I192" s="119" t="s">
        <v>248</v>
      </c>
    </row>
    <row r="193" spans="1:9" s="56" customFormat="1" ht="17.25" x14ac:dyDescent="0.35">
      <c r="A193" s="156" t="s">
        <v>247</v>
      </c>
      <c r="B193" s="11" t="s">
        <v>236</v>
      </c>
      <c r="C193" s="11" t="s">
        <v>71</v>
      </c>
      <c r="D193" s="11"/>
      <c r="E193" s="11"/>
      <c r="F193" s="11"/>
      <c r="G193" s="11" t="s">
        <v>239</v>
      </c>
      <c r="H193" s="157" t="s">
        <v>547</v>
      </c>
      <c r="I193" s="119">
        <v>69739</v>
      </c>
    </row>
    <row r="194" spans="1:9" s="56" customFormat="1" ht="16.5" customHeight="1" x14ac:dyDescent="0.35">
      <c r="A194" s="156" t="s">
        <v>249</v>
      </c>
      <c r="B194" s="11" t="s">
        <v>250</v>
      </c>
      <c r="C194" s="11" t="s">
        <v>90</v>
      </c>
      <c r="D194" s="11"/>
      <c r="E194" s="11"/>
      <c r="F194" s="11"/>
      <c r="G194" s="11" t="s">
        <v>79</v>
      </c>
      <c r="H194" s="157"/>
      <c r="I194" s="119" t="s">
        <v>27</v>
      </c>
    </row>
    <row r="195" spans="1:9" s="56" customFormat="1" ht="17.25" x14ac:dyDescent="0.35">
      <c r="A195" s="156"/>
      <c r="B195" s="11"/>
      <c r="C195" s="11"/>
      <c r="D195" s="11" t="s">
        <v>69</v>
      </c>
      <c r="E195" s="11">
        <v>1</v>
      </c>
      <c r="F195" s="11">
        <v>1</v>
      </c>
      <c r="G195" s="11"/>
      <c r="H195" s="157"/>
      <c r="I195" s="119" t="s">
        <v>251</v>
      </c>
    </row>
    <row r="196" spans="1:9" s="56" customFormat="1" ht="17.25" x14ac:dyDescent="0.35">
      <c r="A196" s="156"/>
      <c r="B196" s="11"/>
      <c r="C196" s="11"/>
      <c r="D196" s="11" t="s">
        <v>69</v>
      </c>
      <c r="E196" s="11">
        <v>4</v>
      </c>
      <c r="F196" s="11">
        <v>1000</v>
      </c>
      <c r="G196" s="11"/>
      <c r="H196" s="157"/>
      <c r="I196" s="119">
        <v>67208</v>
      </c>
    </row>
    <row r="197" spans="1:9" s="56" customFormat="1" ht="17.25" x14ac:dyDescent="0.35">
      <c r="A197" s="156" t="s">
        <v>142</v>
      </c>
      <c r="B197" s="11" t="s">
        <v>141</v>
      </c>
      <c r="C197" s="11" t="s">
        <v>90</v>
      </c>
      <c r="D197" s="11"/>
      <c r="E197" s="11"/>
      <c r="F197" s="11"/>
      <c r="G197" s="11" t="s">
        <v>239</v>
      </c>
      <c r="H197" s="157"/>
      <c r="I197" s="119"/>
    </row>
    <row r="198" spans="1:9" s="56" customFormat="1" ht="17.25" x14ac:dyDescent="0.35">
      <c r="A198" s="156"/>
      <c r="B198" s="11"/>
      <c r="C198" s="11"/>
      <c r="D198" s="11" t="s">
        <v>69</v>
      </c>
      <c r="E198" s="11">
        <v>1</v>
      </c>
      <c r="F198" s="11">
        <v>1</v>
      </c>
      <c r="G198" s="11"/>
      <c r="H198" s="157"/>
      <c r="I198" s="121"/>
    </row>
    <row r="199" spans="1:9" s="56" customFormat="1" ht="17.25" x14ac:dyDescent="0.35">
      <c r="A199" s="163" t="s">
        <v>275</v>
      </c>
      <c r="B199" s="11" t="s">
        <v>276</v>
      </c>
      <c r="C199" s="11" t="s">
        <v>71</v>
      </c>
      <c r="D199" s="11"/>
      <c r="E199" s="11"/>
      <c r="F199" s="11"/>
      <c r="G199" s="11" t="s">
        <v>79</v>
      </c>
      <c r="H199" s="157" t="s">
        <v>277</v>
      </c>
      <c r="I199" s="121"/>
    </row>
    <row r="200" spans="1:9" s="56" customFormat="1" ht="17.25" x14ac:dyDescent="0.35">
      <c r="A200" s="163" t="s">
        <v>278</v>
      </c>
      <c r="B200" s="11" t="s">
        <v>279</v>
      </c>
      <c r="C200" s="11" t="s">
        <v>71</v>
      </c>
      <c r="D200" s="11"/>
      <c r="E200" s="11"/>
      <c r="F200" s="11"/>
      <c r="G200" s="11" t="s">
        <v>239</v>
      </c>
      <c r="H200" s="157" t="s">
        <v>280</v>
      </c>
      <c r="I200" s="121"/>
    </row>
    <row r="201" spans="1:9" s="56" customFormat="1" ht="17.25" x14ac:dyDescent="0.35">
      <c r="A201" s="163" t="s">
        <v>281</v>
      </c>
      <c r="B201" s="11" t="s">
        <v>282</v>
      </c>
      <c r="C201" s="11" t="s">
        <v>71</v>
      </c>
      <c r="D201" s="11"/>
      <c r="E201" s="11"/>
      <c r="F201" s="11"/>
      <c r="G201" s="11" t="s">
        <v>239</v>
      </c>
      <c r="H201" s="157" t="s">
        <v>283</v>
      </c>
      <c r="I201" s="121"/>
    </row>
    <row r="202" spans="1:9" s="56" customFormat="1" ht="17.25" x14ac:dyDescent="0.35">
      <c r="A202" s="163" t="s">
        <v>284</v>
      </c>
      <c r="B202" s="11" t="s">
        <v>285</v>
      </c>
      <c r="C202" s="11" t="s">
        <v>71</v>
      </c>
      <c r="D202" s="11"/>
      <c r="E202" s="11"/>
      <c r="F202" s="11"/>
      <c r="G202" s="11" t="s">
        <v>239</v>
      </c>
      <c r="H202" s="157" t="s">
        <v>286</v>
      </c>
      <c r="I202" s="121"/>
    </row>
    <row r="203" spans="1:9" s="56" customFormat="1" ht="17.25" x14ac:dyDescent="0.35">
      <c r="A203" s="163" t="s">
        <v>287</v>
      </c>
      <c r="B203" s="11" t="s">
        <v>288</v>
      </c>
      <c r="C203" s="11" t="s">
        <v>71</v>
      </c>
      <c r="D203" s="11"/>
      <c r="E203" s="11"/>
      <c r="F203" s="11"/>
      <c r="G203" s="11" t="s">
        <v>239</v>
      </c>
      <c r="H203" s="157" t="s">
        <v>289</v>
      </c>
      <c r="I203" s="121"/>
    </row>
    <row r="204" spans="1:9" s="56" customFormat="1" ht="17.25" x14ac:dyDescent="0.35">
      <c r="A204" s="163" t="s">
        <v>290</v>
      </c>
      <c r="B204" s="11" t="s">
        <v>291</v>
      </c>
      <c r="C204" s="11" t="s">
        <v>71</v>
      </c>
      <c r="D204" s="11"/>
      <c r="E204" s="11"/>
      <c r="F204" s="11"/>
      <c r="G204" s="11" t="s">
        <v>239</v>
      </c>
      <c r="H204" s="157" t="s">
        <v>292</v>
      </c>
      <c r="I204" s="121"/>
    </row>
    <row r="205" spans="1:9" s="56" customFormat="1" ht="17.25" x14ac:dyDescent="0.35">
      <c r="A205" s="163" t="s">
        <v>293</v>
      </c>
      <c r="B205" s="11" t="s">
        <v>294</v>
      </c>
      <c r="C205" s="11" t="s">
        <v>71</v>
      </c>
      <c r="D205" s="11"/>
      <c r="E205" s="11"/>
      <c r="F205" s="11"/>
      <c r="G205" s="11" t="s">
        <v>239</v>
      </c>
      <c r="H205" s="157" t="s">
        <v>295</v>
      </c>
      <c r="I205" s="121"/>
    </row>
    <row r="206" spans="1:9" s="56" customFormat="1" ht="17.25" x14ac:dyDescent="0.35">
      <c r="A206" s="163" t="s">
        <v>296</v>
      </c>
      <c r="B206" s="11" t="s">
        <v>252</v>
      </c>
      <c r="C206" s="11" t="s">
        <v>71</v>
      </c>
      <c r="D206" s="11"/>
      <c r="E206" s="11"/>
      <c r="F206" s="11"/>
      <c r="G206" s="11" t="s">
        <v>239</v>
      </c>
      <c r="H206" s="157" t="s">
        <v>297</v>
      </c>
      <c r="I206" s="121"/>
    </row>
    <row r="207" spans="1:9" s="56" customFormat="1" ht="51.75" x14ac:dyDescent="0.35">
      <c r="A207" s="163" t="s">
        <v>298</v>
      </c>
      <c r="B207" s="11" t="s">
        <v>253</v>
      </c>
      <c r="C207" s="11" t="s">
        <v>71</v>
      </c>
      <c r="D207" s="11"/>
      <c r="E207" s="11"/>
      <c r="F207" s="11"/>
      <c r="G207" s="11" t="s">
        <v>239</v>
      </c>
      <c r="H207" s="157" t="s">
        <v>299</v>
      </c>
      <c r="I207" s="122" t="s">
        <v>423</v>
      </c>
    </row>
    <row r="208" spans="1:9" s="56" customFormat="1" ht="17.25" x14ac:dyDescent="0.35">
      <c r="A208" s="164" t="s">
        <v>426</v>
      </c>
      <c r="B208" s="11" t="s">
        <v>425</v>
      </c>
      <c r="C208" s="11" t="s">
        <v>71</v>
      </c>
      <c r="D208" s="11"/>
      <c r="E208" s="11"/>
      <c r="F208" s="11"/>
      <c r="G208" s="11" t="s">
        <v>239</v>
      </c>
      <c r="H208" s="157" t="s">
        <v>424</v>
      </c>
      <c r="I208" s="121"/>
    </row>
    <row r="209" spans="1:9" s="56" customFormat="1" ht="17.25" x14ac:dyDescent="0.35">
      <c r="A209" s="163" t="s">
        <v>300</v>
      </c>
      <c r="B209" s="11" t="s">
        <v>301</v>
      </c>
      <c r="C209" s="11" t="s">
        <v>71</v>
      </c>
      <c r="D209" s="11"/>
      <c r="E209" s="11"/>
      <c r="F209" s="11"/>
      <c r="G209" s="11" t="s">
        <v>239</v>
      </c>
      <c r="H209" s="157" t="s">
        <v>302</v>
      </c>
      <c r="I209" s="121">
        <v>65777</v>
      </c>
    </row>
    <row r="210" spans="1:9" s="56" customFormat="1" ht="17.25" x14ac:dyDescent="0.35">
      <c r="A210" s="163" t="s">
        <v>120</v>
      </c>
      <c r="B210" s="11" t="s">
        <v>91</v>
      </c>
      <c r="C210" s="11" t="s">
        <v>90</v>
      </c>
      <c r="D210" s="11"/>
      <c r="E210" s="11"/>
      <c r="F210" s="11"/>
      <c r="G210" s="11"/>
      <c r="H210" s="157"/>
      <c r="I210" s="121" t="s">
        <v>311</v>
      </c>
    </row>
    <row r="211" spans="1:9" s="56" customFormat="1" ht="17.25" x14ac:dyDescent="0.35">
      <c r="A211" s="163" t="s">
        <v>139</v>
      </c>
      <c r="B211" s="11" t="s">
        <v>139</v>
      </c>
      <c r="C211" s="11"/>
      <c r="D211" s="11" t="s">
        <v>69</v>
      </c>
      <c r="E211" s="11">
        <v>1</v>
      </c>
      <c r="F211" s="11">
        <v>0</v>
      </c>
      <c r="G211" s="11"/>
      <c r="H211" s="157"/>
      <c r="I211" s="107">
        <v>66048</v>
      </c>
    </row>
    <row r="212" spans="1:9" s="56" customFormat="1" ht="17.25" x14ac:dyDescent="0.35">
      <c r="A212" s="165" t="s">
        <v>307</v>
      </c>
      <c r="B212" s="11" t="s">
        <v>308</v>
      </c>
      <c r="C212" s="11" t="s">
        <v>90</v>
      </c>
      <c r="D212" s="11"/>
      <c r="E212" s="11"/>
      <c r="F212" s="11"/>
      <c r="G212" s="11" t="s">
        <v>239</v>
      </c>
      <c r="H212" s="157"/>
      <c r="I212" s="107" t="s">
        <v>309</v>
      </c>
    </row>
    <row r="213" spans="1:9" s="56" customFormat="1" ht="17.25" x14ac:dyDescent="0.35">
      <c r="A213" s="165" t="s">
        <v>139</v>
      </c>
      <c r="B213" s="11" t="s">
        <v>139</v>
      </c>
      <c r="C213" s="11"/>
      <c r="D213" s="11" t="s">
        <v>69</v>
      </c>
      <c r="E213" s="11">
        <v>1</v>
      </c>
      <c r="F213" s="11">
        <v>0</v>
      </c>
      <c r="G213" s="11"/>
      <c r="H213" s="157"/>
      <c r="I213" s="117">
        <v>65591</v>
      </c>
    </row>
    <row r="214" spans="1:9" s="56" customFormat="1" ht="17.25" x14ac:dyDescent="0.35">
      <c r="A214" s="166" t="s">
        <v>317</v>
      </c>
      <c r="B214" s="11" t="s">
        <v>318</v>
      </c>
      <c r="C214" s="11" t="s">
        <v>90</v>
      </c>
      <c r="D214" s="11"/>
      <c r="E214" s="11"/>
      <c r="F214" s="11"/>
      <c r="G214" s="11" t="s">
        <v>239</v>
      </c>
      <c r="H214" s="157"/>
      <c r="I214" s="117"/>
    </row>
    <row r="215" spans="1:9" s="56" customFormat="1" ht="17.25" x14ac:dyDescent="0.35">
      <c r="A215" s="166"/>
      <c r="B215" s="11"/>
      <c r="C215" s="11"/>
      <c r="D215" s="11" t="s">
        <v>69</v>
      </c>
      <c r="E215" s="11">
        <v>4</v>
      </c>
      <c r="F215" s="11" t="s">
        <v>84</v>
      </c>
      <c r="G215" s="11"/>
      <c r="H215" s="157"/>
      <c r="I215" s="123">
        <v>66045</v>
      </c>
    </row>
    <row r="216" spans="1:9" s="56" customFormat="1" ht="17.25" x14ac:dyDescent="0.35">
      <c r="A216" s="167" t="s">
        <v>320</v>
      </c>
      <c r="B216" s="11" t="s">
        <v>321</v>
      </c>
      <c r="C216" s="11" t="s">
        <v>90</v>
      </c>
      <c r="D216" s="11"/>
      <c r="E216" s="11"/>
      <c r="F216" s="11"/>
      <c r="G216" s="11" t="s">
        <v>79</v>
      </c>
      <c r="H216" s="157"/>
      <c r="I216" s="123"/>
    </row>
    <row r="217" spans="1:9" s="56" customFormat="1" ht="17.25" x14ac:dyDescent="0.35">
      <c r="A217" s="167"/>
      <c r="B217" s="11"/>
      <c r="C217" s="11"/>
      <c r="D217" s="11" t="s">
        <v>69</v>
      </c>
      <c r="E217" s="11">
        <v>1</v>
      </c>
      <c r="F217" s="11">
        <v>1</v>
      </c>
      <c r="G217" s="11"/>
      <c r="H217" s="157"/>
      <c r="I217" s="117">
        <v>65674</v>
      </c>
    </row>
    <row r="218" spans="1:9" s="56" customFormat="1" ht="17.25" x14ac:dyDescent="0.35">
      <c r="A218" s="166" t="s">
        <v>336</v>
      </c>
      <c r="B218" s="11" t="s">
        <v>337</v>
      </c>
      <c r="C218" s="11" t="s">
        <v>90</v>
      </c>
      <c r="D218" s="11"/>
      <c r="E218" s="11"/>
      <c r="F218" s="11"/>
      <c r="G218" s="11" t="s">
        <v>79</v>
      </c>
      <c r="H218" s="157"/>
      <c r="I218" s="117">
        <v>67270</v>
      </c>
    </row>
    <row r="219" spans="1:9" s="56" customFormat="1" ht="17.25" x14ac:dyDescent="0.35">
      <c r="A219" s="166"/>
      <c r="B219" s="11"/>
      <c r="C219" s="11"/>
      <c r="D219" s="11" t="s">
        <v>69</v>
      </c>
      <c r="E219" s="11">
        <v>1</v>
      </c>
      <c r="F219" s="11">
        <v>1</v>
      </c>
      <c r="G219" s="11"/>
      <c r="H219" s="157"/>
      <c r="I219" s="117"/>
    </row>
    <row r="220" spans="1:9" s="56" customFormat="1" ht="17.25" x14ac:dyDescent="0.35">
      <c r="A220" s="166" t="s">
        <v>329</v>
      </c>
      <c r="B220" s="11" t="s">
        <v>330</v>
      </c>
      <c r="C220" s="11" t="s">
        <v>90</v>
      </c>
      <c r="D220" s="11"/>
      <c r="E220" s="11"/>
      <c r="F220" s="11"/>
      <c r="G220" s="11" t="s">
        <v>239</v>
      </c>
      <c r="H220" s="157"/>
      <c r="I220" s="117">
        <v>72538</v>
      </c>
    </row>
    <row r="221" spans="1:9" s="56" customFormat="1" ht="17.25" x14ac:dyDescent="0.35">
      <c r="A221" s="166"/>
      <c r="B221" s="11"/>
      <c r="C221" s="11"/>
      <c r="D221" s="11" t="s">
        <v>69</v>
      </c>
      <c r="E221" s="11">
        <v>2</v>
      </c>
      <c r="F221" s="11">
        <v>300</v>
      </c>
      <c r="G221" s="11"/>
      <c r="H221" s="157"/>
      <c r="I221" s="117"/>
    </row>
    <row r="222" spans="1:9" s="56" customFormat="1" ht="17.25" x14ac:dyDescent="0.35">
      <c r="A222" s="166"/>
      <c r="B222" s="11"/>
      <c r="C222" s="11"/>
      <c r="D222" s="11" t="s">
        <v>69</v>
      </c>
      <c r="E222" s="11">
        <v>2</v>
      </c>
      <c r="F222" s="11">
        <v>10</v>
      </c>
      <c r="G222" s="11"/>
      <c r="H222" s="157"/>
      <c r="I222" s="117"/>
    </row>
    <row r="223" spans="1:9" s="56" customFormat="1" ht="17.25" x14ac:dyDescent="0.35">
      <c r="A223" s="167" t="s">
        <v>331</v>
      </c>
      <c r="B223" s="11" t="s">
        <v>332</v>
      </c>
      <c r="C223" s="11" t="s">
        <v>90</v>
      </c>
      <c r="D223" s="11"/>
      <c r="E223" s="11"/>
      <c r="F223" s="11"/>
      <c r="G223" s="11"/>
      <c r="H223" s="157"/>
      <c r="I223" s="123">
        <v>72608</v>
      </c>
    </row>
    <row r="224" spans="1:9" s="56" customFormat="1" ht="16.5" customHeight="1" x14ac:dyDescent="0.35">
      <c r="A224" s="167"/>
      <c r="B224" s="11"/>
      <c r="C224" s="11"/>
      <c r="D224" s="11" t="s">
        <v>69</v>
      </c>
      <c r="E224" s="11">
        <v>1</v>
      </c>
      <c r="F224" s="11">
        <v>1</v>
      </c>
      <c r="G224" s="11"/>
      <c r="H224" s="157"/>
      <c r="I224" s="123" t="s">
        <v>333</v>
      </c>
    </row>
    <row r="225" spans="1:11" s="56" customFormat="1" ht="16.5" customHeight="1" x14ac:dyDescent="0.35">
      <c r="A225" s="167"/>
      <c r="B225" s="11"/>
      <c r="C225" s="11"/>
      <c r="D225" s="11" t="s">
        <v>69</v>
      </c>
      <c r="E225" s="11">
        <v>2</v>
      </c>
      <c r="F225" s="11">
        <v>900</v>
      </c>
      <c r="G225" s="11"/>
      <c r="H225" s="157"/>
      <c r="I225" s="123" t="s">
        <v>334</v>
      </c>
    </row>
    <row r="226" spans="1:11" s="56" customFormat="1" ht="16.5" customHeight="1" x14ac:dyDescent="0.35">
      <c r="A226" s="167"/>
      <c r="B226" s="11"/>
      <c r="C226" s="11"/>
      <c r="D226" s="11" t="s">
        <v>69</v>
      </c>
      <c r="E226" s="11">
        <v>2</v>
      </c>
      <c r="F226" s="11">
        <v>100</v>
      </c>
      <c r="G226" s="11"/>
      <c r="H226" s="157"/>
      <c r="I226" s="123" t="s">
        <v>335</v>
      </c>
    </row>
    <row r="227" spans="1:11" s="56" customFormat="1" ht="17.25" x14ac:dyDescent="0.35">
      <c r="A227" s="166" t="s">
        <v>343</v>
      </c>
      <c r="B227" s="11" t="s">
        <v>342</v>
      </c>
      <c r="C227" s="11" t="s">
        <v>90</v>
      </c>
      <c r="D227" s="11"/>
      <c r="E227" s="11"/>
      <c r="F227" s="11"/>
      <c r="G227" s="11" t="s">
        <v>239</v>
      </c>
      <c r="H227" s="157"/>
      <c r="I227" s="117" t="s">
        <v>344</v>
      </c>
    </row>
    <row r="228" spans="1:11" s="145" customFormat="1" ht="17.25" x14ac:dyDescent="0.35">
      <c r="A228" s="166"/>
      <c r="B228" s="11"/>
      <c r="C228" s="11"/>
      <c r="D228" s="11" t="s">
        <v>69</v>
      </c>
      <c r="E228" s="11">
        <v>1</v>
      </c>
      <c r="F228" s="11">
        <v>0</v>
      </c>
      <c r="G228" s="11"/>
      <c r="H228" s="157"/>
      <c r="I228" s="117"/>
      <c r="J228" s="56"/>
      <c r="K228" s="56"/>
    </row>
    <row r="229" spans="1:11" s="145" customFormat="1" ht="17.25" x14ac:dyDescent="0.35">
      <c r="A229" s="166" t="s">
        <v>345</v>
      </c>
      <c r="B229" s="11" t="s">
        <v>346</v>
      </c>
      <c r="C229" s="11" t="s">
        <v>90</v>
      </c>
      <c r="D229" s="11"/>
      <c r="E229" s="11"/>
      <c r="F229" s="11"/>
      <c r="G229" s="11" t="s">
        <v>239</v>
      </c>
      <c r="H229" s="157"/>
      <c r="I229" s="117">
        <v>72539</v>
      </c>
      <c r="J229" s="56"/>
      <c r="K229" s="56"/>
    </row>
    <row r="230" spans="1:11" s="145" customFormat="1" ht="17.25" x14ac:dyDescent="0.35">
      <c r="A230" s="166"/>
      <c r="B230" s="11"/>
      <c r="C230" s="11"/>
      <c r="D230" s="11" t="s">
        <v>69</v>
      </c>
      <c r="E230" s="11">
        <v>1</v>
      </c>
      <c r="F230" s="11">
        <v>1</v>
      </c>
      <c r="G230" s="11"/>
      <c r="H230" s="157"/>
      <c r="I230" s="117"/>
      <c r="J230" s="56"/>
      <c r="K230" s="56"/>
    </row>
    <row r="231" spans="1:11" s="56" customFormat="1" ht="16.5" customHeight="1" x14ac:dyDescent="0.35">
      <c r="A231" s="165" t="s">
        <v>362</v>
      </c>
      <c r="B231" s="11" t="s">
        <v>363</v>
      </c>
      <c r="C231" s="11" t="s">
        <v>90</v>
      </c>
      <c r="D231" s="11"/>
      <c r="E231" s="11"/>
      <c r="F231" s="11"/>
      <c r="G231" s="11" t="s">
        <v>239</v>
      </c>
      <c r="H231" s="157"/>
      <c r="I231" s="107">
        <v>72614</v>
      </c>
    </row>
    <row r="232" spans="1:11" s="56" customFormat="1" ht="17.25" x14ac:dyDescent="0.35">
      <c r="A232" s="166"/>
      <c r="B232" s="11"/>
      <c r="C232" s="11"/>
      <c r="D232" s="11" t="s">
        <v>69</v>
      </c>
      <c r="E232" s="11">
        <v>1</v>
      </c>
      <c r="F232" s="11">
        <v>1</v>
      </c>
      <c r="G232" s="11"/>
      <c r="H232" s="157"/>
      <c r="I232" s="117" t="s">
        <v>364</v>
      </c>
    </row>
    <row r="233" spans="1:11" s="146" customFormat="1" ht="17.25" x14ac:dyDescent="0.35">
      <c r="A233" s="166" t="s">
        <v>457</v>
      </c>
      <c r="B233" s="11" t="s">
        <v>458</v>
      </c>
      <c r="C233" s="11" t="s">
        <v>90</v>
      </c>
      <c r="D233" s="11"/>
      <c r="E233" s="11"/>
      <c r="F233" s="11"/>
      <c r="G233" s="11" t="s">
        <v>239</v>
      </c>
      <c r="H233" s="157"/>
      <c r="I233" s="117">
        <v>73616</v>
      </c>
      <c r="J233" s="81"/>
      <c r="K233" s="81"/>
    </row>
    <row r="234" spans="1:11" s="147" customFormat="1" ht="17.25" x14ac:dyDescent="0.35">
      <c r="A234" s="166"/>
      <c r="B234" s="11"/>
      <c r="C234" s="11"/>
      <c r="D234" s="11" t="s">
        <v>69</v>
      </c>
      <c r="E234" s="11">
        <v>1</v>
      </c>
      <c r="F234" s="11">
        <v>1</v>
      </c>
      <c r="G234" s="11"/>
      <c r="H234" s="157"/>
      <c r="I234" s="117"/>
      <c r="J234" s="56"/>
      <c r="K234" s="56"/>
    </row>
    <row r="235" spans="1:11" s="26" customFormat="1" ht="17.25" x14ac:dyDescent="0.35">
      <c r="A235" s="318" t="s">
        <v>519</v>
      </c>
      <c r="B235" s="299" t="s">
        <v>520</v>
      </c>
      <c r="C235" s="299" t="s">
        <v>71</v>
      </c>
      <c r="D235" s="299"/>
      <c r="E235" s="299"/>
      <c r="F235" s="299"/>
      <c r="G235" s="299" t="s">
        <v>239</v>
      </c>
      <c r="H235" s="300" t="s">
        <v>1234</v>
      </c>
      <c r="I235" s="117">
        <v>73596</v>
      </c>
    </row>
    <row r="236" spans="1:11" s="147" customFormat="1" ht="17.25" x14ac:dyDescent="0.35">
      <c r="A236" s="166" t="s">
        <v>386</v>
      </c>
      <c r="B236" s="11" t="s">
        <v>387</v>
      </c>
      <c r="C236" s="11" t="s">
        <v>90</v>
      </c>
      <c r="D236" s="11"/>
      <c r="E236" s="11"/>
      <c r="F236" s="11"/>
      <c r="G236" s="11" t="s">
        <v>239</v>
      </c>
      <c r="H236" s="157"/>
      <c r="I236" s="117">
        <v>67221</v>
      </c>
      <c r="J236" s="56"/>
      <c r="K236" s="56"/>
    </row>
    <row r="237" spans="1:11" s="147" customFormat="1" ht="17.25" x14ac:dyDescent="0.35">
      <c r="A237" s="166"/>
      <c r="B237" s="11"/>
      <c r="C237" s="11"/>
      <c r="D237" s="11" t="s">
        <v>388</v>
      </c>
      <c r="E237" s="11">
        <v>1</v>
      </c>
      <c r="F237" s="11" t="s">
        <v>389</v>
      </c>
      <c r="G237" s="11"/>
      <c r="H237" s="157"/>
      <c r="I237" s="117"/>
      <c r="J237" s="56"/>
      <c r="K237" s="56"/>
    </row>
    <row r="238" spans="1:11" s="56" customFormat="1" ht="17.25" x14ac:dyDescent="0.35">
      <c r="A238" s="166" t="s">
        <v>390</v>
      </c>
      <c r="B238" s="11" t="s">
        <v>391</v>
      </c>
      <c r="C238" s="11" t="s">
        <v>90</v>
      </c>
      <c r="D238" s="11"/>
      <c r="E238" s="11"/>
      <c r="F238" s="11"/>
      <c r="G238" s="11" t="s">
        <v>239</v>
      </c>
      <c r="H238" s="157"/>
      <c r="I238" s="117">
        <v>70242</v>
      </c>
    </row>
    <row r="239" spans="1:11" s="56" customFormat="1" ht="17.25" x14ac:dyDescent="0.35">
      <c r="A239" s="166"/>
      <c r="B239" s="11"/>
      <c r="C239" s="11"/>
      <c r="D239" s="11" t="s">
        <v>69</v>
      </c>
      <c r="E239" s="11">
        <v>1</v>
      </c>
      <c r="F239" s="11">
        <v>0</v>
      </c>
      <c r="G239" s="11"/>
      <c r="H239" s="157"/>
      <c r="I239" s="117"/>
    </row>
    <row r="240" spans="1:11" s="56" customFormat="1" ht="17.25" x14ac:dyDescent="0.35">
      <c r="A240" s="166" t="s">
        <v>392</v>
      </c>
      <c r="B240" s="11" t="s">
        <v>393</v>
      </c>
      <c r="C240" s="11" t="s">
        <v>90</v>
      </c>
      <c r="D240" s="11"/>
      <c r="E240" s="11"/>
      <c r="F240" s="11"/>
      <c r="G240" s="11" t="s">
        <v>239</v>
      </c>
      <c r="H240" s="157"/>
      <c r="I240" s="117">
        <v>69736</v>
      </c>
    </row>
    <row r="241" spans="1:9" s="56" customFormat="1" ht="17.25" x14ac:dyDescent="0.35">
      <c r="A241" s="166"/>
      <c r="B241" s="11"/>
      <c r="C241" s="11"/>
      <c r="D241" s="11" t="s">
        <v>69</v>
      </c>
      <c r="E241" s="11">
        <v>1</v>
      </c>
      <c r="F241" s="11">
        <v>1</v>
      </c>
      <c r="G241" s="11"/>
      <c r="H241" s="157"/>
      <c r="I241" s="117"/>
    </row>
    <row r="242" spans="1:9" s="141" customFormat="1" ht="17.25" x14ac:dyDescent="0.35">
      <c r="A242" s="166" t="s">
        <v>394</v>
      </c>
      <c r="B242" s="11" t="s">
        <v>395</v>
      </c>
      <c r="C242" s="11" t="s">
        <v>90</v>
      </c>
      <c r="D242" s="11"/>
      <c r="E242" s="11"/>
      <c r="F242" s="11"/>
      <c r="G242" s="11" t="s">
        <v>239</v>
      </c>
      <c r="H242" s="157"/>
      <c r="I242" s="117">
        <v>69737</v>
      </c>
    </row>
    <row r="243" spans="1:9" s="141" customFormat="1" ht="17.25" x14ac:dyDescent="0.35">
      <c r="A243" s="166"/>
      <c r="B243" s="11"/>
      <c r="C243" s="11"/>
      <c r="D243" s="11" t="s">
        <v>396</v>
      </c>
      <c r="E243" s="11">
        <v>1</v>
      </c>
      <c r="F243" s="11" t="s">
        <v>397</v>
      </c>
      <c r="G243" s="11"/>
      <c r="H243" s="157"/>
      <c r="I243" s="117"/>
    </row>
    <row r="244" spans="1:9" s="141" customFormat="1" ht="17.25" x14ac:dyDescent="0.35">
      <c r="A244" s="166" t="s">
        <v>400</v>
      </c>
      <c r="B244" s="11" t="s">
        <v>401</v>
      </c>
      <c r="C244" s="11" t="s">
        <v>90</v>
      </c>
      <c r="D244" s="11"/>
      <c r="E244" s="11"/>
      <c r="F244" s="11"/>
      <c r="G244" s="11" t="s">
        <v>239</v>
      </c>
      <c r="H244" s="157"/>
      <c r="I244" s="117"/>
    </row>
    <row r="245" spans="1:9" s="141" customFormat="1" ht="17.25" x14ac:dyDescent="0.35">
      <c r="A245" s="166"/>
      <c r="B245" s="11"/>
      <c r="C245" s="11"/>
      <c r="D245" s="11" t="s">
        <v>69</v>
      </c>
      <c r="E245" s="11">
        <v>1</v>
      </c>
      <c r="F245" s="11">
        <v>1</v>
      </c>
      <c r="G245" s="11"/>
      <c r="H245" s="157"/>
      <c r="I245" s="117"/>
    </row>
    <row r="246" spans="1:9" s="141" customFormat="1" ht="17.25" x14ac:dyDescent="0.35">
      <c r="A246" s="166" t="s">
        <v>376</v>
      </c>
      <c r="B246" s="11" t="s">
        <v>377</v>
      </c>
      <c r="C246" s="11" t="s">
        <v>71</v>
      </c>
      <c r="D246" s="11"/>
      <c r="E246" s="11"/>
      <c r="F246" s="11"/>
      <c r="G246" s="11" t="s">
        <v>239</v>
      </c>
      <c r="H246" s="157" t="s">
        <v>378</v>
      </c>
      <c r="I246" s="117">
        <v>67211</v>
      </c>
    </row>
    <row r="247" spans="1:9" s="149" customFormat="1" ht="17.25" x14ac:dyDescent="0.35">
      <c r="A247" s="161" t="s">
        <v>566</v>
      </c>
      <c r="B247" s="245" t="s">
        <v>567</v>
      </c>
      <c r="C247" s="245" t="s">
        <v>71</v>
      </c>
      <c r="D247" s="245"/>
      <c r="E247" s="245"/>
      <c r="F247" s="245"/>
      <c r="G247" s="245" t="s">
        <v>239</v>
      </c>
      <c r="H247" s="246" t="s">
        <v>568</v>
      </c>
      <c r="I247" s="106"/>
    </row>
    <row r="248" spans="1:9" s="149" customFormat="1" ht="17.25" x14ac:dyDescent="0.35">
      <c r="A248" s="318" t="s">
        <v>1150</v>
      </c>
      <c r="B248" s="299" t="s">
        <v>1151</v>
      </c>
      <c r="C248" s="299" t="s">
        <v>71</v>
      </c>
      <c r="D248" s="124"/>
      <c r="E248" s="124"/>
      <c r="F248" s="124"/>
      <c r="G248" s="299" t="s">
        <v>239</v>
      </c>
      <c r="H248" s="300" t="s">
        <v>1160</v>
      </c>
      <c r="I248" s="120" t="s">
        <v>1152</v>
      </c>
    </row>
    <row r="249" spans="1:9" s="149" customFormat="1" ht="17.25" x14ac:dyDescent="0.35">
      <c r="A249" s="318" t="s">
        <v>1153</v>
      </c>
      <c r="B249" s="299" t="s">
        <v>1154</v>
      </c>
      <c r="C249" s="299" t="s">
        <v>71</v>
      </c>
      <c r="D249" s="124"/>
      <c r="E249" s="124"/>
      <c r="F249" s="124"/>
      <c r="G249" s="299" t="s">
        <v>239</v>
      </c>
      <c r="H249" s="300" t="s">
        <v>1161</v>
      </c>
      <c r="I249" s="120" t="s">
        <v>1152</v>
      </c>
    </row>
    <row r="250" spans="1:9" s="149" customFormat="1" ht="17.25" x14ac:dyDescent="0.35">
      <c r="A250" s="318" t="s">
        <v>1155</v>
      </c>
      <c r="B250" s="299" t="s">
        <v>1156</v>
      </c>
      <c r="C250" s="299" t="s">
        <v>71</v>
      </c>
      <c r="D250" s="124"/>
      <c r="E250" s="124"/>
      <c r="F250" s="124"/>
      <c r="G250" s="299" t="s">
        <v>239</v>
      </c>
      <c r="H250" s="300" t="s">
        <v>1162</v>
      </c>
      <c r="I250" s="120" t="s">
        <v>1152</v>
      </c>
    </row>
    <row r="251" spans="1:9" s="149" customFormat="1" ht="17.25" x14ac:dyDescent="0.35">
      <c r="A251" s="318" t="s">
        <v>1157</v>
      </c>
      <c r="B251" s="299" t="s">
        <v>1158</v>
      </c>
      <c r="C251" s="299" t="s">
        <v>71</v>
      </c>
      <c r="D251" s="124"/>
      <c r="E251" s="124"/>
      <c r="F251" s="124"/>
      <c r="G251" s="299" t="s">
        <v>239</v>
      </c>
      <c r="H251" s="300" t="s">
        <v>1163</v>
      </c>
      <c r="I251" s="120" t="s">
        <v>1159</v>
      </c>
    </row>
    <row r="252" spans="1:9" s="149" customFormat="1" ht="17.25" x14ac:dyDescent="0.35">
      <c r="A252" s="161" t="s">
        <v>500</v>
      </c>
      <c r="B252" s="245" t="s">
        <v>527</v>
      </c>
      <c r="C252" s="245" t="s">
        <v>71</v>
      </c>
      <c r="D252" s="245"/>
      <c r="E252" s="245"/>
      <c r="F252" s="245"/>
      <c r="G252" s="245" t="s">
        <v>239</v>
      </c>
      <c r="H252" s="246" t="s">
        <v>501</v>
      </c>
      <c r="I252" s="106" t="s">
        <v>569</v>
      </c>
    </row>
    <row r="253" spans="1:9" s="149" customFormat="1" ht="17.25" x14ac:dyDescent="0.35">
      <c r="A253" s="161" t="s">
        <v>502</v>
      </c>
      <c r="B253" s="245" t="s">
        <v>528</v>
      </c>
      <c r="C253" s="245" t="s">
        <v>71</v>
      </c>
      <c r="D253" s="245"/>
      <c r="E253" s="245"/>
      <c r="F253" s="245"/>
      <c r="G253" s="245" t="s">
        <v>239</v>
      </c>
      <c r="H253" s="246" t="s">
        <v>503</v>
      </c>
      <c r="I253" s="106" t="s">
        <v>569</v>
      </c>
    </row>
    <row r="254" spans="1:9" s="149" customFormat="1" ht="17.25" x14ac:dyDescent="0.35">
      <c r="A254" s="161" t="s">
        <v>570</v>
      </c>
      <c r="B254" s="245" t="s">
        <v>571</v>
      </c>
      <c r="C254" s="245" t="s">
        <v>71</v>
      </c>
      <c r="D254" s="245"/>
      <c r="E254" s="245"/>
      <c r="F254" s="245"/>
      <c r="G254" s="245" t="s">
        <v>239</v>
      </c>
      <c r="H254" s="246" t="s">
        <v>572</v>
      </c>
      <c r="I254" s="106" t="s">
        <v>1170</v>
      </c>
    </row>
    <row r="255" spans="1:9" s="149" customFormat="1" ht="17.25" x14ac:dyDescent="0.35">
      <c r="A255" s="318" t="s">
        <v>1164</v>
      </c>
      <c r="B255" s="299" t="s">
        <v>1166</v>
      </c>
      <c r="C255" s="299" t="s">
        <v>71</v>
      </c>
      <c r="D255" s="299"/>
      <c r="E255" s="299"/>
      <c r="F255" s="299"/>
      <c r="G255" s="299" t="s">
        <v>239</v>
      </c>
      <c r="H255" s="246" t="s">
        <v>1168</v>
      </c>
      <c r="I255" s="117" t="s">
        <v>1171</v>
      </c>
    </row>
    <row r="256" spans="1:9" s="149" customFormat="1" ht="17.25" x14ac:dyDescent="0.35">
      <c r="A256" s="318" t="s">
        <v>1165</v>
      </c>
      <c r="B256" s="299" t="s">
        <v>1167</v>
      </c>
      <c r="C256" s="299" t="s">
        <v>71</v>
      </c>
      <c r="D256" s="299"/>
      <c r="E256" s="299"/>
      <c r="F256" s="299"/>
      <c r="G256" s="299" t="s">
        <v>239</v>
      </c>
      <c r="H256" s="246" t="s">
        <v>1169</v>
      </c>
      <c r="I256" s="117" t="s">
        <v>573</v>
      </c>
    </row>
    <row r="257" spans="1:11" s="149" customFormat="1" ht="17.25" x14ac:dyDescent="0.35">
      <c r="A257" s="161" t="s">
        <v>574</v>
      </c>
      <c r="B257" s="245" t="s">
        <v>575</v>
      </c>
      <c r="C257" s="245" t="s">
        <v>71</v>
      </c>
      <c r="D257" s="245"/>
      <c r="E257" s="245"/>
      <c r="F257" s="245"/>
      <c r="G257" s="245" t="s">
        <v>239</v>
      </c>
      <c r="H257" s="246" t="s">
        <v>576</v>
      </c>
      <c r="I257" s="106" t="s">
        <v>569</v>
      </c>
    </row>
    <row r="258" spans="1:11" s="149" customFormat="1" ht="17.25" x14ac:dyDescent="0.35">
      <c r="A258" s="161" t="s">
        <v>504</v>
      </c>
      <c r="B258" s="245" t="s">
        <v>529</v>
      </c>
      <c r="C258" s="245" t="s">
        <v>71</v>
      </c>
      <c r="D258" s="245"/>
      <c r="E258" s="245"/>
      <c r="F258" s="245"/>
      <c r="G258" s="245" t="s">
        <v>239</v>
      </c>
      <c r="H258" s="246" t="s">
        <v>375</v>
      </c>
      <c r="I258" s="106" t="s">
        <v>573</v>
      </c>
    </row>
    <row r="259" spans="1:11" s="141" customFormat="1" ht="17.25" x14ac:dyDescent="0.35">
      <c r="A259" s="165" t="s">
        <v>379</v>
      </c>
      <c r="B259" s="11" t="s">
        <v>380</v>
      </c>
      <c r="C259" s="11" t="s">
        <v>71</v>
      </c>
      <c r="D259" s="11"/>
      <c r="E259" s="11"/>
      <c r="F259" s="11"/>
      <c r="G259" s="11" t="s">
        <v>239</v>
      </c>
      <c r="H259" s="157" t="s">
        <v>381</v>
      </c>
      <c r="I259" s="130" t="s">
        <v>470</v>
      </c>
    </row>
    <row r="260" spans="1:11" s="56" customFormat="1" ht="17.25" x14ac:dyDescent="0.35">
      <c r="A260" s="165" t="s">
        <v>382</v>
      </c>
      <c r="B260" s="11" t="s">
        <v>383</v>
      </c>
      <c r="C260" s="11" t="s">
        <v>71</v>
      </c>
      <c r="D260" s="11"/>
      <c r="E260" s="11"/>
      <c r="F260" s="11"/>
      <c r="G260" s="11" t="s">
        <v>239</v>
      </c>
      <c r="H260" s="157" t="s">
        <v>384</v>
      </c>
      <c r="I260" s="107" t="s">
        <v>385</v>
      </c>
    </row>
    <row r="261" spans="1:11" s="56" customFormat="1" ht="17.25" x14ac:dyDescent="0.35">
      <c r="A261" s="244" t="s">
        <v>521</v>
      </c>
      <c r="B261" s="11" t="s">
        <v>522</v>
      </c>
      <c r="C261" s="79" t="s">
        <v>71</v>
      </c>
      <c r="D261" s="79"/>
      <c r="E261" s="11"/>
      <c r="F261" s="79"/>
      <c r="G261" s="11" t="s">
        <v>239</v>
      </c>
      <c r="H261" s="157" t="s">
        <v>523</v>
      </c>
      <c r="I261" s="214"/>
    </row>
    <row r="262" spans="1:11" s="56" customFormat="1" ht="17.25" x14ac:dyDescent="0.35">
      <c r="A262" s="166" t="s">
        <v>544</v>
      </c>
      <c r="B262" s="11" t="s">
        <v>545</v>
      </c>
      <c r="C262" s="11" t="s">
        <v>90</v>
      </c>
      <c r="D262" s="11"/>
      <c r="E262" s="11"/>
      <c r="F262" s="11"/>
      <c r="G262" s="11" t="s">
        <v>79</v>
      </c>
      <c r="H262" s="157"/>
      <c r="I262" s="117">
        <v>69681</v>
      </c>
    </row>
    <row r="263" spans="1:11" s="56" customFormat="1" ht="17.25" x14ac:dyDescent="0.35">
      <c r="A263" s="166"/>
      <c r="B263" s="11"/>
      <c r="C263" s="11"/>
      <c r="D263" s="11" t="s">
        <v>69</v>
      </c>
      <c r="E263" s="11">
        <v>2</v>
      </c>
      <c r="F263" s="11">
        <v>25</v>
      </c>
      <c r="G263" s="11"/>
      <c r="H263" s="157"/>
      <c r="I263" s="117"/>
    </row>
    <row r="264" spans="1:11" s="56" customFormat="1" ht="17.25" x14ac:dyDescent="0.35">
      <c r="A264" s="159" t="s">
        <v>409</v>
      </c>
      <c r="B264" s="11" t="s">
        <v>408</v>
      </c>
      <c r="C264" s="11" t="s">
        <v>90</v>
      </c>
      <c r="D264" s="11"/>
      <c r="E264" s="11"/>
      <c r="F264" s="11"/>
      <c r="G264" s="11" t="s">
        <v>79</v>
      </c>
      <c r="H264" s="157"/>
      <c r="I264" s="107" t="s">
        <v>385</v>
      </c>
    </row>
    <row r="265" spans="1:11" s="56" customFormat="1" ht="17.25" x14ac:dyDescent="0.35">
      <c r="A265" s="159"/>
      <c r="B265" s="11"/>
      <c r="C265" s="11"/>
      <c r="D265" s="11" t="s">
        <v>69</v>
      </c>
      <c r="E265" s="11">
        <v>1</v>
      </c>
      <c r="F265" s="11">
        <v>1</v>
      </c>
      <c r="G265" s="11"/>
      <c r="H265" s="157"/>
      <c r="I265" s="100">
        <v>73561</v>
      </c>
    </row>
    <row r="266" spans="1:11" s="56" customFormat="1" ht="17.25" x14ac:dyDescent="0.35">
      <c r="A266" s="273" t="s">
        <v>1148</v>
      </c>
      <c r="B266" s="124" t="s">
        <v>1149</v>
      </c>
      <c r="C266" s="299" t="s">
        <v>90</v>
      </c>
      <c r="D266" s="124"/>
      <c r="E266" s="124"/>
      <c r="F266" s="124"/>
      <c r="G266" s="299" t="s">
        <v>239</v>
      </c>
      <c r="H266" s="272"/>
      <c r="I266" s="120">
        <v>70315</v>
      </c>
    </row>
    <row r="267" spans="1:11" s="56" customFormat="1" ht="17.25" x14ac:dyDescent="0.35">
      <c r="A267" s="273"/>
      <c r="B267" s="124"/>
      <c r="C267" s="124"/>
      <c r="D267" s="299" t="s">
        <v>69</v>
      </c>
      <c r="E267" s="299">
        <v>1</v>
      </c>
      <c r="F267" s="299">
        <v>2</v>
      </c>
      <c r="G267" s="124"/>
      <c r="H267" s="272"/>
      <c r="I267" s="120"/>
    </row>
    <row r="268" spans="1:11" s="56" customFormat="1" ht="17.25" x14ac:dyDescent="0.35">
      <c r="A268" s="159" t="s">
        <v>511</v>
      </c>
      <c r="B268" s="11" t="s">
        <v>512</v>
      </c>
      <c r="C268" s="11" t="s">
        <v>71</v>
      </c>
      <c r="D268" s="11"/>
      <c r="E268" s="11"/>
      <c r="F268" s="11"/>
      <c r="G268" s="11" t="s">
        <v>239</v>
      </c>
      <c r="H268" s="157" t="s">
        <v>515</v>
      </c>
      <c r="I268" s="107">
        <v>72541</v>
      </c>
    </row>
    <row r="269" spans="1:11" s="56" customFormat="1" ht="17.25" x14ac:dyDescent="0.35">
      <c r="A269" s="159" t="s">
        <v>513</v>
      </c>
      <c r="B269" s="11" t="s">
        <v>514</v>
      </c>
      <c r="C269" s="11" t="s">
        <v>71</v>
      </c>
      <c r="D269" s="11"/>
      <c r="E269" s="11"/>
      <c r="F269" s="11"/>
      <c r="G269" s="11" t="s">
        <v>239</v>
      </c>
      <c r="H269" s="157" t="s">
        <v>516</v>
      </c>
      <c r="I269" s="107">
        <v>71524</v>
      </c>
    </row>
    <row r="270" spans="1:11" s="141" customFormat="1" ht="17.25" x14ac:dyDescent="0.35">
      <c r="A270" s="161" t="s">
        <v>555</v>
      </c>
      <c r="B270" s="11" t="s">
        <v>556</v>
      </c>
      <c r="C270" s="79" t="s">
        <v>1247</v>
      </c>
      <c r="D270" s="79"/>
      <c r="E270" s="11"/>
      <c r="F270" s="79"/>
      <c r="G270" s="11" t="s">
        <v>239</v>
      </c>
      <c r="H270" s="157" t="s">
        <v>557</v>
      </c>
      <c r="I270" s="152">
        <v>73755</v>
      </c>
      <c r="J270" s="81"/>
      <c r="K270" s="81"/>
    </row>
    <row r="271" spans="1:11" s="56" customFormat="1" ht="18" thickBot="1" x14ac:dyDescent="0.4">
      <c r="A271" s="266"/>
      <c r="B271" s="131"/>
      <c r="C271" s="132"/>
      <c r="D271" s="131"/>
      <c r="E271" s="131"/>
      <c r="F271" s="132"/>
      <c r="G271" s="132"/>
      <c r="H271" s="248"/>
      <c r="I271" s="265"/>
    </row>
    <row r="272" spans="1:11" s="26" customFormat="1" ht="17.25" x14ac:dyDescent="0.35">
      <c r="A272" s="339" t="s">
        <v>630</v>
      </c>
      <c r="B272" s="340" t="s">
        <v>631</v>
      </c>
      <c r="C272" s="341" t="s">
        <v>90</v>
      </c>
      <c r="D272" s="341"/>
      <c r="E272" s="341"/>
      <c r="F272" s="341"/>
      <c r="G272" s="342" t="s">
        <v>239</v>
      </c>
      <c r="H272" s="343"/>
      <c r="I272" s="344">
        <v>67261</v>
      </c>
      <c r="J272" s="13"/>
    </row>
    <row r="273" spans="1:11" s="26" customFormat="1" ht="17.25" x14ac:dyDescent="0.35">
      <c r="A273" s="345"/>
      <c r="B273" s="340"/>
      <c r="C273" s="341"/>
      <c r="D273" s="341" t="s">
        <v>69</v>
      </c>
      <c r="E273" s="341">
        <v>2</v>
      </c>
      <c r="F273" s="341">
        <v>0</v>
      </c>
      <c r="G273" s="342"/>
      <c r="H273" s="343"/>
      <c r="I273" s="344" t="s">
        <v>632</v>
      </c>
    </row>
    <row r="274" spans="1:11" s="26" customFormat="1" ht="17.25" x14ac:dyDescent="0.35">
      <c r="A274" s="345"/>
      <c r="B274" s="340"/>
      <c r="C274" s="341"/>
      <c r="D274" s="341" t="s">
        <v>69</v>
      </c>
      <c r="E274" s="341">
        <v>2</v>
      </c>
      <c r="F274" s="341">
        <v>0</v>
      </c>
      <c r="G274" s="342"/>
      <c r="H274" s="343"/>
      <c r="I274" s="344" t="s">
        <v>1145</v>
      </c>
    </row>
    <row r="275" spans="1:11" s="26" customFormat="1" ht="17.25" x14ac:dyDescent="0.35">
      <c r="A275" s="345"/>
      <c r="B275" s="340"/>
      <c r="C275" s="341"/>
      <c r="D275" s="341" t="s">
        <v>69</v>
      </c>
      <c r="E275" s="341">
        <v>1</v>
      </c>
      <c r="F275" s="341">
        <v>0</v>
      </c>
      <c r="G275" s="342"/>
      <c r="H275" s="343"/>
      <c r="I275" s="344" t="s">
        <v>1146</v>
      </c>
    </row>
    <row r="276" spans="1:11" s="26" customFormat="1" ht="17.25" x14ac:dyDescent="0.35">
      <c r="A276" s="345"/>
      <c r="B276" s="340"/>
      <c r="C276" s="341"/>
      <c r="D276" s="341" t="s">
        <v>69</v>
      </c>
      <c r="E276" s="341">
        <v>1</v>
      </c>
      <c r="F276" s="341">
        <v>1</v>
      </c>
      <c r="G276" s="342"/>
      <c r="H276" s="343"/>
      <c r="I276" s="344" t="s">
        <v>635</v>
      </c>
    </row>
    <row r="277" spans="1:11" s="26" customFormat="1" ht="17.25" x14ac:dyDescent="0.35">
      <c r="A277" s="345"/>
      <c r="B277" s="340"/>
      <c r="C277" s="341"/>
      <c r="D277" s="341" t="s">
        <v>69</v>
      </c>
      <c r="E277" s="341">
        <v>2</v>
      </c>
      <c r="F277" s="341">
        <v>0</v>
      </c>
      <c r="G277" s="342"/>
      <c r="H277" s="343"/>
      <c r="I277" s="344" t="s">
        <v>636</v>
      </c>
    </row>
    <row r="278" spans="1:11" s="26" customFormat="1" ht="17.25" x14ac:dyDescent="0.35">
      <c r="A278" s="345"/>
      <c r="B278" s="340"/>
      <c r="C278" s="341"/>
      <c r="D278" s="341" t="s">
        <v>69</v>
      </c>
      <c r="E278" s="341">
        <v>1</v>
      </c>
      <c r="F278" s="341">
        <v>0</v>
      </c>
      <c r="G278" s="342"/>
      <c r="H278" s="343"/>
      <c r="I278" s="344" t="s">
        <v>638</v>
      </c>
    </row>
    <row r="279" spans="1:11" s="26" customFormat="1" ht="17.25" x14ac:dyDescent="0.35">
      <c r="A279" s="345"/>
      <c r="B279" s="340"/>
      <c r="C279" s="341"/>
      <c r="D279" s="341" t="s">
        <v>69</v>
      </c>
      <c r="E279" s="341">
        <v>4</v>
      </c>
      <c r="F279" s="341">
        <v>0</v>
      </c>
      <c r="G279" s="342"/>
      <c r="H279" s="343"/>
      <c r="I279" s="344" t="s">
        <v>637</v>
      </c>
    </row>
    <row r="280" spans="1:11" s="26" customFormat="1" ht="17.25" x14ac:dyDescent="0.35">
      <c r="A280" s="345"/>
      <c r="B280" s="340"/>
      <c r="C280" s="341"/>
      <c r="D280" s="341" t="s">
        <v>69</v>
      </c>
      <c r="E280" s="341">
        <v>1</v>
      </c>
      <c r="F280" s="341">
        <v>4</v>
      </c>
      <c r="G280" s="342"/>
      <c r="H280" s="343"/>
      <c r="I280" s="344" t="s">
        <v>639</v>
      </c>
    </row>
    <row r="281" spans="1:11" s="26" customFormat="1" ht="17.25" x14ac:dyDescent="0.35">
      <c r="A281" s="346"/>
      <c r="B281" s="340"/>
      <c r="C281" s="341"/>
      <c r="D281" s="341"/>
      <c r="E281" s="341"/>
      <c r="F281" s="341"/>
      <c r="G281" s="342"/>
      <c r="H281" s="347"/>
      <c r="I281" s="348"/>
    </row>
    <row r="282" spans="1:11" s="56" customFormat="1" ht="17.25" x14ac:dyDescent="0.35">
      <c r="A282" s="282" t="s">
        <v>551</v>
      </c>
      <c r="B282" s="124" t="s">
        <v>552</v>
      </c>
      <c r="C282" s="124" t="s">
        <v>71</v>
      </c>
      <c r="D282" s="124"/>
      <c r="E282" s="124"/>
      <c r="F282" s="124"/>
      <c r="G282" s="124" t="s">
        <v>239</v>
      </c>
      <c r="H282" s="272" t="s">
        <v>553</v>
      </c>
      <c r="I282" s="117" t="s">
        <v>554</v>
      </c>
    </row>
    <row r="283" spans="1:11" ht="18" thickBot="1" x14ac:dyDescent="0.4">
      <c r="A283" s="17"/>
      <c r="B283" s="17"/>
      <c r="C283" s="17"/>
      <c r="D283" s="17"/>
      <c r="E283" s="17"/>
      <c r="F283" s="17"/>
      <c r="G283" s="17"/>
      <c r="H283" s="17"/>
      <c r="I283" s="264"/>
      <c r="J283" s="26"/>
      <c r="K283" s="26"/>
    </row>
    <row r="284" spans="1:11" ht="19.5" x14ac:dyDescent="0.4">
      <c r="A284" s="524" t="s">
        <v>95</v>
      </c>
      <c r="B284" s="525"/>
      <c r="C284" s="525"/>
      <c r="D284" s="525"/>
      <c r="E284" s="525"/>
      <c r="F284" s="525"/>
      <c r="G284" s="525"/>
      <c r="H284" s="526"/>
      <c r="I284" s="263"/>
      <c r="J284" s="26"/>
      <c r="K284" s="26"/>
    </row>
    <row r="285" spans="1:11" ht="17.25" x14ac:dyDescent="0.35">
      <c r="A285" s="98" t="s">
        <v>112</v>
      </c>
      <c r="B285" s="98"/>
      <c r="C285" s="118" t="s">
        <v>67</v>
      </c>
      <c r="D285" s="98" t="s">
        <v>113</v>
      </c>
      <c r="E285" s="98" t="s">
        <v>114</v>
      </c>
      <c r="F285" s="118" t="s">
        <v>115</v>
      </c>
      <c r="G285" s="98" t="s">
        <v>74</v>
      </c>
      <c r="H285" s="99"/>
      <c r="I285" s="26"/>
      <c r="J285" s="26"/>
      <c r="K285" s="26"/>
    </row>
    <row r="286" spans="1:11" ht="17.25" x14ac:dyDescent="0.35">
      <c r="A286" s="98" t="s">
        <v>111</v>
      </c>
      <c r="B286" s="98"/>
      <c r="C286" s="95" t="s">
        <v>96</v>
      </c>
      <c r="D286" s="96"/>
      <c r="E286" s="96"/>
      <c r="F286" s="75"/>
      <c r="G286" s="96" t="s">
        <v>46</v>
      </c>
      <c r="H286" s="99"/>
      <c r="I286" s="26"/>
      <c r="J286" s="26"/>
      <c r="K286" s="26"/>
    </row>
    <row r="287" spans="1:11" ht="17.25" x14ac:dyDescent="0.35">
      <c r="A287" s="98" t="s">
        <v>97</v>
      </c>
      <c r="B287" s="98"/>
      <c r="C287" s="95"/>
      <c r="D287" s="96" t="s">
        <v>69</v>
      </c>
      <c r="E287" s="96">
        <v>1</v>
      </c>
      <c r="F287" s="75">
        <v>0</v>
      </c>
      <c r="G287" s="96"/>
      <c r="H287" s="99"/>
      <c r="I287" s="26"/>
      <c r="J287" s="26"/>
      <c r="K287" s="26"/>
    </row>
    <row r="288" spans="1:11" ht="17.25" x14ac:dyDescent="0.35">
      <c r="A288" s="98" t="s">
        <v>98</v>
      </c>
      <c r="B288" s="98"/>
      <c r="C288" s="95"/>
      <c r="D288" s="96" t="s">
        <v>69</v>
      </c>
      <c r="E288" s="96">
        <v>2</v>
      </c>
      <c r="F288" s="75">
        <v>2</v>
      </c>
      <c r="G288" s="96"/>
      <c r="H288" s="99"/>
      <c r="I288" s="26"/>
      <c r="J288" s="26"/>
      <c r="K288" s="26"/>
    </row>
    <row r="289" spans="1:11" ht="17.25" x14ac:dyDescent="0.35">
      <c r="A289" s="98" t="s">
        <v>99</v>
      </c>
      <c r="B289" s="98"/>
      <c r="C289" s="95"/>
      <c r="D289" s="96" t="s">
        <v>69</v>
      </c>
      <c r="E289" s="96">
        <v>2</v>
      </c>
      <c r="F289" s="75" t="s">
        <v>116</v>
      </c>
      <c r="G289" s="96"/>
      <c r="H289" s="99"/>
      <c r="I289" s="26"/>
      <c r="J289" s="26"/>
      <c r="K289" s="26"/>
    </row>
    <row r="290" spans="1:11" ht="17.25" x14ac:dyDescent="0.35">
      <c r="A290" s="98" t="s">
        <v>100</v>
      </c>
      <c r="B290" s="98"/>
      <c r="C290" s="95"/>
      <c r="D290" s="96" t="s">
        <v>69</v>
      </c>
      <c r="E290" s="96">
        <v>1</v>
      </c>
      <c r="F290" s="75" t="s">
        <v>4</v>
      </c>
      <c r="G290" s="96"/>
      <c r="H290" s="99"/>
      <c r="I290" s="26"/>
      <c r="J290" s="26"/>
      <c r="K290" s="26"/>
    </row>
    <row r="291" spans="1:11" ht="17.25" x14ac:dyDescent="0.35">
      <c r="A291" s="98" t="s">
        <v>101</v>
      </c>
      <c r="B291" s="98"/>
      <c r="C291" s="95"/>
      <c r="D291" s="96" t="s">
        <v>69</v>
      </c>
      <c r="E291" s="96">
        <v>2</v>
      </c>
      <c r="F291" s="75">
        <v>4</v>
      </c>
      <c r="G291" s="96"/>
      <c r="H291" s="99"/>
      <c r="I291" s="26"/>
      <c r="J291" s="26"/>
      <c r="K291" s="26"/>
    </row>
    <row r="292" spans="1:11" ht="17.25" x14ac:dyDescent="0.35">
      <c r="A292" s="51" t="s">
        <v>102</v>
      </c>
      <c r="B292" s="51"/>
      <c r="C292" s="21"/>
      <c r="D292" s="14" t="s">
        <v>69</v>
      </c>
      <c r="E292" s="14">
        <v>4</v>
      </c>
      <c r="F292" s="290" t="s">
        <v>1629</v>
      </c>
      <c r="G292" s="14"/>
      <c r="H292" s="52"/>
      <c r="I292" s="26"/>
      <c r="J292" s="26"/>
      <c r="K292" s="26"/>
    </row>
    <row r="293" spans="1:11" ht="17.25" x14ac:dyDescent="0.35">
      <c r="A293" s="98" t="s">
        <v>103</v>
      </c>
      <c r="B293" s="98"/>
      <c r="C293" s="95"/>
      <c r="D293" s="96" t="s">
        <v>69</v>
      </c>
      <c r="E293" s="96">
        <v>1</v>
      </c>
      <c r="F293" s="75" t="s">
        <v>5</v>
      </c>
      <c r="G293" s="96"/>
      <c r="H293" s="99"/>
      <c r="I293" s="26"/>
      <c r="J293" s="26"/>
      <c r="K293" s="26"/>
    </row>
    <row r="294" spans="1:11" ht="17.25" x14ac:dyDescent="0.35">
      <c r="A294" s="98" t="s">
        <v>104</v>
      </c>
      <c r="B294" s="98"/>
      <c r="C294" s="95"/>
      <c r="D294" s="96" t="s">
        <v>69</v>
      </c>
      <c r="E294" s="96">
        <v>2</v>
      </c>
      <c r="F294" s="75">
        <f>LEN(F295)</f>
        <v>10</v>
      </c>
      <c r="G294" s="96"/>
      <c r="H294" s="99"/>
      <c r="I294" s="26"/>
      <c r="J294" s="26"/>
      <c r="K294" s="26"/>
    </row>
    <row r="295" spans="1:11" ht="17.25" x14ac:dyDescent="0.35">
      <c r="A295" s="98" t="s">
        <v>105</v>
      </c>
      <c r="B295" s="98"/>
      <c r="C295" s="95"/>
      <c r="D295" s="96" t="s">
        <v>70</v>
      </c>
      <c r="E295" s="96">
        <f>F294</f>
        <v>10</v>
      </c>
      <c r="F295" s="75" t="s">
        <v>543</v>
      </c>
      <c r="G295" s="96"/>
      <c r="H295" s="99" t="s">
        <v>127</v>
      </c>
      <c r="I295" s="26"/>
      <c r="J295" s="26"/>
      <c r="K295" s="26"/>
    </row>
    <row r="296" spans="1:11" ht="17.25" x14ac:dyDescent="0.35">
      <c r="A296" s="98" t="s">
        <v>106</v>
      </c>
      <c r="B296" s="98"/>
      <c r="C296" s="95"/>
      <c r="D296" s="96" t="s">
        <v>69</v>
      </c>
      <c r="E296" s="96">
        <v>1</v>
      </c>
      <c r="F296" s="75" t="s">
        <v>117</v>
      </c>
      <c r="G296" s="96"/>
      <c r="H296" s="99"/>
      <c r="I296" s="26"/>
      <c r="J296" s="26"/>
      <c r="K296" s="26"/>
    </row>
    <row r="297" spans="1:11" ht="17.25" x14ac:dyDescent="0.35">
      <c r="A297" s="98" t="s">
        <v>107</v>
      </c>
      <c r="B297" s="98"/>
      <c r="C297" s="95"/>
      <c r="D297" s="96" t="s">
        <v>69</v>
      </c>
      <c r="E297" s="96">
        <v>2</v>
      </c>
      <c r="F297" s="75">
        <f>SUM(E298:E299)+E300*F299</f>
        <v>18</v>
      </c>
      <c r="G297" s="96"/>
      <c r="H297" s="99"/>
      <c r="I297" s="26"/>
      <c r="J297" s="26"/>
      <c r="K297" s="26"/>
    </row>
    <row r="298" spans="1:11" ht="17.25" x14ac:dyDescent="0.35">
      <c r="A298" s="98" t="s">
        <v>108</v>
      </c>
      <c r="B298" s="98"/>
      <c r="C298" s="95"/>
      <c r="D298" s="96" t="s">
        <v>69</v>
      </c>
      <c r="E298" s="96">
        <v>1</v>
      </c>
      <c r="F298" s="75">
        <v>0</v>
      </c>
      <c r="G298" s="96"/>
      <c r="H298" s="99"/>
      <c r="I298" s="26"/>
      <c r="J298" s="26"/>
      <c r="K298" s="26"/>
    </row>
    <row r="299" spans="1:11" ht="17.25" x14ac:dyDescent="0.35">
      <c r="A299" s="98" t="s">
        <v>109</v>
      </c>
      <c r="B299" s="98"/>
      <c r="C299" s="95"/>
      <c r="D299" s="96" t="s">
        <v>69</v>
      </c>
      <c r="E299" s="96">
        <v>1</v>
      </c>
      <c r="F299" s="75">
        <f>LEN(F300)-LEN(SUBSTITUTE(F300,",","")) +1</f>
        <v>4</v>
      </c>
      <c r="G299" s="96"/>
      <c r="H299" s="99"/>
      <c r="I299" s="26"/>
    </row>
    <row r="300" spans="1:11" ht="17.25" x14ac:dyDescent="0.35">
      <c r="A300" s="98" t="s">
        <v>110</v>
      </c>
      <c r="B300" s="98"/>
      <c r="C300" s="95"/>
      <c r="D300" s="96" t="s">
        <v>77</v>
      </c>
      <c r="E300" s="96">
        <v>4</v>
      </c>
      <c r="F300" s="75" t="s">
        <v>1176</v>
      </c>
      <c r="G300" s="96"/>
      <c r="H300" s="99"/>
      <c r="I300" s="26"/>
    </row>
    <row r="301" spans="1:11" ht="17.25" x14ac:dyDescent="0.35">
      <c r="A301" s="98" t="s">
        <v>454</v>
      </c>
      <c r="B301" s="98"/>
      <c r="C301" s="95"/>
      <c r="D301" s="96" t="s">
        <v>69</v>
      </c>
      <c r="E301" s="96">
        <v>1</v>
      </c>
      <c r="F301" s="75" t="s">
        <v>404</v>
      </c>
      <c r="G301" s="96"/>
      <c r="H301" s="99"/>
      <c r="I301" s="26"/>
    </row>
    <row r="302" spans="1:11" ht="17.25" x14ac:dyDescent="0.35">
      <c r="A302" s="98" t="s">
        <v>455</v>
      </c>
      <c r="B302" s="98"/>
      <c r="C302" s="95"/>
      <c r="D302" s="96" t="s">
        <v>69</v>
      </c>
      <c r="E302" s="96">
        <v>2</v>
      </c>
      <c r="F302" s="75">
        <v>4</v>
      </c>
      <c r="G302" s="96"/>
      <c r="H302" s="99"/>
      <c r="I302" s="26"/>
    </row>
    <row r="303" spans="1:11" ht="17.25" x14ac:dyDescent="0.35">
      <c r="A303" s="51" t="s">
        <v>456</v>
      </c>
      <c r="B303" s="51"/>
      <c r="C303" s="21"/>
      <c r="D303" s="14" t="s">
        <v>69</v>
      </c>
      <c r="E303" s="14">
        <v>4</v>
      </c>
      <c r="F303" s="293" t="str">
        <f>$F$292</f>
        <v>0x05011397</v>
      </c>
      <c r="G303" s="14"/>
      <c r="H303" s="52"/>
      <c r="I303" s="26"/>
    </row>
    <row r="304" spans="1:11" ht="17.25" x14ac:dyDescent="0.35">
      <c r="A304" s="98" t="s">
        <v>558</v>
      </c>
      <c r="B304" s="98"/>
      <c r="C304" s="95"/>
      <c r="D304" s="96" t="s">
        <v>69</v>
      </c>
      <c r="E304" s="96">
        <v>1</v>
      </c>
      <c r="F304" s="75" t="s">
        <v>559</v>
      </c>
      <c r="G304" s="96"/>
      <c r="H304" s="99"/>
      <c r="I304" s="26"/>
    </row>
    <row r="305" spans="1:9" ht="17.25" x14ac:dyDescent="0.35">
      <c r="A305" s="98" t="s">
        <v>560</v>
      </c>
      <c r="B305" s="98"/>
      <c r="C305" s="95"/>
      <c r="D305" s="96" t="s">
        <v>69</v>
      </c>
      <c r="E305" s="96">
        <v>2</v>
      </c>
      <c r="F305" s="75">
        <f>2+F307*E308*2</f>
        <v>30</v>
      </c>
      <c r="G305" s="96"/>
      <c r="H305" s="99"/>
      <c r="I305" s="26"/>
    </row>
    <row r="306" spans="1:9" ht="17.25" x14ac:dyDescent="0.35">
      <c r="A306" s="98" t="s">
        <v>561</v>
      </c>
      <c r="B306" s="98"/>
      <c r="C306" s="95"/>
      <c r="D306" s="96" t="s">
        <v>69</v>
      </c>
      <c r="E306" s="96">
        <v>1</v>
      </c>
      <c r="F306" s="75">
        <v>0</v>
      </c>
      <c r="G306" s="96"/>
      <c r="H306" s="99" t="s">
        <v>562</v>
      </c>
      <c r="I306" s="26"/>
    </row>
    <row r="307" spans="1:9" ht="17.25" x14ac:dyDescent="0.35">
      <c r="A307" s="98" t="s">
        <v>563</v>
      </c>
      <c r="B307" s="98"/>
      <c r="C307" s="95"/>
      <c r="D307" s="96" t="s">
        <v>69</v>
      </c>
      <c r="E307" s="96">
        <v>1</v>
      </c>
      <c r="F307" s="75">
        <f>SUM(LEN(F308)-LEN(SUBSTITUTE(F308,"-","")))</f>
        <v>7</v>
      </c>
      <c r="G307" s="96"/>
      <c r="H307" s="99" t="s">
        <v>564</v>
      </c>
      <c r="I307" s="26"/>
    </row>
    <row r="308" spans="1:9" ht="17.25" x14ac:dyDescent="0.35">
      <c r="A308" s="98" t="s">
        <v>565</v>
      </c>
      <c r="B308" s="98"/>
      <c r="C308" s="95"/>
      <c r="D308" s="96" t="s">
        <v>77</v>
      </c>
      <c r="E308" s="96">
        <v>2</v>
      </c>
      <c r="F308" s="75" t="s">
        <v>1212</v>
      </c>
      <c r="G308" s="96"/>
      <c r="H308" s="99"/>
      <c r="I308" s="26"/>
    </row>
    <row r="309" spans="1:9" ht="17.25" x14ac:dyDescent="0.35">
      <c r="A309" s="366" t="s">
        <v>1189</v>
      </c>
      <c r="B309" s="366"/>
      <c r="C309" s="367"/>
      <c r="D309" s="368" t="s">
        <v>69</v>
      </c>
      <c r="E309" s="368">
        <v>1</v>
      </c>
      <c r="F309" s="370" t="s">
        <v>1190</v>
      </c>
      <c r="G309" s="368"/>
      <c r="H309" s="369"/>
    </row>
    <row r="310" spans="1:9" ht="17.25" x14ac:dyDescent="0.35">
      <c r="A310" s="366" t="s">
        <v>1191</v>
      </c>
      <c r="B310" s="366"/>
      <c r="C310" s="367"/>
      <c r="D310" s="368" t="s">
        <v>69</v>
      </c>
      <c r="E310" s="368">
        <v>2</v>
      </c>
      <c r="F310" s="370">
        <v>4</v>
      </c>
      <c r="G310" s="368"/>
      <c r="H310" s="369"/>
    </row>
    <row r="311" spans="1:9" ht="138" x14ac:dyDescent="0.35">
      <c r="A311" s="366" t="s">
        <v>1192</v>
      </c>
      <c r="B311" s="366"/>
      <c r="C311" s="367"/>
      <c r="D311" s="368" t="s">
        <v>69</v>
      </c>
      <c r="E311" s="368">
        <v>4</v>
      </c>
      <c r="F311" s="371" t="s">
        <v>1195</v>
      </c>
      <c r="G311" s="368"/>
      <c r="H311" s="369" t="s">
        <v>1194</v>
      </c>
    </row>
  </sheetData>
  <mergeCells count="2">
    <mergeCell ref="A4:H4"/>
    <mergeCell ref="A284:H28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314"/>
  <sheetViews>
    <sheetView topLeftCell="A171" zoomScale="70" zoomScaleNormal="70" workbookViewId="0">
      <selection activeCell="B1" sqref="B1"/>
    </sheetView>
  </sheetViews>
  <sheetFormatPr defaultColWidth="9.140625" defaultRowHeight="12.75" x14ac:dyDescent="0.2"/>
  <cols>
    <col min="1" max="1" width="38.5703125" style="31" customWidth="1"/>
    <col min="2" max="2" width="78.7109375" style="31" bestFit="1" customWidth="1"/>
    <col min="3" max="3" width="13.42578125" style="31" bestFit="1" customWidth="1"/>
    <col min="4" max="4" width="12.85546875" style="31" bestFit="1" customWidth="1"/>
    <col min="5" max="5" width="44.85546875" style="31" bestFit="1" customWidth="1"/>
    <col min="6" max="6" width="56.140625" style="31" customWidth="1"/>
    <col min="7" max="7" width="15.85546875" style="31" bestFit="1" customWidth="1"/>
    <col min="8" max="8" width="129.42578125" style="31" customWidth="1"/>
    <col min="9" max="9" width="62.7109375" style="31" customWidth="1"/>
    <col min="10" max="10" width="13" style="31" customWidth="1"/>
    <col min="11" max="11" width="72.42578125" style="31" bestFit="1" customWidth="1"/>
    <col min="12" max="12" width="38.42578125" style="31" bestFit="1" customWidth="1"/>
    <col min="13" max="16384" width="9.140625" style="31"/>
  </cols>
  <sheetData>
    <row r="1" spans="1:14" s="26" customFormat="1" x14ac:dyDescent="0.2"/>
    <row r="2" spans="1:14" s="34" customFormat="1" ht="45" customHeight="1" x14ac:dyDescent="0.55000000000000004">
      <c r="A2" s="39" t="s">
        <v>341</v>
      </c>
      <c r="B2" s="39"/>
      <c r="C2" s="39"/>
      <c r="D2" s="39"/>
      <c r="E2" s="39"/>
      <c r="F2" s="39"/>
      <c r="G2" s="39"/>
      <c r="H2" s="39"/>
    </row>
    <row r="3" spans="1:14" s="26" customFormat="1" ht="13.5" thickBot="1" x14ac:dyDescent="0.25">
      <c r="B3" s="13"/>
    </row>
    <row r="4" spans="1:14" s="40" customFormat="1" ht="20.25" thickBot="1" x14ac:dyDescent="0.45">
      <c r="A4" s="515" t="s">
        <v>237</v>
      </c>
      <c r="B4" s="516"/>
      <c r="C4" s="516"/>
      <c r="D4" s="516"/>
      <c r="E4" s="516"/>
      <c r="F4" s="516"/>
      <c r="G4" s="516"/>
      <c r="H4" s="517"/>
    </row>
    <row r="5" spans="1:14" s="26" customFormat="1" ht="20.25" thickBot="1" x14ac:dyDescent="0.45">
      <c r="A5" s="41" t="s">
        <v>9</v>
      </c>
      <c r="B5" s="35" t="s">
        <v>8</v>
      </c>
      <c r="C5" s="36" t="s">
        <v>146</v>
      </c>
      <c r="D5" s="37" t="s">
        <v>147</v>
      </c>
      <c r="E5" s="36" t="s">
        <v>10</v>
      </c>
      <c r="F5" s="36" t="s">
        <v>68</v>
      </c>
      <c r="G5" s="36" t="s">
        <v>148</v>
      </c>
      <c r="H5" s="38" t="s">
        <v>11</v>
      </c>
      <c r="I5" s="33"/>
    </row>
    <row r="6" spans="1:14" s="26" customFormat="1" ht="17.25" x14ac:dyDescent="0.35">
      <c r="A6" s="192" t="s">
        <v>12</v>
      </c>
      <c r="B6" s="267">
        <v>5</v>
      </c>
      <c r="C6" s="267" t="s">
        <v>69</v>
      </c>
      <c r="D6" s="267">
        <v>1</v>
      </c>
      <c r="E6" s="191" t="s">
        <v>14</v>
      </c>
      <c r="F6" s="267">
        <v>1</v>
      </c>
      <c r="G6" s="267" t="s">
        <v>79</v>
      </c>
      <c r="H6" s="180"/>
      <c r="N6" s="55"/>
    </row>
    <row r="7" spans="1:14" s="26" customFormat="1" ht="17.25" x14ac:dyDescent="0.35">
      <c r="A7" s="193" t="s">
        <v>13</v>
      </c>
      <c r="B7" s="110">
        <v>6</v>
      </c>
      <c r="C7" s="110" t="s">
        <v>69</v>
      </c>
      <c r="D7" s="110">
        <v>1</v>
      </c>
      <c r="E7" s="85" t="s">
        <v>15</v>
      </c>
      <c r="F7" s="110">
        <v>6</v>
      </c>
      <c r="G7" s="110" t="s">
        <v>79</v>
      </c>
      <c r="H7" s="181" t="s">
        <v>7</v>
      </c>
      <c r="N7" s="55"/>
    </row>
    <row r="8" spans="1:14" s="26" customFormat="1" ht="17.25" x14ac:dyDescent="0.35">
      <c r="A8" s="193" t="s">
        <v>39</v>
      </c>
      <c r="B8" s="110">
        <v>71</v>
      </c>
      <c r="C8" s="110"/>
      <c r="D8" s="110"/>
      <c r="E8" s="85" t="s">
        <v>40</v>
      </c>
      <c r="F8" s="110"/>
      <c r="G8" s="110" t="s">
        <v>239</v>
      </c>
      <c r="H8" s="181" t="s">
        <v>7</v>
      </c>
      <c r="I8" s="42"/>
    </row>
    <row r="9" spans="1:14" s="26" customFormat="1" ht="69" x14ac:dyDescent="0.35">
      <c r="A9" s="193"/>
      <c r="B9" s="110"/>
      <c r="C9" s="110" t="s">
        <v>70</v>
      </c>
      <c r="D9" s="110">
        <v>13</v>
      </c>
      <c r="E9" s="85" t="s">
        <v>41</v>
      </c>
      <c r="F9" s="110" t="s">
        <v>310</v>
      </c>
      <c r="G9" s="110"/>
      <c r="H9" s="182" t="s">
        <v>312</v>
      </c>
      <c r="I9" s="42"/>
    </row>
    <row r="10" spans="1:14" s="26" customFormat="1" ht="17.25" x14ac:dyDescent="0.35">
      <c r="A10" s="193" t="s">
        <v>149</v>
      </c>
      <c r="B10" s="110">
        <v>400</v>
      </c>
      <c r="C10" s="110" t="s">
        <v>69</v>
      </c>
      <c r="D10" s="110">
        <v>1</v>
      </c>
      <c r="E10" s="85" t="s">
        <v>150</v>
      </c>
      <c r="F10" s="110">
        <v>0</v>
      </c>
      <c r="G10" s="110" t="s">
        <v>239</v>
      </c>
      <c r="H10" s="181" t="s">
        <v>151</v>
      </c>
    </row>
    <row r="11" spans="1:14" s="26" customFormat="1" ht="17.25" x14ac:dyDescent="0.35">
      <c r="A11" s="193" t="s">
        <v>28</v>
      </c>
      <c r="B11" s="110">
        <v>405</v>
      </c>
      <c r="C11" s="110"/>
      <c r="D11" s="110"/>
      <c r="E11" s="85" t="s">
        <v>29</v>
      </c>
      <c r="F11" s="110"/>
      <c r="G11" s="110" t="s">
        <v>79</v>
      </c>
      <c r="H11" s="181"/>
    </row>
    <row r="12" spans="1:14" s="26" customFormat="1" ht="17.25" x14ac:dyDescent="0.35">
      <c r="A12" s="193"/>
      <c r="B12" s="110"/>
      <c r="C12" s="110" t="s">
        <v>69</v>
      </c>
      <c r="D12" s="110">
        <v>2</v>
      </c>
      <c r="E12" s="85" t="s">
        <v>30</v>
      </c>
      <c r="F12" s="110">
        <v>3</v>
      </c>
      <c r="G12" s="110"/>
      <c r="H12" s="181" t="s">
        <v>31</v>
      </c>
    </row>
    <row r="13" spans="1:14" s="26" customFormat="1" ht="17.25" x14ac:dyDescent="0.35">
      <c r="A13" s="193" t="s">
        <v>32</v>
      </c>
      <c r="B13" s="110">
        <v>818</v>
      </c>
      <c r="C13" s="110" t="s">
        <v>69</v>
      </c>
      <c r="D13" s="110">
        <v>1</v>
      </c>
      <c r="E13" s="85" t="s">
        <v>33</v>
      </c>
      <c r="F13" s="110" t="s">
        <v>445</v>
      </c>
      <c r="G13" s="110" t="s">
        <v>79</v>
      </c>
      <c r="H13" s="181" t="s">
        <v>314</v>
      </c>
    </row>
    <row r="14" spans="1:14" s="26" customFormat="1" ht="17.25" x14ac:dyDescent="0.35">
      <c r="A14" s="193" t="s">
        <v>81</v>
      </c>
      <c r="B14" s="110">
        <v>880</v>
      </c>
      <c r="C14" s="110" t="s">
        <v>69</v>
      </c>
      <c r="D14" s="110">
        <v>1</v>
      </c>
      <c r="E14" s="85"/>
      <c r="F14" s="110">
        <v>1</v>
      </c>
      <c r="G14" s="110" t="s">
        <v>239</v>
      </c>
      <c r="H14" s="181"/>
    </row>
    <row r="15" spans="1:14" s="56" customFormat="1" ht="17.25" x14ac:dyDescent="0.35">
      <c r="A15" s="193" t="s">
        <v>82</v>
      </c>
      <c r="B15" s="136">
        <v>881</v>
      </c>
      <c r="C15" s="136" t="s">
        <v>69</v>
      </c>
      <c r="D15" s="136">
        <v>1</v>
      </c>
      <c r="E15" s="85"/>
      <c r="F15" s="136">
        <v>1</v>
      </c>
      <c r="G15" s="136" t="s">
        <v>239</v>
      </c>
      <c r="H15" s="181"/>
    </row>
    <row r="16" spans="1:14" s="56" customFormat="1" ht="17.25" x14ac:dyDescent="0.35">
      <c r="A16" s="193" t="s">
        <v>83</v>
      </c>
      <c r="B16" s="136">
        <v>882</v>
      </c>
      <c r="C16" s="136" t="s">
        <v>69</v>
      </c>
      <c r="D16" s="136">
        <v>1</v>
      </c>
      <c r="E16" s="85"/>
      <c r="F16" s="136">
        <v>0</v>
      </c>
      <c r="G16" s="136" t="s">
        <v>239</v>
      </c>
      <c r="H16" s="181"/>
      <c r="I16" s="137"/>
    </row>
    <row r="17" spans="1:9" s="56" customFormat="1" ht="17.25" x14ac:dyDescent="0.35">
      <c r="A17" s="193" t="s">
        <v>365</v>
      </c>
      <c r="B17" s="136">
        <v>906</v>
      </c>
      <c r="C17" s="136"/>
      <c r="D17" s="136"/>
      <c r="E17" s="85" t="s">
        <v>366</v>
      </c>
      <c r="F17" s="136"/>
      <c r="G17" s="136" t="s">
        <v>239</v>
      </c>
      <c r="H17" s="181"/>
      <c r="I17" s="137"/>
    </row>
    <row r="18" spans="1:9" s="56" customFormat="1" ht="17.25" x14ac:dyDescent="0.35">
      <c r="A18" s="193"/>
      <c r="B18" s="136"/>
      <c r="C18" s="136" t="s">
        <v>69</v>
      </c>
      <c r="D18" s="136">
        <v>1</v>
      </c>
      <c r="E18" s="85" t="s">
        <v>367</v>
      </c>
      <c r="F18" s="136">
        <v>9</v>
      </c>
      <c r="G18" s="136"/>
      <c r="H18" s="181"/>
      <c r="I18" s="137"/>
    </row>
    <row r="19" spans="1:9" s="56" customFormat="1" ht="17.25" x14ac:dyDescent="0.35">
      <c r="A19" s="193"/>
      <c r="B19" s="136"/>
      <c r="C19" s="136" t="s">
        <v>70</v>
      </c>
      <c r="D19" s="136">
        <v>127</v>
      </c>
      <c r="E19" s="85" t="s">
        <v>370</v>
      </c>
      <c r="F19" s="136" t="s">
        <v>368</v>
      </c>
      <c r="G19" s="136"/>
      <c r="H19" s="181"/>
      <c r="I19" s="137"/>
    </row>
    <row r="20" spans="1:9" s="56" customFormat="1" ht="17.25" x14ac:dyDescent="0.35">
      <c r="A20" s="193" t="s">
        <v>369</v>
      </c>
      <c r="B20" s="136">
        <v>910</v>
      </c>
      <c r="C20" s="136"/>
      <c r="D20" s="136"/>
      <c r="E20" s="85" t="s">
        <v>371</v>
      </c>
      <c r="F20" s="136"/>
      <c r="G20" s="136" t="s">
        <v>239</v>
      </c>
      <c r="H20" s="181"/>
      <c r="I20" s="137"/>
    </row>
    <row r="21" spans="1:9" s="56" customFormat="1" ht="17.25" x14ac:dyDescent="0.35">
      <c r="A21" s="193"/>
      <c r="B21" s="136"/>
      <c r="C21" s="136" t="s">
        <v>69</v>
      </c>
      <c r="D21" s="136">
        <v>1</v>
      </c>
      <c r="E21" s="85" t="s">
        <v>372</v>
      </c>
      <c r="F21" s="136">
        <f>LEN(F22)</f>
        <v>15</v>
      </c>
      <c r="G21" s="136"/>
      <c r="H21" s="181"/>
      <c r="I21" s="137"/>
    </row>
    <row r="22" spans="1:9" s="56" customFormat="1" ht="17.25" x14ac:dyDescent="0.35">
      <c r="A22" s="193"/>
      <c r="B22" s="136"/>
      <c r="C22" s="136" t="s">
        <v>70</v>
      </c>
      <c r="D22" s="136">
        <v>127</v>
      </c>
      <c r="E22" s="85" t="s">
        <v>373</v>
      </c>
      <c r="F22" s="144" t="s">
        <v>374</v>
      </c>
      <c r="G22" s="136"/>
      <c r="H22" s="181"/>
      <c r="I22" s="137"/>
    </row>
    <row r="23" spans="1:9" s="56" customFormat="1" ht="17.25" x14ac:dyDescent="0.35">
      <c r="A23" s="193" t="s">
        <v>17</v>
      </c>
      <c r="B23" s="136">
        <v>928</v>
      </c>
      <c r="C23" s="136" t="s">
        <v>69</v>
      </c>
      <c r="D23" s="136">
        <v>2</v>
      </c>
      <c r="E23" s="85" t="s">
        <v>18</v>
      </c>
      <c r="F23" s="136">
        <v>0</v>
      </c>
      <c r="G23" s="136" t="s">
        <v>79</v>
      </c>
      <c r="H23" s="181"/>
      <c r="I23" s="137"/>
    </row>
    <row r="24" spans="1:9" s="56" customFormat="1" ht="17.25" x14ac:dyDescent="0.35">
      <c r="A24" s="193" t="s">
        <v>19</v>
      </c>
      <c r="B24" s="136">
        <v>929</v>
      </c>
      <c r="C24" s="136" t="s">
        <v>69</v>
      </c>
      <c r="D24" s="136">
        <v>2</v>
      </c>
      <c r="E24" s="85" t="s">
        <v>20</v>
      </c>
      <c r="F24" s="136" t="s">
        <v>21</v>
      </c>
      <c r="G24" s="136" t="s">
        <v>79</v>
      </c>
      <c r="H24" s="181" t="s">
        <v>22</v>
      </c>
      <c r="I24" s="137"/>
    </row>
    <row r="25" spans="1:9" s="56" customFormat="1" ht="51.75" x14ac:dyDescent="0.35">
      <c r="A25" s="193" t="s">
        <v>34</v>
      </c>
      <c r="B25" s="136">
        <v>1018</v>
      </c>
      <c r="C25" s="136" t="s">
        <v>69</v>
      </c>
      <c r="D25" s="136">
        <v>2</v>
      </c>
      <c r="E25" s="85" t="s">
        <v>35</v>
      </c>
      <c r="F25" s="136" t="s">
        <v>444</v>
      </c>
      <c r="G25" s="136" t="s">
        <v>79</v>
      </c>
      <c r="H25" s="181" t="s">
        <v>152</v>
      </c>
      <c r="I25" s="137"/>
    </row>
    <row r="26" spans="1:9" s="56" customFormat="1" ht="17.25" x14ac:dyDescent="0.35">
      <c r="A26" s="193" t="s">
        <v>65</v>
      </c>
      <c r="B26" s="136">
        <v>1877</v>
      </c>
      <c r="C26" s="136"/>
      <c r="D26" s="136">
        <v>8</v>
      </c>
      <c r="E26" s="85" t="s">
        <v>66</v>
      </c>
      <c r="F26" s="136">
        <v>7</v>
      </c>
      <c r="G26" s="136"/>
      <c r="H26" s="181" t="s">
        <v>153</v>
      </c>
      <c r="I26" s="137"/>
    </row>
    <row r="27" spans="1:9" s="56" customFormat="1" ht="17.25" x14ac:dyDescent="0.35">
      <c r="A27" s="193" t="s">
        <v>25</v>
      </c>
      <c r="B27" s="136">
        <v>1907</v>
      </c>
      <c r="C27" s="136" t="s">
        <v>69</v>
      </c>
      <c r="D27" s="136">
        <v>1</v>
      </c>
      <c r="E27" s="85" t="s">
        <v>26</v>
      </c>
      <c r="F27" s="136">
        <v>1</v>
      </c>
      <c r="G27" s="136" t="s">
        <v>79</v>
      </c>
      <c r="H27" s="181"/>
      <c r="I27" s="137"/>
    </row>
    <row r="28" spans="1:9" s="56" customFormat="1" ht="34.5" x14ac:dyDescent="0.35">
      <c r="A28" s="193" t="s">
        <v>42</v>
      </c>
      <c r="B28" s="136">
        <v>1920</v>
      </c>
      <c r="C28" s="136" t="s">
        <v>69</v>
      </c>
      <c r="D28" s="136">
        <v>4</v>
      </c>
      <c r="E28" s="85" t="s">
        <v>43</v>
      </c>
      <c r="F28" s="136" t="s">
        <v>443</v>
      </c>
      <c r="G28" s="136" t="s">
        <v>239</v>
      </c>
      <c r="H28" s="181" t="s">
        <v>155</v>
      </c>
      <c r="I28" s="137"/>
    </row>
    <row r="29" spans="1:9" s="56" customFormat="1" ht="17.25" x14ac:dyDescent="0.35">
      <c r="A29" s="193" t="s">
        <v>156</v>
      </c>
      <c r="B29" s="136">
        <v>1993</v>
      </c>
      <c r="C29" s="136" t="s">
        <v>69</v>
      </c>
      <c r="D29" s="136">
        <v>1</v>
      </c>
      <c r="E29" s="85" t="s">
        <v>157</v>
      </c>
      <c r="F29" s="136">
        <v>2</v>
      </c>
      <c r="G29" s="136" t="s">
        <v>239</v>
      </c>
      <c r="H29" s="181" t="s">
        <v>158</v>
      </c>
      <c r="I29" s="137"/>
    </row>
    <row r="30" spans="1:9" s="56" customFormat="1" ht="17.25" x14ac:dyDescent="0.35">
      <c r="A30" s="193" t="s">
        <v>159</v>
      </c>
      <c r="B30" s="136">
        <v>1994</v>
      </c>
      <c r="C30" s="136" t="s">
        <v>69</v>
      </c>
      <c r="D30" s="136">
        <v>1</v>
      </c>
      <c r="E30" s="85" t="s">
        <v>160</v>
      </c>
      <c r="F30" s="136">
        <v>0</v>
      </c>
      <c r="G30" s="136" t="s">
        <v>239</v>
      </c>
      <c r="H30" s="181" t="s">
        <v>161</v>
      </c>
      <c r="I30" s="137"/>
    </row>
    <row r="31" spans="1:9" s="56" customFormat="1" ht="17.25" x14ac:dyDescent="0.35">
      <c r="A31" s="193" t="s">
        <v>162</v>
      </c>
      <c r="B31" s="136">
        <v>1995</v>
      </c>
      <c r="C31" s="136" t="s">
        <v>69</v>
      </c>
      <c r="D31" s="136">
        <v>2</v>
      </c>
      <c r="E31" s="85" t="s">
        <v>163</v>
      </c>
      <c r="F31" s="136">
        <v>65001</v>
      </c>
      <c r="G31" s="136" t="s">
        <v>239</v>
      </c>
      <c r="H31" s="181" t="s">
        <v>164</v>
      </c>
      <c r="I31" s="137"/>
    </row>
    <row r="32" spans="1:9" s="56" customFormat="1" ht="17.25" x14ac:dyDescent="0.35">
      <c r="A32" s="193" t="s">
        <v>165</v>
      </c>
      <c r="B32" s="136">
        <v>1997</v>
      </c>
      <c r="C32" s="136" t="s">
        <v>69</v>
      </c>
      <c r="D32" s="136">
        <v>4</v>
      </c>
      <c r="E32" s="85" t="s">
        <v>166</v>
      </c>
      <c r="F32" s="136" t="s">
        <v>84</v>
      </c>
      <c r="G32" s="136" t="s">
        <v>239</v>
      </c>
      <c r="H32" s="181" t="s">
        <v>167</v>
      </c>
      <c r="I32" s="137"/>
    </row>
    <row r="33" spans="1:9" s="56" customFormat="1" ht="17.25" x14ac:dyDescent="0.35">
      <c r="A33" s="193" t="s">
        <v>168</v>
      </c>
      <c r="B33" s="136">
        <v>3520</v>
      </c>
      <c r="C33" s="136" t="s">
        <v>69</v>
      </c>
      <c r="D33" s="136">
        <v>2</v>
      </c>
      <c r="E33" s="85" t="s">
        <v>169</v>
      </c>
      <c r="F33" s="136" t="s">
        <v>170</v>
      </c>
      <c r="G33" s="136" t="s">
        <v>239</v>
      </c>
      <c r="H33" s="181" t="s">
        <v>171</v>
      </c>
      <c r="I33" s="137"/>
    </row>
    <row r="34" spans="1:9" s="56" customFormat="1" ht="51.75" x14ac:dyDescent="0.35">
      <c r="A34" s="193" t="s">
        <v>172</v>
      </c>
      <c r="B34" s="136">
        <v>3758</v>
      </c>
      <c r="C34" s="136" t="s">
        <v>69</v>
      </c>
      <c r="D34" s="136">
        <v>1</v>
      </c>
      <c r="E34" s="85" t="s">
        <v>173</v>
      </c>
      <c r="F34" s="136">
        <v>1</v>
      </c>
      <c r="G34" s="136" t="s">
        <v>239</v>
      </c>
      <c r="H34" s="181" t="s">
        <v>174</v>
      </c>
      <c r="I34" s="137"/>
    </row>
    <row r="35" spans="1:9" s="56" customFormat="1" ht="17.25" x14ac:dyDescent="0.35">
      <c r="A35" s="193" t="s">
        <v>175</v>
      </c>
      <c r="B35" s="136">
        <v>4102</v>
      </c>
      <c r="C35" s="136" t="s">
        <v>69</v>
      </c>
      <c r="D35" s="136">
        <v>1</v>
      </c>
      <c r="E35" s="85" t="s">
        <v>176</v>
      </c>
      <c r="F35" s="136">
        <v>1</v>
      </c>
      <c r="G35" s="136" t="s">
        <v>79</v>
      </c>
      <c r="H35" s="181" t="s">
        <v>177</v>
      </c>
      <c r="I35" s="137"/>
    </row>
    <row r="36" spans="1:9" s="56" customFormat="1" ht="86.25" x14ac:dyDescent="0.35">
      <c r="A36" s="193" t="s">
        <v>178</v>
      </c>
      <c r="B36" s="136">
        <v>4228</v>
      </c>
      <c r="C36" s="136" t="s">
        <v>69</v>
      </c>
      <c r="D36" s="136">
        <v>1</v>
      </c>
      <c r="E36" s="85" t="s">
        <v>179</v>
      </c>
      <c r="F36" s="136">
        <v>0</v>
      </c>
      <c r="G36" s="136" t="s">
        <v>239</v>
      </c>
      <c r="H36" s="181" t="s">
        <v>180</v>
      </c>
      <c r="I36" s="137"/>
    </row>
    <row r="37" spans="1:9" s="56" customFormat="1" ht="17.25" x14ac:dyDescent="0.35">
      <c r="A37" s="193" t="s">
        <v>181</v>
      </c>
      <c r="B37" s="136">
        <v>4229</v>
      </c>
      <c r="C37" s="136" t="s">
        <v>69</v>
      </c>
      <c r="D37" s="136">
        <v>1</v>
      </c>
      <c r="E37" s="85" t="s">
        <v>182</v>
      </c>
      <c r="F37" s="136">
        <v>1</v>
      </c>
      <c r="G37" s="136"/>
      <c r="H37" s="181" t="s">
        <v>316</v>
      </c>
      <c r="I37" s="137"/>
    </row>
    <row r="38" spans="1:9" s="56" customFormat="1" ht="17.25" x14ac:dyDescent="0.35">
      <c r="A38" s="193" t="s">
        <v>36</v>
      </c>
      <c r="B38" s="136">
        <v>4366</v>
      </c>
      <c r="C38" s="136"/>
      <c r="D38" s="136"/>
      <c r="E38" s="85" t="s">
        <v>37</v>
      </c>
      <c r="F38" s="136"/>
      <c r="G38" s="136" t="s">
        <v>239</v>
      </c>
      <c r="H38" s="181"/>
      <c r="I38" s="137"/>
    </row>
    <row r="39" spans="1:9" s="56" customFormat="1" ht="17.25" x14ac:dyDescent="0.35">
      <c r="A39" s="193"/>
      <c r="B39" s="136"/>
      <c r="C39" s="136" t="s">
        <v>69</v>
      </c>
      <c r="D39" s="136">
        <v>4</v>
      </c>
      <c r="E39" s="85" t="s">
        <v>38</v>
      </c>
      <c r="F39" s="136">
        <v>6</v>
      </c>
      <c r="G39" s="136"/>
      <c r="H39" s="181" t="s">
        <v>183</v>
      </c>
      <c r="I39" s="137"/>
    </row>
    <row r="40" spans="1:9" s="56" customFormat="1" ht="17.25" x14ac:dyDescent="0.35">
      <c r="A40" s="193" t="s">
        <v>471</v>
      </c>
      <c r="B40" s="136">
        <v>3635</v>
      </c>
      <c r="C40" s="136"/>
      <c r="D40" s="136"/>
      <c r="E40" s="85" t="s">
        <v>472</v>
      </c>
      <c r="F40" s="136"/>
      <c r="G40" s="136" t="s">
        <v>239</v>
      </c>
      <c r="H40" s="181"/>
      <c r="I40" s="137"/>
    </row>
    <row r="41" spans="1:9" s="56" customFormat="1" ht="17.25" x14ac:dyDescent="0.35">
      <c r="A41" s="193"/>
      <c r="B41" s="136"/>
      <c r="C41" s="136" t="s">
        <v>69</v>
      </c>
      <c r="D41" s="136">
        <v>2</v>
      </c>
      <c r="E41" s="85" t="s">
        <v>474</v>
      </c>
      <c r="F41" s="136">
        <v>3</v>
      </c>
      <c r="G41" s="136"/>
      <c r="H41" s="181"/>
      <c r="I41" s="137"/>
    </row>
    <row r="42" spans="1:9" s="56" customFormat="1" ht="17.25" x14ac:dyDescent="0.35">
      <c r="A42" s="193"/>
      <c r="B42" s="136"/>
      <c r="C42" s="136" t="s">
        <v>69</v>
      </c>
      <c r="D42" s="136">
        <v>2</v>
      </c>
      <c r="E42" s="85" t="s">
        <v>475</v>
      </c>
      <c r="F42" s="136">
        <v>25</v>
      </c>
      <c r="G42" s="136"/>
      <c r="H42" s="181"/>
      <c r="I42" s="137"/>
    </row>
    <row r="43" spans="1:9" s="56" customFormat="1" ht="17.25" x14ac:dyDescent="0.35">
      <c r="A43" s="193"/>
      <c r="B43" s="136"/>
      <c r="C43" s="136" t="s">
        <v>69</v>
      </c>
      <c r="D43" s="136">
        <v>4</v>
      </c>
      <c r="E43" s="85" t="s">
        <v>476</v>
      </c>
      <c r="F43" s="136">
        <v>60</v>
      </c>
      <c r="G43" s="136"/>
      <c r="H43" s="181"/>
      <c r="I43" s="137"/>
    </row>
    <row r="44" spans="1:9" s="56" customFormat="1" ht="17.25" x14ac:dyDescent="0.35">
      <c r="A44" s="193"/>
      <c r="B44" s="136"/>
      <c r="C44" s="136" t="s">
        <v>69</v>
      </c>
      <c r="D44" s="136">
        <v>4</v>
      </c>
      <c r="E44" s="85" t="s">
        <v>477</v>
      </c>
      <c r="F44" s="136">
        <v>180</v>
      </c>
      <c r="G44" s="136"/>
      <c r="H44" s="181"/>
      <c r="I44" s="137"/>
    </row>
    <row r="45" spans="1:9" s="56" customFormat="1" ht="17.25" x14ac:dyDescent="0.35">
      <c r="A45" s="193"/>
      <c r="B45" s="136"/>
      <c r="C45" s="136" t="s">
        <v>69</v>
      </c>
      <c r="D45" s="136">
        <v>4</v>
      </c>
      <c r="E45" s="85" t="s">
        <v>478</v>
      </c>
      <c r="F45" s="136">
        <v>4</v>
      </c>
      <c r="G45" s="136"/>
      <c r="H45" s="181"/>
      <c r="I45" s="137"/>
    </row>
    <row r="46" spans="1:9" s="56" customFormat="1" ht="17.25" x14ac:dyDescent="0.35">
      <c r="A46" s="193"/>
      <c r="B46" s="136"/>
      <c r="C46" s="136" t="s">
        <v>69</v>
      </c>
      <c r="D46" s="136">
        <v>4</v>
      </c>
      <c r="E46" s="85" t="s">
        <v>479</v>
      </c>
      <c r="F46" s="136">
        <v>1</v>
      </c>
      <c r="G46" s="136"/>
      <c r="H46" s="181"/>
      <c r="I46" s="137"/>
    </row>
    <row r="47" spans="1:9" s="56" customFormat="1" ht="17.25" x14ac:dyDescent="0.35">
      <c r="A47" s="193"/>
      <c r="B47" s="136"/>
      <c r="C47" s="136" t="s">
        <v>69</v>
      </c>
      <c r="D47" s="136">
        <v>4</v>
      </c>
      <c r="E47" s="85" t="s">
        <v>480</v>
      </c>
      <c r="F47" s="136">
        <v>180</v>
      </c>
      <c r="G47" s="136"/>
      <c r="H47" s="181"/>
      <c r="I47" s="137"/>
    </row>
    <row r="48" spans="1:9" s="56" customFormat="1" ht="17.25" x14ac:dyDescent="0.35">
      <c r="A48" s="193"/>
      <c r="B48" s="136"/>
      <c r="C48" s="136" t="s">
        <v>69</v>
      </c>
      <c r="D48" s="136">
        <v>4</v>
      </c>
      <c r="E48" s="85" t="s">
        <v>481</v>
      </c>
      <c r="F48" s="136">
        <v>3600</v>
      </c>
      <c r="G48" s="136"/>
      <c r="H48" s="181"/>
      <c r="I48" s="137"/>
    </row>
    <row r="49" spans="1:9" s="56" customFormat="1" ht="17.25" x14ac:dyDescent="0.35">
      <c r="A49" s="193"/>
      <c r="B49" s="136"/>
      <c r="C49" s="136" t="s">
        <v>69</v>
      </c>
      <c r="D49" s="136">
        <v>4</v>
      </c>
      <c r="E49" s="85" t="s">
        <v>482</v>
      </c>
      <c r="F49" s="136">
        <v>130</v>
      </c>
      <c r="G49" s="136"/>
      <c r="H49" s="181"/>
      <c r="I49" s="137"/>
    </row>
    <row r="50" spans="1:9" s="56" customFormat="1" ht="17.25" x14ac:dyDescent="0.35">
      <c r="A50" s="193"/>
      <c r="B50" s="136"/>
      <c r="C50" s="136" t="s">
        <v>69</v>
      </c>
      <c r="D50" s="136">
        <v>4</v>
      </c>
      <c r="E50" s="85" t="s">
        <v>483</v>
      </c>
      <c r="F50" s="136">
        <v>3600</v>
      </c>
      <c r="G50" s="136"/>
      <c r="H50" s="181"/>
      <c r="I50" s="137"/>
    </row>
    <row r="51" spans="1:9" s="56" customFormat="1" ht="17.25" x14ac:dyDescent="0.35">
      <c r="A51" s="193"/>
      <c r="B51" s="136"/>
      <c r="C51" s="136" t="s">
        <v>69</v>
      </c>
      <c r="D51" s="136">
        <v>4</v>
      </c>
      <c r="E51" s="85" t="s">
        <v>484</v>
      </c>
      <c r="F51" s="136">
        <v>130</v>
      </c>
      <c r="G51" s="136"/>
      <c r="H51" s="181"/>
      <c r="I51" s="137"/>
    </row>
    <row r="52" spans="1:9" s="56" customFormat="1" ht="17.25" x14ac:dyDescent="0.35">
      <c r="A52" s="193"/>
      <c r="B52" s="136"/>
      <c r="C52" s="136" t="s">
        <v>69</v>
      </c>
      <c r="D52" s="136">
        <v>4</v>
      </c>
      <c r="E52" s="85" t="s">
        <v>485</v>
      </c>
      <c r="F52" s="136">
        <v>14</v>
      </c>
      <c r="G52" s="136"/>
      <c r="H52" s="181"/>
    </row>
    <row r="53" spans="1:9" s="56" customFormat="1" ht="17.25" x14ac:dyDescent="0.35">
      <c r="A53" s="193"/>
      <c r="B53" s="136"/>
      <c r="C53" s="136" t="s">
        <v>69</v>
      </c>
      <c r="D53" s="136">
        <v>4</v>
      </c>
      <c r="E53" s="85" t="s">
        <v>486</v>
      </c>
      <c r="F53" s="136">
        <v>36</v>
      </c>
      <c r="G53" s="136"/>
      <c r="H53" s="181"/>
    </row>
    <row r="54" spans="1:9" s="56" customFormat="1" ht="17.25" x14ac:dyDescent="0.35">
      <c r="A54" s="193"/>
      <c r="B54" s="136"/>
      <c r="C54" s="136" t="s">
        <v>69</v>
      </c>
      <c r="D54" s="136">
        <v>4</v>
      </c>
      <c r="E54" s="85" t="s">
        <v>487</v>
      </c>
      <c r="F54" s="136">
        <v>4</v>
      </c>
      <c r="G54" s="136"/>
      <c r="H54" s="181"/>
    </row>
    <row r="55" spans="1:9" s="81" customFormat="1" ht="17.25" x14ac:dyDescent="0.35">
      <c r="A55" s="193"/>
      <c r="B55" s="136"/>
      <c r="C55" s="136" t="s">
        <v>69</v>
      </c>
      <c r="D55" s="136">
        <v>4</v>
      </c>
      <c r="E55" s="85" t="s">
        <v>488</v>
      </c>
      <c r="F55" s="136">
        <v>1</v>
      </c>
      <c r="G55" s="136"/>
      <c r="H55" s="181"/>
    </row>
    <row r="56" spans="1:9" s="81" customFormat="1" ht="17.25" x14ac:dyDescent="0.35">
      <c r="A56" s="193"/>
      <c r="B56" s="136"/>
      <c r="C56" s="136" t="s">
        <v>69</v>
      </c>
      <c r="D56" s="136">
        <v>4</v>
      </c>
      <c r="E56" s="85" t="s">
        <v>489</v>
      </c>
      <c r="F56" s="136">
        <v>5200</v>
      </c>
      <c r="G56" s="136"/>
      <c r="H56" s="181"/>
    </row>
    <row r="57" spans="1:9" s="81" customFormat="1" ht="17.25" x14ac:dyDescent="0.35">
      <c r="A57" s="193"/>
      <c r="B57" s="136"/>
      <c r="C57" s="136" t="s">
        <v>69</v>
      </c>
      <c r="D57" s="136">
        <v>4</v>
      </c>
      <c r="E57" s="85" t="s">
        <v>490</v>
      </c>
      <c r="F57" s="136">
        <v>3000</v>
      </c>
      <c r="G57" s="136"/>
      <c r="H57" s="181"/>
    </row>
    <row r="58" spans="1:9" s="81" customFormat="1" ht="17.25" x14ac:dyDescent="0.35">
      <c r="A58" s="193"/>
      <c r="B58" s="136"/>
      <c r="C58" s="136" t="s">
        <v>69</v>
      </c>
      <c r="D58" s="136">
        <v>4</v>
      </c>
      <c r="E58" s="85" t="s">
        <v>491</v>
      </c>
      <c r="F58" s="136">
        <v>2200</v>
      </c>
      <c r="G58" s="136"/>
      <c r="H58" s="181"/>
    </row>
    <row r="59" spans="1:9" s="56" customFormat="1" ht="17.25" x14ac:dyDescent="0.35">
      <c r="A59" s="193"/>
      <c r="B59" s="136"/>
      <c r="C59" s="136" t="s">
        <v>69</v>
      </c>
      <c r="D59" s="136">
        <v>4</v>
      </c>
      <c r="E59" s="85" t="s">
        <v>473</v>
      </c>
      <c r="F59" s="136">
        <v>3</v>
      </c>
      <c r="G59" s="136"/>
      <c r="H59" s="181"/>
    </row>
    <row r="60" spans="1:9" s="56" customFormat="1" ht="17.25" x14ac:dyDescent="0.35">
      <c r="A60" s="193"/>
      <c r="B60" s="136"/>
      <c r="C60" s="136" t="s">
        <v>69</v>
      </c>
      <c r="D60" s="136">
        <v>4</v>
      </c>
      <c r="E60" s="85" t="s">
        <v>492</v>
      </c>
      <c r="F60" s="136">
        <v>253</v>
      </c>
      <c r="G60" s="136"/>
      <c r="H60" s="181"/>
    </row>
    <row r="61" spans="1:9" s="56" customFormat="1" ht="17.25" x14ac:dyDescent="0.35">
      <c r="A61" s="193"/>
      <c r="B61" s="136"/>
      <c r="C61" s="136" t="s">
        <v>69</v>
      </c>
      <c r="D61" s="136">
        <v>4</v>
      </c>
      <c r="E61" s="85" t="s">
        <v>493</v>
      </c>
      <c r="F61" s="136">
        <v>1000</v>
      </c>
      <c r="G61" s="136"/>
      <c r="H61" s="181"/>
    </row>
    <row r="62" spans="1:9" s="56" customFormat="1" ht="17.25" x14ac:dyDescent="0.35">
      <c r="A62" s="193"/>
      <c r="B62" s="136"/>
      <c r="C62" s="136" t="s">
        <v>69</v>
      </c>
      <c r="D62" s="136">
        <v>4</v>
      </c>
      <c r="E62" s="85" t="s">
        <v>494</v>
      </c>
      <c r="F62" s="136">
        <v>4</v>
      </c>
      <c r="G62" s="136"/>
      <c r="H62" s="181"/>
    </row>
    <row r="63" spans="1:9" s="56" customFormat="1" ht="17.25" x14ac:dyDescent="0.35">
      <c r="A63" s="193"/>
      <c r="B63" s="136"/>
      <c r="C63" s="136" t="s">
        <v>69</v>
      </c>
      <c r="D63" s="136">
        <v>4</v>
      </c>
      <c r="E63" s="85" t="s">
        <v>495</v>
      </c>
      <c r="F63" s="136">
        <v>300</v>
      </c>
      <c r="G63" s="136"/>
      <c r="H63" s="181"/>
    </row>
    <row r="64" spans="1:9" s="56" customFormat="1" ht="17.25" x14ac:dyDescent="0.35">
      <c r="A64" s="193"/>
      <c r="B64" s="136"/>
      <c r="C64" s="136" t="s">
        <v>69</v>
      </c>
      <c r="D64" s="136">
        <v>4</v>
      </c>
      <c r="E64" s="85" t="s">
        <v>496</v>
      </c>
      <c r="F64" s="136">
        <v>300</v>
      </c>
      <c r="G64" s="136"/>
      <c r="H64" s="181"/>
    </row>
    <row r="65" spans="1:8" s="56" customFormat="1" ht="17.25" x14ac:dyDescent="0.35">
      <c r="A65" s="193"/>
      <c r="B65" s="136"/>
      <c r="C65" s="136" t="s">
        <v>69</v>
      </c>
      <c r="D65" s="136">
        <v>4</v>
      </c>
      <c r="E65" s="85" t="s">
        <v>497</v>
      </c>
      <c r="F65" s="136">
        <v>0</v>
      </c>
      <c r="G65" s="136"/>
      <c r="H65" s="181"/>
    </row>
    <row r="66" spans="1:8" s="56" customFormat="1" ht="17.25" x14ac:dyDescent="0.35">
      <c r="A66" s="193"/>
      <c r="B66" s="136"/>
      <c r="C66" s="136" t="s">
        <v>69</v>
      </c>
      <c r="D66" s="136">
        <v>4</v>
      </c>
      <c r="E66" s="85" t="s">
        <v>498</v>
      </c>
      <c r="F66" s="136">
        <v>0</v>
      </c>
      <c r="G66" s="136"/>
      <c r="H66" s="181"/>
    </row>
    <row r="67" spans="1:8" s="56" customFormat="1" ht="17.25" x14ac:dyDescent="0.35">
      <c r="A67" s="193"/>
      <c r="B67" s="136"/>
      <c r="C67" s="136" t="s">
        <v>69</v>
      </c>
      <c r="D67" s="136">
        <v>4</v>
      </c>
      <c r="E67" s="85" t="s">
        <v>499</v>
      </c>
      <c r="F67" s="136">
        <v>0</v>
      </c>
      <c r="G67" s="136"/>
      <c r="H67" s="181"/>
    </row>
    <row r="68" spans="1:8" s="56" customFormat="1" ht="17.25" x14ac:dyDescent="0.35">
      <c r="A68" s="193" t="s">
        <v>184</v>
      </c>
      <c r="B68" s="136">
        <v>4698</v>
      </c>
      <c r="C68" s="136" t="s">
        <v>69</v>
      </c>
      <c r="D68" s="136">
        <v>4</v>
      </c>
      <c r="E68" s="85" t="s">
        <v>185</v>
      </c>
      <c r="F68" s="136" t="s">
        <v>186</v>
      </c>
      <c r="G68" s="136" t="s">
        <v>239</v>
      </c>
      <c r="H68" s="181" t="s">
        <v>187</v>
      </c>
    </row>
    <row r="69" spans="1:8" s="56" customFormat="1" ht="17.25" x14ac:dyDescent="0.35">
      <c r="A69" s="193" t="s">
        <v>188</v>
      </c>
      <c r="B69" s="136">
        <v>4705</v>
      </c>
      <c r="C69" s="136" t="s">
        <v>69</v>
      </c>
      <c r="D69" s="136">
        <v>4</v>
      </c>
      <c r="E69" s="85" t="s">
        <v>189</v>
      </c>
      <c r="F69" s="136">
        <v>6066</v>
      </c>
      <c r="G69" s="136" t="s">
        <v>239</v>
      </c>
      <c r="H69" s="181" t="s">
        <v>190</v>
      </c>
    </row>
    <row r="70" spans="1:8" s="56" customFormat="1" ht="17.25" x14ac:dyDescent="0.35">
      <c r="A70" s="193" t="s">
        <v>191</v>
      </c>
      <c r="B70" s="136">
        <v>4707</v>
      </c>
      <c r="C70" s="136" t="s">
        <v>69</v>
      </c>
      <c r="D70" s="136">
        <v>1</v>
      </c>
      <c r="E70" s="85" t="s">
        <v>192</v>
      </c>
      <c r="F70" s="136">
        <v>1</v>
      </c>
      <c r="G70" s="136" t="s">
        <v>239</v>
      </c>
      <c r="H70" s="181" t="s">
        <v>193</v>
      </c>
    </row>
    <row r="71" spans="1:8" s="56" customFormat="1" ht="17.25" x14ac:dyDescent="0.35">
      <c r="A71" s="194" t="s">
        <v>436</v>
      </c>
      <c r="B71" s="136">
        <v>4960</v>
      </c>
      <c r="C71" s="136" t="s">
        <v>69</v>
      </c>
      <c r="D71" s="138">
        <v>1</v>
      </c>
      <c r="E71" s="111" t="s">
        <v>435</v>
      </c>
      <c r="F71" s="136">
        <v>1</v>
      </c>
      <c r="G71" s="138" t="s">
        <v>239</v>
      </c>
      <c r="H71" s="183" t="s">
        <v>434</v>
      </c>
    </row>
    <row r="72" spans="1:8" s="56" customFormat="1" ht="17.25" x14ac:dyDescent="0.35">
      <c r="A72" s="193" t="s">
        <v>194</v>
      </c>
      <c r="B72" s="136">
        <v>4927</v>
      </c>
      <c r="C72" s="136" t="s">
        <v>69</v>
      </c>
      <c r="D72" s="136">
        <v>1</v>
      </c>
      <c r="E72" s="85" t="s">
        <v>195</v>
      </c>
      <c r="F72" s="136">
        <v>1</v>
      </c>
      <c r="G72" s="136" t="s">
        <v>239</v>
      </c>
      <c r="H72" s="181" t="s">
        <v>196</v>
      </c>
    </row>
    <row r="73" spans="1:8" s="56" customFormat="1" ht="17.25" x14ac:dyDescent="0.35">
      <c r="A73" s="193" t="s">
        <v>47</v>
      </c>
      <c r="B73" s="136">
        <v>10</v>
      </c>
      <c r="C73" s="136"/>
      <c r="D73" s="136"/>
      <c r="E73" s="85" t="s">
        <v>48</v>
      </c>
      <c r="F73" s="136"/>
      <c r="G73" s="136" t="s">
        <v>94</v>
      </c>
      <c r="H73" s="181" t="s">
        <v>7</v>
      </c>
    </row>
    <row r="74" spans="1:8" s="56" customFormat="1" ht="17.25" x14ac:dyDescent="0.35">
      <c r="A74" s="193"/>
      <c r="B74" s="136"/>
      <c r="C74" s="136" t="s">
        <v>69</v>
      </c>
      <c r="D74" s="136">
        <v>1</v>
      </c>
      <c r="E74" s="85" t="s">
        <v>16</v>
      </c>
      <c r="F74" s="136">
        <v>0</v>
      </c>
      <c r="G74" s="136"/>
      <c r="H74" s="181"/>
    </row>
    <row r="75" spans="1:8" s="56" customFormat="1" ht="17.25" x14ac:dyDescent="0.35">
      <c r="A75" s="193"/>
      <c r="B75" s="136"/>
      <c r="C75" s="136" t="s">
        <v>69</v>
      </c>
      <c r="D75" s="136">
        <v>2</v>
      </c>
      <c r="E75" s="85" t="s">
        <v>49</v>
      </c>
      <c r="F75" s="136">
        <v>4</v>
      </c>
      <c r="G75" s="136"/>
      <c r="H75" s="181" t="s">
        <v>7</v>
      </c>
    </row>
    <row r="76" spans="1:8" s="56" customFormat="1" ht="17.25" x14ac:dyDescent="0.35">
      <c r="A76" s="195" t="s">
        <v>47</v>
      </c>
      <c r="B76" s="136">
        <v>10</v>
      </c>
      <c r="C76" s="136"/>
      <c r="D76" s="138"/>
      <c r="E76" s="125" t="s">
        <v>48</v>
      </c>
      <c r="F76" s="136"/>
      <c r="G76" s="136" t="s">
        <v>238</v>
      </c>
      <c r="H76" s="184" t="s">
        <v>270</v>
      </c>
    </row>
    <row r="77" spans="1:8" s="56" customFormat="1" ht="17.25" x14ac:dyDescent="0.35">
      <c r="A77" s="195"/>
      <c r="B77" s="136" t="s">
        <v>244</v>
      </c>
      <c r="C77" s="136" t="s">
        <v>69</v>
      </c>
      <c r="D77" s="138">
        <v>1</v>
      </c>
      <c r="E77" s="125"/>
      <c r="F77" s="136" t="s">
        <v>6</v>
      </c>
      <c r="G77" s="136"/>
      <c r="H77" s="184"/>
    </row>
    <row r="78" spans="1:8" s="56" customFormat="1" ht="17.25" x14ac:dyDescent="0.35">
      <c r="A78" s="195"/>
      <c r="B78" s="136"/>
      <c r="C78" s="136" t="s">
        <v>69</v>
      </c>
      <c r="D78" s="138">
        <v>1</v>
      </c>
      <c r="E78" s="125" t="s">
        <v>16</v>
      </c>
      <c r="F78" s="136">
        <v>0</v>
      </c>
      <c r="G78" s="136"/>
      <c r="H78" s="184"/>
    </row>
    <row r="79" spans="1:8" s="56" customFormat="1" ht="17.25" x14ac:dyDescent="0.35">
      <c r="A79" s="195"/>
      <c r="B79" s="136"/>
      <c r="C79" s="136" t="s">
        <v>69</v>
      </c>
      <c r="D79" s="138">
        <v>2</v>
      </c>
      <c r="E79" s="125" t="s">
        <v>49</v>
      </c>
      <c r="F79" s="136">
        <v>13</v>
      </c>
      <c r="G79" s="136"/>
      <c r="H79" s="184" t="s">
        <v>7</v>
      </c>
    </row>
    <row r="80" spans="1:8" s="56" customFormat="1" ht="17.25" x14ac:dyDescent="0.35">
      <c r="A80" s="193" t="s">
        <v>197</v>
      </c>
      <c r="B80" s="136">
        <v>441</v>
      </c>
      <c r="C80" s="136"/>
      <c r="D80" s="136"/>
      <c r="E80" s="85" t="s">
        <v>119</v>
      </c>
      <c r="F80" s="136"/>
      <c r="G80" s="136" t="s">
        <v>238</v>
      </c>
      <c r="H80" s="181" t="s">
        <v>198</v>
      </c>
    </row>
    <row r="81" spans="1:13" s="56" customFormat="1" ht="17.25" x14ac:dyDescent="0.35">
      <c r="A81" s="193"/>
      <c r="B81" s="136"/>
      <c r="C81" s="136" t="s">
        <v>69</v>
      </c>
      <c r="D81" s="136">
        <v>1</v>
      </c>
      <c r="E81" s="85"/>
      <c r="F81" s="136">
        <v>0</v>
      </c>
      <c r="G81" s="136"/>
      <c r="H81" s="181"/>
    </row>
    <row r="82" spans="1:13" s="56" customFormat="1" ht="17.25" x14ac:dyDescent="0.35">
      <c r="A82" s="193"/>
      <c r="B82" s="136"/>
      <c r="C82" s="136" t="s">
        <v>69</v>
      </c>
      <c r="D82" s="136">
        <v>2</v>
      </c>
      <c r="E82" s="85"/>
      <c r="F82" s="136" t="s">
        <v>459</v>
      </c>
      <c r="G82" s="136"/>
      <c r="H82" s="181" t="s">
        <v>199</v>
      </c>
    </row>
    <row r="83" spans="1:13" s="56" customFormat="1" ht="17.25" x14ac:dyDescent="0.35">
      <c r="A83" s="196" t="s">
        <v>460</v>
      </c>
      <c r="B83" s="136">
        <v>946</v>
      </c>
      <c r="C83" s="136"/>
      <c r="D83" s="138"/>
      <c r="E83" s="86"/>
      <c r="F83" s="136"/>
      <c r="G83" s="138" t="s">
        <v>238</v>
      </c>
      <c r="H83" s="185"/>
      <c r="M83" s="139"/>
    </row>
    <row r="84" spans="1:13" s="56" customFormat="1" ht="17.25" x14ac:dyDescent="0.35">
      <c r="A84" s="196"/>
      <c r="B84" s="136"/>
      <c r="C84" s="136" t="s">
        <v>69</v>
      </c>
      <c r="D84" s="138">
        <v>1</v>
      </c>
      <c r="E84" s="86" t="s">
        <v>16</v>
      </c>
      <c r="F84" s="136">
        <v>0</v>
      </c>
      <c r="G84" s="138"/>
      <c r="H84" s="185"/>
      <c r="M84" s="139"/>
    </row>
    <row r="85" spans="1:13" s="56" customFormat="1" ht="17.25" x14ac:dyDescent="0.35">
      <c r="A85" s="196"/>
      <c r="B85" s="136"/>
      <c r="C85" s="136" t="s">
        <v>69</v>
      </c>
      <c r="D85" s="138">
        <v>2</v>
      </c>
      <c r="E85" s="86" t="s">
        <v>461</v>
      </c>
      <c r="F85" s="136" t="s">
        <v>462</v>
      </c>
      <c r="G85" s="138"/>
      <c r="H85" s="185" t="s">
        <v>7</v>
      </c>
      <c r="M85" s="139"/>
    </row>
    <row r="86" spans="1:13" s="56" customFormat="1" ht="17.25" x14ac:dyDescent="0.35">
      <c r="A86" s="193" t="s">
        <v>200</v>
      </c>
      <c r="B86" s="136">
        <v>452</v>
      </c>
      <c r="C86" s="136" t="s">
        <v>69</v>
      </c>
      <c r="D86" s="136">
        <v>4</v>
      </c>
      <c r="E86" s="85" t="s">
        <v>201</v>
      </c>
      <c r="F86" s="136">
        <v>0</v>
      </c>
      <c r="G86" s="136" t="s">
        <v>239</v>
      </c>
      <c r="H86" s="181"/>
      <c r="M86" s="139"/>
    </row>
    <row r="87" spans="1:13" s="56" customFormat="1" ht="17.25" x14ac:dyDescent="0.35">
      <c r="A87" s="193" t="s">
        <v>50</v>
      </c>
      <c r="B87" s="136">
        <v>3446</v>
      </c>
      <c r="C87" s="136"/>
      <c r="D87" s="136"/>
      <c r="E87" s="85" t="s">
        <v>51</v>
      </c>
      <c r="F87" s="136"/>
      <c r="G87" s="136"/>
      <c r="H87" s="181"/>
      <c r="M87" s="139"/>
    </row>
    <row r="88" spans="1:13" s="56" customFormat="1" ht="17.25" x14ac:dyDescent="0.35">
      <c r="A88" s="193"/>
      <c r="B88" s="136"/>
      <c r="C88" s="136" t="s">
        <v>69</v>
      </c>
      <c r="D88" s="136">
        <v>2</v>
      </c>
      <c r="E88" s="85" t="s">
        <v>52</v>
      </c>
      <c r="F88" s="136">
        <v>130</v>
      </c>
      <c r="G88" s="136"/>
      <c r="H88" s="181"/>
      <c r="M88" s="139"/>
    </row>
    <row r="89" spans="1:13" s="56" customFormat="1" ht="17.25" x14ac:dyDescent="0.35">
      <c r="A89" s="193"/>
      <c r="B89" s="136"/>
      <c r="C89" s="136" t="s">
        <v>69</v>
      </c>
      <c r="D89" s="136">
        <v>4</v>
      </c>
      <c r="E89" s="85" t="s">
        <v>53</v>
      </c>
      <c r="F89" s="136">
        <v>0</v>
      </c>
      <c r="G89" s="136"/>
      <c r="H89" s="181"/>
      <c r="M89" s="139"/>
    </row>
    <row r="90" spans="1:13" s="56" customFormat="1" ht="17.25" x14ac:dyDescent="0.35">
      <c r="A90" s="197" t="s">
        <v>442</v>
      </c>
      <c r="B90" s="136">
        <v>7165</v>
      </c>
      <c r="C90" s="136" t="s">
        <v>69</v>
      </c>
      <c r="D90" s="138">
        <v>4</v>
      </c>
      <c r="E90" s="82" t="s">
        <v>441</v>
      </c>
      <c r="F90" s="136" t="s">
        <v>440</v>
      </c>
      <c r="G90" s="136" t="s">
        <v>239</v>
      </c>
      <c r="H90" s="186"/>
      <c r="M90" s="139"/>
    </row>
    <row r="91" spans="1:13" s="81" customFormat="1" ht="17.25" x14ac:dyDescent="0.35">
      <c r="A91" s="193" t="s">
        <v>202</v>
      </c>
      <c r="B91" s="136">
        <v>4627</v>
      </c>
      <c r="C91" s="136" t="s">
        <v>69</v>
      </c>
      <c r="D91" s="136">
        <v>1</v>
      </c>
      <c r="E91" s="85" t="s">
        <v>203</v>
      </c>
      <c r="F91" s="136">
        <v>1</v>
      </c>
      <c r="G91" s="136" t="s">
        <v>239</v>
      </c>
      <c r="H91" s="181"/>
    </row>
    <row r="92" spans="1:13" s="81" customFormat="1" ht="17.25" x14ac:dyDescent="0.35">
      <c r="A92" s="193" t="s">
        <v>204</v>
      </c>
      <c r="B92" s="136">
        <v>4628</v>
      </c>
      <c r="C92" s="136" t="s">
        <v>69</v>
      </c>
      <c r="D92" s="136">
        <v>2</v>
      </c>
      <c r="E92" s="85" t="s">
        <v>205</v>
      </c>
      <c r="F92" s="136">
        <v>24</v>
      </c>
      <c r="G92" s="136" t="s">
        <v>239</v>
      </c>
      <c r="H92" s="181"/>
    </row>
    <row r="93" spans="1:13" s="81" customFormat="1" ht="17.25" x14ac:dyDescent="0.35">
      <c r="A93" s="193" t="s">
        <v>206</v>
      </c>
      <c r="B93" s="136">
        <v>4629</v>
      </c>
      <c r="C93" s="136" t="s">
        <v>69</v>
      </c>
      <c r="D93" s="136">
        <v>1</v>
      </c>
      <c r="E93" s="85" t="s">
        <v>207</v>
      </c>
      <c r="F93" s="136">
        <v>3</v>
      </c>
      <c r="G93" s="136" t="s">
        <v>239</v>
      </c>
      <c r="H93" s="181"/>
    </row>
    <row r="94" spans="1:13" s="56" customFormat="1" ht="17.25" x14ac:dyDescent="0.35">
      <c r="A94" s="193" t="s">
        <v>208</v>
      </c>
      <c r="B94" s="136">
        <v>4630</v>
      </c>
      <c r="C94" s="136" t="s">
        <v>69</v>
      </c>
      <c r="D94" s="136">
        <v>1</v>
      </c>
      <c r="E94" s="85" t="s">
        <v>209</v>
      </c>
      <c r="F94" s="136">
        <v>10</v>
      </c>
      <c r="G94" s="136" t="s">
        <v>239</v>
      </c>
      <c r="H94" s="181"/>
      <c r="M94" s="139"/>
    </row>
    <row r="95" spans="1:13" s="56" customFormat="1" ht="17.25" x14ac:dyDescent="0.35">
      <c r="A95" s="193" t="s">
        <v>210</v>
      </c>
      <c r="B95" s="136">
        <v>4631</v>
      </c>
      <c r="C95" s="136" t="s">
        <v>69</v>
      </c>
      <c r="D95" s="136">
        <v>1</v>
      </c>
      <c r="E95" s="85" t="s">
        <v>211</v>
      </c>
      <c r="F95" s="136">
        <v>0</v>
      </c>
      <c r="G95" s="136" t="s">
        <v>239</v>
      </c>
      <c r="H95" s="181"/>
      <c r="M95" s="139"/>
    </row>
    <row r="96" spans="1:13" s="56" customFormat="1" ht="17.25" x14ac:dyDescent="0.35">
      <c r="A96" s="193" t="s">
        <v>212</v>
      </c>
      <c r="B96" s="136">
        <v>4676</v>
      </c>
      <c r="C96" s="136" t="s">
        <v>69</v>
      </c>
      <c r="D96" s="136">
        <v>4</v>
      </c>
      <c r="E96" s="85" t="s">
        <v>213</v>
      </c>
      <c r="F96" s="136">
        <v>0</v>
      </c>
      <c r="G96" s="136" t="s">
        <v>239</v>
      </c>
      <c r="H96" s="181" t="s">
        <v>214</v>
      </c>
      <c r="M96" s="139"/>
    </row>
    <row r="97" spans="1:13" s="56" customFormat="1" ht="17.25" x14ac:dyDescent="0.35">
      <c r="A97" s="193" t="s">
        <v>215</v>
      </c>
      <c r="B97" s="136">
        <v>4677</v>
      </c>
      <c r="C97" s="136" t="s">
        <v>69</v>
      </c>
      <c r="D97" s="136">
        <v>4</v>
      </c>
      <c r="E97" s="85" t="s">
        <v>216</v>
      </c>
      <c r="F97" s="136">
        <v>0</v>
      </c>
      <c r="G97" s="136" t="s">
        <v>239</v>
      </c>
      <c r="H97" s="181" t="s">
        <v>214</v>
      </c>
      <c r="M97" s="139"/>
    </row>
    <row r="98" spans="1:13" s="56" customFormat="1" ht="17.25" x14ac:dyDescent="0.35">
      <c r="A98" s="193" t="s">
        <v>217</v>
      </c>
      <c r="B98" s="136">
        <v>5047</v>
      </c>
      <c r="C98" s="136"/>
      <c r="D98" s="136"/>
      <c r="E98" s="85" t="s">
        <v>218</v>
      </c>
      <c r="F98" s="136"/>
      <c r="G98" s="136" t="s">
        <v>239</v>
      </c>
      <c r="H98" s="181"/>
      <c r="M98" s="139"/>
    </row>
    <row r="99" spans="1:13" s="56" customFormat="1" ht="17.25" x14ac:dyDescent="0.35">
      <c r="A99" s="193"/>
      <c r="B99" s="136"/>
      <c r="C99" s="136" t="s">
        <v>69</v>
      </c>
      <c r="D99" s="136">
        <v>4</v>
      </c>
      <c r="E99" s="85" t="s">
        <v>219</v>
      </c>
      <c r="F99" s="136">
        <v>2</v>
      </c>
      <c r="G99" s="136"/>
      <c r="H99" s="181"/>
      <c r="M99" s="139"/>
    </row>
    <row r="100" spans="1:13" s="56" customFormat="1" ht="17.25" x14ac:dyDescent="0.35">
      <c r="A100" s="193"/>
      <c r="B100" s="136"/>
      <c r="C100" s="136" t="s">
        <v>69</v>
      </c>
      <c r="D100" s="136">
        <v>4</v>
      </c>
      <c r="E100" s="85" t="s">
        <v>220</v>
      </c>
      <c r="F100" s="136">
        <v>0</v>
      </c>
      <c r="G100" s="136"/>
      <c r="H100" s="181"/>
      <c r="M100" s="139"/>
    </row>
    <row r="101" spans="1:13" s="56" customFormat="1" ht="17.25" x14ac:dyDescent="0.35">
      <c r="A101" s="193" t="s">
        <v>44</v>
      </c>
      <c r="B101" s="136">
        <v>5280</v>
      </c>
      <c r="C101" s="136" t="s">
        <v>69</v>
      </c>
      <c r="D101" s="136">
        <v>8</v>
      </c>
      <c r="E101" s="85" t="s">
        <v>45</v>
      </c>
      <c r="F101" s="136">
        <v>0</v>
      </c>
      <c r="G101" s="136" t="s">
        <v>239</v>
      </c>
      <c r="H101" s="181"/>
      <c r="M101" s="139"/>
    </row>
    <row r="102" spans="1:13" s="56" customFormat="1" ht="17.25" x14ac:dyDescent="0.35">
      <c r="A102" s="193" t="s">
        <v>221</v>
      </c>
      <c r="B102" s="136">
        <v>6429</v>
      </c>
      <c r="C102" s="136"/>
      <c r="D102" s="136"/>
      <c r="E102" s="85" t="s">
        <v>222</v>
      </c>
      <c r="F102" s="136"/>
      <c r="G102" s="136" t="s">
        <v>94</v>
      </c>
      <c r="H102" s="181"/>
      <c r="M102" s="139"/>
    </row>
    <row r="103" spans="1:13" s="56" customFormat="1" ht="17.25" x14ac:dyDescent="0.35">
      <c r="A103" s="193"/>
      <c r="B103" s="136"/>
      <c r="C103" s="136" t="s">
        <v>69</v>
      </c>
      <c r="D103" s="136">
        <v>1</v>
      </c>
      <c r="E103" s="85" t="s">
        <v>223</v>
      </c>
      <c r="F103" s="136">
        <v>0</v>
      </c>
      <c r="G103" s="136"/>
      <c r="H103" s="181"/>
      <c r="M103" s="139"/>
    </row>
    <row r="104" spans="1:13" s="56" customFormat="1" ht="17.25" x14ac:dyDescent="0.35">
      <c r="A104" s="193"/>
      <c r="B104" s="136"/>
      <c r="C104" s="136" t="s">
        <v>69</v>
      </c>
      <c r="D104" s="136">
        <v>1</v>
      </c>
      <c r="E104" s="85" t="s">
        <v>224</v>
      </c>
      <c r="F104" s="136">
        <v>0</v>
      </c>
      <c r="G104" s="136"/>
      <c r="H104" s="181"/>
      <c r="M104" s="139"/>
    </row>
    <row r="105" spans="1:13" s="56" customFormat="1" ht="17.25" x14ac:dyDescent="0.35">
      <c r="A105" s="193"/>
      <c r="B105" s="136"/>
      <c r="C105" s="136" t="s">
        <v>69</v>
      </c>
      <c r="D105" s="136">
        <v>2</v>
      </c>
      <c r="E105" s="85" t="s">
        <v>225</v>
      </c>
      <c r="F105" s="136">
        <v>37</v>
      </c>
      <c r="G105" s="136"/>
      <c r="H105" s="181"/>
      <c r="M105" s="139"/>
    </row>
    <row r="106" spans="1:13" s="56" customFormat="1" ht="17.25" x14ac:dyDescent="0.35">
      <c r="A106" s="193" t="s">
        <v>226</v>
      </c>
      <c r="B106" s="136">
        <v>6273</v>
      </c>
      <c r="C106" s="136" t="s">
        <v>69</v>
      </c>
      <c r="D106" s="136">
        <v>4</v>
      </c>
      <c r="E106" s="85" t="s">
        <v>227</v>
      </c>
      <c r="F106" s="136">
        <v>1</v>
      </c>
      <c r="G106" s="136" t="s">
        <v>239</v>
      </c>
      <c r="H106" s="181"/>
      <c r="M106" s="139"/>
    </row>
    <row r="107" spans="1:13" s="81" customFormat="1" ht="17.25" x14ac:dyDescent="0.35">
      <c r="A107" s="193" t="s">
        <v>228</v>
      </c>
      <c r="B107" s="136">
        <v>6274</v>
      </c>
      <c r="C107" s="136" t="s">
        <v>69</v>
      </c>
      <c r="D107" s="136">
        <v>4</v>
      </c>
      <c r="E107" s="85" t="s">
        <v>229</v>
      </c>
      <c r="F107" s="136">
        <v>1</v>
      </c>
      <c r="G107" s="136" t="s">
        <v>239</v>
      </c>
      <c r="H107" s="181"/>
    </row>
    <row r="108" spans="1:13" s="81" customFormat="1" ht="17.25" x14ac:dyDescent="0.35">
      <c r="A108" s="193" t="s">
        <v>254</v>
      </c>
      <c r="B108" s="136">
        <v>285</v>
      </c>
      <c r="C108" s="136"/>
      <c r="D108" s="136"/>
      <c r="E108" s="85" t="s">
        <v>255</v>
      </c>
      <c r="F108" s="136"/>
      <c r="G108" s="136" t="s">
        <v>94</v>
      </c>
      <c r="H108" s="181"/>
    </row>
    <row r="109" spans="1:13" s="81" customFormat="1" ht="17.25" x14ac:dyDescent="0.35">
      <c r="A109" s="193"/>
      <c r="B109" s="136"/>
      <c r="C109" s="136" t="s">
        <v>69</v>
      </c>
      <c r="D109" s="136">
        <v>1</v>
      </c>
      <c r="E109" s="85" t="s">
        <v>16</v>
      </c>
      <c r="F109" s="136">
        <v>0</v>
      </c>
      <c r="G109" s="136"/>
      <c r="H109" s="181"/>
    </row>
    <row r="110" spans="1:13" s="81" customFormat="1" ht="17.25" x14ac:dyDescent="0.35">
      <c r="A110" s="193"/>
      <c r="B110" s="136"/>
      <c r="C110" s="136" t="s">
        <v>69</v>
      </c>
      <c r="D110" s="136">
        <v>1</v>
      </c>
      <c r="E110" s="85" t="s">
        <v>256</v>
      </c>
      <c r="F110" s="136">
        <v>1</v>
      </c>
      <c r="G110" s="136"/>
      <c r="H110" s="181"/>
    </row>
    <row r="111" spans="1:13" s="81" customFormat="1" ht="17.25" x14ac:dyDescent="0.35">
      <c r="A111" s="193"/>
      <c r="B111" s="136"/>
      <c r="C111" s="136" t="s">
        <v>69</v>
      </c>
      <c r="D111" s="136">
        <v>2</v>
      </c>
      <c r="E111" s="85" t="s">
        <v>257</v>
      </c>
      <c r="F111" s="136">
        <v>3</v>
      </c>
      <c r="G111" s="136"/>
      <c r="H111" s="181"/>
    </row>
    <row r="112" spans="1:13" s="81" customFormat="1" ht="17.25" x14ac:dyDescent="0.35">
      <c r="A112" s="193"/>
      <c r="B112" s="136"/>
      <c r="C112" s="136" t="s">
        <v>69</v>
      </c>
      <c r="D112" s="136">
        <v>2</v>
      </c>
      <c r="E112" s="85" t="s">
        <v>258</v>
      </c>
      <c r="F112" s="136">
        <v>3</v>
      </c>
      <c r="G112" s="136"/>
      <c r="H112" s="181"/>
    </row>
    <row r="113" spans="1:8" s="81" customFormat="1" ht="17.25" x14ac:dyDescent="0.35">
      <c r="A113" s="193"/>
      <c r="B113" s="136"/>
      <c r="C113" s="136" t="s">
        <v>69</v>
      </c>
      <c r="D113" s="136">
        <v>2</v>
      </c>
      <c r="E113" s="85" t="s">
        <v>259</v>
      </c>
      <c r="F113" s="136">
        <v>3</v>
      </c>
      <c r="G113" s="136"/>
      <c r="H113" s="181"/>
    </row>
    <row r="114" spans="1:8" s="81" customFormat="1" ht="17.25" x14ac:dyDescent="0.35">
      <c r="A114" s="193" t="s">
        <v>260</v>
      </c>
      <c r="B114" s="136">
        <v>475</v>
      </c>
      <c r="C114" s="136" t="s">
        <v>69</v>
      </c>
      <c r="D114" s="136">
        <v>2</v>
      </c>
      <c r="E114" s="85" t="s">
        <v>261</v>
      </c>
      <c r="F114" s="136" t="s">
        <v>46</v>
      </c>
      <c r="G114" s="136" t="s">
        <v>79</v>
      </c>
      <c r="H114" s="181"/>
    </row>
    <row r="115" spans="1:8" s="81" customFormat="1" ht="17.25" x14ac:dyDescent="0.35">
      <c r="A115" s="195" t="s">
        <v>340</v>
      </c>
      <c r="B115" s="136">
        <v>562</v>
      </c>
      <c r="C115" s="136"/>
      <c r="D115" s="138"/>
      <c r="E115" s="125"/>
      <c r="F115" s="136"/>
      <c r="G115" s="136" t="s">
        <v>239</v>
      </c>
      <c r="H115" s="184"/>
    </row>
    <row r="116" spans="1:8" s="81" customFormat="1" ht="17.25" x14ac:dyDescent="0.35">
      <c r="A116" s="195"/>
      <c r="B116" s="136" t="s">
        <v>244</v>
      </c>
      <c r="C116" s="136" t="s">
        <v>69</v>
      </c>
      <c r="D116" s="138">
        <v>1</v>
      </c>
      <c r="E116" s="125"/>
      <c r="F116" s="136" t="s">
        <v>6</v>
      </c>
      <c r="G116" s="136"/>
      <c r="H116" s="184"/>
    </row>
    <row r="117" spans="1:8" s="81" customFormat="1" ht="17.25" x14ac:dyDescent="0.35">
      <c r="A117" s="195"/>
      <c r="B117" s="136"/>
      <c r="C117" s="136" t="s">
        <v>69</v>
      </c>
      <c r="D117" s="138">
        <v>1</v>
      </c>
      <c r="E117" s="125" t="s">
        <v>128</v>
      </c>
      <c r="F117" s="136">
        <v>0</v>
      </c>
      <c r="G117" s="136"/>
      <c r="H117" s="184"/>
    </row>
    <row r="118" spans="1:8" s="81" customFormat="1" ht="17.25" x14ac:dyDescent="0.35">
      <c r="A118" s="193" t="s">
        <v>54</v>
      </c>
      <c r="B118" s="136">
        <v>945</v>
      </c>
      <c r="C118" s="136"/>
      <c r="D118" s="136"/>
      <c r="E118" s="85"/>
      <c r="F118" s="136"/>
      <c r="G118" s="136"/>
      <c r="H118" s="181"/>
    </row>
    <row r="119" spans="1:8" s="81" customFormat="1" ht="17.25" x14ac:dyDescent="0.35">
      <c r="A119" s="193"/>
      <c r="B119" s="136"/>
      <c r="C119" s="136" t="s">
        <v>69</v>
      </c>
      <c r="D119" s="136">
        <v>1</v>
      </c>
      <c r="E119" s="85" t="s">
        <v>16</v>
      </c>
      <c r="F119" s="136">
        <v>0</v>
      </c>
      <c r="G119" s="136"/>
      <c r="H119" s="181"/>
    </row>
    <row r="120" spans="1:8" s="81" customFormat="1" ht="17.25" x14ac:dyDescent="0.35">
      <c r="A120" s="193"/>
      <c r="B120" s="136"/>
      <c r="C120" s="136" t="s">
        <v>69</v>
      </c>
      <c r="D120" s="136">
        <v>120</v>
      </c>
      <c r="E120" s="85" t="s">
        <v>55</v>
      </c>
      <c r="F120" s="136">
        <v>0</v>
      </c>
      <c r="G120" s="136"/>
      <c r="H120" s="181"/>
    </row>
    <row r="121" spans="1:8" s="81" customFormat="1" ht="17.25" x14ac:dyDescent="0.35">
      <c r="A121" s="193" t="s">
        <v>262</v>
      </c>
      <c r="B121" s="136">
        <v>4116</v>
      </c>
      <c r="C121" s="136" t="s">
        <v>69</v>
      </c>
      <c r="D121" s="136">
        <v>1</v>
      </c>
      <c r="E121" s="85" t="s">
        <v>263</v>
      </c>
      <c r="F121" s="136" t="s">
        <v>117</v>
      </c>
      <c r="G121" s="136" t="s">
        <v>239</v>
      </c>
      <c r="H121" s="181"/>
    </row>
    <row r="122" spans="1:8" s="81" customFormat="1" ht="17.25" x14ac:dyDescent="0.35">
      <c r="A122" s="193" t="s">
        <v>23</v>
      </c>
      <c r="B122" s="136">
        <v>4204</v>
      </c>
      <c r="C122" s="136" t="s">
        <v>69</v>
      </c>
      <c r="D122" s="136">
        <v>1</v>
      </c>
      <c r="E122" s="85" t="s">
        <v>24</v>
      </c>
      <c r="F122" s="136">
        <v>0</v>
      </c>
      <c r="G122" s="136"/>
      <c r="H122" s="181"/>
    </row>
    <row r="123" spans="1:8" s="81" customFormat="1" ht="17.25" x14ac:dyDescent="0.35">
      <c r="A123" s="193" t="s">
        <v>264</v>
      </c>
      <c r="B123" s="136">
        <v>4231</v>
      </c>
      <c r="C123" s="136"/>
      <c r="D123" s="136"/>
      <c r="E123" s="85" t="s">
        <v>265</v>
      </c>
      <c r="F123" s="136"/>
      <c r="G123" s="136" t="s">
        <v>79</v>
      </c>
      <c r="H123" s="181"/>
    </row>
    <row r="124" spans="1:8" s="81" customFormat="1" ht="17.25" x14ac:dyDescent="0.35">
      <c r="A124" s="193"/>
      <c r="B124" s="136"/>
      <c r="C124" s="136" t="s">
        <v>69</v>
      </c>
      <c r="D124" s="136">
        <v>8</v>
      </c>
      <c r="E124" s="85" t="s">
        <v>266</v>
      </c>
      <c r="F124" s="136">
        <v>0</v>
      </c>
      <c r="G124" s="136"/>
      <c r="H124" s="181"/>
    </row>
    <row r="125" spans="1:8" s="81" customFormat="1" ht="17.25" x14ac:dyDescent="0.35">
      <c r="A125" s="193"/>
      <c r="B125" s="136"/>
      <c r="C125" s="136" t="s">
        <v>69</v>
      </c>
      <c r="D125" s="136">
        <v>8</v>
      </c>
      <c r="E125" s="85" t="s">
        <v>267</v>
      </c>
      <c r="F125" s="136">
        <v>1</v>
      </c>
      <c r="G125" s="136"/>
      <c r="H125" s="181"/>
    </row>
    <row r="126" spans="1:8" s="81" customFormat="1" ht="17.25" x14ac:dyDescent="0.35">
      <c r="A126" s="193" t="s">
        <v>133</v>
      </c>
      <c r="B126" s="136">
        <v>6832</v>
      </c>
      <c r="C126" s="136" t="s">
        <v>69</v>
      </c>
      <c r="D126" s="136">
        <v>1</v>
      </c>
      <c r="E126" s="85" t="s">
        <v>134</v>
      </c>
      <c r="F126" s="136">
        <v>0</v>
      </c>
      <c r="G126" s="136" t="s">
        <v>79</v>
      </c>
      <c r="H126" s="181"/>
    </row>
    <row r="127" spans="1:8" s="81" customFormat="1" ht="17.25" x14ac:dyDescent="0.35">
      <c r="A127" s="193" t="s">
        <v>268</v>
      </c>
      <c r="B127" s="136">
        <v>6862</v>
      </c>
      <c r="C127" s="136" t="s">
        <v>69</v>
      </c>
      <c r="D127" s="136">
        <v>1</v>
      </c>
      <c r="E127" s="85" t="s">
        <v>269</v>
      </c>
      <c r="F127" s="136">
        <v>1</v>
      </c>
      <c r="G127" s="136" t="s">
        <v>79</v>
      </c>
      <c r="H127" s="181"/>
    </row>
    <row r="128" spans="1:8" s="81" customFormat="1" ht="17.25" x14ac:dyDescent="0.35">
      <c r="A128" s="198" t="s">
        <v>322</v>
      </c>
      <c r="B128" s="136">
        <v>3532</v>
      </c>
      <c r="C128" s="136" t="s">
        <v>69</v>
      </c>
      <c r="D128" s="138">
        <v>1</v>
      </c>
      <c r="E128" s="126" t="s">
        <v>323</v>
      </c>
      <c r="F128" s="136">
        <v>135</v>
      </c>
      <c r="G128" s="138" t="s">
        <v>239</v>
      </c>
      <c r="H128" s="187" t="s">
        <v>7</v>
      </c>
    </row>
    <row r="129" spans="1:9" s="81" customFormat="1" ht="17.25" x14ac:dyDescent="0.35">
      <c r="A129" s="198" t="s">
        <v>324</v>
      </c>
      <c r="B129" s="136">
        <v>3533</v>
      </c>
      <c r="C129" s="136" t="s">
        <v>69</v>
      </c>
      <c r="D129" s="138">
        <v>1</v>
      </c>
      <c r="E129" s="126" t="s">
        <v>325</v>
      </c>
      <c r="F129" s="136">
        <v>30</v>
      </c>
      <c r="G129" s="138" t="s">
        <v>239</v>
      </c>
      <c r="H129" s="187" t="s">
        <v>7</v>
      </c>
    </row>
    <row r="130" spans="1:9" s="81" customFormat="1" ht="17.25" x14ac:dyDescent="0.35">
      <c r="A130" s="199" t="s">
        <v>360</v>
      </c>
      <c r="B130" s="136">
        <v>4964</v>
      </c>
      <c r="C130" s="136" t="s">
        <v>69</v>
      </c>
      <c r="D130" s="138">
        <v>2</v>
      </c>
      <c r="E130" s="127"/>
      <c r="F130" s="136">
        <v>4</v>
      </c>
      <c r="G130" s="138" t="s">
        <v>79</v>
      </c>
      <c r="H130" s="188"/>
    </row>
    <row r="131" spans="1:9" s="81" customFormat="1" ht="17.25" x14ac:dyDescent="0.35">
      <c r="A131" s="200" t="s">
        <v>326</v>
      </c>
      <c r="B131" s="136">
        <v>4227</v>
      </c>
      <c r="C131" s="136" t="s">
        <v>69</v>
      </c>
      <c r="D131" s="138">
        <v>4</v>
      </c>
      <c r="E131" s="128" t="s">
        <v>327</v>
      </c>
      <c r="F131" s="136">
        <v>0</v>
      </c>
      <c r="G131" s="138"/>
      <c r="H131" s="189" t="s">
        <v>328</v>
      </c>
    </row>
    <row r="132" spans="1:9" s="81" customFormat="1" ht="17.25" x14ac:dyDescent="0.35">
      <c r="A132" s="195" t="s">
        <v>271</v>
      </c>
      <c r="B132" s="136">
        <v>6874</v>
      </c>
      <c r="C132" s="136"/>
      <c r="D132" s="138"/>
      <c r="E132" s="125"/>
      <c r="F132" s="136"/>
      <c r="G132" s="136" t="s">
        <v>239</v>
      </c>
      <c r="H132" s="184"/>
    </row>
    <row r="133" spans="1:9" s="141" customFormat="1" ht="17.25" x14ac:dyDescent="0.35">
      <c r="A133" s="195"/>
      <c r="B133" s="136" t="s">
        <v>244</v>
      </c>
      <c r="C133" s="136" t="s">
        <v>69</v>
      </c>
      <c r="D133" s="138">
        <v>1</v>
      </c>
      <c r="E133" s="125"/>
      <c r="F133" s="136" t="s">
        <v>5</v>
      </c>
      <c r="G133" s="136"/>
      <c r="H133" s="184"/>
      <c r="I133" s="81"/>
    </row>
    <row r="134" spans="1:9" s="56" customFormat="1" ht="17.25" x14ac:dyDescent="0.35">
      <c r="A134" s="195"/>
      <c r="B134" s="136"/>
      <c r="C134" s="136" t="s">
        <v>69</v>
      </c>
      <c r="D134" s="138">
        <v>1</v>
      </c>
      <c r="E134" s="125" t="s">
        <v>272</v>
      </c>
      <c r="F134" s="136" t="s">
        <v>154</v>
      </c>
      <c r="G134" s="136"/>
      <c r="H134" s="184"/>
      <c r="I134" s="81"/>
    </row>
    <row r="135" spans="1:9" s="56" customFormat="1" ht="17.25" x14ac:dyDescent="0.35">
      <c r="A135" s="195" t="s">
        <v>273</v>
      </c>
      <c r="B135" s="136">
        <v>6875</v>
      </c>
      <c r="C135" s="136"/>
      <c r="D135" s="138"/>
      <c r="E135" s="125"/>
      <c r="F135" s="136"/>
      <c r="G135" s="136" t="s">
        <v>239</v>
      </c>
      <c r="H135" s="184"/>
      <c r="I135" s="81"/>
    </row>
    <row r="136" spans="1:9" s="56" customFormat="1" ht="17.25" x14ac:dyDescent="0.35">
      <c r="A136" s="195"/>
      <c r="B136" s="136" t="s">
        <v>244</v>
      </c>
      <c r="C136" s="136" t="s">
        <v>69</v>
      </c>
      <c r="D136" s="138">
        <v>1</v>
      </c>
      <c r="E136" s="125"/>
      <c r="F136" s="136" t="s">
        <v>5</v>
      </c>
      <c r="G136" s="136"/>
      <c r="H136" s="184"/>
      <c r="I136" s="81"/>
    </row>
    <row r="137" spans="1:9" s="56" customFormat="1" ht="17.25" x14ac:dyDescent="0.35">
      <c r="A137" s="195"/>
      <c r="B137" s="136"/>
      <c r="C137" s="136" t="s">
        <v>69</v>
      </c>
      <c r="D137" s="138">
        <v>1</v>
      </c>
      <c r="E137" s="125" t="s">
        <v>274</v>
      </c>
      <c r="F137" s="136" t="s">
        <v>154</v>
      </c>
      <c r="G137" s="136"/>
      <c r="H137" s="184"/>
      <c r="I137" s="81"/>
    </row>
    <row r="138" spans="1:9" s="56" customFormat="1" ht="34.5" x14ac:dyDescent="0.35">
      <c r="A138" s="193" t="s">
        <v>524</v>
      </c>
      <c r="B138" s="136">
        <v>240</v>
      </c>
      <c r="C138" s="136" t="s">
        <v>69</v>
      </c>
      <c r="D138" s="136">
        <v>1</v>
      </c>
      <c r="E138" s="85" t="s">
        <v>525</v>
      </c>
      <c r="F138" s="136">
        <v>0</v>
      </c>
      <c r="G138" s="136" t="s">
        <v>239</v>
      </c>
      <c r="H138" s="181" t="s">
        <v>526</v>
      </c>
      <c r="I138" s="81"/>
    </row>
    <row r="139" spans="1:9" s="56" customFormat="1" ht="18" thickBot="1" x14ac:dyDescent="0.4">
      <c r="A139" s="201"/>
      <c r="B139" s="142"/>
      <c r="C139" s="142"/>
      <c r="D139" s="143"/>
      <c r="E139" s="129"/>
      <c r="F139" s="142"/>
      <c r="G139" s="143"/>
      <c r="H139" s="190"/>
      <c r="I139" s="81"/>
    </row>
    <row r="140" spans="1:9" s="56" customFormat="1" ht="15.75" thickBot="1" x14ac:dyDescent="0.35">
      <c r="A140" s="81"/>
      <c r="B140" s="81"/>
      <c r="C140" s="81"/>
      <c r="D140" s="81"/>
      <c r="E140" s="81"/>
      <c r="F140" s="81"/>
      <c r="G140" s="81"/>
      <c r="H140" s="81"/>
      <c r="I140" s="81"/>
    </row>
    <row r="141" spans="1:9" s="56" customFormat="1" ht="20.25" thickBot="1" x14ac:dyDescent="0.35">
      <c r="A141" s="44"/>
      <c r="B141" s="43" t="s">
        <v>78</v>
      </c>
      <c r="C141" s="43"/>
      <c r="D141" s="43"/>
      <c r="E141" s="43"/>
      <c r="F141" s="43"/>
      <c r="G141" s="43"/>
      <c r="H141" s="45"/>
      <c r="I141" s="81"/>
    </row>
    <row r="142" spans="1:9" s="56" customFormat="1" ht="15.75" thickBot="1" x14ac:dyDescent="0.35">
      <c r="A142" s="41" t="s">
        <v>64</v>
      </c>
      <c r="B142" s="41" t="s">
        <v>8</v>
      </c>
      <c r="C142" s="41"/>
      <c r="D142" s="41"/>
      <c r="E142" s="41" t="s">
        <v>58</v>
      </c>
      <c r="F142" s="41" t="s">
        <v>57</v>
      </c>
      <c r="G142" s="41"/>
      <c r="H142" s="168"/>
      <c r="I142" s="81"/>
    </row>
    <row r="143" spans="1:9" s="56" customFormat="1" ht="17.25" x14ac:dyDescent="0.35">
      <c r="A143" s="170"/>
      <c r="B143" s="171"/>
      <c r="C143" s="108"/>
      <c r="D143" s="108"/>
      <c r="E143" s="172"/>
      <c r="F143" s="108"/>
      <c r="G143" s="108"/>
      <c r="H143" s="173"/>
      <c r="I143" s="81"/>
    </row>
    <row r="144" spans="1:9" s="56" customFormat="1" ht="18" thickBot="1" x14ac:dyDescent="0.4">
      <c r="A144" s="174"/>
      <c r="B144" s="175"/>
      <c r="C144" s="176"/>
      <c r="D144" s="176"/>
      <c r="E144" s="177"/>
      <c r="F144" s="176"/>
      <c r="G144" s="176"/>
      <c r="H144" s="178"/>
      <c r="I144" s="81"/>
    </row>
    <row r="145" spans="1:9" s="56" customFormat="1" ht="15.75" thickBot="1" x14ac:dyDescent="0.35">
      <c r="A145" s="81"/>
      <c r="B145" s="81"/>
      <c r="C145" s="81"/>
      <c r="D145" s="81"/>
      <c r="E145" s="81"/>
      <c r="F145" s="81"/>
      <c r="G145" s="81"/>
      <c r="H145" s="81"/>
      <c r="I145" s="81"/>
    </row>
    <row r="146" spans="1:9" s="56" customFormat="1" ht="20.25" thickBot="1" x14ac:dyDescent="0.45">
      <c r="A146" s="169" t="s">
        <v>73</v>
      </c>
      <c r="B146" s="46"/>
      <c r="C146" s="46"/>
      <c r="D146" s="46"/>
      <c r="E146" s="46"/>
      <c r="F146" s="46"/>
      <c r="G146" s="46"/>
      <c r="H146" s="47"/>
      <c r="I146" s="48"/>
    </row>
    <row r="147" spans="1:9" s="56" customFormat="1" ht="15.75" thickBot="1" x14ac:dyDescent="0.35">
      <c r="A147" s="286" t="s">
        <v>56</v>
      </c>
      <c r="B147" s="286" t="s">
        <v>230</v>
      </c>
      <c r="C147" s="286" t="s">
        <v>231</v>
      </c>
      <c r="D147" s="286" t="s">
        <v>76</v>
      </c>
      <c r="E147" s="286" t="s">
        <v>75</v>
      </c>
      <c r="F147" s="286" t="s">
        <v>68</v>
      </c>
      <c r="G147" s="286" t="s">
        <v>74</v>
      </c>
      <c r="H147" s="286" t="s">
        <v>232</v>
      </c>
      <c r="I147" s="286" t="s">
        <v>11</v>
      </c>
    </row>
    <row r="148" spans="1:9" s="56" customFormat="1" ht="17.25" x14ac:dyDescent="0.35">
      <c r="A148" s="268" t="s">
        <v>129</v>
      </c>
      <c r="B148" s="269" t="s">
        <v>132</v>
      </c>
      <c r="C148" s="269" t="s">
        <v>90</v>
      </c>
      <c r="D148" s="269"/>
      <c r="E148" s="269"/>
      <c r="F148" s="269"/>
      <c r="G148" s="269" t="s">
        <v>79</v>
      </c>
      <c r="H148" s="270"/>
      <c r="I148" s="119">
        <v>67290</v>
      </c>
    </row>
    <row r="149" spans="1:9" s="56" customFormat="1" ht="17.25" x14ac:dyDescent="0.35">
      <c r="A149" s="271"/>
      <c r="B149" s="124"/>
      <c r="C149" s="124"/>
      <c r="D149" s="124" t="s">
        <v>69</v>
      </c>
      <c r="E149" s="124">
        <v>1</v>
      </c>
      <c r="F149" s="124">
        <v>1</v>
      </c>
      <c r="G149" s="124"/>
      <c r="H149" s="272"/>
      <c r="I149" s="119"/>
    </row>
    <row r="150" spans="1:9" s="56" customFormat="1" ht="17.25" x14ac:dyDescent="0.35">
      <c r="A150" s="271" t="s">
        <v>240</v>
      </c>
      <c r="B150" s="124" t="s">
        <v>130</v>
      </c>
      <c r="C150" s="124" t="s">
        <v>90</v>
      </c>
      <c r="D150" s="124"/>
      <c r="E150" s="124"/>
      <c r="F150" s="124"/>
      <c r="G150" s="124" t="s">
        <v>79</v>
      </c>
      <c r="H150" s="272"/>
      <c r="I150" s="119">
        <v>67288</v>
      </c>
    </row>
    <row r="151" spans="1:9" s="56" customFormat="1" ht="17.25" x14ac:dyDescent="0.35">
      <c r="A151" s="271"/>
      <c r="B151" s="124"/>
      <c r="C151" s="124"/>
      <c r="D151" s="124" t="s">
        <v>69</v>
      </c>
      <c r="E151" s="124">
        <v>2</v>
      </c>
      <c r="F151" s="124">
        <v>-98</v>
      </c>
      <c r="G151" s="124"/>
      <c r="H151" s="272"/>
      <c r="I151" s="119" t="s">
        <v>241</v>
      </c>
    </row>
    <row r="152" spans="1:9" s="56" customFormat="1" ht="17.25" x14ac:dyDescent="0.35">
      <c r="A152" s="273" t="s">
        <v>242</v>
      </c>
      <c r="B152" s="124" t="s">
        <v>131</v>
      </c>
      <c r="C152" s="124" t="s">
        <v>90</v>
      </c>
      <c r="D152" s="124"/>
      <c r="E152" s="124"/>
      <c r="F152" s="124"/>
      <c r="G152" s="124"/>
      <c r="H152" s="272"/>
      <c r="I152" s="120">
        <v>67289</v>
      </c>
    </row>
    <row r="153" spans="1:9" s="56" customFormat="1" ht="17.25" x14ac:dyDescent="0.35">
      <c r="A153" s="273"/>
      <c r="B153" s="124"/>
      <c r="C153" s="124"/>
      <c r="D153" s="124" t="s">
        <v>69</v>
      </c>
      <c r="E153" s="124">
        <v>2</v>
      </c>
      <c r="F153" s="124">
        <v>-105</v>
      </c>
      <c r="G153" s="124"/>
      <c r="H153" s="272"/>
      <c r="I153" s="120" t="s">
        <v>243</v>
      </c>
    </row>
    <row r="154" spans="1:9" s="56" customFormat="1" ht="17.25" x14ac:dyDescent="0.35">
      <c r="A154" s="271" t="s">
        <v>135</v>
      </c>
      <c r="B154" s="124" t="s">
        <v>136</v>
      </c>
      <c r="C154" s="124" t="s">
        <v>90</v>
      </c>
      <c r="D154" s="124"/>
      <c r="E154" s="124"/>
      <c r="F154" s="124"/>
      <c r="G154" s="124" t="s">
        <v>79</v>
      </c>
      <c r="H154" s="272"/>
      <c r="I154" s="119">
        <v>66042</v>
      </c>
    </row>
    <row r="155" spans="1:9" s="56" customFormat="1" ht="17.25" x14ac:dyDescent="0.35">
      <c r="A155" s="271"/>
      <c r="B155" s="124"/>
      <c r="C155" s="124"/>
      <c r="D155" s="124" t="s">
        <v>69</v>
      </c>
      <c r="E155" s="124">
        <v>1</v>
      </c>
      <c r="F155" s="124">
        <v>0</v>
      </c>
      <c r="G155" s="124"/>
      <c r="H155" s="272"/>
      <c r="I155" s="119"/>
    </row>
    <row r="156" spans="1:9" s="56" customFormat="1" ht="17.25" x14ac:dyDescent="0.35">
      <c r="A156" s="271"/>
      <c r="B156" s="124"/>
      <c r="C156" s="124"/>
      <c r="D156" s="124" t="s">
        <v>69</v>
      </c>
      <c r="E156" s="124">
        <v>1</v>
      </c>
      <c r="F156" s="124">
        <v>0</v>
      </c>
      <c r="G156" s="124"/>
      <c r="H156" s="272"/>
      <c r="I156" s="119"/>
    </row>
    <row r="157" spans="1:9" s="56" customFormat="1" ht="17.25" x14ac:dyDescent="0.35">
      <c r="A157" s="271"/>
      <c r="B157" s="124"/>
      <c r="C157" s="124"/>
      <c r="D157" s="124" t="s">
        <v>69</v>
      </c>
      <c r="E157" s="124">
        <v>1</v>
      </c>
      <c r="F157" s="124">
        <v>8</v>
      </c>
      <c r="G157" s="124"/>
      <c r="H157" s="272"/>
      <c r="I157" s="119"/>
    </row>
    <row r="158" spans="1:9" s="56" customFormat="1" ht="17.25" x14ac:dyDescent="0.35">
      <c r="A158" s="271"/>
      <c r="B158" s="124"/>
      <c r="C158" s="124"/>
      <c r="D158" s="124" t="s">
        <v>69</v>
      </c>
      <c r="E158" s="124">
        <v>1</v>
      </c>
      <c r="F158" s="124">
        <v>30</v>
      </c>
      <c r="G158" s="124"/>
      <c r="H158" s="272"/>
      <c r="I158" s="119"/>
    </row>
    <row r="159" spans="1:9" s="56" customFormat="1" ht="17.25" x14ac:dyDescent="0.35">
      <c r="A159" s="271"/>
      <c r="B159" s="124"/>
      <c r="C159" s="124"/>
      <c r="D159" s="124" t="s">
        <v>69</v>
      </c>
      <c r="E159" s="124">
        <v>4</v>
      </c>
      <c r="F159" s="124" t="s">
        <v>84</v>
      </c>
      <c r="G159" s="124"/>
      <c r="H159" s="272"/>
      <c r="I159" s="119"/>
    </row>
    <row r="160" spans="1:9" s="56" customFormat="1" ht="17.25" x14ac:dyDescent="0.35">
      <c r="A160" s="271" t="s">
        <v>137</v>
      </c>
      <c r="B160" s="124" t="s">
        <v>138</v>
      </c>
      <c r="C160" s="124" t="s">
        <v>90</v>
      </c>
      <c r="D160" s="124"/>
      <c r="E160" s="124"/>
      <c r="F160" s="124"/>
      <c r="G160" s="124"/>
      <c r="H160" s="272"/>
      <c r="I160" s="119">
        <v>66043</v>
      </c>
    </row>
    <row r="161" spans="1:9" s="56" customFormat="1" ht="17.25" x14ac:dyDescent="0.35">
      <c r="A161" s="271"/>
      <c r="B161" s="124"/>
      <c r="C161" s="124"/>
      <c r="D161" s="124" t="s">
        <v>69</v>
      </c>
      <c r="E161" s="124">
        <v>1</v>
      </c>
      <c r="F161" s="124">
        <v>0</v>
      </c>
      <c r="G161" s="124"/>
      <c r="H161" s="272"/>
      <c r="I161" s="119" t="s">
        <v>313</v>
      </c>
    </row>
    <row r="162" spans="1:9" s="56" customFormat="1" ht="17.25" x14ac:dyDescent="0.35">
      <c r="A162" s="271"/>
      <c r="B162" s="124"/>
      <c r="C162" s="124"/>
      <c r="D162" s="124" t="s">
        <v>69</v>
      </c>
      <c r="E162" s="124">
        <v>1</v>
      </c>
      <c r="F162" s="124">
        <v>-100</v>
      </c>
      <c r="G162" s="124"/>
      <c r="H162" s="272"/>
      <c r="I162" s="119"/>
    </row>
    <row r="163" spans="1:9" s="56" customFormat="1" ht="17.25" x14ac:dyDescent="0.35">
      <c r="A163" s="271"/>
      <c r="B163" s="124"/>
      <c r="C163" s="124"/>
      <c r="D163" s="124" t="s">
        <v>69</v>
      </c>
      <c r="E163" s="124">
        <v>2</v>
      </c>
      <c r="F163" s="124">
        <v>-128</v>
      </c>
      <c r="G163" s="124"/>
      <c r="H163" s="272"/>
      <c r="I163" s="119"/>
    </row>
    <row r="164" spans="1:9" s="56" customFormat="1" ht="17.25" x14ac:dyDescent="0.35">
      <c r="A164" s="271"/>
      <c r="B164" s="124"/>
      <c r="C164" s="124"/>
      <c r="D164" s="124" t="s">
        <v>69</v>
      </c>
      <c r="E164" s="124">
        <v>1</v>
      </c>
      <c r="F164" s="124">
        <v>-95</v>
      </c>
      <c r="G164" s="124"/>
      <c r="H164" s="272"/>
      <c r="I164" s="119"/>
    </row>
    <row r="165" spans="1:9" s="56" customFormat="1" ht="17.25" x14ac:dyDescent="0.35">
      <c r="A165" s="271"/>
      <c r="B165" s="124"/>
      <c r="C165" s="124"/>
      <c r="D165" s="124" t="s">
        <v>69</v>
      </c>
      <c r="E165" s="124">
        <v>2</v>
      </c>
      <c r="F165" s="124">
        <v>-120</v>
      </c>
      <c r="G165" s="124"/>
      <c r="H165" s="272"/>
      <c r="I165" s="119"/>
    </row>
    <row r="166" spans="1:9" s="56" customFormat="1" ht="17.25" x14ac:dyDescent="0.35">
      <c r="A166" s="271"/>
      <c r="B166" s="124"/>
      <c r="C166" s="124"/>
      <c r="D166" s="124" t="s">
        <v>69</v>
      </c>
      <c r="E166" s="124">
        <v>1</v>
      </c>
      <c r="F166" s="124">
        <v>0</v>
      </c>
      <c r="G166" s="124"/>
      <c r="H166" s="272"/>
      <c r="I166" s="119"/>
    </row>
    <row r="167" spans="1:9" s="56" customFormat="1" ht="17.25" x14ac:dyDescent="0.35">
      <c r="A167" s="274" t="s">
        <v>452</v>
      </c>
      <c r="B167" s="124" t="s">
        <v>453</v>
      </c>
      <c r="C167" s="124" t="s">
        <v>90</v>
      </c>
      <c r="D167" s="124"/>
      <c r="E167" s="124"/>
      <c r="F167" s="124"/>
      <c r="G167" s="124" t="s">
        <v>239</v>
      </c>
      <c r="H167" s="272"/>
      <c r="I167" s="116">
        <v>65733</v>
      </c>
    </row>
    <row r="168" spans="1:9" s="56" customFormat="1" ht="17.25" x14ac:dyDescent="0.35">
      <c r="A168" s="274"/>
      <c r="B168" s="124"/>
      <c r="C168" s="124"/>
      <c r="D168" s="124" t="s">
        <v>69</v>
      </c>
      <c r="E168" s="124">
        <v>1</v>
      </c>
      <c r="F168" s="124">
        <v>0</v>
      </c>
      <c r="G168" s="124"/>
      <c r="H168" s="272"/>
      <c r="I168" s="116"/>
    </row>
    <row r="169" spans="1:9" s="56" customFormat="1" ht="17.25" x14ac:dyDescent="0.35">
      <c r="A169" s="271" t="s">
        <v>92</v>
      </c>
      <c r="B169" s="124" t="s">
        <v>85</v>
      </c>
      <c r="C169" s="124" t="s">
        <v>90</v>
      </c>
      <c r="D169" s="124"/>
      <c r="E169" s="124"/>
      <c r="F169" s="124"/>
      <c r="G169" s="124"/>
      <c r="H169" s="272"/>
      <c r="I169" s="119">
        <v>66035</v>
      </c>
    </row>
    <row r="170" spans="1:9" s="56" customFormat="1" ht="17.25" x14ac:dyDescent="0.35">
      <c r="A170" s="271"/>
      <c r="B170" s="124"/>
      <c r="C170" s="124"/>
      <c r="D170" s="124" t="s">
        <v>69</v>
      </c>
      <c r="E170" s="124">
        <v>1</v>
      </c>
      <c r="F170" s="124">
        <v>1</v>
      </c>
      <c r="G170" s="124"/>
      <c r="H170" s="272"/>
      <c r="I170" s="119" t="s">
        <v>315</v>
      </c>
    </row>
    <row r="171" spans="1:9" s="81" customFormat="1" ht="17.25" x14ac:dyDescent="0.35">
      <c r="A171" s="271" t="s">
        <v>86</v>
      </c>
      <c r="B171" s="124" t="s">
        <v>87</v>
      </c>
      <c r="C171" s="124" t="s">
        <v>90</v>
      </c>
      <c r="D171" s="124"/>
      <c r="E171" s="124"/>
      <c r="F171" s="124"/>
      <c r="G171" s="124" t="s">
        <v>79</v>
      </c>
      <c r="H171" s="272"/>
      <c r="I171" s="119">
        <v>65953</v>
      </c>
    </row>
    <row r="172" spans="1:9" s="81" customFormat="1" ht="17.25" x14ac:dyDescent="0.35">
      <c r="A172" s="271"/>
      <c r="B172" s="124"/>
      <c r="C172" s="124"/>
      <c r="D172" s="124" t="s">
        <v>69</v>
      </c>
      <c r="E172" s="124">
        <v>4</v>
      </c>
      <c r="F172" s="124">
        <v>10</v>
      </c>
      <c r="G172" s="124"/>
      <c r="H172" s="272"/>
      <c r="I172" s="119" t="s">
        <v>319</v>
      </c>
    </row>
    <row r="173" spans="1:9" s="81" customFormat="1" ht="17.25" x14ac:dyDescent="0.35">
      <c r="A173" s="271"/>
      <c r="B173" s="124"/>
      <c r="C173" s="124"/>
      <c r="D173" s="124" t="s">
        <v>69</v>
      </c>
      <c r="E173" s="124">
        <v>4</v>
      </c>
      <c r="F173" s="124">
        <v>600</v>
      </c>
      <c r="G173" s="124"/>
      <c r="H173" s="272"/>
      <c r="I173" s="119" t="s">
        <v>338</v>
      </c>
    </row>
    <row r="174" spans="1:9" s="81" customFormat="1" ht="17.25" x14ac:dyDescent="0.35">
      <c r="A174" s="271" t="s">
        <v>88</v>
      </c>
      <c r="B174" s="124" t="s">
        <v>89</v>
      </c>
      <c r="C174" s="124" t="s">
        <v>90</v>
      </c>
      <c r="D174" s="124"/>
      <c r="E174" s="124"/>
      <c r="F174" s="124"/>
      <c r="G174" s="124"/>
      <c r="H174" s="272"/>
      <c r="I174" s="119">
        <v>67200</v>
      </c>
    </row>
    <row r="175" spans="1:9" s="81" customFormat="1" ht="17.25" x14ac:dyDescent="0.35">
      <c r="A175" s="271"/>
      <c r="B175" s="124"/>
      <c r="C175" s="124"/>
      <c r="D175" s="124" t="s">
        <v>69</v>
      </c>
      <c r="E175" s="124">
        <v>1</v>
      </c>
      <c r="F175" s="124">
        <v>1</v>
      </c>
      <c r="G175" s="124"/>
      <c r="H175" s="272"/>
      <c r="I175" s="119" t="s">
        <v>27</v>
      </c>
    </row>
    <row r="176" spans="1:9" s="81" customFormat="1" ht="17.25" x14ac:dyDescent="0.35">
      <c r="A176" s="271"/>
      <c r="B176" s="124"/>
      <c r="C176" s="124"/>
      <c r="D176" s="124" t="s">
        <v>69</v>
      </c>
      <c r="E176" s="124">
        <v>1</v>
      </c>
      <c r="F176" s="124">
        <v>1</v>
      </c>
      <c r="G176" s="124"/>
      <c r="H176" s="272"/>
      <c r="I176" s="119" t="s">
        <v>122</v>
      </c>
    </row>
    <row r="177" spans="1:9" s="56" customFormat="1" ht="17.25" x14ac:dyDescent="0.35">
      <c r="A177" s="271"/>
      <c r="B177" s="124"/>
      <c r="C177" s="124"/>
      <c r="D177" s="124" t="s">
        <v>69</v>
      </c>
      <c r="E177" s="124">
        <v>1</v>
      </c>
      <c r="F177" s="124">
        <v>0</v>
      </c>
      <c r="G177" s="124"/>
      <c r="H177" s="272"/>
      <c r="I177" s="119" t="s">
        <v>123</v>
      </c>
    </row>
    <row r="178" spans="1:9" s="56" customFormat="1" ht="17.25" x14ac:dyDescent="0.35">
      <c r="A178" s="271"/>
      <c r="B178" s="124"/>
      <c r="C178" s="124"/>
      <c r="D178" s="124" t="s">
        <v>69</v>
      </c>
      <c r="E178" s="124">
        <v>1</v>
      </c>
      <c r="F178" s="124">
        <v>1</v>
      </c>
      <c r="G178" s="124"/>
      <c r="H178" s="272"/>
      <c r="I178" s="119" t="s">
        <v>124</v>
      </c>
    </row>
    <row r="179" spans="1:9" s="56" customFormat="1" ht="17.25" x14ac:dyDescent="0.35">
      <c r="A179" s="271"/>
      <c r="B179" s="124"/>
      <c r="C179" s="124"/>
      <c r="D179" s="124" t="s">
        <v>69</v>
      </c>
      <c r="E179" s="124">
        <v>1</v>
      </c>
      <c r="F179" s="124">
        <v>3</v>
      </c>
      <c r="G179" s="124"/>
      <c r="H179" s="272"/>
      <c r="I179" s="119" t="s">
        <v>125</v>
      </c>
    </row>
    <row r="180" spans="1:9" s="56" customFormat="1" ht="17.25" x14ac:dyDescent="0.35">
      <c r="A180" s="271"/>
      <c r="B180" s="124"/>
      <c r="C180" s="124"/>
      <c r="D180" s="124" t="s">
        <v>69</v>
      </c>
      <c r="E180" s="124">
        <v>2</v>
      </c>
      <c r="F180" s="124">
        <v>0</v>
      </c>
      <c r="G180" s="124"/>
      <c r="H180" s="272"/>
      <c r="I180" s="119" t="s">
        <v>126</v>
      </c>
    </row>
    <row r="181" spans="1:9" s="56" customFormat="1" ht="34.5" x14ac:dyDescent="0.35">
      <c r="A181" s="271" t="s">
        <v>233</v>
      </c>
      <c r="B181" s="124" t="s">
        <v>234</v>
      </c>
      <c r="C181" s="124" t="s">
        <v>90</v>
      </c>
      <c r="D181" s="124"/>
      <c r="E181" s="124"/>
      <c r="F181" s="124"/>
      <c r="G181" s="124" t="s">
        <v>239</v>
      </c>
      <c r="H181" s="272"/>
      <c r="I181" s="119">
        <v>70302</v>
      </c>
    </row>
    <row r="182" spans="1:9" s="56" customFormat="1" ht="17.25" x14ac:dyDescent="0.35">
      <c r="A182" s="271"/>
      <c r="B182" s="124"/>
      <c r="C182" s="124"/>
      <c r="D182" s="124" t="s">
        <v>69</v>
      </c>
      <c r="E182" s="124">
        <v>1</v>
      </c>
      <c r="F182" s="124">
        <v>1</v>
      </c>
      <c r="G182" s="124"/>
      <c r="H182" s="272"/>
      <c r="I182" s="119"/>
    </row>
    <row r="183" spans="1:9" s="56" customFormat="1" ht="19.5" customHeight="1" x14ac:dyDescent="0.35">
      <c r="A183" s="275" t="s">
        <v>416</v>
      </c>
      <c r="B183" s="124" t="s">
        <v>415</v>
      </c>
      <c r="C183" s="124" t="s">
        <v>90</v>
      </c>
      <c r="D183" s="124"/>
      <c r="E183" s="124"/>
      <c r="F183" s="124"/>
      <c r="G183" s="124" t="s">
        <v>239</v>
      </c>
      <c r="H183" s="272"/>
      <c r="I183" s="100">
        <v>67217</v>
      </c>
    </row>
    <row r="184" spans="1:9" s="56" customFormat="1" ht="19.5" customHeight="1" x14ac:dyDescent="0.35">
      <c r="A184" s="275"/>
      <c r="B184" s="124"/>
      <c r="C184" s="124"/>
      <c r="D184" s="124" t="s">
        <v>69</v>
      </c>
      <c r="E184" s="124">
        <v>1</v>
      </c>
      <c r="F184" s="276">
        <v>0</v>
      </c>
      <c r="G184" s="124"/>
      <c r="H184" s="272"/>
      <c r="I184" s="100" t="s">
        <v>414</v>
      </c>
    </row>
    <row r="185" spans="1:9" s="56" customFormat="1" ht="19.5" customHeight="1" x14ac:dyDescent="0.35">
      <c r="A185" s="275"/>
      <c r="B185" s="124"/>
      <c r="C185" s="124"/>
      <c r="D185" s="124" t="s">
        <v>69</v>
      </c>
      <c r="E185" s="124">
        <v>2</v>
      </c>
      <c r="F185" s="276" t="s">
        <v>121</v>
      </c>
      <c r="G185" s="124"/>
      <c r="H185" s="272"/>
      <c r="I185" s="100" t="s">
        <v>413</v>
      </c>
    </row>
    <row r="186" spans="1:9" s="56" customFormat="1" ht="19.5" customHeight="1" x14ac:dyDescent="0.35">
      <c r="A186" s="274" t="s">
        <v>407</v>
      </c>
      <c r="B186" s="124" t="s">
        <v>406</v>
      </c>
      <c r="C186" s="124" t="s">
        <v>90</v>
      </c>
      <c r="D186" s="124"/>
      <c r="E186" s="124"/>
      <c r="F186" s="124"/>
      <c r="G186" s="124" t="s">
        <v>239</v>
      </c>
      <c r="H186" s="272"/>
      <c r="I186" s="116">
        <v>65811</v>
      </c>
    </row>
    <row r="187" spans="1:9" s="56" customFormat="1" ht="19.5" customHeight="1" x14ac:dyDescent="0.35">
      <c r="A187" s="274"/>
      <c r="B187" s="124"/>
      <c r="C187" s="124"/>
      <c r="D187" s="124" t="s">
        <v>69</v>
      </c>
      <c r="E187" s="124">
        <v>1</v>
      </c>
      <c r="F187" s="124">
        <v>0</v>
      </c>
      <c r="G187" s="124"/>
      <c r="H187" s="272"/>
      <c r="I187" s="116"/>
    </row>
    <row r="188" spans="1:9" s="56" customFormat="1" ht="19.5" customHeight="1" x14ac:dyDescent="0.35">
      <c r="A188" s="271" t="s">
        <v>245</v>
      </c>
      <c r="B188" s="124" t="s">
        <v>246</v>
      </c>
      <c r="C188" s="124" t="s">
        <v>90</v>
      </c>
      <c r="D188" s="124"/>
      <c r="E188" s="124"/>
      <c r="F188" s="124"/>
      <c r="G188" s="124" t="s">
        <v>79</v>
      </c>
      <c r="H188" s="272"/>
      <c r="I188" s="119">
        <v>67291</v>
      </c>
    </row>
    <row r="189" spans="1:9" s="56" customFormat="1" ht="19.5" customHeight="1" x14ac:dyDescent="0.35">
      <c r="A189" s="271"/>
      <c r="B189" s="124"/>
      <c r="C189" s="124"/>
      <c r="D189" s="124" t="s">
        <v>69</v>
      </c>
      <c r="E189" s="124">
        <v>1</v>
      </c>
      <c r="F189" s="124">
        <v>0</v>
      </c>
      <c r="G189" s="124"/>
      <c r="H189" s="272"/>
      <c r="I189" s="119"/>
    </row>
    <row r="190" spans="1:9" s="56" customFormat="1" ht="19.5" customHeight="1" x14ac:dyDescent="0.35">
      <c r="A190" s="277" t="s">
        <v>518</v>
      </c>
      <c r="B190" s="124" t="s">
        <v>517</v>
      </c>
      <c r="C190" s="259" t="s">
        <v>71</v>
      </c>
      <c r="D190" s="259"/>
      <c r="E190" s="124"/>
      <c r="F190" s="259"/>
      <c r="G190" s="124" t="s">
        <v>239</v>
      </c>
      <c r="H190" s="272" t="s">
        <v>541</v>
      </c>
      <c r="I190" s="152"/>
    </row>
    <row r="191" spans="1:9" s="56" customFormat="1" ht="17.25" x14ac:dyDescent="0.35">
      <c r="A191" s="278" t="s">
        <v>433</v>
      </c>
      <c r="B191" s="124" t="s">
        <v>432</v>
      </c>
      <c r="C191" s="124" t="s">
        <v>71</v>
      </c>
      <c r="D191" s="124"/>
      <c r="E191" s="124"/>
      <c r="F191" s="124"/>
      <c r="G191" s="124" t="s">
        <v>239</v>
      </c>
      <c r="H191" s="272" t="s">
        <v>431</v>
      </c>
      <c r="I191" s="119" t="s">
        <v>248</v>
      </c>
    </row>
    <row r="192" spans="1:9" s="56" customFormat="1" ht="17.25" x14ac:dyDescent="0.35">
      <c r="A192" s="271" t="s">
        <v>546</v>
      </c>
      <c r="B192" s="124" t="s">
        <v>550</v>
      </c>
      <c r="C192" s="124" t="s">
        <v>71</v>
      </c>
      <c r="D192" s="124"/>
      <c r="E192" s="124"/>
      <c r="F192" s="124"/>
      <c r="G192" s="124" t="s">
        <v>79</v>
      </c>
      <c r="H192" s="272" t="s">
        <v>549</v>
      </c>
      <c r="I192" s="119"/>
    </row>
    <row r="193" spans="1:9" s="56" customFormat="1" ht="16.5" customHeight="1" x14ac:dyDescent="0.35">
      <c r="A193" s="271" t="s">
        <v>247</v>
      </c>
      <c r="B193" s="124" t="s">
        <v>236</v>
      </c>
      <c r="C193" s="124" t="s">
        <v>71</v>
      </c>
      <c r="D193" s="124"/>
      <c r="E193" s="124"/>
      <c r="F193" s="124"/>
      <c r="G193" s="124" t="s">
        <v>239</v>
      </c>
      <c r="H193" s="272" t="s">
        <v>548</v>
      </c>
      <c r="I193" s="119">
        <v>69739</v>
      </c>
    </row>
    <row r="194" spans="1:9" s="56" customFormat="1" ht="17.25" x14ac:dyDescent="0.35">
      <c r="A194" s="271" t="s">
        <v>249</v>
      </c>
      <c r="B194" s="124" t="s">
        <v>250</v>
      </c>
      <c r="C194" s="124" t="s">
        <v>90</v>
      </c>
      <c r="D194" s="124"/>
      <c r="E194" s="124"/>
      <c r="F194" s="124"/>
      <c r="G194" s="124" t="s">
        <v>79</v>
      </c>
      <c r="H194" s="272"/>
      <c r="I194" s="119" t="s">
        <v>27</v>
      </c>
    </row>
    <row r="195" spans="1:9" s="56" customFormat="1" ht="17.25" x14ac:dyDescent="0.35">
      <c r="A195" s="271"/>
      <c r="B195" s="124"/>
      <c r="C195" s="124"/>
      <c r="D195" s="124" t="s">
        <v>69</v>
      </c>
      <c r="E195" s="124">
        <v>1</v>
      </c>
      <c r="F195" s="124">
        <v>1</v>
      </c>
      <c r="G195" s="124"/>
      <c r="H195" s="272"/>
      <c r="I195" s="119" t="s">
        <v>251</v>
      </c>
    </row>
    <row r="196" spans="1:9" s="56" customFormat="1" ht="17.25" x14ac:dyDescent="0.35">
      <c r="A196" s="271"/>
      <c r="B196" s="124"/>
      <c r="C196" s="124"/>
      <c r="D196" s="124" t="s">
        <v>69</v>
      </c>
      <c r="E196" s="124">
        <v>4</v>
      </c>
      <c r="F196" s="124">
        <v>1000</v>
      </c>
      <c r="G196" s="124"/>
      <c r="H196" s="272"/>
      <c r="I196" s="119">
        <v>67208</v>
      </c>
    </row>
    <row r="197" spans="1:9" s="56" customFormat="1" ht="17.25" x14ac:dyDescent="0.35">
      <c r="A197" s="271" t="s">
        <v>142</v>
      </c>
      <c r="B197" s="124" t="s">
        <v>141</v>
      </c>
      <c r="C197" s="124" t="s">
        <v>90</v>
      </c>
      <c r="D197" s="124"/>
      <c r="E197" s="124"/>
      <c r="F197" s="124"/>
      <c r="G197" s="124" t="s">
        <v>239</v>
      </c>
      <c r="H197" s="272"/>
      <c r="I197" s="119"/>
    </row>
    <row r="198" spans="1:9" s="56" customFormat="1" ht="17.25" x14ac:dyDescent="0.35">
      <c r="A198" s="271"/>
      <c r="B198" s="124"/>
      <c r="C198" s="124"/>
      <c r="D198" s="124" t="s">
        <v>69</v>
      </c>
      <c r="E198" s="124">
        <v>1</v>
      </c>
      <c r="F198" s="124">
        <v>1</v>
      </c>
      <c r="G198" s="124"/>
      <c r="H198" s="272"/>
      <c r="I198" s="121"/>
    </row>
    <row r="199" spans="1:9" s="56" customFormat="1" ht="17.25" x14ac:dyDescent="0.35">
      <c r="A199" s="279" t="s">
        <v>275</v>
      </c>
      <c r="B199" s="124" t="s">
        <v>276</v>
      </c>
      <c r="C199" s="124" t="s">
        <v>71</v>
      </c>
      <c r="D199" s="124"/>
      <c r="E199" s="124"/>
      <c r="F199" s="124"/>
      <c r="G199" s="124" t="s">
        <v>79</v>
      </c>
      <c r="H199" s="272" t="s">
        <v>277</v>
      </c>
      <c r="I199" s="121"/>
    </row>
    <row r="200" spans="1:9" s="56" customFormat="1" ht="17.25" x14ac:dyDescent="0.35">
      <c r="A200" s="279" t="s">
        <v>278</v>
      </c>
      <c r="B200" s="124" t="s">
        <v>279</v>
      </c>
      <c r="C200" s="124" t="s">
        <v>71</v>
      </c>
      <c r="D200" s="124"/>
      <c r="E200" s="124"/>
      <c r="F200" s="124"/>
      <c r="G200" s="124" t="s">
        <v>239</v>
      </c>
      <c r="H200" s="272" t="s">
        <v>280</v>
      </c>
      <c r="I200" s="121"/>
    </row>
    <row r="201" spans="1:9" s="56" customFormat="1" ht="17.25" x14ac:dyDescent="0.35">
      <c r="A201" s="279" t="s">
        <v>281</v>
      </c>
      <c r="B201" s="124" t="s">
        <v>282</v>
      </c>
      <c r="C201" s="124" t="s">
        <v>71</v>
      </c>
      <c r="D201" s="124"/>
      <c r="E201" s="124"/>
      <c r="F201" s="124"/>
      <c r="G201" s="124" t="s">
        <v>239</v>
      </c>
      <c r="H201" s="272" t="s">
        <v>283</v>
      </c>
      <c r="I201" s="121"/>
    </row>
    <row r="202" spans="1:9" s="56" customFormat="1" ht="17.25" x14ac:dyDescent="0.35">
      <c r="A202" s="279" t="s">
        <v>284</v>
      </c>
      <c r="B202" s="124" t="s">
        <v>285</v>
      </c>
      <c r="C202" s="124" t="s">
        <v>71</v>
      </c>
      <c r="D202" s="124"/>
      <c r="E202" s="124"/>
      <c r="F202" s="124"/>
      <c r="G202" s="124" t="s">
        <v>239</v>
      </c>
      <c r="H202" s="272" t="s">
        <v>286</v>
      </c>
      <c r="I202" s="121"/>
    </row>
    <row r="203" spans="1:9" s="56" customFormat="1" ht="17.25" x14ac:dyDescent="0.35">
      <c r="A203" s="279" t="s">
        <v>287</v>
      </c>
      <c r="B203" s="124" t="s">
        <v>288</v>
      </c>
      <c r="C203" s="124" t="s">
        <v>71</v>
      </c>
      <c r="D203" s="124"/>
      <c r="E203" s="124"/>
      <c r="F203" s="124"/>
      <c r="G203" s="124" t="s">
        <v>239</v>
      </c>
      <c r="H203" s="272" t="s">
        <v>289</v>
      </c>
      <c r="I203" s="121"/>
    </row>
    <row r="204" spans="1:9" s="56" customFormat="1" ht="17.25" x14ac:dyDescent="0.35">
      <c r="A204" s="279" t="s">
        <v>290</v>
      </c>
      <c r="B204" s="124" t="s">
        <v>291</v>
      </c>
      <c r="C204" s="124" t="s">
        <v>71</v>
      </c>
      <c r="D204" s="124"/>
      <c r="E204" s="124"/>
      <c r="F204" s="124"/>
      <c r="G204" s="124" t="s">
        <v>79</v>
      </c>
      <c r="H204" s="272" t="s">
        <v>292</v>
      </c>
      <c r="I204" s="121"/>
    </row>
    <row r="205" spans="1:9" s="56" customFormat="1" ht="17.25" x14ac:dyDescent="0.35">
      <c r="A205" s="279" t="s">
        <v>293</v>
      </c>
      <c r="B205" s="124" t="s">
        <v>294</v>
      </c>
      <c r="C205" s="124" t="s">
        <v>71</v>
      </c>
      <c r="D205" s="124"/>
      <c r="E205" s="124"/>
      <c r="F205" s="124"/>
      <c r="G205" s="124" t="s">
        <v>239</v>
      </c>
      <c r="H205" s="272" t="s">
        <v>295</v>
      </c>
      <c r="I205" s="121"/>
    </row>
    <row r="206" spans="1:9" s="56" customFormat="1" ht="17.25" x14ac:dyDescent="0.35">
      <c r="A206" s="279" t="s">
        <v>296</v>
      </c>
      <c r="B206" s="124" t="s">
        <v>252</v>
      </c>
      <c r="C206" s="124" t="s">
        <v>71</v>
      </c>
      <c r="D206" s="124"/>
      <c r="E206" s="124"/>
      <c r="F206" s="124"/>
      <c r="G206" s="124" t="s">
        <v>239</v>
      </c>
      <c r="H206" s="272" t="s">
        <v>297</v>
      </c>
      <c r="I206" s="121"/>
    </row>
    <row r="207" spans="1:9" s="56" customFormat="1" ht="51.75" x14ac:dyDescent="0.35">
      <c r="A207" s="279" t="s">
        <v>298</v>
      </c>
      <c r="B207" s="124" t="s">
        <v>253</v>
      </c>
      <c r="C207" s="124" t="s">
        <v>71</v>
      </c>
      <c r="D207" s="124"/>
      <c r="E207" s="124"/>
      <c r="F207" s="124"/>
      <c r="G207" s="124" t="s">
        <v>239</v>
      </c>
      <c r="H207" s="272" t="s">
        <v>299</v>
      </c>
      <c r="I207" s="122" t="s">
        <v>423</v>
      </c>
    </row>
    <row r="208" spans="1:9" s="56" customFormat="1" ht="17.25" x14ac:dyDescent="0.35">
      <c r="A208" s="280" t="s">
        <v>426</v>
      </c>
      <c r="B208" s="124" t="s">
        <v>425</v>
      </c>
      <c r="C208" s="124" t="s">
        <v>71</v>
      </c>
      <c r="D208" s="124"/>
      <c r="E208" s="124"/>
      <c r="F208" s="124"/>
      <c r="G208" s="124" t="s">
        <v>239</v>
      </c>
      <c r="H208" s="272" t="s">
        <v>424</v>
      </c>
      <c r="I208" s="121"/>
    </row>
    <row r="209" spans="1:9" s="56" customFormat="1" ht="17.25" x14ac:dyDescent="0.35">
      <c r="A209" s="279" t="s">
        <v>300</v>
      </c>
      <c r="B209" s="124" t="s">
        <v>301</v>
      </c>
      <c r="C209" s="124" t="s">
        <v>71</v>
      </c>
      <c r="D209" s="124"/>
      <c r="E209" s="124"/>
      <c r="F209" s="124"/>
      <c r="G209" s="124" t="s">
        <v>239</v>
      </c>
      <c r="H209" s="272" t="s">
        <v>302</v>
      </c>
      <c r="I209" s="121">
        <v>65777</v>
      </c>
    </row>
    <row r="210" spans="1:9" s="56" customFormat="1" ht="17.25" x14ac:dyDescent="0.35">
      <c r="A210" s="279" t="s">
        <v>120</v>
      </c>
      <c r="B210" s="124" t="s">
        <v>91</v>
      </c>
      <c r="C210" s="124" t="s">
        <v>90</v>
      </c>
      <c r="D210" s="124"/>
      <c r="E210" s="124"/>
      <c r="F210" s="124"/>
      <c r="G210" s="124"/>
      <c r="H210" s="272"/>
      <c r="I210" s="121" t="s">
        <v>311</v>
      </c>
    </row>
    <row r="211" spans="1:9" s="56" customFormat="1" ht="17.25" x14ac:dyDescent="0.35">
      <c r="A211" s="279" t="s">
        <v>139</v>
      </c>
      <c r="B211" s="124" t="s">
        <v>139</v>
      </c>
      <c r="C211" s="124"/>
      <c r="D211" s="124" t="s">
        <v>69</v>
      </c>
      <c r="E211" s="124">
        <v>1</v>
      </c>
      <c r="F211" s="124">
        <v>0</v>
      </c>
      <c r="G211" s="124"/>
      <c r="H211" s="272"/>
      <c r="I211" s="107">
        <v>66048</v>
      </c>
    </row>
    <row r="212" spans="1:9" s="56" customFormat="1" ht="17.25" x14ac:dyDescent="0.35">
      <c r="A212" s="281" t="s">
        <v>307</v>
      </c>
      <c r="B212" s="124" t="s">
        <v>308</v>
      </c>
      <c r="C212" s="124" t="s">
        <v>90</v>
      </c>
      <c r="D212" s="124"/>
      <c r="E212" s="124"/>
      <c r="F212" s="124"/>
      <c r="G212" s="124" t="s">
        <v>239</v>
      </c>
      <c r="H212" s="272"/>
      <c r="I212" s="107" t="s">
        <v>309</v>
      </c>
    </row>
    <row r="213" spans="1:9" s="56" customFormat="1" ht="17.25" x14ac:dyDescent="0.35">
      <c r="A213" s="281" t="s">
        <v>139</v>
      </c>
      <c r="B213" s="124" t="s">
        <v>139</v>
      </c>
      <c r="C213" s="124"/>
      <c r="D213" s="124" t="s">
        <v>69</v>
      </c>
      <c r="E213" s="124">
        <v>1</v>
      </c>
      <c r="F213" s="124">
        <v>0</v>
      </c>
      <c r="G213" s="124"/>
      <c r="H213" s="272"/>
      <c r="I213" s="117">
        <v>65591</v>
      </c>
    </row>
    <row r="214" spans="1:9" s="56" customFormat="1" ht="17.25" x14ac:dyDescent="0.35">
      <c r="A214" s="282" t="s">
        <v>317</v>
      </c>
      <c r="B214" s="124" t="s">
        <v>318</v>
      </c>
      <c r="C214" s="124" t="s">
        <v>90</v>
      </c>
      <c r="D214" s="124"/>
      <c r="E214" s="124"/>
      <c r="F214" s="124"/>
      <c r="G214" s="124" t="s">
        <v>239</v>
      </c>
      <c r="H214" s="272"/>
      <c r="I214" s="117"/>
    </row>
    <row r="215" spans="1:9" s="56" customFormat="1" ht="17.25" x14ac:dyDescent="0.35">
      <c r="A215" s="282"/>
      <c r="B215" s="124"/>
      <c r="C215" s="124"/>
      <c r="D215" s="124" t="s">
        <v>69</v>
      </c>
      <c r="E215" s="124">
        <v>4</v>
      </c>
      <c r="F215" s="124" t="s">
        <v>84</v>
      </c>
      <c r="G215" s="124"/>
      <c r="H215" s="272"/>
      <c r="I215" s="123">
        <v>66045</v>
      </c>
    </row>
    <row r="216" spans="1:9" s="56" customFormat="1" ht="17.25" x14ac:dyDescent="0.35">
      <c r="A216" s="283" t="s">
        <v>320</v>
      </c>
      <c r="B216" s="124" t="s">
        <v>321</v>
      </c>
      <c r="C216" s="124" t="s">
        <v>90</v>
      </c>
      <c r="D216" s="124"/>
      <c r="E216" s="124"/>
      <c r="F216" s="124"/>
      <c r="G216" s="124" t="s">
        <v>79</v>
      </c>
      <c r="H216" s="272"/>
      <c r="I216" s="123"/>
    </row>
    <row r="217" spans="1:9" s="56" customFormat="1" ht="17.25" x14ac:dyDescent="0.35">
      <c r="A217" s="283"/>
      <c r="B217" s="124"/>
      <c r="C217" s="124"/>
      <c r="D217" s="124" t="s">
        <v>69</v>
      </c>
      <c r="E217" s="124">
        <v>1</v>
      </c>
      <c r="F217" s="124">
        <v>1</v>
      </c>
      <c r="G217" s="124"/>
      <c r="H217" s="272"/>
      <c r="I217" s="117">
        <v>65674</v>
      </c>
    </row>
    <row r="218" spans="1:9" s="56" customFormat="1" ht="34.5" x14ac:dyDescent="0.35">
      <c r="A218" s="282" t="s">
        <v>336</v>
      </c>
      <c r="B218" s="124" t="s">
        <v>337</v>
      </c>
      <c r="C218" s="124" t="s">
        <v>90</v>
      </c>
      <c r="D218" s="124"/>
      <c r="E218" s="124"/>
      <c r="F218" s="124"/>
      <c r="G218" s="124" t="s">
        <v>79</v>
      </c>
      <c r="H218" s="272"/>
      <c r="I218" s="117">
        <v>67270</v>
      </c>
    </row>
    <row r="219" spans="1:9" s="56" customFormat="1" ht="17.25" x14ac:dyDescent="0.35">
      <c r="A219" s="282"/>
      <c r="B219" s="124"/>
      <c r="C219" s="124"/>
      <c r="D219" s="124" t="s">
        <v>69</v>
      </c>
      <c r="E219" s="124">
        <v>1</v>
      </c>
      <c r="F219" s="124">
        <v>1</v>
      </c>
      <c r="G219" s="124"/>
      <c r="H219" s="272"/>
      <c r="I219" s="117"/>
    </row>
    <row r="220" spans="1:9" s="56" customFormat="1" ht="17.25" x14ac:dyDescent="0.35">
      <c r="A220" s="282" t="s">
        <v>329</v>
      </c>
      <c r="B220" s="124" t="s">
        <v>330</v>
      </c>
      <c r="C220" s="124" t="s">
        <v>90</v>
      </c>
      <c r="D220" s="124"/>
      <c r="E220" s="124"/>
      <c r="F220" s="124"/>
      <c r="G220" s="124" t="s">
        <v>239</v>
      </c>
      <c r="H220" s="272"/>
      <c r="I220" s="117">
        <v>72538</v>
      </c>
    </row>
    <row r="221" spans="1:9" s="56" customFormat="1" ht="17.25" x14ac:dyDescent="0.35">
      <c r="A221" s="282"/>
      <c r="B221" s="124"/>
      <c r="C221" s="124"/>
      <c r="D221" s="124" t="s">
        <v>69</v>
      </c>
      <c r="E221" s="124">
        <v>2</v>
      </c>
      <c r="F221" s="124">
        <v>300</v>
      </c>
      <c r="G221" s="124"/>
      <c r="H221" s="272"/>
      <c r="I221" s="117"/>
    </row>
    <row r="222" spans="1:9" s="56" customFormat="1" ht="17.25" x14ac:dyDescent="0.35">
      <c r="A222" s="282"/>
      <c r="B222" s="124"/>
      <c r="C222" s="124"/>
      <c r="D222" s="124" t="s">
        <v>69</v>
      </c>
      <c r="E222" s="124">
        <v>2</v>
      </c>
      <c r="F222" s="124">
        <v>10</v>
      </c>
      <c r="G222" s="124"/>
      <c r="H222" s="272"/>
      <c r="I222" s="117"/>
    </row>
    <row r="223" spans="1:9" s="56" customFormat="1" ht="16.5" customHeight="1" x14ac:dyDescent="0.35">
      <c r="A223" s="283" t="s">
        <v>331</v>
      </c>
      <c r="B223" s="124" t="s">
        <v>332</v>
      </c>
      <c r="C223" s="124" t="s">
        <v>90</v>
      </c>
      <c r="D223" s="124"/>
      <c r="E223" s="124"/>
      <c r="F223" s="124"/>
      <c r="G223" s="124"/>
      <c r="H223" s="272"/>
      <c r="I223" s="123">
        <v>72608</v>
      </c>
    </row>
    <row r="224" spans="1:9" s="56" customFormat="1" ht="16.5" customHeight="1" x14ac:dyDescent="0.35">
      <c r="A224" s="283"/>
      <c r="B224" s="124"/>
      <c r="C224" s="124"/>
      <c r="D224" s="124" t="s">
        <v>69</v>
      </c>
      <c r="E224" s="124">
        <v>1</v>
      </c>
      <c r="F224" s="124">
        <v>1</v>
      </c>
      <c r="G224" s="124"/>
      <c r="H224" s="272"/>
      <c r="I224" s="123" t="s">
        <v>333</v>
      </c>
    </row>
    <row r="225" spans="1:11" s="56" customFormat="1" ht="16.5" customHeight="1" x14ac:dyDescent="0.35">
      <c r="A225" s="283"/>
      <c r="B225" s="124"/>
      <c r="C225" s="124"/>
      <c r="D225" s="124" t="s">
        <v>69</v>
      </c>
      <c r="E225" s="124">
        <v>2</v>
      </c>
      <c r="F225" s="124">
        <v>900</v>
      </c>
      <c r="G225" s="124"/>
      <c r="H225" s="272"/>
      <c r="I225" s="123" t="s">
        <v>334</v>
      </c>
    </row>
    <row r="226" spans="1:11" s="56" customFormat="1" ht="17.25" x14ac:dyDescent="0.35">
      <c r="A226" s="283"/>
      <c r="B226" s="124"/>
      <c r="C226" s="124"/>
      <c r="D226" s="124" t="s">
        <v>69</v>
      </c>
      <c r="E226" s="124">
        <v>2</v>
      </c>
      <c r="F226" s="124">
        <v>100</v>
      </c>
      <c r="G226" s="124"/>
      <c r="H226" s="272"/>
      <c r="I226" s="123" t="s">
        <v>335</v>
      </c>
    </row>
    <row r="227" spans="1:11" s="145" customFormat="1" ht="17.25" x14ac:dyDescent="0.35">
      <c r="A227" s="282" t="s">
        <v>343</v>
      </c>
      <c r="B227" s="124" t="s">
        <v>342</v>
      </c>
      <c r="C227" s="124" t="s">
        <v>90</v>
      </c>
      <c r="D227" s="124"/>
      <c r="E227" s="124"/>
      <c r="F227" s="124"/>
      <c r="G227" s="124" t="s">
        <v>239</v>
      </c>
      <c r="H227" s="272"/>
      <c r="I227" s="117" t="s">
        <v>344</v>
      </c>
      <c r="J227" s="56"/>
      <c r="K227" s="56"/>
    </row>
    <row r="228" spans="1:11" s="145" customFormat="1" ht="17.25" x14ac:dyDescent="0.35">
      <c r="A228" s="282"/>
      <c r="B228" s="124"/>
      <c r="C228" s="124"/>
      <c r="D228" s="124" t="s">
        <v>69</v>
      </c>
      <c r="E228" s="124">
        <v>1</v>
      </c>
      <c r="F228" s="124">
        <v>0</v>
      </c>
      <c r="G228" s="124"/>
      <c r="H228" s="272"/>
      <c r="I228" s="117"/>
      <c r="J228" s="56"/>
      <c r="K228" s="56"/>
    </row>
    <row r="229" spans="1:11" s="145" customFormat="1" ht="17.25" x14ac:dyDescent="0.35">
      <c r="A229" s="282" t="s">
        <v>345</v>
      </c>
      <c r="B229" s="124" t="s">
        <v>346</v>
      </c>
      <c r="C229" s="124" t="s">
        <v>90</v>
      </c>
      <c r="D229" s="124"/>
      <c r="E229" s="124"/>
      <c r="F229" s="124"/>
      <c r="G229" s="124" t="s">
        <v>239</v>
      </c>
      <c r="H229" s="272"/>
      <c r="I229" s="117">
        <v>72539</v>
      </c>
      <c r="J229" s="56"/>
      <c r="K229" s="56"/>
    </row>
    <row r="230" spans="1:11" s="145" customFormat="1" ht="17.25" x14ac:dyDescent="0.35">
      <c r="A230" s="282"/>
      <c r="B230" s="124"/>
      <c r="C230" s="124"/>
      <c r="D230" s="124" t="s">
        <v>69</v>
      </c>
      <c r="E230" s="124">
        <v>1</v>
      </c>
      <c r="F230" s="124">
        <v>1</v>
      </c>
      <c r="G230" s="124"/>
      <c r="H230" s="272"/>
      <c r="I230" s="117"/>
      <c r="J230" s="56"/>
      <c r="K230" s="56"/>
    </row>
    <row r="231" spans="1:11" s="56" customFormat="1" ht="17.25" x14ac:dyDescent="0.35">
      <c r="A231" s="281" t="s">
        <v>362</v>
      </c>
      <c r="B231" s="124" t="s">
        <v>363</v>
      </c>
      <c r="C231" s="124" t="s">
        <v>90</v>
      </c>
      <c r="D231" s="124"/>
      <c r="E231" s="124"/>
      <c r="F231" s="124"/>
      <c r="G231" s="124" t="s">
        <v>239</v>
      </c>
      <c r="H231" s="272"/>
      <c r="I231" s="107">
        <v>72614</v>
      </c>
    </row>
    <row r="232" spans="1:11" s="146" customFormat="1" ht="17.25" x14ac:dyDescent="0.35">
      <c r="A232" s="282"/>
      <c r="B232" s="124"/>
      <c r="C232" s="124"/>
      <c r="D232" s="124" t="s">
        <v>69</v>
      </c>
      <c r="E232" s="124">
        <v>1</v>
      </c>
      <c r="F232" s="124">
        <v>1</v>
      </c>
      <c r="G232" s="124"/>
      <c r="H232" s="272"/>
      <c r="I232" s="117" t="s">
        <v>364</v>
      </c>
      <c r="J232" s="81"/>
      <c r="K232" s="81"/>
    </row>
    <row r="233" spans="1:11" s="147" customFormat="1" ht="17.25" x14ac:dyDescent="0.35">
      <c r="A233" s="282" t="s">
        <v>457</v>
      </c>
      <c r="B233" s="124" t="s">
        <v>458</v>
      </c>
      <c r="C233" s="124" t="s">
        <v>90</v>
      </c>
      <c r="D233" s="124"/>
      <c r="E233" s="124"/>
      <c r="F233" s="124"/>
      <c r="G233" s="124" t="s">
        <v>239</v>
      </c>
      <c r="H233" s="272"/>
      <c r="I233" s="117">
        <v>73616</v>
      </c>
      <c r="J233" s="56"/>
      <c r="K233" s="56"/>
    </row>
    <row r="234" spans="1:11" s="147" customFormat="1" ht="17.25" x14ac:dyDescent="0.35">
      <c r="A234" s="282"/>
      <c r="B234" s="124"/>
      <c r="C234" s="124"/>
      <c r="D234" s="124" t="s">
        <v>69</v>
      </c>
      <c r="E234" s="124">
        <v>1</v>
      </c>
      <c r="F234" s="124">
        <v>1</v>
      </c>
      <c r="G234" s="124"/>
      <c r="H234" s="272"/>
      <c r="I234" s="117"/>
      <c r="J234" s="56"/>
      <c r="K234" s="56"/>
    </row>
    <row r="235" spans="1:11" s="147" customFormat="1" ht="17.25" x14ac:dyDescent="0.35">
      <c r="A235" s="282" t="s">
        <v>386</v>
      </c>
      <c r="B235" s="124" t="s">
        <v>387</v>
      </c>
      <c r="C235" s="124" t="s">
        <v>90</v>
      </c>
      <c r="D235" s="124"/>
      <c r="E235" s="124"/>
      <c r="F235" s="124"/>
      <c r="G235" s="124" t="s">
        <v>239</v>
      </c>
      <c r="H235" s="272"/>
      <c r="I235" s="117">
        <v>67221</v>
      </c>
      <c r="J235" s="56"/>
      <c r="K235" s="56"/>
    </row>
    <row r="236" spans="1:11" s="56" customFormat="1" ht="40.5" x14ac:dyDescent="0.35">
      <c r="A236" s="282"/>
      <c r="B236" s="124"/>
      <c r="C236" s="124"/>
      <c r="D236" s="124" t="s">
        <v>388</v>
      </c>
      <c r="E236" s="124">
        <v>1</v>
      </c>
      <c r="F236" s="124" t="s">
        <v>389</v>
      </c>
      <c r="G236" s="124"/>
      <c r="H236" s="272"/>
      <c r="I236" s="117"/>
    </row>
    <row r="237" spans="1:11" s="56" customFormat="1" ht="17.25" x14ac:dyDescent="0.35">
      <c r="A237" s="282" t="s">
        <v>390</v>
      </c>
      <c r="B237" s="124" t="s">
        <v>391</v>
      </c>
      <c r="C237" s="124" t="s">
        <v>90</v>
      </c>
      <c r="D237" s="124"/>
      <c r="E237" s="124"/>
      <c r="F237" s="124"/>
      <c r="G237" s="124" t="s">
        <v>239</v>
      </c>
      <c r="H237" s="272"/>
      <c r="I237" s="117">
        <v>70242</v>
      </c>
    </row>
    <row r="238" spans="1:11" s="56" customFormat="1" ht="17.25" x14ac:dyDescent="0.35">
      <c r="A238" s="282"/>
      <c r="B238" s="124"/>
      <c r="C238" s="124"/>
      <c r="D238" s="124" t="s">
        <v>69</v>
      </c>
      <c r="E238" s="124">
        <v>1</v>
      </c>
      <c r="F238" s="124">
        <v>0</v>
      </c>
      <c r="G238" s="124"/>
      <c r="H238" s="272"/>
      <c r="I238" s="117"/>
    </row>
    <row r="239" spans="1:11" s="56" customFormat="1" ht="17.25" x14ac:dyDescent="0.35">
      <c r="A239" s="282" t="s">
        <v>392</v>
      </c>
      <c r="B239" s="124" t="s">
        <v>393</v>
      </c>
      <c r="C239" s="124" t="s">
        <v>90</v>
      </c>
      <c r="D239" s="124"/>
      <c r="E239" s="124"/>
      <c r="F239" s="124"/>
      <c r="G239" s="124" t="s">
        <v>239</v>
      </c>
      <c r="H239" s="272"/>
      <c r="I239" s="117">
        <v>69736</v>
      </c>
    </row>
    <row r="240" spans="1:11" s="56" customFormat="1" ht="17.25" x14ac:dyDescent="0.35">
      <c r="A240" s="282"/>
      <c r="B240" s="124"/>
      <c r="C240" s="124"/>
      <c r="D240" s="124" t="s">
        <v>69</v>
      </c>
      <c r="E240" s="124">
        <v>1</v>
      </c>
      <c r="F240" s="124">
        <v>1</v>
      </c>
      <c r="G240" s="124"/>
      <c r="H240" s="272"/>
      <c r="I240" s="117"/>
    </row>
    <row r="241" spans="1:9" s="56" customFormat="1" ht="17.25" x14ac:dyDescent="0.35">
      <c r="A241" s="282" t="s">
        <v>394</v>
      </c>
      <c r="B241" s="124" t="s">
        <v>395</v>
      </c>
      <c r="C241" s="124" t="s">
        <v>90</v>
      </c>
      <c r="D241" s="124"/>
      <c r="E241" s="124"/>
      <c r="F241" s="124"/>
      <c r="G241" s="124" t="s">
        <v>239</v>
      </c>
      <c r="H241" s="272"/>
      <c r="I241" s="117">
        <v>69737</v>
      </c>
    </row>
    <row r="242" spans="1:9" s="56" customFormat="1" ht="155.25" x14ac:dyDescent="0.35">
      <c r="A242" s="282"/>
      <c r="B242" s="124"/>
      <c r="C242" s="124"/>
      <c r="D242" s="124" t="s">
        <v>396</v>
      </c>
      <c r="E242" s="124">
        <v>1</v>
      </c>
      <c r="F242" s="124" t="s">
        <v>397</v>
      </c>
      <c r="G242" s="124"/>
      <c r="H242" s="272"/>
      <c r="I242" s="117"/>
    </row>
    <row r="243" spans="1:9" s="56" customFormat="1" ht="17.25" x14ac:dyDescent="0.35">
      <c r="A243" s="282" t="s">
        <v>400</v>
      </c>
      <c r="B243" s="124" t="s">
        <v>401</v>
      </c>
      <c r="C243" s="124" t="s">
        <v>90</v>
      </c>
      <c r="D243" s="124"/>
      <c r="E243" s="124"/>
      <c r="F243" s="124"/>
      <c r="G243" s="124" t="s">
        <v>239</v>
      </c>
      <c r="H243" s="272"/>
      <c r="I243" s="117"/>
    </row>
    <row r="244" spans="1:9" s="56" customFormat="1" ht="17.25" x14ac:dyDescent="0.35">
      <c r="A244" s="282"/>
      <c r="B244" s="124"/>
      <c r="C244" s="124"/>
      <c r="D244" s="124" t="s">
        <v>69</v>
      </c>
      <c r="E244" s="124">
        <v>1</v>
      </c>
      <c r="F244" s="124">
        <v>1</v>
      </c>
      <c r="G244" s="124"/>
      <c r="H244" s="272"/>
      <c r="I244" s="117"/>
    </row>
    <row r="245" spans="1:9" s="56" customFormat="1" ht="17.25" x14ac:dyDescent="0.35">
      <c r="A245" s="282" t="s">
        <v>376</v>
      </c>
      <c r="B245" s="124" t="s">
        <v>377</v>
      </c>
      <c r="C245" s="124" t="s">
        <v>71</v>
      </c>
      <c r="D245" s="124"/>
      <c r="E245" s="124"/>
      <c r="F245" s="124"/>
      <c r="G245" s="124" t="s">
        <v>239</v>
      </c>
      <c r="H245" s="272" t="s">
        <v>378</v>
      </c>
      <c r="I245" s="117">
        <v>67211</v>
      </c>
    </row>
    <row r="246" spans="1:9" s="56" customFormat="1" ht="17.25" x14ac:dyDescent="0.35">
      <c r="A246" s="277" t="s">
        <v>566</v>
      </c>
      <c r="B246" s="284" t="s">
        <v>567</v>
      </c>
      <c r="C246" s="284" t="s">
        <v>71</v>
      </c>
      <c r="D246" s="284"/>
      <c r="E246" s="284"/>
      <c r="F246" s="284"/>
      <c r="G246" s="284" t="s">
        <v>239</v>
      </c>
      <c r="H246" s="285" t="s">
        <v>568</v>
      </c>
      <c r="I246" s="106"/>
    </row>
    <row r="247" spans="1:9" s="56" customFormat="1" ht="17.25" x14ac:dyDescent="0.35">
      <c r="A247" s="318" t="s">
        <v>1150</v>
      </c>
      <c r="B247" s="299" t="s">
        <v>1151</v>
      </c>
      <c r="C247" s="299" t="s">
        <v>71</v>
      </c>
      <c r="D247" s="124"/>
      <c r="E247" s="124"/>
      <c r="F247" s="124"/>
      <c r="G247" s="299" t="s">
        <v>239</v>
      </c>
      <c r="H247" s="300" t="s">
        <v>1160</v>
      </c>
      <c r="I247" s="120" t="s">
        <v>1152</v>
      </c>
    </row>
    <row r="248" spans="1:9" s="56" customFormat="1" ht="17.25" x14ac:dyDescent="0.35">
      <c r="A248" s="318" t="s">
        <v>1153</v>
      </c>
      <c r="B248" s="299" t="s">
        <v>1154</v>
      </c>
      <c r="C248" s="299" t="s">
        <v>71</v>
      </c>
      <c r="D248" s="124"/>
      <c r="E248" s="124"/>
      <c r="F248" s="124"/>
      <c r="G248" s="299" t="s">
        <v>239</v>
      </c>
      <c r="H248" s="300" t="s">
        <v>1161</v>
      </c>
      <c r="I248" s="120" t="s">
        <v>1152</v>
      </c>
    </row>
    <row r="249" spans="1:9" s="56" customFormat="1" ht="17.25" x14ac:dyDescent="0.35">
      <c r="A249" s="318" t="s">
        <v>1155</v>
      </c>
      <c r="B249" s="299" t="s">
        <v>1156</v>
      </c>
      <c r="C249" s="299" t="s">
        <v>71</v>
      </c>
      <c r="D249" s="124"/>
      <c r="E249" s="124"/>
      <c r="F249" s="124"/>
      <c r="G249" s="299" t="s">
        <v>239</v>
      </c>
      <c r="H249" s="300" t="s">
        <v>1162</v>
      </c>
      <c r="I249" s="120" t="s">
        <v>1152</v>
      </c>
    </row>
    <row r="250" spans="1:9" s="56" customFormat="1" ht="17.25" x14ac:dyDescent="0.35">
      <c r="A250" s="318" t="s">
        <v>1157</v>
      </c>
      <c r="B250" s="299" t="s">
        <v>1158</v>
      </c>
      <c r="C250" s="299" t="s">
        <v>71</v>
      </c>
      <c r="D250" s="124"/>
      <c r="E250" s="124"/>
      <c r="F250" s="124"/>
      <c r="G250" s="299" t="s">
        <v>239</v>
      </c>
      <c r="H250" s="300" t="s">
        <v>1163</v>
      </c>
      <c r="I250" s="120" t="s">
        <v>1159</v>
      </c>
    </row>
    <row r="251" spans="1:9" s="56" customFormat="1" ht="17.25" x14ac:dyDescent="0.35">
      <c r="A251" s="277" t="s">
        <v>500</v>
      </c>
      <c r="B251" s="284" t="s">
        <v>527</v>
      </c>
      <c r="C251" s="284" t="s">
        <v>71</v>
      </c>
      <c r="D251" s="284"/>
      <c r="E251" s="284"/>
      <c r="F251" s="284"/>
      <c r="G251" s="284" t="s">
        <v>239</v>
      </c>
      <c r="H251" s="285" t="s">
        <v>501</v>
      </c>
      <c r="I251" s="106" t="s">
        <v>569</v>
      </c>
    </row>
    <row r="252" spans="1:9" s="56" customFormat="1" ht="17.25" x14ac:dyDescent="0.35">
      <c r="A252" s="277" t="s">
        <v>502</v>
      </c>
      <c r="B252" s="284" t="s">
        <v>528</v>
      </c>
      <c r="C252" s="284" t="s">
        <v>71</v>
      </c>
      <c r="D252" s="284"/>
      <c r="E252" s="284"/>
      <c r="F252" s="284"/>
      <c r="G252" s="284" t="s">
        <v>239</v>
      </c>
      <c r="H252" s="285" t="s">
        <v>503</v>
      </c>
      <c r="I252" s="106" t="s">
        <v>569</v>
      </c>
    </row>
    <row r="253" spans="1:9" s="56" customFormat="1" ht="17.25" x14ac:dyDescent="0.35">
      <c r="A253" s="277" t="s">
        <v>570</v>
      </c>
      <c r="B253" s="284" t="s">
        <v>571</v>
      </c>
      <c r="C253" s="284" t="s">
        <v>71</v>
      </c>
      <c r="D253" s="284"/>
      <c r="E253" s="284"/>
      <c r="F253" s="284"/>
      <c r="G253" s="284" t="s">
        <v>239</v>
      </c>
      <c r="H253" s="285" t="s">
        <v>572</v>
      </c>
      <c r="I253" s="106" t="s">
        <v>573</v>
      </c>
    </row>
    <row r="254" spans="1:9" s="56" customFormat="1" ht="17.25" x14ac:dyDescent="0.35">
      <c r="A254" s="318" t="s">
        <v>1164</v>
      </c>
      <c r="B254" s="299" t="s">
        <v>1166</v>
      </c>
      <c r="C254" s="299" t="s">
        <v>71</v>
      </c>
      <c r="D254" s="299"/>
      <c r="E254" s="299"/>
      <c r="F254" s="299"/>
      <c r="G254" s="299" t="s">
        <v>239</v>
      </c>
      <c r="H254" s="300" t="s">
        <v>1168</v>
      </c>
      <c r="I254" s="117" t="s">
        <v>1171</v>
      </c>
    </row>
    <row r="255" spans="1:9" s="56" customFormat="1" ht="17.25" x14ac:dyDescent="0.35">
      <c r="A255" s="318" t="s">
        <v>1165</v>
      </c>
      <c r="B255" s="299" t="s">
        <v>1167</v>
      </c>
      <c r="C255" s="299" t="s">
        <v>71</v>
      </c>
      <c r="D255" s="299"/>
      <c r="E255" s="299"/>
      <c r="F255" s="299"/>
      <c r="G255" s="299" t="s">
        <v>239</v>
      </c>
      <c r="H255" s="300" t="s">
        <v>1169</v>
      </c>
      <c r="I255" s="117" t="s">
        <v>573</v>
      </c>
    </row>
    <row r="256" spans="1:9" s="56" customFormat="1" ht="17.25" x14ac:dyDescent="0.35">
      <c r="A256" s="277" t="s">
        <v>574</v>
      </c>
      <c r="B256" s="284" t="s">
        <v>575</v>
      </c>
      <c r="C256" s="284" t="s">
        <v>71</v>
      </c>
      <c r="D256" s="284"/>
      <c r="E256" s="284"/>
      <c r="F256" s="284"/>
      <c r="G256" s="284" t="s">
        <v>239</v>
      </c>
      <c r="H256" s="285" t="s">
        <v>576</v>
      </c>
      <c r="I256" s="106" t="s">
        <v>569</v>
      </c>
    </row>
    <row r="257" spans="1:11" s="56" customFormat="1" ht="17.25" x14ac:dyDescent="0.35">
      <c r="A257" s="277" t="s">
        <v>504</v>
      </c>
      <c r="B257" s="284" t="s">
        <v>529</v>
      </c>
      <c r="C257" s="284" t="s">
        <v>71</v>
      </c>
      <c r="D257" s="284"/>
      <c r="E257" s="284"/>
      <c r="F257" s="284"/>
      <c r="G257" s="284" t="s">
        <v>239</v>
      </c>
      <c r="H257" s="285" t="s">
        <v>375</v>
      </c>
      <c r="I257" s="106" t="s">
        <v>573</v>
      </c>
    </row>
    <row r="258" spans="1:11" s="56" customFormat="1" ht="17.25" x14ac:dyDescent="0.35">
      <c r="A258" s="277" t="s">
        <v>379</v>
      </c>
      <c r="B258" s="284" t="s">
        <v>380</v>
      </c>
      <c r="C258" s="284" t="s">
        <v>71</v>
      </c>
      <c r="D258" s="284"/>
      <c r="E258" s="284"/>
      <c r="F258" s="284"/>
      <c r="G258" s="284" t="s">
        <v>239</v>
      </c>
      <c r="H258" s="285" t="s">
        <v>381</v>
      </c>
      <c r="I258" s="106" t="s">
        <v>470</v>
      </c>
    </row>
    <row r="259" spans="1:11" s="56" customFormat="1" ht="17.25" x14ac:dyDescent="0.35">
      <c r="A259" s="277" t="s">
        <v>382</v>
      </c>
      <c r="B259" s="284" t="s">
        <v>383</v>
      </c>
      <c r="C259" s="284" t="s">
        <v>71</v>
      </c>
      <c r="D259" s="284"/>
      <c r="E259" s="284"/>
      <c r="F259" s="284"/>
      <c r="G259" s="284" t="s">
        <v>239</v>
      </c>
      <c r="H259" s="285" t="s">
        <v>384</v>
      </c>
      <c r="I259" s="106" t="s">
        <v>385</v>
      </c>
    </row>
    <row r="260" spans="1:11" s="56" customFormat="1" ht="17.25" x14ac:dyDescent="0.35">
      <c r="A260" s="282" t="s">
        <v>544</v>
      </c>
      <c r="B260" s="124" t="s">
        <v>545</v>
      </c>
      <c r="C260" s="124" t="s">
        <v>90</v>
      </c>
      <c r="D260" s="124"/>
      <c r="E260" s="124"/>
      <c r="F260" s="124"/>
      <c r="G260" s="124" t="s">
        <v>79</v>
      </c>
      <c r="H260" s="272"/>
      <c r="I260" s="117">
        <v>69681</v>
      </c>
    </row>
    <row r="261" spans="1:11" s="56" customFormat="1" ht="17.25" x14ac:dyDescent="0.35">
      <c r="A261" s="282"/>
      <c r="B261" s="124"/>
      <c r="C261" s="124"/>
      <c r="D261" s="124" t="s">
        <v>69</v>
      </c>
      <c r="E261" s="124">
        <v>2</v>
      </c>
      <c r="F261" s="124">
        <v>25</v>
      </c>
      <c r="G261" s="124"/>
      <c r="H261" s="272"/>
      <c r="I261" s="117"/>
    </row>
    <row r="262" spans="1:11" s="147" customFormat="1" ht="17.25" x14ac:dyDescent="0.35">
      <c r="A262" s="282" t="s">
        <v>409</v>
      </c>
      <c r="B262" s="124" t="s">
        <v>408</v>
      </c>
      <c r="C262" s="124" t="s">
        <v>90</v>
      </c>
      <c r="D262" s="124"/>
      <c r="E262" s="124"/>
      <c r="F262" s="124"/>
      <c r="G262" s="124" t="s">
        <v>79</v>
      </c>
      <c r="H262" s="272"/>
      <c r="I262" s="117" t="s">
        <v>385</v>
      </c>
      <c r="J262" s="56"/>
      <c r="K262" s="56"/>
    </row>
    <row r="263" spans="1:11" s="56" customFormat="1" ht="17.25" x14ac:dyDescent="0.35">
      <c r="A263" s="282"/>
      <c r="B263" s="124"/>
      <c r="C263" s="124"/>
      <c r="D263" s="124" t="s">
        <v>69</v>
      </c>
      <c r="E263" s="124">
        <v>1</v>
      </c>
      <c r="F263" s="124">
        <v>1</v>
      </c>
      <c r="G263" s="124"/>
      <c r="H263" s="272"/>
      <c r="I263" s="117">
        <v>73561</v>
      </c>
    </row>
    <row r="264" spans="1:11" s="56" customFormat="1" ht="17.25" x14ac:dyDescent="0.35">
      <c r="A264" s="282" t="s">
        <v>511</v>
      </c>
      <c r="B264" s="124" t="s">
        <v>512</v>
      </c>
      <c r="C264" s="124" t="s">
        <v>71</v>
      </c>
      <c r="D264" s="124"/>
      <c r="E264" s="124"/>
      <c r="F264" s="124"/>
      <c r="G264" s="124" t="s">
        <v>239</v>
      </c>
      <c r="H264" s="272" t="s">
        <v>515</v>
      </c>
      <c r="I264" s="117">
        <v>72541</v>
      </c>
    </row>
    <row r="265" spans="1:11" s="56" customFormat="1" ht="17.25" x14ac:dyDescent="0.35">
      <c r="A265" s="282" t="s">
        <v>551</v>
      </c>
      <c r="B265" s="124" t="s">
        <v>552</v>
      </c>
      <c r="C265" s="124" t="s">
        <v>71</v>
      </c>
      <c r="D265" s="124"/>
      <c r="E265" s="124"/>
      <c r="F265" s="124"/>
      <c r="G265" s="124" t="s">
        <v>239</v>
      </c>
      <c r="H265" s="272" t="s">
        <v>553</v>
      </c>
      <c r="I265" s="117" t="s">
        <v>554</v>
      </c>
    </row>
    <row r="266" spans="1:11" s="56" customFormat="1" ht="17.25" x14ac:dyDescent="0.35">
      <c r="A266" s="282" t="s">
        <v>513</v>
      </c>
      <c r="B266" s="124" t="s">
        <v>514</v>
      </c>
      <c r="C266" s="124" t="s">
        <v>71</v>
      </c>
      <c r="D266" s="124"/>
      <c r="E266" s="124"/>
      <c r="F266" s="124"/>
      <c r="G266" s="124" t="s">
        <v>239</v>
      </c>
      <c r="H266" s="272" t="s">
        <v>516</v>
      </c>
      <c r="I266" s="117">
        <v>71524</v>
      </c>
    </row>
    <row r="267" spans="1:11" s="141" customFormat="1" ht="17.25" x14ac:dyDescent="0.35">
      <c r="A267" s="277" t="s">
        <v>555</v>
      </c>
      <c r="B267" s="124" t="s">
        <v>556</v>
      </c>
      <c r="C267" s="259" t="s">
        <v>1247</v>
      </c>
      <c r="D267" s="259"/>
      <c r="E267" s="124"/>
      <c r="F267" s="259"/>
      <c r="G267" s="124" t="s">
        <v>239</v>
      </c>
      <c r="H267" s="272" t="s">
        <v>557</v>
      </c>
      <c r="I267" s="152">
        <v>73755</v>
      </c>
      <c r="J267" s="81"/>
      <c r="K267" s="81"/>
    </row>
    <row r="268" spans="1:11" s="141" customFormat="1" ht="17.25" x14ac:dyDescent="0.35">
      <c r="A268" s="273" t="s">
        <v>1148</v>
      </c>
      <c r="B268" s="124" t="s">
        <v>1149</v>
      </c>
      <c r="C268" s="299" t="s">
        <v>90</v>
      </c>
      <c r="D268" s="124"/>
      <c r="E268" s="124"/>
      <c r="F268" s="124"/>
      <c r="G268" s="299" t="s">
        <v>239</v>
      </c>
      <c r="H268" s="272"/>
      <c r="I268" s="120">
        <v>70315</v>
      </c>
      <c r="J268" s="81"/>
      <c r="K268" s="81"/>
    </row>
    <row r="269" spans="1:11" s="141" customFormat="1" ht="17.25" x14ac:dyDescent="0.35">
      <c r="A269" s="273"/>
      <c r="B269" s="124"/>
      <c r="C269" s="299"/>
      <c r="D269" s="124" t="s">
        <v>69</v>
      </c>
      <c r="E269" s="124">
        <v>1</v>
      </c>
      <c r="F269" s="124">
        <v>2</v>
      </c>
      <c r="G269" s="299"/>
      <c r="H269" s="272"/>
      <c r="I269" s="120"/>
      <c r="J269" s="81"/>
      <c r="K269" s="81"/>
    </row>
    <row r="270" spans="1:11" s="26" customFormat="1" ht="17.25" x14ac:dyDescent="0.35">
      <c r="A270" s="318" t="s">
        <v>519</v>
      </c>
      <c r="B270" s="299" t="s">
        <v>520</v>
      </c>
      <c r="C270" s="299" t="s">
        <v>71</v>
      </c>
      <c r="D270" s="299"/>
      <c r="E270" s="299"/>
      <c r="F270" s="299"/>
      <c r="G270" s="299" t="s">
        <v>239</v>
      </c>
      <c r="H270" s="300" t="s">
        <v>1234</v>
      </c>
      <c r="I270" s="117">
        <v>73596</v>
      </c>
    </row>
    <row r="271" spans="1:11" s="56" customFormat="1" ht="17.25" x14ac:dyDescent="0.35">
      <c r="A271" s="282" t="s">
        <v>630</v>
      </c>
      <c r="B271" s="124" t="s">
        <v>631</v>
      </c>
      <c r="C271" s="124" t="s">
        <v>90</v>
      </c>
      <c r="D271" s="124"/>
      <c r="E271" s="124"/>
      <c r="F271" s="124"/>
      <c r="G271" s="124" t="s">
        <v>239</v>
      </c>
      <c r="H271" s="272"/>
      <c r="I271" s="117">
        <v>67261</v>
      </c>
    </row>
    <row r="272" spans="1:11" s="56" customFormat="1" ht="17.25" x14ac:dyDescent="0.35">
      <c r="A272" s="282"/>
      <c r="B272" s="124"/>
      <c r="C272" s="124"/>
      <c r="D272" s="124" t="s">
        <v>69</v>
      </c>
      <c r="E272" s="124">
        <v>2</v>
      </c>
      <c r="F272" s="124">
        <v>0</v>
      </c>
      <c r="G272" s="124"/>
      <c r="H272" s="272"/>
      <c r="I272" s="117" t="s">
        <v>632</v>
      </c>
    </row>
    <row r="273" spans="1:11" s="56" customFormat="1" ht="17.25" x14ac:dyDescent="0.35">
      <c r="A273" s="282"/>
      <c r="B273" s="124"/>
      <c r="C273" s="124"/>
      <c r="D273" s="124" t="s">
        <v>69</v>
      </c>
      <c r="E273" s="124">
        <v>2</v>
      </c>
      <c r="F273" s="124">
        <v>0</v>
      </c>
      <c r="G273" s="124"/>
      <c r="H273" s="272"/>
      <c r="I273" s="117" t="s">
        <v>1145</v>
      </c>
    </row>
    <row r="274" spans="1:11" s="56" customFormat="1" ht="17.25" x14ac:dyDescent="0.35">
      <c r="A274" s="282"/>
      <c r="B274" s="124"/>
      <c r="C274" s="124"/>
      <c r="D274" s="124" t="s">
        <v>69</v>
      </c>
      <c r="E274" s="124">
        <v>1</v>
      </c>
      <c r="F274" s="124">
        <v>0</v>
      </c>
      <c r="G274" s="124"/>
      <c r="H274" s="272"/>
      <c r="I274" s="117" t="s">
        <v>1146</v>
      </c>
    </row>
    <row r="275" spans="1:11" s="56" customFormat="1" ht="17.25" x14ac:dyDescent="0.35">
      <c r="A275" s="282"/>
      <c r="B275" s="124"/>
      <c r="C275" s="124"/>
      <c r="D275" s="124" t="s">
        <v>69</v>
      </c>
      <c r="E275" s="124">
        <v>1</v>
      </c>
      <c r="F275" s="124">
        <v>1</v>
      </c>
      <c r="G275" s="124"/>
      <c r="H275" s="272"/>
      <c r="I275" s="117" t="s">
        <v>635</v>
      </c>
    </row>
    <row r="276" spans="1:11" s="56" customFormat="1" ht="17.25" x14ac:dyDescent="0.35">
      <c r="A276" s="282"/>
      <c r="B276" s="124"/>
      <c r="C276" s="124"/>
      <c r="D276" s="124" t="s">
        <v>69</v>
      </c>
      <c r="E276" s="124">
        <v>2</v>
      </c>
      <c r="F276" s="124">
        <v>0</v>
      </c>
      <c r="G276" s="124"/>
      <c r="H276" s="272"/>
      <c r="I276" s="117" t="s">
        <v>636</v>
      </c>
    </row>
    <row r="277" spans="1:11" s="56" customFormat="1" ht="17.25" x14ac:dyDescent="0.35">
      <c r="A277" s="282"/>
      <c r="B277" s="124"/>
      <c r="C277" s="124"/>
      <c r="D277" s="124" t="s">
        <v>69</v>
      </c>
      <c r="E277" s="124">
        <v>1</v>
      </c>
      <c r="F277" s="124">
        <v>0</v>
      </c>
      <c r="G277" s="124"/>
      <c r="H277" s="272"/>
      <c r="I277" s="117" t="s">
        <v>638</v>
      </c>
    </row>
    <row r="278" spans="1:11" s="56" customFormat="1" ht="17.25" x14ac:dyDescent="0.35">
      <c r="A278" s="282"/>
      <c r="B278" s="124"/>
      <c r="C278" s="124"/>
      <c r="D278" s="124" t="s">
        <v>69</v>
      </c>
      <c r="E278" s="124">
        <v>4</v>
      </c>
      <c r="F278" s="124">
        <v>0</v>
      </c>
      <c r="G278" s="124"/>
      <c r="H278" s="272"/>
      <c r="I278" s="117" t="s">
        <v>637</v>
      </c>
    </row>
    <row r="279" spans="1:11" s="56" customFormat="1" ht="17.25" x14ac:dyDescent="0.35">
      <c r="A279" s="282"/>
      <c r="B279" s="124"/>
      <c r="C279" s="124"/>
      <c r="D279" s="124" t="s">
        <v>69</v>
      </c>
      <c r="E279" s="124">
        <v>1</v>
      </c>
      <c r="F279" s="124">
        <v>4</v>
      </c>
      <c r="G279" s="124"/>
      <c r="H279" s="272"/>
      <c r="I279" s="117" t="s">
        <v>639</v>
      </c>
    </row>
    <row r="280" spans="1:11" s="56" customFormat="1" ht="17.25" x14ac:dyDescent="0.35">
      <c r="A280" s="282"/>
      <c r="B280" s="124"/>
      <c r="C280" s="124"/>
      <c r="D280" s="124"/>
      <c r="E280" s="124"/>
      <c r="F280" s="124"/>
      <c r="G280" s="124"/>
      <c r="H280" s="272"/>
      <c r="I280" s="117"/>
    </row>
    <row r="281" spans="1:11" s="56" customFormat="1" ht="17.25" x14ac:dyDescent="0.35">
      <c r="A281" s="282" t="s">
        <v>430</v>
      </c>
      <c r="B281" s="124" t="s">
        <v>429</v>
      </c>
      <c r="C281" s="124" t="s">
        <v>71</v>
      </c>
      <c r="D281" s="124"/>
      <c r="E281" s="124"/>
      <c r="F281" s="124"/>
      <c r="G281" s="124" t="s">
        <v>239</v>
      </c>
      <c r="H281" s="272" t="s">
        <v>1199</v>
      </c>
      <c r="I281" s="117">
        <v>65602</v>
      </c>
    </row>
    <row r="282" spans="1:11" s="56" customFormat="1" ht="17.25" x14ac:dyDescent="0.35">
      <c r="A282" s="282" t="s">
        <v>1200</v>
      </c>
      <c r="B282" s="124" t="s">
        <v>1201</v>
      </c>
      <c r="C282" s="124" t="s">
        <v>71</v>
      </c>
      <c r="D282" s="124"/>
      <c r="E282" s="124"/>
      <c r="F282" s="124"/>
      <c r="G282" s="124" t="s">
        <v>239</v>
      </c>
      <c r="H282" s="272" t="s">
        <v>1202</v>
      </c>
      <c r="I282" s="117">
        <v>73658</v>
      </c>
    </row>
    <row r="283" spans="1:11" s="56" customFormat="1" ht="17.25" x14ac:dyDescent="0.35">
      <c r="A283" s="282" t="s">
        <v>1208</v>
      </c>
      <c r="B283" s="124" t="s">
        <v>1209</v>
      </c>
      <c r="C283" s="124" t="s">
        <v>90</v>
      </c>
      <c r="D283" s="124"/>
      <c r="E283" s="124"/>
      <c r="F283" s="124"/>
      <c r="G283" s="124" t="s">
        <v>239</v>
      </c>
      <c r="H283" s="272"/>
      <c r="I283" s="117">
        <v>73825</v>
      </c>
    </row>
    <row r="284" spans="1:11" s="56" customFormat="1" ht="17.25" x14ac:dyDescent="0.35">
      <c r="A284" s="282"/>
      <c r="B284" s="124"/>
      <c r="C284" s="124"/>
      <c r="D284" s="124" t="s">
        <v>69</v>
      </c>
      <c r="E284" s="124">
        <v>1</v>
      </c>
      <c r="F284" s="124">
        <v>1</v>
      </c>
      <c r="G284" s="124"/>
      <c r="H284" s="272"/>
      <c r="I284" s="117"/>
    </row>
    <row r="285" spans="1:11" s="56" customFormat="1" ht="17.25" x14ac:dyDescent="0.35">
      <c r="A285" s="357"/>
      <c r="B285" s="358"/>
      <c r="C285" s="358"/>
      <c r="D285" s="358"/>
      <c r="E285" s="358"/>
      <c r="F285" s="358"/>
      <c r="G285" s="358"/>
      <c r="H285" s="358"/>
      <c r="I285" s="359"/>
    </row>
    <row r="286" spans="1:11" ht="18" thickBot="1" x14ac:dyDescent="0.4">
      <c r="A286" s="17"/>
      <c r="B286" s="17"/>
      <c r="C286" s="17"/>
      <c r="D286" s="17"/>
      <c r="E286" s="17"/>
      <c r="F286" s="17"/>
      <c r="G286" s="17"/>
      <c r="H286" s="17"/>
      <c r="I286" s="264"/>
      <c r="J286" s="26"/>
      <c r="K286" s="26"/>
    </row>
    <row r="287" spans="1:11" ht="19.5" x14ac:dyDescent="0.4">
      <c r="A287" s="524" t="s">
        <v>95</v>
      </c>
      <c r="B287" s="525"/>
      <c r="C287" s="525"/>
      <c r="D287" s="525"/>
      <c r="E287" s="525"/>
      <c r="F287" s="525"/>
      <c r="G287" s="525"/>
      <c r="H287" s="526"/>
      <c r="I287" s="263"/>
      <c r="J287" s="26"/>
      <c r="K287" s="26"/>
    </row>
    <row r="288" spans="1:11" ht="17.25" x14ac:dyDescent="0.35">
      <c r="A288" s="98" t="s">
        <v>112</v>
      </c>
      <c r="B288" s="98"/>
      <c r="C288" s="118" t="s">
        <v>67</v>
      </c>
      <c r="D288" s="98" t="s">
        <v>113</v>
      </c>
      <c r="E288" s="98" t="s">
        <v>114</v>
      </c>
      <c r="F288" s="118" t="s">
        <v>115</v>
      </c>
      <c r="G288" s="98" t="s">
        <v>74</v>
      </c>
      <c r="H288" s="99"/>
      <c r="I288" s="26"/>
      <c r="J288" s="26"/>
      <c r="K288" s="26"/>
    </row>
    <row r="289" spans="1:11" ht="17.25" x14ac:dyDescent="0.35">
      <c r="A289" s="98" t="s">
        <v>111</v>
      </c>
      <c r="B289" s="98"/>
      <c r="C289" s="95" t="s">
        <v>96</v>
      </c>
      <c r="D289" s="96"/>
      <c r="E289" s="96"/>
      <c r="F289" s="75"/>
      <c r="G289" s="96" t="s">
        <v>46</v>
      </c>
      <c r="H289" s="99"/>
      <c r="I289" s="26"/>
      <c r="J289" s="26"/>
      <c r="K289" s="26"/>
    </row>
    <row r="290" spans="1:11" ht="17.25" x14ac:dyDescent="0.35">
      <c r="A290" s="98" t="s">
        <v>97</v>
      </c>
      <c r="B290" s="98"/>
      <c r="C290" s="95"/>
      <c r="D290" s="96" t="s">
        <v>69</v>
      </c>
      <c r="E290" s="96">
        <v>1</v>
      </c>
      <c r="F290" s="75">
        <v>0</v>
      </c>
      <c r="G290" s="96"/>
      <c r="H290" s="99"/>
      <c r="I290" s="26"/>
      <c r="J290" s="26"/>
      <c r="K290" s="26"/>
    </row>
    <row r="291" spans="1:11" ht="17.25" x14ac:dyDescent="0.35">
      <c r="A291" s="98" t="s">
        <v>98</v>
      </c>
      <c r="B291" s="98"/>
      <c r="C291" s="95"/>
      <c r="D291" s="96" t="s">
        <v>69</v>
      </c>
      <c r="E291" s="96">
        <v>2</v>
      </c>
      <c r="F291" s="75">
        <v>2</v>
      </c>
      <c r="G291" s="96"/>
      <c r="H291" s="99"/>
      <c r="I291" s="26"/>
      <c r="J291" s="26"/>
      <c r="K291" s="26"/>
    </row>
    <row r="292" spans="1:11" ht="17.25" x14ac:dyDescent="0.35">
      <c r="A292" s="98" t="s">
        <v>99</v>
      </c>
      <c r="B292" s="98"/>
      <c r="C292" s="95"/>
      <c r="D292" s="96" t="s">
        <v>69</v>
      </c>
      <c r="E292" s="96">
        <v>2</v>
      </c>
      <c r="F292" s="75" t="s">
        <v>116</v>
      </c>
      <c r="G292" s="96"/>
      <c r="H292" s="99"/>
      <c r="I292" s="26"/>
      <c r="J292" s="26"/>
      <c r="K292" s="26"/>
    </row>
    <row r="293" spans="1:11" ht="17.25" x14ac:dyDescent="0.35">
      <c r="A293" s="98" t="s">
        <v>100</v>
      </c>
      <c r="B293" s="98"/>
      <c r="C293" s="95"/>
      <c r="D293" s="96" t="s">
        <v>69</v>
      </c>
      <c r="E293" s="96">
        <v>1</v>
      </c>
      <c r="F293" s="75" t="s">
        <v>4</v>
      </c>
      <c r="G293" s="96"/>
      <c r="H293" s="99"/>
      <c r="I293" s="26"/>
      <c r="J293" s="26"/>
      <c r="K293" s="26"/>
    </row>
    <row r="294" spans="1:11" ht="17.25" x14ac:dyDescent="0.35">
      <c r="A294" s="98" t="s">
        <v>101</v>
      </c>
      <c r="B294" s="98"/>
      <c r="C294" s="95"/>
      <c r="D294" s="96" t="s">
        <v>69</v>
      </c>
      <c r="E294" s="96">
        <v>2</v>
      </c>
      <c r="F294" s="75">
        <v>4</v>
      </c>
      <c r="G294" s="96"/>
      <c r="H294" s="99"/>
      <c r="I294" s="26"/>
      <c r="J294" s="26"/>
      <c r="K294" s="26"/>
    </row>
    <row r="295" spans="1:11" ht="17.25" x14ac:dyDescent="0.35">
      <c r="A295" s="51" t="s">
        <v>102</v>
      </c>
      <c r="B295" s="51"/>
      <c r="C295" s="21"/>
      <c r="D295" s="14" t="s">
        <v>69</v>
      </c>
      <c r="E295" s="14">
        <v>4</v>
      </c>
      <c r="F295" s="290" t="s">
        <v>1630</v>
      </c>
      <c r="G295" s="14"/>
      <c r="H295" s="52"/>
      <c r="I295" s="26"/>
      <c r="J295" s="26"/>
      <c r="K295" s="26"/>
    </row>
    <row r="296" spans="1:11" ht="17.25" x14ac:dyDescent="0.35">
      <c r="A296" s="98" t="s">
        <v>103</v>
      </c>
      <c r="B296" s="98"/>
      <c r="C296" s="95"/>
      <c r="D296" s="96" t="s">
        <v>69</v>
      </c>
      <c r="E296" s="96">
        <v>1</v>
      </c>
      <c r="F296" s="75" t="s">
        <v>5</v>
      </c>
      <c r="G296" s="96"/>
      <c r="H296" s="99"/>
      <c r="I296" s="26"/>
      <c r="J296" s="26"/>
      <c r="K296" s="26"/>
    </row>
    <row r="297" spans="1:11" ht="17.25" x14ac:dyDescent="0.35">
      <c r="A297" s="98" t="s">
        <v>104</v>
      </c>
      <c r="B297" s="98"/>
      <c r="C297" s="95"/>
      <c r="D297" s="96" t="s">
        <v>69</v>
      </c>
      <c r="E297" s="96">
        <v>2</v>
      </c>
      <c r="F297" s="75">
        <f>LEN(F298)</f>
        <v>24</v>
      </c>
      <c r="G297" s="96"/>
      <c r="H297" s="99"/>
      <c r="I297" s="26"/>
      <c r="J297" s="26"/>
      <c r="K297" s="26"/>
    </row>
    <row r="298" spans="1:11" ht="17.25" x14ac:dyDescent="0.35">
      <c r="A298" s="98" t="s">
        <v>105</v>
      </c>
      <c r="B298" s="98"/>
      <c r="C298" s="95"/>
      <c r="D298" s="96" t="s">
        <v>70</v>
      </c>
      <c r="E298" s="96">
        <f>F297</f>
        <v>24</v>
      </c>
      <c r="F298" s="75" t="s">
        <v>540</v>
      </c>
      <c r="G298" s="96"/>
      <c r="H298" s="99" t="s">
        <v>127</v>
      </c>
      <c r="I298" s="26"/>
      <c r="J298" s="26"/>
      <c r="K298" s="26"/>
    </row>
    <row r="299" spans="1:11" ht="17.25" x14ac:dyDescent="0.35">
      <c r="A299" s="98" t="s">
        <v>106</v>
      </c>
      <c r="B299" s="98"/>
      <c r="C299" s="95"/>
      <c r="D299" s="96" t="s">
        <v>69</v>
      </c>
      <c r="E299" s="96">
        <v>1</v>
      </c>
      <c r="F299" s="75" t="s">
        <v>117</v>
      </c>
      <c r="G299" s="96"/>
      <c r="H299" s="99"/>
      <c r="I299" s="26"/>
      <c r="J299" s="26"/>
      <c r="K299" s="26"/>
    </row>
    <row r="300" spans="1:11" ht="17.25" x14ac:dyDescent="0.35">
      <c r="A300" s="98" t="s">
        <v>107</v>
      </c>
      <c r="B300" s="98"/>
      <c r="C300" s="95"/>
      <c r="D300" s="96" t="s">
        <v>69</v>
      </c>
      <c r="E300" s="96">
        <v>2</v>
      </c>
      <c r="F300" s="75">
        <f>SUM(E301:E302)+E303*F302</f>
        <v>18</v>
      </c>
      <c r="G300" s="96"/>
      <c r="H300" s="99"/>
      <c r="I300" s="26"/>
      <c r="J300" s="26"/>
      <c r="K300" s="26"/>
    </row>
    <row r="301" spans="1:11" ht="17.25" x14ac:dyDescent="0.35">
      <c r="A301" s="98" t="s">
        <v>108</v>
      </c>
      <c r="B301" s="98"/>
      <c r="C301" s="95"/>
      <c r="D301" s="96" t="s">
        <v>69</v>
      </c>
      <c r="E301" s="96">
        <v>1</v>
      </c>
      <c r="F301" s="75">
        <v>0</v>
      </c>
      <c r="G301" s="96"/>
      <c r="H301" s="99"/>
      <c r="I301" s="26"/>
    </row>
    <row r="302" spans="1:11" ht="17.25" x14ac:dyDescent="0.35">
      <c r="A302" s="98" t="s">
        <v>109</v>
      </c>
      <c r="B302" s="98"/>
      <c r="C302" s="95"/>
      <c r="D302" s="96" t="s">
        <v>69</v>
      </c>
      <c r="E302" s="96">
        <v>1</v>
      </c>
      <c r="F302" s="75">
        <f>LEN(F303)-LEN(SUBSTITUTE(F303,",","")) +1</f>
        <v>4</v>
      </c>
      <c r="G302" s="96"/>
      <c r="H302" s="99"/>
      <c r="I302" s="26"/>
    </row>
    <row r="303" spans="1:11" ht="17.25" x14ac:dyDescent="0.35">
      <c r="A303" s="98" t="s">
        <v>110</v>
      </c>
      <c r="B303" s="98"/>
      <c r="C303" s="95"/>
      <c r="D303" s="96" t="s">
        <v>77</v>
      </c>
      <c r="E303" s="96">
        <v>4</v>
      </c>
      <c r="F303" s="75" t="s">
        <v>1176</v>
      </c>
      <c r="G303" s="96"/>
      <c r="H303" s="99"/>
      <c r="I303" s="26"/>
    </row>
    <row r="304" spans="1:11" ht="17.25" x14ac:dyDescent="0.35">
      <c r="A304" s="98" t="s">
        <v>454</v>
      </c>
      <c r="B304" s="98"/>
      <c r="C304" s="95"/>
      <c r="D304" s="96" t="s">
        <v>69</v>
      </c>
      <c r="E304" s="96">
        <v>1</v>
      </c>
      <c r="F304" s="75" t="s">
        <v>404</v>
      </c>
      <c r="G304" s="96"/>
      <c r="H304" s="99"/>
      <c r="I304" s="26"/>
    </row>
    <row r="305" spans="1:9" ht="17.25" x14ac:dyDescent="0.35">
      <c r="A305" s="98" t="s">
        <v>455</v>
      </c>
      <c r="B305" s="98"/>
      <c r="C305" s="95"/>
      <c r="D305" s="96" t="s">
        <v>69</v>
      </c>
      <c r="E305" s="96">
        <v>2</v>
      </c>
      <c r="F305" s="75">
        <v>4</v>
      </c>
      <c r="G305" s="96"/>
      <c r="H305" s="99"/>
      <c r="I305" s="26"/>
    </row>
    <row r="306" spans="1:9" ht="17.25" x14ac:dyDescent="0.35">
      <c r="A306" s="51" t="s">
        <v>456</v>
      </c>
      <c r="B306" s="51"/>
      <c r="C306" s="21"/>
      <c r="D306" s="14" t="s">
        <v>69</v>
      </c>
      <c r="E306" s="14">
        <v>4</v>
      </c>
      <c r="F306" s="290" t="str">
        <f>$F$295</f>
        <v>0x050113B7</v>
      </c>
      <c r="G306" s="14"/>
      <c r="H306" s="52"/>
      <c r="I306" s="26"/>
    </row>
    <row r="307" spans="1:9" ht="17.25" x14ac:dyDescent="0.35">
      <c r="A307" s="98" t="s">
        <v>558</v>
      </c>
      <c r="B307" s="98"/>
      <c r="C307" s="95"/>
      <c r="D307" s="96" t="s">
        <v>69</v>
      </c>
      <c r="E307" s="96">
        <v>1</v>
      </c>
      <c r="F307" s="75" t="s">
        <v>559</v>
      </c>
      <c r="G307" s="96"/>
      <c r="H307" s="99"/>
      <c r="I307" s="26"/>
    </row>
    <row r="308" spans="1:9" ht="17.25" x14ac:dyDescent="0.35">
      <c r="A308" s="98" t="s">
        <v>560</v>
      </c>
      <c r="B308" s="98"/>
      <c r="C308" s="95"/>
      <c r="D308" s="96" t="s">
        <v>69</v>
      </c>
      <c r="E308" s="96">
        <v>2</v>
      </c>
      <c r="F308" s="75">
        <f>2+F310*E311*2</f>
        <v>30</v>
      </c>
      <c r="G308" s="96"/>
      <c r="H308" s="99"/>
      <c r="I308" s="26"/>
    </row>
    <row r="309" spans="1:9" ht="17.25" x14ac:dyDescent="0.35">
      <c r="A309" s="98" t="s">
        <v>561</v>
      </c>
      <c r="B309" s="98"/>
      <c r="C309" s="95"/>
      <c r="D309" s="96" t="s">
        <v>69</v>
      </c>
      <c r="E309" s="96">
        <v>1</v>
      </c>
      <c r="F309" s="75">
        <v>0</v>
      </c>
      <c r="G309" s="96"/>
      <c r="H309" s="99" t="s">
        <v>562</v>
      </c>
      <c r="I309" s="26"/>
    </row>
    <row r="310" spans="1:9" ht="17.25" x14ac:dyDescent="0.35">
      <c r="A310" s="98" t="s">
        <v>563</v>
      </c>
      <c r="B310" s="98"/>
      <c r="C310" s="95"/>
      <c r="D310" s="96" t="s">
        <v>69</v>
      </c>
      <c r="E310" s="96">
        <v>1</v>
      </c>
      <c r="F310" s="75">
        <f>SUM(LEN(F311)-LEN(SUBSTITUTE(F311,"-","")))</f>
        <v>7</v>
      </c>
      <c r="G310" s="96"/>
      <c r="H310" s="99" t="s">
        <v>564</v>
      </c>
      <c r="I310" s="26"/>
    </row>
    <row r="311" spans="1:9" ht="17.25" x14ac:dyDescent="0.35">
      <c r="A311" s="98" t="s">
        <v>565</v>
      </c>
      <c r="B311" s="98"/>
      <c r="C311" s="95"/>
      <c r="D311" s="96" t="s">
        <v>77</v>
      </c>
      <c r="E311" s="96">
        <v>2</v>
      </c>
      <c r="F311" s="75" t="s">
        <v>1212</v>
      </c>
      <c r="G311" s="96"/>
      <c r="H311" s="99"/>
    </row>
    <row r="312" spans="1:9" ht="17.25" x14ac:dyDescent="0.35">
      <c r="A312" s="366" t="s">
        <v>1189</v>
      </c>
      <c r="B312" s="366"/>
      <c r="C312" s="367"/>
      <c r="D312" s="368" t="s">
        <v>69</v>
      </c>
      <c r="E312" s="368">
        <v>1</v>
      </c>
      <c r="F312" s="370" t="s">
        <v>1190</v>
      </c>
      <c r="G312" s="368"/>
      <c r="H312" s="369"/>
    </row>
    <row r="313" spans="1:9" ht="17.25" x14ac:dyDescent="0.35">
      <c r="A313" s="366" t="s">
        <v>1191</v>
      </c>
      <c r="B313" s="366"/>
      <c r="C313" s="367"/>
      <c r="D313" s="368" t="s">
        <v>69</v>
      </c>
      <c r="E313" s="368">
        <v>2</v>
      </c>
      <c r="F313" s="370">
        <v>4</v>
      </c>
      <c r="G313" s="368"/>
      <c r="H313" s="369"/>
    </row>
    <row r="314" spans="1:9" ht="138" x14ac:dyDescent="0.35">
      <c r="A314" s="366" t="s">
        <v>1192</v>
      </c>
      <c r="B314" s="366"/>
      <c r="C314" s="367"/>
      <c r="D314" s="368" t="s">
        <v>69</v>
      </c>
      <c r="E314" s="368">
        <v>4</v>
      </c>
      <c r="F314" s="371" t="s">
        <v>1196</v>
      </c>
      <c r="G314" s="368"/>
      <c r="H314" s="369" t="s">
        <v>1194</v>
      </c>
    </row>
  </sheetData>
  <mergeCells count="2">
    <mergeCell ref="A4:H4"/>
    <mergeCell ref="A287:H28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11"/>
  <sheetViews>
    <sheetView topLeftCell="A170" zoomScale="70" zoomScaleNormal="70" workbookViewId="0">
      <selection activeCell="B1" sqref="B1"/>
    </sheetView>
  </sheetViews>
  <sheetFormatPr defaultColWidth="9.140625" defaultRowHeight="12.75" x14ac:dyDescent="0.2"/>
  <cols>
    <col min="1" max="1" width="38.5703125" style="31" customWidth="1"/>
    <col min="2" max="2" width="78.7109375" style="31" bestFit="1" customWidth="1"/>
    <col min="3" max="3" width="13.42578125" style="31" bestFit="1" customWidth="1"/>
    <col min="4" max="4" width="12.85546875" style="31" bestFit="1" customWidth="1"/>
    <col min="5" max="5" width="44.85546875" style="31" bestFit="1" customWidth="1"/>
    <col min="6" max="6" width="56.140625" style="31" customWidth="1"/>
    <col min="7" max="7" width="15.85546875" style="31" bestFit="1" customWidth="1"/>
    <col min="8" max="8" width="87.5703125" style="31" customWidth="1"/>
    <col min="9" max="9" width="62.7109375" style="31" customWidth="1"/>
    <col min="10" max="10" width="13" style="31" customWidth="1"/>
    <col min="11" max="11" width="72.42578125" style="31" bestFit="1" customWidth="1"/>
    <col min="12" max="12" width="38.42578125" style="31" bestFit="1" customWidth="1"/>
    <col min="13" max="16384" width="9.140625" style="31"/>
  </cols>
  <sheetData>
    <row r="1" spans="1:14" s="26" customFormat="1" x14ac:dyDescent="0.2"/>
    <row r="2" spans="1:14" s="34" customFormat="1" ht="45" customHeight="1" x14ac:dyDescent="0.55000000000000004">
      <c r="A2" s="39" t="s">
        <v>341</v>
      </c>
      <c r="B2" s="39"/>
      <c r="C2" s="39"/>
      <c r="D2" s="39"/>
      <c r="E2" s="39"/>
      <c r="F2" s="39"/>
      <c r="G2" s="39"/>
      <c r="H2" s="39"/>
    </row>
    <row r="3" spans="1:14" s="26" customFormat="1" ht="13.5" thickBot="1" x14ac:dyDescent="0.25">
      <c r="B3" s="13"/>
    </row>
    <row r="4" spans="1:14" s="40" customFormat="1" ht="20.25" thickBot="1" x14ac:dyDescent="0.45">
      <c r="A4" s="515" t="s">
        <v>237</v>
      </c>
      <c r="B4" s="516"/>
      <c r="C4" s="516"/>
      <c r="D4" s="516"/>
      <c r="E4" s="516"/>
      <c r="F4" s="516"/>
      <c r="G4" s="516"/>
      <c r="H4" s="517"/>
    </row>
    <row r="5" spans="1:14" s="26" customFormat="1" ht="20.25" thickBot="1" x14ac:dyDescent="0.45">
      <c r="A5" s="41" t="s">
        <v>9</v>
      </c>
      <c r="B5" s="35" t="s">
        <v>8</v>
      </c>
      <c r="C5" s="36" t="s">
        <v>146</v>
      </c>
      <c r="D5" s="37" t="s">
        <v>147</v>
      </c>
      <c r="E5" s="36" t="s">
        <v>10</v>
      </c>
      <c r="F5" s="36" t="s">
        <v>68</v>
      </c>
      <c r="G5" s="36" t="s">
        <v>148</v>
      </c>
      <c r="H5" s="38" t="s">
        <v>11</v>
      </c>
      <c r="I5" s="33"/>
    </row>
    <row r="6" spans="1:14" s="26" customFormat="1" ht="17.25" x14ac:dyDescent="0.35">
      <c r="A6" s="192" t="s">
        <v>12</v>
      </c>
      <c r="B6" s="179">
        <v>5</v>
      </c>
      <c r="C6" s="179" t="s">
        <v>69</v>
      </c>
      <c r="D6" s="179">
        <v>1</v>
      </c>
      <c r="E6" s="191" t="s">
        <v>14</v>
      </c>
      <c r="F6" s="179">
        <v>1</v>
      </c>
      <c r="G6" s="179" t="s">
        <v>79</v>
      </c>
      <c r="H6" s="180"/>
      <c r="N6" s="55"/>
    </row>
    <row r="7" spans="1:14" s="26" customFormat="1" ht="17.25" x14ac:dyDescent="0.35">
      <c r="A7" s="193" t="s">
        <v>13</v>
      </c>
      <c r="B7" s="136">
        <v>6</v>
      </c>
      <c r="C7" s="136" t="s">
        <v>69</v>
      </c>
      <c r="D7" s="136">
        <v>1</v>
      </c>
      <c r="E7" s="85" t="s">
        <v>15</v>
      </c>
      <c r="F7" s="136">
        <v>6</v>
      </c>
      <c r="G7" s="136" t="s">
        <v>79</v>
      </c>
      <c r="H7" s="181" t="s">
        <v>7</v>
      </c>
      <c r="N7" s="55"/>
    </row>
    <row r="8" spans="1:14" s="26" customFormat="1" ht="17.25" x14ac:dyDescent="0.35">
      <c r="A8" s="193" t="s">
        <v>39</v>
      </c>
      <c r="B8" s="136">
        <v>71</v>
      </c>
      <c r="C8" s="136"/>
      <c r="D8" s="136"/>
      <c r="E8" s="85" t="s">
        <v>40</v>
      </c>
      <c r="F8" s="136"/>
      <c r="G8" s="136" t="s">
        <v>239</v>
      </c>
      <c r="H8" s="181" t="s">
        <v>7</v>
      </c>
      <c r="I8" s="42"/>
    </row>
    <row r="9" spans="1:14" s="26" customFormat="1" ht="86.25" x14ac:dyDescent="0.35">
      <c r="A9" s="193"/>
      <c r="B9" s="136"/>
      <c r="C9" s="136" t="s">
        <v>70</v>
      </c>
      <c r="D9" s="136">
        <v>13</v>
      </c>
      <c r="E9" s="85" t="s">
        <v>41</v>
      </c>
      <c r="F9" s="136" t="s">
        <v>310</v>
      </c>
      <c r="G9" s="136"/>
      <c r="H9" s="182" t="s">
        <v>312</v>
      </c>
      <c r="I9" s="42"/>
    </row>
    <row r="10" spans="1:14" s="26" customFormat="1" ht="17.25" x14ac:dyDescent="0.35">
      <c r="A10" s="193" t="s">
        <v>149</v>
      </c>
      <c r="B10" s="136">
        <v>400</v>
      </c>
      <c r="C10" s="136" t="s">
        <v>69</v>
      </c>
      <c r="D10" s="136">
        <v>1</v>
      </c>
      <c r="E10" s="85" t="s">
        <v>150</v>
      </c>
      <c r="F10" s="136">
        <v>0</v>
      </c>
      <c r="G10" s="136" t="s">
        <v>239</v>
      </c>
      <c r="H10" s="181" t="s">
        <v>151</v>
      </c>
    </row>
    <row r="11" spans="1:14" s="26" customFormat="1" ht="17.25" x14ac:dyDescent="0.35">
      <c r="A11" s="193" t="s">
        <v>28</v>
      </c>
      <c r="B11" s="136">
        <v>405</v>
      </c>
      <c r="C11" s="136"/>
      <c r="D11" s="136"/>
      <c r="E11" s="85" t="s">
        <v>29</v>
      </c>
      <c r="F11" s="136"/>
      <c r="G11" s="136" t="s">
        <v>79</v>
      </c>
      <c r="H11" s="181"/>
    </row>
    <row r="12" spans="1:14" s="26" customFormat="1" ht="17.25" x14ac:dyDescent="0.35">
      <c r="A12" s="193"/>
      <c r="B12" s="136"/>
      <c r="C12" s="136" t="s">
        <v>69</v>
      </c>
      <c r="D12" s="136">
        <v>2</v>
      </c>
      <c r="E12" s="85" t="s">
        <v>30</v>
      </c>
      <c r="F12" s="136">
        <v>3</v>
      </c>
      <c r="G12" s="136"/>
      <c r="H12" s="181" t="s">
        <v>31</v>
      </c>
    </row>
    <row r="13" spans="1:14" s="26" customFormat="1" ht="17.25" x14ac:dyDescent="0.35">
      <c r="A13" s="193" t="s">
        <v>32</v>
      </c>
      <c r="B13" s="136">
        <v>818</v>
      </c>
      <c r="C13" s="136" t="s">
        <v>69</v>
      </c>
      <c r="D13" s="136">
        <v>1</v>
      </c>
      <c r="E13" s="85" t="s">
        <v>33</v>
      </c>
      <c r="F13" s="136" t="s">
        <v>445</v>
      </c>
      <c r="G13" s="136" t="s">
        <v>79</v>
      </c>
      <c r="H13" s="181" t="s">
        <v>314</v>
      </c>
    </row>
    <row r="14" spans="1:14" s="26" customFormat="1" ht="17.25" x14ac:dyDescent="0.35">
      <c r="A14" s="193" t="s">
        <v>81</v>
      </c>
      <c r="B14" s="136">
        <v>880</v>
      </c>
      <c r="C14" s="136" t="s">
        <v>69</v>
      </c>
      <c r="D14" s="136">
        <v>1</v>
      </c>
      <c r="E14" s="85"/>
      <c r="F14" s="136">
        <v>1</v>
      </c>
      <c r="G14" s="136" t="s">
        <v>239</v>
      </c>
      <c r="H14" s="181"/>
    </row>
    <row r="15" spans="1:14" s="26" customFormat="1" ht="17.25" x14ac:dyDescent="0.35">
      <c r="A15" s="193" t="s">
        <v>82</v>
      </c>
      <c r="B15" s="136">
        <v>881</v>
      </c>
      <c r="C15" s="136" t="s">
        <v>69</v>
      </c>
      <c r="D15" s="136">
        <v>1</v>
      </c>
      <c r="E15" s="85"/>
      <c r="F15" s="136">
        <v>1</v>
      </c>
      <c r="G15" s="136" t="s">
        <v>239</v>
      </c>
      <c r="H15" s="181"/>
    </row>
    <row r="16" spans="1:14" s="26" customFormat="1" ht="17.25" x14ac:dyDescent="0.35">
      <c r="A16" s="193" t="s">
        <v>83</v>
      </c>
      <c r="B16" s="136">
        <v>882</v>
      </c>
      <c r="C16" s="136" t="s">
        <v>69</v>
      </c>
      <c r="D16" s="136">
        <v>1</v>
      </c>
      <c r="E16" s="85"/>
      <c r="F16" s="136">
        <v>0</v>
      </c>
      <c r="G16" s="136" t="s">
        <v>239</v>
      </c>
      <c r="H16" s="181"/>
      <c r="I16" s="42"/>
    </row>
    <row r="17" spans="1:9" s="56" customFormat="1" ht="17.25" x14ac:dyDescent="0.35">
      <c r="A17" s="193" t="s">
        <v>365</v>
      </c>
      <c r="B17" s="136">
        <v>906</v>
      </c>
      <c r="C17" s="136"/>
      <c r="D17" s="136"/>
      <c r="E17" s="85" t="s">
        <v>366</v>
      </c>
      <c r="F17" s="136"/>
      <c r="G17" s="136" t="s">
        <v>239</v>
      </c>
      <c r="H17" s="181"/>
      <c r="I17" s="137"/>
    </row>
    <row r="18" spans="1:9" s="56" customFormat="1" ht="17.25" x14ac:dyDescent="0.35">
      <c r="A18" s="193"/>
      <c r="B18" s="136"/>
      <c r="C18" s="136" t="s">
        <v>69</v>
      </c>
      <c r="D18" s="136">
        <v>1</v>
      </c>
      <c r="E18" s="85" t="s">
        <v>367</v>
      </c>
      <c r="F18" s="136">
        <v>9</v>
      </c>
      <c r="G18" s="136"/>
      <c r="H18" s="181"/>
      <c r="I18" s="137"/>
    </row>
    <row r="19" spans="1:9" s="56" customFormat="1" ht="17.25" x14ac:dyDescent="0.35">
      <c r="A19" s="193"/>
      <c r="B19" s="136"/>
      <c r="C19" s="136" t="s">
        <v>70</v>
      </c>
      <c r="D19" s="136">
        <v>127</v>
      </c>
      <c r="E19" s="85" t="s">
        <v>370</v>
      </c>
      <c r="F19" s="136" t="s">
        <v>368</v>
      </c>
      <c r="G19" s="136"/>
      <c r="H19" s="181"/>
      <c r="I19" s="137"/>
    </row>
    <row r="20" spans="1:9" s="56" customFormat="1" ht="17.25" x14ac:dyDescent="0.35">
      <c r="A20" s="193" t="s">
        <v>369</v>
      </c>
      <c r="B20" s="136">
        <v>910</v>
      </c>
      <c r="C20" s="136"/>
      <c r="D20" s="136"/>
      <c r="E20" s="85" t="s">
        <v>371</v>
      </c>
      <c r="F20" s="136"/>
      <c r="G20" s="136" t="s">
        <v>239</v>
      </c>
      <c r="H20" s="181"/>
      <c r="I20" s="137"/>
    </row>
    <row r="21" spans="1:9" s="56" customFormat="1" ht="17.25" x14ac:dyDescent="0.35">
      <c r="A21" s="193"/>
      <c r="B21" s="136"/>
      <c r="C21" s="136" t="s">
        <v>69</v>
      </c>
      <c r="D21" s="136">
        <v>1</v>
      </c>
      <c r="E21" s="85" t="s">
        <v>372</v>
      </c>
      <c r="F21" s="136">
        <f>LEN(F22)</f>
        <v>15</v>
      </c>
      <c r="G21" s="136"/>
      <c r="H21" s="181"/>
      <c r="I21" s="137"/>
    </row>
    <row r="22" spans="1:9" s="56" customFormat="1" ht="17.25" x14ac:dyDescent="0.35">
      <c r="A22" s="193"/>
      <c r="B22" s="136"/>
      <c r="C22" s="136" t="s">
        <v>70</v>
      </c>
      <c r="D22" s="136">
        <v>127</v>
      </c>
      <c r="E22" s="85" t="s">
        <v>373</v>
      </c>
      <c r="F22" s="144" t="s">
        <v>374</v>
      </c>
      <c r="G22" s="136"/>
      <c r="H22" s="181"/>
      <c r="I22" s="137"/>
    </row>
    <row r="23" spans="1:9" s="56" customFormat="1" ht="17.25" x14ac:dyDescent="0.35">
      <c r="A23" s="193" t="s">
        <v>17</v>
      </c>
      <c r="B23" s="136">
        <v>928</v>
      </c>
      <c r="C23" s="136" t="s">
        <v>69</v>
      </c>
      <c r="D23" s="136">
        <v>2</v>
      </c>
      <c r="E23" s="85" t="s">
        <v>18</v>
      </c>
      <c r="F23" s="136">
        <v>0</v>
      </c>
      <c r="G23" s="136" t="s">
        <v>79</v>
      </c>
      <c r="H23" s="181"/>
      <c r="I23" s="137"/>
    </row>
    <row r="24" spans="1:9" s="56" customFormat="1" ht="17.25" x14ac:dyDescent="0.35">
      <c r="A24" s="193" t="s">
        <v>19</v>
      </c>
      <c r="B24" s="136">
        <v>929</v>
      </c>
      <c r="C24" s="136" t="s">
        <v>69</v>
      </c>
      <c r="D24" s="136">
        <v>2</v>
      </c>
      <c r="E24" s="85" t="s">
        <v>20</v>
      </c>
      <c r="F24" s="136" t="s">
        <v>21</v>
      </c>
      <c r="G24" s="136" t="s">
        <v>79</v>
      </c>
      <c r="H24" s="181" t="s">
        <v>22</v>
      </c>
      <c r="I24" s="137"/>
    </row>
    <row r="25" spans="1:9" s="56" customFormat="1" ht="51.75" x14ac:dyDescent="0.35">
      <c r="A25" s="193" t="s">
        <v>34</v>
      </c>
      <c r="B25" s="136">
        <v>1018</v>
      </c>
      <c r="C25" s="136" t="s">
        <v>69</v>
      </c>
      <c r="D25" s="136">
        <v>2</v>
      </c>
      <c r="E25" s="85" t="s">
        <v>35</v>
      </c>
      <c r="F25" s="136" t="s">
        <v>444</v>
      </c>
      <c r="G25" s="136" t="s">
        <v>79</v>
      </c>
      <c r="H25" s="181" t="s">
        <v>152</v>
      </c>
      <c r="I25" s="137"/>
    </row>
    <row r="26" spans="1:9" s="56" customFormat="1" ht="17.25" x14ac:dyDescent="0.35">
      <c r="A26" s="193" t="s">
        <v>65</v>
      </c>
      <c r="B26" s="136">
        <v>1877</v>
      </c>
      <c r="C26" s="136"/>
      <c r="D26" s="136">
        <v>8</v>
      </c>
      <c r="E26" s="85" t="s">
        <v>66</v>
      </c>
      <c r="F26" s="136">
        <v>7</v>
      </c>
      <c r="G26" s="136"/>
      <c r="H26" s="181" t="s">
        <v>153</v>
      </c>
      <c r="I26" s="137"/>
    </row>
    <row r="27" spans="1:9" s="56" customFormat="1" ht="17.25" x14ac:dyDescent="0.35">
      <c r="A27" s="193" t="s">
        <v>25</v>
      </c>
      <c r="B27" s="136">
        <v>1907</v>
      </c>
      <c r="C27" s="136" t="s">
        <v>69</v>
      </c>
      <c r="D27" s="136">
        <v>1</v>
      </c>
      <c r="E27" s="85" t="s">
        <v>26</v>
      </c>
      <c r="F27" s="136">
        <v>1</v>
      </c>
      <c r="G27" s="136" t="s">
        <v>79</v>
      </c>
      <c r="H27" s="181"/>
      <c r="I27" s="137"/>
    </row>
    <row r="28" spans="1:9" s="56" customFormat="1" ht="34.5" x14ac:dyDescent="0.35">
      <c r="A28" s="193" t="s">
        <v>42</v>
      </c>
      <c r="B28" s="136">
        <v>1920</v>
      </c>
      <c r="C28" s="136" t="s">
        <v>69</v>
      </c>
      <c r="D28" s="136">
        <v>4</v>
      </c>
      <c r="E28" s="85" t="s">
        <v>43</v>
      </c>
      <c r="F28" s="136" t="s">
        <v>443</v>
      </c>
      <c r="G28" s="136" t="s">
        <v>239</v>
      </c>
      <c r="H28" s="181" t="s">
        <v>155</v>
      </c>
      <c r="I28" s="137"/>
    </row>
    <row r="29" spans="1:9" s="56" customFormat="1" ht="17.25" x14ac:dyDescent="0.35">
      <c r="A29" s="193" t="s">
        <v>156</v>
      </c>
      <c r="B29" s="136">
        <v>1993</v>
      </c>
      <c r="C29" s="136" t="s">
        <v>69</v>
      </c>
      <c r="D29" s="136">
        <v>1</v>
      </c>
      <c r="E29" s="85" t="s">
        <v>157</v>
      </c>
      <c r="F29" s="136">
        <v>2</v>
      </c>
      <c r="G29" s="136" t="s">
        <v>239</v>
      </c>
      <c r="H29" s="181" t="s">
        <v>158</v>
      </c>
      <c r="I29" s="137"/>
    </row>
    <row r="30" spans="1:9" s="56" customFormat="1" ht="17.25" x14ac:dyDescent="0.35">
      <c r="A30" s="193" t="s">
        <v>159</v>
      </c>
      <c r="B30" s="136">
        <v>1994</v>
      </c>
      <c r="C30" s="136" t="s">
        <v>69</v>
      </c>
      <c r="D30" s="136">
        <v>1</v>
      </c>
      <c r="E30" s="85" t="s">
        <v>160</v>
      </c>
      <c r="F30" s="136">
        <v>0</v>
      </c>
      <c r="G30" s="136" t="s">
        <v>239</v>
      </c>
      <c r="H30" s="181" t="s">
        <v>161</v>
      </c>
      <c r="I30" s="137"/>
    </row>
    <row r="31" spans="1:9" s="56" customFormat="1" ht="17.25" x14ac:dyDescent="0.35">
      <c r="A31" s="193" t="s">
        <v>162</v>
      </c>
      <c r="B31" s="136">
        <v>1995</v>
      </c>
      <c r="C31" s="136" t="s">
        <v>69</v>
      </c>
      <c r="D31" s="136">
        <v>2</v>
      </c>
      <c r="E31" s="85" t="s">
        <v>163</v>
      </c>
      <c r="F31" s="136">
        <v>65001</v>
      </c>
      <c r="G31" s="136" t="s">
        <v>239</v>
      </c>
      <c r="H31" s="181" t="s">
        <v>164</v>
      </c>
      <c r="I31" s="137"/>
    </row>
    <row r="32" spans="1:9" s="56" customFormat="1" ht="17.25" x14ac:dyDescent="0.35">
      <c r="A32" s="193" t="s">
        <v>165</v>
      </c>
      <c r="B32" s="136">
        <v>1997</v>
      </c>
      <c r="C32" s="136" t="s">
        <v>69</v>
      </c>
      <c r="D32" s="136">
        <v>4</v>
      </c>
      <c r="E32" s="85" t="s">
        <v>166</v>
      </c>
      <c r="F32" s="136" t="s">
        <v>84</v>
      </c>
      <c r="G32" s="136" t="s">
        <v>239</v>
      </c>
      <c r="H32" s="181" t="s">
        <v>167</v>
      </c>
      <c r="I32" s="137"/>
    </row>
    <row r="33" spans="1:9" s="56" customFormat="1" ht="17.25" x14ac:dyDescent="0.35">
      <c r="A33" s="193" t="s">
        <v>168</v>
      </c>
      <c r="B33" s="136">
        <v>3520</v>
      </c>
      <c r="C33" s="136" t="s">
        <v>69</v>
      </c>
      <c r="D33" s="136">
        <v>2</v>
      </c>
      <c r="E33" s="85" t="s">
        <v>169</v>
      </c>
      <c r="F33" s="136" t="s">
        <v>170</v>
      </c>
      <c r="G33" s="136" t="s">
        <v>239</v>
      </c>
      <c r="H33" s="181" t="s">
        <v>171</v>
      </c>
      <c r="I33" s="137"/>
    </row>
    <row r="34" spans="1:9" s="56" customFormat="1" ht="51.75" x14ac:dyDescent="0.35">
      <c r="A34" s="193" t="s">
        <v>172</v>
      </c>
      <c r="B34" s="136">
        <v>3758</v>
      </c>
      <c r="C34" s="136" t="s">
        <v>69</v>
      </c>
      <c r="D34" s="136">
        <v>1</v>
      </c>
      <c r="E34" s="85" t="s">
        <v>173</v>
      </c>
      <c r="F34" s="136">
        <v>1</v>
      </c>
      <c r="G34" s="136" t="s">
        <v>239</v>
      </c>
      <c r="H34" s="181" t="s">
        <v>174</v>
      </c>
      <c r="I34" s="137"/>
    </row>
    <row r="35" spans="1:9" s="56" customFormat="1" ht="17.25" x14ac:dyDescent="0.35">
      <c r="A35" s="193" t="s">
        <v>175</v>
      </c>
      <c r="B35" s="136">
        <v>4102</v>
      </c>
      <c r="C35" s="136" t="s">
        <v>69</v>
      </c>
      <c r="D35" s="136">
        <v>1</v>
      </c>
      <c r="E35" s="85" t="s">
        <v>176</v>
      </c>
      <c r="F35" s="136">
        <v>1</v>
      </c>
      <c r="G35" s="136" t="s">
        <v>79</v>
      </c>
      <c r="H35" s="181" t="s">
        <v>177</v>
      </c>
      <c r="I35" s="137"/>
    </row>
    <row r="36" spans="1:9" s="56" customFormat="1" ht="103.5" x14ac:dyDescent="0.35">
      <c r="A36" s="193" t="s">
        <v>178</v>
      </c>
      <c r="B36" s="136">
        <v>4228</v>
      </c>
      <c r="C36" s="136" t="s">
        <v>69</v>
      </c>
      <c r="D36" s="136">
        <v>1</v>
      </c>
      <c r="E36" s="85" t="s">
        <v>179</v>
      </c>
      <c r="F36" s="136">
        <v>0</v>
      </c>
      <c r="G36" s="136" t="s">
        <v>239</v>
      </c>
      <c r="H36" s="181" t="s">
        <v>180</v>
      </c>
      <c r="I36" s="137"/>
    </row>
    <row r="37" spans="1:9" s="56" customFormat="1" ht="17.25" x14ac:dyDescent="0.35">
      <c r="A37" s="193" t="s">
        <v>181</v>
      </c>
      <c r="B37" s="136">
        <v>4229</v>
      </c>
      <c r="C37" s="136" t="s">
        <v>69</v>
      </c>
      <c r="D37" s="136">
        <v>1</v>
      </c>
      <c r="E37" s="85" t="s">
        <v>182</v>
      </c>
      <c r="F37" s="136">
        <v>1</v>
      </c>
      <c r="G37" s="136"/>
      <c r="H37" s="181" t="s">
        <v>316</v>
      </c>
      <c r="I37" s="137"/>
    </row>
    <row r="38" spans="1:9" s="56" customFormat="1" ht="17.25" x14ac:dyDescent="0.35">
      <c r="A38" s="193" t="s">
        <v>36</v>
      </c>
      <c r="B38" s="136">
        <v>4366</v>
      </c>
      <c r="C38" s="136"/>
      <c r="D38" s="136"/>
      <c r="E38" s="85" t="s">
        <v>37</v>
      </c>
      <c r="F38" s="136"/>
      <c r="G38" s="136" t="s">
        <v>239</v>
      </c>
      <c r="H38" s="181"/>
      <c r="I38" s="137"/>
    </row>
    <row r="39" spans="1:9" s="56" customFormat="1" ht="17.25" x14ac:dyDescent="0.35">
      <c r="A39" s="193"/>
      <c r="B39" s="136"/>
      <c r="C39" s="136" t="s">
        <v>69</v>
      </c>
      <c r="D39" s="136">
        <v>4</v>
      </c>
      <c r="E39" s="85" t="s">
        <v>38</v>
      </c>
      <c r="F39" s="136">
        <v>6</v>
      </c>
      <c r="G39" s="136"/>
      <c r="H39" s="181" t="s">
        <v>183</v>
      </c>
      <c r="I39" s="137"/>
    </row>
    <row r="40" spans="1:9" s="56" customFormat="1" ht="17.25" x14ac:dyDescent="0.35">
      <c r="A40" s="193" t="s">
        <v>471</v>
      </c>
      <c r="B40" s="136">
        <v>3635</v>
      </c>
      <c r="C40" s="136"/>
      <c r="D40" s="136"/>
      <c r="E40" s="85" t="s">
        <v>472</v>
      </c>
      <c r="F40" s="136"/>
      <c r="G40" s="136" t="s">
        <v>239</v>
      </c>
      <c r="H40" s="181"/>
      <c r="I40" s="137"/>
    </row>
    <row r="41" spans="1:9" s="56" customFormat="1" ht="17.25" x14ac:dyDescent="0.35">
      <c r="A41" s="193"/>
      <c r="B41" s="136"/>
      <c r="C41" s="136" t="s">
        <v>69</v>
      </c>
      <c r="D41" s="136">
        <v>2</v>
      </c>
      <c r="E41" s="85" t="s">
        <v>474</v>
      </c>
      <c r="F41" s="136">
        <v>3</v>
      </c>
      <c r="G41" s="136"/>
      <c r="H41" s="181"/>
      <c r="I41" s="137"/>
    </row>
    <row r="42" spans="1:9" s="56" customFormat="1" ht="17.25" x14ac:dyDescent="0.35">
      <c r="A42" s="193"/>
      <c r="B42" s="136"/>
      <c r="C42" s="136" t="s">
        <v>69</v>
      </c>
      <c r="D42" s="136">
        <v>2</v>
      </c>
      <c r="E42" s="85" t="s">
        <v>475</v>
      </c>
      <c r="F42" s="136">
        <v>25</v>
      </c>
      <c r="G42" s="136"/>
      <c r="H42" s="181"/>
      <c r="I42" s="137"/>
    </row>
    <row r="43" spans="1:9" s="56" customFormat="1" ht="17.25" x14ac:dyDescent="0.35">
      <c r="A43" s="193"/>
      <c r="B43" s="136"/>
      <c r="C43" s="136" t="s">
        <v>69</v>
      </c>
      <c r="D43" s="136">
        <v>4</v>
      </c>
      <c r="E43" s="85" t="s">
        <v>476</v>
      </c>
      <c r="F43" s="136">
        <v>60</v>
      </c>
      <c r="G43" s="136"/>
      <c r="H43" s="181"/>
      <c r="I43" s="137"/>
    </row>
    <row r="44" spans="1:9" s="56" customFormat="1" ht="17.25" x14ac:dyDescent="0.35">
      <c r="A44" s="193"/>
      <c r="B44" s="136"/>
      <c r="C44" s="136" t="s">
        <v>69</v>
      </c>
      <c r="D44" s="136">
        <v>4</v>
      </c>
      <c r="E44" s="85" t="s">
        <v>477</v>
      </c>
      <c r="F44" s="136">
        <v>180</v>
      </c>
      <c r="G44" s="136"/>
      <c r="H44" s="181"/>
      <c r="I44" s="137"/>
    </row>
    <row r="45" spans="1:9" s="56" customFormat="1" ht="17.25" x14ac:dyDescent="0.35">
      <c r="A45" s="193"/>
      <c r="B45" s="136"/>
      <c r="C45" s="136" t="s">
        <v>69</v>
      </c>
      <c r="D45" s="136">
        <v>4</v>
      </c>
      <c r="E45" s="85" t="s">
        <v>478</v>
      </c>
      <c r="F45" s="136">
        <v>4</v>
      </c>
      <c r="G45" s="136"/>
      <c r="H45" s="181"/>
      <c r="I45" s="137"/>
    </row>
    <row r="46" spans="1:9" s="56" customFormat="1" ht="17.25" x14ac:dyDescent="0.35">
      <c r="A46" s="193"/>
      <c r="B46" s="136"/>
      <c r="C46" s="136" t="s">
        <v>69</v>
      </c>
      <c r="D46" s="136">
        <v>4</v>
      </c>
      <c r="E46" s="85" t="s">
        <v>479</v>
      </c>
      <c r="F46" s="136">
        <v>1</v>
      </c>
      <c r="G46" s="136"/>
      <c r="H46" s="181"/>
      <c r="I46" s="137"/>
    </row>
    <row r="47" spans="1:9" s="56" customFormat="1" ht="17.25" x14ac:dyDescent="0.35">
      <c r="A47" s="193"/>
      <c r="B47" s="136"/>
      <c r="C47" s="136" t="s">
        <v>69</v>
      </c>
      <c r="D47" s="136">
        <v>4</v>
      </c>
      <c r="E47" s="85" t="s">
        <v>480</v>
      </c>
      <c r="F47" s="136">
        <v>180</v>
      </c>
      <c r="G47" s="136"/>
      <c r="H47" s="181"/>
      <c r="I47" s="137"/>
    </row>
    <row r="48" spans="1:9" s="56" customFormat="1" ht="17.25" x14ac:dyDescent="0.35">
      <c r="A48" s="193"/>
      <c r="B48" s="136"/>
      <c r="C48" s="136" t="s">
        <v>69</v>
      </c>
      <c r="D48" s="136">
        <v>4</v>
      </c>
      <c r="E48" s="85" t="s">
        <v>481</v>
      </c>
      <c r="F48" s="136">
        <v>3600</v>
      </c>
      <c r="G48" s="136"/>
      <c r="H48" s="181"/>
      <c r="I48" s="137"/>
    </row>
    <row r="49" spans="1:9" s="56" customFormat="1" ht="17.25" x14ac:dyDescent="0.35">
      <c r="A49" s="193"/>
      <c r="B49" s="136"/>
      <c r="C49" s="136" t="s">
        <v>69</v>
      </c>
      <c r="D49" s="136">
        <v>4</v>
      </c>
      <c r="E49" s="85" t="s">
        <v>482</v>
      </c>
      <c r="F49" s="136">
        <v>130</v>
      </c>
      <c r="G49" s="136"/>
      <c r="H49" s="181"/>
      <c r="I49" s="137"/>
    </row>
    <row r="50" spans="1:9" s="56" customFormat="1" ht="17.25" x14ac:dyDescent="0.35">
      <c r="A50" s="193"/>
      <c r="B50" s="136"/>
      <c r="C50" s="136" t="s">
        <v>69</v>
      </c>
      <c r="D50" s="136">
        <v>4</v>
      </c>
      <c r="E50" s="85" t="s">
        <v>483</v>
      </c>
      <c r="F50" s="136">
        <v>3600</v>
      </c>
      <c r="G50" s="136"/>
      <c r="H50" s="181"/>
      <c r="I50" s="137"/>
    </row>
    <row r="51" spans="1:9" s="56" customFormat="1" ht="17.25" x14ac:dyDescent="0.35">
      <c r="A51" s="193"/>
      <c r="B51" s="136"/>
      <c r="C51" s="136" t="s">
        <v>69</v>
      </c>
      <c r="D51" s="136">
        <v>4</v>
      </c>
      <c r="E51" s="85" t="s">
        <v>484</v>
      </c>
      <c r="F51" s="136">
        <v>130</v>
      </c>
      <c r="G51" s="136"/>
      <c r="H51" s="181"/>
      <c r="I51" s="137"/>
    </row>
    <row r="52" spans="1:9" s="56" customFormat="1" ht="17.25" x14ac:dyDescent="0.35">
      <c r="A52" s="193"/>
      <c r="B52" s="136"/>
      <c r="C52" s="136" t="s">
        <v>69</v>
      </c>
      <c r="D52" s="136">
        <v>4</v>
      </c>
      <c r="E52" s="85" t="s">
        <v>485</v>
      </c>
      <c r="F52" s="136">
        <v>14</v>
      </c>
      <c r="G52" s="136"/>
      <c r="H52" s="181"/>
    </row>
    <row r="53" spans="1:9" s="56" customFormat="1" ht="17.25" x14ac:dyDescent="0.35">
      <c r="A53" s="193"/>
      <c r="B53" s="136"/>
      <c r="C53" s="136" t="s">
        <v>69</v>
      </c>
      <c r="D53" s="136">
        <v>4</v>
      </c>
      <c r="E53" s="85" t="s">
        <v>486</v>
      </c>
      <c r="F53" s="136">
        <v>36</v>
      </c>
      <c r="G53" s="136"/>
      <c r="H53" s="181"/>
    </row>
    <row r="54" spans="1:9" s="56" customFormat="1" ht="17.25" x14ac:dyDescent="0.35">
      <c r="A54" s="193"/>
      <c r="B54" s="136"/>
      <c r="C54" s="136" t="s">
        <v>69</v>
      </c>
      <c r="D54" s="136">
        <v>4</v>
      </c>
      <c r="E54" s="85" t="s">
        <v>487</v>
      </c>
      <c r="F54" s="136">
        <v>4</v>
      </c>
      <c r="G54" s="136"/>
      <c r="H54" s="181"/>
    </row>
    <row r="55" spans="1:9" s="81" customFormat="1" ht="17.25" x14ac:dyDescent="0.35">
      <c r="A55" s="193"/>
      <c r="B55" s="136"/>
      <c r="C55" s="136" t="s">
        <v>69</v>
      </c>
      <c r="D55" s="136">
        <v>4</v>
      </c>
      <c r="E55" s="85" t="s">
        <v>488</v>
      </c>
      <c r="F55" s="136">
        <v>1</v>
      </c>
      <c r="G55" s="136"/>
      <c r="H55" s="181"/>
    </row>
    <row r="56" spans="1:9" s="81" customFormat="1" ht="17.25" x14ac:dyDescent="0.35">
      <c r="A56" s="193"/>
      <c r="B56" s="136"/>
      <c r="C56" s="136" t="s">
        <v>69</v>
      </c>
      <c r="D56" s="136">
        <v>4</v>
      </c>
      <c r="E56" s="85" t="s">
        <v>489</v>
      </c>
      <c r="F56" s="136">
        <v>5200</v>
      </c>
      <c r="G56" s="136"/>
      <c r="H56" s="181"/>
    </row>
    <row r="57" spans="1:9" s="81" customFormat="1" ht="17.25" x14ac:dyDescent="0.35">
      <c r="A57" s="193"/>
      <c r="B57" s="136"/>
      <c r="C57" s="136" t="s">
        <v>69</v>
      </c>
      <c r="D57" s="136">
        <v>4</v>
      </c>
      <c r="E57" s="85" t="s">
        <v>490</v>
      </c>
      <c r="F57" s="136">
        <v>3000</v>
      </c>
      <c r="G57" s="136"/>
      <c r="H57" s="181"/>
    </row>
    <row r="58" spans="1:9" s="81" customFormat="1" ht="17.25" x14ac:dyDescent="0.35">
      <c r="A58" s="193"/>
      <c r="B58" s="136"/>
      <c r="C58" s="136" t="s">
        <v>69</v>
      </c>
      <c r="D58" s="136">
        <v>4</v>
      </c>
      <c r="E58" s="85" t="s">
        <v>491</v>
      </c>
      <c r="F58" s="136">
        <v>2200</v>
      </c>
      <c r="G58" s="136"/>
      <c r="H58" s="181"/>
    </row>
    <row r="59" spans="1:9" s="56" customFormat="1" ht="17.25" x14ac:dyDescent="0.35">
      <c r="A59" s="193"/>
      <c r="B59" s="136"/>
      <c r="C59" s="136" t="s">
        <v>69</v>
      </c>
      <c r="D59" s="136">
        <v>4</v>
      </c>
      <c r="E59" s="85" t="s">
        <v>473</v>
      </c>
      <c r="F59" s="136">
        <v>3</v>
      </c>
      <c r="G59" s="136"/>
      <c r="H59" s="181"/>
    </row>
    <row r="60" spans="1:9" s="56" customFormat="1" ht="17.25" x14ac:dyDescent="0.35">
      <c r="A60" s="193"/>
      <c r="B60" s="136"/>
      <c r="C60" s="136" t="s">
        <v>69</v>
      </c>
      <c r="D60" s="136">
        <v>4</v>
      </c>
      <c r="E60" s="85" t="s">
        <v>492</v>
      </c>
      <c r="F60" s="136">
        <v>253</v>
      </c>
      <c r="G60" s="136"/>
      <c r="H60" s="181"/>
    </row>
    <row r="61" spans="1:9" s="56" customFormat="1" ht="17.25" x14ac:dyDescent="0.35">
      <c r="A61" s="193"/>
      <c r="B61" s="136"/>
      <c r="C61" s="136" t="s">
        <v>69</v>
      </c>
      <c r="D61" s="136">
        <v>4</v>
      </c>
      <c r="E61" s="85" t="s">
        <v>493</v>
      </c>
      <c r="F61" s="136">
        <v>1000</v>
      </c>
      <c r="G61" s="136"/>
      <c r="H61" s="181"/>
    </row>
    <row r="62" spans="1:9" s="56" customFormat="1" ht="17.25" x14ac:dyDescent="0.35">
      <c r="A62" s="193"/>
      <c r="B62" s="136"/>
      <c r="C62" s="136" t="s">
        <v>69</v>
      </c>
      <c r="D62" s="136">
        <v>4</v>
      </c>
      <c r="E62" s="85" t="s">
        <v>494</v>
      </c>
      <c r="F62" s="136">
        <v>4</v>
      </c>
      <c r="G62" s="136"/>
      <c r="H62" s="181"/>
    </row>
    <row r="63" spans="1:9" s="56" customFormat="1" ht="17.25" x14ac:dyDescent="0.35">
      <c r="A63" s="193"/>
      <c r="B63" s="136"/>
      <c r="C63" s="136" t="s">
        <v>69</v>
      </c>
      <c r="D63" s="136">
        <v>4</v>
      </c>
      <c r="E63" s="85" t="s">
        <v>495</v>
      </c>
      <c r="F63" s="136">
        <v>300</v>
      </c>
      <c r="G63" s="136"/>
      <c r="H63" s="181"/>
    </row>
    <row r="64" spans="1:9" s="56" customFormat="1" ht="17.25" x14ac:dyDescent="0.35">
      <c r="A64" s="193"/>
      <c r="B64" s="136"/>
      <c r="C64" s="136" t="s">
        <v>69</v>
      </c>
      <c r="D64" s="136">
        <v>4</v>
      </c>
      <c r="E64" s="85" t="s">
        <v>496</v>
      </c>
      <c r="F64" s="136">
        <v>300</v>
      </c>
      <c r="G64" s="136"/>
      <c r="H64" s="181"/>
    </row>
    <row r="65" spans="1:8" s="56" customFormat="1" ht="17.25" x14ac:dyDescent="0.35">
      <c r="A65" s="193"/>
      <c r="B65" s="136"/>
      <c r="C65" s="136" t="s">
        <v>69</v>
      </c>
      <c r="D65" s="136">
        <v>4</v>
      </c>
      <c r="E65" s="85" t="s">
        <v>497</v>
      </c>
      <c r="F65" s="136">
        <v>0</v>
      </c>
      <c r="G65" s="136"/>
      <c r="H65" s="181"/>
    </row>
    <row r="66" spans="1:8" s="56" customFormat="1" ht="17.25" x14ac:dyDescent="0.35">
      <c r="A66" s="193"/>
      <c r="B66" s="136"/>
      <c r="C66" s="136" t="s">
        <v>69</v>
      </c>
      <c r="D66" s="136">
        <v>4</v>
      </c>
      <c r="E66" s="85" t="s">
        <v>498</v>
      </c>
      <c r="F66" s="136">
        <v>0</v>
      </c>
      <c r="G66" s="136"/>
      <c r="H66" s="181"/>
    </row>
    <row r="67" spans="1:8" s="56" customFormat="1" ht="17.25" x14ac:dyDescent="0.35">
      <c r="A67" s="193"/>
      <c r="B67" s="136"/>
      <c r="C67" s="136" t="s">
        <v>69</v>
      </c>
      <c r="D67" s="136">
        <v>4</v>
      </c>
      <c r="E67" s="85" t="s">
        <v>499</v>
      </c>
      <c r="F67" s="136">
        <v>0</v>
      </c>
      <c r="G67" s="136"/>
      <c r="H67" s="181"/>
    </row>
    <row r="68" spans="1:8" s="56" customFormat="1" ht="17.25" x14ac:dyDescent="0.35">
      <c r="A68" s="193" t="s">
        <v>184</v>
      </c>
      <c r="B68" s="136">
        <v>4698</v>
      </c>
      <c r="C68" s="136" t="s">
        <v>69</v>
      </c>
      <c r="D68" s="136">
        <v>4</v>
      </c>
      <c r="E68" s="85" t="s">
        <v>185</v>
      </c>
      <c r="F68" s="136" t="s">
        <v>186</v>
      </c>
      <c r="G68" s="136" t="s">
        <v>239</v>
      </c>
      <c r="H68" s="181" t="s">
        <v>187</v>
      </c>
    </row>
    <row r="69" spans="1:8" s="56" customFormat="1" ht="17.25" x14ac:dyDescent="0.35">
      <c r="A69" s="193" t="s">
        <v>188</v>
      </c>
      <c r="B69" s="136">
        <v>4705</v>
      </c>
      <c r="C69" s="136" t="s">
        <v>69</v>
      </c>
      <c r="D69" s="136">
        <v>4</v>
      </c>
      <c r="E69" s="85" t="s">
        <v>189</v>
      </c>
      <c r="F69" s="136">
        <v>6066</v>
      </c>
      <c r="G69" s="136" t="s">
        <v>239</v>
      </c>
      <c r="H69" s="181" t="s">
        <v>190</v>
      </c>
    </row>
    <row r="70" spans="1:8" s="56" customFormat="1" ht="17.25" x14ac:dyDescent="0.35">
      <c r="A70" s="193" t="s">
        <v>191</v>
      </c>
      <c r="B70" s="136">
        <v>4707</v>
      </c>
      <c r="C70" s="136" t="s">
        <v>69</v>
      </c>
      <c r="D70" s="136">
        <v>1</v>
      </c>
      <c r="E70" s="85" t="s">
        <v>192</v>
      </c>
      <c r="F70" s="136">
        <v>1</v>
      </c>
      <c r="G70" s="136" t="s">
        <v>239</v>
      </c>
      <c r="H70" s="181" t="s">
        <v>193</v>
      </c>
    </row>
    <row r="71" spans="1:8" s="56" customFormat="1" ht="17.25" x14ac:dyDescent="0.35">
      <c r="A71" s="194" t="s">
        <v>436</v>
      </c>
      <c r="B71" s="136">
        <v>4960</v>
      </c>
      <c r="C71" s="136" t="s">
        <v>69</v>
      </c>
      <c r="D71" s="138">
        <v>1</v>
      </c>
      <c r="E71" s="111" t="s">
        <v>435</v>
      </c>
      <c r="F71" s="136">
        <v>1</v>
      </c>
      <c r="G71" s="138" t="s">
        <v>239</v>
      </c>
      <c r="H71" s="183" t="s">
        <v>434</v>
      </c>
    </row>
    <row r="72" spans="1:8" s="56" customFormat="1" ht="17.25" x14ac:dyDescent="0.35">
      <c r="A72" s="193" t="s">
        <v>194</v>
      </c>
      <c r="B72" s="136">
        <v>4927</v>
      </c>
      <c r="C72" s="136" t="s">
        <v>69</v>
      </c>
      <c r="D72" s="136">
        <v>1</v>
      </c>
      <c r="E72" s="85" t="s">
        <v>195</v>
      </c>
      <c r="F72" s="136">
        <v>1</v>
      </c>
      <c r="G72" s="136" t="s">
        <v>239</v>
      </c>
      <c r="H72" s="181" t="s">
        <v>196</v>
      </c>
    </row>
    <row r="73" spans="1:8" s="56" customFormat="1" ht="17.25" x14ac:dyDescent="0.35">
      <c r="A73" s="193" t="s">
        <v>47</v>
      </c>
      <c r="B73" s="136">
        <v>10</v>
      </c>
      <c r="C73" s="136"/>
      <c r="D73" s="136"/>
      <c r="E73" s="85" t="s">
        <v>48</v>
      </c>
      <c r="F73" s="136"/>
      <c r="G73" s="136" t="s">
        <v>94</v>
      </c>
      <c r="H73" s="181" t="s">
        <v>7</v>
      </c>
    </row>
    <row r="74" spans="1:8" s="56" customFormat="1" ht="17.25" x14ac:dyDescent="0.35">
      <c r="A74" s="193"/>
      <c r="B74" s="136"/>
      <c r="C74" s="136" t="s">
        <v>69</v>
      </c>
      <c r="D74" s="136">
        <v>1</v>
      </c>
      <c r="E74" s="85" t="s">
        <v>16</v>
      </c>
      <c r="F74" s="136">
        <v>0</v>
      </c>
      <c r="G74" s="136"/>
      <c r="H74" s="181"/>
    </row>
    <row r="75" spans="1:8" s="56" customFormat="1" ht="17.25" x14ac:dyDescent="0.35">
      <c r="A75" s="193"/>
      <c r="B75" s="136"/>
      <c r="C75" s="136" t="s">
        <v>69</v>
      </c>
      <c r="D75" s="136">
        <v>2</v>
      </c>
      <c r="E75" s="85" t="s">
        <v>49</v>
      </c>
      <c r="F75" s="136">
        <v>4</v>
      </c>
      <c r="G75" s="136"/>
      <c r="H75" s="181" t="s">
        <v>7</v>
      </c>
    </row>
    <row r="76" spans="1:8" s="56" customFormat="1" ht="17.25" x14ac:dyDescent="0.35">
      <c r="A76" s="195" t="s">
        <v>47</v>
      </c>
      <c r="B76" s="136">
        <v>10</v>
      </c>
      <c r="C76" s="136"/>
      <c r="D76" s="138"/>
      <c r="E76" s="125" t="s">
        <v>48</v>
      </c>
      <c r="F76" s="136"/>
      <c r="G76" s="136" t="s">
        <v>238</v>
      </c>
      <c r="H76" s="184" t="s">
        <v>270</v>
      </c>
    </row>
    <row r="77" spans="1:8" s="56" customFormat="1" ht="17.25" x14ac:dyDescent="0.35">
      <c r="A77" s="195"/>
      <c r="B77" s="136" t="s">
        <v>244</v>
      </c>
      <c r="C77" s="136" t="s">
        <v>69</v>
      </c>
      <c r="D77" s="138">
        <v>1</v>
      </c>
      <c r="E77" s="125"/>
      <c r="F77" s="136" t="s">
        <v>6</v>
      </c>
      <c r="G77" s="136"/>
      <c r="H77" s="184"/>
    </row>
    <row r="78" spans="1:8" s="56" customFormat="1" ht="17.25" x14ac:dyDescent="0.35">
      <c r="A78" s="195"/>
      <c r="B78" s="136"/>
      <c r="C78" s="136" t="s">
        <v>69</v>
      </c>
      <c r="D78" s="138">
        <v>1</v>
      </c>
      <c r="E78" s="125" t="s">
        <v>16</v>
      </c>
      <c r="F78" s="136">
        <v>0</v>
      </c>
      <c r="G78" s="136"/>
      <c r="H78" s="184"/>
    </row>
    <row r="79" spans="1:8" s="56" customFormat="1" ht="17.25" x14ac:dyDescent="0.35">
      <c r="A79" s="195"/>
      <c r="B79" s="136"/>
      <c r="C79" s="136" t="s">
        <v>69</v>
      </c>
      <c r="D79" s="138">
        <v>2</v>
      </c>
      <c r="E79" s="125" t="s">
        <v>49</v>
      </c>
      <c r="F79" s="136">
        <v>13</v>
      </c>
      <c r="G79" s="136"/>
      <c r="H79" s="184" t="s">
        <v>7</v>
      </c>
    </row>
    <row r="80" spans="1:8" s="56" customFormat="1" ht="17.25" x14ac:dyDescent="0.35">
      <c r="A80" s="193" t="s">
        <v>197</v>
      </c>
      <c r="B80" s="136">
        <v>441</v>
      </c>
      <c r="C80" s="136"/>
      <c r="D80" s="136"/>
      <c r="E80" s="85" t="s">
        <v>119</v>
      </c>
      <c r="F80" s="136"/>
      <c r="G80" s="136" t="s">
        <v>238</v>
      </c>
      <c r="H80" s="181" t="s">
        <v>198</v>
      </c>
    </row>
    <row r="81" spans="1:13" s="56" customFormat="1" ht="17.25" x14ac:dyDescent="0.35">
      <c r="A81" s="193"/>
      <c r="B81" s="136"/>
      <c r="C81" s="136" t="s">
        <v>69</v>
      </c>
      <c r="D81" s="136">
        <v>1</v>
      </c>
      <c r="E81" s="85"/>
      <c r="F81" s="136">
        <v>0</v>
      </c>
      <c r="G81" s="136"/>
      <c r="H81" s="181"/>
    </row>
    <row r="82" spans="1:13" s="56" customFormat="1" ht="17.25" x14ac:dyDescent="0.35">
      <c r="A82" s="193"/>
      <c r="B82" s="136"/>
      <c r="C82" s="136" t="s">
        <v>69</v>
      </c>
      <c r="D82" s="136">
        <v>2</v>
      </c>
      <c r="E82" s="85"/>
      <c r="F82" s="136" t="s">
        <v>459</v>
      </c>
      <c r="G82" s="136"/>
      <c r="H82" s="181" t="s">
        <v>199</v>
      </c>
    </row>
    <row r="83" spans="1:13" s="56" customFormat="1" ht="17.25" x14ac:dyDescent="0.35">
      <c r="A83" s="196" t="s">
        <v>460</v>
      </c>
      <c r="B83" s="136">
        <v>946</v>
      </c>
      <c r="C83" s="136"/>
      <c r="D83" s="138"/>
      <c r="E83" s="86"/>
      <c r="F83" s="136"/>
      <c r="G83" s="138" t="s">
        <v>238</v>
      </c>
      <c r="H83" s="185"/>
      <c r="M83" s="139"/>
    </row>
    <row r="84" spans="1:13" s="56" customFormat="1" ht="17.25" x14ac:dyDescent="0.35">
      <c r="A84" s="196"/>
      <c r="B84" s="136"/>
      <c r="C84" s="136" t="s">
        <v>69</v>
      </c>
      <c r="D84" s="138">
        <v>1</v>
      </c>
      <c r="E84" s="86" t="s">
        <v>16</v>
      </c>
      <c r="F84" s="136">
        <v>0</v>
      </c>
      <c r="G84" s="138"/>
      <c r="H84" s="185"/>
      <c r="M84" s="139"/>
    </row>
    <row r="85" spans="1:13" s="56" customFormat="1" ht="17.25" x14ac:dyDescent="0.35">
      <c r="A85" s="196"/>
      <c r="B85" s="136"/>
      <c r="C85" s="136" t="s">
        <v>69</v>
      </c>
      <c r="D85" s="138">
        <v>2</v>
      </c>
      <c r="E85" s="86" t="s">
        <v>461</v>
      </c>
      <c r="F85" s="136" t="s">
        <v>462</v>
      </c>
      <c r="G85" s="138"/>
      <c r="H85" s="185" t="s">
        <v>7</v>
      </c>
      <c r="M85" s="139"/>
    </row>
    <row r="86" spans="1:13" s="56" customFormat="1" ht="17.25" x14ac:dyDescent="0.35">
      <c r="A86" s="193" t="s">
        <v>200</v>
      </c>
      <c r="B86" s="136">
        <v>452</v>
      </c>
      <c r="C86" s="136" t="s">
        <v>69</v>
      </c>
      <c r="D86" s="136">
        <v>4</v>
      </c>
      <c r="E86" s="85" t="s">
        <v>201</v>
      </c>
      <c r="F86" s="136">
        <v>0</v>
      </c>
      <c r="G86" s="136" t="s">
        <v>239</v>
      </c>
      <c r="H86" s="181"/>
      <c r="M86" s="139"/>
    </row>
    <row r="87" spans="1:13" s="56" customFormat="1" ht="17.25" x14ac:dyDescent="0.35">
      <c r="A87" s="193" t="s">
        <v>50</v>
      </c>
      <c r="B87" s="136">
        <v>3446</v>
      </c>
      <c r="C87" s="136"/>
      <c r="D87" s="136"/>
      <c r="E87" s="85" t="s">
        <v>51</v>
      </c>
      <c r="F87" s="136"/>
      <c r="G87" s="136"/>
      <c r="H87" s="181"/>
      <c r="M87" s="139"/>
    </row>
    <row r="88" spans="1:13" s="56" customFormat="1" ht="17.25" x14ac:dyDescent="0.35">
      <c r="A88" s="193"/>
      <c r="B88" s="136"/>
      <c r="C88" s="136" t="s">
        <v>69</v>
      </c>
      <c r="D88" s="136">
        <v>2</v>
      </c>
      <c r="E88" s="85" t="s">
        <v>52</v>
      </c>
      <c r="F88" s="136">
        <v>130</v>
      </c>
      <c r="G88" s="136"/>
      <c r="H88" s="181"/>
      <c r="M88" s="139"/>
    </row>
    <row r="89" spans="1:13" s="56" customFormat="1" ht="17.25" x14ac:dyDescent="0.35">
      <c r="A89" s="193"/>
      <c r="B89" s="136"/>
      <c r="C89" s="136" t="s">
        <v>69</v>
      </c>
      <c r="D89" s="136">
        <v>4</v>
      </c>
      <c r="E89" s="85" t="s">
        <v>53</v>
      </c>
      <c r="F89" s="136">
        <v>0</v>
      </c>
      <c r="G89" s="136"/>
      <c r="H89" s="181"/>
      <c r="M89" s="139"/>
    </row>
    <row r="90" spans="1:13" s="56" customFormat="1" ht="17.25" x14ac:dyDescent="0.35">
      <c r="A90" s="197" t="s">
        <v>442</v>
      </c>
      <c r="B90" s="136">
        <v>7165</v>
      </c>
      <c r="C90" s="136" t="s">
        <v>69</v>
      </c>
      <c r="D90" s="138">
        <v>4</v>
      </c>
      <c r="E90" s="82" t="s">
        <v>441</v>
      </c>
      <c r="F90" s="136" t="s">
        <v>440</v>
      </c>
      <c r="G90" s="136" t="s">
        <v>239</v>
      </c>
      <c r="H90" s="186"/>
      <c r="M90" s="139"/>
    </row>
    <row r="91" spans="1:13" s="81" customFormat="1" ht="17.25" x14ac:dyDescent="0.35">
      <c r="A91" s="193" t="s">
        <v>202</v>
      </c>
      <c r="B91" s="136">
        <v>4627</v>
      </c>
      <c r="C91" s="136" t="s">
        <v>69</v>
      </c>
      <c r="D91" s="136">
        <v>1</v>
      </c>
      <c r="E91" s="85" t="s">
        <v>203</v>
      </c>
      <c r="F91" s="136">
        <v>1</v>
      </c>
      <c r="G91" s="136" t="s">
        <v>239</v>
      </c>
      <c r="H91" s="181"/>
    </row>
    <row r="92" spans="1:13" s="81" customFormat="1" ht="17.25" x14ac:dyDescent="0.35">
      <c r="A92" s="193" t="s">
        <v>204</v>
      </c>
      <c r="B92" s="136">
        <v>4628</v>
      </c>
      <c r="C92" s="136" t="s">
        <v>69</v>
      </c>
      <c r="D92" s="136">
        <v>2</v>
      </c>
      <c r="E92" s="85" t="s">
        <v>205</v>
      </c>
      <c r="F92" s="136">
        <v>24</v>
      </c>
      <c r="G92" s="136" t="s">
        <v>239</v>
      </c>
      <c r="H92" s="181"/>
    </row>
    <row r="93" spans="1:13" s="81" customFormat="1" ht="17.25" x14ac:dyDescent="0.35">
      <c r="A93" s="193" t="s">
        <v>206</v>
      </c>
      <c r="B93" s="136">
        <v>4629</v>
      </c>
      <c r="C93" s="136" t="s">
        <v>69</v>
      </c>
      <c r="D93" s="136">
        <v>1</v>
      </c>
      <c r="E93" s="85" t="s">
        <v>207</v>
      </c>
      <c r="F93" s="136">
        <v>3</v>
      </c>
      <c r="G93" s="136" t="s">
        <v>239</v>
      </c>
      <c r="H93" s="181"/>
    </row>
    <row r="94" spans="1:13" s="56" customFormat="1" ht="17.25" x14ac:dyDescent="0.35">
      <c r="A94" s="193" t="s">
        <v>208</v>
      </c>
      <c r="B94" s="136">
        <v>4630</v>
      </c>
      <c r="C94" s="136" t="s">
        <v>69</v>
      </c>
      <c r="D94" s="136">
        <v>1</v>
      </c>
      <c r="E94" s="85" t="s">
        <v>209</v>
      </c>
      <c r="F94" s="136">
        <v>10</v>
      </c>
      <c r="G94" s="136" t="s">
        <v>239</v>
      </c>
      <c r="H94" s="181"/>
      <c r="M94" s="139"/>
    </row>
    <row r="95" spans="1:13" s="56" customFormat="1" ht="17.25" x14ac:dyDescent="0.35">
      <c r="A95" s="193" t="s">
        <v>210</v>
      </c>
      <c r="B95" s="136">
        <v>4631</v>
      </c>
      <c r="C95" s="136" t="s">
        <v>69</v>
      </c>
      <c r="D95" s="136">
        <v>1</v>
      </c>
      <c r="E95" s="85" t="s">
        <v>211</v>
      </c>
      <c r="F95" s="136">
        <v>0</v>
      </c>
      <c r="G95" s="136" t="s">
        <v>239</v>
      </c>
      <c r="H95" s="181"/>
      <c r="M95" s="139"/>
    </row>
    <row r="96" spans="1:13" s="56" customFormat="1" ht="17.25" x14ac:dyDescent="0.35">
      <c r="A96" s="193" t="s">
        <v>212</v>
      </c>
      <c r="B96" s="136">
        <v>4676</v>
      </c>
      <c r="C96" s="136" t="s">
        <v>69</v>
      </c>
      <c r="D96" s="136">
        <v>4</v>
      </c>
      <c r="E96" s="85" t="s">
        <v>213</v>
      </c>
      <c r="F96" s="136">
        <v>0</v>
      </c>
      <c r="G96" s="136" t="s">
        <v>239</v>
      </c>
      <c r="H96" s="181" t="s">
        <v>214</v>
      </c>
      <c r="M96" s="139"/>
    </row>
    <row r="97" spans="1:13" s="56" customFormat="1" ht="17.25" x14ac:dyDescent="0.35">
      <c r="A97" s="193" t="s">
        <v>215</v>
      </c>
      <c r="B97" s="136">
        <v>4677</v>
      </c>
      <c r="C97" s="136" t="s">
        <v>69</v>
      </c>
      <c r="D97" s="136">
        <v>4</v>
      </c>
      <c r="E97" s="85" t="s">
        <v>216</v>
      </c>
      <c r="F97" s="136">
        <v>0</v>
      </c>
      <c r="G97" s="136" t="s">
        <v>239</v>
      </c>
      <c r="H97" s="181" t="s">
        <v>214</v>
      </c>
      <c r="M97" s="139"/>
    </row>
    <row r="98" spans="1:13" s="56" customFormat="1" ht="17.25" x14ac:dyDescent="0.35">
      <c r="A98" s="193" t="s">
        <v>217</v>
      </c>
      <c r="B98" s="136">
        <v>5047</v>
      </c>
      <c r="C98" s="136"/>
      <c r="D98" s="136"/>
      <c r="E98" s="85" t="s">
        <v>218</v>
      </c>
      <c r="F98" s="136"/>
      <c r="G98" s="136" t="s">
        <v>239</v>
      </c>
      <c r="H98" s="181"/>
      <c r="M98" s="139"/>
    </row>
    <row r="99" spans="1:13" s="56" customFormat="1" ht="17.25" x14ac:dyDescent="0.35">
      <c r="A99" s="193"/>
      <c r="B99" s="136"/>
      <c r="C99" s="136" t="s">
        <v>69</v>
      </c>
      <c r="D99" s="136">
        <v>4</v>
      </c>
      <c r="E99" s="85" t="s">
        <v>219</v>
      </c>
      <c r="F99" s="136">
        <v>2</v>
      </c>
      <c r="G99" s="136"/>
      <c r="H99" s="181"/>
      <c r="M99" s="139"/>
    </row>
    <row r="100" spans="1:13" s="56" customFormat="1" ht="17.25" x14ac:dyDescent="0.35">
      <c r="A100" s="193"/>
      <c r="B100" s="136"/>
      <c r="C100" s="136" t="s">
        <v>69</v>
      </c>
      <c r="D100" s="136">
        <v>4</v>
      </c>
      <c r="E100" s="85" t="s">
        <v>220</v>
      </c>
      <c r="F100" s="136">
        <v>0</v>
      </c>
      <c r="G100" s="136"/>
      <c r="H100" s="181"/>
      <c r="M100" s="139"/>
    </row>
    <row r="101" spans="1:13" s="56" customFormat="1" ht="17.25" x14ac:dyDescent="0.35">
      <c r="A101" s="193" t="s">
        <v>44</v>
      </c>
      <c r="B101" s="136">
        <v>5280</v>
      </c>
      <c r="C101" s="136" t="s">
        <v>69</v>
      </c>
      <c r="D101" s="136">
        <v>8</v>
      </c>
      <c r="E101" s="85" t="s">
        <v>45</v>
      </c>
      <c r="F101" s="136">
        <v>0</v>
      </c>
      <c r="G101" s="136" t="s">
        <v>239</v>
      </c>
      <c r="H101" s="181"/>
      <c r="M101" s="139"/>
    </row>
    <row r="102" spans="1:13" s="56" customFormat="1" ht="17.25" x14ac:dyDescent="0.35">
      <c r="A102" s="193" t="s">
        <v>221</v>
      </c>
      <c r="B102" s="136">
        <v>6429</v>
      </c>
      <c r="C102" s="136"/>
      <c r="D102" s="136"/>
      <c r="E102" s="85" t="s">
        <v>222</v>
      </c>
      <c r="F102" s="136"/>
      <c r="G102" s="136" t="s">
        <v>94</v>
      </c>
      <c r="H102" s="181"/>
      <c r="M102" s="139"/>
    </row>
    <row r="103" spans="1:13" s="56" customFormat="1" ht="17.25" x14ac:dyDescent="0.35">
      <c r="A103" s="193"/>
      <c r="B103" s="136"/>
      <c r="C103" s="136" t="s">
        <v>69</v>
      </c>
      <c r="D103" s="136">
        <v>1</v>
      </c>
      <c r="E103" s="85" t="s">
        <v>223</v>
      </c>
      <c r="F103" s="136">
        <v>0</v>
      </c>
      <c r="G103" s="136"/>
      <c r="H103" s="181"/>
      <c r="M103" s="139"/>
    </row>
    <row r="104" spans="1:13" s="56" customFormat="1" ht="17.25" x14ac:dyDescent="0.35">
      <c r="A104" s="193"/>
      <c r="B104" s="136"/>
      <c r="C104" s="136" t="s">
        <v>69</v>
      </c>
      <c r="D104" s="136">
        <v>1</v>
      </c>
      <c r="E104" s="85" t="s">
        <v>224</v>
      </c>
      <c r="F104" s="136">
        <v>0</v>
      </c>
      <c r="G104" s="136"/>
      <c r="H104" s="181"/>
      <c r="M104" s="139"/>
    </row>
    <row r="105" spans="1:13" s="56" customFormat="1" ht="17.25" x14ac:dyDescent="0.35">
      <c r="A105" s="193"/>
      <c r="B105" s="136"/>
      <c r="C105" s="136" t="s">
        <v>69</v>
      </c>
      <c r="D105" s="136">
        <v>2</v>
      </c>
      <c r="E105" s="85" t="s">
        <v>225</v>
      </c>
      <c r="F105" s="136">
        <v>37</v>
      </c>
      <c r="G105" s="136"/>
      <c r="H105" s="181"/>
      <c r="M105" s="139"/>
    </row>
    <row r="106" spans="1:13" s="56" customFormat="1" ht="17.25" x14ac:dyDescent="0.35">
      <c r="A106" s="193" t="s">
        <v>226</v>
      </c>
      <c r="B106" s="136">
        <v>6273</v>
      </c>
      <c r="C106" s="136" t="s">
        <v>69</v>
      </c>
      <c r="D106" s="136">
        <v>4</v>
      </c>
      <c r="E106" s="85" t="s">
        <v>227</v>
      </c>
      <c r="F106" s="136">
        <v>1</v>
      </c>
      <c r="G106" s="136" t="s">
        <v>239</v>
      </c>
      <c r="H106" s="181"/>
      <c r="M106" s="139"/>
    </row>
    <row r="107" spans="1:13" s="81" customFormat="1" ht="17.25" x14ac:dyDescent="0.35">
      <c r="A107" s="193" t="s">
        <v>228</v>
      </c>
      <c r="B107" s="136">
        <v>6274</v>
      </c>
      <c r="C107" s="136" t="s">
        <v>69</v>
      </c>
      <c r="D107" s="136">
        <v>4</v>
      </c>
      <c r="E107" s="85" t="s">
        <v>229</v>
      </c>
      <c r="F107" s="136">
        <v>1</v>
      </c>
      <c r="G107" s="136" t="s">
        <v>239</v>
      </c>
      <c r="H107" s="181"/>
    </row>
    <row r="108" spans="1:13" s="81" customFormat="1" ht="17.25" x14ac:dyDescent="0.35">
      <c r="A108" s="193" t="s">
        <v>254</v>
      </c>
      <c r="B108" s="136">
        <v>285</v>
      </c>
      <c r="C108" s="136"/>
      <c r="D108" s="136"/>
      <c r="E108" s="85" t="s">
        <v>255</v>
      </c>
      <c r="F108" s="136"/>
      <c r="G108" s="136" t="s">
        <v>94</v>
      </c>
      <c r="H108" s="181"/>
    </row>
    <row r="109" spans="1:13" s="81" customFormat="1" ht="17.25" x14ac:dyDescent="0.35">
      <c r="A109" s="193"/>
      <c r="B109" s="136"/>
      <c r="C109" s="136" t="s">
        <v>69</v>
      </c>
      <c r="D109" s="136">
        <v>1</v>
      </c>
      <c r="E109" s="85" t="s">
        <v>16</v>
      </c>
      <c r="F109" s="136">
        <v>0</v>
      </c>
      <c r="G109" s="136"/>
      <c r="H109" s="181"/>
    </row>
    <row r="110" spans="1:13" s="81" customFormat="1" ht="17.25" x14ac:dyDescent="0.35">
      <c r="A110" s="193"/>
      <c r="B110" s="136"/>
      <c r="C110" s="136" t="s">
        <v>69</v>
      </c>
      <c r="D110" s="136">
        <v>1</v>
      </c>
      <c r="E110" s="85" t="s">
        <v>256</v>
      </c>
      <c r="F110" s="136">
        <v>1</v>
      </c>
      <c r="G110" s="136"/>
      <c r="H110" s="181"/>
    </row>
    <row r="111" spans="1:13" s="81" customFormat="1" ht="17.25" x14ac:dyDescent="0.35">
      <c r="A111" s="193"/>
      <c r="B111" s="136"/>
      <c r="C111" s="136" t="s">
        <v>69</v>
      </c>
      <c r="D111" s="136">
        <v>2</v>
      </c>
      <c r="E111" s="85" t="s">
        <v>257</v>
      </c>
      <c r="F111" s="136">
        <v>3</v>
      </c>
      <c r="G111" s="136"/>
      <c r="H111" s="181"/>
    </row>
    <row r="112" spans="1:13" s="81" customFormat="1" ht="17.25" x14ac:dyDescent="0.35">
      <c r="A112" s="193"/>
      <c r="B112" s="136"/>
      <c r="C112" s="136" t="s">
        <v>69</v>
      </c>
      <c r="D112" s="136">
        <v>2</v>
      </c>
      <c r="E112" s="85" t="s">
        <v>258</v>
      </c>
      <c r="F112" s="136">
        <v>3</v>
      </c>
      <c r="G112" s="136"/>
      <c r="H112" s="181"/>
    </row>
    <row r="113" spans="1:8" s="81" customFormat="1" ht="17.25" x14ac:dyDescent="0.35">
      <c r="A113" s="193"/>
      <c r="B113" s="136"/>
      <c r="C113" s="136" t="s">
        <v>69</v>
      </c>
      <c r="D113" s="136">
        <v>2</v>
      </c>
      <c r="E113" s="85" t="s">
        <v>259</v>
      </c>
      <c r="F113" s="136">
        <v>3</v>
      </c>
      <c r="G113" s="136"/>
      <c r="H113" s="181"/>
    </row>
    <row r="114" spans="1:8" s="81" customFormat="1" ht="17.25" x14ac:dyDescent="0.35">
      <c r="A114" s="193" t="s">
        <v>260</v>
      </c>
      <c r="B114" s="136">
        <v>475</v>
      </c>
      <c r="C114" s="136" t="s">
        <v>69</v>
      </c>
      <c r="D114" s="136">
        <v>2</v>
      </c>
      <c r="E114" s="85" t="s">
        <v>261</v>
      </c>
      <c r="F114" s="136" t="s">
        <v>46</v>
      </c>
      <c r="G114" s="136" t="s">
        <v>239</v>
      </c>
      <c r="H114" s="181"/>
    </row>
    <row r="115" spans="1:8" s="81" customFormat="1" ht="17.25" x14ac:dyDescent="0.35">
      <c r="A115" s="195" t="s">
        <v>340</v>
      </c>
      <c r="B115" s="136">
        <v>562</v>
      </c>
      <c r="C115" s="136"/>
      <c r="D115" s="138"/>
      <c r="E115" s="125"/>
      <c r="F115" s="136"/>
      <c r="G115" s="136" t="s">
        <v>239</v>
      </c>
      <c r="H115" s="184"/>
    </row>
    <row r="116" spans="1:8" s="81" customFormat="1" ht="17.25" x14ac:dyDescent="0.35">
      <c r="A116" s="195"/>
      <c r="B116" s="136" t="s">
        <v>244</v>
      </c>
      <c r="C116" s="136" t="s">
        <v>69</v>
      </c>
      <c r="D116" s="138">
        <v>1</v>
      </c>
      <c r="E116" s="125"/>
      <c r="F116" s="136" t="s">
        <v>6</v>
      </c>
      <c r="G116" s="136"/>
      <c r="H116" s="184"/>
    </row>
    <row r="117" spans="1:8" s="81" customFormat="1" ht="17.25" x14ac:dyDescent="0.35">
      <c r="A117" s="195"/>
      <c r="B117" s="136"/>
      <c r="C117" s="136" t="s">
        <v>69</v>
      </c>
      <c r="D117" s="138">
        <v>1</v>
      </c>
      <c r="E117" s="125" t="s">
        <v>128</v>
      </c>
      <c r="F117" s="136">
        <v>0</v>
      </c>
      <c r="G117" s="136"/>
      <c r="H117" s="184"/>
    </row>
    <row r="118" spans="1:8" s="81" customFormat="1" ht="17.25" x14ac:dyDescent="0.35">
      <c r="A118" s="193" t="s">
        <v>54</v>
      </c>
      <c r="B118" s="136">
        <v>945</v>
      </c>
      <c r="C118" s="136"/>
      <c r="D118" s="136"/>
      <c r="E118" s="85"/>
      <c r="F118" s="136"/>
      <c r="G118" s="136"/>
      <c r="H118" s="181"/>
    </row>
    <row r="119" spans="1:8" s="81" customFormat="1" ht="17.25" x14ac:dyDescent="0.35">
      <c r="A119" s="193"/>
      <c r="B119" s="136"/>
      <c r="C119" s="136" t="s">
        <v>69</v>
      </c>
      <c r="D119" s="136">
        <v>1</v>
      </c>
      <c r="E119" s="85" t="s">
        <v>16</v>
      </c>
      <c r="F119" s="136">
        <v>0</v>
      </c>
      <c r="G119" s="136"/>
      <c r="H119" s="181"/>
    </row>
    <row r="120" spans="1:8" s="81" customFormat="1" ht="17.25" x14ac:dyDescent="0.35">
      <c r="A120" s="193"/>
      <c r="B120" s="136"/>
      <c r="C120" s="136" t="s">
        <v>69</v>
      </c>
      <c r="D120" s="136">
        <v>120</v>
      </c>
      <c r="E120" s="85" t="s">
        <v>55</v>
      </c>
      <c r="F120" s="136">
        <v>0</v>
      </c>
      <c r="G120" s="136"/>
      <c r="H120" s="181"/>
    </row>
    <row r="121" spans="1:8" s="81" customFormat="1" ht="17.25" x14ac:dyDescent="0.35">
      <c r="A121" s="193" t="s">
        <v>262</v>
      </c>
      <c r="B121" s="136">
        <v>4116</v>
      </c>
      <c r="C121" s="136" t="s">
        <v>69</v>
      </c>
      <c r="D121" s="136">
        <v>1</v>
      </c>
      <c r="E121" s="85" t="s">
        <v>263</v>
      </c>
      <c r="F121" s="136" t="s">
        <v>117</v>
      </c>
      <c r="G121" s="136" t="s">
        <v>239</v>
      </c>
      <c r="H121" s="181"/>
    </row>
    <row r="122" spans="1:8" s="81" customFormat="1" ht="17.25" x14ac:dyDescent="0.35">
      <c r="A122" s="193" t="s">
        <v>23</v>
      </c>
      <c r="B122" s="136">
        <v>4204</v>
      </c>
      <c r="C122" s="136" t="s">
        <v>69</v>
      </c>
      <c r="D122" s="136">
        <v>1</v>
      </c>
      <c r="E122" s="85" t="s">
        <v>24</v>
      </c>
      <c r="F122" s="136">
        <v>0</v>
      </c>
      <c r="G122" s="136"/>
      <c r="H122" s="181"/>
    </row>
    <row r="123" spans="1:8" s="81" customFormat="1" ht="17.25" x14ac:dyDescent="0.35">
      <c r="A123" s="193" t="s">
        <v>264</v>
      </c>
      <c r="B123" s="136">
        <v>4231</v>
      </c>
      <c r="C123" s="136"/>
      <c r="D123" s="136"/>
      <c r="E123" s="85" t="s">
        <v>265</v>
      </c>
      <c r="F123" s="136"/>
      <c r="G123" s="136" t="s">
        <v>79</v>
      </c>
      <c r="H123" s="181"/>
    </row>
    <row r="124" spans="1:8" s="81" customFormat="1" ht="17.25" x14ac:dyDescent="0.35">
      <c r="A124" s="193"/>
      <c r="B124" s="136"/>
      <c r="C124" s="136" t="s">
        <v>69</v>
      </c>
      <c r="D124" s="136">
        <v>8</v>
      </c>
      <c r="E124" s="85" t="s">
        <v>266</v>
      </c>
      <c r="F124" s="136">
        <v>0</v>
      </c>
      <c r="G124" s="136"/>
      <c r="H124" s="181"/>
    </row>
    <row r="125" spans="1:8" s="81" customFormat="1" ht="17.25" x14ac:dyDescent="0.35">
      <c r="A125" s="193"/>
      <c r="B125" s="136"/>
      <c r="C125" s="136" t="s">
        <v>69</v>
      </c>
      <c r="D125" s="136">
        <v>8</v>
      </c>
      <c r="E125" s="85" t="s">
        <v>267</v>
      </c>
      <c r="F125" s="136">
        <v>1</v>
      </c>
      <c r="G125" s="136"/>
      <c r="H125" s="181"/>
    </row>
    <row r="126" spans="1:8" s="81" customFormat="1" ht="17.25" x14ac:dyDescent="0.35">
      <c r="A126" s="193" t="s">
        <v>133</v>
      </c>
      <c r="B126" s="136">
        <v>6832</v>
      </c>
      <c r="C126" s="136" t="s">
        <v>69</v>
      </c>
      <c r="D126" s="136">
        <v>1</v>
      </c>
      <c r="E126" s="85" t="s">
        <v>134</v>
      </c>
      <c r="F126" s="136">
        <v>0</v>
      </c>
      <c r="G126" s="136" t="s">
        <v>79</v>
      </c>
      <c r="H126" s="181"/>
    </row>
    <row r="127" spans="1:8" s="81" customFormat="1" ht="17.25" x14ac:dyDescent="0.35">
      <c r="A127" s="193" t="s">
        <v>268</v>
      </c>
      <c r="B127" s="136">
        <v>6862</v>
      </c>
      <c r="C127" s="136" t="s">
        <v>69</v>
      </c>
      <c r="D127" s="136">
        <v>1</v>
      </c>
      <c r="E127" s="85" t="s">
        <v>269</v>
      </c>
      <c r="F127" s="136">
        <v>1</v>
      </c>
      <c r="G127" s="136" t="s">
        <v>79</v>
      </c>
      <c r="H127" s="181"/>
    </row>
    <row r="128" spans="1:8" s="81" customFormat="1" ht="17.25" x14ac:dyDescent="0.35">
      <c r="A128" s="198" t="s">
        <v>322</v>
      </c>
      <c r="B128" s="136">
        <v>3532</v>
      </c>
      <c r="C128" s="136" t="s">
        <v>69</v>
      </c>
      <c r="D128" s="138">
        <v>1</v>
      </c>
      <c r="E128" s="126" t="s">
        <v>323</v>
      </c>
      <c r="F128" s="136">
        <v>135</v>
      </c>
      <c r="G128" s="138" t="s">
        <v>239</v>
      </c>
      <c r="H128" s="187" t="s">
        <v>7</v>
      </c>
    </row>
    <row r="129" spans="1:9" s="81" customFormat="1" ht="17.25" x14ac:dyDescent="0.35">
      <c r="A129" s="198" t="s">
        <v>324</v>
      </c>
      <c r="B129" s="136">
        <v>3533</v>
      </c>
      <c r="C129" s="136" t="s">
        <v>69</v>
      </c>
      <c r="D129" s="138">
        <v>1</v>
      </c>
      <c r="E129" s="126" t="s">
        <v>325</v>
      </c>
      <c r="F129" s="136">
        <v>30</v>
      </c>
      <c r="G129" s="138" t="s">
        <v>239</v>
      </c>
      <c r="H129" s="187" t="s">
        <v>7</v>
      </c>
    </row>
    <row r="130" spans="1:9" s="81" customFormat="1" ht="17.25" x14ac:dyDescent="0.35">
      <c r="A130" s="199" t="s">
        <v>360</v>
      </c>
      <c r="B130" s="136">
        <v>4964</v>
      </c>
      <c r="C130" s="136" t="s">
        <v>69</v>
      </c>
      <c r="D130" s="138">
        <v>2</v>
      </c>
      <c r="E130" s="127"/>
      <c r="F130" s="136">
        <v>4</v>
      </c>
      <c r="G130" s="138" t="s">
        <v>79</v>
      </c>
      <c r="H130" s="188"/>
    </row>
    <row r="131" spans="1:9" s="81" customFormat="1" ht="17.25" x14ac:dyDescent="0.35">
      <c r="A131" s="200" t="s">
        <v>326</v>
      </c>
      <c r="B131" s="136">
        <v>4227</v>
      </c>
      <c r="C131" s="136" t="s">
        <v>69</v>
      </c>
      <c r="D131" s="138">
        <v>4</v>
      </c>
      <c r="E131" s="128" t="s">
        <v>327</v>
      </c>
      <c r="F131" s="136">
        <v>0</v>
      </c>
      <c r="G131" s="138"/>
      <c r="H131" s="189" t="s">
        <v>328</v>
      </c>
    </row>
    <row r="132" spans="1:9" s="81" customFormat="1" ht="17.25" x14ac:dyDescent="0.35">
      <c r="A132" s="195" t="s">
        <v>271</v>
      </c>
      <c r="B132" s="136">
        <v>6874</v>
      </c>
      <c r="C132" s="136"/>
      <c r="D132" s="138"/>
      <c r="E132" s="125"/>
      <c r="F132" s="136"/>
      <c r="G132" s="136" t="s">
        <v>239</v>
      </c>
      <c r="H132" s="184"/>
    </row>
    <row r="133" spans="1:9" s="141" customFormat="1" ht="17.25" x14ac:dyDescent="0.35">
      <c r="A133" s="195"/>
      <c r="B133" s="136" t="s">
        <v>244</v>
      </c>
      <c r="C133" s="136" t="s">
        <v>69</v>
      </c>
      <c r="D133" s="138">
        <v>1</v>
      </c>
      <c r="E133" s="125"/>
      <c r="F133" s="136" t="s">
        <v>5</v>
      </c>
      <c r="G133" s="136"/>
      <c r="H133" s="184"/>
      <c r="I133" s="81"/>
    </row>
    <row r="134" spans="1:9" s="56" customFormat="1" ht="17.25" x14ac:dyDescent="0.35">
      <c r="A134" s="195"/>
      <c r="B134" s="136"/>
      <c r="C134" s="136" t="s">
        <v>69</v>
      </c>
      <c r="D134" s="138">
        <v>1</v>
      </c>
      <c r="E134" s="125" t="s">
        <v>272</v>
      </c>
      <c r="F134" s="136" t="s">
        <v>154</v>
      </c>
      <c r="G134" s="136"/>
      <c r="H134" s="184"/>
      <c r="I134" s="81"/>
    </row>
    <row r="135" spans="1:9" s="56" customFormat="1" ht="17.25" x14ac:dyDescent="0.35">
      <c r="A135" s="195" t="s">
        <v>273</v>
      </c>
      <c r="B135" s="136">
        <v>6875</v>
      </c>
      <c r="C135" s="136"/>
      <c r="D135" s="138"/>
      <c r="E135" s="125"/>
      <c r="F135" s="136"/>
      <c r="G135" s="136" t="s">
        <v>239</v>
      </c>
      <c r="H135" s="184"/>
      <c r="I135" s="81"/>
    </row>
    <row r="136" spans="1:9" s="56" customFormat="1" ht="17.25" x14ac:dyDescent="0.35">
      <c r="A136" s="195"/>
      <c r="B136" s="136" t="s">
        <v>244</v>
      </c>
      <c r="C136" s="136" t="s">
        <v>69</v>
      </c>
      <c r="D136" s="138">
        <v>1</v>
      </c>
      <c r="E136" s="125"/>
      <c r="F136" s="136" t="s">
        <v>5</v>
      </c>
      <c r="G136" s="136"/>
      <c r="H136" s="184"/>
      <c r="I136" s="81"/>
    </row>
    <row r="137" spans="1:9" s="56" customFormat="1" ht="17.25" x14ac:dyDescent="0.35">
      <c r="A137" s="195"/>
      <c r="B137" s="136"/>
      <c r="C137" s="136" t="s">
        <v>69</v>
      </c>
      <c r="D137" s="138">
        <v>1</v>
      </c>
      <c r="E137" s="125" t="s">
        <v>274</v>
      </c>
      <c r="F137" s="136" t="s">
        <v>154</v>
      </c>
      <c r="G137" s="136"/>
      <c r="H137" s="184"/>
      <c r="I137" s="81"/>
    </row>
    <row r="138" spans="1:9" s="56" customFormat="1" ht="34.5" x14ac:dyDescent="0.35">
      <c r="A138" s="193" t="s">
        <v>524</v>
      </c>
      <c r="B138" s="136">
        <v>240</v>
      </c>
      <c r="C138" s="136" t="s">
        <v>69</v>
      </c>
      <c r="D138" s="136">
        <v>1</v>
      </c>
      <c r="E138" s="85" t="s">
        <v>525</v>
      </c>
      <c r="F138" s="136">
        <v>0</v>
      </c>
      <c r="G138" s="136" t="s">
        <v>239</v>
      </c>
      <c r="H138" s="181" t="s">
        <v>526</v>
      </c>
      <c r="I138" s="81"/>
    </row>
    <row r="139" spans="1:9" s="56" customFormat="1" ht="18" thickBot="1" x14ac:dyDescent="0.4">
      <c r="A139" s="201"/>
      <c r="B139" s="142"/>
      <c r="C139" s="142"/>
      <c r="D139" s="143"/>
      <c r="E139" s="129"/>
      <c r="F139" s="142"/>
      <c r="G139" s="143"/>
      <c r="H139" s="190"/>
      <c r="I139" s="81"/>
    </row>
    <row r="140" spans="1:9" s="56" customFormat="1" ht="15.75" thickBot="1" x14ac:dyDescent="0.35">
      <c r="A140" s="81"/>
      <c r="B140" s="81"/>
      <c r="C140" s="81"/>
      <c r="D140" s="81"/>
      <c r="E140" s="81"/>
      <c r="F140" s="81"/>
      <c r="G140" s="81"/>
      <c r="H140" s="81"/>
      <c r="I140" s="81"/>
    </row>
    <row r="141" spans="1:9" s="56" customFormat="1" ht="20.25" thickBot="1" x14ac:dyDescent="0.35">
      <c r="A141" s="44"/>
      <c r="B141" s="43" t="s">
        <v>78</v>
      </c>
      <c r="C141" s="43"/>
      <c r="D141" s="43"/>
      <c r="E141" s="43"/>
      <c r="F141" s="43"/>
      <c r="G141" s="43"/>
      <c r="H141" s="45"/>
      <c r="I141" s="81"/>
    </row>
    <row r="142" spans="1:9" s="56" customFormat="1" ht="15.75" thickBot="1" x14ac:dyDescent="0.35">
      <c r="A142" s="41" t="s">
        <v>64</v>
      </c>
      <c r="B142" s="41" t="s">
        <v>8</v>
      </c>
      <c r="C142" s="41"/>
      <c r="D142" s="41"/>
      <c r="E142" s="41" t="s">
        <v>58</v>
      </c>
      <c r="F142" s="41" t="s">
        <v>57</v>
      </c>
      <c r="G142" s="41"/>
      <c r="H142" s="168"/>
      <c r="I142" s="81"/>
    </row>
    <row r="143" spans="1:9" s="56" customFormat="1" ht="17.25" x14ac:dyDescent="0.35">
      <c r="A143" s="170"/>
      <c r="B143" s="171"/>
      <c r="C143" s="108"/>
      <c r="D143" s="108"/>
      <c r="E143" s="172"/>
      <c r="F143" s="108"/>
      <c r="G143" s="108"/>
      <c r="H143" s="173"/>
      <c r="I143" s="81"/>
    </row>
    <row r="144" spans="1:9" s="56" customFormat="1" ht="18" thickBot="1" x14ac:dyDescent="0.4">
      <c r="A144" s="174"/>
      <c r="B144" s="175"/>
      <c r="C144" s="176"/>
      <c r="D144" s="176"/>
      <c r="E144" s="177"/>
      <c r="F144" s="176"/>
      <c r="G144" s="176"/>
      <c r="H144" s="178"/>
      <c r="I144" s="81"/>
    </row>
    <row r="145" spans="1:9" s="56" customFormat="1" ht="15.75" thickBot="1" x14ac:dyDescent="0.35">
      <c r="A145" s="81"/>
      <c r="B145" s="81"/>
      <c r="C145" s="81"/>
      <c r="D145" s="81"/>
      <c r="E145" s="81"/>
      <c r="F145" s="81"/>
      <c r="G145" s="81"/>
      <c r="H145" s="81"/>
      <c r="I145" s="81"/>
    </row>
    <row r="146" spans="1:9" s="56" customFormat="1" ht="20.25" thickBot="1" x14ac:dyDescent="0.45">
      <c r="A146" s="169" t="s">
        <v>73</v>
      </c>
      <c r="B146" s="46"/>
      <c r="C146" s="46"/>
      <c r="D146" s="46"/>
      <c r="E146" s="46"/>
      <c r="F146" s="46"/>
      <c r="G146" s="46"/>
      <c r="H146" s="47"/>
      <c r="I146" s="48"/>
    </row>
    <row r="147" spans="1:9" s="56" customFormat="1" ht="15.75" thickBot="1" x14ac:dyDescent="0.35">
      <c r="A147" s="41" t="s">
        <v>56</v>
      </c>
      <c r="B147" s="41" t="s">
        <v>230</v>
      </c>
      <c r="C147" s="41" t="s">
        <v>231</v>
      </c>
      <c r="D147" s="41" t="s">
        <v>76</v>
      </c>
      <c r="E147" s="41" t="s">
        <v>75</v>
      </c>
      <c r="F147" s="41" t="s">
        <v>68</v>
      </c>
      <c r="G147" s="41" t="s">
        <v>74</v>
      </c>
      <c r="H147" s="41" t="s">
        <v>232</v>
      </c>
      <c r="I147" s="41" t="s">
        <v>11</v>
      </c>
    </row>
    <row r="148" spans="1:9" s="56" customFormat="1" ht="17.25" x14ac:dyDescent="0.35">
      <c r="A148" s="294" t="s">
        <v>129</v>
      </c>
      <c r="B148" s="295" t="s">
        <v>132</v>
      </c>
      <c r="C148" s="295" t="s">
        <v>90</v>
      </c>
      <c r="D148" s="295"/>
      <c r="E148" s="295"/>
      <c r="F148" s="295"/>
      <c r="G148" s="295" t="s">
        <v>79</v>
      </c>
      <c r="H148" s="296"/>
      <c r="I148" s="297">
        <v>67290</v>
      </c>
    </row>
    <row r="149" spans="1:9" s="56" customFormat="1" ht="17.25" x14ac:dyDescent="0.35">
      <c r="A149" s="298"/>
      <c r="B149" s="299"/>
      <c r="C149" s="299"/>
      <c r="D149" s="299" t="s">
        <v>69</v>
      </c>
      <c r="E149" s="299">
        <v>1</v>
      </c>
      <c r="F149" s="299">
        <v>1</v>
      </c>
      <c r="G149" s="299"/>
      <c r="H149" s="300"/>
      <c r="I149" s="301"/>
    </row>
    <row r="150" spans="1:9" s="56" customFormat="1" ht="17.25" x14ac:dyDescent="0.35">
      <c r="A150" s="298" t="s">
        <v>240</v>
      </c>
      <c r="B150" s="299" t="s">
        <v>130</v>
      </c>
      <c r="C150" s="299" t="s">
        <v>90</v>
      </c>
      <c r="D150" s="299"/>
      <c r="E150" s="299"/>
      <c r="F150" s="299"/>
      <c r="G150" s="299" t="s">
        <v>79</v>
      </c>
      <c r="H150" s="300"/>
      <c r="I150" s="301">
        <v>67288</v>
      </c>
    </row>
    <row r="151" spans="1:9" s="56" customFormat="1" ht="17.25" x14ac:dyDescent="0.35">
      <c r="A151" s="298"/>
      <c r="B151" s="299"/>
      <c r="C151" s="299"/>
      <c r="D151" s="299" t="s">
        <v>69</v>
      </c>
      <c r="E151" s="299">
        <v>2</v>
      </c>
      <c r="F151" s="299">
        <v>-98</v>
      </c>
      <c r="G151" s="299"/>
      <c r="H151" s="300"/>
      <c r="I151" s="301" t="s">
        <v>241</v>
      </c>
    </row>
    <row r="152" spans="1:9" s="56" customFormat="1" ht="17.25" x14ac:dyDescent="0.35">
      <c r="A152" s="302" t="s">
        <v>242</v>
      </c>
      <c r="B152" s="299" t="s">
        <v>131</v>
      </c>
      <c r="C152" s="299" t="s">
        <v>90</v>
      </c>
      <c r="D152" s="299"/>
      <c r="E152" s="299"/>
      <c r="F152" s="299"/>
      <c r="G152" s="299"/>
      <c r="H152" s="300"/>
      <c r="I152" s="303">
        <v>67289</v>
      </c>
    </row>
    <row r="153" spans="1:9" s="56" customFormat="1" ht="17.25" x14ac:dyDescent="0.35">
      <c r="A153" s="302"/>
      <c r="B153" s="299"/>
      <c r="C153" s="299"/>
      <c r="D153" s="299" t="s">
        <v>69</v>
      </c>
      <c r="E153" s="299">
        <v>2</v>
      </c>
      <c r="F153" s="299">
        <v>-105</v>
      </c>
      <c r="G153" s="299"/>
      <c r="H153" s="300"/>
      <c r="I153" s="303" t="s">
        <v>243</v>
      </c>
    </row>
    <row r="154" spans="1:9" s="56" customFormat="1" ht="17.25" x14ac:dyDescent="0.35">
      <c r="A154" s="298" t="s">
        <v>135</v>
      </c>
      <c r="B154" s="299" t="s">
        <v>136</v>
      </c>
      <c r="C154" s="299" t="s">
        <v>90</v>
      </c>
      <c r="D154" s="299"/>
      <c r="E154" s="299"/>
      <c r="F154" s="299"/>
      <c r="G154" s="299" t="s">
        <v>79</v>
      </c>
      <c r="H154" s="300"/>
      <c r="I154" s="301">
        <v>66042</v>
      </c>
    </row>
    <row r="155" spans="1:9" s="56" customFormat="1" ht="17.25" x14ac:dyDescent="0.35">
      <c r="A155" s="298"/>
      <c r="B155" s="299"/>
      <c r="C155" s="299"/>
      <c r="D155" s="299" t="s">
        <v>69</v>
      </c>
      <c r="E155" s="299">
        <v>1</v>
      </c>
      <c r="F155" s="299">
        <v>0</v>
      </c>
      <c r="G155" s="299"/>
      <c r="H155" s="300"/>
      <c r="I155" s="301"/>
    </row>
    <row r="156" spans="1:9" s="56" customFormat="1" ht="17.25" x14ac:dyDescent="0.35">
      <c r="A156" s="298"/>
      <c r="B156" s="299"/>
      <c r="C156" s="299"/>
      <c r="D156" s="299" t="s">
        <v>69</v>
      </c>
      <c r="E156" s="299">
        <v>1</v>
      </c>
      <c r="F156" s="299">
        <v>0</v>
      </c>
      <c r="G156" s="299"/>
      <c r="H156" s="300"/>
      <c r="I156" s="301"/>
    </row>
    <row r="157" spans="1:9" s="56" customFormat="1" ht="17.25" x14ac:dyDescent="0.35">
      <c r="A157" s="298"/>
      <c r="B157" s="299"/>
      <c r="C157" s="299"/>
      <c r="D157" s="299" t="s">
        <v>69</v>
      </c>
      <c r="E157" s="299">
        <v>1</v>
      </c>
      <c r="F157" s="299">
        <v>8</v>
      </c>
      <c r="G157" s="299"/>
      <c r="H157" s="300"/>
      <c r="I157" s="301"/>
    </row>
    <row r="158" spans="1:9" s="56" customFormat="1" ht="17.25" x14ac:dyDescent="0.35">
      <c r="A158" s="298"/>
      <c r="B158" s="299"/>
      <c r="C158" s="299"/>
      <c r="D158" s="299" t="s">
        <v>69</v>
      </c>
      <c r="E158" s="299">
        <v>1</v>
      </c>
      <c r="F158" s="299">
        <v>30</v>
      </c>
      <c r="G158" s="299"/>
      <c r="H158" s="300"/>
      <c r="I158" s="301"/>
    </row>
    <row r="159" spans="1:9" s="56" customFormat="1" ht="17.25" x14ac:dyDescent="0.35">
      <c r="A159" s="298"/>
      <c r="B159" s="299"/>
      <c r="C159" s="299"/>
      <c r="D159" s="299" t="s">
        <v>69</v>
      </c>
      <c r="E159" s="299">
        <v>4</v>
      </c>
      <c r="F159" s="299" t="s">
        <v>84</v>
      </c>
      <c r="G159" s="299"/>
      <c r="H159" s="300"/>
      <c r="I159" s="301"/>
    </row>
    <row r="160" spans="1:9" s="56" customFormat="1" ht="17.25" x14ac:dyDescent="0.35">
      <c r="A160" s="298" t="s">
        <v>137</v>
      </c>
      <c r="B160" s="299" t="s">
        <v>138</v>
      </c>
      <c r="C160" s="299" t="s">
        <v>90</v>
      </c>
      <c r="D160" s="299"/>
      <c r="E160" s="299"/>
      <c r="F160" s="299"/>
      <c r="G160" s="299"/>
      <c r="H160" s="300"/>
      <c r="I160" s="301">
        <v>66043</v>
      </c>
    </row>
    <row r="161" spans="1:9" s="56" customFormat="1" ht="17.25" x14ac:dyDescent="0.35">
      <c r="A161" s="298"/>
      <c r="B161" s="299"/>
      <c r="C161" s="299"/>
      <c r="D161" s="299" t="s">
        <v>69</v>
      </c>
      <c r="E161" s="299">
        <v>1</v>
      </c>
      <c r="F161" s="299">
        <v>0</v>
      </c>
      <c r="G161" s="299"/>
      <c r="H161" s="300"/>
      <c r="I161" s="301" t="s">
        <v>313</v>
      </c>
    </row>
    <row r="162" spans="1:9" s="56" customFormat="1" ht="17.25" x14ac:dyDescent="0.35">
      <c r="A162" s="298"/>
      <c r="B162" s="299"/>
      <c r="C162" s="299"/>
      <c r="D162" s="299" t="s">
        <v>69</v>
      </c>
      <c r="E162" s="299">
        <v>1</v>
      </c>
      <c r="F162" s="299">
        <v>-100</v>
      </c>
      <c r="G162" s="299"/>
      <c r="H162" s="300"/>
      <c r="I162" s="301"/>
    </row>
    <row r="163" spans="1:9" s="56" customFormat="1" ht="17.25" x14ac:dyDescent="0.35">
      <c r="A163" s="298"/>
      <c r="B163" s="299"/>
      <c r="C163" s="299"/>
      <c r="D163" s="299" t="s">
        <v>69</v>
      </c>
      <c r="E163" s="299">
        <v>2</v>
      </c>
      <c r="F163" s="299">
        <v>-128</v>
      </c>
      <c r="G163" s="299"/>
      <c r="H163" s="300"/>
      <c r="I163" s="301"/>
    </row>
    <row r="164" spans="1:9" s="56" customFormat="1" ht="17.25" x14ac:dyDescent="0.35">
      <c r="A164" s="298"/>
      <c r="B164" s="299"/>
      <c r="C164" s="299"/>
      <c r="D164" s="299" t="s">
        <v>69</v>
      </c>
      <c r="E164" s="299">
        <v>1</v>
      </c>
      <c r="F164" s="299">
        <v>-95</v>
      </c>
      <c r="G164" s="299"/>
      <c r="H164" s="300"/>
      <c r="I164" s="301"/>
    </row>
    <row r="165" spans="1:9" s="56" customFormat="1" ht="17.25" x14ac:dyDescent="0.35">
      <c r="A165" s="298"/>
      <c r="B165" s="299"/>
      <c r="C165" s="299"/>
      <c r="D165" s="299" t="s">
        <v>69</v>
      </c>
      <c r="E165" s="299">
        <v>2</v>
      </c>
      <c r="F165" s="299">
        <v>-120</v>
      </c>
      <c r="G165" s="299"/>
      <c r="H165" s="300"/>
      <c r="I165" s="301"/>
    </row>
    <row r="166" spans="1:9" s="56" customFormat="1" ht="17.25" x14ac:dyDescent="0.35">
      <c r="A166" s="298"/>
      <c r="B166" s="299"/>
      <c r="C166" s="299"/>
      <c r="D166" s="299" t="s">
        <v>69</v>
      </c>
      <c r="E166" s="299">
        <v>1</v>
      </c>
      <c r="F166" s="299">
        <v>0</v>
      </c>
      <c r="G166" s="299"/>
      <c r="H166" s="300"/>
      <c r="I166" s="301"/>
    </row>
    <row r="167" spans="1:9" s="56" customFormat="1" ht="17.25" x14ac:dyDescent="0.35">
      <c r="A167" s="304" t="s">
        <v>452</v>
      </c>
      <c r="B167" s="299" t="s">
        <v>453</v>
      </c>
      <c r="C167" s="299" t="s">
        <v>90</v>
      </c>
      <c r="D167" s="299"/>
      <c r="E167" s="299"/>
      <c r="F167" s="299"/>
      <c r="G167" s="299" t="s">
        <v>79</v>
      </c>
      <c r="H167" s="300"/>
      <c r="I167" s="305">
        <v>65733</v>
      </c>
    </row>
    <row r="168" spans="1:9" s="56" customFormat="1" ht="17.25" x14ac:dyDescent="0.35">
      <c r="A168" s="304"/>
      <c r="B168" s="299"/>
      <c r="C168" s="299"/>
      <c r="D168" s="299" t="s">
        <v>69</v>
      </c>
      <c r="E168" s="299">
        <v>1</v>
      </c>
      <c r="F168" s="299">
        <v>0</v>
      </c>
      <c r="G168" s="299"/>
      <c r="H168" s="300"/>
      <c r="I168" s="305"/>
    </row>
    <row r="169" spans="1:9" s="56" customFormat="1" ht="34.5" x14ac:dyDescent="0.35">
      <c r="A169" s="298" t="s">
        <v>92</v>
      </c>
      <c r="B169" s="299" t="s">
        <v>85</v>
      </c>
      <c r="C169" s="299" t="s">
        <v>90</v>
      </c>
      <c r="D169" s="299"/>
      <c r="E169" s="299"/>
      <c r="F169" s="299"/>
      <c r="G169" s="299"/>
      <c r="H169" s="300"/>
      <c r="I169" s="301">
        <v>66035</v>
      </c>
    </row>
    <row r="170" spans="1:9" s="56" customFormat="1" ht="17.25" x14ac:dyDescent="0.35">
      <c r="A170" s="298"/>
      <c r="B170" s="299"/>
      <c r="C170" s="299"/>
      <c r="D170" s="299" t="s">
        <v>69</v>
      </c>
      <c r="E170" s="299">
        <v>1</v>
      </c>
      <c r="F170" s="299">
        <v>1</v>
      </c>
      <c r="G170" s="299"/>
      <c r="H170" s="300"/>
      <c r="I170" s="301" t="s">
        <v>315</v>
      </c>
    </row>
    <row r="171" spans="1:9" s="81" customFormat="1" ht="17.25" x14ac:dyDescent="0.35">
      <c r="A171" s="298" t="s">
        <v>86</v>
      </c>
      <c r="B171" s="299" t="s">
        <v>87</v>
      </c>
      <c r="C171" s="299" t="s">
        <v>90</v>
      </c>
      <c r="D171" s="299"/>
      <c r="E171" s="299"/>
      <c r="F171" s="299"/>
      <c r="G171" s="299" t="s">
        <v>79</v>
      </c>
      <c r="H171" s="300"/>
      <c r="I171" s="301">
        <v>65953</v>
      </c>
    </row>
    <row r="172" spans="1:9" s="81" customFormat="1" ht="17.25" x14ac:dyDescent="0.35">
      <c r="A172" s="298"/>
      <c r="B172" s="299"/>
      <c r="C172" s="299"/>
      <c r="D172" s="299" t="s">
        <v>69</v>
      </c>
      <c r="E172" s="299">
        <v>4</v>
      </c>
      <c r="F172" s="299">
        <v>10</v>
      </c>
      <c r="G172" s="299"/>
      <c r="H172" s="300"/>
      <c r="I172" s="301" t="s">
        <v>319</v>
      </c>
    </row>
    <row r="173" spans="1:9" s="81" customFormat="1" ht="17.25" x14ac:dyDescent="0.35">
      <c r="A173" s="298"/>
      <c r="B173" s="299"/>
      <c r="C173" s="299"/>
      <c r="D173" s="299" t="s">
        <v>69</v>
      </c>
      <c r="E173" s="299">
        <v>4</v>
      </c>
      <c r="F173" s="299">
        <v>600</v>
      </c>
      <c r="G173" s="299"/>
      <c r="H173" s="300"/>
      <c r="I173" s="301" t="s">
        <v>338</v>
      </c>
    </row>
    <row r="174" spans="1:9" s="81" customFormat="1" ht="17.25" x14ac:dyDescent="0.35">
      <c r="A174" s="298" t="s">
        <v>88</v>
      </c>
      <c r="B174" s="299" t="s">
        <v>89</v>
      </c>
      <c r="C174" s="299" t="s">
        <v>90</v>
      </c>
      <c r="D174" s="299"/>
      <c r="E174" s="299"/>
      <c r="F174" s="299"/>
      <c r="G174" s="299"/>
      <c r="H174" s="300"/>
      <c r="I174" s="301">
        <v>67200</v>
      </c>
    </row>
    <row r="175" spans="1:9" s="81" customFormat="1" ht="17.25" x14ac:dyDescent="0.35">
      <c r="A175" s="298"/>
      <c r="B175" s="299"/>
      <c r="C175" s="299"/>
      <c r="D175" s="299" t="s">
        <v>69</v>
      </c>
      <c r="E175" s="299">
        <v>1</v>
      </c>
      <c r="F175" s="299">
        <v>1</v>
      </c>
      <c r="G175" s="299"/>
      <c r="H175" s="300"/>
      <c r="I175" s="301" t="s">
        <v>27</v>
      </c>
    </row>
    <row r="176" spans="1:9" s="81" customFormat="1" ht="17.25" x14ac:dyDescent="0.35">
      <c r="A176" s="298"/>
      <c r="B176" s="299"/>
      <c r="C176" s="299"/>
      <c r="D176" s="299" t="s">
        <v>69</v>
      </c>
      <c r="E176" s="299">
        <v>1</v>
      </c>
      <c r="F176" s="299">
        <v>1</v>
      </c>
      <c r="G176" s="299"/>
      <c r="H176" s="300"/>
      <c r="I176" s="301" t="s">
        <v>122</v>
      </c>
    </row>
    <row r="177" spans="1:9" s="56" customFormat="1" ht="17.25" x14ac:dyDescent="0.35">
      <c r="A177" s="298"/>
      <c r="B177" s="299"/>
      <c r="C177" s="299"/>
      <c r="D177" s="299" t="s">
        <v>69</v>
      </c>
      <c r="E177" s="299">
        <v>1</v>
      </c>
      <c r="F177" s="299">
        <v>0</v>
      </c>
      <c r="G177" s="299"/>
      <c r="H177" s="300"/>
      <c r="I177" s="301" t="s">
        <v>123</v>
      </c>
    </row>
    <row r="178" spans="1:9" s="56" customFormat="1" ht="17.25" x14ac:dyDescent="0.35">
      <c r="A178" s="298"/>
      <c r="B178" s="299"/>
      <c r="C178" s="299"/>
      <c r="D178" s="299" t="s">
        <v>69</v>
      </c>
      <c r="E178" s="299">
        <v>1</v>
      </c>
      <c r="F178" s="299">
        <v>1</v>
      </c>
      <c r="G178" s="299"/>
      <c r="H178" s="300"/>
      <c r="I178" s="301" t="s">
        <v>124</v>
      </c>
    </row>
    <row r="179" spans="1:9" s="56" customFormat="1" ht="17.25" x14ac:dyDescent="0.35">
      <c r="A179" s="298"/>
      <c r="B179" s="299"/>
      <c r="C179" s="299"/>
      <c r="D179" s="299" t="s">
        <v>69</v>
      </c>
      <c r="E179" s="299">
        <v>1</v>
      </c>
      <c r="F179" s="299">
        <v>3</v>
      </c>
      <c r="G179" s="299"/>
      <c r="H179" s="300"/>
      <c r="I179" s="301" t="s">
        <v>125</v>
      </c>
    </row>
    <row r="180" spans="1:9" s="56" customFormat="1" ht="17.25" x14ac:dyDescent="0.35">
      <c r="A180" s="298"/>
      <c r="B180" s="299"/>
      <c r="C180" s="299"/>
      <c r="D180" s="299" t="s">
        <v>69</v>
      </c>
      <c r="E180" s="299">
        <v>2</v>
      </c>
      <c r="F180" s="299">
        <v>0</v>
      </c>
      <c r="G180" s="299"/>
      <c r="H180" s="300"/>
      <c r="I180" s="301" t="s">
        <v>126</v>
      </c>
    </row>
    <row r="181" spans="1:9" s="56" customFormat="1" ht="34.5" x14ac:dyDescent="0.35">
      <c r="A181" s="298" t="s">
        <v>233</v>
      </c>
      <c r="B181" s="299" t="s">
        <v>234</v>
      </c>
      <c r="C181" s="299" t="s">
        <v>90</v>
      </c>
      <c r="D181" s="299"/>
      <c r="E181" s="299"/>
      <c r="F181" s="299"/>
      <c r="G181" s="299" t="s">
        <v>239</v>
      </c>
      <c r="H181" s="300"/>
      <c r="I181" s="301">
        <v>70302</v>
      </c>
    </row>
    <row r="182" spans="1:9" s="56" customFormat="1" ht="17.25" x14ac:dyDescent="0.35">
      <c r="A182" s="298"/>
      <c r="B182" s="299"/>
      <c r="C182" s="299"/>
      <c r="D182" s="299" t="s">
        <v>69</v>
      </c>
      <c r="E182" s="299">
        <v>1</v>
      </c>
      <c r="F182" s="299">
        <v>1</v>
      </c>
      <c r="G182" s="299"/>
      <c r="H182" s="300"/>
      <c r="I182" s="301"/>
    </row>
    <row r="183" spans="1:9" s="56" customFormat="1" ht="19.5" customHeight="1" x14ac:dyDescent="0.35">
      <c r="A183" s="306" t="s">
        <v>416</v>
      </c>
      <c r="B183" s="299" t="s">
        <v>415</v>
      </c>
      <c r="C183" s="299" t="s">
        <v>90</v>
      </c>
      <c r="D183" s="299"/>
      <c r="E183" s="299"/>
      <c r="F183" s="299"/>
      <c r="G183" s="299" t="s">
        <v>239</v>
      </c>
      <c r="H183" s="300"/>
      <c r="I183" s="307">
        <v>67217</v>
      </c>
    </row>
    <row r="184" spans="1:9" s="56" customFormat="1" ht="19.5" customHeight="1" x14ac:dyDescent="0.35">
      <c r="A184" s="306"/>
      <c r="B184" s="299"/>
      <c r="C184" s="299"/>
      <c r="D184" s="299" t="s">
        <v>69</v>
      </c>
      <c r="E184" s="299">
        <v>1</v>
      </c>
      <c r="F184" s="299">
        <v>0</v>
      </c>
      <c r="G184" s="299"/>
      <c r="H184" s="300"/>
      <c r="I184" s="307" t="s">
        <v>414</v>
      </c>
    </row>
    <row r="185" spans="1:9" s="56" customFormat="1" ht="19.5" customHeight="1" x14ac:dyDescent="0.35">
      <c r="A185" s="306"/>
      <c r="B185" s="299"/>
      <c r="C185" s="299"/>
      <c r="D185" s="299" t="s">
        <v>69</v>
      </c>
      <c r="E185" s="299">
        <v>2</v>
      </c>
      <c r="F185" s="299" t="s">
        <v>121</v>
      </c>
      <c r="G185" s="299"/>
      <c r="H185" s="300"/>
      <c r="I185" s="307" t="s">
        <v>413</v>
      </c>
    </row>
    <row r="186" spans="1:9" s="56" customFormat="1" ht="19.5" customHeight="1" x14ac:dyDescent="0.35">
      <c r="A186" s="304" t="s">
        <v>407</v>
      </c>
      <c r="B186" s="299" t="s">
        <v>406</v>
      </c>
      <c r="C186" s="299" t="s">
        <v>90</v>
      </c>
      <c r="D186" s="299"/>
      <c r="E186" s="299"/>
      <c r="F186" s="299"/>
      <c r="G186" s="299" t="s">
        <v>239</v>
      </c>
      <c r="H186" s="300"/>
      <c r="I186" s="305">
        <v>65811</v>
      </c>
    </row>
    <row r="187" spans="1:9" s="56" customFormat="1" ht="19.5" customHeight="1" x14ac:dyDescent="0.35">
      <c r="A187" s="304"/>
      <c r="B187" s="299"/>
      <c r="C187" s="299"/>
      <c r="D187" s="299" t="s">
        <v>69</v>
      </c>
      <c r="E187" s="299">
        <v>1</v>
      </c>
      <c r="F187" s="299">
        <v>0</v>
      </c>
      <c r="G187" s="299"/>
      <c r="H187" s="300"/>
      <c r="I187" s="305"/>
    </row>
    <row r="188" spans="1:9" s="56" customFormat="1" ht="19.5" customHeight="1" x14ac:dyDescent="0.35">
      <c r="A188" s="298" t="s">
        <v>245</v>
      </c>
      <c r="B188" s="299" t="s">
        <v>246</v>
      </c>
      <c r="C188" s="299" t="s">
        <v>90</v>
      </c>
      <c r="D188" s="299"/>
      <c r="E188" s="299"/>
      <c r="F188" s="299"/>
      <c r="G188" s="299" t="s">
        <v>79</v>
      </c>
      <c r="H188" s="300"/>
      <c r="I188" s="301">
        <v>67291</v>
      </c>
    </row>
    <row r="189" spans="1:9" s="56" customFormat="1" ht="19.5" customHeight="1" x14ac:dyDescent="0.35">
      <c r="A189" s="298"/>
      <c r="B189" s="299"/>
      <c r="C189" s="299"/>
      <c r="D189" s="299" t="s">
        <v>69</v>
      </c>
      <c r="E189" s="299">
        <v>1</v>
      </c>
      <c r="F189" s="299">
        <v>0</v>
      </c>
      <c r="G189" s="299"/>
      <c r="H189" s="300"/>
      <c r="I189" s="301"/>
    </row>
    <row r="190" spans="1:9" s="56" customFormat="1" ht="19.5" customHeight="1" x14ac:dyDescent="0.35">
      <c r="A190" s="308" t="s">
        <v>518</v>
      </c>
      <c r="B190" s="299" t="s">
        <v>517</v>
      </c>
      <c r="C190" s="299" t="s">
        <v>71</v>
      </c>
      <c r="D190" s="299"/>
      <c r="E190" s="299"/>
      <c r="F190" s="299"/>
      <c r="G190" s="299" t="s">
        <v>239</v>
      </c>
      <c r="H190" s="300" t="s">
        <v>541</v>
      </c>
      <c r="I190" s="309"/>
    </row>
    <row r="191" spans="1:9" s="56" customFormat="1" ht="17.25" x14ac:dyDescent="0.35">
      <c r="A191" s="310" t="s">
        <v>433</v>
      </c>
      <c r="B191" s="299" t="s">
        <v>432</v>
      </c>
      <c r="C191" s="299" t="s">
        <v>71</v>
      </c>
      <c r="D191" s="299"/>
      <c r="E191" s="299"/>
      <c r="F191" s="299"/>
      <c r="G191" s="299" t="s">
        <v>239</v>
      </c>
      <c r="H191" s="300" t="s">
        <v>431</v>
      </c>
      <c r="I191" s="301" t="s">
        <v>248</v>
      </c>
    </row>
    <row r="192" spans="1:9" s="56" customFormat="1" ht="27.75" x14ac:dyDescent="0.35">
      <c r="A192" s="298" t="s">
        <v>247</v>
      </c>
      <c r="B192" s="299" t="s">
        <v>236</v>
      </c>
      <c r="C192" s="299" t="s">
        <v>71</v>
      </c>
      <c r="D192" s="299"/>
      <c r="E192" s="299"/>
      <c r="F192" s="299"/>
      <c r="G192" s="299" t="s">
        <v>239</v>
      </c>
      <c r="H192" s="300" t="s">
        <v>547</v>
      </c>
      <c r="I192" s="301">
        <v>69739</v>
      </c>
    </row>
    <row r="193" spans="1:9" s="56" customFormat="1" ht="16.5" customHeight="1" x14ac:dyDescent="0.35">
      <c r="A193" s="298" t="s">
        <v>249</v>
      </c>
      <c r="B193" s="299" t="s">
        <v>250</v>
      </c>
      <c r="C193" s="299" t="s">
        <v>90</v>
      </c>
      <c r="D193" s="299"/>
      <c r="E193" s="299"/>
      <c r="F193" s="299"/>
      <c r="G193" s="299" t="s">
        <v>79</v>
      </c>
      <c r="H193" s="300"/>
      <c r="I193" s="301" t="s">
        <v>27</v>
      </c>
    </row>
    <row r="194" spans="1:9" s="56" customFormat="1" ht="17.25" x14ac:dyDescent="0.35">
      <c r="A194" s="298"/>
      <c r="B194" s="299"/>
      <c r="C194" s="299"/>
      <c r="D194" s="299" t="s">
        <v>69</v>
      </c>
      <c r="E194" s="299">
        <v>1</v>
      </c>
      <c r="F194" s="299">
        <v>1</v>
      </c>
      <c r="G194" s="299"/>
      <c r="H194" s="300"/>
      <c r="I194" s="301" t="s">
        <v>251</v>
      </c>
    </row>
    <row r="195" spans="1:9" s="56" customFormat="1" ht="17.25" x14ac:dyDescent="0.35">
      <c r="A195" s="298"/>
      <c r="B195" s="299"/>
      <c r="C195" s="299"/>
      <c r="D195" s="299" t="s">
        <v>69</v>
      </c>
      <c r="E195" s="299">
        <v>4</v>
      </c>
      <c r="F195" s="299">
        <v>1000</v>
      </c>
      <c r="G195" s="299"/>
      <c r="H195" s="300"/>
      <c r="I195" s="301">
        <v>67208</v>
      </c>
    </row>
    <row r="196" spans="1:9" s="56" customFormat="1" ht="17.25" x14ac:dyDescent="0.35">
      <c r="A196" s="298" t="s">
        <v>142</v>
      </c>
      <c r="B196" s="299" t="s">
        <v>141</v>
      </c>
      <c r="C196" s="299" t="s">
        <v>90</v>
      </c>
      <c r="D196" s="299"/>
      <c r="E196" s="299"/>
      <c r="F196" s="299"/>
      <c r="G196" s="299" t="s">
        <v>239</v>
      </c>
      <c r="H196" s="300"/>
      <c r="I196" s="301"/>
    </row>
    <row r="197" spans="1:9" s="56" customFormat="1" ht="17.25" x14ac:dyDescent="0.35">
      <c r="A197" s="298"/>
      <c r="B197" s="299"/>
      <c r="C197" s="299"/>
      <c r="D197" s="299" t="s">
        <v>69</v>
      </c>
      <c r="E197" s="299">
        <v>1</v>
      </c>
      <c r="F197" s="299">
        <v>1</v>
      </c>
      <c r="G197" s="299"/>
      <c r="H197" s="300"/>
      <c r="I197" s="311"/>
    </row>
    <row r="198" spans="1:9" s="56" customFormat="1" ht="17.25" x14ac:dyDescent="0.35">
      <c r="A198" s="312" t="s">
        <v>275</v>
      </c>
      <c r="B198" s="299" t="s">
        <v>276</v>
      </c>
      <c r="C198" s="299" t="s">
        <v>71</v>
      </c>
      <c r="D198" s="299"/>
      <c r="E198" s="299"/>
      <c r="F198" s="299"/>
      <c r="G198" s="299" t="s">
        <v>79</v>
      </c>
      <c r="H198" s="300" t="s">
        <v>277</v>
      </c>
      <c r="I198" s="311"/>
    </row>
    <row r="199" spans="1:9" s="56" customFormat="1" ht="17.25" x14ac:dyDescent="0.35">
      <c r="A199" s="312" t="s">
        <v>278</v>
      </c>
      <c r="B199" s="299" t="s">
        <v>279</v>
      </c>
      <c r="C199" s="299" t="s">
        <v>71</v>
      </c>
      <c r="D199" s="299"/>
      <c r="E199" s="299"/>
      <c r="F199" s="299"/>
      <c r="G199" s="299" t="s">
        <v>239</v>
      </c>
      <c r="H199" s="300" t="s">
        <v>280</v>
      </c>
      <c r="I199" s="311"/>
    </row>
    <row r="200" spans="1:9" s="56" customFormat="1" ht="17.25" x14ac:dyDescent="0.35">
      <c r="A200" s="312" t="s">
        <v>281</v>
      </c>
      <c r="B200" s="299" t="s">
        <v>282</v>
      </c>
      <c r="C200" s="299" t="s">
        <v>71</v>
      </c>
      <c r="D200" s="299"/>
      <c r="E200" s="299"/>
      <c r="F200" s="299"/>
      <c r="G200" s="299" t="s">
        <v>239</v>
      </c>
      <c r="H200" s="300" t="s">
        <v>283</v>
      </c>
      <c r="I200" s="311"/>
    </row>
    <row r="201" spans="1:9" s="56" customFormat="1" ht="17.25" x14ac:dyDescent="0.35">
      <c r="A201" s="312" t="s">
        <v>284</v>
      </c>
      <c r="B201" s="299" t="s">
        <v>285</v>
      </c>
      <c r="C201" s="299" t="s">
        <v>71</v>
      </c>
      <c r="D201" s="299"/>
      <c r="E201" s="299"/>
      <c r="F201" s="299"/>
      <c r="G201" s="299" t="s">
        <v>239</v>
      </c>
      <c r="H201" s="300" t="s">
        <v>286</v>
      </c>
      <c r="I201" s="311"/>
    </row>
    <row r="202" spans="1:9" s="56" customFormat="1" ht="17.25" x14ac:dyDescent="0.35">
      <c r="A202" s="312" t="s">
        <v>287</v>
      </c>
      <c r="B202" s="299" t="s">
        <v>288</v>
      </c>
      <c r="C202" s="299" t="s">
        <v>71</v>
      </c>
      <c r="D202" s="299"/>
      <c r="E202" s="299"/>
      <c r="F202" s="299"/>
      <c r="G202" s="299" t="s">
        <v>239</v>
      </c>
      <c r="H202" s="300" t="s">
        <v>289</v>
      </c>
      <c r="I202" s="311"/>
    </row>
    <row r="203" spans="1:9" s="56" customFormat="1" ht="17.25" x14ac:dyDescent="0.35">
      <c r="A203" s="312" t="s">
        <v>290</v>
      </c>
      <c r="B203" s="299" t="s">
        <v>291</v>
      </c>
      <c r="C203" s="299" t="s">
        <v>71</v>
      </c>
      <c r="D203" s="299"/>
      <c r="E203" s="299"/>
      <c r="F203" s="299"/>
      <c r="G203" s="299" t="s">
        <v>239</v>
      </c>
      <c r="H203" s="300" t="s">
        <v>292</v>
      </c>
      <c r="I203" s="311"/>
    </row>
    <row r="204" spans="1:9" s="56" customFormat="1" ht="17.25" x14ac:dyDescent="0.35">
      <c r="A204" s="312" t="s">
        <v>293</v>
      </c>
      <c r="B204" s="299" t="s">
        <v>294</v>
      </c>
      <c r="C204" s="299" t="s">
        <v>71</v>
      </c>
      <c r="D204" s="299"/>
      <c r="E204" s="299"/>
      <c r="F204" s="299"/>
      <c r="G204" s="299" t="s">
        <v>239</v>
      </c>
      <c r="H204" s="300" t="s">
        <v>295</v>
      </c>
      <c r="I204" s="311"/>
    </row>
    <row r="205" spans="1:9" s="56" customFormat="1" ht="17.25" x14ac:dyDescent="0.35">
      <c r="A205" s="312" t="s">
        <v>296</v>
      </c>
      <c r="B205" s="299" t="s">
        <v>252</v>
      </c>
      <c r="C205" s="299" t="s">
        <v>71</v>
      </c>
      <c r="D205" s="299"/>
      <c r="E205" s="299"/>
      <c r="F205" s="299"/>
      <c r="G205" s="299" t="s">
        <v>239</v>
      </c>
      <c r="H205" s="300" t="s">
        <v>297</v>
      </c>
      <c r="I205" s="311"/>
    </row>
    <row r="206" spans="1:9" s="56" customFormat="1" ht="51.75" x14ac:dyDescent="0.35">
      <c r="A206" s="312" t="s">
        <v>298</v>
      </c>
      <c r="B206" s="299" t="s">
        <v>253</v>
      </c>
      <c r="C206" s="299" t="s">
        <v>71</v>
      </c>
      <c r="D206" s="299"/>
      <c r="E206" s="299"/>
      <c r="F206" s="299"/>
      <c r="G206" s="299" t="s">
        <v>239</v>
      </c>
      <c r="H206" s="300" t="s">
        <v>299</v>
      </c>
      <c r="I206" s="313" t="s">
        <v>423</v>
      </c>
    </row>
    <row r="207" spans="1:9" s="56" customFormat="1" ht="17.25" x14ac:dyDescent="0.35">
      <c r="A207" s="314" t="s">
        <v>426</v>
      </c>
      <c r="B207" s="299" t="s">
        <v>425</v>
      </c>
      <c r="C207" s="299" t="s">
        <v>71</v>
      </c>
      <c r="D207" s="299"/>
      <c r="E207" s="299"/>
      <c r="F207" s="299"/>
      <c r="G207" s="299" t="s">
        <v>239</v>
      </c>
      <c r="H207" s="300" t="s">
        <v>424</v>
      </c>
      <c r="I207" s="311"/>
    </row>
    <row r="208" spans="1:9" s="56" customFormat="1" ht="16.5" customHeight="1" x14ac:dyDescent="0.35">
      <c r="A208" s="312" t="s">
        <v>300</v>
      </c>
      <c r="B208" s="299" t="s">
        <v>301</v>
      </c>
      <c r="C208" s="299" t="s">
        <v>71</v>
      </c>
      <c r="D208" s="299"/>
      <c r="E208" s="299"/>
      <c r="F208" s="299"/>
      <c r="G208" s="299" t="s">
        <v>239</v>
      </c>
      <c r="H208" s="300" t="s">
        <v>302</v>
      </c>
      <c r="I208" s="311">
        <v>65777</v>
      </c>
    </row>
    <row r="209" spans="1:9" s="56" customFormat="1" ht="17.25" x14ac:dyDescent="0.35">
      <c r="A209" s="312" t="s">
        <v>120</v>
      </c>
      <c r="B209" s="299" t="s">
        <v>91</v>
      </c>
      <c r="C209" s="299" t="s">
        <v>90</v>
      </c>
      <c r="D209" s="299"/>
      <c r="E209" s="299"/>
      <c r="F209" s="299"/>
      <c r="G209" s="299"/>
      <c r="H209" s="300"/>
      <c r="I209" s="311" t="s">
        <v>311</v>
      </c>
    </row>
    <row r="210" spans="1:9" s="56" customFormat="1" ht="17.25" x14ac:dyDescent="0.35">
      <c r="A210" s="312" t="s">
        <v>139</v>
      </c>
      <c r="B210" s="299" t="s">
        <v>139</v>
      </c>
      <c r="C210" s="299"/>
      <c r="D210" s="299" t="s">
        <v>69</v>
      </c>
      <c r="E210" s="299">
        <v>1</v>
      </c>
      <c r="F210" s="299">
        <v>0</v>
      </c>
      <c r="G210" s="299"/>
      <c r="H210" s="300"/>
      <c r="I210" s="315">
        <v>66048</v>
      </c>
    </row>
    <row r="211" spans="1:9" s="56" customFormat="1" ht="17.25" x14ac:dyDescent="0.35">
      <c r="A211" s="316" t="s">
        <v>307</v>
      </c>
      <c r="B211" s="299" t="s">
        <v>308</v>
      </c>
      <c r="C211" s="299" t="s">
        <v>90</v>
      </c>
      <c r="D211" s="299"/>
      <c r="E211" s="299"/>
      <c r="F211" s="299"/>
      <c r="G211" s="299" t="s">
        <v>239</v>
      </c>
      <c r="H211" s="300"/>
      <c r="I211" s="315" t="s">
        <v>309</v>
      </c>
    </row>
    <row r="212" spans="1:9" s="56" customFormat="1" ht="17.25" x14ac:dyDescent="0.35">
      <c r="A212" s="316" t="s">
        <v>139</v>
      </c>
      <c r="B212" s="299" t="s">
        <v>139</v>
      </c>
      <c r="C212" s="299"/>
      <c r="D212" s="299" t="s">
        <v>69</v>
      </c>
      <c r="E212" s="299">
        <v>1</v>
      </c>
      <c r="F212" s="299">
        <v>0</v>
      </c>
      <c r="G212" s="299"/>
      <c r="H212" s="300"/>
      <c r="I212" s="317">
        <v>65591</v>
      </c>
    </row>
    <row r="213" spans="1:9" s="56" customFormat="1" ht="34.5" x14ac:dyDescent="0.35">
      <c r="A213" s="318" t="s">
        <v>317</v>
      </c>
      <c r="B213" s="299" t="s">
        <v>318</v>
      </c>
      <c r="C213" s="299" t="s">
        <v>90</v>
      </c>
      <c r="D213" s="299"/>
      <c r="E213" s="299"/>
      <c r="F213" s="299"/>
      <c r="G213" s="299" t="s">
        <v>239</v>
      </c>
      <c r="H213" s="300"/>
      <c r="I213" s="317"/>
    </row>
    <row r="214" spans="1:9" s="56" customFormat="1" ht="17.25" x14ac:dyDescent="0.35">
      <c r="A214" s="318"/>
      <c r="B214" s="299"/>
      <c r="C214" s="299"/>
      <c r="D214" s="299" t="s">
        <v>69</v>
      </c>
      <c r="E214" s="299">
        <v>4</v>
      </c>
      <c r="F214" s="299" t="s">
        <v>84</v>
      </c>
      <c r="G214" s="299"/>
      <c r="H214" s="300"/>
      <c r="I214" s="319">
        <v>66045</v>
      </c>
    </row>
    <row r="215" spans="1:9" s="56" customFormat="1" ht="34.5" x14ac:dyDescent="0.35">
      <c r="A215" s="320" t="s">
        <v>320</v>
      </c>
      <c r="B215" s="299" t="s">
        <v>321</v>
      </c>
      <c r="C215" s="299" t="s">
        <v>90</v>
      </c>
      <c r="D215" s="299"/>
      <c r="E215" s="299"/>
      <c r="F215" s="299"/>
      <c r="G215" s="299" t="s">
        <v>79</v>
      </c>
      <c r="H215" s="300"/>
      <c r="I215" s="319"/>
    </row>
    <row r="216" spans="1:9" s="56" customFormat="1" ht="17.25" x14ac:dyDescent="0.35">
      <c r="A216" s="320"/>
      <c r="B216" s="299"/>
      <c r="C216" s="299"/>
      <c r="D216" s="299" t="s">
        <v>69</v>
      </c>
      <c r="E216" s="299">
        <v>1</v>
      </c>
      <c r="F216" s="299">
        <v>1</v>
      </c>
      <c r="G216" s="299"/>
      <c r="H216" s="300"/>
      <c r="I216" s="317">
        <v>65674</v>
      </c>
    </row>
    <row r="217" spans="1:9" s="56" customFormat="1" ht="34.5" x14ac:dyDescent="0.35">
      <c r="A217" s="318" t="s">
        <v>336</v>
      </c>
      <c r="B217" s="299" t="s">
        <v>337</v>
      </c>
      <c r="C217" s="299" t="s">
        <v>90</v>
      </c>
      <c r="D217" s="299"/>
      <c r="E217" s="299"/>
      <c r="F217" s="299"/>
      <c r="G217" s="299" t="s">
        <v>79</v>
      </c>
      <c r="H217" s="300"/>
      <c r="I217" s="317">
        <v>67270</v>
      </c>
    </row>
    <row r="218" spans="1:9" s="56" customFormat="1" ht="17.25" x14ac:dyDescent="0.35">
      <c r="A218" s="318"/>
      <c r="B218" s="299"/>
      <c r="C218" s="299"/>
      <c r="D218" s="299" t="s">
        <v>69</v>
      </c>
      <c r="E218" s="299">
        <v>1</v>
      </c>
      <c r="F218" s="299">
        <v>1</v>
      </c>
      <c r="G218" s="299"/>
      <c r="H218" s="300"/>
      <c r="I218" s="317"/>
    </row>
    <row r="219" spans="1:9" s="56" customFormat="1" ht="17.25" x14ac:dyDescent="0.35">
      <c r="A219" s="318" t="s">
        <v>329</v>
      </c>
      <c r="B219" s="299" t="s">
        <v>330</v>
      </c>
      <c r="C219" s="299" t="s">
        <v>90</v>
      </c>
      <c r="D219" s="299"/>
      <c r="E219" s="299"/>
      <c r="F219" s="299"/>
      <c r="G219" s="299" t="s">
        <v>239</v>
      </c>
      <c r="H219" s="300"/>
      <c r="I219" s="317">
        <v>72538</v>
      </c>
    </row>
    <row r="220" spans="1:9" s="56" customFormat="1" ht="17.25" x14ac:dyDescent="0.35">
      <c r="A220" s="318"/>
      <c r="B220" s="299"/>
      <c r="C220" s="299"/>
      <c r="D220" s="299" t="s">
        <v>69</v>
      </c>
      <c r="E220" s="299">
        <v>2</v>
      </c>
      <c r="F220" s="299">
        <v>300</v>
      </c>
      <c r="G220" s="299"/>
      <c r="H220" s="300"/>
      <c r="I220" s="317"/>
    </row>
    <row r="221" spans="1:9" s="56" customFormat="1" ht="17.25" x14ac:dyDescent="0.35">
      <c r="A221" s="318"/>
      <c r="B221" s="299"/>
      <c r="C221" s="299"/>
      <c r="D221" s="299" t="s">
        <v>69</v>
      </c>
      <c r="E221" s="299">
        <v>2</v>
      </c>
      <c r="F221" s="299">
        <v>10</v>
      </c>
      <c r="G221" s="299"/>
      <c r="H221" s="300"/>
      <c r="I221" s="317"/>
    </row>
    <row r="222" spans="1:9" s="56" customFormat="1" ht="17.25" x14ac:dyDescent="0.35">
      <c r="A222" s="320" t="s">
        <v>331</v>
      </c>
      <c r="B222" s="299" t="s">
        <v>332</v>
      </c>
      <c r="C222" s="299" t="s">
        <v>90</v>
      </c>
      <c r="D222" s="299"/>
      <c r="E222" s="299"/>
      <c r="F222" s="299"/>
      <c r="G222" s="299"/>
      <c r="H222" s="300"/>
      <c r="I222" s="319">
        <v>72608</v>
      </c>
    </row>
    <row r="223" spans="1:9" s="56" customFormat="1" ht="16.5" customHeight="1" x14ac:dyDescent="0.35">
      <c r="A223" s="320"/>
      <c r="B223" s="299"/>
      <c r="C223" s="299"/>
      <c r="D223" s="299" t="s">
        <v>69</v>
      </c>
      <c r="E223" s="299">
        <v>1</v>
      </c>
      <c r="F223" s="299">
        <v>1</v>
      </c>
      <c r="G223" s="299"/>
      <c r="H223" s="300"/>
      <c r="I223" s="319" t="s">
        <v>333</v>
      </c>
    </row>
    <row r="224" spans="1:9" s="56" customFormat="1" ht="16.5" customHeight="1" x14ac:dyDescent="0.35">
      <c r="A224" s="320"/>
      <c r="B224" s="299"/>
      <c r="C224" s="299"/>
      <c r="D224" s="299" t="s">
        <v>69</v>
      </c>
      <c r="E224" s="299">
        <v>2</v>
      </c>
      <c r="F224" s="299">
        <v>900</v>
      </c>
      <c r="G224" s="299"/>
      <c r="H224" s="300"/>
      <c r="I224" s="319" t="s">
        <v>334</v>
      </c>
    </row>
    <row r="225" spans="1:10" s="56" customFormat="1" ht="16.5" customHeight="1" x14ac:dyDescent="0.35">
      <c r="A225" s="320"/>
      <c r="B225" s="299"/>
      <c r="C225" s="299"/>
      <c r="D225" s="299" t="s">
        <v>69</v>
      </c>
      <c r="E225" s="299">
        <v>2</v>
      </c>
      <c r="F225" s="299">
        <v>100</v>
      </c>
      <c r="G225" s="299"/>
      <c r="H225" s="300"/>
      <c r="I225" s="319" t="s">
        <v>335</v>
      </c>
    </row>
    <row r="226" spans="1:10" s="56" customFormat="1" ht="17.25" x14ac:dyDescent="0.35">
      <c r="A226" s="318" t="s">
        <v>343</v>
      </c>
      <c r="B226" s="299" t="s">
        <v>342</v>
      </c>
      <c r="C226" s="299" t="s">
        <v>90</v>
      </c>
      <c r="D226" s="299"/>
      <c r="E226" s="299"/>
      <c r="F226" s="299"/>
      <c r="G226" s="299" t="s">
        <v>239</v>
      </c>
      <c r="H226" s="300"/>
      <c r="I226" s="317" t="s">
        <v>344</v>
      </c>
    </row>
    <row r="227" spans="1:10" s="145" customFormat="1" ht="17.25" x14ac:dyDescent="0.35">
      <c r="A227" s="318"/>
      <c r="B227" s="299"/>
      <c r="C227" s="299"/>
      <c r="D227" s="299" t="s">
        <v>69</v>
      </c>
      <c r="E227" s="299">
        <v>1</v>
      </c>
      <c r="F227" s="299">
        <v>0</v>
      </c>
      <c r="G227" s="299"/>
      <c r="H227" s="300"/>
      <c r="I227" s="317"/>
      <c r="J227" s="56"/>
    </row>
    <row r="228" spans="1:10" s="145" customFormat="1" ht="17.25" x14ac:dyDescent="0.35">
      <c r="A228" s="318" t="s">
        <v>345</v>
      </c>
      <c r="B228" s="299" t="s">
        <v>346</v>
      </c>
      <c r="C228" s="299" t="s">
        <v>90</v>
      </c>
      <c r="D228" s="299"/>
      <c r="E228" s="299"/>
      <c r="F228" s="299"/>
      <c r="G228" s="299" t="s">
        <v>239</v>
      </c>
      <c r="H228" s="300"/>
      <c r="I228" s="317">
        <v>72539</v>
      </c>
      <c r="J228" s="56"/>
    </row>
    <row r="229" spans="1:10" s="145" customFormat="1" ht="17.25" x14ac:dyDescent="0.35">
      <c r="A229" s="318"/>
      <c r="B229" s="299"/>
      <c r="C229" s="299"/>
      <c r="D229" s="299" t="s">
        <v>69</v>
      </c>
      <c r="E229" s="299">
        <v>1</v>
      </c>
      <c r="F229" s="299">
        <v>1</v>
      </c>
      <c r="G229" s="299"/>
      <c r="H229" s="300"/>
      <c r="I229" s="317"/>
      <c r="J229" s="56"/>
    </row>
    <row r="230" spans="1:10" s="145" customFormat="1" ht="17.25" x14ac:dyDescent="0.35">
      <c r="A230" s="316" t="s">
        <v>362</v>
      </c>
      <c r="B230" s="299" t="s">
        <v>363</v>
      </c>
      <c r="C230" s="299" t="s">
        <v>90</v>
      </c>
      <c r="D230" s="299"/>
      <c r="E230" s="299"/>
      <c r="F230" s="299"/>
      <c r="G230" s="299" t="s">
        <v>239</v>
      </c>
      <c r="H230" s="300"/>
      <c r="I230" s="315">
        <v>72614</v>
      </c>
      <c r="J230" s="56"/>
    </row>
    <row r="231" spans="1:10" s="145" customFormat="1" ht="17.25" x14ac:dyDescent="0.35">
      <c r="A231" s="318"/>
      <c r="B231" s="299"/>
      <c r="C231" s="299"/>
      <c r="D231" s="299" t="s">
        <v>69</v>
      </c>
      <c r="E231" s="299">
        <v>1</v>
      </c>
      <c r="F231" s="299">
        <v>1</v>
      </c>
      <c r="G231" s="299"/>
      <c r="H231" s="300"/>
      <c r="I231" s="317" t="s">
        <v>364</v>
      </c>
      <c r="J231" s="56"/>
    </row>
    <row r="232" spans="1:10" s="146" customFormat="1" ht="17.25" x14ac:dyDescent="0.35">
      <c r="A232" s="318" t="s">
        <v>457</v>
      </c>
      <c r="B232" s="299" t="s">
        <v>458</v>
      </c>
      <c r="C232" s="299" t="s">
        <v>90</v>
      </c>
      <c r="D232" s="299"/>
      <c r="E232" s="299"/>
      <c r="F232" s="299"/>
      <c r="G232" s="299" t="s">
        <v>239</v>
      </c>
      <c r="H232" s="300"/>
      <c r="I232" s="317">
        <v>73616</v>
      </c>
      <c r="J232" s="81"/>
    </row>
    <row r="233" spans="1:10" s="147" customFormat="1" ht="17.25" x14ac:dyDescent="0.35">
      <c r="A233" s="318"/>
      <c r="B233" s="299"/>
      <c r="C233" s="299"/>
      <c r="D233" s="299" t="s">
        <v>69</v>
      </c>
      <c r="E233" s="299">
        <v>1</v>
      </c>
      <c r="F233" s="299">
        <v>1</v>
      </c>
      <c r="G233" s="299"/>
      <c r="H233" s="300"/>
      <c r="I233" s="317"/>
      <c r="J233" s="56"/>
    </row>
    <row r="234" spans="1:10" s="147" customFormat="1" ht="17.25" x14ac:dyDescent="0.35">
      <c r="A234" s="318" t="s">
        <v>386</v>
      </c>
      <c r="B234" s="299" t="s">
        <v>387</v>
      </c>
      <c r="C234" s="299" t="s">
        <v>90</v>
      </c>
      <c r="D234" s="299"/>
      <c r="E234" s="299"/>
      <c r="F234" s="299"/>
      <c r="G234" s="299" t="s">
        <v>239</v>
      </c>
      <c r="H234" s="300"/>
      <c r="I234" s="317">
        <v>67221</v>
      </c>
      <c r="J234" s="56"/>
    </row>
    <row r="235" spans="1:10" s="147" customFormat="1" ht="53.25" x14ac:dyDescent="0.35">
      <c r="A235" s="318"/>
      <c r="B235" s="299"/>
      <c r="C235" s="299"/>
      <c r="D235" s="299" t="s">
        <v>388</v>
      </c>
      <c r="E235" s="299">
        <v>1</v>
      </c>
      <c r="F235" s="299" t="s">
        <v>389</v>
      </c>
      <c r="G235" s="299"/>
      <c r="H235" s="300"/>
      <c r="I235" s="317"/>
      <c r="J235" s="56"/>
    </row>
    <row r="236" spans="1:10" s="56" customFormat="1" ht="17.25" x14ac:dyDescent="0.35">
      <c r="A236" s="318" t="s">
        <v>390</v>
      </c>
      <c r="B236" s="299" t="s">
        <v>391</v>
      </c>
      <c r="C236" s="299" t="s">
        <v>90</v>
      </c>
      <c r="D236" s="299"/>
      <c r="E236" s="299"/>
      <c r="F236" s="299"/>
      <c r="G236" s="299" t="s">
        <v>239</v>
      </c>
      <c r="H236" s="300"/>
      <c r="I236" s="317">
        <v>70242</v>
      </c>
    </row>
    <row r="237" spans="1:10" s="56" customFormat="1" ht="17.25" x14ac:dyDescent="0.35">
      <c r="A237" s="318"/>
      <c r="B237" s="299"/>
      <c r="C237" s="299"/>
      <c r="D237" s="299" t="s">
        <v>69</v>
      </c>
      <c r="E237" s="299">
        <v>1</v>
      </c>
      <c r="F237" s="299">
        <v>0</v>
      </c>
      <c r="G237" s="299"/>
      <c r="H237" s="300"/>
      <c r="I237" s="317"/>
    </row>
    <row r="238" spans="1:10" s="56" customFormat="1" ht="17.25" x14ac:dyDescent="0.35">
      <c r="A238" s="318" t="s">
        <v>392</v>
      </c>
      <c r="B238" s="299" t="s">
        <v>393</v>
      </c>
      <c r="C238" s="299" t="s">
        <v>90</v>
      </c>
      <c r="D238" s="299"/>
      <c r="E238" s="299"/>
      <c r="F238" s="299"/>
      <c r="G238" s="299" t="s">
        <v>239</v>
      </c>
      <c r="H238" s="300"/>
      <c r="I238" s="317">
        <v>69736</v>
      </c>
    </row>
    <row r="239" spans="1:10" s="56" customFormat="1" ht="17.25" x14ac:dyDescent="0.35">
      <c r="A239" s="318"/>
      <c r="B239" s="299"/>
      <c r="C239" s="299"/>
      <c r="D239" s="299" t="s">
        <v>69</v>
      </c>
      <c r="E239" s="299">
        <v>1</v>
      </c>
      <c r="F239" s="299">
        <v>1</v>
      </c>
      <c r="G239" s="299"/>
      <c r="H239" s="300"/>
      <c r="I239" s="317"/>
    </row>
    <row r="240" spans="1:10" s="56" customFormat="1" ht="17.25" x14ac:dyDescent="0.35">
      <c r="A240" s="318" t="s">
        <v>394</v>
      </c>
      <c r="B240" s="299" t="s">
        <v>395</v>
      </c>
      <c r="C240" s="299" t="s">
        <v>90</v>
      </c>
      <c r="D240" s="299"/>
      <c r="E240" s="299"/>
      <c r="F240" s="299"/>
      <c r="G240" s="299" t="s">
        <v>239</v>
      </c>
      <c r="H240" s="300"/>
      <c r="I240" s="317">
        <v>69737</v>
      </c>
    </row>
    <row r="241" spans="1:11" s="56" customFormat="1" ht="155.25" x14ac:dyDescent="0.35">
      <c r="A241" s="318"/>
      <c r="B241" s="299"/>
      <c r="C241" s="299"/>
      <c r="D241" s="299" t="s">
        <v>396</v>
      </c>
      <c r="E241" s="299">
        <v>1</v>
      </c>
      <c r="F241" s="299" t="s">
        <v>397</v>
      </c>
      <c r="G241" s="299"/>
      <c r="H241" s="300"/>
      <c r="I241" s="317"/>
    </row>
    <row r="242" spans="1:11" s="56" customFormat="1" ht="17.25" x14ac:dyDescent="0.35">
      <c r="A242" s="318" t="s">
        <v>400</v>
      </c>
      <c r="B242" s="299" t="s">
        <v>401</v>
      </c>
      <c r="C242" s="299" t="s">
        <v>90</v>
      </c>
      <c r="D242" s="299"/>
      <c r="E242" s="299"/>
      <c r="F242" s="299"/>
      <c r="G242" s="299" t="s">
        <v>239</v>
      </c>
      <c r="H242" s="300"/>
      <c r="I242" s="317"/>
    </row>
    <row r="243" spans="1:11" s="56" customFormat="1" ht="17.25" x14ac:dyDescent="0.35">
      <c r="A243" s="318"/>
      <c r="B243" s="299"/>
      <c r="C243" s="299"/>
      <c r="D243" s="299" t="s">
        <v>69</v>
      </c>
      <c r="E243" s="299">
        <v>1</v>
      </c>
      <c r="F243" s="299">
        <v>1</v>
      </c>
      <c r="G243" s="299"/>
      <c r="H243" s="300"/>
      <c r="I243" s="317"/>
    </row>
    <row r="244" spans="1:11" s="56" customFormat="1" ht="17.25" x14ac:dyDescent="0.35">
      <c r="A244" s="318" t="s">
        <v>376</v>
      </c>
      <c r="B244" s="299" t="s">
        <v>377</v>
      </c>
      <c r="C244" s="299" t="s">
        <v>71</v>
      </c>
      <c r="D244" s="299"/>
      <c r="E244" s="299"/>
      <c r="F244" s="299"/>
      <c r="G244" s="299" t="s">
        <v>239</v>
      </c>
      <c r="H244" s="300" t="s">
        <v>378</v>
      </c>
      <c r="I244" s="317">
        <v>67211</v>
      </c>
    </row>
    <row r="245" spans="1:11" s="141" customFormat="1" ht="17.25" x14ac:dyDescent="0.35">
      <c r="A245" s="308" t="s">
        <v>555</v>
      </c>
      <c r="B245" s="299" t="s">
        <v>556</v>
      </c>
      <c r="C245" s="299" t="s">
        <v>1247</v>
      </c>
      <c r="D245" s="299"/>
      <c r="E245" s="299"/>
      <c r="F245" s="299"/>
      <c r="G245" s="299" t="s">
        <v>239</v>
      </c>
      <c r="H245" s="300" t="s">
        <v>557</v>
      </c>
      <c r="I245" s="309">
        <v>73755</v>
      </c>
      <c r="J245" s="81"/>
      <c r="K245" s="81"/>
    </row>
    <row r="246" spans="1:11" s="141" customFormat="1" ht="17.25" x14ac:dyDescent="0.35">
      <c r="A246" s="318" t="s">
        <v>1150</v>
      </c>
      <c r="B246" s="299" t="s">
        <v>1151</v>
      </c>
      <c r="C246" s="299" t="s">
        <v>71</v>
      </c>
      <c r="D246" s="124"/>
      <c r="E246" s="124"/>
      <c r="F246" s="124"/>
      <c r="G246" s="299" t="s">
        <v>239</v>
      </c>
      <c r="H246" s="300" t="s">
        <v>1160</v>
      </c>
      <c r="I246" s="309" t="s">
        <v>1152</v>
      </c>
      <c r="J246" s="81"/>
      <c r="K246" s="81"/>
    </row>
    <row r="247" spans="1:11" s="141" customFormat="1" ht="17.25" x14ac:dyDescent="0.35">
      <c r="A247" s="318" t="s">
        <v>1153</v>
      </c>
      <c r="B247" s="299" t="s">
        <v>1154</v>
      </c>
      <c r="C247" s="299" t="s">
        <v>71</v>
      </c>
      <c r="D247" s="124"/>
      <c r="E247" s="124"/>
      <c r="F247" s="124"/>
      <c r="G247" s="299" t="s">
        <v>239</v>
      </c>
      <c r="H247" s="300" t="s">
        <v>1161</v>
      </c>
      <c r="I247" s="309" t="s">
        <v>1152</v>
      </c>
      <c r="J247" s="81"/>
      <c r="K247" s="81"/>
    </row>
    <row r="248" spans="1:11" s="141" customFormat="1" ht="17.25" x14ac:dyDescent="0.35">
      <c r="A248" s="318" t="s">
        <v>1155</v>
      </c>
      <c r="B248" s="299" t="s">
        <v>1156</v>
      </c>
      <c r="C248" s="299" t="s">
        <v>71</v>
      </c>
      <c r="D248" s="124"/>
      <c r="E248" s="124"/>
      <c r="F248" s="124"/>
      <c r="G248" s="299" t="s">
        <v>239</v>
      </c>
      <c r="H248" s="300" t="s">
        <v>1162</v>
      </c>
      <c r="I248" s="309" t="s">
        <v>1152</v>
      </c>
      <c r="J248" s="81"/>
      <c r="K248" s="81"/>
    </row>
    <row r="249" spans="1:11" s="141" customFormat="1" ht="17.25" x14ac:dyDescent="0.35">
      <c r="A249" s="318" t="s">
        <v>1157</v>
      </c>
      <c r="B249" s="299" t="s">
        <v>1158</v>
      </c>
      <c r="C249" s="299" t="s">
        <v>71</v>
      </c>
      <c r="D249" s="124"/>
      <c r="E249" s="124"/>
      <c r="F249" s="124"/>
      <c r="G249" s="299" t="s">
        <v>239</v>
      </c>
      <c r="H249" s="300" t="s">
        <v>1163</v>
      </c>
      <c r="I249" s="309" t="s">
        <v>1159</v>
      </c>
      <c r="J249" s="81"/>
      <c r="K249" s="81"/>
    </row>
    <row r="250" spans="1:11" s="141" customFormat="1" ht="17.25" x14ac:dyDescent="0.35">
      <c r="A250" s="318" t="s">
        <v>566</v>
      </c>
      <c r="B250" s="299" t="s">
        <v>567</v>
      </c>
      <c r="C250" s="299" t="s">
        <v>71</v>
      </c>
      <c r="D250" s="299"/>
      <c r="E250" s="299"/>
      <c r="F250" s="299"/>
      <c r="G250" s="299" t="s">
        <v>239</v>
      </c>
      <c r="H250" s="300" t="s">
        <v>568</v>
      </c>
      <c r="I250" s="309"/>
      <c r="J250" s="81"/>
      <c r="K250" s="81"/>
    </row>
    <row r="251" spans="1:11" s="141" customFormat="1" ht="16.5" customHeight="1" x14ac:dyDescent="0.35">
      <c r="A251" s="318" t="s">
        <v>500</v>
      </c>
      <c r="B251" s="299" t="s">
        <v>527</v>
      </c>
      <c r="C251" s="299" t="s">
        <v>71</v>
      </c>
      <c r="D251" s="299"/>
      <c r="E251" s="299"/>
      <c r="F251" s="299"/>
      <c r="G251" s="299" t="s">
        <v>239</v>
      </c>
      <c r="H251" s="300" t="s">
        <v>501</v>
      </c>
      <c r="I251" s="309" t="s">
        <v>569</v>
      </c>
      <c r="J251" s="81"/>
      <c r="K251" s="81"/>
    </row>
    <row r="252" spans="1:11" s="56" customFormat="1" ht="17.25" x14ac:dyDescent="0.35">
      <c r="A252" s="318" t="s">
        <v>502</v>
      </c>
      <c r="B252" s="299" t="s">
        <v>528</v>
      </c>
      <c r="C252" s="299" t="s">
        <v>71</v>
      </c>
      <c r="D252" s="299"/>
      <c r="E252" s="299"/>
      <c r="F252" s="299"/>
      <c r="G252" s="299" t="s">
        <v>239</v>
      </c>
      <c r="H252" s="300" t="s">
        <v>503</v>
      </c>
      <c r="I252" s="309" t="s">
        <v>569</v>
      </c>
    </row>
    <row r="253" spans="1:11" s="56" customFormat="1" ht="17.25" x14ac:dyDescent="0.35">
      <c r="A253" s="318" t="s">
        <v>570</v>
      </c>
      <c r="B253" s="299" t="s">
        <v>571</v>
      </c>
      <c r="C253" s="299" t="s">
        <v>71</v>
      </c>
      <c r="D253" s="299"/>
      <c r="E253" s="299"/>
      <c r="F253" s="299"/>
      <c r="G253" s="299" t="s">
        <v>239</v>
      </c>
      <c r="H253" s="300" t="s">
        <v>572</v>
      </c>
      <c r="I253" s="309" t="s">
        <v>1170</v>
      </c>
    </row>
    <row r="254" spans="1:11" s="56" customFormat="1" ht="17.25" x14ac:dyDescent="0.35">
      <c r="A254" s="318" t="s">
        <v>1164</v>
      </c>
      <c r="B254" s="299" t="s">
        <v>1166</v>
      </c>
      <c r="C254" s="299" t="s">
        <v>71</v>
      </c>
      <c r="D254" s="299"/>
      <c r="E254" s="299"/>
      <c r="F254" s="299"/>
      <c r="G254" s="299" t="s">
        <v>239</v>
      </c>
      <c r="H254" s="300" t="s">
        <v>1168</v>
      </c>
      <c r="I254" s="309" t="s">
        <v>1171</v>
      </c>
    </row>
    <row r="255" spans="1:11" s="56" customFormat="1" ht="17.25" x14ac:dyDescent="0.35">
      <c r="A255" s="318" t="s">
        <v>1165</v>
      </c>
      <c r="B255" s="299" t="s">
        <v>1167</v>
      </c>
      <c r="C255" s="299" t="s">
        <v>71</v>
      </c>
      <c r="D255" s="299"/>
      <c r="E255" s="299"/>
      <c r="F255" s="299"/>
      <c r="G255" s="299" t="s">
        <v>239</v>
      </c>
      <c r="H255" s="300" t="s">
        <v>1169</v>
      </c>
      <c r="I255" s="309" t="s">
        <v>573</v>
      </c>
    </row>
    <row r="256" spans="1:11" s="56" customFormat="1" ht="17.25" x14ac:dyDescent="0.35">
      <c r="A256" s="318" t="s">
        <v>574</v>
      </c>
      <c r="B256" s="299" t="s">
        <v>575</v>
      </c>
      <c r="C256" s="299" t="s">
        <v>71</v>
      </c>
      <c r="D256" s="299"/>
      <c r="E256" s="299"/>
      <c r="F256" s="299"/>
      <c r="G256" s="299" t="s">
        <v>239</v>
      </c>
      <c r="H256" s="300" t="s">
        <v>576</v>
      </c>
      <c r="I256" s="309" t="s">
        <v>569</v>
      </c>
    </row>
    <row r="257" spans="1:9" s="56" customFormat="1" ht="17.25" x14ac:dyDescent="0.35">
      <c r="A257" s="318" t="s">
        <v>504</v>
      </c>
      <c r="B257" s="299" t="s">
        <v>529</v>
      </c>
      <c r="C257" s="299" t="s">
        <v>71</v>
      </c>
      <c r="D257" s="299"/>
      <c r="E257" s="299"/>
      <c r="F257" s="299"/>
      <c r="G257" s="299" t="s">
        <v>239</v>
      </c>
      <c r="H257" s="300" t="s">
        <v>375</v>
      </c>
      <c r="I257" s="309" t="s">
        <v>573</v>
      </c>
    </row>
    <row r="258" spans="1:9" s="56" customFormat="1" ht="17.25" x14ac:dyDescent="0.35">
      <c r="A258" s="318" t="s">
        <v>379</v>
      </c>
      <c r="B258" s="299" t="s">
        <v>380</v>
      </c>
      <c r="C258" s="299" t="s">
        <v>71</v>
      </c>
      <c r="D258" s="299"/>
      <c r="E258" s="299"/>
      <c r="F258" s="299"/>
      <c r="G258" s="299" t="s">
        <v>239</v>
      </c>
      <c r="H258" s="300" t="s">
        <v>381</v>
      </c>
      <c r="I258" s="309"/>
    </row>
    <row r="259" spans="1:9" s="56" customFormat="1" ht="17.25" x14ac:dyDescent="0.35">
      <c r="A259" s="318" t="s">
        <v>382</v>
      </c>
      <c r="B259" s="299" t="s">
        <v>383</v>
      </c>
      <c r="C259" s="299" t="s">
        <v>71</v>
      </c>
      <c r="D259" s="299"/>
      <c r="E259" s="299"/>
      <c r="F259" s="299"/>
      <c r="G259" s="299" t="s">
        <v>239</v>
      </c>
      <c r="H259" s="300" t="s">
        <v>384</v>
      </c>
      <c r="I259" s="309" t="s">
        <v>385</v>
      </c>
    </row>
    <row r="260" spans="1:9" s="56" customFormat="1" ht="17.25" x14ac:dyDescent="0.35">
      <c r="A260" s="318" t="s">
        <v>544</v>
      </c>
      <c r="B260" s="299" t="s">
        <v>545</v>
      </c>
      <c r="C260" s="299" t="s">
        <v>90</v>
      </c>
      <c r="D260" s="299"/>
      <c r="E260" s="299"/>
      <c r="F260" s="299"/>
      <c r="G260" s="299" t="s">
        <v>239</v>
      </c>
      <c r="H260" s="300"/>
      <c r="I260" s="309">
        <v>69681</v>
      </c>
    </row>
    <row r="261" spans="1:9" s="56" customFormat="1" ht="17.25" x14ac:dyDescent="0.35">
      <c r="A261" s="318"/>
      <c r="B261" s="299"/>
      <c r="C261" s="299"/>
      <c r="D261" s="299" t="s">
        <v>69</v>
      </c>
      <c r="E261" s="299">
        <v>2</v>
      </c>
      <c r="F261" s="299">
        <v>25</v>
      </c>
      <c r="G261" s="299"/>
      <c r="H261" s="300"/>
      <c r="I261" s="309"/>
    </row>
    <row r="262" spans="1:9" s="56" customFormat="1" ht="17.25" x14ac:dyDescent="0.35">
      <c r="A262" s="318" t="s">
        <v>409</v>
      </c>
      <c r="B262" s="299" t="s">
        <v>408</v>
      </c>
      <c r="C262" s="299" t="s">
        <v>90</v>
      </c>
      <c r="D262" s="299"/>
      <c r="E262" s="299"/>
      <c r="F262" s="299"/>
      <c r="G262" s="299" t="s">
        <v>239</v>
      </c>
      <c r="H262" s="300"/>
      <c r="I262" s="309"/>
    </row>
    <row r="263" spans="1:9" s="56" customFormat="1" ht="17.25" x14ac:dyDescent="0.35">
      <c r="A263" s="318"/>
      <c r="B263" s="299"/>
      <c r="C263" s="299"/>
      <c r="D263" s="299" t="s">
        <v>69</v>
      </c>
      <c r="E263" s="299">
        <v>1</v>
      </c>
      <c r="F263" s="299">
        <v>1</v>
      </c>
      <c r="G263" s="299"/>
      <c r="H263" s="300"/>
      <c r="I263" s="309">
        <v>73561</v>
      </c>
    </row>
    <row r="264" spans="1:9" s="56" customFormat="1" ht="17.25" x14ac:dyDescent="0.35">
      <c r="A264" s="318" t="s">
        <v>511</v>
      </c>
      <c r="B264" s="299" t="s">
        <v>512</v>
      </c>
      <c r="C264" s="299" t="s">
        <v>71</v>
      </c>
      <c r="D264" s="299"/>
      <c r="E264" s="299"/>
      <c r="F264" s="299"/>
      <c r="G264" s="299" t="s">
        <v>239</v>
      </c>
      <c r="H264" s="300" t="s">
        <v>515</v>
      </c>
      <c r="I264" s="309">
        <v>72541</v>
      </c>
    </row>
    <row r="265" spans="1:9" s="56" customFormat="1" ht="17.25" x14ac:dyDescent="0.35">
      <c r="A265" s="318" t="s">
        <v>513</v>
      </c>
      <c r="B265" s="299" t="s">
        <v>514</v>
      </c>
      <c r="C265" s="299" t="s">
        <v>71</v>
      </c>
      <c r="D265" s="299"/>
      <c r="E265" s="299"/>
      <c r="F265" s="299"/>
      <c r="G265" s="299" t="s">
        <v>239</v>
      </c>
      <c r="H265" s="300" t="s">
        <v>516</v>
      </c>
      <c r="I265" s="309">
        <v>71524</v>
      </c>
    </row>
    <row r="266" spans="1:9" s="56" customFormat="1" ht="17.25" x14ac:dyDescent="0.35">
      <c r="A266" s="318" t="s">
        <v>551</v>
      </c>
      <c r="B266" s="299" t="s">
        <v>552</v>
      </c>
      <c r="C266" s="299" t="s">
        <v>71</v>
      </c>
      <c r="D266" s="299"/>
      <c r="E266" s="299"/>
      <c r="F266" s="299"/>
      <c r="G266" s="299" t="s">
        <v>239</v>
      </c>
      <c r="H266" s="300" t="s">
        <v>553</v>
      </c>
      <c r="I266" s="309" t="s">
        <v>554</v>
      </c>
    </row>
    <row r="267" spans="1:9" s="56" customFormat="1" ht="17.25" x14ac:dyDescent="0.35">
      <c r="A267" s="318" t="s">
        <v>1148</v>
      </c>
      <c r="B267" s="299" t="s">
        <v>1149</v>
      </c>
      <c r="C267" s="299" t="s">
        <v>90</v>
      </c>
      <c r="D267" s="299"/>
      <c r="E267" s="299"/>
      <c r="F267" s="299"/>
      <c r="G267" s="299" t="s">
        <v>239</v>
      </c>
      <c r="H267" s="300"/>
      <c r="I267" s="309">
        <v>70315</v>
      </c>
    </row>
    <row r="268" spans="1:9" s="56" customFormat="1" ht="17.25" x14ac:dyDescent="0.35">
      <c r="A268" s="318"/>
      <c r="B268" s="299"/>
      <c r="C268" s="299"/>
      <c r="D268" s="299" t="s">
        <v>69</v>
      </c>
      <c r="E268" s="299">
        <v>1</v>
      </c>
      <c r="F268" s="299">
        <v>2</v>
      </c>
      <c r="G268" s="299"/>
      <c r="H268" s="300"/>
      <c r="I268" s="309"/>
    </row>
    <row r="269" spans="1:9" s="26" customFormat="1" ht="17.25" x14ac:dyDescent="0.35">
      <c r="A269" s="318" t="s">
        <v>519</v>
      </c>
      <c r="B269" s="299" t="s">
        <v>520</v>
      </c>
      <c r="C269" s="299" t="s">
        <v>71</v>
      </c>
      <c r="D269" s="299"/>
      <c r="E269" s="299"/>
      <c r="F269" s="299"/>
      <c r="G269" s="299" t="s">
        <v>239</v>
      </c>
      <c r="H269" s="300" t="s">
        <v>1234</v>
      </c>
      <c r="I269" s="117">
        <v>73596</v>
      </c>
    </row>
    <row r="270" spans="1:9" s="56" customFormat="1" ht="17.25" x14ac:dyDescent="0.35">
      <c r="A270" s="318" t="s">
        <v>630</v>
      </c>
      <c r="B270" s="299" t="s">
        <v>631</v>
      </c>
      <c r="C270" s="299" t="s">
        <v>90</v>
      </c>
      <c r="D270" s="299"/>
      <c r="E270" s="299"/>
      <c r="F270" s="299"/>
      <c r="G270" s="299" t="s">
        <v>239</v>
      </c>
      <c r="H270" s="300"/>
      <c r="I270" s="309">
        <v>67261</v>
      </c>
    </row>
    <row r="271" spans="1:9" s="56" customFormat="1" ht="17.25" x14ac:dyDescent="0.35">
      <c r="A271" s="318"/>
      <c r="B271" s="299"/>
      <c r="C271" s="299"/>
      <c r="D271" s="299" t="s">
        <v>69</v>
      </c>
      <c r="E271" s="299">
        <v>2</v>
      </c>
      <c r="F271" s="299">
        <v>0</v>
      </c>
      <c r="G271" s="299"/>
      <c r="H271" s="300"/>
      <c r="I271" s="309" t="s">
        <v>632</v>
      </c>
    </row>
    <row r="272" spans="1:9" s="56" customFormat="1" ht="17.25" x14ac:dyDescent="0.35">
      <c r="A272" s="318"/>
      <c r="B272" s="299"/>
      <c r="C272" s="299"/>
      <c r="D272" s="299" t="s">
        <v>69</v>
      </c>
      <c r="E272" s="299">
        <v>2</v>
      </c>
      <c r="F272" s="299">
        <v>0</v>
      </c>
      <c r="G272" s="299"/>
      <c r="H272" s="300"/>
      <c r="I272" s="309" t="s">
        <v>1145</v>
      </c>
    </row>
    <row r="273" spans="1:10" s="56" customFormat="1" ht="17.25" x14ac:dyDescent="0.35">
      <c r="A273" s="318"/>
      <c r="B273" s="299"/>
      <c r="C273" s="299"/>
      <c r="D273" s="299" t="s">
        <v>69</v>
      </c>
      <c r="E273" s="299">
        <v>1</v>
      </c>
      <c r="F273" s="299">
        <v>0</v>
      </c>
      <c r="G273" s="299"/>
      <c r="H273" s="300"/>
      <c r="I273" s="309" t="s">
        <v>1146</v>
      </c>
    </row>
    <row r="274" spans="1:10" s="56" customFormat="1" ht="17.25" x14ac:dyDescent="0.35">
      <c r="A274" s="318"/>
      <c r="B274" s="299"/>
      <c r="C274" s="299"/>
      <c r="D274" s="299" t="s">
        <v>69</v>
      </c>
      <c r="E274" s="299">
        <v>1</v>
      </c>
      <c r="F274" s="299">
        <v>1</v>
      </c>
      <c r="G274" s="299"/>
      <c r="H274" s="300"/>
      <c r="I274" s="309" t="s">
        <v>635</v>
      </c>
    </row>
    <row r="275" spans="1:10" s="56" customFormat="1" ht="17.25" x14ac:dyDescent="0.35">
      <c r="A275" s="318"/>
      <c r="B275" s="299"/>
      <c r="C275" s="299"/>
      <c r="D275" s="299" t="s">
        <v>69</v>
      </c>
      <c r="E275" s="299">
        <v>2</v>
      </c>
      <c r="F275" s="299">
        <v>0</v>
      </c>
      <c r="G275" s="299"/>
      <c r="H275" s="300"/>
      <c r="I275" s="309" t="s">
        <v>636</v>
      </c>
    </row>
    <row r="276" spans="1:10" s="56" customFormat="1" ht="17.25" x14ac:dyDescent="0.35">
      <c r="A276" s="318"/>
      <c r="B276" s="299"/>
      <c r="C276" s="299"/>
      <c r="D276" s="299" t="s">
        <v>69</v>
      </c>
      <c r="E276" s="299">
        <v>1</v>
      </c>
      <c r="F276" s="299">
        <v>0</v>
      </c>
      <c r="G276" s="299"/>
      <c r="H276" s="300"/>
      <c r="I276" s="309" t="s">
        <v>638</v>
      </c>
    </row>
    <row r="277" spans="1:10" s="56" customFormat="1" ht="17.25" x14ac:dyDescent="0.35">
      <c r="A277" s="318"/>
      <c r="B277" s="299"/>
      <c r="C277" s="299"/>
      <c r="D277" s="299" t="s">
        <v>69</v>
      </c>
      <c r="E277" s="299">
        <v>4</v>
      </c>
      <c r="F277" s="299">
        <v>0</v>
      </c>
      <c r="G277" s="299"/>
      <c r="H277" s="300"/>
      <c r="I277" s="309" t="s">
        <v>637</v>
      </c>
    </row>
    <row r="278" spans="1:10" s="56" customFormat="1" ht="17.25" x14ac:dyDescent="0.35">
      <c r="A278" s="318"/>
      <c r="B278" s="299"/>
      <c r="C278" s="299"/>
      <c r="D278" s="299" t="s">
        <v>69</v>
      </c>
      <c r="E278" s="299">
        <v>1</v>
      </c>
      <c r="F278" s="299">
        <v>4</v>
      </c>
      <c r="G278" s="299"/>
      <c r="H278" s="300"/>
      <c r="I278" s="309" t="s">
        <v>639</v>
      </c>
    </row>
    <row r="279" spans="1:10" s="56" customFormat="1" ht="17.25" x14ac:dyDescent="0.35">
      <c r="A279" s="318" t="s">
        <v>1208</v>
      </c>
      <c r="B279" s="299" t="s">
        <v>1209</v>
      </c>
      <c r="C279" s="299" t="s">
        <v>90</v>
      </c>
      <c r="D279" s="299"/>
      <c r="E279" s="299"/>
      <c r="F279" s="299"/>
      <c r="G279" s="299" t="s">
        <v>239</v>
      </c>
      <c r="H279" s="300"/>
      <c r="I279" s="309">
        <v>73825</v>
      </c>
    </row>
    <row r="280" spans="1:10" s="56" customFormat="1" ht="17.25" x14ac:dyDescent="0.35">
      <c r="A280" s="318"/>
      <c r="B280" s="299"/>
      <c r="C280" s="299"/>
      <c r="D280" s="299" t="s">
        <v>69</v>
      </c>
      <c r="E280" s="299">
        <v>1</v>
      </c>
      <c r="F280" s="299">
        <v>1</v>
      </c>
      <c r="G280" s="299"/>
      <c r="H280" s="300"/>
      <c r="I280" s="309"/>
    </row>
    <row r="281" spans="1:10" s="56" customFormat="1" ht="17.25" x14ac:dyDescent="0.35">
      <c r="A281" s="318"/>
      <c r="B281" s="299"/>
      <c r="C281" s="299"/>
      <c r="D281" s="299"/>
      <c r="E281" s="299"/>
      <c r="F281" s="299"/>
      <c r="G281" s="299"/>
      <c r="H281" s="300"/>
      <c r="I281" s="309"/>
    </row>
    <row r="282" spans="1:10" x14ac:dyDescent="0.2">
      <c r="A282"/>
      <c r="B282"/>
      <c r="C282"/>
      <c r="D282"/>
      <c r="E282"/>
      <c r="F282"/>
      <c r="G282"/>
      <c r="H282"/>
      <c r="I282"/>
      <c r="J282" s="26"/>
    </row>
    <row r="283" spans="1:10" ht="13.5" thickBot="1" x14ac:dyDescent="0.25">
      <c r="A283"/>
      <c r="B283"/>
      <c r="C283"/>
      <c r="D283"/>
      <c r="E283"/>
      <c r="F283"/>
      <c r="G283"/>
      <c r="H283"/>
      <c r="I283"/>
      <c r="J283" s="26"/>
    </row>
    <row r="284" spans="1:10" ht="19.5" x14ac:dyDescent="0.4">
      <c r="A284" s="524" t="s">
        <v>95</v>
      </c>
      <c r="B284" s="525"/>
      <c r="C284" s="525"/>
      <c r="D284" s="525"/>
      <c r="E284" s="525"/>
      <c r="F284" s="525"/>
      <c r="G284" s="525"/>
      <c r="H284" s="526"/>
      <c r="I284" s="17"/>
      <c r="J284" s="26"/>
    </row>
    <row r="285" spans="1:10" ht="17.25" x14ac:dyDescent="0.35">
      <c r="A285" s="98" t="s">
        <v>112</v>
      </c>
      <c r="B285" s="98"/>
      <c r="C285" s="118" t="s">
        <v>67</v>
      </c>
      <c r="D285" s="98" t="s">
        <v>113</v>
      </c>
      <c r="E285" s="98" t="s">
        <v>114</v>
      </c>
      <c r="F285" s="118" t="s">
        <v>115</v>
      </c>
      <c r="G285" s="98" t="s">
        <v>74</v>
      </c>
      <c r="H285" s="99"/>
      <c r="I285" s="26"/>
      <c r="J285" s="26"/>
    </row>
    <row r="286" spans="1:10" ht="17.25" x14ac:dyDescent="0.35">
      <c r="A286" s="98" t="s">
        <v>111</v>
      </c>
      <c r="B286" s="98"/>
      <c r="C286" s="95" t="s">
        <v>96</v>
      </c>
      <c r="D286" s="96"/>
      <c r="E286" s="96"/>
      <c r="F286" s="95"/>
      <c r="G286" s="96" t="s">
        <v>46</v>
      </c>
      <c r="H286" s="99"/>
      <c r="I286" s="26"/>
      <c r="J286" s="26"/>
    </row>
    <row r="287" spans="1:10" ht="17.25" x14ac:dyDescent="0.35">
      <c r="A287" s="98" t="s">
        <v>97</v>
      </c>
      <c r="B287" s="98"/>
      <c r="C287" s="95"/>
      <c r="D287" s="96" t="s">
        <v>69</v>
      </c>
      <c r="E287" s="96">
        <v>1</v>
      </c>
      <c r="F287" s="95">
        <v>0</v>
      </c>
      <c r="G287" s="96"/>
      <c r="H287" s="99"/>
      <c r="I287" s="26"/>
      <c r="J287" s="26"/>
    </row>
    <row r="288" spans="1:10" ht="17.25" x14ac:dyDescent="0.35">
      <c r="A288" s="98" t="s">
        <v>98</v>
      </c>
      <c r="B288" s="98"/>
      <c r="C288" s="95"/>
      <c r="D288" s="96" t="s">
        <v>69</v>
      </c>
      <c r="E288" s="96">
        <v>2</v>
      </c>
      <c r="F288" s="95">
        <v>2</v>
      </c>
      <c r="G288" s="96"/>
      <c r="H288" s="99"/>
      <c r="I288" s="26"/>
      <c r="J288" s="26"/>
    </row>
    <row r="289" spans="1:10" ht="17.25" x14ac:dyDescent="0.35">
      <c r="A289" s="98" t="s">
        <v>99</v>
      </c>
      <c r="B289" s="98"/>
      <c r="C289" s="95"/>
      <c r="D289" s="96" t="s">
        <v>69</v>
      </c>
      <c r="E289" s="96">
        <v>2</v>
      </c>
      <c r="F289" s="95" t="s">
        <v>116</v>
      </c>
      <c r="G289" s="96"/>
      <c r="H289" s="99"/>
      <c r="I289" s="26"/>
      <c r="J289" s="26"/>
    </row>
    <row r="290" spans="1:10" ht="17.25" x14ac:dyDescent="0.35">
      <c r="A290" s="98" t="s">
        <v>100</v>
      </c>
      <c r="B290" s="98"/>
      <c r="C290" s="95"/>
      <c r="D290" s="96" t="s">
        <v>69</v>
      </c>
      <c r="E290" s="96">
        <v>1</v>
      </c>
      <c r="F290" s="95" t="s">
        <v>4</v>
      </c>
      <c r="G290" s="96"/>
      <c r="H290" s="99"/>
      <c r="I290" s="26"/>
      <c r="J290" s="26"/>
    </row>
    <row r="291" spans="1:10" ht="17.25" x14ac:dyDescent="0.35">
      <c r="A291" s="98" t="s">
        <v>101</v>
      </c>
      <c r="B291" s="98"/>
      <c r="C291" s="95"/>
      <c r="D291" s="96" t="s">
        <v>69</v>
      </c>
      <c r="E291" s="96">
        <v>2</v>
      </c>
      <c r="F291" s="95">
        <v>4</v>
      </c>
      <c r="G291" s="96"/>
      <c r="H291" s="99"/>
      <c r="I291" s="26"/>
      <c r="J291" s="26"/>
    </row>
    <row r="292" spans="1:10" ht="17.25" x14ac:dyDescent="0.35">
      <c r="A292" s="51" t="s">
        <v>102</v>
      </c>
      <c r="B292" s="51"/>
      <c r="C292" s="21"/>
      <c r="D292" s="14" t="s">
        <v>69</v>
      </c>
      <c r="E292" s="14">
        <v>4</v>
      </c>
      <c r="F292" s="21" t="s">
        <v>1631</v>
      </c>
      <c r="G292" s="14"/>
      <c r="H292" s="52"/>
      <c r="I292" s="26"/>
      <c r="J292" s="26"/>
    </row>
    <row r="293" spans="1:10" ht="17.25" x14ac:dyDescent="0.35">
      <c r="A293" s="98" t="s">
        <v>103</v>
      </c>
      <c r="B293" s="98"/>
      <c r="C293" s="95"/>
      <c r="D293" s="96" t="s">
        <v>69</v>
      </c>
      <c r="E293" s="96">
        <v>1</v>
      </c>
      <c r="F293" s="95" t="s">
        <v>5</v>
      </c>
      <c r="G293" s="96"/>
      <c r="H293" s="99"/>
      <c r="I293" s="26"/>
      <c r="J293" s="26"/>
    </row>
    <row r="294" spans="1:10" ht="17.25" x14ac:dyDescent="0.35">
      <c r="A294" s="98" t="s">
        <v>104</v>
      </c>
      <c r="B294" s="98"/>
      <c r="C294" s="95"/>
      <c r="D294" s="96" t="s">
        <v>69</v>
      </c>
      <c r="E294" s="96">
        <v>2</v>
      </c>
      <c r="F294" s="95">
        <f>LEN(F295)</f>
        <v>21</v>
      </c>
      <c r="G294" s="96"/>
      <c r="H294" s="99"/>
      <c r="I294" s="26"/>
      <c r="J294" s="26"/>
    </row>
    <row r="295" spans="1:10" ht="17.25" x14ac:dyDescent="0.35">
      <c r="A295" s="98" t="s">
        <v>105</v>
      </c>
      <c r="B295" s="98"/>
      <c r="C295" s="95"/>
      <c r="D295" s="96" t="s">
        <v>70</v>
      </c>
      <c r="E295" s="96">
        <f>F294</f>
        <v>21</v>
      </c>
      <c r="F295" s="95" t="s">
        <v>536</v>
      </c>
      <c r="G295" s="96"/>
      <c r="H295" s="99" t="s">
        <v>127</v>
      </c>
      <c r="I295" s="26"/>
      <c r="J295" s="26"/>
    </row>
    <row r="296" spans="1:10" ht="17.25" x14ac:dyDescent="0.35">
      <c r="A296" s="98" t="s">
        <v>106</v>
      </c>
      <c r="B296" s="98"/>
      <c r="C296" s="95"/>
      <c r="D296" s="96" t="s">
        <v>69</v>
      </c>
      <c r="E296" s="96">
        <v>1</v>
      </c>
      <c r="F296" s="95" t="s">
        <v>117</v>
      </c>
      <c r="G296" s="96"/>
      <c r="H296" s="99"/>
      <c r="I296" s="26"/>
      <c r="J296" s="26"/>
    </row>
    <row r="297" spans="1:10" ht="17.25" x14ac:dyDescent="0.35">
      <c r="A297" s="98" t="s">
        <v>107</v>
      </c>
      <c r="B297" s="98"/>
      <c r="C297" s="95"/>
      <c r="D297" s="96" t="s">
        <v>69</v>
      </c>
      <c r="E297" s="96">
        <v>2</v>
      </c>
      <c r="F297" s="95">
        <f>SUM(E298:E299)+E300*F299</f>
        <v>18</v>
      </c>
      <c r="G297" s="96"/>
      <c r="H297" s="99"/>
      <c r="I297" s="26"/>
      <c r="J297" s="26"/>
    </row>
    <row r="298" spans="1:10" ht="17.25" x14ac:dyDescent="0.35">
      <c r="A298" s="98" t="s">
        <v>108</v>
      </c>
      <c r="B298" s="98"/>
      <c r="C298" s="95"/>
      <c r="D298" s="96" t="s">
        <v>69</v>
      </c>
      <c r="E298" s="96">
        <v>1</v>
      </c>
      <c r="F298" s="95">
        <v>0</v>
      </c>
      <c r="G298" s="96"/>
      <c r="H298" s="99"/>
      <c r="I298" s="26"/>
      <c r="J298" s="26"/>
    </row>
    <row r="299" spans="1:10" ht="17.25" x14ac:dyDescent="0.35">
      <c r="A299" s="98" t="s">
        <v>109</v>
      </c>
      <c r="B299" s="98"/>
      <c r="C299" s="95"/>
      <c r="D299" s="96" t="s">
        <v>69</v>
      </c>
      <c r="E299" s="96">
        <v>1</v>
      </c>
      <c r="F299" s="95">
        <f>LEN(F300)-LEN(SUBSTITUTE(F300,",","")) +1</f>
        <v>4</v>
      </c>
      <c r="G299" s="96"/>
      <c r="H299" s="99"/>
      <c r="I299" s="26"/>
    </row>
    <row r="300" spans="1:10" ht="17.25" x14ac:dyDescent="0.35">
      <c r="A300" s="98" t="s">
        <v>110</v>
      </c>
      <c r="B300" s="98"/>
      <c r="C300" s="95"/>
      <c r="D300" s="96" t="s">
        <v>77</v>
      </c>
      <c r="E300" s="96">
        <v>4</v>
      </c>
      <c r="F300" s="95" t="s">
        <v>1176</v>
      </c>
      <c r="G300" s="96"/>
      <c r="H300" s="99"/>
      <c r="I300" s="26"/>
    </row>
    <row r="301" spans="1:10" ht="17.25" x14ac:dyDescent="0.35">
      <c r="A301" s="98" t="s">
        <v>454</v>
      </c>
      <c r="B301" s="98"/>
      <c r="C301" s="95"/>
      <c r="D301" s="96" t="s">
        <v>69</v>
      </c>
      <c r="E301" s="96">
        <v>1</v>
      </c>
      <c r="F301" s="95" t="s">
        <v>404</v>
      </c>
      <c r="G301" s="96"/>
      <c r="H301" s="99"/>
      <c r="I301" s="26"/>
    </row>
    <row r="302" spans="1:10" ht="17.25" x14ac:dyDescent="0.35">
      <c r="A302" s="98" t="s">
        <v>455</v>
      </c>
      <c r="B302" s="98"/>
      <c r="C302" s="95"/>
      <c r="D302" s="96" t="s">
        <v>69</v>
      </c>
      <c r="E302" s="96">
        <v>2</v>
      </c>
      <c r="F302" s="95">
        <v>4</v>
      </c>
      <c r="G302" s="96"/>
      <c r="H302" s="99"/>
      <c r="I302" s="26"/>
    </row>
    <row r="303" spans="1:10" ht="17.25" x14ac:dyDescent="0.35">
      <c r="A303" s="51" t="s">
        <v>456</v>
      </c>
      <c r="B303" s="51"/>
      <c r="C303" s="21"/>
      <c r="D303" s="14" t="s">
        <v>69</v>
      </c>
      <c r="E303" s="14">
        <v>4</v>
      </c>
      <c r="F303" s="287" t="str">
        <f>$F$292</f>
        <v>0x05011318</v>
      </c>
      <c r="G303" s="14"/>
      <c r="H303" s="52"/>
      <c r="I303" s="26"/>
    </row>
    <row r="304" spans="1:10" ht="17.25" x14ac:dyDescent="0.35">
      <c r="A304" s="98" t="s">
        <v>558</v>
      </c>
      <c r="B304" s="98"/>
      <c r="C304" s="95"/>
      <c r="D304" s="96" t="s">
        <v>69</v>
      </c>
      <c r="E304" s="96">
        <v>1</v>
      </c>
      <c r="F304" s="95" t="s">
        <v>559</v>
      </c>
      <c r="G304" s="96"/>
      <c r="H304" s="99"/>
      <c r="I304" s="26"/>
    </row>
    <row r="305" spans="1:9" ht="17.25" x14ac:dyDescent="0.35">
      <c r="A305" s="98" t="s">
        <v>560</v>
      </c>
      <c r="B305" s="98"/>
      <c r="C305" s="95"/>
      <c r="D305" s="96" t="s">
        <v>69</v>
      </c>
      <c r="E305" s="96">
        <v>2</v>
      </c>
      <c r="F305" s="95">
        <f>2+F307*E308*2</f>
        <v>30</v>
      </c>
      <c r="G305" s="96"/>
      <c r="H305" s="99"/>
      <c r="I305" s="26"/>
    </row>
    <row r="306" spans="1:9" ht="17.25" x14ac:dyDescent="0.35">
      <c r="A306" s="98" t="s">
        <v>561</v>
      </c>
      <c r="B306" s="98"/>
      <c r="C306" s="95"/>
      <c r="D306" s="96" t="s">
        <v>69</v>
      </c>
      <c r="E306" s="96">
        <v>1</v>
      </c>
      <c r="F306" s="95">
        <v>0</v>
      </c>
      <c r="G306" s="96"/>
      <c r="H306" s="99" t="s">
        <v>562</v>
      </c>
      <c r="I306" s="26"/>
    </row>
    <row r="307" spans="1:9" ht="17.25" x14ac:dyDescent="0.35">
      <c r="A307" s="98" t="s">
        <v>563</v>
      </c>
      <c r="B307" s="98"/>
      <c r="C307" s="95"/>
      <c r="D307" s="96" t="s">
        <v>69</v>
      </c>
      <c r="E307" s="96">
        <v>1</v>
      </c>
      <c r="F307" s="95">
        <f>SUM(LEN(F308)-LEN(SUBSTITUTE(F308,"-","")))</f>
        <v>7</v>
      </c>
      <c r="G307" s="96"/>
      <c r="H307" s="99" t="s">
        <v>564</v>
      </c>
      <c r="I307" s="26"/>
    </row>
    <row r="308" spans="1:9" ht="17.25" x14ac:dyDescent="0.35">
      <c r="A308" s="98" t="s">
        <v>565</v>
      </c>
      <c r="B308" s="98"/>
      <c r="C308" s="95"/>
      <c r="D308" s="96" t="s">
        <v>77</v>
      </c>
      <c r="E308" s="96">
        <v>2</v>
      </c>
      <c r="F308" s="95" t="s">
        <v>1212</v>
      </c>
      <c r="G308" s="96"/>
      <c r="H308" s="99"/>
      <c r="I308" s="26"/>
    </row>
    <row r="309" spans="1:9" ht="17.25" x14ac:dyDescent="0.35">
      <c r="A309" s="351" t="s">
        <v>1189</v>
      </c>
      <c r="B309" s="351"/>
      <c r="C309" s="352"/>
      <c r="D309" s="353" t="s">
        <v>69</v>
      </c>
      <c r="E309" s="353">
        <v>1</v>
      </c>
      <c r="F309" s="354" t="s">
        <v>1190</v>
      </c>
      <c r="G309" s="353"/>
      <c r="H309" s="355"/>
    </row>
    <row r="310" spans="1:9" ht="17.25" x14ac:dyDescent="0.35">
      <c r="A310" s="351" t="s">
        <v>1191</v>
      </c>
      <c r="B310" s="351"/>
      <c r="C310" s="352"/>
      <c r="D310" s="353" t="s">
        <v>69</v>
      </c>
      <c r="E310" s="353">
        <v>2</v>
      </c>
      <c r="F310" s="356">
        <v>4</v>
      </c>
      <c r="G310" s="353"/>
      <c r="H310" s="355"/>
    </row>
    <row r="311" spans="1:9" ht="138" x14ac:dyDescent="0.35">
      <c r="A311" s="351" t="s">
        <v>1192</v>
      </c>
      <c r="B311" s="351"/>
      <c r="C311" s="352"/>
      <c r="D311" s="353" t="s">
        <v>69</v>
      </c>
      <c r="E311" s="353">
        <v>4</v>
      </c>
      <c r="F311" s="353" t="s">
        <v>1193</v>
      </c>
      <c r="G311" s="353"/>
      <c r="H311" s="355" t="s">
        <v>1194</v>
      </c>
    </row>
  </sheetData>
  <mergeCells count="2">
    <mergeCell ref="A4:H4"/>
    <mergeCell ref="A284:H284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810"/>
  <sheetViews>
    <sheetView topLeftCell="C770" zoomScale="70" zoomScaleNormal="70" workbookViewId="0">
      <selection activeCell="F791" sqref="F791"/>
    </sheetView>
  </sheetViews>
  <sheetFormatPr defaultColWidth="9.140625" defaultRowHeight="12.75" x14ac:dyDescent="0.2"/>
  <cols>
    <col min="1" max="1" width="38.5703125" style="31" customWidth="1"/>
    <col min="2" max="2" width="78.7109375" style="31" bestFit="1" customWidth="1"/>
    <col min="3" max="3" width="13.42578125" style="31" bestFit="1" customWidth="1"/>
    <col min="4" max="4" width="12.85546875" style="31" bestFit="1" customWidth="1"/>
    <col min="5" max="5" width="44.85546875" style="31" bestFit="1" customWidth="1"/>
    <col min="6" max="6" width="56.140625" style="31" customWidth="1"/>
    <col min="7" max="7" width="15.85546875" style="31" bestFit="1" customWidth="1"/>
    <col min="8" max="8" width="87.5703125" style="31" customWidth="1"/>
    <col min="9" max="9" width="62.7109375" style="31" customWidth="1"/>
    <col min="10" max="10" width="13" style="31" customWidth="1"/>
    <col min="11" max="11" width="72.42578125" style="31" bestFit="1" customWidth="1"/>
    <col min="12" max="12" width="38.42578125" style="31" bestFit="1" customWidth="1"/>
    <col min="13" max="16384" width="9.140625" style="31"/>
  </cols>
  <sheetData>
    <row r="1" spans="1:14" s="26" customFormat="1" x14ac:dyDescent="0.2"/>
    <row r="2" spans="1:14" s="34" customFormat="1" ht="45" customHeight="1" x14ac:dyDescent="0.55000000000000004">
      <c r="A2" s="39" t="s">
        <v>341</v>
      </c>
      <c r="B2" s="39"/>
      <c r="C2" s="39"/>
      <c r="D2" s="39"/>
      <c r="E2" s="39"/>
      <c r="F2" s="39"/>
      <c r="G2" s="39"/>
      <c r="H2" s="39"/>
    </row>
    <row r="3" spans="1:14" s="26" customFormat="1" ht="13.5" thickBot="1" x14ac:dyDescent="0.25">
      <c r="B3" s="13"/>
    </row>
    <row r="4" spans="1:14" s="40" customFormat="1" ht="20.25" thickBot="1" x14ac:dyDescent="0.45">
      <c r="A4" s="515" t="s">
        <v>237</v>
      </c>
      <c r="B4" s="516"/>
      <c r="C4" s="516"/>
      <c r="D4" s="516"/>
      <c r="E4" s="516"/>
      <c r="F4" s="516"/>
      <c r="G4" s="516"/>
      <c r="H4" s="517"/>
    </row>
    <row r="5" spans="1:14" s="26" customFormat="1" ht="20.25" thickBot="1" x14ac:dyDescent="0.45">
      <c r="A5" s="41" t="s">
        <v>9</v>
      </c>
      <c r="B5" s="35" t="s">
        <v>8</v>
      </c>
      <c r="C5" s="36" t="s">
        <v>146</v>
      </c>
      <c r="D5" s="37" t="s">
        <v>147</v>
      </c>
      <c r="E5" s="36" t="s">
        <v>10</v>
      </c>
      <c r="F5" s="36" t="s">
        <v>68</v>
      </c>
      <c r="G5" s="36" t="s">
        <v>148</v>
      </c>
      <c r="H5" s="38" t="s">
        <v>11</v>
      </c>
      <c r="I5" s="33"/>
    </row>
    <row r="6" spans="1:14" s="26" customFormat="1" ht="17.25" x14ac:dyDescent="0.35">
      <c r="A6" s="192" t="s">
        <v>12</v>
      </c>
      <c r="B6" s="179">
        <v>5</v>
      </c>
      <c r="C6" s="179" t="s">
        <v>69</v>
      </c>
      <c r="D6" s="179">
        <v>1</v>
      </c>
      <c r="E6" s="191" t="s">
        <v>14</v>
      </c>
      <c r="F6" s="179">
        <v>1</v>
      </c>
      <c r="G6" s="179" t="s">
        <v>79</v>
      </c>
      <c r="H6" s="180"/>
      <c r="N6" s="55"/>
    </row>
    <row r="7" spans="1:14" s="26" customFormat="1" ht="17.25" x14ac:dyDescent="0.35">
      <c r="A7" s="193" t="s">
        <v>13</v>
      </c>
      <c r="B7" s="136">
        <v>6</v>
      </c>
      <c r="C7" s="136" t="s">
        <v>69</v>
      </c>
      <c r="D7" s="136">
        <v>1</v>
      </c>
      <c r="E7" s="85" t="s">
        <v>15</v>
      </c>
      <c r="F7" s="136">
        <v>6</v>
      </c>
      <c r="G7" s="136" t="s">
        <v>79</v>
      </c>
      <c r="H7" s="181" t="s">
        <v>7</v>
      </c>
      <c r="N7" s="55"/>
    </row>
    <row r="8" spans="1:14" s="26" customFormat="1" ht="17.25" x14ac:dyDescent="0.35">
      <c r="A8" s="193" t="s">
        <v>39</v>
      </c>
      <c r="B8" s="136">
        <v>71</v>
      </c>
      <c r="C8" s="136"/>
      <c r="D8" s="136"/>
      <c r="E8" s="85" t="s">
        <v>40</v>
      </c>
      <c r="F8" s="136"/>
      <c r="G8" s="136" t="s">
        <v>239</v>
      </c>
      <c r="H8" s="181" t="s">
        <v>7</v>
      </c>
      <c r="I8" s="42"/>
    </row>
    <row r="9" spans="1:14" s="26" customFormat="1" ht="86.25" x14ac:dyDescent="0.35">
      <c r="A9" s="193"/>
      <c r="B9" s="136"/>
      <c r="C9" s="136" t="s">
        <v>70</v>
      </c>
      <c r="D9" s="136">
        <v>13</v>
      </c>
      <c r="E9" s="85" t="s">
        <v>41</v>
      </c>
      <c r="F9" s="136" t="s">
        <v>619</v>
      </c>
      <c r="G9" s="136"/>
      <c r="H9" s="182" t="s">
        <v>312</v>
      </c>
      <c r="I9" s="42"/>
    </row>
    <row r="10" spans="1:14" s="26" customFormat="1" ht="17.25" x14ac:dyDescent="0.35">
      <c r="A10" s="193" t="s">
        <v>149</v>
      </c>
      <c r="B10" s="136">
        <v>400</v>
      </c>
      <c r="C10" s="136" t="s">
        <v>69</v>
      </c>
      <c r="D10" s="136">
        <v>1</v>
      </c>
      <c r="E10" s="85" t="s">
        <v>150</v>
      </c>
      <c r="F10" s="136">
        <v>0</v>
      </c>
      <c r="G10" s="136" t="s">
        <v>239</v>
      </c>
      <c r="H10" s="181" t="s">
        <v>151</v>
      </c>
    </row>
    <row r="11" spans="1:14" s="26" customFormat="1" ht="17.25" x14ac:dyDescent="0.35">
      <c r="A11" s="193" t="s">
        <v>28</v>
      </c>
      <c r="B11" s="136">
        <v>405</v>
      </c>
      <c r="C11" s="136"/>
      <c r="D11" s="136"/>
      <c r="E11" s="85" t="s">
        <v>29</v>
      </c>
      <c r="F11" s="136"/>
      <c r="G11" s="136" t="s">
        <v>79</v>
      </c>
      <c r="H11" s="181"/>
    </row>
    <row r="12" spans="1:14" s="26" customFormat="1" ht="17.25" x14ac:dyDescent="0.35">
      <c r="A12" s="193"/>
      <c r="B12" s="136"/>
      <c r="C12" s="136" t="s">
        <v>69</v>
      </c>
      <c r="D12" s="136">
        <v>2</v>
      </c>
      <c r="E12" s="85" t="s">
        <v>30</v>
      </c>
      <c r="F12" s="136">
        <v>3</v>
      </c>
      <c r="G12" s="136"/>
      <c r="H12" s="181" t="s">
        <v>31</v>
      </c>
    </row>
    <row r="13" spans="1:14" s="26" customFormat="1" ht="17.25" x14ac:dyDescent="0.35">
      <c r="A13" s="193" t="s">
        <v>32</v>
      </c>
      <c r="B13" s="136">
        <v>818</v>
      </c>
      <c r="C13" s="136" t="s">
        <v>69</v>
      </c>
      <c r="D13" s="136">
        <v>1</v>
      </c>
      <c r="E13" s="85" t="s">
        <v>33</v>
      </c>
      <c r="F13" s="136" t="s">
        <v>445</v>
      </c>
      <c r="G13" s="136" t="s">
        <v>79</v>
      </c>
      <c r="H13" s="181" t="s">
        <v>314</v>
      </c>
    </row>
    <row r="14" spans="1:14" s="26" customFormat="1" ht="17.25" x14ac:dyDescent="0.35">
      <c r="A14" s="193" t="s">
        <v>81</v>
      </c>
      <c r="B14" s="136">
        <v>880</v>
      </c>
      <c r="C14" s="136" t="s">
        <v>69</v>
      </c>
      <c r="D14" s="136">
        <v>1</v>
      </c>
      <c r="E14" s="85"/>
      <c r="F14" s="136">
        <v>1</v>
      </c>
      <c r="G14" s="136" t="s">
        <v>239</v>
      </c>
      <c r="H14" s="181"/>
    </row>
    <row r="15" spans="1:14" s="26" customFormat="1" ht="17.25" x14ac:dyDescent="0.35">
      <c r="A15" s="193" t="s">
        <v>82</v>
      </c>
      <c r="B15" s="136">
        <v>881</v>
      </c>
      <c r="C15" s="136" t="s">
        <v>69</v>
      </c>
      <c r="D15" s="136">
        <v>1</v>
      </c>
      <c r="E15" s="85"/>
      <c r="F15" s="136">
        <v>1</v>
      </c>
      <c r="G15" s="136" t="s">
        <v>239</v>
      </c>
      <c r="H15" s="181"/>
    </row>
    <row r="16" spans="1:14" s="26" customFormat="1" ht="17.25" x14ac:dyDescent="0.35">
      <c r="A16" s="193" t="s">
        <v>83</v>
      </c>
      <c r="B16" s="136">
        <v>882</v>
      </c>
      <c r="C16" s="136" t="s">
        <v>69</v>
      </c>
      <c r="D16" s="136">
        <v>1</v>
      </c>
      <c r="E16" s="85"/>
      <c r="F16" s="136">
        <v>0</v>
      </c>
      <c r="G16" s="136" t="s">
        <v>239</v>
      </c>
      <c r="H16" s="181"/>
      <c r="I16" s="42"/>
    </row>
    <row r="17" spans="1:9" s="56" customFormat="1" ht="17.25" x14ac:dyDescent="0.35">
      <c r="A17" s="193" t="s">
        <v>365</v>
      </c>
      <c r="B17" s="136">
        <v>906</v>
      </c>
      <c r="C17" s="136"/>
      <c r="D17" s="136"/>
      <c r="E17" s="85" t="s">
        <v>366</v>
      </c>
      <c r="F17" s="136"/>
      <c r="G17" s="136" t="s">
        <v>239</v>
      </c>
      <c r="H17" s="181"/>
      <c r="I17" s="137"/>
    </row>
    <row r="18" spans="1:9" s="56" customFormat="1" ht="17.25" x14ac:dyDescent="0.35">
      <c r="A18" s="193"/>
      <c r="B18" s="136"/>
      <c r="C18" s="136" t="s">
        <v>69</v>
      </c>
      <c r="D18" s="136">
        <v>1</v>
      </c>
      <c r="E18" s="85" t="s">
        <v>367</v>
      </c>
      <c r="F18" s="136">
        <v>9</v>
      </c>
      <c r="G18" s="136"/>
      <c r="H18" s="181"/>
      <c r="I18" s="137"/>
    </row>
    <row r="19" spans="1:9" s="56" customFormat="1" ht="17.25" x14ac:dyDescent="0.35">
      <c r="A19" s="193"/>
      <c r="B19" s="136"/>
      <c r="C19" s="136" t="s">
        <v>70</v>
      </c>
      <c r="D19" s="136">
        <v>127</v>
      </c>
      <c r="E19" s="85" t="s">
        <v>370</v>
      </c>
      <c r="F19" s="136" t="s">
        <v>368</v>
      </c>
      <c r="G19" s="136"/>
      <c r="H19" s="181"/>
      <c r="I19" s="137"/>
    </row>
    <row r="20" spans="1:9" s="56" customFormat="1" ht="17.25" x14ac:dyDescent="0.35">
      <c r="A20" s="193" t="s">
        <v>369</v>
      </c>
      <c r="B20" s="136">
        <v>910</v>
      </c>
      <c r="C20" s="136"/>
      <c r="D20" s="136"/>
      <c r="E20" s="85" t="s">
        <v>371</v>
      </c>
      <c r="F20" s="136"/>
      <c r="G20" s="136" t="s">
        <v>239</v>
      </c>
      <c r="H20" s="181"/>
      <c r="I20" s="137"/>
    </row>
    <row r="21" spans="1:9" s="56" customFormat="1" ht="17.25" x14ac:dyDescent="0.35">
      <c r="A21" s="193"/>
      <c r="B21" s="136"/>
      <c r="C21" s="136" t="s">
        <v>69</v>
      </c>
      <c r="D21" s="136">
        <v>1</v>
      </c>
      <c r="E21" s="85" t="s">
        <v>372</v>
      </c>
      <c r="F21" s="136">
        <f>LEN(F22)</f>
        <v>15</v>
      </c>
      <c r="G21" s="136"/>
      <c r="H21" s="181"/>
      <c r="I21" s="137"/>
    </row>
    <row r="22" spans="1:9" s="56" customFormat="1" ht="17.25" x14ac:dyDescent="0.35">
      <c r="A22" s="193"/>
      <c r="B22" s="136"/>
      <c r="C22" s="136" t="s">
        <v>70</v>
      </c>
      <c r="D22" s="136">
        <v>127</v>
      </c>
      <c r="E22" s="85" t="s">
        <v>373</v>
      </c>
      <c r="F22" s="144" t="s">
        <v>374</v>
      </c>
      <c r="G22" s="136"/>
      <c r="H22" s="181"/>
      <c r="I22" s="137"/>
    </row>
    <row r="23" spans="1:9" s="56" customFormat="1" ht="17.25" x14ac:dyDescent="0.35">
      <c r="A23" s="193" t="s">
        <v>17</v>
      </c>
      <c r="B23" s="136">
        <v>928</v>
      </c>
      <c r="C23" s="136" t="s">
        <v>69</v>
      </c>
      <c r="D23" s="136">
        <v>2</v>
      </c>
      <c r="E23" s="85" t="s">
        <v>18</v>
      </c>
      <c r="F23" s="136">
        <v>0</v>
      </c>
      <c r="G23" s="136" t="s">
        <v>79</v>
      </c>
      <c r="H23" s="181"/>
      <c r="I23" s="137"/>
    </row>
    <row r="24" spans="1:9" s="56" customFormat="1" ht="17.25" x14ac:dyDescent="0.35">
      <c r="A24" s="193" t="s">
        <v>19</v>
      </c>
      <c r="B24" s="136">
        <v>929</v>
      </c>
      <c r="C24" s="136" t="s">
        <v>69</v>
      </c>
      <c r="D24" s="136">
        <v>2</v>
      </c>
      <c r="E24" s="85" t="s">
        <v>20</v>
      </c>
      <c r="F24" s="136" t="s">
        <v>21</v>
      </c>
      <c r="G24" s="136" t="s">
        <v>79</v>
      </c>
      <c r="H24" s="181" t="s">
        <v>22</v>
      </c>
      <c r="I24" s="137"/>
    </row>
    <row r="25" spans="1:9" s="56" customFormat="1" ht="51.75" x14ac:dyDescent="0.35">
      <c r="A25" s="193" t="s">
        <v>34</v>
      </c>
      <c r="B25" s="136">
        <v>1018</v>
      </c>
      <c r="C25" s="136" t="s">
        <v>69</v>
      </c>
      <c r="D25" s="136">
        <v>2</v>
      </c>
      <c r="E25" s="85" t="s">
        <v>35</v>
      </c>
      <c r="F25" s="136" t="s">
        <v>444</v>
      </c>
      <c r="G25" s="136" t="s">
        <v>79</v>
      </c>
      <c r="H25" s="181" t="s">
        <v>152</v>
      </c>
      <c r="I25" s="137"/>
    </row>
    <row r="26" spans="1:9" s="56" customFormat="1" ht="17.25" x14ac:dyDescent="0.35">
      <c r="A26" s="193" t="s">
        <v>65</v>
      </c>
      <c r="B26" s="136">
        <v>1877</v>
      </c>
      <c r="C26" s="136"/>
      <c r="D26" s="136">
        <v>8</v>
      </c>
      <c r="E26" s="85" t="s">
        <v>66</v>
      </c>
      <c r="F26" s="136">
        <v>7</v>
      </c>
      <c r="G26" s="136"/>
      <c r="H26" s="181" t="s">
        <v>153</v>
      </c>
      <c r="I26" s="137"/>
    </row>
    <row r="27" spans="1:9" s="56" customFormat="1" ht="17.25" x14ac:dyDescent="0.35">
      <c r="A27" s="193" t="s">
        <v>25</v>
      </c>
      <c r="B27" s="136">
        <v>1907</v>
      </c>
      <c r="C27" s="136" t="s">
        <v>69</v>
      </c>
      <c r="D27" s="136">
        <v>1</v>
      </c>
      <c r="E27" s="85" t="s">
        <v>26</v>
      </c>
      <c r="F27" s="136">
        <v>1</v>
      </c>
      <c r="G27" s="136" t="s">
        <v>79</v>
      </c>
      <c r="H27" s="181"/>
      <c r="I27" s="137"/>
    </row>
    <row r="28" spans="1:9" s="56" customFormat="1" ht="34.5" x14ac:dyDescent="0.35">
      <c r="A28" s="193" t="s">
        <v>42</v>
      </c>
      <c r="B28" s="136">
        <v>1920</v>
      </c>
      <c r="C28" s="136" t="s">
        <v>69</v>
      </c>
      <c r="D28" s="136">
        <v>4</v>
      </c>
      <c r="E28" s="85" t="s">
        <v>43</v>
      </c>
      <c r="F28" s="136" t="s">
        <v>443</v>
      </c>
      <c r="G28" s="136" t="s">
        <v>239</v>
      </c>
      <c r="H28" s="181" t="s">
        <v>155</v>
      </c>
      <c r="I28" s="137"/>
    </row>
    <row r="29" spans="1:9" s="56" customFormat="1" ht="17.25" x14ac:dyDescent="0.35">
      <c r="A29" s="193" t="s">
        <v>156</v>
      </c>
      <c r="B29" s="136">
        <v>1993</v>
      </c>
      <c r="C29" s="136" t="s">
        <v>69</v>
      </c>
      <c r="D29" s="136">
        <v>1</v>
      </c>
      <c r="E29" s="85" t="s">
        <v>157</v>
      </c>
      <c r="F29" s="136">
        <v>2</v>
      </c>
      <c r="G29" s="136" t="s">
        <v>239</v>
      </c>
      <c r="H29" s="181" t="s">
        <v>158</v>
      </c>
      <c r="I29" s="137"/>
    </row>
    <row r="30" spans="1:9" s="56" customFormat="1" ht="17.25" x14ac:dyDescent="0.35">
      <c r="A30" s="193" t="s">
        <v>159</v>
      </c>
      <c r="B30" s="136">
        <v>1994</v>
      </c>
      <c r="C30" s="136" t="s">
        <v>69</v>
      </c>
      <c r="D30" s="136">
        <v>1</v>
      </c>
      <c r="E30" s="85" t="s">
        <v>160</v>
      </c>
      <c r="F30" s="136">
        <v>0</v>
      </c>
      <c r="G30" s="136" t="s">
        <v>239</v>
      </c>
      <c r="H30" s="181" t="s">
        <v>161</v>
      </c>
      <c r="I30" s="137"/>
    </row>
    <row r="31" spans="1:9" s="56" customFormat="1" ht="17.25" x14ac:dyDescent="0.35">
      <c r="A31" s="193" t="s">
        <v>162</v>
      </c>
      <c r="B31" s="136">
        <v>1995</v>
      </c>
      <c r="C31" s="136" t="s">
        <v>69</v>
      </c>
      <c r="D31" s="136">
        <v>2</v>
      </c>
      <c r="E31" s="85" t="s">
        <v>163</v>
      </c>
      <c r="F31" s="136">
        <v>65001</v>
      </c>
      <c r="G31" s="136" t="s">
        <v>239</v>
      </c>
      <c r="H31" s="181" t="s">
        <v>164</v>
      </c>
      <c r="I31" s="137"/>
    </row>
    <row r="32" spans="1:9" s="56" customFormat="1" ht="17.25" x14ac:dyDescent="0.35">
      <c r="A32" s="193" t="s">
        <v>165</v>
      </c>
      <c r="B32" s="136">
        <v>1997</v>
      </c>
      <c r="C32" s="136" t="s">
        <v>69</v>
      </c>
      <c r="D32" s="136">
        <v>4</v>
      </c>
      <c r="E32" s="85" t="s">
        <v>166</v>
      </c>
      <c r="F32" s="136" t="s">
        <v>84</v>
      </c>
      <c r="G32" s="136" t="s">
        <v>239</v>
      </c>
      <c r="H32" s="181" t="s">
        <v>167</v>
      </c>
      <c r="I32" s="137"/>
    </row>
    <row r="33" spans="1:9" s="56" customFormat="1" ht="17.25" x14ac:dyDescent="0.35">
      <c r="A33" s="193" t="s">
        <v>168</v>
      </c>
      <c r="B33" s="136">
        <v>3520</v>
      </c>
      <c r="C33" s="136" t="s">
        <v>69</v>
      </c>
      <c r="D33" s="136">
        <v>2</v>
      </c>
      <c r="E33" s="85" t="s">
        <v>169</v>
      </c>
      <c r="F33" s="136" t="s">
        <v>170</v>
      </c>
      <c r="G33" s="136" t="s">
        <v>239</v>
      </c>
      <c r="H33" s="181" t="s">
        <v>171</v>
      </c>
      <c r="I33" s="137"/>
    </row>
    <row r="34" spans="1:9" s="56" customFormat="1" ht="51.75" x14ac:dyDescent="0.35">
      <c r="A34" s="193" t="s">
        <v>172</v>
      </c>
      <c r="B34" s="136">
        <v>3758</v>
      </c>
      <c r="C34" s="136" t="s">
        <v>69</v>
      </c>
      <c r="D34" s="136">
        <v>1</v>
      </c>
      <c r="E34" s="85" t="s">
        <v>173</v>
      </c>
      <c r="F34" s="136">
        <v>1</v>
      </c>
      <c r="G34" s="136" t="s">
        <v>239</v>
      </c>
      <c r="H34" s="181" t="s">
        <v>174</v>
      </c>
      <c r="I34" s="137"/>
    </row>
    <row r="35" spans="1:9" s="56" customFormat="1" ht="17.25" x14ac:dyDescent="0.35">
      <c r="A35" s="193" t="s">
        <v>175</v>
      </c>
      <c r="B35" s="136">
        <v>4102</v>
      </c>
      <c r="C35" s="136" t="s">
        <v>69</v>
      </c>
      <c r="D35" s="136">
        <v>1</v>
      </c>
      <c r="E35" s="85" t="s">
        <v>176</v>
      </c>
      <c r="F35" s="136">
        <v>1</v>
      </c>
      <c r="G35" s="136" t="s">
        <v>79</v>
      </c>
      <c r="H35" s="181" t="s">
        <v>177</v>
      </c>
      <c r="I35" s="137"/>
    </row>
    <row r="36" spans="1:9" s="56" customFormat="1" ht="103.5" x14ac:dyDescent="0.35">
      <c r="A36" s="193" t="s">
        <v>178</v>
      </c>
      <c r="B36" s="136">
        <v>4228</v>
      </c>
      <c r="C36" s="136" t="s">
        <v>69</v>
      </c>
      <c r="D36" s="136">
        <v>1</v>
      </c>
      <c r="E36" s="85" t="s">
        <v>179</v>
      </c>
      <c r="F36" s="136">
        <v>0</v>
      </c>
      <c r="G36" s="136" t="s">
        <v>239</v>
      </c>
      <c r="H36" s="181" t="s">
        <v>180</v>
      </c>
      <c r="I36" s="137"/>
    </row>
    <row r="37" spans="1:9" s="56" customFormat="1" ht="17.25" x14ac:dyDescent="0.35">
      <c r="A37" s="193" t="s">
        <v>181</v>
      </c>
      <c r="B37" s="136">
        <v>4229</v>
      </c>
      <c r="C37" s="136" t="s">
        <v>69</v>
      </c>
      <c r="D37" s="136">
        <v>1</v>
      </c>
      <c r="E37" s="85" t="s">
        <v>182</v>
      </c>
      <c r="F37" s="136">
        <v>1</v>
      </c>
      <c r="G37" s="136"/>
      <c r="H37" s="181" t="s">
        <v>316</v>
      </c>
      <c r="I37" s="137"/>
    </row>
    <row r="38" spans="1:9" s="56" customFormat="1" ht="17.25" x14ac:dyDescent="0.35">
      <c r="A38" s="193" t="s">
        <v>36</v>
      </c>
      <c r="B38" s="136">
        <v>4366</v>
      </c>
      <c r="C38" s="136"/>
      <c r="D38" s="136"/>
      <c r="E38" s="85" t="s">
        <v>37</v>
      </c>
      <c r="F38" s="136"/>
      <c r="G38" s="136" t="s">
        <v>239</v>
      </c>
      <c r="H38" s="181"/>
      <c r="I38" s="137"/>
    </row>
    <row r="39" spans="1:9" s="56" customFormat="1" ht="17.25" x14ac:dyDescent="0.35">
      <c r="A39" s="193"/>
      <c r="B39" s="136"/>
      <c r="C39" s="136" t="s">
        <v>69</v>
      </c>
      <c r="D39" s="136">
        <v>4</v>
      </c>
      <c r="E39" s="85" t="s">
        <v>38</v>
      </c>
      <c r="F39" s="136">
        <v>6</v>
      </c>
      <c r="G39" s="136"/>
      <c r="H39" s="181" t="s">
        <v>183</v>
      </c>
      <c r="I39" s="137"/>
    </row>
    <row r="40" spans="1:9" s="56" customFormat="1" ht="17.25" x14ac:dyDescent="0.35">
      <c r="A40" s="193" t="s">
        <v>471</v>
      </c>
      <c r="B40" s="136">
        <v>3635</v>
      </c>
      <c r="C40" s="136"/>
      <c r="D40" s="136"/>
      <c r="E40" s="85" t="s">
        <v>472</v>
      </c>
      <c r="F40" s="136"/>
      <c r="G40" s="136" t="s">
        <v>239</v>
      </c>
      <c r="H40" s="181"/>
      <c r="I40" s="137"/>
    </row>
    <row r="41" spans="1:9" s="56" customFormat="1" ht="17.25" x14ac:dyDescent="0.35">
      <c r="A41" s="193"/>
      <c r="B41" s="136"/>
      <c r="C41" s="136" t="s">
        <v>69</v>
      </c>
      <c r="D41" s="136">
        <v>2</v>
      </c>
      <c r="E41" s="85" t="s">
        <v>474</v>
      </c>
      <c r="F41" s="136">
        <v>3</v>
      </c>
      <c r="G41" s="136"/>
      <c r="H41" s="181"/>
      <c r="I41" s="137"/>
    </row>
    <row r="42" spans="1:9" s="56" customFormat="1" ht="17.25" x14ac:dyDescent="0.35">
      <c r="A42" s="193"/>
      <c r="B42" s="136"/>
      <c r="C42" s="136" t="s">
        <v>69</v>
      </c>
      <c r="D42" s="136">
        <v>2</v>
      </c>
      <c r="E42" s="85" t="s">
        <v>475</v>
      </c>
      <c r="F42" s="136">
        <v>25</v>
      </c>
      <c r="G42" s="136"/>
      <c r="H42" s="181"/>
      <c r="I42" s="137"/>
    </row>
    <row r="43" spans="1:9" s="56" customFormat="1" ht="17.25" x14ac:dyDescent="0.35">
      <c r="A43" s="193"/>
      <c r="B43" s="136"/>
      <c r="C43" s="136" t="s">
        <v>69</v>
      </c>
      <c r="D43" s="136">
        <v>4</v>
      </c>
      <c r="E43" s="85" t="s">
        <v>476</v>
      </c>
      <c r="F43" s="136">
        <v>60</v>
      </c>
      <c r="G43" s="136"/>
      <c r="H43" s="181"/>
      <c r="I43" s="137"/>
    </row>
    <row r="44" spans="1:9" s="56" customFormat="1" ht="17.25" x14ac:dyDescent="0.35">
      <c r="A44" s="193"/>
      <c r="B44" s="136"/>
      <c r="C44" s="136" t="s">
        <v>69</v>
      </c>
      <c r="D44" s="136">
        <v>4</v>
      </c>
      <c r="E44" s="85" t="s">
        <v>477</v>
      </c>
      <c r="F44" s="136">
        <v>180</v>
      </c>
      <c r="G44" s="136"/>
      <c r="H44" s="181"/>
      <c r="I44" s="137"/>
    </row>
    <row r="45" spans="1:9" s="56" customFormat="1" ht="17.25" x14ac:dyDescent="0.35">
      <c r="A45" s="193"/>
      <c r="B45" s="136"/>
      <c r="C45" s="136" t="s">
        <v>69</v>
      </c>
      <c r="D45" s="136">
        <v>4</v>
      </c>
      <c r="E45" s="85" t="s">
        <v>478</v>
      </c>
      <c r="F45" s="136">
        <v>4</v>
      </c>
      <c r="G45" s="136"/>
      <c r="H45" s="181"/>
      <c r="I45" s="137"/>
    </row>
    <row r="46" spans="1:9" s="56" customFormat="1" ht="17.25" x14ac:dyDescent="0.35">
      <c r="A46" s="193"/>
      <c r="B46" s="136"/>
      <c r="C46" s="136" t="s">
        <v>69</v>
      </c>
      <c r="D46" s="136">
        <v>4</v>
      </c>
      <c r="E46" s="85" t="s">
        <v>479</v>
      </c>
      <c r="F46" s="136">
        <v>1</v>
      </c>
      <c r="G46" s="136"/>
      <c r="H46" s="181"/>
      <c r="I46" s="137"/>
    </row>
    <row r="47" spans="1:9" s="56" customFormat="1" ht="17.25" x14ac:dyDescent="0.35">
      <c r="A47" s="193"/>
      <c r="B47" s="136"/>
      <c r="C47" s="136" t="s">
        <v>69</v>
      </c>
      <c r="D47" s="136">
        <v>4</v>
      </c>
      <c r="E47" s="85" t="s">
        <v>480</v>
      </c>
      <c r="F47" s="136">
        <v>180</v>
      </c>
      <c r="G47" s="136"/>
      <c r="H47" s="181"/>
      <c r="I47" s="137"/>
    </row>
    <row r="48" spans="1:9" s="56" customFormat="1" ht="17.25" x14ac:dyDescent="0.35">
      <c r="A48" s="193"/>
      <c r="B48" s="136"/>
      <c r="C48" s="136" t="s">
        <v>69</v>
      </c>
      <c r="D48" s="136">
        <v>4</v>
      </c>
      <c r="E48" s="85" t="s">
        <v>481</v>
      </c>
      <c r="F48" s="136">
        <v>3600</v>
      </c>
      <c r="G48" s="136"/>
      <c r="H48" s="181"/>
      <c r="I48" s="137"/>
    </row>
    <row r="49" spans="1:9" s="56" customFormat="1" ht="17.25" x14ac:dyDescent="0.35">
      <c r="A49" s="193"/>
      <c r="B49" s="136"/>
      <c r="C49" s="136" t="s">
        <v>69</v>
      </c>
      <c r="D49" s="136">
        <v>4</v>
      </c>
      <c r="E49" s="85" t="s">
        <v>482</v>
      </c>
      <c r="F49" s="136">
        <v>130</v>
      </c>
      <c r="G49" s="136"/>
      <c r="H49" s="181"/>
      <c r="I49" s="137"/>
    </row>
    <row r="50" spans="1:9" s="56" customFormat="1" ht="17.25" x14ac:dyDescent="0.35">
      <c r="A50" s="193"/>
      <c r="B50" s="136"/>
      <c r="C50" s="136" t="s">
        <v>69</v>
      </c>
      <c r="D50" s="136">
        <v>4</v>
      </c>
      <c r="E50" s="85" t="s">
        <v>483</v>
      </c>
      <c r="F50" s="136">
        <v>3600</v>
      </c>
      <c r="G50" s="136"/>
      <c r="H50" s="181"/>
      <c r="I50" s="137"/>
    </row>
    <row r="51" spans="1:9" s="56" customFormat="1" ht="17.25" x14ac:dyDescent="0.35">
      <c r="A51" s="193"/>
      <c r="B51" s="136"/>
      <c r="C51" s="136" t="s">
        <v>69</v>
      </c>
      <c r="D51" s="136">
        <v>4</v>
      </c>
      <c r="E51" s="85" t="s">
        <v>484</v>
      </c>
      <c r="F51" s="136">
        <v>130</v>
      </c>
      <c r="G51" s="136"/>
      <c r="H51" s="181"/>
      <c r="I51" s="137"/>
    </row>
    <row r="52" spans="1:9" s="56" customFormat="1" ht="17.25" x14ac:dyDescent="0.35">
      <c r="A52" s="193"/>
      <c r="B52" s="136"/>
      <c r="C52" s="136" t="s">
        <v>69</v>
      </c>
      <c r="D52" s="136">
        <v>4</v>
      </c>
      <c r="E52" s="85" t="s">
        <v>485</v>
      </c>
      <c r="F52" s="136">
        <v>14</v>
      </c>
      <c r="G52" s="136"/>
      <c r="H52" s="181"/>
    </row>
    <row r="53" spans="1:9" s="56" customFormat="1" ht="17.25" x14ac:dyDescent="0.35">
      <c r="A53" s="193"/>
      <c r="B53" s="136"/>
      <c r="C53" s="136" t="s">
        <v>69</v>
      </c>
      <c r="D53" s="136">
        <v>4</v>
      </c>
      <c r="E53" s="85" t="s">
        <v>486</v>
      </c>
      <c r="F53" s="136">
        <v>36</v>
      </c>
      <c r="G53" s="136"/>
      <c r="H53" s="181"/>
    </row>
    <row r="54" spans="1:9" s="56" customFormat="1" ht="17.25" x14ac:dyDescent="0.35">
      <c r="A54" s="193"/>
      <c r="B54" s="136"/>
      <c r="C54" s="136" t="s">
        <v>69</v>
      </c>
      <c r="D54" s="136">
        <v>4</v>
      </c>
      <c r="E54" s="85" t="s">
        <v>487</v>
      </c>
      <c r="F54" s="136">
        <v>4</v>
      </c>
      <c r="G54" s="136"/>
      <c r="H54" s="181"/>
    </row>
    <row r="55" spans="1:9" s="81" customFormat="1" ht="17.25" x14ac:dyDescent="0.35">
      <c r="A55" s="193"/>
      <c r="B55" s="136"/>
      <c r="C55" s="136" t="s">
        <v>69</v>
      </c>
      <c r="D55" s="136">
        <v>4</v>
      </c>
      <c r="E55" s="85" t="s">
        <v>488</v>
      </c>
      <c r="F55" s="136">
        <v>1</v>
      </c>
      <c r="G55" s="136"/>
      <c r="H55" s="181"/>
    </row>
    <row r="56" spans="1:9" s="81" customFormat="1" ht="17.25" x14ac:dyDescent="0.35">
      <c r="A56" s="193"/>
      <c r="B56" s="136"/>
      <c r="C56" s="136" t="s">
        <v>69</v>
      </c>
      <c r="D56" s="136">
        <v>4</v>
      </c>
      <c r="E56" s="85" t="s">
        <v>489</v>
      </c>
      <c r="F56" s="136">
        <v>5200</v>
      </c>
      <c r="G56" s="136"/>
      <c r="H56" s="181"/>
    </row>
    <row r="57" spans="1:9" s="81" customFormat="1" ht="17.25" x14ac:dyDescent="0.35">
      <c r="A57" s="193"/>
      <c r="B57" s="136"/>
      <c r="C57" s="136" t="s">
        <v>69</v>
      </c>
      <c r="D57" s="136">
        <v>4</v>
      </c>
      <c r="E57" s="85" t="s">
        <v>490</v>
      </c>
      <c r="F57" s="136">
        <v>3000</v>
      </c>
      <c r="G57" s="136"/>
      <c r="H57" s="181"/>
    </row>
    <row r="58" spans="1:9" s="81" customFormat="1" ht="17.25" x14ac:dyDescent="0.35">
      <c r="A58" s="193"/>
      <c r="B58" s="136"/>
      <c r="C58" s="136" t="s">
        <v>69</v>
      </c>
      <c r="D58" s="136">
        <v>4</v>
      </c>
      <c r="E58" s="85" t="s">
        <v>491</v>
      </c>
      <c r="F58" s="136">
        <v>2200</v>
      </c>
      <c r="G58" s="136"/>
      <c r="H58" s="181"/>
    </row>
    <row r="59" spans="1:9" s="56" customFormat="1" ht="17.25" x14ac:dyDescent="0.35">
      <c r="A59" s="193"/>
      <c r="B59" s="136"/>
      <c r="C59" s="136" t="s">
        <v>69</v>
      </c>
      <c r="D59" s="136">
        <v>4</v>
      </c>
      <c r="E59" s="85" t="s">
        <v>473</v>
      </c>
      <c r="F59" s="136">
        <v>3</v>
      </c>
      <c r="G59" s="136"/>
      <c r="H59" s="181"/>
    </row>
    <row r="60" spans="1:9" s="56" customFormat="1" ht="17.25" x14ac:dyDescent="0.35">
      <c r="A60" s="193"/>
      <c r="B60" s="136"/>
      <c r="C60" s="136" t="s">
        <v>69</v>
      </c>
      <c r="D60" s="136">
        <v>4</v>
      </c>
      <c r="E60" s="85" t="s">
        <v>492</v>
      </c>
      <c r="F60" s="136">
        <v>253</v>
      </c>
      <c r="G60" s="136"/>
      <c r="H60" s="181"/>
    </row>
    <row r="61" spans="1:9" s="56" customFormat="1" ht="17.25" x14ac:dyDescent="0.35">
      <c r="A61" s="193"/>
      <c r="B61" s="136"/>
      <c r="C61" s="136" t="s">
        <v>69</v>
      </c>
      <c r="D61" s="136">
        <v>4</v>
      </c>
      <c r="E61" s="85" t="s">
        <v>493</v>
      </c>
      <c r="F61" s="136">
        <v>1000</v>
      </c>
      <c r="G61" s="136"/>
      <c r="H61" s="181"/>
    </row>
    <row r="62" spans="1:9" s="56" customFormat="1" ht="17.25" x14ac:dyDescent="0.35">
      <c r="A62" s="193"/>
      <c r="B62" s="136"/>
      <c r="C62" s="136" t="s">
        <v>69</v>
      </c>
      <c r="D62" s="136">
        <v>4</v>
      </c>
      <c r="E62" s="85" t="s">
        <v>494</v>
      </c>
      <c r="F62" s="136">
        <v>4</v>
      </c>
      <c r="G62" s="136"/>
      <c r="H62" s="181"/>
    </row>
    <row r="63" spans="1:9" s="56" customFormat="1" ht="17.25" x14ac:dyDescent="0.35">
      <c r="A63" s="193"/>
      <c r="B63" s="136"/>
      <c r="C63" s="136" t="s">
        <v>69</v>
      </c>
      <c r="D63" s="136">
        <v>4</v>
      </c>
      <c r="E63" s="85" t="s">
        <v>495</v>
      </c>
      <c r="F63" s="136">
        <v>300</v>
      </c>
      <c r="G63" s="136"/>
      <c r="H63" s="181"/>
    </row>
    <row r="64" spans="1:9" s="56" customFormat="1" ht="17.25" x14ac:dyDescent="0.35">
      <c r="A64" s="193"/>
      <c r="B64" s="136"/>
      <c r="C64" s="136" t="s">
        <v>69</v>
      </c>
      <c r="D64" s="136">
        <v>4</v>
      </c>
      <c r="E64" s="85" t="s">
        <v>496</v>
      </c>
      <c r="F64" s="136">
        <v>300</v>
      </c>
      <c r="G64" s="136"/>
      <c r="H64" s="181"/>
    </row>
    <row r="65" spans="1:8" s="56" customFormat="1" ht="17.25" x14ac:dyDescent="0.35">
      <c r="A65" s="193"/>
      <c r="B65" s="136"/>
      <c r="C65" s="136" t="s">
        <v>69</v>
      </c>
      <c r="D65" s="136">
        <v>4</v>
      </c>
      <c r="E65" s="85" t="s">
        <v>497</v>
      </c>
      <c r="F65" s="136">
        <v>0</v>
      </c>
      <c r="G65" s="136"/>
      <c r="H65" s="181"/>
    </row>
    <row r="66" spans="1:8" s="56" customFormat="1" ht="17.25" x14ac:dyDescent="0.35">
      <c r="A66" s="193"/>
      <c r="B66" s="136"/>
      <c r="C66" s="136" t="s">
        <v>69</v>
      </c>
      <c r="D66" s="136">
        <v>4</v>
      </c>
      <c r="E66" s="85" t="s">
        <v>498</v>
      </c>
      <c r="F66" s="136">
        <v>0</v>
      </c>
      <c r="G66" s="136"/>
      <c r="H66" s="181"/>
    </row>
    <row r="67" spans="1:8" s="56" customFormat="1" ht="17.25" x14ac:dyDescent="0.35">
      <c r="A67" s="193"/>
      <c r="B67" s="136"/>
      <c r="C67" s="136" t="s">
        <v>69</v>
      </c>
      <c r="D67" s="136">
        <v>4</v>
      </c>
      <c r="E67" s="85" t="s">
        <v>499</v>
      </c>
      <c r="F67" s="136">
        <v>0</v>
      </c>
      <c r="G67" s="136"/>
      <c r="H67" s="181"/>
    </row>
    <row r="68" spans="1:8" s="56" customFormat="1" ht="17.25" x14ac:dyDescent="0.35">
      <c r="A68" s="193" t="s">
        <v>184</v>
      </c>
      <c r="B68" s="136">
        <v>4698</v>
      </c>
      <c r="C68" s="136" t="s">
        <v>69</v>
      </c>
      <c r="D68" s="136">
        <v>4</v>
      </c>
      <c r="E68" s="85" t="s">
        <v>185</v>
      </c>
      <c r="F68" s="136" t="s">
        <v>186</v>
      </c>
      <c r="G68" s="136" t="s">
        <v>239</v>
      </c>
      <c r="H68" s="181" t="s">
        <v>187</v>
      </c>
    </row>
    <row r="69" spans="1:8" s="56" customFormat="1" ht="17.25" x14ac:dyDescent="0.35">
      <c r="A69" s="193" t="s">
        <v>188</v>
      </c>
      <c r="B69" s="136">
        <v>4705</v>
      </c>
      <c r="C69" s="136" t="s">
        <v>69</v>
      </c>
      <c r="D69" s="136">
        <v>4</v>
      </c>
      <c r="E69" s="85" t="s">
        <v>189</v>
      </c>
      <c r="F69" s="136">
        <v>6066</v>
      </c>
      <c r="G69" s="136" t="s">
        <v>239</v>
      </c>
      <c r="H69" s="181" t="s">
        <v>190</v>
      </c>
    </row>
    <row r="70" spans="1:8" s="56" customFormat="1" ht="17.25" x14ac:dyDescent="0.35">
      <c r="A70" s="193" t="s">
        <v>191</v>
      </c>
      <c r="B70" s="136">
        <v>4707</v>
      </c>
      <c r="C70" s="136" t="s">
        <v>69</v>
      </c>
      <c r="D70" s="136">
        <v>1</v>
      </c>
      <c r="E70" s="85" t="s">
        <v>192</v>
      </c>
      <c r="F70" s="136">
        <v>1</v>
      </c>
      <c r="G70" s="136" t="s">
        <v>239</v>
      </c>
      <c r="H70" s="181" t="s">
        <v>193</v>
      </c>
    </row>
    <row r="71" spans="1:8" s="56" customFormat="1" ht="17.25" x14ac:dyDescent="0.35">
      <c r="A71" s="194" t="s">
        <v>436</v>
      </c>
      <c r="B71" s="136">
        <v>4960</v>
      </c>
      <c r="C71" s="136" t="s">
        <v>69</v>
      </c>
      <c r="D71" s="138">
        <v>1</v>
      </c>
      <c r="E71" s="111" t="s">
        <v>435</v>
      </c>
      <c r="F71" s="136">
        <v>1</v>
      </c>
      <c r="G71" s="138" t="s">
        <v>239</v>
      </c>
      <c r="H71" s="183" t="s">
        <v>434</v>
      </c>
    </row>
    <row r="72" spans="1:8" s="56" customFormat="1" ht="17.25" x14ac:dyDescent="0.35">
      <c r="A72" s="193" t="s">
        <v>194</v>
      </c>
      <c r="B72" s="136">
        <v>4927</v>
      </c>
      <c r="C72" s="136" t="s">
        <v>69</v>
      </c>
      <c r="D72" s="136">
        <v>1</v>
      </c>
      <c r="E72" s="85" t="s">
        <v>195</v>
      </c>
      <c r="F72" s="136">
        <v>1</v>
      </c>
      <c r="G72" s="136" t="s">
        <v>239</v>
      </c>
      <c r="H72" s="181" t="s">
        <v>196</v>
      </c>
    </row>
    <row r="73" spans="1:8" s="56" customFormat="1" ht="17.25" x14ac:dyDescent="0.35">
      <c r="A73" s="193" t="s">
        <v>47</v>
      </c>
      <c r="B73" s="136">
        <v>10</v>
      </c>
      <c r="C73" s="136"/>
      <c r="D73" s="136"/>
      <c r="E73" s="85" t="s">
        <v>48</v>
      </c>
      <c r="F73" s="136"/>
      <c r="G73" s="136" t="s">
        <v>94</v>
      </c>
      <c r="H73" s="181" t="s">
        <v>7</v>
      </c>
    </row>
    <row r="74" spans="1:8" s="56" customFormat="1" ht="17.25" x14ac:dyDescent="0.35">
      <c r="A74" s="193"/>
      <c r="B74" s="136"/>
      <c r="C74" s="136" t="s">
        <v>69</v>
      </c>
      <c r="D74" s="136">
        <v>1</v>
      </c>
      <c r="E74" s="85" t="s">
        <v>16</v>
      </c>
      <c r="F74" s="136">
        <v>0</v>
      </c>
      <c r="G74" s="136"/>
      <c r="H74" s="181"/>
    </row>
    <row r="75" spans="1:8" s="56" customFormat="1" ht="17.25" x14ac:dyDescent="0.35">
      <c r="A75" s="193"/>
      <c r="B75" s="136"/>
      <c r="C75" s="136" t="s">
        <v>69</v>
      </c>
      <c r="D75" s="136">
        <v>2</v>
      </c>
      <c r="E75" s="85" t="s">
        <v>49</v>
      </c>
      <c r="F75" s="136">
        <v>4</v>
      </c>
      <c r="G75" s="136"/>
      <c r="H75" s="181" t="s">
        <v>7</v>
      </c>
    </row>
    <row r="76" spans="1:8" s="56" customFormat="1" ht="17.25" x14ac:dyDescent="0.35">
      <c r="A76" s="195" t="s">
        <v>47</v>
      </c>
      <c r="B76" s="136">
        <v>10</v>
      </c>
      <c r="C76" s="136"/>
      <c r="D76" s="138"/>
      <c r="E76" s="125" t="s">
        <v>48</v>
      </c>
      <c r="F76" s="136"/>
      <c r="G76" s="136" t="s">
        <v>238</v>
      </c>
      <c r="H76" s="184" t="s">
        <v>270</v>
      </c>
    </row>
    <row r="77" spans="1:8" s="56" customFormat="1" ht="17.25" x14ac:dyDescent="0.35">
      <c r="A77" s="195"/>
      <c r="B77" s="136" t="s">
        <v>244</v>
      </c>
      <c r="C77" s="136" t="s">
        <v>69</v>
      </c>
      <c r="D77" s="138">
        <v>1</v>
      </c>
      <c r="E77" s="125"/>
      <c r="F77" s="136" t="s">
        <v>6</v>
      </c>
      <c r="G77" s="136"/>
      <c r="H77" s="184"/>
    </row>
    <row r="78" spans="1:8" s="56" customFormat="1" ht="17.25" x14ac:dyDescent="0.35">
      <c r="A78" s="195"/>
      <c r="B78" s="136"/>
      <c r="C78" s="136" t="s">
        <v>69</v>
      </c>
      <c r="D78" s="138">
        <v>1</v>
      </c>
      <c r="E78" s="125" t="s">
        <v>16</v>
      </c>
      <c r="F78" s="136">
        <v>0</v>
      </c>
      <c r="G78" s="136"/>
      <c r="H78" s="184"/>
    </row>
    <row r="79" spans="1:8" s="56" customFormat="1" ht="17.25" x14ac:dyDescent="0.35">
      <c r="A79" s="195"/>
      <c r="B79" s="136"/>
      <c r="C79" s="136" t="s">
        <v>69</v>
      </c>
      <c r="D79" s="138">
        <v>2</v>
      </c>
      <c r="E79" s="125" t="s">
        <v>49</v>
      </c>
      <c r="F79" s="136">
        <v>13</v>
      </c>
      <c r="G79" s="136"/>
      <c r="H79" s="184" t="s">
        <v>7</v>
      </c>
    </row>
    <row r="80" spans="1:8" s="56" customFormat="1" ht="17.25" x14ac:dyDescent="0.35">
      <c r="A80" s="193" t="s">
        <v>197</v>
      </c>
      <c r="B80" s="136">
        <v>441</v>
      </c>
      <c r="C80" s="136"/>
      <c r="D80" s="136"/>
      <c r="E80" s="85" t="s">
        <v>119</v>
      </c>
      <c r="F80" s="136"/>
      <c r="G80" s="136" t="s">
        <v>238</v>
      </c>
      <c r="H80" s="181" t="s">
        <v>198</v>
      </c>
    </row>
    <row r="81" spans="1:13" s="56" customFormat="1" ht="17.25" x14ac:dyDescent="0.35">
      <c r="A81" s="193"/>
      <c r="B81" s="136"/>
      <c r="C81" s="136" t="s">
        <v>69</v>
      </c>
      <c r="D81" s="136">
        <v>1</v>
      </c>
      <c r="E81" s="85"/>
      <c r="F81" s="136">
        <v>0</v>
      </c>
      <c r="G81" s="136"/>
      <c r="H81" s="181"/>
    </row>
    <row r="82" spans="1:13" s="56" customFormat="1" ht="17.25" x14ac:dyDescent="0.35">
      <c r="A82" s="193"/>
      <c r="B82" s="136"/>
      <c r="C82" s="136" t="s">
        <v>69</v>
      </c>
      <c r="D82" s="136">
        <v>2</v>
      </c>
      <c r="E82" s="85"/>
      <c r="F82" s="136" t="s">
        <v>459</v>
      </c>
      <c r="G82" s="136"/>
      <c r="H82" s="181" t="s">
        <v>199</v>
      </c>
    </row>
    <row r="83" spans="1:13" s="56" customFormat="1" ht="17.25" x14ac:dyDescent="0.35">
      <c r="A83" s="196" t="s">
        <v>460</v>
      </c>
      <c r="B83" s="136">
        <v>946</v>
      </c>
      <c r="C83" s="136"/>
      <c r="D83" s="138"/>
      <c r="E83" s="86"/>
      <c r="F83" s="136"/>
      <c r="G83" s="138" t="s">
        <v>238</v>
      </c>
      <c r="H83" s="185"/>
      <c r="M83" s="139"/>
    </row>
    <row r="84" spans="1:13" s="56" customFormat="1" ht="17.25" x14ac:dyDescent="0.35">
      <c r="A84" s="196"/>
      <c r="B84" s="136"/>
      <c r="C84" s="136" t="s">
        <v>69</v>
      </c>
      <c r="D84" s="138">
        <v>1</v>
      </c>
      <c r="E84" s="86" t="s">
        <v>16</v>
      </c>
      <c r="F84" s="136">
        <v>0</v>
      </c>
      <c r="G84" s="138"/>
      <c r="H84" s="185"/>
      <c r="M84" s="139"/>
    </row>
    <row r="85" spans="1:13" s="56" customFormat="1" ht="17.25" x14ac:dyDescent="0.35">
      <c r="A85" s="196"/>
      <c r="B85" s="136"/>
      <c r="C85" s="136" t="s">
        <v>69</v>
      </c>
      <c r="D85" s="138">
        <v>2</v>
      </c>
      <c r="E85" s="86" t="s">
        <v>461</v>
      </c>
      <c r="F85" s="136" t="s">
        <v>462</v>
      </c>
      <c r="G85" s="138"/>
      <c r="H85" s="185" t="s">
        <v>7</v>
      </c>
      <c r="M85" s="139"/>
    </row>
    <row r="86" spans="1:13" s="56" customFormat="1" ht="17.25" x14ac:dyDescent="0.35">
      <c r="A86" s="193" t="s">
        <v>200</v>
      </c>
      <c r="B86" s="136">
        <v>452</v>
      </c>
      <c r="C86" s="136" t="s">
        <v>69</v>
      </c>
      <c r="D86" s="136">
        <v>4</v>
      </c>
      <c r="E86" s="85" t="s">
        <v>201</v>
      </c>
      <c r="F86" s="136">
        <v>0</v>
      </c>
      <c r="G86" s="136" t="s">
        <v>239</v>
      </c>
      <c r="H86" s="181"/>
      <c r="M86" s="139"/>
    </row>
    <row r="87" spans="1:13" s="56" customFormat="1" ht="17.25" x14ac:dyDescent="0.35">
      <c r="A87" s="193" t="s">
        <v>50</v>
      </c>
      <c r="B87" s="136">
        <v>3446</v>
      </c>
      <c r="C87" s="136"/>
      <c r="D87" s="136"/>
      <c r="E87" s="85" t="s">
        <v>51</v>
      </c>
      <c r="F87" s="136"/>
      <c r="G87" s="136"/>
      <c r="H87" s="181"/>
      <c r="M87" s="139"/>
    </row>
    <row r="88" spans="1:13" s="56" customFormat="1" ht="17.25" x14ac:dyDescent="0.35">
      <c r="A88" s="193"/>
      <c r="B88" s="136"/>
      <c r="C88" s="136" t="s">
        <v>69</v>
      </c>
      <c r="D88" s="136">
        <v>2</v>
      </c>
      <c r="E88" s="85" t="s">
        <v>52</v>
      </c>
      <c r="F88" s="136">
        <v>130</v>
      </c>
      <c r="G88" s="136"/>
      <c r="H88" s="181"/>
      <c r="M88" s="139"/>
    </row>
    <row r="89" spans="1:13" s="56" customFormat="1" ht="17.25" x14ac:dyDescent="0.35">
      <c r="A89" s="193"/>
      <c r="B89" s="136"/>
      <c r="C89" s="136" t="s">
        <v>69</v>
      </c>
      <c r="D89" s="136">
        <v>4</v>
      </c>
      <c r="E89" s="85" t="s">
        <v>53</v>
      </c>
      <c r="F89" s="136">
        <v>0</v>
      </c>
      <c r="G89" s="136"/>
      <c r="H89" s="181"/>
      <c r="M89" s="139"/>
    </row>
    <row r="90" spans="1:13" s="56" customFormat="1" ht="17.25" x14ac:dyDescent="0.35">
      <c r="A90" s="197" t="s">
        <v>442</v>
      </c>
      <c r="B90" s="136">
        <v>7165</v>
      </c>
      <c r="C90" s="136" t="s">
        <v>69</v>
      </c>
      <c r="D90" s="138">
        <v>4</v>
      </c>
      <c r="E90" s="82" t="s">
        <v>441</v>
      </c>
      <c r="F90" s="136" t="s">
        <v>440</v>
      </c>
      <c r="G90" s="136" t="s">
        <v>239</v>
      </c>
      <c r="H90" s="186"/>
      <c r="M90" s="139"/>
    </row>
    <row r="91" spans="1:13" s="81" customFormat="1" ht="17.25" x14ac:dyDescent="0.35">
      <c r="A91" s="193" t="s">
        <v>202</v>
      </c>
      <c r="B91" s="136">
        <v>4627</v>
      </c>
      <c r="C91" s="136" t="s">
        <v>69</v>
      </c>
      <c r="D91" s="136">
        <v>1</v>
      </c>
      <c r="E91" s="85" t="s">
        <v>203</v>
      </c>
      <c r="F91" s="136">
        <v>1</v>
      </c>
      <c r="G91" s="136" t="s">
        <v>239</v>
      </c>
      <c r="H91" s="181"/>
    </row>
    <row r="92" spans="1:13" s="81" customFormat="1" ht="17.25" x14ac:dyDescent="0.35">
      <c r="A92" s="193" t="s">
        <v>204</v>
      </c>
      <c r="B92" s="136">
        <v>4628</v>
      </c>
      <c r="C92" s="136" t="s">
        <v>69</v>
      </c>
      <c r="D92" s="136">
        <v>2</v>
      </c>
      <c r="E92" s="85" t="s">
        <v>205</v>
      </c>
      <c r="F92" s="136">
        <v>24</v>
      </c>
      <c r="G92" s="136" t="s">
        <v>239</v>
      </c>
      <c r="H92" s="181"/>
    </row>
    <row r="93" spans="1:13" s="81" customFormat="1" ht="17.25" x14ac:dyDescent="0.35">
      <c r="A93" s="193" t="s">
        <v>206</v>
      </c>
      <c r="B93" s="136">
        <v>4629</v>
      </c>
      <c r="C93" s="136" t="s">
        <v>69</v>
      </c>
      <c r="D93" s="136">
        <v>1</v>
      </c>
      <c r="E93" s="85" t="s">
        <v>207</v>
      </c>
      <c r="F93" s="136">
        <v>3</v>
      </c>
      <c r="G93" s="136" t="s">
        <v>239</v>
      </c>
      <c r="H93" s="181"/>
    </row>
    <row r="94" spans="1:13" s="56" customFormat="1" ht="17.25" x14ac:dyDescent="0.35">
      <c r="A94" s="193" t="s">
        <v>208</v>
      </c>
      <c r="B94" s="136">
        <v>4630</v>
      </c>
      <c r="C94" s="136" t="s">
        <v>69</v>
      </c>
      <c r="D94" s="136">
        <v>1</v>
      </c>
      <c r="E94" s="85" t="s">
        <v>209</v>
      </c>
      <c r="F94" s="136">
        <v>10</v>
      </c>
      <c r="G94" s="136" t="s">
        <v>239</v>
      </c>
      <c r="H94" s="181"/>
      <c r="M94" s="139"/>
    </row>
    <row r="95" spans="1:13" s="56" customFormat="1" ht="17.25" x14ac:dyDescent="0.35">
      <c r="A95" s="193" t="s">
        <v>210</v>
      </c>
      <c r="B95" s="136">
        <v>4631</v>
      </c>
      <c r="C95" s="136" t="s">
        <v>69</v>
      </c>
      <c r="D95" s="136">
        <v>1</v>
      </c>
      <c r="E95" s="85" t="s">
        <v>211</v>
      </c>
      <c r="F95" s="136">
        <v>0</v>
      </c>
      <c r="G95" s="136" t="s">
        <v>239</v>
      </c>
      <c r="H95" s="181"/>
      <c r="M95" s="139"/>
    </row>
    <row r="96" spans="1:13" s="56" customFormat="1" ht="17.25" x14ac:dyDescent="0.35">
      <c r="A96" s="193" t="s">
        <v>212</v>
      </c>
      <c r="B96" s="136">
        <v>4676</v>
      </c>
      <c r="C96" s="136" t="s">
        <v>69</v>
      </c>
      <c r="D96" s="136">
        <v>4</v>
      </c>
      <c r="E96" s="85" t="s">
        <v>213</v>
      </c>
      <c r="F96" s="136">
        <v>0</v>
      </c>
      <c r="G96" s="136" t="s">
        <v>239</v>
      </c>
      <c r="H96" s="181" t="s">
        <v>214</v>
      </c>
      <c r="M96" s="139"/>
    </row>
    <row r="97" spans="1:13" s="56" customFormat="1" ht="17.25" x14ac:dyDescent="0.35">
      <c r="A97" s="193" t="s">
        <v>215</v>
      </c>
      <c r="B97" s="136">
        <v>4677</v>
      </c>
      <c r="C97" s="136" t="s">
        <v>69</v>
      </c>
      <c r="D97" s="136">
        <v>4</v>
      </c>
      <c r="E97" s="85" t="s">
        <v>216</v>
      </c>
      <c r="F97" s="136">
        <v>0</v>
      </c>
      <c r="G97" s="136" t="s">
        <v>239</v>
      </c>
      <c r="H97" s="181" t="s">
        <v>214</v>
      </c>
      <c r="M97" s="139"/>
    </row>
    <row r="98" spans="1:13" s="56" customFormat="1" ht="17.25" x14ac:dyDescent="0.35">
      <c r="A98" s="193" t="s">
        <v>217</v>
      </c>
      <c r="B98" s="136">
        <v>5047</v>
      </c>
      <c r="C98" s="136"/>
      <c r="D98" s="136"/>
      <c r="E98" s="85" t="s">
        <v>218</v>
      </c>
      <c r="F98" s="136"/>
      <c r="G98" s="136" t="s">
        <v>239</v>
      </c>
      <c r="H98" s="181"/>
      <c r="M98" s="139"/>
    </row>
    <row r="99" spans="1:13" s="56" customFormat="1" ht="17.25" x14ac:dyDescent="0.35">
      <c r="A99" s="193"/>
      <c r="B99" s="136"/>
      <c r="C99" s="136" t="s">
        <v>69</v>
      </c>
      <c r="D99" s="136">
        <v>4</v>
      </c>
      <c r="E99" s="85" t="s">
        <v>219</v>
      </c>
      <c r="F99" s="136">
        <v>2</v>
      </c>
      <c r="G99" s="136"/>
      <c r="H99" s="181"/>
      <c r="M99" s="139"/>
    </row>
    <row r="100" spans="1:13" s="56" customFormat="1" ht="17.25" x14ac:dyDescent="0.35">
      <c r="A100" s="193"/>
      <c r="B100" s="136"/>
      <c r="C100" s="136" t="s">
        <v>69</v>
      </c>
      <c r="D100" s="136">
        <v>4</v>
      </c>
      <c r="E100" s="85" t="s">
        <v>220</v>
      </c>
      <c r="F100" s="136">
        <v>0</v>
      </c>
      <c r="G100" s="136"/>
      <c r="H100" s="181"/>
      <c r="M100" s="139"/>
    </row>
    <row r="101" spans="1:13" s="56" customFormat="1" ht="17.25" x14ac:dyDescent="0.35">
      <c r="A101" s="193" t="s">
        <v>44</v>
      </c>
      <c r="B101" s="136">
        <v>5280</v>
      </c>
      <c r="C101" s="136" t="s">
        <v>69</v>
      </c>
      <c r="D101" s="136">
        <v>8</v>
      </c>
      <c r="E101" s="85" t="s">
        <v>45</v>
      </c>
      <c r="F101" s="136">
        <v>0</v>
      </c>
      <c r="G101" s="136" t="s">
        <v>239</v>
      </c>
      <c r="H101" s="181"/>
      <c r="M101" s="139"/>
    </row>
    <row r="102" spans="1:13" s="56" customFormat="1" ht="17.25" x14ac:dyDescent="0.35">
      <c r="A102" s="193" t="s">
        <v>221</v>
      </c>
      <c r="B102" s="136">
        <v>6429</v>
      </c>
      <c r="C102" s="136"/>
      <c r="D102" s="136"/>
      <c r="E102" s="85" t="s">
        <v>222</v>
      </c>
      <c r="F102" s="136"/>
      <c r="G102" s="136" t="s">
        <v>94</v>
      </c>
      <c r="H102" s="181"/>
      <c r="M102" s="139"/>
    </row>
    <row r="103" spans="1:13" s="56" customFormat="1" ht="17.25" x14ac:dyDescent="0.35">
      <c r="A103" s="193"/>
      <c r="B103" s="136"/>
      <c r="C103" s="136" t="s">
        <v>69</v>
      </c>
      <c r="D103" s="136">
        <v>1</v>
      </c>
      <c r="E103" s="85" t="s">
        <v>223</v>
      </c>
      <c r="F103" s="136">
        <v>0</v>
      </c>
      <c r="G103" s="136"/>
      <c r="H103" s="181"/>
      <c r="M103" s="139"/>
    </row>
    <row r="104" spans="1:13" s="56" customFormat="1" ht="17.25" x14ac:dyDescent="0.35">
      <c r="A104" s="193"/>
      <c r="B104" s="136"/>
      <c r="C104" s="136" t="s">
        <v>69</v>
      </c>
      <c r="D104" s="136">
        <v>1</v>
      </c>
      <c r="E104" s="85" t="s">
        <v>224</v>
      </c>
      <c r="F104" s="136">
        <v>0</v>
      </c>
      <c r="G104" s="136"/>
      <c r="H104" s="181"/>
      <c r="M104" s="139"/>
    </row>
    <row r="105" spans="1:13" s="56" customFormat="1" ht="17.25" x14ac:dyDescent="0.35">
      <c r="A105" s="193"/>
      <c r="B105" s="136"/>
      <c r="C105" s="136" t="s">
        <v>69</v>
      </c>
      <c r="D105" s="136">
        <v>2</v>
      </c>
      <c r="E105" s="85" t="s">
        <v>225</v>
      </c>
      <c r="F105" s="136">
        <v>37</v>
      </c>
      <c r="G105" s="136"/>
      <c r="H105" s="181"/>
      <c r="M105" s="139"/>
    </row>
    <row r="106" spans="1:13" s="56" customFormat="1" ht="17.25" x14ac:dyDescent="0.35">
      <c r="A106" s="193" t="s">
        <v>226</v>
      </c>
      <c r="B106" s="136">
        <v>6273</v>
      </c>
      <c r="C106" s="136" t="s">
        <v>69</v>
      </c>
      <c r="D106" s="136">
        <v>4</v>
      </c>
      <c r="E106" s="85" t="s">
        <v>227</v>
      </c>
      <c r="F106" s="136">
        <v>1</v>
      </c>
      <c r="G106" s="136" t="s">
        <v>239</v>
      </c>
      <c r="H106" s="181"/>
      <c r="M106" s="139"/>
    </row>
    <row r="107" spans="1:13" s="81" customFormat="1" ht="17.25" x14ac:dyDescent="0.35">
      <c r="A107" s="193" t="s">
        <v>228</v>
      </c>
      <c r="B107" s="136">
        <v>6274</v>
      </c>
      <c r="C107" s="136" t="s">
        <v>69</v>
      </c>
      <c r="D107" s="136">
        <v>4</v>
      </c>
      <c r="E107" s="85" t="s">
        <v>229</v>
      </c>
      <c r="F107" s="136">
        <v>1</v>
      </c>
      <c r="G107" s="136" t="s">
        <v>239</v>
      </c>
      <c r="H107" s="181"/>
    </row>
    <row r="108" spans="1:13" s="81" customFormat="1" ht="17.25" x14ac:dyDescent="0.35">
      <c r="A108" s="193" t="s">
        <v>254</v>
      </c>
      <c r="B108" s="136">
        <v>285</v>
      </c>
      <c r="C108" s="136"/>
      <c r="D108" s="136"/>
      <c r="E108" s="85" t="s">
        <v>255</v>
      </c>
      <c r="F108" s="136"/>
      <c r="G108" s="136" t="s">
        <v>94</v>
      </c>
      <c r="H108" s="181"/>
    </row>
    <row r="109" spans="1:13" s="81" customFormat="1" ht="17.25" x14ac:dyDescent="0.35">
      <c r="A109" s="193"/>
      <c r="B109" s="136"/>
      <c r="C109" s="136" t="s">
        <v>69</v>
      </c>
      <c r="D109" s="136">
        <v>1</v>
      </c>
      <c r="E109" s="85" t="s">
        <v>16</v>
      </c>
      <c r="F109" s="136">
        <v>0</v>
      </c>
      <c r="G109" s="136"/>
      <c r="H109" s="181"/>
    </row>
    <row r="110" spans="1:13" s="81" customFormat="1" ht="17.25" x14ac:dyDescent="0.35">
      <c r="A110" s="193"/>
      <c r="B110" s="136"/>
      <c r="C110" s="136" t="s">
        <v>69</v>
      </c>
      <c r="D110" s="136">
        <v>1</v>
      </c>
      <c r="E110" s="85" t="s">
        <v>256</v>
      </c>
      <c r="F110" s="136">
        <v>1</v>
      </c>
      <c r="G110" s="136"/>
      <c r="H110" s="181"/>
    </row>
    <row r="111" spans="1:13" s="81" customFormat="1" ht="17.25" x14ac:dyDescent="0.35">
      <c r="A111" s="193"/>
      <c r="B111" s="136"/>
      <c r="C111" s="136" t="s">
        <v>69</v>
      </c>
      <c r="D111" s="136">
        <v>2</v>
      </c>
      <c r="E111" s="85" t="s">
        <v>257</v>
      </c>
      <c r="F111" s="136">
        <v>3</v>
      </c>
      <c r="G111" s="136"/>
      <c r="H111" s="181"/>
    </row>
    <row r="112" spans="1:13" s="81" customFormat="1" ht="17.25" x14ac:dyDescent="0.35">
      <c r="A112" s="193"/>
      <c r="B112" s="136"/>
      <c r="C112" s="136" t="s">
        <v>69</v>
      </c>
      <c r="D112" s="136">
        <v>2</v>
      </c>
      <c r="E112" s="85" t="s">
        <v>258</v>
      </c>
      <c r="F112" s="136">
        <v>3</v>
      </c>
      <c r="G112" s="136"/>
      <c r="H112" s="181"/>
    </row>
    <row r="113" spans="1:8" s="81" customFormat="1" ht="17.25" x14ac:dyDescent="0.35">
      <c r="A113" s="193"/>
      <c r="B113" s="136"/>
      <c r="C113" s="136" t="s">
        <v>69</v>
      </c>
      <c r="D113" s="136">
        <v>2</v>
      </c>
      <c r="E113" s="85" t="s">
        <v>259</v>
      </c>
      <c r="F113" s="136">
        <v>3</v>
      </c>
      <c r="G113" s="136"/>
      <c r="H113" s="181"/>
    </row>
    <row r="114" spans="1:8" s="81" customFormat="1" ht="17.25" x14ac:dyDescent="0.35">
      <c r="A114" s="193" t="s">
        <v>260</v>
      </c>
      <c r="B114" s="136">
        <v>475</v>
      </c>
      <c r="C114" s="136" t="s">
        <v>69</v>
      </c>
      <c r="D114" s="136">
        <v>2</v>
      </c>
      <c r="E114" s="85" t="s">
        <v>261</v>
      </c>
      <c r="F114" s="136" t="s">
        <v>46</v>
      </c>
      <c r="G114" s="136" t="s">
        <v>239</v>
      </c>
      <c r="H114" s="181"/>
    </row>
    <row r="115" spans="1:8" s="81" customFormat="1" ht="17.25" x14ac:dyDescent="0.35">
      <c r="A115" s="195" t="s">
        <v>340</v>
      </c>
      <c r="B115" s="136">
        <v>562</v>
      </c>
      <c r="C115" s="136"/>
      <c r="D115" s="138"/>
      <c r="E115" s="125"/>
      <c r="F115" s="136"/>
      <c r="G115" s="136" t="s">
        <v>239</v>
      </c>
      <c r="H115" s="184"/>
    </row>
    <row r="116" spans="1:8" s="81" customFormat="1" ht="17.25" x14ac:dyDescent="0.35">
      <c r="A116" s="195"/>
      <c r="B116" s="136" t="s">
        <v>244</v>
      </c>
      <c r="C116" s="136" t="s">
        <v>69</v>
      </c>
      <c r="D116" s="138">
        <v>1</v>
      </c>
      <c r="E116" s="125"/>
      <c r="F116" s="136" t="s">
        <v>6</v>
      </c>
      <c r="G116" s="136"/>
      <c r="H116" s="184"/>
    </row>
    <row r="117" spans="1:8" s="81" customFormat="1" ht="17.25" x14ac:dyDescent="0.35">
      <c r="A117" s="195"/>
      <c r="B117" s="136"/>
      <c r="C117" s="136" t="s">
        <v>69</v>
      </c>
      <c r="D117" s="138">
        <v>1</v>
      </c>
      <c r="E117" s="125" t="s">
        <v>128</v>
      </c>
      <c r="F117" s="136">
        <v>0</v>
      </c>
      <c r="G117" s="136"/>
      <c r="H117" s="184"/>
    </row>
    <row r="118" spans="1:8" s="81" customFormat="1" ht="17.25" x14ac:dyDescent="0.35">
      <c r="A118" s="193" t="s">
        <v>54</v>
      </c>
      <c r="B118" s="136">
        <v>945</v>
      </c>
      <c r="C118" s="136"/>
      <c r="D118" s="136"/>
      <c r="E118" s="85"/>
      <c r="F118" s="136"/>
      <c r="G118" s="136"/>
      <c r="H118" s="181"/>
    </row>
    <row r="119" spans="1:8" s="81" customFormat="1" ht="17.25" x14ac:dyDescent="0.35">
      <c r="A119" s="193"/>
      <c r="B119" s="136"/>
      <c r="C119" s="136" t="s">
        <v>69</v>
      </c>
      <c r="D119" s="136">
        <v>1</v>
      </c>
      <c r="E119" s="85" t="s">
        <v>16</v>
      </c>
      <c r="F119" s="136">
        <v>0</v>
      </c>
      <c r="G119" s="136"/>
      <c r="H119" s="181"/>
    </row>
    <row r="120" spans="1:8" s="81" customFormat="1" ht="17.25" x14ac:dyDescent="0.35">
      <c r="A120" s="193"/>
      <c r="B120" s="136"/>
      <c r="C120" s="136" t="s">
        <v>69</v>
      </c>
      <c r="D120" s="136">
        <v>120</v>
      </c>
      <c r="E120" s="85" t="s">
        <v>55</v>
      </c>
      <c r="F120" s="136">
        <v>0</v>
      </c>
      <c r="G120" s="136"/>
      <c r="H120" s="181"/>
    </row>
    <row r="121" spans="1:8" s="81" customFormat="1" ht="17.25" x14ac:dyDescent="0.35">
      <c r="A121" s="193" t="s">
        <v>262</v>
      </c>
      <c r="B121" s="136">
        <v>4116</v>
      </c>
      <c r="C121" s="136" t="s">
        <v>69</v>
      </c>
      <c r="D121" s="136">
        <v>1</v>
      </c>
      <c r="E121" s="85" t="s">
        <v>263</v>
      </c>
      <c r="F121" s="136" t="s">
        <v>117</v>
      </c>
      <c r="G121" s="136" t="s">
        <v>239</v>
      </c>
      <c r="H121" s="181"/>
    </row>
    <row r="122" spans="1:8" s="81" customFormat="1" ht="17.25" x14ac:dyDescent="0.35">
      <c r="A122" s="193" t="s">
        <v>23</v>
      </c>
      <c r="B122" s="136">
        <v>4204</v>
      </c>
      <c r="C122" s="136" t="s">
        <v>69</v>
      </c>
      <c r="D122" s="136">
        <v>1</v>
      </c>
      <c r="E122" s="85" t="s">
        <v>24</v>
      </c>
      <c r="F122" s="136">
        <v>0</v>
      </c>
      <c r="G122" s="136"/>
      <c r="H122" s="181"/>
    </row>
    <row r="123" spans="1:8" s="81" customFormat="1" ht="17.25" x14ac:dyDescent="0.35">
      <c r="A123" s="193" t="s">
        <v>264</v>
      </c>
      <c r="B123" s="136">
        <v>4231</v>
      </c>
      <c r="C123" s="136"/>
      <c r="D123" s="136"/>
      <c r="E123" s="85" t="s">
        <v>265</v>
      </c>
      <c r="F123" s="136"/>
      <c r="G123" s="136" t="s">
        <v>79</v>
      </c>
      <c r="H123" s="181"/>
    </row>
    <row r="124" spans="1:8" s="81" customFormat="1" ht="17.25" x14ac:dyDescent="0.35">
      <c r="A124" s="193"/>
      <c r="B124" s="136"/>
      <c r="C124" s="136" t="s">
        <v>69</v>
      </c>
      <c r="D124" s="136">
        <v>8</v>
      </c>
      <c r="E124" s="85" t="s">
        <v>266</v>
      </c>
      <c r="F124" s="136">
        <v>0</v>
      </c>
      <c r="G124" s="136"/>
      <c r="H124" s="181"/>
    </row>
    <row r="125" spans="1:8" s="81" customFormat="1" ht="17.25" x14ac:dyDescent="0.35">
      <c r="A125" s="193"/>
      <c r="B125" s="136"/>
      <c r="C125" s="136" t="s">
        <v>69</v>
      </c>
      <c r="D125" s="136">
        <v>8</v>
      </c>
      <c r="E125" s="85" t="s">
        <v>267</v>
      </c>
      <c r="F125" s="136">
        <v>1</v>
      </c>
      <c r="G125" s="136"/>
      <c r="H125" s="181"/>
    </row>
    <row r="126" spans="1:8" s="81" customFormat="1" ht="17.25" x14ac:dyDescent="0.35">
      <c r="A126" s="193" t="s">
        <v>133</v>
      </c>
      <c r="B126" s="136">
        <v>6832</v>
      </c>
      <c r="C126" s="136" t="s">
        <v>69</v>
      </c>
      <c r="D126" s="136">
        <v>1</v>
      </c>
      <c r="E126" s="85" t="s">
        <v>134</v>
      </c>
      <c r="F126" s="136">
        <v>0</v>
      </c>
      <c r="G126" s="136" t="s">
        <v>79</v>
      </c>
      <c r="H126" s="181"/>
    </row>
    <row r="127" spans="1:8" s="81" customFormat="1" ht="17.25" x14ac:dyDescent="0.35">
      <c r="A127" s="193" t="s">
        <v>268</v>
      </c>
      <c r="B127" s="136">
        <v>6862</v>
      </c>
      <c r="C127" s="136" t="s">
        <v>69</v>
      </c>
      <c r="D127" s="136">
        <v>1</v>
      </c>
      <c r="E127" s="85" t="s">
        <v>269</v>
      </c>
      <c r="F127" s="136">
        <v>1</v>
      </c>
      <c r="G127" s="136" t="s">
        <v>79</v>
      </c>
      <c r="H127" s="181"/>
    </row>
    <row r="128" spans="1:8" s="81" customFormat="1" ht="17.25" x14ac:dyDescent="0.35">
      <c r="A128" s="198" t="s">
        <v>322</v>
      </c>
      <c r="B128" s="136">
        <v>3532</v>
      </c>
      <c r="C128" s="136" t="s">
        <v>69</v>
      </c>
      <c r="D128" s="138">
        <v>1</v>
      </c>
      <c r="E128" s="126" t="s">
        <v>323</v>
      </c>
      <c r="F128" s="136">
        <v>135</v>
      </c>
      <c r="G128" s="138" t="s">
        <v>239</v>
      </c>
      <c r="H128" s="187" t="s">
        <v>7</v>
      </c>
    </row>
    <row r="129" spans="1:9" s="81" customFormat="1" ht="17.25" x14ac:dyDescent="0.35">
      <c r="A129" s="198" t="s">
        <v>324</v>
      </c>
      <c r="B129" s="136">
        <v>3533</v>
      </c>
      <c r="C129" s="136" t="s">
        <v>69</v>
      </c>
      <c r="D129" s="138">
        <v>1</v>
      </c>
      <c r="E129" s="126" t="s">
        <v>325</v>
      </c>
      <c r="F129" s="136">
        <v>30</v>
      </c>
      <c r="G129" s="138" t="s">
        <v>239</v>
      </c>
      <c r="H129" s="187" t="s">
        <v>7</v>
      </c>
    </row>
    <row r="130" spans="1:9" s="81" customFormat="1" ht="17.25" x14ac:dyDescent="0.35">
      <c r="A130" s="199" t="s">
        <v>360</v>
      </c>
      <c r="B130" s="136">
        <v>4964</v>
      </c>
      <c r="C130" s="136" t="s">
        <v>69</v>
      </c>
      <c r="D130" s="138">
        <v>2</v>
      </c>
      <c r="E130" s="127"/>
      <c r="F130" s="136">
        <v>4</v>
      </c>
      <c r="G130" s="138" t="s">
        <v>79</v>
      </c>
      <c r="H130" s="188"/>
    </row>
    <row r="131" spans="1:9" s="81" customFormat="1" ht="17.25" x14ac:dyDescent="0.35">
      <c r="A131" s="200" t="s">
        <v>326</v>
      </c>
      <c r="B131" s="136">
        <v>4227</v>
      </c>
      <c r="C131" s="136" t="s">
        <v>69</v>
      </c>
      <c r="D131" s="138">
        <v>4</v>
      </c>
      <c r="E131" s="128" t="s">
        <v>327</v>
      </c>
      <c r="F131" s="136">
        <v>0</v>
      </c>
      <c r="G131" s="138"/>
      <c r="H131" s="189" t="s">
        <v>328</v>
      </c>
    </row>
    <row r="132" spans="1:9" s="81" customFormat="1" ht="17.25" x14ac:dyDescent="0.35">
      <c r="A132" s="195" t="s">
        <v>271</v>
      </c>
      <c r="B132" s="136">
        <v>6874</v>
      </c>
      <c r="C132" s="136"/>
      <c r="D132" s="138"/>
      <c r="E132" s="125"/>
      <c r="F132" s="136"/>
      <c r="G132" s="136" t="s">
        <v>239</v>
      </c>
      <c r="H132" s="184"/>
    </row>
    <row r="133" spans="1:9" s="141" customFormat="1" ht="17.25" x14ac:dyDescent="0.35">
      <c r="A133" s="195"/>
      <c r="B133" s="136" t="s">
        <v>244</v>
      </c>
      <c r="C133" s="136" t="s">
        <v>69</v>
      </c>
      <c r="D133" s="138">
        <v>1</v>
      </c>
      <c r="E133" s="125"/>
      <c r="F133" s="136" t="s">
        <v>5</v>
      </c>
      <c r="G133" s="136"/>
      <c r="H133" s="184"/>
      <c r="I133" s="81"/>
    </row>
    <row r="134" spans="1:9" s="56" customFormat="1" ht="17.25" x14ac:dyDescent="0.35">
      <c r="A134" s="195"/>
      <c r="B134" s="136"/>
      <c r="C134" s="136" t="s">
        <v>69</v>
      </c>
      <c r="D134" s="138">
        <v>1</v>
      </c>
      <c r="E134" s="125" t="s">
        <v>272</v>
      </c>
      <c r="F134" s="136" t="s">
        <v>154</v>
      </c>
      <c r="G134" s="136"/>
      <c r="H134" s="184"/>
      <c r="I134" s="81"/>
    </row>
    <row r="135" spans="1:9" s="56" customFormat="1" ht="17.25" x14ac:dyDescent="0.35">
      <c r="A135" s="195" t="s">
        <v>273</v>
      </c>
      <c r="B135" s="136">
        <v>6875</v>
      </c>
      <c r="C135" s="136"/>
      <c r="D135" s="138"/>
      <c r="E135" s="125"/>
      <c r="F135" s="136"/>
      <c r="G135" s="136" t="s">
        <v>239</v>
      </c>
      <c r="H135" s="184"/>
      <c r="I135" s="81"/>
    </row>
    <row r="136" spans="1:9" s="56" customFormat="1" ht="17.25" x14ac:dyDescent="0.35">
      <c r="A136" s="195"/>
      <c r="B136" s="136" t="s">
        <v>244</v>
      </c>
      <c r="C136" s="136" t="s">
        <v>69</v>
      </c>
      <c r="D136" s="138">
        <v>1</v>
      </c>
      <c r="E136" s="125"/>
      <c r="F136" s="136" t="s">
        <v>5</v>
      </c>
      <c r="G136" s="136"/>
      <c r="H136" s="184"/>
      <c r="I136" s="81"/>
    </row>
    <row r="137" spans="1:9" s="56" customFormat="1" ht="17.25" x14ac:dyDescent="0.35">
      <c r="A137" s="195"/>
      <c r="B137" s="136"/>
      <c r="C137" s="136" t="s">
        <v>69</v>
      </c>
      <c r="D137" s="138">
        <v>1</v>
      </c>
      <c r="E137" s="125" t="s">
        <v>274</v>
      </c>
      <c r="F137" s="136" t="s">
        <v>154</v>
      </c>
      <c r="G137" s="136"/>
      <c r="H137" s="184"/>
      <c r="I137" s="81"/>
    </row>
    <row r="138" spans="1:9" s="56" customFormat="1" ht="34.5" x14ac:dyDescent="0.35">
      <c r="A138" s="193" t="s">
        <v>524</v>
      </c>
      <c r="B138" s="136">
        <v>240</v>
      </c>
      <c r="C138" s="136" t="s">
        <v>69</v>
      </c>
      <c r="D138" s="136">
        <v>1</v>
      </c>
      <c r="E138" s="85" t="s">
        <v>525</v>
      </c>
      <c r="F138" s="136">
        <v>0</v>
      </c>
      <c r="G138" s="136" t="s">
        <v>239</v>
      </c>
      <c r="H138" s="181" t="s">
        <v>526</v>
      </c>
      <c r="I138" s="81"/>
    </row>
    <row r="139" spans="1:9" s="56" customFormat="1" ht="18" thickBot="1" x14ac:dyDescent="0.4">
      <c r="A139" s="201"/>
      <c r="B139" s="142"/>
      <c r="C139" s="142"/>
      <c r="D139" s="143"/>
      <c r="E139" s="129"/>
      <c r="F139" s="142"/>
      <c r="G139" s="143"/>
      <c r="H139" s="190"/>
      <c r="I139" s="81"/>
    </row>
    <row r="140" spans="1:9" s="56" customFormat="1" ht="15.75" thickBot="1" x14ac:dyDescent="0.35">
      <c r="A140" s="81"/>
      <c r="B140" s="81"/>
      <c r="C140" s="81"/>
      <c r="D140" s="81"/>
      <c r="E140" s="81"/>
      <c r="F140" s="81"/>
      <c r="G140" s="81"/>
      <c r="H140" s="81"/>
      <c r="I140" s="81"/>
    </row>
    <row r="141" spans="1:9" s="56" customFormat="1" ht="20.25" thickBot="1" x14ac:dyDescent="0.35">
      <c r="A141" s="44"/>
      <c r="B141" s="43" t="s">
        <v>78</v>
      </c>
      <c r="C141" s="43"/>
      <c r="D141" s="43"/>
      <c r="E141" s="43"/>
      <c r="F141" s="43"/>
      <c r="G141" s="43"/>
      <c r="H141" s="45"/>
      <c r="I141" s="81"/>
    </row>
    <row r="142" spans="1:9" s="56" customFormat="1" ht="15.75" thickBot="1" x14ac:dyDescent="0.35">
      <c r="A142" s="41" t="s">
        <v>64</v>
      </c>
      <c r="B142" s="41" t="s">
        <v>8</v>
      </c>
      <c r="C142" s="41"/>
      <c r="D142" s="41"/>
      <c r="E142" s="41" t="s">
        <v>58</v>
      </c>
      <c r="F142" s="41" t="s">
        <v>57</v>
      </c>
      <c r="G142" s="41"/>
      <c r="H142" s="168"/>
      <c r="I142" s="81"/>
    </row>
    <row r="143" spans="1:9" s="56" customFormat="1" ht="17.25" x14ac:dyDescent="0.35">
      <c r="A143" s="170"/>
      <c r="B143" s="171"/>
      <c r="C143" s="108"/>
      <c r="D143" s="108"/>
      <c r="E143" s="172"/>
      <c r="F143" s="108"/>
      <c r="G143" s="108"/>
      <c r="H143" s="173"/>
      <c r="I143" s="81"/>
    </row>
    <row r="144" spans="1:9" s="56" customFormat="1" ht="18" thickBot="1" x14ac:dyDescent="0.4">
      <c r="A144" s="174"/>
      <c r="B144" s="175"/>
      <c r="C144" s="176"/>
      <c r="D144" s="176"/>
      <c r="E144" s="177"/>
      <c r="F144" s="176"/>
      <c r="G144" s="176"/>
      <c r="H144" s="178"/>
      <c r="I144" s="81"/>
    </row>
    <row r="145" spans="1:9" s="56" customFormat="1" ht="15.75" thickBot="1" x14ac:dyDescent="0.35">
      <c r="A145" s="81"/>
      <c r="B145" s="81"/>
      <c r="C145" s="81"/>
      <c r="D145" s="81"/>
      <c r="E145" s="81"/>
      <c r="F145" s="81"/>
      <c r="G145" s="81"/>
      <c r="H145" s="81"/>
      <c r="I145" s="81"/>
    </row>
    <row r="146" spans="1:9" s="56" customFormat="1" ht="20.25" thickBot="1" x14ac:dyDescent="0.45">
      <c r="A146" s="169" t="s">
        <v>73</v>
      </c>
      <c r="B146" s="46"/>
      <c r="C146" s="46"/>
      <c r="D146" s="46"/>
      <c r="E146" s="46"/>
      <c r="F146" s="46"/>
      <c r="G146" s="46"/>
      <c r="H146" s="47"/>
      <c r="I146" s="48"/>
    </row>
    <row r="147" spans="1:9" s="56" customFormat="1" ht="15.75" thickBot="1" x14ac:dyDescent="0.35">
      <c r="A147" s="41" t="s">
        <v>56</v>
      </c>
      <c r="B147" s="41" t="s">
        <v>230</v>
      </c>
      <c r="C147" s="41" t="s">
        <v>231</v>
      </c>
      <c r="D147" s="41" t="s">
        <v>76</v>
      </c>
      <c r="E147" s="41" t="s">
        <v>75</v>
      </c>
      <c r="F147" s="41" t="s">
        <v>68</v>
      </c>
      <c r="G147" s="41" t="s">
        <v>74</v>
      </c>
      <c r="H147" s="41" t="s">
        <v>232</v>
      </c>
      <c r="I147" s="41" t="s">
        <v>11</v>
      </c>
    </row>
    <row r="148" spans="1:9" s="56" customFormat="1" ht="17.25" x14ac:dyDescent="0.35">
      <c r="A148" s="294" t="s">
        <v>129</v>
      </c>
      <c r="B148" s="295" t="s">
        <v>132</v>
      </c>
      <c r="C148" s="295" t="s">
        <v>90</v>
      </c>
      <c r="D148" s="295"/>
      <c r="E148" s="295"/>
      <c r="F148" s="295"/>
      <c r="G148" s="295" t="s">
        <v>79</v>
      </c>
      <c r="H148" s="296"/>
      <c r="I148" s="151">
        <v>67290</v>
      </c>
    </row>
    <row r="149" spans="1:9" s="56" customFormat="1" ht="17.25" x14ac:dyDescent="0.35">
      <c r="A149" s="298"/>
      <c r="B149" s="299"/>
      <c r="C149" s="299"/>
      <c r="D149" s="299" t="s">
        <v>69</v>
      </c>
      <c r="E149" s="299">
        <v>1</v>
      </c>
      <c r="F149" s="299">
        <v>1</v>
      </c>
      <c r="G149" s="299"/>
      <c r="H149" s="300"/>
      <c r="I149" s="119"/>
    </row>
    <row r="150" spans="1:9" s="56" customFormat="1" ht="17.25" x14ac:dyDescent="0.35">
      <c r="A150" s="298" t="s">
        <v>240</v>
      </c>
      <c r="B150" s="299" t="s">
        <v>130</v>
      </c>
      <c r="C150" s="299" t="s">
        <v>90</v>
      </c>
      <c r="D150" s="299"/>
      <c r="E150" s="299"/>
      <c r="F150" s="299"/>
      <c r="G150" s="299" t="s">
        <v>79</v>
      </c>
      <c r="H150" s="300"/>
      <c r="I150" s="119">
        <v>67288</v>
      </c>
    </row>
    <row r="151" spans="1:9" s="56" customFormat="1" ht="17.25" x14ac:dyDescent="0.35">
      <c r="A151" s="298"/>
      <c r="B151" s="299"/>
      <c r="C151" s="299"/>
      <c r="D151" s="299" t="s">
        <v>69</v>
      </c>
      <c r="E151" s="299">
        <v>2</v>
      </c>
      <c r="F151" s="299">
        <v>-98</v>
      </c>
      <c r="G151" s="299"/>
      <c r="H151" s="300"/>
      <c r="I151" s="119" t="s">
        <v>241</v>
      </c>
    </row>
    <row r="152" spans="1:9" s="56" customFormat="1" ht="17.25" x14ac:dyDescent="0.35">
      <c r="A152" s="302" t="s">
        <v>242</v>
      </c>
      <c r="B152" s="299" t="s">
        <v>131</v>
      </c>
      <c r="C152" s="299" t="s">
        <v>90</v>
      </c>
      <c r="D152" s="299"/>
      <c r="E152" s="299"/>
      <c r="F152" s="299"/>
      <c r="G152" s="299"/>
      <c r="H152" s="300"/>
      <c r="I152" s="120">
        <v>67289</v>
      </c>
    </row>
    <row r="153" spans="1:9" s="56" customFormat="1" ht="17.25" x14ac:dyDescent="0.35">
      <c r="A153" s="302"/>
      <c r="B153" s="299"/>
      <c r="C153" s="299"/>
      <c r="D153" s="299" t="s">
        <v>69</v>
      </c>
      <c r="E153" s="299">
        <v>2</v>
      </c>
      <c r="F153" s="299">
        <v>-105</v>
      </c>
      <c r="G153" s="299"/>
      <c r="H153" s="300"/>
      <c r="I153" s="120" t="s">
        <v>243</v>
      </c>
    </row>
    <row r="154" spans="1:9" s="56" customFormat="1" ht="17.25" x14ac:dyDescent="0.35">
      <c r="A154" s="298" t="s">
        <v>135</v>
      </c>
      <c r="B154" s="299" t="s">
        <v>136</v>
      </c>
      <c r="C154" s="299" t="s">
        <v>90</v>
      </c>
      <c r="D154" s="299"/>
      <c r="E154" s="299"/>
      <c r="F154" s="299"/>
      <c r="G154" s="299" t="s">
        <v>79</v>
      </c>
      <c r="H154" s="300"/>
      <c r="I154" s="119">
        <v>66042</v>
      </c>
    </row>
    <row r="155" spans="1:9" s="56" customFormat="1" ht="17.25" x14ac:dyDescent="0.35">
      <c r="A155" s="298"/>
      <c r="B155" s="299"/>
      <c r="C155" s="299"/>
      <c r="D155" s="299" t="s">
        <v>69</v>
      </c>
      <c r="E155" s="299">
        <v>1</v>
      </c>
      <c r="F155" s="299">
        <v>0</v>
      </c>
      <c r="G155" s="299"/>
      <c r="H155" s="300"/>
      <c r="I155" s="119"/>
    </row>
    <row r="156" spans="1:9" s="56" customFormat="1" ht="17.25" x14ac:dyDescent="0.35">
      <c r="A156" s="298"/>
      <c r="B156" s="299"/>
      <c r="C156" s="299"/>
      <c r="D156" s="299" t="s">
        <v>69</v>
      </c>
      <c r="E156" s="299">
        <v>1</v>
      </c>
      <c r="F156" s="299">
        <v>0</v>
      </c>
      <c r="G156" s="299"/>
      <c r="H156" s="300"/>
      <c r="I156" s="119"/>
    </row>
    <row r="157" spans="1:9" s="56" customFormat="1" ht="17.25" x14ac:dyDescent="0.35">
      <c r="A157" s="298"/>
      <c r="B157" s="299"/>
      <c r="C157" s="299"/>
      <c r="D157" s="299" t="s">
        <v>69</v>
      </c>
      <c r="E157" s="299">
        <v>1</v>
      </c>
      <c r="F157" s="299">
        <v>8</v>
      </c>
      <c r="G157" s="299"/>
      <c r="H157" s="300"/>
      <c r="I157" s="119"/>
    </row>
    <row r="158" spans="1:9" s="56" customFormat="1" ht="17.25" x14ac:dyDescent="0.35">
      <c r="A158" s="298"/>
      <c r="B158" s="299"/>
      <c r="C158" s="299"/>
      <c r="D158" s="299" t="s">
        <v>69</v>
      </c>
      <c r="E158" s="299">
        <v>1</v>
      </c>
      <c r="F158" s="299">
        <v>30</v>
      </c>
      <c r="G158" s="299"/>
      <c r="H158" s="300"/>
      <c r="I158" s="119"/>
    </row>
    <row r="159" spans="1:9" s="56" customFormat="1" ht="17.25" x14ac:dyDescent="0.35">
      <c r="A159" s="298"/>
      <c r="B159" s="299"/>
      <c r="C159" s="299"/>
      <c r="D159" s="299" t="s">
        <v>69</v>
      </c>
      <c r="E159" s="299">
        <v>4</v>
      </c>
      <c r="F159" s="299" t="s">
        <v>84</v>
      </c>
      <c r="G159" s="299"/>
      <c r="H159" s="300"/>
      <c r="I159" s="119"/>
    </row>
    <row r="160" spans="1:9" s="56" customFormat="1" ht="17.25" x14ac:dyDescent="0.35">
      <c r="A160" s="298" t="s">
        <v>137</v>
      </c>
      <c r="B160" s="299" t="s">
        <v>138</v>
      </c>
      <c r="C160" s="299" t="s">
        <v>90</v>
      </c>
      <c r="D160" s="299"/>
      <c r="E160" s="299"/>
      <c r="F160" s="299"/>
      <c r="G160" s="299"/>
      <c r="H160" s="300"/>
      <c r="I160" s="119">
        <v>66043</v>
      </c>
    </row>
    <row r="161" spans="1:9" s="56" customFormat="1" ht="17.25" x14ac:dyDescent="0.35">
      <c r="A161" s="298"/>
      <c r="B161" s="299"/>
      <c r="C161" s="299"/>
      <c r="D161" s="299" t="s">
        <v>69</v>
      </c>
      <c r="E161" s="299">
        <v>1</v>
      </c>
      <c r="F161" s="299">
        <v>0</v>
      </c>
      <c r="G161" s="299"/>
      <c r="H161" s="300"/>
      <c r="I161" s="119" t="s">
        <v>313</v>
      </c>
    </row>
    <row r="162" spans="1:9" s="56" customFormat="1" ht="17.25" x14ac:dyDescent="0.35">
      <c r="A162" s="298"/>
      <c r="B162" s="299"/>
      <c r="C162" s="299"/>
      <c r="D162" s="299" t="s">
        <v>69</v>
      </c>
      <c r="E162" s="299">
        <v>1</v>
      </c>
      <c r="F162" s="299">
        <v>-100</v>
      </c>
      <c r="G162" s="299"/>
      <c r="H162" s="300"/>
      <c r="I162" s="119"/>
    </row>
    <row r="163" spans="1:9" s="56" customFormat="1" ht="17.25" x14ac:dyDescent="0.35">
      <c r="A163" s="298"/>
      <c r="B163" s="299"/>
      <c r="C163" s="299"/>
      <c r="D163" s="299" t="s">
        <v>69</v>
      </c>
      <c r="E163" s="299">
        <v>2</v>
      </c>
      <c r="F163" s="299">
        <v>-128</v>
      </c>
      <c r="G163" s="299"/>
      <c r="H163" s="300"/>
      <c r="I163" s="119"/>
    </row>
    <row r="164" spans="1:9" s="56" customFormat="1" ht="17.25" x14ac:dyDescent="0.35">
      <c r="A164" s="298"/>
      <c r="B164" s="299"/>
      <c r="C164" s="299"/>
      <c r="D164" s="299" t="s">
        <v>69</v>
      </c>
      <c r="E164" s="299">
        <v>1</v>
      </c>
      <c r="F164" s="299">
        <v>-95</v>
      </c>
      <c r="G164" s="299"/>
      <c r="H164" s="300"/>
      <c r="I164" s="119"/>
    </row>
    <row r="165" spans="1:9" s="56" customFormat="1" ht="17.25" x14ac:dyDescent="0.35">
      <c r="A165" s="298"/>
      <c r="B165" s="299"/>
      <c r="C165" s="299"/>
      <c r="D165" s="299" t="s">
        <v>69</v>
      </c>
      <c r="E165" s="299">
        <v>2</v>
      </c>
      <c r="F165" s="299">
        <v>-120</v>
      </c>
      <c r="G165" s="299"/>
      <c r="H165" s="300"/>
      <c r="I165" s="119"/>
    </row>
    <row r="166" spans="1:9" s="56" customFormat="1" ht="17.25" x14ac:dyDescent="0.35">
      <c r="A166" s="298"/>
      <c r="B166" s="299"/>
      <c r="C166" s="299"/>
      <c r="D166" s="299" t="s">
        <v>69</v>
      </c>
      <c r="E166" s="299">
        <v>1</v>
      </c>
      <c r="F166" s="299">
        <v>0</v>
      </c>
      <c r="G166" s="299"/>
      <c r="H166" s="300"/>
      <c r="I166" s="119"/>
    </row>
    <row r="167" spans="1:9" s="56" customFormat="1" ht="17.25" x14ac:dyDescent="0.35">
      <c r="A167" s="304" t="s">
        <v>452</v>
      </c>
      <c r="B167" s="299" t="s">
        <v>453</v>
      </c>
      <c r="C167" s="299" t="s">
        <v>90</v>
      </c>
      <c r="D167" s="299"/>
      <c r="E167" s="299"/>
      <c r="F167" s="299"/>
      <c r="G167" s="299" t="s">
        <v>79</v>
      </c>
      <c r="H167" s="300"/>
      <c r="I167" s="116">
        <v>65733</v>
      </c>
    </row>
    <row r="168" spans="1:9" s="56" customFormat="1" ht="17.25" x14ac:dyDescent="0.35">
      <c r="A168" s="304"/>
      <c r="B168" s="299"/>
      <c r="C168" s="299"/>
      <c r="D168" s="299" t="s">
        <v>69</v>
      </c>
      <c r="E168" s="299">
        <v>1</v>
      </c>
      <c r="F168" s="299">
        <v>0</v>
      </c>
      <c r="G168" s="299"/>
      <c r="H168" s="300"/>
      <c r="I168" s="116"/>
    </row>
    <row r="169" spans="1:9" s="56" customFormat="1" ht="34.5" x14ac:dyDescent="0.35">
      <c r="A169" s="298" t="s">
        <v>92</v>
      </c>
      <c r="B169" s="299" t="s">
        <v>85</v>
      </c>
      <c r="C169" s="299" t="s">
        <v>90</v>
      </c>
      <c r="D169" s="299"/>
      <c r="E169" s="299"/>
      <c r="F169" s="299"/>
      <c r="G169" s="299"/>
      <c r="H169" s="300"/>
      <c r="I169" s="119">
        <v>66035</v>
      </c>
    </row>
    <row r="170" spans="1:9" s="56" customFormat="1" ht="17.25" x14ac:dyDescent="0.35">
      <c r="A170" s="298"/>
      <c r="B170" s="299"/>
      <c r="C170" s="299"/>
      <c r="D170" s="299" t="s">
        <v>69</v>
      </c>
      <c r="E170" s="299">
        <v>1</v>
      </c>
      <c r="F170" s="299">
        <v>1</v>
      </c>
      <c r="G170" s="299"/>
      <c r="H170" s="300"/>
      <c r="I170" s="119" t="s">
        <v>315</v>
      </c>
    </row>
    <row r="171" spans="1:9" s="81" customFormat="1" ht="17.25" x14ac:dyDescent="0.35">
      <c r="A171" s="298" t="s">
        <v>86</v>
      </c>
      <c r="B171" s="299" t="s">
        <v>87</v>
      </c>
      <c r="C171" s="299" t="s">
        <v>90</v>
      </c>
      <c r="D171" s="299"/>
      <c r="E171" s="299"/>
      <c r="F171" s="299"/>
      <c r="G171" s="299" t="s">
        <v>79</v>
      </c>
      <c r="H171" s="300"/>
      <c r="I171" s="119">
        <v>65953</v>
      </c>
    </row>
    <row r="172" spans="1:9" s="81" customFormat="1" ht="17.25" x14ac:dyDescent="0.35">
      <c r="A172" s="298"/>
      <c r="B172" s="299"/>
      <c r="C172" s="299"/>
      <c r="D172" s="299" t="s">
        <v>69</v>
      </c>
      <c r="E172" s="299">
        <v>4</v>
      </c>
      <c r="F172" s="299">
        <v>10</v>
      </c>
      <c r="G172" s="299"/>
      <c r="H172" s="300"/>
      <c r="I172" s="119" t="s">
        <v>319</v>
      </c>
    </row>
    <row r="173" spans="1:9" s="81" customFormat="1" ht="17.25" x14ac:dyDescent="0.35">
      <c r="A173" s="298"/>
      <c r="B173" s="299"/>
      <c r="C173" s="299"/>
      <c r="D173" s="299" t="s">
        <v>69</v>
      </c>
      <c r="E173" s="299">
        <v>4</v>
      </c>
      <c r="F173" s="299">
        <v>600</v>
      </c>
      <c r="G173" s="299"/>
      <c r="H173" s="300"/>
      <c r="I173" s="119" t="s">
        <v>338</v>
      </c>
    </row>
    <row r="174" spans="1:9" s="81" customFormat="1" ht="17.25" x14ac:dyDescent="0.35">
      <c r="A174" s="298" t="s">
        <v>88</v>
      </c>
      <c r="B174" s="299" t="s">
        <v>89</v>
      </c>
      <c r="C174" s="299" t="s">
        <v>90</v>
      </c>
      <c r="D174" s="299"/>
      <c r="E174" s="299"/>
      <c r="F174" s="299"/>
      <c r="G174" s="299"/>
      <c r="H174" s="300"/>
      <c r="I174" s="119">
        <v>67200</v>
      </c>
    </row>
    <row r="175" spans="1:9" s="81" customFormat="1" ht="17.25" x14ac:dyDescent="0.35">
      <c r="A175" s="298"/>
      <c r="B175" s="299"/>
      <c r="C175" s="299"/>
      <c r="D175" s="299" t="s">
        <v>69</v>
      </c>
      <c r="E175" s="299">
        <v>1</v>
      </c>
      <c r="F175" s="299">
        <v>1</v>
      </c>
      <c r="G175" s="299"/>
      <c r="H175" s="300"/>
      <c r="I175" s="119" t="s">
        <v>27</v>
      </c>
    </row>
    <row r="176" spans="1:9" s="81" customFormat="1" ht="17.25" x14ac:dyDescent="0.35">
      <c r="A176" s="298"/>
      <c r="B176" s="299"/>
      <c r="C176" s="299"/>
      <c r="D176" s="299" t="s">
        <v>69</v>
      </c>
      <c r="E176" s="299">
        <v>1</v>
      </c>
      <c r="F176" s="299">
        <v>1</v>
      </c>
      <c r="G176" s="299"/>
      <c r="H176" s="300"/>
      <c r="I176" s="119" t="s">
        <v>122</v>
      </c>
    </row>
    <row r="177" spans="1:9" s="56" customFormat="1" ht="17.25" x14ac:dyDescent="0.35">
      <c r="A177" s="298"/>
      <c r="B177" s="299"/>
      <c r="C177" s="299"/>
      <c r="D177" s="299" t="s">
        <v>69</v>
      </c>
      <c r="E177" s="299">
        <v>1</v>
      </c>
      <c r="F177" s="299">
        <v>0</v>
      </c>
      <c r="G177" s="299"/>
      <c r="H177" s="300"/>
      <c r="I177" s="119" t="s">
        <v>123</v>
      </c>
    </row>
    <row r="178" spans="1:9" s="56" customFormat="1" ht="17.25" x14ac:dyDescent="0.35">
      <c r="A178" s="298"/>
      <c r="B178" s="299"/>
      <c r="C178" s="299"/>
      <c r="D178" s="299" t="s">
        <v>69</v>
      </c>
      <c r="E178" s="299">
        <v>1</v>
      </c>
      <c r="F178" s="299">
        <v>1</v>
      </c>
      <c r="G178" s="299"/>
      <c r="H178" s="300"/>
      <c r="I178" s="119" t="s">
        <v>124</v>
      </c>
    </row>
    <row r="179" spans="1:9" s="56" customFormat="1" ht="17.25" x14ac:dyDescent="0.35">
      <c r="A179" s="298"/>
      <c r="B179" s="299"/>
      <c r="C179" s="299"/>
      <c r="D179" s="299" t="s">
        <v>69</v>
      </c>
      <c r="E179" s="299">
        <v>1</v>
      </c>
      <c r="F179" s="299">
        <v>3</v>
      </c>
      <c r="G179" s="299"/>
      <c r="H179" s="300"/>
      <c r="I179" s="119" t="s">
        <v>125</v>
      </c>
    </row>
    <row r="180" spans="1:9" s="56" customFormat="1" ht="17.25" x14ac:dyDescent="0.35">
      <c r="A180" s="298"/>
      <c r="B180" s="299"/>
      <c r="C180" s="299"/>
      <c r="D180" s="299" t="s">
        <v>69</v>
      </c>
      <c r="E180" s="299">
        <v>2</v>
      </c>
      <c r="F180" s="299">
        <v>0</v>
      </c>
      <c r="G180" s="299"/>
      <c r="H180" s="300"/>
      <c r="I180" s="119" t="s">
        <v>126</v>
      </c>
    </row>
    <row r="181" spans="1:9" s="56" customFormat="1" ht="34.5" x14ac:dyDescent="0.35">
      <c r="A181" s="298" t="s">
        <v>233</v>
      </c>
      <c r="B181" s="299" t="s">
        <v>234</v>
      </c>
      <c r="C181" s="299" t="s">
        <v>90</v>
      </c>
      <c r="D181" s="299"/>
      <c r="E181" s="299"/>
      <c r="F181" s="299"/>
      <c r="G181" s="299" t="s">
        <v>239</v>
      </c>
      <c r="H181" s="300"/>
      <c r="I181" s="119">
        <v>70302</v>
      </c>
    </row>
    <row r="182" spans="1:9" s="56" customFormat="1" ht="17.25" x14ac:dyDescent="0.35">
      <c r="A182" s="298"/>
      <c r="B182" s="299"/>
      <c r="C182" s="299"/>
      <c r="D182" s="299" t="s">
        <v>69</v>
      </c>
      <c r="E182" s="299">
        <v>1</v>
      </c>
      <c r="F182" s="299">
        <v>1</v>
      </c>
      <c r="G182" s="299"/>
      <c r="H182" s="300"/>
      <c r="I182" s="119"/>
    </row>
    <row r="183" spans="1:9" s="56" customFormat="1" ht="19.5" customHeight="1" x14ac:dyDescent="0.35">
      <c r="A183" s="306" t="s">
        <v>416</v>
      </c>
      <c r="B183" s="299" t="s">
        <v>415</v>
      </c>
      <c r="C183" s="299" t="s">
        <v>90</v>
      </c>
      <c r="D183" s="299"/>
      <c r="E183" s="299"/>
      <c r="F183" s="299"/>
      <c r="G183" s="299" t="s">
        <v>239</v>
      </c>
      <c r="H183" s="300"/>
      <c r="I183" s="100">
        <v>67217</v>
      </c>
    </row>
    <row r="184" spans="1:9" s="56" customFormat="1" ht="19.5" customHeight="1" x14ac:dyDescent="0.35">
      <c r="A184" s="306"/>
      <c r="B184" s="299"/>
      <c r="C184" s="299"/>
      <c r="D184" s="299" t="s">
        <v>69</v>
      </c>
      <c r="E184" s="299">
        <v>1</v>
      </c>
      <c r="F184" s="299">
        <v>0</v>
      </c>
      <c r="G184" s="299"/>
      <c r="H184" s="300"/>
      <c r="I184" s="100" t="s">
        <v>414</v>
      </c>
    </row>
    <row r="185" spans="1:9" s="56" customFormat="1" ht="19.5" customHeight="1" x14ac:dyDescent="0.35">
      <c r="A185" s="306"/>
      <c r="B185" s="299"/>
      <c r="C185" s="299"/>
      <c r="D185" s="299" t="s">
        <v>69</v>
      </c>
      <c r="E185" s="299">
        <v>2</v>
      </c>
      <c r="F185" s="299" t="s">
        <v>121</v>
      </c>
      <c r="G185" s="299"/>
      <c r="H185" s="300"/>
      <c r="I185" s="100" t="s">
        <v>413</v>
      </c>
    </row>
    <row r="186" spans="1:9" s="56" customFormat="1" ht="19.5" customHeight="1" x14ac:dyDescent="0.35">
      <c r="A186" s="304" t="s">
        <v>407</v>
      </c>
      <c r="B186" s="299" t="s">
        <v>406</v>
      </c>
      <c r="C186" s="299" t="s">
        <v>90</v>
      </c>
      <c r="D186" s="299"/>
      <c r="E186" s="299"/>
      <c r="F186" s="299"/>
      <c r="G186" s="299" t="s">
        <v>239</v>
      </c>
      <c r="H186" s="300"/>
      <c r="I186" s="116">
        <v>65811</v>
      </c>
    </row>
    <row r="187" spans="1:9" s="56" customFormat="1" ht="19.5" customHeight="1" x14ac:dyDescent="0.35">
      <c r="A187" s="304"/>
      <c r="B187" s="299"/>
      <c r="C187" s="299"/>
      <c r="D187" s="299" t="s">
        <v>69</v>
      </c>
      <c r="E187" s="299">
        <v>1</v>
      </c>
      <c r="F187" s="299">
        <v>0</v>
      </c>
      <c r="G187" s="299"/>
      <c r="H187" s="300"/>
      <c r="I187" s="116"/>
    </row>
    <row r="188" spans="1:9" s="56" customFormat="1" ht="19.5" customHeight="1" x14ac:dyDescent="0.35">
      <c r="A188" s="298" t="s">
        <v>245</v>
      </c>
      <c r="B188" s="299" t="s">
        <v>246</v>
      </c>
      <c r="C188" s="299" t="s">
        <v>90</v>
      </c>
      <c r="D188" s="299"/>
      <c r="E188" s="299"/>
      <c r="F188" s="299"/>
      <c r="G188" s="299" t="s">
        <v>79</v>
      </c>
      <c r="H188" s="300"/>
      <c r="I188" s="119">
        <v>67291</v>
      </c>
    </row>
    <row r="189" spans="1:9" s="56" customFormat="1" ht="19.5" customHeight="1" x14ac:dyDescent="0.35">
      <c r="A189" s="298"/>
      <c r="B189" s="299"/>
      <c r="C189" s="299"/>
      <c r="D189" s="299" t="s">
        <v>69</v>
      </c>
      <c r="E189" s="299">
        <v>1</v>
      </c>
      <c r="F189" s="299">
        <v>0</v>
      </c>
      <c r="G189" s="299"/>
      <c r="H189" s="300"/>
      <c r="I189" s="119"/>
    </row>
    <row r="190" spans="1:9" s="56" customFormat="1" ht="19.5" customHeight="1" x14ac:dyDescent="0.35">
      <c r="A190" s="308" t="s">
        <v>518</v>
      </c>
      <c r="B190" s="299" t="s">
        <v>517</v>
      </c>
      <c r="C190" s="299" t="s">
        <v>71</v>
      </c>
      <c r="D190" s="299"/>
      <c r="E190" s="299"/>
      <c r="F190" s="299"/>
      <c r="G190" s="299" t="s">
        <v>239</v>
      </c>
      <c r="H190" s="300" t="s">
        <v>541</v>
      </c>
      <c r="I190" s="152"/>
    </row>
    <row r="191" spans="1:9" s="56" customFormat="1" ht="17.25" x14ac:dyDescent="0.35">
      <c r="A191" s="310" t="s">
        <v>433</v>
      </c>
      <c r="B191" s="299" t="s">
        <v>432</v>
      </c>
      <c r="C191" s="299" t="s">
        <v>71</v>
      </c>
      <c r="D191" s="299"/>
      <c r="E191" s="299"/>
      <c r="F191" s="299"/>
      <c r="G191" s="299" t="s">
        <v>239</v>
      </c>
      <c r="H191" s="300" t="s">
        <v>431</v>
      </c>
      <c r="I191" s="119" t="s">
        <v>248</v>
      </c>
    </row>
    <row r="192" spans="1:9" s="56" customFormat="1" ht="27.75" x14ac:dyDescent="0.35">
      <c r="A192" s="298" t="s">
        <v>247</v>
      </c>
      <c r="B192" s="299" t="s">
        <v>236</v>
      </c>
      <c r="C192" s="299" t="s">
        <v>71</v>
      </c>
      <c r="D192" s="299"/>
      <c r="E192" s="299"/>
      <c r="F192" s="299"/>
      <c r="G192" s="299" t="s">
        <v>239</v>
      </c>
      <c r="H192" s="300" t="s">
        <v>1612</v>
      </c>
      <c r="I192" s="119">
        <v>69739</v>
      </c>
    </row>
    <row r="193" spans="1:9" s="56" customFormat="1" ht="16.5" customHeight="1" x14ac:dyDescent="0.35">
      <c r="A193" s="298" t="s">
        <v>249</v>
      </c>
      <c r="B193" s="299" t="s">
        <v>250</v>
      </c>
      <c r="C193" s="299" t="s">
        <v>90</v>
      </c>
      <c r="D193" s="299"/>
      <c r="E193" s="299"/>
      <c r="F193" s="299"/>
      <c r="G193" s="299" t="s">
        <v>79</v>
      </c>
      <c r="H193" s="300"/>
      <c r="I193" s="119" t="s">
        <v>27</v>
      </c>
    </row>
    <row r="194" spans="1:9" s="56" customFormat="1" ht="17.25" x14ac:dyDescent="0.35">
      <c r="A194" s="298"/>
      <c r="B194" s="299"/>
      <c r="C194" s="299"/>
      <c r="D194" s="299" t="s">
        <v>69</v>
      </c>
      <c r="E194" s="299">
        <v>1</v>
      </c>
      <c r="F194" s="299">
        <v>1</v>
      </c>
      <c r="G194" s="299"/>
      <c r="H194" s="300"/>
      <c r="I194" s="119" t="s">
        <v>251</v>
      </c>
    </row>
    <row r="195" spans="1:9" s="56" customFormat="1" ht="17.25" x14ac:dyDescent="0.35">
      <c r="A195" s="298"/>
      <c r="B195" s="299"/>
      <c r="C195" s="299"/>
      <c r="D195" s="299" t="s">
        <v>69</v>
      </c>
      <c r="E195" s="299">
        <v>4</v>
      </c>
      <c r="F195" s="299">
        <v>1000</v>
      </c>
      <c r="G195" s="299"/>
      <c r="H195" s="300"/>
      <c r="I195" s="119">
        <v>67208</v>
      </c>
    </row>
    <row r="196" spans="1:9" s="56" customFormat="1" ht="17.25" x14ac:dyDescent="0.35">
      <c r="A196" s="298" t="s">
        <v>142</v>
      </c>
      <c r="B196" s="299" t="s">
        <v>141</v>
      </c>
      <c r="C196" s="299" t="s">
        <v>90</v>
      </c>
      <c r="D196" s="299"/>
      <c r="E196" s="299"/>
      <c r="F196" s="299"/>
      <c r="G196" s="299" t="s">
        <v>239</v>
      </c>
      <c r="H196" s="300"/>
      <c r="I196" s="119"/>
    </row>
    <row r="197" spans="1:9" s="56" customFormat="1" ht="17.25" x14ac:dyDescent="0.35">
      <c r="A197" s="298"/>
      <c r="B197" s="299"/>
      <c r="C197" s="299"/>
      <c r="D197" s="299" t="s">
        <v>69</v>
      </c>
      <c r="E197" s="299">
        <v>1</v>
      </c>
      <c r="F197" s="299">
        <v>1</v>
      </c>
      <c r="G197" s="299"/>
      <c r="H197" s="300"/>
      <c r="I197" s="121"/>
    </row>
    <row r="198" spans="1:9" s="56" customFormat="1" ht="17.25" x14ac:dyDescent="0.35">
      <c r="A198" s="312" t="s">
        <v>275</v>
      </c>
      <c r="B198" s="299" t="s">
        <v>276</v>
      </c>
      <c r="C198" s="299" t="s">
        <v>71</v>
      </c>
      <c r="D198" s="299"/>
      <c r="E198" s="299"/>
      <c r="F198" s="299"/>
      <c r="G198" s="299" t="s">
        <v>79</v>
      </c>
      <c r="H198" s="300" t="s">
        <v>277</v>
      </c>
      <c r="I198" s="121"/>
    </row>
    <row r="199" spans="1:9" s="56" customFormat="1" ht="17.25" x14ac:dyDescent="0.35">
      <c r="A199" s="312" t="s">
        <v>278</v>
      </c>
      <c r="B199" s="299" t="s">
        <v>279</v>
      </c>
      <c r="C199" s="299" t="s">
        <v>71</v>
      </c>
      <c r="D199" s="299"/>
      <c r="E199" s="299"/>
      <c r="F199" s="299"/>
      <c r="G199" s="299" t="s">
        <v>239</v>
      </c>
      <c r="H199" s="300" t="s">
        <v>280</v>
      </c>
      <c r="I199" s="121"/>
    </row>
    <row r="200" spans="1:9" s="56" customFormat="1" ht="17.25" x14ac:dyDescent="0.35">
      <c r="A200" s="312" t="s">
        <v>281</v>
      </c>
      <c r="B200" s="299" t="s">
        <v>282</v>
      </c>
      <c r="C200" s="299" t="s">
        <v>71</v>
      </c>
      <c r="D200" s="299"/>
      <c r="E200" s="299"/>
      <c r="F200" s="299"/>
      <c r="G200" s="299" t="s">
        <v>239</v>
      </c>
      <c r="H200" s="300" t="s">
        <v>283</v>
      </c>
      <c r="I200" s="121"/>
    </row>
    <row r="201" spans="1:9" s="56" customFormat="1" ht="17.25" x14ac:dyDescent="0.35">
      <c r="A201" s="312" t="s">
        <v>284</v>
      </c>
      <c r="B201" s="299" t="s">
        <v>285</v>
      </c>
      <c r="C201" s="299" t="s">
        <v>71</v>
      </c>
      <c r="D201" s="299"/>
      <c r="E201" s="299"/>
      <c r="F201" s="299"/>
      <c r="G201" s="299" t="s">
        <v>239</v>
      </c>
      <c r="H201" s="300" t="s">
        <v>286</v>
      </c>
      <c r="I201" s="121"/>
    </row>
    <row r="202" spans="1:9" s="56" customFormat="1" ht="17.25" x14ac:dyDescent="0.35">
      <c r="A202" s="312" t="s">
        <v>287</v>
      </c>
      <c r="B202" s="299" t="s">
        <v>288</v>
      </c>
      <c r="C202" s="299" t="s">
        <v>71</v>
      </c>
      <c r="D202" s="299"/>
      <c r="E202" s="299"/>
      <c r="F202" s="299"/>
      <c r="G202" s="299" t="s">
        <v>239</v>
      </c>
      <c r="H202" s="300" t="s">
        <v>289</v>
      </c>
      <c r="I202" s="121"/>
    </row>
    <row r="203" spans="1:9" s="56" customFormat="1" ht="17.25" x14ac:dyDescent="0.35">
      <c r="A203" s="312" t="s">
        <v>290</v>
      </c>
      <c r="B203" s="299" t="s">
        <v>291</v>
      </c>
      <c r="C203" s="299" t="s">
        <v>71</v>
      </c>
      <c r="D203" s="299"/>
      <c r="E203" s="299"/>
      <c r="F203" s="299"/>
      <c r="G203" s="299" t="s">
        <v>239</v>
      </c>
      <c r="H203" s="300" t="s">
        <v>292</v>
      </c>
      <c r="I203" s="121"/>
    </row>
    <row r="204" spans="1:9" s="56" customFormat="1" ht="17.25" x14ac:dyDescent="0.35">
      <c r="A204" s="312" t="s">
        <v>293</v>
      </c>
      <c r="B204" s="299" t="s">
        <v>294</v>
      </c>
      <c r="C204" s="299" t="s">
        <v>71</v>
      </c>
      <c r="D204" s="299"/>
      <c r="E204" s="299"/>
      <c r="F204" s="299"/>
      <c r="G204" s="299" t="s">
        <v>239</v>
      </c>
      <c r="H204" s="300" t="s">
        <v>295</v>
      </c>
      <c r="I204" s="121"/>
    </row>
    <row r="205" spans="1:9" s="56" customFormat="1" ht="17.25" x14ac:dyDescent="0.35">
      <c r="A205" s="312" t="s">
        <v>296</v>
      </c>
      <c r="B205" s="299" t="s">
        <v>252</v>
      </c>
      <c r="C205" s="299" t="s">
        <v>71</v>
      </c>
      <c r="D205" s="299"/>
      <c r="E205" s="299"/>
      <c r="F205" s="299"/>
      <c r="G205" s="299" t="s">
        <v>239</v>
      </c>
      <c r="H205" s="300" t="s">
        <v>297</v>
      </c>
      <c r="I205" s="121"/>
    </row>
    <row r="206" spans="1:9" s="56" customFormat="1" ht="51.75" x14ac:dyDescent="0.35">
      <c r="A206" s="312" t="s">
        <v>298</v>
      </c>
      <c r="B206" s="299" t="s">
        <v>253</v>
      </c>
      <c r="C206" s="299" t="s">
        <v>71</v>
      </c>
      <c r="D206" s="299"/>
      <c r="E206" s="299"/>
      <c r="F206" s="299"/>
      <c r="G206" s="299" t="s">
        <v>239</v>
      </c>
      <c r="H206" s="300" t="s">
        <v>299</v>
      </c>
      <c r="I206" s="122" t="s">
        <v>423</v>
      </c>
    </row>
    <row r="207" spans="1:9" s="56" customFormat="1" ht="17.25" x14ac:dyDescent="0.35">
      <c r="A207" s="314" t="s">
        <v>426</v>
      </c>
      <c r="B207" s="299" t="s">
        <v>425</v>
      </c>
      <c r="C207" s="299" t="s">
        <v>71</v>
      </c>
      <c r="D207" s="299"/>
      <c r="E207" s="299"/>
      <c r="F207" s="299"/>
      <c r="G207" s="299" t="s">
        <v>239</v>
      </c>
      <c r="H207" s="300" t="s">
        <v>424</v>
      </c>
      <c r="I207" s="121"/>
    </row>
    <row r="208" spans="1:9" s="56" customFormat="1" ht="16.5" customHeight="1" x14ac:dyDescent="0.35">
      <c r="A208" s="312" t="s">
        <v>300</v>
      </c>
      <c r="B208" s="299" t="s">
        <v>301</v>
      </c>
      <c r="C208" s="299" t="s">
        <v>71</v>
      </c>
      <c r="D208" s="299"/>
      <c r="E208" s="299"/>
      <c r="F208" s="299"/>
      <c r="G208" s="299" t="s">
        <v>239</v>
      </c>
      <c r="H208" s="300" t="s">
        <v>302</v>
      </c>
      <c r="I208" s="121">
        <v>65777</v>
      </c>
    </row>
    <row r="209" spans="1:9" s="56" customFormat="1" ht="17.25" x14ac:dyDescent="0.35">
      <c r="A209" s="312" t="s">
        <v>120</v>
      </c>
      <c r="B209" s="299" t="s">
        <v>91</v>
      </c>
      <c r="C209" s="299" t="s">
        <v>90</v>
      </c>
      <c r="D209" s="299"/>
      <c r="E209" s="299"/>
      <c r="F209" s="299"/>
      <c r="G209" s="299"/>
      <c r="H209" s="300"/>
      <c r="I209" s="121" t="s">
        <v>311</v>
      </c>
    </row>
    <row r="210" spans="1:9" s="56" customFormat="1" ht="17.25" x14ac:dyDescent="0.35">
      <c r="A210" s="312" t="s">
        <v>139</v>
      </c>
      <c r="B210" s="299" t="s">
        <v>139</v>
      </c>
      <c r="C210" s="299"/>
      <c r="D210" s="299" t="s">
        <v>69</v>
      </c>
      <c r="E210" s="299">
        <v>1</v>
      </c>
      <c r="F210" s="299">
        <v>0</v>
      </c>
      <c r="G210" s="299"/>
      <c r="H210" s="300"/>
      <c r="I210" s="107"/>
    </row>
    <row r="211" spans="1:9" s="56" customFormat="1" ht="17.25" x14ac:dyDescent="0.35">
      <c r="A211" s="316" t="s">
        <v>307</v>
      </c>
      <c r="B211" s="299" t="s">
        <v>308</v>
      </c>
      <c r="C211" s="299" t="s">
        <v>90</v>
      </c>
      <c r="D211" s="299"/>
      <c r="E211" s="299"/>
      <c r="F211" s="299"/>
      <c r="G211" s="299" t="s">
        <v>239</v>
      </c>
      <c r="H211" s="300"/>
      <c r="I211" s="107" t="s">
        <v>309</v>
      </c>
    </row>
    <row r="212" spans="1:9" s="56" customFormat="1" ht="17.25" x14ac:dyDescent="0.35">
      <c r="A212" s="316" t="s">
        <v>139</v>
      </c>
      <c r="B212" s="299" t="s">
        <v>139</v>
      </c>
      <c r="C212" s="299"/>
      <c r="D212" s="299" t="s">
        <v>69</v>
      </c>
      <c r="E212" s="299">
        <v>1</v>
      </c>
      <c r="F212" s="299">
        <v>3</v>
      </c>
      <c r="G212" s="299"/>
      <c r="H212" s="300"/>
      <c r="I212" s="117">
        <v>66048</v>
      </c>
    </row>
    <row r="213" spans="1:9" s="56" customFormat="1" ht="34.5" x14ac:dyDescent="0.35">
      <c r="A213" s="318" t="s">
        <v>317</v>
      </c>
      <c r="B213" s="299" t="s">
        <v>318</v>
      </c>
      <c r="C213" s="299" t="s">
        <v>90</v>
      </c>
      <c r="D213" s="299"/>
      <c r="E213" s="299"/>
      <c r="F213" s="299"/>
      <c r="G213" s="299" t="s">
        <v>239</v>
      </c>
      <c r="H213" s="300"/>
      <c r="I213" s="117"/>
    </row>
    <row r="214" spans="1:9" s="56" customFormat="1" ht="17.25" x14ac:dyDescent="0.35">
      <c r="A214" s="318"/>
      <c r="B214" s="299"/>
      <c r="C214" s="299"/>
      <c r="D214" s="299" t="s">
        <v>69</v>
      </c>
      <c r="E214" s="299">
        <v>4</v>
      </c>
      <c r="F214" s="299" t="s">
        <v>84</v>
      </c>
      <c r="G214" s="299"/>
      <c r="H214" s="300"/>
      <c r="I214" s="123">
        <v>66045</v>
      </c>
    </row>
    <row r="215" spans="1:9" s="56" customFormat="1" ht="34.5" x14ac:dyDescent="0.35">
      <c r="A215" s="320" t="s">
        <v>320</v>
      </c>
      <c r="B215" s="299" t="s">
        <v>321</v>
      </c>
      <c r="C215" s="299" t="s">
        <v>90</v>
      </c>
      <c r="D215" s="299"/>
      <c r="E215" s="299"/>
      <c r="F215" s="299"/>
      <c r="G215" s="299" t="s">
        <v>79</v>
      </c>
      <c r="H215" s="300"/>
      <c r="I215" s="123"/>
    </row>
    <row r="216" spans="1:9" s="56" customFormat="1" ht="17.25" x14ac:dyDescent="0.35">
      <c r="A216" s="320"/>
      <c r="B216" s="299"/>
      <c r="C216" s="299"/>
      <c r="D216" s="299" t="s">
        <v>69</v>
      </c>
      <c r="E216" s="299">
        <v>1</v>
      </c>
      <c r="F216" s="299">
        <v>1</v>
      </c>
      <c r="G216" s="299"/>
      <c r="H216" s="300"/>
      <c r="I216" s="117">
        <v>65674</v>
      </c>
    </row>
    <row r="217" spans="1:9" s="56" customFormat="1" ht="34.5" x14ac:dyDescent="0.35">
      <c r="A217" s="318" t="s">
        <v>336</v>
      </c>
      <c r="B217" s="299" t="s">
        <v>337</v>
      </c>
      <c r="C217" s="299" t="s">
        <v>90</v>
      </c>
      <c r="D217" s="299"/>
      <c r="E217" s="299"/>
      <c r="F217" s="299"/>
      <c r="G217" s="299" t="s">
        <v>79</v>
      </c>
      <c r="H217" s="300"/>
      <c r="I217" s="117">
        <v>67270</v>
      </c>
    </row>
    <row r="218" spans="1:9" s="56" customFormat="1" ht="17.25" x14ac:dyDescent="0.35">
      <c r="A218" s="318"/>
      <c r="B218" s="299"/>
      <c r="C218" s="299"/>
      <c r="D218" s="299" t="s">
        <v>69</v>
      </c>
      <c r="E218" s="299">
        <v>1</v>
      </c>
      <c r="F218" s="299">
        <v>1</v>
      </c>
      <c r="G218" s="299"/>
      <c r="H218" s="300"/>
      <c r="I218" s="117"/>
    </row>
    <row r="219" spans="1:9" s="56" customFormat="1" ht="17.25" x14ac:dyDescent="0.35">
      <c r="A219" s="318" t="s">
        <v>329</v>
      </c>
      <c r="B219" s="299" t="s">
        <v>330</v>
      </c>
      <c r="C219" s="299" t="s">
        <v>90</v>
      </c>
      <c r="D219" s="299"/>
      <c r="E219" s="299"/>
      <c r="F219" s="299"/>
      <c r="G219" s="299" t="s">
        <v>239</v>
      </c>
      <c r="H219" s="300"/>
      <c r="I219" s="117">
        <v>72538</v>
      </c>
    </row>
    <row r="220" spans="1:9" s="56" customFormat="1" ht="17.25" x14ac:dyDescent="0.35">
      <c r="A220" s="318"/>
      <c r="B220" s="299"/>
      <c r="C220" s="299"/>
      <c r="D220" s="299" t="s">
        <v>69</v>
      </c>
      <c r="E220" s="299">
        <v>2</v>
      </c>
      <c r="F220" s="299">
        <v>300</v>
      </c>
      <c r="G220" s="299"/>
      <c r="H220" s="300"/>
      <c r="I220" s="117"/>
    </row>
    <row r="221" spans="1:9" s="56" customFormat="1" ht="17.25" x14ac:dyDescent="0.35">
      <c r="A221" s="318"/>
      <c r="B221" s="299"/>
      <c r="C221" s="299"/>
      <c r="D221" s="299" t="s">
        <v>69</v>
      </c>
      <c r="E221" s="299">
        <v>2</v>
      </c>
      <c r="F221" s="299">
        <v>10</v>
      </c>
      <c r="G221" s="299"/>
      <c r="H221" s="300"/>
      <c r="I221" s="117"/>
    </row>
    <row r="222" spans="1:9" s="56" customFormat="1" ht="17.25" x14ac:dyDescent="0.35">
      <c r="A222" s="320" t="s">
        <v>331</v>
      </c>
      <c r="B222" s="299" t="s">
        <v>332</v>
      </c>
      <c r="C222" s="299" t="s">
        <v>90</v>
      </c>
      <c r="D222" s="299"/>
      <c r="E222" s="299"/>
      <c r="F222" s="299"/>
      <c r="G222" s="299"/>
      <c r="H222" s="300"/>
      <c r="I222" s="123">
        <v>72608</v>
      </c>
    </row>
    <row r="223" spans="1:9" s="56" customFormat="1" ht="16.5" customHeight="1" x14ac:dyDescent="0.35">
      <c r="A223" s="320"/>
      <c r="B223" s="299"/>
      <c r="C223" s="299"/>
      <c r="D223" s="299" t="s">
        <v>69</v>
      </c>
      <c r="E223" s="299">
        <v>1</v>
      </c>
      <c r="F223" s="299">
        <v>1</v>
      </c>
      <c r="G223" s="299"/>
      <c r="H223" s="300"/>
      <c r="I223" s="123" t="s">
        <v>333</v>
      </c>
    </row>
    <row r="224" spans="1:9" s="56" customFormat="1" ht="16.5" customHeight="1" x14ac:dyDescent="0.35">
      <c r="A224" s="320"/>
      <c r="B224" s="299"/>
      <c r="C224" s="299"/>
      <c r="D224" s="299" t="s">
        <v>69</v>
      </c>
      <c r="E224" s="299">
        <v>2</v>
      </c>
      <c r="F224" s="299">
        <v>900</v>
      </c>
      <c r="G224" s="299"/>
      <c r="H224" s="300"/>
      <c r="I224" s="123" t="s">
        <v>334</v>
      </c>
    </row>
    <row r="225" spans="1:10" s="56" customFormat="1" ht="16.5" customHeight="1" x14ac:dyDescent="0.35">
      <c r="A225" s="320"/>
      <c r="B225" s="299"/>
      <c r="C225" s="299"/>
      <c r="D225" s="299" t="s">
        <v>69</v>
      </c>
      <c r="E225" s="299">
        <v>2</v>
      </c>
      <c r="F225" s="299">
        <v>100</v>
      </c>
      <c r="G225" s="299"/>
      <c r="H225" s="300"/>
      <c r="I225" s="123" t="s">
        <v>335</v>
      </c>
    </row>
    <row r="226" spans="1:10" s="56" customFormat="1" ht="17.25" x14ac:dyDescent="0.35">
      <c r="A226" s="318" t="s">
        <v>343</v>
      </c>
      <c r="B226" s="299" t="s">
        <v>342</v>
      </c>
      <c r="C226" s="299" t="s">
        <v>90</v>
      </c>
      <c r="D226" s="299"/>
      <c r="E226" s="299"/>
      <c r="F226" s="299"/>
      <c r="G226" s="299" t="s">
        <v>239</v>
      </c>
      <c r="H226" s="300"/>
      <c r="I226" s="117" t="s">
        <v>344</v>
      </c>
    </row>
    <row r="227" spans="1:10" s="145" customFormat="1" ht="17.25" x14ac:dyDescent="0.35">
      <c r="A227" s="318"/>
      <c r="B227" s="299"/>
      <c r="C227" s="299"/>
      <c r="D227" s="299" t="s">
        <v>69</v>
      </c>
      <c r="E227" s="299">
        <v>1</v>
      </c>
      <c r="F227" s="299">
        <v>0</v>
      </c>
      <c r="G227" s="299"/>
      <c r="H227" s="300"/>
      <c r="I227" s="117"/>
      <c r="J227" s="56"/>
    </row>
    <row r="228" spans="1:10" s="145" customFormat="1" ht="17.25" x14ac:dyDescent="0.35">
      <c r="A228" s="318" t="s">
        <v>345</v>
      </c>
      <c r="B228" s="299" t="s">
        <v>346</v>
      </c>
      <c r="C228" s="299" t="s">
        <v>90</v>
      </c>
      <c r="D228" s="299"/>
      <c r="E228" s="299"/>
      <c r="F228" s="299"/>
      <c r="G228" s="299" t="s">
        <v>239</v>
      </c>
      <c r="H228" s="300"/>
      <c r="I228" s="117">
        <v>72539</v>
      </c>
      <c r="J228" s="56"/>
    </row>
    <row r="229" spans="1:10" s="145" customFormat="1" ht="17.25" x14ac:dyDescent="0.35">
      <c r="A229" s="318"/>
      <c r="B229" s="299"/>
      <c r="C229" s="299"/>
      <c r="D229" s="299" t="s">
        <v>69</v>
      </c>
      <c r="E229" s="299">
        <v>1</v>
      </c>
      <c r="F229" s="299">
        <v>1</v>
      </c>
      <c r="G229" s="299"/>
      <c r="H229" s="300"/>
      <c r="I229" s="117"/>
      <c r="J229" s="56"/>
    </row>
    <row r="230" spans="1:10" s="145" customFormat="1" ht="17.25" x14ac:dyDescent="0.35">
      <c r="A230" s="316" t="s">
        <v>362</v>
      </c>
      <c r="B230" s="299" t="s">
        <v>363</v>
      </c>
      <c r="C230" s="299" t="s">
        <v>90</v>
      </c>
      <c r="D230" s="299"/>
      <c r="E230" s="299"/>
      <c r="F230" s="299"/>
      <c r="G230" s="299" t="s">
        <v>239</v>
      </c>
      <c r="H230" s="300"/>
      <c r="I230" s="107">
        <v>72614</v>
      </c>
      <c r="J230" s="56"/>
    </row>
    <row r="231" spans="1:10" s="145" customFormat="1" ht="17.25" x14ac:dyDescent="0.35">
      <c r="A231" s="318"/>
      <c r="B231" s="299"/>
      <c r="C231" s="299"/>
      <c r="D231" s="299" t="s">
        <v>69</v>
      </c>
      <c r="E231" s="299">
        <v>1</v>
      </c>
      <c r="F231" s="299">
        <v>1</v>
      </c>
      <c r="G231" s="299"/>
      <c r="H231" s="300"/>
      <c r="I231" s="117" t="s">
        <v>364</v>
      </c>
      <c r="J231" s="56"/>
    </row>
    <row r="232" spans="1:10" s="56" customFormat="1" ht="17.25" x14ac:dyDescent="0.35">
      <c r="A232" s="273" t="s">
        <v>1148</v>
      </c>
      <c r="B232" s="124" t="s">
        <v>1149</v>
      </c>
      <c r="C232" s="299" t="s">
        <v>90</v>
      </c>
      <c r="D232" s="124"/>
      <c r="E232" s="124"/>
      <c r="F232" s="124"/>
      <c r="G232" s="299" t="s">
        <v>239</v>
      </c>
      <c r="H232" s="272"/>
      <c r="I232" s="120">
        <v>70315</v>
      </c>
    </row>
    <row r="233" spans="1:10" s="56" customFormat="1" ht="17.25" x14ac:dyDescent="0.35">
      <c r="A233" s="273"/>
      <c r="B233" s="124"/>
      <c r="C233" s="124"/>
      <c r="D233" s="299" t="s">
        <v>69</v>
      </c>
      <c r="E233" s="299">
        <v>1</v>
      </c>
      <c r="F233" s="299">
        <v>2</v>
      </c>
      <c r="G233" s="124"/>
      <c r="H233" s="272"/>
      <c r="I233" s="120"/>
    </row>
    <row r="234" spans="1:10" s="146" customFormat="1" ht="17.25" x14ac:dyDescent="0.35">
      <c r="A234" s="318" t="s">
        <v>457</v>
      </c>
      <c r="B234" s="299" t="s">
        <v>458</v>
      </c>
      <c r="C234" s="299" t="s">
        <v>90</v>
      </c>
      <c r="D234" s="299"/>
      <c r="E234" s="299"/>
      <c r="F234" s="299"/>
      <c r="G234" s="299" t="s">
        <v>79</v>
      </c>
      <c r="H234" s="300"/>
      <c r="I234" s="117">
        <v>73616</v>
      </c>
      <c r="J234" s="81"/>
    </row>
    <row r="235" spans="1:10" s="147" customFormat="1" ht="17.25" x14ac:dyDescent="0.35">
      <c r="A235" s="318"/>
      <c r="B235" s="299"/>
      <c r="C235" s="299"/>
      <c r="D235" s="299" t="s">
        <v>69</v>
      </c>
      <c r="E235" s="299">
        <v>1</v>
      </c>
      <c r="F235" s="299">
        <v>1</v>
      </c>
      <c r="G235" s="299"/>
      <c r="H235" s="300"/>
      <c r="I235" s="117"/>
      <c r="J235" s="56"/>
    </row>
    <row r="236" spans="1:10" s="147" customFormat="1" ht="17.25" x14ac:dyDescent="0.35">
      <c r="A236" s="318" t="s">
        <v>386</v>
      </c>
      <c r="B236" s="299" t="s">
        <v>387</v>
      </c>
      <c r="C236" s="299" t="s">
        <v>90</v>
      </c>
      <c r="D236" s="299"/>
      <c r="E236" s="299"/>
      <c r="F236" s="299"/>
      <c r="G236" s="299" t="s">
        <v>239</v>
      </c>
      <c r="H236" s="300"/>
      <c r="I236" s="117">
        <v>67221</v>
      </c>
      <c r="J236" s="56"/>
    </row>
    <row r="237" spans="1:10" s="147" customFormat="1" ht="53.25" x14ac:dyDescent="0.35">
      <c r="A237" s="318"/>
      <c r="B237" s="299"/>
      <c r="C237" s="299"/>
      <c r="D237" s="299" t="s">
        <v>388</v>
      </c>
      <c r="E237" s="299">
        <v>1</v>
      </c>
      <c r="F237" s="299" t="s">
        <v>389</v>
      </c>
      <c r="G237" s="299"/>
      <c r="H237" s="300"/>
      <c r="I237" s="117"/>
      <c r="J237" s="56"/>
    </row>
    <row r="238" spans="1:10" s="56" customFormat="1" ht="17.25" x14ac:dyDescent="0.35">
      <c r="A238" s="318" t="s">
        <v>390</v>
      </c>
      <c r="B238" s="299" t="s">
        <v>391</v>
      </c>
      <c r="C238" s="299" t="s">
        <v>90</v>
      </c>
      <c r="D238" s="299"/>
      <c r="E238" s="299"/>
      <c r="F238" s="299"/>
      <c r="G238" s="299" t="s">
        <v>239</v>
      </c>
      <c r="H238" s="300"/>
      <c r="I238" s="117">
        <v>70242</v>
      </c>
    </row>
    <row r="239" spans="1:10" s="56" customFormat="1" ht="17.25" x14ac:dyDescent="0.35">
      <c r="A239" s="318"/>
      <c r="B239" s="299"/>
      <c r="C239" s="299"/>
      <c r="D239" s="299" t="s">
        <v>69</v>
      </c>
      <c r="E239" s="299">
        <v>1</v>
      </c>
      <c r="F239" s="299">
        <v>0</v>
      </c>
      <c r="G239" s="299"/>
      <c r="H239" s="300"/>
      <c r="I239" s="117"/>
    </row>
    <row r="240" spans="1:10" s="56" customFormat="1" ht="17.25" x14ac:dyDescent="0.35">
      <c r="A240" s="318" t="s">
        <v>392</v>
      </c>
      <c r="B240" s="299" t="s">
        <v>393</v>
      </c>
      <c r="C240" s="299" t="s">
        <v>90</v>
      </c>
      <c r="D240" s="299"/>
      <c r="E240" s="299"/>
      <c r="F240" s="299"/>
      <c r="G240" s="299" t="s">
        <v>239</v>
      </c>
      <c r="H240" s="300"/>
      <c r="I240" s="117">
        <v>69736</v>
      </c>
    </row>
    <row r="241" spans="1:11" s="56" customFormat="1" ht="17.25" x14ac:dyDescent="0.35">
      <c r="A241" s="318"/>
      <c r="B241" s="299"/>
      <c r="C241" s="299"/>
      <c r="D241" s="299" t="s">
        <v>69</v>
      </c>
      <c r="E241" s="299">
        <v>1</v>
      </c>
      <c r="F241" s="299">
        <v>1</v>
      </c>
      <c r="G241" s="299"/>
      <c r="H241" s="300"/>
      <c r="I241" s="117"/>
    </row>
    <row r="242" spans="1:11" s="56" customFormat="1" ht="17.25" x14ac:dyDescent="0.35">
      <c r="A242" s="318" t="s">
        <v>394</v>
      </c>
      <c r="B242" s="299" t="s">
        <v>395</v>
      </c>
      <c r="C242" s="299" t="s">
        <v>90</v>
      </c>
      <c r="D242" s="299"/>
      <c r="E242" s="299"/>
      <c r="F242" s="299"/>
      <c r="G242" s="299" t="s">
        <v>239</v>
      </c>
      <c r="H242" s="300"/>
      <c r="I242" s="117">
        <v>69737</v>
      </c>
    </row>
    <row r="243" spans="1:11" s="56" customFormat="1" ht="155.25" x14ac:dyDescent="0.35">
      <c r="A243" s="318"/>
      <c r="B243" s="299"/>
      <c r="C243" s="299"/>
      <c r="D243" s="299" t="s">
        <v>396</v>
      </c>
      <c r="E243" s="299">
        <v>1</v>
      </c>
      <c r="F243" s="299" t="s">
        <v>397</v>
      </c>
      <c r="G243" s="299"/>
      <c r="H243" s="300"/>
      <c r="I243" s="117"/>
    </row>
    <row r="244" spans="1:11" s="56" customFormat="1" ht="17.25" x14ac:dyDescent="0.35">
      <c r="A244" s="318" t="s">
        <v>400</v>
      </c>
      <c r="B244" s="299" t="s">
        <v>401</v>
      </c>
      <c r="C244" s="299" t="s">
        <v>90</v>
      </c>
      <c r="D244" s="299"/>
      <c r="E244" s="299"/>
      <c r="F244" s="299"/>
      <c r="G244" s="299" t="s">
        <v>239</v>
      </c>
      <c r="H244" s="300"/>
      <c r="I244" s="117"/>
    </row>
    <row r="245" spans="1:11" s="56" customFormat="1" ht="17.25" x14ac:dyDescent="0.35">
      <c r="A245" s="318"/>
      <c r="B245" s="299"/>
      <c r="C245" s="299"/>
      <c r="D245" s="299" t="s">
        <v>69</v>
      </c>
      <c r="E245" s="299">
        <v>1</v>
      </c>
      <c r="F245" s="299">
        <v>1</v>
      </c>
      <c r="G245" s="299"/>
      <c r="H245" s="300"/>
      <c r="I245" s="117"/>
    </row>
    <row r="246" spans="1:11" s="56" customFormat="1" ht="17.25" x14ac:dyDescent="0.35">
      <c r="A246" s="318" t="s">
        <v>376</v>
      </c>
      <c r="B246" s="299" t="s">
        <v>377</v>
      </c>
      <c r="C246" s="299" t="s">
        <v>71</v>
      </c>
      <c r="D246" s="299"/>
      <c r="E246" s="299"/>
      <c r="F246" s="299"/>
      <c r="G246" s="299" t="s">
        <v>239</v>
      </c>
      <c r="H246" s="300" t="s">
        <v>378</v>
      </c>
      <c r="I246" s="117">
        <v>67211</v>
      </c>
    </row>
    <row r="247" spans="1:11" s="56" customFormat="1" ht="17.25" x14ac:dyDescent="0.35">
      <c r="A247" s="318" t="s">
        <v>1150</v>
      </c>
      <c r="B247" s="299" t="s">
        <v>1151</v>
      </c>
      <c r="C247" s="299" t="s">
        <v>71</v>
      </c>
      <c r="D247" s="124"/>
      <c r="E247" s="124"/>
      <c r="F247" s="124"/>
      <c r="G247" s="299" t="s">
        <v>239</v>
      </c>
      <c r="H247" s="300" t="s">
        <v>1160</v>
      </c>
      <c r="I247" s="120" t="s">
        <v>1152</v>
      </c>
    </row>
    <row r="248" spans="1:11" s="56" customFormat="1" ht="17.25" x14ac:dyDescent="0.35">
      <c r="A248" s="318" t="s">
        <v>1153</v>
      </c>
      <c r="B248" s="299" t="s">
        <v>1154</v>
      </c>
      <c r="C248" s="299" t="s">
        <v>71</v>
      </c>
      <c r="D248" s="124"/>
      <c r="E248" s="124"/>
      <c r="F248" s="124"/>
      <c r="G248" s="299" t="s">
        <v>239</v>
      </c>
      <c r="H248" s="300" t="s">
        <v>1161</v>
      </c>
      <c r="I248" s="120" t="s">
        <v>1152</v>
      </c>
    </row>
    <row r="249" spans="1:11" s="56" customFormat="1" ht="17.25" x14ac:dyDescent="0.35">
      <c r="A249" s="318" t="s">
        <v>1155</v>
      </c>
      <c r="B249" s="299" t="s">
        <v>1156</v>
      </c>
      <c r="C249" s="299" t="s">
        <v>71</v>
      </c>
      <c r="D249" s="124"/>
      <c r="E249" s="124"/>
      <c r="F249" s="124"/>
      <c r="G249" s="299" t="s">
        <v>239</v>
      </c>
      <c r="H249" s="300" t="s">
        <v>1162</v>
      </c>
      <c r="I249" s="120" t="s">
        <v>1152</v>
      </c>
    </row>
    <row r="250" spans="1:11" s="56" customFormat="1" ht="17.25" x14ac:dyDescent="0.35">
      <c r="A250" s="318" t="s">
        <v>1157</v>
      </c>
      <c r="B250" s="299" t="s">
        <v>1158</v>
      </c>
      <c r="C250" s="299" t="s">
        <v>71</v>
      </c>
      <c r="D250" s="124"/>
      <c r="E250" s="124"/>
      <c r="F250" s="124"/>
      <c r="G250" s="299" t="s">
        <v>239</v>
      </c>
      <c r="H250" s="300" t="s">
        <v>1163</v>
      </c>
      <c r="I250" s="120" t="s">
        <v>1159</v>
      </c>
    </row>
    <row r="251" spans="1:11" s="141" customFormat="1" ht="17.25" x14ac:dyDescent="0.35">
      <c r="A251" s="308" t="s">
        <v>555</v>
      </c>
      <c r="B251" s="299" t="s">
        <v>556</v>
      </c>
      <c r="C251" s="299" t="s">
        <v>1247</v>
      </c>
      <c r="D251" s="299"/>
      <c r="E251" s="299"/>
      <c r="F251" s="299"/>
      <c r="G251" s="299" t="s">
        <v>239</v>
      </c>
      <c r="H251" s="300" t="s">
        <v>557</v>
      </c>
      <c r="I251" s="152">
        <v>73755</v>
      </c>
      <c r="J251" s="81"/>
      <c r="K251" s="81"/>
    </row>
    <row r="252" spans="1:11" s="141" customFormat="1" ht="17.25" x14ac:dyDescent="0.35">
      <c r="A252" s="318" t="s">
        <v>566</v>
      </c>
      <c r="B252" s="299" t="s">
        <v>567</v>
      </c>
      <c r="C252" s="299" t="s">
        <v>71</v>
      </c>
      <c r="D252" s="299"/>
      <c r="E252" s="299"/>
      <c r="F252" s="299"/>
      <c r="G252" s="299" t="s">
        <v>239</v>
      </c>
      <c r="H252" s="300" t="s">
        <v>568</v>
      </c>
      <c r="I252" s="117"/>
      <c r="J252" s="81"/>
      <c r="K252" s="81"/>
    </row>
    <row r="253" spans="1:11" s="141" customFormat="1" ht="16.5" customHeight="1" x14ac:dyDescent="0.35">
      <c r="A253" s="318" t="s">
        <v>500</v>
      </c>
      <c r="B253" s="299" t="s">
        <v>527</v>
      </c>
      <c r="C253" s="299" t="s">
        <v>71</v>
      </c>
      <c r="D253" s="299"/>
      <c r="E253" s="299"/>
      <c r="F253" s="299"/>
      <c r="G253" s="299" t="s">
        <v>239</v>
      </c>
      <c r="H253" s="300" t="s">
        <v>501</v>
      </c>
      <c r="I253" s="117" t="s">
        <v>569</v>
      </c>
      <c r="J253" s="81"/>
      <c r="K253" s="81"/>
    </row>
    <row r="254" spans="1:11" s="56" customFormat="1" ht="17.25" x14ac:dyDescent="0.35">
      <c r="A254" s="318" t="s">
        <v>502</v>
      </c>
      <c r="B254" s="299" t="s">
        <v>528</v>
      </c>
      <c r="C254" s="299" t="s">
        <v>71</v>
      </c>
      <c r="D254" s="299"/>
      <c r="E254" s="299"/>
      <c r="F254" s="299"/>
      <c r="G254" s="299" t="s">
        <v>239</v>
      </c>
      <c r="H254" s="300" t="s">
        <v>503</v>
      </c>
      <c r="I254" s="117" t="s">
        <v>1170</v>
      </c>
    </row>
    <row r="255" spans="1:11" s="56" customFormat="1" ht="17.25" x14ac:dyDescent="0.35">
      <c r="A255" s="318" t="s">
        <v>570</v>
      </c>
      <c r="B255" s="299" t="s">
        <v>571</v>
      </c>
      <c r="C255" s="299" t="s">
        <v>71</v>
      </c>
      <c r="D255" s="299"/>
      <c r="E255" s="299"/>
      <c r="F255" s="299"/>
      <c r="G255" s="299" t="s">
        <v>239</v>
      </c>
      <c r="H255" s="300" t="s">
        <v>572</v>
      </c>
      <c r="I255" s="117" t="s">
        <v>573</v>
      </c>
    </row>
    <row r="256" spans="1:11" s="56" customFormat="1" ht="17.25" x14ac:dyDescent="0.35">
      <c r="A256" s="318" t="s">
        <v>1164</v>
      </c>
      <c r="B256" s="299" t="s">
        <v>1166</v>
      </c>
      <c r="C256" s="299" t="s">
        <v>71</v>
      </c>
      <c r="D256" s="299"/>
      <c r="E256" s="299"/>
      <c r="F256" s="299"/>
      <c r="G256" s="299" t="s">
        <v>239</v>
      </c>
      <c r="H256" s="300" t="s">
        <v>1168</v>
      </c>
      <c r="I256" s="117" t="s">
        <v>1171</v>
      </c>
    </row>
    <row r="257" spans="1:10" s="56" customFormat="1" ht="17.25" x14ac:dyDescent="0.35">
      <c r="A257" s="318" t="s">
        <v>1165</v>
      </c>
      <c r="B257" s="299" t="s">
        <v>1167</v>
      </c>
      <c r="C257" s="299" t="s">
        <v>71</v>
      </c>
      <c r="D257" s="299"/>
      <c r="E257" s="299"/>
      <c r="F257" s="299"/>
      <c r="G257" s="299" t="s">
        <v>239</v>
      </c>
      <c r="H257" s="300" t="s">
        <v>1169</v>
      </c>
      <c r="I257" s="117" t="s">
        <v>573</v>
      </c>
    </row>
    <row r="258" spans="1:10" s="141" customFormat="1" ht="17.25" x14ac:dyDescent="0.35">
      <c r="A258" s="318" t="s">
        <v>574</v>
      </c>
      <c r="B258" s="299" t="s">
        <v>575</v>
      </c>
      <c r="C258" s="299" t="s">
        <v>71</v>
      </c>
      <c r="D258" s="299"/>
      <c r="E258" s="299"/>
      <c r="F258" s="299"/>
      <c r="G258" s="299" t="s">
        <v>239</v>
      </c>
      <c r="H258" s="300" t="s">
        <v>576</v>
      </c>
      <c r="I258" s="117" t="s">
        <v>569</v>
      </c>
    </row>
    <row r="259" spans="1:10" s="141" customFormat="1" ht="17.25" x14ac:dyDescent="0.35">
      <c r="A259" s="318" t="s">
        <v>504</v>
      </c>
      <c r="B259" s="299" t="s">
        <v>529</v>
      </c>
      <c r="C259" s="299" t="s">
        <v>71</v>
      </c>
      <c r="D259" s="299"/>
      <c r="E259" s="299"/>
      <c r="F259" s="299"/>
      <c r="G259" s="299" t="s">
        <v>239</v>
      </c>
      <c r="H259" s="300" t="s">
        <v>375</v>
      </c>
      <c r="I259" s="117" t="s">
        <v>573</v>
      </c>
    </row>
    <row r="260" spans="1:10" s="141" customFormat="1" ht="17.25" x14ac:dyDescent="0.35">
      <c r="A260" s="318" t="s">
        <v>379</v>
      </c>
      <c r="B260" s="299" t="s">
        <v>380</v>
      </c>
      <c r="C260" s="299" t="s">
        <v>71</v>
      </c>
      <c r="D260" s="299"/>
      <c r="E260" s="299"/>
      <c r="F260" s="299"/>
      <c r="G260" s="299" t="s">
        <v>239</v>
      </c>
      <c r="H260" s="300" t="s">
        <v>381</v>
      </c>
      <c r="I260" s="152"/>
    </row>
    <row r="261" spans="1:10" s="141" customFormat="1" ht="17.25" x14ac:dyDescent="0.35">
      <c r="A261" s="318" t="s">
        <v>382</v>
      </c>
      <c r="B261" s="299" t="s">
        <v>383</v>
      </c>
      <c r="C261" s="299" t="s">
        <v>71</v>
      </c>
      <c r="D261" s="299"/>
      <c r="E261" s="299"/>
      <c r="F261" s="299"/>
      <c r="G261" s="299" t="s">
        <v>239</v>
      </c>
      <c r="H261" s="300" t="s">
        <v>384</v>
      </c>
      <c r="I261" s="117" t="s">
        <v>385</v>
      </c>
    </row>
    <row r="262" spans="1:10" s="148" customFormat="1" ht="17.25" x14ac:dyDescent="0.35">
      <c r="A262" s="318" t="s">
        <v>544</v>
      </c>
      <c r="B262" s="321" t="s">
        <v>545</v>
      </c>
      <c r="C262" s="321" t="s">
        <v>90</v>
      </c>
      <c r="D262" s="321"/>
      <c r="E262" s="321"/>
      <c r="F262" s="321"/>
      <c r="G262" s="321" t="s">
        <v>79</v>
      </c>
      <c r="H262" s="322"/>
      <c r="I262" s="117">
        <v>69681</v>
      </c>
    </row>
    <row r="263" spans="1:10" s="148" customFormat="1" ht="17.25" x14ac:dyDescent="0.35">
      <c r="A263" s="318"/>
      <c r="B263" s="321"/>
      <c r="C263" s="321"/>
      <c r="D263" s="321" t="s">
        <v>69</v>
      </c>
      <c r="E263" s="321">
        <v>2</v>
      </c>
      <c r="F263" s="321">
        <v>25</v>
      </c>
      <c r="G263" s="321"/>
      <c r="H263" s="322"/>
      <c r="I263" s="117"/>
    </row>
    <row r="264" spans="1:10" s="141" customFormat="1" ht="17.25" x14ac:dyDescent="0.35">
      <c r="A264" s="318" t="s">
        <v>409</v>
      </c>
      <c r="B264" s="299" t="s">
        <v>408</v>
      </c>
      <c r="C264" s="299" t="s">
        <v>90</v>
      </c>
      <c r="D264" s="299"/>
      <c r="E264" s="299"/>
      <c r="F264" s="299"/>
      <c r="G264" s="299" t="s">
        <v>239</v>
      </c>
      <c r="H264" s="300"/>
      <c r="I264" s="117"/>
    </row>
    <row r="265" spans="1:10" s="150" customFormat="1" ht="17.25" x14ac:dyDescent="0.35">
      <c r="A265" s="318"/>
      <c r="B265" s="299"/>
      <c r="C265" s="299"/>
      <c r="D265" s="299" t="s">
        <v>69</v>
      </c>
      <c r="E265" s="299">
        <v>1</v>
      </c>
      <c r="F265" s="299">
        <v>1</v>
      </c>
      <c r="G265" s="299"/>
      <c r="H265" s="300"/>
      <c r="I265" s="117">
        <v>73561</v>
      </c>
      <c r="J265" s="141"/>
    </row>
    <row r="266" spans="1:10" s="56" customFormat="1" ht="17.25" x14ac:dyDescent="0.35">
      <c r="A266" s="318" t="s">
        <v>511</v>
      </c>
      <c r="B266" s="299" t="s">
        <v>512</v>
      </c>
      <c r="C266" s="299" t="s">
        <v>71</v>
      </c>
      <c r="D266" s="299"/>
      <c r="E266" s="299"/>
      <c r="F266" s="299"/>
      <c r="G266" s="299" t="s">
        <v>239</v>
      </c>
      <c r="H266" s="300" t="s">
        <v>515</v>
      </c>
      <c r="I266" s="117">
        <v>72541</v>
      </c>
    </row>
    <row r="267" spans="1:10" s="56" customFormat="1" ht="17.25" x14ac:dyDescent="0.35">
      <c r="A267" s="318" t="s">
        <v>513</v>
      </c>
      <c r="B267" s="299" t="s">
        <v>514</v>
      </c>
      <c r="C267" s="299" t="s">
        <v>71</v>
      </c>
      <c r="D267" s="299"/>
      <c r="E267" s="299"/>
      <c r="F267" s="299"/>
      <c r="G267" s="299" t="s">
        <v>239</v>
      </c>
      <c r="H267" s="300" t="s">
        <v>516</v>
      </c>
      <c r="I267" s="117">
        <v>71524</v>
      </c>
    </row>
    <row r="268" spans="1:10" s="56" customFormat="1" ht="17.25" x14ac:dyDescent="0.35">
      <c r="A268" s="318" t="s">
        <v>551</v>
      </c>
      <c r="B268" s="299" t="s">
        <v>552</v>
      </c>
      <c r="C268" s="299" t="s">
        <v>71</v>
      </c>
      <c r="D268" s="299"/>
      <c r="E268" s="299"/>
      <c r="F268" s="299"/>
      <c r="G268" s="299" t="s">
        <v>239</v>
      </c>
      <c r="H268" s="300" t="s">
        <v>553</v>
      </c>
      <c r="I268" s="117" t="s">
        <v>554</v>
      </c>
    </row>
    <row r="269" spans="1:10" s="26" customFormat="1" ht="18" thickBot="1" x14ac:dyDescent="0.4">
      <c r="A269" s="318" t="s">
        <v>519</v>
      </c>
      <c r="B269" s="299" t="s">
        <v>520</v>
      </c>
      <c r="C269" s="299" t="s">
        <v>71</v>
      </c>
      <c r="D269" s="299"/>
      <c r="E269" s="299"/>
      <c r="F269" s="299"/>
      <c r="G269" s="299" t="s">
        <v>239</v>
      </c>
      <c r="H269" s="300" t="s">
        <v>1234</v>
      </c>
      <c r="I269" s="117">
        <v>73596</v>
      </c>
    </row>
    <row r="270" spans="1:10" x14ac:dyDescent="0.2">
      <c r="A270" s="323" t="s">
        <v>620</v>
      </c>
      <c r="B270" s="324"/>
      <c r="C270" s="324"/>
      <c r="D270" s="324"/>
      <c r="E270" s="324"/>
      <c r="F270" s="324"/>
      <c r="G270" s="324"/>
      <c r="H270" s="325"/>
      <c r="I270" s="326"/>
    </row>
    <row r="271" spans="1:10" x14ac:dyDescent="0.2">
      <c r="A271" s="327" t="s">
        <v>621</v>
      </c>
      <c r="B271" s="328" t="s">
        <v>622</v>
      </c>
      <c r="C271" s="328" t="s">
        <v>90</v>
      </c>
      <c r="D271" s="328"/>
      <c r="E271" s="328"/>
      <c r="F271" s="328"/>
      <c r="G271" s="328" t="s">
        <v>239</v>
      </c>
      <c r="H271" s="329"/>
      <c r="I271" s="330">
        <v>65956</v>
      </c>
    </row>
    <row r="272" spans="1:10" x14ac:dyDescent="0.2">
      <c r="A272" s="327"/>
      <c r="B272" s="328"/>
      <c r="C272" s="328"/>
      <c r="D272" s="328" t="s">
        <v>69</v>
      </c>
      <c r="E272" s="328">
        <v>2</v>
      </c>
      <c r="F272" s="328">
        <v>0</v>
      </c>
      <c r="G272" s="328"/>
      <c r="H272" s="329"/>
      <c r="I272" s="330" t="s">
        <v>623</v>
      </c>
      <c r="J272" s="26"/>
    </row>
    <row r="273" spans="1:10" x14ac:dyDescent="0.2">
      <c r="A273" s="327" t="s">
        <v>624</v>
      </c>
      <c r="B273" s="328" t="s">
        <v>625</v>
      </c>
      <c r="C273" s="328" t="s">
        <v>90</v>
      </c>
      <c r="D273" s="328"/>
      <c r="E273" s="328"/>
      <c r="F273" s="328"/>
      <c r="G273" s="328" t="s">
        <v>239</v>
      </c>
      <c r="H273" s="329"/>
      <c r="I273" s="330">
        <v>65961</v>
      </c>
      <c r="J273" s="26"/>
    </row>
    <row r="274" spans="1:10" x14ac:dyDescent="0.2">
      <c r="A274" s="327"/>
      <c r="B274" s="328"/>
      <c r="C274" s="328"/>
      <c r="D274" s="328" t="s">
        <v>69</v>
      </c>
      <c r="E274" s="328">
        <v>1</v>
      </c>
      <c r="F274" s="328">
        <v>0</v>
      </c>
      <c r="G274" s="328"/>
      <c r="H274" s="329"/>
      <c r="I274" s="330" t="s">
        <v>626</v>
      </c>
      <c r="J274" s="26"/>
    </row>
    <row r="275" spans="1:10" x14ac:dyDescent="0.2">
      <c r="A275" s="327" t="s">
        <v>627</v>
      </c>
      <c r="B275" s="328" t="s">
        <v>628</v>
      </c>
      <c r="C275" s="328" t="s">
        <v>90</v>
      </c>
      <c r="D275" s="328"/>
      <c r="E275" s="328"/>
      <c r="F275" s="328"/>
      <c r="G275" s="328" t="s">
        <v>239</v>
      </c>
      <c r="H275" s="329"/>
      <c r="I275" s="330">
        <v>67218</v>
      </c>
      <c r="J275" s="26"/>
    </row>
    <row r="276" spans="1:10" x14ac:dyDescent="0.2">
      <c r="A276" s="327"/>
      <c r="B276" s="328"/>
      <c r="C276" s="328"/>
      <c r="D276" s="328" t="s">
        <v>69</v>
      </c>
      <c r="E276" s="328">
        <v>1</v>
      </c>
      <c r="F276" s="328">
        <v>1</v>
      </c>
      <c r="G276" s="328"/>
      <c r="H276" s="329"/>
      <c r="I276" s="330" t="s">
        <v>629</v>
      </c>
      <c r="J276" s="26"/>
    </row>
    <row r="277" spans="1:10" x14ac:dyDescent="0.2">
      <c r="A277" s="327" t="s">
        <v>630</v>
      </c>
      <c r="B277" s="328" t="s">
        <v>631</v>
      </c>
      <c r="C277" s="328" t="s">
        <v>90</v>
      </c>
      <c r="D277" s="328"/>
      <c r="E277" s="328"/>
      <c r="F277" s="328"/>
      <c r="G277" s="328" t="s">
        <v>239</v>
      </c>
      <c r="H277" s="329"/>
      <c r="I277" s="330">
        <v>67261</v>
      </c>
      <c r="J277" s="26"/>
    </row>
    <row r="278" spans="1:10" x14ac:dyDescent="0.2">
      <c r="A278" s="327"/>
      <c r="B278" s="328"/>
      <c r="C278" s="328"/>
      <c r="D278" s="328" t="s">
        <v>69</v>
      </c>
      <c r="E278" s="328">
        <v>2</v>
      </c>
      <c r="F278" s="328">
        <v>0</v>
      </c>
      <c r="G278" s="328"/>
      <c r="H278" s="329"/>
      <c r="I278" s="330" t="s">
        <v>632</v>
      </c>
      <c r="J278" s="26"/>
    </row>
    <row r="279" spans="1:10" x14ac:dyDescent="0.2">
      <c r="A279" s="327"/>
      <c r="B279" s="328"/>
      <c r="C279" s="328"/>
      <c r="D279" s="328" t="s">
        <v>69</v>
      </c>
      <c r="E279" s="328">
        <v>2</v>
      </c>
      <c r="F279" s="328">
        <v>0</v>
      </c>
      <c r="G279" s="328"/>
      <c r="H279" s="329"/>
      <c r="I279" s="330" t="s">
        <v>633</v>
      </c>
      <c r="J279" s="26"/>
    </row>
    <row r="280" spans="1:10" x14ac:dyDescent="0.2">
      <c r="A280" s="327"/>
      <c r="B280" s="328"/>
      <c r="C280" s="328"/>
      <c r="D280" s="328" t="s">
        <v>69</v>
      </c>
      <c r="E280" s="328">
        <v>1</v>
      </c>
      <c r="F280" s="328">
        <v>0</v>
      </c>
      <c r="G280" s="328"/>
      <c r="H280" s="329"/>
      <c r="I280" s="330" t="s">
        <v>634</v>
      </c>
      <c r="J280" s="26"/>
    </row>
    <row r="281" spans="1:10" x14ac:dyDescent="0.2">
      <c r="A281" s="327"/>
      <c r="B281" s="328"/>
      <c r="C281" s="328"/>
      <c r="D281" s="328" t="s">
        <v>69</v>
      </c>
      <c r="E281" s="328">
        <v>1</v>
      </c>
      <c r="F281" s="328">
        <v>1</v>
      </c>
      <c r="G281" s="328"/>
      <c r="H281" s="329"/>
      <c r="I281" s="330" t="s">
        <v>635</v>
      </c>
      <c r="J281" s="26"/>
    </row>
    <row r="282" spans="1:10" x14ac:dyDescent="0.2">
      <c r="A282" s="327"/>
      <c r="B282" s="328"/>
      <c r="C282" s="328"/>
      <c r="D282" s="328" t="s">
        <v>69</v>
      </c>
      <c r="E282" s="328">
        <v>2</v>
      </c>
      <c r="F282" s="328">
        <v>0</v>
      </c>
      <c r="G282" s="328"/>
      <c r="H282" s="329"/>
      <c r="I282" s="330" t="s">
        <v>636</v>
      </c>
      <c r="J282" s="26"/>
    </row>
    <row r="283" spans="1:10" x14ac:dyDescent="0.2">
      <c r="A283" s="327"/>
      <c r="B283" s="328"/>
      <c r="C283" s="328"/>
      <c r="D283" s="328" t="s">
        <v>69</v>
      </c>
      <c r="E283" s="328">
        <v>1</v>
      </c>
      <c r="F283" s="328">
        <v>0</v>
      </c>
      <c r="G283" s="328"/>
      <c r="H283" s="329"/>
      <c r="I283" s="330" t="s">
        <v>637</v>
      </c>
      <c r="J283" s="26"/>
    </row>
    <row r="284" spans="1:10" x14ac:dyDescent="0.2">
      <c r="A284" s="327"/>
      <c r="B284" s="328"/>
      <c r="C284" s="328"/>
      <c r="D284" s="328" t="s">
        <v>69</v>
      </c>
      <c r="E284" s="328">
        <v>4</v>
      </c>
      <c r="F284" s="328">
        <v>0</v>
      </c>
      <c r="G284" s="328"/>
      <c r="H284" s="329"/>
      <c r="I284" s="330" t="s">
        <v>638</v>
      </c>
      <c r="J284" s="26"/>
    </row>
    <row r="285" spans="1:10" x14ac:dyDescent="0.2">
      <c r="A285" s="327"/>
      <c r="B285" s="328"/>
      <c r="C285" s="328"/>
      <c r="D285" s="328" t="s">
        <v>69</v>
      </c>
      <c r="E285" s="328">
        <v>1</v>
      </c>
      <c r="F285" s="328">
        <v>4</v>
      </c>
      <c r="G285" s="328"/>
      <c r="H285" s="329"/>
      <c r="I285" s="330" t="s">
        <v>639</v>
      </c>
      <c r="J285" s="26"/>
    </row>
    <row r="286" spans="1:10" x14ac:dyDescent="0.2">
      <c r="A286" s="327" t="s">
        <v>640</v>
      </c>
      <c r="B286" s="328" t="s">
        <v>641</v>
      </c>
      <c r="C286" s="328" t="s">
        <v>90</v>
      </c>
      <c r="D286" s="328"/>
      <c r="E286" s="328"/>
      <c r="F286" s="328"/>
      <c r="G286" s="328" t="s">
        <v>239</v>
      </c>
      <c r="H286" s="329"/>
      <c r="I286" s="330">
        <v>67264</v>
      </c>
      <c r="J286" s="26"/>
    </row>
    <row r="287" spans="1:10" x14ac:dyDescent="0.2">
      <c r="A287" s="327"/>
      <c r="B287" s="328"/>
      <c r="C287" s="328"/>
      <c r="D287" s="328" t="s">
        <v>69</v>
      </c>
      <c r="E287" s="328">
        <v>1</v>
      </c>
      <c r="F287" s="328">
        <v>1</v>
      </c>
      <c r="G287" s="328"/>
      <c r="H287" s="329"/>
      <c r="I287" s="330" t="s">
        <v>642</v>
      </c>
      <c r="J287" s="26"/>
    </row>
    <row r="288" spans="1:10" ht="25.5" x14ac:dyDescent="0.2">
      <c r="A288" s="327"/>
      <c r="B288" s="328"/>
      <c r="C288" s="328"/>
      <c r="D288" s="328" t="s">
        <v>69</v>
      </c>
      <c r="E288" s="328">
        <v>1</v>
      </c>
      <c r="F288" s="328">
        <v>2</v>
      </c>
      <c r="G288" s="328"/>
      <c r="H288" s="329"/>
      <c r="I288" s="330" t="s">
        <v>643</v>
      </c>
      <c r="J288" s="26"/>
    </row>
    <row r="289" spans="1:10" ht="38.25" x14ac:dyDescent="0.2">
      <c r="A289" s="327"/>
      <c r="B289" s="328"/>
      <c r="C289" s="328"/>
      <c r="D289" s="328" t="s">
        <v>70</v>
      </c>
      <c r="E289" s="328">
        <v>32</v>
      </c>
      <c r="F289" s="328" t="s">
        <v>644</v>
      </c>
      <c r="G289" s="328"/>
      <c r="H289" s="329"/>
      <c r="I289" s="330" t="s">
        <v>645</v>
      </c>
      <c r="J289" s="26"/>
    </row>
    <row r="290" spans="1:10" x14ac:dyDescent="0.2">
      <c r="A290" s="327"/>
      <c r="B290" s="328"/>
      <c r="C290" s="328"/>
      <c r="D290" s="328" t="s">
        <v>69</v>
      </c>
      <c r="E290" s="328">
        <v>1</v>
      </c>
      <c r="F290" s="328">
        <v>1</v>
      </c>
      <c r="G290" s="328"/>
      <c r="H290" s="329"/>
      <c r="I290" s="330" t="s">
        <v>646</v>
      </c>
      <c r="J290" s="26"/>
    </row>
    <row r="291" spans="1:10" x14ac:dyDescent="0.2">
      <c r="A291" s="327"/>
      <c r="B291" s="328"/>
      <c r="C291" s="328"/>
      <c r="D291" s="328" t="s">
        <v>69</v>
      </c>
      <c r="E291" s="328">
        <v>1</v>
      </c>
      <c r="F291" s="328">
        <v>1</v>
      </c>
      <c r="G291" s="328"/>
      <c r="H291" s="329"/>
      <c r="I291" s="330" t="s">
        <v>647</v>
      </c>
      <c r="J291" s="26"/>
    </row>
    <row r="292" spans="1:10" x14ac:dyDescent="0.2">
      <c r="A292" s="327"/>
      <c r="B292" s="328"/>
      <c r="C292" s="328"/>
      <c r="D292" s="328" t="s">
        <v>69</v>
      </c>
      <c r="E292" s="328">
        <v>1</v>
      </c>
      <c r="F292" s="328">
        <v>0</v>
      </c>
      <c r="G292" s="328"/>
      <c r="H292" s="329"/>
      <c r="I292" s="330" t="s">
        <v>648</v>
      </c>
      <c r="J292" s="26"/>
    </row>
    <row r="293" spans="1:10" x14ac:dyDescent="0.2">
      <c r="A293" s="327"/>
      <c r="B293" s="328"/>
      <c r="C293" s="328"/>
      <c r="D293" s="328" t="s">
        <v>69</v>
      </c>
      <c r="E293" s="328">
        <v>1</v>
      </c>
      <c r="F293" s="328">
        <v>0</v>
      </c>
      <c r="G293" s="328"/>
      <c r="H293" s="329"/>
      <c r="I293" s="330" t="s">
        <v>649</v>
      </c>
      <c r="J293" s="26"/>
    </row>
    <row r="294" spans="1:10" x14ac:dyDescent="0.2">
      <c r="A294" s="327"/>
      <c r="B294" s="328"/>
      <c r="C294" s="328"/>
      <c r="D294" s="328" t="s">
        <v>70</v>
      </c>
      <c r="E294" s="328">
        <v>256</v>
      </c>
      <c r="F294" s="328"/>
      <c r="G294" s="328"/>
      <c r="H294" s="329"/>
      <c r="I294" s="330" t="s">
        <v>650</v>
      </c>
      <c r="J294" s="26"/>
    </row>
    <row r="295" spans="1:10" x14ac:dyDescent="0.2">
      <c r="A295" s="327"/>
      <c r="B295" s="328"/>
      <c r="C295" s="328"/>
      <c r="D295" s="328" t="s">
        <v>69</v>
      </c>
      <c r="E295" s="328">
        <v>1</v>
      </c>
      <c r="F295" s="328">
        <v>10</v>
      </c>
      <c r="G295" s="328"/>
      <c r="H295" s="329"/>
      <c r="I295" s="330" t="s">
        <v>651</v>
      </c>
      <c r="J295" s="26"/>
    </row>
    <row r="296" spans="1:10" x14ac:dyDescent="0.2">
      <c r="A296" s="327"/>
      <c r="B296" s="328"/>
      <c r="C296" s="328"/>
      <c r="D296" s="328" t="s">
        <v>69</v>
      </c>
      <c r="E296" s="328">
        <v>1</v>
      </c>
      <c r="F296" s="328">
        <v>0</v>
      </c>
      <c r="G296" s="328"/>
      <c r="H296" s="329"/>
      <c r="I296" s="330" t="s">
        <v>652</v>
      </c>
      <c r="J296" s="26"/>
    </row>
    <row r="297" spans="1:10" x14ac:dyDescent="0.2">
      <c r="A297" s="327"/>
      <c r="B297" s="328"/>
      <c r="C297" s="328"/>
      <c r="D297" s="328" t="s">
        <v>69</v>
      </c>
      <c r="E297" s="328">
        <v>1</v>
      </c>
      <c r="F297" s="328">
        <v>0</v>
      </c>
      <c r="G297" s="328"/>
      <c r="H297" s="329"/>
      <c r="I297" s="330" t="s">
        <v>653</v>
      </c>
      <c r="J297" s="26"/>
    </row>
    <row r="298" spans="1:10" x14ac:dyDescent="0.2">
      <c r="A298" s="327"/>
      <c r="B298" s="328"/>
      <c r="C298" s="328"/>
      <c r="D298" s="328" t="s">
        <v>69</v>
      </c>
      <c r="E298" s="328">
        <v>2</v>
      </c>
      <c r="F298" s="328">
        <v>0</v>
      </c>
      <c r="G298" s="328"/>
      <c r="H298" s="329"/>
      <c r="I298" s="330" t="s">
        <v>654</v>
      </c>
      <c r="J298" s="26"/>
    </row>
    <row r="299" spans="1:10" x14ac:dyDescent="0.2">
      <c r="A299" s="327"/>
      <c r="B299" s="328"/>
      <c r="C299" s="328"/>
      <c r="D299" s="328" t="s">
        <v>69</v>
      </c>
      <c r="E299" s="328">
        <v>1</v>
      </c>
      <c r="F299" s="328">
        <v>0</v>
      </c>
      <c r="G299" s="328"/>
      <c r="H299" s="329"/>
      <c r="I299" s="330" t="s">
        <v>655</v>
      </c>
      <c r="J299" s="26"/>
    </row>
    <row r="300" spans="1:10" x14ac:dyDescent="0.2">
      <c r="A300" s="327"/>
      <c r="B300" s="328"/>
      <c r="C300" s="328"/>
      <c r="D300" s="328" t="s">
        <v>69</v>
      </c>
      <c r="E300" s="328">
        <v>1</v>
      </c>
      <c r="F300" s="328">
        <v>0</v>
      </c>
      <c r="G300" s="328"/>
      <c r="H300" s="329"/>
      <c r="I300" s="330" t="s">
        <v>656</v>
      </c>
      <c r="J300" s="26"/>
    </row>
    <row r="301" spans="1:10" x14ac:dyDescent="0.2">
      <c r="A301" s="327"/>
      <c r="B301" s="328"/>
      <c r="C301" s="328"/>
      <c r="D301" s="328" t="s">
        <v>70</v>
      </c>
      <c r="E301" s="328">
        <v>32</v>
      </c>
      <c r="F301" s="328"/>
      <c r="G301" s="328"/>
      <c r="H301" s="329"/>
      <c r="I301" s="330" t="s">
        <v>657</v>
      </c>
    </row>
    <row r="302" spans="1:10" x14ac:dyDescent="0.2">
      <c r="A302" s="327"/>
      <c r="B302" s="328"/>
      <c r="C302" s="328"/>
      <c r="D302" s="328" t="s">
        <v>70</v>
      </c>
      <c r="E302" s="328">
        <v>32</v>
      </c>
      <c r="F302" s="328"/>
      <c r="G302" s="328"/>
      <c r="H302" s="329"/>
      <c r="I302" s="330" t="s">
        <v>658</v>
      </c>
    </row>
    <row r="303" spans="1:10" x14ac:dyDescent="0.2">
      <c r="A303" s="327"/>
      <c r="B303" s="328"/>
      <c r="C303" s="328"/>
      <c r="D303" s="328" t="s">
        <v>69</v>
      </c>
      <c r="E303" s="328">
        <v>1</v>
      </c>
      <c r="F303" s="328">
        <v>60</v>
      </c>
      <c r="G303" s="328"/>
      <c r="H303" s="329"/>
      <c r="I303" s="330" t="s">
        <v>659</v>
      </c>
    </row>
    <row r="304" spans="1:10" x14ac:dyDescent="0.2">
      <c r="A304" s="327"/>
      <c r="B304" s="328"/>
      <c r="C304" s="328"/>
      <c r="D304" s="328" t="s">
        <v>70</v>
      </c>
      <c r="E304" s="328">
        <v>32</v>
      </c>
      <c r="F304" s="328" t="s">
        <v>660</v>
      </c>
      <c r="G304" s="328"/>
      <c r="H304" s="329"/>
      <c r="I304" s="330" t="s">
        <v>661</v>
      </c>
    </row>
    <row r="305" spans="1:9" x14ac:dyDescent="0.2">
      <c r="A305" s="327"/>
      <c r="B305" s="328"/>
      <c r="C305" s="328"/>
      <c r="D305" s="328" t="s">
        <v>69</v>
      </c>
      <c r="E305" s="328">
        <v>1</v>
      </c>
      <c r="F305" s="328">
        <v>1</v>
      </c>
      <c r="G305" s="328"/>
      <c r="H305" s="329"/>
      <c r="I305" s="330" t="s">
        <v>662</v>
      </c>
    </row>
    <row r="306" spans="1:9" x14ac:dyDescent="0.2">
      <c r="A306" s="327"/>
      <c r="B306" s="328"/>
      <c r="C306" s="328"/>
      <c r="D306" s="328" t="s">
        <v>69</v>
      </c>
      <c r="E306" s="328">
        <v>1</v>
      </c>
      <c r="F306" s="328">
        <v>15</v>
      </c>
      <c r="G306" s="328"/>
      <c r="H306" s="329"/>
      <c r="I306" s="330" t="s">
        <v>663</v>
      </c>
    </row>
    <row r="307" spans="1:9" x14ac:dyDescent="0.2">
      <c r="A307" s="327"/>
      <c r="B307" s="328"/>
      <c r="C307" s="328"/>
      <c r="D307" s="328" t="s">
        <v>69</v>
      </c>
      <c r="E307" s="328">
        <v>1</v>
      </c>
      <c r="F307" s="328">
        <v>3</v>
      </c>
      <c r="G307" s="328"/>
      <c r="H307" s="329"/>
      <c r="I307" s="330" t="s">
        <v>664</v>
      </c>
    </row>
    <row r="308" spans="1:9" x14ac:dyDescent="0.2">
      <c r="A308" s="327"/>
      <c r="B308" s="328"/>
      <c r="C308" s="328"/>
      <c r="D308" s="328" t="s">
        <v>69</v>
      </c>
      <c r="E308" s="328">
        <v>1</v>
      </c>
      <c r="F308" s="328">
        <v>30</v>
      </c>
      <c r="G308" s="328"/>
      <c r="H308" s="329"/>
      <c r="I308" s="330" t="s">
        <v>665</v>
      </c>
    </row>
    <row r="309" spans="1:9" x14ac:dyDescent="0.2">
      <c r="A309" s="327"/>
      <c r="B309" s="328"/>
      <c r="C309" s="328"/>
      <c r="D309" s="328" t="s">
        <v>69</v>
      </c>
      <c r="E309" s="328">
        <v>1</v>
      </c>
      <c r="F309" s="328">
        <v>1</v>
      </c>
      <c r="G309" s="328"/>
      <c r="H309" s="329"/>
      <c r="I309" s="330" t="s">
        <v>666</v>
      </c>
    </row>
    <row r="310" spans="1:9" x14ac:dyDescent="0.2">
      <c r="A310" s="327"/>
      <c r="B310" s="328"/>
      <c r="C310" s="328"/>
      <c r="D310" s="328" t="s">
        <v>69</v>
      </c>
      <c r="E310" s="328">
        <v>2</v>
      </c>
      <c r="F310" s="328">
        <v>5060</v>
      </c>
      <c r="G310" s="328"/>
      <c r="H310" s="329"/>
      <c r="I310" s="330" t="s">
        <v>667</v>
      </c>
    </row>
    <row r="311" spans="1:9" x14ac:dyDescent="0.2">
      <c r="A311" s="327" t="s">
        <v>668</v>
      </c>
      <c r="B311" s="328" t="s">
        <v>669</v>
      </c>
      <c r="C311" s="328" t="s">
        <v>90</v>
      </c>
      <c r="D311" s="328"/>
      <c r="E311" s="328"/>
      <c r="F311" s="328" t="s">
        <v>7</v>
      </c>
      <c r="G311" s="328" t="s">
        <v>239</v>
      </c>
      <c r="H311" s="329"/>
      <c r="I311" s="330">
        <v>67259</v>
      </c>
    </row>
    <row r="312" spans="1:9" x14ac:dyDescent="0.2">
      <c r="A312" s="327"/>
      <c r="B312" s="328"/>
      <c r="C312" s="328"/>
      <c r="D312" s="328" t="s">
        <v>70</v>
      </c>
      <c r="E312" s="328">
        <v>128</v>
      </c>
      <c r="F312" s="328">
        <v>8197</v>
      </c>
      <c r="G312" s="328"/>
      <c r="H312" s="329"/>
      <c r="I312" s="330" t="s">
        <v>670</v>
      </c>
    </row>
    <row r="313" spans="1:9" x14ac:dyDescent="0.2">
      <c r="A313" s="327"/>
      <c r="B313" s="328"/>
      <c r="C313" s="328"/>
      <c r="D313" s="328" t="s">
        <v>69</v>
      </c>
      <c r="E313" s="328">
        <v>1</v>
      </c>
      <c r="F313" s="328">
        <v>1</v>
      </c>
      <c r="G313" s="328"/>
      <c r="H313" s="329"/>
      <c r="I313" s="330" t="s">
        <v>671</v>
      </c>
    </row>
    <row r="314" spans="1:9" x14ac:dyDescent="0.2">
      <c r="A314" s="327"/>
      <c r="B314" s="328"/>
      <c r="C314" s="328"/>
      <c r="D314" s="328" t="s">
        <v>70</v>
      </c>
      <c r="E314" s="328">
        <v>128</v>
      </c>
      <c r="F314" s="328" t="s">
        <v>672</v>
      </c>
      <c r="G314" s="328"/>
      <c r="H314" s="329"/>
      <c r="I314" s="330" t="s">
        <v>673</v>
      </c>
    </row>
    <row r="315" spans="1:9" x14ac:dyDescent="0.2">
      <c r="A315" s="327"/>
      <c r="B315" s="328"/>
      <c r="C315" s="328"/>
      <c r="D315" s="328" t="s">
        <v>70</v>
      </c>
      <c r="E315" s="328">
        <v>64</v>
      </c>
      <c r="F315" s="328" t="s">
        <v>674</v>
      </c>
      <c r="G315" s="328"/>
      <c r="H315" s="329"/>
      <c r="I315" s="330" t="s">
        <v>675</v>
      </c>
    </row>
    <row r="316" spans="1:9" x14ac:dyDescent="0.2">
      <c r="A316" s="327"/>
      <c r="B316" s="328"/>
      <c r="C316" s="328"/>
      <c r="D316" s="328" t="s">
        <v>69</v>
      </c>
      <c r="E316" s="328">
        <v>4</v>
      </c>
      <c r="F316" s="328">
        <v>1088</v>
      </c>
      <c r="G316" s="328"/>
      <c r="H316" s="329"/>
      <c r="I316" s="330" t="s">
        <v>676</v>
      </c>
    </row>
    <row r="317" spans="1:9" x14ac:dyDescent="0.2">
      <c r="A317" s="327"/>
      <c r="B317" s="328"/>
      <c r="C317" s="328"/>
      <c r="D317" s="328" t="s">
        <v>70</v>
      </c>
      <c r="E317" s="328">
        <v>256</v>
      </c>
      <c r="F317" s="328"/>
      <c r="G317" s="328"/>
      <c r="H317" s="329"/>
      <c r="I317" s="330" t="s">
        <v>677</v>
      </c>
    </row>
    <row r="318" spans="1:9" x14ac:dyDescent="0.2">
      <c r="A318" s="327"/>
      <c r="B318" s="328"/>
      <c r="C318" s="328"/>
      <c r="D318" s="328" t="s">
        <v>69</v>
      </c>
      <c r="E318" s="328">
        <v>1</v>
      </c>
      <c r="F318" s="328">
        <v>1</v>
      </c>
      <c r="G318" s="328"/>
      <c r="H318" s="329"/>
      <c r="I318" s="330" t="s">
        <v>678</v>
      </c>
    </row>
    <row r="319" spans="1:9" x14ac:dyDescent="0.2">
      <c r="A319" s="327" t="s">
        <v>679</v>
      </c>
      <c r="B319" s="328" t="s">
        <v>680</v>
      </c>
      <c r="C319" s="328" t="s">
        <v>90</v>
      </c>
      <c r="D319" s="328"/>
      <c r="E319" s="328"/>
      <c r="F319" s="328"/>
      <c r="G319" s="328" t="s">
        <v>239</v>
      </c>
      <c r="H319" s="329"/>
      <c r="I319" s="330">
        <v>69744</v>
      </c>
    </row>
    <row r="320" spans="1:9" x14ac:dyDescent="0.2">
      <c r="A320" s="327"/>
      <c r="B320" s="328"/>
      <c r="C320" s="328"/>
      <c r="D320" s="328" t="s">
        <v>69</v>
      </c>
      <c r="E320" s="328">
        <v>1</v>
      </c>
      <c r="F320" s="328">
        <v>11</v>
      </c>
      <c r="G320" s="328"/>
      <c r="H320" s="329"/>
      <c r="I320" s="330" t="s">
        <v>587</v>
      </c>
    </row>
    <row r="321" spans="1:9" x14ac:dyDescent="0.2">
      <c r="A321" s="327"/>
      <c r="B321" s="328"/>
      <c r="C321" s="328"/>
      <c r="D321" s="328" t="s">
        <v>69</v>
      </c>
      <c r="E321" s="328">
        <v>2</v>
      </c>
      <c r="F321" s="328">
        <v>5060</v>
      </c>
      <c r="G321" s="328"/>
      <c r="H321" s="329"/>
      <c r="I321" s="330" t="s">
        <v>681</v>
      </c>
    </row>
    <row r="322" spans="1:9" x14ac:dyDescent="0.2">
      <c r="A322" s="327"/>
      <c r="B322" s="328"/>
      <c r="C322" s="328"/>
      <c r="D322" s="328" t="s">
        <v>69</v>
      </c>
      <c r="E322" s="328">
        <v>4</v>
      </c>
      <c r="F322" s="328">
        <v>0</v>
      </c>
      <c r="G322" s="328"/>
      <c r="H322" s="329"/>
      <c r="I322" s="330" t="s">
        <v>682</v>
      </c>
    </row>
    <row r="323" spans="1:9" x14ac:dyDescent="0.2">
      <c r="A323" s="327"/>
      <c r="B323" s="328"/>
      <c r="C323" s="328"/>
      <c r="D323" s="328" t="s">
        <v>69</v>
      </c>
      <c r="E323" s="328">
        <v>4</v>
      </c>
      <c r="F323" s="328">
        <v>0</v>
      </c>
      <c r="G323" s="328"/>
      <c r="H323" s="329"/>
      <c r="I323" s="330" t="s">
        <v>683</v>
      </c>
    </row>
    <row r="324" spans="1:9" x14ac:dyDescent="0.2">
      <c r="A324" s="327"/>
      <c r="B324" s="328"/>
      <c r="C324" s="328"/>
      <c r="D324" s="328" t="s">
        <v>69</v>
      </c>
      <c r="E324" s="328">
        <v>4</v>
      </c>
      <c r="F324" s="328">
        <v>2000</v>
      </c>
      <c r="G324" s="328"/>
      <c r="H324" s="329"/>
      <c r="I324" s="330" t="s">
        <v>684</v>
      </c>
    </row>
    <row r="325" spans="1:9" x14ac:dyDescent="0.2">
      <c r="A325" s="327"/>
      <c r="B325" s="328"/>
      <c r="C325" s="328"/>
      <c r="D325" s="328" t="s">
        <v>69</v>
      </c>
      <c r="E325" s="328">
        <v>4</v>
      </c>
      <c r="F325" s="328">
        <v>16000</v>
      </c>
      <c r="G325" s="328"/>
      <c r="H325" s="329"/>
      <c r="I325" s="330" t="s">
        <v>685</v>
      </c>
    </row>
    <row r="326" spans="1:9" x14ac:dyDescent="0.2">
      <c r="A326" s="327"/>
      <c r="B326" s="328"/>
      <c r="C326" s="328"/>
      <c r="D326" s="328" t="s">
        <v>69</v>
      </c>
      <c r="E326" s="328">
        <v>4</v>
      </c>
      <c r="F326" s="328">
        <v>17000</v>
      </c>
      <c r="G326" s="328"/>
      <c r="H326" s="329"/>
      <c r="I326" s="330" t="s">
        <v>686</v>
      </c>
    </row>
    <row r="327" spans="1:9" x14ac:dyDescent="0.2">
      <c r="A327" s="327"/>
      <c r="B327" s="328"/>
      <c r="C327" s="328"/>
      <c r="D327" s="328" t="s">
        <v>69</v>
      </c>
      <c r="E327" s="328">
        <v>4</v>
      </c>
      <c r="F327" s="328">
        <v>128000</v>
      </c>
      <c r="G327" s="328"/>
      <c r="H327" s="329"/>
      <c r="I327" s="330" t="s">
        <v>687</v>
      </c>
    </row>
    <row r="328" spans="1:9" x14ac:dyDescent="0.2">
      <c r="A328" s="327"/>
      <c r="B328" s="328"/>
      <c r="C328" s="328"/>
      <c r="D328" s="328" t="s">
        <v>69</v>
      </c>
      <c r="E328" s="328">
        <v>4</v>
      </c>
      <c r="F328" s="328">
        <v>30000</v>
      </c>
      <c r="G328" s="328"/>
      <c r="H328" s="329"/>
      <c r="I328" s="330" t="s">
        <v>688</v>
      </c>
    </row>
    <row r="329" spans="1:9" x14ac:dyDescent="0.2">
      <c r="A329" s="327"/>
      <c r="B329" s="328"/>
      <c r="C329" s="328"/>
      <c r="D329" s="328" t="s">
        <v>69</v>
      </c>
      <c r="E329" s="328">
        <v>2</v>
      </c>
      <c r="F329" s="328">
        <v>1300</v>
      </c>
      <c r="G329" s="328"/>
      <c r="H329" s="329"/>
      <c r="I329" s="330" t="s">
        <v>689</v>
      </c>
    </row>
    <row r="330" spans="1:9" x14ac:dyDescent="0.2">
      <c r="A330" s="327"/>
      <c r="B330" s="328"/>
      <c r="C330" s="328"/>
      <c r="D330" s="328" t="s">
        <v>69</v>
      </c>
      <c r="E330" s="328">
        <v>1</v>
      </c>
      <c r="F330" s="328">
        <v>1</v>
      </c>
      <c r="G330" s="328"/>
      <c r="H330" s="329"/>
      <c r="I330" s="330" t="s">
        <v>690</v>
      </c>
    </row>
    <row r="331" spans="1:9" x14ac:dyDescent="0.2">
      <c r="A331" s="327"/>
      <c r="B331" s="328"/>
      <c r="C331" s="328"/>
      <c r="D331" s="328" t="s">
        <v>69</v>
      </c>
      <c r="E331" s="328">
        <v>1</v>
      </c>
      <c r="F331" s="328">
        <v>0</v>
      </c>
      <c r="G331" s="328"/>
      <c r="H331" s="329"/>
      <c r="I331" s="330" t="s">
        <v>691</v>
      </c>
    </row>
    <row r="332" spans="1:9" x14ac:dyDescent="0.2">
      <c r="A332" s="327"/>
      <c r="B332" s="328"/>
      <c r="C332" s="328"/>
      <c r="D332" s="328" t="s">
        <v>69</v>
      </c>
      <c r="E332" s="328">
        <v>1</v>
      </c>
      <c r="F332" s="328">
        <v>0</v>
      </c>
      <c r="G332" s="328"/>
      <c r="H332" s="329"/>
      <c r="I332" s="330" t="s">
        <v>692</v>
      </c>
    </row>
    <row r="333" spans="1:9" x14ac:dyDescent="0.2">
      <c r="A333" s="327"/>
      <c r="B333" s="328"/>
      <c r="C333" s="328"/>
      <c r="D333" s="328" t="s">
        <v>69</v>
      </c>
      <c r="E333" s="328">
        <v>1</v>
      </c>
      <c r="F333" s="328">
        <v>3</v>
      </c>
      <c r="G333" s="328"/>
      <c r="H333" s="329"/>
      <c r="I333" s="330" t="s">
        <v>693</v>
      </c>
    </row>
    <row r="334" spans="1:9" x14ac:dyDescent="0.2">
      <c r="A334" s="327"/>
      <c r="B334" s="328"/>
      <c r="C334" s="328"/>
      <c r="D334" s="328" t="s">
        <v>69</v>
      </c>
      <c r="E334" s="328">
        <v>1</v>
      </c>
      <c r="F334" s="328">
        <v>7</v>
      </c>
      <c r="G334" s="328"/>
      <c r="H334" s="329"/>
      <c r="I334" s="330" t="s">
        <v>694</v>
      </c>
    </row>
    <row r="335" spans="1:9" x14ac:dyDescent="0.2">
      <c r="A335" s="327"/>
      <c r="B335" s="328"/>
      <c r="C335" s="328"/>
      <c r="D335" s="328" t="s">
        <v>69</v>
      </c>
      <c r="E335" s="328">
        <v>1</v>
      </c>
      <c r="F335" s="328">
        <v>0</v>
      </c>
      <c r="G335" s="328"/>
      <c r="H335" s="329"/>
      <c r="I335" s="330" t="s">
        <v>695</v>
      </c>
    </row>
    <row r="336" spans="1:9" x14ac:dyDescent="0.2">
      <c r="A336" s="327"/>
      <c r="B336" s="328"/>
      <c r="C336" s="328"/>
      <c r="D336" s="328" t="s">
        <v>69</v>
      </c>
      <c r="E336" s="328">
        <v>1</v>
      </c>
      <c r="F336" s="328">
        <v>0</v>
      </c>
      <c r="G336" s="328"/>
      <c r="H336" s="329"/>
      <c r="I336" s="330" t="s">
        <v>696</v>
      </c>
    </row>
    <row r="337" spans="1:9" x14ac:dyDescent="0.2">
      <c r="A337" s="327"/>
      <c r="B337" s="328"/>
      <c r="C337" s="328"/>
      <c r="D337" s="328" t="s">
        <v>70</v>
      </c>
      <c r="E337" s="328">
        <v>256</v>
      </c>
      <c r="F337" s="328"/>
      <c r="G337" s="328"/>
      <c r="H337" s="329"/>
      <c r="I337" s="330" t="s">
        <v>697</v>
      </c>
    </row>
    <row r="338" spans="1:9" x14ac:dyDescent="0.2">
      <c r="A338" s="327"/>
      <c r="B338" s="328"/>
      <c r="C338" s="328"/>
      <c r="D338" s="328" t="s">
        <v>70</v>
      </c>
      <c r="E338" s="328">
        <v>256</v>
      </c>
      <c r="F338" s="328"/>
      <c r="G338" s="328"/>
      <c r="H338" s="329"/>
      <c r="I338" s="330" t="s">
        <v>698</v>
      </c>
    </row>
    <row r="339" spans="1:9" x14ac:dyDescent="0.2">
      <c r="A339" s="327"/>
      <c r="B339" s="328"/>
      <c r="C339" s="328"/>
      <c r="D339" s="328" t="s">
        <v>69</v>
      </c>
      <c r="E339" s="328">
        <v>1</v>
      </c>
      <c r="F339" s="328"/>
      <c r="G339" s="328"/>
      <c r="H339" s="329"/>
      <c r="I339" s="330" t="s">
        <v>699</v>
      </c>
    </row>
    <row r="340" spans="1:9" x14ac:dyDescent="0.2">
      <c r="A340" s="327"/>
      <c r="B340" s="328"/>
      <c r="C340" s="328"/>
      <c r="D340" s="328" t="s">
        <v>69</v>
      </c>
      <c r="E340" s="328">
        <v>4</v>
      </c>
      <c r="F340" s="328"/>
      <c r="G340" s="328"/>
      <c r="H340" s="329"/>
      <c r="I340" s="330" t="s">
        <v>700</v>
      </c>
    </row>
    <row r="341" spans="1:9" x14ac:dyDescent="0.2">
      <c r="A341" s="327"/>
      <c r="B341" s="328"/>
      <c r="C341" s="328"/>
      <c r="D341" s="328" t="s">
        <v>69</v>
      </c>
      <c r="E341" s="328">
        <v>4</v>
      </c>
      <c r="F341" s="328"/>
      <c r="G341" s="328"/>
      <c r="H341" s="329"/>
      <c r="I341" s="330" t="s">
        <v>701</v>
      </c>
    </row>
    <row r="342" spans="1:9" x14ac:dyDescent="0.2">
      <c r="A342" s="327"/>
      <c r="B342" s="328"/>
      <c r="C342" s="328"/>
      <c r="D342" s="328" t="s">
        <v>69</v>
      </c>
      <c r="E342" s="328">
        <v>4</v>
      </c>
      <c r="F342" s="328"/>
      <c r="G342" s="328"/>
      <c r="H342" s="329"/>
      <c r="I342" s="330" t="s">
        <v>702</v>
      </c>
    </row>
    <row r="343" spans="1:9" x14ac:dyDescent="0.2">
      <c r="A343" s="327"/>
      <c r="B343" s="328"/>
      <c r="C343" s="328"/>
      <c r="D343" s="328" t="s">
        <v>69</v>
      </c>
      <c r="E343" s="328">
        <v>4</v>
      </c>
      <c r="F343" s="328"/>
      <c r="G343" s="328"/>
      <c r="H343" s="329"/>
      <c r="I343" s="330" t="s">
        <v>703</v>
      </c>
    </row>
    <row r="344" spans="1:9" x14ac:dyDescent="0.2">
      <c r="A344" s="327"/>
      <c r="B344" s="328"/>
      <c r="C344" s="328"/>
      <c r="D344" s="328" t="s">
        <v>69</v>
      </c>
      <c r="E344" s="328">
        <v>4</v>
      </c>
      <c r="F344" s="328"/>
      <c r="G344" s="328"/>
      <c r="H344" s="329"/>
      <c r="I344" s="330" t="s">
        <v>704</v>
      </c>
    </row>
    <row r="345" spans="1:9" x14ac:dyDescent="0.2">
      <c r="A345" s="327"/>
      <c r="B345" s="328"/>
      <c r="C345" s="328"/>
      <c r="D345" s="328" t="s">
        <v>69</v>
      </c>
      <c r="E345" s="328">
        <v>4</v>
      </c>
      <c r="F345" s="328"/>
      <c r="G345" s="328"/>
      <c r="H345" s="329"/>
      <c r="I345" s="330" t="s">
        <v>705</v>
      </c>
    </row>
    <row r="346" spans="1:9" x14ac:dyDescent="0.2">
      <c r="A346" s="327"/>
      <c r="B346" s="328"/>
      <c r="C346" s="328"/>
      <c r="D346" s="328" t="s">
        <v>69</v>
      </c>
      <c r="E346" s="328">
        <v>4</v>
      </c>
      <c r="F346" s="328"/>
      <c r="G346" s="328"/>
      <c r="H346" s="329"/>
      <c r="I346" s="330" t="s">
        <v>706</v>
      </c>
    </row>
    <row r="347" spans="1:9" x14ac:dyDescent="0.2">
      <c r="A347" s="327"/>
      <c r="B347" s="328"/>
      <c r="C347" s="328"/>
      <c r="D347" s="328" t="s">
        <v>69</v>
      </c>
      <c r="E347" s="328">
        <v>4</v>
      </c>
      <c r="F347" s="328"/>
      <c r="G347" s="328"/>
      <c r="H347" s="329"/>
      <c r="I347" s="330" t="s">
        <v>707</v>
      </c>
    </row>
    <row r="348" spans="1:9" x14ac:dyDescent="0.2">
      <c r="A348" s="327"/>
      <c r="B348" s="328"/>
      <c r="C348" s="328"/>
      <c r="D348" s="328" t="s">
        <v>69</v>
      </c>
      <c r="E348" s="328">
        <v>1</v>
      </c>
      <c r="F348" s="328"/>
      <c r="G348" s="328"/>
      <c r="H348" s="329"/>
      <c r="I348" s="330" t="s">
        <v>708</v>
      </c>
    </row>
    <row r="349" spans="1:9" x14ac:dyDescent="0.2">
      <c r="A349" s="327"/>
      <c r="B349" s="328"/>
      <c r="C349" s="328"/>
      <c r="D349" s="328" t="s">
        <v>69</v>
      </c>
      <c r="E349" s="328">
        <v>2</v>
      </c>
      <c r="F349" s="328"/>
      <c r="G349" s="328"/>
      <c r="H349" s="329"/>
      <c r="I349" s="330" t="s">
        <v>709</v>
      </c>
    </row>
    <row r="350" spans="1:9" x14ac:dyDescent="0.2">
      <c r="A350" s="327"/>
      <c r="B350" s="328"/>
      <c r="C350" s="328"/>
      <c r="D350" s="328" t="s">
        <v>69</v>
      </c>
      <c r="E350" s="328">
        <v>4</v>
      </c>
      <c r="F350" s="328"/>
      <c r="G350" s="328"/>
      <c r="H350" s="329"/>
      <c r="I350" s="330" t="s">
        <v>710</v>
      </c>
    </row>
    <row r="351" spans="1:9" x14ac:dyDescent="0.2">
      <c r="A351" s="327"/>
      <c r="B351" s="328"/>
      <c r="C351" s="328"/>
      <c r="D351" s="328" t="s">
        <v>69</v>
      </c>
      <c r="E351" s="328">
        <v>1</v>
      </c>
      <c r="F351" s="328"/>
      <c r="G351" s="328"/>
      <c r="H351" s="329"/>
      <c r="I351" s="330" t="s">
        <v>711</v>
      </c>
    </row>
    <row r="352" spans="1:9" x14ac:dyDescent="0.2">
      <c r="A352" s="327"/>
      <c r="B352" s="328"/>
      <c r="C352" s="328"/>
      <c r="D352" s="328" t="s">
        <v>69</v>
      </c>
      <c r="E352" s="328">
        <v>1</v>
      </c>
      <c r="F352" s="328"/>
      <c r="G352" s="328"/>
      <c r="H352" s="329"/>
      <c r="I352" s="330" t="s">
        <v>712</v>
      </c>
    </row>
    <row r="353" spans="1:9" x14ac:dyDescent="0.2">
      <c r="A353" s="327"/>
      <c r="B353" s="328"/>
      <c r="C353" s="328"/>
      <c r="D353" s="328" t="s">
        <v>69</v>
      </c>
      <c r="E353" s="328">
        <v>4</v>
      </c>
      <c r="F353" s="328"/>
      <c r="G353" s="328"/>
      <c r="H353" s="329"/>
      <c r="I353" s="330" t="s">
        <v>713</v>
      </c>
    </row>
    <row r="354" spans="1:9" x14ac:dyDescent="0.2">
      <c r="A354" s="327"/>
      <c r="B354" s="328"/>
      <c r="C354" s="328"/>
      <c r="D354" s="328" t="s">
        <v>69</v>
      </c>
      <c r="E354" s="328">
        <v>1</v>
      </c>
      <c r="F354" s="328">
        <v>1</v>
      </c>
      <c r="G354" s="328"/>
      <c r="H354" s="329"/>
      <c r="I354" s="330" t="s">
        <v>714</v>
      </c>
    </row>
    <row r="355" spans="1:9" x14ac:dyDescent="0.2">
      <c r="A355" s="327"/>
      <c r="B355" s="328"/>
      <c r="C355" s="328"/>
      <c r="D355" s="328" t="s">
        <v>69</v>
      </c>
      <c r="E355" s="328">
        <v>1</v>
      </c>
      <c r="F355" s="328"/>
      <c r="G355" s="328"/>
      <c r="H355" s="329"/>
      <c r="I355" s="330" t="s">
        <v>715</v>
      </c>
    </row>
    <row r="356" spans="1:9" x14ac:dyDescent="0.2">
      <c r="A356" s="327"/>
      <c r="B356" s="328"/>
      <c r="C356" s="328"/>
      <c r="D356" s="328" t="s">
        <v>70</v>
      </c>
      <c r="E356" s="328">
        <v>424</v>
      </c>
      <c r="F356" s="328"/>
      <c r="G356" s="328"/>
      <c r="H356" s="329"/>
      <c r="I356" s="330" t="s">
        <v>716</v>
      </c>
    </row>
    <row r="357" spans="1:9" ht="17.25" x14ac:dyDescent="0.35">
      <c r="A357" s="376" t="s">
        <v>1249</v>
      </c>
      <c r="B357" s="377" t="s">
        <v>1250</v>
      </c>
      <c r="C357" s="377" t="s">
        <v>90</v>
      </c>
      <c r="D357" s="377"/>
      <c r="E357" s="377"/>
      <c r="F357" s="377"/>
      <c r="G357" s="378" t="s">
        <v>239</v>
      </c>
      <c r="H357" s="379"/>
      <c r="I357" s="380">
        <v>73713</v>
      </c>
    </row>
    <row r="358" spans="1:9" ht="17.25" x14ac:dyDescent="0.35">
      <c r="A358" s="376"/>
      <c r="B358" s="377"/>
      <c r="C358" s="377"/>
      <c r="D358" s="377" t="s">
        <v>69</v>
      </c>
      <c r="E358" s="377">
        <v>1</v>
      </c>
      <c r="F358" s="377">
        <v>2</v>
      </c>
      <c r="G358" s="377"/>
      <c r="H358" s="379"/>
      <c r="I358" s="380" t="s">
        <v>587</v>
      </c>
    </row>
    <row r="359" spans="1:9" ht="17.25" x14ac:dyDescent="0.35">
      <c r="A359" s="376"/>
      <c r="B359" s="377"/>
      <c r="C359" s="377"/>
      <c r="D359" s="377" t="s">
        <v>69</v>
      </c>
      <c r="E359" s="377">
        <v>4</v>
      </c>
      <c r="F359" s="377">
        <v>60</v>
      </c>
      <c r="G359" s="377"/>
      <c r="H359" s="379"/>
      <c r="I359" s="380" t="s">
        <v>1251</v>
      </c>
    </row>
    <row r="360" spans="1:9" ht="17.25" x14ac:dyDescent="0.35">
      <c r="A360" s="376"/>
      <c r="B360" s="377"/>
      <c r="C360" s="377"/>
      <c r="D360" s="377" t="s">
        <v>69</v>
      </c>
      <c r="E360" s="377">
        <v>4</v>
      </c>
      <c r="F360" s="377">
        <v>0</v>
      </c>
      <c r="G360" s="377"/>
      <c r="H360" s="379"/>
      <c r="I360" s="380" t="s">
        <v>1252</v>
      </c>
    </row>
    <row r="361" spans="1:9" ht="17.25" x14ac:dyDescent="0.35">
      <c r="A361" s="376"/>
      <c r="B361" s="377"/>
      <c r="C361" s="377"/>
      <c r="D361" s="377" t="s">
        <v>69</v>
      </c>
      <c r="E361" s="377">
        <v>4</v>
      </c>
      <c r="F361" s="377">
        <v>60</v>
      </c>
      <c r="G361" s="377"/>
      <c r="H361" s="379"/>
      <c r="I361" s="380" t="s">
        <v>1253</v>
      </c>
    </row>
    <row r="362" spans="1:9" ht="17.25" x14ac:dyDescent="0.35">
      <c r="A362" s="376"/>
      <c r="B362" s="377"/>
      <c r="C362" s="377"/>
      <c r="D362" s="377" t="s">
        <v>69</v>
      </c>
      <c r="E362" s="377">
        <v>1</v>
      </c>
      <c r="F362" s="377">
        <v>0</v>
      </c>
      <c r="G362" s="377"/>
      <c r="H362" s="379"/>
      <c r="I362" s="380" t="s">
        <v>1254</v>
      </c>
    </row>
    <row r="363" spans="1:9" ht="17.25" x14ac:dyDescent="0.35">
      <c r="A363" s="376"/>
      <c r="B363" s="377"/>
      <c r="C363" s="377"/>
      <c r="D363" s="377" t="s">
        <v>69</v>
      </c>
      <c r="E363" s="377">
        <v>1</v>
      </c>
      <c r="F363" s="377">
        <v>0</v>
      </c>
      <c r="G363" s="377"/>
      <c r="H363" s="379"/>
      <c r="I363" s="380" t="s">
        <v>1255</v>
      </c>
    </row>
    <row r="364" spans="1:9" ht="17.25" x14ac:dyDescent="0.35">
      <c r="A364" s="376"/>
      <c r="B364" s="377"/>
      <c r="C364" s="377"/>
      <c r="D364" s="377" t="s">
        <v>69</v>
      </c>
      <c r="E364" s="377">
        <v>1</v>
      </c>
      <c r="F364" s="377">
        <v>0</v>
      </c>
      <c r="G364" s="377"/>
      <c r="H364" s="379"/>
      <c r="I364" s="380" t="s">
        <v>1256</v>
      </c>
    </row>
    <row r="365" spans="1:9" ht="17.25" x14ac:dyDescent="0.35">
      <c r="A365" s="376"/>
      <c r="B365" s="377"/>
      <c r="C365" s="377"/>
      <c r="D365" s="377" t="s">
        <v>69</v>
      </c>
      <c r="E365" s="377">
        <v>4</v>
      </c>
      <c r="F365" s="377">
        <v>0</v>
      </c>
      <c r="G365" s="377"/>
      <c r="H365" s="379"/>
      <c r="I365" s="380" t="s">
        <v>1257</v>
      </c>
    </row>
    <row r="366" spans="1:9" ht="17.25" x14ac:dyDescent="0.35">
      <c r="A366" s="376"/>
      <c r="B366" s="377"/>
      <c r="C366" s="377"/>
      <c r="D366" s="377" t="s">
        <v>69</v>
      </c>
      <c r="E366" s="377">
        <v>4</v>
      </c>
      <c r="F366" s="377">
        <v>0</v>
      </c>
      <c r="G366" s="377"/>
      <c r="H366" s="379"/>
      <c r="I366" s="380" t="s">
        <v>1258</v>
      </c>
    </row>
    <row r="367" spans="1:9" ht="17.25" x14ac:dyDescent="0.35">
      <c r="A367" s="376"/>
      <c r="B367" s="377"/>
      <c r="C367" s="377"/>
      <c r="D367" s="377" t="s">
        <v>70</v>
      </c>
      <c r="E367" s="377">
        <v>32</v>
      </c>
      <c r="F367" s="377"/>
      <c r="G367" s="377"/>
      <c r="H367" s="379"/>
      <c r="I367" s="380" t="s">
        <v>1259</v>
      </c>
    </row>
    <row r="368" spans="1:9" ht="17.25" x14ac:dyDescent="0.35">
      <c r="A368" s="376"/>
      <c r="B368" s="377"/>
      <c r="C368" s="377"/>
      <c r="D368" s="377" t="s">
        <v>69</v>
      </c>
      <c r="E368" s="377">
        <v>4</v>
      </c>
      <c r="F368" s="377">
        <v>0</v>
      </c>
      <c r="G368" s="377"/>
      <c r="H368" s="379"/>
      <c r="I368" s="380" t="s">
        <v>1260</v>
      </c>
    </row>
    <row r="369" spans="1:9" ht="17.25" x14ac:dyDescent="0.35">
      <c r="A369" s="376"/>
      <c r="B369" s="377"/>
      <c r="C369" s="377"/>
      <c r="D369" s="377" t="s">
        <v>69</v>
      </c>
      <c r="E369" s="377">
        <v>4</v>
      </c>
      <c r="F369" s="377">
        <v>0</v>
      </c>
      <c r="G369" s="377"/>
      <c r="H369" s="379"/>
      <c r="I369" s="380" t="s">
        <v>1261</v>
      </c>
    </row>
    <row r="370" spans="1:9" ht="17.25" x14ac:dyDescent="0.35">
      <c r="A370" s="376"/>
      <c r="B370" s="377"/>
      <c r="C370" s="377"/>
      <c r="D370" s="377" t="s">
        <v>69</v>
      </c>
      <c r="E370" s="377">
        <v>4</v>
      </c>
      <c r="F370" s="377">
        <v>0</v>
      </c>
      <c r="G370" s="377"/>
      <c r="H370" s="379"/>
      <c r="I370" s="380" t="s">
        <v>1262</v>
      </c>
    </row>
    <row r="371" spans="1:9" ht="17.25" x14ac:dyDescent="0.35">
      <c r="A371" s="376"/>
      <c r="B371" s="377"/>
      <c r="C371" s="377"/>
      <c r="D371" s="377" t="s">
        <v>69</v>
      </c>
      <c r="E371" s="377">
        <v>4</v>
      </c>
      <c r="F371" s="377">
        <v>0</v>
      </c>
      <c r="G371" s="377"/>
      <c r="H371" s="379"/>
      <c r="I371" s="380" t="s">
        <v>1263</v>
      </c>
    </row>
    <row r="372" spans="1:9" ht="17.25" x14ac:dyDescent="0.35">
      <c r="A372" s="376"/>
      <c r="B372" s="377"/>
      <c r="C372" s="377"/>
      <c r="D372" s="377" t="s">
        <v>69</v>
      </c>
      <c r="E372" s="377">
        <v>4</v>
      </c>
      <c r="F372" s="377">
        <v>0</v>
      </c>
      <c r="G372" s="377"/>
      <c r="H372" s="379"/>
      <c r="I372" s="380" t="s">
        <v>1264</v>
      </c>
    </row>
    <row r="373" spans="1:9" ht="17.25" x14ac:dyDescent="0.35">
      <c r="A373" s="376"/>
      <c r="B373" s="377"/>
      <c r="C373" s="377"/>
      <c r="D373" s="377" t="s">
        <v>69</v>
      </c>
      <c r="E373" s="377">
        <v>4</v>
      </c>
      <c r="F373" s="377">
        <v>0</v>
      </c>
      <c r="G373" s="377"/>
      <c r="H373" s="379"/>
      <c r="I373" s="380" t="s">
        <v>1265</v>
      </c>
    </row>
    <row r="374" spans="1:9" ht="17.25" x14ac:dyDescent="0.35">
      <c r="A374" s="376"/>
      <c r="B374" s="377"/>
      <c r="C374" s="377"/>
      <c r="D374" s="377" t="s">
        <v>69</v>
      </c>
      <c r="E374" s="377">
        <v>4</v>
      </c>
      <c r="F374" s="377">
        <v>0</v>
      </c>
      <c r="G374" s="377"/>
      <c r="H374" s="379"/>
      <c r="I374" s="380" t="s">
        <v>1266</v>
      </c>
    </row>
    <row r="375" spans="1:9" ht="17.25" x14ac:dyDescent="0.35">
      <c r="A375" s="376"/>
      <c r="B375" s="377"/>
      <c r="C375" s="377"/>
      <c r="D375" s="377" t="s">
        <v>69</v>
      </c>
      <c r="E375" s="377">
        <v>4</v>
      </c>
      <c r="F375" s="377">
        <v>0</v>
      </c>
      <c r="G375" s="377"/>
      <c r="H375" s="379"/>
      <c r="I375" s="380" t="s">
        <v>1267</v>
      </c>
    </row>
    <row r="376" spans="1:9" ht="17.25" x14ac:dyDescent="0.35">
      <c r="A376" s="376"/>
      <c r="B376" s="377"/>
      <c r="C376" s="377"/>
      <c r="D376" s="377" t="s">
        <v>69</v>
      </c>
      <c r="E376" s="377">
        <v>4</v>
      </c>
      <c r="F376" s="377">
        <v>0</v>
      </c>
      <c r="G376" s="377"/>
      <c r="H376" s="379"/>
      <c r="I376" s="380" t="s">
        <v>1268</v>
      </c>
    </row>
    <row r="377" spans="1:9" ht="17.25" x14ac:dyDescent="0.35">
      <c r="A377" s="376"/>
      <c r="B377" s="377"/>
      <c r="C377" s="377"/>
      <c r="D377" s="377" t="s">
        <v>70</v>
      </c>
      <c r="E377" s="377">
        <v>35</v>
      </c>
      <c r="F377" s="377"/>
      <c r="G377" s="377"/>
      <c r="H377" s="379"/>
      <c r="I377" s="380" t="s">
        <v>716</v>
      </c>
    </row>
    <row r="378" spans="1:9" x14ac:dyDescent="0.2">
      <c r="A378" s="327" t="s">
        <v>717</v>
      </c>
      <c r="B378" s="328" t="s">
        <v>718</v>
      </c>
      <c r="C378" s="328" t="s">
        <v>90</v>
      </c>
      <c r="D378" s="328"/>
      <c r="E378" s="328"/>
      <c r="F378" s="328"/>
      <c r="G378" s="328" t="s">
        <v>239</v>
      </c>
      <c r="H378" s="329"/>
      <c r="I378" s="330">
        <v>69673</v>
      </c>
    </row>
    <row r="379" spans="1:9" x14ac:dyDescent="0.2">
      <c r="A379" s="327"/>
      <c r="B379" s="328"/>
      <c r="C379" s="328"/>
      <c r="D379" s="328" t="s">
        <v>69</v>
      </c>
      <c r="E379" s="328">
        <v>1</v>
      </c>
      <c r="F379" s="328">
        <v>2</v>
      </c>
      <c r="G379" s="328"/>
      <c r="H379" s="329"/>
      <c r="I379" s="330" t="s">
        <v>719</v>
      </c>
    </row>
    <row r="380" spans="1:9" x14ac:dyDescent="0.2">
      <c r="A380" s="327" t="s">
        <v>720</v>
      </c>
      <c r="B380" s="328" t="s">
        <v>721</v>
      </c>
      <c r="C380" s="328" t="s">
        <v>90</v>
      </c>
      <c r="D380" s="328"/>
      <c r="E380" s="328"/>
      <c r="F380" s="328"/>
      <c r="G380" s="328" t="s">
        <v>239</v>
      </c>
      <c r="H380" s="329"/>
      <c r="I380" s="330">
        <v>67348</v>
      </c>
    </row>
    <row r="381" spans="1:9" x14ac:dyDescent="0.2">
      <c r="A381" s="327"/>
      <c r="B381" s="328"/>
      <c r="C381" s="328"/>
      <c r="D381" s="328" t="s">
        <v>69</v>
      </c>
      <c r="E381" s="328">
        <v>1</v>
      </c>
      <c r="F381" s="328">
        <v>25</v>
      </c>
      <c r="G381" s="328"/>
      <c r="H381" s="329"/>
      <c r="I381" s="330" t="s">
        <v>722</v>
      </c>
    </row>
    <row r="382" spans="1:9" x14ac:dyDescent="0.2">
      <c r="A382" s="327"/>
      <c r="B382" s="328"/>
      <c r="C382" s="328"/>
      <c r="D382" s="328" t="s">
        <v>69</v>
      </c>
      <c r="E382" s="328">
        <v>1</v>
      </c>
      <c r="F382" s="328">
        <v>1</v>
      </c>
      <c r="G382" s="328"/>
      <c r="H382" s="329"/>
      <c r="I382" s="330" t="s">
        <v>723</v>
      </c>
    </row>
    <row r="383" spans="1:9" x14ac:dyDescent="0.2">
      <c r="A383" s="327"/>
      <c r="B383" s="328"/>
      <c r="C383" s="328"/>
      <c r="D383" s="328" t="s">
        <v>69</v>
      </c>
      <c r="E383" s="328">
        <v>4</v>
      </c>
      <c r="F383" s="328">
        <v>5</v>
      </c>
      <c r="G383" s="328"/>
      <c r="H383" s="329"/>
      <c r="I383" s="330" t="s">
        <v>724</v>
      </c>
    </row>
    <row r="384" spans="1:9" x14ac:dyDescent="0.2">
      <c r="A384" s="327"/>
      <c r="B384" s="328"/>
      <c r="C384" s="328"/>
      <c r="D384" s="328" t="s">
        <v>69</v>
      </c>
      <c r="E384" s="328">
        <v>1</v>
      </c>
      <c r="F384" s="328">
        <v>0</v>
      </c>
      <c r="G384" s="328"/>
      <c r="H384" s="329"/>
      <c r="I384" s="330" t="s">
        <v>725</v>
      </c>
    </row>
    <row r="385" spans="1:9" x14ac:dyDescent="0.2">
      <c r="A385" s="327"/>
      <c r="B385" s="328"/>
      <c r="C385" s="328"/>
      <c r="D385" s="328" t="s">
        <v>69</v>
      </c>
      <c r="E385" s="328">
        <v>1</v>
      </c>
      <c r="F385" s="328">
        <v>0</v>
      </c>
      <c r="G385" s="328"/>
      <c r="H385" s="329"/>
      <c r="I385" s="330" t="s">
        <v>726</v>
      </c>
    </row>
    <row r="386" spans="1:9" x14ac:dyDescent="0.2">
      <c r="A386" s="327"/>
      <c r="B386" s="328"/>
      <c r="C386" s="328"/>
      <c r="D386" s="328" t="s">
        <v>69</v>
      </c>
      <c r="E386" s="328">
        <v>1</v>
      </c>
      <c r="F386" s="328">
        <v>0</v>
      </c>
      <c r="G386" s="328"/>
      <c r="H386" s="329"/>
      <c r="I386" s="330" t="s">
        <v>727</v>
      </c>
    </row>
    <row r="387" spans="1:9" x14ac:dyDescent="0.2">
      <c r="A387" s="327"/>
      <c r="B387" s="328"/>
      <c r="C387" s="328"/>
      <c r="D387" s="328" t="s">
        <v>69</v>
      </c>
      <c r="E387" s="328">
        <v>1</v>
      </c>
      <c r="F387" s="328">
        <v>0</v>
      </c>
      <c r="G387" s="328"/>
      <c r="H387" s="329"/>
      <c r="I387" s="330" t="s">
        <v>728</v>
      </c>
    </row>
    <row r="388" spans="1:9" x14ac:dyDescent="0.2">
      <c r="A388" s="327"/>
      <c r="B388" s="328"/>
      <c r="C388" s="328"/>
      <c r="D388" s="328" t="s">
        <v>70</v>
      </c>
      <c r="E388" s="328">
        <v>16</v>
      </c>
      <c r="F388" s="328"/>
      <c r="G388" s="328"/>
      <c r="H388" s="329"/>
      <c r="I388" s="330" t="s">
        <v>729</v>
      </c>
    </row>
    <row r="389" spans="1:9" x14ac:dyDescent="0.2">
      <c r="A389" s="327"/>
      <c r="B389" s="328"/>
      <c r="C389" s="328"/>
      <c r="D389" s="328" t="s">
        <v>69</v>
      </c>
      <c r="E389" s="328">
        <v>1</v>
      </c>
      <c r="F389" s="328">
        <v>1</v>
      </c>
      <c r="G389" s="328"/>
      <c r="H389" s="329"/>
      <c r="I389" s="330" t="s">
        <v>730</v>
      </c>
    </row>
    <row r="390" spans="1:9" x14ac:dyDescent="0.2">
      <c r="A390" s="327"/>
      <c r="B390" s="328"/>
      <c r="C390" s="328"/>
      <c r="D390" s="328" t="s">
        <v>69</v>
      </c>
      <c r="E390" s="328">
        <v>1</v>
      </c>
      <c r="F390" s="328">
        <v>0</v>
      </c>
      <c r="G390" s="328"/>
      <c r="H390" s="329"/>
      <c r="I390" s="330" t="s">
        <v>731</v>
      </c>
    </row>
    <row r="391" spans="1:9" x14ac:dyDescent="0.2">
      <c r="A391" s="327"/>
      <c r="B391" s="328"/>
      <c r="C391" s="328"/>
      <c r="D391" s="328" t="s">
        <v>69</v>
      </c>
      <c r="E391" s="328">
        <v>1</v>
      </c>
      <c r="F391" s="328">
        <v>0</v>
      </c>
      <c r="G391" s="328"/>
      <c r="H391" s="329"/>
      <c r="I391" s="330" t="s">
        <v>732</v>
      </c>
    </row>
    <row r="392" spans="1:9" x14ac:dyDescent="0.2">
      <c r="A392" s="327"/>
      <c r="B392" s="328"/>
      <c r="C392" s="328"/>
      <c r="D392" s="328" t="s">
        <v>69</v>
      </c>
      <c r="E392" s="328">
        <v>1</v>
      </c>
      <c r="F392" s="328">
        <v>0</v>
      </c>
      <c r="G392" s="328"/>
      <c r="H392" s="329"/>
      <c r="I392" s="330" t="s">
        <v>733</v>
      </c>
    </row>
    <row r="393" spans="1:9" x14ac:dyDescent="0.2">
      <c r="A393" s="327"/>
      <c r="B393" s="328"/>
      <c r="C393" s="328"/>
      <c r="D393" s="328" t="s">
        <v>69</v>
      </c>
      <c r="E393" s="328">
        <v>1</v>
      </c>
      <c r="F393" s="328">
        <v>3</v>
      </c>
      <c r="G393" s="328"/>
      <c r="H393" s="329"/>
      <c r="I393" s="330" t="s">
        <v>734</v>
      </c>
    </row>
    <row r="394" spans="1:9" x14ac:dyDescent="0.2">
      <c r="A394" s="327"/>
      <c r="B394" s="328"/>
      <c r="C394" s="328"/>
      <c r="D394" s="328" t="s">
        <v>69</v>
      </c>
      <c r="E394" s="328">
        <v>1</v>
      </c>
      <c r="F394" s="328">
        <v>1</v>
      </c>
      <c r="G394" s="328"/>
      <c r="H394" s="329"/>
      <c r="I394" s="330" t="s">
        <v>735</v>
      </c>
    </row>
    <row r="395" spans="1:9" x14ac:dyDescent="0.2">
      <c r="A395" s="327"/>
      <c r="B395" s="328"/>
      <c r="C395" s="328"/>
      <c r="D395" s="328" t="s">
        <v>69</v>
      </c>
      <c r="E395" s="328">
        <v>1</v>
      </c>
      <c r="F395" s="328">
        <v>1</v>
      </c>
      <c r="G395" s="328"/>
      <c r="H395" s="329"/>
      <c r="I395" s="330" t="s">
        <v>736</v>
      </c>
    </row>
    <row r="396" spans="1:9" x14ac:dyDescent="0.2">
      <c r="A396" s="327"/>
      <c r="B396" s="328"/>
      <c r="C396" s="328"/>
      <c r="D396" s="328" t="s">
        <v>69</v>
      </c>
      <c r="E396" s="328">
        <v>1</v>
      </c>
      <c r="F396" s="328">
        <v>0</v>
      </c>
      <c r="G396" s="328"/>
      <c r="H396" s="329"/>
      <c r="I396" s="330" t="s">
        <v>737</v>
      </c>
    </row>
    <row r="397" spans="1:9" x14ac:dyDescent="0.2">
      <c r="A397" s="327"/>
      <c r="B397" s="328"/>
      <c r="C397" s="328"/>
      <c r="D397" s="328" t="s">
        <v>69</v>
      </c>
      <c r="E397" s="328">
        <v>1</v>
      </c>
      <c r="F397" s="328">
        <v>1</v>
      </c>
      <c r="G397" s="328"/>
      <c r="H397" s="329"/>
      <c r="I397" s="330" t="s">
        <v>738</v>
      </c>
    </row>
    <row r="398" spans="1:9" x14ac:dyDescent="0.2">
      <c r="A398" s="327"/>
      <c r="B398" s="328"/>
      <c r="C398" s="328"/>
      <c r="D398" s="328" t="s">
        <v>70</v>
      </c>
      <c r="E398" s="328">
        <v>128</v>
      </c>
      <c r="F398" s="328"/>
      <c r="G398" s="328"/>
      <c r="H398" s="329"/>
      <c r="I398" s="330" t="s">
        <v>739</v>
      </c>
    </row>
    <row r="399" spans="1:9" x14ac:dyDescent="0.2">
      <c r="A399" s="327"/>
      <c r="B399" s="328"/>
      <c r="C399" s="328"/>
      <c r="D399" s="328" t="s">
        <v>70</v>
      </c>
      <c r="E399" s="328">
        <v>128</v>
      </c>
      <c r="F399" s="328" t="s">
        <v>740</v>
      </c>
      <c r="G399" s="328"/>
      <c r="H399" s="329"/>
      <c r="I399" s="330" t="s">
        <v>741</v>
      </c>
    </row>
    <row r="400" spans="1:9" x14ac:dyDescent="0.2">
      <c r="A400" s="327"/>
      <c r="B400" s="328"/>
      <c r="C400" s="328"/>
      <c r="D400" s="328" t="s">
        <v>69</v>
      </c>
      <c r="E400" s="328">
        <v>1</v>
      </c>
      <c r="F400" s="328">
        <v>0</v>
      </c>
      <c r="G400" s="328"/>
      <c r="H400" s="329"/>
      <c r="I400" s="330" t="s">
        <v>742</v>
      </c>
    </row>
    <row r="401" spans="1:9" x14ac:dyDescent="0.2">
      <c r="A401" s="327"/>
      <c r="B401" s="328"/>
      <c r="C401" s="328"/>
      <c r="D401" s="328" t="s">
        <v>69</v>
      </c>
      <c r="E401" s="328">
        <v>1</v>
      </c>
      <c r="F401" s="328">
        <v>0</v>
      </c>
      <c r="G401" s="328"/>
      <c r="H401" s="329"/>
      <c r="I401" s="330" t="s">
        <v>743</v>
      </c>
    </row>
    <row r="402" spans="1:9" x14ac:dyDescent="0.2">
      <c r="A402" s="327"/>
      <c r="B402" s="328"/>
      <c r="C402" s="328"/>
      <c r="D402" s="328" t="s">
        <v>69</v>
      </c>
      <c r="E402" s="328">
        <v>1</v>
      </c>
      <c r="F402" s="328">
        <v>0</v>
      </c>
      <c r="G402" s="328"/>
      <c r="H402" s="329"/>
      <c r="I402" s="330" t="s">
        <v>744</v>
      </c>
    </row>
    <row r="403" spans="1:9" x14ac:dyDescent="0.2">
      <c r="A403" s="327"/>
      <c r="B403" s="328"/>
      <c r="C403" s="328"/>
      <c r="D403" s="328" t="s">
        <v>69</v>
      </c>
      <c r="E403" s="328">
        <v>1</v>
      </c>
      <c r="F403" s="328">
        <v>0</v>
      </c>
      <c r="G403" s="328"/>
      <c r="H403" s="329"/>
      <c r="I403" s="330" t="s">
        <v>745</v>
      </c>
    </row>
    <row r="404" spans="1:9" x14ac:dyDescent="0.2">
      <c r="A404" s="327"/>
      <c r="B404" s="328"/>
      <c r="C404" s="328"/>
      <c r="D404" s="328" t="s">
        <v>69</v>
      </c>
      <c r="E404" s="328">
        <v>1</v>
      </c>
      <c r="F404" s="328">
        <v>0</v>
      </c>
      <c r="G404" s="328"/>
      <c r="H404" s="329"/>
      <c r="I404" s="330" t="s">
        <v>746</v>
      </c>
    </row>
    <row r="405" spans="1:9" x14ac:dyDescent="0.2">
      <c r="A405" s="327"/>
      <c r="B405" s="328"/>
      <c r="C405" s="328"/>
      <c r="D405" s="328" t="s">
        <v>69</v>
      </c>
      <c r="E405" s="328">
        <v>1</v>
      </c>
      <c r="F405" s="328">
        <v>0</v>
      </c>
      <c r="G405" s="328"/>
      <c r="H405" s="329"/>
      <c r="I405" s="330" t="s">
        <v>747</v>
      </c>
    </row>
    <row r="406" spans="1:9" x14ac:dyDescent="0.2">
      <c r="A406" s="327"/>
      <c r="B406" s="328"/>
      <c r="C406" s="328"/>
      <c r="D406" s="328" t="s">
        <v>69</v>
      </c>
      <c r="E406" s="328">
        <v>4</v>
      </c>
      <c r="F406" s="328">
        <v>0</v>
      </c>
      <c r="G406" s="328"/>
      <c r="H406" s="329"/>
      <c r="I406" s="330" t="s">
        <v>748</v>
      </c>
    </row>
    <row r="407" spans="1:9" x14ac:dyDescent="0.2">
      <c r="A407" s="327"/>
      <c r="B407" s="328"/>
      <c r="C407" s="328"/>
      <c r="D407" s="328" t="s">
        <v>69</v>
      </c>
      <c r="E407" s="328">
        <v>4</v>
      </c>
      <c r="F407" s="328">
        <v>0</v>
      </c>
      <c r="G407" s="328"/>
      <c r="H407" s="329"/>
      <c r="I407" s="330" t="s">
        <v>749</v>
      </c>
    </row>
    <row r="408" spans="1:9" x14ac:dyDescent="0.2">
      <c r="A408" s="327"/>
      <c r="B408" s="328"/>
      <c r="C408" s="328"/>
      <c r="D408" s="328" t="s">
        <v>69</v>
      </c>
      <c r="E408" s="328">
        <v>1</v>
      </c>
      <c r="F408" s="328">
        <v>1</v>
      </c>
      <c r="G408" s="328"/>
      <c r="H408" s="329"/>
      <c r="I408" s="330" t="s">
        <v>750</v>
      </c>
    </row>
    <row r="409" spans="1:9" x14ac:dyDescent="0.2">
      <c r="A409" s="327"/>
      <c r="B409" s="328"/>
      <c r="C409" s="328"/>
      <c r="D409" s="328" t="s">
        <v>69</v>
      </c>
      <c r="E409" s="328">
        <v>1</v>
      </c>
      <c r="F409" s="328">
        <v>0</v>
      </c>
      <c r="G409" s="328"/>
      <c r="H409" s="329"/>
      <c r="I409" s="330" t="s">
        <v>751</v>
      </c>
    </row>
    <row r="410" spans="1:9" x14ac:dyDescent="0.2">
      <c r="A410" s="327"/>
      <c r="B410" s="328"/>
      <c r="C410" s="328"/>
      <c r="D410" s="328" t="s">
        <v>70</v>
      </c>
      <c r="E410" s="328">
        <v>128</v>
      </c>
      <c r="F410" s="328"/>
      <c r="G410" s="328"/>
      <c r="H410" s="329"/>
      <c r="I410" s="330" t="s">
        <v>752</v>
      </c>
    </row>
    <row r="411" spans="1:9" x14ac:dyDescent="0.2">
      <c r="A411" s="327"/>
      <c r="B411" s="328"/>
      <c r="C411" s="328"/>
      <c r="D411" s="328" t="s">
        <v>69</v>
      </c>
      <c r="E411" s="328">
        <v>1</v>
      </c>
      <c r="F411" s="328"/>
      <c r="G411" s="328"/>
      <c r="H411" s="329"/>
      <c r="I411" s="330" t="s">
        <v>753</v>
      </c>
    </row>
    <row r="412" spans="1:9" x14ac:dyDescent="0.2">
      <c r="A412" s="327"/>
      <c r="B412" s="328"/>
      <c r="C412" s="328"/>
      <c r="D412" s="328" t="s">
        <v>69</v>
      </c>
      <c r="E412" s="328">
        <v>1</v>
      </c>
      <c r="F412" s="328"/>
      <c r="G412" s="328"/>
      <c r="H412" s="329"/>
      <c r="I412" s="330" t="s">
        <v>754</v>
      </c>
    </row>
    <row r="413" spans="1:9" x14ac:dyDescent="0.2">
      <c r="A413" s="327"/>
      <c r="B413" s="328"/>
      <c r="C413" s="328"/>
      <c r="D413" s="328" t="s">
        <v>69</v>
      </c>
      <c r="E413" s="328">
        <v>1</v>
      </c>
      <c r="F413" s="328">
        <v>0</v>
      </c>
      <c r="G413" s="328"/>
      <c r="H413" s="329"/>
      <c r="I413" s="330" t="s">
        <v>755</v>
      </c>
    </row>
    <row r="414" spans="1:9" x14ac:dyDescent="0.2">
      <c r="A414" s="327"/>
      <c r="B414" s="328"/>
      <c r="C414" s="328"/>
      <c r="D414" s="328" t="s">
        <v>69</v>
      </c>
      <c r="E414" s="328">
        <v>2</v>
      </c>
      <c r="F414" s="328"/>
      <c r="G414" s="328"/>
      <c r="H414" s="329"/>
      <c r="I414" s="330" t="s">
        <v>756</v>
      </c>
    </row>
    <row r="415" spans="1:9" x14ac:dyDescent="0.2">
      <c r="A415" s="327"/>
      <c r="B415" s="328"/>
      <c r="C415" s="328"/>
      <c r="D415" s="328" t="s">
        <v>69</v>
      </c>
      <c r="E415" s="328">
        <v>2</v>
      </c>
      <c r="F415" s="328"/>
      <c r="G415" s="328"/>
      <c r="H415" s="329"/>
      <c r="I415" s="330" t="s">
        <v>757</v>
      </c>
    </row>
    <row r="416" spans="1:9" x14ac:dyDescent="0.2">
      <c r="A416" s="327"/>
      <c r="B416" s="328"/>
      <c r="C416" s="328"/>
      <c r="D416" s="328" t="s">
        <v>69</v>
      </c>
      <c r="E416" s="328">
        <v>2</v>
      </c>
      <c r="F416" s="328"/>
      <c r="G416" s="328"/>
      <c r="H416" s="329"/>
      <c r="I416" s="330" t="s">
        <v>758</v>
      </c>
    </row>
    <row r="417" spans="1:9" x14ac:dyDescent="0.2">
      <c r="A417" s="327"/>
      <c r="B417" s="328"/>
      <c r="C417" s="328"/>
      <c r="D417" s="328" t="s">
        <v>69</v>
      </c>
      <c r="E417" s="328">
        <v>2</v>
      </c>
      <c r="F417" s="328"/>
      <c r="G417" s="328"/>
      <c r="H417" s="329"/>
      <c r="I417" s="330" t="s">
        <v>759</v>
      </c>
    </row>
    <row r="418" spans="1:9" x14ac:dyDescent="0.2">
      <c r="A418" s="327"/>
      <c r="B418" s="328"/>
      <c r="C418" s="328"/>
      <c r="D418" s="328" t="s">
        <v>69</v>
      </c>
      <c r="E418" s="328">
        <v>2</v>
      </c>
      <c r="F418" s="328"/>
      <c r="G418" s="328"/>
      <c r="H418" s="329"/>
      <c r="I418" s="330" t="s">
        <v>760</v>
      </c>
    </row>
    <row r="419" spans="1:9" x14ac:dyDescent="0.2">
      <c r="A419" s="327"/>
      <c r="B419" s="328"/>
      <c r="C419" s="328"/>
      <c r="D419" s="328" t="s">
        <v>69</v>
      </c>
      <c r="E419" s="328">
        <v>2</v>
      </c>
      <c r="F419" s="328"/>
      <c r="G419" s="328"/>
      <c r="H419" s="329"/>
      <c r="I419" s="330" t="s">
        <v>761</v>
      </c>
    </row>
    <row r="420" spans="1:9" x14ac:dyDescent="0.2">
      <c r="A420" s="327"/>
      <c r="B420" s="328"/>
      <c r="C420" s="328"/>
      <c r="D420" s="328" t="s">
        <v>69</v>
      </c>
      <c r="E420" s="328">
        <v>2</v>
      </c>
      <c r="F420" s="328"/>
      <c r="G420" s="328"/>
      <c r="H420" s="329"/>
      <c r="I420" s="330" t="s">
        <v>762</v>
      </c>
    </row>
    <row r="421" spans="1:9" x14ac:dyDescent="0.2">
      <c r="A421" s="327"/>
      <c r="B421" s="328"/>
      <c r="C421" s="328"/>
      <c r="D421" s="328" t="s">
        <v>69</v>
      </c>
      <c r="E421" s="328">
        <v>2</v>
      </c>
      <c r="F421" s="328"/>
      <c r="G421" s="328"/>
      <c r="H421" s="329"/>
      <c r="I421" s="330" t="s">
        <v>763</v>
      </c>
    </row>
    <row r="422" spans="1:9" x14ac:dyDescent="0.2">
      <c r="A422" s="327"/>
      <c r="B422" s="328"/>
      <c r="C422" s="328"/>
      <c r="D422" s="328" t="s">
        <v>69</v>
      </c>
      <c r="E422" s="328">
        <v>2</v>
      </c>
      <c r="F422" s="328"/>
      <c r="G422" s="328"/>
      <c r="H422" s="329"/>
      <c r="I422" s="330" t="s">
        <v>764</v>
      </c>
    </row>
    <row r="423" spans="1:9" x14ac:dyDescent="0.2">
      <c r="A423" s="327"/>
      <c r="B423" s="328"/>
      <c r="C423" s="328"/>
      <c r="D423" s="328" t="s">
        <v>69</v>
      </c>
      <c r="E423" s="328">
        <v>1</v>
      </c>
      <c r="F423" s="328"/>
      <c r="G423" s="328"/>
      <c r="H423" s="329"/>
      <c r="I423" s="330" t="s">
        <v>765</v>
      </c>
    </row>
    <row r="424" spans="1:9" x14ac:dyDescent="0.2">
      <c r="A424" s="327"/>
      <c r="B424" s="328"/>
      <c r="C424" s="328"/>
      <c r="D424" s="328" t="s">
        <v>69</v>
      </c>
      <c r="E424" s="328">
        <v>1</v>
      </c>
      <c r="F424" s="328"/>
      <c r="G424" s="328"/>
      <c r="H424" s="329"/>
      <c r="I424" s="330" t="s">
        <v>766</v>
      </c>
    </row>
    <row r="425" spans="1:9" x14ac:dyDescent="0.2">
      <c r="A425" s="327"/>
      <c r="B425" s="328"/>
      <c r="C425" s="328"/>
      <c r="D425" s="328" t="s">
        <v>69</v>
      </c>
      <c r="E425" s="328">
        <v>2</v>
      </c>
      <c r="F425" s="328"/>
      <c r="G425" s="328"/>
      <c r="H425" s="329"/>
      <c r="I425" s="330" t="s">
        <v>767</v>
      </c>
    </row>
    <row r="426" spans="1:9" x14ac:dyDescent="0.2">
      <c r="A426" s="327"/>
      <c r="B426" s="328"/>
      <c r="C426" s="328"/>
      <c r="D426" s="328" t="s">
        <v>69</v>
      </c>
      <c r="E426" s="328">
        <v>2</v>
      </c>
      <c r="F426" s="328"/>
      <c r="G426" s="328"/>
      <c r="H426" s="329"/>
      <c r="I426" s="330" t="s">
        <v>768</v>
      </c>
    </row>
    <row r="427" spans="1:9" x14ac:dyDescent="0.2">
      <c r="A427" s="327"/>
      <c r="B427" s="328"/>
      <c r="C427" s="328"/>
      <c r="D427" s="328" t="s">
        <v>69</v>
      </c>
      <c r="E427" s="328">
        <v>2</v>
      </c>
      <c r="F427" s="328"/>
      <c r="G427" s="328"/>
      <c r="H427" s="329"/>
      <c r="I427" s="330" t="s">
        <v>769</v>
      </c>
    </row>
    <row r="428" spans="1:9" x14ac:dyDescent="0.2">
      <c r="A428" s="327"/>
      <c r="B428" s="328"/>
      <c r="C428" s="328"/>
      <c r="D428" s="328" t="s">
        <v>69</v>
      </c>
      <c r="E428" s="328">
        <v>2</v>
      </c>
      <c r="F428" s="328"/>
      <c r="G428" s="328"/>
      <c r="H428" s="329"/>
      <c r="I428" s="330" t="s">
        <v>770</v>
      </c>
    </row>
    <row r="429" spans="1:9" x14ac:dyDescent="0.2">
      <c r="A429" s="327"/>
      <c r="B429" s="328"/>
      <c r="C429" s="328"/>
      <c r="D429" s="328" t="s">
        <v>69</v>
      </c>
      <c r="E429" s="328">
        <v>1</v>
      </c>
      <c r="F429" s="328"/>
      <c r="G429" s="328"/>
      <c r="H429" s="329"/>
      <c r="I429" s="330" t="s">
        <v>771</v>
      </c>
    </row>
    <row r="430" spans="1:9" x14ac:dyDescent="0.2">
      <c r="A430" s="327"/>
      <c r="B430" s="328"/>
      <c r="C430" s="328"/>
      <c r="D430" s="328" t="s">
        <v>69</v>
      </c>
      <c r="E430" s="328">
        <v>2</v>
      </c>
      <c r="F430" s="328">
        <v>2000</v>
      </c>
      <c r="G430" s="328"/>
      <c r="H430" s="329"/>
      <c r="I430" s="330" t="s">
        <v>772</v>
      </c>
    </row>
    <row r="431" spans="1:9" x14ac:dyDescent="0.2">
      <c r="A431" s="327"/>
      <c r="B431" s="328"/>
      <c r="C431" s="328"/>
      <c r="D431" s="328" t="s">
        <v>69</v>
      </c>
      <c r="E431" s="328">
        <v>2</v>
      </c>
      <c r="F431" s="328">
        <v>600</v>
      </c>
      <c r="G431" s="328"/>
      <c r="H431" s="329"/>
      <c r="I431" s="330" t="s">
        <v>773</v>
      </c>
    </row>
    <row r="432" spans="1:9" x14ac:dyDescent="0.2">
      <c r="A432" s="327"/>
      <c r="B432" s="328"/>
      <c r="C432" s="328"/>
      <c r="D432" s="328" t="s">
        <v>69</v>
      </c>
      <c r="E432" s="328">
        <v>2</v>
      </c>
      <c r="F432" s="328">
        <v>6000</v>
      </c>
      <c r="G432" s="328"/>
      <c r="H432" s="329"/>
      <c r="I432" s="330" t="s">
        <v>774</v>
      </c>
    </row>
    <row r="433" spans="1:9" x14ac:dyDescent="0.2">
      <c r="A433" s="327"/>
      <c r="B433" s="328"/>
      <c r="C433" s="328"/>
      <c r="D433" s="328" t="s">
        <v>69</v>
      </c>
      <c r="E433" s="328">
        <v>2</v>
      </c>
      <c r="F433" s="328">
        <v>8000</v>
      </c>
      <c r="G433" s="328"/>
      <c r="H433" s="329"/>
      <c r="I433" s="330" t="s">
        <v>775</v>
      </c>
    </row>
    <row r="434" spans="1:9" x14ac:dyDescent="0.2">
      <c r="A434" s="327"/>
      <c r="B434" s="328"/>
      <c r="C434" s="328"/>
      <c r="D434" s="328" t="s">
        <v>69</v>
      </c>
      <c r="E434" s="328">
        <v>1</v>
      </c>
      <c r="F434" s="328"/>
      <c r="G434" s="328"/>
      <c r="H434" s="329"/>
      <c r="I434" s="330" t="s">
        <v>776</v>
      </c>
    </row>
    <row r="435" spans="1:9" x14ac:dyDescent="0.2">
      <c r="A435" s="327"/>
      <c r="B435" s="328"/>
      <c r="C435" s="328"/>
      <c r="D435" s="328" t="s">
        <v>69</v>
      </c>
      <c r="E435" s="328">
        <v>1</v>
      </c>
      <c r="F435" s="328" t="s">
        <v>777</v>
      </c>
      <c r="G435" s="328"/>
      <c r="H435" s="329"/>
      <c r="I435" s="330" t="s">
        <v>778</v>
      </c>
    </row>
    <row r="436" spans="1:9" x14ac:dyDescent="0.2">
      <c r="A436" s="327"/>
      <c r="B436" s="328"/>
      <c r="C436" s="328"/>
      <c r="D436" s="328" t="s">
        <v>70</v>
      </c>
      <c r="E436" s="328">
        <v>35</v>
      </c>
      <c r="F436" s="328"/>
      <c r="G436" s="328"/>
      <c r="H436" s="329"/>
      <c r="I436" s="330" t="s">
        <v>716</v>
      </c>
    </row>
    <row r="437" spans="1:9" x14ac:dyDescent="0.2">
      <c r="A437" s="327" t="s">
        <v>779</v>
      </c>
      <c r="B437" s="328" t="s">
        <v>780</v>
      </c>
      <c r="C437" s="328" t="s">
        <v>90</v>
      </c>
      <c r="D437" s="328"/>
      <c r="E437" s="328"/>
      <c r="F437" s="328"/>
      <c r="G437" s="328" t="s">
        <v>239</v>
      </c>
      <c r="H437" s="329"/>
      <c r="I437" s="330">
        <v>67332</v>
      </c>
    </row>
    <row r="438" spans="1:9" x14ac:dyDescent="0.2">
      <c r="A438" s="327"/>
      <c r="B438" s="328"/>
      <c r="C438" s="328"/>
      <c r="D438" s="328" t="s">
        <v>69</v>
      </c>
      <c r="E438" s="328">
        <v>1</v>
      </c>
      <c r="F438" s="328">
        <v>6</v>
      </c>
      <c r="G438" s="328"/>
      <c r="H438" s="329"/>
      <c r="I438" s="330" t="s">
        <v>587</v>
      </c>
    </row>
    <row r="439" spans="1:9" x14ac:dyDescent="0.2">
      <c r="A439" s="327"/>
      <c r="B439" s="328"/>
      <c r="C439" s="328"/>
      <c r="D439" s="328" t="s">
        <v>69</v>
      </c>
      <c r="E439" s="328">
        <v>2</v>
      </c>
      <c r="F439" s="328">
        <v>1400</v>
      </c>
      <c r="G439" s="328"/>
      <c r="H439" s="329"/>
      <c r="I439" s="330" t="s">
        <v>781</v>
      </c>
    </row>
    <row r="440" spans="1:9" x14ac:dyDescent="0.2">
      <c r="A440" s="327"/>
      <c r="B440" s="328"/>
      <c r="C440" s="328"/>
      <c r="D440" s="328" t="s">
        <v>69</v>
      </c>
      <c r="E440" s="328">
        <v>1</v>
      </c>
      <c r="F440" s="328">
        <v>4</v>
      </c>
      <c r="G440" s="328"/>
      <c r="H440" s="329"/>
      <c r="I440" s="330" t="s">
        <v>782</v>
      </c>
    </row>
    <row r="441" spans="1:9" x14ac:dyDescent="0.2">
      <c r="A441" s="327"/>
      <c r="B441" s="328"/>
      <c r="C441" s="328"/>
      <c r="D441" s="328" t="s">
        <v>69</v>
      </c>
      <c r="E441" s="328">
        <v>2</v>
      </c>
      <c r="F441" s="328"/>
      <c r="G441" s="328"/>
      <c r="H441" s="329"/>
      <c r="I441" s="330" t="s">
        <v>783</v>
      </c>
    </row>
    <row r="442" spans="1:9" x14ac:dyDescent="0.2">
      <c r="A442" s="327"/>
      <c r="B442" s="328"/>
      <c r="C442" s="328"/>
      <c r="D442" s="328" t="s">
        <v>69</v>
      </c>
      <c r="E442" s="328">
        <v>1</v>
      </c>
      <c r="F442" s="328"/>
      <c r="G442" s="328"/>
      <c r="H442" s="329"/>
      <c r="I442" s="330" t="s">
        <v>784</v>
      </c>
    </row>
    <row r="443" spans="1:9" x14ac:dyDescent="0.2">
      <c r="A443" s="327"/>
      <c r="B443" s="328"/>
      <c r="C443" s="328"/>
      <c r="D443" s="328" t="s">
        <v>69</v>
      </c>
      <c r="E443" s="328">
        <v>1</v>
      </c>
      <c r="F443" s="328"/>
      <c r="G443" s="328"/>
      <c r="H443" s="329"/>
      <c r="I443" s="330" t="s">
        <v>785</v>
      </c>
    </row>
    <row r="444" spans="1:9" x14ac:dyDescent="0.2">
      <c r="A444" s="327"/>
      <c r="B444" s="328"/>
      <c r="C444" s="328"/>
      <c r="D444" s="328" t="s">
        <v>69</v>
      </c>
      <c r="E444" s="328">
        <v>1</v>
      </c>
      <c r="F444" s="328"/>
      <c r="G444" s="328"/>
      <c r="H444" s="329"/>
      <c r="I444" s="330" t="s">
        <v>786</v>
      </c>
    </row>
    <row r="445" spans="1:9" x14ac:dyDescent="0.2">
      <c r="A445" s="327"/>
      <c r="B445" s="328"/>
      <c r="C445" s="328"/>
      <c r="D445" s="328" t="s">
        <v>69</v>
      </c>
      <c r="E445" s="328">
        <v>1</v>
      </c>
      <c r="F445" s="328"/>
      <c r="G445" s="328"/>
      <c r="H445" s="329"/>
      <c r="I445" s="330" t="s">
        <v>787</v>
      </c>
    </row>
    <row r="446" spans="1:9" x14ac:dyDescent="0.2">
      <c r="A446" s="327"/>
      <c r="B446" s="328"/>
      <c r="C446" s="328"/>
      <c r="D446" s="328" t="s">
        <v>69</v>
      </c>
      <c r="E446" s="328">
        <v>1</v>
      </c>
      <c r="F446" s="328"/>
      <c r="G446" s="328"/>
      <c r="H446" s="329"/>
      <c r="I446" s="330" t="s">
        <v>788</v>
      </c>
    </row>
    <row r="447" spans="1:9" x14ac:dyDescent="0.2">
      <c r="A447" s="327"/>
      <c r="B447" s="328"/>
      <c r="C447" s="328"/>
      <c r="D447" s="328" t="s">
        <v>69</v>
      </c>
      <c r="E447" s="328">
        <v>1</v>
      </c>
      <c r="F447" s="328"/>
      <c r="G447" s="328"/>
      <c r="H447" s="329"/>
      <c r="I447" s="330" t="s">
        <v>789</v>
      </c>
    </row>
    <row r="448" spans="1:9" x14ac:dyDescent="0.2">
      <c r="A448" s="327"/>
      <c r="B448" s="328"/>
      <c r="C448" s="328"/>
      <c r="D448" s="328" t="s">
        <v>69</v>
      </c>
      <c r="E448" s="328">
        <v>2</v>
      </c>
      <c r="F448" s="328"/>
      <c r="G448" s="328"/>
      <c r="H448" s="329"/>
      <c r="I448" s="330" t="s">
        <v>790</v>
      </c>
    </row>
    <row r="449" spans="1:9" x14ac:dyDescent="0.2">
      <c r="A449" s="327"/>
      <c r="B449" s="328"/>
      <c r="C449" s="328"/>
      <c r="D449" s="328" t="s">
        <v>69</v>
      </c>
      <c r="E449" s="328">
        <v>2</v>
      </c>
      <c r="F449" s="328"/>
      <c r="G449" s="328"/>
      <c r="H449" s="329"/>
      <c r="I449" s="330" t="s">
        <v>791</v>
      </c>
    </row>
    <row r="450" spans="1:9" x14ac:dyDescent="0.2">
      <c r="A450" s="327"/>
      <c r="B450" s="328"/>
      <c r="C450" s="328"/>
      <c r="D450" s="328" t="s">
        <v>69</v>
      </c>
      <c r="E450" s="328">
        <v>1</v>
      </c>
      <c r="F450" s="328"/>
      <c r="G450" s="328"/>
      <c r="H450" s="329"/>
      <c r="I450" s="330" t="s">
        <v>792</v>
      </c>
    </row>
    <row r="451" spans="1:9" x14ac:dyDescent="0.2">
      <c r="A451" s="327"/>
      <c r="B451" s="328"/>
      <c r="C451" s="328"/>
      <c r="D451" s="328" t="s">
        <v>69</v>
      </c>
      <c r="E451" s="328">
        <v>1</v>
      </c>
      <c r="F451" s="328"/>
      <c r="G451" s="328"/>
      <c r="H451" s="329"/>
      <c r="I451" s="330" t="s">
        <v>793</v>
      </c>
    </row>
    <row r="452" spans="1:9" x14ac:dyDescent="0.2">
      <c r="A452" s="327"/>
      <c r="B452" s="328"/>
      <c r="C452" s="328"/>
      <c r="D452" s="328" t="s">
        <v>69</v>
      </c>
      <c r="E452" s="328">
        <v>1</v>
      </c>
      <c r="F452" s="328">
        <v>2</v>
      </c>
      <c r="G452" s="328"/>
      <c r="H452" s="329"/>
      <c r="I452" s="330" t="s">
        <v>794</v>
      </c>
    </row>
    <row r="453" spans="1:9" x14ac:dyDescent="0.2">
      <c r="A453" s="327"/>
      <c r="B453" s="328"/>
      <c r="C453" s="328"/>
      <c r="D453" s="328" t="s">
        <v>69</v>
      </c>
      <c r="E453" s="328">
        <v>1</v>
      </c>
      <c r="F453" s="328">
        <v>0</v>
      </c>
      <c r="G453" s="328"/>
      <c r="H453" s="329"/>
      <c r="I453" s="330" t="s">
        <v>795</v>
      </c>
    </row>
    <row r="454" spans="1:9" x14ac:dyDescent="0.2">
      <c r="A454" s="327"/>
      <c r="B454" s="328"/>
      <c r="C454" s="328"/>
      <c r="D454" s="328" t="s">
        <v>69</v>
      </c>
      <c r="E454" s="328">
        <v>1</v>
      </c>
      <c r="F454" s="328">
        <v>100</v>
      </c>
      <c r="G454" s="328"/>
      <c r="H454" s="329"/>
      <c r="I454" s="330" t="s">
        <v>796</v>
      </c>
    </row>
    <row r="455" spans="1:9" x14ac:dyDescent="0.2">
      <c r="A455" s="327"/>
      <c r="B455" s="328"/>
      <c r="C455" s="328"/>
      <c r="D455" s="328" t="s">
        <v>69</v>
      </c>
      <c r="E455" s="328">
        <v>1</v>
      </c>
      <c r="F455" s="328">
        <v>40</v>
      </c>
      <c r="G455" s="328"/>
      <c r="H455" s="329"/>
      <c r="I455" s="330" t="s">
        <v>797</v>
      </c>
    </row>
    <row r="456" spans="1:9" x14ac:dyDescent="0.2">
      <c r="A456" s="327"/>
      <c r="B456" s="328"/>
      <c r="C456" s="328"/>
      <c r="D456" s="328" t="s">
        <v>69</v>
      </c>
      <c r="E456" s="328">
        <v>1</v>
      </c>
      <c r="F456" s="328">
        <v>0</v>
      </c>
      <c r="G456" s="328"/>
      <c r="H456" s="329"/>
      <c r="I456" s="330" t="s">
        <v>798</v>
      </c>
    </row>
    <row r="457" spans="1:9" x14ac:dyDescent="0.2">
      <c r="A457" s="327"/>
      <c r="B457" s="328"/>
      <c r="C457" s="328"/>
      <c r="D457" s="328" t="s">
        <v>69</v>
      </c>
      <c r="E457" s="328">
        <v>1</v>
      </c>
      <c r="F457" s="328"/>
      <c r="G457" s="328"/>
      <c r="H457" s="329"/>
      <c r="I457" s="330" t="s">
        <v>799</v>
      </c>
    </row>
    <row r="458" spans="1:9" x14ac:dyDescent="0.2">
      <c r="A458" s="327"/>
      <c r="B458" s="328"/>
      <c r="C458" s="328"/>
      <c r="D458" s="328" t="s">
        <v>69</v>
      </c>
      <c r="E458" s="328">
        <v>1</v>
      </c>
      <c r="F458" s="328"/>
      <c r="G458" s="328"/>
      <c r="H458" s="329"/>
      <c r="I458" s="330" t="s">
        <v>800</v>
      </c>
    </row>
    <row r="459" spans="1:9" x14ac:dyDescent="0.2">
      <c r="A459" s="327"/>
      <c r="B459" s="328"/>
      <c r="C459" s="328"/>
      <c r="D459" s="328" t="s">
        <v>69</v>
      </c>
      <c r="E459" s="328">
        <v>1</v>
      </c>
      <c r="F459" s="328">
        <v>20</v>
      </c>
      <c r="G459" s="328"/>
      <c r="H459" s="329"/>
      <c r="I459" s="330" t="s">
        <v>801</v>
      </c>
    </row>
    <row r="460" spans="1:9" x14ac:dyDescent="0.2">
      <c r="A460" s="327"/>
      <c r="B460" s="328"/>
      <c r="C460" s="328"/>
      <c r="D460" s="328" t="s">
        <v>69</v>
      </c>
      <c r="E460" s="328">
        <v>2</v>
      </c>
      <c r="F460" s="328">
        <v>5</v>
      </c>
      <c r="G460" s="328"/>
      <c r="H460" s="329"/>
      <c r="I460" s="330" t="s">
        <v>802</v>
      </c>
    </row>
    <row r="461" spans="1:9" x14ac:dyDescent="0.2">
      <c r="A461" s="327"/>
      <c r="B461" s="328"/>
      <c r="C461" s="328"/>
      <c r="D461" s="328" t="s">
        <v>69</v>
      </c>
      <c r="E461" s="328">
        <v>2</v>
      </c>
      <c r="F461" s="328">
        <v>60</v>
      </c>
      <c r="G461" s="328"/>
      <c r="H461" s="329"/>
      <c r="I461" s="330" t="s">
        <v>803</v>
      </c>
    </row>
    <row r="462" spans="1:9" x14ac:dyDescent="0.2">
      <c r="A462" s="327"/>
      <c r="B462" s="328"/>
      <c r="C462" s="328"/>
      <c r="D462" s="328" t="s">
        <v>69</v>
      </c>
      <c r="E462" s="328">
        <v>2</v>
      </c>
      <c r="F462" s="328">
        <v>60</v>
      </c>
      <c r="G462" s="328"/>
      <c r="H462" s="329"/>
      <c r="I462" s="330" t="s">
        <v>804</v>
      </c>
    </row>
    <row r="463" spans="1:9" x14ac:dyDescent="0.2">
      <c r="A463" s="327"/>
      <c r="B463" s="328"/>
      <c r="C463" s="328"/>
      <c r="D463" s="328" t="s">
        <v>69</v>
      </c>
      <c r="E463" s="328">
        <v>2</v>
      </c>
      <c r="F463" s="328">
        <v>60</v>
      </c>
      <c r="G463" s="328"/>
      <c r="H463" s="329"/>
      <c r="I463" s="330" t="s">
        <v>805</v>
      </c>
    </row>
    <row r="464" spans="1:9" x14ac:dyDescent="0.2">
      <c r="A464" s="327"/>
      <c r="B464" s="328"/>
      <c r="C464" s="328"/>
      <c r="D464" s="328" t="s">
        <v>69</v>
      </c>
      <c r="E464" s="328">
        <v>1</v>
      </c>
      <c r="F464" s="328">
        <v>0</v>
      </c>
      <c r="G464" s="328"/>
      <c r="H464" s="329"/>
      <c r="I464" s="330" t="s">
        <v>806</v>
      </c>
    </row>
    <row r="465" spans="1:9" x14ac:dyDescent="0.2">
      <c r="A465" s="327"/>
      <c r="B465" s="328"/>
      <c r="C465" s="328"/>
      <c r="D465" s="328" t="s">
        <v>69</v>
      </c>
      <c r="E465" s="328">
        <v>1</v>
      </c>
      <c r="F465" s="328">
        <v>0</v>
      </c>
      <c r="G465" s="328"/>
      <c r="H465" s="329"/>
      <c r="I465" s="330" t="s">
        <v>807</v>
      </c>
    </row>
    <row r="466" spans="1:9" x14ac:dyDescent="0.2">
      <c r="A466" s="327"/>
      <c r="B466" s="328"/>
      <c r="C466" s="328"/>
      <c r="D466" s="328" t="s">
        <v>69</v>
      </c>
      <c r="E466" s="328">
        <v>1</v>
      </c>
      <c r="F466" s="328">
        <v>0</v>
      </c>
      <c r="G466" s="328"/>
      <c r="H466" s="329"/>
      <c r="I466" s="330" t="s">
        <v>808</v>
      </c>
    </row>
    <row r="467" spans="1:9" x14ac:dyDescent="0.2">
      <c r="A467" s="327"/>
      <c r="B467" s="328"/>
      <c r="C467" s="328"/>
      <c r="D467" s="328" t="s">
        <v>69</v>
      </c>
      <c r="E467" s="328">
        <v>2</v>
      </c>
      <c r="F467" s="328">
        <v>0</v>
      </c>
      <c r="G467" s="328"/>
      <c r="H467" s="329"/>
      <c r="I467" s="330" t="s">
        <v>809</v>
      </c>
    </row>
    <row r="468" spans="1:9" x14ac:dyDescent="0.2">
      <c r="A468" s="327"/>
      <c r="B468" s="328"/>
      <c r="C468" s="328"/>
      <c r="D468" s="328" t="s">
        <v>69</v>
      </c>
      <c r="E468" s="328">
        <v>1</v>
      </c>
      <c r="F468" s="328">
        <v>3</v>
      </c>
      <c r="G468" s="328"/>
      <c r="H468" s="329"/>
      <c r="I468" s="330" t="s">
        <v>810</v>
      </c>
    </row>
    <row r="469" spans="1:9" x14ac:dyDescent="0.2">
      <c r="A469" s="327"/>
      <c r="B469" s="328"/>
      <c r="C469" s="328"/>
      <c r="D469" s="328" t="s">
        <v>69</v>
      </c>
      <c r="E469" s="328">
        <v>1</v>
      </c>
      <c r="F469" s="328">
        <v>0</v>
      </c>
      <c r="G469" s="328"/>
      <c r="H469" s="329"/>
      <c r="I469" s="330" t="s">
        <v>811</v>
      </c>
    </row>
    <row r="470" spans="1:9" x14ac:dyDescent="0.2">
      <c r="A470" s="327"/>
      <c r="B470" s="328"/>
      <c r="C470" s="328"/>
      <c r="D470" s="328" t="s">
        <v>69</v>
      </c>
      <c r="E470" s="328">
        <v>1</v>
      </c>
      <c r="F470" s="328">
        <v>0</v>
      </c>
      <c r="G470" s="328"/>
      <c r="H470" s="329"/>
      <c r="I470" s="330" t="s">
        <v>812</v>
      </c>
    </row>
    <row r="471" spans="1:9" x14ac:dyDescent="0.2">
      <c r="A471" s="327"/>
      <c r="B471" s="328"/>
      <c r="C471" s="328"/>
      <c r="D471" s="328" t="s">
        <v>69</v>
      </c>
      <c r="E471" s="328">
        <v>4</v>
      </c>
      <c r="F471" s="328">
        <v>46</v>
      </c>
      <c r="G471" s="328"/>
      <c r="H471" s="329"/>
      <c r="I471" s="330" t="s">
        <v>813</v>
      </c>
    </row>
    <row r="472" spans="1:9" x14ac:dyDescent="0.2">
      <c r="A472" s="327"/>
      <c r="B472" s="328"/>
      <c r="C472" s="328"/>
      <c r="D472" s="328" t="s">
        <v>69</v>
      </c>
      <c r="E472" s="328">
        <v>4</v>
      </c>
      <c r="F472" s="328">
        <v>46</v>
      </c>
      <c r="G472" s="328"/>
      <c r="H472" s="329"/>
      <c r="I472" s="330" t="s">
        <v>814</v>
      </c>
    </row>
    <row r="473" spans="1:9" x14ac:dyDescent="0.2">
      <c r="A473" s="327"/>
      <c r="B473" s="328"/>
      <c r="C473" s="328"/>
      <c r="D473" s="328" t="s">
        <v>69</v>
      </c>
      <c r="E473" s="328">
        <v>1</v>
      </c>
      <c r="F473" s="328">
        <v>0</v>
      </c>
      <c r="G473" s="328"/>
      <c r="H473" s="329"/>
      <c r="I473" s="330" t="s">
        <v>815</v>
      </c>
    </row>
    <row r="474" spans="1:9" x14ac:dyDescent="0.2">
      <c r="A474" s="327"/>
      <c r="B474" s="328"/>
      <c r="C474" s="328"/>
      <c r="D474" s="328" t="s">
        <v>69</v>
      </c>
      <c r="E474" s="328">
        <v>484</v>
      </c>
      <c r="F474" s="328">
        <v>0</v>
      </c>
      <c r="G474" s="328"/>
      <c r="H474" s="329"/>
      <c r="I474" s="330" t="s">
        <v>816</v>
      </c>
    </row>
    <row r="475" spans="1:9" x14ac:dyDescent="0.2">
      <c r="A475" s="327" t="s">
        <v>817</v>
      </c>
      <c r="B475" s="328" t="s">
        <v>818</v>
      </c>
      <c r="C475" s="328" t="s">
        <v>90</v>
      </c>
      <c r="D475" s="328"/>
      <c r="E475" s="328"/>
      <c r="F475" s="328"/>
      <c r="G475" s="328" t="s">
        <v>239</v>
      </c>
      <c r="H475" s="329"/>
      <c r="I475" s="330">
        <v>67314</v>
      </c>
    </row>
    <row r="476" spans="1:9" x14ac:dyDescent="0.2">
      <c r="A476" s="327"/>
      <c r="B476" s="328"/>
      <c r="C476" s="328"/>
      <c r="D476" s="328" t="s">
        <v>69</v>
      </c>
      <c r="E476" s="328">
        <v>4</v>
      </c>
      <c r="F476" s="328"/>
      <c r="G476" s="328"/>
      <c r="H476" s="329"/>
      <c r="I476" s="330" t="s">
        <v>819</v>
      </c>
    </row>
    <row r="477" spans="1:9" x14ac:dyDescent="0.2">
      <c r="A477" s="327"/>
      <c r="B477" s="328"/>
      <c r="C477" s="328"/>
      <c r="D477" s="328" t="s">
        <v>69</v>
      </c>
      <c r="E477" s="328">
        <v>4</v>
      </c>
      <c r="F477" s="328"/>
      <c r="G477" s="328"/>
      <c r="H477" s="329"/>
      <c r="I477" s="330" t="s">
        <v>820</v>
      </c>
    </row>
    <row r="478" spans="1:9" x14ac:dyDescent="0.2">
      <c r="A478" s="327"/>
      <c r="B478" s="328"/>
      <c r="C478" s="328"/>
      <c r="D478" s="328" t="s">
        <v>69</v>
      </c>
      <c r="E478" s="328">
        <v>4</v>
      </c>
      <c r="F478" s="328"/>
      <c r="G478" s="328"/>
      <c r="H478" s="329"/>
      <c r="I478" s="330" t="s">
        <v>821</v>
      </c>
    </row>
    <row r="479" spans="1:9" x14ac:dyDescent="0.2">
      <c r="A479" s="327"/>
      <c r="B479" s="328"/>
      <c r="C479" s="328"/>
      <c r="D479" s="328" t="s">
        <v>69</v>
      </c>
      <c r="E479" s="328">
        <v>4</v>
      </c>
      <c r="F479" s="328"/>
      <c r="G479" s="328"/>
      <c r="H479" s="329"/>
      <c r="I479" s="330" t="s">
        <v>822</v>
      </c>
    </row>
    <row r="480" spans="1:9" ht="25.5" x14ac:dyDescent="0.2">
      <c r="A480" s="327"/>
      <c r="B480" s="328"/>
      <c r="C480" s="328"/>
      <c r="D480" s="328" t="s">
        <v>69</v>
      </c>
      <c r="E480" s="328">
        <v>1</v>
      </c>
      <c r="F480" s="328">
        <v>0</v>
      </c>
      <c r="G480" s="328"/>
      <c r="H480" s="329"/>
      <c r="I480" s="330" t="s">
        <v>823</v>
      </c>
    </row>
    <row r="481" spans="1:9" x14ac:dyDescent="0.2">
      <c r="A481" s="327"/>
      <c r="B481" s="328"/>
      <c r="C481" s="328"/>
      <c r="D481" s="328" t="s">
        <v>69</v>
      </c>
      <c r="E481" s="328">
        <v>4</v>
      </c>
      <c r="F481" s="328"/>
      <c r="G481" s="328"/>
      <c r="H481" s="329"/>
      <c r="I481" s="330" t="s">
        <v>824</v>
      </c>
    </row>
    <row r="482" spans="1:9" x14ac:dyDescent="0.2">
      <c r="A482" s="327"/>
      <c r="B482" s="328"/>
      <c r="C482" s="328"/>
      <c r="D482" s="328" t="s">
        <v>69</v>
      </c>
      <c r="E482" s="328">
        <v>4</v>
      </c>
      <c r="F482" s="328"/>
      <c r="G482" s="328"/>
      <c r="H482" s="329"/>
      <c r="I482" s="330" t="s">
        <v>825</v>
      </c>
    </row>
    <row r="483" spans="1:9" x14ac:dyDescent="0.2">
      <c r="A483" s="327"/>
      <c r="B483" s="328"/>
      <c r="C483" s="328"/>
      <c r="D483" s="328" t="s">
        <v>69</v>
      </c>
      <c r="E483" s="328">
        <v>4</v>
      </c>
      <c r="F483" s="328"/>
      <c r="G483" s="328"/>
      <c r="H483" s="329"/>
      <c r="I483" s="330" t="s">
        <v>826</v>
      </c>
    </row>
    <row r="484" spans="1:9" x14ac:dyDescent="0.2">
      <c r="A484" s="327"/>
      <c r="B484" s="328"/>
      <c r="C484" s="328"/>
      <c r="D484" s="328" t="s">
        <v>69</v>
      </c>
      <c r="E484" s="328">
        <v>4</v>
      </c>
      <c r="F484" s="328"/>
      <c r="G484" s="328"/>
      <c r="H484" s="329"/>
      <c r="I484" s="330" t="s">
        <v>827</v>
      </c>
    </row>
    <row r="485" spans="1:9" x14ac:dyDescent="0.2">
      <c r="A485" s="327"/>
      <c r="B485" s="328"/>
      <c r="C485" s="328"/>
      <c r="D485" s="328" t="s">
        <v>69</v>
      </c>
      <c r="E485" s="328">
        <v>1</v>
      </c>
      <c r="F485" s="328">
        <v>0</v>
      </c>
      <c r="G485" s="328"/>
      <c r="H485" s="329"/>
      <c r="I485" s="330" t="s">
        <v>828</v>
      </c>
    </row>
    <row r="486" spans="1:9" x14ac:dyDescent="0.2">
      <c r="A486" s="327"/>
      <c r="B486" s="328"/>
      <c r="C486" s="328"/>
      <c r="D486" s="328" t="s">
        <v>70</v>
      </c>
      <c r="E486" s="328">
        <v>128</v>
      </c>
      <c r="F486" s="328"/>
      <c r="G486" s="328"/>
      <c r="H486" s="329"/>
      <c r="I486" s="330" t="s">
        <v>829</v>
      </c>
    </row>
    <row r="487" spans="1:9" x14ac:dyDescent="0.2">
      <c r="A487" s="327"/>
      <c r="B487" s="328"/>
      <c r="C487" s="328"/>
      <c r="D487" s="328" t="s">
        <v>69</v>
      </c>
      <c r="E487" s="328">
        <v>4</v>
      </c>
      <c r="F487" s="328"/>
      <c r="G487" s="328"/>
      <c r="H487" s="329"/>
      <c r="I487" s="330" t="s">
        <v>830</v>
      </c>
    </row>
    <row r="488" spans="1:9" x14ac:dyDescent="0.2">
      <c r="A488" s="327"/>
      <c r="B488" s="328"/>
      <c r="C488" s="328"/>
      <c r="D488" s="328" t="s">
        <v>69</v>
      </c>
      <c r="E488" s="328">
        <v>4</v>
      </c>
      <c r="F488" s="328"/>
      <c r="G488" s="328"/>
      <c r="H488" s="329"/>
      <c r="I488" s="330" t="s">
        <v>831</v>
      </c>
    </row>
    <row r="489" spans="1:9" x14ac:dyDescent="0.2">
      <c r="A489" s="327"/>
      <c r="B489" s="328"/>
      <c r="C489" s="328"/>
      <c r="D489" s="328" t="s">
        <v>69</v>
      </c>
      <c r="E489" s="328">
        <v>1</v>
      </c>
      <c r="F489" s="328"/>
      <c r="G489" s="328"/>
      <c r="H489" s="329"/>
      <c r="I489" s="330" t="s">
        <v>832</v>
      </c>
    </row>
    <row r="490" spans="1:9" x14ac:dyDescent="0.2">
      <c r="A490" s="327"/>
      <c r="B490" s="328"/>
      <c r="C490" s="328"/>
      <c r="D490" s="328" t="s">
        <v>69</v>
      </c>
      <c r="E490" s="328">
        <v>1</v>
      </c>
      <c r="F490" s="328"/>
      <c r="G490" s="328"/>
      <c r="H490" s="329"/>
      <c r="I490" s="330" t="s">
        <v>833</v>
      </c>
    </row>
    <row r="491" spans="1:9" x14ac:dyDescent="0.2">
      <c r="A491" s="327" t="s">
        <v>834</v>
      </c>
      <c r="B491" s="328" t="s">
        <v>835</v>
      </c>
      <c r="C491" s="328" t="s">
        <v>90</v>
      </c>
      <c r="D491" s="328"/>
      <c r="E491" s="328"/>
      <c r="F491" s="328"/>
      <c r="G491" s="328" t="s">
        <v>239</v>
      </c>
      <c r="H491" s="329"/>
      <c r="I491" s="330">
        <v>67257</v>
      </c>
    </row>
    <row r="492" spans="1:9" x14ac:dyDescent="0.2">
      <c r="A492" s="327"/>
      <c r="B492" s="328"/>
      <c r="C492" s="328"/>
      <c r="D492" s="328" t="s">
        <v>69</v>
      </c>
      <c r="E492" s="328">
        <v>1</v>
      </c>
      <c r="F492" s="328">
        <v>0</v>
      </c>
      <c r="G492" s="328"/>
      <c r="H492" s="329"/>
      <c r="I492" s="330" t="s">
        <v>836</v>
      </c>
    </row>
    <row r="493" spans="1:9" x14ac:dyDescent="0.2">
      <c r="A493" s="327"/>
      <c r="B493" s="328"/>
      <c r="C493" s="328"/>
      <c r="D493" s="328" t="s">
        <v>69</v>
      </c>
      <c r="E493" s="328">
        <v>1</v>
      </c>
      <c r="F493" s="328">
        <v>1</v>
      </c>
      <c r="G493" s="328"/>
      <c r="H493" s="329"/>
      <c r="I493" s="330" t="s">
        <v>837</v>
      </c>
    </row>
    <row r="494" spans="1:9" x14ac:dyDescent="0.2">
      <c r="A494" s="327"/>
      <c r="B494" s="328"/>
      <c r="C494" s="328"/>
      <c r="D494" s="328" t="s">
        <v>69</v>
      </c>
      <c r="E494" s="328">
        <v>1</v>
      </c>
      <c r="F494" s="328">
        <v>1</v>
      </c>
      <c r="G494" s="328"/>
      <c r="H494" s="329"/>
      <c r="I494" s="330" t="s">
        <v>838</v>
      </c>
    </row>
    <row r="495" spans="1:9" x14ac:dyDescent="0.2">
      <c r="A495" s="327"/>
      <c r="B495" s="328"/>
      <c r="C495" s="328"/>
      <c r="D495" s="328" t="s">
        <v>70</v>
      </c>
      <c r="E495" s="328">
        <v>128</v>
      </c>
      <c r="F495" s="328" t="s">
        <v>839</v>
      </c>
      <c r="G495" s="328"/>
      <c r="H495" s="329"/>
      <c r="I495" s="330" t="s">
        <v>840</v>
      </c>
    </row>
    <row r="496" spans="1:9" x14ac:dyDescent="0.2">
      <c r="A496" s="327"/>
      <c r="B496" s="328"/>
      <c r="C496" s="328"/>
      <c r="D496" s="328" t="s">
        <v>69</v>
      </c>
      <c r="E496" s="328">
        <v>2</v>
      </c>
      <c r="F496" s="328">
        <v>1800</v>
      </c>
      <c r="G496" s="328"/>
      <c r="H496" s="329"/>
      <c r="I496" s="330" t="s">
        <v>841</v>
      </c>
    </row>
    <row r="497" spans="1:9" x14ac:dyDescent="0.2">
      <c r="A497" s="327"/>
      <c r="B497" s="328"/>
      <c r="C497" s="328"/>
      <c r="D497" s="328" t="s">
        <v>69</v>
      </c>
      <c r="E497" s="328">
        <v>2</v>
      </c>
      <c r="F497" s="328">
        <v>1800</v>
      </c>
      <c r="G497" s="328"/>
      <c r="H497" s="329"/>
      <c r="I497" s="330" t="s">
        <v>842</v>
      </c>
    </row>
    <row r="498" spans="1:9" x14ac:dyDescent="0.2">
      <c r="A498" s="327"/>
      <c r="B498" s="328"/>
      <c r="C498" s="328"/>
      <c r="D498" s="328" t="s">
        <v>69</v>
      </c>
      <c r="E498" s="328">
        <v>1</v>
      </c>
      <c r="F498" s="328">
        <v>1</v>
      </c>
      <c r="G498" s="328"/>
      <c r="H498" s="329"/>
      <c r="I498" s="330" t="s">
        <v>843</v>
      </c>
    </row>
    <row r="499" spans="1:9" x14ac:dyDescent="0.2">
      <c r="A499" s="327"/>
      <c r="B499" s="328"/>
      <c r="C499" s="328"/>
      <c r="D499" s="328" t="s">
        <v>70</v>
      </c>
      <c r="E499" s="328">
        <v>128</v>
      </c>
      <c r="F499" s="328"/>
      <c r="G499" s="328"/>
      <c r="H499" s="329"/>
      <c r="I499" s="330" t="s">
        <v>844</v>
      </c>
    </row>
    <row r="500" spans="1:9" x14ac:dyDescent="0.2">
      <c r="A500" s="327"/>
      <c r="B500" s="328"/>
      <c r="C500" s="328"/>
      <c r="D500" s="328" t="s">
        <v>69</v>
      </c>
      <c r="E500" s="328">
        <v>1</v>
      </c>
      <c r="F500" s="328">
        <v>0</v>
      </c>
      <c r="G500" s="328"/>
      <c r="H500" s="329"/>
      <c r="I500" s="330" t="s">
        <v>845</v>
      </c>
    </row>
    <row r="501" spans="1:9" x14ac:dyDescent="0.2">
      <c r="A501" s="327"/>
      <c r="B501" s="328"/>
      <c r="C501" s="328"/>
      <c r="D501" s="328" t="s">
        <v>69</v>
      </c>
      <c r="E501" s="328">
        <v>2</v>
      </c>
      <c r="F501" s="328">
        <v>1800</v>
      </c>
      <c r="G501" s="328"/>
      <c r="H501" s="329"/>
      <c r="I501" s="330" t="s">
        <v>846</v>
      </c>
    </row>
    <row r="502" spans="1:9" x14ac:dyDescent="0.2">
      <c r="A502" s="327"/>
      <c r="B502" s="328"/>
      <c r="C502" s="328"/>
      <c r="D502" s="328" t="s">
        <v>69</v>
      </c>
      <c r="E502" s="328">
        <v>1</v>
      </c>
      <c r="F502" s="328">
        <v>2</v>
      </c>
      <c r="G502" s="328"/>
      <c r="H502" s="329"/>
      <c r="I502" s="330" t="s">
        <v>847</v>
      </c>
    </row>
    <row r="503" spans="1:9" x14ac:dyDescent="0.2">
      <c r="A503" s="327"/>
      <c r="B503" s="328"/>
      <c r="C503" s="328"/>
      <c r="D503" s="328" t="s">
        <v>69</v>
      </c>
      <c r="E503" s="328">
        <v>1</v>
      </c>
      <c r="F503" s="328">
        <v>1</v>
      </c>
      <c r="G503" s="328"/>
      <c r="H503" s="329"/>
      <c r="I503" s="330" t="s">
        <v>848</v>
      </c>
    </row>
    <row r="504" spans="1:9" x14ac:dyDescent="0.2">
      <c r="A504" s="327"/>
      <c r="B504" s="328"/>
      <c r="C504" s="328"/>
      <c r="D504" s="328" t="s">
        <v>70</v>
      </c>
      <c r="E504" s="328">
        <v>128</v>
      </c>
      <c r="F504" s="328"/>
      <c r="G504" s="328"/>
      <c r="H504" s="329"/>
      <c r="I504" s="330" t="s">
        <v>849</v>
      </c>
    </row>
    <row r="505" spans="1:9" x14ac:dyDescent="0.2">
      <c r="A505" s="327"/>
      <c r="B505" s="328"/>
      <c r="C505" s="328"/>
      <c r="D505" s="328"/>
      <c r="E505" s="328"/>
      <c r="F505" s="328"/>
      <c r="G505" s="328"/>
      <c r="H505" s="329"/>
      <c r="I505" s="330"/>
    </row>
    <row r="506" spans="1:9" x14ac:dyDescent="0.2">
      <c r="A506" s="327" t="s">
        <v>850</v>
      </c>
      <c r="B506" s="328" t="s">
        <v>851</v>
      </c>
      <c r="C506" s="328" t="s">
        <v>90</v>
      </c>
      <c r="D506" s="328"/>
      <c r="E506" s="328"/>
      <c r="F506" s="328"/>
      <c r="G506" s="328" t="s">
        <v>239</v>
      </c>
      <c r="H506" s="329"/>
      <c r="I506" s="330">
        <v>65959</v>
      </c>
    </row>
    <row r="507" spans="1:9" x14ac:dyDescent="0.2">
      <c r="A507" s="327"/>
      <c r="B507" s="328"/>
      <c r="C507" s="328"/>
      <c r="D507" s="328" t="s">
        <v>69</v>
      </c>
      <c r="E507" s="328">
        <v>2</v>
      </c>
      <c r="F507" s="328">
        <v>16</v>
      </c>
      <c r="G507" s="328"/>
      <c r="H507" s="329"/>
      <c r="I507" s="330" t="s">
        <v>852</v>
      </c>
    </row>
    <row r="508" spans="1:9" x14ac:dyDescent="0.2">
      <c r="A508" s="327" t="s">
        <v>853</v>
      </c>
      <c r="B508" s="328" t="s">
        <v>854</v>
      </c>
      <c r="C508" s="328" t="s">
        <v>90</v>
      </c>
      <c r="D508" s="328"/>
      <c r="E508" s="328"/>
      <c r="F508" s="328"/>
      <c r="G508" s="328" t="s">
        <v>239</v>
      </c>
      <c r="H508" s="329"/>
      <c r="I508" s="330">
        <v>69750</v>
      </c>
    </row>
    <row r="509" spans="1:9" x14ac:dyDescent="0.2">
      <c r="A509" s="327"/>
      <c r="B509" s="328"/>
      <c r="C509" s="328"/>
      <c r="D509" s="328" t="s">
        <v>69</v>
      </c>
      <c r="E509" s="328">
        <v>1</v>
      </c>
      <c r="F509" s="328">
        <v>3</v>
      </c>
      <c r="G509" s="328"/>
      <c r="H509" s="329"/>
      <c r="I509" s="330" t="s">
        <v>722</v>
      </c>
    </row>
    <row r="510" spans="1:9" x14ac:dyDescent="0.2">
      <c r="A510" s="327"/>
      <c r="B510" s="328"/>
      <c r="C510" s="328"/>
      <c r="D510" s="328" t="s">
        <v>69</v>
      </c>
      <c r="E510" s="328">
        <v>1</v>
      </c>
      <c r="F510" s="328">
        <v>1</v>
      </c>
      <c r="G510" s="328"/>
      <c r="H510" s="329"/>
      <c r="I510" s="330" t="s">
        <v>855</v>
      </c>
    </row>
    <row r="511" spans="1:9" x14ac:dyDescent="0.2">
      <c r="A511" s="327"/>
      <c r="B511" s="328"/>
      <c r="C511" s="328"/>
      <c r="D511" s="328" t="s">
        <v>69</v>
      </c>
      <c r="E511" s="328">
        <v>1</v>
      </c>
      <c r="F511" s="328">
        <v>2</v>
      </c>
      <c r="G511" s="328"/>
      <c r="H511" s="329"/>
      <c r="I511" s="330" t="s">
        <v>856</v>
      </c>
    </row>
    <row r="512" spans="1:9" x14ac:dyDescent="0.2">
      <c r="A512" s="327"/>
      <c r="B512" s="328"/>
      <c r="C512" s="328"/>
      <c r="D512" s="328" t="s">
        <v>69</v>
      </c>
      <c r="E512" s="328">
        <v>4</v>
      </c>
      <c r="F512" s="328">
        <v>0</v>
      </c>
      <c r="G512" s="328"/>
      <c r="H512" s="329"/>
      <c r="I512" s="330" t="s">
        <v>857</v>
      </c>
    </row>
    <row r="513" spans="1:9" x14ac:dyDescent="0.2">
      <c r="A513" s="327"/>
      <c r="B513" s="328"/>
      <c r="C513" s="328"/>
      <c r="D513" s="328" t="s">
        <v>69</v>
      </c>
      <c r="E513" s="328">
        <v>1</v>
      </c>
      <c r="F513" s="328">
        <v>1</v>
      </c>
      <c r="G513" s="328"/>
      <c r="H513" s="329"/>
      <c r="I513" s="330" t="s">
        <v>858</v>
      </c>
    </row>
    <row r="514" spans="1:9" x14ac:dyDescent="0.2">
      <c r="A514" s="327"/>
      <c r="B514" s="328"/>
      <c r="C514" s="328"/>
      <c r="D514" s="328" t="s">
        <v>69</v>
      </c>
      <c r="E514" s="328">
        <v>1</v>
      </c>
      <c r="F514" s="328">
        <v>3</v>
      </c>
      <c r="G514" s="328"/>
      <c r="H514" s="329"/>
      <c r="I514" s="330" t="s">
        <v>859</v>
      </c>
    </row>
    <row r="515" spans="1:9" x14ac:dyDescent="0.2">
      <c r="A515" s="327"/>
      <c r="B515" s="328"/>
      <c r="C515" s="328"/>
      <c r="D515" s="328" t="s">
        <v>69</v>
      </c>
      <c r="E515" s="328">
        <v>1</v>
      </c>
      <c r="F515" s="328">
        <v>15</v>
      </c>
      <c r="G515" s="328"/>
      <c r="H515" s="329"/>
      <c r="I515" s="330" t="s">
        <v>860</v>
      </c>
    </row>
    <row r="516" spans="1:9" x14ac:dyDescent="0.2">
      <c r="A516" s="327"/>
      <c r="B516" s="328"/>
      <c r="C516" s="328"/>
      <c r="D516" s="328" t="s">
        <v>69</v>
      </c>
      <c r="E516" s="328">
        <v>502</v>
      </c>
      <c r="F516" s="328">
        <v>0</v>
      </c>
      <c r="G516" s="328"/>
      <c r="H516" s="329"/>
      <c r="I516" s="330" t="s">
        <v>716</v>
      </c>
    </row>
    <row r="517" spans="1:9" x14ac:dyDescent="0.2">
      <c r="A517" s="327" t="s">
        <v>861</v>
      </c>
      <c r="B517" s="328" t="s">
        <v>862</v>
      </c>
      <c r="C517" s="328" t="s">
        <v>90</v>
      </c>
      <c r="D517" s="328"/>
      <c r="E517" s="328"/>
      <c r="F517" s="328"/>
      <c r="G517" s="328" t="s">
        <v>239</v>
      </c>
      <c r="H517" s="329"/>
      <c r="I517" s="330">
        <v>70202</v>
      </c>
    </row>
    <row r="518" spans="1:9" x14ac:dyDescent="0.2">
      <c r="A518" s="327"/>
      <c r="B518" s="328"/>
      <c r="C518" s="328"/>
      <c r="D518" s="328" t="s">
        <v>69</v>
      </c>
      <c r="E518" s="328">
        <v>1</v>
      </c>
      <c r="F518" s="328">
        <v>2</v>
      </c>
      <c r="G518" s="328"/>
      <c r="H518" s="329"/>
      <c r="I518" s="330" t="s">
        <v>863</v>
      </c>
    </row>
    <row r="519" spans="1:9" x14ac:dyDescent="0.2">
      <c r="A519" s="327" t="s">
        <v>864</v>
      </c>
      <c r="B519" s="328" t="s">
        <v>865</v>
      </c>
      <c r="C519" s="328" t="s">
        <v>90</v>
      </c>
      <c r="D519" s="328"/>
      <c r="E519" s="328"/>
      <c r="F519" s="328"/>
      <c r="G519" s="328" t="s">
        <v>239</v>
      </c>
      <c r="H519" s="329"/>
      <c r="I519" s="330">
        <v>65955</v>
      </c>
    </row>
    <row r="520" spans="1:9" x14ac:dyDescent="0.2">
      <c r="A520" s="327"/>
      <c r="B520" s="328"/>
      <c r="C520" s="328"/>
      <c r="D520" s="328" t="s">
        <v>69</v>
      </c>
      <c r="E520" s="328">
        <v>1</v>
      </c>
      <c r="F520" s="328">
        <v>1</v>
      </c>
      <c r="G520" s="328"/>
      <c r="H520" s="329"/>
      <c r="I520" s="330" t="s">
        <v>866</v>
      </c>
    </row>
    <row r="521" spans="1:9" x14ac:dyDescent="0.2">
      <c r="A521" s="327" t="s">
        <v>867</v>
      </c>
      <c r="B521" s="328" t="s">
        <v>868</v>
      </c>
      <c r="C521" s="328" t="s">
        <v>90</v>
      </c>
      <c r="D521" s="328"/>
      <c r="E521" s="328"/>
      <c r="F521" s="328"/>
      <c r="G521" s="328" t="s">
        <v>239</v>
      </c>
      <c r="H521" s="329"/>
      <c r="I521" s="330">
        <v>65957</v>
      </c>
    </row>
    <row r="522" spans="1:9" x14ac:dyDescent="0.2">
      <c r="A522" s="327"/>
      <c r="B522" s="328"/>
      <c r="C522" s="328"/>
      <c r="D522" s="328" t="s">
        <v>69</v>
      </c>
      <c r="E522" s="328">
        <v>1</v>
      </c>
      <c r="F522" s="328">
        <v>1</v>
      </c>
      <c r="G522" s="328"/>
      <c r="H522" s="329"/>
      <c r="I522" s="330" t="s">
        <v>869</v>
      </c>
    </row>
    <row r="523" spans="1:9" x14ac:dyDescent="0.2">
      <c r="A523" s="327" t="s">
        <v>870</v>
      </c>
      <c r="B523" s="328" t="s">
        <v>871</v>
      </c>
      <c r="C523" s="328" t="s">
        <v>90</v>
      </c>
      <c r="D523" s="328"/>
      <c r="E523" s="328"/>
      <c r="F523" s="328"/>
      <c r="G523" s="328" t="s">
        <v>239</v>
      </c>
      <c r="H523" s="329"/>
      <c r="I523" s="330">
        <v>67194</v>
      </c>
    </row>
    <row r="524" spans="1:9" ht="38.25" x14ac:dyDescent="0.2">
      <c r="A524" s="327"/>
      <c r="B524" s="328"/>
      <c r="C524" s="328"/>
      <c r="D524" s="328" t="s">
        <v>69</v>
      </c>
      <c r="E524" s="328">
        <v>4</v>
      </c>
      <c r="F524" s="328">
        <v>20</v>
      </c>
      <c r="G524" s="328"/>
      <c r="H524" s="329"/>
      <c r="I524" s="330" t="s">
        <v>872</v>
      </c>
    </row>
    <row r="525" spans="1:9" x14ac:dyDescent="0.2">
      <c r="A525" s="327" t="s">
        <v>873</v>
      </c>
      <c r="B525" s="328" t="s">
        <v>874</v>
      </c>
      <c r="C525" s="328" t="s">
        <v>90</v>
      </c>
      <c r="D525" s="328"/>
      <c r="E525" s="328"/>
      <c r="F525" s="328"/>
      <c r="G525" s="328" t="s">
        <v>239</v>
      </c>
      <c r="H525" s="329"/>
      <c r="I525" s="330">
        <v>67195</v>
      </c>
    </row>
    <row r="526" spans="1:9" x14ac:dyDescent="0.2">
      <c r="A526" s="327"/>
      <c r="B526" s="328"/>
      <c r="C526" s="328"/>
      <c r="D526" s="328" t="s">
        <v>69</v>
      </c>
      <c r="E526" s="328">
        <v>4</v>
      </c>
      <c r="F526" s="328">
        <v>5</v>
      </c>
      <c r="G526" s="328"/>
      <c r="H526" s="329"/>
      <c r="I526" s="330" t="s">
        <v>875</v>
      </c>
    </row>
    <row r="527" spans="1:9" x14ac:dyDescent="0.2">
      <c r="A527" s="327" t="s">
        <v>876</v>
      </c>
      <c r="B527" s="328" t="s">
        <v>877</v>
      </c>
      <c r="C527" s="328" t="s">
        <v>90</v>
      </c>
      <c r="D527" s="328"/>
      <c r="E527" s="328"/>
      <c r="F527" s="328"/>
      <c r="G527" s="328" t="s">
        <v>239</v>
      </c>
      <c r="H527" s="329"/>
      <c r="I527" s="330">
        <v>67199</v>
      </c>
    </row>
    <row r="528" spans="1:9" x14ac:dyDescent="0.2">
      <c r="A528" s="327"/>
      <c r="B528" s="328"/>
      <c r="C528" s="328"/>
      <c r="D528" s="328" t="s">
        <v>69</v>
      </c>
      <c r="E528" s="328">
        <v>1</v>
      </c>
      <c r="F528" s="328">
        <v>1</v>
      </c>
      <c r="G528" s="328"/>
      <c r="H528" s="329"/>
      <c r="I528" s="330" t="s">
        <v>878</v>
      </c>
    </row>
    <row r="529" spans="1:9" x14ac:dyDescent="0.2">
      <c r="A529" s="327" t="s">
        <v>879</v>
      </c>
      <c r="B529" s="328" t="s">
        <v>880</v>
      </c>
      <c r="C529" s="328" t="s">
        <v>90</v>
      </c>
      <c r="D529" s="328"/>
      <c r="E529" s="328"/>
      <c r="F529" s="328"/>
      <c r="G529" s="328" t="s">
        <v>239</v>
      </c>
      <c r="H529" s="329"/>
      <c r="I529" s="330">
        <v>67280</v>
      </c>
    </row>
    <row r="530" spans="1:9" x14ac:dyDescent="0.2">
      <c r="A530" s="327"/>
      <c r="B530" s="328"/>
      <c r="C530" s="328"/>
      <c r="D530" s="328" t="s">
        <v>69</v>
      </c>
      <c r="E530" s="328">
        <v>4</v>
      </c>
      <c r="F530" s="328">
        <v>55000</v>
      </c>
      <c r="G530" s="328"/>
      <c r="H530" s="329"/>
      <c r="I530" s="330" t="s">
        <v>881</v>
      </c>
    </row>
    <row r="531" spans="1:9" x14ac:dyDescent="0.2">
      <c r="A531" s="327" t="s">
        <v>882</v>
      </c>
      <c r="B531" s="328" t="s">
        <v>883</v>
      </c>
      <c r="C531" s="328" t="s">
        <v>90</v>
      </c>
      <c r="D531" s="328"/>
      <c r="E531" s="328"/>
      <c r="F531" s="328"/>
      <c r="G531" s="328" t="s">
        <v>239</v>
      </c>
      <c r="H531" s="329"/>
      <c r="I531" s="330">
        <v>67281</v>
      </c>
    </row>
    <row r="532" spans="1:9" x14ac:dyDescent="0.2">
      <c r="A532" s="327"/>
      <c r="B532" s="328"/>
      <c r="C532" s="328"/>
      <c r="D532" s="328" t="s">
        <v>69</v>
      </c>
      <c r="E532" s="328">
        <v>4</v>
      </c>
      <c r="F532" s="328">
        <v>60000</v>
      </c>
      <c r="G532" s="328"/>
      <c r="H532" s="329"/>
      <c r="I532" s="330" t="s">
        <v>884</v>
      </c>
    </row>
    <row r="533" spans="1:9" x14ac:dyDescent="0.2">
      <c r="A533" s="327" t="s">
        <v>885</v>
      </c>
      <c r="B533" s="328" t="s">
        <v>886</v>
      </c>
      <c r="C533" s="328" t="s">
        <v>90</v>
      </c>
      <c r="D533" s="328"/>
      <c r="E533" s="328"/>
      <c r="F533" s="328"/>
      <c r="G533" s="328" t="s">
        <v>239</v>
      </c>
      <c r="H533" s="329"/>
      <c r="I533" s="330">
        <v>67282</v>
      </c>
    </row>
    <row r="534" spans="1:9" x14ac:dyDescent="0.2">
      <c r="A534" s="327"/>
      <c r="B534" s="328"/>
      <c r="C534" s="328"/>
      <c r="D534" s="328" t="s">
        <v>69</v>
      </c>
      <c r="E534" s="328">
        <v>4</v>
      </c>
      <c r="F534" s="328">
        <v>20</v>
      </c>
      <c r="G534" s="328"/>
      <c r="H534" s="329"/>
      <c r="I534" s="330" t="s">
        <v>887</v>
      </c>
    </row>
    <row r="535" spans="1:9" x14ac:dyDescent="0.2">
      <c r="A535" s="327" t="s">
        <v>888</v>
      </c>
      <c r="B535" s="328" t="s">
        <v>889</v>
      </c>
      <c r="C535" s="328" t="s">
        <v>90</v>
      </c>
      <c r="D535" s="328"/>
      <c r="E535" s="328"/>
      <c r="F535" s="328"/>
      <c r="G535" s="328" t="s">
        <v>239</v>
      </c>
      <c r="H535" s="329"/>
      <c r="I535" s="330">
        <v>65964</v>
      </c>
    </row>
    <row r="536" spans="1:9" x14ac:dyDescent="0.2">
      <c r="A536" s="327"/>
      <c r="B536" s="328"/>
      <c r="C536" s="328"/>
      <c r="D536" s="328" t="s">
        <v>69</v>
      </c>
      <c r="E536" s="328">
        <v>1</v>
      </c>
      <c r="F536" s="328">
        <v>1</v>
      </c>
      <c r="G536" s="328"/>
      <c r="H536" s="329"/>
      <c r="I536" s="330" t="s">
        <v>890</v>
      </c>
    </row>
    <row r="537" spans="1:9" x14ac:dyDescent="0.2">
      <c r="A537" s="327" t="s">
        <v>891</v>
      </c>
      <c r="B537" s="328" t="s">
        <v>892</v>
      </c>
      <c r="C537" s="328" t="s">
        <v>90</v>
      </c>
      <c r="D537" s="328"/>
      <c r="E537" s="328"/>
      <c r="F537" s="328"/>
      <c r="G537" s="328" t="s">
        <v>239</v>
      </c>
      <c r="H537" s="329"/>
      <c r="I537" s="330">
        <v>65960</v>
      </c>
    </row>
    <row r="538" spans="1:9" x14ac:dyDescent="0.2">
      <c r="A538" s="327"/>
      <c r="B538" s="328"/>
      <c r="C538" s="328"/>
      <c r="D538" s="328" t="s">
        <v>69</v>
      </c>
      <c r="E538" s="328">
        <v>1</v>
      </c>
      <c r="F538" s="328">
        <v>1</v>
      </c>
      <c r="G538" s="328"/>
      <c r="H538" s="329"/>
      <c r="I538" s="330" t="s">
        <v>893</v>
      </c>
    </row>
    <row r="539" spans="1:9" x14ac:dyDescent="0.2">
      <c r="A539" s="327" t="s">
        <v>894</v>
      </c>
      <c r="B539" s="328" t="s">
        <v>895</v>
      </c>
      <c r="C539" s="328" t="s">
        <v>90</v>
      </c>
      <c r="D539" s="328"/>
      <c r="E539" s="328"/>
      <c r="F539" s="328"/>
      <c r="G539" s="328" t="s">
        <v>239</v>
      </c>
      <c r="H539" s="329"/>
      <c r="I539" s="330">
        <v>66031</v>
      </c>
    </row>
    <row r="540" spans="1:9" x14ac:dyDescent="0.2">
      <c r="A540" s="327"/>
      <c r="B540" s="328"/>
      <c r="C540" s="328"/>
      <c r="D540" s="328" t="s">
        <v>69</v>
      </c>
      <c r="E540" s="328">
        <v>4</v>
      </c>
      <c r="F540" s="328">
        <v>0</v>
      </c>
      <c r="G540" s="328"/>
      <c r="H540" s="329"/>
      <c r="I540" s="330" t="s">
        <v>896</v>
      </c>
    </row>
    <row r="541" spans="1:9" x14ac:dyDescent="0.2">
      <c r="A541" s="327" t="s">
        <v>897</v>
      </c>
      <c r="B541" s="328" t="s">
        <v>898</v>
      </c>
      <c r="C541" s="328" t="s">
        <v>90</v>
      </c>
      <c r="D541" s="328"/>
      <c r="E541" s="328"/>
      <c r="F541" s="328"/>
      <c r="G541" s="328" t="s">
        <v>239</v>
      </c>
      <c r="H541" s="329"/>
      <c r="I541" s="330">
        <v>67239</v>
      </c>
    </row>
    <row r="542" spans="1:9" x14ac:dyDescent="0.2">
      <c r="A542" s="327"/>
      <c r="B542" s="328"/>
      <c r="C542" s="328"/>
      <c r="D542" s="328" t="s">
        <v>69</v>
      </c>
      <c r="E542" s="328">
        <v>4</v>
      </c>
      <c r="F542" s="328">
        <v>0</v>
      </c>
      <c r="G542" s="328"/>
      <c r="H542" s="329"/>
      <c r="I542" s="330" t="s">
        <v>899</v>
      </c>
    </row>
    <row r="543" spans="1:9" x14ac:dyDescent="0.2">
      <c r="A543" s="327" t="s">
        <v>900</v>
      </c>
      <c r="B543" s="328" t="s">
        <v>901</v>
      </c>
      <c r="C543" s="328" t="s">
        <v>90</v>
      </c>
      <c r="D543" s="328"/>
      <c r="E543" s="328"/>
      <c r="F543" s="328"/>
      <c r="G543" s="328" t="s">
        <v>239</v>
      </c>
      <c r="H543" s="329"/>
      <c r="I543" s="330">
        <v>67240</v>
      </c>
    </row>
    <row r="544" spans="1:9" x14ac:dyDescent="0.2">
      <c r="A544" s="327"/>
      <c r="B544" s="328"/>
      <c r="C544" s="328"/>
      <c r="D544" s="328" t="s">
        <v>69</v>
      </c>
      <c r="E544" s="328">
        <v>1</v>
      </c>
      <c r="F544" s="328">
        <v>0</v>
      </c>
      <c r="G544" s="328"/>
      <c r="H544" s="329"/>
      <c r="I544" s="330" t="s">
        <v>902</v>
      </c>
    </row>
    <row r="545" spans="1:9" x14ac:dyDescent="0.2">
      <c r="A545" s="327" t="s">
        <v>903</v>
      </c>
      <c r="B545" s="328" t="s">
        <v>904</v>
      </c>
      <c r="C545" s="328" t="s">
        <v>90</v>
      </c>
      <c r="D545" s="328"/>
      <c r="E545" s="328"/>
      <c r="F545" s="328"/>
      <c r="G545" s="328" t="s">
        <v>239</v>
      </c>
      <c r="H545" s="329"/>
      <c r="I545" s="330">
        <v>67241</v>
      </c>
    </row>
    <row r="546" spans="1:9" x14ac:dyDescent="0.2">
      <c r="A546" s="327"/>
      <c r="B546" s="328"/>
      <c r="C546" s="328"/>
      <c r="D546" s="328" t="s">
        <v>69</v>
      </c>
      <c r="E546" s="328">
        <v>1</v>
      </c>
      <c r="F546" s="328">
        <v>0</v>
      </c>
      <c r="G546" s="328"/>
      <c r="H546" s="329"/>
      <c r="I546" s="330" t="s">
        <v>905</v>
      </c>
    </row>
    <row r="547" spans="1:9" x14ac:dyDescent="0.2">
      <c r="A547" s="327" t="s">
        <v>906</v>
      </c>
      <c r="B547" s="328" t="s">
        <v>907</v>
      </c>
      <c r="C547" s="328" t="s">
        <v>90</v>
      </c>
      <c r="D547" s="328"/>
      <c r="E547" s="328"/>
      <c r="F547" s="328"/>
      <c r="G547" s="328" t="s">
        <v>239</v>
      </c>
      <c r="H547" s="329"/>
      <c r="I547" s="330">
        <v>70213</v>
      </c>
    </row>
    <row r="548" spans="1:9" x14ac:dyDescent="0.2">
      <c r="A548" s="327"/>
      <c r="B548" s="328"/>
      <c r="C548" s="328"/>
      <c r="D548" s="328" t="s">
        <v>69</v>
      </c>
      <c r="E548" s="328">
        <v>2</v>
      </c>
      <c r="F548" s="328">
        <v>-115</v>
      </c>
      <c r="G548" s="328"/>
      <c r="H548" s="329"/>
      <c r="I548" s="330" t="s">
        <v>906</v>
      </c>
    </row>
    <row r="549" spans="1:9" x14ac:dyDescent="0.2">
      <c r="A549" s="327" t="s">
        <v>908</v>
      </c>
      <c r="B549" s="328" t="s">
        <v>909</v>
      </c>
      <c r="C549" s="328" t="s">
        <v>90</v>
      </c>
      <c r="D549" s="328"/>
      <c r="E549" s="328"/>
      <c r="F549" s="328"/>
      <c r="G549" s="328" t="s">
        <v>239</v>
      </c>
      <c r="H549" s="329"/>
      <c r="I549" s="330">
        <v>70291</v>
      </c>
    </row>
    <row r="550" spans="1:9" x14ac:dyDescent="0.2">
      <c r="A550" s="327"/>
      <c r="B550" s="328"/>
      <c r="C550" s="328"/>
      <c r="D550" s="328" t="s">
        <v>69</v>
      </c>
      <c r="E550" s="328">
        <v>1</v>
      </c>
      <c r="F550" s="328">
        <v>2</v>
      </c>
      <c r="G550" s="328"/>
      <c r="H550" s="329"/>
      <c r="I550" s="330" t="s">
        <v>722</v>
      </c>
    </row>
    <row r="551" spans="1:9" x14ac:dyDescent="0.2">
      <c r="A551" s="327"/>
      <c r="B551" s="328"/>
      <c r="C551" s="328"/>
      <c r="D551" s="328" t="s">
        <v>69</v>
      </c>
      <c r="E551" s="328">
        <v>1</v>
      </c>
      <c r="F551" s="328">
        <v>1</v>
      </c>
      <c r="G551" s="328"/>
      <c r="H551" s="329"/>
      <c r="I551" s="330" t="s">
        <v>910</v>
      </c>
    </row>
    <row r="552" spans="1:9" x14ac:dyDescent="0.2">
      <c r="A552" s="327"/>
      <c r="B552" s="328"/>
      <c r="C552" s="328"/>
      <c r="D552" s="328" t="s">
        <v>69</v>
      </c>
      <c r="E552" s="328">
        <v>1</v>
      </c>
      <c r="F552" s="328">
        <v>0</v>
      </c>
      <c r="G552" s="328"/>
      <c r="H552" s="329"/>
      <c r="I552" s="330" t="s">
        <v>911</v>
      </c>
    </row>
    <row r="553" spans="1:9" x14ac:dyDescent="0.2">
      <c r="A553" s="327"/>
      <c r="B553" s="328"/>
      <c r="C553" s="328"/>
      <c r="D553" s="328" t="s">
        <v>69</v>
      </c>
      <c r="E553" s="328">
        <v>2</v>
      </c>
      <c r="F553" s="328">
        <v>0</v>
      </c>
      <c r="G553" s="328"/>
      <c r="H553" s="329"/>
      <c r="I553" s="330" t="s">
        <v>912</v>
      </c>
    </row>
    <row r="554" spans="1:9" x14ac:dyDescent="0.2">
      <c r="A554" s="327"/>
      <c r="B554" s="328"/>
      <c r="C554" s="328"/>
      <c r="D554" s="328" t="s">
        <v>69</v>
      </c>
      <c r="E554" s="328">
        <v>1</v>
      </c>
      <c r="F554" s="328">
        <v>0</v>
      </c>
      <c r="G554" s="328"/>
      <c r="H554" s="329"/>
      <c r="I554" s="330" t="s">
        <v>913</v>
      </c>
    </row>
    <row r="555" spans="1:9" x14ac:dyDescent="0.2">
      <c r="A555" s="327"/>
      <c r="B555" s="328"/>
      <c r="C555" s="328"/>
      <c r="D555" s="328" t="s">
        <v>69</v>
      </c>
      <c r="E555" s="328">
        <v>1</v>
      </c>
      <c r="F555" s="328">
        <v>0</v>
      </c>
      <c r="G555" s="328"/>
      <c r="H555" s="329"/>
      <c r="I555" s="330" t="s">
        <v>914</v>
      </c>
    </row>
    <row r="556" spans="1:9" x14ac:dyDescent="0.2">
      <c r="A556" s="327"/>
      <c r="B556" s="328"/>
      <c r="C556" s="328"/>
      <c r="D556" s="328" t="s">
        <v>69</v>
      </c>
      <c r="E556" s="328">
        <v>1</v>
      </c>
      <c r="F556" s="328">
        <v>0</v>
      </c>
      <c r="G556" s="328"/>
      <c r="H556" s="329"/>
      <c r="I556" s="330" t="s">
        <v>915</v>
      </c>
    </row>
    <row r="557" spans="1:9" x14ac:dyDescent="0.2">
      <c r="A557" s="327"/>
      <c r="B557" s="328"/>
      <c r="C557" s="328"/>
      <c r="D557" s="328" t="s">
        <v>69</v>
      </c>
      <c r="E557" s="328">
        <v>4</v>
      </c>
      <c r="F557" s="328">
        <v>0</v>
      </c>
      <c r="G557" s="328"/>
      <c r="H557" s="329"/>
      <c r="I557" s="330" t="s">
        <v>916</v>
      </c>
    </row>
    <row r="558" spans="1:9" x14ac:dyDescent="0.2">
      <c r="A558" s="327"/>
      <c r="B558" s="328"/>
      <c r="C558" s="328"/>
      <c r="D558" s="328" t="s">
        <v>69</v>
      </c>
      <c r="E558" s="328">
        <v>2</v>
      </c>
      <c r="F558" s="328">
        <v>0</v>
      </c>
      <c r="G558" s="328"/>
      <c r="H558" s="329"/>
      <c r="I558" s="330" t="s">
        <v>917</v>
      </c>
    </row>
    <row r="559" spans="1:9" x14ac:dyDescent="0.2">
      <c r="A559" s="327"/>
      <c r="B559" s="328"/>
      <c r="C559" s="328"/>
      <c r="D559" s="328" t="s">
        <v>69</v>
      </c>
      <c r="E559" s="328">
        <v>2</v>
      </c>
      <c r="F559" s="328">
        <v>0</v>
      </c>
      <c r="G559" s="328"/>
      <c r="H559" s="329"/>
      <c r="I559" s="330" t="s">
        <v>918</v>
      </c>
    </row>
    <row r="560" spans="1:9" x14ac:dyDescent="0.2">
      <c r="A560" s="327"/>
      <c r="B560" s="328"/>
      <c r="C560" s="328"/>
      <c r="D560" s="328" t="s">
        <v>69</v>
      </c>
      <c r="E560" s="328">
        <v>2</v>
      </c>
      <c r="F560" s="328">
        <v>0</v>
      </c>
      <c r="G560" s="328"/>
      <c r="H560" s="329"/>
      <c r="I560" s="330" t="s">
        <v>919</v>
      </c>
    </row>
    <row r="561" spans="1:9" x14ac:dyDescent="0.2">
      <c r="A561" s="327"/>
      <c r="B561" s="328"/>
      <c r="C561" s="328"/>
      <c r="D561" s="328" t="s">
        <v>69</v>
      </c>
      <c r="E561" s="328">
        <v>1</v>
      </c>
      <c r="F561" s="328">
        <v>0</v>
      </c>
      <c r="G561" s="328"/>
      <c r="H561" s="329"/>
      <c r="I561" s="330" t="s">
        <v>920</v>
      </c>
    </row>
    <row r="562" spans="1:9" x14ac:dyDescent="0.2">
      <c r="A562" s="327"/>
      <c r="B562" s="328"/>
      <c r="C562" s="328"/>
      <c r="D562" s="328" t="s">
        <v>69</v>
      </c>
      <c r="E562" s="328">
        <v>1</v>
      </c>
      <c r="F562" s="328">
        <v>0</v>
      </c>
      <c r="G562" s="328"/>
      <c r="H562" s="329"/>
      <c r="I562" s="330" t="s">
        <v>921</v>
      </c>
    </row>
    <row r="563" spans="1:9" x14ac:dyDescent="0.2">
      <c r="A563" s="327"/>
      <c r="B563" s="328"/>
      <c r="C563" s="328"/>
      <c r="D563" s="328" t="s">
        <v>69</v>
      </c>
      <c r="E563" s="328">
        <v>1</v>
      </c>
      <c r="F563" s="328">
        <v>0</v>
      </c>
      <c r="G563" s="328"/>
      <c r="H563" s="329"/>
      <c r="I563" s="330" t="s">
        <v>922</v>
      </c>
    </row>
    <row r="564" spans="1:9" x14ac:dyDescent="0.2">
      <c r="A564" s="327"/>
      <c r="B564" s="328"/>
      <c r="C564" s="328"/>
      <c r="D564" s="328" t="s">
        <v>69</v>
      </c>
      <c r="E564" s="328">
        <v>2</v>
      </c>
      <c r="F564" s="328">
        <v>0</v>
      </c>
      <c r="G564" s="328"/>
      <c r="H564" s="329"/>
      <c r="I564" s="330" t="s">
        <v>923</v>
      </c>
    </row>
    <row r="565" spans="1:9" x14ac:dyDescent="0.2">
      <c r="A565" s="327"/>
      <c r="B565" s="328"/>
      <c r="C565" s="328"/>
      <c r="D565" s="328" t="s">
        <v>69</v>
      </c>
      <c r="E565" s="328">
        <v>2</v>
      </c>
      <c r="F565" s="328">
        <v>0</v>
      </c>
      <c r="G565" s="328"/>
      <c r="H565" s="329"/>
      <c r="I565" s="330" t="s">
        <v>924</v>
      </c>
    </row>
    <row r="566" spans="1:9" x14ac:dyDescent="0.2">
      <c r="A566" s="327"/>
      <c r="B566" s="328"/>
      <c r="C566" s="328"/>
      <c r="D566" s="328" t="s">
        <v>69</v>
      </c>
      <c r="E566" s="328">
        <v>1</v>
      </c>
      <c r="F566" s="328">
        <v>0</v>
      </c>
      <c r="G566" s="328"/>
      <c r="H566" s="329"/>
      <c r="I566" s="330" t="s">
        <v>925</v>
      </c>
    </row>
    <row r="567" spans="1:9" x14ac:dyDescent="0.2">
      <c r="A567" s="327"/>
      <c r="B567" s="328"/>
      <c r="C567" s="328"/>
      <c r="D567" s="328" t="s">
        <v>69</v>
      </c>
      <c r="E567" s="328">
        <v>2</v>
      </c>
      <c r="F567" s="328">
        <v>0</v>
      </c>
      <c r="G567" s="328"/>
      <c r="H567" s="329"/>
      <c r="I567" s="330" t="s">
        <v>926</v>
      </c>
    </row>
    <row r="568" spans="1:9" x14ac:dyDescent="0.2">
      <c r="A568" s="327"/>
      <c r="B568" s="328"/>
      <c r="C568" s="328"/>
      <c r="D568" s="328" t="s">
        <v>69</v>
      </c>
      <c r="E568" s="328">
        <v>2</v>
      </c>
      <c r="F568" s="328">
        <v>0</v>
      </c>
      <c r="G568" s="328"/>
      <c r="H568" s="329"/>
      <c r="I568" s="330" t="s">
        <v>927</v>
      </c>
    </row>
    <row r="569" spans="1:9" x14ac:dyDescent="0.2">
      <c r="A569" s="327"/>
      <c r="B569" s="328"/>
      <c r="C569" s="328"/>
      <c r="D569" s="328" t="s">
        <v>69</v>
      </c>
      <c r="E569" s="328">
        <v>1</v>
      </c>
      <c r="F569" s="328">
        <v>1</v>
      </c>
      <c r="G569" s="328"/>
      <c r="H569" s="329"/>
      <c r="I569" s="330" t="s">
        <v>928</v>
      </c>
    </row>
    <row r="570" spans="1:9" x14ac:dyDescent="0.2">
      <c r="A570" s="327"/>
      <c r="B570" s="328"/>
      <c r="C570" s="328"/>
      <c r="D570" s="328" t="s">
        <v>69</v>
      </c>
      <c r="E570" s="328">
        <v>1</v>
      </c>
      <c r="F570" s="328">
        <v>9</v>
      </c>
      <c r="G570" s="328"/>
      <c r="H570" s="329"/>
      <c r="I570" s="330" t="s">
        <v>929</v>
      </c>
    </row>
    <row r="571" spans="1:9" x14ac:dyDescent="0.2">
      <c r="A571" s="327"/>
      <c r="B571" s="328"/>
      <c r="C571" s="328"/>
      <c r="D571" s="328" t="s">
        <v>69</v>
      </c>
      <c r="E571" s="328">
        <v>1</v>
      </c>
      <c r="F571" s="328">
        <v>11</v>
      </c>
      <c r="G571" s="328"/>
      <c r="H571" s="329"/>
      <c r="I571" s="330" t="s">
        <v>930</v>
      </c>
    </row>
    <row r="572" spans="1:9" x14ac:dyDescent="0.2">
      <c r="A572" s="327"/>
      <c r="B572" s="328"/>
      <c r="C572" s="328"/>
      <c r="D572" s="328" t="s">
        <v>69</v>
      </c>
      <c r="E572" s="328">
        <v>4</v>
      </c>
      <c r="F572" s="328">
        <v>1104</v>
      </c>
      <c r="G572" s="328"/>
      <c r="H572" s="329"/>
      <c r="I572" s="330" t="s">
        <v>931</v>
      </c>
    </row>
    <row r="573" spans="1:9" x14ac:dyDescent="0.2">
      <c r="A573" s="327"/>
      <c r="B573" s="328"/>
      <c r="C573" s="328"/>
      <c r="D573" s="328" t="s">
        <v>69</v>
      </c>
      <c r="E573" s="328">
        <v>2</v>
      </c>
      <c r="F573" s="328">
        <v>913</v>
      </c>
      <c r="G573" s="328"/>
      <c r="H573" s="329"/>
      <c r="I573" s="330" t="s">
        <v>932</v>
      </c>
    </row>
    <row r="574" spans="1:9" x14ac:dyDescent="0.2">
      <c r="A574" s="327"/>
      <c r="B574" s="328"/>
      <c r="C574" s="328"/>
      <c r="D574" s="328" t="s">
        <v>69</v>
      </c>
      <c r="E574" s="328">
        <v>2</v>
      </c>
      <c r="F574" s="328">
        <v>64</v>
      </c>
      <c r="G574" s="328"/>
      <c r="H574" s="329"/>
      <c r="I574" s="330" t="s">
        <v>933</v>
      </c>
    </row>
    <row r="575" spans="1:9" x14ac:dyDescent="0.2">
      <c r="A575" s="327"/>
      <c r="B575" s="328"/>
      <c r="C575" s="328"/>
      <c r="D575" s="328" t="s">
        <v>69</v>
      </c>
      <c r="E575" s="328">
        <v>2</v>
      </c>
      <c r="F575" s="328">
        <v>384</v>
      </c>
      <c r="G575" s="328"/>
      <c r="H575" s="329"/>
      <c r="I575" s="330" t="s">
        <v>934</v>
      </c>
    </row>
    <row r="576" spans="1:9" x14ac:dyDescent="0.2">
      <c r="A576" s="327"/>
      <c r="B576" s="328"/>
      <c r="C576" s="328"/>
      <c r="D576" s="328" t="s">
        <v>69</v>
      </c>
      <c r="E576" s="328">
        <v>1</v>
      </c>
      <c r="F576" s="328">
        <v>30</v>
      </c>
      <c r="G576" s="328"/>
      <c r="H576" s="329"/>
      <c r="I576" s="330" t="s">
        <v>935</v>
      </c>
    </row>
    <row r="577" spans="1:9" x14ac:dyDescent="0.2">
      <c r="A577" s="327"/>
      <c r="B577" s="328"/>
      <c r="C577" s="328"/>
      <c r="D577" s="328" t="s">
        <v>69</v>
      </c>
      <c r="E577" s="328">
        <v>1</v>
      </c>
      <c r="F577" s="328">
        <v>7</v>
      </c>
      <c r="G577" s="328"/>
      <c r="H577" s="329"/>
      <c r="I577" s="330" t="s">
        <v>936</v>
      </c>
    </row>
    <row r="578" spans="1:9" x14ac:dyDescent="0.2">
      <c r="A578" s="327"/>
      <c r="B578" s="328"/>
      <c r="C578" s="328"/>
      <c r="D578" s="328" t="s">
        <v>69</v>
      </c>
      <c r="E578" s="328">
        <v>1</v>
      </c>
      <c r="F578" s="328">
        <v>15</v>
      </c>
      <c r="G578" s="328"/>
      <c r="H578" s="329"/>
      <c r="I578" s="330" t="s">
        <v>937</v>
      </c>
    </row>
    <row r="579" spans="1:9" x14ac:dyDescent="0.2">
      <c r="A579" s="327"/>
      <c r="B579" s="328"/>
      <c r="C579" s="328"/>
      <c r="D579" s="328" t="s">
        <v>69</v>
      </c>
      <c r="E579" s="328">
        <v>2</v>
      </c>
      <c r="F579" s="328">
        <v>0</v>
      </c>
      <c r="G579" s="328"/>
      <c r="H579" s="329"/>
      <c r="I579" s="330" t="s">
        <v>938</v>
      </c>
    </row>
    <row r="580" spans="1:9" x14ac:dyDescent="0.2">
      <c r="A580" s="327"/>
      <c r="B580" s="328"/>
      <c r="C580" s="328"/>
      <c r="D580" s="328" t="s">
        <v>69</v>
      </c>
      <c r="E580" s="328">
        <v>2</v>
      </c>
      <c r="F580" s="328">
        <v>0</v>
      </c>
      <c r="G580" s="328"/>
      <c r="H580" s="329"/>
      <c r="I580" s="330" t="s">
        <v>939</v>
      </c>
    </row>
    <row r="581" spans="1:9" x14ac:dyDescent="0.2">
      <c r="A581" s="327"/>
      <c r="B581" s="328"/>
      <c r="C581" s="328"/>
      <c r="D581" s="328" t="s">
        <v>69</v>
      </c>
      <c r="E581" s="328">
        <v>532</v>
      </c>
      <c r="F581" s="328"/>
      <c r="G581" s="328"/>
      <c r="H581" s="329"/>
      <c r="I581" s="330" t="s">
        <v>940</v>
      </c>
    </row>
    <row r="582" spans="1:9" x14ac:dyDescent="0.2">
      <c r="A582" s="327" t="s">
        <v>941</v>
      </c>
      <c r="B582" s="328" t="s">
        <v>942</v>
      </c>
      <c r="C582" s="328" t="s">
        <v>90</v>
      </c>
      <c r="D582" s="328"/>
      <c r="E582" s="328"/>
      <c r="F582" s="328"/>
      <c r="G582" s="328" t="s">
        <v>239</v>
      </c>
      <c r="H582" s="329"/>
      <c r="I582" s="330">
        <v>70233</v>
      </c>
    </row>
    <row r="583" spans="1:9" x14ac:dyDescent="0.2">
      <c r="A583" s="327"/>
      <c r="B583" s="328"/>
      <c r="C583" s="328"/>
      <c r="D583" s="328" t="s">
        <v>69</v>
      </c>
      <c r="E583" s="328">
        <v>1</v>
      </c>
      <c r="F583" s="328">
        <v>0</v>
      </c>
      <c r="G583" s="328"/>
      <c r="H583" s="329"/>
      <c r="I583" s="330" t="s">
        <v>943</v>
      </c>
    </row>
    <row r="584" spans="1:9" x14ac:dyDescent="0.2">
      <c r="A584" s="327"/>
      <c r="B584" s="328"/>
      <c r="C584" s="328"/>
      <c r="D584" s="328" t="s">
        <v>69</v>
      </c>
      <c r="E584" s="328">
        <v>1</v>
      </c>
      <c r="F584" s="328">
        <v>1</v>
      </c>
      <c r="G584" s="328"/>
      <c r="H584" s="329"/>
      <c r="I584" s="330" t="s">
        <v>944</v>
      </c>
    </row>
    <row r="585" spans="1:9" x14ac:dyDescent="0.2">
      <c r="A585" s="327"/>
      <c r="B585" s="328"/>
      <c r="C585" s="328"/>
      <c r="D585" s="328" t="s">
        <v>69</v>
      </c>
      <c r="E585" s="328">
        <v>1</v>
      </c>
      <c r="F585" s="328"/>
      <c r="G585" s="328"/>
      <c r="H585" s="329"/>
      <c r="I585" s="330" t="s">
        <v>945</v>
      </c>
    </row>
    <row r="586" spans="1:9" x14ac:dyDescent="0.2">
      <c r="A586" s="327"/>
      <c r="B586" s="328"/>
      <c r="C586" s="328"/>
      <c r="D586" s="328" t="s">
        <v>70</v>
      </c>
      <c r="E586" s="328">
        <v>32</v>
      </c>
      <c r="F586" s="328"/>
      <c r="G586" s="328"/>
      <c r="H586" s="329"/>
      <c r="I586" s="330" t="s">
        <v>946</v>
      </c>
    </row>
    <row r="587" spans="1:9" x14ac:dyDescent="0.2">
      <c r="A587" s="327"/>
      <c r="B587" s="328"/>
      <c r="C587" s="328"/>
      <c r="D587" s="328" t="s">
        <v>70</v>
      </c>
      <c r="E587" s="328">
        <v>32</v>
      </c>
      <c r="F587" s="328"/>
      <c r="G587" s="328"/>
      <c r="H587" s="329"/>
      <c r="I587" s="330" t="s">
        <v>947</v>
      </c>
    </row>
    <row r="588" spans="1:9" x14ac:dyDescent="0.2">
      <c r="A588" s="327"/>
      <c r="B588" s="328"/>
      <c r="C588" s="328"/>
      <c r="D588" s="328" t="s">
        <v>69</v>
      </c>
      <c r="E588" s="328">
        <v>1</v>
      </c>
      <c r="F588" s="328"/>
      <c r="G588" s="328"/>
      <c r="H588" s="329"/>
      <c r="I588" s="330" t="s">
        <v>948</v>
      </c>
    </row>
    <row r="589" spans="1:9" x14ac:dyDescent="0.2">
      <c r="A589" s="327"/>
      <c r="B589" s="328"/>
      <c r="C589" s="328"/>
      <c r="D589" s="328" t="s">
        <v>69</v>
      </c>
      <c r="E589" s="328">
        <v>1</v>
      </c>
      <c r="F589" s="328"/>
      <c r="G589" s="328"/>
      <c r="H589" s="329"/>
      <c r="I589" s="330" t="s">
        <v>949</v>
      </c>
    </row>
    <row r="590" spans="1:9" x14ac:dyDescent="0.2">
      <c r="A590" s="327"/>
      <c r="B590" s="328"/>
      <c r="C590" s="328"/>
      <c r="D590" s="328" t="s">
        <v>69</v>
      </c>
      <c r="E590" s="328">
        <v>1</v>
      </c>
      <c r="F590" s="328"/>
      <c r="G590" s="328"/>
      <c r="H590" s="329"/>
      <c r="I590" s="330" t="s">
        <v>950</v>
      </c>
    </row>
    <row r="591" spans="1:9" x14ac:dyDescent="0.2">
      <c r="A591" s="327"/>
      <c r="B591" s="328"/>
      <c r="C591" s="328"/>
      <c r="D591" s="328" t="s">
        <v>69</v>
      </c>
      <c r="E591" s="328">
        <v>1</v>
      </c>
      <c r="F591" s="328"/>
      <c r="G591" s="328"/>
      <c r="H591" s="329"/>
      <c r="I591" s="330" t="s">
        <v>951</v>
      </c>
    </row>
    <row r="592" spans="1:9" x14ac:dyDescent="0.2">
      <c r="A592" s="327"/>
      <c r="B592" s="328"/>
      <c r="C592" s="328"/>
      <c r="D592" s="328" t="s">
        <v>70</v>
      </c>
      <c r="E592" s="328">
        <v>16</v>
      </c>
      <c r="F592" s="328"/>
      <c r="G592" s="328"/>
      <c r="H592" s="329"/>
      <c r="I592" s="330" t="s">
        <v>952</v>
      </c>
    </row>
    <row r="593" spans="1:9" x14ac:dyDescent="0.2">
      <c r="A593" s="327"/>
      <c r="B593" s="328"/>
      <c r="C593" s="328"/>
      <c r="D593" s="328" t="s">
        <v>70</v>
      </c>
      <c r="E593" s="328">
        <v>16</v>
      </c>
      <c r="F593" s="328"/>
      <c r="G593" s="328"/>
      <c r="H593" s="329"/>
      <c r="I593" s="330" t="s">
        <v>953</v>
      </c>
    </row>
    <row r="594" spans="1:9" x14ac:dyDescent="0.2">
      <c r="A594" s="327"/>
      <c r="B594" s="328"/>
      <c r="C594" s="328"/>
      <c r="D594" s="328" t="s">
        <v>70</v>
      </c>
      <c r="E594" s="328">
        <v>16</v>
      </c>
      <c r="F594" s="328"/>
      <c r="G594" s="328"/>
      <c r="H594" s="329"/>
      <c r="I594" s="330" t="s">
        <v>954</v>
      </c>
    </row>
    <row r="595" spans="1:9" x14ac:dyDescent="0.2">
      <c r="A595" s="327"/>
      <c r="B595" s="328"/>
      <c r="C595" s="328"/>
      <c r="D595" s="328" t="s">
        <v>70</v>
      </c>
      <c r="E595" s="328">
        <v>16</v>
      </c>
      <c r="F595" s="328"/>
      <c r="G595" s="328"/>
      <c r="H595" s="329"/>
      <c r="I595" s="330" t="s">
        <v>955</v>
      </c>
    </row>
    <row r="596" spans="1:9" x14ac:dyDescent="0.2">
      <c r="A596" s="327"/>
      <c r="B596" s="328"/>
      <c r="C596" s="328"/>
      <c r="D596" s="328" t="s">
        <v>70</v>
      </c>
      <c r="E596" s="328">
        <v>16</v>
      </c>
      <c r="F596" s="328"/>
      <c r="G596" s="328"/>
      <c r="H596" s="329"/>
      <c r="I596" s="330" t="s">
        <v>956</v>
      </c>
    </row>
    <row r="597" spans="1:9" x14ac:dyDescent="0.2">
      <c r="A597" s="327"/>
      <c r="B597" s="328"/>
      <c r="C597" s="328"/>
      <c r="D597" s="328" t="s">
        <v>70</v>
      </c>
      <c r="E597" s="328">
        <v>45</v>
      </c>
      <c r="F597" s="328"/>
      <c r="G597" s="328"/>
      <c r="H597" s="329"/>
      <c r="I597" s="330" t="s">
        <v>957</v>
      </c>
    </row>
    <row r="598" spans="1:9" x14ac:dyDescent="0.2">
      <c r="A598" s="327"/>
      <c r="B598" s="328"/>
      <c r="C598" s="328"/>
      <c r="D598" s="328" t="s">
        <v>70</v>
      </c>
      <c r="E598" s="328">
        <v>5</v>
      </c>
      <c r="F598" s="328"/>
      <c r="G598" s="328"/>
      <c r="H598" s="329"/>
      <c r="I598" s="330" t="s">
        <v>958</v>
      </c>
    </row>
    <row r="599" spans="1:9" x14ac:dyDescent="0.2">
      <c r="A599" s="327"/>
      <c r="B599" s="328"/>
      <c r="C599" s="328"/>
      <c r="D599" s="328" t="s">
        <v>70</v>
      </c>
      <c r="E599" s="328">
        <v>270</v>
      </c>
      <c r="F599" s="328"/>
      <c r="G599" s="328"/>
      <c r="H599" s="329"/>
      <c r="I599" s="330" t="s">
        <v>959</v>
      </c>
    </row>
    <row r="600" spans="1:9" x14ac:dyDescent="0.2">
      <c r="A600" s="327"/>
      <c r="B600" s="328"/>
      <c r="C600" s="328"/>
      <c r="D600" s="328" t="s">
        <v>70</v>
      </c>
      <c r="E600" s="328">
        <v>270</v>
      </c>
      <c r="F600" s="328"/>
      <c r="G600" s="328"/>
      <c r="H600" s="329"/>
      <c r="I600" s="330" t="s">
        <v>960</v>
      </c>
    </row>
    <row r="601" spans="1:9" x14ac:dyDescent="0.2">
      <c r="A601" s="327"/>
      <c r="B601" s="328"/>
      <c r="C601" s="328"/>
      <c r="D601" s="328" t="s">
        <v>70</v>
      </c>
      <c r="E601" s="328">
        <v>270</v>
      </c>
      <c r="F601" s="328"/>
      <c r="G601" s="328"/>
      <c r="H601" s="329"/>
      <c r="I601" s="330" t="s">
        <v>961</v>
      </c>
    </row>
    <row r="602" spans="1:9" x14ac:dyDescent="0.2">
      <c r="A602" s="327"/>
      <c r="B602" s="328"/>
      <c r="C602" s="328"/>
      <c r="D602" s="328" t="s">
        <v>69</v>
      </c>
      <c r="E602" s="328">
        <v>13</v>
      </c>
      <c r="F602" s="328"/>
      <c r="G602" s="328"/>
      <c r="H602" s="329"/>
      <c r="I602" s="330" t="s">
        <v>962</v>
      </c>
    </row>
    <row r="603" spans="1:9" x14ac:dyDescent="0.2">
      <c r="A603" s="327" t="s">
        <v>963</v>
      </c>
      <c r="B603" s="328" t="s">
        <v>964</v>
      </c>
      <c r="C603" s="328" t="s">
        <v>90</v>
      </c>
      <c r="D603" s="328"/>
      <c r="E603" s="328"/>
      <c r="F603" s="328"/>
      <c r="G603" s="328" t="s">
        <v>239</v>
      </c>
      <c r="H603" s="329"/>
      <c r="I603" s="330">
        <v>70263</v>
      </c>
    </row>
    <row r="604" spans="1:9" x14ac:dyDescent="0.2">
      <c r="A604" s="327"/>
      <c r="B604" s="328"/>
      <c r="C604" s="328"/>
      <c r="D604" s="328" t="s">
        <v>69</v>
      </c>
      <c r="E604" s="328">
        <v>1</v>
      </c>
      <c r="F604" s="328">
        <v>8</v>
      </c>
      <c r="G604" s="328"/>
      <c r="H604" s="329"/>
      <c r="I604" s="330" t="s">
        <v>722</v>
      </c>
    </row>
    <row r="605" spans="1:9" x14ac:dyDescent="0.2">
      <c r="A605" s="327"/>
      <c r="B605" s="328"/>
      <c r="C605" s="328"/>
      <c r="D605" s="328" t="s">
        <v>70</v>
      </c>
      <c r="E605" s="328">
        <v>64</v>
      </c>
      <c r="F605" s="328" t="s">
        <v>965</v>
      </c>
      <c r="G605" s="328"/>
      <c r="H605" s="329"/>
      <c r="I605" s="330" t="s">
        <v>966</v>
      </c>
    </row>
    <row r="606" spans="1:9" ht="14.25" x14ac:dyDescent="0.2">
      <c r="A606" s="327"/>
      <c r="B606" s="328"/>
      <c r="C606" s="328"/>
      <c r="D606" s="328" t="s">
        <v>70</v>
      </c>
      <c r="E606" s="328">
        <v>256</v>
      </c>
      <c r="F606" s="350"/>
      <c r="G606" s="328"/>
      <c r="H606" s="329"/>
      <c r="I606" s="330" t="s">
        <v>967</v>
      </c>
    </row>
    <row r="607" spans="1:9" x14ac:dyDescent="0.2">
      <c r="A607" s="327"/>
      <c r="B607" s="328"/>
      <c r="C607" s="328"/>
      <c r="D607" s="328" t="s">
        <v>70</v>
      </c>
      <c r="E607" s="328">
        <v>256</v>
      </c>
      <c r="F607" s="328"/>
      <c r="G607" s="328"/>
      <c r="H607" s="329"/>
      <c r="I607" s="330" t="s">
        <v>968</v>
      </c>
    </row>
    <row r="608" spans="1:9" x14ac:dyDescent="0.2">
      <c r="A608" s="327"/>
      <c r="B608" s="328"/>
      <c r="C608" s="328"/>
      <c r="D608" s="328" t="s">
        <v>70</v>
      </c>
      <c r="E608" s="328">
        <v>128</v>
      </c>
      <c r="F608" s="328" t="s">
        <v>969</v>
      </c>
      <c r="G608" s="328"/>
      <c r="H608" s="329"/>
      <c r="I608" s="330" t="s">
        <v>970</v>
      </c>
    </row>
    <row r="609" spans="1:9" x14ac:dyDescent="0.2">
      <c r="A609" s="327"/>
      <c r="B609" s="328"/>
      <c r="C609" s="328"/>
      <c r="D609" s="328" t="s">
        <v>69</v>
      </c>
      <c r="E609" s="328">
        <v>4</v>
      </c>
      <c r="F609" s="328">
        <v>10</v>
      </c>
      <c r="G609" s="328"/>
      <c r="H609" s="329"/>
      <c r="I609" s="330" t="s">
        <v>971</v>
      </c>
    </row>
    <row r="610" spans="1:9" x14ac:dyDescent="0.2">
      <c r="A610" s="327"/>
      <c r="B610" s="328"/>
      <c r="C610" s="328"/>
      <c r="D610" s="328" t="s">
        <v>69</v>
      </c>
      <c r="E610" s="328">
        <v>1</v>
      </c>
      <c r="F610" s="328">
        <v>1</v>
      </c>
      <c r="G610" s="328"/>
      <c r="H610" s="329"/>
      <c r="I610" s="330" t="s">
        <v>972</v>
      </c>
    </row>
    <row r="611" spans="1:9" x14ac:dyDescent="0.2">
      <c r="A611" s="327"/>
      <c r="B611" s="328"/>
      <c r="C611" s="328"/>
      <c r="D611" s="328" t="s">
        <v>69</v>
      </c>
      <c r="E611" s="328">
        <v>1</v>
      </c>
      <c r="F611" s="328">
        <v>8</v>
      </c>
      <c r="G611" s="328"/>
      <c r="H611" s="329"/>
      <c r="I611" s="330" t="s">
        <v>973</v>
      </c>
    </row>
    <row r="612" spans="1:9" x14ac:dyDescent="0.2">
      <c r="A612" s="327"/>
      <c r="B612" s="328"/>
      <c r="C612" s="328"/>
      <c r="D612" s="328" t="s">
        <v>69</v>
      </c>
      <c r="E612" s="328">
        <v>1</v>
      </c>
      <c r="F612" s="328">
        <v>0</v>
      </c>
      <c r="G612" s="328"/>
      <c r="H612" s="329"/>
      <c r="I612" s="330" t="s">
        <v>974</v>
      </c>
    </row>
    <row r="613" spans="1:9" x14ac:dyDescent="0.2">
      <c r="A613" s="327"/>
      <c r="B613" s="328"/>
      <c r="C613" s="328"/>
      <c r="D613" s="328" t="s">
        <v>69</v>
      </c>
      <c r="E613" s="328">
        <v>1</v>
      </c>
      <c r="F613" s="328">
        <v>5</v>
      </c>
      <c r="G613" s="328"/>
      <c r="H613" s="329"/>
      <c r="I613" s="330" t="s">
        <v>975</v>
      </c>
    </row>
    <row r="614" spans="1:9" x14ac:dyDescent="0.2">
      <c r="A614" s="327"/>
      <c r="B614" s="328"/>
      <c r="C614" s="328"/>
      <c r="D614" s="328" t="s">
        <v>69</v>
      </c>
      <c r="E614" s="328">
        <v>1</v>
      </c>
      <c r="F614" s="328">
        <v>0</v>
      </c>
      <c r="G614" s="328"/>
      <c r="H614" s="329"/>
      <c r="I614" s="330" t="s">
        <v>976</v>
      </c>
    </row>
    <row r="615" spans="1:9" x14ac:dyDescent="0.2">
      <c r="A615" s="327"/>
      <c r="B615" s="328"/>
      <c r="C615" s="328"/>
      <c r="D615" s="328" t="s">
        <v>69</v>
      </c>
      <c r="E615" s="328">
        <v>1</v>
      </c>
      <c r="F615" s="328">
        <v>2</v>
      </c>
      <c r="G615" s="328"/>
      <c r="H615" s="329"/>
      <c r="I615" s="330" t="s">
        <v>977</v>
      </c>
    </row>
    <row r="616" spans="1:9" ht="13.5" x14ac:dyDescent="0.2">
      <c r="A616" s="327"/>
      <c r="B616" s="328"/>
      <c r="C616" s="328"/>
      <c r="D616" s="328" t="s">
        <v>70</v>
      </c>
      <c r="E616" s="328">
        <v>64</v>
      </c>
      <c r="F616" s="361" t="s">
        <v>1245</v>
      </c>
      <c r="G616" s="328"/>
      <c r="H616" s="329"/>
      <c r="I616" s="330" t="s">
        <v>978</v>
      </c>
    </row>
    <row r="617" spans="1:9" x14ac:dyDescent="0.2">
      <c r="A617" s="327"/>
      <c r="B617" s="328"/>
      <c r="C617" s="328"/>
      <c r="D617" s="328" t="s">
        <v>69</v>
      </c>
      <c r="E617" s="328">
        <v>1</v>
      </c>
      <c r="F617" s="328">
        <v>0</v>
      </c>
      <c r="G617" s="328"/>
      <c r="H617" s="329"/>
      <c r="I617" s="330" t="s">
        <v>979</v>
      </c>
    </row>
    <row r="618" spans="1:9" x14ac:dyDescent="0.2">
      <c r="A618" s="327"/>
      <c r="B618" s="328"/>
      <c r="C618" s="328"/>
      <c r="D618" s="328" t="s">
        <v>69</v>
      </c>
      <c r="E618" s="328">
        <v>1</v>
      </c>
      <c r="F618" s="328">
        <v>0</v>
      </c>
      <c r="G618" s="328"/>
      <c r="H618" s="329"/>
      <c r="I618" s="330" t="s">
        <v>980</v>
      </c>
    </row>
    <row r="619" spans="1:9" x14ac:dyDescent="0.2">
      <c r="A619" s="327"/>
      <c r="B619" s="328"/>
      <c r="C619" s="328"/>
      <c r="D619" s="328" t="s">
        <v>69</v>
      </c>
      <c r="E619" s="328">
        <v>2</v>
      </c>
      <c r="F619" s="328">
        <v>0</v>
      </c>
      <c r="G619" s="328"/>
      <c r="H619" s="329"/>
      <c r="I619" s="330" t="s">
        <v>981</v>
      </c>
    </row>
    <row r="620" spans="1:9" x14ac:dyDescent="0.2">
      <c r="A620" s="327"/>
      <c r="B620" s="328"/>
      <c r="C620" s="328"/>
      <c r="D620" s="328" t="s">
        <v>69</v>
      </c>
      <c r="E620" s="328">
        <v>4</v>
      </c>
      <c r="F620" s="328">
        <v>0</v>
      </c>
      <c r="G620" s="328"/>
      <c r="H620" s="329"/>
      <c r="I620" s="330" t="s">
        <v>982</v>
      </c>
    </row>
    <row r="621" spans="1:9" x14ac:dyDescent="0.2">
      <c r="A621" s="327"/>
      <c r="B621" s="328"/>
      <c r="C621" s="328"/>
      <c r="D621" s="328" t="s">
        <v>69</v>
      </c>
      <c r="E621" s="328">
        <v>1</v>
      </c>
      <c r="F621" s="328">
        <v>1</v>
      </c>
      <c r="G621" s="328"/>
      <c r="H621" s="329"/>
      <c r="I621" s="330"/>
    </row>
    <row r="622" spans="1:9" x14ac:dyDescent="0.2">
      <c r="A622" s="327"/>
      <c r="B622" s="328"/>
      <c r="C622" s="328"/>
      <c r="D622" s="328" t="s">
        <v>70</v>
      </c>
      <c r="E622" s="328">
        <v>100</v>
      </c>
      <c r="F622" s="328" t="s">
        <v>983</v>
      </c>
      <c r="G622" s="328"/>
      <c r="H622" s="329"/>
      <c r="I622" s="330"/>
    </row>
    <row r="623" spans="1:9" x14ac:dyDescent="0.2">
      <c r="A623" s="327"/>
      <c r="B623" s="328"/>
      <c r="C623" s="328"/>
      <c r="D623" s="328" t="s">
        <v>69</v>
      </c>
      <c r="E623" s="328">
        <v>108</v>
      </c>
      <c r="F623" s="328"/>
      <c r="G623" s="328"/>
      <c r="H623" s="329"/>
      <c r="I623" s="330" t="s">
        <v>716</v>
      </c>
    </row>
    <row r="624" spans="1:9" ht="25.5" x14ac:dyDescent="0.2">
      <c r="A624" s="327" t="s">
        <v>984</v>
      </c>
      <c r="B624" s="328" t="s">
        <v>985</v>
      </c>
      <c r="C624" s="328" t="s">
        <v>90</v>
      </c>
      <c r="D624" s="328"/>
      <c r="E624" s="328"/>
      <c r="F624" s="328"/>
      <c r="G624" s="328" t="s">
        <v>239</v>
      </c>
      <c r="H624" s="329"/>
      <c r="I624" s="330" t="s">
        <v>986</v>
      </c>
    </row>
    <row r="625" spans="1:9" x14ac:dyDescent="0.2">
      <c r="A625" s="327"/>
      <c r="B625" s="328"/>
      <c r="C625" s="328"/>
      <c r="D625" s="328" t="s">
        <v>69</v>
      </c>
      <c r="E625" s="328">
        <v>1</v>
      </c>
      <c r="F625" s="328">
        <v>0</v>
      </c>
      <c r="G625" s="328"/>
      <c r="H625" s="329"/>
      <c r="I625" s="330" t="s">
        <v>587</v>
      </c>
    </row>
    <row r="626" spans="1:9" x14ac:dyDescent="0.2">
      <c r="A626" s="327"/>
      <c r="B626" s="328"/>
      <c r="C626" s="328"/>
      <c r="D626" s="328" t="s">
        <v>69</v>
      </c>
      <c r="E626" s="328">
        <v>4</v>
      </c>
      <c r="F626" s="328"/>
      <c r="G626" s="328"/>
      <c r="H626" s="329"/>
      <c r="I626" s="330" t="s">
        <v>987</v>
      </c>
    </row>
    <row r="627" spans="1:9" x14ac:dyDescent="0.2">
      <c r="A627" s="327"/>
      <c r="B627" s="328"/>
      <c r="C627" s="328"/>
      <c r="D627" s="328" t="s">
        <v>69</v>
      </c>
      <c r="E627" s="328">
        <v>1</v>
      </c>
      <c r="F627" s="328">
        <v>0</v>
      </c>
      <c r="G627" s="328"/>
      <c r="H627" s="329"/>
      <c r="I627" s="330" t="s">
        <v>988</v>
      </c>
    </row>
    <row r="628" spans="1:9" x14ac:dyDescent="0.2">
      <c r="A628" s="327"/>
      <c r="B628" s="328"/>
      <c r="C628" s="328"/>
      <c r="D628" s="328" t="s">
        <v>69</v>
      </c>
      <c r="E628" s="328">
        <v>122</v>
      </c>
      <c r="F628" s="328"/>
      <c r="G628" s="328"/>
      <c r="H628" s="329"/>
      <c r="I628" s="330" t="s">
        <v>716</v>
      </c>
    </row>
    <row r="629" spans="1:9" x14ac:dyDescent="0.2">
      <c r="A629" s="327" t="s">
        <v>989</v>
      </c>
      <c r="B629" s="328" t="s">
        <v>990</v>
      </c>
      <c r="C629" s="328" t="s">
        <v>90</v>
      </c>
      <c r="D629" s="328"/>
      <c r="E629" s="328"/>
      <c r="F629" s="328"/>
      <c r="G629" s="328" t="s">
        <v>239</v>
      </c>
      <c r="H629" s="329"/>
      <c r="I629" s="330">
        <v>71527</v>
      </c>
    </row>
    <row r="630" spans="1:9" x14ac:dyDescent="0.2">
      <c r="A630" s="327"/>
      <c r="B630" s="328"/>
      <c r="C630" s="328"/>
      <c r="D630" s="328" t="s">
        <v>69</v>
      </c>
      <c r="E630" s="328">
        <v>1</v>
      </c>
      <c r="F630" s="328">
        <v>0</v>
      </c>
      <c r="G630" s="328"/>
      <c r="H630" s="329"/>
      <c r="I630" s="330" t="s">
        <v>722</v>
      </c>
    </row>
    <row r="631" spans="1:9" x14ac:dyDescent="0.2">
      <c r="A631" s="327"/>
      <c r="B631" s="328"/>
      <c r="C631" s="328"/>
      <c r="D631" s="328" t="s">
        <v>69</v>
      </c>
      <c r="E631" s="328">
        <v>2</v>
      </c>
      <c r="F631" s="328">
        <v>272</v>
      </c>
      <c r="G631" s="328"/>
      <c r="H631" s="329"/>
      <c r="I631" s="330" t="s">
        <v>991</v>
      </c>
    </row>
    <row r="632" spans="1:9" x14ac:dyDescent="0.2">
      <c r="A632" s="327"/>
      <c r="B632" s="328"/>
      <c r="C632" s="328"/>
      <c r="D632" s="328" t="s">
        <v>69</v>
      </c>
      <c r="E632" s="328">
        <v>1</v>
      </c>
      <c r="F632" s="328">
        <v>17</v>
      </c>
      <c r="G632" s="328"/>
      <c r="H632" s="329"/>
      <c r="I632" s="330" t="s">
        <v>992</v>
      </c>
    </row>
    <row r="633" spans="1:9" x14ac:dyDescent="0.2">
      <c r="A633" s="327"/>
      <c r="B633" s="328"/>
      <c r="C633" s="328"/>
      <c r="D633" s="328" t="s">
        <v>69</v>
      </c>
      <c r="E633" s="328">
        <v>2</v>
      </c>
      <c r="F633" s="328">
        <v>7</v>
      </c>
      <c r="G633" s="328"/>
      <c r="H633" s="329"/>
      <c r="I633" s="330" t="s">
        <v>993</v>
      </c>
    </row>
    <row r="634" spans="1:9" x14ac:dyDescent="0.2">
      <c r="A634" s="327"/>
      <c r="B634" s="328"/>
      <c r="C634" s="328"/>
      <c r="D634" s="328" t="s">
        <v>69</v>
      </c>
      <c r="E634" s="328">
        <v>1</v>
      </c>
      <c r="F634" s="328">
        <v>136</v>
      </c>
      <c r="G634" s="328"/>
      <c r="H634" s="329"/>
      <c r="I634" s="330" t="s">
        <v>994</v>
      </c>
    </row>
    <row r="635" spans="1:9" x14ac:dyDescent="0.2">
      <c r="A635" s="327"/>
      <c r="B635" s="328"/>
      <c r="C635" s="328"/>
      <c r="D635" s="328" t="s">
        <v>69</v>
      </c>
      <c r="E635" s="328">
        <v>1</v>
      </c>
      <c r="F635" s="328">
        <v>80</v>
      </c>
      <c r="G635" s="328"/>
      <c r="H635" s="329"/>
      <c r="I635" s="330" t="s">
        <v>995</v>
      </c>
    </row>
    <row r="636" spans="1:9" x14ac:dyDescent="0.2">
      <c r="A636" s="327"/>
      <c r="B636" s="328"/>
      <c r="C636" s="328"/>
      <c r="D636" s="328" t="s">
        <v>69</v>
      </c>
      <c r="E636" s="328">
        <v>2</v>
      </c>
      <c r="F636" s="328">
        <v>512</v>
      </c>
      <c r="G636" s="328"/>
      <c r="H636" s="329"/>
      <c r="I636" s="330" t="s">
        <v>996</v>
      </c>
    </row>
    <row r="637" spans="1:9" x14ac:dyDescent="0.2">
      <c r="A637" s="327"/>
      <c r="B637" s="328"/>
      <c r="C637" s="328"/>
      <c r="D637" s="328" t="s">
        <v>69</v>
      </c>
      <c r="E637" s="328">
        <v>1</v>
      </c>
      <c r="F637" s="328">
        <v>17</v>
      </c>
      <c r="G637" s="328"/>
      <c r="H637" s="329"/>
      <c r="I637" s="330" t="s">
        <v>997</v>
      </c>
    </row>
    <row r="638" spans="1:9" x14ac:dyDescent="0.2">
      <c r="A638" s="327"/>
      <c r="B638" s="328"/>
      <c r="C638" s="328"/>
      <c r="D638" s="328" t="s">
        <v>69</v>
      </c>
      <c r="E638" s="328">
        <v>2</v>
      </c>
      <c r="F638" s="328">
        <v>0</v>
      </c>
      <c r="G638" s="328"/>
      <c r="H638" s="329"/>
      <c r="I638" s="330" t="s">
        <v>998</v>
      </c>
    </row>
    <row r="639" spans="1:9" x14ac:dyDescent="0.2">
      <c r="A639" s="327"/>
      <c r="B639" s="328"/>
      <c r="C639" s="328"/>
      <c r="D639" s="328" t="s">
        <v>69</v>
      </c>
      <c r="E639" s="328">
        <v>1</v>
      </c>
      <c r="F639" s="328">
        <v>136</v>
      </c>
      <c r="G639" s="328"/>
      <c r="H639" s="329"/>
      <c r="I639" s="330" t="s">
        <v>999</v>
      </c>
    </row>
    <row r="640" spans="1:9" x14ac:dyDescent="0.2">
      <c r="A640" s="327"/>
      <c r="B640" s="328"/>
      <c r="C640" s="328"/>
      <c r="D640" s="328" t="s">
        <v>69</v>
      </c>
      <c r="E640" s="328">
        <v>1</v>
      </c>
      <c r="F640" s="328">
        <v>80</v>
      </c>
      <c r="G640" s="328"/>
      <c r="H640" s="329"/>
      <c r="I640" s="330" t="s">
        <v>1000</v>
      </c>
    </row>
    <row r="641" spans="1:9" x14ac:dyDescent="0.2">
      <c r="A641" s="327"/>
      <c r="B641" s="328"/>
      <c r="C641" s="328"/>
      <c r="D641" s="328" t="s">
        <v>69</v>
      </c>
      <c r="E641" s="328">
        <v>2</v>
      </c>
      <c r="F641" s="328">
        <v>0</v>
      </c>
      <c r="G641" s="328"/>
      <c r="H641" s="329"/>
      <c r="I641" s="330" t="s">
        <v>1001</v>
      </c>
    </row>
    <row r="642" spans="1:9" x14ac:dyDescent="0.2">
      <c r="A642" s="327"/>
      <c r="B642" s="328"/>
      <c r="C642" s="328"/>
      <c r="D642" s="328" t="s">
        <v>69</v>
      </c>
      <c r="E642" s="328">
        <v>1</v>
      </c>
      <c r="F642" s="328">
        <v>0</v>
      </c>
      <c r="G642" s="328"/>
      <c r="H642" s="329"/>
      <c r="I642" s="330" t="s">
        <v>1002</v>
      </c>
    </row>
    <row r="643" spans="1:9" x14ac:dyDescent="0.2">
      <c r="A643" s="327"/>
      <c r="B643" s="328"/>
      <c r="C643" s="328"/>
      <c r="D643" s="328" t="s">
        <v>69</v>
      </c>
      <c r="E643" s="328">
        <v>2</v>
      </c>
      <c r="F643" s="328">
        <v>0</v>
      </c>
      <c r="G643" s="328"/>
      <c r="H643" s="329"/>
      <c r="I643" s="330" t="s">
        <v>1003</v>
      </c>
    </row>
    <row r="644" spans="1:9" x14ac:dyDescent="0.2">
      <c r="A644" s="327"/>
      <c r="B644" s="328"/>
      <c r="C644" s="328"/>
      <c r="D644" s="328" t="s">
        <v>69</v>
      </c>
      <c r="E644" s="328">
        <v>1</v>
      </c>
      <c r="F644" s="328">
        <v>0</v>
      </c>
      <c r="G644" s="328"/>
      <c r="H644" s="329"/>
      <c r="I644" s="330" t="s">
        <v>1004</v>
      </c>
    </row>
    <row r="645" spans="1:9" x14ac:dyDescent="0.2">
      <c r="A645" s="327"/>
      <c r="B645" s="328"/>
      <c r="C645" s="328"/>
      <c r="D645" s="328" t="s">
        <v>69</v>
      </c>
      <c r="E645" s="328">
        <v>1</v>
      </c>
      <c r="F645" s="328">
        <v>0</v>
      </c>
      <c r="G645" s="328"/>
      <c r="H645" s="329"/>
      <c r="I645" s="330" t="s">
        <v>1005</v>
      </c>
    </row>
    <row r="646" spans="1:9" x14ac:dyDescent="0.2">
      <c r="A646" s="327"/>
      <c r="B646" s="328"/>
      <c r="C646" s="328"/>
      <c r="D646" s="328" t="s">
        <v>69</v>
      </c>
      <c r="E646" s="328">
        <v>2</v>
      </c>
      <c r="F646" s="328">
        <v>0</v>
      </c>
      <c r="G646" s="328"/>
      <c r="H646" s="329"/>
      <c r="I646" s="330" t="s">
        <v>1006</v>
      </c>
    </row>
    <row r="647" spans="1:9" x14ac:dyDescent="0.2">
      <c r="A647" s="327"/>
      <c r="B647" s="328"/>
      <c r="C647" s="328"/>
      <c r="D647" s="328" t="s">
        <v>69</v>
      </c>
      <c r="E647" s="328">
        <v>1</v>
      </c>
      <c r="F647" s="328">
        <v>0</v>
      </c>
      <c r="G647" s="328"/>
      <c r="H647" s="329"/>
      <c r="I647" s="330" t="s">
        <v>1007</v>
      </c>
    </row>
    <row r="648" spans="1:9" x14ac:dyDescent="0.2">
      <c r="A648" s="327"/>
      <c r="B648" s="328"/>
      <c r="C648" s="328"/>
      <c r="D648" s="328" t="s">
        <v>69</v>
      </c>
      <c r="E648" s="328">
        <v>2</v>
      </c>
      <c r="F648" s="328">
        <v>0</v>
      </c>
      <c r="G648" s="328"/>
      <c r="H648" s="329"/>
      <c r="I648" s="330" t="s">
        <v>1008</v>
      </c>
    </row>
    <row r="649" spans="1:9" x14ac:dyDescent="0.2">
      <c r="A649" s="327"/>
      <c r="B649" s="328"/>
      <c r="C649" s="328"/>
      <c r="D649" s="328" t="s">
        <v>69</v>
      </c>
      <c r="E649" s="328">
        <v>1</v>
      </c>
      <c r="F649" s="328">
        <v>0</v>
      </c>
      <c r="G649" s="328"/>
      <c r="H649" s="329"/>
      <c r="I649" s="330" t="s">
        <v>1009</v>
      </c>
    </row>
    <row r="650" spans="1:9" x14ac:dyDescent="0.2">
      <c r="A650" s="327"/>
      <c r="B650" s="328"/>
      <c r="C650" s="328"/>
      <c r="D650" s="328" t="s">
        <v>69</v>
      </c>
      <c r="E650" s="328">
        <v>1</v>
      </c>
      <c r="F650" s="328">
        <v>0</v>
      </c>
      <c r="G650" s="328"/>
      <c r="H650" s="329"/>
      <c r="I650" s="330" t="s">
        <v>1010</v>
      </c>
    </row>
    <row r="651" spans="1:9" x14ac:dyDescent="0.2">
      <c r="A651" s="327"/>
      <c r="B651" s="328"/>
      <c r="C651" s="328"/>
      <c r="D651" s="328" t="s">
        <v>69</v>
      </c>
      <c r="E651" s="328">
        <v>2</v>
      </c>
      <c r="F651" s="328">
        <v>0</v>
      </c>
      <c r="G651" s="328"/>
      <c r="H651" s="329"/>
      <c r="I651" s="330" t="s">
        <v>1011</v>
      </c>
    </row>
    <row r="652" spans="1:9" x14ac:dyDescent="0.2">
      <c r="A652" s="327"/>
      <c r="B652" s="328"/>
      <c r="C652" s="328"/>
      <c r="D652" s="328" t="s">
        <v>69</v>
      </c>
      <c r="E652" s="328">
        <v>1</v>
      </c>
      <c r="F652" s="328">
        <v>0</v>
      </c>
      <c r="G652" s="328"/>
      <c r="H652" s="329"/>
      <c r="I652" s="330" t="s">
        <v>1012</v>
      </c>
    </row>
    <row r="653" spans="1:9" x14ac:dyDescent="0.2">
      <c r="A653" s="327"/>
      <c r="B653" s="328"/>
      <c r="C653" s="328"/>
      <c r="D653" s="328" t="s">
        <v>69</v>
      </c>
      <c r="E653" s="328">
        <v>2</v>
      </c>
      <c r="F653" s="328">
        <v>0</v>
      </c>
      <c r="G653" s="328"/>
      <c r="H653" s="329"/>
      <c r="I653" s="330" t="s">
        <v>1013</v>
      </c>
    </row>
    <row r="654" spans="1:9" x14ac:dyDescent="0.2">
      <c r="A654" s="327"/>
      <c r="B654" s="328"/>
      <c r="C654" s="328"/>
      <c r="D654" s="328" t="s">
        <v>69</v>
      </c>
      <c r="E654" s="328">
        <v>1</v>
      </c>
      <c r="F654" s="328">
        <v>0</v>
      </c>
      <c r="G654" s="328"/>
      <c r="H654" s="329"/>
      <c r="I654" s="330" t="s">
        <v>1014</v>
      </c>
    </row>
    <row r="655" spans="1:9" x14ac:dyDescent="0.2">
      <c r="A655" s="327"/>
      <c r="B655" s="328"/>
      <c r="C655" s="328"/>
      <c r="D655" s="328" t="s">
        <v>69</v>
      </c>
      <c r="E655" s="328">
        <v>1</v>
      </c>
      <c r="F655" s="328">
        <v>0</v>
      </c>
      <c r="G655" s="328"/>
      <c r="H655" s="329"/>
      <c r="I655" s="330" t="s">
        <v>1015</v>
      </c>
    </row>
    <row r="656" spans="1:9" x14ac:dyDescent="0.2">
      <c r="A656" s="327"/>
      <c r="B656" s="328"/>
      <c r="C656" s="328"/>
      <c r="D656" s="328" t="s">
        <v>69</v>
      </c>
      <c r="E656" s="328">
        <v>2</v>
      </c>
      <c r="F656" s="328">
        <v>0</v>
      </c>
      <c r="G656" s="328"/>
      <c r="H656" s="329"/>
      <c r="I656" s="330" t="s">
        <v>1016</v>
      </c>
    </row>
    <row r="657" spans="1:9" x14ac:dyDescent="0.2">
      <c r="A657" s="327"/>
      <c r="B657" s="328"/>
      <c r="C657" s="328"/>
      <c r="D657" s="328" t="s">
        <v>69</v>
      </c>
      <c r="E657" s="328">
        <v>1</v>
      </c>
      <c r="F657" s="328">
        <v>0</v>
      </c>
      <c r="G657" s="328"/>
      <c r="H657" s="329"/>
      <c r="I657" s="330" t="s">
        <v>1017</v>
      </c>
    </row>
    <row r="658" spans="1:9" x14ac:dyDescent="0.2">
      <c r="A658" s="327"/>
      <c r="B658" s="328"/>
      <c r="C658" s="328"/>
      <c r="D658" s="328" t="s">
        <v>69</v>
      </c>
      <c r="E658" s="328">
        <v>2</v>
      </c>
      <c r="F658" s="328">
        <v>0</v>
      </c>
      <c r="G658" s="328"/>
      <c r="H658" s="329"/>
      <c r="I658" s="330" t="s">
        <v>1018</v>
      </c>
    </row>
    <row r="659" spans="1:9" x14ac:dyDescent="0.2">
      <c r="A659" s="327"/>
      <c r="B659" s="328"/>
      <c r="C659" s="328"/>
      <c r="D659" s="328" t="s">
        <v>69</v>
      </c>
      <c r="E659" s="328">
        <v>1</v>
      </c>
      <c r="F659" s="328">
        <v>0</v>
      </c>
      <c r="G659" s="328"/>
      <c r="H659" s="329"/>
      <c r="I659" s="330" t="s">
        <v>1019</v>
      </c>
    </row>
    <row r="660" spans="1:9" x14ac:dyDescent="0.2">
      <c r="A660" s="327"/>
      <c r="B660" s="328"/>
      <c r="C660" s="328"/>
      <c r="D660" s="328" t="s">
        <v>69</v>
      </c>
      <c r="E660" s="328">
        <v>1</v>
      </c>
      <c r="F660" s="328">
        <v>0</v>
      </c>
      <c r="G660" s="328"/>
      <c r="H660" s="329"/>
      <c r="I660" s="330" t="s">
        <v>1020</v>
      </c>
    </row>
    <row r="661" spans="1:9" x14ac:dyDescent="0.2">
      <c r="A661" s="327"/>
      <c r="B661" s="328"/>
      <c r="C661" s="328"/>
      <c r="D661" s="328" t="s">
        <v>69</v>
      </c>
      <c r="E661" s="328">
        <v>2</v>
      </c>
      <c r="F661" s="328">
        <v>0</v>
      </c>
      <c r="G661" s="328"/>
      <c r="H661" s="329"/>
      <c r="I661" s="330" t="s">
        <v>1021</v>
      </c>
    </row>
    <row r="662" spans="1:9" x14ac:dyDescent="0.2">
      <c r="A662" s="327"/>
      <c r="B662" s="328"/>
      <c r="C662" s="328"/>
      <c r="D662" s="328" t="s">
        <v>69</v>
      </c>
      <c r="E662" s="328">
        <v>1</v>
      </c>
      <c r="F662" s="328">
        <v>0</v>
      </c>
      <c r="G662" s="328"/>
      <c r="H662" s="329"/>
      <c r="I662" s="330" t="s">
        <v>1022</v>
      </c>
    </row>
    <row r="663" spans="1:9" x14ac:dyDescent="0.2">
      <c r="A663" s="327"/>
      <c r="B663" s="328"/>
      <c r="C663" s="328"/>
      <c r="D663" s="328" t="s">
        <v>69</v>
      </c>
      <c r="E663" s="328">
        <v>2</v>
      </c>
      <c r="F663" s="328">
        <v>0</v>
      </c>
      <c r="G663" s="328"/>
      <c r="H663" s="329"/>
      <c r="I663" s="330" t="s">
        <v>1023</v>
      </c>
    </row>
    <row r="664" spans="1:9" x14ac:dyDescent="0.2">
      <c r="A664" s="327"/>
      <c r="B664" s="328"/>
      <c r="C664" s="328"/>
      <c r="D664" s="328" t="s">
        <v>69</v>
      </c>
      <c r="E664" s="328">
        <v>1</v>
      </c>
      <c r="F664" s="328">
        <v>0</v>
      </c>
      <c r="G664" s="328"/>
      <c r="H664" s="329"/>
      <c r="I664" s="330" t="s">
        <v>1024</v>
      </c>
    </row>
    <row r="665" spans="1:9" x14ac:dyDescent="0.2">
      <c r="A665" s="327"/>
      <c r="B665" s="328"/>
      <c r="C665" s="328"/>
      <c r="D665" s="328" t="s">
        <v>69</v>
      </c>
      <c r="E665" s="328">
        <v>1</v>
      </c>
      <c r="F665" s="328">
        <v>0</v>
      </c>
      <c r="G665" s="328"/>
      <c r="H665" s="329"/>
      <c r="I665" s="330" t="s">
        <v>1025</v>
      </c>
    </row>
    <row r="666" spans="1:9" x14ac:dyDescent="0.2">
      <c r="A666" s="327"/>
      <c r="B666" s="328"/>
      <c r="C666" s="328"/>
      <c r="D666" s="328" t="s">
        <v>69</v>
      </c>
      <c r="E666" s="328">
        <v>2</v>
      </c>
      <c r="F666" s="328">
        <v>0</v>
      </c>
      <c r="G666" s="328"/>
      <c r="H666" s="329"/>
      <c r="I666" s="330" t="s">
        <v>1026</v>
      </c>
    </row>
    <row r="667" spans="1:9" x14ac:dyDescent="0.2">
      <c r="A667" s="327"/>
      <c r="B667" s="328"/>
      <c r="C667" s="328"/>
      <c r="D667" s="328" t="s">
        <v>69</v>
      </c>
      <c r="E667" s="328">
        <v>1</v>
      </c>
      <c r="F667" s="328">
        <v>0</v>
      </c>
      <c r="G667" s="328"/>
      <c r="H667" s="329"/>
      <c r="I667" s="330" t="s">
        <v>1027</v>
      </c>
    </row>
    <row r="668" spans="1:9" x14ac:dyDescent="0.2">
      <c r="A668" s="327"/>
      <c r="B668" s="328"/>
      <c r="C668" s="328"/>
      <c r="D668" s="328" t="s">
        <v>69</v>
      </c>
      <c r="E668" s="328">
        <v>2</v>
      </c>
      <c r="F668" s="328">
        <v>0</v>
      </c>
      <c r="G668" s="328"/>
      <c r="H668" s="329"/>
      <c r="I668" s="330" t="s">
        <v>1028</v>
      </c>
    </row>
    <row r="669" spans="1:9" x14ac:dyDescent="0.2">
      <c r="A669" s="327"/>
      <c r="B669" s="328"/>
      <c r="C669" s="328"/>
      <c r="D669" s="328" t="s">
        <v>69</v>
      </c>
      <c r="E669" s="328">
        <v>1</v>
      </c>
      <c r="F669" s="328">
        <v>0</v>
      </c>
      <c r="G669" s="328"/>
      <c r="H669" s="329"/>
      <c r="I669" s="330" t="s">
        <v>1029</v>
      </c>
    </row>
    <row r="670" spans="1:9" x14ac:dyDescent="0.2">
      <c r="A670" s="327"/>
      <c r="B670" s="328"/>
      <c r="C670" s="328"/>
      <c r="D670" s="328" t="s">
        <v>69</v>
      </c>
      <c r="E670" s="328">
        <v>1</v>
      </c>
      <c r="F670" s="328">
        <v>0</v>
      </c>
      <c r="G670" s="328"/>
      <c r="H670" s="329"/>
      <c r="I670" s="330" t="s">
        <v>1030</v>
      </c>
    </row>
    <row r="671" spans="1:9" x14ac:dyDescent="0.2">
      <c r="A671" s="327"/>
      <c r="B671" s="328"/>
      <c r="C671" s="328"/>
      <c r="D671" s="328" t="s">
        <v>69</v>
      </c>
      <c r="E671" s="328">
        <v>2</v>
      </c>
      <c r="F671" s="328">
        <v>0</v>
      </c>
      <c r="G671" s="328"/>
      <c r="H671" s="329"/>
      <c r="I671" s="330" t="s">
        <v>1031</v>
      </c>
    </row>
    <row r="672" spans="1:9" x14ac:dyDescent="0.2">
      <c r="A672" s="327"/>
      <c r="B672" s="328"/>
      <c r="C672" s="328"/>
      <c r="D672" s="328" t="s">
        <v>69</v>
      </c>
      <c r="E672" s="328">
        <v>1</v>
      </c>
      <c r="F672" s="328">
        <v>0</v>
      </c>
      <c r="G672" s="328"/>
      <c r="H672" s="329"/>
      <c r="I672" s="330" t="s">
        <v>1032</v>
      </c>
    </row>
    <row r="673" spans="1:9" x14ac:dyDescent="0.2">
      <c r="A673" s="327"/>
      <c r="B673" s="328"/>
      <c r="C673" s="328"/>
      <c r="D673" s="328" t="s">
        <v>69</v>
      </c>
      <c r="E673" s="328">
        <v>2</v>
      </c>
      <c r="F673" s="328">
        <v>0</v>
      </c>
      <c r="G673" s="328"/>
      <c r="H673" s="329"/>
      <c r="I673" s="330" t="s">
        <v>1033</v>
      </c>
    </row>
    <row r="674" spans="1:9" x14ac:dyDescent="0.2">
      <c r="A674" s="327"/>
      <c r="B674" s="328"/>
      <c r="C674" s="328"/>
      <c r="D674" s="328" t="s">
        <v>69</v>
      </c>
      <c r="E674" s="328">
        <v>1</v>
      </c>
      <c r="F674" s="328">
        <v>0</v>
      </c>
      <c r="G674" s="328"/>
      <c r="H674" s="329"/>
      <c r="I674" s="330" t="s">
        <v>1034</v>
      </c>
    </row>
    <row r="675" spans="1:9" x14ac:dyDescent="0.2">
      <c r="A675" s="327"/>
      <c r="B675" s="328"/>
      <c r="C675" s="328"/>
      <c r="D675" s="328" t="s">
        <v>69</v>
      </c>
      <c r="E675" s="328">
        <v>1</v>
      </c>
      <c r="F675" s="328">
        <v>0</v>
      </c>
      <c r="G675" s="328"/>
      <c r="H675" s="329"/>
      <c r="I675" s="330" t="s">
        <v>1035</v>
      </c>
    </row>
    <row r="676" spans="1:9" x14ac:dyDescent="0.2">
      <c r="A676" s="327"/>
      <c r="B676" s="328"/>
      <c r="C676" s="328"/>
      <c r="D676" s="328" t="s">
        <v>69</v>
      </c>
      <c r="E676" s="328">
        <v>2</v>
      </c>
      <c r="F676" s="328">
        <v>272</v>
      </c>
      <c r="G676" s="328"/>
      <c r="H676" s="329"/>
      <c r="I676" s="330" t="s">
        <v>1036</v>
      </c>
    </row>
    <row r="677" spans="1:9" x14ac:dyDescent="0.2">
      <c r="A677" s="327"/>
      <c r="B677" s="328"/>
      <c r="C677" s="328"/>
      <c r="D677" s="328" t="s">
        <v>69</v>
      </c>
      <c r="E677" s="328">
        <v>1</v>
      </c>
      <c r="F677" s="328">
        <v>48</v>
      </c>
      <c r="G677" s="328"/>
      <c r="H677" s="329"/>
      <c r="I677" s="330" t="s">
        <v>1037</v>
      </c>
    </row>
    <row r="678" spans="1:9" x14ac:dyDescent="0.2">
      <c r="A678" s="327"/>
      <c r="B678" s="328"/>
      <c r="C678" s="328"/>
      <c r="D678" s="328" t="s">
        <v>69</v>
      </c>
      <c r="E678" s="328">
        <v>2</v>
      </c>
      <c r="F678" s="328">
        <v>1</v>
      </c>
      <c r="G678" s="328"/>
      <c r="H678" s="329"/>
      <c r="I678" s="330" t="s">
        <v>1038</v>
      </c>
    </row>
    <row r="679" spans="1:9" x14ac:dyDescent="0.2">
      <c r="A679" s="327"/>
      <c r="B679" s="328"/>
      <c r="C679" s="328"/>
      <c r="D679" s="328" t="s">
        <v>69</v>
      </c>
      <c r="E679" s="328">
        <v>1</v>
      </c>
      <c r="F679" s="328">
        <v>136</v>
      </c>
      <c r="G679" s="328"/>
      <c r="H679" s="329"/>
      <c r="I679" s="330" t="s">
        <v>1039</v>
      </c>
    </row>
    <row r="680" spans="1:9" x14ac:dyDescent="0.2">
      <c r="A680" s="327"/>
      <c r="B680" s="328"/>
      <c r="C680" s="328"/>
      <c r="D680" s="328" t="s">
        <v>69</v>
      </c>
      <c r="E680" s="328">
        <v>1</v>
      </c>
      <c r="F680" s="328">
        <v>80</v>
      </c>
      <c r="G680" s="328"/>
      <c r="H680" s="329"/>
      <c r="I680" s="330" t="s">
        <v>1040</v>
      </c>
    </row>
    <row r="681" spans="1:9" x14ac:dyDescent="0.2">
      <c r="A681" s="327"/>
      <c r="B681" s="328"/>
      <c r="C681" s="328"/>
      <c r="D681" s="328" t="s">
        <v>69</v>
      </c>
      <c r="E681" s="328">
        <v>2</v>
      </c>
      <c r="F681" s="328">
        <v>20992</v>
      </c>
      <c r="G681" s="328"/>
      <c r="H681" s="329"/>
      <c r="I681" s="330" t="s">
        <v>1041</v>
      </c>
    </row>
    <row r="682" spans="1:9" x14ac:dyDescent="0.2">
      <c r="A682" s="327"/>
      <c r="B682" s="328"/>
      <c r="C682" s="328"/>
      <c r="D682" s="328" t="s">
        <v>69</v>
      </c>
      <c r="E682" s="328">
        <v>2</v>
      </c>
      <c r="F682" s="328">
        <v>0</v>
      </c>
      <c r="G682" s="328"/>
      <c r="H682" s="329"/>
      <c r="I682" s="330" t="s">
        <v>1042</v>
      </c>
    </row>
    <row r="683" spans="1:9" x14ac:dyDescent="0.2">
      <c r="A683" s="327"/>
      <c r="B683" s="328"/>
      <c r="C683" s="328"/>
      <c r="D683" s="328" t="s">
        <v>69</v>
      </c>
      <c r="E683" s="328">
        <v>2</v>
      </c>
      <c r="F683" s="328">
        <v>37376</v>
      </c>
      <c r="G683" s="328"/>
      <c r="H683" s="329"/>
      <c r="I683" s="330" t="s">
        <v>1043</v>
      </c>
    </row>
    <row r="684" spans="1:9" x14ac:dyDescent="0.2">
      <c r="A684" s="327"/>
      <c r="B684" s="328"/>
      <c r="C684" s="328"/>
      <c r="D684" s="328" t="s">
        <v>69</v>
      </c>
      <c r="E684" s="328">
        <v>2</v>
      </c>
      <c r="F684" s="328">
        <v>0</v>
      </c>
      <c r="G684" s="328"/>
      <c r="H684" s="329"/>
      <c r="I684" s="330" t="s">
        <v>1044</v>
      </c>
    </row>
    <row r="685" spans="1:9" x14ac:dyDescent="0.2">
      <c r="A685" s="327"/>
      <c r="B685" s="328"/>
      <c r="C685" s="328"/>
      <c r="D685" s="328" t="s">
        <v>69</v>
      </c>
      <c r="E685" s="328">
        <v>2</v>
      </c>
      <c r="F685" s="328">
        <v>0</v>
      </c>
      <c r="G685" s="328"/>
      <c r="H685" s="329"/>
      <c r="I685" s="330" t="s">
        <v>1045</v>
      </c>
    </row>
    <row r="686" spans="1:9" x14ac:dyDescent="0.2">
      <c r="A686" s="327"/>
      <c r="B686" s="328"/>
      <c r="C686" s="328"/>
      <c r="D686" s="328" t="s">
        <v>69</v>
      </c>
      <c r="E686" s="328">
        <v>2</v>
      </c>
      <c r="F686" s="328">
        <v>0</v>
      </c>
      <c r="G686" s="328"/>
      <c r="H686" s="329"/>
      <c r="I686" s="330" t="s">
        <v>1046</v>
      </c>
    </row>
    <row r="687" spans="1:9" x14ac:dyDescent="0.2">
      <c r="A687" s="327"/>
      <c r="B687" s="328"/>
      <c r="C687" s="328"/>
      <c r="D687" s="328" t="s">
        <v>69</v>
      </c>
      <c r="E687" s="328">
        <v>2</v>
      </c>
      <c r="F687" s="328">
        <v>0</v>
      </c>
      <c r="G687" s="328"/>
      <c r="H687" s="329"/>
      <c r="I687" s="330" t="s">
        <v>1047</v>
      </c>
    </row>
    <row r="688" spans="1:9" x14ac:dyDescent="0.2">
      <c r="A688" s="327"/>
      <c r="B688" s="328"/>
      <c r="C688" s="328"/>
      <c r="D688" s="328" t="s">
        <v>69</v>
      </c>
      <c r="E688" s="328">
        <v>2</v>
      </c>
      <c r="F688" s="328">
        <v>0</v>
      </c>
      <c r="G688" s="328"/>
      <c r="H688" s="329"/>
      <c r="I688" s="330" t="s">
        <v>1048</v>
      </c>
    </row>
    <row r="689" spans="1:9" x14ac:dyDescent="0.2">
      <c r="A689" s="327"/>
      <c r="B689" s="328"/>
      <c r="C689" s="328"/>
      <c r="D689" s="328" t="s">
        <v>69</v>
      </c>
      <c r="E689" s="328">
        <v>2</v>
      </c>
      <c r="F689" s="328">
        <v>0</v>
      </c>
      <c r="G689" s="328"/>
      <c r="H689" s="329"/>
      <c r="I689" s="330" t="s">
        <v>1049</v>
      </c>
    </row>
    <row r="690" spans="1:9" x14ac:dyDescent="0.2">
      <c r="A690" s="327"/>
      <c r="B690" s="328"/>
      <c r="C690" s="328"/>
      <c r="D690" s="328" t="s">
        <v>69</v>
      </c>
      <c r="E690" s="328">
        <v>2</v>
      </c>
      <c r="F690" s="328">
        <v>0</v>
      </c>
      <c r="G690" s="328"/>
      <c r="H690" s="329"/>
      <c r="I690" s="330" t="s">
        <v>1050</v>
      </c>
    </row>
    <row r="691" spans="1:9" x14ac:dyDescent="0.2">
      <c r="A691" s="327"/>
      <c r="B691" s="328"/>
      <c r="C691" s="328"/>
      <c r="D691" s="328" t="s">
        <v>69</v>
      </c>
      <c r="E691" s="328">
        <v>2</v>
      </c>
      <c r="F691" s="328">
        <v>0</v>
      </c>
      <c r="G691" s="328"/>
      <c r="H691" s="329"/>
      <c r="I691" s="330" t="s">
        <v>1051</v>
      </c>
    </row>
    <row r="692" spans="1:9" x14ac:dyDescent="0.2">
      <c r="A692" s="327"/>
      <c r="B692" s="328"/>
      <c r="C692" s="328"/>
      <c r="D692" s="328" t="s">
        <v>69</v>
      </c>
      <c r="E692" s="328">
        <v>2</v>
      </c>
      <c r="F692" s="328">
        <v>0</v>
      </c>
      <c r="G692" s="328"/>
      <c r="H692" s="329"/>
      <c r="I692" s="330" t="s">
        <v>1052</v>
      </c>
    </row>
    <row r="693" spans="1:9" x14ac:dyDescent="0.2">
      <c r="A693" s="327"/>
      <c r="B693" s="328"/>
      <c r="C693" s="328"/>
      <c r="D693" s="328" t="s">
        <v>69</v>
      </c>
      <c r="E693" s="328">
        <v>2</v>
      </c>
      <c r="F693" s="328">
        <v>0</v>
      </c>
      <c r="G693" s="328"/>
      <c r="H693" s="329"/>
      <c r="I693" s="330" t="s">
        <v>1053</v>
      </c>
    </row>
    <row r="694" spans="1:9" x14ac:dyDescent="0.2">
      <c r="A694" s="327"/>
      <c r="B694" s="328"/>
      <c r="C694" s="328"/>
      <c r="D694" s="328" t="s">
        <v>69</v>
      </c>
      <c r="E694" s="328">
        <v>2</v>
      </c>
      <c r="F694" s="328">
        <v>0</v>
      </c>
      <c r="G694" s="328"/>
      <c r="H694" s="329"/>
      <c r="I694" s="330" t="s">
        <v>1054</v>
      </c>
    </row>
    <row r="695" spans="1:9" x14ac:dyDescent="0.2">
      <c r="A695" s="327"/>
      <c r="B695" s="328"/>
      <c r="C695" s="328"/>
      <c r="D695" s="328" t="s">
        <v>69</v>
      </c>
      <c r="E695" s="328">
        <v>2</v>
      </c>
      <c r="F695" s="328">
        <v>0</v>
      </c>
      <c r="G695" s="328"/>
      <c r="H695" s="329"/>
      <c r="I695" s="330" t="s">
        <v>1055</v>
      </c>
    </row>
    <row r="696" spans="1:9" x14ac:dyDescent="0.2">
      <c r="A696" s="327"/>
      <c r="B696" s="328"/>
      <c r="C696" s="328"/>
      <c r="D696" s="328" t="s">
        <v>69</v>
      </c>
      <c r="E696" s="328">
        <v>2</v>
      </c>
      <c r="F696" s="328">
        <v>0</v>
      </c>
      <c r="G696" s="328"/>
      <c r="H696" s="329"/>
      <c r="I696" s="330" t="s">
        <v>1056</v>
      </c>
    </row>
    <row r="697" spans="1:9" x14ac:dyDescent="0.2">
      <c r="A697" s="327"/>
      <c r="B697" s="328"/>
      <c r="C697" s="328"/>
      <c r="D697" s="328" t="s">
        <v>69</v>
      </c>
      <c r="E697" s="328">
        <v>2</v>
      </c>
      <c r="F697" s="328">
        <v>0</v>
      </c>
      <c r="G697" s="328"/>
      <c r="H697" s="329"/>
      <c r="I697" s="330" t="s">
        <v>1057</v>
      </c>
    </row>
    <row r="698" spans="1:9" x14ac:dyDescent="0.2">
      <c r="A698" s="327"/>
      <c r="B698" s="328"/>
      <c r="C698" s="328"/>
      <c r="D698" s="328" t="s">
        <v>69</v>
      </c>
      <c r="E698" s="328">
        <v>2</v>
      </c>
      <c r="F698" s="328">
        <v>0</v>
      </c>
      <c r="G698" s="328"/>
      <c r="H698" s="329"/>
      <c r="I698" s="330" t="s">
        <v>1058</v>
      </c>
    </row>
    <row r="699" spans="1:9" x14ac:dyDescent="0.2">
      <c r="A699" s="327"/>
      <c r="B699" s="328"/>
      <c r="C699" s="328"/>
      <c r="D699" s="328" t="s">
        <v>69</v>
      </c>
      <c r="E699" s="328">
        <v>2</v>
      </c>
      <c r="F699" s="328">
        <v>0</v>
      </c>
      <c r="G699" s="328"/>
      <c r="H699" s="329"/>
      <c r="I699" s="330" t="s">
        <v>1059</v>
      </c>
    </row>
    <row r="700" spans="1:9" x14ac:dyDescent="0.2">
      <c r="A700" s="327"/>
      <c r="B700" s="328"/>
      <c r="C700" s="328"/>
      <c r="D700" s="328" t="s">
        <v>69</v>
      </c>
      <c r="E700" s="328">
        <v>2</v>
      </c>
      <c r="F700" s="328">
        <v>0</v>
      </c>
      <c r="G700" s="328"/>
      <c r="H700" s="329"/>
      <c r="I700" s="330" t="s">
        <v>1060</v>
      </c>
    </row>
    <row r="701" spans="1:9" x14ac:dyDescent="0.2">
      <c r="A701" s="327"/>
      <c r="B701" s="328"/>
      <c r="C701" s="328"/>
      <c r="D701" s="328" t="s">
        <v>69</v>
      </c>
      <c r="E701" s="328">
        <v>2</v>
      </c>
      <c r="F701" s="328">
        <v>0</v>
      </c>
      <c r="G701" s="328"/>
      <c r="H701" s="329"/>
      <c r="I701" s="330" t="s">
        <v>1061</v>
      </c>
    </row>
    <row r="702" spans="1:9" x14ac:dyDescent="0.2">
      <c r="A702" s="327"/>
      <c r="B702" s="328"/>
      <c r="C702" s="328"/>
      <c r="D702" s="328" t="s">
        <v>69</v>
      </c>
      <c r="E702" s="328">
        <v>1</v>
      </c>
      <c r="F702" s="328">
        <v>0</v>
      </c>
      <c r="G702" s="328"/>
      <c r="H702" s="329"/>
      <c r="I702" s="330" t="s">
        <v>1062</v>
      </c>
    </row>
    <row r="703" spans="1:9" x14ac:dyDescent="0.2">
      <c r="A703" s="327"/>
      <c r="B703" s="328"/>
      <c r="C703" s="328"/>
      <c r="D703" s="328" t="s">
        <v>69</v>
      </c>
      <c r="E703" s="328">
        <v>1</v>
      </c>
      <c r="F703" s="328">
        <v>0</v>
      </c>
      <c r="G703" s="328"/>
      <c r="H703" s="329"/>
      <c r="I703" s="330" t="s">
        <v>1063</v>
      </c>
    </row>
    <row r="704" spans="1:9" x14ac:dyDescent="0.2">
      <c r="A704" s="327"/>
      <c r="B704" s="328"/>
      <c r="C704" s="328"/>
      <c r="D704" s="328" t="s">
        <v>69</v>
      </c>
      <c r="E704" s="328">
        <v>1</v>
      </c>
      <c r="F704" s="328">
        <v>2</v>
      </c>
      <c r="G704" s="328"/>
      <c r="H704" s="329"/>
      <c r="I704" s="330" t="s">
        <v>1064</v>
      </c>
    </row>
    <row r="705" spans="1:9" x14ac:dyDescent="0.2">
      <c r="A705" s="327"/>
      <c r="B705" s="328"/>
      <c r="C705" s="328"/>
      <c r="D705" s="328" t="s">
        <v>69</v>
      </c>
      <c r="E705" s="328">
        <v>1</v>
      </c>
      <c r="F705" s="328">
        <v>3</v>
      </c>
      <c r="G705" s="328"/>
      <c r="H705" s="329"/>
      <c r="I705" s="330" t="s">
        <v>1065</v>
      </c>
    </row>
    <row r="706" spans="1:9" x14ac:dyDescent="0.2">
      <c r="A706" s="327"/>
      <c r="B706" s="328"/>
      <c r="C706" s="328"/>
      <c r="D706" s="328" t="s">
        <v>69</v>
      </c>
      <c r="E706" s="328">
        <v>1</v>
      </c>
      <c r="F706" s="328">
        <v>1</v>
      </c>
      <c r="G706" s="328"/>
      <c r="H706" s="329"/>
      <c r="I706" s="330" t="s">
        <v>1066</v>
      </c>
    </row>
    <row r="707" spans="1:9" x14ac:dyDescent="0.2">
      <c r="A707" s="327"/>
      <c r="B707" s="328"/>
      <c r="C707" s="328"/>
      <c r="D707" s="328" t="s">
        <v>69</v>
      </c>
      <c r="E707" s="328">
        <v>2</v>
      </c>
      <c r="F707" s="328">
        <v>32775</v>
      </c>
      <c r="G707" s="328"/>
      <c r="H707" s="329"/>
      <c r="I707" s="330" t="s">
        <v>1067</v>
      </c>
    </row>
    <row r="708" spans="1:9" x14ac:dyDescent="0.2">
      <c r="A708" s="327"/>
      <c r="B708" s="328"/>
      <c r="C708" s="328"/>
      <c r="D708" s="328" t="s">
        <v>70</v>
      </c>
      <c r="E708" s="328">
        <v>50</v>
      </c>
      <c r="F708" s="328" t="s">
        <v>644</v>
      </c>
      <c r="G708" s="328"/>
      <c r="H708" s="329"/>
      <c r="I708" s="330" t="s">
        <v>1068</v>
      </c>
    </row>
    <row r="709" spans="1:9" x14ac:dyDescent="0.2">
      <c r="A709" s="327"/>
      <c r="B709" s="328"/>
      <c r="C709" s="328"/>
      <c r="D709" s="328" t="s">
        <v>70</v>
      </c>
      <c r="E709" s="328">
        <v>50</v>
      </c>
      <c r="F709" s="328"/>
      <c r="G709" s="328"/>
      <c r="H709" s="329"/>
      <c r="I709" s="330" t="s">
        <v>1069</v>
      </c>
    </row>
    <row r="710" spans="1:9" x14ac:dyDescent="0.2">
      <c r="A710" s="327"/>
      <c r="B710" s="328"/>
      <c r="C710" s="328"/>
      <c r="D710" s="328" t="s">
        <v>70</v>
      </c>
      <c r="E710" s="328">
        <v>50</v>
      </c>
      <c r="F710" s="328"/>
      <c r="G710" s="328"/>
      <c r="H710" s="329"/>
      <c r="I710" s="330" t="s">
        <v>1070</v>
      </c>
    </row>
    <row r="711" spans="1:9" x14ac:dyDescent="0.2">
      <c r="A711" s="327"/>
      <c r="B711" s="328"/>
      <c r="C711" s="328"/>
      <c r="D711" s="328" t="s">
        <v>70</v>
      </c>
      <c r="E711" s="328">
        <v>754</v>
      </c>
      <c r="F711" s="328"/>
      <c r="G711" s="328"/>
      <c r="H711" s="329"/>
      <c r="I711" s="330" t="s">
        <v>716</v>
      </c>
    </row>
    <row r="712" spans="1:9" x14ac:dyDescent="0.2">
      <c r="A712" s="327" t="s">
        <v>1071</v>
      </c>
      <c r="B712" s="328" t="s">
        <v>1072</v>
      </c>
      <c r="C712" s="328" t="s">
        <v>90</v>
      </c>
      <c r="D712" s="328"/>
      <c r="E712" s="328"/>
      <c r="F712" s="328"/>
      <c r="G712" s="328" t="s">
        <v>239</v>
      </c>
      <c r="H712" s="329"/>
      <c r="I712" s="330">
        <v>71581</v>
      </c>
    </row>
    <row r="713" spans="1:9" x14ac:dyDescent="0.2">
      <c r="A713" s="327"/>
      <c r="B713" s="328"/>
      <c r="C713" s="328"/>
      <c r="D713" s="328" t="s">
        <v>69</v>
      </c>
      <c r="E713" s="328">
        <v>1</v>
      </c>
      <c r="F713" s="328"/>
      <c r="G713" s="328"/>
      <c r="H713" s="329"/>
      <c r="I713" s="330" t="s">
        <v>943</v>
      </c>
    </row>
    <row r="714" spans="1:9" x14ac:dyDescent="0.2">
      <c r="A714" s="327"/>
      <c r="B714" s="328"/>
      <c r="C714" s="328"/>
      <c r="D714" s="328" t="s">
        <v>69</v>
      </c>
      <c r="E714" s="328">
        <v>4</v>
      </c>
      <c r="F714" s="328"/>
      <c r="G714" s="328"/>
      <c r="H714" s="329"/>
      <c r="I714" s="330" t="s">
        <v>1073</v>
      </c>
    </row>
    <row r="715" spans="1:9" x14ac:dyDescent="0.2">
      <c r="A715" s="327"/>
      <c r="B715" s="328"/>
      <c r="C715" s="328"/>
      <c r="D715" s="328" t="s">
        <v>69</v>
      </c>
      <c r="E715" s="328">
        <v>4</v>
      </c>
      <c r="F715" s="328"/>
      <c r="G715" s="328"/>
      <c r="H715" s="329"/>
      <c r="I715" s="330" t="s">
        <v>1074</v>
      </c>
    </row>
    <row r="716" spans="1:9" x14ac:dyDescent="0.2">
      <c r="A716" s="327"/>
      <c r="B716" s="328"/>
      <c r="C716" s="328"/>
      <c r="D716" s="328" t="s">
        <v>69</v>
      </c>
      <c r="E716" s="328">
        <v>2</v>
      </c>
      <c r="F716" s="328"/>
      <c r="G716" s="328"/>
      <c r="H716" s="329"/>
      <c r="I716" s="330" t="s">
        <v>1075</v>
      </c>
    </row>
    <row r="717" spans="1:9" x14ac:dyDescent="0.2">
      <c r="A717" s="327"/>
      <c r="B717" s="328"/>
      <c r="C717" s="328"/>
      <c r="D717" s="328" t="s">
        <v>69</v>
      </c>
      <c r="E717" s="328">
        <v>2</v>
      </c>
      <c r="F717" s="328"/>
      <c r="G717" s="328"/>
      <c r="H717" s="329"/>
      <c r="I717" s="330" t="s">
        <v>1076</v>
      </c>
    </row>
    <row r="718" spans="1:9" x14ac:dyDescent="0.2">
      <c r="A718" s="327"/>
      <c r="B718" s="328"/>
      <c r="C718" s="328"/>
      <c r="D718" s="328" t="s">
        <v>69</v>
      </c>
      <c r="E718" s="328">
        <v>499</v>
      </c>
      <c r="F718" s="328"/>
      <c r="G718" s="328"/>
      <c r="H718" s="329"/>
      <c r="I718" s="330" t="s">
        <v>1077</v>
      </c>
    </row>
    <row r="719" spans="1:9" x14ac:dyDescent="0.2">
      <c r="A719" s="327" t="s">
        <v>1078</v>
      </c>
      <c r="B719" s="328" t="s">
        <v>1079</v>
      </c>
      <c r="C719" s="328" t="s">
        <v>90</v>
      </c>
      <c r="D719" s="328"/>
      <c r="E719" s="328"/>
      <c r="F719" s="328"/>
      <c r="G719" s="328" t="s">
        <v>239</v>
      </c>
      <c r="H719" s="329"/>
      <c r="I719" s="330">
        <v>71545</v>
      </c>
    </row>
    <row r="720" spans="1:9" x14ac:dyDescent="0.2">
      <c r="A720" s="327"/>
      <c r="B720" s="328"/>
      <c r="C720" s="328"/>
      <c r="D720" s="328" t="s">
        <v>69</v>
      </c>
      <c r="E720" s="328">
        <v>1</v>
      </c>
      <c r="F720" s="328">
        <v>0</v>
      </c>
      <c r="G720" s="328"/>
      <c r="H720" s="329"/>
      <c r="I720" s="330" t="s">
        <v>587</v>
      </c>
    </row>
    <row r="721" spans="1:9" x14ac:dyDescent="0.2">
      <c r="A721" s="327" t="s">
        <v>1080</v>
      </c>
      <c r="B721" s="328" t="s">
        <v>1081</v>
      </c>
      <c r="C721" s="328" t="s">
        <v>90</v>
      </c>
      <c r="D721" s="328"/>
      <c r="E721" s="328"/>
      <c r="F721" s="328"/>
      <c r="G721" s="328" t="s">
        <v>239</v>
      </c>
      <c r="H721" s="329"/>
      <c r="I721" s="330">
        <v>71544</v>
      </c>
    </row>
    <row r="722" spans="1:9" x14ac:dyDescent="0.2">
      <c r="A722" s="327"/>
      <c r="B722" s="328"/>
      <c r="C722" s="328"/>
      <c r="D722" s="328" t="s">
        <v>69</v>
      </c>
      <c r="E722" s="328">
        <v>1</v>
      </c>
      <c r="F722" s="328">
        <v>0</v>
      </c>
      <c r="G722" s="328"/>
      <c r="H722" s="329"/>
      <c r="I722" s="330" t="s">
        <v>587</v>
      </c>
    </row>
    <row r="723" spans="1:9" x14ac:dyDescent="0.2">
      <c r="A723" s="327"/>
      <c r="B723" s="328"/>
      <c r="C723" s="328"/>
      <c r="D723" s="328" t="s">
        <v>70</v>
      </c>
      <c r="E723" s="328">
        <v>24</v>
      </c>
      <c r="F723" s="328"/>
      <c r="G723" s="328"/>
      <c r="H723" s="329"/>
      <c r="I723" s="330" t="s">
        <v>1082</v>
      </c>
    </row>
    <row r="724" spans="1:9" x14ac:dyDescent="0.2">
      <c r="A724" s="327" t="s">
        <v>1083</v>
      </c>
      <c r="B724" s="328" t="s">
        <v>1084</v>
      </c>
      <c r="C724" s="328" t="s">
        <v>90</v>
      </c>
      <c r="D724" s="328"/>
      <c r="E724" s="328"/>
      <c r="F724" s="328"/>
      <c r="G724" s="328" t="s">
        <v>239</v>
      </c>
      <c r="H724" s="329"/>
      <c r="I724" s="330">
        <v>71540</v>
      </c>
    </row>
    <row r="725" spans="1:9" x14ac:dyDescent="0.2">
      <c r="A725" s="327"/>
      <c r="B725" s="328"/>
      <c r="C725" s="328"/>
      <c r="D725" s="328" t="s">
        <v>69</v>
      </c>
      <c r="E725" s="328">
        <v>1</v>
      </c>
      <c r="F725" s="328">
        <v>0</v>
      </c>
      <c r="G725" s="328"/>
      <c r="H725" s="329"/>
      <c r="I725" s="330" t="s">
        <v>587</v>
      </c>
    </row>
    <row r="726" spans="1:9" x14ac:dyDescent="0.2">
      <c r="A726" s="327"/>
      <c r="B726" s="328"/>
      <c r="C726" s="328"/>
      <c r="D726" s="328" t="s">
        <v>69</v>
      </c>
      <c r="E726" s="328">
        <v>1</v>
      </c>
      <c r="F726" s="328">
        <v>0</v>
      </c>
      <c r="G726" s="328"/>
      <c r="H726" s="329"/>
      <c r="I726" s="330" t="s">
        <v>1085</v>
      </c>
    </row>
    <row r="727" spans="1:9" x14ac:dyDescent="0.2">
      <c r="A727" s="327"/>
      <c r="B727" s="328"/>
      <c r="C727" s="328"/>
      <c r="D727" s="328" t="s">
        <v>69</v>
      </c>
      <c r="E727" s="328">
        <v>509</v>
      </c>
      <c r="F727" s="328"/>
      <c r="G727" s="328"/>
      <c r="H727" s="329"/>
      <c r="I727" s="330" t="s">
        <v>716</v>
      </c>
    </row>
    <row r="728" spans="1:9" x14ac:dyDescent="0.2">
      <c r="A728" s="327" t="s">
        <v>1086</v>
      </c>
      <c r="B728" s="328" t="s">
        <v>1087</v>
      </c>
      <c r="C728" s="328" t="s">
        <v>90</v>
      </c>
      <c r="D728" s="328"/>
      <c r="E728" s="328"/>
      <c r="F728" s="328"/>
      <c r="G728" s="328" t="s">
        <v>239</v>
      </c>
      <c r="H728" s="329"/>
      <c r="I728" s="330">
        <v>71572</v>
      </c>
    </row>
    <row r="729" spans="1:9" x14ac:dyDescent="0.2">
      <c r="A729" s="327"/>
      <c r="B729" s="328"/>
      <c r="C729" s="328"/>
      <c r="D729" s="328" t="s">
        <v>69</v>
      </c>
      <c r="E729" s="328">
        <v>4</v>
      </c>
      <c r="F729" s="328">
        <v>6000</v>
      </c>
      <c r="G729" s="328"/>
      <c r="H729" s="329"/>
      <c r="I729" s="330" t="s">
        <v>1088</v>
      </c>
    </row>
    <row r="730" spans="1:9" x14ac:dyDescent="0.2">
      <c r="A730" s="327" t="s">
        <v>1089</v>
      </c>
      <c r="B730" s="328" t="s">
        <v>1090</v>
      </c>
      <c r="C730" s="328" t="s">
        <v>90</v>
      </c>
      <c r="D730" s="328"/>
      <c r="E730" s="328"/>
      <c r="F730" s="328"/>
      <c r="G730" s="328" t="s">
        <v>239</v>
      </c>
      <c r="H730" s="329"/>
      <c r="I730" s="330">
        <v>65958</v>
      </c>
    </row>
    <row r="731" spans="1:9" x14ac:dyDescent="0.2">
      <c r="A731" s="327"/>
      <c r="B731" s="328"/>
      <c r="C731" s="328"/>
      <c r="D731" s="328" t="s">
        <v>69</v>
      </c>
      <c r="E731" s="328">
        <v>2</v>
      </c>
      <c r="F731" s="328"/>
      <c r="G731" s="328"/>
      <c r="H731" s="329"/>
      <c r="I731" s="330" t="s">
        <v>1089</v>
      </c>
    </row>
    <row r="732" spans="1:9" x14ac:dyDescent="0.2">
      <c r="A732" s="327" t="s">
        <v>1091</v>
      </c>
      <c r="B732" s="328" t="s">
        <v>1092</v>
      </c>
      <c r="C732" s="328" t="s">
        <v>90</v>
      </c>
      <c r="D732" s="328"/>
      <c r="E732" s="328"/>
      <c r="F732" s="328"/>
      <c r="G732" s="328" t="s">
        <v>239</v>
      </c>
      <c r="H732" s="329"/>
      <c r="I732" s="330">
        <v>72553</v>
      </c>
    </row>
    <row r="733" spans="1:9" x14ac:dyDescent="0.2">
      <c r="A733" s="327"/>
      <c r="B733" s="328"/>
      <c r="C733" s="328"/>
      <c r="D733" s="328" t="s">
        <v>69</v>
      </c>
      <c r="E733" s="328">
        <v>1</v>
      </c>
      <c r="F733" s="328">
        <v>0</v>
      </c>
      <c r="G733" s="328"/>
      <c r="H733" s="329"/>
      <c r="I733" s="330" t="s">
        <v>1091</v>
      </c>
    </row>
    <row r="734" spans="1:9" x14ac:dyDescent="0.2">
      <c r="A734" s="327" t="s">
        <v>1093</v>
      </c>
      <c r="B734" s="328" t="s">
        <v>1094</v>
      </c>
      <c r="C734" s="328" t="s">
        <v>90</v>
      </c>
      <c r="D734" s="328"/>
      <c r="E734" s="328"/>
      <c r="F734" s="328"/>
      <c r="G734" s="328" t="s">
        <v>239</v>
      </c>
      <c r="H734" s="329"/>
      <c r="I734" s="330">
        <v>71597</v>
      </c>
    </row>
    <row r="735" spans="1:9" x14ac:dyDescent="0.2">
      <c r="A735" s="327"/>
      <c r="B735" s="328"/>
      <c r="C735" s="328"/>
      <c r="D735" s="328" t="s">
        <v>69</v>
      </c>
      <c r="E735" s="328">
        <v>1</v>
      </c>
      <c r="F735" s="328">
        <v>1</v>
      </c>
      <c r="G735" s="328"/>
      <c r="H735" s="329"/>
      <c r="I735" s="330" t="s">
        <v>587</v>
      </c>
    </row>
    <row r="736" spans="1:9" x14ac:dyDescent="0.2">
      <c r="A736" s="327"/>
      <c r="B736" s="328"/>
      <c r="C736" s="328"/>
      <c r="D736" s="328" t="s">
        <v>69</v>
      </c>
      <c r="E736" s="328">
        <v>1</v>
      </c>
      <c r="F736" s="328">
        <v>1</v>
      </c>
      <c r="G736" s="328"/>
      <c r="H736" s="329"/>
      <c r="I736" s="330" t="s">
        <v>1095</v>
      </c>
    </row>
    <row r="737" spans="1:9" x14ac:dyDescent="0.2">
      <c r="A737" s="327"/>
      <c r="B737" s="328"/>
      <c r="C737" s="328"/>
      <c r="D737" s="328" t="s">
        <v>69</v>
      </c>
      <c r="E737" s="328">
        <v>1</v>
      </c>
      <c r="F737" s="328">
        <v>1</v>
      </c>
      <c r="G737" s="328"/>
      <c r="H737" s="329"/>
      <c r="I737" s="330" t="s">
        <v>1096</v>
      </c>
    </row>
    <row r="738" spans="1:9" x14ac:dyDescent="0.2">
      <c r="A738" s="327"/>
      <c r="B738" s="328"/>
      <c r="C738" s="328"/>
      <c r="D738" s="328" t="s">
        <v>69</v>
      </c>
      <c r="E738" s="328">
        <v>1</v>
      </c>
      <c r="F738" s="328">
        <v>0</v>
      </c>
      <c r="G738" s="328"/>
      <c r="H738" s="329"/>
      <c r="I738" s="330" t="s">
        <v>1097</v>
      </c>
    </row>
    <row r="739" spans="1:9" x14ac:dyDescent="0.2">
      <c r="A739" s="327"/>
      <c r="B739" s="328"/>
      <c r="C739" s="328"/>
      <c r="D739" s="328" t="s">
        <v>69</v>
      </c>
      <c r="E739" s="328">
        <v>1</v>
      </c>
      <c r="F739" s="328">
        <v>0</v>
      </c>
      <c r="G739" s="328"/>
      <c r="H739" s="329"/>
      <c r="I739" s="330" t="s">
        <v>1098</v>
      </c>
    </row>
    <row r="740" spans="1:9" x14ac:dyDescent="0.2">
      <c r="A740" s="327"/>
      <c r="B740" s="328"/>
      <c r="C740" s="328"/>
      <c r="D740" s="328" t="s">
        <v>69</v>
      </c>
      <c r="E740" s="328">
        <v>27</v>
      </c>
      <c r="F740" s="328"/>
      <c r="G740" s="328"/>
      <c r="H740" s="329"/>
      <c r="I740" s="330" t="s">
        <v>716</v>
      </c>
    </row>
    <row r="741" spans="1:9" x14ac:dyDescent="0.2">
      <c r="A741" s="327" t="s">
        <v>1099</v>
      </c>
      <c r="B741" s="328" t="s">
        <v>1100</v>
      </c>
      <c r="C741" s="328" t="s">
        <v>71</v>
      </c>
      <c r="D741" s="328"/>
      <c r="E741" s="328"/>
      <c r="F741" s="328"/>
      <c r="G741" s="328" t="s">
        <v>239</v>
      </c>
      <c r="H741" s="329" t="s">
        <v>1235</v>
      </c>
      <c r="I741" s="330"/>
    </row>
    <row r="742" spans="1:9" x14ac:dyDescent="0.2">
      <c r="A742" s="327" t="s">
        <v>1101</v>
      </c>
      <c r="B742" s="328" t="s">
        <v>1102</v>
      </c>
      <c r="C742" s="328" t="s">
        <v>90</v>
      </c>
      <c r="D742" s="328"/>
      <c r="E742" s="328"/>
      <c r="F742" s="328"/>
      <c r="G742" s="328" t="s">
        <v>239</v>
      </c>
      <c r="H742" s="329"/>
      <c r="I742" s="330">
        <v>69689</v>
      </c>
    </row>
    <row r="743" spans="1:9" x14ac:dyDescent="0.2">
      <c r="A743" s="327"/>
      <c r="B743" s="328"/>
      <c r="C743" s="328"/>
      <c r="D743" s="328" t="s">
        <v>70</v>
      </c>
      <c r="E743" s="328">
        <v>1024</v>
      </c>
      <c r="F743" s="328"/>
      <c r="G743" s="328"/>
      <c r="H743" s="329"/>
      <c r="I743" s="330" t="s">
        <v>1103</v>
      </c>
    </row>
    <row r="744" spans="1:9" x14ac:dyDescent="0.2">
      <c r="A744" s="327" t="s">
        <v>1104</v>
      </c>
      <c r="B744" s="328" t="s">
        <v>1105</v>
      </c>
      <c r="C744" s="328" t="s">
        <v>90</v>
      </c>
      <c r="D744" s="328"/>
      <c r="E744" s="328"/>
      <c r="F744" s="328"/>
      <c r="G744" s="328" t="s">
        <v>239</v>
      </c>
      <c r="H744" s="329"/>
      <c r="I744" s="330">
        <v>67283</v>
      </c>
    </row>
    <row r="745" spans="1:9" x14ac:dyDescent="0.2">
      <c r="A745" s="327"/>
      <c r="B745" s="328"/>
      <c r="C745" s="328"/>
      <c r="D745" s="328" t="s">
        <v>69</v>
      </c>
      <c r="E745" s="328">
        <v>1</v>
      </c>
      <c r="F745" s="328">
        <v>1</v>
      </c>
      <c r="G745" s="328"/>
      <c r="H745" s="329"/>
      <c r="I745" s="330" t="s">
        <v>1106</v>
      </c>
    </row>
    <row r="746" spans="1:9" x14ac:dyDescent="0.2">
      <c r="A746" s="327" t="s">
        <v>1107</v>
      </c>
      <c r="B746" s="328" t="s">
        <v>1108</v>
      </c>
      <c r="C746" s="328" t="s">
        <v>90</v>
      </c>
      <c r="D746" s="328"/>
      <c r="E746" s="328"/>
      <c r="F746" s="328"/>
      <c r="G746" s="328" t="s">
        <v>239</v>
      </c>
      <c r="H746" s="329"/>
      <c r="I746" s="330">
        <v>67284</v>
      </c>
    </row>
    <row r="747" spans="1:9" x14ac:dyDescent="0.2">
      <c r="A747" s="327"/>
      <c r="B747" s="328"/>
      <c r="C747" s="328"/>
      <c r="D747" s="328" t="s">
        <v>69</v>
      </c>
      <c r="E747" s="328">
        <v>1</v>
      </c>
      <c r="F747" s="328">
        <v>1</v>
      </c>
      <c r="G747" s="328"/>
      <c r="H747" s="329"/>
      <c r="I747" s="330" t="s">
        <v>1109</v>
      </c>
    </row>
    <row r="748" spans="1:9" x14ac:dyDescent="0.2">
      <c r="A748" s="327" t="s">
        <v>1110</v>
      </c>
      <c r="B748" s="328" t="s">
        <v>1111</v>
      </c>
      <c r="C748" s="328" t="s">
        <v>90</v>
      </c>
      <c r="D748" s="328"/>
      <c r="E748" s="328"/>
      <c r="F748" s="328"/>
      <c r="G748" s="328" t="s">
        <v>79</v>
      </c>
      <c r="H748" s="329"/>
      <c r="I748" s="330">
        <v>73545</v>
      </c>
    </row>
    <row r="749" spans="1:9" x14ac:dyDescent="0.2">
      <c r="A749" s="327"/>
      <c r="B749" s="328"/>
      <c r="C749" s="328"/>
      <c r="D749" s="328" t="s">
        <v>69</v>
      </c>
      <c r="E749" s="328">
        <v>1</v>
      </c>
      <c r="F749" s="328">
        <v>0</v>
      </c>
      <c r="G749" s="328"/>
      <c r="H749" s="329"/>
      <c r="I749" s="330" t="s">
        <v>1112</v>
      </c>
    </row>
    <row r="750" spans="1:9" x14ac:dyDescent="0.2">
      <c r="A750" s="327"/>
      <c r="B750" s="328"/>
      <c r="C750" s="328"/>
      <c r="D750" s="328" t="s">
        <v>69</v>
      </c>
      <c r="E750" s="328">
        <v>1</v>
      </c>
      <c r="F750" s="328">
        <v>1</v>
      </c>
      <c r="G750" s="328"/>
      <c r="H750" s="329"/>
      <c r="I750" s="330" t="s">
        <v>1113</v>
      </c>
    </row>
    <row r="751" spans="1:9" x14ac:dyDescent="0.2">
      <c r="A751" s="327"/>
      <c r="B751" s="328"/>
      <c r="C751" s="328"/>
      <c r="D751" s="328" t="s">
        <v>69</v>
      </c>
      <c r="E751" s="328">
        <v>1</v>
      </c>
      <c r="F751" s="328">
        <v>1</v>
      </c>
      <c r="G751" s="328"/>
      <c r="H751" s="329"/>
      <c r="I751" s="330" t="s">
        <v>1114</v>
      </c>
    </row>
    <row r="752" spans="1:9" x14ac:dyDescent="0.2">
      <c r="A752" s="327"/>
      <c r="B752" s="328"/>
      <c r="C752" s="328"/>
      <c r="D752" s="328" t="s">
        <v>69</v>
      </c>
      <c r="E752" s="328">
        <v>1</v>
      </c>
      <c r="F752" s="328">
        <v>5</v>
      </c>
      <c r="G752" s="328"/>
      <c r="H752" s="329"/>
      <c r="I752" s="330" t="s">
        <v>1115</v>
      </c>
    </row>
    <row r="753" spans="1:9" x14ac:dyDescent="0.2">
      <c r="A753" s="327"/>
      <c r="B753" s="328"/>
      <c r="C753" s="328"/>
      <c r="D753" s="328" t="s">
        <v>69</v>
      </c>
      <c r="E753" s="328">
        <v>1</v>
      </c>
      <c r="F753" s="328">
        <v>0</v>
      </c>
      <c r="G753" s="328"/>
      <c r="H753" s="329"/>
      <c r="I753" s="330" t="s">
        <v>1116</v>
      </c>
    </row>
    <row r="754" spans="1:9" x14ac:dyDescent="0.2">
      <c r="A754" s="327"/>
      <c r="B754" s="328"/>
      <c r="C754" s="328"/>
      <c r="D754" s="328" t="s">
        <v>69</v>
      </c>
      <c r="E754" s="328">
        <v>1</v>
      </c>
      <c r="F754" s="328">
        <v>0</v>
      </c>
      <c r="G754" s="328"/>
      <c r="H754" s="329"/>
      <c r="I754" s="330" t="s">
        <v>1117</v>
      </c>
    </row>
    <row r="755" spans="1:9" x14ac:dyDescent="0.2">
      <c r="A755" s="327"/>
      <c r="B755" s="328"/>
      <c r="C755" s="328"/>
      <c r="D755" s="328" t="s">
        <v>69</v>
      </c>
      <c r="E755" s="328">
        <v>1</v>
      </c>
      <c r="F755" s="328">
        <v>0</v>
      </c>
      <c r="G755" s="328"/>
      <c r="H755" s="329"/>
      <c r="I755" s="330" t="s">
        <v>1118</v>
      </c>
    </row>
    <row r="756" spans="1:9" x14ac:dyDescent="0.2">
      <c r="A756" s="327"/>
      <c r="B756" s="328"/>
      <c r="C756" s="328"/>
      <c r="D756" s="328" t="s">
        <v>69</v>
      </c>
      <c r="E756" s="328">
        <v>1</v>
      </c>
      <c r="F756" s="328">
        <v>0</v>
      </c>
      <c r="G756" s="328"/>
      <c r="H756" s="329"/>
      <c r="I756" s="330" t="s">
        <v>1119</v>
      </c>
    </row>
    <row r="757" spans="1:9" x14ac:dyDescent="0.2">
      <c r="A757" s="327"/>
      <c r="B757" s="328"/>
      <c r="C757" s="328"/>
      <c r="D757" s="328" t="s">
        <v>69</v>
      </c>
      <c r="E757" s="328">
        <v>1</v>
      </c>
      <c r="F757" s="328">
        <v>0</v>
      </c>
      <c r="G757" s="328"/>
      <c r="H757" s="329"/>
      <c r="I757" s="330" t="s">
        <v>1120</v>
      </c>
    </row>
    <row r="758" spans="1:9" x14ac:dyDescent="0.2">
      <c r="A758" s="327"/>
      <c r="B758" s="328"/>
      <c r="C758" s="328"/>
      <c r="D758" s="328" t="s">
        <v>69</v>
      </c>
      <c r="E758" s="328">
        <v>1</v>
      </c>
      <c r="F758" s="328">
        <v>0</v>
      </c>
      <c r="G758" s="328"/>
      <c r="H758" s="329"/>
      <c r="I758" s="330" t="s">
        <v>1121</v>
      </c>
    </row>
    <row r="759" spans="1:9" x14ac:dyDescent="0.2">
      <c r="A759" s="327"/>
      <c r="B759" s="328"/>
      <c r="C759" s="328"/>
      <c r="D759" s="328" t="s">
        <v>69</v>
      </c>
      <c r="E759" s="328">
        <v>1</v>
      </c>
      <c r="F759" s="328">
        <v>0</v>
      </c>
      <c r="G759" s="328"/>
      <c r="H759" s="329"/>
      <c r="I759" s="330" t="s">
        <v>1122</v>
      </c>
    </row>
    <row r="760" spans="1:9" x14ac:dyDescent="0.2">
      <c r="A760" s="327" t="s">
        <v>1123</v>
      </c>
      <c r="B760" s="328" t="s">
        <v>1124</v>
      </c>
      <c r="C760" s="328" t="s">
        <v>90</v>
      </c>
      <c r="D760" s="328"/>
      <c r="E760" s="328"/>
      <c r="F760" s="328"/>
      <c r="G760" s="328" t="s">
        <v>239</v>
      </c>
      <c r="H760" s="329"/>
      <c r="I760" s="330">
        <v>70235</v>
      </c>
    </row>
    <row r="761" spans="1:9" x14ac:dyDescent="0.2">
      <c r="A761" s="327"/>
      <c r="B761" s="328"/>
      <c r="C761" s="328"/>
      <c r="D761" s="328" t="s">
        <v>69</v>
      </c>
      <c r="E761" s="328">
        <v>1</v>
      </c>
      <c r="F761" s="328">
        <v>5</v>
      </c>
      <c r="G761" s="328"/>
      <c r="H761" s="329"/>
      <c r="I761" s="330" t="s">
        <v>722</v>
      </c>
    </row>
    <row r="762" spans="1:9" x14ac:dyDescent="0.2">
      <c r="A762" s="327"/>
      <c r="B762" s="328"/>
      <c r="C762" s="328"/>
      <c r="D762" s="328" t="s">
        <v>69</v>
      </c>
      <c r="E762" s="328">
        <v>2</v>
      </c>
      <c r="F762" s="328">
        <v>60</v>
      </c>
      <c r="G762" s="328"/>
      <c r="H762" s="329"/>
      <c r="I762" s="330" t="s">
        <v>1125</v>
      </c>
    </row>
    <row r="763" spans="1:9" x14ac:dyDescent="0.2">
      <c r="A763" s="327"/>
      <c r="B763" s="328"/>
      <c r="C763" s="328"/>
      <c r="D763" s="328" t="s">
        <v>69</v>
      </c>
      <c r="E763" s="328">
        <v>2</v>
      </c>
      <c r="F763" s="328">
        <v>0</v>
      </c>
      <c r="G763" s="328"/>
      <c r="H763" s="329"/>
      <c r="I763" s="330" t="s">
        <v>1126</v>
      </c>
    </row>
    <row r="764" spans="1:9" x14ac:dyDescent="0.2">
      <c r="A764" s="327"/>
      <c r="B764" s="328"/>
      <c r="C764" s="328"/>
      <c r="D764" s="328" t="s">
        <v>69</v>
      </c>
      <c r="E764" s="328">
        <v>2</v>
      </c>
      <c r="F764" s="328">
        <v>0</v>
      </c>
      <c r="G764" s="328"/>
      <c r="H764" s="329"/>
      <c r="I764" s="330" t="s">
        <v>1127</v>
      </c>
    </row>
    <row r="765" spans="1:9" x14ac:dyDescent="0.2">
      <c r="A765" s="327"/>
      <c r="B765" s="328"/>
      <c r="C765" s="328"/>
      <c r="D765" s="328" t="s">
        <v>69</v>
      </c>
      <c r="E765" s="328">
        <v>1</v>
      </c>
      <c r="F765" s="328">
        <v>60</v>
      </c>
      <c r="G765" s="328"/>
      <c r="H765" s="329"/>
      <c r="I765" s="330" t="s">
        <v>1128</v>
      </c>
    </row>
    <row r="766" spans="1:9" x14ac:dyDescent="0.2">
      <c r="A766" s="327"/>
      <c r="B766" s="328"/>
      <c r="C766" s="328"/>
      <c r="D766" s="328" t="s">
        <v>69</v>
      </c>
      <c r="E766" s="328">
        <v>2</v>
      </c>
      <c r="F766" s="328">
        <v>0</v>
      </c>
      <c r="G766" s="328"/>
      <c r="H766" s="329"/>
      <c r="I766" s="330" t="s">
        <v>1129</v>
      </c>
    </row>
    <row r="767" spans="1:9" x14ac:dyDescent="0.2">
      <c r="A767" s="327"/>
      <c r="B767" s="328"/>
      <c r="C767" s="328"/>
      <c r="D767" s="328" t="s">
        <v>69</v>
      </c>
      <c r="E767" s="328">
        <v>2</v>
      </c>
      <c r="F767" s="328">
        <v>0</v>
      </c>
      <c r="G767" s="328"/>
      <c r="H767" s="329"/>
      <c r="I767" s="330" t="s">
        <v>1130</v>
      </c>
    </row>
    <row r="768" spans="1:9" x14ac:dyDescent="0.2">
      <c r="A768" s="327"/>
      <c r="B768" s="328"/>
      <c r="C768" s="328"/>
      <c r="D768" s="328" t="s">
        <v>69</v>
      </c>
      <c r="E768" s="328">
        <v>1</v>
      </c>
      <c r="F768" s="328">
        <v>2</v>
      </c>
      <c r="G768" s="328"/>
      <c r="H768" s="329"/>
      <c r="I768" s="330" t="s">
        <v>1131</v>
      </c>
    </row>
    <row r="769" spans="1:11" x14ac:dyDescent="0.2">
      <c r="A769" s="327"/>
      <c r="B769" s="328"/>
      <c r="C769" s="328"/>
      <c r="D769" s="328" t="s">
        <v>70</v>
      </c>
      <c r="E769" s="328">
        <v>1011</v>
      </c>
      <c r="F769" s="328"/>
      <c r="G769" s="328"/>
      <c r="H769" s="329"/>
      <c r="I769" s="330" t="s">
        <v>1219</v>
      </c>
    </row>
    <row r="770" spans="1:11" x14ac:dyDescent="0.2">
      <c r="A770" s="327" t="s">
        <v>1132</v>
      </c>
      <c r="B770" s="328" t="s">
        <v>1133</v>
      </c>
      <c r="C770" s="328" t="s">
        <v>90</v>
      </c>
      <c r="D770" s="328"/>
      <c r="E770" s="328"/>
      <c r="F770" s="328"/>
      <c r="G770" s="328" t="s">
        <v>79</v>
      </c>
      <c r="H770" s="329"/>
      <c r="I770" s="330">
        <v>66472</v>
      </c>
    </row>
    <row r="771" spans="1:11" x14ac:dyDescent="0.2">
      <c r="A771" s="327"/>
      <c r="B771" s="328"/>
      <c r="C771" s="328"/>
      <c r="D771" s="328" t="s">
        <v>69</v>
      </c>
      <c r="E771" s="328">
        <v>1</v>
      </c>
      <c r="F771" s="328">
        <v>1</v>
      </c>
      <c r="G771" s="328"/>
      <c r="H771" s="329"/>
      <c r="I771" s="330"/>
    </row>
    <row r="772" spans="1:11" ht="25.5" x14ac:dyDescent="0.2">
      <c r="A772" s="327" t="s">
        <v>1138</v>
      </c>
      <c r="B772" s="328" t="s">
        <v>1139</v>
      </c>
      <c r="C772" s="328" t="s">
        <v>90</v>
      </c>
      <c r="D772" s="328"/>
      <c r="E772" s="328"/>
      <c r="F772" s="328"/>
      <c r="G772" s="328" t="s">
        <v>239</v>
      </c>
      <c r="H772" s="329"/>
      <c r="I772" s="330">
        <v>70239</v>
      </c>
    </row>
    <row r="773" spans="1:11" x14ac:dyDescent="0.2">
      <c r="A773" s="327"/>
      <c r="B773" s="328"/>
      <c r="C773" s="328"/>
      <c r="D773" s="328" t="s">
        <v>69</v>
      </c>
      <c r="E773" s="328">
        <v>1</v>
      </c>
      <c r="F773" s="328">
        <v>3</v>
      </c>
      <c r="G773" s="328"/>
      <c r="H773" s="329"/>
      <c r="I773" s="330"/>
    </row>
    <row r="774" spans="1:11" x14ac:dyDescent="0.2">
      <c r="A774" s="327" t="s">
        <v>1208</v>
      </c>
      <c r="B774" s="328" t="s">
        <v>1209</v>
      </c>
      <c r="C774" s="328" t="s">
        <v>90</v>
      </c>
      <c r="D774" s="328"/>
      <c r="E774" s="328"/>
      <c r="F774" s="328"/>
      <c r="G774" s="328" t="s">
        <v>239</v>
      </c>
      <c r="H774" s="329"/>
      <c r="I774" s="330">
        <v>73825</v>
      </c>
    </row>
    <row r="775" spans="1:11" x14ac:dyDescent="0.2">
      <c r="A775" s="327"/>
      <c r="B775" s="328"/>
      <c r="C775" s="328"/>
      <c r="D775" s="328" t="s">
        <v>69</v>
      </c>
      <c r="E775" s="328">
        <v>1</v>
      </c>
      <c r="F775" s="328">
        <v>1</v>
      </c>
      <c r="G775" s="328"/>
      <c r="H775" s="329"/>
      <c r="I775" s="330"/>
    </row>
    <row r="776" spans="1:11" ht="17.25" x14ac:dyDescent="0.35">
      <c r="A776" s="362" t="s">
        <v>1225</v>
      </c>
      <c r="B776" s="363" t="s">
        <v>1226</v>
      </c>
      <c r="C776" s="11" t="s">
        <v>1229</v>
      </c>
      <c r="D776" s="11"/>
      <c r="E776" s="11"/>
      <c r="F776" s="11"/>
      <c r="G776" s="364" t="s">
        <v>239</v>
      </c>
      <c r="H776" s="365"/>
      <c r="I776" s="330">
        <v>73690</v>
      </c>
    </row>
    <row r="777" spans="1:11" ht="17.25" x14ac:dyDescent="0.35">
      <c r="A777" s="362"/>
      <c r="B777" s="363"/>
      <c r="C777" s="11"/>
      <c r="D777" s="11" t="s">
        <v>70</v>
      </c>
      <c r="E777" s="84">
        <v>1024</v>
      </c>
      <c r="F777" s="11" t="s">
        <v>1227</v>
      </c>
      <c r="G777" s="364"/>
      <c r="H777" s="365"/>
      <c r="I777" s="330" t="s">
        <v>1228</v>
      </c>
    </row>
    <row r="778" spans="1:11" s="141" customFormat="1" ht="17.25" x14ac:dyDescent="0.35">
      <c r="A778" s="327" t="s">
        <v>1385</v>
      </c>
      <c r="B778" s="328" t="s">
        <v>1386</v>
      </c>
      <c r="C778" s="328" t="s">
        <v>90</v>
      </c>
      <c r="D778" s="328"/>
      <c r="E778" s="328"/>
      <c r="F778" s="328"/>
      <c r="G778" s="328" t="s">
        <v>239</v>
      </c>
      <c r="H778" s="329"/>
      <c r="I778" s="452">
        <v>73538</v>
      </c>
      <c r="J778" s="81"/>
      <c r="K778" s="81"/>
    </row>
    <row r="779" spans="1:11" s="141" customFormat="1" ht="17.25" x14ac:dyDescent="0.35">
      <c r="A779" s="327"/>
      <c r="B779" s="328"/>
      <c r="C779" s="328"/>
      <c r="D779" s="328" t="s">
        <v>69</v>
      </c>
      <c r="E779" s="328">
        <v>1</v>
      </c>
      <c r="F779" s="328">
        <v>1</v>
      </c>
      <c r="G779" s="328"/>
      <c r="H779" s="329"/>
      <c r="I779" s="452" t="s">
        <v>1387</v>
      </c>
      <c r="J779" s="81"/>
      <c r="K779" s="81"/>
    </row>
    <row r="780" spans="1:11" s="141" customFormat="1" ht="17.25" x14ac:dyDescent="0.35">
      <c r="A780" s="327"/>
      <c r="B780" s="328"/>
      <c r="C780" s="328"/>
      <c r="D780" s="328" t="s">
        <v>69</v>
      </c>
      <c r="E780" s="328">
        <v>1</v>
      </c>
      <c r="F780" s="328">
        <v>1</v>
      </c>
      <c r="G780" s="328"/>
      <c r="H780" s="329"/>
      <c r="I780" s="452" t="s">
        <v>1388</v>
      </c>
      <c r="J780" s="81"/>
      <c r="K780" s="81"/>
    </row>
    <row r="782" spans="1:11" ht="13.5" thickBot="1" x14ac:dyDescent="0.25"/>
    <row r="783" spans="1:11" ht="19.5" x14ac:dyDescent="0.4">
      <c r="A783" s="524" t="s">
        <v>95</v>
      </c>
      <c r="B783" s="525"/>
      <c r="C783" s="525"/>
      <c r="D783" s="525"/>
      <c r="E783" s="525"/>
      <c r="F783" s="525"/>
      <c r="G783" s="525"/>
      <c r="H783" s="526"/>
      <c r="I783" s="17"/>
    </row>
    <row r="784" spans="1:11" ht="17.25" x14ac:dyDescent="0.35">
      <c r="A784" s="98" t="s">
        <v>112</v>
      </c>
      <c r="B784" s="98"/>
      <c r="C784" s="118" t="s">
        <v>67</v>
      </c>
      <c r="D784" s="98" t="s">
        <v>113</v>
      </c>
      <c r="E784" s="98" t="s">
        <v>114</v>
      </c>
      <c r="F784" s="118" t="s">
        <v>115</v>
      </c>
      <c r="G784" s="98" t="s">
        <v>74</v>
      </c>
      <c r="H784" s="99"/>
      <c r="I784" s="26"/>
    </row>
    <row r="785" spans="1:9" ht="17.25" x14ac:dyDescent="0.35">
      <c r="A785" s="98" t="s">
        <v>111</v>
      </c>
      <c r="B785" s="98"/>
      <c r="C785" s="95" t="s">
        <v>96</v>
      </c>
      <c r="D785" s="96"/>
      <c r="E785" s="96"/>
      <c r="F785" s="75"/>
      <c r="G785" s="96" t="s">
        <v>46</v>
      </c>
      <c r="H785" s="99"/>
      <c r="I785" s="26"/>
    </row>
    <row r="786" spans="1:9" ht="17.25" x14ac:dyDescent="0.35">
      <c r="A786" s="98" t="s">
        <v>97</v>
      </c>
      <c r="B786" s="98"/>
      <c r="C786" s="95"/>
      <c r="D786" s="96" t="s">
        <v>69</v>
      </c>
      <c r="E786" s="96">
        <v>1</v>
      </c>
      <c r="F786" s="75">
        <v>0</v>
      </c>
      <c r="G786" s="96"/>
      <c r="H786" s="99"/>
      <c r="I786" s="26"/>
    </row>
    <row r="787" spans="1:9" ht="17.25" x14ac:dyDescent="0.35">
      <c r="A787" s="98" t="s">
        <v>98</v>
      </c>
      <c r="B787" s="98"/>
      <c r="C787" s="95"/>
      <c r="D787" s="96" t="s">
        <v>69</v>
      </c>
      <c r="E787" s="96">
        <v>2</v>
      </c>
      <c r="F787" s="75">
        <v>2</v>
      </c>
      <c r="G787" s="96"/>
      <c r="H787" s="99"/>
      <c r="I787" s="26"/>
    </row>
    <row r="788" spans="1:9" ht="17.25" x14ac:dyDescent="0.35">
      <c r="A788" s="98" t="s">
        <v>99</v>
      </c>
      <c r="B788" s="98"/>
      <c r="C788" s="95"/>
      <c r="D788" s="96" t="s">
        <v>69</v>
      </c>
      <c r="E788" s="96">
        <v>2</v>
      </c>
      <c r="F788" s="75" t="s">
        <v>116</v>
      </c>
      <c r="G788" s="96"/>
      <c r="H788" s="99"/>
      <c r="I788" s="26"/>
    </row>
    <row r="789" spans="1:9" ht="17.25" x14ac:dyDescent="0.35">
      <c r="A789" s="98" t="s">
        <v>100</v>
      </c>
      <c r="B789" s="98"/>
      <c r="C789" s="95"/>
      <c r="D789" s="96" t="s">
        <v>69</v>
      </c>
      <c r="E789" s="96">
        <v>1</v>
      </c>
      <c r="F789" s="75" t="s">
        <v>4</v>
      </c>
      <c r="G789" s="96"/>
      <c r="H789" s="99"/>
      <c r="I789" s="26"/>
    </row>
    <row r="790" spans="1:9" ht="17.25" x14ac:dyDescent="0.35">
      <c r="A790" s="98" t="s">
        <v>101</v>
      </c>
      <c r="B790" s="98"/>
      <c r="C790" s="95"/>
      <c r="D790" s="96" t="s">
        <v>69</v>
      </c>
      <c r="E790" s="96">
        <v>2</v>
      </c>
      <c r="F790" s="75">
        <v>4</v>
      </c>
      <c r="G790" s="96"/>
      <c r="H790" s="99"/>
      <c r="I790" s="26"/>
    </row>
    <row r="791" spans="1:9" ht="17.25" x14ac:dyDescent="0.35">
      <c r="A791" s="51" t="s">
        <v>102</v>
      </c>
      <c r="B791" s="51"/>
      <c r="C791" s="21"/>
      <c r="D791" s="14" t="s">
        <v>69</v>
      </c>
      <c r="E791" s="14">
        <v>4</v>
      </c>
      <c r="F791" s="290" t="s">
        <v>1635</v>
      </c>
      <c r="G791" s="14"/>
      <c r="H791" s="52"/>
      <c r="I791" s="26"/>
    </row>
    <row r="792" spans="1:9" ht="17.25" x14ac:dyDescent="0.35">
      <c r="A792" s="98" t="s">
        <v>103</v>
      </c>
      <c r="B792" s="98"/>
      <c r="C792" s="95"/>
      <c r="D792" s="96" t="s">
        <v>69</v>
      </c>
      <c r="E792" s="96">
        <v>1</v>
      </c>
      <c r="F792" s="75" t="s">
        <v>5</v>
      </c>
      <c r="G792" s="96"/>
      <c r="H792" s="99"/>
      <c r="I792" s="26"/>
    </row>
    <row r="793" spans="1:9" ht="17.25" x14ac:dyDescent="0.35">
      <c r="A793" s="98" t="s">
        <v>104</v>
      </c>
      <c r="B793" s="98"/>
      <c r="C793" s="95"/>
      <c r="D793" s="96" t="s">
        <v>69</v>
      </c>
      <c r="E793" s="96">
        <v>2</v>
      </c>
      <c r="F793" s="75">
        <f>LEN(F794)</f>
        <v>15</v>
      </c>
      <c r="G793" s="96"/>
      <c r="H793" s="99"/>
      <c r="I793" s="26"/>
    </row>
    <row r="794" spans="1:9" ht="17.25" x14ac:dyDescent="0.35">
      <c r="A794" s="98" t="s">
        <v>105</v>
      </c>
      <c r="B794" s="98"/>
      <c r="C794" s="95"/>
      <c r="D794" s="96" t="s">
        <v>70</v>
      </c>
      <c r="E794" s="96">
        <f>F793</f>
        <v>15</v>
      </c>
      <c r="F794" s="75" t="s">
        <v>618</v>
      </c>
      <c r="G794" s="96"/>
      <c r="H794" s="99" t="s">
        <v>127</v>
      </c>
      <c r="I794" s="26"/>
    </row>
    <row r="795" spans="1:9" ht="17.25" x14ac:dyDescent="0.35">
      <c r="A795" s="98" t="s">
        <v>106</v>
      </c>
      <c r="B795" s="98"/>
      <c r="C795" s="95"/>
      <c r="D795" s="96" t="s">
        <v>69</v>
      </c>
      <c r="E795" s="96">
        <v>1</v>
      </c>
      <c r="F795" s="75" t="s">
        <v>117</v>
      </c>
      <c r="G795" s="96"/>
      <c r="H795" s="99"/>
      <c r="I795" s="26"/>
    </row>
    <row r="796" spans="1:9" ht="17.25" x14ac:dyDescent="0.35">
      <c r="A796" s="98" t="s">
        <v>107</v>
      </c>
      <c r="B796" s="98"/>
      <c r="C796" s="95"/>
      <c r="D796" s="96" t="s">
        <v>69</v>
      </c>
      <c r="E796" s="96">
        <v>2</v>
      </c>
      <c r="F796" s="75">
        <f>SUM(E797:E798)+E799*F798</f>
        <v>18</v>
      </c>
      <c r="G796" s="96"/>
      <c r="H796" s="99"/>
      <c r="I796" s="26"/>
    </row>
    <row r="797" spans="1:9" ht="17.25" x14ac:dyDescent="0.35">
      <c r="A797" s="98" t="s">
        <v>108</v>
      </c>
      <c r="B797" s="98"/>
      <c r="C797" s="95"/>
      <c r="D797" s="96" t="s">
        <v>69</v>
      </c>
      <c r="E797" s="96">
        <v>1</v>
      </c>
      <c r="F797" s="75">
        <v>0</v>
      </c>
      <c r="G797" s="96"/>
      <c r="H797" s="99"/>
      <c r="I797" s="26"/>
    </row>
    <row r="798" spans="1:9" ht="17.25" x14ac:dyDescent="0.35">
      <c r="A798" s="98" t="s">
        <v>109</v>
      </c>
      <c r="B798" s="98"/>
      <c r="C798" s="95"/>
      <c r="D798" s="96" t="s">
        <v>69</v>
      </c>
      <c r="E798" s="96">
        <v>1</v>
      </c>
      <c r="F798" s="75">
        <f>LEN(F799)-LEN(SUBSTITUTE(F799,",","")) +1</f>
        <v>4</v>
      </c>
      <c r="G798" s="96"/>
      <c r="H798" s="99"/>
      <c r="I798" s="26"/>
    </row>
    <row r="799" spans="1:9" ht="17.25" x14ac:dyDescent="0.35">
      <c r="A799" s="98" t="s">
        <v>110</v>
      </c>
      <c r="B799" s="98"/>
      <c r="C799" s="95"/>
      <c r="D799" s="96" t="s">
        <v>77</v>
      </c>
      <c r="E799" s="96">
        <v>4</v>
      </c>
      <c r="F799" s="75" t="s">
        <v>1176</v>
      </c>
      <c r="G799" s="96"/>
      <c r="H799" s="99"/>
      <c r="I799" s="26"/>
    </row>
    <row r="800" spans="1:9" ht="17.25" x14ac:dyDescent="0.35">
      <c r="A800" s="98" t="s">
        <v>454</v>
      </c>
      <c r="B800" s="98"/>
      <c r="C800" s="95"/>
      <c r="D800" s="96" t="s">
        <v>69</v>
      </c>
      <c r="E800" s="96">
        <v>1</v>
      </c>
      <c r="F800" s="75" t="s">
        <v>404</v>
      </c>
      <c r="G800" s="96"/>
      <c r="H800" s="99"/>
      <c r="I800" s="26"/>
    </row>
    <row r="801" spans="1:9" ht="17.25" x14ac:dyDescent="0.35">
      <c r="A801" s="98" t="s">
        <v>455</v>
      </c>
      <c r="B801" s="98"/>
      <c r="C801" s="95"/>
      <c r="D801" s="96" t="s">
        <v>69</v>
      </c>
      <c r="E801" s="96">
        <v>2</v>
      </c>
      <c r="F801" s="75">
        <v>4</v>
      </c>
      <c r="G801" s="96"/>
      <c r="H801" s="99"/>
      <c r="I801" s="26"/>
    </row>
    <row r="802" spans="1:9" ht="17.25" x14ac:dyDescent="0.35">
      <c r="A802" s="51" t="s">
        <v>456</v>
      </c>
      <c r="B802" s="51"/>
      <c r="C802" s="21"/>
      <c r="D802" s="14" t="s">
        <v>69</v>
      </c>
      <c r="E802" s="14">
        <v>4</v>
      </c>
      <c r="F802" s="293" t="str">
        <f>$F$791</f>
        <v>0x050113EB</v>
      </c>
      <c r="G802" s="14"/>
      <c r="H802" s="52"/>
      <c r="I802" s="26"/>
    </row>
    <row r="803" spans="1:9" ht="17.25" x14ac:dyDescent="0.35">
      <c r="A803" s="98" t="s">
        <v>558</v>
      </c>
      <c r="B803" s="98"/>
      <c r="C803" s="95"/>
      <c r="D803" s="96" t="s">
        <v>69</v>
      </c>
      <c r="E803" s="96">
        <v>1</v>
      </c>
      <c r="F803" s="75" t="s">
        <v>559</v>
      </c>
      <c r="G803" s="96"/>
      <c r="H803" s="99"/>
      <c r="I803" s="26"/>
    </row>
    <row r="804" spans="1:9" ht="17.25" x14ac:dyDescent="0.35">
      <c r="A804" s="98" t="s">
        <v>560</v>
      </c>
      <c r="B804" s="98"/>
      <c r="C804" s="95"/>
      <c r="D804" s="96" t="s">
        <v>69</v>
      </c>
      <c r="E804" s="96">
        <v>2</v>
      </c>
      <c r="F804" s="75">
        <f>2+F806*E807*2</f>
        <v>30</v>
      </c>
      <c r="G804" s="96"/>
      <c r="H804" s="99"/>
      <c r="I804" s="26"/>
    </row>
    <row r="805" spans="1:9" ht="17.25" x14ac:dyDescent="0.35">
      <c r="A805" s="98" t="s">
        <v>561</v>
      </c>
      <c r="B805" s="98"/>
      <c r="C805" s="95"/>
      <c r="D805" s="96" t="s">
        <v>69</v>
      </c>
      <c r="E805" s="96">
        <v>1</v>
      </c>
      <c r="F805" s="75">
        <v>0</v>
      </c>
      <c r="G805" s="96"/>
      <c r="H805" s="99" t="s">
        <v>562</v>
      </c>
      <c r="I805" s="26"/>
    </row>
    <row r="806" spans="1:9" ht="17.25" x14ac:dyDescent="0.35">
      <c r="A806" s="98" t="s">
        <v>563</v>
      </c>
      <c r="B806" s="98"/>
      <c r="C806" s="95"/>
      <c r="D806" s="96" t="s">
        <v>69</v>
      </c>
      <c r="E806" s="96">
        <v>1</v>
      </c>
      <c r="F806" s="75">
        <f>SUM(LEN(F807)-LEN(SUBSTITUTE(F807,"-","")))</f>
        <v>7</v>
      </c>
      <c r="G806" s="96"/>
      <c r="H806" s="99" t="s">
        <v>564</v>
      </c>
      <c r="I806" s="26"/>
    </row>
    <row r="807" spans="1:9" ht="17.25" x14ac:dyDescent="0.35">
      <c r="A807" s="98" t="s">
        <v>565</v>
      </c>
      <c r="B807" s="98"/>
      <c r="C807" s="95"/>
      <c r="D807" s="96" t="s">
        <v>77</v>
      </c>
      <c r="E807" s="96">
        <v>2</v>
      </c>
      <c r="F807" s="75" t="s">
        <v>1212</v>
      </c>
      <c r="G807" s="96"/>
      <c r="H807" s="99"/>
      <c r="I807" s="26"/>
    </row>
    <row r="808" spans="1:9" ht="17.25" x14ac:dyDescent="0.35">
      <c r="A808" s="366" t="s">
        <v>1189</v>
      </c>
      <c r="B808" s="366"/>
      <c r="C808" s="367"/>
      <c r="D808" s="368" t="s">
        <v>69</v>
      </c>
      <c r="E808" s="368">
        <v>1</v>
      </c>
      <c r="F808" s="370" t="s">
        <v>1190</v>
      </c>
      <c r="G808" s="368"/>
      <c r="H808" s="369"/>
    </row>
    <row r="809" spans="1:9" ht="17.25" x14ac:dyDescent="0.35">
      <c r="A809" s="366" t="s">
        <v>1191</v>
      </c>
      <c r="B809" s="366"/>
      <c r="C809" s="367"/>
      <c r="D809" s="368" t="s">
        <v>69</v>
      </c>
      <c r="E809" s="368">
        <v>2</v>
      </c>
      <c r="F809" s="370">
        <v>4</v>
      </c>
      <c r="G809" s="368"/>
      <c r="H809" s="369"/>
    </row>
    <row r="810" spans="1:9" ht="138" x14ac:dyDescent="0.35">
      <c r="A810" s="366" t="s">
        <v>1192</v>
      </c>
      <c r="B810" s="366"/>
      <c r="C810" s="367"/>
      <c r="D810" s="368" t="s">
        <v>69</v>
      </c>
      <c r="E810" s="368">
        <v>4</v>
      </c>
      <c r="F810" s="371" t="s">
        <v>1197</v>
      </c>
      <c r="G810" s="368"/>
      <c r="H810" s="369" t="s">
        <v>1194</v>
      </c>
    </row>
  </sheetData>
  <mergeCells count="2">
    <mergeCell ref="A4:H4"/>
    <mergeCell ref="A783:H783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pageSetUpPr autoPageBreaks="0"/>
  </sheetPr>
  <dimension ref="A1:P704"/>
  <sheetViews>
    <sheetView topLeftCell="A612" zoomScale="69" zoomScaleNormal="69" workbookViewId="0">
      <selection activeCell="B1" sqref="B1"/>
    </sheetView>
  </sheetViews>
  <sheetFormatPr defaultRowHeight="12.75" x14ac:dyDescent="0.2"/>
  <cols>
    <col min="1" max="1" width="45.28515625" style="31" customWidth="1"/>
    <col min="2" max="2" width="70.85546875" style="31" customWidth="1"/>
    <col min="3" max="3" width="15.28515625" style="18" bestFit="1" customWidth="1"/>
    <col min="4" max="4" width="13.85546875" style="31" bestFit="1" customWidth="1"/>
    <col min="5" max="5" width="30.28515625" style="31" customWidth="1"/>
    <col min="6" max="6" width="81.5703125" style="18" customWidth="1"/>
    <col min="7" max="7" width="14" style="31" bestFit="1" customWidth="1"/>
    <col min="8" max="8" width="87.85546875" style="510" bestFit="1" customWidth="1"/>
    <col min="9" max="9" width="60" style="31" customWidth="1"/>
    <col min="10" max="10" width="21.5703125" style="31" customWidth="1"/>
    <col min="11" max="11" width="24.28515625" style="31" customWidth="1"/>
    <col min="12" max="13" width="0" style="31" hidden="1" customWidth="1"/>
    <col min="14" max="16384" width="9.140625" style="31"/>
  </cols>
  <sheetData>
    <row r="1" spans="1:15" s="26" customFormat="1" x14ac:dyDescent="0.2">
      <c r="C1" s="382"/>
      <c r="F1" s="382"/>
      <c r="H1" s="383"/>
    </row>
    <row r="2" spans="1:15" s="34" customFormat="1" ht="27.75" x14ac:dyDescent="0.55000000000000004">
      <c r="A2" s="39" t="s">
        <v>1275</v>
      </c>
      <c r="B2" s="39"/>
      <c r="C2" s="39"/>
      <c r="D2" s="39"/>
      <c r="E2" s="39"/>
      <c r="F2" s="39"/>
      <c r="G2" s="39"/>
      <c r="H2" s="39"/>
    </row>
    <row r="3" spans="1:15" s="26" customFormat="1" ht="13.5" thickBot="1" x14ac:dyDescent="0.25">
      <c r="A3" s="13"/>
      <c r="C3" s="382"/>
      <c r="F3" s="382"/>
      <c r="H3" s="383"/>
    </row>
    <row r="4" spans="1:15" s="33" customFormat="1" ht="20.25" thickBot="1" x14ac:dyDescent="0.45">
      <c r="A4" s="384" t="s">
        <v>237</v>
      </c>
      <c r="B4" s="385"/>
      <c r="C4" s="385"/>
      <c r="D4" s="385"/>
      <c r="E4" s="385"/>
      <c r="F4" s="385"/>
      <c r="G4" s="385"/>
      <c r="H4" s="386"/>
    </row>
    <row r="5" spans="1:15" s="391" customFormat="1" ht="15.75" thickBot="1" x14ac:dyDescent="0.35">
      <c r="A5" s="387" t="s">
        <v>9</v>
      </c>
      <c r="B5" s="388" t="s">
        <v>8</v>
      </c>
      <c r="C5" s="387" t="s">
        <v>67</v>
      </c>
      <c r="D5" s="387" t="s">
        <v>1276</v>
      </c>
      <c r="E5" s="387" t="s">
        <v>10</v>
      </c>
      <c r="F5" s="387" t="s">
        <v>68</v>
      </c>
      <c r="G5" s="389" t="s">
        <v>74</v>
      </c>
      <c r="H5" s="390" t="s">
        <v>11</v>
      </c>
    </row>
    <row r="6" spans="1:15" s="17" customFormat="1" ht="17.25" x14ac:dyDescent="0.35">
      <c r="A6" s="392" t="s">
        <v>39</v>
      </c>
      <c r="B6" s="393">
        <v>71</v>
      </c>
      <c r="C6" s="393"/>
      <c r="D6" s="393"/>
      <c r="E6" s="394" t="s">
        <v>40</v>
      </c>
      <c r="F6" s="395"/>
      <c r="G6" s="393" t="s">
        <v>239</v>
      </c>
      <c r="H6" s="396" t="s">
        <v>7</v>
      </c>
    </row>
    <row r="7" spans="1:15" s="17" customFormat="1" ht="86.25" x14ac:dyDescent="0.35">
      <c r="A7" s="397"/>
      <c r="B7" s="398"/>
      <c r="C7" s="398" t="s">
        <v>70</v>
      </c>
      <c r="D7" s="398">
        <v>13</v>
      </c>
      <c r="E7" s="399" t="s">
        <v>41</v>
      </c>
      <c r="F7" s="398" t="s">
        <v>1277</v>
      </c>
      <c r="G7" s="398"/>
      <c r="H7" s="400" t="s">
        <v>312</v>
      </c>
    </row>
    <row r="8" spans="1:15" s="17" customFormat="1" ht="17.25" x14ac:dyDescent="0.35">
      <c r="A8" s="401" t="s">
        <v>81</v>
      </c>
      <c r="B8" s="398">
        <v>880</v>
      </c>
      <c r="C8" s="398" t="s">
        <v>69</v>
      </c>
      <c r="D8" s="398">
        <v>1</v>
      </c>
      <c r="E8" s="402"/>
      <c r="F8" s="398">
        <v>1</v>
      </c>
      <c r="G8" s="398" t="s">
        <v>239</v>
      </c>
      <c r="H8" s="403"/>
    </row>
    <row r="9" spans="1:15" s="17" customFormat="1" ht="17.25" x14ac:dyDescent="0.35">
      <c r="A9" s="401" t="s">
        <v>82</v>
      </c>
      <c r="B9" s="398">
        <v>881</v>
      </c>
      <c r="C9" s="398" t="s">
        <v>69</v>
      </c>
      <c r="D9" s="398">
        <v>1</v>
      </c>
      <c r="E9" s="402"/>
      <c r="F9" s="398">
        <v>1</v>
      </c>
      <c r="G9" s="398" t="s">
        <v>239</v>
      </c>
      <c r="H9" s="403"/>
    </row>
    <row r="10" spans="1:15" s="17" customFormat="1" ht="17.25" x14ac:dyDescent="0.35">
      <c r="A10" s="401" t="s">
        <v>83</v>
      </c>
      <c r="B10" s="398">
        <v>882</v>
      </c>
      <c r="C10" s="398" t="s">
        <v>69</v>
      </c>
      <c r="D10" s="398">
        <v>1</v>
      </c>
      <c r="E10" s="402"/>
      <c r="F10" s="398">
        <v>0</v>
      </c>
      <c r="G10" s="398" t="s">
        <v>239</v>
      </c>
      <c r="H10" s="403"/>
    </row>
    <row r="11" spans="1:15" s="29" customFormat="1" ht="17.25" x14ac:dyDescent="0.35">
      <c r="A11" s="401" t="s">
        <v>1278</v>
      </c>
      <c r="B11" s="398">
        <v>3628</v>
      </c>
      <c r="C11" s="398" t="s">
        <v>69</v>
      </c>
      <c r="D11" s="398">
        <v>1</v>
      </c>
      <c r="E11" s="402" t="s">
        <v>1279</v>
      </c>
      <c r="F11" s="398">
        <v>0</v>
      </c>
      <c r="G11" s="398" t="s">
        <v>239</v>
      </c>
      <c r="H11" s="403" t="s">
        <v>1280</v>
      </c>
      <c r="I11" s="17"/>
      <c r="J11" s="391"/>
      <c r="K11" s="391"/>
      <c r="L11" s="391"/>
      <c r="M11" s="391"/>
      <c r="N11" s="391"/>
      <c r="O11" s="404"/>
    </row>
    <row r="12" spans="1:15" s="29" customFormat="1" ht="34.5" x14ac:dyDescent="0.35">
      <c r="A12" s="401" t="s">
        <v>1281</v>
      </c>
      <c r="B12" s="398">
        <v>3629</v>
      </c>
      <c r="C12" s="398" t="s">
        <v>69</v>
      </c>
      <c r="D12" s="398">
        <v>1</v>
      </c>
      <c r="E12" s="402" t="s">
        <v>1282</v>
      </c>
      <c r="F12" s="398">
        <v>0</v>
      </c>
      <c r="G12" s="398" t="s">
        <v>239</v>
      </c>
      <c r="H12" s="403" t="s">
        <v>1283</v>
      </c>
      <c r="I12" s="17"/>
      <c r="J12" s="391"/>
      <c r="K12" s="391"/>
      <c r="L12" s="391"/>
      <c r="M12" s="391"/>
      <c r="N12" s="391"/>
      <c r="O12" s="404"/>
    </row>
    <row r="13" spans="1:15" s="29" customFormat="1" ht="17.25" x14ac:dyDescent="0.35">
      <c r="A13" s="401" t="s">
        <v>1284</v>
      </c>
      <c r="B13" s="398">
        <v>4209</v>
      </c>
      <c r="C13" s="398" t="s">
        <v>69</v>
      </c>
      <c r="D13" s="398">
        <v>1</v>
      </c>
      <c r="E13" s="402" t="s">
        <v>1285</v>
      </c>
      <c r="F13" s="398">
        <v>0</v>
      </c>
      <c r="G13" s="398" t="s">
        <v>239</v>
      </c>
      <c r="H13" s="403" t="s">
        <v>1286</v>
      </c>
      <c r="I13" s="17"/>
      <c r="J13" s="391"/>
      <c r="K13" s="391"/>
      <c r="L13" s="391"/>
      <c r="M13" s="391"/>
      <c r="N13" s="391"/>
      <c r="O13" s="404"/>
    </row>
    <row r="14" spans="1:15" s="17" customFormat="1" ht="17.25" x14ac:dyDescent="0.35">
      <c r="A14" s="397" t="s">
        <v>47</v>
      </c>
      <c r="B14" s="398">
        <v>10</v>
      </c>
      <c r="C14" s="398"/>
      <c r="D14" s="398"/>
      <c r="E14" s="399" t="s">
        <v>48</v>
      </c>
      <c r="F14" s="405"/>
      <c r="G14" s="398" t="s">
        <v>238</v>
      </c>
      <c r="H14" s="406" t="s">
        <v>7</v>
      </c>
    </row>
    <row r="15" spans="1:15" s="17" customFormat="1" ht="17.25" x14ac:dyDescent="0.35">
      <c r="A15" s="397"/>
      <c r="B15" s="398"/>
      <c r="C15" s="398" t="s">
        <v>69</v>
      </c>
      <c r="D15" s="398">
        <v>1</v>
      </c>
      <c r="E15" s="399" t="s">
        <v>16</v>
      </c>
      <c r="F15" s="405">
        <v>0</v>
      </c>
      <c r="G15" s="398"/>
      <c r="H15" s="406"/>
    </row>
    <row r="16" spans="1:15" s="17" customFormat="1" ht="17.25" x14ac:dyDescent="0.35">
      <c r="A16" s="397"/>
      <c r="B16" s="398"/>
      <c r="C16" s="398" t="s">
        <v>69</v>
      </c>
      <c r="D16" s="398">
        <v>2</v>
      </c>
      <c r="E16" s="399" t="s">
        <v>49</v>
      </c>
      <c r="F16" s="405">
        <v>58</v>
      </c>
      <c r="G16" s="398"/>
      <c r="H16" s="406" t="s">
        <v>7</v>
      </c>
    </row>
    <row r="17" spans="1:15" s="17" customFormat="1" ht="17.25" x14ac:dyDescent="0.35">
      <c r="A17" s="397" t="s">
        <v>1287</v>
      </c>
      <c r="B17" s="398">
        <v>441</v>
      </c>
      <c r="C17" s="398"/>
      <c r="D17" s="398"/>
      <c r="E17" s="399"/>
      <c r="F17" s="405"/>
      <c r="G17" s="398" t="s">
        <v>238</v>
      </c>
      <c r="H17" s="406"/>
    </row>
    <row r="18" spans="1:15" s="17" customFormat="1" ht="17.25" x14ac:dyDescent="0.35">
      <c r="A18" s="397"/>
      <c r="B18" s="398"/>
      <c r="C18" s="398" t="s">
        <v>69</v>
      </c>
      <c r="D18" s="398">
        <v>1</v>
      </c>
      <c r="E18" s="399" t="s">
        <v>16</v>
      </c>
      <c r="F18" s="405">
        <v>0</v>
      </c>
      <c r="G18" s="398"/>
      <c r="H18" s="406"/>
    </row>
    <row r="19" spans="1:15" s="81" customFormat="1" ht="17.25" x14ac:dyDescent="0.35">
      <c r="A19" s="397"/>
      <c r="B19" s="398"/>
      <c r="C19" s="398" t="s">
        <v>69</v>
      </c>
      <c r="D19" s="398">
        <v>2</v>
      </c>
      <c r="E19" s="399" t="s">
        <v>119</v>
      </c>
      <c r="F19" s="405" t="s">
        <v>121</v>
      </c>
      <c r="G19" s="398"/>
      <c r="H19" s="406"/>
    </row>
    <row r="20" spans="1:15" s="17" customFormat="1" ht="17.25" x14ac:dyDescent="0.35">
      <c r="A20" s="397" t="s">
        <v>1288</v>
      </c>
      <c r="B20" s="398">
        <v>1896</v>
      </c>
      <c r="C20" s="398" t="s">
        <v>69</v>
      </c>
      <c r="D20" s="398">
        <v>1</v>
      </c>
      <c r="E20" s="399" t="s">
        <v>1289</v>
      </c>
      <c r="F20" s="405" t="s">
        <v>4</v>
      </c>
      <c r="G20" s="398" t="s">
        <v>239</v>
      </c>
      <c r="H20" s="406"/>
      <c r="J20" s="391"/>
      <c r="K20" s="391"/>
      <c r="L20" s="391"/>
      <c r="M20" s="391"/>
      <c r="N20" s="391"/>
      <c r="O20" s="391"/>
    </row>
    <row r="21" spans="1:15" s="81" customFormat="1" ht="34.5" x14ac:dyDescent="0.35">
      <c r="A21" s="407" t="s">
        <v>439</v>
      </c>
      <c r="B21" s="398">
        <v>1930</v>
      </c>
      <c r="C21" s="398" t="s">
        <v>69</v>
      </c>
      <c r="D21" s="398">
        <v>1</v>
      </c>
      <c r="E21" s="408" t="s">
        <v>438</v>
      </c>
      <c r="F21" s="398">
        <v>2</v>
      </c>
      <c r="G21" s="398" t="s">
        <v>239</v>
      </c>
      <c r="H21" s="409" t="s">
        <v>437</v>
      </c>
    </row>
    <row r="22" spans="1:15" s="81" customFormat="1" ht="34.5" x14ac:dyDescent="0.35">
      <c r="A22" s="407" t="s">
        <v>42</v>
      </c>
      <c r="B22" s="398">
        <v>1920</v>
      </c>
      <c r="C22" s="398" t="s">
        <v>69</v>
      </c>
      <c r="D22" s="398">
        <v>4</v>
      </c>
      <c r="E22" s="408" t="s">
        <v>43</v>
      </c>
      <c r="F22" s="398" t="s">
        <v>443</v>
      </c>
      <c r="G22" s="398" t="s">
        <v>239</v>
      </c>
      <c r="H22" s="409" t="s">
        <v>42</v>
      </c>
    </row>
    <row r="23" spans="1:15" s="81" customFormat="1" ht="17.25" x14ac:dyDescent="0.35">
      <c r="A23" s="407" t="s">
        <v>1290</v>
      </c>
      <c r="B23" s="398">
        <v>452</v>
      </c>
      <c r="C23" s="398" t="s">
        <v>69</v>
      </c>
      <c r="D23" s="398">
        <v>4</v>
      </c>
      <c r="E23" s="408" t="s">
        <v>201</v>
      </c>
      <c r="F23" s="398">
        <v>0</v>
      </c>
      <c r="G23" s="398" t="s">
        <v>239</v>
      </c>
      <c r="H23" s="409" t="s">
        <v>1290</v>
      </c>
    </row>
    <row r="24" spans="1:15" s="81" customFormat="1" ht="17.25" x14ac:dyDescent="0.35">
      <c r="A24" s="407" t="s">
        <v>172</v>
      </c>
      <c r="B24" s="398">
        <v>3758</v>
      </c>
      <c r="C24" s="398" t="s">
        <v>69</v>
      </c>
      <c r="D24" s="398">
        <v>1</v>
      </c>
      <c r="E24" s="408" t="s">
        <v>173</v>
      </c>
      <c r="F24" s="398">
        <v>1</v>
      </c>
      <c r="G24" s="398" t="s">
        <v>239</v>
      </c>
      <c r="H24" s="409" t="s">
        <v>172</v>
      </c>
    </row>
    <row r="25" spans="1:15" s="81" customFormat="1" ht="17.25" x14ac:dyDescent="0.35">
      <c r="A25" s="407" t="s">
        <v>1291</v>
      </c>
      <c r="B25" s="398">
        <v>6789</v>
      </c>
      <c r="C25" s="398" t="s">
        <v>69</v>
      </c>
      <c r="D25" s="398">
        <v>1</v>
      </c>
      <c r="E25" s="408" t="s">
        <v>1292</v>
      </c>
      <c r="F25" s="398" t="s">
        <v>1293</v>
      </c>
      <c r="G25" s="398" t="s">
        <v>239</v>
      </c>
      <c r="H25" s="409" t="s">
        <v>1291</v>
      </c>
    </row>
    <row r="26" spans="1:15" s="81" customFormat="1" ht="34.5" x14ac:dyDescent="0.35">
      <c r="A26" s="407" t="s">
        <v>1294</v>
      </c>
      <c r="B26" s="398">
        <v>6790</v>
      </c>
      <c r="C26" s="398" t="s">
        <v>69</v>
      </c>
      <c r="D26" s="398">
        <v>2</v>
      </c>
      <c r="E26" s="408" t="s">
        <v>1295</v>
      </c>
      <c r="F26" s="398">
        <v>0</v>
      </c>
      <c r="G26" s="398" t="s">
        <v>239</v>
      </c>
      <c r="H26" s="409" t="s">
        <v>1294</v>
      </c>
    </row>
    <row r="27" spans="1:15" s="81" customFormat="1" ht="17.25" x14ac:dyDescent="0.35">
      <c r="A27" s="407" t="s">
        <v>191</v>
      </c>
      <c r="B27" s="398">
        <v>4707</v>
      </c>
      <c r="C27" s="398" t="s">
        <v>69</v>
      </c>
      <c r="D27" s="398">
        <v>1</v>
      </c>
      <c r="E27" s="408" t="s">
        <v>192</v>
      </c>
      <c r="F27" s="398">
        <v>1</v>
      </c>
      <c r="G27" s="398" t="s">
        <v>239</v>
      </c>
      <c r="H27" s="409" t="s">
        <v>191</v>
      </c>
    </row>
    <row r="28" spans="1:15" s="81" customFormat="1" ht="17.25" x14ac:dyDescent="0.35">
      <c r="A28" s="407" t="s">
        <v>168</v>
      </c>
      <c r="B28" s="398">
        <v>3520</v>
      </c>
      <c r="C28" s="398" t="s">
        <v>69</v>
      </c>
      <c r="D28" s="398">
        <v>2</v>
      </c>
      <c r="E28" s="408" t="s">
        <v>169</v>
      </c>
      <c r="F28" s="398" t="s">
        <v>121</v>
      </c>
      <c r="G28" s="398" t="s">
        <v>239</v>
      </c>
      <c r="H28" s="409" t="s">
        <v>168</v>
      </c>
    </row>
    <row r="29" spans="1:15" s="81" customFormat="1" ht="17.25" x14ac:dyDescent="0.35">
      <c r="A29" s="407" t="s">
        <v>194</v>
      </c>
      <c r="B29" s="398">
        <v>4927</v>
      </c>
      <c r="C29" s="398" t="s">
        <v>69</v>
      </c>
      <c r="D29" s="398">
        <v>1</v>
      </c>
      <c r="E29" s="408" t="s">
        <v>195</v>
      </c>
      <c r="F29" s="398">
        <v>1</v>
      </c>
      <c r="G29" s="398" t="s">
        <v>239</v>
      </c>
      <c r="H29" s="409" t="s">
        <v>194</v>
      </c>
    </row>
    <row r="30" spans="1:15" s="81" customFormat="1" ht="17.25" x14ac:dyDescent="0.35">
      <c r="A30" s="407" t="s">
        <v>202</v>
      </c>
      <c r="B30" s="398">
        <v>4627</v>
      </c>
      <c r="C30" s="398" t="s">
        <v>69</v>
      </c>
      <c r="D30" s="398">
        <v>1</v>
      </c>
      <c r="E30" s="408" t="s">
        <v>203</v>
      </c>
      <c r="F30" s="398">
        <v>1</v>
      </c>
      <c r="G30" s="398" t="s">
        <v>239</v>
      </c>
      <c r="H30" s="409" t="s">
        <v>202</v>
      </c>
    </row>
    <row r="31" spans="1:15" s="410" customFormat="1" ht="17.25" x14ac:dyDescent="0.35">
      <c r="A31" s="407" t="s">
        <v>204</v>
      </c>
      <c r="B31" s="398">
        <v>4628</v>
      </c>
      <c r="C31" s="398" t="s">
        <v>69</v>
      </c>
      <c r="D31" s="398">
        <v>2</v>
      </c>
      <c r="E31" s="408" t="s">
        <v>205</v>
      </c>
      <c r="F31" s="398">
        <v>24</v>
      </c>
      <c r="G31" s="398" t="s">
        <v>239</v>
      </c>
      <c r="H31" s="409" t="s">
        <v>204</v>
      </c>
      <c r="I31" s="81"/>
      <c r="J31" s="81"/>
      <c r="K31" s="81"/>
      <c r="L31" s="81"/>
      <c r="M31" s="81"/>
      <c r="N31" s="81"/>
    </row>
    <row r="32" spans="1:15" s="410" customFormat="1" ht="34.5" x14ac:dyDescent="0.35">
      <c r="A32" s="407" t="s">
        <v>1296</v>
      </c>
      <c r="B32" s="398">
        <v>4629</v>
      </c>
      <c r="C32" s="398" t="s">
        <v>69</v>
      </c>
      <c r="D32" s="398">
        <v>1</v>
      </c>
      <c r="E32" s="408" t="s">
        <v>207</v>
      </c>
      <c r="F32" s="398">
        <v>3</v>
      </c>
      <c r="G32" s="398" t="s">
        <v>239</v>
      </c>
      <c r="H32" s="409" t="s">
        <v>1296</v>
      </c>
      <c r="I32" s="81"/>
      <c r="J32" s="81"/>
      <c r="K32" s="81"/>
      <c r="L32" s="81"/>
      <c r="M32" s="81"/>
      <c r="N32" s="81"/>
    </row>
    <row r="33" spans="1:16" s="410" customFormat="1" ht="34.5" x14ac:dyDescent="0.35">
      <c r="A33" s="407" t="s">
        <v>208</v>
      </c>
      <c r="B33" s="398">
        <v>4630</v>
      </c>
      <c r="C33" s="398" t="s">
        <v>69</v>
      </c>
      <c r="D33" s="398">
        <v>1</v>
      </c>
      <c r="E33" s="408" t="s">
        <v>209</v>
      </c>
      <c r="F33" s="398">
        <v>10</v>
      </c>
      <c r="G33" s="398" t="s">
        <v>239</v>
      </c>
      <c r="H33" s="409" t="s">
        <v>208</v>
      </c>
      <c r="I33" s="81"/>
      <c r="J33" s="81"/>
      <c r="K33" s="81"/>
      <c r="L33" s="81"/>
      <c r="M33" s="81"/>
      <c r="N33" s="81"/>
    </row>
    <row r="34" spans="1:16" s="410" customFormat="1" ht="34.5" x14ac:dyDescent="0.35">
      <c r="A34" s="407" t="s">
        <v>210</v>
      </c>
      <c r="B34" s="398">
        <v>4631</v>
      </c>
      <c r="C34" s="398" t="s">
        <v>69</v>
      </c>
      <c r="D34" s="398">
        <v>1</v>
      </c>
      <c r="E34" s="408" t="s">
        <v>211</v>
      </c>
      <c r="F34" s="398">
        <v>0</v>
      </c>
      <c r="G34" s="398" t="s">
        <v>239</v>
      </c>
      <c r="H34" s="409" t="s">
        <v>210</v>
      </c>
      <c r="I34" s="81"/>
      <c r="J34" s="81"/>
      <c r="K34" s="81"/>
      <c r="L34" s="81"/>
      <c r="M34" s="81"/>
      <c r="N34" s="81"/>
    </row>
    <row r="35" spans="1:16" s="410" customFormat="1" ht="17.25" x14ac:dyDescent="0.35">
      <c r="A35" s="407" t="s">
        <v>442</v>
      </c>
      <c r="B35" s="398">
        <v>7165</v>
      </c>
      <c r="C35" s="398" t="s">
        <v>69</v>
      </c>
      <c r="D35" s="398">
        <v>4</v>
      </c>
      <c r="E35" s="408" t="s">
        <v>1297</v>
      </c>
      <c r="F35" s="398" t="s">
        <v>1298</v>
      </c>
      <c r="G35" s="398" t="s">
        <v>239</v>
      </c>
      <c r="H35" s="409" t="s">
        <v>442</v>
      </c>
      <c r="I35" s="81"/>
      <c r="J35" s="81"/>
      <c r="K35" s="81"/>
      <c r="L35" s="81"/>
      <c r="M35" s="81"/>
      <c r="N35" s="81"/>
    </row>
    <row r="36" spans="1:16" s="410" customFormat="1" ht="17.25" x14ac:dyDescent="0.35">
      <c r="A36" s="411" t="s">
        <v>1299</v>
      </c>
      <c r="B36" s="398">
        <v>6792</v>
      </c>
      <c r="C36" s="398" t="s">
        <v>69</v>
      </c>
      <c r="D36" s="398">
        <v>4</v>
      </c>
      <c r="E36" s="412" t="s">
        <v>1300</v>
      </c>
      <c r="F36" s="398" t="s">
        <v>1301</v>
      </c>
      <c r="G36" s="398" t="s">
        <v>239</v>
      </c>
      <c r="H36" s="413"/>
      <c r="I36" s="81"/>
      <c r="J36" s="81"/>
      <c r="K36" s="81"/>
      <c r="L36" s="81"/>
      <c r="M36" s="81"/>
      <c r="N36" s="81"/>
    </row>
    <row r="37" spans="1:16" s="416" customFormat="1" ht="34.5" x14ac:dyDescent="0.35">
      <c r="A37" s="411" t="s">
        <v>1302</v>
      </c>
      <c r="B37" s="414">
        <v>4703</v>
      </c>
      <c r="C37" s="414"/>
      <c r="D37" s="414"/>
      <c r="E37" s="412" t="s">
        <v>1303</v>
      </c>
      <c r="F37" s="414"/>
      <c r="G37" s="414" t="s">
        <v>239</v>
      </c>
      <c r="H37" s="413"/>
      <c r="I37" s="415"/>
      <c r="J37" s="415"/>
      <c r="K37" s="415"/>
      <c r="L37" s="415"/>
      <c r="M37" s="415"/>
      <c r="N37" s="415"/>
    </row>
    <row r="38" spans="1:16" s="416" customFormat="1" ht="34.5" x14ac:dyDescent="0.35">
      <c r="A38" s="417"/>
      <c r="B38" s="414"/>
      <c r="C38" s="414" t="s">
        <v>70</v>
      </c>
      <c r="D38" s="414">
        <v>128</v>
      </c>
      <c r="E38" s="418" t="s">
        <v>1303</v>
      </c>
      <c r="F38" s="414" t="s">
        <v>1304</v>
      </c>
      <c r="G38" s="414"/>
      <c r="H38" s="419"/>
      <c r="I38" s="415"/>
      <c r="J38" s="415"/>
      <c r="K38" s="415"/>
      <c r="L38" s="415"/>
      <c r="M38" s="415"/>
      <c r="N38" s="415"/>
    </row>
    <row r="39" spans="1:16" s="416" customFormat="1" ht="17.25" x14ac:dyDescent="0.35">
      <c r="A39" s="420" t="s">
        <v>1305</v>
      </c>
      <c r="B39" s="414">
        <v>4265</v>
      </c>
      <c r="C39" s="414" t="s">
        <v>69</v>
      </c>
      <c r="D39" s="414">
        <v>1</v>
      </c>
      <c r="E39" s="421" t="s">
        <v>1306</v>
      </c>
      <c r="F39" s="414">
        <v>0</v>
      </c>
      <c r="G39" s="414" t="s">
        <v>239</v>
      </c>
      <c r="H39" s="419"/>
      <c r="I39" s="415"/>
      <c r="J39" s="415"/>
      <c r="K39" s="415"/>
      <c r="L39" s="415"/>
      <c r="M39" s="415"/>
      <c r="N39" s="415"/>
    </row>
    <row r="40" spans="1:16" s="416" customFormat="1" ht="17.25" x14ac:dyDescent="0.35">
      <c r="A40" s="420" t="s">
        <v>1307</v>
      </c>
      <c r="B40" s="414">
        <v>409</v>
      </c>
      <c r="C40" s="414" t="s">
        <v>69</v>
      </c>
      <c r="D40" s="414">
        <v>1</v>
      </c>
      <c r="E40" s="421" t="s">
        <v>1308</v>
      </c>
      <c r="F40" s="414">
        <v>3</v>
      </c>
      <c r="G40" s="414" t="s">
        <v>239</v>
      </c>
      <c r="H40" s="419"/>
      <c r="I40" s="415"/>
      <c r="J40" s="415"/>
      <c r="K40" s="415"/>
      <c r="L40" s="415"/>
      <c r="M40" s="415"/>
      <c r="N40" s="415"/>
    </row>
    <row r="41" spans="1:16" s="416" customFormat="1" ht="17.25" x14ac:dyDescent="0.35">
      <c r="A41" s="420" t="s">
        <v>178</v>
      </c>
      <c r="B41" s="414">
        <v>4228</v>
      </c>
      <c r="C41" s="414" t="s">
        <v>69</v>
      </c>
      <c r="D41" s="414">
        <v>1</v>
      </c>
      <c r="E41" s="421" t="s">
        <v>179</v>
      </c>
      <c r="F41" s="414">
        <v>1</v>
      </c>
      <c r="G41" s="414" t="s">
        <v>239</v>
      </c>
      <c r="H41" s="419"/>
      <c r="I41" s="415"/>
      <c r="J41" s="415"/>
      <c r="K41" s="415"/>
      <c r="L41" s="415"/>
      <c r="M41" s="415"/>
      <c r="N41" s="415"/>
    </row>
    <row r="42" spans="1:16" s="416" customFormat="1" ht="17.25" x14ac:dyDescent="0.35">
      <c r="A42" s="420" t="s">
        <v>1309</v>
      </c>
      <c r="B42" s="414">
        <v>4210</v>
      </c>
      <c r="C42" s="414" t="s">
        <v>69</v>
      </c>
      <c r="D42" s="414">
        <v>1</v>
      </c>
      <c r="E42" s="421" t="s">
        <v>1310</v>
      </c>
      <c r="F42" s="414">
        <v>7</v>
      </c>
      <c r="G42" s="414" t="s">
        <v>1311</v>
      </c>
      <c r="H42" s="422" t="s">
        <v>1312</v>
      </c>
      <c r="I42" s="415"/>
      <c r="J42" s="415"/>
      <c r="K42" s="415"/>
      <c r="L42" s="415"/>
      <c r="M42" s="415"/>
      <c r="N42" s="415"/>
    </row>
    <row r="43" spans="1:16" s="416" customFormat="1" ht="17.25" x14ac:dyDescent="0.35">
      <c r="A43" s="420" t="s">
        <v>1181</v>
      </c>
      <c r="B43" s="414">
        <v>850</v>
      </c>
      <c r="C43" s="414" t="s">
        <v>7</v>
      </c>
      <c r="D43" s="414" t="s">
        <v>7</v>
      </c>
      <c r="E43" s="421" t="s">
        <v>7</v>
      </c>
      <c r="F43" s="414" t="s">
        <v>7</v>
      </c>
      <c r="G43" s="414" t="s">
        <v>94</v>
      </c>
      <c r="H43" s="419"/>
      <c r="I43" s="423"/>
      <c r="J43" s="424"/>
      <c r="K43" s="424"/>
      <c r="L43" s="415"/>
      <c r="M43" s="423"/>
      <c r="N43" s="424"/>
      <c r="O43" s="425"/>
      <c r="P43" s="426"/>
    </row>
    <row r="44" spans="1:16" s="416" customFormat="1" ht="17.25" x14ac:dyDescent="0.35">
      <c r="A44" s="420"/>
      <c r="B44" s="414"/>
      <c r="C44" s="414" t="s">
        <v>69</v>
      </c>
      <c r="D44" s="414">
        <v>1</v>
      </c>
      <c r="E44" s="421" t="s">
        <v>16</v>
      </c>
      <c r="F44" s="414">
        <v>0</v>
      </c>
      <c r="G44" s="414"/>
      <c r="H44" s="419"/>
      <c r="I44" s="423"/>
      <c r="J44" s="424"/>
      <c r="K44" s="424"/>
      <c r="L44" s="415"/>
      <c r="M44" s="423"/>
      <c r="N44" s="424"/>
      <c r="O44" s="425"/>
      <c r="P44" s="426"/>
    </row>
    <row r="45" spans="1:16" s="416" customFormat="1" ht="17.25" x14ac:dyDescent="0.35">
      <c r="A45" s="420"/>
      <c r="B45" s="414"/>
      <c r="C45" s="414" t="s">
        <v>69</v>
      </c>
      <c r="D45" s="414">
        <v>2</v>
      </c>
      <c r="E45" s="421" t="s">
        <v>1182</v>
      </c>
      <c r="F45" s="414">
        <v>2</v>
      </c>
      <c r="G45" s="414"/>
      <c r="H45" s="419" t="s">
        <v>1183</v>
      </c>
      <c r="I45" s="423"/>
      <c r="J45" s="424"/>
      <c r="K45" s="424"/>
      <c r="L45" s="415"/>
      <c r="M45" s="423"/>
      <c r="N45" s="424"/>
      <c r="O45" s="425"/>
      <c r="P45" s="426"/>
    </row>
    <row r="46" spans="1:16" s="416" customFormat="1" ht="17.25" x14ac:dyDescent="0.35">
      <c r="A46" s="420" t="s">
        <v>1181</v>
      </c>
      <c r="B46" s="414">
        <v>850</v>
      </c>
      <c r="C46" s="414"/>
      <c r="D46" s="414"/>
      <c r="E46" s="421"/>
      <c r="F46" s="414"/>
      <c r="G46" s="414" t="s">
        <v>238</v>
      </c>
      <c r="H46" s="419"/>
      <c r="I46" s="423"/>
      <c r="J46" s="424"/>
      <c r="K46" s="424"/>
      <c r="L46" s="415"/>
      <c r="M46" s="423"/>
      <c r="N46" s="424"/>
      <c r="O46" s="425"/>
      <c r="P46" s="426"/>
    </row>
    <row r="47" spans="1:16" s="416" customFormat="1" ht="17.25" x14ac:dyDescent="0.35">
      <c r="A47" s="420"/>
      <c r="B47" s="414" t="s">
        <v>244</v>
      </c>
      <c r="C47" s="414" t="s">
        <v>69</v>
      </c>
      <c r="D47" s="414">
        <v>1</v>
      </c>
      <c r="E47" s="421" t="s">
        <v>244</v>
      </c>
      <c r="F47" s="414" t="s">
        <v>559</v>
      </c>
      <c r="G47" s="414"/>
      <c r="H47" s="419"/>
      <c r="I47" s="423"/>
      <c r="J47" s="424"/>
      <c r="K47" s="424"/>
      <c r="L47" s="415"/>
      <c r="M47" s="423"/>
      <c r="N47" s="424"/>
      <c r="O47" s="425"/>
      <c r="P47" s="426"/>
    </row>
    <row r="48" spans="1:16" s="416" customFormat="1" ht="17.25" x14ac:dyDescent="0.35">
      <c r="A48" s="420"/>
      <c r="B48" s="414"/>
      <c r="C48" s="414" t="s">
        <v>69</v>
      </c>
      <c r="D48" s="414">
        <v>1</v>
      </c>
      <c r="E48" s="421" t="s">
        <v>16</v>
      </c>
      <c r="F48" s="414">
        <v>0</v>
      </c>
      <c r="G48" s="414"/>
      <c r="H48" s="419"/>
      <c r="I48" s="423"/>
      <c r="J48" s="424"/>
      <c r="K48" s="424"/>
      <c r="L48" s="415"/>
      <c r="M48" s="423"/>
      <c r="N48" s="424"/>
      <c r="O48" s="425"/>
      <c r="P48" s="426"/>
    </row>
    <row r="49" spans="1:16" s="416" customFormat="1" ht="17.25" x14ac:dyDescent="0.35">
      <c r="A49" s="420"/>
      <c r="B49" s="414"/>
      <c r="C49" s="414" t="s">
        <v>69</v>
      </c>
      <c r="D49" s="414">
        <v>2</v>
      </c>
      <c r="E49" s="421" t="s">
        <v>1182</v>
      </c>
      <c r="F49" s="414">
        <v>0</v>
      </c>
      <c r="G49" s="414"/>
      <c r="H49" s="419" t="s">
        <v>1184</v>
      </c>
      <c r="I49" s="423"/>
      <c r="J49" s="424"/>
      <c r="K49" s="424"/>
      <c r="L49" s="415"/>
      <c r="M49" s="423"/>
      <c r="N49" s="424"/>
      <c r="O49" s="425"/>
      <c r="P49" s="426"/>
    </row>
    <row r="50" spans="1:16" s="416" customFormat="1" ht="18" thickBot="1" x14ac:dyDescent="0.4">
      <c r="A50" s="427"/>
      <c r="B50" s="428"/>
      <c r="C50" s="428"/>
      <c r="D50" s="428"/>
      <c r="E50" s="429"/>
      <c r="F50" s="428"/>
      <c r="G50" s="428"/>
      <c r="H50" s="430"/>
      <c r="I50" s="423"/>
      <c r="J50" s="424"/>
      <c r="K50" s="424"/>
      <c r="L50" s="415"/>
      <c r="M50" s="423"/>
      <c r="N50" s="424"/>
      <c r="O50" s="425"/>
      <c r="P50" s="426"/>
    </row>
    <row r="51" spans="1:16" s="410" customFormat="1" ht="15.75" thickBot="1" x14ac:dyDescent="0.35">
      <c r="A51" s="431"/>
      <c r="B51" s="432"/>
      <c r="C51" s="424"/>
      <c r="D51" s="415"/>
      <c r="E51" s="415"/>
      <c r="F51" s="424"/>
      <c r="G51" s="415"/>
      <c r="H51" s="433"/>
      <c r="I51" s="81"/>
      <c r="J51" s="81"/>
      <c r="K51" s="81"/>
      <c r="L51" s="81"/>
      <c r="M51" s="81"/>
      <c r="N51" s="81"/>
    </row>
    <row r="52" spans="1:16" s="145" customFormat="1" ht="20.25" thickBot="1" x14ac:dyDescent="0.45">
      <c r="A52" s="384" t="s">
        <v>73</v>
      </c>
      <c r="B52" s="385"/>
      <c r="C52" s="385"/>
      <c r="D52" s="385"/>
      <c r="E52" s="385"/>
      <c r="F52" s="385"/>
      <c r="G52" s="385"/>
      <c r="H52" s="434"/>
      <c r="I52" s="435"/>
      <c r="J52" s="56"/>
      <c r="K52" s="56"/>
      <c r="L52" s="56"/>
      <c r="M52" s="56"/>
      <c r="N52" s="56"/>
    </row>
    <row r="53" spans="1:16" s="141" customFormat="1" ht="15.75" thickBot="1" x14ac:dyDescent="0.35">
      <c r="A53" s="436" t="s">
        <v>56</v>
      </c>
      <c r="B53" s="436" t="s">
        <v>1313</v>
      </c>
      <c r="C53" s="436" t="s">
        <v>67</v>
      </c>
      <c r="D53" s="436" t="s">
        <v>76</v>
      </c>
      <c r="E53" s="436" t="s">
        <v>75</v>
      </c>
      <c r="F53" s="436" t="s">
        <v>68</v>
      </c>
      <c r="G53" s="436" t="s">
        <v>74</v>
      </c>
      <c r="H53" s="437" t="s">
        <v>1314</v>
      </c>
      <c r="I53" s="438" t="s">
        <v>57</v>
      </c>
      <c r="J53" s="81"/>
      <c r="K53" s="81"/>
    </row>
    <row r="54" spans="1:16" s="145" customFormat="1" ht="17.25" x14ac:dyDescent="0.35">
      <c r="A54" s="323" t="s">
        <v>555</v>
      </c>
      <c r="B54" s="324" t="s">
        <v>556</v>
      </c>
      <c r="C54" s="324" t="s">
        <v>1247</v>
      </c>
      <c r="D54" s="324"/>
      <c r="E54" s="324"/>
      <c r="F54" s="324"/>
      <c r="G54" s="324" t="s">
        <v>239</v>
      </c>
      <c r="H54" s="325" t="s">
        <v>1315</v>
      </c>
      <c r="I54" s="439">
        <v>73755</v>
      </c>
      <c r="J54" s="56"/>
      <c r="K54" s="56"/>
      <c r="L54" s="56"/>
      <c r="M54" s="56"/>
      <c r="N54" s="56"/>
    </row>
    <row r="55" spans="1:16" s="441" customFormat="1" ht="17.25" x14ac:dyDescent="0.35">
      <c r="A55" s="327" t="s">
        <v>1316</v>
      </c>
      <c r="B55" s="328" t="s">
        <v>1317</v>
      </c>
      <c r="C55" s="328" t="s">
        <v>71</v>
      </c>
      <c r="D55" s="328"/>
      <c r="E55" s="328"/>
      <c r="F55" s="328"/>
      <c r="G55" s="328" t="s">
        <v>239</v>
      </c>
      <c r="H55" s="329" t="s">
        <v>1318</v>
      </c>
      <c r="I55" s="440"/>
      <c r="J55" s="56"/>
      <c r="K55" s="56"/>
      <c r="L55" s="56"/>
      <c r="M55" s="56"/>
      <c r="N55" s="56"/>
    </row>
    <row r="56" spans="1:16" s="441" customFormat="1" ht="17.25" x14ac:dyDescent="0.35">
      <c r="A56" s="327" t="s">
        <v>1319</v>
      </c>
      <c r="B56" s="328" t="s">
        <v>1320</v>
      </c>
      <c r="C56" s="328" t="s">
        <v>71</v>
      </c>
      <c r="D56" s="328"/>
      <c r="E56" s="328"/>
      <c r="F56" s="328"/>
      <c r="G56" s="328" t="s">
        <v>239</v>
      </c>
      <c r="H56" s="329" t="s">
        <v>1321</v>
      </c>
      <c r="I56" s="440"/>
      <c r="J56" s="56"/>
      <c r="K56" s="56"/>
      <c r="L56" s="56"/>
      <c r="M56" s="56"/>
      <c r="N56" s="56"/>
    </row>
    <row r="57" spans="1:16" s="441" customFormat="1" ht="17.25" x14ac:dyDescent="0.35">
      <c r="A57" s="327" t="s">
        <v>1322</v>
      </c>
      <c r="B57" s="328" t="s">
        <v>1323</v>
      </c>
      <c r="C57" s="328" t="s">
        <v>90</v>
      </c>
      <c r="D57" s="328"/>
      <c r="E57" s="328"/>
      <c r="F57" s="328"/>
      <c r="G57" s="328" t="s">
        <v>239</v>
      </c>
      <c r="H57" s="329"/>
      <c r="I57" s="442">
        <v>67311</v>
      </c>
      <c r="J57" s="56"/>
      <c r="K57" s="56"/>
      <c r="L57" s="56"/>
      <c r="M57" s="56"/>
      <c r="N57" s="56"/>
    </row>
    <row r="58" spans="1:16" s="441" customFormat="1" ht="17.25" x14ac:dyDescent="0.35">
      <c r="A58" s="327"/>
      <c r="B58" s="328"/>
      <c r="C58" s="328"/>
      <c r="D58" s="328" t="s">
        <v>69</v>
      </c>
      <c r="E58" s="328">
        <v>8</v>
      </c>
      <c r="F58" s="328" t="s">
        <v>1324</v>
      </c>
      <c r="G58" s="328"/>
      <c r="H58" s="329"/>
      <c r="I58" s="442"/>
      <c r="J58" s="56"/>
      <c r="K58" s="56"/>
      <c r="L58" s="56"/>
      <c r="M58" s="56"/>
      <c r="N58" s="56"/>
    </row>
    <row r="59" spans="1:16" s="441" customFormat="1" ht="69" x14ac:dyDescent="0.35">
      <c r="A59" s="327" t="s">
        <v>1325</v>
      </c>
      <c r="B59" s="328" t="s">
        <v>429</v>
      </c>
      <c r="C59" s="328" t="s">
        <v>90</v>
      </c>
      <c r="D59" s="328"/>
      <c r="E59" s="328"/>
      <c r="F59" s="328"/>
      <c r="G59" s="328" t="s">
        <v>239</v>
      </c>
      <c r="H59" s="329"/>
      <c r="I59" s="443" t="s">
        <v>1326</v>
      </c>
      <c r="J59" s="56"/>
      <c r="K59" s="56"/>
      <c r="L59" s="56"/>
      <c r="M59" s="56"/>
      <c r="N59" s="56"/>
    </row>
    <row r="60" spans="1:16" s="441" customFormat="1" ht="362.25" x14ac:dyDescent="0.35">
      <c r="A60" s="327"/>
      <c r="B60" s="328"/>
      <c r="C60" s="328"/>
      <c r="D60" s="328" t="s">
        <v>428</v>
      </c>
      <c r="E60" s="328">
        <v>1</v>
      </c>
      <c r="F60" s="328" t="s">
        <v>1327</v>
      </c>
      <c r="G60" s="328" t="s">
        <v>7</v>
      </c>
      <c r="H60" s="329"/>
      <c r="I60" s="443" t="s">
        <v>1328</v>
      </c>
      <c r="J60" s="56"/>
      <c r="K60" s="56"/>
      <c r="L60" s="56"/>
      <c r="M60" s="56"/>
      <c r="N60" s="56"/>
    </row>
    <row r="61" spans="1:16" s="444" customFormat="1" ht="17.25" x14ac:dyDescent="0.35">
      <c r="A61" s="327" t="s">
        <v>1329</v>
      </c>
      <c r="B61" s="328" t="s">
        <v>1330</v>
      </c>
      <c r="C61" s="328" t="s">
        <v>71</v>
      </c>
      <c r="D61" s="328"/>
      <c r="E61" s="328"/>
      <c r="F61" s="328"/>
      <c r="G61" s="328" t="s">
        <v>239</v>
      </c>
      <c r="H61" s="329" t="s">
        <v>1331</v>
      </c>
      <c r="I61" s="442">
        <v>70189</v>
      </c>
    </row>
    <row r="62" spans="1:16" s="141" customFormat="1" ht="17.25" x14ac:dyDescent="0.35">
      <c r="A62" s="327" t="s">
        <v>1332</v>
      </c>
      <c r="B62" s="328" t="s">
        <v>1333</v>
      </c>
      <c r="C62" s="328" t="s">
        <v>90</v>
      </c>
      <c r="D62" s="328"/>
      <c r="E62" s="328"/>
      <c r="F62" s="328"/>
      <c r="G62" s="328" t="s">
        <v>239</v>
      </c>
      <c r="H62" s="329"/>
      <c r="I62" s="442">
        <v>65633</v>
      </c>
      <c r="J62" s="56"/>
      <c r="K62" s="56"/>
    </row>
    <row r="63" spans="1:16" s="141" customFormat="1" ht="17.25" x14ac:dyDescent="0.35">
      <c r="A63" s="327"/>
      <c r="B63" s="328"/>
      <c r="C63" s="328"/>
      <c r="D63" s="328" t="s">
        <v>69</v>
      </c>
      <c r="E63" s="328">
        <v>8</v>
      </c>
      <c r="F63" s="328" t="s">
        <v>1334</v>
      </c>
      <c r="G63" s="328"/>
      <c r="H63" s="329"/>
      <c r="I63" s="442" t="s">
        <v>7</v>
      </c>
      <c r="J63" s="81"/>
      <c r="K63" s="81"/>
    </row>
    <row r="64" spans="1:16" s="141" customFormat="1" ht="17.25" x14ac:dyDescent="0.35">
      <c r="A64" s="327" t="s">
        <v>1335</v>
      </c>
      <c r="B64" s="328" t="s">
        <v>1336</v>
      </c>
      <c r="C64" s="328" t="s">
        <v>90</v>
      </c>
      <c r="D64" s="328"/>
      <c r="E64" s="328"/>
      <c r="F64" s="328"/>
      <c r="G64" s="328" t="s">
        <v>239</v>
      </c>
      <c r="H64" s="329"/>
      <c r="I64" s="442">
        <v>66051</v>
      </c>
      <c r="J64" s="81"/>
      <c r="K64" s="81"/>
    </row>
    <row r="65" spans="1:14" s="445" customFormat="1" ht="17.25" x14ac:dyDescent="0.35">
      <c r="A65" s="327"/>
      <c r="B65" s="328"/>
      <c r="C65" s="328"/>
      <c r="D65" s="328" t="s">
        <v>69</v>
      </c>
      <c r="E65" s="328">
        <v>1</v>
      </c>
      <c r="F65" s="328">
        <v>1</v>
      </c>
      <c r="G65" s="328"/>
      <c r="H65" s="329"/>
      <c r="I65" s="442" t="s">
        <v>1337</v>
      </c>
      <c r="J65" s="81"/>
      <c r="K65" s="81"/>
      <c r="L65" s="141"/>
      <c r="M65" s="141"/>
      <c r="N65" s="141"/>
    </row>
    <row r="66" spans="1:14" s="445" customFormat="1" ht="17.25" x14ac:dyDescent="0.35">
      <c r="A66" s="327"/>
      <c r="B66" s="328"/>
      <c r="C66" s="328"/>
      <c r="D66" s="328" t="s">
        <v>69</v>
      </c>
      <c r="E66" s="328">
        <v>1</v>
      </c>
      <c r="F66" s="328">
        <v>0</v>
      </c>
      <c r="G66" s="328"/>
      <c r="H66" s="329"/>
      <c r="I66" s="442" t="s">
        <v>1338</v>
      </c>
      <c r="J66" s="81"/>
      <c r="K66" s="81"/>
      <c r="L66" s="141"/>
      <c r="M66" s="141"/>
      <c r="N66" s="141"/>
    </row>
    <row r="67" spans="1:14" s="141" customFormat="1" ht="17.25" x14ac:dyDescent="0.35">
      <c r="A67" s="327"/>
      <c r="B67" s="328"/>
      <c r="C67" s="328"/>
      <c r="D67" s="328" t="s">
        <v>69</v>
      </c>
      <c r="E67" s="328">
        <v>4</v>
      </c>
      <c r="F67" s="328" t="s">
        <v>46</v>
      </c>
      <c r="G67" s="328"/>
      <c r="H67" s="329"/>
      <c r="I67" s="442" t="s">
        <v>1339</v>
      </c>
      <c r="J67" s="81"/>
      <c r="K67" s="81"/>
    </row>
    <row r="68" spans="1:14" s="141" customFormat="1" ht="17.25" x14ac:dyDescent="0.35">
      <c r="A68" s="327"/>
      <c r="B68" s="328"/>
      <c r="C68" s="328"/>
      <c r="D68" s="328" t="s">
        <v>69</v>
      </c>
      <c r="E68" s="328">
        <v>4</v>
      </c>
      <c r="F68" s="328" t="s">
        <v>46</v>
      </c>
      <c r="G68" s="328"/>
      <c r="H68" s="329"/>
      <c r="I68" s="442" t="s">
        <v>1340</v>
      </c>
      <c r="J68" s="81"/>
      <c r="K68" s="81"/>
    </row>
    <row r="69" spans="1:14" s="141" customFormat="1" ht="17.25" x14ac:dyDescent="0.35">
      <c r="A69" s="327"/>
      <c r="B69" s="328"/>
      <c r="C69" s="328"/>
      <c r="D69" s="328" t="s">
        <v>69</v>
      </c>
      <c r="E69" s="328">
        <v>4</v>
      </c>
      <c r="F69" s="328" t="s">
        <v>46</v>
      </c>
      <c r="G69" s="328"/>
      <c r="H69" s="329"/>
      <c r="I69" s="442" t="s">
        <v>1341</v>
      </c>
      <c r="J69" s="81"/>
      <c r="K69" s="81"/>
    </row>
    <row r="70" spans="1:14" s="141" customFormat="1" ht="17.25" x14ac:dyDescent="0.35">
      <c r="A70" s="327"/>
      <c r="B70" s="328"/>
      <c r="C70" s="328"/>
      <c r="D70" s="328" t="s">
        <v>69</v>
      </c>
      <c r="E70" s="328">
        <v>4</v>
      </c>
      <c r="F70" s="328" t="s">
        <v>46</v>
      </c>
      <c r="G70" s="328"/>
      <c r="H70" s="329"/>
      <c r="I70" s="442" t="s">
        <v>1342</v>
      </c>
      <c r="J70" s="81"/>
      <c r="K70" s="81"/>
    </row>
    <row r="71" spans="1:14" s="141" customFormat="1" ht="17.25" x14ac:dyDescent="0.35">
      <c r="A71" s="327"/>
      <c r="B71" s="328"/>
      <c r="C71" s="328"/>
      <c r="D71" s="328" t="s">
        <v>69</v>
      </c>
      <c r="E71" s="328">
        <v>4</v>
      </c>
      <c r="F71" s="328" t="s">
        <v>46</v>
      </c>
      <c r="G71" s="328"/>
      <c r="H71" s="329"/>
      <c r="I71" s="442" t="s">
        <v>1343</v>
      </c>
      <c r="J71" s="81"/>
      <c r="K71" s="81"/>
    </row>
    <row r="72" spans="1:14" s="141" customFormat="1" ht="17.25" x14ac:dyDescent="0.35">
      <c r="A72" s="327"/>
      <c r="B72" s="328"/>
      <c r="C72" s="328"/>
      <c r="D72" s="328" t="s">
        <v>69</v>
      </c>
      <c r="E72" s="328">
        <v>4</v>
      </c>
      <c r="F72" s="328" t="s">
        <v>46</v>
      </c>
      <c r="G72" s="328"/>
      <c r="H72" s="329"/>
      <c r="I72" s="442" t="s">
        <v>1344</v>
      </c>
      <c r="J72" s="81"/>
      <c r="K72" s="81"/>
    </row>
    <row r="73" spans="1:14" s="445" customFormat="1" ht="17.25" x14ac:dyDescent="0.35">
      <c r="A73" s="327"/>
      <c r="B73" s="328"/>
      <c r="C73" s="328"/>
      <c r="D73" s="328" t="s">
        <v>69</v>
      </c>
      <c r="E73" s="328">
        <v>4</v>
      </c>
      <c r="F73" s="328" t="s">
        <v>46</v>
      </c>
      <c r="G73" s="328"/>
      <c r="H73" s="329"/>
      <c r="I73" s="442" t="s">
        <v>1345</v>
      </c>
      <c r="J73" s="81"/>
      <c r="K73" s="81"/>
      <c r="L73" s="141"/>
      <c r="M73" s="141"/>
      <c r="N73" s="141"/>
    </row>
    <row r="74" spans="1:14" s="445" customFormat="1" ht="17.25" x14ac:dyDescent="0.35">
      <c r="A74" s="327" t="s">
        <v>142</v>
      </c>
      <c r="B74" s="328" t="s">
        <v>141</v>
      </c>
      <c r="C74" s="328" t="s">
        <v>90</v>
      </c>
      <c r="D74" s="328"/>
      <c r="E74" s="328"/>
      <c r="F74" s="328"/>
      <c r="G74" s="328" t="s">
        <v>239</v>
      </c>
      <c r="H74" s="329"/>
      <c r="I74" s="442">
        <v>67208</v>
      </c>
      <c r="J74" s="81"/>
      <c r="K74" s="81"/>
      <c r="L74" s="141"/>
      <c r="M74" s="141"/>
      <c r="N74" s="141"/>
    </row>
    <row r="75" spans="1:14" s="141" customFormat="1" ht="17.25" x14ac:dyDescent="0.35">
      <c r="A75" s="327"/>
      <c r="B75" s="328"/>
      <c r="C75" s="328"/>
      <c r="D75" s="328" t="s">
        <v>69</v>
      </c>
      <c r="E75" s="328">
        <v>1</v>
      </c>
      <c r="F75" s="328">
        <v>1</v>
      </c>
      <c r="G75" s="328"/>
      <c r="H75" s="329"/>
      <c r="I75" s="442" t="s">
        <v>1346</v>
      </c>
      <c r="J75" s="81"/>
      <c r="K75" s="81"/>
    </row>
    <row r="76" spans="1:14" s="141" customFormat="1" ht="17.25" x14ac:dyDescent="0.35">
      <c r="A76" s="327" t="s">
        <v>1347</v>
      </c>
      <c r="B76" s="328" t="s">
        <v>517</v>
      </c>
      <c r="C76" s="328" t="s">
        <v>90</v>
      </c>
      <c r="D76" s="328"/>
      <c r="E76" s="328"/>
      <c r="F76" s="328"/>
      <c r="G76" s="328" t="s">
        <v>239</v>
      </c>
      <c r="H76" s="329"/>
      <c r="I76" s="446"/>
      <c r="J76" s="81"/>
      <c r="K76" s="81"/>
    </row>
    <row r="77" spans="1:14" s="141" customFormat="1" ht="17.25" x14ac:dyDescent="0.35">
      <c r="A77" s="327"/>
      <c r="B77" s="328"/>
      <c r="C77" s="328"/>
      <c r="D77" s="328" t="s">
        <v>69</v>
      </c>
      <c r="E77" s="328">
        <v>2</v>
      </c>
      <c r="F77" s="328" t="s">
        <v>1348</v>
      </c>
      <c r="G77" s="328"/>
      <c r="H77" s="329"/>
      <c r="I77" s="446" t="s">
        <v>1349</v>
      </c>
      <c r="J77" s="81"/>
      <c r="K77" s="81"/>
    </row>
    <row r="78" spans="1:14" s="141" customFormat="1" ht="17.25" x14ac:dyDescent="0.35">
      <c r="A78" s="327"/>
      <c r="B78" s="328"/>
      <c r="C78" s="328"/>
      <c r="D78" s="328" t="s">
        <v>69</v>
      </c>
      <c r="E78" s="328">
        <v>2</v>
      </c>
      <c r="F78" s="328" t="s">
        <v>1350</v>
      </c>
      <c r="G78" s="328"/>
      <c r="H78" s="329"/>
      <c r="I78" s="446" t="s">
        <v>1351</v>
      </c>
      <c r="J78" s="81"/>
      <c r="K78" s="81"/>
    </row>
    <row r="79" spans="1:14" s="141" customFormat="1" ht="17.25" x14ac:dyDescent="0.35">
      <c r="A79" s="327"/>
      <c r="B79" s="328"/>
      <c r="C79" s="328"/>
      <c r="D79" s="328" t="s">
        <v>69</v>
      </c>
      <c r="E79" s="328">
        <v>1</v>
      </c>
      <c r="F79" s="328" t="s">
        <v>79</v>
      </c>
      <c r="G79" s="328"/>
      <c r="H79" s="329"/>
      <c r="I79" s="446" t="s">
        <v>1352</v>
      </c>
      <c r="J79" s="81"/>
      <c r="K79" s="81"/>
    </row>
    <row r="80" spans="1:14" s="141" customFormat="1" ht="224.25" x14ac:dyDescent="0.35">
      <c r="A80" s="327"/>
      <c r="B80" s="328"/>
      <c r="C80" s="328"/>
      <c r="D80" s="328" t="s">
        <v>69</v>
      </c>
      <c r="E80" s="328">
        <v>1</v>
      </c>
      <c r="F80" s="328" t="s">
        <v>1353</v>
      </c>
      <c r="G80" s="328"/>
      <c r="H80" s="329"/>
      <c r="I80" s="446" t="s">
        <v>1354</v>
      </c>
      <c r="J80" s="81"/>
      <c r="K80" s="81"/>
    </row>
    <row r="81" spans="1:11" s="141" customFormat="1" ht="17.25" x14ac:dyDescent="0.35">
      <c r="A81" s="327"/>
      <c r="B81" s="328"/>
      <c r="C81" s="328"/>
      <c r="D81" s="328" t="s">
        <v>69</v>
      </c>
      <c r="E81" s="328">
        <v>1</v>
      </c>
      <c r="F81" s="328" t="s">
        <v>404</v>
      </c>
      <c r="G81" s="328"/>
      <c r="H81" s="329"/>
      <c r="I81" s="446"/>
      <c r="J81" s="81"/>
      <c r="K81" s="81"/>
    </row>
    <row r="82" spans="1:11" s="141" customFormat="1" ht="17.25" x14ac:dyDescent="0.35">
      <c r="A82" s="327"/>
      <c r="B82" s="328"/>
      <c r="C82" s="328"/>
      <c r="D82" s="328" t="s">
        <v>69</v>
      </c>
      <c r="E82" s="328">
        <v>1</v>
      </c>
      <c r="F82" s="328" t="s">
        <v>5</v>
      </c>
      <c r="G82" s="328"/>
      <c r="H82" s="329"/>
      <c r="I82" s="446"/>
      <c r="J82" s="81"/>
      <c r="K82" s="81"/>
    </row>
    <row r="83" spans="1:11" s="141" customFormat="1" ht="34.5" x14ac:dyDescent="0.35">
      <c r="A83" s="327" t="s">
        <v>420</v>
      </c>
      <c r="B83" s="328" t="s">
        <v>419</v>
      </c>
      <c r="C83" s="328" t="s">
        <v>71</v>
      </c>
      <c r="D83" s="328"/>
      <c r="E83" s="328"/>
      <c r="F83" s="328"/>
      <c r="G83" s="328" t="s">
        <v>239</v>
      </c>
      <c r="H83" s="329" t="s">
        <v>418</v>
      </c>
      <c r="I83" s="442" t="s">
        <v>1355</v>
      </c>
      <c r="J83" s="81"/>
      <c r="K83" s="81"/>
    </row>
    <row r="84" spans="1:11" s="141" customFormat="1" ht="17.25" x14ac:dyDescent="0.35">
      <c r="A84" s="327" t="s">
        <v>1356</v>
      </c>
      <c r="B84" s="328" t="s">
        <v>1357</v>
      </c>
      <c r="C84" s="328" t="s">
        <v>90</v>
      </c>
      <c r="D84" s="328"/>
      <c r="E84" s="328"/>
      <c r="F84" s="328"/>
      <c r="G84" s="328" t="s">
        <v>239</v>
      </c>
      <c r="H84" s="329"/>
      <c r="I84" s="447">
        <v>72542</v>
      </c>
      <c r="J84" s="81"/>
      <c r="K84" s="81"/>
    </row>
    <row r="85" spans="1:11" s="141" customFormat="1" ht="17.25" x14ac:dyDescent="0.35">
      <c r="A85" s="327"/>
      <c r="B85" s="328"/>
      <c r="C85" s="328"/>
      <c r="D85" s="328" t="s">
        <v>69</v>
      </c>
      <c r="E85" s="328">
        <v>4</v>
      </c>
      <c r="F85" s="328">
        <v>1</v>
      </c>
      <c r="G85" s="328"/>
      <c r="H85" s="329"/>
      <c r="I85" s="447" t="s">
        <v>587</v>
      </c>
      <c r="J85" s="81"/>
      <c r="K85" s="81"/>
    </row>
    <row r="86" spans="1:11" s="141" customFormat="1" ht="51.75" x14ac:dyDescent="0.35">
      <c r="A86" s="327"/>
      <c r="B86" s="328"/>
      <c r="C86" s="328"/>
      <c r="D86" s="328" t="s">
        <v>69</v>
      </c>
      <c r="E86" s="328">
        <v>4</v>
      </c>
      <c r="F86" s="328">
        <v>1</v>
      </c>
      <c r="G86" s="328"/>
      <c r="H86" s="329"/>
      <c r="I86" s="447" t="s">
        <v>1358</v>
      </c>
      <c r="J86" s="81"/>
      <c r="K86" s="81"/>
    </row>
    <row r="87" spans="1:11" s="141" customFormat="1" ht="17.25" x14ac:dyDescent="0.35">
      <c r="A87" s="327" t="s">
        <v>120</v>
      </c>
      <c r="B87" s="328" t="s">
        <v>91</v>
      </c>
      <c r="C87" s="328" t="s">
        <v>90</v>
      </c>
      <c r="D87" s="328"/>
      <c r="E87" s="328"/>
      <c r="F87" s="328"/>
      <c r="G87" s="328" t="s">
        <v>239</v>
      </c>
      <c r="H87" s="329"/>
      <c r="I87" s="442">
        <v>65777</v>
      </c>
      <c r="J87" s="81"/>
      <c r="K87" s="81"/>
    </row>
    <row r="88" spans="1:11" s="141" customFormat="1" ht="17.25" x14ac:dyDescent="0.35">
      <c r="A88" s="327"/>
      <c r="B88" s="328" t="s">
        <v>139</v>
      </c>
      <c r="C88" s="328"/>
      <c r="D88" s="328" t="s">
        <v>69</v>
      </c>
      <c r="E88" s="328">
        <v>1</v>
      </c>
      <c r="F88" s="328">
        <v>0</v>
      </c>
      <c r="G88" s="328"/>
      <c r="H88" s="329"/>
      <c r="I88" s="442"/>
      <c r="J88" s="81"/>
      <c r="K88" s="81"/>
    </row>
    <row r="89" spans="1:11" s="141" customFormat="1" ht="17.25" x14ac:dyDescent="0.35">
      <c r="A89" s="327" t="s">
        <v>1359</v>
      </c>
      <c r="B89" s="328" t="s">
        <v>401</v>
      </c>
      <c r="C89" s="328" t="s">
        <v>71</v>
      </c>
      <c r="D89" s="328"/>
      <c r="E89" s="328"/>
      <c r="F89" s="328"/>
      <c r="G89" s="328" t="s">
        <v>239</v>
      </c>
      <c r="H89" s="329" t="s">
        <v>1360</v>
      </c>
      <c r="I89" s="442"/>
      <c r="J89" s="81"/>
      <c r="K89" s="81"/>
    </row>
    <row r="90" spans="1:11" s="141" customFormat="1" ht="17.25" x14ac:dyDescent="0.35">
      <c r="A90" s="327" t="s">
        <v>1361</v>
      </c>
      <c r="B90" s="328" t="s">
        <v>1362</v>
      </c>
      <c r="C90" s="328" t="s">
        <v>90</v>
      </c>
      <c r="D90" s="328"/>
      <c r="E90" s="328"/>
      <c r="F90" s="328"/>
      <c r="G90" s="328" t="s">
        <v>239</v>
      </c>
      <c r="H90" s="329"/>
      <c r="I90" s="442">
        <v>69734</v>
      </c>
      <c r="J90" s="81"/>
      <c r="K90" s="81"/>
    </row>
    <row r="91" spans="1:11" s="141" customFormat="1" ht="17.25" x14ac:dyDescent="0.35">
      <c r="A91" s="327"/>
      <c r="B91" s="328" t="s">
        <v>139</v>
      </c>
      <c r="C91" s="328"/>
      <c r="D91" s="328" t="s">
        <v>69</v>
      </c>
      <c r="E91" s="328">
        <v>1</v>
      </c>
      <c r="F91" s="328">
        <v>1</v>
      </c>
      <c r="G91" s="328"/>
      <c r="H91" s="329"/>
      <c r="I91" s="442" t="s">
        <v>1363</v>
      </c>
      <c r="J91" s="81"/>
      <c r="K91" s="81"/>
    </row>
    <row r="92" spans="1:11" s="141" customFormat="1" ht="34.5" x14ac:dyDescent="0.35">
      <c r="A92" s="327" t="s">
        <v>1364</v>
      </c>
      <c r="B92" s="328" t="s">
        <v>1365</v>
      </c>
      <c r="C92" s="328" t="s">
        <v>71</v>
      </c>
      <c r="D92" s="328"/>
      <c r="E92" s="328"/>
      <c r="F92" s="328"/>
      <c r="G92" s="328" t="s">
        <v>239</v>
      </c>
      <c r="H92" s="329" t="s">
        <v>1366</v>
      </c>
      <c r="I92" s="442" t="s">
        <v>1367</v>
      </c>
      <c r="J92" s="81"/>
      <c r="K92" s="81"/>
    </row>
    <row r="93" spans="1:11" s="141" customFormat="1" ht="17.25" x14ac:dyDescent="0.35">
      <c r="A93" s="327" t="s">
        <v>521</v>
      </c>
      <c r="B93" s="328" t="s">
        <v>522</v>
      </c>
      <c r="C93" s="328" t="s">
        <v>71</v>
      </c>
      <c r="D93" s="328"/>
      <c r="E93" s="328"/>
      <c r="F93" s="328"/>
      <c r="G93" s="328" t="s">
        <v>239</v>
      </c>
      <c r="H93" s="329" t="s">
        <v>1368</v>
      </c>
      <c r="I93" s="442"/>
      <c r="J93" s="81"/>
      <c r="K93" s="81"/>
    </row>
    <row r="94" spans="1:11" s="141" customFormat="1" ht="17.25" x14ac:dyDescent="0.35">
      <c r="A94" s="327" t="s">
        <v>307</v>
      </c>
      <c r="B94" s="328" t="s">
        <v>308</v>
      </c>
      <c r="C94" s="328" t="s">
        <v>90</v>
      </c>
      <c r="D94" s="328"/>
      <c r="E94" s="328"/>
      <c r="F94" s="328"/>
      <c r="G94" s="328" t="s">
        <v>239</v>
      </c>
      <c r="H94" s="329"/>
      <c r="I94" s="448">
        <v>66048</v>
      </c>
      <c r="J94" s="81"/>
      <c r="K94" s="81"/>
    </row>
    <row r="95" spans="1:11" s="141" customFormat="1" ht="17.25" x14ac:dyDescent="0.35">
      <c r="A95" s="327" t="s">
        <v>139</v>
      </c>
      <c r="B95" s="328"/>
      <c r="C95" s="328"/>
      <c r="D95" s="328" t="s">
        <v>69</v>
      </c>
      <c r="E95" s="328">
        <v>1</v>
      </c>
      <c r="F95" s="328">
        <v>3</v>
      </c>
      <c r="G95" s="328"/>
      <c r="H95" s="329"/>
      <c r="I95" s="448"/>
      <c r="J95" s="81"/>
      <c r="K95" s="81"/>
    </row>
    <row r="96" spans="1:11" s="141" customFormat="1" ht="17.25" x14ac:dyDescent="0.35">
      <c r="A96" s="327" t="s">
        <v>1369</v>
      </c>
      <c r="B96" s="328" t="s">
        <v>1370</v>
      </c>
      <c r="C96" s="328" t="s">
        <v>90</v>
      </c>
      <c r="D96" s="328"/>
      <c r="E96" s="328"/>
      <c r="F96" s="328"/>
      <c r="G96" s="328" t="s">
        <v>239</v>
      </c>
      <c r="H96" s="329"/>
      <c r="I96" s="448"/>
      <c r="J96" s="81"/>
      <c r="K96" s="81"/>
    </row>
    <row r="97" spans="1:11" s="141" customFormat="1" ht="17.25" x14ac:dyDescent="0.35">
      <c r="A97" s="327"/>
      <c r="B97" s="328"/>
      <c r="C97" s="328"/>
      <c r="D97" s="328" t="s">
        <v>69</v>
      </c>
      <c r="E97" s="328">
        <v>1</v>
      </c>
      <c r="F97" s="328">
        <v>1</v>
      </c>
      <c r="G97" s="328"/>
      <c r="H97" s="329"/>
      <c r="I97" s="448"/>
      <c r="J97" s="81"/>
      <c r="K97" s="81"/>
    </row>
    <row r="98" spans="1:11" s="141" customFormat="1" ht="17.25" x14ac:dyDescent="0.35">
      <c r="A98" s="327" t="s">
        <v>1371</v>
      </c>
      <c r="B98" s="328" t="s">
        <v>1372</v>
      </c>
      <c r="C98" s="328" t="s">
        <v>90</v>
      </c>
      <c r="D98" s="328"/>
      <c r="E98" s="328"/>
      <c r="F98" s="328"/>
      <c r="G98" s="328" t="s">
        <v>239</v>
      </c>
      <c r="H98" s="329"/>
      <c r="I98" s="448">
        <v>67275</v>
      </c>
      <c r="J98" s="81"/>
      <c r="K98" s="81"/>
    </row>
    <row r="99" spans="1:11" s="141" customFormat="1" ht="17.25" x14ac:dyDescent="0.35">
      <c r="A99" s="327"/>
      <c r="B99" s="328"/>
      <c r="C99" s="328"/>
      <c r="D99" s="328" t="s">
        <v>69</v>
      </c>
      <c r="E99" s="328">
        <v>1</v>
      </c>
      <c r="F99" s="328">
        <v>1</v>
      </c>
      <c r="G99" s="328"/>
      <c r="H99" s="329"/>
      <c r="I99" s="448"/>
      <c r="J99" s="81"/>
      <c r="K99" s="81"/>
    </row>
    <row r="100" spans="1:11" s="141" customFormat="1" ht="17.25" x14ac:dyDescent="0.35">
      <c r="A100" s="327" t="s">
        <v>1373</v>
      </c>
      <c r="B100" s="328" t="s">
        <v>1374</v>
      </c>
      <c r="C100" s="328" t="s">
        <v>90</v>
      </c>
      <c r="D100" s="328"/>
      <c r="E100" s="328"/>
      <c r="F100" s="328"/>
      <c r="G100" s="328" t="s">
        <v>239</v>
      </c>
      <c r="H100" s="329"/>
      <c r="I100" s="449">
        <v>65674</v>
      </c>
      <c r="J100" s="81"/>
      <c r="K100" s="81"/>
    </row>
    <row r="101" spans="1:11" s="141" customFormat="1" ht="17.25" x14ac:dyDescent="0.35">
      <c r="A101" s="327"/>
      <c r="B101" s="328"/>
      <c r="C101" s="328"/>
      <c r="D101" s="328" t="s">
        <v>69</v>
      </c>
      <c r="E101" s="328">
        <v>4</v>
      </c>
      <c r="F101" s="328" t="s">
        <v>1375</v>
      </c>
      <c r="G101" s="328"/>
      <c r="H101" s="329"/>
      <c r="I101" s="449"/>
      <c r="J101" s="81"/>
      <c r="K101" s="81"/>
    </row>
    <row r="102" spans="1:11" s="141" customFormat="1" ht="17.25" x14ac:dyDescent="0.35">
      <c r="A102" s="327" t="s">
        <v>1376</v>
      </c>
      <c r="B102" s="328" t="s">
        <v>1377</v>
      </c>
      <c r="C102" s="328" t="s">
        <v>90</v>
      </c>
      <c r="D102" s="328"/>
      <c r="E102" s="328"/>
      <c r="F102" s="328"/>
      <c r="G102" s="328" t="s">
        <v>239</v>
      </c>
      <c r="H102" s="329"/>
      <c r="I102" s="442">
        <v>72510</v>
      </c>
      <c r="J102" s="81"/>
      <c r="K102" s="81"/>
    </row>
    <row r="103" spans="1:11" s="141" customFormat="1" ht="17.25" x14ac:dyDescent="0.35">
      <c r="A103" s="327"/>
      <c r="B103" s="328"/>
      <c r="C103" s="328"/>
      <c r="D103" s="328" t="s">
        <v>69</v>
      </c>
      <c r="E103" s="328">
        <v>1</v>
      </c>
      <c r="F103" s="328">
        <v>10</v>
      </c>
      <c r="G103" s="328"/>
      <c r="H103" s="329"/>
      <c r="I103" s="442"/>
      <c r="J103" s="81"/>
      <c r="K103" s="81"/>
    </row>
    <row r="104" spans="1:11" s="141" customFormat="1" ht="17.25" x14ac:dyDescent="0.35">
      <c r="A104" s="327" t="s">
        <v>1378</v>
      </c>
      <c r="B104" s="328" t="s">
        <v>1379</v>
      </c>
      <c r="C104" s="328" t="s">
        <v>90</v>
      </c>
      <c r="D104" s="328"/>
      <c r="E104" s="328"/>
      <c r="F104" s="328"/>
      <c r="G104" s="328" t="s">
        <v>239</v>
      </c>
      <c r="H104" s="329"/>
      <c r="I104" s="450">
        <v>66473</v>
      </c>
      <c r="J104" s="81"/>
      <c r="K104" s="81"/>
    </row>
    <row r="105" spans="1:11" s="141" customFormat="1" ht="17.25" x14ac:dyDescent="0.35">
      <c r="A105" s="327"/>
      <c r="B105" s="328"/>
      <c r="C105" s="328"/>
      <c r="D105" s="328" t="s">
        <v>69</v>
      </c>
      <c r="E105" s="328">
        <v>1</v>
      </c>
      <c r="F105" s="328">
        <v>0</v>
      </c>
      <c r="G105" s="328"/>
      <c r="H105" s="329"/>
      <c r="I105" s="450"/>
      <c r="J105" s="81"/>
      <c r="K105" s="81"/>
    </row>
    <row r="106" spans="1:11" s="141" customFormat="1" ht="17.25" x14ac:dyDescent="0.35">
      <c r="A106" s="327" t="s">
        <v>1380</v>
      </c>
      <c r="B106" s="328" t="s">
        <v>234</v>
      </c>
      <c r="C106" s="328" t="s">
        <v>90</v>
      </c>
      <c r="D106" s="328"/>
      <c r="E106" s="328"/>
      <c r="F106" s="328"/>
      <c r="G106" s="328" t="s">
        <v>239</v>
      </c>
      <c r="H106" s="329"/>
      <c r="I106" s="442">
        <v>70302</v>
      </c>
      <c r="J106" s="81"/>
      <c r="K106" s="81"/>
    </row>
    <row r="107" spans="1:11" s="141" customFormat="1" ht="17.25" x14ac:dyDescent="0.35">
      <c r="A107" s="327"/>
      <c r="B107" s="328"/>
      <c r="C107" s="328"/>
      <c r="D107" s="328" t="s">
        <v>69</v>
      </c>
      <c r="E107" s="328">
        <v>1</v>
      </c>
      <c r="F107" s="328">
        <v>1</v>
      </c>
      <c r="G107" s="328"/>
      <c r="H107" s="329"/>
      <c r="I107" s="442"/>
      <c r="J107" s="81"/>
      <c r="K107" s="81"/>
    </row>
    <row r="108" spans="1:11" s="141" customFormat="1" ht="17.25" x14ac:dyDescent="0.35">
      <c r="A108" s="327" t="s">
        <v>386</v>
      </c>
      <c r="B108" s="328" t="s">
        <v>387</v>
      </c>
      <c r="C108" s="328" t="s">
        <v>71</v>
      </c>
      <c r="D108" s="328"/>
      <c r="E108" s="328"/>
      <c r="F108" s="328"/>
      <c r="G108" s="328" t="s">
        <v>239</v>
      </c>
      <c r="H108" s="329" t="s">
        <v>1381</v>
      </c>
      <c r="I108" s="451">
        <v>67221</v>
      </c>
      <c r="J108" s="81"/>
      <c r="K108" s="81"/>
    </row>
    <row r="109" spans="1:11" s="141" customFormat="1" ht="17.25" x14ac:dyDescent="0.35">
      <c r="A109" s="327" t="s">
        <v>390</v>
      </c>
      <c r="B109" s="328" t="s">
        <v>391</v>
      </c>
      <c r="C109" s="328" t="s">
        <v>71</v>
      </c>
      <c r="D109" s="328"/>
      <c r="E109" s="328"/>
      <c r="F109" s="328"/>
      <c r="G109" s="328" t="s">
        <v>239</v>
      </c>
      <c r="H109" s="329" t="s">
        <v>1382</v>
      </c>
      <c r="I109" s="451">
        <v>70242</v>
      </c>
      <c r="J109" s="81"/>
      <c r="K109" s="81"/>
    </row>
    <row r="110" spans="1:11" s="141" customFormat="1" ht="17.25" x14ac:dyDescent="0.35">
      <c r="A110" s="327" t="s">
        <v>392</v>
      </c>
      <c r="B110" s="328" t="s">
        <v>393</v>
      </c>
      <c r="C110" s="328" t="s">
        <v>71</v>
      </c>
      <c r="D110" s="328"/>
      <c r="E110" s="328"/>
      <c r="F110" s="328"/>
      <c r="G110" s="328" t="s">
        <v>239</v>
      </c>
      <c r="H110" s="329" t="s">
        <v>1383</v>
      </c>
      <c r="I110" s="451">
        <v>69736</v>
      </c>
      <c r="J110" s="81"/>
      <c r="K110" s="81"/>
    </row>
    <row r="111" spans="1:11" s="141" customFormat="1" ht="17.25" x14ac:dyDescent="0.35">
      <c r="A111" s="327" t="s">
        <v>394</v>
      </c>
      <c r="B111" s="328" t="s">
        <v>395</v>
      </c>
      <c r="C111" s="328" t="s">
        <v>71</v>
      </c>
      <c r="D111" s="328"/>
      <c r="E111" s="328"/>
      <c r="F111" s="328"/>
      <c r="G111" s="328" t="s">
        <v>239</v>
      </c>
      <c r="H111" s="329" t="s">
        <v>1384</v>
      </c>
      <c r="I111" s="451">
        <v>69737</v>
      </c>
      <c r="J111" s="81"/>
      <c r="K111" s="81"/>
    </row>
    <row r="112" spans="1:11" s="141" customFormat="1" ht="17.25" x14ac:dyDescent="0.35">
      <c r="A112" s="327" t="s">
        <v>422</v>
      </c>
      <c r="B112" s="328" t="s">
        <v>421</v>
      </c>
      <c r="C112" s="328" t="s">
        <v>90</v>
      </c>
      <c r="D112" s="328"/>
      <c r="E112" s="328"/>
      <c r="F112" s="328"/>
      <c r="G112" s="328"/>
      <c r="H112" s="329"/>
      <c r="I112" s="440">
        <v>65683</v>
      </c>
      <c r="J112" s="81"/>
      <c r="K112" s="81"/>
    </row>
    <row r="113" spans="1:14" s="141" customFormat="1" ht="17.25" x14ac:dyDescent="0.35">
      <c r="A113" s="327"/>
      <c r="B113" s="328"/>
      <c r="C113" s="328"/>
      <c r="D113" s="328" t="s">
        <v>69</v>
      </c>
      <c r="E113" s="328">
        <v>1</v>
      </c>
      <c r="F113" s="328">
        <v>2</v>
      </c>
      <c r="G113" s="328"/>
      <c r="H113" s="329"/>
      <c r="I113" s="440"/>
      <c r="J113" s="81"/>
      <c r="K113" s="81"/>
    </row>
    <row r="114" spans="1:14" s="141" customFormat="1" ht="17.25" x14ac:dyDescent="0.35">
      <c r="A114" s="327" t="s">
        <v>1385</v>
      </c>
      <c r="B114" s="328" t="s">
        <v>1386</v>
      </c>
      <c r="C114" s="328" t="s">
        <v>90</v>
      </c>
      <c r="D114" s="328"/>
      <c r="E114" s="328"/>
      <c r="F114" s="328"/>
      <c r="G114" s="328" t="s">
        <v>239</v>
      </c>
      <c r="H114" s="329"/>
      <c r="I114" s="452">
        <v>73538</v>
      </c>
      <c r="J114" s="81"/>
      <c r="K114" s="81"/>
    </row>
    <row r="115" spans="1:14" s="141" customFormat="1" ht="17.25" x14ac:dyDescent="0.35">
      <c r="A115" s="327"/>
      <c r="B115" s="328"/>
      <c r="C115" s="328"/>
      <c r="D115" s="328" t="s">
        <v>69</v>
      </c>
      <c r="E115" s="328">
        <v>1</v>
      </c>
      <c r="F115" s="328">
        <v>1</v>
      </c>
      <c r="G115" s="328"/>
      <c r="H115" s="329"/>
      <c r="I115" s="452" t="s">
        <v>1387</v>
      </c>
      <c r="J115" s="81"/>
      <c r="K115" s="81"/>
    </row>
    <row r="116" spans="1:14" s="141" customFormat="1" ht="17.25" x14ac:dyDescent="0.35">
      <c r="A116" s="327"/>
      <c r="B116" s="328"/>
      <c r="C116" s="328"/>
      <c r="D116" s="328" t="s">
        <v>69</v>
      </c>
      <c r="E116" s="328">
        <v>1</v>
      </c>
      <c r="F116" s="328">
        <v>1</v>
      </c>
      <c r="G116" s="328"/>
      <c r="H116" s="329"/>
      <c r="I116" s="452" t="s">
        <v>1388</v>
      </c>
      <c r="J116" s="81"/>
      <c r="K116" s="81"/>
    </row>
    <row r="117" spans="1:14" s="141" customFormat="1" ht="17.25" x14ac:dyDescent="0.35">
      <c r="A117" s="327" t="s">
        <v>1389</v>
      </c>
      <c r="B117" s="328" t="s">
        <v>1390</v>
      </c>
      <c r="C117" s="328" t="s">
        <v>90</v>
      </c>
      <c r="D117" s="328"/>
      <c r="E117" s="328"/>
      <c r="F117" s="328"/>
      <c r="G117" s="328" t="s">
        <v>239</v>
      </c>
      <c r="H117" s="329"/>
      <c r="I117" s="453">
        <v>73529</v>
      </c>
      <c r="J117" s="81"/>
      <c r="K117" s="81"/>
    </row>
    <row r="118" spans="1:14" s="141" customFormat="1" ht="17.25" x14ac:dyDescent="0.35">
      <c r="A118" s="327"/>
      <c r="B118" s="328"/>
      <c r="C118" s="328"/>
      <c r="D118" s="328" t="s">
        <v>69</v>
      </c>
      <c r="E118" s="328">
        <v>1</v>
      </c>
      <c r="F118" s="328">
        <v>1</v>
      </c>
      <c r="G118" s="328"/>
      <c r="H118" s="329"/>
      <c r="I118" s="453" t="s">
        <v>1391</v>
      </c>
      <c r="J118" s="81"/>
      <c r="K118" s="81"/>
    </row>
    <row r="119" spans="1:14" s="141" customFormat="1" ht="17.25" x14ac:dyDescent="0.35">
      <c r="A119" s="327" t="s">
        <v>1392</v>
      </c>
      <c r="B119" s="328" t="s">
        <v>1393</v>
      </c>
      <c r="C119" s="328" t="s">
        <v>90</v>
      </c>
      <c r="D119" s="328"/>
      <c r="E119" s="328"/>
      <c r="F119" s="328"/>
      <c r="G119" s="328" t="s">
        <v>239</v>
      </c>
      <c r="H119" s="329"/>
      <c r="I119" s="454">
        <v>72604</v>
      </c>
      <c r="J119" s="81"/>
      <c r="K119" s="81"/>
    </row>
    <row r="120" spans="1:14" s="141" customFormat="1" ht="17.25" x14ac:dyDescent="0.35">
      <c r="A120" s="327"/>
      <c r="B120" s="328"/>
      <c r="C120" s="328"/>
      <c r="D120" s="328" t="s">
        <v>69</v>
      </c>
      <c r="E120" s="328">
        <v>1</v>
      </c>
      <c r="F120" s="328">
        <v>1</v>
      </c>
      <c r="G120" s="328"/>
      <c r="H120" s="329"/>
      <c r="I120" s="454" t="s">
        <v>1394</v>
      </c>
      <c r="J120" s="81"/>
      <c r="K120" s="81"/>
    </row>
    <row r="121" spans="1:14" s="141" customFormat="1" ht="17.25" x14ac:dyDescent="0.35">
      <c r="A121" s="327"/>
      <c r="B121" s="328"/>
      <c r="C121" s="328"/>
      <c r="D121" s="328" t="s">
        <v>69</v>
      </c>
      <c r="E121" s="328">
        <v>1</v>
      </c>
      <c r="F121" s="328">
        <v>1</v>
      </c>
      <c r="G121" s="328"/>
      <c r="H121" s="329"/>
      <c r="I121" s="455" t="s">
        <v>1395</v>
      </c>
      <c r="J121" s="81"/>
      <c r="K121" s="81"/>
    </row>
    <row r="122" spans="1:14" s="141" customFormat="1" ht="17.25" x14ac:dyDescent="0.35">
      <c r="A122" s="327" t="s">
        <v>1396</v>
      </c>
      <c r="B122" s="328" t="s">
        <v>1397</v>
      </c>
      <c r="C122" s="328" t="s">
        <v>90</v>
      </c>
      <c r="D122" s="328"/>
      <c r="E122" s="328"/>
      <c r="F122" s="328"/>
      <c r="G122" s="328" t="s">
        <v>239</v>
      </c>
      <c r="H122" s="329"/>
      <c r="I122" s="456">
        <v>72509</v>
      </c>
      <c r="J122" s="81"/>
      <c r="K122" s="81"/>
    </row>
    <row r="123" spans="1:14" s="445" customFormat="1" ht="17.25" x14ac:dyDescent="0.35">
      <c r="A123" s="327"/>
      <c r="B123" s="328"/>
      <c r="C123" s="328"/>
      <c r="D123" s="328" t="s">
        <v>69</v>
      </c>
      <c r="E123" s="328">
        <v>1</v>
      </c>
      <c r="F123" s="328">
        <v>4</v>
      </c>
      <c r="G123" s="328"/>
      <c r="H123" s="329"/>
      <c r="I123" s="456" t="s">
        <v>587</v>
      </c>
      <c r="J123" s="81"/>
      <c r="K123" s="81"/>
      <c r="L123" s="141"/>
      <c r="M123" s="141"/>
      <c r="N123" s="141"/>
    </row>
    <row r="124" spans="1:14" s="141" customFormat="1" ht="17.25" x14ac:dyDescent="0.35">
      <c r="A124" s="327"/>
      <c r="B124" s="328"/>
      <c r="C124" s="328"/>
      <c r="D124" s="328" t="s">
        <v>69</v>
      </c>
      <c r="E124" s="328">
        <v>1</v>
      </c>
      <c r="F124" s="328">
        <v>1</v>
      </c>
      <c r="G124" s="328"/>
      <c r="H124" s="329"/>
      <c r="I124" s="456" t="s">
        <v>1398</v>
      </c>
      <c r="J124" s="81"/>
      <c r="K124" s="81"/>
    </row>
    <row r="125" spans="1:14" s="141" customFormat="1" ht="17.25" x14ac:dyDescent="0.35">
      <c r="A125" s="327"/>
      <c r="B125" s="328"/>
      <c r="C125" s="328"/>
      <c r="D125" s="328" t="s">
        <v>69</v>
      </c>
      <c r="E125" s="328">
        <v>1</v>
      </c>
      <c r="F125" s="328">
        <v>0</v>
      </c>
      <c r="G125" s="328"/>
      <c r="H125" s="329"/>
      <c r="I125" s="456" t="s">
        <v>1399</v>
      </c>
      <c r="J125" s="81"/>
      <c r="K125" s="81"/>
    </row>
    <row r="126" spans="1:14" s="141" customFormat="1" ht="17.25" x14ac:dyDescent="0.35">
      <c r="A126" s="327"/>
      <c r="B126" s="328"/>
      <c r="C126" s="328"/>
      <c r="D126" s="328" t="s">
        <v>69</v>
      </c>
      <c r="E126" s="328">
        <v>1</v>
      </c>
      <c r="F126" s="328">
        <v>0</v>
      </c>
      <c r="G126" s="328"/>
      <c r="H126" s="329"/>
      <c r="I126" s="456" t="s">
        <v>1400</v>
      </c>
      <c r="J126" s="81"/>
      <c r="K126" s="81"/>
    </row>
    <row r="127" spans="1:14" s="445" customFormat="1" ht="17.25" x14ac:dyDescent="0.35">
      <c r="A127" s="327"/>
      <c r="B127" s="328"/>
      <c r="C127" s="328"/>
      <c r="D127" s="328" t="s">
        <v>69</v>
      </c>
      <c r="E127" s="328">
        <v>1</v>
      </c>
      <c r="F127" s="328">
        <v>0</v>
      </c>
      <c r="G127" s="328"/>
      <c r="H127" s="329"/>
      <c r="I127" s="456" t="s">
        <v>1401</v>
      </c>
      <c r="J127" s="81"/>
      <c r="K127" s="81"/>
      <c r="L127" s="141"/>
      <c r="M127" s="141"/>
      <c r="N127" s="141"/>
    </row>
    <row r="128" spans="1:14" s="141" customFormat="1" ht="17.25" x14ac:dyDescent="0.35">
      <c r="A128" s="327"/>
      <c r="B128" s="328"/>
      <c r="C128" s="328"/>
      <c r="D128" s="328" t="s">
        <v>69</v>
      </c>
      <c r="E128" s="328">
        <v>1</v>
      </c>
      <c r="F128" s="328">
        <v>1</v>
      </c>
      <c r="G128" s="328"/>
      <c r="H128" s="329"/>
      <c r="I128" s="456" t="s">
        <v>1402</v>
      </c>
      <c r="J128" s="81"/>
      <c r="K128" s="81"/>
    </row>
    <row r="129" spans="1:14" s="141" customFormat="1" ht="17.25" x14ac:dyDescent="0.35">
      <c r="A129" s="327"/>
      <c r="B129" s="328"/>
      <c r="C129" s="328"/>
      <c r="D129" s="328" t="s">
        <v>69</v>
      </c>
      <c r="E129" s="328">
        <v>21</v>
      </c>
      <c r="F129" s="328"/>
      <c r="G129" s="328"/>
      <c r="H129" s="329"/>
      <c r="I129" s="456" t="s">
        <v>1403</v>
      </c>
      <c r="J129" s="81"/>
      <c r="K129" s="81"/>
    </row>
    <row r="130" spans="1:14" s="141" customFormat="1" ht="17.25" x14ac:dyDescent="0.35">
      <c r="A130" s="327" t="s">
        <v>412</v>
      </c>
      <c r="B130" s="328" t="s">
        <v>411</v>
      </c>
      <c r="C130" s="328" t="s">
        <v>90</v>
      </c>
      <c r="D130" s="328"/>
      <c r="E130" s="328"/>
      <c r="F130" s="328"/>
      <c r="G130" s="328" t="s">
        <v>239</v>
      </c>
      <c r="H130" s="329"/>
      <c r="I130" s="440">
        <v>72533</v>
      </c>
      <c r="J130" s="81"/>
      <c r="K130" s="81"/>
    </row>
    <row r="131" spans="1:14" s="56" customFormat="1" ht="16.5" customHeight="1" x14ac:dyDescent="0.35">
      <c r="A131" s="327"/>
      <c r="B131" s="328"/>
      <c r="C131" s="328"/>
      <c r="D131" s="328" t="s">
        <v>69</v>
      </c>
      <c r="E131" s="328">
        <v>4</v>
      </c>
      <c r="F131" s="328">
        <v>1</v>
      </c>
      <c r="G131" s="328"/>
      <c r="H131" s="329"/>
      <c r="I131" s="440" t="s">
        <v>410</v>
      </c>
    </row>
    <row r="132" spans="1:14" s="56" customFormat="1" ht="16.5" customHeight="1" x14ac:dyDescent="0.35">
      <c r="A132" s="327" t="s">
        <v>1404</v>
      </c>
      <c r="B132" s="328" t="s">
        <v>1405</v>
      </c>
      <c r="C132" s="328" t="s">
        <v>90</v>
      </c>
      <c r="D132" s="328"/>
      <c r="E132" s="328"/>
      <c r="F132" s="328"/>
      <c r="G132" s="328" t="s">
        <v>239</v>
      </c>
      <c r="H132" s="329"/>
      <c r="I132" s="440">
        <v>72582</v>
      </c>
    </row>
    <row r="133" spans="1:14" s="56" customFormat="1" ht="16.5" customHeight="1" x14ac:dyDescent="0.35">
      <c r="A133" s="327"/>
      <c r="B133" s="328"/>
      <c r="C133" s="328"/>
      <c r="D133" s="328" t="s">
        <v>69</v>
      </c>
      <c r="E133" s="328">
        <v>2</v>
      </c>
      <c r="F133" s="328">
        <v>1</v>
      </c>
      <c r="G133" s="328"/>
      <c r="H133" s="329"/>
      <c r="I133" s="440"/>
    </row>
    <row r="134" spans="1:14" s="145" customFormat="1" ht="17.25" x14ac:dyDescent="0.35">
      <c r="A134" s="327" t="s">
        <v>1406</v>
      </c>
      <c r="B134" s="328" t="s">
        <v>1407</v>
      </c>
      <c r="C134" s="328" t="s">
        <v>90</v>
      </c>
      <c r="D134" s="328"/>
      <c r="E134" s="328"/>
      <c r="F134" s="328"/>
      <c r="G134" s="328" t="s">
        <v>239</v>
      </c>
      <c r="H134" s="329"/>
      <c r="I134" s="450">
        <v>66011</v>
      </c>
      <c r="J134" s="56"/>
      <c r="K134" s="56"/>
      <c r="L134" s="56"/>
      <c r="M134" s="56"/>
      <c r="N134" s="56"/>
    </row>
    <row r="135" spans="1:14" s="141" customFormat="1" ht="17.25" x14ac:dyDescent="0.35">
      <c r="A135" s="327"/>
      <c r="B135" s="328"/>
      <c r="C135" s="328"/>
      <c r="D135" s="328" t="s">
        <v>69</v>
      </c>
      <c r="E135" s="328">
        <v>1</v>
      </c>
      <c r="F135" s="328">
        <v>1</v>
      </c>
      <c r="G135" s="328"/>
      <c r="H135" s="329"/>
      <c r="I135" s="450"/>
      <c r="J135" s="81"/>
      <c r="K135" s="81"/>
    </row>
    <row r="136" spans="1:14" s="141" customFormat="1" ht="17.25" x14ac:dyDescent="0.35">
      <c r="A136" s="327" t="s">
        <v>1408</v>
      </c>
      <c r="B136" s="328" t="s">
        <v>1409</v>
      </c>
      <c r="C136" s="328" t="s">
        <v>90</v>
      </c>
      <c r="D136" s="328"/>
      <c r="E136" s="328"/>
      <c r="F136" s="328"/>
      <c r="G136" s="328" t="s">
        <v>239</v>
      </c>
      <c r="H136" s="329"/>
      <c r="I136" s="450">
        <v>66012</v>
      </c>
      <c r="J136" s="81"/>
      <c r="K136" s="81"/>
    </row>
    <row r="137" spans="1:14" s="445" customFormat="1" ht="17.25" x14ac:dyDescent="0.35">
      <c r="A137" s="327"/>
      <c r="B137" s="328"/>
      <c r="C137" s="328"/>
      <c r="D137" s="328" t="s">
        <v>69</v>
      </c>
      <c r="E137" s="328">
        <v>1</v>
      </c>
      <c r="F137" s="328">
        <v>1</v>
      </c>
      <c r="G137" s="328"/>
      <c r="H137" s="329"/>
      <c r="I137" s="450"/>
      <c r="J137" s="81"/>
      <c r="K137" s="81"/>
      <c r="L137" s="141"/>
      <c r="M137" s="141"/>
      <c r="N137" s="141"/>
    </row>
    <row r="138" spans="1:14" s="445" customFormat="1" ht="17.25" x14ac:dyDescent="0.35">
      <c r="A138" s="327" t="s">
        <v>1410</v>
      </c>
      <c r="B138" s="328" t="s">
        <v>1411</v>
      </c>
      <c r="C138" s="328" t="s">
        <v>90</v>
      </c>
      <c r="D138" s="328"/>
      <c r="E138" s="328"/>
      <c r="F138" s="328"/>
      <c r="G138" s="328" t="s">
        <v>239</v>
      </c>
      <c r="H138" s="329"/>
      <c r="I138" s="450">
        <v>66013</v>
      </c>
      <c r="J138" s="81"/>
      <c r="K138" s="81"/>
      <c r="L138" s="141"/>
      <c r="M138" s="141"/>
      <c r="N138" s="141"/>
    </row>
    <row r="139" spans="1:14" s="445" customFormat="1" ht="17.25" x14ac:dyDescent="0.35">
      <c r="A139" s="327"/>
      <c r="B139" s="328"/>
      <c r="C139" s="328"/>
      <c r="D139" s="328" t="s">
        <v>69</v>
      </c>
      <c r="E139" s="328">
        <v>1</v>
      </c>
      <c r="F139" s="328">
        <v>0</v>
      </c>
      <c r="G139" s="328"/>
      <c r="H139" s="329"/>
      <c r="I139" s="450"/>
      <c r="J139" s="81"/>
      <c r="K139" s="81"/>
      <c r="L139" s="141"/>
      <c r="M139" s="141"/>
      <c r="N139" s="141"/>
    </row>
    <row r="140" spans="1:14" s="458" customFormat="1" ht="19.5" x14ac:dyDescent="0.4">
      <c r="A140" s="327" t="s">
        <v>566</v>
      </c>
      <c r="B140" s="328" t="s">
        <v>567</v>
      </c>
      <c r="C140" s="328" t="s">
        <v>71</v>
      </c>
      <c r="D140" s="328"/>
      <c r="E140" s="328"/>
      <c r="F140" s="328"/>
      <c r="G140" s="328" t="s">
        <v>239</v>
      </c>
      <c r="H140" s="329" t="s">
        <v>568</v>
      </c>
      <c r="I140" s="446" t="s">
        <v>7</v>
      </c>
      <c r="J140" s="457"/>
    </row>
    <row r="141" spans="1:14" s="458" customFormat="1" ht="19.5" x14ac:dyDescent="0.4">
      <c r="A141" s="327" t="s">
        <v>1412</v>
      </c>
      <c r="B141" s="328" t="s">
        <v>528</v>
      </c>
      <c r="C141" s="328" t="s">
        <v>71</v>
      </c>
      <c r="D141" s="328"/>
      <c r="E141" s="328"/>
      <c r="F141" s="328"/>
      <c r="G141" s="328" t="s">
        <v>239</v>
      </c>
      <c r="H141" s="329" t="s">
        <v>1413</v>
      </c>
      <c r="I141" s="446" t="s">
        <v>569</v>
      </c>
      <c r="J141" s="457"/>
    </row>
    <row r="142" spans="1:14" s="458" customFormat="1" ht="19.5" x14ac:dyDescent="0.4">
      <c r="A142" s="327" t="s">
        <v>1414</v>
      </c>
      <c r="B142" s="328" t="s">
        <v>571</v>
      </c>
      <c r="C142" s="328" t="s">
        <v>71</v>
      </c>
      <c r="D142" s="328"/>
      <c r="E142" s="328"/>
      <c r="F142" s="328"/>
      <c r="G142" s="328" t="s">
        <v>239</v>
      </c>
      <c r="H142" s="329" t="s">
        <v>1415</v>
      </c>
      <c r="I142" s="446" t="s">
        <v>1170</v>
      </c>
      <c r="J142" s="457"/>
    </row>
    <row r="143" spans="1:14" s="458" customFormat="1" ht="19.5" x14ac:dyDescent="0.4">
      <c r="A143" s="327" t="s">
        <v>1416</v>
      </c>
      <c r="B143" s="328" t="s">
        <v>1166</v>
      </c>
      <c r="C143" s="328" t="s">
        <v>71</v>
      </c>
      <c r="D143" s="328"/>
      <c r="E143" s="328"/>
      <c r="F143" s="328"/>
      <c r="G143" s="328" t="s">
        <v>239</v>
      </c>
      <c r="H143" s="329" t="s">
        <v>1417</v>
      </c>
      <c r="I143" s="446" t="s">
        <v>1171</v>
      </c>
      <c r="J143" s="457"/>
    </row>
    <row r="144" spans="1:14" s="458" customFormat="1" ht="19.5" x14ac:dyDescent="0.4">
      <c r="A144" s="327" t="s">
        <v>1418</v>
      </c>
      <c r="B144" s="328" t="s">
        <v>1167</v>
      </c>
      <c r="C144" s="328" t="s">
        <v>71</v>
      </c>
      <c r="D144" s="328"/>
      <c r="E144" s="328"/>
      <c r="F144" s="328"/>
      <c r="G144" s="328" t="s">
        <v>239</v>
      </c>
      <c r="H144" s="329" t="s">
        <v>1419</v>
      </c>
      <c r="I144" s="446" t="s">
        <v>573</v>
      </c>
      <c r="J144" s="457"/>
    </row>
    <row r="145" spans="1:11" s="458" customFormat="1" ht="19.5" x14ac:dyDescent="0.4">
      <c r="A145" s="327" t="s">
        <v>1420</v>
      </c>
      <c r="B145" s="328" t="s">
        <v>1421</v>
      </c>
      <c r="C145" s="328" t="s">
        <v>71</v>
      </c>
      <c r="D145" s="328"/>
      <c r="E145" s="328"/>
      <c r="F145" s="328"/>
      <c r="G145" s="328" t="s">
        <v>239</v>
      </c>
      <c r="H145" s="329" t="s">
        <v>1422</v>
      </c>
      <c r="I145" s="450"/>
      <c r="J145" s="457"/>
    </row>
    <row r="146" spans="1:11" s="458" customFormat="1" ht="19.5" x14ac:dyDescent="0.4">
      <c r="A146" s="327" t="s">
        <v>1423</v>
      </c>
      <c r="B146" s="328" t="s">
        <v>1424</v>
      </c>
      <c r="C146" s="328" t="s">
        <v>71</v>
      </c>
      <c r="D146" s="328"/>
      <c r="E146" s="328"/>
      <c r="F146" s="328"/>
      <c r="G146" s="328" t="s">
        <v>239</v>
      </c>
      <c r="H146" s="329" t="s">
        <v>1425</v>
      </c>
      <c r="I146" s="450">
        <v>71554</v>
      </c>
      <c r="J146" s="457"/>
    </row>
    <row r="147" spans="1:11" s="458" customFormat="1" ht="19.5" x14ac:dyDescent="0.4">
      <c r="A147" s="327" t="s">
        <v>416</v>
      </c>
      <c r="B147" s="328" t="s">
        <v>415</v>
      </c>
      <c r="C147" s="328" t="s">
        <v>90</v>
      </c>
      <c r="D147" s="328"/>
      <c r="E147" s="328"/>
      <c r="F147" s="328"/>
      <c r="G147" s="328" t="s">
        <v>239</v>
      </c>
      <c r="H147" s="329"/>
      <c r="I147" s="450">
        <v>67217</v>
      </c>
      <c r="J147" s="457"/>
    </row>
    <row r="148" spans="1:11" s="458" customFormat="1" ht="19.5" x14ac:dyDescent="0.4">
      <c r="A148" s="327"/>
      <c r="B148" s="328"/>
      <c r="C148" s="328"/>
      <c r="D148" s="328" t="s">
        <v>69</v>
      </c>
      <c r="E148" s="328">
        <v>1</v>
      </c>
      <c r="F148" s="328">
        <v>1</v>
      </c>
      <c r="G148" s="328"/>
      <c r="H148" s="329"/>
      <c r="I148" s="450" t="s">
        <v>416</v>
      </c>
      <c r="J148" s="457"/>
    </row>
    <row r="149" spans="1:11" s="458" customFormat="1" ht="19.5" x14ac:dyDescent="0.4">
      <c r="A149" s="327"/>
      <c r="B149" s="328"/>
      <c r="C149" s="328"/>
      <c r="D149" s="328" t="s">
        <v>69</v>
      </c>
      <c r="E149" s="328">
        <v>2</v>
      </c>
      <c r="F149" s="328" t="s">
        <v>121</v>
      </c>
      <c r="G149" s="328"/>
      <c r="H149" s="329"/>
      <c r="I149" s="450"/>
      <c r="J149" s="457"/>
    </row>
    <row r="150" spans="1:11" s="458" customFormat="1" ht="19.5" x14ac:dyDescent="0.4">
      <c r="A150" s="327" t="s">
        <v>1132</v>
      </c>
      <c r="B150" s="328" t="s">
        <v>1133</v>
      </c>
      <c r="C150" s="328" t="s">
        <v>90</v>
      </c>
      <c r="D150" s="328"/>
      <c r="E150" s="328"/>
      <c r="F150" s="328"/>
      <c r="G150" s="328" t="s">
        <v>239</v>
      </c>
      <c r="H150" s="329"/>
      <c r="I150" s="450">
        <v>66472</v>
      </c>
      <c r="J150" s="457"/>
    </row>
    <row r="151" spans="1:11" s="458" customFormat="1" ht="19.5" x14ac:dyDescent="0.4">
      <c r="A151" s="327"/>
      <c r="B151" s="328"/>
      <c r="C151" s="328"/>
      <c r="D151" s="328" t="s">
        <v>69</v>
      </c>
      <c r="E151" s="328">
        <v>1</v>
      </c>
      <c r="F151" s="328">
        <v>1</v>
      </c>
      <c r="G151" s="328"/>
      <c r="H151" s="329"/>
      <c r="I151" s="450" t="s">
        <v>1426</v>
      </c>
      <c r="J151" s="457"/>
    </row>
    <row r="152" spans="1:11" s="458" customFormat="1" ht="19.5" x14ac:dyDescent="0.4">
      <c r="A152" s="327" t="s">
        <v>1138</v>
      </c>
      <c r="B152" s="328" t="s">
        <v>1139</v>
      </c>
      <c r="C152" s="328" t="s">
        <v>90</v>
      </c>
      <c r="D152" s="328"/>
      <c r="E152" s="328"/>
      <c r="F152" s="328"/>
      <c r="G152" s="328" t="s">
        <v>239</v>
      </c>
      <c r="H152" s="329"/>
      <c r="I152" s="450">
        <v>70239</v>
      </c>
      <c r="J152" s="457"/>
    </row>
    <row r="153" spans="1:11" s="458" customFormat="1" ht="19.5" x14ac:dyDescent="0.4">
      <c r="A153" s="327"/>
      <c r="B153" s="328"/>
      <c r="C153" s="328"/>
      <c r="D153" s="328" t="s">
        <v>69</v>
      </c>
      <c r="E153" s="328">
        <v>1</v>
      </c>
      <c r="F153" s="328">
        <v>3</v>
      </c>
      <c r="G153" s="328"/>
      <c r="H153" s="329"/>
      <c r="I153" s="450" t="s">
        <v>1427</v>
      </c>
      <c r="J153" s="457"/>
    </row>
    <row r="154" spans="1:11" s="458" customFormat="1" ht="19.5" x14ac:dyDescent="0.4">
      <c r="A154" s="327" t="s">
        <v>1428</v>
      </c>
      <c r="B154" s="328" t="s">
        <v>1429</v>
      </c>
      <c r="C154" s="328" t="s">
        <v>90</v>
      </c>
      <c r="D154" s="328"/>
      <c r="E154" s="328"/>
      <c r="F154" s="328"/>
      <c r="G154" s="328" t="s">
        <v>239</v>
      </c>
      <c r="H154" s="329"/>
      <c r="I154" s="459" t="s">
        <v>385</v>
      </c>
      <c r="J154" s="457"/>
    </row>
    <row r="155" spans="1:11" s="458" customFormat="1" ht="19.5" x14ac:dyDescent="0.4">
      <c r="A155" s="327"/>
      <c r="B155" s="328"/>
      <c r="C155" s="328"/>
      <c r="D155" s="328" t="s">
        <v>69</v>
      </c>
      <c r="E155" s="328">
        <v>1</v>
      </c>
      <c r="F155" s="328">
        <v>1</v>
      </c>
      <c r="G155" s="328"/>
      <c r="H155" s="329"/>
      <c r="I155" s="459"/>
      <c r="J155" s="457"/>
    </row>
    <row r="156" spans="1:11" s="458" customFormat="1" ht="19.5" x14ac:dyDescent="0.4">
      <c r="A156" s="327" t="s">
        <v>412</v>
      </c>
      <c r="B156" s="328" t="s">
        <v>411</v>
      </c>
      <c r="C156" s="328" t="s">
        <v>90</v>
      </c>
      <c r="D156" s="328"/>
      <c r="E156" s="328"/>
      <c r="F156" s="328"/>
      <c r="G156" s="328" t="s">
        <v>239</v>
      </c>
      <c r="H156" s="329"/>
      <c r="I156" s="450">
        <v>72533</v>
      </c>
      <c r="J156" s="457"/>
    </row>
    <row r="157" spans="1:11" s="458" customFormat="1" ht="19.5" x14ac:dyDescent="0.4">
      <c r="A157" s="327"/>
      <c r="B157" s="328"/>
      <c r="C157" s="328"/>
      <c r="D157" s="328" t="s">
        <v>69</v>
      </c>
      <c r="E157" s="328">
        <v>4</v>
      </c>
      <c r="F157" s="328">
        <v>1</v>
      </c>
      <c r="G157" s="328"/>
      <c r="H157" s="329"/>
      <c r="I157" s="450" t="s">
        <v>412</v>
      </c>
      <c r="J157" s="457"/>
    </row>
    <row r="158" spans="1:11" s="458" customFormat="1" ht="19.5" x14ac:dyDescent="0.4">
      <c r="A158" s="327" t="s">
        <v>1430</v>
      </c>
      <c r="B158" s="328"/>
      <c r="C158" s="328"/>
      <c r="D158" s="328"/>
      <c r="E158" s="328"/>
      <c r="F158" s="328"/>
      <c r="G158" s="328"/>
      <c r="H158" s="329"/>
      <c r="I158" s="450"/>
      <c r="J158" s="457"/>
    </row>
    <row r="159" spans="1:11" s="141" customFormat="1" ht="17.25" x14ac:dyDescent="0.35">
      <c r="A159" s="327" t="s">
        <v>1431</v>
      </c>
      <c r="B159" s="328" t="s">
        <v>854</v>
      </c>
      <c r="C159" s="328" t="s">
        <v>90</v>
      </c>
      <c r="D159" s="328"/>
      <c r="E159" s="328"/>
      <c r="F159" s="328"/>
      <c r="G159" s="328" t="s">
        <v>239</v>
      </c>
      <c r="H159" s="329"/>
      <c r="I159" s="440">
        <v>69750</v>
      </c>
      <c r="J159" s="81"/>
      <c r="K159" s="81"/>
    </row>
    <row r="160" spans="1:11" s="141" customFormat="1" ht="17.25" x14ac:dyDescent="0.35">
      <c r="A160" s="327"/>
      <c r="B160" s="328"/>
      <c r="C160" s="328"/>
      <c r="D160" s="328" t="s">
        <v>69</v>
      </c>
      <c r="E160" s="328">
        <v>1</v>
      </c>
      <c r="F160" s="328">
        <v>3</v>
      </c>
      <c r="G160" s="328"/>
      <c r="H160" s="329"/>
      <c r="I160" s="440" t="s">
        <v>722</v>
      </c>
      <c r="J160" s="81"/>
      <c r="K160" s="81"/>
    </row>
    <row r="161" spans="1:11" s="141" customFormat="1" ht="17.25" x14ac:dyDescent="0.35">
      <c r="A161" s="327"/>
      <c r="B161" s="328"/>
      <c r="C161" s="328"/>
      <c r="D161" s="328" t="s">
        <v>69</v>
      </c>
      <c r="E161" s="328">
        <v>1</v>
      </c>
      <c r="F161" s="328">
        <v>0</v>
      </c>
      <c r="G161" s="328"/>
      <c r="H161" s="329"/>
      <c r="I161" s="440" t="s">
        <v>855</v>
      </c>
      <c r="J161" s="81"/>
      <c r="K161" s="81"/>
    </row>
    <row r="162" spans="1:11" s="141" customFormat="1" ht="17.25" x14ac:dyDescent="0.35">
      <c r="A162" s="327"/>
      <c r="B162" s="328"/>
      <c r="C162" s="328"/>
      <c r="D162" s="328" t="s">
        <v>69</v>
      </c>
      <c r="E162" s="328">
        <v>1</v>
      </c>
      <c r="F162" s="328">
        <v>0</v>
      </c>
      <c r="G162" s="328"/>
      <c r="H162" s="329"/>
      <c r="I162" s="440" t="s">
        <v>856</v>
      </c>
      <c r="J162" s="81"/>
      <c r="K162" s="81"/>
    </row>
    <row r="163" spans="1:11" s="141" customFormat="1" ht="17.25" x14ac:dyDescent="0.35">
      <c r="A163" s="327"/>
      <c r="B163" s="328"/>
      <c r="C163" s="328"/>
      <c r="D163" s="328" t="s">
        <v>69</v>
      </c>
      <c r="E163" s="328">
        <v>4</v>
      </c>
      <c r="F163" s="328">
        <v>0</v>
      </c>
      <c r="G163" s="328"/>
      <c r="H163" s="329"/>
      <c r="I163" s="440" t="s">
        <v>857</v>
      </c>
      <c r="J163" s="81"/>
      <c r="K163" s="81"/>
    </row>
    <row r="164" spans="1:11" s="141" customFormat="1" ht="17.25" x14ac:dyDescent="0.35">
      <c r="A164" s="327"/>
      <c r="B164" s="328"/>
      <c r="C164" s="328"/>
      <c r="D164" s="328" t="s">
        <v>69</v>
      </c>
      <c r="E164" s="328">
        <v>1</v>
      </c>
      <c r="F164" s="328">
        <v>0</v>
      </c>
      <c r="G164" s="328"/>
      <c r="H164" s="329"/>
      <c r="I164" s="440" t="s">
        <v>858</v>
      </c>
      <c r="J164" s="81"/>
      <c r="K164" s="81"/>
    </row>
    <row r="165" spans="1:11" s="141" customFormat="1" ht="17.25" x14ac:dyDescent="0.35">
      <c r="A165" s="327"/>
      <c r="B165" s="328"/>
      <c r="C165" s="328"/>
      <c r="D165" s="328" t="s">
        <v>69</v>
      </c>
      <c r="E165" s="328">
        <v>1</v>
      </c>
      <c r="F165" s="328">
        <v>0</v>
      </c>
      <c r="G165" s="328"/>
      <c r="H165" s="329"/>
      <c r="I165" s="440" t="s">
        <v>1432</v>
      </c>
      <c r="J165" s="81"/>
      <c r="K165" s="81"/>
    </row>
    <row r="166" spans="1:11" s="141" customFormat="1" ht="17.25" x14ac:dyDescent="0.35">
      <c r="A166" s="327"/>
      <c r="B166" s="328"/>
      <c r="C166" s="328"/>
      <c r="D166" s="328" t="s">
        <v>69</v>
      </c>
      <c r="E166" s="328">
        <v>1</v>
      </c>
      <c r="F166" s="328">
        <v>1</v>
      </c>
      <c r="G166" s="328"/>
      <c r="H166" s="329"/>
      <c r="I166" s="440" t="s">
        <v>860</v>
      </c>
      <c r="J166" s="81"/>
      <c r="K166" s="81"/>
    </row>
    <row r="167" spans="1:11" s="141" customFormat="1" ht="17.25" x14ac:dyDescent="0.35">
      <c r="A167" s="327"/>
      <c r="B167" s="328"/>
      <c r="C167" s="328"/>
      <c r="D167" s="328" t="s">
        <v>69</v>
      </c>
      <c r="E167" s="328">
        <v>502</v>
      </c>
      <c r="F167" s="328"/>
      <c r="G167" s="328"/>
      <c r="H167" s="329"/>
      <c r="I167" s="440" t="s">
        <v>1403</v>
      </c>
      <c r="J167" s="81"/>
      <c r="K167" s="81"/>
    </row>
    <row r="168" spans="1:11" s="141" customFormat="1" ht="17.25" x14ac:dyDescent="0.35">
      <c r="A168" s="327" t="s">
        <v>623</v>
      </c>
      <c r="B168" s="328" t="s">
        <v>622</v>
      </c>
      <c r="C168" s="328" t="s">
        <v>90</v>
      </c>
      <c r="D168" s="328"/>
      <c r="E168" s="328"/>
      <c r="F168" s="328"/>
      <c r="G168" s="328" t="s">
        <v>239</v>
      </c>
      <c r="H168" s="329"/>
      <c r="I168" s="440">
        <v>65956</v>
      </c>
      <c r="J168" s="81"/>
      <c r="K168" s="81"/>
    </row>
    <row r="169" spans="1:11" s="141" customFormat="1" ht="17.25" x14ac:dyDescent="0.35">
      <c r="A169" s="327"/>
      <c r="B169" s="328"/>
      <c r="C169" s="328"/>
      <c r="D169" s="328" t="s">
        <v>69</v>
      </c>
      <c r="E169" s="328">
        <v>2</v>
      </c>
      <c r="F169" s="328">
        <v>1</v>
      </c>
      <c r="G169" s="328"/>
      <c r="H169" s="329"/>
      <c r="I169" s="440"/>
      <c r="J169" s="81"/>
      <c r="K169" s="81"/>
    </row>
    <row r="170" spans="1:11" s="141" customFormat="1" ht="17.25" x14ac:dyDescent="0.35">
      <c r="A170" s="327" t="s">
        <v>626</v>
      </c>
      <c r="B170" s="328" t="s">
        <v>625</v>
      </c>
      <c r="C170" s="328" t="s">
        <v>90</v>
      </c>
      <c r="D170" s="328"/>
      <c r="E170" s="328"/>
      <c r="F170" s="328"/>
      <c r="G170" s="328" t="s">
        <v>239</v>
      </c>
      <c r="H170" s="329"/>
      <c r="I170" s="440">
        <v>65961</v>
      </c>
      <c r="J170" s="81"/>
      <c r="K170" s="81"/>
    </row>
    <row r="171" spans="1:11" s="141" customFormat="1" ht="17.25" x14ac:dyDescent="0.35">
      <c r="A171" s="327"/>
      <c r="B171" s="328"/>
      <c r="C171" s="328"/>
      <c r="D171" s="328" t="s">
        <v>69</v>
      </c>
      <c r="E171" s="328">
        <v>1</v>
      </c>
      <c r="F171" s="328">
        <v>0</v>
      </c>
      <c r="G171" s="328"/>
      <c r="H171" s="329"/>
      <c r="I171" s="440"/>
      <c r="J171" s="81"/>
      <c r="K171" s="81"/>
    </row>
    <row r="172" spans="1:11" s="141" customFormat="1" ht="17.25" x14ac:dyDescent="0.35">
      <c r="A172" s="327" t="s">
        <v>627</v>
      </c>
      <c r="B172" s="328" t="s">
        <v>628</v>
      </c>
      <c r="C172" s="328" t="s">
        <v>90</v>
      </c>
      <c r="D172" s="328"/>
      <c r="E172" s="328"/>
      <c r="F172" s="328"/>
      <c r="G172" s="328" t="s">
        <v>239</v>
      </c>
      <c r="H172" s="329"/>
      <c r="I172" s="440">
        <v>67218</v>
      </c>
      <c r="J172" s="81"/>
      <c r="K172" s="81"/>
    </row>
    <row r="173" spans="1:11" s="141" customFormat="1" ht="17.25" x14ac:dyDescent="0.35">
      <c r="A173" s="327"/>
      <c r="B173" s="328"/>
      <c r="C173" s="328"/>
      <c r="D173" s="328" t="s">
        <v>69</v>
      </c>
      <c r="E173" s="328">
        <v>1</v>
      </c>
      <c r="F173" s="328">
        <v>1</v>
      </c>
      <c r="G173" s="328"/>
      <c r="H173" s="329"/>
      <c r="I173" s="440"/>
      <c r="J173" s="81"/>
      <c r="K173" s="81"/>
    </row>
    <row r="174" spans="1:11" s="141" customFormat="1" ht="17.25" x14ac:dyDescent="0.35">
      <c r="A174" s="327" t="s">
        <v>1433</v>
      </c>
      <c r="B174" s="328" t="s">
        <v>1434</v>
      </c>
      <c r="C174" s="328" t="s">
        <v>90</v>
      </c>
      <c r="D174" s="328"/>
      <c r="E174" s="328"/>
      <c r="F174" s="328"/>
      <c r="G174" s="328" t="s">
        <v>239</v>
      </c>
      <c r="H174" s="329"/>
      <c r="I174" s="440">
        <v>73777</v>
      </c>
      <c r="J174" s="81"/>
      <c r="K174" s="81"/>
    </row>
    <row r="175" spans="1:11" s="141" customFormat="1" ht="17.25" x14ac:dyDescent="0.35">
      <c r="A175" s="327"/>
      <c r="B175" s="328"/>
      <c r="C175" s="328"/>
      <c r="D175" s="328" t="s">
        <v>69</v>
      </c>
      <c r="E175" s="328">
        <v>1</v>
      </c>
      <c r="F175" s="328">
        <v>1</v>
      </c>
      <c r="G175" s="328"/>
      <c r="H175" s="329"/>
      <c r="I175" s="440"/>
      <c r="J175" s="81"/>
      <c r="K175" s="81"/>
    </row>
    <row r="176" spans="1:11" s="141" customFormat="1" ht="17.25" x14ac:dyDescent="0.35">
      <c r="A176" s="327" t="s">
        <v>870</v>
      </c>
      <c r="B176" s="328" t="s">
        <v>871</v>
      </c>
      <c r="C176" s="328" t="s">
        <v>90</v>
      </c>
      <c r="D176" s="328"/>
      <c r="E176" s="328"/>
      <c r="F176" s="328"/>
      <c r="G176" s="328" t="s">
        <v>239</v>
      </c>
      <c r="H176" s="329"/>
      <c r="I176" s="440"/>
      <c r="J176" s="81"/>
      <c r="K176" s="81"/>
    </row>
    <row r="177" spans="1:11" s="141" customFormat="1" ht="17.25" x14ac:dyDescent="0.35">
      <c r="A177" s="327"/>
      <c r="B177" s="328"/>
      <c r="C177" s="328"/>
      <c r="D177" s="328" t="s">
        <v>69</v>
      </c>
      <c r="E177" s="328">
        <v>4</v>
      </c>
      <c r="F177" s="328">
        <v>20</v>
      </c>
      <c r="G177" s="328"/>
      <c r="H177" s="329"/>
      <c r="I177" s="440">
        <v>67194</v>
      </c>
      <c r="J177" s="81"/>
      <c r="K177" s="81"/>
    </row>
    <row r="178" spans="1:11" s="141" customFormat="1" ht="17.25" x14ac:dyDescent="0.35">
      <c r="A178" s="327" t="s">
        <v>873</v>
      </c>
      <c r="B178" s="328" t="s">
        <v>874</v>
      </c>
      <c r="C178" s="328" t="s">
        <v>90</v>
      </c>
      <c r="D178" s="328"/>
      <c r="E178" s="328"/>
      <c r="F178" s="328"/>
      <c r="G178" s="328" t="s">
        <v>239</v>
      </c>
      <c r="H178" s="329"/>
      <c r="I178" s="440"/>
      <c r="J178" s="81"/>
      <c r="K178" s="81"/>
    </row>
    <row r="179" spans="1:11" s="141" customFormat="1" ht="17.25" x14ac:dyDescent="0.35">
      <c r="A179" s="327"/>
      <c r="B179" s="328"/>
      <c r="C179" s="328"/>
      <c r="D179" s="328" t="s">
        <v>69</v>
      </c>
      <c r="E179" s="328">
        <v>4</v>
      </c>
      <c r="F179" s="328">
        <v>5</v>
      </c>
      <c r="G179" s="328"/>
      <c r="H179" s="329"/>
      <c r="I179" s="440">
        <v>67195</v>
      </c>
      <c r="J179" s="81"/>
      <c r="K179" s="81"/>
    </row>
    <row r="180" spans="1:11" s="141" customFormat="1" ht="17.25" x14ac:dyDescent="0.35">
      <c r="A180" s="327" t="s">
        <v>861</v>
      </c>
      <c r="B180" s="328" t="s">
        <v>862</v>
      </c>
      <c r="C180" s="328" t="s">
        <v>90</v>
      </c>
      <c r="D180" s="328"/>
      <c r="E180" s="328"/>
      <c r="F180" s="328"/>
      <c r="G180" s="328" t="s">
        <v>239</v>
      </c>
      <c r="H180" s="329"/>
      <c r="I180" s="440"/>
      <c r="J180" s="81"/>
      <c r="K180" s="81"/>
    </row>
    <row r="181" spans="1:11" s="141" customFormat="1" ht="17.25" x14ac:dyDescent="0.35">
      <c r="A181" s="327"/>
      <c r="B181" s="328"/>
      <c r="C181" s="328"/>
      <c r="D181" s="328" t="s">
        <v>69</v>
      </c>
      <c r="E181" s="328">
        <v>1</v>
      </c>
      <c r="F181" s="328">
        <v>2</v>
      </c>
      <c r="G181" s="328"/>
      <c r="H181" s="329"/>
      <c r="I181" s="440">
        <v>70202</v>
      </c>
      <c r="J181" s="81"/>
      <c r="K181" s="81"/>
    </row>
    <row r="182" spans="1:11" s="141" customFormat="1" ht="17.25" x14ac:dyDescent="0.35">
      <c r="A182" s="327" t="s">
        <v>630</v>
      </c>
      <c r="B182" s="328" t="s">
        <v>631</v>
      </c>
      <c r="C182" s="328" t="s">
        <v>90</v>
      </c>
      <c r="D182" s="328"/>
      <c r="E182" s="328"/>
      <c r="F182" s="328"/>
      <c r="G182" s="328" t="s">
        <v>239</v>
      </c>
      <c r="H182" s="329"/>
      <c r="I182" s="440">
        <v>67261</v>
      </c>
      <c r="J182" s="81"/>
      <c r="K182" s="81"/>
    </row>
    <row r="183" spans="1:11" s="141" customFormat="1" ht="17.25" x14ac:dyDescent="0.35">
      <c r="A183" s="327"/>
      <c r="B183" s="328"/>
      <c r="C183" s="328"/>
      <c r="D183" s="328" t="s">
        <v>69</v>
      </c>
      <c r="E183" s="328">
        <v>2</v>
      </c>
      <c r="F183" s="328">
        <v>0</v>
      </c>
      <c r="G183" s="328"/>
      <c r="H183" s="329"/>
      <c r="I183" s="440" t="s">
        <v>1435</v>
      </c>
      <c r="J183" s="81"/>
      <c r="K183" s="81"/>
    </row>
    <row r="184" spans="1:11" s="141" customFormat="1" ht="17.25" x14ac:dyDescent="0.35">
      <c r="A184" s="327"/>
      <c r="B184" s="328"/>
      <c r="C184" s="328"/>
      <c r="D184" s="328" t="s">
        <v>69</v>
      </c>
      <c r="E184" s="328">
        <v>2</v>
      </c>
      <c r="F184" s="328">
        <v>0</v>
      </c>
      <c r="G184" s="328"/>
      <c r="H184" s="329"/>
      <c r="I184" s="440" t="s">
        <v>1436</v>
      </c>
      <c r="J184" s="81"/>
      <c r="K184" s="81"/>
    </row>
    <row r="185" spans="1:11" s="141" customFormat="1" ht="17.25" x14ac:dyDescent="0.35">
      <c r="A185" s="327"/>
      <c r="B185" s="328"/>
      <c r="C185" s="328"/>
      <c r="D185" s="328" t="s">
        <v>69</v>
      </c>
      <c r="E185" s="328">
        <v>1</v>
      </c>
      <c r="F185" s="328">
        <v>0</v>
      </c>
      <c r="G185" s="328"/>
      <c r="H185" s="329"/>
      <c r="I185" s="440" t="s">
        <v>1437</v>
      </c>
      <c r="J185" s="81"/>
      <c r="K185" s="81"/>
    </row>
    <row r="186" spans="1:11" s="141" customFormat="1" ht="17.25" x14ac:dyDescent="0.35">
      <c r="A186" s="327"/>
      <c r="B186" s="328"/>
      <c r="C186" s="328"/>
      <c r="D186" s="328" t="s">
        <v>69</v>
      </c>
      <c r="E186" s="328">
        <v>1</v>
      </c>
      <c r="F186" s="328">
        <v>1</v>
      </c>
      <c r="G186" s="328"/>
      <c r="H186" s="329"/>
      <c r="I186" s="440" t="s">
        <v>635</v>
      </c>
      <c r="J186" s="81"/>
      <c r="K186" s="81"/>
    </row>
    <row r="187" spans="1:11" s="141" customFormat="1" ht="17.25" x14ac:dyDescent="0.35">
      <c r="A187" s="327"/>
      <c r="B187" s="328"/>
      <c r="C187" s="328"/>
      <c r="D187" s="328" t="s">
        <v>69</v>
      </c>
      <c r="E187" s="328">
        <v>2</v>
      </c>
      <c r="F187" s="328">
        <v>0</v>
      </c>
      <c r="G187" s="328"/>
      <c r="H187" s="329"/>
      <c r="I187" s="440" t="s">
        <v>1438</v>
      </c>
      <c r="J187" s="81"/>
      <c r="K187" s="81"/>
    </row>
    <row r="188" spans="1:11" s="141" customFormat="1" ht="17.25" x14ac:dyDescent="0.35">
      <c r="A188" s="327"/>
      <c r="B188" s="328"/>
      <c r="C188" s="328"/>
      <c r="D188" s="328" t="s">
        <v>69</v>
      </c>
      <c r="E188" s="328">
        <v>1</v>
      </c>
      <c r="F188" s="328">
        <v>0</v>
      </c>
      <c r="G188" s="328"/>
      <c r="H188" s="329"/>
      <c r="I188" s="440" t="s">
        <v>637</v>
      </c>
      <c r="J188" s="81"/>
      <c r="K188" s="81"/>
    </row>
    <row r="189" spans="1:11" s="141" customFormat="1" ht="17.25" x14ac:dyDescent="0.35">
      <c r="A189" s="327"/>
      <c r="B189" s="328"/>
      <c r="C189" s="328"/>
      <c r="D189" s="328" t="s">
        <v>69</v>
      </c>
      <c r="E189" s="328">
        <v>4</v>
      </c>
      <c r="F189" s="328">
        <v>0</v>
      </c>
      <c r="G189" s="328"/>
      <c r="H189" s="329"/>
      <c r="I189" s="440" t="s">
        <v>638</v>
      </c>
      <c r="J189" s="81"/>
      <c r="K189" s="81"/>
    </row>
    <row r="190" spans="1:11" s="141" customFormat="1" ht="17.25" x14ac:dyDescent="0.35">
      <c r="A190" s="327"/>
      <c r="B190" s="328"/>
      <c r="C190" s="328"/>
      <c r="D190" s="328" t="s">
        <v>69</v>
      </c>
      <c r="E190" s="328">
        <v>1</v>
      </c>
      <c r="F190" s="328">
        <v>2</v>
      </c>
      <c r="G190" s="328"/>
      <c r="H190" s="329"/>
      <c r="I190" s="440" t="s">
        <v>639</v>
      </c>
      <c r="J190" s="81"/>
      <c r="K190" s="81"/>
    </row>
    <row r="191" spans="1:11" s="141" customFormat="1" ht="17.25" x14ac:dyDescent="0.35">
      <c r="A191" s="327" t="s">
        <v>640</v>
      </c>
      <c r="B191" s="328" t="s">
        <v>641</v>
      </c>
      <c r="C191" s="328" t="s">
        <v>90</v>
      </c>
      <c r="D191" s="328"/>
      <c r="E191" s="328"/>
      <c r="F191" s="328"/>
      <c r="G191" s="328" t="s">
        <v>239</v>
      </c>
      <c r="H191" s="329"/>
      <c r="I191" s="440">
        <v>67264</v>
      </c>
      <c r="J191" s="81"/>
      <c r="K191" s="81"/>
    </row>
    <row r="192" spans="1:11" s="141" customFormat="1" ht="17.25" x14ac:dyDescent="0.35">
      <c r="A192" s="327"/>
      <c r="B192" s="328"/>
      <c r="C192" s="328"/>
      <c r="D192" s="328" t="s">
        <v>69</v>
      </c>
      <c r="E192" s="328">
        <v>1</v>
      </c>
      <c r="F192" s="328" t="s">
        <v>1439</v>
      </c>
      <c r="G192" s="328"/>
      <c r="H192" s="329"/>
      <c r="I192" s="440" t="s">
        <v>1440</v>
      </c>
      <c r="J192" s="81"/>
      <c r="K192" s="81"/>
    </row>
    <row r="193" spans="1:11" s="141" customFormat="1" ht="17.25" x14ac:dyDescent="0.35">
      <c r="A193" s="327"/>
      <c r="B193" s="328"/>
      <c r="C193" s="328"/>
      <c r="D193" s="328" t="s">
        <v>69</v>
      </c>
      <c r="E193" s="328">
        <v>1</v>
      </c>
      <c r="F193" s="328" t="s">
        <v>1441</v>
      </c>
      <c r="G193" s="328"/>
      <c r="H193" s="329"/>
      <c r="I193" s="440" t="s">
        <v>1442</v>
      </c>
      <c r="J193" s="81"/>
      <c r="K193" s="81"/>
    </row>
    <row r="194" spans="1:11" s="141" customFormat="1" ht="17.25" x14ac:dyDescent="0.35">
      <c r="A194" s="327"/>
      <c r="B194" s="328"/>
      <c r="C194" s="328"/>
      <c r="D194" s="328" t="s">
        <v>70</v>
      </c>
      <c r="E194" s="328">
        <v>32</v>
      </c>
      <c r="F194" s="328" t="s">
        <v>644</v>
      </c>
      <c r="G194" s="328"/>
      <c r="H194" s="329"/>
      <c r="I194" s="440" t="s">
        <v>1443</v>
      </c>
      <c r="J194" s="81"/>
      <c r="K194" s="81"/>
    </row>
    <row r="195" spans="1:11" s="141" customFormat="1" ht="17.25" x14ac:dyDescent="0.35">
      <c r="A195" s="327"/>
      <c r="B195" s="328"/>
      <c r="C195" s="328"/>
      <c r="D195" s="328" t="s">
        <v>69</v>
      </c>
      <c r="E195" s="328">
        <v>1</v>
      </c>
      <c r="F195" s="328" t="s">
        <v>1439</v>
      </c>
      <c r="G195" s="328"/>
      <c r="H195" s="329"/>
      <c r="I195" s="440" t="s">
        <v>646</v>
      </c>
      <c r="J195" s="81"/>
      <c r="K195" s="81"/>
    </row>
    <row r="196" spans="1:11" s="141" customFormat="1" ht="17.25" x14ac:dyDescent="0.35">
      <c r="A196" s="327"/>
      <c r="B196" s="328"/>
      <c r="C196" s="328"/>
      <c r="D196" s="328" t="s">
        <v>69</v>
      </c>
      <c r="E196" s="328">
        <v>1</v>
      </c>
      <c r="F196" s="328" t="s">
        <v>1439</v>
      </c>
      <c r="G196" s="328"/>
      <c r="H196" s="329"/>
      <c r="I196" s="440" t="s">
        <v>647</v>
      </c>
      <c r="J196" s="81"/>
      <c r="K196" s="81"/>
    </row>
    <row r="197" spans="1:11" s="141" customFormat="1" ht="17.25" x14ac:dyDescent="0.35">
      <c r="A197" s="327"/>
      <c r="B197" s="328"/>
      <c r="C197" s="328"/>
      <c r="D197" s="328" t="s">
        <v>69</v>
      </c>
      <c r="E197" s="328">
        <v>1</v>
      </c>
      <c r="F197" s="328" t="s">
        <v>1444</v>
      </c>
      <c r="G197" s="328"/>
      <c r="H197" s="329"/>
      <c r="I197" s="440" t="s">
        <v>648</v>
      </c>
      <c r="J197" s="81"/>
      <c r="K197" s="81"/>
    </row>
    <row r="198" spans="1:11" s="141" customFormat="1" ht="17.25" x14ac:dyDescent="0.35">
      <c r="A198" s="327"/>
      <c r="B198" s="328"/>
      <c r="C198" s="328"/>
      <c r="D198" s="328" t="s">
        <v>69</v>
      </c>
      <c r="E198" s="328">
        <v>1</v>
      </c>
      <c r="F198" s="328" t="s">
        <v>1444</v>
      </c>
      <c r="G198" s="328"/>
      <c r="H198" s="329"/>
      <c r="I198" s="440" t="s">
        <v>649</v>
      </c>
      <c r="J198" s="81"/>
      <c r="K198" s="81"/>
    </row>
    <row r="199" spans="1:11" s="141" customFormat="1" ht="17.25" x14ac:dyDescent="0.35">
      <c r="A199" s="327"/>
      <c r="B199" s="328"/>
      <c r="C199" s="328"/>
      <c r="D199" s="328" t="s">
        <v>70</v>
      </c>
      <c r="E199" s="328">
        <v>256</v>
      </c>
      <c r="F199" s="328"/>
      <c r="G199" s="328"/>
      <c r="H199" s="329"/>
      <c r="I199" s="440" t="s">
        <v>650</v>
      </c>
      <c r="J199" s="81"/>
      <c r="K199" s="81"/>
    </row>
    <row r="200" spans="1:11" s="141" customFormat="1" ht="17.25" x14ac:dyDescent="0.35">
      <c r="A200" s="327"/>
      <c r="B200" s="328"/>
      <c r="C200" s="328"/>
      <c r="D200" s="328" t="s">
        <v>69</v>
      </c>
      <c r="E200" s="328">
        <v>1</v>
      </c>
      <c r="F200" s="328" t="s">
        <v>1445</v>
      </c>
      <c r="G200" s="328"/>
      <c r="H200" s="329"/>
      <c r="I200" s="440" t="s">
        <v>651</v>
      </c>
      <c r="J200" s="81"/>
      <c r="K200" s="81"/>
    </row>
    <row r="201" spans="1:11" s="141" customFormat="1" ht="17.25" x14ac:dyDescent="0.35">
      <c r="A201" s="327"/>
      <c r="B201" s="328"/>
      <c r="C201" s="328"/>
      <c r="D201" s="328" t="s">
        <v>69</v>
      </c>
      <c r="E201" s="328">
        <v>1</v>
      </c>
      <c r="F201" s="328" t="s">
        <v>1444</v>
      </c>
      <c r="G201" s="328"/>
      <c r="H201" s="329"/>
      <c r="I201" s="440" t="s">
        <v>1446</v>
      </c>
      <c r="J201" s="81"/>
      <c r="K201" s="81"/>
    </row>
    <row r="202" spans="1:11" s="141" customFormat="1" ht="17.25" x14ac:dyDescent="0.35">
      <c r="A202" s="327"/>
      <c r="B202" s="328"/>
      <c r="C202" s="328"/>
      <c r="D202" s="328" t="s">
        <v>69</v>
      </c>
      <c r="E202" s="328">
        <v>1</v>
      </c>
      <c r="F202" s="328" t="s">
        <v>1444</v>
      </c>
      <c r="G202" s="328"/>
      <c r="H202" s="329"/>
      <c r="I202" s="440" t="s">
        <v>653</v>
      </c>
      <c r="J202" s="81"/>
      <c r="K202" s="81"/>
    </row>
    <row r="203" spans="1:11" s="141" customFormat="1" ht="17.25" x14ac:dyDescent="0.35">
      <c r="A203" s="327"/>
      <c r="B203" s="328"/>
      <c r="C203" s="328"/>
      <c r="D203" s="328" t="s">
        <v>69</v>
      </c>
      <c r="E203" s="328">
        <v>2</v>
      </c>
      <c r="F203" s="328" t="s">
        <v>1444</v>
      </c>
      <c r="G203" s="328"/>
      <c r="H203" s="329"/>
      <c r="I203" s="440" t="s">
        <v>654</v>
      </c>
      <c r="J203" s="81"/>
      <c r="K203" s="81"/>
    </row>
    <row r="204" spans="1:11" s="141" customFormat="1" ht="17.25" x14ac:dyDescent="0.35">
      <c r="A204" s="327"/>
      <c r="B204" s="328"/>
      <c r="C204" s="328"/>
      <c r="D204" s="328" t="s">
        <v>69</v>
      </c>
      <c r="E204" s="328">
        <v>1</v>
      </c>
      <c r="F204" s="328" t="s">
        <v>1444</v>
      </c>
      <c r="G204" s="328"/>
      <c r="H204" s="329"/>
      <c r="I204" s="440" t="s">
        <v>655</v>
      </c>
      <c r="J204" s="81"/>
      <c r="K204" s="81"/>
    </row>
    <row r="205" spans="1:11" s="141" customFormat="1" ht="17.25" x14ac:dyDescent="0.35">
      <c r="A205" s="327"/>
      <c r="B205" s="328"/>
      <c r="C205" s="328"/>
      <c r="D205" s="328" t="s">
        <v>69</v>
      </c>
      <c r="E205" s="328">
        <v>1</v>
      </c>
      <c r="F205" s="328" t="s">
        <v>1444</v>
      </c>
      <c r="G205" s="328"/>
      <c r="H205" s="329"/>
      <c r="I205" s="440" t="s">
        <v>656</v>
      </c>
      <c r="J205" s="81"/>
      <c r="K205" s="81"/>
    </row>
    <row r="206" spans="1:11" s="141" customFormat="1" ht="17.25" x14ac:dyDescent="0.35">
      <c r="A206" s="327"/>
      <c r="B206" s="328"/>
      <c r="C206" s="328"/>
      <c r="D206" s="328" t="s">
        <v>70</v>
      </c>
      <c r="E206" s="328">
        <v>32</v>
      </c>
      <c r="F206" s="328"/>
      <c r="G206" s="328"/>
      <c r="H206" s="329"/>
      <c r="I206" s="440" t="s">
        <v>657</v>
      </c>
      <c r="J206" s="81"/>
      <c r="K206" s="81"/>
    </row>
    <row r="207" spans="1:11" s="141" customFormat="1" ht="17.25" x14ac:dyDescent="0.35">
      <c r="A207" s="327"/>
      <c r="B207" s="328"/>
      <c r="C207" s="328"/>
      <c r="D207" s="328" t="s">
        <v>70</v>
      </c>
      <c r="E207" s="328">
        <v>32</v>
      </c>
      <c r="F207" s="328"/>
      <c r="G207" s="328"/>
      <c r="H207" s="329"/>
      <c r="I207" s="440" t="s">
        <v>658</v>
      </c>
      <c r="J207" s="81"/>
      <c r="K207" s="81"/>
    </row>
    <row r="208" spans="1:11" s="141" customFormat="1" ht="17.25" x14ac:dyDescent="0.35">
      <c r="A208" s="327"/>
      <c r="B208" s="328"/>
      <c r="C208" s="328"/>
      <c r="D208" s="328" t="s">
        <v>69</v>
      </c>
      <c r="E208" s="328">
        <v>1</v>
      </c>
      <c r="F208" s="328" t="s">
        <v>1447</v>
      </c>
      <c r="G208" s="328"/>
      <c r="H208" s="329"/>
      <c r="I208" s="440" t="s">
        <v>659</v>
      </c>
      <c r="J208" s="81"/>
      <c r="K208" s="81"/>
    </row>
    <row r="209" spans="1:11" s="141" customFormat="1" ht="17.25" x14ac:dyDescent="0.35">
      <c r="A209" s="327"/>
      <c r="B209" s="328"/>
      <c r="C209" s="328"/>
      <c r="D209" s="328" t="s">
        <v>70</v>
      </c>
      <c r="E209" s="328">
        <v>32</v>
      </c>
      <c r="F209" s="328" t="s">
        <v>660</v>
      </c>
      <c r="G209" s="328"/>
      <c r="H209" s="329"/>
      <c r="I209" s="440" t="s">
        <v>661</v>
      </c>
      <c r="J209" s="81"/>
      <c r="K209" s="81"/>
    </row>
    <row r="210" spans="1:11" s="141" customFormat="1" ht="17.25" x14ac:dyDescent="0.35">
      <c r="A210" s="327"/>
      <c r="B210" s="328"/>
      <c r="C210" s="328"/>
      <c r="D210" s="328" t="s">
        <v>69</v>
      </c>
      <c r="E210" s="328">
        <v>1</v>
      </c>
      <c r="F210" s="328" t="s">
        <v>1439</v>
      </c>
      <c r="G210" s="328"/>
      <c r="H210" s="329"/>
      <c r="I210" s="440" t="s">
        <v>662</v>
      </c>
      <c r="J210" s="81"/>
      <c r="K210" s="81"/>
    </row>
    <row r="211" spans="1:11" s="141" customFormat="1" ht="17.25" x14ac:dyDescent="0.35">
      <c r="A211" s="327"/>
      <c r="B211" s="328"/>
      <c r="C211" s="328"/>
      <c r="D211" s="328" t="s">
        <v>69</v>
      </c>
      <c r="E211" s="328">
        <v>1</v>
      </c>
      <c r="F211" s="328" t="s">
        <v>1448</v>
      </c>
      <c r="G211" s="328"/>
      <c r="H211" s="329"/>
      <c r="I211" s="440" t="s">
        <v>663</v>
      </c>
      <c r="J211" s="81"/>
      <c r="K211" s="81"/>
    </row>
    <row r="212" spans="1:11" s="141" customFormat="1" ht="17.25" x14ac:dyDescent="0.35">
      <c r="A212" s="327"/>
      <c r="B212" s="328"/>
      <c r="C212" s="328"/>
      <c r="D212" s="328" t="s">
        <v>69</v>
      </c>
      <c r="E212" s="328">
        <v>1</v>
      </c>
      <c r="F212" s="328" t="s">
        <v>1449</v>
      </c>
      <c r="G212" s="328"/>
      <c r="H212" s="329"/>
      <c r="I212" s="440" t="s">
        <v>664</v>
      </c>
      <c r="J212" s="81"/>
      <c r="K212" s="81"/>
    </row>
    <row r="213" spans="1:11" s="141" customFormat="1" ht="17.25" x14ac:dyDescent="0.35">
      <c r="A213" s="327"/>
      <c r="B213" s="328"/>
      <c r="C213" s="328"/>
      <c r="D213" s="328" t="s">
        <v>69</v>
      </c>
      <c r="E213" s="328">
        <v>1</v>
      </c>
      <c r="F213" s="328" t="s">
        <v>1450</v>
      </c>
      <c r="G213" s="328"/>
      <c r="H213" s="329"/>
      <c r="I213" s="440" t="s">
        <v>665</v>
      </c>
      <c r="J213" s="81"/>
      <c r="K213" s="81"/>
    </row>
    <row r="214" spans="1:11" s="141" customFormat="1" ht="17.25" x14ac:dyDescent="0.35">
      <c r="A214" s="327"/>
      <c r="B214" s="328"/>
      <c r="C214" s="328"/>
      <c r="D214" s="328" t="s">
        <v>69</v>
      </c>
      <c r="E214" s="328">
        <v>1</v>
      </c>
      <c r="F214" s="328" t="s">
        <v>1444</v>
      </c>
      <c r="G214" s="328"/>
      <c r="H214" s="329"/>
      <c r="I214" s="440" t="s">
        <v>666</v>
      </c>
      <c r="J214" s="81"/>
      <c r="K214" s="81"/>
    </row>
    <row r="215" spans="1:11" s="141" customFormat="1" ht="17.25" x14ac:dyDescent="0.35">
      <c r="A215" s="327"/>
      <c r="B215" s="328"/>
      <c r="C215" s="328"/>
      <c r="D215" s="328" t="s">
        <v>69</v>
      </c>
      <c r="E215" s="328">
        <v>2</v>
      </c>
      <c r="F215" s="328" t="s">
        <v>1451</v>
      </c>
      <c r="G215" s="328"/>
      <c r="H215" s="329"/>
      <c r="I215" s="440" t="s">
        <v>667</v>
      </c>
      <c r="J215" s="81"/>
      <c r="K215" s="81"/>
    </row>
    <row r="216" spans="1:11" s="141" customFormat="1" ht="17.25" x14ac:dyDescent="0.35">
      <c r="A216" s="327" t="s">
        <v>668</v>
      </c>
      <c r="B216" s="328" t="s">
        <v>669</v>
      </c>
      <c r="C216" s="328" t="s">
        <v>90</v>
      </c>
      <c r="D216" s="328"/>
      <c r="E216" s="328"/>
      <c r="F216" s="328"/>
      <c r="G216" s="328" t="s">
        <v>239</v>
      </c>
      <c r="H216" s="329"/>
      <c r="I216" s="440">
        <v>67259</v>
      </c>
      <c r="J216" s="81"/>
      <c r="K216" s="81"/>
    </row>
    <row r="217" spans="1:11" s="141" customFormat="1" ht="17.25" x14ac:dyDescent="0.35">
      <c r="A217" s="327"/>
      <c r="B217" s="328"/>
      <c r="C217" s="328"/>
      <c r="D217" s="328" t="s">
        <v>70</v>
      </c>
      <c r="E217" s="328">
        <v>128</v>
      </c>
      <c r="F217" s="328"/>
      <c r="G217" s="328"/>
      <c r="H217" s="329"/>
      <c r="I217" s="440" t="s">
        <v>670</v>
      </c>
      <c r="J217" s="81"/>
      <c r="K217" s="81"/>
    </row>
    <row r="218" spans="1:11" s="141" customFormat="1" ht="17.25" x14ac:dyDescent="0.35">
      <c r="A218" s="327"/>
      <c r="B218" s="328"/>
      <c r="C218" s="328"/>
      <c r="D218" s="328" t="s">
        <v>69</v>
      </c>
      <c r="E218" s="328">
        <v>1</v>
      </c>
      <c r="F218" s="328">
        <v>1</v>
      </c>
      <c r="G218" s="328"/>
      <c r="H218" s="329"/>
      <c r="I218" s="440" t="s">
        <v>671</v>
      </c>
      <c r="J218" s="81"/>
      <c r="K218" s="81"/>
    </row>
    <row r="219" spans="1:11" s="141" customFormat="1" ht="17.25" x14ac:dyDescent="0.35">
      <c r="A219" s="327"/>
      <c r="B219" s="328"/>
      <c r="C219" s="328"/>
      <c r="D219" s="328" t="s">
        <v>70</v>
      </c>
      <c r="E219" s="328">
        <v>128</v>
      </c>
      <c r="F219" s="328" t="s">
        <v>672</v>
      </c>
      <c r="G219" s="328"/>
      <c r="H219" s="329"/>
      <c r="I219" s="440" t="s">
        <v>673</v>
      </c>
      <c r="J219" s="81"/>
      <c r="K219" s="81"/>
    </row>
    <row r="220" spans="1:11" s="141" customFormat="1" ht="17.25" x14ac:dyDescent="0.35">
      <c r="A220" s="327"/>
      <c r="B220" s="328"/>
      <c r="C220" s="328"/>
      <c r="D220" s="328" t="s">
        <v>70</v>
      </c>
      <c r="E220" s="328">
        <v>64</v>
      </c>
      <c r="F220" s="328" t="s">
        <v>1452</v>
      </c>
      <c r="G220" s="328"/>
      <c r="H220" s="329"/>
      <c r="I220" s="440" t="s">
        <v>675</v>
      </c>
      <c r="J220" s="81"/>
      <c r="K220" s="81"/>
    </row>
    <row r="221" spans="1:11" s="141" customFormat="1" ht="17.25" x14ac:dyDescent="0.35">
      <c r="A221" s="327"/>
      <c r="B221" s="328"/>
      <c r="C221" s="328"/>
      <c r="D221" s="328" t="s">
        <v>69</v>
      </c>
      <c r="E221" s="328">
        <v>4</v>
      </c>
      <c r="F221" s="328">
        <v>8414222</v>
      </c>
      <c r="G221" s="328"/>
      <c r="H221" s="329"/>
      <c r="I221" s="440" t="s">
        <v>676</v>
      </c>
      <c r="J221" s="81"/>
      <c r="K221" s="81"/>
    </row>
    <row r="222" spans="1:11" s="141" customFormat="1" ht="17.25" x14ac:dyDescent="0.35">
      <c r="A222" s="327"/>
      <c r="B222" s="328"/>
      <c r="C222" s="328"/>
      <c r="D222" s="328" t="s">
        <v>70</v>
      </c>
      <c r="E222" s="328">
        <v>256</v>
      </c>
      <c r="F222" s="328"/>
      <c r="G222" s="328"/>
      <c r="H222" s="329"/>
      <c r="I222" s="440" t="s">
        <v>677</v>
      </c>
      <c r="J222" s="81"/>
      <c r="K222" s="81"/>
    </row>
    <row r="223" spans="1:11" s="141" customFormat="1" ht="17.25" x14ac:dyDescent="0.35">
      <c r="A223" s="327"/>
      <c r="B223" s="328"/>
      <c r="C223" s="328"/>
      <c r="D223" s="328" t="s">
        <v>69</v>
      </c>
      <c r="E223" s="328">
        <v>1</v>
      </c>
      <c r="F223" s="328">
        <v>1</v>
      </c>
      <c r="G223" s="328"/>
      <c r="H223" s="329"/>
      <c r="I223" s="440" t="s">
        <v>678</v>
      </c>
      <c r="J223" s="81"/>
      <c r="K223" s="81"/>
    </row>
    <row r="224" spans="1:11" s="141" customFormat="1" ht="17.25" x14ac:dyDescent="0.35">
      <c r="A224" s="327" t="s">
        <v>679</v>
      </c>
      <c r="B224" s="328" t="s">
        <v>680</v>
      </c>
      <c r="C224" s="328" t="s">
        <v>90</v>
      </c>
      <c r="D224" s="328"/>
      <c r="E224" s="328"/>
      <c r="F224" s="328"/>
      <c r="G224" s="328" t="s">
        <v>239</v>
      </c>
      <c r="H224" s="329"/>
      <c r="I224" s="440">
        <v>69744</v>
      </c>
      <c r="J224" s="81"/>
      <c r="K224" s="81"/>
    </row>
    <row r="225" spans="1:11" s="141" customFormat="1" ht="17.25" x14ac:dyDescent="0.35">
      <c r="A225" s="327" t="s">
        <v>139</v>
      </c>
      <c r="B225" s="328" t="s">
        <v>139</v>
      </c>
      <c r="C225" s="328"/>
      <c r="D225" s="328" t="s">
        <v>69</v>
      </c>
      <c r="E225" s="328">
        <v>1</v>
      </c>
      <c r="F225" s="328" t="s">
        <v>1453</v>
      </c>
      <c r="G225" s="328"/>
      <c r="H225" s="329"/>
      <c r="I225" s="440" t="s">
        <v>587</v>
      </c>
      <c r="J225" s="81"/>
      <c r="K225" s="81"/>
    </row>
    <row r="226" spans="1:11" s="141" customFormat="1" ht="17.25" x14ac:dyDescent="0.35">
      <c r="A226" s="327" t="s">
        <v>139</v>
      </c>
      <c r="B226" s="328" t="s">
        <v>139</v>
      </c>
      <c r="C226" s="328"/>
      <c r="D226" s="328" t="s">
        <v>69</v>
      </c>
      <c r="E226" s="328">
        <v>2</v>
      </c>
      <c r="F226" s="328">
        <v>5060</v>
      </c>
      <c r="G226" s="328"/>
      <c r="H226" s="329"/>
      <c r="I226" s="440" t="s">
        <v>681</v>
      </c>
      <c r="J226" s="81"/>
      <c r="K226" s="81"/>
    </row>
    <row r="227" spans="1:11" s="141" customFormat="1" ht="17.25" x14ac:dyDescent="0.35">
      <c r="A227" s="327" t="s">
        <v>139</v>
      </c>
      <c r="B227" s="328" t="s">
        <v>139</v>
      </c>
      <c r="C227" s="328"/>
      <c r="D227" s="328" t="s">
        <v>69</v>
      </c>
      <c r="E227" s="328">
        <v>4</v>
      </c>
      <c r="F227" s="328">
        <v>600000</v>
      </c>
      <c r="G227" s="328"/>
      <c r="H227" s="329"/>
      <c r="I227" s="440" t="s">
        <v>682</v>
      </c>
      <c r="J227" s="81"/>
      <c r="K227" s="81"/>
    </row>
    <row r="228" spans="1:11" s="141" customFormat="1" ht="17.25" x14ac:dyDescent="0.35">
      <c r="A228" s="327" t="s">
        <v>139</v>
      </c>
      <c r="B228" s="328" t="s">
        <v>139</v>
      </c>
      <c r="C228" s="328"/>
      <c r="D228" s="328" t="s">
        <v>69</v>
      </c>
      <c r="E228" s="328">
        <v>4</v>
      </c>
      <c r="F228" s="328" t="s">
        <v>1454</v>
      </c>
      <c r="G228" s="328"/>
      <c r="H228" s="329"/>
      <c r="I228" s="440" t="s">
        <v>683</v>
      </c>
      <c r="J228" s="81"/>
      <c r="K228" s="81"/>
    </row>
    <row r="229" spans="1:11" s="141" customFormat="1" ht="17.25" x14ac:dyDescent="0.35">
      <c r="A229" s="327" t="s">
        <v>139</v>
      </c>
      <c r="B229" s="328" t="s">
        <v>139</v>
      </c>
      <c r="C229" s="328"/>
      <c r="D229" s="328" t="s">
        <v>69</v>
      </c>
      <c r="E229" s="328">
        <v>4</v>
      </c>
      <c r="F229" s="328">
        <v>2000</v>
      </c>
      <c r="G229" s="328"/>
      <c r="H229" s="329"/>
      <c r="I229" s="440" t="s">
        <v>684</v>
      </c>
      <c r="J229" s="81"/>
      <c r="K229" s="81"/>
    </row>
    <row r="230" spans="1:11" s="141" customFormat="1" ht="17.25" x14ac:dyDescent="0.35">
      <c r="A230" s="327" t="s">
        <v>139</v>
      </c>
      <c r="B230" s="328" t="s">
        <v>139</v>
      </c>
      <c r="C230" s="328"/>
      <c r="D230" s="328" t="s">
        <v>69</v>
      </c>
      <c r="E230" s="328">
        <v>4</v>
      </c>
      <c r="F230" s="328">
        <v>16000</v>
      </c>
      <c r="G230" s="328"/>
      <c r="H230" s="329"/>
      <c r="I230" s="440" t="s">
        <v>685</v>
      </c>
      <c r="J230" s="81"/>
      <c r="K230" s="81"/>
    </row>
    <row r="231" spans="1:11" s="141" customFormat="1" ht="17.25" x14ac:dyDescent="0.35">
      <c r="A231" s="327" t="s">
        <v>139</v>
      </c>
      <c r="B231" s="328" t="s">
        <v>139</v>
      </c>
      <c r="C231" s="328"/>
      <c r="D231" s="328" t="s">
        <v>69</v>
      </c>
      <c r="E231" s="328">
        <v>4</v>
      </c>
      <c r="F231" s="328">
        <v>17000</v>
      </c>
      <c r="G231" s="328"/>
      <c r="H231" s="329"/>
      <c r="I231" s="440" t="s">
        <v>686</v>
      </c>
      <c r="J231" s="81"/>
      <c r="K231" s="81"/>
    </row>
    <row r="232" spans="1:11" s="141" customFormat="1" ht="17.25" x14ac:dyDescent="0.35">
      <c r="A232" s="327" t="s">
        <v>139</v>
      </c>
      <c r="B232" s="328" t="s">
        <v>139</v>
      </c>
      <c r="C232" s="328"/>
      <c r="D232" s="328" t="s">
        <v>69</v>
      </c>
      <c r="E232" s="328">
        <v>4</v>
      </c>
      <c r="F232" s="328">
        <v>30000</v>
      </c>
      <c r="G232" s="328"/>
      <c r="H232" s="329"/>
      <c r="I232" s="440" t="s">
        <v>687</v>
      </c>
      <c r="J232" s="81"/>
      <c r="K232" s="81"/>
    </row>
    <row r="233" spans="1:11" s="141" customFormat="1" ht="17.25" x14ac:dyDescent="0.35">
      <c r="A233" s="327" t="s">
        <v>139</v>
      </c>
      <c r="B233" s="328" t="s">
        <v>139</v>
      </c>
      <c r="C233" s="328"/>
      <c r="D233" s="328" t="s">
        <v>69</v>
      </c>
      <c r="E233" s="328">
        <v>4</v>
      </c>
      <c r="F233" s="328">
        <v>30000</v>
      </c>
      <c r="G233" s="328"/>
      <c r="H233" s="329"/>
      <c r="I233" s="440" t="s">
        <v>688</v>
      </c>
      <c r="J233" s="81"/>
      <c r="K233" s="81"/>
    </row>
    <row r="234" spans="1:11" s="141" customFormat="1" ht="17.25" x14ac:dyDescent="0.35">
      <c r="A234" s="327" t="s">
        <v>139</v>
      </c>
      <c r="B234" s="328" t="s">
        <v>139</v>
      </c>
      <c r="C234" s="328"/>
      <c r="D234" s="328" t="s">
        <v>69</v>
      </c>
      <c r="E234" s="328">
        <v>2</v>
      </c>
      <c r="F234" s="328">
        <v>1300</v>
      </c>
      <c r="G234" s="328"/>
      <c r="H234" s="329"/>
      <c r="I234" s="440" t="s">
        <v>689</v>
      </c>
      <c r="J234" s="81"/>
      <c r="K234" s="81"/>
    </row>
    <row r="235" spans="1:11" s="141" customFormat="1" ht="17.25" x14ac:dyDescent="0.35">
      <c r="A235" s="327" t="s">
        <v>139</v>
      </c>
      <c r="B235" s="328" t="s">
        <v>139</v>
      </c>
      <c r="C235" s="328"/>
      <c r="D235" s="328" t="s">
        <v>69</v>
      </c>
      <c r="E235" s="328">
        <v>1</v>
      </c>
      <c r="F235" s="328">
        <v>1</v>
      </c>
      <c r="G235" s="328"/>
      <c r="H235" s="329"/>
      <c r="I235" s="440" t="s">
        <v>690</v>
      </c>
      <c r="J235" s="81"/>
      <c r="K235" s="81"/>
    </row>
    <row r="236" spans="1:11" s="141" customFormat="1" ht="17.25" x14ac:dyDescent="0.35">
      <c r="A236" s="327" t="s">
        <v>139</v>
      </c>
      <c r="B236" s="328" t="s">
        <v>139</v>
      </c>
      <c r="C236" s="328"/>
      <c r="D236" s="328" t="s">
        <v>69</v>
      </c>
      <c r="E236" s="328">
        <v>1</v>
      </c>
      <c r="F236" s="328">
        <v>0</v>
      </c>
      <c r="G236" s="328"/>
      <c r="H236" s="329"/>
      <c r="I236" s="440" t="s">
        <v>691</v>
      </c>
      <c r="J236" s="81"/>
      <c r="K236" s="81"/>
    </row>
    <row r="237" spans="1:11" s="141" customFormat="1" ht="17.25" x14ac:dyDescent="0.35">
      <c r="A237" s="327" t="s">
        <v>139</v>
      </c>
      <c r="B237" s="328" t="s">
        <v>139</v>
      </c>
      <c r="C237" s="328"/>
      <c r="D237" s="328" t="s">
        <v>69</v>
      </c>
      <c r="E237" s="328">
        <v>1</v>
      </c>
      <c r="F237" s="328">
        <v>0</v>
      </c>
      <c r="G237" s="328"/>
      <c r="H237" s="329"/>
      <c r="I237" s="440" t="s">
        <v>692</v>
      </c>
      <c r="J237" s="81"/>
      <c r="K237" s="81"/>
    </row>
    <row r="238" spans="1:11" s="141" customFormat="1" ht="17.25" x14ac:dyDescent="0.35">
      <c r="A238" s="327" t="s">
        <v>139</v>
      </c>
      <c r="B238" s="328" t="s">
        <v>139</v>
      </c>
      <c r="C238" s="328"/>
      <c r="D238" s="328" t="s">
        <v>69</v>
      </c>
      <c r="E238" s="328">
        <v>1</v>
      </c>
      <c r="F238" s="328">
        <v>3</v>
      </c>
      <c r="G238" s="328"/>
      <c r="H238" s="329"/>
      <c r="I238" s="440" t="s">
        <v>693</v>
      </c>
      <c r="J238" s="81"/>
      <c r="K238" s="81"/>
    </row>
    <row r="239" spans="1:11" s="141" customFormat="1" ht="17.25" x14ac:dyDescent="0.35">
      <c r="A239" s="327" t="s">
        <v>139</v>
      </c>
      <c r="B239" s="328" t="s">
        <v>139</v>
      </c>
      <c r="C239" s="328"/>
      <c r="D239" s="328" t="s">
        <v>69</v>
      </c>
      <c r="E239" s="328">
        <v>1</v>
      </c>
      <c r="F239" s="328" t="s">
        <v>1455</v>
      </c>
      <c r="G239" s="328"/>
      <c r="H239" s="329"/>
      <c r="I239" s="440" t="s">
        <v>694</v>
      </c>
      <c r="J239" s="81"/>
      <c r="K239" s="81"/>
    </row>
    <row r="240" spans="1:11" s="141" customFormat="1" ht="17.25" x14ac:dyDescent="0.35">
      <c r="A240" s="327" t="s">
        <v>139</v>
      </c>
      <c r="B240" s="328" t="s">
        <v>139</v>
      </c>
      <c r="C240" s="328"/>
      <c r="D240" s="328" t="s">
        <v>69</v>
      </c>
      <c r="E240" s="328">
        <v>1</v>
      </c>
      <c r="F240" s="328" t="s">
        <v>1449</v>
      </c>
      <c r="G240" s="328"/>
      <c r="H240" s="329"/>
      <c r="I240" s="440" t="s">
        <v>695</v>
      </c>
      <c r="J240" s="81"/>
      <c r="K240" s="81"/>
    </row>
    <row r="241" spans="1:11" s="141" customFormat="1" ht="17.25" x14ac:dyDescent="0.35">
      <c r="A241" s="327" t="s">
        <v>139</v>
      </c>
      <c r="B241" s="328" t="s">
        <v>139</v>
      </c>
      <c r="C241" s="328"/>
      <c r="D241" s="328" t="s">
        <v>69</v>
      </c>
      <c r="E241" s="328">
        <v>1</v>
      </c>
      <c r="F241" s="328">
        <v>0</v>
      </c>
      <c r="G241" s="328"/>
      <c r="H241" s="329"/>
      <c r="I241" s="440" t="s">
        <v>696</v>
      </c>
      <c r="J241" s="81"/>
      <c r="K241" s="81"/>
    </row>
    <row r="242" spans="1:11" s="141" customFormat="1" ht="17.25" x14ac:dyDescent="0.35">
      <c r="A242" s="327" t="s">
        <v>139</v>
      </c>
      <c r="B242" s="328" t="s">
        <v>139</v>
      </c>
      <c r="C242" s="328"/>
      <c r="D242" s="328" t="s">
        <v>70</v>
      </c>
      <c r="E242" s="328">
        <v>256</v>
      </c>
      <c r="F242" s="328"/>
      <c r="G242" s="328"/>
      <c r="H242" s="329"/>
      <c r="I242" s="440" t="s">
        <v>697</v>
      </c>
      <c r="J242" s="81"/>
      <c r="K242" s="81"/>
    </row>
    <row r="243" spans="1:11" s="141" customFormat="1" ht="17.25" x14ac:dyDescent="0.35">
      <c r="A243" s="327" t="s">
        <v>139</v>
      </c>
      <c r="B243" s="328" t="s">
        <v>139</v>
      </c>
      <c r="C243" s="328"/>
      <c r="D243" s="328" t="s">
        <v>70</v>
      </c>
      <c r="E243" s="328">
        <v>256</v>
      </c>
      <c r="F243" s="328"/>
      <c r="G243" s="328"/>
      <c r="H243" s="329"/>
      <c r="I243" s="440" t="s">
        <v>698</v>
      </c>
      <c r="J243" s="81"/>
      <c r="K243" s="81"/>
    </row>
    <row r="244" spans="1:11" s="141" customFormat="1" ht="17.25" x14ac:dyDescent="0.35">
      <c r="A244" s="327"/>
      <c r="B244" s="328"/>
      <c r="C244" s="328"/>
      <c r="D244" s="328" t="s">
        <v>69</v>
      </c>
      <c r="E244" s="328">
        <v>1</v>
      </c>
      <c r="F244" s="328">
        <v>0</v>
      </c>
      <c r="G244" s="328"/>
      <c r="H244" s="329"/>
      <c r="I244" s="440" t="s">
        <v>699</v>
      </c>
      <c r="J244" s="81"/>
      <c r="K244" s="81"/>
    </row>
    <row r="245" spans="1:11" s="141" customFormat="1" ht="17.25" x14ac:dyDescent="0.35">
      <c r="A245" s="327"/>
      <c r="B245" s="328"/>
      <c r="C245" s="328"/>
      <c r="D245" s="328" t="s">
        <v>69</v>
      </c>
      <c r="E245" s="328">
        <v>4</v>
      </c>
      <c r="F245" s="328">
        <v>0</v>
      </c>
      <c r="G245" s="328"/>
      <c r="H245" s="329"/>
      <c r="I245" s="440" t="s">
        <v>1456</v>
      </c>
      <c r="J245" s="81"/>
      <c r="K245" s="81"/>
    </row>
    <row r="246" spans="1:11" s="141" customFormat="1" ht="17.25" x14ac:dyDescent="0.35">
      <c r="A246" s="327"/>
      <c r="B246" s="328"/>
      <c r="C246" s="328"/>
      <c r="D246" s="328" t="s">
        <v>69</v>
      </c>
      <c r="E246" s="328">
        <v>4</v>
      </c>
      <c r="F246" s="328">
        <v>0</v>
      </c>
      <c r="G246" s="328"/>
      <c r="H246" s="329"/>
      <c r="I246" s="440" t="s">
        <v>1457</v>
      </c>
      <c r="J246" s="81"/>
      <c r="K246" s="81"/>
    </row>
    <row r="247" spans="1:11" s="141" customFormat="1" ht="17.25" x14ac:dyDescent="0.35">
      <c r="A247" s="327"/>
      <c r="B247" s="328"/>
      <c r="C247" s="328"/>
      <c r="D247" s="328" t="s">
        <v>69</v>
      </c>
      <c r="E247" s="328">
        <v>4</v>
      </c>
      <c r="F247" s="328">
        <v>0</v>
      </c>
      <c r="G247" s="328"/>
      <c r="H247" s="329"/>
      <c r="I247" s="440" t="s">
        <v>1458</v>
      </c>
      <c r="J247" s="81"/>
      <c r="K247" s="81"/>
    </row>
    <row r="248" spans="1:11" s="141" customFormat="1" ht="17.25" x14ac:dyDescent="0.35">
      <c r="A248" s="327"/>
      <c r="B248" s="328"/>
      <c r="C248" s="328"/>
      <c r="D248" s="328" t="s">
        <v>69</v>
      </c>
      <c r="E248" s="328">
        <v>4</v>
      </c>
      <c r="F248" s="328">
        <v>0</v>
      </c>
      <c r="G248" s="328"/>
      <c r="H248" s="329"/>
      <c r="I248" s="440" t="s">
        <v>1459</v>
      </c>
      <c r="J248" s="81"/>
      <c r="K248" s="81"/>
    </row>
    <row r="249" spans="1:11" s="141" customFormat="1" ht="17.25" x14ac:dyDescent="0.35">
      <c r="A249" s="327"/>
      <c r="B249" s="328"/>
      <c r="C249" s="328"/>
      <c r="D249" s="328" t="s">
        <v>69</v>
      </c>
      <c r="E249" s="328">
        <v>4</v>
      </c>
      <c r="F249" s="328">
        <v>0</v>
      </c>
      <c r="G249" s="328"/>
      <c r="H249" s="329"/>
      <c r="I249" s="440" t="s">
        <v>1460</v>
      </c>
      <c r="J249" s="81"/>
      <c r="K249" s="81"/>
    </row>
    <row r="250" spans="1:11" s="141" customFormat="1" ht="17.25" x14ac:dyDescent="0.35">
      <c r="A250" s="327"/>
      <c r="B250" s="328"/>
      <c r="C250" s="328"/>
      <c r="D250" s="328" t="s">
        <v>69</v>
      </c>
      <c r="E250" s="328">
        <v>4</v>
      </c>
      <c r="F250" s="328">
        <v>0</v>
      </c>
      <c r="G250" s="328"/>
      <c r="H250" s="329"/>
      <c r="I250" s="440" t="s">
        <v>1461</v>
      </c>
      <c r="J250" s="81"/>
      <c r="K250" s="81"/>
    </row>
    <row r="251" spans="1:11" s="141" customFormat="1" ht="17.25" x14ac:dyDescent="0.35">
      <c r="A251" s="327"/>
      <c r="B251" s="328"/>
      <c r="C251" s="328"/>
      <c r="D251" s="328" t="s">
        <v>69</v>
      </c>
      <c r="E251" s="328">
        <v>4</v>
      </c>
      <c r="F251" s="328">
        <v>0</v>
      </c>
      <c r="G251" s="328"/>
      <c r="H251" s="329"/>
      <c r="I251" s="440" t="s">
        <v>1462</v>
      </c>
      <c r="J251" s="81"/>
      <c r="K251" s="81"/>
    </row>
    <row r="252" spans="1:11" s="141" customFormat="1" ht="17.25" x14ac:dyDescent="0.35">
      <c r="A252" s="327"/>
      <c r="B252" s="328"/>
      <c r="C252" s="328"/>
      <c r="D252" s="328" t="s">
        <v>69</v>
      </c>
      <c r="E252" s="328">
        <v>4</v>
      </c>
      <c r="F252" s="328">
        <v>0</v>
      </c>
      <c r="G252" s="328"/>
      <c r="H252" s="329"/>
      <c r="I252" s="440" t="s">
        <v>1463</v>
      </c>
      <c r="J252" s="81"/>
      <c r="K252" s="81"/>
    </row>
    <row r="253" spans="1:11" s="141" customFormat="1" ht="17.25" x14ac:dyDescent="0.35">
      <c r="A253" s="327"/>
      <c r="B253" s="328"/>
      <c r="C253" s="328"/>
      <c r="D253" s="328" t="s">
        <v>69</v>
      </c>
      <c r="E253" s="328">
        <v>1</v>
      </c>
      <c r="F253" s="328">
        <v>0</v>
      </c>
      <c r="G253" s="328"/>
      <c r="H253" s="329"/>
      <c r="I253" s="440" t="s">
        <v>708</v>
      </c>
      <c r="J253" s="81"/>
      <c r="K253" s="81"/>
    </row>
    <row r="254" spans="1:11" s="141" customFormat="1" ht="17.25" x14ac:dyDescent="0.35">
      <c r="A254" s="327"/>
      <c r="B254" s="328"/>
      <c r="C254" s="328"/>
      <c r="D254" s="328" t="s">
        <v>69</v>
      </c>
      <c r="E254" s="328">
        <v>2</v>
      </c>
      <c r="F254" s="328">
        <v>0</v>
      </c>
      <c r="G254" s="328"/>
      <c r="H254" s="329"/>
      <c r="I254" s="440" t="s">
        <v>1464</v>
      </c>
      <c r="J254" s="81"/>
      <c r="K254" s="81"/>
    </row>
    <row r="255" spans="1:11" s="141" customFormat="1" ht="17.25" x14ac:dyDescent="0.35">
      <c r="A255" s="327"/>
      <c r="B255" s="328"/>
      <c r="C255" s="328"/>
      <c r="D255" s="328" t="s">
        <v>69</v>
      </c>
      <c r="E255" s="328">
        <v>4</v>
      </c>
      <c r="F255" s="328">
        <v>0</v>
      </c>
      <c r="G255" s="328"/>
      <c r="H255" s="329"/>
      <c r="I255" s="440" t="s">
        <v>1465</v>
      </c>
      <c r="J255" s="81"/>
      <c r="K255" s="81"/>
    </row>
    <row r="256" spans="1:11" s="141" customFormat="1" ht="17.25" x14ac:dyDescent="0.35">
      <c r="A256" s="327"/>
      <c r="B256" s="328"/>
      <c r="C256" s="328"/>
      <c r="D256" s="328" t="s">
        <v>69</v>
      </c>
      <c r="E256" s="328">
        <v>1</v>
      </c>
      <c r="F256" s="328">
        <v>0</v>
      </c>
      <c r="G256" s="328"/>
      <c r="H256" s="329"/>
      <c r="I256" s="440" t="s">
        <v>1466</v>
      </c>
      <c r="J256" s="81"/>
      <c r="K256" s="81"/>
    </row>
    <row r="257" spans="1:11" s="141" customFormat="1" ht="17.25" x14ac:dyDescent="0.35">
      <c r="A257" s="327"/>
      <c r="B257" s="328"/>
      <c r="C257" s="328"/>
      <c r="D257" s="328" t="s">
        <v>69</v>
      </c>
      <c r="E257" s="328">
        <v>1</v>
      </c>
      <c r="F257" s="328">
        <v>0</v>
      </c>
      <c r="G257" s="328"/>
      <c r="H257" s="329"/>
      <c r="I257" s="440" t="s">
        <v>1467</v>
      </c>
      <c r="J257" s="81"/>
      <c r="K257" s="81"/>
    </row>
    <row r="258" spans="1:11" s="141" customFormat="1" ht="17.25" x14ac:dyDescent="0.35">
      <c r="A258" s="327"/>
      <c r="B258" s="328"/>
      <c r="C258" s="328"/>
      <c r="D258" s="328" t="s">
        <v>69</v>
      </c>
      <c r="E258" s="328">
        <v>4</v>
      </c>
      <c r="F258" s="328">
        <v>0</v>
      </c>
      <c r="G258" s="328"/>
      <c r="H258" s="329"/>
      <c r="I258" s="440" t="s">
        <v>1468</v>
      </c>
      <c r="J258" s="81"/>
      <c r="K258" s="81"/>
    </row>
    <row r="259" spans="1:11" s="141" customFormat="1" ht="17.25" x14ac:dyDescent="0.35">
      <c r="A259" s="327"/>
      <c r="B259" s="328"/>
      <c r="C259" s="328"/>
      <c r="D259" s="328" t="s">
        <v>69</v>
      </c>
      <c r="E259" s="328">
        <v>1</v>
      </c>
      <c r="F259" s="328">
        <v>1</v>
      </c>
      <c r="G259" s="328"/>
      <c r="H259" s="329"/>
      <c r="I259" s="440" t="s">
        <v>1469</v>
      </c>
      <c r="J259" s="81"/>
      <c r="K259" s="81"/>
    </row>
    <row r="260" spans="1:11" s="141" customFormat="1" ht="17.25" x14ac:dyDescent="0.35">
      <c r="A260" s="327"/>
      <c r="B260" s="328"/>
      <c r="C260" s="328"/>
      <c r="D260" s="328" t="s">
        <v>69</v>
      </c>
      <c r="E260" s="328">
        <v>1</v>
      </c>
      <c r="F260" s="328">
        <v>0</v>
      </c>
      <c r="G260" s="328"/>
      <c r="H260" s="329"/>
      <c r="I260" s="440" t="s">
        <v>1470</v>
      </c>
      <c r="J260" s="81"/>
      <c r="K260" s="81"/>
    </row>
    <row r="261" spans="1:11" s="141" customFormat="1" ht="17.25" x14ac:dyDescent="0.35">
      <c r="A261" s="327"/>
      <c r="B261" s="328"/>
      <c r="C261" s="328"/>
      <c r="D261" s="328" t="s">
        <v>69</v>
      </c>
      <c r="E261" s="328">
        <v>4</v>
      </c>
      <c r="F261" s="328">
        <v>0</v>
      </c>
      <c r="G261" s="328"/>
      <c r="H261" s="329"/>
      <c r="I261" s="440" t="s">
        <v>1471</v>
      </c>
      <c r="J261" s="81"/>
      <c r="K261" s="81"/>
    </row>
    <row r="262" spans="1:11" s="141" customFormat="1" ht="17.25" x14ac:dyDescent="0.35">
      <c r="A262" s="327"/>
      <c r="B262" s="328"/>
      <c r="C262" s="328"/>
      <c r="D262" s="328" t="s">
        <v>69</v>
      </c>
      <c r="E262" s="328">
        <v>4</v>
      </c>
      <c r="F262" s="328">
        <v>0</v>
      </c>
      <c r="G262" s="328"/>
      <c r="H262" s="329"/>
      <c r="I262" s="440" t="s">
        <v>1472</v>
      </c>
      <c r="J262" s="81"/>
      <c r="K262" s="81"/>
    </row>
    <row r="263" spans="1:11" s="141" customFormat="1" ht="17.25" x14ac:dyDescent="0.35">
      <c r="A263" s="327"/>
      <c r="B263" s="328"/>
      <c r="C263" s="328"/>
      <c r="D263" s="328" t="s">
        <v>69</v>
      </c>
      <c r="E263" s="328">
        <v>50</v>
      </c>
      <c r="F263" s="328">
        <v>0</v>
      </c>
      <c r="G263" s="328"/>
      <c r="H263" s="329"/>
      <c r="I263" s="440" t="s">
        <v>1473</v>
      </c>
      <c r="J263" s="81"/>
      <c r="K263" s="81"/>
    </row>
    <row r="264" spans="1:11" s="141" customFormat="1" ht="17.25" x14ac:dyDescent="0.35">
      <c r="A264" s="327"/>
      <c r="B264" s="328"/>
      <c r="C264" s="328"/>
      <c r="D264" s="328" t="s">
        <v>69</v>
      </c>
      <c r="E264" s="328">
        <v>4</v>
      </c>
      <c r="F264" s="328">
        <v>6000</v>
      </c>
      <c r="G264" s="328"/>
      <c r="H264" s="329"/>
      <c r="I264" s="440" t="s">
        <v>1474</v>
      </c>
      <c r="J264" s="81"/>
      <c r="K264" s="81"/>
    </row>
    <row r="265" spans="1:11" s="141" customFormat="1" ht="17.25" x14ac:dyDescent="0.35">
      <c r="A265" s="327"/>
      <c r="B265" s="328"/>
      <c r="C265" s="328"/>
      <c r="D265" s="328" t="s">
        <v>69</v>
      </c>
      <c r="E265" s="328">
        <v>4</v>
      </c>
      <c r="F265" s="328">
        <v>64000</v>
      </c>
      <c r="G265" s="328"/>
      <c r="H265" s="329"/>
      <c r="I265" s="440" t="s">
        <v>1475</v>
      </c>
      <c r="J265" s="81"/>
      <c r="K265" s="81"/>
    </row>
    <row r="266" spans="1:11" s="141" customFormat="1" ht="17.25" x14ac:dyDescent="0.35">
      <c r="A266" s="327"/>
      <c r="B266" s="328"/>
      <c r="C266" s="328"/>
      <c r="D266" s="328" t="s">
        <v>69</v>
      </c>
      <c r="E266" s="328">
        <v>358</v>
      </c>
      <c r="F266" s="328"/>
      <c r="G266" s="328"/>
      <c r="H266" s="329"/>
      <c r="I266" s="440" t="s">
        <v>1219</v>
      </c>
      <c r="J266" s="81"/>
      <c r="K266" s="81"/>
    </row>
    <row r="267" spans="1:11" s="141" customFormat="1" ht="17.25" x14ac:dyDescent="0.35">
      <c r="A267" s="327" t="s">
        <v>717</v>
      </c>
      <c r="B267" s="328" t="s">
        <v>718</v>
      </c>
      <c r="C267" s="328" t="s">
        <v>90</v>
      </c>
      <c r="D267" s="328"/>
      <c r="E267" s="328"/>
      <c r="F267" s="328"/>
      <c r="G267" s="328" t="s">
        <v>239</v>
      </c>
      <c r="H267" s="329"/>
      <c r="I267" s="440">
        <v>69673</v>
      </c>
      <c r="J267" s="81"/>
      <c r="K267" s="81"/>
    </row>
    <row r="268" spans="1:11" s="141" customFormat="1" ht="17.25" x14ac:dyDescent="0.35">
      <c r="A268" s="327"/>
      <c r="B268" s="328"/>
      <c r="C268" s="328"/>
      <c r="D268" s="328" t="s">
        <v>69</v>
      </c>
      <c r="E268" s="328">
        <v>1</v>
      </c>
      <c r="F268" s="328">
        <v>2</v>
      </c>
      <c r="G268" s="328"/>
      <c r="H268" s="329"/>
      <c r="I268" s="440" t="s">
        <v>7</v>
      </c>
      <c r="J268" s="81"/>
      <c r="K268" s="81"/>
    </row>
    <row r="269" spans="1:11" s="141" customFormat="1" ht="17.25" x14ac:dyDescent="0.35">
      <c r="A269" s="327" t="s">
        <v>779</v>
      </c>
      <c r="B269" s="328" t="s">
        <v>780</v>
      </c>
      <c r="C269" s="328" t="s">
        <v>90</v>
      </c>
      <c r="D269" s="328"/>
      <c r="E269" s="328"/>
      <c r="F269" s="328"/>
      <c r="G269" s="328" t="s">
        <v>239</v>
      </c>
      <c r="H269" s="329"/>
      <c r="I269" s="440">
        <v>67332</v>
      </c>
      <c r="J269" s="81"/>
      <c r="K269" s="81"/>
    </row>
    <row r="270" spans="1:11" s="141" customFormat="1" ht="17.25" x14ac:dyDescent="0.35">
      <c r="A270" s="327" t="s">
        <v>139</v>
      </c>
      <c r="B270" s="328" t="s">
        <v>139</v>
      </c>
      <c r="C270" s="328"/>
      <c r="D270" s="328" t="s">
        <v>69</v>
      </c>
      <c r="E270" s="328">
        <v>1</v>
      </c>
      <c r="F270" s="328">
        <v>6</v>
      </c>
      <c r="G270" s="328"/>
      <c r="H270" s="329"/>
      <c r="I270" s="440" t="s">
        <v>587</v>
      </c>
      <c r="J270" s="81"/>
      <c r="K270" s="81"/>
    </row>
    <row r="271" spans="1:11" s="141" customFormat="1" ht="17.25" x14ac:dyDescent="0.35">
      <c r="A271" s="327" t="s">
        <v>139</v>
      </c>
      <c r="B271" s="328" t="s">
        <v>139</v>
      </c>
      <c r="C271" s="328"/>
      <c r="D271" s="328" t="s">
        <v>69</v>
      </c>
      <c r="E271" s="328">
        <v>2</v>
      </c>
      <c r="F271" s="328">
        <v>1358</v>
      </c>
      <c r="G271" s="328"/>
      <c r="H271" s="329"/>
      <c r="I271" s="440" t="s">
        <v>781</v>
      </c>
      <c r="J271" s="81"/>
      <c r="K271" s="81"/>
    </row>
    <row r="272" spans="1:11" s="141" customFormat="1" ht="17.25" x14ac:dyDescent="0.35">
      <c r="A272" s="327" t="s">
        <v>139</v>
      </c>
      <c r="B272" s="328" t="s">
        <v>139</v>
      </c>
      <c r="C272" s="328"/>
      <c r="D272" s="328" t="s">
        <v>69</v>
      </c>
      <c r="E272" s="328">
        <v>1</v>
      </c>
      <c r="F272" s="328">
        <v>4</v>
      </c>
      <c r="G272" s="328"/>
      <c r="H272" s="329"/>
      <c r="I272" s="440" t="s">
        <v>782</v>
      </c>
      <c r="J272" s="81"/>
      <c r="K272" s="81"/>
    </row>
    <row r="273" spans="1:11" s="141" customFormat="1" ht="17.25" x14ac:dyDescent="0.35">
      <c r="A273" s="327" t="s">
        <v>139</v>
      </c>
      <c r="B273" s="328" t="s">
        <v>139</v>
      </c>
      <c r="C273" s="328"/>
      <c r="D273" s="328" t="s">
        <v>69</v>
      </c>
      <c r="E273" s="328">
        <v>2</v>
      </c>
      <c r="F273" s="328">
        <v>0</v>
      </c>
      <c r="G273" s="328"/>
      <c r="H273" s="329"/>
      <c r="I273" s="440" t="s">
        <v>783</v>
      </c>
      <c r="J273" s="81"/>
      <c r="K273" s="81"/>
    </row>
    <row r="274" spans="1:11" s="141" customFormat="1" ht="17.25" x14ac:dyDescent="0.35">
      <c r="A274" s="327" t="s">
        <v>139</v>
      </c>
      <c r="B274" s="328" t="s">
        <v>139</v>
      </c>
      <c r="C274" s="328"/>
      <c r="D274" s="328" t="s">
        <v>69</v>
      </c>
      <c r="E274" s="328">
        <v>1</v>
      </c>
      <c r="F274" s="328">
        <v>0</v>
      </c>
      <c r="G274" s="328"/>
      <c r="H274" s="329"/>
      <c r="I274" s="440" t="s">
        <v>784</v>
      </c>
      <c r="J274" s="81"/>
      <c r="K274" s="81"/>
    </row>
    <row r="275" spans="1:11" s="141" customFormat="1" ht="17.25" x14ac:dyDescent="0.35">
      <c r="A275" s="327" t="s">
        <v>139</v>
      </c>
      <c r="B275" s="328" t="s">
        <v>139</v>
      </c>
      <c r="C275" s="328"/>
      <c r="D275" s="328" t="s">
        <v>69</v>
      </c>
      <c r="E275" s="328">
        <v>1</v>
      </c>
      <c r="F275" s="328">
        <v>0</v>
      </c>
      <c r="G275" s="328"/>
      <c r="H275" s="329"/>
      <c r="I275" s="440" t="s">
        <v>785</v>
      </c>
      <c r="J275" s="81"/>
      <c r="K275" s="81"/>
    </row>
    <row r="276" spans="1:11" s="141" customFormat="1" ht="17.25" x14ac:dyDescent="0.35">
      <c r="A276" s="327" t="s">
        <v>139</v>
      </c>
      <c r="B276" s="328" t="s">
        <v>139</v>
      </c>
      <c r="C276" s="328"/>
      <c r="D276" s="328" t="s">
        <v>69</v>
      </c>
      <c r="E276" s="328">
        <v>1</v>
      </c>
      <c r="F276" s="328">
        <v>0</v>
      </c>
      <c r="G276" s="328"/>
      <c r="H276" s="329"/>
      <c r="I276" s="440" t="s">
        <v>786</v>
      </c>
      <c r="J276" s="81"/>
      <c r="K276" s="81"/>
    </row>
    <row r="277" spans="1:11" s="141" customFormat="1" ht="17.25" x14ac:dyDescent="0.35">
      <c r="A277" s="327" t="s">
        <v>139</v>
      </c>
      <c r="B277" s="328" t="s">
        <v>139</v>
      </c>
      <c r="C277" s="328"/>
      <c r="D277" s="328" t="s">
        <v>69</v>
      </c>
      <c r="E277" s="328">
        <v>1</v>
      </c>
      <c r="F277" s="328">
        <v>0</v>
      </c>
      <c r="G277" s="328"/>
      <c r="H277" s="329"/>
      <c r="I277" s="440" t="s">
        <v>787</v>
      </c>
      <c r="J277" s="81"/>
      <c r="K277" s="81"/>
    </row>
    <row r="278" spans="1:11" s="141" customFormat="1" ht="17.25" x14ac:dyDescent="0.35">
      <c r="A278" s="327" t="s">
        <v>139</v>
      </c>
      <c r="B278" s="328" t="s">
        <v>139</v>
      </c>
      <c r="C278" s="328"/>
      <c r="D278" s="328" t="s">
        <v>69</v>
      </c>
      <c r="E278" s="328">
        <v>1</v>
      </c>
      <c r="F278" s="328">
        <v>0</v>
      </c>
      <c r="G278" s="328"/>
      <c r="H278" s="329"/>
      <c r="I278" s="440" t="s">
        <v>788</v>
      </c>
      <c r="J278" s="81"/>
      <c r="K278" s="81"/>
    </row>
    <row r="279" spans="1:11" s="141" customFormat="1" ht="17.25" x14ac:dyDescent="0.35">
      <c r="A279" s="327" t="s">
        <v>139</v>
      </c>
      <c r="B279" s="328" t="s">
        <v>139</v>
      </c>
      <c r="C279" s="328"/>
      <c r="D279" s="328" t="s">
        <v>69</v>
      </c>
      <c r="E279" s="328">
        <v>1</v>
      </c>
      <c r="F279" s="328">
        <v>0</v>
      </c>
      <c r="G279" s="328"/>
      <c r="H279" s="329"/>
      <c r="I279" s="440" t="s">
        <v>789</v>
      </c>
      <c r="J279" s="81"/>
      <c r="K279" s="81"/>
    </row>
    <row r="280" spans="1:11" s="141" customFormat="1" ht="17.25" x14ac:dyDescent="0.35">
      <c r="A280" s="327" t="s">
        <v>139</v>
      </c>
      <c r="B280" s="328" t="s">
        <v>139</v>
      </c>
      <c r="C280" s="328"/>
      <c r="D280" s="328" t="s">
        <v>69</v>
      </c>
      <c r="E280" s="328">
        <v>2</v>
      </c>
      <c r="F280" s="328"/>
      <c r="G280" s="328"/>
      <c r="H280" s="329"/>
      <c r="I280" s="440" t="s">
        <v>790</v>
      </c>
      <c r="J280" s="81"/>
      <c r="K280" s="81"/>
    </row>
    <row r="281" spans="1:11" s="141" customFormat="1" ht="17.25" x14ac:dyDescent="0.35">
      <c r="A281" s="327" t="s">
        <v>139</v>
      </c>
      <c r="B281" s="328" t="s">
        <v>139</v>
      </c>
      <c r="C281" s="328"/>
      <c r="D281" s="328" t="s">
        <v>69</v>
      </c>
      <c r="E281" s="328">
        <v>2</v>
      </c>
      <c r="F281" s="328"/>
      <c r="G281" s="328"/>
      <c r="H281" s="329"/>
      <c r="I281" s="440" t="s">
        <v>791</v>
      </c>
      <c r="J281" s="81"/>
      <c r="K281" s="81"/>
    </row>
    <row r="282" spans="1:11" s="141" customFormat="1" ht="17.25" x14ac:dyDescent="0.35">
      <c r="A282" s="327" t="s">
        <v>139</v>
      </c>
      <c r="B282" s="328" t="s">
        <v>139</v>
      </c>
      <c r="C282" s="328"/>
      <c r="D282" s="328" t="s">
        <v>69</v>
      </c>
      <c r="E282" s="328">
        <v>1</v>
      </c>
      <c r="F282" s="328"/>
      <c r="G282" s="328"/>
      <c r="H282" s="329"/>
      <c r="I282" s="440" t="s">
        <v>792</v>
      </c>
      <c r="J282" s="81"/>
      <c r="K282" s="81"/>
    </row>
    <row r="283" spans="1:11" s="141" customFormat="1" ht="17.25" x14ac:dyDescent="0.35">
      <c r="A283" s="327" t="s">
        <v>139</v>
      </c>
      <c r="B283" s="328" t="s">
        <v>139</v>
      </c>
      <c r="C283" s="328"/>
      <c r="D283" s="328" t="s">
        <v>69</v>
      </c>
      <c r="E283" s="328">
        <v>1</v>
      </c>
      <c r="F283" s="328">
        <v>0</v>
      </c>
      <c r="G283" s="328"/>
      <c r="H283" s="329"/>
      <c r="I283" s="440" t="s">
        <v>1476</v>
      </c>
      <c r="J283" s="81"/>
      <c r="K283" s="81"/>
    </row>
    <row r="284" spans="1:11" s="141" customFormat="1" ht="17.25" x14ac:dyDescent="0.35">
      <c r="A284" s="327" t="s">
        <v>139</v>
      </c>
      <c r="B284" s="328" t="s">
        <v>139</v>
      </c>
      <c r="C284" s="328"/>
      <c r="D284" s="328" t="s">
        <v>69</v>
      </c>
      <c r="E284" s="328">
        <v>1</v>
      </c>
      <c r="F284" s="328">
        <v>2</v>
      </c>
      <c r="G284" s="328"/>
      <c r="H284" s="329"/>
      <c r="I284" s="440" t="s">
        <v>794</v>
      </c>
      <c r="J284" s="81"/>
      <c r="K284" s="81"/>
    </row>
    <row r="285" spans="1:11" s="141" customFormat="1" ht="17.25" x14ac:dyDescent="0.35">
      <c r="A285" s="327" t="s">
        <v>139</v>
      </c>
      <c r="B285" s="328" t="s">
        <v>139</v>
      </c>
      <c r="C285" s="328"/>
      <c r="D285" s="328" t="s">
        <v>69</v>
      </c>
      <c r="E285" s="328">
        <v>1</v>
      </c>
      <c r="F285" s="328"/>
      <c r="G285" s="328"/>
      <c r="H285" s="329"/>
      <c r="I285" s="440" t="s">
        <v>795</v>
      </c>
      <c r="J285" s="81"/>
      <c r="K285" s="81"/>
    </row>
    <row r="286" spans="1:11" s="141" customFormat="1" ht="17.25" x14ac:dyDescent="0.35">
      <c r="A286" s="327" t="s">
        <v>139</v>
      </c>
      <c r="B286" s="328" t="s">
        <v>139</v>
      </c>
      <c r="C286" s="328"/>
      <c r="D286" s="328" t="s">
        <v>69</v>
      </c>
      <c r="E286" s="328">
        <v>1</v>
      </c>
      <c r="F286" s="328">
        <v>100</v>
      </c>
      <c r="G286" s="328"/>
      <c r="H286" s="329"/>
      <c r="I286" s="440" t="s">
        <v>796</v>
      </c>
      <c r="J286" s="81"/>
      <c r="K286" s="81"/>
    </row>
    <row r="287" spans="1:11" s="141" customFormat="1" ht="17.25" x14ac:dyDescent="0.35">
      <c r="A287" s="327" t="s">
        <v>139</v>
      </c>
      <c r="B287" s="328" t="s">
        <v>139</v>
      </c>
      <c r="C287" s="328"/>
      <c r="D287" s="328" t="s">
        <v>69</v>
      </c>
      <c r="E287" s="328">
        <v>1</v>
      </c>
      <c r="F287" s="328">
        <v>40</v>
      </c>
      <c r="G287" s="328"/>
      <c r="H287" s="329"/>
      <c r="I287" s="440" t="s">
        <v>797</v>
      </c>
      <c r="J287" s="81"/>
      <c r="K287" s="81"/>
    </row>
    <row r="288" spans="1:11" s="141" customFormat="1" ht="17.25" x14ac:dyDescent="0.35">
      <c r="A288" s="327" t="s">
        <v>139</v>
      </c>
      <c r="B288" s="328" t="s">
        <v>139</v>
      </c>
      <c r="C288" s="328"/>
      <c r="D288" s="328" t="s">
        <v>69</v>
      </c>
      <c r="E288" s="328">
        <v>1</v>
      </c>
      <c r="F288" s="328">
        <v>0</v>
      </c>
      <c r="G288" s="328"/>
      <c r="H288" s="329"/>
      <c r="I288" s="440" t="s">
        <v>798</v>
      </c>
      <c r="J288" s="81"/>
      <c r="K288" s="81"/>
    </row>
    <row r="289" spans="1:11" s="141" customFormat="1" ht="17.25" x14ac:dyDescent="0.35">
      <c r="A289" s="327" t="s">
        <v>139</v>
      </c>
      <c r="B289" s="328" t="s">
        <v>139</v>
      </c>
      <c r="C289" s="328"/>
      <c r="D289" s="328" t="s">
        <v>69</v>
      </c>
      <c r="E289" s="328">
        <v>1</v>
      </c>
      <c r="F289" s="328"/>
      <c r="G289" s="328"/>
      <c r="H289" s="329"/>
      <c r="I289" s="440" t="s">
        <v>799</v>
      </c>
      <c r="J289" s="81"/>
      <c r="K289" s="81"/>
    </row>
    <row r="290" spans="1:11" s="141" customFormat="1" ht="17.25" x14ac:dyDescent="0.35">
      <c r="A290" s="327" t="s">
        <v>139</v>
      </c>
      <c r="B290" s="328" t="s">
        <v>139</v>
      </c>
      <c r="C290" s="328"/>
      <c r="D290" s="328" t="s">
        <v>69</v>
      </c>
      <c r="E290" s="328">
        <v>1</v>
      </c>
      <c r="F290" s="328"/>
      <c r="G290" s="328"/>
      <c r="H290" s="329"/>
      <c r="I290" s="440" t="s">
        <v>800</v>
      </c>
      <c r="J290" s="81"/>
      <c r="K290" s="81"/>
    </row>
    <row r="291" spans="1:11" s="141" customFormat="1" ht="17.25" x14ac:dyDescent="0.35">
      <c r="A291" s="327" t="s">
        <v>139</v>
      </c>
      <c r="B291" s="328" t="s">
        <v>139</v>
      </c>
      <c r="C291" s="328"/>
      <c r="D291" s="328" t="s">
        <v>69</v>
      </c>
      <c r="E291" s="328">
        <v>1</v>
      </c>
      <c r="F291" s="328">
        <v>20</v>
      </c>
      <c r="G291" s="328"/>
      <c r="H291" s="329"/>
      <c r="I291" s="440" t="s">
        <v>801</v>
      </c>
      <c r="J291" s="81"/>
      <c r="K291" s="81"/>
    </row>
    <row r="292" spans="1:11" s="141" customFormat="1" ht="17.25" x14ac:dyDescent="0.35">
      <c r="A292" s="327" t="s">
        <v>139</v>
      </c>
      <c r="B292" s="328" t="s">
        <v>139</v>
      </c>
      <c r="C292" s="328"/>
      <c r="D292" s="328" t="s">
        <v>69</v>
      </c>
      <c r="E292" s="328">
        <v>2</v>
      </c>
      <c r="F292" s="328">
        <v>5</v>
      </c>
      <c r="G292" s="328"/>
      <c r="H292" s="329"/>
      <c r="I292" s="440" t="s">
        <v>802</v>
      </c>
      <c r="J292" s="81"/>
      <c r="K292" s="81"/>
    </row>
    <row r="293" spans="1:11" s="141" customFormat="1" ht="17.25" x14ac:dyDescent="0.35">
      <c r="A293" s="327" t="s">
        <v>139</v>
      </c>
      <c r="B293" s="328" t="s">
        <v>139</v>
      </c>
      <c r="C293" s="328"/>
      <c r="D293" s="328" t="s">
        <v>69</v>
      </c>
      <c r="E293" s="328">
        <v>2</v>
      </c>
      <c r="F293" s="328">
        <v>60</v>
      </c>
      <c r="G293" s="328"/>
      <c r="H293" s="329"/>
      <c r="I293" s="440" t="s">
        <v>803</v>
      </c>
      <c r="J293" s="81"/>
      <c r="K293" s="81"/>
    </row>
    <row r="294" spans="1:11" s="141" customFormat="1" ht="17.25" x14ac:dyDescent="0.35">
      <c r="A294" s="327" t="s">
        <v>139</v>
      </c>
      <c r="B294" s="328" t="s">
        <v>139</v>
      </c>
      <c r="C294" s="328"/>
      <c r="D294" s="328" t="s">
        <v>69</v>
      </c>
      <c r="E294" s="328">
        <v>2</v>
      </c>
      <c r="F294" s="328">
        <v>60</v>
      </c>
      <c r="G294" s="328"/>
      <c r="H294" s="329"/>
      <c r="I294" s="440" t="s">
        <v>804</v>
      </c>
      <c r="J294" s="81"/>
      <c r="K294" s="81"/>
    </row>
    <row r="295" spans="1:11" s="141" customFormat="1" ht="17.25" x14ac:dyDescent="0.35">
      <c r="A295" s="327" t="s">
        <v>139</v>
      </c>
      <c r="B295" s="328" t="s">
        <v>139</v>
      </c>
      <c r="C295" s="328"/>
      <c r="D295" s="328" t="s">
        <v>69</v>
      </c>
      <c r="E295" s="328">
        <v>2</v>
      </c>
      <c r="F295" s="328" t="s">
        <v>1447</v>
      </c>
      <c r="G295" s="328"/>
      <c r="H295" s="329"/>
      <c r="I295" s="440" t="s">
        <v>805</v>
      </c>
      <c r="J295" s="81"/>
      <c r="K295" s="81"/>
    </row>
    <row r="296" spans="1:11" s="141" customFormat="1" ht="17.25" x14ac:dyDescent="0.35">
      <c r="A296" s="327" t="s">
        <v>139</v>
      </c>
      <c r="B296" s="328" t="s">
        <v>139</v>
      </c>
      <c r="C296" s="328"/>
      <c r="D296" s="328" t="s">
        <v>69</v>
      </c>
      <c r="E296" s="328">
        <v>1</v>
      </c>
      <c r="F296" s="328"/>
      <c r="G296" s="328"/>
      <c r="H296" s="329"/>
      <c r="I296" s="440" t="s">
        <v>806</v>
      </c>
      <c r="J296" s="81"/>
      <c r="K296" s="81"/>
    </row>
    <row r="297" spans="1:11" s="141" customFormat="1" ht="17.25" x14ac:dyDescent="0.35">
      <c r="A297" s="327" t="s">
        <v>139</v>
      </c>
      <c r="B297" s="328" t="s">
        <v>139</v>
      </c>
      <c r="C297" s="328"/>
      <c r="D297" s="328" t="s">
        <v>69</v>
      </c>
      <c r="E297" s="328">
        <v>1</v>
      </c>
      <c r="F297" s="328" t="s">
        <v>1444</v>
      </c>
      <c r="G297" s="328"/>
      <c r="H297" s="329"/>
      <c r="I297" s="440" t="s">
        <v>807</v>
      </c>
      <c r="J297" s="81"/>
      <c r="K297" s="81"/>
    </row>
    <row r="298" spans="1:11" s="141" customFormat="1" ht="17.25" x14ac:dyDescent="0.35">
      <c r="A298" s="327" t="s">
        <v>139</v>
      </c>
      <c r="B298" s="328" t="s">
        <v>139</v>
      </c>
      <c r="C298" s="328"/>
      <c r="D298" s="328" t="s">
        <v>69</v>
      </c>
      <c r="E298" s="328">
        <v>1</v>
      </c>
      <c r="F298" s="328" t="s">
        <v>1444</v>
      </c>
      <c r="G298" s="328"/>
      <c r="H298" s="329"/>
      <c r="I298" s="440" t="s">
        <v>808</v>
      </c>
      <c r="J298" s="81"/>
      <c r="K298" s="81"/>
    </row>
    <row r="299" spans="1:11" s="141" customFormat="1" ht="17.25" x14ac:dyDescent="0.35">
      <c r="A299" s="327" t="s">
        <v>139</v>
      </c>
      <c r="B299" s="328" t="s">
        <v>139</v>
      </c>
      <c r="C299" s="328"/>
      <c r="D299" s="328" t="s">
        <v>69</v>
      </c>
      <c r="E299" s="328">
        <v>2</v>
      </c>
      <c r="F299" s="328"/>
      <c r="G299" s="328"/>
      <c r="H299" s="329"/>
      <c r="I299" s="440" t="s">
        <v>1477</v>
      </c>
      <c r="J299" s="81"/>
      <c r="K299" s="81"/>
    </row>
    <row r="300" spans="1:11" s="141" customFormat="1" ht="17.25" x14ac:dyDescent="0.35">
      <c r="A300" s="327"/>
      <c r="B300" s="328"/>
      <c r="C300" s="328"/>
      <c r="D300" s="328" t="s">
        <v>69</v>
      </c>
      <c r="E300" s="328">
        <v>1</v>
      </c>
      <c r="F300" s="328"/>
      <c r="G300" s="328"/>
      <c r="H300" s="329"/>
      <c r="I300" s="440" t="s">
        <v>810</v>
      </c>
      <c r="J300" s="81"/>
      <c r="K300" s="81"/>
    </row>
    <row r="301" spans="1:11" s="141" customFormat="1" ht="17.25" x14ac:dyDescent="0.35">
      <c r="A301" s="327"/>
      <c r="B301" s="328"/>
      <c r="C301" s="328"/>
      <c r="D301" s="328" t="s">
        <v>69</v>
      </c>
      <c r="E301" s="328">
        <v>1</v>
      </c>
      <c r="F301" s="328"/>
      <c r="G301" s="328"/>
      <c r="H301" s="329"/>
      <c r="I301" s="440" t="s">
        <v>811</v>
      </c>
      <c r="J301" s="81"/>
      <c r="K301" s="81"/>
    </row>
    <row r="302" spans="1:11" s="141" customFormat="1" ht="17.25" x14ac:dyDescent="0.35">
      <c r="A302" s="327"/>
      <c r="B302" s="328"/>
      <c r="C302" s="328"/>
      <c r="D302" s="328" t="s">
        <v>69</v>
      </c>
      <c r="E302" s="328">
        <v>1</v>
      </c>
      <c r="F302" s="328"/>
      <c r="G302" s="328"/>
      <c r="H302" s="329"/>
      <c r="I302" s="440" t="s">
        <v>812</v>
      </c>
      <c r="J302" s="81"/>
      <c r="K302" s="81"/>
    </row>
    <row r="303" spans="1:11" s="141" customFormat="1" ht="17.25" x14ac:dyDescent="0.35">
      <c r="A303" s="327"/>
      <c r="B303" s="328"/>
      <c r="C303" s="328"/>
      <c r="D303" s="328" t="s">
        <v>69</v>
      </c>
      <c r="E303" s="328">
        <v>4</v>
      </c>
      <c r="F303" s="328">
        <v>46</v>
      </c>
      <c r="G303" s="328"/>
      <c r="H303" s="329"/>
      <c r="I303" s="440" t="s">
        <v>813</v>
      </c>
      <c r="J303" s="81"/>
      <c r="K303" s="81"/>
    </row>
    <row r="304" spans="1:11" s="141" customFormat="1" ht="17.25" x14ac:dyDescent="0.35">
      <c r="A304" s="327"/>
      <c r="B304" s="328"/>
      <c r="C304" s="328"/>
      <c r="D304" s="328" t="s">
        <v>69</v>
      </c>
      <c r="E304" s="328">
        <v>4</v>
      </c>
      <c r="F304" s="328">
        <v>46</v>
      </c>
      <c r="G304" s="328"/>
      <c r="H304" s="329"/>
      <c r="I304" s="440" t="s">
        <v>814</v>
      </c>
      <c r="J304" s="81"/>
      <c r="K304" s="81"/>
    </row>
    <row r="305" spans="1:11" s="141" customFormat="1" ht="17.25" x14ac:dyDescent="0.35">
      <c r="A305" s="327"/>
      <c r="B305" s="328"/>
      <c r="C305" s="328"/>
      <c r="D305" s="328" t="s">
        <v>69</v>
      </c>
      <c r="E305" s="328">
        <v>1</v>
      </c>
      <c r="F305" s="328"/>
      <c r="G305" s="328"/>
      <c r="H305" s="329"/>
      <c r="I305" s="440" t="s">
        <v>1478</v>
      </c>
      <c r="J305" s="81"/>
      <c r="K305" s="81"/>
    </row>
    <row r="306" spans="1:11" s="141" customFormat="1" ht="17.25" x14ac:dyDescent="0.35">
      <c r="A306" s="327"/>
      <c r="B306" s="328"/>
      <c r="C306" s="328"/>
      <c r="D306" s="328" t="s">
        <v>69</v>
      </c>
      <c r="E306" s="328">
        <v>484</v>
      </c>
      <c r="F306" s="328"/>
      <c r="G306" s="328"/>
      <c r="H306" s="329"/>
      <c r="I306" s="440" t="s">
        <v>1219</v>
      </c>
      <c r="J306" s="81"/>
      <c r="K306" s="81"/>
    </row>
    <row r="307" spans="1:11" s="141" customFormat="1" ht="17.25" x14ac:dyDescent="0.35">
      <c r="A307" s="327" t="s">
        <v>834</v>
      </c>
      <c r="B307" s="328" t="s">
        <v>835</v>
      </c>
      <c r="C307" s="328" t="s">
        <v>90</v>
      </c>
      <c r="D307" s="328"/>
      <c r="E307" s="328"/>
      <c r="F307" s="328"/>
      <c r="G307" s="328" t="s">
        <v>239</v>
      </c>
      <c r="H307" s="329"/>
      <c r="I307" s="440">
        <v>67257</v>
      </c>
      <c r="J307" s="81"/>
      <c r="K307" s="81"/>
    </row>
    <row r="308" spans="1:11" s="141" customFormat="1" ht="17.25" x14ac:dyDescent="0.35">
      <c r="A308" s="327" t="s">
        <v>139</v>
      </c>
      <c r="B308" s="328" t="s">
        <v>139</v>
      </c>
      <c r="C308" s="328"/>
      <c r="D308" s="328" t="s">
        <v>69</v>
      </c>
      <c r="E308" s="328">
        <v>1</v>
      </c>
      <c r="F308" s="328">
        <v>0</v>
      </c>
      <c r="G308" s="328"/>
      <c r="H308" s="329"/>
      <c r="I308" s="440" t="s">
        <v>836</v>
      </c>
      <c r="J308" s="81"/>
      <c r="K308" s="81"/>
    </row>
    <row r="309" spans="1:11" s="141" customFormat="1" ht="17.25" x14ac:dyDescent="0.35">
      <c r="A309" s="327" t="s">
        <v>139</v>
      </c>
      <c r="B309" s="328" t="s">
        <v>139</v>
      </c>
      <c r="C309" s="328"/>
      <c r="D309" s="328" t="s">
        <v>69</v>
      </c>
      <c r="E309" s="328">
        <v>1</v>
      </c>
      <c r="F309" s="328">
        <v>1</v>
      </c>
      <c r="G309" s="328"/>
      <c r="H309" s="329"/>
      <c r="I309" s="440" t="s">
        <v>837</v>
      </c>
      <c r="J309" s="81"/>
      <c r="K309" s="81"/>
    </row>
    <row r="310" spans="1:11" s="141" customFormat="1" ht="17.25" x14ac:dyDescent="0.35">
      <c r="A310" s="327" t="s">
        <v>139</v>
      </c>
      <c r="B310" s="328" t="s">
        <v>139</v>
      </c>
      <c r="C310" s="328"/>
      <c r="D310" s="328" t="s">
        <v>69</v>
      </c>
      <c r="E310" s="328">
        <v>1</v>
      </c>
      <c r="F310" s="328">
        <v>1</v>
      </c>
      <c r="G310" s="328"/>
      <c r="H310" s="329"/>
      <c r="I310" s="440" t="s">
        <v>838</v>
      </c>
      <c r="J310" s="81"/>
      <c r="K310" s="81"/>
    </row>
    <row r="311" spans="1:11" s="141" customFormat="1" ht="17.25" x14ac:dyDescent="0.35">
      <c r="A311" s="327" t="s">
        <v>139</v>
      </c>
      <c r="B311" s="328" t="s">
        <v>139</v>
      </c>
      <c r="C311" s="328"/>
      <c r="D311" s="328" t="s">
        <v>70</v>
      </c>
      <c r="E311" s="328">
        <v>128</v>
      </c>
      <c r="F311" s="328" t="s">
        <v>839</v>
      </c>
      <c r="G311" s="328"/>
      <c r="H311" s="329"/>
      <c r="I311" s="440" t="s">
        <v>840</v>
      </c>
      <c r="J311" s="81"/>
      <c r="K311" s="81"/>
    </row>
    <row r="312" spans="1:11" s="141" customFormat="1" ht="17.25" x14ac:dyDescent="0.35">
      <c r="A312" s="327" t="s">
        <v>139</v>
      </c>
      <c r="B312" s="328" t="s">
        <v>139</v>
      </c>
      <c r="C312" s="328"/>
      <c r="D312" s="328" t="s">
        <v>69</v>
      </c>
      <c r="E312" s="328">
        <v>2</v>
      </c>
      <c r="F312" s="328"/>
      <c r="G312" s="328"/>
      <c r="H312" s="329"/>
      <c r="I312" s="440" t="s">
        <v>841</v>
      </c>
      <c r="J312" s="81"/>
      <c r="K312" s="81"/>
    </row>
    <row r="313" spans="1:11" s="141" customFormat="1" ht="17.25" x14ac:dyDescent="0.35">
      <c r="A313" s="327" t="s">
        <v>139</v>
      </c>
      <c r="B313" s="328" t="s">
        <v>139</v>
      </c>
      <c r="C313" s="328"/>
      <c r="D313" s="328" t="s">
        <v>69</v>
      </c>
      <c r="E313" s="328">
        <v>2</v>
      </c>
      <c r="F313" s="328"/>
      <c r="G313" s="328"/>
      <c r="H313" s="329"/>
      <c r="I313" s="440" t="s">
        <v>842</v>
      </c>
      <c r="J313" s="81"/>
      <c r="K313" s="81"/>
    </row>
    <row r="314" spans="1:11" s="141" customFormat="1" ht="17.25" x14ac:dyDescent="0.35">
      <c r="A314" s="327" t="s">
        <v>139</v>
      </c>
      <c r="B314" s="328" t="s">
        <v>139</v>
      </c>
      <c r="C314" s="328"/>
      <c r="D314" s="328" t="s">
        <v>69</v>
      </c>
      <c r="E314" s="328">
        <v>1</v>
      </c>
      <c r="F314" s="328"/>
      <c r="G314" s="328"/>
      <c r="H314" s="329"/>
      <c r="I314" s="440" t="s">
        <v>843</v>
      </c>
      <c r="J314" s="81"/>
      <c r="K314" s="81"/>
    </row>
    <row r="315" spans="1:11" s="141" customFormat="1" ht="17.25" x14ac:dyDescent="0.35">
      <c r="A315" s="327" t="s">
        <v>139</v>
      </c>
      <c r="B315" s="328" t="s">
        <v>139</v>
      </c>
      <c r="C315" s="328"/>
      <c r="D315" s="328" t="s">
        <v>70</v>
      </c>
      <c r="E315" s="328">
        <v>128</v>
      </c>
      <c r="F315" s="328" t="s">
        <v>1479</v>
      </c>
      <c r="G315" s="328"/>
      <c r="H315" s="329"/>
      <c r="I315" s="440" t="s">
        <v>844</v>
      </c>
      <c r="J315" s="81"/>
      <c r="K315" s="81"/>
    </row>
    <row r="316" spans="1:11" s="141" customFormat="1" ht="17.25" x14ac:dyDescent="0.35">
      <c r="A316" s="327" t="s">
        <v>139</v>
      </c>
      <c r="B316" s="328" t="s">
        <v>139</v>
      </c>
      <c r="C316" s="328"/>
      <c r="D316" s="328" t="s">
        <v>69</v>
      </c>
      <c r="E316" s="328">
        <v>1</v>
      </c>
      <c r="F316" s="328">
        <v>0</v>
      </c>
      <c r="G316" s="328"/>
      <c r="H316" s="329"/>
      <c r="I316" s="440" t="s">
        <v>845</v>
      </c>
      <c r="J316" s="81"/>
      <c r="K316" s="81"/>
    </row>
    <row r="317" spans="1:11" s="141" customFormat="1" ht="17.25" x14ac:dyDescent="0.35">
      <c r="A317" s="327" t="s">
        <v>139</v>
      </c>
      <c r="B317" s="328" t="s">
        <v>139</v>
      </c>
      <c r="C317" s="328"/>
      <c r="D317" s="328" t="s">
        <v>69</v>
      </c>
      <c r="E317" s="328">
        <v>2</v>
      </c>
      <c r="F317" s="328"/>
      <c r="G317" s="328"/>
      <c r="H317" s="329"/>
      <c r="I317" s="440" t="s">
        <v>846</v>
      </c>
      <c r="J317" s="81"/>
      <c r="K317" s="81"/>
    </row>
    <row r="318" spans="1:11" s="141" customFormat="1" ht="17.25" x14ac:dyDescent="0.35">
      <c r="A318" s="327" t="s">
        <v>139</v>
      </c>
      <c r="B318" s="328" t="s">
        <v>139</v>
      </c>
      <c r="C318" s="328"/>
      <c r="D318" s="328" t="s">
        <v>69</v>
      </c>
      <c r="E318" s="328">
        <v>1</v>
      </c>
      <c r="F318" s="328" t="s">
        <v>1441</v>
      </c>
      <c r="G318" s="328"/>
      <c r="H318" s="329"/>
      <c r="I318" s="440" t="s">
        <v>847</v>
      </c>
      <c r="J318" s="81"/>
      <c r="K318" s="81"/>
    </row>
    <row r="319" spans="1:11" s="141" customFormat="1" ht="17.25" x14ac:dyDescent="0.35">
      <c r="A319" s="327" t="s">
        <v>139</v>
      </c>
      <c r="B319" s="328" t="s">
        <v>139</v>
      </c>
      <c r="C319" s="328"/>
      <c r="D319" s="328" t="s">
        <v>69</v>
      </c>
      <c r="E319" s="328">
        <v>1</v>
      </c>
      <c r="F319" s="328" t="s">
        <v>1439</v>
      </c>
      <c r="G319" s="328"/>
      <c r="H319" s="329"/>
      <c r="I319" s="440" t="s">
        <v>848</v>
      </c>
      <c r="J319" s="81"/>
      <c r="K319" s="81"/>
    </row>
    <row r="320" spans="1:11" s="141" customFormat="1" ht="17.25" x14ac:dyDescent="0.35">
      <c r="A320" s="327" t="s">
        <v>139</v>
      </c>
      <c r="B320" s="328" t="s">
        <v>139</v>
      </c>
      <c r="C320" s="328"/>
      <c r="D320" s="328" t="s">
        <v>70</v>
      </c>
      <c r="E320" s="328">
        <v>128</v>
      </c>
      <c r="F320" s="328"/>
      <c r="G320" s="328"/>
      <c r="H320" s="329"/>
      <c r="I320" s="440" t="s">
        <v>849</v>
      </c>
      <c r="J320" s="81"/>
      <c r="K320" s="81"/>
    </row>
    <row r="321" spans="1:11" s="141" customFormat="1" ht="17.25" x14ac:dyDescent="0.35">
      <c r="A321" s="327" t="s">
        <v>908</v>
      </c>
      <c r="B321" s="328" t="s">
        <v>909</v>
      </c>
      <c r="C321" s="328" t="s">
        <v>90</v>
      </c>
      <c r="D321" s="328"/>
      <c r="E321" s="328"/>
      <c r="F321" s="328"/>
      <c r="G321" s="328" t="s">
        <v>239</v>
      </c>
      <c r="H321" s="329"/>
      <c r="I321" s="440">
        <v>70291</v>
      </c>
      <c r="J321" s="81"/>
      <c r="K321" s="81"/>
    </row>
    <row r="322" spans="1:11" s="141" customFormat="1" ht="17.25" x14ac:dyDescent="0.35">
      <c r="A322" s="327"/>
      <c r="B322" s="328"/>
      <c r="C322" s="328"/>
      <c r="D322" s="328" t="s">
        <v>69</v>
      </c>
      <c r="E322" s="328">
        <v>1</v>
      </c>
      <c r="F322" s="328">
        <v>2</v>
      </c>
      <c r="G322" s="328"/>
      <c r="H322" s="329"/>
      <c r="I322" s="440" t="s">
        <v>722</v>
      </c>
      <c r="J322" s="81"/>
      <c r="K322" s="81"/>
    </row>
    <row r="323" spans="1:11" s="141" customFormat="1" ht="17.25" x14ac:dyDescent="0.35">
      <c r="A323" s="327"/>
      <c r="B323" s="328"/>
      <c r="C323" s="328"/>
      <c r="D323" s="328" t="s">
        <v>69</v>
      </c>
      <c r="E323" s="328">
        <v>1</v>
      </c>
      <c r="F323" s="328">
        <v>1</v>
      </c>
      <c r="G323" s="328"/>
      <c r="H323" s="329"/>
      <c r="I323" s="440" t="s">
        <v>910</v>
      </c>
      <c r="J323" s="81"/>
      <c r="K323" s="81"/>
    </row>
    <row r="324" spans="1:11" s="141" customFormat="1" ht="17.25" x14ac:dyDescent="0.35">
      <c r="A324" s="327"/>
      <c r="B324" s="328"/>
      <c r="C324" s="328"/>
      <c r="D324" s="328" t="s">
        <v>69</v>
      </c>
      <c r="E324" s="328">
        <v>1</v>
      </c>
      <c r="F324" s="328">
        <v>0</v>
      </c>
      <c r="G324" s="328"/>
      <c r="H324" s="329"/>
      <c r="I324" s="440" t="s">
        <v>911</v>
      </c>
      <c r="J324" s="81"/>
      <c r="K324" s="81"/>
    </row>
    <row r="325" spans="1:11" s="141" customFormat="1" ht="17.25" x14ac:dyDescent="0.35">
      <c r="A325" s="327"/>
      <c r="B325" s="328"/>
      <c r="C325" s="328"/>
      <c r="D325" s="328" t="s">
        <v>69</v>
      </c>
      <c r="E325" s="328">
        <v>2</v>
      </c>
      <c r="F325" s="328">
        <v>0</v>
      </c>
      <c r="G325" s="328"/>
      <c r="H325" s="329"/>
      <c r="I325" s="440" t="s">
        <v>912</v>
      </c>
      <c r="J325" s="81"/>
      <c r="K325" s="81"/>
    </row>
    <row r="326" spans="1:11" s="141" customFormat="1" ht="17.25" x14ac:dyDescent="0.35">
      <c r="A326" s="327"/>
      <c r="B326" s="328"/>
      <c r="C326" s="328"/>
      <c r="D326" s="328" t="s">
        <v>69</v>
      </c>
      <c r="E326" s="328">
        <v>1</v>
      </c>
      <c r="F326" s="328">
        <v>0</v>
      </c>
      <c r="G326" s="328"/>
      <c r="H326" s="329"/>
      <c r="I326" s="440" t="s">
        <v>913</v>
      </c>
      <c r="J326" s="81"/>
      <c r="K326" s="81"/>
    </row>
    <row r="327" spans="1:11" s="141" customFormat="1" ht="17.25" x14ac:dyDescent="0.35">
      <c r="A327" s="327"/>
      <c r="B327" s="328"/>
      <c r="C327" s="328"/>
      <c r="D327" s="328" t="s">
        <v>69</v>
      </c>
      <c r="E327" s="328">
        <v>1</v>
      </c>
      <c r="F327" s="328">
        <v>0</v>
      </c>
      <c r="G327" s="328"/>
      <c r="H327" s="329"/>
      <c r="I327" s="440" t="s">
        <v>914</v>
      </c>
      <c r="J327" s="81"/>
      <c r="K327" s="81"/>
    </row>
    <row r="328" spans="1:11" s="141" customFormat="1" ht="17.25" x14ac:dyDescent="0.35">
      <c r="A328" s="327"/>
      <c r="B328" s="328"/>
      <c r="C328" s="328"/>
      <c r="D328" s="328" t="s">
        <v>69</v>
      </c>
      <c r="E328" s="328">
        <v>1</v>
      </c>
      <c r="F328" s="328">
        <v>0</v>
      </c>
      <c r="G328" s="328"/>
      <c r="H328" s="329"/>
      <c r="I328" s="440" t="s">
        <v>915</v>
      </c>
      <c r="J328" s="81"/>
      <c r="K328" s="81"/>
    </row>
    <row r="329" spans="1:11" s="141" customFormat="1" ht="17.25" x14ac:dyDescent="0.35">
      <c r="A329" s="327"/>
      <c r="B329" s="328"/>
      <c r="C329" s="328"/>
      <c r="D329" s="328" t="s">
        <v>69</v>
      </c>
      <c r="E329" s="328">
        <v>4</v>
      </c>
      <c r="F329" s="328">
        <v>0</v>
      </c>
      <c r="G329" s="328"/>
      <c r="H329" s="329"/>
      <c r="I329" s="440" t="s">
        <v>916</v>
      </c>
      <c r="J329" s="81"/>
      <c r="K329" s="81"/>
    </row>
    <row r="330" spans="1:11" s="141" customFormat="1" ht="17.25" x14ac:dyDescent="0.35">
      <c r="A330" s="327"/>
      <c r="B330" s="328"/>
      <c r="C330" s="328"/>
      <c r="D330" s="328" t="s">
        <v>69</v>
      </c>
      <c r="E330" s="328">
        <v>2</v>
      </c>
      <c r="F330" s="328">
        <v>0</v>
      </c>
      <c r="G330" s="328"/>
      <c r="H330" s="329"/>
      <c r="I330" s="440" t="s">
        <v>917</v>
      </c>
      <c r="J330" s="81"/>
      <c r="K330" s="81"/>
    </row>
    <row r="331" spans="1:11" s="141" customFormat="1" ht="17.25" x14ac:dyDescent="0.35">
      <c r="A331" s="327"/>
      <c r="B331" s="328"/>
      <c r="C331" s="328"/>
      <c r="D331" s="328" t="s">
        <v>69</v>
      </c>
      <c r="E331" s="328">
        <v>2</v>
      </c>
      <c r="F331" s="328">
        <v>0</v>
      </c>
      <c r="G331" s="328"/>
      <c r="H331" s="329"/>
      <c r="I331" s="440" t="s">
        <v>918</v>
      </c>
      <c r="J331" s="81"/>
      <c r="K331" s="81"/>
    </row>
    <row r="332" spans="1:11" s="141" customFormat="1" ht="17.25" x14ac:dyDescent="0.35">
      <c r="A332" s="327"/>
      <c r="B332" s="328"/>
      <c r="C332" s="328"/>
      <c r="D332" s="328" t="s">
        <v>69</v>
      </c>
      <c r="E332" s="328">
        <v>2</v>
      </c>
      <c r="F332" s="328">
        <v>0</v>
      </c>
      <c r="G332" s="328"/>
      <c r="H332" s="329"/>
      <c r="I332" s="440" t="s">
        <v>919</v>
      </c>
      <c r="J332" s="81"/>
      <c r="K332" s="81"/>
    </row>
    <row r="333" spans="1:11" s="141" customFormat="1" ht="17.25" x14ac:dyDescent="0.35">
      <c r="A333" s="327"/>
      <c r="B333" s="328"/>
      <c r="C333" s="328"/>
      <c r="D333" s="328" t="s">
        <v>69</v>
      </c>
      <c r="E333" s="328">
        <v>1</v>
      </c>
      <c r="F333" s="328">
        <v>0</v>
      </c>
      <c r="G333" s="328"/>
      <c r="H333" s="329"/>
      <c r="I333" s="440" t="s">
        <v>920</v>
      </c>
      <c r="J333" s="81"/>
      <c r="K333" s="81"/>
    </row>
    <row r="334" spans="1:11" s="141" customFormat="1" ht="17.25" x14ac:dyDescent="0.35">
      <c r="A334" s="327"/>
      <c r="B334" s="328"/>
      <c r="C334" s="328"/>
      <c r="D334" s="328" t="s">
        <v>69</v>
      </c>
      <c r="E334" s="328">
        <v>1</v>
      </c>
      <c r="F334" s="328">
        <v>0</v>
      </c>
      <c r="G334" s="328"/>
      <c r="H334" s="329"/>
      <c r="I334" s="440" t="s">
        <v>921</v>
      </c>
      <c r="J334" s="81"/>
      <c r="K334" s="81"/>
    </row>
    <row r="335" spans="1:11" s="141" customFormat="1" ht="17.25" x14ac:dyDescent="0.35">
      <c r="A335" s="327"/>
      <c r="B335" s="328"/>
      <c r="C335" s="328"/>
      <c r="D335" s="328" t="s">
        <v>69</v>
      </c>
      <c r="E335" s="328">
        <v>1</v>
      </c>
      <c r="F335" s="328">
        <v>0</v>
      </c>
      <c r="G335" s="328"/>
      <c r="H335" s="329"/>
      <c r="I335" s="440" t="s">
        <v>922</v>
      </c>
      <c r="J335" s="81"/>
      <c r="K335" s="81"/>
    </row>
    <row r="336" spans="1:11" s="141" customFormat="1" ht="17.25" x14ac:dyDescent="0.35">
      <c r="A336" s="327"/>
      <c r="B336" s="328"/>
      <c r="C336" s="328"/>
      <c r="D336" s="328" t="s">
        <v>69</v>
      </c>
      <c r="E336" s="328">
        <v>2</v>
      </c>
      <c r="F336" s="328">
        <v>0</v>
      </c>
      <c r="G336" s="328"/>
      <c r="H336" s="329"/>
      <c r="I336" s="440" t="s">
        <v>923</v>
      </c>
      <c r="J336" s="81"/>
      <c r="K336" s="81"/>
    </row>
    <row r="337" spans="1:11" s="141" customFormat="1" ht="17.25" x14ac:dyDescent="0.35">
      <c r="A337" s="327"/>
      <c r="B337" s="328"/>
      <c r="C337" s="328"/>
      <c r="D337" s="328" t="s">
        <v>69</v>
      </c>
      <c r="E337" s="328">
        <v>2</v>
      </c>
      <c r="F337" s="328">
        <v>0</v>
      </c>
      <c r="G337" s="328"/>
      <c r="H337" s="329"/>
      <c r="I337" s="440" t="s">
        <v>924</v>
      </c>
      <c r="J337" s="81"/>
      <c r="K337" s="81"/>
    </row>
    <row r="338" spans="1:11" s="141" customFormat="1" ht="17.25" x14ac:dyDescent="0.35">
      <c r="A338" s="327"/>
      <c r="B338" s="328"/>
      <c r="C338" s="328"/>
      <c r="D338" s="328" t="s">
        <v>69</v>
      </c>
      <c r="E338" s="328">
        <v>1</v>
      </c>
      <c r="F338" s="328">
        <v>0</v>
      </c>
      <c r="G338" s="328"/>
      <c r="H338" s="329"/>
      <c r="I338" s="440" t="s">
        <v>925</v>
      </c>
      <c r="J338" s="81"/>
      <c r="K338" s="81"/>
    </row>
    <row r="339" spans="1:11" s="141" customFormat="1" ht="17.25" x14ac:dyDescent="0.35">
      <c r="A339" s="327"/>
      <c r="B339" s="328"/>
      <c r="C339" s="328"/>
      <c r="D339" s="328" t="s">
        <v>69</v>
      </c>
      <c r="E339" s="328">
        <v>2</v>
      </c>
      <c r="F339" s="328">
        <v>0</v>
      </c>
      <c r="G339" s="328"/>
      <c r="H339" s="329"/>
      <c r="I339" s="440" t="s">
        <v>926</v>
      </c>
      <c r="J339" s="81"/>
      <c r="K339" s="81"/>
    </row>
    <row r="340" spans="1:11" s="141" customFormat="1" ht="17.25" x14ac:dyDescent="0.35">
      <c r="A340" s="327"/>
      <c r="B340" s="328"/>
      <c r="C340" s="328"/>
      <c r="D340" s="328" t="s">
        <v>69</v>
      </c>
      <c r="E340" s="328">
        <v>2</v>
      </c>
      <c r="F340" s="328">
        <v>0</v>
      </c>
      <c r="G340" s="328"/>
      <c r="H340" s="329"/>
      <c r="I340" s="440" t="s">
        <v>927</v>
      </c>
      <c r="J340" s="81"/>
      <c r="K340" s="81"/>
    </row>
    <row r="341" spans="1:11" s="141" customFormat="1" ht="17.25" x14ac:dyDescent="0.35">
      <c r="A341" s="327"/>
      <c r="B341" s="328"/>
      <c r="C341" s="328"/>
      <c r="D341" s="328" t="s">
        <v>69</v>
      </c>
      <c r="E341" s="328">
        <v>1</v>
      </c>
      <c r="F341" s="328">
        <v>1</v>
      </c>
      <c r="G341" s="328"/>
      <c r="H341" s="329"/>
      <c r="I341" s="440" t="s">
        <v>928</v>
      </c>
      <c r="J341" s="81"/>
      <c r="K341" s="81"/>
    </row>
    <row r="342" spans="1:11" s="141" customFormat="1" ht="17.25" x14ac:dyDescent="0.35">
      <c r="A342" s="327"/>
      <c r="B342" s="328"/>
      <c r="C342" s="328"/>
      <c r="D342" s="328" t="s">
        <v>69</v>
      </c>
      <c r="E342" s="328">
        <v>1</v>
      </c>
      <c r="F342" s="328">
        <v>9</v>
      </c>
      <c r="G342" s="328"/>
      <c r="H342" s="329"/>
      <c r="I342" s="440" t="s">
        <v>929</v>
      </c>
      <c r="J342" s="81"/>
      <c r="K342" s="81"/>
    </row>
    <row r="343" spans="1:11" s="141" customFormat="1" ht="17.25" x14ac:dyDescent="0.35">
      <c r="A343" s="327"/>
      <c r="B343" s="328"/>
      <c r="C343" s="328"/>
      <c r="D343" s="328" t="s">
        <v>69</v>
      </c>
      <c r="E343" s="328">
        <v>1</v>
      </c>
      <c r="F343" s="328">
        <v>11</v>
      </c>
      <c r="G343" s="328"/>
      <c r="H343" s="329"/>
      <c r="I343" s="440" t="s">
        <v>930</v>
      </c>
      <c r="J343" s="81"/>
      <c r="K343" s="81"/>
    </row>
    <row r="344" spans="1:11" s="141" customFormat="1" ht="17.25" x14ac:dyDescent="0.35">
      <c r="A344" s="327"/>
      <c r="B344" s="328"/>
      <c r="C344" s="328"/>
      <c r="D344" s="328" t="s">
        <v>69</v>
      </c>
      <c r="E344" s="328">
        <v>4</v>
      </c>
      <c r="F344" s="328">
        <v>1104</v>
      </c>
      <c r="G344" s="328"/>
      <c r="H344" s="329"/>
      <c r="I344" s="440" t="s">
        <v>931</v>
      </c>
      <c r="J344" s="81"/>
      <c r="K344" s="81"/>
    </row>
    <row r="345" spans="1:11" s="141" customFormat="1" ht="17.25" x14ac:dyDescent="0.35">
      <c r="A345" s="327"/>
      <c r="B345" s="328"/>
      <c r="C345" s="328"/>
      <c r="D345" s="328" t="s">
        <v>69</v>
      </c>
      <c r="E345" s="328">
        <v>2</v>
      </c>
      <c r="F345" s="328">
        <v>913</v>
      </c>
      <c r="G345" s="328"/>
      <c r="H345" s="329"/>
      <c r="I345" s="440" t="s">
        <v>932</v>
      </c>
      <c r="J345" s="81"/>
      <c r="K345" s="81"/>
    </row>
    <row r="346" spans="1:11" s="141" customFormat="1" ht="17.25" x14ac:dyDescent="0.35">
      <c r="A346" s="327"/>
      <c r="B346" s="328"/>
      <c r="C346" s="328"/>
      <c r="D346" s="328" t="s">
        <v>69</v>
      </c>
      <c r="E346" s="328">
        <v>2</v>
      </c>
      <c r="F346" s="328">
        <v>64</v>
      </c>
      <c r="G346" s="328"/>
      <c r="H346" s="329"/>
      <c r="I346" s="440" t="s">
        <v>933</v>
      </c>
      <c r="J346" s="81"/>
      <c r="K346" s="81"/>
    </row>
    <row r="347" spans="1:11" s="141" customFormat="1" ht="17.25" x14ac:dyDescent="0.35">
      <c r="A347" s="327"/>
      <c r="B347" s="328"/>
      <c r="C347" s="328"/>
      <c r="D347" s="328" t="s">
        <v>69</v>
      </c>
      <c r="E347" s="328">
        <v>2</v>
      </c>
      <c r="F347" s="328">
        <v>913</v>
      </c>
      <c r="G347" s="328"/>
      <c r="H347" s="329"/>
      <c r="I347" s="440" t="s">
        <v>934</v>
      </c>
      <c r="J347" s="81"/>
      <c r="K347" s="81"/>
    </row>
    <row r="348" spans="1:11" s="141" customFormat="1" ht="17.25" x14ac:dyDescent="0.35">
      <c r="A348" s="327"/>
      <c r="B348" s="328"/>
      <c r="C348" s="328"/>
      <c r="D348" s="328" t="s">
        <v>69</v>
      </c>
      <c r="E348" s="328">
        <v>1</v>
      </c>
      <c r="F348" s="328">
        <v>30</v>
      </c>
      <c r="G348" s="328"/>
      <c r="H348" s="329"/>
      <c r="I348" s="440" t="s">
        <v>935</v>
      </c>
      <c r="J348" s="81"/>
      <c r="K348" s="81"/>
    </row>
    <row r="349" spans="1:11" s="141" customFormat="1" ht="17.25" x14ac:dyDescent="0.35">
      <c r="A349" s="327"/>
      <c r="B349" s="328"/>
      <c r="C349" s="328"/>
      <c r="D349" s="328" t="s">
        <v>69</v>
      </c>
      <c r="E349" s="328">
        <v>1</v>
      </c>
      <c r="F349" s="328">
        <v>7</v>
      </c>
      <c r="G349" s="328"/>
      <c r="H349" s="329"/>
      <c r="I349" s="440" t="s">
        <v>936</v>
      </c>
      <c r="J349" s="81"/>
      <c r="K349" s="81"/>
    </row>
    <row r="350" spans="1:11" s="141" customFormat="1" ht="17.25" x14ac:dyDescent="0.35">
      <c r="A350" s="327"/>
      <c r="B350" s="328"/>
      <c r="C350" s="328"/>
      <c r="D350" s="328" t="s">
        <v>69</v>
      </c>
      <c r="E350" s="328">
        <v>1</v>
      </c>
      <c r="F350" s="328">
        <v>30</v>
      </c>
      <c r="G350" s="328"/>
      <c r="H350" s="329"/>
      <c r="I350" s="440" t="s">
        <v>937</v>
      </c>
      <c r="J350" s="81"/>
      <c r="K350" s="81"/>
    </row>
    <row r="351" spans="1:11" s="141" customFormat="1" ht="17.25" x14ac:dyDescent="0.35">
      <c r="A351" s="327"/>
      <c r="B351" s="328"/>
      <c r="C351" s="328"/>
      <c r="D351" s="328" t="s">
        <v>69</v>
      </c>
      <c r="E351" s="328">
        <v>2</v>
      </c>
      <c r="F351" s="328">
        <v>0</v>
      </c>
      <c r="G351" s="328"/>
      <c r="H351" s="329"/>
      <c r="I351" s="440" t="s">
        <v>938</v>
      </c>
      <c r="J351" s="81"/>
      <c r="K351" s="81"/>
    </row>
    <row r="352" spans="1:11" s="141" customFormat="1" ht="17.25" x14ac:dyDescent="0.35">
      <c r="A352" s="327"/>
      <c r="B352" s="328"/>
      <c r="C352" s="328"/>
      <c r="D352" s="328" t="s">
        <v>69</v>
      </c>
      <c r="E352" s="328">
        <v>2</v>
      </c>
      <c r="F352" s="328">
        <v>0</v>
      </c>
      <c r="G352" s="328"/>
      <c r="H352" s="329"/>
      <c r="I352" s="440" t="s">
        <v>939</v>
      </c>
      <c r="J352" s="81"/>
      <c r="K352" s="81"/>
    </row>
    <row r="353" spans="1:11" s="141" customFormat="1" ht="17.25" x14ac:dyDescent="0.35">
      <c r="A353" s="327"/>
      <c r="B353" s="328"/>
      <c r="C353" s="328"/>
      <c r="D353" s="328" t="s">
        <v>69</v>
      </c>
      <c r="E353" s="328">
        <v>532</v>
      </c>
      <c r="F353" s="328"/>
      <c r="G353" s="328"/>
      <c r="H353" s="329"/>
      <c r="I353" s="440" t="s">
        <v>940</v>
      </c>
      <c r="J353" s="81"/>
      <c r="K353" s="81"/>
    </row>
    <row r="354" spans="1:11" s="141" customFormat="1" ht="17.25" x14ac:dyDescent="0.35">
      <c r="A354" s="327" t="s">
        <v>1480</v>
      </c>
      <c r="B354" s="328" t="s">
        <v>721</v>
      </c>
      <c r="C354" s="328" t="s">
        <v>90</v>
      </c>
      <c r="D354" s="328"/>
      <c r="E354" s="328"/>
      <c r="F354" s="328"/>
      <c r="G354" s="328" t="s">
        <v>239</v>
      </c>
      <c r="H354" s="329"/>
      <c r="I354" s="440">
        <v>67348</v>
      </c>
      <c r="J354" s="81"/>
      <c r="K354" s="81"/>
    </row>
    <row r="355" spans="1:11" s="141" customFormat="1" ht="17.25" x14ac:dyDescent="0.35">
      <c r="A355" s="327" t="s">
        <v>139</v>
      </c>
      <c r="B355" s="328" t="s">
        <v>139</v>
      </c>
      <c r="C355" s="328"/>
      <c r="D355" s="328" t="s">
        <v>69</v>
      </c>
      <c r="E355" s="328">
        <v>1</v>
      </c>
      <c r="F355" s="328">
        <v>25</v>
      </c>
      <c r="G355" s="328"/>
      <c r="H355" s="329"/>
      <c r="I355" s="440" t="s">
        <v>722</v>
      </c>
      <c r="J355" s="81"/>
      <c r="K355" s="81"/>
    </row>
    <row r="356" spans="1:11" s="141" customFormat="1" ht="17.25" x14ac:dyDescent="0.35">
      <c r="A356" s="327" t="s">
        <v>139</v>
      </c>
      <c r="B356" s="328" t="s">
        <v>139</v>
      </c>
      <c r="C356" s="328"/>
      <c r="D356" s="328" t="s">
        <v>69</v>
      </c>
      <c r="E356" s="328">
        <v>1</v>
      </c>
      <c r="F356" s="328">
        <v>1</v>
      </c>
      <c r="G356" s="328"/>
      <c r="H356" s="329"/>
      <c r="I356" s="440" t="s">
        <v>723</v>
      </c>
      <c r="J356" s="81"/>
      <c r="K356" s="81"/>
    </row>
    <row r="357" spans="1:11" s="141" customFormat="1" ht="17.25" x14ac:dyDescent="0.35">
      <c r="A357" s="327" t="s">
        <v>139</v>
      </c>
      <c r="B357" s="328" t="s">
        <v>139</v>
      </c>
      <c r="C357" s="328"/>
      <c r="D357" s="328" t="s">
        <v>69</v>
      </c>
      <c r="E357" s="328">
        <v>4</v>
      </c>
      <c r="F357" s="328">
        <v>1</v>
      </c>
      <c r="G357" s="328"/>
      <c r="H357" s="329"/>
      <c r="I357" s="440" t="s">
        <v>1481</v>
      </c>
      <c r="J357" s="81"/>
      <c r="K357" s="81"/>
    </row>
    <row r="358" spans="1:11" s="141" customFormat="1" ht="17.25" x14ac:dyDescent="0.35">
      <c r="A358" s="327" t="s">
        <v>139</v>
      </c>
      <c r="B358" s="328" t="s">
        <v>139</v>
      </c>
      <c r="C358" s="328"/>
      <c r="D358" s="328" t="s">
        <v>69</v>
      </c>
      <c r="E358" s="328">
        <v>1</v>
      </c>
      <c r="F358" s="328"/>
      <c r="G358" s="328"/>
      <c r="H358" s="329"/>
      <c r="I358" s="440" t="s">
        <v>725</v>
      </c>
      <c r="J358" s="81"/>
      <c r="K358" s="81"/>
    </row>
    <row r="359" spans="1:11" s="141" customFormat="1" ht="17.25" x14ac:dyDescent="0.35">
      <c r="A359" s="327" t="s">
        <v>139</v>
      </c>
      <c r="B359" s="328" t="s">
        <v>139</v>
      </c>
      <c r="C359" s="328"/>
      <c r="D359" s="328" t="s">
        <v>69</v>
      </c>
      <c r="E359" s="328">
        <v>1</v>
      </c>
      <c r="F359" s="328"/>
      <c r="G359" s="328"/>
      <c r="H359" s="329"/>
      <c r="I359" s="440" t="s">
        <v>726</v>
      </c>
      <c r="J359" s="81"/>
      <c r="K359" s="81"/>
    </row>
    <row r="360" spans="1:11" s="141" customFormat="1" ht="17.25" x14ac:dyDescent="0.35">
      <c r="A360" s="327" t="s">
        <v>139</v>
      </c>
      <c r="B360" s="328" t="s">
        <v>139</v>
      </c>
      <c r="C360" s="328"/>
      <c r="D360" s="328" t="s">
        <v>69</v>
      </c>
      <c r="E360" s="328">
        <v>1</v>
      </c>
      <c r="F360" s="328"/>
      <c r="G360" s="328"/>
      <c r="H360" s="329"/>
      <c r="I360" s="440" t="s">
        <v>1482</v>
      </c>
      <c r="J360" s="81"/>
      <c r="K360" s="81"/>
    </row>
    <row r="361" spans="1:11" s="141" customFormat="1" ht="17.25" x14ac:dyDescent="0.35">
      <c r="A361" s="327" t="s">
        <v>139</v>
      </c>
      <c r="B361" s="328" t="s">
        <v>139</v>
      </c>
      <c r="C361" s="328"/>
      <c r="D361" s="328" t="s">
        <v>69</v>
      </c>
      <c r="E361" s="328">
        <v>1</v>
      </c>
      <c r="F361" s="328"/>
      <c r="G361" s="328"/>
      <c r="H361" s="329"/>
      <c r="I361" s="440" t="s">
        <v>1483</v>
      </c>
      <c r="J361" s="81"/>
      <c r="K361" s="81"/>
    </row>
    <row r="362" spans="1:11" s="141" customFormat="1" ht="17.25" x14ac:dyDescent="0.35">
      <c r="A362" s="327" t="s">
        <v>139</v>
      </c>
      <c r="B362" s="328" t="s">
        <v>139</v>
      </c>
      <c r="C362" s="328"/>
      <c r="D362" s="328" t="s">
        <v>70</v>
      </c>
      <c r="E362" s="328">
        <v>16</v>
      </c>
      <c r="F362" s="328"/>
      <c r="G362" s="328"/>
      <c r="H362" s="329"/>
      <c r="I362" s="440" t="s">
        <v>729</v>
      </c>
      <c r="J362" s="81"/>
      <c r="K362" s="81"/>
    </row>
    <row r="363" spans="1:11" s="141" customFormat="1" ht="17.25" x14ac:dyDescent="0.35">
      <c r="A363" s="327" t="s">
        <v>139</v>
      </c>
      <c r="B363" s="328" t="s">
        <v>139</v>
      </c>
      <c r="C363" s="328"/>
      <c r="D363" s="328" t="s">
        <v>69</v>
      </c>
      <c r="E363" s="328">
        <v>1</v>
      </c>
      <c r="F363" s="328" t="s">
        <v>1439</v>
      </c>
      <c r="G363" s="328"/>
      <c r="H363" s="329"/>
      <c r="I363" s="440" t="s">
        <v>1484</v>
      </c>
      <c r="J363" s="81"/>
      <c r="K363" s="81"/>
    </row>
    <row r="364" spans="1:11" s="141" customFormat="1" ht="17.25" x14ac:dyDescent="0.35">
      <c r="A364" s="327" t="s">
        <v>139</v>
      </c>
      <c r="B364" s="328" t="s">
        <v>139</v>
      </c>
      <c r="C364" s="328"/>
      <c r="D364" s="328" t="s">
        <v>69</v>
      </c>
      <c r="E364" s="328">
        <v>1</v>
      </c>
      <c r="F364" s="328">
        <v>0</v>
      </c>
      <c r="G364" s="328"/>
      <c r="H364" s="329"/>
      <c r="I364" s="440" t="s">
        <v>731</v>
      </c>
      <c r="J364" s="81"/>
      <c r="K364" s="81"/>
    </row>
    <row r="365" spans="1:11" s="141" customFormat="1" ht="17.25" x14ac:dyDescent="0.35">
      <c r="A365" s="327" t="s">
        <v>139</v>
      </c>
      <c r="B365" s="328" t="s">
        <v>139</v>
      </c>
      <c r="C365" s="328"/>
      <c r="D365" s="328" t="s">
        <v>69</v>
      </c>
      <c r="E365" s="328">
        <v>1</v>
      </c>
      <c r="F365" s="328">
        <v>0</v>
      </c>
      <c r="G365" s="328"/>
      <c r="H365" s="329"/>
      <c r="I365" s="440" t="s">
        <v>732</v>
      </c>
      <c r="J365" s="81"/>
      <c r="K365" s="81"/>
    </row>
    <row r="366" spans="1:11" s="141" customFormat="1" ht="17.25" x14ac:dyDescent="0.35">
      <c r="A366" s="327" t="s">
        <v>139</v>
      </c>
      <c r="B366" s="328" t="s">
        <v>139</v>
      </c>
      <c r="C366" s="328"/>
      <c r="D366" s="328" t="s">
        <v>69</v>
      </c>
      <c r="E366" s="328">
        <v>1</v>
      </c>
      <c r="F366" s="328">
        <v>0</v>
      </c>
      <c r="G366" s="328"/>
      <c r="H366" s="329"/>
      <c r="I366" s="440" t="s">
        <v>733</v>
      </c>
      <c r="J366" s="81"/>
      <c r="K366" s="81"/>
    </row>
    <row r="367" spans="1:11" s="141" customFormat="1" ht="17.25" x14ac:dyDescent="0.35">
      <c r="A367" s="327" t="s">
        <v>139</v>
      </c>
      <c r="B367" s="328" t="s">
        <v>139</v>
      </c>
      <c r="C367" s="328"/>
      <c r="D367" s="328" t="s">
        <v>69</v>
      </c>
      <c r="E367" s="328">
        <v>1</v>
      </c>
      <c r="F367" s="328">
        <v>3</v>
      </c>
      <c r="G367" s="328"/>
      <c r="H367" s="329"/>
      <c r="I367" s="440" t="s">
        <v>734</v>
      </c>
      <c r="J367" s="81"/>
      <c r="K367" s="81"/>
    </row>
    <row r="368" spans="1:11" s="141" customFormat="1" ht="17.25" x14ac:dyDescent="0.35">
      <c r="A368" s="327"/>
      <c r="B368" s="328"/>
      <c r="C368" s="328"/>
      <c r="D368" s="328" t="s">
        <v>69</v>
      </c>
      <c r="E368" s="328">
        <v>1</v>
      </c>
      <c r="F368" s="328">
        <v>1</v>
      </c>
      <c r="G368" s="328"/>
      <c r="H368" s="329"/>
      <c r="I368" s="440" t="s">
        <v>1485</v>
      </c>
      <c r="J368" s="81"/>
      <c r="K368" s="81"/>
    </row>
    <row r="369" spans="1:11" s="141" customFormat="1" ht="17.25" x14ac:dyDescent="0.35">
      <c r="A369" s="327"/>
      <c r="B369" s="328"/>
      <c r="C369" s="328"/>
      <c r="D369" s="328" t="s">
        <v>69</v>
      </c>
      <c r="E369" s="328">
        <v>1</v>
      </c>
      <c r="F369" s="328">
        <v>1</v>
      </c>
      <c r="G369" s="328"/>
      <c r="H369" s="329"/>
      <c r="I369" s="440" t="s">
        <v>736</v>
      </c>
      <c r="J369" s="81"/>
      <c r="K369" s="81"/>
    </row>
    <row r="370" spans="1:11" s="141" customFormat="1" ht="17.25" x14ac:dyDescent="0.35">
      <c r="A370" s="327"/>
      <c r="B370" s="328"/>
      <c r="C370" s="328"/>
      <c r="D370" s="328" t="s">
        <v>69</v>
      </c>
      <c r="E370" s="328">
        <v>1</v>
      </c>
      <c r="F370" s="328">
        <v>0</v>
      </c>
      <c r="G370" s="328"/>
      <c r="H370" s="329"/>
      <c r="I370" s="440" t="s">
        <v>737</v>
      </c>
      <c r="J370" s="81"/>
      <c r="K370" s="81"/>
    </row>
    <row r="371" spans="1:11" s="141" customFormat="1" ht="17.25" x14ac:dyDescent="0.35">
      <c r="A371" s="327"/>
      <c r="B371" s="328"/>
      <c r="C371" s="328"/>
      <c r="D371" s="328" t="s">
        <v>69</v>
      </c>
      <c r="E371" s="328">
        <v>1</v>
      </c>
      <c r="F371" s="328">
        <v>1</v>
      </c>
      <c r="G371" s="328"/>
      <c r="H371" s="329"/>
      <c r="I371" s="440" t="s">
        <v>1486</v>
      </c>
      <c r="J371" s="81"/>
      <c r="K371" s="81"/>
    </row>
    <row r="372" spans="1:11" s="141" customFormat="1" ht="17.25" x14ac:dyDescent="0.35">
      <c r="A372" s="327"/>
      <c r="B372" s="328"/>
      <c r="C372" s="328"/>
      <c r="D372" s="328" t="s">
        <v>70</v>
      </c>
      <c r="E372" s="328">
        <v>128</v>
      </c>
      <c r="F372" s="328"/>
      <c r="G372" s="328"/>
      <c r="H372" s="329"/>
      <c r="I372" s="440" t="s">
        <v>739</v>
      </c>
      <c r="J372" s="81"/>
      <c r="K372" s="81"/>
    </row>
    <row r="373" spans="1:11" s="141" customFormat="1" ht="17.25" x14ac:dyDescent="0.35">
      <c r="A373" s="327"/>
      <c r="B373" s="328"/>
      <c r="C373" s="328"/>
      <c r="D373" s="328" t="s">
        <v>70</v>
      </c>
      <c r="E373" s="328">
        <v>128</v>
      </c>
      <c r="F373" s="328" t="s">
        <v>740</v>
      </c>
      <c r="G373" s="328"/>
      <c r="H373" s="329"/>
      <c r="I373" s="440" t="s">
        <v>741</v>
      </c>
      <c r="J373" s="81"/>
      <c r="K373" s="81"/>
    </row>
    <row r="374" spans="1:11" s="141" customFormat="1" ht="17.25" x14ac:dyDescent="0.35">
      <c r="A374" s="327"/>
      <c r="B374" s="328"/>
      <c r="C374" s="328"/>
      <c r="D374" s="328" t="s">
        <v>69</v>
      </c>
      <c r="E374" s="328">
        <v>1</v>
      </c>
      <c r="F374" s="328">
        <v>0</v>
      </c>
      <c r="G374" s="328"/>
      <c r="H374" s="329"/>
      <c r="I374" s="440" t="s">
        <v>742</v>
      </c>
      <c r="J374" s="81"/>
      <c r="K374" s="81"/>
    </row>
    <row r="375" spans="1:11" s="141" customFormat="1" ht="17.25" x14ac:dyDescent="0.35">
      <c r="A375" s="327"/>
      <c r="B375" s="328"/>
      <c r="C375" s="328"/>
      <c r="D375" s="328" t="s">
        <v>69</v>
      </c>
      <c r="E375" s="328">
        <v>1</v>
      </c>
      <c r="F375" s="328">
        <v>0</v>
      </c>
      <c r="G375" s="328"/>
      <c r="H375" s="329"/>
      <c r="I375" s="440" t="s">
        <v>1487</v>
      </c>
      <c r="J375" s="81"/>
      <c r="K375" s="81"/>
    </row>
    <row r="376" spans="1:11" s="141" customFormat="1" ht="17.25" x14ac:dyDescent="0.35">
      <c r="A376" s="327"/>
      <c r="B376" s="328"/>
      <c r="C376" s="328"/>
      <c r="D376" s="328" t="s">
        <v>69</v>
      </c>
      <c r="E376" s="328">
        <v>1</v>
      </c>
      <c r="F376" s="328">
        <v>0</v>
      </c>
      <c r="G376" s="328"/>
      <c r="H376" s="329"/>
      <c r="I376" s="440" t="s">
        <v>744</v>
      </c>
      <c r="J376" s="81"/>
      <c r="K376" s="81"/>
    </row>
    <row r="377" spans="1:11" s="141" customFormat="1" ht="17.25" x14ac:dyDescent="0.35">
      <c r="A377" s="327"/>
      <c r="B377" s="328"/>
      <c r="C377" s="328"/>
      <c r="D377" s="328" t="s">
        <v>69</v>
      </c>
      <c r="E377" s="328">
        <v>1</v>
      </c>
      <c r="F377" s="328">
        <v>0</v>
      </c>
      <c r="G377" s="328"/>
      <c r="H377" s="329"/>
      <c r="I377" s="440" t="s">
        <v>745</v>
      </c>
      <c r="J377" s="81"/>
      <c r="K377" s="81"/>
    </row>
    <row r="378" spans="1:11" s="141" customFormat="1" ht="17.25" x14ac:dyDescent="0.35">
      <c r="A378" s="327"/>
      <c r="B378" s="328"/>
      <c r="C378" s="328"/>
      <c r="D378" s="328" t="s">
        <v>69</v>
      </c>
      <c r="E378" s="328">
        <v>1</v>
      </c>
      <c r="F378" s="328">
        <v>0</v>
      </c>
      <c r="G378" s="328"/>
      <c r="H378" s="329"/>
      <c r="I378" s="440" t="s">
        <v>746</v>
      </c>
      <c r="J378" s="81"/>
      <c r="K378" s="81"/>
    </row>
    <row r="379" spans="1:11" s="141" customFormat="1" ht="17.25" x14ac:dyDescent="0.35">
      <c r="A379" s="327"/>
      <c r="B379" s="328"/>
      <c r="C379" s="328"/>
      <c r="D379" s="328" t="s">
        <v>69</v>
      </c>
      <c r="E379" s="328">
        <v>1</v>
      </c>
      <c r="F379" s="328">
        <v>0</v>
      </c>
      <c r="G379" s="328"/>
      <c r="H379" s="329"/>
      <c r="I379" s="440" t="s">
        <v>747</v>
      </c>
      <c r="J379" s="81"/>
      <c r="K379" s="81"/>
    </row>
    <row r="380" spans="1:11" s="141" customFormat="1" ht="17.25" x14ac:dyDescent="0.35">
      <c r="A380" s="327"/>
      <c r="B380" s="328"/>
      <c r="C380" s="328"/>
      <c r="D380" s="328" t="s">
        <v>69</v>
      </c>
      <c r="E380" s="328">
        <v>4</v>
      </c>
      <c r="F380" s="328">
        <v>20000</v>
      </c>
      <c r="G380" s="328"/>
      <c r="H380" s="329"/>
      <c r="I380" s="440" t="s">
        <v>1488</v>
      </c>
      <c r="J380" s="81"/>
      <c r="K380" s="81"/>
    </row>
    <row r="381" spans="1:11" s="141" customFormat="1" ht="17.25" x14ac:dyDescent="0.35">
      <c r="A381" s="327"/>
      <c r="B381" s="328"/>
      <c r="C381" s="328"/>
      <c r="D381" s="328" t="s">
        <v>69</v>
      </c>
      <c r="E381" s="328">
        <v>4</v>
      </c>
      <c r="F381" s="328">
        <v>55000</v>
      </c>
      <c r="G381" s="328"/>
      <c r="H381" s="329"/>
      <c r="I381" s="440" t="s">
        <v>749</v>
      </c>
      <c r="J381" s="81"/>
      <c r="K381" s="81"/>
    </row>
    <row r="382" spans="1:11" s="141" customFormat="1" ht="17.25" x14ac:dyDescent="0.35">
      <c r="A382" s="327"/>
      <c r="B382" s="328"/>
      <c r="C382" s="328"/>
      <c r="D382" s="328" t="s">
        <v>69</v>
      </c>
      <c r="E382" s="328">
        <v>1</v>
      </c>
      <c r="F382" s="328">
        <v>1</v>
      </c>
      <c r="G382" s="328"/>
      <c r="H382" s="329"/>
      <c r="I382" s="440" t="s">
        <v>1489</v>
      </c>
      <c r="J382" s="81"/>
      <c r="K382" s="81"/>
    </row>
    <row r="383" spans="1:11" s="141" customFormat="1" ht="17.25" x14ac:dyDescent="0.35">
      <c r="A383" s="327"/>
      <c r="B383" s="328"/>
      <c r="C383" s="328"/>
      <c r="D383" s="328" t="s">
        <v>69</v>
      </c>
      <c r="E383" s="328">
        <v>1</v>
      </c>
      <c r="F383" s="328"/>
      <c r="G383" s="328"/>
      <c r="H383" s="329"/>
      <c r="I383" s="440" t="s">
        <v>1490</v>
      </c>
      <c r="J383" s="81"/>
      <c r="K383" s="81"/>
    </row>
    <row r="384" spans="1:11" s="141" customFormat="1" ht="17.25" x14ac:dyDescent="0.35">
      <c r="A384" s="327"/>
      <c r="B384" s="328"/>
      <c r="C384" s="328"/>
      <c r="D384" s="328" t="s">
        <v>70</v>
      </c>
      <c r="E384" s="328">
        <v>128</v>
      </c>
      <c r="F384" s="328"/>
      <c r="G384" s="328"/>
      <c r="H384" s="329"/>
      <c r="I384" s="440" t="s">
        <v>1491</v>
      </c>
      <c r="J384" s="81"/>
      <c r="K384" s="81"/>
    </row>
    <row r="385" spans="1:11" s="141" customFormat="1" ht="17.25" x14ac:dyDescent="0.35">
      <c r="A385" s="327"/>
      <c r="B385" s="328"/>
      <c r="C385" s="328"/>
      <c r="D385" s="328" t="s">
        <v>69</v>
      </c>
      <c r="E385" s="328">
        <v>1</v>
      </c>
      <c r="F385" s="328">
        <v>0</v>
      </c>
      <c r="G385" s="328"/>
      <c r="H385" s="329"/>
      <c r="I385" s="440" t="s">
        <v>753</v>
      </c>
      <c r="J385" s="81"/>
      <c r="K385" s="81"/>
    </row>
    <row r="386" spans="1:11" s="141" customFormat="1" ht="17.25" x14ac:dyDescent="0.35">
      <c r="A386" s="327"/>
      <c r="B386" s="328"/>
      <c r="C386" s="328"/>
      <c r="D386" s="328" t="s">
        <v>69</v>
      </c>
      <c r="E386" s="328">
        <v>1</v>
      </c>
      <c r="F386" s="328">
        <v>0</v>
      </c>
      <c r="G386" s="328"/>
      <c r="H386" s="329"/>
      <c r="I386" s="440" t="s">
        <v>1492</v>
      </c>
      <c r="J386" s="81"/>
      <c r="K386" s="81"/>
    </row>
    <row r="387" spans="1:11" s="141" customFormat="1" ht="17.25" x14ac:dyDescent="0.35">
      <c r="A387" s="327"/>
      <c r="B387" s="328"/>
      <c r="C387" s="328"/>
      <c r="D387" s="328" t="s">
        <v>69</v>
      </c>
      <c r="E387" s="328">
        <v>1</v>
      </c>
      <c r="F387" s="328">
        <v>1</v>
      </c>
      <c r="G387" s="328"/>
      <c r="H387" s="329"/>
      <c r="I387" s="440" t="s">
        <v>1493</v>
      </c>
      <c r="J387" s="81"/>
      <c r="K387" s="81"/>
    </row>
    <row r="388" spans="1:11" s="141" customFormat="1" ht="17.25" x14ac:dyDescent="0.35">
      <c r="A388" s="327"/>
      <c r="B388" s="328"/>
      <c r="C388" s="328"/>
      <c r="D388" s="328" t="s">
        <v>69</v>
      </c>
      <c r="E388" s="328">
        <v>2</v>
      </c>
      <c r="F388" s="328">
        <v>0</v>
      </c>
      <c r="G388" s="328"/>
      <c r="H388" s="329"/>
      <c r="I388" s="440" t="s">
        <v>1494</v>
      </c>
      <c r="J388" s="81"/>
      <c r="K388" s="81"/>
    </row>
    <row r="389" spans="1:11" s="141" customFormat="1" ht="17.25" x14ac:dyDescent="0.35">
      <c r="A389" s="327"/>
      <c r="B389" s="328"/>
      <c r="C389" s="328"/>
      <c r="D389" s="328" t="s">
        <v>69</v>
      </c>
      <c r="E389" s="328">
        <v>2</v>
      </c>
      <c r="F389" s="328">
        <v>0</v>
      </c>
      <c r="G389" s="328"/>
      <c r="H389" s="329"/>
      <c r="I389" s="440" t="s">
        <v>1495</v>
      </c>
      <c r="J389" s="81"/>
      <c r="K389" s="81"/>
    </row>
    <row r="390" spans="1:11" s="141" customFormat="1" ht="17.25" x14ac:dyDescent="0.35">
      <c r="A390" s="327"/>
      <c r="B390" s="328"/>
      <c r="C390" s="328"/>
      <c r="D390" s="328" t="s">
        <v>69</v>
      </c>
      <c r="E390" s="328">
        <v>2</v>
      </c>
      <c r="F390" s="328">
        <v>0</v>
      </c>
      <c r="G390" s="328"/>
      <c r="H390" s="329"/>
      <c r="I390" s="440" t="s">
        <v>758</v>
      </c>
      <c r="J390" s="81"/>
      <c r="K390" s="81"/>
    </row>
    <row r="391" spans="1:11" s="141" customFormat="1" ht="17.25" x14ac:dyDescent="0.35">
      <c r="A391" s="327"/>
      <c r="B391" s="328"/>
      <c r="C391" s="328"/>
      <c r="D391" s="328" t="s">
        <v>69</v>
      </c>
      <c r="E391" s="328">
        <v>2</v>
      </c>
      <c r="F391" s="328">
        <v>0</v>
      </c>
      <c r="G391" s="328"/>
      <c r="H391" s="329"/>
      <c r="I391" s="440" t="s">
        <v>759</v>
      </c>
      <c r="J391" s="81"/>
      <c r="K391" s="81"/>
    </row>
    <row r="392" spans="1:11" s="141" customFormat="1" ht="17.25" x14ac:dyDescent="0.35">
      <c r="A392" s="327"/>
      <c r="B392" s="328"/>
      <c r="C392" s="328"/>
      <c r="D392" s="328" t="s">
        <v>69</v>
      </c>
      <c r="E392" s="328">
        <v>2</v>
      </c>
      <c r="F392" s="328">
        <v>0</v>
      </c>
      <c r="G392" s="328"/>
      <c r="H392" s="329"/>
      <c r="I392" s="440" t="s">
        <v>760</v>
      </c>
      <c r="J392" s="81"/>
      <c r="K392" s="81"/>
    </row>
    <row r="393" spans="1:11" s="141" customFormat="1" ht="17.25" x14ac:dyDescent="0.35">
      <c r="A393" s="327"/>
      <c r="B393" s="328"/>
      <c r="C393" s="328"/>
      <c r="D393" s="328" t="s">
        <v>69</v>
      </c>
      <c r="E393" s="328">
        <v>2</v>
      </c>
      <c r="F393" s="328">
        <v>0</v>
      </c>
      <c r="G393" s="328"/>
      <c r="H393" s="329"/>
      <c r="I393" s="440" t="s">
        <v>761</v>
      </c>
      <c r="J393" s="81"/>
      <c r="K393" s="81"/>
    </row>
    <row r="394" spans="1:11" s="141" customFormat="1" ht="17.25" x14ac:dyDescent="0.35">
      <c r="A394" s="327"/>
      <c r="B394" s="328"/>
      <c r="C394" s="328"/>
      <c r="D394" s="328" t="s">
        <v>69</v>
      </c>
      <c r="E394" s="328">
        <v>2</v>
      </c>
      <c r="F394" s="328">
        <v>0</v>
      </c>
      <c r="G394" s="328"/>
      <c r="H394" s="329"/>
      <c r="I394" s="440" t="s">
        <v>1496</v>
      </c>
      <c r="J394" s="81"/>
      <c r="K394" s="81"/>
    </row>
    <row r="395" spans="1:11" s="141" customFormat="1" ht="17.25" x14ac:dyDescent="0.35">
      <c r="A395" s="327"/>
      <c r="B395" s="328"/>
      <c r="C395" s="328"/>
      <c r="D395" s="328" t="s">
        <v>69</v>
      </c>
      <c r="E395" s="328">
        <v>2</v>
      </c>
      <c r="F395" s="328">
        <v>0</v>
      </c>
      <c r="G395" s="328"/>
      <c r="H395" s="329"/>
      <c r="I395" s="440" t="s">
        <v>1497</v>
      </c>
      <c r="J395" s="81"/>
      <c r="K395" s="81"/>
    </row>
    <row r="396" spans="1:11" s="141" customFormat="1" ht="17.25" x14ac:dyDescent="0.35">
      <c r="A396" s="327"/>
      <c r="B396" s="328"/>
      <c r="C396" s="328"/>
      <c r="D396" s="328" t="s">
        <v>69</v>
      </c>
      <c r="E396" s="328">
        <v>2</v>
      </c>
      <c r="F396" s="328">
        <v>0</v>
      </c>
      <c r="G396" s="328"/>
      <c r="H396" s="329"/>
      <c r="I396" s="440" t="s">
        <v>1498</v>
      </c>
      <c r="J396" s="81"/>
      <c r="K396" s="81"/>
    </row>
    <row r="397" spans="1:11" s="141" customFormat="1" ht="17.25" x14ac:dyDescent="0.35">
      <c r="A397" s="327"/>
      <c r="B397" s="328"/>
      <c r="C397" s="328"/>
      <c r="D397" s="328" t="s">
        <v>69</v>
      </c>
      <c r="E397" s="328">
        <v>1</v>
      </c>
      <c r="F397" s="328">
        <v>0</v>
      </c>
      <c r="G397" s="328"/>
      <c r="H397" s="329"/>
      <c r="I397" s="440" t="s">
        <v>1499</v>
      </c>
      <c r="J397" s="81"/>
      <c r="K397" s="81"/>
    </row>
    <row r="398" spans="1:11" s="141" customFormat="1" ht="17.25" x14ac:dyDescent="0.35">
      <c r="A398" s="327"/>
      <c r="B398" s="328"/>
      <c r="C398" s="328"/>
      <c r="D398" s="328" t="s">
        <v>69</v>
      </c>
      <c r="E398" s="328">
        <v>1</v>
      </c>
      <c r="F398" s="328">
        <v>0</v>
      </c>
      <c r="G398" s="328"/>
      <c r="H398" s="329"/>
      <c r="I398" s="440" t="s">
        <v>766</v>
      </c>
      <c r="J398" s="81"/>
      <c r="K398" s="81"/>
    </row>
    <row r="399" spans="1:11" s="141" customFormat="1" ht="17.25" x14ac:dyDescent="0.35">
      <c r="A399" s="327"/>
      <c r="B399" s="328"/>
      <c r="C399" s="328"/>
      <c r="D399" s="328" t="s">
        <v>69</v>
      </c>
      <c r="E399" s="328">
        <v>2</v>
      </c>
      <c r="F399" s="328">
        <v>0</v>
      </c>
      <c r="G399" s="328"/>
      <c r="H399" s="329"/>
      <c r="I399" s="440" t="s">
        <v>767</v>
      </c>
      <c r="J399" s="81"/>
      <c r="K399" s="81"/>
    </row>
    <row r="400" spans="1:11" s="141" customFormat="1" ht="17.25" x14ac:dyDescent="0.35">
      <c r="A400" s="327"/>
      <c r="B400" s="328"/>
      <c r="C400" s="328"/>
      <c r="D400" s="328" t="s">
        <v>69</v>
      </c>
      <c r="E400" s="328">
        <v>2</v>
      </c>
      <c r="F400" s="328">
        <v>0</v>
      </c>
      <c r="G400" s="328"/>
      <c r="H400" s="329"/>
      <c r="I400" s="440" t="s">
        <v>1500</v>
      </c>
      <c r="J400" s="81"/>
      <c r="K400" s="81"/>
    </row>
    <row r="401" spans="1:11" s="141" customFormat="1" ht="17.25" x14ac:dyDescent="0.35">
      <c r="A401" s="327"/>
      <c r="B401" s="328"/>
      <c r="C401" s="328"/>
      <c r="D401" s="328" t="s">
        <v>69</v>
      </c>
      <c r="E401" s="328">
        <v>2</v>
      </c>
      <c r="F401" s="328">
        <v>0</v>
      </c>
      <c r="G401" s="328"/>
      <c r="H401" s="329"/>
      <c r="I401" s="440" t="s">
        <v>769</v>
      </c>
      <c r="J401" s="81"/>
      <c r="K401" s="81"/>
    </row>
    <row r="402" spans="1:11" s="141" customFormat="1" ht="17.25" x14ac:dyDescent="0.35">
      <c r="A402" s="327"/>
      <c r="B402" s="328"/>
      <c r="C402" s="328"/>
      <c r="D402" s="328" t="s">
        <v>69</v>
      </c>
      <c r="E402" s="328">
        <v>2</v>
      </c>
      <c r="F402" s="328">
        <v>0</v>
      </c>
      <c r="G402" s="328"/>
      <c r="H402" s="329"/>
      <c r="I402" s="440" t="s">
        <v>770</v>
      </c>
      <c r="J402" s="81"/>
      <c r="K402" s="81"/>
    </row>
    <row r="403" spans="1:11" s="141" customFormat="1" ht="17.25" x14ac:dyDescent="0.35">
      <c r="A403" s="327"/>
      <c r="B403" s="328"/>
      <c r="C403" s="328"/>
      <c r="D403" s="328" t="s">
        <v>69</v>
      </c>
      <c r="E403" s="328">
        <v>1</v>
      </c>
      <c r="F403" s="328">
        <v>1</v>
      </c>
      <c r="G403" s="328"/>
      <c r="H403" s="329"/>
      <c r="I403" s="440" t="s">
        <v>1501</v>
      </c>
      <c r="J403" s="81"/>
      <c r="K403" s="81"/>
    </row>
    <row r="404" spans="1:11" s="141" customFormat="1" ht="17.25" x14ac:dyDescent="0.35">
      <c r="A404" s="327"/>
      <c r="B404" s="328"/>
      <c r="C404" s="328"/>
      <c r="D404" s="328" t="s">
        <v>69</v>
      </c>
      <c r="E404" s="328">
        <v>2</v>
      </c>
      <c r="F404" s="328">
        <v>2000</v>
      </c>
      <c r="G404" s="328"/>
      <c r="H404" s="329"/>
      <c r="I404" s="440" t="s">
        <v>772</v>
      </c>
      <c r="J404" s="81"/>
      <c r="K404" s="81"/>
    </row>
    <row r="405" spans="1:11" s="141" customFormat="1" ht="17.25" x14ac:dyDescent="0.35">
      <c r="A405" s="327"/>
      <c r="B405" s="328"/>
      <c r="C405" s="328"/>
      <c r="D405" s="328" t="s">
        <v>69</v>
      </c>
      <c r="E405" s="328">
        <v>2</v>
      </c>
      <c r="F405" s="328">
        <v>600</v>
      </c>
      <c r="G405" s="328"/>
      <c r="H405" s="329"/>
      <c r="I405" s="440" t="s">
        <v>773</v>
      </c>
      <c r="J405" s="81"/>
      <c r="K405" s="81"/>
    </row>
    <row r="406" spans="1:11" s="141" customFormat="1" ht="17.25" x14ac:dyDescent="0.35">
      <c r="A406" s="327"/>
      <c r="B406" s="328"/>
      <c r="C406" s="328"/>
      <c r="D406" s="328" t="s">
        <v>69</v>
      </c>
      <c r="E406" s="328">
        <v>2</v>
      </c>
      <c r="F406" s="328">
        <v>6000</v>
      </c>
      <c r="G406" s="328"/>
      <c r="H406" s="329"/>
      <c r="I406" s="440" t="s">
        <v>774</v>
      </c>
      <c r="J406" s="81"/>
      <c r="K406" s="81"/>
    </row>
    <row r="407" spans="1:11" s="141" customFormat="1" ht="17.25" x14ac:dyDescent="0.35">
      <c r="A407" s="327"/>
      <c r="B407" s="328"/>
      <c r="C407" s="328"/>
      <c r="D407" s="328" t="s">
        <v>69</v>
      </c>
      <c r="E407" s="328">
        <v>2</v>
      </c>
      <c r="F407" s="328">
        <v>8000</v>
      </c>
      <c r="G407" s="328"/>
      <c r="H407" s="329"/>
      <c r="I407" s="440" t="s">
        <v>775</v>
      </c>
      <c r="J407" s="81"/>
      <c r="K407" s="81"/>
    </row>
    <row r="408" spans="1:11" s="141" customFormat="1" ht="17.25" x14ac:dyDescent="0.35">
      <c r="A408" s="327"/>
      <c r="B408" s="328"/>
      <c r="C408" s="328"/>
      <c r="D408" s="328" t="s">
        <v>69</v>
      </c>
      <c r="E408" s="328">
        <v>1</v>
      </c>
      <c r="F408" s="328">
        <v>0</v>
      </c>
      <c r="G408" s="328"/>
      <c r="H408" s="329"/>
      <c r="I408" s="440" t="s">
        <v>776</v>
      </c>
      <c r="J408" s="81"/>
      <c r="K408" s="81"/>
    </row>
    <row r="409" spans="1:11" s="141" customFormat="1" ht="17.25" x14ac:dyDescent="0.35">
      <c r="A409" s="327"/>
      <c r="B409" s="328"/>
      <c r="C409" s="328"/>
      <c r="D409" s="328" t="s">
        <v>69</v>
      </c>
      <c r="E409" s="328">
        <v>1</v>
      </c>
      <c r="F409" s="328" t="s">
        <v>1502</v>
      </c>
      <c r="G409" s="328"/>
      <c r="H409" s="329"/>
      <c r="I409" s="440" t="s">
        <v>1503</v>
      </c>
      <c r="J409" s="81"/>
      <c r="K409" s="81"/>
    </row>
    <row r="410" spans="1:11" s="141" customFormat="1" ht="17.25" x14ac:dyDescent="0.35">
      <c r="A410" s="327"/>
      <c r="B410" s="328"/>
      <c r="C410" s="328"/>
      <c r="D410" s="328" t="s">
        <v>69</v>
      </c>
      <c r="E410" s="328">
        <v>35</v>
      </c>
      <c r="F410" s="328"/>
      <c r="G410" s="328"/>
      <c r="H410" s="329"/>
      <c r="I410" s="440" t="s">
        <v>1504</v>
      </c>
      <c r="J410" s="81"/>
      <c r="K410" s="81"/>
    </row>
    <row r="411" spans="1:11" s="141" customFormat="1" ht="17.25" x14ac:dyDescent="0.35">
      <c r="A411" s="327" t="s">
        <v>891</v>
      </c>
      <c r="B411" s="328" t="s">
        <v>892</v>
      </c>
      <c r="C411" s="328" t="s">
        <v>90</v>
      </c>
      <c r="D411" s="328"/>
      <c r="E411" s="328"/>
      <c r="F411" s="328"/>
      <c r="G411" s="328" t="s">
        <v>239</v>
      </c>
      <c r="H411" s="329"/>
      <c r="I411" s="440">
        <v>65960</v>
      </c>
      <c r="J411" s="81"/>
      <c r="K411" s="81"/>
    </row>
    <row r="412" spans="1:11" s="141" customFormat="1" ht="17.25" x14ac:dyDescent="0.35">
      <c r="A412" s="327" t="s">
        <v>139</v>
      </c>
      <c r="B412" s="328" t="s">
        <v>139</v>
      </c>
      <c r="C412" s="328"/>
      <c r="D412" s="328" t="s">
        <v>69</v>
      </c>
      <c r="E412" s="328">
        <v>1</v>
      </c>
      <c r="F412" s="328">
        <v>1</v>
      </c>
      <c r="G412" s="328"/>
      <c r="H412" s="329"/>
      <c r="I412" s="440"/>
      <c r="J412" s="81"/>
      <c r="K412" s="81"/>
    </row>
    <row r="413" spans="1:11" s="141" customFormat="1" ht="17.25" x14ac:dyDescent="0.35">
      <c r="A413" s="327" t="s">
        <v>1109</v>
      </c>
      <c r="B413" s="328" t="s">
        <v>1108</v>
      </c>
      <c r="C413" s="328" t="s">
        <v>90</v>
      </c>
      <c r="D413" s="328"/>
      <c r="E413" s="328"/>
      <c r="F413" s="328"/>
      <c r="G413" s="328" t="s">
        <v>239</v>
      </c>
      <c r="H413" s="329"/>
      <c r="I413" s="440">
        <v>67284</v>
      </c>
      <c r="J413" s="81"/>
      <c r="K413" s="81"/>
    </row>
    <row r="414" spans="1:11" s="141" customFormat="1" ht="17.25" x14ac:dyDescent="0.35">
      <c r="A414" s="327"/>
      <c r="B414" s="328"/>
      <c r="C414" s="328"/>
      <c r="D414" s="328" t="s">
        <v>69</v>
      </c>
      <c r="E414" s="328">
        <v>1</v>
      </c>
      <c r="F414" s="328">
        <v>1</v>
      </c>
      <c r="G414" s="328"/>
      <c r="H414" s="329"/>
      <c r="I414" s="440"/>
      <c r="J414" s="81"/>
      <c r="K414" s="81"/>
    </row>
    <row r="415" spans="1:11" s="141" customFormat="1" ht="17.25" x14ac:dyDescent="0.35">
      <c r="A415" s="327" t="s">
        <v>1106</v>
      </c>
      <c r="B415" s="328" t="s">
        <v>1105</v>
      </c>
      <c r="C415" s="328" t="s">
        <v>90</v>
      </c>
      <c r="D415" s="328"/>
      <c r="E415" s="328"/>
      <c r="F415" s="328"/>
      <c r="G415" s="328" t="s">
        <v>239</v>
      </c>
      <c r="H415" s="329"/>
      <c r="I415" s="440">
        <v>67283</v>
      </c>
      <c r="J415" s="81"/>
      <c r="K415" s="81"/>
    </row>
    <row r="416" spans="1:11" s="141" customFormat="1" ht="17.25" x14ac:dyDescent="0.35">
      <c r="A416" s="327"/>
      <c r="B416" s="328"/>
      <c r="C416" s="328"/>
      <c r="D416" s="328" t="s">
        <v>69</v>
      </c>
      <c r="E416" s="328">
        <v>1</v>
      </c>
      <c r="F416" s="328">
        <v>1</v>
      </c>
      <c r="G416" s="328"/>
      <c r="H416" s="329"/>
      <c r="I416" s="440"/>
      <c r="J416" s="81"/>
      <c r="K416" s="81"/>
    </row>
    <row r="417" spans="1:11" s="141" customFormat="1" ht="17.25" x14ac:dyDescent="0.35">
      <c r="A417" s="327" t="s">
        <v>850</v>
      </c>
      <c r="B417" s="328" t="s">
        <v>851</v>
      </c>
      <c r="C417" s="328" t="s">
        <v>90</v>
      </c>
      <c r="D417" s="328"/>
      <c r="E417" s="328"/>
      <c r="F417" s="328"/>
      <c r="G417" s="328" t="s">
        <v>239</v>
      </c>
      <c r="H417" s="329"/>
      <c r="I417" s="440">
        <v>65959</v>
      </c>
      <c r="J417" s="81"/>
      <c r="K417" s="81"/>
    </row>
    <row r="418" spans="1:11" s="141" customFormat="1" ht="17.25" x14ac:dyDescent="0.35">
      <c r="A418" s="327" t="s">
        <v>139</v>
      </c>
      <c r="B418" s="328" t="s">
        <v>139</v>
      </c>
      <c r="C418" s="328"/>
      <c r="D418" s="328" t="s">
        <v>69</v>
      </c>
      <c r="E418" s="328">
        <v>2</v>
      </c>
      <c r="F418" s="328">
        <v>0</v>
      </c>
      <c r="G418" s="328"/>
      <c r="H418" s="329"/>
      <c r="I418" s="440"/>
      <c r="J418" s="81"/>
      <c r="K418" s="81"/>
    </row>
    <row r="419" spans="1:11" s="141" customFormat="1" ht="17.25" x14ac:dyDescent="0.35">
      <c r="A419" s="327" t="s">
        <v>864</v>
      </c>
      <c r="B419" s="328" t="s">
        <v>865</v>
      </c>
      <c r="C419" s="328" t="s">
        <v>90</v>
      </c>
      <c r="D419" s="328"/>
      <c r="E419" s="328"/>
      <c r="F419" s="328"/>
      <c r="G419" s="328" t="s">
        <v>239</v>
      </c>
      <c r="H419" s="329"/>
      <c r="I419" s="440">
        <v>65955</v>
      </c>
      <c r="J419" s="81"/>
      <c r="K419" s="81"/>
    </row>
    <row r="420" spans="1:11" s="141" customFormat="1" ht="17.25" x14ac:dyDescent="0.35">
      <c r="A420" s="327" t="s">
        <v>139</v>
      </c>
      <c r="B420" s="328" t="s">
        <v>139</v>
      </c>
      <c r="C420" s="328"/>
      <c r="D420" s="328" t="s">
        <v>69</v>
      </c>
      <c r="E420" s="328">
        <v>1</v>
      </c>
      <c r="F420" s="328">
        <v>1</v>
      </c>
      <c r="G420" s="328"/>
      <c r="H420" s="329"/>
      <c r="I420" s="440"/>
      <c r="J420" s="81"/>
      <c r="K420" s="81"/>
    </row>
    <row r="421" spans="1:11" s="141" customFormat="1" ht="17.25" x14ac:dyDescent="0.35">
      <c r="A421" s="327" t="s">
        <v>867</v>
      </c>
      <c r="B421" s="328" t="s">
        <v>868</v>
      </c>
      <c r="C421" s="328" t="s">
        <v>90</v>
      </c>
      <c r="D421" s="328"/>
      <c r="E421" s="328"/>
      <c r="F421" s="328"/>
      <c r="G421" s="328" t="s">
        <v>239</v>
      </c>
      <c r="H421" s="329"/>
      <c r="I421" s="440">
        <v>65957</v>
      </c>
      <c r="J421" s="81"/>
      <c r="K421" s="81"/>
    </row>
    <row r="422" spans="1:11" s="141" customFormat="1" ht="17.25" x14ac:dyDescent="0.35">
      <c r="A422" s="327" t="s">
        <v>139</v>
      </c>
      <c r="B422" s="328" t="s">
        <v>139</v>
      </c>
      <c r="C422" s="328"/>
      <c r="D422" s="328" t="s">
        <v>69</v>
      </c>
      <c r="E422" s="328">
        <v>1</v>
      </c>
      <c r="F422" s="328">
        <v>1</v>
      </c>
      <c r="G422" s="328"/>
      <c r="H422" s="329"/>
      <c r="I422" s="440"/>
      <c r="J422" s="81"/>
      <c r="K422" s="81"/>
    </row>
    <row r="423" spans="1:11" s="141" customFormat="1" ht="17.25" x14ac:dyDescent="0.35">
      <c r="A423" s="327" t="s">
        <v>876</v>
      </c>
      <c r="B423" s="328" t="s">
        <v>877</v>
      </c>
      <c r="C423" s="328" t="s">
        <v>90</v>
      </c>
      <c r="D423" s="328"/>
      <c r="E423" s="328"/>
      <c r="F423" s="328"/>
      <c r="G423" s="328" t="s">
        <v>239</v>
      </c>
      <c r="H423" s="329"/>
      <c r="I423" s="440">
        <v>67199</v>
      </c>
      <c r="J423" s="81"/>
      <c r="K423" s="81"/>
    </row>
    <row r="424" spans="1:11" s="141" customFormat="1" ht="17.25" x14ac:dyDescent="0.35">
      <c r="A424" s="327"/>
      <c r="B424" s="328"/>
      <c r="C424" s="328"/>
      <c r="D424" s="328" t="s">
        <v>69</v>
      </c>
      <c r="E424" s="328">
        <v>1</v>
      </c>
      <c r="F424" s="328">
        <v>1</v>
      </c>
      <c r="G424" s="328"/>
      <c r="H424" s="329"/>
      <c r="I424" s="440"/>
      <c r="J424" s="81"/>
      <c r="K424" s="81"/>
    </row>
    <row r="425" spans="1:11" s="141" customFormat="1" ht="17.25" x14ac:dyDescent="0.35">
      <c r="A425" s="327" t="s">
        <v>879</v>
      </c>
      <c r="B425" s="328" t="s">
        <v>880</v>
      </c>
      <c r="C425" s="328" t="s">
        <v>90</v>
      </c>
      <c r="D425" s="328"/>
      <c r="E425" s="328"/>
      <c r="F425" s="328"/>
      <c r="G425" s="328" t="s">
        <v>239</v>
      </c>
      <c r="H425" s="329"/>
      <c r="I425" s="440">
        <v>67280</v>
      </c>
      <c r="J425" s="81"/>
      <c r="K425" s="81"/>
    </row>
    <row r="426" spans="1:11" s="141" customFormat="1" ht="17.25" x14ac:dyDescent="0.35">
      <c r="A426" s="327" t="s">
        <v>139</v>
      </c>
      <c r="B426" s="328" t="s">
        <v>139</v>
      </c>
      <c r="C426" s="328"/>
      <c r="D426" s="328" t="s">
        <v>69</v>
      </c>
      <c r="E426" s="328">
        <v>4</v>
      </c>
      <c r="F426" s="328">
        <v>60000</v>
      </c>
      <c r="G426" s="328"/>
      <c r="H426" s="329"/>
      <c r="I426" s="440"/>
      <c r="J426" s="81"/>
      <c r="K426" s="81"/>
    </row>
    <row r="427" spans="1:11" s="141" customFormat="1" ht="17.25" x14ac:dyDescent="0.35">
      <c r="A427" s="327" t="s">
        <v>882</v>
      </c>
      <c r="B427" s="328" t="s">
        <v>883</v>
      </c>
      <c r="C427" s="328" t="s">
        <v>90</v>
      </c>
      <c r="D427" s="328"/>
      <c r="E427" s="328"/>
      <c r="F427" s="328"/>
      <c r="G427" s="328" t="s">
        <v>239</v>
      </c>
      <c r="H427" s="329"/>
      <c r="I427" s="440">
        <v>67281</v>
      </c>
      <c r="J427" s="81"/>
      <c r="K427" s="81"/>
    </row>
    <row r="428" spans="1:11" s="141" customFormat="1" ht="17.25" x14ac:dyDescent="0.35">
      <c r="A428" s="327" t="s">
        <v>139</v>
      </c>
      <c r="B428" s="328" t="s">
        <v>139</v>
      </c>
      <c r="C428" s="328"/>
      <c r="D428" s="328" t="s">
        <v>69</v>
      </c>
      <c r="E428" s="328">
        <v>4</v>
      </c>
      <c r="F428" s="328">
        <v>35000</v>
      </c>
      <c r="G428" s="328"/>
      <c r="H428" s="329"/>
      <c r="I428" s="440"/>
      <c r="J428" s="81"/>
      <c r="K428" s="81"/>
    </row>
    <row r="429" spans="1:11" s="141" customFormat="1" ht="17.25" x14ac:dyDescent="0.35">
      <c r="A429" s="327" t="s">
        <v>885</v>
      </c>
      <c r="B429" s="328" t="s">
        <v>886</v>
      </c>
      <c r="C429" s="328" t="s">
        <v>90</v>
      </c>
      <c r="D429" s="328"/>
      <c r="E429" s="328"/>
      <c r="F429" s="328"/>
      <c r="G429" s="328" t="s">
        <v>239</v>
      </c>
      <c r="H429" s="329"/>
      <c r="I429" s="440">
        <v>67282</v>
      </c>
      <c r="J429" s="81"/>
      <c r="K429" s="81"/>
    </row>
    <row r="430" spans="1:11" s="141" customFormat="1" ht="17.25" x14ac:dyDescent="0.35">
      <c r="A430" s="327" t="s">
        <v>139</v>
      </c>
      <c r="B430" s="328" t="s">
        <v>139</v>
      </c>
      <c r="C430" s="328"/>
      <c r="D430" s="328" t="s">
        <v>69</v>
      </c>
      <c r="E430" s="328">
        <v>4</v>
      </c>
      <c r="F430" s="328">
        <v>0</v>
      </c>
      <c r="G430" s="328"/>
      <c r="H430" s="329"/>
      <c r="I430" s="440"/>
      <c r="J430" s="81"/>
      <c r="K430" s="81"/>
    </row>
    <row r="431" spans="1:11" s="141" customFormat="1" ht="17.25" x14ac:dyDescent="0.35">
      <c r="A431" s="327" t="s">
        <v>1106</v>
      </c>
      <c r="B431" s="328" t="s">
        <v>1105</v>
      </c>
      <c r="C431" s="328" t="s">
        <v>90</v>
      </c>
      <c r="D431" s="328"/>
      <c r="E431" s="328"/>
      <c r="F431" s="328"/>
      <c r="G431" s="328" t="s">
        <v>239</v>
      </c>
      <c r="H431" s="329"/>
      <c r="I431" s="440">
        <v>67283</v>
      </c>
      <c r="J431" s="81"/>
      <c r="K431" s="81"/>
    </row>
    <row r="432" spans="1:11" s="141" customFormat="1" ht="17.25" x14ac:dyDescent="0.35">
      <c r="A432" s="327"/>
      <c r="B432" s="328"/>
      <c r="C432" s="328"/>
      <c r="D432" s="328" t="s">
        <v>69</v>
      </c>
      <c r="E432" s="328">
        <v>1</v>
      </c>
      <c r="F432" s="328">
        <v>1</v>
      </c>
      <c r="G432" s="328"/>
      <c r="H432" s="329"/>
      <c r="I432" s="440"/>
      <c r="J432" s="81"/>
      <c r="K432" s="81"/>
    </row>
    <row r="433" spans="1:11" s="141" customFormat="1" ht="17.25" x14ac:dyDescent="0.35">
      <c r="A433" s="327" t="s">
        <v>1109</v>
      </c>
      <c r="B433" s="328" t="s">
        <v>1108</v>
      </c>
      <c r="C433" s="328" t="s">
        <v>90</v>
      </c>
      <c r="D433" s="328"/>
      <c r="E433" s="328"/>
      <c r="F433" s="328"/>
      <c r="G433" s="328" t="s">
        <v>239</v>
      </c>
      <c r="H433" s="329"/>
      <c r="I433" s="440">
        <v>67284</v>
      </c>
      <c r="J433" s="81"/>
      <c r="K433" s="81"/>
    </row>
    <row r="434" spans="1:11" s="141" customFormat="1" ht="17.25" x14ac:dyDescent="0.35">
      <c r="A434" s="327"/>
      <c r="B434" s="328"/>
      <c r="C434" s="328"/>
      <c r="D434" s="328" t="s">
        <v>69</v>
      </c>
      <c r="E434" s="328">
        <v>1</v>
      </c>
      <c r="F434" s="328">
        <v>1</v>
      </c>
      <c r="G434" s="328"/>
      <c r="H434" s="329"/>
      <c r="I434" s="440"/>
      <c r="J434" s="81"/>
      <c r="K434" s="81"/>
    </row>
    <row r="435" spans="1:11" s="141" customFormat="1" ht="17.25" x14ac:dyDescent="0.35">
      <c r="A435" s="327" t="s">
        <v>1505</v>
      </c>
      <c r="B435" s="328" t="s">
        <v>907</v>
      </c>
      <c r="C435" s="328" t="s">
        <v>90</v>
      </c>
      <c r="D435" s="328"/>
      <c r="E435" s="328"/>
      <c r="F435" s="328"/>
      <c r="G435" s="328" t="s">
        <v>239</v>
      </c>
      <c r="H435" s="329"/>
      <c r="I435" s="440">
        <v>70213</v>
      </c>
      <c r="J435" s="81"/>
      <c r="K435" s="81"/>
    </row>
    <row r="436" spans="1:11" s="141" customFormat="1" ht="17.25" x14ac:dyDescent="0.35">
      <c r="A436" s="327" t="s">
        <v>139</v>
      </c>
      <c r="B436" s="328" t="s">
        <v>139</v>
      </c>
      <c r="C436" s="328"/>
      <c r="D436" s="328" t="s">
        <v>69</v>
      </c>
      <c r="E436" s="328">
        <v>2</v>
      </c>
      <c r="F436" s="328">
        <v>1</v>
      </c>
      <c r="G436" s="328"/>
      <c r="H436" s="329"/>
      <c r="I436" s="440"/>
      <c r="J436" s="81"/>
      <c r="K436" s="81"/>
    </row>
    <row r="437" spans="1:11" s="141" customFormat="1" ht="17.25" x14ac:dyDescent="0.35">
      <c r="A437" s="327" t="s">
        <v>888</v>
      </c>
      <c r="B437" s="328" t="s">
        <v>889</v>
      </c>
      <c r="C437" s="328" t="s">
        <v>90</v>
      </c>
      <c r="D437" s="328"/>
      <c r="E437" s="328"/>
      <c r="F437" s="328"/>
      <c r="G437" s="328" t="s">
        <v>239</v>
      </c>
      <c r="H437" s="329"/>
      <c r="I437" s="440">
        <v>65964</v>
      </c>
      <c r="J437" s="81"/>
      <c r="K437" s="81"/>
    </row>
    <row r="438" spans="1:11" s="141" customFormat="1" ht="17.25" x14ac:dyDescent="0.35">
      <c r="A438" s="327" t="s">
        <v>139</v>
      </c>
      <c r="B438" s="328" t="s">
        <v>139</v>
      </c>
      <c r="C438" s="328"/>
      <c r="D438" s="328" t="s">
        <v>69</v>
      </c>
      <c r="E438" s="328">
        <v>1</v>
      </c>
      <c r="F438" s="328">
        <v>1</v>
      </c>
      <c r="G438" s="328"/>
      <c r="H438" s="329"/>
      <c r="I438" s="440"/>
      <c r="J438" s="81"/>
      <c r="K438" s="81"/>
    </row>
    <row r="439" spans="1:11" s="141" customFormat="1" ht="17.25" x14ac:dyDescent="0.35">
      <c r="A439" s="327" t="s">
        <v>894</v>
      </c>
      <c r="B439" s="328" t="s">
        <v>895</v>
      </c>
      <c r="C439" s="328" t="s">
        <v>90</v>
      </c>
      <c r="D439" s="328"/>
      <c r="E439" s="328"/>
      <c r="F439" s="328"/>
      <c r="G439" s="328" t="s">
        <v>239</v>
      </c>
      <c r="H439" s="329"/>
      <c r="I439" s="440">
        <v>66031</v>
      </c>
      <c r="J439" s="81"/>
      <c r="K439" s="81"/>
    </row>
    <row r="440" spans="1:11" s="141" customFormat="1" ht="17.25" x14ac:dyDescent="0.35">
      <c r="A440" s="327" t="s">
        <v>139</v>
      </c>
      <c r="B440" s="328" t="s">
        <v>139</v>
      </c>
      <c r="C440" s="328"/>
      <c r="D440" s="328" t="s">
        <v>69</v>
      </c>
      <c r="E440" s="328">
        <v>4</v>
      </c>
      <c r="F440" s="328">
        <v>0</v>
      </c>
      <c r="G440" s="328"/>
      <c r="H440" s="329"/>
      <c r="I440" s="440"/>
      <c r="J440" s="81"/>
      <c r="K440" s="81"/>
    </row>
    <row r="441" spans="1:11" s="141" customFormat="1" ht="17.25" x14ac:dyDescent="0.35">
      <c r="A441" s="327" t="s">
        <v>899</v>
      </c>
      <c r="B441" s="328" t="s">
        <v>898</v>
      </c>
      <c r="C441" s="328" t="s">
        <v>90</v>
      </c>
      <c r="D441" s="328"/>
      <c r="E441" s="328"/>
      <c r="F441" s="328"/>
      <c r="G441" s="328" t="s">
        <v>239</v>
      </c>
      <c r="H441" s="329"/>
      <c r="I441" s="440">
        <v>67239</v>
      </c>
      <c r="J441" s="81"/>
      <c r="K441" s="81"/>
    </row>
    <row r="442" spans="1:11" s="141" customFormat="1" ht="17.25" x14ac:dyDescent="0.35">
      <c r="A442" s="327"/>
      <c r="B442" s="328"/>
      <c r="C442" s="328"/>
      <c r="D442" s="328" t="s">
        <v>69</v>
      </c>
      <c r="E442" s="328">
        <v>4</v>
      </c>
      <c r="F442" s="328">
        <v>0</v>
      </c>
      <c r="G442" s="328"/>
      <c r="H442" s="329"/>
      <c r="I442" s="440"/>
      <c r="J442" s="81"/>
      <c r="K442" s="81"/>
    </row>
    <row r="443" spans="1:11" s="141" customFormat="1" ht="17.25" x14ac:dyDescent="0.35">
      <c r="A443" s="327" t="s">
        <v>900</v>
      </c>
      <c r="B443" s="328" t="s">
        <v>901</v>
      </c>
      <c r="C443" s="328" t="s">
        <v>90</v>
      </c>
      <c r="D443" s="328"/>
      <c r="E443" s="328"/>
      <c r="F443" s="328"/>
      <c r="G443" s="328" t="s">
        <v>239</v>
      </c>
      <c r="H443" s="329"/>
      <c r="I443" s="440">
        <v>67240</v>
      </c>
      <c r="J443" s="81"/>
      <c r="K443" s="81"/>
    </row>
    <row r="444" spans="1:11" s="141" customFormat="1" ht="17.25" x14ac:dyDescent="0.35">
      <c r="A444" s="327" t="s">
        <v>139</v>
      </c>
      <c r="B444" s="328" t="s">
        <v>139</v>
      </c>
      <c r="C444" s="328"/>
      <c r="D444" s="328" t="s">
        <v>69</v>
      </c>
      <c r="E444" s="328">
        <v>1</v>
      </c>
      <c r="F444" s="328">
        <v>0</v>
      </c>
      <c r="G444" s="328"/>
      <c r="H444" s="329"/>
      <c r="I444" s="440"/>
      <c r="J444" s="81"/>
      <c r="K444" s="81"/>
    </row>
    <row r="445" spans="1:11" s="141" customFormat="1" ht="17.25" x14ac:dyDescent="0.35">
      <c r="A445" s="327" t="s">
        <v>903</v>
      </c>
      <c r="B445" s="328" t="s">
        <v>904</v>
      </c>
      <c r="C445" s="328" t="s">
        <v>90</v>
      </c>
      <c r="D445" s="328"/>
      <c r="E445" s="328"/>
      <c r="F445" s="328"/>
      <c r="G445" s="328" t="s">
        <v>239</v>
      </c>
      <c r="H445" s="329"/>
      <c r="I445" s="440">
        <v>67241</v>
      </c>
      <c r="J445" s="81"/>
      <c r="K445" s="81"/>
    </row>
    <row r="446" spans="1:11" s="141" customFormat="1" ht="17.25" x14ac:dyDescent="0.35">
      <c r="A446" s="327" t="s">
        <v>139</v>
      </c>
      <c r="B446" s="328" t="s">
        <v>139</v>
      </c>
      <c r="C446" s="328"/>
      <c r="D446" s="328" t="s">
        <v>69</v>
      </c>
      <c r="E446" s="328">
        <v>1</v>
      </c>
      <c r="F446" s="328">
        <v>0</v>
      </c>
      <c r="G446" s="328"/>
      <c r="H446" s="329"/>
      <c r="I446" s="440"/>
      <c r="J446" s="81"/>
      <c r="K446" s="81"/>
    </row>
    <row r="447" spans="1:11" s="141" customFormat="1" ht="17.25" x14ac:dyDescent="0.35">
      <c r="A447" s="327" t="s">
        <v>984</v>
      </c>
      <c r="B447" s="328" t="s">
        <v>985</v>
      </c>
      <c r="C447" s="328" t="s">
        <v>90</v>
      </c>
      <c r="D447" s="328"/>
      <c r="E447" s="328"/>
      <c r="F447" s="328"/>
      <c r="G447" s="328" t="s">
        <v>239</v>
      </c>
      <c r="H447" s="329"/>
      <c r="I447" s="440">
        <v>71542</v>
      </c>
      <c r="J447" s="81"/>
      <c r="K447" s="81"/>
    </row>
    <row r="448" spans="1:11" s="141" customFormat="1" ht="17.25" x14ac:dyDescent="0.35">
      <c r="A448" s="327"/>
      <c r="B448" s="328"/>
      <c r="C448" s="328"/>
      <c r="D448" s="328" t="s">
        <v>69</v>
      </c>
      <c r="E448" s="328">
        <v>1</v>
      </c>
      <c r="F448" s="328">
        <v>0</v>
      </c>
      <c r="G448" s="328"/>
      <c r="H448" s="329"/>
      <c r="I448" s="440" t="s">
        <v>587</v>
      </c>
      <c r="J448" s="81"/>
      <c r="K448" s="81"/>
    </row>
    <row r="449" spans="1:11" s="141" customFormat="1" ht="17.25" x14ac:dyDescent="0.35">
      <c r="A449" s="327"/>
      <c r="B449" s="328"/>
      <c r="C449" s="328"/>
      <c r="D449" s="328" t="s">
        <v>69</v>
      </c>
      <c r="E449" s="328">
        <v>4</v>
      </c>
      <c r="F449" s="328">
        <v>0</v>
      </c>
      <c r="G449" s="328"/>
      <c r="H449" s="329"/>
      <c r="I449" s="440" t="s">
        <v>987</v>
      </c>
      <c r="J449" s="81"/>
      <c r="K449" s="81"/>
    </row>
    <row r="450" spans="1:11" s="141" customFormat="1" ht="17.25" x14ac:dyDescent="0.35">
      <c r="A450" s="327"/>
      <c r="B450" s="328"/>
      <c r="C450" s="328"/>
      <c r="D450" s="328" t="s">
        <v>69</v>
      </c>
      <c r="E450" s="328">
        <v>1</v>
      </c>
      <c r="F450" s="328">
        <v>0</v>
      </c>
      <c r="G450" s="328"/>
      <c r="H450" s="329"/>
      <c r="I450" s="440" t="s">
        <v>988</v>
      </c>
      <c r="J450" s="81"/>
      <c r="K450" s="81"/>
    </row>
    <row r="451" spans="1:11" s="141" customFormat="1" ht="17.25" x14ac:dyDescent="0.35">
      <c r="A451" s="327"/>
      <c r="B451" s="328"/>
      <c r="C451" s="328"/>
      <c r="D451" s="328" t="s">
        <v>69</v>
      </c>
      <c r="E451" s="328">
        <v>122</v>
      </c>
      <c r="F451" s="328"/>
      <c r="G451" s="328"/>
      <c r="H451" s="329"/>
      <c r="I451" s="440" t="s">
        <v>1219</v>
      </c>
      <c r="J451" s="81"/>
      <c r="K451" s="81"/>
    </row>
    <row r="452" spans="1:11" s="141" customFormat="1" ht="17.25" x14ac:dyDescent="0.35">
      <c r="A452" s="327" t="s">
        <v>963</v>
      </c>
      <c r="B452" s="328" t="s">
        <v>964</v>
      </c>
      <c r="C452" s="328" t="s">
        <v>90</v>
      </c>
      <c r="D452" s="328"/>
      <c r="E452" s="328"/>
      <c r="F452" s="328"/>
      <c r="G452" s="328" t="s">
        <v>239</v>
      </c>
      <c r="H452" s="329"/>
      <c r="I452" s="440">
        <v>70263</v>
      </c>
      <c r="J452" s="81"/>
      <c r="K452" s="81"/>
    </row>
    <row r="453" spans="1:11" s="141" customFormat="1" ht="17.25" x14ac:dyDescent="0.35">
      <c r="A453" s="327"/>
      <c r="B453" s="328"/>
      <c r="C453" s="328"/>
      <c r="D453" s="328" t="s">
        <v>69</v>
      </c>
      <c r="E453" s="328">
        <v>1</v>
      </c>
      <c r="F453" s="328">
        <v>6</v>
      </c>
      <c r="G453" s="328"/>
      <c r="H453" s="329"/>
      <c r="I453" s="440" t="s">
        <v>722</v>
      </c>
      <c r="J453" s="81"/>
      <c r="K453" s="81"/>
    </row>
    <row r="454" spans="1:11" s="141" customFormat="1" ht="17.25" x14ac:dyDescent="0.35">
      <c r="A454" s="327"/>
      <c r="B454" s="328"/>
      <c r="C454" s="328"/>
      <c r="D454" s="328" t="s">
        <v>70</v>
      </c>
      <c r="E454" s="328">
        <v>64</v>
      </c>
      <c r="F454" s="328" t="s">
        <v>983</v>
      </c>
      <c r="G454" s="328"/>
      <c r="H454" s="329"/>
      <c r="I454" s="440" t="s">
        <v>966</v>
      </c>
      <c r="J454" s="81"/>
      <c r="K454" s="81"/>
    </row>
    <row r="455" spans="1:11" s="141" customFormat="1" ht="17.25" x14ac:dyDescent="0.35">
      <c r="A455" s="327"/>
      <c r="B455" s="328"/>
      <c r="C455" s="328"/>
      <c r="D455" s="328" t="s">
        <v>70</v>
      </c>
      <c r="E455" s="328">
        <v>256</v>
      </c>
      <c r="F455" s="328" t="s">
        <v>1506</v>
      </c>
      <c r="G455" s="328"/>
      <c r="H455" s="329"/>
      <c r="I455" s="440" t="s">
        <v>967</v>
      </c>
      <c r="J455" s="81"/>
      <c r="K455" s="81"/>
    </row>
    <row r="456" spans="1:11" s="141" customFormat="1" ht="27.75" x14ac:dyDescent="0.35">
      <c r="A456" s="327"/>
      <c r="B456" s="328"/>
      <c r="C456" s="328"/>
      <c r="D456" s="328" t="s">
        <v>70</v>
      </c>
      <c r="E456" s="328">
        <v>256</v>
      </c>
      <c r="F456" s="328" t="s">
        <v>1507</v>
      </c>
      <c r="G456" s="328"/>
      <c r="H456" s="329"/>
      <c r="I456" s="440" t="s">
        <v>968</v>
      </c>
      <c r="J456" s="81"/>
      <c r="K456" s="81"/>
    </row>
    <row r="457" spans="1:11" s="141" customFormat="1" ht="17.25" x14ac:dyDescent="0.35">
      <c r="A457" s="327"/>
      <c r="B457" s="328"/>
      <c r="C457" s="328"/>
      <c r="D457" s="328" t="s">
        <v>70</v>
      </c>
      <c r="E457" s="328">
        <v>128</v>
      </c>
      <c r="F457" s="328" t="s">
        <v>1508</v>
      </c>
      <c r="G457" s="328"/>
      <c r="H457" s="329"/>
      <c r="I457" s="440" t="s">
        <v>970</v>
      </c>
      <c r="J457" s="81"/>
      <c r="K457" s="81"/>
    </row>
    <row r="458" spans="1:11" s="141" customFormat="1" ht="17.25" x14ac:dyDescent="0.35">
      <c r="A458" s="327"/>
      <c r="B458" s="328"/>
      <c r="C458" s="328"/>
      <c r="D458" s="328" t="s">
        <v>69</v>
      </c>
      <c r="E458" s="328">
        <v>4</v>
      </c>
      <c r="F458" s="328">
        <v>10</v>
      </c>
      <c r="G458" s="328"/>
      <c r="H458" s="329"/>
      <c r="I458" s="440" t="s">
        <v>971</v>
      </c>
      <c r="J458" s="81"/>
      <c r="K458" s="81"/>
    </row>
    <row r="459" spans="1:11" s="141" customFormat="1" ht="17.25" x14ac:dyDescent="0.35">
      <c r="A459" s="327"/>
      <c r="B459" s="328"/>
      <c r="C459" s="328"/>
      <c r="D459" s="328" t="s">
        <v>69</v>
      </c>
      <c r="E459" s="328">
        <v>1</v>
      </c>
      <c r="F459" s="328">
        <v>1</v>
      </c>
      <c r="G459" s="328"/>
      <c r="H459" s="329"/>
      <c r="I459" s="440" t="s">
        <v>972</v>
      </c>
      <c r="J459" s="81"/>
      <c r="K459" s="81"/>
    </row>
    <row r="460" spans="1:11" s="141" customFormat="1" ht="17.25" x14ac:dyDescent="0.35">
      <c r="A460" s="327"/>
      <c r="B460" s="328"/>
      <c r="C460" s="328"/>
      <c r="D460" s="328" t="s">
        <v>69</v>
      </c>
      <c r="E460" s="328">
        <v>1</v>
      </c>
      <c r="F460" s="328">
        <v>8</v>
      </c>
      <c r="G460" s="328"/>
      <c r="H460" s="329"/>
      <c r="I460" s="440" t="s">
        <v>973</v>
      </c>
      <c r="J460" s="81"/>
      <c r="K460" s="81"/>
    </row>
    <row r="461" spans="1:11" s="141" customFormat="1" ht="17.25" x14ac:dyDescent="0.35">
      <c r="A461" s="327"/>
      <c r="B461" s="328"/>
      <c r="C461" s="328"/>
      <c r="D461" s="328" t="s">
        <v>69</v>
      </c>
      <c r="E461" s="328">
        <v>1</v>
      </c>
      <c r="F461" s="328">
        <v>0</v>
      </c>
      <c r="G461" s="328"/>
      <c r="H461" s="329"/>
      <c r="I461" s="440" t="s">
        <v>974</v>
      </c>
      <c r="J461" s="81"/>
      <c r="K461" s="81"/>
    </row>
    <row r="462" spans="1:11" s="141" customFormat="1" ht="17.25" x14ac:dyDescent="0.35">
      <c r="A462" s="327"/>
      <c r="B462" s="328"/>
      <c r="C462" s="328"/>
      <c r="D462" s="328" t="s">
        <v>69</v>
      </c>
      <c r="E462" s="328">
        <v>1</v>
      </c>
      <c r="F462" s="328">
        <v>2</v>
      </c>
      <c r="G462" s="328"/>
      <c r="H462" s="329"/>
      <c r="I462" s="440" t="s">
        <v>975</v>
      </c>
      <c r="J462" s="81"/>
      <c r="K462" s="81"/>
    </row>
    <row r="463" spans="1:11" s="141" customFormat="1" ht="17.25" x14ac:dyDescent="0.35">
      <c r="A463" s="327"/>
      <c r="B463" s="328"/>
      <c r="C463" s="328"/>
      <c r="D463" s="328" t="s">
        <v>69</v>
      </c>
      <c r="E463" s="328">
        <v>1</v>
      </c>
      <c r="F463" s="328">
        <v>0</v>
      </c>
      <c r="G463" s="328"/>
      <c r="H463" s="329"/>
      <c r="I463" s="440" t="s">
        <v>976</v>
      </c>
      <c r="J463" s="81"/>
      <c r="K463" s="81"/>
    </row>
    <row r="464" spans="1:11" s="141" customFormat="1" ht="17.25" x14ac:dyDescent="0.35">
      <c r="A464" s="327"/>
      <c r="B464" s="328"/>
      <c r="C464" s="328"/>
      <c r="D464" s="328" t="s">
        <v>69</v>
      </c>
      <c r="E464" s="328">
        <v>1</v>
      </c>
      <c r="F464" s="328">
        <v>2</v>
      </c>
      <c r="G464" s="328"/>
      <c r="H464" s="329"/>
      <c r="I464" s="440" t="s">
        <v>977</v>
      </c>
      <c r="J464" s="81"/>
      <c r="K464" s="81"/>
    </row>
    <row r="465" spans="1:11" s="141" customFormat="1" ht="17.25" x14ac:dyDescent="0.35">
      <c r="A465" s="327"/>
      <c r="B465" s="328"/>
      <c r="C465" s="328"/>
      <c r="D465" s="328" t="s">
        <v>70</v>
      </c>
      <c r="E465" s="328">
        <v>64</v>
      </c>
      <c r="F465" s="328"/>
      <c r="G465" s="328"/>
      <c r="H465" s="329"/>
      <c r="I465" s="440" t="s">
        <v>978</v>
      </c>
      <c r="J465" s="81"/>
      <c r="K465" s="81"/>
    </row>
    <row r="466" spans="1:11" s="141" customFormat="1" ht="17.25" x14ac:dyDescent="0.35">
      <c r="A466" s="327"/>
      <c r="B466" s="328"/>
      <c r="C466" s="328"/>
      <c r="D466" s="328" t="s">
        <v>69</v>
      </c>
      <c r="E466" s="328">
        <v>1</v>
      </c>
      <c r="F466" s="328">
        <v>0</v>
      </c>
      <c r="G466" s="328"/>
      <c r="H466" s="329"/>
      <c r="I466" s="440" t="s">
        <v>979</v>
      </c>
      <c r="J466" s="81"/>
      <c r="K466" s="81"/>
    </row>
    <row r="467" spans="1:11" s="141" customFormat="1" ht="17.25" x14ac:dyDescent="0.35">
      <c r="A467" s="327"/>
      <c r="B467" s="328"/>
      <c r="C467" s="328"/>
      <c r="D467" s="328" t="s">
        <v>69</v>
      </c>
      <c r="E467" s="328">
        <v>1</v>
      </c>
      <c r="F467" s="328">
        <v>0</v>
      </c>
      <c r="G467" s="328"/>
      <c r="H467" s="329"/>
      <c r="I467" s="440" t="s">
        <v>980</v>
      </c>
      <c r="J467" s="81"/>
      <c r="K467" s="81"/>
    </row>
    <row r="468" spans="1:11" s="141" customFormat="1" ht="17.25" x14ac:dyDescent="0.35">
      <c r="A468" s="327"/>
      <c r="B468" s="328"/>
      <c r="C468" s="328"/>
      <c r="D468" s="328" t="s">
        <v>69</v>
      </c>
      <c r="E468" s="328">
        <v>2</v>
      </c>
      <c r="F468" s="328">
        <v>0</v>
      </c>
      <c r="G468" s="328"/>
      <c r="H468" s="329"/>
      <c r="I468" s="440" t="s">
        <v>981</v>
      </c>
      <c r="J468" s="81"/>
      <c r="K468" s="81"/>
    </row>
    <row r="469" spans="1:11" s="141" customFormat="1" ht="17.25" x14ac:dyDescent="0.35">
      <c r="A469" s="327"/>
      <c r="B469" s="328"/>
      <c r="C469" s="328"/>
      <c r="D469" s="328" t="s">
        <v>69</v>
      </c>
      <c r="E469" s="328">
        <v>4</v>
      </c>
      <c r="F469" s="328">
        <v>0</v>
      </c>
      <c r="G469" s="328"/>
      <c r="H469" s="329"/>
      <c r="I469" s="440" t="s">
        <v>982</v>
      </c>
      <c r="J469" s="81"/>
      <c r="K469" s="81"/>
    </row>
    <row r="470" spans="1:11" s="141" customFormat="1" ht="17.25" x14ac:dyDescent="0.35">
      <c r="A470" s="327"/>
      <c r="B470" s="328"/>
      <c r="C470" s="328"/>
      <c r="D470" s="328" t="s">
        <v>69</v>
      </c>
      <c r="E470" s="328">
        <v>209</v>
      </c>
      <c r="F470" s="328"/>
      <c r="G470" s="328"/>
      <c r="H470" s="329"/>
      <c r="I470" s="440" t="s">
        <v>1403</v>
      </c>
      <c r="J470" s="81"/>
      <c r="K470" s="81"/>
    </row>
    <row r="471" spans="1:11" s="141" customFormat="1" ht="17.25" x14ac:dyDescent="0.35">
      <c r="A471" s="327" t="s">
        <v>1509</v>
      </c>
      <c r="B471" s="328" t="s">
        <v>990</v>
      </c>
      <c r="C471" s="328" t="s">
        <v>90</v>
      </c>
      <c r="D471" s="328"/>
      <c r="E471" s="328"/>
      <c r="F471" s="328"/>
      <c r="G471" s="328" t="s">
        <v>239</v>
      </c>
      <c r="H471" s="329"/>
      <c r="I471" s="440">
        <v>71527</v>
      </c>
      <c r="J471" s="81"/>
      <c r="K471" s="81"/>
    </row>
    <row r="472" spans="1:11" s="141" customFormat="1" ht="17.25" x14ac:dyDescent="0.35">
      <c r="A472" s="327"/>
      <c r="B472" s="328"/>
      <c r="C472" s="328"/>
      <c r="D472" s="328" t="s">
        <v>69</v>
      </c>
      <c r="E472" s="328">
        <v>1</v>
      </c>
      <c r="F472" s="328">
        <v>0</v>
      </c>
      <c r="G472" s="328"/>
      <c r="H472" s="329"/>
      <c r="I472" s="440" t="s">
        <v>722</v>
      </c>
      <c r="J472" s="81"/>
      <c r="K472" s="81"/>
    </row>
    <row r="473" spans="1:11" s="141" customFormat="1" ht="17.25" x14ac:dyDescent="0.35">
      <c r="A473" s="327"/>
      <c r="B473" s="328"/>
      <c r="C473" s="328"/>
      <c r="D473" s="328" t="s">
        <v>69</v>
      </c>
      <c r="E473" s="328">
        <v>2</v>
      </c>
      <c r="F473" s="328">
        <v>16</v>
      </c>
      <c r="G473" s="328"/>
      <c r="H473" s="329"/>
      <c r="I473" s="440" t="s">
        <v>991</v>
      </c>
      <c r="J473" s="81"/>
      <c r="K473" s="81"/>
    </row>
    <row r="474" spans="1:11" s="141" customFormat="1" ht="17.25" x14ac:dyDescent="0.35">
      <c r="A474" s="327"/>
      <c r="B474" s="328"/>
      <c r="C474" s="328"/>
      <c r="D474" s="328" t="s">
        <v>69</v>
      </c>
      <c r="E474" s="328">
        <v>1</v>
      </c>
      <c r="F474" s="328">
        <v>17</v>
      </c>
      <c r="G474" s="328"/>
      <c r="H474" s="329"/>
      <c r="I474" s="440" t="s">
        <v>992</v>
      </c>
      <c r="J474" s="81"/>
      <c r="K474" s="81"/>
    </row>
    <row r="475" spans="1:11" s="141" customFormat="1" ht="17.25" x14ac:dyDescent="0.35">
      <c r="A475" s="327"/>
      <c r="B475" s="328"/>
      <c r="C475" s="328"/>
      <c r="D475" s="328" t="s">
        <v>69</v>
      </c>
      <c r="E475" s="328">
        <v>2</v>
      </c>
      <c r="F475" s="328">
        <v>7</v>
      </c>
      <c r="G475" s="328"/>
      <c r="H475" s="329"/>
      <c r="I475" s="440" t="s">
        <v>993</v>
      </c>
      <c r="J475" s="81"/>
      <c r="K475" s="81"/>
    </row>
    <row r="476" spans="1:11" s="141" customFormat="1" ht="17.25" x14ac:dyDescent="0.35">
      <c r="A476" s="327"/>
      <c r="B476" s="328"/>
      <c r="C476" s="328"/>
      <c r="D476" s="328" t="s">
        <v>69</v>
      </c>
      <c r="E476" s="328">
        <v>1</v>
      </c>
      <c r="F476" s="328">
        <v>136</v>
      </c>
      <c r="G476" s="328"/>
      <c r="H476" s="329"/>
      <c r="I476" s="440" t="s">
        <v>994</v>
      </c>
      <c r="J476" s="81"/>
      <c r="K476" s="81"/>
    </row>
    <row r="477" spans="1:11" s="141" customFormat="1" ht="17.25" x14ac:dyDescent="0.35">
      <c r="A477" s="327"/>
      <c r="B477" s="328"/>
      <c r="C477" s="328"/>
      <c r="D477" s="328" t="s">
        <v>69</v>
      </c>
      <c r="E477" s="328">
        <v>1</v>
      </c>
      <c r="F477" s="328">
        <v>80</v>
      </c>
      <c r="G477" s="328"/>
      <c r="H477" s="329"/>
      <c r="I477" s="440" t="s">
        <v>995</v>
      </c>
      <c r="J477" s="81"/>
      <c r="K477" s="81"/>
    </row>
    <row r="478" spans="1:11" s="141" customFormat="1" ht="17.25" x14ac:dyDescent="0.35">
      <c r="A478" s="327"/>
      <c r="B478" s="328"/>
      <c r="C478" s="328"/>
      <c r="D478" s="328" t="s">
        <v>69</v>
      </c>
      <c r="E478" s="328">
        <v>2</v>
      </c>
      <c r="F478" s="328">
        <v>1639</v>
      </c>
      <c r="G478" s="328"/>
      <c r="H478" s="329"/>
      <c r="I478" s="440" t="s">
        <v>996</v>
      </c>
      <c r="J478" s="81"/>
      <c r="K478" s="81"/>
    </row>
    <row r="479" spans="1:11" s="141" customFormat="1" ht="17.25" x14ac:dyDescent="0.35">
      <c r="A479" s="327"/>
      <c r="B479" s="328"/>
      <c r="C479" s="328"/>
      <c r="D479" s="328" t="s">
        <v>69</v>
      </c>
      <c r="E479" s="328">
        <v>1</v>
      </c>
      <c r="F479" s="328">
        <v>17</v>
      </c>
      <c r="G479" s="328"/>
      <c r="H479" s="329"/>
      <c r="I479" s="440" t="s">
        <v>997</v>
      </c>
      <c r="J479" s="81"/>
      <c r="K479" s="81"/>
    </row>
    <row r="480" spans="1:11" s="141" customFormat="1" ht="17.25" x14ac:dyDescent="0.35">
      <c r="A480" s="327"/>
      <c r="B480" s="328"/>
      <c r="C480" s="328"/>
      <c r="D480" s="328" t="s">
        <v>69</v>
      </c>
      <c r="E480" s="328">
        <v>2</v>
      </c>
      <c r="F480" s="328">
        <v>0</v>
      </c>
      <c r="G480" s="328"/>
      <c r="H480" s="329"/>
      <c r="I480" s="440" t="s">
        <v>998</v>
      </c>
      <c r="J480" s="81"/>
      <c r="K480" s="81"/>
    </row>
    <row r="481" spans="1:11" s="141" customFormat="1" ht="17.25" x14ac:dyDescent="0.35">
      <c r="A481" s="327"/>
      <c r="B481" s="328"/>
      <c r="C481" s="328"/>
      <c r="D481" s="328" t="s">
        <v>69</v>
      </c>
      <c r="E481" s="328">
        <v>1</v>
      </c>
      <c r="F481" s="328">
        <v>136</v>
      </c>
      <c r="G481" s="328"/>
      <c r="H481" s="329"/>
      <c r="I481" s="440" t="s">
        <v>999</v>
      </c>
      <c r="J481" s="81"/>
      <c r="K481" s="81"/>
    </row>
    <row r="482" spans="1:11" s="141" customFormat="1" ht="17.25" x14ac:dyDescent="0.35">
      <c r="A482" s="327"/>
      <c r="B482" s="328"/>
      <c r="C482" s="328"/>
      <c r="D482" s="328" t="s">
        <v>69</v>
      </c>
      <c r="E482" s="328">
        <v>1</v>
      </c>
      <c r="F482" s="328">
        <v>80</v>
      </c>
      <c r="G482" s="328"/>
      <c r="H482" s="329"/>
      <c r="I482" s="440" t="s">
        <v>1000</v>
      </c>
      <c r="J482" s="81"/>
      <c r="K482" s="81"/>
    </row>
    <row r="483" spans="1:11" s="141" customFormat="1" ht="17.25" x14ac:dyDescent="0.35">
      <c r="A483" s="327"/>
      <c r="B483" s="328"/>
      <c r="C483" s="328"/>
      <c r="D483" s="328" t="s">
        <v>69</v>
      </c>
      <c r="E483" s="328">
        <v>2</v>
      </c>
      <c r="F483" s="328">
        <v>0</v>
      </c>
      <c r="G483" s="328"/>
      <c r="H483" s="329"/>
      <c r="I483" s="440" t="s">
        <v>1001</v>
      </c>
      <c r="J483" s="81"/>
      <c r="K483" s="81"/>
    </row>
    <row r="484" spans="1:11" s="141" customFormat="1" ht="17.25" x14ac:dyDescent="0.35">
      <c r="A484" s="327"/>
      <c r="B484" s="328"/>
      <c r="C484" s="328"/>
      <c r="D484" s="328" t="s">
        <v>69</v>
      </c>
      <c r="E484" s="328">
        <v>1</v>
      </c>
      <c r="F484" s="328">
        <v>0</v>
      </c>
      <c r="G484" s="328"/>
      <c r="H484" s="329"/>
      <c r="I484" s="440" t="s">
        <v>1002</v>
      </c>
      <c r="J484" s="81"/>
      <c r="K484" s="81"/>
    </row>
    <row r="485" spans="1:11" s="141" customFormat="1" ht="17.25" x14ac:dyDescent="0.35">
      <c r="A485" s="327"/>
      <c r="B485" s="328"/>
      <c r="C485" s="328"/>
      <c r="D485" s="328" t="s">
        <v>69</v>
      </c>
      <c r="E485" s="328">
        <v>2</v>
      </c>
      <c r="F485" s="328">
        <v>0</v>
      </c>
      <c r="G485" s="328"/>
      <c r="H485" s="329"/>
      <c r="I485" s="440" t="s">
        <v>1003</v>
      </c>
      <c r="J485" s="81"/>
      <c r="K485" s="81"/>
    </row>
    <row r="486" spans="1:11" s="141" customFormat="1" ht="17.25" x14ac:dyDescent="0.35">
      <c r="A486" s="327"/>
      <c r="B486" s="328"/>
      <c r="C486" s="328"/>
      <c r="D486" s="328" t="s">
        <v>69</v>
      </c>
      <c r="E486" s="328">
        <v>1</v>
      </c>
      <c r="F486" s="328">
        <v>0</v>
      </c>
      <c r="G486" s="328"/>
      <c r="H486" s="329"/>
      <c r="I486" s="440" t="s">
        <v>1004</v>
      </c>
      <c r="J486" s="81"/>
      <c r="K486" s="81"/>
    </row>
    <row r="487" spans="1:11" s="141" customFormat="1" ht="17.25" x14ac:dyDescent="0.35">
      <c r="A487" s="327"/>
      <c r="B487" s="328"/>
      <c r="C487" s="328"/>
      <c r="D487" s="328" t="s">
        <v>69</v>
      </c>
      <c r="E487" s="328">
        <v>1</v>
      </c>
      <c r="F487" s="328">
        <v>0</v>
      </c>
      <c r="G487" s="328"/>
      <c r="H487" s="329"/>
      <c r="I487" s="440" t="s">
        <v>1005</v>
      </c>
      <c r="J487" s="81"/>
      <c r="K487" s="81"/>
    </row>
    <row r="488" spans="1:11" s="141" customFormat="1" ht="17.25" x14ac:dyDescent="0.35">
      <c r="A488" s="327"/>
      <c r="B488" s="328"/>
      <c r="C488" s="328"/>
      <c r="D488" s="328" t="s">
        <v>69</v>
      </c>
      <c r="E488" s="328">
        <v>2</v>
      </c>
      <c r="F488" s="328">
        <v>0</v>
      </c>
      <c r="G488" s="328"/>
      <c r="H488" s="329"/>
      <c r="I488" s="440" t="s">
        <v>1006</v>
      </c>
      <c r="J488" s="81"/>
      <c r="K488" s="81"/>
    </row>
    <row r="489" spans="1:11" s="141" customFormat="1" ht="17.25" x14ac:dyDescent="0.35">
      <c r="A489" s="327"/>
      <c r="B489" s="328"/>
      <c r="C489" s="328"/>
      <c r="D489" s="328" t="s">
        <v>69</v>
      </c>
      <c r="E489" s="328">
        <v>1</v>
      </c>
      <c r="F489" s="328">
        <v>0</v>
      </c>
      <c r="G489" s="328"/>
      <c r="H489" s="329"/>
      <c r="I489" s="440" t="s">
        <v>1007</v>
      </c>
      <c r="J489" s="81"/>
      <c r="K489" s="81"/>
    </row>
    <row r="490" spans="1:11" s="141" customFormat="1" ht="17.25" x14ac:dyDescent="0.35">
      <c r="A490" s="327"/>
      <c r="B490" s="328"/>
      <c r="C490" s="328"/>
      <c r="D490" s="328" t="s">
        <v>69</v>
      </c>
      <c r="E490" s="328">
        <v>2</v>
      </c>
      <c r="F490" s="328">
        <v>0</v>
      </c>
      <c r="G490" s="328"/>
      <c r="H490" s="329"/>
      <c r="I490" s="440" t="s">
        <v>1008</v>
      </c>
      <c r="J490" s="81"/>
      <c r="K490" s="81"/>
    </row>
    <row r="491" spans="1:11" s="141" customFormat="1" ht="17.25" x14ac:dyDescent="0.35">
      <c r="A491" s="327"/>
      <c r="B491" s="328"/>
      <c r="C491" s="328"/>
      <c r="D491" s="328" t="s">
        <v>69</v>
      </c>
      <c r="E491" s="328">
        <v>1</v>
      </c>
      <c r="F491" s="328">
        <v>0</v>
      </c>
      <c r="G491" s="328"/>
      <c r="H491" s="329"/>
      <c r="I491" s="440" t="s">
        <v>1009</v>
      </c>
      <c r="J491" s="81"/>
      <c r="K491" s="81"/>
    </row>
    <row r="492" spans="1:11" s="141" customFormat="1" ht="17.25" x14ac:dyDescent="0.35">
      <c r="A492" s="327"/>
      <c r="B492" s="328"/>
      <c r="C492" s="328"/>
      <c r="D492" s="328" t="s">
        <v>69</v>
      </c>
      <c r="E492" s="328">
        <v>1</v>
      </c>
      <c r="F492" s="328">
        <v>0</v>
      </c>
      <c r="G492" s="328"/>
      <c r="H492" s="329"/>
      <c r="I492" s="440" t="s">
        <v>1010</v>
      </c>
      <c r="J492" s="81"/>
      <c r="K492" s="81"/>
    </row>
    <row r="493" spans="1:11" s="141" customFormat="1" ht="17.25" x14ac:dyDescent="0.35">
      <c r="A493" s="327"/>
      <c r="B493" s="328"/>
      <c r="C493" s="328"/>
      <c r="D493" s="328" t="s">
        <v>69</v>
      </c>
      <c r="E493" s="328">
        <v>2</v>
      </c>
      <c r="F493" s="328">
        <v>0</v>
      </c>
      <c r="G493" s="328"/>
      <c r="H493" s="329"/>
      <c r="I493" s="440" t="s">
        <v>1011</v>
      </c>
      <c r="J493" s="81"/>
      <c r="K493" s="81"/>
    </row>
    <row r="494" spans="1:11" s="141" customFormat="1" ht="17.25" x14ac:dyDescent="0.35">
      <c r="A494" s="327"/>
      <c r="B494" s="328"/>
      <c r="C494" s="328"/>
      <c r="D494" s="328" t="s">
        <v>69</v>
      </c>
      <c r="E494" s="328">
        <v>1</v>
      </c>
      <c r="F494" s="328">
        <v>0</v>
      </c>
      <c r="G494" s="328"/>
      <c r="H494" s="329"/>
      <c r="I494" s="440" t="s">
        <v>1012</v>
      </c>
      <c r="J494" s="81"/>
      <c r="K494" s="81"/>
    </row>
    <row r="495" spans="1:11" s="141" customFormat="1" ht="17.25" x14ac:dyDescent="0.35">
      <c r="A495" s="327"/>
      <c r="B495" s="328"/>
      <c r="C495" s="328"/>
      <c r="D495" s="328" t="s">
        <v>69</v>
      </c>
      <c r="E495" s="328">
        <v>2</v>
      </c>
      <c r="F495" s="328">
        <v>0</v>
      </c>
      <c r="G495" s="328"/>
      <c r="H495" s="329"/>
      <c r="I495" s="440" t="s">
        <v>1013</v>
      </c>
      <c r="J495" s="81"/>
      <c r="K495" s="81"/>
    </row>
    <row r="496" spans="1:11" s="141" customFormat="1" ht="17.25" x14ac:dyDescent="0.35">
      <c r="A496" s="327"/>
      <c r="B496" s="328"/>
      <c r="C496" s="328"/>
      <c r="D496" s="328" t="s">
        <v>69</v>
      </c>
      <c r="E496" s="328">
        <v>1</v>
      </c>
      <c r="F496" s="328">
        <v>0</v>
      </c>
      <c r="G496" s="328"/>
      <c r="H496" s="329"/>
      <c r="I496" s="440" t="s">
        <v>1014</v>
      </c>
      <c r="J496" s="81"/>
      <c r="K496" s="81"/>
    </row>
    <row r="497" spans="1:11" s="141" customFormat="1" ht="17.25" x14ac:dyDescent="0.35">
      <c r="A497" s="327"/>
      <c r="B497" s="328"/>
      <c r="C497" s="328"/>
      <c r="D497" s="328" t="s">
        <v>69</v>
      </c>
      <c r="E497" s="328">
        <v>1</v>
      </c>
      <c r="F497" s="328">
        <v>0</v>
      </c>
      <c r="G497" s="328"/>
      <c r="H497" s="329"/>
      <c r="I497" s="440" t="s">
        <v>1015</v>
      </c>
      <c r="J497" s="81"/>
      <c r="K497" s="81"/>
    </row>
    <row r="498" spans="1:11" s="141" customFormat="1" ht="17.25" x14ac:dyDescent="0.35">
      <c r="A498" s="327"/>
      <c r="B498" s="328"/>
      <c r="C498" s="328"/>
      <c r="D498" s="328" t="s">
        <v>69</v>
      </c>
      <c r="E498" s="328">
        <v>2</v>
      </c>
      <c r="F498" s="328">
        <v>0</v>
      </c>
      <c r="G498" s="328"/>
      <c r="H498" s="329"/>
      <c r="I498" s="440" t="s">
        <v>1016</v>
      </c>
      <c r="J498" s="81"/>
      <c r="K498" s="81"/>
    </row>
    <row r="499" spans="1:11" s="141" customFormat="1" ht="17.25" x14ac:dyDescent="0.35">
      <c r="A499" s="327"/>
      <c r="B499" s="328"/>
      <c r="C499" s="328"/>
      <c r="D499" s="328" t="s">
        <v>69</v>
      </c>
      <c r="E499" s="328">
        <v>1</v>
      </c>
      <c r="F499" s="328">
        <v>0</v>
      </c>
      <c r="G499" s="328"/>
      <c r="H499" s="329"/>
      <c r="I499" s="440" t="s">
        <v>1017</v>
      </c>
      <c r="J499" s="81"/>
      <c r="K499" s="81"/>
    </row>
    <row r="500" spans="1:11" s="141" customFormat="1" ht="17.25" x14ac:dyDescent="0.35">
      <c r="A500" s="327"/>
      <c r="B500" s="328"/>
      <c r="C500" s="328"/>
      <c r="D500" s="328" t="s">
        <v>69</v>
      </c>
      <c r="E500" s="328">
        <v>2</v>
      </c>
      <c r="F500" s="328">
        <v>0</v>
      </c>
      <c r="G500" s="328"/>
      <c r="H500" s="329"/>
      <c r="I500" s="440" t="s">
        <v>1018</v>
      </c>
      <c r="J500" s="81"/>
      <c r="K500" s="81"/>
    </row>
    <row r="501" spans="1:11" s="141" customFormat="1" ht="17.25" x14ac:dyDescent="0.35">
      <c r="A501" s="327"/>
      <c r="B501" s="328"/>
      <c r="C501" s="328"/>
      <c r="D501" s="328" t="s">
        <v>69</v>
      </c>
      <c r="E501" s="328">
        <v>1</v>
      </c>
      <c r="F501" s="328">
        <v>0</v>
      </c>
      <c r="G501" s="328"/>
      <c r="H501" s="329"/>
      <c r="I501" s="440" t="s">
        <v>1019</v>
      </c>
      <c r="J501" s="81"/>
      <c r="K501" s="81"/>
    </row>
    <row r="502" spans="1:11" s="141" customFormat="1" ht="17.25" x14ac:dyDescent="0.35">
      <c r="A502" s="327"/>
      <c r="B502" s="328"/>
      <c r="C502" s="328"/>
      <c r="D502" s="328" t="s">
        <v>69</v>
      </c>
      <c r="E502" s="328">
        <v>1</v>
      </c>
      <c r="F502" s="328">
        <v>0</v>
      </c>
      <c r="G502" s="328"/>
      <c r="H502" s="329"/>
      <c r="I502" s="440" t="s">
        <v>1020</v>
      </c>
      <c r="J502" s="81"/>
      <c r="K502" s="81"/>
    </row>
    <row r="503" spans="1:11" s="141" customFormat="1" ht="17.25" x14ac:dyDescent="0.35">
      <c r="A503" s="327"/>
      <c r="B503" s="328"/>
      <c r="C503" s="328"/>
      <c r="D503" s="328" t="s">
        <v>69</v>
      </c>
      <c r="E503" s="328">
        <v>2</v>
      </c>
      <c r="F503" s="328">
        <v>0</v>
      </c>
      <c r="G503" s="328"/>
      <c r="H503" s="329"/>
      <c r="I503" s="440" t="s">
        <v>1021</v>
      </c>
      <c r="J503" s="81"/>
      <c r="K503" s="81"/>
    </row>
    <row r="504" spans="1:11" s="141" customFormat="1" ht="17.25" x14ac:dyDescent="0.35">
      <c r="A504" s="327"/>
      <c r="B504" s="328"/>
      <c r="C504" s="328"/>
      <c r="D504" s="328" t="s">
        <v>69</v>
      </c>
      <c r="E504" s="328">
        <v>1</v>
      </c>
      <c r="F504" s="328">
        <v>0</v>
      </c>
      <c r="G504" s="328"/>
      <c r="H504" s="329"/>
      <c r="I504" s="440" t="s">
        <v>1022</v>
      </c>
      <c r="J504" s="81"/>
      <c r="K504" s="81"/>
    </row>
    <row r="505" spans="1:11" s="141" customFormat="1" ht="17.25" x14ac:dyDescent="0.35">
      <c r="A505" s="327"/>
      <c r="B505" s="328"/>
      <c r="C505" s="328"/>
      <c r="D505" s="328" t="s">
        <v>69</v>
      </c>
      <c r="E505" s="328">
        <v>2</v>
      </c>
      <c r="F505" s="328">
        <v>0</v>
      </c>
      <c r="G505" s="328"/>
      <c r="H505" s="329"/>
      <c r="I505" s="440" t="s">
        <v>1023</v>
      </c>
      <c r="J505" s="81"/>
      <c r="K505" s="81"/>
    </row>
    <row r="506" spans="1:11" s="141" customFormat="1" ht="17.25" x14ac:dyDescent="0.35">
      <c r="A506" s="327"/>
      <c r="B506" s="328"/>
      <c r="C506" s="328"/>
      <c r="D506" s="328" t="s">
        <v>69</v>
      </c>
      <c r="E506" s="328">
        <v>1</v>
      </c>
      <c r="F506" s="328">
        <v>0</v>
      </c>
      <c r="G506" s="328"/>
      <c r="H506" s="329"/>
      <c r="I506" s="440" t="s">
        <v>1024</v>
      </c>
      <c r="J506" s="81"/>
      <c r="K506" s="81"/>
    </row>
    <row r="507" spans="1:11" s="141" customFormat="1" ht="17.25" x14ac:dyDescent="0.35">
      <c r="A507" s="327"/>
      <c r="B507" s="328"/>
      <c r="C507" s="328"/>
      <c r="D507" s="328" t="s">
        <v>69</v>
      </c>
      <c r="E507" s="328">
        <v>1</v>
      </c>
      <c r="F507" s="328">
        <v>0</v>
      </c>
      <c r="G507" s="328"/>
      <c r="H507" s="329"/>
      <c r="I507" s="440" t="s">
        <v>1025</v>
      </c>
      <c r="J507" s="81"/>
      <c r="K507" s="81"/>
    </row>
    <row r="508" spans="1:11" s="141" customFormat="1" ht="17.25" x14ac:dyDescent="0.35">
      <c r="A508" s="327"/>
      <c r="B508" s="328"/>
      <c r="C508" s="328"/>
      <c r="D508" s="328" t="s">
        <v>69</v>
      </c>
      <c r="E508" s="328">
        <v>2</v>
      </c>
      <c r="F508" s="328">
        <v>0</v>
      </c>
      <c r="G508" s="328"/>
      <c r="H508" s="329"/>
      <c r="I508" s="440" t="s">
        <v>1026</v>
      </c>
      <c r="J508" s="81"/>
      <c r="K508" s="81"/>
    </row>
    <row r="509" spans="1:11" s="141" customFormat="1" ht="17.25" x14ac:dyDescent="0.35">
      <c r="A509" s="327"/>
      <c r="B509" s="328"/>
      <c r="C509" s="328"/>
      <c r="D509" s="328" t="s">
        <v>69</v>
      </c>
      <c r="E509" s="328">
        <v>1</v>
      </c>
      <c r="F509" s="328">
        <v>0</v>
      </c>
      <c r="G509" s="328"/>
      <c r="H509" s="329"/>
      <c r="I509" s="440" t="s">
        <v>1027</v>
      </c>
      <c r="J509" s="81"/>
      <c r="K509" s="81"/>
    </row>
    <row r="510" spans="1:11" s="141" customFormat="1" ht="17.25" x14ac:dyDescent="0.35">
      <c r="A510" s="327"/>
      <c r="B510" s="328"/>
      <c r="C510" s="328"/>
      <c r="D510" s="328" t="s">
        <v>69</v>
      </c>
      <c r="E510" s="328">
        <v>2</v>
      </c>
      <c r="F510" s="328">
        <v>0</v>
      </c>
      <c r="G510" s="328"/>
      <c r="H510" s="329"/>
      <c r="I510" s="440" t="s">
        <v>1028</v>
      </c>
      <c r="J510" s="81"/>
      <c r="K510" s="81"/>
    </row>
    <row r="511" spans="1:11" s="141" customFormat="1" ht="17.25" x14ac:dyDescent="0.35">
      <c r="A511" s="327"/>
      <c r="B511" s="328"/>
      <c r="C511" s="328"/>
      <c r="D511" s="328" t="s">
        <v>69</v>
      </c>
      <c r="E511" s="328">
        <v>1</v>
      </c>
      <c r="F511" s="328">
        <v>0</v>
      </c>
      <c r="G511" s="328"/>
      <c r="H511" s="329"/>
      <c r="I511" s="440" t="s">
        <v>1029</v>
      </c>
      <c r="J511" s="81"/>
      <c r="K511" s="81"/>
    </row>
    <row r="512" spans="1:11" s="141" customFormat="1" ht="17.25" x14ac:dyDescent="0.35">
      <c r="A512" s="327"/>
      <c r="B512" s="328"/>
      <c r="C512" s="328"/>
      <c r="D512" s="328" t="s">
        <v>69</v>
      </c>
      <c r="E512" s="328">
        <v>1</v>
      </c>
      <c r="F512" s="328">
        <v>0</v>
      </c>
      <c r="G512" s="328"/>
      <c r="H512" s="329"/>
      <c r="I512" s="440" t="s">
        <v>1030</v>
      </c>
      <c r="J512" s="81"/>
      <c r="K512" s="81"/>
    </row>
    <row r="513" spans="1:11" s="141" customFormat="1" ht="17.25" x14ac:dyDescent="0.35">
      <c r="A513" s="327"/>
      <c r="B513" s="328"/>
      <c r="C513" s="328"/>
      <c r="D513" s="328" t="s">
        <v>69</v>
      </c>
      <c r="E513" s="328">
        <v>2</v>
      </c>
      <c r="F513" s="328">
        <v>0</v>
      </c>
      <c r="G513" s="328"/>
      <c r="H513" s="329"/>
      <c r="I513" s="440" t="s">
        <v>1031</v>
      </c>
      <c r="J513" s="81"/>
      <c r="K513" s="81"/>
    </row>
    <row r="514" spans="1:11" s="141" customFormat="1" ht="17.25" x14ac:dyDescent="0.35">
      <c r="A514" s="327"/>
      <c r="B514" s="328"/>
      <c r="C514" s="328"/>
      <c r="D514" s="328" t="s">
        <v>69</v>
      </c>
      <c r="E514" s="328">
        <v>1</v>
      </c>
      <c r="F514" s="328">
        <v>0</v>
      </c>
      <c r="G514" s="328"/>
      <c r="H514" s="329"/>
      <c r="I514" s="440" t="s">
        <v>1032</v>
      </c>
      <c r="J514" s="81"/>
      <c r="K514" s="81"/>
    </row>
    <row r="515" spans="1:11" s="141" customFormat="1" ht="17.25" x14ac:dyDescent="0.35">
      <c r="A515" s="327"/>
      <c r="B515" s="328"/>
      <c r="C515" s="328"/>
      <c r="D515" s="328" t="s">
        <v>69</v>
      </c>
      <c r="E515" s="328">
        <v>2</v>
      </c>
      <c r="F515" s="328">
        <v>0</v>
      </c>
      <c r="G515" s="328"/>
      <c r="H515" s="329"/>
      <c r="I515" s="440" t="s">
        <v>1033</v>
      </c>
      <c r="J515" s="81"/>
      <c r="K515" s="81"/>
    </row>
    <row r="516" spans="1:11" s="141" customFormat="1" ht="17.25" x14ac:dyDescent="0.35">
      <c r="A516" s="327"/>
      <c r="B516" s="328"/>
      <c r="C516" s="328"/>
      <c r="D516" s="328" t="s">
        <v>69</v>
      </c>
      <c r="E516" s="328">
        <v>1</v>
      </c>
      <c r="F516" s="328">
        <v>0</v>
      </c>
      <c r="G516" s="328"/>
      <c r="H516" s="329"/>
      <c r="I516" s="440" t="s">
        <v>1034</v>
      </c>
      <c r="J516" s="81"/>
      <c r="K516" s="81"/>
    </row>
    <row r="517" spans="1:11" s="141" customFormat="1" ht="17.25" x14ac:dyDescent="0.35">
      <c r="A517" s="327"/>
      <c r="B517" s="328"/>
      <c r="C517" s="328"/>
      <c r="D517" s="328" t="s">
        <v>69</v>
      </c>
      <c r="E517" s="328">
        <v>1</v>
      </c>
      <c r="F517" s="328">
        <v>0</v>
      </c>
      <c r="G517" s="328"/>
      <c r="H517" s="329"/>
      <c r="I517" s="440" t="s">
        <v>1035</v>
      </c>
      <c r="J517" s="81"/>
      <c r="K517" s="81"/>
    </row>
    <row r="518" spans="1:11" s="141" customFormat="1" ht="17.25" x14ac:dyDescent="0.35">
      <c r="A518" s="327"/>
      <c r="B518" s="328"/>
      <c r="C518" s="328"/>
      <c r="D518" s="328" t="s">
        <v>69</v>
      </c>
      <c r="E518" s="328">
        <v>2</v>
      </c>
      <c r="F518" s="328">
        <v>528</v>
      </c>
      <c r="G518" s="328"/>
      <c r="H518" s="329"/>
      <c r="I518" s="440" t="s">
        <v>1036</v>
      </c>
      <c r="J518" s="81"/>
      <c r="K518" s="81"/>
    </row>
    <row r="519" spans="1:11" s="141" customFormat="1" ht="17.25" x14ac:dyDescent="0.35">
      <c r="A519" s="327"/>
      <c r="B519" s="328"/>
      <c r="C519" s="328"/>
      <c r="D519" s="328" t="s">
        <v>69</v>
      </c>
      <c r="E519" s="328">
        <v>1</v>
      </c>
      <c r="F519" s="328">
        <v>48</v>
      </c>
      <c r="G519" s="328"/>
      <c r="H519" s="329"/>
      <c r="I519" s="440" t="s">
        <v>1037</v>
      </c>
      <c r="J519" s="81"/>
      <c r="K519" s="81"/>
    </row>
    <row r="520" spans="1:11" s="141" customFormat="1" ht="17.25" x14ac:dyDescent="0.35">
      <c r="A520" s="327"/>
      <c r="B520" s="328"/>
      <c r="C520" s="328"/>
      <c r="D520" s="328" t="s">
        <v>69</v>
      </c>
      <c r="E520" s="328">
        <v>2</v>
      </c>
      <c r="F520" s="328">
        <v>7</v>
      </c>
      <c r="G520" s="328"/>
      <c r="H520" s="329"/>
      <c r="I520" s="440" t="s">
        <v>1038</v>
      </c>
      <c r="J520" s="81"/>
      <c r="K520" s="81"/>
    </row>
    <row r="521" spans="1:11" s="141" customFormat="1" ht="17.25" x14ac:dyDescent="0.35">
      <c r="A521" s="327"/>
      <c r="B521" s="328"/>
      <c r="C521" s="328"/>
      <c r="D521" s="328" t="s">
        <v>69</v>
      </c>
      <c r="E521" s="328">
        <v>1</v>
      </c>
      <c r="F521" s="328">
        <v>136</v>
      </c>
      <c r="G521" s="328"/>
      <c r="H521" s="329"/>
      <c r="I521" s="440" t="s">
        <v>1039</v>
      </c>
      <c r="J521" s="81"/>
      <c r="K521" s="81"/>
    </row>
    <row r="522" spans="1:11" s="141" customFormat="1" ht="17.25" x14ac:dyDescent="0.35">
      <c r="A522" s="327"/>
      <c r="B522" s="328"/>
      <c r="C522" s="328"/>
      <c r="D522" s="328" t="s">
        <v>69</v>
      </c>
      <c r="E522" s="328">
        <v>1</v>
      </c>
      <c r="F522" s="328">
        <v>80</v>
      </c>
      <c r="G522" s="328"/>
      <c r="H522" s="329"/>
      <c r="I522" s="440" t="s">
        <v>1040</v>
      </c>
      <c r="J522" s="81"/>
      <c r="K522" s="81"/>
    </row>
    <row r="523" spans="1:11" s="458" customFormat="1" ht="19.5" x14ac:dyDescent="0.4">
      <c r="A523" s="327"/>
      <c r="B523" s="328"/>
      <c r="C523" s="328"/>
      <c r="D523" s="328" t="s">
        <v>69</v>
      </c>
      <c r="E523" s="328">
        <v>2</v>
      </c>
      <c r="F523" s="328">
        <v>20992</v>
      </c>
      <c r="G523" s="328"/>
      <c r="H523" s="329"/>
      <c r="I523" s="440" t="s">
        <v>1041</v>
      </c>
      <c r="J523" s="457"/>
    </row>
    <row r="524" spans="1:11" s="458" customFormat="1" ht="19.5" x14ac:dyDescent="0.4">
      <c r="A524" s="327"/>
      <c r="B524" s="328"/>
      <c r="C524" s="328"/>
      <c r="D524" s="328" t="s">
        <v>69</v>
      </c>
      <c r="E524" s="328">
        <v>2</v>
      </c>
      <c r="F524" s="328">
        <v>0</v>
      </c>
      <c r="G524" s="328"/>
      <c r="H524" s="329"/>
      <c r="I524" s="440" t="s">
        <v>1042</v>
      </c>
      <c r="J524" s="457"/>
    </row>
    <row r="525" spans="1:11" s="458" customFormat="1" ht="19.5" x14ac:dyDescent="0.4">
      <c r="A525" s="327"/>
      <c r="B525" s="328"/>
      <c r="C525" s="328"/>
      <c r="D525" s="328" t="s">
        <v>69</v>
      </c>
      <c r="E525" s="328">
        <v>2</v>
      </c>
      <c r="F525" s="328">
        <v>12800</v>
      </c>
      <c r="G525" s="328"/>
      <c r="H525" s="329"/>
      <c r="I525" s="440" t="s">
        <v>1043</v>
      </c>
      <c r="J525" s="457"/>
    </row>
    <row r="526" spans="1:11" s="458" customFormat="1" ht="19.5" x14ac:dyDescent="0.4">
      <c r="A526" s="327"/>
      <c r="B526" s="328"/>
      <c r="C526" s="328"/>
      <c r="D526" s="328" t="s">
        <v>69</v>
      </c>
      <c r="E526" s="328">
        <v>2</v>
      </c>
      <c r="F526" s="328">
        <v>0</v>
      </c>
      <c r="G526" s="328"/>
      <c r="H526" s="329"/>
      <c r="I526" s="440" t="s">
        <v>1044</v>
      </c>
      <c r="J526" s="457"/>
    </row>
    <row r="527" spans="1:11" s="458" customFormat="1" ht="19.5" x14ac:dyDescent="0.4">
      <c r="A527" s="327"/>
      <c r="B527" s="328"/>
      <c r="C527" s="328"/>
      <c r="D527" s="328" t="s">
        <v>69</v>
      </c>
      <c r="E527" s="328">
        <v>2</v>
      </c>
      <c r="F527" s="328">
        <v>25088</v>
      </c>
      <c r="G527" s="328"/>
      <c r="H527" s="329"/>
      <c r="I527" s="440" t="s">
        <v>1045</v>
      </c>
      <c r="J527" s="457"/>
    </row>
    <row r="528" spans="1:11" s="458" customFormat="1" ht="19.5" x14ac:dyDescent="0.4">
      <c r="A528" s="327"/>
      <c r="B528" s="328"/>
      <c r="C528" s="328"/>
      <c r="D528" s="328" t="s">
        <v>69</v>
      </c>
      <c r="E528" s="328">
        <v>2</v>
      </c>
      <c r="F528" s="328">
        <v>0</v>
      </c>
      <c r="G528" s="328"/>
      <c r="H528" s="329"/>
      <c r="I528" s="440" t="s">
        <v>1046</v>
      </c>
      <c r="J528" s="457"/>
    </row>
    <row r="529" spans="1:10" s="458" customFormat="1" ht="19.5" x14ac:dyDescent="0.4">
      <c r="A529" s="327"/>
      <c r="B529" s="328"/>
      <c r="C529" s="328"/>
      <c r="D529" s="328" t="s">
        <v>69</v>
      </c>
      <c r="E529" s="328">
        <v>2</v>
      </c>
      <c r="F529" s="328">
        <v>29184</v>
      </c>
      <c r="G529" s="328"/>
      <c r="H529" s="329"/>
      <c r="I529" s="440" t="s">
        <v>1047</v>
      </c>
      <c r="J529" s="457"/>
    </row>
    <row r="530" spans="1:10" s="458" customFormat="1" ht="19.5" x14ac:dyDescent="0.4">
      <c r="A530" s="327"/>
      <c r="B530" s="328"/>
      <c r="C530" s="328"/>
      <c r="D530" s="328" t="s">
        <v>69</v>
      </c>
      <c r="E530" s="328">
        <v>2</v>
      </c>
      <c r="F530" s="328">
        <v>0</v>
      </c>
      <c r="G530" s="328"/>
      <c r="H530" s="329"/>
      <c r="I530" s="440" t="s">
        <v>1048</v>
      </c>
      <c r="J530" s="457"/>
    </row>
    <row r="531" spans="1:10" s="458" customFormat="1" ht="19.5" x14ac:dyDescent="0.4">
      <c r="A531" s="327"/>
      <c r="B531" s="328"/>
      <c r="C531" s="328"/>
      <c r="D531" s="328" t="s">
        <v>69</v>
      </c>
      <c r="E531" s="328">
        <v>2</v>
      </c>
      <c r="F531" s="328">
        <v>4608</v>
      </c>
      <c r="G531" s="328"/>
      <c r="H531" s="329"/>
      <c r="I531" s="440" t="s">
        <v>1049</v>
      </c>
      <c r="J531" s="457"/>
    </row>
    <row r="532" spans="1:10" s="458" customFormat="1" ht="19.5" x14ac:dyDescent="0.4">
      <c r="A532" s="327"/>
      <c r="B532" s="328"/>
      <c r="C532" s="328"/>
      <c r="D532" s="328" t="s">
        <v>69</v>
      </c>
      <c r="E532" s="328">
        <v>2</v>
      </c>
      <c r="F532" s="328">
        <v>0</v>
      </c>
      <c r="G532" s="328"/>
      <c r="H532" s="329"/>
      <c r="I532" s="440" t="s">
        <v>1050</v>
      </c>
      <c r="J532" s="457"/>
    </row>
    <row r="533" spans="1:10" s="458" customFormat="1" ht="19.5" x14ac:dyDescent="0.4">
      <c r="A533" s="327"/>
      <c r="B533" s="328"/>
      <c r="C533" s="328"/>
      <c r="D533" s="328" t="s">
        <v>69</v>
      </c>
      <c r="E533" s="328">
        <v>2</v>
      </c>
      <c r="F533" s="328">
        <v>8704</v>
      </c>
      <c r="G533" s="328"/>
      <c r="H533" s="329"/>
      <c r="I533" s="440" t="s">
        <v>1051</v>
      </c>
      <c r="J533" s="457"/>
    </row>
    <row r="534" spans="1:10" s="458" customFormat="1" ht="19.5" x14ac:dyDescent="0.4">
      <c r="A534" s="327"/>
      <c r="B534" s="328"/>
      <c r="C534" s="328"/>
      <c r="D534" s="328" t="s">
        <v>69</v>
      </c>
      <c r="E534" s="328">
        <v>2</v>
      </c>
      <c r="F534" s="328">
        <v>0</v>
      </c>
      <c r="G534" s="328"/>
      <c r="H534" s="329"/>
      <c r="I534" s="440" t="s">
        <v>1052</v>
      </c>
      <c r="J534" s="457"/>
    </row>
    <row r="535" spans="1:10" s="458" customFormat="1" ht="19.5" x14ac:dyDescent="0.4">
      <c r="A535" s="327"/>
      <c r="B535" s="328"/>
      <c r="C535" s="328"/>
      <c r="D535" s="328" t="s">
        <v>69</v>
      </c>
      <c r="E535" s="328">
        <v>2</v>
      </c>
      <c r="F535" s="328">
        <v>41472</v>
      </c>
      <c r="G535" s="328"/>
      <c r="H535" s="329"/>
      <c r="I535" s="440" t="s">
        <v>1053</v>
      </c>
      <c r="J535" s="457"/>
    </row>
    <row r="536" spans="1:10" s="458" customFormat="1" ht="19.5" x14ac:dyDescent="0.4">
      <c r="A536" s="327"/>
      <c r="B536" s="328"/>
      <c r="C536" s="328"/>
      <c r="D536" s="328" t="s">
        <v>69</v>
      </c>
      <c r="E536" s="328">
        <v>2</v>
      </c>
      <c r="F536" s="328">
        <v>0</v>
      </c>
      <c r="G536" s="328"/>
      <c r="H536" s="329"/>
      <c r="I536" s="440" t="s">
        <v>1054</v>
      </c>
      <c r="J536" s="457"/>
    </row>
    <row r="537" spans="1:10" s="458" customFormat="1" ht="19.5" x14ac:dyDescent="0.4">
      <c r="A537" s="327"/>
      <c r="B537" s="328"/>
      <c r="C537" s="328"/>
      <c r="D537" s="328" t="s">
        <v>69</v>
      </c>
      <c r="E537" s="328">
        <v>2</v>
      </c>
      <c r="F537" s="328">
        <v>45568</v>
      </c>
      <c r="G537" s="328"/>
      <c r="H537" s="329"/>
      <c r="I537" s="440" t="s">
        <v>1055</v>
      </c>
      <c r="J537" s="457"/>
    </row>
    <row r="538" spans="1:10" s="458" customFormat="1" ht="19.5" x14ac:dyDescent="0.4">
      <c r="A538" s="327"/>
      <c r="B538" s="328"/>
      <c r="C538" s="328"/>
      <c r="D538" s="328" t="s">
        <v>69</v>
      </c>
      <c r="E538" s="328">
        <v>2</v>
      </c>
      <c r="F538" s="328">
        <v>0</v>
      </c>
      <c r="G538" s="328"/>
      <c r="H538" s="329"/>
      <c r="I538" s="440" t="s">
        <v>1056</v>
      </c>
      <c r="J538" s="457"/>
    </row>
    <row r="539" spans="1:10" s="458" customFormat="1" ht="19.5" x14ac:dyDescent="0.4">
      <c r="A539" s="327"/>
      <c r="B539" s="328"/>
      <c r="C539" s="328"/>
      <c r="D539" s="328" t="s">
        <v>69</v>
      </c>
      <c r="E539" s="328">
        <v>2</v>
      </c>
      <c r="F539" s="328">
        <v>0</v>
      </c>
      <c r="G539" s="328"/>
      <c r="H539" s="329"/>
      <c r="I539" s="440" t="s">
        <v>1057</v>
      </c>
      <c r="J539" s="457"/>
    </row>
    <row r="540" spans="1:10" s="458" customFormat="1" ht="19.5" x14ac:dyDescent="0.4">
      <c r="A540" s="327"/>
      <c r="B540" s="328"/>
      <c r="C540" s="328"/>
      <c r="D540" s="328" t="s">
        <v>69</v>
      </c>
      <c r="E540" s="328">
        <v>2</v>
      </c>
      <c r="F540" s="328">
        <v>0</v>
      </c>
      <c r="G540" s="328"/>
      <c r="H540" s="329"/>
      <c r="I540" s="440" t="s">
        <v>1058</v>
      </c>
      <c r="J540" s="457"/>
    </row>
    <row r="541" spans="1:10" s="458" customFormat="1" ht="19.5" x14ac:dyDescent="0.4">
      <c r="A541" s="327"/>
      <c r="B541" s="328"/>
      <c r="C541" s="328"/>
      <c r="D541" s="328" t="s">
        <v>69</v>
      </c>
      <c r="E541" s="328">
        <v>2</v>
      </c>
      <c r="F541" s="328">
        <v>0</v>
      </c>
      <c r="G541" s="328"/>
      <c r="H541" s="329"/>
      <c r="I541" s="440" t="s">
        <v>1059</v>
      </c>
      <c r="J541" s="457"/>
    </row>
    <row r="542" spans="1:10" s="458" customFormat="1" ht="19.5" x14ac:dyDescent="0.4">
      <c r="A542" s="327"/>
      <c r="B542" s="328"/>
      <c r="C542" s="328"/>
      <c r="D542" s="328" t="s">
        <v>69</v>
      </c>
      <c r="E542" s="328">
        <v>2</v>
      </c>
      <c r="F542" s="328">
        <v>0</v>
      </c>
      <c r="G542" s="328"/>
      <c r="H542" s="329"/>
      <c r="I542" s="440" t="s">
        <v>1060</v>
      </c>
      <c r="J542" s="457"/>
    </row>
    <row r="543" spans="1:10" s="458" customFormat="1" ht="19.5" x14ac:dyDescent="0.4">
      <c r="A543" s="327"/>
      <c r="B543" s="328"/>
      <c r="C543" s="328"/>
      <c r="D543" s="328" t="s">
        <v>69</v>
      </c>
      <c r="E543" s="328">
        <v>2</v>
      </c>
      <c r="F543" s="328">
        <v>0</v>
      </c>
      <c r="G543" s="328"/>
      <c r="H543" s="329"/>
      <c r="I543" s="440" t="s">
        <v>1061</v>
      </c>
      <c r="J543" s="457"/>
    </row>
    <row r="544" spans="1:10" s="458" customFormat="1" ht="19.5" x14ac:dyDescent="0.4">
      <c r="A544" s="327"/>
      <c r="B544" s="328"/>
      <c r="C544" s="328"/>
      <c r="D544" s="328" t="s">
        <v>69</v>
      </c>
      <c r="E544" s="328">
        <v>1</v>
      </c>
      <c r="F544" s="328">
        <v>0</v>
      </c>
      <c r="G544" s="328"/>
      <c r="H544" s="329"/>
      <c r="I544" s="440" t="s">
        <v>1062</v>
      </c>
      <c r="J544" s="457"/>
    </row>
    <row r="545" spans="1:11" s="458" customFormat="1" ht="19.5" x14ac:dyDescent="0.4">
      <c r="A545" s="327"/>
      <c r="B545" s="328"/>
      <c r="C545" s="328"/>
      <c r="D545" s="328" t="s">
        <v>69</v>
      </c>
      <c r="E545" s="328">
        <v>1</v>
      </c>
      <c r="F545" s="328">
        <v>0</v>
      </c>
      <c r="G545" s="328"/>
      <c r="H545" s="329"/>
      <c r="I545" s="440" t="s">
        <v>1063</v>
      </c>
      <c r="J545" s="457"/>
    </row>
    <row r="546" spans="1:11" s="458" customFormat="1" ht="19.5" x14ac:dyDescent="0.4">
      <c r="A546" s="327"/>
      <c r="B546" s="328"/>
      <c r="C546" s="328"/>
      <c r="D546" s="328" t="s">
        <v>69</v>
      </c>
      <c r="E546" s="328">
        <v>1</v>
      </c>
      <c r="F546" s="328">
        <v>2</v>
      </c>
      <c r="G546" s="328"/>
      <c r="H546" s="329"/>
      <c r="I546" s="440" t="s">
        <v>1064</v>
      </c>
      <c r="J546" s="457"/>
    </row>
    <row r="547" spans="1:11" s="458" customFormat="1" ht="19.5" x14ac:dyDescent="0.4">
      <c r="A547" s="327"/>
      <c r="B547" s="328"/>
      <c r="C547" s="328"/>
      <c r="D547" s="328" t="s">
        <v>69</v>
      </c>
      <c r="E547" s="328">
        <v>1</v>
      </c>
      <c r="F547" s="328">
        <v>3</v>
      </c>
      <c r="G547" s="328"/>
      <c r="H547" s="329"/>
      <c r="I547" s="440" t="s">
        <v>1065</v>
      </c>
      <c r="J547" s="457"/>
    </row>
    <row r="548" spans="1:11" s="458" customFormat="1" ht="19.5" x14ac:dyDescent="0.4">
      <c r="A548" s="327"/>
      <c r="B548" s="328"/>
      <c r="C548" s="328"/>
      <c r="D548" s="328" t="s">
        <v>69</v>
      </c>
      <c r="E548" s="328">
        <v>1</v>
      </c>
      <c r="F548" s="328">
        <v>1</v>
      </c>
      <c r="G548" s="328"/>
      <c r="H548" s="329"/>
      <c r="I548" s="440" t="s">
        <v>1066</v>
      </c>
      <c r="J548" s="457"/>
    </row>
    <row r="549" spans="1:11" s="458" customFormat="1" ht="19.5" x14ac:dyDescent="0.4">
      <c r="A549" s="327"/>
      <c r="B549" s="328"/>
      <c r="C549" s="328"/>
      <c r="D549" s="328" t="s">
        <v>69</v>
      </c>
      <c r="E549" s="328">
        <v>2</v>
      </c>
      <c r="F549" s="328">
        <v>32775</v>
      </c>
      <c r="G549" s="328"/>
      <c r="H549" s="329"/>
      <c r="I549" s="440" t="s">
        <v>1067</v>
      </c>
      <c r="J549" s="457"/>
    </row>
    <row r="550" spans="1:11" s="458" customFormat="1" ht="19.5" x14ac:dyDescent="0.4">
      <c r="A550" s="327"/>
      <c r="B550" s="328"/>
      <c r="C550" s="328"/>
      <c r="D550" s="328" t="s">
        <v>70</v>
      </c>
      <c r="E550" s="328">
        <v>50</v>
      </c>
      <c r="F550" s="328" t="s">
        <v>644</v>
      </c>
      <c r="G550" s="328"/>
      <c r="H550" s="329"/>
      <c r="I550" s="440" t="s">
        <v>1068</v>
      </c>
      <c r="J550" s="457"/>
    </row>
    <row r="551" spans="1:11" s="458" customFormat="1" ht="19.5" x14ac:dyDescent="0.4">
      <c r="A551" s="327"/>
      <c r="B551" s="328"/>
      <c r="C551" s="328"/>
      <c r="D551" s="328" t="s">
        <v>70</v>
      </c>
      <c r="E551" s="328">
        <v>50</v>
      </c>
      <c r="F551" s="328"/>
      <c r="G551" s="328"/>
      <c r="H551" s="329"/>
      <c r="I551" s="440" t="s">
        <v>1069</v>
      </c>
      <c r="J551" s="457"/>
    </row>
    <row r="552" spans="1:11" s="458" customFormat="1" ht="19.5" x14ac:dyDescent="0.4">
      <c r="A552" s="327"/>
      <c r="B552" s="328"/>
      <c r="C552" s="328"/>
      <c r="D552" s="328" t="s">
        <v>70</v>
      </c>
      <c r="E552" s="328">
        <v>50</v>
      </c>
      <c r="F552" s="328"/>
      <c r="G552" s="328"/>
      <c r="H552" s="329"/>
      <c r="I552" s="440" t="s">
        <v>1070</v>
      </c>
      <c r="J552" s="457"/>
    </row>
    <row r="553" spans="1:11" s="458" customFormat="1" ht="19.5" x14ac:dyDescent="0.4">
      <c r="A553" s="327"/>
      <c r="B553" s="328"/>
      <c r="C553" s="328"/>
      <c r="D553" s="328" t="s">
        <v>69</v>
      </c>
      <c r="E553" s="328">
        <v>754</v>
      </c>
      <c r="F553" s="328"/>
      <c r="G553" s="328"/>
      <c r="H553" s="329"/>
      <c r="I553" s="440" t="s">
        <v>1219</v>
      </c>
      <c r="J553" s="457"/>
    </row>
    <row r="554" spans="1:11" s="458" customFormat="1" ht="19.5" x14ac:dyDescent="0.4">
      <c r="A554" s="327" t="s">
        <v>1510</v>
      </c>
      <c r="B554" s="328" t="s">
        <v>1079</v>
      </c>
      <c r="C554" s="328" t="s">
        <v>90</v>
      </c>
      <c r="D554" s="328"/>
      <c r="E554" s="328"/>
      <c r="F554" s="328"/>
      <c r="G554" s="328" t="s">
        <v>239</v>
      </c>
      <c r="H554" s="329"/>
      <c r="I554" s="440" t="s">
        <v>587</v>
      </c>
      <c r="J554" s="457"/>
    </row>
    <row r="555" spans="1:11" s="458" customFormat="1" ht="19.5" x14ac:dyDescent="0.4">
      <c r="A555" s="327"/>
      <c r="B555" s="328"/>
      <c r="C555" s="328"/>
      <c r="D555" s="328" t="s">
        <v>69</v>
      </c>
      <c r="E555" s="328">
        <v>1</v>
      </c>
      <c r="F555" s="328"/>
      <c r="G555" s="328"/>
      <c r="H555" s="329"/>
      <c r="I555" s="440" t="s">
        <v>1511</v>
      </c>
      <c r="J555" s="457"/>
    </row>
    <row r="556" spans="1:11" s="458" customFormat="1" ht="19.5" x14ac:dyDescent="0.4">
      <c r="A556" s="327"/>
      <c r="B556" s="328"/>
      <c r="C556" s="328"/>
      <c r="D556" s="328" t="s">
        <v>69</v>
      </c>
      <c r="E556" s="328">
        <v>1</v>
      </c>
      <c r="F556" s="328"/>
      <c r="G556" s="328"/>
      <c r="H556" s="329"/>
      <c r="I556" s="440" t="s">
        <v>1512</v>
      </c>
      <c r="J556" s="457"/>
    </row>
    <row r="557" spans="1:11" s="458" customFormat="1" ht="19.5" x14ac:dyDescent="0.4">
      <c r="A557" s="327"/>
      <c r="B557" s="328"/>
      <c r="C557" s="328"/>
      <c r="D557" s="328" t="s">
        <v>69</v>
      </c>
      <c r="E557" s="328">
        <v>1</v>
      </c>
      <c r="F557" s="328"/>
      <c r="G557" s="328"/>
      <c r="H557" s="329"/>
      <c r="I557" s="440" t="s">
        <v>1513</v>
      </c>
      <c r="J557" s="457"/>
    </row>
    <row r="558" spans="1:11" s="458" customFormat="1" ht="19.5" x14ac:dyDescent="0.4">
      <c r="A558" s="327"/>
      <c r="B558" s="328"/>
      <c r="C558" s="328"/>
      <c r="D558" s="328" t="s">
        <v>69</v>
      </c>
      <c r="E558" s="328">
        <v>1</v>
      </c>
      <c r="F558" s="328"/>
      <c r="G558" s="328"/>
      <c r="H558" s="329"/>
      <c r="I558" s="440">
        <v>71544</v>
      </c>
      <c r="J558" s="457"/>
      <c r="K558" s="457"/>
    </row>
    <row r="559" spans="1:11" s="141" customFormat="1" ht="17.25" x14ac:dyDescent="0.35">
      <c r="A559" s="327" t="s">
        <v>1514</v>
      </c>
      <c r="B559" s="328" t="s">
        <v>1081</v>
      </c>
      <c r="C559" s="328" t="s">
        <v>90</v>
      </c>
      <c r="D559" s="328"/>
      <c r="E559" s="328"/>
      <c r="F559" s="328"/>
      <c r="G559" s="328" t="s">
        <v>239</v>
      </c>
      <c r="H559" s="329"/>
      <c r="I559" s="440" t="s">
        <v>587</v>
      </c>
      <c r="J559" s="81"/>
      <c r="K559" s="81"/>
    </row>
    <row r="560" spans="1:11" s="141" customFormat="1" ht="17.25" x14ac:dyDescent="0.35">
      <c r="A560" s="327"/>
      <c r="B560" s="328"/>
      <c r="C560" s="328"/>
      <c r="D560" s="328" t="s">
        <v>69</v>
      </c>
      <c r="E560" s="328">
        <v>1</v>
      </c>
      <c r="F560" s="328"/>
      <c r="G560" s="328"/>
      <c r="H560" s="329"/>
      <c r="I560" s="440" t="s">
        <v>1515</v>
      </c>
      <c r="J560" s="81"/>
      <c r="K560" s="81"/>
    </row>
    <row r="561" spans="1:14" s="141" customFormat="1" ht="17.25" x14ac:dyDescent="0.35">
      <c r="A561" s="327"/>
      <c r="B561" s="328"/>
      <c r="C561" s="328"/>
      <c r="D561" s="328" t="s">
        <v>70</v>
      </c>
      <c r="E561" s="328">
        <v>24</v>
      </c>
      <c r="F561" s="328"/>
      <c r="G561" s="328"/>
      <c r="H561" s="329"/>
      <c r="I561" s="440" t="s">
        <v>1513</v>
      </c>
      <c r="J561" s="81"/>
      <c r="K561" s="81"/>
    </row>
    <row r="562" spans="1:14" s="460" customFormat="1" ht="19.5" x14ac:dyDescent="0.4">
      <c r="A562" s="327"/>
      <c r="B562" s="328"/>
      <c r="C562" s="328"/>
      <c r="D562" s="328" t="s">
        <v>69</v>
      </c>
      <c r="E562" s="328">
        <v>7</v>
      </c>
      <c r="F562" s="328"/>
      <c r="G562" s="328"/>
      <c r="H562" s="329"/>
      <c r="I562" s="440">
        <v>71540</v>
      </c>
      <c r="J562" s="457"/>
      <c r="K562" s="458"/>
      <c r="L562" s="458"/>
      <c r="M562" s="458"/>
      <c r="N562" s="458"/>
    </row>
    <row r="563" spans="1:14" s="460" customFormat="1" ht="19.5" x14ac:dyDescent="0.4">
      <c r="A563" s="327" t="s">
        <v>1516</v>
      </c>
      <c r="B563" s="328" t="s">
        <v>1084</v>
      </c>
      <c r="C563" s="328" t="s">
        <v>90</v>
      </c>
      <c r="D563" s="328"/>
      <c r="E563" s="328"/>
      <c r="F563" s="328"/>
      <c r="G563" s="328" t="s">
        <v>239</v>
      </c>
      <c r="H563" s="329"/>
      <c r="I563" s="440" t="s">
        <v>587</v>
      </c>
      <c r="J563" s="457"/>
      <c r="K563" s="458"/>
      <c r="L563" s="458"/>
      <c r="M563" s="458"/>
      <c r="N563" s="458"/>
    </row>
    <row r="564" spans="1:14" s="460" customFormat="1" ht="19.5" x14ac:dyDescent="0.4">
      <c r="A564" s="327"/>
      <c r="B564" s="328"/>
      <c r="C564" s="328"/>
      <c r="D564" s="328" t="s">
        <v>69</v>
      </c>
      <c r="E564" s="328">
        <v>1</v>
      </c>
      <c r="F564" s="328">
        <v>0</v>
      </c>
      <c r="G564" s="328"/>
      <c r="H564" s="329"/>
      <c r="I564" s="440" t="s">
        <v>1085</v>
      </c>
      <c r="J564" s="457"/>
      <c r="K564" s="458"/>
      <c r="L564" s="458"/>
      <c r="M564" s="458"/>
      <c r="N564" s="458"/>
    </row>
    <row r="565" spans="1:14" s="461" customFormat="1" ht="19.5" x14ac:dyDescent="0.4">
      <c r="A565" s="327"/>
      <c r="B565" s="328"/>
      <c r="C565" s="328"/>
      <c r="D565" s="328" t="s">
        <v>69</v>
      </c>
      <c r="E565" s="328">
        <v>1</v>
      </c>
      <c r="F565" s="328">
        <v>0</v>
      </c>
      <c r="G565" s="328"/>
      <c r="H565" s="329"/>
      <c r="I565" s="440" t="s">
        <v>1513</v>
      </c>
      <c r="J565" s="457"/>
      <c r="K565" s="458"/>
      <c r="L565" s="458"/>
      <c r="M565" s="458"/>
      <c r="N565" s="458"/>
    </row>
    <row r="566" spans="1:14" s="461" customFormat="1" ht="19.5" x14ac:dyDescent="0.4">
      <c r="A566" s="327"/>
      <c r="B566" s="328"/>
      <c r="C566" s="328"/>
      <c r="D566" s="328" t="s">
        <v>69</v>
      </c>
      <c r="E566" s="328">
        <v>509</v>
      </c>
      <c r="F566" s="328"/>
      <c r="G566" s="328"/>
      <c r="H566" s="329"/>
      <c r="I566" s="440"/>
      <c r="J566" s="457"/>
      <c r="K566" s="458"/>
      <c r="L566" s="458"/>
      <c r="M566" s="458"/>
      <c r="N566" s="458"/>
    </row>
    <row r="567" spans="1:14" s="461" customFormat="1" ht="19.5" x14ac:dyDescent="0.4">
      <c r="A567" s="327" t="s">
        <v>1517</v>
      </c>
      <c r="B567" s="328" t="s">
        <v>1087</v>
      </c>
      <c r="C567" s="328" t="s">
        <v>90</v>
      </c>
      <c r="D567" s="328"/>
      <c r="E567" s="328"/>
      <c r="F567" s="328"/>
      <c r="G567" s="328" t="s">
        <v>239</v>
      </c>
      <c r="H567" s="329"/>
      <c r="I567" s="440">
        <v>71572</v>
      </c>
      <c r="J567" s="457"/>
      <c r="K567" s="458"/>
      <c r="L567" s="458"/>
      <c r="M567" s="458"/>
      <c r="N567" s="458"/>
    </row>
    <row r="568" spans="1:14" s="461" customFormat="1" ht="19.5" x14ac:dyDescent="0.4">
      <c r="A568" s="327"/>
      <c r="B568" s="328"/>
      <c r="C568" s="328"/>
      <c r="D568" s="328" t="s">
        <v>69</v>
      </c>
      <c r="E568" s="328">
        <v>4</v>
      </c>
      <c r="F568" s="328">
        <v>6000</v>
      </c>
      <c r="G568" s="328"/>
      <c r="H568" s="329"/>
      <c r="I568" s="440" t="s">
        <v>1086</v>
      </c>
      <c r="J568" s="457"/>
      <c r="K568" s="458"/>
      <c r="L568" s="458"/>
      <c r="M568" s="458"/>
      <c r="N568" s="458"/>
    </row>
    <row r="569" spans="1:14" s="461" customFormat="1" ht="19.5" x14ac:dyDescent="0.4">
      <c r="A569" s="327" t="s">
        <v>1518</v>
      </c>
      <c r="B569" s="328" t="s">
        <v>1072</v>
      </c>
      <c r="C569" s="328" t="s">
        <v>90</v>
      </c>
      <c r="D569" s="328"/>
      <c r="E569" s="328"/>
      <c r="F569" s="328"/>
      <c r="G569" s="328" t="s">
        <v>239</v>
      </c>
      <c r="H569" s="329"/>
      <c r="I569" s="440">
        <v>71581</v>
      </c>
      <c r="J569" s="457"/>
      <c r="K569" s="458"/>
      <c r="L569" s="458"/>
      <c r="M569" s="458"/>
      <c r="N569" s="458"/>
    </row>
    <row r="570" spans="1:14" s="461" customFormat="1" ht="19.5" x14ac:dyDescent="0.4">
      <c r="A570" s="327"/>
      <c r="B570" s="328"/>
      <c r="C570" s="328"/>
      <c r="D570" s="328" t="s">
        <v>69</v>
      </c>
      <c r="E570" s="328">
        <v>1</v>
      </c>
      <c r="F570" s="328">
        <v>0</v>
      </c>
      <c r="G570" s="328"/>
      <c r="H570" s="329"/>
      <c r="I570" s="440" t="s">
        <v>722</v>
      </c>
      <c r="J570" s="457"/>
      <c r="K570" s="458"/>
      <c r="L570" s="458"/>
      <c r="M570" s="458"/>
      <c r="N570" s="458"/>
    </row>
    <row r="571" spans="1:14" s="461" customFormat="1" ht="19.5" x14ac:dyDescent="0.4">
      <c r="A571" s="327"/>
      <c r="B571" s="328"/>
      <c r="C571" s="328"/>
      <c r="D571" s="328" t="s">
        <v>69</v>
      </c>
      <c r="E571" s="328">
        <v>4</v>
      </c>
      <c r="F571" s="328">
        <v>0</v>
      </c>
      <c r="G571" s="328"/>
      <c r="H571" s="329"/>
      <c r="I571" s="440" t="s">
        <v>1073</v>
      </c>
      <c r="J571" s="457"/>
      <c r="K571" s="458"/>
      <c r="L571" s="458"/>
      <c r="M571" s="458"/>
      <c r="N571" s="458"/>
    </row>
    <row r="572" spans="1:14" s="461" customFormat="1" ht="19.5" x14ac:dyDescent="0.4">
      <c r="A572" s="327"/>
      <c r="B572" s="328"/>
      <c r="C572" s="328"/>
      <c r="D572" s="328" t="s">
        <v>69</v>
      </c>
      <c r="E572" s="328">
        <v>4</v>
      </c>
      <c r="F572" s="328">
        <v>0</v>
      </c>
      <c r="G572" s="328"/>
      <c r="H572" s="329"/>
      <c r="I572" s="440" t="s">
        <v>1074</v>
      </c>
      <c r="J572" s="457"/>
      <c r="K572" s="458"/>
      <c r="L572" s="458"/>
      <c r="M572" s="458"/>
      <c r="N572" s="458"/>
    </row>
    <row r="573" spans="1:14" s="461" customFormat="1" ht="19.5" x14ac:dyDescent="0.4">
      <c r="A573" s="327"/>
      <c r="B573" s="328"/>
      <c r="C573" s="328"/>
      <c r="D573" s="328" t="s">
        <v>69</v>
      </c>
      <c r="E573" s="328">
        <v>2</v>
      </c>
      <c r="F573" s="328">
        <v>0</v>
      </c>
      <c r="G573" s="328"/>
      <c r="H573" s="329"/>
      <c r="I573" s="440" t="s">
        <v>1075</v>
      </c>
      <c r="J573" s="457"/>
      <c r="K573" s="458"/>
      <c r="L573" s="458"/>
      <c r="M573" s="458"/>
      <c r="N573" s="458"/>
    </row>
    <row r="574" spans="1:14" s="461" customFormat="1" ht="19.5" x14ac:dyDescent="0.4">
      <c r="A574" s="327"/>
      <c r="B574" s="328"/>
      <c r="C574" s="328"/>
      <c r="D574" s="328" t="s">
        <v>69</v>
      </c>
      <c r="E574" s="328">
        <v>2</v>
      </c>
      <c r="F574" s="328">
        <v>0</v>
      </c>
      <c r="G574" s="328"/>
      <c r="H574" s="329"/>
      <c r="I574" s="440" t="s">
        <v>1076</v>
      </c>
      <c r="J574" s="457"/>
      <c r="K574" s="458"/>
      <c r="L574" s="458"/>
      <c r="M574" s="458"/>
      <c r="N574" s="458"/>
    </row>
    <row r="575" spans="1:14" s="461" customFormat="1" ht="19.5" x14ac:dyDescent="0.4">
      <c r="A575" s="327"/>
      <c r="B575" s="328"/>
      <c r="C575" s="328"/>
      <c r="D575" s="328" t="s">
        <v>69</v>
      </c>
      <c r="E575" s="328">
        <v>499</v>
      </c>
      <c r="F575" s="328"/>
      <c r="G575" s="328"/>
      <c r="H575" s="329"/>
      <c r="I575" s="440" t="s">
        <v>1513</v>
      </c>
      <c r="J575" s="457"/>
      <c r="K575" s="458"/>
      <c r="L575" s="458"/>
      <c r="M575" s="458"/>
      <c r="N575" s="458"/>
    </row>
    <row r="576" spans="1:14" s="461" customFormat="1" ht="19.5" x14ac:dyDescent="0.4">
      <c r="A576" s="327" t="s">
        <v>1519</v>
      </c>
      <c r="B576" s="328" t="s">
        <v>1090</v>
      </c>
      <c r="C576" s="328" t="s">
        <v>90</v>
      </c>
      <c r="D576" s="328"/>
      <c r="E576" s="328"/>
      <c r="F576" s="328"/>
      <c r="G576" s="328" t="s">
        <v>239</v>
      </c>
      <c r="H576" s="329"/>
      <c r="I576" s="440">
        <v>65958</v>
      </c>
      <c r="J576" s="457"/>
      <c r="K576" s="458"/>
      <c r="L576" s="458"/>
      <c r="M576" s="458"/>
      <c r="N576" s="458"/>
    </row>
    <row r="577" spans="1:14" s="461" customFormat="1" ht="19.5" x14ac:dyDescent="0.4">
      <c r="A577" s="327"/>
      <c r="B577" s="328"/>
      <c r="C577" s="328"/>
      <c r="D577" s="328" t="s">
        <v>69</v>
      </c>
      <c r="E577" s="328">
        <v>2</v>
      </c>
      <c r="F577" s="328">
        <v>0</v>
      </c>
      <c r="G577" s="328"/>
      <c r="H577" s="329"/>
      <c r="I577" s="440" t="s">
        <v>1089</v>
      </c>
      <c r="J577" s="457"/>
      <c r="K577" s="458"/>
      <c r="L577" s="458"/>
      <c r="M577" s="458"/>
      <c r="N577" s="458"/>
    </row>
    <row r="578" spans="1:14" s="147" customFormat="1" ht="17.25" x14ac:dyDescent="0.35">
      <c r="A578" s="327" t="s">
        <v>1520</v>
      </c>
      <c r="B578" s="328" t="s">
        <v>1092</v>
      </c>
      <c r="C578" s="328" t="s">
        <v>90</v>
      </c>
      <c r="D578" s="328"/>
      <c r="E578" s="328"/>
      <c r="F578" s="328"/>
      <c r="G578" s="328" t="s">
        <v>239</v>
      </c>
      <c r="H578" s="329"/>
      <c r="I578" s="440">
        <v>72553</v>
      </c>
      <c r="J578" s="81"/>
      <c r="K578" s="81"/>
      <c r="L578" s="56"/>
      <c r="M578" s="56"/>
      <c r="N578" s="56"/>
    </row>
    <row r="579" spans="1:14" s="150" customFormat="1" ht="17.25" x14ac:dyDescent="0.35">
      <c r="A579" s="327"/>
      <c r="B579" s="328"/>
      <c r="C579" s="328"/>
      <c r="D579" s="328" t="s">
        <v>69</v>
      </c>
      <c r="E579" s="328">
        <v>1</v>
      </c>
      <c r="F579" s="328">
        <v>0</v>
      </c>
      <c r="G579" s="328"/>
      <c r="H579" s="329"/>
      <c r="I579" s="440" t="s">
        <v>1521</v>
      </c>
      <c r="J579" s="141"/>
      <c r="K579" s="141"/>
      <c r="L579" s="141"/>
      <c r="M579" s="141"/>
      <c r="N579" s="141"/>
    </row>
    <row r="580" spans="1:14" s="463" customFormat="1" ht="19.5" x14ac:dyDescent="0.4">
      <c r="A580" s="327" t="s">
        <v>1522</v>
      </c>
      <c r="B580" s="328" t="s">
        <v>377</v>
      </c>
      <c r="C580" s="328" t="s">
        <v>90</v>
      </c>
      <c r="D580" s="328"/>
      <c r="E580" s="328"/>
      <c r="F580" s="328"/>
      <c r="G580" s="328" t="s">
        <v>79</v>
      </c>
      <c r="H580" s="329"/>
      <c r="I580" s="450">
        <v>67211</v>
      </c>
      <c r="J580" s="462"/>
      <c r="K580" s="462"/>
      <c r="L580" s="462"/>
      <c r="M580" s="462"/>
      <c r="N580" s="462"/>
    </row>
    <row r="581" spans="1:14" s="463" customFormat="1" ht="19.5" x14ac:dyDescent="0.4">
      <c r="A581" s="327"/>
      <c r="B581" s="328"/>
      <c r="C581" s="328"/>
      <c r="D581" s="328" t="s">
        <v>69</v>
      </c>
      <c r="E581" s="328">
        <v>1</v>
      </c>
      <c r="F581" s="328">
        <v>24</v>
      </c>
      <c r="G581" s="328"/>
      <c r="H581" s="329"/>
      <c r="I581" s="450" t="s">
        <v>587</v>
      </c>
      <c r="J581" s="462"/>
      <c r="K581" s="462"/>
      <c r="L581" s="462"/>
      <c r="M581" s="462"/>
      <c r="N581" s="462"/>
    </row>
    <row r="582" spans="1:14" s="463" customFormat="1" ht="19.5" x14ac:dyDescent="0.4">
      <c r="A582" s="327"/>
      <c r="B582" s="328"/>
      <c r="C582" s="328"/>
      <c r="D582" s="328" t="s">
        <v>69</v>
      </c>
      <c r="E582" s="328">
        <v>1</v>
      </c>
      <c r="F582" s="328">
        <v>1</v>
      </c>
      <c r="G582" s="328"/>
      <c r="H582" s="329"/>
      <c r="I582" s="450" t="s">
        <v>1523</v>
      </c>
      <c r="J582" s="462"/>
      <c r="K582" s="462"/>
      <c r="L582" s="462"/>
      <c r="M582" s="462"/>
      <c r="N582" s="462"/>
    </row>
    <row r="583" spans="1:14" s="463" customFormat="1" ht="19.5" x14ac:dyDescent="0.4">
      <c r="A583" s="327"/>
      <c r="B583" s="328"/>
      <c r="C583" s="328"/>
      <c r="D583" s="328" t="s">
        <v>69</v>
      </c>
      <c r="E583" s="328">
        <v>1</v>
      </c>
      <c r="F583" s="328">
        <v>1</v>
      </c>
      <c r="G583" s="328"/>
      <c r="H583" s="329"/>
      <c r="I583" s="450" t="s">
        <v>1524</v>
      </c>
      <c r="J583" s="462"/>
      <c r="K583" s="462"/>
      <c r="L583" s="462"/>
      <c r="M583" s="462"/>
      <c r="N583" s="462"/>
    </row>
    <row r="584" spans="1:14" s="445" customFormat="1" ht="17.25" x14ac:dyDescent="0.35">
      <c r="A584" s="327"/>
      <c r="B584" s="328"/>
      <c r="C584" s="328"/>
      <c r="D584" s="328" t="s">
        <v>69</v>
      </c>
      <c r="E584" s="328">
        <v>1</v>
      </c>
      <c r="F584" s="328">
        <v>1</v>
      </c>
      <c r="G584" s="328"/>
      <c r="H584" s="329"/>
      <c r="I584" s="450" t="s">
        <v>1525</v>
      </c>
      <c r="J584" s="415"/>
      <c r="K584" s="415"/>
      <c r="L584" s="141"/>
      <c r="M584" s="141"/>
      <c r="N584" s="141"/>
    </row>
    <row r="585" spans="1:14" s="458" customFormat="1" ht="19.5" x14ac:dyDescent="0.4">
      <c r="A585" s="327"/>
      <c r="B585" s="328"/>
      <c r="C585" s="328"/>
      <c r="D585" s="328" t="s">
        <v>69</v>
      </c>
      <c r="E585" s="328">
        <v>1</v>
      </c>
      <c r="F585" s="328">
        <v>1</v>
      </c>
      <c r="G585" s="328"/>
      <c r="H585" s="329"/>
      <c r="I585" s="450" t="s">
        <v>1526</v>
      </c>
      <c r="J585" s="464"/>
    </row>
    <row r="586" spans="1:14" s="458" customFormat="1" ht="19.5" x14ac:dyDescent="0.4">
      <c r="A586" s="327"/>
      <c r="B586" s="328"/>
      <c r="C586" s="328"/>
      <c r="D586" s="328" t="s">
        <v>69</v>
      </c>
      <c r="E586" s="328">
        <v>1</v>
      </c>
      <c r="F586" s="328">
        <v>1</v>
      </c>
      <c r="G586" s="328"/>
      <c r="H586" s="329"/>
      <c r="I586" s="450" t="s">
        <v>1527</v>
      </c>
      <c r="J586" s="464"/>
    </row>
    <row r="587" spans="1:14" s="458" customFormat="1" ht="19.5" x14ac:dyDescent="0.4">
      <c r="A587" s="327"/>
      <c r="B587" s="328"/>
      <c r="C587" s="328"/>
      <c r="D587" s="328" t="s">
        <v>69</v>
      </c>
      <c r="E587" s="328">
        <v>1</v>
      </c>
      <c r="F587" s="328">
        <v>1</v>
      </c>
      <c r="G587" s="328"/>
      <c r="H587" s="329"/>
      <c r="I587" s="450" t="s">
        <v>1528</v>
      </c>
      <c r="J587" s="457"/>
    </row>
    <row r="588" spans="1:14" s="458" customFormat="1" ht="19.5" x14ac:dyDescent="0.4">
      <c r="A588" s="327"/>
      <c r="B588" s="328"/>
      <c r="C588" s="328"/>
      <c r="D588" s="328" t="s">
        <v>69</v>
      </c>
      <c r="E588" s="328">
        <v>1</v>
      </c>
      <c r="F588" s="328">
        <v>0</v>
      </c>
      <c r="G588" s="328"/>
      <c r="H588" s="329"/>
      <c r="I588" s="450" t="s">
        <v>1529</v>
      </c>
      <c r="J588" s="457"/>
    </row>
    <row r="589" spans="1:14" s="458" customFormat="1" ht="19.5" x14ac:dyDescent="0.4">
      <c r="A589" s="327"/>
      <c r="B589" s="328"/>
      <c r="C589" s="328"/>
      <c r="D589" s="328" t="s">
        <v>69</v>
      </c>
      <c r="E589" s="328">
        <v>1</v>
      </c>
      <c r="F589" s="328">
        <v>0</v>
      </c>
      <c r="G589" s="328"/>
      <c r="H589" s="329"/>
      <c r="I589" s="450" t="s">
        <v>1530</v>
      </c>
      <c r="J589" s="457"/>
    </row>
    <row r="590" spans="1:14" s="458" customFormat="1" ht="19.5" x14ac:dyDescent="0.4">
      <c r="A590" s="327"/>
      <c r="B590" s="328"/>
      <c r="C590" s="328"/>
      <c r="D590" s="328" t="s">
        <v>69</v>
      </c>
      <c r="E590" s="328">
        <v>1</v>
      </c>
      <c r="F590" s="328">
        <v>0</v>
      </c>
      <c r="G590" s="328"/>
      <c r="H590" s="329"/>
      <c r="I590" s="450" t="s">
        <v>1531</v>
      </c>
      <c r="J590" s="457"/>
    </row>
    <row r="591" spans="1:14" s="458" customFormat="1" ht="19.5" x14ac:dyDescent="0.4">
      <c r="A591" s="327"/>
      <c r="B591" s="328"/>
      <c r="C591" s="328"/>
      <c r="D591" s="328" t="s">
        <v>69</v>
      </c>
      <c r="E591" s="328">
        <v>1</v>
      </c>
      <c r="F591" s="328">
        <v>0</v>
      </c>
      <c r="G591" s="328"/>
      <c r="H591" s="329"/>
      <c r="I591" s="450" t="s">
        <v>1532</v>
      </c>
      <c r="J591" s="457"/>
    </row>
    <row r="592" spans="1:14" s="458" customFormat="1" ht="19.5" x14ac:dyDescent="0.4">
      <c r="A592" s="327"/>
      <c r="B592" s="328"/>
      <c r="C592" s="328"/>
      <c r="D592" s="328" t="s">
        <v>69</v>
      </c>
      <c r="E592" s="328">
        <v>1</v>
      </c>
      <c r="F592" s="328">
        <v>1</v>
      </c>
      <c r="G592" s="328"/>
      <c r="H592" s="329"/>
      <c r="I592" s="450" t="s">
        <v>1533</v>
      </c>
      <c r="J592" s="457"/>
    </row>
    <row r="593" spans="1:10" s="458" customFormat="1" ht="19.5" x14ac:dyDescent="0.4">
      <c r="A593" s="327"/>
      <c r="B593" s="328"/>
      <c r="C593" s="328"/>
      <c r="D593" s="328" t="s">
        <v>69</v>
      </c>
      <c r="E593" s="328">
        <v>1</v>
      </c>
      <c r="F593" s="328">
        <v>0</v>
      </c>
      <c r="G593" s="328"/>
      <c r="H593" s="329"/>
      <c r="I593" s="450" t="s">
        <v>1534</v>
      </c>
      <c r="J593" s="457"/>
    </row>
    <row r="594" spans="1:10" s="458" customFormat="1" ht="19.5" x14ac:dyDescent="0.4">
      <c r="A594" s="327"/>
      <c r="B594" s="328"/>
      <c r="C594" s="328"/>
      <c r="D594" s="328" t="s">
        <v>69</v>
      </c>
      <c r="E594" s="328">
        <v>1</v>
      </c>
      <c r="F594" s="328">
        <v>1</v>
      </c>
      <c r="G594" s="328"/>
      <c r="H594" s="329"/>
      <c r="I594" s="450" t="s">
        <v>1535</v>
      </c>
      <c r="J594" s="457"/>
    </row>
    <row r="595" spans="1:10" s="458" customFormat="1" ht="19.5" x14ac:dyDescent="0.4">
      <c r="A595" s="327"/>
      <c r="B595" s="328"/>
      <c r="C595" s="328"/>
      <c r="D595" s="328" t="s">
        <v>69</v>
      </c>
      <c r="E595" s="328">
        <v>1</v>
      </c>
      <c r="F595" s="328">
        <v>1</v>
      </c>
      <c r="G595" s="328"/>
      <c r="H595" s="329"/>
      <c r="I595" s="450" t="s">
        <v>1536</v>
      </c>
      <c r="J595" s="457"/>
    </row>
    <row r="596" spans="1:10" s="458" customFormat="1" ht="19.5" x14ac:dyDescent="0.4">
      <c r="A596" s="327"/>
      <c r="B596" s="328"/>
      <c r="C596" s="328"/>
      <c r="D596" s="328" t="s">
        <v>69</v>
      </c>
      <c r="E596" s="328">
        <v>1</v>
      </c>
      <c r="F596" s="328">
        <v>0</v>
      </c>
      <c r="G596" s="328"/>
      <c r="H596" s="329"/>
      <c r="I596" s="450" t="s">
        <v>1537</v>
      </c>
      <c r="J596" s="457"/>
    </row>
    <row r="597" spans="1:10" s="458" customFormat="1" ht="19.5" x14ac:dyDescent="0.4">
      <c r="A597" s="327"/>
      <c r="B597" s="328"/>
      <c r="C597" s="328"/>
      <c r="D597" s="328" t="s">
        <v>69</v>
      </c>
      <c r="E597" s="328">
        <v>1</v>
      </c>
      <c r="F597" s="328">
        <v>1</v>
      </c>
      <c r="G597" s="328"/>
      <c r="H597" s="329"/>
      <c r="I597" s="450" t="s">
        <v>1538</v>
      </c>
      <c r="J597" s="457"/>
    </row>
    <row r="598" spans="1:10" s="458" customFormat="1" ht="19.5" x14ac:dyDescent="0.4">
      <c r="A598" s="327"/>
      <c r="B598" s="328"/>
      <c r="C598" s="328"/>
      <c r="D598" s="328" t="s">
        <v>69</v>
      </c>
      <c r="E598" s="328">
        <v>1</v>
      </c>
      <c r="F598" s="328">
        <v>0</v>
      </c>
      <c r="G598" s="328"/>
      <c r="H598" s="329"/>
      <c r="I598" s="450" t="s">
        <v>1539</v>
      </c>
      <c r="J598" s="457"/>
    </row>
    <row r="599" spans="1:10" s="458" customFormat="1" ht="19.5" x14ac:dyDescent="0.4">
      <c r="A599" s="327"/>
      <c r="B599" s="328"/>
      <c r="C599" s="328"/>
      <c r="D599" s="328" t="s">
        <v>69</v>
      </c>
      <c r="E599" s="328">
        <v>1</v>
      </c>
      <c r="F599" s="328">
        <v>0</v>
      </c>
      <c r="G599" s="328"/>
      <c r="H599" s="329"/>
      <c r="I599" s="450" t="s">
        <v>1540</v>
      </c>
      <c r="J599" s="457"/>
    </row>
    <row r="600" spans="1:10" s="458" customFormat="1" ht="19.5" x14ac:dyDescent="0.4">
      <c r="A600" s="327"/>
      <c r="B600" s="328"/>
      <c r="C600" s="328"/>
      <c r="D600" s="328" t="s">
        <v>69</v>
      </c>
      <c r="E600" s="328">
        <v>1</v>
      </c>
      <c r="F600" s="328">
        <v>0</v>
      </c>
      <c r="G600" s="328"/>
      <c r="H600" s="329"/>
      <c r="I600" s="450" t="s">
        <v>1541</v>
      </c>
      <c r="J600" s="457"/>
    </row>
    <row r="601" spans="1:10" s="458" customFormat="1" ht="19.5" x14ac:dyDescent="0.4">
      <c r="A601" s="327"/>
      <c r="B601" s="328"/>
      <c r="C601" s="328"/>
      <c r="D601" s="328" t="s">
        <v>69</v>
      </c>
      <c r="E601" s="328">
        <v>1</v>
      </c>
      <c r="F601" s="328">
        <v>1</v>
      </c>
      <c r="G601" s="328"/>
      <c r="H601" s="329"/>
      <c r="I601" s="450" t="s">
        <v>1542</v>
      </c>
      <c r="J601" s="457"/>
    </row>
    <row r="602" spans="1:10" s="458" customFormat="1" ht="19.5" x14ac:dyDescent="0.4">
      <c r="A602" s="327"/>
      <c r="B602" s="328"/>
      <c r="C602" s="328"/>
      <c r="D602" s="328" t="s">
        <v>69</v>
      </c>
      <c r="E602" s="328">
        <v>1</v>
      </c>
      <c r="F602" s="328">
        <v>1</v>
      </c>
      <c r="G602" s="328"/>
      <c r="H602" s="329"/>
      <c r="I602" s="450" t="s">
        <v>1543</v>
      </c>
      <c r="J602" s="457"/>
    </row>
    <row r="603" spans="1:10" s="458" customFormat="1" ht="19.5" x14ac:dyDescent="0.4">
      <c r="A603" s="327"/>
      <c r="B603" s="328"/>
      <c r="C603" s="328"/>
      <c r="D603" s="328" t="s">
        <v>69</v>
      </c>
      <c r="E603" s="328">
        <v>1</v>
      </c>
      <c r="F603" s="328">
        <v>0</v>
      </c>
      <c r="G603" s="328"/>
      <c r="H603" s="329"/>
      <c r="I603" s="450" t="s">
        <v>1544</v>
      </c>
      <c r="J603" s="457"/>
    </row>
    <row r="604" spans="1:10" s="458" customFormat="1" ht="19.5" x14ac:dyDescent="0.4">
      <c r="A604" s="327"/>
      <c r="B604" s="328"/>
      <c r="C604" s="328"/>
      <c r="D604" s="328" t="s">
        <v>69</v>
      </c>
      <c r="E604" s="328">
        <v>1</v>
      </c>
      <c r="F604" s="328">
        <v>0</v>
      </c>
      <c r="G604" s="328"/>
      <c r="H604" s="329"/>
      <c r="I604" s="450" t="s">
        <v>1545</v>
      </c>
      <c r="J604" s="457"/>
    </row>
    <row r="605" spans="1:10" s="458" customFormat="1" ht="19.5" x14ac:dyDescent="0.4">
      <c r="A605" s="327"/>
      <c r="B605" s="328"/>
      <c r="C605" s="328"/>
      <c r="D605" s="328" t="s">
        <v>69</v>
      </c>
      <c r="E605" s="328">
        <v>1</v>
      </c>
      <c r="F605" s="328">
        <v>0</v>
      </c>
      <c r="G605" s="328"/>
      <c r="H605" s="329"/>
      <c r="I605" s="450" t="s">
        <v>1546</v>
      </c>
      <c r="J605" s="457"/>
    </row>
    <row r="606" spans="1:10" s="458" customFormat="1" ht="19.5" x14ac:dyDescent="0.4">
      <c r="A606" s="327"/>
      <c r="B606" s="328"/>
      <c r="C606" s="328"/>
      <c r="D606" s="328" t="s">
        <v>69</v>
      </c>
      <c r="E606" s="328">
        <v>1</v>
      </c>
      <c r="F606" s="328">
        <v>0</v>
      </c>
      <c r="G606" s="328"/>
      <c r="H606" s="329"/>
      <c r="I606" s="450" t="s">
        <v>1547</v>
      </c>
      <c r="J606" s="457"/>
    </row>
    <row r="607" spans="1:10" s="458" customFormat="1" ht="19.5" x14ac:dyDescent="0.4">
      <c r="A607" s="327"/>
      <c r="B607" s="328"/>
      <c r="C607" s="328"/>
      <c r="D607" s="328" t="s">
        <v>69</v>
      </c>
      <c r="E607" s="328">
        <v>1</v>
      </c>
      <c r="F607" s="328">
        <v>0</v>
      </c>
      <c r="G607" s="328"/>
      <c r="H607" s="329"/>
      <c r="I607" s="450" t="s">
        <v>1548</v>
      </c>
      <c r="J607" s="457"/>
    </row>
    <row r="608" spans="1:10" s="458" customFormat="1" ht="19.5" x14ac:dyDescent="0.4">
      <c r="A608" s="327"/>
      <c r="B608" s="328"/>
      <c r="C608" s="328"/>
      <c r="D608" s="328" t="s">
        <v>69</v>
      </c>
      <c r="E608" s="328">
        <v>1</v>
      </c>
      <c r="F608" s="328">
        <v>0</v>
      </c>
      <c r="G608" s="328"/>
      <c r="H608" s="329"/>
      <c r="I608" s="450" t="s">
        <v>1549</v>
      </c>
      <c r="J608" s="457"/>
    </row>
    <row r="609" spans="1:10" s="458" customFormat="1" ht="19.5" x14ac:dyDescent="0.4">
      <c r="A609" s="327"/>
      <c r="B609" s="328"/>
      <c r="C609" s="328"/>
      <c r="D609" s="328" t="s">
        <v>69</v>
      </c>
      <c r="E609" s="328">
        <v>1</v>
      </c>
      <c r="F609" s="328">
        <v>0</v>
      </c>
      <c r="G609" s="328"/>
      <c r="H609" s="329"/>
      <c r="I609" s="450" t="s">
        <v>1550</v>
      </c>
      <c r="J609" s="457"/>
    </row>
    <row r="610" spans="1:10" s="458" customFormat="1" ht="19.5" x14ac:dyDescent="0.4">
      <c r="A610" s="327"/>
      <c r="B610" s="328"/>
      <c r="C610" s="328"/>
      <c r="D610" s="328" t="s">
        <v>69</v>
      </c>
      <c r="E610" s="328">
        <v>1</v>
      </c>
      <c r="F610" s="328">
        <v>0</v>
      </c>
      <c r="G610" s="328"/>
      <c r="H610" s="329"/>
      <c r="I610" s="450" t="s">
        <v>1551</v>
      </c>
      <c r="J610" s="457"/>
    </row>
    <row r="611" spans="1:10" s="458" customFormat="1" ht="19.5" x14ac:dyDescent="0.4">
      <c r="A611" s="327"/>
      <c r="B611" s="328"/>
      <c r="C611" s="328"/>
      <c r="D611" s="328" t="s">
        <v>69</v>
      </c>
      <c r="E611" s="328">
        <v>1</v>
      </c>
      <c r="F611" s="328">
        <v>1</v>
      </c>
      <c r="G611" s="328"/>
      <c r="H611" s="329"/>
      <c r="I611" s="450" t="s">
        <v>1552</v>
      </c>
      <c r="J611" s="457"/>
    </row>
    <row r="612" spans="1:10" s="458" customFormat="1" ht="19.5" x14ac:dyDescent="0.4">
      <c r="A612" s="327"/>
      <c r="B612" s="328"/>
      <c r="C612" s="328"/>
      <c r="D612" s="328" t="s">
        <v>69</v>
      </c>
      <c r="E612" s="328">
        <v>1</v>
      </c>
      <c r="F612" s="328">
        <v>1</v>
      </c>
      <c r="G612" s="328"/>
      <c r="H612" s="329"/>
      <c r="I612" s="450" t="s">
        <v>1553</v>
      </c>
      <c r="J612" s="457"/>
    </row>
    <row r="613" spans="1:10" s="458" customFormat="1" ht="19.5" x14ac:dyDescent="0.4">
      <c r="A613" s="327"/>
      <c r="B613" s="328"/>
      <c r="C613" s="328"/>
      <c r="D613" s="328" t="s">
        <v>69</v>
      </c>
      <c r="E613" s="328">
        <v>1</v>
      </c>
      <c r="F613" s="328">
        <v>0</v>
      </c>
      <c r="G613" s="328"/>
      <c r="H613" s="329"/>
      <c r="I613" s="450" t="s">
        <v>1554</v>
      </c>
      <c r="J613" s="457"/>
    </row>
    <row r="614" spans="1:10" s="458" customFormat="1" ht="19.5" x14ac:dyDescent="0.4">
      <c r="A614" s="327"/>
      <c r="B614" s="328"/>
      <c r="C614" s="328"/>
      <c r="D614" s="328" t="s">
        <v>69</v>
      </c>
      <c r="E614" s="328">
        <v>1</v>
      </c>
      <c r="F614" s="328">
        <v>1</v>
      </c>
      <c r="G614" s="328"/>
      <c r="H614" s="329"/>
      <c r="I614" s="450" t="s">
        <v>1555</v>
      </c>
      <c r="J614" s="457"/>
    </row>
    <row r="615" spans="1:10" s="458" customFormat="1" ht="19.5" x14ac:dyDescent="0.4">
      <c r="A615" s="327"/>
      <c r="B615" s="328"/>
      <c r="C615" s="328"/>
      <c r="D615" s="328" t="s">
        <v>69</v>
      </c>
      <c r="E615" s="328">
        <v>1</v>
      </c>
      <c r="F615" s="328">
        <v>0</v>
      </c>
      <c r="G615" s="328"/>
      <c r="H615" s="329"/>
      <c r="I615" s="450" t="s">
        <v>1556</v>
      </c>
      <c r="J615" s="457"/>
    </row>
    <row r="616" spans="1:10" s="458" customFormat="1" ht="19.5" x14ac:dyDescent="0.4">
      <c r="A616" s="327"/>
      <c r="B616" s="328"/>
      <c r="C616" s="328"/>
      <c r="D616" s="328" t="s">
        <v>69</v>
      </c>
      <c r="E616" s="328">
        <v>1</v>
      </c>
      <c r="F616" s="328">
        <v>0</v>
      </c>
      <c r="G616" s="328"/>
      <c r="H616" s="329"/>
      <c r="I616" s="450" t="s">
        <v>1557</v>
      </c>
      <c r="J616" s="457"/>
    </row>
    <row r="617" spans="1:10" s="458" customFormat="1" ht="19.5" x14ac:dyDescent="0.4">
      <c r="A617" s="327"/>
      <c r="B617" s="328"/>
      <c r="C617" s="328"/>
      <c r="D617" s="328" t="s">
        <v>69</v>
      </c>
      <c r="E617" s="328">
        <v>1</v>
      </c>
      <c r="F617" s="328">
        <v>1</v>
      </c>
      <c r="G617" s="328"/>
      <c r="H617" s="329"/>
      <c r="I617" s="450" t="s">
        <v>1558</v>
      </c>
      <c r="J617" s="457"/>
    </row>
    <row r="618" spans="1:10" s="458" customFormat="1" ht="19.5" x14ac:dyDescent="0.4">
      <c r="A618" s="327"/>
      <c r="B618" s="328"/>
      <c r="C618" s="328"/>
      <c r="D618" s="328" t="s">
        <v>69</v>
      </c>
      <c r="E618" s="328">
        <v>1</v>
      </c>
      <c r="F618" s="328">
        <v>0</v>
      </c>
      <c r="G618" s="328"/>
      <c r="H618" s="329"/>
      <c r="I618" s="450" t="s">
        <v>1559</v>
      </c>
      <c r="J618" s="457"/>
    </row>
    <row r="619" spans="1:10" s="458" customFormat="1" ht="19.5" x14ac:dyDescent="0.4">
      <c r="A619" s="327"/>
      <c r="B619" s="328"/>
      <c r="C619" s="328"/>
      <c r="D619" s="328" t="s">
        <v>69</v>
      </c>
      <c r="E619" s="328">
        <v>1</v>
      </c>
      <c r="F619" s="328">
        <v>0</v>
      </c>
      <c r="G619" s="328"/>
      <c r="H619" s="329"/>
      <c r="I619" s="450" t="s">
        <v>1560</v>
      </c>
      <c r="J619" s="457"/>
    </row>
    <row r="620" spans="1:10" s="458" customFormat="1" ht="19.5" x14ac:dyDescent="0.4">
      <c r="A620" s="327"/>
      <c r="B620" s="328"/>
      <c r="C620" s="328"/>
      <c r="D620" s="328" t="s">
        <v>69</v>
      </c>
      <c r="E620" s="328">
        <v>1</v>
      </c>
      <c r="F620" s="328">
        <v>0</v>
      </c>
      <c r="G620" s="328"/>
      <c r="H620" s="329"/>
      <c r="I620" s="450" t="s">
        <v>1561</v>
      </c>
      <c r="J620" s="457"/>
    </row>
    <row r="621" spans="1:10" s="458" customFormat="1" ht="19.5" x14ac:dyDescent="0.4">
      <c r="A621" s="327"/>
      <c r="B621" s="328"/>
      <c r="C621" s="328"/>
      <c r="D621" s="328" t="s">
        <v>69</v>
      </c>
      <c r="E621" s="328">
        <v>1</v>
      </c>
      <c r="F621" s="328">
        <v>0</v>
      </c>
      <c r="G621" s="328"/>
      <c r="H621" s="329"/>
      <c r="I621" s="450" t="s">
        <v>1562</v>
      </c>
      <c r="J621" s="457"/>
    </row>
    <row r="622" spans="1:10" s="458" customFormat="1" ht="19.5" x14ac:dyDescent="0.4">
      <c r="A622" s="327"/>
      <c r="B622" s="328"/>
      <c r="C622" s="328"/>
      <c r="D622" s="328" t="s">
        <v>69</v>
      </c>
      <c r="E622" s="328">
        <v>1</v>
      </c>
      <c r="F622" s="328">
        <v>1</v>
      </c>
      <c r="G622" s="328"/>
      <c r="H622" s="329"/>
      <c r="I622" s="450" t="s">
        <v>1563</v>
      </c>
      <c r="J622" s="457"/>
    </row>
    <row r="623" spans="1:10" s="458" customFormat="1" ht="19.5" x14ac:dyDescent="0.4">
      <c r="A623" s="327"/>
      <c r="B623" s="328"/>
      <c r="C623" s="328"/>
      <c r="D623" s="328" t="s">
        <v>69</v>
      </c>
      <c r="E623" s="328">
        <v>1</v>
      </c>
      <c r="F623" s="328">
        <v>1</v>
      </c>
      <c r="G623" s="328"/>
      <c r="H623" s="329"/>
      <c r="I623" s="450" t="s">
        <v>1564</v>
      </c>
      <c r="J623" s="457"/>
    </row>
    <row r="624" spans="1:10" s="458" customFormat="1" ht="19.5" x14ac:dyDescent="0.4">
      <c r="A624" s="327"/>
      <c r="B624" s="328"/>
      <c r="C624" s="328"/>
      <c r="D624" s="328" t="s">
        <v>69</v>
      </c>
      <c r="E624" s="328">
        <v>21</v>
      </c>
      <c r="F624" s="328"/>
      <c r="G624" s="328"/>
      <c r="H624" s="329"/>
      <c r="I624" s="450" t="s">
        <v>1565</v>
      </c>
      <c r="J624" s="457"/>
    </row>
    <row r="625" spans="1:11" s="458" customFormat="1" ht="19.5" x14ac:dyDescent="0.4">
      <c r="A625" s="327" t="s">
        <v>1566</v>
      </c>
      <c r="B625" s="328" t="s">
        <v>1094</v>
      </c>
      <c r="C625" s="328" t="s">
        <v>90</v>
      </c>
      <c r="D625" s="328"/>
      <c r="E625" s="328"/>
      <c r="F625" s="328"/>
      <c r="G625" s="328" t="s">
        <v>239</v>
      </c>
      <c r="H625" s="329"/>
      <c r="I625" s="440">
        <v>71597</v>
      </c>
      <c r="J625" s="457"/>
    </row>
    <row r="626" spans="1:11" s="460" customFormat="1" ht="19.5" x14ac:dyDescent="0.4">
      <c r="A626" s="327"/>
      <c r="B626" s="328"/>
      <c r="C626" s="328"/>
      <c r="D626" s="328" t="s">
        <v>69</v>
      </c>
      <c r="E626" s="328">
        <v>1</v>
      </c>
      <c r="F626" s="328">
        <v>1</v>
      </c>
      <c r="G626" s="328"/>
      <c r="H626" s="329"/>
      <c r="I626" s="440" t="s">
        <v>1567</v>
      </c>
      <c r="J626" s="465"/>
    </row>
    <row r="627" spans="1:11" s="460" customFormat="1" ht="19.5" x14ac:dyDescent="0.4">
      <c r="A627" s="327"/>
      <c r="B627" s="328"/>
      <c r="C627" s="328"/>
      <c r="D627" s="328" t="s">
        <v>69</v>
      </c>
      <c r="E627" s="328">
        <v>1</v>
      </c>
      <c r="F627" s="328">
        <v>1</v>
      </c>
      <c r="G627" s="328"/>
      <c r="H627" s="329"/>
      <c r="I627" s="440" t="s">
        <v>1568</v>
      </c>
      <c r="J627" s="465"/>
    </row>
    <row r="628" spans="1:11" s="460" customFormat="1" ht="19.5" x14ac:dyDescent="0.4">
      <c r="A628" s="327"/>
      <c r="B628" s="328"/>
      <c r="C628" s="328"/>
      <c r="D628" s="328" t="s">
        <v>69</v>
      </c>
      <c r="E628" s="328">
        <v>1</v>
      </c>
      <c r="F628" s="328">
        <v>1</v>
      </c>
      <c r="G628" s="328"/>
      <c r="H628" s="329"/>
      <c r="I628" s="440" t="s">
        <v>1569</v>
      </c>
      <c r="J628" s="465"/>
    </row>
    <row r="629" spans="1:11" s="460" customFormat="1" ht="19.5" x14ac:dyDescent="0.4">
      <c r="A629" s="327"/>
      <c r="B629" s="328"/>
      <c r="C629" s="328"/>
      <c r="D629" s="328" t="s">
        <v>69</v>
      </c>
      <c r="E629" s="328">
        <v>1</v>
      </c>
      <c r="F629" s="328">
        <v>0</v>
      </c>
      <c r="G629" s="328"/>
      <c r="H629" s="329"/>
      <c r="I629" s="440" t="s">
        <v>1570</v>
      </c>
      <c r="J629" s="465"/>
    </row>
    <row r="630" spans="1:11" s="141" customFormat="1" ht="17.25" x14ac:dyDescent="0.35">
      <c r="A630" s="327"/>
      <c r="B630" s="328"/>
      <c r="C630" s="328"/>
      <c r="D630" s="328" t="s">
        <v>69</v>
      </c>
      <c r="E630" s="328">
        <v>1</v>
      </c>
      <c r="F630" s="328">
        <v>0</v>
      </c>
      <c r="G630" s="328"/>
      <c r="H630" s="329"/>
      <c r="I630" s="440" t="s">
        <v>1571</v>
      </c>
      <c r="J630" s="81"/>
      <c r="K630" s="81"/>
    </row>
    <row r="631" spans="1:11" s="141" customFormat="1" ht="17.25" x14ac:dyDescent="0.35">
      <c r="A631" s="327"/>
      <c r="B631" s="328"/>
      <c r="C631" s="328"/>
      <c r="D631" s="328" t="s">
        <v>69</v>
      </c>
      <c r="E631" s="328">
        <v>27</v>
      </c>
      <c r="F631" s="328"/>
      <c r="G631" s="328"/>
      <c r="H631" s="329"/>
      <c r="I631" s="440" t="s">
        <v>1513</v>
      </c>
      <c r="J631" s="81"/>
      <c r="K631" s="81"/>
    </row>
    <row r="632" spans="1:11" s="141" customFormat="1" ht="17.25" x14ac:dyDescent="0.35">
      <c r="A632" s="327" t="s">
        <v>1572</v>
      </c>
      <c r="B632" s="328" t="s">
        <v>1573</v>
      </c>
      <c r="C632" s="328" t="s">
        <v>90</v>
      </c>
      <c r="D632" s="328"/>
      <c r="E632" s="328"/>
      <c r="F632" s="328"/>
      <c r="G632" s="328" t="s">
        <v>239</v>
      </c>
      <c r="H632" s="329"/>
      <c r="I632" s="440">
        <v>65962</v>
      </c>
      <c r="J632" s="81"/>
      <c r="K632" s="81"/>
    </row>
    <row r="633" spans="1:11" s="141" customFormat="1" ht="17.25" x14ac:dyDescent="0.35">
      <c r="A633" s="327"/>
      <c r="B633" s="328"/>
      <c r="C633" s="328"/>
      <c r="D633" s="328" t="s">
        <v>69</v>
      </c>
      <c r="E633" s="328">
        <v>2</v>
      </c>
      <c r="F633" s="328">
        <v>20</v>
      </c>
      <c r="G633" s="328"/>
      <c r="H633" s="329"/>
      <c r="I633" s="440" t="s">
        <v>1572</v>
      </c>
      <c r="J633" s="81"/>
      <c r="K633" s="81"/>
    </row>
    <row r="634" spans="1:11" s="466" customFormat="1" ht="17.25" x14ac:dyDescent="0.35">
      <c r="A634" s="327" t="s">
        <v>1574</v>
      </c>
      <c r="B634" s="328" t="s">
        <v>1575</v>
      </c>
      <c r="C634" s="328" t="s">
        <v>90</v>
      </c>
      <c r="D634" s="328"/>
      <c r="E634" s="328"/>
      <c r="F634" s="328"/>
      <c r="G634" s="328" t="s">
        <v>239</v>
      </c>
      <c r="H634" s="329"/>
      <c r="I634" s="440">
        <v>65963</v>
      </c>
    </row>
    <row r="635" spans="1:11" s="466" customFormat="1" ht="17.25" x14ac:dyDescent="0.35">
      <c r="A635" s="327"/>
      <c r="B635" s="328"/>
      <c r="C635" s="328"/>
      <c r="D635" s="328" t="s">
        <v>69</v>
      </c>
      <c r="E635" s="328">
        <v>2</v>
      </c>
      <c r="F635" s="328">
        <v>20</v>
      </c>
      <c r="G635" s="328"/>
      <c r="H635" s="329"/>
      <c r="I635" s="440" t="s">
        <v>1574</v>
      </c>
    </row>
    <row r="636" spans="1:11" s="466" customFormat="1" ht="17.25" x14ac:dyDescent="0.35">
      <c r="A636" s="327" t="s">
        <v>1576</v>
      </c>
      <c r="B636" s="328" t="s">
        <v>1577</v>
      </c>
      <c r="C636" s="328" t="s">
        <v>71</v>
      </c>
      <c r="D636" s="328"/>
      <c r="E636" s="328"/>
      <c r="F636" s="328"/>
      <c r="G636" s="328" t="s">
        <v>239</v>
      </c>
      <c r="H636" s="329" t="s">
        <v>1578</v>
      </c>
      <c r="I636" s="459"/>
    </row>
    <row r="637" spans="1:11" s="458" customFormat="1" ht="19.5" x14ac:dyDescent="0.4">
      <c r="A637" s="327" t="s">
        <v>1579</v>
      </c>
      <c r="B637" s="328" t="s">
        <v>1580</v>
      </c>
      <c r="C637" s="328" t="s">
        <v>71</v>
      </c>
      <c r="D637" s="328"/>
      <c r="E637" s="328"/>
      <c r="F637" s="328"/>
      <c r="G637" s="328" t="s">
        <v>239</v>
      </c>
      <c r="H637" s="329" t="s">
        <v>1581</v>
      </c>
      <c r="I637" s="459"/>
      <c r="J637" s="457"/>
    </row>
    <row r="638" spans="1:11" s="458" customFormat="1" ht="19.5" x14ac:dyDescent="0.4">
      <c r="A638" s="327" t="s">
        <v>1582</v>
      </c>
      <c r="B638" s="328" t="s">
        <v>1583</v>
      </c>
      <c r="C638" s="328" t="s">
        <v>71</v>
      </c>
      <c r="D638" s="328"/>
      <c r="E638" s="328"/>
      <c r="F638" s="328"/>
      <c r="G638" s="328" t="s">
        <v>239</v>
      </c>
      <c r="H638" s="329" t="s">
        <v>1584</v>
      </c>
      <c r="I638" s="459"/>
      <c r="J638" s="457"/>
    </row>
    <row r="639" spans="1:11" s="458" customFormat="1" ht="19.5" x14ac:dyDescent="0.4">
      <c r="A639" s="327" t="s">
        <v>1585</v>
      </c>
      <c r="B639" s="328" t="s">
        <v>1586</v>
      </c>
      <c r="C639" s="328" t="s">
        <v>90</v>
      </c>
      <c r="D639" s="328"/>
      <c r="E639" s="328"/>
      <c r="F639" s="328"/>
      <c r="G639" s="328" t="s">
        <v>239</v>
      </c>
      <c r="H639" s="329"/>
      <c r="I639" s="450">
        <v>71522</v>
      </c>
      <c r="J639" s="457"/>
    </row>
    <row r="640" spans="1:11" s="458" customFormat="1" ht="19.5" x14ac:dyDescent="0.4">
      <c r="A640" s="327"/>
      <c r="B640" s="328"/>
      <c r="C640" s="328"/>
      <c r="D640" s="328" t="s">
        <v>69</v>
      </c>
      <c r="E640" s="328">
        <v>1</v>
      </c>
      <c r="F640" s="328">
        <v>0</v>
      </c>
      <c r="G640" s="328"/>
      <c r="H640" s="329"/>
      <c r="I640" s="450" t="s">
        <v>722</v>
      </c>
      <c r="J640" s="457"/>
    </row>
    <row r="641" spans="1:10" s="458" customFormat="1" ht="19.5" x14ac:dyDescent="0.4">
      <c r="A641" s="327"/>
      <c r="B641" s="328"/>
      <c r="C641" s="328"/>
      <c r="D641" s="328" t="s">
        <v>69</v>
      </c>
      <c r="E641" s="328">
        <v>1</v>
      </c>
      <c r="F641" s="328">
        <v>0</v>
      </c>
      <c r="G641" s="328"/>
      <c r="H641" s="329"/>
      <c r="I641" s="450" t="s">
        <v>1587</v>
      </c>
      <c r="J641" s="457"/>
    </row>
    <row r="642" spans="1:10" s="458" customFormat="1" ht="19.5" x14ac:dyDescent="0.4">
      <c r="A642" s="327"/>
      <c r="B642" s="328"/>
      <c r="C642" s="328"/>
      <c r="D642" s="328" t="s">
        <v>69</v>
      </c>
      <c r="E642" s="328">
        <v>1</v>
      </c>
      <c r="F642" s="328">
        <v>1</v>
      </c>
      <c r="G642" s="328"/>
      <c r="H642" s="329"/>
      <c r="I642" s="450" t="s">
        <v>1588</v>
      </c>
      <c r="J642" s="457"/>
    </row>
    <row r="643" spans="1:10" s="458" customFormat="1" ht="19.5" x14ac:dyDescent="0.4">
      <c r="A643" s="327"/>
      <c r="B643" s="328"/>
      <c r="C643" s="328"/>
      <c r="D643" s="328" t="s">
        <v>69</v>
      </c>
      <c r="E643" s="328">
        <v>1</v>
      </c>
      <c r="F643" s="328">
        <v>0</v>
      </c>
      <c r="G643" s="328"/>
      <c r="H643" s="329"/>
      <c r="I643" s="450" t="s">
        <v>1589</v>
      </c>
      <c r="J643" s="457"/>
    </row>
    <row r="644" spans="1:10" s="460" customFormat="1" ht="19.5" x14ac:dyDescent="0.4">
      <c r="A644" s="327"/>
      <c r="B644" s="328"/>
      <c r="C644" s="328"/>
      <c r="D644" s="328" t="s">
        <v>69</v>
      </c>
      <c r="E644" s="328">
        <v>1</v>
      </c>
      <c r="F644" s="328">
        <v>0</v>
      </c>
      <c r="G644" s="328"/>
      <c r="H644" s="329"/>
      <c r="I644" s="450" t="s">
        <v>1590</v>
      </c>
      <c r="J644" s="465"/>
    </row>
    <row r="645" spans="1:10" s="460" customFormat="1" ht="19.5" x14ac:dyDescent="0.4">
      <c r="A645" s="327"/>
      <c r="B645" s="328"/>
      <c r="C645" s="328"/>
      <c r="D645" s="328" t="s">
        <v>1591</v>
      </c>
      <c r="E645" s="328">
        <v>1</v>
      </c>
      <c r="F645" s="328">
        <v>0</v>
      </c>
      <c r="G645" s="328"/>
      <c r="H645" s="329"/>
      <c r="I645" s="450" t="s">
        <v>1565</v>
      </c>
      <c r="J645" s="467"/>
    </row>
    <row r="646" spans="1:10" s="458" customFormat="1" ht="28.5" x14ac:dyDescent="0.4">
      <c r="A646" s="327" t="s">
        <v>247</v>
      </c>
      <c r="B646" s="328" t="s">
        <v>236</v>
      </c>
      <c r="C646" s="328" t="s">
        <v>71</v>
      </c>
      <c r="D646" s="328"/>
      <c r="E646" s="328"/>
      <c r="F646" s="328"/>
      <c r="G646" s="328" t="s">
        <v>239</v>
      </c>
      <c r="H646" s="329" t="s">
        <v>1613</v>
      </c>
      <c r="I646" s="450">
        <v>69739</v>
      </c>
      <c r="J646" s="457"/>
    </row>
    <row r="647" spans="1:10" s="460" customFormat="1" ht="20.25" thickBot="1" x14ac:dyDescent="0.45">
      <c r="A647" s="468"/>
      <c r="B647" s="469"/>
      <c r="C647" s="469"/>
      <c r="D647" s="469"/>
      <c r="E647" s="469"/>
      <c r="F647" s="469"/>
      <c r="G647" s="469"/>
      <c r="H647" s="470"/>
      <c r="I647" s="471"/>
      <c r="J647" s="467"/>
    </row>
    <row r="648" spans="1:10" s="56" customFormat="1" ht="17.25" x14ac:dyDescent="0.35">
      <c r="A648" s="318" t="s">
        <v>551</v>
      </c>
      <c r="B648" s="299" t="s">
        <v>552</v>
      </c>
      <c r="C648" s="299" t="s">
        <v>71</v>
      </c>
      <c r="D648" s="299"/>
      <c r="E648" s="299"/>
      <c r="F648" s="299"/>
      <c r="G648" s="299" t="s">
        <v>239</v>
      </c>
      <c r="H648" s="300" t="s">
        <v>553</v>
      </c>
      <c r="I648" s="117" t="s">
        <v>554</v>
      </c>
    </row>
    <row r="649" spans="1:10" s="460" customFormat="1" ht="20.25" thickBot="1" x14ac:dyDescent="0.45">
      <c r="A649" s="141"/>
      <c r="B649" s="141"/>
      <c r="C649" s="472"/>
      <c r="D649" s="141"/>
      <c r="E649" s="141"/>
      <c r="F649" s="472"/>
      <c r="G649" s="141"/>
      <c r="H649" s="473"/>
      <c r="I649" s="141"/>
      <c r="J649" s="467"/>
    </row>
    <row r="650" spans="1:10" s="460" customFormat="1" ht="20.25" thickBot="1" x14ac:dyDescent="0.45">
      <c r="A650" s="384" t="s">
        <v>95</v>
      </c>
      <c r="B650" s="385"/>
      <c r="C650" s="385"/>
      <c r="D650" s="385"/>
      <c r="E650" s="385"/>
      <c r="F650" s="385"/>
      <c r="G650" s="385"/>
      <c r="H650" s="386"/>
      <c r="I650" s="147"/>
      <c r="J650" s="467"/>
    </row>
    <row r="651" spans="1:10" s="460" customFormat="1" ht="20.25" thickBot="1" x14ac:dyDescent="0.45">
      <c r="A651" s="474" t="s">
        <v>112</v>
      </c>
      <c r="B651" s="474"/>
      <c r="C651" s="475" t="s">
        <v>67</v>
      </c>
      <c r="D651" s="474" t="s">
        <v>113</v>
      </c>
      <c r="E651" s="474" t="s">
        <v>114</v>
      </c>
      <c r="F651" s="475" t="s">
        <v>115</v>
      </c>
      <c r="G651" s="474" t="s">
        <v>74</v>
      </c>
      <c r="H651" s="476"/>
      <c r="I651" s="147"/>
      <c r="J651" s="467"/>
    </row>
    <row r="652" spans="1:10" s="460" customFormat="1" ht="19.5" x14ac:dyDescent="0.4">
      <c r="A652" s="477" t="s">
        <v>111</v>
      </c>
      <c r="B652" s="478"/>
      <c r="C652" s="479" t="s">
        <v>96</v>
      </c>
      <c r="D652" s="480"/>
      <c r="E652" s="480"/>
      <c r="F652" s="479"/>
      <c r="G652" s="480" t="s">
        <v>46</v>
      </c>
      <c r="H652" s="481"/>
      <c r="I652" s="147"/>
      <c r="J652" s="467"/>
    </row>
    <row r="653" spans="1:10" s="460" customFormat="1" ht="19.5" x14ac:dyDescent="0.4">
      <c r="A653" s="482" t="s">
        <v>97</v>
      </c>
      <c r="B653" s="483"/>
      <c r="C653" s="484"/>
      <c r="D653" s="485" t="s">
        <v>69</v>
      </c>
      <c r="E653" s="485">
        <v>1</v>
      </c>
      <c r="F653" s="484">
        <v>0</v>
      </c>
      <c r="G653" s="485"/>
      <c r="H653" s="486"/>
      <c r="I653" s="147"/>
      <c r="J653" s="467"/>
    </row>
    <row r="654" spans="1:10" s="460" customFormat="1" ht="19.5" x14ac:dyDescent="0.4">
      <c r="A654" s="482" t="s">
        <v>98</v>
      </c>
      <c r="B654" s="483"/>
      <c r="C654" s="484"/>
      <c r="D654" s="485" t="s">
        <v>69</v>
      </c>
      <c r="E654" s="485">
        <v>2</v>
      </c>
      <c r="F654" s="484">
        <v>2</v>
      </c>
      <c r="G654" s="485"/>
      <c r="H654" s="486"/>
      <c r="I654" s="147"/>
      <c r="J654" s="467"/>
    </row>
    <row r="655" spans="1:10" s="460" customFormat="1" ht="19.5" x14ac:dyDescent="0.4">
      <c r="A655" s="482" t="s">
        <v>99</v>
      </c>
      <c r="B655" s="483"/>
      <c r="C655" s="484"/>
      <c r="D655" s="485" t="s">
        <v>69</v>
      </c>
      <c r="E655" s="485">
        <v>2</v>
      </c>
      <c r="F655" s="484" t="s">
        <v>116</v>
      </c>
      <c r="G655" s="485"/>
      <c r="H655" s="486"/>
      <c r="I655" s="147"/>
      <c r="J655" s="467"/>
    </row>
    <row r="656" spans="1:10" s="460" customFormat="1" ht="19.5" x14ac:dyDescent="0.4">
      <c r="A656" s="482" t="s">
        <v>100</v>
      </c>
      <c r="B656" s="483"/>
      <c r="C656" s="484"/>
      <c r="D656" s="485" t="s">
        <v>69</v>
      </c>
      <c r="E656" s="485">
        <v>1</v>
      </c>
      <c r="F656" s="484" t="s">
        <v>4</v>
      </c>
      <c r="G656" s="485"/>
      <c r="H656" s="486"/>
      <c r="I656" s="147"/>
      <c r="J656" s="467"/>
    </row>
    <row r="657" spans="1:11" s="487" customFormat="1" ht="19.5" x14ac:dyDescent="0.4">
      <c r="A657" s="482" t="s">
        <v>101</v>
      </c>
      <c r="B657" s="483"/>
      <c r="C657" s="484"/>
      <c r="D657" s="485" t="s">
        <v>69</v>
      </c>
      <c r="E657" s="485">
        <v>2</v>
      </c>
      <c r="F657" s="484">
        <v>4</v>
      </c>
      <c r="G657" s="485"/>
      <c r="H657" s="486"/>
      <c r="I657" s="147"/>
    </row>
    <row r="658" spans="1:11" s="460" customFormat="1" ht="19.5" x14ac:dyDescent="0.4">
      <c r="A658" s="488" t="s">
        <v>102</v>
      </c>
      <c r="B658" s="489"/>
      <c r="C658" s="490"/>
      <c r="D658" s="491" t="s">
        <v>69</v>
      </c>
      <c r="E658" s="491">
        <v>4</v>
      </c>
      <c r="F658" s="290" t="s">
        <v>1624</v>
      </c>
      <c r="G658" s="491"/>
      <c r="H658" s="492"/>
      <c r="I658" s="145"/>
      <c r="J658" s="467"/>
    </row>
    <row r="659" spans="1:11" s="141" customFormat="1" ht="17.25" x14ac:dyDescent="0.35">
      <c r="A659" s="482" t="s">
        <v>103</v>
      </c>
      <c r="B659" s="483"/>
      <c r="C659" s="484"/>
      <c r="D659" s="485" t="s">
        <v>69</v>
      </c>
      <c r="E659" s="485">
        <v>1</v>
      </c>
      <c r="F659" s="484" t="s">
        <v>5</v>
      </c>
      <c r="G659" s="485"/>
      <c r="H659" s="486"/>
      <c r="I659" s="56"/>
      <c r="J659" s="415"/>
      <c r="K659" s="415"/>
    </row>
    <row r="660" spans="1:11" s="147" customFormat="1" ht="17.25" x14ac:dyDescent="0.35">
      <c r="A660" s="482" t="s">
        <v>104</v>
      </c>
      <c r="B660" s="483"/>
      <c r="C660" s="484"/>
      <c r="D660" s="485" t="s">
        <v>69</v>
      </c>
      <c r="E660" s="485">
        <v>2</v>
      </c>
      <c r="F660" s="484">
        <f>LEN(F661)</f>
        <v>17</v>
      </c>
      <c r="G660" s="485"/>
      <c r="H660" s="486"/>
      <c r="I660" s="56"/>
      <c r="J660" s="146"/>
      <c r="K660" s="146"/>
    </row>
    <row r="661" spans="1:11" ht="17.25" x14ac:dyDescent="0.35">
      <c r="A661" s="482" t="s">
        <v>105</v>
      </c>
      <c r="B661" s="483"/>
      <c r="C661" s="484"/>
      <c r="D661" s="485" t="s">
        <v>70</v>
      </c>
      <c r="E661" s="485">
        <f>F660</f>
        <v>17</v>
      </c>
      <c r="F661" s="493" t="s">
        <v>1592</v>
      </c>
      <c r="G661" s="485"/>
      <c r="H661" s="486" t="s">
        <v>127</v>
      </c>
      <c r="I661" s="56"/>
      <c r="J661" s="26"/>
      <c r="K661" s="26"/>
    </row>
    <row r="662" spans="1:11" ht="17.25" x14ac:dyDescent="0.35">
      <c r="A662" s="482" t="s">
        <v>106</v>
      </c>
      <c r="B662" s="483"/>
      <c r="C662" s="484"/>
      <c r="D662" s="485" t="s">
        <v>69</v>
      </c>
      <c r="E662" s="485">
        <v>1</v>
      </c>
      <c r="F662" s="484" t="s">
        <v>117</v>
      </c>
      <c r="G662" s="485"/>
      <c r="H662" s="486"/>
      <c r="I662" s="56"/>
      <c r="J662" s="26"/>
      <c r="K662" s="26"/>
    </row>
    <row r="663" spans="1:11" ht="17.25" x14ac:dyDescent="0.35">
      <c r="A663" s="494" t="s">
        <v>107</v>
      </c>
      <c r="B663" s="494"/>
      <c r="C663" s="95"/>
      <c r="D663" s="96" t="s">
        <v>69</v>
      </c>
      <c r="E663" s="96">
        <v>2</v>
      </c>
      <c r="F663" s="75">
        <f>SUM(E664:E665)+E666*F665</f>
        <v>18</v>
      </c>
      <c r="G663" s="96"/>
      <c r="H663" s="495"/>
      <c r="I663" s="26"/>
    </row>
    <row r="664" spans="1:11" ht="17.25" x14ac:dyDescent="0.35">
      <c r="A664" s="494" t="s">
        <v>108</v>
      </c>
      <c r="B664" s="494"/>
      <c r="C664" s="95"/>
      <c r="D664" s="96" t="s">
        <v>69</v>
      </c>
      <c r="E664" s="96">
        <v>1</v>
      </c>
      <c r="F664" s="75">
        <v>0</v>
      </c>
      <c r="G664" s="96"/>
      <c r="H664" s="495"/>
      <c r="I664" s="26"/>
    </row>
    <row r="665" spans="1:11" ht="17.25" x14ac:dyDescent="0.35">
      <c r="A665" s="494" t="s">
        <v>109</v>
      </c>
      <c r="B665" s="494"/>
      <c r="C665" s="95"/>
      <c r="D665" s="96" t="s">
        <v>69</v>
      </c>
      <c r="E665" s="96">
        <v>1</v>
      </c>
      <c r="F665" s="75">
        <f>LEN(F666)-LEN(SUBSTITUTE(F666,",","")) +1</f>
        <v>4</v>
      </c>
      <c r="G665" s="96"/>
      <c r="H665" s="495"/>
      <c r="I665" s="26"/>
    </row>
    <row r="666" spans="1:11" ht="17.25" x14ac:dyDescent="0.35">
      <c r="A666" s="494" t="s">
        <v>110</v>
      </c>
      <c r="B666" s="494"/>
      <c r="C666" s="95"/>
      <c r="D666" s="96" t="s">
        <v>77</v>
      </c>
      <c r="E666" s="96">
        <v>4</v>
      </c>
      <c r="F666" s="75" t="s">
        <v>1176</v>
      </c>
      <c r="G666" s="96"/>
      <c r="H666" s="495"/>
      <c r="I666" s="26"/>
    </row>
    <row r="667" spans="1:11" ht="17.25" x14ac:dyDescent="0.35">
      <c r="A667" s="494" t="s">
        <v>454</v>
      </c>
      <c r="B667" s="494"/>
      <c r="C667" s="95"/>
      <c r="D667" s="96" t="s">
        <v>69</v>
      </c>
      <c r="E667" s="96">
        <v>1</v>
      </c>
      <c r="F667" s="75" t="s">
        <v>404</v>
      </c>
      <c r="G667" s="96"/>
      <c r="H667" s="495"/>
      <c r="I667" s="26"/>
    </row>
    <row r="668" spans="1:11" ht="17.25" x14ac:dyDescent="0.35">
      <c r="A668" s="494" t="s">
        <v>455</v>
      </c>
      <c r="B668" s="494"/>
      <c r="C668" s="95"/>
      <c r="D668" s="96" t="s">
        <v>69</v>
      </c>
      <c r="E668" s="96">
        <v>2</v>
      </c>
      <c r="F668" s="75">
        <v>4</v>
      </c>
      <c r="G668" s="96"/>
      <c r="H668" s="495"/>
      <c r="I668" s="26"/>
    </row>
    <row r="669" spans="1:11" ht="17.25" x14ac:dyDescent="0.35">
      <c r="A669" s="496" t="s">
        <v>456</v>
      </c>
      <c r="B669" s="496"/>
      <c r="C669" s="21"/>
      <c r="D669" s="14" t="s">
        <v>69</v>
      </c>
      <c r="E669" s="14">
        <v>4</v>
      </c>
      <c r="F669" s="293" t="str">
        <f>F658</f>
        <v>0x050113D2</v>
      </c>
      <c r="G669" s="14"/>
      <c r="H669" s="497"/>
      <c r="I669" s="26"/>
    </row>
    <row r="670" spans="1:11" ht="17.25" x14ac:dyDescent="0.35">
      <c r="A670" s="494" t="s">
        <v>558</v>
      </c>
      <c r="B670" s="494"/>
      <c r="C670" s="95"/>
      <c r="D670" s="96" t="s">
        <v>69</v>
      </c>
      <c r="E670" s="96">
        <v>1</v>
      </c>
      <c r="F670" s="75" t="s">
        <v>559</v>
      </c>
      <c r="G670" s="96"/>
      <c r="H670" s="495"/>
      <c r="I670" s="26"/>
    </row>
    <row r="671" spans="1:11" ht="17.25" x14ac:dyDescent="0.35">
      <c r="A671" s="494" t="s">
        <v>560</v>
      </c>
      <c r="B671" s="494"/>
      <c r="C671" s="95"/>
      <c r="D671" s="96" t="s">
        <v>69</v>
      </c>
      <c r="E671" s="96">
        <v>2</v>
      </c>
      <c r="F671" s="75">
        <f>2+F673*E674*2</f>
        <v>30</v>
      </c>
      <c r="G671" s="96"/>
      <c r="H671" s="495"/>
      <c r="I671" s="26"/>
    </row>
    <row r="672" spans="1:11" ht="17.25" x14ac:dyDescent="0.35">
      <c r="A672" s="494" t="s">
        <v>561</v>
      </c>
      <c r="B672" s="494"/>
      <c r="C672" s="95"/>
      <c r="D672" s="96" t="s">
        <v>69</v>
      </c>
      <c r="E672" s="96">
        <v>1</v>
      </c>
      <c r="F672" s="75">
        <v>0</v>
      </c>
      <c r="G672" s="96"/>
      <c r="H672" s="495" t="s">
        <v>562</v>
      </c>
      <c r="I672" s="26"/>
    </row>
    <row r="673" spans="1:11" s="26" customFormat="1" ht="17.25" x14ac:dyDescent="0.35">
      <c r="A673" s="494" t="s">
        <v>563</v>
      </c>
      <c r="B673" s="494"/>
      <c r="C673" s="95"/>
      <c r="D673" s="96" t="s">
        <v>69</v>
      </c>
      <c r="E673" s="96">
        <v>1</v>
      </c>
      <c r="F673" s="75">
        <f>SUM(LEN(F674)-LEN(SUBSTITUTE(F674,"-","")))</f>
        <v>7</v>
      </c>
      <c r="G673" s="96"/>
      <c r="H673" s="495" t="s">
        <v>564</v>
      </c>
      <c r="J673" s="32"/>
      <c r="K673" s="32"/>
    </row>
    <row r="674" spans="1:11" s="26" customFormat="1" ht="17.25" x14ac:dyDescent="0.35">
      <c r="A674" s="494" t="s">
        <v>565</v>
      </c>
      <c r="B674" s="494"/>
      <c r="C674" s="95"/>
      <c r="D674" s="96" t="s">
        <v>77</v>
      </c>
      <c r="E674" s="96">
        <v>2</v>
      </c>
      <c r="F674" s="75" t="s">
        <v>1212</v>
      </c>
      <c r="G674" s="96"/>
      <c r="H674" s="495"/>
      <c r="J674" s="32"/>
      <c r="K674" s="32"/>
    </row>
    <row r="675" spans="1:11" s="26" customFormat="1" ht="17.25" x14ac:dyDescent="0.35">
      <c r="A675" s="498" t="s">
        <v>1189</v>
      </c>
      <c r="B675" s="498"/>
      <c r="C675" s="499"/>
      <c r="D675" s="500" t="s">
        <v>69</v>
      </c>
      <c r="E675" s="500">
        <v>1</v>
      </c>
      <c r="F675" s="501" t="s">
        <v>1190</v>
      </c>
      <c r="G675" s="500"/>
      <c r="H675" s="502"/>
      <c r="I675" s="147"/>
      <c r="J675" s="32"/>
      <c r="K675" s="32"/>
    </row>
    <row r="676" spans="1:11" s="504" customFormat="1" ht="17.25" x14ac:dyDescent="0.35">
      <c r="A676" s="498" t="s">
        <v>1191</v>
      </c>
      <c r="B676" s="498"/>
      <c r="C676" s="499"/>
      <c r="D676" s="500" t="s">
        <v>69</v>
      </c>
      <c r="E676" s="500">
        <v>2</v>
      </c>
      <c r="F676" s="503">
        <v>4</v>
      </c>
      <c r="G676" s="500"/>
      <c r="H676" s="502"/>
      <c r="I676" s="147"/>
    </row>
    <row r="677" spans="1:11" s="504" customFormat="1" ht="138" x14ac:dyDescent="0.35">
      <c r="A677" s="498" t="s">
        <v>1192</v>
      </c>
      <c r="B677" s="498"/>
      <c r="C677" s="499"/>
      <c r="D677" s="500" t="s">
        <v>69</v>
      </c>
      <c r="E677" s="500">
        <v>4</v>
      </c>
      <c r="F677" s="499" t="s">
        <v>1593</v>
      </c>
      <c r="G677" s="500"/>
      <c r="H677" s="502" t="s">
        <v>1194</v>
      </c>
      <c r="I677" s="147"/>
    </row>
    <row r="678" spans="1:11" s="26" customFormat="1" ht="15" x14ac:dyDescent="0.3">
      <c r="A678" s="147"/>
      <c r="B678" s="147"/>
      <c r="C678" s="505"/>
      <c r="D678" s="147"/>
      <c r="E678" s="147"/>
      <c r="F678" s="505"/>
      <c r="G678" s="147"/>
      <c r="H678" s="506"/>
      <c r="I678" s="147"/>
      <c r="J678" s="32"/>
      <c r="K678" s="32"/>
    </row>
    <row r="679" spans="1:11" x14ac:dyDescent="0.2">
      <c r="A679" s="147"/>
      <c r="B679" s="147"/>
      <c r="C679" s="505"/>
      <c r="D679" s="147"/>
      <c r="E679" s="147"/>
      <c r="F679" s="505"/>
      <c r="G679" s="147"/>
      <c r="H679" s="506"/>
      <c r="I679" s="147"/>
    </row>
    <row r="680" spans="1:11" x14ac:dyDescent="0.2">
      <c r="A680" s="147"/>
      <c r="B680" s="147"/>
      <c r="C680" s="505"/>
      <c r="D680" s="147"/>
      <c r="E680" s="147"/>
      <c r="F680" s="505"/>
      <c r="G680" s="147"/>
      <c r="H680" s="506"/>
      <c r="I680" s="147"/>
    </row>
    <row r="681" spans="1:11" x14ac:dyDescent="0.2">
      <c r="A681" s="147"/>
      <c r="B681" s="147"/>
      <c r="C681" s="505"/>
      <c r="D681" s="147"/>
      <c r="E681" s="147"/>
      <c r="F681" s="505"/>
      <c r="G681" s="147"/>
      <c r="H681" s="506"/>
      <c r="I681" s="147"/>
    </row>
    <row r="682" spans="1:11" ht="15" x14ac:dyDescent="0.3">
      <c r="A682" s="147"/>
      <c r="B682" s="147"/>
      <c r="C682" s="505"/>
      <c r="D682" s="147"/>
      <c r="E682" s="147"/>
      <c r="F682" s="505"/>
      <c r="G682" s="147"/>
      <c r="H682" s="506"/>
      <c r="I682" s="147"/>
      <c r="J682" s="32"/>
      <c r="K682" s="32"/>
    </row>
    <row r="683" spans="1:11" ht="15" x14ac:dyDescent="0.3">
      <c r="A683" s="147"/>
      <c r="B683" s="147"/>
      <c r="C683" s="505"/>
      <c r="D683" s="147"/>
      <c r="E683" s="147"/>
      <c r="F683" s="505"/>
      <c r="G683" s="147"/>
      <c r="H683" s="506"/>
      <c r="I683" s="147"/>
      <c r="J683" s="32"/>
      <c r="K683" s="32"/>
    </row>
    <row r="684" spans="1:11" ht="15" x14ac:dyDescent="0.3">
      <c r="A684" s="147"/>
      <c r="B684" s="147"/>
      <c r="C684" s="505"/>
      <c r="D684" s="147"/>
      <c r="E684" s="147"/>
      <c r="F684" s="505"/>
      <c r="G684" s="147"/>
      <c r="H684" s="506"/>
      <c r="I684" s="147"/>
      <c r="J684" s="32"/>
      <c r="K684" s="32"/>
    </row>
    <row r="685" spans="1:11" ht="15" x14ac:dyDescent="0.3">
      <c r="A685" s="147"/>
      <c r="B685" s="147"/>
      <c r="C685" s="505"/>
      <c r="D685" s="147"/>
      <c r="E685" s="147"/>
      <c r="F685" s="505"/>
      <c r="G685" s="147"/>
      <c r="H685" s="506"/>
      <c r="I685" s="147"/>
      <c r="J685" s="32"/>
      <c r="K685" s="32"/>
    </row>
    <row r="686" spans="1:11" ht="15" x14ac:dyDescent="0.3">
      <c r="A686" s="147"/>
      <c r="B686" s="147"/>
      <c r="C686" s="505"/>
      <c r="D686" s="147"/>
      <c r="E686" s="147"/>
      <c r="F686" s="505"/>
      <c r="G686" s="147"/>
      <c r="H686" s="506"/>
      <c r="I686" s="147"/>
      <c r="J686" s="59"/>
      <c r="K686" s="59"/>
    </row>
    <row r="687" spans="1:11" ht="15" x14ac:dyDescent="0.3">
      <c r="A687" s="150"/>
      <c r="B687" s="150"/>
      <c r="C687" s="507"/>
      <c r="D687" s="150"/>
      <c r="E687" s="150"/>
      <c r="F687" s="507"/>
      <c r="G687" s="150"/>
      <c r="H687" s="508"/>
      <c r="I687" s="150"/>
      <c r="J687" s="32"/>
      <c r="K687" s="32"/>
    </row>
    <row r="688" spans="1:11" ht="19.5" x14ac:dyDescent="0.4">
      <c r="A688" s="150"/>
      <c r="B688" s="150"/>
      <c r="C688" s="507"/>
      <c r="D688" s="150"/>
      <c r="E688" s="150"/>
      <c r="F688" s="507"/>
      <c r="G688" s="150"/>
      <c r="H688" s="508"/>
      <c r="I688" s="150"/>
      <c r="J688" s="509"/>
      <c r="K688" s="509"/>
    </row>
    <row r="689" spans="1:11" ht="15" x14ac:dyDescent="0.3">
      <c r="A689" s="150"/>
      <c r="B689" s="150"/>
      <c r="C689" s="507"/>
      <c r="D689" s="150"/>
      <c r="E689" s="150"/>
      <c r="F689" s="507"/>
      <c r="G689" s="150"/>
      <c r="H689" s="508"/>
      <c r="I689" s="150"/>
      <c r="J689" s="1"/>
      <c r="K689" s="1"/>
    </row>
    <row r="690" spans="1:11" x14ac:dyDescent="0.2">
      <c r="A690" s="150"/>
      <c r="B690" s="150"/>
      <c r="C690" s="507"/>
      <c r="D690" s="150"/>
      <c r="E690" s="150"/>
      <c r="F690" s="507"/>
      <c r="G690" s="150"/>
      <c r="H690" s="508"/>
      <c r="I690" s="150"/>
    </row>
    <row r="691" spans="1:11" x14ac:dyDescent="0.2">
      <c r="A691" s="150"/>
      <c r="B691" s="150"/>
      <c r="C691" s="507"/>
      <c r="D691" s="150"/>
      <c r="E691" s="150"/>
      <c r="F691" s="507"/>
      <c r="G691" s="150"/>
      <c r="H691" s="508"/>
      <c r="I691" s="150"/>
    </row>
    <row r="692" spans="1:11" x14ac:dyDescent="0.2">
      <c r="A692" s="150"/>
      <c r="B692" s="150"/>
      <c r="C692" s="507"/>
      <c r="D692" s="150"/>
      <c r="E692" s="150"/>
      <c r="F692" s="507"/>
      <c r="G692" s="150"/>
      <c r="H692" s="508"/>
      <c r="I692" s="150"/>
    </row>
    <row r="693" spans="1:11" x14ac:dyDescent="0.2">
      <c r="A693" s="150"/>
      <c r="B693" s="150"/>
      <c r="C693" s="507"/>
      <c r="D693" s="150"/>
      <c r="E693" s="150"/>
      <c r="F693" s="507"/>
      <c r="G693" s="150"/>
      <c r="H693" s="508"/>
      <c r="I693" s="150"/>
    </row>
    <row r="694" spans="1:11" x14ac:dyDescent="0.2">
      <c r="A694" s="150"/>
      <c r="B694" s="150"/>
      <c r="C694" s="507"/>
      <c r="D694" s="150"/>
      <c r="E694" s="150"/>
      <c r="F694" s="507"/>
      <c r="G694" s="150"/>
      <c r="H694" s="508"/>
      <c r="I694" s="150"/>
    </row>
    <row r="695" spans="1:11" x14ac:dyDescent="0.2">
      <c r="A695" s="150"/>
      <c r="B695" s="150"/>
      <c r="C695" s="507"/>
      <c r="D695" s="150"/>
      <c r="E695" s="150"/>
      <c r="F695" s="507"/>
      <c r="G695" s="150"/>
      <c r="H695" s="508"/>
      <c r="I695" s="150"/>
    </row>
    <row r="696" spans="1:11" x14ac:dyDescent="0.2">
      <c r="A696" s="150"/>
      <c r="B696" s="150"/>
      <c r="C696" s="507"/>
      <c r="D696" s="150"/>
      <c r="E696" s="150"/>
      <c r="F696" s="507"/>
      <c r="G696" s="150"/>
      <c r="H696" s="508"/>
      <c r="I696" s="150"/>
    </row>
    <row r="697" spans="1:11" x14ac:dyDescent="0.2">
      <c r="A697" s="150"/>
      <c r="B697" s="150"/>
      <c r="C697" s="507"/>
      <c r="D697" s="150"/>
      <c r="E697" s="150"/>
      <c r="F697" s="507"/>
      <c r="G697" s="150"/>
      <c r="H697" s="508"/>
      <c r="I697" s="150"/>
    </row>
    <row r="698" spans="1:11" x14ac:dyDescent="0.2">
      <c r="A698" s="150"/>
      <c r="B698" s="150"/>
      <c r="C698" s="507"/>
      <c r="D698" s="150"/>
      <c r="E698" s="150"/>
      <c r="F698" s="507"/>
      <c r="G698" s="150"/>
      <c r="H698" s="508"/>
      <c r="I698" s="150"/>
    </row>
    <row r="699" spans="1:11" x14ac:dyDescent="0.2">
      <c r="A699" s="150"/>
      <c r="B699" s="150"/>
      <c r="C699" s="507"/>
      <c r="D699" s="150"/>
      <c r="E699" s="150"/>
      <c r="F699" s="507"/>
      <c r="G699" s="150"/>
      <c r="H699" s="508"/>
      <c r="I699" s="150"/>
    </row>
    <row r="700" spans="1:11" x14ac:dyDescent="0.2">
      <c r="A700" s="150"/>
      <c r="B700" s="150"/>
      <c r="C700" s="507"/>
      <c r="D700" s="150"/>
      <c r="E700" s="150"/>
      <c r="F700" s="507"/>
      <c r="G700" s="150"/>
      <c r="H700" s="508"/>
      <c r="I700" s="150"/>
    </row>
    <row r="701" spans="1:11" x14ac:dyDescent="0.2">
      <c r="A701" s="150"/>
      <c r="B701" s="150"/>
      <c r="C701" s="507"/>
      <c r="D701" s="150"/>
      <c r="E701" s="150"/>
      <c r="F701" s="507"/>
      <c r="G701" s="150"/>
      <c r="H701" s="508"/>
      <c r="I701" s="150"/>
    </row>
    <row r="702" spans="1:11" x14ac:dyDescent="0.2">
      <c r="A702" s="150"/>
      <c r="B702" s="150"/>
      <c r="C702" s="507"/>
      <c r="D702" s="150"/>
      <c r="E702" s="150"/>
      <c r="F702" s="507"/>
      <c r="G702" s="150"/>
      <c r="H702" s="508"/>
      <c r="I702" s="150"/>
    </row>
    <row r="703" spans="1:11" x14ac:dyDescent="0.2">
      <c r="A703" s="150"/>
      <c r="B703" s="150"/>
      <c r="C703" s="507"/>
      <c r="D703" s="150"/>
      <c r="E703" s="150"/>
      <c r="F703" s="507"/>
      <c r="G703" s="150"/>
      <c r="H703" s="508"/>
      <c r="I703" s="150"/>
    </row>
    <row r="704" spans="1:11" x14ac:dyDescent="0.2">
      <c r="A704" s="147"/>
      <c r="B704" s="147"/>
      <c r="C704" s="505"/>
      <c r="D704" s="147"/>
      <c r="E704" s="147"/>
      <c r="F704" s="505"/>
      <c r="G704" s="147"/>
      <c r="H704" s="506"/>
      <c r="I704" s="147"/>
    </row>
  </sheetData>
  <conditionalFormatting sqref="B51:B53 B1:B42 B649:B1048576">
    <cfRule type="containsText" dxfId="2" priority="3" operator="containsText" text="ims">
      <formula>NOT(ISERROR(SEARCH("ims",B1)))</formula>
    </cfRule>
  </conditionalFormatting>
  <conditionalFormatting sqref="B1">
    <cfRule type="containsText" dxfId="1" priority="2" operator="containsText" text="ims">
      <formula>NOT(ISERROR(SEARCH("ims",B1)))</formula>
    </cfRule>
  </conditionalFormatting>
  <conditionalFormatting sqref="B43:B50">
    <cfRule type="containsText" dxfId="0" priority="1" operator="containsText" text="ims">
      <formula>NOT(ISERROR(SEARCH("ims",B43)))</formula>
    </cfRule>
  </conditionalFormatting>
  <hyperlinks>
    <hyperlink ref="F315" r:id="rId1"/>
  </hyperlinks>
  <pageMargins left="0.7" right="0.7" top="0.75" bottom="0.75" header="0.3" footer="0.3"/>
  <pageSetup orientation="portrait"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74"/>
  <sheetViews>
    <sheetView topLeftCell="A67" zoomScale="85" zoomScaleNormal="85" workbookViewId="0">
      <selection activeCell="G74" sqref="G74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1.7109375" style="18" customWidth="1"/>
    <col min="4" max="4" width="56.28515625" style="18" bestFit="1" customWidth="1"/>
    <col min="5" max="5" width="20.5703125" style="18" customWidth="1"/>
    <col min="6" max="6" width="93" style="18" bestFit="1" customWidth="1"/>
    <col min="7" max="7" width="56.5703125" style="18" bestFit="1" customWidth="1"/>
    <col min="8" max="8" width="20.570312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 x14ac:dyDescent="0.55000000000000004">
      <c r="B2" s="30" t="s">
        <v>62</v>
      </c>
      <c r="C2" s="30"/>
      <c r="D2" s="30"/>
      <c r="E2" s="30"/>
      <c r="F2" s="30"/>
      <c r="G2" s="30"/>
    </row>
    <row r="3" spans="2:7" ht="13.5" thickBot="1" x14ac:dyDescent="0.25"/>
    <row r="4" spans="2:7" ht="15.75" thickBot="1" x14ac:dyDescent="0.35">
      <c r="D4" s="54" t="s">
        <v>304</v>
      </c>
      <c r="E4" s="54"/>
    </row>
    <row r="5" spans="2:7" x14ac:dyDescent="0.2">
      <c r="D5" s="23" t="s">
        <v>305</v>
      </c>
      <c r="E5" s="18">
        <v>8</v>
      </c>
    </row>
    <row r="6" spans="2:7" x14ac:dyDescent="0.2">
      <c r="D6" s="23" t="s">
        <v>306</v>
      </c>
      <c r="E6" s="18">
        <v>1294</v>
      </c>
    </row>
    <row r="8" spans="2:7" s="24" customFormat="1" ht="15" x14ac:dyDescent="0.3">
      <c r="B8" s="331" t="s">
        <v>63</v>
      </c>
      <c r="C8" s="331" t="s">
        <v>59</v>
      </c>
      <c r="D8" s="331" t="s">
        <v>60</v>
      </c>
      <c r="E8" s="331" t="s">
        <v>61</v>
      </c>
      <c r="F8" s="331" t="s">
        <v>3</v>
      </c>
      <c r="G8" s="331" t="s">
        <v>140</v>
      </c>
    </row>
    <row r="9" spans="2:7" s="32" customFormat="1" ht="15" x14ac:dyDescent="0.3">
      <c r="B9" s="336"/>
      <c r="C9" s="332"/>
      <c r="D9" s="333"/>
      <c r="E9" s="334"/>
      <c r="F9" s="334"/>
      <c r="G9" s="337"/>
    </row>
    <row r="10" spans="2:7" s="32" customFormat="1" ht="76.5" x14ac:dyDescent="0.3">
      <c r="B10" s="336">
        <v>1</v>
      </c>
      <c r="C10" s="332">
        <v>42292</v>
      </c>
      <c r="D10" s="334" t="s">
        <v>530</v>
      </c>
      <c r="E10" s="334">
        <v>922673</v>
      </c>
      <c r="F10" s="334" t="s">
        <v>577</v>
      </c>
      <c r="G10" s="337" t="s">
        <v>578</v>
      </c>
    </row>
    <row r="11" spans="2:7" s="32" customFormat="1" ht="76.5" x14ac:dyDescent="0.3">
      <c r="B11" s="336">
        <v>2</v>
      </c>
      <c r="C11" s="332">
        <v>42312</v>
      </c>
      <c r="D11" s="333" t="s">
        <v>580</v>
      </c>
      <c r="E11" s="333">
        <v>878757</v>
      </c>
      <c r="F11" s="334" t="s">
        <v>581</v>
      </c>
      <c r="G11" s="337" t="s">
        <v>579</v>
      </c>
    </row>
    <row r="12" spans="2:7" s="32" customFormat="1" ht="76.5" x14ac:dyDescent="0.3">
      <c r="B12" s="336">
        <v>3</v>
      </c>
      <c r="C12" s="332">
        <v>42345</v>
      </c>
      <c r="D12" s="333" t="s">
        <v>530</v>
      </c>
      <c r="E12" s="334">
        <v>908886</v>
      </c>
      <c r="F12" s="334" t="s">
        <v>582</v>
      </c>
      <c r="G12" s="337" t="s">
        <v>584</v>
      </c>
    </row>
    <row r="13" spans="2:7" s="32" customFormat="1" ht="38.25" x14ac:dyDescent="0.3">
      <c r="B13" s="336">
        <v>4</v>
      </c>
      <c r="C13" s="332">
        <v>42347</v>
      </c>
      <c r="D13" s="333" t="s">
        <v>580</v>
      </c>
      <c r="E13" s="334">
        <v>945673</v>
      </c>
      <c r="F13" s="334" t="s">
        <v>585</v>
      </c>
      <c r="G13" s="337" t="s">
        <v>586</v>
      </c>
    </row>
    <row r="14" spans="2:7" s="32" customFormat="1" ht="38.25" x14ac:dyDescent="0.3">
      <c r="B14" s="336">
        <v>5</v>
      </c>
      <c r="C14" s="332">
        <v>42352</v>
      </c>
      <c r="D14" s="333" t="s">
        <v>580</v>
      </c>
      <c r="E14" s="334">
        <v>949729</v>
      </c>
      <c r="F14" s="334" t="s">
        <v>588</v>
      </c>
      <c r="G14" s="337" t="s">
        <v>589</v>
      </c>
    </row>
    <row r="15" spans="2:7" s="32" customFormat="1" ht="76.5" x14ac:dyDescent="0.3">
      <c r="B15" s="336">
        <v>6</v>
      </c>
      <c r="C15" s="332">
        <v>42352</v>
      </c>
      <c r="D15" s="333" t="s">
        <v>580</v>
      </c>
      <c r="E15" s="334">
        <v>944170</v>
      </c>
      <c r="F15" s="334" t="s">
        <v>591</v>
      </c>
      <c r="G15" s="337" t="s">
        <v>590</v>
      </c>
    </row>
    <row r="16" spans="2:7" s="32" customFormat="1" ht="63.75" x14ac:dyDescent="0.3">
      <c r="B16" s="336">
        <v>7</v>
      </c>
      <c r="C16" s="332">
        <v>42353</v>
      </c>
      <c r="D16" s="333" t="s">
        <v>580</v>
      </c>
      <c r="E16" s="334">
        <v>950032</v>
      </c>
      <c r="F16" s="334" t="s">
        <v>593</v>
      </c>
      <c r="G16" s="337" t="s">
        <v>592</v>
      </c>
    </row>
    <row r="17" spans="2:7" s="32" customFormat="1" ht="25.5" x14ac:dyDescent="0.3">
      <c r="B17" s="336">
        <v>8</v>
      </c>
      <c r="C17" s="332">
        <v>42353</v>
      </c>
      <c r="D17" s="333" t="s">
        <v>580</v>
      </c>
      <c r="E17" s="334">
        <v>839662</v>
      </c>
      <c r="F17" s="334" t="s">
        <v>595</v>
      </c>
      <c r="G17" s="337" t="s">
        <v>594</v>
      </c>
    </row>
    <row r="18" spans="2:7" s="32" customFormat="1" ht="76.5" x14ac:dyDescent="0.3">
      <c r="B18" s="336">
        <v>9</v>
      </c>
      <c r="C18" s="332">
        <v>42356</v>
      </c>
      <c r="D18" s="333" t="s">
        <v>580</v>
      </c>
      <c r="E18" s="334">
        <v>926461</v>
      </c>
      <c r="F18" s="334" t="s">
        <v>596</v>
      </c>
      <c r="G18" s="337" t="s">
        <v>597</v>
      </c>
    </row>
    <row r="19" spans="2:7" s="32" customFormat="1" ht="25.5" x14ac:dyDescent="0.3">
      <c r="B19" s="336">
        <v>10</v>
      </c>
      <c r="C19" s="332">
        <v>42368</v>
      </c>
      <c r="D19" s="333" t="s">
        <v>580</v>
      </c>
      <c r="E19" s="334">
        <v>956583</v>
      </c>
      <c r="F19" s="334" t="s">
        <v>598</v>
      </c>
      <c r="G19" s="337" t="s">
        <v>599</v>
      </c>
    </row>
    <row r="20" spans="2:7" s="32" customFormat="1" ht="76.5" x14ac:dyDescent="0.3">
      <c r="B20" s="336">
        <v>11</v>
      </c>
      <c r="C20" s="332">
        <v>42376</v>
      </c>
      <c r="D20" s="333" t="s">
        <v>580</v>
      </c>
      <c r="E20" s="334">
        <v>957933</v>
      </c>
      <c r="F20" s="334" t="s">
        <v>601</v>
      </c>
      <c r="G20" s="337" t="s">
        <v>600</v>
      </c>
    </row>
    <row r="21" spans="2:7" s="32" customFormat="1" ht="76.5" x14ac:dyDescent="0.3">
      <c r="B21" s="336">
        <v>12</v>
      </c>
      <c r="C21" s="332">
        <v>42388</v>
      </c>
      <c r="D21" s="333" t="s">
        <v>580</v>
      </c>
      <c r="E21" s="334">
        <v>963250</v>
      </c>
      <c r="F21" s="334" t="s">
        <v>602</v>
      </c>
      <c r="G21" s="337" t="s">
        <v>603</v>
      </c>
    </row>
    <row r="22" spans="2:7" s="32" customFormat="1" ht="15" x14ac:dyDescent="0.3">
      <c r="B22" s="336">
        <v>13</v>
      </c>
      <c r="C22" s="332">
        <v>42389</v>
      </c>
      <c r="D22" s="333" t="s">
        <v>580</v>
      </c>
      <c r="E22" s="334">
        <v>959084</v>
      </c>
      <c r="F22" s="334" t="s">
        <v>605</v>
      </c>
      <c r="G22" s="337" t="s">
        <v>604</v>
      </c>
    </row>
    <row r="23" spans="2:7" s="32" customFormat="1" ht="76.5" x14ac:dyDescent="0.3">
      <c r="B23" s="336">
        <v>14</v>
      </c>
      <c r="C23" s="332">
        <v>42404</v>
      </c>
      <c r="D23" s="333" t="s">
        <v>580</v>
      </c>
      <c r="E23" s="334">
        <v>936682</v>
      </c>
      <c r="F23" s="334" t="s">
        <v>607</v>
      </c>
      <c r="G23" s="337" t="s">
        <v>606</v>
      </c>
    </row>
    <row r="24" spans="2:7" s="32" customFormat="1" ht="30" x14ac:dyDescent="0.3">
      <c r="B24" s="336">
        <v>15</v>
      </c>
      <c r="C24" s="332">
        <v>42409</v>
      </c>
      <c r="D24" s="333" t="s">
        <v>610</v>
      </c>
      <c r="E24" s="334">
        <v>972992</v>
      </c>
      <c r="F24" s="334" t="s">
        <v>611</v>
      </c>
      <c r="G24" s="337" t="s">
        <v>609</v>
      </c>
    </row>
    <row r="25" spans="2:7" s="32" customFormat="1" ht="76.5" x14ac:dyDescent="0.3">
      <c r="B25" s="336">
        <v>16</v>
      </c>
      <c r="C25" s="332">
        <v>42424</v>
      </c>
      <c r="D25" s="333" t="s">
        <v>530</v>
      </c>
      <c r="E25" s="334">
        <v>973486</v>
      </c>
      <c r="F25" s="334" t="s">
        <v>612</v>
      </c>
      <c r="G25" s="337" t="s">
        <v>613</v>
      </c>
    </row>
    <row r="26" spans="2:7" s="32" customFormat="1" ht="38.25" x14ac:dyDescent="0.3">
      <c r="B26" s="336">
        <v>17</v>
      </c>
      <c r="C26" s="332">
        <v>42438</v>
      </c>
      <c r="D26" s="333" t="s">
        <v>580</v>
      </c>
      <c r="E26" s="334">
        <v>946133</v>
      </c>
      <c r="F26" s="334" t="s">
        <v>614</v>
      </c>
      <c r="G26" s="337" t="s">
        <v>615</v>
      </c>
    </row>
    <row r="27" spans="2:7" s="32" customFormat="1" ht="51" x14ac:dyDescent="0.3">
      <c r="B27" s="336">
        <v>18</v>
      </c>
      <c r="C27" s="332">
        <v>42446</v>
      </c>
      <c r="D27" s="333" t="s">
        <v>580</v>
      </c>
      <c r="E27" s="334">
        <v>988937</v>
      </c>
      <c r="F27" s="334" t="s">
        <v>616</v>
      </c>
      <c r="G27" s="337" t="s">
        <v>617</v>
      </c>
    </row>
    <row r="28" spans="2:7" ht="89.25" x14ac:dyDescent="0.2">
      <c r="B28" s="336">
        <v>19</v>
      </c>
      <c r="C28" s="332">
        <v>42447</v>
      </c>
      <c r="D28" s="333" t="s">
        <v>1135</v>
      </c>
      <c r="E28" s="334">
        <v>987829</v>
      </c>
      <c r="F28" s="334" t="s">
        <v>1136</v>
      </c>
      <c r="G28" s="338" t="s">
        <v>1137</v>
      </c>
    </row>
    <row r="29" spans="2:7" ht="15" x14ac:dyDescent="0.2">
      <c r="B29" s="336">
        <v>20</v>
      </c>
      <c r="C29" s="332">
        <v>42467</v>
      </c>
      <c r="D29" s="333" t="s">
        <v>1140</v>
      </c>
      <c r="E29" s="334">
        <v>999523</v>
      </c>
      <c r="F29" s="334" t="s">
        <v>1141</v>
      </c>
      <c r="G29" s="338" t="s">
        <v>1142</v>
      </c>
    </row>
    <row r="30" spans="2:7" ht="15" x14ac:dyDescent="0.2">
      <c r="B30" s="336">
        <v>21</v>
      </c>
      <c r="C30" s="332">
        <v>42467</v>
      </c>
      <c r="D30" s="333" t="s">
        <v>1140</v>
      </c>
      <c r="E30" s="334">
        <v>999520</v>
      </c>
      <c r="F30" s="334" t="s">
        <v>1144</v>
      </c>
      <c r="G30" s="338" t="s">
        <v>1143</v>
      </c>
    </row>
    <row r="31" spans="2:7" x14ac:dyDescent="0.2">
      <c r="B31" s="335">
        <v>22</v>
      </c>
      <c r="C31" s="349">
        <v>42471</v>
      </c>
      <c r="D31" s="335" t="s">
        <v>1147</v>
      </c>
      <c r="E31" s="335">
        <v>997831</v>
      </c>
      <c r="F31" s="335" t="s">
        <v>1147</v>
      </c>
      <c r="G31" s="335"/>
    </row>
    <row r="32" spans="2:7" ht="63.75" x14ac:dyDescent="0.2">
      <c r="B32" s="335">
        <v>23</v>
      </c>
      <c r="C32" s="349">
        <v>42480</v>
      </c>
      <c r="D32" s="333" t="s">
        <v>1135</v>
      </c>
      <c r="E32" s="335">
        <v>988342</v>
      </c>
      <c r="F32" s="335" t="s">
        <v>1172</v>
      </c>
      <c r="G32" s="338" t="s">
        <v>1173</v>
      </c>
    </row>
    <row r="33" spans="2:8" x14ac:dyDescent="0.2">
      <c r="B33" s="335">
        <v>24</v>
      </c>
      <c r="C33" s="349">
        <v>42480</v>
      </c>
      <c r="D33" s="335" t="s">
        <v>580</v>
      </c>
      <c r="E33" s="335">
        <v>1000755</v>
      </c>
      <c r="F33" s="335" t="s">
        <v>1174</v>
      </c>
      <c r="G33" s="335" t="s">
        <v>1175</v>
      </c>
    </row>
    <row r="34" spans="2:8" ht="89.25" x14ac:dyDescent="0.2">
      <c r="B34" s="335">
        <v>25</v>
      </c>
      <c r="C34" s="349">
        <v>42481</v>
      </c>
      <c r="D34" s="335" t="s">
        <v>580</v>
      </c>
      <c r="E34" s="335">
        <v>1005677</v>
      </c>
      <c r="F34" s="335" t="s">
        <v>1178</v>
      </c>
      <c r="G34" s="338" t="s">
        <v>1177</v>
      </c>
    </row>
    <row r="35" spans="2:8" x14ac:dyDescent="0.2">
      <c r="B35" s="335">
        <v>26</v>
      </c>
      <c r="C35" s="349">
        <v>42422</v>
      </c>
      <c r="D35" s="335" t="s">
        <v>580</v>
      </c>
      <c r="E35" s="335">
        <v>10006703</v>
      </c>
      <c r="F35" s="335" t="s">
        <v>1179</v>
      </c>
      <c r="G35" s="335" t="s">
        <v>1180</v>
      </c>
    </row>
    <row r="36" spans="2:8" x14ac:dyDescent="0.2">
      <c r="B36" s="335">
        <v>27</v>
      </c>
      <c r="C36" s="349">
        <v>42485</v>
      </c>
      <c r="D36" s="335" t="s">
        <v>580</v>
      </c>
      <c r="E36" s="335">
        <v>1005818</v>
      </c>
      <c r="F36" s="335" t="s">
        <v>1185</v>
      </c>
      <c r="G36" s="335" t="s">
        <v>1186</v>
      </c>
    </row>
    <row r="37" spans="2:8" ht="63.75" x14ac:dyDescent="0.2">
      <c r="B37" s="335">
        <v>28</v>
      </c>
      <c r="C37" s="349">
        <v>42487</v>
      </c>
      <c r="D37" s="333" t="s">
        <v>1135</v>
      </c>
      <c r="E37" s="335">
        <v>988342</v>
      </c>
      <c r="F37" s="335" t="s">
        <v>1187</v>
      </c>
      <c r="G37" s="338" t="s">
        <v>1188</v>
      </c>
    </row>
    <row r="38" spans="2:8" ht="15" x14ac:dyDescent="0.2">
      <c r="B38" s="335">
        <v>29</v>
      </c>
      <c r="C38" s="349">
        <v>42496</v>
      </c>
      <c r="D38" s="333" t="s">
        <v>580</v>
      </c>
      <c r="E38" s="335">
        <v>923682</v>
      </c>
      <c r="F38" s="335" t="s">
        <v>1198</v>
      </c>
      <c r="G38" s="338"/>
    </row>
    <row r="39" spans="2:8" ht="15" x14ac:dyDescent="0.2">
      <c r="B39" s="335">
        <v>30</v>
      </c>
      <c r="C39" s="349">
        <v>42500</v>
      </c>
      <c r="D39" s="333" t="s">
        <v>580</v>
      </c>
      <c r="E39" s="335">
        <v>1000773</v>
      </c>
      <c r="F39" s="335" t="s">
        <v>1203</v>
      </c>
      <c r="G39" s="338" t="s">
        <v>1204</v>
      </c>
    </row>
    <row r="40" spans="2:8" ht="15" x14ac:dyDescent="0.2">
      <c r="B40" s="335">
        <v>31</v>
      </c>
      <c r="C40" s="349">
        <v>42500</v>
      </c>
      <c r="D40" s="333" t="s">
        <v>580</v>
      </c>
      <c r="E40" s="335">
        <v>1011337</v>
      </c>
      <c r="F40" s="335" t="s">
        <v>616</v>
      </c>
      <c r="G40" s="338" t="s">
        <v>1205</v>
      </c>
    </row>
    <row r="41" spans="2:8" ht="89.25" x14ac:dyDescent="0.2">
      <c r="B41" s="335">
        <v>32</v>
      </c>
      <c r="C41" s="349">
        <v>42507</v>
      </c>
      <c r="D41" s="335" t="s">
        <v>580</v>
      </c>
      <c r="E41" s="335">
        <v>1016858</v>
      </c>
      <c r="F41" s="335" t="s">
        <v>1207</v>
      </c>
      <c r="G41" s="338" t="s">
        <v>1206</v>
      </c>
    </row>
    <row r="42" spans="2:8" ht="38.25" x14ac:dyDescent="0.2">
      <c r="B42" s="335">
        <v>33</v>
      </c>
      <c r="C42" s="349">
        <v>42510</v>
      </c>
      <c r="D42" s="335" t="s">
        <v>580</v>
      </c>
      <c r="E42" s="335">
        <v>1008268</v>
      </c>
      <c r="F42" s="335" t="s">
        <v>1211</v>
      </c>
      <c r="G42" s="338" t="s">
        <v>1210</v>
      </c>
    </row>
    <row r="43" spans="2:8" x14ac:dyDescent="0.2">
      <c r="B43" s="335">
        <v>34</v>
      </c>
      <c r="C43" s="349">
        <v>42511</v>
      </c>
      <c r="D43" s="335" t="s">
        <v>580</v>
      </c>
      <c r="E43" s="335">
        <v>1010038</v>
      </c>
      <c r="F43" s="335" t="s">
        <v>1213</v>
      </c>
      <c r="G43" s="335" t="s">
        <v>1214</v>
      </c>
    </row>
    <row r="44" spans="2:8" x14ac:dyDescent="0.2">
      <c r="B44" s="335">
        <v>35</v>
      </c>
      <c r="C44" s="349">
        <v>42517</v>
      </c>
      <c r="D44" s="335" t="s">
        <v>580</v>
      </c>
      <c r="E44" s="335">
        <v>1016833</v>
      </c>
      <c r="F44" s="335" t="s">
        <v>1215</v>
      </c>
      <c r="G44" s="338" t="s">
        <v>1216</v>
      </c>
      <c r="H44" s="360" t="s">
        <v>1217</v>
      </c>
    </row>
    <row r="45" spans="2:8" ht="63.75" x14ac:dyDescent="0.2">
      <c r="B45" s="335">
        <v>36</v>
      </c>
      <c r="C45" s="349">
        <v>42528</v>
      </c>
      <c r="D45" s="335" t="s">
        <v>580</v>
      </c>
      <c r="E45" s="335">
        <v>1018065</v>
      </c>
      <c r="F45" s="335" t="s">
        <v>1207</v>
      </c>
      <c r="G45" s="338" t="s">
        <v>1218</v>
      </c>
    </row>
    <row r="46" spans="2:8" x14ac:dyDescent="0.2">
      <c r="B46" s="335">
        <v>37</v>
      </c>
      <c r="C46" s="349">
        <v>42533</v>
      </c>
      <c r="D46" s="335" t="s">
        <v>580</v>
      </c>
      <c r="E46" s="335">
        <v>1016833</v>
      </c>
      <c r="F46" s="335" t="s">
        <v>1220</v>
      </c>
      <c r="G46" s="338" t="s">
        <v>1221</v>
      </c>
      <c r="H46" s="23" t="s">
        <v>1217</v>
      </c>
    </row>
    <row r="47" spans="2:8" x14ac:dyDescent="0.2">
      <c r="B47" s="335">
        <v>38</v>
      </c>
      <c r="C47" s="349">
        <v>42542</v>
      </c>
      <c r="D47" s="335" t="s">
        <v>1222</v>
      </c>
      <c r="E47" s="335">
        <v>1031625</v>
      </c>
      <c r="F47" s="335" t="s">
        <v>1215</v>
      </c>
      <c r="G47" s="338" t="s">
        <v>1223</v>
      </c>
      <c r="H47" s="23" t="s">
        <v>1217</v>
      </c>
    </row>
    <row r="48" spans="2:8" ht="76.5" x14ac:dyDescent="0.2">
      <c r="B48" s="335">
        <v>39</v>
      </c>
      <c r="C48" s="349">
        <v>42548</v>
      </c>
      <c r="D48" s="335" t="s">
        <v>580</v>
      </c>
      <c r="E48" s="335">
        <v>1033159</v>
      </c>
      <c r="F48" s="335" t="s">
        <v>1207</v>
      </c>
      <c r="G48" s="338" t="s">
        <v>1224</v>
      </c>
    </row>
    <row r="49" spans="2:8" ht="76.5" x14ac:dyDescent="0.2">
      <c r="B49" s="335">
        <v>40</v>
      </c>
      <c r="C49" s="349">
        <v>42551</v>
      </c>
      <c r="D49" s="335" t="s">
        <v>580</v>
      </c>
      <c r="E49" s="335">
        <v>1034430</v>
      </c>
      <c r="F49" s="335" t="s">
        <v>1230</v>
      </c>
      <c r="G49" s="338" t="s">
        <v>1231</v>
      </c>
    </row>
    <row r="50" spans="2:8" ht="89.25" x14ac:dyDescent="0.2">
      <c r="B50" s="335">
        <v>41</v>
      </c>
      <c r="C50" s="349">
        <v>42552</v>
      </c>
      <c r="D50" s="335" t="s">
        <v>580</v>
      </c>
      <c r="E50" s="335">
        <v>1035156</v>
      </c>
      <c r="F50" s="335" t="s">
        <v>1232</v>
      </c>
      <c r="G50" s="338" t="s">
        <v>1233</v>
      </c>
    </row>
    <row r="51" spans="2:8" x14ac:dyDescent="0.2">
      <c r="B51" s="335">
        <v>42</v>
      </c>
      <c r="C51" s="349">
        <v>42552</v>
      </c>
      <c r="D51" s="335" t="s">
        <v>580</v>
      </c>
      <c r="E51" s="335">
        <v>996794</v>
      </c>
      <c r="F51" s="335" t="s">
        <v>1236</v>
      </c>
      <c r="G51" s="338" t="s">
        <v>1237</v>
      </c>
      <c r="H51" s="23" t="s">
        <v>1217</v>
      </c>
    </row>
    <row r="52" spans="2:8" x14ac:dyDescent="0.2">
      <c r="B52" s="335">
        <v>43</v>
      </c>
      <c r="C52" s="349">
        <v>42555</v>
      </c>
      <c r="D52" s="335" t="s">
        <v>580</v>
      </c>
      <c r="E52" s="335">
        <v>1036916</v>
      </c>
      <c r="F52" s="335" t="s">
        <v>1236</v>
      </c>
      <c r="G52" s="338" t="s">
        <v>1238</v>
      </c>
      <c r="H52" s="23" t="s">
        <v>1239</v>
      </c>
    </row>
    <row r="53" spans="2:8" x14ac:dyDescent="0.2">
      <c r="B53" s="335">
        <v>44</v>
      </c>
      <c r="C53" s="349">
        <v>42558</v>
      </c>
      <c r="D53" s="335" t="s">
        <v>580</v>
      </c>
      <c r="E53" s="335">
        <v>1026845</v>
      </c>
      <c r="F53" s="335" t="s">
        <v>1220</v>
      </c>
      <c r="G53" s="338" t="s">
        <v>1240</v>
      </c>
      <c r="H53" s="23" t="s">
        <v>1217</v>
      </c>
    </row>
    <row r="54" spans="2:8" x14ac:dyDescent="0.2">
      <c r="B54" s="335">
        <v>45</v>
      </c>
      <c r="C54" s="349">
        <v>42563</v>
      </c>
      <c r="D54" s="335" t="s">
        <v>580</v>
      </c>
      <c r="E54" s="335">
        <v>1036916</v>
      </c>
      <c r="F54" s="335" t="s">
        <v>1236</v>
      </c>
      <c r="G54" s="338" t="s">
        <v>1241</v>
      </c>
      <c r="H54" s="23" t="s">
        <v>1239</v>
      </c>
    </row>
    <row r="55" spans="2:8" ht="89.25" x14ac:dyDescent="0.2">
      <c r="B55" s="360">
        <v>46</v>
      </c>
      <c r="C55" s="374">
        <v>42564</v>
      </c>
      <c r="D55" s="18" t="s">
        <v>580</v>
      </c>
      <c r="E55" s="18">
        <v>912647</v>
      </c>
      <c r="F55" s="18" t="s">
        <v>1244</v>
      </c>
      <c r="G55" s="373" t="s">
        <v>1242</v>
      </c>
      <c r="H55" s="23" t="s">
        <v>1243</v>
      </c>
    </row>
    <row r="56" spans="2:8" ht="89.25" x14ac:dyDescent="0.2">
      <c r="B56" s="360">
        <v>47</v>
      </c>
      <c r="C56" s="375">
        <v>42576</v>
      </c>
      <c r="D56" s="18" t="s">
        <v>347</v>
      </c>
      <c r="E56" s="18">
        <v>1042629</v>
      </c>
      <c r="F56" s="18">
        <v>70263</v>
      </c>
      <c r="G56" s="373" t="s">
        <v>1246</v>
      </c>
    </row>
    <row r="57" spans="2:8" ht="89.25" x14ac:dyDescent="0.2">
      <c r="B57" s="360">
        <v>48</v>
      </c>
      <c r="C57" s="375">
        <v>42585</v>
      </c>
      <c r="D57" s="18" t="s">
        <v>347</v>
      </c>
      <c r="E57" s="18">
        <v>1049063</v>
      </c>
      <c r="F57" s="18">
        <v>70263</v>
      </c>
      <c r="G57" s="373" t="s">
        <v>1248</v>
      </c>
    </row>
    <row r="58" spans="2:8" x14ac:dyDescent="0.2">
      <c r="B58" s="360">
        <v>49</v>
      </c>
      <c r="C58" s="375">
        <v>42590</v>
      </c>
      <c r="D58" s="18" t="s">
        <v>347</v>
      </c>
      <c r="E58" s="18">
        <v>1043321</v>
      </c>
      <c r="F58" s="18">
        <v>73713</v>
      </c>
      <c r="G58" s="18" t="s">
        <v>1269</v>
      </c>
      <c r="H58" s="381" t="s">
        <v>1270</v>
      </c>
    </row>
    <row r="59" spans="2:8" ht="89.25" x14ac:dyDescent="0.2">
      <c r="B59" s="360">
        <v>46</v>
      </c>
      <c r="C59" s="374">
        <v>42622</v>
      </c>
      <c r="D59" s="18" t="s">
        <v>1271</v>
      </c>
      <c r="E59" s="18">
        <v>1057286</v>
      </c>
      <c r="F59" s="18" t="s">
        <v>1272</v>
      </c>
      <c r="G59" s="373" t="s">
        <v>1273</v>
      </c>
      <c r="H59" s="23" t="s">
        <v>1274</v>
      </c>
    </row>
    <row r="61" spans="2:8" x14ac:dyDescent="0.2">
      <c r="B61" s="527">
        <v>129</v>
      </c>
      <c r="C61" s="374">
        <v>42598</v>
      </c>
      <c r="D61" s="18" t="s">
        <v>1594</v>
      </c>
      <c r="F61" s="18" t="s">
        <v>1595</v>
      </c>
      <c r="G61" s="18" t="s">
        <v>1596</v>
      </c>
      <c r="H61" s="381" t="s">
        <v>1597</v>
      </c>
    </row>
    <row r="62" spans="2:8" x14ac:dyDescent="0.2">
      <c r="B62" s="527"/>
      <c r="C62" s="374">
        <v>42606</v>
      </c>
      <c r="D62" s="335" t="s">
        <v>1598</v>
      </c>
      <c r="E62" s="18" t="s">
        <v>1599</v>
      </c>
      <c r="F62" s="18" t="s">
        <v>1600</v>
      </c>
      <c r="G62" s="18" t="s">
        <v>1601</v>
      </c>
      <c r="H62" s="381" t="s">
        <v>1217</v>
      </c>
    </row>
    <row r="63" spans="2:8" x14ac:dyDescent="0.2">
      <c r="B63" s="527"/>
      <c r="C63" s="374">
        <v>42621</v>
      </c>
      <c r="D63" s="335" t="s">
        <v>1598</v>
      </c>
      <c r="F63" s="18" t="s">
        <v>1602</v>
      </c>
      <c r="G63" s="18" t="s">
        <v>1603</v>
      </c>
      <c r="H63" s="381"/>
    </row>
    <row r="64" spans="2:8" x14ac:dyDescent="0.2">
      <c r="B64" s="527"/>
      <c r="C64" s="374">
        <v>42629</v>
      </c>
      <c r="D64" s="335" t="s">
        <v>1598</v>
      </c>
      <c r="E64" s="18" t="s">
        <v>1599</v>
      </c>
      <c r="F64" s="18" t="s">
        <v>1604</v>
      </c>
      <c r="G64" s="18" t="s">
        <v>1605</v>
      </c>
      <c r="H64" s="381" t="s">
        <v>1217</v>
      </c>
    </row>
    <row r="65" spans="2:8" x14ac:dyDescent="0.2">
      <c r="B65" s="527"/>
      <c r="C65" s="374">
        <v>42633</v>
      </c>
      <c r="D65" s="18" t="s">
        <v>580</v>
      </c>
      <c r="E65" s="18">
        <v>1056326</v>
      </c>
      <c r="F65" s="18" t="s">
        <v>1606</v>
      </c>
      <c r="G65" s="18" t="s">
        <v>1596</v>
      </c>
      <c r="H65" s="507" t="s">
        <v>1607</v>
      </c>
    </row>
    <row r="66" spans="2:8" ht="89.25" x14ac:dyDescent="0.2">
      <c r="B66" s="511">
        <v>130</v>
      </c>
      <c r="C66" s="375">
        <v>42639</v>
      </c>
      <c r="D66" s="18" t="s">
        <v>1609</v>
      </c>
      <c r="E66" s="18">
        <v>1069041</v>
      </c>
      <c r="F66" s="18" t="s">
        <v>1610</v>
      </c>
      <c r="G66" s="373" t="s">
        <v>1611</v>
      </c>
    </row>
    <row r="67" spans="2:8" ht="76.5" x14ac:dyDescent="0.2">
      <c r="B67" s="511">
        <v>131</v>
      </c>
      <c r="C67" s="375">
        <v>42678</v>
      </c>
      <c r="D67" s="18" t="s">
        <v>580</v>
      </c>
      <c r="E67" s="18">
        <v>1076554</v>
      </c>
      <c r="F67" s="18" t="s">
        <v>1207</v>
      </c>
      <c r="G67" s="373" t="s">
        <v>1614</v>
      </c>
    </row>
    <row r="68" spans="2:8" ht="38.25" x14ac:dyDescent="0.2">
      <c r="B68" s="511">
        <v>132</v>
      </c>
      <c r="C68" s="18" t="s">
        <v>1617</v>
      </c>
      <c r="D68" s="18" t="s">
        <v>580</v>
      </c>
      <c r="E68" s="18">
        <v>843567</v>
      </c>
      <c r="F68" s="18" t="s">
        <v>1616</v>
      </c>
      <c r="G68" s="373" t="s">
        <v>1615</v>
      </c>
    </row>
    <row r="69" spans="2:8" ht="89.25" x14ac:dyDescent="0.2">
      <c r="B69" s="511">
        <v>133</v>
      </c>
      <c r="C69" s="374">
        <v>42691</v>
      </c>
      <c r="D69" s="512" t="s">
        <v>580</v>
      </c>
      <c r="E69" s="513">
        <v>1085350</v>
      </c>
      <c r="F69" s="512" t="s">
        <v>1619</v>
      </c>
      <c r="G69" s="373" t="s">
        <v>1618</v>
      </c>
    </row>
    <row r="70" spans="2:8" x14ac:dyDescent="0.2">
      <c r="B70" s="511">
        <v>134</v>
      </c>
      <c r="C70" s="374">
        <v>42691</v>
      </c>
      <c r="D70" s="18" t="s">
        <v>1598</v>
      </c>
      <c r="E70" s="18">
        <v>1087186</v>
      </c>
      <c r="F70" s="18" t="s">
        <v>1620</v>
      </c>
      <c r="G70" s="18" t="s">
        <v>1621</v>
      </c>
    </row>
    <row r="71" spans="2:8" ht="89.25" x14ac:dyDescent="0.2">
      <c r="B71" s="511">
        <v>135</v>
      </c>
      <c r="C71" s="374">
        <v>42697</v>
      </c>
      <c r="D71" s="18" t="s">
        <v>580</v>
      </c>
      <c r="E71" s="18">
        <v>1068791</v>
      </c>
      <c r="F71" s="18" t="s">
        <v>1622</v>
      </c>
      <c r="G71" s="373" t="s">
        <v>1623</v>
      </c>
    </row>
    <row r="72" spans="2:8" ht="102" x14ac:dyDescent="0.2">
      <c r="B72" s="511">
        <v>136</v>
      </c>
      <c r="C72" s="374">
        <v>42697</v>
      </c>
      <c r="D72" s="18" t="s">
        <v>580</v>
      </c>
      <c r="E72" s="18">
        <v>1068793</v>
      </c>
      <c r="F72" s="18" t="s">
        <v>1625</v>
      </c>
      <c r="G72" s="373" t="s">
        <v>1626</v>
      </c>
    </row>
    <row r="73" spans="2:8" ht="89.25" x14ac:dyDescent="0.2">
      <c r="B73" s="511">
        <v>137</v>
      </c>
      <c r="C73" s="374">
        <v>42698</v>
      </c>
      <c r="D73" s="18" t="s">
        <v>580</v>
      </c>
      <c r="E73" s="18">
        <v>1066487</v>
      </c>
      <c r="F73" s="18" t="s">
        <v>1634</v>
      </c>
      <c r="G73" s="373" t="s">
        <v>1633</v>
      </c>
    </row>
    <row r="74" spans="2:8" x14ac:dyDescent="0.2">
      <c r="B74" s="511">
        <v>138</v>
      </c>
      <c r="C74" s="374">
        <v>42698</v>
      </c>
      <c r="D74" s="18" t="s">
        <v>580</v>
      </c>
      <c r="E74" s="18">
        <v>1064026</v>
      </c>
      <c r="F74" s="18" t="s">
        <v>1636</v>
      </c>
      <c r="G74" s="373" t="s">
        <v>1637</v>
      </c>
    </row>
  </sheetData>
  <mergeCells count="1">
    <mergeCell ref="B61:B6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</vt:lpstr>
      <vt:lpstr>TEST-Lab</vt:lpstr>
      <vt:lpstr>TEST_NO_APN-Lab</vt:lpstr>
      <vt:lpstr>TEST_EPS_ONLY-Lab</vt:lpstr>
      <vt:lpstr>CTA-Lab</vt:lpstr>
      <vt:lpstr>Subsidized-Commercial</vt:lpstr>
      <vt:lpstr>OpenMkt-Commercial</vt:lpstr>
      <vt:lpstr>VoLTE_OpenMkt-Commercial</vt:lpstr>
      <vt:lpstr>Conf_VoLTE-Lab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Periyasamy, Kavikkumar</dc:creator>
  <cp:lastModifiedBy>Qualcomm User</cp:lastModifiedBy>
  <dcterms:created xsi:type="dcterms:W3CDTF">2009-07-08T16:51:53Z</dcterms:created>
  <dcterms:modified xsi:type="dcterms:W3CDTF">2016-11-24T12:54:01Z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-323944943</vt:i4>
  </property>
  <property fmtid="{D5CDD505-2E9C-101B-9397-08002B2CF9AE}" pid="3" name="_NewReviewCycle">
    <vt:lpwstr/>
  </property>
  <property fmtid="{D5CDD505-2E9C-101B-9397-08002B2CF9AE}" pid="4" name="_EmailSubject">
    <vt:lpwstr>DPM 1.0 LAB MBN's - SW Item List.</vt:lpwstr>
  </property>
  <property fmtid="{D5CDD505-2E9C-101B-9397-08002B2CF9AE}" pid="5" name="_AuthorEmail">
    <vt:lpwstr>speriset@qti.qualcomm.com</vt:lpwstr>
  </property>
  <property fmtid="{D5CDD505-2E9C-101B-9397-08002B2CF9AE}" pid="6" name="_AuthorEmailDisplayName">
    <vt:lpwstr>Perisetla, Sreenivasa Rao</vt:lpwstr>
  </property>
  <property fmtid="{D5CDD505-2E9C-101B-9397-08002B2CF9AE}" pid="7" name="_PreviousAdHocReviewCycleID">
    <vt:i4>242076234</vt:i4>
  </property>
  <property fmtid="{D5CDD505-2E9C-101B-9397-08002B2CF9AE}" pid="8" name="_ReviewingToolsShownOnce">
    <vt:lpwstr/>
  </property>
</Properties>
</file>