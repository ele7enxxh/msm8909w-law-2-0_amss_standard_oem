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APAC\Airtel\"/>
    </mc:Choice>
  </mc:AlternateContent>
  <bookViews>
    <workbookView xWindow="3900" yWindow="375" windowWidth="15255" windowHeight="7350" tabRatio="586"/>
  </bookViews>
  <sheets>
    <sheet name="Summary" sheetId="10" r:id="rId1"/>
    <sheet name="Commercial" sheetId="32" r:id="rId2"/>
    <sheet name="Revision History" sheetId="8" r:id="rId3"/>
  </sheets>
  <functionGroups builtInGroupCount="18"/>
  <definedNames>
    <definedName name="_xlnm._FilterDatabase" localSheetId="1" hidden="1">Commercial!$G$2:$G$151</definedName>
  </definedNames>
  <calcPr calcId="152511"/>
</workbook>
</file>

<file path=xl/calcChain.xml><?xml version="1.0" encoding="utf-8"?>
<calcChain xmlns="http://schemas.openxmlformats.org/spreadsheetml/2006/main">
  <c r="F153" i="32" l="1"/>
  <c r="F155" i="32"/>
  <c r="F151" i="32" l="1"/>
  <c r="F147" i="32" l="1"/>
  <c r="F145" i="32" s="1"/>
  <c r="B13" i="10" l="1"/>
  <c r="B4" i="10" l="1"/>
  <c r="B5" i="10"/>
  <c r="F142" i="32" l="1"/>
  <c r="E143" i="32" s="1"/>
  <c r="E140" i="32"/>
</calcChain>
</file>

<file path=xl/sharedStrings.xml><?xml version="1.0" encoding="utf-8"?>
<sst xmlns="http://schemas.openxmlformats.org/spreadsheetml/2006/main" count="642" uniqueCount="385">
  <si>
    <t>RELEASE DATE:</t>
  </si>
  <si>
    <t>FILE VERSION:</t>
  </si>
  <si>
    <t>Carrier Index</t>
  </si>
  <si>
    <t>Notes</t>
  </si>
  <si>
    <t>0x01</t>
  </si>
  <si>
    <t>0x03</t>
  </si>
  <si>
    <t>0x02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</si>
  <si>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</si>
  <si>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</si>
  <si>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</si>
  <si>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</si>
  <si>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</si>
  <si>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</si>
  <si>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</si>
  <si>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</si>
  <si>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</si>
  <si>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</si>
  <si>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</si>
  <si>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</si>
  <si>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</si>
  <si>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</si>
  <si>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</si>
  <si>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</si>
  <si>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</si>
  <si>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</si>
  <si>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</si>
  <si>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</si>
  <si>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0x05</t>
  </si>
  <si>
    <t>0x00</t>
  </si>
  <si>
    <t>0x07</t>
  </si>
  <si>
    <t>Digital/Analog Mode Preference</t>
  </si>
  <si>
    <t>pref_mode</t>
  </si>
  <si>
    <t>mode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</si>
  <si>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</si>
  <si>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</si>
  <si>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</si>
  <si>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</si>
  <si>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</si>
  <si>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</si>
  <si>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</si>
  <si>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</si>
  <si>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</si>
  <si>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RF Band Configuration</t>
  </si>
  <si>
    <t>rf_bc_config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</si>
  <si>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</si>
  <si>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</si>
  <si>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</si>
  <si>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</si>
  <si>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</si>
  <si>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</si>
  <si>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</si>
  <si>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</si>
  <si>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</si>
  <si>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</si>
  <si>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</si>
  <si>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</si>
  <si>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</si>
  <si>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</si>
  <si>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</si>
  <si>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</si>
  <si>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</si>
  <si>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</si>
  <si>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</si>
  <si>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</si>
  <si>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</si>
  <si>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PDN Throttling Config</t>
  </si>
  <si>
    <t>/nv/item_files/modem/data/epc/pdn_throttling_config.txt</t>
  </si>
  <si>
    <t>Thermal Config</t>
  </si>
  <si>
    <t>0xFFFFFFFF</t>
  </si>
  <si>
    <t>efs_item</t>
  </si>
  <si>
    <t>/sd/rat_acq_order</t>
  </si>
  <si>
    <t>/nv/item_files/therm_monitor/config_test.ini</t>
  </si>
  <si>
    <t>Summary</t>
  </si>
  <si>
    <t>0x29</t>
  </si>
  <si>
    <t>RMNET Config</t>
  </si>
  <si>
    <t>mcfg_test/rmnet_config.txt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</si>
  <si>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</si>
  <si>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</si>
  <si>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</si>
  <si>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</si>
  <si>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</si>
  <si>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</si>
  <si>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</si>
  <si>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</si>
  <si>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</si>
  <si>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</si>
  <si>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</si>
  <si>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</si>
  <si>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</si>
  <si>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</si>
  <si>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</si>
  <si>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</si>
  <si>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</si>
  <si>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</si>
  <si>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</si>
  <si>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</si>
  <si>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</si>
  <si>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</si>
  <si>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</si>
  <si>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</si>
  <si>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</si>
  <si>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GSM A5 Algorithms supported</t>
  </si>
  <si>
    <t>gsm_a5_algorithms_supported</t>
  </si>
  <si>
    <t>A5_1 bit mask 0x1A5_2 bit mask 0x2A5_3 bit mask 0x4A5_4 bit mask 0x8</t>
  </si>
  <si>
    <t>Acquisition order preference</t>
  </si>
  <si>
    <t>acq_order</t>
  </si>
  <si>
    <t>Network Selection Mode Preference</t>
  </si>
  <si>
    <t>net_sel_mode</t>
  </si>
  <si>
    <t>rrc_integrity_enabled</t>
  </si>
  <si>
    <t>rrc_ciphering_enabled</t>
  </si>
  <si>
    <t>rrc_fake_security_enabled</t>
  </si>
  <si>
    <t>UIM First Instruction Class</t>
  </si>
  <si>
    <t>uim_first_inst_cla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</si>
  <si>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</si>
  <si>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</si>
  <si>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</si>
  <si>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</si>
  <si>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</si>
  <si>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</si>
  <si>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</si>
  <si>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</si>
  <si>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</si>
  <si>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</si>
  <si>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</si>
  <si>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</si>
  <si>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</si>
  <si>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</si>
  <si>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GPRS Enable Anite GCF 51.010</t>
  </si>
  <si>
    <t>gprs_anite_gcf</t>
  </si>
  <si>
    <t>Make sure it is set to 0, set to 1 for GCF testing</t>
  </si>
  <si>
    <t>Force EU SGSNR GSM R99 Version</t>
  </si>
  <si>
    <t>force_ue_sgsnr_r99</t>
  </si>
  <si>
    <t>0 - Forces the UE to always behave as an R97/R98 mobile1 - Forces the UE to always behave as an R99 mobile2 - Causes the UE’s behavior to be dynamic</t>
  </si>
  <si>
    <t>Force EU MSCR GSM R99 Version</t>
  </si>
  <si>
    <t>force_ue_mscr_r99</t>
  </si>
  <si>
    <t>GSM AMR Call Configuration</t>
  </si>
  <si>
    <t>gsm_amr_call_config</t>
  </si>
  <si>
    <t>1 – Enables NB and WB AMR vocoder support for GSM              0 – Disables AMR vocoder support altogether</t>
  </si>
  <si>
    <t>Bit 0 – StandaloneBit 1 – UP MS-BasedBit 2 – UP MS-AssistedBit 3– CP MS-Based (2G)Bit 4 – CP MS-Assisted (2G)Bit 5 – CP UE-Based (3G)Bit 6 – CP UE-Assisted (3G)</t>
  </si>
  <si>
    <t>EDGE Feature Support</t>
  </si>
  <si>
    <t>edge_feature_support</t>
  </si>
  <si>
    <t>EDA Feature Support</t>
  </si>
  <si>
    <t>eda_feature_support</t>
  </si>
  <si>
    <t>0-Disable EDA Support  1 - Enables EDA Support</t>
  </si>
  <si>
    <t>GERAN Feature Pack1</t>
  </si>
  <si>
    <t>geran_feature_pack_1</t>
  </si>
  <si>
    <t>0 – Disables Network Assisted Cell Change 1 – Enables Network Assisted Cell Change</t>
  </si>
  <si>
    <t>MS Max Number of SMS</t>
  </si>
  <si>
    <t>ms_sms_max_number_of_sms</t>
  </si>
  <si>
    <t>ENS Enabled</t>
  </si>
  <si>
    <t>ens_enabled</t>
  </si>
  <si>
    <t>DTM Feature Support</t>
  </si>
  <si>
    <t>dtm_feature_support</t>
  </si>
  <si>
    <t>0 - Disable DTM Feature Support   1 - Enable DTM Feature Support</t>
  </si>
  <si>
    <t>DTM Multislot class</t>
  </si>
  <si>
    <t>dtm_multislot_class</t>
  </si>
  <si>
    <t>3 - DTM MSC of 11 if GPRS MSC is set to 12.2 - DTM MSC of 9 f the GPRS MSC is set to 10</t>
  </si>
  <si>
    <t>WCDMA RRC Version</t>
  </si>
  <si>
    <t>wdcma_rrc_version</t>
  </si>
  <si>
    <t>0 - R99 UE1 - R5 UE2 - R6 UE3 - R7 UE4 - R8 UE (OEM should configure this NV based on the device type being launched e.g. Rel 6 or Rel 7 or Rel 8 etc.)</t>
  </si>
  <si>
    <t>WCDMA RX Diversity Control</t>
  </si>
  <si>
    <t>wcdma_rx_diversity_control</t>
  </si>
  <si>
    <t>0 - Disables Diversity3 - Enables Diversity</t>
  </si>
  <si>
    <t>DARP Feature support</t>
  </si>
  <si>
    <t>darp_feature_support</t>
  </si>
  <si>
    <t>0 – CLASSMARK 3 signaling will not contain SAIC/DARP feature support1 – CLASSMARK 3 signaling will contain SAIC/DARP feature support Currently, our AMSS code only supports SAIC/DARP for CS (voice calls) operation only.</t>
  </si>
  <si>
    <t>HSDPA Category</t>
  </si>
  <si>
    <t>hsdpa_cat</t>
  </si>
  <si>
    <t>6 - 3.6 Mbps capable UE 8 - 7.2 Mbps capable UE10 - 14.4 Mbps capable UE14 -- 21 Mbps capable UE (64 QAM)24 -- 42 Mbps capable UE (DC-HSDPA)</t>
  </si>
  <si>
    <t>WCDMA RRC PDCP Disabled</t>
  </si>
  <si>
    <t>wcdma_rrc_pdcp_disabled</t>
  </si>
  <si>
    <t>1 - Disable PDCP Support0 - Enable PDCP Support</t>
  </si>
  <si>
    <t>EDTM Feature Support</t>
  </si>
  <si>
    <t>edtm_feature_support</t>
  </si>
  <si>
    <t>0 - Disable EDTM Feature Support1 - Enable EDTM Feature Support</t>
  </si>
  <si>
    <t>HSUPA Category</t>
  </si>
  <si>
    <t>wcdma_hsupa_category</t>
  </si>
  <si>
    <t>5 - 2 Mbps-capable (10 ms TTI) 6 - 5.76 Mbps-capable (2 ms TTI)</t>
  </si>
  <si>
    <t>CPU Based Flow Control</t>
  </si>
  <si>
    <t>0 - Disable Flow Control 1 - Enable Flow Control</t>
  </si>
  <si>
    <t>GPRS GEA Algorithms Supported</t>
  </si>
  <si>
    <t>gprs_gea_algorithms_supported</t>
  </si>
  <si>
    <t>0x1 – GEA1 supported0x2 – GEA2 supported0x4 – GEA3 supported</t>
  </si>
  <si>
    <t>WCDMA HSUPA CM Controller</t>
  </si>
  <si>
    <t>wcdma_hsupa_cm_ctrl</t>
  </si>
  <si>
    <t>0 - Disable HSUPA CM Support 1 - Enable HSUPA CM Support</t>
  </si>
  <si>
    <t>Repeated ACCH</t>
  </si>
  <si>
    <t>repeated_acch</t>
  </si>
  <si>
    <t>0 - Disables Repeated ACCH 1- Enables Repeated ACCH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</si>
  <si>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</si>
  <si>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</si>
  <si>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 xml:space="preserve">NV_RR_ACQ_DB_CHUNK_00_I ?
</t>
  </si>
  <si>
    <t>SMS Only Registration</t>
  </si>
  <si>
    <t>/nv/item_files/modem/mmode/sms_only</t>
  </si>
  <si>
    <t xml:space="preserve">65776 - 0 --- Smart Device 1 --- Netbook / data cards </t>
  </si>
  <si>
    <t>WCDMA_RRC_CSFB_SKIP_SIB1_OPT</t>
  </si>
  <si>
    <t>65885, 0- disable, 1- enable (This is required to enable R9 CSFB functionality)</t>
  </si>
  <si>
    <t>3GPP RPM Supported SIM</t>
  </si>
  <si>
    <t>3,1,0,4,1,0,6,5,0,1,7,0</t>
  </si>
  <si>
    <t>67205, It is an array of PLMN IDS for which RPM is enabled for ATT - PLMN list; 310-410, 310-650, 310-170</t>
  </si>
  <si>
    <t>3GPP RPM Parameters</t>
  </si>
  <si>
    <t>/nv/item_files/data/3gpp/rpm_params</t>
  </si>
  <si>
    <t>is_rpm_enabled</t>
  </si>
  <si>
    <t>app_max_num_reset</t>
  </si>
  <si>
    <t>average_reset_time</t>
  </si>
  <si>
    <t>backoff_count[0]</t>
  </si>
  <si>
    <t>backoff_count[1]</t>
  </si>
  <si>
    <t>backoff_count[2]</t>
  </si>
  <si>
    <t>backoff_count[3]</t>
  </si>
  <si>
    <t>cpdp_count[0]</t>
  </si>
  <si>
    <t>lr3_timer_val</t>
  </si>
  <si>
    <t>RPM Info</t>
  </si>
  <si>
    <t>/nv/item_files/modem/mmode/rpm_info</t>
  </si>
  <si>
    <t>3GPP PS Service Throttle Behavior</t>
  </si>
  <si>
    <t>/nv/item_files/modem/data/3gpp/ps/ser_req_throttle_behavior</t>
  </si>
  <si>
    <t>NAS Aggression Management Enabled</t>
  </si>
  <si>
    <t>/nv/item_files/modem/nas/aggression_management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</si>
  <si>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</si>
  <si>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</si>
  <si>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WCDMA RRC Feature Enabled</t>
  </si>
  <si>
    <t>/nv/item_files/wcdma/wcdma_rrc_feature</t>
  </si>
  <si>
    <t>0 - Not Support any feature. 1 - EFACH3 - EFACH + EPCH 5 - EFACH + EFACH_DRX 7 - EFACH + EPCH + EFACH_DRX  NOTE: Enhanced CELL_FACH (Rel-7) Enhanced CELL_PCH (Rel-7) DRX in CELL_FACH (Enhanced DRX) (Rel-8)</t>
  </si>
  <si>
    <t>0=CSIM, make sure this is present and set to 0</t>
  </si>
  <si>
    <t>0xFFFF</t>
  </si>
  <si>
    <t>0x7F</t>
  </si>
  <si>
    <t xml:space="preserve">Note - this is uint8/boolean, QXDM does not show it properly ,,, 0x01 - SAIC and eSAIC ON (default)0x09 SAIC and eSAIC OFF (conventional receiver)0x11 - SAIC ON for CS-voice only </t>
  </si>
  <si>
    <t>0xBFFF</t>
  </si>
  <si>
    <t>app_reset_counter</t>
  </si>
  <si>
    <t>app_reset_timer</t>
  </si>
  <si>
    <t>app_reset_block_leak_rate_timer</t>
  </si>
  <si>
    <t>leak_rate_timer</t>
  </si>
  <si>
    <t>modem_proc\mcfg\mcfg_gen\scripts\data\efs_files\config.ini</t>
  </si>
  <si>
    <t>For future reference in case there is a need to MUX the RR ACQ DB (enhancement CR )</t>
  </si>
  <si>
    <t>0x22</t>
  </si>
  <si>
    <t>0x95</t>
  </si>
  <si>
    <t>0x62</t>
  </si>
  <si>
    <t>0x80</t>
  </si>
  <si>
    <t>0xE8</t>
  </si>
  <si>
    <t>0x0E</t>
  </si>
  <si>
    <t>For Debug purposes only</t>
  </si>
  <si>
    <t>Preferred Hybrid Mode</t>
  </si>
  <si>
    <t>hybrid_pref</t>
  </si>
  <si>
    <t>Placeholder for now (to be included in HW config)</t>
  </si>
  <si>
    <t>PDP Profile 1</t>
  </si>
  <si>
    <t>/nv/item_files/wcdma/rrc/wcdma_rrc_csfb_skip_sib11_opt</t>
  </si>
  <si>
    <t>int[60]</t>
  </si>
  <si>
    <t>WCDMA equalizer Control</t>
  </si>
  <si>
    <t>UMTS amr code preference config</t>
  </si>
  <si>
    <t>/nv/item_files/data/3gpp/rpm_suppported_sim</t>
  </si>
  <si>
    <t>SMS Domain Preference</t>
  </si>
  <si>
    <t>/nv/item_files/modem/mmode/sms_domain_pref</t>
  </si>
  <si>
    <t>/nv/item_files/modem/mmode/voice_domain_pref</t>
  </si>
  <si>
    <t>/nv/item_files/modem/uim/mmgsdi/refresh_vote_ok</t>
  </si>
  <si>
    <t>voip_registration_mode</t>
  </si>
  <si>
    <t>CS TO VOIP Fallback Timer</t>
  </si>
  <si>
    <t>VOIP Cancel Retry Timer</t>
  </si>
  <si>
    <t/>
  </si>
  <si>
    <t>Voice Domain Preference</t>
  </si>
  <si>
    <t>MMGSDI Refresh Vote OK</t>
  </si>
  <si>
    <t>0 - GW_ACQ_ORDER_PREF_AUTOMATIC             
1 - GW_ACQ_ORDER_PREF_GSM_WCDMA         
2 - GW_ACQ_ORDER_PREF_WCDMA_GSM</t>
  </si>
  <si>
    <t>0 - Automatic network selection                                                                      
1 - Manual network selection 2 - Limited Service</t>
  </si>
  <si>
    <t>0 – Starts card as GSM SIM                                                                     
1 – Starts card as USIM</t>
  </si>
  <si>
    <t>0 - Forces the UE to always behave as an R97/R98 mobile 
1 - Forces the UE to always behave as an R99 mobile 
2 - Causes the UE’s behavior to be dynamic</t>
  </si>
  <si>
    <t>Carrier Version Update(s)</t>
  </si>
  <si>
    <t>Image</t>
  </si>
  <si>
    <t>SW Product</t>
  </si>
  <si>
    <t>MCFG PW</t>
  </si>
  <si>
    <t>MPSS Configuration Items Listing</t>
  </si>
  <si>
    <t>All carrier versions initialized to 0x31</t>
  </si>
  <si>
    <t>Ported from Dime 2.0 file version 30</t>
  </si>
  <si>
    <t>Initial Version for Dime 3.0</t>
  </si>
  <si>
    <t>KDDI Update</t>
  </si>
  <si>
    <t>removed file:
Mandatory_apn_list.txt</t>
  </si>
  <si>
    <t>KDDI: 0x02010732</t>
  </si>
  <si>
    <t>New Carrier: AirTel</t>
  </si>
  <si>
    <t>Airtel</t>
  </si>
  <si>
    <t>Airtel MCFG SW Items List</t>
  </si>
  <si>
    <t>modem_proc\mcfg\mcfg_gen\scripts\data\efs_files\airtel\pdn_throttling_config.txt</t>
  </si>
  <si>
    <t>modem_proc\mcfg\mcfg_gen\scripts\data\efs_files\airtel\rat_acq_order</t>
  </si>
  <si>
    <t>modem_proc\mcfg\mcfg_gen\scripts\data\efs_files\airtel\profile1</t>
  </si>
  <si>
    <t>APN = airtelgprs.com</t>
  </si>
  <si>
    <t>AirTel: 0x02011A31</t>
  </si>
  <si>
    <t>NV Items</t>
  </si>
  <si>
    <t>Spreadsheet statistics</t>
  </si>
  <si>
    <t>Total carrier configurations</t>
  </si>
  <si>
    <t>Total supported items (NV &amp; EFS)</t>
  </si>
  <si>
    <t>Select Carriers for Generation</t>
  </si>
  <si>
    <t>New Carrier: Reliance</t>
  </si>
  <si>
    <t>Reliance: 0x02011B31</t>
  </si>
  <si>
    <t>KDDI: 0x02010733</t>
  </si>
  <si>
    <t>Initial Version for APAC</t>
  </si>
  <si>
    <t>Forked from rev #74 of the gen/common spreadsheet</t>
  </si>
  <si>
    <t>All configs updated</t>
  </si>
  <si>
    <t>Ported from Dime 4.0 rev 1</t>
  </si>
  <si>
    <t>KDDI 0x04010700
DCM 0x04010D00
Airtel 0x04011A00
Reliance 0x04011B00
SBM 0x04011C00</t>
  </si>
  <si>
    <t>Config updates</t>
  </si>
  <si>
    <t>KDDI 0x04010701
DCM 0x04010D01
Airtel 0x04011A01
Reliance 0x04011B01
SBM 0x04011C01</t>
  </si>
  <si>
    <t xml:space="preserve">Updates to target profiles paths for all configs. Profiles now stored in “/Data_Profiles/SubsX” directory </t>
  </si>
  <si>
    <t>Airtel Update</t>
  </si>
  <si>
    <t>Airtel 0x04011A02</t>
  </si>
  <si>
    <t>NV 855= "0"
NV 3852 = " 51"</t>
  </si>
  <si>
    <t>KDDI update</t>
  </si>
  <si>
    <t>KDDI 0x04010702</t>
  </si>
  <si>
    <t>IIN changed to 8900310</t>
  </si>
  <si>
    <t>SBM update</t>
  </si>
  <si>
    <t>SBM 0x04011C02</t>
  </si>
  <si>
    <t>Added carrier policy: 
Carrier\SBM\RAT_SEARCH_WITH_NETWORK_SEARCH\carrier_policy.xml: 27.1.9</t>
  </si>
  <si>
    <t>Reliance Update</t>
  </si>
  <si>
    <t xml:space="preserve">IIN changed: 894040 </t>
  </si>
  <si>
    <t>Reliance 0x04011B02</t>
  </si>
  <si>
    <t>899110, 899149</t>
  </si>
  <si>
    <t>IIN added: 899149</t>
  </si>
  <si>
    <t>Airtel 0x04011A03</t>
  </si>
  <si>
    <t>KDDI 0x04010703</t>
  </si>
  <si>
    <t xml:space="preserve">
added nv/efs: 
69687 – UIM JCDMA Mode : 1
4922  - JCDMA UIM Lock: 0xffffffff
4923 – already removed</t>
  </si>
  <si>
    <t>KDDI IMS Update</t>
  </si>
  <si>
    <t>KDDI 0x04010704</t>
  </si>
  <si>
    <t>728688
720211</t>
  </si>
  <si>
    <t xml:space="preserve">added EFS item: 
/nv/item_files/modem/hdr/cp/ovhd/mccnops = 1, 440
pdn_throttling_config.txt: failure timers(1..10): 5s,10s, 20s, 40s, 80s, 160s, 320s, 640s, 1280s, 1800s
67276 = 6, 15, 15, 15, 30, 60, 120
67277 = 6,0,0,1,2,8,15
66048 =  3, 69676 = TRUE,  72602 = TRUE, 72560 = TRUE 
4229 = 1
67197 = 15000
70267 = 0
67264 (RegRATConfig) 12
 (RegConfigDelayAttemptTimer) 30
 (regManagerPDPFailureSchedule) 10
 (regManagerPdpProfileName)  (This should be ampty)
69744 version 0
 SipLocalPort 5060
 TimerSipRegValue 60000
 TimerSipSubscribeValue 60000
 Timer_T1Value 3000
 Timer_T2Value 16000
 Timer_T4Value 17000
 Timer_TfValue 30000
 Timer_TJValue 30000
 TCPThresholdValue 1500
 CompactFormEnabled 1
 SigCompEnabled 0
 FMCConfig 0
 iIpSecIntScheme 3
 iIpSecEncAlgo 7
 AuthScheme 3
 InitialAuthConfig 0
no change NV/EFS: 
855 = 1, 10 = 4, 67276, 67277
</t>
  </si>
  <si>
    <t>DCM 0x04010D02</t>
  </si>
  <si>
    <t>DCM Update</t>
  </si>
  <si>
    <t>profile1: APN = ims
profile2: APN = internet
profile3: APN = null
pdn_throttling_config.txt: failure timers(1..10): 5s,10s, 20s, 40s, 80s, 160s, 320s, 640s, 1280s, 1280s
71520 = 1
65538 = 69
70328 = 1
72560 = 1
72602 = 1
ds_dsd_attach_profile.txt: Attach_Profile_ID:3, Attach_Profile_ID:2;</t>
  </si>
  <si>
    <t>KDDI 0x04010705
DCM 0x04010D03</t>
  </si>
  <si>
    <t>DCM, KDDI Updates</t>
  </si>
  <si>
    <t>KDDI: 
Enabled PCO bit for profiles
added 3gpp2 profiles
67261.RegOnMode = 0
67261.RegConfigMaxIntermediatePDPRetries = 1
67261.RegConfigDelayAttemptTimer = 10
69744
.TimerSipRegValue = 129600
.TimerSipSubscribeValue = 0 
.iTCPThresholdValue = 0
.iIpSecEncAlgo = 1
.AuthScheme = 1
DCM: 
Removed NV 453
moved ds_dsd_attach_profile.txt under /data</t>
  </si>
  <si>
    <t>DCM, SBM updates</t>
  </si>
  <si>
    <t>DCM 0x04010D05
SBM 0x04011C03</t>
  </si>
  <si>
    <t>removed 6828 from configs</t>
  </si>
  <si>
    <t>KDDI Updates</t>
  </si>
  <si>
    <t>KDDI 0x04010706</t>
  </si>
  <si>
    <t>change backoff_timer_val[] size from '4' to '2' for NV 67276 &amp; 67277</t>
  </si>
  <si>
    <t>KDDI 0x04010707</t>
  </si>
  <si>
    <t>69687=0</t>
  </si>
  <si>
    <t>Rel: 0x04011B03</t>
  </si>
  <si>
    <t>IMS updates</t>
  </si>
  <si>
    <t>Carrier</t>
  </si>
  <si>
    <t>Generic</t>
  </si>
  <si>
    <t>APAC</t>
  </si>
  <si>
    <t>Commercial</t>
  </si>
  <si>
    <t>Commercial-Airtel</t>
  </si>
  <si>
    <t>QC_version</t>
  </si>
  <si>
    <t>Compatibilty Version update</t>
  </si>
  <si>
    <t>Commercial:0x05011A01</t>
  </si>
  <si>
    <t>MCFG.MPSS.5.0</t>
  </si>
  <si>
    <t>QC_version_type</t>
  </si>
  <si>
    <t>QC_version_len</t>
  </si>
  <si>
    <t>4</t>
  </si>
  <si>
    <t>Commercial:0x05011A02</t>
  </si>
  <si>
    <t>Removed NV4398</t>
  </si>
  <si>
    <t>Removed NV74, NV75</t>
  </si>
  <si>
    <t>Commercial:0x05011A03</t>
  </si>
  <si>
    <t xml:space="preserve">JO PL MBN needs to update the NV 65674 to inactive </t>
  </si>
  <si>
    <t>Commercial:0x05011A04</t>
  </si>
  <si>
    <t>SMS Mandatory</t>
  </si>
  <si>
    <t>/nv/item_files/modem/mmode/sms_mandatory</t>
  </si>
  <si>
    <t>IMS Media Config</t>
  </si>
  <si>
    <t>/nv/item_files/ims/qp_ims_media_config</t>
  </si>
  <si>
    <t>modem_proc\mcfg\mcfg_gen\scripts\data\efs_files\qp_ims_media_config</t>
  </si>
  <si>
    <t>IMS DSCP Configurations update</t>
  </si>
  <si>
    <t>Commercial:0x05011A05</t>
  </si>
  <si>
    <t>All configs</t>
  </si>
  <si>
    <t>Updated all profiles to be multiSIM efs type</t>
  </si>
  <si>
    <t>/Data_Profiles/Profile1</t>
  </si>
  <si>
    <t>0x19</t>
  </si>
  <si>
    <t>Commercial:0x05011A07</t>
  </si>
  <si>
    <t>NV850 Removed</t>
  </si>
  <si>
    <t>Commercial:0x05011A09</t>
  </si>
  <si>
    <t>MCFG_capability_type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</si>
  <si>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</si>
  <si>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</si>
  <si>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</si>
  <si>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</si>
  <si>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MCFG Updates</t>
  </si>
  <si>
    <t>FR31322: Support requirement for CMCC  Open Mkt and Subsidized phones with a single SKU.</t>
  </si>
  <si>
    <t>MCC_MNC List type</t>
  </si>
  <si>
    <t>0x06</t>
  </si>
  <si>
    <t>MCC_MNC List Length</t>
  </si>
  <si>
    <t>MCC_MNC_flag</t>
  </si>
  <si>
    <t>0</t>
  </si>
  <si>
    <t>0: select ion based on MCC/MNC, 1: wild card</t>
  </si>
  <si>
    <t>MCC_MNC_list_count</t>
  </si>
  <si>
    <t>number of MCC/MNC pair</t>
  </si>
  <si>
    <t>MCC_MNC_list</t>
  </si>
  <si>
    <t>0x05011A0B</t>
  </si>
  <si>
    <t>404-10, 404-49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</si>
</sst>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0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b/>
      <sz val="10"/>
      <name val="Arial"/>
      <family val="2"/>
    </font>
    <font>
      <sz val="11"/>
      <color rgb="FF00B0F0"/>
      <name val="Gill Sans MT"/>
      <family val="2"/>
      <scheme val="minor"/>
    </font>
    <font>
      <sz val="8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61796">
    <xf numFmtId="0" fontId="0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65" fillId="0" borderId="0"/>
    <xf numFmtId="49" fontId="69" fillId="0" borderId="20" applyNumberFormat="0" applyFont="0" applyFill="0" applyAlignment="0" applyProtection="0">
      <alignment horizontal="center" vertical="center"/>
      <protection locked="0"/>
    </xf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65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146">
    <xf numFmtId="0" fontId="0" fillId="0" borderId="0" xfId="0"/>
    <xf numFmtId="0" fontId="54" fillId="0" borderId="0" xfId="0" applyFont="1"/>
    <xf numFmtId="0" fontId="55" fillId="0" borderId="0" xfId="0" applyFont="1"/>
    <xf numFmtId="0" fontId="56" fillId="0" borderId="0" xfId="0" applyFont="1" applyFill="1" applyAlignment="1">
      <alignment horizontal="right"/>
    </xf>
    <xf numFmtId="0" fontId="55" fillId="0" borderId="8" xfId="0" applyFont="1" applyBorder="1" applyAlignment="1">
      <alignment horizontal="left" indent="1"/>
    </xf>
    <xf numFmtId="0" fontId="54" fillId="2" borderId="6" xfId="0" applyFont="1" applyFill="1" applyBorder="1" applyAlignment="1">
      <alignment horizontal="center"/>
    </xf>
    <xf numFmtId="0" fontId="58" fillId="0" borderId="0" xfId="0" applyFont="1" applyFill="1" applyAlignment="1">
      <alignment vertical="center"/>
    </xf>
    <xf numFmtId="0" fontId="0" fillId="0" borderId="0" xfId="0" applyFont="1"/>
    <xf numFmtId="0" fontId="0" fillId="0" borderId="0" xfId="0"/>
    <xf numFmtId="0" fontId="61" fillId="0" borderId="8" xfId="0" applyFont="1" applyBorder="1" applyAlignment="1">
      <alignment horizontal="left" indent="1"/>
    </xf>
    <xf numFmtId="0" fontId="56" fillId="0" borderId="0" xfId="0" applyFont="1" applyAlignment="1">
      <alignment horizontal="right"/>
    </xf>
    <xf numFmtId="0" fontId="63" fillId="0" borderId="0" xfId="0" applyFont="1" applyBorder="1"/>
    <xf numFmtId="0" fontId="61" fillId="0" borderId="11" xfId="0" applyFont="1" applyBorder="1" applyAlignment="1">
      <alignment horizontal="left" indent="1"/>
    </xf>
    <xf numFmtId="0" fontId="54" fillId="0" borderId="0" xfId="0" applyFont="1" applyAlignment="1">
      <alignment horizontal="left" indent="1"/>
    </xf>
    <xf numFmtId="0" fontId="57" fillId="4" borderId="2" xfId="0" applyFont="1" applyFill="1" applyBorder="1" applyAlignment="1">
      <alignment horizontal="centerContinuous"/>
    </xf>
    <xf numFmtId="14" fontId="70" fillId="0" borderId="0" xfId="0" applyNumberFormat="1" applyFont="1" applyFill="1" applyAlignment="1">
      <alignment horizontal="left" indent="1"/>
    </xf>
    <xf numFmtId="0" fontId="70" fillId="0" borderId="0" xfId="0" applyFont="1" applyFill="1" applyAlignment="1">
      <alignment horizontal="left" indent="1"/>
    </xf>
    <xf numFmtId="0" fontId="61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0" borderId="19" xfId="0" applyBorder="1"/>
    <xf numFmtId="49" fontId="64" fillId="0" borderId="19" xfId="0" applyNumberFormat="1" applyFont="1" applyBorder="1" applyAlignment="1">
      <alignment horizontal="left" wrapText="1" indent="1"/>
    </xf>
    <xf numFmtId="0" fontId="65" fillId="0" borderId="0" xfId="0" applyFont="1" applyFill="1"/>
    <xf numFmtId="0" fontId="0" fillId="0" borderId="0" xfId="0" applyBorder="1"/>
    <xf numFmtId="0" fontId="60" fillId="0" borderId="0" xfId="0" applyFont="1" applyAlignment="1"/>
    <xf numFmtId="0" fontId="0" fillId="0" borderId="0" xfId="0" applyAlignment="1"/>
    <xf numFmtId="0" fontId="54" fillId="0" borderId="0" xfId="0" applyFont="1" applyAlignment="1"/>
    <xf numFmtId="0" fontId="54" fillId="2" borderId="6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4" fillId="0" borderId="0" xfId="0" applyFont="1"/>
    <xf numFmtId="0" fontId="55" fillId="0" borderId="8" xfId="0" applyFont="1" applyBorder="1" applyAlignment="1">
      <alignment horizontal="left" indent="1"/>
    </xf>
    <xf numFmtId="0" fontId="54" fillId="2" borderId="10" xfId="0" applyFont="1" applyFill="1" applyBorder="1" applyAlignment="1">
      <alignment horizontal="left" indent="1"/>
    </xf>
    <xf numFmtId="0" fontId="61" fillId="0" borderId="12" xfId="0" applyFont="1" applyBorder="1" applyAlignment="1">
      <alignment horizontal="left" indent="1"/>
    </xf>
    <xf numFmtId="0" fontId="63" fillId="0" borderId="0" xfId="0" applyFont="1"/>
    <xf numFmtId="0" fontId="54" fillId="2" borderId="5" xfId="0" applyFont="1" applyFill="1" applyBorder="1" applyAlignment="1">
      <alignment horizontal="left" indent="1"/>
    </xf>
    <xf numFmtId="0" fontId="54" fillId="2" borderId="4" xfId="0" applyFont="1" applyFill="1" applyBorder="1" applyAlignment="1">
      <alignment horizontal="left" indent="1"/>
    </xf>
    <xf numFmtId="0" fontId="61" fillId="0" borderId="12" xfId="0" applyFont="1" applyBorder="1"/>
    <xf numFmtId="0" fontId="57" fillId="4" borderId="2" xfId="0" applyFont="1" applyFill="1" applyBorder="1" applyAlignment="1">
      <alignment horizontal="centerContinuous"/>
    </xf>
    <xf numFmtId="0" fontId="61" fillId="0" borderId="7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2" fillId="0" borderId="0" xfId="0" applyFont="1" applyBorder="1" applyAlignment="1">
      <alignment horizontal="left" indent="1"/>
    </xf>
    <xf numFmtId="0" fontId="68" fillId="0" borderId="0" xfId="0" applyFont="1"/>
    <xf numFmtId="0" fontId="59" fillId="3" borderId="0" xfId="0" applyFont="1" applyFill="1" applyAlignment="1">
      <alignment horizontal="centerContinuous" vertical="center"/>
    </xf>
    <xf numFmtId="0" fontId="0" fillId="0" borderId="0" xfId="0"/>
    <xf numFmtId="0" fontId="55" fillId="0" borderId="0" xfId="0" applyFont="1"/>
    <xf numFmtId="0" fontId="61" fillId="0" borderId="8" xfId="0" applyFont="1" applyFill="1" applyBorder="1" applyAlignment="1">
      <alignment horizontal="center"/>
    </xf>
    <xf numFmtId="14" fontId="61" fillId="0" borderId="12" xfId="0" applyNumberFormat="1" applyFont="1" applyFill="1" applyBorder="1" applyAlignment="1">
      <alignment horizontal="left" indent="1"/>
    </xf>
    <xf numFmtId="0" fontId="66" fillId="2" borderId="12" xfId="30860" applyFont="1" applyFill="1" applyBorder="1" applyAlignment="1">
      <alignment horizontal="left" indent="1"/>
    </xf>
    <xf numFmtId="0" fontId="24" fillId="5" borderId="19" xfId="30860" applyBorder="1"/>
    <xf numFmtId="0" fontId="24" fillId="5" borderId="19" xfId="30860" applyBorder="1" applyAlignment="1">
      <alignment horizontal="left" indent="1"/>
    </xf>
    <xf numFmtId="0" fontId="24" fillId="5" borderId="19" xfId="30860" applyBorder="1" applyAlignment="1">
      <alignment wrapText="1"/>
    </xf>
    <xf numFmtId="0" fontId="24" fillId="5" borderId="19" xfId="30860" applyFont="1" applyBorder="1" applyAlignment="1">
      <alignment wrapText="1"/>
    </xf>
    <xf numFmtId="0" fontId="24" fillId="5" borderId="19" xfId="30862" applyBorder="1"/>
    <xf numFmtId="0" fontId="24" fillId="5" borderId="19" xfId="30862" applyBorder="1" applyAlignment="1">
      <alignment wrapText="1"/>
    </xf>
    <xf numFmtId="0" fontId="63" fillId="0" borderId="13" xfId="0" applyFont="1" applyBorder="1" applyAlignment="1">
      <alignment wrapText="1"/>
    </xf>
    <xf numFmtId="0" fontId="61" fillId="0" borderId="0" xfId="0" applyFont="1" applyFill="1" applyBorder="1" applyAlignment="1">
      <alignment horizontal="left" wrapText="1"/>
    </xf>
    <xf numFmtId="0" fontId="61" fillId="0" borderId="7" xfId="3" applyFont="1" applyFill="1" applyBorder="1" applyAlignment="1">
      <alignment horizontal="left" wrapText="1" indent="1"/>
    </xf>
    <xf numFmtId="0" fontId="61" fillId="0" borderId="0" xfId="0" applyFont="1" applyBorder="1"/>
    <xf numFmtId="0" fontId="71" fillId="0" borderId="0" xfId="0" applyFont="1"/>
    <xf numFmtId="0" fontId="72" fillId="2" borderId="10" xfId="0" applyFont="1" applyFill="1" applyBorder="1" applyAlignment="1">
      <alignment horizontal="left" indent="1"/>
    </xf>
    <xf numFmtId="0" fontId="72" fillId="0" borderId="0" xfId="0" applyFont="1"/>
    <xf numFmtId="0" fontId="63" fillId="0" borderId="0" xfId="0" applyFont="1" applyAlignment="1">
      <alignment wrapText="1"/>
    </xf>
    <xf numFmtId="0" fontId="73" fillId="4" borderId="5" xfId="0" applyFont="1" applyFill="1" applyBorder="1" applyAlignment="1">
      <alignment horizontal="centerContinuous"/>
    </xf>
    <xf numFmtId="0" fontId="61" fillId="0" borderId="0" xfId="0" applyFont="1" applyBorder="1" applyAlignment="1">
      <alignment wrapText="1"/>
    </xf>
    <xf numFmtId="0" fontId="72" fillId="2" borderId="5" xfId="0" applyFont="1" applyFill="1" applyBorder="1" applyAlignment="1">
      <alignment horizontal="left" indent="1"/>
    </xf>
    <xf numFmtId="0" fontId="72" fillId="2" borderId="6" xfId="0" applyFont="1" applyFill="1" applyBorder="1" applyAlignment="1">
      <alignment horizontal="left" indent="1"/>
    </xf>
    <xf numFmtId="0" fontId="72" fillId="2" borderId="5" xfId="0" applyFont="1" applyFill="1" applyBorder="1" applyAlignment="1">
      <alignment horizontal="left" wrapText="1"/>
    </xf>
    <xf numFmtId="0" fontId="74" fillId="4" borderId="4" xfId="0" applyFont="1" applyFill="1" applyBorder="1" applyAlignment="1">
      <alignment horizontal="centerContinuous"/>
    </xf>
    <xf numFmtId="0" fontId="74" fillId="4" borderId="4" xfId="0" applyFont="1" applyFill="1" applyBorder="1" applyAlignment="1">
      <alignment horizontal="centerContinuous" wrapText="1"/>
    </xf>
    <xf numFmtId="0" fontId="76" fillId="0" borderId="0" xfId="0" applyFont="1"/>
    <xf numFmtId="0" fontId="77" fillId="0" borderId="0" xfId="0" applyFont="1" applyBorder="1"/>
    <xf numFmtId="0" fontId="61" fillId="0" borderId="9" xfId="0" applyFont="1" applyBorder="1" applyAlignment="1">
      <alignment horizontal="left" indent="1"/>
    </xf>
    <xf numFmtId="0" fontId="54" fillId="2" borderId="10" xfId="0" applyFont="1" applyFill="1" applyBorder="1" applyAlignment="1">
      <alignment horizontal="centerContinuous"/>
    </xf>
    <xf numFmtId="0" fontId="68" fillId="0" borderId="0" xfId="0" applyFont="1" applyBorder="1" applyAlignment="1">
      <alignment horizontal="left" indent="1"/>
    </xf>
    <xf numFmtId="0" fontId="58" fillId="0" borderId="0" xfId="0" applyFont="1" applyFill="1" applyAlignment="1">
      <alignment horizontal="centerContinuous" vertical="center"/>
    </xf>
    <xf numFmtId="0" fontId="74" fillId="4" borderId="3" xfId="0" applyFont="1" applyFill="1" applyBorder="1" applyAlignment="1">
      <alignment horizontal="centerContinuous"/>
    </xf>
    <xf numFmtId="0" fontId="63" fillId="0" borderId="0" xfId="0" applyFont="1" applyAlignment="1">
      <alignment horizontal="left" indent="1"/>
    </xf>
    <xf numFmtId="0" fontId="74" fillId="4" borderId="5" xfId="0" applyFont="1" applyFill="1" applyBorder="1" applyAlignment="1">
      <alignment horizontal="centerContinuous"/>
    </xf>
    <xf numFmtId="0" fontId="61" fillId="0" borderId="0" xfId="0" applyFont="1" applyBorder="1" applyAlignment="1">
      <alignment horizontal="left" indent="1"/>
    </xf>
    <xf numFmtId="0" fontId="72" fillId="2" borderId="15" xfId="0" applyFont="1" applyFill="1" applyBorder="1" applyAlignment="1">
      <alignment horizontal="left" indent="1"/>
    </xf>
    <xf numFmtId="0" fontId="72" fillId="2" borderId="15" xfId="0" applyFont="1" applyFill="1" applyBorder="1" applyAlignment="1">
      <alignment horizontal="left" wrapText="1"/>
    </xf>
    <xf numFmtId="0" fontId="70" fillId="0" borderId="0" xfId="0" applyFont="1" applyAlignment="1">
      <alignment horizontal="left" indent="1"/>
    </xf>
    <xf numFmtId="0" fontId="78" fillId="5" borderId="19" xfId="30862" applyFont="1" applyBorder="1"/>
    <xf numFmtId="0" fontId="67" fillId="0" borderId="19" xfId="0" applyFont="1" applyBorder="1"/>
    <xf numFmtId="0" fontId="0" fillId="0" borderId="0" xfId="0" applyFont="1" applyBorder="1" applyAlignment="1">
      <alignment horizontal="left" indent="2"/>
    </xf>
    <xf numFmtId="0" fontId="55" fillId="0" borderId="0" xfId="0" applyFont="1" applyBorder="1"/>
    <xf numFmtId="0" fontId="55" fillId="2" borderId="16" xfId="7" applyFont="1" applyFill="1" applyBorder="1" applyAlignment="1">
      <alignment horizontal="center" wrapText="1"/>
    </xf>
    <xf numFmtId="0" fontId="63" fillId="0" borderId="0" xfId="0" applyFont="1" applyFill="1"/>
    <xf numFmtId="0" fontId="61" fillId="0" borderId="12" xfId="0" applyFont="1" applyFill="1" applyBorder="1" applyAlignment="1">
      <alignment horizontal="left" indent="1"/>
    </xf>
    <xf numFmtId="0" fontId="61" fillId="0" borderId="12" xfId="0" applyFont="1" applyFill="1" applyBorder="1"/>
    <xf numFmtId="0" fontId="61" fillId="0" borderId="0" xfId="0" applyFont="1" applyFill="1"/>
    <xf numFmtId="0" fontId="61" fillId="0" borderId="24" xfId="0" applyFont="1" applyBorder="1" applyAlignment="1">
      <alignment horizontal="left" indent="1"/>
    </xf>
    <xf numFmtId="0" fontId="66" fillId="2" borderId="24" xfId="30860" applyFont="1" applyFill="1" applyBorder="1" applyAlignment="1">
      <alignment horizontal="left" indent="1"/>
    </xf>
    <xf numFmtId="0" fontId="61" fillId="0" borderId="24" xfId="0" applyFont="1" applyBorder="1"/>
    <xf numFmtId="0" fontId="66" fillId="5" borderId="25" xfId="30860" applyFont="1" applyBorder="1" applyAlignment="1">
      <alignment horizontal="left" indent="1"/>
    </xf>
    <xf numFmtId="0" fontId="66" fillId="5" borderId="23" xfId="30860" applyFont="1" applyBorder="1" applyAlignment="1">
      <alignment horizontal="left" wrapText="1"/>
    </xf>
    <xf numFmtId="0" fontId="66" fillId="5" borderId="8" xfId="30860" applyFont="1" applyBorder="1" applyAlignment="1">
      <alignment horizontal="left" indent="1"/>
    </xf>
    <xf numFmtId="0" fontId="66" fillId="5" borderId="13" xfId="30860" applyFont="1" applyBorder="1" applyAlignment="1">
      <alignment horizontal="left" wrapText="1"/>
    </xf>
    <xf numFmtId="0" fontId="66" fillId="2" borderId="8" xfId="30860" applyFont="1" applyFill="1" applyBorder="1" applyAlignment="1">
      <alignment horizontal="left" wrapText="1" indent="1"/>
    </xf>
    <xf numFmtId="0" fontId="66" fillId="2" borderId="13" xfId="30860" applyFont="1" applyFill="1" applyBorder="1" applyAlignment="1">
      <alignment horizontal="left" wrapText="1"/>
    </xf>
    <xf numFmtId="0" fontId="66" fillId="5" borderId="9" xfId="30860" applyFont="1" applyBorder="1" applyAlignment="1">
      <alignment horizontal="left" indent="1"/>
    </xf>
    <xf numFmtId="0" fontId="66" fillId="5" borderId="11" xfId="30860" applyFont="1" applyBorder="1" applyAlignment="1">
      <alignment horizontal="left" indent="1"/>
    </xf>
    <xf numFmtId="0" fontId="66" fillId="5" borderId="14" xfId="30860" applyFont="1" applyBorder="1" applyAlignment="1">
      <alignment horizontal="left" wrapText="1"/>
    </xf>
    <xf numFmtId="0" fontId="66" fillId="2" borderId="1" xfId="30860" applyFont="1" applyFill="1" applyBorder="1" applyAlignment="1">
      <alignment horizontal="center" wrapText="1"/>
    </xf>
    <xf numFmtId="0" fontId="24" fillId="2" borderId="17" xfId="30862" applyFill="1" applyBorder="1" applyAlignment="1">
      <alignment horizontal="center" wrapText="1"/>
    </xf>
    <xf numFmtId="0" fontId="72" fillId="2" borderId="15" xfId="0" applyFont="1" applyFill="1" applyBorder="1" applyAlignment="1">
      <alignment horizontal="center"/>
    </xf>
    <xf numFmtId="0" fontId="66" fillId="6" borderId="25" xfId="30860" applyFont="1" applyFill="1" applyBorder="1" applyAlignment="1">
      <alignment horizontal="left" indent="1"/>
    </xf>
    <xf numFmtId="0" fontId="63" fillId="6" borderId="24" xfId="0" applyFont="1" applyFill="1" applyBorder="1"/>
    <xf numFmtId="0" fontId="63" fillId="6" borderId="24" xfId="0" applyFont="1" applyFill="1" applyBorder="1" applyAlignment="1">
      <alignment horizontal="left" indent="1"/>
    </xf>
    <xf numFmtId="0" fontId="63" fillId="6" borderId="23" xfId="0" applyFont="1" applyFill="1" applyBorder="1" applyAlignment="1">
      <alignment wrapText="1"/>
    </xf>
    <xf numFmtId="0" fontId="66" fillId="6" borderId="8" xfId="30860" applyFont="1" applyFill="1" applyBorder="1" applyAlignment="1">
      <alignment horizontal="left" indent="1"/>
    </xf>
    <xf numFmtId="0" fontId="63" fillId="6" borderId="12" xfId="0" applyFont="1" applyFill="1" applyBorder="1"/>
    <xf numFmtId="0" fontId="63" fillId="6" borderId="12" xfId="0" applyFont="1" applyFill="1" applyBorder="1" applyAlignment="1">
      <alignment horizontal="left" indent="1"/>
    </xf>
    <xf numFmtId="0" fontId="63" fillId="6" borderId="13" xfId="0" applyFont="1" applyFill="1" applyBorder="1" applyAlignment="1">
      <alignment wrapText="1"/>
    </xf>
    <xf numFmtId="0" fontId="2" fillId="6" borderId="8" xfId="7" applyFont="1" applyFill="1" applyBorder="1" applyAlignment="1">
      <alignment horizontal="left" indent="1"/>
    </xf>
    <xf numFmtId="0" fontId="65" fillId="6" borderId="12" xfId="0" applyFont="1" applyFill="1" applyBorder="1"/>
    <xf numFmtId="0" fontId="65" fillId="6" borderId="13" xfId="0" applyFont="1" applyFill="1" applyBorder="1"/>
    <xf numFmtId="0" fontId="24" fillId="6" borderId="9" xfId="30862" applyFill="1" applyBorder="1" applyAlignment="1">
      <alignment horizontal="left" indent="1"/>
    </xf>
    <xf numFmtId="0" fontId="0" fillId="6" borderId="11" xfId="0" applyFill="1" applyBorder="1"/>
    <xf numFmtId="0" fontId="0" fillId="6" borderId="14" xfId="0" applyFill="1" applyBorder="1"/>
    <xf numFmtId="0" fontId="66" fillId="5" borderId="19" xfId="30860" applyFont="1" applyBorder="1"/>
    <xf numFmtId="0" fontId="63" fillId="0" borderId="19" xfId="0" applyFont="1" applyBorder="1"/>
    <xf numFmtId="0" fontId="66" fillId="5" borderId="19" xfId="30860" applyFont="1" applyBorder="1" applyAlignment="1">
      <alignment wrapText="1"/>
    </xf>
    <xf numFmtId="0" fontId="66" fillId="5" borderId="19" xfId="30862" applyFont="1" applyBorder="1"/>
    <xf numFmtId="49" fontId="63" fillId="0" borderId="19" xfId="0" applyNumberFormat="1" applyFont="1" applyBorder="1" applyAlignment="1">
      <alignment horizontal="left" wrapText="1" indent="1"/>
    </xf>
    <xf numFmtId="0" fontId="66" fillId="5" borderId="19" xfId="30862" applyFont="1" applyBorder="1" applyAlignment="1">
      <alignment wrapText="1"/>
    </xf>
    <xf numFmtId="0" fontId="66" fillId="5" borderId="19" xfId="61794" applyFont="1" applyBorder="1"/>
    <xf numFmtId="0" fontId="63" fillId="0" borderId="19" xfId="61795" applyFont="1" applyBorder="1" applyAlignment="1">
      <alignment horizontal="left" indent="1"/>
    </xf>
    <xf numFmtId="0" fontId="63" fillId="0" borderId="19" xfId="61795" applyFont="1" applyBorder="1"/>
    <xf numFmtId="0" fontId="66" fillId="5" borderId="19" xfId="61794" applyFont="1" applyBorder="1" applyAlignment="1">
      <alignment wrapText="1"/>
    </xf>
    <xf numFmtId="0" fontId="63" fillId="0" borderId="19" xfId="61795" applyNumberFormat="1" applyFont="1" applyBorder="1" applyAlignment="1">
      <alignment horizontal="left" wrapText="1" indent="1"/>
    </xf>
    <xf numFmtId="0" fontId="0" fillId="0" borderId="19" xfId="0" applyBorder="1" applyAlignment="1">
      <alignment horizontal="left" wrapText="1" indent="1"/>
    </xf>
    <xf numFmtId="0" fontId="67" fillId="0" borderId="19" xfId="0" applyFont="1" applyBorder="1" applyAlignment="1">
      <alignment horizontal="left" wrapText="1" indent="1"/>
    </xf>
    <xf numFmtId="1" fontId="0" fillId="0" borderId="19" xfId="0" applyNumberFormat="1" applyBorder="1" applyAlignment="1">
      <alignment horizontal="left" wrapText="1" indent="1"/>
    </xf>
    <xf numFmtId="49" fontId="0" fillId="0" borderId="19" xfId="0" applyNumberFormat="1" applyBorder="1" applyAlignment="1">
      <alignment horizontal="left" wrapText="1" indent="1"/>
    </xf>
    <xf numFmtId="1" fontId="63" fillId="0" borderId="19" xfId="0" applyNumberFormat="1" applyFont="1" applyBorder="1" applyAlignment="1">
      <alignment horizontal="left" wrapText="1" indent="1"/>
    </xf>
    <xf numFmtId="0" fontId="63" fillId="0" borderId="19" xfId="61795" applyFont="1" applyBorder="1" applyAlignment="1">
      <alignment horizontal="left" wrapText="1" indent="1"/>
    </xf>
    <xf numFmtId="0" fontId="59" fillId="3" borderId="0" xfId="0" applyFont="1" applyFill="1" applyAlignment="1">
      <alignment horizontal="center" vertical="center"/>
    </xf>
    <xf numFmtId="0" fontId="75" fillId="3" borderId="0" xfId="0" applyFont="1" applyFill="1" applyAlignment="1">
      <alignment horizontal="center" vertical="center" wrapText="1"/>
    </xf>
    <xf numFmtId="0" fontId="57" fillId="4" borderId="21" xfId="0" applyFont="1" applyFill="1" applyBorder="1" applyAlignment="1">
      <alignment horizontal="center"/>
    </xf>
    <xf numFmtId="0" fontId="57" fillId="4" borderId="18" xfId="0" applyFont="1" applyFill="1" applyBorder="1" applyAlignment="1">
      <alignment horizontal="center"/>
    </xf>
    <xf numFmtId="0" fontId="57" fillId="4" borderId="22" xfId="0" applyFont="1" applyFill="1" applyBorder="1" applyAlignment="1">
      <alignment horizontal="center"/>
    </xf>
    <xf numFmtId="49" fontId="0" fillId="0" borderId="0" xfId="0" applyNumberFormat="1" applyAlignment="1">
      <alignment horizontal="left" indent="1"/>
    </xf>
  </cellXfs>
  <cellStyles count="6179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3" xfId="61771"/>
    <cellStyle name="20% - Accent1 2 20 6" xfId="61772"/>
    <cellStyle name="20% - Accent1 2 20 7" xfId="61766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794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787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3 4" xfId="61793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19 2" xfId="61789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3 4" xfId="61792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4 3" xfId="61788"/>
    <cellStyle name="20% - Accent1 7 4 11 2 4 3 2" xfId="61791"/>
    <cellStyle name="20% - Accent1 7 4 11 3" xfId="61768"/>
    <cellStyle name="20% - Accent1 7 4 11 4" xfId="61790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4" xfId="61786"/>
    <cellStyle name="20% - Accent1 7 4 12 2 4" xfId="61777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Normal" xfId="0" builtinId="0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6" xfId="61795"/>
    <cellStyle name="Style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419100</xdr:colOff>
          <xdr:row>23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409575</xdr:colOff>
          <xdr:row>27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19</xdr:row>
          <xdr:rowOff>0</xdr:rowOff>
        </xdr:from>
        <xdr:to>
          <xdr:col>1</xdr:col>
          <xdr:colOff>257175</xdr:colOff>
          <xdr:row>20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17</xdr:row>
          <xdr:rowOff>66675</xdr:rowOff>
        </xdr:from>
        <xdr:to>
          <xdr:col>0</xdr:col>
          <xdr:colOff>1905000</xdr:colOff>
          <xdr:row>18</xdr:row>
          <xdr:rowOff>76200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180" name="Commercial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L36"/>
  <sheetViews>
    <sheetView tabSelected="1" zoomScale="82" zoomScaleNormal="82" workbookViewId="0">
      <selection activeCell="B10" sqref="B10:B15"/>
    </sheetView>
  </sheetViews>
  <sheetFormatPr defaultRowHeight="12.75" x14ac:dyDescent="0.2"/>
  <cols>
    <col min="1" max="1" width="29.5703125" customWidth="1"/>
    <col min="2" max="2" width="24.140625" style="8" customWidth="1"/>
    <col min="3" max="3" width="13.28515625" bestFit="1" customWidth="1"/>
    <col min="4" max="4" width="12.7109375" bestFit="1" customWidth="1"/>
    <col min="5" max="5" width="13.140625" bestFit="1" customWidth="1"/>
    <col min="6" max="6" width="12.7109375" bestFit="1" customWidth="1"/>
    <col min="7" max="7" width="13.140625" bestFit="1" customWidth="1"/>
  </cols>
  <sheetData>
    <row r="1" spans="1:7" s="1" customFormat="1" ht="12.75" customHeight="1" x14ac:dyDescent="0.3"/>
    <row r="2" spans="1:7" s="6" customFormat="1" ht="45" customHeight="1" x14ac:dyDescent="0.2">
      <c r="A2" s="140" t="s">
        <v>267</v>
      </c>
      <c r="B2" s="140"/>
      <c r="C2" s="77"/>
    </row>
    <row r="3" spans="1:7" s="1" customFormat="1" ht="15" x14ac:dyDescent="0.3">
      <c r="G3" s="10"/>
    </row>
    <row r="4" spans="1:7" s="1" customFormat="1" ht="15" x14ac:dyDescent="0.3">
      <c r="A4" s="3" t="s">
        <v>0</v>
      </c>
      <c r="B4" s="15">
        <f>MAX('Revision History'!C:C)</f>
        <v>42496</v>
      </c>
      <c r="G4" s="10"/>
    </row>
    <row r="5" spans="1:7" s="1" customFormat="1" ht="15" x14ac:dyDescent="0.3">
      <c r="A5" s="3" t="s">
        <v>1</v>
      </c>
      <c r="B5" s="16">
        <f>MAX('Revision History'!B:B)</f>
        <v>24</v>
      </c>
      <c r="G5" s="10"/>
    </row>
    <row r="6" spans="1:7" s="1" customFormat="1" ht="15" x14ac:dyDescent="0.3">
      <c r="A6" s="10" t="s">
        <v>266</v>
      </c>
      <c r="B6" s="84" t="s">
        <v>343</v>
      </c>
    </row>
    <row r="7" spans="1:7" s="1" customFormat="1" ht="15" x14ac:dyDescent="0.3">
      <c r="A7" s="10" t="s">
        <v>264</v>
      </c>
      <c r="B7" s="13" t="s">
        <v>336</v>
      </c>
    </row>
    <row r="8" spans="1:7" s="1" customFormat="1" ht="15" x14ac:dyDescent="0.3">
      <c r="A8" s="10" t="s">
        <v>265</v>
      </c>
      <c r="B8" s="13" t="s">
        <v>337</v>
      </c>
    </row>
    <row r="9" spans="1:7" s="29" customFormat="1" ht="15" x14ac:dyDescent="0.3">
      <c r="A9" s="10" t="s">
        <v>335</v>
      </c>
      <c r="B9" s="13" t="s">
        <v>275</v>
      </c>
    </row>
    <row r="10" spans="1:7" s="1" customFormat="1" ht="20.25" thickBot="1" x14ac:dyDescent="0.45">
      <c r="A10" s="14" t="s">
        <v>72</v>
      </c>
      <c r="B10" s="37"/>
    </row>
    <row r="11" spans="1:7" s="1" customFormat="1" ht="15.75" thickBot="1" x14ac:dyDescent="0.35">
      <c r="A11" s="5"/>
      <c r="B11" s="5" t="s">
        <v>338</v>
      </c>
    </row>
    <row r="12" spans="1:7" s="2" customFormat="1" ht="15" x14ac:dyDescent="0.3">
      <c r="A12" s="4" t="s">
        <v>2</v>
      </c>
      <c r="B12" s="30">
        <v>26</v>
      </c>
    </row>
    <row r="13" spans="1:7" s="17" customFormat="1" ht="15" x14ac:dyDescent="0.3">
      <c r="A13" s="9" t="s">
        <v>50</v>
      </c>
      <c r="B13" s="9" t="str">
        <f>Commercial!$F$140</f>
        <v>0x05011A0B</v>
      </c>
    </row>
    <row r="14" spans="1:7" s="47" customFormat="1" ht="15" x14ac:dyDescent="0.3">
      <c r="A14" s="30" t="s">
        <v>58</v>
      </c>
      <c r="B14" s="30">
        <v>1</v>
      </c>
    </row>
    <row r="15" spans="1:7" s="17" customFormat="1" ht="15.75" thickBot="1" x14ac:dyDescent="0.35">
      <c r="A15" s="74" t="s">
        <v>286</v>
      </c>
      <c r="B15" s="74"/>
    </row>
    <row r="16" spans="1:7" s="44" customFormat="1" ht="15" x14ac:dyDescent="0.3">
      <c r="A16" s="76"/>
      <c r="B16" s="76"/>
      <c r="C16" s="76"/>
      <c r="D16" s="76"/>
      <c r="E16" s="76"/>
      <c r="F16" s="76"/>
      <c r="G16" s="76"/>
    </row>
    <row r="17" spans="1:12" s="44" customFormat="1" ht="15" x14ac:dyDescent="0.3">
      <c r="A17" s="76"/>
      <c r="C17" s="76"/>
      <c r="D17" s="76"/>
      <c r="E17" s="76"/>
      <c r="F17" s="76"/>
      <c r="G17" s="76"/>
      <c r="I17" s="47"/>
      <c r="J17" s="47"/>
      <c r="K17" s="47"/>
      <c r="L17" s="47"/>
    </row>
    <row r="18" spans="1:12" s="44" customFormat="1" ht="15" x14ac:dyDescent="0.3">
      <c r="A18" s="76"/>
      <c r="B18" s="76"/>
      <c r="C18" s="76"/>
      <c r="D18" s="76"/>
      <c r="E18" s="76"/>
      <c r="F18" s="76"/>
      <c r="G18" s="76"/>
      <c r="I18" s="47"/>
      <c r="J18" s="47"/>
      <c r="K18" s="47"/>
      <c r="L18" s="47"/>
    </row>
    <row r="19" spans="1:12" s="44" customFormat="1" ht="15" x14ac:dyDescent="0.3">
      <c r="A19" s="76"/>
      <c r="B19" s="76"/>
      <c r="C19" s="76"/>
      <c r="D19" s="76"/>
      <c r="E19" s="76"/>
      <c r="F19" s="76"/>
      <c r="G19" s="76"/>
      <c r="I19" s="47"/>
      <c r="J19" s="47"/>
      <c r="K19" s="47"/>
      <c r="L19" s="47"/>
    </row>
    <row r="20" spans="1:12" s="88" customFormat="1" ht="15" x14ac:dyDescent="0.3">
      <c r="A20" s="87" t="s">
        <v>99</v>
      </c>
      <c r="B20" s="87"/>
    </row>
    <row r="21" spans="1:12" s="2" customFormat="1" ht="15" x14ac:dyDescent="0.3">
      <c r="A21" s="7"/>
      <c r="B21" s="7"/>
    </row>
    <row r="22" spans="1:12" s="2" customFormat="1" ht="15" x14ac:dyDescent="0.3">
      <c r="A22"/>
      <c r="B22" s="8"/>
      <c r="C22"/>
    </row>
    <row r="23" spans="1:12" s="2" customFormat="1" ht="15" x14ac:dyDescent="0.3">
      <c r="A23"/>
      <c r="B23" s="8"/>
      <c r="C23"/>
    </row>
    <row r="24" spans="1:12" s="2" customFormat="1" ht="15" x14ac:dyDescent="0.3">
      <c r="A24"/>
      <c r="B24" s="8"/>
      <c r="C24"/>
    </row>
    <row r="35" spans="2:2" x14ac:dyDescent="0.2">
      <c r="B35"/>
    </row>
    <row r="36" spans="2:2" x14ac:dyDescent="0.2">
      <c r="B36"/>
    </row>
  </sheetData>
  <dataConsolidate/>
  <mergeCells count="1">
    <mergeCell ref="A2:B2"/>
  </mergeCells>
  <hyperlinks>
    <hyperlink ref="B11" location="'Commercial'!A5" tooltip="Jump to worksheet" display="'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19</xdr:row>
                    <xdr:rowOff>0</xdr:rowOff>
                  </from>
                  <to>
                    <xdr:col>1</xdr:col>
                    <xdr:colOff>257175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419100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409575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9" name="Button 67">
              <controlPr defaultSize="0" print="0" autoFill="0" autoPict="0" macro="[0]!RefreshSummary">
                <anchor moveWithCells="1" sizeWithCells="1">
                  <from>
                    <xdr:col>0</xdr:col>
                    <xdr:colOff>561975</xdr:colOff>
                    <xdr:row>17</xdr:row>
                    <xdr:rowOff>66675</xdr:rowOff>
                  </from>
                  <to>
                    <xdr:col>0</xdr:col>
                    <xdr:colOff>1905000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59"/>
  <sheetViews>
    <sheetView topLeftCell="A134" zoomScale="82" zoomScaleNormal="82" workbookViewId="0">
      <selection activeCell="F155" sqref="F155"/>
    </sheetView>
  </sheetViews>
  <sheetFormatPr defaultColWidth="9.140625" defaultRowHeight="12.75" x14ac:dyDescent="0.2"/>
  <cols>
    <col min="1" max="1" width="41.85546875" style="46" bestFit="1" customWidth="1"/>
    <col min="2" max="2" width="63.28515625" style="46" customWidth="1"/>
    <col min="3" max="3" width="13.7109375" style="46" bestFit="1" customWidth="1"/>
    <col min="4" max="4" width="13.85546875" style="46" bestFit="1" customWidth="1"/>
    <col min="5" max="5" width="34" style="46" customWidth="1"/>
    <col min="6" max="6" width="21.5703125" style="18" customWidth="1"/>
    <col min="7" max="7" width="10.42578125" style="46" bestFit="1" customWidth="1"/>
    <col min="8" max="8" width="70.140625" style="19" customWidth="1"/>
    <col min="9" max="9" width="44.28515625" style="46" customWidth="1"/>
    <col min="10" max="16384" width="9.140625" style="46"/>
  </cols>
  <sheetData>
    <row r="1" spans="1:9" s="33" customFormat="1" x14ac:dyDescent="0.2">
      <c r="F1" s="79"/>
      <c r="H1" s="64"/>
    </row>
    <row r="2" spans="1:9" s="72" customFormat="1" ht="45" customHeight="1" x14ac:dyDescent="0.55000000000000004">
      <c r="A2" s="141" t="s">
        <v>276</v>
      </c>
      <c r="B2" s="141"/>
      <c r="C2" s="141"/>
      <c r="D2" s="141"/>
      <c r="E2" s="141"/>
      <c r="F2" s="141"/>
      <c r="G2" s="141"/>
      <c r="H2" s="141"/>
      <c r="I2" s="141"/>
    </row>
    <row r="3" spans="1:9" s="33" customFormat="1" ht="13.5" thickBot="1" x14ac:dyDescent="0.25">
      <c r="A3" s="11"/>
      <c r="F3" s="79"/>
      <c r="H3" s="64"/>
    </row>
    <row r="4" spans="1:9" s="61" customFormat="1" ht="20.25" thickBot="1" x14ac:dyDescent="0.45">
      <c r="A4" s="78" t="s">
        <v>282</v>
      </c>
      <c r="B4" s="70"/>
      <c r="C4" s="70"/>
      <c r="D4" s="70"/>
      <c r="E4" s="70"/>
      <c r="F4" s="70"/>
      <c r="G4" s="70"/>
      <c r="H4" s="80"/>
    </row>
    <row r="5" spans="1:9" s="63" customFormat="1" ht="15.75" thickBot="1" x14ac:dyDescent="0.35">
      <c r="A5" s="62" t="s">
        <v>9</v>
      </c>
      <c r="B5" s="68" t="s">
        <v>8</v>
      </c>
      <c r="C5" s="62" t="s">
        <v>44</v>
      </c>
      <c r="D5" s="62" t="s">
        <v>45</v>
      </c>
      <c r="E5" s="62" t="s">
        <v>10</v>
      </c>
      <c r="F5" s="62" t="s">
        <v>46</v>
      </c>
      <c r="G5" s="67" t="s">
        <v>52</v>
      </c>
      <c r="H5" s="69" t="s">
        <v>11</v>
      </c>
    </row>
    <row r="6" spans="1:9" s="17" customFormat="1" ht="17.25" x14ac:dyDescent="0.35">
      <c r="A6" s="97" t="s">
        <v>14</v>
      </c>
      <c r="B6" s="94">
        <v>71</v>
      </c>
      <c r="C6" s="94"/>
      <c r="D6" s="96"/>
      <c r="E6" s="95" t="s">
        <v>15</v>
      </c>
      <c r="F6" s="94"/>
      <c r="G6" s="96" t="s">
        <v>56</v>
      </c>
      <c r="H6" s="98" t="s">
        <v>7</v>
      </c>
    </row>
    <row r="7" spans="1:9" s="17" customFormat="1" ht="17.25" x14ac:dyDescent="0.35">
      <c r="A7" s="99"/>
      <c r="B7" s="32"/>
      <c r="C7" s="32" t="s">
        <v>48</v>
      </c>
      <c r="D7" s="36">
        <v>13</v>
      </c>
      <c r="E7" s="50" t="s">
        <v>16</v>
      </c>
      <c r="F7" s="32" t="s">
        <v>275</v>
      </c>
      <c r="G7" s="36"/>
      <c r="H7" s="100" t="s">
        <v>100</v>
      </c>
    </row>
    <row r="8" spans="1:9" s="17" customFormat="1" ht="17.25" x14ac:dyDescent="0.35">
      <c r="A8" s="99" t="s">
        <v>101</v>
      </c>
      <c r="B8" s="32">
        <v>553</v>
      </c>
      <c r="C8" s="32" t="s">
        <v>47</v>
      </c>
      <c r="D8" s="36">
        <v>1</v>
      </c>
      <c r="E8" s="50" t="s">
        <v>102</v>
      </c>
      <c r="F8" s="32" t="s">
        <v>27</v>
      </c>
      <c r="G8" s="36" t="s">
        <v>56</v>
      </c>
      <c r="H8" s="100" t="s">
        <v>103</v>
      </c>
    </row>
    <row r="9" spans="1:9" s="17" customFormat="1" ht="17.25" x14ac:dyDescent="0.35">
      <c r="A9" s="99" t="s">
        <v>104</v>
      </c>
      <c r="B9" s="32">
        <v>848</v>
      </c>
      <c r="C9" s="32"/>
      <c r="D9" s="36"/>
      <c r="E9" s="50"/>
      <c r="F9" s="32"/>
      <c r="G9" s="36" t="s">
        <v>73</v>
      </c>
      <c r="H9" s="100"/>
    </row>
    <row r="10" spans="1:9" s="17" customFormat="1" ht="17.25" x14ac:dyDescent="0.35">
      <c r="A10" s="99"/>
      <c r="B10" s="32"/>
      <c r="C10" s="32" t="s">
        <v>47</v>
      </c>
      <c r="D10" s="36">
        <v>1</v>
      </c>
      <c r="E10" s="50" t="s">
        <v>12</v>
      </c>
      <c r="F10" s="32">
        <v>0</v>
      </c>
      <c r="G10" s="36"/>
      <c r="H10" s="100"/>
    </row>
    <row r="11" spans="1:9" s="17" customFormat="1" ht="51.75" x14ac:dyDescent="0.35">
      <c r="A11" s="99"/>
      <c r="B11" s="32"/>
      <c r="C11" s="32" t="s">
        <v>47</v>
      </c>
      <c r="D11" s="36">
        <v>2</v>
      </c>
      <c r="E11" s="50" t="s">
        <v>105</v>
      </c>
      <c r="F11" s="32">
        <v>0</v>
      </c>
      <c r="G11" s="36"/>
      <c r="H11" s="100" t="s">
        <v>259</v>
      </c>
    </row>
    <row r="12" spans="1:9" s="17" customFormat="1" ht="17.25" x14ac:dyDescent="0.35">
      <c r="A12" s="99" t="s">
        <v>106</v>
      </c>
      <c r="B12" s="32">
        <v>849</v>
      </c>
      <c r="C12" s="32"/>
      <c r="D12" s="36"/>
      <c r="E12" s="50"/>
      <c r="F12" s="32"/>
      <c r="G12" s="36" t="s">
        <v>73</v>
      </c>
      <c r="H12" s="100"/>
    </row>
    <row r="13" spans="1:9" s="17" customFormat="1" ht="17.25" x14ac:dyDescent="0.35">
      <c r="A13" s="99"/>
      <c r="B13" s="32"/>
      <c r="C13" s="32" t="s">
        <v>47</v>
      </c>
      <c r="D13" s="36">
        <v>1</v>
      </c>
      <c r="E13" s="50" t="s">
        <v>12</v>
      </c>
      <c r="F13" s="32">
        <v>0</v>
      </c>
      <c r="G13" s="36"/>
      <c r="H13" s="100"/>
    </row>
    <row r="14" spans="1:9" s="17" customFormat="1" ht="51.75" x14ac:dyDescent="0.35">
      <c r="A14" s="99"/>
      <c r="B14" s="32"/>
      <c r="C14" s="32" t="s">
        <v>47</v>
      </c>
      <c r="D14" s="36">
        <v>2</v>
      </c>
      <c r="E14" s="50" t="s">
        <v>107</v>
      </c>
      <c r="F14" s="32">
        <v>0</v>
      </c>
      <c r="G14" s="36"/>
      <c r="H14" s="100" t="s">
        <v>260</v>
      </c>
    </row>
    <row r="15" spans="1:9" s="17" customFormat="1" ht="17.25" x14ac:dyDescent="0.35">
      <c r="A15" s="99" t="s">
        <v>59</v>
      </c>
      <c r="B15" s="32">
        <v>855</v>
      </c>
      <c r="C15" s="32" t="s">
        <v>47</v>
      </c>
      <c r="D15" s="36">
        <v>2</v>
      </c>
      <c r="E15" s="50" t="s">
        <v>21</v>
      </c>
      <c r="F15" s="32">
        <v>0</v>
      </c>
      <c r="G15" s="36" t="s">
        <v>56</v>
      </c>
      <c r="H15" s="100" t="s">
        <v>222</v>
      </c>
    </row>
    <row r="16" spans="1:9" s="17" customFormat="1" ht="17.25" x14ac:dyDescent="0.35">
      <c r="A16" s="99" t="s">
        <v>240</v>
      </c>
      <c r="B16" s="32">
        <v>562</v>
      </c>
      <c r="C16" s="32" t="s">
        <v>47</v>
      </c>
      <c r="D16" s="36">
        <v>1</v>
      </c>
      <c r="E16" s="50" t="s">
        <v>241</v>
      </c>
      <c r="F16" s="32">
        <v>1</v>
      </c>
      <c r="G16" s="36" t="s">
        <v>56</v>
      </c>
      <c r="H16" s="100" t="s">
        <v>13</v>
      </c>
    </row>
    <row r="17" spans="1:8" s="17" customFormat="1" ht="17.25" x14ac:dyDescent="0.35">
      <c r="A17" s="99" t="s">
        <v>63</v>
      </c>
      <c r="B17" s="32">
        <v>4265</v>
      </c>
      <c r="C17" s="32" t="s">
        <v>47</v>
      </c>
      <c r="D17" s="36">
        <v>1</v>
      </c>
      <c r="E17" s="50" t="s">
        <v>253</v>
      </c>
      <c r="F17" s="32" t="s">
        <v>28</v>
      </c>
      <c r="G17" s="36" t="s">
        <v>56</v>
      </c>
      <c r="H17" s="100"/>
    </row>
    <row r="18" spans="1:8" s="17" customFormat="1" ht="17.25" x14ac:dyDescent="0.35">
      <c r="A18" s="99" t="s">
        <v>64</v>
      </c>
      <c r="B18" s="32">
        <v>6862</v>
      </c>
      <c r="C18" s="32" t="s">
        <v>47</v>
      </c>
      <c r="D18" s="36">
        <v>1</v>
      </c>
      <c r="E18" s="50"/>
      <c r="F18" s="32">
        <v>1</v>
      </c>
      <c r="G18" s="36" t="s">
        <v>56</v>
      </c>
      <c r="H18" s="100" t="s">
        <v>7</v>
      </c>
    </row>
    <row r="19" spans="1:8" s="17" customFormat="1" ht="17.25" x14ac:dyDescent="0.35">
      <c r="A19" s="99" t="s">
        <v>60</v>
      </c>
      <c r="B19" s="32">
        <v>880</v>
      </c>
      <c r="C19" s="32" t="s">
        <v>47</v>
      </c>
      <c r="D19" s="36">
        <v>1</v>
      </c>
      <c r="E19" s="50" t="s">
        <v>108</v>
      </c>
      <c r="F19" s="32" t="s">
        <v>4</v>
      </c>
      <c r="G19" s="36" t="s">
        <v>56</v>
      </c>
      <c r="H19" s="100"/>
    </row>
    <row r="20" spans="1:8" s="17" customFormat="1" ht="17.25" x14ac:dyDescent="0.35">
      <c r="A20" s="99" t="s">
        <v>61</v>
      </c>
      <c r="B20" s="32">
        <v>881</v>
      </c>
      <c r="C20" s="32" t="s">
        <v>47</v>
      </c>
      <c r="D20" s="36">
        <v>1</v>
      </c>
      <c r="E20" s="50" t="s">
        <v>109</v>
      </c>
      <c r="F20" s="32" t="s">
        <v>4</v>
      </c>
      <c r="G20" s="36" t="s">
        <v>56</v>
      </c>
      <c r="H20" s="100"/>
    </row>
    <row r="21" spans="1:8" s="17" customFormat="1" ht="17.25" x14ac:dyDescent="0.35">
      <c r="A21" s="99" t="s">
        <v>62</v>
      </c>
      <c r="B21" s="32">
        <v>882</v>
      </c>
      <c r="C21" s="32" t="s">
        <v>47</v>
      </c>
      <c r="D21" s="36">
        <v>1</v>
      </c>
      <c r="E21" s="50" t="s">
        <v>110</v>
      </c>
      <c r="F21" s="32" t="s">
        <v>28</v>
      </c>
      <c r="G21" s="36" t="s">
        <v>56</v>
      </c>
      <c r="H21" s="100"/>
    </row>
    <row r="22" spans="1:8" s="17" customFormat="1" ht="34.5" x14ac:dyDescent="0.35">
      <c r="A22" s="99" t="s">
        <v>111</v>
      </c>
      <c r="B22" s="32">
        <v>896</v>
      </c>
      <c r="C22" s="32" t="s">
        <v>47</v>
      </c>
      <c r="D22" s="36">
        <v>2</v>
      </c>
      <c r="E22" s="50" t="s">
        <v>112</v>
      </c>
      <c r="F22" s="32">
        <v>1</v>
      </c>
      <c r="G22" s="36" t="s">
        <v>56</v>
      </c>
      <c r="H22" s="100" t="s">
        <v>261</v>
      </c>
    </row>
    <row r="23" spans="1:8" s="17" customFormat="1" ht="69" x14ac:dyDescent="0.35">
      <c r="A23" s="99" t="s">
        <v>113</v>
      </c>
      <c r="B23" s="32">
        <v>909</v>
      </c>
      <c r="C23" s="32" t="s">
        <v>47</v>
      </c>
      <c r="D23" s="36">
        <v>1</v>
      </c>
      <c r="E23" s="50" t="s">
        <v>33</v>
      </c>
      <c r="F23" s="32">
        <v>2</v>
      </c>
      <c r="G23" s="36" t="s">
        <v>56</v>
      </c>
      <c r="H23" s="100" t="s">
        <v>114</v>
      </c>
    </row>
    <row r="24" spans="1:8" s="17" customFormat="1" ht="17.25" x14ac:dyDescent="0.35">
      <c r="A24" s="99" t="s">
        <v>42</v>
      </c>
      <c r="B24" s="32">
        <v>1877</v>
      </c>
      <c r="C24" s="32"/>
      <c r="D24" s="36"/>
      <c r="E24" s="50" t="s">
        <v>43</v>
      </c>
      <c r="F24" s="32"/>
      <c r="G24" s="36" t="s">
        <v>7</v>
      </c>
      <c r="H24" s="100" t="s">
        <v>242</v>
      </c>
    </row>
    <row r="25" spans="1:8" s="17" customFormat="1" ht="17.25" x14ac:dyDescent="0.35">
      <c r="A25" s="99"/>
      <c r="B25" s="32"/>
      <c r="C25" s="32" t="s">
        <v>47</v>
      </c>
      <c r="D25" s="36">
        <v>1</v>
      </c>
      <c r="E25" s="50"/>
      <c r="F25" s="32" t="s">
        <v>236</v>
      </c>
      <c r="G25" s="36"/>
      <c r="H25" s="100"/>
    </row>
    <row r="26" spans="1:8" s="17" customFormat="1" ht="17.25" x14ac:dyDescent="0.35">
      <c r="A26" s="99"/>
      <c r="B26" s="32"/>
      <c r="C26" s="32" t="s">
        <v>47</v>
      </c>
      <c r="D26" s="36">
        <v>1</v>
      </c>
      <c r="E26" s="50"/>
      <c r="F26" s="32" t="s">
        <v>5</v>
      </c>
      <c r="G26" s="36"/>
      <c r="H26" s="100"/>
    </row>
    <row r="27" spans="1:8" s="17" customFormat="1" ht="17.25" x14ac:dyDescent="0.35">
      <c r="A27" s="99"/>
      <c r="B27" s="32"/>
      <c r="C27" s="32" t="s">
        <v>47</v>
      </c>
      <c r="D27" s="36">
        <v>1</v>
      </c>
      <c r="E27" s="50"/>
      <c r="F27" s="32" t="s">
        <v>237</v>
      </c>
      <c r="G27" s="36"/>
      <c r="H27" s="100"/>
    </row>
    <row r="28" spans="1:8" s="17" customFormat="1" ht="17.25" x14ac:dyDescent="0.35">
      <c r="A28" s="99"/>
      <c r="B28" s="32"/>
      <c r="C28" s="32" t="s">
        <v>47</v>
      </c>
      <c r="D28" s="36">
        <v>1</v>
      </c>
      <c r="E28" s="50"/>
      <c r="F28" s="32" t="s">
        <v>238</v>
      </c>
      <c r="G28" s="36"/>
      <c r="H28" s="100"/>
    </row>
    <row r="29" spans="1:8" s="17" customFormat="1" ht="17.25" x14ac:dyDescent="0.35">
      <c r="A29" s="99"/>
      <c r="B29" s="32"/>
      <c r="C29" s="32" t="s">
        <v>47</v>
      </c>
      <c r="D29" s="36">
        <v>1</v>
      </c>
      <c r="E29" s="50"/>
      <c r="F29" s="32" t="s">
        <v>233</v>
      </c>
      <c r="G29" s="36"/>
      <c r="H29" s="100"/>
    </row>
    <row r="30" spans="1:8" s="17" customFormat="1" ht="17.25" x14ac:dyDescent="0.35">
      <c r="A30" s="99"/>
      <c r="B30" s="32"/>
      <c r="C30" s="32" t="s">
        <v>47</v>
      </c>
      <c r="D30" s="36">
        <v>1</v>
      </c>
      <c r="E30" s="50"/>
      <c r="F30" s="32" t="s">
        <v>234</v>
      </c>
      <c r="G30" s="36"/>
      <c r="H30" s="100"/>
    </row>
    <row r="31" spans="1:8" s="17" customFormat="1" ht="17.25" x14ac:dyDescent="0.35">
      <c r="A31" s="99"/>
      <c r="B31" s="32"/>
      <c r="C31" s="32" t="s">
        <v>47</v>
      </c>
      <c r="D31" s="36">
        <v>1</v>
      </c>
      <c r="E31" s="50"/>
      <c r="F31" s="32" t="s">
        <v>235</v>
      </c>
      <c r="G31" s="36"/>
      <c r="H31" s="100"/>
    </row>
    <row r="32" spans="1:8" s="17" customFormat="1" ht="17.25" x14ac:dyDescent="0.35">
      <c r="A32" s="99"/>
      <c r="B32" s="32"/>
      <c r="C32" s="32" t="s">
        <v>47</v>
      </c>
      <c r="D32" s="36">
        <v>1</v>
      </c>
      <c r="E32" s="50"/>
      <c r="F32" s="32" t="s">
        <v>28</v>
      </c>
      <c r="G32" s="36"/>
      <c r="H32" s="100"/>
    </row>
    <row r="33" spans="1:8" s="17" customFormat="1" ht="17.25" x14ac:dyDescent="0.35">
      <c r="A33" s="99" t="s">
        <v>115</v>
      </c>
      <c r="B33" s="32">
        <v>441</v>
      </c>
      <c r="C33" s="32"/>
      <c r="D33" s="36"/>
      <c r="E33" s="50"/>
      <c r="F33" s="32"/>
      <c r="G33" s="36" t="s">
        <v>73</v>
      </c>
      <c r="H33" s="100"/>
    </row>
    <row r="34" spans="1:8" s="17" customFormat="1" ht="17.25" x14ac:dyDescent="0.35">
      <c r="A34" s="99"/>
      <c r="B34" s="32"/>
      <c r="C34" s="32" t="s">
        <v>47</v>
      </c>
      <c r="D34" s="36">
        <v>1</v>
      </c>
      <c r="E34" s="50" t="s">
        <v>12</v>
      </c>
      <c r="F34" s="32">
        <v>0</v>
      </c>
      <c r="G34" s="36"/>
      <c r="H34" s="100"/>
    </row>
    <row r="35" spans="1:8" s="17" customFormat="1" ht="17.25" x14ac:dyDescent="0.35">
      <c r="A35" s="99"/>
      <c r="B35" s="32"/>
      <c r="C35" s="32" t="s">
        <v>47</v>
      </c>
      <c r="D35" s="36">
        <v>2</v>
      </c>
      <c r="E35" s="50" t="s">
        <v>116</v>
      </c>
      <c r="F35" s="32" t="s">
        <v>223</v>
      </c>
      <c r="G35" s="36"/>
      <c r="H35" s="100" t="s">
        <v>7</v>
      </c>
    </row>
    <row r="36" spans="1:8" s="17" customFormat="1" ht="17.25" x14ac:dyDescent="0.35">
      <c r="A36" s="99" t="s">
        <v>117</v>
      </c>
      <c r="B36" s="32">
        <v>946</v>
      </c>
      <c r="C36" s="32"/>
      <c r="D36" s="36"/>
      <c r="E36" s="50"/>
      <c r="F36" s="32"/>
      <c r="G36" s="36" t="s">
        <v>73</v>
      </c>
      <c r="H36" s="100"/>
    </row>
    <row r="37" spans="1:8" s="17" customFormat="1" ht="17.25" x14ac:dyDescent="0.35">
      <c r="A37" s="99"/>
      <c r="B37" s="32"/>
      <c r="C37" s="32" t="s">
        <v>47</v>
      </c>
      <c r="D37" s="36">
        <v>1</v>
      </c>
      <c r="E37" s="50" t="s">
        <v>12</v>
      </c>
      <c r="F37" s="32">
        <v>0</v>
      </c>
      <c r="G37" s="36"/>
      <c r="H37" s="100"/>
    </row>
    <row r="38" spans="1:8" s="17" customFormat="1" ht="17.25" x14ac:dyDescent="0.35">
      <c r="A38" s="99"/>
      <c r="B38" s="32"/>
      <c r="C38" s="32" t="s">
        <v>47</v>
      </c>
      <c r="D38" s="36">
        <v>2</v>
      </c>
      <c r="E38" s="50" t="s">
        <v>118</v>
      </c>
      <c r="F38" s="32" t="s">
        <v>226</v>
      </c>
      <c r="G38" s="36"/>
      <c r="H38" s="100" t="s">
        <v>7</v>
      </c>
    </row>
    <row r="39" spans="1:8" s="17" customFormat="1" ht="17.25" x14ac:dyDescent="0.35">
      <c r="A39" s="99" t="s">
        <v>119</v>
      </c>
      <c r="B39" s="32">
        <v>2954</v>
      </c>
      <c r="C39" s="32"/>
      <c r="D39" s="36"/>
      <c r="E39" s="50"/>
      <c r="F39" s="32"/>
      <c r="G39" s="36" t="s">
        <v>73</v>
      </c>
      <c r="H39" s="100"/>
    </row>
    <row r="40" spans="1:8" s="17" customFormat="1" ht="17.25" x14ac:dyDescent="0.35">
      <c r="A40" s="99"/>
      <c r="B40" s="32"/>
      <c r="C40" s="32" t="s">
        <v>47</v>
      </c>
      <c r="D40" s="36">
        <v>1</v>
      </c>
      <c r="E40" s="50" t="s">
        <v>12</v>
      </c>
      <c r="F40" s="32">
        <v>0</v>
      </c>
      <c r="G40" s="36"/>
      <c r="H40" s="100"/>
    </row>
    <row r="41" spans="1:8" s="17" customFormat="1" ht="17.25" x14ac:dyDescent="0.35">
      <c r="A41" s="99"/>
      <c r="B41" s="32"/>
      <c r="C41" s="32" t="s">
        <v>47</v>
      </c>
      <c r="D41" s="36">
        <v>4</v>
      </c>
      <c r="E41" s="50" t="s">
        <v>120</v>
      </c>
      <c r="F41" s="32" t="s">
        <v>68</v>
      </c>
      <c r="G41" s="36"/>
      <c r="H41" s="100" t="s">
        <v>7</v>
      </c>
    </row>
    <row r="42" spans="1:8" s="17" customFormat="1" ht="51.75" x14ac:dyDescent="0.35">
      <c r="A42" s="99" t="s">
        <v>121</v>
      </c>
      <c r="B42" s="32">
        <v>1016</v>
      </c>
      <c r="C42" s="32" t="s">
        <v>47</v>
      </c>
      <c r="D42" s="36">
        <v>1</v>
      </c>
      <c r="E42" s="50" t="s">
        <v>122</v>
      </c>
      <c r="F42" s="32">
        <v>1</v>
      </c>
      <c r="G42" s="36" t="s">
        <v>56</v>
      </c>
      <c r="H42" s="100" t="s">
        <v>123</v>
      </c>
    </row>
    <row r="43" spans="1:8" s="17" customFormat="1" ht="69" x14ac:dyDescent="0.35">
      <c r="A43" s="99" t="s">
        <v>124</v>
      </c>
      <c r="B43" s="32">
        <v>1017</v>
      </c>
      <c r="C43" s="32" t="s">
        <v>47</v>
      </c>
      <c r="D43" s="36">
        <v>1</v>
      </c>
      <c r="E43" s="50" t="s">
        <v>125</v>
      </c>
      <c r="F43" s="32">
        <v>2</v>
      </c>
      <c r="G43" s="36" t="s">
        <v>56</v>
      </c>
      <c r="H43" s="100" t="s">
        <v>126</v>
      </c>
    </row>
    <row r="44" spans="1:8" s="17" customFormat="1" ht="17.25" x14ac:dyDescent="0.35">
      <c r="A44" s="99" t="s">
        <v>127</v>
      </c>
      <c r="B44" s="32">
        <v>947</v>
      </c>
      <c r="C44" s="32" t="s">
        <v>47</v>
      </c>
      <c r="D44" s="36">
        <v>1</v>
      </c>
      <c r="E44" s="50" t="s">
        <v>128</v>
      </c>
      <c r="F44" s="32">
        <v>0</v>
      </c>
      <c r="G44" s="36" t="s">
        <v>56</v>
      </c>
      <c r="H44" s="100" t="s">
        <v>129</v>
      </c>
    </row>
    <row r="45" spans="1:8" s="17" customFormat="1" ht="51.75" x14ac:dyDescent="0.35">
      <c r="A45" s="99" t="s">
        <v>130</v>
      </c>
      <c r="B45" s="32">
        <v>1030</v>
      </c>
      <c r="C45" s="32" t="s">
        <v>47</v>
      </c>
      <c r="D45" s="36">
        <v>1</v>
      </c>
      <c r="E45" s="50" t="s">
        <v>131</v>
      </c>
      <c r="F45" s="32" t="s">
        <v>6</v>
      </c>
      <c r="G45" s="36" t="s">
        <v>56</v>
      </c>
      <c r="H45" s="100" t="s">
        <v>262</v>
      </c>
    </row>
    <row r="46" spans="1:8" s="17" customFormat="1" ht="51.75" x14ac:dyDescent="0.35">
      <c r="A46" s="99" t="s">
        <v>133</v>
      </c>
      <c r="B46" s="32">
        <v>1031</v>
      </c>
      <c r="C46" s="32" t="s">
        <v>47</v>
      </c>
      <c r="D46" s="36">
        <v>1</v>
      </c>
      <c r="E46" s="50" t="s">
        <v>134</v>
      </c>
      <c r="F46" s="32" t="s">
        <v>6</v>
      </c>
      <c r="G46" s="36" t="s">
        <v>56</v>
      </c>
      <c r="H46" s="100" t="s">
        <v>132</v>
      </c>
    </row>
    <row r="47" spans="1:8" s="17" customFormat="1" ht="34.5" x14ac:dyDescent="0.35">
      <c r="A47" s="99" t="s">
        <v>135</v>
      </c>
      <c r="B47" s="32">
        <v>1302</v>
      </c>
      <c r="C47" s="32" t="s">
        <v>47</v>
      </c>
      <c r="D47" s="36">
        <v>1</v>
      </c>
      <c r="E47" s="50" t="s">
        <v>136</v>
      </c>
      <c r="F47" s="32">
        <v>1</v>
      </c>
      <c r="G47" s="36" t="s">
        <v>56</v>
      </c>
      <c r="H47" s="100" t="s">
        <v>137</v>
      </c>
    </row>
    <row r="48" spans="1:8" s="17" customFormat="1" ht="17.25" x14ac:dyDescent="0.35">
      <c r="A48" s="99" t="s">
        <v>17</v>
      </c>
      <c r="B48" s="32">
        <v>1918</v>
      </c>
      <c r="C48" s="32" t="s">
        <v>47</v>
      </c>
      <c r="D48" s="36">
        <v>4</v>
      </c>
      <c r="E48" s="50" t="s">
        <v>18</v>
      </c>
      <c r="F48" s="32">
        <v>64</v>
      </c>
      <c r="G48" s="36" t="s">
        <v>56</v>
      </c>
      <c r="H48" s="100"/>
    </row>
    <row r="49" spans="1:8" s="17" customFormat="1" ht="51.75" x14ac:dyDescent="0.35">
      <c r="A49" s="99" t="s">
        <v>19</v>
      </c>
      <c r="B49" s="32">
        <v>1920</v>
      </c>
      <c r="C49" s="32" t="s">
        <v>47</v>
      </c>
      <c r="D49" s="36">
        <v>4</v>
      </c>
      <c r="E49" s="50" t="s">
        <v>20</v>
      </c>
      <c r="F49" s="32" t="s">
        <v>224</v>
      </c>
      <c r="G49" s="36" t="s">
        <v>56</v>
      </c>
      <c r="H49" s="100" t="s">
        <v>138</v>
      </c>
    </row>
    <row r="50" spans="1:8" s="17" customFormat="1" ht="51.75" x14ac:dyDescent="0.35">
      <c r="A50" s="99" t="s">
        <v>139</v>
      </c>
      <c r="B50" s="32">
        <v>2508</v>
      </c>
      <c r="C50" s="32" t="s">
        <v>47</v>
      </c>
      <c r="D50" s="36">
        <v>1</v>
      </c>
      <c r="E50" s="50" t="s">
        <v>140</v>
      </c>
      <c r="F50" s="32">
        <v>1</v>
      </c>
      <c r="G50" s="36" t="s">
        <v>56</v>
      </c>
      <c r="H50" s="100" t="s">
        <v>225</v>
      </c>
    </row>
    <row r="51" spans="1:8" s="17" customFormat="1" ht="17.25" x14ac:dyDescent="0.35">
      <c r="A51" s="99" t="s">
        <v>141</v>
      </c>
      <c r="B51" s="32">
        <v>3630</v>
      </c>
      <c r="C51" s="32" t="s">
        <v>47</v>
      </c>
      <c r="D51" s="36">
        <v>1</v>
      </c>
      <c r="E51" s="50" t="s">
        <v>142</v>
      </c>
      <c r="F51" s="32">
        <v>1</v>
      </c>
      <c r="G51" s="36" t="s">
        <v>56</v>
      </c>
      <c r="H51" s="100" t="s">
        <v>143</v>
      </c>
    </row>
    <row r="52" spans="1:8" s="17" customFormat="1" ht="34.5" x14ac:dyDescent="0.35">
      <c r="A52" s="99" t="s">
        <v>144</v>
      </c>
      <c r="B52" s="32">
        <v>2512</v>
      </c>
      <c r="C52" s="32" t="s">
        <v>47</v>
      </c>
      <c r="D52" s="36">
        <v>1</v>
      </c>
      <c r="E52" s="50" t="s">
        <v>145</v>
      </c>
      <c r="F52" s="32">
        <v>1</v>
      </c>
      <c r="G52" s="36" t="s">
        <v>56</v>
      </c>
      <c r="H52" s="100" t="s">
        <v>146</v>
      </c>
    </row>
    <row r="53" spans="1:8" s="17" customFormat="1" ht="17.25" x14ac:dyDescent="0.35">
      <c r="A53" s="99" t="s">
        <v>147</v>
      </c>
      <c r="B53" s="32">
        <v>3006</v>
      </c>
      <c r="C53" s="32" t="s">
        <v>47</v>
      </c>
      <c r="D53" s="36">
        <v>2</v>
      </c>
      <c r="E53" s="50" t="s">
        <v>148</v>
      </c>
      <c r="F53" s="32">
        <v>255</v>
      </c>
      <c r="G53" s="36" t="s">
        <v>56</v>
      </c>
      <c r="H53" s="100"/>
    </row>
    <row r="54" spans="1:8" s="17" customFormat="1" ht="17.25" x14ac:dyDescent="0.35">
      <c r="A54" s="99" t="s">
        <v>22</v>
      </c>
      <c r="B54" s="32">
        <v>3532</v>
      </c>
      <c r="C54" s="32" t="s">
        <v>47</v>
      </c>
      <c r="D54" s="36">
        <v>1</v>
      </c>
      <c r="E54" s="50" t="s">
        <v>23</v>
      </c>
      <c r="F54" s="32">
        <v>180</v>
      </c>
      <c r="G54" s="36" t="s">
        <v>56</v>
      </c>
      <c r="H54" s="100" t="s">
        <v>7</v>
      </c>
    </row>
    <row r="55" spans="1:8" s="17" customFormat="1" ht="17.25" x14ac:dyDescent="0.35">
      <c r="A55" s="99" t="s">
        <v>24</v>
      </c>
      <c r="B55" s="32">
        <v>3533</v>
      </c>
      <c r="C55" s="32" t="s">
        <v>47</v>
      </c>
      <c r="D55" s="36">
        <v>1</v>
      </c>
      <c r="E55" s="50" t="s">
        <v>25</v>
      </c>
      <c r="F55" s="32">
        <v>45</v>
      </c>
      <c r="G55" s="36" t="s">
        <v>56</v>
      </c>
      <c r="H55" s="100" t="s">
        <v>7</v>
      </c>
    </row>
    <row r="56" spans="1:8" s="17" customFormat="1" ht="17.25" x14ac:dyDescent="0.35">
      <c r="A56" s="99" t="s">
        <v>149</v>
      </c>
      <c r="B56" s="32">
        <v>3461</v>
      </c>
      <c r="C56" s="32" t="s">
        <v>47</v>
      </c>
      <c r="D56" s="36">
        <v>1</v>
      </c>
      <c r="E56" s="50" t="s">
        <v>150</v>
      </c>
      <c r="F56" s="32">
        <v>0</v>
      </c>
      <c r="G56" s="36" t="s">
        <v>56</v>
      </c>
      <c r="H56" s="100"/>
    </row>
    <row r="57" spans="1:8" s="17" customFormat="1" ht="17.25" x14ac:dyDescent="0.35">
      <c r="A57" s="99" t="s">
        <v>151</v>
      </c>
      <c r="B57" s="32">
        <v>3628</v>
      </c>
      <c r="C57" s="32" t="s">
        <v>47</v>
      </c>
      <c r="D57" s="36">
        <v>1</v>
      </c>
      <c r="E57" s="50" t="s">
        <v>152</v>
      </c>
      <c r="F57" s="32">
        <v>0</v>
      </c>
      <c r="G57" s="36" t="s">
        <v>56</v>
      </c>
      <c r="H57" s="100" t="s">
        <v>153</v>
      </c>
    </row>
    <row r="58" spans="1:8" s="17" customFormat="1" ht="34.5" x14ac:dyDescent="0.35">
      <c r="A58" s="99" t="s">
        <v>154</v>
      </c>
      <c r="B58" s="32">
        <v>3629</v>
      </c>
      <c r="C58" s="32" t="s">
        <v>47</v>
      </c>
      <c r="D58" s="36">
        <v>1</v>
      </c>
      <c r="E58" s="50" t="s">
        <v>155</v>
      </c>
      <c r="F58" s="32">
        <v>3</v>
      </c>
      <c r="G58" s="36" t="s">
        <v>56</v>
      </c>
      <c r="H58" s="100" t="s">
        <v>156</v>
      </c>
    </row>
    <row r="59" spans="1:8" s="17" customFormat="1" ht="51.75" x14ac:dyDescent="0.35">
      <c r="A59" s="99" t="s">
        <v>157</v>
      </c>
      <c r="B59" s="32">
        <v>3649</v>
      </c>
      <c r="C59" s="32" t="s">
        <v>47</v>
      </c>
      <c r="D59" s="36">
        <v>1</v>
      </c>
      <c r="E59" s="50" t="s">
        <v>158</v>
      </c>
      <c r="F59" s="32">
        <v>4</v>
      </c>
      <c r="G59" s="36" t="s">
        <v>56</v>
      </c>
      <c r="H59" s="100" t="s">
        <v>159</v>
      </c>
    </row>
    <row r="60" spans="1:8" s="17" customFormat="1" ht="17.25" x14ac:dyDescent="0.35">
      <c r="A60" s="99" t="s">
        <v>160</v>
      </c>
      <c r="B60" s="32">
        <v>3851</v>
      </c>
      <c r="C60" s="32" t="s">
        <v>47</v>
      </c>
      <c r="D60" s="36">
        <v>1</v>
      </c>
      <c r="E60" s="50" t="s">
        <v>161</v>
      </c>
      <c r="F60" s="32">
        <v>3</v>
      </c>
      <c r="G60" s="36" t="s">
        <v>56</v>
      </c>
      <c r="H60" s="100" t="s">
        <v>162</v>
      </c>
    </row>
    <row r="61" spans="1:8" s="17" customFormat="1" ht="69" x14ac:dyDescent="0.35">
      <c r="A61" s="99" t="s">
        <v>163</v>
      </c>
      <c r="B61" s="32">
        <v>4117</v>
      </c>
      <c r="C61" s="32" t="s">
        <v>47</v>
      </c>
      <c r="D61" s="36">
        <v>1</v>
      </c>
      <c r="E61" s="50" t="s">
        <v>164</v>
      </c>
      <c r="F61" s="32">
        <v>1</v>
      </c>
      <c r="G61" s="36" t="s">
        <v>56</v>
      </c>
      <c r="H61" s="100" t="s">
        <v>165</v>
      </c>
    </row>
    <row r="62" spans="1:8" s="17" customFormat="1" ht="51.75" x14ac:dyDescent="0.35">
      <c r="A62" s="99" t="s">
        <v>166</v>
      </c>
      <c r="B62" s="32">
        <v>4118</v>
      </c>
      <c r="C62" s="32" t="s">
        <v>47</v>
      </c>
      <c r="D62" s="36">
        <v>1</v>
      </c>
      <c r="E62" s="50" t="s">
        <v>167</v>
      </c>
      <c r="F62" s="32">
        <v>14</v>
      </c>
      <c r="G62" s="36" t="s">
        <v>56</v>
      </c>
      <c r="H62" s="100" t="s">
        <v>168</v>
      </c>
    </row>
    <row r="63" spans="1:8" s="17" customFormat="1" ht="17.25" x14ac:dyDescent="0.35">
      <c r="A63" s="99" t="s">
        <v>169</v>
      </c>
      <c r="B63" s="32">
        <v>4173</v>
      </c>
      <c r="C63" s="32" t="s">
        <v>47</v>
      </c>
      <c r="D63" s="36">
        <v>1</v>
      </c>
      <c r="E63" s="50" t="s">
        <v>170</v>
      </c>
      <c r="F63" s="32">
        <v>1</v>
      </c>
      <c r="G63" s="36" t="s">
        <v>56</v>
      </c>
      <c r="H63" s="100" t="s">
        <v>171</v>
      </c>
    </row>
    <row r="64" spans="1:8" s="17" customFormat="1" ht="17.25" x14ac:dyDescent="0.35">
      <c r="A64" s="99" t="s">
        <v>172</v>
      </c>
      <c r="B64" s="32">
        <v>4209</v>
      </c>
      <c r="C64" s="32" t="s">
        <v>47</v>
      </c>
      <c r="D64" s="36">
        <v>1</v>
      </c>
      <c r="E64" s="50" t="s">
        <v>173</v>
      </c>
      <c r="F64" s="32">
        <v>0</v>
      </c>
      <c r="G64" s="36" t="s">
        <v>56</v>
      </c>
      <c r="H64" s="100" t="s">
        <v>174</v>
      </c>
    </row>
    <row r="65" spans="1:9" s="17" customFormat="1" ht="17.25" x14ac:dyDescent="0.35">
      <c r="A65" s="99" t="s">
        <v>175</v>
      </c>
      <c r="B65" s="32">
        <v>4210</v>
      </c>
      <c r="C65" s="32" t="s">
        <v>47</v>
      </c>
      <c r="D65" s="36">
        <v>1</v>
      </c>
      <c r="E65" s="50" t="s">
        <v>176</v>
      </c>
      <c r="F65" s="32">
        <v>6</v>
      </c>
      <c r="G65" s="36" t="s">
        <v>56</v>
      </c>
      <c r="H65" s="100" t="s">
        <v>177</v>
      </c>
    </row>
    <row r="66" spans="1:9" s="17" customFormat="1" ht="17.25" x14ac:dyDescent="0.35">
      <c r="A66" s="99" t="s">
        <v>178</v>
      </c>
      <c r="B66" s="32">
        <v>4261</v>
      </c>
      <c r="C66" s="32" t="s">
        <v>47</v>
      </c>
      <c r="D66" s="36">
        <v>1</v>
      </c>
      <c r="E66" s="50"/>
      <c r="F66" s="32">
        <v>1</v>
      </c>
      <c r="G66" s="36" t="s">
        <v>56</v>
      </c>
      <c r="H66" s="100" t="s">
        <v>179</v>
      </c>
    </row>
    <row r="67" spans="1:9" s="17" customFormat="1" ht="17.25" x14ac:dyDescent="0.35">
      <c r="A67" s="99" t="s">
        <v>180</v>
      </c>
      <c r="B67" s="32">
        <v>4432</v>
      </c>
      <c r="C67" s="32" t="s">
        <v>47</v>
      </c>
      <c r="D67" s="36">
        <v>1</v>
      </c>
      <c r="E67" s="50" t="s">
        <v>181</v>
      </c>
      <c r="F67" s="32" t="s">
        <v>29</v>
      </c>
      <c r="G67" s="36" t="s">
        <v>56</v>
      </c>
      <c r="H67" s="100" t="s">
        <v>182</v>
      </c>
    </row>
    <row r="68" spans="1:9" s="17" customFormat="1" ht="17.25" x14ac:dyDescent="0.35">
      <c r="A68" s="99" t="s">
        <v>183</v>
      </c>
      <c r="B68" s="32">
        <v>5090</v>
      </c>
      <c r="C68" s="32" t="s">
        <v>47</v>
      </c>
      <c r="D68" s="36">
        <v>1</v>
      </c>
      <c r="E68" s="50" t="s">
        <v>184</v>
      </c>
      <c r="F68" s="32">
        <v>1</v>
      </c>
      <c r="G68" s="36" t="s">
        <v>56</v>
      </c>
      <c r="H68" s="100" t="s">
        <v>185</v>
      </c>
      <c r="I68" s="17" t="s">
        <v>7</v>
      </c>
    </row>
    <row r="69" spans="1:9" s="17" customFormat="1" ht="17.25" x14ac:dyDescent="0.35">
      <c r="A69" s="99" t="s">
        <v>186</v>
      </c>
      <c r="B69" s="32">
        <v>5107</v>
      </c>
      <c r="C69" s="32" t="s">
        <v>47</v>
      </c>
      <c r="D69" s="36">
        <v>2</v>
      </c>
      <c r="E69" s="50" t="s">
        <v>187</v>
      </c>
      <c r="F69" s="32">
        <v>1</v>
      </c>
      <c r="G69" s="36" t="s">
        <v>56</v>
      </c>
      <c r="H69" s="100" t="s">
        <v>188</v>
      </c>
    </row>
    <row r="70" spans="1:9" s="17" customFormat="1" ht="51.75" x14ac:dyDescent="0.35">
      <c r="A70" s="99" t="s">
        <v>26</v>
      </c>
      <c r="B70" s="32">
        <v>5280</v>
      </c>
      <c r="C70" s="32" t="s">
        <v>47</v>
      </c>
      <c r="D70" s="36">
        <v>8</v>
      </c>
      <c r="E70" s="50" t="s">
        <v>189</v>
      </c>
      <c r="F70" s="32">
        <v>0</v>
      </c>
      <c r="G70" s="36" t="s">
        <v>56</v>
      </c>
      <c r="H70" s="100" t="s">
        <v>190</v>
      </c>
    </row>
    <row r="71" spans="1:9" s="17" customFormat="1" ht="17.25" x14ac:dyDescent="0.35">
      <c r="A71" s="99" t="s">
        <v>246</v>
      </c>
      <c r="B71" s="32">
        <v>3852</v>
      </c>
      <c r="C71" s="32" t="s">
        <v>47</v>
      </c>
      <c r="D71" s="36">
        <v>1</v>
      </c>
      <c r="E71" s="50"/>
      <c r="F71" s="32">
        <v>51</v>
      </c>
      <c r="G71" s="36" t="s">
        <v>56</v>
      </c>
      <c r="H71" s="100"/>
      <c r="I71" s="17" t="s">
        <v>7</v>
      </c>
    </row>
    <row r="72" spans="1:9" s="17" customFormat="1" ht="17.25" x14ac:dyDescent="0.35">
      <c r="A72" s="99" t="s">
        <v>247</v>
      </c>
      <c r="B72" s="32">
        <v>6850</v>
      </c>
      <c r="C72" s="32" t="s">
        <v>47</v>
      </c>
      <c r="D72" s="36">
        <v>1</v>
      </c>
      <c r="E72" s="50"/>
      <c r="F72" s="32">
        <v>5</v>
      </c>
      <c r="G72" s="36" t="s">
        <v>56</v>
      </c>
      <c r="H72" s="100"/>
    </row>
    <row r="73" spans="1:9" s="17" customFormat="1" ht="17.25" x14ac:dyDescent="0.35">
      <c r="A73" s="99" t="s">
        <v>254</v>
      </c>
      <c r="B73" s="32">
        <v>6830</v>
      </c>
      <c r="C73" s="32" t="s">
        <v>47</v>
      </c>
      <c r="D73" s="36">
        <v>1</v>
      </c>
      <c r="E73" s="50"/>
      <c r="F73" s="32">
        <v>10</v>
      </c>
      <c r="G73" s="36" t="s">
        <v>56</v>
      </c>
      <c r="H73" s="100"/>
    </row>
    <row r="74" spans="1:9" s="17" customFormat="1" ht="17.25" x14ac:dyDescent="0.35">
      <c r="A74" s="99" t="s">
        <v>255</v>
      </c>
      <c r="B74" s="32">
        <v>6831</v>
      </c>
      <c r="C74" s="32" t="s">
        <v>47</v>
      </c>
      <c r="D74" s="36">
        <v>1</v>
      </c>
      <c r="E74" s="50"/>
      <c r="F74" s="32">
        <v>10</v>
      </c>
      <c r="G74" s="36" t="s">
        <v>56</v>
      </c>
      <c r="H74" s="100"/>
    </row>
    <row r="75" spans="1:9" s="17" customFormat="1" ht="17.25" x14ac:dyDescent="0.35">
      <c r="A75" s="99" t="s">
        <v>30</v>
      </c>
      <c r="B75" s="32">
        <v>10</v>
      </c>
      <c r="C75" s="32"/>
      <c r="D75" s="36"/>
      <c r="E75" s="50" t="s">
        <v>31</v>
      </c>
      <c r="F75" s="32"/>
      <c r="G75" s="36" t="s">
        <v>73</v>
      </c>
      <c r="H75" s="100" t="s">
        <v>7</v>
      </c>
    </row>
    <row r="76" spans="1:9" s="17" customFormat="1" ht="17.25" x14ac:dyDescent="0.35">
      <c r="A76" s="99"/>
      <c r="B76" s="32"/>
      <c r="C76" s="32" t="s">
        <v>47</v>
      </c>
      <c r="D76" s="36">
        <v>1</v>
      </c>
      <c r="E76" s="50" t="s">
        <v>12</v>
      </c>
      <c r="F76" s="32">
        <v>0</v>
      </c>
      <c r="G76" s="36"/>
      <c r="H76" s="100"/>
    </row>
    <row r="77" spans="1:9" s="17" customFormat="1" ht="17.25" x14ac:dyDescent="0.35">
      <c r="A77" s="99"/>
      <c r="B77" s="32"/>
      <c r="C77" s="32" t="s">
        <v>47</v>
      </c>
      <c r="D77" s="36">
        <v>2</v>
      </c>
      <c r="E77" s="50" t="s">
        <v>32</v>
      </c>
      <c r="F77" s="32">
        <v>4</v>
      </c>
      <c r="G77" s="36"/>
      <c r="H77" s="100" t="s">
        <v>7</v>
      </c>
    </row>
    <row r="78" spans="1:9" s="93" customFormat="1" ht="34.5" x14ac:dyDescent="0.35">
      <c r="A78" s="101" t="s">
        <v>191</v>
      </c>
      <c r="B78" s="91">
        <v>5080</v>
      </c>
      <c r="C78" s="91" t="s">
        <v>7</v>
      </c>
      <c r="D78" s="91" t="s">
        <v>7</v>
      </c>
      <c r="E78" s="50"/>
      <c r="F78" s="91" t="s">
        <v>7</v>
      </c>
      <c r="G78" s="92" t="s">
        <v>7</v>
      </c>
      <c r="H78" s="102" t="s">
        <v>232</v>
      </c>
    </row>
    <row r="79" spans="1:9" s="17" customFormat="1" ht="18" thickBot="1" x14ac:dyDescent="0.4">
      <c r="A79" s="103"/>
      <c r="B79" s="12"/>
      <c r="C79" s="12"/>
      <c r="D79" s="12"/>
      <c r="E79" s="104"/>
      <c r="F79" s="12"/>
      <c r="G79" s="12"/>
      <c r="H79" s="105"/>
    </row>
    <row r="80" spans="1:9" s="17" customFormat="1" ht="15.75" thickBot="1" x14ac:dyDescent="0.35">
      <c r="A80" s="60"/>
      <c r="B80" s="60"/>
      <c r="C80" s="60"/>
      <c r="D80" s="60"/>
      <c r="E80" s="60"/>
      <c r="F80" s="81"/>
      <c r="G80" s="60"/>
      <c r="H80" s="66"/>
    </row>
    <row r="81" spans="1:9" s="17" customFormat="1" ht="20.25" thickBot="1" x14ac:dyDescent="0.45">
      <c r="A81" s="70" t="s">
        <v>51</v>
      </c>
      <c r="B81" s="70"/>
      <c r="C81" s="70"/>
      <c r="D81" s="70"/>
      <c r="E81" s="70"/>
      <c r="F81" s="70"/>
      <c r="G81" s="70"/>
      <c r="H81" s="71"/>
      <c r="I81" s="65"/>
    </row>
    <row r="82" spans="1:9" s="17" customFormat="1" ht="15.75" thickBot="1" x14ac:dyDescent="0.35">
      <c r="A82" s="82" t="s">
        <v>34</v>
      </c>
      <c r="B82" s="82" t="s">
        <v>35</v>
      </c>
      <c r="C82" s="82" t="s">
        <v>44</v>
      </c>
      <c r="D82" s="82" t="s">
        <v>54</v>
      </c>
      <c r="E82" s="82" t="s">
        <v>53</v>
      </c>
      <c r="F82" s="82" t="s">
        <v>46</v>
      </c>
      <c r="G82" s="82" t="s">
        <v>52</v>
      </c>
      <c r="H82" s="83" t="s">
        <v>57</v>
      </c>
      <c r="I82" s="108" t="s">
        <v>36</v>
      </c>
    </row>
    <row r="83" spans="1:9" s="17" customFormat="1" ht="34.5" x14ac:dyDescent="0.35">
      <c r="A83" s="109" t="s">
        <v>192</v>
      </c>
      <c r="B83" s="110" t="s">
        <v>193</v>
      </c>
      <c r="C83" s="110" t="s">
        <v>69</v>
      </c>
      <c r="D83" s="110"/>
      <c r="E83" s="110"/>
      <c r="F83" s="111"/>
      <c r="G83" s="110" t="s">
        <v>56</v>
      </c>
      <c r="H83" s="112" t="s">
        <v>7</v>
      </c>
      <c r="I83" s="106" t="s">
        <v>194</v>
      </c>
    </row>
    <row r="84" spans="1:9" s="17" customFormat="1" ht="17.25" x14ac:dyDescent="0.35">
      <c r="A84" s="113"/>
      <c r="B84" s="114"/>
      <c r="C84" s="114"/>
      <c r="D84" s="114" t="s">
        <v>47</v>
      </c>
      <c r="E84" s="114">
        <v>1</v>
      </c>
      <c r="F84" s="115">
        <v>0</v>
      </c>
      <c r="G84" s="114"/>
      <c r="H84" s="116"/>
      <c r="I84" s="106"/>
    </row>
    <row r="85" spans="1:9" s="90" customFormat="1" ht="34.5" x14ac:dyDescent="0.35">
      <c r="A85" s="113" t="s">
        <v>195</v>
      </c>
      <c r="B85" s="114" t="s">
        <v>244</v>
      </c>
      <c r="C85" s="114" t="s">
        <v>69</v>
      </c>
      <c r="D85" s="114"/>
      <c r="E85" s="114"/>
      <c r="F85" s="115"/>
      <c r="G85" s="114" t="s">
        <v>56</v>
      </c>
      <c r="H85" s="116"/>
      <c r="I85" s="106" t="s">
        <v>196</v>
      </c>
    </row>
    <row r="86" spans="1:9" s="33" customFormat="1" ht="17.25" x14ac:dyDescent="0.35">
      <c r="A86" s="113"/>
      <c r="B86" s="114"/>
      <c r="C86" s="114"/>
      <c r="D86" s="114" t="s">
        <v>47</v>
      </c>
      <c r="E86" s="114">
        <v>1</v>
      </c>
      <c r="F86" s="115">
        <v>1</v>
      </c>
      <c r="G86" s="114"/>
      <c r="H86" s="116"/>
      <c r="I86" s="106"/>
    </row>
    <row r="87" spans="1:9" s="33" customFormat="1" ht="51.75" x14ac:dyDescent="0.35">
      <c r="A87" s="113" t="s">
        <v>197</v>
      </c>
      <c r="B87" s="114" t="s">
        <v>248</v>
      </c>
      <c r="C87" s="114" t="s">
        <v>69</v>
      </c>
      <c r="D87" s="114"/>
      <c r="E87" s="114"/>
      <c r="F87" s="115"/>
      <c r="G87" s="114" t="s">
        <v>56</v>
      </c>
      <c r="H87" s="116"/>
      <c r="I87" s="106" t="s">
        <v>199</v>
      </c>
    </row>
    <row r="88" spans="1:9" s="73" customFormat="1" ht="17.25" x14ac:dyDescent="0.35">
      <c r="A88" s="113"/>
      <c r="B88" s="114"/>
      <c r="C88" s="114"/>
      <c r="D88" s="114" t="s">
        <v>245</v>
      </c>
      <c r="E88" s="114">
        <v>1</v>
      </c>
      <c r="F88" s="115" t="s">
        <v>198</v>
      </c>
      <c r="G88" s="114"/>
      <c r="H88" s="116"/>
      <c r="I88" s="106"/>
    </row>
    <row r="89" spans="1:9" s="11" customFormat="1" ht="17.25" x14ac:dyDescent="0.35">
      <c r="A89" s="113" t="s">
        <v>200</v>
      </c>
      <c r="B89" s="114" t="s">
        <v>201</v>
      </c>
      <c r="C89" s="114" t="s">
        <v>69</v>
      </c>
      <c r="D89" s="114"/>
      <c r="E89" s="114"/>
      <c r="F89" s="115"/>
      <c r="G89" s="114" t="s">
        <v>56</v>
      </c>
      <c r="H89" s="116"/>
      <c r="I89" s="106">
        <v>67204</v>
      </c>
    </row>
    <row r="90" spans="1:9" s="11" customFormat="1" ht="17.25" x14ac:dyDescent="0.35">
      <c r="A90" s="113"/>
      <c r="B90" s="114"/>
      <c r="C90" s="114"/>
      <c r="D90" s="114" t="s">
        <v>47</v>
      </c>
      <c r="E90" s="114">
        <v>1</v>
      </c>
      <c r="F90" s="115">
        <v>1</v>
      </c>
      <c r="G90" s="114"/>
      <c r="H90" s="116"/>
      <c r="I90" s="106" t="s">
        <v>202</v>
      </c>
    </row>
    <row r="91" spans="1:9" s="11" customFormat="1" ht="17.25" x14ac:dyDescent="0.35">
      <c r="A91" s="113"/>
      <c r="B91" s="114"/>
      <c r="C91" s="114"/>
      <c r="D91" s="114" t="s">
        <v>47</v>
      </c>
      <c r="E91" s="114">
        <v>1</v>
      </c>
      <c r="F91" s="115">
        <v>60</v>
      </c>
      <c r="G91" s="114"/>
      <c r="H91" s="116"/>
      <c r="I91" s="106" t="s">
        <v>205</v>
      </c>
    </row>
    <row r="92" spans="1:9" s="11" customFormat="1" ht="17.25" x14ac:dyDescent="0.35">
      <c r="A92" s="113"/>
      <c r="B92" s="114"/>
      <c r="C92" s="114"/>
      <c r="D92" s="114" t="s">
        <v>47</v>
      </c>
      <c r="E92" s="114">
        <v>1</v>
      </c>
      <c r="F92" s="115">
        <v>30</v>
      </c>
      <c r="G92" s="114"/>
      <c r="H92" s="116"/>
      <c r="I92" s="106" t="s">
        <v>206</v>
      </c>
    </row>
    <row r="93" spans="1:9" s="11" customFormat="1" ht="17.25" x14ac:dyDescent="0.35">
      <c r="A93" s="113"/>
      <c r="B93" s="114"/>
      <c r="C93" s="114"/>
      <c r="D93" s="114" t="s">
        <v>47</v>
      </c>
      <c r="E93" s="114">
        <v>1</v>
      </c>
      <c r="F93" s="115">
        <v>60</v>
      </c>
      <c r="G93" s="114"/>
      <c r="H93" s="116"/>
      <c r="I93" s="106" t="s">
        <v>207</v>
      </c>
    </row>
    <row r="94" spans="1:9" s="11" customFormat="1" ht="17.25" x14ac:dyDescent="0.35">
      <c r="A94" s="113"/>
      <c r="B94" s="114"/>
      <c r="C94" s="114"/>
      <c r="D94" s="114" t="s">
        <v>47</v>
      </c>
      <c r="E94" s="114">
        <v>1</v>
      </c>
      <c r="F94" s="115">
        <v>30</v>
      </c>
      <c r="G94" s="114"/>
      <c r="H94" s="116"/>
      <c r="I94" s="106" t="s">
        <v>208</v>
      </c>
    </row>
    <row r="95" spans="1:9" s="11" customFormat="1" ht="17.25" x14ac:dyDescent="0.35">
      <c r="A95" s="113"/>
      <c r="B95" s="114"/>
      <c r="C95" s="114"/>
      <c r="D95" s="114" t="s">
        <v>47</v>
      </c>
      <c r="E95" s="114">
        <v>1</v>
      </c>
      <c r="F95" s="115">
        <v>0</v>
      </c>
      <c r="G95" s="114"/>
      <c r="H95" s="116"/>
      <c r="I95" s="106" t="s">
        <v>209</v>
      </c>
    </row>
    <row r="96" spans="1:9" s="11" customFormat="1" ht="17.25" x14ac:dyDescent="0.35">
      <c r="A96" s="113"/>
      <c r="B96" s="114"/>
      <c r="C96" s="114"/>
      <c r="D96" s="114" t="s">
        <v>47</v>
      </c>
      <c r="E96" s="114">
        <v>1</v>
      </c>
      <c r="F96" s="115">
        <v>0</v>
      </c>
      <c r="G96" s="114"/>
      <c r="H96" s="116"/>
      <c r="I96" s="106" t="s">
        <v>209</v>
      </c>
    </row>
    <row r="97" spans="1:9" s="11" customFormat="1" ht="17.25" x14ac:dyDescent="0.35">
      <c r="A97" s="113"/>
      <c r="B97" s="114"/>
      <c r="C97" s="114"/>
      <c r="D97" s="114" t="s">
        <v>47</v>
      </c>
      <c r="E97" s="114">
        <v>1</v>
      </c>
      <c r="F97" s="115">
        <v>0</v>
      </c>
      <c r="G97" s="114"/>
      <c r="H97" s="116"/>
      <c r="I97" s="106" t="s">
        <v>209</v>
      </c>
    </row>
    <row r="98" spans="1:9" s="11" customFormat="1" ht="17.25" x14ac:dyDescent="0.35">
      <c r="A98" s="113"/>
      <c r="B98" s="114"/>
      <c r="C98" s="114"/>
      <c r="D98" s="114" t="s">
        <v>47</v>
      </c>
      <c r="E98" s="114">
        <v>1</v>
      </c>
      <c r="F98" s="115">
        <v>0</v>
      </c>
      <c r="G98" s="114"/>
      <c r="H98" s="116"/>
      <c r="I98" s="106" t="s">
        <v>209</v>
      </c>
    </row>
    <row r="99" spans="1:9" s="11" customFormat="1" ht="17.25" x14ac:dyDescent="0.35">
      <c r="A99" s="113"/>
      <c r="B99" s="114"/>
      <c r="C99" s="114"/>
      <c r="D99" s="114" t="s">
        <v>47</v>
      </c>
      <c r="E99" s="114">
        <v>1</v>
      </c>
      <c r="F99" s="115">
        <v>0</v>
      </c>
      <c r="G99" s="114"/>
      <c r="H99" s="116"/>
      <c r="I99" s="106" t="s">
        <v>210</v>
      </c>
    </row>
    <row r="100" spans="1:9" s="11" customFormat="1" ht="17.25" x14ac:dyDescent="0.35">
      <c r="A100" s="113" t="s">
        <v>211</v>
      </c>
      <c r="B100" s="114" t="s">
        <v>212</v>
      </c>
      <c r="C100" s="114" t="s">
        <v>69</v>
      </c>
      <c r="D100" s="114"/>
      <c r="E100" s="114"/>
      <c r="F100" s="115"/>
      <c r="G100" s="114" t="s">
        <v>56</v>
      </c>
      <c r="H100" s="116"/>
      <c r="I100" s="106">
        <v>67210</v>
      </c>
    </row>
    <row r="101" spans="1:9" s="11" customFormat="1" ht="17.25" x14ac:dyDescent="0.35">
      <c r="A101" s="113"/>
      <c r="B101" s="114"/>
      <c r="C101" s="114"/>
      <c r="D101" s="114" t="s">
        <v>47</v>
      </c>
      <c r="E101" s="114">
        <v>1</v>
      </c>
      <c r="F101" s="115">
        <v>1</v>
      </c>
      <c r="G101" s="114"/>
      <c r="H101" s="116"/>
      <c r="I101" s="106" t="s">
        <v>202</v>
      </c>
    </row>
    <row r="102" spans="1:9" s="11" customFormat="1" ht="17.25" x14ac:dyDescent="0.35">
      <c r="A102" s="113"/>
      <c r="B102" s="114"/>
      <c r="C102" s="114"/>
      <c r="D102" s="114" t="s">
        <v>47</v>
      </c>
      <c r="E102" s="114">
        <v>1</v>
      </c>
      <c r="F102" s="115">
        <v>20</v>
      </c>
      <c r="G102" s="114"/>
      <c r="H102" s="116"/>
      <c r="I102" s="106" t="s">
        <v>203</v>
      </c>
    </row>
    <row r="103" spans="1:9" s="11" customFormat="1" ht="17.25" x14ac:dyDescent="0.35">
      <c r="A103" s="113"/>
      <c r="B103" s="114"/>
      <c r="C103" s="114"/>
      <c r="D103" s="114" t="s">
        <v>47</v>
      </c>
      <c r="E103" s="114">
        <v>1</v>
      </c>
      <c r="F103" s="115">
        <v>0</v>
      </c>
      <c r="G103" s="114"/>
      <c r="H103" s="116"/>
      <c r="I103" s="106" t="s">
        <v>227</v>
      </c>
    </row>
    <row r="104" spans="1:9" s="11" customFormat="1" ht="17.25" x14ac:dyDescent="0.35">
      <c r="A104" s="113"/>
      <c r="B104" s="114"/>
      <c r="C104" s="114"/>
      <c r="D104" s="114" t="s">
        <v>47</v>
      </c>
      <c r="E104" s="114">
        <v>4</v>
      </c>
      <c r="F104" s="115">
        <v>0</v>
      </c>
      <c r="G104" s="114"/>
      <c r="H104" s="116"/>
      <c r="I104" s="106" t="s">
        <v>228</v>
      </c>
    </row>
    <row r="105" spans="1:9" s="11" customFormat="1" ht="17.25" x14ac:dyDescent="0.35">
      <c r="A105" s="113"/>
      <c r="B105" s="114"/>
      <c r="C105" s="114"/>
      <c r="D105" s="114" t="s">
        <v>47</v>
      </c>
      <c r="E105" s="114">
        <v>4</v>
      </c>
      <c r="F105" s="115">
        <v>0</v>
      </c>
      <c r="G105" s="114"/>
      <c r="H105" s="116"/>
      <c r="I105" s="106" t="s">
        <v>229</v>
      </c>
    </row>
    <row r="106" spans="1:9" s="11" customFormat="1" ht="17.25" x14ac:dyDescent="0.35">
      <c r="A106" s="113"/>
      <c r="B106" s="114"/>
      <c r="C106" s="114"/>
      <c r="D106" s="114" t="s">
        <v>47</v>
      </c>
      <c r="E106" s="114">
        <v>1</v>
      </c>
      <c r="F106" s="115">
        <v>10</v>
      </c>
      <c r="G106" s="114"/>
      <c r="H106" s="116"/>
      <c r="I106" s="106" t="s">
        <v>204</v>
      </c>
    </row>
    <row r="107" spans="1:9" s="11" customFormat="1" ht="17.25" x14ac:dyDescent="0.35">
      <c r="A107" s="113"/>
      <c r="B107" s="114"/>
      <c r="C107" s="114"/>
      <c r="D107" s="114" t="s">
        <v>47</v>
      </c>
      <c r="E107" s="114">
        <v>4</v>
      </c>
      <c r="F107" s="115">
        <v>0</v>
      </c>
      <c r="G107" s="114"/>
      <c r="H107" s="116"/>
      <c r="I107" s="106" t="s">
        <v>230</v>
      </c>
    </row>
    <row r="108" spans="1:9" s="11" customFormat="1" ht="17.25" x14ac:dyDescent="0.35">
      <c r="A108" s="113" t="s">
        <v>213</v>
      </c>
      <c r="B108" s="114" t="s">
        <v>214</v>
      </c>
      <c r="C108" s="114" t="s">
        <v>69</v>
      </c>
      <c r="D108" s="114"/>
      <c r="E108" s="114"/>
      <c r="F108" s="115"/>
      <c r="G108" s="114" t="s">
        <v>56</v>
      </c>
      <c r="H108" s="116"/>
      <c r="I108" s="106">
        <v>69710</v>
      </c>
    </row>
    <row r="109" spans="1:9" s="11" customFormat="1" ht="17.25" x14ac:dyDescent="0.35">
      <c r="A109" s="113"/>
      <c r="B109" s="114"/>
      <c r="C109" s="114"/>
      <c r="D109" s="114" t="s">
        <v>47</v>
      </c>
      <c r="E109" s="114">
        <v>4</v>
      </c>
      <c r="F109" s="115">
        <v>1</v>
      </c>
      <c r="G109" s="114"/>
      <c r="H109" s="116"/>
      <c r="I109" s="106" t="s">
        <v>7</v>
      </c>
    </row>
    <row r="110" spans="1:9" s="11" customFormat="1" ht="17.25" x14ac:dyDescent="0.35">
      <c r="A110" s="113" t="s">
        <v>65</v>
      </c>
      <c r="B110" s="114" t="s">
        <v>66</v>
      </c>
      <c r="C110" s="114" t="s">
        <v>49</v>
      </c>
      <c r="D110" s="114"/>
      <c r="E110" s="114"/>
      <c r="F110" s="115"/>
      <c r="G110" s="114" t="s">
        <v>56</v>
      </c>
      <c r="H110" s="116" t="s">
        <v>277</v>
      </c>
      <c r="I110" s="106"/>
    </row>
    <row r="111" spans="1:9" s="11" customFormat="1" ht="17.25" x14ac:dyDescent="0.35">
      <c r="A111" s="113" t="s">
        <v>215</v>
      </c>
      <c r="B111" s="114" t="s">
        <v>216</v>
      </c>
      <c r="C111" s="114" t="s">
        <v>69</v>
      </c>
      <c r="D111" s="114"/>
      <c r="E111" s="114"/>
      <c r="F111" s="115"/>
      <c r="G111" s="114" t="s">
        <v>56</v>
      </c>
      <c r="H111" s="116"/>
      <c r="I111" s="106">
        <v>69676</v>
      </c>
    </row>
    <row r="112" spans="1:9" s="11" customFormat="1" ht="17.25" x14ac:dyDescent="0.35">
      <c r="A112" s="113"/>
      <c r="B112" s="114"/>
      <c r="C112" s="114"/>
      <c r="D112" s="114" t="s">
        <v>47</v>
      </c>
      <c r="E112" s="114">
        <v>1</v>
      </c>
      <c r="F112" s="115">
        <v>1</v>
      </c>
      <c r="G112" s="114"/>
      <c r="H112" s="116"/>
      <c r="I112" s="106" t="s">
        <v>7</v>
      </c>
    </row>
    <row r="113" spans="1:9" s="11" customFormat="1" ht="103.5" x14ac:dyDescent="0.35">
      <c r="A113" s="113" t="s">
        <v>217</v>
      </c>
      <c r="B113" s="114" t="s">
        <v>70</v>
      </c>
      <c r="C113" s="114" t="s">
        <v>49</v>
      </c>
      <c r="D113" s="114"/>
      <c r="E113" s="114"/>
      <c r="F113" s="115"/>
      <c r="G113" s="114" t="s">
        <v>56</v>
      </c>
      <c r="H113" s="116" t="s">
        <v>278</v>
      </c>
      <c r="I113" s="106" t="s">
        <v>218</v>
      </c>
    </row>
    <row r="114" spans="1:9" s="11" customFormat="1" ht="17.25" x14ac:dyDescent="0.35">
      <c r="A114" s="113" t="s">
        <v>219</v>
      </c>
      <c r="B114" s="114" t="s">
        <v>220</v>
      </c>
      <c r="C114" s="114" t="s">
        <v>69</v>
      </c>
      <c r="D114" s="114"/>
      <c r="E114" s="114"/>
      <c r="F114" s="115"/>
      <c r="G114" s="114" t="s">
        <v>56</v>
      </c>
      <c r="H114" s="116"/>
      <c r="I114" s="106"/>
    </row>
    <row r="115" spans="1:9" s="11" customFormat="1" ht="103.5" x14ac:dyDescent="0.35">
      <c r="A115" s="113"/>
      <c r="B115" s="114"/>
      <c r="C115" s="114"/>
      <c r="D115" s="114" t="s">
        <v>47</v>
      </c>
      <c r="E115" s="114">
        <v>2</v>
      </c>
      <c r="F115" s="115">
        <v>0</v>
      </c>
      <c r="G115" s="114"/>
      <c r="H115" s="116"/>
      <c r="I115" s="106" t="s">
        <v>221</v>
      </c>
    </row>
    <row r="116" spans="1:9" s="11" customFormat="1" ht="17.25" x14ac:dyDescent="0.35">
      <c r="A116" s="113" t="s">
        <v>67</v>
      </c>
      <c r="B116" s="114" t="s">
        <v>71</v>
      </c>
      <c r="C116" s="114" t="s">
        <v>49</v>
      </c>
      <c r="D116" s="114"/>
      <c r="E116" s="114"/>
      <c r="F116" s="115"/>
      <c r="G116" s="114" t="s">
        <v>56</v>
      </c>
      <c r="H116" s="116" t="s">
        <v>231</v>
      </c>
      <c r="I116" s="106">
        <v>65591</v>
      </c>
    </row>
    <row r="117" spans="1:9" s="11" customFormat="1" ht="17.25" x14ac:dyDescent="0.35">
      <c r="A117" s="113" t="s">
        <v>74</v>
      </c>
      <c r="B117" s="114" t="s">
        <v>75</v>
      </c>
      <c r="C117" s="114" t="s">
        <v>69</v>
      </c>
      <c r="D117" s="114"/>
      <c r="E117" s="114"/>
      <c r="F117" s="115"/>
      <c r="G117" s="114" t="s">
        <v>7</v>
      </c>
      <c r="H117" s="116"/>
      <c r="I117" s="106"/>
    </row>
    <row r="118" spans="1:9" s="11" customFormat="1" ht="17.25" x14ac:dyDescent="0.35">
      <c r="A118" s="113"/>
      <c r="B118" s="114"/>
      <c r="C118" s="114"/>
      <c r="D118" s="114" t="s">
        <v>47</v>
      </c>
      <c r="E118" s="114">
        <v>1</v>
      </c>
      <c r="F118" s="115">
        <v>1</v>
      </c>
      <c r="G118" s="114"/>
      <c r="H118" s="116"/>
      <c r="I118" s="106"/>
    </row>
    <row r="119" spans="1:9" s="11" customFormat="1" ht="17.25" x14ac:dyDescent="0.35">
      <c r="A119" s="113" t="s">
        <v>256</v>
      </c>
      <c r="B119" s="114" t="s">
        <v>256</v>
      </c>
      <c r="C119" s="114"/>
      <c r="D119" s="114" t="s">
        <v>47</v>
      </c>
      <c r="E119" s="114">
        <v>2</v>
      </c>
      <c r="F119" s="115">
        <v>0</v>
      </c>
      <c r="G119" s="114"/>
      <c r="H119" s="116"/>
      <c r="I119" s="106"/>
    </row>
    <row r="120" spans="1:9" s="11" customFormat="1" ht="17.25" x14ac:dyDescent="0.35">
      <c r="A120" s="113" t="s">
        <v>249</v>
      </c>
      <c r="B120" s="114" t="s">
        <v>250</v>
      </c>
      <c r="C120" s="114" t="s">
        <v>69</v>
      </c>
      <c r="D120" s="114"/>
      <c r="E120" s="114"/>
      <c r="F120" s="115"/>
      <c r="G120" s="114" t="s">
        <v>56</v>
      </c>
      <c r="H120" s="116"/>
      <c r="I120" s="106">
        <v>66472</v>
      </c>
    </row>
    <row r="121" spans="1:9" s="11" customFormat="1" ht="17.25" x14ac:dyDescent="0.35">
      <c r="A121" s="113" t="s">
        <v>256</v>
      </c>
      <c r="B121" s="114" t="s">
        <v>256</v>
      </c>
      <c r="C121" s="114"/>
      <c r="D121" s="114" t="s">
        <v>47</v>
      </c>
      <c r="E121" s="114">
        <v>1</v>
      </c>
      <c r="F121" s="115">
        <v>1</v>
      </c>
      <c r="G121" s="114"/>
      <c r="H121" s="116"/>
      <c r="I121" s="106"/>
    </row>
    <row r="122" spans="1:9" s="11" customFormat="1" ht="27.75" customHeight="1" x14ac:dyDescent="0.35">
      <c r="A122" s="113" t="s">
        <v>257</v>
      </c>
      <c r="B122" s="114" t="s">
        <v>251</v>
      </c>
      <c r="C122" s="114" t="s">
        <v>69</v>
      </c>
      <c r="D122" s="114"/>
      <c r="E122" s="114"/>
      <c r="F122" s="115"/>
      <c r="G122" s="114" t="s">
        <v>56</v>
      </c>
      <c r="H122" s="116"/>
      <c r="I122" s="106">
        <v>66048</v>
      </c>
    </row>
    <row r="123" spans="1:9" s="11" customFormat="1" ht="17.25" x14ac:dyDescent="0.35">
      <c r="A123" s="113" t="s">
        <v>256</v>
      </c>
      <c r="B123" s="114" t="s">
        <v>256</v>
      </c>
      <c r="C123" s="114"/>
      <c r="D123" s="114" t="s">
        <v>47</v>
      </c>
      <c r="E123" s="114">
        <v>1</v>
      </c>
      <c r="F123" s="115">
        <v>3</v>
      </c>
      <c r="G123" s="114"/>
      <c r="H123" s="116"/>
      <c r="I123" s="106"/>
    </row>
    <row r="124" spans="1:9" s="11" customFormat="1" ht="17.25" x14ac:dyDescent="0.35">
      <c r="A124" s="117" t="s">
        <v>355</v>
      </c>
      <c r="B124" s="118" t="s">
        <v>356</v>
      </c>
      <c r="C124" s="118" t="s">
        <v>49</v>
      </c>
      <c r="D124" s="118"/>
      <c r="E124" s="118"/>
      <c r="F124" s="118"/>
      <c r="G124" s="118" t="s">
        <v>56</v>
      </c>
      <c r="H124" s="119" t="s">
        <v>357</v>
      </c>
      <c r="I124" s="106">
        <v>67332</v>
      </c>
    </row>
    <row r="125" spans="1:9" s="11" customFormat="1" ht="17.25" x14ac:dyDescent="0.35">
      <c r="A125" s="113" t="s">
        <v>258</v>
      </c>
      <c r="B125" s="114" t="s">
        <v>252</v>
      </c>
      <c r="C125" s="114" t="s">
        <v>69</v>
      </c>
      <c r="D125" s="114"/>
      <c r="E125" s="114"/>
      <c r="F125" s="115"/>
      <c r="G125" s="114" t="s">
        <v>56</v>
      </c>
      <c r="H125" s="116"/>
      <c r="I125" s="106">
        <v>73509</v>
      </c>
    </row>
    <row r="126" spans="1:9" s="11" customFormat="1" ht="17.25" x14ac:dyDescent="0.35">
      <c r="A126" s="113" t="s">
        <v>256</v>
      </c>
      <c r="B126" s="114" t="s">
        <v>256</v>
      </c>
      <c r="C126" s="114"/>
      <c r="D126" s="114" t="s">
        <v>47</v>
      </c>
      <c r="E126" s="114">
        <v>1</v>
      </c>
      <c r="F126" s="115">
        <v>1</v>
      </c>
      <c r="G126" s="114"/>
      <c r="H126" s="116"/>
      <c r="I126" s="89"/>
    </row>
    <row r="127" spans="1:9" s="11" customFormat="1" ht="17.25" x14ac:dyDescent="0.35">
      <c r="A127" s="113" t="s">
        <v>243</v>
      </c>
      <c r="B127" s="114" t="s">
        <v>362</v>
      </c>
      <c r="C127" s="114" t="s">
        <v>49</v>
      </c>
      <c r="D127" s="114"/>
      <c r="E127" s="114"/>
      <c r="F127" s="115"/>
      <c r="G127" s="114" t="s">
        <v>363</v>
      </c>
      <c r="H127" s="116" t="s">
        <v>279</v>
      </c>
      <c r="I127" s="106" t="s">
        <v>280</v>
      </c>
    </row>
    <row r="128" spans="1:9" s="11" customFormat="1" ht="17.25" x14ac:dyDescent="0.35">
      <c r="A128" s="113" t="s">
        <v>353</v>
      </c>
      <c r="B128" s="114" t="s">
        <v>354</v>
      </c>
      <c r="C128" s="114" t="s">
        <v>69</v>
      </c>
      <c r="D128" s="114"/>
      <c r="E128" s="114"/>
      <c r="F128" s="115"/>
      <c r="G128" s="114" t="s">
        <v>56</v>
      </c>
      <c r="H128" s="116"/>
      <c r="I128" s="106">
        <v>66473</v>
      </c>
    </row>
    <row r="129" spans="1:9" s="11" customFormat="1" ht="17.25" x14ac:dyDescent="0.35">
      <c r="A129" s="113" t="s">
        <v>256</v>
      </c>
      <c r="B129" s="114" t="s">
        <v>256</v>
      </c>
      <c r="C129" s="114"/>
      <c r="D129" s="114" t="s">
        <v>47</v>
      </c>
      <c r="E129" s="114">
        <v>1</v>
      </c>
      <c r="F129" s="115">
        <v>1</v>
      </c>
      <c r="G129" s="114"/>
      <c r="H129" s="116"/>
      <c r="I129" s="106"/>
    </row>
    <row r="130" spans="1:9" s="11" customFormat="1" ht="18" thickBot="1" x14ac:dyDescent="0.4">
      <c r="A130" s="120"/>
      <c r="B130" s="121"/>
      <c r="C130" s="121"/>
      <c r="D130" s="121"/>
      <c r="E130" s="121"/>
      <c r="F130" s="121"/>
      <c r="G130" s="121"/>
      <c r="H130" s="122"/>
      <c r="I130" s="107"/>
    </row>
    <row r="131" spans="1:9" s="11" customFormat="1" ht="15.75" thickBot="1" x14ac:dyDescent="0.35">
      <c r="A131" s="23"/>
      <c r="B131" s="23"/>
      <c r="C131" s="46"/>
      <c r="D131" s="46"/>
      <c r="E131" s="46"/>
      <c r="F131" s="18"/>
      <c r="G131" s="46"/>
      <c r="H131" s="19"/>
      <c r="I131" s="17"/>
    </row>
    <row r="132" spans="1:9" s="11" customFormat="1" ht="19.5" x14ac:dyDescent="0.4">
      <c r="A132" s="142" t="s">
        <v>76</v>
      </c>
      <c r="B132" s="143"/>
      <c r="C132" s="143"/>
      <c r="D132" s="143"/>
      <c r="E132" s="143"/>
      <c r="F132" s="143"/>
      <c r="G132" s="143"/>
      <c r="H132" s="144"/>
      <c r="I132" s="17"/>
    </row>
    <row r="133" spans="1:9" s="11" customFormat="1" ht="17.25" x14ac:dyDescent="0.35">
      <c r="A133" s="51" t="s">
        <v>93</v>
      </c>
      <c r="B133" s="51"/>
      <c r="C133" s="51" t="s">
        <v>44</v>
      </c>
      <c r="D133" s="51" t="s">
        <v>94</v>
      </c>
      <c r="E133" s="51" t="s">
        <v>95</v>
      </c>
      <c r="F133" s="52" t="s">
        <v>96</v>
      </c>
      <c r="G133" s="51" t="s">
        <v>52</v>
      </c>
      <c r="H133" s="53"/>
      <c r="I133" s="17"/>
    </row>
    <row r="134" spans="1:9" s="11" customFormat="1" ht="17.25" x14ac:dyDescent="0.35">
      <c r="A134" s="51" t="s">
        <v>92</v>
      </c>
      <c r="B134" s="51"/>
      <c r="C134" s="20" t="s">
        <v>77</v>
      </c>
      <c r="D134" s="20"/>
      <c r="E134" s="20"/>
      <c r="F134" s="134"/>
      <c r="G134" s="20" t="s">
        <v>28</v>
      </c>
      <c r="H134" s="53"/>
      <c r="I134" s="17"/>
    </row>
    <row r="135" spans="1:9" s="11" customFormat="1" ht="17.25" x14ac:dyDescent="0.35">
      <c r="A135" s="51" t="s">
        <v>78</v>
      </c>
      <c r="B135" s="51"/>
      <c r="C135" s="20"/>
      <c r="D135" s="20" t="s">
        <v>47</v>
      </c>
      <c r="E135" s="20">
        <v>1</v>
      </c>
      <c r="F135" s="134">
        <v>0</v>
      </c>
      <c r="G135" s="20"/>
      <c r="H135" s="53"/>
      <c r="I135" s="90"/>
    </row>
    <row r="136" spans="1:9" s="22" customFormat="1" ht="17.25" x14ac:dyDescent="0.35">
      <c r="A136" s="51" t="s">
        <v>79</v>
      </c>
      <c r="B136" s="51"/>
      <c r="C136" s="20"/>
      <c r="D136" s="20" t="s">
        <v>47</v>
      </c>
      <c r="E136" s="20">
        <v>2</v>
      </c>
      <c r="F136" s="134">
        <v>2</v>
      </c>
      <c r="G136" s="20"/>
      <c r="H136" s="53"/>
      <c r="I136" s="33"/>
    </row>
    <row r="137" spans="1:9" ht="17.25" x14ac:dyDescent="0.35">
      <c r="A137" s="51" t="s">
        <v>80</v>
      </c>
      <c r="B137" s="51"/>
      <c r="C137" s="20"/>
      <c r="D137" s="20" t="s">
        <v>47</v>
      </c>
      <c r="E137" s="20">
        <v>2</v>
      </c>
      <c r="F137" s="134" t="s">
        <v>97</v>
      </c>
      <c r="G137" s="20"/>
      <c r="H137" s="53"/>
      <c r="I137" s="11"/>
    </row>
    <row r="138" spans="1:9" ht="17.25" x14ac:dyDescent="0.35">
      <c r="A138" s="51" t="s">
        <v>81</v>
      </c>
      <c r="B138" s="51"/>
      <c r="C138" s="20"/>
      <c r="D138" s="20" t="s">
        <v>47</v>
      </c>
      <c r="E138" s="20">
        <v>1</v>
      </c>
      <c r="F138" s="134" t="s">
        <v>4</v>
      </c>
      <c r="G138" s="20"/>
      <c r="H138" s="53"/>
    </row>
    <row r="139" spans="1:9" ht="17.25" x14ac:dyDescent="0.35">
      <c r="A139" s="51" t="s">
        <v>82</v>
      </c>
      <c r="B139" s="51"/>
      <c r="C139" s="20"/>
      <c r="D139" s="20" t="s">
        <v>47</v>
      </c>
      <c r="E139" s="20">
        <v>2</v>
      </c>
      <c r="F139" s="134">
        <v>4</v>
      </c>
      <c r="G139" s="20"/>
      <c r="H139" s="53"/>
    </row>
    <row r="140" spans="1:9" ht="17.25" x14ac:dyDescent="0.35">
      <c r="A140" s="51" t="s">
        <v>83</v>
      </c>
      <c r="B140" s="51"/>
      <c r="C140" s="20"/>
      <c r="D140" s="20" t="s">
        <v>47</v>
      </c>
      <c r="E140" s="20">
        <f>F139</f>
        <v>4</v>
      </c>
      <c r="F140" s="135" t="s">
        <v>383</v>
      </c>
      <c r="G140" s="20"/>
      <c r="H140" s="53"/>
    </row>
    <row r="141" spans="1:9" ht="17.25" x14ac:dyDescent="0.35">
      <c r="A141" s="51" t="s">
        <v>84</v>
      </c>
      <c r="B141" s="51"/>
      <c r="C141" s="20"/>
      <c r="D141" s="20" t="s">
        <v>47</v>
      </c>
      <c r="E141" s="20">
        <v>1</v>
      </c>
      <c r="F141" s="134" t="s">
        <v>5</v>
      </c>
      <c r="G141" s="20"/>
      <c r="H141" s="53"/>
    </row>
    <row r="142" spans="1:9" ht="17.25" x14ac:dyDescent="0.35">
      <c r="A142" s="51" t="s">
        <v>85</v>
      </c>
      <c r="B142" s="51"/>
      <c r="C142" s="20"/>
      <c r="D142" s="20" t="s">
        <v>47</v>
      </c>
      <c r="E142" s="20">
        <v>2</v>
      </c>
      <c r="F142" s="134">
        <f>LEN(F143)</f>
        <v>17</v>
      </c>
      <c r="G142" s="20"/>
      <c r="H142" s="53"/>
    </row>
    <row r="143" spans="1:9" ht="17.25" x14ac:dyDescent="0.35">
      <c r="A143" s="51" t="s">
        <v>86</v>
      </c>
      <c r="B143" s="51"/>
      <c r="C143" s="20"/>
      <c r="D143" s="20" t="s">
        <v>48</v>
      </c>
      <c r="E143" s="20">
        <f>F142</f>
        <v>17</v>
      </c>
      <c r="F143" s="134" t="s">
        <v>339</v>
      </c>
      <c r="G143" s="20"/>
      <c r="H143" s="54" t="s">
        <v>239</v>
      </c>
    </row>
    <row r="144" spans="1:9" ht="17.25" x14ac:dyDescent="0.35">
      <c r="A144" s="51" t="s">
        <v>87</v>
      </c>
      <c r="B144" s="51"/>
      <c r="C144" s="20"/>
      <c r="D144" s="20" t="s">
        <v>47</v>
      </c>
      <c r="E144" s="20">
        <v>1</v>
      </c>
      <c r="F144" s="134" t="s">
        <v>98</v>
      </c>
      <c r="G144" s="20"/>
      <c r="H144" s="53"/>
    </row>
    <row r="145" spans="1:8" ht="17.25" x14ac:dyDescent="0.35">
      <c r="A145" s="51" t="s">
        <v>88</v>
      </c>
      <c r="B145" s="51"/>
      <c r="C145" s="20"/>
      <c r="D145" s="20" t="s">
        <v>47</v>
      </c>
      <c r="E145" s="20">
        <v>2</v>
      </c>
      <c r="F145" s="136">
        <f>SUM(E146:E147)+F147*E148</f>
        <v>10</v>
      </c>
      <c r="G145" s="20"/>
      <c r="H145" s="53"/>
    </row>
    <row r="146" spans="1:8" ht="17.25" x14ac:dyDescent="0.35">
      <c r="A146" s="51" t="s">
        <v>89</v>
      </c>
      <c r="B146" s="51"/>
      <c r="C146" s="20"/>
      <c r="D146" s="20" t="s">
        <v>47</v>
      </c>
      <c r="E146" s="20">
        <v>1</v>
      </c>
      <c r="F146" s="134">
        <v>0</v>
      </c>
      <c r="G146" s="20"/>
      <c r="H146" s="53"/>
    </row>
    <row r="147" spans="1:8" ht="17.25" x14ac:dyDescent="0.35">
      <c r="A147" s="51" t="s">
        <v>90</v>
      </c>
      <c r="B147" s="51"/>
      <c r="C147" s="20"/>
      <c r="D147" s="20" t="s">
        <v>47</v>
      </c>
      <c r="E147" s="20">
        <v>1</v>
      </c>
      <c r="F147" s="136">
        <f>LEN(F148)-LEN(SUBSTITUTE(F148,",","")) + 1</f>
        <v>2</v>
      </c>
      <c r="G147" s="20"/>
      <c r="H147" s="53"/>
    </row>
    <row r="148" spans="1:8" ht="17.25" x14ac:dyDescent="0.35">
      <c r="A148" s="55" t="s">
        <v>91</v>
      </c>
      <c r="B148" s="55"/>
      <c r="C148" s="20"/>
      <c r="D148" s="20" t="s">
        <v>55</v>
      </c>
      <c r="E148" s="20">
        <v>4</v>
      </c>
      <c r="F148" s="21" t="s">
        <v>310</v>
      </c>
      <c r="G148" s="20"/>
      <c r="H148" s="56"/>
    </row>
    <row r="149" spans="1:8" ht="17.25" x14ac:dyDescent="0.35">
      <c r="A149" s="51" t="s">
        <v>344</v>
      </c>
      <c r="B149" s="51"/>
      <c r="C149" s="20"/>
      <c r="D149" s="20" t="s">
        <v>47</v>
      </c>
      <c r="E149" s="20">
        <v>1</v>
      </c>
      <c r="F149" s="137" t="s">
        <v>27</v>
      </c>
      <c r="G149" s="20"/>
      <c r="H149" s="53"/>
    </row>
    <row r="150" spans="1:8" ht="17.25" x14ac:dyDescent="0.35">
      <c r="A150" s="55" t="s">
        <v>345</v>
      </c>
      <c r="B150" s="55"/>
      <c r="C150" s="20"/>
      <c r="D150" s="20" t="s">
        <v>47</v>
      </c>
      <c r="E150" s="20">
        <v>2</v>
      </c>
      <c r="F150" s="21" t="s">
        <v>346</v>
      </c>
      <c r="G150" s="20"/>
      <c r="H150" s="56"/>
    </row>
    <row r="151" spans="1:8" ht="17.25" x14ac:dyDescent="0.35">
      <c r="A151" s="85" t="s">
        <v>340</v>
      </c>
      <c r="B151" s="85"/>
      <c r="C151" s="86"/>
      <c r="D151" s="86" t="s">
        <v>47</v>
      </c>
      <c r="E151" s="86">
        <v>4</v>
      </c>
      <c r="F151" s="135" t="str">
        <f>$F$140</f>
        <v>0x05011A0B</v>
      </c>
      <c r="G151" s="20"/>
      <c r="H151" s="56"/>
    </row>
    <row r="152" spans="1:8" ht="17.25" x14ac:dyDescent="0.35">
      <c r="A152" s="123" t="s">
        <v>374</v>
      </c>
      <c r="B152" s="123"/>
      <c r="C152" s="124"/>
      <c r="D152" s="124" t="s">
        <v>47</v>
      </c>
      <c r="E152" s="124">
        <v>1</v>
      </c>
      <c r="F152" s="138" t="s">
        <v>375</v>
      </c>
      <c r="G152" s="124"/>
      <c r="H152" s="125"/>
    </row>
    <row r="153" spans="1:8" ht="17.25" x14ac:dyDescent="0.35">
      <c r="A153" s="126" t="s">
        <v>376</v>
      </c>
      <c r="B153" s="126"/>
      <c r="C153" s="124"/>
      <c r="D153" s="124" t="s">
        <v>47</v>
      </c>
      <c r="E153" s="124">
        <v>2</v>
      </c>
      <c r="F153" s="18">
        <f>SUM(E154:E155)+E156*F155*2</f>
        <v>10</v>
      </c>
      <c r="G153" s="124"/>
      <c r="H153" s="128"/>
    </row>
    <row r="154" spans="1:8" ht="17.25" x14ac:dyDescent="0.35">
      <c r="A154" s="123" t="s">
        <v>377</v>
      </c>
      <c r="B154" s="123"/>
      <c r="C154" s="124"/>
      <c r="D154" s="124" t="s">
        <v>47</v>
      </c>
      <c r="E154" s="124">
        <v>1</v>
      </c>
      <c r="F154" s="127" t="s">
        <v>378</v>
      </c>
      <c r="G154" s="124"/>
      <c r="H154" s="125" t="s">
        <v>379</v>
      </c>
    </row>
    <row r="155" spans="1:8" ht="17.25" x14ac:dyDescent="0.35">
      <c r="A155" s="126" t="s">
        <v>380</v>
      </c>
      <c r="B155" s="126"/>
      <c r="C155" s="124"/>
      <c r="D155" s="124" t="s">
        <v>47</v>
      </c>
      <c r="E155" s="124">
        <v>1</v>
      </c>
      <c r="F155" s="145">
        <f>LEN(F156)-LEN(SUBSTITUTE(F156,"-",""))</f>
        <v>2</v>
      </c>
      <c r="G155" s="124"/>
      <c r="H155" s="128" t="s">
        <v>381</v>
      </c>
    </row>
    <row r="156" spans="1:8" ht="17.25" x14ac:dyDescent="0.35">
      <c r="A156" s="126" t="s">
        <v>382</v>
      </c>
      <c r="B156" s="126"/>
      <c r="C156" s="124"/>
      <c r="D156" s="124" t="s">
        <v>55</v>
      </c>
      <c r="E156" s="124">
        <v>2</v>
      </c>
      <c r="F156" s="127" t="s">
        <v>384</v>
      </c>
      <c r="G156" s="124"/>
      <c r="H156" s="128"/>
    </row>
    <row r="157" spans="1:8" ht="17.25" x14ac:dyDescent="0.35">
      <c r="A157" s="129" t="s">
        <v>367</v>
      </c>
      <c r="B157" s="129"/>
      <c r="C157" s="130"/>
      <c r="D157" s="131" t="s">
        <v>47</v>
      </c>
      <c r="E157" s="131">
        <v>1</v>
      </c>
      <c r="F157" s="133" t="s">
        <v>29</v>
      </c>
      <c r="G157" s="131"/>
      <c r="H157" s="132"/>
    </row>
    <row r="158" spans="1:8" ht="17.25" x14ac:dyDescent="0.35">
      <c r="A158" s="129" t="s">
        <v>368</v>
      </c>
      <c r="B158" s="129"/>
      <c r="C158" s="130"/>
      <c r="D158" s="131" t="s">
        <v>47</v>
      </c>
      <c r="E158" s="131">
        <v>2</v>
      </c>
      <c r="F158" s="133">
        <v>4</v>
      </c>
      <c r="G158" s="131"/>
      <c r="H158" s="132"/>
    </row>
    <row r="159" spans="1:8" ht="138" x14ac:dyDescent="0.35">
      <c r="A159" s="129" t="s">
        <v>369</v>
      </c>
      <c r="B159" s="129"/>
      <c r="C159" s="130"/>
      <c r="D159" s="131" t="s">
        <v>47</v>
      </c>
      <c r="E159" s="131">
        <v>4</v>
      </c>
      <c r="F159" s="139" t="s">
        <v>370</v>
      </c>
      <c r="G159" s="131"/>
      <c r="H159" s="132" t="s">
        <v>371</v>
      </c>
    </row>
  </sheetData>
  <mergeCells count="2">
    <mergeCell ref="A2:I2"/>
    <mergeCell ref="A132:H13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65"/>
  <sheetViews>
    <sheetView topLeftCell="A25" zoomScale="70" zoomScaleNormal="70" workbookViewId="0">
      <selection activeCell="F38" sqref="C38:F38"/>
    </sheetView>
  </sheetViews>
  <sheetFormatPr defaultColWidth="9.140625" defaultRowHeight="12.75" x14ac:dyDescent="0.2"/>
  <cols>
    <col min="1" max="1" width="2.85546875" style="25" customWidth="1"/>
    <col min="2" max="2" width="11.7109375" style="25" customWidth="1"/>
    <col min="3" max="3" width="12.7109375" style="18" bestFit="1" customWidth="1"/>
    <col min="4" max="4" width="56.28515625" style="18" bestFit="1" customWidth="1"/>
    <col min="5" max="5" width="20.5703125" style="18" customWidth="1"/>
    <col min="6" max="6" width="48.85546875" style="18" customWidth="1"/>
    <col min="7" max="7" width="53.28515625" style="18" customWidth="1"/>
    <col min="8" max="8" width="9.140625" style="25" customWidth="1"/>
    <col min="9" max="11" width="9.140625" style="25"/>
    <col min="12" max="12" width="10.85546875" style="25" bestFit="1" customWidth="1"/>
    <col min="13" max="16384" width="9.140625" style="25"/>
  </cols>
  <sheetData>
    <row r="2" spans="2:7" s="24" customFormat="1" ht="45" customHeight="1" x14ac:dyDescent="0.55000000000000004">
      <c r="B2" s="45" t="s">
        <v>40</v>
      </c>
      <c r="C2" s="45"/>
      <c r="D2" s="45"/>
      <c r="E2" s="45"/>
      <c r="F2" s="45"/>
      <c r="G2" s="45"/>
    </row>
    <row r="3" spans="2:7" ht="13.5" thickBot="1" x14ac:dyDescent="0.25"/>
    <row r="4" spans="2:7" ht="15.75" thickBot="1" x14ac:dyDescent="0.35">
      <c r="D4" s="75" t="s">
        <v>283</v>
      </c>
      <c r="E4" s="75"/>
    </row>
    <row r="5" spans="2:7" x14ac:dyDescent="0.2">
      <c r="D5" s="25" t="s">
        <v>284</v>
      </c>
      <c r="E5" s="18">
        <v>1</v>
      </c>
    </row>
    <row r="6" spans="2:7" x14ac:dyDescent="0.2">
      <c r="D6" s="25" t="s">
        <v>285</v>
      </c>
      <c r="E6" s="18">
        <v>75</v>
      </c>
    </row>
    <row r="7" spans="2:7" ht="13.5" thickBot="1" x14ac:dyDescent="0.25"/>
    <row r="8" spans="2:7" s="26" customFormat="1" ht="15.75" thickBot="1" x14ac:dyDescent="0.35">
      <c r="B8" s="27" t="s">
        <v>41</v>
      </c>
      <c r="C8" s="31" t="s">
        <v>37</v>
      </c>
      <c r="D8" s="31" t="s">
        <v>38</v>
      </c>
      <c r="E8" s="31" t="s">
        <v>39</v>
      </c>
      <c r="F8" s="35" t="s">
        <v>3</v>
      </c>
      <c r="G8" s="34" t="s">
        <v>263</v>
      </c>
    </row>
    <row r="9" spans="2:7" s="47" customFormat="1" ht="15" x14ac:dyDescent="0.3">
      <c r="B9" s="48"/>
      <c r="C9" s="49"/>
      <c r="D9" s="59"/>
      <c r="E9" s="38"/>
      <c r="F9" s="58"/>
      <c r="G9" s="57"/>
    </row>
    <row r="10" spans="2:7" s="47" customFormat="1" ht="15" x14ac:dyDescent="0.3">
      <c r="B10" s="48"/>
      <c r="C10" s="49">
        <v>41571</v>
      </c>
      <c r="D10" s="59" t="s">
        <v>270</v>
      </c>
      <c r="E10" s="38">
        <v>566149</v>
      </c>
      <c r="F10" s="58" t="s">
        <v>269</v>
      </c>
      <c r="G10" s="57" t="s">
        <v>268</v>
      </c>
    </row>
    <row r="11" spans="2:7" s="47" customFormat="1" ht="30" x14ac:dyDescent="0.3">
      <c r="B11" s="48"/>
      <c r="C11" s="49">
        <v>41575</v>
      </c>
      <c r="D11" s="59" t="s">
        <v>271</v>
      </c>
      <c r="E11" s="38">
        <v>566042</v>
      </c>
      <c r="F11" s="58" t="s">
        <v>272</v>
      </c>
      <c r="G11" s="57" t="s">
        <v>273</v>
      </c>
    </row>
    <row r="12" spans="2:7" s="47" customFormat="1" ht="15" x14ac:dyDescent="0.3">
      <c r="B12" s="48"/>
      <c r="C12" s="49">
        <v>41584</v>
      </c>
      <c r="D12" s="59" t="s">
        <v>274</v>
      </c>
      <c r="E12" s="38">
        <v>533044</v>
      </c>
      <c r="F12" s="58"/>
      <c r="G12" s="57" t="s">
        <v>281</v>
      </c>
    </row>
    <row r="13" spans="2:7" s="47" customFormat="1" ht="15" x14ac:dyDescent="0.3">
      <c r="B13" s="48"/>
      <c r="C13" s="49">
        <v>41583</v>
      </c>
      <c r="D13" s="59" t="s">
        <v>287</v>
      </c>
      <c r="E13" s="38">
        <v>549524</v>
      </c>
      <c r="F13" s="58"/>
      <c r="G13" s="57" t="s">
        <v>288</v>
      </c>
    </row>
    <row r="14" spans="2:7" s="47" customFormat="1" ht="15" x14ac:dyDescent="0.3">
      <c r="B14" s="48"/>
      <c r="C14" s="49">
        <v>41584</v>
      </c>
      <c r="D14" s="59" t="s">
        <v>271</v>
      </c>
      <c r="E14" s="38">
        <v>604548</v>
      </c>
      <c r="F14" s="58"/>
      <c r="G14" s="57" t="s">
        <v>289</v>
      </c>
    </row>
    <row r="15" spans="2:7" s="47" customFormat="1" ht="15" x14ac:dyDescent="0.3">
      <c r="B15" s="48">
        <v>1</v>
      </c>
      <c r="C15" s="49">
        <v>41810</v>
      </c>
      <c r="D15" s="59" t="s">
        <v>290</v>
      </c>
      <c r="E15" s="38">
        <v>672662</v>
      </c>
      <c r="F15" s="58" t="s">
        <v>291</v>
      </c>
      <c r="G15" s="57"/>
    </row>
    <row r="16" spans="2:7" s="47" customFormat="1" ht="65.25" x14ac:dyDescent="0.3">
      <c r="B16" s="48">
        <v>2</v>
      </c>
      <c r="C16" s="49">
        <v>41843</v>
      </c>
      <c r="D16" s="59" t="s">
        <v>292</v>
      </c>
      <c r="E16" s="38">
        <v>696680</v>
      </c>
      <c r="F16" s="58" t="s">
        <v>293</v>
      </c>
      <c r="G16" s="57" t="s">
        <v>294</v>
      </c>
    </row>
    <row r="17" spans="2:7" s="47" customFormat="1" ht="68.25" customHeight="1" x14ac:dyDescent="0.3">
      <c r="B17" s="48">
        <v>3</v>
      </c>
      <c r="C17" s="49">
        <v>41855</v>
      </c>
      <c r="D17" s="59" t="s">
        <v>295</v>
      </c>
      <c r="E17" s="38">
        <v>704321</v>
      </c>
      <c r="F17" s="58" t="s">
        <v>297</v>
      </c>
      <c r="G17" s="57" t="s">
        <v>296</v>
      </c>
    </row>
    <row r="18" spans="2:7" s="47" customFormat="1" ht="68.25" customHeight="1" x14ac:dyDescent="0.3">
      <c r="B18" s="48">
        <v>4</v>
      </c>
      <c r="C18" s="49">
        <v>41863</v>
      </c>
      <c r="D18" s="59" t="s">
        <v>298</v>
      </c>
      <c r="E18" s="38">
        <v>670080</v>
      </c>
      <c r="F18" s="58" t="s">
        <v>300</v>
      </c>
      <c r="G18" s="57" t="s">
        <v>299</v>
      </c>
    </row>
    <row r="19" spans="2:7" s="47" customFormat="1" ht="68.25" customHeight="1" x14ac:dyDescent="0.3">
      <c r="B19" s="48">
        <v>5</v>
      </c>
      <c r="C19" s="49">
        <v>41864</v>
      </c>
      <c r="D19" s="59" t="s">
        <v>301</v>
      </c>
      <c r="E19" s="38">
        <v>705789</v>
      </c>
      <c r="F19" s="58" t="s">
        <v>303</v>
      </c>
      <c r="G19" s="57" t="s">
        <v>302</v>
      </c>
    </row>
    <row r="20" spans="2:7" s="47" customFormat="1" ht="68.25" customHeight="1" x14ac:dyDescent="0.3">
      <c r="B20" s="48">
        <v>6</v>
      </c>
      <c r="C20" s="49">
        <v>41866</v>
      </c>
      <c r="D20" s="59" t="s">
        <v>304</v>
      </c>
      <c r="E20" s="38">
        <v>709965</v>
      </c>
      <c r="F20" s="58" t="s">
        <v>306</v>
      </c>
      <c r="G20" s="57" t="s">
        <v>305</v>
      </c>
    </row>
    <row r="21" spans="2:7" s="47" customFormat="1" ht="68.25" customHeight="1" x14ac:dyDescent="0.3">
      <c r="B21" s="48">
        <v>7</v>
      </c>
      <c r="C21" s="49">
        <v>41871</v>
      </c>
      <c r="D21" s="59" t="s">
        <v>307</v>
      </c>
      <c r="E21" s="38">
        <v>712518</v>
      </c>
      <c r="F21" s="58" t="s">
        <v>308</v>
      </c>
      <c r="G21" s="57" t="s">
        <v>309</v>
      </c>
    </row>
    <row r="22" spans="2:7" s="47" customFormat="1" ht="68.25" customHeight="1" x14ac:dyDescent="0.3">
      <c r="B22" s="48">
        <v>8</v>
      </c>
      <c r="C22" s="49">
        <v>41873</v>
      </c>
      <c r="D22" s="59" t="s">
        <v>298</v>
      </c>
      <c r="E22" s="38">
        <v>713916</v>
      </c>
      <c r="F22" s="58" t="s">
        <v>311</v>
      </c>
      <c r="G22" s="57" t="s">
        <v>312</v>
      </c>
    </row>
    <row r="23" spans="2:7" s="47" customFormat="1" ht="90" x14ac:dyDescent="0.3">
      <c r="B23" s="48">
        <v>9</v>
      </c>
      <c r="C23" s="49">
        <v>41873</v>
      </c>
      <c r="D23" s="59" t="s">
        <v>271</v>
      </c>
      <c r="E23" s="38">
        <v>713957</v>
      </c>
      <c r="F23" s="58" t="s">
        <v>314</v>
      </c>
      <c r="G23" s="57" t="s">
        <v>313</v>
      </c>
    </row>
    <row r="24" spans="2:7" s="47" customFormat="1" ht="409.5" x14ac:dyDescent="0.3">
      <c r="B24" s="48">
        <v>10</v>
      </c>
      <c r="C24" s="49">
        <v>41911</v>
      </c>
      <c r="D24" s="59" t="s">
        <v>315</v>
      </c>
      <c r="E24" s="38" t="s">
        <v>317</v>
      </c>
      <c r="F24" s="58" t="s">
        <v>318</v>
      </c>
      <c r="G24" s="57" t="s">
        <v>316</v>
      </c>
    </row>
    <row r="25" spans="2:7" s="47" customFormat="1" ht="180" x14ac:dyDescent="0.3">
      <c r="B25" s="48">
        <v>11</v>
      </c>
      <c r="C25" s="49">
        <v>41913</v>
      </c>
      <c r="D25" s="59" t="s">
        <v>320</v>
      </c>
      <c r="E25" s="38">
        <v>726319</v>
      </c>
      <c r="F25" s="58" t="s">
        <v>321</v>
      </c>
      <c r="G25" s="57" t="s">
        <v>319</v>
      </c>
    </row>
    <row r="26" spans="2:7" s="47" customFormat="1" ht="255" x14ac:dyDescent="0.3">
      <c r="B26" s="48">
        <v>12</v>
      </c>
      <c r="C26" s="49">
        <v>41919</v>
      </c>
      <c r="D26" s="59" t="s">
        <v>323</v>
      </c>
      <c r="E26" s="38">
        <v>735484</v>
      </c>
      <c r="F26" s="58" t="s">
        <v>324</v>
      </c>
      <c r="G26" s="57" t="s">
        <v>322</v>
      </c>
    </row>
    <row r="27" spans="2:7" s="47" customFormat="1" ht="27" x14ac:dyDescent="0.3">
      <c r="B27" s="48">
        <v>13</v>
      </c>
      <c r="C27" s="49">
        <v>41925</v>
      </c>
      <c r="D27" s="59" t="s">
        <v>325</v>
      </c>
      <c r="E27" s="38">
        <v>737622</v>
      </c>
      <c r="F27" s="58" t="s">
        <v>327</v>
      </c>
      <c r="G27" s="57" t="s">
        <v>326</v>
      </c>
    </row>
    <row r="28" spans="2:7" s="47" customFormat="1" ht="30" x14ac:dyDescent="0.3">
      <c r="B28" s="48">
        <v>14</v>
      </c>
      <c r="C28" s="49">
        <v>41941</v>
      </c>
      <c r="D28" s="59" t="s">
        <v>328</v>
      </c>
      <c r="E28" s="38">
        <v>737724</v>
      </c>
      <c r="F28" s="58" t="s">
        <v>330</v>
      </c>
      <c r="G28" s="57" t="s">
        <v>329</v>
      </c>
    </row>
    <row r="29" spans="2:7" s="47" customFormat="1" ht="15" x14ac:dyDescent="0.3">
      <c r="B29" s="48">
        <v>15</v>
      </c>
      <c r="C29" s="49">
        <v>41942</v>
      </c>
      <c r="D29" s="59" t="s">
        <v>328</v>
      </c>
      <c r="E29" s="38">
        <v>738525</v>
      </c>
      <c r="F29" s="58" t="s">
        <v>332</v>
      </c>
      <c r="G29" s="57" t="s">
        <v>331</v>
      </c>
    </row>
    <row r="30" spans="2:7" s="47" customFormat="1" ht="15" x14ac:dyDescent="0.3">
      <c r="B30" s="48">
        <v>16</v>
      </c>
      <c r="C30" s="49">
        <v>41957</v>
      </c>
      <c r="D30" s="59" t="s">
        <v>307</v>
      </c>
      <c r="E30" s="38">
        <v>690334</v>
      </c>
      <c r="F30" s="58" t="s">
        <v>334</v>
      </c>
      <c r="G30" s="57" t="s">
        <v>333</v>
      </c>
    </row>
    <row r="31" spans="2:7" s="47" customFormat="1" ht="15" x14ac:dyDescent="0.3">
      <c r="B31" s="48">
        <v>17</v>
      </c>
      <c r="C31" s="49">
        <v>41983</v>
      </c>
      <c r="D31" s="59" t="s">
        <v>298</v>
      </c>
      <c r="E31" s="38">
        <v>750720</v>
      </c>
      <c r="F31" s="58" t="s">
        <v>341</v>
      </c>
      <c r="G31" s="57" t="s">
        <v>342</v>
      </c>
    </row>
    <row r="32" spans="2:7" s="47" customFormat="1" ht="15" x14ac:dyDescent="0.3">
      <c r="B32" s="48">
        <v>18</v>
      </c>
      <c r="C32" s="49">
        <v>42009</v>
      </c>
      <c r="D32" s="59" t="s">
        <v>298</v>
      </c>
      <c r="E32" s="38">
        <v>774378</v>
      </c>
      <c r="F32" s="58" t="s">
        <v>348</v>
      </c>
      <c r="G32" s="57" t="s">
        <v>347</v>
      </c>
    </row>
    <row r="33" spans="2:7" s="47" customFormat="1" ht="15" x14ac:dyDescent="0.3">
      <c r="B33" s="48">
        <v>19</v>
      </c>
      <c r="C33" s="49">
        <v>42033</v>
      </c>
      <c r="D33" s="59" t="s">
        <v>298</v>
      </c>
      <c r="E33" s="38">
        <v>787074</v>
      </c>
      <c r="F33" s="58" t="s">
        <v>349</v>
      </c>
      <c r="G33" s="57" t="s">
        <v>350</v>
      </c>
    </row>
    <row r="34" spans="2:7" s="47" customFormat="1" ht="15" x14ac:dyDescent="0.3">
      <c r="B34" s="48">
        <v>20</v>
      </c>
      <c r="C34" s="49">
        <v>42090</v>
      </c>
      <c r="D34" s="59" t="s">
        <v>298</v>
      </c>
      <c r="E34" s="38">
        <v>805833</v>
      </c>
      <c r="F34" s="58" t="s">
        <v>351</v>
      </c>
      <c r="G34" s="57" t="s">
        <v>352</v>
      </c>
    </row>
    <row r="35" spans="2:7" s="47" customFormat="1" ht="15" x14ac:dyDescent="0.3">
      <c r="B35" s="48">
        <v>21</v>
      </c>
      <c r="C35" s="49">
        <v>42235</v>
      </c>
      <c r="D35" s="59" t="s">
        <v>298</v>
      </c>
      <c r="E35" s="38">
        <v>854297</v>
      </c>
      <c r="F35" s="58" t="s">
        <v>358</v>
      </c>
      <c r="G35" s="57" t="s">
        <v>359</v>
      </c>
    </row>
    <row r="36" spans="2:7" s="47" customFormat="1" ht="15" x14ac:dyDescent="0.3">
      <c r="B36" s="48">
        <v>22</v>
      </c>
      <c r="C36" s="49">
        <v>42317</v>
      </c>
      <c r="D36" s="59" t="s">
        <v>360</v>
      </c>
      <c r="E36" s="38">
        <v>936684</v>
      </c>
      <c r="F36" s="58" t="s">
        <v>361</v>
      </c>
      <c r="G36" s="57" t="s">
        <v>364</v>
      </c>
    </row>
    <row r="37" spans="2:7" s="47" customFormat="1" ht="15" x14ac:dyDescent="0.3">
      <c r="B37" s="48">
        <v>23</v>
      </c>
      <c r="C37" s="49">
        <v>42424</v>
      </c>
      <c r="D37" s="59" t="s">
        <v>360</v>
      </c>
      <c r="E37" s="38">
        <v>973486</v>
      </c>
      <c r="F37" s="58" t="s">
        <v>365</v>
      </c>
      <c r="G37" s="57" t="s">
        <v>366</v>
      </c>
    </row>
    <row r="38" spans="2:7" ht="25.5" x14ac:dyDescent="0.2">
      <c r="B38" s="28">
        <v>24</v>
      </c>
      <c r="C38" s="39">
        <v>42496</v>
      </c>
      <c r="D38" s="40" t="s">
        <v>372</v>
      </c>
      <c r="E38" s="18">
        <v>923682</v>
      </c>
      <c r="F38" s="19" t="s">
        <v>373</v>
      </c>
      <c r="G38" s="25"/>
    </row>
    <row r="39" spans="2:7" x14ac:dyDescent="0.2">
      <c r="B39" s="28"/>
      <c r="C39" s="39"/>
      <c r="D39" s="41"/>
      <c r="E39" s="25"/>
      <c r="F39" s="19"/>
      <c r="G39" s="25"/>
    </row>
    <row r="40" spans="2:7" x14ac:dyDescent="0.2">
      <c r="B40" s="28"/>
      <c r="C40" s="39"/>
      <c r="D40" s="40"/>
      <c r="E40" s="25"/>
      <c r="F40" s="19"/>
      <c r="G40" s="25"/>
    </row>
    <row r="41" spans="2:7" x14ac:dyDescent="0.2">
      <c r="B41" s="28"/>
      <c r="C41" s="39"/>
      <c r="D41" s="40"/>
      <c r="E41" s="25"/>
      <c r="F41" s="19"/>
      <c r="G41" s="25"/>
    </row>
    <row r="42" spans="2:7" x14ac:dyDescent="0.2">
      <c r="B42" s="28"/>
      <c r="C42" s="39"/>
      <c r="D42" s="40"/>
      <c r="E42" s="25"/>
      <c r="F42" s="19"/>
      <c r="G42" s="25"/>
    </row>
    <row r="43" spans="2:7" x14ac:dyDescent="0.2">
      <c r="B43" s="28"/>
      <c r="C43" s="39"/>
      <c r="D43" s="40"/>
      <c r="E43" s="25"/>
      <c r="F43" s="19"/>
      <c r="G43" s="25"/>
    </row>
    <row r="44" spans="2:7" x14ac:dyDescent="0.2">
      <c r="B44" s="28"/>
      <c r="C44" s="39"/>
      <c r="D44" s="40"/>
      <c r="E44" s="25"/>
      <c r="F44" s="25"/>
      <c r="G44" s="25"/>
    </row>
    <row r="45" spans="2:7" x14ac:dyDescent="0.2">
      <c r="B45" s="28"/>
      <c r="C45" s="39"/>
      <c r="D45" s="40"/>
      <c r="E45" s="25"/>
      <c r="F45" s="19"/>
      <c r="G45" s="19"/>
    </row>
    <row r="46" spans="2:7" x14ac:dyDescent="0.2">
      <c r="B46" s="28"/>
      <c r="C46" s="39"/>
      <c r="D46" s="40"/>
      <c r="E46" s="25"/>
      <c r="F46" s="19"/>
      <c r="G46" s="19"/>
    </row>
    <row r="47" spans="2:7" x14ac:dyDescent="0.2">
      <c r="B47" s="28"/>
      <c r="C47" s="39"/>
      <c r="D47" s="40"/>
      <c r="E47" s="25"/>
      <c r="F47" s="19"/>
      <c r="G47" s="25"/>
    </row>
    <row r="48" spans="2:7" x14ac:dyDescent="0.2">
      <c r="B48" s="28"/>
      <c r="C48" s="39"/>
      <c r="D48" s="40"/>
      <c r="E48" s="25"/>
      <c r="F48" s="19"/>
      <c r="G48" s="25"/>
    </row>
    <row r="49" spans="2:7" ht="15" x14ac:dyDescent="0.3">
      <c r="B49" s="28"/>
      <c r="C49" s="42"/>
      <c r="D49" s="43"/>
      <c r="E49" s="25"/>
      <c r="F49" s="19"/>
      <c r="G49" s="25"/>
    </row>
    <row r="50" spans="2:7" x14ac:dyDescent="0.2">
      <c r="B50" s="28"/>
      <c r="C50" s="42"/>
      <c r="D50" s="41"/>
      <c r="E50" s="25"/>
      <c r="F50" s="19"/>
      <c r="G50" s="25"/>
    </row>
    <row r="51" spans="2:7" x14ac:dyDescent="0.2">
      <c r="B51" s="28"/>
      <c r="C51" s="39"/>
      <c r="D51" s="41"/>
      <c r="E51" s="25"/>
      <c r="F51" s="19"/>
      <c r="G51" s="19"/>
    </row>
    <row r="52" spans="2:7" x14ac:dyDescent="0.2">
      <c r="B52" s="28"/>
      <c r="C52" s="39"/>
      <c r="D52" s="40"/>
      <c r="E52" s="25"/>
      <c r="F52" s="25"/>
      <c r="G52" s="25"/>
    </row>
    <row r="53" spans="2:7" x14ac:dyDescent="0.2">
      <c r="B53" s="28"/>
      <c r="C53" s="39"/>
      <c r="D53" s="40"/>
      <c r="E53" s="25"/>
      <c r="F53" s="25"/>
      <c r="G53" s="25"/>
    </row>
    <row r="54" spans="2:7" x14ac:dyDescent="0.2">
      <c r="B54" s="28"/>
      <c r="C54" s="39"/>
      <c r="D54" s="40"/>
      <c r="E54" s="25"/>
      <c r="F54" s="25"/>
      <c r="G54" s="25"/>
    </row>
    <row r="55" spans="2:7" x14ac:dyDescent="0.2">
      <c r="B55" s="28"/>
      <c r="C55" s="39"/>
      <c r="D55" s="40"/>
      <c r="E55" s="25"/>
      <c r="F55" s="25"/>
      <c r="G55" s="25"/>
    </row>
    <row r="56" spans="2:7" x14ac:dyDescent="0.2">
      <c r="B56" s="28"/>
      <c r="D56" s="40"/>
      <c r="E56" s="25"/>
      <c r="F56" s="25"/>
      <c r="G56" s="25"/>
    </row>
    <row r="57" spans="2:7" x14ac:dyDescent="0.2">
      <c r="B57" s="28"/>
      <c r="D57" s="40"/>
      <c r="E57" s="25"/>
      <c r="F57" s="25"/>
      <c r="G57" s="25"/>
    </row>
    <row r="58" spans="2:7" x14ac:dyDescent="0.2">
      <c r="B58" s="28"/>
      <c r="D58" s="40"/>
      <c r="E58" s="25"/>
      <c r="F58" s="25"/>
      <c r="G58" s="25"/>
    </row>
    <row r="59" spans="2:7" x14ac:dyDescent="0.2">
      <c r="B59" s="28"/>
      <c r="D59" s="40"/>
      <c r="E59" s="25"/>
      <c r="F59" s="25"/>
      <c r="G59" s="25"/>
    </row>
    <row r="60" spans="2:7" x14ac:dyDescent="0.2">
      <c r="B60" s="28"/>
      <c r="E60" s="25"/>
      <c r="F60" s="25"/>
      <c r="G60" s="25"/>
    </row>
    <row r="61" spans="2:7" x14ac:dyDescent="0.2">
      <c r="B61" s="28"/>
      <c r="E61" s="25"/>
      <c r="F61" s="25"/>
      <c r="G61" s="25"/>
    </row>
    <row r="62" spans="2:7" x14ac:dyDescent="0.2">
      <c r="B62" s="28"/>
      <c r="E62" s="25"/>
      <c r="F62" s="25"/>
      <c r="G62" s="25"/>
    </row>
    <row r="63" spans="2:7" x14ac:dyDescent="0.2">
      <c r="B63" s="28"/>
      <c r="E63" s="25"/>
      <c r="F63" s="25"/>
      <c r="G63" s="25"/>
    </row>
    <row r="64" spans="2:7" x14ac:dyDescent="0.2">
      <c r="B64" s="28"/>
      <c r="E64" s="25"/>
      <c r="F64" s="25"/>
      <c r="G64" s="25"/>
    </row>
    <row r="65" spans="2:7" x14ac:dyDescent="0.2">
      <c r="B65" s="28"/>
      <c r="E65" s="25"/>
      <c r="F65" s="25"/>
      <c r="G65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2016-07-21T12:18:05Z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