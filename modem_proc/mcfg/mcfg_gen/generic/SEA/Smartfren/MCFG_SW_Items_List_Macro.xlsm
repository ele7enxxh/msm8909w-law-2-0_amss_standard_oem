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_kdasar\Perforce\c_kdasar_c-kdasar_7769\commercial\MPSS.JO.2.0.c1\Main\modem_proc\mcfg\mcfg_gen\generic\SEA\Smartfren\"/>
    </mc:Choice>
  </mc:AlternateContent>
  <bookViews>
    <workbookView xWindow="0" yWindow="0" windowWidth="24225" windowHeight="11295"/>
  </bookViews>
  <sheets>
    <sheet name="Summary" sheetId="1" r:id="rId1"/>
    <sheet name="Commercial" sheetId="2" r:id="rId2"/>
    <sheet name="Commercial_VoWiFi" sheetId="4" r:id="rId3"/>
    <sheet name="Revision History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C13" i="1" l="1"/>
  <c r="F628" i="4"/>
  <c r="F626" i="4"/>
  <c r="F624" i="4"/>
  <c r="F620" i="4"/>
  <c r="F618" i="4" s="1"/>
  <c r="E616" i="4"/>
  <c r="F615" i="4"/>
  <c r="E613" i="4"/>
  <c r="F584" i="2" l="1"/>
  <c r="F582" i="2" s="1"/>
  <c r="F576" i="2" l="1"/>
  <c r="F574" i="2" s="1"/>
  <c r="F580" i="2" l="1"/>
  <c r="F571" i="2" l="1"/>
  <c r="E572" i="2" s="1"/>
  <c r="E569" i="2"/>
  <c r="B13" i="1"/>
  <c r="B5" i="1"/>
  <c r="B4" i="1"/>
</calcChain>
</file>

<file path=xl/comments1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10"/>
            <color theme="1"/>
            <rFont val="Arial"/>
            <family val="2"/>
          </rPr>
          <t>Start</t>
        </r>
      </text>
    </comment>
  </commentList>
</comments>
</file>

<file path=xl/comments2.xml><?xml version="1.0" encoding="utf-8"?>
<comments xmlns="http://schemas.openxmlformats.org/spreadsheetml/2006/main">
  <authors>
    <author>Qualcomm User</author>
  </authors>
  <commentList>
    <comment ref="A4" authorId="0" shapeId="0">
      <text>
        <r>
          <rPr>
            <sz val="10"/>
            <color theme="1"/>
            <rFont val="Arial"/>
            <family val="2"/>
          </rPr>
          <t>Start</t>
        </r>
      </text>
    </comment>
  </commentList>
</comments>
</file>

<file path=xl/sharedStrings.xml><?xml version="1.0" encoding="utf-8"?>
<sst xmlns="http://schemas.openxmlformats.org/spreadsheetml/2006/main" count="3136" uniqueCount="906">
  <si>
    <t>MPSS Configuration Items Listing</t>
  </si>
  <si>
    <t>RELEASE DATE:</t>
  </si>
  <si>
    <t>FILE VERSION:</t>
  </si>
  <si>
    <t>MCFG PW</t>
  </si>
  <si>
    <t>MCFG.MPSS.5.0</t>
  </si>
  <si>
    <t>Image</t>
  </si>
  <si>
    <t>GENERIC</t>
  </si>
  <si>
    <t>SW Product</t>
  </si>
  <si>
    <t>SEA</t>
  </si>
  <si>
    <t>Carrier</t>
  </si>
  <si>
    <t>Smartfren</t>
  </si>
  <si>
    <t>Summary</t>
  </si>
  <si>
    <t>Commercial</t>
  </si>
  <si>
    <t>Carrier Index</t>
  </si>
  <si>
    <t>Full MCFG Version</t>
  </si>
  <si>
    <t>Configuration Type</t>
  </si>
  <si>
    <t>Select Carriers for Generation</t>
  </si>
  <si>
    <t>Keep command window open</t>
  </si>
  <si>
    <t>Smartfren MCFG SW Items List</t>
  </si>
  <si>
    <t>NV Items</t>
  </si>
  <si>
    <t>NV Item Name</t>
  </si>
  <si>
    <t>NV Item ID</t>
  </si>
  <si>
    <t>NV Item Type</t>
  </si>
  <si>
    <t>NV Item Size</t>
  </si>
  <si>
    <t>NV Item Struct</t>
  </si>
  <si>
    <t>Value</t>
  </si>
  <si>
    <t>Attributes</t>
  </si>
  <si>
    <t>Comments</t>
  </si>
  <si>
    <t>Banner</t>
  </si>
  <si>
    <t>banner</t>
  </si>
  <si>
    <t>0x19</t>
  </si>
  <si>
    <t xml:space="preserve"> </t>
  </si>
  <si>
    <t>string</t>
  </si>
  <si>
    <t>letters</t>
  </si>
  <si>
    <t>for debugging purposes only</t>
  </si>
  <si>
    <t>EVRC Voice Service Options</t>
  </si>
  <si>
    <t>pref_voice_so</t>
  </si>
  <si>
    <t>0x39</t>
  </si>
  <si>
    <t>int</t>
  </si>
  <si>
    <t>nam</t>
  </si>
  <si>
    <t>evrc_capability_enabled</t>
  </si>
  <si>
    <t>home_page_voice_so</t>
  </si>
  <si>
    <t>home_orig_voice_so</t>
  </si>
  <si>
    <t>roam_orig_voice_so</t>
  </si>
  <si>
    <t>CDMA SO68 enabled</t>
  </si>
  <si>
    <t>cdma_so68_enabled</t>
  </si>
  <si>
    <t>Enable SO73 Capability</t>
  </si>
  <si>
    <t>cdma_so73_enabled</t>
  </si>
  <si>
    <t>Force EU SGSNR GSM R99 Version</t>
  </si>
  <si>
    <t>force_ue_sgsnr_r99</t>
  </si>
  <si>
    <t>0x02</t>
  </si>
  <si>
    <t>0 - Forces the UE to always behave as an R97/R98 mobile 
1 - Forces the UE to always behave as an R99 mobile 
2 - Causes the UE’s behavior to be dynamic</t>
  </si>
  <si>
    <t>Force EU MSCR GSM R99 Version</t>
  </si>
  <si>
    <t>force_ue_mscr_r99</t>
  </si>
  <si>
    <t>0 - Forces the UE to always behave as an R97/R98 mobile1 - Forces the UE to always behave as an R99 mobile2 - Causes the UE’s behavior to be dynamic</t>
  </si>
  <si>
    <t>GPSOne XTRA Enabled</t>
  </si>
  <si>
    <t>gps1_xtra_enabled</t>
  </si>
  <si>
    <t>GPSOne XTRA Download Interval</t>
  </si>
  <si>
    <t>gps1_xtra_download_interval</t>
  </si>
  <si>
    <t>GPSOne XTRA Auto Download Enabled</t>
  </si>
  <si>
    <t>gps1_xtra_auto_download_enabled</t>
  </si>
  <si>
    <t>AAGPS Positioning Modes Supported</t>
  </si>
  <si>
    <t>aagps_positioning_modes_supported</t>
  </si>
  <si>
    <t>Bit 0 – StandaloneBit 1 – UP MS-BasedBit 2 – UP MS-AssistedBit 3– CP MS-Based (2G)Bit 4 – CP MS-Assisted (2G)Bit 5 – CP UE-Based (3G)Bit 6 – CP UE-Assisted (3G)</t>
  </si>
  <si>
    <t>QNC Enabled Flag</t>
  </si>
  <si>
    <t>data_qnc_enabled</t>
  </si>
  <si>
    <t>(enabled)</t>
  </si>
  <si>
    <t>HS Based Plus Dial Setting</t>
  </si>
  <si>
    <t>hs_based_plus_dial_setting</t>
  </si>
  <si>
    <t>Acquisition order preference</t>
  </si>
  <si>
    <t>acq_order</t>
  </si>
  <si>
    <t>0 - GW_ACQ_ORDER_PREF_AUTOMATIC             1 - GW_ACQ_ORDER_PREF_GSM_WCDMA         2 - GW_ACQ_ORDER_PREF_WCDMA_GSM</t>
  </si>
  <si>
    <t>Network Selection Mode Preference</t>
  </si>
  <si>
    <t>net_sel_mode</t>
  </si>
  <si>
    <t>0 - Automatic network selection                                                                      1 - Manual network selection 2 - Limited Service</t>
  </si>
  <si>
    <t>subs_mask</t>
  </si>
  <si>
    <t>0x06</t>
  </si>
  <si>
    <t>0x00</t>
  </si>
  <si>
    <t>RRC Integrity Enabled</t>
  </si>
  <si>
    <t>rrc_integrity_enabled</t>
  </si>
  <si>
    <t>RRC Ciphering Enabled</t>
  </si>
  <si>
    <t>rrc_ciphering_enabled</t>
  </si>
  <si>
    <t>RRC Fake Security Enabled</t>
  </si>
  <si>
    <t>rrc_fake_security_enabled</t>
  </si>
  <si>
    <t>GSM/UMTS SMS Bearer Preference</t>
  </si>
  <si>
    <t>sms_gw_bearer_pref</t>
  </si>
  <si>
    <t>0 – UE sends the SMS over GSM (CS), unless a TBF is active, in which case the SMS is sent over GPRS 1 – UE sends the SMS over GPRS (PS), unless there is a CS ,  connection, in which case the SMS is sent over GSM2 - CS Only (ATT mandates SMS over CS only)</t>
  </si>
  <si>
    <t>GSM UMTS Cell Broadcast SMS Carrier Configuration</t>
  </si>
  <si>
    <t>sms_gw_cb_config</t>
  </si>
  <si>
    <t>0 – (WMS_BC_CONFIG_DISALLOW) – User will not be able to activate broadcast and receive broadcast SMS messages.1 – WMS_BC_CONFIG_ALLOW_TABLE – Allows GSM/UMTS SMS broadcast</t>
  </si>
  <si>
    <t>GSM UMTS Cell Broadcast SMS User Preference</t>
  </si>
  <si>
    <t>sms_gw_cb_user_pref</t>
  </si>
  <si>
    <t>0 – WMS_BC_PREF_DEACTIVATE1 – WMS_BC_PREF_ACTIVATE_TABLE – For GW CB, use language preference2 – WMS_BC_PREF_ACTIVATE_ALL – For GW CB, ignore language preference</t>
  </si>
  <si>
    <t>AAGPS Default QoS Time</t>
  </si>
  <si>
    <t>aagps_default_qos_time</t>
  </si>
  <si>
    <t>0xFF7F</t>
  </si>
  <si>
    <t>MS Max Number of SMS</t>
  </si>
  <si>
    <t>ms_sms_max_number_of_sms</t>
  </si>
  <si>
    <t>SMS MO Retry Period</t>
  </si>
  <si>
    <t>sms_mo_retry_period</t>
  </si>
  <si>
    <t>SMS MO Retry Interval</t>
  </si>
  <si>
    <t>sms_mo_retry_interval</t>
  </si>
  <si>
    <t>UMTS amr code preference Config</t>
  </si>
  <si>
    <t>umts_amr_codec_preference_config</t>
  </si>
  <si>
    <t>NAS Release Compliance</t>
  </si>
  <si>
    <t>nas_release_compliance</t>
  </si>
  <si>
    <t>0x00 -  Forces the UE to be Rel 99 NAS  specification compliant.      
0x01 -  Forces the UE to be Rel 5 NAS specification-compliant. 
0x02 -  Forces the UE to be Rel 6 NAS specification-compliant. 
0x03 -  Forces the UE to be Rel 7 NAS specification-compliant.</t>
  </si>
  <si>
    <t>Digital/Analog Mode Preference</t>
  </si>
  <si>
    <t>pref_mode</t>
  </si>
  <si>
    <t>mode</t>
  </si>
  <si>
    <t>Dual Standby Config Items</t>
  </si>
  <si>
    <t>0x03</t>
  </si>
  <si>
    <t>dedicated_voice_subs</t>
  </si>
  <si>
    <t>dedicated_data_subs</t>
  </si>
  <si>
    <t>active_subs</t>
  </si>
  <si>
    <t>priority_subs</t>
  </si>
  <si>
    <t>dual_standby_pref</t>
  </si>
  <si>
    <t>Preferred Hybrid Mode</t>
  </si>
  <si>
    <t>hybrid_pref</t>
  </si>
  <si>
    <t>(enable)</t>
  </si>
  <si>
    <t>RTRE Configuration</t>
  </si>
  <si>
    <t>rtre_config</t>
  </si>
  <si>
    <t>0=CSIM, make sure this is present and set to 0</t>
  </si>
  <si>
    <t>UICC Mode</t>
  </si>
  <si>
    <t>VOIP Registration Mode</t>
  </si>
  <si>
    <t>CS TO VOIP Fallback Timer</t>
  </si>
  <si>
    <t>VOIP Cancel Retry Timer</t>
  </si>
  <si>
    <t>EFS Files</t>
  </si>
  <si>
    <t>EFS File Description</t>
  </si>
  <si>
    <t>Full Path in EFS Filesystem</t>
  </si>
  <si>
    <t>EFS Item Type</t>
  </si>
  <si>
    <t>EFS Item Size</t>
  </si>
  <si>
    <t>EFS Filename</t>
  </si>
  <si>
    <t>Comment</t>
  </si>
  <si>
    <t>Enable Wideband HD Voice on SO73 (COP 0)</t>
  </si>
  <si>
    <t>/nv/item_files/cdma/1xcp/so73_cop0_supported</t>
  </si>
  <si>
    <t>efs_item</t>
  </si>
  <si>
    <t>s073_cop0_supported</t>
  </si>
  <si>
    <t>Disable 1X Advanced Capability</t>
  </si>
  <si>
    <t>/nv/item_files/cdma/1xcp/1xadvanced_capability</t>
  </si>
  <si>
    <t>1x Advanced Enable</t>
  </si>
  <si>
    <t>SMS Only Registration</t>
  </si>
  <si>
    <t>/nv/item_files/modem/mmode/sms_only</t>
  </si>
  <si>
    <t xml:space="preserve">65776 - 0 --- Smart Device 1 --- Netbook / data cards </t>
  </si>
  <si>
    <t>UE Usage Setting</t>
  </si>
  <si>
    <t>/nv/item_files/modem/mmode/ue_usage_setting</t>
  </si>
  <si>
    <t>65777, 0 --- Voice centric 1 --- Data centric</t>
  </si>
  <si>
    <t>LTE Disable Duration</t>
  </si>
  <si>
    <t>/nv/item_files/modem/mmode/lte_disable_duration</t>
  </si>
  <si>
    <t>65778, 0 --- disable LTE until next power cycle0 &lt; and &lt;720  all values between 0 and 720 are treated as 720 sec 720, values in seconds</t>
  </si>
  <si>
    <t>WCDMA_RRC_CSFB_SKIP_SIB11_OPT</t>
  </si>
  <si>
    <t>/nv/item_files/wcdma/rrc/wcdma_rrc_csfb_skip_sib11_opt</t>
  </si>
  <si>
    <t>65885, 0- disable, 1- enable (This is required to enable R9 CSFB functionality)</t>
  </si>
  <si>
    <t>Row Policy Manager</t>
  </si>
  <si>
    <t>/policyman/carrier_policy.xml</t>
  </si>
  <si>
    <t>efs</t>
  </si>
  <si>
    <t>RAT_ACQ_ORDER</t>
  </si>
  <si>
    <t>/sd/rat_acq_order</t>
  </si>
  <si>
    <t>modem_proc\mcfg\mcfg_gen\scripts\data\efs_files\att\rat_acq_order</t>
  </si>
  <si>
    <t>OEM can modify EFS through EFS explorer at location "/sd/"and use "rat_acq_order" as file name.If file is not present, default order is as follows;SYS_SYS_MODE_CDMA;SYS_SYS_MODE_GSM;SYS_SYS_MODE_WCDMA;SYS_SYS_MODE_HDR;SYS_SYS_MODE_LTE;</t>
  </si>
  <si>
    <t>SMS Domain Preference</t>
  </si>
  <si>
    <t>/nv/item_files/modem/mmode/sms_domain_pref</t>
  </si>
  <si>
    <t>SMS Mandatory</t>
  </si>
  <si>
    <t>/nv/item_files/modem/mmode/sms_mandatory</t>
  </si>
  <si>
    <t>Voice domain preference</t>
  </si>
  <si>
    <t>/nv/item_files/modem/mmode/voice_domain_pref</t>
  </si>
  <si>
    <t>GNSS LPP Enable</t>
  </si>
  <si>
    <t>/nv/item_files/gps/cgps/sm/gnss_lpp_enable</t>
  </si>
  <si>
    <t>PS Supplementary Service Domain Preference</t>
  </si>
  <si>
    <t>/nv/item_files/modem/mmode/supplement_service_domain_pref</t>
  </si>
  <si>
    <t>Wlan Offload Config</t>
  </si>
  <si>
    <t>/nv/item_files/data/wlan_config/wlan_offload_config</t>
  </si>
  <si>
    <t>Data APN Switching</t>
  </si>
  <si>
    <t>/nv/item_files/data/dsd/ds_apn_switching</t>
  </si>
  <si>
    <t>69679, set to 1 for 3GPP
 1=Enable APN switch, 0=disable APN switch</t>
  </si>
  <si>
    <t>Mid call SRVCC</t>
  </si>
  <si>
    <t>/nv/item_files/modem/mmode/mid_call_srvcc_info</t>
  </si>
  <si>
    <t>Version</t>
  </si>
  <si>
    <t>ims_cache_expiry_duration</t>
  </si>
  <si>
    <t>mid_call_support</t>
  </si>
  <si>
    <t>ReservedBytes</t>
  </si>
  <si>
    <t>SMS MMGSDI Refresh Vote OK</t>
  </si>
  <si>
    <t>/nv/item_files/modem/sms/mmgsdi_refresh_vote_ok</t>
  </si>
  <si>
    <t>NAS Ignore MT CSFB During VOLTE Call</t>
  </si>
  <si>
    <t>/nv/item_files/modem/mmode/lte_nas_ignore_mt_csfb_during_volte_call</t>
  </si>
  <si>
    <t>GROUP:IMS</t>
  </si>
  <si>
    <t>QIPCall Preferred URI Type</t>
  </si>
  <si>
    <t>/nv/item_files/ims/qipcall_confrd_uri</t>
  </si>
  <si>
    <t>QIPCall DAN Enabled</t>
  </si>
  <si>
    <t>/nv/item_files/ims/qipcall_dan_enable</t>
  </si>
  <si>
    <t>IMS Enable</t>
  </si>
  <si>
    <t>/nv/item_files/ims/IMS_enable</t>
  </si>
  <si>
    <t>IMS DPL Configuration</t>
  </si>
  <si>
    <t>/nv/item_files/ims/qp_ims_dpl_config</t>
  </si>
  <si>
    <t>PtimeValue</t>
  </si>
  <si>
    <t>InitialBufferTimeValue</t>
  </si>
  <si>
    <t>AMR_Mode</t>
  </si>
  <si>
    <t>IPV6Enabled</t>
  </si>
  <si>
    <t>MSRPPktSz</t>
  </si>
  <si>
    <t>DscpValue</t>
  </si>
  <si>
    <t>RUIMIMSIValue</t>
  </si>
  <si>
    <t>IMSParamSrc</t>
  </si>
  <si>
    <t>IMS Registration Module Configuration</t>
  </si>
  <si>
    <t>/nv/item_files/ims/qp_ims_reg_config</t>
  </si>
  <si>
    <t>RegOnMode (0 Power on, 1 On Call)</t>
  </si>
  <si>
    <t>RegModeConfig (0 IETF, 1 EARLY, 2 IMS with IPSec, 3 IMS without IPSec, 4 No IMS)</t>
  </si>
  <si>
    <t>ims</t>
  </si>
  <si>
    <t>regManagerPdpProfileName (In NI 5.0 or later, APN name is used instead of the profile number. Please confirm with test labs for exact APN info)</t>
  </si>
  <si>
    <t>RegEventPacket</t>
  </si>
  <si>
    <t>RegPCOEEnabled</t>
  </si>
  <si>
    <t>RegDHCPEnabled</t>
  </si>
  <si>
    <t>RegPreConfigEnabled</t>
  </si>
  <si>
    <t>155.165.125.199:5060</t>
  </si>
  <si>
    <t>regManagerPreConfigServerBase</t>
  </si>
  <si>
    <t>RegRATConfig = CONFIG_RAT_LTE</t>
  </si>
  <si>
    <t>RegQOSProfile</t>
  </si>
  <si>
    <t>RegWLANEnabled</t>
  </si>
  <si>
    <t>RegUserNameIMSI</t>
  </si>
  <si>
    <t>RegResponseforOptions</t>
  </si>
  <si>
    <t>RegConfigMaxDiscoveryCount</t>
  </si>
  <si>
    <t>regManagerDiscoverySchedule</t>
  </si>
  <si>
    <t>regManagerCDMAPdpProfileName</t>
  </si>
  <si>
    <t>RegConfigPdnRecoveryDelayTimerVal</t>
  </si>
  <si>
    <t>5,5,5</t>
  </si>
  <si>
    <t>regManagerPDPFailureSchedule</t>
  </si>
  <si>
    <t>RegConfigMaxIntermediatePDPRetries</t>
  </si>
  <si>
    <t>RegConfigEHRPDRecoveryTime</t>
  </si>
  <si>
    <t>RegConfigRegistrationAttempts</t>
  </si>
  <si>
    <t>RegConfigDelayAttemptTimer</t>
  </si>
  <si>
    <t>RegConfigTestMode</t>
  </si>
  <si>
    <t>RegPCSCFPort</t>
  </si>
  <si>
    <t>IMS SMS Configuration</t>
  </si>
  <si>
    <t>/nv/item_files/ims/qp_ims_sms_config</t>
  </si>
  <si>
    <t>smsConfigVDN</t>
  </si>
  <si>
    <t>SMSFormat</t>
  </si>
  <si>
    <t>+g.3gpp.smsip</t>
  </si>
  <si>
    <t>smsAcceptContact</t>
  </si>
  <si>
    <t>0x00000640</t>
  </si>
  <si>
    <t>smsRATMaskString</t>
  </si>
  <si>
    <t>1600</t>
  </si>
  <si>
    <t>RatMaskValue</t>
  </si>
  <si>
    <t>PhoneContextURI</t>
  </si>
  <si>
    <t>iSMSOverIPNetworkIndication</t>
  </si>
  <si>
    <t>IMS SIP Extended Configuration</t>
  </si>
  <si>
    <t>/nv/item_files/ims/qp_ims_sip_extended_0_config</t>
  </si>
  <si>
    <t>version</t>
  </si>
  <si>
    <t>SipLocalPort</t>
  </si>
  <si>
    <t>TimerSipRegValue</t>
  </si>
  <si>
    <t>TimerSipSubscribeValue</t>
  </si>
  <si>
    <t>Timer_T1Value</t>
  </si>
  <si>
    <t>Timer_T2Value</t>
  </si>
  <si>
    <t>Timer_T4Value</t>
  </si>
  <si>
    <t>Timer_TfValue</t>
  </si>
  <si>
    <t>Timer_TJValue</t>
  </si>
  <si>
    <t>iTCPThresholdValue</t>
  </si>
  <si>
    <t>CompactFormEnabled</t>
  </si>
  <si>
    <t>SigCompEnabled</t>
  </si>
  <si>
    <t>FMCConfig</t>
  </si>
  <si>
    <t>iIpSecIntScheme</t>
  </si>
  <si>
    <t>iIpSecEncAlgo</t>
  </si>
  <si>
    <t>AuthScheme</t>
  </si>
  <si>
    <t>InitialAuthConfig</t>
  </si>
  <si>
    <t>AuthHeaderValue</t>
  </si>
  <si>
    <t>ProxyRouteValue</t>
  </si>
  <si>
    <t>iKeepAliveEnabled</t>
  </si>
  <si>
    <t>iTimer_NatRTOValue</t>
  </si>
  <si>
    <t>Timer_Vzw</t>
  </si>
  <si>
    <t>TimerEmergencySipRegValue</t>
  </si>
  <si>
    <t>TimerEmergency_T1Value</t>
  </si>
  <si>
    <t>TimerEmergency_T2Value</t>
  </si>
  <si>
    <t>TimerEmergency_T4Value</t>
  </si>
  <si>
    <t>TimerEmergency_TfValue</t>
  </si>
  <si>
    <t>TimerEmergency_TJValue</t>
  </si>
  <si>
    <t>IsSecAgreeforTls</t>
  </si>
  <si>
    <t>SipLocalTlsPort</t>
  </si>
  <si>
    <t>Timer_TBValue</t>
  </si>
  <si>
    <t xml:space="preserve">GRUUEnabled           </t>
  </si>
  <si>
    <t>TransportSwitchEnabled</t>
  </si>
  <si>
    <t xml:space="preserve">TCPMaxBackOffTimer    </t>
  </si>
  <si>
    <t xml:space="preserve">RouteHeaderEnabled    </t>
  </si>
  <si>
    <t>GzipDecodingOutBufferMultiplier</t>
  </si>
  <si>
    <t>IMS Operation mode</t>
  </si>
  <si>
    <t>/nv/item_files/ims/ims_operation_mode</t>
  </si>
  <si>
    <t>IMS QIPCall Config Items</t>
  </si>
  <si>
    <t>/nv/item_files/ims/qipcall_config_items</t>
  </si>
  <si>
    <t>EnableRTCPforActiveVOIPCall</t>
  </si>
  <si>
    <t>VT RTCP Reporting Interval</t>
  </si>
  <si>
    <t>qipcall_rtp_nb_amr_payload_type</t>
  </si>
  <si>
    <t>qipcall_rtp_wb_amr_payload_type</t>
  </si>
  <si>
    <t>qipcall_rtp_nb_dtmf_payload_type</t>
  </si>
  <si>
    <t>qipcall_rtp_wb_dtmf_payload_type</t>
  </si>
  <si>
    <t>MediaAttribute</t>
  </si>
  <si>
    <t>qipcall_desired_qos_strength</t>
  </si>
  <si>
    <t>AUDIO_CMR_AMR_NB</t>
  </si>
  <si>
    <t>AUDIO_CMR_AMR_WB</t>
  </si>
  <si>
    <t>emerg_call_cs_only</t>
  </si>
  <si>
    <t>video_media_profile_mode</t>
  </si>
  <si>
    <t>VT Calling Enabled</t>
  </si>
  <si>
    <t>mobile_data_enabled</t>
  </si>
  <si>
    <t>volte_disabled</t>
  </si>
  <si>
    <t>cvo_enabled</t>
  </si>
  <si>
    <t>audio_feature_tag</t>
  </si>
  <si>
    <t>video</t>
  </si>
  <si>
    <t>video_feature_tag</t>
  </si>
  <si>
    <t>qipcall_rtp_tty_text_payload_type</t>
  </si>
  <si>
    <t>qipcall_rtp_tty_red_payload_type</t>
  </si>
  <si>
    <t>qipcall_rtp_tty_red_level</t>
  </si>
  <si>
    <t>qipcall_rtp_tty_cps</t>
  </si>
  <si>
    <t>SRTPAudioCryptoSuites</t>
  </si>
  <si>
    <t>SRTPVideoCryptoSuites</t>
  </si>
  <si>
    <t>E911_Call_Timer</t>
  </si>
  <si>
    <t>local_upgrade_accept_timer</t>
  </si>
  <si>
    <t>eQipcall_Conference_Subscription_Type</t>
  </si>
  <si>
    <t>multitask_mode</t>
  </si>
  <si>
    <t>qipcall_three_party_call_factory_uri</t>
  </si>
  <si>
    <t>CallWaitingType</t>
  </si>
  <si>
    <t>isCallWaitingEnabled</t>
  </si>
  <si>
    <t>consent_controlled</t>
  </si>
  <si>
    <t>IMS Media Config</t>
  </si>
  <si>
    <t>/nv/item_files/ims/qp_ims_media_config</t>
  </si>
  <si>
    <t>rtp_mtu_size</t>
  </si>
  <si>
    <t>VideoResolution</t>
  </si>
  <si>
    <t>VideoEncodingBitRate</t>
  </si>
  <si>
    <t>FramesperSecond</t>
  </si>
  <si>
    <t>VideoCodec</t>
  </si>
  <si>
    <t>SAR</t>
  </si>
  <si>
    <t>PAR</t>
  </si>
  <si>
    <t>H264Profile</t>
  </si>
  <si>
    <t>H264ProfileLevel</t>
  </si>
  <si>
    <t>lipsync_drop_upper_limit</t>
  </si>
  <si>
    <t>lipsync_drop_lower_limit</t>
  </si>
  <si>
    <t>lipsync_enabled</t>
  </si>
  <si>
    <t>qdj_time_wrapping</t>
  </si>
  <si>
    <t>qdj_iba_max</t>
  </si>
  <si>
    <t>qdj_max_frames_at_start</t>
  </si>
  <si>
    <t>qdj_max_delay</t>
  </si>
  <si>
    <t>qdj_min_delay</t>
  </si>
  <si>
    <t>qdj_delay_by_frame_count</t>
  </si>
  <si>
    <t>qdj_max_frames_at_run</t>
  </si>
  <si>
    <t>qdj_max_bumped_up_delay</t>
  </si>
  <si>
    <t>qdj_jitter_increment</t>
  </si>
  <si>
    <t>qdj_target_underflow</t>
  </si>
  <si>
    <t>qdj_go_through_threshold</t>
  </si>
  <si>
    <t>qdj_drop_threshold</t>
  </si>
  <si>
    <t>qdj_default_jitter</t>
  </si>
  <si>
    <t>gmin</t>
  </si>
  <si>
    <t>tx_system_delay</t>
  </si>
  <si>
    <t>rx_system_delay</t>
  </si>
  <si>
    <t>igps_read_time_at_run</t>
  </si>
  <si>
    <t>Reservedbytes</t>
  </si>
  <si>
    <t>IMS Presence Config</t>
  </si>
  <si>
    <t>/nv/item_files/ims/qp_ims_presence_config</t>
  </si>
  <si>
    <t>Publish_timer</t>
  </si>
  <si>
    <t>Publish_extended_timer</t>
  </si>
  <si>
    <t>Source_throttle_publish_timer</t>
  </si>
  <si>
    <t>Capability_poll_list_subscription_expiry_timer</t>
  </si>
  <si>
    <t>Capability_discovery_enable
1 - on, 0 - off</t>
  </si>
  <si>
    <t>Capabilites_cache_expiration</t>
  </si>
  <si>
    <t>Availability_cache_expiration</t>
  </si>
  <si>
    <t>Capability_poll_interval</t>
  </si>
  <si>
    <t>Max_number_of_entries_in_request</t>
  </si>
  <si>
    <t>VoLTE_Provisioning_Status</t>
  </si>
  <si>
    <t>LAST_PUBLISHED_ETAG</t>
  </si>
  <si>
    <t>LAST_PUBLISHED_TIME</t>
  </si>
  <si>
    <t>LAST_NEGOTIATED_PUBLISH_EXPIRE</t>
  </si>
  <si>
    <t>Presence_gzip</t>
  </si>
  <si>
    <t>Presence_notify_duration</t>
  </si>
  <si>
    <t>IMS VOIP Configuration</t>
  </si>
  <si>
    <t>/nv/item_files/ims/qp_ims_voip_config</t>
  </si>
  <si>
    <t>VoIPConfigQoS</t>
  </si>
  <si>
    <t>VoipConfigDomainNotificationEnable</t>
  </si>
  <si>
    <t>VoipConfigRTCP</t>
  </si>
  <si>
    <t>urn:urn-7:3gpp-service.ims.icsi.mmtel</t>
  </si>
  <si>
    <t>voipConfigAcceptContact</t>
  </si>
  <si>
    <t>voipConfigExpires</t>
  </si>
  <si>
    <t>voipMinSessionExpires</t>
  </si>
  <si>
    <t>voipSessionTimerEnabled</t>
  </si>
  <si>
    <t>voipConfigConfURI</t>
  </si>
  <si>
    <t>voipSilentRedialEnabled</t>
  </si>
  <si>
    <t>iVoipConfigSessionExpires</t>
  </si>
  <si>
    <t>voipConfigSessionRefresherType</t>
  </si>
  <si>
    <t>voipConfigSessionRefresherMethod</t>
  </si>
  <si>
    <t>voipConfigInviteHeader</t>
  </si>
  <si>
    <t>QIPCall Callerid Mode</t>
  </si>
  <si>
    <t>/nv/item_files/ims/qipcall_callerid_mode</t>
  </si>
  <si>
    <t>VOIP</t>
  </si>
  <si>
    <t>/nv/item_files/ims/qp_ims_config</t>
  </si>
  <si>
    <t>tip_tir_mode</t>
  </si>
  <si>
    <t>ir_restricted_type</t>
  </si>
  <si>
    <t>QIPCall Is Conference Aware Mode</t>
  </si>
  <si>
    <t>/nv/item_files/ims/qipcall_is_conference_aware</t>
  </si>
  <si>
    <t>QIPCall QoS Enabled</t>
  </si>
  <si>
    <t>/nv/item_files/ims/qipcall_qos_enabled</t>
  </si>
  <si>
    <t>QIPCall Precondition Enabled</t>
  </si>
  <si>
    <t>/nv/item_files/ims/qipcall_precondition_enable</t>
  </si>
  <si>
    <t>QIPCall RTCP Link Aliveness Timer</t>
  </si>
  <si>
    <t>/nv/item_files/ims/qipcall_rtcp_link_aliveness_timer</t>
  </si>
  <si>
    <t xml:space="preserve">QIPCall RTCP Link Aliveness Timer: Threshold (in seconds) for which RTCP session will remain open while not receiving any RTCP packets. Setting "0" means disabled. </t>
  </si>
  <si>
    <t>QIPCall RTCP Reporting Interval</t>
  </si>
  <si>
    <t>/nv/item_files/ims/qipcall_rtcp_reporting_interval</t>
  </si>
  <si>
    <t>QIPCall Domain Selection Enabled</t>
  </si>
  <si>
    <t>/nv/item_files/ims/qipcall_domain_selection_enable</t>
  </si>
  <si>
    <t>QIPCall Ringing Timer</t>
  </si>
  <si>
    <t>/nv/item_files/ims/qipcall_ringing_timer</t>
  </si>
  <si>
    <t>QIPCall Ringback Timer</t>
  </si>
  <si>
    <t>/nv/item_files/ims/qipcall_ringback_timer</t>
  </si>
  <si>
    <t>QIPCall RTP Link Alivness Timer</t>
  </si>
  <si>
    <t>/nv/item_files/ims/qipcall_rtp_link_aliveness_timer</t>
  </si>
  <si>
    <t>QIPCall HD Voice Enabled</t>
  </si>
  <si>
    <t>/nv/item_files/ims/qipcall_enable_hd_voice</t>
  </si>
  <si>
    <t>QIPCall DTX Enabled</t>
  </si>
  <si>
    <t>/nv/item_files/ims/qipcall_dtx_enabled</t>
  </si>
  <si>
    <t>QIPCall Codec Mode Set</t>
  </si>
  <si>
    <t>/nv/item_files/ims/qipcall_codec_mode_set</t>
  </si>
  <si>
    <t>QIPCall Codec Mode Set AMR-WB</t>
  </si>
  <si>
    <t>/nv/item_files/ims/qipcall_codec_mode_set_amr_wb</t>
  </si>
  <si>
    <t>QIPCall Octet Aligned Mode AMR-WB</t>
  </si>
  <si>
    <t>/nv/item_files/ims/qipcall_octet_aligned_mode_amr_wb</t>
  </si>
  <si>
    <t>QIPCall Octet Aligned Mode AMR-NB</t>
  </si>
  <si>
    <t>/nv/item_files/ims/qipcall_octet_aligned_mode_amr_nb</t>
  </si>
  <si>
    <t>qipcall_signal_strength_threshold</t>
  </si>
  <si>
    <t>/nv/item_files/ims/qipcall_signal_strength_threshold</t>
  </si>
  <si>
    <t>IMS VT 4G Media Capability</t>
  </si>
  <si>
    <t>/nv/item_files/ims/qp_ims_vt_4G_media_capability</t>
  </si>
  <si>
    <t>iH263_preferred_frame_rate</t>
  </si>
  <si>
    <t>iH263_preferred_bit_rate</t>
  </si>
  <si>
    <t>iH263_preferred_resolution</t>
  </si>
  <si>
    <t>iH263_preferred_profile_level</t>
  </si>
  <si>
    <t>iH263_min_frame_rate</t>
  </si>
  <si>
    <t>iH263_max_frame_rate</t>
  </si>
  <si>
    <t>iH263_min_bit_rate</t>
  </si>
  <si>
    <t>iH263_max_bit_rate</t>
  </si>
  <si>
    <t>iH263_resolutions_supported</t>
  </si>
  <si>
    <t>iH263_profile_levels_supported</t>
  </si>
  <si>
    <t>iH263_profile</t>
  </si>
  <si>
    <t>Reserved[15]</t>
  </si>
  <si>
    <t>iH264_preferred_frame_rate</t>
  </si>
  <si>
    <t>iH264_preferred_bit_rate</t>
  </si>
  <si>
    <t>iH264_preferred_resolution</t>
  </si>
  <si>
    <t>iH264_preferred_profile_level</t>
  </si>
  <si>
    <t>iH264_min_frame_rate</t>
  </si>
  <si>
    <t>iH264_max_frame_rate</t>
  </si>
  <si>
    <t>iH264_min_bit_rate</t>
  </si>
  <si>
    <t>iH264_max_bit_rate</t>
  </si>
  <si>
    <t>iH264_resolutions_supported</t>
  </si>
  <si>
    <t>iH264_profile_levels_supported</t>
  </si>
  <si>
    <t>iH264_profile</t>
  </si>
  <si>
    <t>Reserved[511]</t>
  </si>
  <si>
    <t>IMS RCS Auto-Config Parameters</t>
  </si>
  <si>
    <t>/nv/item_files/ims/qp_ims_rcs_auto_config</t>
  </si>
  <si>
    <t>iVersion</t>
  </si>
  <si>
    <t>iDisableAutoConfig</t>
  </si>
  <si>
    <t>iRCSOnlyDeviceType</t>
  </si>
  <si>
    <t>RCSPdpProfilename</t>
  </si>
  <si>
    <t>InternetPdpProfilename</t>
  </si>
  <si>
    <t>iPCOConfigPriority</t>
  </si>
  <si>
    <t>iISIMConfigPriority</t>
  </si>
  <si>
    <t>iPreConfigPriority</t>
  </si>
  <si>
    <t>iAutoConfigPriority</t>
  </si>
  <si>
    <t>RCSClientVendor</t>
  </si>
  <si>
    <t>RCSClientVersion</t>
  </si>
  <si>
    <t>RCSTerminalVendor</t>
  </si>
  <si>
    <t>RCSTerminalModel</t>
  </si>
  <si>
    <t>RCSTerminalSWVersion</t>
  </si>
  <si>
    <t>RCSConfigServerAddress</t>
  </si>
  <si>
    <t>RCSConfigServerPort</t>
  </si>
  <si>
    <t>RCSLteFTList</t>
  </si>
  <si>
    <t>RCSHspaFTList</t>
  </si>
  <si>
    <t>RCSWifiFTList</t>
  </si>
  <si>
    <t>iReservedByte</t>
  </si>
  <si>
    <t>IMS UT Specific Config</t>
  </si>
  <si>
    <t>/nv/item_files/ims/qp_ims_ut_config</t>
  </si>
  <si>
    <t>Internet APN
(nxtgenphone‐2b‐4)</t>
  </si>
  <si>
    <t>utAPNName</t>
  </si>
  <si>
    <t>utDomainName</t>
  </si>
  <si>
    <t>utPAssociatedURI</t>
  </si>
  <si>
    <t>simservs.ngn.etsi.org</t>
  </si>
  <si>
    <t>utApplicationUID</t>
  </si>
  <si>
    <t>iUtRatConfig</t>
  </si>
  <si>
    <t>iUtIPAddrType</t>
  </si>
  <si>
    <t>iUtRetryTimerValue</t>
  </si>
  <si>
    <t>iUtRetryAttemptCount</t>
  </si>
  <si>
    <t>iUtAPNType</t>
  </si>
  <si>
    <t>eUtGBAUbType</t>
  </si>
  <si>
    <t>eUtGBAUbMode</t>
  </si>
  <si>
    <t>utBSFAddr</t>
  </si>
  <si>
    <t>iDisableUt</t>
  </si>
  <si>
    <t>eUtGBATLSMode</t>
  </si>
  <si>
    <t>iUtPDNHysTimerValue</t>
  </si>
  <si>
    <t>iRatMaskValue</t>
  </si>
  <si>
    <t>qp_ims_presence_ext_config</t>
  </si>
  <si>
    <t>/nv/item_files/ims/qp_ims_presence_ext_config</t>
  </si>
  <si>
    <t>71542 This NV is only applicable to MPSS NI 6.1 and newer and DI 1.x and newer</t>
  </si>
  <si>
    <t>Publish_error_recovery_timer</t>
  </si>
  <si>
    <t>Enable_modem_presence</t>
  </si>
  <si>
    <t>IMS Reg Config Db</t>
  </si>
  <si>
    <t>/nv/item_files/ims/qp_ims_reg_config_db</t>
  </si>
  <si>
    <t>ims_rat_apn_info[0].iRAT</t>
  </si>
  <si>
    <t>ims_rat_apn_info[0].iAPNType_APNindex</t>
  </si>
  <si>
    <t>ims_rat_apn_info[0].iIMSServiceInfo</t>
  </si>
  <si>
    <t>ims_rat_apn_info[0].iAuth_SecType</t>
  </si>
  <si>
    <t>ims_rat_apn_info[0].iIPTypeInfo</t>
  </si>
  <si>
    <t>ims_rat_apn_info[1].iRAT</t>
  </si>
  <si>
    <t>ims_rat_apn_info[1].iAPNType_APNindex</t>
  </si>
  <si>
    <t>ims_rat_apn_info[1].iIMSServiceInfo</t>
  </si>
  <si>
    <t>ims_rat_apn_info[1].iAuth_SecType</t>
  </si>
  <si>
    <t>ims_rat_apn_info[1].iIPTypeInfo</t>
  </si>
  <si>
    <t>ims_rat_apn_info[2].iRAT</t>
  </si>
  <si>
    <t>ims_rat_apn_info[2].iAPNType_APNindex</t>
  </si>
  <si>
    <t>ims_rat_apn_info[2].iIMSServiceInfo</t>
  </si>
  <si>
    <t>ims_rat_apn_info[2].iAuth_SecType</t>
  </si>
  <si>
    <t>ims_rat_apn_info[2].iIPTypeInfo</t>
  </si>
  <si>
    <t>ims_rat_apn_info[3].iRAT</t>
  </si>
  <si>
    <t>ims_rat_apn_info[3].iAPNType_APNindex</t>
  </si>
  <si>
    <t>ims_rat_apn_info[3].iIMSServiceInfo</t>
  </si>
  <si>
    <t>ims_rat_apn_info[3].iAuth_SecType</t>
  </si>
  <si>
    <t>ims_rat_apn_info[3].iIPTypeInfo</t>
  </si>
  <si>
    <t>ims_rat_apn_info[4].iRAT</t>
  </si>
  <si>
    <t>ims_rat_apn_info[4].iAPNType_APNindex</t>
  </si>
  <si>
    <t>ims_rat_apn_info[4].iIMSServiceInfo</t>
  </si>
  <si>
    <t>ims_rat_apn_info[4].iAuth_SecType</t>
  </si>
  <si>
    <t>ims_rat_apn_info[4].iIPTypeInfo</t>
  </si>
  <si>
    <t>ims_rat_apn_info[5].iRAT</t>
  </si>
  <si>
    <t>ims_rat_apn_info[5].iAPNType_APNindex</t>
  </si>
  <si>
    <t>ims_rat_apn_info[5].iIMSServiceInfo</t>
  </si>
  <si>
    <t>ims_rat_apn_info[5].iAuth_SecType</t>
  </si>
  <si>
    <t>ims_rat_apn_info[5].iIPTypeInfo</t>
  </si>
  <si>
    <t>ims_rat_apn_info[6].iRAT</t>
  </si>
  <si>
    <t>ims_rat_apn_info[6].iAPNType_APNindex</t>
  </si>
  <si>
    <t>ims_rat_apn_info[6].iIMSServiceInfo</t>
  </si>
  <si>
    <t>ims_rat_apn_info[6].iAuth_SecType</t>
  </si>
  <si>
    <t>ims_rat_apn_info[6].iIPTypeInfo</t>
  </si>
  <si>
    <t>ims_rat_apn_info[7].iRAT</t>
  </si>
  <si>
    <t>ims_rat_apn_info[7].iAPNType_APNindex</t>
  </si>
  <si>
    <t>ims_rat_apn_info[7].iIMSServiceInfo</t>
  </si>
  <si>
    <t>ims_rat_apn_info[7].iAuth_SecType</t>
  </si>
  <si>
    <t>ims_rat_apn_info[7].iIPTypeInfo</t>
  </si>
  <si>
    <t>ims_rat_apn_info[8].iRAT</t>
  </si>
  <si>
    <t>ims_rat_apn_info[8].iAPNType_APNindex</t>
  </si>
  <si>
    <t>ims_rat_apn_info[8].iIMSServiceInfo</t>
  </si>
  <si>
    <t>ims_rat_apn_info[8].iAuth_SecType</t>
  </si>
  <si>
    <t>ims_rat_apn_info[8].iIPTypeInfo</t>
  </si>
  <si>
    <t>ims_rat_apn_info[9].iRAT</t>
  </si>
  <si>
    <t>ims_rat_apn_info[9].iAPNType_APNindex</t>
  </si>
  <si>
    <t>ims_rat_apn_info[9].iIMSServiceInfo</t>
  </si>
  <si>
    <t>ims_rat_apn_info[9].iAuth_SecType</t>
  </si>
  <si>
    <t>ims_rat_apn_info[9].iIPTypeInfo</t>
  </si>
  <si>
    <t>rat_apn_fb_info[0].iRATAPNFallback</t>
  </si>
  <si>
    <t>rat_apn_fb_info[0].iServicePriorityWWAN</t>
  </si>
  <si>
    <t>rat_apn_fb_info[1].iRATAPNFallback</t>
  </si>
  <si>
    <t>rat_apn_fb_info[1].iServicePriorityWWAN</t>
  </si>
  <si>
    <t>rat_apn_fb_info[2].iRATAPNFallback</t>
  </si>
  <si>
    <t>rat_apn_fb_info[2].iServicePriorityWWAN</t>
  </si>
  <si>
    <t>rat_apn_fb_info[3].iRATAPNFallback</t>
  </si>
  <si>
    <t>rat_apn_fb_info[3].iServicePriorityWWAN</t>
  </si>
  <si>
    <t>rat_apn_fb_info[4].iRATAPNFallback</t>
  </si>
  <si>
    <t>rat_apn_fb_info[4].iServicePriorityWWAN</t>
  </si>
  <si>
    <t>rat_apn_fb_info[5].iRATAPNFallback</t>
  </si>
  <si>
    <t>rat_apn_fb_info[5].iServicePriorityWWAN</t>
  </si>
  <si>
    <t>rat_apn_fb_info[6].iRATAPNFallback</t>
  </si>
  <si>
    <t>rat_apn_fb_info[6].iServicePriorityWWAN</t>
  </si>
  <si>
    <t>rat_apn_fb_info[7].iRATAPNFallback</t>
  </si>
  <si>
    <t>rat_apn_fb_info[7].iServicePriorityWWAN</t>
  </si>
  <si>
    <t>rat_apn_fb_info[8].iRATAPNFallback</t>
  </si>
  <si>
    <t>rat_apn_fb_info[8].iServicePriorityWWAN</t>
  </si>
  <si>
    <t>rat_apn_fb_info[9].iRATAPNFallback</t>
  </si>
  <si>
    <t>rat_apn_fb_info[9].iServicePriorityWWAN</t>
  </si>
  <si>
    <t>iAllowedIMSSrvOnWLAN</t>
  </si>
  <si>
    <t>bAddAllFTs</t>
  </si>
  <si>
    <t>iACSPriority</t>
  </si>
  <si>
    <t>iISIMPriority</t>
  </si>
  <si>
    <t>iNVPriority</t>
  </si>
  <si>
    <t>iPCOPriority</t>
  </si>
  <si>
    <t>iIMSServiceStatus</t>
  </si>
  <si>
    <t>ims_apn_name_db[0].cAPNName</t>
  </si>
  <si>
    <t>ims_apn_name_db[1].cAPNName</t>
  </si>
  <si>
    <t>ims_apn_name_db[2].cAPNName</t>
  </si>
  <si>
    <t>IMS QP WIFI Config</t>
  </si>
  <si>
    <t>/nv/item_files/ims/qp_ims_wifi_config</t>
  </si>
  <si>
    <t>rssi_threshold_add</t>
  </si>
  <si>
    <t>rssi_threshold_drop</t>
  </si>
  <si>
    <t>rssi_avg_timer_on_attach</t>
  </si>
  <si>
    <t>rssi_avg_timer_on_camp</t>
  </si>
  <si>
    <t>ReservedBytes[499]</t>
  </si>
  <si>
    <t>IMS Test Mode</t>
  </si>
  <si>
    <t>/nv/item_files/ims/qp_ims_test_mode</t>
  </si>
  <si>
    <t>IMS Cell ID</t>
  </si>
  <si>
    <t>/nv/item_files/ims/qp_ims_cellid</t>
  </si>
  <si>
    <t>CellId &lt; version 1 &gt;</t>
  </si>
  <si>
    <t>IMS QP USSD Config</t>
  </si>
  <si>
    <t>/nv/item_files/ims/qp_ims_ussd_config</t>
  </si>
  <si>
    <t>USSDEnable</t>
  </si>
  <si>
    <t>QIPCALL QOS Reservation Timer</t>
  </si>
  <si>
    <t>/nv/item_files/ims/qipcall_qos_reservation_timer</t>
  </si>
  <si>
    <t>QOS reservation timer</t>
  </si>
  <si>
    <t>/nv/item_files/ims/qp_ims_reg_extended_0_config</t>
  </si>
  <si>
    <t>RegConfigNetworkInitiatedDeRegTimer</t>
  </si>
  <si>
    <t>Tdelay &lt; version 1 &gt;</t>
  </si>
  <si>
    <t>iEmerIPFallback &lt; version 2 &gt;</t>
  </si>
  <si>
    <t>VOIP Preferred Codec</t>
  </si>
  <si>
    <t>/nv/item_files/ims/voip_prfrd_codec</t>
  </si>
  <si>
    <t>QIPCall Quality Selector</t>
  </si>
  <si>
    <t>/nv/item_files/ims/qipcall_vt_quality_selector</t>
  </si>
  <si>
    <t>QIPCall QOS Config</t>
  </si>
  <si>
    <t>/nv/item_files/ims/qipcall_qos_config</t>
  </si>
  <si>
    <t>Tdelay</t>
  </si>
  <si>
    <t>QoSInactiveInvite &lt; version 1 &gt;</t>
  </si>
  <si>
    <t>QoSInactiveReInvite &lt; version 1 &gt;</t>
  </si>
  <si>
    <t>VopiSessionTimerEnabled</t>
  </si>
  <si>
    <t>/nv/items_files/ims/qp_ims_voip-config/VopiSessionTimerEnabled</t>
  </si>
  <si>
    <t>Trailer Record</t>
  </si>
  <si>
    <t>Data field</t>
  </si>
  <si>
    <t>Data Type</t>
  </si>
  <si>
    <t>Data Size</t>
  </si>
  <si>
    <t>Data Value</t>
  </si>
  <si>
    <t>Verizon Trailer Record</t>
  </si>
  <si>
    <t>trl</t>
  </si>
  <si>
    <t>MCFG_trl_struct_version_type</t>
  </si>
  <si>
    <t>MCFG_trl_struct_version_len</t>
  </si>
  <si>
    <t>MCFG_trl_struct_version</t>
  </si>
  <si>
    <t>0x0100</t>
  </si>
  <si>
    <t>MCFG_version_type</t>
  </si>
  <si>
    <t>0x01</t>
  </si>
  <si>
    <t>MCFG_version_len</t>
  </si>
  <si>
    <t>MCFG_version</t>
  </si>
  <si>
    <t>Carrier_Name_type</t>
  </si>
  <si>
    <t>carrier_name_size</t>
  </si>
  <si>
    <t>carrier_name</t>
  </si>
  <si>
    <t>Commercial-Smartfren</t>
  </si>
  <si>
    <t>For Debug purposes only</t>
  </si>
  <si>
    <t>IIN List type</t>
  </si>
  <si>
    <t>0x04</t>
  </si>
  <si>
    <t>IIN List Length</t>
  </si>
  <si>
    <t>Iin_flag</t>
  </si>
  <si>
    <t>iin_list_count</t>
  </si>
  <si>
    <t>iin_list</t>
  </si>
  <si>
    <t>int[]</t>
  </si>
  <si>
    <t>8901410</t>
  </si>
  <si>
    <t>QC_version_type</t>
  </si>
  <si>
    <t>0x05</t>
  </si>
  <si>
    <t>QC_version_len</t>
  </si>
  <si>
    <t>QC_version</t>
  </si>
  <si>
    <t>Revision History</t>
  </si>
  <si>
    <t>Spreadsheet statistics</t>
  </si>
  <si>
    <t>Total carrier configurations</t>
  </si>
  <si>
    <t>Total supported items (NV &amp; EFS)</t>
  </si>
  <si>
    <t>Revision</t>
  </si>
  <si>
    <t>Date</t>
  </si>
  <si>
    <t>Details</t>
  </si>
  <si>
    <t>CR Details</t>
  </si>
  <si>
    <t>Notes</t>
  </si>
  <si>
    <t>Carrier Version Update(s)</t>
  </si>
  <si>
    <t>Submitted By</t>
  </si>
  <si>
    <t>Initial Version of Smartfren for BO2.6</t>
  </si>
  <si>
    <t>0x04012500</t>
  </si>
  <si>
    <t>PM</t>
  </si>
  <si>
    <t>modem_proc\mcfg\mcfg_gen\scripts\data\efs_files\smartfren\3GPP\Profile1</t>
  </si>
  <si>
    <t>modem_proc\mcfg\mcfg_gen\scripts\data\efs_files\smartfren\3GPP\Profile2</t>
  </si>
  <si>
    <t>modem_proc\mcfg\mcfg_gen\scripts\data\efs_files\smartfren\3GPP\Profile3</t>
  </si>
  <si>
    <t>QIPCall DAN Hysterisis Timer Duration</t>
  </si>
  <si>
    <t>/nv/item_files/ims/qipcall_dan_hysterisis_timer_duration</t>
  </si>
  <si>
    <t>QIPCall DAN Retry Timer Interval Duration</t>
  </si>
  <si>
    <t>/nv/item_files/ims/qipcall_dan_retry_timer_duration</t>
  </si>
  <si>
    <t>modem_proc\mmcp\policyman\configurations\Carrier\SmartFren\subsidized\carrier_policy.xml</t>
  </si>
  <si>
    <t>QIPCall DAN Max Retry Counter</t>
  </si>
  <si>
    <t>/nv/item_files/ims/qipcall_dan_max_retry_count</t>
  </si>
  <si>
    <t>modem_proc\mcfg\mcfg_gen\scripts\data\efs_files\smartfren\3GPP2\Profile0</t>
  </si>
  <si>
    <t>hdr_rx_diversity_ctrl</t>
  </si>
  <si>
    <t>HDR RX Diversity Control</t>
  </si>
  <si>
    <t>CDMA Receive Diversity Control</t>
  </si>
  <si>
    <t>cdma_rx_diversity_ctrl</t>
  </si>
  <si>
    <t>eHRPD Authentication Mode</t>
  </si>
  <si>
    <t>nv_ehrpd_auth_in_usim_i</t>
  </si>
  <si>
    <t>HDRSCP Force Restricted CF</t>
  </si>
  <si>
    <t>hdrscp_force_restricted_cf</t>
  </si>
  <si>
    <t>HDR EMPA Supported</t>
  </si>
  <si>
    <t>hdr_empa_supported</t>
  </si>
  <si>
    <t>eHRPD Enabled</t>
  </si>
  <si>
    <t>ehrpd_enabled</t>
  </si>
  <si>
    <t>hdrscp_force_at_config</t>
  </si>
  <si>
    <t>HDR SCP Force AT Configuration</t>
  </si>
  <si>
    <t>HDR SCP Force Release 0 Session Configuration</t>
  </si>
  <si>
    <t>hdrscp_force_rel0_config</t>
  </si>
  <si>
    <t xml:space="preserve"> sip:ADHOC@ims.mnc009.mcc510.3gppnetwork.org</t>
  </si>
  <si>
    <t>iTimer_TDValue</t>
  </si>
  <si>
    <t>iTimerEmergency_TDValue</t>
  </si>
  <si>
    <t>pWifiRegTimestamp</t>
  </si>
  <si>
    <t>iTimer_Tcall</t>
  </si>
  <si>
    <t>iTimer_Treg</t>
  </si>
  <si>
    <t xml:space="preserve">Video_offload </t>
  </si>
  <si>
    <t>QIPCAll 1X and voice Enabled</t>
  </si>
  <si>
    <t>/nv/item_files/ims/qipcall_1xsmsandvoice</t>
  </si>
  <si>
    <t>QIPCall Dan Needed</t>
  </si>
  <si>
    <t>/nv/item_files/ims/qipcall_dan_needed</t>
  </si>
  <si>
    <t>QIPCall DAN Channel Preference</t>
  </si>
  <si>
    <t>/nv/item_files/ims/qipcall_dan_channel_preference</t>
  </si>
  <si>
    <t>Updated details for IMS</t>
  </si>
  <si>
    <t>0x04012501</t>
  </si>
  <si>
    <t>/Data_Profiles/Profile1</t>
  </si>
  <si>
    <t>/Data_Profiles/Profile2</t>
  </si>
  <si>
    <t>/Data_Profiles/Profile3</t>
  </si>
  <si>
    <t>/Data_Profiles/Profile0</t>
  </si>
  <si>
    <t>0x05012502</t>
  </si>
  <si>
    <t>All configs</t>
  </si>
  <si>
    <t>Updated all profiles to be multiSIM efs type</t>
  </si>
  <si>
    <t>AS</t>
  </si>
  <si>
    <t>MCFG Updates</t>
  </si>
  <si>
    <t>Removal of IMS NV 70287.</t>
  </si>
  <si>
    <t>Commercial:0x05012503</t>
  </si>
  <si>
    <t>kavik</t>
  </si>
  <si>
    <t>NV 65956 update</t>
  </si>
  <si>
    <t>For Smartfern</t>
  </si>
  <si>
    <t>Commercial:0x05012504</t>
  </si>
  <si>
    <t>npalani</t>
  </si>
  <si>
    <t>0x29</t>
  </si>
  <si>
    <t>Commercial:0x05012505</t>
  </si>
  <si>
    <t>Reopening to fix the missed changes</t>
  </si>
  <si>
    <t>c_vsreen</t>
  </si>
  <si>
    <t>NV850 Removed</t>
  </si>
  <si>
    <t>Commercial:0x05012506</t>
  </si>
  <si>
    <t>MCFG_capability_type</t>
  </si>
  <si>
    <t>0x07</t>
  </si>
  <si>
    <t>MCFG_capability_Length</t>
  </si>
  <si>
    <t>MCFG_capability_values</t>
  </si>
  <si>
    <t>0x00000004</t>
  </si>
  <si>
    <t xml:space="preserve">TLV #7 bitmask (4B in total):   
Note(s)
Bit Position 0 - LO / 1 - HI 
bit0: SS  / DS &lt;--Applicable to HW mbn only
bit1:  OpenMarket /  Subsidized  
bit2:  NonVoLTE  / VoLTE  
bit3:  commerical /  lab  
bits4-31 &lt;reserved&gt;    </t>
  </si>
  <si>
    <t>FR31322: Support requirement for CMCC  Open Mkt and Subsidized phones with a single SKU.</t>
  </si>
  <si>
    <t>MCC_MNC List type</t>
  </si>
  <si>
    <t>MCC_MNC List Length</t>
  </si>
  <si>
    <t>MCC_MNC_flag</t>
  </si>
  <si>
    <t>0: select ion based on MCC/MNC, 1: wild card</t>
  </si>
  <si>
    <t>MCC_MNC_list_count</t>
  </si>
  <si>
    <t>number of MCC/MNC pair</t>
  </si>
  <si>
    <t>MCC_MNC_list</t>
  </si>
  <si>
    <t>510-09</t>
  </si>
  <si>
    <t>Smartfren_VoWIFI MCFG SW Items List</t>
  </si>
  <si>
    <t>SmtfrnVoWIFI</t>
  </si>
  <si>
    <t>Hybrid Feature to be Enabled/Disabled</t>
  </si>
  <si>
    <t>/nv/item_files/ims/ims_hybrid_enable</t>
  </si>
  <si>
    <t>imshandoverconfig</t>
  </si>
  <si>
    <t>/efsprofiles/imshandoverconfig</t>
  </si>
  <si>
    <t>modem_proc/mcfg/mcfg_gen/scripts/data/efs_files/smartfren_vowifi/3GPP/imshandoverconfig</t>
  </si>
  <si>
    <t>default_andsf.xml</t>
  </si>
  <si>
    <t>/data/default_andsf.xml</t>
  </si>
  <si>
    <t>modem_proc\mcfg\mcfg_gen\scripts\data\efs_files\smartfren_vowifi\default_andsf.xml</t>
  </si>
  <si>
    <t>ANDSF settings</t>
  </si>
  <si>
    <t>andsf.xml</t>
  </si>
  <si>
    <t>/data/andsf.xml</t>
  </si>
  <si>
    <t>modem_proc\mcfg\mcfg_gen\scripts\data\efs_files\smartfren_vowifi\andsf.xml</t>
  </si>
  <si>
    <t>ds_andsf_config.txt</t>
  </si>
  <si>
    <t>/data/ds_andsf_config.txt</t>
  </si>
  <si>
    <t>modem_proc\mcfg\mcfg_gen\scripts\data\efs_files\smartfren_vowifi\ds_andsf_config.txt</t>
  </si>
  <si>
    <t>iwlan_s2b_config.txt</t>
  </si>
  <si>
    <t>/data/iwlan_s2b_config.txt</t>
  </si>
  <si>
    <t>modem_proc\mcfg\mcfg_gen\scripts\data\efs_files\smartfren_vowifi\iwlan_s2b_config.txt</t>
  </si>
  <si>
    <t>ePDG settings</t>
  </si>
  <si>
    <t>Configure attach profile list</t>
  </si>
  <si>
    <t>/data/ds_dsd_attach_profile.txt</t>
  </si>
  <si>
    <t>modem_proc\mcfg\mcfg_gen\scripts\data\efs_files\smartfren_vowifi\ds_dsd_attach_profile.txt</t>
  </si>
  <si>
    <t>3GPP_Profile1</t>
  </si>
  <si>
    <t>modem_proc\mcfg\mcfg_gen\scripts\data\efs_files\smartfren_vowifi\3GPP\Profile1</t>
  </si>
  <si>
    <t>APN = smartfren4G</t>
  </si>
  <si>
    <t>3GPP_Profile2</t>
  </si>
  <si>
    <t>modem_proc\mcfg\mcfg_gen\scripts\data\efs_files\smartfren_vowifi\3GPP\Profile2</t>
  </si>
  <si>
    <t>APN = IMS</t>
  </si>
  <si>
    <t>3GPP_Profile3</t>
  </si>
  <si>
    <t>modem_proc\mcfg\mcfg_gen\scripts\data\efs_files\smartfren_vowifi\3GPP\Profile3</t>
  </si>
  <si>
    <t>APN = sos</t>
  </si>
  <si>
    <t>3GPP2_Profile0</t>
  </si>
  <si>
    <t>modem_proc\mcfg\mcfg_gen\scripts\data\efs_files\smartfren_vowifi\3GPP2\Profile0</t>
  </si>
  <si>
    <t>3GPP2_Profile100</t>
  </si>
  <si>
    <t>/Data_Profiles/Profile100</t>
  </si>
  <si>
    <t>modem_proc\mcfg\mcfg_gen\scripts\data\efs_files\smartfren_vowifi\3GPP2\Profile100</t>
  </si>
  <si>
    <t>qipcall_dan_hysterisis_timer_duration</t>
  </si>
  <si>
    <t>qipcall_dan_retry_timer_duration</t>
  </si>
  <si>
    <t>sip:mmtel@conf-factory.ims.mnc009.mcc510.3gppnetwork.org</t>
  </si>
  <si>
    <t>OMA_DM_service_Mask</t>
  </si>
  <si>
    <t>WFC_status</t>
  </si>
  <si>
    <t>Call Mode preference</t>
  </si>
  <si>
    <t>ims_operation_submode</t>
  </si>
  <si>
    <t>iWFCRoaming</t>
  </si>
  <si>
    <t>Defaut IPv6 MTU</t>
  </si>
  <si>
    <t>/nv/item_files/datamodem/protocols/ip6_default_mtu</t>
  </si>
  <si>
    <t>3GPP MTU</t>
  </si>
  <si>
    <t>/nv/item_files/data/3gpp/ds_3gpp_mtu</t>
  </si>
  <si>
    <t>qp_ims_vt_4G_media_capability</t>
  </si>
  <si>
    <t>NumH264</t>
  </si>
  <si>
    <t>H263.exclude_config_from_offer</t>
  </si>
  <si>
    <t>H263 .payload_type</t>
  </si>
  <si>
    <t>H263.H263profile</t>
  </si>
  <si>
    <t>H263.preferred_profile_level</t>
  </si>
  <si>
    <t>H263.preferred_resolution</t>
  </si>
  <si>
    <t>H263 resolutions supported</t>
  </si>
  <si>
    <t>H263.preferred_bit_Rate</t>
  </si>
  <si>
    <t>H263.min_bit_rate</t>
  </si>
  <si>
    <t>H263.max_bit_rate</t>
  </si>
  <si>
    <t>H263 .preferred_frame_rate</t>
  </si>
  <si>
    <t>H263.min_frame_rate</t>
  </si>
  <si>
    <t>H263.max_famre_Rate</t>
  </si>
  <si>
    <t>H263.ipv4_AS_value</t>
  </si>
  <si>
    <t>H263.ipv6_AS_Value</t>
  </si>
  <si>
    <t>H264[0]..exclude_config_from_offer</t>
  </si>
  <si>
    <t>H264[0] .payload_type_packetization_0</t>
  </si>
  <si>
    <t>H264[0] .payload_type_packetization_1</t>
  </si>
  <si>
    <t>H264[0].H264profile</t>
  </si>
  <si>
    <t>H264[0].preferred_profile_level</t>
  </si>
  <si>
    <t>H264[0].preferred_resolution</t>
  </si>
  <si>
    <t>H264[0] resolutions supported</t>
  </si>
  <si>
    <t>H264[0].preferred_bit_Rate</t>
  </si>
  <si>
    <t>H264[0].min_bit_rate</t>
  </si>
  <si>
    <t>H264[0].max_bit_rate</t>
  </si>
  <si>
    <t>H264[0] .preferred_frame_rate</t>
  </si>
  <si>
    <t>H264[0].min_frame_rate</t>
  </si>
  <si>
    <t>H264[0].max_famre_Rate</t>
  </si>
  <si>
    <t>H264[0].ipv4_AS_value</t>
  </si>
  <si>
    <t>H264[0].ipv6_AS_Value</t>
  </si>
  <si>
    <t>H264[1].exclude_config_from_offer</t>
  </si>
  <si>
    <t>H264[1].payload_type_packetization_0</t>
  </si>
  <si>
    <t>H264[1].payload_type_packetization_1</t>
  </si>
  <si>
    <t>H264[1].H264Profile</t>
  </si>
  <si>
    <t>H264[1].preferred_profile_level</t>
  </si>
  <si>
    <t>H264[1].preferred_resolution</t>
  </si>
  <si>
    <t>H264[1].resolutions_supported</t>
  </si>
  <si>
    <t>H264[1].preferred_bit_rate</t>
  </si>
  <si>
    <t>H264[1].min_bit_rate</t>
  </si>
  <si>
    <t>H264[1].max_bit_rate</t>
  </si>
  <si>
    <t>H264[1].preferred_frame_rate</t>
  </si>
  <si>
    <t>H264[1].min_frame_rate</t>
  </si>
  <si>
    <t>H264[1].max_frame_rate</t>
  </si>
  <si>
    <t>H264[1].ipv4_AS_value</t>
  </si>
  <si>
    <t>H264[1].ipv6_AS_value</t>
  </si>
  <si>
    <t>reservedbytes</t>
  </si>
  <si>
    <t>smartfren4g</t>
  </si>
  <si>
    <t>nafxjktm001.ims.mnc009.mcc510.pub.3gppnetwork.org:7077</t>
  </si>
  <si>
    <t>bsf.ims.mnc009.mcc510.pub.3gppnetwork.org:7080</t>
  </si>
  <si>
    <t>iUtIPAddrType_APN2</t>
  </si>
  <si>
    <t>utAPNName_APN2</t>
  </si>
  <si>
    <t>CDMA 1xCP Rej Voice Page For Volte </t>
  </si>
  <si>
    <t>/nv/item_files/cdma/1xcp/rej_voice_page_for_volte_CDMA</t>
  </si>
  <si>
    <t>rej_voice_page_for_volte_CDMA</t>
  </si>
  <si>
    <t>QIPCALL QOS config items</t>
  </si>
  <si>
    <t>LocalQoSAudio</t>
  </si>
  <si>
    <t>LocalQosVideo</t>
  </si>
  <si>
    <t>SSAC Control in hVOLTE device</t>
  </si>
  <si>
    <t>/nv/item_files/modem/mmode/ssac_hvolte</t>
  </si>
  <si>
    <t xml:space="preserve">is_hvolte </t>
  </si>
  <si>
    <t xml:space="preserve">volte_ssac_sr_control   </t>
  </si>
  <si>
    <t xml:space="preserve">volte_acb_sr_control    </t>
  </si>
  <si>
    <t xml:space="preserve">is_ssac_hvolte  </t>
  </si>
  <si>
    <t>t_ssac</t>
  </si>
  <si>
    <t xml:space="preserve">ssac_reserved[0]        </t>
  </si>
  <si>
    <t>ssac_reserved[1]</t>
  </si>
  <si>
    <t>IMS Reg Status Wait Timer</t>
  </si>
  <si>
    <t>/nv/item_files/modem/mmode/ims_reg_status_wait_timer</t>
  </si>
  <si>
    <t>ims_reg_status_wait_timer</t>
  </si>
  <si>
    <t>SXLTE Timers</t>
  </si>
  <si>
    <t>/nv/item_files/modem/mmode/sxlte_timers</t>
  </si>
  <si>
    <t>returntocsfb</t>
  </si>
  <si>
    <t>waitrrcidle</t>
  </si>
  <si>
    <t>Support For Dual Rx UEs</t>
  </si>
  <si>
    <t>/nv/item_files/modem/mmode/supportfordualrxues</t>
  </si>
  <si>
    <t>supportfordualrxues</t>
  </si>
  <si>
    <t>Smartfren Trailer Record</t>
  </si>
  <si>
    <t>Smartfrn_VoWiFi</t>
  </si>
  <si>
    <t>896209, 896228</t>
  </si>
  <si>
    <t>510-09, 510-28</t>
  </si>
  <si>
    <t>0x00000000</t>
  </si>
  <si>
    <t>MCFG updates</t>
  </si>
  <si>
    <t>RCI</t>
  </si>
  <si>
    <t>Added VOWIFI base is from SMARTFREN_COMMERCIAL</t>
  </si>
  <si>
    <t>Commercial_VoWIFI:0x04012520</t>
  </si>
  <si>
    <t>Kavik</t>
  </si>
  <si>
    <t>MCFG updates for smartrften</t>
  </si>
  <si>
    <t>NV 71527,69744,69750,67257,65957,71597,70291 changes updated</t>
  </si>
  <si>
    <t>Commercial_VoWIFI:0x04012522</t>
  </si>
  <si>
    <t>c_kdasar</t>
  </si>
  <si>
    <t>imshandoverconfig file path added in excel</t>
  </si>
  <si>
    <t>Commercial_VoWIFI:0x04012523</t>
  </si>
  <si>
    <t>Removal of 6876 from RJIL SW MBN /nv/item_files/ims/qipcall_config_items/eQipcall_Conference_Subscription_type as it is causing issue</t>
  </si>
  <si>
    <t>Commercial_VoWIFI:0x04012524</t>
  </si>
  <si>
    <t>data config update</t>
  </si>
  <si>
    <t>Commercial_VoWIFI:0x04012525</t>
  </si>
  <si>
    <t>vikasjhu</t>
  </si>
  <si>
    <t>MCFG-3350</t>
  </si>
  <si>
    <t>Commercial_VoWIFI:0x04012526</t>
  </si>
  <si>
    <t>amitgoya</t>
  </si>
  <si>
    <t>FR 36386: VoWiFi MBN for SmartFren - copy tip from RCI.</t>
  </si>
  <si>
    <t>Commercial_VoWiFi:0x05012520</t>
  </si>
  <si>
    <t>Commercial_VoWiFi</t>
  </si>
  <si>
    <t>modem_proc\mcfg\mcfg_gen\scripts\data\efs_files\smartfren\default_andsf.xml</t>
  </si>
  <si>
    <t>modem_proc\mcfg\mcfg_gen\scripts\data\efs_files\smartfren\andsf.xml</t>
  </si>
  <si>
    <t>modem_proc\mcfg\mcfg_gen\scripts\data\efs_files\smartfren\iwlan_s2b_config.txt</t>
  </si>
  <si>
    <t>modem_proc\mcfg\mcfg_gen\scripts\data\efs_files\smartfren\ds_dsd_attach_profile.txt</t>
  </si>
  <si>
    <t>modem_proc\mcfg\mcfg_gen\scripts\data\efs_files\smartfren\3GPP2\Profile100</t>
  </si>
  <si>
    <t>modem_proc\mcfg\mcfg_gen\scripts\data\efs_files\smartfren\ds_andsf_config.txt</t>
  </si>
  <si>
    <t>FR 36386: VoWiFi MBN for SmartFren</t>
  </si>
  <si>
    <t>vowifi added to volte</t>
  </si>
  <si>
    <t>kbaig</t>
  </si>
  <si>
    <t>Commercial:0x05012508</t>
  </si>
  <si>
    <t>0x05012509</t>
  </si>
  <si>
    <t>NV 66031 and 67239 Changes</t>
  </si>
  <si>
    <t>Commercial:0x05012509</t>
  </si>
  <si>
    <t>Commercial_VoWiFi:0x05012521</t>
  </si>
  <si>
    <t>0x05012522</t>
  </si>
  <si>
    <t xml:space="preserve">8937.LA2.0.JO2.0.c1|Smartfren4G VoWiFi MBN | Needs to enable precondition support in MBN </t>
  </si>
  <si>
    <t>Commercial_VoWiFi:0x05012522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</si>
</sst>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0"/>
      <color theme="1"/>
      <name val="Arial"/>
      <family val="2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1"/>
      <color theme="1"/>
      <name val="Gill Sans MT"/>
      <family val="2"/>
      <scheme val="minor"/>
    </font>
    <font>
      <sz val="10"/>
      <color theme="1"/>
      <name val="Gill Sans MT"/>
      <family val="2"/>
      <scheme val="major"/>
    </font>
    <font>
      <sz val="10"/>
      <color theme="1"/>
      <name val="Gill Sans MT"/>
      <family val="2"/>
      <scheme val="minor"/>
    </font>
    <font>
      <b/>
      <sz val="10"/>
      <color theme="1"/>
      <name val="Gill Sans MT"/>
      <family val="2"/>
      <scheme val="major"/>
    </font>
    <font>
      <b/>
      <sz val="12"/>
      <color theme="1"/>
      <name val="Gill Sans MT"/>
      <family val="2"/>
      <scheme val="major"/>
    </font>
    <font>
      <b/>
      <sz val="14"/>
      <color theme="1"/>
      <name val="Gill Sans MT"/>
      <family val="2"/>
      <scheme val="major"/>
    </font>
    <font>
      <b/>
      <sz val="18"/>
      <color theme="1"/>
      <name val="Gill Sans MT"/>
      <family val="2"/>
      <scheme val="major"/>
    </font>
    <font>
      <sz val="18"/>
      <color theme="1"/>
      <name val="Gill Sans MT"/>
      <family val="2"/>
      <scheme val="major"/>
    </font>
    <font>
      <sz val="10"/>
      <color rgb="FF000000"/>
      <name val="Gill Sans MT"/>
      <family val="2"/>
      <scheme val="minor"/>
    </font>
    <font>
      <sz val="10"/>
      <color rgb="FFFF0000"/>
      <name val="Gill Sans MT"/>
      <family val="2"/>
      <scheme val="minor"/>
    </font>
    <font>
      <sz val="10"/>
      <color rgb="FF000000"/>
      <name val="Arial"/>
      <family val="2"/>
    </font>
    <font>
      <sz val="11"/>
      <color rgb="FF000000"/>
      <name val="Gill Sans MT"/>
      <family val="2"/>
      <scheme val="minor"/>
    </font>
    <font>
      <sz val="11"/>
      <color rgb="FF00B0F0"/>
      <name val="Gill Sans MT"/>
      <family val="2"/>
      <scheme val="minor"/>
    </font>
    <font>
      <sz val="10"/>
      <color rgb="FF00B0F0"/>
      <name val="Arial"/>
      <family val="2"/>
    </font>
    <font>
      <sz val="10"/>
      <color rgb="FF00B0F0"/>
      <name val="Gill Sans MT"/>
      <family val="2"/>
      <scheme val="minor"/>
    </font>
    <font>
      <sz val="10"/>
      <color rgb="FF00B0F0"/>
      <name val="Gill Sans MT"/>
      <family val="2"/>
      <scheme val="major"/>
    </font>
    <font>
      <sz val="12"/>
      <color rgb="FF000000"/>
      <name val="Gill Sans MT"/>
      <family val="2"/>
      <scheme val="major"/>
    </font>
    <font>
      <sz val="10"/>
      <color rgb="FF000000"/>
      <name val="Gill Sans MT"/>
      <family val="2"/>
      <scheme val="major"/>
    </font>
    <font>
      <b/>
      <sz val="12"/>
      <color rgb="FF000000"/>
      <name val="Gill Sans MT"/>
      <family val="2"/>
      <scheme val="major"/>
    </font>
    <font>
      <b/>
      <sz val="18"/>
      <color rgb="FF000000"/>
      <name val="Gill Sans MT"/>
      <family val="2"/>
      <scheme val="major"/>
    </font>
    <font>
      <sz val="18"/>
      <color rgb="FF000000"/>
      <name val="Gill Sans MT"/>
      <family val="2"/>
      <scheme val="major"/>
    </font>
    <font>
      <sz val="11"/>
      <name val="Gill Sans MT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Gill Sans MT"/>
      <family val="2"/>
      <scheme val="minor"/>
    </font>
    <font>
      <sz val="11"/>
      <name val="Arial"/>
      <family val="2"/>
    </font>
    <font>
      <sz val="9"/>
      <name val="Gill Sans MT"/>
      <family val="2"/>
      <scheme val="minor"/>
    </font>
    <font>
      <b/>
      <sz val="12"/>
      <name val="Gill Sans MT"/>
      <family val="2"/>
      <scheme val="major"/>
    </font>
    <font>
      <b/>
      <sz val="10"/>
      <name val="Gill Sans MT"/>
      <family val="2"/>
      <scheme val="major"/>
    </font>
    <font>
      <sz val="10"/>
      <name val="Gill Sans MT"/>
      <family val="2"/>
      <scheme val="major"/>
    </font>
    <font>
      <u/>
      <sz val="10"/>
      <name val="Arial"/>
      <family val="2"/>
    </font>
    <font>
      <sz val="12"/>
      <name val="Gill Sans MT"/>
      <family val="2"/>
      <scheme val="minor"/>
    </font>
    <font>
      <sz val="12"/>
      <name val="Arial"/>
      <family val="2"/>
    </font>
    <font>
      <sz val="10"/>
      <color theme="1"/>
      <name val="Arial"/>
      <family val="2"/>
    </font>
    <font>
      <sz val="10"/>
      <color theme="1"/>
      <name val="Arial Unicode MS"/>
      <family val="2"/>
    </font>
    <font>
      <sz val="8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1">
    <xf numFmtId="0" fontId="0" fillId="0" borderId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29" fillId="0" borderId="0" applyNumberFormat="0" applyFill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39" fillId="0" borderId="0"/>
    <xf numFmtId="0" fontId="3" fillId="5" borderId="0" applyNumberFormat="0" applyBorder="0" applyAlignment="0" applyProtection="0"/>
    <xf numFmtId="0" fontId="39" fillId="0" borderId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39" fillId="5" borderId="0"/>
    <xf numFmtId="0" fontId="39" fillId="0" borderId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0" borderId="0"/>
  </cellStyleXfs>
  <cellXfs count="227">
    <xf numFmtId="0" fontId="0" fillId="0" borderId="0" xfId="0"/>
    <xf numFmtId="0" fontId="7" fillId="2" borderId="6" xfId="0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0" fillId="0" borderId="0" xfId="0" applyAlignment="1">
      <alignment horizontal="left" indent="2"/>
    </xf>
    <xf numFmtId="0" fontId="9" fillId="0" borderId="0" xfId="0" applyFont="1" applyAlignment="1">
      <alignment horizontal="right"/>
    </xf>
    <xf numFmtId="0" fontId="7" fillId="0" borderId="0" xfId="0" applyFont="1" applyAlignment="1">
      <alignment horizontal="left" indent="1"/>
    </xf>
    <xf numFmtId="14" fontId="21" fillId="0" borderId="0" xfId="0" applyNumberFormat="1" applyFont="1" applyAlignment="1">
      <alignment horizontal="left" indent="1"/>
    </xf>
    <xf numFmtId="0" fontId="21" fillId="0" borderId="0" xfId="0" applyFont="1" applyAlignment="1">
      <alignment horizontal="left" indent="1"/>
    </xf>
    <xf numFmtId="0" fontId="0" fillId="0" borderId="0" xfId="0" applyAlignment="1">
      <alignment wrapText="1"/>
    </xf>
    <xf numFmtId="0" fontId="13" fillId="0" borderId="0" xfId="0" applyFont="1"/>
    <xf numFmtId="0" fontId="7" fillId="2" borderId="6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8" xfId="0" applyFont="1" applyBorder="1" applyAlignment="1">
      <alignment horizontal="left" indent="1"/>
    </xf>
    <xf numFmtId="0" fontId="7" fillId="2" borderId="10" xfId="0" applyFont="1" applyFill="1" applyBorder="1" applyAlignment="1">
      <alignment horizontal="left" indent="1"/>
    </xf>
    <xf numFmtId="0" fontId="7" fillId="2" borderId="5" xfId="0" applyFont="1" applyFill="1" applyBorder="1" applyAlignment="1">
      <alignment horizontal="left" indent="1"/>
    </xf>
    <xf numFmtId="0" fontId="7" fillId="2" borderId="4" xfId="0" applyFont="1" applyFill="1" applyBorder="1" applyAlignment="1">
      <alignment horizontal="left" indent="1"/>
    </xf>
    <xf numFmtId="0" fontId="10" fillId="4" borderId="1" xfId="0" applyFont="1" applyFill="1" applyBorder="1" applyAlignment="1">
      <alignment horizontal="centerContinuous"/>
    </xf>
    <xf numFmtId="0" fontId="14" fillId="0" borderId="7" xfId="0" applyFont="1" applyBorder="1" applyAlignment="1">
      <alignment horizontal="left" wrapText="1" indent="1"/>
    </xf>
    <xf numFmtId="0" fontId="0" fillId="0" borderId="0" xfId="0" applyAlignment="1">
      <alignment horizontal="left" wrapText="1" indent="1"/>
    </xf>
    <xf numFmtId="14" fontId="0" fillId="0" borderId="0" xfId="0" applyNumberFormat="1" applyAlignment="1">
      <alignment horizontal="left" indent="1"/>
    </xf>
    <xf numFmtId="0" fontId="15" fillId="0" borderId="0" xfId="0" applyFont="1" applyAlignment="1">
      <alignment horizontal="left" indent="1"/>
    </xf>
    <xf numFmtId="0" fontId="12" fillId="3" borderId="0" xfId="0" applyFont="1" applyFill="1" applyAlignment="1">
      <alignment horizontal="centerContinuous" vertical="center"/>
    </xf>
    <xf numFmtId="0" fontId="8" fillId="0" borderId="0" xfId="0" applyFont="1"/>
    <xf numFmtId="0" fontId="14" fillId="0" borderId="8" xfId="0" applyFont="1" applyBorder="1" applyAlignment="1">
      <alignment horizontal="center"/>
    </xf>
    <xf numFmtId="14" fontId="14" fillId="0" borderId="12" xfId="0" applyNumberFormat="1" applyFont="1" applyBorder="1" applyAlignment="1">
      <alignment horizontal="left" indent="1"/>
    </xf>
    <xf numFmtId="0" fontId="16" fillId="0" borderId="13" xfId="0" applyFont="1" applyBorder="1" applyAlignment="1">
      <alignment wrapText="1"/>
    </xf>
    <xf numFmtId="0" fontId="14" fillId="0" borderId="0" xfId="0" applyFont="1" applyAlignment="1">
      <alignment horizontal="left" wrapText="1"/>
    </xf>
    <xf numFmtId="0" fontId="22" fillId="0" borderId="0" xfId="0" applyFont="1"/>
    <xf numFmtId="0" fontId="23" fillId="2" borderId="10" xfId="0" applyFont="1" applyFill="1" applyBorder="1" applyAlignment="1">
      <alignment horizontal="left" indent="1"/>
    </xf>
    <xf numFmtId="0" fontId="23" fillId="0" borderId="0" xfId="0" applyFont="1"/>
    <xf numFmtId="0" fontId="16" fillId="0" borderId="0" xfId="0" applyFont="1" applyAlignment="1">
      <alignment wrapText="1"/>
    </xf>
    <xf numFmtId="0" fontId="23" fillId="2" borderId="5" xfId="0" applyFont="1" applyFill="1" applyBorder="1" applyAlignment="1">
      <alignment horizontal="left" indent="1"/>
    </xf>
    <xf numFmtId="0" fontId="23" fillId="2" borderId="6" xfId="0" applyFont="1" applyFill="1" applyBorder="1" applyAlignment="1">
      <alignment horizontal="left" indent="1"/>
    </xf>
    <xf numFmtId="0" fontId="23" fillId="2" borderId="5" xfId="0" applyFont="1" applyFill="1" applyBorder="1" applyAlignment="1">
      <alignment horizontal="left" wrapText="1"/>
    </xf>
    <xf numFmtId="0" fontId="26" fillId="0" borderId="0" xfId="0" applyFont="1"/>
    <xf numFmtId="0" fontId="14" fillId="0" borderId="9" xfId="0" applyFont="1" applyBorder="1" applyAlignment="1">
      <alignment horizontal="left" indent="1"/>
    </xf>
    <xf numFmtId="0" fontId="7" fillId="2" borderId="10" xfId="0" applyFont="1" applyFill="1" applyBorder="1" applyAlignment="1">
      <alignment horizontal="centerContinuous"/>
    </xf>
    <xf numFmtId="0" fontId="20" fillId="0" borderId="0" xfId="0" applyFont="1" applyAlignment="1">
      <alignment horizontal="left" indent="1"/>
    </xf>
    <xf numFmtId="0" fontId="19" fillId="0" borderId="0" xfId="0" applyFont="1"/>
    <xf numFmtId="0" fontId="16" fillId="0" borderId="0" xfId="0" applyFont="1" applyAlignment="1">
      <alignment horizontal="left" indent="1"/>
    </xf>
    <xf numFmtId="0" fontId="0" fillId="0" borderId="0" xfId="0"/>
    <xf numFmtId="0" fontId="0" fillId="0" borderId="0" xfId="0" applyAlignment="1">
      <alignment horizontal="left" indent="1"/>
    </xf>
    <xf numFmtId="49" fontId="16" fillId="0" borderId="0" xfId="0" applyNumberFormat="1" applyFont="1"/>
    <xf numFmtId="0" fontId="14" fillId="0" borderId="8" xfId="0" applyFont="1" applyBorder="1" applyAlignment="1">
      <alignment horizontal="left" indent="1"/>
    </xf>
    <xf numFmtId="0" fontId="14" fillId="0" borderId="0" xfId="0" applyFont="1"/>
    <xf numFmtId="0" fontId="14" fillId="0" borderId="19" xfId="0" applyFont="1" applyBorder="1" applyAlignment="1">
      <alignment horizontal="left" wrapText="1"/>
    </xf>
    <xf numFmtId="0" fontId="14" fillId="0" borderId="12" xfId="0" applyFont="1" applyBorder="1" applyAlignment="1">
      <alignment horizontal="left" wrapText="1"/>
    </xf>
    <xf numFmtId="0" fontId="14" fillId="0" borderId="13" xfId="0" applyFont="1" applyBorder="1" applyAlignment="1">
      <alignment horizontal="left" wrapText="1" indent="1"/>
    </xf>
    <xf numFmtId="0" fontId="16" fillId="0" borderId="0" xfId="0" applyFont="1"/>
    <xf numFmtId="0" fontId="20" fillId="0" borderId="0" xfId="0" applyFont="1"/>
    <xf numFmtId="0" fontId="12" fillId="3" borderId="0" xfId="0" applyFont="1" applyFill="1" applyAlignment="1">
      <alignment horizontal="center" vertical="center"/>
    </xf>
    <xf numFmtId="0" fontId="30" fillId="0" borderId="0" xfId="0" applyFont="1"/>
    <xf numFmtId="0" fontId="28" fillId="0" borderId="0" xfId="0" applyFont="1"/>
    <xf numFmtId="0" fontId="33" fillId="4" borderId="3" xfId="0" applyFont="1" applyFill="1" applyBorder="1" applyAlignment="1">
      <alignment horizontal="centerContinuous"/>
    </xf>
    <xf numFmtId="0" fontId="33" fillId="4" borderId="4" xfId="0" applyFont="1" applyFill="1" applyBorder="1" applyAlignment="1">
      <alignment horizontal="centerContinuous"/>
    </xf>
    <xf numFmtId="0" fontId="33" fillId="4" borderId="4" xfId="0" applyFont="1" applyFill="1" applyBorder="1" applyAlignment="1">
      <alignment horizontal="centerContinuous" wrapText="1"/>
    </xf>
    <xf numFmtId="0" fontId="34" fillId="4" borderId="5" xfId="0" applyFont="1" applyFill="1" applyBorder="1" applyAlignment="1">
      <alignment horizontal="centerContinuous"/>
    </xf>
    <xf numFmtId="0" fontId="35" fillId="2" borderId="16" xfId="0" applyFont="1" applyFill="1" applyBorder="1" applyAlignment="1">
      <alignment horizontal="left" indent="1"/>
    </xf>
    <xf numFmtId="0" fontId="35" fillId="2" borderId="5" xfId="0" applyFont="1" applyFill="1" applyBorder="1" applyAlignment="1">
      <alignment horizontal="left" indent="1"/>
    </xf>
    <xf numFmtId="0" fontId="35" fillId="2" borderId="4" xfId="0" applyFont="1" applyFill="1" applyBorder="1" applyAlignment="1">
      <alignment horizontal="left" indent="1"/>
    </xf>
    <xf numFmtId="0" fontId="35" fillId="2" borderId="16" xfId="0" applyFont="1" applyFill="1" applyBorder="1" applyAlignment="1">
      <alignment horizontal="left" wrapText="1"/>
    </xf>
    <xf numFmtId="0" fontId="35" fillId="2" borderId="5" xfId="0" applyFont="1" applyFill="1" applyBorder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17" xfId="6" applyFont="1" applyFill="1" applyBorder="1" applyAlignment="1">
      <alignment horizontal="center" wrapText="1"/>
    </xf>
    <xf numFmtId="0" fontId="27" fillId="2" borderId="17" xfId="7" applyFont="1" applyFill="1" applyBorder="1" applyAlignment="1">
      <alignment horizontal="center" wrapText="1"/>
    </xf>
    <xf numFmtId="0" fontId="27" fillId="2" borderId="18" xfId="0" applyFont="1" applyFill="1" applyBorder="1" applyAlignment="1">
      <alignment horizontal="center" wrapText="1"/>
    </xf>
    <xf numFmtId="0" fontId="7" fillId="2" borderId="18" xfId="0" applyFont="1" applyFill="1" applyBorder="1" applyAlignment="1">
      <alignment horizontal="left" indent="1"/>
    </xf>
    <xf numFmtId="0" fontId="7" fillId="2" borderId="2" xfId="0" applyFont="1" applyFill="1" applyBorder="1" applyAlignment="1">
      <alignment horizontal="left" indent="1"/>
    </xf>
    <xf numFmtId="0" fontId="7" fillId="2" borderId="1" xfId="0" applyFont="1" applyFill="1" applyBorder="1" applyAlignment="1">
      <alignment horizontal="left" indent="1"/>
    </xf>
    <xf numFmtId="0" fontId="7" fillId="2" borderId="18" xfId="0" applyFont="1" applyFill="1" applyBorder="1" applyAlignment="1">
      <alignment horizontal="left" wrapText="1"/>
    </xf>
    <xf numFmtId="0" fontId="30" fillId="0" borderId="0" xfId="0" applyFont="1" applyFill="1"/>
    <xf numFmtId="0" fontId="28" fillId="0" borderId="0" xfId="0" applyFont="1" applyFill="1"/>
    <xf numFmtId="0" fontId="30" fillId="0" borderId="15" xfId="0" applyFont="1" applyFill="1" applyBorder="1"/>
    <xf numFmtId="0" fontId="30" fillId="0" borderId="1" xfId="0" applyFont="1" applyFill="1" applyBorder="1"/>
    <xf numFmtId="0" fontId="30" fillId="0" borderId="0" xfId="0" applyFont="1" applyFill="1" applyAlignment="1">
      <alignment horizontal="left" indent="1"/>
    </xf>
    <xf numFmtId="0" fontId="30" fillId="0" borderId="0" xfId="0" applyFont="1" applyFill="1" applyAlignment="1">
      <alignment wrapText="1"/>
    </xf>
    <xf numFmtId="0" fontId="38" fillId="0" borderId="0" xfId="0" applyFont="1" applyFill="1"/>
    <xf numFmtId="0" fontId="28" fillId="2" borderId="29" xfId="0" applyFont="1" applyFill="1" applyBorder="1" applyAlignment="1">
      <alignment horizontal="center" wrapText="1"/>
    </xf>
    <xf numFmtId="0" fontId="28" fillId="2" borderId="17" xfId="0" applyFont="1" applyFill="1" applyBorder="1" applyAlignment="1">
      <alignment horizontal="center" wrapText="1"/>
    </xf>
    <xf numFmtId="0" fontId="37" fillId="2" borderId="17" xfId="0" applyFont="1" applyFill="1" applyBorder="1" applyAlignment="1">
      <alignment horizontal="center" wrapText="1"/>
    </xf>
    <xf numFmtId="0" fontId="27" fillId="2" borderId="12" xfId="0" applyFont="1" applyFill="1" applyBorder="1" applyAlignment="1">
      <alignment horizontal="left" wrapText="1" indent="1"/>
    </xf>
    <xf numFmtId="0" fontId="30" fillId="7" borderId="12" xfId="0" applyFont="1" applyFill="1" applyBorder="1" applyAlignment="1">
      <alignment horizontal="left" wrapText="1" indent="1"/>
    </xf>
    <xf numFmtId="0" fontId="27" fillId="2" borderId="13" xfId="0" applyFont="1" applyFill="1" applyBorder="1" applyAlignment="1">
      <alignment horizontal="left" wrapText="1" indent="1"/>
    </xf>
    <xf numFmtId="0" fontId="30" fillId="0" borderId="12" xfId="0" applyFont="1" applyFill="1" applyBorder="1" applyAlignment="1">
      <alignment horizontal="left" wrapText="1" indent="1"/>
    </xf>
    <xf numFmtId="0" fontId="30" fillId="0" borderId="11" xfId="0" applyFont="1" applyFill="1" applyBorder="1" applyAlignment="1">
      <alignment horizontal="left" wrapText="1" indent="1"/>
    </xf>
    <xf numFmtId="0" fontId="27" fillId="2" borderId="30" xfId="0" applyFont="1" applyFill="1" applyBorder="1" applyAlignment="1">
      <alignment horizontal="left" wrapText="1" indent="1"/>
    </xf>
    <xf numFmtId="0" fontId="30" fillId="7" borderId="19" xfId="0" applyFont="1" applyFill="1" applyBorder="1" applyAlignment="1">
      <alignment horizontal="left" wrapText="1" indent="1"/>
    </xf>
    <xf numFmtId="0" fontId="27" fillId="2" borderId="19" xfId="0" applyFont="1" applyFill="1" applyBorder="1" applyAlignment="1">
      <alignment horizontal="left" wrapText="1" indent="1"/>
    </xf>
    <xf numFmtId="0" fontId="27" fillId="2" borderId="31" xfId="0" applyFont="1" applyFill="1" applyBorder="1" applyAlignment="1">
      <alignment horizontal="left" wrapText="1" indent="1"/>
    </xf>
    <xf numFmtId="0" fontId="27" fillId="2" borderId="8" xfId="0" applyFont="1" applyFill="1" applyBorder="1" applyAlignment="1">
      <alignment horizontal="left" wrapText="1" indent="1"/>
    </xf>
    <xf numFmtId="0" fontId="31" fillId="7" borderId="12" xfId="0" applyFont="1" applyFill="1" applyBorder="1" applyAlignment="1">
      <alignment horizontal="left" wrapText="1" indent="1"/>
    </xf>
    <xf numFmtId="0" fontId="32" fillId="2" borderId="13" xfId="0" applyFont="1" applyFill="1" applyBorder="1" applyAlignment="1">
      <alignment horizontal="left" wrapText="1" indent="1"/>
    </xf>
    <xf numFmtId="0" fontId="27" fillId="2" borderId="14" xfId="0" applyFont="1" applyFill="1" applyBorder="1" applyAlignment="1">
      <alignment horizontal="left" wrapText="1" indent="1"/>
    </xf>
    <xf numFmtId="0" fontId="27" fillId="2" borderId="11" xfId="0" applyFont="1" applyFill="1" applyBorder="1" applyAlignment="1">
      <alignment horizontal="left" wrapText="1" indent="1"/>
    </xf>
    <xf numFmtId="0" fontId="27" fillId="2" borderId="9" xfId="0" applyFont="1" applyFill="1" applyBorder="1" applyAlignment="1">
      <alignment horizontal="left" wrapText="1" indent="1"/>
    </xf>
    <xf numFmtId="0" fontId="28" fillId="6" borderId="13" xfId="0" applyFont="1" applyFill="1" applyBorder="1" applyAlignment="1">
      <alignment horizontal="left" vertical="top" wrapText="1"/>
    </xf>
    <xf numFmtId="0" fontId="27" fillId="6" borderId="12" xfId="0" applyFont="1" applyFill="1" applyBorder="1" applyAlignment="1">
      <alignment horizontal="center" wrapText="1"/>
    </xf>
    <xf numFmtId="0" fontId="27" fillId="6" borderId="13" xfId="0" applyFont="1" applyFill="1" applyBorder="1" applyAlignment="1">
      <alignment horizontal="center" wrapText="1"/>
    </xf>
    <xf numFmtId="0" fontId="27" fillId="6" borderId="30" xfId="0" applyFont="1" applyFill="1" applyBorder="1" applyAlignment="1">
      <alignment horizontal="left" wrapText="1"/>
    </xf>
    <xf numFmtId="0" fontId="27" fillId="6" borderId="19" xfId="0" applyFont="1" applyFill="1" applyBorder="1" applyAlignment="1">
      <alignment horizontal="left" wrapText="1"/>
    </xf>
    <xf numFmtId="0" fontId="28" fillId="6" borderId="19" xfId="0" applyFont="1" applyFill="1" applyBorder="1" applyAlignment="1">
      <alignment wrapText="1"/>
    </xf>
    <xf numFmtId="0" fontId="28" fillId="6" borderId="31" xfId="0" applyFont="1" applyFill="1" applyBorder="1" applyAlignment="1">
      <alignment wrapText="1"/>
    </xf>
    <xf numFmtId="0" fontId="27" fillId="6" borderId="8" xfId="0" applyFont="1" applyFill="1" applyBorder="1" applyAlignment="1">
      <alignment horizontal="left" wrapText="1"/>
    </xf>
    <xf numFmtId="0" fontId="27" fillId="6" borderId="12" xfId="0" applyFont="1" applyFill="1" applyBorder="1" applyAlignment="1">
      <alignment horizontal="left" wrapText="1"/>
    </xf>
    <xf numFmtId="0" fontId="28" fillId="6" borderId="12" xfId="0" applyFont="1" applyFill="1" applyBorder="1" applyAlignment="1">
      <alignment wrapText="1"/>
    </xf>
    <xf numFmtId="0" fontId="28" fillId="6" borderId="13" xfId="0" applyFont="1" applyFill="1" applyBorder="1" applyAlignment="1">
      <alignment wrapText="1"/>
    </xf>
    <xf numFmtId="0" fontId="27" fillId="6" borderId="8" xfId="6" applyFont="1" applyFill="1" applyBorder="1" applyAlignment="1">
      <alignment horizontal="left" wrapText="1"/>
    </xf>
    <xf numFmtId="0" fontId="36" fillId="6" borderId="12" xfId="4" applyFont="1" applyFill="1" applyBorder="1" applyAlignment="1">
      <alignment wrapText="1"/>
    </xf>
    <xf numFmtId="0" fontId="27" fillId="6" borderId="8" xfId="7" applyFont="1" applyFill="1" applyBorder="1" applyAlignment="1">
      <alignment horizontal="left" wrapText="1"/>
    </xf>
    <xf numFmtId="0" fontId="37" fillId="6" borderId="8" xfId="0" applyFont="1" applyFill="1" applyBorder="1" applyAlignment="1">
      <alignment horizontal="left" wrapText="1"/>
    </xf>
    <xf numFmtId="0" fontId="38" fillId="6" borderId="12" xfId="0" applyFont="1" applyFill="1" applyBorder="1" applyAlignment="1">
      <alignment wrapText="1"/>
    </xf>
    <xf numFmtId="0" fontId="38" fillId="6" borderId="13" xfId="0" applyFont="1" applyFill="1" applyBorder="1" applyAlignment="1">
      <alignment wrapText="1"/>
    </xf>
    <xf numFmtId="0" fontId="27" fillId="6" borderId="9" xfId="0" applyFont="1" applyFill="1" applyBorder="1" applyAlignment="1">
      <alignment horizontal="left" wrapText="1"/>
    </xf>
    <xf numFmtId="0" fontId="28" fillId="6" borderId="11" xfId="0" applyFont="1" applyFill="1" applyBorder="1" applyAlignment="1">
      <alignment wrapText="1"/>
    </xf>
    <xf numFmtId="0" fontId="28" fillId="6" borderId="14" xfId="0" applyFont="1" applyFill="1" applyBorder="1" applyAlignment="1">
      <alignment wrapText="1"/>
    </xf>
    <xf numFmtId="0" fontId="28" fillId="0" borderId="24" xfId="10" applyNumberFormat="1" applyFont="1" applyBorder="1" applyAlignment="1">
      <alignment horizontal="left" wrapText="1" indent="1"/>
    </xf>
    <xf numFmtId="0" fontId="16" fillId="2" borderId="22" xfId="0" applyFont="1" applyFill="1" applyBorder="1" applyAlignment="1">
      <alignment horizontal="left" wrapText="1" indent="1"/>
    </xf>
    <xf numFmtId="0" fontId="16" fillId="2" borderId="25" xfId="0" applyFont="1" applyFill="1" applyBorder="1" applyAlignment="1">
      <alignment horizontal="left" wrapText="1" indent="1"/>
    </xf>
    <xf numFmtId="0" fontId="19" fillId="2" borderId="25" xfId="0" applyFont="1" applyFill="1" applyBorder="1" applyAlignment="1">
      <alignment horizontal="left" wrapText="1" indent="1"/>
    </xf>
    <xf numFmtId="0" fontId="28" fillId="2" borderId="25" xfId="0" applyFont="1" applyFill="1" applyBorder="1" applyAlignment="1">
      <alignment horizontal="left" wrapText="1" indent="1"/>
    </xf>
    <xf numFmtId="0" fontId="0" fillId="2" borderId="25" xfId="0" applyFill="1" applyBorder="1" applyAlignment="1">
      <alignment horizontal="left" wrapText="1" indent="1"/>
    </xf>
    <xf numFmtId="0" fontId="28" fillId="0" borderId="24" xfId="0" applyFont="1" applyBorder="1" applyAlignment="1">
      <alignment horizontal="left" wrapText="1" indent="1"/>
    </xf>
    <xf numFmtId="0" fontId="27" fillId="5" borderId="24" xfId="9" applyFont="1" applyBorder="1" applyAlignment="1">
      <alignment horizontal="left" wrapText="1" indent="1"/>
    </xf>
    <xf numFmtId="0" fontId="17" fillId="2" borderId="20" xfId="0" applyFont="1" applyFill="1" applyBorder="1" applyAlignment="1">
      <alignment horizontal="left" wrapText="1" indent="1"/>
    </xf>
    <xf numFmtId="0" fontId="16" fillId="2" borderId="21" xfId="0" applyFont="1" applyFill="1" applyBorder="1" applyAlignment="1">
      <alignment horizontal="left" wrapText="1" indent="1"/>
    </xf>
    <xf numFmtId="0" fontId="16" fillId="0" borderId="21" xfId="0" applyFont="1" applyBorder="1" applyAlignment="1">
      <alignment horizontal="left" wrapText="1" indent="1"/>
    </xf>
    <xf numFmtId="0" fontId="17" fillId="2" borderId="23" xfId="0" applyFont="1" applyFill="1" applyBorder="1" applyAlignment="1">
      <alignment horizontal="left" wrapText="1" indent="1"/>
    </xf>
    <xf numFmtId="0" fontId="16" fillId="2" borderId="24" xfId="0" applyFont="1" applyFill="1" applyBorder="1" applyAlignment="1">
      <alignment horizontal="left" wrapText="1" indent="1"/>
    </xf>
    <xf numFmtId="0" fontId="16" fillId="0" borderId="24" xfId="0" applyFont="1" applyBorder="1" applyAlignment="1">
      <alignment horizontal="left" wrapText="1" indent="1"/>
    </xf>
    <xf numFmtId="0" fontId="18" fillId="2" borderId="23" xfId="0" applyFont="1" applyFill="1" applyBorder="1" applyAlignment="1">
      <alignment horizontal="left" wrapText="1" indent="1"/>
    </xf>
    <xf numFmtId="0" fontId="19" fillId="2" borderId="24" xfId="0" applyFont="1" applyFill="1" applyBorder="1" applyAlignment="1">
      <alignment horizontal="left" wrapText="1" indent="1"/>
    </xf>
    <xf numFmtId="0" fontId="19" fillId="0" borderId="24" xfId="0" applyFont="1" applyBorder="1" applyAlignment="1">
      <alignment horizontal="left" wrapText="1" indent="1"/>
    </xf>
    <xf numFmtId="0" fontId="27" fillId="2" borderId="23" xfId="0" applyFont="1" applyFill="1" applyBorder="1" applyAlignment="1">
      <alignment horizontal="left" wrapText="1" indent="1"/>
    </xf>
    <xf numFmtId="0" fontId="28" fillId="2" borderId="24" xfId="0" applyFont="1" applyFill="1" applyBorder="1" applyAlignment="1">
      <alignment horizontal="left" wrapText="1" indent="1"/>
    </xf>
    <xf numFmtId="0" fontId="6" fillId="2" borderId="23" xfId="0" applyFont="1" applyFill="1" applyBorder="1" applyAlignment="1">
      <alignment horizontal="left" wrapText="1" indent="1"/>
    </xf>
    <xf numFmtId="0" fontId="0" fillId="2" borderId="24" xfId="0" applyFill="1" applyBorder="1" applyAlignment="1">
      <alignment horizontal="left" wrapText="1" indent="1"/>
    </xf>
    <xf numFmtId="0" fontId="0" fillId="0" borderId="24" xfId="0" applyBorder="1" applyAlignment="1">
      <alignment horizontal="left" wrapText="1" indent="1"/>
    </xf>
    <xf numFmtId="0" fontId="27" fillId="5" borderId="24" xfId="11" applyFont="1" applyBorder="1" applyAlignment="1">
      <alignment horizontal="left" wrapText="1" indent="1"/>
    </xf>
    <xf numFmtId="1" fontId="28" fillId="0" borderId="24" xfId="0" applyNumberFormat="1" applyFont="1" applyBorder="1" applyAlignment="1">
      <alignment horizontal="left" wrapText="1" indent="1"/>
    </xf>
    <xf numFmtId="0" fontId="28" fillId="0" borderId="24" xfId="10" applyFont="1" applyBorder="1" applyAlignment="1">
      <alignment horizontal="left" wrapText="1" indent="1"/>
    </xf>
    <xf numFmtId="0" fontId="27" fillId="5" borderId="23" xfId="11" applyFont="1" applyBorder="1" applyAlignment="1">
      <alignment horizontal="left" wrapText="1" indent="1"/>
    </xf>
    <xf numFmtId="0" fontId="27" fillId="5" borderId="25" xfId="11" applyFont="1" applyBorder="1" applyAlignment="1">
      <alignment horizontal="left" wrapText="1" indent="1"/>
    </xf>
    <xf numFmtId="0" fontId="27" fillId="5" borderId="23" xfId="9" applyFont="1" applyBorder="1" applyAlignment="1">
      <alignment horizontal="left" wrapText="1" indent="1"/>
    </xf>
    <xf numFmtId="0" fontId="27" fillId="5" borderId="25" xfId="9" applyFont="1" applyBorder="1" applyAlignment="1">
      <alignment horizontal="left" wrapText="1" indent="1"/>
    </xf>
    <xf numFmtId="0" fontId="27" fillId="5" borderId="26" xfId="9" applyFont="1" applyBorder="1" applyAlignment="1">
      <alignment horizontal="left" wrapText="1" indent="1"/>
    </xf>
    <xf numFmtId="0" fontId="27" fillId="5" borderId="27" xfId="9" applyFont="1" applyBorder="1" applyAlignment="1">
      <alignment horizontal="left" wrapText="1" indent="1"/>
    </xf>
    <xf numFmtId="0" fontId="28" fillId="0" borderId="27" xfId="10" applyFont="1" applyBorder="1" applyAlignment="1">
      <alignment horizontal="left" wrapText="1" indent="1"/>
    </xf>
    <xf numFmtId="0" fontId="28" fillId="0" borderId="27" xfId="10" applyNumberFormat="1" applyFont="1" applyBorder="1" applyAlignment="1">
      <alignment horizontal="left" wrapText="1" indent="1"/>
    </xf>
    <xf numFmtId="0" fontId="27" fillId="5" borderId="28" xfId="9" applyFont="1" applyBorder="1" applyAlignment="1">
      <alignment horizontal="left" wrapText="1" indent="1"/>
    </xf>
    <xf numFmtId="0" fontId="26" fillId="0" borderId="0" xfId="0" applyFont="1"/>
    <xf numFmtId="0" fontId="22" fillId="0" borderId="0" xfId="0" applyFont="1"/>
    <xf numFmtId="0" fontId="16" fillId="0" borderId="0" xfId="0" applyFont="1" applyAlignment="1"/>
    <xf numFmtId="0" fontId="23" fillId="2" borderId="5" xfId="0" applyFont="1" applyFill="1" applyBorder="1" applyAlignment="1">
      <alignment horizontal="left"/>
    </xf>
    <xf numFmtId="0" fontId="27" fillId="5" borderId="30" xfId="0" applyFont="1" applyFill="1" applyBorder="1" applyAlignment="1">
      <alignment horizontal="left" wrapText="1" indent="1"/>
    </xf>
    <xf numFmtId="0" fontId="30" fillId="0" borderId="19" xfId="0" applyFont="1" applyBorder="1" applyAlignment="1">
      <alignment horizontal="left" wrapText="1" indent="1"/>
    </xf>
    <xf numFmtId="0" fontId="27" fillId="5" borderId="19" xfId="0" applyFont="1" applyFill="1" applyBorder="1" applyAlignment="1">
      <alignment horizontal="left" wrapText="1" indent="1"/>
    </xf>
    <xf numFmtId="0" fontId="27" fillId="5" borderId="8" xfId="0" applyFont="1" applyFill="1" applyBorder="1" applyAlignment="1">
      <alignment horizontal="left" wrapText="1" indent="1"/>
    </xf>
    <xf numFmtId="0" fontId="30" fillId="0" borderId="12" xfId="0" applyFont="1" applyBorder="1" applyAlignment="1">
      <alignment horizontal="left" wrapText="1" indent="1"/>
    </xf>
    <xf numFmtId="0" fontId="27" fillId="5" borderId="12" xfId="0" applyFont="1" applyFill="1" applyBorder="1" applyAlignment="1">
      <alignment horizontal="left" wrapText="1" indent="1"/>
    </xf>
    <xf numFmtId="0" fontId="31" fillId="0" borderId="12" xfId="0" applyFont="1" applyBorder="1" applyAlignment="1">
      <alignment horizontal="left" wrapText="1" indent="1"/>
    </xf>
    <xf numFmtId="0" fontId="16" fillId="0" borderId="0" xfId="0" applyFont="1" applyFill="1"/>
    <xf numFmtId="0" fontId="14" fillId="0" borderId="0" xfId="0" applyFont="1" applyFill="1"/>
    <xf numFmtId="0" fontId="30" fillId="0" borderId="0" xfId="0" applyFont="1" applyFill="1" applyAlignment="1"/>
    <xf numFmtId="0" fontId="34" fillId="2" borderId="16" xfId="0" applyFont="1" applyFill="1" applyBorder="1" applyAlignment="1">
      <alignment horizontal="center" wrapText="1"/>
    </xf>
    <xf numFmtId="0" fontId="28" fillId="6" borderId="30" xfId="0" applyFont="1" applyFill="1" applyBorder="1" applyAlignment="1">
      <alignment horizontal="left" indent="1"/>
    </xf>
    <xf numFmtId="0" fontId="28" fillId="6" borderId="19" xfId="0" applyFont="1" applyFill="1" applyBorder="1" applyAlignment="1">
      <alignment horizontal="left" indent="1"/>
    </xf>
    <xf numFmtId="0" fontId="28" fillId="6" borderId="31" xfId="0" applyFont="1" applyFill="1" applyBorder="1" applyAlignment="1">
      <alignment horizontal="left" indent="1"/>
    </xf>
    <xf numFmtId="0" fontId="28" fillId="6" borderId="8" xfId="0" applyFont="1" applyFill="1" applyBorder="1" applyAlignment="1">
      <alignment horizontal="left" indent="1"/>
    </xf>
    <xf numFmtId="0" fontId="28" fillId="6" borderId="12" xfId="0" applyFont="1" applyFill="1" applyBorder="1" applyAlignment="1">
      <alignment horizontal="left" indent="1"/>
    </xf>
    <xf numFmtId="0" fontId="28" fillId="6" borderId="13" xfId="0" applyFont="1" applyFill="1" applyBorder="1" applyAlignment="1">
      <alignment horizontal="left" indent="1"/>
    </xf>
    <xf numFmtId="0" fontId="19" fillId="0" borderId="0" xfId="0" applyFont="1" applyFill="1"/>
    <xf numFmtId="0" fontId="27" fillId="2" borderId="17" xfId="12" applyFont="1" applyFill="1" applyBorder="1" applyAlignment="1">
      <alignment horizontal="center" wrapText="1"/>
    </xf>
    <xf numFmtId="0" fontId="27" fillId="2" borderId="17" xfId="13" applyFont="1" applyFill="1" applyBorder="1" applyAlignment="1">
      <alignment horizontal="center" wrapText="1"/>
    </xf>
    <xf numFmtId="0" fontId="27" fillId="2" borderId="17" xfId="14" applyFont="1" applyFill="1" applyBorder="1" applyAlignment="1">
      <alignment horizontal="center" wrapText="1"/>
    </xf>
    <xf numFmtId="0" fontId="27" fillId="2" borderId="17" xfId="15" applyFont="1" applyFill="1" applyBorder="1" applyAlignment="1">
      <alignment horizontal="center" wrapText="1"/>
    </xf>
    <xf numFmtId="0" fontId="27" fillId="2" borderId="17" xfId="16" applyFont="1" applyFill="1" applyBorder="1" applyAlignment="1">
      <alignment horizontal="center" wrapText="1"/>
    </xf>
    <xf numFmtId="0" fontId="27" fillId="2" borderId="17" xfId="17" applyFont="1" applyFill="1" applyBorder="1" applyAlignment="1">
      <alignment horizontal="center" wrapText="1"/>
    </xf>
    <xf numFmtId="0" fontId="28" fillId="6" borderId="9" xfId="0" applyFont="1" applyFill="1" applyBorder="1" applyAlignment="1">
      <alignment horizontal="left" indent="1"/>
    </xf>
    <xf numFmtId="0" fontId="28" fillId="6" borderId="11" xfId="0" applyFont="1" applyFill="1" applyBorder="1" applyAlignment="1">
      <alignment horizontal="left" indent="1"/>
    </xf>
    <xf numFmtId="0" fontId="28" fillId="6" borderId="14" xfId="0" applyFont="1" applyFill="1" applyBorder="1" applyAlignment="1">
      <alignment horizontal="left" indent="1"/>
    </xf>
    <xf numFmtId="0" fontId="28" fillId="0" borderId="0" xfId="0" applyFont="1" applyAlignment="1">
      <alignment horizontal="left" indent="1"/>
    </xf>
    <xf numFmtId="0" fontId="28" fillId="0" borderId="0" xfId="0" applyFont="1" applyAlignment="1"/>
    <xf numFmtId="0" fontId="35" fillId="2" borderId="16" xfId="0" applyFont="1" applyFill="1" applyBorder="1" applyAlignment="1">
      <alignment horizontal="left"/>
    </xf>
    <xf numFmtId="0" fontId="27" fillId="2" borderId="20" xfId="0" applyFont="1" applyFill="1" applyBorder="1" applyAlignment="1">
      <alignment horizontal="left" wrapText="1" indent="1"/>
    </xf>
    <xf numFmtId="0" fontId="28" fillId="2" borderId="21" xfId="0" applyFont="1" applyFill="1" applyBorder="1" applyAlignment="1">
      <alignment horizontal="left" wrapText="1" indent="1"/>
    </xf>
    <xf numFmtId="0" fontId="28" fillId="0" borderId="21" xfId="0" applyFont="1" applyBorder="1" applyAlignment="1">
      <alignment horizontal="left" wrapText="1" indent="1"/>
    </xf>
    <xf numFmtId="0" fontId="28" fillId="2" borderId="22" xfId="0" applyFont="1" applyFill="1" applyBorder="1" applyAlignment="1">
      <alignment horizontal="left" wrapText="1" indent="1"/>
    </xf>
    <xf numFmtId="0" fontId="27" fillId="2" borderId="23" xfId="18" applyFont="1" applyFill="1" applyBorder="1" applyAlignment="1">
      <alignment horizontal="left" wrapText="1" indent="1"/>
    </xf>
    <xf numFmtId="0" fontId="27" fillId="2" borderId="24" xfId="18" applyFont="1" applyFill="1" applyBorder="1" applyAlignment="1">
      <alignment horizontal="left" wrapText="1" indent="1"/>
    </xf>
    <xf numFmtId="0" fontId="27" fillId="2" borderId="25" xfId="18" applyFont="1" applyFill="1" applyBorder="1" applyAlignment="1">
      <alignment horizontal="left" wrapText="1" indent="1"/>
    </xf>
    <xf numFmtId="0" fontId="40" fillId="0" borderId="24" xfId="0" applyFont="1" applyBorder="1" applyAlignment="1">
      <alignment horizontal="left" vertical="center" wrapText="1" indent="1"/>
    </xf>
    <xf numFmtId="0" fontId="27" fillId="2" borderId="23" xfId="19" applyFont="1" applyFill="1" applyBorder="1" applyAlignment="1">
      <alignment horizontal="left" wrapText="1" indent="1"/>
    </xf>
    <xf numFmtId="0" fontId="27" fillId="2" borderId="24" xfId="19" applyFont="1" applyFill="1" applyBorder="1" applyAlignment="1">
      <alignment horizontal="left" wrapText="1" indent="1"/>
    </xf>
    <xf numFmtId="0" fontId="28" fillId="0" borderId="24" xfId="20" applyFont="1" applyBorder="1" applyAlignment="1">
      <alignment horizontal="left" wrapText="1" indent="1"/>
    </xf>
    <xf numFmtId="0" fontId="28" fillId="0" borderId="24" xfId="20" applyNumberFormat="1" applyFont="1" applyBorder="1" applyAlignment="1">
      <alignment horizontal="left" wrapText="1" indent="1"/>
    </xf>
    <xf numFmtId="0" fontId="27" fillId="2" borderId="25" xfId="19" applyFont="1" applyFill="1" applyBorder="1" applyAlignment="1">
      <alignment horizontal="left" wrapText="1" indent="1"/>
    </xf>
    <xf numFmtId="0" fontId="27" fillId="2" borderId="26" xfId="19" applyFont="1" applyFill="1" applyBorder="1" applyAlignment="1">
      <alignment horizontal="left" wrapText="1" indent="1"/>
    </xf>
    <xf numFmtId="0" fontId="27" fillId="2" borderId="27" xfId="19" applyFont="1" applyFill="1" applyBorder="1" applyAlignment="1">
      <alignment horizontal="left" wrapText="1" indent="1"/>
    </xf>
    <xf numFmtId="0" fontId="28" fillId="0" borderId="27" xfId="20" applyFont="1" applyBorder="1" applyAlignment="1">
      <alignment horizontal="left" wrapText="1" indent="1"/>
    </xf>
    <xf numFmtId="0" fontId="28" fillId="0" borderId="27" xfId="20" applyNumberFormat="1" applyFont="1" applyBorder="1" applyAlignment="1">
      <alignment horizontal="left" wrapText="1" indent="1"/>
    </xf>
    <xf numFmtId="0" fontId="27" fillId="2" borderId="28" xfId="19" applyFont="1" applyFill="1" applyBorder="1" applyAlignment="1">
      <alignment horizontal="left" wrapText="1" indent="1"/>
    </xf>
    <xf numFmtId="0" fontId="0" fillId="0" borderId="0" xfId="0" applyAlignment="1"/>
    <xf numFmtId="0" fontId="14" fillId="0" borderId="0" xfId="0" applyFont="1" applyFill="1" applyBorder="1" applyAlignment="1">
      <alignment horizontal="left" wrapText="1"/>
    </xf>
    <xf numFmtId="0" fontId="14" fillId="0" borderId="33" xfId="0" applyFont="1" applyFill="1" applyBorder="1" applyAlignment="1">
      <alignment horizontal="left" wrapText="1" indent="1"/>
    </xf>
    <xf numFmtId="0" fontId="14" fillId="0" borderId="7" xfId="0" applyFont="1" applyBorder="1" applyAlignment="1">
      <alignment horizontal="left" indent="1"/>
    </xf>
    <xf numFmtId="0" fontId="12" fillId="3" borderId="0" xfId="0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25" fillId="3" borderId="0" xfId="0" applyFont="1" applyFill="1" applyAlignment="1">
      <alignment horizontal="center" vertical="center" wrapText="1"/>
    </xf>
    <xf numFmtId="0" fontId="26" fillId="0" borderId="0" xfId="0" applyFont="1"/>
    <xf numFmtId="0" fontId="24" fillId="4" borderId="3" xfId="0" applyFont="1" applyFill="1" applyBorder="1" applyAlignment="1">
      <alignment horizontal="center"/>
    </xf>
    <xf numFmtId="0" fontId="22" fillId="0" borderId="0" xfId="0" applyFont="1"/>
    <xf numFmtId="0" fontId="10" fillId="4" borderId="3" xfId="0" applyFont="1" applyFill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left" indent="1"/>
    </xf>
    <xf numFmtId="0" fontId="0" fillId="0" borderId="5" xfId="0" applyBorder="1" applyAlignment="1">
      <alignment wrapText="1"/>
    </xf>
    <xf numFmtId="0" fontId="22" fillId="0" borderId="4" xfId="0" applyFont="1" applyBorder="1"/>
    <xf numFmtId="0" fontId="22" fillId="0" borderId="5" xfId="0" applyFont="1" applyBorder="1"/>
    <xf numFmtId="0" fontId="33" fillId="4" borderId="3" xfId="0" applyFont="1" applyFill="1" applyBorder="1" applyAlignment="1">
      <alignment horizontal="center"/>
    </xf>
    <xf numFmtId="0" fontId="33" fillId="4" borderId="4" xfId="0" applyFont="1" applyFill="1" applyBorder="1" applyAlignment="1">
      <alignment horizontal="center"/>
    </xf>
    <xf numFmtId="0" fontId="33" fillId="4" borderId="5" xfId="0" applyFont="1" applyFill="1" applyBorder="1" applyAlignment="1">
      <alignment horizontal="center"/>
    </xf>
    <xf numFmtId="0" fontId="33" fillId="4" borderId="32" xfId="0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left" indent="1"/>
    </xf>
    <xf numFmtId="0" fontId="28" fillId="0" borderId="0" xfId="0" applyFont="1" applyAlignment="1">
      <alignment wrapText="1"/>
    </xf>
    <xf numFmtId="0" fontId="0" fillId="0" borderId="0" xfId="0" applyAlignment="1">
      <alignment horizontal="center" vertical="center" wrapText="1"/>
    </xf>
  </cellXfs>
  <cellStyles count="21">
    <cellStyle name="20% - Accent1 2 20 7 2" xfId="11"/>
    <cellStyle name="20% - Accent1 2 4 3 17 2 2 3 4" xfId="9"/>
    <cellStyle name="20% - Accent1 2 4 3 17 2 2 3 4 2" xfId="19"/>
    <cellStyle name="20% - Accent1 2 4 3 2 2 2 2 2 2 2 3 2 2 3 3 2 2" xfId="14"/>
    <cellStyle name="20% - Accent1 5 19" xfId="6"/>
    <cellStyle name="20% - Accent1 5 19 2" xfId="13"/>
    <cellStyle name="20% - Accent1 7 12 3 2" xfId="18"/>
    <cellStyle name="20% - Accent1 7 4 11" xfId="7"/>
    <cellStyle name="20% - Accent1 7 4 11 2 2 2" xfId="12"/>
    <cellStyle name="20% - Accent1 7 4 11 2 3 2 2" xfId="17"/>
    <cellStyle name="20% - Accent1 7 4 11 3 2" xfId="3"/>
    <cellStyle name="20% - Accent1 7 4 12 2 3 3 2 2" xfId="15"/>
    <cellStyle name="20% - Accent1 7 4 12 2 3 5 2 2" xfId="1"/>
    <cellStyle name="20% - Accent1 7 4 12 2 4 2 2" xfId="2"/>
    <cellStyle name="20% - Accent1 7 4 2 4 5" xfId="5"/>
    <cellStyle name="Hyperlink" xfId="4" builtinId="8"/>
    <cellStyle name="Normal" xfId="0" builtinId="0"/>
    <cellStyle name="Normal 12 2" xfId="20"/>
    <cellStyle name="Normal 3" xfId="8"/>
    <cellStyle name="Normal 6" xfId="10"/>
    <cellStyle name="Normal 6 4" xfId="16"/>
  </cellStyles>
  <dxfs count="16"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19</xdr:row>
          <xdr:rowOff>0</xdr:rowOff>
        </xdr:from>
        <xdr:to>
          <xdr:col>1</xdr:col>
          <xdr:colOff>257175</xdr:colOff>
          <xdr:row>20</xdr:row>
          <xdr:rowOff>9525</xdr:rowOff>
        </xdr:to>
        <xdr:sp macro="" textlink="">
          <xdr:nvSpPr>
            <xdr:cNvPr id="4117" name="keepBuildWindowOpen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21</xdr:row>
          <xdr:rowOff>85725</xdr:rowOff>
        </xdr:from>
        <xdr:to>
          <xdr:col>2</xdr:col>
          <xdr:colOff>1276350</xdr:colOff>
          <xdr:row>23</xdr:row>
          <xdr:rowOff>95250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 Files 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25</xdr:row>
          <xdr:rowOff>28575</xdr:rowOff>
        </xdr:from>
        <xdr:to>
          <xdr:col>2</xdr:col>
          <xdr:colOff>1266825</xdr:colOff>
          <xdr:row>27</xdr:row>
          <xdr:rowOff>19050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Sources and Build MBN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15</xdr:row>
          <xdr:rowOff>28575</xdr:rowOff>
        </xdr:from>
        <xdr:to>
          <xdr:col>0</xdr:col>
          <xdr:colOff>1914525</xdr:colOff>
          <xdr:row>16</xdr:row>
          <xdr:rowOff>38100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16</xdr:row>
          <xdr:rowOff>57150</xdr:rowOff>
        </xdr:from>
        <xdr:to>
          <xdr:col>0</xdr:col>
          <xdr:colOff>1914525</xdr:colOff>
          <xdr:row>17</xdr:row>
          <xdr:rowOff>47625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85725</xdr:rowOff>
        </xdr:from>
        <xdr:to>
          <xdr:col>0</xdr:col>
          <xdr:colOff>1885950</xdr:colOff>
          <xdr:row>18</xdr:row>
          <xdr:rowOff>95250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Summary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4246" name="Commercial" hidden="1">
              <a:extLst>
                <a:ext uri="{63B3BB69-23CF-44E3-9099-C40C66FF867C}">
                  <a14:compatExt spid="_x0000_s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4247" name="Commercial_VoWiFi" hidden="1">
              <a:extLst>
                <a:ext uri="{63B3BB69-23CF-44E3-9099-C40C66FF867C}">
                  <a14:compatExt spid="_x0000_s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olstic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Solstice">
      <a:maj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휴먼매직체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Gill Sans MT"/>
        <a:ea typeface=""/>
        <a:cs typeface=""/>
        <a:font script="Grek" typeface="Corbel"/>
        <a:font script="Cyrl" typeface="Corbel"/>
        <a:font script="Jpan" typeface="HGｺﾞｼｯｸE"/>
        <a:font script="Hang" typeface="HY엽서L"/>
        <a:font script="Hans" typeface="华文中宋"/>
        <a:font script="Hant" typeface="微軟正黑體"/>
        <a:font script="Arab" typeface="Majalla UI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Solstice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53000"/>
              </a:schemeClr>
            </a:gs>
            <a:gs pos="50000">
              <a:schemeClr val="phClr">
                <a:tint val="42000"/>
                <a:satMod val="255000"/>
              </a:schemeClr>
            </a:gs>
            <a:gs pos="97000">
              <a:schemeClr val="phClr">
                <a:tint val="53000"/>
                <a:satMod val="260000"/>
              </a:schemeClr>
            </a:gs>
            <a:gs pos="100000">
              <a:schemeClr val="phClr">
                <a:tint val="56000"/>
                <a:satMod val="275000"/>
              </a:schemeClr>
            </a:gs>
          </a:gsLst>
          <a:path path="circle">
            <a:fillToRect l="50000" t="50000" r="50000" b="50000"/>
          </a:path>
        </a:gradFill>
        <a:gradFill rotWithShape="1">
          <a:gsLst>
            <a:gs pos="0">
              <a:schemeClr val="phClr">
                <a:tint val="92000"/>
                <a:satMod val="170000"/>
              </a:schemeClr>
            </a:gs>
            <a:gs pos="15000">
              <a:schemeClr val="phClr">
                <a:tint val="92000"/>
                <a:shade val="99000"/>
                <a:satMod val="170000"/>
              </a:schemeClr>
            </a:gs>
            <a:gs pos="62000">
              <a:schemeClr val="phClr">
                <a:tint val="96000"/>
                <a:shade val="80000"/>
                <a:satMod val="170000"/>
              </a:schemeClr>
            </a:gs>
            <a:gs pos="97000">
              <a:schemeClr val="phClr">
                <a:tint val="98000"/>
                <a:shade val="63000"/>
                <a:satMod val="170000"/>
              </a:schemeClr>
            </a:gs>
            <a:gs pos="100000">
              <a:schemeClr val="phClr">
                <a:shade val="62000"/>
                <a:satMod val="170000"/>
              </a:schemeClr>
            </a:gs>
          </a:gsLst>
          <a:path path="circle">
            <a:fillToRect l="50000" t="50000" r="50000" b="5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8700000"/>
            </a:lightRig>
          </a:scene3d>
          <a:sp3d contourW="12700">
            <a:bevelT w="0" h="0"/>
            <a:contourClr>
              <a:schemeClr val="phClr">
                <a:shade val="80000"/>
              </a:schemeClr>
            </a:contourClr>
          </a:sp3d>
        </a:effectStyle>
        <a:effectStyle>
          <a:effectLst>
            <a:outerShdw blurRad="63500" dist="25400" dir="5400000" rotWithShape="0">
              <a:srgbClr val="000000">
                <a:alpha val="43137"/>
              </a:srgbClr>
            </a:outerShdw>
          </a:effectLst>
          <a:scene3d>
            <a:camera prst="orthographicFront" fov="0">
              <a:rot lat="0" lon="0" rev="0"/>
            </a:camera>
            <a:lightRig rig="brightRoom" dir="tl">
              <a:rot lat="0" lon="0" rev="5400000"/>
            </a:lightRig>
          </a:scene3d>
          <a:sp3d contourW="12700">
            <a:bevelT w="25400" h="50800" prst="angle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355000"/>
              </a:schemeClr>
            </a:gs>
            <a:gs pos="40000">
              <a:schemeClr val="phClr">
                <a:tint val="85000"/>
                <a:satMod val="320000"/>
              </a:schemeClr>
            </a:gs>
            <a:gs pos="100000">
              <a:schemeClr val="phClr">
                <a:shade val="55000"/>
                <a:satMod val="300000"/>
              </a:schemeClr>
            </a:gs>
          </a:gsLst>
          <a:path path="circle">
            <a:fillToRect l="-24500" t="-20000" r="124500" b="120000"/>
          </a:path>
        </a:gradFill>
        <a:blipFill>
          <a:blip xmlns:r="http://schemas.openxmlformats.org/officeDocument/2006/relationships">
            <a:duotone>
              <a:schemeClr val="phClr">
                <a:shade val="9000"/>
                <a:satMod val="300000"/>
              </a:schemeClr>
              <a:schemeClr val="phClr">
                <a:tint val="90000"/>
                <a:satMod val="225000"/>
              </a:schemeClr>
            </a:duotone>
          </a:blip>
          <a:tile tx="0" ty="0" sx="90000" sy="90000" flip="x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hyperlink" Target="sip:ADHOC@ims.mnc009.mcc510.3gppnetwork.org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autoPageBreaks="0"/>
  </sheetPr>
  <dimension ref="A1:S46"/>
  <sheetViews>
    <sheetView tabSelected="1" zoomScale="90" zoomScaleNormal="90" workbookViewId="0">
      <selection activeCell="C10" sqref="C10:C15"/>
    </sheetView>
  </sheetViews>
  <sheetFormatPr defaultColWidth="11.42578125" defaultRowHeight="12.75" x14ac:dyDescent="0.2"/>
  <cols>
    <col min="1" max="1" width="38.85546875" style="42" customWidth="1"/>
    <col min="2" max="2" width="15.28515625" style="42" bestFit="1" customWidth="1"/>
    <col min="3" max="3" width="23.7109375" style="42" customWidth="1"/>
    <col min="4" max="4" width="15.28515625" style="42" customWidth="1"/>
    <col min="5" max="5" width="12.85546875" style="42" bestFit="1" customWidth="1"/>
    <col min="6" max="7" width="12.7109375" style="42" bestFit="1" customWidth="1"/>
    <col min="8" max="8" width="12.7109375" style="42" customWidth="1"/>
    <col min="9" max="9" width="12.7109375" style="42" bestFit="1" customWidth="1"/>
    <col min="10" max="19" width="0" style="42" hidden="1"/>
  </cols>
  <sheetData>
    <row r="1" spans="1:18" s="13" customFormat="1" ht="12.75" customHeight="1" x14ac:dyDescent="0.3"/>
    <row r="2" spans="1:18" s="3" customFormat="1" ht="45" customHeight="1" x14ac:dyDescent="0.2">
      <c r="A2" s="207" t="s">
        <v>0</v>
      </c>
      <c r="B2" s="208"/>
      <c r="C2" s="208"/>
      <c r="D2" s="208"/>
      <c r="E2" s="208"/>
      <c r="F2" s="208"/>
      <c r="G2" s="208"/>
      <c r="H2" s="52"/>
    </row>
    <row r="3" spans="1:18" s="13" customFormat="1" ht="15" customHeight="1" x14ac:dyDescent="0.3"/>
    <row r="4" spans="1:18" s="13" customFormat="1" ht="15" customHeight="1" x14ac:dyDescent="0.3">
      <c r="A4" s="5" t="s">
        <v>1</v>
      </c>
      <c r="B4" s="7">
        <f>MAX('Revision History'!C:C)</f>
        <v>42656</v>
      </c>
      <c r="C4" s="7"/>
      <c r="D4" s="7"/>
    </row>
    <row r="5" spans="1:18" s="13" customFormat="1" ht="15" customHeight="1" x14ac:dyDescent="0.3">
      <c r="A5" s="5" t="s">
        <v>2</v>
      </c>
      <c r="B5" s="8">
        <f>LOOKUP(2,1/('Revision History'!B:B&lt;&gt;""),'Revision History'!B:B)</f>
        <v>13</v>
      </c>
      <c r="C5" s="8"/>
      <c r="D5" s="8"/>
    </row>
    <row r="6" spans="1:18" s="13" customFormat="1" ht="15" customHeight="1" x14ac:dyDescent="0.3">
      <c r="A6" s="5" t="s">
        <v>3</v>
      </c>
      <c r="B6" s="6" t="s">
        <v>4</v>
      </c>
      <c r="C6" s="6"/>
      <c r="D6" s="6"/>
    </row>
    <row r="7" spans="1:18" s="13" customFormat="1" ht="15" customHeight="1" x14ac:dyDescent="0.3">
      <c r="A7" s="5" t="s">
        <v>5</v>
      </c>
      <c r="B7" s="6" t="s">
        <v>6</v>
      </c>
      <c r="C7" s="6"/>
      <c r="D7" s="6"/>
    </row>
    <row r="8" spans="1:18" s="13" customFormat="1" ht="15" customHeight="1" x14ac:dyDescent="0.3">
      <c r="A8" s="5" t="s">
        <v>7</v>
      </c>
      <c r="B8" s="6" t="s">
        <v>8</v>
      </c>
      <c r="C8" s="6"/>
      <c r="D8" s="6"/>
    </row>
    <row r="9" spans="1:18" s="2" customFormat="1" ht="19.5" customHeight="1" x14ac:dyDescent="0.4">
      <c r="A9" s="5" t="s">
        <v>9</v>
      </c>
      <c r="B9" s="6" t="s">
        <v>10</v>
      </c>
    </row>
    <row r="10" spans="1:18" s="13" customFormat="1" ht="20.25" customHeight="1" thickBot="1" x14ac:dyDescent="0.45">
      <c r="A10" s="18" t="s">
        <v>11</v>
      </c>
      <c r="B10" s="18"/>
      <c r="C10" s="18"/>
    </row>
    <row r="11" spans="1:18" s="13" customFormat="1" ht="15.75" customHeight="1" thickBot="1" x14ac:dyDescent="0.35">
      <c r="A11" s="1"/>
      <c r="B11" s="1" t="s">
        <v>12</v>
      </c>
      <c r="C11" s="1" t="s">
        <v>888</v>
      </c>
    </row>
    <row r="12" spans="1:18" s="24" customFormat="1" ht="15" customHeight="1" x14ac:dyDescent="0.3">
      <c r="A12" s="14" t="s">
        <v>13</v>
      </c>
      <c r="B12" s="14">
        <v>37</v>
      </c>
      <c r="C12" s="14">
        <v>37</v>
      </c>
      <c r="J12" s="13"/>
      <c r="K12" s="13"/>
      <c r="L12" s="13"/>
    </row>
    <row r="13" spans="1:18" s="46" customFormat="1" ht="15" customHeight="1" x14ac:dyDescent="0.3">
      <c r="A13" s="45" t="s">
        <v>14</v>
      </c>
      <c r="B13" s="45" t="str">
        <f>Commercial!F569</f>
        <v>0x05012509</v>
      </c>
      <c r="C13" s="45" t="str">
        <f>Commercial_VoWiFi!$F$613</f>
        <v>0x05012522</v>
      </c>
      <c r="J13" s="31"/>
      <c r="K13" s="31"/>
      <c r="L13" s="31"/>
    </row>
    <row r="14" spans="1:18" s="24" customFormat="1" ht="15" customHeight="1" x14ac:dyDescent="0.3">
      <c r="A14" s="14" t="s">
        <v>15</v>
      </c>
      <c r="B14" s="14">
        <v>1</v>
      </c>
      <c r="C14" s="14">
        <v>1</v>
      </c>
      <c r="E14" s="13"/>
      <c r="F14" s="13"/>
      <c r="G14" s="13"/>
      <c r="H14" s="13"/>
      <c r="I14" s="13"/>
      <c r="J14" s="13"/>
      <c r="K14" s="13"/>
      <c r="L14" s="13"/>
    </row>
    <row r="15" spans="1:18" s="46" customFormat="1" ht="20.25" customHeight="1" thickBot="1" x14ac:dyDescent="0.45">
      <c r="A15" s="37" t="s">
        <v>16</v>
      </c>
      <c r="B15" s="37"/>
      <c r="C15" s="37"/>
      <c r="E15" s="13"/>
      <c r="F15" s="13"/>
      <c r="G15" s="13"/>
      <c r="H15" s="13"/>
      <c r="I15" s="13"/>
      <c r="J15" s="13"/>
      <c r="K15" s="13"/>
      <c r="L15" s="2"/>
    </row>
    <row r="16" spans="1:18" s="51" customFormat="1" ht="15" customHeight="1" x14ac:dyDescent="0.3">
      <c r="A16" s="39"/>
      <c r="B16" s="39"/>
      <c r="C16" s="39"/>
      <c r="D16" s="39"/>
      <c r="E16" s="39"/>
      <c r="F16" s="39"/>
      <c r="G16" s="39"/>
      <c r="H16" s="39"/>
      <c r="I16" s="39"/>
      <c r="K16" s="13"/>
      <c r="L16" s="13"/>
      <c r="M16" s="13"/>
      <c r="N16" s="13"/>
      <c r="O16" s="13"/>
      <c r="P16" s="13"/>
      <c r="Q16" s="13"/>
      <c r="R16" s="13"/>
    </row>
    <row r="17" spans="1:19" s="51" customFormat="1" ht="16.5" customHeight="1" x14ac:dyDescent="0.3">
      <c r="A17" s="39"/>
      <c r="F17" s="39"/>
      <c r="G17" s="39"/>
      <c r="H17" s="39"/>
      <c r="I17" s="39"/>
      <c r="K17" s="13"/>
      <c r="L17" s="13"/>
      <c r="M17" s="13"/>
      <c r="N17" s="13"/>
      <c r="O17" s="13"/>
      <c r="P17" s="13"/>
      <c r="Q17" s="13"/>
      <c r="R17" s="13"/>
    </row>
    <row r="18" spans="1:19" s="51" customFormat="1" ht="16.5" customHeight="1" x14ac:dyDescent="0.3">
      <c r="A18" s="39"/>
      <c r="B18" s="39"/>
      <c r="C18" s="39"/>
      <c r="D18" s="39"/>
      <c r="E18" s="39"/>
      <c r="F18" s="39"/>
      <c r="G18" s="39"/>
      <c r="H18" s="39"/>
      <c r="I18" s="39"/>
      <c r="J18" s="13"/>
      <c r="K18" s="13"/>
      <c r="L18" s="13"/>
      <c r="M18" s="24"/>
      <c r="N18" s="24"/>
      <c r="O18" s="13"/>
      <c r="P18" s="13"/>
      <c r="Q18" s="13"/>
      <c r="R18" s="24"/>
    </row>
    <row r="19" spans="1:19" s="24" customFormat="1" ht="19.5" customHeight="1" x14ac:dyDescent="0.4">
      <c r="A19"/>
      <c r="B19"/>
      <c r="C19"/>
      <c r="D19"/>
      <c r="E19"/>
      <c r="F19"/>
      <c r="J19" s="13"/>
      <c r="K19" s="13"/>
      <c r="L19" s="2"/>
      <c r="M19" s="46"/>
      <c r="N19" s="46"/>
      <c r="O19" s="2"/>
      <c r="P19" s="2"/>
      <c r="Q19" s="2"/>
    </row>
    <row r="20" spans="1:19" s="24" customFormat="1" ht="15" customHeight="1" x14ac:dyDescent="0.3">
      <c r="A20" s="4" t="s">
        <v>17</v>
      </c>
      <c r="B20" s="4"/>
      <c r="C20" s="4"/>
      <c r="D20" s="4"/>
      <c r="L20" s="13"/>
      <c r="O20" s="51"/>
      <c r="P20" s="13"/>
      <c r="Q20" s="13"/>
      <c r="R20" s="13"/>
      <c r="S20" s="51"/>
    </row>
    <row r="21" spans="1:19" s="24" customFormat="1" ht="15" customHeight="1" x14ac:dyDescent="0.3">
      <c r="A21"/>
      <c r="B21"/>
      <c r="C21"/>
      <c r="D21"/>
    </row>
    <row r="22" spans="1:19" s="24" customFormat="1" ht="15" customHeight="1" x14ac:dyDescent="0.3">
      <c r="A22"/>
      <c r="B22"/>
      <c r="C22"/>
      <c r="D22"/>
      <c r="E22"/>
      <c r="F22"/>
      <c r="G22"/>
      <c r="H22"/>
      <c r="I22"/>
      <c r="M22" s="46"/>
    </row>
    <row r="23" spans="1:19" s="24" customFormat="1" ht="19.5" customHeight="1" x14ac:dyDescent="0.4">
      <c r="A23"/>
      <c r="B23"/>
      <c r="C23"/>
      <c r="D23"/>
      <c r="E23"/>
      <c r="F23"/>
      <c r="G23"/>
      <c r="H23"/>
      <c r="I23"/>
      <c r="J23" s="46"/>
      <c r="K23" s="46"/>
      <c r="L23" s="13"/>
      <c r="M23" s="51"/>
      <c r="P23" s="2"/>
      <c r="Q23" s="2"/>
    </row>
    <row r="24" spans="1:19" s="24" customFormat="1" ht="15" customHeight="1" x14ac:dyDescent="0.3">
      <c r="A24"/>
      <c r="B24"/>
      <c r="C24"/>
      <c r="D24"/>
      <c r="E24"/>
      <c r="F24"/>
      <c r="G24"/>
      <c r="H24"/>
      <c r="I24"/>
      <c r="J24" s="13"/>
      <c r="K24" s="13"/>
      <c r="L24" s="13"/>
      <c r="M24" s="51"/>
      <c r="P24" s="13"/>
      <c r="Q24" s="13"/>
      <c r="R24" s="46"/>
    </row>
    <row r="25" spans="1:19" ht="15" customHeight="1" x14ac:dyDescent="0.3">
      <c r="J25" s="24"/>
      <c r="K25" s="24"/>
      <c r="L25" s="24"/>
      <c r="M25" s="24"/>
      <c r="N25" s="24"/>
      <c r="P25" s="13"/>
      <c r="Q25" s="13"/>
      <c r="R25" s="51"/>
    </row>
    <row r="26" spans="1:19" ht="15" customHeight="1" x14ac:dyDescent="0.3">
      <c r="J26" s="24"/>
      <c r="K26" s="24"/>
      <c r="L26" s="24"/>
      <c r="M26" s="24"/>
      <c r="N26" s="24"/>
    </row>
    <row r="27" spans="1:19" ht="19.5" customHeight="1" x14ac:dyDescent="0.4">
      <c r="J27" s="2"/>
      <c r="K27" s="2"/>
      <c r="L27" s="24"/>
      <c r="M27" s="24"/>
      <c r="N27" s="24"/>
    </row>
    <row r="28" spans="1:19" ht="15" customHeight="1" x14ac:dyDescent="0.3">
      <c r="J28" s="13"/>
      <c r="K28" s="13"/>
      <c r="L28" s="46"/>
      <c r="M28" s="24"/>
      <c r="N28" s="24"/>
    </row>
    <row r="29" spans="1:19" ht="15" customHeight="1" x14ac:dyDescent="0.3">
      <c r="J29" s="13"/>
      <c r="K29" s="13"/>
      <c r="L29" s="51"/>
      <c r="M29"/>
      <c r="N29"/>
    </row>
    <row r="30" spans="1:19" x14ac:dyDescent="0.2">
      <c r="J30"/>
      <c r="K30"/>
      <c r="L30"/>
      <c r="M30"/>
      <c r="N30"/>
    </row>
    <row r="44" spans="5:6" x14ac:dyDescent="0.2">
      <c r="E44"/>
      <c r="F44"/>
    </row>
    <row r="45" spans="5:6" x14ac:dyDescent="0.2">
      <c r="E45"/>
      <c r="F45"/>
    </row>
    <row r="46" spans="5:6" x14ac:dyDescent="0.2">
      <c r="E46"/>
      <c r="F46"/>
    </row>
  </sheetData>
  <mergeCells count="1">
    <mergeCell ref="A2:G2"/>
  </mergeCells>
  <hyperlinks>
    <hyperlink ref="B11" location="'Commercial'!A5" tooltip="Jump to worksheet" display="'Commercial'!A5"/>
    <hyperlink ref="C11" location="'Commercial_VoWiFi'!A5" tooltip="Jump to worksheet" display="'Commercial_VoWiFi'!A5"/>
  </hyperlink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7" r:id="rId4" name="keepBuildWindowOpen">
              <controlPr defaultSize="0" autoFill="0" autoLine="0" autoPict="0" altText="">
                <anchor moveWithCells="1">
                  <from>
                    <xdr:col>1</xdr:col>
                    <xdr:colOff>76200</xdr:colOff>
                    <xdr:row>19</xdr:row>
                    <xdr:rowOff>0</xdr:rowOff>
                  </from>
                  <to>
                    <xdr:col>1</xdr:col>
                    <xdr:colOff>257175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GenerateSources">
                <anchor moveWithCells="1">
                  <from>
                    <xdr:col>0</xdr:col>
                    <xdr:colOff>609600</xdr:colOff>
                    <xdr:row>21</xdr:row>
                    <xdr:rowOff>85725</xdr:rowOff>
                  </from>
                  <to>
                    <xdr:col>2</xdr:col>
                    <xdr:colOff>1276350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GenerateMBNs">
                <anchor moveWithCells="1">
                  <from>
                    <xdr:col>0</xdr:col>
                    <xdr:colOff>600075</xdr:colOff>
                    <xdr:row>25</xdr:row>
                    <xdr:rowOff>28575</xdr:rowOff>
                  </from>
                  <to>
                    <xdr:col>2</xdr:col>
                    <xdr:colOff>1266825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7" name="Button 50">
              <controlPr defaultSize="0" print="0" autoFill="0" autoPict="0" macro="[0]!SelAllCfgs">
                <anchor moveWithCells="1" sizeWithCells="1">
                  <from>
                    <xdr:col>0</xdr:col>
                    <xdr:colOff>542925</xdr:colOff>
                    <xdr:row>15</xdr:row>
                    <xdr:rowOff>28575</xdr:rowOff>
                  </from>
                  <to>
                    <xdr:col>0</xdr:col>
                    <xdr:colOff>1914525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8" name="Button 51">
              <controlPr defaultSize="0" print="0" autoFill="0" autoPict="0" macro="[0]!DeselAllCfgs">
                <anchor moveWithCells="1" sizeWithCells="1">
                  <from>
                    <xdr:col>0</xdr:col>
                    <xdr:colOff>552450</xdr:colOff>
                    <xdr:row>16</xdr:row>
                    <xdr:rowOff>57150</xdr:rowOff>
                  </from>
                  <to>
                    <xdr:col>0</xdr:col>
                    <xdr:colOff>1914525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9" name="Button 68">
              <controlPr defaultSize="0" print="0" autoFill="0" autoPict="0" macro="[0]!RefreshSummary">
                <anchor moveWithCells="1" sizeWithCells="1">
                  <from>
                    <xdr:col>0</xdr:col>
                    <xdr:colOff>542925</xdr:colOff>
                    <xdr:row>17</xdr:row>
                    <xdr:rowOff>85725</xdr:rowOff>
                  </from>
                  <to>
                    <xdr:col>0</xdr:col>
                    <xdr:colOff>1885950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0" name="Commercial">
              <controlPr defaultSize="0" autoFill="0" autoLine="0" autoPict="0">
                <anchor moveWithCells="1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1" name="Commercial_VoWiFi">
              <controlPr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J588"/>
  <sheetViews>
    <sheetView topLeftCell="E555" zoomScale="80" zoomScaleNormal="80" workbookViewId="0">
      <selection activeCell="B1" sqref="B1"/>
    </sheetView>
  </sheetViews>
  <sheetFormatPr defaultColWidth="11.42578125" defaultRowHeight="12.75" x14ac:dyDescent="0.2"/>
  <cols>
    <col min="1" max="1" width="43.85546875" style="42" customWidth="1"/>
    <col min="2" max="2" width="20.5703125" style="42" customWidth="1"/>
    <col min="3" max="3" width="13.7109375" style="42" customWidth="1"/>
    <col min="4" max="4" width="12.7109375" style="42" customWidth="1"/>
    <col min="5" max="5" width="41.140625" style="42" customWidth="1"/>
    <col min="6" max="6" width="46.5703125" style="43" customWidth="1"/>
    <col min="7" max="7" width="11.42578125" style="42" bestFit="1" customWidth="1"/>
    <col min="8" max="8" width="56.85546875" style="9" customWidth="1"/>
    <col min="9" max="9" width="49.7109375" style="42" customWidth="1"/>
    <col min="10" max="10" width="0" style="42" hidden="1"/>
  </cols>
  <sheetData>
    <row r="1" spans="1:10" s="50" customFormat="1" x14ac:dyDescent="0.2">
      <c r="A1"/>
      <c r="F1" s="41"/>
      <c r="H1" s="32"/>
    </row>
    <row r="2" spans="1:10" s="36" customFormat="1" ht="27.75" customHeight="1" x14ac:dyDescent="0.55000000000000004">
      <c r="A2" s="209" t="s">
        <v>18</v>
      </c>
      <c r="B2" s="210"/>
      <c r="C2" s="210"/>
      <c r="D2" s="210"/>
      <c r="E2" s="210"/>
      <c r="F2" s="210"/>
      <c r="G2" s="210"/>
      <c r="H2" s="210"/>
      <c r="I2" s="210"/>
    </row>
    <row r="3" spans="1:10" s="50" customFormat="1" ht="13.5" customHeight="1" thickBot="1" x14ac:dyDescent="0.25">
      <c r="F3" s="41"/>
      <c r="H3" s="32"/>
    </row>
    <row r="4" spans="1:10" s="29" customFormat="1" ht="20.25" customHeight="1" thickBot="1" x14ac:dyDescent="0.45">
      <c r="A4" s="211" t="s">
        <v>19</v>
      </c>
      <c r="B4" s="212"/>
      <c r="C4" s="212"/>
      <c r="D4" s="212"/>
      <c r="E4" s="212"/>
      <c r="F4" s="212"/>
      <c r="G4" s="212"/>
      <c r="H4" s="212"/>
    </row>
    <row r="5" spans="1:10" s="31" customFormat="1" ht="15.75" customHeight="1" thickBot="1" x14ac:dyDescent="0.35">
      <c r="A5" s="30" t="s">
        <v>20</v>
      </c>
      <c r="B5" s="34" t="s">
        <v>21</v>
      </c>
      <c r="C5" s="30" t="s">
        <v>22</v>
      </c>
      <c r="D5" s="30" t="s">
        <v>23</v>
      </c>
      <c r="E5" s="30" t="s">
        <v>24</v>
      </c>
      <c r="F5" s="30" t="s">
        <v>25</v>
      </c>
      <c r="G5" s="33" t="s">
        <v>26</v>
      </c>
      <c r="H5" s="35" t="s">
        <v>27</v>
      </c>
    </row>
    <row r="6" spans="1:10" s="46" customFormat="1" ht="17.25" customHeight="1" x14ac:dyDescent="0.35">
      <c r="A6" s="87" t="s">
        <v>28</v>
      </c>
      <c r="B6" s="88">
        <v>71</v>
      </c>
      <c r="C6" s="88"/>
      <c r="D6" s="88"/>
      <c r="E6" s="89" t="s">
        <v>29</v>
      </c>
      <c r="F6" s="88"/>
      <c r="G6" s="88" t="s">
        <v>30</v>
      </c>
      <c r="H6" s="90" t="s">
        <v>31</v>
      </c>
      <c r="I6" s="53"/>
    </row>
    <row r="7" spans="1:10" s="46" customFormat="1" ht="17.25" customHeight="1" x14ac:dyDescent="0.35">
      <c r="A7" s="91"/>
      <c r="B7" s="83"/>
      <c r="C7" s="83" t="s">
        <v>32</v>
      </c>
      <c r="D7" s="83">
        <v>13</v>
      </c>
      <c r="E7" s="82" t="s">
        <v>33</v>
      </c>
      <c r="F7" s="83" t="s">
        <v>10</v>
      </c>
      <c r="G7" s="83"/>
      <c r="H7" s="84" t="s">
        <v>34</v>
      </c>
      <c r="I7" s="53"/>
    </row>
    <row r="8" spans="1:10" s="50" customFormat="1" ht="17.25" customHeight="1" x14ac:dyDescent="0.35">
      <c r="A8" s="91" t="s">
        <v>35</v>
      </c>
      <c r="B8" s="83">
        <v>285</v>
      </c>
      <c r="C8" s="83"/>
      <c r="D8" s="83"/>
      <c r="E8" s="82" t="s">
        <v>36</v>
      </c>
      <c r="F8" s="83"/>
      <c r="G8" s="83" t="s">
        <v>37</v>
      </c>
      <c r="H8" s="84"/>
      <c r="I8" s="54"/>
      <c r="J8" s="44"/>
    </row>
    <row r="9" spans="1:10" s="50" customFormat="1" ht="17.25" customHeight="1" x14ac:dyDescent="0.35">
      <c r="A9" s="91"/>
      <c r="B9" s="83"/>
      <c r="C9" s="83" t="s">
        <v>38</v>
      </c>
      <c r="D9" s="83">
        <v>1</v>
      </c>
      <c r="E9" s="82" t="s">
        <v>39</v>
      </c>
      <c r="F9" s="83">
        <v>0</v>
      </c>
      <c r="G9" s="83"/>
      <c r="H9" s="84"/>
      <c r="I9" s="54"/>
      <c r="J9" s="44"/>
    </row>
    <row r="10" spans="1:10" s="50" customFormat="1" ht="17.25" customHeight="1" x14ac:dyDescent="0.35">
      <c r="A10" s="91"/>
      <c r="B10" s="83"/>
      <c r="C10" s="83" t="s">
        <v>38</v>
      </c>
      <c r="D10" s="83">
        <v>1</v>
      </c>
      <c r="E10" s="82" t="s">
        <v>40</v>
      </c>
      <c r="F10" s="83">
        <v>1</v>
      </c>
      <c r="G10" s="83"/>
      <c r="H10" s="84"/>
      <c r="I10" s="54"/>
      <c r="J10" s="44"/>
    </row>
    <row r="11" spans="1:10" s="50" customFormat="1" ht="17.25" customHeight="1" x14ac:dyDescent="0.35">
      <c r="A11" s="91"/>
      <c r="B11" s="83"/>
      <c r="C11" s="83" t="s">
        <v>38</v>
      </c>
      <c r="D11" s="83">
        <v>2</v>
      </c>
      <c r="E11" s="82" t="s">
        <v>41</v>
      </c>
      <c r="F11" s="83">
        <v>3</v>
      </c>
      <c r="G11" s="83"/>
      <c r="H11" s="84"/>
      <c r="I11" s="54"/>
      <c r="J11" s="44"/>
    </row>
    <row r="12" spans="1:10" s="50" customFormat="1" ht="17.25" customHeight="1" x14ac:dyDescent="0.35">
      <c r="A12" s="91"/>
      <c r="B12" s="83"/>
      <c r="C12" s="83" t="s">
        <v>38</v>
      </c>
      <c r="D12" s="83">
        <v>2</v>
      </c>
      <c r="E12" s="82" t="s">
        <v>42</v>
      </c>
      <c r="F12" s="83">
        <v>3</v>
      </c>
      <c r="G12" s="83"/>
      <c r="H12" s="84"/>
      <c r="I12" s="54"/>
      <c r="J12" s="44"/>
    </row>
    <row r="13" spans="1:10" s="50" customFormat="1" ht="17.25" customHeight="1" x14ac:dyDescent="0.35">
      <c r="A13" s="91"/>
      <c r="B13" s="83"/>
      <c r="C13" s="83" t="s">
        <v>38</v>
      </c>
      <c r="D13" s="83">
        <v>2</v>
      </c>
      <c r="E13" s="82" t="s">
        <v>43</v>
      </c>
      <c r="F13" s="83">
        <v>3</v>
      </c>
      <c r="G13" s="83"/>
      <c r="H13" s="84"/>
      <c r="I13" s="54"/>
      <c r="J13" s="44"/>
    </row>
    <row r="14" spans="1:10" s="50" customFormat="1" ht="17.25" customHeight="1" x14ac:dyDescent="0.35">
      <c r="A14" s="91" t="s">
        <v>668</v>
      </c>
      <c r="B14" s="92">
        <v>818</v>
      </c>
      <c r="C14" s="83" t="s">
        <v>38</v>
      </c>
      <c r="D14" s="83">
        <v>1</v>
      </c>
      <c r="E14" s="82" t="s">
        <v>667</v>
      </c>
      <c r="F14" s="83">
        <v>0</v>
      </c>
      <c r="G14" s="83" t="s">
        <v>30</v>
      </c>
      <c r="H14" s="84"/>
      <c r="I14" s="54"/>
      <c r="J14" s="44"/>
    </row>
    <row r="15" spans="1:10" s="50" customFormat="1" ht="17.25" customHeight="1" x14ac:dyDescent="0.35">
      <c r="A15" s="91" t="s">
        <v>669</v>
      </c>
      <c r="B15" s="92">
        <v>1018</v>
      </c>
      <c r="C15" s="83" t="s">
        <v>38</v>
      </c>
      <c r="D15" s="83">
        <v>1</v>
      </c>
      <c r="E15" s="82" t="s">
        <v>670</v>
      </c>
      <c r="F15" s="83">
        <v>0</v>
      </c>
      <c r="G15" s="83" t="s">
        <v>30</v>
      </c>
      <c r="H15" s="84"/>
      <c r="I15" s="54"/>
      <c r="J15" s="44"/>
    </row>
    <row r="16" spans="1:10" s="50" customFormat="1" ht="17.25" customHeight="1" x14ac:dyDescent="0.35">
      <c r="A16" s="91" t="s">
        <v>671</v>
      </c>
      <c r="B16" s="92">
        <v>6862</v>
      </c>
      <c r="C16" s="83" t="s">
        <v>38</v>
      </c>
      <c r="D16" s="83">
        <v>1</v>
      </c>
      <c r="E16" s="82" t="s">
        <v>672</v>
      </c>
      <c r="F16" s="83">
        <v>1</v>
      </c>
      <c r="G16" s="83" t="s">
        <v>30</v>
      </c>
      <c r="H16" s="84"/>
      <c r="I16" s="54"/>
      <c r="J16" s="44"/>
    </row>
    <row r="17" spans="1:10" s="50" customFormat="1" ht="17.25" customHeight="1" x14ac:dyDescent="0.35">
      <c r="A17" s="91" t="s">
        <v>673</v>
      </c>
      <c r="B17" s="92">
        <v>6832</v>
      </c>
      <c r="C17" s="83" t="s">
        <v>38</v>
      </c>
      <c r="D17" s="83">
        <v>1</v>
      </c>
      <c r="E17" s="82" t="s">
        <v>674</v>
      </c>
      <c r="F17" s="83">
        <v>0</v>
      </c>
      <c r="G17" s="83" t="s">
        <v>30</v>
      </c>
      <c r="H17" s="84"/>
      <c r="I17" s="54"/>
      <c r="J17" s="44"/>
    </row>
    <row r="18" spans="1:10" s="50" customFormat="1" ht="17.25" customHeight="1" x14ac:dyDescent="0.35">
      <c r="A18" s="91" t="s">
        <v>675</v>
      </c>
      <c r="B18" s="92">
        <v>4528</v>
      </c>
      <c r="C18" s="83" t="s">
        <v>38</v>
      </c>
      <c r="D18" s="83">
        <v>1</v>
      </c>
      <c r="E18" s="82" t="s">
        <v>676</v>
      </c>
      <c r="F18" s="83">
        <v>1</v>
      </c>
      <c r="G18" s="83" t="s">
        <v>30</v>
      </c>
      <c r="H18" s="84"/>
      <c r="I18" s="54"/>
      <c r="J18" s="44"/>
    </row>
    <row r="19" spans="1:10" s="50" customFormat="1" ht="17.25" customHeight="1" x14ac:dyDescent="0.35">
      <c r="A19" s="91" t="s">
        <v>681</v>
      </c>
      <c r="B19" s="92">
        <v>4204</v>
      </c>
      <c r="C19" s="83" t="s">
        <v>38</v>
      </c>
      <c r="D19" s="83">
        <v>1</v>
      </c>
      <c r="E19" s="82" t="s">
        <v>682</v>
      </c>
      <c r="F19" s="83">
        <v>0</v>
      </c>
      <c r="G19" s="83" t="s">
        <v>30</v>
      </c>
      <c r="H19" s="84"/>
      <c r="I19" s="54"/>
      <c r="J19" s="44"/>
    </row>
    <row r="20" spans="1:10" s="50" customFormat="1" ht="17.25" customHeight="1" x14ac:dyDescent="0.35">
      <c r="A20" s="91" t="s">
        <v>680</v>
      </c>
      <c r="B20" s="92">
        <v>4964</v>
      </c>
      <c r="C20" s="83" t="s">
        <v>38</v>
      </c>
      <c r="D20" s="83">
        <v>2</v>
      </c>
      <c r="E20" s="82" t="s">
        <v>679</v>
      </c>
      <c r="F20" s="83">
        <v>4</v>
      </c>
      <c r="G20" s="83" t="s">
        <v>30</v>
      </c>
      <c r="H20" s="84"/>
      <c r="I20" s="54"/>
      <c r="J20" s="44"/>
    </row>
    <row r="21" spans="1:10" s="50" customFormat="1" ht="17.25" customHeight="1" x14ac:dyDescent="0.35">
      <c r="A21" s="91" t="s">
        <v>677</v>
      </c>
      <c r="B21" s="92">
        <v>6248</v>
      </c>
      <c r="C21" s="83" t="s">
        <v>38</v>
      </c>
      <c r="D21" s="83">
        <v>1</v>
      </c>
      <c r="E21" s="82" t="s">
        <v>678</v>
      </c>
      <c r="F21" s="83">
        <v>1</v>
      </c>
      <c r="G21" s="83" t="s">
        <v>30</v>
      </c>
      <c r="H21" s="84"/>
      <c r="I21" s="54"/>
      <c r="J21" s="44"/>
    </row>
    <row r="22" spans="1:10" s="46" customFormat="1" ht="17.25" customHeight="1" x14ac:dyDescent="0.35">
      <c r="A22" s="91" t="s">
        <v>44</v>
      </c>
      <c r="B22" s="83">
        <v>4102</v>
      </c>
      <c r="C22" s="83" t="s">
        <v>38</v>
      </c>
      <c r="D22" s="83">
        <v>1</v>
      </c>
      <c r="E22" s="82" t="s">
        <v>45</v>
      </c>
      <c r="F22" s="83">
        <v>1</v>
      </c>
      <c r="G22" s="83" t="s">
        <v>30</v>
      </c>
      <c r="H22" s="84"/>
      <c r="I22" s="53"/>
    </row>
    <row r="23" spans="1:10" s="46" customFormat="1" ht="17.25" customHeight="1" x14ac:dyDescent="0.35">
      <c r="A23" s="91" t="s">
        <v>46</v>
      </c>
      <c r="B23" s="83">
        <v>7166</v>
      </c>
      <c r="C23" s="83" t="s">
        <v>38</v>
      </c>
      <c r="D23" s="83">
        <v>1</v>
      </c>
      <c r="E23" s="82" t="s">
        <v>47</v>
      </c>
      <c r="F23" s="83">
        <v>1</v>
      </c>
      <c r="G23" s="83" t="s">
        <v>30</v>
      </c>
      <c r="H23" s="84"/>
      <c r="I23" s="53"/>
    </row>
    <row r="24" spans="1:10" s="46" customFormat="1" ht="51.75" customHeight="1" x14ac:dyDescent="0.35">
      <c r="A24" s="91" t="s">
        <v>48</v>
      </c>
      <c r="B24" s="83">
        <v>1030</v>
      </c>
      <c r="C24" s="83" t="s">
        <v>38</v>
      </c>
      <c r="D24" s="83">
        <v>1</v>
      </c>
      <c r="E24" s="82" t="s">
        <v>49</v>
      </c>
      <c r="F24" s="83" t="s">
        <v>50</v>
      </c>
      <c r="G24" s="83" t="s">
        <v>30</v>
      </c>
      <c r="H24" s="84" t="s">
        <v>51</v>
      </c>
      <c r="I24" s="53"/>
    </row>
    <row r="25" spans="1:10" s="46" customFormat="1" ht="51.75" customHeight="1" x14ac:dyDescent="0.35">
      <c r="A25" s="91" t="s">
        <v>52</v>
      </c>
      <c r="B25" s="83">
        <v>1031</v>
      </c>
      <c r="C25" s="83" t="s">
        <v>38</v>
      </c>
      <c r="D25" s="83">
        <v>1</v>
      </c>
      <c r="E25" s="82" t="s">
        <v>53</v>
      </c>
      <c r="F25" s="83" t="s">
        <v>50</v>
      </c>
      <c r="G25" s="83" t="s">
        <v>30</v>
      </c>
      <c r="H25" s="84" t="s">
        <v>54</v>
      </c>
      <c r="I25" s="53"/>
    </row>
    <row r="26" spans="1:10" s="46" customFormat="1" ht="17.25" customHeight="1" x14ac:dyDescent="0.35">
      <c r="A26" s="91" t="s">
        <v>55</v>
      </c>
      <c r="B26" s="83">
        <v>4627</v>
      </c>
      <c r="C26" s="83" t="s">
        <v>38</v>
      </c>
      <c r="D26" s="83">
        <v>1</v>
      </c>
      <c r="E26" s="82" t="s">
        <v>56</v>
      </c>
      <c r="F26" s="83">
        <v>1</v>
      </c>
      <c r="G26" s="83" t="s">
        <v>30</v>
      </c>
      <c r="H26" s="84" t="s">
        <v>55</v>
      </c>
      <c r="I26" s="53"/>
    </row>
    <row r="27" spans="1:10" s="46" customFormat="1" ht="17.25" customHeight="1" x14ac:dyDescent="0.35">
      <c r="A27" s="91" t="s">
        <v>57</v>
      </c>
      <c r="B27" s="83">
        <v>4628</v>
      </c>
      <c r="C27" s="83" t="s">
        <v>38</v>
      </c>
      <c r="D27" s="83">
        <v>2</v>
      </c>
      <c r="E27" s="82" t="s">
        <v>58</v>
      </c>
      <c r="F27" s="83">
        <v>72</v>
      </c>
      <c r="G27" s="83" t="s">
        <v>30</v>
      </c>
      <c r="H27" s="84" t="s">
        <v>57</v>
      </c>
      <c r="I27" s="53"/>
    </row>
    <row r="28" spans="1:10" s="46" customFormat="1" ht="17.25" customHeight="1" x14ac:dyDescent="0.35">
      <c r="A28" s="91" t="s">
        <v>59</v>
      </c>
      <c r="B28" s="83">
        <v>4631</v>
      </c>
      <c r="C28" s="83" t="s">
        <v>38</v>
      </c>
      <c r="D28" s="83">
        <v>1</v>
      </c>
      <c r="E28" s="82" t="s">
        <v>60</v>
      </c>
      <c r="F28" s="83">
        <v>1</v>
      </c>
      <c r="G28" s="83" t="s">
        <v>30</v>
      </c>
      <c r="H28" s="84" t="s">
        <v>59</v>
      </c>
      <c r="I28" s="53"/>
    </row>
    <row r="29" spans="1:10" s="46" customFormat="1" ht="51.75" customHeight="1" x14ac:dyDescent="0.35">
      <c r="A29" s="91" t="s">
        <v>61</v>
      </c>
      <c r="B29" s="83">
        <v>1920</v>
      </c>
      <c r="C29" s="83" t="s">
        <v>38</v>
      </c>
      <c r="D29" s="83">
        <v>4</v>
      </c>
      <c r="E29" s="82" t="s">
        <v>62</v>
      </c>
      <c r="F29" s="83">
        <v>7</v>
      </c>
      <c r="G29" s="83" t="s">
        <v>30</v>
      </c>
      <c r="H29" s="84" t="s">
        <v>63</v>
      </c>
      <c r="I29" s="53"/>
    </row>
    <row r="30" spans="1:10" s="72" customFormat="1" ht="17.25" customHeight="1" x14ac:dyDescent="0.35">
      <c r="A30" s="91" t="s">
        <v>64</v>
      </c>
      <c r="B30" s="85">
        <v>240</v>
      </c>
      <c r="C30" s="85" t="s">
        <v>38</v>
      </c>
      <c r="D30" s="85">
        <v>1</v>
      </c>
      <c r="E30" s="82" t="s">
        <v>65</v>
      </c>
      <c r="F30" s="85">
        <v>0</v>
      </c>
      <c r="G30" s="85" t="s">
        <v>30</v>
      </c>
      <c r="H30" s="84" t="s">
        <v>66</v>
      </c>
    </row>
    <row r="31" spans="1:10" s="72" customFormat="1" ht="17.25" customHeight="1" x14ac:dyDescent="0.35">
      <c r="A31" s="91" t="s">
        <v>67</v>
      </c>
      <c r="B31" s="85">
        <v>4960</v>
      </c>
      <c r="C31" s="85" t="s">
        <v>38</v>
      </c>
      <c r="D31" s="85">
        <v>1</v>
      </c>
      <c r="E31" s="82" t="s">
        <v>68</v>
      </c>
      <c r="F31" s="85">
        <v>1</v>
      </c>
      <c r="G31" s="85" t="s">
        <v>30</v>
      </c>
      <c r="H31" s="84"/>
    </row>
    <row r="32" spans="1:10" s="73" customFormat="1" ht="17.25" customHeight="1" x14ac:dyDescent="0.35">
      <c r="A32" s="91" t="s">
        <v>69</v>
      </c>
      <c r="B32" s="85">
        <v>848</v>
      </c>
      <c r="C32" s="85"/>
      <c r="D32" s="85"/>
      <c r="E32" s="82"/>
      <c r="F32" s="85"/>
      <c r="G32" s="85" t="s">
        <v>37</v>
      </c>
      <c r="H32" s="93"/>
    </row>
    <row r="33" spans="1:8" s="73" customFormat="1" ht="17.25" customHeight="1" x14ac:dyDescent="0.35">
      <c r="A33" s="91"/>
      <c r="B33" s="85"/>
      <c r="C33" s="85" t="s">
        <v>38</v>
      </c>
      <c r="D33" s="85">
        <v>1</v>
      </c>
      <c r="E33" s="82" t="s">
        <v>39</v>
      </c>
      <c r="F33" s="85">
        <v>0</v>
      </c>
      <c r="G33" s="85"/>
      <c r="H33" s="93"/>
    </row>
    <row r="34" spans="1:8" s="73" customFormat="1" ht="47.25" customHeight="1" x14ac:dyDescent="0.35">
      <c r="A34" s="91"/>
      <c r="B34" s="85"/>
      <c r="C34" s="85" t="s">
        <v>38</v>
      </c>
      <c r="D34" s="85">
        <v>2</v>
      </c>
      <c r="E34" s="82" t="s">
        <v>70</v>
      </c>
      <c r="F34" s="85">
        <v>0</v>
      </c>
      <c r="G34" s="85"/>
      <c r="H34" s="93" t="s">
        <v>71</v>
      </c>
    </row>
    <row r="35" spans="1:8" s="73" customFormat="1" ht="17.25" customHeight="1" x14ac:dyDescent="0.35">
      <c r="A35" s="91" t="s">
        <v>72</v>
      </c>
      <c r="B35" s="85">
        <v>849</v>
      </c>
      <c r="C35" s="85"/>
      <c r="D35" s="85"/>
      <c r="E35" s="82"/>
      <c r="F35" s="85"/>
      <c r="G35" s="85" t="s">
        <v>37</v>
      </c>
      <c r="H35" s="93"/>
    </row>
    <row r="36" spans="1:8" s="73" customFormat="1" ht="17.25" customHeight="1" x14ac:dyDescent="0.35">
      <c r="A36" s="91"/>
      <c r="B36" s="85"/>
      <c r="C36" s="85" t="s">
        <v>38</v>
      </c>
      <c r="D36" s="85">
        <v>1</v>
      </c>
      <c r="E36" s="82" t="s">
        <v>39</v>
      </c>
      <c r="F36" s="85">
        <v>0</v>
      </c>
      <c r="G36" s="85"/>
      <c r="H36" s="93"/>
    </row>
    <row r="37" spans="1:8" s="73" customFormat="1" ht="31.5" customHeight="1" x14ac:dyDescent="0.35">
      <c r="A37" s="91"/>
      <c r="B37" s="85"/>
      <c r="C37" s="85" t="s">
        <v>38</v>
      </c>
      <c r="D37" s="85">
        <v>2</v>
      </c>
      <c r="E37" s="82" t="s">
        <v>73</v>
      </c>
      <c r="F37" s="85">
        <v>0</v>
      </c>
      <c r="G37" s="85"/>
      <c r="H37" s="93" t="s">
        <v>74</v>
      </c>
    </row>
    <row r="38" spans="1:8" s="73" customFormat="1" ht="17.25" customHeight="1" x14ac:dyDescent="0.35">
      <c r="A38" s="91" t="s">
        <v>78</v>
      </c>
      <c r="B38" s="85">
        <v>880</v>
      </c>
      <c r="C38" s="85" t="s">
        <v>38</v>
      </c>
      <c r="D38" s="85">
        <v>1</v>
      </c>
      <c r="E38" s="82" t="s">
        <v>79</v>
      </c>
      <c r="F38" s="85">
        <v>1</v>
      </c>
      <c r="G38" s="85" t="s">
        <v>30</v>
      </c>
      <c r="H38" s="93"/>
    </row>
    <row r="39" spans="1:8" s="73" customFormat="1" ht="17.25" customHeight="1" x14ac:dyDescent="0.35">
      <c r="A39" s="91" t="s">
        <v>80</v>
      </c>
      <c r="B39" s="85">
        <v>881</v>
      </c>
      <c r="C39" s="85" t="s">
        <v>38</v>
      </c>
      <c r="D39" s="85">
        <v>1</v>
      </c>
      <c r="E39" s="82" t="s">
        <v>81</v>
      </c>
      <c r="F39" s="85">
        <v>1</v>
      </c>
      <c r="G39" s="85" t="s">
        <v>30</v>
      </c>
      <c r="H39" s="93"/>
    </row>
    <row r="40" spans="1:8" s="73" customFormat="1" ht="17.25" customHeight="1" x14ac:dyDescent="0.35">
      <c r="A40" s="91" t="s">
        <v>82</v>
      </c>
      <c r="B40" s="85">
        <v>882</v>
      </c>
      <c r="C40" s="85" t="s">
        <v>38</v>
      </c>
      <c r="D40" s="85">
        <v>1</v>
      </c>
      <c r="E40" s="82" t="s">
        <v>83</v>
      </c>
      <c r="F40" s="85">
        <v>0</v>
      </c>
      <c r="G40" s="85" t="s">
        <v>30</v>
      </c>
      <c r="H40" s="93"/>
    </row>
    <row r="41" spans="1:8" s="73" customFormat="1" ht="47.25" customHeight="1" x14ac:dyDescent="0.35">
      <c r="A41" s="91" t="s">
        <v>84</v>
      </c>
      <c r="B41" s="85">
        <v>909</v>
      </c>
      <c r="C41" s="85" t="s">
        <v>38</v>
      </c>
      <c r="D41" s="85">
        <v>1</v>
      </c>
      <c r="E41" s="82" t="s">
        <v>85</v>
      </c>
      <c r="F41" s="85">
        <v>2</v>
      </c>
      <c r="G41" s="85" t="s">
        <v>30</v>
      </c>
      <c r="H41" s="93" t="s">
        <v>86</v>
      </c>
    </row>
    <row r="42" spans="1:8" s="73" customFormat="1" ht="47.25" customHeight="1" x14ac:dyDescent="0.35">
      <c r="A42" s="91" t="s">
        <v>87</v>
      </c>
      <c r="B42" s="85">
        <v>1016</v>
      </c>
      <c r="C42" s="85" t="s">
        <v>38</v>
      </c>
      <c r="D42" s="85">
        <v>1</v>
      </c>
      <c r="E42" s="82" t="s">
        <v>88</v>
      </c>
      <c r="F42" s="85">
        <v>1</v>
      </c>
      <c r="G42" s="85" t="s">
        <v>30</v>
      </c>
      <c r="H42" s="93" t="s">
        <v>89</v>
      </c>
    </row>
    <row r="43" spans="1:8" s="73" customFormat="1" ht="47.25" customHeight="1" x14ac:dyDescent="0.35">
      <c r="A43" s="91" t="s">
        <v>90</v>
      </c>
      <c r="B43" s="85">
        <v>1017</v>
      </c>
      <c r="C43" s="85" t="s">
        <v>38</v>
      </c>
      <c r="D43" s="85">
        <v>1</v>
      </c>
      <c r="E43" s="82" t="s">
        <v>91</v>
      </c>
      <c r="F43" s="85">
        <v>2</v>
      </c>
      <c r="G43" s="85" t="s">
        <v>30</v>
      </c>
      <c r="H43" s="93" t="s">
        <v>92</v>
      </c>
    </row>
    <row r="44" spans="1:8" s="73" customFormat="1" ht="17.25" customHeight="1" x14ac:dyDescent="0.35">
      <c r="A44" s="91" t="s">
        <v>93</v>
      </c>
      <c r="B44" s="85">
        <v>1918</v>
      </c>
      <c r="C44" s="85" t="s">
        <v>38</v>
      </c>
      <c r="D44" s="85">
        <v>4</v>
      </c>
      <c r="E44" s="82" t="s">
        <v>94</v>
      </c>
      <c r="F44" s="85">
        <v>64</v>
      </c>
      <c r="G44" s="85" t="s">
        <v>30</v>
      </c>
      <c r="H44" s="93"/>
    </row>
    <row r="45" spans="1:8" s="73" customFormat="1" ht="31.5" customHeight="1" x14ac:dyDescent="0.35">
      <c r="A45" s="91" t="s">
        <v>61</v>
      </c>
      <c r="B45" s="85">
        <v>1920</v>
      </c>
      <c r="C45" s="85" t="s">
        <v>38</v>
      </c>
      <c r="D45" s="85">
        <v>4</v>
      </c>
      <c r="E45" s="82" t="s">
        <v>62</v>
      </c>
      <c r="F45" s="85" t="s">
        <v>95</v>
      </c>
      <c r="G45" s="85" t="s">
        <v>30</v>
      </c>
      <c r="H45" s="93" t="s">
        <v>63</v>
      </c>
    </row>
    <row r="46" spans="1:8" s="73" customFormat="1" ht="17.25" customHeight="1" x14ac:dyDescent="0.35">
      <c r="A46" s="91" t="s">
        <v>96</v>
      </c>
      <c r="B46" s="85">
        <v>3006</v>
      </c>
      <c r="C46" s="85" t="s">
        <v>38</v>
      </c>
      <c r="D46" s="85">
        <v>2</v>
      </c>
      <c r="E46" s="82" t="s">
        <v>97</v>
      </c>
      <c r="F46" s="85">
        <v>23</v>
      </c>
      <c r="G46" s="85" t="s">
        <v>30</v>
      </c>
      <c r="H46" s="93"/>
    </row>
    <row r="47" spans="1:8" s="73" customFormat="1" ht="17.25" customHeight="1" x14ac:dyDescent="0.35">
      <c r="A47" s="91" t="s">
        <v>98</v>
      </c>
      <c r="B47" s="85">
        <v>3532</v>
      </c>
      <c r="C47" s="85" t="s">
        <v>38</v>
      </c>
      <c r="D47" s="85">
        <v>1</v>
      </c>
      <c r="E47" s="82" t="s">
        <v>99</v>
      </c>
      <c r="F47" s="85">
        <v>180</v>
      </c>
      <c r="G47" s="85" t="s">
        <v>30</v>
      </c>
      <c r="H47" s="93" t="s">
        <v>31</v>
      </c>
    </row>
    <row r="48" spans="1:8" s="73" customFormat="1" ht="17.25" customHeight="1" x14ac:dyDescent="0.35">
      <c r="A48" s="91" t="s">
        <v>100</v>
      </c>
      <c r="B48" s="85">
        <v>3533</v>
      </c>
      <c r="C48" s="85" t="s">
        <v>38</v>
      </c>
      <c r="D48" s="85">
        <v>1</v>
      </c>
      <c r="E48" s="82" t="s">
        <v>101</v>
      </c>
      <c r="F48" s="85">
        <v>45</v>
      </c>
      <c r="G48" s="85" t="s">
        <v>30</v>
      </c>
      <c r="H48" s="93" t="s">
        <v>31</v>
      </c>
    </row>
    <row r="49" spans="1:8" s="73" customFormat="1" ht="17.25" customHeight="1" x14ac:dyDescent="0.35">
      <c r="A49" s="91" t="s">
        <v>102</v>
      </c>
      <c r="B49" s="85">
        <v>6850</v>
      </c>
      <c r="C49" s="85" t="s">
        <v>38</v>
      </c>
      <c r="D49" s="85">
        <v>1</v>
      </c>
      <c r="E49" s="82" t="s">
        <v>103</v>
      </c>
      <c r="F49" s="85">
        <v>5</v>
      </c>
      <c r="G49" s="85" t="s">
        <v>30</v>
      </c>
      <c r="H49" s="93"/>
    </row>
    <row r="50" spans="1:8" s="72" customFormat="1" ht="69" customHeight="1" x14ac:dyDescent="0.35">
      <c r="A50" s="91" t="s">
        <v>104</v>
      </c>
      <c r="B50" s="85">
        <v>4722</v>
      </c>
      <c r="C50" s="85" t="s">
        <v>38</v>
      </c>
      <c r="D50" s="85">
        <v>1</v>
      </c>
      <c r="E50" s="82" t="s">
        <v>105</v>
      </c>
      <c r="F50" s="85">
        <v>3</v>
      </c>
      <c r="G50" s="85" t="s">
        <v>30</v>
      </c>
      <c r="H50" s="84" t="s">
        <v>106</v>
      </c>
    </row>
    <row r="51" spans="1:8" s="73" customFormat="1" ht="17.25" customHeight="1" x14ac:dyDescent="0.35">
      <c r="A51" s="91" t="s">
        <v>107</v>
      </c>
      <c r="B51" s="85">
        <v>10</v>
      </c>
      <c r="C51" s="85"/>
      <c r="D51" s="85"/>
      <c r="E51" s="82" t="s">
        <v>108</v>
      </c>
      <c r="F51" s="85"/>
      <c r="G51" s="85" t="s">
        <v>714</v>
      </c>
      <c r="H51" s="93" t="s">
        <v>31</v>
      </c>
    </row>
    <row r="52" spans="1:8" s="73" customFormat="1" ht="17.25" customHeight="1" x14ac:dyDescent="0.35">
      <c r="A52" s="91"/>
      <c r="B52" s="85"/>
      <c r="C52" s="85" t="s">
        <v>38</v>
      </c>
      <c r="D52" s="85">
        <v>1</v>
      </c>
      <c r="E52" s="82" t="s">
        <v>39</v>
      </c>
      <c r="F52" s="85">
        <v>0</v>
      </c>
      <c r="G52" s="85"/>
      <c r="H52" s="93"/>
    </row>
    <row r="53" spans="1:8" s="73" customFormat="1" ht="17.25" customHeight="1" x14ac:dyDescent="0.35">
      <c r="A53" s="91"/>
      <c r="B53" s="85"/>
      <c r="C53" s="85" t="s">
        <v>38</v>
      </c>
      <c r="D53" s="85">
        <v>2</v>
      </c>
      <c r="E53" s="82" t="s">
        <v>109</v>
      </c>
      <c r="F53" s="85">
        <v>31</v>
      </c>
      <c r="G53" s="85"/>
      <c r="H53" s="93" t="s">
        <v>31</v>
      </c>
    </row>
    <row r="54" spans="1:8" s="73" customFormat="1" ht="17.25" customHeight="1" x14ac:dyDescent="0.35">
      <c r="A54" s="91" t="s">
        <v>107</v>
      </c>
      <c r="B54" s="85">
        <v>10</v>
      </c>
      <c r="C54" s="85"/>
      <c r="D54" s="85"/>
      <c r="E54" s="82" t="s">
        <v>108</v>
      </c>
      <c r="F54" s="85"/>
      <c r="G54" s="85" t="s">
        <v>37</v>
      </c>
      <c r="H54" s="93" t="s">
        <v>31</v>
      </c>
    </row>
    <row r="55" spans="1:8" s="73" customFormat="1" ht="17.25" customHeight="1" x14ac:dyDescent="0.35">
      <c r="A55" s="91"/>
      <c r="B55" s="85" t="s">
        <v>75</v>
      </c>
      <c r="C55" s="85" t="s">
        <v>38</v>
      </c>
      <c r="D55" s="85">
        <v>1</v>
      </c>
      <c r="E55" s="82"/>
      <c r="F55" s="85" t="s">
        <v>76</v>
      </c>
      <c r="G55" s="85"/>
      <c r="H55" s="84"/>
    </row>
    <row r="56" spans="1:8" s="73" customFormat="1" ht="17.25" customHeight="1" x14ac:dyDescent="0.35">
      <c r="A56" s="91"/>
      <c r="B56" s="85"/>
      <c r="C56" s="85" t="s">
        <v>38</v>
      </c>
      <c r="D56" s="85">
        <v>1</v>
      </c>
      <c r="E56" s="82" t="s">
        <v>39</v>
      </c>
      <c r="F56" s="85">
        <v>0</v>
      </c>
      <c r="G56" s="85"/>
      <c r="H56" s="93"/>
    </row>
    <row r="57" spans="1:8" s="72" customFormat="1" ht="17.25" customHeight="1" x14ac:dyDescent="0.35">
      <c r="A57" s="91"/>
      <c r="B57" s="85"/>
      <c r="C57" s="85" t="s">
        <v>38</v>
      </c>
      <c r="D57" s="85">
        <v>2</v>
      </c>
      <c r="E57" s="82" t="s">
        <v>109</v>
      </c>
      <c r="F57" s="85">
        <v>13</v>
      </c>
      <c r="G57" s="85"/>
      <c r="H57" s="93" t="s">
        <v>31</v>
      </c>
    </row>
    <row r="58" spans="1:8" s="73" customFormat="1" ht="17.25" customHeight="1" x14ac:dyDescent="0.35">
      <c r="A58" s="91"/>
      <c r="B58" s="85"/>
      <c r="C58" s="85"/>
      <c r="D58" s="85"/>
      <c r="E58" s="82"/>
      <c r="F58" s="85"/>
      <c r="G58" s="85"/>
      <c r="H58" s="93"/>
    </row>
    <row r="59" spans="1:8" s="73" customFormat="1" ht="17.25" customHeight="1" x14ac:dyDescent="0.35">
      <c r="A59" s="91" t="s">
        <v>110</v>
      </c>
      <c r="B59" s="85">
        <v>6876</v>
      </c>
      <c r="C59" s="85"/>
      <c r="D59" s="85"/>
      <c r="E59" s="82"/>
      <c r="F59" s="85"/>
      <c r="G59" s="85" t="s">
        <v>30</v>
      </c>
      <c r="H59" s="84"/>
    </row>
    <row r="60" spans="1:8" s="73" customFormat="1" ht="17.25" customHeight="1" x14ac:dyDescent="0.35">
      <c r="A60" s="91"/>
      <c r="B60" s="85" t="s">
        <v>75</v>
      </c>
      <c r="C60" s="85" t="s">
        <v>38</v>
      </c>
      <c r="D60" s="85">
        <v>1</v>
      </c>
      <c r="E60" s="82"/>
      <c r="F60" s="85" t="s">
        <v>111</v>
      </c>
      <c r="G60" s="85"/>
      <c r="H60" s="84"/>
    </row>
    <row r="61" spans="1:8" s="73" customFormat="1" ht="17.25" customHeight="1" x14ac:dyDescent="0.35">
      <c r="A61" s="91"/>
      <c r="B61" s="85"/>
      <c r="C61" s="85" t="s">
        <v>38</v>
      </c>
      <c r="D61" s="85">
        <v>1</v>
      </c>
      <c r="E61" s="82" t="s">
        <v>112</v>
      </c>
      <c r="F61" s="85">
        <v>0</v>
      </c>
      <c r="G61" s="85"/>
      <c r="H61" s="84"/>
    </row>
    <row r="62" spans="1:8" s="73" customFormat="1" ht="17.25" customHeight="1" x14ac:dyDescent="0.35">
      <c r="A62" s="91"/>
      <c r="B62" s="85"/>
      <c r="C62" s="85" t="s">
        <v>38</v>
      </c>
      <c r="D62" s="85">
        <v>1</v>
      </c>
      <c r="E62" s="82" t="s">
        <v>113</v>
      </c>
      <c r="F62" s="85">
        <v>0</v>
      </c>
      <c r="G62" s="85"/>
      <c r="H62" s="84"/>
    </row>
    <row r="63" spans="1:8" s="73" customFormat="1" ht="17.25" customHeight="1" x14ac:dyDescent="0.35">
      <c r="A63" s="91"/>
      <c r="B63" s="85"/>
      <c r="C63" s="85" t="s">
        <v>38</v>
      </c>
      <c r="D63" s="85">
        <v>1</v>
      </c>
      <c r="E63" s="82" t="s">
        <v>114</v>
      </c>
      <c r="F63" s="85">
        <v>0</v>
      </c>
      <c r="G63" s="85"/>
      <c r="H63" s="84"/>
    </row>
    <row r="64" spans="1:8" s="73" customFormat="1" ht="17.25" customHeight="1" x14ac:dyDescent="0.35">
      <c r="A64" s="91"/>
      <c r="B64" s="85"/>
      <c r="C64" s="85" t="s">
        <v>38</v>
      </c>
      <c r="D64" s="85">
        <v>1</v>
      </c>
      <c r="E64" s="82" t="s">
        <v>115</v>
      </c>
      <c r="F64" s="85">
        <v>0</v>
      </c>
      <c r="G64" s="85"/>
      <c r="H64" s="84"/>
    </row>
    <row r="65" spans="1:9" s="73" customFormat="1" ht="17.25" customHeight="1" x14ac:dyDescent="0.35">
      <c r="A65" s="91"/>
      <c r="B65" s="85"/>
      <c r="C65" s="85" t="s">
        <v>38</v>
      </c>
      <c r="D65" s="85">
        <v>1</v>
      </c>
      <c r="E65" s="82" t="s">
        <v>116</v>
      </c>
      <c r="F65" s="85">
        <v>5</v>
      </c>
      <c r="G65" s="85"/>
      <c r="H65" s="84"/>
    </row>
    <row r="66" spans="1:9" s="73" customFormat="1" ht="17.25" customHeight="1" x14ac:dyDescent="0.35">
      <c r="A66" s="91" t="s">
        <v>117</v>
      </c>
      <c r="B66" s="85">
        <v>562</v>
      </c>
      <c r="C66" s="85" t="s">
        <v>38</v>
      </c>
      <c r="D66" s="85">
        <v>1</v>
      </c>
      <c r="E66" s="82" t="s">
        <v>118</v>
      </c>
      <c r="F66" s="85">
        <v>1</v>
      </c>
      <c r="G66" s="85" t="s">
        <v>30</v>
      </c>
      <c r="H66" s="93" t="s">
        <v>119</v>
      </c>
    </row>
    <row r="67" spans="1:9" s="73" customFormat="1" ht="17.25" customHeight="1" x14ac:dyDescent="0.35">
      <c r="A67" s="91" t="s">
        <v>120</v>
      </c>
      <c r="B67" s="85">
        <v>855</v>
      </c>
      <c r="C67" s="85" t="s">
        <v>38</v>
      </c>
      <c r="D67" s="85">
        <v>2</v>
      </c>
      <c r="E67" s="82" t="s">
        <v>121</v>
      </c>
      <c r="F67" s="85">
        <v>0</v>
      </c>
      <c r="G67" s="85" t="s">
        <v>30</v>
      </c>
      <c r="H67" s="93" t="s">
        <v>122</v>
      </c>
    </row>
    <row r="68" spans="1:9" s="73" customFormat="1" ht="17.25" customHeight="1" x14ac:dyDescent="0.35">
      <c r="A68" s="91" t="s">
        <v>123</v>
      </c>
      <c r="B68" s="85">
        <v>6862</v>
      </c>
      <c r="C68" s="85" t="s">
        <v>38</v>
      </c>
      <c r="D68" s="85">
        <v>1</v>
      </c>
      <c r="E68" s="82"/>
      <c r="F68" s="85">
        <v>1</v>
      </c>
      <c r="G68" s="85" t="s">
        <v>30</v>
      </c>
      <c r="H68" s="93" t="s">
        <v>31</v>
      </c>
    </row>
    <row r="69" spans="1:9" s="72" customFormat="1" ht="17.25" customHeight="1" x14ac:dyDescent="0.35">
      <c r="A69" s="91" t="s">
        <v>124</v>
      </c>
      <c r="B69" s="85">
        <v>4265</v>
      </c>
      <c r="C69" s="85" t="s">
        <v>38</v>
      </c>
      <c r="D69" s="85">
        <v>1</v>
      </c>
      <c r="E69" s="82"/>
      <c r="F69" s="85" t="s">
        <v>77</v>
      </c>
      <c r="G69" s="85" t="s">
        <v>30</v>
      </c>
      <c r="H69" s="93"/>
      <c r="I69" s="73"/>
    </row>
    <row r="70" spans="1:9" s="73" customFormat="1" ht="17.25" customHeight="1" x14ac:dyDescent="0.35">
      <c r="A70" s="91" t="s">
        <v>125</v>
      </c>
      <c r="B70" s="85">
        <v>6830</v>
      </c>
      <c r="C70" s="85" t="s">
        <v>38</v>
      </c>
      <c r="D70" s="85">
        <v>1</v>
      </c>
      <c r="E70" s="82"/>
      <c r="F70" s="85">
        <v>10</v>
      </c>
      <c r="G70" s="85" t="s">
        <v>30</v>
      </c>
      <c r="H70" s="93"/>
    </row>
    <row r="71" spans="1:9" s="73" customFormat="1" ht="17.25" customHeight="1" x14ac:dyDescent="0.35">
      <c r="A71" s="91" t="s">
        <v>126</v>
      </c>
      <c r="B71" s="85">
        <v>6831</v>
      </c>
      <c r="C71" s="85" t="s">
        <v>38</v>
      </c>
      <c r="D71" s="85">
        <v>1</v>
      </c>
      <c r="E71" s="82"/>
      <c r="F71" s="85">
        <v>10</v>
      </c>
      <c r="G71" s="85" t="s">
        <v>30</v>
      </c>
      <c r="H71" s="93"/>
    </row>
    <row r="72" spans="1:9" s="73" customFormat="1" ht="18" customHeight="1" thickBot="1" x14ac:dyDescent="0.4">
      <c r="A72" s="96"/>
      <c r="B72" s="86"/>
      <c r="C72" s="86"/>
      <c r="D72" s="86"/>
      <c r="E72" s="95"/>
      <c r="F72" s="86"/>
      <c r="G72" s="86"/>
      <c r="H72" s="94"/>
    </row>
    <row r="73" spans="1:9" s="73" customFormat="1" ht="15.75" customHeight="1" thickBot="1" x14ac:dyDescent="0.35">
      <c r="A73" s="74"/>
      <c r="B73" s="75"/>
      <c r="C73" s="72"/>
      <c r="D73" s="72"/>
      <c r="E73" s="72"/>
      <c r="F73" s="76"/>
      <c r="G73" s="72"/>
      <c r="H73" s="77"/>
    </row>
    <row r="74" spans="1:9" s="73" customFormat="1" ht="20.25" customHeight="1" thickBot="1" x14ac:dyDescent="0.45">
      <c r="A74" s="55" t="s">
        <v>127</v>
      </c>
      <c r="B74" s="56"/>
      <c r="C74" s="56"/>
      <c r="D74" s="56"/>
      <c r="E74" s="56"/>
      <c r="F74" s="56"/>
      <c r="G74" s="56"/>
      <c r="H74" s="57"/>
      <c r="I74" s="58"/>
    </row>
    <row r="75" spans="1:9" s="73" customFormat="1" ht="15.75" customHeight="1" thickBot="1" x14ac:dyDescent="0.35">
      <c r="A75" s="59" t="s">
        <v>128</v>
      </c>
      <c r="B75" s="60" t="s">
        <v>129</v>
      </c>
      <c r="C75" s="60" t="s">
        <v>22</v>
      </c>
      <c r="D75" s="59" t="s">
        <v>130</v>
      </c>
      <c r="E75" s="59" t="s">
        <v>131</v>
      </c>
      <c r="F75" s="59" t="s">
        <v>25</v>
      </c>
      <c r="G75" s="61" t="s">
        <v>26</v>
      </c>
      <c r="H75" s="62" t="s">
        <v>132</v>
      </c>
      <c r="I75" s="63" t="s">
        <v>133</v>
      </c>
    </row>
    <row r="76" spans="1:9" s="73" customFormat="1" ht="17.25" customHeight="1" x14ac:dyDescent="0.35">
      <c r="A76" s="100" t="s">
        <v>134</v>
      </c>
      <c r="B76" s="101" t="s">
        <v>135</v>
      </c>
      <c r="C76" s="101" t="s">
        <v>136</v>
      </c>
      <c r="D76" s="101"/>
      <c r="E76" s="101"/>
      <c r="F76" s="102"/>
      <c r="G76" s="102" t="s">
        <v>30</v>
      </c>
      <c r="H76" s="103"/>
      <c r="I76" s="79">
        <v>65634</v>
      </c>
    </row>
    <row r="77" spans="1:9" s="73" customFormat="1" ht="17.25" customHeight="1" x14ac:dyDescent="0.35">
      <c r="A77" s="104"/>
      <c r="B77" s="105"/>
      <c r="C77" s="105"/>
      <c r="D77" s="105" t="s">
        <v>38</v>
      </c>
      <c r="E77" s="105">
        <v>1</v>
      </c>
      <c r="F77" s="106">
        <v>1</v>
      </c>
      <c r="G77" s="106"/>
      <c r="H77" s="107"/>
      <c r="I77" s="80" t="s">
        <v>137</v>
      </c>
    </row>
    <row r="78" spans="1:9" s="73" customFormat="1" ht="17.25" customHeight="1" x14ac:dyDescent="0.35">
      <c r="A78" s="104" t="s">
        <v>138</v>
      </c>
      <c r="B78" s="105" t="s">
        <v>139</v>
      </c>
      <c r="C78" s="105" t="s">
        <v>136</v>
      </c>
      <c r="D78" s="105"/>
      <c r="E78" s="105"/>
      <c r="F78" s="106"/>
      <c r="G78" s="106" t="s">
        <v>30</v>
      </c>
      <c r="H78" s="107"/>
      <c r="I78" s="80">
        <v>65881</v>
      </c>
    </row>
    <row r="79" spans="1:9" s="73" customFormat="1" ht="17.25" customHeight="1" x14ac:dyDescent="0.35">
      <c r="A79" s="104"/>
      <c r="B79" s="105"/>
      <c r="C79" s="105"/>
      <c r="D79" s="105" t="s">
        <v>38</v>
      </c>
      <c r="E79" s="105">
        <v>1</v>
      </c>
      <c r="F79" s="106">
        <v>1</v>
      </c>
      <c r="G79" s="106"/>
      <c r="H79" s="107"/>
      <c r="I79" s="80" t="s">
        <v>140</v>
      </c>
    </row>
    <row r="80" spans="1:9" s="73" customFormat="1" ht="17.25" customHeight="1" x14ac:dyDescent="0.35">
      <c r="A80" s="104" t="s">
        <v>141</v>
      </c>
      <c r="B80" s="106" t="s">
        <v>142</v>
      </c>
      <c r="C80" s="106" t="s">
        <v>136</v>
      </c>
      <c r="D80" s="106"/>
      <c r="E80" s="106"/>
      <c r="F80" s="106"/>
      <c r="G80" s="106" t="s">
        <v>30</v>
      </c>
      <c r="H80" s="107" t="s">
        <v>31</v>
      </c>
      <c r="I80" s="64"/>
    </row>
    <row r="81" spans="1:9" s="73" customFormat="1" ht="34.5" customHeight="1" x14ac:dyDescent="0.35">
      <c r="A81" s="104"/>
      <c r="B81" s="106"/>
      <c r="C81" s="106"/>
      <c r="D81" s="106" t="s">
        <v>38</v>
      </c>
      <c r="E81" s="106">
        <v>1</v>
      </c>
      <c r="F81" s="106">
        <v>0</v>
      </c>
      <c r="G81" s="106"/>
      <c r="H81" s="107"/>
      <c r="I81" s="64" t="s">
        <v>143</v>
      </c>
    </row>
    <row r="82" spans="1:9" s="73" customFormat="1" ht="17.25" customHeight="1" x14ac:dyDescent="0.35">
      <c r="A82" s="104" t="s">
        <v>144</v>
      </c>
      <c r="B82" s="106" t="s">
        <v>145</v>
      </c>
      <c r="C82" s="106" t="s">
        <v>136</v>
      </c>
      <c r="D82" s="106"/>
      <c r="E82" s="106"/>
      <c r="F82" s="106"/>
      <c r="G82" s="106" t="s">
        <v>30</v>
      </c>
      <c r="H82" s="107" t="s">
        <v>31</v>
      </c>
      <c r="I82" s="64"/>
    </row>
    <row r="83" spans="1:9" s="73" customFormat="1" ht="17.25" customHeight="1" x14ac:dyDescent="0.35">
      <c r="A83" s="104"/>
      <c r="B83" s="106"/>
      <c r="C83" s="106"/>
      <c r="D83" s="106" t="s">
        <v>38</v>
      </c>
      <c r="E83" s="106">
        <v>1</v>
      </c>
      <c r="F83" s="106">
        <v>0</v>
      </c>
      <c r="G83" s="106"/>
      <c r="H83" s="107"/>
      <c r="I83" s="64" t="s">
        <v>146</v>
      </c>
    </row>
    <row r="84" spans="1:9" s="73" customFormat="1" ht="17.25" customHeight="1" x14ac:dyDescent="0.35">
      <c r="A84" s="104" t="s">
        <v>147</v>
      </c>
      <c r="B84" s="106" t="s">
        <v>148</v>
      </c>
      <c r="C84" s="106" t="s">
        <v>136</v>
      </c>
      <c r="D84" s="106"/>
      <c r="E84" s="106"/>
      <c r="F84" s="106"/>
      <c r="G84" s="106" t="s">
        <v>30</v>
      </c>
      <c r="H84" s="107"/>
      <c r="I84" s="64"/>
    </row>
    <row r="85" spans="1:9" s="73" customFormat="1" ht="69" customHeight="1" x14ac:dyDescent="0.35">
      <c r="A85" s="104"/>
      <c r="B85" s="106"/>
      <c r="C85" s="106"/>
      <c r="D85" s="106" t="s">
        <v>38</v>
      </c>
      <c r="E85" s="106">
        <v>4</v>
      </c>
      <c r="F85" s="106">
        <v>0</v>
      </c>
      <c r="G85" s="106"/>
      <c r="H85" s="107"/>
      <c r="I85" s="64" t="s">
        <v>149</v>
      </c>
    </row>
    <row r="86" spans="1:9" s="73" customFormat="1" ht="17.25" customHeight="1" x14ac:dyDescent="0.35">
      <c r="A86" s="104" t="s">
        <v>150</v>
      </c>
      <c r="B86" s="106" t="s">
        <v>151</v>
      </c>
      <c r="C86" s="106" t="s">
        <v>136</v>
      </c>
      <c r="D86" s="106"/>
      <c r="E86" s="106"/>
      <c r="F86" s="106"/>
      <c r="G86" s="106" t="s">
        <v>30</v>
      </c>
      <c r="H86" s="107"/>
      <c r="I86" s="64"/>
    </row>
    <row r="87" spans="1:9" s="73" customFormat="1" ht="34.5" customHeight="1" x14ac:dyDescent="0.35">
      <c r="A87" s="104"/>
      <c r="B87" s="106"/>
      <c r="C87" s="106"/>
      <c r="D87" s="106" t="s">
        <v>38</v>
      </c>
      <c r="E87" s="106">
        <v>1</v>
      </c>
      <c r="F87" s="106">
        <v>1</v>
      </c>
      <c r="G87" s="106"/>
      <c r="H87" s="107"/>
      <c r="I87" s="64" t="s">
        <v>152</v>
      </c>
    </row>
    <row r="88" spans="1:9" s="73" customFormat="1" ht="27.75" x14ac:dyDescent="0.35">
      <c r="A88" s="104" t="s">
        <v>153</v>
      </c>
      <c r="B88" s="106" t="s">
        <v>154</v>
      </c>
      <c r="C88" s="106" t="s">
        <v>155</v>
      </c>
      <c r="D88" s="106"/>
      <c r="E88" s="106"/>
      <c r="F88" s="106"/>
      <c r="G88" s="106" t="s">
        <v>30</v>
      </c>
      <c r="H88" s="97" t="s">
        <v>663</v>
      </c>
      <c r="I88" s="64"/>
    </row>
    <row r="89" spans="1:9" s="73" customFormat="1" ht="103.5" customHeight="1" x14ac:dyDescent="0.35">
      <c r="A89" s="104" t="s">
        <v>156</v>
      </c>
      <c r="B89" s="106" t="s">
        <v>157</v>
      </c>
      <c r="C89" s="106" t="s">
        <v>155</v>
      </c>
      <c r="D89" s="106"/>
      <c r="E89" s="106"/>
      <c r="F89" s="106"/>
      <c r="G89" s="106" t="s">
        <v>30</v>
      </c>
      <c r="H89" s="107" t="s">
        <v>158</v>
      </c>
      <c r="I89" s="64" t="s">
        <v>159</v>
      </c>
    </row>
    <row r="90" spans="1:9" s="73" customFormat="1" ht="17.25" customHeight="1" x14ac:dyDescent="0.35">
      <c r="A90" s="104" t="s">
        <v>160</v>
      </c>
      <c r="B90" s="106" t="s">
        <v>161</v>
      </c>
      <c r="C90" s="106" t="s">
        <v>136</v>
      </c>
      <c r="D90" s="106"/>
      <c r="E90" s="106"/>
      <c r="F90" s="106"/>
      <c r="G90" s="106" t="s">
        <v>30</v>
      </c>
      <c r="H90" s="107"/>
      <c r="I90" s="64">
        <v>66472</v>
      </c>
    </row>
    <row r="91" spans="1:9" s="73" customFormat="1" ht="17.25" customHeight="1" x14ac:dyDescent="0.35">
      <c r="A91" s="104"/>
      <c r="B91" s="106"/>
      <c r="C91" s="106"/>
      <c r="D91" s="106" t="s">
        <v>38</v>
      </c>
      <c r="E91" s="106">
        <v>1</v>
      </c>
      <c r="F91" s="106">
        <v>1</v>
      </c>
      <c r="G91" s="106"/>
      <c r="H91" s="107"/>
      <c r="I91" s="64"/>
    </row>
    <row r="92" spans="1:9" s="73" customFormat="1" ht="17.25" customHeight="1" x14ac:dyDescent="0.35">
      <c r="A92" s="104" t="s">
        <v>162</v>
      </c>
      <c r="B92" s="106" t="s">
        <v>163</v>
      </c>
      <c r="C92" s="106" t="s">
        <v>136</v>
      </c>
      <c r="D92" s="106"/>
      <c r="E92" s="106"/>
      <c r="F92" s="106"/>
      <c r="G92" s="106" t="s">
        <v>30</v>
      </c>
      <c r="H92" s="107"/>
      <c r="I92" s="64">
        <v>66473</v>
      </c>
    </row>
    <row r="93" spans="1:9" s="73" customFormat="1" ht="17.25" customHeight="1" x14ac:dyDescent="0.35">
      <c r="A93" s="104"/>
      <c r="B93" s="106"/>
      <c r="C93" s="106"/>
      <c r="D93" s="106" t="s">
        <v>38</v>
      </c>
      <c r="E93" s="106">
        <v>1</v>
      </c>
      <c r="F93" s="106">
        <v>1</v>
      </c>
      <c r="G93" s="106"/>
      <c r="H93" s="107"/>
      <c r="I93" s="64"/>
    </row>
    <row r="94" spans="1:9" s="73" customFormat="1" ht="17.25" customHeight="1" x14ac:dyDescent="0.35">
      <c r="A94" s="104" t="s">
        <v>164</v>
      </c>
      <c r="B94" s="106" t="s">
        <v>165</v>
      </c>
      <c r="C94" s="106" t="s">
        <v>136</v>
      </c>
      <c r="D94" s="106"/>
      <c r="E94" s="106"/>
      <c r="F94" s="106"/>
      <c r="G94" s="106" t="s">
        <v>30</v>
      </c>
      <c r="H94" s="107"/>
      <c r="I94" s="64">
        <v>66048</v>
      </c>
    </row>
    <row r="95" spans="1:9" s="73" customFormat="1" ht="17.25" customHeight="1" x14ac:dyDescent="0.35">
      <c r="A95" s="104"/>
      <c r="B95" s="106"/>
      <c r="C95" s="106"/>
      <c r="D95" s="106" t="s">
        <v>38</v>
      </c>
      <c r="E95" s="106">
        <v>1</v>
      </c>
      <c r="F95" s="106">
        <v>3</v>
      </c>
      <c r="G95" s="106"/>
      <c r="H95" s="107"/>
      <c r="I95" s="64"/>
    </row>
    <row r="96" spans="1:9" s="73" customFormat="1" ht="17.25" customHeight="1" x14ac:dyDescent="0.35">
      <c r="A96" s="104" t="s">
        <v>166</v>
      </c>
      <c r="B96" s="106" t="s">
        <v>167</v>
      </c>
      <c r="C96" s="106" t="s">
        <v>136</v>
      </c>
      <c r="D96" s="106"/>
      <c r="E96" s="106"/>
      <c r="F96" s="106"/>
      <c r="G96" s="106" t="s">
        <v>30</v>
      </c>
      <c r="H96" s="107"/>
      <c r="I96" s="64">
        <v>67225</v>
      </c>
    </row>
    <row r="97" spans="1:9" s="73" customFormat="1" ht="17.25" customHeight="1" x14ac:dyDescent="0.35">
      <c r="A97" s="104"/>
      <c r="B97" s="106"/>
      <c r="C97" s="106"/>
      <c r="D97" s="106" t="s">
        <v>38</v>
      </c>
      <c r="E97" s="106">
        <v>1</v>
      </c>
      <c r="F97" s="106">
        <v>3</v>
      </c>
      <c r="G97" s="106"/>
      <c r="H97" s="107"/>
      <c r="I97" s="64" t="s">
        <v>31</v>
      </c>
    </row>
    <row r="98" spans="1:9" s="73" customFormat="1" ht="17.25" customHeight="1" x14ac:dyDescent="0.35">
      <c r="A98" s="104" t="s">
        <v>168</v>
      </c>
      <c r="B98" s="106" t="s">
        <v>169</v>
      </c>
      <c r="C98" s="106" t="s">
        <v>136</v>
      </c>
      <c r="D98" s="106"/>
      <c r="E98" s="106"/>
      <c r="F98" s="106"/>
      <c r="G98" s="106" t="s">
        <v>30</v>
      </c>
      <c r="H98" s="107"/>
      <c r="I98" s="64">
        <v>70239</v>
      </c>
    </row>
    <row r="99" spans="1:9" s="73" customFormat="1" ht="17.25" customHeight="1" x14ac:dyDescent="0.35">
      <c r="A99" s="104"/>
      <c r="B99" s="106"/>
      <c r="C99" s="106"/>
      <c r="D99" s="106" t="s">
        <v>38</v>
      </c>
      <c r="E99" s="106">
        <v>1</v>
      </c>
      <c r="F99" s="106">
        <v>3</v>
      </c>
      <c r="G99" s="106"/>
      <c r="H99" s="107"/>
      <c r="I99" s="64"/>
    </row>
    <row r="100" spans="1:9" s="73" customFormat="1" ht="34.5" customHeight="1" x14ac:dyDescent="0.35">
      <c r="A100" s="104" t="s">
        <v>170</v>
      </c>
      <c r="B100" s="106" t="s">
        <v>171</v>
      </c>
      <c r="C100" s="106" t="s">
        <v>136</v>
      </c>
      <c r="D100" s="106"/>
      <c r="E100" s="106"/>
      <c r="F100" s="106"/>
      <c r="G100" s="106" t="s">
        <v>30</v>
      </c>
      <c r="H100" s="107"/>
      <c r="I100" s="64">
        <v>70315</v>
      </c>
    </row>
    <row r="101" spans="1:9" s="73" customFormat="1" ht="17.25" customHeight="1" x14ac:dyDescent="0.35">
      <c r="A101" s="104"/>
      <c r="B101" s="106"/>
      <c r="C101" s="106"/>
      <c r="D101" s="106" t="s">
        <v>38</v>
      </c>
      <c r="E101" s="106">
        <v>1</v>
      </c>
      <c r="F101" s="106">
        <v>2</v>
      </c>
      <c r="G101" s="106"/>
      <c r="H101" s="107"/>
      <c r="I101" s="64"/>
    </row>
    <row r="102" spans="1:9" s="73" customFormat="1" ht="17.25" customHeight="1" x14ac:dyDescent="0.35">
      <c r="A102" s="104" t="s">
        <v>172</v>
      </c>
      <c r="B102" s="106" t="s">
        <v>173</v>
      </c>
      <c r="C102" s="106" t="s">
        <v>136</v>
      </c>
      <c r="D102" s="106" t="s">
        <v>31</v>
      </c>
      <c r="E102" s="106" t="s">
        <v>31</v>
      </c>
      <c r="F102" s="106" t="s">
        <v>31</v>
      </c>
      <c r="G102" s="106" t="s">
        <v>30</v>
      </c>
      <c r="H102" s="107"/>
      <c r="I102" s="64" t="s">
        <v>174</v>
      </c>
    </row>
    <row r="103" spans="1:9" s="73" customFormat="1" ht="17.25" customHeight="1" x14ac:dyDescent="0.35">
      <c r="A103" s="104"/>
      <c r="B103" s="106"/>
      <c r="C103" s="106"/>
      <c r="D103" s="106" t="s">
        <v>38</v>
      </c>
      <c r="E103" s="106">
        <v>1</v>
      </c>
      <c r="F103" s="106">
        <v>0</v>
      </c>
      <c r="G103" s="106"/>
      <c r="H103" s="107"/>
      <c r="I103" s="64" t="s">
        <v>31</v>
      </c>
    </row>
    <row r="104" spans="1:9" s="73" customFormat="1" ht="17.25" customHeight="1" x14ac:dyDescent="0.35">
      <c r="A104" s="104" t="s">
        <v>175</v>
      </c>
      <c r="B104" s="106" t="s">
        <v>176</v>
      </c>
      <c r="C104" s="106" t="s">
        <v>136</v>
      </c>
      <c r="D104" s="106"/>
      <c r="E104" s="106"/>
      <c r="F104" s="106"/>
      <c r="G104" s="106" t="s">
        <v>30</v>
      </c>
      <c r="H104" s="107"/>
      <c r="I104" s="64">
        <v>71554</v>
      </c>
    </row>
    <row r="105" spans="1:9" s="73" customFormat="1" ht="17.25" customHeight="1" x14ac:dyDescent="0.35">
      <c r="A105" s="104"/>
      <c r="B105" s="106"/>
      <c r="C105" s="106"/>
      <c r="D105" s="106" t="s">
        <v>38</v>
      </c>
      <c r="E105" s="106">
        <v>1</v>
      </c>
      <c r="F105" s="106">
        <v>1</v>
      </c>
      <c r="G105" s="106"/>
      <c r="H105" s="107"/>
      <c r="I105" s="64" t="s">
        <v>177</v>
      </c>
    </row>
    <row r="106" spans="1:9" s="73" customFormat="1" ht="17.25" customHeight="1" x14ac:dyDescent="0.35">
      <c r="A106" s="104"/>
      <c r="B106" s="106"/>
      <c r="C106" s="106"/>
      <c r="D106" s="106" t="s">
        <v>38</v>
      </c>
      <c r="E106" s="106">
        <v>4</v>
      </c>
      <c r="F106" s="106">
        <v>5000</v>
      </c>
      <c r="G106" s="106"/>
      <c r="H106" s="107"/>
      <c r="I106" s="64" t="s">
        <v>178</v>
      </c>
    </row>
    <row r="107" spans="1:9" s="73" customFormat="1" ht="17.25" customHeight="1" x14ac:dyDescent="0.35">
      <c r="A107" s="104"/>
      <c r="B107" s="106"/>
      <c r="C107" s="106"/>
      <c r="D107" s="106" t="s">
        <v>38</v>
      </c>
      <c r="E107" s="106">
        <v>1</v>
      </c>
      <c r="F107" s="106">
        <v>1</v>
      </c>
      <c r="G107" s="106"/>
      <c r="H107" s="107"/>
      <c r="I107" s="64" t="s">
        <v>179</v>
      </c>
    </row>
    <row r="108" spans="1:9" s="73" customFormat="1" ht="17.25" customHeight="1" x14ac:dyDescent="0.35">
      <c r="A108" s="104"/>
      <c r="B108" s="106"/>
      <c r="C108" s="106"/>
      <c r="D108" s="106" t="s">
        <v>38</v>
      </c>
      <c r="E108" s="106">
        <v>2</v>
      </c>
      <c r="F108" s="106"/>
      <c r="G108" s="106"/>
      <c r="H108" s="107"/>
      <c r="I108" s="64" t="s">
        <v>180</v>
      </c>
    </row>
    <row r="109" spans="1:9" s="73" customFormat="1" ht="17.25" customHeight="1" x14ac:dyDescent="0.35">
      <c r="A109" s="104" t="s">
        <v>181</v>
      </c>
      <c r="B109" s="106" t="s">
        <v>182</v>
      </c>
      <c r="C109" s="106" t="s">
        <v>136</v>
      </c>
      <c r="D109" s="106"/>
      <c r="E109" s="106"/>
      <c r="F109" s="106"/>
      <c r="G109" s="106" t="s">
        <v>30</v>
      </c>
      <c r="H109" s="107"/>
      <c r="I109" s="64">
        <v>73509</v>
      </c>
    </row>
    <row r="110" spans="1:9" s="73" customFormat="1" ht="17.25" customHeight="1" x14ac:dyDescent="0.35">
      <c r="A110" s="104"/>
      <c r="B110" s="106"/>
      <c r="C110" s="106"/>
      <c r="D110" s="106" t="s">
        <v>38</v>
      </c>
      <c r="E110" s="106">
        <v>1</v>
      </c>
      <c r="F110" s="106">
        <v>1</v>
      </c>
      <c r="G110" s="106"/>
      <c r="H110" s="107"/>
      <c r="I110" s="64" t="s">
        <v>181</v>
      </c>
    </row>
    <row r="111" spans="1:9" s="73" customFormat="1" ht="53.25" x14ac:dyDescent="0.35">
      <c r="A111" s="104" t="s">
        <v>183</v>
      </c>
      <c r="B111" s="106" t="s">
        <v>184</v>
      </c>
      <c r="C111" s="106" t="s">
        <v>136</v>
      </c>
      <c r="D111" s="106"/>
      <c r="E111" s="106"/>
      <c r="F111" s="106"/>
      <c r="G111" s="106" t="s">
        <v>30</v>
      </c>
      <c r="H111" s="107"/>
      <c r="I111" s="64">
        <v>73544</v>
      </c>
    </row>
    <row r="112" spans="1:9" s="73" customFormat="1" ht="17.25" x14ac:dyDescent="0.35">
      <c r="A112" s="104"/>
      <c r="B112" s="106"/>
      <c r="C112" s="106"/>
      <c r="D112" s="106" t="s">
        <v>38</v>
      </c>
      <c r="E112" s="106">
        <v>1</v>
      </c>
      <c r="F112" s="106"/>
      <c r="G112" s="106"/>
      <c r="H112" s="107"/>
      <c r="I112" s="64" t="s">
        <v>183</v>
      </c>
    </row>
    <row r="113" spans="1:9" s="162" customFormat="1" ht="17.25" customHeight="1" x14ac:dyDescent="0.35">
      <c r="A113" s="169" t="s">
        <v>742</v>
      </c>
      <c r="B113" s="170" t="s">
        <v>743</v>
      </c>
      <c r="C113" s="170" t="s">
        <v>155</v>
      </c>
      <c r="D113" s="170"/>
      <c r="E113" s="170"/>
      <c r="F113" s="170"/>
      <c r="G113" s="170" t="s">
        <v>30</v>
      </c>
      <c r="H113" s="171" t="s">
        <v>889</v>
      </c>
      <c r="I113" s="173" t="s">
        <v>745</v>
      </c>
    </row>
    <row r="114" spans="1:9" s="162" customFormat="1" ht="17.25" customHeight="1" x14ac:dyDescent="0.35">
      <c r="A114" s="169" t="s">
        <v>746</v>
      </c>
      <c r="B114" s="170" t="s">
        <v>747</v>
      </c>
      <c r="C114" s="170" t="s">
        <v>155</v>
      </c>
      <c r="D114" s="170"/>
      <c r="E114" s="170"/>
      <c r="F114" s="170"/>
      <c r="G114" s="170" t="s">
        <v>30</v>
      </c>
      <c r="H114" s="171" t="s">
        <v>890</v>
      </c>
      <c r="I114" s="173" t="s">
        <v>745</v>
      </c>
    </row>
    <row r="115" spans="1:9" s="162" customFormat="1" ht="17.25" customHeight="1" x14ac:dyDescent="0.35">
      <c r="A115" s="169" t="s">
        <v>749</v>
      </c>
      <c r="B115" s="170" t="s">
        <v>750</v>
      </c>
      <c r="C115" s="170" t="s">
        <v>155</v>
      </c>
      <c r="D115" s="170"/>
      <c r="E115" s="170"/>
      <c r="F115" s="170"/>
      <c r="G115" s="170" t="s">
        <v>30</v>
      </c>
      <c r="H115" s="171" t="s">
        <v>894</v>
      </c>
      <c r="I115" s="173" t="s">
        <v>745</v>
      </c>
    </row>
    <row r="116" spans="1:9" s="162" customFormat="1" ht="17.25" customHeight="1" x14ac:dyDescent="0.35">
      <c r="A116" s="169" t="s">
        <v>752</v>
      </c>
      <c r="B116" s="170" t="s">
        <v>753</v>
      </c>
      <c r="C116" s="170" t="s">
        <v>155</v>
      </c>
      <c r="D116" s="170"/>
      <c r="E116" s="170"/>
      <c r="F116" s="170"/>
      <c r="G116" s="170" t="s">
        <v>30</v>
      </c>
      <c r="H116" s="171" t="s">
        <v>891</v>
      </c>
      <c r="I116" s="173" t="s">
        <v>755</v>
      </c>
    </row>
    <row r="117" spans="1:9" s="162" customFormat="1" ht="17.25" customHeight="1" x14ac:dyDescent="0.35">
      <c r="A117" s="169" t="s">
        <v>756</v>
      </c>
      <c r="B117" s="170" t="s">
        <v>757</v>
      </c>
      <c r="C117" s="170" t="s">
        <v>155</v>
      </c>
      <c r="D117" s="170"/>
      <c r="E117" s="170"/>
      <c r="F117" s="170"/>
      <c r="G117" s="170" t="s">
        <v>30</v>
      </c>
      <c r="H117" s="171" t="s">
        <v>892</v>
      </c>
      <c r="I117" s="173" t="s">
        <v>31</v>
      </c>
    </row>
    <row r="118" spans="1:9" s="162" customFormat="1" ht="17.25" customHeight="1" x14ac:dyDescent="0.2">
      <c r="A118" s="169" t="s">
        <v>759</v>
      </c>
      <c r="B118" s="170" t="s">
        <v>698</v>
      </c>
      <c r="C118" s="170" t="s">
        <v>155</v>
      </c>
      <c r="D118" s="170"/>
      <c r="E118" s="170"/>
      <c r="F118" s="170"/>
      <c r="G118" s="170" t="s">
        <v>30</v>
      </c>
      <c r="H118" s="171" t="s">
        <v>656</v>
      </c>
      <c r="I118" s="80" t="s">
        <v>761</v>
      </c>
    </row>
    <row r="119" spans="1:9" s="162" customFormat="1" ht="17.25" customHeight="1" x14ac:dyDescent="0.2">
      <c r="A119" s="169" t="s">
        <v>762</v>
      </c>
      <c r="B119" s="170" t="s">
        <v>699</v>
      </c>
      <c r="C119" s="170" t="s">
        <v>155</v>
      </c>
      <c r="D119" s="170"/>
      <c r="E119" s="170"/>
      <c r="F119" s="170"/>
      <c r="G119" s="170" t="s">
        <v>30</v>
      </c>
      <c r="H119" s="171" t="s">
        <v>657</v>
      </c>
      <c r="I119" s="80" t="s">
        <v>764</v>
      </c>
    </row>
    <row r="120" spans="1:9" s="162" customFormat="1" ht="17.25" customHeight="1" x14ac:dyDescent="0.2">
      <c r="A120" s="169" t="s">
        <v>765</v>
      </c>
      <c r="B120" s="170" t="s">
        <v>700</v>
      </c>
      <c r="C120" s="170" t="s">
        <v>155</v>
      </c>
      <c r="D120" s="170"/>
      <c r="E120" s="170"/>
      <c r="F120" s="170"/>
      <c r="G120" s="170" t="s">
        <v>30</v>
      </c>
      <c r="H120" s="171" t="s">
        <v>658</v>
      </c>
      <c r="I120" s="80" t="s">
        <v>767</v>
      </c>
    </row>
    <row r="121" spans="1:9" s="162" customFormat="1" ht="17.25" customHeight="1" x14ac:dyDescent="0.2">
      <c r="A121" s="169" t="s">
        <v>768</v>
      </c>
      <c r="B121" s="170" t="s">
        <v>701</v>
      </c>
      <c r="C121" s="170" t="s">
        <v>155</v>
      </c>
      <c r="D121" s="170"/>
      <c r="E121" s="170"/>
      <c r="F121" s="170"/>
      <c r="G121" s="170" t="s">
        <v>30</v>
      </c>
      <c r="H121" s="171" t="s">
        <v>666</v>
      </c>
      <c r="I121" s="80" t="s">
        <v>761</v>
      </c>
    </row>
    <row r="122" spans="1:9" s="162" customFormat="1" ht="17.25" customHeight="1" x14ac:dyDescent="0.2">
      <c r="A122" s="169" t="s">
        <v>770</v>
      </c>
      <c r="B122" s="170" t="s">
        <v>771</v>
      </c>
      <c r="C122" s="170" t="s">
        <v>155</v>
      </c>
      <c r="D122" s="170"/>
      <c r="E122" s="170"/>
      <c r="F122" s="170"/>
      <c r="G122" s="170" t="s">
        <v>30</v>
      </c>
      <c r="H122" s="171" t="s">
        <v>893</v>
      </c>
      <c r="I122" s="80" t="s">
        <v>764</v>
      </c>
    </row>
    <row r="123" spans="1:9" s="73" customFormat="1" ht="17.25" customHeight="1" x14ac:dyDescent="0.35">
      <c r="A123" s="104" t="s">
        <v>185</v>
      </c>
      <c r="B123" s="106"/>
      <c r="C123" s="106"/>
      <c r="D123" s="106"/>
      <c r="E123" s="106"/>
      <c r="F123" s="106"/>
      <c r="G123" s="106"/>
      <c r="H123" s="107"/>
      <c r="I123" s="64"/>
    </row>
    <row r="124" spans="1:9" s="73" customFormat="1" ht="17.25" customHeight="1" x14ac:dyDescent="0.35">
      <c r="A124" s="104" t="s">
        <v>186</v>
      </c>
      <c r="B124" s="106" t="s">
        <v>187</v>
      </c>
      <c r="C124" s="106" t="s">
        <v>136</v>
      </c>
      <c r="D124" s="106"/>
      <c r="E124" s="106"/>
      <c r="F124" s="106"/>
      <c r="G124" s="106" t="s">
        <v>30</v>
      </c>
      <c r="H124" s="107"/>
      <c r="I124" s="64">
        <v>65956</v>
      </c>
    </row>
    <row r="125" spans="1:9" s="73" customFormat="1" ht="17.25" customHeight="1" x14ac:dyDescent="0.35">
      <c r="A125" s="104"/>
      <c r="B125" s="106"/>
      <c r="C125" s="106"/>
      <c r="D125" s="106" t="s">
        <v>38</v>
      </c>
      <c r="E125" s="106">
        <v>2</v>
      </c>
      <c r="F125" s="106">
        <v>1</v>
      </c>
      <c r="G125" s="106"/>
      <c r="H125" s="107"/>
      <c r="I125" s="64"/>
    </row>
    <row r="126" spans="1:9" s="73" customFormat="1" ht="17.25" customHeight="1" x14ac:dyDescent="0.35">
      <c r="A126" s="104" t="s">
        <v>188</v>
      </c>
      <c r="B126" s="106" t="s">
        <v>189</v>
      </c>
      <c r="C126" s="106" t="s">
        <v>136</v>
      </c>
      <c r="D126" s="106"/>
      <c r="E126" s="106"/>
      <c r="F126" s="106"/>
      <c r="G126" s="106" t="s">
        <v>30</v>
      </c>
      <c r="H126" s="107"/>
      <c r="I126" s="64">
        <v>65961</v>
      </c>
    </row>
    <row r="127" spans="1:9" s="73" customFormat="1" ht="17.25" customHeight="1" x14ac:dyDescent="0.35">
      <c r="A127" s="104"/>
      <c r="B127" s="106"/>
      <c r="C127" s="106"/>
      <c r="D127" s="106" t="s">
        <v>38</v>
      </c>
      <c r="E127" s="106">
        <v>1</v>
      </c>
      <c r="F127" s="106">
        <v>1</v>
      </c>
      <c r="G127" s="106"/>
      <c r="H127" s="107"/>
      <c r="I127" s="64"/>
    </row>
    <row r="128" spans="1:9" s="73" customFormat="1" ht="17.25" customHeight="1" x14ac:dyDescent="0.35">
      <c r="A128" s="104" t="s">
        <v>190</v>
      </c>
      <c r="B128" s="106" t="s">
        <v>191</v>
      </c>
      <c r="C128" s="106" t="s">
        <v>136</v>
      </c>
      <c r="D128" s="106"/>
      <c r="E128" s="106"/>
      <c r="F128" s="106"/>
      <c r="G128" s="106" t="s">
        <v>30</v>
      </c>
      <c r="H128" s="107"/>
      <c r="I128" s="64">
        <v>67218</v>
      </c>
    </row>
    <row r="129" spans="1:9" s="73" customFormat="1" ht="17.25" customHeight="1" x14ac:dyDescent="0.35">
      <c r="A129" s="104"/>
      <c r="B129" s="106"/>
      <c r="C129" s="106"/>
      <c r="D129" s="106" t="s">
        <v>38</v>
      </c>
      <c r="E129" s="106">
        <v>1</v>
      </c>
      <c r="F129" s="106">
        <v>1</v>
      </c>
      <c r="G129" s="106"/>
      <c r="H129" s="107"/>
      <c r="I129" s="64"/>
    </row>
    <row r="130" spans="1:9" s="73" customFormat="1" ht="17.25" customHeight="1" x14ac:dyDescent="0.35">
      <c r="A130" s="104" t="s">
        <v>192</v>
      </c>
      <c r="B130" s="106" t="s">
        <v>193</v>
      </c>
      <c r="C130" s="106" t="s">
        <v>136</v>
      </c>
      <c r="D130" s="106"/>
      <c r="E130" s="106"/>
      <c r="F130" s="106"/>
      <c r="G130" s="106" t="s">
        <v>30</v>
      </c>
      <c r="H130" s="107"/>
      <c r="I130" s="64">
        <v>67261</v>
      </c>
    </row>
    <row r="131" spans="1:9" s="73" customFormat="1" ht="17.25" customHeight="1" x14ac:dyDescent="0.35">
      <c r="A131" s="104"/>
      <c r="B131" s="106"/>
      <c r="C131" s="106"/>
      <c r="D131" s="106" t="s">
        <v>38</v>
      </c>
      <c r="E131" s="106">
        <v>2</v>
      </c>
      <c r="F131" s="106">
        <v>0</v>
      </c>
      <c r="G131" s="106"/>
      <c r="H131" s="107"/>
      <c r="I131" s="64" t="s">
        <v>194</v>
      </c>
    </row>
    <row r="132" spans="1:9" s="73" customFormat="1" ht="17.25" customHeight="1" x14ac:dyDescent="0.35">
      <c r="A132" s="104"/>
      <c r="B132" s="106"/>
      <c r="C132" s="106"/>
      <c r="D132" s="106" t="s">
        <v>38</v>
      </c>
      <c r="E132" s="106">
        <v>2</v>
      </c>
      <c r="F132" s="106">
        <v>0</v>
      </c>
      <c r="G132" s="106"/>
      <c r="H132" s="107"/>
      <c r="I132" s="64" t="s">
        <v>195</v>
      </c>
    </row>
    <row r="133" spans="1:9" s="73" customFormat="1" ht="17.25" customHeight="1" x14ac:dyDescent="0.35">
      <c r="A133" s="104"/>
      <c r="B133" s="106"/>
      <c r="C133" s="106"/>
      <c r="D133" s="106" t="s">
        <v>38</v>
      </c>
      <c r="E133" s="106">
        <v>1</v>
      </c>
      <c r="F133" s="106">
        <v>0</v>
      </c>
      <c r="G133" s="106"/>
      <c r="H133" s="107"/>
      <c r="I133" s="64" t="s">
        <v>196</v>
      </c>
    </row>
    <row r="134" spans="1:9" s="73" customFormat="1" ht="17.25" customHeight="1" x14ac:dyDescent="0.35">
      <c r="A134" s="104"/>
      <c r="B134" s="106"/>
      <c r="C134" s="106"/>
      <c r="D134" s="106" t="s">
        <v>38</v>
      </c>
      <c r="E134" s="106">
        <v>1</v>
      </c>
      <c r="F134" s="106">
        <v>1</v>
      </c>
      <c r="G134" s="106"/>
      <c r="H134" s="107"/>
      <c r="I134" s="64" t="s">
        <v>197</v>
      </c>
    </row>
    <row r="135" spans="1:9" s="73" customFormat="1" ht="17.25" customHeight="1" x14ac:dyDescent="0.35">
      <c r="A135" s="104"/>
      <c r="B135" s="106"/>
      <c r="C135" s="106"/>
      <c r="D135" s="106" t="s">
        <v>38</v>
      </c>
      <c r="E135" s="106">
        <v>2</v>
      </c>
      <c r="F135" s="106">
        <v>0</v>
      </c>
      <c r="G135" s="106"/>
      <c r="H135" s="107"/>
      <c r="I135" s="64" t="s">
        <v>198</v>
      </c>
    </row>
    <row r="136" spans="1:9" s="73" customFormat="1" ht="17.25" customHeight="1" x14ac:dyDescent="0.35">
      <c r="A136" s="104"/>
      <c r="B136" s="106"/>
      <c r="C136" s="106"/>
      <c r="D136" s="106" t="s">
        <v>38</v>
      </c>
      <c r="E136" s="106">
        <v>4</v>
      </c>
      <c r="F136" s="106">
        <v>0</v>
      </c>
      <c r="G136" s="106"/>
      <c r="H136" s="107"/>
      <c r="I136" s="64" t="s">
        <v>199</v>
      </c>
    </row>
    <row r="137" spans="1:9" s="73" customFormat="1" ht="17.25" customHeight="1" x14ac:dyDescent="0.35">
      <c r="A137" s="104"/>
      <c r="B137" s="106"/>
      <c r="C137" s="106"/>
      <c r="D137" s="106" t="s">
        <v>38</v>
      </c>
      <c r="E137" s="106">
        <v>1</v>
      </c>
      <c r="F137" s="106">
        <v>0</v>
      </c>
      <c r="G137" s="106"/>
      <c r="H137" s="107"/>
      <c r="I137" s="64" t="s">
        <v>200</v>
      </c>
    </row>
    <row r="138" spans="1:9" s="73" customFormat="1" ht="17.25" customHeight="1" x14ac:dyDescent="0.35">
      <c r="A138" s="104"/>
      <c r="B138" s="106"/>
      <c r="C138" s="106"/>
      <c r="D138" s="106" t="s">
        <v>38</v>
      </c>
      <c r="E138" s="106">
        <v>1</v>
      </c>
      <c r="F138" s="106">
        <v>2</v>
      </c>
      <c r="G138" s="106"/>
      <c r="H138" s="107"/>
      <c r="I138" s="64" t="s">
        <v>201</v>
      </c>
    </row>
    <row r="139" spans="1:9" s="73" customFormat="1" ht="34.5" customHeight="1" x14ac:dyDescent="0.35">
      <c r="A139" s="108" t="s">
        <v>690</v>
      </c>
      <c r="B139" s="106" t="s">
        <v>691</v>
      </c>
      <c r="C139" s="106" t="s">
        <v>136</v>
      </c>
      <c r="D139" s="106"/>
      <c r="E139" s="106"/>
      <c r="F139" s="106"/>
      <c r="G139" s="106" t="s">
        <v>30</v>
      </c>
      <c r="H139" s="107"/>
      <c r="I139" s="65">
        <v>67196</v>
      </c>
    </row>
    <row r="140" spans="1:9" s="73" customFormat="1" ht="69" customHeight="1" x14ac:dyDescent="0.35">
      <c r="A140" s="108"/>
      <c r="B140" s="106"/>
      <c r="C140" s="106"/>
      <c r="D140" s="106" t="s">
        <v>38</v>
      </c>
      <c r="E140" s="106">
        <v>1</v>
      </c>
      <c r="F140" s="106">
        <v>1</v>
      </c>
      <c r="G140" s="106"/>
      <c r="H140" s="107"/>
      <c r="I140" s="65"/>
    </row>
    <row r="141" spans="1:9" s="73" customFormat="1" ht="17.25" customHeight="1" x14ac:dyDescent="0.35">
      <c r="A141" s="104" t="s">
        <v>202</v>
      </c>
      <c r="B141" s="106" t="s">
        <v>203</v>
      </c>
      <c r="C141" s="106" t="s">
        <v>136</v>
      </c>
      <c r="D141" s="106"/>
      <c r="E141" s="106"/>
      <c r="F141" s="106"/>
      <c r="G141" s="106" t="s">
        <v>30</v>
      </c>
      <c r="H141" s="107"/>
      <c r="I141" s="64">
        <v>67264</v>
      </c>
    </row>
    <row r="142" spans="1:9" s="73" customFormat="1" ht="17.25" customHeight="1" x14ac:dyDescent="0.35">
      <c r="A142" s="104"/>
      <c r="B142" s="106"/>
      <c r="C142" s="106"/>
      <c r="D142" s="106" t="s">
        <v>38</v>
      </c>
      <c r="E142" s="106">
        <v>1</v>
      </c>
      <c r="F142" s="106">
        <v>1</v>
      </c>
      <c r="G142" s="106"/>
      <c r="H142" s="107"/>
      <c r="I142" s="64" t="s">
        <v>204</v>
      </c>
    </row>
    <row r="143" spans="1:9" s="73" customFormat="1" ht="17.25" customHeight="1" x14ac:dyDescent="0.35">
      <c r="A143" s="104"/>
      <c r="B143" s="106"/>
      <c r="C143" s="106"/>
      <c r="D143" s="106" t="s">
        <v>38</v>
      </c>
      <c r="E143" s="106">
        <v>1</v>
      </c>
      <c r="F143" s="106">
        <v>2</v>
      </c>
      <c r="G143" s="106"/>
      <c r="H143" s="107"/>
      <c r="I143" s="64" t="s">
        <v>205</v>
      </c>
    </row>
    <row r="144" spans="1:9" s="73" customFormat="1" ht="17.25" customHeight="1" x14ac:dyDescent="0.35">
      <c r="A144" s="104"/>
      <c r="B144" s="106"/>
      <c r="C144" s="106"/>
      <c r="D144" s="106" t="s">
        <v>32</v>
      </c>
      <c r="E144" s="106">
        <v>32</v>
      </c>
      <c r="F144" s="106" t="s">
        <v>206</v>
      </c>
      <c r="G144" s="106"/>
      <c r="H144" s="107"/>
      <c r="I144" s="64" t="s">
        <v>207</v>
      </c>
    </row>
    <row r="145" spans="1:9" s="73" customFormat="1" ht="17.25" customHeight="1" x14ac:dyDescent="0.35">
      <c r="A145" s="104"/>
      <c r="B145" s="106"/>
      <c r="C145" s="106"/>
      <c r="D145" s="106" t="s">
        <v>38</v>
      </c>
      <c r="E145" s="106">
        <v>1</v>
      </c>
      <c r="F145" s="106">
        <v>1</v>
      </c>
      <c r="G145" s="106"/>
      <c r="H145" s="107"/>
      <c r="I145" s="64" t="s">
        <v>208</v>
      </c>
    </row>
    <row r="146" spans="1:9" s="73" customFormat="1" ht="17.25" customHeight="1" x14ac:dyDescent="0.35">
      <c r="A146" s="104"/>
      <c r="B146" s="106"/>
      <c r="C146" s="106"/>
      <c r="D146" s="106" t="s">
        <v>38</v>
      </c>
      <c r="E146" s="106">
        <v>1</v>
      </c>
      <c r="F146" s="106">
        <v>1</v>
      </c>
      <c r="G146" s="106"/>
      <c r="H146" s="107"/>
      <c r="I146" s="64" t="s">
        <v>209</v>
      </c>
    </row>
    <row r="147" spans="1:9" s="73" customFormat="1" ht="17.25" customHeight="1" x14ac:dyDescent="0.35">
      <c r="A147" s="104"/>
      <c r="B147" s="106"/>
      <c r="C147" s="106"/>
      <c r="D147" s="106" t="s">
        <v>38</v>
      </c>
      <c r="E147" s="106">
        <v>1</v>
      </c>
      <c r="F147" s="106">
        <v>0</v>
      </c>
      <c r="G147" s="106"/>
      <c r="H147" s="107"/>
      <c r="I147" s="64" t="s">
        <v>210</v>
      </c>
    </row>
    <row r="148" spans="1:9" s="73" customFormat="1" ht="17.25" customHeight="1" x14ac:dyDescent="0.35">
      <c r="A148" s="104"/>
      <c r="B148" s="106"/>
      <c r="C148" s="106"/>
      <c r="D148" s="106" t="s">
        <v>38</v>
      </c>
      <c r="E148" s="106">
        <v>1</v>
      </c>
      <c r="F148" s="106">
        <v>0</v>
      </c>
      <c r="G148" s="106"/>
      <c r="H148" s="107"/>
      <c r="I148" s="64" t="s">
        <v>211</v>
      </c>
    </row>
    <row r="149" spans="1:9" s="73" customFormat="1" ht="17.25" customHeight="1" x14ac:dyDescent="0.35">
      <c r="A149" s="104"/>
      <c r="B149" s="106"/>
      <c r="C149" s="106"/>
      <c r="D149" s="106" t="s">
        <v>32</v>
      </c>
      <c r="E149" s="106">
        <v>256</v>
      </c>
      <c r="F149" s="106" t="s">
        <v>212</v>
      </c>
      <c r="G149" s="106"/>
      <c r="H149" s="107"/>
      <c r="I149" s="64" t="s">
        <v>213</v>
      </c>
    </row>
    <row r="150" spans="1:9" s="73" customFormat="1" ht="17.25" customHeight="1" x14ac:dyDescent="0.35">
      <c r="A150" s="104"/>
      <c r="B150" s="106"/>
      <c r="C150" s="106"/>
      <c r="D150" s="106" t="s">
        <v>38</v>
      </c>
      <c r="E150" s="106">
        <v>1</v>
      </c>
      <c r="F150" s="106">
        <v>12</v>
      </c>
      <c r="G150" s="106"/>
      <c r="H150" s="107"/>
      <c r="I150" s="64" t="s">
        <v>214</v>
      </c>
    </row>
    <row r="151" spans="1:9" s="73" customFormat="1" ht="17.25" customHeight="1" x14ac:dyDescent="0.35">
      <c r="A151" s="104"/>
      <c r="B151" s="106"/>
      <c r="C151" s="106"/>
      <c r="D151" s="106" t="s">
        <v>38</v>
      </c>
      <c r="E151" s="106">
        <v>1</v>
      </c>
      <c r="F151" s="106">
        <v>0</v>
      </c>
      <c r="G151" s="106"/>
      <c r="H151" s="107"/>
      <c r="I151" s="64" t="s">
        <v>215</v>
      </c>
    </row>
    <row r="152" spans="1:9" s="73" customFormat="1" ht="17.25" customHeight="1" x14ac:dyDescent="0.35">
      <c r="A152" s="104"/>
      <c r="B152" s="106"/>
      <c r="C152" s="106"/>
      <c r="D152" s="106" t="s">
        <v>38</v>
      </c>
      <c r="E152" s="106">
        <v>1</v>
      </c>
      <c r="F152" s="106">
        <v>0</v>
      </c>
      <c r="G152" s="106"/>
      <c r="H152" s="107"/>
      <c r="I152" s="64" t="s">
        <v>216</v>
      </c>
    </row>
    <row r="153" spans="1:9" s="73" customFormat="1" ht="17.25" customHeight="1" x14ac:dyDescent="0.35">
      <c r="A153" s="104"/>
      <c r="B153" s="106"/>
      <c r="C153" s="106"/>
      <c r="D153" s="106" t="s">
        <v>38</v>
      </c>
      <c r="E153" s="106">
        <v>2</v>
      </c>
      <c r="F153" s="106">
        <v>0</v>
      </c>
      <c r="G153" s="106"/>
      <c r="H153" s="107"/>
      <c r="I153" s="64" t="s">
        <v>217</v>
      </c>
    </row>
    <row r="154" spans="1:9" s="73" customFormat="1" ht="17.25" customHeight="1" x14ac:dyDescent="0.35">
      <c r="A154" s="104"/>
      <c r="B154" s="106"/>
      <c r="C154" s="106"/>
      <c r="D154" s="106" t="s">
        <v>38</v>
      </c>
      <c r="E154" s="106">
        <v>1</v>
      </c>
      <c r="F154" s="106">
        <v>0</v>
      </c>
      <c r="G154" s="106"/>
      <c r="H154" s="107"/>
      <c r="I154" s="64" t="s">
        <v>218</v>
      </c>
    </row>
    <row r="155" spans="1:9" s="73" customFormat="1" ht="17.25" customHeight="1" x14ac:dyDescent="0.35">
      <c r="A155" s="104"/>
      <c r="B155" s="106"/>
      <c r="C155" s="106"/>
      <c r="D155" s="106" t="s">
        <v>38</v>
      </c>
      <c r="E155" s="106">
        <v>1</v>
      </c>
      <c r="F155" s="106">
        <v>0</v>
      </c>
      <c r="G155" s="106"/>
      <c r="H155" s="107"/>
      <c r="I155" s="64" t="s">
        <v>219</v>
      </c>
    </row>
    <row r="156" spans="1:9" s="73" customFormat="1" ht="17.25" customHeight="1" x14ac:dyDescent="0.35">
      <c r="A156" s="104"/>
      <c r="B156" s="106"/>
      <c r="C156" s="106"/>
      <c r="D156" s="106" t="s">
        <v>32</v>
      </c>
      <c r="E156" s="106">
        <v>32</v>
      </c>
      <c r="F156" s="106"/>
      <c r="G156" s="106"/>
      <c r="H156" s="107"/>
      <c r="I156" s="64" t="s">
        <v>220</v>
      </c>
    </row>
    <row r="157" spans="1:9" s="73" customFormat="1" ht="17.25" customHeight="1" x14ac:dyDescent="0.35">
      <c r="A157" s="104"/>
      <c r="B157" s="106"/>
      <c r="C157" s="106"/>
      <c r="D157" s="106" t="s">
        <v>32</v>
      </c>
      <c r="E157" s="106">
        <v>32</v>
      </c>
      <c r="F157" s="106">
        <v>101</v>
      </c>
      <c r="G157" s="106"/>
      <c r="H157" s="107"/>
      <c r="I157" s="64" t="s">
        <v>221</v>
      </c>
    </row>
    <row r="158" spans="1:9" s="73" customFormat="1" ht="17.25" customHeight="1" x14ac:dyDescent="0.35">
      <c r="A158" s="104"/>
      <c r="B158" s="106"/>
      <c r="C158" s="106"/>
      <c r="D158" s="106" t="s">
        <v>38</v>
      </c>
      <c r="E158" s="106">
        <v>1</v>
      </c>
      <c r="F158" s="106">
        <v>30</v>
      </c>
      <c r="G158" s="106"/>
      <c r="H158" s="107"/>
      <c r="I158" s="64" t="s">
        <v>222</v>
      </c>
    </row>
    <row r="159" spans="1:9" s="73" customFormat="1" ht="17.25" customHeight="1" x14ac:dyDescent="0.35">
      <c r="A159" s="104"/>
      <c r="B159" s="106"/>
      <c r="C159" s="106"/>
      <c r="D159" s="106" t="s">
        <v>32</v>
      </c>
      <c r="E159" s="106">
        <v>32</v>
      </c>
      <c r="F159" s="106" t="s">
        <v>223</v>
      </c>
      <c r="G159" s="106"/>
      <c r="H159" s="107"/>
      <c r="I159" s="64" t="s">
        <v>224</v>
      </c>
    </row>
    <row r="160" spans="1:9" s="73" customFormat="1" ht="17.25" customHeight="1" x14ac:dyDescent="0.35">
      <c r="A160" s="104"/>
      <c r="B160" s="106"/>
      <c r="C160" s="106"/>
      <c r="D160" s="106" t="s">
        <v>38</v>
      </c>
      <c r="E160" s="106">
        <v>1</v>
      </c>
      <c r="F160" s="106">
        <v>1</v>
      </c>
      <c r="G160" s="106"/>
      <c r="H160" s="107"/>
      <c r="I160" s="64" t="s">
        <v>225</v>
      </c>
    </row>
    <row r="161" spans="1:9" s="73" customFormat="1" ht="17.25" customHeight="1" x14ac:dyDescent="0.35">
      <c r="A161" s="104"/>
      <c r="B161" s="106"/>
      <c r="C161" s="106"/>
      <c r="D161" s="106" t="s">
        <v>38</v>
      </c>
      <c r="E161" s="106">
        <v>1</v>
      </c>
      <c r="F161" s="106">
        <v>15</v>
      </c>
      <c r="G161" s="106"/>
      <c r="H161" s="107"/>
      <c r="I161" s="64" t="s">
        <v>226</v>
      </c>
    </row>
    <row r="162" spans="1:9" s="73" customFormat="1" ht="17.25" customHeight="1" x14ac:dyDescent="0.35">
      <c r="A162" s="104"/>
      <c r="B162" s="106"/>
      <c r="C162" s="106"/>
      <c r="D162" s="106" t="s">
        <v>38</v>
      </c>
      <c r="E162" s="106">
        <v>1</v>
      </c>
      <c r="F162" s="106">
        <v>3</v>
      </c>
      <c r="G162" s="106"/>
      <c r="H162" s="107"/>
      <c r="I162" s="64" t="s">
        <v>227</v>
      </c>
    </row>
    <row r="163" spans="1:9" s="73" customFormat="1" ht="17.25" customHeight="1" x14ac:dyDescent="0.35">
      <c r="A163" s="104"/>
      <c r="B163" s="106"/>
      <c r="C163" s="106"/>
      <c r="D163" s="106" t="s">
        <v>38</v>
      </c>
      <c r="E163" s="106">
        <v>1</v>
      </c>
      <c r="F163" s="106">
        <v>30</v>
      </c>
      <c r="G163" s="106"/>
      <c r="H163" s="107"/>
      <c r="I163" s="64" t="s">
        <v>228</v>
      </c>
    </row>
    <row r="164" spans="1:9" s="73" customFormat="1" ht="17.25" customHeight="1" x14ac:dyDescent="0.35">
      <c r="A164" s="104"/>
      <c r="B164" s="106"/>
      <c r="C164" s="106"/>
      <c r="D164" s="106" t="s">
        <v>38</v>
      </c>
      <c r="E164" s="106">
        <v>1</v>
      </c>
      <c r="F164" s="106">
        <v>0</v>
      </c>
      <c r="G164" s="106"/>
      <c r="H164" s="107"/>
      <c r="I164" s="64" t="s">
        <v>229</v>
      </c>
    </row>
    <row r="165" spans="1:9" s="73" customFormat="1" ht="17.25" customHeight="1" x14ac:dyDescent="0.35">
      <c r="A165" s="104"/>
      <c r="B165" s="106"/>
      <c r="C165" s="106"/>
      <c r="D165" s="106" t="s">
        <v>38</v>
      </c>
      <c r="E165" s="106">
        <v>2</v>
      </c>
      <c r="F165" s="106">
        <v>5060</v>
      </c>
      <c r="G165" s="106"/>
      <c r="H165" s="107"/>
      <c r="I165" s="64" t="s">
        <v>230</v>
      </c>
    </row>
    <row r="166" spans="1:9" s="73" customFormat="1" ht="17.25" customHeight="1" x14ac:dyDescent="0.35">
      <c r="A166" s="104" t="s">
        <v>231</v>
      </c>
      <c r="B166" s="106" t="s">
        <v>232</v>
      </c>
      <c r="C166" s="106" t="s">
        <v>136</v>
      </c>
      <c r="D166" s="106"/>
      <c r="E166" s="106"/>
      <c r="F166" s="106" t="s">
        <v>31</v>
      </c>
      <c r="G166" s="106" t="s">
        <v>30</v>
      </c>
      <c r="H166" s="107"/>
      <c r="I166" s="64">
        <v>67259</v>
      </c>
    </row>
    <row r="167" spans="1:9" s="73" customFormat="1" ht="17.25" customHeight="1" x14ac:dyDescent="0.35">
      <c r="A167" s="104"/>
      <c r="B167" s="106"/>
      <c r="C167" s="106"/>
      <c r="D167" s="106" t="s">
        <v>32</v>
      </c>
      <c r="E167" s="106">
        <v>128</v>
      </c>
      <c r="F167" s="106">
        <v>10138</v>
      </c>
      <c r="G167" s="106"/>
      <c r="H167" s="107"/>
      <c r="I167" s="64" t="s">
        <v>233</v>
      </c>
    </row>
    <row r="168" spans="1:9" s="73" customFormat="1" ht="17.25" customHeight="1" x14ac:dyDescent="0.35">
      <c r="A168" s="104"/>
      <c r="B168" s="106"/>
      <c r="C168" s="106"/>
      <c r="D168" s="106" t="s">
        <v>38</v>
      </c>
      <c r="E168" s="106">
        <v>1</v>
      </c>
      <c r="F168" s="106">
        <v>1</v>
      </c>
      <c r="G168" s="106"/>
      <c r="H168" s="107"/>
      <c r="I168" s="64" t="s">
        <v>234</v>
      </c>
    </row>
    <row r="169" spans="1:9" s="73" customFormat="1" ht="17.25" customHeight="1" x14ac:dyDescent="0.35">
      <c r="A169" s="104"/>
      <c r="B169" s="106"/>
      <c r="C169" s="106"/>
      <c r="D169" s="106" t="s">
        <v>32</v>
      </c>
      <c r="E169" s="106">
        <v>128</v>
      </c>
      <c r="F169" s="106" t="s">
        <v>235</v>
      </c>
      <c r="G169" s="106"/>
      <c r="H169" s="107"/>
      <c r="I169" s="64" t="s">
        <v>236</v>
      </c>
    </row>
    <row r="170" spans="1:9" s="73" customFormat="1" ht="17.25" customHeight="1" x14ac:dyDescent="0.35">
      <c r="A170" s="104"/>
      <c r="B170" s="106"/>
      <c r="C170" s="106"/>
      <c r="D170" s="106" t="s">
        <v>32</v>
      </c>
      <c r="E170" s="106">
        <v>64</v>
      </c>
      <c r="F170" s="106" t="s">
        <v>237</v>
      </c>
      <c r="G170" s="106"/>
      <c r="H170" s="107"/>
      <c r="I170" s="64" t="s">
        <v>238</v>
      </c>
    </row>
    <row r="171" spans="1:9" s="73" customFormat="1" ht="17.25" customHeight="1" x14ac:dyDescent="0.35">
      <c r="A171" s="104"/>
      <c r="B171" s="106"/>
      <c r="C171" s="106"/>
      <c r="D171" s="106" t="s">
        <v>38</v>
      </c>
      <c r="E171" s="106">
        <v>4</v>
      </c>
      <c r="F171" s="106" t="s">
        <v>239</v>
      </c>
      <c r="G171" s="106"/>
      <c r="H171" s="107"/>
      <c r="I171" s="64" t="s">
        <v>240</v>
      </c>
    </row>
    <row r="172" spans="1:9" s="73" customFormat="1" ht="17.25" customHeight="1" x14ac:dyDescent="0.35">
      <c r="A172" s="104"/>
      <c r="B172" s="106"/>
      <c r="C172" s="106"/>
      <c r="D172" s="106" t="s">
        <v>32</v>
      </c>
      <c r="E172" s="106">
        <v>256</v>
      </c>
      <c r="F172" s="106"/>
      <c r="G172" s="106"/>
      <c r="H172" s="107"/>
      <c r="I172" s="64" t="s">
        <v>241</v>
      </c>
    </row>
    <row r="173" spans="1:9" s="73" customFormat="1" ht="17.25" customHeight="1" x14ac:dyDescent="0.35">
      <c r="A173" s="104"/>
      <c r="B173" s="106"/>
      <c r="C173" s="106"/>
      <c r="D173" s="106" t="s">
        <v>38</v>
      </c>
      <c r="E173" s="106">
        <v>1</v>
      </c>
      <c r="F173" s="106">
        <v>1</v>
      </c>
      <c r="G173" s="106"/>
      <c r="H173" s="107"/>
      <c r="I173" s="64" t="s">
        <v>242</v>
      </c>
    </row>
    <row r="174" spans="1:9" s="73" customFormat="1" ht="17.25" customHeight="1" x14ac:dyDescent="0.35">
      <c r="A174" s="104" t="s">
        <v>243</v>
      </c>
      <c r="B174" s="106" t="s">
        <v>244</v>
      </c>
      <c r="C174" s="106" t="s">
        <v>136</v>
      </c>
      <c r="D174" s="106"/>
      <c r="E174" s="106"/>
      <c r="F174" s="106"/>
      <c r="G174" s="106" t="s">
        <v>30</v>
      </c>
      <c r="H174" s="107"/>
      <c r="I174" s="64">
        <v>69744</v>
      </c>
    </row>
    <row r="175" spans="1:9" s="73" customFormat="1" ht="17.25" customHeight="1" x14ac:dyDescent="0.35">
      <c r="A175" s="104"/>
      <c r="B175" s="106"/>
      <c r="C175" s="106"/>
      <c r="D175" s="106" t="s">
        <v>38</v>
      </c>
      <c r="E175" s="106">
        <v>1</v>
      </c>
      <c r="F175" s="106">
        <v>11</v>
      </c>
      <c r="G175" s="106"/>
      <c r="H175" s="107"/>
      <c r="I175" s="64" t="s">
        <v>245</v>
      </c>
    </row>
    <row r="176" spans="1:9" s="73" customFormat="1" ht="17.25" customHeight="1" x14ac:dyDescent="0.35">
      <c r="A176" s="104"/>
      <c r="B176" s="106"/>
      <c r="C176" s="106"/>
      <c r="D176" s="106" t="s">
        <v>38</v>
      </c>
      <c r="E176" s="106">
        <v>2</v>
      </c>
      <c r="F176" s="106">
        <v>5060</v>
      </c>
      <c r="G176" s="106"/>
      <c r="H176" s="107"/>
      <c r="I176" s="64" t="s">
        <v>246</v>
      </c>
    </row>
    <row r="177" spans="1:9" s="73" customFormat="1" ht="17.25" customHeight="1" x14ac:dyDescent="0.35">
      <c r="A177" s="104"/>
      <c r="B177" s="106"/>
      <c r="C177" s="106"/>
      <c r="D177" s="106" t="s">
        <v>38</v>
      </c>
      <c r="E177" s="106">
        <v>4</v>
      </c>
      <c r="F177" s="106">
        <v>0</v>
      </c>
      <c r="G177" s="106"/>
      <c r="H177" s="107"/>
      <c r="I177" s="64" t="s">
        <v>247</v>
      </c>
    </row>
    <row r="178" spans="1:9" s="73" customFormat="1" ht="17.25" customHeight="1" x14ac:dyDescent="0.35">
      <c r="A178" s="104"/>
      <c r="B178" s="106"/>
      <c r="C178" s="106"/>
      <c r="D178" s="106" t="s">
        <v>38</v>
      </c>
      <c r="E178" s="106">
        <v>4</v>
      </c>
      <c r="F178" s="106">
        <v>0</v>
      </c>
      <c r="G178" s="106"/>
      <c r="H178" s="107"/>
      <c r="I178" s="64" t="s">
        <v>248</v>
      </c>
    </row>
    <row r="179" spans="1:9" s="73" customFormat="1" ht="17.25" customHeight="1" x14ac:dyDescent="0.35">
      <c r="A179" s="104"/>
      <c r="B179" s="106"/>
      <c r="C179" s="106"/>
      <c r="D179" s="106" t="s">
        <v>38</v>
      </c>
      <c r="E179" s="106">
        <v>4</v>
      </c>
      <c r="F179" s="106">
        <v>2000</v>
      </c>
      <c r="G179" s="106"/>
      <c r="H179" s="107"/>
      <c r="I179" s="64" t="s">
        <v>249</v>
      </c>
    </row>
    <row r="180" spans="1:9" s="73" customFormat="1" ht="17.25" customHeight="1" x14ac:dyDescent="0.35">
      <c r="A180" s="104"/>
      <c r="B180" s="106"/>
      <c r="C180" s="106"/>
      <c r="D180" s="106" t="s">
        <v>38</v>
      </c>
      <c r="E180" s="106">
        <v>4</v>
      </c>
      <c r="F180" s="106">
        <v>16000</v>
      </c>
      <c r="G180" s="106"/>
      <c r="H180" s="107"/>
      <c r="I180" s="64" t="s">
        <v>250</v>
      </c>
    </row>
    <row r="181" spans="1:9" s="73" customFormat="1" ht="17.25" customHeight="1" x14ac:dyDescent="0.35">
      <c r="A181" s="104"/>
      <c r="B181" s="106"/>
      <c r="C181" s="106"/>
      <c r="D181" s="106" t="s">
        <v>38</v>
      </c>
      <c r="E181" s="106">
        <v>4</v>
      </c>
      <c r="F181" s="106">
        <v>17000</v>
      </c>
      <c r="G181" s="106"/>
      <c r="H181" s="107"/>
      <c r="I181" s="64" t="s">
        <v>251</v>
      </c>
    </row>
    <row r="182" spans="1:9" s="73" customFormat="1" ht="17.25" customHeight="1" x14ac:dyDescent="0.35">
      <c r="A182" s="104"/>
      <c r="B182" s="106"/>
      <c r="C182" s="106"/>
      <c r="D182" s="106" t="s">
        <v>38</v>
      </c>
      <c r="E182" s="106">
        <v>4</v>
      </c>
      <c r="F182" s="106">
        <v>32000</v>
      </c>
      <c r="G182" s="106"/>
      <c r="H182" s="107"/>
      <c r="I182" s="64" t="s">
        <v>252</v>
      </c>
    </row>
    <row r="183" spans="1:9" s="73" customFormat="1" ht="17.25" customHeight="1" x14ac:dyDescent="0.35">
      <c r="A183" s="104"/>
      <c r="B183" s="106"/>
      <c r="C183" s="106"/>
      <c r="D183" s="106" t="s">
        <v>38</v>
      </c>
      <c r="E183" s="106">
        <v>4</v>
      </c>
      <c r="F183" s="106">
        <v>32000</v>
      </c>
      <c r="G183" s="106"/>
      <c r="H183" s="107"/>
      <c r="I183" s="64" t="s">
        <v>253</v>
      </c>
    </row>
    <row r="184" spans="1:9" s="73" customFormat="1" ht="17.25" customHeight="1" x14ac:dyDescent="0.35">
      <c r="A184" s="104"/>
      <c r="B184" s="106"/>
      <c r="C184" s="106"/>
      <c r="D184" s="106" t="s">
        <v>38</v>
      </c>
      <c r="E184" s="106">
        <v>2</v>
      </c>
      <c r="F184" s="106">
        <v>1230</v>
      </c>
      <c r="G184" s="106"/>
      <c r="H184" s="107"/>
      <c r="I184" s="64" t="s">
        <v>254</v>
      </c>
    </row>
    <row r="185" spans="1:9" s="73" customFormat="1" ht="17.25" customHeight="1" x14ac:dyDescent="0.35">
      <c r="A185" s="104"/>
      <c r="B185" s="106"/>
      <c r="C185" s="106"/>
      <c r="D185" s="106" t="s">
        <v>38</v>
      </c>
      <c r="E185" s="106">
        <v>1</v>
      </c>
      <c r="F185" s="106">
        <v>1</v>
      </c>
      <c r="G185" s="106"/>
      <c r="H185" s="107"/>
      <c r="I185" s="64" t="s">
        <v>255</v>
      </c>
    </row>
    <row r="186" spans="1:9" s="73" customFormat="1" ht="17.25" customHeight="1" x14ac:dyDescent="0.35">
      <c r="A186" s="104"/>
      <c r="B186" s="106"/>
      <c r="C186" s="106"/>
      <c r="D186" s="106" t="s">
        <v>38</v>
      </c>
      <c r="E186" s="106">
        <v>1</v>
      </c>
      <c r="F186" s="106">
        <v>0</v>
      </c>
      <c r="G186" s="106"/>
      <c r="H186" s="107"/>
      <c r="I186" s="64" t="s">
        <v>256</v>
      </c>
    </row>
    <row r="187" spans="1:9" s="73" customFormat="1" ht="17.25" customHeight="1" x14ac:dyDescent="0.35">
      <c r="A187" s="104"/>
      <c r="B187" s="106"/>
      <c r="C187" s="106"/>
      <c r="D187" s="106" t="s">
        <v>38</v>
      </c>
      <c r="E187" s="106">
        <v>1</v>
      </c>
      <c r="F187" s="106">
        <v>0</v>
      </c>
      <c r="G187" s="106"/>
      <c r="H187" s="107"/>
      <c r="I187" s="64" t="s">
        <v>257</v>
      </c>
    </row>
    <row r="188" spans="1:9" s="73" customFormat="1" ht="17.25" customHeight="1" x14ac:dyDescent="0.35">
      <c r="A188" s="104"/>
      <c r="B188" s="106"/>
      <c r="C188" s="106"/>
      <c r="D188" s="106" t="s">
        <v>38</v>
      </c>
      <c r="E188" s="106">
        <v>1</v>
      </c>
      <c r="F188" s="106">
        <v>3</v>
      </c>
      <c r="G188" s="106"/>
      <c r="H188" s="107"/>
      <c r="I188" s="64" t="s">
        <v>258</v>
      </c>
    </row>
    <row r="189" spans="1:9" s="73" customFormat="1" ht="17.25" customHeight="1" x14ac:dyDescent="0.35">
      <c r="A189" s="104"/>
      <c r="B189" s="106"/>
      <c r="C189" s="106"/>
      <c r="D189" s="106" t="s">
        <v>38</v>
      </c>
      <c r="E189" s="106">
        <v>1</v>
      </c>
      <c r="F189" s="106">
        <v>7</v>
      </c>
      <c r="G189" s="106"/>
      <c r="H189" s="107"/>
      <c r="I189" s="64" t="s">
        <v>259</v>
      </c>
    </row>
    <row r="190" spans="1:9" s="73" customFormat="1" ht="17.25" customHeight="1" x14ac:dyDescent="0.35">
      <c r="A190" s="104"/>
      <c r="B190" s="106"/>
      <c r="C190" s="106"/>
      <c r="D190" s="106" t="s">
        <v>38</v>
      </c>
      <c r="E190" s="106">
        <v>1</v>
      </c>
      <c r="F190" s="106">
        <v>0</v>
      </c>
      <c r="G190" s="106"/>
      <c r="H190" s="107"/>
      <c r="I190" s="64" t="s">
        <v>260</v>
      </c>
    </row>
    <row r="191" spans="1:9" s="73" customFormat="1" ht="17.25" customHeight="1" x14ac:dyDescent="0.35">
      <c r="A191" s="104"/>
      <c r="B191" s="106"/>
      <c r="C191" s="106"/>
      <c r="D191" s="106" t="s">
        <v>38</v>
      </c>
      <c r="E191" s="106">
        <v>1</v>
      </c>
      <c r="F191" s="106">
        <v>0</v>
      </c>
      <c r="G191" s="106"/>
      <c r="H191" s="107"/>
      <c r="I191" s="64" t="s">
        <v>261</v>
      </c>
    </row>
    <row r="192" spans="1:9" s="73" customFormat="1" ht="17.25" customHeight="1" x14ac:dyDescent="0.35">
      <c r="A192" s="104"/>
      <c r="B192" s="106"/>
      <c r="C192" s="106"/>
      <c r="D192" s="106" t="s">
        <v>32</v>
      </c>
      <c r="E192" s="106">
        <v>256</v>
      </c>
      <c r="F192" s="106"/>
      <c r="G192" s="106"/>
      <c r="H192" s="107"/>
      <c r="I192" s="64" t="s">
        <v>262</v>
      </c>
    </row>
    <row r="193" spans="1:9" s="73" customFormat="1" ht="17.25" customHeight="1" x14ac:dyDescent="0.35">
      <c r="A193" s="104"/>
      <c r="B193" s="106"/>
      <c r="C193" s="106"/>
      <c r="D193" s="106" t="s">
        <v>32</v>
      </c>
      <c r="E193" s="106">
        <v>256</v>
      </c>
      <c r="F193" s="106"/>
      <c r="G193" s="106"/>
      <c r="H193" s="107"/>
      <c r="I193" s="64" t="s">
        <v>263</v>
      </c>
    </row>
    <row r="194" spans="1:9" s="73" customFormat="1" ht="17.25" customHeight="1" x14ac:dyDescent="0.35">
      <c r="A194" s="104"/>
      <c r="B194" s="106"/>
      <c r="C194" s="106"/>
      <c r="D194" s="106" t="s">
        <v>38</v>
      </c>
      <c r="E194" s="106">
        <v>1</v>
      </c>
      <c r="F194" s="106">
        <v>0</v>
      </c>
      <c r="G194" s="106"/>
      <c r="H194" s="107"/>
      <c r="I194" s="64" t="s">
        <v>264</v>
      </c>
    </row>
    <row r="195" spans="1:9" s="73" customFormat="1" ht="17.25" customHeight="1" x14ac:dyDescent="0.35">
      <c r="A195" s="104"/>
      <c r="B195" s="106"/>
      <c r="C195" s="106"/>
      <c r="D195" s="106" t="s">
        <v>38</v>
      </c>
      <c r="E195" s="106">
        <v>4</v>
      </c>
      <c r="F195" s="106">
        <v>0</v>
      </c>
      <c r="G195" s="106"/>
      <c r="H195" s="107"/>
      <c r="I195" s="64" t="s">
        <v>265</v>
      </c>
    </row>
    <row r="196" spans="1:9" s="73" customFormat="1" ht="17.25" customHeight="1" x14ac:dyDescent="0.35">
      <c r="A196" s="104"/>
      <c r="B196" s="106"/>
      <c r="C196" s="106"/>
      <c r="D196" s="106" t="s">
        <v>38</v>
      </c>
      <c r="E196" s="106">
        <v>4</v>
      </c>
      <c r="F196" s="106">
        <v>0</v>
      </c>
      <c r="G196" s="106"/>
      <c r="H196" s="107"/>
      <c r="I196" s="64" t="s">
        <v>266</v>
      </c>
    </row>
    <row r="197" spans="1:9" s="73" customFormat="1" ht="17.25" customHeight="1" x14ac:dyDescent="0.35">
      <c r="A197" s="104"/>
      <c r="B197" s="106"/>
      <c r="C197" s="106"/>
      <c r="D197" s="106" t="s">
        <v>38</v>
      </c>
      <c r="E197" s="106">
        <v>4</v>
      </c>
      <c r="F197" s="106"/>
      <c r="G197" s="106"/>
      <c r="H197" s="107"/>
      <c r="I197" s="64" t="s">
        <v>267</v>
      </c>
    </row>
    <row r="198" spans="1:9" s="73" customFormat="1" ht="17.25" customHeight="1" x14ac:dyDescent="0.35">
      <c r="A198" s="104"/>
      <c r="B198" s="106"/>
      <c r="C198" s="106"/>
      <c r="D198" s="106" t="s">
        <v>38</v>
      </c>
      <c r="E198" s="106">
        <v>4</v>
      </c>
      <c r="F198" s="106"/>
      <c r="G198" s="106"/>
      <c r="H198" s="107"/>
      <c r="I198" s="64" t="s">
        <v>268</v>
      </c>
    </row>
    <row r="199" spans="1:9" s="73" customFormat="1" ht="17.25" customHeight="1" x14ac:dyDescent="0.35">
      <c r="A199" s="104"/>
      <c r="B199" s="106"/>
      <c r="C199" s="106"/>
      <c r="D199" s="106" t="s">
        <v>38</v>
      </c>
      <c r="E199" s="106">
        <v>4</v>
      </c>
      <c r="F199" s="106"/>
      <c r="G199" s="106"/>
      <c r="H199" s="107"/>
      <c r="I199" s="64" t="s">
        <v>269</v>
      </c>
    </row>
    <row r="200" spans="1:9" s="73" customFormat="1" ht="17.25" customHeight="1" x14ac:dyDescent="0.35">
      <c r="A200" s="104"/>
      <c r="B200" s="106"/>
      <c r="C200" s="106"/>
      <c r="D200" s="106" t="s">
        <v>38</v>
      </c>
      <c r="E200" s="106">
        <v>4</v>
      </c>
      <c r="F200" s="106"/>
      <c r="G200" s="106"/>
      <c r="H200" s="107"/>
      <c r="I200" s="64" t="s">
        <v>270</v>
      </c>
    </row>
    <row r="201" spans="1:9" s="73" customFormat="1" ht="17.25" customHeight="1" x14ac:dyDescent="0.35">
      <c r="A201" s="104"/>
      <c r="B201" s="106"/>
      <c r="C201" s="106"/>
      <c r="D201" s="106" t="s">
        <v>38</v>
      </c>
      <c r="E201" s="106">
        <v>4</v>
      </c>
      <c r="F201" s="106"/>
      <c r="G201" s="106"/>
      <c r="H201" s="107"/>
      <c r="I201" s="64" t="s">
        <v>271</v>
      </c>
    </row>
    <row r="202" spans="1:9" s="73" customFormat="1" ht="17.25" customHeight="1" x14ac:dyDescent="0.35">
      <c r="A202" s="104"/>
      <c r="B202" s="106"/>
      <c r="C202" s="106"/>
      <c r="D202" s="106" t="s">
        <v>38</v>
      </c>
      <c r="E202" s="106">
        <v>4</v>
      </c>
      <c r="F202" s="106"/>
      <c r="G202" s="106"/>
      <c r="H202" s="107"/>
      <c r="I202" s="64" t="s">
        <v>272</v>
      </c>
    </row>
    <row r="203" spans="1:9" s="73" customFormat="1" ht="17.25" customHeight="1" x14ac:dyDescent="0.35">
      <c r="A203" s="104"/>
      <c r="B203" s="106"/>
      <c r="C203" s="106"/>
      <c r="D203" s="106" t="s">
        <v>38</v>
      </c>
      <c r="E203" s="106">
        <v>1</v>
      </c>
      <c r="F203" s="106">
        <v>0</v>
      </c>
      <c r="G203" s="106"/>
      <c r="H203" s="107"/>
      <c r="I203" s="64" t="s">
        <v>273</v>
      </c>
    </row>
    <row r="204" spans="1:9" s="73" customFormat="1" ht="17.25" customHeight="1" x14ac:dyDescent="0.35">
      <c r="A204" s="104"/>
      <c r="B204" s="106"/>
      <c r="C204" s="106"/>
      <c r="D204" s="106" t="s">
        <v>38</v>
      </c>
      <c r="E204" s="106">
        <v>2</v>
      </c>
      <c r="F204" s="106">
        <v>0</v>
      </c>
      <c r="G204" s="106"/>
      <c r="H204" s="107"/>
      <c r="I204" s="64" t="s">
        <v>274</v>
      </c>
    </row>
    <row r="205" spans="1:9" s="73" customFormat="1" ht="17.25" customHeight="1" x14ac:dyDescent="0.35">
      <c r="A205" s="104"/>
      <c r="B205" s="106"/>
      <c r="C205" s="106"/>
      <c r="D205" s="106" t="s">
        <v>38</v>
      </c>
      <c r="E205" s="106">
        <v>4</v>
      </c>
      <c r="F205" s="106">
        <v>32000</v>
      </c>
      <c r="G205" s="106"/>
      <c r="H205" s="107"/>
      <c r="I205" s="64" t="s">
        <v>275</v>
      </c>
    </row>
    <row r="206" spans="1:9" s="73" customFormat="1" ht="17.25" customHeight="1" x14ac:dyDescent="0.35">
      <c r="A206" s="104"/>
      <c r="B206" s="106"/>
      <c r="C206" s="106"/>
      <c r="D206" s="106" t="s">
        <v>38</v>
      </c>
      <c r="E206" s="106">
        <v>1</v>
      </c>
      <c r="F206" s="106">
        <v>0</v>
      </c>
      <c r="G206" s="106"/>
      <c r="H206" s="107"/>
      <c r="I206" s="64" t="s">
        <v>276</v>
      </c>
    </row>
    <row r="207" spans="1:9" s="73" customFormat="1" ht="17.25" customHeight="1" x14ac:dyDescent="0.35">
      <c r="A207" s="104"/>
      <c r="B207" s="106"/>
      <c r="C207" s="106"/>
      <c r="D207" s="106" t="s">
        <v>38</v>
      </c>
      <c r="E207" s="106">
        <v>1</v>
      </c>
      <c r="F207" s="106">
        <v>0</v>
      </c>
      <c r="G207" s="106"/>
      <c r="H207" s="107"/>
      <c r="I207" s="64" t="s">
        <v>277</v>
      </c>
    </row>
    <row r="208" spans="1:9" s="73" customFormat="1" ht="17.25" customHeight="1" x14ac:dyDescent="0.35">
      <c r="A208" s="104"/>
      <c r="B208" s="106"/>
      <c r="C208" s="106"/>
      <c r="D208" s="106" t="s">
        <v>38</v>
      </c>
      <c r="E208" s="106">
        <v>4</v>
      </c>
      <c r="F208" s="106">
        <v>0</v>
      </c>
      <c r="G208" s="106"/>
      <c r="H208" s="107"/>
      <c r="I208" s="64" t="s">
        <v>278</v>
      </c>
    </row>
    <row r="209" spans="1:9" s="73" customFormat="1" ht="17.25" customHeight="1" x14ac:dyDescent="0.35">
      <c r="A209" s="104"/>
      <c r="B209" s="106"/>
      <c r="C209" s="106"/>
      <c r="D209" s="106" t="s">
        <v>38</v>
      </c>
      <c r="E209" s="106">
        <v>1</v>
      </c>
      <c r="F209" s="106">
        <v>0</v>
      </c>
      <c r="G209" s="106"/>
      <c r="H209" s="107"/>
      <c r="I209" s="64" t="s">
        <v>279</v>
      </c>
    </row>
    <row r="210" spans="1:9" s="73" customFormat="1" ht="17.25" customHeight="1" x14ac:dyDescent="0.35">
      <c r="A210" s="104"/>
      <c r="B210" s="106"/>
      <c r="C210" s="106"/>
      <c r="D210" s="106" t="s">
        <v>38</v>
      </c>
      <c r="E210" s="106">
        <v>1</v>
      </c>
      <c r="F210" s="106">
        <v>40</v>
      </c>
      <c r="G210" s="106"/>
      <c r="H210" s="107"/>
      <c r="I210" s="64" t="s">
        <v>280</v>
      </c>
    </row>
    <row r="211" spans="1:9" s="73" customFormat="1" ht="17.25" customHeight="1" x14ac:dyDescent="0.35">
      <c r="A211" s="104"/>
      <c r="B211" s="106"/>
      <c r="C211" s="106"/>
      <c r="D211" s="106" t="s">
        <v>38</v>
      </c>
      <c r="E211" s="106">
        <v>4</v>
      </c>
      <c r="F211" s="106"/>
      <c r="G211" s="106"/>
      <c r="H211" s="107"/>
      <c r="I211" s="64" t="s">
        <v>684</v>
      </c>
    </row>
    <row r="212" spans="1:9" s="73" customFormat="1" ht="17.25" customHeight="1" x14ac:dyDescent="0.35">
      <c r="A212" s="104"/>
      <c r="B212" s="106"/>
      <c r="C212" s="106"/>
      <c r="D212" s="106" t="s">
        <v>38</v>
      </c>
      <c r="E212" s="106">
        <v>4</v>
      </c>
      <c r="F212" s="106"/>
      <c r="G212" s="106"/>
      <c r="H212" s="107"/>
      <c r="I212" s="64" t="s">
        <v>685</v>
      </c>
    </row>
    <row r="213" spans="1:9" s="73" customFormat="1" ht="17.25" customHeight="1" x14ac:dyDescent="0.35">
      <c r="A213" s="104"/>
      <c r="B213" s="106"/>
      <c r="C213" s="106"/>
      <c r="D213" s="106" t="s">
        <v>38</v>
      </c>
      <c r="E213" s="106">
        <v>2</v>
      </c>
      <c r="F213" s="106"/>
      <c r="G213" s="106"/>
      <c r="H213" s="107"/>
      <c r="I213" s="64" t="s">
        <v>686</v>
      </c>
    </row>
    <row r="214" spans="1:9" s="73" customFormat="1" ht="17.25" customHeight="1" x14ac:dyDescent="0.35">
      <c r="A214" s="104"/>
      <c r="B214" s="106"/>
      <c r="C214" s="106"/>
      <c r="D214" s="106" t="s">
        <v>38</v>
      </c>
      <c r="E214" s="106">
        <v>4</v>
      </c>
      <c r="F214" s="106"/>
      <c r="G214" s="106"/>
      <c r="H214" s="107"/>
      <c r="I214" s="64" t="s">
        <v>687</v>
      </c>
    </row>
    <row r="215" spans="1:9" s="73" customFormat="1" ht="17.25" customHeight="1" x14ac:dyDescent="0.35">
      <c r="A215" s="104"/>
      <c r="B215" s="106"/>
      <c r="C215" s="106"/>
      <c r="D215" s="106" t="s">
        <v>38</v>
      </c>
      <c r="E215" s="106">
        <v>4</v>
      </c>
      <c r="F215" s="106"/>
      <c r="G215" s="106"/>
      <c r="H215" s="107"/>
      <c r="I215" s="64" t="s">
        <v>688</v>
      </c>
    </row>
    <row r="216" spans="1:9" s="73" customFormat="1" ht="17.25" customHeight="1" x14ac:dyDescent="0.35">
      <c r="A216" s="104"/>
      <c r="B216" s="106"/>
      <c r="C216" s="106"/>
      <c r="D216" s="106" t="s">
        <v>32</v>
      </c>
      <c r="E216" s="106">
        <v>406</v>
      </c>
      <c r="F216" s="106"/>
      <c r="G216" s="106"/>
      <c r="H216" s="107"/>
      <c r="I216" s="64" t="s">
        <v>180</v>
      </c>
    </row>
    <row r="217" spans="1:9" s="73" customFormat="1" ht="17.25" customHeight="1" x14ac:dyDescent="0.35">
      <c r="A217" s="104" t="s">
        <v>281</v>
      </c>
      <c r="B217" s="106" t="s">
        <v>282</v>
      </c>
      <c r="C217" s="106" t="s">
        <v>136</v>
      </c>
      <c r="D217" s="106"/>
      <c r="E217" s="106"/>
      <c r="F217" s="106"/>
      <c r="G217" s="106" t="s">
        <v>30</v>
      </c>
      <c r="H217" s="107"/>
      <c r="I217" s="64">
        <v>69673</v>
      </c>
    </row>
    <row r="218" spans="1:9" s="73" customFormat="1" ht="17.25" customHeight="1" x14ac:dyDescent="0.35">
      <c r="A218" s="104"/>
      <c r="B218" s="106"/>
      <c r="C218" s="106"/>
      <c r="D218" s="106" t="s">
        <v>38</v>
      </c>
      <c r="E218" s="106">
        <v>1</v>
      </c>
      <c r="F218" s="106">
        <v>2</v>
      </c>
      <c r="G218" s="106"/>
      <c r="H218" s="107"/>
      <c r="I218" s="64" t="s">
        <v>31</v>
      </c>
    </row>
    <row r="219" spans="1:9" s="73" customFormat="1" ht="17.25" customHeight="1" x14ac:dyDescent="0.35">
      <c r="A219" s="104" t="s">
        <v>283</v>
      </c>
      <c r="B219" s="106" t="s">
        <v>284</v>
      </c>
      <c r="C219" s="106" t="s">
        <v>136</v>
      </c>
      <c r="D219" s="106"/>
      <c r="E219" s="106"/>
      <c r="F219" s="106"/>
      <c r="G219" s="106" t="s">
        <v>30</v>
      </c>
      <c r="H219" s="107"/>
      <c r="I219" s="64">
        <v>67348</v>
      </c>
    </row>
    <row r="220" spans="1:9" s="73" customFormat="1" ht="17.25" customHeight="1" x14ac:dyDescent="0.35">
      <c r="A220" s="104"/>
      <c r="B220" s="106"/>
      <c r="C220" s="106"/>
      <c r="D220" s="106" t="s">
        <v>38</v>
      </c>
      <c r="E220" s="106">
        <v>1</v>
      </c>
      <c r="F220" s="106">
        <v>25</v>
      </c>
      <c r="G220" s="106"/>
      <c r="H220" s="107"/>
      <c r="I220" s="64" t="s">
        <v>177</v>
      </c>
    </row>
    <row r="221" spans="1:9" s="73" customFormat="1" ht="17.25" customHeight="1" x14ac:dyDescent="0.35">
      <c r="A221" s="104"/>
      <c r="B221" s="106"/>
      <c r="C221" s="106"/>
      <c r="D221" s="106" t="s">
        <v>38</v>
      </c>
      <c r="E221" s="106">
        <v>1</v>
      </c>
      <c r="F221" s="106">
        <v>1</v>
      </c>
      <c r="G221" s="106"/>
      <c r="H221" s="107"/>
      <c r="I221" s="64" t="s">
        <v>285</v>
      </c>
    </row>
    <row r="222" spans="1:9" s="73" customFormat="1" ht="17.25" customHeight="1" x14ac:dyDescent="0.35">
      <c r="A222" s="104"/>
      <c r="B222" s="106"/>
      <c r="C222" s="106"/>
      <c r="D222" s="106" t="s">
        <v>38</v>
      </c>
      <c r="E222" s="106">
        <v>4</v>
      </c>
      <c r="F222" s="106">
        <v>0</v>
      </c>
      <c r="G222" s="106"/>
      <c r="H222" s="107"/>
      <c r="I222" s="64" t="s">
        <v>286</v>
      </c>
    </row>
    <row r="223" spans="1:9" s="73" customFormat="1" ht="17.25" customHeight="1" x14ac:dyDescent="0.35">
      <c r="A223" s="104"/>
      <c r="B223" s="106"/>
      <c r="C223" s="106"/>
      <c r="D223" s="106" t="s">
        <v>38</v>
      </c>
      <c r="E223" s="106">
        <v>1</v>
      </c>
      <c r="F223" s="106">
        <v>0</v>
      </c>
      <c r="G223" s="106"/>
      <c r="H223" s="107"/>
      <c r="I223" s="64" t="s">
        <v>287</v>
      </c>
    </row>
    <row r="224" spans="1:9" s="73" customFormat="1" ht="17.25" customHeight="1" x14ac:dyDescent="0.35">
      <c r="A224" s="104"/>
      <c r="B224" s="106"/>
      <c r="C224" s="106"/>
      <c r="D224" s="106" t="s">
        <v>38</v>
      </c>
      <c r="E224" s="106">
        <v>1</v>
      </c>
      <c r="F224" s="106">
        <v>0</v>
      </c>
      <c r="G224" s="106"/>
      <c r="H224" s="107"/>
      <c r="I224" s="64" t="s">
        <v>288</v>
      </c>
    </row>
    <row r="225" spans="1:9" s="73" customFormat="1" ht="17.25" customHeight="1" x14ac:dyDescent="0.35">
      <c r="A225" s="104"/>
      <c r="B225" s="106"/>
      <c r="C225" s="106"/>
      <c r="D225" s="106" t="s">
        <v>38</v>
      </c>
      <c r="E225" s="106">
        <v>1</v>
      </c>
      <c r="F225" s="106">
        <v>0</v>
      </c>
      <c r="G225" s="106"/>
      <c r="H225" s="107"/>
      <c r="I225" s="64" t="s">
        <v>289</v>
      </c>
    </row>
    <row r="226" spans="1:9" s="73" customFormat="1" ht="17.25" customHeight="1" x14ac:dyDescent="0.35">
      <c r="A226" s="104"/>
      <c r="B226" s="106"/>
      <c r="C226" s="106"/>
      <c r="D226" s="106" t="s">
        <v>38</v>
      </c>
      <c r="E226" s="106">
        <v>1</v>
      </c>
      <c r="F226" s="106">
        <v>0</v>
      </c>
      <c r="G226" s="106"/>
      <c r="H226" s="107"/>
      <c r="I226" s="64" t="s">
        <v>290</v>
      </c>
    </row>
    <row r="227" spans="1:9" s="73" customFormat="1" ht="17.25" customHeight="1" x14ac:dyDescent="0.35">
      <c r="A227" s="104"/>
      <c r="B227" s="106"/>
      <c r="C227" s="106"/>
      <c r="D227" s="106" t="s">
        <v>32</v>
      </c>
      <c r="E227" s="106">
        <v>16</v>
      </c>
      <c r="F227" s="106"/>
      <c r="G227" s="106"/>
      <c r="H227" s="107"/>
      <c r="I227" s="64" t="s">
        <v>291</v>
      </c>
    </row>
    <row r="228" spans="1:9" s="73" customFormat="1" ht="17.25" customHeight="1" x14ac:dyDescent="0.35">
      <c r="A228" s="104"/>
      <c r="B228" s="106"/>
      <c r="C228" s="106"/>
      <c r="D228" s="106" t="s">
        <v>38</v>
      </c>
      <c r="E228" s="106">
        <v>1</v>
      </c>
      <c r="F228" s="106">
        <v>1</v>
      </c>
      <c r="G228" s="106"/>
      <c r="H228" s="107"/>
      <c r="I228" s="64" t="s">
        <v>292</v>
      </c>
    </row>
    <row r="229" spans="1:9" s="73" customFormat="1" ht="17.25" customHeight="1" x14ac:dyDescent="0.35">
      <c r="A229" s="104"/>
      <c r="B229" s="106"/>
      <c r="C229" s="106"/>
      <c r="D229" s="106" t="s">
        <v>38</v>
      </c>
      <c r="E229" s="106">
        <v>1</v>
      </c>
      <c r="F229" s="106">
        <v>0</v>
      </c>
      <c r="G229" s="106"/>
      <c r="H229" s="107"/>
      <c r="I229" s="64" t="s">
        <v>293</v>
      </c>
    </row>
    <row r="230" spans="1:9" s="73" customFormat="1" ht="17.25" customHeight="1" x14ac:dyDescent="0.35">
      <c r="A230" s="104"/>
      <c r="B230" s="106"/>
      <c r="C230" s="106"/>
      <c r="D230" s="106" t="s">
        <v>38</v>
      </c>
      <c r="E230" s="106">
        <v>1</v>
      </c>
      <c r="F230" s="106">
        <v>0</v>
      </c>
      <c r="G230" s="106"/>
      <c r="H230" s="107"/>
      <c r="I230" s="64" t="s">
        <v>294</v>
      </c>
    </row>
    <row r="231" spans="1:9" s="73" customFormat="1" ht="17.25" customHeight="1" x14ac:dyDescent="0.35">
      <c r="A231" s="104"/>
      <c r="B231" s="106"/>
      <c r="C231" s="106"/>
      <c r="D231" s="106" t="s">
        <v>38</v>
      </c>
      <c r="E231" s="106">
        <v>1</v>
      </c>
      <c r="F231" s="106">
        <v>0</v>
      </c>
      <c r="G231" s="106"/>
      <c r="H231" s="107"/>
      <c r="I231" s="64" t="s">
        <v>295</v>
      </c>
    </row>
    <row r="232" spans="1:9" s="73" customFormat="1" ht="17.25" customHeight="1" x14ac:dyDescent="0.35">
      <c r="A232" s="104"/>
      <c r="B232" s="106"/>
      <c r="C232" s="106"/>
      <c r="D232" s="106" t="s">
        <v>38</v>
      </c>
      <c r="E232" s="106">
        <v>1</v>
      </c>
      <c r="F232" s="106">
        <v>3</v>
      </c>
      <c r="G232" s="106"/>
      <c r="H232" s="107"/>
      <c r="I232" s="64" t="s">
        <v>296</v>
      </c>
    </row>
    <row r="233" spans="1:9" s="73" customFormat="1" ht="17.25" customHeight="1" x14ac:dyDescent="0.35">
      <c r="A233" s="104"/>
      <c r="B233" s="106"/>
      <c r="C233" s="106"/>
      <c r="D233" s="106" t="s">
        <v>38</v>
      </c>
      <c r="E233" s="106">
        <v>1</v>
      </c>
      <c r="F233" s="106">
        <v>1</v>
      </c>
      <c r="G233" s="106"/>
      <c r="H233" s="107"/>
      <c r="I233" s="64" t="s">
        <v>297</v>
      </c>
    </row>
    <row r="234" spans="1:9" s="73" customFormat="1" ht="17.25" customHeight="1" x14ac:dyDescent="0.35">
      <c r="A234" s="104"/>
      <c r="B234" s="106"/>
      <c r="C234" s="106"/>
      <c r="D234" s="106" t="s">
        <v>38</v>
      </c>
      <c r="E234" s="106">
        <v>1</v>
      </c>
      <c r="F234" s="106">
        <v>1</v>
      </c>
      <c r="G234" s="106"/>
      <c r="H234" s="107"/>
      <c r="I234" s="64" t="s">
        <v>298</v>
      </c>
    </row>
    <row r="235" spans="1:9" s="73" customFormat="1" ht="17.25" customHeight="1" x14ac:dyDescent="0.35">
      <c r="A235" s="104"/>
      <c r="B235" s="106"/>
      <c r="C235" s="106"/>
      <c r="D235" s="106" t="s">
        <v>38</v>
      </c>
      <c r="E235" s="106">
        <v>1</v>
      </c>
      <c r="F235" s="106">
        <v>0</v>
      </c>
      <c r="G235" s="106"/>
      <c r="H235" s="107"/>
      <c r="I235" s="64" t="s">
        <v>299</v>
      </c>
    </row>
    <row r="236" spans="1:9" s="73" customFormat="1" ht="17.25" customHeight="1" x14ac:dyDescent="0.35">
      <c r="A236" s="104"/>
      <c r="B236" s="106"/>
      <c r="C236" s="106"/>
      <c r="D236" s="106" t="s">
        <v>38</v>
      </c>
      <c r="E236" s="106">
        <v>1</v>
      </c>
      <c r="F236" s="106">
        <v>1</v>
      </c>
      <c r="G236" s="106"/>
      <c r="H236" s="107"/>
      <c r="I236" s="64" t="s">
        <v>300</v>
      </c>
    </row>
    <row r="237" spans="1:9" s="73" customFormat="1" ht="17.25" customHeight="1" x14ac:dyDescent="0.35">
      <c r="A237" s="104"/>
      <c r="B237" s="106"/>
      <c r="C237" s="106"/>
      <c r="D237" s="106" t="s">
        <v>32</v>
      </c>
      <c r="E237" s="106">
        <v>128</v>
      </c>
      <c r="F237" s="106"/>
      <c r="G237" s="106"/>
      <c r="H237" s="107"/>
      <c r="I237" s="64" t="s">
        <v>301</v>
      </c>
    </row>
    <row r="238" spans="1:9" s="73" customFormat="1" ht="17.25" customHeight="1" x14ac:dyDescent="0.35">
      <c r="A238" s="104"/>
      <c r="B238" s="106"/>
      <c r="C238" s="106"/>
      <c r="D238" s="106" t="s">
        <v>32</v>
      </c>
      <c r="E238" s="106">
        <v>128</v>
      </c>
      <c r="F238" s="106" t="s">
        <v>302</v>
      </c>
      <c r="G238" s="106"/>
      <c r="H238" s="107"/>
      <c r="I238" s="64" t="s">
        <v>303</v>
      </c>
    </row>
    <row r="239" spans="1:9" s="73" customFormat="1" ht="17.25" customHeight="1" x14ac:dyDescent="0.35">
      <c r="A239" s="104"/>
      <c r="B239" s="106"/>
      <c r="C239" s="106"/>
      <c r="D239" s="106" t="s">
        <v>38</v>
      </c>
      <c r="E239" s="106">
        <v>1</v>
      </c>
      <c r="F239" s="106"/>
      <c r="G239" s="106"/>
      <c r="H239" s="107"/>
      <c r="I239" s="64" t="s">
        <v>304</v>
      </c>
    </row>
    <row r="240" spans="1:9" s="73" customFormat="1" ht="17.25" customHeight="1" x14ac:dyDescent="0.35">
      <c r="A240" s="104"/>
      <c r="B240" s="106"/>
      <c r="C240" s="106"/>
      <c r="D240" s="106" t="s">
        <v>38</v>
      </c>
      <c r="E240" s="106">
        <v>1</v>
      </c>
      <c r="F240" s="106"/>
      <c r="G240" s="106"/>
      <c r="H240" s="107"/>
      <c r="I240" s="64" t="s">
        <v>305</v>
      </c>
    </row>
    <row r="241" spans="1:9" s="73" customFormat="1" ht="17.25" customHeight="1" x14ac:dyDescent="0.35">
      <c r="A241" s="104"/>
      <c r="B241" s="106"/>
      <c r="C241" s="106"/>
      <c r="D241" s="106" t="s">
        <v>38</v>
      </c>
      <c r="E241" s="106">
        <v>1</v>
      </c>
      <c r="F241" s="106"/>
      <c r="G241" s="106"/>
      <c r="H241" s="107"/>
      <c r="I241" s="64" t="s">
        <v>306</v>
      </c>
    </row>
    <row r="242" spans="1:9" s="73" customFormat="1" ht="17.25" customHeight="1" x14ac:dyDescent="0.35">
      <c r="A242" s="104"/>
      <c r="B242" s="106"/>
      <c r="C242" s="106"/>
      <c r="D242" s="106" t="s">
        <v>38</v>
      </c>
      <c r="E242" s="106">
        <v>1</v>
      </c>
      <c r="F242" s="106"/>
      <c r="G242" s="106"/>
      <c r="H242" s="107"/>
      <c r="I242" s="64" t="s">
        <v>307</v>
      </c>
    </row>
    <row r="243" spans="1:9" s="73" customFormat="1" ht="17.25" customHeight="1" x14ac:dyDescent="0.35">
      <c r="A243" s="104"/>
      <c r="B243" s="106"/>
      <c r="C243" s="106"/>
      <c r="D243" s="106" t="s">
        <v>38</v>
      </c>
      <c r="E243" s="106">
        <v>1</v>
      </c>
      <c r="F243" s="106"/>
      <c r="G243" s="106"/>
      <c r="H243" s="107"/>
      <c r="I243" s="64" t="s">
        <v>308</v>
      </c>
    </row>
    <row r="244" spans="1:9" s="73" customFormat="1" ht="17.25" customHeight="1" x14ac:dyDescent="0.35">
      <c r="A244" s="104"/>
      <c r="B244" s="106"/>
      <c r="C244" s="106"/>
      <c r="D244" s="106" t="s">
        <v>38</v>
      </c>
      <c r="E244" s="106">
        <v>1</v>
      </c>
      <c r="F244" s="106"/>
      <c r="G244" s="106"/>
      <c r="H244" s="107"/>
      <c r="I244" s="64" t="s">
        <v>309</v>
      </c>
    </row>
    <row r="245" spans="1:9" s="73" customFormat="1" ht="17.25" customHeight="1" x14ac:dyDescent="0.35">
      <c r="A245" s="104"/>
      <c r="B245" s="106"/>
      <c r="C245" s="106"/>
      <c r="D245" s="106" t="s">
        <v>38</v>
      </c>
      <c r="E245" s="106">
        <v>4</v>
      </c>
      <c r="F245" s="106"/>
      <c r="G245" s="106"/>
      <c r="H245" s="107"/>
      <c r="I245" s="64" t="s">
        <v>310</v>
      </c>
    </row>
    <row r="246" spans="1:9" s="73" customFormat="1" ht="17.25" customHeight="1" x14ac:dyDescent="0.35">
      <c r="A246" s="104"/>
      <c r="B246" s="106"/>
      <c r="C246" s="106"/>
      <c r="D246" s="106" t="s">
        <v>38</v>
      </c>
      <c r="E246" s="106">
        <v>4</v>
      </c>
      <c r="F246" s="106">
        <v>20000</v>
      </c>
      <c r="G246" s="106"/>
      <c r="H246" s="107"/>
      <c r="I246" s="64" t="s">
        <v>311</v>
      </c>
    </row>
    <row r="247" spans="1:9" s="73" customFormat="1" ht="17.25" customHeight="1" x14ac:dyDescent="0.35">
      <c r="A247" s="104"/>
      <c r="B247" s="106"/>
      <c r="C247" s="106"/>
      <c r="D247" s="106" t="s">
        <v>38</v>
      </c>
      <c r="E247" s="106">
        <v>1</v>
      </c>
      <c r="F247" s="106">
        <v>1</v>
      </c>
      <c r="G247" s="98"/>
      <c r="H247" s="99"/>
      <c r="I247" s="64" t="s">
        <v>312</v>
      </c>
    </row>
    <row r="248" spans="1:9" s="73" customFormat="1" ht="17.25" customHeight="1" x14ac:dyDescent="0.35">
      <c r="A248" s="104"/>
      <c r="B248" s="106"/>
      <c r="C248" s="106"/>
      <c r="D248" s="106" t="s">
        <v>38</v>
      </c>
      <c r="E248" s="106">
        <v>1</v>
      </c>
      <c r="F248" s="106">
        <v>0</v>
      </c>
      <c r="G248" s="106"/>
      <c r="H248" s="107"/>
      <c r="I248" s="64" t="s">
        <v>313</v>
      </c>
    </row>
    <row r="249" spans="1:9" s="73" customFormat="1" ht="17.25" customHeight="1" x14ac:dyDescent="0.35">
      <c r="A249" s="104"/>
      <c r="B249" s="106"/>
      <c r="C249" s="106"/>
      <c r="D249" s="106" t="s">
        <v>32</v>
      </c>
      <c r="E249" s="106">
        <v>128</v>
      </c>
      <c r="F249" s="106"/>
      <c r="G249" s="106"/>
      <c r="H249" s="107"/>
      <c r="I249" s="64" t="s">
        <v>314</v>
      </c>
    </row>
    <row r="250" spans="1:9" s="73" customFormat="1" ht="17.25" customHeight="1" x14ac:dyDescent="0.35">
      <c r="A250" s="104"/>
      <c r="B250" s="106"/>
      <c r="C250" s="106"/>
      <c r="D250" s="106" t="s">
        <v>38</v>
      </c>
      <c r="E250" s="106">
        <v>1</v>
      </c>
      <c r="F250" s="106">
        <v>0</v>
      </c>
      <c r="G250" s="106"/>
      <c r="H250" s="107"/>
      <c r="I250" s="64" t="s">
        <v>315</v>
      </c>
    </row>
    <row r="251" spans="1:9" s="73" customFormat="1" ht="17.25" customHeight="1" x14ac:dyDescent="0.35">
      <c r="A251" s="104"/>
      <c r="B251" s="106"/>
      <c r="C251" s="106"/>
      <c r="D251" s="106" t="s">
        <v>38</v>
      </c>
      <c r="E251" s="106">
        <v>1</v>
      </c>
      <c r="F251" s="106">
        <v>0</v>
      </c>
      <c r="G251" s="98"/>
      <c r="H251" s="99"/>
      <c r="I251" s="64" t="s">
        <v>316</v>
      </c>
    </row>
    <row r="252" spans="1:9" s="73" customFormat="1" ht="17.25" customHeight="1" x14ac:dyDescent="0.35">
      <c r="A252" s="104"/>
      <c r="B252" s="106"/>
      <c r="C252" s="106"/>
      <c r="D252" s="106" t="s">
        <v>38</v>
      </c>
      <c r="E252" s="106">
        <v>1</v>
      </c>
      <c r="F252" s="106">
        <v>1</v>
      </c>
      <c r="G252" s="106"/>
      <c r="H252" s="107"/>
      <c r="I252" s="64" t="s">
        <v>317</v>
      </c>
    </row>
    <row r="253" spans="1:9" s="73" customFormat="1" ht="17.25" customHeight="1" x14ac:dyDescent="0.35">
      <c r="A253" s="104"/>
      <c r="B253" s="106"/>
      <c r="C253" s="106"/>
      <c r="D253" s="106" t="s">
        <v>32</v>
      </c>
      <c r="E253" s="106">
        <v>74</v>
      </c>
      <c r="F253" s="106"/>
      <c r="G253" s="106"/>
      <c r="H253" s="107"/>
      <c r="I253" s="64" t="s">
        <v>180</v>
      </c>
    </row>
    <row r="254" spans="1:9" s="73" customFormat="1" ht="17.25" customHeight="1" x14ac:dyDescent="0.35">
      <c r="A254" s="104" t="s">
        <v>318</v>
      </c>
      <c r="B254" s="106" t="s">
        <v>319</v>
      </c>
      <c r="C254" s="106" t="s">
        <v>136</v>
      </c>
      <c r="D254" s="106"/>
      <c r="E254" s="106"/>
      <c r="F254" s="106"/>
      <c r="G254" s="106" t="s">
        <v>30</v>
      </c>
      <c r="H254" s="107"/>
      <c r="I254" s="64">
        <v>67332</v>
      </c>
    </row>
    <row r="255" spans="1:9" s="73" customFormat="1" ht="17.25" customHeight="1" x14ac:dyDescent="0.35">
      <c r="A255" s="104"/>
      <c r="B255" s="106"/>
      <c r="C255" s="106"/>
      <c r="D255" s="106" t="s">
        <v>38</v>
      </c>
      <c r="E255" s="106">
        <v>1</v>
      </c>
      <c r="F255" s="106">
        <v>1</v>
      </c>
      <c r="G255" s="106"/>
      <c r="H255" s="107"/>
      <c r="I255" s="64" t="s">
        <v>245</v>
      </c>
    </row>
    <row r="256" spans="1:9" s="73" customFormat="1" ht="17.25" customHeight="1" x14ac:dyDescent="0.35">
      <c r="A256" s="104"/>
      <c r="B256" s="106"/>
      <c r="C256" s="106"/>
      <c r="D256" s="106" t="s">
        <v>38</v>
      </c>
      <c r="E256" s="106">
        <v>2</v>
      </c>
      <c r="F256" s="106">
        <v>1400</v>
      </c>
      <c r="G256" s="106"/>
      <c r="H256" s="107"/>
      <c r="I256" s="64" t="s">
        <v>320</v>
      </c>
    </row>
    <row r="257" spans="1:9" s="73" customFormat="1" ht="17.25" customHeight="1" x14ac:dyDescent="0.35">
      <c r="A257" s="104"/>
      <c r="B257" s="106"/>
      <c r="C257" s="106"/>
      <c r="D257" s="106" t="s">
        <v>38</v>
      </c>
      <c r="E257" s="106">
        <v>1</v>
      </c>
      <c r="F257" s="106">
        <v>0</v>
      </c>
      <c r="G257" s="106"/>
      <c r="H257" s="107"/>
      <c r="I257" s="64" t="s">
        <v>321</v>
      </c>
    </row>
    <row r="258" spans="1:9" s="73" customFormat="1" ht="17.25" customHeight="1" x14ac:dyDescent="0.35">
      <c r="A258" s="104"/>
      <c r="B258" s="106"/>
      <c r="C258" s="106"/>
      <c r="D258" s="106" t="s">
        <v>38</v>
      </c>
      <c r="E258" s="106">
        <v>2</v>
      </c>
      <c r="F258" s="106">
        <v>0</v>
      </c>
      <c r="G258" s="106"/>
      <c r="H258" s="107"/>
      <c r="I258" s="64" t="s">
        <v>322</v>
      </c>
    </row>
    <row r="259" spans="1:9" s="73" customFormat="1" ht="17.25" customHeight="1" x14ac:dyDescent="0.35">
      <c r="A259" s="104"/>
      <c r="B259" s="106"/>
      <c r="C259" s="106"/>
      <c r="D259" s="106" t="s">
        <v>38</v>
      </c>
      <c r="E259" s="106">
        <v>1</v>
      </c>
      <c r="F259" s="106">
        <v>0</v>
      </c>
      <c r="G259" s="106"/>
      <c r="H259" s="107"/>
      <c r="I259" s="64" t="s">
        <v>323</v>
      </c>
    </row>
    <row r="260" spans="1:9" s="73" customFormat="1" ht="17.25" customHeight="1" x14ac:dyDescent="0.35">
      <c r="A260" s="104"/>
      <c r="B260" s="106"/>
      <c r="C260" s="106"/>
      <c r="D260" s="106" t="s">
        <v>38</v>
      </c>
      <c r="E260" s="106">
        <v>1</v>
      </c>
      <c r="F260" s="106">
        <v>0</v>
      </c>
      <c r="G260" s="106"/>
      <c r="H260" s="107"/>
      <c r="I260" s="64" t="s">
        <v>324</v>
      </c>
    </row>
    <row r="261" spans="1:9" s="73" customFormat="1" ht="17.25" customHeight="1" x14ac:dyDescent="0.35">
      <c r="A261" s="104"/>
      <c r="B261" s="106"/>
      <c r="C261" s="106"/>
      <c r="D261" s="106" t="s">
        <v>38</v>
      </c>
      <c r="E261" s="106">
        <v>1</v>
      </c>
      <c r="F261" s="106">
        <v>0</v>
      </c>
      <c r="G261" s="106"/>
      <c r="H261" s="107"/>
      <c r="I261" s="64" t="s">
        <v>325</v>
      </c>
    </row>
    <row r="262" spans="1:9" s="73" customFormat="1" ht="17.25" customHeight="1" x14ac:dyDescent="0.35">
      <c r="A262" s="104"/>
      <c r="B262" s="106"/>
      <c r="C262" s="106"/>
      <c r="D262" s="106" t="s">
        <v>38</v>
      </c>
      <c r="E262" s="106">
        <v>1</v>
      </c>
      <c r="F262" s="106">
        <v>0</v>
      </c>
      <c r="G262" s="106"/>
      <c r="H262" s="107"/>
      <c r="I262" s="64" t="s">
        <v>326</v>
      </c>
    </row>
    <row r="263" spans="1:9" s="73" customFormat="1" ht="17.25" customHeight="1" x14ac:dyDescent="0.35">
      <c r="A263" s="104"/>
      <c r="B263" s="106"/>
      <c r="C263" s="106"/>
      <c r="D263" s="106" t="s">
        <v>38</v>
      </c>
      <c r="E263" s="106">
        <v>1</v>
      </c>
      <c r="F263" s="106">
        <v>0</v>
      </c>
      <c r="G263" s="106"/>
      <c r="H263" s="107"/>
      <c r="I263" s="64" t="s">
        <v>327</v>
      </c>
    </row>
    <row r="264" spans="1:9" s="73" customFormat="1" ht="17.25" customHeight="1" x14ac:dyDescent="0.35">
      <c r="A264" s="104"/>
      <c r="B264" s="106"/>
      <c r="C264" s="106"/>
      <c r="D264" s="106" t="s">
        <v>38</v>
      </c>
      <c r="E264" s="106">
        <v>1</v>
      </c>
      <c r="F264" s="106">
        <v>0</v>
      </c>
      <c r="G264" s="106"/>
      <c r="H264" s="107"/>
      <c r="I264" s="64" t="s">
        <v>328</v>
      </c>
    </row>
    <row r="265" spans="1:9" s="73" customFormat="1" ht="17.25" customHeight="1" x14ac:dyDescent="0.35">
      <c r="A265" s="104"/>
      <c r="B265" s="106"/>
      <c r="C265" s="106"/>
      <c r="D265" s="106" t="s">
        <v>38</v>
      </c>
      <c r="E265" s="106">
        <v>2</v>
      </c>
      <c r="F265" s="106">
        <v>0</v>
      </c>
      <c r="G265" s="106"/>
      <c r="H265" s="107"/>
      <c r="I265" s="64" t="s">
        <v>329</v>
      </c>
    </row>
    <row r="266" spans="1:9" s="73" customFormat="1" ht="17.25" customHeight="1" x14ac:dyDescent="0.35">
      <c r="A266" s="104"/>
      <c r="B266" s="106"/>
      <c r="C266" s="106"/>
      <c r="D266" s="106" t="s">
        <v>38</v>
      </c>
      <c r="E266" s="106">
        <v>2</v>
      </c>
      <c r="F266" s="106">
        <v>0</v>
      </c>
      <c r="G266" s="106"/>
      <c r="H266" s="107"/>
      <c r="I266" s="64" t="s">
        <v>330</v>
      </c>
    </row>
    <row r="267" spans="1:9" s="73" customFormat="1" ht="17.25" customHeight="1" x14ac:dyDescent="0.35">
      <c r="A267" s="104"/>
      <c r="B267" s="106"/>
      <c r="C267" s="106"/>
      <c r="D267" s="106" t="s">
        <v>38</v>
      </c>
      <c r="E267" s="106">
        <v>1</v>
      </c>
      <c r="F267" s="106">
        <v>0</v>
      </c>
      <c r="G267" s="106"/>
      <c r="H267" s="107"/>
      <c r="I267" s="64" t="s">
        <v>331</v>
      </c>
    </row>
    <row r="268" spans="1:9" s="73" customFormat="1" ht="17.25" customHeight="1" x14ac:dyDescent="0.35">
      <c r="A268" s="104"/>
      <c r="B268" s="106"/>
      <c r="C268" s="106"/>
      <c r="D268" s="106" t="s">
        <v>38</v>
      </c>
      <c r="E268" s="106">
        <v>1</v>
      </c>
      <c r="F268" s="106">
        <v>0</v>
      </c>
      <c r="G268" s="106"/>
      <c r="H268" s="107"/>
      <c r="I268" s="64" t="s">
        <v>332</v>
      </c>
    </row>
    <row r="269" spans="1:9" s="73" customFormat="1" ht="17.25" customHeight="1" x14ac:dyDescent="0.35">
      <c r="A269" s="104"/>
      <c r="B269" s="106"/>
      <c r="C269" s="106"/>
      <c r="D269" s="106" t="s">
        <v>38</v>
      </c>
      <c r="E269" s="106">
        <v>1</v>
      </c>
      <c r="F269" s="106">
        <v>0</v>
      </c>
      <c r="G269" s="106"/>
      <c r="H269" s="107"/>
      <c r="I269" s="64" t="s">
        <v>333</v>
      </c>
    </row>
    <row r="270" spans="1:9" s="73" customFormat="1" ht="17.25" customHeight="1" x14ac:dyDescent="0.35">
      <c r="A270" s="104"/>
      <c r="B270" s="106"/>
      <c r="C270" s="106"/>
      <c r="D270" s="106" t="s">
        <v>38</v>
      </c>
      <c r="E270" s="106">
        <v>1</v>
      </c>
      <c r="F270" s="106">
        <v>0</v>
      </c>
      <c r="G270" s="106"/>
      <c r="H270" s="107"/>
      <c r="I270" s="64" t="s">
        <v>334</v>
      </c>
    </row>
    <row r="271" spans="1:9" s="73" customFormat="1" ht="17.25" customHeight="1" x14ac:dyDescent="0.35">
      <c r="A271" s="104"/>
      <c r="B271" s="106"/>
      <c r="C271" s="106"/>
      <c r="D271" s="106" t="s">
        <v>38</v>
      </c>
      <c r="E271" s="106">
        <v>1</v>
      </c>
      <c r="F271" s="106">
        <v>100</v>
      </c>
      <c r="G271" s="106"/>
      <c r="H271" s="107"/>
      <c r="I271" s="64" t="s">
        <v>335</v>
      </c>
    </row>
    <row r="272" spans="1:9" s="73" customFormat="1" ht="17.25" customHeight="1" x14ac:dyDescent="0.35">
      <c r="A272" s="104"/>
      <c r="B272" s="106"/>
      <c r="C272" s="106"/>
      <c r="D272" s="106" t="s">
        <v>38</v>
      </c>
      <c r="E272" s="106">
        <v>1</v>
      </c>
      <c r="F272" s="106">
        <v>40</v>
      </c>
      <c r="G272" s="106"/>
      <c r="H272" s="107"/>
      <c r="I272" s="64" t="s">
        <v>336</v>
      </c>
    </row>
    <row r="273" spans="1:9" s="73" customFormat="1" ht="17.25" customHeight="1" x14ac:dyDescent="0.35">
      <c r="A273" s="104"/>
      <c r="B273" s="106"/>
      <c r="C273" s="106"/>
      <c r="D273" s="106" t="s">
        <v>38</v>
      </c>
      <c r="E273" s="106">
        <v>1</v>
      </c>
      <c r="F273" s="106">
        <v>0</v>
      </c>
      <c r="G273" s="106"/>
      <c r="H273" s="107"/>
      <c r="I273" s="64" t="s">
        <v>337</v>
      </c>
    </row>
    <row r="274" spans="1:9" s="73" customFormat="1" ht="17.25" customHeight="1" x14ac:dyDescent="0.35">
      <c r="A274" s="104"/>
      <c r="B274" s="106"/>
      <c r="C274" s="106"/>
      <c r="D274" s="106" t="s">
        <v>38</v>
      </c>
      <c r="E274" s="106">
        <v>1</v>
      </c>
      <c r="F274" s="106">
        <v>0</v>
      </c>
      <c r="G274" s="106"/>
      <c r="H274" s="107"/>
      <c r="I274" s="64" t="s">
        <v>338</v>
      </c>
    </row>
    <row r="275" spans="1:9" s="73" customFormat="1" ht="17.25" customHeight="1" x14ac:dyDescent="0.35">
      <c r="A275" s="104"/>
      <c r="B275" s="106"/>
      <c r="C275" s="106"/>
      <c r="D275" s="106" t="s">
        <v>38</v>
      </c>
      <c r="E275" s="106">
        <v>1</v>
      </c>
      <c r="F275" s="106">
        <v>0</v>
      </c>
      <c r="G275" s="106"/>
      <c r="H275" s="107"/>
      <c r="I275" s="64" t="s">
        <v>339</v>
      </c>
    </row>
    <row r="276" spans="1:9" s="73" customFormat="1" ht="17.25" customHeight="1" x14ac:dyDescent="0.35">
      <c r="A276" s="104"/>
      <c r="B276" s="106"/>
      <c r="C276" s="106"/>
      <c r="D276" s="106" t="s">
        <v>38</v>
      </c>
      <c r="E276" s="106">
        <v>1</v>
      </c>
      <c r="F276" s="106">
        <v>20</v>
      </c>
      <c r="G276" s="106"/>
      <c r="H276" s="107"/>
      <c r="I276" s="64" t="s">
        <v>340</v>
      </c>
    </row>
    <row r="277" spans="1:9" s="73" customFormat="1" ht="17.25" customHeight="1" x14ac:dyDescent="0.35">
      <c r="A277" s="104"/>
      <c r="B277" s="106"/>
      <c r="C277" s="106"/>
      <c r="D277" s="106" t="s">
        <v>38</v>
      </c>
      <c r="E277" s="106">
        <v>2</v>
      </c>
      <c r="F277" s="106">
        <v>5</v>
      </c>
      <c r="G277" s="106"/>
      <c r="H277" s="107"/>
      <c r="I277" s="64" t="s">
        <v>341</v>
      </c>
    </row>
    <row r="278" spans="1:9" s="73" customFormat="1" ht="17.25" customHeight="1" x14ac:dyDescent="0.35">
      <c r="A278" s="104"/>
      <c r="B278" s="106"/>
      <c r="C278" s="106"/>
      <c r="D278" s="106" t="s">
        <v>38</v>
      </c>
      <c r="E278" s="106">
        <v>2</v>
      </c>
      <c r="F278" s="106">
        <v>60</v>
      </c>
      <c r="G278" s="106"/>
      <c r="H278" s="107"/>
      <c r="I278" s="64" t="s">
        <v>342</v>
      </c>
    </row>
    <row r="279" spans="1:9" s="73" customFormat="1" ht="17.25" customHeight="1" x14ac:dyDescent="0.35">
      <c r="A279" s="104"/>
      <c r="B279" s="106"/>
      <c r="C279" s="106"/>
      <c r="D279" s="106" t="s">
        <v>38</v>
      </c>
      <c r="E279" s="106">
        <v>2</v>
      </c>
      <c r="F279" s="106"/>
      <c r="G279" s="106"/>
      <c r="H279" s="107"/>
      <c r="I279" s="64" t="s">
        <v>343</v>
      </c>
    </row>
    <row r="280" spans="1:9" s="73" customFormat="1" ht="17.25" customHeight="1" x14ac:dyDescent="0.35">
      <c r="A280" s="104"/>
      <c r="B280" s="106"/>
      <c r="C280" s="106"/>
      <c r="D280" s="106" t="s">
        <v>38</v>
      </c>
      <c r="E280" s="106">
        <v>2</v>
      </c>
      <c r="F280" s="106">
        <v>60</v>
      </c>
      <c r="G280" s="106"/>
      <c r="H280" s="107"/>
      <c r="I280" s="64" t="s">
        <v>344</v>
      </c>
    </row>
    <row r="281" spans="1:9" s="73" customFormat="1" ht="17.25" customHeight="1" x14ac:dyDescent="0.35">
      <c r="A281" s="104"/>
      <c r="B281" s="106"/>
      <c r="C281" s="106"/>
      <c r="D281" s="106" t="s">
        <v>38</v>
      </c>
      <c r="E281" s="106">
        <v>1</v>
      </c>
      <c r="F281" s="106">
        <v>0</v>
      </c>
      <c r="G281" s="106"/>
      <c r="H281" s="107"/>
      <c r="I281" s="64" t="s">
        <v>345</v>
      </c>
    </row>
    <row r="282" spans="1:9" s="73" customFormat="1" ht="34.5" customHeight="1" x14ac:dyDescent="0.35">
      <c r="A282" s="104"/>
      <c r="B282" s="106"/>
      <c r="C282" s="106"/>
      <c r="D282" s="106" t="s">
        <v>38</v>
      </c>
      <c r="E282" s="106">
        <v>1</v>
      </c>
      <c r="F282" s="106">
        <v>0</v>
      </c>
      <c r="G282" s="106"/>
      <c r="H282" s="107"/>
      <c r="I282" s="64" t="s">
        <v>346</v>
      </c>
    </row>
    <row r="283" spans="1:9" s="73" customFormat="1" ht="17.25" customHeight="1" x14ac:dyDescent="0.35">
      <c r="A283" s="104"/>
      <c r="B283" s="106"/>
      <c r="C283" s="106"/>
      <c r="D283" s="106" t="s">
        <v>38</v>
      </c>
      <c r="E283" s="106">
        <v>1</v>
      </c>
      <c r="F283" s="106">
        <v>0</v>
      </c>
      <c r="G283" s="106"/>
      <c r="H283" s="107"/>
      <c r="I283" s="64" t="s">
        <v>347</v>
      </c>
    </row>
    <row r="284" spans="1:9" s="73" customFormat="1" ht="17.25" customHeight="1" x14ac:dyDescent="0.35">
      <c r="A284" s="104"/>
      <c r="B284" s="106"/>
      <c r="C284" s="106"/>
      <c r="D284" s="106" t="s">
        <v>38</v>
      </c>
      <c r="E284" s="106">
        <v>2</v>
      </c>
      <c r="F284" s="106">
        <v>0</v>
      </c>
      <c r="G284" s="106"/>
      <c r="H284" s="107"/>
      <c r="I284" s="64" t="s">
        <v>348</v>
      </c>
    </row>
    <row r="285" spans="1:9" s="73" customFormat="1" ht="17.25" customHeight="1" x14ac:dyDescent="0.35">
      <c r="A285" s="104"/>
      <c r="B285" s="106"/>
      <c r="C285" s="106"/>
      <c r="D285" s="106" t="s">
        <v>38</v>
      </c>
      <c r="E285" s="106">
        <v>1</v>
      </c>
      <c r="F285" s="106">
        <v>0</v>
      </c>
      <c r="G285" s="106"/>
      <c r="H285" s="107"/>
      <c r="I285" s="64" t="s">
        <v>689</v>
      </c>
    </row>
    <row r="286" spans="1:9" s="73" customFormat="1" ht="17.25" customHeight="1" x14ac:dyDescent="0.35">
      <c r="A286" s="104"/>
      <c r="B286" s="106"/>
      <c r="C286" s="106"/>
      <c r="D286" s="106" t="s">
        <v>38</v>
      </c>
      <c r="E286" s="106">
        <v>495</v>
      </c>
      <c r="F286" s="106">
        <v>0</v>
      </c>
      <c r="G286" s="106"/>
      <c r="H286" s="107"/>
      <c r="I286" s="64" t="s">
        <v>349</v>
      </c>
    </row>
    <row r="287" spans="1:9" s="73" customFormat="1" ht="17.25" customHeight="1" x14ac:dyDescent="0.35">
      <c r="A287" s="104" t="s">
        <v>350</v>
      </c>
      <c r="B287" s="106" t="s">
        <v>351</v>
      </c>
      <c r="C287" s="106" t="s">
        <v>136</v>
      </c>
      <c r="D287" s="106"/>
      <c r="E287" s="106"/>
      <c r="F287" s="106"/>
      <c r="G287" s="106" t="s">
        <v>30</v>
      </c>
      <c r="H287" s="107"/>
      <c r="I287" s="64">
        <v>67314</v>
      </c>
    </row>
    <row r="288" spans="1:9" s="73" customFormat="1" ht="17.25" customHeight="1" x14ac:dyDescent="0.35">
      <c r="A288" s="104"/>
      <c r="B288" s="106"/>
      <c r="C288" s="106"/>
      <c r="D288" s="106" t="s">
        <v>38</v>
      </c>
      <c r="E288" s="106">
        <v>4</v>
      </c>
      <c r="F288" s="106"/>
      <c r="G288" s="106"/>
      <c r="H288" s="107"/>
      <c r="I288" s="64" t="s">
        <v>352</v>
      </c>
    </row>
    <row r="289" spans="1:9" s="73" customFormat="1" ht="17.25" customHeight="1" x14ac:dyDescent="0.35">
      <c r="A289" s="104"/>
      <c r="B289" s="106"/>
      <c r="C289" s="106"/>
      <c r="D289" s="106" t="s">
        <v>38</v>
      </c>
      <c r="E289" s="106">
        <v>4</v>
      </c>
      <c r="F289" s="106"/>
      <c r="G289" s="106"/>
      <c r="H289" s="107"/>
      <c r="I289" s="64" t="s">
        <v>353</v>
      </c>
    </row>
    <row r="290" spans="1:9" s="73" customFormat="1" ht="17.25" customHeight="1" x14ac:dyDescent="0.35">
      <c r="A290" s="104"/>
      <c r="B290" s="106"/>
      <c r="C290" s="106"/>
      <c r="D290" s="106" t="s">
        <v>38</v>
      </c>
      <c r="E290" s="106">
        <v>4</v>
      </c>
      <c r="F290" s="106"/>
      <c r="G290" s="106"/>
      <c r="H290" s="107"/>
      <c r="I290" s="64" t="s">
        <v>354</v>
      </c>
    </row>
    <row r="291" spans="1:9" s="73" customFormat="1" ht="17.25" customHeight="1" x14ac:dyDescent="0.35">
      <c r="A291" s="104"/>
      <c r="B291" s="106"/>
      <c r="C291" s="106"/>
      <c r="D291" s="106" t="s">
        <v>38</v>
      </c>
      <c r="E291" s="106">
        <v>4</v>
      </c>
      <c r="F291" s="106"/>
      <c r="G291" s="106"/>
      <c r="H291" s="107"/>
      <c r="I291" s="64" t="s">
        <v>355</v>
      </c>
    </row>
    <row r="292" spans="1:9" s="73" customFormat="1" ht="17.25" customHeight="1" x14ac:dyDescent="0.35">
      <c r="A292" s="104"/>
      <c r="B292" s="106"/>
      <c r="C292" s="106"/>
      <c r="D292" s="106" t="s">
        <v>38</v>
      </c>
      <c r="E292" s="106">
        <v>1</v>
      </c>
      <c r="F292" s="106"/>
      <c r="G292" s="106"/>
      <c r="H292" s="107"/>
      <c r="I292" s="64" t="s">
        <v>356</v>
      </c>
    </row>
    <row r="293" spans="1:9" s="73" customFormat="1" ht="17.25" customHeight="1" x14ac:dyDescent="0.35">
      <c r="A293" s="104"/>
      <c r="B293" s="106"/>
      <c r="C293" s="106"/>
      <c r="D293" s="106" t="s">
        <v>38</v>
      </c>
      <c r="E293" s="106">
        <v>4</v>
      </c>
      <c r="F293" s="106"/>
      <c r="G293" s="106"/>
      <c r="H293" s="107"/>
      <c r="I293" s="64" t="s">
        <v>357</v>
      </c>
    </row>
    <row r="294" spans="1:9" s="73" customFormat="1" ht="17.25" customHeight="1" x14ac:dyDescent="0.35">
      <c r="A294" s="104"/>
      <c r="B294" s="106"/>
      <c r="C294" s="106"/>
      <c r="D294" s="106" t="s">
        <v>38</v>
      </c>
      <c r="E294" s="106">
        <v>4</v>
      </c>
      <c r="F294" s="106"/>
      <c r="G294" s="106"/>
      <c r="H294" s="107"/>
      <c r="I294" s="64" t="s">
        <v>358</v>
      </c>
    </row>
    <row r="295" spans="1:9" s="73" customFormat="1" ht="17.25" customHeight="1" x14ac:dyDescent="0.35">
      <c r="A295" s="104"/>
      <c r="B295" s="106"/>
      <c r="C295" s="106"/>
      <c r="D295" s="106" t="s">
        <v>38</v>
      </c>
      <c r="E295" s="106">
        <v>4</v>
      </c>
      <c r="F295" s="106"/>
      <c r="G295" s="106"/>
      <c r="H295" s="107"/>
      <c r="I295" s="64" t="s">
        <v>359</v>
      </c>
    </row>
    <row r="296" spans="1:9" s="73" customFormat="1" ht="17.25" customHeight="1" x14ac:dyDescent="0.35">
      <c r="A296" s="104"/>
      <c r="B296" s="106"/>
      <c r="C296" s="106"/>
      <c r="D296" s="106" t="s">
        <v>38</v>
      </c>
      <c r="E296" s="106">
        <v>4</v>
      </c>
      <c r="F296" s="106"/>
      <c r="G296" s="106"/>
      <c r="H296" s="107"/>
      <c r="I296" s="64" t="s">
        <v>360</v>
      </c>
    </row>
    <row r="297" spans="1:9" s="73" customFormat="1" ht="17.25" customHeight="1" x14ac:dyDescent="0.35">
      <c r="A297" s="104"/>
      <c r="B297" s="106"/>
      <c r="C297" s="106"/>
      <c r="D297" s="106" t="s">
        <v>38</v>
      </c>
      <c r="E297" s="106">
        <v>1</v>
      </c>
      <c r="F297" s="106"/>
      <c r="G297" s="106"/>
      <c r="H297" s="107"/>
      <c r="I297" s="64" t="s">
        <v>361</v>
      </c>
    </row>
    <row r="298" spans="1:9" s="73" customFormat="1" ht="17.25" customHeight="1" x14ac:dyDescent="0.35">
      <c r="A298" s="104"/>
      <c r="B298" s="106"/>
      <c r="C298" s="106"/>
      <c r="D298" s="106" t="s">
        <v>32</v>
      </c>
      <c r="E298" s="106">
        <v>128</v>
      </c>
      <c r="F298" s="106"/>
      <c r="G298" s="106"/>
      <c r="H298" s="107"/>
      <c r="I298" s="64" t="s">
        <v>362</v>
      </c>
    </row>
    <row r="299" spans="1:9" s="73" customFormat="1" ht="17.25" customHeight="1" x14ac:dyDescent="0.35">
      <c r="A299" s="104"/>
      <c r="B299" s="106"/>
      <c r="C299" s="106"/>
      <c r="D299" s="106" t="s">
        <v>38</v>
      </c>
      <c r="E299" s="106">
        <v>4</v>
      </c>
      <c r="F299" s="106"/>
      <c r="G299" s="106"/>
      <c r="H299" s="107"/>
      <c r="I299" s="64" t="s">
        <v>363</v>
      </c>
    </row>
    <row r="300" spans="1:9" s="73" customFormat="1" ht="17.25" customHeight="1" x14ac:dyDescent="0.35">
      <c r="A300" s="104"/>
      <c r="B300" s="106"/>
      <c r="C300" s="106"/>
      <c r="D300" s="106" t="s">
        <v>38</v>
      </c>
      <c r="E300" s="106">
        <v>4</v>
      </c>
      <c r="F300" s="106"/>
      <c r="G300" s="106"/>
      <c r="H300" s="107"/>
      <c r="I300" s="64" t="s">
        <v>364</v>
      </c>
    </row>
    <row r="301" spans="1:9" s="73" customFormat="1" ht="17.25" customHeight="1" x14ac:dyDescent="0.35">
      <c r="A301" s="104"/>
      <c r="B301" s="106"/>
      <c r="C301" s="106"/>
      <c r="D301" s="106" t="s">
        <v>38</v>
      </c>
      <c r="E301" s="106">
        <v>1</v>
      </c>
      <c r="F301" s="106"/>
      <c r="G301" s="106"/>
      <c r="H301" s="107"/>
      <c r="I301" s="64" t="s">
        <v>365</v>
      </c>
    </row>
    <row r="302" spans="1:9" s="73" customFormat="1" ht="17.25" customHeight="1" x14ac:dyDescent="0.35">
      <c r="A302" s="104"/>
      <c r="B302" s="106"/>
      <c r="C302" s="106"/>
      <c r="D302" s="106" t="s">
        <v>38</v>
      </c>
      <c r="E302" s="106">
        <v>1</v>
      </c>
      <c r="F302" s="106"/>
      <c r="G302" s="106"/>
      <c r="H302" s="107"/>
      <c r="I302" s="64" t="s">
        <v>366</v>
      </c>
    </row>
    <row r="303" spans="1:9" s="73" customFormat="1" ht="17.25" customHeight="1" x14ac:dyDescent="0.35">
      <c r="A303" s="104" t="s">
        <v>367</v>
      </c>
      <c r="B303" s="106" t="s">
        <v>368</v>
      </c>
      <c r="C303" s="106" t="s">
        <v>136</v>
      </c>
      <c r="D303" s="106"/>
      <c r="E303" s="106"/>
      <c r="F303" s="106"/>
      <c r="G303" s="106" t="s">
        <v>30</v>
      </c>
      <c r="H303" s="107"/>
      <c r="I303" s="64">
        <v>67257</v>
      </c>
    </row>
    <row r="304" spans="1:9" s="73" customFormat="1" ht="17.25" customHeight="1" x14ac:dyDescent="0.35">
      <c r="A304" s="104"/>
      <c r="B304" s="106"/>
      <c r="C304" s="106"/>
      <c r="D304" s="106" t="s">
        <v>38</v>
      </c>
      <c r="E304" s="106">
        <v>1</v>
      </c>
      <c r="F304" s="106">
        <v>0</v>
      </c>
      <c r="G304" s="106"/>
      <c r="H304" s="107"/>
      <c r="I304" s="64" t="s">
        <v>369</v>
      </c>
    </row>
    <row r="305" spans="1:9" s="73" customFormat="1" ht="17.25" customHeight="1" x14ac:dyDescent="0.35">
      <c r="A305" s="104"/>
      <c r="B305" s="106"/>
      <c r="C305" s="106"/>
      <c r="D305" s="106" t="s">
        <v>38</v>
      </c>
      <c r="E305" s="106">
        <v>1</v>
      </c>
      <c r="F305" s="106">
        <v>1</v>
      </c>
      <c r="G305" s="106"/>
      <c r="H305" s="107"/>
      <c r="I305" s="64" t="s">
        <v>370</v>
      </c>
    </row>
    <row r="306" spans="1:9" s="73" customFormat="1" ht="17.25" customHeight="1" x14ac:dyDescent="0.35">
      <c r="A306" s="104"/>
      <c r="B306" s="106"/>
      <c r="C306" s="106"/>
      <c r="D306" s="106" t="s">
        <v>38</v>
      </c>
      <c r="E306" s="106">
        <v>1</v>
      </c>
      <c r="F306" s="106">
        <v>1</v>
      </c>
      <c r="G306" s="106"/>
      <c r="H306" s="107"/>
      <c r="I306" s="64" t="s">
        <v>371</v>
      </c>
    </row>
    <row r="307" spans="1:9" s="73" customFormat="1" ht="17.25" customHeight="1" x14ac:dyDescent="0.35">
      <c r="A307" s="104"/>
      <c r="B307" s="106"/>
      <c r="C307" s="106"/>
      <c r="D307" s="106" t="s">
        <v>32</v>
      </c>
      <c r="E307" s="106">
        <v>128</v>
      </c>
      <c r="F307" s="106" t="s">
        <v>372</v>
      </c>
      <c r="G307" s="106"/>
      <c r="H307" s="107"/>
      <c r="I307" s="64" t="s">
        <v>373</v>
      </c>
    </row>
    <row r="308" spans="1:9" s="73" customFormat="1" ht="17.25" customHeight="1" x14ac:dyDescent="0.35">
      <c r="A308" s="104"/>
      <c r="B308" s="106"/>
      <c r="C308" s="106"/>
      <c r="D308" s="106" t="s">
        <v>38</v>
      </c>
      <c r="E308" s="106">
        <v>2</v>
      </c>
      <c r="F308" s="106">
        <v>1800</v>
      </c>
      <c r="G308" s="106"/>
      <c r="H308" s="107"/>
      <c r="I308" s="64" t="s">
        <v>374</v>
      </c>
    </row>
    <row r="309" spans="1:9" s="73" customFormat="1" ht="17.25" customHeight="1" x14ac:dyDescent="0.35">
      <c r="A309" s="104"/>
      <c r="B309" s="106"/>
      <c r="C309" s="106"/>
      <c r="D309" s="106" t="s">
        <v>38</v>
      </c>
      <c r="E309" s="106">
        <v>2</v>
      </c>
      <c r="F309" s="106">
        <v>600</v>
      </c>
      <c r="G309" s="106"/>
      <c r="H309" s="107"/>
      <c r="I309" s="64" t="s">
        <v>375</v>
      </c>
    </row>
    <row r="310" spans="1:9" s="73" customFormat="1" ht="17.25" customHeight="1" x14ac:dyDescent="0.35">
      <c r="A310" s="104"/>
      <c r="B310" s="106"/>
      <c r="C310" s="106"/>
      <c r="D310" s="106" t="s">
        <v>38</v>
      </c>
      <c r="E310" s="106">
        <v>1</v>
      </c>
      <c r="F310" s="106">
        <v>1</v>
      </c>
      <c r="G310" s="106"/>
      <c r="H310" s="107"/>
      <c r="I310" s="64" t="s">
        <v>376</v>
      </c>
    </row>
    <row r="311" spans="1:9" s="73" customFormat="1" ht="17.25" customHeight="1" x14ac:dyDescent="0.35">
      <c r="A311" s="104"/>
      <c r="B311" s="106"/>
      <c r="C311" s="106"/>
      <c r="D311" s="106" t="s">
        <v>32</v>
      </c>
      <c r="E311" s="106">
        <v>128</v>
      </c>
      <c r="F311" s="109" t="s">
        <v>683</v>
      </c>
      <c r="G311" s="106"/>
      <c r="H311" s="107"/>
      <c r="I311" s="64" t="s">
        <v>377</v>
      </c>
    </row>
    <row r="312" spans="1:9" s="73" customFormat="1" ht="17.25" customHeight="1" x14ac:dyDescent="0.35">
      <c r="A312" s="104"/>
      <c r="B312" s="106"/>
      <c r="C312" s="106"/>
      <c r="D312" s="106" t="s">
        <v>38</v>
      </c>
      <c r="E312" s="106">
        <v>1</v>
      </c>
      <c r="F312" s="106">
        <v>0</v>
      </c>
      <c r="G312" s="106"/>
      <c r="H312" s="107"/>
      <c r="I312" s="64" t="s">
        <v>378</v>
      </c>
    </row>
    <row r="313" spans="1:9" s="73" customFormat="1" ht="17.25" customHeight="1" x14ac:dyDescent="0.35">
      <c r="A313" s="104"/>
      <c r="B313" s="106"/>
      <c r="C313" s="106"/>
      <c r="D313" s="106" t="s">
        <v>38</v>
      </c>
      <c r="E313" s="106">
        <v>2</v>
      </c>
      <c r="F313" s="106">
        <v>1800</v>
      </c>
      <c r="G313" s="106"/>
      <c r="H313" s="107"/>
      <c r="I313" s="64" t="s">
        <v>379</v>
      </c>
    </row>
    <row r="314" spans="1:9" s="73" customFormat="1" ht="17.25" customHeight="1" x14ac:dyDescent="0.35">
      <c r="A314" s="104"/>
      <c r="B314" s="106"/>
      <c r="C314" s="106"/>
      <c r="D314" s="106" t="s">
        <v>38</v>
      </c>
      <c r="E314" s="106">
        <v>1</v>
      </c>
      <c r="F314" s="106">
        <v>0</v>
      </c>
      <c r="G314" s="106"/>
      <c r="H314" s="107"/>
      <c r="I314" s="64" t="s">
        <v>380</v>
      </c>
    </row>
    <row r="315" spans="1:9" s="73" customFormat="1" ht="17.25" customHeight="1" x14ac:dyDescent="0.35">
      <c r="A315" s="104"/>
      <c r="B315" s="106"/>
      <c r="C315" s="106"/>
      <c r="D315" s="106" t="s">
        <v>38</v>
      </c>
      <c r="E315" s="106">
        <v>1</v>
      </c>
      <c r="F315" s="106">
        <v>1</v>
      </c>
      <c r="G315" s="106"/>
      <c r="H315" s="107"/>
      <c r="I315" s="64" t="s">
        <v>381</v>
      </c>
    </row>
    <row r="316" spans="1:9" s="73" customFormat="1" ht="17.25" customHeight="1" x14ac:dyDescent="0.35">
      <c r="A316" s="104"/>
      <c r="B316" s="106"/>
      <c r="C316" s="106"/>
      <c r="D316" s="106" t="s">
        <v>32</v>
      </c>
      <c r="E316" s="106">
        <v>128</v>
      </c>
      <c r="F316" s="106"/>
      <c r="G316" s="106"/>
      <c r="H316" s="107"/>
      <c r="I316" s="64" t="s">
        <v>382</v>
      </c>
    </row>
    <row r="317" spans="1:9" s="73" customFormat="1" ht="17.25" customHeight="1" x14ac:dyDescent="0.35">
      <c r="A317" s="104"/>
      <c r="B317" s="106"/>
      <c r="C317" s="106"/>
      <c r="D317" s="106"/>
      <c r="E317" s="106"/>
      <c r="F317" s="106"/>
      <c r="G317" s="106"/>
      <c r="H317" s="107"/>
      <c r="I317" s="64"/>
    </row>
    <row r="318" spans="1:9" s="73" customFormat="1" ht="17.25" customHeight="1" x14ac:dyDescent="0.35">
      <c r="A318" s="104" t="s">
        <v>383</v>
      </c>
      <c r="B318" s="106" t="s">
        <v>384</v>
      </c>
      <c r="C318" s="106" t="s">
        <v>136</v>
      </c>
      <c r="D318" s="106"/>
      <c r="E318" s="106"/>
      <c r="F318" s="106"/>
      <c r="G318" s="106" t="s">
        <v>30</v>
      </c>
      <c r="H318" s="107"/>
      <c r="I318" s="64">
        <v>65959</v>
      </c>
    </row>
    <row r="319" spans="1:9" s="73" customFormat="1" ht="17.25" customHeight="1" x14ac:dyDescent="0.35">
      <c r="A319" s="104"/>
      <c r="B319" s="106"/>
      <c r="C319" s="106"/>
      <c r="D319" s="106" t="s">
        <v>38</v>
      </c>
      <c r="E319" s="106">
        <v>2</v>
      </c>
      <c r="F319" s="106">
        <v>16</v>
      </c>
      <c r="G319" s="106"/>
      <c r="H319" s="107"/>
      <c r="I319" s="64"/>
    </row>
    <row r="320" spans="1:9" s="73" customFormat="1" ht="17.25" customHeight="1" x14ac:dyDescent="0.35">
      <c r="A320" s="104" t="s">
        <v>385</v>
      </c>
      <c r="B320" s="106" t="s">
        <v>386</v>
      </c>
      <c r="C320" s="106" t="s">
        <v>136</v>
      </c>
      <c r="D320" s="106"/>
      <c r="E320" s="106"/>
      <c r="F320" s="106"/>
      <c r="G320" s="106" t="s">
        <v>30</v>
      </c>
      <c r="H320" s="107"/>
      <c r="I320" s="64">
        <v>69750</v>
      </c>
    </row>
    <row r="321" spans="1:9" s="73" customFormat="1" ht="17.25" customHeight="1" x14ac:dyDescent="0.35">
      <c r="A321" s="104"/>
      <c r="B321" s="106"/>
      <c r="C321" s="106"/>
      <c r="D321" s="106" t="s">
        <v>38</v>
      </c>
      <c r="E321" s="106">
        <v>1</v>
      </c>
      <c r="F321" s="106">
        <v>0</v>
      </c>
      <c r="G321" s="106"/>
      <c r="H321" s="107"/>
      <c r="I321" s="64" t="s">
        <v>177</v>
      </c>
    </row>
    <row r="322" spans="1:9" s="73" customFormat="1" ht="26.25" customHeight="1" x14ac:dyDescent="0.35">
      <c r="A322" s="104"/>
      <c r="B322" s="106"/>
      <c r="C322" s="106"/>
      <c r="D322" s="106" t="s">
        <v>38</v>
      </c>
      <c r="E322" s="106">
        <v>1</v>
      </c>
      <c r="F322" s="106">
        <v>0</v>
      </c>
      <c r="G322" s="106"/>
      <c r="H322" s="107"/>
      <c r="I322" s="64" t="s">
        <v>387</v>
      </c>
    </row>
    <row r="323" spans="1:9" s="73" customFormat="1" ht="17.25" customHeight="1" x14ac:dyDescent="0.35">
      <c r="A323" s="104"/>
      <c r="B323" s="106"/>
      <c r="C323" s="106"/>
      <c r="D323" s="106" t="s">
        <v>38</v>
      </c>
      <c r="E323" s="106">
        <v>1</v>
      </c>
      <c r="F323" s="106">
        <v>2</v>
      </c>
      <c r="G323" s="106"/>
      <c r="H323" s="107"/>
      <c r="I323" s="64" t="s">
        <v>388</v>
      </c>
    </row>
    <row r="324" spans="1:9" s="73" customFormat="1" ht="17.25" customHeight="1" x14ac:dyDescent="0.35">
      <c r="A324" s="104"/>
      <c r="B324" s="106"/>
      <c r="C324" s="106"/>
      <c r="D324" s="106" t="s">
        <v>38</v>
      </c>
      <c r="E324" s="106">
        <v>509</v>
      </c>
      <c r="F324" s="106">
        <v>0</v>
      </c>
      <c r="G324" s="106"/>
      <c r="H324" s="107"/>
      <c r="I324" s="64" t="s">
        <v>180</v>
      </c>
    </row>
    <row r="325" spans="1:9" s="73" customFormat="1" ht="17.25" customHeight="1" x14ac:dyDescent="0.35">
      <c r="A325" s="104" t="s">
        <v>389</v>
      </c>
      <c r="B325" s="106" t="s">
        <v>390</v>
      </c>
      <c r="C325" s="106" t="s">
        <v>136</v>
      </c>
      <c r="D325" s="106"/>
      <c r="E325" s="106"/>
      <c r="F325" s="106"/>
      <c r="G325" s="106" t="s">
        <v>30</v>
      </c>
      <c r="H325" s="107"/>
      <c r="I325" s="64">
        <v>70202</v>
      </c>
    </row>
    <row r="326" spans="1:9" s="73" customFormat="1" ht="17.25" customHeight="1" x14ac:dyDescent="0.35">
      <c r="A326" s="104"/>
      <c r="B326" s="106"/>
      <c r="C326" s="106"/>
      <c r="D326" s="106" t="s">
        <v>38</v>
      </c>
      <c r="E326" s="106">
        <v>1</v>
      </c>
      <c r="F326" s="106">
        <v>1</v>
      </c>
      <c r="G326" s="106"/>
      <c r="H326" s="107"/>
      <c r="I326" s="64"/>
    </row>
    <row r="327" spans="1:9" s="73" customFormat="1" ht="17.25" customHeight="1" x14ac:dyDescent="0.35">
      <c r="A327" s="104" t="s">
        <v>391</v>
      </c>
      <c r="B327" s="106" t="s">
        <v>392</v>
      </c>
      <c r="C327" s="106" t="s">
        <v>136</v>
      </c>
      <c r="D327" s="106"/>
      <c r="E327" s="106"/>
      <c r="F327" s="106"/>
      <c r="G327" s="106" t="s">
        <v>30</v>
      </c>
      <c r="H327" s="107"/>
      <c r="I327" s="64">
        <v>65955</v>
      </c>
    </row>
    <row r="328" spans="1:9" s="73" customFormat="1" ht="17.25" customHeight="1" x14ac:dyDescent="0.35">
      <c r="A328" s="104"/>
      <c r="B328" s="106"/>
      <c r="C328" s="106"/>
      <c r="D328" s="106" t="s">
        <v>38</v>
      </c>
      <c r="E328" s="106">
        <v>1</v>
      </c>
      <c r="F328" s="106">
        <v>1</v>
      </c>
      <c r="G328" s="106"/>
      <c r="H328" s="107"/>
      <c r="I328" s="64"/>
    </row>
    <row r="329" spans="1:9" s="73" customFormat="1" ht="17.25" customHeight="1" x14ac:dyDescent="0.35">
      <c r="A329" s="104" t="s">
        <v>393</v>
      </c>
      <c r="B329" s="106" t="s">
        <v>394</v>
      </c>
      <c r="C329" s="106" t="s">
        <v>136</v>
      </c>
      <c r="D329" s="106"/>
      <c r="E329" s="106"/>
      <c r="F329" s="106"/>
      <c r="G329" s="106" t="s">
        <v>30</v>
      </c>
      <c r="H329" s="107"/>
      <c r="I329" s="64">
        <v>65957</v>
      </c>
    </row>
    <row r="330" spans="1:9" s="73" customFormat="1" ht="17.25" customHeight="1" x14ac:dyDescent="0.35">
      <c r="A330" s="104"/>
      <c r="B330" s="106"/>
      <c r="C330" s="106"/>
      <c r="D330" s="106" t="s">
        <v>38</v>
      </c>
      <c r="E330" s="106">
        <v>1</v>
      </c>
      <c r="F330" s="106">
        <v>1</v>
      </c>
      <c r="G330" s="106"/>
      <c r="H330" s="107"/>
      <c r="I330" s="64"/>
    </row>
    <row r="331" spans="1:9" s="73" customFormat="1" ht="17.25" customHeight="1" x14ac:dyDescent="0.35">
      <c r="A331" s="104" t="s">
        <v>395</v>
      </c>
      <c r="B331" s="106" t="s">
        <v>396</v>
      </c>
      <c r="C331" s="106" t="s">
        <v>136</v>
      </c>
      <c r="D331" s="106"/>
      <c r="E331" s="106"/>
      <c r="F331" s="106"/>
      <c r="G331" s="106" t="s">
        <v>30</v>
      </c>
      <c r="H331" s="107"/>
      <c r="I331" s="64">
        <v>67194</v>
      </c>
    </row>
    <row r="332" spans="1:9" s="73" customFormat="1" ht="17.25" customHeight="1" x14ac:dyDescent="0.35">
      <c r="A332" s="104"/>
      <c r="B332" s="106"/>
      <c r="C332" s="106"/>
      <c r="D332" s="106" t="s">
        <v>38</v>
      </c>
      <c r="E332" s="106">
        <v>4</v>
      </c>
      <c r="F332" s="106">
        <v>20</v>
      </c>
      <c r="G332" s="106"/>
      <c r="H332" s="107"/>
      <c r="I332" s="64" t="s">
        <v>397</v>
      </c>
    </row>
    <row r="333" spans="1:9" s="73" customFormat="1" ht="17.25" customHeight="1" x14ac:dyDescent="0.35">
      <c r="A333" s="104" t="s">
        <v>398</v>
      </c>
      <c r="B333" s="106" t="s">
        <v>399</v>
      </c>
      <c r="C333" s="106" t="s">
        <v>136</v>
      </c>
      <c r="D333" s="106"/>
      <c r="E333" s="106"/>
      <c r="F333" s="106"/>
      <c r="G333" s="106" t="s">
        <v>30</v>
      </c>
      <c r="H333" s="107"/>
      <c r="I333" s="64">
        <v>67195</v>
      </c>
    </row>
    <row r="334" spans="1:9" s="73" customFormat="1" ht="17.25" customHeight="1" x14ac:dyDescent="0.35">
      <c r="A334" s="104"/>
      <c r="B334" s="106"/>
      <c r="C334" s="106"/>
      <c r="D334" s="106" t="s">
        <v>38</v>
      </c>
      <c r="E334" s="106">
        <v>4</v>
      </c>
      <c r="F334" s="106">
        <v>5</v>
      </c>
      <c r="G334" s="106"/>
      <c r="H334" s="107"/>
      <c r="I334" s="64"/>
    </row>
    <row r="335" spans="1:9" s="73" customFormat="1" ht="17.25" customHeight="1" x14ac:dyDescent="0.35">
      <c r="A335" s="104" t="s">
        <v>400</v>
      </c>
      <c r="B335" s="106" t="s">
        <v>401</v>
      </c>
      <c r="C335" s="106" t="s">
        <v>136</v>
      </c>
      <c r="D335" s="106"/>
      <c r="E335" s="106"/>
      <c r="F335" s="106"/>
      <c r="G335" s="106" t="s">
        <v>30</v>
      </c>
      <c r="H335" s="107"/>
      <c r="I335" s="64">
        <v>67199</v>
      </c>
    </row>
    <row r="336" spans="1:9" s="73" customFormat="1" ht="17.25" customHeight="1" x14ac:dyDescent="0.35">
      <c r="A336" s="104"/>
      <c r="B336" s="106"/>
      <c r="C336" s="106"/>
      <c r="D336" s="106" t="s">
        <v>38</v>
      </c>
      <c r="E336" s="106">
        <v>1</v>
      </c>
      <c r="F336" s="106">
        <v>1</v>
      </c>
      <c r="G336" s="106"/>
      <c r="H336" s="107"/>
      <c r="I336" s="64"/>
    </row>
    <row r="337" spans="1:9" s="73" customFormat="1" ht="17.25" customHeight="1" x14ac:dyDescent="0.35">
      <c r="A337" s="104" t="s">
        <v>402</v>
      </c>
      <c r="B337" s="106" t="s">
        <v>403</v>
      </c>
      <c r="C337" s="106" t="s">
        <v>136</v>
      </c>
      <c r="D337" s="106"/>
      <c r="E337" s="106"/>
      <c r="F337" s="106"/>
      <c r="G337" s="106" t="s">
        <v>30</v>
      </c>
      <c r="H337" s="107"/>
      <c r="I337" s="64">
        <v>67280</v>
      </c>
    </row>
    <row r="338" spans="1:9" s="73" customFormat="1" ht="17.25" customHeight="1" x14ac:dyDescent="0.35">
      <c r="A338" s="104"/>
      <c r="B338" s="106"/>
      <c r="C338" s="106"/>
      <c r="D338" s="106" t="s">
        <v>38</v>
      </c>
      <c r="E338" s="106">
        <v>4</v>
      </c>
      <c r="F338" s="106">
        <v>45000</v>
      </c>
      <c r="G338" s="106"/>
      <c r="H338" s="107"/>
      <c r="I338" s="64"/>
    </row>
    <row r="339" spans="1:9" s="73" customFormat="1" ht="17.25" customHeight="1" x14ac:dyDescent="0.35">
      <c r="A339" s="104" t="s">
        <v>404</v>
      </c>
      <c r="B339" s="106" t="s">
        <v>405</v>
      </c>
      <c r="C339" s="106" t="s">
        <v>136</v>
      </c>
      <c r="D339" s="106"/>
      <c r="E339" s="106"/>
      <c r="F339" s="106"/>
      <c r="G339" s="106" t="s">
        <v>30</v>
      </c>
      <c r="H339" s="107"/>
      <c r="I339" s="64">
        <v>67281</v>
      </c>
    </row>
    <row r="340" spans="1:9" s="73" customFormat="1" ht="17.25" customHeight="1" x14ac:dyDescent="0.35">
      <c r="A340" s="104"/>
      <c r="B340" s="106"/>
      <c r="C340" s="106"/>
      <c r="D340" s="106" t="s">
        <v>38</v>
      </c>
      <c r="E340" s="106">
        <v>4</v>
      </c>
      <c r="F340" s="106">
        <v>90000</v>
      </c>
      <c r="G340" s="106"/>
      <c r="H340" s="107"/>
      <c r="I340" s="64"/>
    </row>
    <row r="341" spans="1:9" s="73" customFormat="1" ht="17.25" customHeight="1" x14ac:dyDescent="0.35">
      <c r="A341" s="104" t="s">
        <v>406</v>
      </c>
      <c r="B341" s="106" t="s">
        <v>407</v>
      </c>
      <c r="C341" s="106" t="s">
        <v>136</v>
      </c>
      <c r="D341" s="106"/>
      <c r="E341" s="106"/>
      <c r="F341" s="106"/>
      <c r="G341" s="106" t="s">
        <v>30</v>
      </c>
      <c r="H341" s="107"/>
      <c r="I341" s="64">
        <v>67282</v>
      </c>
    </row>
    <row r="342" spans="1:9" s="73" customFormat="1" ht="17.25" customHeight="1" x14ac:dyDescent="0.35">
      <c r="A342" s="104"/>
      <c r="B342" s="106"/>
      <c r="C342" s="106"/>
      <c r="D342" s="106" t="s">
        <v>38</v>
      </c>
      <c r="E342" s="106">
        <v>4</v>
      </c>
      <c r="F342" s="106">
        <v>20</v>
      </c>
      <c r="G342" s="106"/>
      <c r="H342" s="107"/>
      <c r="I342" s="64"/>
    </row>
    <row r="343" spans="1:9" s="73" customFormat="1" ht="17.25" customHeight="1" x14ac:dyDescent="0.35">
      <c r="A343" s="104" t="s">
        <v>408</v>
      </c>
      <c r="B343" s="106" t="s">
        <v>409</v>
      </c>
      <c r="C343" s="106" t="s">
        <v>136</v>
      </c>
      <c r="D343" s="106"/>
      <c r="E343" s="106"/>
      <c r="F343" s="106"/>
      <c r="G343" s="106" t="s">
        <v>30</v>
      </c>
      <c r="H343" s="107"/>
      <c r="I343" s="64">
        <v>65964</v>
      </c>
    </row>
    <row r="344" spans="1:9" s="73" customFormat="1" ht="17.25" customHeight="1" x14ac:dyDescent="0.35">
      <c r="A344" s="104"/>
      <c r="B344" s="106"/>
      <c r="C344" s="106"/>
      <c r="D344" s="106" t="s">
        <v>38</v>
      </c>
      <c r="E344" s="106">
        <v>1</v>
      </c>
      <c r="F344" s="106">
        <v>1</v>
      </c>
      <c r="G344" s="106"/>
      <c r="H344" s="107"/>
      <c r="I344" s="64"/>
    </row>
    <row r="345" spans="1:9" s="73" customFormat="1" ht="17.25" customHeight="1" x14ac:dyDescent="0.35">
      <c r="A345" s="104" t="s">
        <v>410</v>
      </c>
      <c r="B345" s="106" t="s">
        <v>411</v>
      </c>
      <c r="C345" s="106" t="s">
        <v>136</v>
      </c>
      <c r="D345" s="106"/>
      <c r="E345" s="106"/>
      <c r="F345" s="106"/>
      <c r="G345" s="106" t="s">
        <v>30</v>
      </c>
      <c r="H345" s="107"/>
      <c r="I345" s="64">
        <v>65960</v>
      </c>
    </row>
    <row r="346" spans="1:9" s="73" customFormat="1" ht="17.25" customHeight="1" x14ac:dyDescent="0.35">
      <c r="A346" s="104"/>
      <c r="B346" s="106"/>
      <c r="C346" s="106"/>
      <c r="D346" s="106" t="s">
        <v>38</v>
      </c>
      <c r="E346" s="106">
        <v>1</v>
      </c>
      <c r="F346" s="106">
        <v>0</v>
      </c>
      <c r="G346" s="106"/>
      <c r="H346" s="107"/>
      <c r="I346" s="64"/>
    </row>
    <row r="347" spans="1:9" s="73" customFormat="1" ht="17.25" customHeight="1" x14ac:dyDescent="0.35">
      <c r="A347" s="104" t="s">
        <v>412</v>
      </c>
      <c r="B347" s="106" t="s">
        <v>413</v>
      </c>
      <c r="C347" s="106" t="s">
        <v>136</v>
      </c>
      <c r="D347" s="106"/>
      <c r="E347" s="106"/>
      <c r="F347" s="106"/>
      <c r="G347" s="106" t="s">
        <v>30</v>
      </c>
      <c r="H347" s="107"/>
      <c r="I347" s="64">
        <v>66031</v>
      </c>
    </row>
    <row r="348" spans="1:9" s="73" customFormat="1" ht="17.25" customHeight="1" x14ac:dyDescent="0.35">
      <c r="A348" s="104"/>
      <c r="B348" s="106"/>
      <c r="C348" s="106"/>
      <c r="D348" s="106" t="s">
        <v>38</v>
      </c>
      <c r="E348" s="106">
        <v>4</v>
      </c>
      <c r="F348" s="106">
        <v>0</v>
      </c>
      <c r="G348" s="106"/>
      <c r="H348" s="107"/>
      <c r="I348" s="64"/>
    </row>
    <row r="349" spans="1:9" s="73" customFormat="1" ht="17.25" customHeight="1" x14ac:dyDescent="0.35">
      <c r="A349" s="104" t="s">
        <v>414</v>
      </c>
      <c r="B349" s="106" t="s">
        <v>415</v>
      </c>
      <c r="C349" s="106" t="s">
        <v>136</v>
      </c>
      <c r="D349" s="106"/>
      <c r="E349" s="106"/>
      <c r="F349" s="106"/>
      <c r="G349" s="106" t="s">
        <v>30</v>
      </c>
      <c r="H349" s="107"/>
      <c r="I349" s="64">
        <v>67239</v>
      </c>
    </row>
    <row r="350" spans="1:9" s="73" customFormat="1" ht="17.25" customHeight="1" x14ac:dyDescent="0.35">
      <c r="A350" s="104"/>
      <c r="B350" s="106"/>
      <c r="C350" s="106"/>
      <c r="D350" s="106" t="s">
        <v>38</v>
      </c>
      <c r="E350" s="106">
        <v>4</v>
      </c>
      <c r="F350" s="106">
        <v>0</v>
      </c>
      <c r="G350" s="106"/>
      <c r="H350" s="107"/>
      <c r="I350" s="64"/>
    </row>
    <row r="351" spans="1:9" s="73" customFormat="1" ht="17.25" customHeight="1" x14ac:dyDescent="0.35">
      <c r="A351" s="104" t="s">
        <v>416</v>
      </c>
      <c r="B351" s="106" t="s">
        <v>417</v>
      </c>
      <c r="C351" s="106" t="s">
        <v>136</v>
      </c>
      <c r="D351" s="106"/>
      <c r="E351" s="106"/>
      <c r="F351" s="106"/>
      <c r="G351" s="106" t="s">
        <v>30</v>
      </c>
      <c r="H351" s="107"/>
      <c r="I351" s="64">
        <v>67240</v>
      </c>
    </row>
    <row r="352" spans="1:9" s="73" customFormat="1" ht="17.25" customHeight="1" x14ac:dyDescent="0.35">
      <c r="A352" s="104"/>
      <c r="B352" s="106"/>
      <c r="C352" s="106"/>
      <c r="D352" s="106" t="s">
        <v>38</v>
      </c>
      <c r="E352" s="106">
        <v>1</v>
      </c>
      <c r="F352" s="106">
        <v>0</v>
      </c>
      <c r="G352" s="106"/>
      <c r="H352" s="107"/>
      <c r="I352" s="64"/>
    </row>
    <row r="353" spans="1:9" s="73" customFormat="1" ht="17.25" customHeight="1" x14ac:dyDescent="0.35">
      <c r="A353" s="104" t="s">
        <v>418</v>
      </c>
      <c r="B353" s="106" t="s">
        <v>419</v>
      </c>
      <c r="C353" s="106" t="s">
        <v>136</v>
      </c>
      <c r="D353" s="106"/>
      <c r="E353" s="106"/>
      <c r="F353" s="106"/>
      <c r="G353" s="106" t="s">
        <v>30</v>
      </c>
      <c r="H353" s="107"/>
      <c r="I353" s="64">
        <v>67241</v>
      </c>
    </row>
    <row r="354" spans="1:9" s="73" customFormat="1" ht="17.25" customHeight="1" x14ac:dyDescent="0.35">
      <c r="A354" s="104"/>
      <c r="B354" s="106"/>
      <c r="C354" s="106"/>
      <c r="D354" s="106" t="s">
        <v>38</v>
      </c>
      <c r="E354" s="106">
        <v>1</v>
      </c>
      <c r="F354" s="106">
        <v>0</v>
      </c>
      <c r="G354" s="106"/>
      <c r="H354" s="107"/>
      <c r="I354" s="64"/>
    </row>
    <row r="355" spans="1:9" s="73" customFormat="1" ht="17.25" customHeight="1" x14ac:dyDescent="0.35">
      <c r="A355" s="104" t="s">
        <v>420</v>
      </c>
      <c r="B355" s="106" t="s">
        <v>421</v>
      </c>
      <c r="C355" s="106" t="s">
        <v>136</v>
      </c>
      <c r="D355" s="106"/>
      <c r="E355" s="106"/>
      <c r="F355" s="106"/>
      <c r="G355" s="106" t="s">
        <v>30</v>
      </c>
      <c r="H355" s="107"/>
      <c r="I355" s="64">
        <v>70213</v>
      </c>
    </row>
    <row r="356" spans="1:9" s="73" customFormat="1" ht="17.25" customHeight="1" x14ac:dyDescent="0.35">
      <c r="A356" s="104"/>
      <c r="B356" s="106"/>
      <c r="C356" s="106"/>
      <c r="D356" s="106" t="s">
        <v>38</v>
      </c>
      <c r="E356" s="106">
        <v>2</v>
      </c>
      <c r="F356" s="106">
        <v>-115</v>
      </c>
      <c r="G356" s="106"/>
      <c r="H356" s="107"/>
      <c r="I356" s="64"/>
    </row>
    <row r="357" spans="1:9" s="73" customFormat="1" ht="17.25" customHeight="1" x14ac:dyDescent="0.35">
      <c r="A357" s="104" t="s">
        <v>422</v>
      </c>
      <c r="B357" s="106" t="s">
        <v>423</v>
      </c>
      <c r="C357" s="106" t="s">
        <v>136</v>
      </c>
      <c r="D357" s="106"/>
      <c r="E357" s="106"/>
      <c r="F357" s="106"/>
      <c r="G357" s="106" t="s">
        <v>30</v>
      </c>
      <c r="H357" s="107"/>
      <c r="I357" s="64">
        <v>70291</v>
      </c>
    </row>
    <row r="358" spans="1:9" s="73" customFormat="1" ht="17.25" customHeight="1" x14ac:dyDescent="0.35">
      <c r="A358" s="104"/>
      <c r="B358" s="106"/>
      <c r="C358" s="106"/>
      <c r="D358" s="106" t="s">
        <v>38</v>
      </c>
      <c r="E358" s="106">
        <v>1</v>
      </c>
      <c r="F358" s="106">
        <v>0</v>
      </c>
      <c r="G358" s="106"/>
      <c r="H358" s="107"/>
      <c r="I358" s="64" t="s">
        <v>245</v>
      </c>
    </row>
    <row r="359" spans="1:9" s="73" customFormat="1" ht="17.25" customHeight="1" x14ac:dyDescent="0.35">
      <c r="A359" s="104"/>
      <c r="B359" s="106"/>
      <c r="C359" s="106"/>
      <c r="D359" s="106" t="s">
        <v>38</v>
      </c>
      <c r="E359" s="106">
        <v>1</v>
      </c>
      <c r="F359" s="106">
        <v>0</v>
      </c>
      <c r="G359" s="106"/>
      <c r="H359" s="107"/>
      <c r="I359" s="64" t="s">
        <v>424</v>
      </c>
    </row>
    <row r="360" spans="1:9" s="73" customFormat="1" ht="17.25" customHeight="1" x14ac:dyDescent="0.35">
      <c r="A360" s="104"/>
      <c r="B360" s="106"/>
      <c r="C360" s="106"/>
      <c r="D360" s="106" t="s">
        <v>38</v>
      </c>
      <c r="E360" s="106">
        <v>2</v>
      </c>
      <c r="F360" s="106">
        <v>0</v>
      </c>
      <c r="G360" s="106"/>
      <c r="H360" s="107"/>
      <c r="I360" s="64" t="s">
        <v>425</v>
      </c>
    </row>
    <row r="361" spans="1:9" s="73" customFormat="1" ht="17.25" customHeight="1" x14ac:dyDescent="0.35">
      <c r="A361" s="104"/>
      <c r="B361" s="106"/>
      <c r="C361" s="106"/>
      <c r="D361" s="106" t="s">
        <v>38</v>
      </c>
      <c r="E361" s="106">
        <v>1</v>
      </c>
      <c r="F361" s="106">
        <v>0</v>
      </c>
      <c r="G361" s="106"/>
      <c r="H361" s="107"/>
      <c r="I361" s="64" t="s">
        <v>426</v>
      </c>
    </row>
    <row r="362" spans="1:9" s="73" customFormat="1" ht="17.25" customHeight="1" x14ac:dyDescent="0.35">
      <c r="A362" s="104"/>
      <c r="B362" s="106"/>
      <c r="C362" s="106"/>
      <c r="D362" s="106" t="s">
        <v>38</v>
      </c>
      <c r="E362" s="106">
        <v>1</v>
      </c>
      <c r="F362" s="106">
        <v>0</v>
      </c>
      <c r="G362" s="106"/>
      <c r="H362" s="107"/>
      <c r="I362" s="64" t="s">
        <v>427</v>
      </c>
    </row>
    <row r="363" spans="1:9" s="73" customFormat="1" ht="17.25" customHeight="1" x14ac:dyDescent="0.35">
      <c r="A363" s="104"/>
      <c r="B363" s="106"/>
      <c r="C363" s="106"/>
      <c r="D363" s="106" t="s">
        <v>38</v>
      </c>
      <c r="E363" s="106">
        <v>1</v>
      </c>
      <c r="F363" s="106">
        <v>0</v>
      </c>
      <c r="G363" s="106"/>
      <c r="H363" s="107"/>
      <c r="I363" s="64" t="s">
        <v>428</v>
      </c>
    </row>
    <row r="364" spans="1:9" s="73" customFormat="1" ht="17.25" customHeight="1" x14ac:dyDescent="0.35">
      <c r="A364" s="104"/>
      <c r="B364" s="106"/>
      <c r="C364" s="106"/>
      <c r="D364" s="106" t="s">
        <v>38</v>
      </c>
      <c r="E364" s="106">
        <v>1</v>
      </c>
      <c r="F364" s="106">
        <v>0</v>
      </c>
      <c r="G364" s="106"/>
      <c r="H364" s="107"/>
      <c r="I364" s="64" t="s">
        <v>429</v>
      </c>
    </row>
    <row r="365" spans="1:9" s="73" customFormat="1" ht="17.25" customHeight="1" x14ac:dyDescent="0.35">
      <c r="A365" s="104"/>
      <c r="B365" s="106"/>
      <c r="C365" s="106"/>
      <c r="D365" s="106" t="s">
        <v>38</v>
      </c>
      <c r="E365" s="106">
        <v>2</v>
      </c>
      <c r="F365" s="106">
        <v>0</v>
      </c>
      <c r="G365" s="106"/>
      <c r="H365" s="107"/>
      <c r="I365" s="64" t="s">
        <v>430</v>
      </c>
    </row>
    <row r="366" spans="1:9" s="73" customFormat="1" ht="17.25" customHeight="1" x14ac:dyDescent="0.35">
      <c r="A366" s="104"/>
      <c r="B366" s="106"/>
      <c r="C366" s="106"/>
      <c r="D366" s="106" t="s">
        <v>38</v>
      </c>
      <c r="E366" s="106">
        <v>2</v>
      </c>
      <c r="F366" s="106">
        <v>0</v>
      </c>
      <c r="G366" s="106"/>
      <c r="H366" s="107"/>
      <c r="I366" s="64" t="s">
        <v>431</v>
      </c>
    </row>
    <row r="367" spans="1:9" s="73" customFormat="1" ht="17.25" customHeight="1" x14ac:dyDescent="0.35">
      <c r="A367" s="104"/>
      <c r="B367" s="106"/>
      <c r="C367" s="106"/>
      <c r="D367" s="106" t="s">
        <v>38</v>
      </c>
      <c r="E367" s="106">
        <v>4</v>
      </c>
      <c r="F367" s="106">
        <v>0</v>
      </c>
      <c r="G367" s="106"/>
      <c r="H367" s="107"/>
      <c r="I367" s="64" t="s">
        <v>432</v>
      </c>
    </row>
    <row r="368" spans="1:9" s="73" customFormat="1" ht="17.25" customHeight="1" x14ac:dyDescent="0.35">
      <c r="A368" s="104"/>
      <c r="B368" s="106"/>
      <c r="C368" s="106"/>
      <c r="D368" s="106" t="s">
        <v>38</v>
      </c>
      <c r="E368" s="106">
        <v>4</v>
      </c>
      <c r="F368" s="106">
        <v>0</v>
      </c>
      <c r="G368" s="106"/>
      <c r="H368" s="107"/>
      <c r="I368" s="64" t="s">
        <v>433</v>
      </c>
    </row>
    <row r="369" spans="1:9" s="73" customFormat="1" ht="17.25" customHeight="1" x14ac:dyDescent="0.35">
      <c r="A369" s="104"/>
      <c r="B369" s="106"/>
      <c r="C369" s="106"/>
      <c r="D369" s="106" t="s">
        <v>38</v>
      </c>
      <c r="E369" s="106">
        <v>1</v>
      </c>
      <c r="F369" s="106">
        <v>0</v>
      </c>
      <c r="G369" s="106"/>
      <c r="H369" s="107"/>
      <c r="I369" s="64" t="s">
        <v>434</v>
      </c>
    </row>
    <row r="370" spans="1:9" s="73" customFormat="1" ht="17.25" customHeight="1" x14ac:dyDescent="0.35">
      <c r="A370" s="104"/>
      <c r="B370" s="106"/>
      <c r="C370" s="106"/>
      <c r="D370" s="106" t="s">
        <v>38</v>
      </c>
      <c r="E370" s="106">
        <v>15</v>
      </c>
      <c r="F370" s="106">
        <v>0</v>
      </c>
      <c r="G370" s="106"/>
      <c r="H370" s="107"/>
      <c r="I370" s="64" t="s">
        <v>435</v>
      </c>
    </row>
    <row r="371" spans="1:9" s="73" customFormat="1" ht="17.25" customHeight="1" x14ac:dyDescent="0.35">
      <c r="A371" s="104"/>
      <c r="B371" s="106"/>
      <c r="C371" s="106"/>
      <c r="D371" s="106" t="s">
        <v>38</v>
      </c>
      <c r="E371" s="106">
        <v>1</v>
      </c>
      <c r="F371" s="106">
        <v>15</v>
      </c>
      <c r="G371" s="106"/>
      <c r="H371" s="107"/>
      <c r="I371" s="64" t="s">
        <v>436</v>
      </c>
    </row>
    <row r="372" spans="1:9" s="73" customFormat="1" ht="17.25" customHeight="1" x14ac:dyDescent="0.35">
      <c r="A372" s="104"/>
      <c r="B372" s="106"/>
      <c r="C372" s="106"/>
      <c r="D372" s="106" t="s">
        <v>38</v>
      </c>
      <c r="E372" s="106">
        <v>2</v>
      </c>
      <c r="F372" s="106">
        <v>384</v>
      </c>
      <c r="G372" s="106"/>
      <c r="H372" s="107"/>
      <c r="I372" s="64" t="s">
        <v>437</v>
      </c>
    </row>
    <row r="373" spans="1:9" s="73" customFormat="1" ht="17.25" customHeight="1" x14ac:dyDescent="0.35">
      <c r="A373" s="104"/>
      <c r="B373" s="106"/>
      <c r="C373" s="106"/>
      <c r="D373" s="106" t="s">
        <v>38</v>
      </c>
      <c r="E373" s="106">
        <v>1</v>
      </c>
      <c r="F373" s="106">
        <v>7</v>
      </c>
      <c r="G373" s="106"/>
      <c r="H373" s="107"/>
      <c r="I373" s="64" t="s">
        <v>438</v>
      </c>
    </row>
    <row r="374" spans="1:9" s="73" customFormat="1" ht="17.25" customHeight="1" x14ac:dyDescent="0.35">
      <c r="A374" s="104"/>
      <c r="B374" s="106"/>
      <c r="C374" s="106"/>
      <c r="D374" s="106" t="s">
        <v>38</v>
      </c>
      <c r="E374" s="106">
        <v>1</v>
      </c>
      <c r="F374" s="106">
        <v>4</v>
      </c>
      <c r="G374" s="106"/>
      <c r="H374" s="107"/>
      <c r="I374" s="64" t="s">
        <v>439</v>
      </c>
    </row>
    <row r="375" spans="1:9" s="73" customFormat="1" ht="17.25" customHeight="1" x14ac:dyDescent="0.35">
      <c r="A375" s="104"/>
      <c r="B375" s="106"/>
      <c r="C375" s="106"/>
      <c r="D375" s="106" t="s">
        <v>38</v>
      </c>
      <c r="E375" s="106">
        <v>1</v>
      </c>
      <c r="F375" s="106">
        <v>15</v>
      </c>
      <c r="G375" s="106"/>
      <c r="H375" s="107"/>
      <c r="I375" s="64" t="s">
        <v>440</v>
      </c>
    </row>
    <row r="376" spans="1:9" s="73" customFormat="1" ht="17.25" customHeight="1" x14ac:dyDescent="0.35">
      <c r="A376" s="104"/>
      <c r="B376" s="106"/>
      <c r="C376" s="106"/>
      <c r="D376" s="106" t="s">
        <v>38</v>
      </c>
      <c r="E376" s="106">
        <v>1</v>
      </c>
      <c r="F376" s="106">
        <v>15</v>
      </c>
      <c r="G376" s="106"/>
      <c r="H376" s="107"/>
      <c r="I376" s="64" t="s">
        <v>441</v>
      </c>
    </row>
    <row r="377" spans="1:9" s="73" customFormat="1" ht="17.25" customHeight="1" x14ac:dyDescent="0.35">
      <c r="A377" s="104"/>
      <c r="B377" s="106"/>
      <c r="C377" s="106"/>
      <c r="D377" s="106" t="s">
        <v>38</v>
      </c>
      <c r="E377" s="106">
        <v>2</v>
      </c>
      <c r="F377" s="106">
        <v>160</v>
      </c>
      <c r="G377" s="106"/>
      <c r="H377" s="107"/>
      <c r="I377" s="64" t="s">
        <v>442</v>
      </c>
    </row>
    <row r="378" spans="1:9" s="73" customFormat="1" ht="17.25" customHeight="1" x14ac:dyDescent="0.35">
      <c r="A378" s="104"/>
      <c r="B378" s="106"/>
      <c r="C378" s="106"/>
      <c r="D378" s="106" t="s">
        <v>38</v>
      </c>
      <c r="E378" s="106">
        <v>2</v>
      </c>
      <c r="F378" s="106">
        <v>384</v>
      </c>
      <c r="G378" s="106"/>
      <c r="H378" s="107"/>
      <c r="I378" s="64" t="s">
        <v>443</v>
      </c>
    </row>
    <row r="379" spans="1:9" s="73" customFormat="1" ht="17.25" customHeight="1" x14ac:dyDescent="0.35">
      <c r="A379" s="104"/>
      <c r="B379" s="106"/>
      <c r="C379" s="106"/>
      <c r="D379" s="106" t="s">
        <v>38</v>
      </c>
      <c r="E379" s="106">
        <v>4</v>
      </c>
      <c r="F379" s="106">
        <v>0</v>
      </c>
      <c r="G379" s="106"/>
      <c r="H379" s="107"/>
      <c r="I379" s="64" t="s">
        <v>444</v>
      </c>
    </row>
    <row r="380" spans="1:9" s="73" customFormat="1" ht="17.25" customHeight="1" x14ac:dyDescent="0.35">
      <c r="A380" s="104"/>
      <c r="B380" s="106"/>
      <c r="C380" s="106"/>
      <c r="D380" s="106" t="s">
        <v>38</v>
      </c>
      <c r="E380" s="106">
        <v>4</v>
      </c>
      <c r="F380" s="106">
        <v>0</v>
      </c>
      <c r="G380" s="106"/>
      <c r="H380" s="107"/>
      <c r="I380" s="64" t="s">
        <v>445</v>
      </c>
    </row>
    <row r="381" spans="1:9" s="73" customFormat="1" ht="17.25" customHeight="1" x14ac:dyDescent="0.35">
      <c r="A381" s="104"/>
      <c r="B381" s="106"/>
      <c r="C381" s="106"/>
      <c r="D381" s="106" t="s">
        <v>38</v>
      </c>
      <c r="E381" s="106">
        <v>1</v>
      </c>
      <c r="F381" s="106">
        <v>1</v>
      </c>
      <c r="G381" s="106"/>
      <c r="H381" s="107"/>
      <c r="I381" s="64" t="s">
        <v>446</v>
      </c>
    </row>
    <row r="382" spans="1:9" s="73" customFormat="1" ht="17.25" customHeight="1" x14ac:dyDescent="0.35">
      <c r="A382" s="104"/>
      <c r="B382" s="106"/>
      <c r="C382" s="106"/>
      <c r="D382" s="106" t="s">
        <v>38</v>
      </c>
      <c r="E382" s="106">
        <v>15</v>
      </c>
      <c r="F382" s="106">
        <v>0</v>
      </c>
      <c r="G382" s="106"/>
      <c r="H382" s="107"/>
      <c r="I382" s="64" t="s">
        <v>435</v>
      </c>
    </row>
    <row r="383" spans="1:9" s="73" customFormat="1" ht="17.25" customHeight="1" x14ac:dyDescent="0.35">
      <c r="A383" s="104"/>
      <c r="B383" s="106"/>
      <c r="C383" s="106"/>
      <c r="D383" s="106" t="s">
        <v>38</v>
      </c>
      <c r="E383" s="106">
        <v>511</v>
      </c>
      <c r="F383" s="106">
        <v>0</v>
      </c>
      <c r="G383" s="106"/>
      <c r="H383" s="107"/>
      <c r="I383" s="64" t="s">
        <v>447</v>
      </c>
    </row>
    <row r="384" spans="1:9" s="73" customFormat="1" ht="17.25" customHeight="1" x14ac:dyDescent="0.35">
      <c r="A384" s="104" t="s">
        <v>448</v>
      </c>
      <c r="B384" s="106" t="s">
        <v>449</v>
      </c>
      <c r="C384" s="106" t="s">
        <v>136</v>
      </c>
      <c r="D384" s="106"/>
      <c r="E384" s="106"/>
      <c r="F384" s="106">
        <v>0</v>
      </c>
      <c r="G384" s="106" t="s">
        <v>30</v>
      </c>
      <c r="H384" s="107"/>
      <c r="I384" s="64">
        <v>70233</v>
      </c>
    </row>
    <row r="385" spans="1:9" s="73" customFormat="1" ht="17.25" customHeight="1" x14ac:dyDescent="0.35">
      <c r="A385" s="104"/>
      <c r="B385" s="106"/>
      <c r="C385" s="106"/>
      <c r="D385" s="106" t="s">
        <v>38</v>
      </c>
      <c r="E385" s="106">
        <v>1</v>
      </c>
      <c r="F385" s="106">
        <v>0</v>
      </c>
      <c r="G385" s="106"/>
      <c r="H385" s="107"/>
      <c r="I385" s="64" t="s">
        <v>450</v>
      </c>
    </row>
    <row r="386" spans="1:9" s="73" customFormat="1" ht="17.25" customHeight="1" x14ac:dyDescent="0.35">
      <c r="A386" s="104"/>
      <c r="B386" s="106"/>
      <c r="C386" s="106"/>
      <c r="D386" s="106" t="s">
        <v>38</v>
      </c>
      <c r="E386" s="106">
        <v>1</v>
      </c>
      <c r="F386" s="106">
        <v>1</v>
      </c>
      <c r="G386" s="106"/>
      <c r="H386" s="107"/>
      <c r="I386" s="64" t="s">
        <v>451</v>
      </c>
    </row>
    <row r="387" spans="1:9" s="73" customFormat="1" ht="17.25" customHeight="1" x14ac:dyDescent="0.35">
      <c r="A387" s="104"/>
      <c r="B387" s="106"/>
      <c r="C387" s="106"/>
      <c r="D387" s="106" t="s">
        <v>38</v>
      </c>
      <c r="E387" s="106">
        <v>1</v>
      </c>
      <c r="F387" s="106"/>
      <c r="G387" s="106"/>
      <c r="H387" s="107"/>
      <c r="I387" s="64" t="s">
        <v>452</v>
      </c>
    </row>
    <row r="388" spans="1:9" s="73" customFormat="1" ht="17.25" customHeight="1" x14ac:dyDescent="0.35">
      <c r="A388" s="104"/>
      <c r="B388" s="106"/>
      <c r="C388" s="106"/>
      <c r="D388" s="106" t="s">
        <v>38</v>
      </c>
      <c r="E388" s="106">
        <v>32</v>
      </c>
      <c r="F388" s="106"/>
      <c r="G388" s="106"/>
      <c r="H388" s="107"/>
      <c r="I388" s="64" t="s">
        <v>453</v>
      </c>
    </row>
    <row r="389" spans="1:9" s="73" customFormat="1" ht="17.25" customHeight="1" x14ac:dyDescent="0.35">
      <c r="A389" s="104"/>
      <c r="B389" s="106"/>
      <c r="C389" s="106"/>
      <c r="D389" s="106" t="s">
        <v>38</v>
      </c>
      <c r="E389" s="106">
        <v>32</v>
      </c>
      <c r="F389" s="106"/>
      <c r="G389" s="106"/>
      <c r="H389" s="107"/>
      <c r="I389" s="64" t="s">
        <v>454</v>
      </c>
    </row>
    <row r="390" spans="1:9" s="73" customFormat="1" ht="17.25" customHeight="1" x14ac:dyDescent="0.35">
      <c r="A390" s="104"/>
      <c r="B390" s="106"/>
      <c r="C390" s="106"/>
      <c r="D390" s="106" t="s">
        <v>38</v>
      </c>
      <c r="E390" s="106">
        <v>1</v>
      </c>
      <c r="F390" s="106"/>
      <c r="G390" s="106"/>
      <c r="H390" s="107"/>
      <c r="I390" s="64" t="s">
        <v>455</v>
      </c>
    </row>
    <row r="391" spans="1:9" s="73" customFormat="1" ht="17.25" customHeight="1" x14ac:dyDescent="0.35">
      <c r="A391" s="104"/>
      <c r="B391" s="106"/>
      <c r="C391" s="106"/>
      <c r="D391" s="106" t="s">
        <v>38</v>
      </c>
      <c r="E391" s="106">
        <v>1</v>
      </c>
      <c r="F391" s="106"/>
      <c r="G391" s="106"/>
      <c r="H391" s="107"/>
      <c r="I391" s="64" t="s">
        <v>456</v>
      </c>
    </row>
    <row r="392" spans="1:9" s="73" customFormat="1" ht="17.25" customHeight="1" x14ac:dyDescent="0.35">
      <c r="A392" s="104"/>
      <c r="B392" s="106"/>
      <c r="C392" s="106"/>
      <c r="D392" s="106" t="s">
        <v>38</v>
      </c>
      <c r="E392" s="106">
        <v>1</v>
      </c>
      <c r="F392" s="106"/>
      <c r="G392" s="106"/>
      <c r="H392" s="107"/>
      <c r="I392" s="64" t="s">
        <v>457</v>
      </c>
    </row>
    <row r="393" spans="1:9" s="73" customFormat="1" ht="17.25" customHeight="1" x14ac:dyDescent="0.35">
      <c r="A393" s="104"/>
      <c r="B393" s="106"/>
      <c r="C393" s="106"/>
      <c r="D393" s="106" t="s">
        <v>38</v>
      </c>
      <c r="E393" s="106">
        <v>1</v>
      </c>
      <c r="F393" s="106"/>
      <c r="G393" s="106"/>
      <c r="H393" s="107"/>
      <c r="I393" s="64" t="s">
        <v>458</v>
      </c>
    </row>
    <row r="394" spans="1:9" s="73" customFormat="1" ht="17.25" customHeight="1" x14ac:dyDescent="0.35">
      <c r="A394" s="104"/>
      <c r="B394" s="106"/>
      <c r="C394" s="106"/>
      <c r="D394" s="106" t="s">
        <v>38</v>
      </c>
      <c r="E394" s="106">
        <v>16</v>
      </c>
      <c r="F394" s="106"/>
      <c r="G394" s="106"/>
      <c r="H394" s="107"/>
      <c r="I394" s="64" t="s">
        <v>459</v>
      </c>
    </row>
    <row r="395" spans="1:9" s="73" customFormat="1" ht="17.25" customHeight="1" x14ac:dyDescent="0.35">
      <c r="A395" s="104"/>
      <c r="B395" s="106"/>
      <c r="C395" s="106"/>
      <c r="D395" s="106" t="s">
        <v>38</v>
      </c>
      <c r="E395" s="106">
        <v>16</v>
      </c>
      <c r="F395" s="106"/>
      <c r="G395" s="106"/>
      <c r="H395" s="107"/>
      <c r="I395" s="64" t="s">
        <v>460</v>
      </c>
    </row>
    <row r="396" spans="1:9" s="73" customFormat="1" ht="17.25" customHeight="1" x14ac:dyDescent="0.35">
      <c r="A396" s="104"/>
      <c r="B396" s="106"/>
      <c r="C396" s="106"/>
      <c r="D396" s="106" t="s">
        <v>38</v>
      </c>
      <c r="E396" s="106">
        <v>16</v>
      </c>
      <c r="F396" s="106"/>
      <c r="G396" s="106"/>
      <c r="H396" s="107"/>
      <c r="I396" s="64" t="s">
        <v>461</v>
      </c>
    </row>
    <row r="397" spans="1:9" s="73" customFormat="1" ht="17.25" customHeight="1" x14ac:dyDescent="0.35">
      <c r="A397" s="104"/>
      <c r="B397" s="106"/>
      <c r="C397" s="106"/>
      <c r="D397" s="106" t="s">
        <v>38</v>
      </c>
      <c r="E397" s="106">
        <v>16</v>
      </c>
      <c r="F397" s="106"/>
      <c r="G397" s="106"/>
      <c r="H397" s="107"/>
      <c r="I397" s="64" t="s">
        <v>462</v>
      </c>
    </row>
    <row r="398" spans="1:9" s="73" customFormat="1" ht="17.25" customHeight="1" x14ac:dyDescent="0.35">
      <c r="A398" s="104"/>
      <c r="B398" s="106"/>
      <c r="C398" s="106"/>
      <c r="D398" s="106" t="s">
        <v>38</v>
      </c>
      <c r="E398" s="106">
        <v>16</v>
      </c>
      <c r="F398" s="106"/>
      <c r="G398" s="106"/>
      <c r="H398" s="107"/>
      <c r="I398" s="64" t="s">
        <v>463</v>
      </c>
    </row>
    <row r="399" spans="1:9" s="73" customFormat="1" ht="17.25" customHeight="1" x14ac:dyDescent="0.35">
      <c r="A399" s="104"/>
      <c r="B399" s="106"/>
      <c r="C399" s="106"/>
      <c r="D399" s="106" t="s">
        <v>38</v>
      </c>
      <c r="E399" s="106">
        <v>45</v>
      </c>
      <c r="F399" s="106"/>
      <c r="G399" s="106"/>
      <c r="H399" s="107"/>
      <c r="I399" s="64" t="s">
        <v>464</v>
      </c>
    </row>
    <row r="400" spans="1:9" s="73" customFormat="1" ht="17.25" customHeight="1" x14ac:dyDescent="0.35">
      <c r="A400" s="104"/>
      <c r="B400" s="106"/>
      <c r="C400" s="106"/>
      <c r="D400" s="106" t="s">
        <v>38</v>
      </c>
      <c r="E400" s="106">
        <v>5</v>
      </c>
      <c r="F400" s="106"/>
      <c r="G400" s="106"/>
      <c r="H400" s="107"/>
      <c r="I400" s="64" t="s">
        <v>465</v>
      </c>
    </row>
    <row r="401" spans="1:9" s="73" customFormat="1" ht="17.25" customHeight="1" x14ac:dyDescent="0.35">
      <c r="A401" s="104"/>
      <c r="B401" s="106"/>
      <c r="C401" s="106"/>
      <c r="D401" s="106" t="s">
        <v>38</v>
      </c>
      <c r="E401" s="106">
        <v>270</v>
      </c>
      <c r="F401" s="106"/>
      <c r="G401" s="106"/>
      <c r="H401" s="107"/>
      <c r="I401" s="64" t="s">
        <v>466</v>
      </c>
    </row>
    <row r="402" spans="1:9" s="73" customFormat="1" ht="17.25" customHeight="1" x14ac:dyDescent="0.35">
      <c r="A402" s="104"/>
      <c r="B402" s="106"/>
      <c r="C402" s="106"/>
      <c r="D402" s="106" t="s">
        <v>38</v>
      </c>
      <c r="E402" s="106">
        <v>270</v>
      </c>
      <c r="F402" s="106"/>
      <c r="G402" s="106"/>
      <c r="H402" s="107"/>
      <c r="I402" s="64" t="s">
        <v>467</v>
      </c>
    </row>
    <row r="403" spans="1:9" s="73" customFormat="1" ht="17.25" customHeight="1" x14ac:dyDescent="0.35">
      <c r="A403" s="104"/>
      <c r="B403" s="106"/>
      <c r="C403" s="106"/>
      <c r="D403" s="106" t="s">
        <v>38</v>
      </c>
      <c r="E403" s="106">
        <v>270</v>
      </c>
      <c r="F403" s="106"/>
      <c r="G403" s="106"/>
      <c r="H403" s="107"/>
      <c r="I403" s="64" t="s">
        <v>468</v>
      </c>
    </row>
    <row r="404" spans="1:9" s="73" customFormat="1" ht="17.25" customHeight="1" x14ac:dyDescent="0.35">
      <c r="A404" s="104"/>
      <c r="B404" s="106"/>
      <c r="C404" s="106"/>
      <c r="D404" s="106" t="s">
        <v>38</v>
      </c>
      <c r="E404" s="106">
        <v>13</v>
      </c>
      <c r="F404" s="106"/>
      <c r="G404" s="106"/>
      <c r="H404" s="107"/>
      <c r="I404" s="64" t="s">
        <v>469</v>
      </c>
    </row>
    <row r="405" spans="1:9" s="73" customFormat="1" ht="17.25" customHeight="1" x14ac:dyDescent="0.35">
      <c r="A405" s="104" t="s">
        <v>470</v>
      </c>
      <c r="B405" s="106" t="s">
        <v>471</v>
      </c>
      <c r="C405" s="106" t="s">
        <v>136</v>
      </c>
      <c r="D405" s="106"/>
      <c r="E405" s="106"/>
      <c r="F405" s="106"/>
      <c r="G405" s="106" t="s">
        <v>30</v>
      </c>
      <c r="H405" s="107"/>
      <c r="I405" s="64">
        <v>70263</v>
      </c>
    </row>
    <row r="406" spans="1:9" s="73" customFormat="1" ht="17.25" customHeight="1" x14ac:dyDescent="0.35">
      <c r="A406" s="104"/>
      <c r="B406" s="106"/>
      <c r="C406" s="106"/>
      <c r="D406" s="106" t="s">
        <v>38</v>
      </c>
      <c r="E406" s="106">
        <v>1</v>
      </c>
      <c r="F406" s="106">
        <v>6</v>
      </c>
      <c r="G406" s="106"/>
      <c r="H406" s="107"/>
      <c r="I406" s="64" t="s">
        <v>177</v>
      </c>
    </row>
    <row r="407" spans="1:9" s="73" customFormat="1" ht="17.25" customHeight="1" x14ac:dyDescent="0.35">
      <c r="A407" s="104"/>
      <c r="B407" s="106"/>
      <c r="C407" s="106"/>
      <c r="D407" s="106" t="s">
        <v>32</v>
      </c>
      <c r="E407" s="106">
        <v>64</v>
      </c>
      <c r="F407" s="106" t="s">
        <v>472</v>
      </c>
      <c r="G407" s="106"/>
      <c r="H407" s="107"/>
      <c r="I407" s="64" t="s">
        <v>473</v>
      </c>
    </row>
    <row r="408" spans="1:9" s="73" customFormat="1" ht="17.25" customHeight="1" x14ac:dyDescent="0.35">
      <c r="A408" s="104"/>
      <c r="B408" s="106"/>
      <c r="C408" s="106"/>
      <c r="D408" s="106" t="s">
        <v>32</v>
      </c>
      <c r="E408" s="106">
        <v>256</v>
      </c>
      <c r="F408" s="106"/>
      <c r="G408" s="106"/>
      <c r="H408" s="107"/>
      <c r="I408" s="64" t="s">
        <v>474</v>
      </c>
    </row>
    <row r="409" spans="1:9" s="73" customFormat="1" ht="17.25" customHeight="1" x14ac:dyDescent="0.35">
      <c r="A409" s="104"/>
      <c r="B409" s="106"/>
      <c r="C409" s="106"/>
      <c r="D409" s="106" t="s">
        <v>32</v>
      </c>
      <c r="E409" s="106">
        <v>256</v>
      </c>
      <c r="F409" s="106"/>
      <c r="G409" s="106"/>
      <c r="H409" s="107"/>
      <c r="I409" s="64" t="s">
        <v>475</v>
      </c>
    </row>
    <row r="410" spans="1:9" s="73" customFormat="1" ht="17.25" customHeight="1" x14ac:dyDescent="0.35">
      <c r="A410" s="104"/>
      <c r="B410" s="106"/>
      <c r="C410" s="106"/>
      <c r="D410" s="106" t="s">
        <v>32</v>
      </c>
      <c r="E410" s="106">
        <v>128</v>
      </c>
      <c r="F410" s="106" t="s">
        <v>476</v>
      </c>
      <c r="G410" s="106"/>
      <c r="H410" s="107"/>
      <c r="I410" s="64" t="s">
        <v>477</v>
      </c>
    </row>
    <row r="411" spans="1:9" s="73" customFormat="1" ht="17.25" customHeight="1" x14ac:dyDescent="0.35">
      <c r="A411" s="104"/>
      <c r="B411" s="106"/>
      <c r="C411" s="106"/>
      <c r="D411" s="106" t="s">
        <v>38</v>
      </c>
      <c r="E411" s="106">
        <v>4</v>
      </c>
      <c r="F411" s="106">
        <v>10</v>
      </c>
      <c r="G411" s="106"/>
      <c r="H411" s="107"/>
      <c r="I411" s="64" t="s">
        <v>478</v>
      </c>
    </row>
    <row r="412" spans="1:9" s="73" customFormat="1" ht="17.25" customHeight="1" x14ac:dyDescent="0.35">
      <c r="A412" s="104"/>
      <c r="B412" s="106"/>
      <c r="C412" s="106"/>
      <c r="D412" s="106" t="s">
        <v>38</v>
      </c>
      <c r="E412" s="106">
        <v>1</v>
      </c>
      <c r="F412" s="106">
        <v>1</v>
      </c>
      <c r="G412" s="106"/>
      <c r="H412" s="107"/>
      <c r="I412" s="64" t="s">
        <v>479</v>
      </c>
    </row>
    <row r="413" spans="1:9" s="73" customFormat="1" ht="17.25" customHeight="1" x14ac:dyDescent="0.35">
      <c r="A413" s="104"/>
      <c r="B413" s="106"/>
      <c r="C413" s="106"/>
      <c r="D413" s="106" t="s">
        <v>38</v>
      </c>
      <c r="E413" s="106">
        <v>1</v>
      </c>
      <c r="F413" s="106">
        <v>10</v>
      </c>
      <c r="G413" s="106"/>
      <c r="H413" s="107"/>
      <c r="I413" s="64" t="s">
        <v>480</v>
      </c>
    </row>
    <row r="414" spans="1:9" s="73" customFormat="1" ht="34.5" customHeight="1" x14ac:dyDescent="0.35">
      <c r="A414" s="104"/>
      <c r="B414" s="106"/>
      <c r="C414" s="106"/>
      <c r="D414" s="106" t="s">
        <v>38</v>
      </c>
      <c r="E414" s="106">
        <v>1</v>
      </c>
      <c r="F414" s="106">
        <v>5</v>
      </c>
      <c r="G414" s="106"/>
      <c r="H414" s="107"/>
      <c r="I414" s="64" t="s">
        <v>481</v>
      </c>
    </row>
    <row r="415" spans="1:9" s="73" customFormat="1" ht="17.25" customHeight="1" x14ac:dyDescent="0.35">
      <c r="A415" s="104"/>
      <c r="B415" s="106"/>
      <c r="C415" s="106"/>
      <c r="D415" s="106" t="s">
        <v>38</v>
      </c>
      <c r="E415" s="106">
        <v>1</v>
      </c>
      <c r="F415" s="106">
        <v>5</v>
      </c>
      <c r="G415" s="106"/>
      <c r="H415" s="107"/>
      <c r="I415" s="64" t="s">
        <v>482</v>
      </c>
    </row>
    <row r="416" spans="1:9" s="73" customFormat="1" ht="17.25" customHeight="1" x14ac:dyDescent="0.35">
      <c r="A416" s="104"/>
      <c r="B416" s="106"/>
      <c r="C416" s="106"/>
      <c r="D416" s="106" t="s">
        <v>38</v>
      </c>
      <c r="E416" s="106">
        <v>1</v>
      </c>
      <c r="F416" s="106">
        <v>0</v>
      </c>
      <c r="G416" s="106"/>
      <c r="H416" s="107"/>
      <c r="I416" s="64" t="s">
        <v>483</v>
      </c>
    </row>
    <row r="417" spans="1:9" s="73" customFormat="1" ht="17.25" customHeight="1" x14ac:dyDescent="0.35">
      <c r="A417" s="104"/>
      <c r="B417" s="106"/>
      <c r="C417" s="106"/>
      <c r="D417" s="106" t="s">
        <v>38</v>
      </c>
      <c r="E417" s="106">
        <v>1</v>
      </c>
      <c r="F417" s="106">
        <v>0</v>
      </c>
      <c r="G417" s="106"/>
      <c r="H417" s="107"/>
      <c r="I417" s="64" t="s">
        <v>484</v>
      </c>
    </row>
    <row r="418" spans="1:9" s="73" customFormat="1" ht="17.25" customHeight="1" x14ac:dyDescent="0.35">
      <c r="A418" s="104"/>
      <c r="B418" s="106"/>
      <c r="C418" s="106"/>
      <c r="D418" s="106" t="s">
        <v>32</v>
      </c>
      <c r="E418" s="106">
        <v>64</v>
      </c>
      <c r="F418" s="106">
        <v>0</v>
      </c>
      <c r="G418" s="106"/>
      <c r="H418" s="107"/>
      <c r="I418" s="64" t="s">
        <v>485</v>
      </c>
    </row>
    <row r="419" spans="1:9" s="73" customFormat="1" ht="17.25" customHeight="1" x14ac:dyDescent="0.35">
      <c r="A419" s="104"/>
      <c r="B419" s="106"/>
      <c r="C419" s="106"/>
      <c r="D419" s="106" t="s">
        <v>38</v>
      </c>
      <c r="E419" s="106">
        <v>1</v>
      </c>
      <c r="F419" s="106">
        <v>0</v>
      </c>
      <c r="G419" s="106"/>
      <c r="H419" s="107"/>
      <c r="I419" s="64" t="s">
        <v>486</v>
      </c>
    </row>
    <row r="420" spans="1:9" s="73" customFormat="1" ht="17.25" customHeight="1" x14ac:dyDescent="0.35">
      <c r="A420" s="104"/>
      <c r="B420" s="106"/>
      <c r="C420" s="106"/>
      <c r="D420" s="106" t="s">
        <v>38</v>
      </c>
      <c r="E420" s="106">
        <v>1</v>
      </c>
      <c r="F420" s="106">
        <v>0</v>
      </c>
      <c r="G420" s="106"/>
      <c r="H420" s="107"/>
      <c r="I420" s="64" t="s">
        <v>487</v>
      </c>
    </row>
    <row r="421" spans="1:9" s="73" customFormat="1" ht="17.25" customHeight="1" x14ac:dyDescent="0.35">
      <c r="A421" s="104"/>
      <c r="B421" s="106"/>
      <c r="C421" s="106"/>
      <c r="D421" s="106" t="s">
        <v>38</v>
      </c>
      <c r="E421" s="106">
        <v>2</v>
      </c>
      <c r="F421" s="106"/>
      <c r="G421" s="106"/>
      <c r="H421" s="107"/>
      <c r="I421" s="64" t="s">
        <v>488</v>
      </c>
    </row>
    <row r="422" spans="1:9" s="73" customFormat="1" ht="17.25" customHeight="1" x14ac:dyDescent="0.35">
      <c r="A422" s="104"/>
      <c r="B422" s="106"/>
      <c r="C422" s="106"/>
      <c r="D422" s="106" t="s">
        <v>38</v>
      </c>
      <c r="E422" s="106">
        <v>4</v>
      </c>
      <c r="F422" s="106"/>
      <c r="G422" s="106"/>
      <c r="H422" s="107"/>
      <c r="I422" s="64" t="s">
        <v>489</v>
      </c>
    </row>
    <row r="423" spans="1:9" s="73" customFormat="1" ht="17.25" customHeight="1" x14ac:dyDescent="0.35">
      <c r="A423" s="104"/>
      <c r="B423" s="106"/>
      <c r="C423" s="106"/>
      <c r="D423" s="106" t="s">
        <v>38</v>
      </c>
      <c r="E423" s="106">
        <v>209</v>
      </c>
      <c r="F423" s="106"/>
      <c r="G423" s="106"/>
      <c r="H423" s="107"/>
      <c r="I423" s="64" t="s">
        <v>180</v>
      </c>
    </row>
    <row r="424" spans="1:9" s="73" customFormat="1" ht="17.25" customHeight="1" x14ac:dyDescent="0.35">
      <c r="A424" s="104" t="s">
        <v>490</v>
      </c>
      <c r="B424" s="106" t="s">
        <v>491</v>
      </c>
      <c r="C424" s="106" t="s">
        <v>136</v>
      </c>
      <c r="D424" s="106"/>
      <c r="E424" s="106"/>
      <c r="F424" s="106"/>
      <c r="G424" s="106" t="s">
        <v>30</v>
      </c>
      <c r="H424" s="107"/>
      <c r="I424" s="64" t="s">
        <v>492</v>
      </c>
    </row>
    <row r="425" spans="1:9" s="73" customFormat="1" ht="17.25" customHeight="1" x14ac:dyDescent="0.35">
      <c r="A425" s="104"/>
      <c r="B425" s="106"/>
      <c r="C425" s="106"/>
      <c r="D425" s="106" t="s">
        <v>38</v>
      </c>
      <c r="E425" s="106">
        <v>1</v>
      </c>
      <c r="F425" s="106"/>
      <c r="G425" s="106"/>
      <c r="H425" s="107"/>
      <c r="I425" s="64" t="s">
        <v>245</v>
      </c>
    </row>
    <row r="426" spans="1:9" s="73" customFormat="1" ht="17.25" customHeight="1" x14ac:dyDescent="0.35">
      <c r="A426" s="104"/>
      <c r="B426" s="106"/>
      <c r="C426" s="106"/>
      <c r="D426" s="106" t="s">
        <v>38</v>
      </c>
      <c r="E426" s="106">
        <v>4</v>
      </c>
      <c r="F426" s="106"/>
      <c r="G426" s="106"/>
      <c r="H426" s="107"/>
      <c r="I426" s="64" t="s">
        <v>493</v>
      </c>
    </row>
    <row r="427" spans="1:9" s="73" customFormat="1" ht="17.25" customHeight="1" x14ac:dyDescent="0.35">
      <c r="A427" s="104"/>
      <c r="B427" s="106"/>
      <c r="C427" s="106"/>
      <c r="D427" s="106" t="s">
        <v>38</v>
      </c>
      <c r="E427" s="106">
        <v>1</v>
      </c>
      <c r="F427" s="106"/>
      <c r="G427" s="106"/>
      <c r="H427" s="107"/>
      <c r="I427" s="64" t="s">
        <v>494</v>
      </c>
    </row>
    <row r="428" spans="1:9" s="73" customFormat="1" ht="17.25" customHeight="1" x14ac:dyDescent="0.35">
      <c r="A428" s="104"/>
      <c r="B428" s="106"/>
      <c r="C428" s="106"/>
      <c r="D428" s="106" t="s">
        <v>38</v>
      </c>
      <c r="E428" s="106">
        <v>122</v>
      </c>
      <c r="F428" s="106"/>
      <c r="G428" s="106"/>
      <c r="H428" s="107"/>
      <c r="I428" s="64" t="s">
        <v>180</v>
      </c>
    </row>
    <row r="429" spans="1:9" s="73" customFormat="1" ht="17.25" customHeight="1" x14ac:dyDescent="0.35">
      <c r="A429" s="104" t="s">
        <v>495</v>
      </c>
      <c r="B429" s="106" t="s">
        <v>496</v>
      </c>
      <c r="C429" s="106" t="s">
        <v>136</v>
      </c>
      <c r="D429" s="106"/>
      <c r="E429" s="106"/>
      <c r="F429" s="106"/>
      <c r="G429" s="106" t="s">
        <v>30</v>
      </c>
      <c r="H429" s="107"/>
      <c r="I429" s="64">
        <v>71527</v>
      </c>
    </row>
    <row r="430" spans="1:9" s="73" customFormat="1" ht="17.25" customHeight="1" x14ac:dyDescent="0.35">
      <c r="A430" s="104"/>
      <c r="B430" s="106"/>
      <c r="C430" s="106"/>
      <c r="D430" s="106" t="s">
        <v>38</v>
      </c>
      <c r="E430" s="106">
        <v>1</v>
      </c>
      <c r="F430" s="106">
        <v>0</v>
      </c>
      <c r="G430" s="106"/>
      <c r="H430" s="107"/>
      <c r="I430" s="64" t="s">
        <v>177</v>
      </c>
    </row>
    <row r="431" spans="1:9" s="73" customFormat="1" ht="17.25" customHeight="1" x14ac:dyDescent="0.35">
      <c r="A431" s="104"/>
      <c r="B431" s="106"/>
      <c r="C431" s="106"/>
      <c r="D431" s="106" t="s">
        <v>38</v>
      </c>
      <c r="E431" s="106">
        <v>2</v>
      </c>
      <c r="F431" s="106">
        <v>16</v>
      </c>
      <c r="G431" s="106"/>
      <c r="H431" s="107"/>
      <c r="I431" s="64" t="s">
        <v>497</v>
      </c>
    </row>
    <row r="432" spans="1:9" s="73" customFormat="1" ht="17.25" customHeight="1" x14ac:dyDescent="0.35">
      <c r="A432" s="104"/>
      <c r="B432" s="106"/>
      <c r="C432" s="106"/>
      <c r="D432" s="106" t="s">
        <v>38</v>
      </c>
      <c r="E432" s="106">
        <v>1</v>
      </c>
      <c r="F432" s="106">
        <v>17</v>
      </c>
      <c r="G432" s="106"/>
      <c r="H432" s="107"/>
      <c r="I432" s="64" t="s">
        <v>498</v>
      </c>
    </row>
    <row r="433" spans="1:9" s="73" customFormat="1" ht="17.25" customHeight="1" x14ac:dyDescent="0.35">
      <c r="A433" s="104"/>
      <c r="B433" s="106"/>
      <c r="C433" s="106"/>
      <c r="D433" s="106" t="s">
        <v>38</v>
      </c>
      <c r="E433" s="106">
        <v>2</v>
      </c>
      <c r="F433" s="106">
        <v>263</v>
      </c>
      <c r="G433" s="106"/>
      <c r="H433" s="107"/>
      <c r="I433" s="64" t="s">
        <v>499</v>
      </c>
    </row>
    <row r="434" spans="1:9" s="73" customFormat="1" ht="17.25" customHeight="1" x14ac:dyDescent="0.35">
      <c r="A434" s="104"/>
      <c r="B434" s="106"/>
      <c r="C434" s="106"/>
      <c r="D434" s="106" t="s">
        <v>38</v>
      </c>
      <c r="E434" s="106">
        <v>1</v>
      </c>
      <c r="F434" s="106">
        <v>136</v>
      </c>
      <c r="G434" s="106"/>
      <c r="H434" s="107"/>
      <c r="I434" s="64" t="s">
        <v>500</v>
      </c>
    </row>
    <row r="435" spans="1:9" s="73" customFormat="1" ht="17.25" customHeight="1" x14ac:dyDescent="0.35">
      <c r="A435" s="104"/>
      <c r="B435" s="106"/>
      <c r="C435" s="106"/>
      <c r="D435" s="106" t="s">
        <v>38</v>
      </c>
      <c r="E435" s="106">
        <v>1</v>
      </c>
      <c r="F435" s="106">
        <v>80</v>
      </c>
      <c r="G435" s="106"/>
      <c r="H435" s="107"/>
      <c r="I435" s="64" t="s">
        <v>501</v>
      </c>
    </row>
    <row r="436" spans="1:9" s="73" customFormat="1" ht="17.25" customHeight="1" x14ac:dyDescent="0.35">
      <c r="A436" s="104"/>
      <c r="B436" s="106"/>
      <c r="C436" s="106"/>
      <c r="D436" s="106" t="s">
        <v>38</v>
      </c>
      <c r="E436" s="106">
        <v>2</v>
      </c>
      <c r="F436" s="106">
        <v>8</v>
      </c>
      <c r="G436" s="106"/>
      <c r="H436" s="107"/>
      <c r="I436" s="64" t="s">
        <v>502</v>
      </c>
    </row>
    <row r="437" spans="1:9" s="73" customFormat="1" ht="17.25" customHeight="1" x14ac:dyDescent="0.35">
      <c r="A437" s="104"/>
      <c r="B437" s="106"/>
      <c r="C437" s="106"/>
      <c r="D437" s="106" t="s">
        <v>38</v>
      </c>
      <c r="E437" s="106">
        <v>1</v>
      </c>
      <c r="F437" s="106">
        <v>17</v>
      </c>
      <c r="G437" s="106"/>
      <c r="H437" s="107"/>
      <c r="I437" s="64" t="s">
        <v>503</v>
      </c>
    </row>
    <row r="438" spans="1:9" s="73" customFormat="1" ht="17.25" customHeight="1" x14ac:dyDescent="0.35">
      <c r="A438" s="104"/>
      <c r="B438" s="106"/>
      <c r="C438" s="106"/>
      <c r="D438" s="106" t="s">
        <v>38</v>
      </c>
      <c r="E438" s="106">
        <v>2</v>
      </c>
      <c r="F438" s="106">
        <v>0</v>
      </c>
      <c r="G438" s="106"/>
      <c r="H438" s="107"/>
      <c r="I438" s="64" t="s">
        <v>504</v>
      </c>
    </row>
    <row r="439" spans="1:9" s="73" customFormat="1" ht="17.25" customHeight="1" x14ac:dyDescent="0.35">
      <c r="A439" s="104"/>
      <c r="B439" s="106"/>
      <c r="C439" s="106"/>
      <c r="D439" s="106" t="s">
        <v>38</v>
      </c>
      <c r="E439" s="106">
        <v>1</v>
      </c>
      <c r="F439" s="106">
        <v>136</v>
      </c>
      <c r="G439" s="106"/>
      <c r="H439" s="107"/>
      <c r="I439" s="64" t="s">
        <v>505</v>
      </c>
    </row>
    <row r="440" spans="1:9" s="73" customFormat="1" ht="17.25" customHeight="1" x14ac:dyDescent="0.35">
      <c r="A440" s="104"/>
      <c r="B440" s="106"/>
      <c r="C440" s="106"/>
      <c r="D440" s="106" t="s">
        <v>38</v>
      </c>
      <c r="E440" s="106">
        <v>1</v>
      </c>
      <c r="F440" s="106">
        <v>64</v>
      </c>
      <c r="G440" s="106"/>
      <c r="H440" s="107"/>
      <c r="I440" s="64" t="s">
        <v>506</v>
      </c>
    </row>
    <row r="441" spans="1:9" s="73" customFormat="1" ht="17.25" customHeight="1" x14ac:dyDescent="0.35">
      <c r="A441" s="104"/>
      <c r="B441" s="106"/>
      <c r="C441" s="106"/>
      <c r="D441" s="106" t="s">
        <v>38</v>
      </c>
      <c r="E441" s="106">
        <v>2</v>
      </c>
      <c r="F441" s="106">
        <v>0</v>
      </c>
      <c r="G441" s="106"/>
      <c r="H441" s="107"/>
      <c r="I441" s="64" t="s">
        <v>507</v>
      </c>
    </row>
    <row r="442" spans="1:9" s="73" customFormat="1" ht="17.25" customHeight="1" x14ac:dyDescent="0.35">
      <c r="A442" s="104"/>
      <c r="B442" s="106"/>
      <c r="C442" s="106"/>
      <c r="D442" s="106" t="s">
        <v>38</v>
      </c>
      <c r="E442" s="106">
        <v>1</v>
      </c>
      <c r="F442" s="106">
        <v>0</v>
      </c>
      <c r="G442" s="106"/>
      <c r="H442" s="107"/>
      <c r="I442" s="64" t="s">
        <v>508</v>
      </c>
    </row>
    <row r="443" spans="1:9" s="73" customFormat="1" ht="17.25" customHeight="1" x14ac:dyDescent="0.35">
      <c r="A443" s="104"/>
      <c r="B443" s="106"/>
      <c r="C443" s="106"/>
      <c r="D443" s="106" t="s">
        <v>38</v>
      </c>
      <c r="E443" s="106">
        <v>2</v>
      </c>
      <c r="F443" s="106">
        <v>0</v>
      </c>
      <c r="G443" s="106"/>
      <c r="H443" s="107"/>
      <c r="I443" s="64" t="s">
        <v>509</v>
      </c>
    </row>
    <row r="444" spans="1:9" s="73" customFormat="1" ht="17.25" customHeight="1" x14ac:dyDescent="0.35">
      <c r="A444" s="104"/>
      <c r="B444" s="106"/>
      <c r="C444" s="106"/>
      <c r="D444" s="106" t="s">
        <v>38</v>
      </c>
      <c r="E444" s="106">
        <v>1</v>
      </c>
      <c r="F444" s="106">
        <v>0</v>
      </c>
      <c r="G444" s="106"/>
      <c r="H444" s="107"/>
      <c r="I444" s="64" t="s">
        <v>510</v>
      </c>
    </row>
    <row r="445" spans="1:9" s="73" customFormat="1" ht="17.25" customHeight="1" x14ac:dyDescent="0.35">
      <c r="A445" s="104"/>
      <c r="B445" s="106"/>
      <c r="C445" s="106"/>
      <c r="D445" s="106" t="s">
        <v>38</v>
      </c>
      <c r="E445" s="106">
        <v>1</v>
      </c>
      <c r="F445" s="106">
        <v>0</v>
      </c>
      <c r="G445" s="106"/>
      <c r="H445" s="107"/>
      <c r="I445" s="64" t="s">
        <v>511</v>
      </c>
    </row>
    <row r="446" spans="1:9" s="73" customFormat="1" ht="17.25" customHeight="1" x14ac:dyDescent="0.35">
      <c r="A446" s="104"/>
      <c r="B446" s="106"/>
      <c r="C446" s="106"/>
      <c r="D446" s="106" t="s">
        <v>38</v>
      </c>
      <c r="E446" s="106">
        <v>2</v>
      </c>
      <c r="F446" s="106">
        <v>0</v>
      </c>
      <c r="G446" s="106"/>
      <c r="H446" s="107"/>
      <c r="I446" s="64" t="s">
        <v>512</v>
      </c>
    </row>
    <row r="447" spans="1:9" s="73" customFormat="1" ht="17.25" customHeight="1" x14ac:dyDescent="0.35">
      <c r="A447" s="104"/>
      <c r="B447" s="106"/>
      <c r="C447" s="106"/>
      <c r="D447" s="106" t="s">
        <v>38</v>
      </c>
      <c r="E447" s="106">
        <v>1</v>
      </c>
      <c r="F447" s="106">
        <v>0</v>
      </c>
      <c r="G447" s="106"/>
      <c r="H447" s="107"/>
      <c r="I447" s="64" t="s">
        <v>513</v>
      </c>
    </row>
    <row r="448" spans="1:9" s="73" customFormat="1" ht="17.25" customHeight="1" x14ac:dyDescent="0.35">
      <c r="A448" s="104"/>
      <c r="B448" s="106"/>
      <c r="C448" s="106"/>
      <c r="D448" s="106" t="s">
        <v>38</v>
      </c>
      <c r="E448" s="106">
        <v>2</v>
      </c>
      <c r="F448" s="106">
        <v>0</v>
      </c>
      <c r="G448" s="106"/>
      <c r="H448" s="107"/>
      <c r="I448" s="64" t="s">
        <v>514</v>
      </c>
    </row>
    <row r="449" spans="1:9" s="73" customFormat="1" ht="17.25" customHeight="1" x14ac:dyDescent="0.35">
      <c r="A449" s="104"/>
      <c r="B449" s="106"/>
      <c r="C449" s="106"/>
      <c r="D449" s="106" t="s">
        <v>38</v>
      </c>
      <c r="E449" s="106">
        <v>1</v>
      </c>
      <c r="F449" s="106">
        <v>0</v>
      </c>
      <c r="G449" s="106"/>
      <c r="H449" s="107"/>
      <c r="I449" s="64" t="s">
        <v>515</v>
      </c>
    </row>
    <row r="450" spans="1:9" s="73" customFormat="1" ht="17.25" customHeight="1" x14ac:dyDescent="0.35">
      <c r="A450" s="104"/>
      <c r="B450" s="106"/>
      <c r="C450" s="106"/>
      <c r="D450" s="106" t="s">
        <v>38</v>
      </c>
      <c r="E450" s="106">
        <v>1</v>
      </c>
      <c r="F450" s="106">
        <v>0</v>
      </c>
      <c r="G450" s="106"/>
      <c r="H450" s="107"/>
      <c r="I450" s="64" t="s">
        <v>516</v>
      </c>
    </row>
    <row r="451" spans="1:9" s="73" customFormat="1" ht="17.25" customHeight="1" x14ac:dyDescent="0.35">
      <c r="A451" s="104"/>
      <c r="B451" s="106"/>
      <c r="C451" s="106"/>
      <c r="D451" s="106" t="s">
        <v>38</v>
      </c>
      <c r="E451" s="106">
        <v>2</v>
      </c>
      <c r="F451" s="106">
        <v>0</v>
      </c>
      <c r="G451" s="106"/>
      <c r="H451" s="107"/>
      <c r="I451" s="64" t="s">
        <v>517</v>
      </c>
    </row>
    <row r="452" spans="1:9" s="73" customFormat="1" ht="17.25" customHeight="1" x14ac:dyDescent="0.35">
      <c r="A452" s="104"/>
      <c r="B452" s="106"/>
      <c r="C452" s="106"/>
      <c r="D452" s="106" t="s">
        <v>38</v>
      </c>
      <c r="E452" s="106">
        <v>1</v>
      </c>
      <c r="F452" s="106">
        <v>0</v>
      </c>
      <c r="G452" s="106"/>
      <c r="H452" s="107"/>
      <c r="I452" s="64" t="s">
        <v>518</v>
      </c>
    </row>
    <row r="453" spans="1:9" s="73" customFormat="1" ht="17.25" customHeight="1" x14ac:dyDescent="0.35">
      <c r="A453" s="104"/>
      <c r="B453" s="106"/>
      <c r="C453" s="106"/>
      <c r="D453" s="106" t="s">
        <v>38</v>
      </c>
      <c r="E453" s="106">
        <v>2</v>
      </c>
      <c r="F453" s="106">
        <v>0</v>
      </c>
      <c r="G453" s="106"/>
      <c r="H453" s="107"/>
      <c r="I453" s="64" t="s">
        <v>519</v>
      </c>
    </row>
    <row r="454" spans="1:9" s="73" customFormat="1" ht="17.25" customHeight="1" x14ac:dyDescent="0.35">
      <c r="A454" s="104"/>
      <c r="B454" s="106"/>
      <c r="C454" s="106"/>
      <c r="D454" s="106" t="s">
        <v>38</v>
      </c>
      <c r="E454" s="106">
        <v>1</v>
      </c>
      <c r="F454" s="106">
        <v>0</v>
      </c>
      <c r="G454" s="106"/>
      <c r="H454" s="107"/>
      <c r="I454" s="64" t="s">
        <v>520</v>
      </c>
    </row>
    <row r="455" spans="1:9" s="73" customFormat="1" ht="17.25" customHeight="1" x14ac:dyDescent="0.35">
      <c r="A455" s="104"/>
      <c r="B455" s="106"/>
      <c r="C455" s="106"/>
      <c r="D455" s="106" t="s">
        <v>38</v>
      </c>
      <c r="E455" s="106">
        <v>1</v>
      </c>
      <c r="F455" s="106">
        <v>0</v>
      </c>
      <c r="G455" s="106"/>
      <c r="H455" s="107"/>
      <c r="I455" s="64" t="s">
        <v>521</v>
      </c>
    </row>
    <row r="456" spans="1:9" s="73" customFormat="1" ht="17.25" customHeight="1" x14ac:dyDescent="0.35">
      <c r="A456" s="104"/>
      <c r="B456" s="106"/>
      <c r="C456" s="106"/>
      <c r="D456" s="106" t="s">
        <v>38</v>
      </c>
      <c r="E456" s="106">
        <v>2</v>
      </c>
      <c r="F456" s="106">
        <v>0</v>
      </c>
      <c r="G456" s="106"/>
      <c r="H456" s="107"/>
      <c r="I456" s="64" t="s">
        <v>522</v>
      </c>
    </row>
    <row r="457" spans="1:9" s="73" customFormat="1" ht="17.25" customHeight="1" x14ac:dyDescent="0.35">
      <c r="A457" s="104"/>
      <c r="B457" s="106"/>
      <c r="C457" s="106"/>
      <c r="D457" s="106" t="s">
        <v>38</v>
      </c>
      <c r="E457" s="106">
        <v>1</v>
      </c>
      <c r="F457" s="106">
        <v>0</v>
      </c>
      <c r="G457" s="106"/>
      <c r="H457" s="107"/>
      <c r="I457" s="64" t="s">
        <v>523</v>
      </c>
    </row>
    <row r="458" spans="1:9" s="73" customFormat="1" ht="17.25" customHeight="1" x14ac:dyDescent="0.35">
      <c r="A458" s="104"/>
      <c r="B458" s="106"/>
      <c r="C458" s="106"/>
      <c r="D458" s="106" t="s">
        <v>38</v>
      </c>
      <c r="E458" s="106">
        <v>2</v>
      </c>
      <c r="F458" s="106">
        <v>0</v>
      </c>
      <c r="G458" s="106"/>
      <c r="H458" s="107"/>
      <c r="I458" s="64" t="s">
        <v>524</v>
      </c>
    </row>
    <row r="459" spans="1:9" s="73" customFormat="1" ht="17.25" customHeight="1" x14ac:dyDescent="0.35">
      <c r="A459" s="104"/>
      <c r="B459" s="106"/>
      <c r="C459" s="106"/>
      <c r="D459" s="106" t="s">
        <v>38</v>
      </c>
      <c r="E459" s="106">
        <v>1</v>
      </c>
      <c r="F459" s="106">
        <v>0</v>
      </c>
      <c r="G459" s="106"/>
      <c r="H459" s="107"/>
      <c r="I459" s="64" t="s">
        <v>525</v>
      </c>
    </row>
    <row r="460" spans="1:9" s="73" customFormat="1" ht="17.25" customHeight="1" x14ac:dyDescent="0.35">
      <c r="A460" s="104"/>
      <c r="B460" s="106"/>
      <c r="C460" s="106"/>
      <c r="D460" s="106" t="s">
        <v>38</v>
      </c>
      <c r="E460" s="106">
        <v>1</v>
      </c>
      <c r="F460" s="106">
        <v>0</v>
      </c>
      <c r="G460" s="106"/>
      <c r="H460" s="107"/>
      <c r="I460" s="64" t="s">
        <v>526</v>
      </c>
    </row>
    <row r="461" spans="1:9" s="73" customFormat="1" ht="17.25" customHeight="1" x14ac:dyDescent="0.35">
      <c r="A461" s="104"/>
      <c r="B461" s="106"/>
      <c r="C461" s="106"/>
      <c r="D461" s="106" t="s">
        <v>38</v>
      </c>
      <c r="E461" s="106">
        <v>2</v>
      </c>
      <c r="F461" s="106">
        <v>0</v>
      </c>
      <c r="G461" s="106"/>
      <c r="H461" s="107"/>
      <c r="I461" s="64" t="s">
        <v>527</v>
      </c>
    </row>
    <row r="462" spans="1:9" s="73" customFormat="1" ht="17.25" customHeight="1" x14ac:dyDescent="0.35">
      <c r="A462" s="104"/>
      <c r="B462" s="106"/>
      <c r="C462" s="106"/>
      <c r="D462" s="106" t="s">
        <v>38</v>
      </c>
      <c r="E462" s="106">
        <v>1</v>
      </c>
      <c r="F462" s="106">
        <v>0</v>
      </c>
      <c r="G462" s="106"/>
      <c r="H462" s="107"/>
      <c r="I462" s="64" t="s">
        <v>528</v>
      </c>
    </row>
    <row r="463" spans="1:9" s="73" customFormat="1" ht="17.25" customHeight="1" x14ac:dyDescent="0.35">
      <c r="A463" s="104"/>
      <c r="B463" s="106"/>
      <c r="C463" s="106"/>
      <c r="D463" s="106" t="s">
        <v>38</v>
      </c>
      <c r="E463" s="106">
        <v>2</v>
      </c>
      <c r="F463" s="106">
        <v>0</v>
      </c>
      <c r="G463" s="106"/>
      <c r="H463" s="107"/>
      <c r="I463" s="64" t="s">
        <v>529</v>
      </c>
    </row>
    <row r="464" spans="1:9" s="73" customFormat="1" ht="17.25" customHeight="1" x14ac:dyDescent="0.35">
      <c r="A464" s="104"/>
      <c r="B464" s="106"/>
      <c r="C464" s="106"/>
      <c r="D464" s="106" t="s">
        <v>38</v>
      </c>
      <c r="E464" s="106">
        <v>1</v>
      </c>
      <c r="F464" s="106">
        <v>0</v>
      </c>
      <c r="G464" s="106"/>
      <c r="H464" s="107"/>
      <c r="I464" s="64" t="s">
        <v>530</v>
      </c>
    </row>
    <row r="465" spans="1:9" s="73" customFormat="1" ht="17.25" customHeight="1" x14ac:dyDescent="0.35">
      <c r="A465" s="104"/>
      <c r="B465" s="106"/>
      <c r="C465" s="106"/>
      <c r="D465" s="106" t="s">
        <v>38</v>
      </c>
      <c r="E465" s="106">
        <v>1</v>
      </c>
      <c r="F465" s="106">
        <v>0</v>
      </c>
      <c r="G465" s="106"/>
      <c r="H465" s="107"/>
      <c r="I465" s="64" t="s">
        <v>531</v>
      </c>
    </row>
    <row r="466" spans="1:9" s="73" customFormat="1" ht="17.25" customHeight="1" x14ac:dyDescent="0.35">
      <c r="A466" s="104"/>
      <c r="B466" s="106"/>
      <c r="C466" s="106"/>
      <c r="D466" s="106" t="s">
        <v>38</v>
      </c>
      <c r="E466" s="106">
        <v>2</v>
      </c>
      <c r="F466" s="106">
        <v>0</v>
      </c>
      <c r="G466" s="106"/>
      <c r="H466" s="107"/>
      <c r="I466" s="64" t="s">
        <v>532</v>
      </c>
    </row>
    <row r="467" spans="1:9" s="73" customFormat="1" ht="17.25" customHeight="1" x14ac:dyDescent="0.35">
      <c r="A467" s="104"/>
      <c r="B467" s="106"/>
      <c r="C467" s="106"/>
      <c r="D467" s="106" t="s">
        <v>38</v>
      </c>
      <c r="E467" s="106">
        <v>1</v>
      </c>
      <c r="F467" s="106">
        <v>0</v>
      </c>
      <c r="G467" s="106"/>
      <c r="H467" s="107"/>
      <c r="I467" s="64" t="s">
        <v>533</v>
      </c>
    </row>
    <row r="468" spans="1:9" s="73" customFormat="1" ht="17.25" customHeight="1" x14ac:dyDescent="0.35">
      <c r="A468" s="104"/>
      <c r="B468" s="106"/>
      <c r="C468" s="106"/>
      <c r="D468" s="106" t="s">
        <v>38</v>
      </c>
      <c r="E468" s="106">
        <v>2</v>
      </c>
      <c r="F468" s="106">
        <v>0</v>
      </c>
      <c r="G468" s="106"/>
      <c r="H468" s="107"/>
      <c r="I468" s="64" t="s">
        <v>534</v>
      </c>
    </row>
    <row r="469" spans="1:9" s="73" customFormat="1" ht="17.25" customHeight="1" x14ac:dyDescent="0.35">
      <c r="A469" s="104"/>
      <c r="B469" s="106"/>
      <c r="C469" s="106"/>
      <c r="D469" s="106" t="s">
        <v>38</v>
      </c>
      <c r="E469" s="106">
        <v>1</v>
      </c>
      <c r="F469" s="106">
        <v>0</v>
      </c>
      <c r="G469" s="106"/>
      <c r="H469" s="107"/>
      <c r="I469" s="64" t="s">
        <v>535</v>
      </c>
    </row>
    <row r="470" spans="1:9" s="73" customFormat="1" ht="17.25" customHeight="1" x14ac:dyDescent="0.35">
      <c r="A470" s="104"/>
      <c r="B470" s="106"/>
      <c r="C470" s="106"/>
      <c r="D470" s="106" t="s">
        <v>38</v>
      </c>
      <c r="E470" s="106">
        <v>1</v>
      </c>
      <c r="F470" s="106">
        <v>0</v>
      </c>
      <c r="G470" s="106"/>
      <c r="H470" s="107"/>
      <c r="I470" s="64" t="s">
        <v>536</v>
      </c>
    </row>
    <row r="471" spans="1:9" s="73" customFormat="1" ht="17.25" customHeight="1" x14ac:dyDescent="0.35">
      <c r="A471" s="104"/>
      <c r="B471" s="106"/>
      <c r="C471" s="106"/>
      <c r="D471" s="106" t="s">
        <v>38</v>
      </c>
      <c r="E471" s="106">
        <v>2</v>
      </c>
      <c r="F471" s="106">
        <v>0</v>
      </c>
      <c r="G471" s="106"/>
      <c r="H471" s="107"/>
      <c r="I471" s="64" t="s">
        <v>537</v>
      </c>
    </row>
    <row r="472" spans="1:9" s="73" customFormat="1" ht="17.25" customHeight="1" x14ac:dyDescent="0.35">
      <c r="A472" s="104"/>
      <c r="B472" s="106"/>
      <c r="C472" s="106"/>
      <c r="D472" s="106" t="s">
        <v>38</v>
      </c>
      <c r="E472" s="106">
        <v>1</v>
      </c>
      <c r="F472" s="106">
        <v>0</v>
      </c>
      <c r="G472" s="106"/>
      <c r="H472" s="107"/>
      <c r="I472" s="64" t="s">
        <v>538</v>
      </c>
    </row>
    <row r="473" spans="1:9" s="73" customFormat="1" ht="17.25" customHeight="1" x14ac:dyDescent="0.35">
      <c r="A473" s="104"/>
      <c r="B473" s="106"/>
      <c r="C473" s="106"/>
      <c r="D473" s="106" t="s">
        <v>38</v>
      </c>
      <c r="E473" s="106">
        <v>2</v>
      </c>
      <c r="F473" s="106">
        <v>0</v>
      </c>
      <c r="G473" s="106"/>
      <c r="H473" s="107"/>
      <c r="I473" s="64" t="s">
        <v>539</v>
      </c>
    </row>
    <row r="474" spans="1:9" s="73" customFormat="1" ht="17.25" customHeight="1" x14ac:dyDescent="0.35">
      <c r="A474" s="104"/>
      <c r="B474" s="106"/>
      <c r="C474" s="106"/>
      <c r="D474" s="106" t="s">
        <v>38</v>
      </c>
      <c r="E474" s="106">
        <v>1</v>
      </c>
      <c r="F474" s="106">
        <v>0</v>
      </c>
      <c r="G474" s="106"/>
      <c r="H474" s="107"/>
      <c r="I474" s="64" t="s">
        <v>540</v>
      </c>
    </row>
    <row r="475" spans="1:9" s="73" customFormat="1" ht="17.25" customHeight="1" x14ac:dyDescent="0.35">
      <c r="A475" s="104"/>
      <c r="B475" s="106"/>
      <c r="C475" s="106"/>
      <c r="D475" s="106" t="s">
        <v>38</v>
      </c>
      <c r="E475" s="106">
        <v>1</v>
      </c>
      <c r="F475" s="106">
        <v>0</v>
      </c>
      <c r="G475" s="106"/>
      <c r="H475" s="107"/>
      <c r="I475" s="64" t="s">
        <v>541</v>
      </c>
    </row>
    <row r="476" spans="1:9" s="73" customFormat="1" ht="17.25" customHeight="1" x14ac:dyDescent="0.35">
      <c r="A476" s="104"/>
      <c r="B476" s="106"/>
      <c r="C476" s="106"/>
      <c r="D476" s="106" t="s">
        <v>38</v>
      </c>
      <c r="E476" s="106">
        <v>2</v>
      </c>
      <c r="F476" s="106">
        <v>16</v>
      </c>
      <c r="G476" s="106"/>
      <c r="H476" s="107"/>
      <c r="I476" s="64" t="s">
        <v>542</v>
      </c>
    </row>
    <row r="477" spans="1:9" s="73" customFormat="1" ht="17.25" customHeight="1" x14ac:dyDescent="0.35">
      <c r="A477" s="104"/>
      <c r="B477" s="106"/>
      <c r="C477" s="106"/>
      <c r="D477" s="106" t="s">
        <v>38</v>
      </c>
      <c r="E477" s="106">
        <v>1</v>
      </c>
      <c r="F477" s="106">
        <v>48</v>
      </c>
      <c r="G477" s="106"/>
      <c r="H477" s="107"/>
      <c r="I477" s="64" t="s">
        <v>543</v>
      </c>
    </row>
    <row r="478" spans="1:9" s="73" customFormat="1" ht="17.25" customHeight="1" x14ac:dyDescent="0.35">
      <c r="A478" s="104"/>
      <c r="B478" s="106"/>
      <c r="C478" s="106"/>
      <c r="D478" s="106" t="s">
        <v>38</v>
      </c>
      <c r="E478" s="106">
        <v>2</v>
      </c>
      <c r="F478" s="106">
        <v>7</v>
      </c>
      <c r="G478" s="106"/>
      <c r="H478" s="107"/>
      <c r="I478" s="64" t="s">
        <v>544</v>
      </c>
    </row>
    <row r="479" spans="1:9" s="73" customFormat="1" ht="17.25" customHeight="1" x14ac:dyDescent="0.35">
      <c r="A479" s="104"/>
      <c r="B479" s="106"/>
      <c r="C479" s="106"/>
      <c r="D479" s="106" t="s">
        <v>38</v>
      </c>
      <c r="E479" s="106">
        <v>1</v>
      </c>
      <c r="F479" s="106">
        <v>136</v>
      </c>
      <c r="G479" s="106"/>
      <c r="H479" s="107"/>
      <c r="I479" s="64" t="s">
        <v>545</v>
      </c>
    </row>
    <row r="480" spans="1:9" s="73" customFormat="1" ht="17.25" customHeight="1" x14ac:dyDescent="0.35">
      <c r="A480" s="104"/>
      <c r="B480" s="106"/>
      <c r="C480" s="106"/>
      <c r="D480" s="106" t="s">
        <v>38</v>
      </c>
      <c r="E480" s="106">
        <v>1</v>
      </c>
      <c r="F480" s="106">
        <v>80</v>
      </c>
      <c r="G480" s="106"/>
      <c r="H480" s="107"/>
      <c r="I480" s="64" t="s">
        <v>546</v>
      </c>
    </row>
    <row r="481" spans="1:9" s="73" customFormat="1" ht="17.25" customHeight="1" x14ac:dyDescent="0.35">
      <c r="A481" s="104"/>
      <c r="B481" s="106"/>
      <c r="C481" s="106"/>
      <c r="D481" s="106" t="s">
        <v>38</v>
      </c>
      <c r="E481" s="106">
        <v>2</v>
      </c>
      <c r="F481" s="106">
        <v>20992</v>
      </c>
      <c r="G481" s="106"/>
      <c r="H481" s="107"/>
      <c r="I481" s="64" t="s">
        <v>547</v>
      </c>
    </row>
    <row r="482" spans="1:9" s="73" customFormat="1" ht="17.25" customHeight="1" x14ac:dyDescent="0.35">
      <c r="A482" s="104"/>
      <c r="B482" s="106"/>
      <c r="C482" s="106"/>
      <c r="D482" s="106" t="s">
        <v>38</v>
      </c>
      <c r="E482" s="106">
        <v>2</v>
      </c>
      <c r="F482" s="106">
        <v>0</v>
      </c>
      <c r="G482" s="106"/>
      <c r="H482" s="107"/>
      <c r="I482" s="64" t="s">
        <v>548</v>
      </c>
    </row>
    <row r="483" spans="1:9" s="73" customFormat="1" ht="17.25" customHeight="1" x14ac:dyDescent="0.35">
      <c r="A483" s="104"/>
      <c r="B483" s="106"/>
      <c r="C483" s="106"/>
      <c r="D483" s="106" t="s">
        <v>38</v>
      </c>
      <c r="E483" s="106">
        <v>2</v>
      </c>
      <c r="F483" s="106">
        <v>16896</v>
      </c>
      <c r="G483" s="106"/>
      <c r="H483" s="107"/>
      <c r="I483" s="64" t="s">
        <v>549</v>
      </c>
    </row>
    <row r="484" spans="1:9" s="73" customFormat="1" ht="17.25" customHeight="1" x14ac:dyDescent="0.35">
      <c r="A484" s="104"/>
      <c r="B484" s="106"/>
      <c r="C484" s="106"/>
      <c r="D484" s="106" t="s">
        <v>38</v>
      </c>
      <c r="E484" s="106">
        <v>2</v>
      </c>
      <c r="F484" s="106">
        <v>0</v>
      </c>
      <c r="G484" s="106"/>
      <c r="H484" s="107"/>
      <c r="I484" s="64" t="s">
        <v>550</v>
      </c>
    </row>
    <row r="485" spans="1:9" s="73" customFormat="1" ht="17.25" customHeight="1" x14ac:dyDescent="0.35">
      <c r="A485" s="104"/>
      <c r="B485" s="106"/>
      <c r="C485" s="106"/>
      <c r="D485" s="106" t="s">
        <v>38</v>
      </c>
      <c r="E485" s="106">
        <v>2</v>
      </c>
      <c r="F485" s="106">
        <v>0</v>
      </c>
      <c r="G485" s="106"/>
      <c r="H485" s="107"/>
      <c r="I485" s="64" t="s">
        <v>551</v>
      </c>
    </row>
    <row r="486" spans="1:9" s="73" customFormat="1" ht="17.25" customHeight="1" x14ac:dyDescent="0.35">
      <c r="A486" s="104"/>
      <c r="B486" s="106"/>
      <c r="C486" s="106"/>
      <c r="D486" s="106" t="s">
        <v>38</v>
      </c>
      <c r="E486" s="106">
        <v>2</v>
      </c>
      <c r="F486" s="106">
        <v>0</v>
      </c>
      <c r="G486" s="106"/>
      <c r="H486" s="107"/>
      <c r="I486" s="64" t="s">
        <v>552</v>
      </c>
    </row>
    <row r="487" spans="1:9" s="73" customFormat="1" ht="17.25" customHeight="1" x14ac:dyDescent="0.35">
      <c r="A487" s="104"/>
      <c r="B487" s="106"/>
      <c r="C487" s="106"/>
      <c r="D487" s="106" t="s">
        <v>38</v>
      </c>
      <c r="E487" s="106">
        <v>2</v>
      </c>
      <c r="F487" s="106">
        <v>0</v>
      </c>
      <c r="G487" s="106"/>
      <c r="H487" s="107"/>
      <c r="I487" s="64" t="s">
        <v>553</v>
      </c>
    </row>
    <row r="488" spans="1:9" s="73" customFormat="1" ht="17.25" customHeight="1" x14ac:dyDescent="0.35">
      <c r="A488" s="104"/>
      <c r="B488" s="106"/>
      <c r="C488" s="106"/>
      <c r="D488" s="106" t="s">
        <v>38</v>
      </c>
      <c r="E488" s="106">
        <v>2</v>
      </c>
      <c r="F488" s="106">
        <v>0</v>
      </c>
      <c r="G488" s="106"/>
      <c r="H488" s="107"/>
      <c r="I488" s="64" t="s">
        <v>554</v>
      </c>
    </row>
    <row r="489" spans="1:9" s="73" customFormat="1" ht="17.25" customHeight="1" x14ac:dyDescent="0.35">
      <c r="A489" s="104"/>
      <c r="B489" s="106"/>
      <c r="C489" s="106"/>
      <c r="D489" s="106" t="s">
        <v>38</v>
      </c>
      <c r="E489" s="106">
        <v>2</v>
      </c>
      <c r="F489" s="106">
        <v>0</v>
      </c>
      <c r="G489" s="106"/>
      <c r="H489" s="107"/>
      <c r="I489" s="64" t="s">
        <v>555</v>
      </c>
    </row>
    <row r="490" spans="1:9" s="73" customFormat="1" ht="17.25" customHeight="1" x14ac:dyDescent="0.35">
      <c r="A490" s="104"/>
      <c r="B490" s="106"/>
      <c r="C490" s="106"/>
      <c r="D490" s="106" t="s">
        <v>38</v>
      </c>
      <c r="E490" s="106">
        <v>2</v>
      </c>
      <c r="F490" s="106">
        <v>0</v>
      </c>
      <c r="G490" s="106"/>
      <c r="H490" s="107"/>
      <c r="I490" s="64" t="s">
        <v>556</v>
      </c>
    </row>
    <row r="491" spans="1:9" s="73" customFormat="1" ht="17.25" customHeight="1" x14ac:dyDescent="0.35">
      <c r="A491" s="104"/>
      <c r="B491" s="106"/>
      <c r="C491" s="106"/>
      <c r="D491" s="106" t="s">
        <v>38</v>
      </c>
      <c r="E491" s="106">
        <v>2</v>
      </c>
      <c r="F491" s="106">
        <v>0</v>
      </c>
      <c r="G491" s="106"/>
      <c r="H491" s="107"/>
      <c r="I491" s="64" t="s">
        <v>557</v>
      </c>
    </row>
    <row r="492" spans="1:9" s="73" customFormat="1" ht="17.25" customHeight="1" x14ac:dyDescent="0.35">
      <c r="A492" s="104"/>
      <c r="B492" s="106"/>
      <c r="C492" s="106"/>
      <c r="D492" s="106" t="s">
        <v>38</v>
      </c>
      <c r="E492" s="106">
        <v>2</v>
      </c>
      <c r="F492" s="106">
        <v>0</v>
      </c>
      <c r="G492" s="106"/>
      <c r="H492" s="107"/>
      <c r="I492" s="64" t="s">
        <v>558</v>
      </c>
    </row>
    <row r="493" spans="1:9" s="73" customFormat="1" ht="17.25" customHeight="1" x14ac:dyDescent="0.35">
      <c r="A493" s="104"/>
      <c r="B493" s="106"/>
      <c r="C493" s="106"/>
      <c r="D493" s="106" t="s">
        <v>38</v>
      </c>
      <c r="E493" s="106">
        <v>2</v>
      </c>
      <c r="F493" s="106">
        <v>0</v>
      </c>
      <c r="G493" s="106"/>
      <c r="H493" s="107"/>
      <c r="I493" s="64" t="s">
        <v>559</v>
      </c>
    </row>
    <row r="494" spans="1:9" s="73" customFormat="1" ht="17.25" customHeight="1" x14ac:dyDescent="0.35">
      <c r="A494" s="104"/>
      <c r="B494" s="106"/>
      <c r="C494" s="106"/>
      <c r="D494" s="106" t="s">
        <v>38</v>
      </c>
      <c r="E494" s="106">
        <v>2</v>
      </c>
      <c r="F494" s="106">
        <v>0</v>
      </c>
      <c r="G494" s="106"/>
      <c r="H494" s="107"/>
      <c r="I494" s="64" t="s">
        <v>560</v>
      </c>
    </row>
    <row r="495" spans="1:9" s="73" customFormat="1" ht="17.25" customHeight="1" x14ac:dyDescent="0.35">
      <c r="A495" s="104"/>
      <c r="B495" s="106"/>
      <c r="C495" s="106"/>
      <c r="D495" s="106" t="s">
        <v>38</v>
      </c>
      <c r="E495" s="106">
        <v>2</v>
      </c>
      <c r="F495" s="106">
        <v>0</v>
      </c>
      <c r="G495" s="106"/>
      <c r="H495" s="107"/>
      <c r="I495" s="64" t="s">
        <v>561</v>
      </c>
    </row>
    <row r="496" spans="1:9" s="73" customFormat="1" ht="17.25" customHeight="1" x14ac:dyDescent="0.35">
      <c r="A496" s="104"/>
      <c r="B496" s="106"/>
      <c r="C496" s="106"/>
      <c r="D496" s="106" t="s">
        <v>38</v>
      </c>
      <c r="E496" s="106">
        <v>2</v>
      </c>
      <c r="F496" s="106">
        <v>0</v>
      </c>
      <c r="G496" s="106"/>
      <c r="H496" s="107"/>
      <c r="I496" s="64" t="s">
        <v>562</v>
      </c>
    </row>
    <row r="497" spans="1:9" s="73" customFormat="1" ht="17.25" customHeight="1" x14ac:dyDescent="0.35">
      <c r="A497" s="104"/>
      <c r="B497" s="106"/>
      <c r="C497" s="106"/>
      <c r="D497" s="106" t="s">
        <v>38</v>
      </c>
      <c r="E497" s="106">
        <v>2</v>
      </c>
      <c r="F497" s="106">
        <v>0</v>
      </c>
      <c r="G497" s="106"/>
      <c r="H497" s="107"/>
      <c r="I497" s="64" t="s">
        <v>563</v>
      </c>
    </row>
    <row r="498" spans="1:9" s="73" customFormat="1" ht="17.25" customHeight="1" x14ac:dyDescent="0.35">
      <c r="A498" s="104"/>
      <c r="B498" s="106"/>
      <c r="C498" s="106"/>
      <c r="D498" s="106" t="s">
        <v>38</v>
      </c>
      <c r="E498" s="106">
        <v>2</v>
      </c>
      <c r="F498" s="106">
        <v>0</v>
      </c>
      <c r="G498" s="106"/>
      <c r="H498" s="107"/>
      <c r="I498" s="64" t="s">
        <v>564</v>
      </c>
    </row>
    <row r="499" spans="1:9" s="73" customFormat="1" ht="17.25" customHeight="1" x14ac:dyDescent="0.35">
      <c r="A499" s="104"/>
      <c r="B499" s="106"/>
      <c r="C499" s="106"/>
      <c r="D499" s="106" t="s">
        <v>38</v>
      </c>
      <c r="E499" s="106">
        <v>2</v>
      </c>
      <c r="F499" s="106">
        <v>0</v>
      </c>
      <c r="G499" s="106"/>
      <c r="H499" s="107"/>
      <c r="I499" s="64" t="s">
        <v>565</v>
      </c>
    </row>
    <row r="500" spans="1:9" s="73" customFormat="1" ht="17.25" customHeight="1" x14ac:dyDescent="0.35">
      <c r="A500" s="104"/>
      <c r="B500" s="106"/>
      <c r="C500" s="106"/>
      <c r="D500" s="106" t="s">
        <v>38</v>
      </c>
      <c r="E500" s="106">
        <v>2</v>
      </c>
      <c r="F500" s="106">
        <v>0</v>
      </c>
      <c r="G500" s="106"/>
      <c r="H500" s="107"/>
      <c r="I500" s="64" t="s">
        <v>566</v>
      </c>
    </row>
    <row r="501" spans="1:9" s="73" customFormat="1" ht="17.25" customHeight="1" x14ac:dyDescent="0.35">
      <c r="A501" s="104"/>
      <c r="B501" s="106"/>
      <c r="C501" s="106"/>
      <c r="D501" s="106" t="s">
        <v>38</v>
      </c>
      <c r="E501" s="106">
        <v>2</v>
      </c>
      <c r="F501" s="106">
        <v>6</v>
      </c>
      <c r="G501" s="106"/>
      <c r="H501" s="107"/>
      <c r="I501" s="64" t="s">
        <v>567</v>
      </c>
    </row>
    <row r="502" spans="1:9" s="73" customFormat="1" ht="17.25" customHeight="1" x14ac:dyDescent="0.35">
      <c r="A502" s="104"/>
      <c r="B502" s="106"/>
      <c r="C502" s="106"/>
      <c r="D502" s="106" t="s">
        <v>38</v>
      </c>
      <c r="E502" s="106">
        <v>1</v>
      </c>
      <c r="F502" s="106"/>
      <c r="G502" s="106"/>
      <c r="H502" s="107"/>
      <c r="I502" s="64" t="s">
        <v>568</v>
      </c>
    </row>
    <row r="503" spans="1:9" s="73" customFormat="1" ht="17.25" customHeight="1" x14ac:dyDescent="0.35">
      <c r="A503" s="104"/>
      <c r="B503" s="106"/>
      <c r="C503" s="106"/>
      <c r="D503" s="106" t="s">
        <v>38</v>
      </c>
      <c r="E503" s="106">
        <v>1</v>
      </c>
      <c r="F503" s="106"/>
      <c r="G503" s="106"/>
      <c r="H503" s="107"/>
      <c r="I503" s="64" t="s">
        <v>569</v>
      </c>
    </row>
    <row r="504" spans="1:9" s="73" customFormat="1" ht="17.25" customHeight="1" x14ac:dyDescent="0.35">
      <c r="A504" s="104"/>
      <c r="B504" s="106"/>
      <c r="C504" s="106"/>
      <c r="D504" s="106" t="s">
        <v>38</v>
      </c>
      <c r="E504" s="106">
        <v>1</v>
      </c>
      <c r="F504" s="106">
        <v>2</v>
      </c>
      <c r="G504" s="106"/>
      <c r="H504" s="107"/>
      <c r="I504" s="64" t="s">
        <v>570</v>
      </c>
    </row>
    <row r="505" spans="1:9" s="73" customFormat="1" ht="17.25" customHeight="1" x14ac:dyDescent="0.35">
      <c r="A505" s="104"/>
      <c r="B505" s="106"/>
      <c r="C505" s="106"/>
      <c r="D505" s="106" t="s">
        <v>38</v>
      </c>
      <c r="E505" s="106">
        <v>1</v>
      </c>
      <c r="F505" s="106">
        <v>3</v>
      </c>
      <c r="G505" s="106"/>
      <c r="H505" s="107"/>
      <c r="I505" s="64" t="s">
        <v>571</v>
      </c>
    </row>
    <row r="506" spans="1:9" s="73" customFormat="1" ht="17.25" customHeight="1" x14ac:dyDescent="0.35">
      <c r="A506" s="104"/>
      <c r="B506" s="106"/>
      <c r="C506" s="106"/>
      <c r="D506" s="106" t="s">
        <v>38</v>
      </c>
      <c r="E506" s="106">
        <v>1</v>
      </c>
      <c r="F506" s="106">
        <v>1</v>
      </c>
      <c r="G506" s="106"/>
      <c r="H506" s="107"/>
      <c r="I506" s="64" t="s">
        <v>572</v>
      </c>
    </row>
    <row r="507" spans="1:9" s="73" customFormat="1" ht="17.25" customHeight="1" x14ac:dyDescent="0.35">
      <c r="A507" s="104"/>
      <c r="B507" s="106"/>
      <c r="C507" s="106"/>
      <c r="D507" s="106" t="s">
        <v>38</v>
      </c>
      <c r="E507" s="106">
        <v>2</v>
      </c>
      <c r="F507" s="106">
        <v>33039</v>
      </c>
      <c r="G507" s="106"/>
      <c r="H507" s="107"/>
      <c r="I507" s="64" t="s">
        <v>573</v>
      </c>
    </row>
    <row r="508" spans="1:9" s="73" customFormat="1" ht="17.25" customHeight="1" x14ac:dyDescent="0.35">
      <c r="A508" s="104"/>
      <c r="B508" s="106"/>
      <c r="C508" s="106"/>
      <c r="D508" s="106" t="s">
        <v>32</v>
      </c>
      <c r="E508" s="106">
        <v>50</v>
      </c>
      <c r="F508" s="106" t="s">
        <v>206</v>
      </c>
      <c r="G508" s="106"/>
      <c r="H508" s="107"/>
      <c r="I508" s="64" t="s">
        <v>574</v>
      </c>
    </row>
    <row r="509" spans="1:9" s="73" customFormat="1" ht="17.25" customHeight="1" x14ac:dyDescent="0.35">
      <c r="A509" s="104"/>
      <c r="B509" s="106"/>
      <c r="C509" s="106"/>
      <c r="D509" s="106" t="s">
        <v>32</v>
      </c>
      <c r="E509" s="106">
        <v>50</v>
      </c>
      <c r="F509" s="106"/>
      <c r="G509" s="106"/>
      <c r="H509" s="107"/>
      <c r="I509" s="64" t="s">
        <v>575</v>
      </c>
    </row>
    <row r="510" spans="1:9" s="73" customFormat="1" ht="17.25" customHeight="1" x14ac:dyDescent="0.35">
      <c r="A510" s="104"/>
      <c r="B510" s="106"/>
      <c r="C510" s="106"/>
      <c r="D510" s="106" t="s">
        <v>32</v>
      </c>
      <c r="E510" s="106">
        <v>50</v>
      </c>
      <c r="F510" s="106"/>
      <c r="G510" s="106"/>
      <c r="H510" s="107"/>
      <c r="I510" s="64" t="s">
        <v>576</v>
      </c>
    </row>
    <row r="511" spans="1:9" s="73" customFormat="1" ht="17.25" customHeight="1" x14ac:dyDescent="0.35">
      <c r="A511" s="104"/>
      <c r="B511" s="106"/>
      <c r="C511" s="106"/>
      <c r="D511" s="106" t="s">
        <v>32</v>
      </c>
      <c r="E511" s="106">
        <v>754</v>
      </c>
      <c r="F511" s="106"/>
      <c r="G511" s="106"/>
      <c r="H511" s="107"/>
      <c r="I511" s="64" t="s">
        <v>180</v>
      </c>
    </row>
    <row r="512" spans="1:9" s="73" customFormat="1" ht="17.25" customHeight="1" x14ac:dyDescent="0.35">
      <c r="A512" s="104" t="s">
        <v>577</v>
      </c>
      <c r="B512" s="106" t="s">
        <v>578</v>
      </c>
      <c r="C512" s="106" t="s">
        <v>136</v>
      </c>
      <c r="D512" s="106"/>
      <c r="E512" s="106"/>
      <c r="F512" s="106"/>
      <c r="G512" s="106" t="s">
        <v>30</v>
      </c>
      <c r="H512" s="107"/>
      <c r="I512" s="64">
        <v>71581</v>
      </c>
    </row>
    <row r="513" spans="1:9" s="73" customFormat="1" ht="17.25" customHeight="1" x14ac:dyDescent="0.35">
      <c r="A513" s="104"/>
      <c r="B513" s="106"/>
      <c r="C513" s="106"/>
      <c r="D513" s="106" t="s">
        <v>38</v>
      </c>
      <c r="E513" s="106">
        <v>1</v>
      </c>
      <c r="F513" s="106"/>
      <c r="G513" s="106"/>
      <c r="H513" s="107"/>
      <c r="I513" s="64" t="s">
        <v>450</v>
      </c>
    </row>
    <row r="514" spans="1:9" s="73" customFormat="1" ht="17.25" customHeight="1" x14ac:dyDescent="0.35">
      <c r="A514" s="104"/>
      <c r="B514" s="106"/>
      <c r="C514" s="106"/>
      <c r="D514" s="106" t="s">
        <v>38</v>
      </c>
      <c r="E514" s="106">
        <v>4</v>
      </c>
      <c r="F514" s="106"/>
      <c r="G514" s="106"/>
      <c r="H514" s="107"/>
      <c r="I514" s="64" t="s">
        <v>579</v>
      </c>
    </row>
    <row r="515" spans="1:9" s="73" customFormat="1" ht="17.25" customHeight="1" x14ac:dyDescent="0.35">
      <c r="A515" s="104"/>
      <c r="B515" s="106"/>
      <c r="C515" s="106"/>
      <c r="D515" s="106" t="s">
        <v>38</v>
      </c>
      <c r="E515" s="106">
        <v>4</v>
      </c>
      <c r="F515" s="106"/>
      <c r="G515" s="106"/>
      <c r="H515" s="107"/>
      <c r="I515" s="64" t="s">
        <v>580</v>
      </c>
    </row>
    <row r="516" spans="1:9" s="73" customFormat="1" ht="17.25" customHeight="1" x14ac:dyDescent="0.35">
      <c r="A516" s="104"/>
      <c r="B516" s="106"/>
      <c r="C516" s="106"/>
      <c r="D516" s="106" t="s">
        <v>38</v>
      </c>
      <c r="E516" s="106">
        <v>2</v>
      </c>
      <c r="F516" s="106"/>
      <c r="G516" s="106"/>
      <c r="H516" s="107"/>
      <c r="I516" s="64" t="s">
        <v>581</v>
      </c>
    </row>
    <row r="517" spans="1:9" s="73" customFormat="1" ht="17.25" customHeight="1" x14ac:dyDescent="0.35">
      <c r="A517" s="104"/>
      <c r="B517" s="106"/>
      <c r="C517" s="106"/>
      <c r="D517" s="106" t="s">
        <v>38</v>
      </c>
      <c r="E517" s="106">
        <v>2</v>
      </c>
      <c r="F517" s="106"/>
      <c r="G517" s="106"/>
      <c r="H517" s="107"/>
      <c r="I517" s="64" t="s">
        <v>582</v>
      </c>
    </row>
    <row r="518" spans="1:9" s="73" customFormat="1" ht="17.25" customHeight="1" x14ac:dyDescent="0.35">
      <c r="A518" s="104"/>
      <c r="B518" s="106"/>
      <c r="C518" s="106"/>
      <c r="D518" s="106" t="s">
        <v>38</v>
      </c>
      <c r="E518" s="106">
        <v>499</v>
      </c>
      <c r="F518" s="106"/>
      <c r="G518" s="106"/>
      <c r="H518" s="107"/>
      <c r="I518" s="64" t="s">
        <v>583</v>
      </c>
    </row>
    <row r="519" spans="1:9" s="73" customFormat="1" ht="17.25" customHeight="1" x14ac:dyDescent="0.35">
      <c r="A519" s="104" t="s">
        <v>584</v>
      </c>
      <c r="B519" s="106" t="s">
        <v>585</v>
      </c>
      <c r="C519" s="106" t="s">
        <v>136</v>
      </c>
      <c r="D519" s="106"/>
      <c r="E519" s="106"/>
      <c r="F519" s="106"/>
      <c r="G519" s="106" t="s">
        <v>30</v>
      </c>
      <c r="H519" s="107"/>
      <c r="I519" s="64">
        <v>71545</v>
      </c>
    </row>
    <row r="520" spans="1:9" s="73" customFormat="1" ht="17.25" customHeight="1" x14ac:dyDescent="0.35">
      <c r="A520" s="104"/>
      <c r="B520" s="106"/>
      <c r="C520" s="106"/>
      <c r="D520" s="106" t="s">
        <v>38</v>
      </c>
      <c r="E520" s="106">
        <v>1</v>
      </c>
      <c r="F520" s="106">
        <v>0</v>
      </c>
      <c r="G520" s="106"/>
      <c r="H520" s="107"/>
      <c r="I520" s="64" t="s">
        <v>245</v>
      </c>
    </row>
    <row r="521" spans="1:9" s="73" customFormat="1" ht="17.25" customHeight="1" x14ac:dyDescent="0.35">
      <c r="A521" s="104" t="s">
        <v>586</v>
      </c>
      <c r="B521" s="106" t="s">
        <v>587</v>
      </c>
      <c r="C521" s="106" t="s">
        <v>136</v>
      </c>
      <c r="D521" s="106"/>
      <c r="E521" s="106"/>
      <c r="F521" s="106"/>
      <c r="G521" s="106" t="s">
        <v>30</v>
      </c>
      <c r="H521" s="107"/>
      <c r="I521" s="64">
        <v>71544</v>
      </c>
    </row>
    <row r="522" spans="1:9" s="73" customFormat="1" ht="17.25" customHeight="1" x14ac:dyDescent="0.35">
      <c r="A522" s="104"/>
      <c r="B522" s="106"/>
      <c r="C522" s="106"/>
      <c r="D522" s="106" t="s">
        <v>38</v>
      </c>
      <c r="E522" s="106">
        <v>1</v>
      </c>
      <c r="F522" s="106">
        <v>0</v>
      </c>
      <c r="G522" s="106"/>
      <c r="H522" s="107"/>
      <c r="I522" s="64" t="s">
        <v>245</v>
      </c>
    </row>
    <row r="523" spans="1:9" s="73" customFormat="1" ht="17.25" customHeight="1" x14ac:dyDescent="0.35">
      <c r="A523" s="104"/>
      <c r="B523" s="106"/>
      <c r="C523" s="106"/>
      <c r="D523" s="106" t="s">
        <v>32</v>
      </c>
      <c r="E523" s="106">
        <v>24</v>
      </c>
      <c r="F523" s="106"/>
      <c r="G523" s="106"/>
      <c r="H523" s="107"/>
      <c r="I523" s="64" t="s">
        <v>588</v>
      </c>
    </row>
    <row r="524" spans="1:9" s="73" customFormat="1" ht="17.25" customHeight="1" x14ac:dyDescent="0.35">
      <c r="A524" s="104" t="s">
        <v>589</v>
      </c>
      <c r="B524" s="106" t="s">
        <v>590</v>
      </c>
      <c r="C524" s="106" t="s">
        <v>136</v>
      </c>
      <c r="D524" s="106"/>
      <c r="E524" s="106"/>
      <c r="F524" s="106"/>
      <c r="G524" s="106" t="s">
        <v>30</v>
      </c>
      <c r="H524" s="107"/>
      <c r="I524" s="64">
        <v>71540</v>
      </c>
    </row>
    <row r="525" spans="1:9" s="73" customFormat="1" ht="17.25" customHeight="1" x14ac:dyDescent="0.35">
      <c r="A525" s="104"/>
      <c r="B525" s="106"/>
      <c r="C525" s="106"/>
      <c r="D525" s="106" t="s">
        <v>38</v>
      </c>
      <c r="E525" s="106">
        <v>1</v>
      </c>
      <c r="F525" s="106">
        <v>0</v>
      </c>
      <c r="G525" s="106"/>
      <c r="H525" s="107"/>
      <c r="I525" s="64" t="s">
        <v>245</v>
      </c>
    </row>
    <row r="526" spans="1:9" s="73" customFormat="1" ht="17.25" customHeight="1" x14ac:dyDescent="0.35">
      <c r="A526" s="104"/>
      <c r="B526" s="106"/>
      <c r="C526" s="106"/>
      <c r="D526" s="106" t="s">
        <v>38</v>
      </c>
      <c r="E526" s="106">
        <v>1</v>
      </c>
      <c r="F526" s="106">
        <v>0</v>
      </c>
      <c r="G526" s="106"/>
      <c r="H526" s="107"/>
      <c r="I526" s="64" t="s">
        <v>591</v>
      </c>
    </row>
    <row r="527" spans="1:9" s="73" customFormat="1" ht="17.25" customHeight="1" x14ac:dyDescent="0.35">
      <c r="A527" s="104"/>
      <c r="B527" s="106"/>
      <c r="C527" s="106"/>
      <c r="D527" s="106" t="s">
        <v>38</v>
      </c>
      <c r="E527" s="106">
        <v>509</v>
      </c>
      <c r="F527" s="106"/>
      <c r="G527" s="106"/>
      <c r="H527" s="107"/>
      <c r="I527" s="64" t="s">
        <v>180</v>
      </c>
    </row>
    <row r="528" spans="1:9" s="73" customFormat="1" ht="17.25" customHeight="1" x14ac:dyDescent="0.35">
      <c r="A528" s="104" t="s">
        <v>592</v>
      </c>
      <c r="B528" s="106" t="s">
        <v>593</v>
      </c>
      <c r="C528" s="106" t="s">
        <v>136</v>
      </c>
      <c r="D528" s="106"/>
      <c r="E528" s="106"/>
      <c r="F528" s="106"/>
      <c r="G528" s="106" t="s">
        <v>30</v>
      </c>
      <c r="H528" s="107"/>
      <c r="I528" s="64">
        <v>71572</v>
      </c>
    </row>
    <row r="529" spans="1:9" s="73" customFormat="1" ht="17.25" customHeight="1" x14ac:dyDescent="0.35">
      <c r="A529" s="104"/>
      <c r="B529" s="106"/>
      <c r="C529" s="106"/>
      <c r="D529" s="106" t="s">
        <v>38</v>
      </c>
      <c r="E529" s="106">
        <v>4</v>
      </c>
      <c r="F529" s="106">
        <v>8000</v>
      </c>
      <c r="G529" s="106"/>
      <c r="H529" s="107"/>
      <c r="I529" s="64" t="s">
        <v>594</v>
      </c>
    </row>
    <row r="530" spans="1:9" s="73" customFormat="1" ht="17.25" customHeight="1" x14ac:dyDescent="0.35">
      <c r="A530" s="104" t="s">
        <v>586</v>
      </c>
      <c r="B530" s="106" t="s">
        <v>595</v>
      </c>
      <c r="C530" s="106" t="s">
        <v>136</v>
      </c>
      <c r="D530" s="106"/>
      <c r="E530" s="106"/>
      <c r="F530" s="106"/>
      <c r="G530" s="106" t="s">
        <v>30</v>
      </c>
      <c r="H530" s="107"/>
      <c r="I530" s="64">
        <v>70235</v>
      </c>
    </row>
    <row r="531" spans="1:9" s="73" customFormat="1" ht="17.25" customHeight="1" x14ac:dyDescent="0.35">
      <c r="A531" s="104"/>
      <c r="B531" s="106"/>
      <c r="C531" s="106"/>
      <c r="D531" s="106" t="s">
        <v>38</v>
      </c>
      <c r="E531" s="106">
        <v>1</v>
      </c>
      <c r="F531" s="106">
        <v>0</v>
      </c>
      <c r="G531" s="106"/>
      <c r="H531" s="107"/>
      <c r="I531" s="64" t="s">
        <v>245</v>
      </c>
    </row>
    <row r="532" spans="1:9" s="73" customFormat="1" ht="17.25" customHeight="1" x14ac:dyDescent="0.35">
      <c r="A532" s="104"/>
      <c r="B532" s="106"/>
      <c r="C532" s="106"/>
      <c r="D532" s="106" t="s">
        <v>38</v>
      </c>
      <c r="E532" s="106">
        <v>2</v>
      </c>
      <c r="F532" s="106">
        <v>0</v>
      </c>
      <c r="G532" s="106"/>
      <c r="H532" s="107"/>
      <c r="I532" s="64" t="s">
        <v>596</v>
      </c>
    </row>
    <row r="533" spans="1:9" s="73" customFormat="1" ht="17.25" customHeight="1" x14ac:dyDescent="0.35">
      <c r="A533" s="104"/>
      <c r="B533" s="106"/>
      <c r="C533" s="106"/>
      <c r="D533" s="106" t="s">
        <v>38</v>
      </c>
      <c r="E533" s="106">
        <v>2</v>
      </c>
      <c r="F533" s="106">
        <v>0</v>
      </c>
      <c r="G533" s="106"/>
      <c r="H533" s="107"/>
      <c r="I533" s="64" t="s">
        <v>597</v>
      </c>
    </row>
    <row r="534" spans="1:9" s="73" customFormat="1" ht="17.25" customHeight="1" x14ac:dyDescent="0.35">
      <c r="A534" s="104"/>
      <c r="B534" s="106"/>
      <c r="C534" s="106"/>
      <c r="D534" s="106" t="s">
        <v>38</v>
      </c>
      <c r="E534" s="106">
        <v>2</v>
      </c>
      <c r="F534" s="106">
        <v>0</v>
      </c>
      <c r="G534" s="106"/>
      <c r="H534" s="107"/>
      <c r="I534" s="64" t="s">
        <v>598</v>
      </c>
    </row>
    <row r="535" spans="1:9" s="73" customFormat="1" ht="17.25" customHeight="1" x14ac:dyDescent="0.35">
      <c r="A535" s="104"/>
      <c r="B535" s="106"/>
      <c r="C535" s="106"/>
      <c r="D535" s="106" t="s">
        <v>38</v>
      </c>
      <c r="E535" s="106">
        <v>1017</v>
      </c>
      <c r="F535" s="106"/>
      <c r="G535" s="106"/>
      <c r="H535" s="107"/>
      <c r="I535" s="64" t="s">
        <v>180</v>
      </c>
    </row>
    <row r="536" spans="1:9" s="73" customFormat="1" ht="17.25" customHeight="1" x14ac:dyDescent="0.35">
      <c r="A536" s="104" t="s">
        <v>599</v>
      </c>
      <c r="B536" s="106" t="s">
        <v>600</v>
      </c>
      <c r="C536" s="106" t="s">
        <v>136</v>
      </c>
      <c r="D536" s="106"/>
      <c r="E536" s="106"/>
      <c r="F536" s="106"/>
      <c r="G536" s="106" t="s">
        <v>30</v>
      </c>
      <c r="H536" s="107"/>
      <c r="I536" s="64">
        <v>65958</v>
      </c>
    </row>
    <row r="537" spans="1:9" s="78" customFormat="1" ht="19.5" customHeight="1" x14ac:dyDescent="0.35">
      <c r="A537" s="104"/>
      <c r="B537" s="106"/>
      <c r="C537" s="106"/>
      <c r="D537" s="106" t="s">
        <v>38</v>
      </c>
      <c r="E537" s="106">
        <v>2</v>
      </c>
      <c r="F537" s="106"/>
      <c r="G537" s="106"/>
      <c r="H537" s="107"/>
      <c r="I537" s="64" t="s">
        <v>599</v>
      </c>
    </row>
    <row r="538" spans="1:9" s="78" customFormat="1" ht="19.5" customHeight="1" x14ac:dyDescent="0.35">
      <c r="A538" s="104" t="s">
        <v>601</v>
      </c>
      <c r="B538" s="106" t="s">
        <v>602</v>
      </c>
      <c r="C538" s="106" t="s">
        <v>136</v>
      </c>
      <c r="D538" s="106"/>
      <c r="E538" s="106"/>
      <c r="F538" s="106"/>
      <c r="G538" s="106" t="s">
        <v>30</v>
      </c>
      <c r="H538" s="107"/>
      <c r="I538" s="64">
        <v>72553</v>
      </c>
    </row>
    <row r="539" spans="1:9" s="78" customFormat="1" ht="19.5" customHeight="1" x14ac:dyDescent="0.35">
      <c r="A539" s="104"/>
      <c r="B539" s="106"/>
      <c r="C539" s="106"/>
      <c r="D539" s="106" t="s">
        <v>38</v>
      </c>
      <c r="E539" s="106">
        <v>1</v>
      </c>
      <c r="F539" s="106">
        <v>0</v>
      </c>
      <c r="G539" s="106"/>
      <c r="H539" s="107"/>
      <c r="I539" s="64" t="s">
        <v>601</v>
      </c>
    </row>
    <row r="540" spans="1:9" s="78" customFormat="1" ht="19.5" customHeight="1" x14ac:dyDescent="0.35">
      <c r="A540" s="104" t="s">
        <v>603</v>
      </c>
      <c r="B540" s="106" t="s">
        <v>604</v>
      </c>
      <c r="C540" s="106" t="s">
        <v>136</v>
      </c>
      <c r="D540" s="106"/>
      <c r="E540" s="106"/>
      <c r="F540" s="106"/>
      <c r="G540" s="106" t="s">
        <v>30</v>
      </c>
      <c r="H540" s="107"/>
      <c r="I540" s="64">
        <v>71597</v>
      </c>
    </row>
    <row r="541" spans="1:9" s="78" customFormat="1" ht="19.5" customHeight="1" x14ac:dyDescent="0.35">
      <c r="A541" s="104"/>
      <c r="B541" s="106"/>
      <c r="C541" s="106"/>
      <c r="D541" s="106" t="s">
        <v>38</v>
      </c>
      <c r="E541" s="106">
        <v>1</v>
      </c>
      <c r="F541" s="106">
        <v>0</v>
      </c>
      <c r="G541" s="106"/>
      <c r="H541" s="107"/>
      <c r="I541" s="64" t="s">
        <v>245</v>
      </c>
    </row>
    <row r="542" spans="1:9" s="78" customFormat="1" ht="19.5" customHeight="1" x14ac:dyDescent="0.35">
      <c r="A542" s="104"/>
      <c r="B542" s="106"/>
      <c r="C542" s="106"/>
      <c r="D542" s="106" t="s">
        <v>38</v>
      </c>
      <c r="E542" s="106">
        <v>1</v>
      </c>
      <c r="F542" s="106">
        <v>1</v>
      </c>
      <c r="G542" s="106"/>
      <c r="H542" s="107"/>
      <c r="I542" s="64" t="s">
        <v>596</v>
      </c>
    </row>
    <row r="543" spans="1:9" s="78" customFormat="1" ht="19.5" customHeight="1" x14ac:dyDescent="0.35">
      <c r="A543" s="104"/>
      <c r="B543" s="106"/>
      <c r="C543" s="106"/>
      <c r="D543" s="106" t="s">
        <v>38</v>
      </c>
      <c r="E543" s="106">
        <v>1</v>
      </c>
      <c r="F543" s="106">
        <v>1</v>
      </c>
      <c r="G543" s="106"/>
      <c r="H543" s="107"/>
      <c r="I543" s="64" t="s">
        <v>605</v>
      </c>
    </row>
    <row r="544" spans="1:9" s="78" customFormat="1" ht="19.5" customHeight="1" x14ac:dyDescent="0.35">
      <c r="A544" s="104"/>
      <c r="B544" s="106"/>
      <c r="C544" s="106"/>
      <c r="D544" s="106" t="s">
        <v>38</v>
      </c>
      <c r="E544" s="106">
        <v>1</v>
      </c>
      <c r="F544" s="106">
        <v>0</v>
      </c>
      <c r="G544" s="106"/>
      <c r="H544" s="107"/>
      <c r="I544" s="64" t="s">
        <v>606</v>
      </c>
    </row>
    <row r="545" spans="1:9" s="78" customFormat="1" ht="19.5" customHeight="1" x14ac:dyDescent="0.35">
      <c r="A545" s="104"/>
      <c r="B545" s="106"/>
      <c r="C545" s="106"/>
      <c r="D545" s="106" t="s">
        <v>38</v>
      </c>
      <c r="E545" s="106">
        <v>1</v>
      </c>
      <c r="F545" s="106">
        <v>0</v>
      </c>
      <c r="G545" s="106"/>
      <c r="H545" s="107"/>
      <c r="I545" s="64" t="s">
        <v>607</v>
      </c>
    </row>
    <row r="546" spans="1:9" s="78" customFormat="1" ht="19.5" customHeight="1" x14ac:dyDescent="0.35">
      <c r="A546" s="104"/>
      <c r="B546" s="106"/>
      <c r="C546" s="106"/>
      <c r="D546" s="106" t="s">
        <v>38</v>
      </c>
      <c r="E546" s="106">
        <v>27</v>
      </c>
      <c r="F546" s="106"/>
      <c r="G546" s="106"/>
      <c r="H546" s="107"/>
      <c r="I546" s="64" t="s">
        <v>180</v>
      </c>
    </row>
    <row r="547" spans="1:9" s="73" customFormat="1" ht="18" customHeight="1" x14ac:dyDescent="0.35">
      <c r="A547" s="108" t="s">
        <v>692</v>
      </c>
      <c r="B547" s="106" t="s">
        <v>693</v>
      </c>
      <c r="C547" s="106" t="s">
        <v>136</v>
      </c>
      <c r="D547" s="106"/>
      <c r="E547" s="106"/>
      <c r="F547" s="106"/>
      <c r="G547" s="106" t="s">
        <v>30</v>
      </c>
      <c r="H547" s="107"/>
      <c r="I547" s="65">
        <v>67198</v>
      </c>
    </row>
    <row r="548" spans="1:9" s="73" customFormat="1" ht="13.5" customHeight="1" x14ac:dyDescent="0.35">
      <c r="A548" s="108"/>
      <c r="B548" s="106"/>
      <c r="C548" s="106"/>
      <c r="D548" s="106" t="s">
        <v>38</v>
      </c>
      <c r="E548" s="106">
        <v>1</v>
      </c>
      <c r="F548" s="106">
        <v>1</v>
      </c>
      <c r="G548" s="106"/>
      <c r="H548" s="107"/>
      <c r="I548" s="65"/>
    </row>
    <row r="549" spans="1:9" s="73" customFormat="1" ht="20.25" customHeight="1" x14ac:dyDescent="0.35">
      <c r="A549" s="110" t="s">
        <v>694</v>
      </c>
      <c r="B549" s="106" t="s">
        <v>695</v>
      </c>
      <c r="C549" s="106" t="s">
        <v>136</v>
      </c>
      <c r="D549" s="106"/>
      <c r="E549" s="106"/>
      <c r="F549" s="106"/>
      <c r="G549" s="106" t="s">
        <v>30</v>
      </c>
      <c r="H549" s="107"/>
      <c r="I549" s="66">
        <v>70267</v>
      </c>
    </row>
    <row r="550" spans="1:9" s="73" customFormat="1" ht="15.75" customHeight="1" x14ac:dyDescent="0.35">
      <c r="A550" s="110"/>
      <c r="B550" s="106"/>
      <c r="C550" s="106"/>
      <c r="D550" s="106" t="s">
        <v>38</v>
      </c>
      <c r="E550" s="106">
        <v>1</v>
      </c>
      <c r="F550" s="106">
        <v>1</v>
      </c>
      <c r="G550" s="106"/>
      <c r="H550" s="107"/>
      <c r="I550" s="66"/>
    </row>
    <row r="551" spans="1:9" s="73" customFormat="1" ht="17.25" customHeight="1" x14ac:dyDescent="0.4">
      <c r="A551" s="111" t="s">
        <v>664</v>
      </c>
      <c r="B551" s="112" t="s">
        <v>665</v>
      </c>
      <c r="C551" s="112" t="s">
        <v>136</v>
      </c>
      <c r="D551" s="112"/>
      <c r="E551" s="112"/>
      <c r="F551" s="112"/>
      <c r="G551" s="112" t="s">
        <v>30</v>
      </c>
      <c r="H551" s="113"/>
      <c r="I551" s="81"/>
    </row>
    <row r="552" spans="1:9" s="73" customFormat="1" ht="17.25" customHeight="1" x14ac:dyDescent="0.4">
      <c r="A552" s="111"/>
      <c r="B552" s="112"/>
      <c r="C552" s="112"/>
      <c r="D552" s="112" t="s">
        <v>38</v>
      </c>
      <c r="E552" s="112">
        <v>1</v>
      </c>
      <c r="F552" s="112">
        <v>3</v>
      </c>
      <c r="G552" s="112"/>
      <c r="H552" s="113"/>
      <c r="I552" s="81"/>
    </row>
    <row r="553" spans="1:9" s="73" customFormat="1" ht="17.25" customHeight="1" x14ac:dyDescent="0.4">
      <c r="A553" s="111" t="s">
        <v>608</v>
      </c>
      <c r="B553" s="112" t="s">
        <v>609</v>
      </c>
      <c r="C553" s="112" t="s">
        <v>136</v>
      </c>
      <c r="D553" s="112"/>
      <c r="E553" s="112"/>
      <c r="F553" s="112"/>
      <c r="G553" s="112" t="s">
        <v>30</v>
      </c>
      <c r="H553" s="113"/>
      <c r="I553" s="81"/>
    </row>
    <row r="554" spans="1:9" s="73" customFormat="1" ht="17.25" customHeight="1" x14ac:dyDescent="0.4">
      <c r="A554" s="111"/>
      <c r="B554" s="112"/>
      <c r="C554" s="112"/>
      <c r="D554" s="112" t="s">
        <v>38</v>
      </c>
      <c r="E554" s="112">
        <v>1</v>
      </c>
      <c r="F554" s="112">
        <v>1</v>
      </c>
      <c r="G554" s="112"/>
      <c r="H554" s="113"/>
      <c r="I554" s="81"/>
    </row>
    <row r="555" spans="1:9" s="73" customFormat="1" ht="17.25" customHeight="1" x14ac:dyDescent="0.4">
      <c r="A555" s="111" t="s">
        <v>659</v>
      </c>
      <c r="B555" s="112" t="s">
        <v>660</v>
      </c>
      <c r="C555" s="112" t="s">
        <v>136</v>
      </c>
      <c r="D555" s="112"/>
      <c r="E555" s="112"/>
      <c r="F555" s="112"/>
      <c r="G555" s="112" t="s">
        <v>30</v>
      </c>
      <c r="H555" s="113"/>
      <c r="I555" s="81">
        <v>67197</v>
      </c>
    </row>
    <row r="556" spans="1:9" s="73" customFormat="1" ht="17.25" customHeight="1" x14ac:dyDescent="0.4">
      <c r="A556" s="111"/>
      <c r="B556" s="112"/>
      <c r="C556" s="112"/>
      <c r="D556" s="112" t="s">
        <v>38</v>
      </c>
      <c r="E556" s="112">
        <v>4</v>
      </c>
      <c r="F556" s="112">
        <v>45000</v>
      </c>
      <c r="G556" s="112"/>
      <c r="H556" s="113"/>
      <c r="I556" s="81"/>
    </row>
    <row r="557" spans="1:9" s="73" customFormat="1" ht="17.25" customHeight="1" x14ac:dyDescent="0.4">
      <c r="A557" s="111" t="s">
        <v>661</v>
      </c>
      <c r="B557" s="112" t="s">
        <v>662</v>
      </c>
      <c r="C557" s="112" t="s">
        <v>136</v>
      </c>
      <c r="D557" s="112"/>
      <c r="E557" s="112"/>
      <c r="F557" s="112"/>
      <c r="G557" s="112" t="s">
        <v>30</v>
      </c>
      <c r="H557" s="113"/>
      <c r="I557" s="81">
        <v>70199</v>
      </c>
    </row>
    <row r="558" spans="1:9" s="73" customFormat="1" ht="17.25" customHeight="1" x14ac:dyDescent="0.4">
      <c r="A558" s="111"/>
      <c r="B558" s="112"/>
      <c r="C558" s="112"/>
      <c r="D558" s="112" t="s">
        <v>38</v>
      </c>
      <c r="E558" s="112">
        <v>4</v>
      </c>
      <c r="F558" s="112">
        <v>20000</v>
      </c>
      <c r="G558" s="112"/>
      <c r="H558" s="113"/>
      <c r="I558" s="81"/>
    </row>
    <row r="559" spans="1:9" s="73" customFormat="1" ht="17.25" customHeight="1" thickBot="1" x14ac:dyDescent="0.4">
      <c r="A559" s="114"/>
      <c r="B559" s="115"/>
      <c r="C559" s="115"/>
      <c r="D559" s="115"/>
      <c r="E559" s="115"/>
      <c r="F559" s="115"/>
      <c r="G559" s="115"/>
      <c r="H559" s="116"/>
      <c r="I559" s="67"/>
    </row>
    <row r="560" spans="1:9" s="50" customFormat="1" ht="17.25" customHeight="1" thickBot="1" x14ac:dyDescent="0.25">
      <c r="A560"/>
      <c r="B560" s="42"/>
      <c r="C560" s="42"/>
      <c r="D560" s="42"/>
      <c r="E560" s="42"/>
      <c r="F560" s="43"/>
      <c r="G560" s="42"/>
      <c r="H560" s="9"/>
      <c r="I560" s="42"/>
    </row>
    <row r="561" spans="1:9" s="50" customFormat="1" ht="17.25" customHeight="1" thickBot="1" x14ac:dyDescent="0.45">
      <c r="A561" s="213" t="s">
        <v>610</v>
      </c>
      <c r="B561" s="214"/>
      <c r="C561" s="214"/>
      <c r="D561" s="214"/>
      <c r="E561" s="214"/>
      <c r="F561" s="215"/>
      <c r="G561" s="214"/>
      <c r="H561" s="216"/>
      <c r="I561" s="42"/>
    </row>
    <row r="562" spans="1:9" s="40" customFormat="1" ht="17.25" customHeight="1" thickBot="1" x14ac:dyDescent="0.35">
      <c r="A562" s="68" t="s">
        <v>611</v>
      </c>
      <c r="B562" s="69"/>
      <c r="C562" s="69" t="s">
        <v>22</v>
      </c>
      <c r="D562" s="68" t="s">
        <v>612</v>
      </c>
      <c r="E562" s="68" t="s">
        <v>613</v>
      </c>
      <c r="F562" s="68" t="s">
        <v>614</v>
      </c>
      <c r="G562" s="70" t="s">
        <v>26</v>
      </c>
      <c r="H562" s="71"/>
      <c r="I562" s="42"/>
    </row>
    <row r="563" spans="1:9" s="50" customFormat="1" ht="17.25" customHeight="1" x14ac:dyDescent="0.35">
      <c r="A563" s="125" t="s">
        <v>615</v>
      </c>
      <c r="B563" s="126"/>
      <c r="C563" s="127" t="s">
        <v>616</v>
      </c>
      <c r="D563" s="127"/>
      <c r="E563" s="127"/>
      <c r="F563" s="127"/>
      <c r="G563" s="127" t="s">
        <v>77</v>
      </c>
      <c r="H563" s="118"/>
      <c r="I563" s="42"/>
    </row>
    <row r="564" spans="1:9" s="50" customFormat="1" ht="17.25" customHeight="1" x14ac:dyDescent="0.35">
      <c r="A564" s="128" t="s">
        <v>617</v>
      </c>
      <c r="B564" s="129"/>
      <c r="C564" s="130"/>
      <c r="D564" s="130" t="s">
        <v>38</v>
      </c>
      <c r="E564" s="130">
        <v>1</v>
      </c>
      <c r="F564" s="130">
        <v>0</v>
      </c>
      <c r="G564" s="130"/>
      <c r="H564" s="119"/>
      <c r="I564" s="42"/>
    </row>
    <row r="565" spans="1:9" s="50" customFormat="1" ht="17.25" customHeight="1" x14ac:dyDescent="0.35">
      <c r="A565" s="128" t="s">
        <v>618</v>
      </c>
      <c r="B565" s="129"/>
      <c r="C565" s="130"/>
      <c r="D565" s="130" t="s">
        <v>38</v>
      </c>
      <c r="E565" s="130">
        <v>2</v>
      </c>
      <c r="F565" s="130">
        <v>2</v>
      </c>
      <c r="G565" s="130"/>
      <c r="H565" s="119"/>
      <c r="I565" s="42"/>
    </row>
    <row r="566" spans="1:9" s="50" customFormat="1" ht="17.25" customHeight="1" x14ac:dyDescent="0.35">
      <c r="A566" s="128" t="s">
        <v>619</v>
      </c>
      <c r="B566" s="129"/>
      <c r="C566" s="130"/>
      <c r="D566" s="130" t="s">
        <v>38</v>
      </c>
      <c r="E566" s="130">
        <v>2</v>
      </c>
      <c r="F566" s="130" t="s">
        <v>620</v>
      </c>
      <c r="G566" s="130"/>
      <c r="H566" s="119"/>
      <c r="I566" s="42"/>
    </row>
    <row r="567" spans="1:9" s="50" customFormat="1" ht="17.25" customHeight="1" x14ac:dyDescent="0.35">
      <c r="A567" s="128" t="s">
        <v>621</v>
      </c>
      <c r="B567" s="129"/>
      <c r="C567" s="130"/>
      <c r="D567" s="130" t="s">
        <v>38</v>
      </c>
      <c r="E567" s="130">
        <v>1</v>
      </c>
      <c r="F567" s="130" t="s">
        <v>622</v>
      </c>
      <c r="G567" s="130"/>
      <c r="H567" s="119"/>
      <c r="I567" s="42"/>
    </row>
    <row r="568" spans="1:9" s="50" customFormat="1" ht="17.25" customHeight="1" x14ac:dyDescent="0.35">
      <c r="A568" s="128" t="s">
        <v>623</v>
      </c>
      <c r="B568" s="129"/>
      <c r="C568" s="130"/>
      <c r="D568" s="130" t="s">
        <v>38</v>
      </c>
      <c r="E568" s="130">
        <v>2</v>
      </c>
      <c r="F568" s="130">
        <v>4</v>
      </c>
      <c r="G568" s="130"/>
      <c r="H568" s="119"/>
      <c r="I568" s="42"/>
    </row>
    <row r="569" spans="1:9" ht="17.25" customHeight="1" x14ac:dyDescent="0.35">
      <c r="A569" s="131" t="s">
        <v>624</v>
      </c>
      <c r="B569" s="132"/>
      <c r="C569" s="133"/>
      <c r="D569" s="133" t="s">
        <v>38</v>
      </c>
      <c r="E569" s="133">
        <f>F568</f>
        <v>4</v>
      </c>
      <c r="F569" s="133" t="s">
        <v>899</v>
      </c>
      <c r="G569" s="133"/>
      <c r="H569" s="120"/>
    </row>
    <row r="570" spans="1:9" ht="17.25" x14ac:dyDescent="0.35">
      <c r="A570" s="128" t="s">
        <v>625</v>
      </c>
      <c r="B570" s="129"/>
      <c r="C570" s="130"/>
      <c r="D570" s="130" t="s">
        <v>38</v>
      </c>
      <c r="E570" s="130">
        <v>1</v>
      </c>
      <c r="F570" s="130" t="s">
        <v>111</v>
      </c>
      <c r="G570" s="130"/>
      <c r="H570" s="119"/>
    </row>
    <row r="571" spans="1:9" ht="17.25" x14ac:dyDescent="0.35">
      <c r="A571" s="134" t="s">
        <v>626</v>
      </c>
      <c r="B571" s="135"/>
      <c r="C571" s="123"/>
      <c r="D571" s="123" t="s">
        <v>38</v>
      </c>
      <c r="E571" s="123">
        <v>2</v>
      </c>
      <c r="F571" s="123">
        <f>LEN(F572)</f>
        <v>20</v>
      </c>
      <c r="G571" s="123"/>
      <c r="H571" s="121"/>
    </row>
    <row r="572" spans="1:9" ht="17.25" x14ac:dyDescent="0.35">
      <c r="A572" s="134" t="s">
        <v>627</v>
      </c>
      <c r="B572" s="135"/>
      <c r="C572" s="123"/>
      <c r="D572" s="123" t="s">
        <v>32</v>
      </c>
      <c r="E572" s="123">
        <f>F571</f>
        <v>20</v>
      </c>
      <c r="F572" s="123" t="s">
        <v>628</v>
      </c>
      <c r="G572" s="123"/>
      <c r="H572" s="121" t="s">
        <v>629</v>
      </c>
    </row>
    <row r="573" spans="1:9" ht="17.25" x14ac:dyDescent="0.35">
      <c r="A573" s="128" t="s">
        <v>630</v>
      </c>
      <c r="B573" s="129"/>
      <c r="C573" s="130"/>
      <c r="D573" s="130" t="s">
        <v>38</v>
      </c>
      <c r="E573" s="130">
        <v>1</v>
      </c>
      <c r="F573" s="130" t="s">
        <v>631</v>
      </c>
      <c r="G573" s="130"/>
      <c r="H573" s="119"/>
    </row>
    <row r="574" spans="1:9" ht="17.25" x14ac:dyDescent="0.35">
      <c r="A574" s="128" t="s">
        <v>632</v>
      </c>
      <c r="B574" s="129"/>
      <c r="C574" s="130"/>
      <c r="D574" s="130" t="s">
        <v>38</v>
      </c>
      <c r="E574" s="130">
        <v>2</v>
      </c>
      <c r="F574" s="130">
        <f>SUM(E575:E576)+E577*F576</f>
        <v>6</v>
      </c>
      <c r="G574" s="130"/>
      <c r="H574" s="119"/>
    </row>
    <row r="575" spans="1:9" ht="17.25" x14ac:dyDescent="0.35">
      <c r="A575" s="128" t="s">
        <v>633</v>
      </c>
      <c r="B575" s="129"/>
      <c r="C575" s="130"/>
      <c r="D575" s="130" t="s">
        <v>38</v>
      </c>
      <c r="E575" s="130">
        <v>1</v>
      </c>
      <c r="F575" s="130">
        <v>0</v>
      </c>
      <c r="G575" s="130"/>
      <c r="H575" s="119"/>
    </row>
    <row r="576" spans="1:9" ht="17.25" x14ac:dyDescent="0.35">
      <c r="A576" s="128" t="s">
        <v>634</v>
      </c>
      <c r="B576" s="129"/>
      <c r="C576" s="130"/>
      <c r="D576" s="130" t="s">
        <v>38</v>
      </c>
      <c r="E576" s="130">
        <v>1</v>
      </c>
      <c r="F576" s="130">
        <f>LEN(F577)-LEN(SUBSTITUTE(F577,",",""))+1</f>
        <v>1</v>
      </c>
      <c r="G576" s="130"/>
      <c r="H576" s="119"/>
    </row>
    <row r="577" spans="1:8" ht="17.25" x14ac:dyDescent="0.35">
      <c r="A577" s="128" t="s">
        <v>635</v>
      </c>
      <c r="B577" s="129"/>
      <c r="C577" s="130"/>
      <c r="D577" s="130" t="s">
        <v>636</v>
      </c>
      <c r="E577" s="130">
        <v>4</v>
      </c>
      <c r="F577" s="130" t="s">
        <v>637</v>
      </c>
      <c r="G577" s="130"/>
      <c r="H577" s="119"/>
    </row>
    <row r="578" spans="1:8" ht="17.25" x14ac:dyDescent="0.35">
      <c r="A578" s="128" t="s">
        <v>638</v>
      </c>
      <c r="B578" s="129"/>
      <c r="C578" s="130"/>
      <c r="D578" s="130" t="s">
        <v>38</v>
      </c>
      <c r="E578" s="130">
        <v>1</v>
      </c>
      <c r="F578" s="130" t="s">
        <v>639</v>
      </c>
      <c r="G578" s="130"/>
      <c r="H578" s="119"/>
    </row>
    <row r="579" spans="1:8" ht="17.25" x14ac:dyDescent="0.35">
      <c r="A579" s="136" t="s">
        <v>640</v>
      </c>
      <c r="B579" s="137"/>
      <c r="C579" s="138"/>
      <c r="D579" s="138" t="s">
        <v>38</v>
      </c>
      <c r="E579" s="138">
        <v>2</v>
      </c>
      <c r="F579" s="138">
        <v>4</v>
      </c>
      <c r="G579" s="138"/>
      <c r="H579" s="122"/>
    </row>
    <row r="580" spans="1:8" ht="17.25" x14ac:dyDescent="0.35">
      <c r="A580" s="131" t="s">
        <v>641</v>
      </c>
      <c r="B580" s="132"/>
      <c r="C580" s="133"/>
      <c r="D580" s="133" t="s">
        <v>38</v>
      </c>
      <c r="E580" s="133">
        <v>4</v>
      </c>
      <c r="F580" s="133" t="str">
        <f>$F$569</f>
        <v>0x05012509</v>
      </c>
      <c r="G580" s="133"/>
      <c r="H580" s="120"/>
    </row>
    <row r="581" spans="1:8" ht="17.25" x14ac:dyDescent="0.35">
      <c r="A581" s="142" t="s">
        <v>727</v>
      </c>
      <c r="B581" s="139"/>
      <c r="C581" s="123"/>
      <c r="D581" s="123" t="s">
        <v>38</v>
      </c>
      <c r="E581" s="123">
        <v>1</v>
      </c>
      <c r="F581" s="123" t="s">
        <v>76</v>
      </c>
      <c r="G581" s="123"/>
      <c r="H581" s="143"/>
    </row>
    <row r="582" spans="1:8" ht="17.25" x14ac:dyDescent="0.35">
      <c r="A582" s="142" t="s">
        <v>728</v>
      </c>
      <c r="B582" s="139"/>
      <c r="C582" s="123"/>
      <c r="D582" s="123" t="s">
        <v>38</v>
      </c>
      <c r="E582" s="123">
        <v>2</v>
      </c>
      <c r="F582" s="140">
        <f>2+F584*E585*2</f>
        <v>6</v>
      </c>
      <c r="G582" s="123"/>
      <c r="H582" s="143"/>
    </row>
    <row r="583" spans="1:8" ht="17.25" x14ac:dyDescent="0.35">
      <c r="A583" s="142" t="s">
        <v>729</v>
      </c>
      <c r="B583" s="139"/>
      <c r="C583" s="123"/>
      <c r="D583" s="123" t="s">
        <v>38</v>
      </c>
      <c r="E583" s="123">
        <v>1</v>
      </c>
      <c r="F583" s="123">
        <v>0</v>
      </c>
      <c r="G583" s="123"/>
      <c r="H583" s="143" t="s">
        <v>730</v>
      </c>
    </row>
    <row r="584" spans="1:8" ht="17.25" x14ac:dyDescent="0.35">
      <c r="A584" s="142" t="s">
        <v>731</v>
      </c>
      <c r="B584" s="139"/>
      <c r="C584" s="123"/>
      <c r="D584" s="123" t="s">
        <v>38</v>
      </c>
      <c r="E584" s="123">
        <v>1</v>
      </c>
      <c r="F584" s="140">
        <f>SUM(LEN(F585)-LEN(SUBSTITUTE(F585,"-","")))</f>
        <v>1</v>
      </c>
      <c r="G584" s="123"/>
      <c r="H584" s="143" t="s">
        <v>732</v>
      </c>
    </row>
    <row r="585" spans="1:8" ht="17.25" x14ac:dyDescent="0.35">
      <c r="A585" s="142" t="s">
        <v>733</v>
      </c>
      <c r="B585" s="139"/>
      <c r="C585" s="123"/>
      <c r="D585" s="123" t="s">
        <v>636</v>
      </c>
      <c r="E585" s="123">
        <v>2</v>
      </c>
      <c r="F585" s="123" t="s">
        <v>734</v>
      </c>
      <c r="G585" s="123"/>
      <c r="H585" s="143"/>
    </row>
    <row r="586" spans="1:8" ht="17.25" x14ac:dyDescent="0.35">
      <c r="A586" s="144" t="s">
        <v>720</v>
      </c>
      <c r="B586" s="124"/>
      <c r="C586" s="141"/>
      <c r="D586" s="141" t="s">
        <v>38</v>
      </c>
      <c r="E586" s="141">
        <v>1</v>
      </c>
      <c r="F586" s="117" t="s">
        <v>721</v>
      </c>
      <c r="G586" s="141"/>
      <c r="H586" s="145"/>
    </row>
    <row r="587" spans="1:8" ht="17.25" x14ac:dyDescent="0.35">
      <c r="A587" s="144" t="s">
        <v>722</v>
      </c>
      <c r="B587" s="124"/>
      <c r="C587" s="141"/>
      <c r="D587" s="141" t="s">
        <v>38</v>
      </c>
      <c r="E587" s="141">
        <v>2</v>
      </c>
      <c r="F587" s="117">
        <v>4</v>
      </c>
      <c r="G587" s="141"/>
      <c r="H587" s="145"/>
    </row>
    <row r="588" spans="1:8" ht="138.75" thickBot="1" x14ac:dyDescent="0.4">
      <c r="A588" s="146" t="s">
        <v>723</v>
      </c>
      <c r="B588" s="147"/>
      <c r="C588" s="148"/>
      <c r="D588" s="148" t="s">
        <v>38</v>
      </c>
      <c r="E588" s="148">
        <v>4</v>
      </c>
      <c r="F588" s="149" t="s">
        <v>724</v>
      </c>
      <c r="G588" s="148"/>
      <c r="H588" s="150" t="s">
        <v>725</v>
      </c>
    </row>
  </sheetData>
  <mergeCells count="3">
    <mergeCell ref="A2:I2"/>
    <mergeCell ref="A4:H4"/>
    <mergeCell ref="A561:H561"/>
  </mergeCells>
  <conditionalFormatting sqref="B589:B1048576 B560:B585 B1:B13 B72:B79 B22:B31">
    <cfRule type="duplicateValues" dxfId="15" priority="16"/>
  </conditionalFormatting>
  <conditionalFormatting sqref="B546">
    <cfRule type="duplicateValues" dxfId="14" priority="14"/>
  </conditionalFormatting>
  <conditionalFormatting sqref="B551:B552">
    <cfRule type="duplicateValues" dxfId="13" priority="13"/>
  </conditionalFormatting>
  <conditionalFormatting sqref="B211:B216">
    <cfRule type="duplicateValues" dxfId="12" priority="12"/>
  </conditionalFormatting>
  <conditionalFormatting sqref="B211:B216">
    <cfRule type="containsText" dxfId="11" priority="11" operator="containsText" text="/ims/">
      <formula>NOT(ISERROR(SEARCH("/ims/",B211)))</formula>
    </cfRule>
  </conditionalFormatting>
  <conditionalFormatting sqref="B211:B216">
    <cfRule type="duplicateValues" dxfId="10" priority="10"/>
  </conditionalFormatting>
  <conditionalFormatting sqref="B285">
    <cfRule type="duplicateValues" dxfId="9" priority="9"/>
  </conditionalFormatting>
  <conditionalFormatting sqref="B285">
    <cfRule type="containsText" dxfId="8" priority="8" operator="containsText" text="/ims/">
      <formula>NOT(ISERROR(SEARCH("/ims/",B285)))</formula>
    </cfRule>
  </conditionalFormatting>
  <conditionalFormatting sqref="B285">
    <cfRule type="duplicateValues" dxfId="7" priority="7"/>
  </conditionalFormatting>
  <conditionalFormatting sqref="B139:B140">
    <cfRule type="duplicateValues" dxfId="6" priority="3"/>
  </conditionalFormatting>
  <conditionalFormatting sqref="B139:B140">
    <cfRule type="containsText" dxfId="5" priority="2" operator="containsText" text="/ims/">
      <formula>NOT(ISERROR(SEARCH("/ims/",B139)))</formula>
    </cfRule>
  </conditionalFormatting>
  <conditionalFormatting sqref="B139:B140">
    <cfRule type="duplicateValues" dxfId="4" priority="1"/>
  </conditionalFormatting>
  <conditionalFormatting sqref="B32:B71">
    <cfRule type="duplicateValues" dxfId="3" priority="34"/>
  </conditionalFormatting>
  <conditionalFormatting sqref="B553:B559 B217:B284 B286:B545 B141:B210 B80:B112 B123:B138">
    <cfRule type="duplicateValues" dxfId="2" priority="39"/>
  </conditionalFormatting>
  <hyperlinks>
    <hyperlink ref="F311" r:id="rId1" display="sip:ADHOC@ims.mnc009.mcc510.3gppnetwork.org"/>
  </hyperlinks>
  <pageMargins left="0.75" right="0.75" top="1" bottom="1" header="0.5" footer="0.5"/>
  <pageSetup orientation="portrait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A1:I632"/>
  <sheetViews>
    <sheetView topLeftCell="C603" zoomScale="86" zoomScaleNormal="86" workbookViewId="0">
      <selection activeCell="F613" sqref="F613"/>
    </sheetView>
  </sheetViews>
  <sheetFormatPr defaultColWidth="11.42578125" defaultRowHeight="12.75" x14ac:dyDescent="0.2"/>
  <cols>
    <col min="1" max="1" width="32.42578125" style="42" customWidth="1"/>
    <col min="2" max="2" width="75.85546875" style="42" customWidth="1"/>
    <col min="3" max="3" width="12.140625" style="42" customWidth="1"/>
    <col min="4" max="4" width="8.28515625" style="42" customWidth="1"/>
    <col min="5" max="5" width="18.7109375" style="42" customWidth="1"/>
    <col min="6" max="6" width="63.28515625" style="43" bestFit="1" customWidth="1"/>
    <col min="7" max="7" width="12" style="42" customWidth="1"/>
    <col min="8" max="8" width="79.85546875" style="203" customWidth="1"/>
    <col min="9" max="9" width="44.28515625" style="42" customWidth="1"/>
    <col min="10" max="10" width="22.42578125" style="42" bestFit="1" customWidth="1"/>
    <col min="11" max="16384" width="11.42578125" style="42"/>
  </cols>
  <sheetData>
    <row r="1" spans="1:9" s="50" customFormat="1" x14ac:dyDescent="0.2">
      <c r="A1" s="42"/>
      <c r="F1" s="41"/>
      <c r="H1" s="153"/>
    </row>
    <row r="2" spans="1:9" s="151" customFormat="1" ht="27.75" customHeight="1" x14ac:dyDescent="0.55000000000000004">
      <c r="A2" s="209" t="s">
        <v>735</v>
      </c>
      <c r="B2" s="210"/>
      <c r="C2" s="210"/>
      <c r="D2" s="210"/>
      <c r="E2" s="210"/>
      <c r="F2" s="210"/>
      <c r="G2" s="210"/>
      <c r="H2" s="210"/>
      <c r="I2" s="210"/>
    </row>
    <row r="3" spans="1:9" s="50" customFormat="1" ht="13.5" customHeight="1" thickBot="1" x14ac:dyDescent="0.25">
      <c r="F3" s="41"/>
      <c r="H3" s="153"/>
    </row>
    <row r="4" spans="1:9" s="152" customFormat="1" ht="20.25" customHeight="1" thickBot="1" x14ac:dyDescent="0.45">
      <c r="A4" s="211" t="s">
        <v>19</v>
      </c>
      <c r="B4" s="217"/>
      <c r="C4" s="217"/>
      <c r="D4" s="217"/>
      <c r="E4" s="217"/>
      <c r="F4" s="217"/>
      <c r="G4" s="217"/>
      <c r="H4" s="218"/>
    </row>
    <row r="5" spans="1:9" s="31" customFormat="1" ht="15.75" customHeight="1" thickBot="1" x14ac:dyDescent="0.35">
      <c r="A5" s="30" t="s">
        <v>20</v>
      </c>
      <c r="B5" s="34" t="s">
        <v>21</v>
      </c>
      <c r="C5" s="30" t="s">
        <v>22</v>
      </c>
      <c r="D5" s="30" t="s">
        <v>23</v>
      </c>
      <c r="E5" s="30" t="s">
        <v>24</v>
      </c>
      <c r="F5" s="30" t="s">
        <v>25</v>
      </c>
      <c r="G5" s="33" t="s">
        <v>26</v>
      </c>
      <c r="H5" s="154" t="s">
        <v>27</v>
      </c>
    </row>
    <row r="6" spans="1:9" s="46" customFormat="1" ht="17.25" customHeight="1" x14ac:dyDescent="0.35">
      <c r="A6" s="155" t="s">
        <v>28</v>
      </c>
      <c r="B6" s="156">
        <v>71</v>
      </c>
      <c r="C6" s="156"/>
      <c r="D6" s="156"/>
      <c r="E6" s="157" t="s">
        <v>29</v>
      </c>
      <c r="F6" s="156"/>
      <c r="G6" s="156" t="s">
        <v>30</v>
      </c>
      <c r="H6" s="90" t="s">
        <v>31</v>
      </c>
      <c r="I6" s="53"/>
    </row>
    <row r="7" spans="1:9" s="46" customFormat="1" ht="17.25" customHeight="1" x14ac:dyDescent="0.35">
      <c r="A7" s="158"/>
      <c r="B7" s="159"/>
      <c r="C7" s="159" t="s">
        <v>32</v>
      </c>
      <c r="D7" s="159">
        <v>13</v>
      </c>
      <c r="E7" s="160" t="s">
        <v>33</v>
      </c>
      <c r="F7" s="159" t="s">
        <v>736</v>
      </c>
      <c r="G7" s="159"/>
      <c r="H7" s="84" t="s">
        <v>34</v>
      </c>
      <c r="I7" s="53"/>
    </row>
    <row r="8" spans="1:9" s="50" customFormat="1" ht="17.25" customHeight="1" x14ac:dyDescent="0.35">
      <c r="A8" s="158" t="s">
        <v>35</v>
      </c>
      <c r="B8" s="159">
        <v>285</v>
      </c>
      <c r="C8" s="159"/>
      <c r="D8" s="159"/>
      <c r="E8" s="160" t="s">
        <v>36</v>
      </c>
      <c r="F8" s="159"/>
      <c r="G8" s="159" t="s">
        <v>37</v>
      </c>
      <c r="H8" s="84"/>
      <c r="I8" s="54"/>
    </row>
    <row r="9" spans="1:9" s="50" customFormat="1" ht="17.25" customHeight="1" x14ac:dyDescent="0.35">
      <c r="A9" s="158"/>
      <c r="B9" s="159"/>
      <c r="C9" s="159" t="s">
        <v>38</v>
      </c>
      <c r="D9" s="159">
        <v>1</v>
      </c>
      <c r="E9" s="160" t="s">
        <v>39</v>
      </c>
      <c r="F9" s="159">
        <v>0</v>
      </c>
      <c r="G9" s="159"/>
      <c r="H9" s="84"/>
      <c r="I9" s="54"/>
    </row>
    <row r="10" spans="1:9" s="50" customFormat="1" ht="17.25" customHeight="1" x14ac:dyDescent="0.35">
      <c r="A10" s="91"/>
      <c r="B10" s="159"/>
      <c r="C10" s="159" t="s">
        <v>38</v>
      </c>
      <c r="D10" s="159">
        <v>1</v>
      </c>
      <c r="E10" s="160" t="s">
        <v>40</v>
      </c>
      <c r="F10" s="159">
        <v>1</v>
      </c>
      <c r="G10" s="159"/>
      <c r="H10" s="84"/>
      <c r="I10" s="54"/>
    </row>
    <row r="11" spans="1:9" s="50" customFormat="1" ht="17.25" customHeight="1" x14ac:dyDescent="0.35">
      <c r="A11" s="91"/>
      <c r="B11" s="159"/>
      <c r="C11" s="159" t="s">
        <v>38</v>
      </c>
      <c r="D11" s="159">
        <v>2</v>
      </c>
      <c r="E11" s="160" t="s">
        <v>41</v>
      </c>
      <c r="F11" s="159">
        <v>3</v>
      </c>
      <c r="G11" s="159"/>
      <c r="H11" s="84"/>
      <c r="I11" s="54"/>
    </row>
    <row r="12" spans="1:9" s="50" customFormat="1" ht="17.25" customHeight="1" x14ac:dyDescent="0.35">
      <c r="A12" s="91"/>
      <c r="B12" s="159"/>
      <c r="C12" s="159" t="s">
        <v>38</v>
      </c>
      <c r="D12" s="159">
        <v>2</v>
      </c>
      <c r="E12" s="160" t="s">
        <v>42</v>
      </c>
      <c r="F12" s="159">
        <v>3</v>
      </c>
      <c r="G12" s="159"/>
      <c r="H12" s="84"/>
      <c r="I12" s="54"/>
    </row>
    <row r="13" spans="1:9" s="50" customFormat="1" ht="17.25" customHeight="1" x14ac:dyDescent="0.35">
      <c r="A13" s="91" t="s">
        <v>668</v>
      </c>
      <c r="B13" s="161">
        <v>818</v>
      </c>
      <c r="C13" s="159" t="s">
        <v>38</v>
      </c>
      <c r="D13" s="159">
        <v>1</v>
      </c>
      <c r="E13" s="160" t="s">
        <v>667</v>
      </c>
      <c r="F13" s="159">
        <v>0</v>
      </c>
      <c r="G13" s="159" t="s">
        <v>30</v>
      </c>
      <c r="H13" s="84"/>
      <c r="I13" s="54"/>
    </row>
    <row r="14" spans="1:9" s="50" customFormat="1" ht="17.25" customHeight="1" x14ac:dyDescent="0.35">
      <c r="A14" s="91" t="s">
        <v>669</v>
      </c>
      <c r="B14" s="161">
        <v>1018</v>
      </c>
      <c r="C14" s="159" t="s">
        <v>38</v>
      </c>
      <c r="D14" s="159">
        <v>1</v>
      </c>
      <c r="E14" s="160" t="s">
        <v>670</v>
      </c>
      <c r="F14" s="159">
        <v>0</v>
      </c>
      <c r="G14" s="159" t="s">
        <v>30</v>
      </c>
      <c r="H14" s="84"/>
      <c r="I14" s="54"/>
    </row>
    <row r="15" spans="1:9" s="50" customFormat="1" ht="17.25" customHeight="1" x14ac:dyDescent="0.35">
      <c r="A15" s="91" t="s">
        <v>671</v>
      </c>
      <c r="B15" s="161">
        <v>6862</v>
      </c>
      <c r="C15" s="159" t="s">
        <v>38</v>
      </c>
      <c r="D15" s="159">
        <v>1</v>
      </c>
      <c r="E15" s="160" t="s">
        <v>672</v>
      </c>
      <c r="F15" s="159">
        <v>1</v>
      </c>
      <c r="G15" s="159" t="s">
        <v>30</v>
      </c>
      <c r="H15" s="84"/>
      <c r="I15" s="54"/>
    </row>
    <row r="16" spans="1:9" s="50" customFormat="1" ht="17.25" customHeight="1" x14ac:dyDescent="0.35">
      <c r="A16" s="91" t="s">
        <v>673</v>
      </c>
      <c r="B16" s="161">
        <v>6832</v>
      </c>
      <c r="C16" s="159" t="s">
        <v>38</v>
      </c>
      <c r="D16" s="159">
        <v>1</v>
      </c>
      <c r="E16" s="82" t="s">
        <v>674</v>
      </c>
      <c r="F16" s="159">
        <v>0</v>
      </c>
      <c r="G16" s="159" t="s">
        <v>30</v>
      </c>
      <c r="H16" s="84"/>
      <c r="I16" s="54"/>
    </row>
    <row r="17" spans="1:9" s="50" customFormat="1" ht="17.25" customHeight="1" x14ac:dyDescent="0.35">
      <c r="A17" s="91" t="s">
        <v>675</v>
      </c>
      <c r="B17" s="161">
        <v>4528</v>
      </c>
      <c r="C17" s="159" t="s">
        <v>38</v>
      </c>
      <c r="D17" s="159">
        <v>1</v>
      </c>
      <c r="E17" s="82" t="s">
        <v>676</v>
      </c>
      <c r="F17" s="159">
        <v>1</v>
      </c>
      <c r="G17" s="159" t="s">
        <v>30</v>
      </c>
      <c r="H17" s="84"/>
      <c r="I17" s="54"/>
    </row>
    <row r="18" spans="1:9" s="50" customFormat="1" ht="17.25" customHeight="1" x14ac:dyDescent="0.35">
      <c r="A18" s="91" t="s">
        <v>681</v>
      </c>
      <c r="B18" s="161">
        <v>4204</v>
      </c>
      <c r="C18" s="159" t="s">
        <v>38</v>
      </c>
      <c r="D18" s="159">
        <v>1</v>
      </c>
      <c r="E18" s="82" t="s">
        <v>682</v>
      </c>
      <c r="F18" s="159">
        <v>0</v>
      </c>
      <c r="G18" s="159" t="s">
        <v>30</v>
      </c>
      <c r="H18" s="84"/>
      <c r="I18" s="54"/>
    </row>
    <row r="19" spans="1:9" s="50" customFormat="1" ht="17.25" customHeight="1" x14ac:dyDescent="0.35">
      <c r="A19" s="91" t="s">
        <v>680</v>
      </c>
      <c r="B19" s="161">
        <v>4964</v>
      </c>
      <c r="C19" s="159" t="s">
        <v>38</v>
      </c>
      <c r="D19" s="159">
        <v>2</v>
      </c>
      <c r="E19" s="82" t="s">
        <v>679</v>
      </c>
      <c r="F19" s="159">
        <v>4</v>
      </c>
      <c r="G19" s="159" t="s">
        <v>30</v>
      </c>
      <c r="H19" s="84"/>
      <c r="I19" s="54"/>
    </row>
    <row r="20" spans="1:9" s="50" customFormat="1" ht="17.25" customHeight="1" x14ac:dyDescent="0.35">
      <c r="A20" s="91" t="s">
        <v>677</v>
      </c>
      <c r="B20" s="161">
        <v>6248</v>
      </c>
      <c r="C20" s="159" t="s">
        <v>38</v>
      </c>
      <c r="D20" s="159">
        <v>1</v>
      </c>
      <c r="E20" s="82" t="s">
        <v>678</v>
      </c>
      <c r="F20" s="159">
        <v>1</v>
      </c>
      <c r="G20" s="159" t="s">
        <v>30</v>
      </c>
      <c r="H20" s="84"/>
      <c r="I20" s="54"/>
    </row>
    <row r="21" spans="1:9" s="162" customFormat="1" ht="17.25" customHeight="1" x14ac:dyDescent="0.35">
      <c r="A21" s="91"/>
      <c r="B21" s="85"/>
      <c r="C21" s="85" t="s">
        <v>38</v>
      </c>
      <c r="D21" s="85">
        <v>2</v>
      </c>
      <c r="E21" s="82" t="s">
        <v>43</v>
      </c>
      <c r="F21" s="85">
        <v>3</v>
      </c>
      <c r="G21" s="85"/>
      <c r="H21" s="84"/>
      <c r="I21" s="73"/>
    </row>
    <row r="22" spans="1:9" s="163" customFormat="1" ht="17.25" customHeight="1" x14ac:dyDescent="0.35">
      <c r="A22" s="91" t="s">
        <v>44</v>
      </c>
      <c r="B22" s="85">
        <v>4102</v>
      </c>
      <c r="C22" s="85" t="s">
        <v>38</v>
      </c>
      <c r="D22" s="85">
        <v>1</v>
      </c>
      <c r="E22" s="82" t="s">
        <v>45</v>
      </c>
      <c r="F22" s="85">
        <v>1</v>
      </c>
      <c r="G22" s="85" t="s">
        <v>30</v>
      </c>
      <c r="H22" s="84"/>
      <c r="I22" s="72"/>
    </row>
    <row r="23" spans="1:9" s="163" customFormat="1" ht="17.25" customHeight="1" x14ac:dyDescent="0.35">
      <c r="A23" s="91" t="s">
        <v>46</v>
      </c>
      <c r="B23" s="85">
        <v>7166</v>
      </c>
      <c r="C23" s="85" t="s">
        <v>38</v>
      </c>
      <c r="D23" s="85">
        <v>1</v>
      </c>
      <c r="E23" s="82" t="s">
        <v>47</v>
      </c>
      <c r="F23" s="85">
        <v>1</v>
      </c>
      <c r="G23" s="85" t="s">
        <v>30</v>
      </c>
      <c r="H23" s="84"/>
      <c r="I23" s="72"/>
    </row>
    <row r="24" spans="1:9" s="163" customFormat="1" ht="51.75" customHeight="1" x14ac:dyDescent="0.35">
      <c r="A24" s="91" t="s">
        <v>48</v>
      </c>
      <c r="B24" s="85">
        <v>1030</v>
      </c>
      <c r="C24" s="85" t="s">
        <v>38</v>
      </c>
      <c r="D24" s="85">
        <v>1</v>
      </c>
      <c r="E24" s="82" t="s">
        <v>49</v>
      </c>
      <c r="F24" s="85" t="s">
        <v>50</v>
      </c>
      <c r="G24" s="85" t="s">
        <v>30</v>
      </c>
      <c r="H24" s="84" t="s">
        <v>51</v>
      </c>
      <c r="I24" s="72"/>
    </row>
    <row r="25" spans="1:9" s="163" customFormat="1" ht="51.75" customHeight="1" x14ac:dyDescent="0.35">
      <c r="A25" s="91" t="s">
        <v>52</v>
      </c>
      <c r="B25" s="85">
        <v>1031</v>
      </c>
      <c r="C25" s="85" t="s">
        <v>38</v>
      </c>
      <c r="D25" s="85">
        <v>1</v>
      </c>
      <c r="E25" s="82" t="s">
        <v>53</v>
      </c>
      <c r="F25" s="85" t="s">
        <v>50</v>
      </c>
      <c r="G25" s="85" t="s">
        <v>30</v>
      </c>
      <c r="H25" s="84" t="s">
        <v>54</v>
      </c>
      <c r="I25" s="72"/>
    </row>
    <row r="26" spans="1:9" s="163" customFormat="1" ht="17.25" customHeight="1" x14ac:dyDescent="0.35">
      <c r="A26" s="91" t="s">
        <v>55</v>
      </c>
      <c r="B26" s="85">
        <v>4627</v>
      </c>
      <c r="C26" s="85" t="s">
        <v>38</v>
      </c>
      <c r="D26" s="85">
        <v>1</v>
      </c>
      <c r="E26" s="82" t="s">
        <v>56</v>
      </c>
      <c r="F26" s="85">
        <v>1</v>
      </c>
      <c r="G26" s="85" t="s">
        <v>30</v>
      </c>
      <c r="H26" s="84" t="s">
        <v>55</v>
      </c>
      <c r="I26" s="72"/>
    </row>
    <row r="27" spans="1:9" s="163" customFormat="1" ht="17.25" customHeight="1" x14ac:dyDescent="0.35">
      <c r="A27" s="91" t="s">
        <v>57</v>
      </c>
      <c r="B27" s="85">
        <v>4628</v>
      </c>
      <c r="C27" s="85" t="s">
        <v>38</v>
      </c>
      <c r="D27" s="85">
        <v>2</v>
      </c>
      <c r="E27" s="82" t="s">
        <v>58</v>
      </c>
      <c r="F27" s="85">
        <v>72</v>
      </c>
      <c r="G27" s="85" t="s">
        <v>30</v>
      </c>
      <c r="H27" s="84" t="s">
        <v>57</v>
      </c>
      <c r="I27" s="72"/>
    </row>
    <row r="28" spans="1:9" s="163" customFormat="1" ht="17.25" customHeight="1" x14ac:dyDescent="0.35">
      <c r="A28" s="91" t="s">
        <v>59</v>
      </c>
      <c r="B28" s="85">
        <v>4631</v>
      </c>
      <c r="C28" s="85" t="s">
        <v>38</v>
      </c>
      <c r="D28" s="85">
        <v>1</v>
      </c>
      <c r="E28" s="82" t="s">
        <v>60</v>
      </c>
      <c r="F28" s="85">
        <v>1</v>
      </c>
      <c r="G28" s="85" t="s">
        <v>30</v>
      </c>
      <c r="H28" s="84" t="s">
        <v>59</v>
      </c>
      <c r="I28" s="72"/>
    </row>
    <row r="29" spans="1:9" s="163" customFormat="1" ht="51.75" customHeight="1" x14ac:dyDescent="0.35">
      <c r="A29" s="91" t="s">
        <v>61</v>
      </c>
      <c r="B29" s="85">
        <v>1920</v>
      </c>
      <c r="C29" s="85" t="s">
        <v>38</v>
      </c>
      <c r="D29" s="85">
        <v>4</v>
      </c>
      <c r="E29" s="82" t="s">
        <v>62</v>
      </c>
      <c r="F29" s="85">
        <v>7</v>
      </c>
      <c r="G29" s="85" t="s">
        <v>30</v>
      </c>
      <c r="H29" s="84" t="s">
        <v>63</v>
      </c>
      <c r="I29" s="72"/>
    </row>
    <row r="30" spans="1:9" s="163" customFormat="1" ht="17.25" customHeight="1" x14ac:dyDescent="0.35">
      <c r="A30" s="91" t="s">
        <v>64</v>
      </c>
      <c r="B30" s="85">
        <v>240</v>
      </c>
      <c r="C30" s="85" t="s">
        <v>38</v>
      </c>
      <c r="D30" s="85">
        <v>1</v>
      </c>
      <c r="E30" s="82" t="s">
        <v>65</v>
      </c>
      <c r="F30" s="85">
        <v>0</v>
      </c>
      <c r="G30" s="85" t="s">
        <v>30</v>
      </c>
      <c r="H30" s="84" t="s">
        <v>66</v>
      </c>
      <c r="I30" s="72"/>
    </row>
    <row r="31" spans="1:9" s="163" customFormat="1" ht="17.25" customHeight="1" x14ac:dyDescent="0.35">
      <c r="A31" s="91" t="s">
        <v>67</v>
      </c>
      <c r="B31" s="85">
        <v>4960</v>
      </c>
      <c r="C31" s="85" t="s">
        <v>38</v>
      </c>
      <c r="D31" s="85">
        <v>1</v>
      </c>
      <c r="E31" s="82" t="s">
        <v>68</v>
      </c>
      <c r="F31" s="85">
        <v>1</v>
      </c>
      <c r="G31" s="85" t="s">
        <v>30</v>
      </c>
      <c r="H31" s="84"/>
      <c r="I31" s="72"/>
    </row>
    <row r="32" spans="1:9" s="162" customFormat="1" ht="17.25" customHeight="1" x14ac:dyDescent="0.35">
      <c r="A32" s="91" t="s">
        <v>69</v>
      </c>
      <c r="B32" s="85">
        <v>848</v>
      </c>
      <c r="C32" s="85"/>
      <c r="D32" s="85"/>
      <c r="E32" s="82"/>
      <c r="F32" s="85"/>
      <c r="G32" s="85" t="s">
        <v>37</v>
      </c>
      <c r="H32" s="93"/>
      <c r="I32" s="73"/>
    </row>
    <row r="33" spans="1:9" s="162" customFormat="1" ht="17.25" customHeight="1" x14ac:dyDescent="0.35">
      <c r="A33" s="91"/>
      <c r="B33" s="85"/>
      <c r="C33" s="85" t="s">
        <v>38</v>
      </c>
      <c r="D33" s="85">
        <v>1</v>
      </c>
      <c r="E33" s="82" t="s">
        <v>39</v>
      </c>
      <c r="F33" s="85">
        <v>0</v>
      </c>
      <c r="G33" s="85"/>
      <c r="H33" s="93"/>
      <c r="I33" s="73"/>
    </row>
    <row r="34" spans="1:9" s="162" customFormat="1" ht="47.25" customHeight="1" x14ac:dyDescent="0.35">
      <c r="A34" s="91"/>
      <c r="B34" s="85"/>
      <c r="C34" s="85" t="s">
        <v>38</v>
      </c>
      <c r="D34" s="85">
        <v>2</v>
      </c>
      <c r="E34" s="82" t="s">
        <v>70</v>
      </c>
      <c r="F34" s="85">
        <v>0</v>
      </c>
      <c r="G34" s="85"/>
      <c r="H34" s="93" t="s">
        <v>71</v>
      </c>
      <c r="I34" s="73"/>
    </row>
    <row r="35" spans="1:9" s="162" customFormat="1" ht="17.25" customHeight="1" x14ac:dyDescent="0.35">
      <c r="A35" s="91" t="s">
        <v>72</v>
      </c>
      <c r="B35" s="85">
        <v>849</v>
      </c>
      <c r="C35" s="85"/>
      <c r="D35" s="85"/>
      <c r="E35" s="82"/>
      <c r="F35" s="85"/>
      <c r="G35" s="85" t="s">
        <v>37</v>
      </c>
      <c r="H35" s="93"/>
      <c r="I35" s="73"/>
    </row>
    <row r="36" spans="1:9" s="162" customFormat="1" ht="17.25" customHeight="1" x14ac:dyDescent="0.35">
      <c r="A36" s="91"/>
      <c r="B36" s="85"/>
      <c r="C36" s="85" t="s">
        <v>38</v>
      </c>
      <c r="D36" s="85">
        <v>1</v>
      </c>
      <c r="E36" s="82" t="s">
        <v>39</v>
      </c>
      <c r="F36" s="85">
        <v>0</v>
      </c>
      <c r="G36" s="85"/>
      <c r="H36" s="93"/>
      <c r="I36" s="73"/>
    </row>
    <row r="37" spans="1:9" s="162" customFormat="1" ht="31.5" customHeight="1" x14ac:dyDescent="0.35">
      <c r="A37" s="91"/>
      <c r="B37" s="85"/>
      <c r="C37" s="85" t="s">
        <v>38</v>
      </c>
      <c r="D37" s="85">
        <v>2</v>
      </c>
      <c r="E37" s="82" t="s">
        <v>73</v>
      </c>
      <c r="F37" s="85">
        <v>0</v>
      </c>
      <c r="G37" s="85"/>
      <c r="H37" s="93" t="s">
        <v>74</v>
      </c>
      <c r="I37" s="73"/>
    </row>
    <row r="38" spans="1:9" s="162" customFormat="1" ht="17.25" customHeight="1" x14ac:dyDescent="0.35">
      <c r="A38" s="91" t="s">
        <v>78</v>
      </c>
      <c r="B38" s="85">
        <v>880</v>
      </c>
      <c r="C38" s="85" t="s">
        <v>38</v>
      </c>
      <c r="D38" s="85">
        <v>1</v>
      </c>
      <c r="E38" s="82" t="s">
        <v>79</v>
      </c>
      <c r="F38" s="85">
        <v>1</v>
      </c>
      <c r="G38" s="85" t="s">
        <v>30</v>
      </c>
      <c r="H38" s="93"/>
      <c r="I38" s="73"/>
    </row>
    <row r="39" spans="1:9" s="162" customFormat="1" ht="17.25" customHeight="1" x14ac:dyDescent="0.35">
      <c r="A39" s="91" t="s">
        <v>80</v>
      </c>
      <c r="B39" s="85">
        <v>881</v>
      </c>
      <c r="C39" s="85" t="s">
        <v>38</v>
      </c>
      <c r="D39" s="85">
        <v>1</v>
      </c>
      <c r="E39" s="82" t="s">
        <v>81</v>
      </c>
      <c r="F39" s="85">
        <v>1</v>
      </c>
      <c r="G39" s="85" t="s">
        <v>30</v>
      </c>
      <c r="H39" s="93"/>
      <c r="I39" s="73"/>
    </row>
    <row r="40" spans="1:9" s="162" customFormat="1" ht="17.25" customHeight="1" x14ac:dyDescent="0.35">
      <c r="A40" s="91" t="s">
        <v>82</v>
      </c>
      <c r="B40" s="85">
        <v>882</v>
      </c>
      <c r="C40" s="85" t="s">
        <v>38</v>
      </c>
      <c r="D40" s="85">
        <v>1</v>
      </c>
      <c r="E40" s="82" t="s">
        <v>83</v>
      </c>
      <c r="F40" s="85">
        <v>0</v>
      </c>
      <c r="G40" s="85" t="s">
        <v>30</v>
      </c>
      <c r="H40" s="93"/>
      <c r="I40" s="73"/>
    </row>
    <row r="41" spans="1:9" s="162" customFormat="1" ht="47.25" customHeight="1" x14ac:dyDescent="0.35">
      <c r="A41" s="91" t="s">
        <v>84</v>
      </c>
      <c r="B41" s="85">
        <v>909</v>
      </c>
      <c r="C41" s="85" t="s">
        <v>38</v>
      </c>
      <c r="D41" s="85">
        <v>1</v>
      </c>
      <c r="E41" s="82" t="s">
        <v>85</v>
      </c>
      <c r="F41" s="85">
        <v>2</v>
      </c>
      <c r="G41" s="85" t="s">
        <v>30</v>
      </c>
      <c r="H41" s="93" t="s">
        <v>86</v>
      </c>
      <c r="I41" s="73"/>
    </row>
    <row r="42" spans="1:9" s="162" customFormat="1" ht="47.25" customHeight="1" x14ac:dyDescent="0.35">
      <c r="A42" s="91" t="s">
        <v>87</v>
      </c>
      <c r="B42" s="85">
        <v>1016</v>
      </c>
      <c r="C42" s="85" t="s">
        <v>38</v>
      </c>
      <c r="D42" s="85">
        <v>1</v>
      </c>
      <c r="E42" s="82" t="s">
        <v>88</v>
      </c>
      <c r="F42" s="85">
        <v>1</v>
      </c>
      <c r="G42" s="85" t="s">
        <v>30</v>
      </c>
      <c r="H42" s="93" t="s">
        <v>89</v>
      </c>
      <c r="I42" s="73"/>
    </row>
    <row r="43" spans="1:9" s="162" customFormat="1" ht="47.25" customHeight="1" x14ac:dyDescent="0.35">
      <c r="A43" s="91" t="s">
        <v>90</v>
      </c>
      <c r="B43" s="85">
        <v>1017</v>
      </c>
      <c r="C43" s="85" t="s">
        <v>38</v>
      </c>
      <c r="D43" s="85">
        <v>1</v>
      </c>
      <c r="E43" s="82" t="s">
        <v>91</v>
      </c>
      <c r="F43" s="85">
        <v>2</v>
      </c>
      <c r="G43" s="85" t="s">
        <v>30</v>
      </c>
      <c r="H43" s="93" t="s">
        <v>92</v>
      </c>
      <c r="I43" s="73"/>
    </row>
    <row r="44" spans="1:9" s="162" customFormat="1" ht="17.25" customHeight="1" x14ac:dyDescent="0.35">
      <c r="A44" s="91" t="s">
        <v>93</v>
      </c>
      <c r="B44" s="85">
        <v>1918</v>
      </c>
      <c r="C44" s="85" t="s">
        <v>38</v>
      </c>
      <c r="D44" s="85">
        <v>4</v>
      </c>
      <c r="E44" s="82" t="s">
        <v>94</v>
      </c>
      <c r="F44" s="85">
        <v>64</v>
      </c>
      <c r="G44" s="85" t="s">
        <v>30</v>
      </c>
      <c r="H44" s="93"/>
      <c r="I44" s="73"/>
    </row>
    <row r="45" spans="1:9" s="162" customFormat="1" ht="31.5" customHeight="1" x14ac:dyDescent="0.35">
      <c r="A45" s="91" t="s">
        <v>61</v>
      </c>
      <c r="B45" s="85">
        <v>1920</v>
      </c>
      <c r="C45" s="85" t="s">
        <v>38</v>
      </c>
      <c r="D45" s="85">
        <v>4</v>
      </c>
      <c r="E45" s="82" t="s">
        <v>62</v>
      </c>
      <c r="F45" s="85" t="s">
        <v>95</v>
      </c>
      <c r="G45" s="85" t="s">
        <v>30</v>
      </c>
      <c r="H45" s="93" t="s">
        <v>63</v>
      </c>
      <c r="I45" s="73"/>
    </row>
    <row r="46" spans="1:9" s="162" customFormat="1" ht="17.25" customHeight="1" x14ac:dyDescent="0.35">
      <c r="A46" s="91" t="s">
        <v>96</v>
      </c>
      <c r="B46" s="85">
        <v>3006</v>
      </c>
      <c r="C46" s="85" t="s">
        <v>38</v>
      </c>
      <c r="D46" s="85">
        <v>2</v>
      </c>
      <c r="E46" s="82" t="s">
        <v>97</v>
      </c>
      <c r="F46" s="85">
        <v>23</v>
      </c>
      <c r="G46" s="85" t="s">
        <v>30</v>
      </c>
      <c r="H46" s="93"/>
      <c r="I46" s="73"/>
    </row>
    <row r="47" spans="1:9" s="162" customFormat="1" ht="17.25" customHeight="1" x14ac:dyDescent="0.35">
      <c r="A47" s="91" t="s">
        <v>98</v>
      </c>
      <c r="B47" s="85">
        <v>3532</v>
      </c>
      <c r="C47" s="85" t="s">
        <v>38</v>
      </c>
      <c r="D47" s="85">
        <v>1</v>
      </c>
      <c r="E47" s="82" t="s">
        <v>99</v>
      </c>
      <c r="F47" s="85">
        <v>180</v>
      </c>
      <c r="G47" s="85" t="s">
        <v>30</v>
      </c>
      <c r="H47" s="93" t="s">
        <v>31</v>
      </c>
      <c r="I47" s="73"/>
    </row>
    <row r="48" spans="1:9" s="162" customFormat="1" ht="17.25" customHeight="1" x14ac:dyDescent="0.35">
      <c r="A48" s="91" t="s">
        <v>100</v>
      </c>
      <c r="B48" s="85">
        <v>3533</v>
      </c>
      <c r="C48" s="85" t="s">
        <v>38</v>
      </c>
      <c r="D48" s="85">
        <v>1</v>
      </c>
      <c r="E48" s="82" t="s">
        <v>101</v>
      </c>
      <c r="F48" s="85">
        <v>45</v>
      </c>
      <c r="G48" s="85" t="s">
        <v>30</v>
      </c>
      <c r="H48" s="93" t="s">
        <v>31</v>
      </c>
      <c r="I48" s="73"/>
    </row>
    <row r="49" spans="1:9" s="162" customFormat="1" ht="17.25" customHeight="1" x14ac:dyDescent="0.35">
      <c r="A49" s="91" t="s">
        <v>102</v>
      </c>
      <c r="B49" s="85">
        <v>6850</v>
      </c>
      <c r="C49" s="85" t="s">
        <v>38</v>
      </c>
      <c r="D49" s="85">
        <v>1</v>
      </c>
      <c r="E49" s="82" t="s">
        <v>103</v>
      </c>
      <c r="F49" s="85">
        <v>5</v>
      </c>
      <c r="G49" s="85" t="s">
        <v>30</v>
      </c>
      <c r="H49" s="93"/>
      <c r="I49" s="73"/>
    </row>
    <row r="50" spans="1:9" s="163" customFormat="1" ht="69" customHeight="1" x14ac:dyDescent="0.35">
      <c r="A50" s="91" t="s">
        <v>104</v>
      </c>
      <c r="B50" s="85">
        <v>4722</v>
      </c>
      <c r="C50" s="85" t="s">
        <v>38</v>
      </c>
      <c r="D50" s="85">
        <v>1</v>
      </c>
      <c r="E50" s="82" t="s">
        <v>105</v>
      </c>
      <c r="F50" s="85">
        <v>3</v>
      </c>
      <c r="G50" s="85" t="s">
        <v>30</v>
      </c>
      <c r="H50" s="84" t="s">
        <v>106</v>
      </c>
      <c r="I50" s="72"/>
    </row>
    <row r="51" spans="1:9" s="162" customFormat="1" ht="17.25" customHeight="1" x14ac:dyDescent="0.35">
      <c r="A51" s="91" t="s">
        <v>107</v>
      </c>
      <c r="B51" s="85">
        <v>10</v>
      </c>
      <c r="C51" s="85"/>
      <c r="D51" s="85"/>
      <c r="E51" s="82" t="s">
        <v>108</v>
      </c>
      <c r="F51" s="85"/>
      <c r="G51" s="85" t="s">
        <v>714</v>
      </c>
      <c r="H51" s="93" t="s">
        <v>31</v>
      </c>
      <c r="I51" s="73"/>
    </row>
    <row r="52" spans="1:9" s="162" customFormat="1" ht="17.25" customHeight="1" x14ac:dyDescent="0.35">
      <c r="A52" s="91"/>
      <c r="B52" s="85"/>
      <c r="C52" s="85" t="s">
        <v>38</v>
      </c>
      <c r="D52" s="85">
        <v>1</v>
      </c>
      <c r="E52" s="82" t="s">
        <v>39</v>
      </c>
      <c r="F52" s="85">
        <v>0</v>
      </c>
      <c r="G52" s="85"/>
      <c r="H52" s="93"/>
      <c r="I52" s="73"/>
    </row>
    <row r="53" spans="1:9" s="162" customFormat="1" ht="17.25" customHeight="1" x14ac:dyDescent="0.35">
      <c r="A53" s="91"/>
      <c r="B53" s="85"/>
      <c r="C53" s="85" t="s">
        <v>38</v>
      </c>
      <c r="D53" s="85">
        <v>2</v>
      </c>
      <c r="E53" s="82" t="s">
        <v>109</v>
      </c>
      <c r="F53" s="85">
        <v>31</v>
      </c>
      <c r="G53" s="85"/>
      <c r="H53" s="93" t="s">
        <v>31</v>
      </c>
      <c r="I53" s="73"/>
    </row>
    <row r="54" spans="1:9" s="162" customFormat="1" ht="17.25" customHeight="1" x14ac:dyDescent="0.35">
      <c r="A54" s="91" t="s">
        <v>107</v>
      </c>
      <c r="B54" s="85">
        <v>10</v>
      </c>
      <c r="C54" s="85"/>
      <c r="D54" s="85"/>
      <c r="E54" s="82" t="s">
        <v>108</v>
      </c>
      <c r="F54" s="85"/>
      <c r="G54" s="85" t="s">
        <v>37</v>
      </c>
      <c r="H54" s="93" t="s">
        <v>31</v>
      </c>
      <c r="I54" s="73"/>
    </row>
    <row r="55" spans="1:9" s="162" customFormat="1" ht="17.25" customHeight="1" x14ac:dyDescent="0.35">
      <c r="A55" s="91"/>
      <c r="B55" s="85" t="s">
        <v>75</v>
      </c>
      <c r="C55" s="85" t="s">
        <v>38</v>
      </c>
      <c r="D55" s="85">
        <v>1</v>
      </c>
      <c r="E55" s="82"/>
      <c r="F55" s="85" t="s">
        <v>76</v>
      </c>
      <c r="G55" s="85"/>
      <c r="H55" s="84"/>
      <c r="I55" s="73"/>
    </row>
    <row r="56" spans="1:9" s="162" customFormat="1" ht="17.25" customHeight="1" x14ac:dyDescent="0.35">
      <c r="A56" s="91"/>
      <c r="B56" s="85"/>
      <c r="C56" s="85" t="s">
        <v>38</v>
      </c>
      <c r="D56" s="85">
        <v>1</v>
      </c>
      <c r="E56" s="82" t="s">
        <v>39</v>
      </c>
      <c r="F56" s="85">
        <v>0</v>
      </c>
      <c r="G56" s="85"/>
      <c r="H56" s="93"/>
      <c r="I56" s="73"/>
    </row>
    <row r="57" spans="1:9" s="163" customFormat="1" ht="17.25" customHeight="1" x14ac:dyDescent="0.35">
      <c r="A57" s="91"/>
      <c r="B57" s="85"/>
      <c r="C57" s="85" t="s">
        <v>38</v>
      </c>
      <c r="D57" s="85">
        <v>2</v>
      </c>
      <c r="E57" s="82" t="s">
        <v>109</v>
      </c>
      <c r="F57" s="85">
        <v>13</v>
      </c>
      <c r="G57" s="85"/>
      <c r="H57" s="93" t="s">
        <v>31</v>
      </c>
      <c r="I57" s="72"/>
    </row>
    <row r="58" spans="1:9" s="162" customFormat="1" ht="17.25" customHeight="1" x14ac:dyDescent="0.35">
      <c r="A58" s="91"/>
      <c r="B58" s="85"/>
      <c r="C58" s="85"/>
      <c r="D58" s="85"/>
      <c r="E58" s="82"/>
      <c r="F58" s="85"/>
      <c r="G58" s="85"/>
      <c r="H58" s="93"/>
      <c r="I58" s="73"/>
    </row>
    <row r="59" spans="1:9" s="162" customFormat="1" ht="17.25" customHeight="1" x14ac:dyDescent="0.35">
      <c r="A59" s="91" t="s">
        <v>117</v>
      </c>
      <c r="B59" s="85">
        <v>562</v>
      </c>
      <c r="C59" s="85" t="s">
        <v>38</v>
      </c>
      <c r="D59" s="85">
        <v>1</v>
      </c>
      <c r="E59" s="82" t="s">
        <v>118</v>
      </c>
      <c r="F59" s="85">
        <v>1</v>
      </c>
      <c r="G59" s="85" t="s">
        <v>30</v>
      </c>
      <c r="H59" s="93" t="s">
        <v>119</v>
      </c>
      <c r="I59" s="73"/>
    </row>
    <row r="60" spans="1:9" s="162" customFormat="1" ht="17.25" customHeight="1" x14ac:dyDescent="0.35">
      <c r="A60" s="91" t="s">
        <v>120</v>
      </c>
      <c r="B60" s="85">
        <v>855</v>
      </c>
      <c r="C60" s="85" t="s">
        <v>38</v>
      </c>
      <c r="D60" s="85">
        <v>2</v>
      </c>
      <c r="E60" s="82" t="s">
        <v>121</v>
      </c>
      <c r="F60" s="85">
        <v>0</v>
      </c>
      <c r="G60" s="85" t="s">
        <v>30</v>
      </c>
      <c r="H60" s="93" t="s">
        <v>122</v>
      </c>
      <c r="I60" s="73"/>
    </row>
    <row r="61" spans="1:9" s="162" customFormat="1" ht="17.25" customHeight="1" x14ac:dyDescent="0.35">
      <c r="A61" s="91" t="s">
        <v>123</v>
      </c>
      <c r="B61" s="85">
        <v>6862</v>
      </c>
      <c r="C61" s="85" t="s">
        <v>38</v>
      </c>
      <c r="D61" s="85">
        <v>1</v>
      </c>
      <c r="E61" s="82"/>
      <c r="F61" s="85">
        <v>1</v>
      </c>
      <c r="G61" s="85" t="s">
        <v>30</v>
      </c>
      <c r="H61" s="93" t="s">
        <v>31</v>
      </c>
      <c r="I61" s="73"/>
    </row>
    <row r="62" spans="1:9" s="163" customFormat="1" ht="17.25" customHeight="1" x14ac:dyDescent="0.35">
      <c r="A62" s="91" t="s">
        <v>124</v>
      </c>
      <c r="B62" s="85">
        <v>4265</v>
      </c>
      <c r="C62" s="85" t="s">
        <v>38</v>
      </c>
      <c r="D62" s="85">
        <v>1</v>
      </c>
      <c r="E62" s="82"/>
      <c r="F62" s="85" t="s">
        <v>77</v>
      </c>
      <c r="G62" s="85" t="s">
        <v>30</v>
      </c>
      <c r="H62" s="93"/>
      <c r="I62" s="73"/>
    </row>
    <row r="63" spans="1:9" s="162" customFormat="1" ht="17.25" customHeight="1" x14ac:dyDescent="0.35">
      <c r="A63" s="91" t="s">
        <v>125</v>
      </c>
      <c r="B63" s="85">
        <v>6830</v>
      </c>
      <c r="C63" s="85" t="s">
        <v>38</v>
      </c>
      <c r="D63" s="85">
        <v>1</v>
      </c>
      <c r="E63" s="82"/>
      <c r="F63" s="85">
        <v>10</v>
      </c>
      <c r="G63" s="85" t="s">
        <v>30</v>
      </c>
      <c r="H63" s="93"/>
      <c r="I63" s="73"/>
    </row>
    <row r="64" spans="1:9" s="162" customFormat="1" ht="17.25" customHeight="1" x14ac:dyDescent="0.35">
      <c r="A64" s="91" t="s">
        <v>126</v>
      </c>
      <c r="B64" s="85">
        <v>6831</v>
      </c>
      <c r="C64" s="85" t="s">
        <v>38</v>
      </c>
      <c r="D64" s="85">
        <v>1</v>
      </c>
      <c r="E64" s="82"/>
      <c r="F64" s="85">
        <v>10</v>
      </c>
      <c r="G64" s="85" t="s">
        <v>30</v>
      </c>
      <c r="H64" s="93"/>
      <c r="I64" s="73"/>
    </row>
    <row r="65" spans="1:9" s="162" customFormat="1" ht="18" customHeight="1" thickBot="1" x14ac:dyDescent="0.4">
      <c r="A65" s="96"/>
      <c r="B65" s="86"/>
      <c r="C65" s="86"/>
      <c r="D65" s="86"/>
      <c r="E65" s="95"/>
      <c r="F65" s="86"/>
      <c r="G65" s="86"/>
      <c r="H65" s="94"/>
      <c r="I65" s="73"/>
    </row>
    <row r="66" spans="1:9" s="162" customFormat="1" ht="15.75" customHeight="1" thickBot="1" x14ac:dyDescent="0.35">
      <c r="A66" s="74"/>
      <c r="B66" s="75"/>
      <c r="C66" s="72"/>
      <c r="D66" s="72"/>
      <c r="E66" s="72"/>
      <c r="F66" s="76"/>
      <c r="G66" s="72"/>
      <c r="H66" s="164"/>
      <c r="I66" s="73"/>
    </row>
    <row r="67" spans="1:9" s="162" customFormat="1" ht="20.25" customHeight="1" thickBot="1" x14ac:dyDescent="0.45">
      <c r="A67" s="219" t="s">
        <v>127</v>
      </c>
      <c r="B67" s="220"/>
      <c r="C67" s="220"/>
      <c r="D67" s="220"/>
      <c r="E67" s="220"/>
      <c r="F67" s="220"/>
      <c r="G67" s="220"/>
      <c r="H67" s="220"/>
      <c r="I67" s="221"/>
    </row>
    <row r="68" spans="1:9" s="162" customFormat="1" ht="15.75" customHeight="1" thickBot="1" x14ac:dyDescent="0.35">
      <c r="A68" s="165" t="s">
        <v>128</v>
      </c>
      <c r="B68" s="165" t="s">
        <v>129</v>
      </c>
      <c r="C68" s="165" t="s">
        <v>22</v>
      </c>
      <c r="D68" s="165" t="s">
        <v>130</v>
      </c>
      <c r="E68" s="165" t="s">
        <v>131</v>
      </c>
      <c r="F68" s="165" t="s">
        <v>25</v>
      </c>
      <c r="G68" s="165" t="s">
        <v>26</v>
      </c>
      <c r="H68" s="165" t="s">
        <v>132</v>
      </c>
      <c r="I68" s="165" t="s">
        <v>133</v>
      </c>
    </row>
    <row r="69" spans="1:9" s="162" customFormat="1" ht="32.25" customHeight="1" x14ac:dyDescent="0.2">
      <c r="A69" s="166" t="s">
        <v>134</v>
      </c>
      <c r="B69" s="167" t="s">
        <v>135</v>
      </c>
      <c r="C69" s="167" t="s">
        <v>136</v>
      </c>
      <c r="D69" s="167"/>
      <c r="E69" s="167"/>
      <c r="F69" s="167"/>
      <c r="G69" s="167" t="s">
        <v>30</v>
      </c>
      <c r="H69" s="168"/>
      <c r="I69" s="79">
        <v>65634</v>
      </c>
    </row>
    <row r="70" spans="1:9" s="162" customFormat="1" ht="28.5" customHeight="1" x14ac:dyDescent="0.2">
      <c r="A70" s="169"/>
      <c r="B70" s="170"/>
      <c r="C70" s="170"/>
      <c r="D70" s="170" t="s">
        <v>38</v>
      </c>
      <c r="E70" s="170">
        <v>1</v>
      </c>
      <c r="F70" s="170">
        <v>1</v>
      </c>
      <c r="G70" s="170"/>
      <c r="H70" s="171"/>
      <c r="I70" s="80" t="s">
        <v>137</v>
      </c>
    </row>
    <row r="71" spans="1:9" s="162" customFormat="1" ht="33.75" customHeight="1" x14ac:dyDescent="0.2">
      <c r="A71" s="169" t="s">
        <v>138</v>
      </c>
      <c r="B71" s="170" t="s">
        <v>139</v>
      </c>
      <c r="C71" s="170" t="s">
        <v>136</v>
      </c>
      <c r="D71" s="170"/>
      <c r="E71" s="170"/>
      <c r="F71" s="170"/>
      <c r="G71" s="170" t="s">
        <v>30</v>
      </c>
      <c r="H71" s="171"/>
      <c r="I71" s="80">
        <v>65881</v>
      </c>
    </row>
    <row r="72" spans="1:9" s="162" customFormat="1" ht="17.25" customHeight="1" x14ac:dyDescent="0.2">
      <c r="A72" s="169"/>
      <c r="B72" s="170"/>
      <c r="C72" s="170"/>
      <c r="D72" s="170" t="s">
        <v>38</v>
      </c>
      <c r="E72" s="170">
        <v>1</v>
      </c>
      <c r="F72" s="170">
        <v>1</v>
      </c>
      <c r="G72" s="170"/>
      <c r="H72" s="171"/>
      <c r="I72" s="80" t="s">
        <v>140</v>
      </c>
    </row>
    <row r="73" spans="1:9" s="162" customFormat="1" ht="17.25" customHeight="1" x14ac:dyDescent="0.35">
      <c r="A73" s="169" t="s">
        <v>141</v>
      </c>
      <c r="B73" s="170" t="s">
        <v>142</v>
      </c>
      <c r="C73" s="170" t="s">
        <v>136</v>
      </c>
      <c r="D73" s="170"/>
      <c r="E73" s="170"/>
      <c r="F73" s="170"/>
      <c r="G73" s="170" t="s">
        <v>30</v>
      </c>
      <c r="H73" s="171" t="s">
        <v>31</v>
      </c>
      <c r="I73" s="64"/>
    </row>
    <row r="74" spans="1:9" s="162" customFormat="1" ht="22.5" customHeight="1" x14ac:dyDescent="0.35">
      <c r="A74" s="169"/>
      <c r="B74" s="170"/>
      <c r="C74" s="170"/>
      <c r="D74" s="170" t="s">
        <v>38</v>
      </c>
      <c r="E74" s="170">
        <v>1</v>
      </c>
      <c r="F74" s="170">
        <v>0</v>
      </c>
      <c r="G74" s="170"/>
      <c r="H74" s="171"/>
      <c r="I74" s="64" t="s">
        <v>143</v>
      </c>
    </row>
    <row r="75" spans="1:9" s="162" customFormat="1" ht="17.25" customHeight="1" x14ac:dyDescent="0.35">
      <c r="A75" s="169" t="s">
        <v>144</v>
      </c>
      <c r="B75" s="170" t="s">
        <v>145</v>
      </c>
      <c r="C75" s="170" t="s">
        <v>136</v>
      </c>
      <c r="D75" s="170"/>
      <c r="E75" s="170"/>
      <c r="F75" s="170"/>
      <c r="G75" s="170" t="s">
        <v>30</v>
      </c>
      <c r="H75" s="171" t="s">
        <v>31</v>
      </c>
      <c r="I75" s="64"/>
    </row>
    <row r="76" spans="1:9" s="162" customFormat="1" ht="17.25" customHeight="1" x14ac:dyDescent="0.35">
      <c r="A76" s="169"/>
      <c r="B76" s="170"/>
      <c r="C76" s="170"/>
      <c r="D76" s="170" t="s">
        <v>38</v>
      </c>
      <c r="E76" s="170">
        <v>1</v>
      </c>
      <c r="F76" s="170">
        <v>0</v>
      </c>
      <c r="G76" s="170"/>
      <c r="H76" s="171"/>
      <c r="I76" s="64" t="s">
        <v>146</v>
      </c>
    </row>
    <row r="77" spans="1:9" s="162" customFormat="1" ht="17.25" customHeight="1" x14ac:dyDescent="0.35">
      <c r="A77" s="169" t="s">
        <v>147</v>
      </c>
      <c r="B77" s="170" t="s">
        <v>148</v>
      </c>
      <c r="C77" s="170" t="s">
        <v>136</v>
      </c>
      <c r="D77" s="170"/>
      <c r="E77" s="170"/>
      <c r="F77" s="170"/>
      <c r="G77" s="170" t="s">
        <v>30</v>
      </c>
      <c r="H77" s="171"/>
      <c r="I77" s="64"/>
    </row>
    <row r="78" spans="1:9" s="162" customFormat="1" ht="69" customHeight="1" x14ac:dyDescent="0.35">
      <c r="A78" s="169"/>
      <c r="B78" s="170"/>
      <c r="C78" s="170"/>
      <c r="D78" s="170" t="s">
        <v>38</v>
      </c>
      <c r="E78" s="170">
        <v>4</v>
      </c>
      <c r="F78" s="170">
        <v>0</v>
      </c>
      <c r="G78" s="170"/>
      <c r="H78" s="171"/>
      <c r="I78" s="64" t="s">
        <v>149</v>
      </c>
    </row>
    <row r="79" spans="1:9" s="162" customFormat="1" ht="17.25" customHeight="1" x14ac:dyDescent="0.35">
      <c r="A79" s="169" t="s">
        <v>150</v>
      </c>
      <c r="B79" s="170" t="s">
        <v>151</v>
      </c>
      <c r="C79" s="170" t="s">
        <v>136</v>
      </c>
      <c r="D79" s="170"/>
      <c r="E79" s="170"/>
      <c r="F79" s="170"/>
      <c r="G79" s="170" t="s">
        <v>30</v>
      </c>
      <c r="H79" s="171"/>
      <c r="I79" s="64"/>
    </row>
    <row r="80" spans="1:9" s="162" customFormat="1" ht="34.5" customHeight="1" x14ac:dyDescent="0.35">
      <c r="A80" s="169"/>
      <c r="B80" s="170"/>
      <c r="C80" s="170"/>
      <c r="D80" s="170" t="s">
        <v>38</v>
      </c>
      <c r="E80" s="170">
        <v>1</v>
      </c>
      <c r="F80" s="170">
        <v>1</v>
      </c>
      <c r="G80" s="170"/>
      <c r="H80" s="171"/>
      <c r="I80" s="64" t="s">
        <v>152</v>
      </c>
    </row>
    <row r="81" spans="1:9" s="162" customFormat="1" ht="103.5" customHeight="1" x14ac:dyDescent="0.35">
      <c r="A81" s="169" t="s">
        <v>156</v>
      </c>
      <c r="B81" s="170" t="s">
        <v>157</v>
      </c>
      <c r="C81" s="170" t="s">
        <v>155</v>
      </c>
      <c r="D81" s="170"/>
      <c r="E81" s="170"/>
      <c r="F81" s="170"/>
      <c r="G81" s="170" t="s">
        <v>30</v>
      </c>
      <c r="H81" s="171" t="s">
        <v>158</v>
      </c>
      <c r="I81" s="64" t="s">
        <v>159</v>
      </c>
    </row>
    <row r="82" spans="1:9" s="172" customFormat="1" ht="17.25" customHeight="1" x14ac:dyDescent="0.35">
      <c r="A82" s="169" t="s">
        <v>160</v>
      </c>
      <c r="B82" s="170" t="s">
        <v>161</v>
      </c>
      <c r="C82" s="170" t="s">
        <v>136</v>
      </c>
      <c r="D82" s="170"/>
      <c r="E82" s="170"/>
      <c r="F82" s="170"/>
      <c r="G82" s="170" t="s">
        <v>30</v>
      </c>
      <c r="H82" s="171"/>
      <c r="I82" s="64">
        <v>66472</v>
      </c>
    </row>
    <row r="83" spans="1:9" s="172" customFormat="1" ht="17.25" customHeight="1" x14ac:dyDescent="0.35">
      <c r="A83" s="169"/>
      <c r="B83" s="170"/>
      <c r="C83" s="170"/>
      <c r="D83" s="170" t="s">
        <v>38</v>
      </c>
      <c r="E83" s="170">
        <v>1</v>
      </c>
      <c r="F83" s="170">
        <v>1</v>
      </c>
      <c r="G83" s="170"/>
      <c r="H83" s="171"/>
      <c r="I83" s="64"/>
    </row>
    <row r="84" spans="1:9" s="162" customFormat="1" ht="17.25" customHeight="1" x14ac:dyDescent="0.35">
      <c r="A84" s="169" t="s">
        <v>164</v>
      </c>
      <c r="B84" s="170" t="s">
        <v>165</v>
      </c>
      <c r="C84" s="170" t="s">
        <v>136</v>
      </c>
      <c r="D84" s="170"/>
      <c r="E84" s="170"/>
      <c r="F84" s="170"/>
      <c r="G84" s="170" t="s">
        <v>30</v>
      </c>
      <c r="H84" s="171"/>
      <c r="I84" s="64">
        <v>66048</v>
      </c>
    </row>
    <row r="85" spans="1:9" s="162" customFormat="1" ht="17.25" customHeight="1" x14ac:dyDescent="0.35">
      <c r="A85" s="169"/>
      <c r="B85" s="170"/>
      <c r="C85" s="170"/>
      <c r="D85" s="170" t="s">
        <v>38</v>
      </c>
      <c r="E85" s="170">
        <v>1</v>
      </c>
      <c r="F85" s="170">
        <v>3</v>
      </c>
      <c r="G85" s="170"/>
      <c r="H85" s="171"/>
      <c r="I85" s="64"/>
    </row>
    <row r="86" spans="1:9" s="162" customFormat="1" ht="17.25" customHeight="1" x14ac:dyDescent="0.35">
      <c r="A86" s="169" t="s">
        <v>166</v>
      </c>
      <c r="B86" s="170" t="s">
        <v>167</v>
      </c>
      <c r="C86" s="170" t="s">
        <v>136</v>
      </c>
      <c r="D86" s="170"/>
      <c r="E86" s="170"/>
      <c r="F86" s="170"/>
      <c r="G86" s="170" t="s">
        <v>30</v>
      </c>
      <c r="H86" s="171"/>
      <c r="I86" s="64">
        <v>67225</v>
      </c>
    </row>
    <row r="87" spans="1:9" s="162" customFormat="1" ht="17.25" customHeight="1" x14ac:dyDescent="0.35">
      <c r="A87" s="169"/>
      <c r="B87" s="170"/>
      <c r="C87" s="170"/>
      <c r="D87" s="170" t="s">
        <v>38</v>
      </c>
      <c r="E87" s="170">
        <v>1</v>
      </c>
      <c r="F87" s="170">
        <v>3</v>
      </c>
      <c r="G87" s="170"/>
      <c r="H87" s="171"/>
      <c r="I87" s="64" t="s">
        <v>31</v>
      </c>
    </row>
    <row r="88" spans="1:9" s="162" customFormat="1" ht="17.25" customHeight="1" x14ac:dyDescent="0.35">
      <c r="A88" s="169" t="s">
        <v>168</v>
      </c>
      <c r="B88" s="170" t="s">
        <v>169</v>
      </c>
      <c r="C88" s="170" t="s">
        <v>136</v>
      </c>
      <c r="D88" s="170"/>
      <c r="E88" s="170"/>
      <c r="F88" s="170"/>
      <c r="G88" s="170" t="s">
        <v>30</v>
      </c>
      <c r="H88" s="171"/>
      <c r="I88" s="64">
        <v>70239</v>
      </c>
    </row>
    <row r="89" spans="1:9" s="172" customFormat="1" ht="17.25" customHeight="1" x14ac:dyDescent="0.35">
      <c r="A89" s="169"/>
      <c r="B89" s="170"/>
      <c r="C89" s="170"/>
      <c r="D89" s="170" t="s">
        <v>38</v>
      </c>
      <c r="E89" s="170">
        <v>1</v>
      </c>
      <c r="F89" s="170">
        <v>3</v>
      </c>
      <c r="G89" s="170"/>
      <c r="H89" s="171"/>
      <c r="I89" s="64"/>
    </row>
    <row r="90" spans="1:9" s="162" customFormat="1" ht="17.25" customHeight="1" x14ac:dyDescent="0.35">
      <c r="A90" s="169" t="s">
        <v>170</v>
      </c>
      <c r="B90" s="170" t="s">
        <v>171</v>
      </c>
      <c r="C90" s="170" t="s">
        <v>136</v>
      </c>
      <c r="D90" s="170"/>
      <c r="E90" s="170"/>
      <c r="F90" s="170"/>
      <c r="G90" s="170" t="s">
        <v>30</v>
      </c>
      <c r="H90" s="171"/>
      <c r="I90" s="64">
        <v>70315</v>
      </c>
    </row>
    <row r="91" spans="1:9" s="162" customFormat="1" ht="17.25" customHeight="1" x14ac:dyDescent="0.35">
      <c r="A91" s="169"/>
      <c r="B91" s="170"/>
      <c r="C91" s="170"/>
      <c r="D91" s="170" t="s">
        <v>38</v>
      </c>
      <c r="E91" s="170">
        <v>1</v>
      </c>
      <c r="F91" s="170">
        <v>2</v>
      </c>
      <c r="G91" s="170"/>
      <c r="H91" s="171"/>
      <c r="I91" s="64"/>
    </row>
    <row r="92" spans="1:9" s="162" customFormat="1" ht="34.5" customHeight="1" x14ac:dyDescent="0.35">
      <c r="A92" s="169" t="s">
        <v>172</v>
      </c>
      <c r="B92" s="170" t="s">
        <v>173</v>
      </c>
      <c r="C92" s="170" t="s">
        <v>136</v>
      </c>
      <c r="D92" s="170" t="s">
        <v>31</v>
      </c>
      <c r="E92" s="170" t="s">
        <v>31</v>
      </c>
      <c r="F92" s="170" t="s">
        <v>31</v>
      </c>
      <c r="G92" s="170" t="s">
        <v>30</v>
      </c>
      <c r="H92" s="171"/>
      <c r="I92" s="64" t="s">
        <v>174</v>
      </c>
    </row>
    <row r="93" spans="1:9" s="162" customFormat="1" ht="17.25" customHeight="1" x14ac:dyDescent="0.35">
      <c r="A93" s="169"/>
      <c r="B93" s="170"/>
      <c r="C93" s="170"/>
      <c r="D93" s="170" t="s">
        <v>38</v>
      </c>
      <c r="E93" s="170">
        <v>1</v>
      </c>
      <c r="F93" s="170">
        <v>0</v>
      </c>
      <c r="G93" s="170"/>
      <c r="H93" s="171"/>
      <c r="I93" s="64" t="s">
        <v>31</v>
      </c>
    </row>
    <row r="94" spans="1:9" s="162" customFormat="1" ht="17.25" customHeight="1" x14ac:dyDescent="0.35">
      <c r="A94" s="169" t="s">
        <v>175</v>
      </c>
      <c r="B94" s="170" t="s">
        <v>176</v>
      </c>
      <c r="C94" s="170" t="s">
        <v>136</v>
      </c>
      <c r="D94" s="170"/>
      <c r="E94" s="170"/>
      <c r="F94" s="170"/>
      <c r="G94" s="170" t="s">
        <v>30</v>
      </c>
      <c r="H94" s="171"/>
      <c r="I94" s="64">
        <v>71554</v>
      </c>
    </row>
    <row r="95" spans="1:9" s="162" customFormat="1" ht="17.25" customHeight="1" x14ac:dyDescent="0.35">
      <c r="A95" s="169"/>
      <c r="B95" s="170"/>
      <c r="C95" s="170"/>
      <c r="D95" s="170" t="s">
        <v>38</v>
      </c>
      <c r="E95" s="170">
        <v>1</v>
      </c>
      <c r="F95" s="170">
        <v>1</v>
      </c>
      <c r="G95" s="170"/>
      <c r="H95" s="171"/>
      <c r="I95" s="64" t="s">
        <v>177</v>
      </c>
    </row>
    <row r="96" spans="1:9" s="162" customFormat="1" ht="17.25" customHeight="1" x14ac:dyDescent="0.35">
      <c r="A96" s="169"/>
      <c r="B96" s="170"/>
      <c r="C96" s="170"/>
      <c r="D96" s="170" t="s">
        <v>38</v>
      </c>
      <c r="E96" s="170">
        <v>4</v>
      </c>
      <c r="F96" s="170">
        <v>5000</v>
      </c>
      <c r="G96" s="170"/>
      <c r="H96" s="171"/>
      <c r="I96" s="64" t="s">
        <v>178</v>
      </c>
    </row>
    <row r="97" spans="1:9" s="162" customFormat="1" ht="17.25" customHeight="1" x14ac:dyDescent="0.35">
      <c r="A97" s="169"/>
      <c r="B97" s="170"/>
      <c r="C97" s="170"/>
      <c r="D97" s="170" t="s">
        <v>38</v>
      </c>
      <c r="E97" s="170">
        <v>1</v>
      </c>
      <c r="F97" s="170">
        <v>1</v>
      </c>
      <c r="G97" s="170"/>
      <c r="H97" s="171"/>
      <c r="I97" s="64" t="s">
        <v>179</v>
      </c>
    </row>
    <row r="98" spans="1:9" s="162" customFormat="1" ht="17.25" customHeight="1" x14ac:dyDescent="0.35">
      <c r="A98" s="169"/>
      <c r="B98" s="170"/>
      <c r="C98" s="170"/>
      <c r="D98" s="170" t="s">
        <v>38</v>
      </c>
      <c r="E98" s="170">
        <v>2</v>
      </c>
      <c r="F98" s="170"/>
      <c r="G98" s="170"/>
      <c r="H98" s="171"/>
      <c r="I98" s="64" t="s">
        <v>180</v>
      </c>
    </row>
    <row r="99" spans="1:9" s="162" customFormat="1" ht="17.25" customHeight="1" x14ac:dyDescent="0.35">
      <c r="A99" s="169" t="s">
        <v>181</v>
      </c>
      <c r="B99" s="170" t="s">
        <v>182</v>
      </c>
      <c r="C99" s="170" t="s">
        <v>136</v>
      </c>
      <c r="D99" s="170"/>
      <c r="E99" s="170"/>
      <c r="F99" s="170"/>
      <c r="G99" s="170" t="s">
        <v>30</v>
      </c>
      <c r="H99" s="171"/>
      <c r="I99" s="64">
        <v>73509</v>
      </c>
    </row>
    <row r="100" spans="1:9" s="162" customFormat="1" ht="17.25" customHeight="1" x14ac:dyDescent="0.35">
      <c r="A100" s="169"/>
      <c r="B100" s="170"/>
      <c r="C100" s="170"/>
      <c r="D100" s="170" t="s">
        <v>38</v>
      </c>
      <c r="E100" s="170">
        <v>1</v>
      </c>
      <c r="F100" s="170">
        <v>1</v>
      </c>
      <c r="G100" s="170"/>
      <c r="H100" s="171"/>
      <c r="I100" s="64" t="s">
        <v>181</v>
      </c>
    </row>
    <row r="101" spans="1:9" s="162" customFormat="1" ht="17.25" customHeight="1" x14ac:dyDescent="0.35">
      <c r="A101" s="169" t="s">
        <v>737</v>
      </c>
      <c r="B101" s="170" t="s">
        <v>738</v>
      </c>
      <c r="C101" s="170" t="s">
        <v>136</v>
      </c>
      <c r="D101" s="170"/>
      <c r="E101" s="170"/>
      <c r="F101" s="170"/>
      <c r="G101" s="170" t="s">
        <v>30</v>
      </c>
      <c r="H101" s="171"/>
      <c r="I101" s="64"/>
    </row>
    <row r="102" spans="1:9" s="162" customFormat="1" ht="17.25" customHeight="1" x14ac:dyDescent="0.35">
      <c r="A102" s="169"/>
      <c r="B102" s="170"/>
      <c r="C102" s="170"/>
      <c r="D102" s="170" t="s">
        <v>38</v>
      </c>
      <c r="E102" s="170">
        <v>1</v>
      </c>
      <c r="F102" s="170">
        <v>1</v>
      </c>
      <c r="G102" s="170"/>
      <c r="H102" s="171"/>
      <c r="I102" s="64"/>
    </row>
    <row r="103" spans="1:9" s="162" customFormat="1" ht="17.25" customHeight="1" x14ac:dyDescent="0.35">
      <c r="A103" s="169" t="s">
        <v>183</v>
      </c>
      <c r="B103" s="170" t="s">
        <v>184</v>
      </c>
      <c r="C103" s="170" t="s">
        <v>136</v>
      </c>
      <c r="D103" s="170"/>
      <c r="E103" s="170"/>
      <c r="F103" s="170"/>
      <c r="G103" s="170" t="s">
        <v>30</v>
      </c>
      <c r="H103" s="171"/>
      <c r="I103" s="64">
        <v>73544</v>
      </c>
    </row>
    <row r="104" spans="1:9" s="162" customFormat="1" ht="17.25" customHeight="1" x14ac:dyDescent="0.35">
      <c r="A104" s="169"/>
      <c r="B104" s="170"/>
      <c r="C104" s="170"/>
      <c r="D104" s="170" t="s">
        <v>38</v>
      </c>
      <c r="E104" s="170">
        <v>1</v>
      </c>
      <c r="F104" s="170"/>
      <c r="G104" s="170"/>
      <c r="H104" s="171"/>
      <c r="I104" s="64" t="s">
        <v>183</v>
      </c>
    </row>
    <row r="105" spans="1:9" s="162" customFormat="1" ht="17.25" customHeight="1" x14ac:dyDescent="0.2">
      <c r="A105" s="169" t="s">
        <v>739</v>
      </c>
      <c r="B105" s="170" t="s">
        <v>740</v>
      </c>
      <c r="C105" s="170" t="s">
        <v>155</v>
      </c>
      <c r="D105" s="170"/>
      <c r="E105" s="170"/>
      <c r="F105" s="170"/>
      <c r="G105" s="170" t="s">
        <v>30</v>
      </c>
      <c r="H105" s="171" t="s">
        <v>741</v>
      </c>
      <c r="I105" s="80"/>
    </row>
    <row r="106" spans="1:9" s="162" customFormat="1" ht="17.25" customHeight="1" x14ac:dyDescent="0.35">
      <c r="A106" s="169" t="s">
        <v>742</v>
      </c>
      <c r="B106" s="170" t="s">
        <v>743</v>
      </c>
      <c r="C106" s="170" t="s">
        <v>155</v>
      </c>
      <c r="D106" s="170"/>
      <c r="E106" s="170"/>
      <c r="F106" s="170"/>
      <c r="G106" s="170" t="s">
        <v>30</v>
      </c>
      <c r="H106" s="171" t="s">
        <v>744</v>
      </c>
      <c r="I106" s="173" t="s">
        <v>745</v>
      </c>
    </row>
    <row r="107" spans="1:9" s="162" customFormat="1" ht="17.25" customHeight="1" x14ac:dyDescent="0.35">
      <c r="A107" s="169" t="s">
        <v>746</v>
      </c>
      <c r="B107" s="170" t="s">
        <v>747</v>
      </c>
      <c r="C107" s="170" t="s">
        <v>155</v>
      </c>
      <c r="D107" s="170"/>
      <c r="E107" s="170"/>
      <c r="F107" s="170"/>
      <c r="G107" s="170" t="s">
        <v>30</v>
      </c>
      <c r="H107" s="171" t="s">
        <v>748</v>
      </c>
      <c r="I107" s="173" t="s">
        <v>745</v>
      </c>
    </row>
    <row r="108" spans="1:9" s="162" customFormat="1" ht="17.25" customHeight="1" x14ac:dyDescent="0.35">
      <c r="A108" s="169" t="s">
        <v>749</v>
      </c>
      <c r="B108" s="170" t="s">
        <v>750</v>
      </c>
      <c r="C108" s="170" t="s">
        <v>155</v>
      </c>
      <c r="D108" s="170"/>
      <c r="E108" s="170"/>
      <c r="F108" s="170"/>
      <c r="G108" s="170" t="s">
        <v>30</v>
      </c>
      <c r="H108" s="171" t="s">
        <v>751</v>
      </c>
      <c r="I108" s="173" t="s">
        <v>745</v>
      </c>
    </row>
    <row r="109" spans="1:9" s="162" customFormat="1" ht="17.25" customHeight="1" x14ac:dyDescent="0.35">
      <c r="A109" s="169" t="s">
        <v>752</v>
      </c>
      <c r="B109" s="170" t="s">
        <v>753</v>
      </c>
      <c r="C109" s="170" t="s">
        <v>155</v>
      </c>
      <c r="D109" s="170"/>
      <c r="E109" s="170"/>
      <c r="F109" s="170"/>
      <c r="G109" s="170" t="s">
        <v>30</v>
      </c>
      <c r="H109" s="171" t="s">
        <v>754</v>
      </c>
      <c r="I109" s="173" t="s">
        <v>755</v>
      </c>
    </row>
    <row r="110" spans="1:9" s="162" customFormat="1" ht="17.25" customHeight="1" x14ac:dyDescent="0.35">
      <c r="A110" s="169" t="s">
        <v>756</v>
      </c>
      <c r="B110" s="170" t="s">
        <v>757</v>
      </c>
      <c r="C110" s="170" t="s">
        <v>155</v>
      </c>
      <c r="D110" s="170"/>
      <c r="E110" s="170"/>
      <c r="F110" s="170"/>
      <c r="G110" s="170" t="s">
        <v>30</v>
      </c>
      <c r="H110" s="171" t="s">
        <v>758</v>
      </c>
      <c r="I110" s="173" t="s">
        <v>31</v>
      </c>
    </row>
    <row r="111" spans="1:9" s="162" customFormat="1" ht="17.25" customHeight="1" x14ac:dyDescent="0.2">
      <c r="A111" s="169" t="s">
        <v>759</v>
      </c>
      <c r="B111" s="170" t="s">
        <v>698</v>
      </c>
      <c r="C111" s="170" t="s">
        <v>155</v>
      </c>
      <c r="D111" s="170"/>
      <c r="E111" s="170"/>
      <c r="F111" s="170"/>
      <c r="G111" s="170" t="s">
        <v>30</v>
      </c>
      <c r="H111" s="171" t="s">
        <v>760</v>
      </c>
      <c r="I111" s="80" t="s">
        <v>761</v>
      </c>
    </row>
    <row r="112" spans="1:9" s="162" customFormat="1" ht="17.25" customHeight="1" x14ac:dyDescent="0.2">
      <c r="A112" s="169" t="s">
        <v>762</v>
      </c>
      <c r="B112" s="170" t="s">
        <v>699</v>
      </c>
      <c r="C112" s="170" t="s">
        <v>155</v>
      </c>
      <c r="D112" s="170"/>
      <c r="E112" s="170"/>
      <c r="F112" s="170"/>
      <c r="G112" s="170" t="s">
        <v>30</v>
      </c>
      <c r="H112" s="171" t="s">
        <v>763</v>
      </c>
      <c r="I112" s="80" t="s">
        <v>764</v>
      </c>
    </row>
    <row r="113" spans="1:9" s="162" customFormat="1" ht="17.25" customHeight="1" x14ac:dyDescent="0.2">
      <c r="A113" s="169" t="s">
        <v>765</v>
      </c>
      <c r="B113" s="170" t="s">
        <v>700</v>
      </c>
      <c r="C113" s="170" t="s">
        <v>155</v>
      </c>
      <c r="D113" s="170"/>
      <c r="E113" s="170"/>
      <c r="F113" s="170"/>
      <c r="G113" s="170" t="s">
        <v>30</v>
      </c>
      <c r="H113" s="171" t="s">
        <v>766</v>
      </c>
      <c r="I113" s="80" t="s">
        <v>767</v>
      </c>
    </row>
    <row r="114" spans="1:9" s="162" customFormat="1" ht="17.25" customHeight="1" x14ac:dyDescent="0.2">
      <c r="A114" s="169" t="s">
        <v>768</v>
      </c>
      <c r="B114" s="170" t="s">
        <v>701</v>
      </c>
      <c r="C114" s="170" t="s">
        <v>155</v>
      </c>
      <c r="D114" s="170"/>
      <c r="E114" s="170"/>
      <c r="F114" s="170"/>
      <c r="G114" s="170" t="s">
        <v>30</v>
      </c>
      <c r="H114" s="171" t="s">
        <v>769</v>
      </c>
      <c r="I114" s="80" t="s">
        <v>761</v>
      </c>
    </row>
    <row r="115" spans="1:9" s="162" customFormat="1" ht="17.25" customHeight="1" x14ac:dyDescent="0.2">
      <c r="A115" s="169" t="s">
        <v>770</v>
      </c>
      <c r="B115" s="170" t="s">
        <v>771</v>
      </c>
      <c r="C115" s="170" t="s">
        <v>155</v>
      </c>
      <c r="D115" s="170"/>
      <c r="E115" s="170"/>
      <c r="F115" s="170"/>
      <c r="G115" s="170" t="s">
        <v>30</v>
      </c>
      <c r="H115" s="171" t="s">
        <v>772</v>
      </c>
      <c r="I115" s="80" t="s">
        <v>764</v>
      </c>
    </row>
    <row r="116" spans="1:9" s="162" customFormat="1" ht="17.25" customHeight="1" x14ac:dyDescent="0.35">
      <c r="A116" s="169" t="s">
        <v>185</v>
      </c>
      <c r="B116" s="170"/>
      <c r="C116" s="170"/>
      <c r="D116" s="170"/>
      <c r="E116" s="170"/>
      <c r="F116" s="170"/>
      <c r="G116" s="170"/>
      <c r="H116" s="171"/>
      <c r="I116" s="64"/>
    </row>
    <row r="117" spans="1:9" s="162" customFormat="1" ht="17.25" customHeight="1" x14ac:dyDescent="0.35">
      <c r="A117" s="169" t="s">
        <v>186</v>
      </c>
      <c r="B117" s="170" t="s">
        <v>187</v>
      </c>
      <c r="C117" s="170" t="s">
        <v>136</v>
      </c>
      <c r="D117" s="170"/>
      <c r="E117" s="170"/>
      <c r="F117" s="170"/>
      <c r="G117" s="170" t="s">
        <v>30</v>
      </c>
      <c r="H117" s="171"/>
      <c r="I117" s="64">
        <v>65956</v>
      </c>
    </row>
    <row r="118" spans="1:9" s="162" customFormat="1" ht="17.25" customHeight="1" x14ac:dyDescent="0.35">
      <c r="A118" s="169"/>
      <c r="B118" s="170"/>
      <c r="C118" s="170"/>
      <c r="D118" s="170" t="s">
        <v>38</v>
      </c>
      <c r="E118" s="170">
        <v>2</v>
      </c>
      <c r="F118" s="170">
        <v>1</v>
      </c>
      <c r="G118" s="170"/>
      <c r="H118" s="171"/>
      <c r="I118" s="64"/>
    </row>
    <row r="119" spans="1:9" s="162" customFormat="1" ht="17.25" customHeight="1" x14ac:dyDescent="0.35">
      <c r="A119" s="169" t="s">
        <v>188</v>
      </c>
      <c r="B119" s="170" t="s">
        <v>189</v>
      </c>
      <c r="C119" s="170" t="s">
        <v>136</v>
      </c>
      <c r="D119" s="170"/>
      <c r="E119" s="170"/>
      <c r="F119" s="170"/>
      <c r="G119" s="170" t="s">
        <v>30</v>
      </c>
      <c r="H119" s="171"/>
      <c r="I119" s="64">
        <v>65961</v>
      </c>
    </row>
    <row r="120" spans="1:9" s="162" customFormat="1" ht="17.25" customHeight="1" x14ac:dyDescent="0.35">
      <c r="A120" s="169"/>
      <c r="B120" s="170"/>
      <c r="C120" s="170"/>
      <c r="D120" s="170" t="s">
        <v>38</v>
      </c>
      <c r="E120" s="170">
        <v>1</v>
      </c>
      <c r="F120" s="170">
        <v>1</v>
      </c>
      <c r="G120" s="170"/>
      <c r="H120" s="171"/>
      <c r="I120" s="64"/>
    </row>
    <row r="121" spans="1:9" s="172" customFormat="1" ht="17.25" customHeight="1" x14ac:dyDescent="0.35">
      <c r="A121" s="169" t="s">
        <v>190</v>
      </c>
      <c r="B121" s="170" t="s">
        <v>191</v>
      </c>
      <c r="C121" s="170" t="s">
        <v>136</v>
      </c>
      <c r="D121" s="170"/>
      <c r="E121" s="170"/>
      <c r="F121" s="170"/>
      <c r="G121" s="170" t="s">
        <v>30</v>
      </c>
      <c r="H121" s="171"/>
      <c r="I121" s="64">
        <v>67218</v>
      </c>
    </row>
    <row r="122" spans="1:9" s="172" customFormat="1" ht="17.25" customHeight="1" x14ac:dyDescent="0.35">
      <c r="A122" s="169"/>
      <c r="B122" s="170"/>
      <c r="C122" s="170"/>
      <c r="D122" s="170" t="s">
        <v>38</v>
      </c>
      <c r="E122" s="170">
        <v>1</v>
      </c>
      <c r="F122" s="170">
        <v>1</v>
      </c>
      <c r="G122" s="170"/>
      <c r="H122" s="171"/>
      <c r="I122" s="64"/>
    </row>
    <row r="123" spans="1:9" s="172" customFormat="1" ht="17.25" customHeight="1" x14ac:dyDescent="0.35">
      <c r="A123" s="169" t="s">
        <v>192</v>
      </c>
      <c r="B123" s="170" t="s">
        <v>193</v>
      </c>
      <c r="C123" s="170" t="s">
        <v>136</v>
      </c>
      <c r="D123" s="170"/>
      <c r="E123" s="170"/>
      <c r="F123" s="170"/>
      <c r="G123" s="170" t="s">
        <v>30</v>
      </c>
      <c r="H123" s="171"/>
      <c r="I123" s="64">
        <v>67261</v>
      </c>
    </row>
    <row r="124" spans="1:9" s="172" customFormat="1" ht="17.25" customHeight="1" x14ac:dyDescent="0.35">
      <c r="A124" s="169"/>
      <c r="B124" s="170"/>
      <c r="C124" s="170"/>
      <c r="D124" s="170" t="s">
        <v>38</v>
      </c>
      <c r="E124" s="170">
        <v>2</v>
      </c>
      <c r="F124" s="170">
        <v>0</v>
      </c>
      <c r="G124" s="170"/>
      <c r="H124" s="171"/>
      <c r="I124" s="64" t="s">
        <v>194</v>
      </c>
    </row>
    <row r="125" spans="1:9" s="172" customFormat="1" ht="17.25" customHeight="1" x14ac:dyDescent="0.35">
      <c r="A125" s="169"/>
      <c r="B125" s="170"/>
      <c r="C125" s="170"/>
      <c r="D125" s="170" t="s">
        <v>38</v>
      </c>
      <c r="E125" s="170">
        <v>2</v>
      </c>
      <c r="F125" s="170">
        <v>0</v>
      </c>
      <c r="G125" s="170"/>
      <c r="H125" s="171"/>
      <c r="I125" s="64" t="s">
        <v>195</v>
      </c>
    </row>
    <row r="126" spans="1:9" s="172" customFormat="1" ht="17.25" customHeight="1" x14ac:dyDescent="0.35">
      <c r="A126" s="169"/>
      <c r="B126" s="170"/>
      <c r="C126" s="170"/>
      <c r="D126" s="170" t="s">
        <v>38</v>
      </c>
      <c r="E126" s="170">
        <v>1</v>
      </c>
      <c r="F126" s="170">
        <v>0</v>
      </c>
      <c r="G126" s="170"/>
      <c r="H126" s="171"/>
      <c r="I126" s="64" t="s">
        <v>196</v>
      </c>
    </row>
    <row r="127" spans="1:9" s="172" customFormat="1" ht="17.25" customHeight="1" x14ac:dyDescent="0.35">
      <c r="A127" s="169"/>
      <c r="B127" s="170"/>
      <c r="C127" s="170"/>
      <c r="D127" s="170" t="s">
        <v>38</v>
      </c>
      <c r="E127" s="170">
        <v>1</v>
      </c>
      <c r="F127" s="170">
        <v>1</v>
      </c>
      <c r="G127" s="170"/>
      <c r="H127" s="171"/>
      <c r="I127" s="64" t="s">
        <v>197</v>
      </c>
    </row>
    <row r="128" spans="1:9" s="172" customFormat="1" ht="17.25" customHeight="1" x14ac:dyDescent="0.35">
      <c r="A128" s="169"/>
      <c r="B128" s="170"/>
      <c r="C128" s="170"/>
      <c r="D128" s="170" t="s">
        <v>38</v>
      </c>
      <c r="E128" s="170">
        <v>2</v>
      </c>
      <c r="F128" s="170">
        <v>0</v>
      </c>
      <c r="G128" s="170"/>
      <c r="H128" s="171"/>
      <c r="I128" s="64" t="s">
        <v>198</v>
      </c>
    </row>
    <row r="129" spans="1:9" s="162" customFormat="1" ht="17.25" customHeight="1" x14ac:dyDescent="0.35">
      <c r="A129" s="169"/>
      <c r="B129" s="170"/>
      <c r="C129" s="170"/>
      <c r="D129" s="170" t="s">
        <v>38</v>
      </c>
      <c r="E129" s="170">
        <v>4</v>
      </c>
      <c r="F129" s="170">
        <v>0</v>
      </c>
      <c r="G129" s="170"/>
      <c r="H129" s="171"/>
      <c r="I129" s="64" t="s">
        <v>199</v>
      </c>
    </row>
    <row r="130" spans="1:9" s="162" customFormat="1" ht="17.25" customHeight="1" x14ac:dyDescent="0.35">
      <c r="A130" s="169"/>
      <c r="B130" s="170"/>
      <c r="C130" s="170"/>
      <c r="D130" s="170" t="s">
        <v>38</v>
      </c>
      <c r="E130" s="170">
        <v>1</v>
      </c>
      <c r="F130" s="170">
        <v>0</v>
      </c>
      <c r="G130" s="170"/>
      <c r="H130" s="171"/>
      <c r="I130" s="64" t="s">
        <v>200</v>
      </c>
    </row>
    <row r="131" spans="1:9" s="162" customFormat="1" ht="17.25" customHeight="1" x14ac:dyDescent="0.35">
      <c r="A131" s="169"/>
      <c r="B131" s="170"/>
      <c r="C131" s="170"/>
      <c r="D131" s="170" t="s">
        <v>38</v>
      </c>
      <c r="E131" s="170">
        <v>1</v>
      </c>
      <c r="F131" s="170">
        <v>2</v>
      </c>
      <c r="G131" s="170"/>
      <c r="H131" s="171"/>
      <c r="I131" s="64" t="s">
        <v>201</v>
      </c>
    </row>
    <row r="132" spans="1:9" s="162" customFormat="1" ht="17.25" customHeight="1" x14ac:dyDescent="0.35">
      <c r="A132" s="169" t="s">
        <v>690</v>
      </c>
      <c r="B132" s="170" t="s">
        <v>691</v>
      </c>
      <c r="C132" s="170" t="s">
        <v>136</v>
      </c>
      <c r="D132" s="170"/>
      <c r="E132" s="170"/>
      <c r="F132" s="170"/>
      <c r="G132" s="170" t="s">
        <v>30</v>
      </c>
      <c r="H132" s="171"/>
      <c r="I132" s="174">
        <v>67196</v>
      </c>
    </row>
    <row r="133" spans="1:9" s="162" customFormat="1" ht="17.25" customHeight="1" x14ac:dyDescent="0.35">
      <c r="A133" s="169"/>
      <c r="B133" s="170"/>
      <c r="C133" s="170"/>
      <c r="D133" s="170" t="s">
        <v>38</v>
      </c>
      <c r="E133" s="170">
        <v>1</v>
      </c>
      <c r="F133" s="170">
        <v>1</v>
      </c>
      <c r="G133" s="170"/>
      <c r="H133" s="171"/>
      <c r="I133" s="174"/>
    </row>
    <row r="134" spans="1:9" s="162" customFormat="1" ht="34.5" customHeight="1" x14ac:dyDescent="0.35">
      <c r="A134" s="169" t="s">
        <v>773</v>
      </c>
      <c r="B134" s="170" t="s">
        <v>660</v>
      </c>
      <c r="C134" s="170" t="s">
        <v>136</v>
      </c>
      <c r="D134" s="170"/>
      <c r="E134" s="170"/>
      <c r="F134" s="170"/>
      <c r="G134" s="170" t="s">
        <v>30</v>
      </c>
      <c r="H134" s="171"/>
      <c r="I134" s="175">
        <v>67197</v>
      </c>
    </row>
    <row r="135" spans="1:9" s="162" customFormat="1" ht="31.5" customHeight="1" x14ac:dyDescent="0.35">
      <c r="A135" s="169"/>
      <c r="B135" s="170"/>
      <c r="C135" s="170"/>
      <c r="D135" s="170" t="s">
        <v>38</v>
      </c>
      <c r="E135" s="170">
        <v>4</v>
      </c>
      <c r="F135" s="170">
        <v>45000</v>
      </c>
      <c r="G135" s="170"/>
      <c r="H135" s="171"/>
      <c r="I135" s="175"/>
    </row>
    <row r="136" spans="1:9" s="162" customFormat="1" ht="17.25" customHeight="1" x14ac:dyDescent="0.35">
      <c r="A136" s="169" t="s">
        <v>692</v>
      </c>
      <c r="B136" s="170" t="s">
        <v>693</v>
      </c>
      <c r="C136" s="170" t="s">
        <v>136</v>
      </c>
      <c r="D136" s="170"/>
      <c r="E136" s="170"/>
      <c r="F136" s="170"/>
      <c r="G136" s="170" t="s">
        <v>30</v>
      </c>
      <c r="H136" s="171"/>
      <c r="I136" s="174">
        <v>67198</v>
      </c>
    </row>
    <row r="137" spans="1:9" s="162" customFormat="1" ht="17.25" customHeight="1" x14ac:dyDescent="0.35">
      <c r="A137" s="169"/>
      <c r="B137" s="170"/>
      <c r="C137" s="170"/>
      <c r="D137" s="170" t="s">
        <v>38</v>
      </c>
      <c r="E137" s="170">
        <v>1</v>
      </c>
      <c r="F137" s="170">
        <v>1</v>
      </c>
      <c r="G137" s="170"/>
      <c r="H137" s="171"/>
      <c r="I137" s="174"/>
    </row>
    <row r="138" spans="1:9" s="162" customFormat="1" ht="17.25" customHeight="1" x14ac:dyDescent="0.35">
      <c r="A138" s="169" t="s">
        <v>774</v>
      </c>
      <c r="B138" s="170" t="s">
        <v>662</v>
      </c>
      <c r="C138" s="170" t="s">
        <v>136</v>
      </c>
      <c r="D138" s="170"/>
      <c r="E138" s="170"/>
      <c r="F138" s="170"/>
      <c r="G138" s="170" t="s">
        <v>30</v>
      </c>
      <c r="H138" s="171"/>
      <c r="I138" s="175">
        <v>70199</v>
      </c>
    </row>
    <row r="139" spans="1:9" s="172" customFormat="1" ht="17.25" customHeight="1" x14ac:dyDescent="0.35">
      <c r="A139" s="169"/>
      <c r="B139" s="170"/>
      <c r="C139" s="170"/>
      <c r="D139" s="170" t="s">
        <v>38</v>
      </c>
      <c r="E139" s="170">
        <v>4</v>
      </c>
      <c r="F139" s="170">
        <v>20000</v>
      </c>
      <c r="G139" s="170"/>
      <c r="H139" s="171"/>
      <c r="I139" s="175"/>
    </row>
    <row r="140" spans="1:9" s="162" customFormat="1" ht="17.25" customHeight="1" x14ac:dyDescent="0.35">
      <c r="A140" s="169" t="s">
        <v>694</v>
      </c>
      <c r="B140" s="170" t="s">
        <v>695</v>
      </c>
      <c r="C140" s="170" t="s">
        <v>136</v>
      </c>
      <c r="D140" s="170"/>
      <c r="E140" s="170"/>
      <c r="F140" s="170"/>
      <c r="G140" s="170" t="s">
        <v>30</v>
      </c>
      <c r="H140" s="171"/>
      <c r="I140" s="173">
        <v>70267</v>
      </c>
    </row>
    <row r="141" spans="1:9" s="162" customFormat="1" ht="17.25" customHeight="1" x14ac:dyDescent="0.35">
      <c r="A141" s="169"/>
      <c r="B141" s="170"/>
      <c r="C141" s="170"/>
      <c r="D141" s="170" t="s">
        <v>38</v>
      </c>
      <c r="E141" s="170">
        <v>1</v>
      </c>
      <c r="F141" s="170">
        <v>1</v>
      </c>
      <c r="G141" s="170"/>
      <c r="H141" s="171"/>
      <c r="I141" s="173"/>
    </row>
    <row r="142" spans="1:9" s="162" customFormat="1" ht="17.25" customHeight="1" x14ac:dyDescent="0.35">
      <c r="A142" s="169" t="s">
        <v>664</v>
      </c>
      <c r="B142" s="170" t="s">
        <v>665</v>
      </c>
      <c r="C142" s="170" t="s">
        <v>136</v>
      </c>
      <c r="D142" s="170" t="s">
        <v>31</v>
      </c>
      <c r="E142" s="170" t="s">
        <v>31</v>
      </c>
      <c r="F142" s="170" t="s">
        <v>31</v>
      </c>
      <c r="G142" s="170" t="s">
        <v>30</v>
      </c>
      <c r="H142" s="171"/>
      <c r="I142" s="174">
        <v>70200</v>
      </c>
    </row>
    <row r="143" spans="1:9" s="162" customFormat="1" ht="17.25" customHeight="1" x14ac:dyDescent="0.35">
      <c r="A143" s="169"/>
      <c r="B143" s="170"/>
      <c r="C143" s="170"/>
      <c r="D143" s="170" t="s">
        <v>38</v>
      </c>
      <c r="E143" s="170">
        <v>1</v>
      </c>
      <c r="F143" s="170">
        <v>3</v>
      </c>
      <c r="G143" s="170"/>
      <c r="H143" s="171"/>
      <c r="I143" s="174"/>
    </row>
    <row r="144" spans="1:9" s="162" customFormat="1" ht="17.25" customHeight="1" x14ac:dyDescent="0.35">
      <c r="A144" s="169" t="s">
        <v>202</v>
      </c>
      <c r="B144" s="170" t="s">
        <v>203</v>
      </c>
      <c r="C144" s="170" t="s">
        <v>136</v>
      </c>
      <c r="D144" s="170"/>
      <c r="E144" s="170"/>
      <c r="F144" s="170"/>
      <c r="G144" s="170" t="s">
        <v>30</v>
      </c>
      <c r="H144" s="171"/>
      <c r="I144" s="64">
        <v>67264</v>
      </c>
    </row>
    <row r="145" spans="1:9" s="162" customFormat="1" ht="17.25" customHeight="1" x14ac:dyDescent="0.35">
      <c r="A145" s="169"/>
      <c r="B145" s="170"/>
      <c r="C145" s="170"/>
      <c r="D145" s="170" t="s">
        <v>38</v>
      </c>
      <c r="E145" s="170">
        <v>1</v>
      </c>
      <c r="F145" s="170">
        <v>1</v>
      </c>
      <c r="G145" s="170"/>
      <c r="H145" s="171"/>
      <c r="I145" s="64" t="s">
        <v>204</v>
      </c>
    </row>
    <row r="146" spans="1:9" s="162" customFormat="1" ht="17.25" customHeight="1" x14ac:dyDescent="0.35">
      <c r="A146" s="169"/>
      <c r="B146" s="170"/>
      <c r="C146" s="170"/>
      <c r="D146" s="170" t="s">
        <v>38</v>
      </c>
      <c r="E146" s="170">
        <v>1</v>
      </c>
      <c r="F146" s="170">
        <v>2</v>
      </c>
      <c r="G146" s="170"/>
      <c r="H146" s="171"/>
      <c r="I146" s="64" t="s">
        <v>205</v>
      </c>
    </row>
    <row r="147" spans="1:9" s="162" customFormat="1" ht="17.25" customHeight="1" x14ac:dyDescent="0.35">
      <c r="A147" s="169"/>
      <c r="B147" s="170"/>
      <c r="C147" s="170"/>
      <c r="D147" s="170" t="s">
        <v>32</v>
      </c>
      <c r="E147" s="170">
        <v>32</v>
      </c>
      <c r="F147" s="170" t="s">
        <v>206</v>
      </c>
      <c r="G147" s="170"/>
      <c r="H147" s="171"/>
      <c r="I147" s="64" t="s">
        <v>207</v>
      </c>
    </row>
    <row r="148" spans="1:9" s="162" customFormat="1" ht="17.25" customHeight="1" x14ac:dyDescent="0.35">
      <c r="A148" s="169"/>
      <c r="B148" s="170"/>
      <c r="C148" s="170"/>
      <c r="D148" s="170" t="s">
        <v>38</v>
      </c>
      <c r="E148" s="170">
        <v>1</v>
      </c>
      <c r="F148" s="170">
        <v>1</v>
      </c>
      <c r="G148" s="170"/>
      <c r="H148" s="171"/>
      <c r="I148" s="64" t="s">
        <v>208</v>
      </c>
    </row>
    <row r="149" spans="1:9" s="162" customFormat="1" ht="17.25" customHeight="1" x14ac:dyDescent="0.35">
      <c r="A149" s="169"/>
      <c r="B149" s="170"/>
      <c r="C149" s="170"/>
      <c r="D149" s="170" t="s">
        <v>38</v>
      </c>
      <c r="E149" s="170">
        <v>1</v>
      </c>
      <c r="F149" s="170">
        <v>1</v>
      </c>
      <c r="G149" s="170"/>
      <c r="H149" s="171"/>
      <c r="I149" s="64" t="s">
        <v>209</v>
      </c>
    </row>
    <row r="150" spans="1:9" s="162" customFormat="1" ht="17.25" customHeight="1" x14ac:dyDescent="0.35">
      <c r="A150" s="169"/>
      <c r="B150" s="170"/>
      <c r="C150" s="170"/>
      <c r="D150" s="170" t="s">
        <v>38</v>
      </c>
      <c r="E150" s="170">
        <v>1</v>
      </c>
      <c r="F150" s="170">
        <v>0</v>
      </c>
      <c r="G150" s="170"/>
      <c r="H150" s="171"/>
      <c r="I150" s="64" t="s">
        <v>210</v>
      </c>
    </row>
    <row r="151" spans="1:9" s="172" customFormat="1" ht="17.25" customHeight="1" x14ac:dyDescent="0.35">
      <c r="A151" s="169"/>
      <c r="B151" s="170"/>
      <c r="C151" s="170"/>
      <c r="D151" s="170" t="s">
        <v>38</v>
      </c>
      <c r="E151" s="170">
        <v>1</v>
      </c>
      <c r="F151" s="170">
        <v>0</v>
      </c>
      <c r="G151" s="170"/>
      <c r="H151" s="171"/>
      <c r="I151" s="64" t="s">
        <v>211</v>
      </c>
    </row>
    <row r="152" spans="1:9" s="172" customFormat="1" ht="17.25" customHeight="1" x14ac:dyDescent="0.35">
      <c r="A152" s="169"/>
      <c r="B152" s="170"/>
      <c r="C152" s="170"/>
      <c r="D152" s="170" t="s">
        <v>32</v>
      </c>
      <c r="E152" s="170">
        <v>256</v>
      </c>
      <c r="F152" s="170" t="s">
        <v>212</v>
      </c>
      <c r="G152" s="170"/>
      <c r="H152" s="171"/>
      <c r="I152" s="64" t="s">
        <v>213</v>
      </c>
    </row>
    <row r="153" spans="1:9" s="172" customFormat="1" ht="17.25" customHeight="1" x14ac:dyDescent="0.35">
      <c r="A153" s="169"/>
      <c r="B153" s="170"/>
      <c r="C153" s="170"/>
      <c r="D153" s="170" t="s">
        <v>38</v>
      </c>
      <c r="E153" s="170">
        <v>1</v>
      </c>
      <c r="F153" s="170">
        <v>12</v>
      </c>
      <c r="G153" s="170"/>
      <c r="H153" s="171"/>
      <c r="I153" s="64" t="s">
        <v>214</v>
      </c>
    </row>
    <row r="154" spans="1:9" s="172" customFormat="1" ht="17.25" customHeight="1" x14ac:dyDescent="0.35">
      <c r="A154" s="169"/>
      <c r="B154" s="170"/>
      <c r="C154" s="170"/>
      <c r="D154" s="170" t="s">
        <v>38</v>
      </c>
      <c r="E154" s="170">
        <v>1</v>
      </c>
      <c r="F154" s="170">
        <v>0</v>
      </c>
      <c r="G154" s="170"/>
      <c r="H154" s="171"/>
      <c r="I154" s="64" t="s">
        <v>215</v>
      </c>
    </row>
    <row r="155" spans="1:9" s="172" customFormat="1" ht="17.25" customHeight="1" x14ac:dyDescent="0.35">
      <c r="A155" s="169"/>
      <c r="B155" s="170"/>
      <c r="C155" s="170"/>
      <c r="D155" s="170" t="s">
        <v>38</v>
      </c>
      <c r="E155" s="170">
        <v>1</v>
      </c>
      <c r="F155" s="170">
        <v>0</v>
      </c>
      <c r="G155" s="170"/>
      <c r="H155" s="171"/>
      <c r="I155" s="64" t="s">
        <v>216</v>
      </c>
    </row>
    <row r="156" spans="1:9" s="172" customFormat="1" ht="17.25" customHeight="1" x14ac:dyDescent="0.35">
      <c r="A156" s="169"/>
      <c r="B156" s="170"/>
      <c r="C156" s="170"/>
      <c r="D156" s="170" t="s">
        <v>38</v>
      </c>
      <c r="E156" s="170">
        <v>2</v>
      </c>
      <c r="F156" s="170">
        <v>0</v>
      </c>
      <c r="G156" s="170"/>
      <c r="H156" s="171"/>
      <c r="I156" s="64" t="s">
        <v>217</v>
      </c>
    </row>
    <row r="157" spans="1:9" s="172" customFormat="1" ht="17.25" customHeight="1" x14ac:dyDescent="0.35">
      <c r="A157" s="169"/>
      <c r="B157" s="170"/>
      <c r="C157" s="170"/>
      <c r="D157" s="170" t="s">
        <v>38</v>
      </c>
      <c r="E157" s="170">
        <v>1</v>
      </c>
      <c r="F157" s="170">
        <v>0</v>
      </c>
      <c r="G157" s="170"/>
      <c r="H157" s="171"/>
      <c r="I157" s="64" t="s">
        <v>218</v>
      </c>
    </row>
    <row r="158" spans="1:9" s="172" customFormat="1" ht="17.25" customHeight="1" x14ac:dyDescent="0.35">
      <c r="A158" s="169"/>
      <c r="B158" s="170"/>
      <c r="C158" s="170"/>
      <c r="D158" s="170" t="s">
        <v>38</v>
      </c>
      <c r="E158" s="170">
        <v>1</v>
      </c>
      <c r="F158" s="170">
        <v>0</v>
      </c>
      <c r="G158" s="170"/>
      <c r="H158" s="171"/>
      <c r="I158" s="64" t="s">
        <v>219</v>
      </c>
    </row>
    <row r="159" spans="1:9" s="172" customFormat="1" ht="17.25" customHeight="1" x14ac:dyDescent="0.35">
      <c r="A159" s="169"/>
      <c r="B159" s="170"/>
      <c r="C159" s="170"/>
      <c r="D159" s="170" t="s">
        <v>32</v>
      </c>
      <c r="E159" s="170">
        <v>32</v>
      </c>
      <c r="F159" s="170"/>
      <c r="G159" s="170"/>
      <c r="H159" s="171"/>
      <c r="I159" s="64" t="s">
        <v>220</v>
      </c>
    </row>
    <row r="160" spans="1:9" s="172" customFormat="1" ht="17.25" customHeight="1" x14ac:dyDescent="0.35">
      <c r="A160" s="169"/>
      <c r="B160" s="170"/>
      <c r="C160" s="170"/>
      <c r="D160" s="170" t="s">
        <v>32</v>
      </c>
      <c r="E160" s="170">
        <v>32</v>
      </c>
      <c r="F160" s="170">
        <v>101</v>
      </c>
      <c r="G160" s="170"/>
      <c r="H160" s="171"/>
      <c r="I160" s="64" t="s">
        <v>221</v>
      </c>
    </row>
    <row r="161" spans="1:9" s="172" customFormat="1" ht="17.25" customHeight="1" x14ac:dyDescent="0.35">
      <c r="A161" s="169"/>
      <c r="B161" s="170"/>
      <c r="C161" s="170"/>
      <c r="D161" s="170" t="s">
        <v>38</v>
      </c>
      <c r="E161" s="170">
        <v>1</v>
      </c>
      <c r="F161" s="170">
        <v>30</v>
      </c>
      <c r="G161" s="170"/>
      <c r="H161" s="171"/>
      <c r="I161" s="64" t="s">
        <v>222</v>
      </c>
    </row>
    <row r="162" spans="1:9" s="172" customFormat="1" ht="17.25" customHeight="1" x14ac:dyDescent="0.35">
      <c r="A162" s="169"/>
      <c r="B162" s="170"/>
      <c r="C162" s="170"/>
      <c r="D162" s="170" t="s">
        <v>32</v>
      </c>
      <c r="E162" s="170">
        <v>32</v>
      </c>
      <c r="F162" s="170" t="s">
        <v>223</v>
      </c>
      <c r="G162" s="170"/>
      <c r="H162" s="171"/>
      <c r="I162" s="64" t="s">
        <v>224</v>
      </c>
    </row>
    <row r="163" spans="1:9" s="172" customFormat="1" ht="17.25" customHeight="1" x14ac:dyDescent="0.35">
      <c r="A163" s="169"/>
      <c r="B163" s="170"/>
      <c r="C163" s="170"/>
      <c r="D163" s="170" t="s">
        <v>38</v>
      </c>
      <c r="E163" s="170">
        <v>1</v>
      </c>
      <c r="F163" s="170">
        <v>1</v>
      </c>
      <c r="G163" s="170"/>
      <c r="H163" s="171"/>
      <c r="I163" s="64" t="s">
        <v>225</v>
      </c>
    </row>
    <row r="164" spans="1:9" s="172" customFormat="1" ht="17.25" customHeight="1" x14ac:dyDescent="0.35">
      <c r="A164" s="169"/>
      <c r="B164" s="170"/>
      <c r="C164" s="170"/>
      <c r="D164" s="170" t="s">
        <v>38</v>
      </c>
      <c r="E164" s="170">
        <v>1</v>
      </c>
      <c r="F164" s="170">
        <v>15</v>
      </c>
      <c r="G164" s="170"/>
      <c r="H164" s="171"/>
      <c r="I164" s="64" t="s">
        <v>226</v>
      </c>
    </row>
    <row r="165" spans="1:9" s="172" customFormat="1" ht="17.25" customHeight="1" x14ac:dyDescent="0.35">
      <c r="A165" s="169"/>
      <c r="B165" s="170"/>
      <c r="C165" s="170"/>
      <c r="D165" s="170" t="s">
        <v>38</v>
      </c>
      <c r="E165" s="170">
        <v>1</v>
      </c>
      <c r="F165" s="170">
        <v>3</v>
      </c>
      <c r="G165" s="170"/>
      <c r="H165" s="171"/>
      <c r="I165" s="64" t="s">
        <v>227</v>
      </c>
    </row>
    <row r="166" spans="1:9" s="172" customFormat="1" ht="17.25" customHeight="1" x14ac:dyDescent="0.35">
      <c r="A166" s="169"/>
      <c r="B166" s="170"/>
      <c r="C166" s="170"/>
      <c r="D166" s="170" t="s">
        <v>38</v>
      </c>
      <c r="E166" s="170">
        <v>1</v>
      </c>
      <c r="F166" s="170">
        <v>30</v>
      </c>
      <c r="G166" s="170"/>
      <c r="H166" s="171"/>
      <c r="I166" s="64" t="s">
        <v>228</v>
      </c>
    </row>
    <row r="167" spans="1:9" s="172" customFormat="1" ht="17.25" customHeight="1" x14ac:dyDescent="0.35">
      <c r="A167" s="169"/>
      <c r="B167" s="170"/>
      <c r="C167" s="170"/>
      <c r="D167" s="170" t="s">
        <v>38</v>
      </c>
      <c r="E167" s="170">
        <v>1</v>
      </c>
      <c r="F167" s="170">
        <v>0</v>
      </c>
      <c r="G167" s="170"/>
      <c r="H167" s="171"/>
      <c r="I167" s="64" t="s">
        <v>229</v>
      </c>
    </row>
    <row r="168" spans="1:9" s="172" customFormat="1" ht="17.25" customHeight="1" x14ac:dyDescent="0.35">
      <c r="A168" s="169"/>
      <c r="B168" s="170"/>
      <c r="C168" s="170"/>
      <c r="D168" s="170" t="s">
        <v>38</v>
      </c>
      <c r="E168" s="170">
        <v>2</v>
      </c>
      <c r="F168" s="170">
        <v>5060</v>
      </c>
      <c r="G168" s="170"/>
      <c r="H168" s="171"/>
      <c r="I168" s="64" t="s">
        <v>230</v>
      </c>
    </row>
    <row r="169" spans="1:9" s="172" customFormat="1" ht="17.25" customHeight="1" x14ac:dyDescent="0.35">
      <c r="A169" s="169" t="s">
        <v>231</v>
      </c>
      <c r="B169" s="170" t="s">
        <v>232</v>
      </c>
      <c r="C169" s="170" t="s">
        <v>136</v>
      </c>
      <c r="D169" s="170"/>
      <c r="E169" s="170"/>
      <c r="F169" s="170" t="s">
        <v>31</v>
      </c>
      <c r="G169" s="170" t="s">
        <v>30</v>
      </c>
      <c r="H169" s="171"/>
      <c r="I169" s="64">
        <v>67259</v>
      </c>
    </row>
    <row r="170" spans="1:9" s="172" customFormat="1" ht="17.25" customHeight="1" x14ac:dyDescent="0.35">
      <c r="A170" s="169"/>
      <c r="B170" s="170"/>
      <c r="C170" s="170"/>
      <c r="D170" s="170" t="s">
        <v>32</v>
      </c>
      <c r="E170" s="170">
        <v>128</v>
      </c>
      <c r="F170" s="170">
        <v>10138</v>
      </c>
      <c r="G170" s="170"/>
      <c r="H170" s="171"/>
      <c r="I170" s="64" t="s">
        <v>233</v>
      </c>
    </row>
    <row r="171" spans="1:9" s="172" customFormat="1" ht="17.25" customHeight="1" x14ac:dyDescent="0.35">
      <c r="A171" s="169"/>
      <c r="B171" s="170"/>
      <c r="C171" s="170"/>
      <c r="D171" s="170" t="s">
        <v>38</v>
      </c>
      <c r="E171" s="170">
        <v>1</v>
      </c>
      <c r="F171" s="170">
        <v>1</v>
      </c>
      <c r="G171" s="170"/>
      <c r="H171" s="171"/>
      <c r="I171" s="64" t="s">
        <v>234</v>
      </c>
    </row>
    <row r="172" spans="1:9" s="172" customFormat="1" ht="17.25" customHeight="1" x14ac:dyDescent="0.35">
      <c r="A172" s="169"/>
      <c r="B172" s="170"/>
      <c r="C172" s="170"/>
      <c r="D172" s="170" t="s">
        <v>32</v>
      </c>
      <c r="E172" s="170">
        <v>128</v>
      </c>
      <c r="F172" s="170" t="s">
        <v>235</v>
      </c>
      <c r="G172" s="170"/>
      <c r="H172" s="171"/>
      <c r="I172" s="64" t="s">
        <v>236</v>
      </c>
    </row>
    <row r="173" spans="1:9" s="172" customFormat="1" ht="17.25" customHeight="1" x14ac:dyDescent="0.35">
      <c r="A173" s="169"/>
      <c r="B173" s="170"/>
      <c r="C173" s="170"/>
      <c r="D173" s="170" t="s">
        <v>32</v>
      </c>
      <c r="E173" s="170">
        <v>64</v>
      </c>
      <c r="F173" s="170" t="s">
        <v>237</v>
      </c>
      <c r="G173" s="170"/>
      <c r="H173" s="171"/>
      <c r="I173" s="64" t="s">
        <v>238</v>
      </c>
    </row>
    <row r="174" spans="1:9" s="172" customFormat="1" ht="17.25" customHeight="1" x14ac:dyDescent="0.35">
      <c r="A174" s="169"/>
      <c r="B174" s="170"/>
      <c r="C174" s="170"/>
      <c r="D174" s="170" t="s">
        <v>38</v>
      </c>
      <c r="E174" s="170">
        <v>4</v>
      </c>
      <c r="F174" s="170" t="s">
        <v>239</v>
      </c>
      <c r="G174" s="170"/>
      <c r="H174" s="171"/>
      <c r="I174" s="64" t="s">
        <v>240</v>
      </c>
    </row>
    <row r="175" spans="1:9" s="172" customFormat="1" ht="17.25" customHeight="1" x14ac:dyDescent="0.35">
      <c r="A175" s="169"/>
      <c r="B175" s="170"/>
      <c r="C175" s="170"/>
      <c r="D175" s="170" t="s">
        <v>32</v>
      </c>
      <c r="E175" s="170">
        <v>256</v>
      </c>
      <c r="F175" s="170"/>
      <c r="G175" s="170"/>
      <c r="H175" s="171"/>
      <c r="I175" s="64" t="s">
        <v>241</v>
      </c>
    </row>
    <row r="176" spans="1:9" s="172" customFormat="1" ht="17.25" customHeight="1" x14ac:dyDescent="0.35">
      <c r="A176" s="169"/>
      <c r="B176" s="170"/>
      <c r="C176" s="170"/>
      <c r="D176" s="170" t="s">
        <v>38</v>
      </c>
      <c r="E176" s="170">
        <v>1</v>
      </c>
      <c r="F176" s="170">
        <v>1</v>
      </c>
      <c r="G176" s="170"/>
      <c r="H176" s="171"/>
      <c r="I176" s="64" t="s">
        <v>242</v>
      </c>
    </row>
    <row r="177" spans="1:9" s="172" customFormat="1" ht="17.25" customHeight="1" x14ac:dyDescent="0.35">
      <c r="A177" s="169" t="s">
        <v>243</v>
      </c>
      <c r="B177" s="170" t="s">
        <v>244</v>
      </c>
      <c r="C177" s="170" t="s">
        <v>136</v>
      </c>
      <c r="D177" s="170"/>
      <c r="E177" s="170"/>
      <c r="F177" s="170"/>
      <c r="G177" s="170" t="s">
        <v>30</v>
      </c>
      <c r="H177" s="171"/>
      <c r="I177" s="64">
        <v>69744</v>
      </c>
    </row>
    <row r="178" spans="1:9" s="172" customFormat="1" ht="17.25" customHeight="1" x14ac:dyDescent="0.35">
      <c r="A178" s="169"/>
      <c r="B178" s="170"/>
      <c r="C178" s="170"/>
      <c r="D178" s="170" t="s">
        <v>38</v>
      </c>
      <c r="E178" s="170">
        <v>1</v>
      </c>
      <c r="F178" s="170">
        <v>11</v>
      </c>
      <c r="G178" s="170"/>
      <c r="H178" s="171"/>
      <c r="I178" s="64" t="s">
        <v>245</v>
      </c>
    </row>
    <row r="179" spans="1:9" s="162" customFormat="1" ht="17.25" customHeight="1" x14ac:dyDescent="0.35">
      <c r="A179" s="169"/>
      <c r="B179" s="170"/>
      <c r="C179" s="170"/>
      <c r="D179" s="170" t="s">
        <v>38</v>
      </c>
      <c r="E179" s="170">
        <v>2</v>
      </c>
      <c r="F179" s="170">
        <v>5060</v>
      </c>
      <c r="G179" s="170"/>
      <c r="H179" s="171"/>
      <c r="I179" s="64" t="s">
        <v>246</v>
      </c>
    </row>
    <row r="180" spans="1:9" s="162" customFormat="1" ht="17.25" customHeight="1" x14ac:dyDescent="0.35">
      <c r="A180" s="169"/>
      <c r="B180" s="170"/>
      <c r="C180" s="170"/>
      <c r="D180" s="170" t="s">
        <v>38</v>
      </c>
      <c r="E180" s="170">
        <v>4</v>
      </c>
      <c r="F180" s="170">
        <v>0</v>
      </c>
      <c r="G180" s="170"/>
      <c r="H180" s="171"/>
      <c r="I180" s="64" t="s">
        <v>247</v>
      </c>
    </row>
    <row r="181" spans="1:9" s="162" customFormat="1" ht="17.25" customHeight="1" x14ac:dyDescent="0.35">
      <c r="A181" s="169"/>
      <c r="B181" s="170"/>
      <c r="C181" s="170"/>
      <c r="D181" s="170" t="s">
        <v>38</v>
      </c>
      <c r="E181" s="170">
        <v>4</v>
      </c>
      <c r="F181" s="170">
        <v>0</v>
      </c>
      <c r="G181" s="170"/>
      <c r="H181" s="171"/>
      <c r="I181" s="64" t="s">
        <v>248</v>
      </c>
    </row>
    <row r="182" spans="1:9" s="162" customFormat="1" ht="17.25" customHeight="1" x14ac:dyDescent="0.35">
      <c r="A182" s="169"/>
      <c r="B182" s="170"/>
      <c r="C182" s="170"/>
      <c r="D182" s="170" t="s">
        <v>38</v>
      </c>
      <c r="E182" s="170">
        <v>4</v>
      </c>
      <c r="F182" s="170">
        <v>2000</v>
      </c>
      <c r="G182" s="170"/>
      <c r="H182" s="171"/>
      <c r="I182" s="64" t="s">
        <v>249</v>
      </c>
    </row>
    <row r="183" spans="1:9" s="162" customFormat="1" ht="17.25" customHeight="1" x14ac:dyDescent="0.35">
      <c r="A183" s="169"/>
      <c r="B183" s="170"/>
      <c r="C183" s="170"/>
      <c r="D183" s="170" t="s">
        <v>38</v>
      </c>
      <c r="E183" s="170">
        <v>4</v>
      </c>
      <c r="F183" s="170">
        <v>16000</v>
      </c>
      <c r="G183" s="170"/>
      <c r="H183" s="171"/>
      <c r="I183" s="64" t="s">
        <v>250</v>
      </c>
    </row>
    <row r="184" spans="1:9" s="162" customFormat="1" ht="17.25" customHeight="1" x14ac:dyDescent="0.35">
      <c r="A184" s="169"/>
      <c r="B184" s="170"/>
      <c r="C184" s="170"/>
      <c r="D184" s="170" t="s">
        <v>38</v>
      </c>
      <c r="E184" s="170">
        <v>4</v>
      </c>
      <c r="F184" s="170">
        <v>17000</v>
      </c>
      <c r="G184" s="170"/>
      <c r="H184" s="171"/>
      <c r="I184" s="64" t="s">
        <v>251</v>
      </c>
    </row>
    <row r="185" spans="1:9" s="162" customFormat="1" ht="17.25" customHeight="1" x14ac:dyDescent="0.35">
      <c r="A185" s="169"/>
      <c r="B185" s="170"/>
      <c r="C185" s="170"/>
      <c r="D185" s="170" t="s">
        <v>38</v>
      </c>
      <c r="E185" s="170">
        <v>4</v>
      </c>
      <c r="F185" s="170">
        <v>32000</v>
      </c>
      <c r="G185" s="170"/>
      <c r="H185" s="171"/>
      <c r="I185" s="64" t="s">
        <v>252</v>
      </c>
    </row>
    <row r="186" spans="1:9" s="162" customFormat="1" ht="17.25" customHeight="1" x14ac:dyDescent="0.35">
      <c r="A186" s="169"/>
      <c r="B186" s="170"/>
      <c r="C186" s="170"/>
      <c r="D186" s="170" t="s">
        <v>38</v>
      </c>
      <c r="E186" s="170">
        <v>4</v>
      </c>
      <c r="F186" s="170">
        <v>32000</v>
      </c>
      <c r="G186" s="170"/>
      <c r="H186" s="171"/>
      <c r="I186" s="64" t="s">
        <v>253</v>
      </c>
    </row>
    <row r="187" spans="1:9" s="162" customFormat="1" ht="17.25" customHeight="1" x14ac:dyDescent="0.35">
      <c r="A187" s="169"/>
      <c r="B187" s="170"/>
      <c r="C187" s="170"/>
      <c r="D187" s="170" t="s">
        <v>38</v>
      </c>
      <c r="E187" s="170">
        <v>2</v>
      </c>
      <c r="F187" s="170">
        <v>1024</v>
      </c>
      <c r="G187" s="170"/>
      <c r="H187" s="171"/>
      <c r="I187" s="64" t="s">
        <v>254</v>
      </c>
    </row>
    <row r="188" spans="1:9" s="162" customFormat="1" ht="17.25" customHeight="1" x14ac:dyDescent="0.35">
      <c r="A188" s="169"/>
      <c r="B188" s="170"/>
      <c r="C188" s="170"/>
      <c r="D188" s="170" t="s">
        <v>38</v>
      </c>
      <c r="E188" s="170">
        <v>1</v>
      </c>
      <c r="F188" s="170">
        <v>1</v>
      </c>
      <c r="G188" s="170"/>
      <c r="H188" s="171"/>
      <c r="I188" s="64" t="s">
        <v>255</v>
      </c>
    </row>
    <row r="189" spans="1:9" s="172" customFormat="1" ht="17.25" customHeight="1" x14ac:dyDescent="0.35">
      <c r="A189" s="169"/>
      <c r="B189" s="170"/>
      <c r="C189" s="170"/>
      <c r="D189" s="170" t="s">
        <v>38</v>
      </c>
      <c r="E189" s="170">
        <v>1</v>
      </c>
      <c r="F189" s="170">
        <v>0</v>
      </c>
      <c r="G189" s="170"/>
      <c r="H189" s="171"/>
      <c r="I189" s="64" t="s">
        <v>256</v>
      </c>
    </row>
    <row r="190" spans="1:9" s="172" customFormat="1" ht="17.25" customHeight="1" x14ac:dyDescent="0.35">
      <c r="A190" s="169"/>
      <c r="B190" s="170"/>
      <c r="C190" s="170"/>
      <c r="D190" s="170" t="s">
        <v>38</v>
      </c>
      <c r="E190" s="170">
        <v>1</v>
      </c>
      <c r="F190" s="170">
        <v>0</v>
      </c>
      <c r="G190" s="170"/>
      <c r="H190" s="171"/>
      <c r="I190" s="64" t="s">
        <v>257</v>
      </c>
    </row>
    <row r="191" spans="1:9" s="172" customFormat="1" ht="17.25" customHeight="1" x14ac:dyDescent="0.35">
      <c r="A191" s="169"/>
      <c r="B191" s="170"/>
      <c r="C191" s="170"/>
      <c r="D191" s="170" t="s">
        <v>38</v>
      </c>
      <c r="E191" s="170">
        <v>1</v>
      </c>
      <c r="F191" s="170">
        <v>3</v>
      </c>
      <c r="G191" s="170"/>
      <c r="H191" s="171"/>
      <c r="I191" s="64" t="s">
        <v>258</v>
      </c>
    </row>
    <row r="192" spans="1:9" s="172" customFormat="1" ht="17.25" customHeight="1" x14ac:dyDescent="0.35">
      <c r="A192" s="169"/>
      <c r="B192" s="170"/>
      <c r="C192" s="170"/>
      <c r="D192" s="170" t="s">
        <v>38</v>
      </c>
      <c r="E192" s="170">
        <v>1</v>
      </c>
      <c r="F192" s="170">
        <v>7</v>
      </c>
      <c r="G192" s="170"/>
      <c r="H192" s="171"/>
      <c r="I192" s="64" t="s">
        <v>259</v>
      </c>
    </row>
    <row r="193" spans="1:9" s="172" customFormat="1" ht="17.25" customHeight="1" x14ac:dyDescent="0.35">
      <c r="A193" s="169"/>
      <c r="B193" s="170"/>
      <c r="C193" s="170"/>
      <c r="D193" s="170" t="s">
        <v>38</v>
      </c>
      <c r="E193" s="170">
        <v>1</v>
      </c>
      <c r="F193" s="170">
        <v>0</v>
      </c>
      <c r="G193" s="170"/>
      <c r="H193" s="171"/>
      <c r="I193" s="64" t="s">
        <v>260</v>
      </c>
    </row>
    <row r="194" spans="1:9" s="172" customFormat="1" ht="17.25" customHeight="1" x14ac:dyDescent="0.35">
      <c r="A194" s="169"/>
      <c r="B194" s="170"/>
      <c r="C194" s="170"/>
      <c r="D194" s="170" t="s">
        <v>38</v>
      </c>
      <c r="E194" s="170">
        <v>1</v>
      </c>
      <c r="F194" s="170">
        <v>0</v>
      </c>
      <c r="G194" s="170"/>
      <c r="H194" s="171"/>
      <c r="I194" s="64" t="s">
        <v>261</v>
      </c>
    </row>
    <row r="195" spans="1:9" s="172" customFormat="1" ht="17.25" customHeight="1" x14ac:dyDescent="0.35">
      <c r="A195" s="169"/>
      <c r="B195" s="170"/>
      <c r="C195" s="170"/>
      <c r="D195" s="170" t="s">
        <v>32</v>
      </c>
      <c r="E195" s="170">
        <v>256</v>
      </c>
      <c r="F195" s="170"/>
      <c r="G195" s="170"/>
      <c r="H195" s="171"/>
      <c r="I195" s="64" t="s">
        <v>262</v>
      </c>
    </row>
    <row r="196" spans="1:9" s="172" customFormat="1" ht="17.25" customHeight="1" x14ac:dyDescent="0.35">
      <c r="A196" s="169"/>
      <c r="B196" s="170"/>
      <c r="C196" s="170"/>
      <c r="D196" s="170" t="s">
        <v>32</v>
      </c>
      <c r="E196" s="170">
        <v>256</v>
      </c>
      <c r="F196" s="170"/>
      <c r="G196" s="170"/>
      <c r="H196" s="171"/>
      <c r="I196" s="64" t="s">
        <v>263</v>
      </c>
    </row>
    <row r="197" spans="1:9" s="172" customFormat="1" ht="17.25" customHeight="1" x14ac:dyDescent="0.35">
      <c r="A197" s="169"/>
      <c r="B197" s="170"/>
      <c r="C197" s="170"/>
      <c r="D197" s="170" t="s">
        <v>38</v>
      </c>
      <c r="E197" s="170">
        <v>1</v>
      </c>
      <c r="F197" s="170"/>
      <c r="G197" s="170"/>
      <c r="H197" s="171"/>
      <c r="I197" s="64" t="s">
        <v>264</v>
      </c>
    </row>
    <row r="198" spans="1:9" s="172" customFormat="1" ht="17.25" customHeight="1" x14ac:dyDescent="0.35">
      <c r="A198" s="169"/>
      <c r="B198" s="170"/>
      <c r="C198" s="170"/>
      <c r="D198" s="170" t="s">
        <v>38</v>
      </c>
      <c r="E198" s="170">
        <v>4</v>
      </c>
      <c r="F198" s="170"/>
      <c r="G198" s="170"/>
      <c r="H198" s="171"/>
      <c r="I198" s="64" t="s">
        <v>265</v>
      </c>
    </row>
    <row r="199" spans="1:9" s="172" customFormat="1" ht="17.25" customHeight="1" x14ac:dyDescent="0.35">
      <c r="A199" s="169"/>
      <c r="B199" s="170"/>
      <c r="C199" s="170"/>
      <c r="D199" s="170" t="s">
        <v>38</v>
      </c>
      <c r="E199" s="170">
        <v>4</v>
      </c>
      <c r="F199" s="170">
        <v>0</v>
      </c>
      <c r="G199" s="170"/>
      <c r="H199" s="171"/>
      <c r="I199" s="64" t="s">
        <v>266</v>
      </c>
    </row>
    <row r="200" spans="1:9" s="172" customFormat="1" ht="17.25" customHeight="1" x14ac:dyDescent="0.35">
      <c r="A200" s="169"/>
      <c r="B200" s="170"/>
      <c r="C200" s="170"/>
      <c r="D200" s="170" t="s">
        <v>38</v>
      </c>
      <c r="E200" s="170">
        <v>4</v>
      </c>
      <c r="F200" s="170">
        <v>0</v>
      </c>
      <c r="G200" s="170"/>
      <c r="H200" s="171"/>
      <c r="I200" s="64" t="s">
        <v>267</v>
      </c>
    </row>
    <row r="201" spans="1:9" s="162" customFormat="1" ht="17.25" customHeight="1" x14ac:dyDescent="0.35">
      <c r="A201" s="169"/>
      <c r="B201" s="170"/>
      <c r="C201" s="170"/>
      <c r="D201" s="170" t="s">
        <v>38</v>
      </c>
      <c r="E201" s="170">
        <v>4</v>
      </c>
      <c r="F201" s="170"/>
      <c r="G201" s="170"/>
      <c r="H201" s="171"/>
      <c r="I201" s="64" t="s">
        <v>268</v>
      </c>
    </row>
    <row r="202" spans="1:9" s="162" customFormat="1" ht="17.25" customHeight="1" x14ac:dyDescent="0.35">
      <c r="A202" s="169"/>
      <c r="B202" s="170"/>
      <c r="C202" s="170"/>
      <c r="D202" s="170" t="s">
        <v>38</v>
      </c>
      <c r="E202" s="170">
        <v>4</v>
      </c>
      <c r="F202" s="170"/>
      <c r="G202" s="170"/>
      <c r="H202" s="171"/>
      <c r="I202" s="64" t="s">
        <v>269</v>
      </c>
    </row>
    <row r="203" spans="1:9" s="172" customFormat="1" ht="17.25" customHeight="1" x14ac:dyDescent="0.35">
      <c r="A203" s="169"/>
      <c r="B203" s="170"/>
      <c r="C203" s="170"/>
      <c r="D203" s="170" t="s">
        <v>38</v>
      </c>
      <c r="E203" s="170">
        <v>4</v>
      </c>
      <c r="F203" s="170"/>
      <c r="G203" s="170"/>
      <c r="H203" s="171"/>
      <c r="I203" s="64" t="s">
        <v>270</v>
      </c>
    </row>
    <row r="204" spans="1:9" s="172" customFormat="1" ht="17.25" customHeight="1" x14ac:dyDescent="0.35">
      <c r="A204" s="169"/>
      <c r="B204" s="170"/>
      <c r="C204" s="170"/>
      <c r="D204" s="170" t="s">
        <v>38</v>
      </c>
      <c r="E204" s="170">
        <v>4</v>
      </c>
      <c r="F204" s="170"/>
      <c r="G204" s="170"/>
      <c r="H204" s="171"/>
      <c r="I204" s="64" t="s">
        <v>271</v>
      </c>
    </row>
    <row r="205" spans="1:9" s="172" customFormat="1" ht="17.25" customHeight="1" x14ac:dyDescent="0.35">
      <c r="A205" s="169"/>
      <c r="B205" s="170"/>
      <c r="C205" s="170"/>
      <c r="D205" s="170" t="s">
        <v>38</v>
      </c>
      <c r="E205" s="170">
        <v>4</v>
      </c>
      <c r="F205" s="170"/>
      <c r="G205" s="170"/>
      <c r="H205" s="171"/>
      <c r="I205" s="64" t="s">
        <v>272</v>
      </c>
    </row>
    <row r="206" spans="1:9" s="172" customFormat="1" ht="17.25" customHeight="1" x14ac:dyDescent="0.35">
      <c r="A206" s="169"/>
      <c r="B206" s="170"/>
      <c r="C206" s="170"/>
      <c r="D206" s="170" t="s">
        <v>38</v>
      </c>
      <c r="E206" s="170">
        <v>1</v>
      </c>
      <c r="F206" s="170">
        <v>0</v>
      </c>
      <c r="G206" s="170"/>
      <c r="H206" s="171"/>
      <c r="I206" s="64" t="s">
        <v>273</v>
      </c>
    </row>
    <row r="207" spans="1:9" s="172" customFormat="1" ht="17.25" customHeight="1" x14ac:dyDescent="0.35">
      <c r="A207" s="169"/>
      <c r="B207" s="170"/>
      <c r="C207" s="170"/>
      <c r="D207" s="170" t="s">
        <v>38</v>
      </c>
      <c r="E207" s="170">
        <v>2</v>
      </c>
      <c r="F207" s="170">
        <v>0</v>
      </c>
      <c r="G207" s="170"/>
      <c r="H207" s="171"/>
      <c r="I207" s="64" t="s">
        <v>274</v>
      </c>
    </row>
    <row r="208" spans="1:9" s="172" customFormat="1" ht="17.25" customHeight="1" x14ac:dyDescent="0.35">
      <c r="A208" s="169"/>
      <c r="B208" s="170"/>
      <c r="C208" s="170"/>
      <c r="D208" s="170" t="s">
        <v>38</v>
      </c>
      <c r="E208" s="170">
        <v>4</v>
      </c>
      <c r="F208" s="170">
        <v>32000</v>
      </c>
      <c r="G208" s="170"/>
      <c r="H208" s="171"/>
      <c r="I208" s="64" t="s">
        <v>275</v>
      </c>
    </row>
    <row r="209" spans="1:9" s="172" customFormat="1" ht="17.25" customHeight="1" x14ac:dyDescent="0.35">
      <c r="A209" s="169"/>
      <c r="B209" s="170"/>
      <c r="C209" s="170"/>
      <c r="D209" s="170" t="s">
        <v>38</v>
      </c>
      <c r="E209" s="170">
        <v>1</v>
      </c>
      <c r="F209" s="170"/>
      <c r="G209" s="170"/>
      <c r="H209" s="171"/>
      <c r="I209" s="64" t="s">
        <v>276</v>
      </c>
    </row>
    <row r="210" spans="1:9" s="172" customFormat="1" ht="17.25" customHeight="1" x14ac:dyDescent="0.35">
      <c r="A210" s="169"/>
      <c r="B210" s="170"/>
      <c r="C210" s="170"/>
      <c r="D210" s="170" t="s">
        <v>38</v>
      </c>
      <c r="E210" s="170">
        <v>1</v>
      </c>
      <c r="F210" s="170"/>
      <c r="G210" s="170"/>
      <c r="H210" s="171"/>
      <c r="I210" s="64" t="s">
        <v>277</v>
      </c>
    </row>
    <row r="211" spans="1:9" s="172" customFormat="1" ht="17.25" customHeight="1" x14ac:dyDescent="0.35">
      <c r="A211" s="169"/>
      <c r="B211" s="170"/>
      <c r="C211" s="170"/>
      <c r="D211" s="170" t="s">
        <v>38</v>
      </c>
      <c r="E211" s="170">
        <v>4</v>
      </c>
      <c r="F211" s="170"/>
      <c r="G211" s="170"/>
      <c r="H211" s="171"/>
      <c r="I211" s="64" t="s">
        <v>278</v>
      </c>
    </row>
    <row r="212" spans="1:9" s="172" customFormat="1" ht="17.25" customHeight="1" x14ac:dyDescent="0.35">
      <c r="A212" s="169"/>
      <c r="B212" s="170"/>
      <c r="C212" s="170"/>
      <c r="D212" s="170" t="s">
        <v>38</v>
      </c>
      <c r="E212" s="170">
        <v>1</v>
      </c>
      <c r="F212" s="170"/>
      <c r="G212" s="170"/>
      <c r="H212" s="171"/>
      <c r="I212" s="64" t="s">
        <v>279</v>
      </c>
    </row>
    <row r="213" spans="1:9" s="172" customFormat="1" ht="17.25" customHeight="1" x14ac:dyDescent="0.35">
      <c r="A213" s="169"/>
      <c r="B213" s="170"/>
      <c r="C213" s="170"/>
      <c r="D213" s="170" t="s">
        <v>38</v>
      </c>
      <c r="E213" s="170">
        <v>1</v>
      </c>
      <c r="F213" s="170">
        <v>40</v>
      </c>
      <c r="G213" s="170"/>
      <c r="H213" s="171"/>
      <c r="I213" s="64" t="s">
        <v>280</v>
      </c>
    </row>
    <row r="214" spans="1:9" s="172" customFormat="1" ht="17.25" customHeight="1" x14ac:dyDescent="0.35">
      <c r="A214" s="169"/>
      <c r="B214" s="170"/>
      <c r="C214" s="170"/>
      <c r="D214" s="170" t="s">
        <v>38</v>
      </c>
      <c r="E214" s="170">
        <v>4</v>
      </c>
      <c r="F214" s="170"/>
      <c r="G214" s="170"/>
      <c r="H214" s="171"/>
      <c r="I214" s="64" t="s">
        <v>684</v>
      </c>
    </row>
    <row r="215" spans="1:9" s="172" customFormat="1" ht="17.25" customHeight="1" x14ac:dyDescent="0.35">
      <c r="A215" s="169"/>
      <c r="B215" s="170"/>
      <c r="C215" s="170"/>
      <c r="D215" s="170" t="s">
        <v>38</v>
      </c>
      <c r="E215" s="170">
        <v>4</v>
      </c>
      <c r="F215" s="170"/>
      <c r="G215" s="170"/>
      <c r="H215" s="171"/>
      <c r="I215" s="64" t="s">
        <v>685</v>
      </c>
    </row>
    <row r="216" spans="1:9" s="172" customFormat="1" ht="17.25" customHeight="1" x14ac:dyDescent="0.35">
      <c r="A216" s="169"/>
      <c r="B216" s="170"/>
      <c r="C216" s="170"/>
      <c r="D216" s="170" t="s">
        <v>38</v>
      </c>
      <c r="E216" s="170">
        <v>2</v>
      </c>
      <c r="F216" s="170"/>
      <c r="G216" s="170"/>
      <c r="H216" s="171"/>
      <c r="I216" s="64" t="s">
        <v>686</v>
      </c>
    </row>
    <row r="217" spans="1:9" s="172" customFormat="1" ht="17.25" customHeight="1" x14ac:dyDescent="0.35">
      <c r="A217" s="169"/>
      <c r="B217" s="170"/>
      <c r="C217" s="170"/>
      <c r="D217" s="170" t="s">
        <v>38</v>
      </c>
      <c r="E217" s="170">
        <v>4</v>
      </c>
      <c r="F217" s="170"/>
      <c r="G217" s="170"/>
      <c r="H217" s="171"/>
      <c r="I217" s="64" t="s">
        <v>687</v>
      </c>
    </row>
    <row r="218" spans="1:9" s="172" customFormat="1" ht="17.25" customHeight="1" x14ac:dyDescent="0.35">
      <c r="A218" s="169"/>
      <c r="B218" s="170"/>
      <c r="C218" s="170"/>
      <c r="D218" s="170" t="s">
        <v>38</v>
      </c>
      <c r="E218" s="170">
        <v>4</v>
      </c>
      <c r="F218" s="170"/>
      <c r="G218" s="170"/>
      <c r="H218" s="171"/>
      <c r="I218" s="64" t="s">
        <v>688</v>
      </c>
    </row>
    <row r="219" spans="1:9" s="172" customFormat="1" ht="17.25" customHeight="1" x14ac:dyDescent="0.35">
      <c r="A219" s="169"/>
      <c r="B219" s="170"/>
      <c r="C219" s="170"/>
      <c r="D219" s="170" t="s">
        <v>32</v>
      </c>
      <c r="E219" s="170">
        <v>406</v>
      </c>
      <c r="F219" s="170"/>
      <c r="G219" s="170"/>
      <c r="H219" s="171"/>
      <c r="I219" s="64" t="s">
        <v>180</v>
      </c>
    </row>
    <row r="220" spans="1:9" s="172" customFormat="1" ht="17.25" customHeight="1" x14ac:dyDescent="0.35">
      <c r="A220" s="169" t="s">
        <v>281</v>
      </c>
      <c r="B220" s="170" t="s">
        <v>282</v>
      </c>
      <c r="C220" s="170" t="s">
        <v>136</v>
      </c>
      <c r="D220" s="170"/>
      <c r="E220" s="170"/>
      <c r="F220" s="170"/>
      <c r="G220" s="170" t="s">
        <v>30</v>
      </c>
      <c r="H220" s="171"/>
      <c r="I220" s="64">
        <v>69673</v>
      </c>
    </row>
    <row r="221" spans="1:9" s="172" customFormat="1" ht="17.25" customHeight="1" x14ac:dyDescent="0.35">
      <c r="A221" s="169"/>
      <c r="B221" s="170"/>
      <c r="C221" s="170"/>
      <c r="D221" s="170" t="s">
        <v>38</v>
      </c>
      <c r="E221" s="170">
        <v>1</v>
      </c>
      <c r="F221" s="170">
        <v>2</v>
      </c>
      <c r="G221" s="170"/>
      <c r="H221" s="171"/>
      <c r="I221" s="64" t="s">
        <v>31</v>
      </c>
    </row>
    <row r="222" spans="1:9" s="172" customFormat="1" ht="17.25" customHeight="1" x14ac:dyDescent="0.35">
      <c r="A222" s="169" t="s">
        <v>283</v>
      </c>
      <c r="B222" s="170" t="s">
        <v>284</v>
      </c>
      <c r="C222" s="170" t="s">
        <v>136</v>
      </c>
      <c r="D222" s="170"/>
      <c r="E222" s="170"/>
      <c r="F222" s="170"/>
      <c r="G222" s="170" t="s">
        <v>30</v>
      </c>
      <c r="H222" s="171"/>
      <c r="I222" s="64">
        <v>67348</v>
      </c>
    </row>
    <row r="223" spans="1:9" s="172" customFormat="1" ht="17.25" customHeight="1" x14ac:dyDescent="0.35">
      <c r="A223" s="169"/>
      <c r="B223" s="170"/>
      <c r="C223" s="170"/>
      <c r="D223" s="170" t="s">
        <v>38</v>
      </c>
      <c r="E223" s="170">
        <v>1</v>
      </c>
      <c r="F223" s="170">
        <v>25</v>
      </c>
      <c r="G223" s="170"/>
      <c r="H223" s="171"/>
      <c r="I223" s="64" t="s">
        <v>177</v>
      </c>
    </row>
    <row r="224" spans="1:9" s="172" customFormat="1" ht="17.25" customHeight="1" x14ac:dyDescent="0.35">
      <c r="A224" s="169"/>
      <c r="B224" s="170"/>
      <c r="C224" s="170"/>
      <c r="D224" s="170" t="s">
        <v>38</v>
      </c>
      <c r="E224" s="170">
        <v>1</v>
      </c>
      <c r="F224" s="170">
        <v>1</v>
      </c>
      <c r="G224" s="170"/>
      <c r="H224" s="171"/>
      <c r="I224" s="64" t="s">
        <v>285</v>
      </c>
    </row>
    <row r="225" spans="1:9" s="172" customFormat="1" ht="17.25" customHeight="1" x14ac:dyDescent="0.35">
      <c r="A225" s="169"/>
      <c r="B225" s="170"/>
      <c r="C225" s="170"/>
      <c r="D225" s="170" t="s">
        <v>38</v>
      </c>
      <c r="E225" s="170">
        <v>4</v>
      </c>
      <c r="F225" s="170">
        <v>0</v>
      </c>
      <c r="G225" s="170"/>
      <c r="H225" s="171"/>
      <c r="I225" s="64" t="s">
        <v>286</v>
      </c>
    </row>
    <row r="226" spans="1:9" s="172" customFormat="1" ht="17.25" customHeight="1" x14ac:dyDescent="0.35">
      <c r="A226" s="169"/>
      <c r="B226" s="170"/>
      <c r="C226" s="170"/>
      <c r="D226" s="170" t="s">
        <v>38</v>
      </c>
      <c r="E226" s="170">
        <v>1</v>
      </c>
      <c r="F226" s="170">
        <v>0</v>
      </c>
      <c r="G226" s="170"/>
      <c r="H226" s="171"/>
      <c r="I226" s="64" t="s">
        <v>287</v>
      </c>
    </row>
    <row r="227" spans="1:9" s="172" customFormat="1" ht="17.25" customHeight="1" x14ac:dyDescent="0.35">
      <c r="A227" s="169"/>
      <c r="B227" s="170"/>
      <c r="C227" s="170"/>
      <c r="D227" s="170" t="s">
        <v>38</v>
      </c>
      <c r="E227" s="170">
        <v>1</v>
      </c>
      <c r="F227" s="170">
        <v>0</v>
      </c>
      <c r="G227" s="170"/>
      <c r="H227" s="171"/>
      <c r="I227" s="64" t="s">
        <v>288</v>
      </c>
    </row>
    <row r="228" spans="1:9" s="172" customFormat="1" ht="17.25" customHeight="1" x14ac:dyDescent="0.35">
      <c r="A228" s="169"/>
      <c r="B228" s="170"/>
      <c r="C228" s="170"/>
      <c r="D228" s="170" t="s">
        <v>38</v>
      </c>
      <c r="E228" s="170">
        <v>1</v>
      </c>
      <c r="F228" s="170">
        <v>0</v>
      </c>
      <c r="G228" s="170"/>
      <c r="H228" s="171"/>
      <c r="I228" s="64" t="s">
        <v>289</v>
      </c>
    </row>
    <row r="229" spans="1:9" s="172" customFormat="1" ht="17.25" customHeight="1" x14ac:dyDescent="0.35">
      <c r="A229" s="169"/>
      <c r="B229" s="170"/>
      <c r="C229" s="170"/>
      <c r="D229" s="170" t="s">
        <v>38</v>
      </c>
      <c r="E229" s="170">
        <v>1</v>
      </c>
      <c r="F229" s="170">
        <v>0</v>
      </c>
      <c r="G229" s="170"/>
      <c r="H229" s="171"/>
      <c r="I229" s="64" t="s">
        <v>290</v>
      </c>
    </row>
    <row r="230" spans="1:9" s="172" customFormat="1" ht="17.25" customHeight="1" x14ac:dyDescent="0.35">
      <c r="A230" s="169"/>
      <c r="B230" s="170"/>
      <c r="C230" s="170"/>
      <c r="D230" s="170" t="s">
        <v>32</v>
      </c>
      <c r="E230" s="170">
        <v>16</v>
      </c>
      <c r="F230" s="170"/>
      <c r="G230" s="170"/>
      <c r="H230" s="171"/>
      <c r="I230" s="64" t="s">
        <v>291</v>
      </c>
    </row>
    <row r="231" spans="1:9" s="172" customFormat="1" ht="17.25" customHeight="1" x14ac:dyDescent="0.35">
      <c r="A231" s="169"/>
      <c r="B231" s="170"/>
      <c r="C231" s="170"/>
      <c r="D231" s="170" t="s">
        <v>38</v>
      </c>
      <c r="E231" s="170">
        <v>1</v>
      </c>
      <c r="F231" s="170">
        <v>1</v>
      </c>
      <c r="G231" s="170"/>
      <c r="H231" s="171"/>
      <c r="I231" s="64" t="s">
        <v>292</v>
      </c>
    </row>
    <row r="232" spans="1:9" s="172" customFormat="1" ht="17.25" customHeight="1" x14ac:dyDescent="0.35">
      <c r="A232" s="169"/>
      <c r="B232" s="170"/>
      <c r="C232" s="170"/>
      <c r="D232" s="170" t="s">
        <v>38</v>
      </c>
      <c r="E232" s="170">
        <v>1</v>
      </c>
      <c r="F232" s="170">
        <v>0</v>
      </c>
      <c r="G232" s="170"/>
      <c r="H232" s="171"/>
      <c r="I232" s="64" t="s">
        <v>293</v>
      </c>
    </row>
    <row r="233" spans="1:9" s="172" customFormat="1" ht="17.25" customHeight="1" x14ac:dyDescent="0.35">
      <c r="A233" s="169"/>
      <c r="B233" s="170"/>
      <c r="C233" s="170"/>
      <c r="D233" s="170" t="s">
        <v>38</v>
      </c>
      <c r="E233" s="170">
        <v>1</v>
      </c>
      <c r="F233" s="170">
        <v>0</v>
      </c>
      <c r="G233" s="170"/>
      <c r="H233" s="171"/>
      <c r="I233" s="64" t="s">
        <v>294</v>
      </c>
    </row>
    <row r="234" spans="1:9" s="172" customFormat="1" ht="17.25" customHeight="1" x14ac:dyDescent="0.35">
      <c r="A234" s="169"/>
      <c r="B234" s="170"/>
      <c r="C234" s="170"/>
      <c r="D234" s="170" t="s">
        <v>38</v>
      </c>
      <c r="E234" s="170">
        <v>1</v>
      </c>
      <c r="F234" s="170">
        <v>0</v>
      </c>
      <c r="G234" s="170"/>
      <c r="H234" s="171"/>
      <c r="I234" s="64" t="s">
        <v>295</v>
      </c>
    </row>
    <row r="235" spans="1:9" s="172" customFormat="1" ht="17.25" customHeight="1" x14ac:dyDescent="0.35">
      <c r="A235" s="169"/>
      <c r="B235" s="170"/>
      <c r="C235" s="170"/>
      <c r="D235" s="170" t="s">
        <v>38</v>
      </c>
      <c r="E235" s="170">
        <v>1</v>
      </c>
      <c r="F235" s="170">
        <v>3</v>
      </c>
      <c r="G235" s="170"/>
      <c r="H235" s="171"/>
      <c r="I235" s="64" t="s">
        <v>296</v>
      </c>
    </row>
    <row r="236" spans="1:9" s="172" customFormat="1" ht="17.25" customHeight="1" x14ac:dyDescent="0.35">
      <c r="A236" s="169"/>
      <c r="B236" s="170"/>
      <c r="C236" s="170"/>
      <c r="D236" s="170" t="s">
        <v>38</v>
      </c>
      <c r="E236" s="170">
        <v>1</v>
      </c>
      <c r="F236" s="170">
        <v>1</v>
      </c>
      <c r="G236" s="170"/>
      <c r="H236" s="171"/>
      <c r="I236" s="64" t="s">
        <v>297</v>
      </c>
    </row>
    <row r="237" spans="1:9" s="172" customFormat="1" ht="17.25" customHeight="1" x14ac:dyDescent="0.35">
      <c r="A237" s="169"/>
      <c r="B237" s="170"/>
      <c r="C237" s="170"/>
      <c r="D237" s="170" t="s">
        <v>38</v>
      </c>
      <c r="E237" s="170">
        <v>1</v>
      </c>
      <c r="F237" s="170">
        <v>1</v>
      </c>
      <c r="G237" s="170"/>
      <c r="H237" s="171"/>
      <c r="I237" s="64" t="s">
        <v>298</v>
      </c>
    </row>
    <row r="238" spans="1:9" s="172" customFormat="1" ht="17.25" customHeight="1" x14ac:dyDescent="0.35">
      <c r="A238" s="169"/>
      <c r="B238" s="170"/>
      <c r="C238" s="170"/>
      <c r="D238" s="170" t="s">
        <v>38</v>
      </c>
      <c r="E238" s="170">
        <v>1</v>
      </c>
      <c r="F238" s="170">
        <v>0</v>
      </c>
      <c r="G238" s="170"/>
      <c r="H238" s="171"/>
      <c r="I238" s="64" t="s">
        <v>299</v>
      </c>
    </row>
    <row r="239" spans="1:9" s="172" customFormat="1" ht="17.25" customHeight="1" x14ac:dyDescent="0.35">
      <c r="A239" s="169"/>
      <c r="B239" s="170"/>
      <c r="C239" s="170"/>
      <c r="D239" s="170" t="s">
        <v>38</v>
      </c>
      <c r="E239" s="170">
        <v>1</v>
      </c>
      <c r="F239" s="170">
        <v>1</v>
      </c>
      <c r="G239" s="170"/>
      <c r="H239" s="171"/>
      <c r="I239" s="64" t="s">
        <v>300</v>
      </c>
    </row>
    <row r="240" spans="1:9" s="172" customFormat="1" ht="17.25" customHeight="1" x14ac:dyDescent="0.35">
      <c r="A240" s="169"/>
      <c r="B240" s="170"/>
      <c r="C240" s="170"/>
      <c r="D240" s="170" t="s">
        <v>32</v>
      </c>
      <c r="E240" s="170">
        <v>128</v>
      </c>
      <c r="F240" s="170"/>
      <c r="G240" s="170"/>
      <c r="H240" s="171"/>
      <c r="I240" s="64" t="s">
        <v>301</v>
      </c>
    </row>
    <row r="241" spans="1:9" s="172" customFormat="1" ht="17.25" customHeight="1" x14ac:dyDescent="0.35">
      <c r="A241" s="169"/>
      <c r="B241" s="170"/>
      <c r="C241" s="170"/>
      <c r="D241" s="170" t="s">
        <v>32</v>
      </c>
      <c r="E241" s="170">
        <v>128</v>
      </c>
      <c r="F241" s="170" t="s">
        <v>302</v>
      </c>
      <c r="G241" s="170"/>
      <c r="H241" s="171"/>
      <c r="I241" s="64" t="s">
        <v>303</v>
      </c>
    </row>
    <row r="242" spans="1:9" s="162" customFormat="1" ht="17.25" customHeight="1" x14ac:dyDescent="0.35">
      <c r="A242" s="169"/>
      <c r="B242" s="170"/>
      <c r="C242" s="170"/>
      <c r="D242" s="170" t="s">
        <v>38</v>
      </c>
      <c r="E242" s="170">
        <v>1</v>
      </c>
      <c r="F242" s="170"/>
      <c r="G242" s="170"/>
      <c r="H242" s="171"/>
      <c r="I242" s="64" t="s">
        <v>304</v>
      </c>
    </row>
    <row r="243" spans="1:9" s="162" customFormat="1" ht="17.25" customHeight="1" x14ac:dyDescent="0.35">
      <c r="A243" s="169"/>
      <c r="B243" s="170"/>
      <c r="C243" s="170"/>
      <c r="D243" s="170" t="s">
        <v>38</v>
      </c>
      <c r="E243" s="170">
        <v>1</v>
      </c>
      <c r="F243" s="170"/>
      <c r="G243" s="170"/>
      <c r="H243" s="171"/>
      <c r="I243" s="64" t="s">
        <v>305</v>
      </c>
    </row>
    <row r="244" spans="1:9" s="162" customFormat="1" ht="17.25" customHeight="1" x14ac:dyDescent="0.35">
      <c r="A244" s="169"/>
      <c r="B244" s="170"/>
      <c r="C244" s="170"/>
      <c r="D244" s="170" t="s">
        <v>38</v>
      </c>
      <c r="E244" s="170">
        <v>1</v>
      </c>
      <c r="F244" s="170"/>
      <c r="G244" s="170"/>
      <c r="H244" s="171"/>
      <c r="I244" s="64" t="s">
        <v>306</v>
      </c>
    </row>
    <row r="245" spans="1:9" s="162" customFormat="1" ht="17.25" customHeight="1" x14ac:dyDescent="0.35">
      <c r="A245" s="169"/>
      <c r="B245" s="170"/>
      <c r="C245" s="170"/>
      <c r="D245" s="170" t="s">
        <v>38</v>
      </c>
      <c r="E245" s="170">
        <v>1</v>
      </c>
      <c r="F245" s="170"/>
      <c r="G245" s="170"/>
      <c r="H245" s="171"/>
      <c r="I245" s="64" t="s">
        <v>307</v>
      </c>
    </row>
    <row r="246" spans="1:9" s="172" customFormat="1" ht="17.25" customHeight="1" x14ac:dyDescent="0.35">
      <c r="A246" s="169"/>
      <c r="B246" s="170"/>
      <c r="C246" s="170"/>
      <c r="D246" s="170" t="s">
        <v>38</v>
      </c>
      <c r="E246" s="170">
        <v>1</v>
      </c>
      <c r="F246" s="170"/>
      <c r="G246" s="170"/>
      <c r="H246" s="171"/>
      <c r="I246" s="64" t="s">
        <v>308</v>
      </c>
    </row>
    <row r="247" spans="1:9" s="172" customFormat="1" ht="17.25" customHeight="1" x14ac:dyDescent="0.35">
      <c r="A247" s="169"/>
      <c r="B247" s="170"/>
      <c r="C247" s="170"/>
      <c r="D247" s="170" t="s">
        <v>38</v>
      </c>
      <c r="E247" s="170">
        <v>1</v>
      </c>
      <c r="F247" s="170"/>
      <c r="G247" s="170"/>
      <c r="H247" s="171"/>
      <c r="I247" s="64" t="s">
        <v>309</v>
      </c>
    </row>
    <row r="248" spans="1:9" s="172" customFormat="1" ht="17.25" customHeight="1" x14ac:dyDescent="0.35">
      <c r="A248" s="169"/>
      <c r="B248" s="170"/>
      <c r="C248" s="170"/>
      <c r="D248" s="170" t="s">
        <v>38</v>
      </c>
      <c r="E248" s="170">
        <v>4</v>
      </c>
      <c r="F248" s="170"/>
      <c r="G248" s="170"/>
      <c r="H248" s="171"/>
      <c r="I248" s="64" t="s">
        <v>310</v>
      </c>
    </row>
    <row r="249" spans="1:9" s="172" customFormat="1" ht="17.25" customHeight="1" x14ac:dyDescent="0.35">
      <c r="A249" s="169"/>
      <c r="B249" s="170"/>
      <c r="C249" s="170"/>
      <c r="D249" s="170" t="s">
        <v>38</v>
      </c>
      <c r="E249" s="170">
        <v>4</v>
      </c>
      <c r="F249" s="170">
        <v>20000</v>
      </c>
      <c r="G249" s="170"/>
      <c r="H249" s="171"/>
      <c r="I249" s="64" t="s">
        <v>311</v>
      </c>
    </row>
    <row r="250" spans="1:9" s="172" customFormat="1" ht="17.25" customHeight="1" x14ac:dyDescent="0.35">
      <c r="A250" s="169"/>
      <c r="B250" s="170"/>
      <c r="C250" s="170"/>
      <c r="D250" s="170" t="s">
        <v>38</v>
      </c>
      <c r="E250" s="170">
        <v>1</v>
      </c>
      <c r="F250" s="170">
        <v>1</v>
      </c>
      <c r="G250" s="170"/>
      <c r="H250" s="171"/>
      <c r="I250" s="64" t="s">
        <v>312</v>
      </c>
    </row>
    <row r="251" spans="1:9" s="172" customFormat="1" ht="34.5" customHeight="1" x14ac:dyDescent="0.35">
      <c r="A251" s="169"/>
      <c r="B251" s="170"/>
      <c r="C251" s="170"/>
      <c r="D251" s="170" t="s">
        <v>38</v>
      </c>
      <c r="E251" s="170">
        <v>1</v>
      </c>
      <c r="F251" s="170">
        <v>0</v>
      </c>
      <c r="G251" s="170"/>
      <c r="H251" s="171"/>
      <c r="I251" s="64" t="s">
        <v>313</v>
      </c>
    </row>
    <row r="252" spans="1:9" s="172" customFormat="1" ht="17.25" customHeight="1" x14ac:dyDescent="0.35">
      <c r="A252" s="169"/>
      <c r="B252" s="170"/>
      <c r="C252" s="170"/>
      <c r="D252" s="170" t="s">
        <v>32</v>
      </c>
      <c r="E252" s="170">
        <v>128</v>
      </c>
      <c r="F252" s="170"/>
      <c r="G252" s="170"/>
      <c r="H252" s="171"/>
      <c r="I252" s="64" t="s">
        <v>314</v>
      </c>
    </row>
    <row r="253" spans="1:9" s="172" customFormat="1" ht="17.25" customHeight="1" x14ac:dyDescent="0.35">
      <c r="A253" s="169"/>
      <c r="B253" s="170"/>
      <c r="C253" s="170"/>
      <c r="D253" s="170" t="s">
        <v>38</v>
      </c>
      <c r="E253" s="170">
        <v>1</v>
      </c>
      <c r="F253" s="170">
        <v>0</v>
      </c>
      <c r="G253" s="170"/>
      <c r="H253" s="171"/>
      <c r="I253" s="64" t="s">
        <v>315</v>
      </c>
    </row>
    <row r="254" spans="1:9" s="172" customFormat="1" ht="17.25" customHeight="1" x14ac:dyDescent="0.35">
      <c r="A254" s="169"/>
      <c r="B254" s="170"/>
      <c r="C254" s="170"/>
      <c r="D254" s="170" t="s">
        <v>38</v>
      </c>
      <c r="E254" s="170">
        <v>1</v>
      </c>
      <c r="F254" s="170">
        <v>0</v>
      </c>
      <c r="G254" s="170"/>
      <c r="H254" s="171"/>
      <c r="I254" s="64" t="s">
        <v>316</v>
      </c>
    </row>
    <row r="255" spans="1:9" s="172" customFormat="1" ht="17.25" customHeight="1" x14ac:dyDescent="0.35">
      <c r="A255" s="169"/>
      <c r="B255" s="170"/>
      <c r="C255" s="170"/>
      <c r="D255" s="170" t="s">
        <v>38</v>
      </c>
      <c r="E255" s="170">
        <v>1</v>
      </c>
      <c r="F255" s="170">
        <v>1</v>
      </c>
      <c r="G255" s="170"/>
      <c r="H255" s="171"/>
      <c r="I255" s="64" t="s">
        <v>317</v>
      </c>
    </row>
    <row r="256" spans="1:9" s="172" customFormat="1" ht="17.25" customHeight="1" x14ac:dyDescent="0.35">
      <c r="A256" s="169"/>
      <c r="B256" s="170"/>
      <c r="C256" s="170"/>
      <c r="D256" s="170" t="s">
        <v>32</v>
      </c>
      <c r="E256" s="170">
        <v>74</v>
      </c>
      <c r="F256" s="170"/>
      <c r="G256" s="170"/>
      <c r="H256" s="171"/>
      <c r="I256" s="64" t="s">
        <v>180</v>
      </c>
    </row>
    <row r="257" spans="1:9" s="162" customFormat="1" ht="17.25" customHeight="1" x14ac:dyDescent="0.35">
      <c r="A257" s="169" t="s">
        <v>318</v>
      </c>
      <c r="B257" s="170" t="s">
        <v>319</v>
      </c>
      <c r="C257" s="170" t="s">
        <v>136</v>
      </c>
      <c r="D257" s="170"/>
      <c r="E257" s="170"/>
      <c r="F257" s="170"/>
      <c r="G257" s="170" t="s">
        <v>30</v>
      </c>
      <c r="H257" s="171"/>
      <c r="I257" s="64">
        <v>67332</v>
      </c>
    </row>
    <row r="258" spans="1:9" s="162" customFormat="1" ht="17.25" customHeight="1" x14ac:dyDescent="0.35">
      <c r="A258" s="169"/>
      <c r="B258" s="170"/>
      <c r="C258" s="170"/>
      <c r="D258" s="170" t="s">
        <v>38</v>
      </c>
      <c r="E258" s="170">
        <v>1</v>
      </c>
      <c r="F258" s="170">
        <v>1</v>
      </c>
      <c r="G258" s="170"/>
      <c r="H258" s="171"/>
      <c r="I258" s="64" t="s">
        <v>245</v>
      </c>
    </row>
    <row r="259" spans="1:9" s="162" customFormat="1" ht="69" customHeight="1" x14ac:dyDescent="0.35">
      <c r="A259" s="169"/>
      <c r="B259" s="170"/>
      <c r="C259" s="170"/>
      <c r="D259" s="170" t="s">
        <v>38</v>
      </c>
      <c r="E259" s="170">
        <v>2</v>
      </c>
      <c r="F259" s="170">
        <v>1400</v>
      </c>
      <c r="G259" s="170"/>
      <c r="H259" s="171"/>
      <c r="I259" s="64" t="s">
        <v>320</v>
      </c>
    </row>
    <row r="260" spans="1:9" s="162" customFormat="1" ht="17.25" customHeight="1" x14ac:dyDescent="0.35">
      <c r="A260" s="169"/>
      <c r="B260" s="170"/>
      <c r="C260" s="170"/>
      <c r="D260" s="170" t="s">
        <v>38</v>
      </c>
      <c r="E260" s="170">
        <v>1</v>
      </c>
      <c r="F260" s="170">
        <v>0</v>
      </c>
      <c r="G260" s="170"/>
      <c r="H260" s="171"/>
      <c r="I260" s="64" t="s">
        <v>321</v>
      </c>
    </row>
    <row r="261" spans="1:9" s="162" customFormat="1" ht="17.25" customHeight="1" x14ac:dyDescent="0.35">
      <c r="A261" s="169"/>
      <c r="B261" s="170"/>
      <c r="C261" s="170"/>
      <c r="D261" s="170" t="s">
        <v>38</v>
      </c>
      <c r="E261" s="170">
        <v>2</v>
      </c>
      <c r="F261" s="170">
        <v>0</v>
      </c>
      <c r="G261" s="170"/>
      <c r="H261" s="171"/>
      <c r="I261" s="64" t="s">
        <v>322</v>
      </c>
    </row>
    <row r="262" spans="1:9" s="162" customFormat="1" ht="17.25" customHeight="1" x14ac:dyDescent="0.35">
      <c r="A262" s="169"/>
      <c r="B262" s="170"/>
      <c r="C262" s="170"/>
      <c r="D262" s="170" t="s">
        <v>38</v>
      </c>
      <c r="E262" s="170">
        <v>1</v>
      </c>
      <c r="F262" s="170">
        <v>0</v>
      </c>
      <c r="G262" s="170"/>
      <c r="H262" s="171"/>
      <c r="I262" s="64" t="s">
        <v>323</v>
      </c>
    </row>
    <row r="263" spans="1:9" s="162" customFormat="1" ht="17.25" customHeight="1" x14ac:dyDescent="0.35">
      <c r="A263" s="169"/>
      <c r="B263" s="170"/>
      <c r="C263" s="170"/>
      <c r="D263" s="170" t="s">
        <v>38</v>
      </c>
      <c r="E263" s="170">
        <v>1</v>
      </c>
      <c r="F263" s="170">
        <v>0</v>
      </c>
      <c r="G263" s="170"/>
      <c r="H263" s="171"/>
      <c r="I263" s="64" t="s">
        <v>324</v>
      </c>
    </row>
    <row r="264" spans="1:9" s="162" customFormat="1" ht="17.25" customHeight="1" x14ac:dyDescent="0.35">
      <c r="A264" s="169"/>
      <c r="B264" s="170"/>
      <c r="C264" s="170"/>
      <c r="D264" s="170" t="s">
        <v>38</v>
      </c>
      <c r="E264" s="170">
        <v>1</v>
      </c>
      <c r="F264" s="170">
        <v>0</v>
      </c>
      <c r="G264" s="170"/>
      <c r="H264" s="171"/>
      <c r="I264" s="64" t="s">
        <v>325</v>
      </c>
    </row>
    <row r="265" spans="1:9" s="162" customFormat="1" ht="17.25" customHeight="1" x14ac:dyDescent="0.35">
      <c r="A265" s="169"/>
      <c r="B265" s="170"/>
      <c r="C265" s="170"/>
      <c r="D265" s="170" t="s">
        <v>38</v>
      </c>
      <c r="E265" s="170">
        <v>1</v>
      </c>
      <c r="F265" s="170">
        <v>0</v>
      </c>
      <c r="G265" s="170"/>
      <c r="H265" s="171"/>
      <c r="I265" s="64" t="s">
        <v>326</v>
      </c>
    </row>
    <row r="266" spans="1:9" s="162" customFormat="1" ht="17.25" customHeight="1" x14ac:dyDescent="0.35">
      <c r="A266" s="169"/>
      <c r="B266" s="170"/>
      <c r="C266" s="170"/>
      <c r="D266" s="170" t="s">
        <v>38</v>
      </c>
      <c r="E266" s="170">
        <v>1</v>
      </c>
      <c r="F266" s="170">
        <v>0</v>
      </c>
      <c r="G266" s="170"/>
      <c r="H266" s="171"/>
      <c r="I266" s="64" t="s">
        <v>327</v>
      </c>
    </row>
    <row r="267" spans="1:9" s="162" customFormat="1" ht="17.25" customHeight="1" x14ac:dyDescent="0.35">
      <c r="A267" s="169"/>
      <c r="B267" s="170"/>
      <c r="C267" s="170"/>
      <c r="D267" s="170" t="s">
        <v>38</v>
      </c>
      <c r="E267" s="170">
        <v>1</v>
      </c>
      <c r="F267" s="170">
        <v>0</v>
      </c>
      <c r="G267" s="170"/>
      <c r="H267" s="171"/>
      <c r="I267" s="64" t="s">
        <v>328</v>
      </c>
    </row>
    <row r="268" spans="1:9" s="162" customFormat="1" ht="17.25" customHeight="1" x14ac:dyDescent="0.35">
      <c r="A268" s="169"/>
      <c r="B268" s="170"/>
      <c r="C268" s="170"/>
      <c r="D268" s="170" t="s">
        <v>38</v>
      </c>
      <c r="E268" s="170">
        <v>2</v>
      </c>
      <c r="F268" s="170">
        <v>0</v>
      </c>
      <c r="G268" s="170"/>
      <c r="H268" s="171"/>
      <c r="I268" s="64" t="s">
        <v>329</v>
      </c>
    </row>
    <row r="269" spans="1:9" s="162" customFormat="1" ht="17.25" customHeight="1" x14ac:dyDescent="0.35">
      <c r="A269" s="169"/>
      <c r="B269" s="170"/>
      <c r="C269" s="170"/>
      <c r="D269" s="170" t="s">
        <v>38</v>
      </c>
      <c r="E269" s="170">
        <v>2</v>
      </c>
      <c r="F269" s="170">
        <v>0</v>
      </c>
      <c r="G269" s="170"/>
      <c r="H269" s="171"/>
      <c r="I269" s="64" t="s">
        <v>330</v>
      </c>
    </row>
    <row r="270" spans="1:9" s="162" customFormat="1" ht="17.25" customHeight="1" x14ac:dyDescent="0.35">
      <c r="A270" s="169"/>
      <c r="B270" s="170"/>
      <c r="C270" s="170"/>
      <c r="D270" s="170" t="s">
        <v>38</v>
      </c>
      <c r="E270" s="170">
        <v>1</v>
      </c>
      <c r="F270" s="170">
        <v>0</v>
      </c>
      <c r="G270" s="170"/>
      <c r="H270" s="171"/>
      <c r="I270" s="64" t="s">
        <v>331</v>
      </c>
    </row>
    <row r="271" spans="1:9" s="162" customFormat="1" ht="17.25" customHeight="1" x14ac:dyDescent="0.35">
      <c r="A271" s="169"/>
      <c r="B271" s="170"/>
      <c r="C271" s="170"/>
      <c r="D271" s="170" t="s">
        <v>38</v>
      </c>
      <c r="E271" s="170">
        <v>1</v>
      </c>
      <c r="F271" s="170">
        <v>0</v>
      </c>
      <c r="G271" s="170"/>
      <c r="H271" s="171"/>
      <c r="I271" s="64" t="s">
        <v>332</v>
      </c>
    </row>
    <row r="272" spans="1:9" s="162" customFormat="1" ht="17.25" customHeight="1" x14ac:dyDescent="0.35">
      <c r="A272" s="169"/>
      <c r="B272" s="170"/>
      <c r="C272" s="170"/>
      <c r="D272" s="170" t="s">
        <v>38</v>
      </c>
      <c r="E272" s="170">
        <v>1</v>
      </c>
      <c r="F272" s="170">
        <v>0</v>
      </c>
      <c r="G272" s="170"/>
      <c r="H272" s="171"/>
      <c r="I272" s="64" t="s">
        <v>333</v>
      </c>
    </row>
    <row r="273" spans="1:9" s="162" customFormat="1" ht="17.25" customHeight="1" x14ac:dyDescent="0.35">
      <c r="A273" s="169"/>
      <c r="B273" s="170"/>
      <c r="C273" s="170"/>
      <c r="D273" s="170" t="s">
        <v>38</v>
      </c>
      <c r="E273" s="170">
        <v>1</v>
      </c>
      <c r="F273" s="170">
        <v>0</v>
      </c>
      <c r="G273" s="170"/>
      <c r="H273" s="171"/>
      <c r="I273" s="64" t="s">
        <v>334</v>
      </c>
    </row>
    <row r="274" spans="1:9" s="162" customFormat="1" ht="17.25" customHeight="1" x14ac:dyDescent="0.35">
      <c r="A274" s="169"/>
      <c r="B274" s="170"/>
      <c r="C274" s="170"/>
      <c r="D274" s="170" t="s">
        <v>38</v>
      </c>
      <c r="E274" s="170">
        <v>1</v>
      </c>
      <c r="F274" s="170">
        <v>100</v>
      </c>
      <c r="G274" s="170"/>
      <c r="H274" s="171"/>
      <c r="I274" s="64" t="s">
        <v>335</v>
      </c>
    </row>
    <row r="275" spans="1:9" s="162" customFormat="1" ht="17.25" customHeight="1" x14ac:dyDescent="0.35">
      <c r="A275" s="169"/>
      <c r="B275" s="170"/>
      <c r="C275" s="170"/>
      <c r="D275" s="170" t="s">
        <v>38</v>
      </c>
      <c r="E275" s="170">
        <v>1</v>
      </c>
      <c r="F275" s="170">
        <v>40</v>
      </c>
      <c r="G275" s="170"/>
      <c r="H275" s="171"/>
      <c r="I275" s="64" t="s">
        <v>336</v>
      </c>
    </row>
    <row r="276" spans="1:9" s="162" customFormat="1" ht="17.25" customHeight="1" x14ac:dyDescent="0.35">
      <c r="A276" s="169"/>
      <c r="B276" s="170"/>
      <c r="C276" s="170"/>
      <c r="D276" s="170" t="s">
        <v>38</v>
      </c>
      <c r="E276" s="170">
        <v>1</v>
      </c>
      <c r="F276" s="170">
        <v>0</v>
      </c>
      <c r="G276" s="170"/>
      <c r="H276" s="171"/>
      <c r="I276" s="64" t="s">
        <v>337</v>
      </c>
    </row>
    <row r="277" spans="1:9" s="162" customFormat="1" ht="17.25" customHeight="1" x14ac:dyDescent="0.35">
      <c r="A277" s="169"/>
      <c r="B277" s="170"/>
      <c r="C277" s="170"/>
      <c r="D277" s="170" t="s">
        <v>38</v>
      </c>
      <c r="E277" s="170">
        <v>1</v>
      </c>
      <c r="F277" s="170">
        <v>0</v>
      </c>
      <c r="G277" s="170"/>
      <c r="H277" s="171"/>
      <c r="I277" s="64" t="s">
        <v>338</v>
      </c>
    </row>
    <row r="278" spans="1:9" s="162" customFormat="1" ht="17.25" customHeight="1" x14ac:dyDescent="0.35">
      <c r="A278" s="169"/>
      <c r="B278" s="170"/>
      <c r="C278" s="170"/>
      <c r="D278" s="170" t="s">
        <v>38</v>
      </c>
      <c r="E278" s="170">
        <v>1</v>
      </c>
      <c r="F278" s="170">
        <v>0</v>
      </c>
      <c r="G278" s="170"/>
      <c r="H278" s="171"/>
      <c r="I278" s="64" t="s">
        <v>339</v>
      </c>
    </row>
    <row r="279" spans="1:9" s="162" customFormat="1" ht="17.25" customHeight="1" x14ac:dyDescent="0.35">
      <c r="A279" s="169"/>
      <c r="B279" s="170"/>
      <c r="C279" s="170"/>
      <c r="D279" s="170" t="s">
        <v>38</v>
      </c>
      <c r="E279" s="170">
        <v>1</v>
      </c>
      <c r="F279" s="170">
        <v>20</v>
      </c>
      <c r="G279" s="170"/>
      <c r="H279" s="171"/>
      <c r="I279" s="64" t="s">
        <v>340</v>
      </c>
    </row>
    <row r="280" spans="1:9" s="162" customFormat="1" ht="17.25" customHeight="1" x14ac:dyDescent="0.35">
      <c r="A280" s="169"/>
      <c r="B280" s="170"/>
      <c r="C280" s="170"/>
      <c r="D280" s="170" t="s">
        <v>38</v>
      </c>
      <c r="E280" s="170">
        <v>2</v>
      </c>
      <c r="F280" s="170">
        <v>5</v>
      </c>
      <c r="G280" s="170"/>
      <c r="H280" s="171"/>
      <c r="I280" s="64" t="s">
        <v>341</v>
      </c>
    </row>
    <row r="281" spans="1:9" s="162" customFormat="1" ht="17.25" customHeight="1" x14ac:dyDescent="0.35">
      <c r="A281" s="169"/>
      <c r="B281" s="170"/>
      <c r="C281" s="170"/>
      <c r="D281" s="170" t="s">
        <v>38</v>
      </c>
      <c r="E281" s="170">
        <v>2</v>
      </c>
      <c r="F281" s="170">
        <v>60</v>
      </c>
      <c r="G281" s="170"/>
      <c r="H281" s="171"/>
      <c r="I281" s="64" t="s">
        <v>342</v>
      </c>
    </row>
    <row r="282" spans="1:9" s="162" customFormat="1" ht="17.25" customHeight="1" x14ac:dyDescent="0.35">
      <c r="A282" s="169"/>
      <c r="B282" s="170"/>
      <c r="C282" s="170"/>
      <c r="D282" s="170" t="s">
        <v>38</v>
      </c>
      <c r="E282" s="170">
        <v>2</v>
      </c>
      <c r="F282" s="170"/>
      <c r="G282" s="170"/>
      <c r="H282" s="171"/>
      <c r="I282" s="64" t="s">
        <v>343</v>
      </c>
    </row>
    <row r="283" spans="1:9" s="162" customFormat="1" ht="17.25" customHeight="1" x14ac:dyDescent="0.35">
      <c r="A283" s="169"/>
      <c r="B283" s="170"/>
      <c r="C283" s="170"/>
      <c r="D283" s="170" t="s">
        <v>38</v>
      </c>
      <c r="E283" s="170">
        <v>2</v>
      </c>
      <c r="F283" s="170">
        <v>60</v>
      </c>
      <c r="G283" s="170"/>
      <c r="H283" s="171"/>
      <c r="I283" s="64" t="s">
        <v>344</v>
      </c>
    </row>
    <row r="284" spans="1:9" s="162" customFormat="1" ht="17.25" customHeight="1" x14ac:dyDescent="0.35">
      <c r="A284" s="169"/>
      <c r="B284" s="170"/>
      <c r="C284" s="170"/>
      <c r="D284" s="170" t="s">
        <v>38</v>
      </c>
      <c r="E284" s="170">
        <v>1</v>
      </c>
      <c r="F284" s="170">
        <v>0</v>
      </c>
      <c r="G284" s="170"/>
      <c r="H284" s="171"/>
      <c r="I284" s="64" t="s">
        <v>345</v>
      </c>
    </row>
    <row r="285" spans="1:9" s="162" customFormat="1" ht="17.25" customHeight="1" x14ac:dyDescent="0.35">
      <c r="A285" s="169"/>
      <c r="B285" s="170"/>
      <c r="C285" s="170"/>
      <c r="D285" s="170" t="s">
        <v>38</v>
      </c>
      <c r="E285" s="170">
        <v>1</v>
      </c>
      <c r="F285" s="170">
        <v>0</v>
      </c>
      <c r="G285" s="170"/>
      <c r="H285" s="171"/>
      <c r="I285" s="64" t="s">
        <v>346</v>
      </c>
    </row>
    <row r="286" spans="1:9" s="162" customFormat="1" ht="17.25" customHeight="1" x14ac:dyDescent="0.35">
      <c r="A286" s="169"/>
      <c r="B286" s="170"/>
      <c r="C286" s="170"/>
      <c r="D286" s="170" t="s">
        <v>38</v>
      </c>
      <c r="E286" s="170">
        <v>1</v>
      </c>
      <c r="F286" s="170">
        <v>0</v>
      </c>
      <c r="G286" s="170"/>
      <c r="H286" s="171"/>
      <c r="I286" s="64" t="s">
        <v>347</v>
      </c>
    </row>
    <row r="287" spans="1:9" s="162" customFormat="1" ht="17.25" customHeight="1" x14ac:dyDescent="0.35">
      <c r="A287" s="169"/>
      <c r="B287" s="170"/>
      <c r="C287" s="170"/>
      <c r="D287" s="170" t="s">
        <v>38</v>
      </c>
      <c r="E287" s="170">
        <v>1</v>
      </c>
      <c r="F287" s="170">
        <v>0</v>
      </c>
      <c r="G287" s="170"/>
      <c r="H287" s="171"/>
      <c r="I287" s="64" t="s">
        <v>689</v>
      </c>
    </row>
    <row r="288" spans="1:9" s="162" customFormat="1" ht="17.25" customHeight="1" x14ac:dyDescent="0.35">
      <c r="A288" s="169"/>
      <c r="B288" s="170"/>
      <c r="C288" s="170"/>
      <c r="D288" s="170" t="s">
        <v>38</v>
      </c>
      <c r="E288" s="170">
        <v>2</v>
      </c>
      <c r="F288" s="170">
        <v>0</v>
      </c>
      <c r="G288" s="170"/>
      <c r="H288" s="171"/>
      <c r="I288" s="64" t="s">
        <v>348</v>
      </c>
    </row>
    <row r="289" spans="1:9" s="162" customFormat="1" ht="17.25" customHeight="1" x14ac:dyDescent="0.35">
      <c r="A289" s="169"/>
      <c r="B289" s="170"/>
      <c r="C289" s="170"/>
      <c r="D289" s="170" t="s">
        <v>38</v>
      </c>
      <c r="E289" s="170">
        <v>495</v>
      </c>
      <c r="F289" s="170">
        <v>0</v>
      </c>
      <c r="G289" s="170"/>
      <c r="H289" s="171"/>
      <c r="I289" s="64" t="s">
        <v>349</v>
      </c>
    </row>
    <row r="290" spans="1:9" s="162" customFormat="1" ht="17.25" customHeight="1" x14ac:dyDescent="0.35">
      <c r="A290" s="169" t="s">
        <v>350</v>
      </c>
      <c r="B290" s="170" t="s">
        <v>351</v>
      </c>
      <c r="C290" s="170" t="s">
        <v>136</v>
      </c>
      <c r="D290" s="170"/>
      <c r="E290" s="170"/>
      <c r="F290" s="170"/>
      <c r="G290" s="170" t="s">
        <v>30</v>
      </c>
      <c r="H290" s="171"/>
      <c r="I290" s="64">
        <v>67314</v>
      </c>
    </row>
    <row r="291" spans="1:9" s="162" customFormat="1" ht="17.25" customHeight="1" x14ac:dyDescent="0.35">
      <c r="A291" s="169"/>
      <c r="B291" s="170"/>
      <c r="C291" s="170"/>
      <c r="D291" s="170" t="s">
        <v>38</v>
      </c>
      <c r="E291" s="170">
        <v>4</v>
      </c>
      <c r="F291" s="170">
        <v>0</v>
      </c>
      <c r="G291" s="170"/>
      <c r="H291" s="171"/>
      <c r="I291" s="64" t="s">
        <v>352</v>
      </c>
    </row>
    <row r="292" spans="1:9" s="162" customFormat="1" ht="17.25" customHeight="1" x14ac:dyDescent="0.35">
      <c r="A292" s="169"/>
      <c r="B292" s="170"/>
      <c r="C292" s="170"/>
      <c r="D292" s="170" t="s">
        <v>38</v>
      </c>
      <c r="E292" s="170">
        <v>4</v>
      </c>
      <c r="F292" s="170">
        <v>0</v>
      </c>
      <c r="G292" s="170"/>
      <c r="H292" s="171"/>
      <c r="I292" s="64" t="s">
        <v>353</v>
      </c>
    </row>
    <row r="293" spans="1:9" s="162" customFormat="1" ht="17.25" customHeight="1" x14ac:dyDescent="0.35">
      <c r="A293" s="169"/>
      <c r="B293" s="170"/>
      <c r="C293" s="170"/>
      <c r="D293" s="170" t="s">
        <v>38</v>
      </c>
      <c r="E293" s="170">
        <v>4</v>
      </c>
      <c r="F293" s="170">
        <v>0</v>
      </c>
      <c r="G293" s="170"/>
      <c r="H293" s="171"/>
      <c r="I293" s="64" t="s">
        <v>354</v>
      </c>
    </row>
    <row r="294" spans="1:9" s="162" customFormat="1" ht="17.25" customHeight="1" x14ac:dyDescent="0.35">
      <c r="A294" s="169"/>
      <c r="B294" s="170"/>
      <c r="C294" s="170"/>
      <c r="D294" s="170" t="s">
        <v>38</v>
      </c>
      <c r="E294" s="170">
        <v>4</v>
      </c>
      <c r="F294" s="170">
        <v>0</v>
      </c>
      <c r="G294" s="170"/>
      <c r="H294" s="171"/>
      <c r="I294" s="64" t="s">
        <v>355</v>
      </c>
    </row>
    <row r="295" spans="1:9" s="162" customFormat="1" ht="17.25" customHeight="1" x14ac:dyDescent="0.35">
      <c r="A295" s="169"/>
      <c r="B295" s="170"/>
      <c r="C295" s="170"/>
      <c r="D295" s="170" t="s">
        <v>38</v>
      </c>
      <c r="E295" s="170">
        <v>1</v>
      </c>
      <c r="F295" s="170">
        <v>0</v>
      </c>
      <c r="G295" s="170"/>
      <c r="H295" s="171"/>
      <c r="I295" s="64" t="s">
        <v>356</v>
      </c>
    </row>
    <row r="296" spans="1:9" s="162" customFormat="1" ht="17.25" customHeight="1" x14ac:dyDescent="0.35">
      <c r="A296" s="169"/>
      <c r="B296" s="170"/>
      <c r="C296" s="170"/>
      <c r="D296" s="170" t="s">
        <v>38</v>
      </c>
      <c r="E296" s="170">
        <v>4</v>
      </c>
      <c r="F296" s="170">
        <v>0</v>
      </c>
      <c r="G296" s="170"/>
      <c r="H296" s="171"/>
      <c r="I296" s="64" t="s">
        <v>357</v>
      </c>
    </row>
    <row r="297" spans="1:9" s="162" customFormat="1" ht="17.25" customHeight="1" x14ac:dyDescent="0.35">
      <c r="A297" s="169"/>
      <c r="B297" s="170"/>
      <c r="C297" s="170"/>
      <c r="D297" s="170" t="s">
        <v>38</v>
      </c>
      <c r="E297" s="170">
        <v>4</v>
      </c>
      <c r="F297" s="170">
        <v>0</v>
      </c>
      <c r="G297" s="170"/>
      <c r="H297" s="171"/>
      <c r="I297" s="64" t="s">
        <v>358</v>
      </c>
    </row>
    <row r="298" spans="1:9" s="162" customFormat="1" ht="17.25" customHeight="1" x14ac:dyDescent="0.35">
      <c r="A298" s="169"/>
      <c r="B298" s="170"/>
      <c r="C298" s="170"/>
      <c r="D298" s="170" t="s">
        <v>38</v>
      </c>
      <c r="E298" s="170">
        <v>4</v>
      </c>
      <c r="F298" s="170">
        <v>0</v>
      </c>
      <c r="G298" s="170"/>
      <c r="H298" s="171"/>
      <c r="I298" s="64" t="s">
        <v>359</v>
      </c>
    </row>
    <row r="299" spans="1:9" s="162" customFormat="1" ht="17.25" customHeight="1" x14ac:dyDescent="0.35">
      <c r="A299" s="169"/>
      <c r="B299" s="170"/>
      <c r="C299" s="170"/>
      <c r="D299" s="170" t="s">
        <v>38</v>
      </c>
      <c r="E299" s="170">
        <v>4</v>
      </c>
      <c r="F299" s="170">
        <v>0</v>
      </c>
      <c r="G299" s="170"/>
      <c r="H299" s="171"/>
      <c r="I299" s="64" t="s">
        <v>360</v>
      </c>
    </row>
    <row r="300" spans="1:9" s="162" customFormat="1" ht="17.25" customHeight="1" x14ac:dyDescent="0.35">
      <c r="A300" s="169"/>
      <c r="B300" s="170"/>
      <c r="C300" s="170"/>
      <c r="D300" s="170" t="s">
        <v>38</v>
      </c>
      <c r="E300" s="170">
        <v>1</v>
      </c>
      <c r="F300" s="170">
        <v>0</v>
      </c>
      <c r="G300" s="170"/>
      <c r="H300" s="171"/>
      <c r="I300" s="64" t="s">
        <v>361</v>
      </c>
    </row>
    <row r="301" spans="1:9" s="162" customFormat="1" ht="17.25" customHeight="1" x14ac:dyDescent="0.35">
      <c r="A301" s="169"/>
      <c r="B301" s="170"/>
      <c r="C301" s="170"/>
      <c r="D301" s="170" t="s">
        <v>32</v>
      </c>
      <c r="E301" s="170">
        <v>128</v>
      </c>
      <c r="F301" s="170">
        <v>0</v>
      </c>
      <c r="G301" s="170"/>
      <c r="H301" s="171"/>
      <c r="I301" s="64" t="s">
        <v>362</v>
      </c>
    </row>
    <row r="302" spans="1:9" s="162" customFormat="1" ht="17.25" customHeight="1" x14ac:dyDescent="0.35">
      <c r="A302" s="169"/>
      <c r="B302" s="170"/>
      <c r="C302" s="170"/>
      <c r="D302" s="170" t="s">
        <v>38</v>
      </c>
      <c r="E302" s="170">
        <v>4</v>
      </c>
      <c r="F302" s="170">
        <v>0</v>
      </c>
      <c r="G302" s="170"/>
      <c r="H302" s="171"/>
      <c r="I302" s="64" t="s">
        <v>363</v>
      </c>
    </row>
    <row r="303" spans="1:9" s="162" customFormat="1" ht="17.25" customHeight="1" x14ac:dyDescent="0.35">
      <c r="A303" s="169"/>
      <c r="B303" s="170"/>
      <c r="C303" s="170"/>
      <c r="D303" s="170" t="s">
        <v>38</v>
      </c>
      <c r="E303" s="170">
        <v>4</v>
      </c>
      <c r="F303" s="170">
        <v>0</v>
      </c>
      <c r="G303" s="170"/>
      <c r="H303" s="171"/>
      <c r="I303" s="64" t="s">
        <v>364</v>
      </c>
    </row>
    <row r="304" spans="1:9" s="162" customFormat="1" ht="17.25" customHeight="1" x14ac:dyDescent="0.35">
      <c r="A304" s="169"/>
      <c r="B304" s="170"/>
      <c r="C304" s="170"/>
      <c r="D304" s="170" t="s">
        <v>38</v>
      </c>
      <c r="E304" s="170">
        <v>1</v>
      </c>
      <c r="F304" s="170">
        <v>0</v>
      </c>
      <c r="G304" s="170"/>
      <c r="H304" s="171"/>
      <c r="I304" s="64" t="s">
        <v>365</v>
      </c>
    </row>
    <row r="305" spans="1:9" s="162" customFormat="1" ht="17.25" customHeight="1" x14ac:dyDescent="0.35">
      <c r="A305" s="169"/>
      <c r="B305" s="170"/>
      <c r="C305" s="170"/>
      <c r="D305" s="170" t="s">
        <v>38</v>
      </c>
      <c r="E305" s="170">
        <v>1</v>
      </c>
      <c r="F305" s="170">
        <v>0</v>
      </c>
      <c r="G305" s="170"/>
      <c r="H305" s="171"/>
      <c r="I305" s="64" t="s">
        <v>366</v>
      </c>
    </row>
    <row r="306" spans="1:9" s="162" customFormat="1" ht="17.25" customHeight="1" x14ac:dyDescent="0.35">
      <c r="A306" s="169" t="s">
        <v>367</v>
      </c>
      <c r="B306" s="170" t="s">
        <v>368</v>
      </c>
      <c r="C306" s="170" t="s">
        <v>136</v>
      </c>
      <c r="D306" s="170"/>
      <c r="E306" s="170"/>
      <c r="F306" s="170"/>
      <c r="G306" s="170" t="s">
        <v>30</v>
      </c>
      <c r="H306" s="171"/>
      <c r="I306" s="64">
        <v>67257</v>
      </c>
    </row>
    <row r="307" spans="1:9" s="162" customFormat="1" ht="17.25" customHeight="1" x14ac:dyDescent="0.35">
      <c r="A307" s="169"/>
      <c r="B307" s="170"/>
      <c r="C307" s="170"/>
      <c r="D307" s="170" t="s">
        <v>38</v>
      </c>
      <c r="E307" s="170">
        <v>1</v>
      </c>
      <c r="F307" s="170">
        <v>0</v>
      </c>
      <c r="G307" s="170"/>
      <c r="H307" s="171"/>
      <c r="I307" s="64" t="s">
        <v>369</v>
      </c>
    </row>
    <row r="308" spans="1:9" s="162" customFormat="1" ht="17.25" customHeight="1" x14ac:dyDescent="0.35">
      <c r="A308" s="169"/>
      <c r="B308" s="170"/>
      <c r="C308" s="170"/>
      <c r="D308" s="170" t="s">
        <v>38</v>
      </c>
      <c r="E308" s="170">
        <v>1</v>
      </c>
      <c r="F308" s="170">
        <v>1</v>
      </c>
      <c r="G308" s="170"/>
      <c r="H308" s="171"/>
      <c r="I308" s="64" t="s">
        <v>370</v>
      </c>
    </row>
    <row r="309" spans="1:9" s="162" customFormat="1" ht="17.25" customHeight="1" x14ac:dyDescent="0.35">
      <c r="A309" s="169"/>
      <c r="B309" s="170"/>
      <c r="C309" s="170"/>
      <c r="D309" s="170" t="s">
        <v>38</v>
      </c>
      <c r="E309" s="170">
        <v>1</v>
      </c>
      <c r="F309" s="170">
        <v>1</v>
      </c>
      <c r="G309" s="170"/>
      <c r="H309" s="171"/>
      <c r="I309" s="64" t="s">
        <v>371</v>
      </c>
    </row>
    <row r="310" spans="1:9" s="162" customFormat="1" ht="17.25" customHeight="1" x14ac:dyDescent="0.35">
      <c r="A310" s="169"/>
      <c r="B310" s="170"/>
      <c r="C310" s="170"/>
      <c r="D310" s="170" t="s">
        <v>32</v>
      </c>
      <c r="E310" s="170">
        <v>128</v>
      </c>
      <c r="F310" s="170" t="s">
        <v>372</v>
      </c>
      <c r="G310" s="170"/>
      <c r="H310" s="171"/>
      <c r="I310" s="64" t="s">
        <v>373</v>
      </c>
    </row>
    <row r="311" spans="1:9" s="162" customFormat="1" ht="17.25" customHeight="1" x14ac:dyDescent="0.35">
      <c r="A311" s="169"/>
      <c r="B311" s="170"/>
      <c r="C311" s="170"/>
      <c r="D311" s="170" t="s">
        <v>38</v>
      </c>
      <c r="E311" s="170">
        <v>2</v>
      </c>
      <c r="F311" s="170">
        <v>1800</v>
      </c>
      <c r="G311" s="170"/>
      <c r="H311" s="171"/>
      <c r="I311" s="64" t="s">
        <v>374</v>
      </c>
    </row>
    <row r="312" spans="1:9" s="162" customFormat="1" ht="17.25" customHeight="1" x14ac:dyDescent="0.35">
      <c r="A312" s="169"/>
      <c r="B312" s="170"/>
      <c r="C312" s="170"/>
      <c r="D312" s="170" t="s">
        <v>38</v>
      </c>
      <c r="E312" s="170">
        <v>2</v>
      </c>
      <c r="F312" s="170">
        <v>600</v>
      </c>
      <c r="G312" s="170"/>
      <c r="H312" s="171"/>
      <c r="I312" s="64" t="s">
        <v>375</v>
      </c>
    </row>
    <row r="313" spans="1:9" s="162" customFormat="1" ht="17.25" customHeight="1" x14ac:dyDescent="0.35">
      <c r="A313" s="169"/>
      <c r="B313" s="170"/>
      <c r="C313" s="170"/>
      <c r="D313" s="170" t="s">
        <v>38</v>
      </c>
      <c r="E313" s="170">
        <v>1</v>
      </c>
      <c r="F313" s="170">
        <v>1</v>
      </c>
      <c r="G313" s="170"/>
      <c r="H313" s="171"/>
      <c r="I313" s="64" t="s">
        <v>376</v>
      </c>
    </row>
    <row r="314" spans="1:9" s="162" customFormat="1" ht="17.25" customHeight="1" x14ac:dyDescent="0.35">
      <c r="A314" s="169"/>
      <c r="B314" s="170"/>
      <c r="C314" s="170"/>
      <c r="D314" s="170" t="s">
        <v>32</v>
      </c>
      <c r="E314" s="170">
        <v>128</v>
      </c>
      <c r="F314" s="170" t="s">
        <v>775</v>
      </c>
      <c r="G314" s="170"/>
      <c r="H314" s="171"/>
      <c r="I314" s="64" t="s">
        <v>377</v>
      </c>
    </row>
    <row r="315" spans="1:9" s="162" customFormat="1" ht="17.25" customHeight="1" x14ac:dyDescent="0.35">
      <c r="A315" s="169"/>
      <c r="B315" s="170"/>
      <c r="C315" s="170"/>
      <c r="D315" s="170" t="s">
        <v>38</v>
      </c>
      <c r="E315" s="170">
        <v>1</v>
      </c>
      <c r="F315" s="170">
        <v>0</v>
      </c>
      <c r="G315" s="170"/>
      <c r="H315" s="171"/>
      <c r="I315" s="64" t="s">
        <v>378</v>
      </c>
    </row>
    <row r="316" spans="1:9" s="162" customFormat="1" ht="17.25" customHeight="1" x14ac:dyDescent="0.35">
      <c r="A316" s="169"/>
      <c r="B316" s="170"/>
      <c r="C316" s="170"/>
      <c r="D316" s="170" t="s">
        <v>38</v>
      </c>
      <c r="E316" s="170">
        <v>2</v>
      </c>
      <c r="F316" s="170">
        <v>900</v>
      </c>
      <c r="G316" s="170"/>
      <c r="H316" s="171"/>
      <c r="I316" s="64" t="s">
        <v>379</v>
      </c>
    </row>
    <row r="317" spans="1:9" s="162" customFormat="1" ht="17.25" customHeight="1" x14ac:dyDescent="0.35">
      <c r="A317" s="169"/>
      <c r="B317" s="170"/>
      <c r="C317" s="170"/>
      <c r="D317" s="170" t="s">
        <v>38</v>
      </c>
      <c r="E317" s="170">
        <v>1</v>
      </c>
      <c r="F317" s="170">
        <v>0</v>
      </c>
      <c r="G317" s="170"/>
      <c r="H317" s="171"/>
      <c r="I317" s="64" t="s">
        <v>380</v>
      </c>
    </row>
    <row r="318" spans="1:9" s="162" customFormat="1" ht="17.25" customHeight="1" x14ac:dyDescent="0.35">
      <c r="A318" s="169"/>
      <c r="B318" s="170"/>
      <c r="C318" s="170"/>
      <c r="D318" s="170" t="s">
        <v>38</v>
      </c>
      <c r="E318" s="170">
        <v>1</v>
      </c>
      <c r="F318" s="170">
        <v>1</v>
      </c>
      <c r="G318" s="170"/>
      <c r="H318" s="171"/>
      <c r="I318" s="64" t="s">
        <v>381</v>
      </c>
    </row>
    <row r="319" spans="1:9" s="162" customFormat="1" ht="17.25" customHeight="1" x14ac:dyDescent="0.35">
      <c r="A319" s="169"/>
      <c r="B319" s="170"/>
      <c r="C319" s="170"/>
      <c r="D319" s="170" t="s">
        <v>32</v>
      </c>
      <c r="E319" s="170">
        <v>128</v>
      </c>
      <c r="F319" s="170"/>
      <c r="G319" s="170"/>
      <c r="H319" s="171"/>
      <c r="I319" s="64" t="s">
        <v>382</v>
      </c>
    </row>
    <row r="320" spans="1:9" s="162" customFormat="1" ht="17.25" customHeight="1" x14ac:dyDescent="0.35">
      <c r="A320" s="169"/>
      <c r="B320" s="170"/>
      <c r="C320" s="170"/>
      <c r="D320" s="170"/>
      <c r="E320" s="170"/>
      <c r="F320" s="170"/>
      <c r="G320" s="170"/>
      <c r="H320" s="171"/>
      <c r="I320" s="64"/>
    </row>
    <row r="321" spans="1:9" s="162" customFormat="1" ht="17.25" customHeight="1" x14ac:dyDescent="0.35">
      <c r="A321" s="169" t="s">
        <v>383</v>
      </c>
      <c r="B321" s="170" t="s">
        <v>384</v>
      </c>
      <c r="C321" s="170" t="s">
        <v>136</v>
      </c>
      <c r="D321" s="170"/>
      <c r="E321" s="170"/>
      <c r="F321" s="170"/>
      <c r="G321" s="170" t="s">
        <v>30</v>
      </c>
      <c r="H321" s="171"/>
      <c r="I321" s="64">
        <v>65959</v>
      </c>
    </row>
    <row r="322" spans="1:9" s="162" customFormat="1" ht="17.25" customHeight="1" x14ac:dyDescent="0.35">
      <c r="A322" s="169"/>
      <c r="B322" s="170"/>
      <c r="C322" s="170"/>
      <c r="D322" s="170" t="s">
        <v>38</v>
      </c>
      <c r="E322" s="170">
        <v>2</v>
      </c>
      <c r="F322" s="170">
        <v>16</v>
      </c>
      <c r="G322" s="170"/>
      <c r="H322" s="171"/>
      <c r="I322" s="64"/>
    </row>
    <row r="323" spans="1:9" s="162" customFormat="1" ht="17.25" customHeight="1" x14ac:dyDescent="0.35">
      <c r="A323" s="169" t="s">
        <v>385</v>
      </c>
      <c r="B323" s="170" t="s">
        <v>386</v>
      </c>
      <c r="C323" s="170" t="s">
        <v>136</v>
      </c>
      <c r="D323" s="170"/>
      <c r="E323" s="170"/>
      <c r="F323" s="170"/>
      <c r="G323" s="170" t="s">
        <v>30</v>
      </c>
      <c r="H323" s="171"/>
      <c r="I323" s="64">
        <v>69750</v>
      </c>
    </row>
    <row r="324" spans="1:9" s="162" customFormat="1" ht="17.25" customHeight="1" x14ac:dyDescent="0.35">
      <c r="A324" s="169"/>
      <c r="B324" s="170"/>
      <c r="C324" s="170"/>
      <c r="D324" s="170" t="s">
        <v>38</v>
      </c>
      <c r="E324" s="170">
        <v>1</v>
      </c>
      <c r="F324" s="170">
        <v>4</v>
      </c>
      <c r="G324" s="170"/>
      <c r="H324" s="171"/>
      <c r="I324" s="64" t="s">
        <v>177</v>
      </c>
    </row>
    <row r="325" spans="1:9" s="162" customFormat="1" ht="17.25" customHeight="1" x14ac:dyDescent="0.35">
      <c r="A325" s="169"/>
      <c r="B325" s="170"/>
      <c r="C325" s="170"/>
      <c r="D325" s="170" t="s">
        <v>38</v>
      </c>
      <c r="E325" s="170">
        <v>1</v>
      </c>
      <c r="F325" s="170">
        <v>0</v>
      </c>
      <c r="G325" s="170"/>
      <c r="H325" s="171"/>
      <c r="I325" s="64" t="s">
        <v>387</v>
      </c>
    </row>
    <row r="326" spans="1:9" s="162" customFormat="1" ht="17.25" customHeight="1" x14ac:dyDescent="0.35">
      <c r="A326" s="169"/>
      <c r="B326" s="170"/>
      <c r="C326" s="170"/>
      <c r="D326" s="170" t="s">
        <v>38</v>
      </c>
      <c r="E326" s="170">
        <v>1</v>
      </c>
      <c r="F326" s="170">
        <v>2</v>
      </c>
      <c r="G326" s="170"/>
      <c r="H326" s="171"/>
      <c r="I326" s="64" t="s">
        <v>388</v>
      </c>
    </row>
    <row r="327" spans="1:9" s="162" customFormat="1" ht="17.25" customHeight="1" x14ac:dyDescent="0.35">
      <c r="A327" s="169"/>
      <c r="B327" s="170"/>
      <c r="C327" s="170"/>
      <c r="D327" s="170" t="s">
        <v>38</v>
      </c>
      <c r="E327" s="170">
        <v>4</v>
      </c>
      <c r="F327" s="170">
        <v>0</v>
      </c>
      <c r="G327" s="170"/>
      <c r="H327" s="171"/>
      <c r="I327" s="64" t="s">
        <v>776</v>
      </c>
    </row>
    <row r="328" spans="1:9" s="162" customFormat="1" ht="17.25" customHeight="1" x14ac:dyDescent="0.35">
      <c r="A328" s="169"/>
      <c r="B328" s="170"/>
      <c r="C328" s="170"/>
      <c r="D328" s="170" t="s">
        <v>38</v>
      </c>
      <c r="E328" s="170">
        <v>1</v>
      </c>
      <c r="F328" s="170">
        <v>1</v>
      </c>
      <c r="G328" s="170"/>
      <c r="H328" s="171"/>
      <c r="I328" s="64" t="s">
        <v>777</v>
      </c>
    </row>
    <row r="329" spans="1:9" s="162" customFormat="1" ht="17.25" customHeight="1" x14ac:dyDescent="0.35">
      <c r="A329" s="169"/>
      <c r="B329" s="170"/>
      <c r="C329" s="170"/>
      <c r="D329" s="170" t="s">
        <v>38</v>
      </c>
      <c r="E329" s="170">
        <v>1</v>
      </c>
      <c r="F329" s="170">
        <v>1</v>
      </c>
      <c r="G329" s="170"/>
      <c r="H329" s="171"/>
      <c r="I329" s="64" t="s">
        <v>778</v>
      </c>
    </row>
    <row r="330" spans="1:9" s="162" customFormat="1" ht="17.25" customHeight="1" x14ac:dyDescent="0.35">
      <c r="A330" s="169"/>
      <c r="B330" s="170"/>
      <c r="C330" s="170"/>
      <c r="D330" s="170" t="s">
        <v>38</v>
      </c>
      <c r="E330" s="170">
        <v>1</v>
      </c>
      <c r="F330" s="170">
        <v>0</v>
      </c>
      <c r="G330" s="170"/>
      <c r="H330" s="171"/>
      <c r="I330" s="64" t="s">
        <v>779</v>
      </c>
    </row>
    <row r="331" spans="1:9" s="162" customFormat="1" ht="17.25" customHeight="1" x14ac:dyDescent="0.35">
      <c r="A331" s="169"/>
      <c r="B331" s="170"/>
      <c r="C331" s="170"/>
      <c r="D331" s="170" t="s">
        <v>38</v>
      </c>
      <c r="E331" s="170">
        <v>1</v>
      </c>
      <c r="F331" s="170">
        <v>1</v>
      </c>
      <c r="G331" s="170"/>
      <c r="H331" s="171"/>
      <c r="I331" s="64" t="s">
        <v>780</v>
      </c>
    </row>
    <row r="332" spans="1:9" s="162" customFormat="1" ht="17.25" customHeight="1" x14ac:dyDescent="0.35">
      <c r="A332" s="169"/>
      <c r="B332" s="170"/>
      <c r="C332" s="170"/>
      <c r="D332" s="170" t="s">
        <v>32</v>
      </c>
      <c r="E332" s="170">
        <v>501</v>
      </c>
      <c r="F332" s="170"/>
      <c r="G332" s="170"/>
      <c r="H332" s="171"/>
      <c r="I332" s="64" t="s">
        <v>180</v>
      </c>
    </row>
    <row r="333" spans="1:9" s="162" customFormat="1" ht="17.25" customHeight="1" x14ac:dyDescent="0.35">
      <c r="A333" s="169" t="s">
        <v>389</v>
      </c>
      <c r="B333" s="170" t="s">
        <v>390</v>
      </c>
      <c r="C333" s="170" t="s">
        <v>136</v>
      </c>
      <c r="D333" s="170"/>
      <c r="E333" s="170"/>
      <c r="F333" s="170"/>
      <c r="G333" s="170" t="s">
        <v>30</v>
      </c>
      <c r="H333" s="171"/>
      <c r="I333" s="64">
        <v>70202</v>
      </c>
    </row>
    <row r="334" spans="1:9" s="162" customFormat="1" ht="17.25" customHeight="1" x14ac:dyDescent="0.35">
      <c r="A334" s="169"/>
      <c r="B334" s="170"/>
      <c r="C334" s="170"/>
      <c r="D334" s="170" t="s">
        <v>38</v>
      </c>
      <c r="E334" s="170">
        <v>1</v>
      </c>
      <c r="F334" s="170">
        <v>1</v>
      </c>
      <c r="G334" s="170"/>
      <c r="H334" s="171"/>
      <c r="I334" s="64"/>
    </row>
    <row r="335" spans="1:9" s="162" customFormat="1" ht="17.25" customHeight="1" x14ac:dyDescent="0.35">
      <c r="A335" s="169" t="s">
        <v>781</v>
      </c>
      <c r="B335" s="170" t="s">
        <v>782</v>
      </c>
      <c r="C335" s="170" t="s">
        <v>136</v>
      </c>
      <c r="D335" s="170"/>
      <c r="E335" s="170"/>
      <c r="F335" s="170"/>
      <c r="G335" s="170" t="s">
        <v>30</v>
      </c>
      <c r="H335" s="171"/>
      <c r="I335" s="64">
        <v>69749</v>
      </c>
    </row>
    <row r="336" spans="1:9" s="162" customFormat="1" ht="17.25" customHeight="1" x14ac:dyDescent="0.35">
      <c r="A336" s="169"/>
      <c r="B336" s="170"/>
      <c r="C336" s="170"/>
      <c r="D336" s="170" t="s">
        <v>38</v>
      </c>
      <c r="E336" s="170">
        <v>2</v>
      </c>
      <c r="F336" s="170">
        <v>1430</v>
      </c>
      <c r="G336" s="170"/>
      <c r="H336" s="171"/>
      <c r="I336" s="64"/>
    </row>
    <row r="337" spans="1:9" s="172" customFormat="1" ht="17.25" customHeight="1" x14ac:dyDescent="0.35">
      <c r="A337" s="169" t="s">
        <v>783</v>
      </c>
      <c r="B337" s="170" t="s">
        <v>784</v>
      </c>
      <c r="C337" s="170" t="s">
        <v>136</v>
      </c>
      <c r="D337" s="170"/>
      <c r="E337" s="170"/>
      <c r="F337" s="170"/>
      <c r="G337" s="170" t="s">
        <v>30</v>
      </c>
      <c r="H337" s="171"/>
      <c r="I337" s="64">
        <v>65814</v>
      </c>
    </row>
    <row r="338" spans="1:9" s="172" customFormat="1" ht="17.25" customHeight="1" x14ac:dyDescent="0.35">
      <c r="A338" s="169"/>
      <c r="B338" s="170"/>
      <c r="C338" s="170"/>
      <c r="D338" s="170" t="s">
        <v>38</v>
      </c>
      <c r="E338" s="170">
        <v>2</v>
      </c>
      <c r="F338" s="170">
        <v>1430</v>
      </c>
      <c r="G338" s="170"/>
      <c r="H338" s="171"/>
      <c r="I338" s="64"/>
    </row>
    <row r="339" spans="1:9" s="172" customFormat="1" ht="17.25" customHeight="1" x14ac:dyDescent="0.35">
      <c r="A339" s="169" t="s">
        <v>391</v>
      </c>
      <c r="B339" s="170" t="s">
        <v>392</v>
      </c>
      <c r="C339" s="170" t="s">
        <v>136</v>
      </c>
      <c r="D339" s="170"/>
      <c r="E339" s="170"/>
      <c r="F339" s="170"/>
      <c r="G339" s="170" t="s">
        <v>30</v>
      </c>
      <c r="H339" s="171"/>
      <c r="I339" s="64">
        <v>65955</v>
      </c>
    </row>
    <row r="340" spans="1:9" s="172" customFormat="1" ht="17.25" customHeight="1" x14ac:dyDescent="0.35">
      <c r="A340" s="169"/>
      <c r="B340" s="170"/>
      <c r="C340" s="170"/>
      <c r="D340" s="170" t="s">
        <v>38</v>
      </c>
      <c r="E340" s="170">
        <v>1</v>
      </c>
      <c r="F340" s="170">
        <v>1</v>
      </c>
      <c r="G340" s="170"/>
      <c r="H340" s="171"/>
      <c r="I340" s="64"/>
    </row>
    <row r="341" spans="1:9" s="172" customFormat="1" ht="17.25" customHeight="1" x14ac:dyDescent="0.35">
      <c r="A341" s="169" t="s">
        <v>393</v>
      </c>
      <c r="B341" s="170" t="s">
        <v>394</v>
      </c>
      <c r="C341" s="170" t="s">
        <v>136</v>
      </c>
      <c r="D341" s="170"/>
      <c r="E341" s="170"/>
      <c r="F341" s="170"/>
      <c r="G341" s="170" t="s">
        <v>30</v>
      </c>
      <c r="H341" s="171"/>
      <c r="I341" s="64">
        <v>65957</v>
      </c>
    </row>
    <row r="342" spans="1:9" s="172" customFormat="1" ht="17.25" customHeight="1" x14ac:dyDescent="0.35">
      <c r="A342" s="169"/>
      <c r="B342" s="170"/>
      <c r="C342" s="170"/>
      <c r="D342" s="170" t="s">
        <v>38</v>
      </c>
      <c r="E342" s="170">
        <v>1</v>
      </c>
      <c r="F342" s="170">
        <v>1</v>
      </c>
      <c r="G342" s="170"/>
      <c r="H342" s="171"/>
      <c r="I342" s="64"/>
    </row>
    <row r="343" spans="1:9" s="172" customFormat="1" ht="17.25" customHeight="1" x14ac:dyDescent="0.35">
      <c r="A343" s="169" t="s">
        <v>395</v>
      </c>
      <c r="B343" s="170" t="s">
        <v>396</v>
      </c>
      <c r="C343" s="170" t="s">
        <v>136</v>
      </c>
      <c r="D343" s="170"/>
      <c r="E343" s="170"/>
      <c r="F343" s="170"/>
      <c r="G343" s="170" t="s">
        <v>30</v>
      </c>
      <c r="H343" s="171"/>
      <c r="I343" s="64">
        <v>67194</v>
      </c>
    </row>
    <row r="344" spans="1:9" s="172" customFormat="1" ht="17.25" customHeight="1" x14ac:dyDescent="0.35">
      <c r="A344" s="169"/>
      <c r="B344" s="170"/>
      <c r="C344" s="170"/>
      <c r="D344" s="170" t="s">
        <v>38</v>
      </c>
      <c r="E344" s="170">
        <v>4</v>
      </c>
      <c r="F344" s="170">
        <v>20</v>
      </c>
      <c r="G344" s="170"/>
      <c r="H344" s="171"/>
      <c r="I344" s="64" t="s">
        <v>397</v>
      </c>
    </row>
    <row r="345" spans="1:9" s="172" customFormat="1" ht="17.25" customHeight="1" x14ac:dyDescent="0.35">
      <c r="A345" s="169" t="s">
        <v>398</v>
      </c>
      <c r="B345" s="170" t="s">
        <v>399</v>
      </c>
      <c r="C345" s="170" t="s">
        <v>136</v>
      </c>
      <c r="D345" s="170"/>
      <c r="E345" s="170"/>
      <c r="F345" s="170"/>
      <c r="G345" s="170" t="s">
        <v>30</v>
      </c>
      <c r="H345" s="171"/>
      <c r="I345" s="64">
        <v>67195</v>
      </c>
    </row>
    <row r="346" spans="1:9" s="172" customFormat="1" ht="17.25" customHeight="1" x14ac:dyDescent="0.35">
      <c r="A346" s="169"/>
      <c r="B346" s="170"/>
      <c r="C346" s="170"/>
      <c r="D346" s="170" t="s">
        <v>38</v>
      </c>
      <c r="E346" s="170">
        <v>4</v>
      </c>
      <c r="F346" s="170">
        <v>5</v>
      </c>
      <c r="G346" s="170"/>
      <c r="H346" s="171"/>
      <c r="I346" s="64"/>
    </row>
    <row r="347" spans="1:9" s="172" customFormat="1" ht="17.25" customHeight="1" x14ac:dyDescent="0.35">
      <c r="A347" s="169" t="s">
        <v>400</v>
      </c>
      <c r="B347" s="170" t="s">
        <v>401</v>
      </c>
      <c r="C347" s="170" t="s">
        <v>136</v>
      </c>
      <c r="D347" s="170"/>
      <c r="E347" s="170"/>
      <c r="F347" s="170"/>
      <c r="G347" s="170" t="s">
        <v>30</v>
      </c>
      <c r="H347" s="171"/>
      <c r="I347" s="64">
        <v>67199</v>
      </c>
    </row>
    <row r="348" spans="1:9" s="172" customFormat="1" ht="17.25" customHeight="1" x14ac:dyDescent="0.35">
      <c r="A348" s="169"/>
      <c r="B348" s="170"/>
      <c r="C348" s="170"/>
      <c r="D348" s="170" t="s">
        <v>38</v>
      </c>
      <c r="E348" s="170">
        <v>1</v>
      </c>
      <c r="F348" s="170">
        <v>1</v>
      </c>
      <c r="G348" s="170"/>
      <c r="H348" s="171"/>
      <c r="I348" s="64"/>
    </row>
    <row r="349" spans="1:9" s="172" customFormat="1" ht="17.25" customHeight="1" x14ac:dyDescent="0.35">
      <c r="A349" s="169" t="s">
        <v>402</v>
      </c>
      <c r="B349" s="170" t="s">
        <v>403</v>
      </c>
      <c r="C349" s="170" t="s">
        <v>136</v>
      </c>
      <c r="D349" s="170"/>
      <c r="E349" s="170"/>
      <c r="F349" s="170"/>
      <c r="G349" s="170" t="s">
        <v>30</v>
      </c>
      <c r="H349" s="171"/>
      <c r="I349" s="64">
        <v>67280</v>
      </c>
    </row>
    <row r="350" spans="1:9" s="172" customFormat="1" ht="17.25" customHeight="1" x14ac:dyDescent="0.35">
      <c r="A350" s="169"/>
      <c r="B350" s="170"/>
      <c r="C350" s="170"/>
      <c r="D350" s="170" t="s">
        <v>38</v>
      </c>
      <c r="E350" s="170">
        <v>4</v>
      </c>
      <c r="F350" s="170">
        <v>45000</v>
      </c>
      <c r="G350" s="170"/>
      <c r="H350" s="171"/>
      <c r="I350" s="64"/>
    </row>
    <row r="351" spans="1:9" s="172" customFormat="1" ht="34.5" customHeight="1" x14ac:dyDescent="0.35">
      <c r="A351" s="169" t="s">
        <v>404</v>
      </c>
      <c r="B351" s="170" t="s">
        <v>405</v>
      </c>
      <c r="C351" s="170" t="s">
        <v>136</v>
      </c>
      <c r="D351" s="170"/>
      <c r="E351" s="170"/>
      <c r="F351" s="170"/>
      <c r="G351" s="170" t="s">
        <v>30</v>
      </c>
      <c r="H351" s="171"/>
      <c r="I351" s="64">
        <v>67281</v>
      </c>
    </row>
    <row r="352" spans="1:9" s="162" customFormat="1" ht="17.25" customHeight="1" x14ac:dyDescent="0.35">
      <c r="A352" s="169"/>
      <c r="B352" s="170"/>
      <c r="C352" s="170"/>
      <c r="D352" s="170" t="s">
        <v>38</v>
      </c>
      <c r="E352" s="170">
        <v>4</v>
      </c>
      <c r="F352" s="170">
        <v>90000</v>
      </c>
      <c r="G352" s="170"/>
      <c r="H352" s="171"/>
      <c r="I352" s="64"/>
    </row>
    <row r="353" spans="1:9" s="162" customFormat="1" ht="17.25" customHeight="1" x14ac:dyDescent="0.35">
      <c r="A353" s="169" t="s">
        <v>406</v>
      </c>
      <c r="B353" s="170" t="s">
        <v>407</v>
      </c>
      <c r="C353" s="170" t="s">
        <v>136</v>
      </c>
      <c r="D353" s="170"/>
      <c r="E353" s="170"/>
      <c r="F353" s="170"/>
      <c r="G353" s="170" t="s">
        <v>30</v>
      </c>
      <c r="H353" s="171"/>
      <c r="I353" s="64">
        <v>67282</v>
      </c>
    </row>
    <row r="354" spans="1:9" s="162" customFormat="1" ht="17.25" customHeight="1" x14ac:dyDescent="0.35">
      <c r="A354" s="169"/>
      <c r="B354" s="170"/>
      <c r="C354" s="170"/>
      <c r="D354" s="170" t="s">
        <v>38</v>
      </c>
      <c r="E354" s="170">
        <v>4</v>
      </c>
      <c r="F354" s="170">
        <v>20</v>
      </c>
      <c r="G354" s="170"/>
      <c r="H354" s="171"/>
      <c r="I354" s="64"/>
    </row>
    <row r="355" spans="1:9" s="162" customFormat="1" ht="17.25" customHeight="1" x14ac:dyDescent="0.35">
      <c r="A355" s="169" t="s">
        <v>408</v>
      </c>
      <c r="B355" s="170" t="s">
        <v>409</v>
      </c>
      <c r="C355" s="170" t="s">
        <v>136</v>
      </c>
      <c r="D355" s="170"/>
      <c r="E355" s="170"/>
      <c r="F355" s="170"/>
      <c r="G355" s="170" t="s">
        <v>30</v>
      </c>
      <c r="H355" s="171"/>
      <c r="I355" s="64">
        <v>65964</v>
      </c>
    </row>
    <row r="356" spans="1:9" s="162" customFormat="1" ht="17.25" customHeight="1" x14ac:dyDescent="0.35">
      <c r="A356" s="169"/>
      <c r="B356" s="170"/>
      <c r="C356" s="170"/>
      <c r="D356" s="170" t="s">
        <v>38</v>
      </c>
      <c r="E356" s="170">
        <v>1</v>
      </c>
      <c r="F356" s="170">
        <v>1</v>
      </c>
      <c r="G356" s="170"/>
      <c r="H356" s="171"/>
      <c r="I356" s="64"/>
    </row>
    <row r="357" spans="1:9" s="162" customFormat="1" ht="17.25" customHeight="1" x14ac:dyDescent="0.35">
      <c r="A357" s="169" t="s">
        <v>410</v>
      </c>
      <c r="B357" s="170" t="s">
        <v>411</v>
      </c>
      <c r="C357" s="170" t="s">
        <v>136</v>
      </c>
      <c r="D357" s="170"/>
      <c r="E357" s="170"/>
      <c r="F357" s="170"/>
      <c r="G357" s="170" t="s">
        <v>30</v>
      </c>
      <c r="H357" s="171"/>
      <c r="I357" s="64">
        <v>65960</v>
      </c>
    </row>
    <row r="358" spans="1:9" s="162" customFormat="1" ht="17.25" customHeight="1" x14ac:dyDescent="0.35">
      <c r="A358" s="169"/>
      <c r="B358" s="170"/>
      <c r="C358" s="170"/>
      <c r="D358" s="170" t="s">
        <v>38</v>
      </c>
      <c r="E358" s="170">
        <v>1</v>
      </c>
      <c r="F358" s="170">
        <v>0</v>
      </c>
      <c r="G358" s="170"/>
      <c r="H358" s="171"/>
      <c r="I358" s="64"/>
    </row>
    <row r="359" spans="1:9" s="162" customFormat="1" ht="17.25" customHeight="1" x14ac:dyDescent="0.35">
      <c r="A359" s="169" t="s">
        <v>412</v>
      </c>
      <c r="B359" s="170" t="s">
        <v>413</v>
      </c>
      <c r="C359" s="170" t="s">
        <v>136</v>
      </c>
      <c r="D359" s="170"/>
      <c r="E359" s="170"/>
      <c r="F359" s="170"/>
      <c r="G359" s="170" t="s">
        <v>30</v>
      </c>
      <c r="H359" s="171"/>
      <c r="I359" s="64">
        <v>66031</v>
      </c>
    </row>
    <row r="360" spans="1:9" s="162" customFormat="1" ht="17.25" customHeight="1" x14ac:dyDescent="0.35">
      <c r="A360" s="169"/>
      <c r="B360" s="170"/>
      <c r="C360" s="170"/>
      <c r="D360" s="170" t="s">
        <v>38</v>
      </c>
      <c r="E360" s="170">
        <v>4</v>
      </c>
      <c r="F360" s="170">
        <v>0</v>
      </c>
      <c r="G360" s="170"/>
      <c r="H360" s="171"/>
      <c r="I360" s="64"/>
    </row>
    <row r="361" spans="1:9" s="162" customFormat="1" ht="17.25" customHeight="1" x14ac:dyDescent="0.35">
      <c r="A361" s="169" t="s">
        <v>414</v>
      </c>
      <c r="B361" s="170" t="s">
        <v>415</v>
      </c>
      <c r="C361" s="170" t="s">
        <v>136</v>
      </c>
      <c r="D361" s="170"/>
      <c r="E361" s="170"/>
      <c r="F361" s="170"/>
      <c r="G361" s="170" t="s">
        <v>30</v>
      </c>
      <c r="H361" s="171"/>
      <c r="I361" s="64">
        <v>67239</v>
      </c>
    </row>
    <row r="362" spans="1:9" s="162" customFormat="1" ht="17.25" customHeight="1" x14ac:dyDescent="0.35">
      <c r="A362" s="169"/>
      <c r="B362" s="170"/>
      <c r="C362" s="170"/>
      <c r="D362" s="170" t="s">
        <v>38</v>
      </c>
      <c r="E362" s="170">
        <v>4</v>
      </c>
      <c r="F362" s="170">
        <v>0</v>
      </c>
      <c r="G362" s="170"/>
      <c r="H362" s="171"/>
      <c r="I362" s="64"/>
    </row>
    <row r="363" spans="1:9" s="162" customFormat="1" ht="17.25" customHeight="1" x14ac:dyDescent="0.35">
      <c r="A363" s="169" t="s">
        <v>416</v>
      </c>
      <c r="B363" s="170" t="s">
        <v>417</v>
      </c>
      <c r="C363" s="170" t="s">
        <v>136</v>
      </c>
      <c r="D363" s="170"/>
      <c r="E363" s="170"/>
      <c r="F363" s="170"/>
      <c r="G363" s="170" t="s">
        <v>30</v>
      </c>
      <c r="H363" s="171"/>
      <c r="I363" s="64">
        <v>67240</v>
      </c>
    </row>
    <row r="364" spans="1:9" s="162" customFormat="1" ht="17.25" customHeight="1" x14ac:dyDescent="0.35">
      <c r="A364" s="169"/>
      <c r="B364" s="170"/>
      <c r="C364" s="170"/>
      <c r="D364" s="170" t="s">
        <v>38</v>
      </c>
      <c r="E364" s="170">
        <v>1</v>
      </c>
      <c r="F364" s="170">
        <v>0</v>
      </c>
      <c r="G364" s="170"/>
      <c r="H364" s="171"/>
      <c r="I364" s="64"/>
    </row>
    <row r="365" spans="1:9" s="162" customFormat="1" ht="17.25" customHeight="1" x14ac:dyDescent="0.35">
      <c r="A365" s="169" t="s">
        <v>418</v>
      </c>
      <c r="B365" s="170" t="s">
        <v>419</v>
      </c>
      <c r="C365" s="170" t="s">
        <v>136</v>
      </c>
      <c r="D365" s="170"/>
      <c r="E365" s="170"/>
      <c r="F365" s="170"/>
      <c r="G365" s="170" t="s">
        <v>30</v>
      </c>
      <c r="H365" s="171"/>
      <c r="I365" s="64">
        <v>67241</v>
      </c>
    </row>
    <row r="366" spans="1:9" s="162" customFormat="1" ht="17.25" customHeight="1" x14ac:dyDescent="0.35">
      <c r="A366" s="169"/>
      <c r="B366" s="170"/>
      <c r="C366" s="170"/>
      <c r="D366" s="170" t="s">
        <v>38</v>
      </c>
      <c r="E366" s="170">
        <v>1</v>
      </c>
      <c r="F366" s="170">
        <v>0</v>
      </c>
      <c r="G366" s="170"/>
      <c r="H366" s="171"/>
      <c r="I366" s="64"/>
    </row>
    <row r="367" spans="1:9" s="162" customFormat="1" ht="17.25" customHeight="1" x14ac:dyDescent="0.35">
      <c r="A367" s="169" t="s">
        <v>420</v>
      </c>
      <c r="B367" s="170" t="s">
        <v>421</v>
      </c>
      <c r="C367" s="170" t="s">
        <v>136</v>
      </c>
      <c r="D367" s="170"/>
      <c r="E367" s="170"/>
      <c r="F367" s="170"/>
      <c r="G367" s="170" t="s">
        <v>30</v>
      </c>
      <c r="H367" s="171"/>
      <c r="I367" s="64">
        <v>70213</v>
      </c>
    </row>
    <row r="368" spans="1:9" s="162" customFormat="1" ht="17.25" customHeight="1" x14ac:dyDescent="0.35">
      <c r="A368" s="169"/>
      <c r="B368" s="170"/>
      <c r="C368" s="170"/>
      <c r="D368" s="170" t="s">
        <v>38</v>
      </c>
      <c r="E368" s="170">
        <v>2</v>
      </c>
      <c r="F368" s="170">
        <v>-115</v>
      </c>
      <c r="G368" s="170"/>
      <c r="H368" s="171"/>
      <c r="I368" s="64"/>
    </row>
    <row r="369" spans="1:9" s="162" customFormat="1" ht="17.25" customHeight="1" x14ac:dyDescent="0.35">
      <c r="A369" s="169" t="s">
        <v>785</v>
      </c>
      <c r="B369" s="170" t="s">
        <v>423</v>
      </c>
      <c r="C369" s="170" t="s">
        <v>136</v>
      </c>
      <c r="D369" s="170"/>
      <c r="E369" s="170"/>
      <c r="F369" s="170"/>
      <c r="G369" s="170" t="s">
        <v>30</v>
      </c>
      <c r="H369" s="171"/>
      <c r="I369" s="64">
        <v>70291</v>
      </c>
    </row>
    <row r="370" spans="1:9" s="162" customFormat="1" ht="17.25" customHeight="1" x14ac:dyDescent="0.35">
      <c r="A370" s="169"/>
      <c r="B370" s="170"/>
      <c r="C370" s="170"/>
      <c r="D370" s="170" t="s">
        <v>38</v>
      </c>
      <c r="E370" s="170">
        <v>1</v>
      </c>
      <c r="F370" s="170">
        <v>2</v>
      </c>
      <c r="G370" s="170"/>
      <c r="H370" s="171"/>
      <c r="I370" s="64" t="s">
        <v>177</v>
      </c>
    </row>
    <row r="371" spans="1:9" s="162" customFormat="1" ht="17.25" customHeight="1" x14ac:dyDescent="0.35">
      <c r="A371" s="169"/>
      <c r="B371" s="170"/>
      <c r="C371" s="170"/>
      <c r="D371" s="170" t="s">
        <v>38</v>
      </c>
      <c r="E371" s="170">
        <v>1</v>
      </c>
      <c r="F371" s="170">
        <v>2</v>
      </c>
      <c r="G371" s="170"/>
      <c r="H371" s="171"/>
      <c r="I371" s="64" t="s">
        <v>786</v>
      </c>
    </row>
    <row r="372" spans="1:9" s="162" customFormat="1" ht="17.25" customHeight="1" x14ac:dyDescent="0.35">
      <c r="A372" s="169"/>
      <c r="B372" s="170"/>
      <c r="C372" s="170"/>
      <c r="D372" s="170" t="s">
        <v>38</v>
      </c>
      <c r="E372" s="170">
        <v>1</v>
      </c>
      <c r="F372" s="170">
        <v>0</v>
      </c>
      <c r="G372" s="170"/>
      <c r="H372" s="171"/>
      <c r="I372" s="64" t="s">
        <v>787</v>
      </c>
    </row>
    <row r="373" spans="1:9" s="162" customFormat="1" ht="17.25" customHeight="1" x14ac:dyDescent="0.35">
      <c r="A373" s="169"/>
      <c r="B373" s="170"/>
      <c r="C373" s="170"/>
      <c r="D373" s="170" t="s">
        <v>38</v>
      </c>
      <c r="E373" s="170">
        <v>2</v>
      </c>
      <c r="F373" s="170">
        <v>0</v>
      </c>
      <c r="G373" s="170"/>
      <c r="H373" s="171"/>
      <c r="I373" s="64" t="s">
        <v>788</v>
      </c>
    </row>
    <row r="374" spans="1:9" s="162" customFormat="1" ht="17.25" customHeight="1" x14ac:dyDescent="0.35">
      <c r="A374" s="169"/>
      <c r="B374" s="170"/>
      <c r="C374" s="170"/>
      <c r="D374" s="170" t="s">
        <v>38</v>
      </c>
      <c r="E374" s="170">
        <v>1</v>
      </c>
      <c r="F374" s="170">
        <v>0</v>
      </c>
      <c r="G374" s="170"/>
      <c r="H374" s="171"/>
      <c r="I374" s="64" t="s">
        <v>789</v>
      </c>
    </row>
    <row r="375" spans="1:9" s="162" customFormat="1" ht="17.25" customHeight="1" x14ac:dyDescent="0.35">
      <c r="A375" s="169"/>
      <c r="B375" s="170"/>
      <c r="C375" s="170"/>
      <c r="D375" s="170" t="s">
        <v>38</v>
      </c>
      <c r="E375" s="170">
        <v>1</v>
      </c>
      <c r="F375" s="170">
        <v>0</v>
      </c>
      <c r="G375" s="170"/>
      <c r="H375" s="171"/>
      <c r="I375" s="64" t="s">
        <v>790</v>
      </c>
    </row>
    <row r="376" spans="1:9" s="162" customFormat="1" ht="17.25" customHeight="1" x14ac:dyDescent="0.35">
      <c r="A376" s="169"/>
      <c r="B376" s="170"/>
      <c r="C376" s="170"/>
      <c r="D376" s="170" t="s">
        <v>38</v>
      </c>
      <c r="E376" s="170">
        <v>1</v>
      </c>
      <c r="F376" s="170">
        <v>0</v>
      </c>
      <c r="G376" s="170"/>
      <c r="H376" s="171"/>
      <c r="I376" s="64" t="s">
        <v>791</v>
      </c>
    </row>
    <row r="377" spans="1:9" s="162" customFormat="1" ht="17.25" customHeight="1" x14ac:dyDescent="0.35">
      <c r="A377" s="169"/>
      <c r="B377" s="170"/>
      <c r="C377" s="170"/>
      <c r="D377" s="170" t="s">
        <v>38</v>
      </c>
      <c r="E377" s="170">
        <v>4</v>
      </c>
      <c r="F377" s="170">
        <v>0</v>
      </c>
      <c r="G377" s="170"/>
      <c r="H377" s="171"/>
      <c r="I377" s="64" t="s">
        <v>792</v>
      </c>
    </row>
    <row r="378" spans="1:9" s="162" customFormat="1" ht="17.25" customHeight="1" x14ac:dyDescent="0.35">
      <c r="A378" s="169"/>
      <c r="B378" s="170"/>
      <c r="C378" s="170"/>
      <c r="D378" s="170" t="s">
        <v>38</v>
      </c>
      <c r="E378" s="170">
        <v>2</v>
      </c>
      <c r="F378" s="170">
        <v>0</v>
      </c>
      <c r="G378" s="170"/>
      <c r="H378" s="171"/>
      <c r="I378" s="64" t="s">
        <v>793</v>
      </c>
    </row>
    <row r="379" spans="1:9" s="162" customFormat="1" ht="17.25" customHeight="1" x14ac:dyDescent="0.35">
      <c r="A379" s="169"/>
      <c r="B379" s="170"/>
      <c r="C379" s="170"/>
      <c r="D379" s="170" t="s">
        <v>38</v>
      </c>
      <c r="E379" s="170">
        <v>2</v>
      </c>
      <c r="F379" s="170">
        <v>0</v>
      </c>
      <c r="G379" s="170"/>
      <c r="H379" s="171"/>
      <c r="I379" s="64" t="s">
        <v>794</v>
      </c>
    </row>
    <row r="380" spans="1:9" s="162" customFormat="1" ht="17.25" customHeight="1" x14ac:dyDescent="0.35">
      <c r="A380" s="169"/>
      <c r="B380" s="170"/>
      <c r="C380" s="170"/>
      <c r="D380" s="170" t="s">
        <v>38</v>
      </c>
      <c r="E380" s="170">
        <v>2</v>
      </c>
      <c r="F380" s="170">
        <v>0</v>
      </c>
      <c r="G380" s="170"/>
      <c r="H380" s="171"/>
      <c r="I380" s="64" t="s">
        <v>795</v>
      </c>
    </row>
    <row r="381" spans="1:9" s="162" customFormat="1" ht="17.25" customHeight="1" x14ac:dyDescent="0.35">
      <c r="A381" s="169"/>
      <c r="B381" s="170"/>
      <c r="C381" s="170"/>
      <c r="D381" s="170" t="s">
        <v>38</v>
      </c>
      <c r="E381" s="170">
        <v>1</v>
      </c>
      <c r="F381" s="170">
        <v>0</v>
      </c>
      <c r="G381" s="170"/>
      <c r="H381" s="171"/>
      <c r="I381" s="64" t="s">
        <v>796</v>
      </c>
    </row>
    <row r="382" spans="1:9" s="162" customFormat="1" ht="17.25" customHeight="1" x14ac:dyDescent="0.35">
      <c r="A382" s="169"/>
      <c r="B382" s="170"/>
      <c r="C382" s="170"/>
      <c r="D382" s="170" t="s">
        <v>38</v>
      </c>
      <c r="E382" s="170">
        <v>1</v>
      </c>
      <c r="F382" s="170">
        <v>0</v>
      </c>
      <c r="G382" s="170"/>
      <c r="H382" s="171"/>
      <c r="I382" s="64" t="s">
        <v>797</v>
      </c>
    </row>
    <row r="383" spans="1:9" s="162" customFormat="1" ht="17.25" customHeight="1" x14ac:dyDescent="0.35">
      <c r="A383" s="169"/>
      <c r="B383" s="170"/>
      <c r="C383" s="170"/>
      <c r="D383" s="170" t="s">
        <v>38</v>
      </c>
      <c r="E383" s="170">
        <v>1</v>
      </c>
      <c r="F383" s="170">
        <v>0</v>
      </c>
      <c r="G383" s="170"/>
      <c r="H383" s="171"/>
      <c r="I383" s="64" t="s">
        <v>798</v>
      </c>
    </row>
    <row r="384" spans="1:9" s="162" customFormat="1" ht="17.25" customHeight="1" x14ac:dyDescent="0.35">
      <c r="A384" s="169"/>
      <c r="B384" s="170"/>
      <c r="C384" s="170"/>
      <c r="D384" s="170" t="s">
        <v>38</v>
      </c>
      <c r="E384" s="170">
        <v>2</v>
      </c>
      <c r="F384" s="170">
        <v>0</v>
      </c>
      <c r="G384" s="170"/>
      <c r="H384" s="171"/>
      <c r="I384" s="64" t="s">
        <v>799</v>
      </c>
    </row>
    <row r="385" spans="1:9" s="162" customFormat="1" ht="17.25" customHeight="1" x14ac:dyDescent="0.35">
      <c r="A385" s="169"/>
      <c r="B385" s="170"/>
      <c r="C385" s="170"/>
      <c r="D385" s="170" t="s">
        <v>38</v>
      </c>
      <c r="E385" s="170">
        <v>2</v>
      </c>
      <c r="F385" s="170">
        <v>0</v>
      </c>
      <c r="G385" s="170"/>
      <c r="H385" s="171"/>
      <c r="I385" s="64" t="s">
        <v>800</v>
      </c>
    </row>
    <row r="386" spans="1:9" s="162" customFormat="1" ht="17.25" customHeight="1" x14ac:dyDescent="0.35">
      <c r="A386" s="169"/>
      <c r="B386" s="170"/>
      <c r="C386" s="170"/>
      <c r="D386" s="170" t="s">
        <v>38</v>
      </c>
      <c r="E386" s="170">
        <v>1</v>
      </c>
      <c r="F386" s="170">
        <v>0</v>
      </c>
      <c r="G386" s="170"/>
      <c r="H386" s="171"/>
      <c r="I386" s="64" t="s">
        <v>801</v>
      </c>
    </row>
    <row r="387" spans="1:9" s="162" customFormat="1" ht="17.25" customHeight="1" x14ac:dyDescent="0.35">
      <c r="A387" s="169"/>
      <c r="B387" s="170"/>
      <c r="C387" s="170"/>
      <c r="D387" s="170" t="s">
        <v>38</v>
      </c>
      <c r="E387" s="170">
        <v>2</v>
      </c>
      <c r="F387" s="170">
        <v>113</v>
      </c>
      <c r="G387" s="170"/>
      <c r="H387" s="171"/>
      <c r="I387" s="64" t="s">
        <v>802</v>
      </c>
    </row>
    <row r="388" spans="1:9" s="162" customFormat="1" ht="17.25" customHeight="1" x14ac:dyDescent="0.35">
      <c r="A388" s="169"/>
      <c r="B388" s="170"/>
      <c r="C388" s="170"/>
      <c r="D388" s="170" t="s">
        <v>38</v>
      </c>
      <c r="E388" s="170">
        <v>2</v>
      </c>
      <c r="F388" s="170">
        <v>114</v>
      </c>
      <c r="G388" s="170"/>
      <c r="H388" s="171"/>
      <c r="I388" s="64" t="s">
        <v>803</v>
      </c>
    </row>
    <row r="389" spans="1:9" s="162" customFormat="1" ht="17.25" customHeight="1" x14ac:dyDescent="0.35">
      <c r="A389" s="169"/>
      <c r="B389" s="170"/>
      <c r="C389" s="170"/>
      <c r="D389" s="170" t="s">
        <v>38</v>
      </c>
      <c r="E389" s="170">
        <v>1</v>
      </c>
      <c r="F389" s="170">
        <v>1</v>
      </c>
      <c r="G389" s="170"/>
      <c r="H389" s="171"/>
      <c r="I389" s="64" t="s">
        <v>804</v>
      </c>
    </row>
    <row r="390" spans="1:9" s="162" customFormat="1" ht="17.25" customHeight="1" x14ac:dyDescent="0.35">
      <c r="A390" s="169"/>
      <c r="B390" s="170"/>
      <c r="C390" s="170"/>
      <c r="D390" s="170" t="s">
        <v>38</v>
      </c>
      <c r="E390" s="170">
        <v>1</v>
      </c>
      <c r="F390" s="170">
        <v>10</v>
      </c>
      <c r="G390" s="170"/>
      <c r="H390" s="171"/>
      <c r="I390" s="64" t="s">
        <v>805</v>
      </c>
    </row>
    <row r="391" spans="1:9" s="162" customFormat="1" ht="17.25" customHeight="1" x14ac:dyDescent="0.35">
      <c r="A391" s="169"/>
      <c r="B391" s="170"/>
      <c r="C391" s="170"/>
      <c r="D391" s="170" t="s">
        <v>38</v>
      </c>
      <c r="E391" s="170">
        <v>1</v>
      </c>
      <c r="F391" s="170">
        <v>11</v>
      </c>
      <c r="G391" s="170"/>
      <c r="H391" s="171"/>
      <c r="I391" s="64" t="s">
        <v>806</v>
      </c>
    </row>
    <row r="392" spans="1:9" s="162" customFormat="1" ht="17.25" customHeight="1" x14ac:dyDescent="0.35">
      <c r="A392" s="169"/>
      <c r="B392" s="170"/>
      <c r="C392" s="170"/>
      <c r="D392" s="170" t="s">
        <v>38</v>
      </c>
      <c r="E392" s="170">
        <v>4</v>
      </c>
      <c r="F392" s="170">
        <v>0</v>
      </c>
      <c r="G392" s="170"/>
      <c r="H392" s="171"/>
      <c r="I392" s="64" t="s">
        <v>807</v>
      </c>
    </row>
    <row r="393" spans="1:9" s="162" customFormat="1" ht="17.25" customHeight="1" x14ac:dyDescent="0.35">
      <c r="A393" s="169"/>
      <c r="B393" s="170"/>
      <c r="C393" s="170"/>
      <c r="D393" s="170" t="s">
        <v>38</v>
      </c>
      <c r="E393" s="170">
        <v>2</v>
      </c>
      <c r="F393" s="170">
        <v>1120</v>
      </c>
      <c r="G393" s="170"/>
      <c r="H393" s="171"/>
      <c r="I393" s="64" t="s">
        <v>808</v>
      </c>
    </row>
    <row r="394" spans="1:9" s="162" customFormat="1" ht="17.25" customHeight="1" x14ac:dyDescent="0.35">
      <c r="A394" s="169"/>
      <c r="B394" s="170"/>
      <c r="C394" s="170"/>
      <c r="D394" s="170" t="s">
        <v>38</v>
      </c>
      <c r="E394" s="170">
        <v>2</v>
      </c>
      <c r="F394" s="170">
        <v>64</v>
      </c>
      <c r="G394" s="170"/>
      <c r="H394" s="171"/>
      <c r="I394" s="64" t="s">
        <v>809</v>
      </c>
    </row>
    <row r="395" spans="1:9" s="162" customFormat="1" ht="17.25" customHeight="1" x14ac:dyDescent="0.35">
      <c r="A395" s="169"/>
      <c r="B395" s="170"/>
      <c r="C395" s="170"/>
      <c r="D395" s="170" t="s">
        <v>38</v>
      </c>
      <c r="E395" s="170">
        <v>2</v>
      </c>
      <c r="F395" s="170">
        <v>1120</v>
      </c>
      <c r="G395" s="170"/>
      <c r="H395" s="171"/>
      <c r="I395" s="64" t="s">
        <v>810</v>
      </c>
    </row>
    <row r="396" spans="1:9" s="162" customFormat="1" ht="17.25" customHeight="1" x14ac:dyDescent="0.35">
      <c r="A396" s="169"/>
      <c r="B396" s="170"/>
      <c r="C396" s="170"/>
      <c r="D396" s="170" t="s">
        <v>38</v>
      </c>
      <c r="E396" s="170">
        <v>1</v>
      </c>
      <c r="F396" s="170">
        <v>30</v>
      </c>
      <c r="G396" s="170"/>
      <c r="H396" s="171"/>
      <c r="I396" s="64" t="s">
        <v>811</v>
      </c>
    </row>
    <row r="397" spans="1:9" s="162" customFormat="1" ht="17.25" customHeight="1" x14ac:dyDescent="0.35">
      <c r="A397" s="169"/>
      <c r="B397" s="170"/>
      <c r="C397" s="170"/>
      <c r="D397" s="170" t="s">
        <v>38</v>
      </c>
      <c r="E397" s="170">
        <v>1</v>
      </c>
      <c r="F397" s="170">
        <v>7</v>
      </c>
      <c r="G397" s="170"/>
      <c r="H397" s="171"/>
      <c r="I397" s="64" t="s">
        <v>812</v>
      </c>
    </row>
    <row r="398" spans="1:9" s="162" customFormat="1" ht="17.25" customHeight="1" x14ac:dyDescent="0.35">
      <c r="A398" s="169"/>
      <c r="B398" s="170"/>
      <c r="C398" s="170"/>
      <c r="D398" s="170" t="s">
        <v>38</v>
      </c>
      <c r="E398" s="170">
        <v>1</v>
      </c>
      <c r="F398" s="170">
        <v>30</v>
      </c>
      <c r="G398" s="170"/>
      <c r="H398" s="171"/>
      <c r="I398" s="64" t="s">
        <v>813</v>
      </c>
    </row>
    <row r="399" spans="1:9" s="162" customFormat="1" ht="17.25" customHeight="1" x14ac:dyDescent="0.35">
      <c r="A399" s="169"/>
      <c r="B399" s="170"/>
      <c r="C399" s="170"/>
      <c r="D399" s="170" t="s">
        <v>38</v>
      </c>
      <c r="E399" s="170">
        <v>2</v>
      </c>
      <c r="F399" s="170">
        <v>0</v>
      </c>
      <c r="G399" s="170"/>
      <c r="H399" s="171"/>
      <c r="I399" s="64" t="s">
        <v>814</v>
      </c>
    </row>
    <row r="400" spans="1:9" s="162" customFormat="1" ht="17.25" customHeight="1" x14ac:dyDescent="0.35">
      <c r="A400" s="169"/>
      <c r="B400" s="170"/>
      <c r="C400" s="170"/>
      <c r="D400" s="170" t="s">
        <v>38</v>
      </c>
      <c r="E400" s="170">
        <v>2</v>
      </c>
      <c r="F400" s="170">
        <v>0</v>
      </c>
      <c r="G400" s="170"/>
      <c r="H400" s="171"/>
      <c r="I400" s="64" t="s">
        <v>815</v>
      </c>
    </row>
    <row r="401" spans="1:9" s="162" customFormat="1" ht="17.25" customHeight="1" x14ac:dyDescent="0.35">
      <c r="A401" s="169"/>
      <c r="B401" s="170"/>
      <c r="C401" s="170"/>
      <c r="D401" s="170" t="s">
        <v>38</v>
      </c>
      <c r="E401" s="170">
        <v>1</v>
      </c>
      <c r="F401" s="170">
        <v>0</v>
      </c>
      <c r="G401" s="170"/>
      <c r="H401" s="171"/>
      <c r="I401" s="64" t="s">
        <v>816</v>
      </c>
    </row>
    <row r="402" spans="1:9" s="162" customFormat="1" ht="17.25" customHeight="1" x14ac:dyDescent="0.35">
      <c r="A402" s="169"/>
      <c r="B402" s="170"/>
      <c r="C402" s="170"/>
      <c r="D402" s="170" t="s">
        <v>38</v>
      </c>
      <c r="E402" s="170">
        <v>2</v>
      </c>
      <c r="F402" s="170">
        <v>115</v>
      </c>
      <c r="G402" s="170"/>
      <c r="H402" s="171"/>
      <c r="I402" s="64" t="s">
        <v>817</v>
      </c>
    </row>
    <row r="403" spans="1:9" s="162" customFormat="1" ht="17.25" customHeight="1" x14ac:dyDescent="0.35">
      <c r="A403" s="169"/>
      <c r="B403" s="170"/>
      <c r="C403" s="170"/>
      <c r="D403" s="170" t="s">
        <v>38</v>
      </c>
      <c r="E403" s="170">
        <v>2</v>
      </c>
      <c r="F403" s="170">
        <v>116</v>
      </c>
      <c r="G403" s="170"/>
      <c r="H403" s="171"/>
      <c r="I403" s="64" t="s">
        <v>818</v>
      </c>
    </row>
    <row r="404" spans="1:9" s="162" customFormat="1" ht="17.25" customHeight="1" x14ac:dyDescent="0.35">
      <c r="A404" s="169"/>
      <c r="B404" s="170"/>
      <c r="C404" s="170"/>
      <c r="D404" s="170" t="s">
        <v>38</v>
      </c>
      <c r="E404" s="170">
        <v>1</v>
      </c>
      <c r="F404" s="170">
        <v>1</v>
      </c>
      <c r="G404" s="170"/>
      <c r="H404" s="171"/>
      <c r="I404" s="64" t="s">
        <v>819</v>
      </c>
    </row>
    <row r="405" spans="1:9" s="162" customFormat="1" ht="17.25" customHeight="1" x14ac:dyDescent="0.35">
      <c r="A405" s="169"/>
      <c r="B405" s="170"/>
      <c r="C405" s="170"/>
      <c r="D405" s="170" t="s">
        <v>38</v>
      </c>
      <c r="E405" s="170">
        <v>1</v>
      </c>
      <c r="F405" s="170">
        <v>4</v>
      </c>
      <c r="G405" s="170"/>
      <c r="H405" s="171"/>
      <c r="I405" s="64" t="s">
        <v>820</v>
      </c>
    </row>
    <row r="406" spans="1:9" s="162" customFormat="1" ht="17.25" customHeight="1" x14ac:dyDescent="0.35">
      <c r="A406" s="169"/>
      <c r="B406" s="170"/>
      <c r="C406" s="170"/>
      <c r="D406" s="170" t="s">
        <v>38</v>
      </c>
      <c r="E406" s="170">
        <v>1</v>
      </c>
      <c r="F406" s="170">
        <v>8</v>
      </c>
      <c r="G406" s="170"/>
      <c r="H406" s="171"/>
      <c r="I406" s="64" t="s">
        <v>821</v>
      </c>
    </row>
    <row r="407" spans="1:9" s="162" customFormat="1" ht="17.25" customHeight="1" x14ac:dyDescent="0.35">
      <c r="A407" s="169"/>
      <c r="B407" s="170"/>
      <c r="C407" s="170"/>
      <c r="D407" s="170" t="s">
        <v>38</v>
      </c>
      <c r="E407" s="170">
        <v>4</v>
      </c>
      <c r="F407" s="170">
        <v>0</v>
      </c>
      <c r="G407" s="170"/>
      <c r="H407" s="171"/>
      <c r="I407" s="64" t="s">
        <v>822</v>
      </c>
    </row>
    <row r="408" spans="1:9" s="162" customFormat="1" ht="17.25" customHeight="1" x14ac:dyDescent="0.35">
      <c r="A408" s="169"/>
      <c r="B408" s="170"/>
      <c r="C408" s="170"/>
      <c r="D408" s="170" t="s">
        <v>38</v>
      </c>
      <c r="E408" s="170">
        <v>2</v>
      </c>
      <c r="F408" s="170">
        <v>384</v>
      </c>
      <c r="G408" s="170"/>
      <c r="H408" s="171"/>
      <c r="I408" s="64" t="s">
        <v>823</v>
      </c>
    </row>
    <row r="409" spans="1:9" s="162" customFormat="1" ht="17.25" customHeight="1" x14ac:dyDescent="0.35">
      <c r="A409" s="169"/>
      <c r="B409" s="170"/>
      <c r="C409" s="170"/>
      <c r="D409" s="170" t="s">
        <v>38</v>
      </c>
      <c r="E409" s="170">
        <v>2</v>
      </c>
      <c r="F409" s="170">
        <v>64</v>
      </c>
      <c r="G409" s="170"/>
      <c r="H409" s="171"/>
      <c r="I409" s="64" t="s">
        <v>824</v>
      </c>
    </row>
    <row r="410" spans="1:9" s="162" customFormat="1" ht="17.25" customHeight="1" x14ac:dyDescent="0.35">
      <c r="A410" s="169"/>
      <c r="B410" s="170"/>
      <c r="C410" s="170"/>
      <c r="D410" s="170" t="s">
        <v>38</v>
      </c>
      <c r="E410" s="170">
        <v>2</v>
      </c>
      <c r="F410" s="170">
        <v>384</v>
      </c>
      <c r="G410" s="170"/>
      <c r="H410" s="171"/>
      <c r="I410" s="64" t="s">
        <v>825</v>
      </c>
    </row>
    <row r="411" spans="1:9" s="162" customFormat="1" ht="17.25" customHeight="1" x14ac:dyDescent="0.35">
      <c r="A411" s="169"/>
      <c r="B411" s="170"/>
      <c r="C411" s="170"/>
      <c r="D411" s="170" t="s">
        <v>38</v>
      </c>
      <c r="E411" s="170">
        <v>1</v>
      </c>
      <c r="F411" s="170">
        <v>15</v>
      </c>
      <c r="G411" s="170"/>
      <c r="H411" s="171"/>
      <c r="I411" s="64" t="s">
        <v>826</v>
      </c>
    </row>
    <row r="412" spans="1:9" s="162" customFormat="1" ht="17.25" customHeight="1" x14ac:dyDescent="0.35">
      <c r="A412" s="169"/>
      <c r="B412" s="170"/>
      <c r="C412" s="170"/>
      <c r="D412" s="170" t="s">
        <v>38</v>
      </c>
      <c r="E412" s="170">
        <v>1</v>
      </c>
      <c r="F412" s="170">
        <v>7</v>
      </c>
      <c r="G412" s="170"/>
      <c r="H412" s="171"/>
      <c r="I412" s="64" t="s">
        <v>827</v>
      </c>
    </row>
    <row r="413" spans="1:9" s="162" customFormat="1" ht="17.25" customHeight="1" x14ac:dyDescent="0.35">
      <c r="A413" s="169"/>
      <c r="B413" s="170"/>
      <c r="C413" s="170"/>
      <c r="D413" s="170" t="s">
        <v>38</v>
      </c>
      <c r="E413" s="170">
        <v>1</v>
      </c>
      <c r="F413" s="170">
        <v>15</v>
      </c>
      <c r="G413" s="170"/>
      <c r="H413" s="171"/>
      <c r="I413" s="64" t="s">
        <v>828</v>
      </c>
    </row>
    <row r="414" spans="1:9" s="162" customFormat="1" ht="17.25" customHeight="1" x14ac:dyDescent="0.35">
      <c r="A414" s="169"/>
      <c r="B414" s="170"/>
      <c r="C414" s="170"/>
      <c r="D414" s="170" t="s">
        <v>38</v>
      </c>
      <c r="E414" s="170">
        <v>2</v>
      </c>
      <c r="F414" s="170">
        <v>0</v>
      </c>
      <c r="G414" s="170"/>
      <c r="H414" s="171"/>
      <c r="I414" s="64" t="s">
        <v>829</v>
      </c>
    </row>
    <row r="415" spans="1:9" s="162" customFormat="1" ht="17.25" customHeight="1" x14ac:dyDescent="0.35">
      <c r="A415" s="169"/>
      <c r="B415" s="170"/>
      <c r="C415" s="170"/>
      <c r="D415" s="170" t="s">
        <v>38</v>
      </c>
      <c r="E415" s="170">
        <v>2</v>
      </c>
      <c r="F415" s="170">
        <v>0</v>
      </c>
      <c r="G415" s="170"/>
      <c r="H415" s="171"/>
      <c r="I415" s="64" t="s">
        <v>830</v>
      </c>
    </row>
    <row r="416" spans="1:9" s="162" customFormat="1" ht="17.25" customHeight="1" x14ac:dyDescent="0.35">
      <c r="A416" s="169"/>
      <c r="B416" s="170"/>
      <c r="C416" s="170"/>
      <c r="D416" s="170" t="s">
        <v>38</v>
      </c>
      <c r="E416" s="170">
        <v>507</v>
      </c>
      <c r="F416" s="170"/>
      <c r="G416" s="170"/>
      <c r="H416" s="171"/>
      <c r="I416" s="64" t="s">
        <v>831</v>
      </c>
    </row>
    <row r="417" spans="1:9" s="162" customFormat="1" ht="17.25" customHeight="1" x14ac:dyDescent="0.35">
      <c r="A417" s="169"/>
      <c r="B417" s="170"/>
      <c r="C417" s="170"/>
      <c r="D417" s="170"/>
      <c r="E417" s="170"/>
      <c r="F417" s="170"/>
      <c r="G417" s="170"/>
      <c r="H417" s="171"/>
      <c r="I417" s="64"/>
    </row>
    <row r="418" spans="1:9" s="162" customFormat="1" ht="17.25" customHeight="1" x14ac:dyDescent="0.35">
      <c r="A418" s="169" t="s">
        <v>448</v>
      </c>
      <c r="B418" s="170" t="s">
        <v>449</v>
      </c>
      <c r="C418" s="170" t="s">
        <v>136</v>
      </c>
      <c r="D418" s="170"/>
      <c r="E418" s="170"/>
      <c r="F418" s="170"/>
      <c r="G418" s="170" t="s">
        <v>30</v>
      </c>
      <c r="H418" s="171"/>
      <c r="I418" s="64">
        <v>70233</v>
      </c>
    </row>
    <row r="419" spans="1:9" s="162" customFormat="1" ht="17.25" customHeight="1" x14ac:dyDescent="0.35">
      <c r="A419" s="169"/>
      <c r="B419" s="170"/>
      <c r="C419" s="170"/>
      <c r="D419" s="170" t="s">
        <v>38</v>
      </c>
      <c r="E419" s="170">
        <v>1</v>
      </c>
      <c r="F419" s="170">
        <v>0</v>
      </c>
      <c r="G419" s="170"/>
      <c r="H419" s="171"/>
      <c r="I419" s="64" t="s">
        <v>450</v>
      </c>
    </row>
    <row r="420" spans="1:9" s="162" customFormat="1" ht="17.25" customHeight="1" x14ac:dyDescent="0.35">
      <c r="A420" s="169"/>
      <c r="B420" s="170"/>
      <c r="C420" s="170"/>
      <c r="D420" s="170" t="s">
        <v>38</v>
      </c>
      <c r="E420" s="170">
        <v>1</v>
      </c>
      <c r="F420" s="170">
        <v>1</v>
      </c>
      <c r="G420" s="170"/>
      <c r="H420" s="171"/>
      <c r="I420" s="64" t="s">
        <v>451</v>
      </c>
    </row>
    <row r="421" spans="1:9" s="162" customFormat="1" ht="17.25" customHeight="1" x14ac:dyDescent="0.35">
      <c r="A421" s="169"/>
      <c r="B421" s="170"/>
      <c r="C421" s="170"/>
      <c r="D421" s="170" t="s">
        <v>38</v>
      </c>
      <c r="E421" s="170">
        <v>1</v>
      </c>
      <c r="F421" s="170"/>
      <c r="G421" s="170"/>
      <c r="H421" s="171"/>
      <c r="I421" s="64" t="s">
        <v>452</v>
      </c>
    </row>
    <row r="422" spans="1:9" s="162" customFormat="1" ht="17.25" customHeight="1" x14ac:dyDescent="0.35">
      <c r="A422" s="169"/>
      <c r="B422" s="170"/>
      <c r="C422" s="170"/>
      <c r="D422" s="170" t="s">
        <v>38</v>
      </c>
      <c r="E422" s="170">
        <v>32</v>
      </c>
      <c r="F422" s="170"/>
      <c r="G422" s="170"/>
      <c r="H422" s="171"/>
      <c r="I422" s="64" t="s">
        <v>453</v>
      </c>
    </row>
    <row r="423" spans="1:9" s="162" customFormat="1" ht="17.25" customHeight="1" x14ac:dyDescent="0.35">
      <c r="A423" s="169"/>
      <c r="B423" s="170"/>
      <c r="C423" s="170"/>
      <c r="D423" s="170" t="s">
        <v>38</v>
      </c>
      <c r="E423" s="170">
        <v>32</v>
      </c>
      <c r="F423" s="170"/>
      <c r="G423" s="170"/>
      <c r="H423" s="171"/>
      <c r="I423" s="64" t="s">
        <v>454</v>
      </c>
    </row>
    <row r="424" spans="1:9" s="162" customFormat="1" ht="17.25" customHeight="1" x14ac:dyDescent="0.35">
      <c r="A424" s="169"/>
      <c r="B424" s="170"/>
      <c r="C424" s="170"/>
      <c r="D424" s="170" t="s">
        <v>38</v>
      </c>
      <c r="E424" s="170">
        <v>1</v>
      </c>
      <c r="F424" s="170"/>
      <c r="G424" s="170"/>
      <c r="H424" s="171"/>
      <c r="I424" s="64" t="s">
        <v>455</v>
      </c>
    </row>
    <row r="425" spans="1:9" s="162" customFormat="1" ht="17.25" customHeight="1" x14ac:dyDescent="0.35">
      <c r="A425" s="169"/>
      <c r="B425" s="170"/>
      <c r="C425" s="170"/>
      <c r="D425" s="170" t="s">
        <v>38</v>
      </c>
      <c r="E425" s="170">
        <v>1</v>
      </c>
      <c r="F425" s="170"/>
      <c r="G425" s="170"/>
      <c r="H425" s="171"/>
      <c r="I425" s="64" t="s">
        <v>456</v>
      </c>
    </row>
    <row r="426" spans="1:9" s="162" customFormat="1" ht="17.25" customHeight="1" x14ac:dyDescent="0.35">
      <c r="A426" s="169"/>
      <c r="B426" s="170"/>
      <c r="C426" s="170"/>
      <c r="D426" s="170" t="s">
        <v>38</v>
      </c>
      <c r="E426" s="170">
        <v>1</v>
      </c>
      <c r="F426" s="170"/>
      <c r="G426" s="170"/>
      <c r="H426" s="171"/>
      <c r="I426" s="64" t="s">
        <v>457</v>
      </c>
    </row>
    <row r="427" spans="1:9" s="162" customFormat="1" ht="17.25" customHeight="1" x14ac:dyDescent="0.35">
      <c r="A427" s="169"/>
      <c r="B427" s="170"/>
      <c r="C427" s="170"/>
      <c r="D427" s="170" t="s">
        <v>38</v>
      </c>
      <c r="E427" s="170">
        <v>1</v>
      </c>
      <c r="F427" s="170"/>
      <c r="G427" s="170"/>
      <c r="H427" s="171"/>
      <c r="I427" s="64" t="s">
        <v>458</v>
      </c>
    </row>
    <row r="428" spans="1:9" s="162" customFormat="1" ht="17.25" customHeight="1" x14ac:dyDescent="0.35">
      <c r="A428" s="169"/>
      <c r="B428" s="170"/>
      <c r="C428" s="170"/>
      <c r="D428" s="170" t="s">
        <v>38</v>
      </c>
      <c r="E428" s="170">
        <v>16</v>
      </c>
      <c r="F428" s="170"/>
      <c r="G428" s="170"/>
      <c r="H428" s="171"/>
      <c r="I428" s="64" t="s">
        <v>459</v>
      </c>
    </row>
    <row r="429" spans="1:9" s="162" customFormat="1" ht="17.25" customHeight="1" x14ac:dyDescent="0.35">
      <c r="A429" s="169"/>
      <c r="B429" s="170"/>
      <c r="C429" s="170"/>
      <c r="D429" s="170" t="s">
        <v>38</v>
      </c>
      <c r="E429" s="170">
        <v>16</v>
      </c>
      <c r="F429" s="170"/>
      <c r="G429" s="170"/>
      <c r="H429" s="171"/>
      <c r="I429" s="64" t="s">
        <v>460</v>
      </c>
    </row>
    <row r="430" spans="1:9" s="162" customFormat="1" ht="17.25" customHeight="1" x14ac:dyDescent="0.35">
      <c r="A430" s="169"/>
      <c r="B430" s="170"/>
      <c r="C430" s="170"/>
      <c r="D430" s="170" t="s">
        <v>38</v>
      </c>
      <c r="E430" s="170">
        <v>16</v>
      </c>
      <c r="F430" s="170"/>
      <c r="G430" s="170"/>
      <c r="H430" s="171"/>
      <c r="I430" s="64" t="s">
        <v>461</v>
      </c>
    </row>
    <row r="431" spans="1:9" s="162" customFormat="1" ht="17.25" customHeight="1" x14ac:dyDescent="0.35">
      <c r="A431" s="169"/>
      <c r="B431" s="170"/>
      <c r="C431" s="170"/>
      <c r="D431" s="170" t="s">
        <v>38</v>
      </c>
      <c r="E431" s="170">
        <v>16</v>
      </c>
      <c r="F431" s="170"/>
      <c r="G431" s="170"/>
      <c r="H431" s="171"/>
      <c r="I431" s="64" t="s">
        <v>462</v>
      </c>
    </row>
    <row r="432" spans="1:9" s="162" customFormat="1" ht="17.25" customHeight="1" x14ac:dyDescent="0.35">
      <c r="A432" s="169"/>
      <c r="B432" s="170"/>
      <c r="C432" s="170"/>
      <c r="D432" s="170" t="s">
        <v>38</v>
      </c>
      <c r="E432" s="170">
        <v>16</v>
      </c>
      <c r="F432" s="170"/>
      <c r="G432" s="170"/>
      <c r="H432" s="171"/>
      <c r="I432" s="64" t="s">
        <v>463</v>
      </c>
    </row>
    <row r="433" spans="1:9" s="162" customFormat="1" ht="17.25" customHeight="1" x14ac:dyDescent="0.35">
      <c r="A433" s="169"/>
      <c r="B433" s="170"/>
      <c r="C433" s="170"/>
      <c r="D433" s="170" t="s">
        <v>38</v>
      </c>
      <c r="E433" s="170">
        <v>45</v>
      </c>
      <c r="F433" s="170"/>
      <c r="G433" s="170"/>
      <c r="H433" s="171"/>
      <c r="I433" s="64" t="s">
        <v>464</v>
      </c>
    </row>
    <row r="434" spans="1:9" s="162" customFormat="1" ht="17.25" customHeight="1" x14ac:dyDescent="0.35">
      <c r="A434" s="169"/>
      <c r="B434" s="170"/>
      <c r="C434" s="170"/>
      <c r="D434" s="170" t="s">
        <v>38</v>
      </c>
      <c r="E434" s="170">
        <v>5</v>
      </c>
      <c r="F434" s="170"/>
      <c r="G434" s="170"/>
      <c r="H434" s="171"/>
      <c r="I434" s="64" t="s">
        <v>465</v>
      </c>
    </row>
    <row r="435" spans="1:9" s="162" customFormat="1" ht="17.25" customHeight="1" x14ac:dyDescent="0.35">
      <c r="A435" s="169"/>
      <c r="B435" s="170"/>
      <c r="C435" s="170"/>
      <c r="D435" s="170" t="s">
        <v>38</v>
      </c>
      <c r="E435" s="170">
        <v>270</v>
      </c>
      <c r="F435" s="170"/>
      <c r="G435" s="170"/>
      <c r="H435" s="171"/>
      <c r="I435" s="64" t="s">
        <v>466</v>
      </c>
    </row>
    <row r="436" spans="1:9" s="162" customFormat="1" ht="17.25" customHeight="1" x14ac:dyDescent="0.35">
      <c r="A436" s="169"/>
      <c r="B436" s="170"/>
      <c r="C436" s="170"/>
      <c r="D436" s="170" t="s">
        <v>38</v>
      </c>
      <c r="E436" s="170">
        <v>270</v>
      </c>
      <c r="F436" s="170"/>
      <c r="G436" s="170"/>
      <c r="H436" s="171"/>
      <c r="I436" s="64" t="s">
        <v>467</v>
      </c>
    </row>
    <row r="437" spans="1:9" s="162" customFormat="1" ht="17.25" customHeight="1" x14ac:dyDescent="0.35">
      <c r="A437" s="169"/>
      <c r="B437" s="170"/>
      <c r="C437" s="170"/>
      <c r="D437" s="170" t="s">
        <v>38</v>
      </c>
      <c r="E437" s="170">
        <v>270</v>
      </c>
      <c r="F437" s="170"/>
      <c r="G437" s="170"/>
      <c r="H437" s="171"/>
      <c r="I437" s="64" t="s">
        <v>468</v>
      </c>
    </row>
    <row r="438" spans="1:9" s="162" customFormat="1" ht="17.25" customHeight="1" x14ac:dyDescent="0.35">
      <c r="A438" s="169"/>
      <c r="B438" s="170"/>
      <c r="C438" s="170"/>
      <c r="D438" s="170" t="s">
        <v>38</v>
      </c>
      <c r="E438" s="170">
        <v>13</v>
      </c>
      <c r="F438" s="170"/>
      <c r="G438" s="170"/>
      <c r="H438" s="171"/>
      <c r="I438" s="64" t="s">
        <v>469</v>
      </c>
    </row>
    <row r="439" spans="1:9" s="162" customFormat="1" ht="17.25" customHeight="1" x14ac:dyDescent="0.35">
      <c r="A439" s="169" t="s">
        <v>470</v>
      </c>
      <c r="B439" s="170" t="s">
        <v>471</v>
      </c>
      <c r="C439" s="170" t="s">
        <v>136</v>
      </c>
      <c r="D439" s="170"/>
      <c r="E439" s="170"/>
      <c r="F439" s="170"/>
      <c r="G439" s="170" t="s">
        <v>30</v>
      </c>
      <c r="H439" s="171"/>
      <c r="I439" s="176">
        <v>70263</v>
      </c>
    </row>
    <row r="440" spans="1:9" s="162" customFormat="1" ht="17.25" customHeight="1" x14ac:dyDescent="0.35">
      <c r="A440" s="169"/>
      <c r="B440" s="170"/>
      <c r="C440" s="170"/>
      <c r="D440" s="170" t="s">
        <v>38</v>
      </c>
      <c r="E440" s="170">
        <v>1</v>
      </c>
      <c r="F440" s="170">
        <v>8</v>
      </c>
      <c r="G440" s="170"/>
      <c r="H440" s="171"/>
      <c r="I440" s="176" t="s">
        <v>177</v>
      </c>
    </row>
    <row r="441" spans="1:9" s="162" customFormat="1" ht="17.25" customHeight="1" x14ac:dyDescent="0.35">
      <c r="A441" s="169"/>
      <c r="B441" s="170"/>
      <c r="C441" s="170"/>
      <c r="D441" s="170" t="s">
        <v>32</v>
      </c>
      <c r="E441" s="170">
        <v>64</v>
      </c>
      <c r="F441" s="170" t="s">
        <v>832</v>
      </c>
      <c r="G441" s="170"/>
      <c r="H441" s="171"/>
      <c r="I441" s="176" t="s">
        <v>473</v>
      </c>
    </row>
    <row r="442" spans="1:9" s="162" customFormat="1" ht="17.25" customHeight="1" x14ac:dyDescent="0.35">
      <c r="A442" s="169"/>
      <c r="B442" s="170"/>
      <c r="C442" s="170"/>
      <c r="D442" s="170" t="s">
        <v>32</v>
      </c>
      <c r="E442" s="170">
        <v>256</v>
      </c>
      <c r="F442" s="170" t="s">
        <v>833</v>
      </c>
      <c r="G442" s="170"/>
      <c r="H442" s="171"/>
      <c r="I442" s="176" t="s">
        <v>474</v>
      </c>
    </row>
    <row r="443" spans="1:9" s="162" customFormat="1" ht="17.25" customHeight="1" x14ac:dyDescent="0.35">
      <c r="A443" s="169"/>
      <c r="B443" s="170"/>
      <c r="C443" s="170"/>
      <c r="D443" s="170" t="s">
        <v>32</v>
      </c>
      <c r="E443" s="170">
        <v>256</v>
      </c>
      <c r="F443" s="170"/>
      <c r="G443" s="170"/>
      <c r="H443" s="171"/>
      <c r="I443" s="176" t="s">
        <v>475</v>
      </c>
    </row>
    <row r="444" spans="1:9" s="162" customFormat="1" ht="17.25" customHeight="1" x14ac:dyDescent="0.35">
      <c r="A444" s="169"/>
      <c r="B444" s="170"/>
      <c r="C444" s="170"/>
      <c r="D444" s="170" t="s">
        <v>32</v>
      </c>
      <c r="E444" s="170">
        <v>128</v>
      </c>
      <c r="F444" s="170" t="s">
        <v>476</v>
      </c>
      <c r="G444" s="170"/>
      <c r="H444" s="171"/>
      <c r="I444" s="176" t="s">
        <v>477</v>
      </c>
    </row>
    <row r="445" spans="1:9" s="40" customFormat="1" ht="17.25" customHeight="1" x14ac:dyDescent="0.35">
      <c r="A445" s="169"/>
      <c r="B445" s="170"/>
      <c r="C445" s="170"/>
      <c r="D445" s="170" t="s">
        <v>38</v>
      </c>
      <c r="E445" s="170">
        <v>4</v>
      </c>
      <c r="F445" s="170">
        <v>10</v>
      </c>
      <c r="G445" s="170"/>
      <c r="H445" s="171"/>
      <c r="I445" s="176" t="s">
        <v>478</v>
      </c>
    </row>
    <row r="446" spans="1:9" s="50" customFormat="1" ht="17.25" customHeight="1" x14ac:dyDescent="0.35">
      <c r="A446" s="169"/>
      <c r="B446" s="170"/>
      <c r="C446" s="170"/>
      <c r="D446" s="170" t="s">
        <v>38</v>
      </c>
      <c r="E446" s="170">
        <v>1</v>
      </c>
      <c r="F446" s="170">
        <v>1</v>
      </c>
      <c r="G446" s="170"/>
      <c r="H446" s="171"/>
      <c r="I446" s="176" t="s">
        <v>479</v>
      </c>
    </row>
    <row r="447" spans="1:9" s="50" customFormat="1" ht="17.25" customHeight="1" x14ac:dyDescent="0.35">
      <c r="A447" s="169"/>
      <c r="B447" s="170"/>
      <c r="C447" s="170"/>
      <c r="D447" s="170" t="s">
        <v>38</v>
      </c>
      <c r="E447" s="170">
        <v>1</v>
      </c>
      <c r="F447" s="170">
        <v>10</v>
      </c>
      <c r="G447" s="170"/>
      <c r="H447" s="171"/>
      <c r="I447" s="176" t="s">
        <v>480</v>
      </c>
    </row>
    <row r="448" spans="1:9" s="50" customFormat="1" ht="17.25" customHeight="1" x14ac:dyDescent="0.35">
      <c r="A448" s="169"/>
      <c r="B448" s="170"/>
      <c r="C448" s="170"/>
      <c r="D448" s="170" t="s">
        <v>38</v>
      </c>
      <c r="E448" s="170">
        <v>1</v>
      </c>
      <c r="F448" s="170">
        <v>5</v>
      </c>
      <c r="G448" s="170"/>
      <c r="H448" s="171"/>
      <c r="I448" s="176" t="s">
        <v>481</v>
      </c>
    </row>
    <row r="449" spans="1:9" s="50" customFormat="1" ht="17.25" customHeight="1" x14ac:dyDescent="0.35">
      <c r="A449" s="169"/>
      <c r="B449" s="170"/>
      <c r="C449" s="170"/>
      <c r="D449" s="170" t="s">
        <v>38</v>
      </c>
      <c r="E449" s="170">
        <v>1</v>
      </c>
      <c r="F449" s="170">
        <v>5</v>
      </c>
      <c r="G449" s="170"/>
      <c r="H449" s="171"/>
      <c r="I449" s="176" t="s">
        <v>482</v>
      </c>
    </row>
    <row r="450" spans="1:9" s="50" customFormat="1" ht="17.25" customHeight="1" x14ac:dyDescent="0.35">
      <c r="A450" s="169"/>
      <c r="B450" s="170"/>
      <c r="C450" s="170"/>
      <c r="D450" s="170" t="s">
        <v>38</v>
      </c>
      <c r="E450" s="170">
        <v>1</v>
      </c>
      <c r="F450" s="170">
        <v>0</v>
      </c>
      <c r="G450" s="170"/>
      <c r="H450" s="171"/>
      <c r="I450" s="176" t="s">
        <v>483</v>
      </c>
    </row>
    <row r="451" spans="1:9" s="50" customFormat="1" ht="17.25" customHeight="1" x14ac:dyDescent="0.35">
      <c r="A451" s="169"/>
      <c r="B451" s="170"/>
      <c r="C451" s="170"/>
      <c r="D451" s="170" t="s">
        <v>38</v>
      </c>
      <c r="E451" s="170">
        <v>1</v>
      </c>
      <c r="F451" s="170">
        <v>2</v>
      </c>
      <c r="G451" s="170"/>
      <c r="H451" s="171"/>
      <c r="I451" s="176" t="s">
        <v>484</v>
      </c>
    </row>
    <row r="452" spans="1:9" s="40" customFormat="1" ht="17.25" customHeight="1" x14ac:dyDescent="0.35">
      <c r="A452" s="169"/>
      <c r="B452" s="170"/>
      <c r="C452" s="170"/>
      <c r="D452" s="170" t="s">
        <v>32</v>
      </c>
      <c r="E452" s="170">
        <v>64</v>
      </c>
      <c r="F452" s="170" t="s">
        <v>834</v>
      </c>
      <c r="G452" s="170"/>
      <c r="H452" s="171"/>
      <c r="I452" s="176" t="s">
        <v>485</v>
      </c>
    </row>
    <row r="453" spans="1:9" s="50" customFormat="1" ht="17.25" customHeight="1" x14ac:dyDescent="0.35">
      <c r="A453" s="169"/>
      <c r="B453" s="170"/>
      <c r="C453" s="170"/>
      <c r="D453" s="170" t="s">
        <v>38</v>
      </c>
      <c r="E453" s="170">
        <v>1</v>
      </c>
      <c r="F453" s="170">
        <v>0</v>
      </c>
      <c r="G453" s="170"/>
      <c r="H453" s="171"/>
      <c r="I453" s="176" t="s">
        <v>486</v>
      </c>
    </row>
    <row r="454" spans="1:9" s="50" customFormat="1" ht="17.25" customHeight="1" x14ac:dyDescent="0.35">
      <c r="A454" s="169"/>
      <c r="B454" s="170"/>
      <c r="C454" s="170"/>
      <c r="D454" s="170" t="s">
        <v>38</v>
      </c>
      <c r="E454" s="170">
        <v>1</v>
      </c>
      <c r="F454" s="170">
        <v>0</v>
      </c>
      <c r="G454" s="170"/>
      <c r="H454" s="171"/>
      <c r="I454" s="176" t="s">
        <v>487</v>
      </c>
    </row>
    <row r="455" spans="1:9" s="50" customFormat="1" ht="17.25" customHeight="1" x14ac:dyDescent="0.35">
      <c r="A455" s="169"/>
      <c r="B455" s="170"/>
      <c r="C455" s="170"/>
      <c r="D455" s="170" t="s">
        <v>38</v>
      </c>
      <c r="E455" s="170">
        <v>2</v>
      </c>
      <c r="F455" s="170"/>
      <c r="G455" s="170"/>
      <c r="H455" s="171"/>
      <c r="I455" s="176" t="s">
        <v>488</v>
      </c>
    </row>
    <row r="456" spans="1:9" s="50" customFormat="1" ht="17.25" customHeight="1" x14ac:dyDescent="0.35">
      <c r="A456" s="169"/>
      <c r="B456" s="170"/>
      <c r="C456" s="170"/>
      <c r="D456" s="170" t="s">
        <v>38</v>
      </c>
      <c r="E456" s="170">
        <v>4</v>
      </c>
      <c r="F456" s="170"/>
      <c r="G456" s="170"/>
      <c r="H456" s="171"/>
      <c r="I456" s="176" t="s">
        <v>489</v>
      </c>
    </row>
    <row r="457" spans="1:9" s="50" customFormat="1" ht="17.25" customHeight="1" x14ac:dyDescent="0.35">
      <c r="A457" s="169"/>
      <c r="B457" s="170"/>
      <c r="C457" s="170"/>
      <c r="D457" s="170" t="s">
        <v>38</v>
      </c>
      <c r="E457" s="170">
        <v>1</v>
      </c>
      <c r="F457" s="170"/>
      <c r="G457" s="170"/>
      <c r="H457" s="171"/>
      <c r="I457" s="176" t="s">
        <v>835</v>
      </c>
    </row>
    <row r="458" spans="1:9" s="50" customFormat="1" ht="17.25" customHeight="1" x14ac:dyDescent="0.35">
      <c r="A458" s="169"/>
      <c r="B458" s="170"/>
      <c r="C458" s="170"/>
      <c r="D458" s="170" t="s">
        <v>32</v>
      </c>
      <c r="E458" s="170">
        <v>100</v>
      </c>
      <c r="F458" s="170"/>
      <c r="G458" s="170"/>
      <c r="H458" s="171"/>
      <c r="I458" s="176" t="s">
        <v>836</v>
      </c>
    </row>
    <row r="459" spans="1:9" ht="17.25" customHeight="1" x14ac:dyDescent="0.35">
      <c r="A459" s="169"/>
      <c r="B459" s="170"/>
      <c r="C459" s="170"/>
      <c r="D459" s="170" t="s">
        <v>38</v>
      </c>
      <c r="E459" s="170">
        <v>108</v>
      </c>
      <c r="F459" s="170"/>
      <c r="G459" s="170"/>
      <c r="H459" s="171"/>
      <c r="I459" s="177" t="s">
        <v>180</v>
      </c>
    </row>
    <row r="460" spans="1:9" ht="34.5" x14ac:dyDescent="0.35">
      <c r="A460" s="169" t="s">
        <v>490</v>
      </c>
      <c r="B460" s="170" t="s">
        <v>491</v>
      </c>
      <c r="C460" s="170" t="s">
        <v>136</v>
      </c>
      <c r="D460" s="170"/>
      <c r="E460" s="170"/>
      <c r="F460" s="170"/>
      <c r="G460" s="170" t="s">
        <v>30</v>
      </c>
      <c r="H460" s="171"/>
      <c r="I460" s="64" t="s">
        <v>492</v>
      </c>
    </row>
    <row r="461" spans="1:9" ht="17.25" x14ac:dyDescent="0.35">
      <c r="A461" s="169"/>
      <c r="B461" s="170"/>
      <c r="C461" s="170"/>
      <c r="D461" s="170" t="s">
        <v>38</v>
      </c>
      <c r="E461" s="170">
        <v>1</v>
      </c>
      <c r="F461" s="170"/>
      <c r="G461" s="170"/>
      <c r="H461" s="171"/>
      <c r="I461" s="64" t="s">
        <v>245</v>
      </c>
    </row>
    <row r="462" spans="1:9" ht="17.25" x14ac:dyDescent="0.35">
      <c r="A462" s="169"/>
      <c r="B462" s="170"/>
      <c r="C462" s="170"/>
      <c r="D462" s="170" t="s">
        <v>38</v>
      </c>
      <c r="E462" s="170">
        <v>4</v>
      </c>
      <c r="F462" s="170"/>
      <c r="G462" s="170"/>
      <c r="H462" s="171"/>
      <c r="I462" s="64" t="s">
        <v>493</v>
      </c>
    </row>
    <row r="463" spans="1:9" ht="17.25" x14ac:dyDescent="0.35">
      <c r="A463" s="169"/>
      <c r="B463" s="170"/>
      <c r="C463" s="170"/>
      <c r="D463" s="170" t="s">
        <v>38</v>
      </c>
      <c r="E463" s="170">
        <v>1</v>
      </c>
      <c r="F463" s="170"/>
      <c r="G463" s="170"/>
      <c r="H463" s="171"/>
      <c r="I463" s="64" t="s">
        <v>494</v>
      </c>
    </row>
    <row r="464" spans="1:9" ht="17.25" x14ac:dyDescent="0.35">
      <c r="A464" s="169"/>
      <c r="B464" s="170"/>
      <c r="C464" s="170"/>
      <c r="D464" s="170" t="s">
        <v>38</v>
      </c>
      <c r="E464" s="170">
        <v>122</v>
      </c>
      <c r="F464" s="170"/>
      <c r="G464" s="170"/>
      <c r="H464" s="171"/>
      <c r="I464" s="64" t="s">
        <v>180</v>
      </c>
    </row>
    <row r="465" spans="1:9" ht="17.25" x14ac:dyDescent="0.35">
      <c r="A465" s="169" t="s">
        <v>495</v>
      </c>
      <c r="B465" s="170" t="s">
        <v>496</v>
      </c>
      <c r="C465" s="170" t="s">
        <v>136</v>
      </c>
      <c r="D465" s="170"/>
      <c r="E465" s="170"/>
      <c r="F465" s="170"/>
      <c r="G465" s="170" t="s">
        <v>30</v>
      </c>
      <c r="H465" s="171"/>
      <c r="I465" s="64">
        <v>71527</v>
      </c>
    </row>
    <row r="466" spans="1:9" ht="17.25" x14ac:dyDescent="0.35">
      <c r="A466" s="169"/>
      <c r="B466" s="170"/>
      <c r="C466" s="170"/>
      <c r="D466" s="170" t="s">
        <v>38</v>
      </c>
      <c r="E466" s="170">
        <v>1</v>
      </c>
      <c r="F466" s="170">
        <v>0</v>
      </c>
      <c r="G466" s="170"/>
      <c r="H466" s="171"/>
      <c r="I466" s="64" t="s">
        <v>177</v>
      </c>
    </row>
    <row r="467" spans="1:9" ht="17.25" x14ac:dyDescent="0.35">
      <c r="A467" s="169"/>
      <c r="B467" s="170"/>
      <c r="C467" s="170"/>
      <c r="D467" s="170" t="s">
        <v>38</v>
      </c>
      <c r="E467" s="170">
        <v>2</v>
      </c>
      <c r="F467" s="170">
        <v>272</v>
      </c>
      <c r="G467" s="170"/>
      <c r="H467" s="171"/>
      <c r="I467" s="64" t="s">
        <v>497</v>
      </c>
    </row>
    <row r="468" spans="1:9" ht="17.25" x14ac:dyDescent="0.35">
      <c r="A468" s="169"/>
      <c r="B468" s="170"/>
      <c r="C468" s="170"/>
      <c r="D468" s="170" t="s">
        <v>38</v>
      </c>
      <c r="E468" s="170">
        <v>1</v>
      </c>
      <c r="F468" s="170">
        <v>17</v>
      </c>
      <c r="G468" s="170"/>
      <c r="H468" s="171"/>
      <c r="I468" s="64" t="s">
        <v>498</v>
      </c>
    </row>
    <row r="469" spans="1:9" ht="17.25" x14ac:dyDescent="0.35">
      <c r="A469" s="169"/>
      <c r="B469" s="170"/>
      <c r="C469" s="170"/>
      <c r="D469" s="170" t="s">
        <v>38</v>
      </c>
      <c r="E469" s="170">
        <v>2</v>
      </c>
      <c r="F469" s="170">
        <v>7</v>
      </c>
      <c r="G469" s="170"/>
      <c r="H469" s="171"/>
      <c r="I469" s="64" t="s">
        <v>499</v>
      </c>
    </row>
    <row r="470" spans="1:9" ht="17.25" x14ac:dyDescent="0.35">
      <c r="A470" s="169"/>
      <c r="B470" s="170"/>
      <c r="C470" s="170"/>
      <c r="D470" s="170" t="s">
        <v>38</v>
      </c>
      <c r="E470" s="170">
        <v>1</v>
      </c>
      <c r="F470" s="170">
        <v>136</v>
      </c>
      <c r="G470" s="170"/>
      <c r="H470" s="171"/>
      <c r="I470" s="64" t="s">
        <v>500</v>
      </c>
    </row>
    <row r="471" spans="1:9" ht="17.25" x14ac:dyDescent="0.35">
      <c r="A471" s="169"/>
      <c r="B471" s="170"/>
      <c r="C471" s="170"/>
      <c r="D471" s="170" t="s">
        <v>38</v>
      </c>
      <c r="E471" s="170">
        <v>1</v>
      </c>
      <c r="F471" s="170">
        <v>80</v>
      </c>
      <c r="G471" s="170"/>
      <c r="H471" s="171"/>
      <c r="I471" s="64" t="s">
        <v>501</v>
      </c>
    </row>
    <row r="472" spans="1:9" ht="17.25" x14ac:dyDescent="0.35">
      <c r="A472" s="169"/>
      <c r="B472" s="170"/>
      <c r="C472" s="170"/>
      <c r="D472" s="170" t="s">
        <v>38</v>
      </c>
      <c r="E472" s="170">
        <v>2</v>
      </c>
      <c r="F472" s="170">
        <v>8</v>
      </c>
      <c r="G472" s="170"/>
      <c r="H472" s="171"/>
      <c r="I472" s="64" t="s">
        <v>502</v>
      </c>
    </row>
    <row r="473" spans="1:9" ht="17.25" x14ac:dyDescent="0.35">
      <c r="A473" s="169"/>
      <c r="B473" s="170"/>
      <c r="C473" s="170"/>
      <c r="D473" s="170" t="s">
        <v>38</v>
      </c>
      <c r="E473" s="170">
        <v>1</v>
      </c>
      <c r="F473" s="170">
        <v>17</v>
      </c>
      <c r="G473" s="170"/>
      <c r="H473" s="171"/>
      <c r="I473" s="64" t="s">
        <v>503</v>
      </c>
    </row>
    <row r="474" spans="1:9" ht="17.25" x14ac:dyDescent="0.35">
      <c r="A474" s="169"/>
      <c r="B474" s="170"/>
      <c r="C474" s="170"/>
      <c r="D474" s="170" t="s">
        <v>38</v>
      </c>
      <c r="E474" s="170">
        <v>2</v>
      </c>
      <c r="F474" s="170">
        <v>0</v>
      </c>
      <c r="G474" s="170"/>
      <c r="H474" s="171"/>
      <c r="I474" s="64" t="s">
        <v>504</v>
      </c>
    </row>
    <row r="475" spans="1:9" ht="17.25" x14ac:dyDescent="0.35">
      <c r="A475" s="169"/>
      <c r="B475" s="170"/>
      <c r="C475" s="170"/>
      <c r="D475" s="170" t="s">
        <v>38</v>
      </c>
      <c r="E475" s="170">
        <v>1</v>
      </c>
      <c r="F475" s="170">
        <v>136</v>
      </c>
      <c r="G475" s="170"/>
      <c r="H475" s="171"/>
      <c r="I475" s="64" t="s">
        <v>505</v>
      </c>
    </row>
    <row r="476" spans="1:9" ht="17.25" x14ac:dyDescent="0.35">
      <c r="A476" s="169"/>
      <c r="B476" s="170"/>
      <c r="C476" s="170"/>
      <c r="D476" s="170" t="s">
        <v>38</v>
      </c>
      <c r="E476" s="170">
        <v>1</v>
      </c>
      <c r="F476" s="170">
        <v>64</v>
      </c>
      <c r="G476" s="170"/>
      <c r="H476" s="171"/>
      <c r="I476" s="64" t="s">
        <v>506</v>
      </c>
    </row>
    <row r="477" spans="1:9" ht="17.25" x14ac:dyDescent="0.35">
      <c r="A477" s="169"/>
      <c r="B477" s="170"/>
      <c r="C477" s="170"/>
      <c r="D477" s="170" t="s">
        <v>38</v>
      </c>
      <c r="E477" s="170">
        <v>2</v>
      </c>
      <c r="F477" s="170">
        <v>0</v>
      </c>
      <c r="G477" s="170"/>
      <c r="H477" s="171"/>
      <c r="I477" s="64" t="s">
        <v>507</v>
      </c>
    </row>
    <row r="478" spans="1:9" ht="17.25" x14ac:dyDescent="0.35">
      <c r="A478" s="169"/>
      <c r="B478" s="170"/>
      <c r="C478" s="170"/>
      <c r="D478" s="170" t="s">
        <v>38</v>
      </c>
      <c r="E478" s="170">
        <v>1</v>
      </c>
      <c r="F478" s="170">
        <v>0</v>
      </c>
      <c r="G478" s="170"/>
      <c r="H478" s="171"/>
      <c r="I478" s="64" t="s">
        <v>508</v>
      </c>
    </row>
    <row r="479" spans="1:9" ht="17.25" x14ac:dyDescent="0.35">
      <c r="A479" s="169"/>
      <c r="B479" s="170"/>
      <c r="C479" s="170"/>
      <c r="D479" s="170" t="s">
        <v>38</v>
      </c>
      <c r="E479" s="170">
        <v>2</v>
      </c>
      <c r="F479" s="170">
        <v>0</v>
      </c>
      <c r="G479" s="170"/>
      <c r="H479" s="171"/>
      <c r="I479" s="64" t="s">
        <v>509</v>
      </c>
    </row>
    <row r="480" spans="1:9" ht="17.25" x14ac:dyDescent="0.35">
      <c r="A480" s="169"/>
      <c r="B480" s="170"/>
      <c r="C480" s="170"/>
      <c r="D480" s="170" t="s">
        <v>38</v>
      </c>
      <c r="E480" s="170">
        <v>1</v>
      </c>
      <c r="F480" s="170">
        <v>0</v>
      </c>
      <c r="G480" s="170"/>
      <c r="H480" s="171"/>
      <c r="I480" s="64" t="s">
        <v>510</v>
      </c>
    </row>
    <row r="481" spans="1:9" ht="17.25" x14ac:dyDescent="0.35">
      <c r="A481" s="169"/>
      <c r="B481" s="170"/>
      <c r="C481" s="170"/>
      <c r="D481" s="170" t="s">
        <v>38</v>
      </c>
      <c r="E481" s="170">
        <v>1</v>
      </c>
      <c r="F481" s="170">
        <v>0</v>
      </c>
      <c r="G481" s="170"/>
      <c r="H481" s="171"/>
      <c r="I481" s="64" t="s">
        <v>511</v>
      </c>
    </row>
    <row r="482" spans="1:9" ht="17.25" x14ac:dyDescent="0.35">
      <c r="A482" s="169"/>
      <c r="B482" s="170"/>
      <c r="C482" s="170"/>
      <c r="D482" s="170" t="s">
        <v>38</v>
      </c>
      <c r="E482" s="170">
        <v>2</v>
      </c>
      <c r="F482" s="170">
        <v>0</v>
      </c>
      <c r="G482" s="170"/>
      <c r="H482" s="171"/>
      <c r="I482" s="64" t="s">
        <v>512</v>
      </c>
    </row>
    <row r="483" spans="1:9" ht="17.25" x14ac:dyDescent="0.35">
      <c r="A483" s="169"/>
      <c r="B483" s="170"/>
      <c r="C483" s="170"/>
      <c r="D483" s="170" t="s">
        <v>38</v>
      </c>
      <c r="E483" s="170">
        <v>1</v>
      </c>
      <c r="F483" s="170">
        <v>0</v>
      </c>
      <c r="G483" s="170"/>
      <c r="H483" s="171"/>
      <c r="I483" s="64" t="s">
        <v>513</v>
      </c>
    </row>
    <row r="484" spans="1:9" ht="17.25" x14ac:dyDescent="0.35">
      <c r="A484" s="169"/>
      <c r="B484" s="170"/>
      <c r="C484" s="170"/>
      <c r="D484" s="170" t="s">
        <v>38</v>
      </c>
      <c r="E484" s="170">
        <v>2</v>
      </c>
      <c r="F484" s="170">
        <v>0</v>
      </c>
      <c r="G484" s="170"/>
      <c r="H484" s="171"/>
      <c r="I484" s="64" t="s">
        <v>514</v>
      </c>
    </row>
    <row r="485" spans="1:9" ht="17.25" x14ac:dyDescent="0.35">
      <c r="A485" s="169"/>
      <c r="B485" s="170"/>
      <c r="C485" s="170"/>
      <c r="D485" s="170" t="s">
        <v>38</v>
      </c>
      <c r="E485" s="170">
        <v>1</v>
      </c>
      <c r="F485" s="170">
        <v>0</v>
      </c>
      <c r="G485" s="170"/>
      <c r="H485" s="171"/>
      <c r="I485" s="64" t="s">
        <v>515</v>
      </c>
    </row>
    <row r="486" spans="1:9" ht="17.25" x14ac:dyDescent="0.35">
      <c r="A486" s="169"/>
      <c r="B486" s="170"/>
      <c r="C486" s="170"/>
      <c r="D486" s="170" t="s">
        <v>38</v>
      </c>
      <c r="E486" s="170">
        <v>1</v>
      </c>
      <c r="F486" s="170">
        <v>0</v>
      </c>
      <c r="G486" s="170"/>
      <c r="H486" s="171"/>
      <c r="I486" s="64" t="s">
        <v>516</v>
      </c>
    </row>
    <row r="487" spans="1:9" ht="17.25" x14ac:dyDescent="0.35">
      <c r="A487" s="169"/>
      <c r="B487" s="170"/>
      <c r="C487" s="170"/>
      <c r="D487" s="170" t="s">
        <v>38</v>
      </c>
      <c r="E487" s="170">
        <v>2</v>
      </c>
      <c r="F487" s="170">
        <v>0</v>
      </c>
      <c r="G487" s="170"/>
      <c r="H487" s="171"/>
      <c r="I487" s="64" t="s">
        <v>517</v>
      </c>
    </row>
    <row r="488" spans="1:9" ht="17.25" x14ac:dyDescent="0.35">
      <c r="A488" s="169"/>
      <c r="B488" s="170"/>
      <c r="C488" s="170"/>
      <c r="D488" s="170" t="s">
        <v>38</v>
      </c>
      <c r="E488" s="170">
        <v>1</v>
      </c>
      <c r="F488" s="170">
        <v>0</v>
      </c>
      <c r="G488" s="170"/>
      <c r="H488" s="171"/>
      <c r="I488" s="64" t="s">
        <v>518</v>
      </c>
    </row>
    <row r="489" spans="1:9" ht="17.25" x14ac:dyDescent="0.35">
      <c r="A489" s="169"/>
      <c r="B489" s="170"/>
      <c r="C489" s="170"/>
      <c r="D489" s="170" t="s">
        <v>38</v>
      </c>
      <c r="E489" s="170">
        <v>2</v>
      </c>
      <c r="F489" s="170">
        <v>0</v>
      </c>
      <c r="G489" s="170"/>
      <c r="H489" s="171"/>
      <c r="I489" s="64" t="s">
        <v>519</v>
      </c>
    </row>
    <row r="490" spans="1:9" ht="17.25" x14ac:dyDescent="0.35">
      <c r="A490" s="169"/>
      <c r="B490" s="170"/>
      <c r="C490" s="170"/>
      <c r="D490" s="170" t="s">
        <v>38</v>
      </c>
      <c r="E490" s="170">
        <v>1</v>
      </c>
      <c r="F490" s="170">
        <v>0</v>
      </c>
      <c r="G490" s="170"/>
      <c r="H490" s="171"/>
      <c r="I490" s="64" t="s">
        <v>520</v>
      </c>
    </row>
    <row r="491" spans="1:9" ht="17.25" x14ac:dyDescent="0.35">
      <c r="A491" s="169"/>
      <c r="B491" s="170"/>
      <c r="C491" s="170"/>
      <c r="D491" s="170" t="s">
        <v>38</v>
      </c>
      <c r="E491" s="170">
        <v>1</v>
      </c>
      <c r="F491" s="170">
        <v>0</v>
      </c>
      <c r="G491" s="170"/>
      <c r="H491" s="171"/>
      <c r="I491" s="64" t="s">
        <v>521</v>
      </c>
    </row>
    <row r="492" spans="1:9" ht="17.25" x14ac:dyDescent="0.35">
      <c r="A492" s="169"/>
      <c r="B492" s="170"/>
      <c r="C492" s="170"/>
      <c r="D492" s="170" t="s">
        <v>38</v>
      </c>
      <c r="E492" s="170">
        <v>2</v>
      </c>
      <c r="F492" s="170">
        <v>0</v>
      </c>
      <c r="G492" s="170"/>
      <c r="H492" s="171"/>
      <c r="I492" s="64" t="s">
        <v>522</v>
      </c>
    </row>
    <row r="493" spans="1:9" ht="17.25" x14ac:dyDescent="0.35">
      <c r="A493" s="169"/>
      <c r="B493" s="170"/>
      <c r="C493" s="170"/>
      <c r="D493" s="170" t="s">
        <v>38</v>
      </c>
      <c r="E493" s="170">
        <v>1</v>
      </c>
      <c r="F493" s="170">
        <v>0</v>
      </c>
      <c r="G493" s="170"/>
      <c r="H493" s="171"/>
      <c r="I493" s="64" t="s">
        <v>523</v>
      </c>
    </row>
    <row r="494" spans="1:9" ht="17.25" x14ac:dyDescent="0.35">
      <c r="A494" s="169"/>
      <c r="B494" s="170"/>
      <c r="C494" s="170"/>
      <c r="D494" s="170" t="s">
        <v>38</v>
      </c>
      <c r="E494" s="170">
        <v>2</v>
      </c>
      <c r="F494" s="170">
        <v>0</v>
      </c>
      <c r="G494" s="170"/>
      <c r="H494" s="171"/>
      <c r="I494" s="64" t="s">
        <v>524</v>
      </c>
    </row>
    <row r="495" spans="1:9" ht="17.25" x14ac:dyDescent="0.35">
      <c r="A495" s="169"/>
      <c r="B495" s="170"/>
      <c r="C495" s="170"/>
      <c r="D495" s="170" t="s">
        <v>38</v>
      </c>
      <c r="E495" s="170">
        <v>1</v>
      </c>
      <c r="F495" s="170">
        <v>0</v>
      </c>
      <c r="G495" s="170"/>
      <c r="H495" s="171"/>
      <c r="I495" s="64" t="s">
        <v>525</v>
      </c>
    </row>
    <row r="496" spans="1:9" ht="17.25" x14ac:dyDescent="0.35">
      <c r="A496" s="169"/>
      <c r="B496" s="170"/>
      <c r="C496" s="170"/>
      <c r="D496" s="170" t="s">
        <v>38</v>
      </c>
      <c r="E496" s="170">
        <v>1</v>
      </c>
      <c r="F496" s="170">
        <v>0</v>
      </c>
      <c r="G496" s="170"/>
      <c r="H496" s="171"/>
      <c r="I496" s="64" t="s">
        <v>526</v>
      </c>
    </row>
    <row r="497" spans="1:9" ht="17.25" x14ac:dyDescent="0.35">
      <c r="A497" s="169"/>
      <c r="B497" s="170"/>
      <c r="C497" s="170"/>
      <c r="D497" s="170" t="s">
        <v>38</v>
      </c>
      <c r="E497" s="170">
        <v>2</v>
      </c>
      <c r="F497" s="170">
        <v>0</v>
      </c>
      <c r="G497" s="170"/>
      <c r="H497" s="171"/>
      <c r="I497" s="64" t="s">
        <v>527</v>
      </c>
    </row>
    <row r="498" spans="1:9" ht="17.25" x14ac:dyDescent="0.35">
      <c r="A498" s="169"/>
      <c r="B498" s="170"/>
      <c r="C498" s="170"/>
      <c r="D498" s="170" t="s">
        <v>38</v>
      </c>
      <c r="E498" s="170">
        <v>1</v>
      </c>
      <c r="F498" s="170">
        <v>0</v>
      </c>
      <c r="G498" s="170"/>
      <c r="H498" s="171"/>
      <c r="I498" s="64" t="s">
        <v>528</v>
      </c>
    </row>
    <row r="499" spans="1:9" ht="17.25" x14ac:dyDescent="0.35">
      <c r="A499" s="169"/>
      <c r="B499" s="170"/>
      <c r="C499" s="170"/>
      <c r="D499" s="170" t="s">
        <v>38</v>
      </c>
      <c r="E499" s="170">
        <v>2</v>
      </c>
      <c r="F499" s="170">
        <v>0</v>
      </c>
      <c r="G499" s="170"/>
      <c r="H499" s="171"/>
      <c r="I499" s="64" t="s">
        <v>529</v>
      </c>
    </row>
    <row r="500" spans="1:9" ht="17.25" x14ac:dyDescent="0.35">
      <c r="A500" s="169"/>
      <c r="B500" s="170"/>
      <c r="C500" s="170"/>
      <c r="D500" s="170" t="s">
        <v>38</v>
      </c>
      <c r="E500" s="170">
        <v>1</v>
      </c>
      <c r="F500" s="170">
        <v>0</v>
      </c>
      <c r="G500" s="170"/>
      <c r="H500" s="171"/>
      <c r="I500" s="64" t="s">
        <v>530</v>
      </c>
    </row>
    <row r="501" spans="1:9" ht="17.25" x14ac:dyDescent="0.35">
      <c r="A501" s="169"/>
      <c r="B501" s="170"/>
      <c r="C501" s="170"/>
      <c r="D501" s="170" t="s">
        <v>38</v>
      </c>
      <c r="E501" s="170">
        <v>1</v>
      </c>
      <c r="F501" s="170">
        <v>0</v>
      </c>
      <c r="G501" s="170"/>
      <c r="H501" s="171"/>
      <c r="I501" s="64" t="s">
        <v>531</v>
      </c>
    </row>
    <row r="502" spans="1:9" ht="17.25" x14ac:dyDescent="0.35">
      <c r="A502" s="169"/>
      <c r="B502" s="170"/>
      <c r="C502" s="170"/>
      <c r="D502" s="170" t="s">
        <v>38</v>
      </c>
      <c r="E502" s="170">
        <v>2</v>
      </c>
      <c r="F502" s="170">
        <v>0</v>
      </c>
      <c r="G502" s="170"/>
      <c r="H502" s="171"/>
      <c r="I502" s="64" t="s">
        <v>532</v>
      </c>
    </row>
    <row r="503" spans="1:9" ht="17.25" x14ac:dyDescent="0.35">
      <c r="A503" s="169"/>
      <c r="B503" s="170"/>
      <c r="C503" s="170"/>
      <c r="D503" s="170" t="s">
        <v>38</v>
      </c>
      <c r="E503" s="170">
        <v>1</v>
      </c>
      <c r="F503" s="170">
        <v>0</v>
      </c>
      <c r="G503" s="170"/>
      <c r="H503" s="171"/>
      <c r="I503" s="64" t="s">
        <v>533</v>
      </c>
    </row>
    <row r="504" spans="1:9" ht="17.25" x14ac:dyDescent="0.35">
      <c r="A504" s="169"/>
      <c r="B504" s="170"/>
      <c r="C504" s="170"/>
      <c r="D504" s="170" t="s">
        <v>38</v>
      </c>
      <c r="E504" s="170">
        <v>2</v>
      </c>
      <c r="F504" s="170">
        <v>0</v>
      </c>
      <c r="G504" s="170"/>
      <c r="H504" s="171"/>
      <c r="I504" s="64" t="s">
        <v>534</v>
      </c>
    </row>
    <row r="505" spans="1:9" ht="17.25" x14ac:dyDescent="0.35">
      <c r="A505" s="169"/>
      <c r="B505" s="170"/>
      <c r="C505" s="170"/>
      <c r="D505" s="170" t="s">
        <v>38</v>
      </c>
      <c r="E505" s="170">
        <v>1</v>
      </c>
      <c r="F505" s="170">
        <v>0</v>
      </c>
      <c r="G505" s="170"/>
      <c r="H505" s="171"/>
      <c r="I505" s="64" t="s">
        <v>535</v>
      </c>
    </row>
    <row r="506" spans="1:9" ht="17.25" x14ac:dyDescent="0.35">
      <c r="A506" s="169"/>
      <c r="B506" s="170"/>
      <c r="C506" s="170"/>
      <c r="D506" s="170" t="s">
        <v>38</v>
      </c>
      <c r="E506" s="170">
        <v>1</v>
      </c>
      <c r="F506" s="170">
        <v>0</v>
      </c>
      <c r="G506" s="170"/>
      <c r="H506" s="171"/>
      <c r="I506" s="64" t="s">
        <v>536</v>
      </c>
    </row>
    <row r="507" spans="1:9" ht="17.25" x14ac:dyDescent="0.35">
      <c r="A507" s="169"/>
      <c r="B507" s="170"/>
      <c r="C507" s="170"/>
      <c r="D507" s="170" t="s">
        <v>38</v>
      </c>
      <c r="E507" s="170">
        <v>2</v>
      </c>
      <c r="F507" s="170">
        <v>0</v>
      </c>
      <c r="G507" s="170"/>
      <c r="H507" s="171"/>
      <c r="I507" s="64" t="s">
        <v>537</v>
      </c>
    </row>
    <row r="508" spans="1:9" ht="17.25" x14ac:dyDescent="0.35">
      <c r="A508" s="169"/>
      <c r="B508" s="170"/>
      <c r="C508" s="170"/>
      <c r="D508" s="170" t="s">
        <v>38</v>
      </c>
      <c r="E508" s="170">
        <v>1</v>
      </c>
      <c r="F508" s="170">
        <v>0</v>
      </c>
      <c r="G508" s="170"/>
      <c r="H508" s="171"/>
      <c r="I508" s="64" t="s">
        <v>538</v>
      </c>
    </row>
    <row r="509" spans="1:9" ht="17.25" x14ac:dyDescent="0.35">
      <c r="A509" s="169"/>
      <c r="B509" s="170"/>
      <c r="C509" s="170"/>
      <c r="D509" s="170" t="s">
        <v>38</v>
      </c>
      <c r="E509" s="170">
        <v>2</v>
      </c>
      <c r="F509" s="170">
        <v>0</v>
      </c>
      <c r="G509" s="170"/>
      <c r="H509" s="171"/>
      <c r="I509" s="64" t="s">
        <v>539</v>
      </c>
    </row>
    <row r="510" spans="1:9" ht="17.25" x14ac:dyDescent="0.35">
      <c r="A510" s="169"/>
      <c r="B510" s="170"/>
      <c r="C510" s="170"/>
      <c r="D510" s="170" t="s">
        <v>38</v>
      </c>
      <c r="E510" s="170">
        <v>1</v>
      </c>
      <c r="F510" s="170">
        <v>0</v>
      </c>
      <c r="G510" s="170"/>
      <c r="H510" s="171"/>
      <c r="I510" s="64" t="s">
        <v>540</v>
      </c>
    </row>
    <row r="511" spans="1:9" ht="17.25" x14ac:dyDescent="0.35">
      <c r="A511" s="169"/>
      <c r="B511" s="170"/>
      <c r="C511" s="170"/>
      <c r="D511" s="170" t="s">
        <v>38</v>
      </c>
      <c r="E511" s="170">
        <v>1</v>
      </c>
      <c r="F511" s="170">
        <v>0</v>
      </c>
      <c r="G511" s="170"/>
      <c r="H511" s="171"/>
      <c r="I511" s="64" t="s">
        <v>541</v>
      </c>
    </row>
    <row r="512" spans="1:9" ht="17.25" x14ac:dyDescent="0.35">
      <c r="A512" s="169"/>
      <c r="B512" s="170"/>
      <c r="C512" s="170"/>
      <c r="D512" s="170" t="s">
        <v>38</v>
      </c>
      <c r="E512" s="170">
        <v>2</v>
      </c>
      <c r="F512" s="170">
        <v>16</v>
      </c>
      <c r="G512" s="170"/>
      <c r="H512" s="171"/>
      <c r="I512" s="64" t="s">
        <v>542</v>
      </c>
    </row>
    <row r="513" spans="1:9" ht="17.25" x14ac:dyDescent="0.35">
      <c r="A513" s="169"/>
      <c r="B513" s="170"/>
      <c r="C513" s="170"/>
      <c r="D513" s="170" t="s">
        <v>38</v>
      </c>
      <c r="E513" s="170">
        <v>1</v>
      </c>
      <c r="F513" s="170">
        <v>48</v>
      </c>
      <c r="G513" s="170"/>
      <c r="H513" s="171"/>
      <c r="I513" s="64" t="s">
        <v>543</v>
      </c>
    </row>
    <row r="514" spans="1:9" ht="17.25" x14ac:dyDescent="0.35">
      <c r="A514" s="169"/>
      <c r="B514" s="170"/>
      <c r="C514" s="170"/>
      <c r="D514" s="170" t="s">
        <v>38</v>
      </c>
      <c r="E514" s="170">
        <v>2</v>
      </c>
      <c r="F514" s="170">
        <v>1</v>
      </c>
      <c r="G514" s="170"/>
      <c r="H514" s="171"/>
      <c r="I514" s="64" t="s">
        <v>544</v>
      </c>
    </row>
    <row r="515" spans="1:9" ht="17.25" x14ac:dyDescent="0.35">
      <c r="A515" s="169"/>
      <c r="B515" s="170"/>
      <c r="C515" s="170"/>
      <c r="D515" s="170" t="s">
        <v>38</v>
      </c>
      <c r="E515" s="170">
        <v>1</v>
      </c>
      <c r="F515" s="170">
        <v>136</v>
      </c>
      <c r="G515" s="170"/>
      <c r="H515" s="171"/>
      <c r="I515" s="64" t="s">
        <v>545</v>
      </c>
    </row>
    <row r="516" spans="1:9" ht="17.25" x14ac:dyDescent="0.35">
      <c r="A516" s="169"/>
      <c r="B516" s="170"/>
      <c r="C516" s="170"/>
      <c r="D516" s="170" t="s">
        <v>38</v>
      </c>
      <c r="E516" s="170">
        <v>1</v>
      </c>
      <c r="F516" s="170">
        <v>80</v>
      </c>
      <c r="G516" s="170"/>
      <c r="H516" s="171"/>
      <c r="I516" s="64" t="s">
        <v>546</v>
      </c>
    </row>
    <row r="517" spans="1:9" ht="17.25" x14ac:dyDescent="0.35">
      <c r="A517" s="169"/>
      <c r="B517" s="170"/>
      <c r="C517" s="170"/>
      <c r="D517" s="170" t="s">
        <v>38</v>
      </c>
      <c r="E517" s="170">
        <v>2</v>
      </c>
      <c r="F517" s="170">
        <v>20992</v>
      </c>
      <c r="G517" s="170"/>
      <c r="H517" s="171"/>
      <c r="I517" s="64" t="s">
        <v>547</v>
      </c>
    </row>
    <row r="518" spans="1:9" ht="17.25" x14ac:dyDescent="0.35">
      <c r="A518" s="169"/>
      <c r="B518" s="170"/>
      <c r="C518" s="170"/>
      <c r="D518" s="170" t="s">
        <v>38</v>
      </c>
      <c r="E518" s="170">
        <v>2</v>
      </c>
      <c r="F518" s="170">
        <v>0</v>
      </c>
      <c r="G518" s="170"/>
      <c r="H518" s="171"/>
      <c r="I518" s="64" t="s">
        <v>548</v>
      </c>
    </row>
    <row r="519" spans="1:9" ht="17.25" x14ac:dyDescent="0.35">
      <c r="A519" s="169"/>
      <c r="B519" s="170"/>
      <c r="C519" s="170"/>
      <c r="D519" s="170" t="s">
        <v>38</v>
      </c>
      <c r="E519" s="170">
        <v>2</v>
      </c>
      <c r="F519" s="170">
        <v>16896</v>
      </c>
      <c r="G519" s="170"/>
      <c r="H519" s="171"/>
      <c r="I519" s="64" t="s">
        <v>549</v>
      </c>
    </row>
    <row r="520" spans="1:9" ht="17.25" x14ac:dyDescent="0.35">
      <c r="A520" s="169"/>
      <c r="B520" s="170"/>
      <c r="C520" s="170"/>
      <c r="D520" s="170" t="s">
        <v>38</v>
      </c>
      <c r="E520" s="170">
        <v>2</v>
      </c>
      <c r="F520" s="170">
        <v>0</v>
      </c>
      <c r="G520" s="170"/>
      <c r="H520" s="171"/>
      <c r="I520" s="64" t="s">
        <v>550</v>
      </c>
    </row>
    <row r="521" spans="1:9" ht="17.25" x14ac:dyDescent="0.35">
      <c r="A521" s="169"/>
      <c r="B521" s="170"/>
      <c r="C521" s="170"/>
      <c r="D521" s="170" t="s">
        <v>38</v>
      </c>
      <c r="E521" s="170">
        <v>2</v>
      </c>
      <c r="F521" s="170">
        <v>37376</v>
      </c>
      <c r="G521" s="170"/>
      <c r="H521" s="171"/>
      <c r="I521" s="64" t="s">
        <v>551</v>
      </c>
    </row>
    <row r="522" spans="1:9" ht="17.25" x14ac:dyDescent="0.35">
      <c r="A522" s="169"/>
      <c r="B522" s="170"/>
      <c r="C522" s="170"/>
      <c r="D522" s="170" t="s">
        <v>38</v>
      </c>
      <c r="E522" s="170">
        <v>2</v>
      </c>
      <c r="F522" s="170">
        <v>0</v>
      </c>
      <c r="G522" s="170"/>
      <c r="H522" s="171"/>
      <c r="I522" s="64" t="s">
        <v>552</v>
      </c>
    </row>
    <row r="523" spans="1:9" ht="17.25" x14ac:dyDescent="0.35">
      <c r="A523" s="169"/>
      <c r="B523" s="170"/>
      <c r="C523" s="170"/>
      <c r="D523" s="170" t="s">
        <v>38</v>
      </c>
      <c r="E523" s="170">
        <v>2</v>
      </c>
      <c r="F523" s="170">
        <v>0</v>
      </c>
      <c r="G523" s="170"/>
      <c r="H523" s="171"/>
      <c r="I523" s="64" t="s">
        <v>553</v>
      </c>
    </row>
    <row r="524" spans="1:9" ht="17.25" x14ac:dyDescent="0.35">
      <c r="A524" s="169"/>
      <c r="B524" s="170"/>
      <c r="C524" s="170"/>
      <c r="D524" s="170" t="s">
        <v>38</v>
      </c>
      <c r="E524" s="170">
        <v>2</v>
      </c>
      <c r="F524" s="170">
        <v>0</v>
      </c>
      <c r="G524" s="170"/>
      <c r="H524" s="171"/>
      <c r="I524" s="64" t="s">
        <v>554</v>
      </c>
    </row>
    <row r="525" spans="1:9" ht="17.25" x14ac:dyDescent="0.35">
      <c r="A525" s="169"/>
      <c r="B525" s="170"/>
      <c r="C525" s="170"/>
      <c r="D525" s="170" t="s">
        <v>38</v>
      </c>
      <c r="E525" s="170">
        <v>2</v>
      </c>
      <c r="F525" s="170">
        <v>0</v>
      </c>
      <c r="G525" s="170"/>
      <c r="H525" s="171"/>
      <c r="I525" s="64" t="s">
        <v>555</v>
      </c>
    </row>
    <row r="526" spans="1:9" ht="17.25" x14ac:dyDescent="0.35">
      <c r="A526" s="169"/>
      <c r="B526" s="170"/>
      <c r="C526" s="170"/>
      <c r="D526" s="170" t="s">
        <v>38</v>
      </c>
      <c r="E526" s="170">
        <v>2</v>
      </c>
      <c r="F526" s="170">
        <v>0</v>
      </c>
      <c r="G526" s="170"/>
      <c r="H526" s="171"/>
      <c r="I526" s="64" t="s">
        <v>556</v>
      </c>
    </row>
    <row r="527" spans="1:9" ht="17.25" x14ac:dyDescent="0.35">
      <c r="A527" s="169"/>
      <c r="B527" s="170"/>
      <c r="C527" s="170"/>
      <c r="D527" s="170" t="s">
        <v>38</v>
      </c>
      <c r="E527" s="170">
        <v>2</v>
      </c>
      <c r="F527" s="170">
        <v>0</v>
      </c>
      <c r="G527" s="170"/>
      <c r="H527" s="171"/>
      <c r="I527" s="64" t="s">
        <v>557</v>
      </c>
    </row>
    <row r="528" spans="1:9" ht="17.25" x14ac:dyDescent="0.35">
      <c r="A528" s="169"/>
      <c r="B528" s="170"/>
      <c r="C528" s="170"/>
      <c r="D528" s="170" t="s">
        <v>38</v>
      </c>
      <c r="E528" s="170">
        <v>2</v>
      </c>
      <c r="F528" s="170">
        <v>0</v>
      </c>
      <c r="G528" s="170"/>
      <c r="H528" s="171"/>
      <c r="I528" s="64" t="s">
        <v>558</v>
      </c>
    </row>
    <row r="529" spans="1:9" ht="17.25" x14ac:dyDescent="0.35">
      <c r="A529" s="169"/>
      <c r="B529" s="170"/>
      <c r="C529" s="170"/>
      <c r="D529" s="170" t="s">
        <v>38</v>
      </c>
      <c r="E529" s="170">
        <v>2</v>
      </c>
      <c r="F529" s="170">
        <v>0</v>
      </c>
      <c r="G529" s="170"/>
      <c r="H529" s="171"/>
      <c r="I529" s="64" t="s">
        <v>559</v>
      </c>
    </row>
    <row r="530" spans="1:9" ht="17.25" x14ac:dyDescent="0.35">
      <c r="A530" s="169"/>
      <c r="B530" s="170"/>
      <c r="C530" s="170"/>
      <c r="D530" s="170" t="s">
        <v>38</v>
      </c>
      <c r="E530" s="170">
        <v>2</v>
      </c>
      <c r="F530" s="170">
        <v>0</v>
      </c>
      <c r="G530" s="170"/>
      <c r="H530" s="171"/>
      <c r="I530" s="64" t="s">
        <v>560</v>
      </c>
    </row>
    <row r="531" spans="1:9" ht="17.25" x14ac:dyDescent="0.35">
      <c r="A531" s="169"/>
      <c r="B531" s="170"/>
      <c r="C531" s="170"/>
      <c r="D531" s="170" t="s">
        <v>38</v>
      </c>
      <c r="E531" s="170">
        <v>2</v>
      </c>
      <c r="F531" s="170">
        <v>0</v>
      </c>
      <c r="G531" s="170"/>
      <c r="H531" s="171"/>
      <c r="I531" s="64" t="s">
        <v>561</v>
      </c>
    </row>
    <row r="532" spans="1:9" ht="17.25" x14ac:dyDescent="0.35">
      <c r="A532" s="169"/>
      <c r="B532" s="170"/>
      <c r="C532" s="170"/>
      <c r="D532" s="170" t="s">
        <v>38</v>
      </c>
      <c r="E532" s="170">
        <v>2</v>
      </c>
      <c r="F532" s="170">
        <v>0</v>
      </c>
      <c r="G532" s="170"/>
      <c r="H532" s="171"/>
      <c r="I532" s="64" t="s">
        <v>562</v>
      </c>
    </row>
    <row r="533" spans="1:9" ht="17.25" x14ac:dyDescent="0.35">
      <c r="A533" s="169"/>
      <c r="B533" s="170"/>
      <c r="C533" s="170"/>
      <c r="D533" s="170" t="s">
        <v>38</v>
      </c>
      <c r="E533" s="170">
        <v>2</v>
      </c>
      <c r="F533" s="170">
        <v>0</v>
      </c>
      <c r="G533" s="170"/>
      <c r="H533" s="171"/>
      <c r="I533" s="64" t="s">
        <v>563</v>
      </c>
    </row>
    <row r="534" spans="1:9" ht="17.25" x14ac:dyDescent="0.35">
      <c r="A534" s="169"/>
      <c r="B534" s="170"/>
      <c r="C534" s="170"/>
      <c r="D534" s="170" t="s">
        <v>38</v>
      </c>
      <c r="E534" s="170">
        <v>2</v>
      </c>
      <c r="F534" s="170">
        <v>0</v>
      </c>
      <c r="G534" s="170"/>
      <c r="H534" s="171"/>
      <c r="I534" s="64" t="s">
        <v>564</v>
      </c>
    </row>
    <row r="535" spans="1:9" ht="17.25" x14ac:dyDescent="0.35">
      <c r="A535" s="169"/>
      <c r="B535" s="170"/>
      <c r="C535" s="170"/>
      <c r="D535" s="170" t="s">
        <v>38</v>
      </c>
      <c r="E535" s="170">
        <v>2</v>
      </c>
      <c r="F535" s="170">
        <v>0</v>
      </c>
      <c r="G535" s="170"/>
      <c r="H535" s="171"/>
      <c r="I535" s="64" t="s">
        <v>565</v>
      </c>
    </row>
    <row r="536" spans="1:9" ht="17.25" x14ac:dyDescent="0.35">
      <c r="A536" s="169"/>
      <c r="B536" s="170"/>
      <c r="C536" s="170"/>
      <c r="D536" s="170" t="s">
        <v>38</v>
      </c>
      <c r="E536" s="170">
        <v>2</v>
      </c>
      <c r="F536" s="170">
        <v>0</v>
      </c>
      <c r="G536" s="170"/>
      <c r="H536" s="171"/>
      <c r="I536" s="64" t="s">
        <v>566</v>
      </c>
    </row>
    <row r="537" spans="1:9" ht="17.25" x14ac:dyDescent="0.35">
      <c r="A537" s="169"/>
      <c r="B537" s="170"/>
      <c r="C537" s="170"/>
      <c r="D537" s="170" t="s">
        <v>38</v>
      </c>
      <c r="E537" s="170">
        <v>2</v>
      </c>
      <c r="F537" s="170">
        <v>6</v>
      </c>
      <c r="G537" s="170"/>
      <c r="H537" s="171"/>
      <c r="I537" s="64" t="s">
        <v>567</v>
      </c>
    </row>
    <row r="538" spans="1:9" ht="17.25" x14ac:dyDescent="0.35">
      <c r="A538" s="169"/>
      <c r="B538" s="170"/>
      <c r="C538" s="170"/>
      <c r="D538" s="170" t="s">
        <v>38</v>
      </c>
      <c r="E538" s="170">
        <v>1</v>
      </c>
      <c r="F538" s="170"/>
      <c r="G538" s="170"/>
      <c r="H538" s="171"/>
      <c r="I538" s="64" t="s">
        <v>568</v>
      </c>
    </row>
    <row r="539" spans="1:9" ht="17.25" x14ac:dyDescent="0.35">
      <c r="A539" s="169"/>
      <c r="B539" s="170"/>
      <c r="C539" s="170"/>
      <c r="D539" s="170" t="s">
        <v>38</v>
      </c>
      <c r="E539" s="170">
        <v>1</v>
      </c>
      <c r="F539" s="170"/>
      <c r="G539" s="170"/>
      <c r="H539" s="171"/>
      <c r="I539" s="64" t="s">
        <v>569</v>
      </c>
    </row>
    <row r="540" spans="1:9" ht="17.25" x14ac:dyDescent="0.35">
      <c r="A540" s="169"/>
      <c r="B540" s="170"/>
      <c r="C540" s="170"/>
      <c r="D540" s="170" t="s">
        <v>38</v>
      </c>
      <c r="E540" s="170">
        <v>1</v>
      </c>
      <c r="F540" s="170">
        <v>2</v>
      </c>
      <c r="G540" s="170"/>
      <c r="H540" s="171"/>
      <c r="I540" s="64" t="s">
        <v>570</v>
      </c>
    </row>
    <row r="541" spans="1:9" ht="17.25" x14ac:dyDescent="0.35">
      <c r="A541" s="169"/>
      <c r="B541" s="170"/>
      <c r="C541" s="170"/>
      <c r="D541" s="170" t="s">
        <v>38</v>
      </c>
      <c r="E541" s="170">
        <v>1</v>
      </c>
      <c r="F541" s="170">
        <v>3</v>
      </c>
      <c r="G541" s="170"/>
      <c r="H541" s="171"/>
      <c r="I541" s="64" t="s">
        <v>571</v>
      </c>
    </row>
    <row r="542" spans="1:9" ht="17.25" x14ac:dyDescent="0.35">
      <c r="A542" s="169"/>
      <c r="B542" s="170"/>
      <c r="C542" s="170"/>
      <c r="D542" s="170" t="s">
        <v>38</v>
      </c>
      <c r="E542" s="170">
        <v>1</v>
      </c>
      <c r="F542" s="170">
        <v>1</v>
      </c>
      <c r="G542" s="170"/>
      <c r="H542" s="171"/>
      <c r="I542" s="64" t="s">
        <v>572</v>
      </c>
    </row>
    <row r="543" spans="1:9" ht="17.25" x14ac:dyDescent="0.35">
      <c r="A543" s="169"/>
      <c r="B543" s="170"/>
      <c r="C543" s="170"/>
      <c r="D543" s="170" t="s">
        <v>38</v>
      </c>
      <c r="E543" s="170">
        <v>2</v>
      </c>
      <c r="F543" s="170">
        <v>33039</v>
      </c>
      <c r="G543" s="170"/>
      <c r="H543" s="171"/>
      <c r="I543" s="64" t="s">
        <v>573</v>
      </c>
    </row>
    <row r="544" spans="1:9" ht="17.25" x14ac:dyDescent="0.35">
      <c r="A544" s="169"/>
      <c r="B544" s="170"/>
      <c r="C544" s="170"/>
      <c r="D544" s="170" t="s">
        <v>32</v>
      </c>
      <c r="E544" s="170">
        <v>50</v>
      </c>
      <c r="F544" s="170" t="s">
        <v>206</v>
      </c>
      <c r="G544" s="170"/>
      <c r="H544" s="171"/>
      <c r="I544" s="64" t="s">
        <v>574</v>
      </c>
    </row>
    <row r="545" spans="1:9" ht="17.25" x14ac:dyDescent="0.35">
      <c r="A545" s="169"/>
      <c r="B545" s="170"/>
      <c r="C545" s="170"/>
      <c r="D545" s="170" t="s">
        <v>32</v>
      </c>
      <c r="E545" s="170">
        <v>50</v>
      </c>
      <c r="F545" s="170"/>
      <c r="G545" s="170"/>
      <c r="H545" s="171"/>
      <c r="I545" s="64" t="s">
        <v>575</v>
      </c>
    </row>
    <row r="546" spans="1:9" ht="17.25" x14ac:dyDescent="0.35">
      <c r="A546" s="169"/>
      <c r="B546" s="170"/>
      <c r="C546" s="170"/>
      <c r="D546" s="170" t="s">
        <v>32</v>
      </c>
      <c r="E546" s="170">
        <v>50</v>
      </c>
      <c r="F546" s="170"/>
      <c r="G546" s="170"/>
      <c r="H546" s="171"/>
      <c r="I546" s="64" t="s">
        <v>576</v>
      </c>
    </row>
    <row r="547" spans="1:9" ht="17.25" x14ac:dyDescent="0.35">
      <c r="A547" s="169"/>
      <c r="B547" s="170"/>
      <c r="C547" s="170"/>
      <c r="D547" s="170" t="s">
        <v>32</v>
      </c>
      <c r="E547" s="170">
        <v>754</v>
      </c>
      <c r="F547" s="170"/>
      <c r="G547" s="170"/>
      <c r="H547" s="171"/>
      <c r="I547" s="64" t="s">
        <v>180</v>
      </c>
    </row>
    <row r="548" spans="1:9" ht="17.25" x14ac:dyDescent="0.35">
      <c r="A548" s="169" t="s">
        <v>577</v>
      </c>
      <c r="B548" s="170" t="s">
        <v>578</v>
      </c>
      <c r="C548" s="170" t="s">
        <v>136</v>
      </c>
      <c r="D548" s="170"/>
      <c r="E548" s="170"/>
      <c r="F548" s="170"/>
      <c r="G548" s="170" t="s">
        <v>30</v>
      </c>
      <c r="H548" s="171"/>
      <c r="I548" s="64">
        <v>71581</v>
      </c>
    </row>
    <row r="549" spans="1:9" ht="17.25" x14ac:dyDescent="0.35">
      <c r="A549" s="169"/>
      <c r="B549" s="170"/>
      <c r="C549" s="170"/>
      <c r="D549" s="170" t="s">
        <v>38</v>
      </c>
      <c r="E549" s="170">
        <v>1</v>
      </c>
      <c r="F549" s="170"/>
      <c r="G549" s="170"/>
      <c r="H549" s="171"/>
      <c r="I549" s="64" t="s">
        <v>450</v>
      </c>
    </row>
    <row r="550" spans="1:9" ht="17.25" x14ac:dyDescent="0.35">
      <c r="A550" s="169"/>
      <c r="B550" s="170"/>
      <c r="C550" s="170"/>
      <c r="D550" s="170" t="s">
        <v>38</v>
      </c>
      <c r="E550" s="170">
        <v>4</v>
      </c>
      <c r="F550" s="170"/>
      <c r="G550" s="170"/>
      <c r="H550" s="171"/>
      <c r="I550" s="64" t="s">
        <v>579</v>
      </c>
    </row>
    <row r="551" spans="1:9" ht="17.25" x14ac:dyDescent="0.35">
      <c r="A551" s="169"/>
      <c r="B551" s="170"/>
      <c r="C551" s="170"/>
      <c r="D551" s="170" t="s">
        <v>38</v>
      </c>
      <c r="E551" s="170">
        <v>4</v>
      </c>
      <c r="F551" s="170"/>
      <c r="G551" s="170"/>
      <c r="H551" s="171"/>
      <c r="I551" s="64" t="s">
        <v>580</v>
      </c>
    </row>
    <row r="552" spans="1:9" ht="17.25" x14ac:dyDescent="0.35">
      <c r="A552" s="169"/>
      <c r="B552" s="170"/>
      <c r="C552" s="170"/>
      <c r="D552" s="170" t="s">
        <v>38</v>
      </c>
      <c r="E552" s="170">
        <v>2</v>
      </c>
      <c r="F552" s="170"/>
      <c r="G552" s="170"/>
      <c r="H552" s="171"/>
      <c r="I552" s="64" t="s">
        <v>581</v>
      </c>
    </row>
    <row r="553" spans="1:9" ht="17.25" x14ac:dyDescent="0.35">
      <c r="A553" s="169"/>
      <c r="B553" s="170"/>
      <c r="C553" s="170"/>
      <c r="D553" s="170" t="s">
        <v>38</v>
      </c>
      <c r="E553" s="170">
        <v>2</v>
      </c>
      <c r="F553" s="170"/>
      <c r="G553" s="170"/>
      <c r="H553" s="171"/>
      <c r="I553" s="64" t="s">
        <v>582</v>
      </c>
    </row>
    <row r="554" spans="1:9" ht="17.25" x14ac:dyDescent="0.35">
      <c r="A554" s="169"/>
      <c r="B554" s="170"/>
      <c r="C554" s="170"/>
      <c r="D554" s="170" t="s">
        <v>38</v>
      </c>
      <c r="E554" s="170">
        <v>499</v>
      </c>
      <c r="F554" s="170"/>
      <c r="G554" s="170"/>
      <c r="H554" s="171"/>
      <c r="I554" s="64" t="s">
        <v>583</v>
      </c>
    </row>
    <row r="555" spans="1:9" ht="17.25" x14ac:dyDescent="0.35">
      <c r="A555" s="169" t="s">
        <v>584</v>
      </c>
      <c r="B555" s="170" t="s">
        <v>585</v>
      </c>
      <c r="C555" s="170" t="s">
        <v>136</v>
      </c>
      <c r="D555" s="170"/>
      <c r="E555" s="170"/>
      <c r="F555" s="170"/>
      <c r="G555" s="170" t="s">
        <v>30</v>
      </c>
      <c r="H555" s="171"/>
      <c r="I555" s="64">
        <v>71545</v>
      </c>
    </row>
    <row r="556" spans="1:9" ht="17.25" x14ac:dyDescent="0.35">
      <c r="A556" s="169"/>
      <c r="B556" s="170"/>
      <c r="C556" s="170"/>
      <c r="D556" s="170" t="s">
        <v>38</v>
      </c>
      <c r="E556" s="170">
        <v>1</v>
      </c>
      <c r="F556" s="170">
        <v>0</v>
      </c>
      <c r="G556" s="170"/>
      <c r="H556" s="171"/>
      <c r="I556" s="64" t="s">
        <v>245</v>
      </c>
    </row>
    <row r="557" spans="1:9" ht="17.25" x14ac:dyDescent="0.35">
      <c r="A557" s="169" t="s">
        <v>837</v>
      </c>
      <c r="B557" s="170" t="s">
        <v>838</v>
      </c>
      <c r="C557" s="170" t="s">
        <v>136</v>
      </c>
      <c r="D557" s="170"/>
      <c r="E557" s="170"/>
      <c r="F557" s="170"/>
      <c r="G557" s="170" t="s">
        <v>30</v>
      </c>
      <c r="H557" s="171"/>
      <c r="I557" s="64">
        <v>70360</v>
      </c>
    </row>
    <row r="558" spans="1:9" ht="17.25" x14ac:dyDescent="0.35">
      <c r="A558" s="169"/>
      <c r="B558" s="170"/>
      <c r="C558" s="170"/>
      <c r="D558" s="170" t="s">
        <v>38</v>
      </c>
      <c r="E558" s="170">
        <v>1</v>
      </c>
      <c r="F558" s="170">
        <v>1</v>
      </c>
      <c r="G558" s="170"/>
      <c r="H558" s="171"/>
      <c r="I558" s="64" t="s">
        <v>839</v>
      </c>
    </row>
    <row r="559" spans="1:9" ht="17.25" x14ac:dyDescent="0.35">
      <c r="A559" s="169" t="s">
        <v>586</v>
      </c>
      <c r="B559" s="170" t="s">
        <v>587</v>
      </c>
      <c r="C559" s="170" t="s">
        <v>136</v>
      </c>
      <c r="D559" s="170"/>
      <c r="E559" s="170"/>
      <c r="F559" s="170"/>
      <c r="G559" s="170" t="s">
        <v>30</v>
      </c>
      <c r="H559" s="171"/>
      <c r="I559" s="64">
        <v>71544</v>
      </c>
    </row>
    <row r="560" spans="1:9" ht="17.25" x14ac:dyDescent="0.35">
      <c r="A560" s="169"/>
      <c r="B560" s="170"/>
      <c r="C560" s="170"/>
      <c r="D560" s="170" t="s">
        <v>38</v>
      </c>
      <c r="E560" s="170">
        <v>1</v>
      </c>
      <c r="F560" s="170">
        <v>0</v>
      </c>
      <c r="G560" s="170"/>
      <c r="H560" s="171"/>
      <c r="I560" s="64" t="s">
        <v>245</v>
      </c>
    </row>
    <row r="561" spans="1:9" ht="17.25" x14ac:dyDescent="0.35">
      <c r="A561" s="169"/>
      <c r="B561" s="170"/>
      <c r="C561" s="170"/>
      <c r="D561" s="170" t="s">
        <v>32</v>
      </c>
      <c r="E561" s="170">
        <v>24</v>
      </c>
      <c r="F561" s="170"/>
      <c r="G561" s="170"/>
      <c r="H561" s="171"/>
      <c r="I561" s="64" t="s">
        <v>588</v>
      </c>
    </row>
    <row r="562" spans="1:9" ht="17.25" x14ac:dyDescent="0.35">
      <c r="A562" s="169" t="s">
        <v>589</v>
      </c>
      <c r="B562" s="170" t="s">
        <v>590</v>
      </c>
      <c r="C562" s="170" t="s">
        <v>136</v>
      </c>
      <c r="D562" s="170"/>
      <c r="E562" s="170"/>
      <c r="F562" s="170"/>
      <c r="G562" s="170" t="s">
        <v>30</v>
      </c>
      <c r="H562" s="171"/>
      <c r="I562" s="64">
        <v>71540</v>
      </c>
    </row>
    <row r="563" spans="1:9" ht="17.25" x14ac:dyDescent="0.35">
      <c r="A563" s="169"/>
      <c r="B563" s="170"/>
      <c r="C563" s="170"/>
      <c r="D563" s="170" t="s">
        <v>38</v>
      </c>
      <c r="E563" s="170">
        <v>1</v>
      </c>
      <c r="F563" s="170">
        <v>0</v>
      </c>
      <c r="G563" s="170"/>
      <c r="H563" s="171"/>
      <c r="I563" s="64" t="s">
        <v>245</v>
      </c>
    </row>
    <row r="564" spans="1:9" ht="17.25" x14ac:dyDescent="0.35">
      <c r="A564" s="169"/>
      <c r="B564" s="170"/>
      <c r="C564" s="170"/>
      <c r="D564" s="170" t="s">
        <v>38</v>
      </c>
      <c r="E564" s="170">
        <v>1</v>
      </c>
      <c r="F564" s="170">
        <v>1</v>
      </c>
      <c r="G564" s="170"/>
      <c r="H564" s="171"/>
      <c r="I564" s="64" t="s">
        <v>591</v>
      </c>
    </row>
    <row r="565" spans="1:9" ht="17.25" x14ac:dyDescent="0.35">
      <c r="A565" s="169"/>
      <c r="B565" s="170"/>
      <c r="C565" s="170"/>
      <c r="D565" s="170" t="s">
        <v>38</v>
      </c>
      <c r="E565" s="170">
        <v>509</v>
      </c>
      <c r="F565" s="170"/>
      <c r="G565" s="170"/>
      <c r="H565" s="171"/>
      <c r="I565" s="64" t="s">
        <v>180</v>
      </c>
    </row>
    <row r="566" spans="1:9" ht="17.25" x14ac:dyDescent="0.35">
      <c r="A566" s="169" t="s">
        <v>592</v>
      </c>
      <c r="B566" s="170" t="s">
        <v>593</v>
      </c>
      <c r="C566" s="170" t="s">
        <v>136</v>
      </c>
      <c r="D566" s="170"/>
      <c r="E566" s="170"/>
      <c r="F566" s="170"/>
      <c r="G566" s="170" t="s">
        <v>30</v>
      </c>
      <c r="H566" s="171"/>
      <c r="I566" s="64">
        <v>71572</v>
      </c>
    </row>
    <row r="567" spans="1:9" ht="17.25" x14ac:dyDescent="0.35">
      <c r="A567" s="169"/>
      <c r="B567" s="170"/>
      <c r="C567" s="170"/>
      <c r="D567" s="170" t="s">
        <v>38</v>
      </c>
      <c r="E567" s="170">
        <v>4</v>
      </c>
      <c r="F567" s="170">
        <v>8000</v>
      </c>
      <c r="G567" s="170"/>
      <c r="H567" s="171"/>
      <c r="I567" s="64" t="s">
        <v>594</v>
      </c>
    </row>
    <row r="568" spans="1:9" ht="17.25" x14ac:dyDescent="0.35">
      <c r="A568" s="169" t="s">
        <v>586</v>
      </c>
      <c r="B568" s="170" t="s">
        <v>595</v>
      </c>
      <c r="C568" s="170" t="s">
        <v>136</v>
      </c>
      <c r="D568" s="170"/>
      <c r="E568" s="170"/>
      <c r="F568" s="170"/>
      <c r="G568" s="170" t="s">
        <v>30</v>
      </c>
      <c r="H568" s="171"/>
      <c r="I568" s="64">
        <v>70235</v>
      </c>
    </row>
    <row r="569" spans="1:9" ht="17.25" x14ac:dyDescent="0.35">
      <c r="A569" s="169"/>
      <c r="B569" s="170"/>
      <c r="C569" s="170"/>
      <c r="D569" s="170" t="s">
        <v>38</v>
      </c>
      <c r="E569" s="170">
        <v>1</v>
      </c>
      <c r="F569" s="170">
        <v>0</v>
      </c>
      <c r="G569" s="170"/>
      <c r="H569" s="171"/>
      <c r="I569" s="64" t="s">
        <v>245</v>
      </c>
    </row>
    <row r="570" spans="1:9" ht="17.25" x14ac:dyDescent="0.35">
      <c r="A570" s="169"/>
      <c r="B570" s="170"/>
      <c r="C570" s="170"/>
      <c r="D570" s="170" t="s">
        <v>38</v>
      </c>
      <c r="E570" s="170">
        <v>2</v>
      </c>
      <c r="F570" s="170">
        <v>0</v>
      </c>
      <c r="G570" s="170"/>
      <c r="H570" s="171"/>
      <c r="I570" s="64" t="s">
        <v>596</v>
      </c>
    </row>
    <row r="571" spans="1:9" ht="17.25" x14ac:dyDescent="0.35">
      <c r="A571" s="169"/>
      <c r="B571" s="170"/>
      <c r="C571" s="170"/>
      <c r="D571" s="170" t="s">
        <v>38</v>
      </c>
      <c r="E571" s="170">
        <v>2</v>
      </c>
      <c r="F571" s="170">
        <v>0</v>
      </c>
      <c r="G571" s="170"/>
      <c r="H571" s="171"/>
      <c r="I571" s="64" t="s">
        <v>597</v>
      </c>
    </row>
    <row r="572" spans="1:9" ht="17.25" x14ac:dyDescent="0.35">
      <c r="A572" s="169"/>
      <c r="B572" s="170"/>
      <c r="C572" s="170"/>
      <c r="D572" s="170" t="s">
        <v>38</v>
      </c>
      <c r="E572" s="170">
        <v>2</v>
      </c>
      <c r="F572" s="170">
        <v>0</v>
      </c>
      <c r="G572" s="170"/>
      <c r="H572" s="171"/>
      <c r="I572" s="64" t="s">
        <v>598</v>
      </c>
    </row>
    <row r="573" spans="1:9" ht="17.25" x14ac:dyDescent="0.35">
      <c r="A573" s="169"/>
      <c r="B573" s="170"/>
      <c r="C573" s="170"/>
      <c r="D573" s="170" t="s">
        <v>38</v>
      </c>
      <c r="E573" s="170">
        <v>1017</v>
      </c>
      <c r="F573" s="170"/>
      <c r="G573" s="170"/>
      <c r="H573" s="171"/>
      <c r="I573" s="64" t="s">
        <v>180</v>
      </c>
    </row>
    <row r="574" spans="1:9" ht="17.25" x14ac:dyDescent="0.35">
      <c r="A574" s="169" t="s">
        <v>599</v>
      </c>
      <c r="B574" s="170" t="s">
        <v>600</v>
      </c>
      <c r="C574" s="170" t="s">
        <v>136</v>
      </c>
      <c r="D574" s="170"/>
      <c r="E574" s="170"/>
      <c r="F574" s="170"/>
      <c r="G574" s="170" t="s">
        <v>30</v>
      </c>
      <c r="H574" s="171"/>
      <c r="I574" s="64">
        <v>65958</v>
      </c>
    </row>
    <row r="575" spans="1:9" ht="17.25" x14ac:dyDescent="0.35">
      <c r="A575" s="169"/>
      <c r="B575" s="170"/>
      <c r="C575" s="170"/>
      <c r="D575" s="170" t="s">
        <v>38</v>
      </c>
      <c r="E575" s="170">
        <v>2</v>
      </c>
      <c r="F575" s="170"/>
      <c r="G575" s="170"/>
      <c r="H575" s="171"/>
      <c r="I575" s="64" t="s">
        <v>599</v>
      </c>
    </row>
    <row r="576" spans="1:9" ht="17.25" x14ac:dyDescent="0.35">
      <c r="A576" s="169" t="s">
        <v>601</v>
      </c>
      <c r="B576" s="170" t="s">
        <v>602</v>
      </c>
      <c r="C576" s="170" t="s">
        <v>136</v>
      </c>
      <c r="D576" s="170"/>
      <c r="E576" s="170"/>
      <c r="F576" s="170"/>
      <c r="G576" s="170" t="s">
        <v>30</v>
      </c>
      <c r="H576" s="171"/>
      <c r="I576" s="64">
        <v>72553</v>
      </c>
    </row>
    <row r="577" spans="1:9" ht="17.25" x14ac:dyDescent="0.35">
      <c r="A577" s="169"/>
      <c r="B577" s="170"/>
      <c r="C577" s="170"/>
      <c r="D577" s="170" t="s">
        <v>38</v>
      </c>
      <c r="E577" s="170">
        <v>1</v>
      </c>
      <c r="F577" s="170">
        <v>0</v>
      </c>
      <c r="G577" s="170"/>
      <c r="H577" s="171"/>
      <c r="I577" s="64" t="s">
        <v>601</v>
      </c>
    </row>
    <row r="578" spans="1:9" ht="17.25" x14ac:dyDescent="0.35">
      <c r="A578" s="169" t="s">
        <v>840</v>
      </c>
      <c r="B578" s="170" t="s">
        <v>604</v>
      </c>
      <c r="C578" s="170" t="s">
        <v>136</v>
      </c>
      <c r="D578" s="170"/>
      <c r="E578" s="170"/>
      <c r="F578" s="170"/>
      <c r="G578" s="170" t="s">
        <v>30</v>
      </c>
      <c r="H578" s="171"/>
      <c r="I578" s="178">
        <v>71597</v>
      </c>
    </row>
    <row r="579" spans="1:9" ht="17.25" x14ac:dyDescent="0.35">
      <c r="A579" s="169"/>
      <c r="B579" s="170"/>
      <c r="C579" s="170"/>
      <c r="D579" s="170" t="s">
        <v>38</v>
      </c>
      <c r="E579" s="170">
        <v>1</v>
      </c>
      <c r="F579" s="170">
        <v>1</v>
      </c>
      <c r="G579" s="170"/>
      <c r="H579" s="171"/>
      <c r="I579" s="178" t="s">
        <v>177</v>
      </c>
    </row>
    <row r="580" spans="1:9" ht="17.25" x14ac:dyDescent="0.35">
      <c r="A580" s="169"/>
      <c r="B580" s="170"/>
      <c r="C580" s="170"/>
      <c r="D580" s="170" t="s">
        <v>38</v>
      </c>
      <c r="E580" s="170">
        <v>1</v>
      </c>
      <c r="F580" s="170">
        <v>1</v>
      </c>
      <c r="G580" s="170"/>
      <c r="H580" s="171"/>
      <c r="I580" s="178" t="s">
        <v>841</v>
      </c>
    </row>
    <row r="581" spans="1:9" ht="17.25" x14ac:dyDescent="0.35">
      <c r="A581" s="169"/>
      <c r="B581" s="170"/>
      <c r="C581" s="170"/>
      <c r="D581" s="170" t="s">
        <v>38</v>
      </c>
      <c r="E581" s="170">
        <v>1</v>
      </c>
      <c r="F581" s="170">
        <v>1</v>
      </c>
      <c r="G581" s="170"/>
      <c r="H581" s="171"/>
      <c r="I581" s="178" t="s">
        <v>842</v>
      </c>
    </row>
    <row r="582" spans="1:9" ht="17.25" x14ac:dyDescent="0.35">
      <c r="A582" s="169"/>
      <c r="B582" s="170"/>
      <c r="C582" s="170"/>
      <c r="D582" s="170" t="s">
        <v>38</v>
      </c>
      <c r="E582" s="170">
        <v>1</v>
      </c>
      <c r="F582" s="170">
        <v>0</v>
      </c>
      <c r="G582" s="170"/>
      <c r="H582" s="171"/>
      <c r="I582" s="173" t="s">
        <v>606</v>
      </c>
    </row>
    <row r="583" spans="1:9" ht="17.25" x14ac:dyDescent="0.35">
      <c r="A583" s="169"/>
      <c r="B583" s="170"/>
      <c r="C583" s="170"/>
      <c r="D583" s="170" t="s">
        <v>38</v>
      </c>
      <c r="E583" s="170">
        <v>1</v>
      </c>
      <c r="F583" s="170">
        <v>0</v>
      </c>
      <c r="G583" s="170"/>
      <c r="H583" s="171"/>
      <c r="I583" s="173" t="s">
        <v>607</v>
      </c>
    </row>
    <row r="584" spans="1:9" ht="17.25" x14ac:dyDescent="0.35">
      <c r="A584" s="169"/>
      <c r="B584" s="170"/>
      <c r="C584" s="170"/>
      <c r="D584" s="170" t="s">
        <v>38</v>
      </c>
      <c r="E584" s="170">
        <v>27</v>
      </c>
      <c r="F584" s="170"/>
      <c r="G584" s="170"/>
      <c r="H584" s="171"/>
      <c r="I584" s="178" t="s">
        <v>180</v>
      </c>
    </row>
    <row r="585" spans="1:9" ht="17.25" x14ac:dyDescent="0.35">
      <c r="A585" s="169" t="s">
        <v>843</v>
      </c>
      <c r="B585" s="170" t="s">
        <v>844</v>
      </c>
      <c r="C585" s="170" t="s">
        <v>136</v>
      </c>
      <c r="D585" s="170"/>
      <c r="E585" s="170"/>
      <c r="F585" s="170"/>
      <c r="G585" s="170" t="s">
        <v>30</v>
      </c>
      <c r="H585" s="171"/>
      <c r="I585" s="173">
        <v>72610</v>
      </c>
    </row>
    <row r="586" spans="1:9" ht="17.25" x14ac:dyDescent="0.35">
      <c r="A586" s="169"/>
      <c r="B586" s="170"/>
      <c r="C586" s="170"/>
      <c r="D586" s="170" t="s">
        <v>38</v>
      </c>
      <c r="E586" s="170">
        <v>1</v>
      </c>
      <c r="F586" s="170">
        <v>1</v>
      </c>
      <c r="G586" s="170"/>
      <c r="H586" s="171"/>
      <c r="I586" s="173" t="s">
        <v>845</v>
      </c>
    </row>
    <row r="587" spans="1:9" ht="17.25" x14ac:dyDescent="0.35">
      <c r="A587" s="169"/>
      <c r="B587" s="170"/>
      <c r="C587" s="170"/>
      <c r="D587" s="170" t="s">
        <v>38</v>
      </c>
      <c r="E587" s="170">
        <v>1</v>
      </c>
      <c r="F587" s="170">
        <v>1</v>
      </c>
      <c r="G587" s="170"/>
      <c r="H587" s="171"/>
      <c r="I587" s="173" t="s">
        <v>846</v>
      </c>
    </row>
    <row r="588" spans="1:9" ht="17.25" x14ac:dyDescent="0.35">
      <c r="A588" s="169"/>
      <c r="B588" s="170"/>
      <c r="C588" s="170"/>
      <c r="D588" s="170" t="s">
        <v>38</v>
      </c>
      <c r="E588" s="170">
        <v>1</v>
      </c>
      <c r="F588" s="170">
        <v>1</v>
      </c>
      <c r="G588" s="170"/>
      <c r="H588" s="171"/>
      <c r="I588" s="173" t="s">
        <v>847</v>
      </c>
    </row>
    <row r="589" spans="1:9" ht="17.25" x14ac:dyDescent="0.35">
      <c r="A589" s="169"/>
      <c r="B589" s="170"/>
      <c r="C589" s="170"/>
      <c r="D589" s="170" t="s">
        <v>38</v>
      </c>
      <c r="E589" s="170">
        <v>1</v>
      </c>
      <c r="F589" s="170">
        <v>1</v>
      </c>
      <c r="G589" s="170"/>
      <c r="H589" s="171"/>
      <c r="I589" s="173" t="s">
        <v>848</v>
      </c>
    </row>
    <row r="590" spans="1:9" ht="17.25" x14ac:dyDescent="0.35">
      <c r="A590" s="169"/>
      <c r="B590" s="170"/>
      <c r="C590" s="170"/>
      <c r="D590" s="170" t="s">
        <v>38</v>
      </c>
      <c r="E590" s="170">
        <v>2</v>
      </c>
      <c r="F590" s="170">
        <v>90</v>
      </c>
      <c r="G590" s="170"/>
      <c r="H590" s="171"/>
      <c r="I590" s="173" t="s">
        <v>849</v>
      </c>
    </row>
    <row r="591" spans="1:9" ht="17.25" x14ac:dyDescent="0.35">
      <c r="A591" s="169"/>
      <c r="B591" s="170"/>
      <c r="C591" s="170"/>
      <c r="D591" s="170" t="s">
        <v>38</v>
      </c>
      <c r="E591" s="170">
        <v>2</v>
      </c>
      <c r="F591" s="170">
        <v>0</v>
      </c>
      <c r="G591" s="170"/>
      <c r="H591" s="171"/>
      <c r="I591" s="173" t="s">
        <v>850</v>
      </c>
    </row>
    <row r="592" spans="1:9" ht="17.25" x14ac:dyDescent="0.35">
      <c r="A592" s="169"/>
      <c r="B592" s="170"/>
      <c r="C592" s="170"/>
      <c r="D592" s="170" t="s">
        <v>38</v>
      </c>
      <c r="E592" s="170">
        <v>2</v>
      </c>
      <c r="F592" s="170">
        <v>0</v>
      </c>
      <c r="G592" s="170"/>
      <c r="H592" s="171"/>
      <c r="I592" s="173" t="s">
        <v>851</v>
      </c>
    </row>
    <row r="593" spans="1:9" ht="17.25" x14ac:dyDescent="0.35">
      <c r="A593" s="169" t="s">
        <v>852</v>
      </c>
      <c r="B593" s="170" t="s">
        <v>853</v>
      </c>
      <c r="C593" s="170" t="s">
        <v>136</v>
      </c>
      <c r="D593" s="170"/>
      <c r="E593" s="170"/>
      <c r="F593" s="170"/>
      <c r="G593" s="170" t="s">
        <v>30</v>
      </c>
      <c r="H593" s="171"/>
      <c r="I593" s="64">
        <v>72607</v>
      </c>
    </row>
    <row r="594" spans="1:9" ht="17.25" x14ac:dyDescent="0.35">
      <c r="A594" s="169"/>
      <c r="B594" s="170"/>
      <c r="C594" s="170"/>
      <c r="D594" s="170" t="s">
        <v>38</v>
      </c>
      <c r="E594" s="170">
        <v>4</v>
      </c>
      <c r="F594" s="170">
        <v>35000</v>
      </c>
      <c r="G594" s="170"/>
      <c r="H594" s="171"/>
      <c r="I594" s="64" t="s">
        <v>854</v>
      </c>
    </row>
    <row r="595" spans="1:9" ht="17.25" x14ac:dyDescent="0.35">
      <c r="A595" s="169" t="s">
        <v>855</v>
      </c>
      <c r="B595" s="170" t="s">
        <v>856</v>
      </c>
      <c r="C595" s="170" t="s">
        <v>136</v>
      </c>
      <c r="D595" s="170"/>
      <c r="E595" s="170"/>
      <c r="F595" s="170"/>
      <c r="G595" s="170" t="s">
        <v>30</v>
      </c>
      <c r="H595" s="171"/>
      <c r="I595" s="64">
        <v>72538</v>
      </c>
    </row>
    <row r="596" spans="1:9" ht="17.25" x14ac:dyDescent="0.35">
      <c r="A596" s="169"/>
      <c r="B596" s="170"/>
      <c r="C596" s="170"/>
      <c r="D596" s="170" t="s">
        <v>38</v>
      </c>
      <c r="E596" s="170">
        <v>2</v>
      </c>
      <c r="F596" s="170">
        <v>0</v>
      </c>
      <c r="G596" s="170"/>
      <c r="H596" s="171"/>
      <c r="I596" s="64" t="s">
        <v>857</v>
      </c>
    </row>
    <row r="597" spans="1:9" ht="17.25" x14ac:dyDescent="0.35">
      <c r="A597" s="169"/>
      <c r="B597" s="170"/>
      <c r="C597" s="170"/>
      <c r="D597" s="170" t="s">
        <v>38</v>
      </c>
      <c r="E597" s="170">
        <v>2</v>
      </c>
      <c r="F597" s="170">
        <v>0</v>
      </c>
      <c r="G597" s="170"/>
      <c r="H597" s="171"/>
      <c r="I597" s="64" t="s">
        <v>858</v>
      </c>
    </row>
    <row r="598" spans="1:9" ht="17.25" x14ac:dyDescent="0.35">
      <c r="A598" s="169"/>
      <c r="B598" s="170"/>
      <c r="C598" s="170"/>
      <c r="D598" s="170"/>
      <c r="E598" s="170"/>
      <c r="F598" s="170"/>
      <c r="G598" s="170"/>
      <c r="H598" s="171"/>
      <c r="I598" s="64"/>
    </row>
    <row r="599" spans="1:9" ht="17.25" x14ac:dyDescent="0.35">
      <c r="A599" s="169" t="s">
        <v>859</v>
      </c>
      <c r="B599" s="170" t="s">
        <v>860</v>
      </c>
      <c r="C599" s="170" t="s">
        <v>136</v>
      </c>
      <c r="D599" s="170"/>
      <c r="E599" s="170"/>
      <c r="F599" s="170"/>
      <c r="G599" s="170" t="s">
        <v>30</v>
      </c>
      <c r="H599" s="171"/>
      <c r="I599" s="64">
        <v>72539</v>
      </c>
    </row>
    <row r="600" spans="1:9" ht="15.75" customHeight="1" x14ac:dyDescent="0.35">
      <c r="A600" s="169"/>
      <c r="B600" s="170"/>
      <c r="C600" s="170"/>
      <c r="D600" s="170" t="s">
        <v>38</v>
      </c>
      <c r="E600" s="170">
        <v>1</v>
      </c>
      <c r="F600" s="170">
        <v>1</v>
      </c>
      <c r="G600" s="170"/>
      <c r="H600" s="171"/>
      <c r="I600" s="64" t="s">
        <v>861</v>
      </c>
    </row>
    <row r="601" spans="1:9" ht="19.5" x14ac:dyDescent="0.4">
      <c r="A601" s="169" t="s">
        <v>608</v>
      </c>
      <c r="B601" s="170" t="s">
        <v>609</v>
      </c>
      <c r="C601" s="170" t="s">
        <v>136</v>
      </c>
      <c r="D601" s="170"/>
      <c r="E601" s="170"/>
      <c r="F601" s="170"/>
      <c r="G601" s="170" t="s">
        <v>30</v>
      </c>
      <c r="H601" s="171"/>
      <c r="I601" s="81"/>
    </row>
    <row r="602" spans="1:9" ht="19.5" x14ac:dyDescent="0.4">
      <c r="A602" s="169"/>
      <c r="B602" s="170"/>
      <c r="C602" s="170"/>
      <c r="D602" s="170" t="s">
        <v>38</v>
      </c>
      <c r="E602" s="170">
        <v>1</v>
      </c>
      <c r="F602" s="170">
        <v>1</v>
      </c>
      <c r="G602" s="170"/>
      <c r="H602" s="171"/>
      <c r="I602" s="81"/>
    </row>
    <row r="603" spans="1:9" ht="18" thickBot="1" x14ac:dyDescent="0.4">
      <c r="A603" s="179"/>
      <c r="B603" s="180"/>
      <c r="C603" s="180"/>
      <c r="D603" s="180"/>
      <c r="E603" s="180"/>
      <c r="F603" s="180"/>
      <c r="G603" s="180"/>
      <c r="H603" s="181"/>
      <c r="I603" s="67"/>
    </row>
    <row r="604" spans="1:9" ht="13.5" thickBot="1" x14ac:dyDescent="0.25">
      <c r="A604" s="54"/>
      <c r="B604" s="54"/>
      <c r="C604" s="54"/>
      <c r="D604" s="54"/>
      <c r="E604" s="54"/>
      <c r="F604" s="182"/>
      <c r="G604" s="54"/>
      <c r="H604" s="183"/>
      <c r="I604" s="54"/>
    </row>
    <row r="605" spans="1:9" ht="20.25" thickBot="1" x14ac:dyDescent="0.45">
      <c r="A605" s="222" t="s">
        <v>610</v>
      </c>
      <c r="B605" s="223"/>
      <c r="C605" s="223"/>
      <c r="D605" s="223"/>
      <c r="E605" s="223"/>
      <c r="F605" s="224"/>
      <c r="G605" s="223"/>
      <c r="H605" s="225"/>
      <c r="I605" s="54"/>
    </row>
    <row r="606" spans="1:9" ht="15.75" thickBot="1" x14ac:dyDescent="0.35">
      <c r="A606" s="59" t="s">
        <v>611</v>
      </c>
      <c r="B606" s="60"/>
      <c r="C606" s="60" t="s">
        <v>22</v>
      </c>
      <c r="D606" s="59" t="s">
        <v>612</v>
      </c>
      <c r="E606" s="59" t="s">
        <v>613</v>
      </c>
      <c r="F606" s="59" t="s">
        <v>614</v>
      </c>
      <c r="G606" s="61" t="s">
        <v>26</v>
      </c>
      <c r="H606" s="184"/>
      <c r="I606" s="54"/>
    </row>
    <row r="607" spans="1:9" ht="17.25" x14ac:dyDescent="0.35">
      <c r="A607" s="185" t="s">
        <v>862</v>
      </c>
      <c r="B607" s="186"/>
      <c r="C607" s="187" t="s">
        <v>616</v>
      </c>
      <c r="D607" s="187"/>
      <c r="E607" s="187"/>
      <c r="F607" s="187"/>
      <c r="G607" s="187" t="s">
        <v>77</v>
      </c>
      <c r="H607" s="188"/>
      <c r="I607" s="54"/>
    </row>
    <row r="608" spans="1:9" ht="17.25" x14ac:dyDescent="0.35">
      <c r="A608" s="134" t="s">
        <v>617</v>
      </c>
      <c r="B608" s="135"/>
      <c r="C608" s="123"/>
      <c r="D608" s="123" t="s">
        <v>38</v>
      </c>
      <c r="E608" s="123">
        <v>1</v>
      </c>
      <c r="F608" s="123">
        <v>0</v>
      </c>
      <c r="G608" s="123"/>
      <c r="H608" s="121"/>
      <c r="I608" s="54"/>
    </row>
    <row r="609" spans="1:9" ht="17.25" x14ac:dyDescent="0.35">
      <c r="A609" s="134" t="s">
        <v>618</v>
      </c>
      <c r="B609" s="135"/>
      <c r="C609" s="123"/>
      <c r="D609" s="123" t="s">
        <v>38</v>
      </c>
      <c r="E609" s="123">
        <v>2</v>
      </c>
      <c r="F609" s="123">
        <v>2</v>
      </c>
      <c r="G609" s="123"/>
      <c r="H609" s="121"/>
      <c r="I609" s="54"/>
    </row>
    <row r="610" spans="1:9" ht="17.25" x14ac:dyDescent="0.35">
      <c r="A610" s="134" t="s">
        <v>619</v>
      </c>
      <c r="B610" s="135"/>
      <c r="C610" s="123"/>
      <c r="D610" s="123" t="s">
        <v>38</v>
      </c>
      <c r="E610" s="123">
        <v>2</v>
      </c>
      <c r="F610" s="123" t="s">
        <v>620</v>
      </c>
      <c r="G610" s="123"/>
      <c r="H610" s="121"/>
      <c r="I610" s="54"/>
    </row>
    <row r="611" spans="1:9" ht="17.25" x14ac:dyDescent="0.35">
      <c r="A611" s="134" t="s">
        <v>621</v>
      </c>
      <c r="B611" s="135"/>
      <c r="C611" s="123"/>
      <c r="D611" s="123" t="s">
        <v>38</v>
      </c>
      <c r="E611" s="123">
        <v>1</v>
      </c>
      <c r="F611" s="123" t="s">
        <v>622</v>
      </c>
      <c r="G611" s="123"/>
      <c r="H611" s="121"/>
      <c r="I611" s="54"/>
    </row>
    <row r="612" spans="1:9" ht="17.25" x14ac:dyDescent="0.35">
      <c r="A612" s="134" t="s">
        <v>623</v>
      </c>
      <c r="B612" s="135"/>
      <c r="C612" s="123"/>
      <c r="D612" s="123" t="s">
        <v>38</v>
      </c>
      <c r="E612" s="123">
        <v>2</v>
      </c>
      <c r="F612" s="123">
        <v>4</v>
      </c>
      <c r="G612" s="123"/>
      <c r="H612" s="121"/>
      <c r="I612" s="54"/>
    </row>
    <row r="613" spans="1:9" ht="17.25" x14ac:dyDescent="0.35">
      <c r="A613" s="131" t="s">
        <v>624</v>
      </c>
      <c r="B613" s="132"/>
      <c r="C613" s="133"/>
      <c r="D613" s="133" t="s">
        <v>38</v>
      </c>
      <c r="E613" s="133">
        <f>F612</f>
        <v>4</v>
      </c>
      <c r="F613" s="133" t="s">
        <v>903</v>
      </c>
      <c r="G613" s="123"/>
      <c r="H613" s="121"/>
      <c r="I613" s="54"/>
    </row>
    <row r="614" spans="1:9" ht="17.25" x14ac:dyDescent="0.35">
      <c r="A614" s="134" t="s">
        <v>625</v>
      </c>
      <c r="B614" s="135"/>
      <c r="C614" s="123"/>
      <c r="D614" s="123" t="s">
        <v>38</v>
      </c>
      <c r="E614" s="123">
        <v>1</v>
      </c>
      <c r="F614" s="123" t="s">
        <v>111</v>
      </c>
      <c r="G614" s="123"/>
      <c r="H614" s="121"/>
      <c r="I614" s="54"/>
    </row>
    <row r="615" spans="1:9" ht="17.25" x14ac:dyDescent="0.35">
      <c r="A615" s="134" t="s">
        <v>626</v>
      </c>
      <c r="B615" s="135"/>
      <c r="C615" s="123"/>
      <c r="D615" s="123" t="s">
        <v>38</v>
      </c>
      <c r="E615" s="123">
        <v>2</v>
      </c>
      <c r="F615" s="123">
        <f>LEN(F616)</f>
        <v>15</v>
      </c>
      <c r="G615" s="123"/>
      <c r="H615" s="121"/>
      <c r="I615" s="54"/>
    </row>
    <row r="616" spans="1:9" ht="17.25" x14ac:dyDescent="0.35">
      <c r="A616" s="134" t="s">
        <v>627</v>
      </c>
      <c r="B616" s="135"/>
      <c r="C616" s="123"/>
      <c r="D616" s="123" t="s">
        <v>32</v>
      </c>
      <c r="E616" s="123">
        <f>F615</f>
        <v>15</v>
      </c>
      <c r="F616" s="123" t="s">
        <v>863</v>
      </c>
      <c r="G616" s="123"/>
      <c r="H616" s="121" t="s">
        <v>629</v>
      </c>
      <c r="I616" s="54"/>
    </row>
    <row r="617" spans="1:9" ht="17.25" x14ac:dyDescent="0.35">
      <c r="A617" s="134" t="s">
        <v>630</v>
      </c>
      <c r="B617" s="135"/>
      <c r="C617" s="123"/>
      <c r="D617" s="123" t="s">
        <v>38</v>
      </c>
      <c r="E617" s="123">
        <v>1</v>
      </c>
      <c r="F617" s="123" t="s">
        <v>631</v>
      </c>
      <c r="G617" s="123"/>
      <c r="H617" s="121"/>
      <c r="I617" s="54"/>
    </row>
    <row r="618" spans="1:9" ht="17.25" x14ac:dyDescent="0.35">
      <c r="A618" s="134" t="s">
        <v>632</v>
      </c>
      <c r="B618" s="135"/>
      <c r="C618" s="123"/>
      <c r="D618" s="123" t="s">
        <v>38</v>
      </c>
      <c r="E618" s="123">
        <v>2</v>
      </c>
      <c r="F618" s="123">
        <f>SUM(E619:E620)+F620*E621</f>
        <v>10</v>
      </c>
      <c r="G618" s="123"/>
      <c r="H618" s="121"/>
      <c r="I618" s="54"/>
    </row>
    <row r="619" spans="1:9" ht="17.25" x14ac:dyDescent="0.35">
      <c r="A619" s="134" t="s">
        <v>633</v>
      </c>
      <c r="B619" s="135"/>
      <c r="C619" s="123"/>
      <c r="D619" s="123" t="s">
        <v>38</v>
      </c>
      <c r="E619" s="123">
        <v>1</v>
      </c>
      <c r="F619" s="123">
        <v>0</v>
      </c>
      <c r="G619" s="123"/>
      <c r="H619" s="121"/>
      <c r="I619" s="54"/>
    </row>
    <row r="620" spans="1:9" ht="17.25" x14ac:dyDescent="0.35">
      <c r="A620" s="134" t="s">
        <v>634</v>
      </c>
      <c r="B620" s="135"/>
      <c r="C620" s="123"/>
      <c r="D620" s="123" t="s">
        <v>38</v>
      </c>
      <c r="E620" s="123">
        <v>1</v>
      </c>
      <c r="F620" s="123">
        <f>IF(F621="", 0, LEN(F621)-LEN(SUBSTITUTE(F621,",",""))+1)</f>
        <v>2</v>
      </c>
      <c r="G620" s="123"/>
      <c r="H620" s="121"/>
      <c r="I620" s="54"/>
    </row>
    <row r="621" spans="1:9" ht="17.25" x14ac:dyDescent="0.35">
      <c r="A621" s="134" t="s">
        <v>635</v>
      </c>
      <c r="B621" s="135"/>
      <c r="C621" s="123"/>
      <c r="D621" s="123" t="s">
        <v>636</v>
      </c>
      <c r="E621" s="123">
        <v>4</v>
      </c>
      <c r="F621" s="123" t="s">
        <v>864</v>
      </c>
      <c r="G621" s="123"/>
      <c r="H621" s="121"/>
      <c r="I621" s="54"/>
    </row>
    <row r="622" spans="1:9" ht="17.25" x14ac:dyDescent="0.35">
      <c r="A622" s="134" t="s">
        <v>638</v>
      </c>
      <c r="B622" s="135"/>
      <c r="C622" s="123"/>
      <c r="D622" s="123" t="s">
        <v>38</v>
      </c>
      <c r="E622" s="123">
        <v>1</v>
      </c>
      <c r="F622" s="123" t="s">
        <v>639</v>
      </c>
      <c r="G622" s="123"/>
      <c r="H622" s="121"/>
      <c r="I622" s="54"/>
    </row>
    <row r="623" spans="1:9" ht="17.25" x14ac:dyDescent="0.35">
      <c r="A623" s="134" t="s">
        <v>640</v>
      </c>
      <c r="B623" s="135"/>
      <c r="C623" s="123"/>
      <c r="D623" s="123" t="s">
        <v>38</v>
      </c>
      <c r="E623" s="123">
        <v>2</v>
      </c>
      <c r="F623" s="123">
        <v>4</v>
      </c>
      <c r="G623" s="123"/>
      <c r="H623" s="121"/>
      <c r="I623" s="54"/>
    </row>
    <row r="624" spans="1:9" ht="17.25" x14ac:dyDescent="0.35">
      <c r="A624" s="131" t="s">
        <v>641</v>
      </c>
      <c r="B624" s="132"/>
      <c r="C624" s="133"/>
      <c r="D624" s="133" t="s">
        <v>38</v>
      </c>
      <c r="E624" s="133">
        <v>4</v>
      </c>
      <c r="F624" s="133" t="str">
        <f>$F$613</f>
        <v>0x05012522</v>
      </c>
      <c r="G624" s="123"/>
      <c r="H624" s="121"/>
      <c r="I624" s="54"/>
    </row>
    <row r="625" spans="1:9" ht="17.25" x14ac:dyDescent="0.35">
      <c r="A625" s="189" t="s">
        <v>727</v>
      </c>
      <c r="B625" s="190"/>
      <c r="C625" s="123"/>
      <c r="D625" s="123" t="s">
        <v>38</v>
      </c>
      <c r="E625" s="123">
        <v>1</v>
      </c>
      <c r="F625" s="123" t="s">
        <v>76</v>
      </c>
      <c r="G625" s="123"/>
      <c r="H625" s="191"/>
      <c r="I625" s="54"/>
    </row>
    <row r="626" spans="1:9" ht="17.25" x14ac:dyDescent="0.35">
      <c r="A626" s="189" t="s">
        <v>728</v>
      </c>
      <c r="B626" s="190"/>
      <c r="C626" s="123"/>
      <c r="D626" s="123" t="s">
        <v>38</v>
      </c>
      <c r="E626" s="123">
        <v>2</v>
      </c>
      <c r="F626" s="138">
        <f>SUM(E627:E628)+F628*E629*2</f>
        <v>10</v>
      </c>
      <c r="G626" s="123"/>
      <c r="H626" s="191"/>
      <c r="I626" s="54"/>
    </row>
    <row r="627" spans="1:9" ht="17.25" x14ac:dyDescent="0.35">
      <c r="A627" s="189" t="s">
        <v>729</v>
      </c>
      <c r="B627" s="190"/>
      <c r="C627" s="123"/>
      <c r="D627" s="123" t="s">
        <v>38</v>
      </c>
      <c r="E627" s="123">
        <v>1</v>
      </c>
      <c r="F627" s="123">
        <v>0</v>
      </c>
      <c r="G627" s="123"/>
      <c r="H627" s="191"/>
      <c r="I627" s="54"/>
    </row>
    <row r="628" spans="1:9" ht="17.25" x14ac:dyDescent="0.35">
      <c r="A628" s="189" t="s">
        <v>731</v>
      </c>
      <c r="B628" s="190"/>
      <c r="C628" s="123"/>
      <c r="D628" s="123" t="s">
        <v>38</v>
      </c>
      <c r="E628" s="123">
        <v>1</v>
      </c>
      <c r="F628" s="123">
        <f>LEN(F629)-LEN(SUBSTITUTE(F629,"-",""))</f>
        <v>2</v>
      </c>
      <c r="G628" s="123"/>
      <c r="H628" s="191"/>
      <c r="I628" s="54"/>
    </row>
    <row r="629" spans="1:9" ht="17.25" x14ac:dyDescent="0.35">
      <c r="A629" s="189" t="s">
        <v>733</v>
      </c>
      <c r="B629" s="190"/>
      <c r="C629" s="123"/>
      <c r="D629" s="123" t="s">
        <v>636</v>
      </c>
      <c r="E629" s="123">
        <v>2</v>
      </c>
      <c r="F629" s="192" t="s">
        <v>865</v>
      </c>
      <c r="G629" s="123"/>
      <c r="H629" s="191"/>
      <c r="I629" s="54"/>
    </row>
    <row r="630" spans="1:9" ht="17.25" x14ac:dyDescent="0.35">
      <c r="A630" s="193" t="s">
        <v>720</v>
      </c>
      <c r="B630" s="194"/>
      <c r="C630" s="195"/>
      <c r="D630" s="195" t="s">
        <v>38</v>
      </c>
      <c r="E630" s="195">
        <v>1</v>
      </c>
      <c r="F630" s="196" t="s">
        <v>721</v>
      </c>
      <c r="G630" s="195"/>
      <c r="H630" s="197"/>
      <c r="I630" s="54"/>
    </row>
    <row r="631" spans="1:9" ht="17.25" x14ac:dyDescent="0.35">
      <c r="A631" s="193" t="s">
        <v>722</v>
      </c>
      <c r="B631" s="194"/>
      <c r="C631" s="195"/>
      <c r="D631" s="195" t="s">
        <v>38</v>
      </c>
      <c r="E631" s="195">
        <v>2</v>
      </c>
      <c r="F631" s="196">
        <v>4</v>
      </c>
      <c r="G631" s="195"/>
      <c r="H631" s="197"/>
    </row>
    <row r="632" spans="1:9" ht="138.75" thickBot="1" x14ac:dyDescent="0.4">
      <c r="A632" s="198" t="s">
        <v>723</v>
      </c>
      <c r="B632" s="199"/>
      <c r="C632" s="200"/>
      <c r="D632" s="200" t="s">
        <v>38</v>
      </c>
      <c r="E632" s="200">
        <v>4</v>
      </c>
      <c r="F632" s="201" t="s">
        <v>866</v>
      </c>
      <c r="G632" s="200"/>
      <c r="H632" s="202" t="s">
        <v>725</v>
      </c>
    </row>
  </sheetData>
  <mergeCells count="4">
    <mergeCell ref="A2:I2"/>
    <mergeCell ref="A4:H4"/>
    <mergeCell ref="A67:I67"/>
    <mergeCell ref="A605:H605"/>
  </mergeCells>
  <conditionalFormatting sqref="B633:B1048576 B604:B624 B1:B31 B65:B66 B68">
    <cfRule type="duplicateValues" dxfId="1" priority="1"/>
  </conditionalFormatting>
  <conditionalFormatting sqref="B32:B64">
    <cfRule type="duplicateValues" dxfId="0" priority="2"/>
  </conditionalFormatting>
  <pageMargins left="0.75" right="0.75" top="1" bottom="1" header="0.5" footer="0.5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2:M47"/>
  <sheetViews>
    <sheetView zoomScale="80" zoomScaleNormal="80" workbookViewId="0">
      <selection activeCell="G29" sqref="G29"/>
    </sheetView>
  </sheetViews>
  <sheetFormatPr defaultColWidth="11.42578125" defaultRowHeight="12.75" x14ac:dyDescent="0.2"/>
  <cols>
    <col min="1" max="1" width="2.85546875" style="42" customWidth="1"/>
    <col min="2" max="2" width="11.7109375" style="42" customWidth="1"/>
    <col min="3" max="3" width="12.85546875" style="43" bestFit="1" customWidth="1"/>
    <col min="4" max="4" width="56.28515625" style="43" bestFit="1" customWidth="1"/>
    <col min="5" max="5" width="20.5703125" style="43" customWidth="1"/>
    <col min="6" max="7" width="57.7109375" style="43" customWidth="1"/>
    <col min="8" max="8" width="53.28515625" style="43" customWidth="1"/>
    <col min="9" max="12" width="9.140625" style="42" customWidth="1"/>
    <col min="13" max="13" width="10.85546875" style="42" bestFit="1" customWidth="1"/>
  </cols>
  <sheetData>
    <row r="2" spans="2:8" s="10" customFormat="1" ht="45" customHeight="1" x14ac:dyDescent="0.55000000000000004">
      <c r="B2" s="23" t="s">
        <v>642</v>
      </c>
      <c r="C2" s="23"/>
      <c r="D2" s="23"/>
      <c r="E2" s="23"/>
      <c r="F2" s="23"/>
      <c r="G2" s="23"/>
      <c r="H2" s="23"/>
    </row>
    <row r="3" spans="2:8" ht="13.5" customHeight="1" x14ac:dyDescent="0.2"/>
    <row r="4" spans="2:8" ht="15.75" customHeight="1" x14ac:dyDescent="0.3">
      <c r="D4" s="38" t="s">
        <v>643</v>
      </c>
      <c r="E4" s="38"/>
    </row>
    <row r="5" spans="2:8" x14ac:dyDescent="0.2">
      <c r="D5" t="s">
        <v>644</v>
      </c>
      <c r="E5" s="43">
        <v>2</v>
      </c>
    </row>
    <row r="6" spans="2:8" x14ac:dyDescent="0.2">
      <c r="D6" t="s">
        <v>645</v>
      </c>
      <c r="E6" s="43">
        <v>255</v>
      </c>
    </row>
    <row r="7" spans="2:8" ht="13.5" customHeight="1" x14ac:dyDescent="0.2"/>
    <row r="8" spans="2:8" s="13" customFormat="1" ht="15.75" customHeight="1" x14ac:dyDescent="0.3">
      <c r="B8" s="11" t="s">
        <v>646</v>
      </c>
      <c r="C8" s="15" t="s">
        <v>647</v>
      </c>
      <c r="D8" s="15" t="s">
        <v>648</v>
      </c>
      <c r="E8" s="15" t="s">
        <v>649</v>
      </c>
      <c r="F8" s="17" t="s">
        <v>650</v>
      </c>
      <c r="G8" s="16" t="s">
        <v>651</v>
      </c>
      <c r="H8" s="16" t="s">
        <v>652</v>
      </c>
    </row>
    <row r="9" spans="2:8" s="24" customFormat="1" ht="15" customHeight="1" x14ac:dyDescent="0.3">
      <c r="B9" s="25"/>
      <c r="C9" s="26"/>
      <c r="D9" s="19"/>
      <c r="E9" s="19"/>
      <c r="F9" s="47"/>
      <c r="G9" s="28"/>
      <c r="H9" s="27"/>
    </row>
    <row r="10" spans="2:8" s="24" customFormat="1" ht="15" customHeight="1" x14ac:dyDescent="0.3">
      <c r="B10" s="25">
        <v>1</v>
      </c>
      <c r="C10" s="26">
        <v>42053</v>
      </c>
      <c r="D10" s="19" t="s">
        <v>653</v>
      </c>
      <c r="E10" s="19">
        <v>786201</v>
      </c>
      <c r="F10" s="48"/>
      <c r="G10" s="19" t="s">
        <v>654</v>
      </c>
      <c r="H10" s="49" t="s">
        <v>655</v>
      </c>
    </row>
    <row r="11" spans="2:8" s="24" customFormat="1" ht="15" customHeight="1" x14ac:dyDescent="0.3">
      <c r="B11" s="25">
        <v>2</v>
      </c>
      <c r="C11" s="26">
        <v>42296</v>
      </c>
      <c r="D11" s="19" t="s">
        <v>696</v>
      </c>
      <c r="E11" s="19">
        <v>922625</v>
      </c>
      <c r="F11" s="48"/>
      <c r="G11" s="19" t="s">
        <v>697</v>
      </c>
      <c r="H11" s="49" t="s">
        <v>655</v>
      </c>
    </row>
    <row r="12" spans="2:8" s="24" customFormat="1" ht="15" customHeight="1" x14ac:dyDescent="0.3">
      <c r="B12" s="25">
        <v>3</v>
      </c>
      <c r="C12" s="26">
        <v>42317</v>
      </c>
      <c r="D12" s="19" t="s">
        <v>703</v>
      </c>
      <c r="E12" s="19">
        <v>936684</v>
      </c>
      <c r="F12" s="48" t="s">
        <v>704</v>
      </c>
      <c r="G12" s="19" t="s">
        <v>702</v>
      </c>
      <c r="H12" s="49" t="s">
        <v>705</v>
      </c>
    </row>
    <row r="13" spans="2:8" s="24" customFormat="1" ht="15" customHeight="1" x14ac:dyDescent="0.3">
      <c r="B13" s="25">
        <v>4</v>
      </c>
      <c r="C13" s="26">
        <v>42334</v>
      </c>
      <c r="D13" s="19" t="s">
        <v>706</v>
      </c>
      <c r="E13" s="19">
        <v>942845</v>
      </c>
      <c r="F13" s="48" t="s">
        <v>707</v>
      </c>
      <c r="G13" s="19" t="s">
        <v>708</v>
      </c>
      <c r="H13" s="49" t="s">
        <v>709</v>
      </c>
    </row>
    <row r="14" spans="2:8" s="24" customFormat="1" ht="15" customHeight="1" x14ac:dyDescent="0.3">
      <c r="B14" s="25">
        <v>5</v>
      </c>
      <c r="C14" s="26">
        <v>42391</v>
      </c>
      <c r="D14" s="19" t="s">
        <v>710</v>
      </c>
      <c r="E14" s="19">
        <v>963225</v>
      </c>
      <c r="F14" s="48" t="s">
        <v>711</v>
      </c>
      <c r="G14" s="19" t="s">
        <v>712</v>
      </c>
      <c r="H14" s="49" t="s">
        <v>713</v>
      </c>
    </row>
    <row r="15" spans="2:8" s="24" customFormat="1" ht="15" customHeight="1" x14ac:dyDescent="0.3">
      <c r="B15" s="25">
        <v>6</v>
      </c>
      <c r="C15" s="26">
        <v>42404</v>
      </c>
      <c r="D15" s="19" t="s">
        <v>706</v>
      </c>
      <c r="E15" s="19">
        <v>936682</v>
      </c>
      <c r="F15" s="48" t="s">
        <v>716</v>
      </c>
      <c r="G15" s="19" t="s">
        <v>715</v>
      </c>
      <c r="H15" s="49" t="s">
        <v>709</v>
      </c>
    </row>
    <row r="16" spans="2:8" s="24" customFormat="1" ht="15" customHeight="1" x14ac:dyDescent="0.3">
      <c r="B16" s="25">
        <v>7</v>
      </c>
      <c r="C16" s="26">
        <v>42424</v>
      </c>
      <c r="D16" s="19" t="s">
        <v>703</v>
      </c>
      <c r="E16" s="19">
        <v>973486</v>
      </c>
      <c r="F16" s="48" t="s">
        <v>718</v>
      </c>
      <c r="G16" s="19" t="s">
        <v>719</v>
      </c>
      <c r="H16" s="49" t="s">
        <v>717</v>
      </c>
    </row>
    <row r="17" spans="2:8" ht="25.5" x14ac:dyDescent="0.2">
      <c r="B17" s="12">
        <v>8</v>
      </c>
      <c r="C17" s="21">
        <v>42496</v>
      </c>
      <c r="D17" s="20" t="s">
        <v>706</v>
      </c>
      <c r="E17" s="43">
        <v>923682</v>
      </c>
      <c r="F17" s="9" t="s">
        <v>726</v>
      </c>
    </row>
    <row r="18" spans="2:8" x14ac:dyDescent="0.2">
      <c r="B18" s="12"/>
      <c r="C18" s="21"/>
      <c r="D18" s="20"/>
      <c r="F18"/>
      <c r="G18"/>
      <c r="H18"/>
    </row>
    <row r="19" spans="2:8" ht="15" x14ac:dyDescent="0.3">
      <c r="B19" s="226">
        <v>9</v>
      </c>
      <c r="C19" s="21">
        <v>42570</v>
      </c>
      <c r="D19" s="20" t="s">
        <v>867</v>
      </c>
      <c r="E19" s="42" t="s">
        <v>868</v>
      </c>
      <c r="F19" s="204" t="s">
        <v>869</v>
      </c>
      <c r="G19" s="19" t="s">
        <v>870</v>
      </c>
      <c r="H19" s="205" t="s">
        <v>871</v>
      </c>
    </row>
    <row r="20" spans="2:8" ht="15" x14ac:dyDescent="0.3">
      <c r="B20" s="226"/>
      <c r="C20" s="21">
        <v>42572</v>
      </c>
      <c r="D20" s="20" t="s">
        <v>872</v>
      </c>
      <c r="E20" s="42" t="s">
        <v>868</v>
      </c>
      <c r="F20" s="204" t="s">
        <v>873</v>
      </c>
      <c r="G20" s="19" t="s">
        <v>874</v>
      </c>
      <c r="H20" s="205" t="s">
        <v>875</v>
      </c>
    </row>
    <row r="21" spans="2:8" ht="15" x14ac:dyDescent="0.3">
      <c r="B21" s="226"/>
      <c r="C21" s="21">
        <v>42572</v>
      </c>
      <c r="D21" s="20" t="s">
        <v>872</v>
      </c>
      <c r="E21" s="42" t="s">
        <v>868</v>
      </c>
      <c r="F21" s="204" t="s">
        <v>876</v>
      </c>
      <c r="G21" s="19" t="s">
        <v>877</v>
      </c>
      <c r="H21" s="205" t="s">
        <v>875</v>
      </c>
    </row>
    <row r="22" spans="2:8" ht="45" x14ac:dyDescent="0.3">
      <c r="B22" s="226"/>
      <c r="C22" s="21">
        <v>42573</v>
      </c>
      <c r="D22" s="20" t="s">
        <v>706</v>
      </c>
      <c r="E22" s="42" t="s">
        <v>868</v>
      </c>
      <c r="F22" s="204" t="s">
        <v>878</v>
      </c>
      <c r="G22" s="19" t="s">
        <v>879</v>
      </c>
      <c r="H22" s="205" t="s">
        <v>871</v>
      </c>
    </row>
    <row r="23" spans="2:8" ht="15" x14ac:dyDescent="0.3">
      <c r="B23" s="226"/>
      <c r="C23" s="21">
        <v>42573</v>
      </c>
      <c r="D23" s="20" t="s">
        <v>706</v>
      </c>
      <c r="E23" s="42" t="s">
        <v>868</v>
      </c>
      <c r="F23" s="204" t="s">
        <v>880</v>
      </c>
      <c r="G23" s="19" t="s">
        <v>881</v>
      </c>
      <c r="H23" s="205" t="s">
        <v>882</v>
      </c>
    </row>
    <row r="24" spans="2:8" ht="15" x14ac:dyDescent="0.3">
      <c r="B24" s="226"/>
      <c r="C24" s="21">
        <v>42594</v>
      </c>
      <c r="D24" s="20" t="s">
        <v>706</v>
      </c>
      <c r="E24" s="42" t="s">
        <v>868</v>
      </c>
      <c r="F24" s="42" t="s">
        <v>883</v>
      </c>
      <c r="G24" s="19" t="s">
        <v>884</v>
      </c>
      <c r="H24" s="205" t="s">
        <v>885</v>
      </c>
    </row>
    <row r="25" spans="2:8" ht="15" x14ac:dyDescent="0.3">
      <c r="B25" s="226"/>
      <c r="C25" s="21">
        <v>42599</v>
      </c>
      <c r="D25" s="20" t="s">
        <v>706</v>
      </c>
      <c r="E25" s="12">
        <v>1041921</v>
      </c>
      <c r="F25" s="42" t="s">
        <v>886</v>
      </c>
      <c r="G25" s="19" t="s">
        <v>887</v>
      </c>
      <c r="H25" s="205" t="s">
        <v>709</v>
      </c>
    </row>
    <row r="26" spans="2:8" ht="15" x14ac:dyDescent="0.3">
      <c r="B26" s="12">
        <v>10</v>
      </c>
      <c r="C26" s="21">
        <v>42625</v>
      </c>
      <c r="D26" s="20" t="s">
        <v>895</v>
      </c>
      <c r="E26">
        <v>1043627</v>
      </c>
      <c r="F26" s="204" t="s">
        <v>896</v>
      </c>
      <c r="G26" s="19" t="s">
        <v>898</v>
      </c>
      <c r="H26" s="205" t="s">
        <v>897</v>
      </c>
    </row>
    <row r="27" spans="2:8" ht="25.5" customHeight="1" x14ac:dyDescent="0.3">
      <c r="B27" s="12">
        <v>11</v>
      </c>
      <c r="C27" s="21">
        <v>42636</v>
      </c>
      <c r="D27" s="20" t="s">
        <v>706</v>
      </c>
      <c r="E27" s="42">
        <v>1068195</v>
      </c>
      <c r="F27" s="204" t="s">
        <v>900</v>
      </c>
      <c r="G27" s="206" t="s">
        <v>901</v>
      </c>
      <c r="H27" s="205" t="s">
        <v>875</v>
      </c>
    </row>
    <row r="28" spans="2:8" ht="15" x14ac:dyDescent="0.3">
      <c r="B28" s="12">
        <v>12</v>
      </c>
      <c r="C28" s="21">
        <v>42636</v>
      </c>
      <c r="D28" s="20" t="s">
        <v>706</v>
      </c>
      <c r="E28" s="42">
        <v>1068195</v>
      </c>
      <c r="F28" s="204" t="s">
        <v>900</v>
      </c>
      <c r="G28" s="19" t="s">
        <v>902</v>
      </c>
      <c r="H28" s="205" t="s">
        <v>875</v>
      </c>
    </row>
    <row r="29" spans="2:8" ht="30" x14ac:dyDescent="0.3">
      <c r="B29" s="12">
        <v>13</v>
      </c>
      <c r="C29" s="21">
        <v>42656</v>
      </c>
      <c r="D29" s="20" t="s">
        <v>706</v>
      </c>
      <c r="E29" s="42">
        <v>1074049</v>
      </c>
      <c r="F29" s="204" t="s">
        <v>904</v>
      </c>
      <c r="G29" s="19" t="s">
        <v>905</v>
      </c>
      <c r="H29" s="205" t="s">
        <v>875</v>
      </c>
    </row>
    <row r="30" spans="2:8" x14ac:dyDescent="0.2">
      <c r="B30" s="12"/>
      <c r="C30" s="21"/>
      <c r="D30" s="20"/>
      <c r="E30"/>
      <c r="F30"/>
      <c r="G30"/>
      <c r="H30"/>
    </row>
    <row r="31" spans="2:8" ht="15" customHeight="1" x14ac:dyDescent="0.3">
      <c r="B31" s="12"/>
      <c r="C31" s="21"/>
      <c r="D31" s="22"/>
      <c r="E31"/>
      <c r="F31"/>
      <c r="G31"/>
      <c r="H31"/>
    </row>
    <row r="32" spans="2:8" x14ac:dyDescent="0.2">
      <c r="B32" s="12"/>
      <c r="C32" s="21"/>
      <c r="D32" s="20"/>
      <c r="E32"/>
      <c r="F32"/>
      <c r="G32"/>
      <c r="H32"/>
    </row>
    <row r="33" spans="2:8" x14ac:dyDescent="0.2">
      <c r="B33" s="12"/>
      <c r="C33" s="21"/>
      <c r="D33" s="20"/>
      <c r="E33"/>
      <c r="F33"/>
      <c r="G33"/>
      <c r="H33"/>
    </row>
    <row r="34" spans="2:8" x14ac:dyDescent="0.2">
      <c r="B34" s="12"/>
      <c r="C34" s="21"/>
      <c r="D34" s="20"/>
      <c r="E34"/>
      <c r="F34"/>
      <c r="G34"/>
      <c r="H34"/>
    </row>
    <row r="35" spans="2:8" x14ac:dyDescent="0.2">
      <c r="B35" s="12"/>
      <c r="C35" s="21"/>
      <c r="D35" s="20"/>
      <c r="E35"/>
      <c r="F35"/>
      <c r="G35"/>
      <c r="H35"/>
    </row>
    <row r="36" spans="2:8" x14ac:dyDescent="0.2">
      <c r="B36" s="12"/>
      <c r="C36" s="21"/>
      <c r="D36" s="20"/>
      <c r="E36"/>
      <c r="F36"/>
      <c r="G36"/>
      <c r="H36"/>
    </row>
    <row r="37" spans="2:8" x14ac:dyDescent="0.2">
      <c r="B37" s="12"/>
      <c r="C37" s="21"/>
      <c r="D37" s="20"/>
      <c r="E37"/>
      <c r="F37"/>
      <c r="G37"/>
      <c r="H37"/>
    </row>
    <row r="38" spans="2:8" x14ac:dyDescent="0.2">
      <c r="B38" s="12"/>
      <c r="D38" s="20"/>
      <c r="E38"/>
      <c r="F38"/>
      <c r="G38"/>
      <c r="H38"/>
    </row>
    <row r="39" spans="2:8" x14ac:dyDescent="0.2">
      <c r="B39" s="12"/>
      <c r="D39" s="20"/>
      <c r="E39"/>
      <c r="F39"/>
      <c r="G39"/>
      <c r="H39"/>
    </row>
    <row r="40" spans="2:8" x14ac:dyDescent="0.2">
      <c r="B40" s="12"/>
      <c r="D40" s="20"/>
      <c r="E40"/>
      <c r="F40"/>
      <c r="G40"/>
      <c r="H40"/>
    </row>
    <row r="41" spans="2:8" x14ac:dyDescent="0.2">
      <c r="B41" s="12"/>
      <c r="D41" s="20"/>
      <c r="E41"/>
      <c r="F41"/>
      <c r="G41"/>
      <c r="H41"/>
    </row>
    <row r="42" spans="2:8" x14ac:dyDescent="0.2">
      <c r="B42" s="12"/>
      <c r="E42"/>
      <c r="F42"/>
      <c r="G42"/>
      <c r="H42"/>
    </row>
    <row r="43" spans="2:8" x14ac:dyDescent="0.2">
      <c r="B43" s="12"/>
      <c r="E43"/>
      <c r="F43"/>
      <c r="G43"/>
      <c r="H43"/>
    </row>
    <row r="44" spans="2:8" x14ac:dyDescent="0.2">
      <c r="B44" s="12"/>
      <c r="E44"/>
      <c r="F44"/>
      <c r="G44"/>
      <c r="H44"/>
    </row>
    <row r="45" spans="2:8" x14ac:dyDescent="0.2">
      <c r="B45" s="12"/>
      <c r="E45"/>
      <c r="F45"/>
      <c r="G45"/>
      <c r="H45"/>
    </row>
    <row r="46" spans="2:8" x14ac:dyDescent="0.2">
      <c r="B46" s="12"/>
      <c r="E46"/>
      <c r="F46"/>
      <c r="G46"/>
      <c r="H46"/>
    </row>
    <row r="47" spans="2:8" x14ac:dyDescent="0.2">
      <c r="B47" s="12"/>
      <c r="E47"/>
      <c r="F47"/>
      <c r="G47"/>
      <c r="H47"/>
    </row>
  </sheetData>
  <mergeCells count="1">
    <mergeCell ref="B19:B25"/>
  </mergeCells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Commercial</vt:lpstr>
      <vt:lpstr>Commercial_VoWiFi</vt:lpstr>
      <vt:lpstr>Revision History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Sandstrom, Adrian</dc:creator>
  <cp:keywords/>
  <dc:description/>
  <cp:lastModifiedBy>Qualcomm User</cp:lastModifiedBy>
  <cp:revision/>
  <dcterms:created xsi:type="dcterms:W3CDTF">2009-07-08T16:51:53Z</dcterms:created>
  <dcterms:modified xsi:type="dcterms:W3CDTF">2016-10-13T12:28:43Z</dcterms:modified>
  <cp:category/>
  <dc:identifier/>
  <cp:contentStatus/>
  <dc:language/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892826672</vt:i4>
  </property>
  <property fmtid="{D5CDD505-2E9C-101B-9397-08002B2CF9AE}" pid="3" name="_NewReviewCycle">
    <vt:lpwstr/>
  </property>
  <property fmtid="{D5CDD505-2E9C-101B-9397-08002B2CF9AE}" pid="4" name="_EmailSubject">
    <vt:lpwstr>Smartfren </vt:lpwstr>
  </property>
  <property fmtid="{D5CDD505-2E9C-101B-9397-08002B2CF9AE}" pid="5" name="_AuthorEmail">
    <vt:lpwstr>jessiew@qti.qualcomm.com</vt:lpwstr>
  </property>
  <property fmtid="{D5CDD505-2E9C-101B-9397-08002B2CF9AE}" pid="6" name="_AuthorEmailDisplayName">
    <vt:lpwstr>Wang, Jessie</vt:lpwstr>
  </property>
  <property fmtid="{D5CDD505-2E9C-101B-9397-08002B2CF9AE}" pid="7" name="_ReviewingToolsShownOnce">
    <vt:lpwstr/>
  </property>
</Properties>
</file>