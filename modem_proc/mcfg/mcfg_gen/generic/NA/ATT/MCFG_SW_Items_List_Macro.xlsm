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Workspace\c_djalad_CPL\commercial\MPSS.JO.2.0.c1\Main\modem_proc\mcfg\mcfg_gen\generic\NA\ATT\"/>
    </mc:Choice>
  </mc:AlternateContent>
  <bookViews>
    <workbookView xWindow="45" yWindow="150" windowWidth="9795" windowHeight="5865" tabRatio="567"/>
  </bookViews>
  <sheets>
    <sheet name="Summary" sheetId="10" r:id="rId1"/>
    <sheet name="Non_VoLTE" sheetId="61" r:id="rId2"/>
    <sheet name="VoLTE" sheetId="62" r:id="rId3"/>
    <sheet name="Revision History" sheetId="8" r:id="rId4"/>
  </sheets>
  <functionGroups builtInGroupCount="18"/>
  <externalReferences>
    <externalReference r:id="rId5"/>
  </externalReferences>
  <definedNames>
    <definedName name="_xlnm._FilterDatabase" localSheetId="1" hidden="1">Non_VoLTE!$G$2:$G$358</definedName>
    <definedName name="_xlnm._FilterDatabase" localSheetId="2" hidden="1">VoLTE!$G$2:$G$755</definedName>
  </definedNames>
  <calcPr calcId="152511"/>
</workbook>
</file>

<file path=xl/calcChain.xml><?xml version="1.0" encoding="utf-8"?>
<calcChain xmlns="http://schemas.openxmlformats.org/spreadsheetml/2006/main">
  <c r="F755" i="62" l="1"/>
  <c r="F759" i="62" l="1"/>
  <c r="F757" i="62" s="1"/>
  <c r="F242" i="61"/>
  <c r="F240" i="61" s="1"/>
  <c r="E744" i="62" l="1"/>
  <c r="F238" i="61" l="1"/>
  <c r="B13" i="10" l="1"/>
  <c r="F751" i="62"/>
  <c r="F749" i="62" s="1"/>
  <c r="F234" i="61"/>
  <c r="F232" i="61" s="1"/>
  <c r="F229" i="61"/>
  <c r="E230" i="61" s="1"/>
  <c r="E227" i="61"/>
  <c r="B5" i="10"/>
  <c r="C13" i="10"/>
  <c r="F746" i="62"/>
  <c r="E747" i="62" s="1"/>
  <c r="B4" i="10"/>
</calcChain>
</file>

<file path=xl/sharedStrings.xml><?xml version="1.0" encoding="utf-8"?>
<sst xmlns="http://schemas.openxmlformats.org/spreadsheetml/2006/main" count="3479" uniqueCount="1414">
  <si>
    <t>RELEASE DATE:</t>
  </si>
  <si>
    <t>FILE VERSION:</t>
  </si>
  <si>
    <t>Carrier Index</t>
  </si>
  <si>
    <t>Notes</t>
  </si>
  <si>
    <t>0x01</t>
  </si>
  <si>
    <t>0x03</t>
  </si>
  <si>
    <t>0x02</t>
  </si>
  <si>
    <t xml:space="preserve"> </t>
  </si>
  <si>
    <t>NV Item ID</t>
  </si>
  <si>
    <t>NV Item Name</t>
  </si>
  <si>
    <t>NV Item Struct</t>
  </si>
  <si>
    <t>Comments</t>
  </si>
  <si>
    <t>nam</t>
  </si>
  <si>
    <t>(enable)</t>
  </si>
  <si>
    <t>Banner</t>
  </si>
  <si>
    <t>banner</t>
  </si>
  <si>
    <t>letters</t>
  </si>
  <si>
    <t>AAGPS Default QoS Time</t>
  </si>
  <si>
    <t>aagps_default_qos_time</t>
  </si>
  <si>
    <t>AAGPS Positioning Modes Supported</t>
  </si>
  <si>
    <t>aagps_positioning_modes_supported</t>
  </si>
  <si>
    <t>rtre_config</t>
  </si>
  <si>
    <t>SMS MO Retry Period</t>
  </si>
  <si>
    <t>sms_mo_retry_period</t>
  </si>
  <si>
    <t>SMS MO Retry Interval</t>
  </si>
  <si>
    <t>sms_mo_retry_interval</t>
  </si>
  <si>
    <t>Disable CM Call Type</t>
  </si>
  <si>
    <t>0x05</t>
  </si>
  <si>
    <t>0x00</t>
  </si>
  <si>
    <t>Digital/Analog Mode Preference</t>
  </si>
  <si>
    <t>pref_mode</t>
  </si>
  <si>
    <t>mode</t>
  </si>
  <si>
    <t>sms_gw_bearer_pref</t>
  </si>
  <si>
    <t>EFS File Description</t>
  </si>
  <si>
    <t>Full Path in EFS Filesystem</t>
  </si>
  <si>
    <t>Comment</t>
  </si>
  <si>
    <t>Date</t>
  </si>
  <si>
    <t>Details</t>
  </si>
  <si>
    <t>CR Details</t>
  </si>
  <si>
    <t>Revision History</t>
  </si>
  <si>
    <t>Revision</t>
  </si>
  <si>
    <t>NV Item Type</t>
  </si>
  <si>
    <t>NV Item Size</t>
  </si>
  <si>
    <t>Value</t>
  </si>
  <si>
    <t>int</t>
  </si>
  <si>
    <t>string</t>
  </si>
  <si>
    <t>efs</t>
  </si>
  <si>
    <t>Full MCFG Version</t>
  </si>
  <si>
    <t>EFS Files</t>
  </si>
  <si>
    <t>Attributes</t>
  </si>
  <si>
    <t>EFS Item Size</t>
  </si>
  <si>
    <t>EFS Item Type</t>
  </si>
  <si>
    <t>int[]</t>
  </si>
  <si>
    <t>0x09</t>
  </si>
  <si>
    <t>0x0F</t>
  </si>
  <si>
    <t>EFS Filename</t>
  </si>
  <si>
    <t>Configuration Type</t>
  </si>
  <si>
    <t>RTRE Configuration</t>
  </si>
  <si>
    <t>RRC Integrity Enabled</t>
  </si>
  <si>
    <t>RRC Ciphering Enabled</t>
  </si>
  <si>
    <t>RRC Fake Security Enabled</t>
  </si>
  <si>
    <t>Ipv6 Enabled</t>
  </si>
  <si>
    <t>VOIP Registration Mode</t>
  </si>
  <si>
    <t>PDN Throttling Config</t>
  </si>
  <si>
    <t>/nv/item_files/modem/data/epc/pdn_throttling_config.txt</t>
  </si>
  <si>
    <t>Thermal Config</t>
  </si>
  <si>
    <t>0xFFFFFFFF</t>
  </si>
  <si>
    <t>efs_item</t>
  </si>
  <si>
    <t>/sd/rat_acq_order</t>
  </si>
  <si>
    <t>/nv/item_files/modem/mmode/ue_usage_setting</t>
  </si>
  <si>
    <t>/nv/item_files/therm_monitor/config_test.ini</t>
  </si>
  <si>
    <t>Summary</t>
  </si>
  <si>
    <t>0x29</t>
  </si>
  <si>
    <t>RMNET Config</t>
  </si>
  <si>
    <t>mcfg_test/rmnet_config.txt</t>
  </si>
  <si>
    <t>Trailer Record</t>
  </si>
  <si>
    <t>trl</t>
  </si>
  <si>
    <t>MCFG_trl_struct_version_type</t>
  </si>
  <si>
    <t>MCFG_trl_struct_version_len</t>
  </si>
  <si>
    <t>MCFG_trl_struct_version</t>
  </si>
  <si>
    <t>MCFG_version_type</t>
  </si>
  <si>
    <t>MCFG_version_len</t>
  </si>
  <si>
    <t>MCFG_version</t>
  </si>
  <si>
    <t>Carrier_Name_type</t>
  </si>
  <si>
    <t>carrier_name_size</t>
  </si>
  <si>
    <t>carrier_name</t>
  </si>
  <si>
    <t>IIN List type</t>
  </si>
  <si>
    <t>IIN List Length</t>
  </si>
  <si>
    <t>Iin_flag</t>
  </si>
  <si>
    <t>iin_list_count</t>
  </si>
  <si>
    <t>iin_list</t>
  </si>
  <si>
    <t>Verizon Trailer Record</t>
  </si>
  <si>
    <t>Data field</t>
  </si>
  <si>
    <t>Data Type</t>
  </si>
  <si>
    <t>Data Size</t>
  </si>
  <si>
    <t>Data Value</t>
  </si>
  <si>
    <t>0x0100</t>
  </si>
  <si>
    <t>0x04</t>
  </si>
  <si>
    <t>Keep command window open</t>
  </si>
  <si>
    <t>ATT</t>
  </si>
  <si>
    <t>for debugging purposes only</t>
  </si>
  <si>
    <t>GSM A5 Algorithms supported</t>
  </si>
  <si>
    <t>gsm_a5_algorithms_supported</t>
  </si>
  <si>
    <t>A5_1 bit mask 0x1A5_2 bit mask 0x2A5_3 bit mask 0x4A5_4 bit mask 0x8</t>
  </si>
  <si>
    <t>Acquisition order preference</t>
  </si>
  <si>
    <t>acq_order</t>
  </si>
  <si>
    <t>Network Selection Mode Preference</t>
  </si>
  <si>
    <t>net_sel_mode</t>
  </si>
  <si>
    <t>rrc_integrity_enabled</t>
  </si>
  <si>
    <t>rrc_ciphering_enabled</t>
  </si>
  <si>
    <t>rrc_fake_security_enabled</t>
  </si>
  <si>
    <t>UIM First Instruction Class</t>
  </si>
  <si>
    <t>uim_first_inst_cla</t>
  </si>
  <si>
    <t>GSM/UMTS SMS Bearer Preference</t>
  </si>
  <si>
    <t>0 – UE sends the SMS over GSM (CS), unless a TBF is active, in which case the SMS is sent over GPRS 1 – UE sends the SMS over GPRS (PS), unless there is a CS ,  connection, in which case the SMS is sent over GSM2 - CS Only (ATT mandates SMS over CS only)</t>
  </si>
  <si>
    <t>GPRS Multislot Class</t>
  </si>
  <si>
    <t>multislot_class</t>
  </si>
  <si>
    <t>NV_BAND_PREF_I</t>
  </si>
  <si>
    <t>band_pref</t>
  </si>
  <si>
    <t>NV_BAND_PREF_I6_32_I</t>
  </si>
  <si>
    <t>band_pref_16_31</t>
  </si>
  <si>
    <t>NV_BAND_PREF_32_63_I</t>
  </si>
  <si>
    <t>band_pref_32_63</t>
  </si>
  <si>
    <t>GSM UMTS Cell Broadcast SMS Carrier Configuration</t>
  </si>
  <si>
    <t>sms_gw_cb_config</t>
  </si>
  <si>
    <t>0 – (WMS_BC_CONFIG_DISALLOW) – User will not be able to activate broadcast and receive broadcast SMS messages.1 – WMS_BC_CONFIG_ALLOW_TABLE – Allows GSM/UMTS SMS broadcast</t>
  </si>
  <si>
    <t>GSM UMTS Cell Broadcast SMS User Preference</t>
  </si>
  <si>
    <t>sms_gw_cb_user_pref</t>
  </si>
  <si>
    <t>0 – WMS_BC_PREF_DEACTIVATE1 – WMS_BC_PREF_ACTIVATE_TABLE – For GW CB, use language preference2 – WMS_BC_PREF_ACTIVATE_ALL – For GW CB, ignore language preference</t>
  </si>
  <si>
    <t>Force EU SGSNR GSM R99 Version</t>
  </si>
  <si>
    <t>force_ue_sgsnr_r99</t>
  </si>
  <si>
    <t>0 - Forces the UE to always behave as an R97/R98 mobile1 - Forces the UE to always behave as an R99 mobile2 - Causes the UE’s behavior to be dynamic</t>
  </si>
  <si>
    <t>Force EU MSCR GSM R99 Version</t>
  </si>
  <si>
    <t>force_ue_mscr_r99</t>
  </si>
  <si>
    <t>GSM AMR Call Configuration</t>
  </si>
  <si>
    <t>gsm_amr_call_config</t>
  </si>
  <si>
    <t>1 – Enables NB and WB AMR vocoder support for GSM              0 – Disables AMR vocoder support altogether</t>
  </si>
  <si>
    <t>Bit 0 – StandaloneBit 1 – UP MS-BasedBit 2 – UP MS-AssistedBit 3– CP MS-Based (2G)Bit 4 – CP MS-Assisted (2G)Bit 5 – CP UE-Based (3G)Bit 6 – CP UE-Assisted (3G)</t>
  </si>
  <si>
    <t>EDGE Feature Support</t>
  </si>
  <si>
    <t>edge_feature_support</t>
  </si>
  <si>
    <t>Edge Multislot class</t>
  </si>
  <si>
    <t>edge_mutlislot_class</t>
  </si>
  <si>
    <t>EDA Feature Support</t>
  </si>
  <si>
    <t>eda_feature_support</t>
  </si>
  <si>
    <t>0-Disable EDA Support  1 - Enables EDA Support</t>
  </si>
  <si>
    <t>GERAN Feature Pack1</t>
  </si>
  <si>
    <t>geran_feature_pack_1</t>
  </si>
  <si>
    <t>0 – Disables Network Assisted Cell Change 1 – Enables Network Assisted Cell Change</t>
  </si>
  <si>
    <t>MS Max Number of SMS</t>
  </si>
  <si>
    <t>ms_sms_max_number_of_sms</t>
  </si>
  <si>
    <t>ENS Enabled</t>
  </si>
  <si>
    <t>ens_enabled</t>
  </si>
  <si>
    <t>DTM Feature Support</t>
  </si>
  <si>
    <t>dtm_feature_support</t>
  </si>
  <si>
    <t>0 - Disable DTM Feature Support   1 - Enable DTM Feature Support</t>
  </si>
  <si>
    <t>DTM Multislot class</t>
  </si>
  <si>
    <t>dtm_multislot_class</t>
  </si>
  <si>
    <t>3 - DTM MSC of 11 if GPRS MSC is set to 12.2 - DTM MSC of 9 f the GPRS MSC is set to 10</t>
  </si>
  <si>
    <t>WCDMA RX Diversity Control</t>
  </si>
  <si>
    <t>wcdma_rx_diversity_control</t>
  </si>
  <si>
    <t>0 - Disables Diversity3 - Enables Diversity</t>
  </si>
  <si>
    <t>DARP Feature support</t>
  </si>
  <si>
    <t>darp_feature_support</t>
  </si>
  <si>
    <t>0 – CLASSMARK 3 signaling will not contain SAIC/DARP feature support1 – CLASSMARK 3 signaling will contain SAIC/DARP feature support Currently, our AMSS code only supports SAIC/DARP for CS (voice calls) operation only.</t>
  </si>
  <si>
    <t>HSDPA Category</t>
  </si>
  <si>
    <t>hsdpa_cat</t>
  </si>
  <si>
    <t>6 - 3.6 Mbps capable UE 8 - 7.2 Mbps capable UE10 - 14.4 Mbps capable UE14 -- 21 Mbps capable UE (64 QAM)24 -- 42 Mbps capable UE (DC-HSDPA)</t>
  </si>
  <si>
    <t>EDTM Feature Support</t>
  </si>
  <si>
    <t>edtm_feature_support</t>
  </si>
  <si>
    <t>0 - Disable EDTM Feature Support1 - Enable EDTM Feature Support</t>
  </si>
  <si>
    <t>CPU Based Flow Control</t>
  </si>
  <si>
    <t>0 - Disable Flow Control 1 - Enable Flow Control</t>
  </si>
  <si>
    <t>WCDMA HSUPA CM Controller</t>
  </si>
  <si>
    <t>wcdma_hsupa_cm_ctrl</t>
  </si>
  <si>
    <t>0 - Disable HSUPA CM Support 1 - Enable HSUPA CM Support</t>
  </si>
  <si>
    <t>disable_cm_call_type</t>
  </si>
  <si>
    <t>0 -- Answering incoming call will be successful if it is of type VOICE1 -- Answering with this call is only successful if the incoming call is of type CS DATA, Voice is disabled2 -- CS Voice supported but not CS Data</t>
  </si>
  <si>
    <t>ENHANCED HPLMN SRCH TBL</t>
  </si>
  <si>
    <t xml:space="preserve">NV_RR_ACQ_DB_CHUNK_00_I ?
</t>
  </si>
  <si>
    <t>SMS Only Registration</t>
  </si>
  <si>
    <t>/nv/item_files/modem/mmode/sms_only</t>
  </si>
  <si>
    <t xml:space="preserve">65776 - 0 --- Smart Device 1 --- Netbook / data cards </t>
  </si>
  <si>
    <t>UE Usage Setting</t>
  </si>
  <si>
    <t>LTE Disable Duration</t>
  </si>
  <si>
    <t>/nv/item_files/modem/mmodelte_disable_duration</t>
  </si>
  <si>
    <t>65778, 0 --- disable LTE until next power cycle0 &lt; and &lt;720  all values between 0 and 720 are treated as 720 sec 720, values in seconds</t>
  </si>
  <si>
    <t>WCDMA_RRC_CSFB_SKIP_SIB1_OPT</t>
  </si>
  <si>
    <t>65885, 0- disable, 1- enable (This is required to enable R9 CSFB functionality)</t>
  </si>
  <si>
    <t>3GPP RPM Supported SIM</t>
  </si>
  <si>
    <t>67205, It is an array of PLMN IDS for which RPM is enabled for ATT - PLMN list; 310-410, 310-650, 310-170</t>
  </si>
  <si>
    <t>3GPP RPM Parameters</t>
  </si>
  <si>
    <t>/nv/item_files/data/3gpp/rpm_params</t>
  </si>
  <si>
    <t>is_rpm_enabled</t>
  </si>
  <si>
    <t>backoff_count[0]</t>
  </si>
  <si>
    <t>backoff_count[1]</t>
  </si>
  <si>
    <t>backoff_count[2]</t>
  </si>
  <si>
    <t>backoff_count[3]</t>
  </si>
  <si>
    <t>cpdp_count[0]</t>
  </si>
  <si>
    <t>lr3_timer_val</t>
  </si>
  <si>
    <t>3GPP PS Service Throttle Behavior</t>
  </si>
  <si>
    <t>/nv/item_files/modem/data/3gpp/ps/ser_req_throttle_behavior</t>
  </si>
  <si>
    <t>NAS Aggression Management Enabled</t>
  </si>
  <si>
    <t>/nv/item_files/modem/nas/aggression_management</t>
  </si>
  <si>
    <t>RAT_ACQ_ORDER</t>
  </si>
  <si>
    <t>OEM can modify EFS through EFS explorer at location "/sd/"and use "rat_acq_order" as file name.If file is not present, default order is as follows;SYS_SYS_MODE_CDMA;SYS_SYS_MODE_GSM;SYS_SYS_MODE_WCDMA;SYS_SYS_MODE_HDR;SYS_SYS_MODE_LTE;</t>
  </si>
  <si>
    <t>WCDMA RRC Fast Return To LTE After CSFB Enabled</t>
  </si>
  <si>
    <t>/nv/item_files/wcdma/rrc/wcdma_rrc_fast_return_to_lte_after_csfb</t>
  </si>
  <si>
    <t>67219, This is AT&amp;T specific "Fast Return to LTE" feature, 0 -- Disable1 -- Enable</t>
  </si>
  <si>
    <t>WCDMA RRC WToL CM Support</t>
  </si>
  <si>
    <t>67256, This NV item is used to disable EUTRA compressed mode measurement in WCDMA, 0 – Disables W2L EUTRA compressed mode support1 – Enables W2L EUTRA compressed mode support</t>
  </si>
  <si>
    <t>WCDMA RRC Feature Enabled</t>
  </si>
  <si>
    <t>CMAs over LTE</t>
  </si>
  <si>
    <t>/nv/item_files/modem/lte/rrc/sib/cmas/cmas</t>
  </si>
  <si>
    <t>LTE to WCDMA PS Handover</t>
  </si>
  <si>
    <t>/nv/item_files/modem/lte/rrc/cap/fgi</t>
  </si>
  <si>
    <t>0=CSIM, make sure this is present and set to 0</t>
  </si>
  <si>
    <t>0xFFFF</t>
  </si>
  <si>
    <t xml:space="preserve">Note - this is uint8/boolean, QXDM does not show it properly ,,, 0x01 - SAIC and eSAIC ON (default)0x09 SAIC and eSAIC OFF (conventional receiver)0x11 - SAIC ON for CS-voice only </t>
  </si>
  <si>
    <t>0xBFFF</t>
  </si>
  <si>
    <t>enhanced_hplmn_srch_tbl</t>
  </si>
  <si>
    <t>int[100]</t>
  </si>
  <si>
    <t>modem_proc\mcfg\mcfg_gen\scripts\data\efs_files\config.ini</t>
  </si>
  <si>
    <t>modem_proc\mcfg\mcfg_gen\scripts\data\efs_files\att\pdn_throttling_config.txt</t>
  </si>
  <si>
    <t>modem_proc\mcfg\mcfg_gen\scripts\data\efs_files\att\rat_acq_order</t>
  </si>
  <si>
    <t>modem_proc\mcfg\mcfg_gen\scripts\data\efs_files\cmas</t>
  </si>
  <si>
    <t>modem_proc\mcfg\mcfg_gen\scripts\data\efs_files\att\fgi</t>
  </si>
  <si>
    <t>/nv/item_files/ims/ims_operation_mode</t>
  </si>
  <si>
    <t>For future reference in case there is a need to MUX the RR ACQ DB (enhancement CR )</t>
  </si>
  <si>
    <t xml:space="preserve">enhanced_hplmn_srch_tbl[0] 1  SET TYPE configurationenhanced_hplmn_srch_tbl[1] 1  Number of sets/records – 1
enhanced_hplmn_srch_tbl[2] 10  Number of MCCs in record –1
enhanced_hplmn_srch_tbl[3] 0x13  MCC Digit2 = 1, MCC Digits1 = 3 MCC - 310 
enhanced_hplmn_srch_tbl[4] 0xF0  
enhanced_hplmn_srch_tbl[5] 0x13  MCC Digit2 = 1, MCC Digits1 = 3
enhanced_hplmn_srch_tbl[6] 0xF1  Not used (F), MCC Digits3 = 1
enhanced_hplmn_srch_tbl[7] 0x13  MCC Digit2 = 1, MCC Digits1 = 3
enhanced_hplmn_srch_tbl[8] 0xF2  Not used (F), MCC Digits3 = 2
enhanced_hplmn_srch_tbl[9] 0x13  Digit2 = 1, MCC Digits1 = 3
enhanced_hplmn_srch_tbl[10] 0xF3  Not used (F), MCC Digits3 = 3
enhanced_hplmn_srch_tbl[11] 0x13  MCC Digit2 = 1, MCC Digits1 = 3
enhanced_hplmn_srch_tbl[12] 0xF4  Not used (F), MCC Digits3 = 4
enhanced_hplmn_srch_tbl[13] 0x13  MCC Digit2 = 1, MCC Digits1 = 3
enhanced_hplmn_srch_tbl[14] 0xF5  Not used (F), MCC Digits3 = 5
enhanced_hplmn_srch_tbl[15] 0x13  MCC Digit2 = 1, MCC Digits1 = 3
enhanced_hplmn_srch_tbl[16] 0xF6  MCC Digit2 = 1, MCC Digits1 = 6
enhanced_hplmn_srch_tbl[17] 0x03  MCC Digit2 = 0, MCC Digits1 = 3
enhanced_hplmn_srch_tbl[18] 0xF2  Not used (F), MCC Digits3 = 2
enhanced_hplmn_srch_tbl[19] 0x3A  MCC Digit2 = 3, MCC Digits1 = 3
enhanced_hplmn_srch_tbl[20] 0xF4  Not used (F), MCC Digits3 = 4
enhanced_hplmn_srch_tbl[21] 0x43  MCC Digit2 = 4, MCC Digits1 = 3 MCC – 348Not used (F) 
enhanced_hplmn_srch_tbl[22] 0xF8  MCC Digits3 = 8 MCC – 348
</t>
  </si>
  <si>
    <t>For Debug purposes only</t>
  </si>
  <si>
    <t>Preferred Hybrid Mode</t>
  </si>
  <si>
    <t>hybrid_pref</t>
  </si>
  <si>
    <t>VOIP Preferred URI</t>
  </si>
  <si>
    <t>Placeholder for enabling autoconnect if required</t>
  </si>
  <si>
    <t xml:space="preserve">For reference purposes, placeholder </t>
  </si>
  <si>
    <t>For reference purposes , placeholder</t>
  </si>
  <si>
    <t>PDP Profile 1</t>
  </si>
  <si>
    <t>/nv/item_files/data/dsd/ds_apn_switching</t>
  </si>
  <si>
    <t>Data APN Switching</t>
  </si>
  <si>
    <t>1,1,10,19,240,19,241,19,242,19,243,19,244,19,245,19,246,3,242,51,244,67,248,0</t>
  </si>
  <si>
    <t>/nv/item_files/wcdma/rrc/wcdma_rrc_csfb_skip_sib11_opt</t>
  </si>
  <si>
    <t>/nv/item_files/wcdma/rrc/wcdma_rrc_feature</t>
  </si>
  <si>
    <t>/nv/item_files/wcdma/rrc/wcdma_rrc_wtol_cm_support</t>
  </si>
  <si>
    <t>int[60]</t>
  </si>
  <si>
    <t>UMTS amr code preference config</t>
  </si>
  <si>
    <t>/nv/item_files/data/3gpp/rpm_suppported_sim</t>
  </si>
  <si>
    <t>SMS Domain Preference</t>
  </si>
  <si>
    <t>/nv/item_files/modem/mmode/sms_domain_pref</t>
  </si>
  <si>
    <t>SMS Mandatory</t>
  </si>
  <si>
    <t>/nv/item_files/modem/mmode/sms_mandatory</t>
  </si>
  <si>
    <t>/nv/item_files/modem/mmode/voice_domain_pref</t>
  </si>
  <si>
    <t>voip_registration_mode</t>
  </si>
  <si>
    <t>CS TO VOIP Fallback Timer</t>
  </si>
  <si>
    <t>VOIP Cancel Retry Timer</t>
  </si>
  <si>
    <t/>
  </si>
  <si>
    <t>0 --- Voice centric 1 --- Data centric</t>
  </si>
  <si>
    <t>65777,</t>
  </si>
  <si>
    <t>Voice Domain Preference</t>
  </si>
  <si>
    <t>0 - GW_ACQ_ORDER_PREF_AUTOMATIC             
1 - GW_ACQ_ORDER_PREF_GSM_WCDMA         
2 - GW_ACQ_ORDER_PREF_WCDMA_GSM</t>
  </si>
  <si>
    <t>0 - Automatic network selection                                                                      
1 - Manual network selection 2 - Limited Service</t>
  </si>
  <si>
    <t>0 – Starts card as GSM SIM                                                                     
1 – Starts card as USIM</t>
  </si>
  <si>
    <t>0 - Forces the UE to always behave as an R97/R98 mobile 
1 - Forces the UE to always behave as an R99 mobile 
2 - Causes the UE’s behavior to be dynamic</t>
  </si>
  <si>
    <t>Version</t>
  </si>
  <si>
    <t>/nv/item_files/gps/cgps/sm/gnss_lpp_enable</t>
  </si>
  <si>
    <t>GNSS LPP Enable</t>
  </si>
  <si>
    <t>ReservedBytes</t>
  </si>
  <si>
    <t>voip_confrd_uri</t>
  </si>
  <si>
    <t>max_queue_size</t>
  </si>
  <si>
    <t>flags</t>
  </si>
  <si>
    <t>retry_timer</t>
  </si>
  <si>
    <t>retry_limit</t>
  </si>
  <si>
    <t>Refresh Retry Feature State</t>
  </si>
  <si>
    <t>/nv/item_files/modem/uim/mmgsdi/refresh_retry</t>
  </si>
  <si>
    <t>WCDMA RRC PPAC Supported</t>
  </si>
  <si>
    <t>/nv/item_files/wcdma/rrc/wcdma_ppac_support</t>
  </si>
  <si>
    <t>QMI Card Application Toolkit (CAT)  MODE</t>
  </si>
  <si>
    <t>/nv/item_files/modem/qmi/cat/qmi_cat_mode</t>
  </si>
  <si>
    <t>NAS Release Compliance</t>
  </si>
  <si>
    <t>nas_release_compliance</t>
  </si>
  <si>
    <t>65693: 0 - Not Support any feature. 1 - EFACH3 - EFACH + EPCH 5 - EFACH + EFACH_DRX 7 - EFACH + EPCH + EFACH_DRX  NOTE: Enhanced CELL_FACH (Rel-7) Enhanced CELL_PCH (Rel-7) DRX in CELL_FACH (Enhanced DRX) (Rel-8)</t>
  </si>
  <si>
    <t>Carrier Version Update(s)</t>
  </si>
  <si>
    <t>Image</t>
  </si>
  <si>
    <t>SW Product</t>
  </si>
  <si>
    <t>MCFG PW</t>
  </si>
  <si>
    <t>MPSS Configuration Items Listing</t>
  </si>
  <si>
    <t>PDP Profile 2</t>
  </si>
  <si>
    <t>PDP Profile 3</t>
  </si>
  <si>
    <t>All carrier versions initialized to 0x31</t>
  </si>
  <si>
    <t>Ported from Dime 2.0 file version 30</t>
  </si>
  <si>
    <t>Initial Version for Dime 3.0</t>
  </si>
  <si>
    <t>ATT update</t>
  </si>
  <si>
    <t>removed NVs:
3649, 4722
Fix for IMS settings
added NVs:
67261, 67259, 69744, 67257</t>
  </si>
  <si>
    <t>ATT: 0x02010332</t>
  </si>
  <si>
    <t>Vzw Update</t>
  </si>
  <si>
    <t>Verizon: 0x02010132</t>
  </si>
  <si>
    <t>edited NVs:
3446=66,2
added NVs:
70233 (IMS RCS Auto-Config Parameters.iDisableAutoConfig = 1)</t>
  </si>
  <si>
    <t>Sprint update: Policy manager</t>
  </si>
  <si>
    <t>Sprint:
FR3164 Policy-manager</t>
  </si>
  <si>
    <t>Sprint:  0x02010208</t>
  </si>
  <si>
    <t>3,1,0,4,1,0,3,1,0,1,8,0,3,1,0,5,6,0,3,1,0,6,5,0,3,1,0,1,7,0</t>
  </si>
  <si>
    <t>ATT Updates</t>
  </si>
  <si>
    <t>ATT
edited NVs:
74, 65777=0, 67205, 67259
removed NVs:
6862, 947, 4173, 4210, 4432, 4722, 5107, 3852, 3635, 67210 (rpm_info)
duplicate CR items:
remove NVs: 3649, 4722
Airtel
editedNV: 67205 -- corrected EFS filepath</t>
  </si>
  <si>
    <t>ATT: 0x02010333
Airtel: 0x02011A32</t>
  </si>
  <si>
    <t>Sprint Update</t>
  </si>
  <si>
    <t>added NVs:
6828 = bands 25, 26, 41: 0x0000 0100 0300 0000</t>
  </si>
  <si>
    <t>Sprint:  0x02010233</t>
  </si>
  <si>
    <t>Verizon Update</t>
  </si>
  <si>
    <t>Verizon: 0x02010133</t>
  </si>
  <si>
    <t>PCO container elements added to LTE profiles:
1. Op_pco_id=65280 
2. Pco_mcc=311
3. Mnc=480
4. Mnc_includes_pcs_digit=1</t>
  </si>
  <si>
    <t>edited NVs:
65538 = LTE_3GPP_REL10_SEP12
70328 = 1 (REL_10_THROTTLING)</t>
  </si>
  <si>
    <t>Verizon: 0x02010134</t>
  </si>
  <si>
    <t>added: 
diff_fdd_tdd_fgi_enable=1</t>
  </si>
  <si>
    <t>Sprint: 0x0201020A</t>
  </si>
  <si>
    <t>NV Items</t>
  </si>
  <si>
    <t>Grouped items into 3 main categories: NV, PRL, EFS
Verizon:
edited NV
65777 = 1 (should not have changed in CR539228)</t>
  </si>
  <si>
    <t>Verizon: 0x02010135</t>
  </si>
  <si>
    <t>Spreadsheet update
Verizon Update</t>
  </si>
  <si>
    <t>added NVs:
1897 (ipv6_sm_config)</t>
  </si>
  <si>
    <t>Verizon: 0x02010136</t>
  </si>
  <si>
    <t>Verizon &amp; WirelessOne udpate: PDP profile updates for Multi-SIM</t>
  </si>
  <si>
    <t>Verizon: 0x02010137
W-One: 0x02011935</t>
  </si>
  <si>
    <t>Verizon: 0x02010138
W-One: 0x02011936</t>
  </si>
  <si>
    <t xml:space="preserve">Verizon update </t>
  </si>
  <si>
    <t>Verizon: 0x02010139</t>
  </si>
  <si>
    <t>update: 
70328 , rel_10_throttling set to 0</t>
  </si>
  <si>
    <t>Verizon: 0x0201013A</t>
  </si>
  <si>
    <t>update: 
NV72512 set to 1, NV 67257
voipSilentRedialEnabled  set to 1</t>
  </si>
  <si>
    <t>KDDI: 0x02010733</t>
  </si>
  <si>
    <t>update: 
1018 (CDMA Rx diversity) changed to 0xB1 for KDDI</t>
  </si>
  <si>
    <t>Carrier Updates: Verizon, Sprint, KDDI, CT</t>
  </si>
  <si>
    <t>already present: 
67290: HDR ACQ Diversity Enabled =1
added EFS: 
67288: HDR ACQ DIV Threshold 0  = -98
67289: HDR ACQ DIV Threshold 1  = -105</t>
  </si>
  <si>
    <t>Verizon: 0x0201013B
KDDI: 0x02010734
Sprint: 0x02010235
CT: 0x02011332</t>
  </si>
  <si>
    <t>Verizon: 0x0201013C
Sprint: 0x02010236
ATT: 0x02010334
TMO: 0x02010532
CT: 0x02011333
CU: 0x02011532
CMCC_Lab: 0x02011833
CMCC: 0x02011835
W-One: 0x02011938
Airtel: 0x02011A33
Reliance: 0x02011B32
SBM: 0x02011C32
TEST_Ota_DI_23_1: 0x02011D32
TEST_Ota_DI_23_2: 0x02011E32</t>
  </si>
  <si>
    <t>Removed Mux'd attribute from all NV/EFS settings
CMCC Update</t>
  </si>
  <si>
    <t>edited carriers: 
Verizon, Sprint, ATT, TMO, CT, CU CMBB_Lab, CMCC, W-One, Airtel, Reliance, SBM, TEST_Ota_DI_23_1, TEST_Ota_DI_23_2
Policy manager updates for CMCC MBNs.</t>
  </si>
  <si>
    <t>New Carrier config: SKT LTE Only</t>
  </si>
  <si>
    <t>SKT_LTE_Only: 0x02011F30</t>
  </si>
  <si>
    <t>Carrier Updates: SKT LTE Only</t>
  </si>
  <si>
    <t>SKT_LTE_Only: 0x02011F31</t>
  </si>
  <si>
    <t>edited NVs:
850 = 1
added NVs/EFS:
5280 = 0
1014 = 0
67353 = 0</t>
  </si>
  <si>
    <t>at+cgdcont=1,"ip","nxtgenphone"</t>
  </si>
  <si>
    <t>at+cgdcont=2,"ipv4v6","ims"</t>
  </si>
  <si>
    <t>at+cgdcont=3,"ipv4v6","sos"</t>
  </si>
  <si>
    <t>ATT_VoLTE</t>
  </si>
  <si>
    <t>ATT_VoLTE MCFG SW Items List</t>
  </si>
  <si>
    <t>New Carrier Configuration: ATT_VoLTE</t>
  </si>
  <si>
    <t>Difference from ATT: 
PDP Profile 1 = at+cgdcont=1,"ip","nxtgenphone"
PDP Profile 2 = at+cgdcont=2,"ipv4v6","ims"
PDP Profile 3 = at+cgdcont=3,"ipv4v6","sos"</t>
  </si>
  <si>
    <t>modem_proc\mcfg\mcfg_gen\scripts\data\efs_files\att\volte\profile1</t>
  </si>
  <si>
    <t>modem_proc\mcfg\mcfg_gen\scripts\data\efs_files\att\volte\profile2</t>
  </si>
  <si>
    <t>modem_proc\mcfg\mcfg_gen\scripts\data\efs_files\att\volte\profile3</t>
  </si>
  <si>
    <t>ATT_VoLTE: 0x02010330</t>
  </si>
  <si>
    <t>Verizon: 0x0201013D</t>
  </si>
  <si>
    <t>added NV: 
6828 = 0x100A</t>
  </si>
  <si>
    <t>SKT_LTE_Only Update</t>
  </si>
  <si>
    <t>SKT_LTE_Only: 0x02011F32</t>
  </si>
  <si>
    <t>added NVs: 
1015,1016,1017 all = 0
added EFS: 
67305: 0
/ds/atcop/atcop_cops_auto_mode.txt
/nv/item_files/modem/lte/rrc/sib/cmas
72524: 0
72525: 0
edted EFS: 
/nv/item_files/modem/lte/rrc/cap/fgi
/nv/item_files/modem/lte/rrc/csg/csg_control</t>
  </si>
  <si>
    <t>Sprint: 0x02010237</t>
  </si>
  <si>
    <t>edited NVs: 
65777 = 0
3532 = 240
3533 = 5</t>
  </si>
  <si>
    <t>ATT &amp; ATT_VoLTE carrier update</t>
  </si>
  <si>
    <t>ATT: 0x02010335
ATT_VoLTE: 0x02010331</t>
  </si>
  <si>
    <t>ATT: 
updated profile1 file strucutre. No delta with actual contents
ATT_VoLTE: 
added NV: 
/nv/item_files/ims/qp_ims_reg_config_db (71527)
/nv/item_files/ims/qp_ims_ut_config (70263)
/nv/item_files/modem/mmode/supplement_service_domain_pref (70239)
edited NV:
/nv/item_files/ims/qp_ims_sip_extended_0_config (69744)</t>
  </si>
  <si>
    <t>/nv/item_files/modem/mmode/supplement_service_domain_pref</t>
  </si>
  <si>
    <t>supplement_service_domain_pref</t>
  </si>
  <si>
    <t>PS Supp Domain Pref (0 Auto, 1 CS only, 2 PS only, 3 PS Pref)</t>
  </si>
  <si>
    <t>Sprint: 0x02010238</t>
  </si>
  <si>
    <t>editedNVs/EFS:
70354, 70362
newNVs/EFS:
67213, 67267, 67268, 67266, 66048, 65778, 66472, 65819</t>
  </si>
  <si>
    <t xml:space="preserve">edited NV:
1897.Solicitation Interval </t>
  </si>
  <si>
    <t>Verizon: 0x0201013E</t>
  </si>
  <si>
    <t>Call Orig Allowed Before Ps Attach</t>
  </si>
  <si>
    <t>/nv/item_files/modem/data/3gpp/call_orig_allowed_before_ps_attach</t>
  </si>
  <si>
    <t xml:space="preserve">/nv/item_files/modem/data/3gpp/ps/apn_reject/apn_reject_name.txt </t>
  </si>
  <si>
    <t>APN Reject Name</t>
  </si>
  <si>
    <t>EFS entry to be of the form: reject_apn:ims;</t>
  </si>
  <si>
    <t>/nv/item_files/modem/lte_connection_control</t>
  </si>
  <si>
    <t>/nv/item_files/modem/lte/rrc/cep/conn_control_param_cfg</t>
  </si>
  <si>
    <t>/nv/item_files/modem/lte/rrc/cep/conn_control_barring_optmz_enable</t>
  </si>
  <si>
    <t>modem_proc\mcfg\mcfg_gen\scripts\data\efs_files\att\volte\apn_reject_name.txt</t>
  </si>
  <si>
    <t>lte_connection_control</t>
  </si>
  <si>
    <t>conn_control_param_cfg</t>
  </si>
  <si>
    <t>conn_control_barring_optmz_enable</t>
  </si>
  <si>
    <t>Enables DAM at LTE RRC
1: RRC DAM feature
2: NAS DAM feature (TBD)
3: DS DAM feature (TBD)</t>
  </si>
  <si>
    <t>holds all cfg params in 32b word
Bits  Field                  Default 
1-8   Crrc (int count)       5
8-16  Trrc (in minutes)      6
16-32 max_time_diff (in sec) 60</t>
  </si>
  <si>
    <t>Enables barring time opitmization
Bits 1-8 Barring Opt. en/dis
Bits 8-16 : conn_est_latency</t>
  </si>
  <si>
    <t>ATT &amp; ATT_VoLTE Update</t>
  </si>
  <si>
    <t>addedNV:
70332 = 1, 69679 = 1
addedEFS:
conn_control_barring_optmz_enable
conn_control_param_cfg
lte_connection_control</t>
  </si>
  <si>
    <t>ATT: 0x02010336
ATT_VoLTE: 0x02010332</t>
  </si>
  <si>
    <t>modem_proc\mcfg\mcfg_gen\scripts\data\efs_files\att\conn_control_barring_optmz_enable</t>
  </si>
  <si>
    <t>modem_proc\mcfg\mcfg_gen\scripts\data\efs_files\att\conn_control_param_cfg</t>
  </si>
  <si>
    <t>modem_proc\mcfg\mcfg_gen\scripts\data\efs_files\att\lte_connection_control</t>
  </si>
  <si>
    <t>TMO update</t>
  </si>
  <si>
    <t>TMO: 0x02010533</t>
  </si>
  <si>
    <t>editedNVs: 
65693
removedNVs: 
553, 896, 1030, 1031, 1302, 2508, 2509, 3649, 4118, 4173, 4210, 4432, 5107, 3635, 67204, 67205, 67210, 69676, 66035, 
/nv/item_files/modem/data/3gpp/ps/ser_req_throttle_behavior
/nv/item_files/modem/data/epc/pdn_throttling_config.txt
/nv/item_files/wcdma/rrc/wcdma_rrc_wtol_cm_support</t>
  </si>
  <si>
    <t>629305, 624749</t>
  </si>
  <si>
    <t>VZW: 0x0201013E</t>
  </si>
  <si>
    <t>added NV:
6253 = 1
added EFS:
/data/ds_eps_kamgr_pdn.txt
/data/iwlan_s2b_config.txt
/data/pdn_policy_db.txt</t>
  </si>
  <si>
    <t>ipv6_enabled</t>
  </si>
  <si>
    <t>0xFF7F</t>
  </si>
  <si>
    <t>Operation Mode</t>
  </si>
  <si>
    <t>Default IPv6 MTU</t>
  </si>
  <si>
    <t>/nv/item_files/datamodem/protocols/ip6_default_mtu</t>
  </si>
  <si>
    <t>3GPP Max Transmission Unit</t>
  </si>
  <si>
    <t>/nv/item_files/data/3gpp/ds_3gpp_mtu</t>
  </si>
  <si>
    <t>HSUSB Device Composition</t>
  </si>
  <si>
    <t>/nv/item_files/hsusb/device_composition</t>
  </si>
  <si>
    <t>65768
Placeholder for now</t>
  </si>
  <si>
    <t>Set this only for Fusion device and if you are using Hybrid mode</t>
  </si>
  <si>
    <t>Dynamic Port Cfg</t>
  </si>
  <si>
    <t>/nv/item_files/modem/data/dynamic_port_cfg</t>
  </si>
  <si>
    <t>PS Supplementary Service Domain Preference</t>
  </si>
  <si>
    <t>Verizon / ATT IMS updates</t>
  </si>
  <si>
    <t>Verizon: 0x02010140
ATT_VoLTE: 0x02010333</t>
  </si>
  <si>
    <t>Verizon updates:
4228, 67283, 67284, 70213, 66031, 67198, 67197, 70199, 70200, 70267, 65961, 65777, 67239, 67348, 67261, 67259, 69744, 67332, 67314, 67257, 69750, 71527, 71542, 67194, 70360, /nv/item_files/ims/qp_ims_presence_ext_config
ATT updates:
1896, 1920, 69673, 67332, 69749, 65814, 70202, 69750, 67283, 67284, 70287, 71572, 67194, 67195, 70233, 70291, 65768, 70319, 70263, 70239, 67261, 67264, 71527, 69744, 65959, 67348, 67281, 70235</t>
  </si>
  <si>
    <t>edited NV: 
6 = 9</t>
  </si>
  <si>
    <t>Sprint: 0x02010239</t>
  </si>
  <si>
    <t>Sprint: 0x0201023A</t>
  </si>
  <si>
    <t>added NV: 
72590 = 1</t>
  </si>
  <si>
    <t>Verizon: 0x02010141
ATT_VoLTE: 0x02010334</t>
  </si>
  <si>
    <t xml:space="preserve">
Verizon updates:
67280 = 55000
67281 = 60000
67348.version = 15
67348.local_upgrade_accept_timer = 55000
ATT_VoLTE updates:
67259.smsRATMaskString = 0x640E
67259.RatMaskValue = 25614
71527.ims_rat_apn_info[0].iRAT = 119
71527.rat_apn_fb_info[4].iRATAPNFallback = 25088
71527.rat_apn_fb_info[5].iRATAPNFallback = 29184</t>
  </si>
  <si>
    <t>edited NVs:
71522=0,1,1,1</t>
  </si>
  <si>
    <t>Verizon: 0x02010142</t>
  </si>
  <si>
    <t>edited NVs: 
67213 = 3, 67268 = 3, 67266 = 5000</t>
  </si>
  <si>
    <t>Sprint: 0x0201023B</t>
  </si>
  <si>
    <t>ATT_VoLTE: 0x02010335</t>
  </si>
  <si>
    <t>ATT Update</t>
  </si>
  <si>
    <t>Enable p-CSCF bits on Profies 2 &amp; 3</t>
  </si>
  <si>
    <t xml:space="preserve">added NVs: 
01014 =  0,1,0x1112, 0x1125, 0x1,0,0,0,0
01015 = 1, 00374=2 
00375=2, 02826=1, 0
no change: 
01016=1, 01017=2 </t>
  </si>
  <si>
    <t>Verizon: 0x02010143</t>
  </si>
  <si>
    <t>Updated PRL</t>
  </si>
  <si>
    <t>Sprint: 0x0201023C</t>
  </si>
  <si>
    <t>TMO: 0x02010534</t>
  </si>
  <si>
    <t>TMO Update</t>
  </si>
  <si>
    <t>IMS updates for TMO: 
edited NVs: 
850, 882, 1920, 3532, 3533, 10
added NVs/EFS: 
562, 855, 3446, 6862, 4265, 6830, 6831, 65956, 65961, 66472, 66473, 65777, 66048, 67218, 67261, 67264, 67259, 69744, 69673, 67348, 67332, 67257, 65959, 69750, 69749, 65814, 70202, 65955, 65957, 67194, 67195, 67199, 67280, 67281, 67282, 65964, 65960, 66031, 67239, 67240, 67241, 70213, 67225, 70291, 70287, 70233, 70239, 70263, 71527, 71540</t>
  </si>
  <si>
    <t>C2K Updates</t>
  </si>
  <si>
    <t>Back pressure NV items to be set for all c2k MBNs
added EFS for Verizon, CT_x, Sprint, KDDI, W-One: 
NV 69739 = 1 (enabled) and 1000 (timer_value)
NV 67208 = 1</t>
  </si>
  <si>
    <t>Verizon: 0x02010144
Sprint: 0x0201023D
CT: 0x02011335
CT_DSDS: 0x02011331
CT_DSDA: 0x02011331
W-One: 0x0201193A
KDDI: 0x02010735</t>
  </si>
  <si>
    <t>Verizon: 0x02010145</t>
  </si>
  <si>
    <t>TMO &amp; ADAPT updates
Sprint Update</t>
  </si>
  <si>
    <t>Added NV: 
4722 = 3
Also updated Sprints carrier_policy path: 
modem_proc\mmcp\policyman\configurations\Carrier\Sprint\No_GSM_in_USA\carrier_policy.xml
Updated internal macros to generate revision statistics</t>
  </si>
  <si>
    <t>0x00 -  Forces the UE to be Rel 99 NAS  specification compliant.      
0x01 -  Forces the UE to be Rel 5 NAS specification-compliant. 
0x02 -  Forces the UE to be Rel 6 NAS specification-compliant. 
0x03 -  Forces the UE to be Rel 7 NAS specification-compliant.</t>
  </si>
  <si>
    <t>TMO: 0x02010535
ATT: 0x02010337
ATT_VoLTE: 0x02010336
Sprint: 0x0201023E</t>
  </si>
  <si>
    <t>Spreadsheet statistics</t>
  </si>
  <si>
    <t>Total carrier configurations</t>
  </si>
  <si>
    <t>Total supported items (NV &amp; EFS)</t>
  </si>
  <si>
    <t>Corrections: TMO update</t>
  </si>
  <si>
    <t>TMO: 0x02010536</t>
  </si>
  <si>
    <t>corrected EFS entries: 
71540, 70263</t>
  </si>
  <si>
    <t>Workbook updates</t>
  </si>
  <si>
    <t>Updates enable generation of single carriers</t>
  </si>
  <si>
    <t>Select Carriers for Generation</t>
  </si>
  <si>
    <t>Verizon</t>
  </si>
  <si>
    <t xml:space="preserve">
Verizon_1xSRLTE: 0x02010140</t>
  </si>
  <si>
    <t>Verizon_1xSRLTE update:
updated/edited NVs: 
5, 905, 4399, 1892, 1895, 1962, 2822, 3446, 3632, 4231, 4227
edited EFS: 
65674, 67288, 67289, 66045, 66048
new EFS: 
67288, 67270, 67292, 65677, 72538, 72539, 72550, 65819, 72594, 72608
/nv/item_files/modem/lte/ML1/spv_timer_connected
/nv/item_files/modem/lte/ML1/cdrx_collision_params
/policyman/carrier_policy.xml</t>
  </si>
  <si>
    <t>Verizon_1xSRLTE update</t>
  </si>
  <si>
    <t>ATT/ATTVoLTE update</t>
  </si>
  <si>
    <t>Update profile path to lower case</t>
  </si>
  <si>
    <t>ATT: 0x02010338
ATT_VoLTE: 0x02010337</t>
  </si>
  <si>
    <t>W-one update for gstk feature mask</t>
  </si>
  <si>
    <t>65674 GSTK Feature Bitmask set to 0x47</t>
  </si>
  <si>
    <t>W-One: 0x0201193B</t>
  </si>
  <si>
    <t xml:space="preserve">
Verizon_1xSRLTE: 0x02010141</t>
  </si>
  <si>
    <t>Corrected profile1
udpated carrier_policy entry</t>
  </si>
  <si>
    <t>ATT_VoLTE IMS update</t>
  </si>
  <si>
    <t>added EFS: 
71597: /nv/item_files/ims/qipcall_qos_config</t>
  </si>
  <si>
    <t>ATT_VoLTE: 0x02010338</t>
  </si>
  <si>
    <t>W-one update</t>
  </si>
  <si>
    <t>W-One : 0x0201193C</t>
  </si>
  <si>
    <t>Set 70319 to 2 by default in MCFG</t>
  </si>
  <si>
    <t>Default : 0x02E00033</t>
  </si>
  <si>
    <t>Default update</t>
  </si>
  <si>
    <t>Verizon_1xSRLTE: 0x02010143</t>
  </si>
  <si>
    <t>Verizon update
Verizon_1xSRLTE update</t>
  </si>
  <si>
    <t xml:space="preserve">both Verizon Configs: 
added  new NV/EFS :                                                               NV 70299 =2000 /nv/item_files/modem/uim/gstk/attach_ctrl_timer   </t>
  </si>
  <si>
    <t>Verizon: 0x02010146
Verizon_1xSRLTE : 0x02010142</t>
  </si>
  <si>
    <t>677496
665181</t>
  </si>
  <si>
    <t>editedEFS: 
(67219 not included )
72561 = 311, 480
updated EFS: 
added Operator Reserved PCO bits  to profiles 1 &amp; 3
updated carrier policy.xml
ds_dsd_attach_profile.txt
ds_dsd_apm_rules.txt
Profile1, profile3</t>
  </si>
  <si>
    <t>Sprint update</t>
  </si>
  <si>
    <t>Sprint: 0x0201023F</t>
  </si>
  <si>
    <t>added NVs/EFS and removed place holder &amp; NV 304: 6,10,441,562,850,855,880,881,1018,3515,3532,3533,4204,4964,6828,65777,66035,65881,65883,4398,3635,67290,3634,4185,4192,259,463,67213,67268,65778</t>
  </si>
  <si>
    <t>Forked from rev #74 of the gen/common spreadsheet</t>
  </si>
  <si>
    <t>Initial Version for NA</t>
  </si>
  <si>
    <t>Verizon_hVoLTE</t>
  </si>
  <si>
    <t>Verizon_hVoLTE: 0x02010160</t>
  </si>
  <si>
    <t>Added new Verizon_hVoLTE Carrier : Verizon_1xSRLTE+NV66048,72538,72610,69679, 72561</t>
  </si>
  <si>
    <t>Updated NV 65777 to 0 (voice centric)</t>
  </si>
  <si>
    <t>Sprint: 0x02010240</t>
  </si>
  <si>
    <t>Verizon, Verizon_1xSRLTE, Verizon_hVoLTE updates</t>
  </si>
  <si>
    <t>Verizon: 0x02010148
Verizon_1xSRLTE: 0x02010144 
Verizon_hVoLTE: 0x02010161
ATT_VoLTE: 0x02010339</t>
  </si>
  <si>
    <t>For just "Verizon":
    *  72553 = 0
    *  67348, 70291 updated
    *  66048 --&gt; 3 (was already set)
    *  72538 -&gt; 0, 0 (added from hVoLTE)
    *  72610 -&gt; 0, 1, 1, 1, 10, 0, 0 (added from 1xSRLTE)
    *  69679 -&gt; 1 (was already set)
    *  72561 -&gt; 2, 3, 1, 1, 4, 8, 0, 0, 0, 1, 0, 1, 0 (added from hVoLTE)
For all Verizon configs:
    *  71524 --&gt; (version set to 0, get_net_auto_mode set to 1)
    *  67219 -&gt; 1
    *  67326 -&gt; 1
ATT_VoLTE:
added EFS: 
67314, 71597,  71542, 72553
updated EFS: 
69744, 67348, 70291</t>
  </si>
  <si>
    <t xml:space="preserve">Verizon: 0x02010148
Verizon_1xSRLTE: 0x02010145
Verizon_hVoLTE: 0x02010162
</t>
  </si>
  <si>
    <t>Added 3GPP legacy profile: VZWADMIN,VZWINTERNET,
VZWAPP</t>
  </si>
  <si>
    <t>Sprint: 0x02010241</t>
  </si>
  <si>
    <t xml:space="preserve">Changed carrier policyman to PM ver: 28.1.1
</t>
  </si>
  <si>
    <t>Verizon: 0x02010149
Verizon_1xSRLTE: 0x02010146
Verizon_hVoLTE: 0x02010163</t>
  </si>
  <si>
    <t xml:space="preserve">Added NV : 1897,1206 and added "pdn_throttling_config file" in EFS&gt;root&gt;nv&gt;item_files&gt;modem&gt;data&gt;epc&gt;pdn_throttling_config </t>
  </si>
  <si>
    <t>Added NV 72561: PLMN “311-090” and updated EFS File Name: ds_dsd_apm_rules.txt</t>
  </si>
  <si>
    <t>Verizon: 0x0201014A
Verizon_1xSRLTE: 0x02010147
Verizon_hVoLTE: 0x02010164</t>
  </si>
  <si>
    <t>ATT_VoLTE Update</t>
  </si>
  <si>
    <t>ATT_VoLTE: 0x0201033A 
ATT: 0x02010339</t>
  </si>
  <si>
    <t>ENS Sub Features Status List</t>
  </si>
  <si>
    <t>/nv/item_files/modem/uim/mmgsdi/ens_sub_features_status_list</t>
  </si>
  <si>
    <t>scan_control_application_support</t>
  </si>
  <si>
    <t>nw_selection_menu_control_application_support</t>
  </si>
  <si>
    <t>acting_hplmn_rescan_feature_support</t>
  </si>
  <si>
    <t>rat_balancing_support</t>
  </si>
  <si>
    <t>Updated NVs for ATT VoLTE:
* 67194
* 70291
* 70263
* 67261
* 67264
* 67348
* 67314
* 67281
* 65960
Added NV 71569 for ATT and ATT VoLTE</t>
  </si>
  <si>
    <t>All configs updated</t>
  </si>
  <si>
    <t>Ported from Dime 4.0 ver 9</t>
  </si>
  <si>
    <t>Verizon: 0x04010100
Verizon_1xSRLTE: 0x04010120
Verizon_hVoLTE: 0x04010140
Sprint: 0x04010200
ATT: 0x04010300
ATT_VoLTE: 0x04010300
TMO: 0x04010500</t>
  </si>
  <si>
    <t>Add APN_Class to 3GPP2 profiles. Made all IPV4_V6.
edited EFS: 
/pdp_profiles/embedded_call_prof_num = 3</t>
  </si>
  <si>
    <t>Verizon &amp; W-One: 
added EFS: 
/pdp_profiles/tethered_call_prof_nums
/pdp_profiles/embedded_call_prof_nums</t>
  </si>
  <si>
    <t>edited EFS: 
Verizon:
/pdp_profiles/tethered_call_prof_nums: 3,3
/pdp_profiles/embedded_call_prof_nums: 3,3
W-One: 
/pdp_profiles/tethered_call_prof_nums: 1,1
/pdp_profiles/embedded_call_prof_nums: 1,1</t>
  </si>
  <si>
    <t>ATT + ATT_VoLTE Update</t>
  </si>
  <si>
    <t>Updated NVs:
70331 -&gt; 1
72579 -&gt; 0
72564 -&gt; 0
70361 -&gt; 1</t>
  </si>
  <si>
    <t>ATT_VoLTE: 0x04010301
ATT: 0x04010301</t>
  </si>
  <si>
    <t>Umts Nw Initiated Qos Support</t>
  </si>
  <si>
    <t>/nv/item_files/modem/data/3gpp/umts_nw_initiated_qos_support</t>
  </si>
  <si>
    <t>NAS CSG Support Configuration</t>
  </si>
  <si>
    <t>/nv/item_files/modem/nas/csg_support_configuration</t>
  </si>
  <si>
    <t>csg support</t>
  </si>
  <si>
    <t>3GPP Redial For No Cause</t>
  </si>
  <si>
    <t>/nv/item_files/modem/data/3gpp/ps/ds_3gpp_redial_for_no_cause</t>
  </si>
  <si>
    <t>L to W QOS Continuity</t>
  </si>
  <si>
    <t>/nv/item_files/modem/data/3gpp/L_to_W_qos_continuity</t>
  </si>
  <si>
    <t>L_to_W_qos_continuity</t>
  </si>
  <si>
    <t>Verizon Updates</t>
  </si>
  <si>
    <t>Set NV 3635[10] = 30</t>
  </si>
  <si>
    <t>Verizon: 0x04010101
Verizon_1xSRLTE: 0x04010121
Verizon_hVoLTE: 0x04010141</t>
  </si>
  <si>
    <t xml:space="preserve">Profiles updates:      (1)  Profile3-Profile3-APN  =  wonev6.com for 3gpp (2) Profile4- Profile4 -APN  = wonev4v6.com for 3gpp (3) Profile_102  - /application_specific_profiles/profile_102.txt  - APN  = wonev6.com for 3gpp2, (4) Profile_104 - /application_specific_profiles/profile_104.txt -APN  = wonev4v6.com for 3gpp2                                                                   </t>
  </si>
  <si>
    <t>Config updates</t>
  </si>
  <si>
    <t xml:space="preserve">Updates to target profiles paths for all configs. Profiles now stored in “/Data_Profiles/SubsX” directory </t>
  </si>
  <si>
    <t>MMGSDI  Features Status List</t>
  </si>
  <si>
    <t>/nv/item_files/modem/uim/mmgsdi/features_status_list</t>
  </si>
  <si>
    <t>modem_proc\mcfg\mcfg_gen\scripts\data\efs_files\att\features_status_list</t>
  </si>
  <si>
    <t>Verizon 0x04010102
Verizon_1xSRLTE 0x04010122
Verizon_hVoLTE 0x04010142
Sprint 0x04010201
ATT 0x04010303
ATT_VoLTE 0x04010303
TMO 0x04010501</t>
  </si>
  <si>
    <t>ATT updates</t>
  </si>
  <si>
    <t>Updated profile listings for ATT</t>
  </si>
  <si>
    <t>ATT 0x04010304
ATT_VoLTE 0x04010304</t>
  </si>
  <si>
    <t>ATT/Tmo updates</t>
  </si>
  <si>
    <t>705789
676695</t>
  </si>
  <si>
    <t>slot_efs_item</t>
  </si>
  <si>
    <t>ATT 0x04010305
ATT_VoLTE 0x04010305
TMO 0x04010502</t>
  </si>
  <si>
    <t>TMO: 
IINs changed to 8949024, 8944302
ATT configs: 
65781 - changed to slot based EFS item</t>
  </si>
  <si>
    <t>Added unmarked NV # EFS file</t>
  </si>
  <si>
    <t>Verizon_1xSRLTE: 0x04010123
Verizon_hVoLTE: 0x04010143</t>
  </si>
  <si>
    <t>NV 67197 set to 15,000</t>
  </si>
  <si>
    <t>Verizon_hVoLTE: 0x04010144</t>
  </si>
  <si>
    <t>Updated NV67211:
feature purge_temp_identities = enabled
feature uicc_rat_indicator = enabled</t>
  </si>
  <si>
    <t>ATT 0x04010306
ATT_VoLTE 0x04010306</t>
  </si>
  <si>
    <t>All configs updates</t>
  </si>
  <si>
    <t>IINs updated for configs: 
TMO: 
8949024, 8944302, 8901026, 
8901160, 8901260, 8901490
ATT: 
8901410, 8901030, 8901150, 
8901170, 8901560,  8901680
Verizon: 
891480, 891004, 891005, 891012</t>
  </si>
  <si>
    <t>Verizon 0x04010104
Verizon_1xSRLTE 0x04010124
Verizon_hVoLTE 0x04010145
ATT 0x04010307
ATT_VoLTE 0x04010307
TMO 0x04010503</t>
  </si>
  <si>
    <t>Verizon IMS Updates</t>
  </si>
  <si>
    <t>Changes listed in \\frosty\MST_Certification_Logs\VZW\BINMO\VZW_diff_IMS</t>
  </si>
  <si>
    <t xml:space="preserve">Verizon: 0x04010105
Verison_1xSRLTE: 0x04010125
Verizon_hVoLTE: 0x04010146
</t>
  </si>
  <si>
    <t>ATT: 0x04010308
ATT_VoLTE: 0x04010308</t>
  </si>
  <si>
    <t>ATT GNSS Operation updates</t>
  </si>
  <si>
    <t>NV #1920  AAGPS Positioning Modes Supported = 0xFF7F
NV #67217 GNSS AGPS RAT Preference = 1, 0xFFFF
NV #6792  SUPL Version = 0x00020000
NV #65811 GNSS 1X UP SUPL Enable = 0
NV #04703 UMTS PDE Server Address URL = '\0'
NV #452 GPS LOCK =0
NV #3758 AGPS Transport Security ID =1
NV #6789  GNSS NMEA Sentence Type ID = 0x3F
NV #6790 GNSS NMEA Extended Sentence Type ID = 0 
NV #70192  Assisted GLONASS Positioning Protocol Select = 0x2
NV #67225 Assisted GPS LPP Positioning Protocol Select  = 2
Other Non-GNSS related NV items required for supporting AGNSS on WCDMA (RRC-R8)
NV #03649 WCDMA RRC VERSION (For supporting RRC R8 on the modem)=4
NV #71564 RRC AGNSS support (For supporting AGNSS on RRC R8)=TRUE</t>
  </si>
  <si>
    <t>GNSS AGPS RAT Preferences</t>
  </si>
  <si>
    <t>/nv/item_files/gps/cgps/sm/gnss_agps_rat_pref_config</t>
  </si>
  <si>
    <t>umts lte preferred</t>
  </si>
  <si>
    <t>agps_rat_enable_bitmask</t>
  </si>
  <si>
    <t>GNSS SUpL Version</t>
  </si>
  <si>
    <t>gnss_supl_version</t>
  </si>
  <si>
    <t>0x00020000</t>
  </si>
  <si>
    <t>GNSS 1X Up SUPL Enable</t>
  </si>
  <si>
    <t>/nv/item_files/gps/cgps/sm/gnss_1x_up_supl_enable</t>
  </si>
  <si>
    <t>CGPS UMTS  PDE Server Address URL</t>
  </si>
  <si>
    <t>cgps_umts_pde_server_addr_url</t>
  </si>
  <si>
    <t xml:space="preserve">GPSOne Lock </t>
  </si>
  <si>
    <t>gps1_lock</t>
  </si>
  <si>
    <t>AAGPS Use Transport Security</t>
  </si>
  <si>
    <t>aagps_use_transport_security</t>
  </si>
  <si>
    <t>GNSS NMEA Sentence Type (Obsolete)</t>
  </si>
  <si>
    <t>gnss_nmea_sentence_type</t>
  </si>
  <si>
    <t>GNSS NMEA Extended Sentence Type (Obsolete)</t>
  </si>
  <si>
    <t>gnss_nmea_extended_sentence_type</t>
  </si>
  <si>
    <t>GNSS A-Glonass Protocol Select</t>
  </si>
  <si>
    <t>/nv/item_files/gps/cgps/sm/gnss_assisted_glo_protocol_select</t>
  </si>
  <si>
    <t>0x2</t>
  </si>
  <si>
    <t>0x3F</t>
  </si>
  <si>
    <t>RRC GANSS Support</t>
  </si>
  <si>
    <t>/nv/item_files/wcdma/rrc_ganss_support_nv</t>
  </si>
  <si>
    <t>Set NV 72551 and NV 70328 to 1</t>
  </si>
  <si>
    <t>Set NV 70328 ref_10_throttling = 1</t>
  </si>
  <si>
    <t>Verizon: 0x04010107</t>
  </si>
  <si>
    <t>Verizon: 0x04010108</t>
  </si>
  <si>
    <t>Update DSDS inactivity timer</t>
  </si>
  <si>
    <t>Verizon_1xSRLTE: 0x04010126
Verizon_hVoLTE: 0x04010147</t>
  </si>
  <si>
    <t>Sprint 0x04010202</t>
  </si>
  <si>
    <t>7162 = 1,3</t>
  </si>
  <si>
    <t>Verizon updates</t>
  </si>
  <si>
    <t>Verizon 0x04010109
Verizon_1xSRLTE 0x04010127
Verizon_hVoLTE 0x04010148</t>
  </si>
  <si>
    <t>all Vzw configs: 
added EFS: 
71517: 1,15</t>
  </si>
  <si>
    <r>
      <t>716012</t>
    </r>
    <r>
      <rPr>
        <sz val="10"/>
        <color theme="1"/>
        <rFont val="Arial"/>
        <family val="2"/>
      </rPr>
      <t> </t>
    </r>
  </si>
  <si>
    <t>Verizon_1xSRLTE 0x04010128
Verizon_hVoLTE/Verizon: 0x04010149</t>
  </si>
  <si>
    <t>Renamed Verizon hVolte --&gt; Verizon
Both Verizon_hVolte/Verizon and Verizon_1xSRLTE
04228 = 0
03532 =  0
03533 = 0
70222 = Not Applicable
04398 = Not Applicable
67198 = 0
67197 = Not Applicable
65961 =  0
70199 =  Not Applicable
70200 = Not Applicable
66473 = 0
67264 (RegConfigRegistrationAttempts) = 0
67264 (regManagerPDPFailureSchedule)  = 10
67259 (smsConfigVDN)  =  0000008197
69744 (TCPThresholdValue) = 1500,       (AuthScheme)  = 1
67332 version = 3, audio_offload = 2, video_offload = 0
69750 (WFC_status = ims_operation_submode = ims_operation_submode) = 0
70291 (iH264_preferred_resolution) = 7, (iH264_min_bit_rate) = 64
Removed BuildVer box from Summary spreadsheet</t>
  </si>
  <si>
    <t>Verizon update</t>
  </si>
  <si>
    <t>Verizon update: Home PLMN List: add 001-01</t>
  </si>
  <si>
    <t xml:space="preserve"> Verizon_1xSRLTE 0x04010129</t>
  </si>
  <si>
    <t>added EFS: 
70328 (rel_10_throttling)  : Set to 1. (Default value:0) 
72551 (rel_10_throttling_per_plmn): Set to 1 (Default value:0)
omitted EFS req: 
72560 (RegPDNThrottling):    Set to 0 (Default value:0)</t>
  </si>
  <si>
    <t>Verizon: 0x0401014A
Verizon_1xSRLTE 0x0401012A</t>
  </si>
  <si>
    <t xml:space="preserve">Verizon updates </t>
  </si>
  <si>
    <t>Verizon: 0x0401014B
Verizon_1xSRLTE 0x0401012B</t>
  </si>
  <si>
    <t xml:space="preserve">added EFS: 
/nv/item_files/modem/uim/gstk/feature_bmsk = 0x57
</t>
  </si>
  <si>
    <t>/nv/item_files/modem/uim/mmgsdi/ens_slot_enabled</t>
  </si>
  <si>
    <t>Ens Slot Enabled</t>
  </si>
  <si>
    <t>Verizon &amp; ATT Updates</t>
  </si>
  <si>
    <t>added EFS
ATT_VoLTE:
73534 – /nv/item_files/modem/uim/mmgsdi/ens_slot_enabled = 1
Verizon &amp; Verizon_1xSRLTE:
70299 = 2000ms</t>
  </si>
  <si>
    <t>Verizon 0x0401014C
Verizon_1xSRLTE 0x0401012D
ATT_VoLTE 0x04010309</t>
  </si>
  <si>
    <t>Verizon &amp; Sprint Updates</t>
  </si>
  <si>
    <t>TMO updates</t>
  </si>
  <si>
    <t>71597 (QoSInactiveInvite) = 0
71597 (QoSInactiveReInvite) = 0
71554 (version) = 1
71554 (ims_cache_expiry_duration) = 5000
71554 (mid_call_support) = 1
73544 = 0
profile1 = "IP", "fast.t-mobile.com"
profile2 = "IPV4V6", "ims", PCO
profile3 = "IPV4V6", "sos", PCO</t>
  </si>
  <si>
    <t>70263 (eUtGBAUbType) = 0
70263 (eUtGBAUbMode) = 0 
70263 (utBSFAddr) = 0
71527 (ims_rat_apn_info[1].iRAT) = 0
71527 (ims_rat_apn_info[1].iAPNType_APNindex) = 0
71527 (ims_rat_apn_info[1].iIMSServiceInfo) = 0
71527 (ims_rat_apn_info[1].iAuth_SecType) = 0
71527 (ims_rat_apn_info[1].iIPTypeInfo) = 0
71527 (rat_apn_fb_info[1].iRATAPNFallback) = 0
71527 (rat_apn_fb_info[2].iRATAPNFallback) = 0
71527 (iISIMPriority) = 2
71527 (iNVPriority) = 3
69679 = empty
71544 (Cellid) = 0
71540 (USSDEnable) = 0
71572 = 10000
70235 (Tdelay) = 0
70235 (iEmerIPFallback) = 0
65958 = 0
72553 = 0
71597 (Version) = 0
71597 (LocalQoSAudio) = 1
71597 (LocalQosVideo) = 1</t>
  </si>
  <si>
    <t>Remove 06828
Remove 70287
Remove 01877</t>
  </si>
  <si>
    <t>Verizon: 0x0401014D
Verizon_1xSRLTE: 0x0401012E
Sprint: 0x04010203
ATT: 0x04010309
ATT_VoLTE: 0x04010310
TMO: 0x04010504</t>
  </si>
  <si>
    <t>TMO: 0x04010504</t>
  </si>
  <si>
    <t>67264 (regManagerPreConfigServerBase) = empty 
67264 (RegConfigDelayAttemptTimer) = 120
67259 (smsRATMaskString) = 0x400
67259 (RatMaskValue) = 1024
69744 (version) = 6
69744 (Timer_TfValue) = 32000
69744 (Timer_TJValue) = 32000
69744 (AuthScheme) = 0
69744 (AuthHeaderValue) = empty
69744 (ProxyRouteValue) = empty
69744 (Timer_TBValue) = 32000 (new)
67348 (Version) = 15
67348 (E911_CALL_TIMER) = 0
67348 (local_upgrade_accept_timer) = 0
67348 (eQIPCALL_CONFERENCE_INDIALOG_SUBSCRIPTION) = 0
67348 (multitask_mode) = 0
67332 (gmin) = 0
67332 (tx_system_delay) = 0
67332 (rx_system_delay) = 0
67332 (Audio_offload) = 0
67332 (Video_offload) = 0
67257 (voipConfigConfURI) = 8881112663</t>
  </si>
  <si>
    <t>69749 = 1500
65814 = 1500
67239 = 0
70291 (H264 preferred resolution) = 7
70291 (H264 preferred frame rate_1) = 0
70291 (H264 preferred bit rate_1) = 0
70291 (H264 preferred resolution_1) = 0
70291 (H264 preferred profile level_1) = 0
70291 (H264 min frame rate_1) = 0
70291 (H264 max frame rate_1) = 0 
70291 (H264 min bit rate_1) = 0
70291 (H264 max bit rate_1) = 0
70291 (H264 resolutions supported_1) = 0 
70291 (H264 min profile levels per resolution_1) = 0
70291 (H264 H264 Profile_1) = 0
70239 = 2
70263 (utAPNName) = fast.t-mobile.com
70263 (utDomainName) = empty
70263 (utPAssociatedURI) = empty
70263 (iUtRetryTimerValue) = 10
70263 (iUtRetryAttemptCount) = 5</t>
  </si>
  <si>
    <t>ATT VoLTE updates</t>
  </si>
  <si>
    <t>726203
721192
723377
731221</t>
  </si>
  <si>
    <t>69749 = 2000
69744 (iRouteHeaderEnabled) = 1
69744 (iGzipDecodingOutBufferMultiplier) = 60
67348 (video_media_profile_mode) = 3
67332 (qdj_drop_threshold) = 60
71597 (Version) = 1
71597 (QoSInactiveInvite) = 1
71597 (QoSInactiveReInvite) = 0
67240 = 1
67241 = 1
65633 = 0x000000803B0F30DF
70358 (pdown_on_consecutive_techprob) = 1
70358 (cnt_of_consecutive_techprob) = 3</t>
  </si>
  <si>
    <t>ATT_VoLTE 0x04010311</t>
  </si>
  <si>
    <t>LTE Band Preference</t>
  </si>
  <si>
    <t>/nv/item_files/modem/mmode/lte_bandpref</t>
  </si>
  <si>
    <t>LTE Band Pref</t>
  </si>
  <si>
    <t>UIMDRV NV Pdown UIM Consecutive Techproblems</t>
  </si>
  <si>
    <t>/nv/item_files/modem/uim/uimdrv/nv_pdown_uim_consecutive_techproblems</t>
  </si>
  <si>
    <t>pdown_on_consecutive_techprob</t>
  </si>
  <si>
    <t>cnt_consecutive_techprob</t>
  </si>
  <si>
    <t>VZW: 0x0401014E
VZW_1xSRLTE: 0x0401012F</t>
  </si>
  <si>
    <t>profile1="LTE"
profile2="LTE"
profile3="LTE", App user data=1
profile4="LTE"
profile5="IPV4V6",vzw800, "LTE", app user data=0
profile106="G+W", class=2,"vzwadmin"
profile107="G+W", app user data=1, class=3, "vzwinternet"
profile108="G+W", class=4,"vzwapp"</t>
  </si>
  <si>
    <t>Sprint: 0x04010204</t>
  </si>
  <si>
    <t>profile1="3GPP2", apn_name="n.ispsn", "IPv4v6"
65777=1</t>
  </si>
  <si>
    <t>ATT: 0x0401030A
ATT_VoLTE: 0x04010312
TMO: 0x04010505</t>
  </si>
  <si>
    <t>8901410, 8901030, 8901150, 8901170, 8901560,  8901680, 890138</t>
  </si>
  <si>
    <t>0x39</t>
  </si>
  <si>
    <t>0x06</t>
  </si>
  <si>
    <t>10=13 for 2nd sub
850=0 for 2nd sub
69689="T-Mobile VOLTE Qualcomm"
add IIN 8901490</t>
  </si>
  <si>
    <t>ATT/TMO updates</t>
  </si>
  <si>
    <t>efs: "/data/ds_dsd_apm_rules.txt": 
'ATTACH_TYPE_RULES:TRUE; P-CSCFRequired:2;'</t>
  </si>
  <si>
    <t>VZW: 0x0401014F
VZW_1xSRLTE: 0x04010130</t>
  </si>
  <si>
    <t>Removed 106, 107 and 108 profiles</t>
  </si>
  <si>
    <t>VZW: 0x04010150
VZW_1xSRLTE: 0x04010131</t>
  </si>
  <si>
    <t>Added TMO IWLAN settings to TMO</t>
  </si>
  <si>
    <t>All NVs updated as per unified document into TMO sheet</t>
  </si>
  <si>
    <t>TMO: 0x04010506</t>
  </si>
  <si>
    <t>TMO: 0x04010507</t>
  </si>
  <si>
    <t>65674=0x46</t>
  </si>
  <si>
    <t>VZW: 0x04010151
VZW_1xSRLTE: 0x04010132</t>
  </si>
  <si>
    <t>73561=0</t>
  </si>
  <si>
    <t>Verizon_Hvolte 0x04010152</t>
  </si>
  <si>
    <t>726851 amd 730575</t>
  </si>
  <si>
    <t>726851 -&gt; E911IPV6Enabled = 1 for NV 67261 (vzw hvolte)
730575 -&gt; NV 71581 = Changes as per CR defination (vzw hvolte)</t>
  </si>
  <si>
    <t>Vzw Hvolte Update (renamed Verizon to Verizon_hVOLTE for the sheet)</t>
  </si>
  <si>
    <t>Remove 3649</t>
  </si>
  <si>
    <t>ATT_VoLTE update</t>
  </si>
  <si>
    <t>ATT: 0x0401030B
ATT_VOLTE: 0x04010314</t>
  </si>
  <si>
    <t>67348=30000</t>
  </si>
  <si>
    <t>ATT_VOLTE: 0x04010313</t>
  </si>
  <si>
    <t>VZW MBN BO 2.0 - Update to few NVs/EFS files</t>
  </si>
  <si>
    <t>67344(3GPP PS Allow infinite Throttling) =1 and 67264:regManagerPDPFailureSchedule set to 1(vzw hvolte and vzw srlte)</t>
  </si>
  <si>
    <t>Verizon_Hvolte:0x04010153  VZW_1xSRLTE:0x04010133</t>
  </si>
  <si>
    <t>GENERIC</t>
  </si>
  <si>
    <t>Carrier</t>
  </si>
  <si>
    <t>NA</t>
  </si>
  <si>
    <t>VoLTE</t>
  </si>
  <si>
    <t>VoLTE-ATT</t>
  </si>
  <si>
    <t>Non_VoLTE</t>
  </si>
  <si>
    <t>ATT_NoN_VoLTE MCFG SW Items List</t>
  </si>
  <si>
    <t>Att_Volte</t>
  </si>
  <si>
    <t>Remove ATT MBN and replace with ATT_NoN_VoLTE MBN</t>
  </si>
  <si>
    <t>ATT Non_VoLTE:0x04010314</t>
  </si>
  <si>
    <t>QoSInactiveInvite field of NV 71597 is set to 0 And type for 73534 is updated to slot_efs_item</t>
  </si>
  <si>
    <t>ATT_VOLTE: 0x04010315 ATT Non_VoLTE:0x04010315</t>
  </si>
  <si>
    <t>MCFG.MPSS.5.0</t>
  </si>
  <si>
    <t>QC_version_type</t>
  </si>
  <si>
    <t>QC_version_len</t>
  </si>
  <si>
    <t>QC_version</t>
  </si>
  <si>
    <t>ATT_VOLTE: 0x05010301 ATT Non_VoLTE:0x05010301</t>
  </si>
  <si>
    <t>Compatibility and QC_Version Updates  Removed NV65674</t>
  </si>
  <si>
    <t>H264.min_bit_rate -&gt; 64</t>
  </si>
  <si>
    <t>ATT_VOLTE: 0x05010302</t>
  </si>
  <si>
    <t>NV67240:0 , NV67241:0</t>
  </si>
  <si>
    <t>ATT_VOLTE: 0x05010303</t>
  </si>
  <si>
    <t>0x000000803B0F38DF</t>
  </si>
  <si>
    <t>NV 65633:0x000000803B0F38DF</t>
  </si>
  <si>
    <t>ATT_VOLTE: 0x05010304, ATT Non_VoLTE:0x05010302</t>
  </si>
  <si>
    <t>ATT_VOLTE: 0x05010305</t>
  </si>
  <si>
    <t>NV70287  = 1, 71597.QoSInactiveInvite = 1</t>
  </si>
  <si>
    <t>NV70287  = 1 for Non_VoLTE(for non-Mav)</t>
  </si>
  <si>
    <t>ATT Non_VoLTE:0x05010302</t>
  </si>
  <si>
    <t>NV 67348:version=19, consent_controlled:enabled</t>
  </si>
  <si>
    <t>ATT_VOLTE: 0x05010306</t>
  </si>
  <si>
    <t>769882, 787074</t>
  </si>
  <si>
    <t>VoLTE:
H264 preferred resolution should be 7
NV69744:
69744.iTimer_TRelResponseRetry = 32000
69744.Version = 16
Removed NV74, NV75</t>
  </si>
  <si>
    <t>ATT_VOLTE: 0x05010307
ATT Non_VoLTE:0x05010303</t>
  </si>
  <si>
    <t>IIN_list length updated to 30</t>
  </si>
  <si>
    <t>ATT_VOLTE: 0x05010308
ATT Non_VoLTE:0x05010304</t>
  </si>
  <si>
    <t>71597 NV item is not set correctly for ATT network</t>
  </si>
  <si>
    <t xml:space="preserve">ATT_VOLTE: 0x05010309
</t>
  </si>
  <si>
    <t>67332 = 0</t>
  </si>
  <si>
    <t xml:space="preserve">ATT_VOLTE: 0x0501030A
</t>
  </si>
  <si>
    <t>67348  chnaged</t>
  </si>
  <si>
    <t xml:space="preserve">ATT_VOLTE: 0x0501030B
</t>
  </si>
  <si>
    <t>Need to set Signaling Indication bit for IMS APN in ATT-VoLTE MBN</t>
  </si>
  <si>
    <t>ATT_VOLTE: 0x0501030C</t>
  </si>
  <si>
    <t>NV67261.IsIpv6PrivateAddrEnabled=1</t>
  </si>
  <si>
    <t>ATT_VOLTE: 0x0501030D</t>
  </si>
  <si>
    <t>SMS MMGSDI Refresh Vote OK</t>
  </si>
  <si>
    <t>/nv/item_files/modem/sms/mmgsdi_refresh_vote_ok</t>
  </si>
  <si>
    <t>ATT_VOLTE: 0x0501030E
ATT Non_VoLTE:0x05010305</t>
  </si>
  <si>
    <t>NV73509 = 0</t>
  </si>
  <si>
    <t>ATT IMS updates</t>
  </si>
  <si>
    <t>ATT_VOLTE: 0x0501030F
ATT Non_VoLTE:0x05010306</t>
  </si>
  <si>
    <t>GROUP1:IMS</t>
  </si>
  <si>
    <t>IMS Media Config</t>
  </si>
  <si>
    <t>/nv/item_files/ims/qp_ims_media_config</t>
  </si>
  <si>
    <t>version</t>
  </si>
  <si>
    <t>QIPCall Is Conference Aware Mode</t>
  </si>
  <si>
    <t>/nv/item_files/ims/qipcall_is_conference_aware</t>
  </si>
  <si>
    <t>VOIP</t>
  </si>
  <si>
    <t>/nv/item_files/ims/qp_ims_config</t>
  </si>
  <si>
    <t>tip_tir_mode</t>
  </si>
  <si>
    <t>ir_restricted_type</t>
  </si>
  <si>
    <t>QIPCall RTCP Link Aliveness Timer</t>
  </si>
  <si>
    <t>/nv/item_files/ims/qipcall_rtcp_link_aliveness_timer</t>
  </si>
  <si>
    <t xml:space="preserve">QIPCall RTCP Link Aliveness Timer: Threshold (in seconds) for which RTCP session will remain open while not receiving any RTCP packets. Setting "0" means disabled. </t>
  </si>
  <si>
    <t>QIPCall RTCP Reporting Interval</t>
  </si>
  <si>
    <t>/nv/item_files/ims/qipcall_rtcp_reporting_interval</t>
  </si>
  <si>
    <t>IMS RCS Auto-Config Parameters</t>
  </si>
  <si>
    <t>/nv/item_files/ims/qp_ims_rcs_auto_config</t>
  </si>
  <si>
    <t>DisableAutoConfig</t>
  </si>
  <si>
    <t>RCSOnlyDeviceType</t>
  </si>
  <si>
    <t>RCSPdpProfileName</t>
  </si>
  <si>
    <t>InternetPdpProfileName</t>
  </si>
  <si>
    <t>PCOConfigPriority</t>
  </si>
  <si>
    <t>ISIMConfigPriority</t>
  </si>
  <si>
    <t>PreConfigPriority</t>
  </si>
  <si>
    <t>AutoConfigPriority</t>
  </si>
  <si>
    <t>RCSClientVendor</t>
  </si>
  <si>
    <t>RCSClientVersion</t>
  </si>
  <si>
    <t>RCSTerminalVendor</t>
  </si>
  <si>
    <t>RCSTerminalModel</t>
  </si>
  <si>
    <t>RCSTerminalSWVersion</t>
  </si>
  <si>
    <t>RCSConfigServerAddress</t>
  </si>
  <si>
    <t>RCSConfigServerPort</t>
  </si>
  <si>
    <t>RCSAPNType</t>
  </si>
  <si>
    <t>IMSessionFeatureTag</t>
  </si>
  <si>
    <t>StandAloneMessagingFeatureTag</t>
  </si>
  <si>
    <t>FileTransferFeatureTag</t>
  </si>
  <si>
    <t>ImageShareFeatureTag</t>
  </si>
  <si>
    <t>VideoShareFeatureTag</t>
  </si>
  <si>
    <t>reservedbytes</t>
  </si>
  <si>
    <t>/nv/item_files/ims/qp_ims_vt_4G_media_capability</t>
  </si>
  <si>
    <t>qp_ims_presence_ext_config</t>
  </si>
  <si>
    <t>/nv/item_files/ims/qp_ims_presence_ext_config</t>
  </si>
  <si>
    <t>71542 This NV is only applicable to MPSS NI 6.1 and newer and DI 1.x and newer</t>
  </si>
  <si>
    <t>Publish_error_recovery_timer</t>
  </si>
  <si>
    <t>Enable_modem_presence</t>
  </si>
  <si>
    <t>QIPCALL VT Quality Selector</t>
  </si>
  <si>
    <t>/nv/item_files/ims/qipcall_vt_quality_selector</t>
  </si>
  <si>
    <t>IMS UT Specific Config</t>
  </si>
  <si>
    <t>/nv/item_files/ims/qp_ims_ut_config</t>
  </si>
  <si>
    <t>nxtgenphone</t>
  </si>
  <si>
    <t>utAPNName</t>
  </si>
  <si>
    <t>utDomainName</t>
  </si>
  <si>
    <t>utPAssociatedURI</t>
  </si>
  <si>
    <t>simservs.ngn.etsi.org</t>
  </si>
  <si>
    <t>utApplicationUID</t>
  </si>
  <si>
    <t>iUtRatConfig</t>
  </si>
  <si>
    <t>iUtIPAddrType</t>
  </si>
  <si>
    <t>iUtRetryTimerValue</t>
  </si>
  <si>
    <t>iUtRetryAttemptCount</t>
  </si>
  <si>
    <t>iUtAPNType</t>
  </si>
  <si>
    <t>eUtGBAUbType</t>
  </si>
  <si>
    <t>eUtGBAUbMode</t>
  </si>
  <si>
    <t>utBSFAddr</t>
  </si>
  <si>
    <t>iDisableUt</t>
  </si>
  <si>
    <t>eUtGBATLSMode</t>
  </si>
  <si>
    <t>iUtPDNHysTimerValue</t>
  </si>
  <si>
    <t>iRatMaskValue</t>
  </si>
  <si>
    <t>QIPCall DAN Enabled</t>
  </si>
  <si>
    <t>/nv/item_files/ims/qipcall_dan_enable</t>
  </si>
  <si>
    <t>QIPCall Preferred URI Type</t>
  </si>
  <si>
    <t>/nv/item_files/ims/qipcall_confrd_uri</t>
  </si>
  <si>
    <t>IMS Enable</t>
  </si>
  <si>
    <t>/nv/item_files/ims/IMS_enable</t>
  </si>
  <si>
    <t>IMS DPL Configuration</t>
  </si>
  <si>
    <t>/nv/item_files/ims/qp_ims_dpl_config</t>
  </si>
  <si>
    <t>PtimeValue</t>
  </si>
  <si>
    <t>IsIpv6PrivateAddrEnabled</t>
  </si>
  <si>
    <t>E911IPV6Enabled</t>
  </si>
  <si>
    <t>IPV6Enabled</t>
  </si>
  <si>
    <t>MSRPPktSz</t>
  </si>
  <si>
    <t>RUIMIMSIValue</t>
  </si>
  <si>
    <t>DscpValue</t>
  </si>
  <si>
    <t>IMSParamSrc</t>
  </si>
  <si>
    <t>IMS Registration Module Configuration</t>
  </si>
  <si>
    <t>/nv/item_files/ims/qp_ims_reg_config</t>
  </si>
  <si>
    <t>RegOnMode (0 Power on, 1 On Call)</t>
  </si>
  <si>
    <t>RegModeConfig (0 IETF, 1 EARLY, 2 IMS with IPSec, 3 IMS without IPSec, 4 No IMS)</t>
  </si>
  <si>
    <t>ims</t>
  </si>
  <si>
    <t>regManagerPdpProfileName (In NI 5.0 or later, APN name is used instead of the profile number. Please confirm with test labs for exact APN info)</t>
  </si>
  <si>
    <t>RegEventPacket</t>
  </si>
  <si>
    <t>RegPCOEEnabled</t>
  </si>
  <si>
    <t>RegDHCPEnabled</t>
  </si>
  <si>
    <t>RegPreConfigEnabled</t>
  </si>
  <si>
    <t>regManagerPreConfigServerBase</t>
  </si>
  <si>
    <t>RegRATConfig = CONFIG_RAT_LTE</t>
  </si>
  <si>
    <t>RegQOSProfile</t>
  </si>
  <si>
    <t>RegWLANEnabled</t>
  </si>
  <si>
    <t>RegUserNameIMSI</t>
  </si>
  <si>
    <t>RegResponseforOptions</t>
  </si>
  <si>
    <t>RegConfigMaxDiscoveryCount</t>
  </si>
  <si>
    <t>regManagerDiscoverySchedule</t>
  </si>
  <si>
    <t>regManagerCDMAPdpProfileName</t>
  </si>
  <si>
    <t>RegConfigPdnRecoveryDelayTimerVal</t>
  </si>
  <si>
    <t>5,5,5</t>
  </si>
  <si>
    <t>regManagerPDPFailureSchedule</t>
  </si>
  <si>
    <t>RegConfigMaxIntermediatePDPRetries</t>
  </si>
  <si>
    <t>RegConfigEHRPDRecoveryTime</t>
  </si>
  <si>
    <t>RegConfigRegistrationAttempts</t>
  </si>
  <si>
    <t>RegConfigDelayAttemptTimer</t>
  </si>
  <si>
    <t>RegConfigTestMode</t>
  </si>
  <si>
    <t>RegPCSCFPort</t>
  </si>
  <si>
    <t>IMS SMS Configuration</t>
  </si>
  <si>
    <t>/nv/item_files/ims/qp_ims_sms_config</t>
  </si>
  <si>
    <t>smsConfigVDN</t>
  </si>
  <si>
    <t>SMSFormat</t>
  </si>
  <si>
    <t>+g.3gpp.smsip</t>
  </si>
  <si>
    <t>smsAcceptContact</t>
  </si>
  <si>
    <t>smsRATMaskString</t>
  </si>
  <si>
    <t>RatMaskValue</t>
  </si>
  <si>
    <t>one.att.net</t>
  </si>
  <si>
    <t>PhoneContextURI</t>
  </si>
  <si>
    <t>iSMSOverIPNetworkIndication</t>
  </si>
  <si>
    <t>IMS Reg Config Db</t>
  </si>
  <si>
    <t>/nv/item_files/ims/qp_ims_reg_config_db</t>
  </si>
  <si>
    <t>ims_rat_apn_info[0].iRAT</t>
  </si>
  <si>
    <t>ims_rat_apn_info[0].iAPNType_APNindex</t>
  </si>
  <si>
    <t>ims_rat_apn_info[0].iIMSServiceInfo</t>
  </si>
  <si>
    <t>ims_rat_apn_info[0].iAuth_SecType</t>
  </si>
  <si>
    <t>ims_rat_apn_info[0].iIPTypeInfo</t>
  </si>
  <si>
    <t>ims_rat_apn_info[1].iRAT</t>
  </si>
  <si>
    <t>ims_rat_apn_info[1].iAPNType_APNindex</t>
  </si>
  <si>
    <t>ims_rat_apn_info[1].iIMSServiceInfo</t>
  </si>
  <si>
    <t>ims_rat_apn_info[1].iAuth_SecType</t>
  </si>
  <si>
    <t>ims_rat_apn_info[1].iIPTypeInfo</t>
  </si>
  <si>
    <t>ims_rat_apn_info[2].iRAT</t>
  </si>
  <si>
    <t>ims_rat_apn_info[2].iAPNType_APNindex</t>
  </si>
  <si>
    <t>ims_rat_apn_info[2].iIMSServiceInfo</t>
  </si>
  <si>
    <t>ims_rat_apn_info[2].iAuth_SecType</t>
  </si>
  <si>
    <t>ims_rat_apn_info[2].iIPTypeInfo</t>
  </si>
  <si>
    <t>ims_rat_apn_info[3].iRAT</t>
  </si>
  <si>
    <t>ims_rat_apn_info[3].iAPNType_APNindex</t>
  </si>
  <si>
    <t>ims_rat_apn_info[3].iIMSServiceInfo</t>
  </si>
  <si>
    <t>ims_rat_apn_info[3].iAuth_SecType</t>
  </si>
  <si>
    <t>ims_rat_apn_info[3].iIPTypeInfo</t>
  </si>
  <si>
    <t>ims_rat_apn_info[4].iRAT</t>
  </si>
  <si>
    <t>ims_rat_apn_info[4].iAPNType_APNindex</t>
  </si>
  <si>
    <t>ims_rat_apn_info[4].iIMSServiceInfo</t>
  </si>
  <si>
    <t>ims_rat_apn_info[4].iAuth_SecType</t>
  </si>
  <si>
    <t>ims_rat_apn_info[4].iIPTypeInfo</t>
  </si>
  <si>
    <t>ims_rat_apn_info[5].iRAT</t>
  </si>
  <si>
    <t>ims_rat_apn_info[5].iAPNType_APNindex</t>
  </si>
  <si>
    <t>ims_rat_apn_info[5].iIMSServiceInfo</t>
  </si>
  <si>
    <t>ims_rat_apn_info[5].iAuth_SecType</t>
  </si>
  <si>
    <t>ims_rat_apn_info[5].iIPTypeInfo</t>
  </si>
  <si>
    <t>ims_rat_apn_info[6].iRAT</t>
  </si>
  <si>
    <t>ims_rat_apn_info[6].iAPNType_APNindex</t>
  </si>
  <si>
    <t>ims_rat_apn_info[6].iIMSServiceInfo</t>
  </si>
  <si>
    <t>ims_rat_apn_info[6].iAuth_SecType</t>
  </si>
  <si>
    <t>ims_rat_apn_info[6].iIPTypeInfo</t>
  </si>
  <si>
    <t>ims_rat_apn_info[7].iRAT</t>
  </si>
  <si>
    <t>ims_rat_apn_info[7].iAPNType_APNindex</t>
  </si>
  <si>
    <t>ims_rat_apn_info[7].iIMSServiceInfo</t>
  </si>
  <si>
    <t>ims_rat_apn_info[7].iAuth_SecType</t>
  </si>
  <si>
    <t>ims_rat_apn_info[7].iIPTypeInfo</t>
  </si>
  <si>
    <t>ims_rat_apn_info[8].iRAT</t>
  </si>
  <si>
    <t>ims_rat_apn_info[8].iAPNType_APNindex</t>
  </si>
  <si>
    <t>ims_rat_apn_info[8].iIMSServiceInfo</t>
  </si>
  <si>
    <t>ims_rat_apn_info[8].iAuth_SecType</t>
  </si>
  <si>
    <t>ims_rat_apn_info[8].iIPTypeInfo</t>
  </si>
  <si>
    <t>ims_rat_apn_info[9].iRAT</t>
  </si>
  <si>
    <t>ims_rat_apn_info[9].iAPNType_APNindex</t>
  </si>
  <si>
    <t>ims_rat_apn_info[9].iIMSServiceInfo</t>
  </si>
  <si>
    <t>ims_rat_apn_info[9].iAuth_SecType</t>
  </si>
  <si>
    <t>ims_rat_apn_info[9].iIPTypeInfo</t>
  </si>
  <si>
    <t>rat_apn_fb_info[0].iRATAPNFallback</t>
  </si>
  <si>
    <t>rat_apn_fb_info[0].iServicePriorityWWAN</t>
  </si>
  <si>
    <t>rat_apn_fb_info[1].iRATAPNFallback</t>
  </si>
  <si>
    <t>rat_apn_fb_info[1].iServicePriorityWWAN</t>
  </si>
  <si>
    <t>rat_apn_fb_info[2].iRATAPNFallback</t>
  </si>
  <si>
    <t>rat_apn_fb_info[2].iServicePriorityWWAN</t>
  </si>
  <si>
    <t>rat_apn_fb_info[3].iRATAPNFallback</t>
  </si>
  <si>
    <t>rat_apn_fb_info[3].iServicePriorityWWAN</t>
  </si>
  <si>
    <t>rat_apn_fb_info[4].iRATAPNFallback</t>
  </si>
  <si>
    <t>rat_apn_fb_info[4].iServicePriorityWWAN</t>
  </si>
  <si>
    <t>rat_apn_fb_info[5].iRATAPNFallback</t>
  </si>
  <si>
    <t>rat_apn_fb_info[5].iServicePriorityWWAN</t>
  </si>
  <si>
    <t>rat_apn_fb_info[6].iRATAPNFallback</t>
  </si>
  <si>
    <t>rat_apn_fb_info[6].iServicePriorityWWAN</t>
  </si>
  <si>
    <t>rat_apn_fb_info[7].iRATAPNFallback</t>
  </si>
  <si>
    <t>rat_apn_fb_info[7].iServicePriorityWWAN</t>
  </si>
  <si>
    <t>rat_apn_fb_info[8].iRATAPNFallback</t>
  </si>
  <si>
    <t>rat_apn_fb_info[8].iServicePriorityWWAN</t>
  </si>
  <si>
    <t>rat_apn_fb_info[9].iRATAPNFallback</t>
  </si>
  <si>
    <t>rat_apn_fb_info[9].iServicePriorityWWAN</t>
  </si>
  <si>
    <t>iAllowedIMSSrvOnWLAN</t>
  </si>
  <si>
    <t>bAddAllFTs</t>
  </si>
  <si>
    <t>iACSPriority</t>
  </si>
  <si>
    <t>iISIMPriority</t>
  </si>
  <si>
    <t>iNVPriority</t>
  </si>
  <si>
    <t>iPCOPriority</t>
  </si>
  <si>
    <t>iIMSServiceStatus</t>
  </si>
  <si>
    <t>ims_apn_name_db[0].cAPNName</t>
  </si>
  <si>
    <t>ims_apn_name_db[1].cAPNName</t>
  </si>
  <si>
    <t>ims_apn_name_db[2].cAPNName</t>
  </si>
  <si>
    <t>IMS SIP Extended Configuration</t>
  </si>
  <si>
    <t>/nv/item_files/ims/qp_ims_sip_extended_0_config</t>
  </si>
  <si>
    <t>SipLocalPort</t>
  </si>
  <si>
    <t>TimerSipRegValue</t>
  </si>
  <si>
    <t>TimerSipSubscribeValue</t>
  </si>
  <si>
    <t>Timer_T1Value</t>
  </si>
  <si>
    <t>Timer_T2Value</t>
  </si>
  <si>
    <t>Timer_T4Value</t>
  </si>
  <si>
    <t>Timer_TfValue</t>
  </si>
  <si>
    <t>Timer_TJValue</t>
  </si>
  <si>
    <t>iTCPThresholdValue</t>
  </si>
  <si>
    <t>CompactFormEnabled</t>
  </si>
  <si>
    <t>SigCompEnabled</t>
  </si>
  <si>
    <t>FMCConfig</t>
  </si>
  <si>
    <t>iIpSecIntScheme</t>
  </si>
  <si>
    <t>iIpSecEncAlgo</t>
  </si>
  <si>
    <t>AuthScheme</t>
  </si>
  <si>
    <t>InitialAuthConfig</t>
  </si>
  <si>
    <t>ProxyRouteValue</t>
  </si>
  <si>
    <t>iKeepAliveEnabled</t>
  </si>
  <si>
    <t>IMS VOIP Configuration</t>
  </si>
  <si>
    <t>/nv/item_files/ims/qp_ims_voip_config</t>
  </si>
  <si>
    <t>VoIPConfigQoS</t>
  </si>
  <si>
    <t>VoipConfigDomainNotificationEnable</t>
  </si>
  <si>
    <t>VoipConfigRTCP</t>
  </si>
  <si>
    <t>urn:urn-7:3gpp-service.ims.icsi.mmtel</t>
  </si>
  <si>
    <t>voipConfigAcceptContact</t>
  </si>
  <si>
    <t>voipConfigExpires</t>
  </si>
  <si>
    <t>voipMinSessionExpires</t>
  </si>
  <si>
    <t>voipSessionTimerEnabled</t>
  </si>
  <si>
    <t>n-way_voice</t>
  </si>
  <si>
    <t>voipConfigConfURI</t>
  </si>
  <si>
    <t>voipSilentRedialEnabled</t>
  </si>
  <si>
    <t>voipConfigSessionRefresherType</t>
  </si>
  <si>
    <t>voipConfigSessionRefresherMethod</t>
  </si>
  <si>
    <t>voipConfigInviteHeader</t>
  </si>
  <si>
    <t>QIPCall Callerid Mode</t>
  </si>
  <si>
    <t>/nv/item_files/ims/qipcall_callerid_mode</t>
  </si>
  <si>
    <t>QIPCall QoS Enabled</t>
  </si>
  <si>
    <t>/nv/item_files/ims/qipcall_qos_enabled</t>
  </si>
  <si>
    <t>QIPCall Precondition Enabled</t>
  </si>
  <si>
    <t>/nv/item_files/ims/qipcall_precondition_enable</t>
  </si>
  <si>
    <t>QIPCall Domain Selection Enabled</t>
  </si>
  <si>
    <t>/nv/item_files/ims/qipcall_domain_selection_enable</t>
  </si>
  <si>
    <t>IMS Signal Strength Threshold</t>
  </si>
  <si>
    <t>/nv/item_files/ims/qipcall_signal_strength_threshold</t>
  </si>
  <si>
    <t>QIPCall HD Voice Enabled</t>
  </si>
  <si>
    <t>/nv/item_files/ims/qipcall_enable_hd_voice</t>
  </si>
  <si>
    <t>QIPCall Session Level Media BW Enabled</t>
  </si>
  <si>
    <t>/nv/item_files/ims/qipcall_session_level_media_bw_enabled</t>
  </si>
  <si>
    <t>QIPCall Codec Mode Set AMR-WB</t>
  </si>
  <si>
    <t>/nv/item_files/ims/qipcall_codec_mode_set_amr_wb</t>
  </si>
  <si>
    <t>QIPCall Octet Aligned Mode AMR-WB</t>
  </si>
  <si>
    <t>/nv/item_files/ims/qipcall_octet_aligned_mode_amr_wb</t>
  </si>
  <si>
    <t>QIPCall Octet Aligned Mode AMR-NB</t>
  </si>
  <si>
    <t>/nv/item_files/ims/qipcall_octet_aligned_mode_amr_nb</t>
  </si>
  <si>
    <t>QIPCall Codec Mode Set</t>
  </si>
  <si>
    <t>/nv/item_files/ims/qipcall_codec_mode_set</t>
  </si>
  <si>
    <t>IMS QIPCall Config Items</t>
  </si>
  <si>
    <t>/nv/item_files/ims/qipcall_config_items</t>
  </si>
  <si>
    <t>EnableRTCPforActiveVOIPCall</t>
  </si>
  <si>
    <t>VT RTCP Reporting Interval</t>
  </si>
  <si>
    <t>qipcall_rtp_nb_amr_payload_type</t>
  </si>
  <si>
    <t>qipcall_rtp_wb_amr_payload_type</t>
  </si>
  <si>
    <t>qipcall_rtp_nb_dtmf_payload_type</t>
  </si>
  <si>
    <t>qipcall_rtp_wb_dtmf_payload_type</t>
  </si>
  <si>
    <t>MediaAttribute</t>
  </si>
  <si>
    <t>qipcall_desired_qos_strength</t>
  </si>
  <si>
    <t>AUDIO_CMR_AMR_NB</t>
  </si>
  <si>
    <t>AUDIO_CMR_AMR_WB</t>
  </si>
  <si>
    <t>emerg_call_cs_only</t>
  </si>
  <si>
    <t>video_media_profile_mode</t>
  </si>
  <si>
    <t>VT Calling Enabled</t>
  </si>
  <si>
    <t>mobile_data_enabled</t>
  </si>
  <si>
    <t>volte_disabled</t>
  </si>
  <si>
    <t>cvo_enabled</t>
  </si>
  <si>
    <t>audio_feature_tag</t>
  </si>
  <si>
    <t>video</t>
  </si>
  <si>
    <t>video_feature_tag</t>
  </si>
  <si>
    <t>qipcall_rtp_tty_text_payload_type</t>
  </si>
  <si>
    <t>qipcall_rtp_tty_red_payload_type</t>
  </si>
  <si>
    <t>qipcall_rtp_tty_red_level</t>
  </si>
  <si>
    <t>qipcall_rtp_tty_cps</t>
  </si>
  <si>
    <t>SRTPAudioCryptoSuites</t>
  </si>
  <si>
    <t>SRTPVideoCryptoSuites</t>
  </si>
  <si>
    <t>E911_Call_Timer</t>
  </si>
  <si>
    <t>local_upgrade_accept_timer</t>
  </si>
  <si>
    <t>eQipcall_Conference_Subscription_Type</t>
  </si>
  <si>
    <t>multitask_mode</t>
  </si>
  <si>
    <t>qipcall_three_party_call_factory_uri</t>
  </si>
  <si>
    <t>CallWaitingType</t>
  </si>
  <si>
    <t>isCallWaitingEnabled</t>
  </si>
  <si>
    <t>consent_controlled</t>
  </si>
  <si>
    <t>qipcall_speech_start_port</t>
  </si>
  <si>
    <t>qipcall_speech_stop_port</t>
  </si>
  <si>
    <t>qipcall_amr_wb_octet_aligned_dynamic_pt</t>
  </si>
  <si>
    <t>qipcall_amr_wb_bandwidth_efficient_dynamic_pt</t>
  </si>
  <si>
    <t>qipcall_amr_octet_aligned_dynamic_pt</t>
  </si>
  <si>
    <t>qipcall_amr_bandwidth_efficient_dynamic_pt</t>
  </si>
  <si>
    <t>qipcall_dtmf_wb_dynamic_pt</t>
  </si>
  <si>
    <t>qipcall_dtmf_nb_dynamic_pt</t>
  </si>
  <si>
    <t>qipcall_amr_wb_default_mode</t>
  </si>
  <si>
    <t>qipcall_third_call_support_reqd</t>
  </si>
  <si>
    <t>qipcall_enable_reliable_response</t>
  </si>
  <si>
    <t>qipcall_video_start_port</t>
  </si>
  <si>
    <t>qipcall_video_stop_port</t>
  </si>
  <si>
    <t>qipcall_h264_vga_dynamic_pt</t>
  </si>
  <si>
    <t>qipcall_h264_qvga_dynamic_pt</t>
  </si>
  <si>
    <t>qipcall_imageattr_support_reqd</t>
  </si>
  <si>
    <t>RR_for_audio</t>
  </si>
  <si>
    <t>RS_for_audio</t>
  </si>
  <si>
    <t>RR_for_video</t>
  </si>
  <si>
    <t>RS_for_video</t>
  </si>
  <si>
    <t>remote_upgrade_cancel_timer</t>
  </si>
  <si>
    <t>SRVCC bitmask</t>
  </si>
  <si>
    <t>reserved bytes</t>
  </si>
  <si>
    <t>IMS Presence Config</t>
  </si>
  <si>
    <t>/nv/item_files/ims/qp_ims_presence_config</t>
  </si>
  <si>
    <t>Publish_timer</t>
  </si>
  <si>
    <t>Publish_extended_timer</t>
  </si>
  <si>
    <t>Source_throttle_publish_timer</t>
  </si>
  <si>
    <t>Capability_poll_list_subscription_expiry_timer</t>
  </si>
  <si>
    <t>Capability_discovery_enable
1 - on, 0 - off</t>
  </si>
  <si>
    <t>Capabilites_cache_expiration</t>
  </si>
  <si>
    <t>Availability_cache_expiration</t>
  </si>
  <si>
    <t>Capability_poll_interval</t>
  </si>
  <si>
    <t>Max_number_of_entries_in_request</t>
  </si>
  <si>
    <t>VoLTE_Provisioning_Status</t>
  </si>
  <si>
    <t>LAST_PUBLISHED_ETAG</t>
  </si>
  <si>
    <t>LAST_PUBLISHED_TIME</t>
  </si>
  <si>
    <t>LAST_NEGOTIATED_PUBLISH_EXPIRE</t>
  </si>
  <si>
    <t>Presence_gzip</t>
  </si>
  <si>
    <t>Presence_notify_duration</t>
  </si>
  <si>
    <t>QIPCall Ringing Timer</t>
  </si>
  <si>
    <t>/nv/item_files/ims/qipcall_ringing_timer</t>
  </si>
  <si>
    <t>QIPCall Ringback Timer</t>
  </si>
  <si>
    <t>/nv/item_files/ims/qipcall_ringback_timer</t>
  </si>
  <si>
    <t>QIPCall RTP Link Alivness Timer</t>
  </si>
  <si>
    <t>/nv/item_files/ims/qipcall_rtp_link_aliveness_timer</t>
  </si>
  <si>
    <t>IMS PARAM Config</t>
  </si>
  <si>
    <t>/nv/item_files/ims/qp_ims_param_config</t>
  </si>
  <si>
    <t>? Nv #</t>
  </si>
  <si>
    <t>regConfigUserName</t>
  </si>
  <si>
    <t>regConfigPassword</t>
  </si>
  <si>
    <t>regConfigPrivateURI</t>
  </si>
  <si>
    <t>regConfigDisplayName</t>
  </si>
  <si>
    <t>regConfigDomainName</t>
  </si>
  <si>
    <t>regAuthSecertKey</t>
  </si>
  <si>
    <t xml:space="preserve">is3GPP           </t>
  </si>
  <si>
    <t>regConfigOPFiled</t>
  </si>
  <si>
    <t>QIPCALL QOS config items</t>
  </si>
  <si>
    <t>/nv/item_files/ims/qipcall_qos_config</t>
  </si>
  <si>
    <t>LocalQoSAudio</t>
  </si>
  <si>
    <t>LocalQosVideo</t>
  </si>
  <si>
    <t>QoSInactiveInvite &lt; version 1 &gt;</t>
  </si>
  <si>
    <t>QoSInactiveReInvite &lt; version 1 &gt;</t>
  </si>
  <si>
    <t>IMS Regmanager Extended Configuration</t>
  </si>
  <si>
    <t>/nv/item_files/ims/qp_ims_reg_extended_0_config</t>
  </si>
  <si>
    <t>+g.3gpp.icsi-ref="urn%3Aurn-7%3A3gpp-service.ims.icsi.oma.cpm.session"</t>
  </si>
  <si>
    <t>+g.3gpp.icsi-ref="urn%3Aurn-7%3A3gpp-service.ims.icsi.oma.cpm.filetransfer"</t>
  </si>
  <si>
    <t>Bulk IMS updates for ATT
Updated Profile3</t>
  </si>
  <si>
    <t>modem_proc\mcfg\mcfg_gen\scripts\data\efs_files\qp_ims_media_config</t>
  </si>
  <si>
    <t>ATT_VOLTE: 0x05010310 ATT_NON_VOLTE: 0x05010307</t>
  </si>
  <si>
    <t>IMS DSCP Configurations update</t>
  </si>
  <si>
    <t>Volte Updates</t>
  </si>
  <si>
    <t xml:space="preserve"> Created: Feature TAGs for SRVCC in Operator MBNs(CMCC, AT &amp;T and TMO)</t>
  </si>
  <si>
    <t>NV67257_voipSilentRedialEnabled_need to be set to 0 in ATT VoLTE MBN</t>
  </si>
  <si>
    <t>VoLTE-ATT:0x05010311</t>
  </si>
  <si>
    <t>VoLTE-ATT:0x05010312</t>
  </si>
  <si>
    <t>rtp_mtu_size</t>
  </si>
  <si>
    <t>VideoResolution</t>
  </si>
  <si>
    <t>VideoEncodingBitRate</t>
  </si>
  <si>
    <t>FramesperSecond</t>
  </si>
  <si>
    <t>VideoCodec</t>
  </si>
  <si>
    <t>SAR</t>
  </si>
  <si>
    <t>PAR</t>
  </si>
  <si>
    <t>H264Profile</t>
  </si>
  <si>
    <t>H264ProfileLevel</t>
  </si>
  <si>
    <t>lipsync_drop_upper_limit</t>
  </si>
  <si>
    <t>lipsync_drop_lower_limit</t>
  </si>
  <si>
    <t>lipsync_enabled</t>
  </si>
  <si>
    <t>qdj_time_warping</t>
  </si>
  <si>
    <t>qdj_iba_max</t>
  </si>
  <si>
    <t>qdj_max_frames_at_start</t>
  </si>
  <si>
    <t>qdj_max_delay</t>
  </si>
  <si>
    <t>qdj_min_delay</t>
  </si>
  <si>
    <t>qdj_delay_by_frame_count</t>
  </si>
  <si>
    <t>qdj_max_frames_at_run</t>
  </si>
  <si>
    <t>qdj_max_bumped_up_delay</t>
  </si>
  <si>
    <t>qdj_jitter_increment</t>
  </si>
  <si>
    <t>qdj_target_underflow</t>
  </si>
  <si>
    <t>qdj_go_through_threshold</t>
  </si>
  <si>
    <t>qdj_drop_threshold</t>
  </si>
  <si>
    <t>60</t>
  </si>
  <si>
    <t>qdj_default_jitter</t>
  </si>
  <si>
    <t>0</t>
  </si>
  <si>
    <t>gmin</t>
  </si>
  <si>
    <t>tx_system_delay</t>
  </si>
  <si>
    <t>rx_system_delay</t>
  </si>
  <si>
    <t>gps_read_time_at_run</t>
  </si>
  <si>
    <t xml:space="preserve">Audio_offload </t>
  </si>
  <si>
    <t xml:space="preserve">Video_offload </t>
  </si>
  <si>
    <t>enable_mailbox</t>
  </si>
  <si>
    <t>DSCP_AUDIO</t>
  </si>
  <si>
    <t>DSCP_VIDEO</t>
  </si>
  <si>
    <t>RTPRedundancy_time</t>
  </si>
  <si>
    <t>+g.3gpp.icsi-ref="urn%3Aurn-7%3A3gpp-service.ims.icsi.oma.cpm.msg,urn%3Aurn-7%3A3gpp-service.ims.icsi.oma.cpm.largemsg"</t>
  </si>
  <si>
    <t>qp_ims_vt_4G_media_capability</t>
  </si>
  <si>
    <t>NumH264</t>
  </si>
  <si>
    <t>H263.exclude_config_from_offer</t>
  </si>
  <si>
    <t>H263 .payload_type</t>
  </si>
  <si>
    <t>H263.H263profile</t>
  </si>
  <si>
    <t>H263.preferred_profile_level</t>
  </si>
  <si>
    <t>H263.preferred_resolution</t>
  </si>
  <si>
    <t>H263 resolutions supported</t>
  </si>
  <si>
    <t>H263.preferred_bit_Rate</t>
  </si>
  <si>
    <t>H263.min_bit_rate</t>
  </si>
  <si>
    <t>H263.max_bit_rate</t>
  </si>
  <si>
    <t>H263 .preferred_frame_rate</t>
  </si>
  <si>
    <t>H263.min_frame_rate</t>
  </si>
  <si>
    <t>H263.max_famre_Rate</t>
  </si>
  <si>
    <t>H263.ipv4_AS_value</t>
  </si>
  <si>
    <t>H263.ipv6_AS_Value</t>
  </si>
  <si>
    <t>H264[0]..exclude_config_from_offer</t>
  </si>
  <si>
    <t>H264[0] .payload_type_packetization_0</t>
  </si>
  <si>
    <t>H264[0] .payload_type_packetization_1</t>
  </si>
  <si>
    <t>H264[0].H264profile</t>
  </si>
  <si>
    <t>H264[0].preferred_profile_level</t>
  </si>
  <si>
    <t>H264[0].preferred_resolution</t>
  </si>
  <si>
    <t>H264[0] resolutions supported</t>
  </si>
  <si>
    <t>H264[0].preferred_bit_Rate</t>
  </si>
  <si>
    <t>H264[0].min_bit_rate</t>
  </si>
  <si>
    <t>H264[0].max_bit_rate</t>
  </si>
  <si>
    <t>H264[0] .preferred_frame_rate</t>
  </si>
  <si>
    <t>H264[0].min_frame_rate</t>
  </si>
  <si>
    <t>H264[0].max_famre_Rate</t>
  </si>
  <si>
    <t>H264[0].ipv4_AS_value</t>
  </si>
  <si>
    <t>H264[0].ipv6_AS_Value</t>
  </si>
  <si>
    <t>IMS RCS Settings Aut Config</t>
  </si>
  <si>
    <t>/nv/item_files/ims/qp_ims_rcs_settings_auto_config</t>
  </si>
  <si>
    <t>Reserved Bytes</t>
  </si>
  <si>
    <t>QIPCall DAN Needed</t>
  </si>
  <si>
    <t>/nv/item_files/ims/qipcall_dan_needed</t>
  </si>
  <si>
    <t>QIPCall DAN needed (This is an NV item which should not be configured by the customer. This NV item is written internally by the IMS modem software in order to maintain state (persistent through power cycles) in case if DAN SMS needs to be sent.)</t>
  </si>
  <si>
    <t>iTimer_NatRTOValue</t>
  </si>
  <si>
    <t>Timer_Vzw</t>
  </si>
  <si>
    <t>TimerEmergencySipRegValue</t>
  </si>
  <si>
    <t>TimerEmergency_T1Value</t>
  </si>
  <si>
    <t>TimerEmergency_T2Value</t>
  </si>
  <si>
    <t>TimerEmergency_T4Value</t>
  </si>
  <si>
    <t>TimerEmergency_TfValue</t>
  </si>
  <si>
    <t>TimerEmergency_TJValue</t>
  </si>
  <si>
    <t>Timer_TBValue</t>
  </si>
  <si>
    <t xml:space="preserve">GRUUEnabled           </t>
  </si>
  <si>
    <t>TransportSwitchEnabled</t>
  </si>
  <si>
    <t xml:space="preserve">TCPMaxBackOffTimer    </t>
  </si>
  <si>
    <t xml:space="preserve">RouteHeaderEnabled    </t>
  </si>
  <si>
    <t>GzipDecodingOutBufferMultiplier</t>
  </si>
  <si>
    <t>VoLTE updates</t>
  </si>
  <si>
    <t>IMS NV update as per Unified</t>
  </si>
  <si>
    <t>MMODE WIFI</t>
  </si>
  <si>
    <t>/nv/item_files/modem/mmode/wifi_config</t>
  </si>
  <si>
    <t>0x19</t>
  </si>
  <si>
    <t>cmph_wifi_config_s_type.version</t>
  </si>
  <si>
    <t>cmph_wifi_config_s_type.is_wifi_only_mode_for_voice</t>
  </si>
  <si>
    <t>cmph_wifi_config_s_type.is_e911_over_wifi</t>
  </si>
  <si>
    <t>cmph_wifi_config_s_type.wifi_cs_scan_timer</t>
  </si>
  <si>
    <t>cmph_wifi_config_s_type.reservedBytes</t>
  </si>
  <si>
    <t>MCFG Updates</t>
  </si>
  <si>
    <t>Added a new NV 73545</t>
  </si>
  <si>
    <t>ATT_NON_VOLTE: 0x05010309
ATT_VoLTE:0x05010315</t>
  </si>
  <si>
    <t>imshandoverconfig</t>
  </si>
  <si>
    <t>/efsprofiles/imshandoverconfig</t>
  </si>
  <si>
    <t>ATT_VoLTE:0x05010316</t>
  </si>
  <si>
    <t>0x644E</t>
  </si>
  <si>
    <t>OMA_DM_Services_Mask</t>
  </si>
  <si>
    <t>WFC_status</t>
  </si>
  <si>
    <t>Call Mode preference</t>
  </si>
  <si>
    <t>ims_operation_submode</t>
  </si>
  <si>
    <t>iWFCRoaming</t>
  </si>
  <si>
    <t>sos</t>
  </si>
  <si>
    <t>RegConfigNetworkInitiatedDeRegTimer</t>
  </si>
  <si>
    <t>Tdelay</t>
  </si>
  <si>
    <t>iEmerIPFallback</t>
  </si>
  <si>
    <t>RegConfigPdnRecoveryImmediateTimer</t>
  </si>
  <si>
    <t>IRegRetryBaseTime</t>
  </si>
  <si>
    <t>iRegRetryMaxTime</t>
  </si>
  <si>
    <t>eEnableRegInLPM</t>
  </si>
  <si>
    <t>Reserved</t>
  </si>
  <si>
    <t>Ims Emergency wifi disable</t>
  </si>
  <si>
    <t>/nv/item_files/ims/qp_ims_emerg_wifi_disable</t>
  </si>
  <si>
    <t>modem_proc\mcfg\mcfg_gen\scripts\data\efs_files\att\imshandoverconfig</t>
  </si>
  <si>
    <t xml:space="preserve">imshandover introduced
</t>
  </si>
  <si>
    <t>All configs</t>
  </si>
  <si>
    <t>Updated all profiles to be multiSIM efs type</t>
  </si>
  <si>
    <t>/Data_Profiles/Profile1</t>
  </si>
  <si>
    <t>/Data_Profiles/Profile2</t>
  </si>
  <si>
    <t>/Data_Profiles/Profile3</t>
  </si>
  <si>
    <t>Non_VoLTE 0x0501030A
VoLTE 0x05010317</t>
  </si>
  <si>
    <t>Service Request Throttling</t>
  </si>
  <si>
    <t>/data/3gpp/throttling/srv_req_throt_config.txt</t>
  </si>
  <si>
    <t>modem_proc\mcfg\mcfg_gen\scripts\data\efs_files\att\srv_req_throt_config.txt</t>
  </si>
  <si>
    <t>Updated all profiles for data configuration</t>
  </si>
  <si>
    <t>Non_VoLTE 0x0501030B
VoLTE 0x05010318</t>
  </si>
  <si>
    <t>IMS NV 65960 to 1</t>
  </si>
  <si>
    <t>volte 0x05010319</t>
  </si>
  <si>
    <t>iCivicLoCQueryTimeout</t>
  </si>
  <si>
    <t>GPSLoCFIXQueryTimeout</t>
  </si>
  <si>
    <t>Timer_TDValue</t>
  </si>
  <si>
    <t>TimerEmergency_TDValue</t>
  </si>
  <si>
    <t>WifiRegTimeStamp</t>
  </si>
  <si>
    <t>Timer_Tcall</t>
  </si>
  <si>
    <t>Timer_Treg</t>
  </si>
  <si>
    <t>Timer_TAValue</t>
  </si>
  <si>
    <t>Timer_TEValue</t>
  </si>
  <si>
    <t>Timer_TGValue</t>
  </si>
  <si>
    <t>Timer_THValue</t>
  </si>
  <si>
    <t>Timer_TIValue</t>
  </si>
  <si>
    <t>Timer_TKValue</t>
  </si>
  <si>
    <t>Timer_TRelResponseRetry</t>
  </si>
  <si>
    <t>Timer_TC alue</t>
  </si>
  <si>
    <t>MCCCountrycode</t>
  </si>
  <si>
    <t>IMS NV 69744</t>
  </si>
  <si>
    <t>volte 0x05010320</t>
  </si>
  <si>
    <t>Removal of IMS NV 70287.</t>
  </si>
  <si>
    <t>Non_VoLTE 0x0501030C</t>
  </si>
  <si>
    <t>iVoipAllowSENegotiation</t>
  </si>
  <si>
    <t>Updated 70233 NV</t>
  </si>
  <si>
    <t>Volte0x05010321</t>
  </si>
  <si>
    <t>/data/iwlan_s2b_config.txt</t>
  </si>
  <si>
    <t>modem_proc\mcfg\mcfg_gen\scripts\data\efs_files\att\volte\iwlan_s2b_config.txt</t>
  </si>
  <si>
    <t>ePDG settings</t>
  </si>
  <si>
    <t>/data/default_andsf.xml</t>
  </si>
  <si>
    <t>modem_proc\mcfg\mcfg_gen\scripts\data\efs_files\att\volte\default_andsf.xml</t>
  </si>
  <si>
    <t>ANDSF settings</t>
  </si>
  <si>
    <t>/data/andsf.xml</t>
  </si>
  <si>
    <t>modem_proc\mcfg\mcfg_gen\scripts\data\efs_files\att\volte\andsf.xml</t>
  </si>
  <si>
    <t>/data/ds_andsf_config.txt</t>
  </si>
  <si>
    <t>modem_proc\mcfg\mcfg_gen\scripts\data\efs_files\att\volte\ds_andsf_config.txt</t>
  </si>
  <si>
    <t>default_andsf.xml</t>
  </si>
  <si>
    <t>andsf.xml</t>
  </si>
  <si>
    <t>ds_andsf_config.txt</t>
  </si>
  <si>
    <t>iwlan_s2b_config.txt</t>
  </si>
  <si>
    <t>ATT config update for iwlan</t>
  </si>
  <si>
    <t xml:space="preserve">Non_volte: 0x0501030D
VoLTE: 0x05010322
</t>
  </si>
  <si>
    <t>Added andsf &amp; iwlan_s2b_config files. Set Signaling Indication bit for IMS APN i.e. profile2</t>
  </si>
  <si>
    <t>945608, 835367</t>
  </si>
  <si>
    <t>IMS NV Updates</t>
  </si>
  <si>
    <t xml:space="preserve">
VoLTE: 0x05010323
</t>
  </si>
  <si>
    <t>VoWifiProviId</t>
  </si>
  <si>
    <t>NV 69750</t>
  </si>
  <si>
    <t>Volte:0x05010324</t>
  </si>
  <si>
    <t>Update sos APN configuration in andsf files</t>
  </si>
  <si>
    <t xml:space="preserve">Non_volte: 0x0501030E
VoLTE: 0x05010325
</t>
  </si>
  <si>
    <t>Wlan Offload Config</t>
  </si>
  <si>
    <t>/nv/item_files/data/wlan_config/wlan_offload_config</t>
  </si>
  <si>
    <t>ATT config update fo NV</t>
  </si>
  <si>
    <r>
      <t xml:space="preserve">NV 70315 </t>
    </r>
    <r>
      <rPr>
        <sz val="14"/>
        <color rgb="FF000000"/>
        <rFont val="Calibri"/>
        <family val="2"/>
      </rPr>
      <t>wlan_offload_config update</t>
    </r>
  </si>
  <si>
    <t>VoLTE: 0x05010326</t>
  </si>
  <si>
    <t>qp_ims_rcs_xdmc_config</t>
  </si>
  <si>
    <t>/nv/item_files/ims/qp_ims_rcs_xdmc_config</t>
  </si>
  <si>
    <t>73687(1024)</t>
  </si>
  <si>
    <t>DisableXdmc</t>
  </si>
  <si>
    <t>XdmcApnNAme</t>
  </si>
  <si>
    <t>XdmcApnType</t>
  </si>
  <si>
    <t>XdmcIPAddrType</t>
  </si>
  <si>
    <t>XdmcRatConfig</t>
  </si>
  <si>
    <t>XdmcRatMaskValue</t>
  </si>
  <si>
    <t>XdmcPDNHysTimerValue</t>
  </si>
  <si>
    <t>XdmcGBAUbMode</t>
  </si>
  <si>
    <t>UbTIsSupport</t>
  </si>
  <si>
    <t>XdmcBSFAddr</t>
  </si>
  <si>
    <t>XdmcPresenceAppUID</t>
  </si>
  <si>
    <t>XdmcIPAddrType_APN2</t>
  </si>
  <si>
    <t>XdmcAPNName_APN2</t>
  </si>
  <si>
    <t>XCAPRootURI</t>
  </si>
  <si>
    <t>XCAPAuthUserName</t>
  </si>
  <si>
    <t>XAPAuthSecret</t>
  </si>
  <si>
    <t>XCAPAuthType</t>
  </si>
  <si>
    <t>Revoke Timer</t>
  </si>
  <si>
    <t>PnBEnabled</t>
  </si>
  <si>
    <t>XdmcDocChangesSubEnabled</t>
  </si>
  <si>
    <t>XdmcUserAgent</t>
  </si>
  <si>
    <t>eXdmcGBATLSMode</t>
  </si>
  <si>
    <t>iXdmcServerPort_TLS</t>
  </si>
  <si>
    <t>NV Number: 70687
DisableXdmc  :  1</t>
  </si>
  <si>
    <t>VoLTE: 0x05010327</t>
  </si>
  <si>
    <t>subs_mask</t>
  </si>
  <si>
    <t>Non_volte: 0x0501030F
VoLTE: 0x05010328</t>
  </si>
  <si>
    <t>Reopened for the attribute value change</t>
  </si>
  <si>
    <t>Wifi Config</t>
  </si>
  <si>
    <t>cmph_wifi_config_s_type.reserved[0]</t>
  </si>
  <si>
    <t>cmph_wifi_config_s_type.reserved[1]</t>
  </si>
  <si>
    <t>cmph_wifi_config_s_type.reserved[2]</t>
  </si>
  <si>
    <t>cmph_wifi_config_s_type.reserved[3]</t>
  </si>
  <si>
    <t>cmph_wifi_config_s_type.reserved[4]</t>
  </si>
  <si>
    <t>cmph_wifi_config_s_type.reserved[5]</t>
  </si>
  <si>
    <t>cmph_wifi_config_s_type.reserved[6]</t>
  </si>
  <si>
    <t>VoLTE: 0x05010329</t>
  </si>
  <si>
    <t>NV73545 Update</t>
  </si>
  <si>
    <t>Non_volte: 0x05010310
VoLTE: 0x0501032A</t>
  </si>
  <si>
    <t>NV850 Removed</t>
  </si>
  <si>
    <t>Updated NV 67348 / qiplcall_imageattr_support_reqd=1</t>
  </si>
  <si>
    <t>VoLTE: 0x0501032B</t>
  </si>
  <si>
    <t>Volte updates</t>
  </si>
  <si>
    <t>NV 67314 : Last_Published_etag should be empty</t>
  </si>
  <si>
    <t>Volte : 0x0501032C</t>
  </si>
  <si>
    <t>iUtIPAddrType_APN2</t>
  </si>
  <si>
    <t>utAPNName_APN2</t>
  </si>
  <si>
    <t>NV 70263 updated</t>
  </si>
  <si>
    <t>Volte : 0x0501032D</t>
  </si>
  <si>
    <t>Updated voipSilentRedialEnabled to 0</t>
  </si>
  <si>
    <t>Volte : 0x0501032E</t>
  </si>
  <si>
    <t>/nv/item_files/ims/MediaProfiles</t>
  </si>
  <si>
    <t xml:space="preserve">NumOfAudioProfile </t>
  </si>
  <si>
    <t>AMR_1_104;AMR_0_102</t>
  </si>
  <si>
    <t>AudioProfiles[0]</t>
  </si>
  <si>
    <t>AudioProfiles[1]</t>
  </si>
  <si>
    <t>AudioProfiles[2]</t>
  </si>
  <si>
    <t>AudioProfiles[3]</t>
  </si>
  <si>
    <t>AudioProfiles[4]</t>
  </si>
  <si>
    <t>Added NV /nv/item_files/ims/MediaProfiles</t>
  </si>
  <si>
    <t>Volte : 0x0501032F</t>
  </si>
  <si>
    <t>Updated NV 67257 – VoipSessionTimerEnabled = 1</t>
  </si>
  <si>
    <t>Volte : 0x05010330</t>
  </si>
  <si>
    <t>Updated IMShandover config file</t>
  </si>
  <si>
    <t>Volte : 0x05010331</t>
  </si>
  <si>
    <t>Updated IMShandover config file - media metric changes</t>
  </si>
  <si>
    <t>Volte : 0x05010332</t>
  </si>
  <si>
    <t xml:space="preserve">Updated IMShandover config file </t>
  </si>
  <si>
    <t>Volte : 0x05010333</t>
  </si>
  <si>
    <t>AMR_1_104;AMR_0_102;G711_0_112;G711_2_116</t>
  </si>
  <si>
    <t>G711_1_0;G711_1_8</t>
  </si>
  <si>
    <t>NV 73805 updated</t>
  </si>
  <si>
    <t>Volte : 0x05010334</t>
  </si>
  <si>
    <t>MCFG: Update North American ROW MBN for MCC/MNC selection</t>
  </si>
  <si>
    <t>Non_volte: 0x05010311
VoLTE: 0x05010335</t>
  </si>
  <si>
    <t>MCC_MNC List type</t>
  </si>
  <si>
    <t>MCC_MNC List Length</t>
  </si>
  <si>
    <t>MCC_MNC_flag</t>
  </si>
  <si>
    <t>0: select ion based on MCC/MNC, 1: wild card</t>
  </si>
  <si>
    <t>MCC_MNC_list_count</t>
  </si>
  <si>
    <t>number of MCC/MNC pair</t>
  </si>
  <si>
    <t>MCC_MNC_list</t>
  </si>
  <si>
    <t>310-30, 310-70,310-90,310-150,310-170,310-280,310-380,310-410,310-560,310-680,310-980,311-180</t>
  </si>
  <si>
    <t>MCFG_capability_type</t>
  </si>
  <si>
    <t>0x07</t>
  </si>
  <si>
    <t>MCFG_capability_Length</t>
  </si>
  <si>
    <t>MCFG_capability_values</t>
  </si>
  <si>
    <t>0x00000000</t>
  </si>
  <si>
    <t xml:space="preserve">TLV #7 bitmask (4B in total):   
Note(s)
Bit Position 0 - LO / 1 - HI 
bit0: SS  / DS &lt;--Applicable to HW mbn only
bit1:  OpenMarket /  Subsidized  
bit2:  NonVoLTE  / VoLTE  
bit3:  commerical /  lab  
bits4-31 &lt;reserved&gt;    </t>
  </si>
  <si>
    <t>0x00000004</t>
  </si>
  <si>
    <t>VoLTE:0x05010336</t>
  </si>
  <si>
    <t>NV 67257  - VoipMinSessionExpires set to 90</t>
  </si>
  <si>
    <t xml:space="preserve">imshandover config file updates
</t>
  </si>
  <si>
    <t>VoLTE:0x05010337</t>
  </si>
  <si>
    <t>MMode 1xsxlte Optimization</t>
  </si>
  <si>
    <t>opti[0]</t>
  </si>
  <si>
    <t>opti[1]</t>
  </si>
  <si>
    <t>Non_volte: 0x05010312
VoLTE: 0x05010338</t>
  </si>
  <si>
    <t>NV73596 Added</t>
  </si>
  <si>
    <t>/nv/item_files/modem/mmode/mmode_1xsxlte_optimization</t>
  </si>
  <si>
    <t>int[48]</t>
  </si>
  <si>
    <t>IMS NV update for ATT</t>
  </si>
  <si>
    <t>NV 67348  updated local_upgrade_accept_timer to 12s</t>
  </si>
  <si>
    <t>VoLTE 0x05010339</t>
  </si>
  <si>
    <t>NV 67257  updated VoipsessionTimerEnabled back to 0</t>
  </si>
  <si>
    <t>VoLTE 0x0501033A</t>
  </si>
  <si>
    <t>QIPCall QoS Reservation Timer</t>
  </si>
  <si>
    <t>/nv/item_files/ims/qipcall_qos_reservation_timer</t>
  </si>
  <si>
    <t>NV 71572 updated qipcall_qos_reservation_timer to 8000</t>
  </si>
  <si>
    <t>VoLTE 0x0501033B</t>
  </si>
  <si>
    <t>VoLTE 0x0501033C</t>
  </si>
  <si>
    <t>NV 70291 updated</t>
  </si>
  <si>
    <t>Policy Manager</t>
  </si>
  <si>
    <t>/policyman/carrier_policy.xml</t>
  </si>
  <si>
    <t>Added PM XML</t>
  </si>
  <si>
    <t>Non_volte: 0x05010313
VoLTE: 0x0501033D</t>
  </si>
  <si>
    <t>modem_proc\mmcp\policyman\configurations\Carrier\ATT\carrier_policy.xml</t>
  </si>
  <si>
    <t>VoLTE 0x0501033F</t>
  </si>
  <si>
    <t>WLAN 3G IP Continuity Enabled</t>
  </si>
  <si>
    <t>/nv/item_files/modem/data/dsmgr/wlan_3g_ip_continuity_enabled</t>
  </si>
  <si>
    <t>Non_volte: 0x05010314
VoLTE: 0x05010340</t>
  </si>
  <si>
    <t>Added NV 73657</t>
  </si>
  <si>
    <t>VoLTE 0x05010341</t>
  </si>
  <si>
    <t>0x05010320</t>
  </si>
  <si>
    <t>G711_0_112;G711_1_116</t>
  </si>
  <si>
    <t xml:space="preserve">NV 73805 updates
</t>
  </si>
  <si>
    <t>VoLTE 0x05010351</t>
  </si>
  <si>
    <t>VoLTE 0x05010352</t>
  </si>
  <si>
    <t>MCFG Attribute set to 0x19 for all IMS NVs</t>
  </si>
  <si>
    <t>ShortCodeList</t>
  </si>
  <si>
    <t>0x05010353</t>
  </si>
  <si>
    <t>13/10/2016</t>
  </si>
  <si>
    <t>AuthHeaderValue to ShortCodeList</t>
  </si>
  <si>
    <t>VoLTE 0x05010353</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</si>
</sst>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409]mmmm\ d\,\ yyyy;@"/>
    <numFmt numFmtId="165" formatCode="_-* #,##0_-;\-* #,##0_-;_-* &quot;-&quot;_-;_-@_-"/>
    <numFmt numFmtId="166" formatCode="_-* #,##0.00_-;\-* #,##0.00_-;_-* &quot;-&quot;??_-;_-@_-"/>
    <numFmt numFmtId="167" formatCode="_-&quot;F&quot;* #,##0_-;\-&quot;F&quot;* #,##0_-;_-&quot;F&quot;* &quot;-&quot;_-;_-@_-"/>
    <numFmt numFmtId="168" formatCode="_-&quot;F&quot;* #,##0.00_-;\-&quot;F&quot;* #,##0.00_-;_-&quot;F&quot;* &quot;-&quot;??_-;_-@_-"/>
  </numFmts>
  <fonts count="100" x14ac:knownFonts="1">
    <font>
      <sz val="10"/>
      <color theme="1"/>
      <name val="Arial"/>
      <family val="2"/>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0"/>
      <color theme="1"/>
      <name val="Gill Sans MT"/>
      <family val="2"/>
      <scheme val="major"/>
    </font>
    <font>
      <sz val="10"/>
      <color theme="1"/>
      <name val="Gill Sans MT"/>
      <family val="2"/>
      <scheme val="minor"/>
    </font>
    <font>
      <b/>
      <sz val="10"/>
      <color theme="1"/>
      <name val="Gill Sans MT"/>
      <family val="2"/>
      <scheme val="major"/>
    </font>
    <font>
      <b/>
      <sz val="12"/>
      <color theme="1"/>
      <name val="Gill Sans MT"/>
      <family val="2"/>
      <scheme val="major"/>
    </font>
    <font>
      <b/>
      <sz val="14"/>
      <color theme="1"/>
      <name val="Gill Sans MT"/>
      <family val="2"/>
      <scheme val="major"/>
    </font>
    <font>
      <b/>
      <sz val="18"/>
      <color theme="1"/>
      <name val="Gill Sans MT"/>
      <family val="2"/>
      <scheme val="major"/>
    </font>
    <font>
      <sz val="18"/>
      <color theme="1"/>
      <name val="Gill Sans MT"/>
      <family val="2"/>
      <scheme val="major"/>
    </font>
    <font>
      <sz val="10"/>
      <name val="Gill Sans MT"/>
      <family val="2"/>
      <scheme val="minor"/>
    </font>
    <font>
      <sz val="10"/>
      <name val="Arial"/>
      <family val="2"/>
    </font>
    <font>
      <sz val="10"/>
      <color rgb="FF000000"/>
      <name val="Arial"/>
      <family val="2"/>
    </font>
    <font>
      <sz val="10"/>
      <color theme="1"/>
      <name val="Arial"/>
      <family val="2"/>
    </font>
    <font>
      <sz val="11"/>
      <name val="Gill Sans MT"/>
      <family val="2"/>
      <scheme val="minor"/>
    </font>
    <font>
      <sz val="11"/>
      <color rgb="FF00B0F0"/>
      <name val="Gill Sans MT"/>
      <family val="2"/>
      <scheme val="minor"/>
    </font>
    <font>
      <sz val="10"/>
      <color rgb="FF00B0F0"/>
      <name val="Arial"/>
      <family val="2"/>
    </font>
    <font>
      <sz val="10"/>
      <color rgb="FF00B0F0"/>
      <name val="Gill Sans MT"/>
      <family val="2"/>
      <scheme val="minor"/>
    </font>
    <font>
      <sz val="8"/>
      <color theme="1"/>
      <name val="Arial"/>
      <family val="2"/>
    </font>
    <font>
      <sz val="10"/>
      <color rgb="FF00B0F0"/>
      <name val="Gill Sans MT"/>
      <family val="2"/>
      <scheme val="major"/>
    </font>
    <font>
      <sz val="10"/>
      <name val="Gill Sans MT"/>
      <family val="2"/>
      <scheme val="major"/>
    </font>
    <font>
      <sz val="7"/>
      <name val="Arial"/>
      <family val="2"/>
    </font>
    <font>
      <u/>
      <sz val="10"/>
      <color indexed="12"/>
      <name val="Arial"/>
      <family val="2"/>
    </font>
    <font>
      <b/>
      <sz val="18"/>
      <color rgb="FF002060"/>
      <name val="Gill Sans MT"/>
      <family val="2"/>
      <scheme val="major"/>
    </font>
    <font>
      <sz val="18"/>
      <color rgb="FF002060"/>
      <name val="Gill Sans MT"/>
      <family val="2"/>
      <scheme val="major"/>
    </font>
    <font>
      <sz val="10"/>
      <color rgb="FF002060"/>
      <name val="Arial"/>
      <family val="2"/>
    </font>
    <font>
      <b/>
      <sz val="12"/>
      <color rgb="FF002060"/>
      <name val="Gill Sans MT"/>
      <family val="2"/>
      <scheme val="major"/>
    </font>
    <font>
      <sz val="12"/>
      <color rgb="FF002060"/>
      <name val="Gill Sans MT"/>
      <family val="2"/>
      <scheme val="major"/>
    </font>
    <font>
      <sz val="10"/>
      <color rgb="FF002060"/>
      <name val="Gill Sans MT"/>
      <family val="2"/>
      <scheme val="major"/>
    </font>
    <font>
      <sz val="11"/>
      <color rgb="FF002060"/>
      <name val="Gill Sans MT"/>
      <family val="2"/>
      <scheme val="minor"/>
    </font>
    <font>
      <sz val="10"/>
      <color rgb="FF002060"/>
      <name val="Gill Sans MT"/>
      <family val="2"/>
      <scheme val="minor"/>
    </font>
    <font>
      <sz val="12"/>
      <color theme="1"/>
      <name val="Gill Sans MT"/>
      <family val="2"/>
      <scheme val="minor"/>
    </font>
    <font>
      <sz val="12"/>
      <color theme="1"/>
      <name val="Arial"/>
      <family val="2"/>
    </font>
    <font>
      <b/>
      <sz val="12"/>
      <name val="Gill Sans MT"/>
      <family val="2"/>
      <scheme val="major"/>
    </font>
    <font>
      <b/>
      <sz val="10"/>
      <name val="Gill Sans MT"/>
      <family val="2"/>
      <scheme val="major"/>
    </font>
    <font>
      <sz val="9"/>
      <color theme="1"/>
      <name val="Gill Sans MT"/>
      <family val="2"/>
      <scheme val="minor"/>
    </font>
    <font>
      <sz val="11"/>
      <color rgb="FF000000"/>
      <name val="Gill Sans MT"/>
      <family val="2"/>
      <scheme val="minor"/>
    </font>
    <font>
      <sz val="11"/>
      <name val="Arial"/>
      <family val="2"/>
    </font>
    <font>
      <sz val="14"/>
      <color rgb="FF000000"/>
      <name val="Calibri"/>
      <family val="2"/>
    </font>
    <font>
      <sz val="8"/>
      <name val="Segoe UI"/>
      <family val="2"/>
    </font>
    <font>
      <sz val="10"/>
      <color rgb="FF000000"/>
      <name val="Segoe UI"/>
      <family val="2"/>
    </font>
  </fonts>
  <fills count="11">
    <fill>
      <patternFill patternType="none"/>
    </fill>
    <fill>
      <patternFill patternType="gray125"/>
    </fill>
    <fill>
      <patternFill patternType="solid">
        <fgColor theme="4" tint="0.7999816888943144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5"/>
      </patternFill>
    </fill>
    <fill>
      <patternFill patternType="solid">
        <fgColor theme="5" tint="0.79998168889431442"/>
        <bgColor indexed="64"/>
      </patternFill>
    </fill>
    <fill>
      <patternFill patternType="solid">
        <fgColor rgb="FFFFFFCC"/>
      </patternFill>
    </fill>
    <fill>
      <patternFill patternType="solid">
        <fgColor rgb="FF92D050"/>
        <bgColor indexed="64"/>
      </patternFill>
    </fill>
    <fill>
      <patternFill patternType="solid">
        <fgColor theme="0"/>
        <bgColor indexed="64"/>
      </patternFill>
    </fill>
    <fill>
      <patternFill patternType="solid">
        <fgColor theme="9" tint="0.59999389629810485"/>
        <bgColor indexed="64"/>
      </patternFill>
    </fill>
  </fills>
  <borders count="44">
    <border>
      <left/>
      <right/>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double">
        <color theme="1"/>
      </left>
      <right style="double">
        <color theme="1"/>
      </right>
      <top style="double">
        <color theme="1"/>
      </top>
      <bottom style="double">
        <color theme="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FF0000"/>
      </left>
      <right style="thin">
        <color rgb="FFFF0000"/>
      </right>
      <top style="thin">
        <color rgb="FFFF0000"/>
      </top>
      <bottom style="thin">
        <color rgb="FFFF0000"/>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61885">
    <xf numFmtId="0" fontId="0" fillId="0" borderId="0"/>
    <xf numFmtId="0" fontId="61" fillId="5" borderId="0" applyNumberFormat="0" applyBorder="0" applyAlignment="0" applyProtection="0"/>
    <xf numFmtId="0" fontId="61" fillId="5" borderId="0" applyNumberFormat="0" applyBorder="0" applyAlignment="0" applyProtection="0"/>
    <xf numFmtId="0" fontId="72" fillId="0" borderId="0"/>
    <xf numFmtId="49" fontId="77" fillId="0" borderId="22" applyNumberFormat="0" applyFont="0" applyFill="0" applyAlignment="0" applyProtection="0">
      <alignment horizontal="center" vertical="center"/>
      <protection locked="0"/>
    </xf>
    <xf numFmtId="0" fontId="60" fillId="5" borderId="0" applyNumberFormat="0" applyBorder="0" applyAlignment="0" applyProtection="0"/>
    <xf numFmtId="0" fontId="60" fillId="5" borderId="0" applyNumberFormat="0" applyBorder="0" applyAlignment="0" applyProtection="0"/>
    <xf numFmtId="0" fontId="59" fillId="5" borderId="0" applyNumberFormat="0" applyBorder="0" applyAlignment="0" applyProtection="0"/>
    <xf numFmtId="0" fontId="59" fillId="5" borderId="0" applyNumberFormat="0" applyBorder="0" applyAlignment="0" applyProtection="0"/>
    <xf numFmtId="0" fontId="58" fillId="5" borderId="0" applyNumberFormat="0" applyBorder="0" applyAlignment="0" applyProtection="0"/>
    <xf numFmtId="0" fontId="58" fillId="5" borderId="0" applyNumberFormat="0" applyBorder="0" applyAlignment="0" applyProtection="0"/>
    <xf numFmtId="0" fontId="58" fillId="5" borderId="0" applyNumberFormat="0" applyBorder="0" applyAlignment="0" applyProtection="0"/>
    <xf numFmtId="0" fontId="58" fillId="0" borderId="0"/>
    <xf numFmtId="0" fontId="57" fillId="5" borderId="0" applyNumberFormat="0" applyBorder="0" applyAlignment="0" applyProtection="0"/>
    <xf numFmtId="0" fontId="57" fillId="5" borderId="0" applyNumberFormat="0" applyBorder="0" applyAlignment="0" applyProtection="0"/>
    <xf numFmtId="0" fontId="57" fillId="5" borderId="0" applyNumberFormat="0" applyBorder="0" applyAlignment="0" applyProtection="0"/>
    <xf numFmtId="0" fontId="56"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0" borderId="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0" borderId="0"/>
    <xf numFmtId="0" fontId="55" fillId="0" borderId="0"/>
    <xf numFmtId="0" fontId="55" fillId="0" borderId="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5" fillId="0" borderId="0"/>
    <xf numFmtId="0" fontId="55" fillId="0" borderId="0"/>
    <xf numFmtId="0" fontId="54" fillId="5" borderId="0" applyNumberFormat="0" applyBorder="0" applyAlignment="0" applyProtection="0"/>
    <xf numFmtId="0" fontId="54" fillId="5" borderId="0" applyNumberFormat="0" applyBorder="0" applyAlignment="0" applyProtection="0"/>
    <xf numFmtId="0" fontId="54"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0" borderId="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0" borderId="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0" borderId="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0" borderId="0"/>
    <xf numFmtId="0" fontId="52" fillId="0" borderId="0"/>
    <xf numFmtId="0" fontId="52" fillId="0" borderId="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0" borderId="0"/>
    <xf numFmtId="0" fontId="52" fillId="0" borderId="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0" borderId="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0"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0" borderId="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0" borderId="0"/>
    <xf numFmtId="0" fontId="49" fillId="0" borderId="0"/>
    <xf numFmtId="0" fontId="49" fillId="0" borderId="0"/>
    <xf numFmtId="0" fontId="49" fillId="0" borderId="0"/>
    <xf numFmtId="0" fontId="49" fillId="0" borderId="0"/>
    <xf numFmtId="0" fontId="49" fillId="0" borderId="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8" fillId="5" borderId="0" applyNumberFormat="0" applyBorder="0" applyAlignment="0" applyProtection="0"/>
    <xf numFmtId="0" fontId="48"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0" borderId="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0" borderId="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0" borderId="0"/>
    <xf numFmtId="0" fontId="46" fillId="0" borderId="0"/>
    <xf numFmtId="0" fontId="46" fillId="0" borderId="0"/>
    <xf numFmtId="0" fontId="46" fillId="0" borderId="0"/>
    <xf numFmtId="0" fontId="46" fillId="0" borderId="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5" borderId="0" applyNumberFormat="0" applyBorder="0" applyAlignment="0" applyProtection="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5" borderId="0" applyNumberFormat="0" applyBorder="0" applyAlignment="0" applyProtection="0"/>
    <xf numFmtId="0" fontId="46"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4"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72" fillId="0" borderId="0"/>
    <xf numFmtId="0" fontId="42" fillId="5" borderId="0" applyNumberFormat="0" applyBorder="0" applyAlignment="0" applyProtection="0"/>
    <xf numFmtId="0" fontId="42" fillId="5" borderId="0" applyNumberFormat="0" applyBorder="0" applyAlignment="0" applyProtection="0"/>
    <xf numFmtId="0" fontId="42"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39" fillId="5" borderId="0" applyNumberFormat="0" applyBorder="0" applyAlignment="0" applyProtection="0"/>
    <xf numFmtId="0" fontId="38"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6"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0" fillId="5" borderId="0" applyNumberFormat="0" applyBorder="0" applyAlignment="0" applyProtection="0"/>
    <xf numFmtId="0" fontId="30"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5" borderId="0" applyNumberFormat="0" applyBorder="0" applyAlignment="0" applyProtection="0"/>
    <xf numFmtId="0" fontId="29" fillId="5" borderId="0" applyNumberFormat="0" applyBorder="0" applyAlignment="0" applyProtection="0"/>
    <xf numFmtId="0" fontId="28" fillId="5" borderId="0" applyNumberFormat="0" applyBorder="0" applyAlignment="0" applyProtection="0"/>
    <xf numFmtId="0" fontId="28"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6" fillId="5" borderId="0" applyNumberFormat="0" applyBorder="0" applyAlignment="0" applyProtection="0"/>
    <xf numFmtId="0" fontId="26" fillId="5"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4"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2" fillId="5" borderId="0" applyNumberFormat="0" applyBorder="0" applyAlignment="0" applyProtection="0"/>
    <xf numFmtId="0" fontId="21"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5"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1" fontId="80" fillId="0" borderId="26" applyNumberFormat="0" applyFont="0" applyAlignment="0" applyProtection="0">
      <alignment horizontal="center" vertical="center"/>
      <protection locked="0"/>
    </xf>
    <xf numFmtId="0" fontId="72" fillId="0" borderId="0"/>
    <xf numFmtId="0" fontId="13" fillId="0" borderId="0"/>
    <xf numFmtId="164" fontId="70" fillId="0" borderId="0" applyBorder="0"/>
    <xf numFmtId="164" fontId="81" fillId="0" borderId="0" applyNumberFormat="0" applyFill="0" applyBorder="0" applyAlignment="0" applyProtection="0">
      <alignment vertical="top"/>
      <protection locked="0"/>
    </xf>
    <xf numFmtId="0" fontId="72" fillId="0" borderId="0"/>
    <xf numFmtId="165" fontId="70" fillId="0" borderId="0" applyFont="0" applyFill="0" applyBorder="0" applyAlignment="0" applyProtection="0"/>
    <xf numFmtId="166" fontId="70" fillId="0" borderId="0" applyFont="0" applyFill="0" applyBorder="0" applyAlignment="0" applyProtection="0"/>
    <xf numFmtId="0" fontId="77" fillId="8" borderId="27">
      <alignment horizontal="center" vertical="center"/>
    </xf>
    <xf numFmtId="0" fontId="13"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0" fontId="72" fillId="7" borderId="25" applyNumberFormat="0" applyFont="0" applyAlignment="0" applyProtection="0"/>
    <xf numFmtId="167" fontId="70" fillId="0" borderId="0" applyFont="0" applyFill="0" applyBorder="0" applyAlignment="0" applyProtection="0"/>
    <xf numFmtId="168" fontId="70" fillId="0" borderId="0" applyFont="0" applyFill="0" applyBorder="0" applyAlignment="0" applyProtection="0"/>
    <xf numFmtId="164" fontId="70" fillId="0" borderId="0" applyBorder="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0" fillId="0" borderId="0"/>
    <xf numFmtId="0" fontId="10" fillId="0" borderId="0"/>
    <xf numFmtId="0" fontId="10" fillId="0" borderId="0"/>
    <xf numFmtId="0" fontId="10" fillId="0" borderId="0"/>
    <xf numFmtId="0" fontId="9"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5" fillId="5" borderId="0" applyNumberFormat="0" applyBorder="0" applyAlignment="0" applyProtection="0"/>
    <xf numFmtId="0" fontId="4" fillId="5" borderId="0"/>
    <xf numFmtId="0" fontId="4" fillId="5" borderId="0"/>
  </cellStyleXfs>
  <cellXfs count="311">
    <xf numFmtId="0" fontId="0" fillId="0" borderId="0" xfId="0"/>
    <xf numFmtId="0" fontId="62" fillId="0" borderId="0" xfId="0" applyFont="1"/>
    <xf numFmtId="0" fontId="63" fillId="0" borderId="0" xfId="0" applyFont="1"/>
    <xf numFmtId="0" fontId="64" fillId="0" borderId="0" xfId="0" applyFont="1" applyFill="1" applyAlignment="1">
      <alignment horizontal="right"/>
    </xf>
    <xf numFmtId="0" fontId="63" fillId="0" borderId="8" xfId="0" applyFont="1" applyBorder="1" applyAlignment="1">
      <alignment horizontal="left" indent="1"/>
    </xf>
    <xf numFmtId="0" fontId="62" fillId="2" borderId="7" xfId="0" applyFont="1" applyFill="1" applyBorder="1" applyAlignment="1">
      <alignment horizontal="center"/>
    </xf>
    <xf numFmtId="0" fontId="65" fillId="0" borderId="0" xfId="0" applyFont="1" applyFill="1" applyAlignment="1">
      <alignment horizontal="left"/>
    </xf>
    <xf numFmtId="0" fontId="66" fillId="0" borderId="0" xfId="0" applyFont="1" applyFill="1" applyAlignment="1">
      <alignment vertical="center"/>
    </xf>
    <xf numFmtId="0" fontId="0" fillId="0" borderId="0" xfId="0" applyFont="1"/>
    <xf numFmtId="0" fontId="0" fillId="0" borderId="0" xfId="0" applyFont="1" applyAlignment="1">
      <alignment horizontal="left" indent="2"/>
    </xf>
    <xf numFmtId="0" fontId="0" fillId="0" borderId="0" xfId="0"/>
    <xf numFmtId="0" fontId="69" fillId="0" borderId="8" xfId="0" applyFont="1" applyBorder="1" applyAlignment="1">
      <alignment horizontal="left" indent="1"/>
    </xf>
    <xf numFmtId="0" fontId="64" fillId="0" borderId="0" xfId="0" applyFont="1" applyAlignment="1">
      <alignment horizontal="right"/>
    </xf>
    <xf numFmtId="0" fontId="62" fillId="0" borderId="0" xfId="0" applyFont="1" applyAlignment="1">
      <alignment horizontal="left" indent="1"/>
    </xf>
    <xf numFmtId="0" fontId="65" fillId="4" borderId="3" xfId="0" applyFont="1" applyFill="1" applyBorder="1" applyAlignment="1">
      <alignment horizontal="centerContinuous"/>
    </xf>
    <xf numFmtId="14" fontId="78" fillId="0" borderId="0" xfId="0" applyNumberFormat="1" applyFont="1" applyFill="1" applyAlignment="1">
      <alignment horizontal="left" indent="1"/>
    </xf>
    <xf numFmtId="0" fontId="78" fillId="0" borderId="0" xfId="0" applyFont="1" applyFill="1" applyAlignment="1">
      <alignment horizontal="left" indent="1"/>
    </xf>
    <xf numFmtId="0" fontId="69" fillId="0" borderId="0" xfId="0" applyFont="1"/>
    <xf numFmtId="0" fontId="68" fillId="0" borderId="0" xfId="0" applyFont="1" applyAlignment="1"/>
    <xf numFmtId="0" fontId="0" fillId="0" borderId="0" xfId="0" applyAlignment="1"/>
    <xf numFmtId="0" fontId="62" fillId="0" borderId="0" xfId="0" applyFont="1" applyAlignment="1"/>
    <xf numFmtId="0" fontId="63" fillId="0" borderId="0" xfId="0" applyFont="1" applyAlignment="1"/>
    <xf numFmtId="0" fontId="62" fillId="0" borderId="0" xfId="0" applyFont="1"/>
    <xf numFmtId="0" fontId="63" fillId="0" borderId="8" xfId="0" applyFont="1" applyBorder="1" applyAlignment="1">
      <alignment horizontal="left" indent="1"/>
    </xf>
    <xf numFmtId="0" fontId="0" fillId="0" borderId="0" xfId="0" applyFont="1"/>
    <xf numFmtId="0" fontId="65" fillId="4" borderId="3" xfId="0" applyFont="1" applyFill="1" applyBorder="1" applyAlignment="1">
      <alignment horizontal="centerContinuous"/>
    </xf>
    <xf numFmtId="0" fontId="76" fillId="0" borderId="0" xfId="0" applyFont="1"/>
    <xf numFmtId="0" fontId="0" fillId="0" borderId="0" xfId="0"/>
    <xf numFmtId="0" fontId="63" fillId="0" borderId="0" xfId="0" applyFont="1"/>
    <xf numFmtId="0" fontId="79" fillId="0" borderId="0" xfId="0" applyFont="1"/>
    <xf numFmtId="0" fontId="67" fillId="3" borderId="0" xfId="0" applyFont="1" applyFill="1" applyAlignment="1">
      <alignment horizontal="center" vertical="center"/>
    </xf>
    <xf numFmtId="0" fontId="69" fillId="0" borderId="9" xfId="0" applyFont="1" applyBorder="1" applyAlignment="1">
      <alignment horizontal="left" indent="1"/>
    </xf>
    <xf numFmtId="0" fontId="76" fillId="0" borderId="0" xfId="0" applyFont="1" applyBorder="1" applyAlignment="1">
      <alignment horizontal="left" indent="1"/>
    </xf>
    <xf numFmtId="0" fontId="83" fillId="0" borderId="0" xfId="0" applyFont="1"/>
    <xf numFmtId="0" fontId="84" fillId="0" borderId="0" xfId="0" applyFont="1" applyBorder="1"/>
    <xf numFmtId="0" fontId="84" fillId="0" borderId="0" xfId="0" applyFont="1"/>
    <xf numFmtId="0" fontId="84" fillId="0" borderId="0" xfId="0" applyFont="1" applyAlignment="1">
      <alignment horizontal="left" indent="1"/>
    </xf>
    <xf numFmtId="0" fontId="84" fillId="0" borderId="0" xfId="0" applyFont="1" applyAlignment="1">
      <alignment wrapText="1"/>
    </xf>
    <xf numFmtId="0" fontId="86" fillId="0" borderId="0" xfId="0" applyFont="1"/>
    <xf numFmtId="0" fontId="87" fillId="2" borderId="10" xfId="0" applyFont="1" applyFill="1" applyBorder="1" applyAlignment="1">
      <alignment horizontal="left" indent="1"/>
    </xf>
    <xf numFmtId="0" fontId="87" fillId="2" borderId="7" xfId="0" applyFont="1" applyFill="1" applyBorder="1" applyAlignment="1">
      <alignment horizontal="left" indent="1"/>
    </xf>
    <xf numFmtId="0" fontId="87" fillId="2" borderId="6" xfId="0" applyFont="1" applyFill="1" applyBorder="1" applyAlignment="1">
      <alignment horizontal="left" indent="1"/>
    </xf>
    <xf numFmtId="0" fontId="87" fillId="2" borderId="6" xfId="0" applyFont="1" applyFill="1" applyBorder="1" applyAlignment="1">
      <alignment horizontal="left" wrapText="1"/>
    </xf>
    <xf numFmtId="0" fontId="87" fillId="0" borderId="0" xfId="0" applyFont="1"/>
    <xf numFmtId="0" fontId="89" fillId="0" borderId="0" xfId="0" applyFont="1"/>
    <xf numFmtId="0" fontId="84" fillId="0" borderId="0" xfId="0" applyFont="1" applyFill="1"/>
    <xf numFmtId="0" fontId="78" fillId="0" borderId="0" xfId="0" applyFont="1" applyAlignment="1">
      <alignment horizontal="left" indent="1"/>
    </xf>
    <xf numFmtId="0" fontId="70" fillId="0" borderId="0" xfId="0" applyFont="1" applyFill="1"/>
    <xf numFmtId="0" fontId="73" fillId="5" borderId="21" xfId="61849" applyFont="1" applyBorder="1"/>
    <xf numFmtId="0" fontId="69" fillId="0" borderId="15" xfId="0" applyFont="1" applyBorder="1"/>
    <xf numFmtId="0" fontId="69" fillId="0" borderId="3" xfId="0" applyFont="1" applyBorder="1"/>
    <xf numFmtId="0" fontId="69" fillId="0" borderId="0" xfId="0" applyFont="1" applyBorder="1"/>
    <xf numFmtId="0" fontId="69" fillId="0" borderId="0" xfId="0" applyFont="1" applyBorder="1" applyAlignment="1">
      <alignment horizontal="left" indent="1"/>
    </xf>
    <xf numFmtId="0" fontId="69" fillId="0" borderId="0" xfId="0" applyFont="1" applyBorder="1" applyAlignment="1">
      <alignment wrapText="1"/>
    </xf>
    <xf numFmtId="0" fontId="92" fillId="4" borderId="2" xfId="0" applyFont="1" applyFill="1" applyBorder="1" applyAlignment="1">
      <alignment horizontal="centerContinuous"/>
    </xf>
    <xf numFmtId="0" fontId="92" fillId="4" borderId="0" xfId="0" applyFont="1" applyFill="1" applyBorder="1" applyAlignment="1">
      <alignment horizontal="centerContinuous"/>
    </xf>
    <xf numFmtId="0" fontId="92" fillId="4" borderId="16" xfId="0" applyFont="1" applyFill="1" applyBorder="1" applyAlignment="1">
      <alignment horizontal="centerContinuous"/>
    </xf>
    <xf numFmtId="0" fontId="92" fillId="4" borderId="16" xfId="0" applyFont="1" applyFill="1" applyBorder="1" applyAlignment="1">
      <alignment horizontal="centerContinuous" wrapText="1"/>
    </xf>
    <xf numFmtId="0" fontId="93" fillId="4" borderId="1" xfId="0" applyFont="1" applyFill="1" applyBorder="1" applyAlignment="1">
      <alignment horizontal="centerContinuous"/>
    </xf>
    <xf numFmtId="0" fontId="93" fillId="2" borderId="17" xfId="0" applyFont="1" applyFill="1" applyBorder="1" applyAlignment="1">
      <alignment horizontal="center"/>
    </xf>
    <xf numFmtId="0" fontId="73" fillId="2" borderId="18" xfId="61851" applyFont="1" applyFill="1" applyBorder="1" applyAlignment="1">
      <alignment horizontal="center" wrapText="1"/>
    </xf>
    <xf numFmtId="0" fontId="73" fillId="2" borderId="2" xfId="61849" applyFont="1" applyFill="1" applyBorder="1" applyAlignment="1">
      <alignment horizontal="center" wrapText="1"/>
    </xf>
    <xf numFmtId="0" fontId="73" fillId="2" borderId="18" xfId="61853" applyFont="1" applyFill="1" applyBorder="1" applyAlignment="1">
      <alignment horizontal="center" wrapText="1"/>
    </xf>
    <xf numFmtId="0" fontId="73" fillId="2" borderId="18" xfId="61781" applyFont="1" applyFill="1" applyBorder="1" applyAlignment="1">
      <alignment horizontal="center" wrapText="1"/>
    </xf>
    <xf numFmtId="0" fontId="73" fillId="2" borderId="18" xfId="61861" applyFont="1" applyFill="1" applyBorder="1" applyAlignment="1">
      <alignment horizontal="center" wrapText="1"/>
    </xf>
    <xf numFmtId="0" fontId="69" fillId="2" borderId="18" xfId="7" applyFont="1" applyFill="1" applyBorder="1" applyAlignment="1">
      <alignment horizontal="center" wrapText="1"/>
    </xf>
    <xf numFmtId="0" fontId="72" fillId="0" borderId="0" xfId="0" applyFont="1" applyFill="1"/>
    <xf numFmtId="0" fontId="63" fillId="0" borderId="15" xfId="0" applyFont="1" applyBorder="1"/>
    <xf numFmtId="0" fontId="63" fillId="0" borderId="3" xfId="0" applyFont="1" applyBorder="1"/>
    <xf numFmtId="0" fontId="63" fillId="0" borderId="0" xfId="0" applyFont="1" applyBorder="1"/>
    <xf numFmtId="0" fontId="63" fillId="0" borderId="0" xfId="0" applyFont="1" applyBorder="1" applyAlignment="1">
      <alignment horizontal="left" indent="1"/>
    </xf>
    <xf numFmtId="0" fontId="63" fillId="0" borderId="0" xfId="0" applyFont="1" applyBorder="1" applyAlignment="1">
      <alignment wrapText="1"/>
    </xf>
    <xf numFmtId="0" fontId="65" fillId="4" borderId="2" xfId="0" applyFont="1" applyFill="1" applyBorder="1" applyAlignment="1">
      <alignment horizontal="centerContinuous"/>
    </xf>
    <xf numFmtId="0" fontId="65" fillId="4" borderId="0" xfId="0" applyFont="1" applyFill="1" applyBorder="1" applyAlignment="1">
      <alignment horizontal="centerContinuous"/>
    </xf>
    <xf numFmtId="0" fontId="65" fillId="4" borderId="16" xfId="0" applyFont="1" applyFill="1" applyBorder="1" applyAlignment="1">
      <alignment horizontal="centerContinuous"/>
    </xf>
    <xf numFmtId="0" fontId="65" fillId="4" borderId="16" xfId="0" applyFont="1" applyFill="1" applyBorder="1" applyAlignment="1">
      <alignment horizontal="centerContinuous" wrapText="1"/>
    </xf>
    <xf numFmtId="0" fontId="64" fillId="4" borderId="1" xfId="0" applyFont="1" applyFill="1" applyBorder="1" applyAlignment="1">
      <alignment horizontal="centerContinuous"/>
    </xf>
    <xf numFmtId="0" fontId="64" fillId="2" borderId="17" xfId="0" applyFont="1" applyFill="1" applyBorder="1" applyAlignment="1">
      <alignment horizontal="center"/>
    </xf>
    <xf numFmtId="0" fontId="6" fillId="2" borderId="18" xfId="61851" applyFont="1" applyFill="1" applyBorder="1" applyAlignment="1">
      <alignment horizontal="center" wrapText="1"/>
    </xf>
    <xf numFmtId="0" fontId="6" fillId="2" borderId="18" xfId="61853" applyFont="1" applyFill="1" applyBorder="1" applyAlignment="1">
      <alignment horizontal="center" wrapText="1"/>
    </xf>
    <xf numFmtId="0" fontId="6" fillId="2" borderId="18" xfId="61861" applyFont="1" applyFill="1" applyBorder="1" applyAlignment="1">
      <alignment horizontal="center" wrapText="1"/>
    </xf>
    <xf numFmtId="0" fontId="90" fillId="2" borderId="18" xfId="61880" applyFont="1" applyFill="1" applyBorder="1" applyAlignment="1">
      <alignment horizontal="center" wrapText="1"/>
    </xf>
    <xf numFmtId="0" fontId="6" fillId="2" borderId="18" xfId="61852" applyFont="1" applyFill="1" applyBorder="1" applyAlignment="1">
      <alignment horizontal="center" wrapText="1"/>
    </xf>
    <xf numFmtId="0" fontId="6" fillId="2" borderId="18" xfId="0" applyFont="1" applyFill="1" applyBorder="1" applyAlignment="1">
      <alignment horizontal="center" wrapText="1"/>
    </xf>
    <xf numFmtId="0" fontId="6" fillId="2" borderId="18" xfId="61781" applyFont="1" applyFill="1" applyBorder="1" applyAlignment="1">
      <alignment horizontal="center" wrapText="1"/>
    </xf>
    <xf numFmtId="0" fontId="69" fillId="0" borderId="29" xfId="0" applyFont="1" applyFill="1" applyBorder="1" applyAlignment="1">
      <alignment horizontal="center"/>
    </xf>
    <xf numFmtId="0" fontId="69" fillId="0" borderId="28" xfId="0" applyFont="1" applyFill="1" applyBorder="1" applyAlignment="1">
      <alignment horizontal="center"/>
    </xf>
    <xf numFmtId="0" fontId="70" fillId="0" borderId="28" xfId="0" applyFont="1" applyBorder="1" applyAlignment="1">
      <alignment wrapText="1"/>
    </xf>
    <xf numFmtId="0" fontId="69" fillId="0" borderId="18" xfId="0" applyFont="1" applyFill="1" applyBorder="1" applyAlignment="1">
      <alignment horizontal="center"/>
    </xf>
    <xf numFmtId="0" fontId="70" fillId="0" borderId="18" xfId="0" applyFont="1" applyBorder="1" applyAlignment="1">
      <alignment wrapText="1"/>
    </xf>
    <xf numFmtId="0" fontId="0" fillId="0" borderId="18" xfId="0" applyBorder="1" applyAlignment="1"/>
    <xf numFmtId="0" fontId="62" fillId="2" borderId="6" xfId="0" applyFont="1" applyFill="1" applyBorder="1" applyAlignment="1"/>
    <xf numFmtId="0" fontId="0" fillId="0" borderId="0" xfId="0" applyAlignment="1">
      <alignment horizontal="center"/>
    </xf>
    <xf numFmtId="0" fontId="0" fillId="0" borderId="18" xfId="0" applyBorder="1" applyAlignment="1">
      <alignment horizontal="center"/>
    </xf>
    <xf numFmtId="0" fontId="67" fillId="3" borderId="0" xfId="0" applyFont="1" applyFill="1" applyAlignment="1"/>
    <xf numFmtId="0" fontId="62" fillId="2" borderId="5" xfId="0" applyFont="1" applyFill="1" applyBorder="1" applyAlignment="1"/>
    <xf numFmtId="0" fontId="69" fillId="0" borderId="28" xfId="0" applyFont="1" applyFill="1" applyBorder="1" applyAlignment="1">
      <alignment wrapText="1"/>
    </xf>
    <xf numFmtId="0" fontId="69" fillId="0" borderId="18" xfId="0" applyFont="1" applyFill="1" applyBorder="1" applyAlignment="1">
      <alignment wrapText="1"/>
    </xf>
    <xf numFmtId="0" fontId="67" fillId="3" borderId="0" xfId="0" applyFont="1" applyFill="1" applyAlignment="1">
      <alignment horizontal="center"/>
    </xf>
    <xf numFmtId="0" fontId="69" fillId="0" borderId="28" xfId="0" applyFont="1" applyFill="1" applyBorder="1" applyAlignment="1">
      <alignment horizontal="center" wrapText="1"/>
    </xf>
    <xf numFmtId="0" fontId="69" fillId="0" borderId="18" xfId="0" applyFont="1" applyFill="1" applyBorder="1" applyAlignment="1">
      <alignment horizontal="center" wrapText="1"/>
    </xf>
    <xf numFmtId="0" fontId="62" fillId="2" borderId="10" xfId="0" applyFont="1" applyFill="1" applyBorder="1" applyAlignment="1">
      <alignment horizontal="center"/>
    </xf>
    <xf numFmtId="0" fontId="69" fillId="0" borderId="18" xfId="1896" applyFont="1" applyFill="1" applyBorder="1" applyAlignment="1">
      <alignment horizontal="center" wrapText="1"/>
    </xf>
    <xf numFmtId="0" fontId="69" fillId="0" borderId="18" xfId="3" applyFont="1" applyFill="1" applyBorder="1" applyAlignment="1">
      <alignment horizontal="center" wrapText="1"/>
    </xf>
    <xf numFmtId="14" fontId="69" fillId="0" borderId="18" xfId="0" applyNumberFormat="1" applyFont="1" applyFill="1" applyBorder="1" applyAlignment="1">
      <alignment horizontal="center" wrapText="1"/>
    </xf>
    <xf numFmtId="0" fontId="62" fillId="2" borderId="10" xfId="0" applyFont="1" applyFill="1" applyBorder="1" applyAlignment="1"/>
    <xf numFmtId="0" fontId="69" fillId="0" borderId="18" xfId="3" applyFont="1" applyFill="1" applyBorder="1" applyAlignment="1">
      <alignment wrapText="1"/>
    </xf>
    <xf numFmtId="0" fontId="69" fillId="0" borderId="28" xfId="3" applyFont="1" applyFill="1" applyBorder="1" applyAlignment="1">
      <alignment wrapText="1"/>
    </xf>
    <xf numFmtId="0" fontId="0" fillId="0" borderId="18" xfId="0" applyBorder="1" applyAlignment="1">
      <alignment wrapText="1"/>
    </xf>
    <xf numFmtId="14" fontId="69" fillId="0" borderId="28" xfId="0" applyNumberFormat="1" applyFont="1" applyFill="1" applyBorder="1" applyAlignment="1">
      <alignment horizontal="center"/>
    </xf>
    <xf numFmtId="14" fontId="69" fillId="0" borderId="18" xfId="0" applyNumberFormat="1" applyFont="1" applyFill="1" applyBorder="1" applyAlignment="1">
      <alignment horizontal="center"/>
    </xf>
    <xf numFmtId="14" fontId="0" fillId="0" borderId="18" xfId="0" applyNumberFormat="1" applyBorder="1" applyAlignment="1">
      <alignment horizontal="center"/>
    </xf>
    <xf numFmtId="0" fontId="73" fillId="2" borderId="18" xfId="0" applyFont="1" applyFill="1" applyBorder="1" applyAlignment="1">
      <alignment horizontal="center" wrapText="1"/>
    </xf>
    <xf numFmtId="0" fontId="73" fillId="2" borderId="18" xfId="61873" applyFont="1" applyFill="1" applyBorder="1" applyAlignment="1">
      <alignment horizontal="center" wrapText="1"/>
    </xf>
    <xf numFmtId="0" fontId="73" fillId="2" borderId="18" xfId="61878" applyFont="1" applyFill="1" applyBorder="1" applyAlignment="1">
      <alignment horizontal="center" wrapText="1"/>
    </xf>
    <xf numFmtId="0" fontId="73" fillId="2" borderId="18" xfId="61874" applyFont="1" applyFill="1" applyBorder="1" applyAlignment="1">
      <alignment horizontal="center" wrapText="1"/>
    </xf>
    <xf numFmtId="0" fontId="73" fillId="2" borderId="19" xfId="61849" applyFont="1" applyFill="1" applyBorder="1" applyAlignment="1">
      <alignment horizontal="center" wrapText="1"/>
    </xf>
    <xf numFmtId="0" fontId="73" fillId="2" borderId="13" xfId="61849" applyFont="1" applyFill="1" applyBorder="1" applyAlignment="1">
      <alignment horizontal="left" wrapText="1" indent="1"/>
    </xf>
    <xf numFmtId="0" fontId="3" fillId="2" borderId="18" xfId="61851" applyFont="1" applyFill="1" applyBorder="1" applyAlignment="1">
      <alignment horizontal="center" wrapText="1"/>
    </xf>
    <xf numFmtId="0" fontId="84" fillId="0" borderId="0" xfId="0" applyFont="1" applyFill="1" applyBorder="1"/>
    <xf numFmtId="0" fontId="84" fillId="0" borderId="0" xfId="0" applyFont="1" applyFill="1" applyBorder="1" applyAlignment="1">
      <alignment horizontal="left" indent="1"/>
    </xf>
    <xf numFmtId="0" fontId="84" fillId="0" borderId="0" xfId="0" applyFont="1" applyFill="1" applyBorder="1" applyAlignment="1">
      <alignment wrapText="1"/>
    </xf>
    <xf numFmtId="0" fontId="88" fillId="0" borderId="0" xfId="61851" applyFont="1" applyFill="1" applyBorder="1" applyAlignment="1">
      <alignment horizontal="center" wrapText="1"/>
    </xf>
    <xf numFmtId="0" fontId="70" fillId="0" borderId="0" xfId="0" applyFont="1" applyFill="1" applyBorder="1"/>
    <xf numFmtId="0" fontId="89" fillId="0" borderId="0" xfId="0" applyFont="1" applyFill="1"/>
    <xf numFmtId="0" fontId="84" fillId="0" borderId="0" xfId="0" applyFont="1" applyFill="1" applyAlignment="1">
      <alignment horizontal="left" indent="1"/>
    </xf>
    <xf numFmtId="0" fontId="84" fillId="0" borderId="0" xfId="0" applyFont="1" applyFill="1" applyAlignment="1">
      <alignment wrapText="1"/>
    </xf>
    <xf numFmtId="49" fontId="70" fillId="0" borderId="21" xfId="0" applyNumberFormat="1" applyFont="1" applyFill="1" applyBorder="1" applyAlignment="1">
      <alignment horizontal="left" wrapText="1" indent="1"/>
    </xf>
    <xf numFmtId="0" fontId="93" fillId="2" borderId="39" xfId="0" applyFont="1" applyFill="1" applyBorder="1" applyAlignment="1">
      <alignment horizontal="left" indent="1"/>
    </xf>
    <xf numFmtId="0" fontId="93" fillId="2" borderId="16" xfId="0" applyFont="1" applyFill="1" applyBorder="1" applyAlignment="1">
      <alignment horizontal="left" indent="1"/>
    </xf>
    <xf numFmtId="0" fontId="93" fillId="2" borderId="40" xfId="0" applyFont="1" applyFill="1" applyBorder="1" applyAlignment="1">
      <alignment horizontal="left" indent="1"/>
    </xf>
    <xf numFmtId="0" fontId="93" fillId="2" borderId="41" xfId="0" applyFont="1" applyFill="1" applyBorder="1" applyAlignment="1">
      <alignment horizontal="left" indent="1"/>
    </xf>
    <xf numFmtId="0" fontId="93" fillId="2" borderId="1" xfId="0" applyFont="1" applyFill="1" applyBorder="1" applyAlignment="1">
      <alignment horizontal="left" wrapText="1"/>
    </xf>
    <xf numFmtId="0" fontId="70" fillId="6" borderId="13" xfId="0" applyFont="1" applyFill="1" applyBorder="1" applyAlignment="1">
      <alignment wrapText="1"/>
    </xf>
    <xf numFmtId="0" fontId="73" fillId="6" borderId="42" xfId="61851" applyFont="1" applyFill="1" applyBorder="1" applyAlignment="1">
      <alignment horizontal="left" wrapText="1"/>
    </xf>
    <xf numFmtId="0" fontId="73" fillId="6" borderId="8" xfId="61851" applyFont="1" applyFill="1" applyBorder="1" applyAlignment="1">
      <alignment horizontal="left" wrapText="1"/>
    </xf>
    <xf numFmtId="0" fontId="70" fillId="6" borderId="12" xfId="0" applyFont="1" applyFill="1" applyBorder="1" applyAlignment="1">
      <alignment wrapText="1"/>
    </xf>
    <xf numFmtId="0" fontId="73" fillId="6" borderId="8" xfId="61849" applyFont="1" applyFill="1" applyBorder="1" applyAlignment="1">
      <alignment horizontal="left" wrapText="1"/>
    </xf>
    <xf numFmtId="0" fontId="73" fillId="6" borderId="8" xfId="61853" applyFont="1" applyFill="1" applyBorder="1" applyAlignment="1">
      <alignment horizontal="left" wrapText="1"/>
    </xf>
    <xf numFmtId="0" fontId="73" fillId="6" borderId="8" xfId="61861" applyFont="1" applyFill="1" applyBorder="1" applyAlignment="1">
      <alignment horizontal="left" wrapText="1"/>
    </xf>
    <xf numFmtId="0" fontId="73" fillId="6" borderId="8" xfId="61781" applyFont="1" applyFill="1" applyBorder="1" applyAlignment="1">
      <alignment horizontal="left" wrapText="1"/>
    </xf>
    <xf numFmtId="0" fontId="73" fillId="6" borderId="8" xfId="7" applyFont="1" applyFill="1" applyBorder="1" applyAlignment="1">
      <alignment horizontal="left" wrapText="1"/>
    </xf>
    <xf numFmtId="0" fontId="73" fillId="6" borderId="9" xfId="61849" applyFont="1" applyFill="1" applyBorder="1" applyAlignment="1">
      <alignment horizontal="left" wrapText="1"/>
    </xf>
    <xf numFmtId="0" fontId="96" fillId="6" borderId="40" xfId="0" applyFont="1" applyFill="1" applyBorder="1" applyAlignment="1">
      <alignment wrapText="1"/>
    </xf>
    <xf numFmtId="0" fontId="96" fillId="6" borderId="43" xfId="0" applyFont="1" applyFill="1" applyBorder="1" applyAlignment="1">
      <alignment wrapText="1"/>
    </xf>
    <xf numFmtId="0" fontId="96" fillId="6" borderId="12" xfId="0" applyFont="1" applyFill="1" applyBorder="1" applyAlignment="1">
      <alignment wrapText="1"/>
    </xf>
    <xf numFmtId="0" fontId="96" fillId="6" borderId="13" xfId="0" applyFont="1" applyFill="1" applyBorder="1" applyAlignment="1">
      <alignment wrapText="1"/>
    </xf>
    <xf numFmtId="0" fontId="96" fillId="6" borderId="12" xfId="0" applyFont="1" applyFill="1" applyBorder="1" applyAlignment="1">
      <alignment horizontal="left" wrapText="1"/>
    </xf>
    <xf numFmtId="0" fontId="96" fillId="6" borderId="11" xfId="0" applyFont="1" applyFill="1" applyBorder="1" applyAlignment="1">
      <alignment wrapText="1"/>
    </xf>
    <xf numFmtId="0" fontId="96" fillId="6" borderId="14" xfId="0" applyFont="1" applyFill="1" applyBorder="1" applyAlignment="1">
      <alignment wrapText="1"/>
    </xf>
    <xf numFmtId="0" fontId="73" fillId="2" borderId="8" xfId="61849" applyFont="1" applyFill="1" applyBorder="1" applyAlignment="1">
      <alignment horizontal="left" wrapText="1" indent="1"/>
    </xf>
    <xf numFmtId="0" fontId="73" fillId="5" borderId="43" xfId="61849" applyFont="1" applyBorder="1" applyAlignment="1">
      <alignment horizontal="left" wrapText="1" indent="1"/>
    </xf>
    <xf numFmtId="0" fontId="73" fillId="5" borderId="13" xfId="61849" applyFont="1" applyBorder="1" applyAlignment="1">
      <alignment horizontal="left" wrapText="1" indent="1"/>
    </xf>
    <xf numFmtId="0" fontId="73" fillId="5" borderId="13" xfId="61847" applyFont="1" applyBorder="1" applyAlignment="1">
      <alignment horizontal="left" wrapText="1" indent="1"/>
    </xf>
    <xf numFmtId="0" fontId="73" fillId="5" borderId="13" xfId="61850" applyFont="1" applyBorder="1" applyAlignment="1">
      <alignment horizontal="left" wrapText="1" indent="1"/>
    </xf>
    <xf numFmtId="0" fontId="73" fillId="5" borderId="13" xfId="61848" applyFont="1" applyBorder="1" applyAlignment="1">
      <alignment horizontal="left" wrapText="1" indent="1"/>
    </xf>
    <xf numFmtId="0" fontId="73" fillId="5" borderId="14" xfId="61849" applyFont="1" applyBorder="1" applyAlignment="1">
      <alignment horizontal="left" wrapText="1" indent="1"/>
    </xf>
    <xf numFmtId="0" fontId="73" fillId="5" borderId="42" xfId="61849" applyFont="1" applyBorder="1" applyAlignment="1">
      <alignment horizontal="left" wrapText="1" indent="1"/>
    </xf>
    <xf numFmtId="0" fontId="73" fillId="2" borderId="40" xfId="61849" applyFont="1" applyFill="1" applyBorder="1" applyAlignment="1">
      <alignment horizontal="left" wrapText="1" indent="1"/>
    </xf>
    <xf numFmtId="0" fontId="73" fillId="5" borderId="8" xfId="61849" applyFont="1" applyBorder="1" applyAlignment="1">
      <alignment horizontal="left" wrapText="1" indent="1"/>
    </xf>
    <xf numFmtId="0" fontId="73" fillId="2" borderId="12" xfId="61849" applyFont="1" applyFill="1" applyBorder="1" applyAlignment="1">
      <alignment horizontal="left" wrapText="1" indent="1"/>
    </xf>
    <xf numFmtId="0" fontId="73" fillId="5" borderId="8" xfId="61779" applyFont="1" applyBorder="1" applyAlignment="1">
      <alignment horizontal="left" wrapText="1" indent="1"/>
    </xf>
    <xf numFmtId="0" fontId="73" fillId="5" borderId="12" xfId="61779" applyFont="1" applyBorder="1" applyAlignment="1">
      <alignment horizontal="left" wrapText="1" indent="1"/>
    </xf>
    <xf numFmtId="0" fontId="73" fillId="5" borderId="8" xfId="61847" applyFont="1" applyBorder="1" applyAlignment="1">
      <alignment horizontal="left" wrapText="1" indent="1"/>
    </xf>
    <xf numFmtId="0" fontId="73" fillId="2" borderId="12" xfId="61847" applyFont="1" applyFill="1" applyBorder="1" applyAlignment="1">
      <alignment horizontal="left" wrapText="1" indent="1"/>
    </xf>
    <xf numFmtId="0" fontId="73" fillId="5" borderId="8" xfId="61850" applyFont="1" applyBorder="1" applyAlignment="1">
      <alignment horizontal="left" wrapText="1" indent="1"/>
    </xf>
    <xf numFmtId="0" fontId="73" fillId="2" borderId="12" xfId="61850" applyFont="1" applyFill="1" applyBorder="1" applyAlignment="1">
      <alignment horizontal="left" wrapText="1" indent="1"/>
    </xf>
    <xf numFmtId="0" fontId="73" fillId="5" borderId="8" xfId="61848" applyFont="1" applyBorder="1" applyAlignment="1">
      <alignment horizontal="left" wrapText="1" indent="1"/>
    </xf>
    <xf numFmtId="0" fontId="73" fillId="5" borderId="12" xfId="61848" applyFont="1" applyBorder="1" applyAlignment="1">
      <alignment horizontal="left" wrapText="1" indent="1"/>
    </xf>
    <xf numFmtId="0" fontId="73" fillId="5" borderId="9" xfId="61849" applyFont="1" applyBorder="1" applyAlignment="1">
      <alignment horizontal="left" wrapText="1" indent="1"/>
    </xf>
    <xf numFmtId="0" fontId="73" fillId="5" borderId="11" xfId="61849" applyFont="1" applyBorder="1" applyAlignment="1">
      <alignment horizontal="left" wrapText="1" indent="1"/>
    </xf>
    <xf numFmtId="0" fontId="73" fillId="9" borderId="40" xfId="0" applyFont="1" applyFill="1" applyBorder="1" applyAlignment="1">
      <alignment horizontal="left" wrapText="1" indent="1"/>
    </xf>
    <xf numFmtId="0" fontId="73" fillId="9" borderId="12" xfId="0" applyFont="1" applyFill="1" applyBorder="1" applyAlignment="1">
      <alignment horizontal="left" wrapText="1" indent="1"/>
    </xf>
    <xf numFmtId="0" fontId="73" fillId="5" borderId="13" xfId="61779" applyFont="1" applyBorder="1" applyAlignment="1">
      <alignment horizontal="left" wrapText="1" indent="1"/>
    </xf>
    <xf numFmtId="0" fontId="73" fillId="9" borderId="11" xfId="0" applyFont="1" applyFill="1" applyBorder="1" applyAlignment="1">
      <alignment horizontal="left" wrapText="1" indent="1"/>
    </xf>
    <xf numFmtId="0" fontId="72" fillId="0" borderId="0" xfId="0" applyFont="1" applyFill="1" applyBorder="1"/>
    <xf numFmtId="0" fontId="89" fillId="0" borderId="0" xfId="0" applyFont="1" applyFill="1" applyBorder="1"/>
    <xf numFmtId="0" fontId="73" fillId="0" borderId="0" xfId="61851" applyFont="1" applyFill="1" applyBorder="1" applyAlignment="1">
      <alignment horizontal="center" wrapText="1"/>
    </xf>
    <xf numFmtId="0" fontId="75" fillId="0" borderId="0" xfId="0" applyFont="1" applyFill="1" applyBorder="1"/>
    <xf numFmtId="0" fontId="0" fillId="0" borderId="0" xfId="0" applyFill="1" applyBorder="1"/>
    <xf numFmtId="0" fontId="71" fillId="0" borderId="0" xfId="0" applyFont="1" applyFill="1" applyBorder="1"/>
    <xf numFmtId="0" fontId="71" fillId="0" borderId="0" xfId="61883" applyFont="1" applyFill="1" applyBorder="1"/>
    <xf numFmtId="0" fontId="71" fillId="0" borderId="0" xfId="61884" applyFont="1" applyFill="1" applyBorder="1"/>
    <xf numFmtId="0" fontId="84" fillId="0" borderId="0" xfId="61883" applyFont="1" applyFill="1" applyBorder="1"/>
    <xf numFmtId="0" fontId="88" fillId="2" borderId="19" xfId="61849" applyFont="1" applyFill="1" applyBorder="1" applyAlignment="1">
      <alignment horizontal="center" wrapText="1"/>
    </xf>
    <xf numFmtId="0" fontId="6" fillId="2" borderId="18" xfId="61881" applyFont="1" applyFill="1" applyBorder="1" applyAlignment="1">
      <alignment horizontal="center" wrapText="1"/>
    </xf>
    <xf numFmtId="0" fontId="95" fillId="2" borderId="18" xfId="61861" applyFont="1" applyFill="1" applyBorder="1" applyAlignment="1">
      <alignment horizontal="center" wrapText="1"/>
    </xf>
    <xf numFmtId="0" fontId="72" fillId="2" borderId="18" xfId="0" applyFont="1" applyFill="1" applyBorder="1" applyAlignment="1">
      <alignment horizontal="center"/>
    </xf>
    <xf numFmtId="0" fontId="73" fillId="5" borderId="21" xfId="61849" applyFont="1" applyBorder="1" applyAlignment="1">
      <alignment wrapText="1"/>
    </xf>
    <xf numFmtId="49" fontId="70" fillId="0" borderId="21" xfId="0" applyNumberFormat="1" applyFont="1" applyBorder="1" applyAlignment="1">
      <alignment horizontal="left" wrapText="1" indent="1"/>
    </xf>
    <xf numFmtId="0" fontId="73" fillId="5" borderId="21" xfId="61849" applyFont="1" applyBorder="1" applyAlignment="1">
      <alignment horizontal="left" indent="1"/>
    </xf>
    <xf numFmtId="0" fontId="94" fillId="5" borderId="13" xfId="61779" applyFont="1" applyBorder="1" applyAlignment="1">
      <alignment horizontal="left" wrapText="1" indent="1"/>
    </xf>
    <xf numFmtId="0" fontId="63" fillId="0" borderId="40" xfId="0" applyFont="1" applyBorder="1" applyAlignment="1">
      <alignment horizontal="left" wrapText="1" indent="1"/>
    </xf>
    <xf numFmtId="0" fontId="63" fillId="0" borderId="12" xfId="0" applyFont="1" applyBorder="1" applyAlignment="1">
      <alignment horizontal="left" wrapText="1" indent="1"/>
    </xf>
    <xf numFmtId="0" fontId="63" fillId="0" borderId="11" xfId="0" applyFont="1" applyBorder="1" applyAlignment="1">
      <alignment horizontal="left" wrapText="1" indent="1"/>
    </xf>
    <xf numFmtId="0" fontId="2" fillId="5" borderId="42" xfId="61849" applyFont="1" applyBorder="1" applyAlignment="1">
      <alignment horizontal="left" wrapText="1" indent="1"/>
    </xf>
    <xf numFmtId="0" fontId="2" fillId="2" borderId="40" xfId="61849" applyFont="1" applyFill="1" applyBorder="1" applyAlignment="1">
      <alignment horizontal="left" wrapText="1" indent="1"/>
    </xf>
    <xf numFmtId="0" fontId="2" fillId="5" borderId="43" xfId="61849" applyFont="1" applyBorder="1" applyAlignment="1">
      <alignment horizontal="left" wrapText="1" indent="1"/>
    </xf>
    <xf numFmtId="0" fontId="2" fillId="5" borderId="8" xfId="61849" applyFont="1" applyBorder="1" applyAlignment="1">
      <alignment horizontal="left" wrapText="1" indent="1"/>
    </xf>
    <xf numFmtId="0" fontId="2" fillId="2" borderId="12" xfId="61849" applyFont="1" applyFill="1" applyBorder="1" applyAlignment="1">
      <alignment horizontal="left" wrapText="1" indent="1"/>
    </xf>
    <xf numFmtId="0" fontId="2" fillId="5" borderId="13" xfId="61849" applyFont="1" applyBorder="1" applyAlignment="1">
      <alignment horizontal="left" wrapText="1" indent="1"/>
    </xf>
    <xf numFmtId="0" fontId="2" fillId="5" borderId="8" xfId="61779" applyFont="1" applyBorder="1" applyAlignment="1">
      <alignment horizontal="left" wrapText="1" indent="1"/>
    </xf>
    <xf numFmtId="0" fontId="2" fillId="5" borderId="12" xfId="61779" applyFont="1" applyBorder="1" applyAlignment="1">
      <alignment horizontal="left" wrapText="1" indent="1"/>
    </xf>
    <xf numFmtId="0" fontId="2" fillId="5" borderId="8" xfId="61847" applyFont="1" applyBorder="1" applyAlignment="1">
      <alignment horizontal="left" wrapText="1" indent="1"/>
    </xf>
    <xf numFmtId="0" fontId="2" fillId="2" borderId="12" xfId="61847" applyFont="1" applyFill="1" applyBorder="1" applyAlignment="1">
      <alignment horizontal="left" wrapText="1" indent="1"/>
    </xf>
    <xf numFmtId="0" fontId="2" fillId="5" borderId="13" xfId="61847" applyFont="1" applyBorder="1" applyAlignment="1">
      <alignment horizontal="left" wrapText="1" indent="1"/>
    </xf>
    <xf numFmtId="0" fontId="2" fillId="5" borderId="8" xfId="61850" applyFont="1" applyBorder="1" applyAlignment="1">
      <alignment horizontal="left" wrapText="1" indent="1"/>
    </xf>
    <xf numFmtId="0" fontId="2" fillId="2" borderId="12" xfId="61850" applyFont="1" applyFill="1" applyBorder="1" applyAlignment="1">
      <alignment horizontal="left" wrapText="1" indent="1"/>
    </xf>
    <xf numFmtId="0" fontId="2" fillId="5" borderId="13" xfId="61850" applyFont="1" applyBorder="1" applyAlignment="1">
      <alignment horizontal="left" wrapText="1" indent="1"/>
    </xf>
    <xf numFmtId="0" fontId="2" fillId="5" borderId="8" xfId="61848" applyFont="1" applyBorder="1" applyAlignment="1">
      <alignment horizontal="left" wrapText="1" indent="1"/>
    </xf>
    <xf numFmtId="0" fontId="2" fillId="5" borderId="12" xfId="61848" applyFont="1" applyBorder="1" applyAlignment="1">
      <alignment horizontal="left" wrapText="1" indent="1"/>
    </xf>
    <xf numFmtId="0" fontId="2" fillId="5" borderId="13" xfId="61848" applyFont="1" applyBorder="1" applyAlignment="1">
      <alignment horizontal="left" wrapText="1" indent="1"/>
    </xf>
    <xf numFmtId="0" fontId="2" fillId="5" borderId="9" xfId="61849" applyFont="1" applyBorder="1" applyAlignment="1">
      <alignment horizontal="left" wrapText="1" indent="1"/>
    </xf>
    <xf numFmtId="0" fontId="2" fillId="5" borderId="11" xfId="61849" applyFont="1" applyBorder="1" applyAlignment="1">
      <alignment horizontal="left" wrapText="1" indent="1"/>
    </xf>
    <xf numFmtId="0" fontId="2" fillId="5" borderId="14" xfId="61849" applyFont="1" applyBorder="1" applyAlignment="1">
      <alignment horizontal="left" wrapText="1" indent="1"/>
    </xf>
    <xf numFmtId="0" fontId="2" fillId="2" borderId="13" xfId="61849" applyFont="1" applyFill="1" applyBorder="1" applyAlignment="1">
      <alignment horizontal="left" wrapText="1" indent="1"/>
    </xf>
    <xf numFmtId="0" fontId="2" fillId="2" borderId="13" xfId="61847" applyFont="1" applyFill="1" applyBorder="1" applyAlignment="1">
      <alignment horizontal="left" wrapText="1" indent="1"/>
    </xf>
    <xf numFmtId="0" fontId="2" fillId="2" borderId="8" xfId="61849" applyFont="1" applyFill="1" applyBorder="1" applyAlignment="1">
      <alignment horizontal="left" wrapText="1" indent="1"/>
    </xf>
    <xf numFmtId="0" fontId="63" fillId="0" borderId="12" xfId="0" applyFont="1" applyFill="1" applyBorder="1" applyAlignment="1">
      <alignment horizontal="left" wrapText="1" indent="1"/>
    </xf>
    <xf numFmtId="0" fontId="0" fillId="0" borderId="12" xfId="0" applyFont="1" applyFill="1" applyBorder="1" applyAlignment="1">
      <alignment horizontal="left" wrapText="1" indent="1"/>
    </xf>
    <xf numFmtId="0" fontId="64" fillId="2" borderId="17" xfId="0" applyFont="1" applyFill="1" applyBorder="1" applyAlignment="1">
      <alignment horizontal="left" indent="1"/>
    </xf>
    <xf numFmtId="0" fontId="64" fillId="2" borderId="17" xfId="0" applyFont="1" applyFill="1" applyBorder="1" applyAlignment="1">
      <alignment horizontal="left" wrapText="1"/>
    </xf>
    <xf numFmtId="0" fontId="2" fillId="6" borderId="42" xfId="61851" applyFont="1" applyFill="1" applyBorder="1" applyAlignment="1">
      <alignment horizontal="left" wrapText="1"/>
    </xf>
    <xf numFmtId="0" fontId="0" fillId="6" borderId="40" xfId="0" applyFont="1" applyFill="1" applyBorder="1" applyAlignment="1">
      <alignment wrapText="1"/>
    </xf>
    <xf numFmtId="0" fontId="0" fillId="6" borderId="43" xfId="0" applyFont="1" applyFill="1" applyBorder="1" applyAlignment="1">
      <alignment wrapText="1"/>
    </xf>
    <xf numFmtId="0" fontId="2" fillId="6" borderId="8" xfId="61851" applyFont="1" applyFill="1" applyBorder="1" applyAlignment="1">
      <alignment horizontal="left" wrapText="1"/>
    </xf>
    <xf numFmtId="0" fontId="0" fillId="6" borderId="12" xfId="0" applyFont="1" applyFill="1" applyBorder="1" applyAlignment="1">
      <alignment wrapText="1"/>
    </xf>
    <xf numFmtId="0" fontId="0" fillId="6" borderId="13" xfId="0" applyFont="1" applyFill="1" applyBorder="1" applyAlignment="1">
      <alignment wrapText="1"/>
    </xf>
    <xf numFmtId="0" fontId="2" fillId="6" borderId="8" xfId="61853" applyFont="1" applyFill="1" applyBorder="1" applyAlignment="1">
      <alignment horizontal="left" wrapText="1"/>
    </xf>
    <xf numFmtId="0" fontId="2" fillId="6" borderId="8" xfId="61861" applyFont="1" applyFill="1" applyBorder="1" applyAlignment="1">
      <alignment horizontal="left" wrapText="1"/>
    </xf>
    <xf numFmtId="0" fontId="90" fillId="6" borderId="8" xfId="61880" applyFont="1" applyFill="1" applyBorder="1" applyAlignment="1">
      <alignment horizontal="left" wrapText="1"/>
    </xf>
    <xf numFmtId="0" fontId="91" fillId="6" borderId="12" xfId="0" applyFont="1" applyFill="1" applyBorder="1" applyAlignment="1">
      <alignment wrapText="1"/>
    </xf>
    <xf numFmtId="0" fontId="91" fillId="6" borderId="13" xfId="0" applyFont="1" applyFill="1" applyBorder="1" applyAlignment="1">
      <alignment wrapText="1"/>
    </xf>
    <xf numFmtId="0" fontId="73" fillId="6" borderId="8" xfId="61873" applyFont="1" applyFill="1" applyBorder="1" applyAlignment="1">
      <alignment horizontal="left" wrapText="1"/>
    </xf>
    <xf numFmtId="0" fontId="73" fillId="6" borderId="8" xfId="61874" applyFont="1" applyFill="1" applyBorder="1" applyAlignment="1">
      <alignment horizontal="left" wrapText="1"/>
    </xf>
    <xf numFmtId="0" fontId="0" fillId="6" borderId="12" xfId="0" quotePrefix="1" applyFont="1" applyFill="1" applyBorder="1" applyAlignment="1">
      <alignment wrapText="1"/>
    </xf>
    <xf numFmtId="0" fontId="2" fillId="6" borderId="8" xfId="61881" applyFont="1" applyFill="1" applyBorder="1" applyAlignment="1">
      <alignment horizontal="left" wrapText="1"/>
    </xf>
    <xf numFmtId="0" fontId="0" fillId="6" borderId="12" xfId="0" applyFont="1" applyFill="1" applyBorder="1" applyAlignment="1">
      <alignment horizontal="left" wrapText="1"/>
    </xf>
    <xf numFmtId="0" fontId="2" fillId="6" borderId="8" xfId="61852" applyFont="1" applyFill="1" applyBorder="1" applyAlignment="1">
      <alignment horizontal="left" wrapText="1"/>
    </xf>
    <xf numFmtId="0" fontId="2" fillId="6" borderId="8" xfId="0" applyFont="1" applyFill="1" applyBorder="1" applyAlignment="1">
      <alignment horizontal="left" wrapText="1"/>
    </xf>
    <xf numFmtId="0" fontId="95" fillId="6" borderId="8" xfId="61861" applyFont="1" applyFill="1" applyBorder="1" applyAlignment="1">
      <alignment horizontal="left" wrapText="1"/>
    </xf>
    <xf numFmtId="0" fontId="71" fillId="6" borderId="12" xfId="61883" applyFont="1" applyFill="1" applyBorder="1" applyAlignment="1">
      <alignment wrapText="1"/>
    </xf>
    <xf numFmtId="0" fontId="71" fillId="6" borderId="13" xfId="61883" applyFont="1" applyFill="1" applyBorder="1" applyAlignment="1">
      <alignment wrapText="1"/>
    </xf>
    <xf numFmtId="0" fontId="73" fillId="6" borderId="8" xfId="0" applyFont="1" applyFill="1" applyBorder="1" applyAlignment="1">
      <alignment horizontal="left" wrapText="1"/>
    </xf>
    <xf numFmtId="0" fontId="73" fillId="6" borderId="8" xfId="61878" applyFont="1" applyFill="1" applyBorder="1" applyAlignment="1">
      <alignment horizontal="left" wrapText="1"/>
    </xf>
    <xf numFmtId="0" fontId="2" fillId="6" borderId="8" xfId="61781" applyFont="1" applyFill="1" applyBorder="1" applyAlignment="1">
      <alignment horizontal="left" wrapText="1"/>
    </xf>
    <xf numFmtId="0" fontId="88" fillId="6" borderId="9" xfId="61849" applyFont="1" applyFill="1" applyBorder="1" applyAlignment="1">
      <alignment horizontal="left" wrapText="1"/>
    </xf>
    <xf numFmtId="0" fontId="84" fillId="6" borderId="11" xfId="0" applyFont="1" applyFill="1" applyBorder="1" applyAlignment="1">
      <alignment wrapText="1"/>
    </xf>
    <xf numFmtId="0" fontId="84" fillId="6" borderId="14" xfId="0" applyFont="1" applyFill="1" applyBorder="1" applyAlignment="1">
      <alignment wrapText="1"/>
    </xf>
    <xf numFmtId="14" fontId="0" fillId="0" borderId="0" xfId="0" applyNumberFormat="1" applyAlignment="1">
      <alignment horizontal="center"/>
    </xf>
    <xf numFmtId="0" fontId="0" fillId="0" borderId="18" xfId="0" applyFill="1" applyBorder="1" applyAlignment="1">
      <alignment wrapText="1"/>
    </xf>
    <xf numFmtId="0" fontId="0" fillId="0" borderId="18" xfId="0" applyFill="1" applyBorder="1" applyAlignment="1"/>
    <xf numFmtId="0" fontId="71" fillId="0" borderId="21" xfId="46197" applyFont="1" applyFill="1" applyBorder="1" applyAlignment="1">
      <alignment horizontal="left" wrapText="1" indent="1"/>
    </xf>
    <xf numFmtId="0" fontId="0" fillId="0" borderId="0" xfId="0" applyFont="1" applyAlignment="1"/>
    <xf numFmtId="0" fontId="69" fillId="0" borderId="8" xfId="0" applyFont="1" applyFill="1" applyBorder="1" applyAlignment="1">
      <alignment horizontal="center"/>
    </xf>
    <xf numFmtId="14" fontId="0" fillId="0" borderId="0" xfId="0" applyNumberFormat="1" applyAlignment="1">
      <alignment horizontal="left" indent="1"/>
    </xf>
    <xf numFmtId="0" fontId="0" fillId="0" borderId="0" xfId="0" applyFill="1" applyBorder="1" applyAlignment="1"/>
    <xf numFmtId="0" fontId="1" fillId="2" borderId="18" xfId="61851" applyFont="1" applyFill="1" applyBorder="1" applyAlignment="1">
      <alignment horizontal="center" wrapText="1"/>
    </xf>
    <xf numFmtId="0" fontId="0" fillId="0" borderId="0" xfId="0" applyAlignment="1">
      <alignment wrapText="1"/>
    </xf>
    <xf numFmtId="0" fontId="73" fillId="10" borderId="2" xfId="61861" applyFont="1" applyFill="1" applyBorder="1" applyAlignment="1">
      <alignment horizontal="left" indent="1"/>
    </xf>
    <xf numFmtId="0" fontId="70" fillId="10" borderId="0" xfId="0" applyFont="1" applyFill="1" applyBorder="1"/>
    <xf numFmtId="0" fontId="70" fillId="10" borderId="12" xfId="0" applyFont="1" applyFill="1" applyBorder="1"/>
    <xf numFmtId="0" fontId="70" fillId="10" borderId="2" xfId="0" applyFont="1" applyFill="1" applyBorder="1"/>
    <xf numFmtId="0" fontId="73" fillId="10" borderId="18" xfId="61861" applyFont="1" applyFill="1" applyBorder="1" applyAlignment="1">
      <alignment horizontal="center" wrapText="1"/>
    </xf>
    <xf numFmtId="0" fontId="0" fillId="0" borderId="0" xfId="0" applyFill="1" applyBorder="1" applyAlignment="1">
      <alignment wrapText="1"/>
    </xf>
    <xf numFmtId="0" fontId="73" fillId="5" borderId="21" xfId="61849" applyFont="1" applyBorder="1" applyAlignment="1">
      <alignment horizontal="left" wrapText="1" indent="1"/>
    </xf>
    <xf numFmtId="0" fontId="88" fillId="5" borderId="21" xfId="61849" applyFont="1" applyBorder="1" applyAlignment="1">
      <alignment horizontal="left" wrapText="1" indent="1"/>
    </xf>
    <xf numFmtId="0" fontId="74" fillId="5" borderId="21" xfId="61849" applyFont="1" applyBorder="1" applyAlignment="1">
      <alignment horizontal="left" wrapText="1" indent="1"/>
    </xf>
    <xf numFmtId="0" fontId="71" fillId="0" borderId="21" xfId="40433" applyFont="1" applyFill="1" applyBorder="1" applyAlignment="1">
      <alignment horizontal="left" wrapText="1" indent="1"/>
    </xf>
    <xf numFmtId="0" fontId="95" fillId="5" borderId="21" xfId="20522" applyFont="1" applyBorder="1" applyAlignment="1">
      <alignment horizontal="left" wrapText="1" indent="1"/>
    </xf>
    <xf numFmtId="0" fontId="70" fillId="0" borderId="21" xfId="0" applyFont="1" applyBorder="1" applyAlignment="1">
      <alignment horizontal="left" wrapText="1" indent="1"/>
    </xf>
    <xf numFmtId="0" fontId="75" fillId="0" borderId="21" xfId="0" applyFont="1" applyBorder="1" applyAlignment="1">
      <alignment horizontal="left" wrapText="1" indent="1"/>
    </xf>
    <xf numFmtId="0" fontId="95" fillId="5" borderId="21" xfId="52086" applyFont="1" applyBorder="1" applyAlignment="1">
      <alignment horizontal="left" wrapText="1" indent="1"/>
    </xf>
    <xf numFmtId="1" fontId="71" fillId="0" borderId="21" xfId="40433" applyNumberFormat="1" applyFont="1" applyFill="1" applyBorder="1" applyAlignment="1">
      <alignment horizontal="left" wrapText="1" indent="1"/>
    </xf>
    <xf numFmtId="0" fontId="73" fillId="2" borderId="42" xfId="61849" applyFont="1" applyFill="1" applyBorder="1"/>
    <xf numFmtId="0" fontId="73" fillId="2" borderId="40" xfId="61849" applyFont="1" applyFill="1" applyBorder="1"/>
    <xf numFmtId="0" fontId="73" fillId="2" borderId="40" xfId="61849" applyFont="1" applyFill="1" applyBorder="1" applyAlignment="1">
      <alignment horizontal="left" indent="1"/>
    </xf>
    <xf numFmtId="0" fontId="73" fillId="2" borderId="43" xfId="61849" applyFont="1" applyFill="1" applyBorder="1" applyAlignment="1">
      <alignment wrapText="1"/>
    </xf>
    <xf numFmtId="0" fontId="73" fillId="2" borderId="33" xfId="61849" applyFont="1" applyFill="1" applyBorder="1" applyAlignment="1">
      <alignment horizontal="left" wrapText="1" indent="1"/>
    </xf>
    <xf numFmtId="0" fontId="73" fillId="2" borderId="35" xfId="61849" applyFont="1" applyFill="1" applyBorder="1" applyAlignment="1">
      <alignment horizontal="left" wrapText="1" indent="1"/>
    </xf>
    <xf numFmtId="0" fontId="88" fillId="2" borderId="35" xfId="61849" applyFont="1" applyFill="1" applyBorder="1" applyAlignment="1">
      <alignment horizontal="left" wrapText="1" indent="1"/>
    </xf>
    <xf numFmtId="0" fontId="74" fillId="2" borderId="35" xfId="61849" applyFont="1" applyFill="1" applyBorder="1" applyAlignment="1">
      <alignment horizontal="left" wrapText="1" indent="1"/>
    </xf>
    <xf numFmtId="0" fontId="95" fillId="5" borderId="35" xfId="20522" applyFont="1" applyBorder="1" applyAlignment="1">
      <alignment horizontal="left" wrapText="1" indent="1"/>
    </xf>
    <xf numFmtId="0" fontId="95" fillId="5" borderId="38" xfId="20522" applyFont="1" applyBorder="1" applyAlignment="1">
      <alignment horizontal="left" wrapText="1" indent="1"/>
    </xf>
    <xf numFmtId="0" fontId="73" fillId="2" borderId="31" xfId="61849" applyFont="1" applyFill="1" applyBorder="1" applyAlignment="1">
      <alignment horizontal="left" wrapText="1" indent="1"/>
    </xf>
    <xf numFmtId="0" fontId="73" fillId="2" borderId="32" xfId="61849" applyFont="1" applyFill="1" applyBorder="1" applyAlignment="1">
      <alignment horizontal="left" wrapText="1" indent="1"/>
    </xf>
    <xf numFmtId="0" fontId="70" fillId="0" borderId="32" xfId="0" applyFont="1" applyFill="1" applyBorder="1" applyAlignment="1">
      <alignment horizontal="left" wrapText="1" indent="1"/>
    </xf>
    <xf numFmtId="0" fontId="73" fillId="2" borderId="34" xfId="61849" applyFont="1" applyFill="1" applyBorder="1" applyAlignment="1">
      <alignment horizontal="left" wrapText="1" indent="1"/>
    </xf>
    <xf numFmtId="0" fontId="73" fillId="2" borderId="21" xfId="61849" applyFont="1" applyFill="1" applyBorder="1" applyAlignment="1">
      <alignment horizontal="left" wrapText="1" indent="1"/>
    </xf>
    <xf numFmtId="0" fontId="70" fillId="0" borderId="21" xfId="0" applyFont="1" applyFill="1" applyBorder="1" applyAlignment="1">
      <alignment horizontal="left" wrapText="1" indent="1"/>
    </xf>
    <xf numFmtId="0" fontId="74" fillId="2" borderId="34" xfId="61849" applyFont="1" applyFill="1" applyBorder="1" applyAlignment="1">
      <alignment horizontal="left" wrapText="1" indent="1"/>
    </xf>
    <xf numFmtId="0" fontId="74" fillId="2" borderId="21" xfId="61849" applyFont="1" applyFill="1" applyBorder="1" applyAlignment="1">
      <alignment horizontal="left" wrapText="1" indent="1"/>
    </xf>
    <xf numFmtId="0" fontId="75" fillId="0" borderId="21" xfId="0" applyFont="1" applyFill="1" applyBorder="1" applyAlignment="1">
      <alignment horizontal="left" wrapText="1" indent="1"/>
    </xf>
    <xf numFmtId="0" fontId="95" fillId="5" borderId="34" xfId="52086" applyFont="1" applyBorder="1" applyAlignment="1">
      <alignment horizontal="left" wrapText="1" indent="1"/>
    </xf>
    <xf numFmtId="0" fontId="95" fillId="5" borderId="35" xfId="52086" applyFont="1" applyBorder="1" applyAlignment="1">
      <alignment horizontal="left" wrapText="1" indent="1"/>
    </xf>
    <xf numFmtId="0" fontId="95" fillId="5" borderId="34" xfId="20522" applyFont="1" applyBorder="1" applyAlignment="1">
      <alignment horizontal="left" wrapText="1" indent="1"/>
    </xf>
    <xf numFmtId="0" fontId="95" fillId="5" borderId="36" xfId="20522" applyFont="1" applyBorder="1" applyAlignment="1">
      <alignment horizontal="left" wrapText="1" indent="1"/>
    </xf>
    <xf numFmtId="0" fontId="95" fillId="5" borderId="37" xfId="20522" applyFont="1" applyBorder="1" applyAlignment="1">
      <alignment horizontal="left" wrapText="1" indent="1"/>
    </xf>
    <xf numFmtId="0" fontId="71" fillId="0" borderId="37" xfId="46197" applyFont="1" applyFill="1" applyBorder="1" applyAlignment="1">
      <alignment horizontal="left" wrapText="1" indent="1"/>
    </xf>
    <xf numFmtId="0" fontId="67" fillId="3" borderId="0" xfId="0" applyFont="1" applyFill="1" applyAlignment="1">
      <alignment horizontal="center" vertical="center"/>
    </xf>
    <xf numFmtId="0" fontId="82" fillId="3" borderId="0" xfId="0" applyFont="1" applyFill="1" applyAlignment="1">
      <alignment horizontal="center" vertical="center" wrapText="1"/>
    </xf>
    <xf numFmtId="0" fontId="85" fillId="4" borderId="4" xfId="0" applyFont="1" applyFill="1" applyBorder="1" applyAlignment="1">
      <alignment horizontal="center"/>
    </xf>
    <xf numFmtId="0" fontId="85" fillId="4" borderId="5" xfId="0" applyFont="1" applyFill="1" applyBorder="1" applyAlignment="1">
      <alignment horizontal="center"/>
    </xf>
    <xf numFmtId="0" fontId="85" fillId="4" borderId="6" xfId="0" applyFont="1" applyFill="1" applyBorder="1" applyAlignment="1">
      <alignment horizontal="center"/>
    </xf>
    <xf numFmtId="0" fontId="92" fillId="4" borderId="30" xfId="0" applyFont="1" applyFill="1" applyBorder="1" applyAlignment="1">
      <alignment horizontal="center"/>
    </xf>
    <xf numFmtId="0" fontId="92" fillId="4" borderId="16" xfId="0" applyFont="1" applyFill="1" applyBorder="1" applyAlignment="1">
      <alignment horizontal="center"/>
    </xf>
    <xf numFmtId="0" fontId="92" fillId="4" borderId="1" xfId="0" applyFont="1" applyFill="1" applyBorder="1" applyAlignment="1">
      <alignment horizontal="center"/>
    </xf>
    <xf numFmtId="0" fontId="92" fillId="4" borderId="23" xfId="0" applyFont="1" applyFill="1" applyBorder="1" applyAlignment="1">
      <alignment horizontal="center"/>
    </xf>
    <xf numFmtId="0" fontId="92" fillId="4" borderId="20" xfId="0" applyFont="1" applyFill="1" applyBorder="1" applyAlignment="1">
      <alignment horizontal="center"/>
    </xf>
    <xf numFmtId="0" fontId="92" fillId="4" borderId="24" xfId="0" applyFont="1" applyFill="1" applyBorder="1" applyAlignment="1">
      <alignment horizontal="center"/>
    </xf>
    <xf numFmtId="0" fontId="99" fillId="0" borderId="0" xfId="0" applyFont="1" applyAlignment="1">
      <alignment vertical="center"/>
    </xf>
  </cellXfs>
  <cellStyles count="61885">
    <cellStyle name="20% - Accent1 10" xfId="140"/>
    <cellStyle name="20% - Accent1 10 10" xfId="31010"/>
    <cellStyle name="20% - Accent1 10 2" xfId="292"/>
    <cellStyle name="20% - Accent1 10 2 2" xfId="953"/>
    <cellStyle name="20% - Accent1 10 2 2 2" xfId="4602"/>
    <cellStyle name="20% - Accent1 10 2 2 2 2" xfId="10910"/>
    <cellStyle name="20% - Accent1 10 2 2 2 2 2" xfId="22711"/>
    <cellStyle name="20% - Accent1 10 2 2 2 2 2 2" xfId="48609"/>
    <cellStyle name="20% - Accent1 10 2 2 2 2 2 3" xfId="61741"/>
    <cellStyle name="20% - Accent1 10 2 2 2 2 3" xfId="36326"/>
    <cellStyle name="20% - Accent1 10 2 2 2 2 4" xfId="61750"/>
    <cellStyle name="20% - Accent1 10 2 2 2 3" xfId="10055"/>
    <cellStyle name="20% - Accent1 10 2 2 2 3 2" xfId="42676"/>
    <cellStyle name="20% - Accent1 10 2 2 2 4" xfId="21856"/>
    <cellStyle name="20% - Accent1 10 2 2 2 4 2" xfId="48610"/>
    <cellStyle name="20% - Accent1 10 2 2 2 5" xfId="35471"/>
    <cellStyle name="20% - Accent1 10 2 2 3" xfId="2761"/>
    <cellStyle name="20% - Accent1 10 2 2 3 2" xfId="10911"/>
    <cellStyle name="20% - Accent1 10 2 2 3 2 2" xfId="22712"/>
    <cellStyle name="20% - Accent1 10 2 2 3 2 2 2" xfId="48611"/>
    <cellStyle name="20% - Accent1 10 2 2 3 2 3" xfId="36327"/>
    <cellStyle name="20% - Accent1 10 2 2 3 3" xfId="8214"/>
    <cellStyle name="20% - Accent1 10 2 2 3 3 2" xfId="42677"/>
    <cellStyle name="20% - Accent1 10 2 2 3 4" xfId="20015"/>
    <cellStyle name="20% - Accent1 10 2 2 3 4 2" xfId="48612"/>
    <cellStyle name="20% - Accent1 10 2 2 3 5" xfId="33630"/>
    <cellStyle name="20% - Accent1 10 2 2 4" xfId="10912"/>
    <cellStyle name="20% - Accent1 10 2 2 4 2" xfId="22713"/>
    <cellStyle name="20% - Accent1 10 2 2 4 2 2" xfId="48613"/>
    <cellStyle name="20% - Accent1 10 2 2 4 3" xfId="36328"/>
    <cellStyle name="20% - Accent1 10 2 2 5" xfId="6407"/>
    <cellStyle name="20% - Accent1 10 2 2 5 2" xfId="42678"/>
    <cellStyle name="20% - Accent1 10 2 2 6" xfId="18208"/>
    <cellStyle name="20% - Accent1 10 2 2 6 2" xfId="48614"/>
    <cellStyle name="20% - Accent1 10 2 2 7" xfId="31823"/>
    <cellStyle name="20% - Accent1 10 2 3" xfId="3329"/>
    <cellStyle name="20% - Accent1 10 2 3 2" xfId="5170"/>
    <cellStyle name="20% - Accent1 10 2 3 2 2" xfId="16640"/>
    <cellStyle name="20% - Accent1 10 2 3 2 2 2" xfId="28441"/>
    <cellStyle name="20% - Accent1 10 2 3 2 2 2 2" xfId="48615"/>
    <cellStyle name="20% - Accent1 10 2 3 2 2 3" xfId="42056"/>
    <cellStyle name="20% - Accent1 10 2 3 2 3" xfId="10623"/>
    <cellStyle name="20% - Accent1 10 2 3 2 3 2" xfId="48616"/>
    <cellStyle name="20% - Accent1 10 2 3 2 4" xfId="22424"/>
    <cellStyle name="20% - Accent1 10 2 3 2 4 2" xfId="48617"/>
    <cellStyle name="20% - Accent1 10 2 3 2 5" xfId="36039"/>
    <cellStyle name="20% - Accent1 10 2 3 3" xfId="10913"/>
    <cellStyle name="20% - Accent1 10 2 3 3 2" xfId="22714"/>
    <cellStyle name="20% - Accent1 10 2 3 3 2 2" xfId="48618"/>
    <cellStyle name="20% - Accent1 10 2 3 3 3" xfId="36329"/>
    <cellStyle name="20% - Accent1 10 2 3 4" xfId="8782"/>
    <cellStyle name="20% - Accent1 10 2 3 4 2" xfId="48619"/>
    <cellStyle name="20% - Accent1 10 2 3 5" xfId="20583"/>
    <cellStyle name="20% - Accent1 10 2 3 5 2" xfId="48620"/>
    <cellStyle name="20% - Accent1 10 2 3 6" xfId="34198"/>
    <cellStyle name="20% - Accent1 10 2 4" xfId="4034"/>
    <cellStyle name="20% - Accent1 10 2 4 2" xfId="10914"/>
    <cellStyle name="20% - Accent1 10 2 4 2 2" xfId="22715"/>
    <cellStyle name="20% - Accent1 10 2 4 2 2 2" xfId="48621"/>
    <cellStyle name="20% - Accent1 10 2 4 2 3" xfId="36330"/>
    <cellStyle name="20% - Accent1 10 2 4 3" xfId="9487"/>
    <cellStyle name="20% - Accent1 10 2 4 3 2" xfId="42679"/>
    <cellStyle name="20% - Accent1 10 2 4 4" xfId="21288"/>
    <cellStyle name="20% - Accent1 10 2 4 4 2" xfId="48622"/>
    <cellStyle name="20% - Accent1 10 2 4 5" xfId="34903"/>
    <cellStyle name="20% - Accent1 10 2 5" xfId="2193"/>
    <cellStyle name="20% - Accent1 10 2 5 2" xfId="16921"/>
    <cellStyle name="20% - Accent1 10 2 5 2 2" xfId="28722"/>
    <cellStyle name="20% - Accent1 10 2 5 2 2 2" xfId="48623"/>
    <cellStyle name="20% - Accent1 10 2 5 2 3" xfId="42337"/>
    <cellStyle name="20% - Accent1 10 2 5 3" xfId="7646"/>
    <cellStyle name="20% - Accent1 10 2 5 3 2" xfId="48624"/>
    <cellStyle name="20% - Accent1 10 2 5 4" xfId="19447"/>
    <cellStyle name="20% - Accent1 10 2 5 4 2" xfId="48625"/>
    <cellStyle name="20% - Accent1 10 2 5 5" xfId="33062"/>
    <cellStyle name="20% - Accent1 10 2 6" xfId="10915"/>
    <cellStyle name="20% - Accent1 10 2 6 2" xfId="22716"/>
    <cellStyle name="20% - Accent1 10 2 6 2 2" xfId="48626"/>
    <cellStyle name="20% - Accent1 10 2 6 3" xfId="36331"/>
    <cellStyle name="20% - Accent1 10 2 7" xfId="5746"/>
    <cellStyle name="20% - Accent1 10 2 7 2" xfId="48627"/>
    <cellStyle name="20% - Accent1 10 2 8" xfId="17547"/>
    <cellStyle name="20% - Accent1 10 2 8 2" xfId="48628"/>
    <cellStyle name="20% - Accent1 10 2 9" xfId="31162"/>
    <cellStyle name="20% - Accent1 10 3" xfId="708"/>
    <cellStyle name="20% - Accent1 10 3 2" xfId="954"/>
    <cellStyle name="20% - Accent1 10 3 2 2" xfId="4450"/>
    <cellStyle name="20% - Accent1 10 3 2 2 2" xfId="10916"/>
    <cellStyle name="20% - Accent1 10 3 2 2 2 2" xfId="22717"/>
    <cellStyle name="20% - Accent1 10 3 2 2 2 2 2" xfId="48629"/>
    <cellStyle name="20% - Accent1 10 3 2 2 2 3" xfId="36332"/>
    <cellStyle name="20% - Accent1 10 3 2 2 3" xfId="9903"/>
    <cellStyle name="20% - Accent1 10 3 2 2 3 2" xfId="42680"/>
    <cellStyle name="20% - Accent1 10 3 2 2 4" xfId="21704"/>
    <cellStyle name="20% - Accent1 10 3 2 2 4 2" xfId="48630"/>
    <cellStyle name="20% - Accent1 10 3 2 2 5" xfId="35319"/>
    <cellStyle name="20% - Accent1 10 3 2 3" xfId="10917"/>
    <cellStyle name="20% - Accent1 10 3 2 3 2" xfId="22718"/>
    <cellStyle name="20% - Accent1 10 3 2 3 2 2" xfId="42681"/>
    <cellStyle name="20% - Accent1 10 3 2 3 3" xfId="29062"/>
    <cellStyle name="20% - Accent1 10 3 2 3 3 2" xfId="42682"/>
    <cellStyle name="20% - Accent1 10 3 2 3 4" xfId="29063"/>
    <cellStyle name="20% - Accent1 10 3 2 3 4 2" xfId="48631"/>
    <cellStyle name="20% - Accent1 10 3 2 3 5" xfId="36333"/>
    <cellStyle name="20% - Accent1 10 3 2 4" xfId="10918"/>
    <cellStyle name="20% - Accent1 10 3 2 4 2" xfId="22719"/>
    <cellStyle name="20% - Accent1 10 3 2 4 2 2" xfId="48632"/>
    <cellStyle name="20% - Accent1 10 3 2 4 3" xfId="36334"/>
    <cellStyle name="20% - Accent1 10 3 2 5" xfId="6408"/>
    <cellStyle name="20% - Accent1 10 3 2 5 2" xfId="42683"/>
    <cellStyle name="20% - Accent1 10 3 2 6" xfId="18209"/>
    <cellStyle name="20% - Accent1 10 3 2 6 2" xfId="48633"/>
    <cellStyle name="20% - Accent1 10 3 2 7" xfId="31824"/>
    <cellStyle name="20% - Accent1 10 3 3" xfId="2609"/>
    <cellStyle name="20% - Accent1 10 3 3 2" xfId="10919"/>
    <cellStyle name="20% - Accent1 10 3 3 2 2" xfId="22720"/>
    <cellStyle name="20% - Accent1 10 3 3 2 2 2" xfId="48634"/>
    <cellStyle name="20% - Accent1 10 3 3 2 3" xfId="36335"/>
    <cellStyle name="20% - Accent1 10 3 3 3" xfId="8062"/>
    <cellStyle name="20% - Accent1 10 3 3 3 2" xfId="42684"/>
    <cellStyle name="20% - Accent1 10 3 3 4" xfId="19863"/>
    <cellStyle name="20% - Accent1 10 3 3 4 2" xfId="48635"/>
    <cellStyle name="20% - Accent1 10 3 3 5" xfId="33478"/>
    <cellStyle name="20% - Accent1 10 3 4" xfId="10920"/>
    <cellStyle name="20% - Accent1 10 3 4 2" xfId="22721"/>
    <cellStyle name="20% - Accent1 10 3 4 2 2" xfId="42685"/>
    <cellStyle name="20% - Accent1 10 3 4 3" xfId="29064"/>
    <cellStyle name="20% - Accent1 10 3 4 3 2" xfId="42686"/>
    <cellStyle name="20% - Accent1 10 3 4 4" xfId="29065"/>
    <cellStyle name="20% - Accent1 10 3 4 4 2" xfId="48636"/>
    <cellStyle name="20% - Accent1 10 3 4 5" xfId="36336"/>
    <cellStyle name="20% - Accent1 10 3 5" xfId="10921"/>
    <cellStyle name="20% - Accent1 10 3 5 2" xfId="22722"/>
    <cellStyle name="20% - Accent1 10 3 5 2 2" xfId="48637"/>
    <cellStyle name="20% - Accent1 10 3 5 3" xfId="36337"/>
    <cellStyle name="20% - Accent1 10 3 6" xfId="6162"/>
    <cellStyle name="20% - Accent1 10 3 6 2" xfId="42687"/>
    <cellStyle name="20% - Accent1 10 3 7" xfId="17963"/>
    <cellStyle name="20% - Accent1 10 3 7 2" xfId="48638"/>
    <cellStyle name="20% - Accent1 10 3 8" xfId="31578"/>
    <cellStyle name="20% - Accent1 10 4" xfId="955"/>
    <cellStyle name="20% - Accent1 10 4 2" xfId="5018"/>
    <cellStyle name="20% - Accent1 10 4 2 2" xfId="10922"/>
    <cellStyle name="20% - Accent1 10 4 2 2 2" xfId="22723"/>
    <cellStyle name="20% - Accent1 10 4 2 2 2 2" xfId="48639"/>
    <cellStyle name="20% - Accent1 10 4 2 2 3" xfId="36338"/>
    <cellStyle name="20% - Accent1 10 4 2 3" xfId="10471"/>
    <cellStyle name="20% - Accent1 10 4 2 3 2" xfId="42688"/>
    <cellStyle name="20% - Accent1 10 4 2 4" xfId="22272"/>
    <cellStyle name="20% - Accent1 10 4 2 4 2" xfId="48640"/>
    <cellStyle name="20% - Accent1 10 4 2 5" xfId="35887"/>
    <cellStyle name="20% - Accent1 10 4 3" xfId="3177"/>
    <cellStyle name="20% - Accent1 10 4 3 2" xfId="10923"/>
    <cellStyle name="20% - Accent1 10 4 3 2 2" xfId="22724"/>
    <cellStyle name="20% - Accent1 10 4 3 2 2 2" xfId="48641"/>
    <cellStyle name="20% - Accent1 10 4 3 2 3" xfId="36339"/>
    <cellStyle name="20% - Accent1 10 4 3 3" xfId="8630"/>
    <cellStyle name="20% - Accent1 10 4 3 3 2" xfId="42689"/>
    <cellStyle name="20% - Accent1 10 4 3 4" xfId="20431"/>
    <cellStyle name="20% - Accent1 10 4 3 4 2" xfId="48642"/>
    <cellStyle name="20% - Accent1 10 4 3 5" xfId="34046"/>
    <cellStyle name="20% - Accent1 10 4 4" xfId="10924"/>
    <cellStyle name="20% - Accent1 10 4 4 2" xfId="22725"/>
    <cellStyle name="20% - Accent1 10 4 4 2 2" xfId="48643"/>
    <cellStyle name="20% - Accent1 10 4 4 3" xfId="36340"/>
    <cellStyle name="20% - Accent1 10 4 5" xfId="6409"/>
    <cellStyle name="20% - Accent1 10 4 5 2" xfId="42690"/>
    <cellStyle name="20% - Accent1 10 4 6" xfId="18210"/>
    <cellStyle name="20% - Accent1 10 4 6 2" xfId="48644"/>
    <cellStyle name="20% - Accent1 10 4 7" xfId="31825"/>
    <cellStyle name="20% - Accent1 10 5" xfId="3882"/>
    <cellStyle name="20% - Accent1 10 5 2" xfId="10925"/>
    <cellStyle name="20% - Accent1 10 5 2 2" xfId="22726"/>
    <cellStyle name="20% - Accent1 10 5 2 2 2" xfId="48645"/>
    <cellStyle name="20% - Accent1 10 5 2 3" xfId="36341"/>
    <cellStyle name="20% - Accent1 10 5 3" xfId="9335"/>
    <cellStyle name="20% - Accent1 10 5 3 2" xfId="42691"/>
    <cellStyle name="20% - Accent1 10 5 4" xfId="21136"/>
    <cellStyle name="20% - Accent1 10 5 4 2" xfId="48646"/>
    <cellStyle name="20% - Accent1 10 5 5" xfId="34751"/>
    <cellStyle name="20% - Accent1 10 6" xfId="2041"/>
    <cellStyle name="20% - Accent1 10 6 2" xfId="10926"/>
    <cellStyle name="20% - Accent1 10 6 2 2" xfId="22727"/>
    <cellStyle name="20% - Accent1 10 6 2 2 2" xfId="48647"/>
    <cellStyle name="20% - Accent1 10 6 2 3" xfId="36342"/>
    <cellStyle name="20% - Accent1 10 6 3" xfId="7494"/>
    <cellStyle name="20% - Accent1 10 6 3 2" xfId="42692"/>
    <cellStyle name="20% - Accent1 10 6 4" xfId="19295"/>
    <cellStyle name="20% - Accent1 10 6 4 2" xfId="48648"/>
    <cellStyle name="20% - Accent1 10 6 5" xfId="32910"/>
    <cellStyle name="20% - Accent1 10 7" xfId="10927"/>
    <cellStyle name="20% - Accent1 10 7 2" xfId="22728"/>
    <cellStyle name="20% - Accent1 10 7 2 2" xfId="48649"/>
    <cellStyle name="20% - Accent1 10 7 3" xfId="36343"/>
    <cellStyle name="20% - Accent1 10 8" xfId="5594"/>
    <cellStyle name="20% - Accent1 10 8 2" xfId="42693"/>
    <cellStyle name="20% - Accent1 10 9" xfId="17395"/>
    <cellStyle name="20% - Accent1 10 9 2" xfId="48650"/>
    <cellStyle name="20% - Accent1 11" xfId="429"/>
    <cellStyle name="20% - Accent1 11 2" xfId="956"/>
    <cellStyle name="20% - Accent1 11 2 2" xfId="4739"/>
    <cellStyle name="20% - Accent1 11 2 2 2" xfId="10928"/>
    <cellStyle name="20% - Accent1 11 2 2 2 2" xfId="22729"/>
    <cellStyle name="20% - Accent1 11 2 2 2 2 2" xfId="48651"/>
    <cellStyle name="20% - Accent1 11 2 2 2 3" xfId="36344"/>
    <cellStyle name="20% - Accent1 11 2 2 3" xfId="10192"/>
    <cellStyle name="20% - Accent1 11 2 2 3 2" xfId="42694"/>
    <cellStyle name="20% - Accent1 11 2 2 4" xfId="21993"/>
    <cellStyle name="20% - Accent1 11 2 2 4 2" xfId="48652"/>
    <cellStyle name="20% - Accent1 11 2 2 5" xfId="35608"/>
    <cellStyle name="20% - Accent1 11 2 3" xfId="2898"/>
    <cellStyle name="20% - Accent1 11 2 3 2" xfId="10929"/>
    <cellStyle name="20% - Accent1 11 2 3 2 2" xfId="22730"/>
    <cellStyle name="20% - Accent1 11 2 3 2 2 2" xfId="48653"/>
    <cellStyle name="20% - Accent1 11 2 3 2 3" xfId="36345"/>
    <cellStyle name="20% - Accent1 11 2 3 3" xfId="8351"/>
    <cellStyle name="20% - Accent1 11 2 3 3 2" xfId="42695"/>
    <cellStyle name="20% - Accent1 11 2 3 4" xfId="20152"/>
    <cellStyle name="20% - Accent1 11 2 3 4 2" xfId="48654"/>
    <cellStyle name="20% - Accent1 11 2 3 5" xfId="33767"/>
    <cellStyle name="20% - Accent1 11 2 4" xfId="10930"/>
    <cellStyle name="20% - Accent1 11 2 4 2" xfId="22731"/>
    <cellStyle name="20% - Accent1 11 2 4 2 2" xfId="48655"/>
    <cellStyle name="20% - Accent1 11 2 4 3" xfId="36346"/>
    <cellStyle name="20% - Accent1 11 2 5" xfId="6410"/>
    <cellStyle name="20% - Accent1 11 2 5 2" xfId="42696"/>
    <cellStyle name="20% - Accent1 11 2 6" xfId="18211"/>
    <cellStyle name="20% - Accent1 11 2 6 2" xfId="48656"/>
    <cellStyle name="20% - Accent1 11 2 7" xfId="31826"/>
    <cellStyle name="20% - Accent1 11 3" xfId="3466"/>
    <cellStyle name="20% - Accent1 11 3 2" xfId="5307"/>
    <cellStyle name="20% - Accent1 11 3 2 2" xfId="16777"/>
    <cellStyle name="20% - Accent1 11 3 2 2 2" xfId="28578"/>
    <cellStyle name="20% - Accent1 11 3 2 2 2 2" xfId="48657"/>
    <cellStyle name="20% - Accent1 11 3 2 2 3" xfId="42193"/>
    <cellStyle name="20% - Accent1 11 3 2 3" xfId="10760"/>
    <cellStyle name="20% - Accent1 11 3 2 3 2" xfId="48658"/>
    <cellStyle name="20% - Accent1 11 3 2 4" xfId="22561"/>
    <cellStyle name="20% - Accent1 11 3 2 4 2" xfId="48659"/>
    <cellStyle name="20% - Accent1 11 3 2 5" xfId="36176"/>
    <cellStyle name="20% - Accent1 11 3 3" xfId="10931"/>
    <cellStyle name="20% - Accent1 11 3 3 2" xfId="22732"/>
    <cellStyle name="20% - Accent1 11 3 3 2 2" xfId="48660"/>
    <cellStyle name="20% - Accent1 11 3 3 3" xfId="36347"/>
    <cellStyle name="20% - Accent1 11 3 4" xfId="8919"/>
    <cellStyle name="20% - Accent1 11 3 4 2" xfId="48661"/>
    <cellStyle name="20% - Accent1 11 3 5" xfId="20720"/>
    <cellStyle name="20% - Accent1 11 3 5 2" xfId="48662"/>
    <cellStyle name="20% - Accent1 11 3 6" xfId="34335"/>
    <cellStyle name="20% - Accent1 11 4" xfId="4171"/>
    <cellStyle name="20% - Accent1 11 4 2" xfId="10932"/>
    <cellStyle name="20% - Accent1 11 4 2 2" xfId="22733"/>
    <cellStyle name="20% - Accent1 11 4 2 2 2" xfId="48663"/>
    <cellStyle name="20% - Accent1 11 4 2 3" xfId="36348"/>
    <cellStyle name="20% - Accent1 11 4 3" xfId="9624"/>
    <cellStyle name="20% - Accent1 11 4 3 2" xfId="42697"/>
    <cellStyle name="20% - Accent1 11 4 4" xfId="21425"/>
    <cellStyle name="20% - Accent1 11 4 4 2" xfId="48664"/>
    <cellStyle name="20% - Accent1 11 4 5" xfId="35040"/>
    <cellStyle name="20% - Accent1 11 5" xfId="2330"/>
    <cellStyle name="20% - Accent1 11 5 2" xfId="16922"/>
    <cellStyle name="20% - Accent1 11 5 2 2" xfId="28723"/>
    <cellStyle name="20% - Accent1 11 5 2 2 2" xfId="48665"/>
    <cellStyle name="20% - Accent1 11 5 2 3" xfId="42338"/>
    <cellStyle name="20% - Accent1 11 5 3" xfId="7783"/>
    <cellStyle name="20% - Accent1 11 5 3 2" xfId="48666"/>
    <cellStyle name="20% - Accent1 11 5 4" xfId="19584"/>
    <cellStyle name="20% - Accent1 11 5 4 2" xfId="48667"/>
    <cellStyle name="20% - Accent1 11 5 5" xfId="33199"/>
    <cellStyle name="20% - Accent1 11 6" xfId="10933"/>
    <cellStyle name="20% - Accent1 11 6 2" xfId="22734"/>
    <cellStyle name="20% - Accent1 11 6 2 2" xfId="48668"/>
    <cellStyle name="20% - Accent1 11 6 3" xfId="36349"/>
    <cellStyle name="20% - Accent1 11 7" xfId="5883"/>
    <cellStyle name="20% - Accent1 11 7 2" xfId="48669"/>
    <cellStyle name="20% - Accent1 11 8" xfId="17684"/>
    <cellStyle name="20% - Accent1 11 8 2" xfId="48670"/>
    <cellStyle name="20% - Accent1 11 9" xfId="31299"/>
    <cellStyle name="20% - Accent1 12" xfId="243"/>
    <cellStyle name="20% - Accent1 12 2" xfId="957"/>
    <cellStyle name="20% - Accent1 12 2 2" xfId="4553"/>
    <cellStyle name="20% - Accent1 12 2 2 2" xfId="10934"/>
    <cellStyle name="20% - Accent1 12 2 2 2 2" xfId="22735"/>
    <cellStyle name="20% - Accent1 12 2 2 2 2 2" xfId="48671"/>
    <cellStyle name="20% - Accent1 12 2 2 2 3" xfId="36350"/>
    <cellStyle name="20% - Accent1 12 2 2 3" xfId="10006"/>
    <cellStyle name="20% - Accent1 12 2 2 3 2" xfId="42698"/>
    <cellStyle name="20% - Accent1 12 2 2 4" xfId="21807"/>
    <cellStyle name="20% - Accent1 12 2 2 4 2" xfId="48672"/>
    <cellStyle name="20% - Accent1 12 2 2 5" xfId="35422"/>
    <cellStyle name="20% - Accent1 12 2 3" xfId="2712"/>
    <cellStyle name="20% - Accent1 12 2 3 2" xfId="10935"/>
    <cellStyle name="20% - Accent1 12 2 3 2 2" xfId="22736"/>
    <cellStyle name="20% - Accent1 12 2 3 2 2 2" xfId="48673"/>
    <cellStyle name="20% - Accent1 12 2 3 2 3" xfId="36351"/>
    <cellStyle name="20% - Accent1 12 2 3 3" xfId="8165"/>
    <cellStyle name="20% - Accent1 12 2 3 3 2" xfId="42699"/>
    <cellStyle name="20% - Accent1 12 2 3 4" xfId="19966"/>
    <cellStyle name="20% - Accent1 12 2 3 4 2" xfId="48674"/>
    <cellStyle name="20% - Accent1 12 2 3 5" xfId="33581"/>
    <cellStyle name="20% - Accent1 12 2 4" xfId="10936"/>
    <cellStyle name="20% - Accent1 12 2 4 2" xfId="22737"/>
    <cellStyle name="20% - Accent1 12 2 4 2 2" xfId="48675"/>
    <cellStyle name="20% - Accent1 12 2 4 3" xfId="36352"/>
    <cellStyle name="20% - Accent1 12 2 5" xfId="6411"/>
    <cellStyle name="20% - Accent1 12 2 5 2" xfId="42700"/>
    <cellStyle name="20% - Accent1 12 2 6" xfId="18212"/>
    <cellStyle name="20% - Accent1 12 2 6 2" xfId="48676"/>
    <cellStyle name="20% - Accent1 12 2 7" xfId="31827"/>
    <cellStyle name="20% - Accent1 12 3" xfId="3280"/>
    <cellStyle name="20% - Accent1 12 3 2" xfId="5121"/>
    <cellStyle name="20% - Accent1 12 3 2 2" xfId="16591"/>
    <cellStyle name="20% - Accent1 12 3 2 2 2" xfId="28392"/>
    <cellStyle name="20% - Accent1 12 3 2 2 2 2" xfId="48677"/>
    <cellStyle name="20% - Accent1 12 3 2 2 3" xfId="42007"/>
    <cellStyle name="20% - Accent1 12 3 2 3" xfId="10574"/>
    <cellStyle name="20% - Accent1 12 3 2 3 2" xfId="48678"/>
    <cellStyle name="20% - Accent1 12 3 2 4" xfId="22375"/>
    <cellStyle name="20% - Accent1 12 3 2 4 2" xfId="48679"/>
    <cellStyle name="20% - Accent1 12 3 2 5" xfId="35990"/>
    <cellStyle name="20% - Accent1 12 3 3" xfId="10937"/>
    <cellStyle name="20% - Accent1 12 3 3 2" xfId="22738"/>
    <cellStyle name="20% - Accent1 12 3 3 2 2" xfId="48680"/>
    <cellStyle name="20% - Accent1 12 3 3 3" xfId="36353"/>
    <cellStyle name="20% - Accent1 12 3 4" xfId="8733"/>
    <cellStyle name="20% - Accent1 12 3 4 2" xfId="48681"/>
    <cellStyle name="20% - Accent1 12 3 5" xfId="20534"/>
    <cellStyle name="20% - Accent1 12 3 5 2" xfId="48682"/>
    <cellStyle name="20% - Accent1 12 3 6" xfId="34149"/>
    <cellStyle name="20% - Accent1 12 4" xfId="3985"/>
    <cellStyle name="20% - Accent1 12 4 2" xfId="10938"/>
    <cellStyle name="20% - Accent1 12 4 2 2" xfId="22739"/>
    <cellStyle name="20% - Accent1 12 4 2 2 2" xfId="48683"/>
    <cellStyle name="20% - Accent1 12 4 2 3" xfId="36354"/>
    <cellStyle name="20% - Accent1 12 4 3" xfId="9438"/>
    <cellStyle name="20% - Accent1 12 4 3 2" xfId="42701"/>
    <cellStyle name="20% - Accent1 12 4 4" xfId="21239"/>
    <cellStyle name="20% - Accent1 12 4 4 2" xfId="48684"/>
    <cellStyle name="20% - Accent1 12 4 5" xfId="34854"/>
    <cellStyle name="20% - Accent1 12 5" xfId="2144"/>
    <cellStyle name="20% - Accent1 12 5 2" xfId="16923"/>
    <cellStyle name="20% - Accent1 12 5 2 2" xfId="28724"/>
    <cellStyle name="20% - Accent1 12 5 2 2 2" xfId="48685"/>
    <cellStyle name="20% - Accent1 12 5 2 3" xfId="42339"/>
    <cellStyle name="20% - Accent1 12 5 3" xfId="7597"/>
    <cellStyle name="20% - Accent1 12 5 3 2" xfId="48686"/>
    <cellStyle name="20% - Accent1 12 5 4" xfId="19398"/>
    <cellStyle name="20% - Accent1 12 5 4 2" xfId="48687"/>
    <cellStyle name="20% - Accent1 12 5 5" xfId="33013"/>
    <cellStyle name="20% - Accent1 12 6" xfId="10939"/>
    <cellStyle name="20% - Accent1 12 6 2" xfId="22740"/>
    <cellStyle name="20% - Accent1 12 6 2 2" xfId="48688"/>
    <cellStyle name="20% - Accent1 12 6 3" xfId="36355"/>
    <cellStyle name="20% - Accent1 12 7" xfId="5697"/>
    <cellStyle name="20% - Accent1 12 7 2" xfId="48689"/>
    <cellStyle name="20% - Accent1 12 8" xfId="17498"/>
    <cellStyle name="20% - Accent1 12 8 2" xfId="48690"/>
    <cellStyle name="20% - Accent1 12 9" xfId="31113"/>
    <cellStyle name="20% - Accent1 13" xfId="570"/>
    <cellStyle name="20% - Accent1 13 2" xfId="958"/>
    <cellStyle name="20% - Accent1 13 2 2" xfId="4312"/>
    <cellStyle name="20% - Accent1 13 2 2 2" xfId="10940"/>
    <cellStyle name="20% - Accent1 13 2 2 2 2" xfId="22741"/>
    <cellStyle name="20% - Accent1 13 2 2 2 2 2" xfId="48691"/>
    <cellStyle name="20% - Accent1 13 2 2 2 3" xfId="36356"/>
    <cellStyle name="20% - Accent1 13 2 2 3" xfId="9765"/>
    <cellStyle name="20% - Accent1 13 2 2 3 2" xfId="42702"/>
    <cellStyle name="20% - Accent1 13 2 2 4" xfId="21566"/>
    <cellStyle name="20% - Accent1 13 2 2 4 2" xfId="48692"/>
    <cellStyle name="20% - Accent1 13 2 2 5" xfId="35181"/>
    <cellStyle name="20% - Accent1 13 2 3" xfId="10941"/>
    <cellStyle name="20% - Accent1 13 2 3 2" xfId="22742"/>
    <cellStyle name="20% - Accent1 13 2 3 2 2" xfId="42703"/>
    <cellStyle name="20% - Accent1 13 2 3 3" xfId="29066"/>
    <cellStyle name="20% - Accent1 13 2 3 3 2" xfId="42704"/>
    <cellStyle name="20% - Accent1 13 2 3 4" xfId="29067"/>
    <cellStyle name="20% - Accent1 13 2 3 4 2" xfId="48693"/>
    <cellStyle name="20% - Accent1 13 2 3 5" xfId="36357"/>
    <cellStyle name="20% - Accent1 13 2 4" xfId="10942"/>
    <cellStyle name="20% - Accent1 13 2 4 2" xfId="22743"/>
    <cellStyle name="20% - Accent1 13 2 4 2 2" xfId="48694"/>
    <cellStyle name="20% - Accent1 13 2 4 3" xfId="36358"/>
    <cellStyle name="20% - Accent1 13 2 5" xfId="6412"/>
    <cellStyle name="20% - Accent1 13 2 5 2" xfId="42705"/>
    <cellStyle name="20% - Accent1 13 2 6" xfId="18213"/>
    <cellStyle name="20% - Accent1 13 2 6 2" xfId="48695"/>
    <cellStyle name="20% - Accent1 13 2 7" xfId="31828"/>
    <cellStyle name="20% - Accent1 13 3" xfId="2471"/>
    <cellStyle name="20% - Accent1 13 3 2" xfId="10943"/>
    <cellStyle name="20% - Accent1 13 3 2 2" xfId="22744"/>
    <cellStyle name="20% - Accent1 13 3 2 2 2" xfId="48696"/>
    <cellStyle name="20% - Accent1 13 3 2 3" xfId="36359"/>
    <cellStyle name="20% - Accent1 13 3 3" xfId="7924"/>
    <cellStyle name="20% - Accent1 13 3 3 2" xfId="42706"/>
    <cellStyle name="20% - Accent1 13 3 4" xfId="19725"/>
    <cellStyle name="20% - Accent1 13 3 4 2" xfId="48697"/>
    <cellStyle name="20% - Accent1 13 3 5" xfId="33340"/>
    <cellStyle name="20% - Accent1 13 4" xfId="10944"/>
    <cellStyle name="20% - Accent1 13 4 2" xfId="22745"/>
    <cellStyle name="20% - Accent1 13 4 2 2" xfId="42707"/>
    <cellStyle name="20% - Accent1 13 4 3" xfId="29068"/>
    <cellStyle name="20% - Accent1 13 4 3 2" xfId="42708"/>
    <cellStyle name="20% - Accent1 13 4 4" xfId="29069"/>
    <cellStyle name="20% - Accent1 13 4 4 2" xfId="48698"/>
    <cellStyle name="20% - Accent1 13 4 5" xfId="36360"/>
    <cellStyle name="20% - Accent1 13 5" xfId="10945"/>
    <cellStyle name="20% - Accent1 13 5 2" xfId="22746"/>
    <cellStyle name="20% - Accent1 13 5 2 2" xfId="48699"/>
    <cellStyle name="20% - Accent1 13 5 3" xfId="36361"/>
    <cellStyle name="20% - Accent1 13 6" xfId="6024"/>
    <cellStyle name="20% - Accent1 13 6 2" xfId="42709"/>
    <cellStyle name="20% - Accent1 13 7" xfId="17825"/>
    <cellStyle name="20% - Accent1 13 7 2" xfId="48700"/>
    <cellStyle name="20% - Accent1 13 8" xfId="31440"/>
    <cellStyle name="20% - Accent1 14" xfId="811"/>
    <cellStyle name="20% - Accent1 14 2" xfId="959"/>
    <cellStyle name="20% - Accent1 14 2 2" xfId="4880"/>
    <cellStyle name="20% - Accent1 14 2 2 2" xfId="10946"/>
    <cellStyle name="20% - Accent1 14 2 2 2 2" xfId="22747"/>
    <cellStyle name="20% - Accent1 14 2 2 2 2 2" xfId="48701"/>
    <cellStyle name="20% - Accent1 14 2 2 2 3" xfId="36362"/>
    <cellStyle name="20% - Accent1 14 2 2 3" xfId="10333"/>
    <cellStyle name="20% - Accent1 14 2 2 3 2" xfId="42710"/>
    <cellStyle name="20% - Accent1 14 2 2 4" xfId="22134"/>
    <cellStyle name="20% - Accent1 14 2 2 4 2" xfId="48702"/>
    <cellStyle name="20% - Accent1 14 2 2 5" xfId="35749"/>
    <cellStyle name="20% - Accent1 14 2 3" xfId="10947"/>
    <cellStyle name="20% - Accent1 14 2 3 2" xfId="22748"/>
    <cellStyle name="20% - Accent1 14 2 3 2 2" xfId="42711"/>
    <cellStyle name="20% - Accent1 14 2 3 3" xfId="29070"/>
    <cellStyle name="20% - Accent1 14 2 3 3 2" xfId="42712"/>
    <cellStyle name="20% - Accent1 14 2 3 4" xfId="29071"/>
    <cellStyle name="20% - Accent1 14 2 3 4 2" xfId="48703"/>
    <cellStyle name="20% - Accent1 14 2 3 5" xfId="36363"/>
    <cellStyle name="20% - Accent1 14 2 4" xfId="10948"/>
    <cellStyle name="20% - Accent1 14 2 4 2" xfId="22749"/>
    <cellStyle name="20% - Accent1 14 2 4 2 2" xfId="48704"/>
    <cellStyle name="20% - Accent1 14 2 4 3" xfId="36364"/>
    <cellStyle name="20% - Accent1 14 2 5" xfId="6413"/>
    <cellStyle name="20% - Accent1 14 2 5 2" xfId="42713"/>
    <cellStyle name="20% - Accent1 14 2 6" xfId="18214"/>
    <cellStyle name="20% - Accent1 14 2 6 2" xfId="48705"/>
    <cellStyle name="20% - Accent1 14 2 7" xfId="31829"/>
    <cellStyle name="20% - Accent1 14 3" xfId="3039"/>
    <cellStyle name="20% - Accent1 14 3 2" xfId="10949"/>
    <cellStyle name="20% - Accent1 14 3 2 2" xfId="22750"/>
    <cellStyle name="20% - Accent1 14 3 2 2 2" xfId="48706"/>
    <cellStyle name="20% - Accent1 14 3 2 3" xfId="36365"/>
    <cellStyle name="20% - Accent1 14 3 3" xfId="8492"/>
    <cellStyle name="20% - Accent1 14 3 3 2" xfId="42714"/>
    <cellStyle name="20% - Accent1 14 3 4" xfId="20293"/>
    <cellStyle name="20% - Accent1 14 3 4 2" xfId="48707"/>
    <cellStyle name="20% - Accent1 14 3 5" xfId="33908"/>
    <cellStyle name="20% - Accent1 14 4" xfId="10950"/>
    <cellStyle name="20% - Accent1 14 4 2" xfId="22751"/>
    <cellStyle name="20% - Accent1 14 4 2 2" xfId="42715"/>
    <cellStyle name="20% - Accent1 14 4 3" xfId="29072"/>
    <cellStyle name="20% - Accent1 14 4 3 2" xfId="42716"/>
    <cellStyle name="20% - Accent1 14 4 4" xfId="29073"/>
    <cellStyle name="20% - Accent1 14 4 4 2" xfId="48708"/>
    <cellStyle name="20% - Accent1 14 4 5" xfId="36366"/>
    <cellStyle name="20% - Accent1 14 5" xfId="10951"/>
    <cellStyle name="20% - Accent1 14 5 2" xfId="22752"/>
    <cellStyle name="20% - Accent1 14 5 2 2" xfId="48709"/>
    <cellStyle name="20% - Accent1 14 5 3" xfId="36367"/>
    <cellStyle name="20% - Accent1 14 6" xfId="6265"/>
    <cellStyle name="20% - Accent1 14 6 2" xfId="42717"/>
    <cellStyle name="20% - Accent1 14 7" xfId="18066"/>
    <cellStyle name="20% - Accent1 14 7 2" xfId="48710"/>
    <cellStyle name="20% - Accent1 14 8" xfId="31681"/>
    <cellStyle name="20% - Accent1 15" xfId="3744"/>
    <cellStyle name="20% - Accent1 15 2" xfId="10952"/>
    <cellStyle name="20% - Accent1 15 2 2" xfId="22753"/>
    <cellStyle name="20% - Accent1 15 2 2 2" xfId="48711"/>
    <cellStyle name="20% - Accent1 15 2 3" xfId="36368"/>
    <cellStyle name="20% - Accent1 15 3" xfId="9197"/>
    <cellStyle name="20% - Accent1 15 3 2" xfId="42718"/>
    <cellStyle name="20% - Accent1 15 4" xfId="20998"/>
    <cellStyle name="20% - Accent1 15 4 2" xfId="48712"/>
    <cellStyle name="20% - Accent1 15 5" xfId="34613"/>
    <cellStyle name="20% - Accent1 16" xfId="3607"/>
    <cellStyle name="20% - Accent1 16 2" xfId="10953"/>
    <cellStyle name="20% - Accent1 16 2 2" xfId="22754"/>
    <cellStyle name="20% - Accent1 16 2 2 2" xfId="48713"/>
    <cellStyle name="20% - Accent1 16 2 3" xfId="36369"/>
    <cellStyle name="20% - Accent1 16 3" xfId="9060"/>
    <cellStyle name="20% - Accent1 16 3 2" xfId="42719"/>
    <cellStyle name="20% - Accent1 16 4" xfId="20861"/>
    <cellStyle name="20% - Accent1 16 4 2" xfId="48714"/>
    <cellStyle name="20% - Accent1 16 5" xfId="34476"/>
    <cellStyle name="20% - Accent1 17" xfId="1903"/>
    <cellStyle name="20% - Accent1 17 2" xfId="16924"/>
    <cellStyle name="20% - Accent1 17 2 2" xfId="28725"/>
    <cellStyle name="20% - Accent1 17 2 2 2" xfId="48715"/>
    <cellStyle name="20% - Accent1 17 2 3" xfId="42340"/>
    <cellStyle name="20% - Accent1 17 3" xfId="7356"/>
    <cellStyle name="20% - Accent1 17 3 2" xfId="48716"/>
    <cellStyle name="20% - Accent1 17 4" xfId="19157"/>
    <cellStyle name="20% - Accent1 17 4 2" xfId="48717"/>
    <cellStyle name="20% - Accent1 17 5" xfId="32772"/>
    <cellStyle name="20% - Accent1 18" xfId="10908"/>
    <cellStyle name="20% - Accent1 18 2" xfId="22709"/>
    <cellStyle name="20% - Accent1 18 2 2" xfId="48718"/>
    <cellStyle name="20% - Accent1 18 3" xfId="36324"/>
    <cellStyle name="20% - Accent1 19" xfId="5456"/>
    <cellStyle name="20% - Accent1 19 2" xfId="42720"/>
    <cellStyle name="20% - Accent1 2" xfId="1"/>
    <cellStyle name="20% - Accent1 2 10" xfId="70"/>
    <cellStyle name="20% - Accent1 2 10 10" xfId="5524"/>
    <cellStyle name="20% - Accent1 2 10 10 2" xfId="42721"/>
    <cellStyle name="20% - Accent1 2 10 11" xfId="17325"/>
    <cellStyle name="20% - Accent1 2 10 11 2" xfId="48719"/>
    <cellStyle name="20% - Accent1 2 10 12" xfId="30940"/>
    <cellStyle name="20% - Accent1 2 10 2" xfId="497"/>
    <cellStyle name="20% - Accent1 2 10 2 2" xfId="960"/>
    <cellStyle name="20% - Accent1 2 10 2 2 2" xfId="4807"/>
    <cellStyle name="20% - Accent1 2 10 2 2 2 2" xfId="10954"/>
    <cellStyle name="20% - Accent1 2 10 2 2 2 2 2" xfId="22755"/>
    <cellStyle name="20% - Accent1 2 10 2 2 2 2 2 2" xfId="48720"/>
    <cellStyle name="20% - Accent1 2 10 2 2 2 2 3" xfId="36370"/>
    <cellStyle name="20% - Accent1 2 10 2 2 2 3" xfId="10260"/>
    <cellStyle name="20% - Accent1 2 10 2 2 2 3 2" xfId="42722"/>
    <cellStyle name="20% - Accent1 2 10 2 2 2 4" xfId="22061"/>
    <cellStyle name="20% - Accent1 2 10 2 2 2 4 2" xfId="48721"/>
    <cellStyle name="20% - Accent1 2 10 2 2 2 5" xfId="35676"/>
    <cellStyle name="20% - Accent1 2 10 2 2 3" xfId="2966"/>
    <cellStyle name="20% - Accent1 2 10 2 2 3 2" xfId="10955"/>
    <cellStyle name="20% - Accent1 2 10 2 2 3 2 2" xfId="22756"/>
    <cellStyle name="20% - Accent1 2 10 2 2 3 2 2 2" xfId="48722"/>
    <cellStyle name="20% - Accent1 2 10 2 2 3 2 3" xfId="36371"/>
    <cellStyle name="20% - Accent1 2 10 2 2 3 3" xfId="8419"/>
    <cellStyle name="20% - Accent1 2 10 2 2 3 3 2" xfId="42723"/>
    <cellStyle name="20% - Accent1 2 10 2 2 3 4" xfId="20220"/>
    <cellStyle name="20% - Accent1 2 10 2 2 3 4 2" xfId="48723"/>
    <cellStyle name="20% - Accent1 2 10 2 2 3 5" xfId="33835"/>
    <cellStyle name="20% - Accent1 2 10 2 2 4" xfId="10956"/>
    <cellStyle name="20% - Accent1 2 10 2 2 4 2" xfId="22757"/>
    <cellStyle name="20% - Accent1 2 10 2 2 4 2 2" xfId="48724"/>
    <cellStyle name="20% - Accent1 2 10 2 2 4 3" xfId="36372"/>
    <cellStyle name="20% - Accent1 2 10 2 2 5" xfId="6414"/>
    <cellStyle name="20% - Accent1 2 10 2 2 5 2" xfId="42724"/>
    <cellStyle name="20% - Accent1 2 10 2 2 6" xfId="18215"/>
    <cellStyle name="20% - Accent1 2 10 2 2 6 2" xfId="48725"/>
    <cellStyle name="20% - Accent1 2 10 2 2 7" xfId="31830"/>
    <cellStyle name="20% - Accent1 2 10 2 3" xfId="3534"/>
    <cellStyle name="20% - Accent1 2 10 2 3 2" xfId="5375"/>
    <cellStyle name="20% - Accent1 2 10 2 3 2 2" xfId="16845"/>
    <cellStyle name="20% - Accent1 2 10 2 3 2 2 2" xfId="28646"/>
    <cellStyle name="20% - Accent1 2 10 2 3 2 2 2 2" xfId="48726"/>
    <cellStyle name="20% - Accent1 2 10 2 3 2 2 3" xfId="42261"/>
    <cellStyle name="20% - Accent1 2 10 2 3 2 3" xfId="10828"/>
    <cellStyle name="20% - Accent1 2 10 2 3 2 3 2" xfId="48727"/>
    <cellStyle name="20% - Accent1 2 10 2 3 2 4" xfId="22629"/>
    <cellStyle name="20% - Accent1 2 10 2 3 2 4 2" xfId="48728"/>
    <cellStyle name="20% - Accent1 2 10 2 3 2 5" xfId="36244"/>
    <cellStyle name="20% - Accent1 2 10 2 3 3" xfId="10957"/>
    <cellStyle name="20% - Accent1 2 10 2 3 3 2" xfId="22758"/>
    <cellStyle name="20% - Accent1 2 10 2 3 3 2 2" xfId="48729"/>
    <cellStyle name="20% - Accent1 2 10 2 3 3 3" xfId="36373"/>
    <cellStyle name="20% - Accent1 2 10 2 3 4" xfId="8987"/>
    <cellStyle name="20% - Accent1 2 10 2 3 4 2" xfId="48730"/>
    <cellStyle name="20% - Accent1 2 10 2 3 5" xfId="20788"/>
    <cellStyle name="20% - Accent1 2 10 2 3 5 2" xfId="48731"/>
    <cellStyle name="20% - Accent1 2 10 2 3 6" xfId="34403"/>
    <cellStyle name="20% - Accent1 2 10 2 4" xfId="4239"/>
    <cellStyle name="20% - Accent1 2 10 2 4 2" xfId="10958"/>
    <cellStyle name="20% - Accent1 2 10 2 4 2 2" xfId="22759"/>
    <cellStyle name="20% - Accent1 2 10 2 4 2 2 2" xfId="48732"/>
    <cellStyle name="20% - Accent1 2 10 2 4 2 3" xfId="36374"/>
    <cellStyle name="20% - Accent1 2 10 2 4 3" xfId="9692"/>
    <cellStyle name="20% - Accent1 2 10 2 4 3 2" xfId="42725"/>
    <cellStyle name="20% - Accent1 2 10 2 4 4" xfId="21493"/>
    <cellStyle name="20% - Accent1 2 10 2 4 4 2" xfId="48733"/>
    <cellStyle name="20% - Accent1 2 10 2 4 5" xfId="35108"/>
    <cellStyle name="20% - Accent1 2 10 2 5" xfId="2398"/>
    <cellStyle name="20% - Accent1 2 10 2 5 2" xfId="16925"/>
    <cellStyle name="20% - Accent1 2 10 2 5 2 2" xfId="28726"/>
    <cellStyle name="20% - Accent1 2 10 2 5 2 2 2" xfId="48734"/>
    <cellStyle name="20% - Accent1 2 10 2 5 2 3" xfId="42341"/>
    <cellStyle name="20% - Accent1 2 10 2 5 3" xfId="7851"/>
    <cellStyle name="20% - Accent1 2 10 2 5 3 2" xfId="48735"/>
    <cellStyle name="20% - Accent1 2 10 2 5 4" xfId="19652"/>
    <cellStyle name="20% - Accent1 2 10 2 5 4 2" xfId="48736"/>
    <cellStyle name="20% - Accent1 2 10 2 5 5" xfId="33267"/>
    <cellStyle name="20% - Accent1 2 10 2 6" xfId="10959"/>
    <cellStyle name="20% - Accent1 2 10 2 6 2" xfId="22760"/>
    <cellStyle name="20% - Accent1 2 10 2 6 2 2" xfId="48737"/>
    <cellStyle name="20% - Accent1 2 10 2 6 3" xfId="36375"/>
    <cellStyle name="20% - Accent1 2 10 2 7" xfId="5951"/>
    <cellStyle name="20% - Accent1 2 10 2 7 2" xfId="48738"/>
    <cellStyle name="20% - Accent1 2 10 2 8" xfId="17752"/>
    <cellStyle name="20% - Accent1 2 10 2 8 2" xfId="48739"/>
    <cellStyle name="20% - Accent1 2 10 2 9" xfId="31367"/>
    <cellStyle name="20% - Accent1 2 10 3" xfId="360"/>
    <cellStyle name="20% - Accent1 2 10 3 2" xfId="961"/>
    <cellStyle name="20% - Accent1 2 10 3 2 2" xfId="4670"/>
    <cellStyle name="20% - Accent1 2 10 3 2 2 2" xfId="10960"/>
    <cellStyle name="20% - Accent1 2 10 3 2 2 2 2" xfId="22761"/>
    <cellStyle name="20% - Accent1 2 10 3 2 2 2 2 2" xfId="48740"/>
    <cellStyle name="20% - Accent1 2 10 3 2 2 2 3" xfId="36376"/>
    <cellStyle name="20% - Accent1 2 10 3 2 2 3" xfId="10123"/>
    <cellStyle name="20% - Accent1 2 10 3 2 2 3 2" xfId="42726"/>
    <cellStyle name="20% - Accent1 2 10 3 2 2 4" xfId="21924"/>
    <cellStyle name="20% - Accent1 2 10 3 2 2 4 2" xfId="48741"/>
    <cellStyle name="20% - Accent1 2 10 3 2 2 5" xfId="35539"/>
    <cellStyle name="20% - Accent1 2 10 3 2 3" xfId="2829"/>
    <cellStyle name="20% - Accent1 2 10 3 2 3 2" xfId="10961"/>
    <cellStyle name="20% - Accent1 2 10 3 2 3 2 2" xfId="22762"/>
    <cellStyle name="20% - Accent1 2 10 3 2 3 2 2 2" xfId="48742"/>
    <cellStyle name="20% - Accent1 2 10 3 2 3 2 3" xfId="36377"/>
    <cellStyle name="20% - Accent1 2 10 3 2 3 3" xfId="8282"/>
    <cellStyle name="20% - Accent1 2 10 3 2 3 3 2" xfId="42727"/>
    <cellStyle name="20% - Accent1 2 10 3 2 3 4" xfId="20083"/>
    <cellStyle name="20% - Accent1 2 10 3 2 3 4 2" xfId="48743"/>
    <cellStyle name="20% - Accent1 2 10 3 2 3 5" xfId="33698"/>
    <cellStyle name="20% - Accent1 2 10 3 2 4" xfId="10962"/>
    <cellStyle name="20% - Accent1 2 10 3 2 4 2" xfId="22763"/>
    <cellStyle name="20% - Accent1 2 10 3 2 4 2 2" xfId="48744"/>
    <cellStyle name="20% - Accent1 2 10 3 2 4 3" xfId="36378"/>
    <cellStyle name="20% - Accent1 2 10 3 2 5" xfId="6415"/>
    <cellStyle name="20% - Accent1 2 10 3 2 5 2" xfId="42728"/>
    <cellStyle name="20% - Accent1 2 10 3 2 6" xfId="18216"/>
    <cellStyle name="20% - Accent1 2 10 3 2 6 2" xfId="48745"/>
    <cellStyle name="20% - Accent1 2 10 3 2 7" xfId="31831"/>
    <cellStyle name="20% - Accent1 2 10 3 3" xfId="3397"/>
    <cellStyle name="20% - Accent1 2 10 3 3 2" xfId="5238"/>
    <cellStyle name="20% - Accent1 2 10 3 3 2 2" xfId="16708"/>
    <cellStyle name="20% - Accent1 2 10 3 3 2 2 2" xfId="28509"/>
    <cellStyle name="20% - Accent1 2 10 3 3 2 2 2 2" xfId="48746"/>
    <cellStyle name="20% - Accent1 2 10 3 3 2 2 3" xfId="42124"/>
    <cellStyle name="20% - Accent1 2 10 3 3 2 3" xfId="10691"/>
    <cellStyle name="20% - Accent1 2 10 3 3 2 3 2" xfId="48747"/>
    <cellStyle name="20% - Accent1 2 10 3 3 2 4" xfId="22492"/>
    <cellStyle name="20% - Accent1 2 10 3 3 2 4 2" xfId="48748"/>
    <cellStyle name="20% - Accent1 2 10 3 3 2 5" xfId="36107"/>
    <cellStyle name="20% - Accent1 2 10 3 3 3" xfId="10963"/>
    <cellStyle name="20% - Accent1 2 10 3 3 3 2" xfId="22764"/>
    <cellStyle name="20% - Accent1 2 10 3 3 3 2 2" xfId="48749"/>
    <cellStyle name="20% - Accent1 2 10 3 3 3 3" xfId="36379"/>
    <cellStyle name="20% - Accent1 2 10 3 3 4" xfId="8850"/>
    <cellStyle name="20% - Accent1 2 10 3 3 4 2" xfId="48750"/>
    <cellStyle name="20% - Accent1 2 10 3 3 5" xfId="20651"/>
    <cellStyle name="20% - Accent1 2 10 3 3 5 2" xfId="48751"/>
    <cellStyle name="20% - Accent1 2 10 3 3 6" xfId="34266"/>
    <cellStyle name="20% - Accent1 2 10 3 4" xfId="4102"/>
    <cellStyle name="20% - Accent1 2 10 3 4 2" xfId="10964"/>
    <cellStyle name="20% - Accent1 2 10 3 4 2 2" xfId="22765"/>
    <cellStyle name="20% - Accent1 2 10 3 4 2 2 2" xfId="48752"/>
    <cellStyle name="20% - Accent1 2 10 3 4 2 3" xfId="36380"/>
    <cellStyle name="20% - Accent1 2 10 3 4 3" xfId="9555"/>
    <cellStyle name="20% - Accent1 2 10 3 4 3 2" xfId="42729"/>
    <cellStyle name="20% - Accent1 2 10 3 4 4" xfId="21356"/>
    <cellStyle name="20% - Accent1 2 10 3 4 4 2" xfId="48753"/>
    <cellStyle name="20% - Accent1 2 10 3 4 5" xfId="34971"/>
    <cellStyle name="20% - Accent1 2 10 3 5" xfId="2261"/>
    <cellStyle name="20% - Accent1 2 10 3 5 2" xfId="16926"/>
    <cellStyle name="20% - Accent1 2 10 3 5 2 2" xfId="28727"/>
    <cellStyle name="20% - Accent1 2 10 3 5 2 2 2" xfId="48754"/>
    <cellStyle name="20% - Accent1 2 10 3 5 2 3" xfId="42342"/>
    <cellStyle name="20% - Accent1 2 10 3 5 3" xfId="7714"/>
    <cellStyle name="20% - Accent1 2 10 3 5 3 2" xfId="48755"/>
    <cellStyle name="20% - Accent1 2 10 3 5 4" xfId="19515"/>
    <cellStyle name="20% - Accent1 2 10 3 5 4 2" xfId="48756"/>
    <cellStyle name="20% - Accent1 2 10 3 5 5" xfId="33130"/>
    <cellStyle name="20% - Accent1 2 10 3 6" xfId="10965"/>
    <cellStyle name="20% - Accent1 2 10 3 6 2" xfId="22766"/>
    <cellStyle name="20% - Accent1 2 10 3 6 2 2" xfId="48757"/>
    <cellStyle name="20% - Accent1 2 10 3 6 3" xfId="36381"/>
    <cellStyle name="20% - Accent1 2 10 3 7" xfId="5814"/>
    <cellStyle name="20% - Accent1 2 10 3 7 2" xfId="48758"/>
    <cellStyle name="20% - Accent1 2 10 3 8" xfId="17615"/>
    <cellStyle name="20% - Accent1 2 10 3 8 2" xfId="48759"/>
    <cellStyle name="20% - Accent1 2 10 3 9" xfId="31230"/>
    <cellStyle name="20% - Accent1 2 10 4" xfId="638"/>
    <cellStyle name="20% - Accent1 2 10 4 2" xfId="962"/>
    <cellStyle name="20% - Accent1 2 10 4 2 2" xfId="4380"/>
    <cellStyle name="20% - Accent1 2 10 4 2 2 2" xfId="10966"/>
    <cellStyle name="20% - Accent1 2 10 4 2 2 2 2" xfId="22767"/>
    <cellStyle name="20% - Accent1 2 10 4 2 2 2 2 2" xfId="48760"/>
    <cellStyle name="20% - Accent1 2 10 4 2 2 2 3" xfId="36382"/>
    <cellStyle name="20% - Accent1 2 10 4 2 2 3" xfId="9833"/>
    <cellStyle name="20% - Accent1 2 10 4 2 2 3 2" xfId="42730"/>
    <cellStyle name="20% - Accent1 2 10 4 2 2 4" xfId="21634"/>
    <cellStyle name="20% - Accent1 2 10 4 2 2 4 2" xfId="48761"/>
    <cellStyle name="20% - Accent1 2 10 4 2 2 5" xfId="35249"/>
    <cellStyle name="20% - Accent1 2 10 4 2 3" xfId="10967"/>
    <cellStyle name="20% - Accent1 2 10 4 2 3 2" xfId="22768"/>
    <cellStyle name="20% - Accent1 2 10 4 2 3 2 2" xfId="42731"/>
    <cellStyle name="20% - Accent1 2 10 4 2 3 3" xfId="29074"/>
    <cellStyle name="20% - Accent1 2 10 4 2 3 3 2" xfId="42732"/>
    <cellStyle name="20% - Accent1 2 10 4 2 3 4" xfId="29075"/>
    <cellStyle name="20% - Accent1 2 10 4 2 3 4 2" xfId="48762"/>
    <cellStyle name="20% - Accent1 2 10 4 2 3 5" xfId="36383"/>
    <cellStyle name="20% - Accent1 2 10 4 2 4" xfId="10968"/>
    <cellStyle name="20% - Accent1 2 10 4 2 4 2" xfId="22769"/>
    <cellStyle name="20% - Accent1 2 10 4 2 4 2 2" xfId="48763"/>
    <cellStyle name="20% - Accent1 2 10 4 2 4 3" xfId="36384"/>
    <cellStyle name="20% - Accent1 2 10 4 2 5" xfId="6416"/>
    <cellStyle name="20% - Accent1 2 10 4 2 5 2" xfId="42733"/>
    <cellStyle name="20% - Accent1 2 10 4 2 6" xfId="18217"/>
    <cellStyle name="20% - Accent1 2 10 4 2 6 2" xfId="48764"/>
    <cellStyle name="20% - Accent1 2 10 4 2 7" xfId="31832"/>
    <cellStyle name="20% - Accent1 2 10 4 3" xfId="2539"/>
    <cellStyle name="20% - Accent1 2 10 4 3 2" xfId="10969"/>
    <cellStyle name="20% - Accent1 2 10 4 3 2 2" xfId="22770"/>
    <cellStyle name="20% - Accent1 2 10 4 3 2 2 2" xfId="48765"/>
    <cellStyle name="20% - Accent1 2 10 4 3 2 3" xfId="36385"/>
    <cellStyle name="20% - Accent1 2 10 4 3 3" xfId="7992"/>
    <cellStyle name="20% - Accent1 2 10 4 3 3 2" xfId="42734"/>
    <cellStyle name="20% - Accent1 2 10 4 3 4" xfId="19793"/>
    <cellStyle name="20% - Accent1 2 10 4 3 4 2" xfId="48766"/>
    <cellStyle name="20% - Accent1 2 10 4 3 5" xfId="33408"/>
    <cellStyle name="20% - Accent1 2 10 4 4" xfId="10970"/>
    <cellStyle name="20% - Accent1 2 10 4 4 2" xfId="22771"/>
    <cellStyle name="20% - Accent1 2 10 4 4 2 2" xfId="42735"/>
    <cellStyle name="20% - Accent1 2 10 4 4 3" xfId="29076"/>
    <cellStyle name="20% - Accent1 2 10 4 4 3 2" xfId="42736"/>
    <cellStyle name="20% - Accent1 2 10 4 4 4" xfId="29077"/>
    <cellStyle name="20% - Accent1 2 10 4 4 4 2" xfId="48767"/>
    <cellStyle name="20% - Accent1 2 10 4 4 5" xfId="36386"/>
    <cellStyle name="20% - Accent1 2 10 4 5" xfId="10971"/>
    <cellStyle name="20% - Accent1 2 10 4 5 2" xfId="22772"/>
    <cellStyle name="20% - Accent1 2 10 4 5 2 2" xfId="48768"/>
    <cellStyle name="20% - Accent1 2 10 4 5 3" xfId="36387"/>
    <cellStyle name="20% - Accent1 2 10 4 6" xfId="6092"/>
    <cellStyle name="20% - Accent1 2 10 4 6 2" xfId="42737"/>
    <cellStyle name="20% - Accent1 2 10 4 7" xfId="17893"/>
    <cellStyle name="20% - Accent1 2 10 4 7 2" xfId="48769"/>
    <cellStyle name="20% - Accent1 2 10 4 8" xfId="31508"/>
    <cellStyle name="20% - Accent1 2 10 5" xfId="879"/>
    <cellStyle name="20% - Accent1 2 10 5 2" xfId="963"/>
    <cellStyle name="20% - Accent1 2 10 5 2 2" xfId="4948"/>
    <cellStyle name="20% - Accent1 2 10 5 2 2 2" xfId="10972"/>
    <cellStyle name="20% - Accent1 2 10 5 2 2 2 2" xfId="22773"/>
    <cellStyle name="20% - Accent1 2 10 5 2 2 2 2 2" xfId="48770"/>
    <cellStyle name="20% - Accent1 2 10 5 2 2 2 3" xfId="36388"/>
    <cellStyle name="20% - Accent1 2 10 5 2 2 3" xfId="10401"/>
    <cellStyle name="20% - Accent1 2 10 5 2 2 3 2" xfId="42738"/>
    <cellStyle name="20% - Accent1 2 10 5 2 2 4" xfId="22202"/>
    <cellStyle name="20% - Accent1 2 10 5 2 2 4 2" xfId="48771"/>
    <cellStyle name="20% - Accent1 2 10 5 2 2 5" xfId="35817"/>
    <cellStyle name="20% - Accent1 2 10 5 2 3" xfId="10973"/>
    <cellStyle name="20% - Accent1 2 10 5 2 3 2" xfId="22774"/>
    <cellStyle name="20% - Accent1 2 10 5 2 3 2 2" xfId="42739"/>
    <cellStyle name="20% - Accent1 2 10 5 2 3 3" xfId="29078"/>
    <cellStyle name="20% - Accent1 2 10 5 2 3 3 2" xfId="42740"/>
    <cellStyle name="20% - Accent1 2 10 5 2 3 4" xfId="29079"/>
    <cellStyle name="20% - Accent1 2 10 5 2 3 4 2" xfId="48772"/>
    <cellStyle name="20% - Accent1 2 10 5 2 3 5" xfId="36389"/>
    <cellStyle name="20% - Accent1 2 10 5 2 4" xfId="10974"/>
    <cellStyle name="20% - Accent1 2 10 5 2 4 2" xfId="22775"/>
    <cellStyle name="20% - Accent1 2 10 5 2 4 2 2" xfId="48773"/>
    <cellStyle name="20% - Accent1 2 10 5 2 4 3" xfId="36390"/>
    <cellStyle name="20% - Accent1 2 10 5 2 5" xfId="6417"/>
    <cellStyle name="20% - Accent1 2 10 5 2 5 2" xfId="42741"/>
    <cellStyle name="20% - Accent1 2 10 5 2 6" xfId="18218"/>
    <cellStyle name="20% - Accent1 2 10 5 2 6 2" xfId="48774"/>
    <cellStyle name="20% - Accent1 2 10 5 2 7" xfId="31833"/>
    <cellStyle name="20% - Accent1 2 10 5 3" xfId="3107"/>
    <cellStyle name="20% - Accent1 2 10 5 3 2" xfId="10975"/>
    <cellStyle name="20% - Accent1 2 10 5 3 2 2" xfId="22776"/>
    <cellStyle name="20% - Accent1 2 10 5 3 2 2 2" xfId="48775"/>
    <cellStyle name="20% - Accent1 2 10 5 3 2 3" xfId="36391"/>
    <cellStyle name="20% - Accent1 2 10 5 3 3" xfId="8560"/>
    <cellStyle name="20% - Accent1 2 10 5 3 3 2" xfId="42742"/>
    <cellStyle name="20% - Accent1 2 10 5 3 4" xfId="20361"/>
    <cellStyle name="20% - Accent1 2 10 5 3 4 2" xfId="48776"/>
    <cellStyle name="20% - Accent1 2 10 5 3 5" xfId="33976"/>
    <cellStyle name="20% - Accent1 2 10 5 4" xfId="10976"/>
    <cellStyle name="20% - Accent1 2 10 5 4 2" xfId="22777"/>
    <cellStyle name="20% - Accent1 2 10 5 4 2 2" xfId="42743"/>
    <cellStyle name="20% - Accent1 2 10 5 4 3" xfId="29080"/>
    <cellStyle name="20% - Accent1 2 10 5 4 3 2" xfId="42744"/>
    <cellStyle name="20% - Accent1 2 10 5 4 4" xfId="29081"/>
    <cellStyle name="20% - Accent1 2 10 5 4 4 2" xfId="48777"/>
    <cellStyle name="20% - Accent1 2 10 5 4 5" xfId="36392"/>
    <cellStyle name="20% - Accent1 2 10 5 5" xfId="10977"/>
    <cellStyle name="20% - Accent1 2 10 5 5 2" xfId="22778"/>
    <cellStyle name="20% - Accent1 2 10 5 5 2 2" xfId="48778"/>
    <cellStyle name="20% - Accent1 2 10 5 5 3" xfId="36393"/>
    <cellStyle name="20% - Accent1 2 10 5 6" xfId="6333"/>
    <cellStyle name="20% - Accent1 2 10 5 6 2" xfId="42745"/>
    <cellStyle name="20% - Accent1 2 10 5 7" xfId="18134"/>
    <cellStyle name="20% - Accent1 2 10 5 7 2" xfId="48779"/>
    <cellStyle name="20% - Accent1 2 10 5 8" xfId="31749"/>
    <cellStyle name="20% - Accent1 2 10 6" xfId="964"/>
    <cellStyle name="20% - Accent1 2 10 6 2" xfId="3812"/>
    <cellStyle name="20% - Accent1 2 10 6 2 2" xfId="10978"/>
    <cellStyle name="20% - Accent1 2 10 6 2 2 2" xfId="22779"/>
    <cellStyle name="20% - Accent1 2 10 6 2 2 2 2" xfId="48780"/>
    <cellStyle name="20% - Accent1 2 10 6 2 2 3" xfId="36394"/>
    <cellStyle name="20% - Accent1 2 10 6 2 3" xfId="9265"/>
    <cellStyle name="20% - Accent1 2 10 6 2 3 2" xfId="42746"/>
    <cellStyle name="20% - Accent1 2 10 6 2 4" xfId="21066"/>
    <cellStyle name="20% - Accent1 2 10 6 2 4 2" xfId="48781"/>
    <cellStyle name="20% - Accent1 2 10 6 2 5" xfId="34681"/>
    <cellStyle name="20% - Accent1 2 10 6 3" xfId="10979"/>
    <cellStyle name="20% - Accent1 2 10 6 3 2" xfId="22780"/>
    <cellStyle name="20% - Accent1 2 10 6 3 2 2" xfId="42747"/>
    <cellStyle name="20% - Accent1 2 10 6 3 3" xfId="29082"/>
    <cellStyle name="20% - Accent1 2 10 6 3 3 2" xfId="42748"/>
    <cellStyle name="20% - Accent1 2 10 6 3 4" xfId="29083"/>
    <cellStyle name="20% - Accent1 2 10 6 3 4 2" xfId="48782"/>
    <cellStyle name="20% - Accent1 2 10 6 3 5" xfId="36395"/>
    <cellStyle name="20% - Accent1 2 10 6 4" xfId="10980"/>
    <cellStyle name="20% - Accent1 2 10 6 4 2" xfId="22781"/>
    <cellStyle name="20% - Accent1 2 10 6 4 2 2" xfId="48783"/>
    <cellStyle name="20% - Accent1 2 10 6 4 3" xfId="36396"/>
    <cellStyle name="20% - Accent1 2 10 6 5" xfId="6418"/>
    <cellStyle name="20% - Accent1 2 10 6 5 2" xfId="42749"/>
    <cellStyle name="20% - Accent1 2 10 6 6" xfId="18219"/>
    <cellStyle name="20% - Accent1 2 10 6 6 2" xfId="48784"/>
    <cellStyle name="20% - Accent1 2 10 6 7" xfId="31834"/>
    <cellStyle name="20% - Accent1 2 10 7" xfId="3675"/>
    <cellStyle name="20% - Accent1 2 10 7 2" xfId="10981"/>
    <cellStyle name="20% - Accent1 2 10 7 2 2" xfId="22782"/>
    <cellStyle name="20% - Accent1 2 10 7 2 2 2" xfId="48785"/>
    <cellStyle name="20% - Accent1 2 10 7 2 3" xfId="36397"/>
    <cellStyle name="20% - Accent1 2 10 7 3" xfId="9128"/>
    <cellStyle name="20% - Accent1 2 10 7 3 2" xfId="42750"/>
    <cellStyle name="20% - Accent1 2 10 7 4" xfId="20929"/>
    <cellStyle name="20% - Accent1 2 10 7 4 2" xfId="48786"/>
    <cellStyle name="20% - Accent1 2 10 7 5" xfId="34544"/>
    <cellStyle name="20% - Accent1 2 10 8" xfId="1971"/>
    <cellStyle name="20% - Accent1 2 10 8 2" xfId="10982"/>
    <cellStyle name="20% - Accent1 2 10 8 2 2" xfId="22783"/>
    <cellStyle name="20% - Accent1 2 10 8 2 2 2" xfId="48787"/>
    <cellStyle name="20% - Accent1 2 10 8 2 3" xfId="36398"/>
    <cellStyle name="20% - Accent1 2 10 8 3" xfId="7424"/>
    <cellStyle name="20% - Accent1 2 10 8 3 2" xfId="42751"/>
    <cellStyle name="20% - Accent1 2 10 8 4" xfId="19225"/>
    <cellStyle name="20% - Accent1 2 10 8 4 2" xfId="48788"/>
    <cellStyle name="20% - Accent1 2 10 8 5" xfId="32840"/>
    <cellStyle name="20% - Accent1 2 10 9" xfId="10983"/>
    <cellStyle name="20% - Accent1 2 10 9 2" xfId="22784"/>
    <cellStyle name="20% - Accent1 2 10 9 2 2" xfId="48789"/>
    <cellStyle name="20% - Accent1 2 10 9 3" xfId="36399"/>
    <cellStyle name="20% - Accent1 2 11" xfId="141"/>
    <cellStyle name="20% - Accent1 2 11 10" xfId="31011"/>
    <cellStyle name="20% - Accent1 2 11 2" xfId="293"/>
    <cellStyle name="20% - Accent1 2 11 2 2" xfId="965"/>
    <cellStyle name="20% - Accent1 2 11 2 2 2" xfId="4603"/>
    <cellStyle name="20% - Accent1 2 11 2 2 2 2" xfId="10984"/>
    <cellStyle name="20% - Accent1 2 11 2 2 2 2 2" xfId="22785"/>
    <cellStyle name="20% - Accent1 2 11 2 2 2 2 2 2" xfId="48790"/>
    <cellStyle name="20% - Accent1 2 11 2 2 2 2 3" xfId="36400"/>
    <cellStyle name="20% - Accent1 2 11 2 2 2 3" xfId="10056"/>
    <cellStyle name="20% - Accent1 2 11 2 2 2 3 2" xfId="42752"/>
    <cellStyle name="20% - Accent1 2 11 2 2 2 4" xfId="21857"/>
    <cellStyle name="20% - Accent1 2 11 2 2 2 4 2" xfId="48791"/>
    <cellStyle name="20% - Accent1 2 11 2 2 2 5" xfId="35472"/>
    <cellStyle name="20% - Accent1 2 11 2 2 3" xfId="2762"/>
    <cellStyle name="20% - Accent1 2 11 2 2 3 2" xfId="10985"/>
    <cellStyle name="20% - Accent1 2 11 2 2 3 2 2" xfId="22786"/>
    <cellStyle name="20% - Accent1 2 11 2 2 3 2 2 2" xfId="48792"/>
    <cellStyle name="20% - Accent1 2 11 2 2 3 2 3" xfId="36401"/>
    <cellStyle name="20% - Accent1 2 11 2 2 3 3" xfId="8215"/>
    <cellStyle name="20% - Accent1 2 11 2 2 3 3 2" xfId="42753"/>
    <cellStyle name="20% - Accent1 2 11 2 2 3 4" xfId="20016"/>
    <cellStyle name="20% - Accent1 2 11 2 2 3 4 2" xfId="48793"/>
    <cellStyle name="20% - Accent1 2 11 2 2 3 5" xfId="33631"/>
    <cellStyle name="20% - Accent1 2 11 2 2 4" xfId="10986"/>
    <cellStyle name="20% - Accent1 2 11 2 2 4 2" xfId="22787"/>
    <cellStyle name="20% - Accent1 2 11 2 2 4 2 2" xfId="48794"/>
    <cellStyle name="20% - Accent1 2 11 2 2 4 3" xfId="36402"/>
    <cellStyle name="20% - Accent1 2 11 2 2 5" xfId="6419"/>
    <cellStyle name="20% - Accent1 2 11 2 2 5 2" xfId="42754"/>
    <cellStyle name="20% - Accent1 2 11 2 2 6" xfId="18220"/>
    <cellStyle name="20% - Accent1 2 11 2 2 6 2" xfId="48795"/>
    <cellStyle name="20% - Accent1 2 11 2 2 7" xfId="31835"/>
    <cellStyle name="20% - Accent1 2 11 2 3" xfId="3330"/>
    <cellStyle name="20% - Accent1 2 11 2 3 2" xfId="5171"/>
    <cellStyle name="20% - Accent1 2 11 2 3 2 2" xfId="16641"/>
    <cellStyle name="20% - Accent1 2 11 2 3 2 2 2" xfId="28442"/>
    <cellStyle name="20% - Accent1 2 11 2 3 2 2 2 2" xfId="48796"/>
    <cellStyle name="20% - Accent1 2 11 2 3 2 2 3" xfId="42057"/>
    <cellStyle name="20% - Accent1 2 11 2 3 2 3" xfId="10624"/>
    <cellStyle name="20% - Accent1 2 11 2 3 2 3 2" xfId="48797"/>
    <cellStyle name="20% - Accent1 2 11 2 3 2 4" xfId="22425"/>
    <cellStyle name="20% - Accent1 2 11 2 3 2 4 2" xfId="48798"/>
    <cellStyle name="20% - Accent1 2 11 2 3 2 5" xfId="36040"/>
    <cellStyle name="20% - Accent1 2 11 2 3 3" xfId="10987"/>
    <cellStyle name="20% - Accent1 2 11 2 3 3 2" xfId="22788"/>
    <cellStyle name="20% - Accent1 2 11 2 3 3 2 2" xfId="48799"/>
    <cellStyle name="20% - Accent1 2 11 2 3 3 3" xfId="36403"/>
    <cellStyle name="20% - Accent1 2 11 2 3 4" xfId="8783"/>
    <cellStyle name="20% - Accent1 2 11 2 3 4 2" xfId="48800"/>
    <cellStyle name="20% - Accent1 2 11 2 3 5" xfId="20584"/>
    <cellStyle name="20% - Accent1 2 11 2 3 5 2" xfId="48801"/>
    <cellStyle name="20% - Accent1 2 11 2 3 6" xfId="34199"/>
    <cellStyle name="20% - Accent1 2 11 2 4" xfId="4035"/>
    <cellStyle name="20% - Accent1 2 11 2 4 2" xfId="10988"/>
    <cellStyle name="20% - Accent1 2 11 2 4 2 2" xfId="22789"/>
    <cellStyle name="20% - Accent1 2 11 2 4 2 2 2" xfId="48802"/>
    <cellStyle name="20% - Accent1 2 11 2 4 2 3" xfId="36404"/>
    <cellStyle name="20% - Accent1 2 11 2 4 3" xfId="9488"/>
    <cellStyle name="20% - Accent1 2 11 2 4 3 2" xfId="42755"/>
    <cellStyle name="20% - Accent1 2 11 2 4 4" xfId="21289"/>
    <cellStyle name="20% - Accent1 2 11 2 4 4 2" xfId="48803"/>
    <cellStyle name="20% - Accent1 2 11 2 4 5" xfId="34904"/>
    <cellStyle name="20% - Accent1 2 11 2 5" xfId="2194"/>
    <cellStyle name="20% - Accent1 2 11 2 5 2" xfId="16927"/>
    <cellStyle name="20% - Accent1 2 11 2 5 2 2" xfId="28728"/>
    <cellStyle name="20% - Accent1 2 11 2 5 2 2 2" xfId="48804"/>
    <cellStyle name="20% - Accent1 2 11 2 5 2 3" xfId="42343"/>
    <cellStyle name="20% - Accent1 2 11 2 5 3" xfId="7647"/>
    <cellStyle name="20% - Accent1 2 11 2 5 3 2" xfId="48805"/>
    <cellStyle name="20% - Accent1 2 11 2 5 4" xfId="19448"/>
    <cellStyle name="20% - Accent1 2 11 2 5 4 2" xfId="48806"/>
    <cellStyle name="20% - Accent1 2 11 2 5 5" xfId="33063"/>
    <cellStyle name="20% - Accent1 2 11 2 6" xfId="10989"/>
    <cellStyle name="20% - Accent1 2 11 2 6 2" xfId="22790"/>
    <cellStyle name="20% - Accent1 2 11 2 6 2 2" xfId="48807"/>
    <cellStyle name="20% - Accent1 2 11 2 6 3" xfId="36405"/>
    <cellStyle name="20% - Accent1 2 11 2 7" xfId="5747"/>
    <cellStyle name="20% - Accent1 2 11 2 7 2" xfId="48808"/>
    <cellStyle name="20% - Accent1 2 11 2 8" xfId="17548"/>
    <cellStyle name="20% - Accent1 2 11 2 8 2" xfId="48809"/>
    <cellStyle name="20% - Accent1 2 11 2 9" xfId="31163"/>
    <cellStyle name="20% - Accent1 2 11 3" xfId="709"/>
    <cellStyle name="20% - Accent1 2 11 3 2" xfId="966"/>
    <cellStyle name="20% - Accent1 2 11 3 2 2" xfId="4451"/>
    <cellStyle name="20% - Accent1 2 11 3 2 2 2" xfId="10990"/>
    <cellStyle name="20% - Accent1 2 11 3 2 2 2 2" xfId="22791"/>
    <cellStyle name="20% - Accent1 2 11 3 2 2 2 2 2" xfId="48810"/>
    <cellStyle name="20% - Accent1 2 11 3 2 2 2 3" xfId="36406"/>
    <cellStyle name="20% - Accent1 2 11 3 2 2 3" xfId="9904"/>
    <cellStyle name="20% - Accent1 2 11 3 2 2 3 2" xfId="42756"/>
    <cellStyle name="20% - Accent1 2 11 3 2 2 4" xfId="21705"/>
    <cellStyle name="20% - Accent1 2 11 3 2 2 4 2" xfId="48811"/>
    <cellStyle name="20% - Accent1 2 11 3 2 2 5" xfId="35320"/>
    <cellStyle name="20% - Accent1 2 11 3 2 3" xfId="10991"/>
    <cellStyle name="20% - Accent1 2 11 3 2 3 2" xfId="22792"/>
    <cellStyle name="20% - Accent1 2 11 3 2 3 2 2" xfId="42757"/>
    <cellStyle name="20% - Accent1 2 11 3 2 3 3" xfId="29084"/>
    <cellStyle name="20% - Accent1 2 11 3 2 3 3 2" xfId="42758"/>
    <cellStyle name="20% - Accent1 2 11 3 2 3 4" xfId="29085"/>
    <cellStyle name="20% - Accent1 2 11 3 2 3 4 2" xfId="48812"/>
    <cellStyle name="20% - Accent1 2 11 3 2 3 5" xfId="36407"/>
    <cellStyle name="20% - Accent1 2 11 3 2 4" xfId="10992"/>
    <cellStyle name="20% - Accent1 2 11 3 2 4 2" xfId="22793"/>
    <cellStyle name="20% - Accent1 2 11 3 2 4 2 2" xfId="48813"/>
    <cellStyle name="20% - Accent1 2 11 3 2 4 3" xfId="36408"/>
    <cellStyle name="20% - Accent1 2 11 3 2 5" xfId="6420"/>
    <cellStyle name="20% - Accent1 2 11 3 2 5 2" xfId="42759"/>
    <cellStyle name="20% - Accent1 2 11 3 2 6" xfId="18221"/>
    <cellStyle name="20% - Accent1 2 11 3 2 6 2" xfId="48814"/>
    <cellStyle name="20% - Accent1 2 11 3 2 7" xfId="31836"/>
    <cellStyle name="20% - Accent1 2 11 3 3" xfId="2610"/>
    <cellStyle name="20% - Accent1 2 11 3 3 2" xfId="10993"/>
    <cellStyle name="20% - Accent1 2 11 3 3 2 2" xfId="22794"/>
    <cellStyle name="20% - Accent1 2 11 3 3 2 2 2" xfId="48815"/>
    <cellStyle name="20% - Accent1 2 11 3 3 2 3" xfId="36409"/>
    <cellStyle name="20% - Accent1 2 11 3 3 3" xfId="8063"/>
    <cellStyle name="20% - Accent1 2 11 3 3 3 2" xfId="42760"/>
    <cellStyle name="20% - Accent1 2 11 3 3 4" xfId="19864"/>
    <cellStyle name="20% - Accent1 2 11 3 3 4 2" xfId="48816"/>
    <cellStyle name="20% - Accent1 2 11 3 3 5" xfId="33479"/>
    <cellStyle name="20% - Accent1 2 11 3 4" xfId="10994"/>
    <cellStyle name="20% - Accent1 2 11 3 4 2" xfId="22795"/>
    <cellStyle name="20% - Accent1 2 11 3 4 2 2" xfId="42761"/>
    <cellStyle name="20% - Accent1 2 11 3 4 3" xfId="29086"/>
    <cellStyle name="20% - Accent1 2 11 3 4 3 2" xfId="42762"/>
    <cellStyle name="20% - Accent1 2 11 3 4 4" xfId="29087"/>
    <cellStyle name="20% - Accent1 2 11 3 4 4 2" xfId="48817"/>
    <cellStyle name="20% - Accent1 2 11 3 4 5" xfId="36410"/>
    <cellStyle name="20% - Accent1 2 11 3 5" xfId="10995"/>
    <cellStyle name="20% - Accent1 2 11 3 5 2" xfId="22796"/>
    <cellStyle name="20% - Accent1 2 11 3 5 2 2" xfId="48818"/>
    <cellStyle name="20% - Accent1 2 11 3 5 3" xfId="36411"/>
    <cellStyle name="20% - Accent1 2 11 3 6" xfId="6163"/>
    <cellStyle name="20% - Accent1 2 11 3 6 2" xfId="42763"/>
    <cellStyle name="20% - Accent1 2 11 3 7" xfId="17964"/>
    <cellStyle name="20% - Accent1 2 11 3 7 2" xfId="48819"/>
    <cellStyle name="20% - Accent1 2 11 3 8" xfId="31579"/>
    <cellStyle name="20% - Accent1 2 11 4" xfId="967"/>
    <cellStyle name="20% - Accent1 2 11 4 2" xfId="5019"/>
    <cellStyle name="20% - Accent1 2 11 4 2 2" xfId="10996"/>
    <cellStyle name="20% - Accent1 2 11 4 2 2 2" xfId="22797"/>
    <cellStyle name="20% - Accent1 2 11 4 2 2 2 2" xfId="48820"/>
    <cellStyle name="20% - Accent1 2 11 4 2 2 3" xfId="36412"/>
    <cellStyle name="20% - Accent1 2 11 4 2 3" xfId="10472"/>
    <cellStyle name="20% - Accent1 2 11 4 2 3 2" xfId="42764"/>
    <cellStyle name="20% - Accent1 2 11 4 2 4" xfId="22273"/>
    <cellStyle name="20% - Accent1 2 11 4 2 4 2" xfId="48821"/>
    <cellStyle name="20% - Accent1 2 11 4 2 5" xfId="35888"/>
    <cellStyle name="20% - Accent1 2 11 4 3" xfId="3178"/>
    <cellStyle name="20% - Accent1 2 11 4 3 2" xfId="10997"/>
    <cellStyle name="20% - Accent1 2 11 4 3 2 2" xfId="22798"/>
    <cellStyle name="20% - Accent1 2 11 4 3 2 2 2" xfId="48822"/>
    <cellStyle name="20% - Accent1 2 11 4 3 2 3" xfId="36413"/>
    <cellStyle name="20% - Accent1 2 11 4 3 3" xfId="8631"/>
    <cellStyle name="20% - Accent1 2 11 4 3 3 2" xfId="42765"/>
    <cellStyle name="20% - Accent1 2 11 4 3 4" xfId="20432"/>
    <cellStyle name="20% - Accent1 2 11 4 3 4 2" xfId="48823"/>
    <cellStyle name="20% - Accent1 2 11 4 3 5" xfId="34047"/>
    <cellStyle name="20% - Accent1 2 11 4 4" xfId="10998"/>
    <cellStyle name="20% - Accent1 2 11 4 4 2" xfId="22799"/>
    <cellStyle name="20% - Accent1 2 11 4 4 2 2" xfId="48824"/>
    <cellStyle name="20% - Accent1 2 11 4 4 3" xfId="36414"/>
    <cellStyle name="20% - Accent1 2 11 4 5" xfId="6421"/>
    <cellStyle name="20% - Accent1 2 11 4 5 2" xfId="42766"/>
    <cellStyle name="20% - Accent1 2 11 4 6" xfId="18222"/>
    <cellStyle name="20% - Accent1 2 11 4 6 2" xfId="48825"/>
    <cellStyle name="20% - Accent1 2 11 4 7" xfId="31837"/>
    <cellStyle name="20% - Accent1 2 11 5" xfId="3883"/>
    <cellStyle name="20% - Accent1 2 11 5 2" xfId="10999"/>
    <cellStyle name="20% - Accent1 2 11 5 2 2" xfId="22800"/>
    <cellStyle name="20% - Accent1 2 11 5 2 2 2" xfId="48826"/>
    <cellStyle name="20% - Accent1 2 11 5 2 3" xfId="36415"/>
    <cellStyle name="20% - Accent1 2 11 5 3" xfId="9336"/>
    <cellStyle name="20% - Accent1 2 11 5 3 2" xfId="42767"/>
    <cellStyle name="20% - Accent1 2 11 5 4" xfId="21137"/>
    <cellStyle name="20% - Accent1 2 11 5 4 2" xfId="48827"/>
    <cellStyle name="20% - Accent1 2 11 5 5" xfId="34752"/>
    <cellStyle name="20% - Accent1 2 11 6" xfId="2042"/>
    <cellStyle name="20% - Accent1 2 11 6 2" xfId="11000"/>
    <cellStyle name="20% - Accent1 2 11 6 2 2" xfId="22801"/>
    <cellStyle name="20% - Accent1 2 11 6 2 2 2" xfId="48828"/>
    <cellStyle name="20% - Accent1 2 11 6 2 3" xfId="36416"/>
    <cellStyle name="20% - Accent1 2 11 6 3" xfId="7495"/>
    <cellStyle name="20% - Accent1 2 11 6 3 2" xfId="42768"/>
    <cellStyle name="20% - Accent1 2 11 6 4" xfId="19296"/>
    <cellStyle name="20% - Accent1 2 11 6 4 2" xfId="48829"/>
    <cellStyle name="20% - Accent1 2 11 6 5" xfId="32911"/>
    <cellStyle name="20% - Accent1 2 11 7" xfId="11001"/>
    <cellStyle name="20% - Accent1 2 11 7 2" xfId="22802"/>
    <cellStyle name="20% - Accent1 2 11 7 2 2" xfId="48830"/>
    <cellStyle name="20% - Accent1 2 11 7 3" xfId="36417"/>
    <cellStyle name="20% - Accent1 2 11 8" xfId="5595"/>
    <cellStyle name="20% - Accent1 2 11 8 2" xfId="42769"/>
    <cellStyle name="20% - Accent1 2 11 9" xfId="17396"/>
    <cellStyle name="20% - Accent1 2 11 9 2" xfId="48831"/>
    <cellStyle name="20% - Accent1 2 12" xfId="242"/>
    <cellStyle name="20% - Accent1 2 12 10" xfId="17497"/>
    <cellStyle name="20% - Accent1 2 12 10 2" xfId="48832"/>
    <cellStyle name="20% - Accent1 2 12 11" xfId="31112"/>
    <cellStyle name="20% - Accent1 2 12 2" xfId="568"/>
    <cellStyle name="20% - Accent1 2 12 2 2" xfId="968"/>
    <cellStyle name="20% - Accent1 2 12 2 2 2" xfId="4878"/>
    <cellStyle name="20% - Accent1 2 12 2 2 2 2" xfId="11002"/>
    <cellStyle name="20% - Accent1 2 12 2 2 2 2 2" xfId="22803"/>
    <cellStyle name="20% - Accent1 2 12 2 2 2 2 2 2" xfId="48833"/>
    <cellStyle name="20% - Accent1 2 12 2 2 2 2 3" xfId="36418"/>
    <cellStyle name="20% - Accent1 2 12 2 2 2 3" xfId="10331"/>
    <cellStyle name="20% - Accent1 2 12 2 2 2 3 2" xfId="42770"/>
    <cellStyle name="20% - Accent1 2 12 2 2 2 4" xfId="22132"/>
    <cellStyle name="20% - Accent1 2 12 2 2 2 4 2" xfId="48834"/>
    <cellStyle name="20% - Accent1 2 12 2 2 2 5" xfId="35747"/>
    <cellStyle name="20% - Accent1 2 12 2 2 3" xfId="3037"/>
    <cellStyle name="20% - Accent1 2 12 2 2 3 2" xfId="11003"/>
    <cellStyle name="20% - Accent1 2 12 2 2 3 2 2" xfId="22804"/>
    <cellStyle name="20% - Accent1 2 12 2 2 3 2 2 2" xfId="48835"/>
    <cellStyle name="20% - Accent1 2 12 2 2 3 2 3" xfId="36419"/>
    <cellStyle name="20% - Accent1 2 12 2 2 3 3" xfId="8490"/>
    <cellStyle name="20% - Accent1 2 12 2 2 3 3 2" xfId="42771"/>
    <cellStyle name="20% - Accent1 2 12 2 2 3 4" xfId="20291"/>
    <cellStyle name="20% - Accent1 2 12 2 2 3 4 2" xfId="48836"/>
    <cellStyle name="20% - Accent1 2 12 2 2 3 5" xfId="33906"/>
    <cellStyle name="20% - Accent1 2 12 2 2 4" xfId="11004"/>
    <cellStyle name="20% - Accent1 2 12 2 2 4 2" xfId="22805"/>
    <cellStyle name="20% - Accent1 2 12 2 2 4 2 2" xfId="48837"/>
    <cellStyle name="20% - Accent1 2 12 2 2 4 3" xfId="36420"/>
    <cellStyle name="20% - Accent1 2 12 2 2 5" xfId="6422"/>
    <cellStyle name="20% - Accent1 2 12 2 2 5 2" xfId="42772"/>
    <cellStyle name="20% - Accent1 2 12 2 2 6" xfId="18223"/>
    <cellStyle name="20% - Accent1 2 12 2 2 6 2" xfId="48838"/>
    <cellStyle name="20% - Accent1 2 12 2 2 7" xfId="31838"/>
    <cellStyle name="20% - Accent1 2 12 2 3" xfId="3605"/>
    <cellStyle name="20% - Accent1 2 12 2 3 2" xfId="5446"/>
    <cellStyle name="20% - Accent1 2 12 2 3 2 2" xfId="16916"/>
    <cellStyle name="20% - Accent1 2 12 2 3 2 2 2" xfId="28717"/>
    <cellStyle name="20% - Accent1 2 12 2 3 2 2 2 2" xfId="48839"/>
    <cellStyle name="20% - Accent1 2 12 2 3 2 2 3" xfId="42332"/>
    <cellStyle name="20% - Accent1 2 12 2 3 2 3" xfId="10899"/>
    <cellStyle name="20% - Accent1 2 12 2 3 2 3 2" xfId="48840"/>
    <cellStyle name="20% - Accent1 2 12 2 3 2 4" xfId="22700"/>
    <cellStyle name="20% - Accent1 2 12 2 3 2 4 2" xfId="48841"/>
    <cellStyle name="20% - Accent1 2 12 2 3 2 5" xfId="36315"/>
    <cellStyle name="20% - Accent1 2 12 2 3 3" xfId="11005"/>
    <cellStyle name="20% - Accent1 2 12 2 3 3 2" xfId="22806"/>
    <cellStyle name="20% - Accent1 2 12 2 3 3 2 2" xfId="48842"/>
    <cellStyle name="20% - Accent1 2 12 2 3 3 3" xfId="36421"/>
    <cellStyle name="20% - Accent1 2 12 2 3 4" xfId="9058"/>
    <cellStyle name="20% - Accent1 2 12 2 3 4 2" xfId="48843"/>
    <cellStyle name="20% - Accent1 2 12 2 3 5" xfId="20859"/>
    <cellStyle name="20% - Accent1 2 12 2 3 5 2" xfId="48844"/>
    <cellStyle name="20% - Accent1 2 12 2 3 6" xfId="34474"/>
    <cellStyle name="20% - Accent1 2 12 2 4" xfId="4310"/>
    <cellStyle name="20% - Accent1 2 12 2 4 2" xfId="11006"/>
    <cellStyle name="20% - Accent1 2 12 2 4 2 2" xfId="22807"/>
    <cellStyle name="20% - Accent1 2 12 2 4 2 2 2" xfId="48845"/>
    <cellStyle name="20% - Accent1 2 12 2 4 2 3" xfId="36422"/>
    <cellStyle name="20% - Accent1 2 12 2 4 3" xfId="9763"/>
    <cellStyle name="20% - Accent1 2 12 2 4 3 2" xfId="42773"/>
    <cellStyle name="20% - Accent1 2 12 2 4 4" xfId="21564"/>
    <cellStyle name="20% - Accent1 2 12 2 4 4 2" xfId="48846"/>
    <cellStyle name="20% - Accent1 2 12 2 4 5" xfId="35179"/>
    <cellStyle name="20% - Accent1 2 12 2 5" xfId="2469"/>
    <cellStyle name="20% - Accent1 2 12 2 5 2" xfId="16928"/>
    <cellStyle name="20% - Accent1 2 12 2 5 2 2" xfId="28729"/>
    <cellStyle name="20% - Accent1 2 12 2 5 2 2 2" xfId="48847"/>
    <cellStyle name="20% - Accent1 2 12 2 5 2 3" xfId="42344"/>
    <cellStyle name="20% - Accent1 2 12 2 5 3" xfId="7922"/>
    <cellStyle name="20% - Accent1 2 12 2 5 3 2" xfId="48848"/>
    <cellStyle name="20% - Accent1 2 12 2 5 4" xfId="19723"/>
    <cellStyle name="20% - Accent1 2 12 2 5 4 2" xfId="48849"/>
    <cellStyle name="20% - Accent1 2 12 2 5 5" xfId="33338"/>
    <cellStyle name="20% - Accent1 2 12 2 6" xfId="11007"/>
    <cellStyle name="20% - Accent1 2 12 2 6 2" xfId="22808"/>
    <cellStyle name="20% - Accent1 2 12 2 6 2 2" xfId="48850"/>
    <cellStyle name="20% - Accent1 2 12 2 6 3" xfId="36423"/>
    <cellStyle name="20% - Accent1 2 12 2 7" xfId="6022"/>
    <cellStyle name="20% - Accent1 2 12 2 7 2" xfId="48851"/>
    <cellStyle name="20% - Accent1 2 12 2 8" xfId="17823"/>
    <cellStyle name="20% - Accent1 2 12 2 8 2" xfId="48852"/>
    <cellStyle name="20% - Accent1 2 12 2 9" xfId="31438"/>
    <cellStyle name="20% - Accent1 2 12 3" xfId="430"/>
    <cellStyle name="20% - Accent1 2 12 3 2" xfId="969"/>
    <cellStyle name="20% - Accent1 2 12 3 2 2" xfId="4740"/>
    <cellStyle name="20% - Accent1 2 12 3 2 2 2" xfId="11008"/>
    <cellStyle name="20% - Accent1 2 12 3 2 2 2 2" xfId="22809"/>
    <cellStyle name="20% - Accent1 2 12 3 2 2 2 2 2" xfId="48853"/>
    <cellStyle name="20% - Accent1 2 12 3 2 2 2 3" xfId="36424"/>
    <cellStyle name="20% - Accent1 2 12 3 2 2 3" xfId="10193"/>
    <cellStyle name="20% - Accent1 2 12 3 2 2 3 2" xfId="42774"/>
    <cellStyle name="20% - Accent1 2 12 3 2 2 4" xfId="21994"/>
    <cellStyle name="20% - Accent1 2 12 3 2 2 4 2" xfId="48854"/>
    <cellStyle name="20% - Accent1 2 12 3 2 2 5" xfId="35609"/>
    <cellStyle name="20% - Accent1 2 12 3 2 3" xfId="2899"/>
    <cellStyle name="20% - Accent1 2 12 3 2 3 2" xfId="11009"/>
    <cellStyle name="20% - Accent1 2 12 3 2 3 2 2" xfId="22810"/>
    <cellStyle name="20% - Accent1 2 12 3 2 3 2 2 2" xfId="48855"/>
    <cellStyle name="20% - Accent1 2 12 3 2 3 2 3" xfId="36425"/>
    <cellStyle name="20% - Accent1 2 12 3 2 3 3" xfId="8352"/>
    <cellStyle name="20% - Accent1 2 12 3 2 3 3 2" xfId="42775"/>
    <cellStyle name="20% - Accent1 2 12 3 2 3 4" xfId="20153"/>
    <cellStyle name="20% - Accent1 2 12 3 2 3 4 2" xfId="48856"/>
    <cellStyle name="20% - Accent1 2 12 3 2 3 5" xfId="33768"/>
    <cellStyle name="20% - Accent1 2 12 3 2 4" xfId="11010"/>
    <cellStyle name="20% - Accent1 2 12 3 2 4 2" xfId="22811"/>
    <cellStyle name="20% - Accent1 2 12 3 2 4 2 2" xfId="48857"/>
    <cellStyle name="20% - Accent1 2 12 3 2 4 3" xfId="36426"/>
    <cellStyle name="20% - Accent1 2 12 3 2 5" xfId="6423"/>
    <cellStyle name="20% - Accent1 2 12 3 2 5 2" xfId="42776"/>
    <cellStyle name="20% - Accent1 2 12 3 2 6" xfId="18224"/>
    <cellStyle name="20% - Accent1 2 12 3 2 6 2" xfId="48858"/>
    <cellStyle name="20% - Accent1 2 12 3 2 7" xfId="31839"/>
    <cellStyle name="20% - Accent1 2 12 3 3" xfId="3467"/>
    <cellStyle name="20% - Accent1 2 12 3 3 2" xfId="5308"/>
    <cellStyle name="20% - Accent1 2 12 3 3 2 2" xfId="16778"/>
    <cellStyle name="20% - Accent1 2 12 3 3 2 2 2" xfId="28579"/>
    <cellStyle name="20% - Accent1 2 12 3 3 2 2 2 2" xfId="48859"/>
    <cellStyle name="20% - Accent1 2 12 3 3 2 2 3" xfId="42194"/>
    <cellStyle name="20% - Accent1 2 12 3 3 2 3" xfId="10761"/>
    <cellStyle name="20% - Accent1 2 12 3 3 2 3 2" xfId="48860"/>
    <cellStyle name="20% - Accent1 2 12 3 3 2 4" xfId="22562"/>
    <cellStyle name="20% - Accent1 2 12 3 3 2 4 2" xfId="48861"/>
    <cellStyle name="20% - Accent1 2 12 3 3 2 5" xfId="36177"/>
    <cellStyle name="20% - Accent1 2 12 3 3 3" xfId="11011"/>
    <cellStyle name="20% - Accent1 2 12 3 3 3 2" xfId="22812"/>
    <cellStyle name="20% - Accent1 2 12 3 3 3 2 2" xfId="48862"/>
    <cellStyle name="20% - Accent1 2 12 3 3 3 3" xfId="36427"/>
    <cellStyle name="20% - Accent1 2 12 3 3 4" xfId="8920"/>
    <cellStyle name="20% - Accent1 2 12 3 3 4 2" xfId="48863"/>
    <cellStyle name="20% - Accent1 2 12 3 3 5" xfId="20721"/>
    <cellStyle name="20% - Accent1 2 12 3 3 5 2" xfId="48864"/>
    <cellStyle name="20% - Accent1 2 12 3 3 6" xfId="34336"/>
    <cellStyle name="20% - Accent1 2 12 3 4" xfId="4172"/>
    <cellStyle name="20% - Accent1 2 12 3 4 2" xfId="11012"/>
    <cellStyle name="20% - Accent1 2 12 3 4 2 2" xfId="22813"/>
    <cellStyle name="20% - Accent1 2 12 3 4 2 2 2" xfId="48865"/>
    <cellStyle name="20% - Accent1 2 12 3 4 2 3" xfId="36428"/>
    <cellStyle name="20% - Accent1 2 12 3 4 3" xfId="9625"/>
    <cellStyle name="20% - Accent1 2 12 3 4 3 2" xfId="42777"/>
    <cellStyle name="20% - Accent1 2 12 3 4 4" xfId="21426"/>
    <cellStyle name="20% - Accent1 2 12 3 4 4 2" xfId="48866"/>
    <cellStyle name="20% - Accent1 2 12 3 4 5" xfId="35041"/>
    <cellStyle name="20% - Accent1 2 12 3 5" xfId="2331"/>
    <cellStyle name="20% - Accent1 2 12 3 5 2" xfId="16929"/>
    <cellStyle name="20% - Accent1 2 12 3 5 2 2" xfId="28730"/>
    <cellStyle name="20% - Accent1 2 12 3 5 2 2 2" xfId="48867"/>
    <cellStyle name="20% - Accent1 2 12 3 5 2 3" xfId="42345"/>
    <cellStyle name="20% - Accent1 2 12 3 5 3" xfId="7784"/>
    <cellStyle name="20% - Accent1 2 12 3 5 3 2" xfId="48868"/>
    <cellStyle name="20% - Accent1 2 12 3 5 4" xfId="19585"/>
    <cellStyle name="20% - Accent1 2 12 3 5 4 2" xfId="48869"/>
    <cellStyle name="20% - Accent1 2 12 3 5 5" xfId="33200"/>
    <cellStyle name="20% - Accent1 2 12 3 6" xfId="11013"/>
    <cellStyle name="20% - Accent1 2 12 3 6 2" xfId="22814"/>
    <cellStyle name="20% - Accent1 2 12 3 6 2 2" xfId="48870"/>
    <cellStyle name="20% - Accent1 2 12 3 6 3" xfId="36429"/>
    <cellStyle name="20% - Accent1 2 12 3 7" xfId="5884"/>
    <cellStyle name="20% - Accent1 2 12 3 7 2" xfId="48871"/>
    <cellStyle name="20% - Accent1 2 12 3 8" xfId="17685"/>
    <cellStyle name="20% - Accent1 2 12 3 8 2" xfId="48872"/>
    <cellStyle name="20% - Accent1 2 12 3 9" xfId="31300"/>
    <cellStyle name="20% - Accent1 2 12 4" xfId="810"/>
    <cellStyle name="20% - Accent1 2 12 4 2" xfId="970"/>
    <cellStyle name="20% - Accent1 2 12 4 2 2" xfId="4552"/>
    <cellStyle name="20% - Accent1 2 12 4 2 2 2" xfId="11014"/>
    <cellStyle name="20% - Accent1 2 12 4 2 2 2 2" xfId="22815"/>
    <cellStyle name="20% - Accent1 2 12 4 2 2 2 2 2" xfId="48873"/>
    <cellStyle name="20% - Accent1 2 12 4 2 2 2 3" xfId="36430"/>
    <cellStyle name="20% - Accent1 2 12 4 2 2 3" xfId="10005"/>
    <cellStyle name="20% - Accent1 2 12 4 2 2 3 2" xfId="42778"/>
    <cellStyle name="20% - Accent1 2 12 4 2 2 4" xfId="21806"/>
    <cellStyle name="20% - Accent1 2 12 4 2 2 4 2" xfId="48874"/>
    <cellStyle name="20% - Accent1 2 12 4 2 2 5" xfId="35421"/>
    <cellStyle name="20% - Accent1 2 12 4 2 3" xfId="11015"/>
    <cellStyle name="20% - Accent1 2 12 4 2 3 2" xfId="22816"/>
    <cellStyle name="20% - Accent1 2 12 4 2 3 2 2" xfId="42779"/>
    <cellStyle name="20% - Accent1 2 12 4 2 3 3" xfId="29088"/>
    <cellStyle name="20% - Accent1 2 12 4 2 3 3 2" xfId="42780"/>
    <cellStyle name="20% - Accent1 2 12 4 2 3 4" xfId="29089"/>
    <cellStyle name="20% - Accent1 2 12 4 2 3 4 2" xfId="48875"/>
    <cellStyle name="20% - Accent1 2 12 4 2 3 5" xfId="36431"/>
    <cellStyle name="20% - Accent1 2 12 4 2 4" xfId="11016"/>
    <cellStyle name="20% - Accent1 2 12 4 2 4 2" xfId="22817"/>
    <cellStyle name="20% - Accent1 2 12 4 2 4 2 2" xfId="48876"/>
    <cellStyle name="20% - Accent1 2 12 4 2 4 3" xfId="36432"/>
    <cellStyle name="20% - Accent1 2 12 4 2 5" xfId="6424"/>
    <cellStyle name="20% - Accent1 2 12 4 2 5 2" xfId="42781"/>
    <cellStyle name="20% - Accent1 2 12 4 2 6" xfId="18225"/>
    <cellStyle name="20% - Accent1 2 12 4 2 6 2" xfId="48877"/>
    <cellStyle name="20% - Accent1 2 12 4 2 7" xfId="31840"/>
    <cellStyle name="20% - Accent1 2 12 4 3" xfId="2711"/>
    <cellStyle name="20% - Accent1 2 12 4 3 2" xfId="11017"/>
    <cellStyle name="20% - Accent1 2 12 4 3 2 2" xfId="22818"/>
    <cellStyle name="20% - Accent1 2 12 4 3 2 2 2" xfId="48878"/>
    <cellStyle name="20% - Accent1 2 12 4 3 2 3" xfId="36433"/>
    <cellStyle name="20% - Accent1 2 12 4 3 3" xfId="8164"/>
    <cellStyle name="20% - Accent1 2 12 4 3 3 2" xfId="42782"/>
    <cellStyle name="20% - Accent1 2 12 4 3 4" xfId="19965"/>
    <cellStyle name="20% - Accent1 2 12 4 3 4 2" xfId="48879"/>
    <cellStyle name="20% - Accent1 2 12 4 3 5" xfId="33580"/>
    <cellStyle name="20% - Accent1 2 12 4 4" xfId="11018"/>
    <cellStyle name="20% - Accent1 2 12 4 4 2" xfId="22819"/>
    <cellStyle name="20% - Accent1 2 12 4 4 2 2" xfId="42783"/>
    <cellStyle name="20% - Accent1 2 12 4 4 3" xfId="29090"/>
    <cellStyle name="20% - Accent1 2 12 4 4 3 2" xfId="42784"/>
    <cellStyle name="20% - Accent1 2 12 4 4 4" xfId="29091"/>
    <cellStyle name="20% - Accent1 2 12 4 4 4 2" xfId="48880"/>
    <cellStyle name="20% - Accent1 2 12 4 4 5" xfId="36434"/>
    <cellStyle name="20% - Accent1 2 12 4 5" xfId="11019"/>
    <cellStyle name="20% - Accent1 2 12 4 5 2" xfId="22820"/>
    <cellStyle name="20% - Accent1 2 12 4 5 2 2" xfId="48881"/>
    <cellStyle name="20% - Accent1 2 12 4 5 3" xfId="36435"/>
    <cellStyle name="20% - Accent1 2 12 4 6" xfId="6264"/>
    <cellStyle name="20% - Accent1 2 12 4 6 2" xfId="42785"/>
    <cellStyle name="20% - Accent1 2 12 4 7" xfId="18065"/>
    <cellStyle name="20% - Accent1 2 12 4 7 2" xfId="48882"/>
    <cellStyle name="20% - Accent1 2 12 4 8" xfId="31680"/>
    <cellStyle name="20% - Accent1 2 12 5" xfId="971"/>
    <cellStyle name="20% - Accent1 2 12 5 2" xfId="5120"/>
    <cellStyle name="20% - Accent1 2 12 5 2 2" xfId="11020"/>
    <cellStyle name="20% - Accent1 2 12 5 2 2 2" xfId="22821"/>
    <cellStyle name="20% - Accent1 2 12 5 2 2 2 2" xfId="48883"/>
    <cellStyle name="20% - Accent1 2 12 5 2 2 3" xfId="36436"/>
    <cellStyle name="20% - Accent1 2 12 5 2 3" xfId="10573"/>
    <cellStyle name="20% - Accent1 2 12 5 2 3 2" xfId="42786"/>
    <cellStyle name="20% - Accent1 2 12 5 2 4" xfId="22374"/>
    <cellStyle name="20% - Accent1 2 12 5 2 4 2" xfId="48884"/>
    <cellStyle name="20% - Accent1 2 12 5 2 5" xfId="35989"/>
    <cellStyle name="20% - Accent1 2 12 5 3" xfId="3279"/>
    <cellStyle name="20% - Accent1 2 12 5 3 2" xfId="11021"/>
    <cellStyle name="20% - Accent1 2 12 5 3 2 2" xfId="22822"/>
    <cellStyle name="20% - Accent1 2 12 5 3 2 2 2" xfId="48885"/>
    <cellStyle name="20% - Accent1 2 12 5 3 2 3" xfId="36437"/>
    <cellStyle name="20% - Accent1 2 12 5 3 3" xfId="8732"/>
    <cellStyle name="20% - Accent1 2 12 5 3 3 2" xfId="42787"/>
    <cellStyle name="20% - Accent1 2 12 5 3 4" xfId="20533"/>
    <cellStyle name="20% - Accent1 2 12 5 3 4 2" xfId="48886"/>
    <cellStyle name="20% - Accent1 2 12 5 3 5" xfId="34148"/>
    <cellStyle name="20% - Accent1 2 12 5 4" xfId="11022"/>
    <cellStyle name="20% - Accent1 2 12 5 4 2" xfId="22823"/>
    <cellStyle name="20% - Accent1 2 12 5 4 2 2" xfId="48887"/>
    <cellStyle name="20% - Accent1 2 12 5 4 3" xfId="36438"/>
    <cellStyle name="20% - Accent1 2 12 5 5" xfId="6425"/>
    <cellStyle name="20% - Accent1 2 12 5 5 2" xfId="42788"/>
    <cellStyle name="20% - Accent1 2 12 5 6" xfId="18226"/>
    <cellStyle name="20% - Accent1 2 12 5 6 2" xfId="48888"/>
    <cellStyle name="20% - Accent1 2 12 5 7" xfId="31841"/>
    <cellStyle name="20% - Accent1 2 12 6" xfId="3984"/>
    <cellStyle name="20% - Accent1 2 12 6 2" xfId="11023"/>
    <cellStyle name="20% - Accent1 2 12 6 2 2" xfId="22824"/>
    <cellStyle name="20% - Accent1 2 12 6 2 2 2" xfId="48889"/>
    <cellStyle name="20% - Accent1 2 12 6 2 3" xfId="36439"/>
    <cellStyle name="20% - Accent1 2 12 6 3" xfId="9437"/>
    <cellStyle name="20% - Accent1 2 12 6 3 2" xfId="42789"/>
    <cellStyle name="20% - Accent1 2 12 6 4" xfId="21238"/>
    <cellStyle name="20% - Accent1 2 12 6 4 2" xfId="48890"/>
    <cellStyle name="20% - Accent1 2 12 6 5" xfId="34853"/>
    <cellStyle name="20% - Accent1 2 12 7" xfId="2143"/>
    <cellStyle name="20% - Accent1 2 12 7 2" xfId="11024"/>
    <cellStyle name="20% - Accent1 2 12 7 2 2" xfId="22825"/>
    <cellStyle name="20% - Accent1 2 12 7 2 2 2" xfId="48891"/>
    <cellStyle name="20% - Accent1 2 12 7 2 3" xfId="36440"/>
    <cellStyle name="20% - Accent1 2 12 7 3" xfId="7596"/>
    <cellStyle name="20% - Accent1 2 12 7 3 2" xfId="42790"/>
    <cellStyle name="20% - Accent1 2 12 7 4" xfId="19397"/>
    <cellStyle name="20% - Accent1 2 12 7 4 2" xfId="48892"/>
    <cellStyle name="20% - Accent1 2 12 7 5" xfId="33012"/>
    <cellStyle name="20% - Accent1 2 12 8" xfId="11025"/>
    <cellStyle name="20% - Accent1 2 12 8 2" xfId="22826"/>
    <cellStyle name="20% - Accent1 2 12 8 2 2" xfId="48893"/>
    <cellStyle name="20% - Accent1 2 12 8 3" xfId="36441"/>
    <cellStyle name="20% - Accent1 2 12 9" xfId="5696"/>
    <cellStyle name="20% - Accent1 2 12 9 2" xfId="42791"/>
    <cellStyle name="20% - Accent1 2 13" xfId="244"/>
    <cellStyle name="20% - Accent1 2 13 2" xfId="972"/>
    <cellStyle name="20% - Accent1 2 13 2 2" xfId="4554"/>
    <cellStyle name="20% - Accent1 2 13 2 2 2" xfId="11026"/>
    <cellStyle name="20% - Accent1 2 13 2 2 2 2" xfId="22827"/>
    <cellStyle name="20% - Accent1 2 13 2 2 2 2 2" xfId="48894"/>
    <cellStyle name="20% - Accent1 2 13 2 2 2 3" xfId="36442"/>
    <cellStyle name="20% - Accent1 2 13 2 2 3" xfId="10007"/>
    <cellStyle name="20% - Accent1 2 13 2 2 3 2" xfId="42792"/>
    <cellStyle name="20% - Accent1 2 13 2 2 4" xfId="21808"/>
    <cellStyle name="20% - Accent1 2 13 2 2 4 2" xfId="48895"/>
    <cellStyle name="20% - Accent1 2 13 2 2 5" xfId="35423"/>
    <cellStyle name="20% - Accent1 2 13 2 3" xfId="2713"/>
    <cellStyle name="20% - Accent1 2 13 2 3 2" xfId="11027"/>
    <cellStyle name="20% - Accent1 2 13 2 3 2 2" xfId="22828"/>
    <cellStyle name="20% - Accent1 2 13 2 3 2 2 2" xfId="48896"/>
    <cellStyle name="20% - Accent1 2 13 2 3 2 3" xfId="36443"/>
    <cellStyle name="20% - Accent1 2 13 2 3 3" xfId="8166"/>
    <cellStyle name="20% - Accent1 2 13 2 3 3 2" xfId="42793"/>
    <cellStyle name="20% - Accent1 2 13 2 3 4" xfId="19967"/>
    <cellStyle name="20% - Accent1 2 13 2 3 4 2" xfId="48897"/>
    <cellStyle name="20% - Accent1 2 13 2 3 5" xfId="33582"/>
    <cellStyle name="20% - Accent1 2 13 2 4" xfId="11028"/>
    <cellStyle name="20% - Accent1 2 13 2 4 2" xfId="22829"/>
    <cellStyle name="20% - Accent1 2 13 2 4 2 2" xfId="48898"/>
    <cellStyle name="20% - Accent1 2 13 2 4 3" xfId="36444"/>
    <cellStyle name="20% - Accent1 2 13 2 5" xfId="6426"/>
    <cellStyle name="20% - Accent1 2 13 2 5 2" xfId="42794"/>
    <cellStyle name="20% - Accent1 2 13 2 6" xfId="18227"/>
    <cellStyle name="20% - Accent1 2 13 2 6 2" xfId="48899"/>
    <cellStyle name="20% - Accent1 2 13 2 7" xfId="31842"/>
    <cellStyle name="20% - Accent1 2 13 3" xfId="3281"/>
    <cellStyle name="20% - Accent1 2 13 3 2" xfId="5122"/>
    <cellStyle name="20% - Accent1 2 13 3 2 2" xfId="16592"/>
    <cellStyle name="20% - Accent1 2 13 3 2 2 2" xfId="28393"/>
    <cellStyle name="20% - Accent1 2 13 3 2 2 2 2" xfId="48900"/>
    <cellStyle name="20% - Accent1 2 13 3 2 2 3" xfId="42008"/>
    <cellStyle name="20% - Accent1 2 13 3 2 3" xfId="10575"/>
    <cellStyle name="20% - Accent1 2 13 3 2 3 2" xfId="48901"/>
    <cellStyle name="20% - Accent1 2 13 3 2 4" xfId="22376"/>
    <cellStyle name="20% - Accent1 2 13 3 2 4 2" xfId="48902"/>
    <cellStyle name="20% - Accent1 2 13 3 2 5" xfId="35991"/>
    <cellStyle name="20% - Accent1 2 13 3 3" xfId="11029"/>
    <cellStyle name="20% - Accent1 2 13 3 3 2" xfId="22830"/>
    <cellStyle name="20% - Accent1 2 13 3 3 2 2" xfId="48903"/>
    <cellStyle name="20% - Accent1 2 13 3 3 3" xfId="36445"/>
    <cellStyle name="20% - Accent1 2 13 3 4" xfId="8734"/>
    <cellStyle name="20% - Accent1 2 13 3 4 2" xfId="48904"/>
    <cellStyle name="20% - Accent1 2 13 3 5" xfId="20535"/>
    <cellStyle name="20% - Accent1 2 13 3 5 2" xfId="48905"/>
    <cellStyle name="20% - Accent1 2 13 3 6" xfId="34150"/>
    <cellStyle name="20% - Accent1 2 13 4" xfId="3986"/>
    <cellStyle name="20% - Accent1 2 13 4 2" xfId="11030"/>
    <cellStyle name="20% - Accent1 2 13 4 2 2" xfId="22831"/>
    <cellStyle name="20% - Accent1 2 13 4 2 2 2" xfId="48906"/>
    <cellStyle name="20% - Accent1 2 13 4 2 3" xfId="36446"/>
    <cellStyle name="20% - Accent1 2 13 4 3" xfId="9439"/>
    <cellStyle name="20% - Accent1 2 13 4 3 2" xfId="42795"/>
    <cellStyle name="20% - Accent1 2 13 4 4" xfId="21240"/>
    <cellStyle name="20% - Accent1 2 13 4 4 2" xfId="48907"/>
    <cellStyle name="20% - Accent1 2 13 4 5" xfId="34855"/>
    <cellStyle name="20% - Accent1 2 13 5" xfId="2145"/>
    <cellStyle name="20% - Accent1 2 13 5 2" xfId="16930"/>
    <cellStyle name="20% - Accent1 2 13 5 2 2" xfId="28731"/>
    <cellStyle name="20% - Accent1 2 13 5 2 2 2" xfId="48908"/>
    <cellStyle name="20% - Accent1 2 13 5 2 3" xfId="42346"/>
    <cellStyle name="20% - Accent1 2 13 5 3" xfId="7598"/>
    <cellStyle name="20% - Accent1 2 13 5 3 2" xfId="48909"/>
    <cellStyle name="20% - Accent1 2 13 5 4" xfId="19399"/>
    <cellStyle name="20% - Accent1 2 13 5 4 2" xfId="48910"/>
    <cellStyle name="20% - Accent1 2 13 5 5" xfId="33014"/>
    <cellStyle name="20% - Accent1 2 13 6" xfId="11031"/>
    <cellStyle name="20% - Accent1 2 13 6 2" xfId="22832"/>
    <cellStyle name="20% - Accent1 2 13 6 2 2" xfId="48911"/>
    <cellStyle name="20% - Accent1 2 13 6 3" xfId="36447"/>
    <cellStyle name="20% - Accent1 2 13 7" xfId="5698"/>
    <cellStyle name="20% - Accent1 2 13 7 2" xfId="48912"/>
    <cellStyle name="20% - Accent1 2 13 8" xfId="17499"/>
    <cellStyle name="20% - Accent1 2 13 8 2" xfId="48913"/>
    <cellStyle name="20% - Accent1 2 13 9" xfId="31114"/>
    <cellStyle name="20% - Accent1 2 14" xfId="571"/>
    <cellStyle name="20% - Accent1 2 14 2" xfId="973"/>
    <cellStyle name="20% - Accent1 2 14 2 2" xfId="4313"/>
    <cellStyle name="20% - Accent1 2 14 2 2 2" xfId="11032"/>
    <cellStyle name="20% - Accent1 2 14 2 2 2 2" xfId="22833"/>
    <cellStyle name="20% - Accent1 2 14 2 2 2 2 2" xfId="48914"/>
    <cellStyle name="20% - Accent1 2 14 2 2 2 3" xfId="36448"/>
    <cellStyle name="20% - Accent1 2 14 2 2 3" xfId="9766"/>
    <cellStyle name="20% - Accent1 2 14 2 2 3 2" xfId="42796"/>
    <cellStyle name="20% - Accent1 2 14 2 2 4" xfId="21567"/>
    <cellStyle name="20% - Accent1 2 14 2 2 4 2" xfId="48915"/>
    <cellStyle name="20% - Accent1 2 14 2 2 5" xfId="35182"/>
    <cellStyle name="20% - Accent1 2 14 2 3" xfId="11033"/>
    <cellStyle name="20% - Accent1 2 14 2 3 2" xfId="22834"/>
    <cellStyle name="20% - Accent1 2 14 2 3 2 2" xfId="42797"/>
    <cellStyle name="20% - Accent1 2 14 2 3 3" xfId="29092"/>
    <cellStyle name="20% - Accent1 2 14 2 3 3 2" xfId="42798"/>
    <cellStyle name="20% - Accent1 2 14 2 3 4" xfId="29093"/>
    <cellStyle name="20% - Accent1 2 14 2 3 4 2" xfId="48916"/>
    <cellStyle name="20% - Accent1 2 14 2 3 5" xfId="36449"/>
    <cellStyle name="20% - Accent1 2 14 2 4" xfId="11034"/>
    <cellStyle name="20% - Accent1 2 14 2 4 2" xfId="22835"/>
    <cellStyle name="20% - Accent1 2 14 2 4 2 2" xfId="48917"/>
    <cellStyle name="20% - Accent1 2 14 2 4 3" xfId="36450"/>
    <cellStyle name="20% - Accent1 2 14 2 5" xfId="6427"/>
    <cellStyle name="20% - Accent1 2 14 2 5 2" xfId="42799"/>
    <cellStyle name="20% - Accent1 2 14 2 6" xfId="18228"/>
    <cellStyle name="20% - Accent1 2 14 2 6 2" xfId="48918"/>
    <cellStyle name="20% - Accent1 2 14 2 7" xfId="31843"/>
    <cellStyle name="20% - Accent1 2 14 3" xfId="2472"/>
    <cellStyle name="20% - Accent1 2 14 3 2" xfId="11035"/>
    <cellStyle name="20% - Accent1 2 14 3 2 2" xfId="22836"/>
    <cellStyle name="20% - Accent1 2 14 3 2 2 2" xfId="48919"/>
    <cellStyle name="20% - Accent1 2 14 3 2 3" xfId="36451"/>
    <cellStyle name="20% - Accent1 2 14 3 3" xfId="7925"/>
    <cellStyle name="20% - Accent1 2 14 3 3 2" xfId="42800"/>
    <cellStyle name="20% - Accent1 2 14 3 4" xfId="19726"/>
    <cellStyle name="20% - Accent1 2 14 3 4 2" xfId="48920"/>
    <cellStyle name="20% - Accent1 2 14 3 5" xfId="33341"/>
    <cellStyle name="20% - Accent1 2 14 4" xfId="11036"/>
    <cellStyle name="20% - Accent1 2 14 4 2" xfId="22837"/>
    <cellStyle name="20% - Accent1 2 14 4 2 2" xfId="42801"/>
    <cellStyle name="20% - Accent1 2 14 4 3" xfId="29094"/>
    <cellStyle name="20% - Accent1 2 14 4 3 2" xfId="42802"/>
    <cellStyle name="20% - Accent1 2 14 4 4" xfId="29095"/>
    <cellStyle name="20% - Accent1 2 14 4 4 2" xfId="48921"/>
    <cellStyle name="20% - Accent1 2 14 4 5" xfId="36452"/>
    <cellStyle name="20% - Accent1 2 14 5" xfId="11037"/>
    <cellStyle name="20% - Accent1 2 14 5 2" xfId="22838"/>
    <cellStyle name="20% - Accent1 2 14 5 2 2" xfId="48922"/>
    <cellStyle name="20% - Accent1 2 14 5 3" xfId="36453"/>
    <cellStyle name="20% - Accent1 2 14 6" xfId="6025"/>
    <cellStyle name="20% - Accent1 2 14 6 2" xfId="42803"/>
    <cellStyle name="20% - Accent1 2 14 7" xfId="17826"/>
    <cellStyle name="20% - Accent1 2 14 7 2" xfId="48923"/>
    <cellStyle name="20% - Accent1 2 14 8" xfId="31441"/>
    <cellStyle name="20% - Accent1 2 15" xfId="812"/>
    <cellStyle name="20% - Accent1 2 15 2" xfId="974"/>
    <cellStyle name="20% - Accent1 2 15 2 2" xfId="4881"/>
    <cellStyle name="20% - Accent1 2 15 2 2 2" xfId="11038"/>
    <cellStyle name="20% - Accent1 2 15 2 2 2 2" xfId="22839"/>
    <cellStyle name="20% - Accent1 2 15 2 2 2 2 2" xfId="48924"/>
    <cellStyle name="20% - Accent1 2 15 2 2 2 3" xfId="36454"/>
    <cellStyle name="20% - Accent1 2 15 2 2 3" xfId="10334"/>
    <cellStyle name="20% - Accent1 2 15 2 2 3 2" xfId="42804"/>
    <cellStyle name="20% - Accent1 2 15 2 2 4" xfId="22135"/>
    <cellStyle name="20% - Accent1 2 15 2 2 4 2" xfId="48925"/>
    <cellStyle name="20% - Accent1 2 15 2 2 5" xfId="35750"/>
    <cellStyle name="20% - Accent1 2 15 2 3" xfId="11039"/>
    <cellStyle name="20% - Accent1 2 15 2 3 2" xfId="22840"/>
    <cellStyle name="20% - Accent1 2 15 2 3 2 2" xfId="42805"/>
    <cellStyle name="20% - Accent1 2 15 2 3 3" xfId="29096"/>
    <cellStyle name="20% - Accent1 2 15 2 3 3 2" xfId="42806"/>
    <cellStyle name="20% - Accent1 2 15 2 3 4" xfId="29097"/>
    <cellStyle name="20% - Accent1 2 15 2 3 4 2" xfId="48926"/>
    <cellStyle name="20% - Accent1 2 15 2 3 5" xfId="36455"/>
    <cellStyle name="20% - Accent1 2 15 2 4" xfId="11040"/>
    <cellStyle name="20% - Accent1 2 15 2 4 2" xfId="22841"/>
    <cellStyle name="20% - Accent1 2 15 2 4 2 2" xfId="48927"/>
    <cellStyle name="20% - Accent1 2 15 2 4 3" xfId="36456"/>
    <cellStyle name="20% - Accent1 2 15 2 5" xfId="6428"/>
    <cellStyle name="20% - Accent1 2 15 2 5 2" xfId="42807"/>
    <cellStyle name="20% - Accent1 2 15 2 6" xfId="18229"/>
    <cellStyle name="20% - Accent1 2 15 2 6 2" xfId="48928"/>
    <cellStyle name="20% - Accent1 2 15 2 7" xfId="31844"/>
    <cellStyle name="20% - Accent1 2 15 3" xfId="3040"/>
    <cellStyle name="20% - Accent1 2 15 3 2" xfId="11041"/>
    <cellStyle name="20% - Accent1 2 15 3 2 2" xfId="22842"/>
    <cellStyle name="20% - Accent1 2 15 3 2 2 2" xfId="48929"/>
    <cellStyle name="20% - Accent1 2 15 3 2 3" xfId="36457"/>
    <cellStyle name="20% - Accent1 2 15 3 3" xfId="8493"/>
    <cellStyle name="20% - Accent1 2 15 3 3 2" xfId="42808"/>
    <cellStyle name="20% - Accent1 2 15 3 4" xfId="20294"/>
    <cellStyle name="20% - Accent1 2 15 3 4 2" xfId="48930"/>
    <cellStyle name="20% - Accent1 2 15 3 5" xfId="33909"/>
    <cellStyle name="20% - Accent1 2 15 4" xfId="11042"/>
    <cellStyle name="20% - Accent1 2 15 4 2" xfId="22843"/>
    <cellStyle name="20% - Accent1 2 15 4 2 2" xfId="42809"/>
    <cellStyle name="20% - Accent1 2 15 4 3" xfId="29098"/>
    <cellStyle name="20% - Accent1 2 15 4 3 2" xfId="42810"/>
    <cellStyle name="20% - Accent1 2 15 4 4" xfId="29099"/>
    <cellStyle name="20% - Accent1 2 15 4 4 2" xfId="48931"/>
    <cellStyle name="20% - Accent1 2 15 4 5" xfId="36458"/>
    <cellStyle name="20% - Accent1 2 15 5" xfId="11043"/>
    <cellStyle name="20% - Accent1 2 15 5 2" xfId="22844"/>
    <cellStyle name="20% - Accent1 2 15 5 2 2" xfId="48932"/>
    <cellStyle name="20% - Accent1 2 15 5 3" xfId="36459"/>
    <cellStyle name="20% - Accent1 2 15 6" xfId="6266"/>
    <cellStyle name="20% - Accent1 2 15 6 2" xfId="42811"/>
    <cellStyle name="20% - Accent1 2 15 7" xfId="18067"/>
    <cellStyle name="20% - Accent1 2 15 7 2" xfId="48933"/>
    <cellStyle name="20% - Accent1 2 15 8" xfId="31682"/>
    <cellStyle name="20% - Accent1 2 16" xfId="975"/>
    <cellStyle name="20% - Accent1 2 16 2" xfId="3745"/>
    <cellStyle name="20% - Accent1 2 16 2 2" xfId="11044"/>
    <cellStyle name="20% - Accent1 2 16 2 2 2" xfId="22845"/>
    <cellStyle name="20% - Accent1 2 16 2 2 2 2" xfId="48934"/>
    <cellStyle name="20% - Accent1 2 16 2 2 3" xfId="36460"/>
    <cellStyle name="20% - Accent1 2 16 2 3" xfId="9198"/>
    <cellStyle name="20% - Accent1 2 16 2 3 2" xfId="42812"/>
    <cellStyle name="20% - Accent1 2 16 2 4" xfId="20999"/>
    <cellStyle name="20% - Accent1 2 16 2 4 2" xfId="48935"/>
    <cellStyle name="20% - Accent1 2 16 2 5" xfId="34614"/>
    <cellStyle name="20% - Accent1 2 16 3" xfId="11045"/>
    <cellStyle name="20% - Accent1 2 16 3 2" xfId="22846"/>
    <cellStyle name="20% - Accent1 2 16 3 2 2" xfId="42813"/>
    <cellStyle name="20% - Accent1 2 16 3 3" xfId="29100"/>
    <cellStyle name="20% - Accent1 2 16 3 3 2" xfId="42814"/>
    <cellStyle name="20% - Accent1 2 16 3 4" xfId="29101"/>
    <cellStyle name="20% - Accent1 2 16 3 4 2" xfId="48936"/>
    <cellStyle name="20% - Accent1 2 16 3 5" xfId="36461"/>
    <cellStyle name="20% - Accent1 2 16 4" xfId="11046"/>
    <cellStyle name="20% - Accent1 2 16 4 2" xfId="22847"/>
    <cellStyle name="20% - Accent1 2 16 4 2 2" xfId="48937"/>
    <cellStyle name="20% - Accent1 2 16 4 3" xfId="36462"/>
    <cellStyle name="20% - Accent1 2 16 5" xfId="6429"/>
    <cellStyle name="20% - Accent1 2 16 5 2" xfId="42815"/>
    <cellStyle name="20% - Accent1 2 16 6" xfId="18230"/>
    <cellStyle name="20% - Accent1 2 16 6 2" xfId="48938"/>
    <cellStyle name="20% - Accent1 2 16 7" xfId="31845"/>
    <cellStyle name="20% - Accent1 2 17" xfId="3608"/>
    <cellStyle name="20% - Accent1 2 17 2" xfId="11047"/>
    <cellStyle name="20% - Accent1 2 17 2 2" xfId="22848"/>
    <cellStyle name="20% - Accent1 2 17 2 2 2" xfId="48939"/>
    <cellStyle name="20% - Accent1 2 17 2 3" xfId="36463"/>
    <cellStyle name="20% - Accent1 2 17 3" xfId="9061"/>
    <cellStyle name="20% - Accent1 2 17 3 2" xfId="42816"/>
    <cellStyle name="20% - Accent1 2 17 4" xfId="20862"/>
    <cellStyle name="20% - Accent1 2 17 4 2" xfId="48940"/>
    <cellStyle name="20% - Accent1 2 17 5" xfId="34477"/>
    <cellStyle name="20% - Accent1 2 18" xfId="1904"/>
    <cellStyle name="20% - Accent1 2 18 2" xfId="11048"/>
    <cellStyle name="20% - Accent1 2 18 2 2" xfId="22849"/>
    <cellStyle name="20% - Accent1 2 18 2 2 2" xfId="48941"/>
    <cellStyle name="20% - Accent1 2 18 2 3" xfId="36464"/>
    <cellStyle name="20% - Accent1 2 18 3" xfId="7357"/>
    <cellStyle name="20% - Accent1 2 18 3 2" xfId="42817"/>
    <cellStyle name="20% - Accent1 2 18 4" xfId="19158"/>
    <cellStyle name="20% - Accent1 2 18 4 2" xfId="48942"/>
    <cellStyle name="20% - Accent1 2 18 5" xfId="32773"/>
    <cellStyle name="20% - Accent1 2 19" xfId="5449"/>
    <cellStyle name="20% - Accent1 2 19 2" xfId="16931"/>
    <cellStyle name="20% - Accent1 2 19 2 2" xfId="28732"/>
    <cellStyle name="20% - Accent1 2 19 2 2 2" xfId="48943"/>
    <cellStyle name="20% - Accent1 2 19 2 3" xfId="42347"/>
    <cellStyle name="20% - Accent1 2 19 3" xfId="10902"/>
    <cellStyle name="20% - Accent1 2 19 3 2" xfId="48944"/>
    <cellStyle name="20% - Accent1 2 19 4" xfId="22703"/>
    <cellStyle name="20% - Accent1 2 19 4 2" xfId="48945"/>
    <cellStyle name="20% - Accent1 2 19 5" xfId="36318"/>
    <cellStyle name="20% - Accent1 2 2" xfId="6"/>
    <cellStyle name="20% - Accent1 2 2 10" xfId="247"/>
    <cellStyle name="20% - Accent1 2 2 10 2" xfId="976"/>
    <cellStyle name="20% - Accent1 2 2 10 2 2" xfId="4557"/>
    <cellStyle name="20% - Accent1 2 2 10 2 2 2" xfId="11049"/>
    <cellStyle name="20% - Accent1 2 2 10 2 2 2 2" xfId="22850"/>
    <cellStyle name="20% - Accent1 2 2 10 2 2 2 2 2" xfId="48946"/>
    <cellStyle name="20% - Accent1 2 2 10 2 2 2 3" xfId="36465"/>
    <cellStyle name="20% - Accent1 2 2 10 2 2 3" xfId="10010"/>
    <cellStyle name="20% - Accent1 2 2 10 2 2 3 2" xfId="42818"/>
    <cellStyle name="20% - Accent1 2 2 10 2 2 4" xfId="21811"/>
    <cellStyle name="20% - Accent1 2 2 10 2 2 4 2" xfId="48947"/>
    <cellStyle name="20% - Accent1 2 2 10 2 2 5" xfId="35426"/>
    <cellStyle name="20% - Accent1 2 2 10 2 3" xfId="2716"/>
    <cellStyle name="20% - Accent1 2 2 10 2 3 2" xfId="11050"/>
    <cellStyle name="20% - Accent1 2 2 10 2 3 2 2" xfId="22851"/>
    <cellStyle name="20% - Accent1 2 2 10 2 3 2 2 2" xfId="48948"/>
    <cellStyle name="20% - Accent1 2 2 10 2 3 2 3" xfId="36466"/>
    <cellStyle name="20% - Accent1 2 2 10 2 3 3" xfId="8169"/>
    <cellStyle name="20% - Accent1 2 2 10 2 3 3 2" xfId="42819"/>
    <cellStyle name="20% - Accent1 2 2 10 2 3 4" xfId="19970"/>
    <cellStyle name="20% - Accent1 2 2 10 2 3 4 2" xfId="48949"/>
    <cellStyle name="20% - Accent1 2 2 10 2 3 5" xfId="33585"/>
    <cellStyle name="20% - Accent1 2 2 10 2 4" xfId="11051"/>
    <cellStyle name="20% - Accent1 2 2 10 2 4 2" xfId="22852"/>
    <cellStyle name="20% - Accent1 2 2 10 2 4 2 2" xfId="48950"/>
    <cellStyle name="20% - Accent1 2 2 10 2 4 3" xfId="36467"/>
    <cellStyle name="20% - Accent1 2 2 10 2 5" xfId="6430"/>
    <cellStyle name="20% - Accent1 2 2 10 2 5 2" xfId="42820"/>
    <cellStyle name="20% - Accent1 2 2 10 2 6" xfId="18231"/>
    <cellStyle name="20% - Accent1 2 2 10 2 6 2" xfId="48951"/>
    <cellStyle name="20% - Accent1 2 2 10 2 7" xfId="31846"/>
    <cellStyle name="20% - Accent1 2 2 10 3" xfId="3284"/>
    <cellStyle name="20% - Accent1 2 2 10 3 2" xfId="5125"/>
    <cellStyle name="20% - Accent1 2 2 10 3 2 2" xfId="16595"/>
    <cellStyle name="20% - Accent1 2 2 10 3 2 2 2" xfId="28396"/>
    <cellStyle name="20% - Accent1 2 2 10 3 2 2 2 2" xfId="48952"/>
    <cellStyle name="20% - Accent1 2 2 10 3 2 2 3" xfId="42011"/>
    <cellStyle name="20% - Accent1 2 2 10 3 2 3" xfId="10578"/>
    <cellStyle name="20% - Accent1 2 2 10 3 2 3 2" xfId="48953"/>
    <cellStyle name="20% - Accent1 2 2 10 3 2 4" xfId="22379"/>
    <cellStyle name="20% - Accent1 2 2 10 3 2 4 2" xfId="48954"/>
    <cellStyle name="20% - Accent1 2 2 10 3 2 5" xfId="35994"/>
    <cellStyle name="20% - Accent1 2 2 10 3 3" xfId="11052"/>
    <cellStyle name="20% - Accent1 2 2 10 3 3 2" xfId="22853"/>
    <cellStyle name="20% - Accent1 2 2 10 3 3 2 2" xfId="48955"/>
    <cellStyle name="20% - Accent1 2 2 10 3 3 3" xfId="36468"/>
    <cellStyle name="20% - Accent1 2 2 10 3 4" xfId="8737"/>
    <cellStyle name="20% - Accent1 2 2 10 3 4 2" xfId="48956"/>
    <cellStyle name="20% - Accent1 2 2 10 3 5" xfId="20538"/>
    <cellStyle name="20% - Accent1 2 2 10 3 5 2" xfId="48957"/>
    <cellStyle name="20% - Accent1 2 2 10 3 6" xfId="34153"/>
    <cellStyle name="20% - Accent1 2 2 10 4" xfId="3989"/>
    <cellStyle name="20% - Accent1 2 2 10 4 2" xfId="11053"/>
    <cellStyle name="20% - Accent1 2 2 10 4 2 2" xfId="22854"/>
    <cellStyle name="20% - Accent1 2 2 10 4 2 2 2" xfId="48958"/>
    <cellStyle name="20% - Accent1 2 2 10 4 2 3" xfId="36469"/>
    <cellStyle name="20% - Accent1 2 2 10 4 3" xfId="9442"/>
    <cellStyle name="20% - Accent1 2 2 10 4 3 2" xfId="42821"/>
    <cellStyle name="20% - Accent1 2 2 10 4 4" xfId="21243"/>
    <cellStyle name="20% - Accent1 2 2 10 4 4 2" xfId="48959"/>
    <cellStyle name="20% - Accent1 2 2 10 4 5" xfId="34858"/>
    <cellStyle name="20% - Accent1 2 2 10 5" xfId="2148"/>
    <cellStyle name="20% - Accent1 2 2 10 5 2" xfId="16932"/>
    <cellStyle name="20% - Accent1 2 2 10 5 2 2" xfId="28733"/>
    <cellStyle name="20% - Accent1 2 2 10 5 2 2 2" xfId="48960"/>
    <cellStyle name="20% - Accent1 2 2 10 5 2 3" xfId="42348"/>
    <cellStyle name="20% - Accent1 2 2 10 5 3" xfId="7601"/>
    <cellStyle name="20% - Accent1 2 2 10 5 3 2" xfId="48961"/>
    <cellStyle name="20% - Accent1 2 2 10 5 4" xfId="19402"/>
    <cellStyle name="20% - Accent1 2 2 10 5 4 2" xfId="48962"/>
    <cellStyle name="20% - Accent1 2 2 10 5 5" xfId="33017"/>
    <cellStyle name="20% - Accent1 2 2 10 6" xfId="11054"/>
    <cellStyle name="20% - Accent1 2 2 10 6 2" xfId="22855"/>
    <cellStyle name="20% - Accent1 2 2 10 6 2 2" xfId="48963"/>
    <cellStyle name="20% - Accent1 2 2 10 6 3" xfId="36470"/>
    <cellStyle name="20% - Accent1 2 2 10 7" xfId="5701"/>
    <cellStyle name="20% - Accent1 2 2 10 7 2" xfId="48964"/>
    <cellStyle name="20% - Accent1 2 2 10 8" xfId="17502"/>
    <cellStyle name="20% - Accent1 2 2 10 8 2" xfId="48965"/>
    <cellStyle name="20% - Accent1 2 2 10 9" xfId="31117"/>
    <cellStyle name="20% - Accent1 2 2 11" xfId="574"/>
    <cellStyle name="20% - Accent1 2 2 11 2" xfId="977"/>
    <cellStyle name="20% - Accent1 2 2 11 2 2" xfId="4316"/>
    <cellStyle name="20% - Accent1 2 2 11 2 2 2" xfId="11055"/>
    <cellStyle name="20% - Accent1 2 2 11 2 2 2 2" xfId="22856"/>
    <cellStyle name="20% - Accent1 2 2 11 2 2 2 2 2" xfId="48966"/>
    <cellStyle name="20% - Accent1 2 2 11 2 2 2 3" xfId="36471"/>
    <cellStyle name="20% - Accent1 2 2 11 2 2 3" xfId="9769"/>
    <cellStyle name="20% - Accent1 2 2 11 2 2 3 2" xfId="42822"/>
    <cellStyle name="20% - Accent1 2 2 11 2 2 4" xfId="21570"/>
    <cellStyle name="20% - Accent1 2 2 11 2 2 4 2" xfId="48967"/>
    <cellStyle name="20% - Accent1 2 2 11 2 2 5" xfId="35185"/>
    <cellStyle name="20% - Accent1 2 2 11 2 3" xfId="11056"/>
    <cellStyle name="20% - Accent1 2 2 11 2 3 2" xfId="22857"/>
    <cellStyle name="20% - Accent1 2 2 11 2 3 2 2" xfId="42823"/>
    <cellStyle name="20% - Accent1 2 2 11 2 3 3" xfId="29102"/>
    <cellStyle name="20% - Accent1 2 2 11 2 3 3 2" xfId="42824"/>
    <cellStyle name="20% - Accent1 2 2 11 2 3 4" xfId="29103"/>
    <cellStyle name="20% - Accent1 2 2 11 2 3 4 2" xfId="48968"/>
    <cellStyle name="20% - Accent1 2 2 11 2 3 5" xfId="36472"/>
    <cellStyle name="20% - Accent1 2 2 11 2 4" xfId="11057"/>
    <cellStyle name="20% - Accent1 2 2 11 2 4 2" xfId="22858"/>
    <cellStyle name="20% - Accent1 2 2 11 2 4 2 2" xfId="48969"/>
    <cellStyle name="20% - Accent1 2 2 11 2 4 3" xfId="36473"/>
    <cellStyle name="20% - Accent1 2 2 11 2 5" xfId="6431"/>
    <cellStyle name="20% - Accent1 2 2 11 2 5 2" xfId="42825"/>
    <cellStyle name="20% - Accent1 2 2 11 2 6" xfId="18232"/>
    <cellStyle name="20% - Accent1 2 2 11 2 6 2" xfId="48970"/>
    <cellStyle name="20% - Accent1 2 2 11 2 7" xfId="31847"/>
    <cellStyle name="20% - Accent1 2 2 11 3" xfId="2475"/>
    <cellStyle name="20% - Accent1 2 2 11 3 2" xfId="11058"/>
    <cellStyle name="20% - Accent1 2 2 11 3 2 2" xfId="22859"/>
    <cellStyle name="20% - Accent1 2 2 11 3 2 2 2" xfId="48971"/>
    <cellStyle name="20% - Accent1 2 2 11 3 2 3" xfId="36474"/>
    <cellStyle name="20% - Accent1 2 2 11 3 3" xfId="7928"/>
    <cellStyle name="20% - Accent1 2 2 11 3 3 2" xfId="42826"/>
    <cellStyle name="20% - Accent1 2 2 11 3 4" xfId="19729"/>
    <cellStyle name="20% - Accent1 2 2 11 3 4 2" xfId="48972"/>
    <cellStyle name="20% - Accent1 2 2 11 3 5" xfId="33344"/>
    <cellStyle name="20% - Accent1 2 2 11 4" xfId="11059"/>
    <cellStyle name="20% - Accent1 2 2 11 4 2" xfId="22860"/>
    <cellStyle name="20% - Accent1 2 2 11 4 2 2" xfId="42827"/>
    <cellStyle name="20% - Accent1 2 2 11 4 3" xfId="29104"/>
    <cellStyle name="20% - Accent1 2 2 11 4 3 2" xfId="42828"/>
    <cellStyle name="20% - Accent1 2 2 11 4 4" xfId="29105"/>
    <cellStyle name="20% - Accent1 2 2 11 4 4 2" xfId="48973"/>
    <cellStyle name="20% - Accent1 2 2 11 4 5" xfId="36475"/>
    <cellStyle name="20% - Accent1 2 2 11 5" xfId="11060"/>
    <cellStyle name="20% - Accent1 2 2 11 5 2" xfId="22861"/>
    <cellStyle name="20% - Accent1 2 2 11 5 2 2" xfId="48974"/>
    <cellStyle name="20% - Accent1 2 2 11 5 3" xfId="36476"/>
    <cellStyle name="20% - Accent1 2 2 11 6" xfId="6028"/>
    <cellStyle name="20% - Accent1 2 2 11 6 2" xfId="42829"/>
    <cellStyle name="20% - Accent1 2 2 11 7" xfId="17829"/>
    <cellStyle name="20% - Accent1 2 2 11 7 2" xfId="48975"/>
    <cellStyle name="20% - Accent1 2 2 11 8" xfId="31444"/>
    <cellStyle name="20% - Accent1 2 2 12" xfId="815"/>
    <cellStyle name="20% - Accent1 2 2 12 2" xfId="978"/>
    <cellStyle name="20% - Accent1 2 2 12 2 2" xfId="4884"/>
    <cellStyle name="20% - Accent1 2 2 12 2 2 2" xfId="11061"/>
    <cellStyle name="20% - Accent1 2 2 12 2 2 2 2" xfId="22862"/>
    <cellStyle name="20% - Accent1 2 2 12 2 2 2 2 2" xfId="48976"/>
    <cellStyle name="20% - Accent1 2 2 12 2 2 2 3" xfId="36477"/>
    <cellStyle name="20% - Accent1 2 2 12 2 2 3" xfId="10337"/>
    <cellStyle name="20% - Accent1 2 2 12 2 2 3 2" xfId="42830"/>
    <cellStyle name="20% - Accent1 2 2 12 2 2 4" xfId="22138"/>
    <cellStyle name="20% - Accent1 2 2 12 2 2 4 2" xfId="48977"/>
    <cellStyle name="20% - Accent1 2 2 12 2 2 5" xfId="35753"/>
    <cellStyle name="20% - Accent1 2 2 12 2 3" xfId="11062"/>
    <cellStyle name="20% - Accent1 2 2 12 2 3 2" xfId="22863"/>
    <cellStyle name="20% - Accent1 2 2 12 2 3 2 2" xfId="42831"/>
    <cellStyle name="20% - Accent1 2 2 12 2 3 3" xfId="29106"/>
    <cellStyle name="20% - Accent1 2 2 12 2 3 3 2" xfId="42832"/>
    <cellStyle name="20% - Accent1 2 2 12 2 3 4" xfId="29107"/>
    <cellStyle name="20% - Accent1 2 2 12 2 3 4 2" xfId="48978"/>
    <cellStyle name="20% - Accent1 2 2 12 2 3 5" xfId="36478"/>
    <cellStyle name="20% - Accent1 2 2 12 2 4" xfId="11063"/>
    <cellStyle name="20% - Accent1 2 2 12 2 4 2" xfId="22864"/>
    <cellStyle name="20% - Accent1 2 2 12 2 4 2 2" xfId="48979"/>
    <cellStyle name="20% - Accent1 2 2 12 2 4 3" xfId="36479"/>
    <cellStyle name="20% - Accent1 2 2 12 2 5" xfId="6432"/>
    <cellStyle name="20% - Accent1 2 2 12 2 5 2" xfId="42833"/>
    <cellStyle name="20% - Accent1 2 2 12 2 6" xfId="18233"/>
    <cellStyle name="20% - Accent1 2 2 12 2 6 2" xfId="48980"/>
    <cellStyle name="20% - Accent1 2 2 12 2 7" xfId="31848"/>
    <cellStyle name="20% - Accent1 2 2 12 3" xfId="3043"/>
    <cellStyle name="20% - Accent1 2 2 12 3 2" xfId="11064"/>
    <cellStyle name="20% - Accent1 2 2 12 3 2 2" xfId="22865"/>
    <cellStyle name="20% - Accent1 2 2 12 3 2 2 2" xfId="48981"/>
    <cellStyle name="20% - Accent1 2 2 12 3 2 3" xfId="36480"/>
    <cellStyle name="20% - Accent1 2 2 12 3 3" xfId="8496"/>
    <cellStyle name="20% - Accent1 2 2 12 3 3 2" xfId="42834"/>
    <cellStyle name="20% - Accent1 2 2 12 3 4" xfId="20297"/>
    <cellStyle name="20% - Accent1 2 2 12 3 4 2" xfId="48982"/>
    <cellStyle name="20% - Accent1 2 2 12 3 5" xfId="33912"/>
    <cellStyle name="20% - Accent1 2 2 12 4" xfId="11065"/>
    <cellStyle name="20% - Accent1 2 2 12 4 2" xfId="22866"/>
    <cellStyle name="20% - Accent1 2 2 12 4 2 2" xfId="42835"/>
    <cellStyle name="20% - Accent1 2 2 12 4 3" xfId="29108"/>
    <cellStyle name="20% - Accent1 2 2 12 4 3 2" xfId="42836"/>
    <cellStyle name="20% - Accent1 2 2 12 4 4" xfId="29109"/>
    <cellStyle name="20% - Accent1 2 2 12 4 4 2" xfId="48983"/>
    <cellStyle name="20% - Accent1 2 2 12 4 5" xfId="36481"/>
    <cellStyle name="20% - Accent1 2 2 12 5" xfId="11066"/>
    <cellStyle name="20% - Accent1 2 2 12 5 2" xfId="22867"/>
    <cellStyle name="20% - Accent1 2 2 12 5 2 2" xfId="48984"/>
    <cellStyle name="20% - Accent1 2 2 12 5 3" xfId="36482"/>
    <cellStyle name="20% - Accent1 2 2 12 6" xfId="6269"/>
    <cellStyle name="20% - Accent1 2 2 12 6 2" xfId="42837"/>
    <cellStyle name="20% - Accent1 2 2 12 7" xfId="18070"/>
    <cellStyle name="20% - Accent1 2 2 12 7 2" xfId="48985"/>
    <cellStyle name="20% - Accent1 2 2 12 8" xfId="31685"/>
    <cellStyle name="20% - Accent1 2 2 13" xfId="979"/>
    <cellStyle name="20% - Accent1 2 2 13 2" xfId="3748"/>
    <cellStyle name="20% - Accent1 2 2 13 2 2" xfId="11067"/>
    <cellStyle name="20% - Accent1 2 2 13 2 2 2" xfId="22868"/>
    <cellStyle name="20% - Accent1 2 2 13 2 2 2 2" xfId="48986"/>
    <cellStyle name="20% - Accent1 2 2 13 2 2 3" xfId="36483"/>
    <cellStyle name="20% - Accent1 2 2 13 2 3" xfId="9201"/>
    <cellStyle name="20% - Accent1 2 2 13 2 3 2" xfId="42838"/>
    <cellStyle name="20% - Accent1 2 2 13 2 4" xfId="21002"/>
    <cellStyle name="20% - Accent1 2 2 13 2 4 2" xfId="48987"/>
    <cellStyle name="20% - Accent1 2 2 13 2 5" xfId="34617"/>
    <cellStyle name="20% - Accent1 2 2 13 3" xfId="11068"/>
    <cellStyle name="20% - Accent1 2 2 13 3 2" xfId="22869"/>
    <cellStyle name="20% - Accent1 2 2 13 3 2 2" xfId="42839"/>
    <cellStyle name="20% - Accent1 2 2 13 3 3" xfId="29110"/>
    <cellStyle name="20% - Accent1 2 2 13 3 3 2" xfId="42840"/>
    <cellStyle name="20% - Accent1 2 2 13 3 4" xfId="29111"/>
    <cellStyle name="20% - Accent1 2 2 13 3 4 2" xfId="48988"/>
    <cellStyle name="20% - Accent1 2 2 13 3 5" xfId="36484"/>
    <cellStyle name="20% - Accent1 2 2 13 4" xfId="11069"/>
    <cellStyle name="20% - Accent1 2 2 13 4 2" xfId="22870"/>
    <cellStyle name="20% - Accent1 2 2 13 4 2 2" xfId="48989"/>
    <cellStyle name="20% - Accent1 2 2 13 4 3" xfId="36485"/>
    <cellStyle name="20% - Accent1 2 2 13 5" xfId="6433"/>
    <cellStyle name="20% - Accent1 2 2 13 5 2" xfId="42841"/>
    <cellStyle name="20% - Accent1 2 2 13 6" xfId="18234"/>
    <cellStyle name="20% - Accent1 2 2 13 6 2" xfId="48990"/>
    <cellStyle name="20% - Accent1 2 2 13 7" xfId="31849"/>
    <cellStyle name="20% - Accent1 2 2 14" xfId="3611"/>
    <cellStyle name="20% - Accent1 2 2 14 2" xfId="11070"/>
    <cellStyle name="20% - Accent1 2 2 14 2 2" xfId="22871"/>
    <cellStyle name="20% - Accent1 2 2 14 2 2 2" xfId="48991"/>
    <cellStyle name="20% - Accent1 2 2 14 2 3" xfId="36486"/>
    <cellStyle name="20% - Accent1 2 2 14 3" xfId="9064"/>
    <cellStyle name="20% - Accent1 2 2 14 3 2" xfId="42842"/>
    <cellStyle name="20% - Accent1 2 2 14 4" xfId="20865"/>
    <cellStyle name="20% - Accent1 2 2 14 4 2" xfId="48992"/>
    <cellStyle name="20% - Accent1 2 2 14 5" xfId="34480"/>
    <cellStyle name="20% - Accent1 2 2 15" xfId="1907"/>
    <cellStyle name="20% - Accent1 2 2 15 2" xfId="11071"/>
    <cellStyle name="20% - Accent1 2 2 15 2 2" xfId="22872"/>
    <cellStyle name="20% - Accent1 2 2 15 2 2 2" xfId="48993"/>
    <cellStyle name="20% - Accent1 2 2 15 2 3" xfId="36487"/>
    <cellStyle name="20% - Accent1 2 2 15 3" xfId="7360"/>
    <cellStyle name="20% - Accent1 2 2 15 3 2" xfId="42843"/>
    <cellStyle name="20% - Accent1 2 2 15 4" xfId="19161"/>
    <cellStyle name="20% - Accent1 2 2 15 4 2" xfId="48994"/>
    <cellStyle name="20% - Accent1 2 2 15 5" xfId="32776"/>
    <cellStyle name="20% - Accent1 2 2 16" xfId="11072"/>
    <cellStyle name="20% - Accent1 2 2 16 2" xfId="22873"/>
    <cellStyle name="20% - Accent1 2 2 16 2 2" xfId="48995"/>
    <cellStyle name="20% - Accent1 2 2 16 3" xfId="36488"/>
    <cellStyle name="20% - Accent1 2 2 17" xfId="5460"/>
    <cellStyle name="20% - Accent1 2 2 17 2" xfId="42844"/>
    <cellStyle name="20% - Accent1 2 2 18" xfId="17261"/>
    <cellStyle name="20% - Accent1 2 2 18 2" xfId="48996"/>
    <cellStyle name="20% - Accent1 2 2 19" xfId="30876"/>
    <cellStyle name="20% - Accent1 2 2 2" xfId="10"/>
    <cellStyle name="20% - Accent1 2 2 2 10" xfId="578"/>
    <cellStyle name="20% - Accent1 2 2 2 10 2" xfId="980"/>
    <cellStyle name="20% - Accent1 2 2 2 10 2 2" xfId="4320"/>
    <cellStyle name="20% - Accent1 2 2 2 10 2 2 2" xfId="11073"/>
    <cellStyle name="20% - Accent1 2 2 2 10 2 2 2 2" xfId="22874"/>
    <cellStyle name="20% - Accent1 2 2 2 10 2 2 2 2 2" xfId="48997"/>
    <cellStyle name="20% - Accent1 2 2 2 10 2 2 2 3" xfId="36489"/>
    <cellStyle name="20% - Accent1 2 2 2 10 2 2 3" xfId="9773"/>
    <cellStyle name="20% - Accent1 2 2 2 10 2 2 3 2" xfId="42845"/>
    <cellStyle name="20% - Accent1 2 2 2 10 2 2 4" xfId="21574"/>
    <cellStyle name="20% - Accent1 2 2 2 10 2 2 4 2" xfId="48998"/>
    <cellStyle name="20% - Accent1 2 2 2 10 2 2 5" xfId="35189"/>
    <cellStyle name="20% - Accent1 2 2 2 10 2 3" xfId="11074"/>
    <cellStyle name="20% - Accent1 2 2 2 10 2 3 2" xfId="22875"/>
    <cellStyle name="20% - Accent1 2 2 2 10 2 3 2 2" xfId="42846"/>
    <cellStyle name="20% - Accent1 2 2 2 10 2 3 3" xfId="29112"/>
    <cellStyle name="20% - Accent1 2 2 2 10 2 3 3 2" xfId="42847"/>
    <cellStyle name="20% - Accent1 2 2 2 10 2 3 4" xfId="29113"/>
    <cellStyle name="20% - Accent1 2 2 2 10 2 3 4 2" xfId="48999"/>
    <cellStyle name="20% - Accent1 2 2 2 10 2 3 5" xfId="36490"/>
    <cellStyle name="20% - Accent1 2 2 2 10 2 4" xfId="11075"/>
    <cellStyle name="20% - Accent1 2 2 2 10 2 4 2" xfId="22876"/>
    <cellStyle name="20% - Accent1 2 2 2 10 2 4 2 2" xfId="49000"/>
    <cellStyle name="20% - Accent1 2 2 2 10 2 4 3" xfId="36491"/>
    <cellStyle name="20% - Accent1 2 2 2 10 2 5" xfId="6434"/>
    <cellStyle name="20% - Accent1 2 2 2 10 2 5 2" xfId="42848"/>
    <cellStyle name="20% - Accent1 2 2 2 10 2 6" xfId="18235"/>
    <cellStyle name="20% - Accent1 2 2 2 10 2 6 2" xfId="49001"/>
    <cellStyle name="20% - Accent1 2 2 2 10 2 7" xfId="31850"/>
    <cellStyle name="20% - Accent1 2 2 2 10 3" xfId="2479"/>
    <cellStyle name="20% - Accent1 2 2 2 10 3 2" xfId="11076"/>
    <cellStyle name="20% - Accent1 2 2 2 10 3 2 2" xfId="22877"/>
    <cellStyle name="20% - Accent1 2 2 2 10 3 2 2 2" xfId="49002"/>
    <cellStyle name="20% - Accent1 2 2 2 10 3 2 3" xfId="36492"/>
    <cellStyle name="20% - Accent1 2 2 2 10 3 3" xfId="7932"/>
    <cellStyle name="20% - Accent1 2 2 2 10 3 3 2" xfId="42849"/>
    <cellStyle name="20% - Accent1 2 2 2 10 3 4" xfId="19733"/>
    <cellStyle name="20% - Accent1 2 2 2 10 3 4 2" xfId="49003"/>
    <cellStyle name="20% - Accent1 2 2 2 10 3 5" xfId="33348"/>
    <cellStyle name="20% - Accent1 2 2 2 10 4" xfId="11077"/>
    <cellStyle name="20% - Accent1 2 2 2 10 4 2" xfId="22878"/>
    <cellStyle name="20% - Accent1 2 2 2 10 4 2 2" xfId="42850"/>
    <cellStyle name="20% - Accent1 2 2 2 10 4 3" xfId="29114"/>
    <cellStyle name="20% - Accent1 2 2 2 10 4 3 2" xfId="42851"/>
    <cellStyle name="20% - Accent1 2 2 2 10 4 4" xfId="29115"/>
    <cellStyle name="20% - Accent1 2 2 2 10 4 4 2" xfId="49004"/>
    <cellStyle name="20% - Accent1 2 2 2 10 4 5" xfId="36493"/>
    <cellStyle name="20% - Accent1 2 2 2 10 5" xfId="11078"/>
    <cellStyle name="20% - Accent1 2 2 2 10 5 2" xfId="22879"/>
    <cellStyle name="20% - Accent1 2 2 2 10 5 2 2" xfId="49005"/>
    <cellStyle name="20% - Accent1 2 2 2 10 5 3" xfId="36494"/>
    <cellStyle name="20% - Accent1 2 2 2 10 6" xfId="6032"/>
    <cellStyle name="20% - Accent1 2 2 2 10 6 2" xfId="42852"/>
    <cellStyle name="20% - Accent1 2 2 2 10 7" xfId="17833"/>
    <cellStyle name="20% - Accent1 2 2 2 10 7 2" xfId="49006"/>
    <cellStyle name="20% - Accent1 2 2 2 10 8" xfId="31448"/>
    <cellStyle name="20% - Accent1 2 2 2 11" xfId="819"/>
    <cellStyle name="20% - Accent1 2 2 2 11 2" xfId="981"/>
    <cellStyle name="20% - Accent1 2 2 2 11 2 2" xfId="4888"/>
    <cellStyle name="20% - Accent1 2 2 2 11 2 2 2" xfId="11079"/>
    <cellStyle name="20% - Accent1 2 2 2 11 2 2 2 2" xfId="22880"/>
    <cellStyle name="20% - Accent1 2 2 2 11 2 2 2 2 2" xfId="49007"/>
    <cellStyle name="20% - Accent1 2 2 2 11 2 2 2 3" xfId="36495"/>
    <cellStyle name="20% - Accent1 2 2 2 11 2 2 3" xfId="10341"/>
    <cellStyle name="20% - Accent1 2 2 2 11 2 2 3 2" xfId="42853"/>
    <cellStyle name="20% - Accent1 2 2 2 11 2 2 4" xfId="22142"/>
    <cellStyle name="20% - Accent1 2 2 2 11 2 2 4 2" xfId="49008"/>
    <cellStyle name="20% - Accent1 2 2 2 11 2 2 5" xfId="35757"/>
    <cellStyle name="20% - Accent1 2 2 2 11 2 3" xfId="11080"/>
    <cellStyle name="20% - Accent1 2 2 2 11 2 3 2" xfId="22881"/>
    <cellStyle name="20% - Accent1 2 2 2 11 2 3 2 2" xfId="42854"/>
    <cellStyle name="20% - Accent1 2 2 2 11 2 3 3" xfId="29116"/>
    <cellStyle name="20% - Accent1 2 2 2 11 2 3 3 2" xfId="42855"/>
    <cellStyle name="20% - Accent1 2 2 2 11 2 3 4" xfId="29117"/>
    <cellStyle name="20% - Accent1 2 2 2 11 2 3 4 2" xfId="49009"/>
    <cellStyle name="20% - Accent1 2 2 2 11 2 3 5" xfId="36496"/>
    <cellStyle name="20% - Accent1 2 2 2 11 2 4" xfId="11081"/>
    <cellStyle name="20% - Accent1 2 2 2 11 2 4 2" xfId="22882"/>
    <cellStyle name="20% - Accent1 2 2 2 11 2 4 2 2" xfId="49010"/>
    <cellStyle name="20% - Accent1 2 2 2 11 2 4 3" xfId="36497"/>
    <cellStyle name="20% - Accent1 2 2 2 11 2 5" xfId="6435"/>
    <cellStyle name="20% - Accent1 2 2 2 11 2 5 2" xfId="42856"/>
    <cellStyle name="20% - Accent1 2 2 2 11 2 6" xfId="18236"/>
    <cellStyle name="20% - Accent1 2 2 2 11 2 6 2" xfId="49011"/>
    <cellStyle name="20% - Accent1 2 2 2 11 2 7" xfId="31851"/>
    <cellStyle name="20% - Accent1 2 2 2 11 3" xfId="3047"/>
    <cellStyle name="20% - Accent1 2 2 2 11 3 2" xfId="11082"/>
    <cellStyle name="20% - Accent1 2 2 2 11 3 2 2" xfId="22883"/>
    <cellStyle name="20% - Accent1 2 2 2 11 3 2 2 2" xfId="49012"/>
    <cellStyle name="20% - Accent1 2 2 2 11 3 2 3" xfId="36498"/>
    <cellStyle name="20% - Accent1 2 2 2 11 3 3" xfId="8500"/>
    <cellStyle name="20% - Accent1 2 2 2 11 3 3 2" xfId="42857"/>
    <cellStyle name="20% - Accent1 2 2 2 11 3 4" xfId="20301"/>
    <cellStyle name="20% - Accent1 2 2 2 11 3 4 2" xfId="49013"/>
    <cellStyle name="20% - Accent1 2 2 2 11 3 5" xfId="33916"/>
    <cellStyle name="20% - Accent1 2 2 2 11 4" xfId="11083"/>
    <cellStyle name="20% - Accent1 2 2 2 11 4 2" xfId="22884"/>
    <cellStyle name="20% - Accent1 2 2 2 11 4 2 2" xfId="42858"/>
    <cellStyle name="20% - Accent1 2 2 2 11 4 3" xfId="29118"/>
    <cellStyle name="20% - Accent1 2 2 2 11 4 3 2" xfId="42859"/>
    <cellStyle name="20% - Accent1 2 2 2 11 4 4" xfId="29119"/>
    <cellStyle name="20% - Accent1 2 2 2 11 4 4 2" xfId="49014"/>
    <cellStyle name="20% - Accent1 2 2 2 11 4 5" xfId="36499"/>
    <cellStyle name="20% - Accent1 2 2 2 11 5" xfId="11084"/>
    <cellStyle name="20% - Accent1 2 2 2 11 5 2" xfId="22885"/>
    <cellStyle name="20% - Accent1 2 2 2 11 5 2 2" xfId="49015"/>
    <cellStyle name="20% - Accent1 2 2 2 11 5 3" xfId="36500"/>
    <cellStyle name="20% - Accent1 2 2 2 11 6" xfId="6273"/>
    <cellStyle name="20% - Accent1 2 2 2 11 6 2" xfId="42860"/>
    <cellStyle name="20% - Accent1 2 2 2 11 7" xfId="18074"/>
    <cellStyle name="20% - Accent1 2 2 2 11 7 2" xfId="49016"/>
    <cellStyle name="20% - Accent1 2 2 2 11 8" xfId="31689"/>
    <cellStyle name="20% - Accent1 2 2 2 12" xfId="982"/>
    <cellStyle name="20% - Accent1 2 2 2 12 2" xfId="3752"/>
    <cellStyle name="20% - Accent1 2 2 2 12 2 2" xfId="11085"/>
    <cellStyle name="20% - Accent1 2 2 2 12 2 2 2" xfId="22886"/>
    <cellStyle name="20% - Accent1 2 2 2 12 2 2 2 2" xfId="49017"/>
    <cellStyle name="20% - Accent1 2 2 2 12 2 2 3" xfId="36501"/>
    <cellStyle name="20% - Accent1 2 2 2 12 2 3" xfId="9205"/>
    <cellStyle name="20% - Accent1 2 2 2 12 2 3 2" xfId="42861"/>
    <cellStyle name="20% - Accent1 2 2 2 12 2 4" xfId="21006"/>
    <cellStyle name="20% - Accent1 2 2 2 12 2 4 2" xfId="49018"/>
    <cellStyle name="20% - Accent1 2 2 2 12 2 5" xfId="34621"/>
    <cellStyle name="20% - Accent1 2 2 2 12 3" xfId="11086"/>
    <cellStyle name="20% - Accent1 2 2 2 12 3 2" xfId="22887"/>
    <cellStyle name="20% - Accent1 2 2 2 12 3 2 2" xfId="42862"/>
    <cellStyle name="20% - Accent1 2 2 2 12 3 3" xfId="29120"/>
    <cellStyle name="20% - Accent1 2 2 2 12 3 3 2" xfId="42863"/>
    <cellStyle name="20% - Accent1 2 2 2 12 3 4" xfId="29121"/>
    <cellStyle name="20% - Accent1 2 2 2 12 3 4 2" xfId="49019"/>
    <cellStyle name="20% - Accent1 2 2 2 12 3 5" xfId="36502"/>
    <cellStyle name="20% - Accent1 2 2 2 12 4" xfId="11087"/>
    <cellStyle name="20% - Accent1 2 2 2 12 4 2" xfId="22888"/>
    <cellStyle name="20% - Accent1 2 2 2 12 4 2 2" xfId="49020"/>
    <cellStyle name="20% - Accent1 2 2 2 12 4 3" xfId="36503"/>
    <cellStyle name="20% - Accent1 2 2 2 12 5" xfId="6436"/>
    <cellStyle name="20% - Accent1 2 2 2 12 5 2" xfId="42864"/>
    <cellStyle name="20% - Accent1 2 2 2 12 6" xfId="18237"/>
    <cellStyle name="20% - Accent1 2 2 2 12 6 2" xfId="49021"/>
    <cellStyle name="20% - Accent1 2 2 2 12 7" xfId="31852"/>
    <cellStyle name="20% - Accent1 2 2 2 13" xfId="3615"/>
    <cellStyle name="20% - Accent1 2 2 2 13 2" xfId="11088"/>
    <cellStyle name="20% - Accent1 2 2 2 13 2 2" xfId="22889"/>
    <cellStyle name="20% - Accent1 2 2 2 13 2 2 2" xfId="49022"/>
    <cellStyle name="20% - Accent1 2 2 2 13 2 3" xfId="36504"/>
    <cellStyle name="20% - Accent1 2 2 2 13 3" xfId="9068"/>
    <cellStyle name="20% - Accent1 2 2 2 13 3 2" xfId="42865"/>
    <cellStyle name="20% - Accent1 2 2 2 13 4" xfId="20869"/>
    <cellStyle name="20% - Accent1 2 2 2 13 4 2" xfId="49023"/>
    <cellStyle name="20% - Accent1 2 2 2 13 5" xfId="34484"/>
    <cellStyle name="20% - Accent1 2 2 2 14" xfId="1911"/>
    <cellStyle name="20% - Accent1 2 2 2 14 2" xfId="11089"/>
    <cellStyle name="20% - Accent1 2 2 2 14 2 2" xfId="22890"/>
    <cellStyle name="20% - Accent1 2 2 2 14 2 2 2" xfId="49024"/>
    <cellStyle name="20% - Accent1 2 2 2 14 2 3" xfId="36505"/>
    <cellStyle name="20% - Accent1 2 2 2 14 3" xfId="7364"/>
    <cellStyle name="20% - Accent1 2 2 2 14 3 2" xfId="42866"/>
    <cellStyle name="20% - Accent1 2 2 2 14 4" xfId="19165"/>
    <cellStyle name="20% - Accent1 2 2 2 14 4 2" xfId="49025"/>
    <cellStyle name="20% - Accent1 2 2 2 14 5" xfId="32780"/>
    <cellStyle name="20% - Accent1 2 2 2 15" xfId="11090"/>
    <cellStyle name="20% - Accent1 2 2 2 15 2" xfId="22891"/>
    <cellStyle name="20% - Accent1 2 2 2 15 2 2" xfId="49026"/>
    <cellStyle name="20% - Accent1 2 2 2 15 3" xfId="36506"/>
    <cellStyle name="20% - Accent1 2 2 2 16" xfId="5464"/>
    <cellStyle name="20% - Accent1 2 2 2 16 2" xfId="42867"/>
    <cellStyle name="20% - Accent1 2 2 2 17" xfId="17265"/>
    <cellStyle name="20% - Accent1 2 2 2 17 2" xfId="49027"/>
    <cellStyle name="20% - Accent1 2 2 2 18" xfId="30880"/>
    <cellStyle name="20% - Accent1 2 2 2 2" xfId="14"/>
    <cellStyle name="20% - Accent1 2 2 2 2 10" xfId="983"/>
    <cellStyle name="20% - Accent1 2 2 2 2 10 2" xfId="3756"/>
    <cellStyle name="20% - Accent1 2 2 2 2 10 2 2" xfId="11091"/>
    <cellStyle name="20% - Accent1 2 2 2 2 10 2 2 2" xfId="22892"/>
    <cellStyle name="20% - Accent1 2 2 2 2 10 2 2 2 2" xfId="49028"/>
    <cellStyle name="20% - Accent1 2 2 2 2 10 2 2 3" xfId="36507"/>
    <cellStyle name="20% - Accent1 2 2 2 2 10 2 3" xfId="9209"/>
    <cellStyle name="20% - Accent1 2 2 2 2 10 2 3 2" xfId="42868"/>
    <cellStyle name="20% - Accent1 2 2 2 2 10 2 4" xfId="21010"/>
    <cellStyle name="20% - Accent1 2 2 2 2 10 2 4 2" xfId="49029"/>
    <cellStyle name="20% - Accent1 2 2 2 2 10 2 5" xfId="34625"/>
    <cellStyle name="20% - Accent1 2 2 2 2 10 3" xfId="11092"/>
    <cellStyle name="20% - Accent1 2 2 2 2 10 3 2" xfId="22893"/>
    <cellStyle name="20% - Accent1 2 2 2 2 10 3 2 2" xfId="42869"/>
    <cellStyle name="20% - Accent1 2 2 2 2 10 3 3" xfId="29122"/>
    <cellStyle name="20% - Accent1 2 2 2 2 10 3 3 2" xfId="42870"/>
    <cellStyle name="20% - Accent1 2 2 2 2 10 3 4" xfId="29123"/>
    <cellStyle name="20% - Accent1 2 2 2 2 10 3 4 2" xfId="49030"/>
    <cellStyle name="20% - Accent1 2 2 2 2 10 3 5" xfId="36508"/>
    <cellStyle name="20% - Accent1 2 2 2 2 10 4" xfId="11093"/>
    <cellStyle name="20% - Accent1 2 2 2 2 10 4 2" xfId="22894"/>
    <cellStyle name="20% - Accent1 2 2 2 2 10 4 2 2" xfId="49031"/>
    <cellStyle name="20% - Accent1 2 2 2 2 10 4 3" xfId="36509"/>
    <cellStyle name="20% - Accent1 2 2 2 2 10 5" xfId="6437"/>
    <cellStyle name="20% - Accent1 2 2 2 2 10 5 2" xfId="42871"/>
    <cellStyle name="20% - Accent1 2 2 2 2 10 6" xfId="18238"/>
    <cellStyle name="20% - Accent1 2 2 2 2 10 6 2" xfId="49032"/>
    <cellStyle name="20% - Accent1 2 2 2 2 10 7" xfId="31853"/>
    <cellStyle name="20% - Accent1 2 2 2 2 11" xfId="951"/>
    <cellStyle name="20% - Accent1 2 2 2 2 11 2" xfId="1898"/>
    <cellStyle name="20% - Accent1 2 2 2 2 11 2 2" xfId="11094"/>
    <cellStyle name="20% - Accent1 2 2 2 2 11 2 2 2" xfId="22895"/>
    <cellStyle name="20% - Accent1 2 2 2 2 11 2 2 2 2" xfId="49033"/>
    <cellStyle name="20% - Accent1 2 2 2 2 11 2 2 3" xfId="36510"/>
    <cellStyle name="20% - Accent1 2 2 2 2 11 2 3" xfId="7351"/>
    <cellStyle name="20% - Accent1 2 2 2 2 11 2 3 2" xfId="42872"/>
    <cellStyle name="20% - Accent1 2 2 2 2 11 2 4" xfId="19152"/>
    <cellStyle name="20% - Accent1 2 2 2 2 11 2 4 2" xfId="49034"/>
    <cellStyle name="20% - Accent1 2 2 2 2 11 2 5" xfId="32767"/>
    <cellStyle name="20% - Accent1 2 2 2 2 11 3" xfId="1901"/>
    <cellStyle name="20% - Accent1 2 2 2 2 11 3 2" xfId="5453"/>
    <cellStyle name="20% - Accent1 2 2 2 2 11 3 2 2" xfId="17255"/>
    <cellStyle name="20% - Accent1 2 2 2 2 11 3 2 2 2" xfId="29056"/>
    <cellStyle name="20% - Accent1 2 2 2 2 11 3 2 2 2 2" xfId="49035"/>
    <cellStyle name="20% - Accent1 2 2 2 2 11 3 2 2 3" xfId="42671"/>
    <cellStyle name="20% - Accent1 2 2 2 2 11 3 2 3" xfId="10906"/>
    <cellStyle name="20% - Accent1 2 2 2 2 11 3 2 3 2" xfId="49036"/>
    <cellStyle name="20% - Accent1 2 2 2 2 11 3 2 4" xfId="22707"/>
    <cellStyle name="20% - Accent1 2 2 2 2 11 3 2 4 2" xfId="49037"/>
    <cellStyle name="20% - Accent1 2 2 2 2 11 3 2 5" xfId="36322"/>
    <cellStyle name="20% - Accent1 2 2 2 2 11 3 2 6" xfId="61745"/>
    <cellStyle name="20% - Accent1 2 2 2 2 11 3 2 6 2" xfId="61762"/>
    <cellStyle name="20% - Accent1 2 2 2 2 11 3 3" xfId="16919"/>
    <cellStyle name="20% - Accent1 2 2 2 2 11 3 3 2" xfId="28720"/>
    <cellStyle name="20% - Accent1 2 2 2 2 11 3 3 2 2" xfId="49038"/>
    <cellStyle name="20% - Accent1 2 2 2 2 11 3 3 3" xfId="42335"/>
    <cellStyle name="20% - Accent1 2 2 2 2 11 3 4" xfId="7354"/>
    <cellStyle name="20% - Accent1 2 2 2 2 11 3 4 2" xfId="49039"/>
    <cellStyle name="20% - Accent1 2 2 2 2 11 3 5" xfId="19155"/>
    <cellStyle name="20% - Accent1 2 2 2 2 11 3 5 2" xfId="49040"/>
    <cellStyle name="20% - Accent1 2 2 2 2 11 3 6" xfId="32770"/>
    <cellStyle name="20% - Accent1 2 2 2 2 11 4" xfId="3619"/>
    <cellStyle name="20% - Accent1 2 2 2 2 11 4 2" xfId="16933"/>
    <cellStyle name="20% - Accent1 2 2 2 2 11 4 2 2" xfId="28734"/>
    <cellStyle name="20% - Accent1 2 2 2 2 11 4 2 2 2" xfId="49041"/>
    <cellStyle name="20% - Accent1 2 2 2 2 11 4 2 3" xfId="42349"/>
    <cellStyle name="20% - Accent1 2 2 2 2 11 4 3" xfId="9072"/>
    <cellStyle name="20% - Accent1 2 2 2 2 11 4 3 2" xfId="49042"/>
    <cellStyle name="20% - Accent1 2 2 2 2 11 4 4" xfId="20873"/>
    <cellStyle name="20% - Accent1 2 2 2 2 11 4 4 2" xfId="49043"/>
    <cellStyle name="20% - Accent1 2 2 2 2 11 4 5" xfId="34488"/>
    <cellStyle name="20% - Accent1 2 2 2 2 11 5" xfId="11095"/>
    <cellStyle name="20% - Accent1 2 2 2 2 11 5 2" xfId="22896"/>
    <cellStyle name="20% - Accent1 2 2 2 2 11 5 2 2" xfId="49044"/>
    <cellStyle name="20% - Accent1 2 2 2 2 11 5 3" xfId="36511"/>
    <cellStyle name="20% - Accent1 2 2 2 2 11 6" xfId="6405"/>
    <cellStyle name="20% - Accent1 2 2 2 2 11 6 2" xfId="49045"/>
    <cellStyle name="20% - Accent1 2 2 2 2 11 7" xfId="18206"/>
    <cellStyle name="20% - Accent1 2 2 2 2 11 7 2" xfId="49046"/>
    <cellStyle name="20% - Accent1 2 2 2 2 11 8" xfId="31821"/>
    <cellStyle name="20% - Accent1 2 2 2 2 12" xfId="1915"/>
    <cellStyle name="20% - Accent1 2 2 2 2 12 2" xfId="11096"/>
    <cellStyle name="20% - Accent1 2 2 2 2 12 2 2" xfId="22897"/>
    <cellStyle name="20% - Accent1 2 2 2 2 12 2 2 2" xfId="49047"/>
    <cellStyle name="20% - Accent1 2 2 2 2 12 2 3" xfId="36512"/>
    <cellStyle name="20% - Accent1 2 2 2 2 12 3" xfId="7368"/>
    <cellStyle name="20% - Accent1 2 2 2 2 12 3 2" xfId="42873"/>
    <cellStyle name="20% - Accent1 2 2 2 2 12 4" xfId="19169"/>
    <cellStyle name="20% - Accent1 2 2 2 2 12 4 2" xfId="49048"/>
    <cellStyle name="20% - Accent1 2 2 2 2 12 5" xfId="32784"/>
    <cellStyle name="20% - Accent1 2 2 2 2 13" xfId="11097"/>
    <cellStyle name="20% - Accent1 2 2 2 2 13 2" xfId="22898"/>
    <cellStyle name="20% - Accent1 2 2 2 2 13 2 2" xfId="42874"/>
    <cellStyle name="20% - Accent1 2 2 2 2 13 3" xfId="29124"/>
    <cellStyle name="20% - Accent1 2 2 2 2 13 3 2" xfId="42875"/>
    <cellStyle name="20% - Accent1 2 2 2 2 13 4" xfId="29125"/>
    <cellStyle name="20% - Accent1 2 2 2 2 13 4 2" xfId="49049"/>
    <cellStyle name="20% - Accent1 2 2 2 2 13 5" xfId="36513"/>
    <cellStyle name="20% - Accent1 2 2 2 2 14" xfId="11098"/>
    <cellStyle name="20% - Accent1 2 2 2 2 14 2" xfId="22899"/>
    <cellStyle name="20% - Accent1 2 2 2 2 14 2 2" xfId="49050"/>
    <cellStyle name="20% - Accent1 2 2 2 2 14 3" xfId="36514"/>
    <cellStyle name="20% - Accent1 2 2 2 2 15" xfId="5468"/>
    <cellStyle name="20% - Accent1 2 2 2 2 15 2" xfId="42876"/>
    <cellStyle name="20% - Accent1 2 2 2 2 16" xfId="17269"/>
    <cellStyle name="20% - Accent1 2 2 2 2 16 2" xfId="49051"/>
    <cellStyle name="20% - Accent1 2 2 2 2 17" xfId="30884"/>
    <cellStyle name="20% - Accent1 2 2 2 2 2" xfId="29"/>
    <cellStyle name="20% - Accent1 2 2 2 2 2 10" xfId="1930"/>
    <cellStyle name="20% - Accent1 2 2 2 2 2 10 2" xfId="11099"/>
    <cellStyle name="20% - Accent1 2 2 2 2 2 10 2 2" xfId="22900"/>
    <cellStyle name="20% - Accent1 2 2 2 2 2 10 2 2 2" xfId="49052"/>
    <cellStyle name="20% - Accent1 2 2 2 2 2 10 2 3" xfId="36515"/>
    <cellStyle name="20% - Accent1 2 2 2 2 2 10 3" xfId="7383"/>
    <cellStyle name="20% - Accent1 2 2 2 2 2 10 3 2" xfId="42877"/>
    <cellStyle name="20% - Accent1 2 2 2 2 2 10 4" xfId="19184"/>
    <cellStyle name="20% - Accent1 2 2 2 2 2 10 4 2" xfId="49053"/>
    <cellStyle name="20% - Accent1 2 2 2 2 2 10 5" xfId="32799"/>
    <cellStyle name="20% - Accent1 2 2 2 2 2 11" xfId="11100"/>
    <cellStyle name="20% - Accent1 2 2 2 2 2 11 2" xfId="22901"/>
    <cellStyle name="20% - Accent1 2 2 2 2 2 11 2 2" xfId="49054"/>
    <cellStyle name="20% - Accent1 2 2 2 2 2 11 3" xfId="36516"/>
    <cellStyle name="20% - Accent1 2 2 2 2 2 12" xfId="5483"/>
    <cellStyle name="20% - Accent1 2 2 2 2 2 12 2" xfId="42878"/>
    <cellStyle name="20% - Accent1 2 2 2 2 2 13" xfId="17284"/>
    <cellStyle name="20% - Accent1 2 2 2 2 2 13 2" xfId="49055"/>
    <cellStyle name="20% - Accent1 2 2 2 2 2 14" xfId="30899"/>
    <cellStyle name="20% - Accent1 2 2 2 2 2 2" xfId="96"/>
    <cellStyle name="20% - Accent1 2 2 2 2 2 2 10" xfId="5550"/>
    <cellStyle name="20% - Accent1 2 2 2 2 2 2 10 2" xfId="42879"/>
    <cellStyle name="20% - Accent1 2 2 2 2 2 2 11" xfId="17351"/>
    <cellStyle name="20% - Accent1 2 2 2 2 2 2 11 2" xfId="49056"/>
    <cellStyle name="20% - Accent1 2 2 2 2 2 2 12" xfId="30966"/>
    <cellStyle name="20% - Accent1 2 2 2 2 2 2 2" xfId="192"/>
    <cellStyle name="20% - Accent1 2 2 2 2 2 2 2 10" xfId="31062"/>
    <cellStyle name="20% - Accent1 2 2 2 2 2 2 2 2" xfId="523"/>
    <cellStyle name="20% - Accent1 2 2 2 2 2 2 2 2 2" xfId="984"/>
    <cellStyle name="20% - Accent1 2 2 2 2 2 2 2 2 2 2" xfId="4833"/>
    <cellStyle name="20% - Accent1 2 2 2 2 2 2 2 2 2 2 2" xfId="11101"/>
    <cellStyle name="20% - Accent1 2 2 2 2 2 2 2 2 2 2 2 2" xfId="22902"/>
    <cellStyle name="20% - Accent1 2 2 2 2 2 2 2 2 2 2 2 2 2" xfId="49057"/>
    <cellStyle name="20% - Accent1 2 2 2 2 2 2 2 2 2 2 2 3" xfId="36517"/>
    <cellStyle name="20% - Accent1 2 2 2 2 2 2 2 2 2 2 3" xfId="10286"/>
    <cellStyle name="20% - Accent1 2 2 2 2 2 2 2 2 2 2 3 2" xfId="42880"/>
    <cellStyle name="20% - Accent1 2 2 2 2 2 2 2 2 2 2 4" xfId="22087"/>
    <cellStyle name="20% - Accent1 2 2 2 2 2 2 2 2 2 2 4 2" xfId="49058"/>
    <cellStyle name="20% - Accent1 2 2 2 2 2 2 2 2 2 2 5" xfId="35702"/>
    <cellStyle name="20% - Accent1 2 2 2 2 2 2 2 2 2 3" xfId="2992"/>
    <cellStyle name="20% - Accent1 2 2 2 2 2 2 2 2 2 3 2" xfId="11102"/>
    <cellStyle name="20% - Accent1 2 2 2 2 2 2 2 2 2 3 2 2" xfId="22903"/>
    <cellStyle name="20% - Accent1 2 2 2 2 2 2 2 2 2 3 2 2 2" xfId="49059"/>
    <cellStyle name="20% - Accent1 2 2 2 2 2 2 2 2 2 3 2 3" xfId="36518"/>
    <cellStyle name="20% - Accent1 2 2 2 2 2 2 2 2 2 3 3" xfId="8445"/>
    <cellStyle name="20% - Accent1 2 2 2 2 2 2 2 2 2 3 3 2" xfId="42881"/>
    <cellStyle name="20% - Accent1 2 2 2 2 2 2 2 2 2 3 4" xfId="20246"/>
    <cellStyle name="20% - Accent1 2 2 2 2 2 2 2 2 2 3 4 2" xfId="49060"/>
    <cellStyle name="20% - Accent1 2 2 2 2 2 2 2 2 2 3 5" xfId="33861"/>
    <cellStyle name="20% - Accent1 2 2 2 2 2 2 2 2 2 4" xfId="11103"/>
    <cellStyle name="20% - Accent1 2 2 2 2 2 2 2 2 2 4 2" xfId="22904"/>
    <cellStyle name="20% - Accent1 2 2 2 2 2 2 2 2 2 4 2 2" xfId="49061"/>
    <cellStyle name="20% - Accent1 2 2 2 2 2 2 2 2 2 4 3" xfId="36519"/>
    <cellStyle name="20% - Accent1 2 2 2 2 2 2 2 2 2 5" xfId="6438"/>
    <cellStyle name="20% - Accent1 2 2 2 2 2 2 2 2 2 5 2" xfId="42882"/>
    <cellStyle name="20% - Accent1 2 2 2 2 2 2 2 2 2 6" xfId="18239"/>
    <cellStyle name="20% - Accent1 2 2 2 2 2 2 2 2 2 6 2" xfId="49062"/>
    <cellStyle name="20% - Accent1 2 2 2 2 2 2 2 2 2 7" xfId="31854"/>
    <cellStyle name="20% - Accent1 2 2 2 2 2 2 2 2 3" xfId="3560"/>
    <cellStyle name="20% - Accent1 2 2 2 2 2 2 2 2 3 2" xfId="5401"/>
    <cellStyle name="20% - Accent1 2 2 2 2 2 2 2 2 3 2 2" xfId="16871"/>
    <cellStyle name="20% - Accent1 2 2 2 2 2 2 2 2 3 2 2 2" xfId="28672"/>
    <cellStyle name="20% - Accent1 2 2 2 2 2 2 2 2 3 2 2 2 2" xfId="49063"/>
    <cellStyle name="20% - Accent1 2 2 2 2 2 2 2 2 3 2 2 3" xfId="42287"/>
    <cellStyle name="20% - Accent1 2 2 2 2 2 2 2 2 3 2 3" xfId="10854"/>
    <cellStyle name="20% - Accent1 2 2 2 2 2 2 2 2 3 2 3 2" xfId="49064"/>
    <cellStyle name="20% - Accent1 2 2 2 2 2 2 2 2 3 2 4" xfId="22655"/>
    <cellStyle name="20% - Accent1 2 2 2 2 2 2 2 2 3 2 4 2" xfId="49065"/>
    <cellStyle name="20% - Accent1 2 2 2 2 2 2 2 2 3 2 5" xfId="36270"/>
    <cellStyle name="20% - Accent1 2 2 2 2 2 2 2 2 3 3" xfId="11104"/>
    <cellStyle name="20% - Accent1 2 2 2 2 2 2 2 2 3 3 2" xfId="22905"/>
    <cellStyle name="20% - Accent1 2 2 2 2 2 2 2 2 3 3 2 2" xfId="49066"/>
    <cellStyle name="20% - Accent1 2 2 2 2 2 2 2 2 3 3 3" xfId="36520"/>
    <cellStyle name="20% - Accent1 2 2 2 2 2 2 2 2 3 4" xfId="9013"/>
    <cellStyle name="20% - Accent1 2 2 2 2 2 2 2 2 3 4 2" xfId="49067"/>
    <cellStyle name="20% - Accent1 2 2 2 2 2 2 2 2 3 5" xfId="20814"/>
    <cellStyle name="20% - Accent1 2 2 2 2 2 2 2 2 3 5 2" xfId="49068"/>
    <cellStyle name="20% - Accent1 2 2 2 2 2 2 2 2 3 6" xfId="34429"/>
    <cellStyle name="20% - Accent1 2 2 2 2 2 2 2 2 4" xfId="4265"/>
    <cellStyle name="20% - Accent1 2 2 2 2 2 2 2 2 4 2" xfId="11105"/>
    <cellStyle name="20% - Accent1 2 2 2 2 2 2 2 2 4 2 2" xfId="22906"/>
    <cellStyle name="20% - Accent1 2 2 2 2 2 2 2 2 4 2 2 2" xfId="49069"/>
    <cellStyle name="20% - Accent1 2 2 2 2 2 2 2 2 4 2 3" xfId="36521"/>
    <cellStyle name="20% - Accent1 2 2 2 2 2 2 2 2 4 3" xfId="9718"/>
    <cellStyle name="20% - Accent1 2 2 2 2 2 2 2 2 4 3 2" xfId="42883"/>
    <cellStyle name="20% - Accent1 2 2 2 2 2 2 2 2 4 4" xfId="21519"/>
    <cellStyle name="20% - Accent1 2 2 2 2 2 2 2 2 4 4 2" xfId="49070"/>
    <cellStyle name="20% - Accent1 2 2 2 2 2 2 2 2 4 5" xfId="35134"/>
    <cellStyle name="20% - Accent1 2 2 2 2 2 2 2 2 5" xfId="2424"/>
    <cellStyle name="20% - Accent1 2 2 2 2 2 2 2 2 5 2" xfId="16934"/>
    <cellStyle name="20% - Accent1 2 2 2 2 2 2 2 2 5 2 2" xfId="28735"/>
    <cellStyle name="20% - Accent1 2 2 2 2 2 2 2 2 5 2 2 2" xfId="49071"/>
    <cellStyle name="20% - Accent1 2 2 2 2 2 2 2 2 5 2 3" xfId="42350"/>
    <cellStyle name="20% - Accent1 2 2 2 2 2 2 2 2 5 3" xfId="7877"/>
    <cellStyle name="20% - Accent1 2 2 2 2 2 2 2 2 5 3 2" xfId="49072"/>
    <cellStyle name="20% - Accent1 2 2 2 2 2 2 2 2 5 4" xfId="19678"/>
    <cellStyle name="20% - Accent1 2 2 2 2 2 2 2 2 5 4 2" xfId="49073"/>
    <cellStyle name="20% - Accent1 2 2 2 2 2 2 2 2 5 5" xfId="33293"/>
    <cellStyle name="20% - Accent1 2 2 2 2 2 2 2 2 6" xfId="11106"/>
    <cellStyle name="20% - Accent1 2 2 2 2 2 2 2 2 6 2" xfId="22907"/>
    <cellStyle name="20% - Accent1 2 2 2 2 2 2 2 2 6 2 2" xfId="49074"/>
    <cellStyle name="20% - Accent1 2 2 2 2 2 2 2 2 6 3" xfId="36522"/>
    <cellStyle name="20% - Accent1 2 2 2 2 2 2 2 2 7" xfId="5977"/>
    <cellStyle name="20% - Accent1 2 2 2 2 2 2 2 2 7 2" xfId="49075"/>
    <cellStyle name="20% - Accent1 2 2 2 2 2 2 2 2 8" xfId="17778"/>
    <cellStyle name="20% - Accent1 2 2 2 2 2 2 2 2 8 2" xfId="49076"/>
    <cellStyle name="20% - Accent1 2 2 2 2 2 2 2 2 9" xfId="31393"/>
    <cellStyle name="20% - Accent1 2 2 2 2 2 2 2 3" xfId="760"/>
    <cellStyle name="20% - Accent1 2 2 2 2 2 2 2 3 2" xfId="985"/>
    <cellStyle name="20% - Accent1 2 2 2 2 2 2 2 3 2 2" xfId="4502"/>
    <cellStyle name="20% - Accent1 2 2 2 2 2 2 2 3 2 2 2" xfId="11107"/>
    <cellStyle name="20% - Accent1 2 2 2 2 2 2 2 3 2 2 2 2" xfId="22908"/>
    <cellStyle name="20% - Accent1 2 2 2 2 2 2 2 3 2 2 2 2 2" xfId="49077"/>
    <cellStyle name="20% - Accent1 2 2 2 2 2 2 2 3 2 2 2 3" xfId="36523"/>
    <cellStyle name="20% - Accent1 2 2 2 2 2 2 2 3 2 2 3" xfId="9955"/>
    <cellStyle name="20% - Accent1 2 2 2 2 2 2 2 3 2 2 3 2" xfId="42884"/>
    <cellStyle name="20% - Accent1 2 2 2 2 2 2 2 3 2 2 4" xfId="21756"/>
    <cellStyle name="20% - Accent1 2 2 2 2 2 2 2 3 2 2 4 2" xfId="49078"/>
    <cellStyle name="20% - Accent1 2 2 2 2 2 2 2 3 2 2 5" xfId="35371"/>
    <cellStyle name="20% - Accent1 2 2 2 2 2 2 2 3 2 3" xfId="11108"/>
    <cellStyle name="20% - Accent1 2 2 2 2 2 2 2 3 2 3 2" xfId="22909"/>
    <cellStyle name="20% - Accent1 2 2 2 2 2 2 2 3 2 3 2 2" xfId="42885"/>
    <cellStyle name="20% - Accent1 2 2 2 2 2 2 2 3 2 3 3" xfId="29126"/>
    <cellStyle name="20% - Accent1 2 2 2 2 2 2 2 3 2 3 3 2" xfId="42886"/>
    <cellStyle name="20% - Accent1 2 2 2 2 2 2 2 3 2 3 4" xfId="29127"/>
    <cellStyle name="20% - Accent1 2 2 2 2 2 2 2 3 2 3 4 2" xfId="49079"/>
    <cellStyle name="20% - Accent1 2 2 2 2 2 2 2 3 2 3 5" xfId="36524"/>
    <cellStyle name="20% - Accent1 2 2 2 2 2 2 2 3 2 4" xfId="11109"/>
    <cellStyle name="20% - Accent1 2 2 2 2 2 2 2 3 2 4 2" xfId="22910"/>
    <cellStyle name="20% - Accent1 2 2 2 2 2 2 2 3 2 4 2 2" xfId="49080"/>
    <cellStyle name="20% - Accent1 2 2 2 2 2 2 2 3 2 4 3" xfId="36525"/>
    <cellStyle name="20% - Accent1 2 2 2 2 2 2 2 3 2 5" xfId="6439"/>
    <cellStyle name="20% - Accent1 2 2 2 2 2 2 2 3 2 5 2" xfId="42887"/>
    <cellStyle name="20% - Accent1 2 2 2 2 2 2 2 3 2 6" xfId="18240"/>
    <cellStyle name="20% - Accent1 2 2 2 2 2 2 2 3 2 6 2" xfId="49081"/>
    <cellStyle name="20% - Accent1 2 2 2 2 2 2 2 3 2 7" xfId="31855"/>
    <cellStyle name="20% - Accent1 2 2 2 2 2 2 2 3 3" xfId="2661"/>
    <cellStyle name="20% - Accent1 2 2 2 2 2 2 2 3 3 2" xfId="11110"/>
    <cellStyle name="20% - Accent1 2 2 2 2 2 2 2 3 3 2 2" xfId="22911"/>
    <cellStyle name="20% - Accent1 2 2 2 2 2 2 2 3 3 2 2 2" xfId="49082"/>
    <cellStyle name="20% - Accent1 2 2 2 2 2 2 2 3 3 2 3" xfId="36526"/>
    <cellStyle name="20% - Accent1 2 2 2 2 2 2 2 3 3 3" xfId="8114"/>
    <cellStyle name="20% - Accent1 2 2 2 2 2 2 2 3 3 3 2" xfId="42888"/>
    <cellStyle name="20% - Accent1 2 2 2 2 2 2 2 3 3 4" xfId="19915"/>
    <cellStyle name="20% - Accent1 2 2 2 2 2 2 2 3 3 4 2" xfId="49083"/>
    <cellStyle name="20% - Accent1 2 2 2 2 2 2 2 3 3 5" xfId="33530"/>
    <cellStyle name="20% - Accent1 2 2 2 2 2 2 2 3 4" xfId="11111"/>
    <cellStyle name="20% - Accent1 2 2 2 2 2 2 2 3 4 2" xfId="22912"/>
    <cellStyle name="20% - Accent1 2 2 2 2 2 2 2 3 4 2 2" xfId="42889"/>
    <cellStyle name="20% - Accent1 2 2 2 2 2 2 2 3 4 3" xfId="29128"/>
    <cellStyle name="20% - Accent1 2 2 2 2 2 2 2 3 4 3 2" xfId="42890"/>
    <cellStyle name="20% - Accent1 2 2 2 2 2 2 2 3 4 4" xfId="29129"/>
    <cellStyle name="20% - Accent1 2 2 2 2 2 2 2 3 4 4 2" xfId="49084"/>
    <cellStyle name="20% - Accent1 2 2 2 2 2 2 2 3 4 5" xfId="36527"/>
    <cellStyle name="20% - Accent1 2 2 2 2 2 2 2 3 5" xfId="11112"/>
    <cellStyle name="20% - Accent1 2 2 2 2 2 2 2 3 5 2" xfId="22913"/>
    <cellStyle name="20% - Accent1 2 2 2 2 2 2 2 3 5 2 2" xfId="49085"/>
    <cellStyle name="20% - Accent1 2 2 2 2 2 2 2 3 5 3" xfId="36528"/>
    <cellStyle name="20% - Accent1 2 2 2 2 2 2 2 3 6" xfId="6214"/>
    <cellStyle name="20% - Accent1 2 2 2 2 2 2 2 3 6 2" xfId="42891"/>
    <cellStyle name="20% - Accent1 2 2 2 2 2 2 2 3 7" xfId="18015"/>
    <cellStyle name="20% - Accent1 2 2 2 2 2 2 2 3 7 2" xfId="49086"/>
    <cellStyle name="20% - Accent1 2 2 2 2 2 2 2 3 8" xfId="31630"/>
    <cellStyle name="20% - Accent1 2 2 2 2 2 2 2 4" xfId="986"/>
    <cellStyle name="20% - Accent1 2 2 2 2 2 2 2 4 2" xfId="5070"/>
    <cellStyle name="20% - Accent1 2 2 2 2 2 2 2 4 2 2" xfId="11113"/>
    <cellStyle name="20% - Accent1 2 2 2 2 2 2 2 4 2 2 2" xfId="22914"/>
    <cellStyle name="20% - Accent1 2 2 2 2 2 2 2 4 2 2 2 2" xfId="49087"/>
    <cellStyle name="20% - Accent1 2 2 2 2 2 2 2 4 2 2 3" xfId="36529"/>
    <cellStyle name="20% - Accent1 2 2 2 2 2 2 2 4 2 3" xfId="10523"/>
    <cellStyle name="20% - Accent1 2 2 2 2 2 2 2 4 2 3 2" xfId="42892"/>
    <cellStyle name="20% - Accent1 2 2 2 2 2 2 2 4 2 4" xfId="22324"/>
    <cellStyle name="20% - Accent1 2 2 2 2 2 2 2 4 2 4 2" xfId="49088"/>
    <cellStyle name="20% - Accent1 2 2 2 2 2 2 2 4 2 5" xfId="35939"/>
    <cellStyle name="20% - Accent1 2 2 2 2 2 2 2 4 3" xfId="3229"/>
    <cellStyle name="20% - Accent1 2 2 2 2 2 2 2 4 3 2" xfId="11114"/>
    <cellStyle name="20% - Accent1 2 2 2 2 2 2 2 4 3 2 2" xfId="22915"/>
    <cellStyle name="20% - Accent1 2 2 2 2 2 2 2 4 3 2 2 2" xfId="49089"/>
    <cellStyle name="20% - Accent1 2 2 2 2 2 2 2 4 3 2 3" xfId="36530"/>
    <cellStyle name="20% - Accent1 2 2 2 2 2 2 2 4 3 3" xfId="8682"/>
    <cellStyle name="20% - Accent1 2 2 2 2 2 2 2 4 3 3 2" xfId="42893"/>
    <cellStyle name="20% - Accent1 2 2 2 2 2 2 2 4 3 4" xfId="20483"/>
    <cellStyle name="20% - Accent1 2 2 2 2 2 2 2 4 3 4 2" xfId="49090"/>
    <cellStyle name="20% - Accent1 2 2 2 2 2 2 2 4 3 5" xfId="34098"/>
    <cellStyle name="20% - Accent1 2 2 2 2 2 2 2 4 4" xfId="11115"/>
    <cellStyle name="20% - Accent1 2 2 2 2 2 2 2 4 4 2" xfId="22916"/>
    <cellStyle name="20% - Accent1 2 2 2 2 2 2 2 4 4 2 2" xfId="49091"/>
    <cellStyle name="20% - Accent1 2 2 2 2 2 2 2 4 4 3" xfId="36531"/>
    <cellStyle name="20% - Accent1 2 2 2 2 2 2 2 4 5" xfId="6440"/>
    <cellStyle name="20% - Accent1 2 2 2 2 2 2 2 4 5 2" xfId="42894"/>
    <cellStyle name="20% - Accent1 2 2 2 2 2 2 2 4 6" xfId="18241"/>
    <cellStyle name="20% - Accent1 2 2 2 2 2 2 2 4 6 2" xfId="49092"/>
    <cellStyle name="20% - Accent1 2 2 2 2 2 2 2 4 7" xfId="31856"/>
    <cellStyle name="20% - Accent1 2 2 2 2 2 2 2 5" xfId="3934"/>
    <cellStyle name="20% - Accent1 2 2 2 2 2 2 2 5 2" xfId="11116"/>
    <cellStyle name="20% - Accent1 2 2 2 2 2 2 2 5 2 2" xfId="22917"/>
    <cellStyle name="20% - Accent1 2 2 2 2 2 2 2 5 2 2 2" xfId="49093"/>
    <cellStyle name="20% - Accent1 2 2 2 2 2 2 2 5 2 3" xfId="36532"/>
    <cellStyle name="20% - Accent1 2 2 2 2 2 2 2 5 3" xfId="9387"/>
    <cellStyle name="20% - Accent1 2 2 2 2 2 2 2 5 3 2" xfId="42895"/>
    <cellStyle name="20% - Accent1 2 2 2 2 2 2 2 5 4" xfId="21188"/>
    <cellStyle name="20% - Accent1 2 2 2 2 2 2 2 5 4 2" xfId="49094"/>
    <cellStyle name="20% - Accent1 2 2 2 2 2 2 2 5 5" xfId="34803"/>
    <cellStyle name="20% - Accent1 2 2 2 2 2 2 2 6" xfId="2093"/>
    <cellStyle name="20% - Accent1 2 2 2 2 2 2 2 6 2" xfId="11117"/>
    <cellStyle name="20% - Accent1 2 2 2 2 2 2 2 6 2 2" xfId="22918"/>
    <cellStyle name="20% - Accent1 2 2 2 2 2 2 2 6 2 2 2" xfId="49095"/>
    <cellStyle name="20% - Accent1 2 2 2 2 2 2 2 6 2 3" xfId="36533"/>
    <cellStyle name="20% - Accent1 2 2 2 2 2 2 2 6 3" xfId="7546"/>
    <cellStyle name="20% - Accent1 2 2 2 2 2 2 2 6 3 2" xfId="42896"/>
    <cellStyle name="20% - Accent1 2 2 2 2 2 2 2 6 4" xfId="19347"/>
    <cellStyle name="20% - Accent1 2 2 2 2 2 2 2 6 4 2" xfId="49096"/>
    <cellStyle name="20% - Accent1 2 2 2 2 2 2 2 6 5" xfId="32962"/>
    <cellStyle name="20% - Accent1 2 2 2 2 2 2 2 7" xfId="11118"/>
    <cellStyle name="20% - Accent1 2 2 2 2 2 2 2 7 2" xfId="22919"/>
    <cellStyle name="20% - Accent1 2 2 2 2 2 2 2 7 2 2" xfId="49097"/>
    <cellStyle name="20% - Accent1 2 2 2 2 2 2 2 7 3" xfId="36534"/>
    <cellStyle name="20% - Accent1 2 2 2 2 2 2 2 8" xfId="5646"/>
    <cellStyle name="20% - Accent1 2 2 2 2 2 2 2 8 2" xfId="42897"/>
    <cellStyle name="20% - Accent1 2 2 2 2 2 2 2 9" xfId="17447"/>
    <cellStyle name="20% - Accent1 2 2 2 2 2 2 2 9 2" xfId="49098"/>
    <cellStyle name="20% - Accent1 2 2 2 2 2 2 3" xfId="386"/>
    <cellStyle name="20% - Accent1 2 2 2 2 2 2 3 2" xfId="987"/>
    <cellStyle name="20% - Accent1 2 2 2 2 2 2 3 2 2" xfId="4696"/>
    <cellStyle name="20% - Accent1 2 2 2 2 2 2 3 2 2 2" xfId="11119"/>
    <cellStyle name="20% - Accent1 2 2 2 2 2 2 3 2 2 2 2" xfId="22920"/>
    <cellStyle name="20% - Accent1 2 2 2 2 2 2 3 2 2 2 2 2" xfId="49099"/>
    <cellStyle name="20% - Accent1 2 2 2 2 2 2 3 2 2 2 3" xfId="36535"/>
    <cellStyle name="20% - Accent1 2 2 2 2 2 2 3 2 2 3" xfId="10149"/>
    <cellStyle name="20% - Accent1 2 2 2 2 2 2 3 2 2 3 2" xfId="42898"/>
    <cellStyle name="20% - Accent1 2 2 2 2 2 2 3 2 2 4" xfId="21950"/>
    <cellStyle name="20% - Accent1 2 2 2 2 2 2 3 2 2 4 2" xfId="49100"/>
    <cellStyle name="20% - Accent1 2 2 2 2 2 2 3 2 2 5" xfId="35565"/>
    <cellStyle name="20% - Accent1 2 2 2 2 2 2 3 2 3" xfId="2855"/>
    <cellStyle name="20% - Accent1 2 2 2 2 2 2 3 2 3 2" xfId="11120"/>
    <cellStyle name="20% - Accent1 2 2 2 2 2 2 3 2 3 2 2" xfId="22921"/>
    <cellStyle name="20% - Accent1 2 2 2 2 2 2 3 2 3 2 2 2" xfId="49101"/>
    <cellStyle name="20% - Accent1 2 2 2 2 2 2 3 2 3 2 3" xfId="36536"/>
    <cellStyle name="20% - Accent1 2 2 2 2 2 2 3 2 3 3" xfId="8308"/>
    <cellStyle name="20% - Accent1 2 2 2 2 2 2 3 2 3 3 2" xfId="42899"/>
    <cellStyle name="20% - Accent1 2 2 2 2 2 2 3 2 3 4" xfId="20109"/>
    <cellStyle name="20% - Accent1 2 2 2 2 2 2 3 2 3 4 2" xfId="49102"/>
    <cellStyle name="20% - Accent1 2 2 2 2 2 2 3 2 3 5" xfId="33724"/>
    <cellStyle name="20% - Accent1 2 2 2 2 2 2 3 2 4" xfId="11121"/>
    <cellStyle name="20% - Accent1 2 2 2 2 2 2 3 2 4 2" xfId="22922"/>
    <cellStyle name="20% - Accent1 2 2 2 2 2 2 3 2 4 2 2" xfId="49103"/>
    <cellStyle name="20% - Accent1 2 2 2 2 2 2 3 2 4 3" xfId="36537"/>
    <cellStyle name="20% - Accent1 2 2 2 2 2 2 3 2 5" xfId="6441"/>
    <cellStyle name="20% - Accent1 2 2 2 2 2 2 3 2 5 2" xfId="42900"/>
    <cellStyle name="20% - Accent1 2 2 2 2 2 2 3 2 6" xfId="18242"/>
    <cellStyle name="20% - Accent1 2 2 2 2 2 2 3 2 6 2" xfId="49104"/>
    <cellStyle name="20% - Accent1 2 2 2 2 2 2 3 2 7" xfId="31857"/>
    <cellStyle name="20% - Accent1 2 2 2 2 2 2 3 3" xfId="3423"/>
    <cellStyle name="20% - Accent1 2 2 2 2 2 2 3 3 2" xfId="5264"/>
    <cellStyle name="20% - Accent1 2 2 2 2 2 2 3 3 2 2" xfId="16734"/>
    <cellStyle name="20% - Accent1 2 2 2 2 2 2 3 3 2 2 2" xfId="28535"/>
    <cellStyle name="20% - Accent1 2 2 2 2 2 2 3 3 2 2 2 2" xfId="49105"/>
    <cellStyle name="20% - Accent1 2 2 2 2 2 2 3 3 2 2 3" xfId="42150"/>
    <cellStyle name="20% - Accent1 2 2 2 2 2 2 3 3 2 3" xfId="10717"/>
    <cellStyle name="20% - Accent1 2 2 2 2 2 2 3 3 2 3 2" xfId="49106"/>
    <cellStyle name="20% - Accent1 2 2 2 2 2 2 3 3 2 4" xfId="22518"/>
    <cellStyle name="20% - Accent1 2 2 2 2 2 2 3 3 2 4 2" xfId="49107"/>
    <cellStyle name="20% - Accent1 2 2 2 2 2 2 3 3 2 5" xfId="36133"/>
    <cellStyle name="20% - Accent1 2 2 2 2 2 2 3 3 3" xfId="11122"/>
    <cellStyle name="20% - Accent1 2 2 2 2 2 2 3 3 3 2" xfId="22923"/>
    <cellStyle name="20% - Accent1 2 2 2 2 2 2 3 3 3 2 2" xfId="49108"/>
    <cellStyle name="20% - Accent1 2 2 2 2 2 2 3 3 3 3" xfId="36538"/>
    <cellStyle name="20% - Accent1 2 2 2 2 2 2 3 3 4" xfId="8876"/>
    <cellStyle name="20% - Accent1 2 2 2 2 2 2 3 3 4 2" xfId="49109"/>
    <cellStyle name="20% - Accent1 2 2 2 2 2 2 3 3 5" xfId="20677"/>
    <cellStyle name="20% - Accent1 2 2 2 2 2 2 3 3 5 2" xfId="49110"/>
    <cellStyle name="20% - Accent1 2 2 2 2 2 2 3 3 6" xfId="34292"/>
    <cellStyle name="20% - Accent1 2 2 2 2 2 2 3 4" xfId="4128"/>
    <cellStyle name="20% - Accent1 2 2 2 2 2 2 3 4 2" xfId="11123"/>
    <cellStyle name="20% - Accent1 2 2 2 2 2 2 3 4 2 2" xfId="22924"/>
    <cellStyle name="20% - Accent1 2 2 2 2 2 2 3 4 2 2 2" xfId="49111"/>
    <cellStyle name="20% - Accent1 2 2 2 2 2 2 3 4 2 3" xfId="36539"/>
    <cellStyle name="20% - Accent1 2 2 2 2 2 2 3 4 3" xfId="9581"/>
    <cellStyle name="20% - Accent1 2 2 2 2 2 2 3 4 3 2" xfId="42901"/>
    <cellStyle name="20% - Accent1 2 2 2 2 2 2 3 4 4" xfId="21382"/>
    <cellStyle name="20% - Accent1 2 2 2 2 2 2 3 4 4 2" xfId="49112"/>
    <cellStyle name="20% - Accent1 2 2 2 2 2 2 3 4 5" xfId="34997"/>
    <cellStyle name="20% - Accent1 2 2 2 2 2 2 3 5" xfId="2287"/>
    <cellStyle name="20% - Accent1 2 2 2 2 2 2 3 5 2" xfId="16935"/>
    <cellStyle name="20% - Accent1 2 2 2 2 2 2 3 5 2 2" xfId="28736"/>
    <cellStyle name="20% - Accent1 2 2 2 2 2 2 3 5 2 2 2" xfId="49113"/>
    <cellStyle name="20% - Accent1 2 2 2 2 2 2 3 5 2 3" xfId="42351"/>
    <cellStyle name="20% - Accent1 2 2 2 2 2 2 3 5 3" xfId="7740"/>
    <cellStyle name="20% - Accent1 2 2 2 2 2 2 3 5 3 2" xfId="49114"/>
    <cellStyle name="20% - Accent1 2 2 2 2 2 2 3 5 4" xfId="19541"/>
    <cellStyle name="20% - Accent1 2 2 2 2 2 2 3 5 4 2" xfId="49115"/>
    <cellStyle name="20% - Accent1 2 2 2 2 2 2 3 5 5" xfId="33156"/>
    <cellStyle name="20% - Accent1 2 2 2 2 2 2 3 6" xfId="11124"/>
    <cellStyle name="20% - Accent1 2 2 2 2 2 2 3 6 2" xfId="22925"/>
    <cellStyle name="20% - Accent1 2 2 2 2 2 2 3 6 2 2" xfId="49116"/>
    <cellStyle name="20% - Accent1 2 2 2 2 2 2 3 6 3" xfId="36540"/>
    <cellStyle name="20% - Accent1 2 2 2 2 2 2 3 7" xfId="5840"/>
    <cellStyle name="20% - Accent1 2 2 2 2 2 2 3 7 2" xfId="49117"/>
    <cellStyle name="20% - Accent1 2 2 2 2 2 2 3 8" xfId="17641"/>
    <cellStyle name="20% - Accent1 2 2 2 2 2 2 3 8 2" xfId="49118"/>
    <cellStyle name="20% - Accent1 2 2 2 2 2 2 3 9" xfId="31256"/>
    <cellStyle name="20% - Accent1 2 2 2 2 2 2 4" xfId="664"/>
    <cellStyle name="20% - Accent1 2 2 2 2 2 2 4 2" xfId="988"/>
    <cellStyle name="20% - Accent1 2 2 2 2 2 2 4 2 2" xfId="4406"/>
    <cellStyle name="20% - Accent1 2 2 2 2 2 2 4 2 2 2" xfId="11125"/>
    <cellStyle name="20% - Accent1 2 2 2 2 2 2 4 2 2 2 2" xfId="22926"/>
    <cellStyle name="20% - Accent1 2 2 2 2 2 2 4 2 2 2 2 2" xfId="49119"/>
    <cellStyle name="20% - Accent1 2 2 2 2 2 2 4 2 2 2 3" xfId="36541"/>
    <cellStyle name="20% - Accent1 2 2 2 2 2 2 4 2 2 3" xfId="9859"/>
    <cellStyle name="20% - Accent1 2 2 2 2 2 2 4 2 2 3 2" xfId="42902"/>
    <cellStyle name="20% - Accent1 2 2 2 2 2 2 4 2 2 4" xfId="21660"/>
    <cellStyle name="20% - Accent1 2 2 2 2 2 2 4 2 2 4 2" xfId="49120"/>
    <cellStyle name="20% - Accent1 2 2 2 2 2 2 4 2 2 5" xfId="35275"/>
    <cellStyle name="20% - Accent1 2 2 2 2 2 2 4 2 3" xfId="11126"/>
    <cellStyle name="20% - Accent1 2 2 2 2 2 2 4 2 3 2" xfId="22927"/>
    <cellStyle name="20% - Accent1 2 2 2 2 2 2 4 2 3 2 2" xfId="42903"/>
    <cellStyle name="20% - Accent1 2 2 2 2 2 2 4 2 3 3" xfId="29130"/>
    <cellStyle name="20% - Accent1 2 2 2 2 2 2 4 2 3 3 2" xfId="42904"/>
    <cellStyle name="20% - Accent1 2 2 2 2 2 2 4 2 3 4" xfId="29131"/>
    <cellStyle name="20% - Accent1 2 2 2 2 2 2 4 2 3 4 2" xfId="49121"/>
    <cellStyle name="20% - Accent1 2 2 2 2 2 2 4 2 3 5" xfId="36542"/>
    <cellStyle name="20% - Accent1 2 2 2 2 2 2 4 2 4" xfId="11127"/>
    <cellStyle name="20% - Accent1 2 2 2 2 2 2 4 2 4 2" xfId="22928"/>
    <cellStyle name="20% - Accent1 2 2 2 2 2 2 4 2 4 2 2" xfId="49122"/>
    <cellStyle name="20% - Accent1 2 2 2 2 2 2 4 2 4 3" xfId="36543"/>
    <cellStyle name="20% - Accent1 2 2 2 2 2 2 4 2 5" xfId="6442"/>
    <cellStyle name="20% - Accent1 2 2 2 2 2 2 4 2 5 2" xfId="42905"/>
    <cellStyle name="20% - Accent1 2 2 2 2 2 2 4 2 6" xfId="18243"/>
    <cellStyle name="20% - Accent1 2 2 2 2 2 2 4 2 6 2" xfId="49123"/>
    <cellStyle name="20% - Accent1 2 2 2 2 2 2 4 2 7" xfId="31858"/>
    <cellStyle name="20% - Accent1 2 2 2 2 2 2 4 3" xfId="2565"/>
    <cellStyle name="20% - Accent1 2 2 2 2 2 2 4 3 2" xfId="11128"/>
    <cellStyle name="20% - Accent1 2 2 2 2 2 2 4 3 2 2" xfId="22929"/>
    <cellStyle name="20% - Accent1 2 2 2 2 2 2 4 3 2 2 2" xfId="49124"/>
    <cellStyle name="20% - Accent1 2 2 2 2 2 2 4 3 2 3" xfId="36544"/>
    <cellStyle name="20% - Accent1 2 2 2 2 2 2 4 3 3" xfId="8018"/>
    <cellStyle name="20% - Accent1 2 2 2 2 2 2 4 3 3 2" xfId="42906"/>
    <cellStyle name="20% - Accent1 2 2 2 2 2 2 4 3 4" xfId="19819"/>
    <cellStyle name="20% - Accent1 2 2 2 2 2 2 4 3 4 2" xfId="49125"/>
    <cellStyle name="20% - Accent1 2 2 2 2 2 2 4 3 5" xfId="33434"/>
    <cellStyle name="20% - Accent1 2 2 2 2 2 2 4 4" xfId="11129"/>
    <cellStyle name="20% - Accent1 2 2 2 2 2 2 4 4 2" xfId="22930"/>
    <cellStyle name="20% - Accent1 2 2 2 2 2 2 4 4 2 2" xfId="42907"/>
    <cellStyle name="20% - Accent1 2 2 2 2 2 2 4 4 3" xfId="29132"/>
    <cellStyle name="20% - Accent1 2 2 2 2 2 2 4 4 3 2" xfId="42908"/>
    <cellStyle name="20% - Accent1 2 2 2 2 2 2 4 4 4" xfId="29133"/>
    <cellStyle name="20% - Accent1 2 2 2 2 2 2 4 4 4 2" xfId="49126"/>
    <cellStyle name="20% - Accent1 2 2 2 2 2 2 4 4 5" xfId="36545"/>
    <cellStyle name="20% - Accent1 2 2 2 2 2 2 4 5" xfId="11130"/>
    <cellStyle name="20% - Accent1 2 2 2 2 2 2 4 5 2" xfId="22931"/>
    <cellStyle name="20% - Accent1 2 2 2 2 2 2 4 5 2 2" xfId="49127"/>
    <cellStyle name="20% - Accent1 2 2 2 2 2 2 4 5 3" xfId="36546"/>
    <cellStyle name="20% - Accent1 2 2 2 2 2 2 4 6" xfId="6118"/>
    <cellStyle name="20% - Accent1 2 2 2 2 2 2 4 6 2" xfId="42909"/>
    <cellStyle name="20% - Accent1 2 2 2 2 2 2 4 7" xfId="17919"/>
    <cellStyle name="20% - Accent1 2 2 2 2 2 2 4 7 2" xfId="49128"/>
    <cellStyle name="20% - Accent1 2 2 2 2 2 2 4 8" xfId="31534"/>
    <cellStyle name="20% - Accent1 2 2 2 2 2 2 5" xfId="905"/>
    <cellStyle name="20% - Accent1 2 2 2 2 2 2 5 2" xfId="989"/>
    <cellStyle name="20% - Accent1 2 2 2 2 2 2 5 2 2" xfId="4974"/>
    <cellStyle name="20% - Accent1 2 2 2 2 2 2 5 2 2 2" xfId="11131"/>
    <cellStyle name="20% - Accent1 2 2 2 2 2 2 5 2 2 2 2" xfId="22932"/>
    <cellStyle name="20% - Accent1 2 2 2 2 2 2 5 2 2 2 2 2" xfId="49129"/>
    <cellStyle name="20% - Accent1 2 2 2 2 2 2 5 2 2 2 3" xfId="36547"/>
    <cellStyle name="20% - Accent1 2 2 2 2 2 2 5 2 2 3" xfId="10427"/>
    <cellStyle name="20% - Accent1 2 2 2 2 2 2 5 2 2 3 2" xfId="42910"/>
    <cellStyle name="20% - Accent1 2 2 2 2 2 2 5 2 2 4" xfId="22228"/>
    <cellStyle name="20% - Accent1 2 2 2 2 2 2 5 2 2 4 2" xfId="49130"/>
    <cellStyle name="20% - Accent1 2 2 2 2 2 2 5 2 2 5" xfId="35843"/>
    <cellStyle name="20% - Accent1 2 2 2 2 2 2 5 2 3" xfId="11132"/>
    <cellStyle name="20% - Accent1 2 2 2 2 2 2 5 2 3 2" xfId="22933"/>
    <cellStyle name="20% - Accent1 2 2 2 2 2 2 5 2 3 2 2" xfId="42911"/>
    <cellStyle name="20% - Accent1 2 2 2 2 2 2 5 2 3 3" xfId="29134"/>
    <cellStyle name="20% - Accent1 2 2 2 2 2 2 5 2 3 3 2" xfId="42912"/>
    <cellStyle name="20% - Accent1 2 2 2 2 2 2 5 2 3 4" xfId="29135"/>
    <cellStyle name="20% - Accent1 2 2 2 2 2 2 5 2 3 4 2" xfId="49131"/>
    <cellStyle name="20% - Accent1 2 2 2 2 2 2 5 2 3 5" xfId="36548"/>
    <cellStyle name="20% - Accent1 2 2 2 2 2 2 5 2 4" xfId="11133"/>
    <cellStyle name="20% - Accent1 2 2 2 2 2 2 5 2 4 2" xfId="22934"/>
    <cellStyle name="20% - Accent1 2 2 2 2 2 2 5 2 4 2 2" xfId="49132"/>
    <cellStyle name="20% - Accent1 2 2 2 2 2 2 5 2 4 3" xfId="36549"/>
    <cellStyle name="20% - Accent1 2 2 2 2 2 2 5 2 5" xfId="6443"/>
    <cellStyle name="20% - Accent1 2 2 2 2 2 2 5 2 5 2" xfId="42913"/>
    <cellStyle name="20% - Accent1 2 2 2 2 2 2 5 2 6" xfId="18244"/>
    <cellStyle name="20% - Accent1 2 2 2 2 2 2 5 2 6 2" xfId="49133"/>
    <cellStyle name="20% - Accent1 2 2 2 2 2 2 5 2 7" xfId="31859"/>
    <cellStyle name="20% - Accent1 2 2 2 2 2 2 5 3" xfId="3133"/>
    <cellStyle name="20% - Accent1 2 2 2 2 2 2 5 3 2" xfId="11134"/>
    <cellStyle name="20% - Accent1 2 2 2 2 2 2 5 3 2 2" xfId="22935"/>
    <cellStyle name="20% - Accent1 2 2 2 2 2 2 5 3 2 2 2" xfId="49134"/>
    <cellStyle name="20% - Accent1 2 2 2 2 2 2 5 3 2 3" xfId="36550"/>
    <cellStyle name="20% - Accent1 2 2 2 2 2 2 5 3 3" xfId="8586"/>
    <cellStyle name="20% - Accent1 2 2 2 2 2 2 5 3 3 2" xfId="42914"/>
    <cellStyle name="20% - Accent1 2 2 2 2 2 2 5 3 4" xfId="20387"/>
    <cellStyle name="20% - Accent1 2 2 2 2 2 2 5 3 4 2" xfId="49135"/>
    <cellStyle name="20% - Accent1 2 2 2 2 2 2 5 3 5" xfId="34002"/>
    <cellStyle name="20% - Accent1 2 2 2 2 2 2 5 4" xfId="11135"/>
    <cellStyle name="20% - Accent1 2 2 2 2 2 2 5 4 2" xfId="22936"/>
    <cellStyle name="20% - Accent1 2 2 2 2 2 2 5 4 2 2" xfId="42915"/>
    <cellStyle name="20% - Accent1 2 2 2 2 2 2 5 4 3" xfId="29136"/>
    <cellStyle name="20% - Accent1 2 2 2 2 2 2 5 4 3 2" xfId="42916"/>
    <cellStyle name="20% - Accent1 2 2 2 2 2 2 5 4 4" xfId="29137"/>
    <cellStyle name="20% - Accent1 2 2 2 2 2 2 5 4 4 2" xfId="49136"/>
    <cellStyle name="20% - Accent1 2 2 2 2 2 2 5 4 5" xfId="36551"/>
    <cellStyle name="20% - Accent1 2 2 2 2 2 2 5 5" xfId="11136"/>
    <cellStyle name="20% - Accent1 2 2 2 2 2 2 5 5 2" xfId="22937"/>
    <cellStyle name="20% - Accent1 2 2 2 2 2 2 5 5 2 2" xfId="49137"/>
    <cellStyle name="20% - Accent1 2 2 2 2 2 2 5 5 3" xfId="36552"/>
    <cellStyle name="20% - Accent1 2 2 2 2 2 2 5 6" xfId="6359"/>
    <cellStyle name="20% - Accent1 2 2 2 2 2 2 5 6 2" xfId="42917"/>
    <cellStyle name="20% - Accent1 2 2 2 2 2 2 5 7" xfId="18160"/>
    <cellStyle name="20% - Accent1 2 2 2 2 2 2 5 7 2" xfId="49138"/>
    <cellStyle name="20% - Accent1 2 2 2 2 2 2 5 8" xfId="31775"/>
    <cellStyle name="20% - Accent1 2 2 2 2 2 2 6" xfId="990"/>
    <cellStyle name="20% - Accent1 2 2 2 2 2 2 6 2" xfId="3838"/>
    <cellStyle name="20% - Accent1 2 2 2 2 2 2 6 2 2" xfId="11137"/>
    <cellStyle name="20% - Accent1 2 2 2 2 2 2 6 2 2 2" xfId="22938"/>
    <cellStyle name="20% - Accent1 2 2 2 2 2 2 6 2 2 2 2" xfId="49139"/>
    <cellStyle name="20% - Accent1 2 2 2 2 2 2 6 2 2 3" xfId="36553"/>
    <cellStyle name="20% - Accent1 2 2 2 2 2 2 6 2 3" xfId="9291"/>
    <cellStyle name="20% - Accent1 2 2 2 2 2 2 6 2 3 2" xfId="42918"/>
    <cellStyle name="20% - Accent1 2 2 2 2 2 2 6 2 4" xfId="21092"/>
    <cellStyle name="20% - Accent1 2 2 2 2 2 2 6 2 4 2" xfId="49140"/>
    <cellStyle name="20% - Accent1 2 2 2 2 2 2 6 2 5" xfId="34707"/>
    <cellStyle name="20% - Accent1 2 2 2 2 2 2 6 3" xfId="11138"/>
    <cellStyle name="20% - Accent1 2 2 2 2 2 2 6 3 2" xfId="22939"/>
    <cellStyle name="20% - Accent1 2 2 2 2 2 2 6 3 2 2" xfId="42919"/>
    <cellStyle name="20% - Accent1 2 2 2 2 2 2 6 3 3" xfId="29138"/>
    <cellStyle name="20% - Accent1 2 2 2 2 2 2 6 3 3 2" xfId="42920"/>
    <cellStyle name="20% - Accent1 2 2 2 2 2 2 6 3 4" xfId="29139"/>
    <cellStyle name="20% - Accent1 2 2 2 2 2 2 6 3 4 2" xfId="49141"/>
    <cellStyle name="20% - Accent1 2 2 2 2 2 2 6 3 5" xfId="36554"/>
    <cellStyle name="20% - Accent1 2 2 2 2 2 2 6 4" xfId="11139"/>
    <cellStyle name="20% - Accent1 2 2 2 2 2 2 6 4 2" xfId="22940"/>
    <cellStyle name="20% - Accent1 2 2 2 2 2 2 6 4 2 2" xfId="49142"/>
    <cellStyle name="20% - Accent1 2 2 2 2 2 2 6 4 3" xfId="36555"/>
    <cellStyle name="20% - Accent1 2 2 2 2 2 2 6 5" xfId="6444"/>
    <cellStyle name="20% - Accent1 2 2 2 2 2 2 6 5 2" xfId="42921"/>
    <cellStyle name="20% - Accent1 2 2 2 2 2 2 6 6" xfId="18245"/>
    <cellStyle name="20% - Accent1 2 2 2 2 2 2 6 6 2" xfId="49143"/>
    <cellStyle name="20% - Accent1 2 2 2 2 2 2 6 7" xfId="31860"/>
    <cellStyle name="20% - Accent1 2 2 2 2 2 2 7" xfId="3701"/>
    <cellStyle name="20% - Accent1 2 2 2 2 2 2 7 2" xfId="11140"/>
    <cellStyle name="20% - Accent1 2 2 2 2 2 2 7 2 2" xfId="22941"/>
    <cellStyle name="20% - Accent1 2 2 2 2 2 2 7 2 2 2" xfId="49144"/>
    <cellStyle name="20% - Accent1 2 2 2 2 2 2 7 2 3" xfId="36556"/>
    <cellStyle name="20% - Accent1 2 2 2 2 2 2 7 3" xfId="9154"/>
    <cellStyle name="20% - Accent1 2 2 2 2 2 2 7 3 2" xfId="42922"/>
    <cellStyle name="20% - Accent1 2 2 2 2 2 2 7 4" xfId="20955"/>
    <cellStyle name="20% - Accent1 2 2 2 2 2 2 7 4 2" xfId="49145"/>
    <cellStyle name="20% - Accent1 2 2 2 2 2 2 7 5" xfId="34570"/>
    <cellStyle name="20% - Accent1 2 2 2 2 2 2 8" xfId="1997"/>
    <cellStyle name="20% - Accent1 2 2 2 2 2 2 8 2" xfId="11141"/>
    <cellStyle name="20% - Accent1 2 2 2 2 2 2 8 2 2" xfId="22942"/>
    <cellStyle name="20% - Accent1 2 2 2 2 2 2 8 2 2 2" xfId="49146"/>
    <cellStyle name="20% - Accent1 2 2 2 2 2 2 8 2 3" xfId="36557"/>
    <cellStyle name="20% - Accent1 2 2 2 2 2 2 8 3" xfId="7450"/>
    <cellStyle name="20% - Accent1 2 2 2 2 2 2 8 3 2" xfId="42923"/>
    <cellStyle name="20% - Accent1 2 2 2 2 2 2 8 4" xfId="19251"/>
    <cellStyle name="20% - Accent1 2 2 2 2 2 2 8 4 2" xfId="49147"/>
    <cellStyle name="20% - Accent1 2 2 2 2 2 2 8 5" xfId="32866"/>
    <cellStyle name="20% - Accent1 2 2 2 2 2 2 9" xfId="11142"/>
    <cellStyle name="20% - Accent1 2 2 2 2 2 2 9 2" xfId="22943"/>
    <cellStyle name="20% - Accent1 2 2 2 2 2 2 9 2 2" xfId="49148"/>
    <cellStyle name="20% - Accent1 2 2 2 2 2 2 9 3" xfId="36558"/>
    <cellStyle name="20% - Accent1 2 2 2 2 2 3" xfId="157"/>
    <cellStyle name="20% - Accent1 2 2 2 2 2 3 10" xfId="31027"/>
    <cellStyle name="20% - Accent1 2 2 2 2 2 3 2" xfId="319"/>
    <cellStyle name="20% - Accent1 2 2 2 2 2 3 2 2" xfId="991"/>
    <cellStyle name="20% - Accent1 2 2 2 2 2 3 2 2 2" xfId="4629"/>
    <cellStyle name="20% - Accent1 2 2 2 2 2 3 2 2 2 2" xfId="11143"/>
    <cellStyle name="20% - Accent1 2 2 2 2 2 3 2 2 2 2 2" xfId="22944"/>
    <cellStyle name="20% - Accent1 2 2 2 2 2 3 2 2 2 2 2 2" xfId="49149"/>
    <cellStyle name="20% - Accent1 2 2 2 2 2 3 2 2 2 2 3" xfId="36559"/>
    <cellStyle name="20% - Accent1 2 2 2 2 2 3 2 2 2 3" xfId="10082"/>
    <cellStyle name="20% - Accent1 2 2 2 2 2 3 2 2 2 3 2" xfId="42924"/>
    <cellStyle name="20% - Accent1 2 2 2 2 2 3 2 2 2 4" xfId="21883"/>
    <cellStyle name="20% - Accent1 2 2 2 2 2 3 2 2 2 4 2" xfId="49150"/>
    <cellStyle name="20% - Accent1 2 2 2 2 2 3 2 2 2 5" xfId="35498"/>
    <cellStyle name="20% - Accent1 2 2 2 2 2 3 2 2 3" xfId="2788"/>
    <cellStyle name="20% - Accent1 2 2 2 2 2 3 2 2 3 2" xfId="11144"/>
    <cellStyle name="20% - Accent1 2 2 2 2 2 3 2 2 3 2 2" xfId="22945"/>
    <cellStyle name="20% - Accent1 2 2 2 2 2 3 2 2 3 2 2 2" xfId="49151"/>
    <cellStyle name="20% - Accent1 2 2 2 2 2 3 2 2 3 2 3" xfId="36560"/>
    <cellStyle name="20% - Accent1 2 2 2 2 2 3 2 2 3 3" xfId="8241"/>
    <cellStyle name="20% - Accent1 2 2 2 2 2 3 2 2 3 3 2" xfId="42925"/>
    <cellStyle name="20% - Accent1 2 2 2 2 2 3 2 2 3 4" xfId="20042"/>
    <cellStyle name="20% - Accent1 2 2 2 2 2 3 2 2 3 4 2" xfId="49152"/>
    <cellStyle name="20% - Accent1 2 2 2 2 2 3 2 2 3 5" xfId="33657"/>
    <cellStyle name="20% - Accent1 2 2 2 2 2 3 2 2 4" xfId="11145"/>
    <cellStyle name="20% - Accent1 2 2 2 2 2 3 2 2 4 2" xfId="22946"/>
    <cellStyle name="20% - Accent1 2 2 2 2 2 3 2 2 4 2 2" xfId="49153"/>
    <cellStyle name="20% - Accent1 2 2 2 2 2 3 2 2 4 3" xfId="36561"/>
    <cellStyle name="20% - Accent1 2 2 2 2 2 3 2 2 5" xfId="6445"/>
    <cellStyle name="20% - Accent1 2 2 2 2 2 3 2 2 5 2" xfId="42926"/>
    <cellStyle name="20% - Accent1 2 2 2 2 2 3 2 2 6" xfId="18246"/>
    <cellStyle name="20% - Accent1 2 2 2 2 2 3 2 2 6 2" xfId="49154"/>
    <cellStyle name="20% - Accent1 2 2 2 2 2 3 2 2 7" xfId="31861"/>
    <cellStyle name="20% - Accent1 2 2 2 2 2 3 2 3" xfId="3356"/>
    <cellStyle name="20% - Accent1 2 2 2 2 2 3 2 3 2" xfId="5197"/>
    <cellStyle name="20% - Accent1 2 2 2 2 2 3 2 3 2 2" xfId="16667"/>
    <cellStyle name="20% - Accent1 2 2 2 2 2 3 2 3 2 2 2" xfId="28468"/>
    <cellStyle name="20% - Accent1 2 2 2 2 2 3 2 3 2 2 2 2" xfId="49155"/>
    <cellStyle name="20% - Accent1 2 2 2 2 2 3 2 3 2 2 3" xfId="42083"/>
    <cellStyle name="20% - Accent1 2 2 2 2 2 3 2 3 2 3" xfId="10650"/>
    <cellStyle name="20% - Accent1 2 2 2 2 2 3 2 3 2 3 2" xfId="49156"/>
    <cellStyle name="20% - Accent1 2 2 2 2 2 3 2 3 2 4" xfId="22451"/>
    <cellStyle name="20% - Accent1 2 2 2 2 2 3 2 3 2 4 2" xfId="49157"/>
    <cellStyle name="20% - Accent1 2 2 2 2 2 3 2 3 2 5" xfId="36066"/>
    <cellStyle name="20% - Accent1 2 2 2 2 2 3 2 3 3" xfId="11146"/>
    <cellStyle name="20% - Accent1 2 2 2 2 2 3 2 3 3 2" xfId="22947"/>
    <cellStyle name="20% - Accent1 2 2 2 2 2 3 2 3 3 2 2" xfId="49158"/>
    <cellStyle name="20% - Accent1 2 2 2 2 2 3 2 3 3 3" xfId="36562"/>
    <cellStyle name="20% - Accent1 2 2 2 2 2 3 2 3 4" xfId="8809"/>
    <cellStyle name="20% - Accent1 2 2 2 2 2 3 2 3 4 2" xfId="49159"/>
    <cellStyle name="20% - Accent1 2 2 2 2 2 3 2 3 5" xfId="20610"/>
    <cellStyle name="20% - Accent1 2 2 2 2 2 3 2 3 5 2" xfId="49160"/>
    <cellStyle name="20% - Accent1 2 2 2 2 2 3 2 3 6" xfId="34225"/>
    <cellStyle name="20% - Accent1 2 2 2 2 2 3 2 4" xfId="4061"/>
    <cellStyle name="20% - Accent1 2 2 2 2 2 3 2 4 2" xfId="11147"/>
    <cellStyle name="20% - Accent1 2 2 2 2 2 3 2 4 2 2" xfId="22948"/>
    <cellStyle name="20% - Accent1 2 2 2 2 2 3 2 4 2 2 2" xfId="49161"/>
    <cellStyle name="20% - Accent1 2 2 2 2 2 3 2 4 2 3" xfId="36563"/>
    <cellStyle name="20% - Accent1 2 2 2 2 2 3 2 4 3" xfId="9514"/>
    <cellStyle name="20% - Accent1 2 2 2 2 2 3 2 4 3 2" xfId="42927"/>
    <cellStyle name="20% - Accent1 2 2 2 2 2 3 2 4 4" xfId="21315"/>
    <cellStyle name="20% - Accent1 2 2 2 2 2 3 2 4 4 2" xfId="49162"/>
    <cellStyle name="20% - Accent1 2 2 2 2 2 3 2 4 5" xfId="34930"/>
    <cellStyle name="20% - Accent1 2 2 2 2 2 3 2 5" xfId="2220"/>
    <cellStyle name="20% - Accent1 2 2 2 2 2 3 2 5 2" xfId="16936"/>
    <cellStyle name="20% - Accent1 2 2 2 2 2 3 2 5 2 2" xfId="28737"/>
    <cellStyle name="20% - Accent1 2 2 2 2 2 3 2 5 2 2 2" xfId="49163"/>
    <cellStyle name="20% - Accent1 2 2 2 2 2 3 2 5 2 3" xfId="42352"/>
    <cellStyle name="20% - Accent1 2 2 2 2 2 3 2 5 3" xfId="7673"/>
    <cellStyle name="20% - Accent1 2 2 2 2 2 3 2 5 3 2" xfId="49164"/>
    <cellStyle name="20% - Accent1 2 2 2 2 2 3 2 5 4" xfId="19474"/>
    <cellStyle name="20% - Accent1 2 2 2 2 2 3 2 5 4 2" xfId="49165"/>
    <cellStyle name="20% - Accent1 2 2 2 2 2 3 2 5 5" xfId="33089"/>
    <cellStyle name="20% - Accent1 2 2 2 2 2 3 2 6" xfId="11148"/>
    <cellStyle name="20% - Accent1 2 2 2 2 2 3 2 6 2" xfId="22949"/>
    <cellStyle name="20% - Accent1 2 2 2 2 2 3 2 6 2 2" xfId="49166"/>
    <cellStyle name="20% - Accent1 2 2 2 2 2 3 2 6 3" xfId="36564"/>
    <cellStyle name="20% - Accent1 2 2 2 2 2 3 2 7" xfId="5773"/>
    <cellStyle name="20% - Accent1 2 2 2 2 2 3 2 7 2" xfId="49167"/>
    <cellStyle name="20% - Accent1 2 2 2 2 2 3 2 8" xfId="17574"/>
    <cellStyle name="20% - Accent1 2 2 2 2 2 3 2 8 2" xfId="49168"/>
    <cellStyle name="20% - Accent1 2 2 2 2 2 3 2 9" xfId="31189"/>
    <cellStyle name="20% - Accent1 2 2 2 2 2 3 3" xfId="725"/>
    <cellStyle name="20% - Accent1 2 2 2 2 2 3 3 2" xfId="992"/>
    <cellStyle name="20% - Accent1 2 2 2 2 2 3 3 2 2" xfId="4467"/>
    <cellStyle name="20% - Accent1 2 2 2 2 2 3 3 2 2 2" xfId="11149"/>
    <cellStyle name="20% - Accent1 2 2 2 2 2 3 3 2 2 2 2" xfId="22950"/>
    <cellStyle name="20% - Accent1 2 2 2 2 2 3 3 2 2 2 2 2" xfId="49169"/>
    <cellStyle name="20% - Accent1 2 2 2 2 2 3 3 2 2 2 3" xfId="36565"/>
    <cellStyle name="20% - Accent1 2 2 2 2 2 3 3 2 2 3" xfId="9920"/>
    <cellStyle name="20% - Accent1 2 2 2 2 2 3 3 2 2 3 2" xfId="42928"/>
    <cellStyle name="20% - Accent1 2 2 2 2 2 3 3 2 2 4" xfId="21721"/>
    <cellStyle name="20% - Accent1 2 2 2 2 2 3 3 2 2 4 2" xfId="49170"/>
    <cellStyle name="20% - Accent1 2 2 2 2 2 3 3 2 2 5" xfId="35336"/>
    <cellStyle name="20% - Accent1 2 2 2 2 2 3 3 2 3" xfId="11150"/>
    <cellStyle name="20% - Accent1 2 2 2 2 2 3 3 2 3 2" xfId="22951"/>
    <cellStyle name="20% - Accent1 2 2 2 2 2 3 3 2 3 2 2" xfId="42929"/>
    <cellStyle name="20% - Accent1 2 2 2 2 2 3 3 2 3 3" xfId="29140"/>
    <cellStyle name="20% - Accent1 2 2 2 2 2 3 3 2 3 3 2" xfId="42930"/>
    <cellStyle name="20% - Accent1 2 2 2 2 2 3 3 2 3 4" xfId="29141"/>
    <cellStyle name="20% - Accent1 2 2 2 2 2 3 3 2 3 4 2" xfId="49171"/>
    <cellStyle name="20% - Accent1 2 2 2 2 2 3 3 2 3 5" xfId="36566"/>
    <cellStyle name="20% - Accent1 2 2 2 2 2 3 3 2 4" xfId="11151"/>
    <cellStyle name="20% - Accent1 2 2 2 2 2 3 3 2 4 2" xfId="22952"/>
    <cellStyle name="20% - Accent1 2 2 2 2 2 3 3 2 4 2 2" xfId="49172"/>
    <cellStyle name="20% - Accent1 2 2 2 2 2 3 3 2 4 3" xfId="36567"/>
    <cellStyle name="20% - Accent1 2 2 2 2 2 3 3 2 5" xfId="6446"/>
    <cellStyle name="20% - Accent1 2 2 2 2 2 3 3 2 5 2" xfId="42931"/>
    <cellStyle name="20% - Accent1 2 2 2 2 2 3 3 2 6" xfId="18247"/>
    <cellStyle name="20% - Accent1 2 2 2 2 2 3 3 2 6 2" xfId="49173"/>
    <cellStyle name="20% - Accent1 2 2 2 2 2 3 3 2 7" xfId="31862"/>
    <cellStyle name="20% - Accent1 2 2 2 2 2 3 3 3" xfId="2626"/>
    <cellStyle name="20% - Accent1 2 2 2 2 2 3 3 3 2" xfId="11152"/>
    <cellStyle name="20% - Accent1 2 2 2 2 2 3 3 3 2 2" xfId="22953"/>
    <cellStyle name="20% - Accent1 2 2 2 2 2 3 3 3 2 2 2" xfId="49174"/>
    <cellStyle name="20% - Accent1 2 2 2 2 2 3 3 3 2 3" xfId="36568"/>
    <cellStyle name="20% - Accent1 2 2 2 2 2 3 3 3 3" xfId="8079"/>
    <cellStyle name="20% - Accent1 2 2 2 2 2 3 3 3 3 2" xfId="42932"/>
    <cellStyle name="20% - Accent1 2 2 2 2 2 3 3 3 4" xfId="19880"/>
    <cellStyle name="20% - Accent1 2 2 2 2 2 3 3 3 4 2" xfId="49175"/>
    <cellStyle name="20% - Accent1 2 2 2 2 2 3 3 3 5" xfId="33495"/>
    <cellStyle name="20% - Accent1 2 2 2 2 2 3 3 4" xfId="11153"/>
    <cellStyle name="20% - Accent1 2 2 2 2 2 3 3 4 2" xfId="22954"/>
    <cellStyle name="20% - Accent1 2 2 2 2 2 3 3 4 2 2" xfId="42933"/>
    <cellStyle name="20% - Accent1 2 2 2 2 2 3 3 4 3" xfId="29142"/>
    <cellStyle name="20% - Accent1 2 2 2 2 2 3 3 4 3 2" xfId="42934"/>
    <cellStyle name="20% - Accent1 2 2 2 2 2 3 3 4 4" xfId="29143"/>
    <cellStyle name="20% - Accent1 2 2 2 2 2 3 3 4 4 2" xfId="49176"/>
    <cellStyle name="20% - Accent1 2 2 2 2 2 3 3 4 5" xfId="36569"/>
    <cellStyle name="20% - Accent1 2 2 2 2 2 3 3 5" xfId="11154"/>
    <cellStyle name="20% - Accent1 2 2 2 2 2 3 3 5 2" xfId="22955"/>
    <cellStyle name="20% - Accent1 2 2 2 2 2 3 3 5 2 2" xfId="49177"/>
    <cellStyle name="20% - Accent1 2 2 2 2 2 3 3 5 3" xfId="36570"/>
    <cellStyle name="20% - Accent1 2 2 2 2 2 3 3 6" xfId="6179"/>
    <cellStyle name="20% - Accent1 2 2 2 2 2 3 3 6 2" xfId="42935"/>
    <cellStyle name="20% - Accent1 2 2 2 2 2 3 3 7" xfId="17980"/>
    <cellStyle name="20% - Accent1 2 2 2 2 2 3 3 7 2" xfId="49178"/>
    <cellStyle name="20% - Accent1 2 2 2 2 2 3 3 8" xfId="31595"/>
    <cellStyle name="20% - Accent1 2 2 2 2 2 3 4" xfId="993"/>
    <cellStyle name="20% - Accent1 2 2 2 2 2 3 4 2" xfId="5035"/>
    <cellStyle name="20% - Accent1 2 2 2 2 2 3 4 2 2" xfId="11155"/>
    <cellStyle name="20% - Accent1 2 2 2 2 2 3 4 2 2 2" xfId="22956"/>
    <cellStyle name="20% - Accent1 2 2 2 2 2 3 4 2 2 2 2" xfId="49179"/>
    <cellStyle name="20% - Accent1 2 2 2 2 2 3 4 2 2 3" xfId="36571"/>
    <cellStyle name="20% - Accent1 2 2 2 2 2 3 4 2 3" xfId="10488"/>
    <cellStyle name="20% - Accent1 2 2 2 2 2 3 4 2 3 2" xfId="42936"/>
    <cellStyle name="20% - Accent1 2 2 2 2 2 3 4 2 4" xfId="22289"/>
    <cellStyle name="20% - Accent1 2 2 2 2 2 3 4 2 4 2" xfId="49180"/>
    <cellStyle name="20% - Accent1 2 2 2 2 2 3 4 2 5" xfId="35904"/>
    <cellStyle name="20% - Accent1 2 2 2 2 2 3 4 3" xfId="3194"/>
    <cellStyle name="20% - Accent1 2 2 2 2 2 3 4 3 2" xfId="11156"/>
    <cellStyle name="20% - Accent1 2 2 2 2 2 3 4 3 2 2" xfId="22957"/>
    <cellStyle name="20% - Accent1 2 2 2 2 2 3 4 3 2 2 2" xfId="49181"/>
    <cellStyle name="20% - Accent1 2 2 2 2 2 3 4 3 2 3" xfId="36572"/>
    <cellStyle name="20% - Accent1 2 2 2 2 2 3 4 3 3" xfId="8647"/>
    <cellStyle name="20% - Accent1 2 2 2 2 2 3 4 3 3 2" xfId="42937"/>
    <cellStyle name="20% - Accent1 2 2 2 2 2 3 4 3 4" xfId="20448"/>
    <cellStyle name="20% - Accent1 2 2 2 2 2 3 4 3 4 2" xfId="49182"/>
    <cellStyle name="20% - Accent1 2 2 2 2 2 3 4 3 5" xfId="34063"/>
    <cellStyle name="20% - Accent1 2 2 2 2 2 3 4 4" xfId="11157"/>
    <cellStyle name="20% - Accent1 2 2 2 2 2 3 4 4 2" xfId="22958"/>
    <cellStyle name="20% - Accent1 2 2 2 2 2 3 4 4 2 2" xfId="49183"/>
    <cellStyle name="20% - Accent1 2 2 2 2 2 3 4 4 3" xfId="36573"/>
    <cellStyle name="20% - Accent1 2 2 2 2 2 3 4 5" xfId="6447"/>
    <cellStyle name="20% - Accent1 2 2 2 2 2 3 4 5 2" xfId="42938"/>
    <cellStyle name="20% - Accent1 2 2 2 2 2 3 4 6" xfId="18248"/>
    <cellStyle name="20% - Accent1 2 2 2 2 2 3 4 6 2" xfId="49184"/>
    <cellStyle name="20% - Accent1 2 2 2 2 2 3 4 7" xfId="31863"/>
    <cellStyle name="20% - Accent1 2 2 2 2 2 3 5" xfId="3899"/>
    <cellStyle name="20% - Accent1 2 2 2 2 2 3 5 2" xfId="11158"/>
    <cellStyle name="20% - Accent1 2 2 2 2 2 3 5 2 2" xfId="22959"/>
    <cellStyle name="20% - Accent1 2 2 2 2 2 3 5 2 2 2" xfId="49185"/>
    <cellStyle name="20% - Accent1 2 2 2 2 2 3 5 2 3" xfId="36574"/>
    <cellStyle name="20% - Accent1 2 2 2 2 2 3 5 3" xfId="9352"/>
    <cellStyle name="20% - Accent1 2 2 2 2 2 3 5 3 2" xfId="42939"/>
    <cellStyle name="20% - Accent1 2 2 2 2 2 3 5 4" xfId="21153"/>
    <cellStyle name="20% - Accent1 2 2 2 2 2 3 5 4 2" xfId="49186"/>
    <cellStyle name="20% - Accent1 2 2 2 2 2 3 5 5" xfId="34768"/>
    <cellStyle name="20% - Accent1 2 2 2 2 2 3 6" xfId="2058"/>
    <cellStyle name="20% - Accent1 2 2 2 2 2 3 6 2" xfId="11159"/>
    <cellStyle name="20% - Accent1 2 2 2 2 2 3 6 2 2" xfId="22960"/>
    <cellStyle name="20% - Accent1 2 2 2 2 2 3 6 2 2 2" xfId="49187"/>
    <cellStyle name="20% - Accent1 2 2 2 2 2 3 6 2 3" xfId="36575"/>
    <cellStyle name="20% - Accent1 2 2 2 2 2 3 6 3" xfId="7511"/>
    <cellStyle name="20% - Accent1 2 2 2 2 2 3 6 3 2" xfId="42940"/>
    <cellStyle name="20% - Accent1 2 2 2 2 2 3 6 4" xfId="19312"/>
    <cellStyle name="20% - Accent1 2 2 2 2 2 3 6 4 2" xfId="49188"/>
    <cellStyle name="20% - Accent1 2 2 2 2 2 3 6 5" xfId="32927"/>
    <cellStyle name="20% - Accent1 2 2 2 2 2 3 7" xfId="11160"/>
    <cellStyle name="20% - Accent1 2 2 2 2 2 3 7 2" xfId="22961"/>
    <cellStyle name="20% - Accent1 2 2 2 2 2 3 7 2 2" xfId="49189"/>
    <cellStyle name="20% - Accent1 2 2 2 2 2 3 7 3" xfId="36576"/>
    <cellStyle name="20% - Accent1 2 2 2 2 2 3 8" xfId="5611"/>
    <cellStyle name="20% - Accent1 2 2 2 2 2 3 8 2" xfId="42941"/>
    <cellStyle name="20% - Accent1 2 2 2 2 2 3 9" xfId="17412"/>
    <cellStyle name="20% - Accent1 2 2 2 2 2 3 9 2" xfId="49190"/>
    <cellStyle name="20% - Accent1 2 2 2 2 2 4" xfId="456"/>
    <cellStyle name="20% - Accent1 2 2 2 2 2 4 2" xfId="994"/>
    <cellStyle name="20% - Accent1 2 2 2 2 2 4 2 2" xfId="4766"/>
    <cellStyle name="20% - Accent1 2 2 2 2 2 4 2 2 2" xfId="11161"/>
    <cellStyle name="20% - Accent1 2 2 2 2 2 4 2 2 2 2" xfId="22962"/>
    <cellStyle name="20% - Accent1 2 2 2 2 2 4 2 2 2 2 2" xfId="49191"/>
    <cellStyle name="20% - Accent1 2 2 2 2 2 4 2 2 2 3" xfId="36577"/>
    <cellStyle name="20% - Accent1 2 2 2 2 2 4 2 2 3" xfId="10219"/>
    <cellStyle name="20% - Accent1 2 2 2 2 2 4 2 2 3 2" xfId="42942"/>
    <cellStyle name="20% - Accent1 2 2 2 2 2 4 2 2 4" xfId="22020"/>
    <cellStyle name="20% - Accent1 2 2 2 2 2 4 2 2 4 2" xfId="49192"/>
    <cellStyle name="20% - Accent1 2 2 2 2 2 4 2 2 5" xfId="35635"/>
    <cellStyle name="20% - Accent1 2 2 2 2 2 4 2 3" xfId="2925"/>
    <cellStyle name="20% - Accent1 2 2 2 2 2 4 2 3 2" xfId="11162"/>
    <cellStyle name="20% - Accent1 2 2 2 2 2 4 2 3 2 2" xfId="22963"/>
    <cellStyle name="20% - Accent1 2 2 2 2 2 4 2 3 2 2 2" xfId="49193"/>
    <cellStyle name="20% - Accent1 2 2 2 2 2 4 2 3 2 3" xfId="36578"/>
    <cellStyle name="20% - Accent1 2 2 2 2 2 4 2 3 3" xfId="8378"/>
    <cellStyle name="20% - Accent1 2 2 2 2 2 4 2 3 3 2" xfId="42943"/>
    <cellStyle name="20% - Accent1 2 2 2 2 2 4 2 3 4" xfId="20179"/>
    <cellStyle name="20% - Accent1 2 2 2 2 2 4 2 3 4 2" xfId="49194"/>
    <cellStyle name="20% - Accent1 2 2 2 2 2 4 2 3 5" xfId="33794"/>
    <cellStyle name="20% - Accent1 2 2 2 2 2 4 2 4" xfId="11163"/>
    <cellStyle name="20% - Accent1 2 2 2 2 2 4 2 4 2" xfId="22964"/>
    <cellStyle name="20% - Accent1 2 2 2 2 2 4 2 4 2 2" xfId="49195"/>
    <cellStyle name="20% - Accent1 2 2 2 2 2 4 2 4 3" xfId="36579"/>
    <cellStyle name="20% - Accent1 2 2 2 2 2 4 2 5" xfId="6448"/>
    <cellStyle name="20% - Accent1 2 2 2 2 2 4 2 5 2" xfId="42944"/>
    <cellStyle name="20% - Accent1 2 2 2 2 2 4 2 6" xfId="18249"/>
    <cellStyle name="20% - Accent1 2 2 2 2 2 4 2 6 2" xfId="49196"/>
    <cellStyle name="20% - Accent1 2 2 2 2 2 4 2 7" xfId="31864"/>
    <cellStyle name="20% - Accent1 2 2 2 2 2 4 3" xfId="3493"/>
    <cellStyle name="20% - Accent1 2 2 2 2 2 4 3 2" xfId="5334"/>
    <cellStyle name="20% - Accent1 2 2 2 2 2 4 3 2 2" xfId="16804"/>
    <cellStyle name="20% - Accent1 2 2 2 2 2 4 3 2 2 2" xfId="28605"/>
    <cellStyle name="20% - Accent1 2 2 2 2 2 4 3 2 2 2 2" xfId="49197"/>
    <cellStyle name="20% - Accent1 2 2 2 2 2 4 3 2 2 3" xfId="42220"/>
    <cellStyle name="20% - Accent1 2 2 2 2 2 4 3 2 3" xfId="10787"/>
    <cellStyle name="20% - Accent1 2 2 2 2 2 4 3 2 3 2" xfId="49198"/>
    <cellStyle name="20% - Accent1 2 2 2 2 2 4 3 2 4" xfId="22588"/>
    <cellStyle name="20% - Accent1 2 2 2 2 2 4 3 2 4 2" xfId="49199"/>
    <cellStyle name="20% - Accent1 2 2 2 2 2 4 3 2 5" xfId="36203"/>
    <cellStyle name="20% - Accent1 2 2 2 2 2 4 3 3" xfId="11164"/>
    <cellStyle name="20% - Accent1 2 2 2 2 2 4 3 3 2" xfId="22965"/>
    <cellStyle name="20% - Accent1 2 2 2 2 2 4 3 3 2 2" xfId="49200"/>
    <cellStyle name="20% - Accent1 2 2 2 2 2 4 3 3 3" xfId="36580"/>
    <cellStyle name="20% - Accent1 2 2 2 2 2 4 3 4" xfId="8946"/>
    <cellStyle name="20% - Accent1 2 2 2 2 2 4 3 4 2" xfId="49201"/>
    <cellStyle name="20% - Accent1 2 2 2 2 2 4 3 5" xfId="20747"/>
    <cellStyle name="20% - Accent1 2 2 2 2 2 4 3 5 2" xfId="49202"/>
    <cellStyle name="20% - Accent1 2 2 2 2 2 4 3 6" xfId="34362"/>
    <cellStyle name="20% - Accent1 2 2 2 2 2 4 4" xfId="4198"/>
    <cellStyle name="20% - Accent1 2 2 2 2 2 4 4 2" xfId="11165"/>
    <cellStyle name="20% - Accent1 2 2 2 2 2 4 4 2 2" xfId="22966"/>
    <cellStyle name="20% - Accent1 2 2 2 2 2 4 4 2 2 2" xfId="49203"/>
    <cellStyle name="20% - Accent1 2 2 2 2 2 4 4 2 3" xfId="36581"/>
    <cellStyle name="20% - Accent1 2 2 2 2 2 4 4 3" xfId="9651"/>
    <cellStyle name="20% - Accent1 2 2 2 2 2 4 4 3 2" xfId="42945"/>
    <cellStyle name="20% - Accent1 2 2 2 2 2 4 4 4" xfId="21452"/>
    <cellStyle name="20% - Accent1 2 2 2 2 2 4 4 4 2" xfId="49204"/>
    <cellStyle name="20% - Accent1 2 2 2 2 2 4 4 5" xfId="35067"/>
    <cellStyle name="20% - Accent1 2 2 2 2 2 4 5" xfId="2357"/>
    <cellStyle name="20% - Accent1 2 2 2 2 2 4 5 2" xfId="16937"/>
    <cellStyle name="20% - Accent1 2 2 2 2 2 4 5 2 2" xfId="28738"/>
    <cellStyle name="20% - Accent1 2 2 2 2 2 4 5 2 2 2" xfId="49205"/>
    <cellStyle name="20% - Accent1 2 2 2 2 2 4 5 2 3" xfId="42353"/>
    <cellStyle name="20% - Accent1 2 2 2 2 2 4 5 3" xfId="7810"/>
    <cellStyle name="20% - Accent1 2 2 2 2 2 4 5 3 2" xfId="49206"/>
    <cellStyle name="20% - Accent1 2 2 2 2 2 4 5 4" xfId="19611"/>
    <cellStyle name="20% - Accent1 2 2 2 2 2 4 5 4 2" xfId="49207"/>
    <cellStyle name="20% - Accent1 2 2 2 2 2 4 5 5" xfId="33226"/>
    <cellStyle name="20% - Accent1 2 2 2 2 2 4 6" xfId="11166"/>
    <cellStyle name="20% - Accent1 2 2 2 2 2 4 6 2" xfId="22967"/>
    <cellStyle name="20% - Accent1 2 2 2 2 2 4 6 2 2" xfId="49208"/>
    <cellStyle name="20% - Accent1 2 2 2 2 2 4 6 3" xfId="36582"/>
    <cellStyle name="20% - Accent1 2 2 2 2 2 4 7" xfId="5910"/>
    <cellStyle name="20% - Accent1 2 2 2 2 2 4 7 2" xfId="49209"/>
    <cellStyle name="20% - Accent1 2 2 2 2 2 4 8" xfId="17711"/>
    <cellStyle name="20% - Accent1 2 2 2 2 2 4 8 2" xfId="49210"/>
    <cellStyle name="20% - Accent1 2 2 2 2 2 4 9" xfId="31326"/>
    <cellStyle name="20% - Accent1 2 2 2 2 2 5" xfId="270"/>
    <cellStyle name="20% - Accent1 2 2 2 2 2 5 2" xfId="995"/>
    <cellStyle name="20% - Accent1 2 2 2 2 2 5 2 2" xfId="4580"/>
    <cellStyle name="20% - Accent1 2 2 2 2 2 5 2 2 2" xfId="11167"/>
    <cellStyle name="20% - Accent1 2 2 2 2 2 5 2 2 2 2" xfId="22968"/>
    <cellStyle name="20% - Accent1 2 2 2 2 2 5 2 2 2 2 2" xfId="49211"/>
    <cellStyle name="20% - Accent1 2 2 2 2 2 5 2 2 2 3" xfId="36583"/>
    <cellStyle name="20% - Accent1 2 2 2 2 2 5 2 2 3" xfId="10033"/>
    <cellStyle name="20% - Accent1 2 2 2 2 2 5 2 2 3 2" xfId="42946"/>
    <cellStyle name="20% - Accent1 2 2 2 2 2 5 2 2 4" xfId="21834"/>
    <cellStyle name="20% - Accent1 2 2 2 2 2 5 2 2 4 2" xfId="49212"/>
    <cellStyle name="20% - Accent1 2 2 2 2 2 5 2 2 5" xfId="35449"/>
    <cellStyle name="20% - Accent1 2 2 2 2 2 5 2 3" xfId="2739"/>
    <cellStyle name="20% - Accent1 2 2 2 2 2 5 2 3 2" xfId="11168"/>
    <cellStyle name="20% - Accent1 2 2 2 2 2 5 2 3 2 2" xfId="22969"/>
    <cellStyle name="20% - Accent1 2 2 2 2 2 5 2 3 2 2 2" xfId="49213"/>
    <cellStyle name="20% - Accent1 2 2 2 2 2 5 2 3 2 3" xfId="36584"/>
    <cellStyle name="20% - Accent1 2 2 2 2 2 5 2 3 3" xfId="8192"/>
    <cellStyle name="20% - Accent1 2 2 2 2 2 5 2 3 3 2" xfId="42947"/>
    <cellStyle name="20% - Accent1 2 2 2 2 2 5 2 3 4" xfId="19993"/>
    <cellStyle name="20% - Accent1 2 2 2 2 2 5 2 3 4 2" xfId="49214"/>
    <cellStyle name="20% - Accent1 2 2 2 2 2 5 2 3 5" xfId="33608"/>
    <cellStyle name="20% - Accent1 2 2 2 2 2 5 2 4" xfId="11169"/>
    <cellStyle name="20% - Accent1 2 2 2 2 2 5 2 4 2" xfId="22970"/>
    <cellStyle name="20% - Accent1 2 2 2 2 2 5 2 4 2 2" xfId="49215"/>
    <cellStyle name="20% - Accent1 2 2 2 2 2 5 2 4 3" xfId="36585"/>
    <cellStyle name="20% - Accent1 2 2 2 2 2 5 2 5" xfId="6449"/>
    <cellStyle name="20% - Accent1 2 2 2 2 2 5 2 5 2" xfId="42948"/>
    <cellStyle name="20% - Accent1 2 2 2 2 2 5 2 6" xfId="18250"/>
    <cellStyle name="20% - Accent1 2 2 2 2 2 5 2 6 2" xfId="49216"/>
    <cellStyle name="20% - Accent1 2 2 2 2 2 5 2 7" xfId="31865"/>
    <cellStyle name="20% - Accent1 2 2 2 2 2 5 3" xfId="3307"/>
    <cellStyle name="20% - Accent1 2 2 2 2 2 5 3 2" xfId="5148"/>
    <cellStyle name="20% - Accent1 2 2 2 2 2 5 3 2 2" xfId="16618"/>
    <cellStyle name="20% - Accent1 2 2 2 2 2 5 3 2 2 2" xfId="28419"/>
    <cellStyle name="20% - Accent1 2 2 2 2 2 5 3 2 2 2 2" xfId="49217"/>
    <cellStyle name="20% - Accent1 2 2 2 2 2 5 3 2 2 3" xfId="42034"/>
    <cellStyle name="20% - Accent1 2 2 2 2 2 5 3 2 3" xfId="10601"/>
    <cellStyle name="20% - Accent1 2 2 2 2 2 5 3 2 3 2" xfId="49218"/>
    <cellStyle name="20% - Accent1 2 2 2 2 2 5 3 2 4" xfId="22402"/>
    <cellStyle name="20% - Accent1 2 2 2 2 2 5 3 2 4 2" xfId="49219"/>
    <cellStyle name="20% - Accent1 2 2 2 2 2 5 3 2 5" xfId="36017"/>
    <cellStyle name="20% - Accent1 2 2 2 2 2 5 3 3" xfId="11170"/>
    <cellStyle name="20% - Accent1 2 2 2 2 2 5 3 3 2" xfId="22971"/>
    <cellStyle name="20% - Accent1 2 2 2 2 2 5 3 3 2 2" xfId="49220"/>
    <cellStyle name="20% - Accent1 2 2 2 2 2 5 3 3 3" xfId="36586"/>
    <cellStyle name="20% - Accent1 2 2 2 2 2 5 3 4" xfId="8760"/>
    <cellStyle name="20% - Accent1 2 2 2 2 2 5 3 4 2" xfId="49221"/>
    <cellStyle name="20% - Accent1 2 2 2 2 2 5 3 5" xfId="20561"/>
    <cellStyle name="20% - Accent1 2 2 2 2 2 5 3 5 2" xfId="49222"/>
    <cellStyle name="20% - Accent1 2 2 2 2 2 5 3 6" xfId="34176"/>
    <cellStyle name="20% - Accent1 2 2 2 2 2 5 4" xfId="4012"/>
    <cellStyle name="20% - Accent1 2 2 2 2 2 5 4 2" xfId="11171"/>
    <cellStyle name="20% - Accent1 2 2 2 2 2 5 4 2 2" xfId="22972"/>
    <cellStyle name="20% - Accent1 2 2 2 2 2 5 4 2 2 2" xfId="49223"/>
    <cellStyle name="20% - Accent1 2 2 2 2 2 5 4 2 3" xfId="36587"/>
    <cellStyle name="20% - Accent1 2 2 2 2 2 5 4 3" xfId="9465"/>
    <cellStyle name="20% - Accent1 2 2 2 2 2 5 4 3 2" xfId="42949"/>
    <cellStyle name="20% - Accent1 2 2 2 2 2 5 4 4" xfId="21266"/>
    <cellStyle name="20% - Accent1 2 2 2 2 2 5 4 4 2" xfId="49224"/>
    <cellStyle name="20% - Accent1 2 2 2 2 2 5 4 5" xfId="34881"/>
    <cellStyle name="20% - Accent1 2 2 2 2 2 5 5" xfId="2171"/>
    <cellStyle name="20% - Accent1 2 2 2 2 2 5 5 2" xfId="16938"/>
    <cellStyle name="20% - Accent1 2 2 2 2 2 5 5 2 2" xfId="28739"/>
    <cellStyle name="20% - Accent1 2 2 2 2 2 5 5 2 2 2" xfId="49225"/>
    <cellStyle name="20% - Accent1 2 2 2 2 2 5 5 2 3" xfId="42354"/>
    <cellStyle name="20% - Accent1 2 2 2 2 2 5 5 3" xfId="7624"/>
    <cellStyle name="20% - Accent1 2 2 2 2 2 5 5 3 2" xfId="49226"/>
    <cellStyle name="20% - Accent1 2 2 2 2 2 5 5 4" xfId="19425"/>
    <cellStyle name="20% - Accent1 2 2 2 2 2 5 5 4 2" xfId="49227"/>
    <cellStyle name="20% - Accent1 2 2 2 2 2 5 5 5" xfId="33040"/>
    <cellStyle name="20% - Accent1 2 2 2 2 2 5 6" xfId="11172"/>
    <cellStyle name="20% - Accent1 2 2 2 2 2 5 6 2" xfId="22973"/>
    <cellStyle name="20% - Accent1 2 2 2 2 2 5 6 2 2" xfId="49228"/>
    <cellStyle name="20% - Accent1 2 2 2 2 2 5 6 3" xfId="36588"/>
    <cellStyle name="20% - Accent1 2 2 2 2 2 5 7" xfId="5724"/>
    <cellStyle name="20% - Accent1 2 2 2 2 2 5 7 2" xfId="49229"/>
    <cellStyle name="20% - Accent1 2 2 2 2 2 5 8" xfId="17525"/>
    <cellStyle name="20% - Accent1 2 2 2 2 2 5 8 2" xfId="49230"/>
    <cellStyle name="20% - Accent1 2 2 2 2 2 5 9" xfId="31140"/>
    <cellStyle name="20% - Accent1 2 2 2 2 2 6" xfId="597"/>
    <cellStyle name="20% - Accent1 2 2 2 2 2 6 2" xfId="996"/>
    <cellStyle name="20% - Accent1 2 2 2 2 2 6 2 2" xfId="4339"/>
    <cellStyle name="20% - Accent1 2 2 2 2 2 6 2 2 2" xfId="11173"/>
    <cellStyle name="20% - Accent1 2 2 2 2 2 6 2 2 2 2" xfId="22974"/>
    <cellStyle name="20% - Accent1 2 2 2 2 2 6 2 2 2 2 2" xfId="49231"/>
    <cellStyle name="20% - Accent1 2 2 2 2 2 6 2 2 2 3" xfId="36589"/>
    <cellStyle name="20% - Accent1 2 2 2 2 2 6 2 2 3" xfId="9792"/>
    <cellStyle name="20% - Accent1 2 2 2 2 2 6 2 2 3 2" xfId="42950"/>
    <cellStyle name="20% - Accent1 2 2 2 2 2 6 2 2 4" xfId="21593"/>
    <cellStyle name="20% - Accent1 2 2 2 2 2 6 2 2 4 2" xfId="49232"/>
    <cellStyle name="20% - Accent1 2 2 2 2 2 6 2 2 5" xfId="35208"/>
    <cellStyle name="20% - Accent1 2 2 2 2 2 6 2 3" xfId="11174"/>
    <cellStyle name="20% - Accent1 2 2 2 2 2 6 2 3 2" xfId="22975"/>
    <cellStyle name="20% - Accent1 2 2 2 2 2 6 2 3 2 2" xfId="42951"/>
    <cellStyle name="20% - Accent1 2 2 2 2 2 6 2 3 3" xfId="29144"/>
    <cellStyle name="20% - Accent1 2 2 2 2 2 6 2 3 3 2" xfId="42952"/>
    <cellStyle name="20% - Accent1 2 2 2 2 2 6 2 3 4" xfId="29145"/>
    <cellStyle name="20% - Accent1 2 2 2 2 2 6 2 3 4 2" xfId="49233"/>
    <cellStyle name="20% - Accent1 2 2 2 2 2 6 2 3 5" xfId="36590"/>
    <cellStyle name="20% - Accent1 2 2 2 2 2 6 2 4" xfId="11175"/>
    <cellStyle name="20% - Accent1 2 2 2 2 2 6 2 4 2" xfId="22976"/>
    <cellStyle name="20% - Accent1 2 2 2 2 2 6 2 4 2 2" xfId="49234"/>
    <cellStyle name="20% - Accent1 2 2 2 2 2 6 2 4 3" xfId="36591"/>
    <cellStyle name="20% - Accent1 2 2 2 2 2 6 2 5" xfId="6450"/>
    <cellStyle name="20% - Accent1 2 2 2 2 2 6 2 5 2" xfId="42953"/>
    <cellStyle name="20% - Accent1 2 2 2 2 2 6 2 6" xfId="18251"/>
    <cellStyle name="20% - Accent1 2 2 2 2 2 6 2 6 2" xfId="49235"/>
    <cellStyle name="20% - Accent1 2 2 2 2 2 6 2 7" xfId="31866"/>
    <cellStyle name="20% - Accent1 2 2 2 2 2 6 3" xfId="2498"/>
    <cellStyle name="20% - Accent1 2 2 2 2 2 6 3 2" xfId="11176"/>
    <cellStyle name="20% - Accent1 2 2 2 2 2 6 3 2 2" xfId="22977"/>
    <cellStyle name="20% - Accent1 2 2 2 2 2 6 3 2 2 2" xfId="49236"/>
    <cellStyle name="20% - Accent1 2 2 2 2 2 6 3 2 3" xfId="36592"/>
    <cellStyle name="20% - Accent1 2 2 2 2 2 6 3 3" xfId="7951"/>
    <cellStyle name="20% - Accent1 2 2 2 2 2 6 3 3 2" xfId="42954"/>
    <cellStyle name="20% - Accent1 2 2 2 2 2 6 3 4" xfId="19752"/>
    <cellStyle name="20% - Accent1 2 2 2 2 2 6 3 4 2" xfId="49237"/>
    <cellStyle name="20% - Accent1 2 2 2 2 2 6 3 5" xfId="33367"/>
    <cellStyle name="20% - Accent1 2 2 2 2 2 6 4" xfId="11177"/>
    <cellStyle name="20% - Accent1 2 2 2 2 2 6 4 2" xfId="22978"/>
    <cellStyle name="20% - Accent1 2 2 2 2 2 6 4 2 2" xfId="42955"/>
    <cellStyle name="20% - Accent1 2 2 2 2 2 6 4 3" xfId="29146"/>
    <cellStyle name="20% - Accent1 2 2 2 2 2 6 4 3 2" xfId="42956"/>
    <cellStyle name="20% - Accent1 2 2 2 2 2 6 4 4" xfId="29147"/>
    <cellStyle name="20% - Accent1 2 2 2 2 2 6 4 4 2" xfId="49238"/>
    <cellStyle name="20% - Accent1 2 2 2 2 2 6 4 5" xfId="36593"/>
    <cellStyle name="20% - Accent1 2 2 2 2 2 6 5" xfId="11178"/>
    <cellStyle name="20% - Accent1 2 2 2 2 2 6 5 2" xfId="22979"/>
    <cellStyle name="20% - Accent1 2 2 2 2 2 6 5 2 2" xfId="49239"/>
    <cellStyle name="20% - Accent1 2 2 2 2 2 6 5 3" xfId="36594"/>
    <cellStyle name="20% - Accent1 2 2 2 2 2 6 6" xfId="6051"/>
    <cellStyle name="20% - Accent1 2 2 2 2 2 6 6 2" xfId="42957"/>
    <cellStyle name="20% - Accent1 2 2 2 2 2 6 7" xfId="17852"/>
    <cellStyle name="20% - Accent1 2 2 2 2 2 6 7 2" xfId="49240"/>
    <cellStyle name="20% - Accent1 2 2 2 2 2 6 8" xfId="31467"/>
    <cellStyle name="20% - Accent1 2 2 2 2 2 7" xfId="838"/>
    <cellStyle name="20% - Accent1 2 2 2 2 2 7 2" xfId="997"/>
    <cellStyle name="20% - Accent1 2 2 2 2 2 7 2 2" xfId="4907"/>
    <cellStyle name="20% - Accent1 2 2 2 2 2 7 2 2 2" xfId="11179"/>
    <cellStyle name="20% - Accent1 2 2 2 2 2 7 2 2 2 2" xfId="22980"/>
    <cellStyle name="20% - Accent1 2 2 2 2 2 7 2 2 2 2 2" xfId="49241"/>
    <cellStyle name="20% - Accent1 2 2 2 2 2 7 2 2 2 3" xfId="36595"/>
    <cellStyle name="20% - Accent1 2 2 2 2 2 7 2 2 3" xfId="10360"/>
    <cellStyle name="20% - Accent1 2 2 2 2 2 7 2 2 3 2" xfId="42958"/>
    <cellStyle name="20% - Accent1 2 2 2 2 2 7 2 2 4" xfId="22161"/>
    <cellStyle name="20% - Accent1 2 2 2 2 2 7 2 2 4 2" xfId="49242"/>
    <cellStyle name="20% - Accent1 2 2 2 2 2 7 2 2 5" xfId="35776"/>
    <cellStyle name="20% - Accent1 2 2 2 2 2 7 2 3" xfId="11180"/>
    <cellStyle name="20% - Accent1 2 2 2 2 2 7 2 3 2" xfId="22981"/>
    <cellStyle name="20% - Accent1 2 2 2 2 2 7 2 3 2 2" xfId="42959"/>
    <cellStyle name="20% - Accent1 2 2 2 2 2 7 2 3 3" xfId="29148"/>
    <cellStyle name="20% - Accent1 2 2 2 2 2 7 2 3 3 2" xfId="42960"/>
    <cellStyle name="20% - Accent1 2 2 2 2 2 7 2 3 4" xfId="29149"/>
    <cellStyle name="20% - Accent1 2 2 2 2 2 7 2 3 4 2" xfId="49243"/>
    <cellStyle name="20% - Accent1 2 2 2 2 2 7 2 3 5" xfId="36596"/>
    <cellStyle name="20% - Accent1 2 2 2 2 2 7 2 4" xfId="11181"/>
    <cellStyle name="20% - Accent1 2 2 2 2 2 7 2 4 2" xfId="22982"/>
    <cellStyle name="20% - Accent1 2 2 2 2 2 7 2 4 2 2" xfId="49244"/>
    <cellStyle name="20% - Accent1 2 2 2 2 2 7 2 4 3" xfId="36597"/>
    <cellStyle name="20% - Accent1 2 2 2 2 2 7 2 5" xfId="6451"/>
    <cellStyle name="20% - Accent1 2 2 2 2 2 7 2 5 2" xfId="42961"/>
    <cellStyle name="20% - Accent1 2 2 2 2 2 7 2 6" xfId="18252"/>
    <cellStyle name="20% - Accent1 2 2 2 2 2 7 2 6 2" xfId="49245"/>
    <cellStyle name="20% - Accent1 2 2 2 2 2 7 2 7" xfId="31867"/>
    <cellStyle name="20% - Accent1 2 2 2 2 2 7 3" xfId="3066"/>
    <cellStyle name="20% - Accent1 2 2 2 2 2 7 3 2" xfId="11182"/>
    <cellStyle name="20% - Accent1 2 2 2 2 2 7 3 2 2" xfId="22983"/>
    <cellStyle name="20% - Accent1 2 2 2 2 2 7 3 2 2 2" xfId="49246"/>
    <cellStyle name="20% - Accent1 2 2 2 2 2 7 3 2 3" xfId="36598"/>
    <cellStyle name="20% - Accent1 2 2 2 2 2 7 3 3" xfId="8519"/>
    <cellStyle name="20% - Accent1 2 2 2 2 2 7 3 3 2" xfId="42962"/>
    <cellStyle name="20% - Accent1 2 2 2 2 2 7 3 4" xfId="20320"/>
    <cellStyle name="20% - Accent1 2 2 2 2 2 7 3 4 2" xfId="49247"/>
    <cellStyle name="20% - Accent1 2 2 2 2 2 7 3 5" xfId="33935"/>
    <cellStyle name="20% - Accent1 2 2 2 2 2 7 4" xfId="11183"/>
    <cellStyle name="20% - Accent1 2 2 2 2 2 7 4 2" xfId="22984"/>
    <cellStyle name="20% - Accent1 2 2 2 2 2 7 4 2 2" xfId="42963"/>
    <cellStyle name="20% - Accent1 2 2 2 2 2 7 4 3" xfId="29150"/>
    <cellStyle name="20% - Accent1 2 2 2 2 2 7 4 3 2" xfId="42964"/>
    <cellStyle name="20% - Accent1 2 2 2 2 2 7 4 4" xfId="29151"/>
    <cellStyle name="20% - Accent1 2 2 2 2 2 7 4 4 2" xfId="49248"/>
    <cellStyle name="20% - Accent1 2 2 2 2 2 7 4 5" xfId="36599"/>
    <cellStyle name="20% - Accent1 2 2 2 2 2 7 5" xfId="11184"/>
    <cellStyle name="20% - Accent1 2 2 2 2 2 7 5 2" xfId="22985"/>
    <cellStyle name="20% - Accent1 2 2 2 2 2 7 5 2 2" xfId="49249"/>
    <cellStyle name="20% - Accent1 2 2 2 2 2 7 5 3" xfId="36600"/>
    <cellStyle name="20% - Accent1 2 2 2 2 2 7 6" xfId="6292"/>
    <cellStyle name="20% - Accent1 2 2 2 2 2 7 6 2" xfId="42965"/>
    <cellStyle name="20% - Accent1 2 2 2 2 2 7 7" xfId="18093"/>
    <cellStyle name="20% - Accent1 2 2 2 2 2 7 7 2" xfId="49250"/>
    <cellStyle name="20% - Accent1 2 2 2 2 2 7 8" xfId="31708"/>
    <cellStyle name="20% - Accent1 2 2 2 2 2 8" xfId="998"/>
    <cellStyle name="20% - Accent1 2 2 2 2 2 8 2" xfId="3771"/>
    <cellStyle name="20% - Accent1 2 2 2 2 2 8 2 2" xfId="11185"/>
    <cellStyle name="20% - Accent1 2 2 2 2 2 8 2 2 2" xfId="22986"/>
    <cellStyle name="20% - Accent1 2 2 2 2 2 8 2 2 2 2" xfId="49251"/>
    <cellStyle name="20% - Accent1 2 2 2 2 2 8 2 2 3" xfId="36601"/>
    <cellStyle name="20% - Accent1 2 2 2 2 2 8 2 3" xfId="9224"/>
    <cellStyle name="20% - Accent1 2 2 2 2 2 8 2 3 2" xfId="42966"/>
    <cellStyle name="20% - Accent1 2 2 2 2 2 8 2 4" xfId="21025"/>
    <cellStyle name="20% - Accent1 2 2 2 2 2 8 2 4 2" xfId="49252"/>
    <cellStyle name="20% - Accent1 2 2 2 2 2 8 2 5" xfId="34640"/>
    <cellStyle name="20% - Accent1 2 2 2 2 2 8 3" xfId="11186"/>
    <cellStyle name="20% - Accent1 2 2 2 2 2 8 3 2" xfId="22987"/>
    <cellStyle name="20% - Accent1 2 2 2 2 2 8 3 2 2" xfId="42967"/>
    <cellStyle name="20% - Accent1 2 2 2 2 2 8 3 3" xfId="29152"/>
    <cellStyle name="20% - Accent1 2 2 2 2 2 8 3 3 2" xfId="42968"/>
    <cellStyle name="20% - Accent1 2 2 2 2 2 8 3 4" xfId="29153"/>
    <cellStyle name="20% - Accent1 2 2 2 2 2 8 3 4 2" xfId="49253"/>
    <cellStyle name="20% - Accent1 2 2 2 2 2 8 3 5" xfId="36602"/>
    <cellStyle name="20% - Accent1 2 2 2 2 2 8 4" xfId="11187"/>
    <cellStyle name="20% - Accent1 2 2 2 2 2 8 4 2" xfId="22988"/>
    <cellStyle name="20% - Accent1 2 2 2 2 2 8 4 2 2" xfId="49254"/>
    <cellStyle name="20% - Accent1 2 2 2 2 2 8 4 3" xfId="36603"/>
    <cellStyle name="20% - Accent1 2 2 2 2 2 8 5" xfId="6452"/>
    <cellStyle name="20% - Accent1 2 2 2 2 2 8 5 2" xfId="42969"/>
    <cellStyle name="20% - Accent1 2 2 2 2 2 8 6" xfId="18253"/>
    <cellStyle name="20% - Accent1 2 2 2 2 2 8 6 2" xfId="49255"/>
    <cellStyle name="20% - Accent1 2 2 2 2 2 8 7" xfId="31868"/>
    <cellStyle name="20% - Accent1 2 2 2 2 2 9" xfId="3634"/>
    <cellStyle name="20% - Accent1 2 2 2 2 2 9 2" xfId="11188"/>
    <cellStyle name="20% - Accent1 2 2 2 2 2 9 2 2" xfId="22989"/>
    <cellStyle name="20% - Accent1 2 2 2 2 2 9 2 2 2" xfId="49256"/>
    <cellStyle name="20% - Accent1 2 2 2 2 2 9 2 3" xfId="36604"/>
    <cellStyle name="20% - Accent1 2 2 2 2 2 9 3" xfId="9087"/>
    <cellStyle name="20% - Accent1 2 2 2 2 2 9 3 2" xfId="42970"/>
    <cellStyle name="20% - Accent1 2 2 2 2 2 9 4" xfId="20888"/>
    <cellStyle name="20% - Accent1 2 2 2 2 2 9 4 2" xfId="49257"/>
    <cellStyle name="20% - Accent1 2 2 2 2 2 9 5" xfId="34503"/>
    <cellStyle name="20% - Accent1 2 2 2 2 3" xfId="66"/>
    <cellStyle name="20% - Accent1 2 2 2 2 3 10" xfId="11189"/>
    <cellStyle name="20% - Accent1 2 2 2 2 3 10 2" xfId="22990"/>
    <cellStyle name="20% - Accent1 2 2 2 2 3 10 2 2" xfId="49258"/>
    <cellStyle name="20% - Accent1 2 2 2 2 3 10 3" xfId="36605"/>
    <cellStyle name="20% - Accent1 2 2 2 2 3 11" xfId="5520"/>
    <cellStyle name="20% - Accent1 2 2 2 2 3 11 2" xfId="42971"/>
    <cellStyle name="20% - Accent1 2 2 2 2 3 12" xfId="17321"/>
    <cellStyle name="20% - Accent1 2 2 2 2 3 12 2" xfId="49259"/>
    <cellStyle name="20% - Accent1 2 2 2 2 3 13" xfId="30936"/>
    <cellStyle name="20% - Accent1 2 2 2 2 3 2" xfId="133"/>
    <cellStyle name="20% - Accent1 2 2 2 2 3 2 10" xfId="5587"/>
    <cellStyle name="20% - Accent1 2 2 2 2 3 2 10 2" xfId="42972"/>
    <cellStyle name="20% - Accent1 2 2 2 2 3 2 11" xfId="17388"/>
    <cellStyle name="20% - Accent1 2 2 2 2 3 2 11 2" xfId="49260"/>
    <cellStyle name="20% - Accent1 2 2 2 2 3 2 12" xfId="31003"/>
    <cellStyle name="20% - Accent1 2 2 2 2 3 2 2" xfId="560"/>
    <cellStyle name="20% - Accent1 2 2 2 2 3 2 2 2" xfId="999"/>
    <cellStyle name="20% - Accent1 2 2 2 2 3 2 2 2 2" xfId="4870"/>
    <cellStyle name="20% - Accent1 2 2 2 2 3 2 2 2 2 2" xfId="11190"/>
    <cellStyle name="20% - Accent1 2 2 2 2 3 2 2 2 2 2 2" xfId="22991"/>
    <cellStyle name="20% - Accent1 2 2 2 2 3 2 2 2 2 2 2 2" xfId="49261"/>
    <cellStyle name="20% - Accent1 2 2 2 2 3 2 2 2 2 2 3" xfId="36606"/>
    <cellStyle name="20% - Accent1 2 2 2 2 3 2 2 2 2 3" xfId="10323"/>
    <cellStyle name="20% - Accent1 2 2 2 2 3 2 2 2 2 3 2" xfId="42973"/>
    <cellStyle name="20% - Accent1 2 2 2 2 3 2 2 2 2 4" xfId="22124"/>
    <cellStyle name="20% - Accent1 2 2 2 2 3 2 2 2 2 4 2" xfId="49262"/>
    <cellStyle name="20% - Accent1 2 2 2 2 3 2 2 2 2 5" xfId="35739"/>
    <cellStyle name="20% - Accent1 2 2 2 2 3 2 2 2 3" xfId="3029"/>
    <cellStyle name="20% - Accent1 2 2 2 2 3 2 2 2 3 2" xfId="11191"/>
    <cellStyle name="20% - Accent1 2 2 2 2 3 2 2 2 3 2 2" xfId="22992"/>
    <cellStyle name="20% - Accent1 2 2 2 2 3 2 2 2 3 2 2 2" xfId="49263"/>
    <cellStyle name="20% - Accent1 2 2 2 2 3 2 2 2 3 2 3" xfId="36607"/>
    <cellStyle name="20% - Accent1 2 2 2 2 3 2 2 2 3 3" xfId="8482"/>
    <cellStyle name="20% - Accent1 2 2 2 2 3 2 2 2 3 3 2" xfId="42974"/>
    <cellStyle name="20% - Accent1 2 2 2 2 3 2 2 2 3 4" xfId="20283"/>
    <cellStyle name="20% - Accent1 2 2 2 2 3 2 2 2 3 4 2" xfId="49264"/>
    <cellStyle name="20% - Accent1 2 2 2 2 3 2 2 2 3 5" xfId="33898"/>
    <cellStyle name="20% - Accent1 2 2 2 2 3 2 2 2 4" xfId="11192"/>
    <cellStyle name="20% - Accent1 2 2 2 2 3 2 2 2 4 2" xfId="22993"/>
    <cellStyle name="20% - Accent1 2 2 2 2 3 2 2 2 4 2 2" xfId="49265"/>
    <cellStyle name="20% - Accent1 2 2 2 2 3 2 2 2 4 3" xfId="36608"/>
    <cellStyle name="20% - Accent1 2 2 2 2 3 2 2 2 5" xfId="6453"/>
    <cellStyle name="20% - Accent1 2 2 2 2 3 2 2 2 5 2" xfId="42975"/>
    <cellStyle name="20% - Accent1 2 2 2 2 3 2 2 2 6" xfId="18254"/>
    <cellStyle name="20% - Accent1 2 2 2 2 3 2 2 2 6 2" xfId="49266"/>
    <cellStyle name="20% - Accent1 2 2 2 2 3 2 2 2 7" xfId="31869"/>
    <cellStyle name="20% - Accent1 2 2 2 2 3 2 2 3" xfId="3597"/>
    <cellStyle name="20% - Accent1 2 2 2 2 3 2 2 3 2" xfId="5438"/>
    <cellStyle name="20% - Accent1 2 2 2 2 3 2 2 3 2 2" xfId="16908"/>
    <cellStyle name="20% - Accent1 2 2 2 2 3 2 2 3 2 2 2" xfId="28709"/>
    <cellStyle name="20% - Accent1 2 2 2 2 3 2 2 3 2 2 2 2" xfId="49267"/>
    <cellStyle name="20% - Accent1 2 2 2 2 3 2 2 3 2 2 3" xfId="42324"/>
    <cellStyle name="20% - Accent1 2 2 2 2 3 2 2 3 2 3" xfId="10891"/>
    <cellStyle name="20% - Accent1 2 2 2 2 3 2 2 3 2 3 2" xfId="49268"/>
    <cellStyle name="20% - Accent1 2 2 2 2 3 2 2 3 2 4" xfId="22692"/>
    <cellStyle name="20% - Accent1 2 2 2 2 3 2 2 3 2 4 2" xfId="49269"/>
    <cellStyle name="20% - Accent1 2 2 2 2 3 2 2 3 2 5" xfId="36307"/>
    <cellStyle name="20% - Accent1 2 2 2 2 3 2 2 3 3" xfId="11193"/>
    <cellStyle name="20% - Accent1 2 2 2 2 3 2 2 3 3 2" xfId="22994"/>
    <cellStyle name="20% - Accent1 2 2 2 2 3 2 2 3 3 2 2" xfId="49270"/>
    <cellStyle name="20% - Accent1 2 2 2 2 3 2 2 3 3 3" xfId="36609"/>
    <cellStyle name="20% - Accent1 2 2 2 2 3 2 2 3 4" xfId="9050"/>
    <cellStyle name="20% - Accent1 2 2 2 2 3 2 2 3 4 2" xfId="49271"/>
    <cellStyle name="20% - Accent1 2 2 2 2 3 2 2 3 5" xfId="20851"/>
    <cellStyle name="20% - Accent1 2 2 2 2 3 2 2 3 5 2" xfId="49272"/>
    <cellStyle name="20% - Accent1 2 2 2 2 3 2 2 3 6" xfId="34466"/>
    <cellStyle name="20% - Accent1 2 2 2 2 3 2 2 4" xfId="4302"/>
    <cellStyle name="20% - Accent1 2 2 2 2 3 2 2 4 2" xfId="11194"/>
    <cellStyle name="20% - Accent1 2 2 2 2 3 2 2 4 2 2" xfId="22995"/>
    <cellStyle name="20% - Accent1 2 2 2 2 3 2 2 4 2 2 2" xfId="49273"/>
    <cellStyle name="20% - Accent1 2 2 2 2 3 2 2 4 2 3" xfId="36610"/>
    <cellStyle name="20% - Accent1 2 2 2 2 3 2 2 4 3" xfId="9755"/>
    <cellStyle name="20% - Accent1 2 2 2 2 3 2 2 4 3 2" xfId="42976"/>
    <cellStyle name="20% - Accent1 2 2 2 2 3 2 2 4 4" xfId="21556"/>
    <cellStyle name="20% - Accent1 2 2 2 2 3 2 2 4 4 2" xfId="49274"/>
    <cellStyle name="20% - Accent1 2 2 2 2 3 2 2 4 5" xfId="35171"/>
    <cellStyle name="20% - Accent1 2 2 2 2 3 2 2 5" xfId="2461"/>
    <cellStyle name="20% - Accent1 2 2 2 2 3 2 2 5 2" xfId="16939"/>
    <cellStyle name="20% - Accent1 2 2 2 2 3 2 2 5 2 2" xfId="28740"/>
    <cellStyle name="20% - Accent1 2 2 2 2 3 2 2 5 2 2 2" xfId="49275"/>
    <cellStyle name="20% - Accent1 2 2 2 2 3 2 2 5 2 3" xfId="42355"/>
    <cellStyle name="20% - Accent1 2 2 2 2 3 2 2 5 3" xfId="7914"/>
    <cellStyle name="20% - Accent1 2 2 2 2 3 2 2 5 3 2" xfId="49276"/>
    <cellStyle name="20% - Accent1 2 2 2 2 3 2 2 5 4" xfId="19715"/>
    <cellStyle name="20% - Accent1 2 2 2 2 3 2 2 5 4 2" xfId="49277"/>
    <cellStyle name="20% - Accent1 2 2 2 2 3 2 2 5 5" xfId="33330"/>
    <cellStyle name="20% - Accent1 2 2 2 2 3 2 2 6" xfId="11195"/>
    <cellStyle name="20% - Accent1 2 2 2 2 3 2 2 6 2" xfId="22996"/>
    <cellStyle name="20% - Accent1 2 2 2 2 3 2 2 6 2 2" xfId="49278"/>
    <cellStyle name="20% - Accent1 2 2 2 2 3 2 2 6 3" xfId="36611"/>
    <cellStyle name="20% - Accent1 2 2 2 2 3 2 2 7" xfId="6014"/>
    <cellStyle name="20% - Accent1 2 2 2 2 3 2 2 7 2" xfId="49279"/>
    <cellStyle name="20% - Accent1 2 2 2 2 3 2 2 8" xfId="17815"/>
    <cellStyle name="20% - Accent1 2 2 2 2 3 2 2 8 2" xfId="49280"/>
    <cellStyle name="20% - Accent1 2 2 2 2 3 2 2 9" xfId="31430"/>
    <cellStyle name="20% - Accent1 2 2 2 2 3 2 3" xfId="423"/>
    <cellStyle name="20% - Accent1 2 2 2 2 3 2 3 2" xfId="1000"/>
    <cellStyle name="20% - Accent1 2 2 2 2 3 2 3 2 2" xfId="4733"/>
    <cellStyle name="20% - Accent1 2 2 2 2 3 2 3 2 2 2" xfId="11196"/>
    <cellStyle name="20% - Accent1 2 2 2 2 3 2 3 2 2 2 2" xfId="22997"/>
    <cellStyle name="20% - Accent1 2 2 2 2 3 2 3 2 2 2 2 2" xfId="49281"/>
    <cellStyle name="20% - Accent1 2 2 2 2 3 2 3 2 2 2 3" xfId="36612"/>
    <cellStyle name="20% - Accent1 2 2 2 2 3 2 3 2 2 3" xfId="10186"/>
    <cellStyle name="20% - Accent1 2 2 2 2 3 2 3 2 2 3 2" xfId="42977"/>
    <cellStyle name="20% - Accent1 2 2 2 2 3 2 3 2 2 4" xfId="21987"/>
    <cellStyle name="20% - Accent1 2 2 2 2 3 2 3 2 2 4 2" xfId="49282"/>
    <cellStyle name="20% - Accent1 2 2 2 2 3 2 3 2 2 5" xfId="35602"/>
    <cellStyle name="20% - Accent1 2 2 2 2 3 2 3 2 3" xfId="2892"/>
    <cellStyle name="20% - Accent1 2 2 2 2 3 2 3 2 3 2" xfId="11197"/>
    <cellStyle name="20% - Accent1 2 2 2 2 3 2 3 2 3 2 2" xfId="22998"/>
    <cellStyle name="20% - Accent1 2 2 2 2 3 2 3 2 3 2 2 2" xfId="49283"/>
    <cellStyle name="20% - Accent1 2 2 2 2 3 2 3 2 3 2 3" xfId="36613"/>
    <cellStyle name="20% - Accent1 2 2 2 2 3 2 3 2 3 3" xfId="8345"/>
    <cellStyle name="20% - Accent1 2 2 2 2 3 2 3 2 3 3 2" xfId="42978"/>
    <cellStyle name="20% - Accent1 2 2 2 2 3 2 3 2 3 4" xfId="20146"/>
    <cellStyle name="20% - Accent1 2 2 2 2 3 2 3 2 3 4 2" xfId="49284"/>
    <cellStyle name="20% - Accent1 2 2 2 2 3 2 3 2 3 5" xfId="33761"/>
    <cellStyle name="20% - Accent1 2 2 2 2 3 2 3 2 4" xfId="11198"/>
    <cellStyle name="20% - Accent1 2 2 2 2 3 2 3 2 4 2" xfId="22999"/>
    <cellStyle name="20% - Accent1 2 2 2 2 3 2 3 2 4 2 2" xfId="49285"/>
    <cellStyle name="20% - Accent1 2 2 2 2 3 2 3 2 4 3" xfId="36614"/>
    <cellStyle name="20% - Accent1 2 2 2 2 3 2 3 2 5" xfId="6454"/>
    <cellStyle name="20% - Accent1 2 2 2 2 3 2 3 2 5 2" xfId="42979"/>
    <cellStyle name="20% - Accent1 2 2 2 2 3 2 3 2 6" xfId="18255"/>
    <cellStyle name="20% - Accent1 2 2 2 2 3 2 3 2 6 2" xfId="49286"/>
    <cellStyle name="20% - Accent1 2 2 2 2 3 2 3 2 7" xfId="31870"/>
    <cellStyle name="20% - Accent1 2 2 2 2 3 2 3 3" xfId="3460"/>
    <cellStyle name="20% - Accent1 2 2 2 2 3 2 3 3 2" xfId="5301"/>
    <cellStyle name="20% - Accent1 2 2 2 2 3 2 3 3 2 2" xfId="16771"/>
    <cellStyle name="20% - Accent1 2 2 2 2 3 2 3 3 2 2 2" xfId="28572"/>
    <cellStyle name="20% - Accent1 2 2 2 2 3 2 3 3 2 2 2 2" xfId="49287"/>
    <cellStyle name="20% - Accent1 2 2 2 2 3 2 3 3 2 2 3" xfId="42187"/>
    <cellStyle name="20% - Accent1 2 2 2 2 3 2 3 3 2 3" xfId="10754"/>
    <cellStyle name="20% - Accent1 2 2 2 2 3 2 3 3 2 3 2" xfId="49288"/>
    <cellStyle name="20% - Accent1 2 2 2 2 3 2 3 3 2 4" xfId="22555"/>
    <cellStyle name="20% - Accent1 2 2 2 2 3 2 3 3 2 4 2" xfId="49289"/>
    <cellStyle name="20% - Accent1 2 2 2 2 3 2 3 3 2 5" xfId="36170"/>
    <cellStyle name="20% - Accent1 2 2 2 2 3 2 3 3 3" xfId="11199"/>
    <cellStyle name="20% - Accent1 2 2 2 2 3 2 3 3 3 2" xfId="23000"/>
    <cellStyle name="20% - Accent1 2 2 2 2 3 2 3 3 3 2 2" xfId="49290"/>
    <cellStyle name="20% - Accent1 2 2 2 2 3 2 3 3 3 3" xfId="36615"/>
    <cellStyle name="20% - Accent1 2 2 2 2 3 2 3 3 4" xfId="8913"/>
    <cellStyle name="20% - Accent1 2 2 2 2 3 2 3 3 4 2" xfId="49291"/>
    <cellStyle name="20% - Accent1 2 2 2 2 3 2 3 3 5" xfId="20714"/>
    <cellStyle name="20% - Accent1 2 2 2 2 3 2 3 3 5 2" xfId="49292"/>
    <cellStyle name="20% - Accent1 2 2 2 2 3 2 3 3 6" xfId="34329"/>
    <cellStyle name="20% - Accent1 2 2 2 2 3 2 3 4" xfId="4165"/>
    <cellStyle name="20% - Accent1 2 2 2 2 3 2 3 4 2" xfId="11200"/>
    <cellStyle name="20% - Accent1 2 2 2 2 3 2 3 4 2 2" xfId="23001"/>
    <cellStyle name="20% - Accent1 2 2 2 2 3 2 3 4 2 2 2" xfId="49293"/>
    <cellStyle name="20% - Accent1 2 2 2 2 3 2 3 4 2 3" xfId="36616"/>
    <cellStyle name="20% - Accent1 2 2 2 2 3 2 3 4 3" xfId="9618"/>
    <cellStyle name="20% - Accent1 2 2 2 2 3 2 3 4 3 2" xfId="42980"/>
    <cellStyle name="20% - Accent1 2 2 2 2 3 2 3 4 4" xfId="21419"/>
    <cellStyle name="20% - Accent1 2 2 2 2 3 2 3 4 4 2" xfId="49294"/>
    <cellStyle name="20% - Accent1 2 2 2 2 3 2 3 4 5" xfId="35034"/>
    <cellStyle name="20% - Accent1 2 2 2 2 3 2 3 5" xfId="2324"/>
    <cellStyle name="20% - Accent1 2 2 2 2 3 2 3 5 2" xfId="16940"/>
    <cellStyle name="20% - Accent1 2 2 2 2 3 2 3 5 2 2" xfId="28741"/>
    <cellStyle name="20% - Accent1 2 2 2 2 3 2 3 5 2 2 2" xfId="49295"/>
    <cellStyle name="20% - Accent1 2 2 2 2 3 2 3 5 2 3" xfId="42356"/>
    <cellStyle name="20% - Accent1 2 2 2 2 3 2 3 5 3" xfId="7777"/>
    <cellStyle name="20% - Accent1 2 2 2 2 3 2 3 5 3 2" xfId="49296"/>
    <cellStyle name="20% - Accent1 2 2 2 2 3 2 3 5 4" xfId="19578"/>
    <cellStyle name="20% - Accent1 2 2 2 2 3 2 3 5 4 2" xfId="49297"/>
    <cellStyle name="20% - Accent1 2 2 2 2 3 2 3 5 5" xfId="33193"/>
    <cellStyle name="20% - Accent1 2 2 2 2 3 2 3 6" xfId="11201"/>
    <cellStyle name="20% - Accent1 2 2 2 2 3 2 3 6 2" xfId="23002"/>
    <cellStyle name="20% - Accent1 2 2 2 2 3 2 3 6 2 2" xfId="49298"/>
    <cellStyle name="20% - Accent1 2 2 2 2 3 2 3 6 3" xfId="36617"/>
    <cellStyle name="20% - Accent1 2 2 2 2 3 2 3 7" xfId="5877"/>
    <cellStyle name="20% - Accent1 2 2 2 2 3 2 3 7 2" xfId="49299"/>
    <cellStyle name="20% - Accent1 2 2 2 2 3 2 3 8" xfId="17678"/>
    <cellStyle name="20% - Accent1 2 2 2 2 3 2 3 8 2" xfId="49300"/>
    <cellStyle name="20% - Accent1 2 2 2 2 3 2 3 9" xfId="31293"/>
    <cellStyle name="20% - Accent1 2 2 2 2 3 2 4" xfId="701"/>
    <cellStyle name="20% - Accent1 2 2 2 2 3 2 4 2" xfId="1001"/>
    <cellStyle name="20% - Accent1 2 2 2 2 3 2 4 2 2" xfId="4443"/>
    <cellStyle name="20% - Accent1 2 2 2 2 3 2 4 2 2 2" xfId="11202"/>
    <cellStyle name="20% - Accent1 2 2 2 2 3 2 4 2 2 2 2" xfId="23003"/>
    <cellStyle name="20% - Accent1 2 2 2 2 3 2 4 2 2 2 2 2" xfId="49301"/>
    <cellStyle name="20% - Accent1 2 2 2 2 3 2 4 2 2 2 3" xfId="36618"/>
    <cellStyle name="20% - Accent1 2 2 2 2 3 2 4 2 2 3" xfId="9896"/>
    <cellStyle name="20% - Accent1 2 2 2 2 3 2 4 2 2 3 2" xfId="42981"/>
    <cellStyle name="20% - Accent1 2 2 2 2 3 2 4 2 2 4" xfId="21697"/>
    <cellStyle name="20% - Accent1 2 2 2 2 3 2 4 2 2 4 2" xfId="49302"/>
    <cellStyle name="20% - Accent1 2 2 2 2 3 2 4 2 2 5" xfId="35312"/>
    <cellStyle name="20% - Accent1 2 2 2 2 3 2 4 2 3" xfId="11203"/>
    <cellStyle name="20% - Accent1 2 2 2 2 3 2 4 2 3 2" xfId="23004"/>
    <cellStyle name="20% - Accent1 2 2 2 2 3 2 4 2 3 2 2" xfId="42982"/>
    <cellStyle name="20% - Accent1 2 2 2 2 3 2 4 2 3 3" xfId="29154"/>
    <cellStyle name="20% - Accent1 2 2 2 2 3 2 4 2 3 3 2" xfId="42983"/>
    <cellStyle name="20% - Accent1 2 2 2 2 3 2 4 2 3 4" xfId="29155"/>
    <cellStyle name="20% - Accent1 2 2 2 2 3 2 4 2 3 4 2" xfId="49303"/>
    <cellStyle name="20% - Accent1 2 2 2 2 3 2 4 2 3 5" xfId="36619"/>
    <cellStyle name="20% - Accent1 2 2 2 2 3 2 4 2 4" xfId="11204"/>
    <cellStyle name="20% - Accent1 2 2 2 2 3 2 4 2 4 2" xfId="23005"/>
    <cellStyle name="20% - Accent1 2 2 2 2 3 2 4 2 4 2 2" xfId="49304"/>
    <cellStyle name="20% - Accent1 2 2 2 2 3 2 4 2 4 3" xfId="36620"/>
    <cellStyle name="20% - Accent1 2 2 2 2 3 2 4 2 5" xfId="6455"/>
    <cellStyle name="20% - Accent1 2 2 2 2 3 2 4 2 5 2" xfId="42984"/>
    <cellStyle name="20% - Accent1 2 2 2 2 3 2 4 2 6" xfId="18256"/>
    <cellStyle name="20% - Accent1 2 2 2 2 3 2 4 2 6 2" xfId="49305"/>
    <cellStyle name="20% - Accent1 2 2 2 2 3 2 4 2 7" xfId="31871"/>
    <cellStyle name="20% - Accent1 2 2 2 2 3 2 4 3" xfId="2602"/>
    <cellStyle name="20% - Accent1 2 2 2 2 3 2 4 3 2" xfId="11205"/>
    <cellStyle name="20% - Accent1 2 2 2 2 3 2 4 3 2 2" xfId="23006"/>
    <cellStyle name="20% - Accent1 2 2 2 2 3 2 4 3 2 2 2" xfId="49306"/>
    <cellStyle name="20% - Accent1 2 2 2 2 3 2 4 3 2 3" xfId="36621"/>
    <cellStyle name="20% - Accent1 2 2 2 2 3 2 4 3 3" xfId="8055"/>
    <cellStyle name="20% - Accent1 2 2 2 2 3 2 4 3 3 2" xfId="42985"/>
    <cellStyle name="20% - Accent1 2 2 2 2 3 2 4 3 4" xfId="19856"/>
    <cellStyle name="20% - Accent1 2 2 2 2 3 2 4 3 4 2" xfId="49307"/>
    <cellStyle name="20% - Accent1 2 2 2 2 3 2 4 3 5" xfId="33471"/>
    <cellStyle name="20% - Accent1 2 2 2 2 3 2 4 4" xfId="11206"/>
    <cellStyle name="20% - Accent1 2 2 2 2 3 2 4 4 2" xfId="23007"/>
    <cellStyle name="20% - Accent1 2 2 2 2 3 2 4 4 2 2" xfId="42986"/>
    <cellStyle name="20% - Accent1 2 2 2 2 3 2 4 4 3" xfId="29156"/>
    <cellStyle name="20% - Accent1 2 2 2 2 3 2 4 4 3 2" xfId="42987"/>
    <cellStyle name="20% - Accent1 2 2 2 2 3 2 4 4 4" xfId="29157"/>
    <cellStyle name="20% - Accent1 2 2 2 2 3 2 4 4 4 2" xfId="49308"/>
    <cellStyle name="20% - Accent1 2 2 2 2 3 2 4 4 5" xfId="36622"/>
    <cellStyle name="20% - Accent1 2 2 2 2 3 2 4 5" xfId="11207"/>
    <cellStyle name="20% - Accent1 2 2 2 2 3 2 4 5 2" xfId="23008"/>
    <cellStyle name="20% - Accent1 2 2 2 2 3 2 4 5 2 2" xfId="49309"/>
    <cellStyle name="20% - Accent1 2 2 2 2 3 2 4 5 3" xfId="36623"/>
    <cellStyle name="20% - Accent1 2 2 2 2 3 2 4 6" xfId="6155"/>
    <cellStyle name="20% - Accent1 2 2 2 2 3 2 4 6 2" xfId="42988"/>
    <cellStyle name="20% - Accent1 2 2 2 2 3 2 4 7" xfId="17956"/>
    <cellStyle name="20% - Accent1 2 2 2 2 3 2 4 7 2" xfId="49310"/>
    <cellStyle name="20% - Accent1 2 2 2 2 3 2 4 8" xfId="31571"/>
    <cellStyle name="20% - Accent1 2 2 2 2 3 2 5" xfId="942"/>
    <cellStyle name="20% - Accent1 2 2 2 2 3 2 5 2" xfId="1002"/>
    <cellStyle name="20% - Accent1 2 2 2 2 3 2 5 2 2" xfId="5011"/>
    <cellStyle name="20% - Accent1 2 2 2 2 3 2 5 2 2 2" xfId="11208"/>
    <cellStyle name="20% - Accent1 2 2 2 2 3 2 5 2 2 2 2" xfId="23009"/>
    <cellStyle name="20% - Accent1 2 2 2 2 3 2 5 2 2 2 2 2" xfId="49311"/>
    <cellStyle name="20% - Accent1 2 2 2 2 3 2 5 2 2 2 3" xfId="36624"/>
    <cellStyle name="20% - Accent1 2 2 2 2 3 2 5 2 2 3" xfId="10464"/>
    <cellStyle name="20% - Accent1 2 2 2 2 3 2 5 2 2 3 2" xfId="42989"/>
    <cellStyle name="20% - Accent1 2 2 2 2 3 2 5 2 2 4" xfId="22265"/>
    <cellStyle name="20% - Accent1 2 2 2 2 3 2 5 2 2 4 2" xfId="49312"/>
    <cellStyle name="20% - Accent1 2 2 2 2 3 2 5 2 2 5" xfId="35880"/>
    <cellStyle name="20% - Accent1 2 2 2 2 3 2 5 2 3" xfId="11209"/>
    <cellStyle name="20% - Accent1 2 2 2 2 3 2 5 2 3 2" xfId="23010"/>
    <cellStyle name="20% - Accent1 2 2 2 2 3 2 5 2 3 2 2" xfId="42990"/>
    <cellStyle name="20% - Accent1 2 2 2 2 3 2 5 2 3 3" xfId="29158"/>
    <cellStyle name="20% - Accent1 2 2 2 2 3 2 5 2 3 3 2" xfId="42991"/>
    <cellStyle name="20% - Accent1 2 2 2 2 3 2 5 2 3 4" xfId="29159"/>
    <cellStyle name="20% - Accent1 2 2 2 2 3 2 5 2 3 4 2" xfId="49313"/>
    <cellStyle name="20% - Accent1 2 2 2 2 3 2 5 2 3 5" xfId="36625"/>
    <cellStyle name="20% - Accent1 2 2 2 2 3 2 5 2 4" xfId="11210"/>
    <cellStyle name="20% - Accent1 2 2 2 2 3 2 5 2 4 2" xfId="23011"/>
    <cellStyle name="20% - Accent1 2 2 2 2 3 2 5 2 4 2 2" xfId="49314"/>
    <cellStyle name="20% - Accent1 2 2 2 2 3 2 5 2 4 3" xfId="36626"/>
    <cellStyle name="20% - Accent1 2 2 2 2 3 2 5 2 5" xfId="6456"/>
    <cellStyle name="20% - Accent1 2 2 2 2 3 2 5 2 5 2" xfId="42992"/>
    <cellStyle name="20% - Accent1 2 2 2 2 3 2 5 2 6" xfId="18257"/>
    <cellStyle name="20% - Accent1 2 2 2 2 3 2 5 2 6 2" xfId="49315"/>
    <cellStyle name="20% - Accent1 2 2 2 2 3 2 5 2 7" xfId="31872"/>
    <cellStyle name="20% - Accent1 2 2 2 2 3 2 5 3" xfId="3170"/>
    <cellStyle name="20% - Accent1 2 2 2 2 3 2 5 3 2" xfId="11211"/>
    <cellStyle name="20% - Accent1 2 2 2 2 3 2 5 3 2 2" xfId="23012"/>
    <cellStyle name="20% - Accent1 2 2 2 2 3 2 5 3 2 2 2" xfId="49316"/>
    <cellStyle name="20% - Accent1 2 2 2 2 3 2 5 3 2 3" xfId="36627"/>
    <cellStyle name="20% - Accent1 2 2 2 2 3 2 5 3 3" xfId="8623"/>
    <cellStyle name="20% - Accent1 2 2 2 2 3 2 5 3 3 2" xfId="42993"/>
    <cellStyle name="20% - Accent1 2 2 2 2 3 2 5 3 4" xfId="20424"/>
    <cellStyle name="20% - Accent1 2 2 2 2 3 2 5 3 4 2" xfId="49317"/>
    <cellStyle name="20% - Accent1 2 2 2 2 3 2 5 3 5" xfId="34039"/>
    <cellStyle name="20% - Accent1 2 2 2 2 3 2 5 4" xfId="11212"/>
    <cellStyle name="20% - Accent1 2 2 2 2 3 2 5 4 2" xfId="23013"/>
    <cellStyle name="20% - Accent1 2 2 2 2 3 2 5 4 2 2" xfId="42994"/>
    <cellStyle name="20% - Accent1 2 2 2 2 3 2 5 4 3" xfId="29160"/>
    <cellStyle name="20% - Accent1 2 2 2 2 3 2 5 4 3 2" xfId="42995"/>
    <cellStyle name="20% - Accent1 2 2 2 2 3 2 5 4 4" xfId="29161"/>
    <cellStyle name="20% - Accent1 2 2 2 2 3 2 5 4 4 2" xfId="49318"/>
    <cellStyle name="20% - Accent1 2 2 2 2 3 2 5 4 5" xfId="36628"/>
    <cellStyle name="20% - Accent1 2 2 2 2 3 2 5 5" xfId="11213"/>
    <cellStyle name="20% - Accent1 2 2 2 2 3 2 5 5 2" xfId="23014"/>
    <cellStyle name="20% - Accent1 2 2 2 2 3 2 5 5 2 2" xfId="49319"/>
    <cellStyle name="20% - Accent1 2 2 2 2 3 2 5 5 3" xfId="36629"/>
    <cellStyle name="20% - Accent1 2 2 2 2 3 2 5 6" xfId="6396"/>
    <cellStyle name="20% - Accent1 2 2 2 2 3 2 5 6 2" xfId="42996"/>
    <cellStyle name="20% - Accent1 2 2 2 2 3 2 5 7" xfId="18197"/>
    <cellStyle name="20% - Accent1 2 2 2 2 3 2 5 7 2" xfId="49320"/>
    <cellStyle name="20% - Accent1 2 2 2 2 3 2 5 8" xfId="31812"/>
    <cellStyle name="20% - Accent1 2 2 2 2 3 2 6" xfId="1003"/>
    <cellStyle name="20% - Accent1 2 2 2 2 3 2 6 2" xfId="3875"/>
    <cellStyle name="20% - Accent1 2 2 2 2 3 2 6 2 2" xfId="11214"/>
    <cellStyle name="20% - Accent1 2 2 2 2 3 2 6 2 2 2" xfId="23015"/>
    <cellStyle name="20% - Accent1 2 2 2 2 3 2 6 2 2 2 2" xfId="49321"/>
    <cellStyle name="20% - Accent1 2 2 2 2 3 2 6 2 2 3" xfId="36630"/>
    <cellStyle name="20% - Accent1 2 2 2 2 3 2 6 2 3" xfId="9328"/>
    <cellStyle name="20% - Accent1 2 2 2 2 3 2 6 2 3 2" xfId="42997"/>
    <cellStyle name="20% - Accent1 2 2 2 2 3 2 6 2 4" xfId="21129"/>
    <cellStyle name="20% - Accent1 2 2 2 2 3 2 6 2 4 2" xfId="49322"/>
    <cellStyle name="20% - Accent1 2 2 2 2 3 2 6 2 5" xfId="34744"/>
    <cellStyle name="20% - Accent1 2 2 2 2 3 2 6 3" xfId="11215"/>
    <cellStyle name="20% - Accent1 2 2 2 2 3 2 6 3 2" xfId="23016"/>
    <cellStyle name="20% - Accent1 2 2 2 2 3 2 6 3 2 2" xfId="42998"/>
    <cellStyle name="20% - Accent1 2 2 2 2 3 2 6 3 3" xfId="29162"/>
    <cellStyle name="20% - Accent1 2 2 2 2 3 2 6 3 3 2" xfId="42999"/>
    <cellStyle name="20% - Accent1 2 2 2 2 3 2 6 3 4" xfId="29163"/>
    <cellStyle name="20% - Accent1 2 2 2 2 3 2 6 3 4 2" xfId="49323"/>
    <cellStyle name="20% - Accent1 2 2 2 2 3 2 6 3 5" xfId="36631"/>
    <cellStyle name="20% - Accent1 2 2 2 2 3 2 6 4" xfId="11216"/>
    <cellStyle name="20% - Accent1 2 2 2 2 3 2 6 4 2" xfId="23017"/>
    <cellStyle name="20% - Accent1 2 2 2 2 3 2 6 4 2 2" xfId="49324"/>
    <cellStyle name="20% - Accent1 2 2 2 2 3 2 6 4 3" xfId="36632"/>
    <cellStyle name="20% - Accent1 2 2 2 2 3 2 6 5" xfId="6457"/>
    <cellStyle name="20% - Accent1 2 2 2 2 3 2 6 5 2" xfId="43000"/>
    <cellStyle name="20% - Accent1 2 2 2 2 3 2 6 6" xfId="18258"/>
    <cellStyle name="20% - Accent1 2 2 2 2 3 2 6 6 2" xfId="49325"/>
    <cellStyle name="20% - Accent1 2 2 2 2 3 2 6 7" xfId="31873"/>
    <cellStyle name="20% - Accent1 2 2 2 2 3 2 7" xfId="3738"/>
    <cellStyle name="20% - Accent1 2 2 2 2 3 2 7 2" xfId="11217"/>
    <cellStyle name="20% - Accent1 2 2 2 2 3 2 7 2 2" xfId="23018"/>
    <cellStyle name="20% - Accent1 2 2 2 2 3 2 7 2 2 2" xfId="49326"/>
    <cellStyle name="20% - Accent1 2 2 2 2 3 2 7 2 3" xfId="36633"/>
    <cellStyle name="20% - Accent1 2 2 2 2 3 2 7 3" xfId="9191"/>
    <cellStyle name="20% - Accent1 2 2 2 2 3 2 7 3 2" xfId="43001"/>
    <cellStyle name="20% - Accent1 2 2 2 2 3 2 7 4" xfId="20992"/>
    <cellStyle name="20% - Accent1 2 2 2 2 3 2 7 4 2" xfId="49327"/>
    <cellStyle name="20% - Accent1 2 2 2 2 3 2 7 5" xfId="34607"/>
    <cellStyle name="20% - Accent1 2 2 2 2 3 2 8" xfId="2034"/>
    <cellStyle name="20% - Accent1 2 2 2 2 3 2 8 2" xfId="11218"/>
    <cellStyle name="20% - Accent1 2 2 2 2 3 2 8 2 2" xfId="23019"/>
    <cellStyle name="20% - Accent1 2 2 2 2 3 2 8 2 2 2" xfId="49328"/>
    <cellStyle name="20% - Accent1 2 2 2 2 3 2 8 2 3" xfId="36634"/>
    <cellStyle name="20% - Accent1 2 2 2 2 3 2 8 3" xfId="7487"/>
    <cellStyle name="20% - Accent1 2 2 2 2 3 2 8 3 2" xfId="43002"/>
    <cellStyle name="20% - Accent1 2 2 2 2 3 2 8 4" xfId="19288"/>
    <cellStyle name="20% - Accent1 2 2 2 2 3 2 8 4 2" xfId="49329"/>
    <cellStyle name="20% - Accent1 2 2 2 2 3 2 8 5" xfId="32903"/>
    <cellStyle name="20% - Accent1 2 2 2 2 3 2 9" xfId="11219"/>
    <cellStyle name="20% - Accent1 2 2 2 2 3 2 9 2" xfId="23020"/>
    <cellStyle name="20% - Accent1 2 2 2 2 3 2 9 2 2" xfId="49330"/>
    <cellStyle name="20% - Accent1 2 2 2 2 3 2 9 3" xfId="36635"/>
    <cellStyle name="20% - Accent1 2 2 2 2 3 3" xfId="193"/>
    <cellStyle name="20% - Accent1 2 2 2 2 3 3 10" xfId="31063"/>
    <cellStyle name="20% - Accent1 2 2 2 2 3 3 2" xfId="493"/>
    <cellStyle name="20% - Accent1 2 2 2 2 3 3 2 2" xfId="1004"/>
    <cellStyle name="20% - Accent1 2 2 2 2 3 3 2 2 2" xfId="4803"/>
    <cellStyle name="20% - Accent1 2 2 2 2 3 3 2 2 2 2" xfId="11220"/>
    <cellStyle name="20% - Accent1 2 2 2 2 3 3 2 2 2 2 2" xfId="23021"/>
    <cellStyle name="20% - Accent1 2 2 2 2 3 3 2 2 2 2 2 2" xfId="49331"/>
    <cellStyle name="20% - Accent1 2 2 2 2 3 3 2 2 2 2 3" xfId="36636"/>
    <cellStyle name="20% - Accent1 2 2 2 2 3 3 2 2 2 3" xfId="10256"/>
    <cellStyle name="20% - Accent1 2 2 2 2 3 3 2 2 2 3 2" xfId="43003"/>
    <cellStyle name="20% - Accent1 2 2 2 2 3 3 2 2 2 4" xfId="22057"/>
    <cellStyle name="20% - Accent1 2 2 2 2 3 3 2 2 2 4 2" xfId="49332"/>
    <cellStyle name="20% - Accent1 2 2 2 2 3 3 2 2 2 5" xfId="35672"/>
    <cellStyle name="20% - Accent1 2 2 2 2 3 3 2 2 3" xfId="2962"/>
    <cellStyle name="20% - Accent1 2 2 2 2 3 3 2 2 3 2" xfId="11221"/>
    <cellStyle name="20% - Accent1 2 2 2 2 3 3 2 2 3 2 2" xfId="23022"/>
    <cellStyle name="20% - Accent1 2 2 2 2 3 3 2 2 3 2 2 2" xfId="49333"/>
    <cellStyle name="20% - Accent1 2 2 2 2 3 3 2 2 3 2 3" xfId="36637"/>
    <cellStyle name="20% - Accent1 2 2 2 2 3 3 2 2 3 3" xfId="8415"/>
    <cellStyle name="20% - Accent1 2 2 2 2 3 3 2 2 3 3 2" xfId="43004"/>
    <cellStyle name="20% - Accent1 2 2 2 2 3 3 2 2 3 4" xfId="20216"/>
    <cellStyle name="20% - Accent1 2 2 2 2 3 3 2 2 3 4 2" xfId="49334"/>
    <cellStyle name="20% - Accent1 2 2 2 2 3 3 2 2 3 5" xfId="33831"/>
    <cellStyle name="20% - Accent1 2 2 2 2 3 3 2 2 4" xfId="11222"/>
    <cellStyle name="20% - Accent1 2 2 2 2 3 3 2 2 4 2" xfId="23023"/>
    <cellStyle name="20% - Accent1 2 2 2 2 3 3 2 2 4 2 2" xfId="49335"/>
    <cellStyle name="20% - Accent1 2 2 2 2 3 3 2 2 4 3" xfId="36638"/>
    <cellStyle name="20% - Accent1 2 2 2 2 3 3 2 2 5" xfId="6458"/>
    <cellStyle name="20% - Accent1 2 2 2 2 3 3 2 2 5 2" xfId="43005"/>
    <cellStyle name="20% - Accent1 2 2 2 2 3 3 2 2 6" xfId="18259"/>
    <cellStyle name="20% - Accent1 2 2 2 2 3 3 2 2 6 2" xfId="49336"/>
    <cellStyle name="20% - Accent1 2 2 2 2 3 3 2 2 7" xfId="31874"/>
    <cellStyle name="20% - Accent1 2 2 2 2 3 3 2 3" xfId="3530"/>
    <cellStyle name="20% - Accent1 2 2 2 2 3 3 2 3 2" xfId="5371"/>
    <cellStyle name="20% - Accent1 2 2 2 2 3 3 2 3 2 2" xfId="16841"/>
    <cellStyle name="20% - Accent1 2 2 2 2 3 3 2 3 2 2 2" xfId="28642"/>
    <cellStyle name="20% - Accent1 2 2 2 2 3 3 2 3 2 2 2 2" xfId="49337"/>
    <cellStyle name="20% - Accent1 2 2 2 2 3 3 2 3 2 2 3" xfId="42257"/>
    <cellStyle name="20% - Accent1 2 2 2 2 3 3 2 3 2 3" xfId="10824"/>
    <cellStyle name="20% - Accent1 2 2 2 2 3 3 2 3 2 3 2" xfId="49338"/>
    <cellStyle name="20% - Accent1 2 2 2 2 3 3 2 3 2 4" xfId="22625"/>
    <cellStyle name="20% - Accent1 2 2 2 2 3 3 2 3 2 4 2" xfId="49339"/>
    <cellStyle name="20% - Accent1 2 2 2 2 3 3 2 3 2 5" xfId="36240"/>
    <cellStyle name="20% - Accent1 2 2 2 2 3 3 2 3 3" xfId="11223"/>
    <cellStyle name="20% - Accent1 2 2 2 2 3 3 2 3 3 2" xfId="23024"/>
    <cellStyle name="20% - Accent1 2 2 2 2 3 3 2 3 3 2 2" xfId="49340"/>
    <cellStyle name="20% - Accent1 2 2 2 2 3 3 2 3 3 3" xfId="36639"/>
    <cellStyle name="20% - Accent1 2 2 2 2 3 3 2 3 4" xfId="8983"/>
    <cellStyle name="20% - Accent1 2 2 2 2 3 3 2 3 4 2" xfId="49341"/>
    <cellStyle name="20% - Accent1 2 2 2 2 3 3 2 3 5" xfId="20784"/>
    <cellStyle name="20% - Accent1 2 2 2 2 3 3 2 3 5 2" xfId="49342"/>
    <cellStyle name="20% - Accent1 2 2 2 2 3 3 2 3 6" xfId="34399"/>
    <cellStyle name="20% - Accent1 2 2 2 2 3 3 2 4" xfId="4235"/>
    <cellStyle name="20% - Accent1 2 2 2 2 3 3 2 4 2" xfId="11224"/>
    <cellStyle name="20% - Accent1 2 2 2 2 3 3 2 4 2 2" xfId="23025"/>
    <cellStyle name="20% - Accent1 2 2 2 2 3 3 2 4 2 2 2" xfId="49343"/>
    <cellStyle name="20% - Accent1 2 2 2 2 3 3 2 4 2 3" xfId="36640"/>
    <cellStyle name="20% - Accent1 2 2 2 2 3 3 2 4 3" xfId="9688"/>
    <cellStyle name="20% - Accent1 2 2 2 2 3 3 2 4 3 2" xfId="43006"/>
    <cellStyle name="20% - Accent1 2 2 2 2 3 3 2 4 4" xfId="21489"/>
    <cellStyle name="20% - Accent1 2 2 2 2 3 3 2 4 4 2" xfId="49344"/>
    <cellStyle name="20% - Accent1 2 2 2 2 3 3 2 4 5" xfId="35104"/>
    <cellStyle name="20% - Accent1 2 2 2 2 3 3 2 5" xfId="2394"/>
    <cellStyle name="20% - Accent1 2 2 2 2 3 3 2 5 2" xfId="16941"/>
    <cellStyle name="20% - Accent1 2 2 2 2 3 3 2 5 2 2" xfId="28742"/>
    <cellStyle name="20% - Accent1 2 2 2 2 3 3 2 5 2 2 2" xfId="49345"/>
    <cellStyle name="20% - Accent1 2 2 2 2 3 3 2 5 2 3" xfId="42357"/>
    <cellStyle name="20% - Accent1 2 2 2 2 3 3 2 5 3" xfId="7847"/>
    <cellStyle name="20% - Accent1 2 2 2 2 3 3 2 5 3 2" xfId="49346"/>
    <cellStyle name="20% - Accent1 2 2 2 2 3 3 2 5 4" xfId="19648"/>
    <cellStyle name="20% - Accent1 2 2 2 2 3 3 2 5 4 2" xfId="49347"/>
    <cellStyle name="20% - Accent1 2 2 2 2 3 3 2 5 5" xfId="33263"/>
    <cellStyle name="20% - Accent1 2 2 2 2 3 3 2 6" xfId="11225"/>
    <cellStyle name="20% - Accent1 2 2 2 2 3 3 2 6 2" xfId="23026"/>
    <cellStyle name="20% - Accent1 2 2 2 2 3 3 2 6 2 2" xfId="49348"/>
    <cellStyle name="20% - Accent1 2 2 2 2 3 3 2 6 3" xfId="36641"/>
    <cellStyle name="20% - Accent1 2 2 2 2 3 3 2 7" xfId="5947"/>
    <cellStyle name="20% - Accent1 2 2 2 2 3 3 2 7 2" xfId="49349"/>
    <cellStyle name="20% - Accent1 2 2 2 2 3 3 2 8" xfId="17748"/>
    <cellStyle name="20% - Accent1 2 2 2 2 3 3 2 8 2" xfId="49350"/>
    <cellStyle name="20% - Accent1 2 2 2 2 3 3 2 9" xfId="31363"/>
    <cellStyle name="20% - Accent1 2 2 2 2 3 3 3" xfId="761"/>
    <cellStyle name="20% - Accent1 2 2 2 2 3 3 3 2" xfId="1005"/>
    <cellStyle name="20% - Accent1 2 2 2 2 3 3 3 2 2" xfId="4503"/>
    <cellStyle name="20% - Accent1 2 2 2 2 3 3 3 2 2 2" xfId="11226"/>
    <cellStyle name="20% - Accent1 2 2 2 2 3 3 3 2 2 2 2" xfId="23027"/>
    <cellStyle name="20% - Accent1 2 2 2 2 3 3 3 2 2 2 2 2" xfId="49351"/>
    <cellStyle name="20% - Accent1 2 2 2 2 3 3 3 2 2 2 3" xfId="36642"/>
    <cellStyle name="20% - Accent1 2 2 2 2 3 3 3 2 2 3" xfId="9956"/>
    <cellStyle name="20% - Accent1 2 2 2 2 3 3 3 2 2 3 2" xfId="43007"/>
    <cellStyle name="20% - Accent1 2 2 2 2 3 3 3 2 2 4" xfId="21757"/>
    <cellStyle name="20% - Accent1 2 2 2 2 3 3 3 2 2 4 2" xfId="49352"/>
    <cellStyle name="20% - Accent1 2 2 2 2 3 3 3 2 2 5" xfId="35372"/>
    <cellStyle name="20% - Accent1 2 2 2 2 3 3 3 2 3" xfId="11227"/>
    <cellStyle name="20% - Accent1 2 2 2 2 3 3 3 2 3 2" xfId="23028"/>
    <cellStyle name="20% - Accent1 2 2 2 2 3 3 3 2 3 2 2" xfId="43008"/>
    <cellStyle name="20% - Accent1 2 2 2 2 3 3 3 2 3 3" xfId="29164"/>
    <cellStyle name="20% - Accent1 2 2 2 2 3 3 3 2 3 3 2" xfId="43009"/>
    <cellStyle name="20% - Accent1 2 2 2 2 3 3 3 2 3 4" xfId="29165"/>
    <cellStyle name="20% - Accent1 2 2 2 2 3 3 3 2 3 4 2" xfId="49353"/>
    <cellStyle name="20% - Accent1 2 2 2 2 3 3 3 2 3 5" xfId="36643"/>
    <cellStyle name="20% - Accent1 2 2 2 2 3 3 3 2 4" xfId="11228"/>
    <cellStyle name="20% - Accent1 2 2 2 2 3 3 3 2 4 2" xfId="23029"/>
    <cellStyle name="20% - Accent1 2 2 2 2 3 3 3 2 4 2 2" xfId="49354"/>
    <cellStyle name="20% - Accent1 2 2 2 2 3 3 3 2 4 3" xfId="36644"/>
    <cellStyle name="20% - Accent1 2 2 2 2 3 3 3 2 5" xfId="6459"/>
    <cellStyle name="20% - Accent1 2 2 2 2 3 3 3 2 5 2" xfId="43010"/>
    <cellStyle name="20% - Accent1 2 2 2 2 3 3 3 2 6" xfId="18260"/>
    <cellStyle name="20% - Accent1 2 2 2 2 3 3 3 2 6 2" xfId="49355"/>
    <cellStyle name="20% - Accent1 2 2 2 2 3 3 3 2 7" xfId="31875"/>
    <cellStyle name="20% - Accent1 2 2 2 2 3 3 3 3" xfId="2662"/>
    <cellStyle name="20% - Accent1 2 2 2 2 3 3 3 3 2" xfId="11229"/>
    <cellStyle name="20% - Accent1 2 2 2 2 3 3 3 3 2 2" xfId="23030"/>
    <cellStyle name="20% - Accent1 2 2 2 2 3 3 3 3 2 2 2" xfId="49356"/>
    <cellStyle name="20% - Accent1 2 2 2 2 3 3 3 3 2 3" xfId="36645"/>
    <cellStyle name="20% - Accent1 2 2 2 2 3 3 3 3 3" xfId="8115"/>
    <cellStyle name="20% - Accent1 2 2 2 2 3 3 3 3 3 2" xfId="43011"/>
    <cellStyle name="20% - Accent1 2 2 2 2 3 3 3 3 4" xfId="19916"/>
    <cellStyle name="20% - Accent1 2 2 2 2 3 3 3 3 4 2" xfId="49357"/>
    <cellStyle name="20% - Accent1 2 2 2 2 3 3 3 3 5" xfId="33531"/>
    <cellStyle name="20% - Accent1 2 2 2 2 3 3 3 4" xfId="11230"/>
    <cellStyle name="20% - Accent1 2 2 2 2 3 3 3 4 2" xfId="23031"/>
    <cellStyle name="20% - Accent1 2 2 2 2 3 3 3 4 2 2" xfId="43012"/>
    <cellStyle name="20% - Accent1 2 2 2 2 3 3 3 4 3" xfId="29166"/>
    <cellStyle name="20% - Accent1 2 2 2 2 3 3 3 4 3 2" xfId="43013"/>
    <cellStyle name="20% - Accent1 2 2 2 2 3 3 3 4 4" xfId="29167"/>
    <cellStyle name="20% - Accent1 2 2 2 2 3 3 3 4 4 2" xfId="49358"/>
    <cellStyle name="20% - Accent1 2 2 2 2 3 3 3 4 5" xfId="36646"/>
    <cellStyle name="20% - Accent1 2 2 2 2 3 3 3 5" xfId="11231"/>
    <cellStyle name="20% - Accent1 2 2 2 2 3 3 3 5 2" xfId="23032"/>
    <cellStyle name="20% - Accent1 2 2 2 2 3 3 3 5 2 2" xfId="49359"/>
    <cellStyle name="20% - Accent1 2 2 2 2 3 3 3 5 3" xfId="36647"/>
    <cellStyle name="20% - Accent1 2 2 2 2 3 3 3 6" xfId="6215"/>
    <cellStyle name="20% - Accent1 2 2 2 2 3 3 3 6 2" xfId="43014"/>
    <cellStyle name="20% - Accent1 2 2 2 2 3 3 3 7" xfId="18016"/>
    <cellStyle name="20% - Accent1 2 2 2 2 3 3 3 7 2" xfId="49360"/>
    <cellStyle name="20% - Accent1 2 2 2 2 3 3 3 8" xfId="31631"/>
    <cellStyle name="20% - Accent1 2 2 2 2 3 3 4" xfId="1006"/>
    <cellStyle name="20% - Accent1 2 2 2 2 3 3 4 2" xfId="5071"/>
    <cellStyle name="20% - Accent1 2 2 2 2 3 3 4 2 2" xfId="11232"/>
    <cellStyle name="20% - Accent1 2 2 2 2 3 3 4 2 2 2" xfId="23033"/>
    <cellStyle name="20% - Accent1 2 2 2 2 3 3 4 2 2 2 2" xfId="49361"/>
    <cellStyle name="20% - Accent1 2 2 2 2 3 3 4 2 2 3" xfId="36648"/>
    <cellStyle name="20% - Accent1 2 2 2 2 3 3 4 2 3" xfId="10524"/>
    <cellStyle name="20% - Accent1 2 2 2 2 3 3 4 2 3 2" xfId="43015"/>
    <cellStyle name="20% - Accent1 2 2 2 2 3 3 4 2 4" xfId="22325"/>
    <cellStyle name="20% - Accent1 2 2 2 2 3 3 4 2 4 2" xfId="49362"/>
    <cellStyle name="20% - Accent1 2 2 2 2 3 3 4 2 5" xfId="35940"/>
    <cellStyle name="20% - Accent1 2 2 2 2 3 3 4 3" xfId="3230"/>
    <cellStyle name="20% - Accent1 2 2 2 2 3 3 4 3 2" xfId="11233"/>
    <cellStyle name="20% - Accent1 2 2 2 2 3 3 4 3 2 2" xfId="23034"/>
    <cellStyle name="20% - Accent1 2 2 2 2 3 3 4 3 2 2 2" xfId="49363"/>
    <cellStyle name="20% - Accent1 2 2 2 2 3 3 4 3 2 3" xfId="36649"/>
    <cellStyle name="20% - Accent1 2 2 2 2 3 3 4 3 3" xfId="8683"/>
    <cellStyle name="20% - Accent1 2 2 2 2 3 3 4 3 3 2" xfId="43016"/>
    <cellStyle name="20% - Accent1 2 2 2 2 3 3 4 3 4" xfId="20484"/>
    <cellStyle name="20% - Accent1 2 2 2 2 3 3 4 3 4 2" xfId="49364"/>
    <cellStyle name="20% - Accent1 2 2 2 2 3 3 4 3 5" xfId="34099"/>
    <cellStyle name="20% - Accent1 2 2 2 2 3 3 4 4" xfId="11234"/>
    <cellStyle name="20% - Accent1 2 2 2 2 3 3 4 4 2" xfId="23035"/>
    <cellStyle name="20% - Accent1 2 2 2 2 3 3 4 4 2 2" xfId="49365"/>
    <cellStyle name="20% - Accent1 2 2 2 2 3 3 4 4 3" xfId="36650"/>
    <cellStyle name="20% - Accent1 2 2 2 2 3 3 4 5" xfId="6460"/>
    <cellStyle name="20% - Accent1 2 2 2 2 3 3 4 5 2" xfId="43017"/>
    <cellStyle name="20% - Accent1 2 2 2 2 3 3 4 6" xfId="18261"/>
    <cellStyle name="20% - Accent1 2 2 2 2 3 3 4 6 2" xfId="49366"/>
    <cellStyle name="20% - Accent1 2 2 2 2 3 3 4 7" xfId="31876"/>
    <cellStyle name="20% - Accent1 2 2 2 2 3 3 5" xfId="3935"/>
    <cellStyle name="20% - Accent1 2 2 2 2 3 3 5 2" xfId="11235"/>
    <cellStyle name="20% - Accent1 2 2 2 2 3 3 5 2 2" xfId="23036"/>
    <cellStyle name="20% - Accent1 2 2 2 2 3 3 5 2 2 2" xfId="49367"/>
    <cellStyle name="20% - Accent1 2 2 2 2 3 3 5 2 3" xfId="36651"/>
    <cellStyle name="20% - Accent1 2 2 2 2 3 3 5 3" xfId="9388"/>
    <cellStyle name="20% - Accent1 2 2 2 2 3 3 5 3 2" xfId="43018"/>
    <cellStyle name="20% - Accent1 2 2 2 2 3 3 5 4" xfId="21189"/>
    <cellStyle name="20% - Accent1 2 2 2 2 3 3 5 4 2" xfId="49368"/>
    <cellStyle name="20% - Accent1 2 2 2 2 3 3 5 5" xfId="34804"/>
    <cellStyle name="20% - Accent1 2 2 2 2 3 3 6" xfId="2094"/>
    <cellStyle name="20% - Accent1 2 2 2 2 3 3 6 2" xfId="11236"/>
    <cellStyle name="20% - Accent1 2 2 2 2 3 3 6 2 2" xfId="23037"/>
    <cellStyle name="20% - Accent1 2 2 2 2 3 3 6 2 2 2" xfId="49369"/>
    <cellStyle name="20% - Accent1 2 2 2 2 3 3 6 2 3" xfId="36652"/>
    <cellStyle name="20% - Accent1 2 2 2 2 3 3 6 3" xfId="7547"/>
    <cellStyle name="20% - Accent1 2 2 2 2 3 3 6 3 2" xfId="43019"/>
    <cellStyle name="20% - Accent1 2 2 2 2 3 3 6 4" xfId="19348"/>
    <cellStyle name="20% - Accent1 2 2 2 2 3 3 6 4 2" xfId="49370"/>
    <cellStyle name="20% - Accent1 2 2 2 2 3 3 6 5" xfId="32963"/>
    <cellStyle name="20% - Accent1 2 2 2 2 3 3 7" xfId="11237"/>
    <cellStyle name="20% - Accent1 2 2 2 2 3 3 7 2" xfId="23038"/>
    <cellStyle name="20% - Accent1 2 2 2 2 3 3 7 2 2" xfId="49371"/>
    <cellStyle name="20% - Accent1 2 2 2 2 3 3 7 3" xfId="36653"/>
    <cellStyle name="20% - Accent1 2 2 2 2 3 3 8" xfId="5647"/>
    <cellStyle name="20% - Accent1 2 2 2 2 3 3 8 2" xfId="43020"/>
    <cellStyle name="20% - Accent1 2 2 2 2 3 3 9" xfId="17448"/>
    <cellStyle name="20% - Accent1 2 2 2 2 3 3 9 2" xfId="49372"/>
    <cellStyle name="20% - Accent1 2 2 2 2 3 4" xfId="356"/>
    <cellStyle name="20% - Accent1 2 2 2 2 3 4 2" xfId="1007"/>
    <cellStyle name="20% - Accent1 2 2 2 2 3 4 2 2" xfId="4666"/>
    <cellStyle name="20% - Accent1 2 2 2 2 3 4 2 2 2" xfId="11238"/>
    <cellStyle name="20% - Accent1 2 2 2 2 3 4 2 2 2 2" xfId="23039"/>
    <cellStyle name="20% - Accent1 2 2 2 2 3 4 2 2 2 2 2" xfId="49373"/>
    <cellStyle name="20% - Accent1 2 2 2 2 3 4 2 2 2 3" xfId="36654"/>
    <cellStyle name="20% - Accent1 2 2 2 2 3 4 2 2 3" xfId="10119"/>
    <cellStyle name="20% - Accent1 2 2 2 2 3 4 2 2 3 2" xfId="43021"/>
    <cellStyle name="20% - Accent1 2 2 2 2 3 4 2 2 4" xfId="21920"/>
    <cellStyle name="20% - Accent1 2 2 2 2 3 4 2 2 4 2" xfId="49374"/>
    <cellStyle name="20% - Accent1 2 2 2 2 3 4 2 2 5" xfId="35535"/>
    <cellStyle name="20% - Accent1 2 2 2 2 3 4 2 3" xfId="2825"/>
    <cellStyle name="20% - Accent1 2 2 2 2 3 4 2 3 2" xfId="11239"/>
    <cellStyle name="20% - Accent1 2 2 2 2 3 4 2 3 2 2" xfId="23040"/>
    <cellStyle name="20% - Accent1 2 2 2 2 3 4 2 3 2 2 2" xfId="49375"/>
    <cellStyle name="20% - Accent1 2 2 2 2 3 4 2 3 2 3" xfId="36655"/>
    <cellStyle name="20% - Accent1 2 2 2 2 3 4 2 3 3" xfId="8278"/>
    <cellStyle name="20% - Accent1 2 2 2 2 3 4 2 3 3 2" xfId="43022"/>
    <cellStyle name="20% - Accent1 2 2 2 2 3 4 2 3 4" xfId="20079"/>
    <cellStyle name="20% - Accent1 2 2 2 2 3 4 2 3 4 2" xfId="49376"/>
    <cellStyle name="20% - Accent1 2 2 2 2 3 4 2 3 5" xfId="33694"/>
    <cellStyle name="20% - Accent1 2 2 2 2 3 4 2 4" xfId="11240"/>
    <cellStyle name="20% - Accent1 2 2 2 2 3 4 2 4 2" xfId="23041"/>
    <cellStyle name="20% - Accent1 2 2 2 2 3 4 2 4 2 2" xfId="49377"/>
    <cellStyle name="20% - Accent1 2 2 2 2 3 4 2 4 3" xfId="36656"/>
    <cellStyle name="20% - Accent1 2 2 2 2 3 4 2 5" xfId="6461"/>
    <cellStyle name="20% - Accent1 2 2 2 2 3 4 2 5 2" xfId="43023"/>
    <cellStyle name="20% - Accent1 2 2 2 2 3 4 2 6" xfId="18262"/>
    <cellStyle name="20% - Accent1 2 2 2 2 3 4 2 6 2" xfId="49378"/>
    <cellStyle name="20% - Accent1 2 2 2 2 3 4 2 7" xfId="31877"/>
    <cellStyle name="20% - Accent1 2 2 2 2 3 4 3" xfId="3393"/>
    <cellStyle name="20% - Accent1 2 2 2 2 3 4 3 2" xfId="5234"/>
    <cellStyle name="20% - Accent1 2 2 2 2 3 4 3 2 2" xfId="16704"/>
    <cellStyle name="20% - Accent1 2 2 2 2 3 4 3 2 2 2" xfId="28505"/>
    <cellStyle name="20% - Accent1 2 2 2 2 3 4 3 2 2 2 2" xfId="49379"/>
    <cellStyle name="20% - Accent1 2 2 2 2 3 4 3 2 2 3" xfId="42120"/>
    <cellStyle name="20% - Accent1 2 2 2 2 3 4 3 2 3" xfId="10687"/>
    <cellStyle name="20% - Accent1 2 2 2 2 3 4 3 2 3 2" xfId="49380"/>
    <cellStyle name="20% - Accent1 2 2 2 2 3 4 3 2 4" xfId="22488"/>
    <cellStyle name="20% - Accent1 2 2 2 2 3 4 3 2 4 2" xfId="49381"/>
    <cellStyle name="20% - Accent1 2 2 2 2 3 4 3 2 5" xfId="36103"/>
    <cellStyle name="20% - Accent1 2 2 2 2 3 4 3 3" xfId="11241"/>
    <cellStyle name="20% - Accent1 2 2 2 2 3 4 3 3 2" xfId="23042"/>
    <cellStyle name="20% - Accent1 2 2 2 2 3 4 3 3 2 2" xfId="49382"/>
    <cellStyle name="20% - Accent1 2 2 2 2 3 4 3 3 3" xfId="36657"/>
    <cellStyle name="20% - Accent1 2 2 2 2 3 4 3 4" xfId="8846"/>
    <cellStyle name="20% - Accent1 2 2 2 2 3 4 3 4 2" xfId="49383"/>
    <cellStyle name="20% - Accent1 2 2 2 2 3 4 3 5" xfId="20647"/>
    <cellStyle name="20% - Accent1 2 2 2 2 3 4 3 5 2" xfId="49384"/>
    <cellStyle name="20% - Accent1 2 2 2 2 3 4 3 6" xfId="34262"/>
    <cellStyle name="20% - Accent1 2 2 2 2 3 4 4" xfId="4098"/>
    <cellStyle name="20% - Accent1 2 2 2 2 3 4 4 2" xfId="11242"/>
    <cellStyle name="20% - Accent1 2 2 2 2 3 4 4 2 2" xfId="23043"/>
    <cellStyle name="20% - Accent1 2 2 2 2 3 4 4 2 2 2" xfId="49385"/>
    <cellStyle name="20% - Accent1 2 2 2 2 3 4 4 2 3" xfId="36658"/>
    <cellStyle name="20% - Accent1 2 2 2 2 3 4 4 3" xfId="9551"/>
    <cellStyle name="20% - Accent1 2 2 2 2 3 4 4 3 2" xfId="43024"/>
    <cellStyle name="20% - Accent1 2 2 2 2 3 4 4 4" xfId="21352"/>
    <cellStyle name="20% - Accent1 2 2 2 2 3 4 4 4 2" xfId="49386"/>
    <cellStyle name="20% - Accent1 2 2 2 2 3 4 4 5" xfId="34967"/>
    <cellStyle name="20% - Accent1 2 2 2 2 3 4 5" xfId="2257"/>
    <cellStyle name="20% - Accent1 2 2 2 2 3 4 5 2" xfId="16942"/>
    <cellStyle name="20% - Accent1 2 2 2 2 3 4 5 2 2" xfId="28743"/>
    <cellStyle name="20% - Accent1 2 2 2 2 3 4 5 2 2 2" xfId="49387"/>
    <cellStyle name="20% - Accent1 2 2 2 2 3 4 5 2 3" xfId="42358"/>
    <cellStyle name="20% - Accent1 2 2 2 2 3 4 5 3" xfId="7710"/>
    <cellStyle name="20% - Accent1 2 2 2 2 3 4 5 3 2" xfId="49388"/>
    <cellStyle name="20% - Accent1 2 2 2 2 3 4 5 4" xfId="19511"/>
    <cellStyle name="20% - Accent1 2 2 2 2 3 4 5 4 2" xfId="49389"/>
    <cellStyle name="20% - Accent1 2 2 2 2 3 4 5 5" xfId="33126"/>
    <cellStyle name="20% - Accent1 2 2 2 2 3 4 6" xfId="11243"/>
    <cellStyle name="20% - Accent1 2 2 2 2 3 4 6 2" xfId="23044"/>
    <cellStyle name="20% - Accent1 2 2 2 2 3 4 6 2 2" xfId="49390"/>
    <cellStyle name="20% - Accent1 2 2 2 2 3 4 6 3" xfId="36659"/>
    <cellStyle name="20% - Accent1 2 2 2 2 3 4 7" xfId="5810"/>
    <cellStyle name="20% - Accent1 2 2 2 2 3 4 7 2" xfId="49391"/>
    <cellStyle name="20% - Accent1 2 2 2 2 3 4 8" xfId="17611"/>
    <cellStyle name="20% - Accent1 2 2 2 2 3 4 8 2" xfId="49392"/>
    <cellStyle name="20% - Accent1 2 2 2 2 3 4 9" xfId="31226"/>
    <cellStyle name="20% - Accent1 2 2 2 2 3 5" xfId="634"/>
    <cellStyle name="20% - Accent1 2 2 2 2 3 5 2" xfId="1008"/>
    <cellStyle name="20% - Accent1 2 2 2 2 3 5 2 2" xfId="4376"/>
    <cellStyle name="20% - Accent1 2 2 2 2 3 5 2 2 2" xfId="11244"/>
    <cellStyle name="20% - Accent1 2 2 2 2 3 5 2 2 2 2" xfId="23045"/>
    <cellStyle name="20% - Accent1 2 2 2 2 3 5 2 2 2 2 2" xfId="49393"/>
    <cellStyle name="20% - Accent1 2 2 2 2 3 5 2 2 2 3" xfId="36660"/>
    <cellStyle name="20% - Accent1 2 2 2 2 3 5 2 2 3" xfId="9829"/>
    <cellStyle name="20% - Accent1 2 2 2 2 3 5 2 2 3 2" xfId="43025"/>
    <cellStyle name="20% - Accent1 2 2 2 2 3 5 2 2 4" xfId="21630"/>
    <cellStyle name="20% - Accent1 2 2 2 2 3 5 2 2 4 2" xfId="49394"/>
    <cellStyle name="20% - Accent1 2 2 2 2 3 5 2 2 5" xfId="35245"/>
    <cellStyle name="20% - Accent1 2 2 2 2 3 5 2 3" xfId="11245"/>
    <cellStyle name="20% - Accent1 2 2 2 2 3 5 2 3 2" xfId="23046"/>
    <cellStyle name="20% - Accent1 2 2 2 2 3 5 2 3 2 2" xfId="43026"/>
    <cellStyle name="20% - Accent1 2 2 2 2 3 5 2 3 3" xfId="29168"/>
    <cellStyle name="20% - Accent1 2 2 2 2 3 5 2 3 3 2" xfId="43027"/>
    <cellStyle name="20% - Accent1 2 2 2 2 3 5 2 3 4" xfId="29169"/>
    <cellStyle name="20% - Accent1 2 2 2 2 3 5 2 3 4 2" xfId="49395"/>
    <cellStyle name="20% - Accent1 2 2 2 2 3 5 2 3 5" xfId="36661"/>
    <cellStyle name="20% - Accent1 2 2 2 2 3 5 2 4" xfId="11246"/>
    <cellStyle name="20% - Accent1 2 2 2 2 3 5 2 4 2" xfId="23047"/>
    <cellStyle name="20% - Accent1 2 2 2 2 3 5 2 4 2 2" xfId="49396"/>
    <cellStyle name="20% - Accent1 2 2 2 2 3 5 2 4 3" xfId="36662"/>
    <cellStyle name="20% - Accent1 2 2 2 2 3 5 2 5" xfId="6462"/>
    <cellStyle name="20% - Accent1 2 2 2 2 3 5 2 5 2" xfId="43028"/>
    <cellStyle name="20% - Accent1 2 2 2 2 3 5 2 6" xfId="18263"/>
    <cellStyle name="20% - Accent1 2 2 2 2 3 5 2 6 2" xfId="49397"/>
    <cellStyle name="20% - Accent1 2 2 2 2 3 5 2 7" xfId="31878"/>
    <cellStyle name="20% - Accent1 2 2 2 2 3 5 3" xfId="2535"/>
    <cellStyle name="20% - Accent1 2 2 2 2 3 5 3 2" xfId="11247"/>
    <cellStyle name="20% - Accent1 2 2 2 2 3 5 3 2 2" xfId="23048"/>
    <cellStyle name="20% - Accent1 2 2 2 2 3 5 3 2 2 2" xfId="49398"/>
    <cellStyle name="20% - Accent1 2 2 2 2 3 5 3 2 3" xfId="36663"/>
    <cellStyle name="20% - Accent1 2 2 2 2 3 5 3 3" xfId="7988"/>
    <cellStyle name="20% - Accent1 2 2 2 2 3 5 3 3 2" xfId="43029"/>
    <cellStyle name="20% - Accent1 2 2 2 2 3 5 3 4" xfId="19789"/>
    <cellStyle name="20% - Accent1 2 2 2 2 3 5 3 4 2" xfId="49399"/>
    <cellStyle name="20% - Accent1 2 2 2 2 3 5 3 5" xfId="33404"/>
    <cellStyle name="20% - Accent1 2 2 2 2 3 5 4" xfId="11248"/>
    <cellStyle name="20% - Accent1 2 2 2 2 3 5 4 2" xfId="23049"/>
    <cellStyle name="20% - Accent1 2 2 2 2 3 5 4 2 2" xfId="43030"/>
    <cellStyle name="20% - Accent1 2 2 2 2 3 5 4 3" xfId="29170"/>
    <cellStyle name="20% - Accent1 2 2 2 2 3 5 4 3 2" xfId="43031"/>
    <cellStyle name="20% - Accent1 2 2 2 2 3 5 4 4" xfId="29171"/>
    <cellStyle name="20% - Accent1 2 2 2 2 3 5 4 4 2" xfId="49400"/>
    <cellStyle name="20% - Accent1 2 2 2 2 3 5 4 5" xfId="36664"/>
    <cellStyle name="20% - Accent1 2 2 2 2 3 5 5" xfId="11249"/>
    <cellStyle name="20% - Accent1 2 2 2 2 3 5 5 2" xfId="23050"/>
    <cellStyle name="20% - Accent1 2 2 2 2 3 5 5 2 2" xfId="49401"/>
    <cellStyle name="20% - Accent1 2 2 2 2 3 5 5 3" xfId="36665"/>
    <cellStyle name="20% - Accent1 2 2 2 2 3 5 6" xfId="6088"/>
    <cellStyle name="20% - Accent1 2 2 2 2 3 5 6 2" xfId="43032"/>
    <cellStyle name="20% - Accent1 2 2 2 2 3 5 7" xfId="17889"/>
    <cellStyle name="20% - Accent1 2 2 2 2 3 5 7 2" xfId="49402"/>
    <cellStyle name="20% - Accent1 2 2 2 2 3 5 8" xfId="31504"/>
    <cellStyle name="20% - Accent1 2 2 2 2 3 6" xfId="875"/>
    <cellStyle name="20% - Accent1 2 2 2 2 3 6 2" xfId="1009"/>
    <cellStyle name="20% - Accent1 2 2 2 2 3 6 2 2" xfId="4944"/>
    <cellStyle name="20% - Accent1 2 2 2 2 3 6 2 2 2" xfId="11250"/>
    <cellStyle name="20% - Accent1 2 2 2 2 3 6 2 2 2 2" xfId="23051"/>
    <cellStyle name="20% - Accent1 2 2 2 2 3 6 2 2 2 2 2" xfId="49403"/>
    <cellStyle name="20% - Accent1 2 2 2 2 3 6 2 2 2 3" xfId="36666"/>
    <cellStyle name="20% - Accent1 2 2 2 2 3 6 2 2 3" xfId="10397"/>
    <cellStyle name="20% - Accent1 2 2 2 2 3 6 2 2 3 2" xfId="43033"/>
    <cellStyle name="20% - Accent1 2 2 2 2 3 6 2 2 4" xfId="22198"/>
    <cellStyle name="20% - Accent1 2 2 2 2 3 6 2 2 4 2" xfId="49404"/>
    <cellStyle name="20% - Accent1 2 2 2 2 3 6 2 2 5" xfId="35813"/>
    <cellStyle name="20% - Accent1 2 2 2 2 3 6 2 3" xfId="11251"/>
    <cellStyle name="20% - Accent1 2 2 2 2 3 6 2 3 2" xfId="23052"/>
    <cellStyle name="20% - Accent1 2 2 2 2 3 6 2 3 2 2" xfId="43034"/>
    <cellStyle name="20% - Accent1 2 2 2 2 3 6 2 3 3" xfId="29172"/>
    <cellStyle name="20% - Accent1 2 2 2 2 3 6 2 3 3 2" xfId="43035"/>
    <cellStyle name="20% - Accent1 2 2 2 2 3 6 2 3 4" xfId="29173"/>
    <cellStyle name="20% - Accent1 2 2 2 2 3 6 2 3 4 2" xfId="49405"/>
    <cellStyle name="20% - Accent1 2 2 2 2 3 6 2 3 5" xfId="36667"/>
    <cellStyle name="20% - Accent1 2 2 2 2 3 6 2 4" xfId="11252"/>
    <cellStyle name="20% - Accent1 2 2 2 2 3 6 2 4 2" xfId="23053"/>
    <cellStyle name="20% - Accent1 2 2 2 2 3 6 2 4 2 2" xfId="49406"/>
    <cellStyle name="20% - Accent1 2 2 2 2 3 6 2 4 3" xfId="36668"/>
    <cellStyle name="20% - Accent1 2 2 2 2 3 6 2 5" xfId="6463"/>
    <cellStyle name="20% - Accent1 2 2 2 2 3 6 2 5 2" xfId="43036"/>
    <cellStyle name="20% - Accent1 2 2 2 2 3 6 2 6" xfId="18264"/>
    <cellStyle name="20% - Accent1 2 2 2 2 3 6 2 6 2" xfId="49407"/>
    <cellStyle name="20% - Accent1 2 2 2 2 3 6 2 7" xfId="31879"/>
    <cellStyle name="20% - Accent1 2 2 2 2 3 6 3" xfId="3103"/>
    <cellStyle name="20% - Accent1 2 2 2 2 3 6 3 2" xfId="11253"/>
    <cellStyle name="20% - Accent1 2 2 2 2 3 6 3 2 2" xfId="23054"/>
    <cellStyle name="20% - Accent1 2 2 2 2 3 6 3 2 2 2" xfId="49408"/>
    <cellStyle name="20% - Accent1 2 2 2 2 3 6 3 2 3" xfId="36669"/>
    <cellStyle name="20% - Accent1 2 2 2 2 3 6 3 3" xfId="8556"/>
    <cellStyle name="20% - Accent1 2 2 2 2 3 6 3 3 2" xfId="43037"/>
    <cellStyle name="20% - Accent1 2 2 2 2 3 6 3 4" xfId="20357"/>
    <cellStyle name="20% - Accent1 2 2 2 2 3 6 3 4 2" xfId="49409"/>
    <cellStyle name="20% - Accent1 2 2 2 2 3 6 3 5" xfId="33972"/>
    <cellStyle name="20% - Accent1 2 2 2 2 3 6 4" xfId="11254"/>
    <cellStyle name="20% - Accent1 2 2 2 2 3 6 4 2" xfId="23055"/>
    <cellStyle name="20% - Accent1 2 2 2 2 3 6 4 2 2" xfId="43038"/>
    <cellStyle name="20% - Accent1 2 2 2 2 3 6 4 3" xfId="29174"/>
    <cellStyle name="20% - Accent1 2 2 2 2 3 6 4 3 2" xfId="43039"/>
    <cellStyle name="20% - Accent1 2 2 2 2 3 6 4 4" xfId="29175"/>
    <cellStyle name="20% - Accent1 2 2 2 2 3 6 4 4 2" xfId="49410"/>
    <cellStyle name="20% - Accent1 2 2 2 2 3 6 4 5" xfId="36670"/>
    <cellStyle name="20% - Accent1 2 2 2 2 3 6 5" xfId="11255"/>
    <cellStyle name="20% - Accent1 2 2 2 2 3 6 5 2" xfId="23056"/>
    <cellStyle name="20% - Accent1 2 2 2 2 3 6 5 2 2" xfId="49411"/>
    <cellStyle name="20% - Accent1 2 2 2 2 3 6 5 3" xfId="36671"/>
    <cellStyle name="20% - Accent1 2 2 2 2 3 6 6" xfId="6329"/>
    <cellStyle name="20% - Accent1 2 2 2 2 3 6 6 2" xfId="43040"/>
    <cellStyle name="20% - Accent1 2 2 2 2 3 6 7" xfId="18130"/>
    <cellStyle name="20% - Accent1 2 2 2 2 3 6 7 2" xfId="49412"/>
    <cellStyle name="20% - Accent1 2 2 2 2 3 6 8" xfId="31745"/>
    <cellStyle name="20% - Accent1 2 2 2 2 3 7" xfId="1010"/>
    <cellStyle name="20% - Accent1 2 2 2 2 3 7 2" xfId="3808"/>
    <cellStyle name="20% - Accent1 2 2 2 2 3 7 2 2" xfId="11256"/>
    <cellStyle name="20% - Accent1 2 2 2 2 3 7 2 2 2" xfId="23057"/>
    <cellStyle name="20% - Accent1 2 2 2 2 3 7 2 2 2 2" xfId="49413"/>
    <cellStyle name="20% - Accent1 2 2 2 2 3 7 2 2 3" xfId="36672"/>
    <cellStyle name="20% - Accent1 2 2 2 2 3 7 2 3" xfId="9261"/>
    <cellStyle name="20% - Accent1 2 2 2 2 3 7 2 3 2" xfId="43041"/>
    <cellStyle name="20% - Accent1 2 2 2 2 3 7 2 4" xfId="21062"/>
    <cellStyle name="20% - Accent1 2 2 2 2 3 7 2 4 2" xfId="49414"/>
    <cellStyle name="20% - Accent1 2 2 2 2 3 7 2 5" xfId="34677"/>
    <cellStyle name="20% - Accent1 2 2 2 2 3 7 3" xfId="11257"/>
    <cellStyle name="20% - Accent1 2 2 2 2 3 7 3 2" xfId="23058"/>
    <cellStyle name="20% - Accent1 2 2 2 2 3 7 3 2 2" xfId="43042"/>
    <cellStyle name="20% - Accent1 2 2 2 2 3 7 3 3" xfId="29176"/>
    <cellStyle name="20% - Accent1 2 2 2 2 3 7 3 3 2" xfId="43043"/>
    <cellStyle name="20% - Accent1 2 2 2 2 3 7 3 4" xfId="29177"/>
    <cellStyle name="20% - Accent1 2 2 2 2 3 7 3 4 2" xfId="49415"/>
    <cellStyle name="20% - Accent1 2 2 2 2 3 7 3 5" xfId="36673"/>
    <cellStyle name="20% - Accent1 2 2 2 2 3 7 4" xfId="11258"/>
    <cellStyle name="20% - Accent1 2 2 2 2 3 7 4 2" xfId="23059"/>
    <cellStyle name="20% - Accent1 2 2 2 2 3 7 4 2 2" xfId="49416"/>
    <cellStyle name="20% - Accent1 2 2 2 2 3 7 4 3" xfId="36674"/>
    <cellStyle name="20% - Accent1 2 2 2 2 3 7 5" xfId="6464"/>
    <cellStyle name="20% - Accent1 2 2 2 2 3 7 5 2" xfId="43044"/>
    <cellStyle name="20% - Accent1 2 2 2 2 3 7 6" xfId="18265"/>
    <cellStyle name="20% - Accent1 2 2 2 2 3 7 6 2" xfId="49417"/>
    <cellStyle name="20% - Accent1 2 2 2 2 3 7 7" xfId="31880"/>
    <cellStyle name="20% - Accent1 2 2 2 2 3 8" xfId="3671"/>
    <cellStyle name="20% - Accent1 2 2 2 2 3 8 2" xfId="11259"/>
    <cellStyle name="20% - Accent1 2 2 2 2 3 8 2 2" xfId="23060"/>
    <cellStyle name="20% - Accent1 2 2 2 2 3 8 2 2 2" xfId="49418"/>
    <cellStyle name="20% - Accent1 2 2 2 2 3 8 2 3" xfId="36675"/>
    <cellStyle name="20% - Accent1 2 2 2 2 3 8 3" xfId="9124"/>
    <cellStyle name="20% - Accent1 2 2 2 2 3 8 3 2" xfId="43045"/>
    <cellStyle name="20% - Accent1 2 2 2 2 3 8 4" xfId="20925"/>
    <cellStyle name="20% - Accent1 2 2 2 2 3 8 4 2" xfId="49419"/>
    <cellStyle name="20% - Accent1 2 2 2 2 3 8 5" xfId="34540"/>
    <cellStyle name="20% - Accent1 2 2 2 2 3 9" xfId="1967"/>
    <cellStyle name="20% - Accent1 2 2 2 2 3 9 2" xfId="11260"/>
    <cellStyle name="20% - Accent1 2 2 2 2 3 9 2 2" xfId="23061"/>
    <cellStyle name="20% - Accent1 2 2 2 2 3 9 2 2 2" xfId="49420"/>
    <cellStyle name="20% - Accent1 2 2 2 2 3 9 2 3" xfId="36676"/>
    <cellStyle name="20% - Accent1 2 2 2 2 3 9 3" xfId="7420"/>
    <cellStyle name="20% - Accent1 2 2 2 2 3 9 3 2" xfId="43046"/>
    <cellStyle name="20% - Accent1 2 2 2 2 3 9 4" xfId="19221"/>
    <cellStyle name="20% - Accent1 2 2 2 2 3 9 4 2" xfId="49421"/>
    <cellStyle name="20% - Accent1 2 2 2 2 3 9 5" xfId="32836"/>
    <cellStyle name="20% - Accent1 2 2 2 2 4" xfId="81"/>
    <cellStyle name="20% - Accent1 2 2 2 2 4 10" xfId="5535"/>
    <cellStyle name="20% - Accent1 2 2 2 2 4 10 2" xfId="43047"/>
    <cellStyle name="20% - Accent1 2 2 2 2 4 11" xfId="17336"/>
    <cellStyle name="20% - Accent1 2 2 2 2 4 11 2" xfId="49422"/>
    <cellStyle name="20% - Accent1 2 2 2 2 4 12" xfId="30951"/>
    <cellStyle name="20% - Accent1 2 2 2 2 4 2" xfId="508"/>
    <cellStyle name="20% - Accent1 2 2 2 2 4 2 2" xfId="1011"/>
    <cellStyle name="20% - Accent1 2 2 2 2 4 2 2 2" xfId="4818"/>
    <cellStyle name="20% - Accent1 2 2 2 2 4 2 2 2 2" xfId="11261"/>
    <cellStyle name="20% - Accent1 2 2 2 2 4 2 2 2 2 2" xfId="23062"/>
    <cellStyle name="20% - Accent1 2 2 2 2 4 2 2 2 2 2 2" xfId="49423"/>
    <cellStyle name="20% - Accent1 2 2 2 2 4 2 2 2 2 3" xfId="36677"/>
    <cellStyle name="20% - Accent1 2 2 2 2 4 2 2 2 3" xfId="10271"/>
    <cellStyle name="20% - Accent1 2 2 2 2 4 2 2 2 3 2" xfId="43048"/>
    <cellStyle name="20% - Accent1 2 2 2 2 4 2 2 2 4" xfId="22072"/>
    <cellStyle name="20% - Accent1 2 2 2 2 4 2 2 2 4 2" xfId="49424"/>
    <cellStyle name="20% - Accent1 2 2 2 2 4 2 2 2 5" xfId="35687"/>
    <cellStyle name="20% - Accent1 2 2 2 2 4 2 2 3" xfId="2977"/>
    <cellStyle name="20% - Accent1 2 2 2 2 4 2 2 3 2" xfId="11262"/>
    <cellStyle name="20% - Accent1 2 2 2 2 4 2 2 3 2 2" xfId="23063"/>
    <cellStyle name="20% - Accent1 2 2 2 2 4 2 2 3 2 2 2" xfId="49425"/>
    <cellStyle name="20% - Accent1 2 2 2 2 4 2 2 3 2 3" xfId="36678"/>
    <cellStyle name="20% - Accent1 2 2 2 2 4 2 2 3 3" xfId="8430"/>
    <cellStyle name="20% - Accent1 2 2 2 2 4 2 2 3 3 2" xfId="43049"/>
    <cellStyle name="20% - Accent1 2 2 2 2 4 2 2 3 4" xfId="20231"/>
    <cellStyle name="20% - Accent1 2 2 2 2 4 2 2 3 4 2" xfId="49426"/>
    <cellStyle name="20% - Accent1 2 2 2 2 4 2 2 3 5" xfId="33846"/>
    <cellStyle name="20% - Accent1 2 2 2 2 4 2 2 4" xfId="11263"/>
    <cellStyle name="20% - Accent1 2 2 2 2 4 2 2 4 2" xfId="23064"/>
    <cellStyle name="20% - Accent1 2 2 2 2 4 2 2 4 2 2" xfId="49427"/>
    <cellStyle name="20% - Accent1 2 2 2 2 4 2 2 4 3" xfId="36679"/>
    <cellStyle name="20% - Accent1 2 2 2 2 4 2 2 5" xfId="6465"/>
    <cellStyle name="20% - Accent1 2 2 2 2 4 2 2 5 2" xfId="43050"/>
    <cellStyle name="20% - Accent1 2 2 2 2 4 2 2 6" xfId="18266"/>
    <cellStyle name="20% - Accent1 2 2 2 2 4 2 2 6 2" xfId="49428"/>
    <cellStyle name="20% - Accent1 2 2 2 2 4 2 2 7" xfId="31881"/>
    <cellStyle name="20% - Accent1 2 2 2 2 4 2 3" xfId="3545"/>
    <cellStyle name="20% - Accent1 2 2 2 2 4 2 3 2" xfId="5386"/>
    <cellStyle name="20% - Accent1 2 2 2 2 4 2 3 2 2" xfId="16856"/>
    <cellStyle name="20% - Accent1 2 2 2 2 4 2 3 2 2 2" xfId="28657"/>
    <cellStyle name="20% - Accent1 2 2 2 2 4 2 3 2 2 2 2" xfId="49429"/>
    <cellStyle name="20% - Accent1 2 2 2 2 4 2 3 2 2 3" xfId="42272"/>
    <cellStyle name="20% - Accent1 2 2 2 2 4 2 3 2 3" xfId="10839"/>
    <cellStyle name="20% - Accent1 2 2 2 2 4 2 3 2 3 2" xfId="49430"/>
    <cellStyle name="20% - Accent1 2 2 2 2 4 2 3 2 4" xfId="22640"/>
    <cellStyle name="20% - Accent1 2 2 2 2 4 2 3 2 4 2" xfId="49431"/>
    <cellStyle name="20% - Accent1 2 2 2 2 4 2 3 2 5" xfId="36255"/>
    <cellStyle name="20% - Accent1 2 2 2 2 4 2 3 3" xfId="11264"/>
    <cellStyle name="20% - Accent1 2 2 2 2 4 2 3 3 2" xfId="23065"/>
    <cellStyle name="20% - Accent1 2 2 2 2 4 2 3 3 2 2" xfId="49432"/>
    <cellStyle name="20% - Accent1 2 2 2 2 4 2 3 3 3" xfId="36680"/>
    <cellStyle name="20% - Accent1 2 2 2 2 4 2 3 4" xfId="8998"/>
    <cellStyle name="20% - Accent1 2 2 2 2 4 2 3 4 2" xfId="49433"/>
    <cellStyle name="20% - Accent1 2 2 2 2 4 2 3 5" xfId="20799"/>
    <cellStyle name="20% - Accent1 2 2 2 2 4 2 3 5 2" xfId="49434"/>
    <cellStyle name="20% - Accent1 2 2 2 2 4 2 3 6" xfId="34414"/>
    <cellStyle name="20% - Accent1 2 2 2 2 4 2 4" xfId="4250"/>
    <cellStyle name="20% - Accent1 2 2 2 2 4 2 4 2" xfId="11265"/>
    <cellStyle name="20% - Accent1 2 2 2 2 4 2 4 2 2" xfId="23066"/>
    <cellStyle name="20% - Accent1 2 2 2 2 4 2 4 2 2 2" xfId="49435"/>
    <cellStyle name="20% - Accent1 2 2 2 2 4 2 4 2 3" xfId="36681"/>
    <cellStyle name="20% - Accent1 2 2 2 2 4 2 4 3" xfId="9703"/>
    <cellStyle name="20% - Accent1 2 2 2 2 4 2 4 3 2" xfId="43051"/>
    <cellStyle name="20% - Accent1 2 2 2 2 4 2 4 4" xfId="21504"/>
    <cellStyle name="20% - Accent1 2 2 2 2 4 2 4 4 2" xfId="49436"/>
    <cellStyle name="20% - Accent1 2 2 2 2 4 2 4 5" xfId="35119"/>
    <cellStyle name="20% - Accent1 2 2 2 2 4 2 5" xfId="2409"/>
    <cellStyle name="20% - Accent1 2 2 2 2 4 2 5 2" xfId="16943"/>
    <cellStyle name="20% - Accent1 2 2 2 2 4 2 5 2 2" xfId="28744"/>
    <cellStyle name="20% - Accent1 2 2 2 2 4 2 5 2 2 2" xfId="49437"/>
    <cellStyle name="20% - Accent1 2 2 2 2 4 2 5 2 3" xfId="42359"/>
    <cellStyle name="20% - Accent1 2 2 2 2 4 2 5 3" xfId="7862"/>
    <cellStyle name="20% - Accent1 2 2 2 2 4 2 5 3 2" xfId="49438"/>
    <cellStyle name="20% - Accent1 2 2 2 2 4 2 5 4" xfId="19663"/>
    <cellStyle name="20% - Accent1 2 2 2 2 4 2 5 4 2" xfId="49439"/>
    <cellStyle name="20% - Accent1 2 2 2 2 4 2 5 5" xfId="33278"/>
    <cellStyle name="20% - Accent1 2 2 2 2 4 2 6" xfId="11266"/>
    <cellStyle name="20% - Accent1 2 2 2 2 4 2 6 2" xfId="23067"/>
    <cellStyle name="20% - Accent1 2 2 2 2 4 2 6 2 2" xfId="49440"/>
    <cellStyle name="20% - Accent1 2 2 2 2 4 2 6 3" xfId="36682"/>
    <cellStyle name="20% - Accent1 2 2 2 2 4 2 7" xfId="5962"/>
    <cellStyle name="20% - Accent1 2 2 2 2 4 2 7 2" xfId="49441"/>
    <cellStyle name="20% - Accent1 2 2 2 2 4 2 8" xfId="17763"/>
    <cellStyle name="20% - Accent1 2 2 2 2 4 2 8 2" xfId="49442"/>
    <cellStyle name="20% - Accent1 2 2 2 2 4 2 9" xfId="31378"/>
    <cellStyle name="20% - Accent1 2 2 2 2 4 3" xfId="371"/>
    <cellStyle name="20% - Accent1 2 2 2 2 4 3 2" xfId="1012"/>
    <cellStyle name="20% - Accent1 2 2 2 2 4 3 2 2" xfId="4681"/>
    <cellStyle name="20% - Accent1 2 2 2 2 4 3 2 2 2" xfId="11267"/>
    <cellStyle name="20% - Accent1 2 2 2 2 4 3 2 2 2 2" xfId="23068"/>
    <cellStyle name="20% - Accent1 2 2 2 2 4 3 2 2 2 2 2" xfId="49443"/>
    <cellStyle name="20% - Accent1 2 2 2 2 4 3 2 2 2 3" xfId="36683"/>
    <cellStyle name="20% - Accent1 2 2 2 2 4 3 2 2 3" xfId="10134"/>
    <cellStyle name="20% - Accent1 2 2 2 2 4 3 2 2 3 2" xfId="43052"/>
    <cellStyle name="20% - Accent1 2 2 2 2 4 3 2 2 4" xfId="21935"/>
    <cellStyle name="20% - Accent1 2 2 2 2 4 3 2 2 4 2" xfId="49444"/>
    <cellStyle name="20% - Accent1 2 2 2 2 4 3 2 2 5" xfId="35550"/>
    <cellStyle name="20% - Accent1 2 2 2 2 4 3 2 3" xfId="2840"/>
    <cellStyle name="20% - Accent1 2 2 2 2 4 3 2 3 2" xfId="11268"/>
    <cellStyle name="20% - Accent1 2 2 2 2 4 3 2 3 2 2" xfId="23069"/>
    <cellStyle name="20% - Accent1 2 2 2 2 4 3 2 3 2 2 2" xfId="49445"/>
    <cellStyle name="20% - Accent1 2 2 2 2 4 3 2 3 2 3" xfId="36684"/>
    <cellStyle name="20% - Accent1 2 2 2 2 4 3 2 3 3" xfId="8293"/>
    <cellStyle name="20% - Accent1 2 2 2 2 4 3 2 3 3 2" xfId="43053"/>
    <cellStyle name="20% - Accent1 2 2 2 2 4 3 2 3 4" xfId="20094"/>
    <cellStyle name="20% - Accent1 2 2 2 2 4 3 2 3 4 2" xfId="49446"/>
    <cellStyle name="20% - Accent1 2 2 2 2 4 3 2 3 5" xfId="33709"/>
    <cellStyle name="20% - Accent1 2 2 2 2 4 3 2 4" xfId="11269"/>
    <cellStyle name="20% - Accent1 2 2 2 2 4 3 2 4 2" xfId="23070"/>
    <cellStyle name="20% - Accent1 2 2 2 2 4 3 2 4 2 2" xfId="49447"/>
    <cellStyle name="20% - Accent1 2 2 2 2 4 3 2 4 3" xfId="36685"/>
    <cellStyle name="20% - Accent1 2 2 2 2 4 3 2 5" xfId="6466"/>
    <cellStyle name="20% - Accent1 2 2 2 2 4 3 2 5 2" xfId="43054"/>
    <cellStyle name="20% - Accent1 2 2 2 2 4 3 2 6" xfId="18267"/>
    <cellStyle name="20% - Accent1 2 2 2 2 4 3 2 6 2" xfId="49448"/>
    <cellStyle name="20% - Accent1 2 2 2 2 4 3 2 7" xfId="31882"/>
    <cellStyle name="20% - Accent1 2 2 2 2 4 3 3" xfId="3408"/>
    <cellStyle name="20% - Accent1 2 2 2 2 4 3 3 2" xfId="5249"/>
    <cellStyle name="20% - Accent1 2 2 2 2 4 3 3 2 2" xfId="16719"/>
    <cellStyle name="20% - Accent1 2 2 2 2 4 3 3 2 2 2" xfId="28520"/>
    <cellStyle name="20% - Accent1 2 2 2 2 4 3 3 2 2 2 2" xfId="49449"/>
    <cellStyle name="20% - Accent1 2 2 2 2 4 3 3 2 2 3" xfId="42135"/>
    <cellStyle name="20% - Accent1 2 2 2 2 4 3 3 2 3" xfId="10702"/>
    <cellStyle name="20% - Accent1 2 2 2 2 4 3 3 2 3 2" xfId="49450"/>
    <cellStyle name="20% - Accent1 2 2 2 2 4 3 3 2 4" xfId="22503"/>
    <cellStyle name="20% - Accent1 2 2 2 2 4 3 3 2 4 2" xfId="49451"/>
    <cellStyle name="20% - Accent1 2 2 2 2 4 3 3 2 5" xfId="36118"/>
    <cellStyle name="20% - Accent1 2 2 2 2 4 3 3 3" xfId="11270"/>
    <cellStyle name="20% - Accent1 2 2 2 2 4 3 3 3 2" xfId="23071"/>
    <cellStyle name="20% - Accent1 2 2 2 2 4 3 3 3 2 2" xfId="49452"/>
    <cellStyle name="20% - Accent1 2 2 2 2 4 3 3 3 3" xfId="36686"/>
    <cellStyle name="20% - Accent1 2 2 2 2 4 3 3 4" xfId="8861"/>
    <cellStyle name="20% - Accent1 2 2 2 2 4 3 3 4 2" xfId="49453"/>
    <cellStyle name="20% - Accent1 2 2 2 2 4 3 3 5" xfId="20662"/>
    <cellStyle name="20% - Accent1 2 2 2 2 4 3 3 5 2" xfId="49454"/>
    <cellStyle name="20% - Accent1 2 2 2 2 4 3 3 6" xfId="34277"/>
    <cellStyle name="20% - Accent1 2 2 2 2 4 3 4" xfId="4113"/>
    <cellStyle name="20% - Accent1 2 2 2 2 4 3 4 2" xfId="11271"/>
    <cellStyle name="20% - Accent1 2 2 2 2 4 3 4 2 2" xfId="23072"/>
    <cellStyle name="20% - Accent1 2 2 2 2 4 3 4 2 2 2" xfId="49455"/>
    <cellStyle name="20% - Accent1 2 2 2 2 4 3 4 2 3" xfId="36687"/>
    <cellStyle name="20% - Accent1 2 2 2 2 4 3 4 3" xfId="9566"/>
    <cellStyle name="20% - Accent1 2 2 2 2 4 3 4 3 2" xfId="43055"/>
    <cellStyle name="20% - Accent1 2 2 2 2 4 3 4 4" xfId="21367"/>
    <cellStyle name="20% - Accent1 2 2 2 2 4 3 4 4 2" xfId="49456"/>
    <cellStyle name="20% - Accent1 2 2 2 2 4 3 4 5" xfId="34982"/>
    <cellStyle name="20% - Accent1 2 2 2 2 4 3 5" xfId="2272"/>
    <cellStyle name="20% - Accent1 2 2 2 2 4 3 5 2" xfId="16944"/>
    <cellStyle name="20% - Accent1 2 2 2 2 4 3 5 2 2" xfId="28745"/>
    <cellStyle name="20% - Accent1 2 2 2 2 4 3 5 2 2 2" xfId="49457"/>
    <cellStyle name="20% - Accent1 2 2 2 2 4 3 5 2 3" xfId="42360"/>
    <cellStyle name="20% - Accent1 2 2 2 2 4 3 5 3" xfId="7725"/>
    <cellStyle name="20% - Accent1 2 2 2 2 4 3 5 3 2" xfId="49458"/>
    <cellStyle name="20% - Accent1 2 2 2 2 4 3 5 4" xfId="19526"/>
    <cellStyle name="20% - Accent1 2 2 2 2 4 3 5 4 2" xfId="49459"/>
    <cellStyle name="20% - Accent1 2 2 2 2 4 3 5 5" xfId="33141"/>
    <cellStyle name="20% - Accent1 2 2 2 2 4 3 6" xfId="11272"/>
    <cellStyle name="20% - Accent1 2 2 2 2 4 3 6 2" xfId="23073"/>
    <cellStyle name="20% - Accent1 2 2 2 2 4 3 6 2 2" xfId="49460"/>
    <cellStyle name="20% - Accent1 2 2 2 2 4 3 6 3" xfId="36688"/>
    <cellStyle name="20% - Accent1 2 2 2 2 4 3 7" xfId="5825"/>
    <cellStyle name="20% - Accent1 2 2 2 2 4 3 7 2" xfId="49461"/>
    <cellStyle name="20% - Accent1 2 2 2 2 4 3 8" xfId="17626"/>
    <cellStyle name="20% - Accent1 2 2 2 2 4 3 8 2" xfId="49462"/>
    <cellStyle name="20% - Accent1 2 2 2 2 4 3 9" xfId="31241"/>
    <cellStyle name="20% - Accent1 2 2 2 2 4 4" xfId="649"/>
    <cellStyle name="20% - Accent1 2 2 2 2 4 4 2" xfId="1013"/>
    <cellStyle name="20% - Accent1 2 2 2 2 4 4 2 2" xfId="4391"/>
    <cellStyle name="20% - Accent1 2 2 2 2 4 4 2 2 2" xfId="11273"/>
    <cellStyle name="20% - Accent1 2 2 2 2 4 4 2 2 2 2" xfId="23074"/>
    <cellStyle name="20% - Accent1 2 2 2 2 4 4 2 2 2 2 2" xfId="49463"/>
    <cellStyle name="20% - Accent1 2 2 2 2 4 4 2 2 2 3" xfId="36689"/>
    <cellStyle name="20% - Accent1 2 2 2 2 4 4 2 2 3" xfId="9844"/>
    <cellStyle name="20% - Accent1 2 2 2 2 4 4 2 2 3 2" xfId="43056"/>
    <cellStyle name="20% - Accent1 2 2 2 2 4 4 2 2 4" xfId="21645"/>
    <cellStyle name="20% - Accent1 2 2 2 2 4 4 2 2 4 2" xfId="49464"/>
    <cellStyle name="20% - Accent1 2 2 2 2 4 4 2 2 5" xfId="35260"/>
    <cellStyle name="20% - Accent1 2 2 2 2 4 4 2 3" xfId="11274"/>
    <cellStyle name="20% - Accent1 2 2 2 2 4 4 2 3 2" xfId="23075"/>
    <cellStyle name="20% - Accent1 2 2 2 2 4 4 2 3 2 2" xfId="43057"/>
    <cellStyle name="20% - Accent1 2 2 2 2 4 4 2 3 3" xfId="29178"/>
    <cellStyle name="20% - Accent1 2 2 2 2 4 4 2 3 3 2" xfId="43058"/>
    <cellStyle name="20% - Accent1 2 2 2 2 4 4 2 3 4" xfId="29179"/>
    <cellStyle name="20% - Accent1 2 2 2 2 4 4 2 3 4 2" xfId="49465"/>
    <cellStyle name="20% - Accent1 2 2 2 2 4 4 2 3 5" xfId="36690"/>
    <cellStyle name="20% - Accent1 2 2 2 2 4 4 2 4" xfId="11275"/>
    <cellStyle name="20% - Accent1 2 2 2 2 4 4 2 4 2" xfId="23076"/>
    <cellStyle name="20% - Accent1 2 2 2 2 4 4 2 4 2 2" xfId="49466"/>
    <cellStyle name="20% - Accent1 2 2 2 2 4 4 2 4 3" xfId="36691"/>
    <cellStyle name="20% - Accent1 2 2 2 2 4 4 2 5" xfId="6467"/>
    <cellStyle name="20% - Accent1 2 2 2 2 4 4 2 5 2" xfId="43059"/>
    <cellStyle name="20% - Accent1 2 2 2 2 4 4 2 6" xfId="18268"/>
    <cellStyle name="20% - Accent1 2 2 2 2 4 4 2 6 2" xfId="49467"/>
    <cellStyle name="20% - Accent1 2 2 2 2 4 4 2 7" xfId="31883"/>
    <cellStyle name="20% - Accent1 2 2 2 2 4 4 3" xfId="2550"/>
    <cellStyle name="20% - Accent1 2 2 2 2 4 4 3 2" xfId="11276"/>
    <cellStyle name="20% - Accent1 2 2 2 2 4 4 3 2 2" xfId="23077"/>
    <cellStyle name="20% - Accent1 2 2 2 2 4 4 3 2 2 2" xfId="49468"/>
    <cellStyle name="20% - Accent1 2 2 2 2 4 4 3 2 3" xfId="36692"/>
    <cellStyle name="20% - Accent1 2 2 2 2 4 4 3 3" xfId="8003"/>
    <cellStyle name="20% - Accent1 2 2 2 2 4 4 3 3 2" xfId="43060"/>
    <cellStyle name="20% - Accent1 2 2 2 2 4 4 3 4" xfId="19804"/>
    <cellStyle name="20% - Accent1 2 2 2 2 4 4 3 4 2" xfId="49469"/>
    <cellStyle name="20% - Accent1 2 2 2 2 4 4 3 5" xfId="33419"/>
    <cellStyle name="20% - Accent1 2 2 2 2 4 4 4" xfId="11277"/>
    <cellStyle name="20% - Accent1 2 2 2 2 4 4 4 2" xfId="23078"/>
    <cellStyle name="20% - Accent1 2 2 2 2 4 4 4 2 2" xfId="43061"/>
    <cellStyle name="20% - Accent1 2 2 2 2 4 4 4 3" xfId="29180"/>
    <cellStyle name="20% - Accent1 2 2 2 2 4 4 4 3 2" xfId="43062"/>
    <cellStyle name="20% - Accent1 2 2 2 2 4 4 4 4" xfId="29181"/>
    <cellStyle name="20% - Accent1 2 2 2 2 4 4 4 4 2" xfId="49470"/>
    <cellStyle name="20% - Accent1 2 2 2 2 4 4 4 5" xfId="36693"/>
    <cellStyle name="20% - Accent1 2 2 2 2 4 4 5" xfId="11278"/>
    <cellStyle name="20% - Accent1 2 2 2 2 4 4 5 2" xfId="23079"/>
    <cellStyle name="20% - Accent1 2 2 2 2 4 4 5 2 2" xfId="49471"/>
    <cellStyle name="20% - Accent1 2 2 2 2 4 4 5 3" xfId="36694"/>
    <cellStyle name="20% - Accent1 2 2 2 2 4 4 6" xfId="6103"/>
    <cellStyle name="20% - Accent1 2 2 2 2 4 4 6 2" xfId="43063"/>
    <cellStyle name="20% - Accent1 2 2 2 2 4 4 7" xfId="17904"/>
    <cellStyle name="20% - Accent1 2 2 2 2 4 4 7 2" xfId="49472"/>
    <cellStyle name="20% - Accent1 2 2 2 2 4 4 8" xfId="31519"/>
    <cellStyle name="20% - Accent1 2 2 2 2 4 5" xfId="890"/>
    <cellStyle name="20% - Accent1 2 2 2 2 4 5 2" xfId="1014"/>
    <cellStyle name="20% - Accent1 2 2 2 2 4 5 2 2" xfId="4959"/>
    <cellStyle name="20% - Accent1 2 2 2 2 4 5 2 2 2" xfId="11279"/>
    <cellStyle name="20% - Accent1 2 2 2 2 4 5 2 2 2 2" xfId="23080"/>
    <cellStyle name="20% - Accent1 2 2 2 2 4 5 2 2 2 2 2" xfId="49473"/>
    <cellStyle name="20% - Accent1 2 2 2 2 4 5 2 2 2 3" xfId="36695"/>
    <cellStyle name="20% - Accent1 2 2 2 2 4 5 2 2 3" xfId="10412"/>
    <cellStyle name="20% - Accent1 2 2 2 2 4 5 2 2 3 2" xfId="43064"/>
    <cellStyle name="20% - Accent1 2 2 2 2 4 5 2 2 4" xfId="22213"/>
    <cellStyle name="20% - Accent1 2 2 2 2 4 5 2 2 4 2" xfId="49474"/>
    <cellStyle name="20% - Accent1 2 2 2 2 4 5 2 2 5" xfId="35828"/>
    <cellStyle name="20% - Accent1 2 2 2 2 4 5 2 3" xfId="11280"/>
    <cellStyle name="20% - Accent1 2 2 2 2 4 5 2 3 2" xfId="23081"/>
    <cellStyle name="20% - Accent1 2 2 2 2 4 5 2 3 2 2" xfId="43065"/>
    <cellStyle name="20% - Accent1 2 2 2 2 4 5 2 3 3" xfId="29182"/>
    <cellStyle name="20% - Accent1 2 2 2 2 4 5 2 3 3 2" xfId="43066"/>
    <cellStyle name="20% - Accent1 2 2 2 2 4 5 2 3 4" xfId="29183"/>
    <cellStyle name="20% - Accent1 2 2 2 2 4 5 2 3 4 2" xfId="49475"/>
    <cellStyle name="20% - Accent1 2 2 2 2 4 5 2 3 5" xfId="36696"/>
    <cellStyle name="20% - Accent1 2 2 2 2 4 5 2 4" xfId="11281"/>
    <cellStyle name="20% - Accent1 2 2 2 2 4 5 2 4 2" xfId="23082"/>
    <cellStyle name="20% - Accent1 2 2 2 2 4 5 2 4 2 2" xfId="49476"/>
    <cellStyle name="20% - Accent1 2 2 2 2 4 5 2 4 3" xfId="36697"/>
    <cellStyle name="20% - Accent1 2 2 2 2 4 5 2 5" xfId="6468"/>
    <cellStyle name="20% - Accent1 2 2 2 2 4 5 2 5 2" xfId="43067"/>
    <cellStyle name="20% - Accent1 2 2 2 2 4 5 2 6" xfId="18269"/>
    <cellStyle name="20% - Accent1 2 2 2 2 4 5 2 6 2" xfId="49477"/>
    <cellStyle name="20% - Accent1 2 2 2 2 4 5 2 7" xfId="31884"/>
    <cellStyle name="20% - Accent1 2 2 2 2 4 5 3" xfId="3118"/>
    <cellStyle name="20% - Accent1 2 2 2 2 4 5 3 2" xfId="11282"/>
    <cellStyle name="20% - Accent1 2 2 2 2 4 5 3 2 2" xfId="23083"/>
    <cellStyle name="20% - Accent1 2 2 2 2 4 5 3 2 2 2" xfId="49478"/>
    <cellStyle name="20% - Accent1 2 2 2 2 4 5 3 2 3" xfId="36698"/>
    <cellStyle name="20% - Accent1 2 2 2 2 4 5 3 3" xfId="8571"/>
    <cellStyle name="20% - Accent1 2 2 2 2 4 5 3 3 2" xfId="43068"/>
    <cellStyle name="20% - Accent1 2 2 2 2 4 5 3 4" xfId="20372"/>
    <cellStyle name="20% - Accent1 2 2 2 2 4 5 3 4 2" xfId="49479"/>
    <cellStyle name="20% - Accent1 2 2 2 2 4 5 3 5" xfId="33987"/>
    <cellStyle name="20% - Accent1 2 2 2 2 4 5 4" xfId="11283"/>
    <cellStyle name="20% - Accent1 2 2 2 2 4 5 4 2" xfId="23084"/>
    <cellStyle name="20% - Accent1 2 2 2 2 4 5 4 2 2" xfId="43069"/>
    <cellStyle name="20% - Accent1 2 2 2 2 4 5 4 3" xfId="29184"/>
    <cellStyle name="20% - Accent1 2 2 2 2 4 5 4 3 2" xfId="43070"/>
    <cellStyle name="20% - Accent1 2 2 2 2 4 5 4 4" xfId="29185"/>
    <cellStyle name="20% - Accent1 2 2 2 2 4 5 4 4 2" xfId="49480"/>
    <cellStyle name="20% - Accent1 2 2 2 2 4 5 4 5" xfId="36699"/>
    <cellStyle name="20% - Accent1 2 2 2 2 4 5 5" xfId="11284"/>
    <cellStyle name="20% - Accent1 2 2 2 2 4 5 5 2" xfId="23085"/>
    <cellStyle name="20% - Accent1 2 2 2 2 4 5 5 2 2" xfId="49481"/>
    <cellStyle name="20% - Accent1 2 2 2 2 4 5 5 3" xfId="36700"/>
    <cellStyle name="20% - Accent1 2 2 2 2 4 5 6" xfId="6344"/>
    <cellStyle name="20% - Accent1 2 2 2 2 4 5 6 2" xfId="43071"/>
    <cellStyle name="20% - Accent1 2 2 2 2 4 5 7" xfId="18145"/>
    <cellStyle name="20% - Accent1 2 2 2 2 4 5 7 2" xfId="49482"/>
    <cellStyle name="20% - Accent1 2 2 2 2 4 5 8" xfId="31760"/>
    <cellStyle name="20% - Accent1 2 2 2 2 4 6" xfId="1015"/>
    <cellStyle name="20% - Accent1 2 2 2 2 4 6 2" xfId="3823"/>
    <cellStyle name="20% - Accent1 2 2 2 2 4 6 2 2" xfId="11285"/>
    <cellStyle name="20% - Accent1 2 2 2 2 4 6 2 2 2" xfId="23086"/>
    <cellStyle name="20% - Accent1 2 2 2 2 4 6 2 2 2 2" xfId="49483"/>
    <cellStyle name="20% - Accent1 2 2 2 2 4 6 2 2 3" xfId="36701"/>
    <cellStyle name="20% - Accent1 2 2 2 2 4 6 2 3" xfId="9276"/>
    <cellStyle name="20% - Accent1 2 2 2 2 4 6 2 3 2" xfId="43072"/>
    <cellStyle name="20% - Accent1 2 2 2 2 4 6 2 4" xfId="21077"/>
    <cellStyle name="20% - Accent1 2 2 2 2 4 6 2 4 2" xfId="49484"/>
    <cellStyle name="20% - Accent1 2 2 2 2 4 6 2 5" xfId="34692"/>
    <cellStyle name="20% - Accent1 2 2 2 2 4 6 3" xfId="11286"/>
    <cellStyle name="20% - Accent1 2 2 2 2 4 6 3 2" xfId="23087"/>
    <cellStyle name="20% - Accent1 2 2 2 2 4 6 3 2 2" xfId="43073"/>
    <cellStyle name="20% - Accent1 2 2 2 2 4 6 3 3" xfId="29186"/>
    <cellStyle name="20% - Accent1 2 2 2 2 4 6 3 3 2" xfId="43074"/>
    <cellStyle name="20% - Accent1 2 2 2 2 4 6 3 4" xfId="29187"/>
    <cellStyle name="20% - Accent1 2 2 2 2 4 6 3 4 2" xfId="49485"/>
    <cellStyle name="20% - Accent1 2 2 2 2 4 6 3 5" xfId="36702"/>
    <cellStyle name="20% - Accent1 2 2 2 2 4 6 4" xfId="11287"/>
    <cellStyle name="20% - Accent1 2 2 2 2 4 6 4 2" xfId="23088"/>
    <cellStyle name="20% - Accent1 2 2 2 2 4 6 4 2 2" xfId="49486"/>
    <cellStyle name="20% - Accent1 2 2 2 2 4 6 4 3" xfId="36703"/>
    <cellStyle name="20% - Accent1 2 2 2 2 4 6 5" xfId="6469"/>
    <cellStyle name="20% - Accent1 2 2 2 2 4 6 5 2" xfId="43075"/>
    <cellStyle name="20% - Accent1 2 2 2 2 4 6 6" xfId="18270"/>
    <cellStyle name="20% - Accent1 2 2 2 2 4 6 6 2" xfId="49487"/>
    <cellStyle name="20% - Accent1 2 2 2 2 4 6 7" xfId="31885"/>
    <cellStyle name="20% - Accent1 2 2 2 2 4 7" xfId="3686"/>
    <cellStyle name="20% - Accent1 2 2 2 2 4 7 2" xfId="11288"/>
    <cellStyle name="20% - Accent1 2 2 2 2 4 7 2 2" xfId="23089"/>
    <cellStyle name="20% - Accent1 2 2 2 2 4 7 2 2 2" xfId="49488"/>
    <cellStyle name="20% - Accent1 2 2 2 2 4 7 2 3" xfId="36704"/>
    <cellStyle name="20% - Accent1 2 2 2 2 4 7 3" xfId="9139"/>
    <cellStyle name="20% - Accent1 2 2 2 2 4 7 3 2" xfId="43076"/>
    <cellStyle name="20% - Accent1 2 2 2 2 4 7 4" xfId="20940"/>
    <cellStyle name="20% - Accent1 2 2 2 2 4 7 4 2" xfId="49489"/>
    <cellStyle name="20% - Accent1 2 2 2 2 4 7 5" xfId="34555"/>
    <cellStyle name="20% - Accent1 2 2 2 2 4 8" xfId="1982"/>
    <cellStyle name="20% - Accent1 2 2 2 2 4 8 2" xfId="11289"/>
    <cellStyle name="20% - Accent1 2 2 2 2 4 8 2 2" xfId="23090"/>
    <cellStyle name="20% - Accent1 2 2 2 2 4 8 2 2 2" xfId="49490"/>
    <cellStyle name="20% - Accent1 2 2 2 2 4 8 2 3" xfId="36705"/>
    <cellStyle name="20% - Accent1 2 2 2 2 4 8 3" xfId="7435"/>
    <cellStyle name="20% - Accent1 2 2 2 2 4 8 3 2" xfId="43077"/>
    <cellStyle name="20% - Accent1 2 2 2 2 4 8 4" xfId="19236"/>
    <cellStyle name="20% - Accent1 2 2 2 2 4 8 4 2" xfId="49491"/>
    <cellStyle name="20% - Accent1 2 2 2 2 4 8 5" xfId="32851"/>
    <cellStyle name="20% - Accent1 2 2 2 2 4 9" xfId="11290"/>
    <cellStyle name="20% - Accent1 2 2 2 2 4 9 2" xfId="23091"/>
    <cellStyle name="20% - Accent1 2 2 2 2 4 9 2 2" xfId="49492"/>
    <cellStyle name="20% - Accent1 2 2 2 2 4 9 3" xfId="36706"/>
    <cellStyle name="20% - Accent1 2 2 2 2 5" xfId="152"/>
    <cellStyle name="20% - Accent1 2 2 2 2 5 10" xfId="31022"/>
    <cellStyle name="20% - Accent1 2 2 2 2 5 2" xfId="304"/>
    <cellStyle name="20% - Accent1 2 2 2 2 5 2 2" xfId="1016"/>
    <cellStyle name="20% - Accent1 2 2 2 2 5 2 2 2" xfId="4614"/>
    <cellStyle name="20% - Accent1 2 2 2 2 5 2 2 2 2" xfId="11291"/>
    <cellStyle name="20% - Accent1 2 2 2 2 5 2 2 2 2 2" xfId="23092"/>
    <cellStyle name="20% - Accent1 2 2 2 2 5 2 2 2 2 2 2" xfId="49493"/>
    <cellStyle name="20% - Accent1 2 2 2 2 5 2 2 2 2 3" xfId="36707"/>
    <cellStyle name="20% - Accent1 2 2 2 2 5 2 2 2 3" xfId="10067"/>
    <cellStyle name="20% - Accent1 2 2 2 2 5 2 2 2 3 2" xfId="43078"/>
    <cellStyle name="20% - Accent1 2 2 2 2 5 2 2 2 4" xfId="21868"/>
    <cellStyle name="20% - Accent1 2 2 2 2 5 2 2 2 4 2" xfId="49494"/>
    <cellStyle name="20% - Accent1 2 2 2 2 5 2 2 2 5" xfId="35483"/>
    <cellStyle name="20% - Accent1 2 2 2 2 5 2 2 3" xfId="2773"/>
    <cellStyle name="20% - Accent1 2 2 2 2 5 2 2 3 2" xfId="11292"/>
    <cellStyle name="20% - Accent1 2 2 2 2 5 2 2 3 2 2" xfId="23093"/>
    <cellStyle name="20% - Accent1 2 2 2 2 5 2 2 3 2 2 2" xfId="49495"/>
    <cellStyle name="20% - Accent1 2 2 2 2 5 2 2 3 2 3" xfId="36708"/>
    <cellStyle name="20% - Accent1 2 2 2 2 5 2 2 3 3" xfId="8226"/>
    <cellStyle name="20% - Accent1 2 2 2 2 5 2 2 3 3 2" xfId="43079"/>
    <cellStyle name="20% - Accent1 2 2 2 2 5 2 2 3 4" xfId="20027"/>
    <cellStyle name="20% - Accent1 2 2 2 2 5 2 2 3 4 2" xfId="49496"/>
    <cellStyle name="20% - Accent1 2 2 2 2 5 2 2 3 5" xfId="33642"/>
    <cellStyle name="20% - Accent1 2 2 2 2 5 2 2 4" xfId="11293"/>
    <cellStyle name="20% - Accent1 2 2 2 2 5 2 2 4 2" xfId="23094"/>
    <cellStyle name="20% - Accent1 2 2 2 2 5 2 2 4 2 2" xfId="49497"/>
    <cellStyle name="20% - Accent1 2 2 2 2 5 2 2 4 3" xfId="36709"/>
    <cellStyle name="20% - Accent1 2 2 2 2 5 2 2 5" xfId="6470"/>
    <cellStyle name="20% - Accent1 2 2 2 2 5 2 2 5 2" xfId="43080"/>
    <cellStyle name="20% - Accent1 2 2 2 2 5 2 2 6" xfId="18271"/>
    <cellStyle name="20% - Accent1 2 2 2 2 5 2 2 6 2" xfId="49498"/>
    <cellStyle name="20% - Accent1 2 2 2 2 5 2 2 7" xfId="31886"/>
    <cellStyle name="20% - Accent1 2 2 2 2 5 2 3" xfId="3341"/>
    <cellStyle name="20% - Accent1 2 2 2 2 5 2 3 2" xfId="5182"/>
    <cellStyle name="20% - Accent1 2 2 2 2 5 2 3 2 2" xfId="16652"/>
    <cellStyle name="20% - Accent1 2 2 2 2 5 2 3 2 2 2" xfId="28453"/>
    <cellStyle name="20% - Accent1 2 2 2 2 5 2 3 2 2 2 2" xfId="49499"/>
    <cellStyle name="20% - Accent1 2 2 2 2 5 2 3 2 2 3" xfId="42068"/>
    <cellStyle name="20% - Accent1 2 2 2 2 5 2 3 2 3" xfId="10635"/>
    <cellStyle name="20% - Accent1 2 2 2 2 5 2 3 2 3 2" xfId="49500"/>
    <cellStyle name="20% - Accent1 2 2 2 2 5 2 3 2 4" xfId="22436"/>
    <cellStyle name="20% - Accent1 2 2 2 2 5 2 3 2 4 2" xfId="49501"/>
    <cellStyle name="20% - Accent1 2 2 2 2 5 2 3 2 5" xfId="36051"/>
    <cellStyle name="20% - Accent1 2 2 2 2 5 2 3 3" xfId="11294"/>
    <cellStyle name="20% - Accent1 2 2 2 2 5 2 3 3 2" xfId="23095"/>
    <cellStyle name="20% - Accent1 2 2 2 2 5 2 3 3 2 2" xfId="49502"/>
    <cellStyle name="20% - Accent1 2 2 2 2 5 2 3 3 3" xfId="36710"/>
    <cellStyle name="20% - Accent1 2 2 2 2 5 2 3 4" xfId="8794"/>
    <cellStyle name="20% - Accent1 2 2 2 2 5 2 3 4 2" xfId="49503"/>
    <cellStyle name="20% - Accent1 2 2 2 2 5 2 3 5" xfId="20595"/>
    <cellStyle name="20% - Accent1 2 2 2 2 5 2 3 5 2" xfId="49504"/>
    <cellStyle name="20% - Accent1 2 2 2 2 5 2 3 6" xfId="34210"/>
    <cellStyle name="20% - Accent1 2 2 2 2 5 2 4" xfId="4046"/>
    <cellStyle name="20% - Accent1 2 2 2 2 5 2 4 2" xfId="11295"/>
    <cellStyle name="20% - Accent1 2 2 2 2 5 2 4 2 2" xfId="23096"/>
    <cellStyle name="20% - Accent1 2 2 2 2 5 2 4 2 2 2" xfId="49505"/>
    <cellStyle name="20% - Accent1 2 2 2 2 5 2 4 2 3" xfId="36711"/>
    <cellStyle name="20% - Accent1 2 2 2 2 5 2 4 3" xfId="9499"/>
    <cellStyle name="20% - Accent1 2 2 2 2 5 2 4 3 2" xfId="43081"/>
    <cellStyle name="20% - Accent1 2 2 2 2 5 2 4 4" xfId="21300"/>
    <cellStyle name="20% - Accent1 2 2 2 2 5 2 4 4 2" xfId="49506"/>
    <cellStyle name="20% - Accent1 2 2 2 2 5 2 4 5" xfId="34915"/>
    <cellStyle name="20% - Accent1 2 2 2 2 5 2 5" xfId="2205"/>
    <cellStyle name="20% - Accent1 2 2 2 2 5 2 5 2" xfId="16945"/>
    <cellStyle name="20% - Accent1 2 2 2 2 5 2 5 2 2" xfId="28746"/>
    <cellStyle name="20% - Accent1 2 2 2 2 5 2 5 2 2 2" xfId="49507"/>
    <cellStyle name="20% - Accent1 2 2 2 2 5 2 5 2 3" xfId="42361"/>
    <cellStyle name="20% - Accent1 2 2 2 2 5 2 5 3" xfId="7658"/>
    <cellStyle name="20% - Accent1 2 2 2 2 5 2 5 3 2" xfId="49508"/>
    <cellStyle name="20% - Accent1 2 2 2 2 5 2 5 4" xfId="19459"/>
    <cellStyle name="20% - Accent1 2 2 2 2 5 2 5 4 2" xfId="49509"/>
    <cellStyle name="20% - Accent1 2 2 2 2 5 2 5 5" xfId="33074"/>
    <cellStyle name="20% - Accent1 2 2 2 2 5 2 6" xfId="11296"/>
    <cellStyle name="20% - Accent1 2 2 2 2 5 2 6 2" xfId="23097"/>
    <cellStyle name="20% - Accent1 2 2 2 2 5 2 6 2 2" xfId="49510"/>
    <cellStyle name="20% - Accent1 2 2 2 2 5 2 6 3" xfId="36712"/>
    <cellStyle name="20% - Accent1 2 2 2 2 5 2 7" xfId="5758"/>
    <cellStyle name="20% - Accent1 2 2 2 2 5 2 7 2" xfId="49511"/>
    <cellStyle name="20% - Accent1 2 2 2 2 5 2 8" xfId="17559"/>
    <cellStyle name="20% - Accent1 2 2 2 2 5 2 8 2" xfId="49512"/>
    <cellStyle name="20% - Accent1 2 2 2 2 5 2 9" xfId="31174"/>
    <cellStyle name="20% - Accent1 2 2 2 2 5 3" xfId="720"/>
    <cellStyle name="20% - Accent1 2 2 2 2 5 3 2" xfId="1017"/>
    <cellStyle name="20% - Accent1 2 2 2 2 5 3 2 2" xfId="4462"/>
    <cellStyle name="20% - Accent1 2 2 2 2 5 3 2 2 2" xfId="11297"/>
    <cellStyle name="20% - Accent1 2 2 2 2 5 3 2 2 2 2" xfId="23098"/>
    <cellStyle name="20% - Accent1 2 2 2 2 5 3 2 2 2 2 2" xfId="49513"/>
    <cellStyle name="20% - Accent1 2 2 2 2 5 3 2 2 2 3" xfId="36713"/>
    <cellStyle name="20% - Accent1 2 2 2 2 5 3 2 2 3" xfId="9915"/>
    <cellStyle name="20% - Accent1 2 2 2 2 5 3 2 2 3 2" xfId="43082"/>
    <cellStyle name="20% - Accent1 2 2 2 2 5 3 2 2 4" xfId="21716"/>
    <cellStyle name="20% - Accent1 2 2 2 2 5 3 2 2 4 2" xfId="49514"/>
    <cellStyle name="20% - Accent1 2 2 2 2 5 3 2 2 5" xfId="35331"/>
    <cellStyle name="20% - Accent1 2 2 2 2 5 3 2 3" xfId="11298"/>
    <cellStyle name="20% - Accent1 2 2 2 2 5 3 2 3 2" xfId="23099"/>
    <cellStyle name="20% - Accent1 2 2 2 2 5 3 2 3 2 2" xfId="43083"/>
    <cellStyle name="20% - Accent1 2 2 2 2 5 3 2 3 3" xfId="29188"/>
    <cellStyle name="20% - Accent1 2 2 2 2 5 3 2 3 3 2" xfId="43084"/>
    <cellStyle name="20% - Accent1 2 2 2 2 5 3 2 3 4" xfId="29189"/>
    <cellStyle name="20% - Accent1 2 2 2 2 5 3 2 3 4 2" xfId="49515"/>
    <cellStyle name="20% - Accent1 2 2 2 2 5 3 2 3 5" xfId="36714"/>
    <cellStyle name="20% - Accent1 2 2 2 2 5 3 2 4" xfId="11299"/>
    <cellStyle name="20% - Accent1 2 2 2 2 5 3 2 4 2" xfId="23100"/>
    <cellStyle name="20% - Accent1 2 2 2 2 5 3 2 4 2 2" xfId="49516"/>
    <cellStyle name="20% - Accent1 2 2 2 2 5 3 2 4 3" xfId="36715"/>
    <cellStyle name="20% - Accent1 2 2 2 2 5 3 2 5" xfId="6471"/>
    <cellStyle name="20% - Accent1 2 2 2 2 5 3 2 5 2" xfId="43085"/>
    <cellStyle name="20% - Accent1 2 2 2 2 5 3 2 6" xfId="18272"/>
    <cellStyle name="20% - Accent1 2 2 2 2 5 3 2 6 2" xfId="49517"/>
    <cellStyle name="20% - Accent1 2 2 2 2 5 3 2 7" xfId="31887"/>
    <cellStyle name="20% - Accent1 2 2 2 2 5 3 3" xfId="2621"/>
    <cellStyle name="20% - Accent1 2 2 2 2 5 3 3 2" xfId="11300"/>
    <cellStyle name="20% - Accent1 2 2 2 2 5 3 3 2 2" xfId="23101"/>
    <cellStyle name="20% - Accent1 2 2 2 2 5 3 3 2 2 2" xfId="49518"/>
    <cellStyle name="20% - Accent1 2 2 2 2 5 3 3 2 3" xfId="36716"/>
    <cellStyle name="20% - Accent1 2 2 2 2 5 3 3 3" xfId="8074"/>
    <cellStyle name="20% - Accent1 2 2 2 2 5 3 3 3 2" xfId="43086"/>
    <cellStyle name="20% - Accent1 2 2 2 2 5 3 3 4" xfId="19875"/>
    <cellStyle name="20% - Accent1 2 2 2 2 5 3 3 4 2" xfId="49519"/>
    <cellStyle name="20% - Accent1 2 2 2 2 5 3 3 5" xfId="33490"/>
    <cellStyle name="20% - Accent1 2 2 2 2 5 3 4" xfId="11301"/>
    <cellStyle name="20% - Accent1 2 2 2 2 5 3 4 2" xfId="23102"/>
    <cellStyle name="20% - Accent1 2 2 2 2 5 3 4 2 2" xfId="43087"/>
    <cellStyle name="20% - Accent1 2 2 2 2 5 3 4 3" xfId="29190"/>
    <cellStyle name="20% - Accent1 2 2 2 2 5 3 4 3 2" xfId="43088"/>
    <cellStyle name="20% - Accent1 2 2 2 2 5 3 4 4" xfId="29191"/>
    <cellStyle name="20% - Accent1 2 2 2 2 5 3 4 4 2" xfId="49520"/>
    <cellStyle name="20% - Accent1 2 2 2 2 5 3 4 5" xfId="36717"/>
    <cellStyle name="20% - Accent1 2 2 2 2 5 3 5" xfId="11302"/>
    <cellStyle name="20% - Accent1 2 2 2 2 5 3 5 2" xfId="23103"/>
    <cellStyle name="20% - Accent1 2 2 2 2 5 3 5 2 2" xfId="49521"/>
    <cellStyle name="20% - Accent1 2 2 2 2 5 3 5 3" xfId="36718"/>
    <cellStyle name="20% - Accent1 2 2 2 2 5 3 6" xfId="6174"/>
    <cellStyle name="20% - Accent1 2 2 2 2 5 3 6 2" xfId="43089"/>
    <cellStyle name="20% - Accent1 2 2 2 2 5 3 7" xfId="17975"/>
    <cellStyle name="20% - Accent1 2 2 2 2 5 3 7 2" xfId="49522"/>
    <cellStyle name="20% - Accent1 2 2 2 2 5 3 8" xfId="31590"/>
    <cellStyle name="20% - Accent1 2 2 2 2 5 4" xfId="1018"/>
    <cellStyle name="20% - Accent1 2 2 2 2 5 4 2" xfId="5030"/>
    <cellStyle name="20% - Accent1 2 2 2 2 5 4 2 2" xfId="11303"/>
    <cellStyle name="20% - Accent1 2 2 2 2 5 4 2 2 2" xfId="23104"/>
    <cellStyle name="20% - Accent1 2 2 2 2 5 4 2 2 2 2" xfId="49523"/>
    <cellStyle name="20% - Accent1 2 2 2 2 5 4 2 2 3" xfId="36719"/>
    <cellStyle name="20% - Accent1 2 2 2 2 5 4 2 3" xfId="10483"/>
    <cellStyle name="20% - Accent1 2 2 2 2 5 4 2 3 2" xfId="43090"/>
    <cellStyle name="20% - Accent1 2 2 2 2 5 4 2 4" xfId="22284"/>
    <cellStyle name="20% - Accent1 2 2 2 2 5 4 2 4 2" xfId="49524"/>
    <cellStyle name="20% - Accent1 2 2 2 2 5 4 2 5" xfId="35899"/>
    <cellStyle name="20% - Accent1 2 2 2 2 5 4 3" xfId="3189"/>
    <cellStyle name="20% - Accent1 2 2 2 2 5 4 3 2" xfId="11304"/>
    <cellStyle name="20% - Accent1 2 2 2 2 5 4 3 2 2" xfId="23105"/>
    <cellStyle name="20% - Accent1 2 2 2 2 5 4 3 2 2 2" xfId="49525"/>
    <cellStyle name="20% - Accent1 2 2 2 2 5 4 3 2 3" xfId="36720"/>
    <cellStyle name="20% - Accent1 2 2 2 2 5 4 3 3" xfId="8642"/>
    <cellStyle name="20% - Accent1 2 2 2 2 5 4 3 3 2" xfId="43091"/>
    <cellStyle name="20% - Accent1 2 2 2 2 5 4 3 4" xfId="20443"/>
    <cellStyle name="20% - Accent1 2 2 2 2 5 4 3 4 2" xfId="49526"/>
    <cellStyle name="20% - Accent1 2 2 2 2 5 4 3 5" xfId="34058"/>
    <cellStyle name="20% - Accent1 2 2 2 2 5 4 4" xfId="11305"/>
    <cellStyle name="20% - Accent1 2 2 2 2 5 4 4 2" xfId="23106"/>
    <cellStyle name="20% - Accent1 2 2 2 2 5 4 4 2 2" xfId="49527"/>
    <cellStyle name="20% - Accent1 2 2 2 2 5 4 4 3" xfId="36721"/>
    <cellStyle name="20% - Accent1 2 2 2 2 5 4 5" xfId="6472"/>
    <cellStyle name="20% - Accent1 2 2 2 2 5 4 5 2" xfId="43092"/>
    <cellStyle name="20% - Accent1 2 2 2 2 5 4 6" xfId="18273"/>
    <cellStyle name="20% - Accent1 2 2 2 2 5 4 6 2" xfId="49528"/>
    <cellStyle name="20% - Accent1 2 2 2 2 5 4 7" xfId="31888"/>
    <cellStyle name="20% - Accent1 2 2 2 2 5 5" xfId="3894"/>
    <cellStyle name="20% - Accent1 2 2 2 2 5 5 2" xfId="11306"/>
    <cellStyle name="20% - Accent1 2 2 2 2 5 5 2 2" xfId="23107"/>
    <cellStyle name="20% - Accent1 2 2 2 2 5 5 2 2 2" xfId="49529"/>
    <cellStyle name="20% - Accent1 2 2 2 2 5 5 2 3" xfId="36722"/>
    <cellStyle name="20% - Accent1 2 2 2 2 5 5 3" xfId="9347"/>
    <cellStyle name="20% - Accent1 2 2 2 2 5 5 3 2" xfId="43093"/>
    <cellStyle name="20% - Accent1 2 2 2 2 5 5 4" xfId="21148"/>
    <cellStyle name="20% - Accent1 2 2 2 2 5 5 4 2" xfId="49530"/>
    <cellStyle name="20% - Accent1 2 2 2 2 5 5 5" xfId="34763"/>
    <cellStyle name="20% - Accent1 2 2 2 2 5 6" xfId="2053"/>
    <cellStyle name="20% - Accent1 2 2 2 2 5 6 2" xfId="11307"/>
    <cellStyle name="20% - Accent1 2 2 2 2 5 6 2 2" xfId="23108"/>
    <cellStyle name="20% - Accent1 2 2 2 2 5 6 2 2 2" xfId="49531"/>
    <cellStyle name="20% - Accent1 2 2 2 2 5 6 2 3" xfId="36723"/>
    <cellStyle name="20% - Accent1 2 2 2 2 5 6 3" xfId="7506"/>
    <cellStyle name="20% - Accent1 2 2 2 2 5 6 3 2" xfId="43094"/>
    <cellStyle name="20% - Accent1 2 2 2 2 5 6 4" xfId="19307"/>
    <cellStyle name="20% - Accent1 2 2 2 2 5 6 4 2" xfId="49532"/>
    <cellStyle name="20% - Accent1 2 2 2 2 5 6 5" xfId="32922"/>
    <cellStyle name="20% - Accent1 2 2 2 2 5 7" xfId="11308"/>
    <cellStyle name="20% - Accent1 2 2 2 2 5 7 2" xfId="23109"/>
    <cellStyle name="20% - Accent1 2 2 2 2 5 7 2 2" xfId="49533"/>
    <cellStyle name="20% - Accent1 2 2 2 2 5 7 3" xfId="36724"/>
    <cellStyle name="20% - Accent1 2 2 2 2 5 8" xfId="5606"/>
    <cellStyle name="20% - Accent1 2 2 2 2 5 8 2" xfId="43095"/>
    <cellStyle name="20% - Accent1 2 2 2 2 5 9" xfId="17407"/>
    <cellStyle name="20% - Accent1 2 2 2 2 5 9 2" xfId="49534"/>
    <cellStyle name="20% - Accent1 2 2 2 2 6" xfId="441"/>
    <cellStyle name="20% - Accent1 2 2 2 2 6 2" xfId="1019"/>
    <cellStyle name="20% - Accent1 2 2 2 2 6 2 2" xfId="4751"/>
    <cellStyle name="20% - Accent1 2 2 2 2 6 2 2 2" xfId="11309"/>
    <cellStyle name="20% - Accent1 2 2 2 2 6 2 2 2 2" xfId="23110"/>
    <cellStyle name="20% - Accent1 2 2 2 2 6 2 2 2 2 2" xfId="49535"/>
    <cellStyle name="20% - Accent1 2 2 2 2 6 2 2 2 3" xfId="36725"/>
    <cellStyle name="20% - Accent1 2 2 2 2 6 2 2 3" xfId="10204"/>
    <cellStyle name="20% - Accent1 2 2 2 2 6 2 2 3 2" xfId="43096"/>
    <cellStyle name="20% - Accent1 2 2 2 2 6 2 2 4" xfId="22005"/>
    <cellStyle name="20% - Accent1 2 2 2 2 6 2 2 4 2" xfId="49536"/>
    <cellStyle name="20% - Accent1 2 2 2 2 6 2 2 5" xfId="35620"/>
    <cellStyle name="20% - Accent1 2 2 2 2 6 2 3" xfId="2910"/>
    <cellStyle name="20% - Accent1 2 2 2 2 6 2 3 2" xfId="11310"/>
    <cellStyle name="20% - Accent1 2 2 2 2 6 2 3 2 2" xfId="23111"/>
    <cellStyle name="20% - Accent1 2 2 2 2 6 2 3 2 2 2" xfId="49537"/>
    <cellStyle name="20% - Accent1 2 2 2 2 6 2 3 2 3" xfId="36726"/>
    <cellStyle name="20% - Accent1 2 2 2 2 6 2 3 3" xfId="8363"/>
    <cellStyle name="20% - Accent1 2 2 2 2 6 2 3 3 2" xfId="43097"/>
    <cellStyle name="20% - Accent1 2 2 2 2 6 2 3 4" xfId="20164"/>
    <cellStyle name="20% - Accent1 2 2 2 2 6 2 3 4 2" xfId="49538"/>
    <cellStyle name="20% - Accent1 2 2 2 2 6 2 3 5" xfId="33779"/>
    <cellStyle name="20% - Accent1 2 2 2 2 6 2 4" xfId="11311"/>
    <cellStyle name="20% - Accent1 2 2 2 2 6 2 4 2" xfId="23112"/>
    <cellStyle name="20% - Accent1 2 2 2 2 6 2 4 2 2" xfId="49539"/>
    <cellStyle name="20% - Accent1 2 2 2 2 6 2 4 3" xfId="36727"/>
    <cellStyle name="20% - Accent1 2 2 2 2 6 2 5" xfId="6473"/>
    <cellStyle name="20% - Accent1 2 2 2 2 6 2 5 2" xfId="43098"/>
    <cellStyle name="20% - Accent1 2 2 2 2 6 2 6" xfId="18274"/>
    <cellStyle name="20% - Accent1 2 2 2 2 6 2 6 2" xfId="49540"/>
    <cellStyle name="20% - Accent1 2 2 2 2 6 2 7" xfId="31889"/>
    <cellStyle name="20% - Accent1 2 2 2 2 6 3" xfId="3478"/>
    <cellStyle name="20% - Accent1 2 2 2 2 6 3 2" xfId="5319"/>
    <cellStyle name="20% - Accent1 2 2 2 2 6 3 2 2" xfId="16789"/>
    <cellStyle name="20% - Accent1 2 2 2 2 6 3 2 2 2" xfId="28590"/>
    <cellStyle name="20% - Accent1 2 2 2 2 6 3 2 2 2 2" xfId="49541"/>
    <cellStyle name="20% - Accent1 2 2 2 2 6 3 2 2 3" xfId="42205"/>
    <cellStyle name="20% - Accent1 2 2 2 2 6 3 2 3" xfId="10772"/>
    <cellStyle name="20% - Accent1 2 2 2 2 6 3 2 3 2" xfId="49542"/>
    <cellStyle name="20% - Accent1 2 2 2 2 6 3 2 4" xfId="22573"/>
    <cellStyle name="20% - Accent1 2 2 2 2 6 3 2 4 2" xfId="49543"/>
    <cellStyle name="20% - Accent1 2 2 2 2 6 3 2 5" xfId="36188"/>
    <cellStyle name="20% - Accent1 2 2 2 2 6 3 3" xfId="11312"/>
    <cellStyle name="20% - Accent1 2 2 2 2 6 3 3 2" xfId="23113"/>
    <cellStyle name="20% - Accent1 2 2 2 2 6 3 3 2 2" xfId="49544"/>
    <cellStyle name="20% - Accent1 2 2 2 2 6 3 3 3" xfId="36728"/>
    <cellStyle name="20% - Accent1 2 2 2 2 6 3 4" xfId="8931"/>
    <cellStyle name="20% - Accent1 2 2 2 2 6 3 4 2" xfId="49545"/>
    <cellStyle name="20% - Accent1 2 2 2 2 6 3 5" xfId="20732"/>
    <cellStyle name="20% - Accent1 2 2 2 2 6 3 5 2" xfId="49546"/>
    <cellStyle name="20% - Accent1 2 2 2 2 6 3 6" xfId="34347"/>
    <cellStyle name="20% - Accent1 2 2 2 2 6 4" xfId="4183"/>
    <cellStyle name="20% - Accent1 2 2 2 2 6 4 2" xfId="11313"/>
    <cellStyle name="20% - Accent1 2 2 2 2 6 4 2 2" xfId="23114"/>
    <cellStyle name="20% - Accent1 2 2 2 2 6 4 2 2 2" xfId="49547"/>
    <cellStyle name="20% - Accent1 2 2 2 2 6 4 2 3" xfId="36729"/>
    <cellStyle name="20% - Accent1 2 2 2 2 6 4 3" xfId="9636"/>
    <cellStyle name="20% - Accent1 2 2 2 2 6 4 3 2" xfId="43099"/>
    <cellStyle name="20% - Accent1 2 2 2 2 6 4 4" xfId="21437"/>
    <cellStyle name="20% - Accent1 2 2 2 2 6 4 4 2" xfId="49548"/>
    <cellStyle name="20% - Accent1 2 2 2 2 6 4 5" xfId="35052"/>
    <cellStyle name="20% - Accent1 2 2 2 2 6 5" xfId="2342"/>
    <cellStyle name="20% - Accent1 2 2 2 2 6 5 2" xfId="16946"/>
    <cellStyle name="20% - Accent1 2 2 2 2 6 5 2 2" xfId="28747"/>
    <cellStyle name="20% - Accent1 2 2 2 2 6 5 2 2 2" xfId="49549"/>
    <cellStyle name="20% - Accent1 2 2 2 2 6 5 2 3" xfId="42362"/>
    <cellStyle name="20% - Accent1 2 2 2 2 6 5 3" xfId="7795"/>
    <cellStyle name="20% - Accent1 2 2 2 2 6 5 3 2" xfId="49550"/>
    <cellStyle name="20% - Accent1 2 2 2 2 6 5 4" xfId="19596"/>
    <cellStyle name="20% - Accent1 2 2 2 2 6 5 4 2" xfId="49551"/>
    <cellStyle name="20% - Accent1 2 2 2 2 6 5 5" xfId="33211"/>
    <cellStyle name="20% - Accent1 2 2 2 2 6 6" xfId="11314"/>
    <cellStyle name="20% - Accent1 2 2 2 2 6 6 2" xfId="23115"/>
    <cellStyle name="20% - Accent1 2 2 2 2 6 6 2 2" xfId="49552"/>
    <cellStyle name="20% - Accent1 2 2 2 2 6 6 3" xfId="36730"/>
    <cellStyle name="20% - Accent1 2 2 2 2 6 7" xfId="5895"/>
    <cellStyle name="20% - Accent1 2 2 2 2 6 7 2" xfId="49553"/>
    <cellStyle name="20% - Accent1 2 2 2 2 6 8" xfId="17696"/>
    <cellStyle name="20% - Accent1 2 2 2 2 6 8 2" xfId="49554"/>
    <cellStyle name="20% - Accent1 2 2 2 2 6 9" xfId="31311"/>
    <cellStyle name="20% - Accent1 2 2 2 2 7" xfId="255"/>
    <cellStyle name="20% - Accent1 2 2 2 2 7 2" xfId="1020"/>
    <cellStyle name="20% - Accent1 2 2 2 2 7 2 2" xfId="4565"/>
    <cellStyle name="20% - Accent1 2 2 2 2 7 2 2 2" xfId="11315"/>
    <cellStyle name="20% - Accent1 2 2 2 2 7 2 2 2 2" xfId="23116"/>
    <cellStyle name="20% - Accent1 2 2 2 2 7 2 2 2 2 2" xfId="49555"/>
    <cellStyle name="20% - Accent1 2 2 2 2 7 2 2 2 3" xfId="36731"/>
    <cellStyle name="20% - Accent1 2 2 2 2 7 2 2 3" xfId="10018"/>
    <cellStyle name="20% - Accent1 2 2 2 2 7 2 2 3 2" xfId="43100"/>
    <cellStyle name="20% - Accent1 2 2 2 2 7 2 2 4" xfId="21819"/>
    <cellStyle name="20% - Accent1 2 2 2 2 7 2 2 4 2" xfId="49556"/>
    <cellStyle name="20% - Accent1 2 2 2 2 7 2 2 5" xfId="35434"/>
    <cellStyle name="20% - Accent1 2 2 2 2 7 2 3" xfId="2724"/>
    <cellStyle name="20% - Accent1 2 2 2 2 7 2 3 2" xfId="11316"/>
    <cellStyle name="20% - Accent1 2 2 2 2 7 2 3 2 2" xfId="23117"/>
    <cellStyle name="20% - Accent1 2 2 2 2 7 2 3 2 2 2" xfId="49557"/>
    <cellStyle name="20% - Accent1 2 2 2 2 7 2 3 2 3" xfId="36732"/>
    <cellStyle name="20% - Accent1 2 2 2 2 7 2 3 3" xfId="8177"/>
    <cellStyle name="20% - Accent1 2 2 2 2 7 2 3 3 2" xfId="43101"/>
    <cellStyle name="20% - Accent1 2 2 2 2 7 2 3 4" xfId="19978"/>
    <cellStyle name="20% - Accent1 2 2 2 2 7 2 3 4 2" xfId="49558"/>
    <cellStyle name="20% - Accent1 2 2 2 2 7 2 3 5" xfId="33593"/>
    <cellStyle name="20% - Accent1 2 2 2 2 7 2 4" xfId="11317"/>
    <cellStyle name="20% - Accent1 2 2 2 2 7 2 4 2" xfId="23118"/>
    <cellStyle name="20% - Accent1 2 2 2 2 7 2 4 2 2" xfId="49559"/>
    <cellStyle name="20% - Accent1 2 2 2 2 7 2 4 3" xfId="36733"/>
    <cellStyle name="20% - Accent1 2 2 2 2 7 2 5" xfId="6474"/>
    <cellStyle name="20% - Accent1 2 2 2 2 7 2 5 2" xfId="43102"/>
    <cellStyle name="20% - Accent1 2 2 2 2 7 2 6" xfId="18275"/>
    <cellStyle name="20% - Accent1 2 2 2 2 7 2 6 2" xfId="49560"/>
    <cellStyle name="20% - Accent1 2 2 2 2 7 2 7" xfId="31890"/>
    <cellStyle name="20% - Accent1 2 2 2 2 7 3" xfId="3292"/>
    <cellStyle name="20% - Accent1 2 2 2 2 7 3 2" xfId="5133"/>
    <cellStyle name="20% - Accent1 2 2 2 2 7 3 2 2" xfId="16603"/>
    <cellStyle name="20% - Accent1 2 2 2 2 7 3 2 2 2" xfId="28404"/>
    <cellStyle name="20% - Accent1 2 2 2 2 7 3 2 2 2 2" xfId="49561"/>
    <cellStyle name="20% - Accent1 2 2 2 2 7 3 2 2 3" xfId="42019"/>
    <cellStyle name="20% - Accent1 2 2 2 2 7 3 2 3" xfId="10586"/>
    <cellStyle name="20% - Accent1 2 2 2 2 7 3 2 3 2" xfId="49562"/>
    <cellStyle name="20% - Accent1 2 2 2 2 7 3 2 4" xfId="22387"/>
    <cellStyle name="20% - Accent1 2 2 2 2 7 3 2 4 2" xfId="49563"/>
    <cellStyle name="20% - Accent1 2 2 2 2 7 3 2 5" xfId="36002"/>
    <cellStyle name="20% - Accent1 2 2 2 2 7 3 3" xfId="11318"/>
    <cellStyle name="20% - Accent1 2 2 2 2 7 3 3 2" xfId="23119"/>
    <cellStyle name="20% - Accent1 2 2 2 2 7 3 3 2 2" xfId="49564"/>
    <cellStyle name="20% - Accent1 2 2 2 2 7 3 3 3" xfId="36734"/>
    <cellStyle name="20% - Accent1 2 2 2 2 7 3 4" xfId="8745"/>
    <cellStyle name="20% - Accent1 2 2 2 2 7 3 4 2" xfId="49565"/>
    <cellStyle name="20% - Accent1 2 2 2 2 7 3 5" xfId="20546"/>
    <cellStyle name="20% - Accent1 2 2 2 2 7 3 5 2" xfId="49566"/>
    <cellStyle name="20% - Accent1 2 2 2 2 7 3 6" xfId="34161"/>
    <cellStyle name="20% - Accent1 2 2 2 2 7 4" xfId="3997"/>
    <cellStyle name="20% - Accent1 2 2 2 2 7 4 2" xfId="11319"/>
    <cellStyle name="20% - Accent1 2 2 2 2 7 4 2 2" xfId="23120"/>
    <cellStyle name="20% - Accent1 2 2 2 2 7 4 2 2 2" xfId="49567"/>
    <cellStyle name="20% - Accent1 2 2 2 2 7 4 2 3" xfId="36735"/>
    <cellStyle name="20% - Accent1 2 2 2 2 7 4 3" xfId="9450"/>
    <cellStyle name="20% - Accent1 2 2 2 2 7 4 3 2" xfId="43103"/>
    <cellStyle name="20% - Accent1 2 2 2 2 7 4 4" xfId="21251"/>
    <cellStyle name="20% - Accent1 2 2 2 2 7 4 4 2" xfId="49568"/>
    <cellStyle name="20% - Accent1 2 2 2 2 7 4 5" xfId="34866"/>
    <cellStyle name="20% - Accent1 2 2 2 2 7 5" xfId="2156"/>
    <cellStyle name="20% - Accent1 2 2 2 2 7 5 2" xfId="16947"/>
    <cellStyle name="20% - Accent1 2 2 2 2 7 5 2 2" xfId="28748"/>
    <cellStyle name="20% - Accent1 2 2 2 2 7 5 2 2 2" xfId="49569"/>
    <cellStyle name="20% - Accent1 2 2 2 2 7 5 2 3" xfId="42363"/>
    <cellStyle name="20% - Accent1 2 2 2 2 7 5 3" xfId="7609"/>
    <cellStyle name="20% - Accent1 2 2 2 2 7 5 3 2" xfId="49570"/>
    <cellStyle name="20% - Accent1 2 2 2 2 7 5 4" xfId="19410"/>
    <cellStyle name="20% - Accent1 2 2 2 2 7 5 4 2" xfId="49571"/>
    <cellStyle name="20% - Accent1 2 2 2 2 7 5 5" xfId="33025"/>
    <cellStyle name="20% - Accent1 2 2 2 2 7 6" xfId="11320"/>
    <cellStyle name="20% - Accent1 2 2 2 2 7 6 2" xfId="23121"/>
    <cellStyle name="20% - Accent1 2 2 2 2 7 6 2 2" xfId="49572"/>
    <cellStyle name="20% - Accent1 2 2 2 2 7 6 3" xfId="36736"/>
    <cellStyle name="20% - Accent1 2 2 2 2 7 7" xfId="5709"/>
    <cellStyle name="20% - Accent1 2 2 2 2 7 7 2" xfId="49573"/>
    <cellStyle name="20% - Accent1 2 2 2 2 7 8" xfId="17510"/>
    <cellStyle name="20% - Accent1 2 2 2 2 7 8 2" xfId="49574"/>
    <cellStyle name="20% - Accent1 2 2 2 2 7 9" xfId="31125"/>
    <cellStyle name="20% - Accent1 2 2 2 2 8" xfId="582"/>
    <cellStyle name="20% - Accent1 2 2 2 2 8 2" xfId="1021"/>
    <cellStyle name="20% - Accent1 2 2 2 2 8 2 2" xfId="4324"/>
    <cellStyle name="20% - Accent1 2 2 2 2 8 2 2 2" xfId="11321"/>
    <cellStyle name="20% - Accent1 2 2 2 2 8 2 2 2 2" xfId="23122"/>
    <cellStyle name="20% - Accent1 2 2 2 2 8 2 2 2 2 2" xfId="49575"/>
    <cellStyle name="20% - Accent1 2 2 2 2 8 2 2 2 3" xfId="36737"/>
    <cellStyle name="20% - Accent1 2 2 2 2 8 2 2 3" xfId="9777"/>
    <cellStyle name="20% - Accent1 2 2 2 2 8 2 2 3 2" xfId="43104"/>
    <cellStyle name="20% - Accent1 2 2 2 2 8 2 2 4" xfId="21578"/>
    <cellStyle name="20% - Accent1 2 2 2 2 8 2 2 4 2" xfId="49576"/>
    <cellStyle name="20% - Accent1 2 2 2 2 8 2 2 5" xfId="35193"/>
    <cellStyle name="20% - Accent1 2 2 2 2 8 2 3" xfId="11322"/>
    <cellStyle name="20% - Accent1 2 2 2 2 8 2 3 2" xfId="23123"/>
    <cellStyle name="20% - Accent1 2 2 2 2 8 2 3 2 2" xfId="43105"/>
    <cellStyle name="20% - Accent1 2 2 2 2 8 2 3 3" xfId="29192"/>
    <cellStyle name="20% - Accent1 2 2 2 2 8 2 3 3 2" xfId="43106"/>
    <cellStyle name="20% - Accent1 2 2 2 2 8 2 3 4" xfId="29193"/>
    <cellStyle name="20% - Accent1 2 2 2 2 8 2 3 4 2" xfId="49577"/>
    <cellStyle name="20% - Accent1 2 2 2 2 8 2 3 5" xfId="36738"/>
    <cellStyle name="20% - Accent1 2 2 2 2 8 2 4" xfId="11323"/>
    <cellStyle name="20% - Accent1 2 2 2 2 8 2 4 2" xfId="23124"/>
    <cellStyle name="20% - Accent1 2 2 2 2 8 2 4 2 2" xfId="49578"/>
    <cellStyle name="20% - Accent1 2 2 2 2 8 2 4 3" xfId="36739"/>
    <cellStyle name="20% - Accent1 2 2 2 2 8 2 5" xfId="6475"/>
    <cellStyle name="20% - Accent1 2 2 2 2 8 2 5 2" xfId="43107"/>
    <cellStyle name="20% - Accent1 2 2 2 2 8 2 6" xfId="18276"/>
    <cellStyle name="20% - Accent1 2 2 2 2 8 2 6 2" xfId="49579"/>
    <cellStyle name="20% - Accent1 2 2 2 2 8 2 7" xfId="31891"/>
    <cellStyle name="20% - Accent1 2 2 2 2 8 3" xfId="2483"/>
    <cellStyle name="20% - Accent1 2 2 2 2 8 3 2" xfId="11324"/>
    <cellStyle name="20% - Accent1 2 2 2 2 8 3 2 2" xfId="23125"/>
    <cellStyle name="20% - Accent1 2 2 2 2 8 3 2 2 2" xfId="49580"/>
    <cellStyle name="20% - Accent1 2 2 2 2 8 3 2 3" xfId="36740"/>
    <cellStyle name="20% - Accent1 2 2 2 2 8 3 3" xfId="7936"/>
    <cellStyle name="20% - Accent1 2 2 2 2 8 3 3 2" xfId="43108"/>
    <cellStyle name="20% - Accent1 2 2 2 2 8 3 4" xfId="19737"/>
    <cellStyle name="20% - Accent1 2 2 2 2 8 3 4 2" xfId="49581"/>
    <cellStyle name="20% - Accent1 2 2 2 2 8 3 5" xfId="33352"/>
    <cellStyle name="20% - Accent1 2 2 2 2 8 4" xfId="11325"/>
    <cellStyle name="20% - Accent1 2 2 2 2 8 4 2" xfId="23126"/>
    <cellStyle name="20% - Accent1 2 2 2 2 8 4 2 2" xfId="43109"/>
    <cellStyle name="20% - Accent1 2 2 2 2 8 4 3" xfId="29194"/>
    <cellStyle name="20% - Accent1 2 2 2 2 8 4 3 2" xfId="43110"/>
    <cellStyle name="20% - Accent1 2 2 2 2 8 4 4" xfId="29195"/>
    <cellStyle name="20% - Accent1 2 2 2 2 8 4 4 2" xfId="49582"/>
    <cellStyle name="20% - Accent1 2 2 2 2 8 4 5" xfId="36741"/>
    <cellStyle name="20% - Accent1 2 2 2 2 8 5" xfId="11326"/>
    <cellStyle name="20% - Accent1 2 2 2 2 8 5 2" xfId="23127"/>
    <cellStyle name="20% - Accent1 2 2 2 2 8 5 2 2" xfId="49583"/>
    <cellStyle name="20% - Accent1 2 2 2 2 8 5 3" xfId="36742"/>
    <cellStyle name="20% - Accent1 2 2 2 2 8 6" xfId="6036"/>
    <cellStyle name="20% - Accent1 2 2 2 2 8 6 2" xfId="43111"/>
    <cellStyle name="20% - Accent1 2 2 2 2 8 7" xfId="17837"/>
    <cellStyle name="20% - Accent1 2 2 2 2 8 7 2" xfId="49584"/>
    <cellStyle name="20% - Accent1 2 2 2 2 8 8" xfId="31452"/>
    <cellStyle name="20% - Accent1 2 2 2 2 9" xfId="823"/>
    <cellStyle name="20% - Accent1 2 2 2 2 9 2" xfId="1022"/>
    <cellStyle name="20% - Accent1 2 2 2 2 9 2 2" xfId="4892"/>
    <cellStyle name="20% - Accent1 2 2 2 2 9 2 2 2" xfId="11327"/>
    <cellStyle name="20% - Accent1 2 2 2 2 9 2 2 2 2" xfId="23128"/>
    <cellStyle name="20% - Accent1 2 2 2 2 9 2 2 2 2 2" xfId="49585"/>
    <cellStyle name="20% - Accent1 2 2 2 2 9 2 2 2 3" xfId="36743"/>
    <cellStyle name="20% - Accent1 2 2 2 2 9 2 2 3" xfId="10345"/>
    <cellStyle name="20% - Accent1 2 2 2 2 9 2 2 3 2" xfId="43112"/>
    <cellStyle name="20% - Accent1 2 2 2 2 9 2 2 4" xfId="22146"/>
    <cellStyle name="20% - Accent1 2 2 2 2 9 2 2 4 2" xfId="49586"/>
    <cellStyle name="20% - Accent1 2 2 2 2 9 2 2 5" xfId="35761"/>
    <cellStyle name="20% - Accent1 2 2 2 2 9 2 3" xfId="11328"/>
    <cellStyle name="20% - Accent1 2 2 2 2 9 2 3 2" xfId="23129"/>
    <cellStyle name="20% - Accent1 2 2 2 2 9 2 3 2 2" xfId="43113"/>
    <cellStyle name="20% - Accent1 2 2 2 2 9 2 3 3" xfId="29196"/>
    <cellStyle name="20% - Accent1 2 2 2 2 9 2 3 3 2" xfId="43114"/>
    <cellStyle name="20% - Accent1 2 2 2 2 9 2 3 4" xfId="29197"/>
    <cellStyle name="20% - Accent1 2 2 2 2 9 2 3 4 2" xfId="49587"/>
    <cellStyle name="20% - Accent1 2 2 2 2 9 2 3 5" xfId="36744"/>
    <cellStyle name="20% - Accent1 2 2 2 2 9 2 4" xfId="11329"/>
    <cellStyle name="20% - Accent1 2 2 2 2 9 2 4 2" xfId="23130"/>
    <cellStyle name="20% - Accent1 2 2 2 2 9 2 4 2 2" xfId="49588"/>
    <cellStyle name="20% - Accent1 2 2 2 2 9 2 4 3" xfId="36745"/>
    <cellStyle name="20% - Accent1 2 2 2 2 9 2 5" xfId="6476"/>
    <cellStyle name="20% - Accent1 2 2 2 2 9 2 5 2" xfId="43115"/>
    <cellStyle name="20% - Accent1 2 2 2 2 9 2 6" xfId="18277"/>
    <cellStyle name="20% - Accent1 2 2 2 2 9 2 6 2" xfId="49589"/>
    <cellStyle name="20% - Accent1 2 2 2 2 9 2 7" xfId="31892"/>
    <cellStyle name="20% - Accent1 2 2 2 2 9 3" xfId="3051"/>
    <cellStyle name="20% - Accent1 2 2 2 2 9 3 2" xfId="11330"/>
    <cellStyle name="20% - Accent1 2 2 2 2 9 3 2 2" xfId="23131"/>
    <cellStyle name="20% - Accent1 2 2 2 2 9 3 2 2 2" xfId="49590"/>
    <cellStyle name="20% - Accent1 2 2 2 2 9 3 2 3" xfId="36746"/>
    <cellStyle name="20% - Accent1 2 2 2 2 9 3 3" xfId="8504"/>
    <cellStyle name="20% - Accent1 2 2 2 2 9 3 3 2" xfId="43116"/>
    <cellStyle name="20% - Accent1 2 2 2 2 9 3 4" xfId="20305"/>
    <cellStyle name="20% - Accent1 2 2 2 2 9 3 4 2" xfId="49591"/>
    <cellStyle name="20% - Accent1 2 2 2 2 9 3 5" xfId="33920"/>
    <cellStyle name="20% - Accent1 2 2 2 2 9 4" xfId="11331"/>
    <cellStyle name="20% - Accent1 2 2 2 2 9 4 2" xfId="23132"/>
    <cellStyle name="20% - Accent1 2 2 2 2 9 4 2 2" xfId="43117"/>
    <cellStyle name="20% - Accent1 2 2 2 2 9 4 3" xfId="29198"/>
    <cellStyle name="20% - Accent1 2 2 2 2 9 4 3 2" xfId="43118"/>
    <cellStyle name="20% - Accent1 2 2 2 2 9 4 4" xfId="29199"/>
    <cellStyle name="20% - Accent1 2 2 2 2 9 4 4 2" xfId="49592"/>
    <cellStyle name="20% - Accent1 2 2 2 2 9 4 5" xfId="36747"/>
    <cellStyle name="20% - Accent1 2 2 2 2 9 5" xfId="11332"/>
    <cellStyle name="20% - Accent1 2 2 2 2 9 5 2" xfId="23133"/>
    <cellStyle name="20% - Accent1 2 2 2 2 9 5 2 2" xfId="49593"/>
    <cellStyle name="20% - Accent1 2 2 2 2 9 5 3" xfId="36748"/>
    <cellStyle name="20% - Accent1 2 2 2 2 9 6" xfId="6277"/>
    <cellStyle name="20% - Accent1 2 2 2 2 9 6 2" xfId="43119"/>
    <cellStyle name="20% - Accent1 2 2 2 2 9 7" xfId="18078"/>
    <cellStyle name="20% - Accent1 2 2 2 2 9 7 2" xfId="49594"/>
    <cellStyle name="20% - Accent1 2 2 2 2 9 8" xfId="31693"/>
    <cellStyle name="20% - Accent1 2 2 2 3" xfId="42"/>
    <cellStyle name="20% - Accent1 2 2 2 3 10" xfId="1943"/>
    <cellStyle name="20% - Accent1 2 2 2 3 10 2" xfId="11333"/>
    <cellStyle name="20% - Accent1 2 2 2 3 10 2 2" xfId="23134"/>
    <cellStyle name="20% - Accent1 2 2 2 3 10 2 2 2" xfId="49595"/>
    <cellStyle name="20% - Accent1 2 2 2 3 10 2 3" xfId="36749"/>
    <cellStyle name="20% - Accent1 2 2 2 3 10 3" xfId="7396"/>
    <cellStyle name="20% - Accent1 2 2 2 3 10 3 2" xfId="43120"/>
    <cellStyle name="20% - Accent1 2 2 2 3 10 4" xfId="19197"/>
    <cellStyle name="20% - Accent1 2 2 2 3 10 4 2" xfId="49596"/>
    <cellStyle name="20% - Accent1 2 2 2 3 10 5" xfId="32812"/>
    <cellStyle name="20% - Accent1 2 2 2 3 11" xfId="11334"/>
    <cellStyle name="20% - Accent1 2 2 2 3 11 2" xfId="23135"/>
    <cellStyle name="20% - Accent1 2 2 2 3 11 2 2" xfId="49597"/>
    <cellStyle name="20% - Accent1 2 2 2 3 11 3" xfId="36750"/>
    <cellStyle name="20% - Accent1 2 2 2 3 12" xfId="5496"/>
    <cellStyle name="20% - Accent1 2 2 2 3 12 2" xfId="43121"/>
    <cellStyle name="20% - Accent1 2 2 2 3 13" xfId="17297"/>
    <cellStyle name="20% - Accent1 2 2 2 3 13 2" xfId="49598"/>
    <cellStyle name="20% - Accent1 2 2 2 3 14" xfId="30912"/>
    <cellStyle name="20% - Accent1 2 2 2 3 2" xfId="109"/>
    <cellStyle name="20% - Accent1 2 2 2 3 2 10" xfId="5563"/>
    <cellStyle name="20% - Accent1 2 2 2 3 2 10 2" xfId="43122"/>
    <cellStyle name="20% - Accent1 2 2 2 3 2 11" xfId="17364"/>
    <cellStyle name="20% - Accent1 2 2 2 3 2 11 2" xfId="49599"/>
    <cellStyle name="20% - Accent1 2 2 2 3 2 12" xfId="30979"/>
    <cellStyle name="20% - Accent1 2 2 2 3 2 2" xfId="194"/>
    <cellStyle name="20% - Accent1 2 2 2 3 2 2 10" xfId="31064"/>
    <cellStyle name="20% - Accent1 2 2 2 3 2 2 2" xfId="536"/>
    <cellStyle name="20% - Accent1 2 2 2 3 2 2 2 2" xfId="1023"/>
    <cellStyle name="20% - Accent1 2 2 2 3 2 2 2 2 2" xfId="4846"/>
    <cellStyle name="20% - Accent1 2 2 2 3 2 2 2 2 2 2" xfId="11335"/>
    <cellStyle name="20% - Accent1 2 2 2 3 2 2 2 2 2 2 2" xfId="23136"/>
    <cellStyle name="20% - Accent1 2 2 2 3 2 2 2 2 2 2 2 2" xfId="49600"/>
    <cellStyle name="20% - Accent1 2 2 2 3 2 2 2 2 2 2 3" xfId="36751"/>
    <cellStyle name="20% - Accent1 2 2 2 3 2 2 2 2 2 3" xfId="10299"/>
    <cellStyle name="20% - Accent1 2 2 2 3 2 2 2 2 2 3 2" xfId="43123"/>
    <cellStyle name="20% - Accent1 2 2 2 3 2 2 2 2 2 4" xfId="22100"/>
    <cellStyle name="20% - Accent1 2 2 2 3 2 2 2 2 2 4 2" xfId="49601"/>
    <cellStyle name="20% - Accent1 2 2 2 3 2 2 2 2 2 5" xfId="35715"/>
    <cellStyle name="20% - Accent1 2 2 2 3 2 2 2 2 3" xfId="3005"/>
    <cellStyle name="20% - Accent1 2 2 2 3 2 2 2 2 3 2" xfId="11336"/>
    <cellStyle name="20% - Accent1 2 2 2 3 2 2 2 2 3 2 2" xfId="23137"/>
    <cellStyle name="20% - Accent1 2 2 2 3 2 2 2 2 3 2 2 2" xfId="49602"/>
    <cellStyle name="20% - Accent1 2 2 2 3 2 2 2 2 3 2 3" xfId="36752"/>
    <cellStyle name="20% - Accent1 2 2 2 3 2 2 2 2 3 3" xfId="8458"/>
    <cellStyle name="20% - Accent1 2 2 2 3 2 2 2 2 3 3 2" xfId="43124"/>
    <cellStyle name="20% - Accent1 2 2 2 3 2 2 2 2 3 4" xfId="20259"/>
    <cellStyle name="20% - Accent1 2 2 2 3 2 2 2 2 3 4 2" xfId="49603"/>
    <cellStyle name="20% - Accent1 2 2 2 3 2 2 2 2 3 5" xfId="33874"/>
    <cellStyle name="20% - Accent1 2 2 2 3 2 2 2 2 4" xfId="11337"/>
    <cellStyle name="20% - Accent1 2 2 2 3 2 2 2 2 4 2" xfId="23138"/>
    <cellStyle name="20% - Accent1 2 2 2 3 2 2 2 2 4 2 2" xfId="49604"/>
    <cellStyle name="20% - Accent1 2 2 2 3 2 2 2 2 4 3" xfId="36753"/>
    <cellStyle name="20% - Accent1 2 2 2 3 2 2 2 2 5" xfId="6477"/>
    <cellStyle name="20% - Accent1 2 2 2 3 2 2 2 2 5 2" xfId="43125"/>
    <cellStyle name="20% - Accent1 2 2 2 3 2 2 2 2 6" xfId="18278"/>
    <cellStyle name="20% - Accent1 2 2 2 3 2 2 2 2 6 2" xfId="49605"/>
    <cellStyle name="20% - Accent1 2 2 2 3 2 2 2 2 7" xfId="31893"/>
    <cellStyle name="20% - Accent1 2 2 2 3 2 2 2 3" xfId="3573"/>
    <cellStyle name="20% - Accent1 2 2 2 3 2 2 2 3 2" xfId="5414"/>
    <cellStyle name="20% - Accent1 2 2 2 3 2 2 2 3 2 2" xfId="16884"/>
    <cellStyle name="20% - Accent1 2 2 2 3 2 2 2 3 2 2 2" xfId="28685"/>
    <cellStyle name="20% - Accent1 2 2 2 3 2 2 2 3 2 2 2 2" xfId="49606"/>
    <cellStyle name="20% - Accent1 2 2 2 3 2 2 2 3 2 2 3" xfId="42300"/>
    <cellStyle name="20% - Accent1 2 2 2 3 2 2 2 3 2 3" xfId="10867"/>
    <cellStyle name="20% - Accent1 2 2 2 3 2 2 2 3 2 3 2" xfId="49607"/>
    <cellStyle name="20% - Accent1 2 2 2 3 2 2 2 3 2 4" xfId="22668"/>
    <cellStyle name="20% - Accent1 2 2 2 3 2 2 2 3 2 4 2" xfId="49608"/>
    <cellStyle name="20% - Accent1 2 2 2 3 2 2 2 3 2 5" xfId="36283"/>
    <cellStyle name="20% - Accent1 2 2 2 3 2 2 2 3 3" xfId="11338"/>
    <cellStyle name="20% - Accent1 2 2 2 3 2 2 2 3 3 2" xfId="23139"/>
    <cellStyle name="20% - Accent1 2 2 2 3 2 2 2 3 3 2 2" xfId="49609"/>
    <cellStyle name="20% - Accent1 2 2 2 3 2 2 2 3 3 3" xfId="36754"/>
    <cellStyle name="20% - Accent1 2 2 2 3 2 2 2 3 4" xfId="9026"/>
    <cellStyle name="20% - Accent1 2 2 2 3 2 2 2 3 4 2" xfId="49610"/>
    <cellStyle name="20% - Accent1 2 2 2 3 2 2 2 3 5" xfId="20827"/>
    <cellStyle name="20% - Accent1 2 2 2 3 2 2 2 3 5 2" xfId="49611"/>
    <cellStyle name="20% - Accent1 2 2 2 3 2 2 2 3 6" xfId="34442"/>
    <cellStyle name="20% - Accent1 2 2 2 3 2 2 2 4" xfId="4278"/>
    <cellStyle name="20% - Accent1 2 2 2 3 2 2 2 4 2" xfId="11339"/>
    <cellStyle name="20% - Accent1 2 2 2 3 2 2 2 4 2 2" xfId="23140"/>
    <cellStyle name="20% - Accent1 2 2 2 3 2 2 2 4 2 2 2" xfId="49612"/>
    <cellStyle name="20% - Accent1 2 2 2 3 2 2 2 4 2 3" xfId="36755"/>
    <cellStyle name="20% - Accent1 2 2 2 3 2 2 2 4 3" xfId="9731"/>
    <cellStyle name="20% - Accent1 2 2 2 3 2 2 2 4 3 2" xfId="43126"/>
    <cellStyle name="20% - Accent1 2 2 2 3 2 2 2 4 4" xfId="21532"/>
    <cellStyle name="20% - Accent1 2 2 2 3 2 2 2 4 4 2" xfId="49613"/>
    <cellStyle name="20% - Accent1 2 2 2 3 2 2 2 4 5" xfId="35147"/>
    <cellStyle name="20% - Accent1 2 2 2 3 2 2 2 5" xfId="2437"/>
    <cellStyle name="20% - Accent1 2 2 2 3 2 2 2 5 2" xfId="16948"/>
    <cellStyle name="20% - Accent1 2 2 2 3 2 2 2 5 2 2" xfId="28749"/>
    <cellStyle name="20% - Accent1 2 2 2 3 2 2 2 5 2 2 2" xfId="49614"/>
    <cellStyle name="20% - Accent1 2 2 2 3 2 2 2 5 2 3" xfId="42364"/>
    <cellStyle name="20% - Accent1 2 2 2 3 2 2 2 5 3" xfId="7890"/>
    <cellStyle name="20% - Accent1 2 2 2 3 2 2 2 5 3 2" xfId="49615"/>
    <cellStyle name="20% - Accent1 2 2 2 3 2 2 2 5 4" xfId="19691"/>
    <cellStyle name="20% - Accent1 2 2 2 3 2 2 2 5 4 2" xfId="49616"/>
    <cellStyle name="20% - Accent1 2 2 2 3 2 2 2 5 5" xfId="33306"/>
    <cellStyle name="20% - Accent1 2 2 2 3 2 2 2 6" xfId="11340"/>
    <cellStyle name="20% - Accent1 2 2 2 3 2 2 2 6 2" xfId="23141"/>
    <cellStyle name="20% - Accent1 2 2 2 3 2 2 2 6 2 2" xfId="49617"/>
    <cellStyle name="20% - Accent1 2 2 2 3 2 2 2 6 3" xfId="36756"/>
    <cellStyle name="20% - Accent1 2 2 2 3 2 2 2 7" xfId="5990"/>
    <cellStyle name="20% - Accent1 2 2 2 3 2 2 2 7 2" xfId="49618"/>
    <cellStyle name="20% - Accent1 2 2 2 3 2 2 2 8" xfId="17791"/>
    <cellStyle name="20% - Accent1 2 2 2 3 2 2 2 8 2" xfId="49619"/>
    <cellStyle name="20% - Accent1 2 2 2 3 2 2 2 9" xfId="31406"/>
    <cellStyle name="20% - Accent1 2 2 2 3 2 2 3" xfId="762"/>
    <cellStyle name="20% - Accent1 2 2 2 3 2 2 3 2" xfId="1024"/>
    <cellStyle name="20% - Accent1 2 2 2 3 2 2 3 2 2" xfId="4504"/>
    <cellStyle name="20% - Accent1 2 2 2 3 2 2 3 2 2 2" xfId="11341"/>
    <cellStyle name="20% - Accent1 2 2 2 3 2 2 3 2 2 2 2" xfId="23142"/>
    <cellStyle name="20% - Accent1 2 2 2 3 2 2 3 2 2 2 2 2" xfId="49620"/>
    <cellStyle name="20% - Accent1 2 2 2 3 2 2 3 2 2 2 3" xfId="36757"/>
    <cellStyle name="20% - Accent1 2 2 2 3 2 2 3 2 2 3" xfId="9957"/>
    <cellStyle name="20% - Accent1 2 2 2 3 2 2 3 2 2 3 2" xfId="43127"/>
    <cellStyle name="20% - Accent1 2 2 2 3 2 2 3 2 2 4" xfId="21758"/>
    <cellStyle name="20% - Accent1 2 2 2 3 2 2 3 2 2 4 2" xfId="49621"/>
    <cellStyle name="20% - Accent1 2 2 2 3 2 2 3 2 2 5" xfId="35373"/>
    <cellStyle name="20% - Accent1 2 2 2 3 2 2 3 2 3" xfId="11342"/>
    <cellStyle name="20% - Accent1 2 2 2 3 2 2 3 2 3 2" xfId="23143"/>
    <cellStyle name="20% - Accent1 2 2 2 3 2 2 3 2 3 2 2" xfId="43128"/>
    <cellStyle name="20% - Accent1 2 2 2 3 2 2 3 2 3 3" xfId="29200"/>
    <cellStyle name="20% - Accent1 2 2 2 3 2 2 3 2 3 3 2" xfId="43129"/>
    <cellStyle name="20% - Accent1 2 2 2 3 2 2 3 2 3 4" xfId="29201"/>
    <cellStyle name="20% - Accent1 2 2 2 3 2 2 3 2 3 4 2" xfId="49622"/>
    <cellStyle name="20% - Accent1 2 2 2 3 2 2 3 2 3 5" xfId="36758"/>
    <cellStyle name="20% - Accent1 2 2 2 3 2 2 3 2 4" xfId="11343"/>
    <cellStyle name="20% - Accent1 2 2 2 3 2 2 3 2 4 2" xfId="23144"/>
    <cellStyle name="20% - Accent1 2 2 2 3 2 2 3 2 4 2 2" xfId="49623"/>
    <cellStyle name="20% - Accent1 2 2 2 3 2 2 3 2 4 3" xfId="36759"/>
    <cellStyle name="20% - Accent1 2 2 2 3 2 2 3 2 5" xfId="6478"/>
    <cellStyle name="20% - Accent1 2 2 2 3 2 2 3 2 5 2" xfId="43130"/>
    <cellStyle name="20% - Accent1 2 2 2 3 2 2 3 2 6" xfId="18279"/>
    <cellStyle name="20% - Accent1 2 2 2 3 2 2 3 2 6 2" xfId="49624"/>
    <cellStyle name="20% - Accent1 2 2 2 3 2 2 3 2 7" xfId="31894"/>
    <cellStyle name="20% - Accent1 2 2 2 3 2 2 3 3" xfId="2663"/>
    <cellStyle name="20% - Accent1 2 2 2 3 2 2 3 3 2" xfId="11344"/>
    <cellStyle name="20% - Accent1 2 2 2 3 2 2 3 3 2 2" xfId="23145"/>
    <cellStyle name="20% - Accent1 2 2 2 3 2 2 3 3 2 2 2" xfId="49625"/>
    <cellStyle name="20% - Accent1 2 2 2 3 2 2 3 3 2 3" xfId="36760"/>
    <cellStyle name="20% - Accent1 2 2 2 3 2 2 3 3 3" xfId="8116"/>
    <cellStyle name="20% - Accent1 2 2 2 3 2 2 3 3 3 2" xfId="43131"/>
    <cellStyle name="20% - Accent1 2 2 2 3 2 2 3 3 4" xfId="19917"/>
    <cellStyle name="20% - Accent1 2 2 2 3 2 2 3 3 4 2" xfId="49626"/>
    <cellStyle name="20% - Accent1 2 2 2 3 2 2 3 3 5" xfId="33532"/>
    <cellStyle name="20% - Accent1 2 2 2 3 2 2 3 4" xfId="11345"/>
    <cellStyle name="20% - Accent1 2 2 2 3 2 2 3 4 2" xfId="23146"/>
    <cellStyle name="20% - Accent1 2 2 2 3 2 2 3 4 2 2" xfId="43132"/>
    <cellStyle name="20% - Accent1 2 2 2 3 2 2 3 4 3" xfId="29202"/>
    <cellStyle name="20% - Accent1 2 2 2 3 2 2 3 4 3 2" xfId="43133"/>
    <cellStyle name="20% - Accent1 2 2 2 3 2 2 3 4 4" xfId="29203"/>
    <cellStyle name="20% - Accent1 2 2 2 3 2 2 3 4 4 2" xfId="49627"/>
    <cellStyle name="20% - Accent1 2 2 2 3 2 2 3 4 5" xfId="36761"/>
    <cellStyle name="20% - Accent1 2 2 2 3 2 2 3 5" xfId="11346"/>
    <cellStyle name="20% - Accent1 2 2 2 3 2 2 3 5 2" xfId="23147"/>
    <cellStyle name="20% - Accent1 2 2 2 3 2 2 3 5 2 2" xfId="49628"/>
    <cellStyle name="20% - Accent1 2 2 2 3 2 2 3 5 3" xfId="36762"/>
    <cellStyle name="20% - Accent1 2 2 2 3 2 2 3 6" xfId="6216"/>
    <cellStyle name="20% - Accent1 2 2 2 3 2 2 3 6 2" xfId="43134"/>
    <cellStyle name="20% - Accent1 2 2 2 3 2 2 3 7" xfId="18017"/>
    <cellStyle name="20% - Accent1 2 2 2 3 2 2 3 7 2" xfId="49629"/>
    <cellStyle name="20% - Accent1 2 2 2 3 2 2 3 8" xfId="31632"/>
    <cellStyle name="20% - Accent1 2 2 2 3 2 2 4" xfId="1025"/>
    <cellStyle name="20% - Accent1 2 2 2 3 2 2 4 2" xfId="5072"/>
    <cellStyle name="20% - Accent1 2 2 2 3 2 2 4 2 2" xfId="11347"/>
    <cellStyle name="20% - Accent1 2 2 2 3 2 2 4 2 2 2" xfId="23148"/>
    <cellStyle name="20% - Accent1 2 2 2 3 2 2 4 2 2 2 2" xfId="49630"/>
    <cellStyle name="20% - Accent1 2 2 2 3 2 2 4 2 2 3" xfId="36763"/>
    <cellStyle name="20% - Accent1 2 2 2 3 2 2 4 2 3" xfId="10525"/>
    <cellStyle name="20% - Accent1 2 2 2 3 2 2 4 2 3 2" xfId="43135"/>
    <cellStyle name="20% - Accent1 2 2 2 3 2 2 4 2 4" xfId="22326"/>
    <cellStyle name="20% - Accent1 2 2 2 3 2 2 4 2 4 2" xfId="49631"/>
    <cellStyle name="20% - Accent1 2 2 2 3 2 2 4 2 5" xfId="35941"/>
    <cellStyle name="20% - Accent1 2 2 2 3 2 2 4 3" xfId="3231"/>
    <cellStyle name="20% - Accent1 2 2 2 3 2 2 4 3 2" xfId="11348"/>
    <cellStyle name="20% - Accent1 2 2 2 3 2 2 4 3 2 2" xfId="23149"/>
    <cellStyle name="20% - Accent1 2 2 2 3 2 2 4 3 2 2 2" xfId="49632"/>
    <cellStyle name="20% - Accent1 2 2 2 3 2 2 4 3 2 3" xfId="36764"/>
    <cellStyle name="20% - Accent1 2 2 2 3 2 2 4 3 3" xfId="8684"/>
    <cellStyle name="20% - Accent1 2 2 2 3 2 2 4 3 3 2" xfId="43136"/>
    <cellStyle name="20% - Accent1 2 2 2 3 2 2 4 3 4" xfId="20485"/>
    <cellStyle name="20% - Accent1 2 2 2 3 2 2 4 3 4 2" xfId="49633"/>
    <cellStyle name="20% - Accent1 2 2 2 3 2 2 4 3 5" xfId="34100"/>
    <cellStyle name="20% - Accent1 2 2 2 3 2 2 4 4" xfId="11349"/>
    <cellStyle name="20% - Accent1 2 2 2 3 2 2 4 4 2" xfId="23150"/>
    <cellStyle name="20% - Accent1 2 2 2 3 2 2 4 4 2 2" xfId="49634"/>
    <cellStyle name="20% - Accent1 2 2 2 3 2 2 4 4 3" xfId="36765"/>
    <cellStyle name="20% - Accent1 2 2 2 3 2 2 4 5" xfId="6479"/>
    <cellStyle name="20% - Accent1 2 2 2 3 2 2 4 5 2" xfId="43137"/>
    <cellStyle name="20% - Accent1 2 2 2 3 2 2 4 6" xfId="18280"/>
    <cellStyle name="20% - Accent1 2 2 2 3 2 2 4 6 2" xfId="49635"/>
    <cellStyle name="20% - Accent1 2 2 2 3 2 2 4 7" xfId="31895"/>
    <cellStyle name="20% - Accent1 2 2 2 3 2 2 5" xfId="3936"/>
    <cellStyle name="20% - Accent1 2 2 2 3 2 2 5 2" xfId="11350"/>
    <cellStyle name="20% - Accent1 2 2 2 3 2 2 5 2 2" xfId="23151"/>
    <cellStyle name="20% - Accent1 2 2 2 3 2 2 5 2 2 2" xfId="49636"/>
    <cellStyle name="20% - Accent1 2 2 2 3 2 2 5 2 3" xfId="36766"/>
    <cellStyle name="20% - Accent1 2 2 2 3 2 2 5 3" xfId="9389"/>
    <cellStyle name="20% - Accent1 2 2 2 3 2 2 5 3 2" xfId="43138"/>
    <cellStyle name="20% - Accent1 2 2 2 3 2 2 5 4" xfId="21190"/>
    <cellStyle name="20% - Accent1 2 2 2 3 2 2 5 4 2" xfId="49637"/>
    <cellStyle name="20% - Accent1 2 2 2 3 2 2 5 5" xfId="34805"/>
    <cellStyle name="20% - Accent1 2 2 2 3 2 2 6" xfId="2095"/>
    <cellStyle name="20% - Accent1 2 2 2 3 2 2 6 2" xfId="11351"/>
    <cellStyle name="20% - Accent1 2 2 2 3 2 2 6 2 2" xfId="23152"/>
    <cellStyle name="20% - Accent1 2 2 2 3 2 2 6 2 2 2" xfId="49638"/>
    <cellStyle name="20% - Accent1 2 2 2 3 2 2 6 2 3" xfId="36767"/>
    <cellStyle name="20% - Accent1 2 2 2 3 2 2 6 3" xfId="7548"/>
    <cellStyle name="20% - Accent1 2 2 2 3 2 2 6 3 2" xfId="43139"/>
    <cellStyle name="20% - Accent1 2 2 2 3 2 2 6 4" xfId="19349"/>
    <cellStyle name="20% - Accent1 2 2 2 3 2 2 6 4 2" xfId="49639"/>
    <cellStyle name="20% - Accent1 2 2 2 3 2 2 6 5" xfId="32964"/>
    <cellStyle name="20% - Accent1 2 2 2 3 2 2 7" xfId="11352"/>
    <cellStyle name="20% - Accent1 2 2 2 3 2 2 7 2" xfId="23153"/>
    <cellStyle name="20% - Accent1 2 2 2 3 2 2 7 2 2" xfId="49640"/>
    <cellStyle name="20% - Accent1 2 2 2 3 2 2 7 3" xfId="36768"/>
    <cellStyle name="20% - Accent1 2 2 2 3 2 2 8" xfId="5648"/>
    <cellStyle name="20% - Accent1 2 2 2 3 2 2 8 2" xfId="43140"/>
    <cellStyle name="20% - Accent1 2 2 2 3 2 2 9" xfId="17449"/>
    <cellStyle name="20% - Accent1 2 2 2 3 2 2 9 2" xfId="49641"/>
    <cellStyle name="20% - Accent1 2 2 2 3 2 3" xfId="399"/>
    <cellStyle name="20% - Accent1 2 2 2 3 2 3 2" xfId="1026"/>
    <cellStyle name="20% - Accent1 2 2 2 3 2 3 2 2" xfId="4709"/>
    <cellStyle name="20% - Accent1 2 2 2 3 2 3 2 2 2" xfId="11353"/>
    <cellStyle name="20% - Accent1 2 2 2 3 2 3 2 2 2 2" xfId="23154"/>
    <cellStyle name="20% - Accent1 2 2 2 3 2 3 2 2 2 2 2" xfId="49642"/>
    <cellStyle name="20% - Accent1 2 2 2 3 2 3 2 2 2 3" xfId="36769"/>
    <cellStyle name="20% - Accent1 2 2 2 3 2 3 2 2 3" xfId="10162"/>
    <cellStyle name="20% - Accent1 2 2 2 3 2 3 2 2 3 2" xfId="43141"/>
    <cellStyle name="20% - Accent1 2 2 2 3 2 3 2 2 4" xfId="21963"/>
    <cellStyle name="20% - Accent1 2 2 2 3 2 3 2 2 4 2" xfId="49643"/>
    <cellStyle name="20% - Accent1 2 2 2 3 2 3 2 2 5" xfId="35578"/>
    <cellStyle name="20% - Accent1 2 2 2 3 2 3 2 3" xfId="2868"/>
    <cellStyle name="20% - Accent1 2 2 2 3 2 3 2 3 2" xfId="11354"/>
    <cellStyle name="20% - Accent1 2 2 2 3 2 3 2 3 2 2" xfId="23155"/>
    <cellStyle name="20% - Accent1 2 2 2 3 2 3 2 3 2 2 2" xfId="49644"/>
    <cellStyle name="20% - Accent1 2 2 2 3 2 3 2 3 2 3" xfId="36770"/>
    <cellStyle name="20% - Accent1 2 2 2 3 2 3 2 3 3" xfId="8321"/>
    <cellStyle name="20% - Accent1 2 2 2 3 2 3 2 3 3 2" xfId="43142"/>
    <cellStyle name="20% - Accent1 2 2 2 3 2 3 2 3 4" xfId="20122"/>
    <cellStyle name="20% - Accent1 2 2 2 3 2 3 2 3 4 2" xfId="49645"/>
    <cellStyle name="20% - Accent1 2 2 2 3 2 3 2 3 5" xfId="33737"/>
    <cellStyle name="20% - Accent1 2 2 2 3 2 3 2 4" xfId="11355"/>
    <cellStyle name="20% - Accent1 2 2 2 3 2 3 2 4 2" xfId="23156"/>
    <cellStyle name="20% - Accent1 2 2 2 3 2 3 2 4 2 2" xfId="49646"/>
    <cellStyle name="20% - Accent1 2 2 2 3 2 3 2 4 3" xfId="36771"/>
    <cellStyle name="20% - Accent1 2 2 2 3 2 3 2 5" xfId="6480"/>
    <cellStyle name="20% - Accent1 2 2 2 3 2 3 2 5 2" xfId="43143"/>
    <cellStyle name="20% - Accent1 2 2 2 3 2 3 2 6" xfId="18281"/>
    <cellStyle name="20% - Accent1 2 2 2 3 2 3 2 6 2" xfId="49647"/>
    <cellStyle name="20% - Accent1 2 2 2 3 2 3 2 7" xfId="31896"/>
    <cellStyle name="20% - Accent1 2 2 2 3 2 3 3" xfId="3436"/>
    <cellStyle name="20% - Accent1 2 2 2 3 2 3 3 2" xfId="5277"/>
    <cellStyle name="20% - Accent1 2 2 2 3 2 3 3 2 2" xfId="16747"/>
    <cellStyle name="20% - Accent1 2 2 2 3 2 3 3 2 2 2" xfId="28548"/>
    <cellStyle name="20% - Accent1 2 2 2 3 2 3 3 2 2 2 2" xfId="49648"/>
    <cellStyle name="20% - Accent1 2 2 2 3 2 3 3 2 2 3" xfId="42163"/>
    <cellStyle name="20% - Accent1 2 2 2 3 2 3 3 2 3" xfId="10730"/>
    <cellStyle name="20% - Accent1 2 2 2 3 2 3 3 2 3 2" xfId="49649"/>
    <cellStyle name="20% - Accent1 2 2 2 3 2 3 3 2 4" xfId="22531"/>
    <cellStyle name="20% - Accent1 2 2 2 3 2 3 3 2 4 2" xfId="49650"/>
    <cellStyle name="20% - Accent1 2 2 2 3 2 3 3 2 5" xfId="36146"/>
    <cellStyle name="20% - Accent1 2 2 2 3 2 3 3 3" xfId="11356"/>
    <cellStyle name="20% - Accent1 2 2 2 3 2 3 3 3 2" xfId="23157"/>
    <cellStyle name="20% - Accent1 2 2 2 3 2 3 3 3 2 2" xfId="49651"/>
    <cellStyle name="20% - Accent1 2 2 2 3 2 3 3 3 3" xfId="36772"/>
    <cellStyle name="20% - Accent1 2 2 2 3 2 3 3 4" xfId="8889"/>
    <cellStyle name="20% - Accent1 2 2 2 3 2 3 3 4 2" xfId="49652"/>
    <cellStyle name="20% - Accent1 2 2 2 3 2 3 3 5" xfId="20690"/>
    <cellStyle name="20% - Accent1 2 2 2 3 2 3 3 5 2" xfId="49653"/>
    <cellStyle name="20% - Accent1 2 2 2 3 2 3 3 6" xfId="34305"/>
    <cellStyle name="20% - Accent1 2 2 2 3 2 3 4" xfId="4141"/>
    <cellStyle name="20% - Accent1 2 2 2 3 2 3 4 2" xfId="11357"/>
    <cellStyle name="20% - Accent1 2 2 2 3 2 3 4 2 2" xfId="23158"/>
    <cellStyle name="20% - Accent1 2 2 2 3 2 3 4 2 2 2" xfId="49654"/>
    <cellStyle name="20% - Accent1 2 2 2 3 2 3 4 2 3" xfId="36773"/>
    <cellStyle name="20% - Accent1 2 2 2 3 2 3 4 3" xfId="9594"/>
    <cellStyle name="20% - Accent1 2 2 2 3 2 3 4 3 2" xfId="43144"/>
    <cellStyle name="20% - Accent1 2 2 2 3 2 3 4 4" xfId="21395"/>
    <cellStyle name="20% - Accent1 2 2 2 3 2 3 4 4 2" xfId="49655"/>
    <cellStyle name="20% - Accent1 2 2 2 3 2 3 4 5" xfId="35010"/>
    <cellStyle name="20% - Accent1 2 2 2 3 2 3 5" xfId="2300"/>
    <cellStyle name="20% - Accent1 2 2 2 3 2 3 5 2" xfId="16949"/>
    <cellStyle name="20% - Accent1 2 2 2 3 2 3 5 2 2" xfId="28750"/>
    <cellStyle name="20% - Accent1 2 2 2 3 2 3 5 2 2 2" xfId="49656"/>
    <cellStyle name="20% - Accent1 2 2 2 3 2 3 5 2 3" xfId="42365"/>
    <cellStyle name="20% - Accent1 2 2 2 3 2 3 5 3" xfId="7753"/>
    <cellStyle name="20% - Accent1 2 2 2 3 2 3 5 3 2" xfId="49657"/>
    <cellStyle name="20% - Accent1 2 2 2 3 2 3 5 4" xfId="19554"/>
    <cellStyle name="20% - Accent1 2 2 2 3 2 3 5 4 2" xfId="49658"/>
    <cellStyle name="20% - Accent1 2 2 2 3 2 3 5 5" xfId="33169"/>
    <cellStyle name="20% - Accent1 2 2 2 3 2 3 6" xfId="11358"/>
    <cellStyle name="20% - Accent1 2 2 2 3 2 3 6 2" xfId="23159"/>
    <cellStyle name="20% - Accent1 2 2 2 3 2 3 6 2 2" xfId="49659"/>
    <cellStyle name="20% - Accent1 2 2 2 3 2 3 6 3" xfId="36774"/>
    <cellStyle name="20% - Accent1 2 2 2 3 2 3 7" xfId="5853"/>
    <cellStyle name="20% - Accent1 2 2 2 3 2 3 7 2" xfId="49660"/>
    <cellStyle name="20% - Accent1 2 2 2 3 2 3 8" xfId="17654"/>
    <cellStyle name="20% - Accent1 2 2 2 3 2 3 8 2" xfId="49661"/>
    <cellStyle name="20% - Accent1 2 2 2 3 2 3 9" xfId="31269"/>
    <cellStyle name="20% - Accent1 2 2 2 3 2 4" xfId="677"/>
    <cellStyle name="20% - Accent1 2 2 2 3 2 4 2" xfId="1027"/>
    <cellStyle name="20% - Accent1 2 2 2 3 2 4 2 2" xfId="4419"/>
    <cellStyle name="20% - Accent1 2 2 2 3 2 4 2 2 2" xfId="11359"/>
    <cellStyle name="20% - Accent1 2 2 2 3 2 4 2 2 2 2" xfId="23160"/>
    <cellStyle name="20% - Accent1 2 2 2 3 2 4 2 2 2 2 2" xfId="49662"/>
    <cellStyle name="20% - Accent1 2 2 2 3 2 4 2 2 2 3" xfId="36775"/>
    <cellStyle name="20% - Accent1 2 2 2 3 2 4 2 2 3" xfId="9872"/>
    <cellStyle name="20% - Accent1 2 2 2 3 2 4 2 2 3 2" xfId="43145"/>
    <cellStyle name="20% - Accent1 2 2 2 3 2 4 2 2 4" xfId="21673"/>
    <cellStyle name="20% - Accent1 2 2 2 3 2 4 2 2 4 2" xfId="49663"/>
    <cellStyle name="20% - Accent1 2 2 2 3 2 4 2 2 5" xfId="35288"/>
    <cellStyle name="20% - Accent1 2 2 2 3 2 4 2 3" xfId="11360"/>
    <cellStyle name="20% - Accent1 2 2 2 3 2 4 2 3 2" xfId="23161"/>
    <cellStyle name="20% - Accent1 2 2 2 3 2 4 2 3 2 2" xfId="43146"/>
    <cellStyle name="20% - Accent1 2 2 2 3 2 4 2 3 3" xfId="29204"/>
    <cellStyle name="20% - Accent1 2 2 2 3 2 4 2 3 3 2" xfId="43147"/>
    <cellStyle name="20% - Accent1 2 2 2 3 2 4 2 3 4" xfId="29205"/>
    <cellStyle name="20% - Accent1 2 2 2 3 2 4 2 3 4 2" xfId="49664"/>
    <cellStyle name="20% - Accent1 2 2 2 3 2 4 2 3 5" xfId="36776"/>
    <cellStyle name="20% - Accent1 2 2 2 3 2 4 2 4" xfId="11361"/>
    <cellStyle name="20% - Accent1 2 2 2 3 2 4 2 4 2" xfId="23162"/>
    <cellStyle name="20% - Accent1 2 2 2 3 2 4 2 4 2 2" xfId="49665"/>
    <cellStyle name="20% - Accent1 2 2 2 3 2 4 2 4 3" xfId="36777"/>
    <cellStyle name="20% - Accent1 2 2 2 3 2 4 2 5" xfId="6481"/>
    <cellStyle name="20% - Accent1 2 2 2 3 2 4 2 5 2" xfId="43148"/>
    <cellStyle name="20% - Accent1 2 2 2 3 2 4 2 6" xfId="18282"/>
    <cellStyle name="20% - Accent1 2 2 2 3 2 4 2 6 2" xfId="49666"/>
    <cellStyle name="20% - Accent1 2 2 2 3 2 4 2 7" xfId="31897"/>
    <cellStyle name="20% - Accent1 2 2 2 3 2 4 3" xfId="2578"/>
    <cellStyle name="20% - Accent1 2 2 2 3 2 4 3 2" xfId="11362"/>
    <cellStyle name="20% - Accent1 2 2 2 3 2 4 3 2 2" xfId="23163"/>
    <cellStyle name="20% - Accent1 2 2 2 3 2 4 3 2 2 2" xfId="49667"/>
    <cellStyle name="20% - Accent1 2 2 2 3 2 4 3 2 3" xfId="36778"/>
    <cellStyle name="20% - Accent1 2 2 2 3 2 4 3 3" xfId="8031"/>
    <cellStyle name="20% - Accent1 2 2 2 3 2 4 3 3 2" xfId="43149"/>
    <cellStyle name="20% - Accent1 2 2 2 3 2 4 3 4" xfId="19832"/>
    <cellStyle name="20% - Accent1 2 2 2 3 2 4 3 4 2" xfId="49668"/>
    <cellStyle name="20% - Accent1 2 2 2 3 2 4 3 5" xfId="33447"/>
    <cellStyle name="20% - Accent1 2 2 2 3 2 4 4" xfId="11363"/>
    <cellStyle name="20% - Accent1 2 2 2 3 2 4 4 2" xfId="23164"/>
    <cellStyle name="20% - Accent1 2 2 2 3 2 4 4 2 2" xfId="43150"/>
    <cellStyle name="20% - Accent1 2 2 2 3 2 4 4 3" xfId="29206"/>
    <cellStyle name="20% - Accent1 2 2 2 3 2 4 4 3 2" xfId="43151"/>
    <cellStyle name="20% - Accent1 2 2 2 3 2 4 4 4" xfId="29207"/>
    <cellStyle name="20% - Accent1 2 2 2 3 2 4 4 4 2" xfId="49669"/>
    <cellStyle name="20% - Accent1 2 2 2 3 2 4 4 5" xfId="36779"/>
    <cellStyle name="20% - Accent1 2 2 2 3 2 4 5" xfId="11364"/>
    <cellStyle name="20% - Accent1 2 2 2 3 2 4 5 2" xfId="23165"/>
    <cellStyle name="20% - Accent1 2 2 2 3 2 4 5 2 2" xfId="49670"/>
    <cellStyle name="20% - Accent1 2 2 2 3 2 4 5 3" xfId="36780"/>
    <cellStyle name="20% - Accent1 2 2 2 3 2 4 6" xfId="6131"/>
    <cellStyle name="20% - Accent1 2 2 2 3 2 4 6 2" xfId="43152"/>
    <cellStyle name="20% - Accent1 2 2 2 3 2 4 7" xfId="17932"/>
    <cellStyle name="20% - Accent1 2 2 2 3 2 4 7 2" xfId="49671"/>
    <cellStyle name="20% - Accent1 2 2 2 3 2 4 8" xfId="31547"/>
    <cellStyle name="20% - Accent1 2 2 2 3 2 5" xfId="918"/>
    <cellStyle name="20% - Accent1 2 2 2 3 2 5 2" xfId="1028"/>
    <cellStyle name="20% - Accent1 2 2 2 3 2 5 2 2" xfId="4987"/>
    <cellStyle name="20% - Accent1 2 2 2 3 2 5 2 2 2" xfId="11365"/>
    <cellStyle name="20% - Accent1 2 2 2 3 2 5 2 2 2 2" xfId="23166"/>
    <cellStyle name="20% - Accent1 2 2 2 3 2 5 2 2 2 2 2" xfId="49672"/>
    <cellStyle name="20% - Accent1 2 2 2 3 2 5 2 2 2 3" xfId="36781"/>
    <cellStyle name="20% - Accent1 2 2 2 3 2 5 2 2 3" xfId="10440"/>
    <cellStyle name="20% - Accent1 2 2 2 3 2 5 2 2 3 2" xfId="43153"/>
    <cellStyle name="20% - Accent1 2 2 2 3 2 5 2 2 4" xfId="22241"/>
    <cellStyle name="20% - Accent1 2 2 2 3 2 5 2 2 4 2" xfId="49673"/>
    <cellStyle name="20% - Accent1 2 2 2 3 2 5 2 2 5" xfId="35856"/>
    <cellStyle name="20% - Accent1 2 2 2 3 2 5 2 3" xfId="11366"/>
    <cellStyle name="20% - Accent1 2 2 2 3 2 5 2 3 2" xfId="23167"/>
    <cellStyle name="20% - Accent1 2 2 2 3 2 5 2 3 2 2" xfId="43154"/>
    <cellStyle name="20% - Accent1 2 2 2 3 2 5 2 3 3" xfId="29208"/>
    <cellStyle name="20% - Accent1 2 2 2 3 2 5 2 3 3 2" xfId="43155"/>
    <cellStyle name="20% - Accent1 2 2 2 3 2 5 2 3 4" xfId="29209"/>
    <cellStyle name="20% - Accent1 2 2 2 3 2 5 2 3 4 2" xfId="49674"/>
    <cellStyle name="20% - Accent1 2 2 2 3 2 5 2 3 5" xfId="36782"/>
    <cellStyle name="20% - Accent1 2 2 2 3 2 5 2 4" xfId="11367"/>
    <cellStyle name="20% - Accent1 2 2 2 3 2 5 2 4 2" xfId="23168"/>
    <cellStyle name="20% - Accent1 2 2 2 3 2 5 2 4 2 2" xfId="49675"/>
    <cellStyle name="20% - Accent1 2 2 2 3 2 5 2 4 3" xfId="36783"/>
    <cellStyle name="20% - Accent1 2 2 2 3 2 5 2 5" xfId="6482"/>
    <cellStyle name="20% - Accent1 2 2 2 3 2 5 2 5 2" xfId="43156"/>
    <cellStyle name="20% - Accent1 2 2 2 3 2 5 2 6" xfId="18283"/>
    <cellStyle name="20% - Accent1 2 2 2 3 2 5 2 6 2" xfId="49676"/>
    <cellStyle name="20% - Accent1 2 2 2 3 2 5 2 7" xfId="31898"/>
    <cellStyle name="20% - Accent1 2 2 2 3 2 5 3" xfId="3146"/>
    <cellStyle name="20% - Accent1 2 2 2 3 2 5 3 2" xfId="11368"/>
    <cellStyle name="20% - Accent1 2 2 2 3 2 5 3 2 2" xfId="23169"/>
    <cellStyle name="20% - Accent1 2 2 2 3 2 5 3 2 2 2" xfId="49677"/>
    <cellStyle name="20% - Accent1 2 2 2 3 2 5 3 2 3" xfId="36784"/>
    <cellStyle name="20% - Accent1 2 2 2 3 2 5 3 3" xfId="8599"/>
    <cellStyle name="20% - Accent1 2 2 2 3 2 5 3 3 2" xfId="43157"/>
    <cellStyle name="20% - Accent1 2 2 2 3 2 5 3 4" xfId="20400"/>
    <cellStyle name="20% - Accent1 2 2 2 3 2 5 3 4 2" xfId="49678"/>
    <cellStyle name="20% - Accent1 2 2 2 3 2 5 3 5" xfId="34015"/>
    <cellStyle name="20% - Accent1 2 2 2 3 2 5 4" xfId="11369"/>
    <cellStyle name="20% - Accent1 2 2 2 3 2 5 4 2" xfId="23170"/>
    <cellStyle name="20% - Accent1 2 2 2 3 2 5 4 2 2" xfId="43158"/>
    <cellStyle name="20% - Accent1 2 2 2 3 2 5 4 3" xfId="29210"/>
    <cellStyle name="20% - Accent1 2 2 2 3 2 5 4 3 2" xfId="43159"/>
    <cellStyle name="20% - Accent1 2 2 2 3 2 5 4 4" xfId="29211"/>
    <cellStyle name="20% - Accent1 2 2 2 3 2 5 4 4 2" xfId="49679"/>
    <cellStyle name="20% - Accent1 2 2 2 3 2 5 4 5" xfId="36785"/>
    <cellStyle name="20% - Accent1 2 2 2 3 2 5 5" xfId="11370"/>
    <cellStyle name="20% - Accent1 2 2 2 3 2 5 5 2" xfId="23171"/>
    <cellStyle name="20% - Accent1 2 2 2 3 2 5 5 2 2" xfId="49680"/>
    <cellStyle name="20% - Accent1 2 2 2 3 2 5 5 3" xfId="36786"/>
    <cellStyle name="20% - Accent1 2 2 2 3 2 5 6" xfId="6372"/>
    <cellStyle name="20% - Accent1 2 2 2 3 2 5 6 2" xfId="43160"/>
    <cellStyle name="20% - Accent1 2 2 2 3 2 5 7" xfId="18173"/>
    <cellStyle name="20% - Accent1 2 2 2 3 2 5 7 2" xfId="49681"/>
    <cellStyle name="20% - Accent1 2 2 2 3 2 5 8" xfId="31788"/>
    <cellStyle name="20% - Accent1 2 2 2 3 2 6" xfId="1029"/>
    <cellStyle name="20% - Accent1 2 2 2 3 2 6 2" xfId="3851"/>
    <cellStyle name="20% - Accent1 2 2 2 3 2 6 2 2" xfId="11371"/>
    <cellStyle name="20% - Accent1 2 2 2 3 2 6 2 2 2" xfId="23172"/>
    <cellStyle name="20% - Accent1 2 2 2 3 2 6 2 2 2 2" xfId="49682"/>
    <cellStyle name="20% - Accent1 2 2 2 3 2 6 2 2 3" xfId="36787"/>
    <cellStyle name="20% - Accent1 2 2 2 3 2 6 2 3" xfId="9304"/>
    <cellStyle name="20% - Accent1 2 2 2 3 2 6 2 3 2" xfId="43161"/>
    <cellStyle name="20% - Accent1 2 2 2 3 2 6 2 4" xfId="21105"/>
    <cellStyle name="20% - Accent1 2 2 2 3 2 6 2 4 2" xfId="49683"/>
    <cellStyle name="20% - Accent1 2 2 2 3 2 6 2 5" xfId="34720"/>
    <cellStyle name="20% - Accent1 2 2 2 3 2 6 3" xfId="11372"/>
    <cellStyle name="20% - Accent1 2 2 2 3 2 6 3 2" xfId="23173"/>
    <cellStyle name="20% - Accent1 2 2 2 3 2 6 3 2 2" xfId="43162"/>
    <cellStyle name="20% - Accent1 2 2 2 3 2 6 3 3" xfId="29212"/>
    <cellStyle name="20% - Accent1 2 2 2 3 2 6 3 3 2" xfId="43163"/>
    <cellStyle name="20% - Accent1 2 2 2 3 2 6 3 4" xfId="29213"/>
    <cellStyle name="20% - Accent1 2 2 2 3 2 6 3 4 2" xfId="49684"/>
    <cellStyle name="20% - Accent1 2 2 2 3 2 6 3 5" xfId="36788"/>
    <cellStyle name="20% - Accent1 2 2 2 3 2 6 4" xfId="11373"/>
    <cellStyle name="20% - Accent1 2 2 2 3 2 6 4 2" xfId="23174"/>
    <cellStyle name="20% - Accent1 2 2 2 3 2 6 4 2 2" xfId="49685"/>
    <cellStyle name="20% - Accent1 2 2 2 3 2 6 4 3" xfId="36789"/>
    <cellStyle name="20% - Accent1 2 2 2 3 2 6 5" xfId="6483"/>
    <cellStyle name="20% - Accent1 2 2 2 3 2 6 5 2" xfId="43164"/>
    <cellStyle name="20% - Accent1 2 2 2 3 2 6 6" xfId="18284"/>
    <cellStyle name="20% - Accent1 2 2 2 3 2 6 6 2" xfId="49686"/>
    <cellStyle name="20% - Accent1 2 2 2 3 2 6 7" xfId="31899"/>
    <cellStyle name="20% - Accent1 2 2 2 3 2 7" xfId="3714"/>
    <cellStyle name="20% - Accent1 2 2 2 3 2 7 2" xfId="11374"/>
    <cellStyle name="20% - Accent1 2 2 2 3 2 7 2 2" xfId="23175"/>
    <cellStyle name="20% - Accent1 2 2 2 3 2 7 2 2 2" xfId="49687"/>
    <cellStyle name="20% - Accent1 2 2 2 3 2 7 2 3" xfId="36790"/>
    <cellStyle name="20% - Accent1 2 2 2 3 2 7 3" xfId="9167"/>
    <cellStyle name="20% - Accent1 2 2 2 3 2 7 3 2" xfId="43165"/>
    <cellStyle name="20% - Accent1 2 2 2 3 2 7 4" xfId="20968"/>
    <cellStyle name="20% - Accent1 2 2 2 3 2 7 4 2" xfId="49688"/>
    <cellStyle name="20% - Accent1 2 2 2 3 2 7 5" xfId="34583"/>
    <cellStyle name="20% - Accent1 2 2 2 3 2 8" xfId="2010"/>
    <cellStyle name="20% - Accent1 2 2 2 3 2 8 2" xfId="11375"/>
    <cellStyle name="20% - Accent1 2 2 2 3 2 8 2 2" xfId="23176"/>
    <cellStyle name="20% - Accent1 2 2 2 3 2 8 2 2 2" xfId="49689"/>
    <cellStyle name="20% - Accent1 2 2 2 3 2 8 2 3" xfId="36791"/>
    <cellStyle name="20% - Accent1 2 2 2 3 2 8 3" xfId="7463"/>
    <cellStyle name="20% - Accent1 2 2 2 3 2 8 3 2" xfId="43166"/>
    <cellStyle name="20% - Accent1 2 2 2 3 2 8 4" xfId="19264"/>
    <cellStyle name="20% - Accent1 2 2 2 3 2 8 4 2" xfId="49690"/>
    <cellStyle name="20% - Accent1 2 2 2 3 2 8 5" xfId="32879"/>
    <cellStyle name="20% - Accent1 2 2 2 3 2 9" xfId="11376"/>
    <cellStyle name="20% - Accent1 2 2 2 3 2 9 2" xfId="23177"/>
    <cellStyle name="20% - Accent1 2 2 2 3 2 9 2 2" xfId="49691"/>
    <cellStyle name="20% - Accent1 2 2 2 3 2 9 3" xfId="36792"/>
    <cellStyle name="20% - Accent1 2 2 2 3 3" xfId="158"/>
    <cellStyle name="20% - Accent1 2 2 2 3 3 10" xfId="31028"/>
    <cellStyle name="20% - Accent1 2 2 2 3 3 2" xfId="332"/>
    <cellStyle name="20% - Accent1 2 2 2 3 3 2 2" xfId="1030"/>
    <cellStyle name="20% - Accent1 2 2 2 3 3 2 2 2" xfId="4642"/>
    <cellStyle name="20% - Accent1 2 2 2 3 3 2 2 2 2" xfId="11377"/>
    <cellStyle name="20% - Accent1 2 2 2 3 3 2 2 2 2 2" xfId="23178"/>
    <cellStyle name="20% - Accent1 2 2 2 3 3 2 2 2 2 2 2" xfId="49692"/>
    <cellStyle name="20% - Accent1 2 2 2 3 3 2 2 2 2 3" xfId="36793"/>
    <cellStyle name="20% - Accent1 2 2 2 3 3 2 2 2 3" xfId="10095"/>
    <cellStyle name="20% - Accent1 2 2 2 3 3 2 2 2 3 2" xfId="43167"/>
    <cellStyle name="20% - Accent1 2 2 2 3 3 2 2 2 4" xfId="21896"/>
    <cellStyle name="20% - Accent1 2 2 2 3 3 2 2 2 4 2" xfId="49693"/>
    <cellStyle name="20% - Accent1 2 2 2 3 3 2 2 2 5" xfId="35511"/>
    <cellStyle name="20% - Accent1 2 2 2 3 3 2 2 3" xfId="2801"/>
    <cellStyle name="20% - Accent1 2 2 2 3 3 2 2 3 2" xfId="11378"/>
    <cellStyle name="20% - Accent1 2 2 2 3 3 2 2 3 2 2" xfId="23179"/>
    <cellStyle name="20% - Accent1 2 2 2 3 3 2 2 3 2 2 2" xfId="49694"/>
    <cellStyle name="20% - Accent1 2 2 2 3 3 2 2 3 2 3" xfId="36794"/>
    <cellStyle name="20% - Accent1 2 2 2 3 3 2 2 3 3" xfId="8254"/>
    <cellStyle name="20% - Accent1 2 2 2 3 3 2 2 3 3 2" xfId="43168"/>
    <cellStyle name="20% - Accent1 2 2 2 3 3 2 2 3 4" xfId="20055"/>
    <cellStyle name="20% - Accent1 2 2 2 3 3 2 2 3 4 2" xfId="49695"/>
    <cellStyle name="20% - Accent1 2 2 2 3 3 2 2 3 5" xfId="33670"/>
    <cellStyle name="20% - Accent1 2 2 2 3 3 2 2 4" xfId="11379"/>
    <cellStyle name="20% - Accent1 2 2 2 3 3 2 2 4 2" xfId="23180"/>
    <cellStyle name="20% - Accent1 2 2 2 3 3 2 2 4 2 2" xfId="49696"/>
    <cellStyle name="20% - Accent1 2 2 2 3 3 2 2 4 3" xfId="36795"/>
    <cellStyle name="20% - Accent1 2 2 2 3 3 2 2 5" xfId="6484"/>
    <cellStyle name="20% - Accent1 2 2 2 3 3 2 2 5 2" xfId="43169"/>
    <cellStyle name="20% - Accent1 2 2 2 3 3 2 2 6" xfId="18285"/>
    <cellStyle name="20% - Accent1 2 2 2 3 3 2 2 6 2" xfId="49697"/>
    <cellStyle name="20% - Accent1 2 2 2 3 3 2 2 7" xfId="31900"/>
    <cellStyle name="20% - Accent1 2 2 2 3 3 2 3" xfId="3369"/>
    <cellStyle name="20% - Accent1 2 2 2 3 3 2 3 2" xfId="5210"/>
    <cellStyle name="20% - Accent1 2 2 2 3 3 2 3 2 2" xfId="16680"/>
    <cellStyle name="20% - Accent1 2 2 2 3 3 2 3 2 2 2" xfId="28481"/>
    <cellStyle name="20% - Accent1 2 2 2 3 3 2 3 2 2 2 2" xfId="49698"/>
    <cellStyle name="20% - Accent1 2 2 2 3 3 2 3 2 2 3" xfId="42096"/>
    <cellStyle name="20% - Accent1 2 2 2 3 3 2 3 2 3" xfId="10663"/>
    <cellStyle name="20% - Accent1 2 2 2 3 3 2 3 2 3 2" xfId="49699"/>
    <cellStyle name="20% - Accent1 2 2 2 3 3 2 3 2 4" xfId="22464"/>
    <cellStyle name="20% - Accent1 2 2 2 3 3 2 3 2 4 2" xfId="49700"/>
    <cellStyle name="20% - Accent1 2 2 2 3 3 2 3 2 5" xfId="36079"/>
    <cellStyle name="20% - Accent1 2 2 2 3 3 2 3 3" xfId="11380"/>
    <cellStyle name="20% - Accent1 2 2 2 3 3 2 3 3 2" xfId="23181"/>
    <cellStyle name="20% - Accent1 2 2 2 3 3 2 3 3 2 2" xfId="49701"/>
    <cellStyle name="20% - Accent1 2 2 2 3 3 2 3 3 3" xfId="36796"/>
    <cellStyle name="20% - Accent1 2 2 2 3 3 2 3 4" xfId="8822"/>
    <cellStyle name="20% - Accent1 2 2 2 3 3 2 3 4 2" xfId="49702"/>
    <cellStyle name="20% - Accent1 2 2 2 3 3 2 3 5" xfId="20623"/>
    <cellStyle name="20% - Accent1 2 2 2 3 3 2 3 5 2" xfId="49703"/>
    <cellStyle name="20% - Accent1 2 2 2 3 3 2 3 6" xfId="34238"/>
    <cellStyle name="20% - Accent1 2 2 2 3 3 2 4" xfId="4074"/>
    <cellStyle name="20% - Accent1 2 2 2 3 3 2 4 2" xfId="11381"/>
    <cellStyle name="20% - Accent1 2 2 2 3 3 2 4 2 2" xfId="23182"/>
    <cellStyle name="20% - Accent1 2 2 2 3 3 2 4 2 2 2" xfId="49704"/>
    <cellStyle name="20% - Accent1 2 2 2 3 3 2 4 2 3" xfId="36797"/>
    <cellStyle name="20% - Accent1 2 2 2 3 3 2 4 3" xfId="9527"/>
    <cellStyle name="20% - Accent1 2 2 2 3 3 2 4 3 2" xfId="43170"/>
    <cellStyle name="20% - Accent1 2 2 2 3 3 2 4 4" xfId="21328"/>
    <cellStyle name="20% - Accent1 2 2 2 3 3 2 4 4 2" xfId="49705"/>
    <cellStyle name="20% - Accent1 2 2 2 3 3 2 4 5" xfId="34943"/>
    <cellStyle name="20% - Accent1 2 2 2 3 3 2 5" xfId="2233"/>
    <cellStyle name="20% - Accent1 2 2 2 3 3 2 5 2" xfId="16950"/>
    <cellStyle name="20% - Accent1 2 2 2 3 3 2 5 2 2" xfId="28751"/>
    <cellStyle name="20% - Accent1 2 2 2 3 3 2 5 2 2 2" xfId="49706"/>
    <cellStyle name="20% - Accent1 2 2 2 3 3 2 5 2 3" xfId="42366"/>
    <cellStyle name="20% - Accent1 2 2 2 3 3 2 5 3" xfId="7686"/>
    <cellStyle name="20% - Accent1 2 2 2 3 3 2 5 3 2" xfId="49707"/>
    <cellStyle name="20% - Accent1 2 2 2 3 3 2 5 4" xfId="19487"/>
    <cellStyle name="20% - Accent1 2 2 2 3 3 2 5 4 2" xfId="49708"/>
    <cellStyle name="20% - Accent1 2 2 2 3 3 2 5 5" xfId="33102"/>
    <cellStyle name="20% - Accent1 2 2 2 3 3 2 6" xfId="11382"/>
    <cellStyle name="20% - Accent1 2 2 2 3 3 2 6 2" xfId="23183"/>
    <cellStyle name="20% - Accent1 2 2 2 3 3 2 6 2 2" xfId="49709"/>
    <cellStyle name="20% - Accent1 2 2 2 3 3 2 6 3" xfId="36798"/>
    <cellStyle name="20% - Accent1 2 2 2 3 3 2 7" xfId="5786"/>
    <cellStyle name="20% - Accent1 2 2 2 3 3 2 7 2" xfId="49710"/>
    <cellStyle name="20% - Accent1 2 2 2 3 3 2 8" xfId="17587"/>
    <cellStyle name="20% - Accent1 2 2 2 3 3 2 8 2" xfId="49711"/>
    <cellStyle name="20% - Accent1 2 2 2 3 3 2 9" xfId="31202"/>
    <cellStyle name="20% - Accent1 2 2 2 3 3 3" xfId="726"/>
    <cellStyle name="20% - Accent1 2 2 2 3 3 3 2" xfId="1031"/>
    <cellStyle name="20% - Accent1 2 2 2 3 3 3 2 2" xfId="4468"/>
    <cellStyle name="20% - Accent1 2 2 2 3 3 3 2 2 2" xfId="11383"/>
    <cellStyle name="20% - Accent1 2 2 2 3 3 3 2 2 2 2" xfId="23184"/>
    <cellStyle name="20% - Accent1 2 2 2 3 3 3 2 2 2 2 2" xfId="49712"/>
    <cellStyle name="20% - Accent1 2 2 2 3 3 3 2 2 2 3" xfId="36799"/>
    <cellStyle name="20% - Accent1 2 2 2 3 3 3 2 2 3" xfId="9921"/>
    <cellStyle name="20% - Accent1 2 2 2 3 3 3 2 2 3 2" xfId="43171"/>
    <cellStyle name="20% - Accent1 2 2 2 3 3 3 2 2 4" xfId="21722"/>
    <cellStyle name="20% - Accent1 2 2 2 3 3 3 2 2 4 2" xfId="49713"/>
    <cellStyle name="20% - Accent1 2 2 2 3 3 3 2 2 5" xfId="35337"/>
    <cellStyle name="20% - Accent1 2 2 2 3 3 3 2 3" xfId="11384"/>
    <cellStyle name="20% - Accent1 2 2 2 3 3 3 2 3 2" xfId="23185"/>
    <cellStyle name="20% - Accent1 2 2 2 3 3 3 2 3 2 2" xfId="43172"/>
    <cellStyle name="20% - Accent1 2 2 2 3 3 3 2 3 3" xfId="29214"/>
    <cellStyle name="20% - Accent1 2 2 2 3 3 3 2 3 3 2" xfId="43173"/>
    <cellStyle name="20% - Accent1 2 2 2 3 3 3 2 3 4" xfId="29215"/>
    <cellStyle name="20% - Accent1 2 2 2 3 3 3 2 3 4 2" xfId="49714"/>
    <cellStyle name="20% - Accent1 2 2 2 3 3 3 2 3 5" xfId="36800"/>
    <cellStyle name="20% - Accent1 2 2 2 3 3 3 2 4" xfId="11385"/>
    <cellStyle name="20% - Accent1 2 2 2 3 3 3 2 4 2" xfId="23186"/>
    <cellStyle name="20% - Accent1 2 2 2 3 3 3 2 4 2 2" xfId="49715"/>
    <cellStyle name="20% - Accent1 2 2 2 3 3 3 2 4 3" xfId="36801"/>
    <cellStyle name="20% - Accent1 2 2 2 3 3 3 2 5" xfId="6485"/>
    <cellStyle name="20% - Accent1 2 2 2 3 3 3 2 5 2" xfId="43174"/>
    <cellStyle name="20% - Accent1 2 2 2 3 3 3 2 6" xfId="18286"/>
    <cellStyle name="20% - Accent1 2 2 2 3 3 3 2 6 2" xfId="49716"/>
    <cellStyle name="20% - Accent1 2 2 2 3 3 3 2 7" xfId="31901"/>
    <cellStyle name="20% - Accent1 2 2 2 3 3 3 3" xfId="2627"/>
    <cellStyle name="20% - Accent1 2 2 2 3 3 3 3 2" xfId="11386"/>
    <cellStyle name="20% - Accent1 2 2 2 3 3 3 3 2 2" xfId="23187"/>
    <cellStyle name="20% - Accent1 2 2 2 3 3 3 3 2 2 2" xfId="49717"/>
    <cellStyle name="20% - Accent1 2 2 2 3 3 3 3 2 3" xfId="36802"/>
    <cellStyle name="20% - Accent1 2 2 2 3 3 3 3 3" xfId="8080"/>
    <cellStyle name="20% - Accent1 2 2 2 3 3 3 3 3 2" xfId="43175"/>
    <cellStyle name="20% - Accent1 2 2 2 3 3 3 3 4" xfId="19881"/>
    <cellStyle name="20% - Accent1 2 2 2 3 3 3 3 4 2" xfId="49718"/>
    <cellStyle name="20% - Accent1 2 2 2 3 3 3 3 5" xfId="33496"/>
    <cellStyle name="20% - Accent1 2 2 2 3 3 3 4" xfId="11387"/>
    <cellStyle name="20% - Accent1 2 2 2 3 3 3 4 2" xfId="23188"/>
    <cellStyle name="20% - Accent1 2 2 2 3 3 3 4 2 2" xfId="43176"/>
    <cellStyle name="20% - Accent1 2 2 2 3 3 3 4 3" xfId="29216"/>
    <cellStyle name="20% - Accent1 2 2 2 3 3 3 4 3 2" xfId="43177"/>
    <cellStyle name="20% - Accent1 2 2 2 3 3 3 4 4" xfId="29217"/>
    <cellStyle name="20% - Accent1 2 2 2 3 3 3 4 4 2" xfId="49719"/>
    <cellStyle name="20% - Accent1 2 2 2 3 3 3 4 5" xfId="36803"/>
    <cellStyle name="20% - Accent1 2 2 2 3 3 3 5" xfId="11388"/>
    <cellStyle name="20% - Accent1 2 2 2 3 3 3 5 2" xfId="23189"/>
    <cellStyle name="20% - Accent1 2 2 2 3 3 3 5 2 2" xfId="49720"/>
    <cellStyle name="20% - Accent1 2 2 2 3 3 3 5 3" xfId="36804"/>
    <cellStyle name="20% - Accent1 2 2 2 3 3 3 6" xfId="6180"/>
    <cellStyle name="20% - Accent1 2 2 2 3 3 3 6 2" xfId="43178"/>
    <cellStyle name="20% - Accent1 2 2 2 3 3 3 7" xfId="17981"/>
    <cellStyle name="20% - Accent1 2 2 2 3 3 3 7 2" xfId="49721"/>
    <cellStyle name="20% - Accent1 2 2 2 3 3 3 8" xfId="31596"/>
    <cellStyle name="20% - Accent1 2 2 2 3 3 4" xfId="1032"/>
    <cellStyle name="20% - Accent1 2 2 2 3 3 4 2" xfId="5036"/>
    <cellStyle name="20% - Accent1 2 2 2 3 3 4 2 2" xfId="11389"/>
    <cellStyle name="20% - Accent1 2 2 2 3 3 4 2 2 2" xfId="23190"/>
    <cellStyle name="20% - Accent1 2 2 2 3 3 4 2 2 2 2" xfId="49722"/>
    <cellStyle name="20% - Accent1 2 2 2 3 3 4 2 2 3" xfId="36805"/>
    <cellStyle name="20% - Accent1 2 2 2 3 3 4 2 3" xfId="10489"/>
    <cellStyle name="20% - Accent1 2 2 2 3 3 4 2 3 2" xfId="43179"/>
    <cellStyle name="20% - Accent1 2 2 2 3 3 4 2 4" xfId="22290"/>
    <cellStyle name="20% - Accent1 2 2 2 3 3 4 2 4 2" xfId="49723"/>
    <cellStyle name="20% - Accent1 2 2 2 3 3 4 2 5" xfId="35905"/>
    <cellStyle name="20% - Accent1 2 2 2 3 3 4 3" xfId="3195"/>
    <cellStyle name="20% - Accent1 2 2 2 3 3 4 3 2" xfId="11390"/>
    <cellStyle name="20% - Accent1 2 2 2 3 3 4 3 2 2" xfId="23191"/>
    <cellStyle name="20% - Accent1 2 2 2 3 3 4 3 2 2 2" xfId="49724"/>
    <cellStyle name="20% - Accent1 2 2 2 3 3 4 3 2 3" xfId="36806"/>
    <cellStyle name="20% - Accent1 2 2 2 3 3 4 3 3" xfId="8648"/>
    <cellStyle name="20% - Accent1 2 2 2 3 3 4 3 3 2" xfId="43180"/>
    <cellStyle name="20% - Accent1 2 2 2 3 3 4 3 4" xfId="20449"/>
    <cellStyle name="20% - Accent1 2 2 2 3 3 4 3 4 2" xfId="49725"/>
    <cellStyle name="20% - Accent1 2 2 2 3 3 4 3 5" xfId="34064"/>
    <cellStyle name="20% - Accent1 2 2 2 3 3 4 4" xfId="11391"/>
    <cellStyle name="20% - Accent1 2 2 2 3 3 4 4 2" xfId="23192"/>
    <cellStyle name="20% - Accent1 2 2 2 3 3 4 4 2 2" xfId="49726"/>
    <cellStyle name="20% - Accent1 2 2 2 3 3 4 4 3" xfId="36807"/>
    <cellStyle name="20% - Accent1 2 2 2 3 3 4 5" xfId="6486"/>
    <cellStyle name="20% - Accent1 2 2 2 3 3 4 5 2" xfId="43181"/>
    <cellStyle name="20% - Accent1 2 2 2 3 3 4 6" xfId="18287"/>
    <cellStyle name="20% - Accent1 2 2 2 3 3 4 6 2" xfId="49727"/>
    <cellStyle name="20% - Accent1 2 2 2 3 3 4 7" xfId="31902"/>
    <cellStyle name="20% - Accent1 2 2 2 3 3 5" xfId="3900"/>
    <cellStyle name="20% - Accent1 2 2 2 3 3 5 2" xfId="11392"/>
    <cellStyle name="20% - Accent1 2 2 2 3 3 5 2 2" xfId="23193"/>
    <cellStyle name="20% - Accent1 2 2 2 3 3 5 2 2 2" xfId="49728"/>
    <cellStyle name="20% - Accent1 2 2 2 3 3 5 2 3" xfId="36808"/>
    <cellStyle name="20% - Accent1 2 2 2 3 3 5 3" xfId="9353"/>
    <cellStyle name="20% - Accent1 2 2 2 3 3 5 3 2" xfId="43182"/>
    <cellStyle name="20% - Accent1 2 2 2 3 3 5 4" xfId="21154"/>
    <cellStyle name="20% - Accent1 2 2 2 3 3 5 4 2" xfId="49729"/>
    <cellStyle name="20% - Accent1 2 2 2 3 3 5 5" xfId="34769"/>
    <cellStyle name="20% - Accent1 2 2 2 3 3 6" xfId="2059"/>
    <cellStyle name="20% - Accent1 2 2 2 3 3 6 2" xfId="11393"/>
    <cellStyle name="20% - Accent1 2 2 2 3 3 6 2 2" xfId="23194"/>
    <cellStyle name="20% - Accent1 2 2 2 3 3 6 2 2 2" xfId="49730"/>
    <cellStyle name="20% - Accent1 2 2 2 3 3 6 2 3" xfId="36809"/>
    <cellStyle name="20% - Accent1 2 2 2 3 3 6 3" xfId="7512"/>
    <cellStyle name="20% - Accent1 2 2 2 3 3 6 3 2" xfId="43183"/>
    <cellStyle name="20% - Accent1 2 2 2 3 3 6 4" xfId="19313"/>
    <cellStyle name="20% - Accent1 2 2 2 3 3 6 4 2" xfId="49731"/>
    <cellStyle name="20% - Accent1 2 2 2 3 3 6 5" xfId="32928"/>
    <cellStyle name="20% - Accent1 2 2 2 3 3 7" xfId="11394"/>
    <cellStyle name="20% - Accent1 2 2 2 3 3 7 2" xfId="23195"/>
    <cellStyle name="20% - Accent1 2 2 2 3 3 7 2 2" xfId="49732"/>
    <cellStyle name="20% - Accent1 2 2 2 3 3 7 3" xfId="36810"/>
    <cellStyle name="20% - Accent1 2 2 2 3 3 8" xfId="5612"/>
    <cellStyle name="20% - Accent1 2 2 2 3 3 8 2" xfId="43184"/>
    <cellStyle name="20% - Accent1 2 2 2 3 3 9" xfId="17413"/>
    <cellStyle name="20% - Accent1 2 2 2 3 3 9 2" xfId="49733"/>
    <cellStyle name="20% - Accent1 2 2 2 3 4" xfId="469"/>
    <cellStyle name="20% - Accent1 2 2 2 3 4 2" xfId="1033"/>
    <cellStyle name="20% - Accent1 2 2 2 3 4 2 2" xfId="4779"/>
    <cellStyle name="20% - Accent1 2 2 2 3 4 2 2 2" xfId="11395"/>
    <cellStyle name="20% - Accent1 2 2 2 3 4 2 2 2 2" xfId="23196"/>
    <cellStyle name="20% - Accent1 2 2 2 3 4 2 2 2 2 2" xfId="49734"/>
    <cellStyle name="20% - Accent1 2 2 2 3 4 2 2 2 3" xfId="36811"/>
    <cellStyle name="20% - Accent1 2 2 2 3 4 2 2 3" xfId="10232"/>
    <cellStyle name="20% - Accent1 2 2 2 3 4 2 2 3 2" xfId="43185"/>
    <cellStyle name="20% - Accent1 2 2 2 3 4 2 2 4" xfId="22033"/>
    <cellStyle name="20% - Accent1 2 2 2 3 4 2 2 4 2" xfId="49735"/>
    <cellStyle name="20% - Accent1 2 2 2 3 4 2 2 5" xfId="35648"/>
    <cellStyle name="20% - Accent1 2 2 2 3 4 2 3" xfId="2938"/>
    <cellStyle name="20% - Accent1 2 2 2 3 4 2 3 2" xfId="11396"/>
    <cellStyle name="20% - Accent1 2 2 2 3 4 2 3 2 2" xfId="23197"/>
    <cellStyle name="20% - Accent1 2 2 2 3 4 2 3 2 2 2" xfId="49736"/>
    <cellStyle name="20% - Accent1 2 2 2 3 4 2 3 2 3" xfId="36812"/>
    <cellStyle name="20% - Accent1 2 2 2 3 4 2 3 3" xfId="8391"/>
    <cellStyle name="20% - Accent1 2 2 2 3 4 2 3 3 2" xfId="43186"/>
    <cellStyle name="20% - Accent1 2 2 2 3 4 2 3 4" xfId="20192"/>
    <cellStyle name="20% - Accent1 2 2 2 3 4 2 3 4 2" xfId="49737"/>
    <cellStyle name="20% - Accent1 2 2 2 3 4 2 3 5" xfId="33807"/>
    <cellStyle name="20% - Accent1 2 2 2 3 4 2 4" xfId="11397"/>
    <cellStyle name="20% - Accent1 2 2 2 3 4 2 4 2" xfId="23198"/>
    <cellStyle name="20% - Accent1 2 2 2 3 4 2 4 2 2" xfId="49738"/>
    <cellStyle name="20% - Accent1 2 2 2 3 4 2 4 3" xfId="36813"/>
    <cellStyle name="20% - Accent1 2 2 2 3 4 2 5" xfId="6487"/>
    <cellStyle name="20% - Accent1 2 2 2 3 4 2 5 2" xfId="43187"/>
    <cellStyle name="20% - Accent1 2 2 2 3 4 2 6" xfId="18288"/>
    <cellStyle name="20% - Accent1 2 2 2 3 4 2 6 2" xfId="49739"/>
    <cellStyle name="20% - Accent1 2 2 2 3 4 2 7" xfId="31903"/>
    <cellStyle name="20% - Accent1 2 2 2 3 4 3" xfId="3506"/>
    <cellStyle name="20% - Accent1 2 2 2 3 4 3 2" xfId="5347"/>
    <cellStyle name="20% - Accent1 2 2 2 3 4 3 2 2" xfId="16817"/>
    <cellStyle name="20% - Accent1 2 2 2 3 4 3 2 2 2" xfId="28618"/>
    <cellStyle name="20% - Accent1 2 2 2 3 4 3 2 2 2 2" xfId="49740"/>
    <cellStyle name="20% - Accent1 2 2 2 3 4 3 2 2 3" xfId="42233"/>
    <cellStyle name="20% - Accent1 2 2 2 3 4 3 2 3" xfId="10800"/>
    <cellStyle name="20% - Accent1 2 2 2 3 4 3 2 3 2" xfId="49741"/>
    <cellStyle name="20% - Accent1 2 2 2 3 4 3 2 4" xfId="22601"/>
    <cellStyle name="20% - Accent1 2 2 2 3 4 3 2 4 2" xfId="49742"/>
    <cellStyle name="20% - Accent1 2 2 2 3 4 3 2 5" xfId="36216"/>
    <cellStyle name="20% - Accent1 2 2 2 3 4 3 3" xfId="11398"/>
    <cellStyle name="20% - Accent1 2 2 2 3 4 3 3 2" xfId="23199"/>
    <cellStyle name="20% - Accent1 2 2 2 3 4 3 3 2 2" xfId="49743"/>
    <cellStyle name="20% - Accent1 2 2 2 3 4 3 3 3" xfId="36814"/>
    <cellStyle name="20% - Accent1 2 2 2 3 4 3 4" xfId="8959"/>
    <cellStyle name="20% - Accent1 2 2 2 3 4 3 4 2" xfId="49744"/>
    <cellStyle name="20% - Accent1 2 2 2 3 4 3 5" xfId="20760"/>
    <cellStyle name="20% - Accent1 2 2 2 3 4 3 5 2" xfId="49745"/>
    <cellStyle name="20% - Accent1 2 2 2 3 4 3 6" xfId="34375"/>
    <cellStyle name="20% - Accent1 2 2 2 3 4 4" xfId="4211"/>
    <cellStyle name="20% - Accent1 2 2 2 3 4 4 2" xfId="11399"/>
    <cellStyle name="20% - Accent1 2 2 2 3 4 4 2 2" xfId="23200"/>
    <cellStyle name="20% - Accent1 2 2 2 3 4 4 2 2 2" xfId="49746"/>
    <cellStyle name="20% - Accent1 2 2 2 3 4 4 2 3" xfId="36815"/>
    <cellStyle name="20% - Accent1 2 2 2 3 4 4 3" xfId="9664"/>
    <cellStyle name="20% - Accent1 2 2 2 3 4 4 3 2" xfId="43188"/>
    <cellStyle name="20% - Accent1 2 2 2 3 4 4 4" xfId="21465"/>
    <cellStyle name="20% - Accent1 2 2 2 3 4 4 4 2" xfId="49747"/>
    <cellStyle name="20% - Accent1 2 2 2 3 4 4 5" xfId="35080"/>
    <cellStyle name="20% - Accent1 2 2 2 3 4 5" xfId="2370"/>
    <cellStyle name="20% - Accent1 2 2 2 3 4 5 2" xfId="16951"/>
    <cellStyle name="20% - Accent1 2 2 2 3 4 5 2 2" xfId="28752"/>
    <cellStyle name="20% - Accent1 2 2 2 3 4 5 2 2 2" xfId="49748"/>
    <cellStyle name="20% - Accent1 2 2 2 3 4 5 2 3" xfId="42367"/>
    <cellStyle name="20% - Accent1 2 2 2 3 4 5 3" xfId="7823"/>
    <cellStyle name="20% - Accent1 2 2 2 3 4 5 3 2" xfId="49749"/>
    <cellStyle name="20% - Accent1 2 2 2 3 4 5 4" xfId="19624"/>
    <cellStyle name="20% - Accent1 2 2 2 3 4 5 4 2" xfId="49750"/>
    <cellStyle name="20% - Accent1 2 2 2 3 4 5 5" xfId="33239"/>
    <cellStyle name="20% - Accent1 2 2 2 3 4 6" xfId="11400"/>
    <cellStyle name="20% - Accent1 2 2 2 3 4 6 2" xfId="23201"/>
    <cellStyle name="20% - Accent1 2 2 2 3 4 6 2 2" xfId="49751"/>
    <cellStyle name="20% - Accent1 2 2 2 3 4 6 3" xfId="36816"/>
    <cellStyle name="20% - Accent1 2 2 2 3 4 7" xfId="5923"/>
    <cellStyle name="20% - Accent1 2 2 2 3 4 7 2" xfId="49752"/>
    <cellStyle name="20% - Accent1 2 2 2 3 4 8" xfId="17724"/>
    <cellStyle name="20% - Accent1 2 2 2 3 4 8 2" xfId="49753"/>
    <cellStyle name="20% - Accent1 2 2 2 3 4 9" xfId="31339"/>
    <cellStyle name="20% - Accent1 2 2 2 3 5" xfId="283"/>
    <cellStyle name="20% - Accent1 2 2 2 3 5 2" xfId="1034"/>
    <cellStyle name="20% - Accent1 2 2 2 3 5 2 2" xfId="4593"/>
    <cellStyle name="20% - Accent1 2 2 2 3 5 2 2 2" xfId="11401"/>
    <cellStyle name="20% - Accent1 2 2 2 3 5 2 2 2 2" xfId="23202"/>
    <cellStyle name="20% - Accent1 2 2 2 3 5 2 2 2 2 2" xfId="49754"/>
    <cellStyle name="20% - Accent1 2 2 2 3 5 2 2 2 3" xfId="36817"/>
    <cellStyle name="20% - Accent1 2 2 2 3 5 2 2 3" xfId="10046"/>
    <cellStyle name="20% - Accent1 2 2 2 3 5 2 2 3 2" xfId="43189"/>
    <cellStyle name="20% - Accent1 2 2 2 3 5 2 2 4" xfId="21847"/>
    <cellStyle name="20% - Accent1 2 2 2 3 5 2 2 4 2" xfId="49755"/>
    <cellStyle name="20% - Accent1 2 2 2 3 5 2 2 5" xfId="35462"/>
    <cellStyle name="20% - Accent1 2 2 2 3 5 2 3" xfId="2752"/>
    <cellStyle name="20% - Accent1 2 2 2 3 5 2 3 2" xfId="11402"/>
    <cellStyle name="20% - Accent1 2 2 2 3 5 2 3 2 2" xfId="23203"/>
    <cellStyle name="20% - Accent1 2 2 2 3 5 2 3 2 2 2" xfId="49756"/>
    <cellStyle name="20% - Accent1 2 2 2 3 5 2 3 2 3" xfId="36818"/>
    <cellStyle name="20% - Accent1 2 2 2 3 5 2 3 3" xfId="8205"/>
    <cellStyle name="20% - Accent1 2 2 2 3 5 2 3 3 2" xfId="43190"/>
    <cellStyle name="20% - Accent1 2 2 2 3 5 2 3 4" xfId="20006"/>
    <cellStyle name="20% - Accent1 2 2 2 3 5 2 3 4 2" xfId="49757"/>
    <cellStyle name="20% - Accent1 2 2 2 3 5 2 3 5" xfId="33621"/>
    <cellStyle name="20% - Accent1 2 2 2 3 5 2 4" xfId="11403"/>
    <cellStyle name="20% - Accent1 2 2 2 3 5 2 4 2" xfId="23204"/>
    <cellStyle name="20% - Accent1 2 2 2 3 5 2 4 2 2" xfId="49758"/>
    <cellStyle name="20% - Accent1 2 2 2 3 5 2 4 3" xfId="36819"/>
    <cellStyle name="20% - Accent1 2 2 2 3 5 2 5" xfId="6488"/>
    <cellStyle name="20% - Accent1 2 2 2 3 5 2 5 2" xfId="43191"/>
    <cellStyle name="20% - Accent1 2 2 2 3 5 2 6" xfId="18289"/>
    <cellStyle name="20% - Accent1 2 2 2 3 5 2 6 2" xfId="49759"/>
    <cellStyle name="20% - Accent1 2 2 2 3 5 2 7" xfId="31904"/>
    <cellStyle name="20% - Accent1 2 2 2 3 5 3" xfId="3320"/>
    <cellStyle name="20% - Accent1 2 2 2 3 5 3 2" xfId="5161"/>
    <cellStyle name="20% - Accent1 2 2 2 3 5 3 2 2" xfId="16631"/>
    <cellStyle name="20% - Accent1 2 2 2 3 5 3 2 2 2" xfId="28432"/>
    <cellStyle name="20% - Accent1 2 2 2 3 5 3 2 2 2 2" xfId="49760"/>
    <cellStyle name="20% - Accent1 2 2 2 3 5 3 2 2 3" xfId="42047"/>
    <cellStyle name="20% - Accent1 2 2 2 3 5 3 2 3" xfId="10614"/>
    <cellStyle name="20% - Accent1 2 2 2 3 5 3 2 3 2" xfId="49761"/>
    <cellStyle name="20% - Accent1 2 2 2 3 5 3 2 4" xfId="22415"/>
    <cellStyle name="20% - Accent1 2 2 2 3 5 3 2 4 2" xfId="49762"/>
    <cellStyle name="20% - Accent1 2 2 2 3 5 3 2 5" xfId="36030"/>
    <cellStyle name="20% - Accent1 2 2 2 3 5 3 3" xfId="11404"/>
    <cellStyle name="20% - Accent1 2 2 2 3 5 3 3 2" xfId="23205"/>
    <cellStyle name="20% - Accent1 2 2 2 3 5 3 3 2 2" xfId="49763"/>
    <cellStyle name="20% - Accent1 2 2 2 3 5 3 3 3" xfId="36820"/>
    <cellStyle name="20% - Accent1 2 2 2 3 5 3 4" xfId="8773"/>
    <cellStyle name="20% - Accent1 2 2 2 3 5 3 4 2" xfId="49764"/>
    <cellStyle name="20% - Accent1 2 2 2 3 5 3 5" xfId="20574"/>
    <cellStyle name="20% - Accent1 2 2 2 3 5 3 5 2" xfId="49765"/>
    <cellStyle name="20% - Accent1 2 2 2 3 5 3 6" xfId="34189"/>
    <cellStyle name="20% - Accent1 2 2 2 3 5 4" xfId="4025"/>
    <cellStyle name="20% - Accent1 2 2 2 3 5 4 2" xfId="11405"/>
    <cellStyle name="20% - Accent1 2 2 2 3 5 4 2 2" xfId="23206"/>
    <cellStyle name="20% - Accent1 2 2 2 3 5 4 2 2 2" xfId="49766"/>
    <cellStyle name="20% - Accent1 2 2 2 3 5 4 2 3" xfId="36821"/>
    <cellStyle name="20% - Accent1 2 2 2 3 5 4 3" xfId="9478"/>
    <cellStyle name="20% - Accent1 2 2 2 3 5 4 3 2" xfId="43192"/>
    <cellStyle name="20% - Accent1 2 2 2 3 5 4 4" xfId="21279"/>
    <cellStyle name="20% - Accent1 2 2 2 3 5 4 4 2" xfId="49767"/>
    <cellStyle name="20% - Accent1 2 2 2 3 5 4 5" xfId="34894"/>
    <cellStyle name="20% - Accent1 2 2 2 3 5 5" xfId="2184"/>
    <cellStyle name="20% - Accent1 2 2 2 3 5 5 2" xfId="16952"/>
    <cellStyle name="20% - Accent1 2 2 2 3 5 5 2 2" xfId="28753"/>
    <cellStyle name="20% - Accent1 2 2 2 3 5 5 2 2 2" xfId="49768"/>
    <cellStyle name="20% - Accent1 2 2 2 3 5 5 2 3" xfId="42368"/>
    <cellStyle name="20% - Accent1 2 2 2 3 5 5 3" xfId="7637"/>
    <cellStyle name="20% - Accent1 2 2 2 3 5 5 3 2" xfId="49769"/>
    <cellStyle name="20% - Accent1 2 2 2 3 5 5 4" xfId="19438"/>
    <cellStyle name="20% - Accent1 2 2 2 3 5 5 4 2" xfId="49770"/>
    <cellStyle name="20% - Accent1 2 2 2 3 5 5 5" xfId="33053"/>
    <cellStyle name="20% - Accent1 2 2 2 3 5 6" xfId="11406"/>
    <cellStyle name="20% - Accent1 2 2 2 3 5 6 2" xfId="23207"/>
    <cellStyle name="20% - Accent1 2 2 2 3 5 6 2 2" xfId="49771"/>
    <cellStyle name="20% - Accent1 2 2 2 3 5 6 3" xfId="36822"/>
    <cellStyle name="20% - Accent1 2 2 2 3 5 7" xfId="5737"/>
    <cellStyle name="20% - Accent1 2 2 2 3 5 7 2" xfId="49772"/>
    <cellStyle name="20% - Accent1 2 2 2 3 5 8" xfId="17538"/>
    <cellStyle name="20% - Accent1 2 2 2 3 5 8 2" xfId="49773"/>
    <cellStyle name="20% - Accent1 2 2 2 3 5 9" xfId="31153"/>
    <cellStyle name="20% - Accent1 2 2 2 3 6" xfId="610"/>
    <cellStyle name="20% - Accent1 2 2 2 3 6 2" xfId="1035"/>
    <cellStyle name="20% - Accent1 2 2 2 3 6 2 2" xfId="4352"/>
    <cellStyle name="20% - Accent1 2 2 2 3 6 2 2 2" xfId="11407"/>
    <cellStyle name="20% - Accent1 2 2 2 3 6 2 2 2 2" xfId="23208"/>
    <cellStyle name="20% - Accent1 2 2 2 3 6 2 2 2 2 2" xfId="49774"/>
    <cellStyle name="20% - Accent1 2 2 2 3 6 2 2 2 3" xfId="36823"/>
    <cellStyle name="20% - Accent1 2 2 2 3 6 2 2 3" xfId="9805"/>
    <cellStyle name="20% - Accent1 2 2 2 3 6 2 2 3 2" xfId="43193"/>
    <cellStyle name="20% - Accent1 2 2 2 3 6 2 2 4" xfId="21606"/>
    <cellStyle name="20% - Accent1 2 2 2 3 6 2 2 4 2" xfId="49775"/>
    <cellStyle name="20% - Accent1 2 2 2 3 6 2 2 5" xfId="35221"/>
    <cellStyle name="20% - Accent1 2 2 2 3 6 2 3" xfId="11408"/>
    <cellStyle name="20% - Accent1 2 2 2 3 6 2 3 2" xfId="23209"/>
    <cellStyle name="20% - Accent1 2 2 2 3 6 2 3 2 2" xfId="43194"/>
    <cellStyle name="20% - Accent1 2 2 2 3 6 2 3 3" xfId="29218"/>
    <cellStyle name="20% - Accent1 2 2 2 3 6 2 3 3 2" xfId="43195"/>
    <cellStyle name="20% - Accent1 2 2 2 3 6 2 3 4" xfId="29219"/>
    <cellStyle name="20% - Accent1 2 2 2 3 6 2 3 4 2" xfId="49776"/>
    <cellStyle name="20% - Accent1 2 2 2 3 6 2 3 5" xfId="36824"/>
    <cellStyle name="20% - Accent1 2 2 2 3 6 2 4" xfId="11409"/>
    <cellStyle name="20% - Accent1 2 2 2 3 6 2 4 2" xfId="23210"/>
    <cellStyle name="20% - Accent1 2 2 2 3 6 2 4 2 2" xfId="49777"/>
    <cellStyle name="20% - Accent1 2 2 2 3 6 2 4 3" xfId="36825"/>
    <cellStyle name="20% - Accent1 2 2 2 3 6 2 5" xfId="6489"/>
    <cellStyle name="20% - Accent1 2 2 2 3 6 2 5 2" xfId="43196"/>
    <cellStyle name="20% - Accent1 2 2 2 3 6 2 6" xfId="18290"/>
    <cellStyle name="20% - Accent1 2 2 2 3 6 2 6 2" xfId="49778"/>
    <cellStyle name="20% - Accent1 2 2 2 3 6 2 7" xfId="31905"/>
    <cellStyle name="20% - Accent1 2 2 2 3 6 3" xfId="2511"/>
    <cellStyle name="20% - Accent1 2 2 2 3 6 3 2" xfId="11410"/>
    <cellStyle name="20% - Accent1 2 2 2 3 6 3 2 2" xfId="23211"/>
    <cellStyle name="20% - Accent1 2 2 2 3 6 3 2 2 2" xfId="49779"/>
    <cellStyle name="20% - Accent1 2 2 2 3 6 3 2 3" xfId="36826"/>
    <cellStyle name="20% - Accent1 2 2 2 3 6 3 3" xfId="7964"/>
    <cellStyle name="20% - Accent1 2 2 2 3 6 3 3 2" xfId="43197"/>
    <cellStyle name="20% - Accent1 2 2 2 3 6 3 4" xfId="19765"/>
    <cellStyle name="20% - Accent1 2 2 2 3 6 3 4 2" xfId="49780"/>
    <cellStyle name="20% - Accent1 2 2 2 3 6 3 5" xfId="33380"/>
    <cellStyle name="20% - Accent1 2 2 2 3 6 4" xfId="11411"/>
    <cellStyle name="20% - Accent1 2 2 2 3 6 4 2" xfId="23212"/>
    <cellStyle name="20% - Accent1 2 2 2 3 6 4 2 2" xfId="43198"/>
    <cellStyle name="20% - Accent1 2 2 2 3 6 4 3" xfId="29220"/>
    <cellStyle name="20% - Accent1 2 2 2 3 6 4 3 2" xfId="43199"/>
    <cellStyle name="20% - Accent1 2 2 2 3 6 4 4" xfId="29221"/>
    <cellStyle name="20% - Accent1 2 2 2 3 6 4 4 2" xfId="49781"/>
    <cellStyle name="20% - Accent1 2 2 2 3 6 4 5" xfId="36827"/>
    <cellStyle name="20% - Accent1 2 2 2 3 6 5" xfId="11412"/>
    <cellStyle name="20% - Accent1 2 2 2 3 6 5 2" xfId="23213"/>
    <cellStyle name="20% - Accent1 2 2 2 3 6 5 2 2" xfId="49782"/>
    <cellStyle name="20% - Accent1 2 2 2 3 6 5 3" xfId="36828"/>
    <cellStyle name="20% - Accent1 2 2 2 3 6 6" xfId="6064"/>
    <cellStyle name="20% - Accent1 2 2 2 3 6 6 2" xfId="43200"/>
    <cellStyle name="20% - Accent1 2 2 2 3 6 7" xfId="17865"/>
    <cellStyle name="20% - Accent1 2 2 2 3 6 7 2" xfId="49783"/>
    <cellStyle name="20% - Accent1 2 2 2 3 6 8" xfId="31480"/>
    <cellStyle name="20% - Accent1 2 2 2 3 7" xfId="851"/>
    <cellStyle name="20% - Accent1 2 2 2 3 7 2" xfId="1036"/>
    <cellStyle name="20% - Accent1 2 2 2 3 7 2 2" xfId="4920"/>
    <cellStyle name="20% - Accent1 2 2 2 3 7 2 2 2" xfId="11413"/>
    <cellStyle name="20% - Accent1 2 2 2 3 7 2 2 2 2" xfId="23214"/>
    <cellStyle name="20% - Accent1 2 2 2 3 7 2 2 2 2 2" xfId="49784"/>
    <cellStyle name="20% - Accent1 2 2 2 3 7 2 2 2 3" xfId="36829"/>
    <cellStyle name="20% - Accent1 2 2 2 3 7 2 2 3" xfId="10373"/>
    <cellStyle name="20% - Accent1 2 2 2 3 7 2 2 3 2" xfId="43201"/>
    <cellStyle name="20% - Accent1 2 2 2 3 7 2 2 4" xfId="22174"/>
    <cellStyle name="20% - Accent1 2 2 2 3 7 2 2 4 2" xfId="49785"/>
    <cellStyle name="20% - Accent1 2 2 2 3 7 2 2 5" xfId="35789"/>
    <cellStyle name="20% - Accent1 2 2 2 3 7 2 3" xfId="11414"/>
    <cellStyle name="20% - Accent1 2 2 2 3 7 2 3 2" xfId="23215"/>
    <cellStyle name="20% - Accent1 2 2 2 3 7 2 3 2 2" xfId="43202"/>
    <cellStyle name="20% - Accent1 2 2 2 3 7 2 3 3" xfId="29222"/>
    <cellStyle name="20% - Accent1 2 2 2 3 7 2 3 3 2" xfId="43203"/>
    <cellStyle name="20% - Accent1 2 2 2 3 7 2 3 4" xfId="29223"/>
    <cellStyle name="20% - Accent1 2 2 2 3 7 2 3 4 2" xfId="49786"/>
    <cellStyle name="20% - Accent1 2 2 2 3 7 2 3 5" xfId="36830"/>
    <cellStyle name="20% - Accent1 2 2 2 3 7 2 4" xfId="11415"/>
    <cellStyle name="20% - Accent1 2 2 2 3 7 2 4 2" xfId="23216"/>
    <cellStyle name="20% - Accent1 2 2 2 3 7 2 4 2 2" xfId="49787"/>
    <cellStyle name="20% - Accent1 2 2 2 3 7 2 4 3" xfId="36831"/>
    <cellStyle name="20% - Accent1 2 2 2 3 7 2 5" xfId="6490"/>
    <cellStyle name="20% - Accent1 2 2 2 3 7 2 5 2" xfId="43204"/>
    <cellStyle name="20% - Accent1 2 2 2 3 7 2 6" xfId="18291"/>
    <cellStyle name="20% - Accent1 2 2 2 3 7 2 6 2" xfId="49788"/>
    <cellStyle name="20% - Accent1 2 2 2 3 7 2 7" xfId="31906"/>
    <cellStyle name="20% - Accent1 2 2 2 3 7 3" xfId="3079"/>
    <cellStyle name="20% - Accent1 2 2 2 3 7 3 2" xfId="11416"/>
    <cellStyle name="20% - Accent1 2 2 2 3 7 3 2 2" xfId="23217"/>
    <cellStyle name="20% - Accent1 2 2 2 3 7 3 2 2 2" xfId="49789"/>
    <cellStyle name="20% - Accent1 2 2 2 3 7 3 2 3" xfId="36832"/>
    <cellStyle name="20% - Accent1 2 2 2 3 7 3 3" xfId="8532"/>
    <cellStyle name="20% - Accent1 2 2 2 3 7 3 3 2" xfId="43205"/>
    <cellStyle name="20% - Accent1 2 2 2 3 7 3 4" xfId="20333"/>
    <cellStyle name="20% - Accent1 2 2 2 3 7 3 4 2" xfId="49790"/>
    <cellStyle name="20% - Accent1 2 2 2 3 7 3 5" xfId="33948"/>
    <cellStyle name="20% - Accent1 2 2 2 3 7 4" xfId="11417"/>
    <cellStyle name="20% - Accent1 2 2 2 3 7 4 2" xfId="23218"/>
    <cellStyle name="20% - Accent1 2 2 2 3 7 4 2 2" xfId="43206"/>
    <cellStyle name="20% - Accent1 2 2 2 3 7 4 3" xfId="29224"/>
    <cellStyle name="20% - Accent1 2 2 2 3 7 4 3 2" xfId="43207"/>
    <cellStyle name="20% - Accent1 2 2 2 3 7 4 4" xfId="29225"/>
    <cellStyle name="20% - Accent1 2 2 2 3 7 4 4 2" xfId="49791"/>
    <cellStyle name="20% - Accent1 2 2 2 3 7 4 5" xfId="36833"/>
    <cellStyle name="20% - Accent1 2 2 2 3 7 5" xfId="11418"/>
    <cellStyle name="20% - Accent1 2 2 2 3 7 5 2" xfId="23219"/>
    <cellStyle name="20% - Accent1 2 2 2 3 7 5 2 2" xfId="49792"/>
    <cellStyle name="20% - Accent1 2 2 2 3 7 5 3" xfId="36834"/>
    <cellStyle name="20% - Accent1 2 2 2 3 7 6" xfId="6305"/>
    <cellStyle name="20% - Accent1 2 2 2 3 7 6 2" xfId="43208"/>
    <cellStyle name="20% - Accent1 2 2 2 3 7 7" xfId="18106"/>
    <cellStyle name="20% - Accent1 2 2 2 3 7 7 2" xfId="49793"/>
    <cellStyle name="20% - Accent1 2 2 2 3 7 8" xfId="31721"/>
    <cellStyle name="20% - Accent1 2 2 2 3 8" xfId="1037"/>
    <cellStyle name="20% - Accent1 2 2 2 3 8 2" xfId="3784"/>
    <cellStyle name="20% - Accent1 2 2 2 3 8 2 2" xfId="11419"/>
    <cellStyle name="20% - Accent1 2 2 2 3 8 2 2 2" xfId="23220"/>
    <cellStyle name="20% - Accent1 2 2 2 3 8 2 2 2 2" xfId="49794"/>
    <cellStyle name="20% - Accent1 2 2 2 3 8 2 2 3" xfId="36835"/>
    <cellStyle name="20% - Accent1 2 2 2 3 8 2 3" xfId="9237"/>
    <cellStyle name="20% - Accent1 2 2 2 3 8 2 3 2" xfId="43209"/>
    <cellStyle name="20% - Accent1 2 2 2 3 8 2 4" xfId="21038"/>
    <cellStyle name="20% - Accent1 2 2 2 3 8 2 4 2" xfId="49795"/>
    <cellStyle name="20% - Accent1 2 2 2 3 8 2 5" xfId="34653"/>
    <cellStyle name="20% - Accent1 2 2 2 3 8 3" xfId="11420"/>
    <cellStyle name="20% - Accent1 2 2 2 3 8 3 2" xfId="23221"/>
    <cellStyle name="20% - Accent1 2 2 2 3 8 3 2 2" xfId="43210"/>
    <cellStyle name="20% - Accent1 2 2 2 3 8 3 3" xfId="29226"/>
    <cellStyle name="20% - Accent1 2 2 2 3 8 3 3 2" xfId="43211"/>
    <cellStyle name="20% - Accent1 2 2 2 3 8 3 4" xfId="29227"/>
    <cellStyle name="20% - Accent1 2 2 2 3 8 3 4 2" xfId="49796"/>
    <cellStyle name="20% - Accent1 2 2 2 3 8 3 5" xfId="36836"/>
    <cellStyle name="20% - Accent1 2 2 2 3 8 4" xfId="11421"/>
    <cellStyle name="20% - Accent1 2 2 2 3 8 4 2" xfId="23222"/>
    <cellStyle name="20% - Accent1 2 2 2 3 8 4 2 2" xfId="49797"/>
    <cellStyle name="20% - Accent1 2 2 2 3 8 4 3" xfId="36837"/>
    <cellStyle name="20% - Accent1 2 2 2 3 8 5" xfId="6491"/>
    <cellStyle name="20% - Accent1 2 2 2 3 8 5 2" xfId="43212"/>
    <cellStyle name="20% - Accent1 2 2 2 3 8 6" xfId="18292"/>
    <cellStyle name="20% - Accent1 2 2 2 3 8 6 2" xfId="49798"/>
    <cellStyle name="20% - Accent1 2 2 2 3 8 7" xfId="31907"/>
    <cellStyle name="20% - Accent1 2 2 2 3 9" xfId="3647"/>
    <cellStyle name="20% - Accent1 2 2 2 3 9 2" xfId="11422"/>
    <cellStyle name="20% - Accent1 2 2 2 3 9 2 2" xfId="23223"/>
    <cellStyle name="20% - Accent1 2 2 2 3 9 2 2 2" xfId="49799"/>
    <cellStyle name="20% - Accent1 2 2 2 3 9 2 3" xfId="36838"/>
    <cellStyle name="20% - Accent1 2 2 2 3 9 3" xfId="9100"/>
    <cellStyle name="20% - Accent1 2 2 2 3 9 3 2" xfId="43213"/>
    <cellStyle name="20% - Accent1 2 2 2 3 9 4" xfId="20901"/>
    <cellStyle name="20% - Accent1 2 2 2 3 9 4 2" xfId="49800"/>
    <cellStyle name="20% - Accent1 2 2 2 3 9 5" xfId="34516"/>
    <cellStyle name="20% - Accent1 2 2 2 4" xfId="25"/>
    <cellStyle name="20% - Accent1 2 2 2 4 10" xfId="1926"/>
    <cellStyle name="20% - Accent1 2 2 2 4 10 2" xfId="11423"/>
    <cellStyle name="20% - Accent1 2 2 2 4 10 2 2" xfId="23224"/>
    <cellStyle name="20% - Accent1 2 2 2 4 10 2 2 2" xfId="49801"/>
    <cellStyle name="20% - Accent1 2 2 2 4 10 2 3" xfId="36839"/>
    <cellStyle name="20% - Accent1 2 2 2 4 10 3" xfId="7379"/>
    <cellStyle name="20% - Accent1 2 2 2 4 10 3 2" xfId="43214"/>
    <cellStyle name="20% - Accent1 2 2 2 4 10 4" xfId="19180"/>
    <cellStyle name="20% - Accent1 2 2 2 4 10 4 2" xfId="49802"/>
    <cellStyle name="20% - Accent1 2 2 2 4 10 5" xfId="32795"/>
    <cellStyle name="20% - Accent1 2 2 2 4 11" xfId="11424"/>
    <cellStyle name="20% - Accent1 2 2 2 4 11 2" xfId="23225"/>
    <cellStyle name="20% - Accent1 2 2 2 4 11 2 2" xfId="49803"/>
    <cellStyle name="20% - Accent1 2 2 2 4 11 3" xfId="36840"/>
    <cellStyle name="20% - Accent1 2 2 2 4 12" xfId="5479"/>
    <cellStyle name="20% - Accent1 2 2 2 4 12 2" xfId="43215"/>
    <cellStyle name="20% - Accent1 2 2 2 4 13" xfId="17280"/>
    <cellStyle name="20% - Accent1 2 2 2 4 13 2" xfId="49804"/>
    <cellStyle name="20% - Accent1 2 2 2 4 14" xfId="30895"/>
    <cellStyle name="20% - Accent1 2 2 2 4 2" xfId="92"/>
    <cellStyle name="20% - Accent1 2 2 2 4 2 10" xfId="5546"/>
    <cellStyle name="20% - Accent1 2 2 2 4 2 10 2" xfId="43216"/>
    <cellStyle name="20% - Accent1 2 2 2 4 2 11" xfId="17347"/>
    <cellStyle name="20% - Accent1 2 2 2 4 2 11 2" xfId="49805"/>
    <cellStyle name="20% - Accent1 2 2 2 4 2 12" xfId="30962"/>
    <cellStyle name="20% - Accent1 2 2 2 4 2 2" xfId="195"/>
    <cellStyle name="20% - Accent1 2 2 2 4 2 2 10" xfId="31065"/>
    <cellStyle name="20% - Accent1 2 2 2 4 2 2 2" xfId="519"/>
    <cellStyle name="20% - Accent1 2 2 2 4 2 2 2 2" xfId="1038"/>
    <cellStyle name="20% - Accent1 2 2 2 4 2 2 2 2 2" xfId="4829"/>
    <cellStyle name="20% - Accent1 2 2 2 4 2 2 2 2 2 2" xfId="11425"/>
    <cellStyle name="20% - Accent1 2 2 2 4 2 2 2 2 2 2 2" xfId="23226"/>
    <cellStyle name="20% - Accent1 2 2 2 4 2 2 2 2 2 2 2 2" xfId="49806"/>
    <cellStyle name="20% - Accent1 2 2 2 4 2 2 2 2 2 2 3" xfId="36841"/>
    <cellStyle name="20% - Accent1 2 2 2 4 2 2 2 2 2 3" xfId="10282"/>
    <cellStyle name="20% - Accent1 2 2 2 4 2 2 2 2 2 3 2" xfId="43217"/>
    <cellStyle name="20% - Accent1 2 2 2 4 2 2 2 2 2 4" xfId="22083"/>
    <cellStyle name="20% - Accent1 2 2 2 4 2 2 2 2 2 4 2" xfId="49807"/>
    <cellStyle name="20% - Accent1 2 2 2 4 2 2 2 2 2 5" xfId="35698"/>
    <cellStyle name="20% - Accent1 2 2 2 4 2 2 2 2 3" xfId="2988"/>
    <cellStyle name="20% - Accent1 2 2 2 4 2 2 2 2 3 2" xfId="11426"/>
    <cellStyle name="20% - Accent1 2 2 2 4 2 2 2 2 3 2 2" xfId="23227"/>
    <cellStyle name="20% - Accent1 2 2 2 4 2 2 2 2 3 2 2 2" xfId="49808"/>
    <cellStyle name="20% - Accent1 2 2 2 4 2 2 2 2 3 2 3" xfId="36842"/>
    <cellStyle name="20% - Accent1 2 2 2 4 2 2 2 2 3 3" xfId="8441"/>
    <cellStyle name="20% - Accent1 2 2 2 4 2 2 2 2 3 3 2" xfId="43218"/>
    <cellStyle name="20% - Accent1 2 2 2 4 2 2 2 2 3 4" xfId="20242"/>
    <cellStyle name="20% - Accent1 2 2 2 4 2 2 2 2 3 4 2" xfId="49809"/>
    <cellStyle name="20% - Accent1 2 2 2 4 2 2 2 2 3 5" xfId="33857"/>
    <cellStyle name="20% - Accent1 2 2 2 4 2 2 2 2 4" xfId="11427"/>
    <cellStyle name="20% - Accent1 2 2 2 4 2 2 2 2 4 2" xfId="23228"/>
    <cellStyle name="20% - Accent1 2 2 2 4 2 2 2 2 4 2 2" xfId="49810"/>
    <cellStyle name="20% - Accent1 2 2 2 4 2 2 2 2 4 3" xfId="36843"/>
    <cellStyle name="20% - Accent1 2 2 2 4 2 2 2 2 5" xfId="6492"/>
    <cellStyle name="20% - Accent1 2 2 2 4 2 2 2 2 5 2" xfId="43219"/>
    <cellStyle name="20% - Accent1 2 2 2 4 2 2 2 2 6" xfId="18293"/>
    <cellStyle name="20% - Accent1 2 2 2 4 2 2 2 2 6 2" xfId="49811"/>
    <cellStyle name="20% - Accent1 2 2 2 4 2 2 2 2 7" xfId="31908"/>
    <cellStyle name="20% - Accent1 2 2 2 4 2 2 2 3" xfId="3556"/>
    <cellStyle name="20% - Accent1 2 2 2 4 2 2 2 3 2" xfId="5397"/>
    <cellStyle name="20% - Accent1 2 2 2 4 2 2 2 3 2 2" xfId="16867"/>
    <cellStyle name="20% - Accent1 2 2 2 4 2 2 2 3 2 2 2" xfId="28668"/>
    <cellStyle name="20% - Accent1 2 2 2 4 2 2 2 3 2 2 2 2" xfId="49812"/>
    <cellStyle name="20% - Accent1 2 2 2 4 2 2 2 3 2 2 3" xfId="42283"/>
    <cellStyle name="20% - Accent1 2 2 2 4 2 2 2 3 2 3" xfId="10850"/>
    <cellStyle name="20% - Accent1 2 2 2 4 2 2 2 3 2 3 2" xfId="49813"/>
    <cellStyle name="20% - Accent1 2 2 2 4 2 2 2 3 2 4" xfId="22651"/>
    <cellStyle name="20% - Accent1 2 2 2 4 2 2 2 3 2 4 2" xfId="49814"/>
    <cellStyle name="20% - Accent1 2 2 2 4 2 2 2 3 2 5" xfId="36266"/>
    <cellStyle name="20% - Accent1 2 2 2 4 2 2 2 3 3" xfId="11428"/>
    <cellStyle name="20% - Accent1 2 2 2 4 2 2 2 3 3 2" xfId="23229"/>
    <cellStyle name="20% - Accent1 2 2 2 4 2 2 2 3 3 2 2" xfId="49815"/>
    <cellStyle name="20% - Accent1 2 2 2 4 2 2 2 3 3 3" xfId="36844"/>
    <cellStyle name="20% - Accent1 2 2 2 4 2 2 2 3 4" xfId="9009"/>
    <cellStyle name="20% - Accent1 2 2 2 4 2 2 2 3 4 2" xfId="49816"/>
    <cellStyle name="20% - Accent1 2 2 2 4 2 2 2 3 5" xfId="20810"/>
    <cellStyle name="20% - Accent1 2 2 2 4 2 2 2 3 5 2" xfId="49817"/>
    <cellStyle name="20% - Accent1 2 2 2 4 2 2 2 3 6" xfId="34425"/>
    <cellStyle name="20% - Accent1 2 2 2 4 2 2 2 4" xfId="4261"/>
    <cellStyle name="20% - Accent1 2 2 2 4 2 2 2 4 2" xfId="11429"/>
    <cellStyle name="20% - Accent1 2 2 2 4 2 2 2 4 2 2" xfId="23230"/>
    <cellStyle name="20% - Accent1 2 2 2 4 2 2 2 4 2 2 2" xfId="49818"/>
    <cellStyle name="20% - Accent1 2 2 2 4 2 2 2 4 2 3" xfId="36845"/>
    <cellStyle name="20% - Accent1 2 2 2 4 2 2 2 4 3" xfId="9714"/>
    <cellStyle name="20% - Accent1 2 2 2 4 2 2 2 4 3 2" xfId="43220"/>
    <cellStyle name="20% - Accent1 2 2 2 4 2 2 2 4 4" xfId="21515"/>
    <cellStyle name="20% - Accent1 2 2 2 4 2 2 2 4 4 2" xfId="49819"/>
    <cellStyle name="20% - Accent1 2 2 2 4 2 2 2 4 5" xfId="35130"/>
    <cellStyle name="20% - Accent1 2 2 2 4 2 2 2 5" xfId="2420"/>
    <cellStyle name="20% - Accent1 2 2 2 4 2 2 2 5 2" xfId="16953"/>
    <cellStyle name="20% - Accent1 2 2 2 4 2 2 2 5 2 2" xfId="28754"/>
    <cellStyle name="20% - Accent1 2 2 2 4 2 2 2 5 2 2 2" xfId="49820"/>
    <cellStyle name="20% - Accent1 2 2 2 4 2 2 2 5 2 3" xfId="42369"/>
    <cellStyle name="20% - Accent1 2 2 2 4 2 2 2 5 3" xfId="7873"/>
    <cellStyle name="20% - Accent1 2 2 2 4 2 2 2 5 3 2" xfId="49821"/>
    <cellStyle name="20% - Accent1 2 2 2 4 2 2 2 5 4" xfId="19674"/>
    <cellStyle name="20% - Accent1 2 2 2 4 2 2 2 5 4 2" xfId="49822"/>
    <cellStyle name="20% - Accent1 2 2 2 4 2 2 2 5 5" xfId="33289"/>
    <cellStyle name="20% - Accent1 2 2 2 4 2 2 2 6" xfId="11430"/>
    <cellStyle name="20% - Accent1 2 2 2 4 2 2 2 6 2" xfId="23231"/>
    <cellStyle name="20% - Accent1 2 2 2 4 2 2 2 6 2 2" xfId="49823"/>
    <cellStyle name="20% - Accent1 2 2 2 4 2 2 2 6 3" xfId="36846"/>
    <cellStyle name="20% - Accent1 2 2 2 4 2 2 2 7" xfId="5973"/>
    <cellStyle name="20% - Accent1 2 2 2 4 2 2 2 7 2" xfId="49824"/>
    <cellStyle name="20% - Accent1 2 2 2 4 2 2 2 8" xfId="17774"/>
    <cellStyle name="20% - Accent1 2 2 2 4 2 2 2 8 2" xfId="49825"/>
    <cellStyle name="20% - Accent1 2 2 2 4 2 2 2 9" xfId="31389"/>
    <cellStyle name="20% - Accent1 2 2 2 4 2 2 3" xfId="763"/>
    <cellStyle name="20% - Accent1 2 2 2 4 2 2 3 2" xfId="1039"/>
    <cellStyle name="20% - Accent1 2 2 2 4 2 2 3 2 2" xfId="4505"/>
    <cellStyle name="20% - Accent1 2 2 2 4 2 2 3 2 2 2" xfId="11431"/>
    <cellStyle name="20% - Accent1 2 2 2 4 2 2 3 2 2 2 2" xfId="23232"/>
    <cellStyle name="20% - Accent1 2 2 2 4 2 2 3 2 2 2 2 2" xfId="49826"/>
    <cellStyle name="20% - Accent1 2 2 2 4 2 2 3 2 2 2 3" xfId="36847"/>
    <cellStyle name="20% - Accent1 2 2 2 4 2 2 3 2 2 3" xfId="9958"/>
    <cellStyle name="20% - Accent1 2 2 2 4 2 2 3 2 2 3 2" xfId="43221"/>
    <cellStyle name="20% - Accent1 2 2 2 4 2 2 3 2 2 4" xfId="21759"/>
    <cellStyle name="20% - Accent1 2 2 2 4 2 2 3 2 2 4 2" xfId="49827"/>
    <cellStyle name="20% - Accent1 2 2 2 4 2 2 3 2 2 5" xfId="35374"/>
    <cellStyle name="20% - Accent1 2 2 2 4 2 2 3 2 3" xfId="11432"/>
    <cellStyle name="20% - Accent1 2 2 2 4 2 2 3 2 3 2" xfId="23233"/>
    <cellStyle name="20% - Accent1 2 2 2 4 2 2 3 2 3 2 2" xfId="43222"/>
    <cellStyle name="20% - Accent1 2 2 2 4 2 2 3 2 3 3" xfId="29228"/>
    <cellStyle name="20% - Accent1 2 2 2 4 2 2 3 2 3 3 2" xfId="43223"/>
    <cellStyle name="20% - Accent1 2 2 2 4 2 2 3 2 3 4" xfId="29229"/>
    <cellStyle name="20% - Accent1 2 2 2 4 2 2 3 2 3 4 2" xfId="49828"/>
    <cellStyle name="20% - Accent1 2 2 2 4 2 2 3 2 3 5" xfId="36848"/>
    <cellStyle name="20% - Accent1 2 2 2 4 2 2 3 2 4" xfId="11433"/>
    <cellStyle name="20% - Accent1 2 2 2 4 2 2 3 2 4 2" xfId="23234"/>
    <cellStyle name="20% - Accent1 2 2 2 4 2 2 3 2 4 2 2" xfId="49829"/>
    <cellStyle name="20% - Accent1 2 2 2 4 2 2 3 2 4 3" xfId="36849"/>
    <cellStyle name="20% - Accent1 2 2 2 4 2 2 3 2 5" xfId="6493"/>
    <cellStyle name="20% - Accent1 2 2 2 4 2 2 3 2 5 2" xfId="43224"/>
    <cellStyle name="20% - Accent1 2 2 2 4 2 2 3 2 6" xfId="18294"/>
    <cellStyle name="20% - Accent1 2 2 2 4 2 2 3 2 6 2" xfId="49830"/>
    <cellStyle name="20% - Accent1 2 2 2 4 2 2 3 2 7" xfId="31909"/>
    <cellStyle name="20% - Accent1 2 2 2 4 2 2 3 3" xfId="2664"/>
    <cellStyle name="20% - Accent1 2 2 2 4 2 2 3 3 2" xfId="11434"/>
    <cellStyle name="20% - Accent1 2 2 2 4 2 2 3 3 2 2" xfId="23235"/>
    <cellStyle name="20% - Accent1 2 2 2 4 2 2 3 3 2 2 2" xfId="49831"/>
    <cellStyle name="20% - Accent1 2 2 2 4 2 2 3 3 2 3" xfId="36850"/>
    <cellStyle name="20% - Accent1 2 2 2 4 2 2 3 3 3" xfId="8117"/>
    <cellStyle name="20% - Accent1 2 2 2 4 2 2 3 3 3 2" xfId="43225"/>
    <cellStyle name="20% - Accent1 2 2 2 4 2 2 3 3 4" xfId="19918"/>
    <cellStyle name="20% - Accent1 2 2 2 4 2 2 3 3 4 2" xfId="49832"/>
    <cellStyle name="20% - Accent1 2 2 2 4 2 2 3 3 5" xfId="33533"/>
    <cellStyle name="20% - Accent1 2 2 2 4 2 2 3 4" xfId="11435"/>
    <cellStyle name="20% - Accent1 2 2 2 4 2 2 3 4 2" xfId="23236"/>
    <cellStyle name="20% - Accent1 2 2 2 4 2 2 3 4 2 2" xfId="43226"/>
    <cellStyle name="20% - Accent1 2 2 2 4 2 2 3 4 3" xfId="29230"/>
    <cellStyle name="20% - Accent1 2 2 2 4 2 2 3 4 3 2" xfId="43227"/>
    <cellStyle name="20% - Accent1 2 2 2 4 2 2 3 4 4" xfId="29231"/>
    <cellStyle name="20% - Accent1 2 2 2 4 2 2 3 4 4 2" xfId="49833"/>
    <cellStyle name="20% - Accent1 2 2 2 4 2 2 3 4 5" xfId="36851"/>
    <cellStyle name="20% - Accent1 2 2 2 4 2 2 3 5" xfId="11436"/>
    <cellStyle name="20% - Accent1 2 2 2 4 2 2 3 5 2" xfId="23237"/>
    <cellStyle name="20% - Accent1 2 2 2 4 2 2 3 5 2 2" xfId="49834"/>
    <cellStyle name="20% - Accent1 2 2 2 4 2 2 3 5 3" xfId="36852"/>
    <cellStyle name="20% - Accent1 2 2 2 4 2 2 3 6" xfId="6217"/>
    <cellStyle name="20% - Accent1 2 2 2 4 2 2 3 6 2" xfId="43228"/>
    <cellStyle name="20% - Accent1 2 2 2 4 2 2 3 7" xfId="18018"/>
    <cellStyle name="20% - Accent1 2 2 2 4 2 2 3 7 2" xfId="49835"/>
    <cellStyle name="20% - Accent1 2 2 2 4 2 2 3 8" xfId="31633"/>
    <cellStyle name="20% - Accent1 2 2 2 4 2 2 4" xfId="1040"/>
    <cellStyle name="20% - Accent1 2 2 2 4 2 2 4 2" xfId="5073"/>
    <cellStyle name="20% - Accent1 2 2 2 4 2 2 4 2 2" xfId="11437"/>
    <cellStyle name="20% - Accent1 2 2 2 4 2 2 4 2 2 2" xfId="23238"/>
    <cellStyle name="20% - Accent1 2 2 2 4 2 2 4 2 2 2 2" xfId="49836"/>
    <cellStyle name="20% - Accent1 2 2 2 4 2 2 4 2 2 3" xfId="36853"/>
    <cellStyle name="20% - Accent1 2 2 2 4 2 2 4 2 3" xfId="10526"/>
    <cellStyle name="20% - Accent1 2 2 2 4 2 2 4 2 3 2" xfId="43229"/>
    <cellStyle name="20% - Accent1 2 2 2 4 2 2 4 2 4" xfId="22327"/>
    <cellStyle name="20% - Accent1 2 2 2 4 2 2 4 2 4 2" xfId="49837"/>
    <cellStyle name="20% - Accent1 2 2 2 4 2 2 4 2 5" xfId="35942"/>
    <cellStyle name="20% - Accent1 2 2 2 4 2 2 4 3" xfId="3232"/>
    <cellStyle name="20% - Accent1 2 2 2 4 2 2 4 3 2" xfId="11438"/>
    <cellStyle name="20% - Accent1 2 2 2 4 2 2 4 3 2 2" xfId="23239"/>
    <cellStyle name="20% - Accent1 2 2 2 4 2 2 4 3 2 2 2" xfId="49838"/>
    <cellStyle name="20% - Accent1 2 2 2 4 2 2 4 3 2 3" xfId="36854"/>
    <cellStyle name="20% - Accent1 2 2 2 4 2 2 4 3 3" xfId="8685"/>
    <cellStyle name="20% - Accent1 2 2 2 4 2 2 4 3 3 2" xfId="43230"/>
    <cellStyle name="20% - Accent1 2 2 2 4 2 2 4 3 4" xfId="20486"/>
    <cellStyle name="20% - Accent1 2 2 2 4 2 2 4 3 4 2" xfId="49839"/>
    <cellStyle name="20% - Accent1 2 2 2 4 2 2 4 3 5" xfId="34101"/>
    <cellStyle name="20% - Accent1 2 2 2 4 2 2 4 4" xfId="11439"/>
    <cellStyle name="20% - Accent1 2 2 2 4 2 2 4 4 2" xfId="23240"/>
    <cellStyle name="20% - Accent1 2 2 2 4 2 2 4 4 2 2" xfId="49840"/>
    <cellStyle name="20% - Accent1 2 2 2 4 2 2 4 4 3" xfId="36855"/>
    <cellStyle name="20% - Accent1 2 2 2 4 2 2 4 5" xfId="6494"/>
    <cellStyle name="20% - Accent1 2 2 2 4 2 2 4 5 2" xfId="43231"/>
    <cellStyle name="20% - Accent1 2 2 2 4 2 2 4 6" xfId="18295"/>
    <cellStyle name="20% - Accent1 2 2 2 4 2 2 4 6 2" xfId="49841"/>
    <cellStyle name="20% - Accent1 2 2 2 4 2 2 4 7" xfId="31910"/>
    <cellStyle name="20% - Accent1 2 2 2 4 2 2 5" xfId="3937"/>
    <cellStyle name="20% - Accent1 2 2 2 4 2 2 5 2" xfId="11440"/>
    <cellStyle name="20% - Accent1 2 2 2 4 2 2 5 2 2" xfId="23241"/>
    <cellStyle name="20% - Accent1 2 2 2 4 2 2 5 2 2 2" xfId="49842"/>
    <cellStyle name="20% - Accent1 2 2 2 4 2 2 5 2 3" xfId="36856"/>
    <cellStyle name="20% - Accent1 2 2 2 4 2 2 5 3" xfId="9390"/>
    <cellStyle name="20% - Accent1 2 2 2 4 2 2 5 3 2" xfId="43232"/>
    <cellStyle name="20% - Accent1 2 2 2 4 2 2 5 4" xfId="21191"/>
    <cellStyle name="20% - Accent1 2 2 2 4 2 2 5 4 2" xfId="49843"/>
    <cellStyle name="20% - Accent1 2 2 2 4 2 2 5 5" xfId="34806"/>
    <cellStyle name="20% - Accent1 2 2 2 4 2 2 6" xfId="2096"/>
    <cellStyle name="20% - Accent1 2 2 2 4 2 2 6 2" xfId="11441"/>
    <cellStyle name="20% - Accent1 2 2 2 4 2 2 6 2 2" xfId="23242"/>
    <cellStyle name="20% - Accent1 2 2 2 4 2 2 6 2 2 2" xfId="49844"/>
    <cellStyle name="20% - Accent1 2 2 2 4 2 2 6 2 3" xfId="36857"/>
    <cellStyle name="20% - Accent1 2 2 2 4 2 2 6 3" xfId="7549"/>
    <cellStyle name="20% - Accent1 2 2 2 4 2 2 6 3 2" xfId="43233"/>
    <cellStyle name="20% - Accent1 2 2 2 4 2 2 6 4" xfId="19350"/>
    <cellStyle name="20% - Accent1 2 2 2 4 2 2 6 4 2" xfId="49845"/>
    <cellStyle name="20% - Accent1 2 2 2 4 2 2 6 5" xfId="32965"/>
    <cellStyle name="20% - Accent1 2 2 2 4 2 2 7" xfId="11442"/>
    <cellStyle name="20% - Accent1 2 2 2 4 2 2 7 2" xfId="23243"/>
    <cellStyle name="20% - Accent1 2 2 2 4 2 2 7 2 2" xfId="49846"/>
    <cellStyle name="20% - Accent1 2 2 2 4 2 2 7 3" xfId="36858"/>
    <cellStyle name="20% - Accent1 2 2 2 4 2 2 8" xfId="5649"/>
    <cellStyle name="20% - Accent1 2 2 2 4 2 2 8 2" xfId="43234"/>
    <cellStyle name="20% - Accent1 2 2 2 4 2 2 9" xfId="17450"/>
    <cellStyle name="20% - Accent1 2 2 2 4 2 2 9 2" xfId="49847"/>
    <cellStyle name="20% - Accent1 2 2 2 4 2 3" xfId="382"/>
    <cellStyle name="20% - Accent1 2 2 2 4 2 3 2" xfId="1041"/>
    <cellStyle name="20% - Accent1 2 2 2 4 2 3 2 2" xfId="4692"/>
    <cellStyle name="20% - Accent1 2 2 2 4 2 3 2 2 2" xfId="11443"/>
    <cellStyle name="20% - Accent1 2 2 2 4 2 3 2 2 2 2" xfId="23244"/>
    <cellStyle name="20% - Accent1 2 2 2 4 2 3 2 2 2 2 2" xfId="49848"/>
    <cellStyle name="20% - Accent1 2 2 2 4 2 3 2 2 2 3" xfId="36859"/>
    <cellStyle name="20% - Accent1 2 2 2 4 2 3 2 2 3" xfId="10145"/>
    <cellStyle name="20% - Accent1 2 2 2 4 2 3 2 2 3 2" xfId="43235"/>
    <cellStyle name="20% - Accent1 2 2 2 4 2 3 2 2 4" xfId="21946"/>
    <cellStyle name="20% - Accent1 2 2 2 4 2 3 2 2 4 2" xfId="49849"/>
    <cellStyle name="20% - Accent1 2 2 2 4 2 3 2 2 5" xfId="35561"/>
    <cellStyle name="20% - Accent1 2 2 2 4 2 3 2 3" xfId="2851"/>
    <cellStyle name="20% - Accent1 2 2 2 4 2 3 2 3 2" xfId="11444"/>
    <cellStyle name="20% - Accent1 2 2 2 4 2 3 2 3 2 2" xfId="23245"/>
    <cellStyle name="20% - Accent1 2 2 2 4 2 3 2 3 2 2 2" xfId="49850"/>
    <cellStyle name="20% - Accent1 2 2 2 4 2 3 2 3 2 3" xfId="36860"/>
    <cellStyle name="20% - Accent1 2 2 2 4 2 3 2 3 3" xfId="8304"/>
    <cellStyle name="20% - Accent1 2 2 2 4 2 3 2 3 3 2" xfId="43236"/>
    <cellStyle name="20% - Accent1 2 2 2 4 2 3 2 3 4" xfId="20105"/>
    <cellStyle name="20% - Accent1 2 2 2 4 2 3 2 3 4 2" xfId="49851"/>
    <cellStyle name="20% - Accent1 2 2 2 4 2 3 2 3 5" xfId="33720"/>
    <cellStyle name="20% - Accent1 2 2 2 4 2 3 2 4" xfId="11445"/>
    <cellStyle name="20% - Accent1 2 2 2 4 2 3 2 4 2" xfId="23246"/>
    <cellStyle name="20% - Accent1 2 2 2 4 2 3 2 4 2 2" xfId="49852"/>
    <cellStyle name="20% - Accent1 2 2 2 4 2 3 2 4 3" xfId="36861"/>
    <cellStyle name="20% - Accent1 2 2 2 4 2 3 2 5" xfId="6495"/>
    <cellStyle name="20% - Accent1 2 2 2 4 2 3 2 5 2" xfId="43237"/>
    <cellStyle name="20% - Accent1 2 2 2 4 2 3 2 6" xfId="18296"/>
    <cellStyle name="20% - Accent1 2 2 2 4 2 3 2 6 2" xfId="49853"/>
    <cellStyle name="20% - Accent1 2 2 2 4 2 3 2 7" xfId="31911"/>
    <cellStyle name="20% - Accent1 2 2 2 4 2 3 3" xfId="3419"/>
    <cellStyle name="20% - Accent1 2 2 2 4 2 3 3 2" xfId="5260"/>
    <cellStyle name="20% - Accent1 2 2 2 4 2 3 3 2 2" xfId="16730"/>
    <cellStyle name="20% - Accent1 2 2 2 4 2 3 3 2 2 2" xfId="28531"/>
    <cellStyle name="20% - Accent1 2 2 2 4 2 3 3 2 2 2 2" xfId="49854"/>
    <cellStyle name="20% - Accent1 2 2 2 4 2 3 3 2 2 3" xfId="42146"/>
    <cellStyle name="20% - Accent1 2 2 2 4 2 3 3 2 3" xfId="10713"/>
    <cellStyle name="20% - Accent1 2 2 2 4 2 3 3 2 3 2" xfId="49855"/>
    <cellStyle name="20% - Accent1 2 2 2 4 2 3 3 2 4" xfId="22514"/>
    <cellStyle name="20% - Accent1 2 2 2 4 2 3 3 2 4 2" xfId="49856"/>
    <cellStyle name="20% - Accent1 2 2 2 4 2 3 3 2 5" xfId="36129"/>
    <cellStyle name="20% - Accent1 2 2 2 4 2 3 3 3" xfId="11446"/>
    <cellStyle name="20% - Accent1 2 2 2 4 2 3 3 3 2" xfId="23247"/>
    <cellStyle name="20% - Accent1 2 2 2 4 2 3 3 3 2 2" xfId="49857"/>
    <cellStyle name="20% - Accent1 2 2 2 4 2 3 3 3 3" xfId="36862"/>
    <cellStyle name="20% - Accent1 2 2 2 4 2 3 3 4" xfId="8872"/>
    <cellStyle name="20% - Accent1 2 2 2 4 2 3 3 4 2" xfId="49858"/>
    <cellStyle name="20% - Accent1 2 2 2 4 2 3 3 5" xfId="20673"/>
    <cellStyle name="20% - Accent1 2 2 2 4 2 3 3 5 2" xfId="49859"/>
    <cellStyle name="20% - Accent1 2 2 2 4 2 3 3 6" xfId="34288"/>
    <cellStyle name="20% - Accent1 2 2 2 4 2 3 4" xfId="4124"/>
    <cellStyle name="20% - Accent1 2 2 2 4 2 3 4 2" xfId="11447"/>
    <cellStyle name="20% - Accent1 2 2 2 4 2 3 4 2 2" xfId="23248"/>
    <cellStyle name="20% - Accent1 2 2 2 4 2 3 4 2 2 2" xfId="49860"/>
    <cellStyle name="20% - Accent1 2 2 2 4 2 3 4 2 3" xfId="36863"/>
    <cellStyle name="20% - Accent1 2 2 2 4 2 3 4 3" xfId="9577"/>
    <cellStyle name="20% - Accent1 2 2 2 4 2 3 4 3 2" xfId="43238"/>
    <cellStyle name="20% - Accent1 2 2 2 4 2 3 4 4" xfId="21378"/>
    <cellStyle name="20% - Accent1 2 2 2 4 2 3 4 4 2" xfId="49861"/>
    <cellStyle name="20% - Accent1 2 2 2 4 2 3 4 5" xfId="34993"/>
    <cellStyle name="20% - Accent1 2 2 2 4 2 3 5" xfId="2283"/>
    <cellStyle name="20% - Accent1 2 2 2 4 2 3 5 2" xfId="16954"/>
    <cellStyle name="20% - Accent1 2 2 2 4 2 3 5 2 2" xfId="28755"/>
    <cellStyle name="20% - Accent1 2 2 2 4 2 3 5 2 2 2" xfId="49862"/>
    <cellStyle name="20% - Accent1 2 2 2 4 2 3 5 2 3" xfId="42370"/>
    <cellStyle name="20% - Accent1 2 2 2 4 2 3 5 3" xfId="7736"/>
    <cellStyle name="20% - Accent1 2 2 2 4 2 3 5 3 2" xfId="49863"/>
    <cellStyle name="20% - Accent1 2 2 2 4 2 3 5 4" xfId="19537"/>
    <cellStyle name="20% - Accent1 2 2 2 4 2 3 5 4 2" xfId="49864"/>
    <cellStyle name="20% - Accent1 2 2 2 4 2 3 5 5" xfId="33152"/>
    <cellStyle name="20% - Accent1 2 2 2 4 2 3 6" xfId="11448"/>
    <cellStyle name="20% - Accent1 2 2 2 4 2 3 6 2" xfId="23249"/>
    <cellStyle name="20% - Accent1 2 2 2 4 2 3 6 2 2" xfId="49865"/>
    <cellStyle name="20% - Accent1 2 2 2 4 2 3 6 3" xfId="36864"/>
    <cellStyle name="20% - Accent1 2 2 2 4 2 3 7" xfId="5836"/>
    <cellStyle name="20% - Accent1 2 2 2 4 2 3 7 2" xfId="49866"/>
    <cellStyle name="20% - Accent1 2 2 2 4 2 3 8" xfId="17637"/>
    <cellStyle name="20% - Accent1 2 2 2 4 2 3 8 2" xfId="49867"/>
    <cellStyle name="20% - Accent1 2 2 2 4 2 3 9" xfId="31252"/>
    <cellStyle name="20% - Accent1 2 2 2 4 2 4" xfId="660"/>
    <cellStyle name="20% - Accent1 2 2 2 4 2 4 2" xfId="1042"/>
    <cellStyle name="20% - Accent1 2 2 2 4 2 4 2 2" xfId="4402"/>
    <cellStyle name="20% - Accent1 2 2 2 4 2 4 2 2 2" xfId="11449"/>
    <cellStyle name="20% - Accent1 2 2 2 4 2 4 2 2 2 2" xfId="23250"/>
    <cellStyle name="20% - Accent1 2 2 2 4 2 4 2 2 2 2 2" xfId="49868"/>
    <cellStyle name="20% - Accent1 2 2 2 4 2 4 2 2 2 3" xfId="36865"/>
    <cellStyle name="20% - Accent1 2 2 2 4 2 4 2 2 3" xfId="9855"/>
    <cellStyle name="20% - Accent1 2 2 2 4 2 4 2 2 3 2" xfId="43239"/>
    <cellStyle name="20% - Accent1 2 2 2 4 2 4 2 2 4" xfId="21656"/>
    <cellStyle name="20% - Accent1 2 2 2 4 2 4 2 2 4 2" xfId="49869"/>
    <cellStyle name="20% - Accent1 2 2 2 4 2 4 2 2 5" xfId="35271"/>
    <cellStyle name="20% - Accent1 2 2 2 4 2 4 2 3" xfId="11450"/>
    <cellStyle name="20% - Accent1 2 2 2 4 2 4 2 3 2" xfId="23251"/>
    <cellStyle name="20% - Accent1 2 2 2 4 2 4 2 3 2 2" xfId="43240"/>
    <cellStyle name="20% - Accent1 2 2 2 4 2 4 2 3 3" xfId="29232"/>
    <cellStyle name="20% - Accent1 2 2 2 4 2 4 2 3 3 2" xfId="43241"/>
    <cellStyle name="20% - Accent1 2 2 2 4 2 4 2 3 4" xfId="29233"/>
    <cellStyle name="20% - Accent1 2 2 2 4 2 4 2 3 4 2" xfId="49870"/>
    <cellStyle name="20% - Accent1 2 2 2 4 2 4 2 3 5" xfId="36866"/>
    <cellStyle name="20% - Accent1 2 2 2 4 2 4 2 4" xfId="11451"/>
    <cellStyle name="20% - Accent1 2 2 2 4 2 4 2 4 2" xfId="23252"/>
    <cellStyle name="20% - Accent1 2 2 2 4 2 4 2 4 2 2" xfId="49871"/>
    <cellStyle name="20% - Accent1 2 2 2 4 2 4 2 4 3" xfId="36867"/>
    <cellStyle name="20% - Accent1 2 2 2 4 2 4 2 5" xfId="6496"/>
    <cellStyle name="20% - Accent1 2 2 2 4 2 4 2 5 2" xfId="43242"/>
    <cellStyle name="20% - Accent1 2 2 2 4 2 4 2 6" xfId="18297"/>
    <cellStyle name="20% - Accent1 2 2 2 4 2 4 2 6 2" xfId="49872"/>
    <cellStyle name="20% - Accent1 2 2 2 4 2 4 2 7" xfId="31912"/>
    <cellStyle name="20% - Accent1 2 2 2 4 2 4 3" xfId="2561"/>
    <cellStyle name="20% - Accent1 2 2 2 4 2 4 3 2" xfId="11452"/>
    <cellStyle name="20% - Accent1 2 2 2 4 2 4 3 2 2" xfId="23253"/>
    <cellStyle name="20% - Accent1 2 2 2 4 2 4 3 2 2 2" xfId="49873"/>
    <cellStyle name="20% - Accent1 2 2 2 4 2 4 3 2 3" xfId="36868"/>
    <cellStyle name="20% - Accent1 2 2 2 4 2 4 3 3" xfId="8014"/>
    <cellStyle name="20% - Accent1 2 2 2 4 2 4 3 3 2" xfId="43243"/>
    <cellStyle name="20% - Accent1 2 2 2 4 2 4 3 4" xfId="19815"/>
    <cellStyle name="20% - Accent1 2 2 2 4 2 4 3 4 2" xfId="49874"/>
    <cellStyle name="20% - Accent1 2 2 2 4 2 4 3 5" xfId="33430"/>
    <cellStyle name="20% - Accent1 2 2 2 4 2 4 4" xfId="11453"/>
    <cellStyle name="20% - Accent1 2 2 2 4 2 4 4 2" xfId="23254"/>
    <cellStyle name="20% - Accent1 2 2 2 4 2 4 4 2 2" xfId="43244"/>
    <cellStyle name="20% - Accent1 2 2 2 4 2 4 4 3" xfId="29234"/>
    <cellStyle name="20% - Accent1 2 2 2 4 2 4 4 3 2" xfId="43245"/>
    <cellStyle name="20% - Accent1 2 2 2 4 2 4 4 4" xfId="29235"/>
    <cellStyle name="20% - Accent1 2 2 2 4 2 4 4 4 2" xfId="49875"/>
    <cellStyle name="20% - Accent1 2 2 2 4 2 4 4 5" xfId="36869"/>
    <cellStyle name="20% - Accent1 2 2 2 4 2 4 5" xfId="11454"/>
    <cellStyle name="20% - Accent1 2 2 2 4 2 4 5 2" xfId="23255"/>
    <cellStyle name="20% - Accent1 2 2 2 4 2 4 5 2 2" xfId="49876"/>
    <cellStyle name="20% - Accent1 2 2 2 4 2 4 5 3" xfId="36870"/>
    <cellStyle name="20% - Accent1 2 2 2 4 2 4 6" xfId="6114"/>
    <cellStyle name="20% - Accent1 2 2 2 4 2 4 6 2" xfId="43246"/>
    <cellStyle name="20% - Accent1 2 2 2 4 2 4 7" xfId="17915"/>
    <cellStyle name="20% - Accent1 2 2 2 4 2 4 7 2" xfId="49877"/>
    <cellStyle name="20% - Accent1 2 2 2 4 2 4 8" xfId="31530"/>
    <cellStyle name="20% - Accent1 2 2 2 4 2 5" xfId="901"/>
    <cellStyle name="20% - Accent1 2 2 2 4 2 5 2" xfId="1043"/>
    <cellStyle name="20% - Accent1 2 2 2 4 2 5 2 2" xfId="4970"/>
    <cellStyle name="20% - Accent1 2 2 2 4 2 5 2 2 2" xfId="11455"/>
    <cellStyle name="20% - Accent1 2 2 2 4 2 5 2 2 2 2" xfId="23256"/>
    <cellStyle name="20% - Accent1 2 2 2 4 2 5 2 2 2 2 2" xfId="49878"/>
    <cellStyle name="20% - Accent1 2 2 2 4 2 5 2 2 2 3" xfId="36871"/>
    <cellStyle name="20% - Accent1 2 2 2 4 2 5 2 2 3" xfId="10423"/>
    <cellStyle name="20% - Accent1 2 2 2 4 2 5 2 2 3 2" xfId="43247"/>
    <cellStyle name="20% - Accent1 2 2 2 4 2 5 2 2 4" xfId="22224"/>
    <cellStyle name="20% - Accent1 2 2 2 4 2 5 2 2 4 2" xfId="49879"/>
    <cellStyle name="20% - Accent1 2 2 2 4 2 5 2 2 5" xfId="35839"/>
    <cellStyle name="20% - Accent1 2 2 2 4 2 5 2 3" xfId="11456"/>
    <cellStyle name="20% - Accent1 2 2 2 4 2 5 2 3 2" xfId="23257"/>
    <cellStyle name="20% - Accent1 2 2 2 4 2 5 2 3 2 2" xfId="43248"/>
    <cellStyle name="20% - Accent1 2 2 2 4 2 5 2 3 3" xfId="29236"/>
    <cellStyle name="20% - Accent1 2 2 2 4 2 5 2 3 3 2" xfId="43249"/>
    <cellStyle name="20% - Accent1 2 2 2 4 2 5 2 3 4" xfId="29237"/>
    <cellStyle name="20% - Accent1 2 2 2 4 2 5 2 3 4 2" xfId="49880"/>
    <cellStyle name="20% - Accent1 2 2 2 4 2 5 2 3 5" xfId="36872"/>
    <cellStyle name="20% - Accent1 2 2 2 4 2 5 2 4" xfId="11457"/>
    <cellStyle name="20% - Accent1 2 2 2 4 2 5 2 4 2" xfId="23258"/>
    <cellStyle name="20% - Accent1 2 2 2 4 2 5 2 4 2 2" xfId="49881"/>
    <cellStyle name="20% - Accent1 2 2 2 4 2 5 2 4 3" xfId="36873"/>
    <cellStyle name="20% - Accent1 2 2 2 4 2 5 2 5" xfId="6497"/>
    <cellStyle name="20% - Accent1 2 2 2 4 2 5 2 5 2" xfId="43250"/>
    <cellStyle name="20% - Accent1 2 2 2 4 2 5 2 6" xfId="18298"/>
    <cellStyle name="20% - Accent1 2 2 2 4 2 5 2 6 2" xfId="49882"/>
    <cellStyle name="20% - Accent1 2 2 2 4 2 5 2 7" xfId="31913"/>
    <cellStyle name="20% - Accent1 2 2 2 4 2 5 3" xfId="3129"/>
    <cellStyle name="20% - Accent1 2 2 2 4 2 5 3 2" xfId="11458"/>
    <cellStyle name="20% - Accent1 2 2 2 4 2 5 3 2 2" xfId="23259"/>
    <cellStyle name="20% - Accent1 2 2 2 4 2 5 3 2 2 2" xfId="49883"/>
    <cellStyle name="20% - Accent1 2 2 2 4 2 5 3 2 3" xfId="36874"/>
    <cellStyle name="20% - Accent1 2 2 2 4 2 5 3 3" xfId="8582"/>
    <cellStyle name="20% - Accent1 2 2 2 4 2 5 3 3 2" xfId="43251"/>
    <cellStyle name="20% - Accent1 2 2 2 4 2 5 3 4" xfId="20383"/>
    <cellStyle name="20% - Accent1 2 2 2 4 2 5 3 4 2" xfId="49884"/>
    <cellStyle name="20% - Accent1 2 2 2 4 2 5 3 5" xfId="33998"/>
    <cellStyle name="20% - Accent1 2 2 2 4 2 5 4" xfId="11459"/>
    <cellStyle name="20% - Accent1 2 2 2 4 2 5 4 2" xfId="23260"/>
    <cellStyle name="20% - Accent1 2 2 2 4 2 5 4 2 2" xfId="43252"/>
    <cellStyle name="20% - Accent1 2 2 2 4 2 5 4 3" xfId="29238"/>
    <cellStyle name="20% - Accent1 2 2 2 4 2 5 4 3 2" xfId="43253"/>
    <cellStyle name="20% - Accent1 2 2 2 4 2 5 4 4" xfId="29239"/>
    <cellStyle name="20% - Accent1 2 2 2 4 2 5 4 4 2" xfId="49885"/>
    <cellStyle name="20% - Accent1 2 2 2 4 2 5 4 5" xfId="36875"/>
    <cellStyle name="20% - Accent1 2 2 2 4 2 5 5" xfId="11460"/>
    <cellStyle name="20% - Accent1 2 2 2 4 2 5 5 2" xfId="23261"/>
    <cellStyle name="20% - Accent1 2 2 2 4 2 5 5 2 2" xfId="49886"/>
    <cellStyle name="20% - Accent1 2 2 2 4 2 5 5 3" xfId="36876"/>
    <cellStyle name="20% - Accent1 2 2 2 4 2 5 6" xfId="6355"/>
    <cellStyle name="20% - Accent1 2 2 2 4 2 5 6 2" xfId="43254"/>
    <cellStyle name="20% - Accent1 2 2 2 4 2 5 7" xfId="18156"/>
    <cellStyle name="20% - Accent1 2 2 2 4 2 5 7 2" xfId="49887"/>
    <cellStyle name="20% - Accent1 2 2 2 4 2 5 8" xfId="31771"/>
    <cellStyle name="20% - Accent1 2 2 2 4 2 6" xfId="1044"/>
    <cellStyle name="20% - Accent1 2 2 2 4 2 6 2" xfId="3834"/>
    <cellStyle name="20% - Accent1 2 2 2 4 2 6 2 2" xfId="11461"/>
    <cellStyle name="20% - Accent1 2 2 2 4 2 6 2 2 2" xfId="23262"/>
    <cellStyle name="20% - Accent1 2 2 2 4 2 6 2 2 2 2" xfId="49888"/>
    <cellStyle name="20% - Accent1 2 2 2 4 2 6 2 2 3" xfId="36877"/>
    <cellStyle name="20% - Accent1 2 2 2 4 2 6 2 3" xfId="9287"/>
    <cellStyle name="20% - Accent1 2 2 2 4 2 6 2 3 2" xfId="43255"/>
    <cellStyle name="20% - Accent1 2 2 2 4 2 6 2 4" xfId="21088"/>
    <cellStyle name="20% - Accent1 2 2 2 4 2 6 2 4 2" xfId="49889"/>
    <cellStyle name="20% - Accent1 2 2 2 4 2 6 2 5" xfId="34703"/>
    <cellStyle name="20% - Accent1 2 2 2 4 2 6 3" xfId="11462"/>
    <cellStyle name="20% - Accent1 2 2 2 4 2 6 3 2" xfId="23263"/>
    <cellStyle name="20% - Accent1 2 2 2 4 2 6 3 2 2" xfId="43256"/>
    <cellStyle name="20% - Accent1 2 2 2 4 2 6 3 3" xfId="29240"/>
    <cellStyle name="20% - Accent1 2 2 2 4 2 6 3 3 2" xfId="43257"/>
    <cellStyle name="20% - Accent1 2 2 2 4 2 6 3 4" xfId="29241"/>
    <cellStyle name="20% - Accent1 2 2 2 4 2 6 3 4 2" xfId="49890"/>
    <cellStyle name="20% - Accent1 2 2 2 4 2 6 3 5" xfId="36878"/>
    <cellStyle name="20% - Accent1 2 2 2 4 2 6 4" xfId="11463"/>
    <cellStyle name="20% - Accent1 2 2 2 4 2 6 4 2" xfId="23264"/>
    <cellStyle name="20% - Accent1 2 2 2 4 2 6 4 2 2" xfId="49891"/>
    <cellStyle name="20% - Accent1 2 2 2 4 2 6 4 3" xfId="36879"/>
    <cellStyle name="20% - Accent1 2 2 2 4 2 6 5" xfId="6498"/>
    <cellStyle name="20% - Accent1 2 2 2 4 2 6 5 2" xfId="43258"/>
    <cellStyle name="20% - Accent1 2 2 2 4 2 6 6" xfId="18299"/>
    <cellStyle name="20% - Accent1 2 2 2 4 2 6 6 2" xfId="49892"/>
    <cellStyle name="20% - Accent1 2 2 2 4 2 6 7" xfId="31914"/>
    <cellStyle name="20% - Accent1 2 2 2 4 2 7" xfId="3697"/>
    <cellStyle name="20% - Accent1 2 2 2 4 2 7 2" xfId="11464"/>
    <cellStyle name="20% - Accent1 2 2 2 4 2 7 2 2" xfId="23265"/>
    <cellStyle name="20% - Accent1 2 2 2 4 2 7 2 2 2" xfId="49893"/>
    <cellStyle name="20% - Accent1 2 2 2 4 2 7 2 3" xfId="36880"/>
    <cellStyle name="20% - Accent1 2 2 2 4 2 7 3" xfId="9150"/>
    <cellStyle name="20% - Accent1 2 2 2 4 2 7 3 2" xfId="43259"/>
    <cellStyle name="20% - Accent1 2 2 2 4 2 7 4" xfId="20951"/>
    <cellStyle name="20% - Accent1 2 2 2 4 2 7 4 2" xfId="49894"/>
    <cellStyle name="20% - Accent1 2 2 2 4 2 7 5" xfId="34566"/>
    <cellStyle name="20% - Accent1 2 2 2 4 2 8" xfId="1993"/>
    <cellStyle name="20% - Accent1 2 2 2 4 2 8 2" xfId="11465"/>
    <cellStyle name="20% - Accent1 2 2 2 4 2 8 2 2" xfId="23266"/>
    <cellStyle name="20% - Accent1 2 2 2 4 2 8 2 2 2" xfId="49895"/>
    <cellStyle name="20% - Accent1 2 2 2 4 2 8 2 3" xfId="36881"/>
    <cellStyle name="20% - Accent1 2 2 2 4 2 8 3" xfId="7446"/>
    <cellStyle name="20% - Accent1 2 2 2 4 2 8 3 2" xfId="43260"/>
    <cellStyle name="20% - Accent1 2 2 2 4 2 8 4" xfId="19247"/>
    <cellStyle name="20% - Accent1 2 2 2 4 2 8 4 2" xfId="49896"/>
    <cellStyle name="20% - Accent1 2 2 2 4 2 8 5" xfId="32862"/>
    <cellStyle name="20% - Accent1 2 2 2 4 2 9" xfId="11466"/>
    <cellStyle name="20% - Accent1 2 2 2 4 2 9 2" xfId="23267"/>
    <cellStyle name="20% - Accent1 2 2 2 4 2 9 2 2" xfId="49897"/>
    <cellStyle name="20% - Accent1 2 2 2 4 2 9 3" xfId="36882"/>
    <cellStyle name="20% - Accent1 2 2 2 4 3" xfId="159"/>
    <cellStyle name="20% - Accent1 2 2 2 4 3 10" xfId="31029"/>
    <cellStyle name="20% - Accent1 2 2 2 4 3 2" xfId="315"/>
    <cellStyle name="20% - Accent1 2 2 2 4 3 2 2" xfId="1045"/>
    <cellStyle name="20% - Accent1 2 2 2 4 3 2 2 2" xfId="4625"/>
    <cellStyle name="20% - Accent1 2 2 2 4 3 2 2 2 2" xfId="11467"/>
    <cellStyle name="20% - Accent1 2 2 2 4 3 2 2 2 2 2" xfId="23268"/>
    <cellStyle name="20% - Accent1 2 2 2 4 3 2 2 2 2 2 2" xfId="49898"/>
    <cellStyle name="20% - Accent1 2 2 2 4 3 2 2 2 2 3" xfId="36883"/>
    <cellStyle name="20% - Accent1 2 2 2 4 3 2 2 2 3" xfId="10078"/>
    <cellStyle name="20% - Accent1 2 2 2 4 3 2 2 2 3 2" xfId="43261"/>
    <cellStyle name="20% - Accent1 2 2 2 4 3 2 2 2 4" xfId="21879"/>
    <cellStyle name="20% - Accent1 2 2 2 4 3 2 2 2 4 2" xfId="49899"/>
    <cellStyle name="20% - Accent1 2 2 2 4 3 2 2 2 5" xfId="35494"/>
    <cellStyle name="20% - Accent1 2 2 2 4 3 2 2 3" xfId="2784"/>
    <cellStyle name="20% - Accent1 2 2 2 4 3 2 2 3 2" xfId="11468"/>
    <cellStyle name="20% - Accent1 2 2 2 4 3 2 2 3 2 2" xfId="23269"/>
    <cellStyle name="20% - Accent1 2 2 2 4 3 2 2 3 2 2 2" xfId="49900"/>
    <cellStyle name="20% - Accent1 2 2 2 4 3 2 2 3 2 3" xfId="36884"/>
    <cellStyle name="20% - Accent1 2 2 2 4 3 2 2 3 3" xfId="8237"/>
    <cellStyle name="20% - Accent1 2 2 2 4 3 2 2 3 3 2" xfId="43262"/>
    <cellStyle name="20% - Accent1 2 2 2 4 3 2 2 3 4" xfId="20038"/>
    <cellStyle name="20% - Accent1 2 2 2 4 3 2 2 3 4 2" xfId="49901"/>
    <cellStyle name="20% - Accent1 2 2 2 4 3 2 2 3 5" xfId="33653"/>
    <cellStyle name="20% - Accent1 2 2 2 4 3 2 2 4" xfId="11469"/>
    <cellStyle name="20% - Accent1 2 2 2 4 3 2 2 4 2" xfId="23270"/>
    <cellStyle name="20% - Accent1 2 2 2 4 3 2 2 4 2 2" xfId="49902"/>
    <cellStyle name="20% - Accent1 2 2 2 4 3 2 2 4 3" xfId="36885"/>
    <cellStyle name="20% - Accent1 2 2 2 4 3 2 2 5" xfId="6499"/>
    <cellStyle name="20% - Accent1 2 2 2 4 3 2 2 5 2" xfId="43263"/>
    <cellStyle name="20% - Accent1 2 2 2 4 3 2 2 6" xfId="18300"/>
    <cellStyle name="20% - Accent1 2 2 2 4 3 2 2 6 2" xfId="49903"/>
    <cellStyle name="20% - Accent1 2 2 2 4 3 2 2 7" xfId="31915"/>
    <cellStyle name="20% - Accent1 2 2 2 4 3 2 3" xfId="3352"/>
    <cellStyle name="20% - Accent1 2 2 2 4 3 2 3 2" xfId="5193"/>
    <cellStyle name="20% - Accent1 2 2 2 4 3 2 3 2 2" xfId="16663"/>
    <cellStyle name="20% - Accent1 2 2 2 4 3 2 3 2 2 2" xfId="28464"/>
    <cellStyle name="20% - Accent1 2 2 2 4 3 2 3 2 2 2 2" xfId="49904"/>
    <cellStyle name="20% - Accent1 2 2 2 4 3 2 3 2 2 3" xfId="42079"/>
    <cellStyle name="20% - Accent1 2 2 2 4 3 2 3 2 3" xfId="10646"/>
    <cellStyle name="20% - Accent1 2 2 2 4 3 2 3 2 3 2" xfId="49905"/>
    <cellStyle name="20% - Accent1 2 2 2 4 3 2 3 2 4" xfId="22447"/>
    <cellStyle name="20% - Accent1 2 2 2 4 3 2 3 2 4 2" xfId="49906"/>
    <cellStyle name="20% - Accent1 2 2 2 4 3 2 3 2 5" xfId="36062"/>
    <cellStyle name="20% - Accent1 2 2 2 4 3 2 3 3" xfId="11470"/>
    <cellStyle name="20% - Accent1 2 2 2 4 3 2 3 3 2" xfId="23271"/>
    <cellStyle name="20% - Accent1 2 2 2 4 3 2 3 3 2 2" xfId="49907"/>
    <cellStyle name="20% - Accent1 2 2 2 4 3 2 3 3 3" xfId="36886"/>
    <cellStyle name="20% - Accent1 2 2 2 4 3 2 3 4" xfId="8805"/>
    <cellStyle name="20% - Accent1 2 2 2 4 3 2 3 4 2" xfId="49908"/>
    <cellStyle name="20% - Accent1 2 2 2 4 3 2 3 5" xfId="20606"/>
    <cellStyle name="20% - Accent1 2 2 2 4 3 2 3 5 2" xfId="49909"/>
    <cellStyle name="20% - Accent1 2 2 2 4 3 2 3 6" xfId="34221"/>
    <cellStyle name="20% - Accent1 2 2 2 4 3 2 4" xfId="4057"/>
    <cellStyle name="20% - Accent1 2 2 2 4 3 2 4 2" xfId="11471"/>
    <cellStyle name="20% - Accent1 2 2 2 4 3 2 4 2 2" xfId="23272"/>
    <cellStyle name="20% - Accent1 2 2 2 4 3 2 4 2 2 2" xfId="49910"/>
    <cellStyle name="20% - Accent1 2 2 2 4 3 2 4 2 3" xfId="36887"/>
    <cellStyle name="20% - Accent1 2 2 2 4 3 2 4 3" xfId="9510"/>
    <cellStyle name="20% - Accent1 2 2 2 4 3 2 4 3 2" xfId="43264"/>
    <cellStyle name="20% - Accent1 2 2 2 4 3 2 4 4" xfId="21311"/>
    <cellStyle name="20% - Accent1 2 2 2 4 3 2 4 4 2" xfId="49911"/>
    <cellStyle name="20% - Accent1 2 2 2 4 3 2 4 5" xfId="34926"/>
    <cellStyle name="20% - Accent1 2 2 2 4 3 2 5" xfId="2216"/>
    <cellStyle name="20% - Accent1 2 2 2 4 3 2 5 2" xfId="16955"/>
    <cellStyle name="20% - Accent1 2 2 2 4 3 2 5 2 2" xfId="28756"/>
    <cellStyle name="20% - Accent1 2 2 2 4 3 2 5 2 2 2" xfId="49912"/>
    <cellStyle name="20% - Accent1 2 2 2 4 3 2 5 2 3" xfId="42371"/>
    <cellStyle name="20% - Accent1 2 2 2 4 3 2 5 3" xfId="7669"/>
    <cellStyle name="20% - Accent1 2 2 2 4 3 2 5 3 2" xfId="49913"/>
    <cellStyle name="20% - Accent1 2 2 2 4 3 2 5 4" xfId="19470"/>
    <cellStyle name="20% - Accent1 2 2 2 4 3 2 5 4 2" xfId="49914"/>
    <cellStyle name="20% - Accent1 2 2 2 4 3 2 5 5" xfId="33085"/>
    <cellStyle name="20% - Accent1 2 2 2 4 3 2 6" xfId="11472"/>
    <cellStyle name="20% - Accent1 2 2 2 4 3 2 6 2" xfId="23273"/>
    <cellStyle name="20% - Accent1 2 2 2 4 3 2 6 2 2" xfId="49915"/>
    <cellStyle name="20% - Accent1 2 2 2 4 3 2 6 3" xfId="36888"/>
    <cellStyle name="20% - Accent1 2 2 2 4 3 2 7" xfId="5769"/>
    <cellStyle name="20% - Accent1 2 2 2 4 3 2 7 2" xfId="49916"/>
    <cellStyle name="20% - Accent1 2 2 2 4 3 2 8" xfId="17570"/>
    <cellStyle name="20% - Accent1 2 2 2 4 3 2 8 2" xfId="49917"/>
    <cellStyle name="20% - Accent1 2 2 2 4 3 2 9" xfId="31185"/>
    <cellStyle name="20% - Accent1 2 2 2 4 3 3" xfId="727"/>
    <cellStyle name="20% - Accent1 2 2 2 4 3 3 2" xfId="1046"/>
    <cellStyle name="20% - Accent1 2 2 2 4 3 3 2 2" xfId="4469"/>
    <cellStyle name="20% - Accent1 2 2 2 4 3 3 2 2 2" xfId="11473"/>
    <cellStyle name="20% - Accent1 2 2 2 4 3 3 2 2 2 2" xfId="23274"/>
    <cellStyle name="20% - Accent1 2 2 2 4 3 3 2 2 2 2 2" xfId="49918"/>
    <cellStyle name="20% - Accent1 2 2 2 4 3 3 2 2 2 3" xfId="36889"/>
    <cellStyle name="20% - Accent1 2 2 2 4 3 3 2 2 3" xfId="9922"/>
    <cellStyle name="20% - Accent1 2 2 2 4 3 3 2 2 3 2" xfId="43265"/>
    <cellStyle name="20% - Accent1 2 2 2 4 3 3 2 2 4" xfId="21723"/>
    <cellStyle name="20% - Accent1 2 2 2 4 3 3 2 2 4 2" xfId="49919"/>
    <cellStyle name="20% - Accent1 2 2 2 4 3 3 2 2 5" xfId="35338"/>
    <cellStyle name="20% - Accent1 2 2 2 4 3 3 2 3" xfId="11474"/>
    <cellStyle name="20% - Accent1 2 2 2 4 3 3 2 3 2" xfId="23275"/>
    <cellStyle name="20% - Accent1 2 2 2 4 3 3 2 3 2 2" xfId="43266"/>
    <cellStyle name="20% - Accent1 2 2 2 4 3 3 2 3 3" xfId="29242"/>
    <cellStyle name="20% - Accent1 2 2 2 4 3 3 2 3 3 2" xfId="43267"/>
    <cellStyle name="20% - Accent1 2 2 2 4 3 3 2 3 4" xfId="29243"/>
    <cellStyle name="20% - Accent1 2 2 2 4 3 3 2 3 4 2" xfId="49920"/>
    <cellStyle name="20% - Accent1 2 2 2 4 3 3 2 3 5" xfId="36890"/>
    <cellStyle name="20% - Accent1 2 2 2 4 3 3 2 4" xfId="11475"/>
    <cellStyle name="20% - Accent1 2 2 2 4 3 3 2 4 2" xfId="23276"/>
    <cellStyle name="20% - Accent1 2 2 2 4 3 3 2 4 2 2" xfId="49921"/>
    <cellStyle name="20% - Accent1 2 2 2 4 3 3 2 4 3" xfId="36891"/>
    <cellStyle name="20% - Accent1 2 2 2 4 3 3 2 5" xfId="6500"/>
    <cellStyle name="20% - Accent1 2 2 2 4 3 3 2 5 2" xfId="43268"/>
    <cellStyle name="20% - Accent1 2 2 2 4 3 3 2 6" xfId="18301"/>
    <cellStyle name="20% - Accent1 2 2 2 4 3 3 2 6 2" xfId="49922"/>
    <cellStyle name="20% - Accent1 2 2 2 4 3 3 2 7" xfId="31916"/>
    <cellStyle name="20% - Accent1 2 2 2 4 3 3 3" xfId="2628"/>
    <cellStyle name="20% - Accent1 2 2 2 4 3 3 3 2" xfId="11476"/>
    <cellStyle name="20% - Accent1 2 2 2 4 3 3 3 2 2" xfId="23277"/>
    <cellStyle name="20% - Accent1 2 2 2 4 3 3 3 2 2 2" xfId="49923"/>
    <cellStyle name="20% - Accent1 2 2 2 4 3 3 3 2 3" xfId="36892"/>
    <cellStyle name="20% - Accent1 2 2 2 4 3 3 3 3" xfId="8081"/>
    <cellStyle name="20% - Accent1 2 2 2 4 3 3 3 3 2" xfId="43269"/>
    <cellStyle name="20% - Accent1 2 2 2 4 3 3 3 4" xfId="19882"/>
    <cellStyle name="20% - Accent1 2 2 2 4 3 3 3 4 2" xfId="49924"/>
    <cellStyle name="20% - Accent1 2 2 2 4 3 3 3 5" xfId="33497"/>
    <cellStyle name="20% - Accent1 2 2 2 4 3 3 4" xfId="11477"/>
    <cellStyle name="20% - Accent1 2 2 2 4 3 3 4 2" xfId="23278"/>
    <cellStyle name="20% - Accent1 2 2 2 4 3 3 4 2 2" xfId="43270"/>
    <cellStyle name="20% - Accent1 2 2 2 4 3 3 4 3" xfId="29244"/>
    <cellStyle name="20% - Accent1 2 2 2 4 3 3 4 3 2" xfId="43271"/>
    <cellStyle name="20% - Accent1 2 2 2 4 3 3 4 4" xfId="29245"/>
    <cellStyle name="20% - Accent1 2 2 2 4 3 3 4 4 2" xfId="49925"/>
    <cellStyle name="20% - Accent1 2 2 2 4 3 3 4 5" xfId="36893"/>
    <cellStyle name="20% - Accent1 2 2 2 4 3 3 5" xfId="11478"/>
    <cellStyle name="20% - Accent1 2 2 2 4 3 3 5 2" xfId="23279"/>
    <cellStyle name="20% - Accent1 2 2 2 4 3 3 5 2 2" xfId="49926"/>
    <cellStyle name="20% - Accent1 2 2 2 4 3 3 5 3" xfId="36894"/>
    <cellStyle name="20% - Accent1 2 2 2 4 3 3 6" xfId="6181"/>
    <cellStyle name="20% - Accent1 2 2 2 4 3 3 6 2" xfId="43272"/>
    <cellStyle name="20% - Accent1 2 2 2 4 3 3 7" xfId="17982"/>
    <cellStyle name="20% - Accent1 2 2 2 4 3 3 7 2" xfId="49927"/>
    <cellStyle name="20% - Accent1 2 2 2 4 3 3 8" xfId="31597"/>
    <cellStyle name="20% - Accent1 2 2 2 4 3 4" xfId="1047"/>
    <cellStyle name="20% - Accent1 2 2 2 4 3 4 2" xfId="5037"/>
    <cellStyle name="20% - Accent1 2 2 2 4 3 4 2 2" xfId="11479"/>
    <cellStyle name="20% - Accent1 2 2 2 4 3 4 2 2 2" xfId="23280"/>
    <cellStyle name="20% - Accent1 2 2 2 4 3 4 2 2 2 2" xfId="49928"/>
    <cellStyle name="20% - Accent1 2 2 2 4 3 4 2 2 3" xfId="36895"/>
    <cellStyle name="20% - Accent1 2 2 2 4 3 4 2 3" xfId="10490"/>
    <cellStyle name="20% - Accent1 2 2 2 4 3 4 2 3 2" xfId="43273"/>
    <cellStyle name="20% - Accent1 2 2 2 4 3 4 2 4" xfId="22291"/>
    <cellStyle name="20% - Accent1 2 2 2 4 3 4 2 4 2" xfId="49929"/>
    <cellStyle name="20% - Accent1 2 2 2 4 3 4 2 5" xfId="35906"/>
    <cellStyle name="20% - Accent1 2 2 2 4 3 4 3" xfId="3196"/>
    <cellStyle name="20% - Accent1 2 2 2 4 3 4 3 2" xfId="11480"/>
    <cellStyle name="20% - Accent1 2 2 2 4 3 4 3 2 2" xfId="23281"/>
    <cellStyle name="20% - Accent1 2 2 2 4 3 4 3 2 2 2" xfId="49930"/>
    <cellStyle name="20% - Accent1 2 2 2 4 3 4 3 2 3" xfId="36896"/>
    <cellStyle name="20% - Accent1 2 2 2 4 3 4 3 3" xfId="8649"/>
    <cellStyle name="20% - Accent1 2 2 2 4 3 4 3 3 2" xfId="43274"/>
    <cellStyle name="20% - Accent1 2 2 2 4 3 4 3 4" xfId="20450"/>
    <cellStyle name="20% - Accent1 2 2 2 4 3 4 3 4 2" xfId="49931"/>
    <cellStyle name="20% - Accent1 2 2 2 4 3 4 3 5" xfId="34065"/>
    <cellStyle name="20% - Accent1 2 2 2 4 3 4 4" xfId="11481"/>
    <cellStyle name="20% - Accent1 2 2 2 4 3 4 4 2" xfId="23282"/>
    <cellStyle name="20% - Accent1 2 2 2 4 3 4 4 2 2" xfId="49932"/>
    <cellStyle name="20% - Accent1 2 2 2 4 3 4 4 3" xfId="36897"/>
    <cellStyle name="20% - Accent1 2 2 2 4 3 4 5" xfId="6501"/>
    <cellStyle name="20% - Accent1 2 2 2 4 3 4 5 2" xfId="43275"/>
    <cellStyle name="20% - Accent1 2 2 2 4 3 4 6" xfId="18302"/>
    <cellStyle name="20% - Accent1 2 2 2 4 3 4 6 2" xfId="49933"/>
    <cellStyle name="20% - Accent1 2 2 2 4 3 4 7" xfId="31917"/>
    <cellStyle name="20% - Accent1 2 2 2 4 3 5" xfId="3901"/>
    <cellStyle name="20% - Accent1 2 2 2 4 3 5 2" xfId="11482"/>
    <cellStyle name="20% - Accent1 2 2 2 4 3 5 2 2" xfId="23283"/>
    <cellStyle name="20% - Accent1 2 2 2 4 3 5 2 2 2" xfId="49934"/>
    <cellStyle name="20% - Accent1 2 2 2 4 3 5 2 3" xfId="36898"/>
    <cellStyle name="20% - Accent1 2 2 2 4 3 5 3" xfId="9354"/>
    <cellStyle name="20% - Accent1 2 2 2 4 3 5 3 2" xfId="43276"/>
    <cellStyle name="20% - Accent1 2 2 2 4 3 5 4" xfId="21155"/>
    <cellStyle name="20% - Accent1 2 2 2 4 3 5 4 2" xfId="49935"/>
    <cellStyle name="20% - Accent1 2 2 2 4 3 5 5" xfId="34770"/>
    <cellStyle name="20% - Accent1 2 2 2 4 3 6" xfId="2060"/>
    <cellStyle name="20% - Accent1 2 2 2 4 3 6 2" xfId="11483"/>
    <cellStyle name="20% - Accent1 2 2 2 4 3 6 2 2" xfId="23284"/>
    <cellStyle name="20% - Accent1 2 2 2 4 3 6 2 2 2" xfId="49936"/>
    <cellStyle name="20% - Accent1 2 2 2 4 3 6 2 3" xfId="36899"/>
    <cellStyle name="20% - Accent1 2 2 2 4 3 6 3" xfId="7513"/>
    <cellStyle name="20% - Accent1 2 2 2 4 3 6 3 2" xfId="43277"/>
    <cellStyle name="20% - Accent1 2 2 2 4 3 6 4" xfId="19314"/>
    <cellStyle name="20% - Accent1 2 2 2 4 3 6 4 2" xfId="49937"/>
    <cellStyle name="20% - Accent1 2 2 2 4 3 6 5" xfId="32929"/>
    <cellStyle name="20% - Accent1 2 2 2 4 3 7" xfId="11484"/>
    <cellStyle name="20% - Accent1 2 2 2 4 3 7 2" xfId="23285"/>
    <cellStyle name="20% - Accent1 2 2 2 4 3 7 2 2" xfId="49938"/>
    <cellStyle name="20% - Accent1 2 2 2 4 3 7 3" xfId="36900"/>
    <cellStyle name="20% - Accent1 2 2 2 4 3 8" xfId="5613"/>
    <cellStyle name="20% - Accent1 2 2 2 4 3 8 2" xfId="43278"/>
    <cellStyle name="20% - Accent1 2 2 2 4 3 9" xfId="17414"/>
    <cellStyle name="20% - Accent1 2 2 2 4 3 9 2" xfId="49939"/>
    <cellStyle name="20% - Accent1 2 2 2 4 4" xfId="452"/>
    <cellStyle name="20% - Accent1 2 2 2 4 4 2" xfId="1048"/>
    <cellStyle name="20% - Accent1 2 2 2 4 4 2 2" xfId="4762"/>
    <cellStyle name="20% - Accent1 2 2 2 4 4 2 2 2" xfId="11485"/>
    <cellStyle name="20% - Accent1 2 2 2 4 4 2 2 2 2" xfId="23286"/>
    <cellStyle name="20% - Accent1 2 2 2 4 4 2 2 2 2 2" xfId="49940"/>
    <cellStyle name="20% - Accent1 2 2 2 4 4 2 2 2 3" xfId="36901"/>
    <cellStyle name="20% - Accent1 2 2 2 4 4 2 2 3" xfId="10215"/>
    <cellStyle name="20% - Accent1 2 2 2 4 4 2 2 3 2" xfId="43279"/>
    <cellStyle name="20% - Accent1 2 2 2 4 4 2 2 4" xfId="22016"/>
    <cellStyle name="20% - Accent1 2 2 2 4 4 2 2 4 2" xfId="49941"/>
    <cellStyle name="20% - Accent1 2 2 2 4 4 2 2 5" xfId="35631"/>
    <cellStyle name="20% - Accent1 2 2 2 4 4 2 3" xfId="2921"/>
    <cellStyle name="20% - Accent1 2 2 2 4 4 2 3 2" xfId="11486"/>
    <cellStyle name="20% - Accent1 2 2 2 4 4 2 3 2 2" xfId="23287"/>
    <cellStyle name="20% - Accent1 2 2 2 4 4 2 3 2 2 2" xfId="49942"/>
    <cellStyle name="20% - Accent1 2 2 2 4 4 2 3 2 3" xfId="36902"/>
    <cellStyle name="20% - Accent1 2 2 2 4 4 2 3 3" xfId="8374"/>
    <cellStyle name="20% - Accent1 2 2 2 4 4 2 3 3 2" xfId="43280"/>
    <cellStyle name="20% - Accent1 2 2 2 4 4 2 3 4" xfId="20175"/>
    <cellStyle name="20% - Accent1 2 2 2 4 4 2 3 4 2" xfId="49943"/>
    <cellStyle name="20% - Accent1 2 2 2 4 4 2 3 5" xfId="33790"/>
    <cellStyle name="20% - Accent1 2 2 2 4 4 2 4" xfId="11487"/>
    <cellStyle name="20% - Accent1 2 2 2 4 4 2 4 2" xfId="23288"/>
    <cellStyle name="20% - Accent1 2 2 2 4 4 2 4 2 2" xfId="49944"/>
    <cellStyle name="20% - Accent1 2 2 2 4 4 2 4 3" xfId="36903"/>
    <cellStyle name="20% - Accent1 2 2 2 4 4 2 5" xfId="6502"/>
    <cellStyle name="20% - Accent1 2 2 2 4 4 2 5 2" xfId="43281"/>
    <cellStyle name="20% - Accent1 2 2 2 4 4 2 6" xfId="18303"/>
    <cellStyle name="20% - Accent1 2 2 2 4 4 2 6 2" xfId="49945"/>
    <cellStyle name="20% - Accent1 2 2 2 4 4 2 7" xfId="31918"/>
    <cellStyle name="20% - Accent1 2 2 2 4 4 3" xfId="3489"/>
    <cellStyle name="20% - Accent1 2 2 2 4 4 3 2" xfId="5330"/>
    <cellStyle name="20% - Accent1 2 2 2 4 4 3 2 2" xfId="16800"/>
    <cellStyle name="20% - Accent1 2 2 2 4 4 3 2 2 2" xfId="28601"/>
    <cellStyle name="20% - Accent1 2 2 2 4 4 3 2 2 2 2" xfId="49946"/>
    <cellStyle name="20% - Accent1 2 2 2 4 4 3 2 2 3" xfId="42216"/>
    <cellStyle name="20% - Accent1 2 2 2 4 4 3 2 3" xfId="10783"/>
    <cellStyle name="20% - Accent1 2 2 2 4 4 3 2 3 2" xfId="49947"/>
    <cellStyle name="20% - Accent1 2 2 2 4 4 3 2 4" xfId="22584"/>
    <cellStyle name="20% - Accent1 2 2 2 4 4 3 2 4 2" xfId="49948"/>
    <cellStyle name="20% - Accent1 2 2 2 4 4 3 2 5" xfId="36199"/>
    <cellStyle name="20% - Accent1 2 2 2 4 4 3 3" xfId="11488"/>
    <cellStyle name="20% - Accent1 2 2 2 4 4 3 3 2" xfId="23289"/>
    <cellStyle name="20% - Accent1 2 2 2 4 4 3 3 2 2" xfId="49949"/>
    <cellStyle name="20% - Accent1 2 2 2 4 4 3 3 3" xfId="36904"/>
    <cellStyle name="20% - Accent1 2 2 2 4 4 3 4" xfId="8942"/>
    <cellStyle name="20% - Accent1 2 2 2 4 4 3 4 2" xfId="49950"/>
    <cellStyle name="20% - Accent1 2 2 2 4 4 3 5" xfId="20743"/>
    <cellStyle name="20% - Accent1 2 2 2 4 4 3 5 2" xfId="49951"/>
    <cellStyle name="20% - Accent1 2 2 2 4 4 3 6" xfId="34358"/>
    <cellStyle name="20% - Accent1 2 2 2 4 4 4" xfId="4194"/>
    <cellStyle name="20% - Accent1 2 2 2 4 4 4 2" xfId="11489"/>
    <cellStyle name="20% - Accent1 2 2 2 4 4 4 2 2" xfId="23290"/>
    <cellStyle name="20% - Accent1 2 2 2 4 4 4 2 2 2" xfId="49952"/>
    <cellStyle name="20% - Accent1 2 2 2 4 4 4 2 3" xfId="36905"/>
    <cellStyle name="20% - Accent1 2 2 2 4 4 4 3" xfId="9647"/>
    <cellStyle name="20% - Accent1 2 2 2 4 4 4 3 2" xfId="43282"/>
    <cellStyle name="20% - Accent1 2 2 2 4 4 4 4" xfId="21448"/>
    <cellStyle name="20% - Accent1 2 2 2 4 4 4 4 2" xfId="49953"/>
    <cellStyle name="20% - Accent1 2 2 2 4 4 4 5" xfId="35063"/>
    <cellStyle name="20% - Accent1 2 2 2 4 4 5" xfId="2353"/>
    <cellStyle name="20% - Accent1 2 2 2 4 4 5 2" xfId="16956"/>
    <cellStyle name="20% - Accent1 2 2 2 4 4 5 2 2" xfId="28757"/>
    <cellStyle name="20% - Accent1 2 2 2 4 4 5 2 2 2" xfId="49954"/>
    <cellStyle name="20% - Accent1 2 2 2 4 4 5 2 3" xfId="42372"/>
    <cellStyle name="20% - Accent1 2 2 2 4 4 5 3" xfId="7806"/>
    <cellStyle name="20% - Accent1 2 2 2 4 4 5 3 2" xfId="49955"/>
    <cellStyle name="20% - Accent1 2 2 2 4 4 5 4" xfId="19607"/>
    <cellStyle name="20% - Accent1 2 2 2 4 4 5 4 2" xfId="49956"/>
    <cellStyle name="20% - Accent1 2 2 2 4 4 5 5" xfId="33222"/>
    <cellStyle name="20% - Accent1 2 2 2 4 4 6" xfId="11490"/>
    <cellStyle name="20% - Accent1 2 2 2 4 4 6 2" xfId="23291"/>
    <cellStyle name="20% - Accent1 2 2 2 4 4 6 2 2" xfId="49957"/>
    <cellStyle name="20% - Accent1 2 2 2 4 4 6 3" xfId="36906"/>
    <cellStyle name="20% - Accent1 2 2 2 4 4 7" xfId="5906"/>
    <cellStyle name="20% - Accent1 2 2 2 4 4 7 2" xfId="49958"/>
    <cellStyle name="20% - Accent1 2 2 2 4 4 8" xfId="17707"/>
    <cellStyle name="20% - Accent1 2 2 2 4 4 8 2" xfId="49959"/>
    <cellStyle name="20% - Accent1 2 2 2 4 4 9" xfId="31322"/>
    <cellStyle name="20% - Accent1 2 2 2 4 5" xfId="266"/>
    <cellStyle name="20% - Accent1 2 2 2 4 5 2" xfId="1049"/>
    <cellStyle name="20% - Accent1 2 2 2 4 5 2 2" xfId="4576"/>
    <cellStyle name="20% - Accent1 2 2 2 4 5 2 2 2" xfId="11491"/>
    <cellStyle name="20% - Accent1 2 2 2 4 5 2 2 2 2" xfId="23292"/>
    <cellStyle name="20% - Accent1 2 2 2 4 5 2 2 2 2 2" xfId="49960"/>
    <cellStyle name="20% - Accent1 2 2 2 4 5 2 2 2 3" xfId="36907"/>
    <cellStyle name="20% - Accent1 2 2 2 4 5 2 2 3" xfId="10029"/>
    <cellStyle name="20% - Accent1 2 2 2 4 5 2 2 3 2" xfId="43283"/>
    <cellStyle name="20% - Accent1 2 2 2 4 5 2 2 4" xfId="21830"/>
    <cellStyle name="20% - Accent1 2 2 2 4 5 2 2 4 2" xfId="49961"/>
    <cellStyle name="20% - Accent1 2 2 2 4 5 2 2 5" xfId="35445"/>
    <cellStyle name="20% - Accent1 2 2 2 4 5 2 3" xfId="2735"/>
    <cellStyle name="20% - Accent1 2 2 2 4 5 2 3 2" xfId="11492"/>
    <cellStyle name="20% - Accent1 2 2 2 4 5 2 3 2 2" xfId="23293"/>
    <cellStyle name="20% - Accent1 2 2 2 4 5 2 3 2 2 2" xfId="49962"/>
    <cellStyle name="20% - Accent1 2 2 2 4 5 2 3 2 3" xfId="36908"/>
    <cellStyle name="20% - Accent1 2 2 2 4 5 2 3 3" xfId="8188"/>
    <cellStyle name="20% - Accent1 2 2 2 4 5 2 3 3 2" xfId="43284"/>
    <cellStyle name="20% - Accent1 2 2 2 4 5 2 3 4" xfId="19989"/>
    <cellStyle name="20% - Accent1 2 2 2 4 5 2 3 4 2" xfId="49963"/>
    <cellStyle name="20% - Accent1 2 2 2 4 5 2 3 5" xfId="33604"/>
    <cellStyle name="20% - Accent1 2 2 2 4 5 2 4" xfId="11493"/>
    <cellStyle name="20% - Accent1 2 2 2 4 5 2 4 2" xfId="23294"/>
    <cellStyle name="20% - Accent1 2 2 2 4 5 2 4 2 2" xfId="49964"/>
    <cellStyle name="20% - Accent1 2 2 2 4 5 2 4 3" xfId="36909"/>
    <cellStyle name="20% - Accent1 2 2 2 4 5 2 5" xfId="6503"/>
    <cellStyle name="20% - Accent1 2 2 2 4 5 2 5 2" xfId="43285"/>
    <cellStyle name="20% - Accent1 2 2 2 4 5 2 6" xfId="18304"/>
    <cellStyle name="20% - Accent1 2 2 2 4 5 2 6 2" xfId="49965"/>
    <cellStyle name="20% - Accent1 2 2 2 4 5 2 7" xfId="31919"/>
    <cellStyle name="20% - Accent1 2 2 2 4 5 3" xfId="3303"/>
    <cellStyle name="20% - Accent1 2 2 2 4 5 3 2" xfId="5144"/>
    <cellStyle name="20% - Accent1 2 2 2 4 5 3 2 2" xfId="16614"/>
    <cellStyle name="20% - Accent1 2 2 2 4 5 3 2 2 2" xfId="28415"/>
    <cellStyle name="20% - Accent1 2 2 2 4 5 3 2 2 2 2" xfId="49966"/>
    <cellStyle name="20% - Accent1 2 2 2 4 5 3 2 2 3" xfId="42030"/>
    <cellStyle name="20% - Accent1 2 2 2 4 5 3 2 3" xfId="10597"/>
    <cellStyle name="20% - Accent1 2 2 2 4 5 3 2 3 2" xfId="49967"/>
    <cellStyle name="20% - Accent1 2 2 2 4 5 3 2 4" xfId="22398"/>
    <cellStyle name="20% - Accent1 2 2 2 4 5 3 2 4 2" xfId="49968"/>
    <cellStyle name="20% - Accent1 2 2 2 4 5 3 2 5" xfId="36013"/>
    <cellStyle name="20% - Accent1 2 2 2 4 5 3 3" xfId="11494"/>
    <cellStyle name="20% - Accent1 2 2 2 4 5 3 3 2" xfId="23295"/>
    <cellStyle name="20% - Accent1 2 2 2 4 5 3 3 2 2" xfId="49969"/>
    <cellStyle name="20% - Accent1 2 2 2 4 5 3 3 3" xfId="36910"/>
    <cellStyle name="20% - Accent1 2 2 2 4 5 3 4" xfId="8756"/>
    <cellStyle name="20% - Accent1 2 2 2 4 5 3 4 2" xfId="49970"/>
    <cellStyle name="20% - Accent1 2 2 2 4 5 3 5" xfId="20557"/>
    <cellStyle name="20% - Accent1 2 2 2 4 5 3 5 2" xfId="49971"/>
    <cellStyle name="20% - Accent1 2 2 2 4 5 3 6" xfId="34172"/>
    <cellStyle name="20% - Accent1 2 2 2 4 5 4" xfId="4008"/>
    <cellStyle name="20% - Accent1 2 2 2 4 5 4 2" xfId="11495"/>
    <cellStyle name="20% - Accent1 2 2 2 4 5 4 2 2" xfId="23296"/>
    <cellStyle name="20% - Accent1 2 2 2 4 5 4 2 2 2" xfId="49972"/>
    <cellStyle name="20% - Accent1 2 2 2 4 5 4 2 3" xfId="36911"/>
    <cellStyle name="20% - Accent1 2 2 2 4 5 4 3" xfId="9461"/>
    <cellStyle name="20% - Accent1 2 2 2 4 5 4 3 2" xfId="43286"/>
    <cellStyle name="20% - Accent1 2 2 2 4 5 4 4" xfId="21262"/>
    <cellStyle name="20% - Accent1 2 2 2 4 5 4 4 2" xfId="49973"/>
    <cellStyle name="20% - Accent1 2 2 2 4 5 4 5" xfId="34877"/>
    <cellStyle name="20% - Accent1 2 2 2 4 5 5" xfId="2167"/>
    <cellStyle name="20% - Accent1 2 2 2 4 5 5 2" xfId="16957"/>
    <cellStyle name="20% - Accent1 2 2 2 4 5 5 2 2" xfId="28758"/>
    <cellStyle name="20% - Accent1 2 2 2 4 5 5 2 2 2" xfId="49974"/>
    <cellStyle name="20% - Accent1 2 2 2 4 5 5 2 3" xfId="42373"/>
    <cellStyle name="20% - Accent1 2 2 2 4 5 5 3" xfId="7620"/>
    <cellStyle name="20% - Accent1 2 2 2 4 5 5 3 2" xfId="49975"/>
    <cellStyle name="20% - Accent1 2 2 2 4 5 5 4" xfId="19421"/>
    <cellStyle name="20% - Accent1 2 2 2 4 5 5 4 2" xfId="49976"/>
    <cellStyle name="20% - Accent1 2 2 2 4 5 5 5" xfId="33036"/>
    <cellStyle name="20% - Accent1 2 2 2 4 5 6" xfId="11496"/>
    <cellStyle name="20% - Accent1 2 2 2 4 5 6 2" xfId="23297"/>
    <cellStyle name="20% - Accent1 2 2 2 4 5 6 2 2" xfId="49977"/>
    <cellStyle name="20% - Accent1 2 2 2 4 5 6 3" xfId="36912"/>
    <cellStyle name="20% - Accent1 2 2 2 4 5 7" xfId="5720"/>
    <cellStyle name="20% - Accent1 2 2 2 4 5 7 2" xfId="49978"/>
    <cellStyle name="20% - Accent1 2 2 2 4 5 8" xfId="17521"/>
    <cellStyle name="20% - Accent1 2 2 2 4 5 8 2" xfId="49979"/>
    <cellStyle name="20% - Accent1 2 2 2 4 5 9" xfId="31136"/>
    <cellStyle name="20% - Accent1 2 2 2 4 6" xfId="593"/>
    <cellStyle name="20% - Accent1 2 2 2 4 6 2" xfId="1050"/>
    <cellStyle name="20% - Accent1 2 2 2 4 6 2 2" xfId="4335"/>
    <cellStyle name="20% - Accent1 2 2 2 4 6 2 2 2" xfId="11497"/>
    <cellStyle name="20% - Accent1 2 2 2 4 6 2 2 2 2" xfId="23298"/>
    <cellStyle name="20% - Accent1 2 2 2 4 6 2 2 2 2 2" xfId="49980"/>
    <cellStyle name="20% - Accent1 2 2 2 4 6 2 2 2 3" xfId="36913"/>
    <cellStyle name="20% - Accent1 2 2 2 4 6 2 2 3" xfId="9788"/>
    <cellStyle name="20% - Accent1 2 2 2 4 6 2 2 3 2" xfId="43287"/>
    <cellStyle name="20% - Accent1 2 2 2 4 6 2 2 4" xfId="21589"/>
    <cellStyle name="20% - Accent1 2 2 2 4 6 2 2 4 2" xfId="49981"/>
    <cellStyle name="20% - Accent1 2 2 2 4 6 2 2 5" xfId="35204"/>
    <cellStyle name="20% - Accent1 2 2 2 4 6 2 3" xfId="11498"/>
    <cellStyle name="20% - Accent1 2 2 2 4 6 2 3 2" xfId="23299"/>
    <cellStyle name="20% - Accent1 2 2 2 4 6 2 3 2 2" xfId="43288"/>
    <cellStyle name="20% - Accent1 2 2 2 4 6 2 3 3" xfId="29246"/>
    <cellStyle name="20% - Accent1 2 2 2 4 6 2 3 3 2" xfId="43289"/>
    <cellStyle name="20% - Accent1 2 2 2 4 6 2 3 4" xfId="29247"/>
    <cellStyle name="20% - Accent1 2 2 2 4 6 2 3 4 2" xfId="49982"/>
    <cellStyle name="20% - Accent1 2 2 2 4 6 2 3 5" xfId="36914"/>
    <cellStyle name="20% - Accent1 2 2 2 4 6 2 4" xfId="11499"/>
    <cellStyle name="20% - Accent1 2 2 2 4 6 2 4 2" xfId="23300"/>
    <cellStyle name="20% - Accent1 2 2 2 4 6 2 4 2 2" xfId="49983"/>
    <cellStyle name="20% - Accent1 2 2 2 4 6 2 4 3" xfId="36915"/>
    <cellStyle name="20% - Accent1 2 2 2 4 6 2 5" xfId="6504"/>
    <cellStyle name="20% - Accent1 2 2 2 4 6 2 5 2" xfId="43290"/>
    <cellStyle name="20% - Accent1 2 2 2 4 6 2 6" xfId="18305"/>
    <cellStyle name="20% - Accent1 2 2 2 4 6 2 6 2" xfId="49984"/>
    <cellStyle name="20% - Accent1 2 2 2 4 6 2 7" xfId="31920"/>
    <cellStyle name="20% - Accent1 2 2 2 4 6 3" xfId="2494"/>
    <cellStyle name="20% - Accent1 2 2 2 4 6 3 2" xfId="11500"/>
    <cellStyle name="20% - Accent1 2 2 2 4 6 3 2 2" xfId="23301"/>
    <cellStyle name="20% - Accent1 2 2 2 4 6 3 2 2 2" xfId="49985"/>
    <cellStyle name="20% - Accent1 2 2 2 4 6 3 2 3" xfId="36916"/>
    <cellStyle name="20% - Accent1 2 2 2 4 6 3 3" xfId="7947"/>
    <cellStyle name="20% - Accent1 2 2 2 4 6 3 3 2" xfId="43291"/>
    <cellStyle name="20% - Accent1 2 2 2 4 6 3 4" xfId="19748"/>
    <cellStyle name="20% - Accent1 2 2 2 4 6 3 4 2" xfId="49986"/>
    <cellStyle name="20% - Accent1 2 2 2 4 6 3 5" xfId="33363"/>
    <cellStyle name="20% - Accent1 2 2 2 4 6 4" xfId="11501"/>
    <cellStyle name="20% - Accent1 2 2 2 4 6 4 2" xfId="23302"/>
    <cellStyle name="20% - Accent1 2 2 2 4 6 4 2 2" xfId="43292"/>
    <cellStyle name="20% - Accent1 2 2 2 4 6 4 3" xfId="29248"/>
    <cellStyle name="20% - Accent1 2 2 2 4 6 4 3 2" xfId="43293"/>
    <cellStyle name="20% - Accent1 2 2 2 4 6 4 4" xfId="29249"/>
    <cellStyle name="20% - Accent1 2 2 2 4 6 4 4 2" xfId="49987"/>
    <cellStyle name="20% - Accent1 2 2 2 4 6 4 5" xfId="36917"/>
    <cellStyle name="20% - Accent1 2 2 2 4 6 5" xfId="11502"/>
    <cellStyle name="20% - Accent1 2 2 2 4 6 5 2" xfId="23303"/>
    <cellStyle name="20% - Accent1 2 2 2 4 6 5 2 2" xfId="49988"/>
    <cellStyle name="20% - Accent1 2 2 2 4 6 5 3" xfId="36918"/>
    <cellStyle name="20% - Accent1 2 2 2 4 6 6" xfId="6047"/>
    <cellStyle name="20% - Accent1 2 2 2 4 6 6 2" xfId="43294"/>
    <cellStyle name="20% - Accent1 2 2 2 4 6 7" xfId="17848"/>
    <cellStyle name="20% - Accent1 2 2 2 4 6 7 2" xfId="49989"/>
    <cellStyle name="20% - Accent1 2 2 2 4 6 8" xfId="31463"/>
    <cellStyle name="20% - Accent1 2 2 2 4 7" xfId="834"/>
    <cellStyle name="20% - Accent1 2 2 2 4 7 2" xfId="1051"/>
    <cellStyle name="20% - Accent1 2 2 2 4 7 2 2" xfId="4903"/>
    <cellStyle name="20% - Accent1 2 2 2 4 7 2 2 2" xfId="11503"/>
    <cellStyle name="20% - Accent1 2 2 2 4 7 2 2 2 2" xfId="23304"/>
    <cellStyle name="20% - Accent1 2 2 2 4 7 2 2 2 2 2" xfId="49990"/>
    <cellStyle name="20% - Accent1 2 2 2 4 7 2 2 2 3" xfId="36919"/>
    <cellStyle name="20% - Accent1 2 2 2 4 7 2 2 3" xfId="10356"/>
    <cellStyle name="20% - Accent1 2 2 2 4 7 2 2 3 2" xfId="43295"/>
    <cellStyle name="20% - Accent1 2 2 2 4 7 2 2 4" xfId="22157"/>
    <cellStyle name="20% - Accent1 2 2 2 4 7 2 2 4 2" xfId="49991"/>
    <cellStyle name="20% - Accent1 2 2 2 4 7 2 2 5" xfId="35772"/>
    <cellStyle name="20% - Accent1 2 2 2 4 7 2 3" xfId="11504"/>
    <cellStyle name="20% - Accent1 2 2 2 4 7 2 3 2" xfId="23305"/>
    <cellStyle name="20% - Accent1 2 2 2 4 7 2 3 2 2" xfId="43296"/>
    <cellStyle name="20% - Accent1 2 2 2 4 7 2 3 3" xfId="29250"/>
    <cellStyle name="20% - Accent1 2 2 2 4 7 2 3 3 2" xfId="43297"/>
    <cellStyle name="20% - Accent1 2 2 2 4 7 2 3 4" xfId="29251"/>
    <cellStyle name="20% - Accent1 2 2 2 4 7 2 3 4 2" xfId="49992"/>
    <cellStyle name="20% - Accent1 2 2 2 4 7 2 3 5" xfId="36920"/>
    <cellStyle name="20% - Accent1 2 2 2 4 7 2 4" xfId="11505"/>
    <cellStyle name="20% - Accent1 2 2 2 4 7 2 4 2" xfId="23306"/>
    <cellStyle name="20% - Accent1 2 2 2 4 7 2 4 2 2" xfId="49993"/>
    <cellStyle name="20% - Accent1 2 2 2 4 7 2 4 3" xfId="36921"/>
    <cellStyle name="20% - Accent1 2 2 2 4 7 2 5" xfId="6505"/>
    <cellStyle name="20% - Accent1 2 2 2 4 7 2 5 2" xfId="43298"/>
    <cellStyle name="20% - Accent1 2 2 2 4 7 2 6" xfId="18306"/>
    <cellStyle name="20% - Accent1 2 2 2 4 7 2 6 2" xfId="49994"/>
    <cellStyle name="20% - Accent1 2 2 2 4 7 2 7" xfId="31921"/>
    <cellStyle name="20% - Accent1 2 2 2 4 7 3" xfId="3062"/>
    <cellStyle name="20% - Accent1 2 2 2 4 7 3 2" xfId="11506"/>
    <cellStyle name="20% - Accent1 2 2 2 4 7 3 2 2" xfId="23307"/>
    <cellStyle name="20% - Accent1 2 2 2 4 7 3 2 2 2" xfId="49995"/>
    <cellStyle name="20% - Accent1 2 2 2 4 7 3 2 3" xfId="36922"/>
    <cellStyle name="20% - Accent1 2 2 2 4 7 3 3" xfId="8515"/>
    <cellStyle name="20% - Accent1 2 2 2 4 7 3 3 2" xfId="43299"/>
    <cellStyle name="20% - Accent1 2 2 2 4 7 3 4" xfId="20316"/>
    <cellStyle name="20% - Accent1 2 2 2 4 7 3 4 2" xfId="49996"/>
    <cellStyle name="20% - Accent1 2 2 2 4 7 3 5" xfId="33931"/>
    <cellStyle name="20% - Accent1 2 2 2 4 7 4" xfId="11507"/>
    <cellStyle name="20% - Accent1 2 2 2 4 7 4 2" xfId="23308"/>
    <cellStyle name="20% - Accent1 2 2 2 4 7 4 2 2" xfId="43300"/>
    <cellStyle name="20% - Accent1 2 2 2 4 7 4 3" xfId="29252"/>
    <cellStyle name="20% - Accent1 2 2 2 4 7 4 3 2" xfId="43301"/>
    <cellStyle name="20% - Accent1 2 2 2 4 7 4 4" xfId="29253"/>
    <cellStyle name="20% - Accent1 2 2 2 4 7 4 4 2" xfId="49997"/>
    <cellStyle name="20% - Accent1 2 2 2 4 7 4 5" xfId="36923"/>
    <cellStyle name="20% - Accent1 2 2 2 4 7 5" xfId="11508"/>
    <cellStyle name="20% - Accent1 2 2 2 4 7 5 2" xfId="23309"/>
    <cellStyle name="20% - Accent1 2 2 2 4 7 5 2 2" xfId="49998"/>
    <cellStyle name="20% - Accent1 2 2 2 4 7 5 3" xfId="36924"/>
    <cellStyle name="20% - Accent1 2 2 2 4 7 6" xfId="6288"/>
    <cellStyle name="20% - Accent1 2 2 2 4 7 6 2" xfId="43302"/>
    <cellStyle name="20% - Accent1 2 2 2 4 7 7" xfId="18089"/>
    <cellStyle name="20% - Accent1 2 2 2 4 7 7 2" xfId="49999"/>
    <cellStyle name="20% - Accent1 2 2 2 4 7 8" xfId="31704"/>
    <cellStyle name="20% - Accent1 2 2 2 4 8" xfId="1052"/>
    <cellStyle name="20% - Accent1 2 2 2 4 8 2" xfId="3767"/>
    <cellStyle name="20% - Accent1 2 2 2 4 8 2 2" xfId="11509"/>
    <cellStyle name="20% - Accent1 2 2 2 4 8 2 2 2" xfId="23310"/>
    <cellStyle name="20% - Accent1 2 2 2 4 8 2 2 2 2" xfId="50000"/>
    <cellStyle name="20% - Accent1 2 2 2 4 8 2 2 3" xfId="36925"/>
    <cellStyle name="20% - Accent1 2 2 2 4 8 2 3" xfId="9220"/>
    <cellStyle name="20% - Accent1 2 2 2 4 8 2 3 2" xfId="43303"/>
    <cellStyle name="20% - Accent1 2 2 2 4 8 2 4" xfId="21021"/>
    <cellStyle name="20% - Accent1 2 2 2 4 8 2 4 2" xfId="50001"/>
    <cellStyle name="20% - Accent1 2 2 2 4 8 2 5" xfId="34636"/>
    <cellStyle name="20% - Accent1 2 2 2 4 8 3" xfId="11510"/>
    <cellStyle name="20% - Accent1 2 2 2 4 8 3 2" xfId="23311"/>
    <cellStyle name="20% - Accent1 2 2 2 4 8 3 2 2" xfId="43304"/>
    <cellStyle name="20% - Accent1 2 2 2 4 8 3 3" xfId="29254"/>
    <cellStyle name="20% - Accent1 2 2 2 4 8 3 3 2" xfId="43305"/>
    <cellStyle name="20% - Accent1 2 2 2 4 8 3 4" xfId="29255"/>
    <cellStyle name="20% - Accent1 2 2 2 4 8 3 4 2" xfId="50002"/>
    <cellStyle name="20% - Accent1 2 2 2 4 8 3 5" xfId="36926"/>
    <cellStyle name="20% - Accent1 2 2 2 4 8 4" xfId="11511"/>
    <cellStyle name="20% - Accent1 2 2 2 4 8 4 2" xfId="23312"/>
    <cellStyle name="20% - Accent1 2 2 2 4 8 4 2 2" xfId="50003"/>
    <cellStyle name="20% - Accent1 2 2 2 4 8 4 3" xfId="36927"/>
    <cellStyle name="20% - Accent1 2 2 2 4 8 5" xfId="6506"/>
    <cellStyle name="20% - Accent1 2 2 2 4 8 5 2" xfId="43306"/>
    <cellStyle name="20% - Accent1 2 2 2 4 8 6" xfId="18307"/>
    <cellStyle name="20% - Accent1 2 2 2 4 8 6 2" xfId="50004"/>
    <cellStyle name="20% - Accent1 2 2 2 4 8 7" xfId="31922"/>
    <cellStyle name="20% - Accent1 2 2 2 4 9" xfId="3630"/>
    <cellStyle name="20% - Accent1 2 2 2 4 9 2" xfId="11512"/>
    <cellStyle name="20% - Accent1 2 2 2 4 9 2 2" xfId="23313"/>
    <cellStyle name="20% - Accent1 2 2 2 4 9 2 2 2" xfId="50005"/>
    <cellStyle name="20% - Accent1 2 2 2 4 9 2 3" xfId="36928"/>
    <cellStyle name="20% - Accent1 2 2 2 4 9 3" xfId="9083"/>
    <cellStyle name="20% - Accent1 2 2 2 4 9 3 2" xfId="43307"/>
    <cellStyle name="20% - Accent1 2 2 2 4 9 4" xfId="20884"/>
    <cellStyle name="20% - Accent1 2 2 2 4 9 4 2" xfId="50006"/>
    <cellStyle name="20% - Accent1 2 2 2 4 9 5" xfId="34499"/>
    <cellStyle name="20% - Accent1 2 2 2 5" xfId="62"/>
    <cellStyle name="20% - Accent1 2 2 2 5 10" xfId="11513"/>
    <cellStyle name="20% - Accent1 2 2 2 5 10 2" xfId="23314"/>
    <cellStyle name="20% - Accent1 2 2 2 5 10 2 2" xfId="50007"/>
    <cellStyle name="20% - Accent1 2 2 2 5 10 3" xfId="36929"/>
    <cellStyle name="20% - Accent1 2 2 2 5 11" xfId="5516"/>
    <cellStyle name="20% - Accent1 2 2 2 5 11 2" xfId="43308"/>
    <cellStyle name="20% - Accent1 2 2 2 5 12" xfId="17317"/>
    <cellStyle name="20% - Accent1 2 2 2 5 12 2" xfId="50008"/>
    <cellStyle name="20% - Accent1 2 2 2 5 13" xfId="30932"/>
    <cellStyle name="20% - Accent1 2 2 2 5 2" xfId="129"/>
    <cellStyle name="20% - Accent1 2 2 2 5 2 10" xfId="5583"/>
    <cellStyle name="20% - Accent1 2 2 2 5 2 10 2" xfId="43309"/>
    <cellStyle name="20% - Accent1 2 2 2 5 2 11" xfId="17384"/>
    <cellStyle name="20% - Accent1 2 2 2 5 2 11 2" xfId="50009"/>
    <cellStyle name="20% - Accent1 2 2 2 5 2 12" xfId="30999"/>
    <cellStyle name="20% - Accent1 2 2 2 5 2 2" xfId="556"/>
    <cellStyle name="20% - Accent1 2 2 2 5 2 2 2" xfId="1053"/>
    <cellStyle name="20% - Accent1 2 2 2 5 2 2 2 2" xfId="4866"/>
    <cellStyle name="20% - Accent1 2 2 2 5 2 2 2 2 2" xfId="11514"/>
    <cellStyle name="20% - Accent1 2 2 2 5 2 2 2 2 2 2" xfId="23315"/>
    <cellStyle name="20% - Accent1 2 2 2 5 2 2 2 2 2 2 2" xfId="50010"/>
    <cellStyle name="20% - Accent1 2 2 2 5 2 2 2 2 2 3" xfId="36930"/>
    <cellStyle name="20% - Accent1 2 2 2 5 2 2 2 2 3" xfId="10319"/>
    <cellStyle name="20% - Accent1 2 2 2 5 2 2 2 2 3 2" xfId="43310"/>
    <cellStyle name="20% - Accent1 2 2 2 5 2 2 2 2 4" xfId="22120"/>
    <cellStyle name="20% - Accent1 2 2 2 5 2 2 2 2 4 2" xfId="50011"/>
    <cellStyle name="20% - Accent1 2 2 2 5 2 2 2 2 5" xfId="35735"/>
    <cellStyle name="20% - Accent1 2 2 2 5 2 2 2 3" xfId="3025"/>
    <cellStyle name="20% - Accent1 2 2 2 5 2 2 2 3 2" xfId="11515"/>
    <cellStyle name="20% - Accent1 2 2 2 5 2 2 2 3 2 2" xfId="23316"/>
    <cellStyle name="20% - Accent1 2 2 2 5 2 2 2 3 2 2 2" xfId="50012"/>
    <cellStyle name="20% - Accent1 2 2 2 5 2 2 2 3 2 3" xfId="36931"/>
    <cellStyle name="20% - Accent1 2 2 2 5 2 2 2 3 3" xfId="8478"/>
    <cellStyle name="20% - Accent1 2 2 2 5 2 2 2 3 3 2" xfId="43311"/>
    <cellStyle name="20% - Accent1 2 2 2 5 2 2 2 3 4" xfId="20279"/>
    <cellStyle name="20% - Accent1 2 2 2 5 2 2 2 3 4 2" xfId="50013"/>
    <cellStyle name="20% - Accent1 2 2 2 5 2 2 2 3 5" xfId="33894"/>
    <cellStyle name="20% - Accent1 2 2 2 5 2 2 2 4" xfId="11516"/>
    <cellStyle name="20% - Accent1 2 2 2 5 2 2 2 4 2" xfId="23317"/>
    <cellStyle name="20% - Accent1 2 2 2 5 2 2 2 4 2 2" xfId="50014"/>
    <cellStyle name="20% - Accent1 2 2 2 5 2 2 2 4 3" xfId="36932"/>
    <cellStyle name="20% - Accent1 2 2 2 5 2 2 2 5" xfId="6507"/>
    <cellStyle name="20% - Accent1 2 2 2 5 2 2 2 5 2" xfId="43312"/>
    <cellStyle name="20% - Accent1 2 2 2 5 2 2 2 6" xfId="18308"/>
    <cellStyle name="20% - Accent1 2 2 2 5 2 2 2 6 2" xfId="50015"/>
    <cellStyle name="20% - Accent1 2 2 2 5 2 2 2 7" xfId="31923"/>
    <cellStyle name="20% - Accent1 2 2 2 5 2 2 3" xfId="3593"/>
    <cellStyle name="20% - Accent1 2 2 2 5 2 2 3 2" xfId="5434"/>
    <cellStyle name="20% - Accent1 2 2 2 5 2 2 3 2 2" xfId="16904"/>
    <cellStyle name="20% - Accent1 2 2 2 5 2 2 3 2 2 2" xfId="28705"/>
    <cellStyle name="20% - Accent1 2 2 2 5 2 2 3 2 2 2 2" xfId="50016"/>
    <cellStyle name="20% - Accent1 2 2 2 5 2 2 3 2 2 3" xfId="42320"/>
    <cellStyle name="20% - Accent1 2 2 2 5 2 2 3 2 3" xfId="10887"/>
    <cellStyle name="20% - Accent1 2 2 2 5 2 2 3 2 3 2" xfId="50017"/>
    <cellStyle name="20% - Accent1 2 2 2 5 2 2 3 2 4" xfId="22688"/>
    <cellStyle name="20% - Accent1 2 2 2 5 2 2 3 2 4 2" xfId="50018"/>
    <cellStyle name="20% - Accent1 2 2 2 5 2 2 3 2 5" xfId="36303"/>
    <cellStyle name="20% - Accent1 2 2 2 5 2 2 3 3" xfId="11517"/>
    <cellStyle name="20% - Accent1 2 2 2 5 2 2 3 3 2" xfId="23318"/>
    <cellStyle name="20% - Accent1 2 2 2 5 2 2 3 3 2 2" xfId="50019"/>
    <cellStyle name="20% - Accent1 2 2 2 5 2 2 3 3 3" xfId="36933"/>
    <cellStyle name="20% - Accent1 2 2 2 5 2 2 3 4" xfId="9046"/>
    <cellStyle name="20% - Accent1 2 2 2 5 2 2 3 4 2" xfId="50020"/>
    <cellStyle name="20% - Accent1 2 2 2 5 2 2 3 5" xfId="20847"/>
    <cellStyle name="20% - Accent1 2 2 2 5 2 2 3 5 2" xfId="50021"/>
    <cellStyle name="20% - Accent1 2 2 2 5 2 2 3 6" xfId="34462"/>
    <cellStyle name="20% - Accent1 2 2 2 5 2 2 4" xfId="4298"/>
    <cellStyle name="20% - Accent1 2 2 2 5 2 2 4 2" xfId="11518"/>
    <cellStyle name="20% - Accent1 2 2 2 5 2 2 4 2 2" xfId="23319"/>
    <cellStyle name="20% - Accent1 2 2 2 5 2 2 4 2 2 2" xfId="50022"/>
    <cellStyle name="20% - Accent1 2 2 2 5 2 2 4 2 3" xfId="36934"/>
    <cellStyle name="20% - Accent1 2 2 2 5 2 2 4 3" xfId="9751"/>
    <cellStyle name="20% - Accent1 2 2 2 5 2 2 4 3 2" xfId="43313"/>
    <cellStyle name="20% - Accent1 2 2 2 5 2 2 4 4" xfId="21552"/>
    <cellStyle name="20% - Accent1 2 2 2 5 2 2 4 4 2" xfId="50023"/>
    <cellStyle name="20% - Accent1 2 2 2 5 2 2 4 5" xfId="35167"/>
    <cellStyle name="20% - Accent1 2 2 2 5 2 2 5" xfId="2457"/>
    <cellStyle name="20% - Accent1 2 2 2 5 2 2 5 2" xfId="16958"/>
    <cellStyle name="20% - Accent1 2 2 2 5 2 2 5 2 2" xfId="28759"/>
    <cellStyle name="20% - Accent1 2 2 2 5 2 2 5 2 2 2" xfId="50024"/>
    <cellStyle name="20% - Accent1 2 2 2 5 2 2 5 2 3" xfId="42374"/>
    <cellStyle name="20% - Accent1 2 2 2 5 2 2 5 3" xfId="7910"/>
    <cellStyle name="20% - Accent1 2 2 2 5 2 2 5 3 2" xfId="50025"/>
    <cellStyle name="20% - Accent1 2 2 2 5 2 2 5 4" xfId="19711"/>
    <cellStyle name="20% - Accent1 2 2 2 5 2 2 5 4 2" xfId="50026"/>
    <cellStyle name="20% - Accent1 2 2 2 5 2 2 5 5" xfId="33326"/>
    <cellStyle name="20% - Accent1 2 2 2 5 2 2 6" xfId="11519"/>
    <cellStyle name="20% - Accent1 2 2 2 5 2 2 6 2" xfId="23320"/>
    <cellStyle name="20% - Accent1 2 2 2 5 2 2 6 2 2" xfId="50027"/>
    <cellStyle name="20% - Accent1 2 2 2 5 2 2 6 3" xfId="36935"/>
    <cellStyle name="20% - Accent1 2 2 2 5 2 2 7" xfId="6010"/>
    <cellStyle name="20% - Accent1 2 2 2 5 2 2 7 2" xfId="50028"/>
    <cellStyle name="20% - Accent1 2 2 2 5 2 2 8" xfId="17811"/>
    <cellStyle name="20% - Accent1 2 2 2 5 2 2 8 2" xfId="50029"/>
    <cellStyle name="20% - Accent1 2 2 2 5 2 2 9" xfId="31426"/>
    <cellStyle name="20% - Accent1 2 2 2 5 2 3" xfId="419"/>
    <cellStyle name="20% - Accent1 2 2 2 5 2 3 2" xfId="1054"/>
    <cellStyle name="20% - Accent1 2 2 2 5 2 3 2 2" xfId="4729"/>
    <cellStyle name="20% - Accent1 2 2 2 5 2 3 2 2 2" xfId="11520"/>
    <cellStyle name="20% - Accent1 2 2 2 5 2 3 2 2 2 2" xfId="23321"/>
    <cellStyle name="20% - Accent1 2 2 2 5 2 3 2 2 2 2 2" xfId="50030"/>
    <cellStyle name="20% - Accent1 2 2 2 5 2 3 2 2 2 3" xfId="36936"/>
    <cellStyle name="20% - Accent1 2 2 2 5 2 3 2 2 3" xfId="10182"/>
    <cellStyle name="20% - Accent1 2 2 2 5 2 3 2 2 3 2" xfId="43314"/>
    <cellStyle name="20% - Accent1 2 2 2 5 2 3 2 2 4" xfId="21983"/>
    <cellStyle name="20% - Accent1 2 2 2 5 2 3 2 2 4 2" xfId="50031"/>
    <cellStyle name="20% - Accent1 2 2 2 5 2 3 2 2 5" xfId="35598"/>
    <cellStyle name="20% - Accent1 2 2 2 5 2 3 2 3" xfId="2888"/>
    <cellStyle name="20% - Accent1 2 2 2 5 2 3 2 3 2" xfId="11521"/>
    <cellStyle name="20% - Accent1 2 2 2 5 2 3 2 3 2 2" xfId="23322"/>
    <cellStyle name="20% - Accent1 2 2 2 5 2 3 2 3 2 2 2" xfId="50032"/>
    <cellStyle name="20% - Accent1 2 2 2 5 2 3 2 3 2 3" xfId="36937"/>
    <cellStyle name="20% - Accent1 2 2 2 5 2 3 2 3 3" xfId="8341"/>
    <cellStyle name="20% - Accent1 2 2 2 5 2 3 2 3 3 2" xfId="43315"/>
    <cellStyle name="20% - Accent1 2 2 2 5 2 3 2 3 4" xfId="20142"/>
    <cellStyle name="20% - Accent1 2 2 2 5 2 3 2 3 4 2" xfId="50033"/>
    <cellStyle name="20% - Accent1 2 2 2 5 2 3 2 3 5" xfId="33757"/>
    <cellStyle name="20% - Accent1 2 2 2 5 2 3 2 4" xfId="11522"/>
    <cellStyle name="20% - Accent1 2 2 2 5 2 3 2 4 2" xfId="23323"/>
    <cellStyle name="20% - Accent1 2 2 2 5 2 3 2 4 2 2" xfId="50034"/>
    <cellStyle name="20% - Accent1 2 2 2 5 2 3 2 4 3" xfId="36938"/>
    <cellStyle name="20% - Accent1 2 2 2 5 2 3 2 5" xfId="6508"/>
    <cellStyle name="20% - Accent1 2 2 2 5 2 3 2 5 2" xfId="43316"/>
    <cellStyle name="20% - Accent1 2 2 2 5 2 3 2 6" xfId="18309"/>
    <cellStyle name="20% - Accent1 2 2 2 5 2 3 2 6 2" xfId="50035"/>
    <cellStyle name="20% - Accent1 2 2 2 5 2 3 2 7" xfId="31924"/>
    <cellStyle name="20% - Accent1 2 2 2 5 2 3 3" xfId="3456"/>
    <cellStyle name="20% - Accent1 2 2 2 5 2 3 3 2" xfId="5297"/>
    <cellStyle name="20% - Accent1 2 2 2 5 2 3 3 2 2" xfId="16767"/>
    <cellStyle name="20% - Accent1 2 2 2 5 2 3 3 2 2 2" xfId="28568"/>
    <cellStyle name="20% - Accent1 2 2 2 5 2 3 3 2 2 2 2" xfId="50036"/>
    <cellStyle name="20% - Accent1 2 2 2 5 2 3 3 2 2 3" xfId="42183"/>
    <cellStyle name="20% - Accent1 2 2 2 5 2 3 3 2 3" xfId="10750"/>
    <cellStyle name="20% - Accent1 2 2 2 5 2 3 3 2 3 2" xfId="50037"/>
    <cellStyle name="20% - Accent1 2 2 2 5 2 3 3 2 4" xfId="22551"/>
    <cellStyle name="20% - Accent1 2 2 2 5 2 3 3 2 4 2" xfId="50038"/>
    <cellStyle name="20% - Accent1 2 2 2 5 2 3 3 2 5" xfId="36166"/>
    <cellStyle name="20% - Accent1 2 2 2 5 2 3 3 3" xfId="11523"/>
    <cellStyle name="20% - Accent1 2 2 2 5 2 3 3 3 2" xfId="23324"/>
    <cellStyle name="20% - Accent1 2 2 2 5 2 3 3 3 2 2" xfId="50039"/>
    <cellStyle name="20% - Accent1 2 2 2 5 2 3 3 3 3" xfId="36939"/>
    <cellStyle name="20% - Accent1 2 2 2 5 2 3 3 4" xfId="8909"/>
    <cellStyle name="20% - Accent1 2 2 2 5 2 3 3 4 2" xfId="50040"/>
    <cellStyle name="20% - Accent1 2 2 2 5 2 3 3 5" xfId="20710"/>
    <cellStyle name="20% - Accent1 2 2 2 5 2 3 3 5 2" xfId="50041"/>
    <cellStyle name="20% - Accent1 2 2 2 5 2 3 3 6" xfId="34325"/>
    <cellStyle name="20% - Accent1 2 2 2 5 2 3 4" xfId="4161"/>
    <cellStyle name="20% - Accent1 2 2 2 5 2 3 4 2" xfId="11524"/>
    <cellStyle name="20% - Accent1 2 2 2 5 2 3 4 2 2" xfId="23325"/>
    <cellStyle name="20% - Accent1 2 2 2 5 2 3 4 2 2 2" xfId="50042"/>
    <cellStyle name="20% - Accent1 2 2 2 5 2 3 4 2 3" xfId="36940"/>
    <cellStyle name="20% - Accent1 2 2 2 5 2 3 4 3" xfId="9614"/>
    <cellStyle name="20% - Accent1 2 2 2 5 2 3 4 3 2" xfId="43317"/>
    <cellStyle name="20% - Accent1 2 2 2 5 2 3 4 4" xfId="21415"/>
    <cellStyle name="20% - Accent1 2 2 2 5 2 3 4 4 2" xfId="50043"/>
    <cellStyle name="20% - Accent1 2 2 2 5 2 3 4 5" xfId="35030"/>
    <cellStyle name="20% - Accent1 2 2 2 5 2 3 5" xfId="2320"/>
    <cellStyle name="20% - Accent1 2 2 2 5 2 3 5 2" xfId="16959"/>
    <cellStyle name="20% - Accent1 2 2 2 5 2 3 5 2 2" xfId="28760"/>
    <cellStyle name="20% - Accent1 2 2 2 5 2 3 5 2 2 2" xfId="50044"/>
    <cellStyle name="20% - Accent1 2 2 2 5 2 3 5 2 3" xfId="42375"/>
    <cellStyle name="20% - Accent1 2 2 2 5 2 3 5 3" xfId="7773"/>
    <cellStyle name="20% - Accent1 2 2 2 5 2 3 5 3 2" xfId="50045"/>
    <cellStyle name="20% - Accent1 2 2 2 5 2 3 5 4" xfId="19574"/>
    <cellStyle name="20% - Accent1 2 2 2 5 2 3 5 4 2" xfId="50046"/>
    <cellStyle name="20% - Accent1 2 2 2 5 2 3 5 5" xfId="33189"/>
    <cellStyle name="20% - Accent1 2 2 2 5 2 3 6" xfId="11525"/>
    <cellStyle name="20% - Accent1 2 2 2 5 2 3 6 2" xfId="23326"/>
    <cellStyle name="20% - Accent1 2 2 2 5 2 3 6 2 2" xfId="50047"/>
    <cellStyle name="20% - Accent1 2 2 2 5 2 3 6 3" xfId="36941"/>
    <cellStyle name="20% - Accent1 2 2 2 5 2 3 7" xfId="5873"/>
    <cellStyle name="20% - Accent1 2 2 2 5 2 3 7 2" xfId="50048"/>
    <cellStyle name="20% - Accent1 2 2 2 5 2 3 8" xfId="17674"/>
    <cellStyle name="20% - Accent1 2 2 2 5 2 3 8 2" xfId="50049"/>
    <cellStyle name="20% - Accent1 2 2 2 5 2 3 9" xfId="31289"/>
    <cellStyle name="20% - Accent1 2 2 2 5 2 4" xfId="697"/>
    <cellStyle name="20% - Accent1 2 2 2 5 2 4 2" xfId="1055"/>
    <cellStyle name="20% - Accent1 2 2 2 5 2 4 2 2" xfId="4439"/>
    <cellStyle name="20% - Accent1 2 2 2 5 2 4 2 2 2" xfId="11526"/>
    <cellStyle name="20% - Accent1 2 2 2 5 2 4 2 2 2 2" xfId="23327"/>
    <cellStyle name="20% - Accent1 2 2 2 5 2 4 2 2 2 2 2" xfId="50050"/>
    <cellStyle name="20% - Accent1 2 2 2 5 2 4 2 2 2 3" xfId="36942"/>
    <cellStyle name="20% - Accent1 2 2 2 5 2 4 2 2 3" xfId="9892"/>
    <cellStyle name="20% - Accent1 2 2 2 5 2 4 2 2 3 2" xfId="43318"/>
    <cellStyle name="20% - Accent1 2 2 2 5 2 4 2 2 4" xfId="21693"/>
    <cellStyle name="20% - Accent1 2 2 2 5 2 4 2 2 4 2" xfId="50051"/>
    <cellStyle name="20% - Accent1 2 2 2 5 2 4 2 2 5" xfId="35308"/>
    <cellStyle name="20% - Accent1 2 2 2 5 2 4 2 3" xfId="11527"/>
    <cellStyle name="20% - Accent1 2 2 2 5 2 4 2 3 2" xfId="23328"/>
    <cellStyle name="20% - Accent1 2 2 2 5 2 4 2 3 2 2" xfId="43319"/>
    <cellStyle name="20% - Accent1 2 2 2 5 2 4 2 3 3" xfId="29256"/>
    <cellStyle name="20% - Accent1 2 2 2 5 2 4 2 3 3 2" xfId="43320"/>
    <cellStyle name="20% - Accent1 2 2 2 5 2 4 2 3 4" xfId="29257"/>
    <cellStyle name="20% - Accent1 2 2 2 5 2 4 2 3 4 2" xfId="50052"/>
    <cellStyle name="20% - Accent1 2 2 2 5 2 4 2 3 5" xfId="36943"/>
    <cellStyle name="20% - Accent1 2 2 2 5 2 4 2 4" xfId="11528"/>
    <cellStyle name="20% - Accent1 2 2 2 5 2 4 2 4 2" xfId="23329"/>
    <cellStyle name="20% - Accent1 2 2 2 5 2 4 2 4 2 2" xfId="50053"/>
    <cellStyle name="20% - Accent1 2 2 2 5 2 4 2 4 3" xfId="36944"/>
    <cellStyle name="20% - Accent1 2 2 2 5 2 4 2 5" xfId="6509"/>
    <cellStyle name="20% - Accent1 2 2 2 5 2 4 2 5 2" xfId="43321"/>
    <cellStyle name="20% - Accent1 2 2 2 5 2 4 2 6" xfId="18310"/>
    <cellStyle name="20% - Accent1 2 2 2 5 2 4 2 6 2" xfId="50054"/>
    <cellStyle name="20% - Accent1 2 2 2 5 2 4 2 7" xfId="31925"/>
    <cellStyle name="20% - Accent1 2 2 2 5 2 4 3" xfId="2598"/>
    <cellStyle name="20% - Accent1 2 2 2 5 2 4 3 2" xfId="11529"/>
    <cellStyle name="20% - Accent1 2 2 2 5 2 4 3 2 2" xfId="23330"/>
    <cellStyle name="20% - Accent1 2 2 2 5 2 4 3 2 2 2" xfId="50055"/>
    <cellStyle name="20% - Accent1 2 2 2 5 2 4 3 2 3" xfId="36945"/>
    <cellStyle name="20% - Accent1 2 2 2 5 2 4 3 3" xfId="8051"/>
    <cellStyle name="20% - Accent1 2 2 2 5 2 4 3 3 2" xfId="43322"/>
    <cellStyle name="20% - Accent1 2 2 2 5 2 4 3 4" xfId="19852"/>
    <cellStyle name="20% - Accent1 2 2 2 5 2 4 3 4 2" xfId="50056"/>
    <cellStyle name="20% - Accent1 2 2 2 5 2 4 3 5" xfId="33467"/>
    <cellStyle name="20% - Accent1 2 2 2 5 2 4 4" xfId="11530"/>
    <cellStyle name="20% - Accent1 2 2 2 5 2 4 4 2" xfId="23331"/>
    <cellStyle name="20% - Accent1 2 2 2 5 2 4 4 2 2" xfId="43323"/>
    <cellStyle name="20% - Accent1 2 2 2 5 2 4 4 3" xfId="29258"/>
    <cellStyle name="20% - Accent1 2 2 2 5 2 4 4 3 2" xfId="43324"/>
    <cellStyle name="20% - Accent1 2 2 2 5 2 4 4 4" xfId="29259"/>
    <cellStyle name="20% - Accent1 2 2 2 5 2 4 4 4 2" xfId="50057"/>
    <cellStyle name="20% - Accent1 2 2 2 5 2 4 4 5" xfId="36946"/>
    <cellStyle name="20% - Accent1 2 2 2 5 2 4 5" xfId="11531"/>
    <cellStyle name="20% - Accent1 2 2 2 5 2 4 5 2" xfId="23332"/>
    <cellStyle name="20% - Accent1 2 2 2 5 2 4 5 2 2" xfId="50058"/>
    <cellStyle name="20% - Accent1 2 2 2 5 2 4 5 3" xfId="36947"/>
    <cellStyle name="20% - Accent1 2 2 2 5 2 4 6" xfId="6151"/>
    <cellStyle name="20% - Accent1 2 2 2 5 2 4 6 2" xfId="43325"/>
    <cellStyle name="20% - Accent1 2 2 2 5 2 4 7" xfId="17952"/>
    <cellStyle name="20% - Accent1 2 2 2 5 2 4 7 2" xfId="50059"/>
    <cellStyle name="20% - Accent1 2 2 2 5 2 4 8" xfId="31567"/>
    <cellStyle name="20% - Accent1 2 2 2 5 2 5" xfId="938"/>
    <cellStyle name="20% - Accent1 2 2 2 5 2 5 2" xfId="1056"/>
    <cellStyle name="20% - Accent1 2 2 2 5 2 5 2 2" xfId="5007"/>
    <cellStyle name="20% - Accent1 2 2 2 5 2 5 2 2 2" xfId="11532"/>
    <cellStyle name="20% - Accent1 2 2 2 5 2 5 2 2 2 2" xfId="23333"/>
    <cellStyle name="20% - Accent1 2 2 2 5 2 5 2 2 2 2 2" xfId="50060"/>
    <cellStyle name="20% - Accent1 2 2 2 5 2 5 2 2 2 3" xfId="36948"/>
    <cellStyle name="20% - Accent1 2 2 2 5 2 5 2 2 3" xfId="10460"/>
    <cellStyle name="20% - Accent1 2 2 2 5 2 5 2 2 3 2" xfId="43326"/>
    <cellStyle name="20% - Accent1 2 2 2 5 2 5 2 2 4" xfId="22261"/>
    <cellStyle name="20% - Accent1 2 2 2 5 2 5 2 2 4 2" xfId="50061"/>
    <cellStyle name="20% - Accent1 2 2 2 5 2 5 2 2 5" xfId="35876"/>
    <cellStyle name="20% - Accent1 2 2 2 5 2 5 2 3" xfId="11533"/>
    <cellStyle name="20% - Accent1 2 2 2 5 2 5 2 3 2" xfId="23334"/>
    <cellStyle name="20% - Accent1 2 2 2 5 2 5 2 3 2 2" xfId="43327"/>
    <cellStyle name="20% - Accent1 2 2 2 5 2 5 2 3 3" xfId="29260"/>
    <cellStyle name="20% - Accent1 2 2 2 5 2 5 2 3 3 2" xfId="43328"/>
    <cellStyle name="20% - Accent1 2 2 2 5 2 5 2 3 4" xfId="29261"/>
    <cellStyle name="20% - Accent1 2 2 2 5 2 5 2 3 4 2" xfId="50062"/>
    <cellStyle name="20% - Accent1 2 2 2 5 2 5 2 3 5" xfId="36949"/>
    <cellStyle name="20% - Accent1 2 2 2 5 2 5 2 4" xfId="11534"/>
    <cellStyle name="20% - Accent1 2 2 2 5 2 5 2 4 2" xfId="23335"/>
    <cellStyle name="20% - Accent1 2 2 2 5 2 5 2 4 2 2" xfId="50063"/>
    <cellStyle name="20% - Accent1 2 2 2 5 2 5 2 4 3" xfId="36950"/>
    <cellStyle name="20% - Accent1 2 2 2 5 2 5 2 5" xfId="6510"/>
    <cellStyle name="20% - Accent1 2 2 2 5 2 5 2 5 2" xfId="43329"/>
    <cellStyle name="20% - Accent1 2 2 2 5 2 5 2 6" xfId="18311"/>
    <cellStyle name="20% - Accent1 2 2 2 5 2 5 2 6 2" xfId="50064"/>
    <cellStyle name="20% - Accent1 2 2 2 5 2 5 2 7" xfId="31926"/>
    <cellStyle name="20% - Accent1 2 2 2 5 2 5 3" xfId="3166"/>
    <cellStyle name="20% - Accent1 2 2 2 5 2 5 3 2" xfId="11535"/>
    <cellStyle name="20% - Accent1 2 2 2 5 2 5 3 2 2" xfId="23336"/>
    <cellStyle name="20% - Accent1 2 2 2 5 2 5 3 2 2 2" xfId="50065"/>
    <cellStyle name="20% - Accent1 2 2 2 5 2 5 3 2 3" xfId="36951"/>
    <cellStyle name="20% - Accent1 2 2 2 5 2 5 3 3" xfId="8619"/>
    <cellStyle name="20% - Accent1 2 2 2 5 2 5 3 3 2" xfId="43330"/>
    <cellStyle name="20% - Accent1 2 2 2 5 2 5 3 4" xfId="20420"/>
    <cellStyle name="20% - Accent1 2 2 2 5 2 5 3 4 2" xfId="50066"/>
    <cellStyle name="20% - Accent1 2 2 2 5 2 5 3 5" xfId="34035"/>
    <cellStyle name="20% - Accent1 2 2 2 5 2 5 4" xfId="11536"/>
    <cellStyle name="20% - Accent1 2 2 2 5 2 5 4 2" xfId="23337"/>
    <cellStyle name="20% - Accent1 2 2 2 5 2 5 4 2 2" xfId="43331"/>
    <cellStyle name="20% - Accent1 2 2 2 5 2 5 4 3" xfId="29262"/>
    <cellStyle name="20% - Accent1 2 2 2 5 2 5 4 3 2" xfId="43332"/>
    <cellStyle name="20% - Accent1 2 2 2 5 2 5 4 4" xfId="29263"/>
    <cellStyle name="20% - Accent1 2 2 2 5 2 5 4 4 2" xfId="50067"/>
    <cellStyle name="20% - Accent1 2 2 2 5 2 5 4 5" xfId="36952"/>
    <cellStyle name="20% - Accent1 2 2 2 5 2 5 5" xfId="11537"/>
    <cellStyle name="20% - Accent1 2 2 2 5 2 5 5 2" xfId="23338"/>
    <cellStyle name="20% - Accent1 2 2 2 5 2 5 5 2 2" xfId="50068"/>
    <cellStyle name="20% - Accent1 2 2 2 5 2 5 5 3" xfId="36953"/>
    <cellStyle name="20% - Accent1 2 2 2 5 2 5 6" xfId="6392"/>
    <cellStyle name="20% - Accent1 2 2 2 5 2 5 6 2" xfId="43333"/>
    <cellStyle name="20% - Accent1 2 2 2 5 2 5 7" xfId="18193"/>
    <cellStyle name="20% - Accent1 2 2 2 5 2 5 7 2" xfId="50069"/>
    <cellStyle name="20% - Accent1 2 2 2 5 2 5 8" xfId="31808"/>
    <cellStyle name="20% - Accent1 2 2 2 5 2 6" xfId="1057"/>
    <cellStyle name="20% - Accent1 2 2 2 5 2 6 2" xfId="3871"/>
    <cellStyle name="20% - Accent1 2 2 2 5 2 6 2 2" xfId="11538"/>
    <cellStyle name="20% - Accent1 2 2 2 5 2 6 2 2 2" xfId="23339"/>
    <cellStyle name="20% - Accent1 2 2 2 5 2 6 2 2 2 2" xfId="50070"/>
    <cellStyle name="20% - Accent1 2 2 2 5 2 6 2 2 3" xfId="36954"/>
    <cellStyle name="20% - Accent1 2 2 2 5 2 6 2 3" xfId="9324"/>
    <cellStyle name="20% - Accent1 2 2 2 5 2 6 2 3 2" xfId="43334"/>
    <cellStyle name="20% - Accent1 2 2 2 5 2 6 2 4" xfId="21125"/>
    <cellStyle name="20% - Accent1 2 2 2 5 2 6 2 4 2" xfId="50071"/>
    <cellStyle name="20% - Accent1 2 2 2 5 2 6 2 5" xfId="34740"/>
    <cellStyle name="20% - Accent1 2 2 2 5 2 6 3" xfId="11539"/>
    <cellStyle name="20% - Accent1 2 2 2 5 2 6 3 2" xfId="23340"/>
    <cellStyle name="20% - Accent1 2 2 2 5 2 6 3 2 2" xfId="43335"/>
    <cellStyle name="20% - Accent1 2 2 2 5 2 6 3 3" xfId="29264"/>
    <cellStyle name="20% - Accent1 2 2 2 5 2 6 3 3 2" xfId="43336"/>
    <cellStyle name="20% - Accent1 2 2 2 5 2 6 3 4" xfId="29265"/>
    <cellStyle name="20% - Accent1 2 2 2 5 2 6 3 4 2" xfId="50072"/>
    <cellStyle name="20% - Accent1 2 2 2 5 2 6 3 5" xfId="36955"/>
    <cellStyle name="20% - Accent1 2 2 2 5 2 6 4" xfId="11540"/>
    <cellStyle name="20% - Accent1 2 2 2 5 2 6 4 2" xfId="23341"/>
    <cellStyle name="20% - Accent1 2 2 2 5 2 6 4 2 2" xfId="50073"/>
    <cellStyle name="20% - Accent1 2 2 2 5 2 6 4 3" xfId="36956"/>
    <cellStyle name="20% - Accent1 2 2 2 5 2 6 5" xfId="6511"/>
    <cellStyle name="20% - Accent1 2 2 2 5 2 6 5 2" xfId="43337"/>
    <cellStyle name="20% - Accent1 2 2 2 5 2 6 6" xfId="18312"/>
    <cellStyle name="20% - Accent1 2 2 2 5 2 6 6 2" xfId="50074"/>
    <cellStyle name="20% - Accent1 2 2 2 5 2 6 7" xfId="31927"/>
    <cellStyle name="20% - Accent1 2 2 2 5 2 7" xfId="3734"/>
    <cellStyle name="20% - Accent1 2 2 2 5 2 7 2" xfId="11541"/>
    <cellStyle name="20% - Accent1 2 2 2 5 2 7 2 2" xfId="23342"/>
    <cellStyle name="20% - Accent1 2 2 2 5 2 7 2 2 2" xfId="50075"/>
    <cellStyle name="20% - Accent1 2 2 2 5 2 7 2 3" xfId="36957"/>
    <cellStyle name="20% - Accent1 2 2 2 5 2 7 3" xfId="9187"/>
    <cellStyle name="20% - Accent1 2 2 2 5 2 7 3 2" xfId="43338"/>
    <cellStyle name="20% - Accent1 2 2 2 5 2 7 4" xfId="20988"/>
    <cellStyle name="20% - Accent1 2 2 2 5 2 7 4 2" xfId="50076"/>
    <cellStyle name="20% - Accent1 2 2 2 5 2 7 5" xfId="34603"/>
    <cellStyle name="20% - Accent1 2 2 2 5 2 8" xfId="2030"/>
    <cellStyle name="20% - Accent1 2 2 2 5 2 8 2" xfId="11542"/>
    <cellStyle name="20% - Accent1 2 2 2 5 2 8 2 2" xfId="23343"/>
    <cellStyle name="20% - Accent1 2 2 2 5 2 8 2 2 2" xfId="50077"/>
    <cellStyle name="20% - Accent1 2 2 2 5 2 8 2 3" xfId="36958"/>
    <cellStyle name="20% - Accent1 2 2 2 5 2 8 3" xfId="7483"/>
    <cellStyle name="20% - Accent1 2 2 2 5 2 8 3 2" xfId="43339"/>
    <cellStyle name="20% - Accent1 2 2 2 5 2 8 4" xfId="19284"/>
    <cellStyle name="20% - Accent1 2 2 2 5 2 8 4 2" xfId="50078"/>
    <cellStyle name="20% - Accent1 2 2 2 5 2 8 5" xfId="32899"/>
    <cellStyle name="20% - Accent1 2 2 2 5 2 9" xfId="11543"/>
    <cellStyle name="20% - Accent1 2 2 2 5 2 9 2" xfId="23344"/>
    <cellStyle name="20% - Accent1 2 2 2 5 2 9 2 2" xfId="50079"/>
    <cellStyle name="20% - Accent1 2 2 2 5 2 9 3" xfId="36959"/>
    <cellStyle name="20% - Accent1 2 2 2 5 3" xfId="196"/>
    <cellStyle name="20% - Accent1 2 2 2 5 3 10" xfId="31066"/>
    <cellStyle name="20% - Accent1 2 2 2 5 3 2" xfId="489"/>
    <cellStyle name="20% - Accent1 2 2 2 5 3 2 2" xfId="1058"/>
    <cellStyle name="20% - Accent1 2 2 2 5 3 2 2 2" xfId="4799"/>
    <cellStyle name="20% - Accent1 2 2 2 5 3 2 2 2 2" xfId="11544"/>
    <cellStyle name="20% - Accent1 2 2 2 5 3 2 2 2 2 2" xfId="23345"/>
    <cellStyle name="20% - Accent1 2 2 2 5 3 2 2 2 2 2 2" xfId="50080"/>
    <cellStyle name="20% - Accent1 2 2 2 5 3 2 2 2 2 3" xfId="36960"/>
    <cellStyle name="20% - Accent1 2 2 2 5 3 2 2 2 3" xfId="10252"/>
    <cellStyle name="20% - Accent1 2 2 2 5 3 2 2 2 3 2" xfId="43340"/>
    <cellStyle name="20% - Accent1 2 2 2 5 3 2 2 2 4" xfId="22053"/>
    <cellStyle name="20% - Accent1 2 2 2 5 3 2 2 2 4 2" xfId="50081"/>
    <cellStyle name="20% - Accent1 2 2 2 5 3 2 2 2 5" xfId="35668"/>
    <cellStyle name="20% - Accent1 2 2 2 5 3 2 2 3" xfId="2958"/>
    <cellStyle name="20% - Accent1 2 2 2 5 3 2 2 3 2" xfId="11545"/>
    <cellStyle name="20% - Accent1 2 2 2 5 3 2 2 3 2 2" xfId="23346"/>
    <cellStyle name="20% - Accent1 2 2 2 5 3 2 2 3 2 2 2" xfId="50082"/>
    <cellStyle name="20% - Accent1 2 2 2 5 3 2 2 3 2 3" xfId="36961"/>
    <cellStyle name="20% - Accent1 2 2 2 5 3 2 2 3 3" xfId="8411"/>
    <cellStyle name="20% - Accent1 2 2 2 5 3 2 2 3 3 2" xfId="43341"/>
    <cellStyle name="20% - Accent1 2 2 2 5 3 2 2 3 4" xfId="20212"/>
    <cellStyle name="20% - Accent1 2 2 2 5 3 2 2 3 4 2" xfId="50083"/>
    <cellStyle name="20% - Accent1 2 2 2 5 3 2 2 3 5" xfId="33827"/>
    <cellStyle name="20% - Accent1 2 2 2 5 3 2 2 4" xfId="11546"/>
    <cellStyle name="20% - Accent1 2 2 2 5 3 2 2 4 2" xfId="23347"/>
    <cellStyle name="20% - Accent1 2 2 2 5 3 2 2 4 2 2" xfId="50084"/>
    <cellStyle name="20% - Accent1 2 2 2 5 3 2 2 4 3" xfId="36962"/>
    <cellStyle name="20% - Accent1 2 2 2 5 3 2 2 5" xfId="6512"/>
    <cellStyle name="20% - Accent1 2 2 2 5 3 2 2 5 2" xfId="43342"/>
    <cellStyle name="20% - Accent1 2 2 2 5 3 2 2 6" xfId="18313"/>
    <cellStyle name="20% - Accent1 2 2 2 5 3 2 2 6 2" xfId="50085"/>
    <cellStyle name="20% - Accent1 2 2 2 5 3 2 2 7" xfId="31928"/>
    <cellStyle name="20% - Accent1 2 2 2 5 3 2 3" xfId="3526"/>
    <cellStyle name="20% - Accent1 2 2 2 5 3 2 3 2" xfId="5367"/>
    <cellStyle name="20% - Accent1 2 2 2 5 3 2 3 2 2" xfId="16837"/>
    <cellStyle name="20% - Accent1 2 2 2 5 3 2 3 2 2 2" xfId="28638"/>
    <cellStyle name="20% - Accent1 2 2 2 5 3 2 3 2 2 2 2" xfId="50086"/>
    <cellStyle name="20% - Accent1 2 2 2 5 3 2 3 2 2 3" xfId="42253"/>
    <cellStyle name="20% - Accent1 2 2 2 5 3 2 3 2 3" xfId="10820"/>
    <cellStyle name="20% - Accent1 2 2 2 5 3 2 3 2 3 2" xfId="50087"/>
    <cellStyle name="20% - Accent1 2 2 2 5 3 2 3 2 4" xfId="22621"/>
    <cellStyle name="20% - Accent1 2 2 2 5 3 2 3 2 4 2" xfId="50088"/>
    <cellStyle name="20% - Accent1 2 2 2 5 3 2 3 2 5" xfId="36236"/>
    <cellStyle name="20% - Accent1 2 2 2 5 3 2 3 3" xfId="11547"/>
    <cellStyle name="20% - Accent1 2 2 2 5 3 2 3 3 2" xfId="23348"/>
    <cellStyle name="20% - Accent1 2 2 2 5 3 2 3 3 2 2" xfId="50089"/>
    <cellStyle name="20% - Accent1 2 2 2 5 3 2 3 3 3" xfId="36963"/>
    <cellStyle name="20% - Accent1 2 2 2 5 3 2 3 4" xfId="8979"/>
    <cellStyle name="20% - Accent1 2 2 2 5 3 2 3 4 2" xfId="50090"/>
    <cellStyle name="20% - Accent1 2 2 2 5 3 2 3 5" xfId="20780"/>
    <cellStyle name="20% - Accent1 2 2 2 5 3 2 3 5 2" xfId="50091"/>
    <cellStyle name="20% - Accent1 2 2 2 5 3 2 3 6" xfId="34395"/>
    <cellStyle name="20% - Accent1 2 2 2 5 3 2 4" xfId="4231"/>
    <cellStyle name="20% - Accent1 2 2 2 5 3 2 4 2" xfId="11548"/>
    <cellStyle name="20% - Accent1 2 2 2 5 3 2 4 2 2" xfId="23349"/>
    <cellStyle name="20% - Accent1 2 2 2 5 3 2 4 2 2 2" xfId="50092"/>
    <cellStyle name="20% - Accent1 2 2 2 5 3 2 4 2 3" xfId="36964"/>
    <cellStyle name="20% - Accent1 2 2 2 5 3 2 4 3" xfId="9684"/>
    <cellStyle name="20% - Accent1 2 2 2 5 3 2 4 3 2" xfId="43343"/>
    <cellStyle name="20% - Accent1 2 2 2 5 3 2 4 4" xfId="21485"/>
    <cellStyle name="20% - Accent1 2 2 2 5 3 2 4 4 2" xfId="50093"/>
    <cellStyle name="20% - Accent1 2 2 2 5 3 2 4 5" xfId="35100"/>
    <cellStyle name="20% - Accent1 2 2 2 5 3 2 5" xfId="2390"/>
    <cellStyle name="20% - Accent1 2 2 2 5 3 2 5 2" xfId="16960"/>
    <cellStyle name="20% - Accent1 2 2 2 5 3 2 5 2 2" xfId="28761"/>
    <cellStyle name="20% - Accent1 2 2 2 5 3 2 5 2 2 2" xfId="50094"/>
    <cellStyle name="20% - Accent1 2 2 2 5 3 2 5 2 3" xfId="42376"/>
    <cellStyle name="20% - Accent1 2 2 2 5 3 2 5 3" xfId="7843"/>
    <cellStyle name="20% - Accent1 2 2 2 5 3 2 5 3 2" xfId="50095"/>
    <cellStyle name="20% - Accent1 2 2 2 5 3 2 5 4" xfId="19644"/>
    <cellStyle name="20% - Accent1 2 2 2 5 3 2 5 4 2" xfId="50096"/>
    <cellStyle name="20% - Accent1 2 2 2 5 3 2 5 5" xfId="33259"/>
    <cellStyle name="20% - Accent1 2 2 2 5 3 2 6" xfId="11549"/>
    <cellStyle name="20% - Accent1 2 2 2 5 3 2 6 2" xfId="23350"/>
    <cellStyle name="20% - Accent1 2 2 2 5 3 2 6 2 2" xfId="50097"/>
    <cellStyle name="20% - Accent1 2 2 2 5 3 2 6 3" xfId="36965"/>
    <cellStyle name="20% - Accent1 2 2 2 5 3 2 7" xfId="5943"/>
    <cellStyle name="20% - Accent1 2 2 2 5 3 2 7 2" xfId="50098"/>
    <cellStyle name="20% - Accent1 2 2 2 5 3 2 8" xfId="17744"/>
    <cellStyle name="20% - Accent1 2 2 2 5 3 2 8 2" xfId="50099"/>
    <cellStyle name="20% - Accent1 2 2 2 5 3 2 9" xfId="31359"/>
    <cellStyle name="20% - Accent1 2 2 2 5 3 3" xfId="764"/>
    <cellStyle name="20% - Accent1 2 2 2 5 3 3 2" xfId="1059"/>
    <cellStyle name="20% - Accent1 2 2 2 5 3 3 2 2" xfId="4506"/>
    <cellStyle name="20% - Accent1 2 2 2 5 3 3 2 2 2" xfId="11550"/>
    <cellStyle name="20% - Accent1 2 2 2 5 3 3 2 2 2 2" xfId="23351"/>
    <cellStyle name="20% - Accent1 2 2 2 5 3 3 2 2 2 2 2" xfId="50100"/>
    <cellStyle name="20% - Accent1 2 2 2 5 3 3 2 2 2 3" xfId="36966"/>
    <cellStyle name="20% - Accent1 2 2 2 5 3 3 2 2 3" xfId="9959"/>
    <cellStyle name="20% - Accent1 2 2 2 5 3 3 2 2 3 2" xfId="43344"/>
    <cellStyle name="20% - Accent1 2 2 2 5 3 3 2 2 4" xfId="21760"/>
    <cellStyle name="20% - Accent1 2 2 2 5 3 3 2 2 4 2" xfId="50101"/>
    <cellStyle name="20% - Accent1 2 2 2 5 3 3 2 2 5" xfId="35375"/>
    <cellStyle name="20% - Accent1 2 2 2 5 3 3 2 3" xfId="11551"/>
    <cellStyle name="20% - Accent1 2 2 2 5 3 3 2 3 2" xfId="23352"/>
    <cellStyle name="20% - Accent1 2 2 2 5 3 3 2 3 2 2" xfId="43345"/>
    <cellStyle name="20% - Accent1 2 2 2 5 3 3 2 3 3" xfId="29266"/>
    <cellStyle name="20% - Accent1 2 2 2 5 3 3 2 3 3 2" xfId="43346"/>
    <cellStyle name="20% - Accent1 2 2 2 5 3 3 2 3 4" xfId="29267"/>
    <cellStyle name="20% - Accent1 2 2 2 5 3 3 2 3 4 2" xfId="50102"/>
    <cellStyle name="20% - Accent1 2 2 2 5 3 3 2 3 5" xfId="36967"/>
    <cellStyle name="20% - Accent1 2 2 2 5 3 3 2 4" xfId="11552"/>
    <cellStyle name="20% - Accent1 2 2 2 5 3 3 2 4 2" xfId="23353"/>
    <cellStyle name="20% - Accent1 2 2 2 5 3 3 2 4 2 2" xfId="50103"/>
    <cellStyle name="20% - Accent1 2 2 2 5 3 3 2 4 3" xfId="36968"/>
    <cellStyle name="20% - Accent1 2 2 2 5 3 3 2 5" xfId="6513"/>
    <cellStyle name="20% - Accent1 2 2 2 5 3 3 2 5 2" xfId="43347"/>
    <cellStyle name="20% - Accent1 2 2 2 5 3 3 2 6" xfId="18314"/>
    <cellStyle name="20% - Accent1 2 2 2 5 3 3 2 6 2" xfId="50104"/>
    <cellStyle name="20% - Accent1 2 2 2 5 3 3 2 7" xfId="31929"/>
    <cellStyle name="20% - Accent1 2 2 2 5 3 3 3" xfId="2665"/>
    <cellStyle name="20% - Accent1 2 2 2 5 3 3 3 2" xfId="11553"/>
    <cellStyle name="20% - Accent1 2 2 2 5 3 3 3 2 2" xfId="23354"/>
    <cellStyle name="20% - Accent1 2 2 2 5 3 3 3 2 2 2" xfId="50105"/>
    <cellStyle name="20% - Accent1 2 2 2 5 3 3 3 2 3" xfId="36969"/>
    <cellStyle name="20% - Accent1 2 2 2 5 3 3 3 3" xfId="8118"/>
    <cellStyle name="20% - Accent1 2 2 2 5 3 3 3 3 2" xfId="43348"/>
    <cellStyle name="20% - Accent1 2 2 2 5 3 3 3 4" xfId="19919"/>
    <cellStyle name="20% - Accent1 2 2 2 5 3 3 3 4 2" xfId="50106"/>
    <cellStyle name="20% - Accent1 2 2 2 5 3 3 3 5" xfId="33534"/>
    <cellStyle name="20% - Accent1 2 2 2 5 3 3 4" xfId="11554"/>
    <cellStyle name="20% - Accent1 2 2 2 5 3 3 4 2" xfId="23355"/>
    <cellStyle name="20% - Accent1 2 2 2 5 3 3 4 2 2" xfId="43349"/>
    <cellStyle name="20% - Accent1 2 2 2 5 3 3 4 3" xfId="29268"/>
    <cellStyle name="20% - Accent1 2 2 2 5 3 3 4 3 2" xfId="43350"/>
    <cellStyle name="20% - Accent1 2 2 2 5 3 3 4 4" xfId="29269"/>
    <cellStyle name="20% - Accent1 2 2 2 5 3 3 4 4 2" xfId="50107"/>
    <cellStyle name="20% - Accent1 2 2 2 5 3 3 4 5" xfId="36970"/>
    <cellStyle name="20% - Accent1 2 2 2 5 3 3 5" xfId="11555"/>
    <cellStyle name="20% - Accent1 2 2 2 5 3 3 5 2" xfId="23356"/>
    <cellStyle name="20% - Accent1 2 2 2 5 3 3 5 2 2" xfId="50108"/>
    <cellStyle name="20% - Accent1 2 2 2 5 3 3 5 3" xfId="36971"/>
    <cellStyle name="20% - Accent1 2 2 2 5 3 3 6" xfId="6218"/>
    <cellStyle name="20% - Accent1 2 2 2 5 3 3 6 2" xfId="43351"/>
    <cellStyle name="20% - Accent1 2 2 2 5 3 3 7" xfId="18019"/>
    <cellStyle name="20% - Accent1 2 2 2 5 3 3 7 2" xfId="50109"/>
    <cellStyle name="20% - Accent1 2 2 2 5 3 3 8" xfId="31634"/>
    <cellStyle name="20% - Accent1 2 2 2 5 3 4" xfId="1060"/>
    <cellStyle name="20% - Accent1 2 2 2 5 3 4 2" xfId="5074"/>
    <cellStyle name="20% - Accent1 2 2 2 5 3 4 2 2" xfId="11556"/>
    <cellStyle name="20% - Accent1 2 2 2 5 3 4 2 2 2" xfId="23357"/>
    <cellStyle name="20% - Accent1 2 2 2 5 3 4 2 2 2 2" xfId="50110"/>
    <cellStyle name="20% - Accent1 2 2 2 5 3 4 2 2 3" xfId="36972"/>
    <cellStyle name="20% - Accent1 2 2 2 5 3 4 2 3" xfId="10527"/>
    <cellStyle name="20% - Accent1 2 2 2 5 3 4 2 3 2" xfId="43352"/>
    <cellStyle name="20% - Accent1 2 2 2 5 3 4 2 4" xfId="22328"/>
    <cellStyle name="20% - Accent1 2 2 2 5 3 4 2 4 2" xfId="50111"/>
    <cellStyle name="20% - Accent1 2 2 2 5 3 4 2 5" xfId="35943"/>
    <cellStyle name="20% - Accent1 2 2 2 5 3 4 3" xfId="3233"/>
    <cellStyle name="20% - Accent1 2 2 2 5 3 4 3 2" xfId="11557"/>
    <cellStyle name="20% - Accent1 2 2 2 5 3 4 3 2 2" xfId="23358"/>
    <cellStyle name="20% - Accent1 2 2 2 5 3 4 3 2 2 2" xfId="50112"/>
    <cellStyle name="20% - Accent1 2 2 2 5 3 4 3 2 3" xfId="36973"/>
    <cellStyle name="20% - Accent1 2 2 2 5 3 4 3 3" xfId="8686"/>
    <cellStyle name="20% - Accent1 2 2 2 5 3 4 3 3 2" xfId="43353"/>
    <cellStyle name="20% - Accent1 2 2 2 5 3 4 3 4" xfId="20487"/>
    <cellStyle name="20% - Accent1 2 2 2 5 3 4 3 4 2" xfId="50113"/>
    <cellStyle name="20% - Accent1 2 2 2 5 3 4 3 5" xfId="34102"/>
    <cellStyle name="20% - Accent1 2 2 2 5 3 4 4" xfId="11558"/>
    <cellStyle name="20% - Accent1 2 2 2 5 3 4 4 2" xfId="23359"/>
    <cellStyle name="20% - Accent1 2 2 2 5 3 4 4 2 2" xfId="50114"/>
    <cellStyle name="20% - Accent1 2 2 2 5 3 4 4 3" xfId="36974"/>
    <cellStyle name="20% - Accent1 2 2 2 5 3 4 5" xfId="6514"/>
    <cellStyle name="20% - Accent1 2 2 2 5 3 4 5 2" xfId="43354"/>
    <cellStyle name="20% - Accent1 2 2 2 5 3 4 6" xfId="18315"/>
    <cellStyle name="20% - Accent1 2 2 2 5 3 4 6 2" xfId="50115"/>
    <cellStyle name="20% - Accent1 2 2 2 5 3 4 7" xfId="31930"/>
    <cellStyle name="20% - Accent1 2 2 2 5 3 5" xfId="3938"/>
    <cellStyle name="20% - Accent1 2 2 2 5 3 5 2" xfId="11559"/>
    <cellStyle name="20% - Accent1 2 2 2 5 3 5 2 2" xfId="23360"/>
    <cellStyle name="20% - Accent1 2 2 2 5 3 5 2 2 2" xfId="50116"/>
    <cellStyle name="20% - Accent1 2 2 2 5 3 5 2 3" xfId="36975"/>
    <cellStyle name="20% - Accent1 2 2 2 5 3 5 3" xfId="9391"/>
    <cellStyle name="20% - Accent1 2 2 2 5 3 5 3 2" xfId="43355"/>
    <cellStyle name="20% - Accent1 2 2 2 5 3 5 4" xfId="21192"/>
    <cellStyle name="20% - Accent1 2 2 2 5 3 5 4 2" xfId="50117"/>
    <cellStyle name="20% - Accent1 2 2 2 5 3 5 5" xfId="34807"/>
    <cellStyle name="20% - Accent1 2 2 2 5 3 6" xfId="2097"/>
    <cellStyle name="20% - Accent1 2 2 2 5 3 6 2" xfId="11560"/>
    <cellStyle name="20% - Accent1 2 2 2 5 3 6 2 2" xfId="23361"/>
    <cellStyle name="20% - Accent1 2 2 2 5 3 6 2 2 2" xfId="50118"/>
    <cellStyle name="20% - Accent1 2 2 2 5 3 6 2 3" xfId="36976"/>
    <cellStyle name="20% - Accent1 2 2 2 5 3 6 3" xfId="7550"/>
    <cellStyle name="20% - Accent1 2 2 2 5 3 6 3 2" xfId="43356"/>
    <cellStyle name="20% - Accent1 2 2 2 5 3 6 4" xfId="19351"/>
    <cellStyle name="20% - Accent1 2 2 2 5 3 6 4 2" xfId="50119"/>
    <cellStyle name="20% - Accent1 2 2 2 5 3 6 5" xfId="32966"/>
    <cellStyle name="20% - Accent1 2 2 2 5 3 7" xfId="11561"/>
    <cellStyle name="20% - Accent1 2 2 2 5 3 7 2" xfId="23362"/>
    <cellStyle name="20% - Accent1 2 2 2 5 3 7 2 2" xfId="50120"/>
    <cellStyle name="20% - Accent1 2 2 2 5 3 7 3" xfId="36977"/>
    <cellStyle name="20% - Accent1 2 2 2 5 3 8" xfId="5650"/>
    <cellStyle name="20% - Accent1 2 2 2 5 3 8 2" xfId="43357"/>
    <cellStyle name="20% - Accent1 2 2 2 5 3 9" xfId="17451"/>
    <cellStyle name="20% - Accent1 2 2 2 5 3 9 2" xfId="50121"/>
    <cellStyle name="20% - Accent1 2 2 2 5 4" xfId="352"/>
    <cellStyle name="20% - Accent1 2 2 2 5 4 2" xfId="1061"/>
    <cellStyle name="20% - Accent1 2 2 2 5 4 2 2" xfId="4662"/>
    <cellStyle name="20% - Accent1 2 2 2 5 4 2 2 2" xfId="11562"/>
    <cellStyle name="20% - Accent1 2 2 2 5 4 2 2 2 2" xfId="23363"/>
    <cellStyle name="20% - Accent1 2 2 2 5 4 2 2 2 2 2" xfId="50122"/>
    <cellStyle name="20% - Accent1 2 2 2 5 4 2 2 2 3" xfId="36978"/>
    <cellStyle name="20% - Accent1 2 2 2 5 4 2 2 3" xfId="10115"/>
    <cellStyle name="20% - Accent1 2 2 2 5 4 2 2 3 2" xfId="43358"/>
    <cellStyle name="20% - Accent1 2 2 2 5 4 2 2 4" xfId="21916"/>
    <cellStyle name="20% - Accent1 2 2 2 5 4 2 2 4 2" xfId="50123"/>
    <cellStyle name="20% - Accent1 2 2 2 5 4 2 2 5" xfId="35531"/>
    <cellStyle name="20% - Accent1 2 2 2 5 4 2 3" xfId="2821"/>
    <cellStyle name="20% - Accent1 2 2 2 5 4 2 3 2" xfId="11563"/>
    <cellStyle name="20% - Accent1 2 2 2 5 4 2 3 2 2" xfId="23364"/>
    <cellStyle name="20% - Accent1 2 2 2 5 4 2 3 2 2 2" xfId="50124"/>
    <cellStyle name="20% - Accent1 2 2 2 5 4 2 3 2 3" xfId="36979"/>
    <cellStyle name="20% - Accent1 2 2 2 5 4 2 3 3" xfId="8274"/>
    <cellStyle name="20% - Accent1 2 2 2 5 4 2 3 3 2" xfId="43359"/>
    <cellStyle name="20% - Accent1 2 2 2 5 4 2 3 4" xfId="20075"/>
    <cellStyle name="20% - Accent1 2 2 2 5 4 2 3 4 2" xfId="50125"/>
    <cellStyle name="20% - Accent1 2 2 2 5 4 2 3 5" xfId="33690"/>
    <cellStyle name="20% - Accent1 2 2 2 5 4 2 4" xfId="11564"/>
    <cellStyle name="20% - Accent1 2 2 2 5 4 2 4 2" xfId="23365"/>
    <cellStyle name="20% - Accent1 2 2 2 5 4 2 4 2 2" xfId="50126"/>
    <cellStyle name="20% - Accent1 2 2 2 5 4 2 4 3" xfId="36980"/>
    <cellStyle name="20% - Accent1 2 2 2 5 4 2 5" xfId="6515"/>
    <cellStyle name="20% - Accent1 2 2 2 5 4 2 5 2" xfId="43360"/>
    <cellStyle name="20% - Accent1 2 2 2 5 4 2 6" xfId="18316"/>
    <cellStyle name="20% - Accent1 2 2 2 5 4 2 6 2" xfId="50127"/>
    <cellStyle name="20% - Accent1 2 2 2 5 4 2 7" xfId="31931"/>
    <cellStyle name="20% - Accent1 2 2 2 5 4 3" xfId="3389"/>
    <cellStyle name="20% - Accent1 2 2 2 5 4 3 2" xfId="5230"/>
    <cellStyle name="20% - Accent1 2 2 2 5 4 3 2 2" xfId="16700"/>
    <cellStyle name="20% - Accent1 2 2 2 5 4 3 2 2 2" xfId="28501"/>
    <cellStyle name="20% - Accent1 2 2 2 5 4 3 2 2 2 2" xfId="50128"/>
    <cellStyle name="20% - Accent1 2 2 2 5 4 3 2 2 3" xfId="42116"/>
    <cellStyle name="20% - Accent1 2 2 2 5 4 3 2 3" xfId="10683"/>
    <cellStyle name="20% - Accent1 2 2 2 5 4 3 2 3 2" xfId="50129"/>
    <cellStyle name="20% - Accent1 2 2 2 5 4 3 2 4" xfId="22484"/>
    <cellStyle name="20% - Accent1 2 2 2 5 4 3 2 4 2" xfId="50130"/>
    <cellStyle name="20% - Accent1 2 2 2 5 4 3 2 5" xfId="36099"/>
    <cellStyle name="20% - Accent1 2 2 2 5 4 3 3" xfId="11565"/>
    <cellStyle name="20% - Accent1 2 2 2 5 4 3 3 2" xfId="23366"/>
    <cellStyle name="20% - Accent1 2 2 2 5 4 3 3 2 2" xfId="50131"/>
    <cellStyle name="20% - Accent1 2 2 2 5 4 3 3 3" xfId="36981"/>
    <cellStyle name="20% - Accent1 2 2 2 5 4 3 4" xfId="8842"/>
    <cellStyle name="20% - Accent1 2 2 2 5 4 3 4 2" xfId="50132"/>
    <cellStyle name="20% - Accent1 2 2 2 5 4 3 5" xfId="20643"/>
    <cellStyle name="20% - Accent1 2 2 2 5 4 3 5 2" xfId="50133"/>
    <cellStyle name="20% - Accent1 2 2 2 5 4 3 6" xfId="34258"/>
    <cellStyle name="20% - Accent1 2 2 2 5 4 4" xfId="4094"/>
    <cellStyle name="20% - Accent1 2 2 2 5 4 4 2" xfId="11566"/>
    <cellStyle name="20% - Accent1 2 2 2 5 4 4 2 2" xfId="23367"/>
    <cellStyle name="20% - Accent1 2 2 2 5 4 4 2 2 2" xfId="50134"/>
    <cellStyle name="20% - Accent1 2 2 2 5 4 4 2 3" xfId="36982"/>
    <cellStyle name="20% - Accent1 2 2 2 5 4 4 3" xfId="9547"/>
    <cellStyle name="20% - Accent1 2 2 2 5 4 4 3 2" xfId="43361"/>
    <cellStyle name="20% - Accent1 2 2 2 5 4 4 4" xfId="21348"/>
    <cellStyle name="20% - Accent1 2 2 2 5 4 4 4 2" xfId="50135"/>
    <cellStyle name="20% - Accent1 2 2 2 5 4 4 5" xfId="34963"/>
    <cellStyle name="20% - Accent1 2 2 2 5 4 5" xfId="2253"/>
    <cellStyle name="20% - Accent1 2 2 2 5 4 5 2" xfId="16961"/>
    <cellStyle name="20% - Accent1 2 2 2 5 4 5 2 2" xfId="28762"/>
    <cellStyle name="20% - Accent1 2 2 2 5 4 5 2 2 2" xfId="50136"/>
    <cellStyle name="20% - Accent1 2 2 2 5 4 5 2 3" xfId="42377"/>
    <cellStyle name="20% - Accent1 2 2 2 5 4 5 3" xfId="7706"/>
    <cellStyle name="20% - Accent1 2 2 2 5 4 5 3 2" xfId="50137"/>
    <cellStyle name="20% - Accent1 2 2 2 5 4 5 4" xfId="19507"/>
    <cellStyle name="20% - Accent1 2 2 2 5 4 5 4 2" xfId="50138"/>
    <cellStyle name="20% - Accent1 2 2 2 5 4 5 5" xfId="33122"/>
    <cellStyle name="20% - Accent1 2 2 2 5 4 6" xfId="11567"/>
    <cellStyle name="20% - Accent1 2 2 2 5 4 6 2" xfId="23368"/>
    <cellStyle name="20% - Accent1 2 2 2 5 4 6 2 2" xfId="50139"/>
    <cellStyle name="20% - Accent1 2 2 2 5 4 6 3" xfId="36983"/>
    <cellStyle name="20% - Accent1 2 2 2 5 4 7" xfId="5806"/>
    <cellStyle name="20% - Accent1 2 2 2 5 4 7 2" xfId="50140"/>
    <cellStyle name="20% - Accent1 2 2 2 5 4 8" xfId="17607"/>
    <cellStyle name="20% - Accent1 2 2 2 5 4 8 2" xfId="50141"/>
    <cellStyle name="20% - Accent1 2 2 2 5 4 9" xfId="31222"/>
    <cellStyle name="20% - Accent1 2 2 2 5 5" xfId="630"/>
    <cellStyle name="20% - Accent1 2 2 2 5 5 2" xfId="1062"/>
    <cellStyle name="20% - Accent1 2 2 2 5 5 2 2" xfId="4372"/>
    <cellStyle name="20% - Accent1 2 2 2 5 5 2 2 2" xfId="11568"/>
    <cellStyle name="20% - Accent1 2 2 2 5 5 2 2 2 2" xfId="23369"/>
    <cellStyle name="20% - Accent1 2 2 2 5 5 2 2 2 2 2" xfId="50142"/>
    <cellStyle name="20% - Accent1 2 2 2 5 5 2 2 2 3" xfId="36984"/>
    <cellStyle name="20% - Accent1 2 2 2 5 5 2 2 3" xfId="9825"/>
    <cellStyle name="20% - Accent1 2 2 2 5 5 2 2 3 2" xfId="43362"/>
    <cellStyle name="20% - Accent1 2 2 2 5 5 2 2 4" xfId="21626"/>
    <cellStyle name="20% - Accent1 2 2 2 5 5 2 2 4 2" xfId="50143"/>
    <cellStyle name="20% - Accent1 2 2 2 5 5 2 2 5" xfId="35241"/>
    <cellStyle name="20% - Accent1 2 2 2 5 5 2 3" xfId="11569"/>
    <cellStyle name="20% - Accent1 2 2 2 5 5 2 3 2" xfId="23370"/>
    <cellStyle name="20% - Accent1 2 2 2 5 5 2 3 2 2" xfId="43363"/>
    <cellStyle name="20% - Accent1 2 2 2 5 5 2 3 3" xfId="29270"/>
    <cellStyle name="20% - Accent1 2 2 2 5 5 2 3 3 2" xfId="43364"/>
    <cellStyle name="20% - Accent1 2 2 2 5 5 2 3 4" xfId="29271"/>
    <cellStyle name="20% - Accent1 2 2 2 5 5 2 3 4 2" xfId="50144"/>
    <cellStyle name="20% - Accent1 2 2 2 5 5 2 3 5" xfId="36985"/>
    <cellStyle name="20% - Accent1 2 2 2 5 5 2 4" xfId="11570"/>
    <cellStyle name="20% - Accent1 2 2 2 5 5 2 4 2" xfId="23371"/>
    <cellStyle name="20% - Accent1 2 2 2 5 5 2 4 2 2" xfId="50145"/>
    <cellStyle name="20% - Accent1 2 2 2 5 5 2 4 3" xfId="36986"/>
    <cellStyle name="20% - Accent1 2 2 2 5 5 2 5" xfId="6516"/>
    <cellStyle name="20% - Accent1 2 2 2 5 5 2 5 2" xfId="43365"/>
    <cellStyle name="20% - Accent1 2 2 2 5 5 2 6" xfId="18317"/>
    <cellStyle name="20% - Accent1 2 2 2 5 5 2 6 2" xfId="50146"/>
    <cellStyle name="20% - Accent1 2 2 2 5 5 2 7" xfId="31932"/>
    <cellStyle name="20% - Accent1 2 2 2 5 5 3" xfId="2531"/>
    <cellStyle name="20% - Accent1 2 2 2 5 5 3 2" xfId="11571"/>
    <cellStyle name="20% - Accent1 2 2 2 5 5 3 2 2" xfId="23372"/>
    <cellStyle name="20% - Accent1 2 2 2 5 5 3 2 2 2" xfId="50147"/>
    <cellStyle name="20% - Accent1 2 2 2 5 5 3 2 3" xfId="36987"/>
    <cellStyle name="20% - Accent1 2 2 2 5 5 3 3" xfId="7984"/>
    <cellStyle name="20% - Accent1 2 2 2 5 5 3 3 2" xfId="43366"/>
    <cellStyle name="20% - Accent1 2 2 2 5 5 3 4" xfId="19785"/>
    <cellStyle name="20% - Accent1 2 2 2 5 5 3 4 2" xfId="50148"/>
    <cellStyle name="20% - Accent1 2 2 2 5 5 3 5" xfId="33400"/>
    <cellStyle name="20% - Accent1 2 2 2 5 5 4" xfId="11572"/>
    <cellStyle name="20% - Accent1 2 2 2 5 5 4 2" xfId="23373"/>
    <cellStyle name="20% - Accent1 2 2 2 5 5 4 2 2" xfId="43367"/>
    <cellStyle name="20% - Accent1 2 2 2 5 5 4 3" xfId="29272"/>
    <cellStyle name="20% - Accent1 2 2 2 5 5 4 3 2" xfId="43368"/>
    <cellStyle name="20% - Accent1 2 2 2 5 5 4 4" xfId="29273"/>
    <cellStyle name="20% - Accent1 2 2 2 5 5 4 4 2" xfId="50149"/>
    <cellStyle name="20% - Accent1 2 2 2 5 5 4 5" xfId="36988"/>
    <cellStyle name="20% - Accent1 2 2 2 5 5 5" xfId="11573"/>
    <cellStyle name="20% - Accent1 2 2 2 5 5 5 2" xfId="23374"/>
    <cellStyle name="20% - Accent1 2 2 2 5 5 5 2 2" xfId="50150"/>
    <cellStyle name="20% - Accent1 2 2 2 5 5 5 3" xfId="36989"/>
    <cellStyle name="20% - Accent1 2 2 2 5 5 6" xfId="6084"/>
    <cellStyle name="20% - Accent1 2 2 2 5 5 6 2" xfId="43369"/>
    <cellStyle name="20% - Accent1 2 2 2 5 5 7" xfId="17885"/>
    <cellStyle name="20% - Accent1 2 2 2 5 5 7 2" xfId="50151"/>
    <cellStyle name="20% - Accent1 2 2 2 5 5 8" xfId="31500"/>
    <cellStyle name="20% - Accent1 2 2 2 5 6" xfId="871"/>
    <cellStyle name="20% - Accent1 2 2 2 5 6 2" xfId="1063"/>
    <cellStyle name="20% - Accent1 2 2 2 5 6 2 2" xfId="4940"/>
    <cellStyle name="20% - Accent1 2 2 2 5 6 2 2 2" xfId="11574"/>
    <cellStyle name="20% - Accent1 2 2 2 5 6 2 2 2 2" xfId="23375"/>
    <cellStyle name="20% - Accent1 2 2 2 5 6 2 2 2 2 2" xfId="50152"/>
    <cellStyle name="20% - Accent1 2 2 2 5 6 2 2 2 3" xfId="36990"/>
    <cellStyle name="20% - Accent1 2 2 2 5 6 2 2 3" xfId="10393"/>
    <cellStyle name="20% - Accent1 2 2 2 5 6 2 2 3 2" xfId="43370"/>
    <cellStyle name="20% - Accent1 2 2 2 5 6 2 2 4" xfId="22194"/>
    <cellStyle name="20% - Accent1 2 2 2 5 6 2 2 4 2" xfId="50153"/>
    <cellStyle name="20% - Accent1 2 2 2 5 6 2 2 5" xfId="35809"/>
    <cellStyle name="20% - Accent1 2 2 2 5 6 2 3" xfId="11575"/>
    <cellStyle name="20% - Accent1 2 2 2 5 6 2 3 2" xfId="23376"/>
    <cellStyle name="20% - Accent1 2 2 2 5 6 2 3 2 2" xfId="43371"/>
    <cellStyle name="20% - Accent1 2 2 2 5 6 2 3 3" xfId="29274"/>
    <cellStyle name="20% - Accent1 2 2 2 5 6 2 3 3 2" xfId="43372"/>
    <cellStyle name="20% - Accent1 2 2 2 5 6 2 3 4" xfId="29275"/>
    <cellStyle name="20% - Accent1 2 2 2 5 6 2 3 4 2" xfId="50154"/>
    <cellStyle name="20% - Accent1 2 2 2 5 6 2 3 5" xfId="36991"/>
    <cellStyle name="20% - Accent1 2 2 2 5 6 2 4" xfId="11576"/>
    <cellStyle name="20% - Accent1 2 2 2 5 6 2 4 2" xfId="23377"/>
    <cellStyle name="20% - Accent1 2 2 2 5 6 2 4 2 2" xfId="50155"/>
    <cellStyle name="20% - Accent1 2 2 2 5 6 2 4 3" xfId="36992"/>
    <cellStyle name="20% - Accent1 2 2 2 5 6 2 5" xfId="6517"/>
    <cellStyle name="20% - Accent1 2 2 2 5 6 2 5 2" xfId="43373"/>
    <cellStyle name="20% - Accent1 2 2 2 5 6 2 6" xfId="18318"/>
    <cellStyle name="20% - Accent1 2 2 2 5 6 2 6 2" xfId="50156"/>
    <cellStyle name="20% - Accent1 2 2 2 5 6 2 7" xfId="31933"/>
    <cellStyle name="20% - Accent1 2 2 2 5 6 3" xfId="3099"/>
    <cellStyle name="20% - Accent1 2 2 2 5 6 3 2" xfId="11577"/>
    <cellStyle name="20% - Accent1 2 2 2 5 6 3 2 2" xfId="23378"/>
    <cellStyle name="20% - Accent1 2 2 2 5 6 3 2 2 2" xfId="50157"/>
    <cellStyle name="20% - Accent1 2 2 2 5 6 3 2 3" xfId="36993"/>
    <cellStyle name="20% - Accent1 2 2 2 5 6 3 3" xfId="8552"/>
    <cellStyle name="20% - Accent1 2 2 2 5 6 3 3 2" xfId="43374"/>
    <cellStyle name="20% - Accent1 2 2 2 5 6 3 4" xfId="20353"/>
    <cellStyle name="20% - Accent1 2 2 2 5 6 3 4 2" xfId="50158"/>
    <cellStyle name="20% - Accent1 2 2 2 5 6 3 5" xfId="33968"/>
    <cellStyle name="20% - Accent1 2 2 2 5 6 4" xfId="11578"/>
    <cellStyle name="20% - Accent1 2 2 2 5 6 4 2" xfId="23379"/>
    <cellStyle name="20% - Accent1 2 2 2 5 6 4 2 2" xfId="43375"/>
    <cellStyle name="20% - Accent1 2 2 2 5 6 4 3" xfId="29276"/>
    <cellStyle name="20% - Accent1 2 2 2 5 6 4 3 2" xfId="43376"/>
    <cellStyle name="20% - Accent1 2 2 2 5 6 4 4" xfId="29277"/>
    <cellStyle name="20% - Accent1 2 2 2 5 6 4 4 2" xfId="50159"/>
    <cellStyle name="20% - Accent1 2 2 2 5 6 4 5" xfId="36994"/>
    <cellStyle name="20% - Accent1 2 2 2 5 6 5" xfId="11579"/>
    <cellStyle name="20% - Accent1 2 2 2 5 6 5 2" xfId="23380"/>
    <cellStyle name="20% - Accent1 2 2 2 5 6 5 2 2" xfId="50160"/>
    <cellStyle name="20% - Accent1 2 2 2 5 6 5 3" xfId="36995"/>
    <cellStyle name="20% - Accent1 2 2 2 5 6 6" xfId="6325"/>
    <cellStyle name="20% - Accent1 2 2 2 5 6 6 2" xfId="43377"/>
    <cellStyle name="20% - Accent1 2 2 2 5 6 7" xfId="18126"/>
    <cellStyle name="20% - Accent1 2 2 2 5 6 7 2" xfId="50161"/>
    <cellStyle name="20% - Accent1 2 2 2 5 6 8" xfId="31741"/>
    <cellStyle name="20% - Accent1 2 2 2 5 7" xfId="1064"/>
    <cellStyle name="20% - Accent1 2 2 2 5 7 2" xfId="3804"/>
    <cellStyle name="20% - Accent1 2 2 2 5 7 2 2" xfId="11580"/>
    <cellStyle name="20% - Accent1 2 2 2 5 7 2 2 2" xfId="23381"/>
    <cellStyle name="20% - Accent1 2 2 2 5 7 2 2 2 2" xfId="50162"/>
    <cellStyle name="20% - Accent1 2 2 2 5 7 2 2 3" xfId="36996"/>
    <cellStyle name="20% - Accent1 2 2 2 5 7 2 3" xfId="9257"/>
    <cellStyle name="20% - Accent1 2 2 2 5 7 2 3 2" xfId="43378"/>
    <cellStyle name="20% - Accent1 2 2 2 5 7 2 4" xfId="21058"/>
    <cellStyle name="20% - Accent1 2 2 2 5 7 2 4 2" xfId="50163"/>
    <cellStyle name="20% - Accent1 2 2 2 5 7 2 5" xfId="34673"/>
    <cellStyle name="20% - Accent1 2 2 2 5 7 3" xfId="11581"/>
    <cellStyle name="20% - Accent1 2 2 2 5 7 3 2" xfId="23382"/>
    <cellStyle name="20% - Accent1 2 2 2 5 7 3 2 2" xfId="43379"/>
    <cellStyle name="20% - Accent1 2 2 2 5 7 3 3" xfId="29278"/>
    <cellStyle name="20% - Accent1 2 2 2 5 7 3 3 2" xfId="43380"/>
    <cellStyle name="20% - Accent1 2 2 2 5 7 3 4" xfId="29279"/>
    <cellStyle name="20% - Accent1 2 2 2 5 7 3 4 2" xfId="50164"/>
    <cellStyle name="20% - Accent1 2 2 2 5 7 3 5" xfId="36997"/>
    <cellStyle name="20% - Accent1 2 2 2 5 7 4" xfId="11582"/>
    <cellStyle name="20% - Accent1 2 2 2 5 7 4 2" xfId="23383"/>
    <cellStyle name="20% - Accent1 2 2 2 5 7 4 2 2" xfId="50165"/>
    <cellStyle name="20% - Accent1 2 2 2 5 7 4 3" xfId="36998"/>
    <cellStyle name="20% - Accent1 2 2 2 5 7 5" xfId="6518"/>
    <cellStyle name="20% - Accent1 2 2 2 5 7 5 2" xfId="43381"/>
    <cellStyle name="20% - Accent1 2 2 2 5 7 6" xfId="18319"/>
    <cellStyle name="20% - Accent1 2 2 2 5 7 6 2" xfId="50166"/>
    <cellStyle name="20% - Accent1 2 2 2 5 7 7" xfId="31934"/>
    <cellStyle name="20% - Accent1 2 2 2 5 8" xfId="3667"/>
    <cellStyle name="20% - Accent1 2 2 2 5 8 2" xfId="11583"/>
    <cellStyle name="20% - Accent1 2 2 2 5 8 2 2" xfId="23384"/>
    <cellStyle name="20% - Accent1 2 2 2 5 8 2 2 2" xfId="50167"/>
    <cellStyle name="20% - Accent1 2 2 2 5 8 2 3" xfId="36999"/>
    <cellStyle name="20% - Accent1 2 2 2 5 8 3" xfId="9120"/>
    <cellStyle name="20% - Accent1 2 2 2 5 8 3 2" xfId="43382"/>
    <cellStyle name="20% - Accent1 2 2 2 5 8 4" xfId="20921"/>
    <cellStyle name="20% - Accent1 2 2 2 5 8 4 2" xfId="50168"/>
    <cellStyle name="20% - Accent1 2 2 2 5 8 5" xfId="34536"/>
    <cellStyle name="20% - Accent1 2 2 2 5 9" xfId="1963"/>
    <cellStyle name="20% - Accent1 2 2 2 5 9 2" xfId="11584"/>
    <cellStyle name="20% - Accent1 2 2 2 5 9 2 2" xfId="23385"/>
    <cellStyle name="20% - Accent1 2 2 2 5 9 2 2 2" xfId="50169"/>
    <cellStyle name="20% - Accent1 2 2 2 5 9 2 3" xfId="37000"/>
    <cellStyle name="20% - Accent1 2 2 2 5 9 3" xfId="7416"/>
    <cellStyle name="20% - Accent1 2 2 2 5 9 3 2" xfId="43383"/>
    <cellStyle name="20% - Accent1 2 2 2 5 9 4" xfId="19217"/>
    <cellStyle name="20% - Accent1 2 2 2 5 9 4 2" xfId="50170"/>
    <cellStyle name="20% - Accent1 2 2 2 5 9 5" xfId="32832"/>
    <cellStyle name="20% - Accent1 2 2 2 6" xfId="77"/>
    <cellStyle name="20% - Accent1 2 2 2 6 10" xfId="5531"/>
    <cellStyle name="20% - Accent1 2 2 2 6 10 2" xfId="43384"/>
    <cellStyle name="20% - Accent1 2 2 2 6 11" xfId="17332"/>
    <cellStyle name="20% - Accent1 2 2 2 6 11 2" xfId="50171"/>
    <cellStyle name="20% - Accent1 2 2 2 6 12" xfId="30947"/>
    <cellStyle name="20% - Accent1 2 2 2 6 2" xfId="504"/>
    <cellStyle name="20% - Accent1 2 2 2 6 2 2" xfId="1065"/>
    <cellStyle name="20% - Accent1 2 2 2 6 2 2 2" xfId="4814"/>
    <cellStyle name="20% - Accent1 2 2 2 6 2 2 2 2" xfId="11585"/>
    <cellStyle name="20% - Accent1 2 2 2 6 2 2 2 2 2" xfId="23386"/>
    <cellStyle name="20% - Accent1 2 2 2 6 2 2 2 2 2 2" xfId="50172"/>
    <cellStyle name="20% - Accent1 2 2 2 6 2 2 2 2 3" xfId="37001"/>
    <cellStyle name="20% - Accent1 2 2 2 6 2 2 2 3" xfId="10267"/>
    <cellStyle name="20% - Accent1 2 2 2 6 2 2 2 3 2" xfId="43385"/>
    <cellStyle name="20% - Accent1 2 2 2 6 2 2 2 4" xfId="22068"/>
    <cellStyle name="20% - Accent1 2 2 2 6 2 2 2 4 2" xfId="50173"/>
    <cellStyle name="20% - Accent1 2 2 2 6 2 2 2 5" xfId="35683"/>
    <cellStyle name="20% - Accent1 2 2 2 6 2 2 3" xfId="2973"/>
    <cellStyle name="20% - Accent1 2 2 2 6 2 2 3 2" xfId="11586"/>
    <cellStyle name="20% - Accent1 2 2 2 6 2 2 3 2 2" xfId="23387"/>
    <cellStyle name="20% - Accent1 2 2 2 6 2 2 3 2 2 2" xfId="50174"/>
    <cellStyle name="20% - Accent1 2 2 2 6 2 2 3 2 3" xfId="37002"/>
    <cellStyle name="20% - Accent1 2 2 2 6 2 2 3 3" xfId="8426"/>
    <cellStyle name="20% - Accent1 2 2 2 6 2 2 3 3 2" xfId="43386"/>
    <cellStyle name="20% - Accent1 2 2 2 6 2 2 3 4" xfId="20227"/>
    <cellStyle name="20% - Accent1 2 2 2 6 2 2 3 4 2" xfId="50175"/>
    <cellStyle name="20% - Accent1 2 2 2 6 2 2 3 5" xfId="33842"/>
    <cellStyle name="20% - Accent1 2 2 2 6 2 2 4" xfId="11587"/>
    <cellStyle name="20% - Accent1 2 2 2 6 2 2 4 2" xfId="23388"/>
    <cellStyle name="20% - Accent1 2 2 2 6 2 2 4 2 2" xfId="50176"/>
    <cellStyle name="20% - Accent1 2 2 2 6 2 2 4 3" xfId="37003"/>
    <cellStyle name="20% - Accent1 2 2 2 6 2 2 5" xfId="6519"/>
    <cellStyle name="20% - Accent1 2 2 2 6 2 2 5 2" xfId="43387"/>
    <cellStyle name="20% - Accent1 2 2 2 6 2 2 6" xfId="18320"/>
    <cellStyle name="20% - Accent1 2 2 2 6 2 2 6 2" xfId="50177"/>
    <cellStyle name="20% - Accent1 2 2 2 6 2 2 7" xfId="31935"/>
    <cellStyle name="20% - Accent1 2 2 2 6 2 3" xfId="3541"/>
    <cellStyle name="20% - Accent1 2 2 2 6 2 3 2" xfId="5382"/>
    <cellStyle name="20% - Accent1 2 2 2 6 2 3 2 2" xfId="16852"/>
    <cellStyle name="20% - Accent1 2 2 2 6 2 3 2 2 2" xfId="28653"/>
    <cellStyle name="20% - Accent1 2 2 2 6 2 3 2 2 2 2" xfId="50178"/>
    <cellStyle name="20% - Accent1 2 2 2 6 2 3 2 2 3" xfId="42268"/>
    <cellStyle name="20% - Accent1 2 2 2 6 2 3 2 3" xfId="10835"/>
    <cellStyle name="20% - Accent1 2 2 2 6 2 3 2 3 2" xfId="50179"/>
    <cellStyle name="20% - Accent1 2 2 2 6 2 3 2 4" xfId="22636"/>
    <cellStyle name="20% - Accent1 2 2 2 6 2 3 2 4 2" xfId="50180"/>
    <cellStyle name="20% - Accent1 2 2 2 6 2 3 2 5" xfId="36251"/>
    <cellStyle name="20% - Accent1 2 2 2 6 2 3 3" xfId="11588"/>
    <cellStyle name="20% - Accent1 2 2 2 6 2 3 3 2" xfId="23389"/>
    <cellStyle name="20% - Accent1 2 2 2 6 2 3 3 2 2" xfId="50181"/>
    <cellStyle name="20% - Accent1 2 2 2 6 2 3 3 3" xfId="37004"/>
    <cellStyle name="20% - Accent1 2 2 2 6 2 3 4" xfId="8994"/>
    <cellStyle name="20% - Accent1 2 2 2 6 2 3 4 2" xfId="50182"/>
    <cellStyle name="20% - Accent1 2 2 2 6 2 3 5" xfId="20795"/>
    <cellStyle name="20% - Accent1 2 2 2 6 2 3 5 2" xfId="50183"/>
    <cellStyle name="20% - Accent1 2 2 2 6 2 3 6" xfId="34410"/>
    <cellStyle name="20% - Accent1 2 2 2 6 2 4" xfId="4246"/>
    <cellStyle name="20% - Accent1 2 2 2 6 2 4 2" xfId="11589"/>
    <cellStyle name="20% - Accent1 2 2 2 6 2 4 2 2" xfId="23390"/>
    <cellStyle name="20% - Accent1 2 2 2 6 2 4 2 2 2" xfId="50184"/>
    <cellStyle name="20% - Accent1 2 2 2 6 2 4 2 3" xfId="37005"/>
    <cellStyle name="20% - Accent1 2 2 2 6 2 4 3" xfId="9699"/>
    <cellStyle name="20% - Accent1 2 2 2 6 2 4 3 2" xfId="43388"/>
    <cellStyle name="20% - Accent1 2 2 2 6 2 4 4" xfId="21500"/>
    <cellStyle name="20% - Accent1 2 2 2 6 2 4 4 2" xfId="50185"/>
    <cellStyle name="20% - Accent1 2 2 2 6 2 4 5" xfId="35115"/>
    <cellStyle name="20% - Accent1 2 2 2 6 2 5" xfId="2405"/>
    <cellStyle name="20% - Accent1 2 2 2 6 2 5 2" xfId="16962"/>
    <cellStyle name="20% - Accent1 2 2 2 6 2 5 2 2" xfId="28763"/>
    <cellStyle name="20% - Accent1 2 2 2 6 2 5 2 2 2" xfId="50186"/>
    <cellStyle name="20% - Accent1 2 2 2 6 2 5 2 3" xfId="42378"/>
    <cellStyle name="20% - Accent1 2 2 2 6 2 5 3" xfId="7858"/>
    <cellStyle name="20% - Accent1 2 2 2 6 2 5 3 2" xfId="50187"/>
    <cellStyle name="20% - Accent1 2 2 2 6 2 5 4" xfId="19659"/>
    <cellStyle name="20% - Accent1 2 2 2 6 2 5 4 2" xfId="50188"/>
    <cellStyle name="20% - Accent1 2 2 2 6 2 5 5" xfId="33274"/>
    <cellStyle name="20% - Accent1 2 2 2 6 2 6" xfId="11590"/>
    <cellStyle name="20% - Accent1 2 2 2 6 2 6 2" xfId="23391"/>
    <cellStyle name="20% - Accent1 2 2 2 6 2 6 2 2" xfId="50189"/>
    <cellStyle name="20% - Accent1 2 2 2 6 2 6 3" xfId="37006"/>
    <cellStyle name="20% - Accent1 2 2 2 6 2 7" xfId="5958"/>
    <cellStyle name="20% - Accent1 2 2 2 6 2 7 2" xfId="50190"/>
    <cellStyle name="20% - Accent1 2 2 2 6 2 8" xfId="17759"/>
    <cellStyle name="20% - Accent1 2 2 2 6 2 8 2" xfId="50191"/>
    <cellStyle name="20% - Accent1 2 2 2 6 2 9" xfId="31374"/>
    <cellStyle name="20% - Accent1 2 2 2 6 3" xfId="367"/>
    <cellStyle name="20% - Accent1 2 2 2 6 3 2" xfId="1066"/>
    <cellStyle name="20% - Accent1 2 2 2 6 3 2 2" xfId="4677"/>
    <cellStyle name="20% - Accent1 2 2 2 6 3 2 2 2" xfId="11591"/>
    <cellStyle name="20% - Accent1 2 2 2 6 3 2 2 2 2" xfId="23392"/>
    <cellStyle name="20% - Accent1 2 2 2 6 3 2 2 2 2 2" xfId="50192"/>
    <cellStyle name="20% - Accent1 2 2 2 6 3 2 2 2 3" xfId="37007"/>
    <cellStyle name="20% - Accent1 2 2 2 6 3 2 2 3" xfId="10130"/>
    <cellStyle name="20% - Accent1 2 2 2 6 3 2 2 3 2" xfId="43389"/>
    <cellStyle name="20% - Accent1 2 2 2 6 3 2 2 4" xfId="21931"/>
    <cellStyle name="20% - Accent1 2 2 2 6 3 2 2 4 2" xfId="50193"/>
    <cellStyle name="20% - Accent1 2 2 2 6 3 2 2 5" xfId="35546"/>
    <cellStyle name="20% - Accent1 2 2 2 6 3 2 3" xfId="2836"/>
    <cellStyle name="20% - Accent1 2 2 2 6 3 2 3 2" xfId="11592"/>
    <cellStyle name="20% - Accent1 2 2 2 6 3 2 3 2 2" xfId="23393"/>
    <cellStyle name="20% - Accent1 2 2 2 6 3 2 3 2 2 2" xfId="50194"/>
    <cellStyle name="20% - Accent1 2 2 2 6 3 2 3 2 3" xfId="37008"/>
    <cellStyle name="20% - Accent1 2 2 2 6 3 2 3 3" xfId="8289"/>
    <cellStyle name="20% - Accent1 2 2 2 6 3 2 3 3 2" xfId="43390"/>
    <cellStyle name="20% - Accent1 2 2 2 6 3 2 3 4" xfId="20090"/>
    <cellStyle name="20% - Accent1 2 2 2 6 3 2 3 4 2" xfId="50195"/>
    <cellStyle name="20% - Accent1 2 2 2 6 3 2 3 5" xfId="33705"/>
    <cellStyle name="20% - Accent1 2 2 2 6 3 2 4" xfId="11593"/>
    <cellStyle name="20% - Accent1 2 2 2 6 3 2 4 2" xfId="23394"/>
    <cellStyle name="20% - Accent1 2 2 2 6 3 2 4 2 2" xfId="50196"/>
    <cellStyle name="20% - Accent1 2 2 2 6 3 2 4 3" xfId="37009"/>
    <cellStyle name="20% - Accent1 2 2 2 6 3 2 5" xfId="6520"/>
    <cellStyle name="20% - Accent1 2 2 2 6 3 2 5 2" xfId="43391"/>
    <cellStyle name="20% - Accent1 2 2 2 6 3 2 6" xfId="18321"/>
    <cellStyle name="20% - Accent1 2 2 2 6 3 2 6 2" xfId="50197"/>
    <cellStyle name="20% - Accent1 2 2 2 6 3 2 7" xfId="31936"/>
    <cellStyle name="20% - Accent1 2 2 2 6 3 3" xfId="3404"/>
    <cellStyle name="20% - Accent1 2 2 2 6 3 3 2" xfId="5245"/>
    <cellStyle name="20% - Accent1 2 2 2 6 3 3 2 2" xfId="16715"/>
    <cellStyle name="20% - Accent1 2 2 2 6 3 3 2 2 2" xfId="28516"/>
    <cellStyle name="20% - Accent1 2 2 2 6 3 3 2 2 2 2" xfId="50198"/>
    <cellStyle name="20% - Accent1 2 2 2 6 3 3 2 2 3" xfId="42131"/>
    <cellStyle name="20% - Accent1 2 2 2 6 3 3 2 3" xfId="10698"/>
    <cellStyle name="20% - Accent1 2 2 2 6 3 3 2 3 2" xfId="50199"/>
    <cellStyle name="20% - Accent1 2 2 2 6 3 3 2 4" xfId="22499"/>
    <cellStyle name="20% - Accent1 2 2 2 6 3 3 2 4 2" xfId="50200"/>
    <cellStyle name="20% - Accent1 2 2 2 6 3 3 2 5" xfId="36114"/>
    <cellStyle name="20% - Accent1 2 2 2 6 3 3 3" xfId="11594"/>
    <cellStyle name="20% - Accent1 2 2 2 6 3 3 3 2" xfId="23395"/>
    <cellStyle name="20% - Accent1 2 2 2 6 3 3 3 2 2" xfId="50201"/>
    <cellStyle name="20% - Accent1 2 2 2 6 3 3 3 3" xfId="37010"/>
    <cellStyle name="20% - Accent1 2 2 2 6 3 3 4" xfId="8857"/>
    <cellStyle name="20% - Accent1 2 2 2 6 3 3 4 2" xfId="50202"/>
    <cellStyle name="20% - Accent1 2 2 2 6 3 3 5" xfId="20658"/>
    <cellStyle name="20% - Accent1 2 2 2 6 3 3 5 2" xfId="50203"/>
    <cellStyle name="20% - Accent1 2 2 2 6 3 3 6" xfId="34273"/>
    <cellStyle name="20% - Accent1 2 2 2 6 3 4" xfId="4109"/>
    <cellStyle name="20% - Accent1 2 2 2 6 3 4 2" xfId="11595"/>
    <cellStyle name="20% - Accent1 2 2 2 6 3 4 2 2" xfId="23396"/>
    <cellStyle name="20% - Accent1 2 2 2 6 3 4 2 2 2" xfId="50204"/>
    <cellStyle name="20% - Accent1 2 2 2 6 3 4 2 3" xfId="37011"/>
    <cellStyle name="20% - Accent1 2 2 2 6 3 4 3" xfId="9562"/>
    <cellStyle name="20% - Accent1 2 2 2 6 3 4 3 2" xfId="43392"/>
    <cellStyle name="20% - Accent1 2 2 2 6 3 4 4" xfId="21363"/>
    <cellStyle name="20% - Accent1 2 2 2 6 3 4 4 2" xfId="50205"/>
    <cellStyle name="20% - Accent1 2 2 2 6 3 4 5" xfId="34978"/>
    <cellStyle name="20% - Accent1 2 2 2 6 3 5" xfId="2268"/>
    <cellStyle name="20% - Accent1 2 2 2 6 3 5 2" xfId="16963"/>
    <cellStyle name="20% - Accent1 2 2 2 6 3 5 2 2" xfId="28764"/>
    <cellStyle name="20% - Accent1 2 2 2 6 3 5 2 2 2" xfId="50206"/>
    <cellStyle name="20% - Accent1 2 2 2 6 3 5 2 3" xfId="42379"/>
    <cellStyle name="20% - Accent1 2 2 2 6 3 5 3" xfId="7721"/>
    <cellStyle name="20% - Accent1 2 2 2 6 3 5 3 2" xfId="50207"/>
    <cellStyle name="20% - Accent1 2 2 2 6 3 5 4" xfId="19522"/>
    <cellStyle name="20% - Accent1 2 2 2 6 3 5 4 2" xfId="50208"/>
    <cellStyle name="20% - Accent1 2 2 2 6 3 5 5" xfId="33137"/>
    <cellStyle name="20% - Accent1 2 2 2 6 3 6" xfId="11596"/>
    <cellStyle name="20% - Accent1 2 2 2 6 3 6 2" xfId="23397"/>
    <cellStyle name="20% - Accent1 2 2 2 6 3 6 2 2" xfId="50209"/>
    <cellStyle name="20% - Accent1 2 2 2 6 3 6 3" xfId="37012"/>
    <cellStyle name="20% - Accent1 2 2 2 6 3 7" xfId="5821"/>
    <cellStyle name="20% - Accent1 2 2 2 6 3 7 2" xfId="50210"/>
    <cellStyle name="20% - Accent1 2 2 2 6 3 8" xfId="17622"/>
    <cellStyle name="20% - Accent1 2 2 2 6 3 8 2" xfId="50211"/>
    <cellStyle name="20% - Accent1 2 2 2 6 3 9" xfId="31237"/>
    <cellStyle name="20% - Accent1 2 2 2 6 4" xfId="645"/>
    <cellStyle name="20% - Accent1 2 2 2 6 4 2" xfId="1067"/>
    <cellStyle name="20% - Accent1 2 2 2 6 4 2 2" xfId="4387"/>
    <cellStyle name="20% - Accent1 2 2 2 6 4 2 2 2" xfId="11597"/>
    <cellStyle name="20% - Accent1 2 2 2 6 4 2 2 2 2" xfId="23398"/>
    <cellStyle name="20% - Accent1 2 2 2 6 4 2 2 2 2 2" xfId="50212"/>
    <cellStyle name="20% - Accent1 2 2 2 6 4 2 2 2 3" xfId="37013"/>
    <cellStyle name="20% - Accent1 2 2 2 6 4 2 2 3" xfId="9840"/>
    <cellStyle name="20% - Accent1 2 2 2 6 4 2 2 3 2" xfId="43393"/>
    <cellStyle name="20% - Accent1 2 2 2 6 4 2 2 4" xfId="21641"/>
    <cellStyle name="20% - Accent1 2 2 2 6 4 2 2 4 2" xfId="50213"/>
    <cellStyle name="20% - Accent1 2 2 2 6 4 2 2 5" xfId="35256"/>
    <cellStyle name="20% - Accent1 2 2 2 6 4 2 3" xfId="11598"/>
    <cellStyle name="20% - Accent1 2 2 2 6 4 2 3 2" xfId="23399"/>
    <cellStyle name="20% - Accent1 2 2 2 6 4 2 3 2 2" xfId="43394"/>
    <cellStyle name="20% - Accent1 2 2 2 6 4 2 3 3" xfId="29280"/>
    <cellStyle name="20% - Accent1 2 2 2 6 4 2 3 3 2" xfId="43395"/>
    <cellStyle name="20% - Accent1 2 2 2 6 4 2 3 4" xfId="29281"/>
    <cellStyle name="20% - Accent1 2 2 2 6 4 2 3 4 2" xfId="50214"/>
    <cellStyle name="20% - Accent1 2 2 2 6 4 2 3 5" xfId="37014"/>
    <cellStyle name="20% - Accent1 2 2 2 6 4 2 4" xfId="11599"/>
    <cellStyle name="20% - Accent1 2 2 2 6 4 2 4 2" xfId="23400"/>
    <cellStyle name="20% - Accent1 2 2 2 6 4 2 4 2 2" xfId="50215"/>
    <cellStyle name="20% - Accent1 2 2 2 6 4 2 4 3" xfId="37015"/>
    <cellStyle name="20% - Accent1 2 2 2 6 4 2 5" xfId="6521"/>
    <cellStyle name="20% - Accent1 2 2 2 6 4 2 5 2" xfId="43396"/>
    <cellStyle name="20% - Accent1 2 2 2 6 4 2 6" xfId="18322"/>
    <cellStyle name="20% - Accent1 2 2 2 6 4 2 6 2" xfId="50216"/>
    <cellStyle name="20% - Accent1 2 2 2 6 4 2 7" xfId="31937"/>
    <cellStyle name="20% - Accent1 2 2 2 6 4 3" xfId="2546"/>
    <cellStyle name="20% - Accent1 2 2 2 6 4 3 2" xfId="11600"/>
    <cellStyle name="20% - Accent1 2 2 2 6 4 3 2 2" xfId="23401"/>
    <cellStyle name="20% - Accent1 2 2 2 6 4 3 2 2 2" xfId="50217"/>
    <cellStyle name="20% - Accent1 2 2 2 6 4 3 2 3" xfId="37016"/>
    <cellStyle name="20% - Accent1 2 2 2 6 4 3 3" xfId="7999"/>
    <cellStyle name="20% - Accent1 2 2 2 6 4 3 3 2" xfId="43397"/>
    <cellStyle name="20% - Accent1 2 2 2 6 4 3 4" xfId="19800"/>
    <cellStyle name="20% - Accent1 2 2 2 6 4 3 4 2" xfId="50218"/>
    <cellStyle name="20% - Accent1 2 2 2 6 4 3 5" xfId="33415"/>
    <cellStyle name="20% - Accent1 2 2 2 6 4 4" xfId="11601"/>
    <cellStyle name="20% - Accent1 2 2 2 6 4 4 2" xfId="23402"/>
    <cellStyle name="20% - Accent1 2 2 2 6 4 4 2 2" xfId="43398"/>
    <cellStyle name="20% - Accent1 2 2 2 6 4 4 3" xfId="29282"/>
    <cellStyle name="20% - Accent1 2 2 2 6 4 4 3 2" xfId="43399"/>
    <cellStyle name="20% - Accent1 2 2 2 6 4 4 4" xfId="29283"/>
    <cellStyle name="20% - Accent1 2 2 2 6 4 4 4 2" xfId="50219"/>
    <cellStyle name="20% - Accent1 2 2 2 6 4 4 5" xfId="37017"/>
    <cellStyle name="20% - Accent1 2 2 2 6 4 5" xfId="11602"/>
    <cellStyle name="20% - Accent1 2 2 2 6 4 5 2" xfId="23403"/>
    <cellStyle name="20% - Accent1 2 2 2 6 4 5 2 2" xfId="50220"/>
    <cellStyle name="20% - Accent1 2 2 2 6 4 5 3" xfId="37018"/>
    <cellStyle name="20% - Accent1 2 2 2 6 4 6" xfId="6099"/>
    <cellStyle name="20% - Accent1 2 2 2 6 4 6 2" xfId="43400"/>
    <cellStyle name="20% - Accent1 2 2 2 6 4 7" xfId="17900"/>
    <cellStyle name="20% - Accent1 2 2 2 6 4 7 2" xfId="50221"/>
    <cellStyle name="20% - Accent1 2 2 2 6 4 8" xfId="31515"/>
    <cellStyle name="20% - Accent1 2 2 2 6 5" xfId="886"/>
    <cellStyle name="20% - Accent1 2 2 2 6 5 2" xfId="1068"/>
    <cellStyle name="20% - Accent1 2 2 2 6 5 2 2" xfId="4955"/>
    <cellStyle name="20% - Accent1 2 2 2 6 5 2 2 2" xfId="11603"/>
    <cellStyle name="20% - Accent1 2 2 2 6 5 2 2 2 2" xfId="23404"/>
    <cellStyle name="20% - Accent1 2 2 2 6 5 2 2 2 2 2" xfId="50222"/>
    <cellStyle name="20% - Accent1 2 2 2 6 5 2 2 2 3" xfId="37019"/>
    <cellStyle name="20% - Accent1 2 2 2 6 5 2 2 3" xfId="10408"/>
    <cellStyle name="20% - Accent1 2 2 2 6 5 2 2 3 2" xfId="43401"/>
    <cellStyle name="20% - Accent1 2 2 2 6 5 2 2 4" xfId="22209"/>
    <cellStyle name="20% - Accent1 2 2 2 6 5 2 2 4 2" xfId="50223"/>
    <cellStyle name="20% - Accent1 2 2 2 6 5 2 2 5" xfId="35824"/>
    <cellStyle name="20% - Accent1 2 2 2 6 5 2 3" xfId="11604"/>
    <cellStyle name="20% - Accent1 2 2 2 6 5 2 3 2" xfId="23405"/>
    <cellStyle name="20% - Accent1 2 2 2 6 5 2 3 2 2" xfId="43402"/>
    <cellStyle name="20% - Accent1 2 2 2 6 5 2 3 3" xfId="29284"/>
    <cellStyle name="20% - Accent1 2 2 2 6 5 2 3 3 2" xfId="43403"/>
    <cellStyle name="20% - Accent1 2 2 2 6 5 2 3 4" xfId="29285"/>
    <cellStyle name="20% - Accent1 2 2 2 6 5 2 3 4 2" xfId="50224"/>
    <cellStyle name="20% - Accent1 2 2 2 6 5 2 3 5" xfId="37020"/>
    <cellStyle name="20% - Accent1 2 2 2 6 5 2 4" xfId="11605"/>
    <cellStyle name="20% - Accent1 2 2 2 6 5 2 4 2" xfId="23406"/>
    <cellStyle name="20% - Accent1 2 2 2 6 5 2 4 2 2" xfId="50225"/>
    <cellStyle name="20% - Accent1 2 2 2 6 5 2 4 3" xfId="37021"/>
    <cellStyle name="20% - Accent1 2 2 2 6 5 2 5" xfId="6522"/>
    <cellStyle name="20% - Accent1 2 2 2 6 5 2 5 2" xfId="43404"/>
    <cellStyle name="20% - Accent1 2 2 2 6 5 2 6" xfId="18323"/>
    <cellStyle name="20% - Accent1 2 2 2 6 5 2 6 2" xfId="50226"/>
    <cellStyle name="20% - Accent1 2 2 2 6 5 2 7" xfId="31938"/>
    <cellStyle name="20% - Accent1 2 2 2 6 5 3" xfId="3114"/>
    <cellStyle name="20% - Accent1 2 2 2 6 5 3 2" xfId="11606"/>
    <cellStyle name="20% - Accent1 2 2 2 6 5 3 2 2" xfId="23407"/>
    <cellStyle name="20% - Accent1 2 2 2 6 5 3 2 2 2" xfId="50227"/>
    <cellStyle name="20% - Accent1 2 2 2 6 5 3 2 3" xfId="37022"/>
    <cellStyle name="20% - Accent1 2 2 2 6 5 3 3" xfId="8567"/>
    <cellStyle name="20% - Accent1 2 2 2 6 5 3 3 2" xfId="43405"/>
    <cellStyle name="20% - Accent1 2 2 2 6 5 3 4" xfId="20368"/>
    <cellStyle name="20% - Accent1 2 2 2 6 5 3 4 2" xfId="50228"/>
    <cellStyle name="20% - Accent1 2 2 2 6 5 3 5" xfId="33983"/>
    <cellStyle name="20% - Accent1 2 2 2 6 5 4" xfId="11607"/>
    <cellStyle name="20% - Accent1 2 2 2 6 5 4 2" xfId="23408"/>
    <cellStyle name="20% - Accent1 2 2 2 6 5 4 2 2" xfId="43406"/>
    <cellStyle name="20% - Accent1 2 2 2 6 5 4 3" xfId="29286"/>
    <cellStyle name="20% - Accent1 2 2 2 6 5 4 3 2" xfId="43407"/>
    <cellStyle name="20% - Accent1 2 2 2 6 5 4 4" xfId="29287"/>
    <cellStyle name="20% - Accent1 2 2 2 6 5 4 4 2" xfId="50229"/>
    <cellStyle name="20% - Accent1 2 2 2 6 5 4 5" xfId="37023"/>
    <cellStyle name="20% - Accent1 2 2 2 6 5 5" xfId="11608"/>
    <cellStyle name="20% - Accent1 2 2 2 6 5 5 2" xfId="23409"/>
    <cellStyle name="20% - Accent1 2 2 2 6 5 5 2 2" xfId="50230"/>
    <cellStyle name="20% - Accent1 2 2 2 6 5 5 3" xfId="37024"/>
    <cellStyle name="20% - Accent1 2 2 2 6 5 6" xfId="6340"/>
    <cellStyle name="20% - Accent1 2 2 2 6 5 6 2" xfId="43408"/>
    <cellStyle name="20% - Accent1 2 2 2 6 5 7" xfId="18141"/>
    <cellStyle name="20% - Accent1 2 2 2 6 5 7 2" xfId="50231"/>
    <cellStyle name="20% - Accent1 2 2 2 6 5 8" xfId="31756"/>
    <cellStyle name="20% - Accent1 2 2 2 6 6" xfId="1069"/>
    <cellStyle name="20% - Accent1 2 2 2 6 6 2" xfId="3819"/>
    <cellStyle name="20% - Accent1 2 2 2 6 6 2 2" xfId="11609"/>
    <cellStyle name="20% - Accent1 2 2 2 6 6 2 2 2" xfId="23410"/>
    <cellStyle name="20% - Accent1 2 2 2 6 6 2 2 2 2" xfId="50232"/>
    <cellStyle name="20% - Accent1 2 2 2 6 6 2 2 3" xfId="37025"/>
    <cellStyle name="20% - Accent1 2 2 2 6 6 2 3" xfId="9272"/>
    <cellStyle name="20% - Accent1 2 2 2 6 6 2 3 2" xfId="43409"/>
    <cellStyle name="20% - Accent1 2 2 2 6 6 2 4" xfId="21073"/>
    <cellStyle name="20% - Accent1 2 2 2 6 6 2 4 2" xfId="50233"/>
    <cellStyle name="20% - Accent1 2 2 2 6 6 2 5" xfId="34688"/>
    <cellStyle name="20% - Accent1 2 2 2 6 6 3" xfId="11610"/>
    <cellStyle name="20% - Accent1 2 2 2 6 6 3 2" xfId="23411"/>
    <cellStyle name="20% - Accent1 2 2 2 6 6 3 2 2" xfId="43410"/>
    <cellStyle name="20% - Accent1 2 2 2 6 6 3 3" xfId="29288"/>
    <cellStyle name="20% - Accent1 2 2 2 6 6 3 3 2" xfId="43411"/>
    <cellStyle name="20% - Accent1 2 2 2 6 6 3 4" xfId="29289"/>
    <cellStyle name="20% - Accent1 2 2 2 6 6 3 4 2" xfId="50234"/>
    <cellStyle name="20% - Accent1 2 2 2 6 6 3 5" xfId="37026"/>
    <cellStyle name="20% - Accent1 2 2 2 6 6 4" xfId="11611"/>
    <cellStyle name="20% - Accent1 2 2 2 6 6 4 2" xfId="23412"/>
    <cellStyle name="20% - Accent1 2 2 2 6 6 4 2 2" xfId="50235"/>
    <cellStyle name="20% - Accent1 2 2 2 6 6 4 3" xfId="37027"/>
    <cellStyle name="20% - Accent1 2 2 2 6 6 5" xfId="6523"/>
    <cellStyle name="20% - Accent1 2 2 2 6 6 5 2" xfId="43412"/>
    <cellStyle name="20% - Accent1 2 2 2 6 6 6" xfId="18324"/>
    <cellStyle name="20% - Accent1 2 2 2 6 6 6 2" xfId="50236"/>
    <cellStyle name="20% - Accent1 2 2 2 6 6 7" xfId="31939"/>
    <cellStyle name="20% - Accent1 2 2 2 6 7" xfId="3682"/>
    <cellStyle name="20% - Accent1 2 2 2 6 7 2" xfId="11612"/>
    <cellStyle name="20% - Accent1 2 2 2 6 7 2 2" xfId="23413"/>
    <cellStyle name="20% - Accent1 2 2 2 6 7 2 2 2" xfId="50237"/>
    <cellStyle name="20% - Accent1 2 2 2 6 7 2 3" xfId="37028"/>
    <cellStyle name="20% - Accent1 2 2 2 6 7 3" xfId="9135"/>
    <cellStyle name="20% - Accent1 2 2 2 6 7 3 2" xfId="43413"/>
    <cellStyle name="20% - Accent1 2 2 2 6 7 4" xfId="20936"/>
    <cellStyle name="20% - Accent1 2 2 2 6 7 4 2" xfId="50238"/>
    <cellStyle name="20% - Accent1 2 2 2 6 7 5" xfId="34551"/>
    <cellStyle name="20% - Accent1 2 2 2 6 8" xfId="1978"/>
    <cellStyle name="20% - Accent1 2 2 2 6 8 2" xfId="11613"/>
    <cellStyle name="20% - Accent1 2 2 2 6 8 2 2" xfId="23414"/>
    <cellStyle name="20% - Accent1 2 2 2 6 8 2 2 2" xfId="50239"/>
    <cellStyle name="20% - Accent1 2 2 2 6 8 2 3" xfId="37029"/>
    <cellStyle name="20% - Accent1 2 2 2 6 8 3" xfId="7431"/>
    <cellStyle name="20% - Accent1 2 2 2 6 8 3 2" xfId="43414"/>
    <cellStyle name="20% - Accent1 2 2 2 6 8 4" xfId="19232"/>
    <cellStyle name="20% - Accent1 2 2 2 6 8 4 2" xfId="50240"/>
    <cellStyle name="20% - Accent1 2 2 2 6 8 5" xfId="32847"/>
    <cellStyle name="20% - Accent1 2 2 2 6 9" xfId="11614"/>
    <cellStyle name="20% - Accent1 2 2 2 6 9 2" xfId="23415"/>
    <cellStyle name="20% - Accent1 2 2 2 6 9 2 2" xfId="50241"/>
    <cellStyle name="20% - Accent1 2 2 2 6 9 3" xfId="37030"/>
    <cellStyle name="20% - Accent1 2 2 2 7" xfId="148"/>
    <cellStyle name="20% - Accent1 2 2 2 7 10" xfId="31018"/>
    <cellStyle name="20% - Accent1 2 2 2 7 2" xfId="300"/>
    <cellStyle name="20% - Accent1 2 2 2 7 2 2" xfId="1070"/>
    <cellStyle name="20% - Accent1 2 2 2 7 2 2 2" xfId="4610"/>
    <cellStyle name="20% - Accent1 2 2 2 7 2 2 2 2" xfId="11615"/>
    <cellStyle name="20% - Accent1 2 2 2 7 2 2 2 2 2" xfId="23416"/>
    <cellStyle name="20% - Accent1 2 2 2 7 2 2 2 2 2 2" xfId="50242"/>
    <cellStyle name="20% - Accent1 2 2 2 7 2 2 2 2 3" xfId="37031"/>
    <cellStyle name="20% - Accent1 2 2 2 7 2 2 2 3" xfId="10063"/>
    <cellStyle name="20% - Accent1 2 2 2 7 2 2 2 3 2" xfId="43415"/>
    <cellStyle name="20% - Accent1 2 2 2 7 2 2 2 4" xfId="21864"/>
    <cellStyle name="20% - Accent1 2 2 2 7 2 2 2 4 2" xfId="50243"/>
    <cellStyle name="20% - Accent1 2 2 2 7 2 2 2 5" xfId="35479"/>
    <cellStyle name="20% - Accent1 2 2 2 7 2 2 3" xfId="2769"/>
    <cellStyle name="20% - Accent1 2 2 2 7 2 2 3 2" xfId="11616"/>
    <cellStyle name="20% - Accent1 2 2 2 7 2 2 3 2 2" xfId="23417"/>
    <cellStyle name="20% - Accent1 2 2 2 7 2 2 3 2 2 2" xfId="50244"/>
    <cellStyle name="20% - Accent1 2 2 2 7 2 2 3 2 3" xfId="37032"/>
    <cellStyle name="20% - Accent1 2 2 2 7 2 2 3 3" xfId="8222"/>
    <cellStyle name="20% - Accent1 2 2 2 7 2 2 3 3 2" xfId="43416"/>
    <cellStyle name="20% - Accent1 2 2 2 7 2 2 3 4" xfId="20023"/>
    <cellStyle name="20% - Accent1 2 2 2 7 2 2 3 4 2" xfId="50245"/>
    <cellStyle name="20% - Accent1 2 2 2 7 2 2 3 5" xfId="33638"/>
    <cellStyle name="20% - Accent1 2 2 2 7 2 2 4" xfId="11617"/>
    <cellStyle name="20% - Accent1 2 2 2 7 2 2 4 2" xfId="23418"/>
    <cellStyle name="20% - Accent1 2 2 2 7 2 2 4 2 2" xfId="50246"/>
    <cellStyle name="20% - Accent1 2 2 2 7 2 2 4 3" xfId="37033"/>
    <cellStyle name="20% - Accent1 2 2 2 7 2 2 5" xfId="6524"/>
    <cellStyle name="20% - Accent1 2 2 2 7 2 2 5 2" xfId="43417"/>
    <cellStyle name="20% - Accent1 2 2 2 7 2 2 6" xfId="18325"/>
    <cellStyle name="20% - Accent1 2 2 2 7 2 2 6 2" xfId="50247"/>
    <cellStyle name="20% - Accent1 2 2 2 7 2 2 7" xfId="31940"/>
    <cellStyle name="20% - Accent1 2 2 2 7 2 3" xfId="3337"/>
    <cellStyle name="20% - Accent1 2 2 2 7 2 3 2" xfId="5178"/>
    <cellStyle name="20% - Accent1 2 2 2 7 2 3 2 2" xfId="16648"/>
    <cellStyle name="20% - Accent1 2 2 2 7 2 3 2 2 2" xfId="28449"/>
    <cellStyle name="20% - Accent1 2 2 2 7 2 3 2 2 2 2" xfId="50248"/>
    <cellStyle name="20% - Accent1 2 2 2 7 2 3 2 2 3" xfId="42064"/>
    <cellStyle name="20% - Accent1 2 2 2 7 2 3 2 3" xfId="10631"/>
    <cellStyle name="20% - Accent1 2 2 2 7 2 3 2 3 2" xfId="50249"/>
    <cellStyle name="20% - Accent1 2 2 2 7 2 3 2 4" xfId="22432"/>
    <cellStyle name="20% - Accent1 2 2 2 7 2 3 2 4 2" xfId="50250"/>
    <cellStyle name="20% - Accent1 2 2 2 7 2 3 2 5" xfId="36047"/>
    <cellStyle name="20% - Accent1 2 2 2 7 2 3 3" xfId="11618"/>
    <cellStyle name="20% - Accent1 2 2 2 7 2 3 3 2" xfId="23419"/>
    <cellStyle name="20% - Accent1 2 2 2 7 2 3 3 2 2" xfId="50251"/>
    <cellStyle name="20% - Accent1 2 2 2 7 2 3 3 3" xfId="37034"/>
    <cellStyle name="20% - Accent1 2 2 2 7 2 3 4" xfId="8790"/>
    <cellStyle name="20% - Accent1 2 2 2 7 2 3 4 2" xfId="50252"/>
    <cellStyle name="20% - Accent1 2 2 2 7 2 3 5" xfId="20591"/>
    <cellStyle name="20% - Accent1 2 2 2 7 2 3 5 2" xfId="50253"/>
    <cellStyle name="20% - Accent1 2 2 2 7 2 3 6" xfId="34206"/>
    <cellStyle name="20% - Accent1 2 2 2 7 2 4" xfId="4042"/>
    <cellStyle name="20% - Accent1 2 2 2 7 2 4 2" xfId="11619"/>
    <cellStyle name="20% - Accent1 2 2 2 7 2 4 2 2" xfId="23420"/>
    <cellStyle name="20% - Accent1 2 2 2 7 2 4 2 2 2" xfId="50254"/>
    <cellStyle name="20% - Accent1 2 2 2 7 2 4 2 3" xfId="37035"/>
    <cellStyle name="20% - Accent1 2 2 2 7 2 4 3" xfId="9495"/>
    <cellStyle name="20% - Accent1 2 2 2 7 2 4 3 2" xfId="43418"/>
    <cellStyle name="20% - Accent1 2 2 2 7 2 4 4" xfId="21296"/>
    <cellStyle name="20% - Accent1 2 2 2 7 2 4 4 2" xfId="50255"/>
    <cellStyle name="20% - Accent1 2 2 2 7 2 4 5" xfId="34911"/>
    <cellStyle name="20% - Accent1 2 2 2 7 2 5" xfId="2201"/>
    <cellStyle name="20% - Accent1 2 2 2 7 2 5 2" xfId="16964"/>
    <cellStyle name="20% - Accent1 2 2 2 7 2 5 2 2" xfId="28765"/>
    <cellStyle name="20% - Accent1 2 2 2 7 2 5 2 2 2" xfId="50256"/>
    <cellStyle name="20% - Accent1 2 2 2 7 2 5 2 3" xfId="42380"/>
    <cellStyle name="20% - Accent1 2 2 2 7 2 5 3" xfId="7654"/>
    <cellStyle name="20% - Accent1 2 2 2 7 2 5 3 2" xfId="50257"/>
    <cellStyle name="20% - Accent1 2 2 2 7 2 5 4" xfId="19455"/>
    <cellStyle name="20% - Accent1 2 2 2 7 2 5 4 2" xfId="50258"/>
    <cellStyle name="20% - Accent1 2 2 2 7 2 5 5" xfId="33070"/>
    <cellStyle name="20% - Accent1 2 2 2 7 2 6" xfId="11620"/>
    <cellStyle name="20% - Accent1 2 2 2 7 2 6 2" xfId="23421"/>
    <cellStyle name="20% - Accent1 2 2 2 7 2 6 2 2" xfId="50259"/>
    <cellStyle name="20% - Accent1 2 2 2 7 2 6 3" xfId="37036"/>
    <cellStyle name="20% - Accent1 2 2 2 7 2 7" xfId="5754"/>
    <cellStyle name="20% - Accent1 2 2 2 7 2 7 2" xfId="50260"/>
    <cellStyle name="20% - Accent1 2 2 2 7 2 8" xfId="17555"/>
    <cellStyle name="20% - Accent1 2 2 2 7 2 8 2" xfId="50261"/>
    <cellStyle name="20% - Accent1 2 2 2 7 2 9" xfId="31170"/>
    <cellStyle name="20% - Accent1 2 2 2 7 3" xfId="716"/>
    <cellStyle name="20% - Accent1 2 2 2 7 3 2" xfId="1071"/>
    <cellStyle name="20% - Accent1 2 2 2 7 3 2 2" xfId="4458"/>
    <cellStyle name="20% - Accent1 2 2 2 7 3 2 2 2" xfId="11621"/>
    <cellStyle name="20% - Accent1 2 2 2 7 3 2 2 2 2" xfId="23422"/>
    <cellStyle name="20% - Accent1 2 2 2 7 3 2 2 2 2 2" xfId="50262"/>
    <cellStyle name="20% - Accent1 2 2 2 7 3 2 2 2 3" xfId="37037"/>
    <cellStyle name="20% - Accent1 2 2 2 7 3 2 2 3" xfId="9911"/>
    <cellStyle name="20% - Accent1 2 2 2 7 3 2 2 3 2" xfId="43419"/>
    <cellStyle name="20% - Accent1 2 2 2 7 3 2 2 4" xfId="21712"/>
    <cellStyle name="20% - Accent1 2 2 2 7 3 2 2 4 2" xfId="50263"/>
    <cellStyle name="20% - Accent1 2 2 2 7 3 2 2 5" xfId="35327"/>
    <cellStyle name="20% - Accent1 2 2 2 7 3 2 3" xfId="11622"/>
    <cellStyle name="20% - Accent1 2 2 2 7 3 2 3 2" xfId="23423"/>
    <cellStyle name="20% - Accent1 2 2 2 7 3 2 3 2 2" xfId="43420"/>
    <cellStyle name="20% - Accent1 2 2 2 7 3 2 3 3" xfId="29290"/>
    <cellStyle name="20% - Accent1 2 2 2 7 3 2 3 3 2" xfId="43421"/>
    <cellStyle name="20% - Accent1 2 2 2 7 3 2 3 4" xfId="29291"/>
    <cellStyle name="20% - Accent1 2 2 2 7 3 2 3 4 2" xfId="50264"/>
    <cellStyle name="20% - Accent1 2 2 2 7 3 2 3 5" xfId="37038"/>
    <cellStyle name="20% - Accent1 2 2 2 7 3 2 4" xfId="11623"/>
    <cellStyle name="20% - Accent1 2 2 2 7 3 2 4 2" xfId="23424"/>
    <cellStyle name="20% - Accent1 2 2 2 7 3 2 4 2 2" xfId="50265"/>
    <cellStyle name="20% - Accent1 2 2 2 7 3 2 4 3" xfId="37039"/>
    <cellStyle name="20% - Accent1 2 2 2 7 3 2 5" xfId="6525"/>
    <cellStyle name="20% - Accent1 2 2 2 7 3 2 5 2" xfId="43422"/>
    <cellStyle name="20% - Accent1 2 2 2 7 3 2 6" xfId="18326"/>
    <cellStyle name="20% - Accent1 2 2 2 7 3 2 6 2" xfId="50266"/>
    <cellStyle name="20% - Accent1 2 2 2 7 3 2 7" xfId="31941"/>
    <cellStyle name="20% - Accent1 2 2 2 7 3 3" xfId="2617"/>
    <cellStyle name="20% - Accent1 2 2 2 7 3 3 2" xfId="11624"/>
    <cellStyle name="20% - Accent1 2 2 2 7 3 3 2 2" xfId="23425"/>
    <cellStyle name="20% - Accent1 2 2 2 7 3 3 2 2 2" xfId="50267"/>
    <cellStyle name="20% - Accent1 2 2 2 7 3 3 2 3" xfId="37040"/>
    <cellStyle name="20% - Accent1 2 2 2 7 3 3 3" xfId="8070"/>
    <cellStyle name="20% - Accent1 2 2 2 7 3 3 3 2" xfId="43423"/>
    <cellStyle name="20% - Accent1 2 2 2 7 3 3 4" xfId="19871"/>
    <cellStyle name="20% - Accent1 2 2 2 7 3 3 4 2" xfId="50268"/>
    <cellStyle name="20% - Accent1 2 2 2 7 3 3 5" xfId="33486"/>
    <cellStyle name="20% - Accent1 2 2 2 7 3 4" xfId="11625"/>
    <cellStyle name="20% - Accent1 2 2 2 7 3 4 2" xfId="23426"/>
    <cellStyle name="20% - Accent1 2 2 2 7 3 4 2 2" xfId="43424"/>
    <cellStyle name="20% - Accent1 2 2 2 7 3 4 3" xfId="29292"/>
    <cellStyle name="20% - Accent1 2 2 2 7 3 4 3 2" xfId="43425"/>
    <cellStyle name="20% - Accent1 2 2 2 7 3 4 4" xfId="29293"/>
    <cellStyle name="20% - Accent1 2 2 2 7 3 4 4 2" xfId="50269"/>
    <cellStyle name="20% - Accent1 2 2 2 7 3 4 5" xfId="37041"/>
    <cellStyle name="20% - Accent1 2 2 2 7 3 5" xfId="11626"/>
    <cellStyle name="20% - Accent1 2 2 2 7 3 5 2" xfId="23427"/>
    <cellStyle name="20% - Accent1 2 2 2 7 3 5 2 2" xfId="50270"/>
    <cellStyle name="20% - Accent1 2 2 2 7 3 5 3" xfId="37042"/>
    <cellStyle name="20% - Accent1 2 2 2 7 3 6" xfId="6170"/>
    <cellStyle name="20% - Accent1 2 2 2 7 3 6 2" xfId="43426"/>
    <cellStyle name="20% - Accent1 2 2 2 7 3 7" xfId="17971"/>
    <cellStyle name="20% - Accent1 2 2 2 7 3 7 2" xfId="50271"/>
    <cellStyle name="20% - Accent1 2 2 2 7 3 8" xfId="31586"/>
    <cellStyle name="20% - Accent1 2 2 2 7 4" xfId="1072"/>
    <cellStyle name="20% - Accent1 2 2 2 7 4 2" xfId="5026"/>
    <cellStyle name="20% - Accent1 2 2 2 7 4 2 2" xfId="11627"/>
    <cellStyle name="20% - Accent1 2 2 2 7 4 2 2 2" xfId="23428"/>
    <cellStyle name="20% - Accent1 2 2 2 7 4 2 2 2 2" xfId="50272"/>
    <cellStyle name="20% - Accent1 2 2 2 7 4 2 2 3" xfId="37043"/>
    <cellStyle name="20% - Accent1 2 2 2 7 4 2 3" xfId="10479"/>
    <cellStyle name="20% - Accent1 2 2 2 7 4 2 3 2" xfId="43427"/>
    <cellStyle name="20% - Accent1 2 2 2 7 4 2 4" xfId="22280"/>
    <cellStyle name="20% - Accent1 2 2 2 7 4 2 4 2" xfId="50273"/>
    <cellStyle name="20% - Accent1 2 2 2 7 4 2 5" xfId="35895"/>
    <cellStyle name="20% - Accent1 2 2 2 7 4 3" xfId="3185"/>
    <cellStyle name="20% - Accent1 2 2 2 7 4 3 2" xfId="11628"/>
    <cellStyle name="20% - Accent1 2 2 2 7 4 3 2 2" xfId="23429"/>
    <cellStyle name="20% - Accent1 2 2 2 7 4 3 2 2 2" xfId="50274"/>
    <cellStyle name="20% - Accent1 2 2 2 7 4 3 2 3" xfId="37044"/>
    <cellStyle name="20% - Accent1 2 2 2 7 4 3 3" xfId="8638"/>
    <cellStyle name="20% - Accent1 2 2 2 7 4 3 3 2" xfId="43428"/>
    <cellStyle name="20% - Accent1 2 2 2 7 4 3 4" xfId="20439"/>
    <cellStyle name="20% - Accent1 2 2 2 7 4 3 4 2" xfId="50275"/>
    <cellStyle name="20% - Accent1 2 2 2 7 4 3 5" xfId="34054"/>
    <cellStyle name="20% - Accent1 2 2 2 7 4 4" xfId="11629"/>
    <cellStyle name="20% - Accent1 2 2 2 7 4 4 2" xfId="23430"/>
    <cellStyle name="20% - Accent1 2 2 2 7 4 4 2 2" xfId="50276"/>
    <cellStyle name="20% - Accent1 2 2 2 7 4 4 3" xfId="37045"/>
    <cellStyle name="20% - Accent1 2 2 2 7 4 5" xfId="6526"/>
    <cellStyle name="20% - Accent1 2 2 2 7 4 5 2" xfId="43429"/>
    <cellStyle name="20% - Accent1 2 2 2 7 4 6" xfId="18327"/>
    <cellStyle name="20% - Accent1 2 2 2 7 4 6 2" xfId="50277"/>
    <cellStyle name="20% - Accent1 2 2 2 7 4 7" xfId="31942"/>
    <cellStyle name="20% - Accent1 2 2 2 7 5" xfId="3890"/>
    <cellStyle name="20% - Accent1 2 2 2 7 5 2" xfId="11630"/>
    <cellStyle name="20% - Accent1 2 2 2 7 5 2 2" xfId="23431"/>
    <cellStyle name="20% - Accent1 2 2 2 7 5 2 2 2" xfId="50278"/>
    <cellStyle name="20% - Accent1 2 2 2 7 5 2 3" xfId="37046"/>
    <cellStyle name="20% - Accent1 2 2 2 7 5 3" xfId="9343"/>
    <cellStyle name="20% - Accent1 2 2 2 7 5 3 2" xfId="43430"/>
    <cellStyle name="20% - Accent1 2 2 2 7 5 4" xfId="21144"/>
    <cellStyle name="20% - Accent1 2 2 2 7 5 4 2" xfId="50279"/>
    <cellStyle name="20% - Accent1 2 2 2 7 5 5" xfId="34759"/>
    <cellStyle name="20% - Accent1 2 2 2 7 6" xfId="2049"/>
    <cellStyle name="20% - Accent1 2 2 2 7 6 2" xfId="11631"/>
    <cellStyle name="20% - Accent1 2 2 2 7 6 2 2" xfId="23432"/>
    <cellStyle name="20% - Accent1 2 2 2 7 6 2 2 2" xfId="50280"/>
    <cellStyle name="20% - Accent1 2 2 2 7 6 2 3" xfId="37047"/>
    <cellStyle name="20% - Accent1 2 2 2 7 6 3" xfId="7502"/>
    <cellStyle name="20% - Accent1 2 2 2 7 6 3 2" xfId="43431"/>
    <cellStyle name="20% - Accent1 2 2 2 7 6 4" xfId="19303"/>
    <cellStyle name="20% - Accent1 2 2 2 7 6 4 2" xfId="50281"/>
    <cellStyle name="20% - Accent1 2 2 2 7 6 5" xfId="32918"/>
    <cellStyle name="20% - Accent1 2 2 2 7 7" xfId="11632"/>
    <cellStyle name="20% - Accent1 2 2 2 7 7 2" xfId="23433"/>
    <cellStyle name="20% - Accent1 2 2 2 7 7 2 2" xfId="50282"/>
    <cellStyle name="20% - Accent1 2 2 2 7 7 3" xfId="37048"/>
    <cellStyle name="20% - Accent1 2 2 2 7 8" xfId="5602"/>
    <cellStyle name="20% - Accent1 2 2 2 7 8 2" xfId="43432"/>
    <cellStyle name="20% - Accent1 2 2 2 7 9" xfId="17403"/>
    <cellStyle name="20% - Accent1 2 2 2 7 9 2" xfId="50283"/>
    <cellStyle name="20% - Accent1 2 2 2 8" xfId="437"/>
    <cellStyle name="20% - Accent1 2 2 2 8 2" xfId="1073"/>
    <cellStyle name="20% - Accent1 2 2 2 8 2 2" xfId="4747"/>
    <cellStyle name="20% - Accent1 2 2 2 8 2 2 2" xfId="11633"/>
    <cellStyle name="20% - Accent1 2 2 2 8 2 2 2 2" xfId="23434"/>
    <cellStyle name="20% - Accent1 2 2 2 8 2 2 2 2 2" xfId="50284"/>
    <cellStyle name="20% - Accent1 2 2 2 8 2 2 2 3" xfId="37049"/>
    <cellStyle name="20% - Accent1 2 2 2 8 2 2 3" xfId="10200"/>
    <cellStyle name="20% - Accent1 2 2 2 8 2 2 3 2" xfId="43433"/>
    <cellStyle name="20% - Accent1 2 2 2 8 2 2 4" xfId="22001"/>
    <cellStyle name="20% - Accent1 2 2 2 8 2 2 4 2" xfId="50285"/>
    <cellStyle name="20% - Accent1 2 2 2 8 2 2 5" xfId="35616"/>
    <cellStyle name="20% - Accent1 2 2 2 8 2 3" xfId="2906"/>
    <cellStyle name="20% - Accent1 2 2 2 8 2 3 2" xfId="11634"/>
    <cellStyle name="20% - Accent1 2 2 2 8 2 3 2 2" xfId="23435"/>
    <cellStyle name="20% - Accent1 2 2 2 8 2 3 2 2 2" xfId="50286"/>
    <cellStyle name="20% - Accent1 2 2 2 8 2 3 2 3" xfId="37050"/>
    <cellStyle name="20% - Accent1 2 2 2 8 2 3 3" xfId="8359"/>
    <cellStyle name="20% - Accent1 2 2 2 8 2 3 3 2" xfId="43434"/>
    <cellStyle name="20% - Accent1 2 2 2 8 2 3 4" xfId="20160"/>
    <cellStyle name="20% - Accent1 2 2 2 8 2 3 4 2" xfId="50287"/>
    <cellStyle name="20% - Accent1 2 2 2 8 2 3 5" xfId="33775"/>
    <cellStyle name="20% - Accent1 2 2 2 8 2 4" xfId="11635"/>
    <cellStyle name="20% - Accent1 2 2 2 8 2 4 2" xfId="23436"/>
    <cellStyle name="20% - Accent1 2 2 2 8 2 4 2 2" xfId="50288"/>
    <cellStyle name="20% - Accent1 2 2 2 8 2 4 3" xfId="37051"/>
    <cellStyle name="20% - Accent1 2 2 2 8 2 5" xfId="6527"/>
    <cellStyle name="20% - Accent1 2 2 2 8 2 5 2" xfId="43435"/>
    <cellStyle name="20% - Accent1 2 2 2 8 2 6" xfId="18328"/>
    <cellStyle name="20% - Accent1 2 2 2 8 2 6 2" xfId="50289"/>
    <cellStyle name="20% - Accent1 2 2 2 8 2 7" xfId="31943"/>
    <cellStyle name="20% - Accent1 2 2 2 8 3" xfId="3474"/>
    <cellStyle name="20% - Accent1 2 2 2 8 3 2" xfId="5315"/>
    <cellStyle name="20% - Accent1 2 2 2 8 3 2 2" xfId="16785"/>
    <cellStyle name="20% - Accent1 2 2 2 8 3 2 2 2" xfId="28586"/>
    <cellStyle name="20% - Accent1 2 2 2 8 3 2 2 2 2" xfId="50290"/>
    <cellStyle name="20% - Accent1 2 2 2 8 3 2 2 3" xfId="42201"/>
    <cellStyle name="20% - Accent1 2 2 2 8 3 2 3" xfId="10768"/>
    <cellStyle name="20% - Accent1 2 2 2 8 3 2 3 2" xfId="50291"/>
    <cellStyle name="20% - Accent1 2 2 2 8 3 2 4" xfId="22569"/>
    <cellStyle name="20% - Accent1 2 2 2 8 3 2 4 2" xfId="50292"/>
    <cellStyle name="20% - Accent1 2 2 2 8 3 2 5" xfId="36184"/>
    <cellStyle name="20% - Accent1 2 2 2 8 3 3" xfId="11636"/>
    <cellStyle name="20% - Accent1 2 2 2 8 3 3 2" xfId="23437"/>
    <cellStyle name="20% - Accent1 2 2 2 8 3 3 2 2" xfId="50293"/>
    <cellStyle name="20% - Accent1 2 2 2 8 3 3 3" xfId="37052"/>
    <cellStyle name="20% - Accent1 2 2 2 8 3 4" xfId="8927"/>
    <cellStyle name="20% - Accent1 2 2 2 8 3 4 2" xfId="50294"/>
    <cellStyle name="20% - Accent1 2 2 2 8 3 5" xfId="20728"/>
    <cellStyle name="20% - Accent1 2 2 2 8 3 5 2" xfId="50295"/>
    <cellStyle name="20% - Accent1 2 2 2 8 3 6" xfId="34343"/>
    <cellStyle name="20% - Accent1 2 2 2 8 4" xfId="4179"/>
    <cellStyle name="20% - Accent1 2 2 2 8 4 2" xfId="11637"/>
    <cellStyle name="20% - Accent1 2 2 2 8 4 2 2" xfId="23438"/>
    <cellStyle name="20% - Accent1 2 2 2 8 4 2 2 2" xfId="50296"/>
    <cellStyle name="20% - Accent1 2 2 2 8 4 2 3" xfId="37053"/>
    <cellStyle name="20% - Accent1 2 2 2 8 4 3" xfId="9632"/>
    <cellStyle name="20% - Accent1 2 2 2 8 4 3 2" xfId="43436"/>
    <cellStyle name="20% - Accent1 2 2 2 8 4 4" xfId="21433"/>
    <cellStyle name="20% - Accent1 2 2 2 8 4 4 2" xfId="50297"/>
    <cellStyle name="20% - Accent1 2 2 2 8 4 5" xfId="35048"/>
    <cellStyle name="20% - Accent1 2 2 2 8 5" xfId="2338"/>
    <cellStyle name="20% - Accent1 2 2 2 8 5 2" xfId="16965"/>
    <cellStyle name="20% - Accent1 2 2 2 8 5 2 2" xfId="28766"/>
    <cellStyle name="20% - Accent1 2 2 2 8 5 2 2 2" xfId="50298"/>
    <cellStyle name="20% - Accent1 2 2 2 8 5 2 3" xfId="42381"/>
    <cellStyle name="20% - Accent1 2 2 2 8 5 3" xfId="7791"/>
    <cellStyle name="20% - Accent1 2 2 2 8 5 3 2" xfId="50299"/>
    <cellStyle name="20% - Accent1 2 2 2 8 5 4" xfId="19592"/>
    <cellStyle name="20% - Accent1 2 2 2 8 5 4 2" xfId="50300"/>
    <cellStyle name="20% - Accent1 2 2 2 8 5 5" xfId="33207"/>
    <cellStyle name="20% - Accent1 2 2 2 8 6" xfId="11638"/>
    <cellStyle name="20% - Accent1 2 2 2 8 6 2" xfId="23439"/>
    <cellStyle name="20% - Accent1 2 2 2 8 6 2 2" xfId="50301"/>
    <cellStyle name="20% - Accent1 2 2 2 8 6 3" xfId="37054"/>
    <cellStyle name="20% - Accent1 2 2 2 8 7" xfId="5891"/>
    <cellStyle name="20% - Accent1 2 2 2 8 7 2" xfId="50302"/>
    <cellStyle name="20% - Accent1 2 2 2 8 8" xfId="17692"/>
    <cellStyle name="20% - Accent1 2 2 2 8 8 2" xfId="50303"/>
    <cellStyle name="20% - Accent1 2 2 2 8 9" xfId="31307"/>
    <cellStyle name="20% - Accent1 2 2 2 9" xfId="251"/>
    <cellStyle name="20% - Accent1 2 2 2 9 2" xfId="1074"/>
    <cellStyle name="20% - Accent1 2 2 2 9 2 2" xfId="4561"/>
    <cellStyle name="20% - Accent1 2 2 2 9 2 2 2" xfId="11639"/>
    <cellStyle name="20% - Accent1 2 2 2 9 2 2 2 2" xfId="23440"/>
    <cellStyle name="20% - Accent1 2 2 2 9 2 2 2 2 2" xfId="50304"/>
    <cellStyle name="20% - Accent1 2 2 2 9 2 2 2 3" xfId="37055"/>
    <cellStyle name="20% - Accent1 2 2 2 9 2 2 3" xfId="10014"/>
    <cellStyle name="20% - Accent1 2 2 2 9 2 2 3 2" xfId="43437"/>
    <cellStyle name="20% - Accent1 2 2 2 9 2 2 4" xfId="21815"/>
    <cellStyle name="20% - Accent1 2 2 2 9 2 2 4 2" xfId="50305"/>
    <cellStyle name="20% - Accent1 2 2 2 9 2 2 5" xfId="35430"/>
    <cellStyle name="20% - Accent1 2 2 2 9 2 3" xfId="2720"/>
    <cellStyle name="20% - Accent1 2 2 2 9 2 3 2" xfId="11640"/>
    <cellStyle name="20% - Accent1 2 2 2 9 2 3 2 2" xfId="23441"/>
    <cellStyle name="20% - Accent1 2 2 2 9 2 3 2 2 2" xfId="50306"/>
    <cellStyle name="20% - Accent1 2 2 2 9 2 3 2 3" xfId="37056"/>
    <cellStyle name="20% - Accent1 2 2 2 9 2 3 3" xfId="8173"/>
    <cellStyle name="20% - Accent1 2 2 2 9 2 3 3 2" xfId="43438"/>
    <cellStyle name="20% - Accent1 2 2 2 9 2 3 4" xfId="19974"/>
    <cellStyle name="20% - Accent1 2 2 2 9 2 3 4 2" xfId="50307"/>
    <cellStyle name="20% - Accent1 2 2 2 9 2 3 5" xfId="33589"/>
    <cellStyle name="20% - Accent1 2 2 2 9 2 4" xfId="11641"/>
    <cellStyle name="20% - Accent1 2 2 2 9 2 4 2" xfId="23442"/>
    <cellStyle name="20% - Accent1 2 2 2 9 2 4 2 2" xfId="50308"/>
    <cellStyle name="20% - Accent1 2 2 2 9 2 4 3" xfId="37057"/>
    <cellStyle name="20% - Accent1 2 2 2 9 2 5" xfId="6528"/>
    <cellStyle name="20% - Accent1 2 2 2 9 2 5 2" xfId="43439"/>
    <cellStyle name="20% - Accent1 2 2 2 9 2 6" xfId="18329"/>
    <cellStyle name="20% - Accent1 2 2 2 9 2 6 2" xfId="50309"/>
    <cellStyle name="20% - Accent1 2 2 2 9 2 7" xfId="31944"/>
    <cellStyle name="20% - Accent1 2 2 2 9 3" xfId="3288"/>
    <cellStyle name="20% - Accent1 2 2 2 9 3 2" xfId="5129"/>
    <cellStyle name="20% - Accent1 2 2 2 9 3 2 2" xfId="16599"/>
    <cellStyle name="20% - Accent1 2 2 2 9 3 2 2 2" xfId="28400"/>
    <cellStyle name="20% - Accent1 2 2 2 9 3 2 2 2 2" xfId="50310"/>
    <cellStyle name="20% - Accent1 2 2 2 9 3 2 2 3" xfId="42015"/>
    <cellStyle name="20% - Accent1 2 2 2 9 3 2 3" xfId="10582"/>
    <cellStyle name="20% - Accent1 2 2 2 9 3 2 3 2" xfId="50311"/>
    <cellStyle name="20% - Accent1 2 2 2 9 3 2 4" xfId="22383"/>
    <cellStyle name="20% - Accent1 2 2 2 9 3 2 4 2" xfId="50312"/>
    <cellStyle name="20% - Accent1 2 2 2 9 3 2 5" xfId="35998"/>
    <cellStyle name="20% - Accent1 2 2 2 9 3 3" xfId="11642"/>
    <cellStyle name="20% - Accent1 2 2 2 9 3 3 2" xfId="23443"/>
    <cellStyle name="20% - Accent1 2 2 2 9 3 3 2 2" xfId="50313"/>
    <cellStyle name="20% - Accent1 2 2 2 9 3 3 3" xfId="37058"/>
    <cellStyle name="20% - Accent1 2 2 2 9 3 4" xfId="8741"/>
    <cellStyle name="20% - Accent1 2 2 2 9 3 4 2" xfId="50314"/>
    <cellStyle name="20% - Accent1 2 2 2 9 3 5" xfId="20542"/>
    <cellStyle name="20% - Accent1 2 2 2 9 3 5 2" xfId="50315"/>
    <cellStyle name="20% - Accent1 2 2 2 9 3 6" xfId="34157"/>
    <cellStyle name="20% - Accent1 2 2 2 9 4" xfId="3993"/>
    <cellStyle name="20% - Accent1 2 2 2 9 4 2" xfId="11643"/>
    <cellStyle name="20% - Accent1 2 2 2 9 4 2 2" xfId="23444"/>
    <cellStyle name="20% - Accent1 2 2 2 9 4 2 2 2" xfId="50316"/>
    <cellStyle name="20% - Accent1 2 2 2 9 4 2 3" xfId="37059"/>
    <cellStyle name="20% - Accent1 2 2 2 9 4 3" xfId="9446"/>
    <cellStyle name="20% - Accent1 2 2 2 9 4 3 2" xfId="43440"/>
    <cellStyle name="20% - Accent1 2 2 2 9 4 4" xfId="21247"/>
    <cellStyle name="20% - Accent1 2 2 2 9 4 4 2" xfId="50317"/>
    <cellStyle name="20% - Accent1 2 2 2 9 4 5" xfId="34862"/>
    <cellStyle name="20% - Accent1 2 2 2 9 5" xfId="2152"/>
    <cellStyle name="20% - Accent1 2 2 2 9 5 2" xfId="16966"/>
    <cellStyle name="20% - Accent1 2 2 2 9 5 2 2" xfId="28767"/>
    <cellStyle name="20% - Accent1 2 2 2 9 5 2 2 2" xfId="50318"/>
    <cellStyle name="20% - Accent1 2 2 2 9 5 2 3" xfId="42382"/>
    <cellStyle name="20% - Accent1 2 2 2 9 5 3" xfId="7605"/>
    <cellStyle name="20% - Accent1 2 2 2 9 5 3 2" xfId="50319"/>
    <cellStyle name="20% - Accent1 2 2 2 9 5 4" xfId="19406"/>
    <cellStyle name="20% - Accent1 2 2 2 9 5 4 2" xfId="50320"/>
    <cellStyle name="20% - Accent1 2 2 2 9 5 5" xfId="33021"/>
    <cellStyle name="20% - Accent1 2 2 2 9 6" xfId="11644"/>
    <cellStyle name="20% - Accent1 2 2 2 9 6 2" xfId="23445"/>
    <cellStyle name="20% - Accent1 2 2 2 9 6 2 2" xfId="50321"/>
    <cellStyle name="20% - Accent1 2 2 2 9 6 3" xfId="37060"/>
    <cellStyle name="20% - Accent1 2 2 2 9 7" xfId="5705"/>
    <cellStyle name="20% - Accent1 2 2 2 9 7 2" xfId="50322"/>
    <cellStyle name="20% - Accent1 2 2 2 9 8" xfId="17506"/>
    <cellStyle name="20% - Accent1 2 2 2 9 8 2" xfId="50323"/>
    <cellStyle name="20% - Accent1 2 2 2 9 9" xfId="31121"/>
    <cellStyle name="20% - Accent1 2 2 20" xfId="61769"/>
    <cellStyle name="20% - Accent1 2 2 21" xfId="61779"/>
    <cellStyle name="20% - Accent1 2 2 3" xfId="31"/>
    <cellStyle name="20% - Accent1 2 2 3 10" xfId="3636"/>
    <cellStyle name="20% - Accent1 2 2 3 10 2" xfId="11645"/>
    <cellStyle name="20% - Accent1 2 2 3 10 2 2" xfId="23446"/>
    <cellStyle name="20% - Accent1 2 2 3 10 2 2 2" xfId="50324"/>
    <cellStyle name="20% - Accent1 2 2 3 10 2 3" xfId="37061"/>
    <cellStyle name="20% - Accent1 2 2 3 10 3" xfId="9089"/>
    <cellStyle name="20% - Accent1 2 2 3 10 3 2" xfId="43441"/>
    <cellStyle name="20% - Accent1 2 2 3 10 4" xfId="20890"/>
    <cellStyle name="20% - Accent1 2 2 3 10 4 2" xfId="50325"/>
    <cellStyle name="20% - Accent1 2 2 3 10 5" xfId="34505"/>
    <cellStyle name="20% - Accent1 2 2 3 11" xfId="1932"/>
    <cellStyle name="20% - Accent1 2 2 3 11 2" xfId="11646"/>
    <cellStyle name="20% - Accent1 2 2 3 11 2 2" xfId="23447"/>
    <cellStyle name="20% - Accent1 2 2 3 11 2 2 2" xfId="50326"/>
    <cellStyle name="20% - Accent1 2 2 3 11 2 3" xfId="37062"/>
    <cellStyle name="20% - Accent1 2 2 3 11 3" xfId="7385"/>
    <cellStyle name="20% - Accent1 2 2 3 11 3 2" xfId="43442"/>
    <cellStyle name="20% - Accent1 2 2 3 11 4" xfId="19186"/>
    <cellStyle name="20% - Accent1 2 2 3 11 4 2" xfId="50327"/>
    <cellStyle name="20% - Accent1 2 2 3 11 5" xfId="32801"/>
    <cellStyle name="20% - Accent1 2 2 3 12" xfId="11647"/>
    <cellStyle name="20% - Accent1 2 2 3 12 2" xfId="23448"/>
    <cellStyle name="20% - Accent1 2 2 3 12 2 2" xfId="50328"/>
    <cellStyle name="20% - Accent1 2 2 3 12 3" xfId="37063"/>
    <cellStyle name="20% - Accent1 2 2 3 13" xfId="5485"/>
    <cellStyle name="20% - Accent1 2 2 3 13 2" xfId="43443"/>
    <cellStyle name="20% - Accent1 2 2 3 14" xfId="17286"/>
    <cellStyle name="20% - Accent1 2 2 3 14 2" xfId="50329"/>
    <cellStyle name="20% - Accent1 2 2 3 15" xfId="30901"/>
    <cellStyle name="20% - Accent1 2 2 3 2" xfId="53"/>
    <cellStyle name="20% - Accent1 2 2 3 2 10" xfId="1954"/>
    <cellStyle name="20% - Accent1 2 2 3 2 10 2" xfId="11648"/>
    <cellStyle name="20% - Accent1 2 2 3 2 10 2 2" xfId="23449"/>
    <cellStyle name="20% - Accent1 2 2 3 2 10 2 2 2" xfId="50330"/>
    <cellStyle name="20% - Accent1 2 2 3 2 10 2 3" xfId="37064"/>
    <cellStyle name="20% - Accent1 2 2 3 2 10 3" xfId="7407"/>
    <cellStyle name="20% - Accent1 2 2 3 2 10 3 2" xfId="43444"/>
    <cellStyle name="20% - Accent1 2 2 3 2 10 4" xfId="19208"/>
    <cellStyle name="20% - Accent1 2 2 3 2 10 4 2" xfId="50331"/>
    <cellStyle name="20% - Accent1 2 2 3 2 10 5" xfId="32823"/>
    <cellStyle name="20% - Accent1 2 2 3 2 11" xfId="11649"/>
    <cellStyle name="20% - Accent1 2 2 3 2 11 2" xfId="23450"/>
    <cellStyle name="20% - Accent1 2 2 3 2 11 2 2" xfId="50332"/>
    <cellStyle name="20% - Accent1 2 2 3 2 11 3" xfId="37065"/>
    <cellStyle name="20% - Accent1 2 2 3 2 12" xfId="5507"/>
    <cellStyle name="20% - Accent1 2 2 3 2 12 2" xfId="43445"/>
    <cellStyle name="20% - Accent1 2 2 3 2 13" xfId="17308"/>
    <cellStyle name="20% - Accent1 2 2 3 2 13 2" xfId="50333"/>
    <cellStyle name="20% - Accent1 2 2 3 2 14" xfId="30923"/>
    <cellStyle name="20% - Accent1 2 2 3 2 2" xfId="120"/>
    <cellStyle name="20% - Accent1 2 2 3 2 2 10" xfId="5574"/>
    <cellStyle name="20% - Accent1 2 2 3 2 2 10 2" xfId="43446"/>
    <cellStyle name="20% - Accent1 2 2 3 2 2 11" xfId="17375"/>
    <cellStyle name="20% - Accent1 2 2 3 2 2 11 2" xfId="50334"/>
    <cellStyle name="20% - Accent1 2 2 3 2 2 12" xfId="30990"/>
    <cellStyle name="20% - Accent1 2 2 3 2 2 2" xfId="547"/>
    <cellStyle name="20% - Accent1 2 2 3 2 2 2 2" xfId="1075"/>
    <cellStyle name="20% - Accent1 2 2 3 2 2 2 2 2" xfId="4857"/>
    <cellStyle name="20% - Accent1 2 2 3 2 2 2 2 2 2" xfId="11650"/>
    <cellStyle name="20% - Accent1 2 2 3 2 2 2 2 2 2 2" xfId="23451"/>
    <cellStyle name="20% - Accent1 2 2 3 2 2 2 2 2 2 2 2" xfId="50335"/>
    <cellStyle name="20% - Accent1 2 2 3 2 2 2 2 2 2 3" xfId="37066"/>
    <cellStyle name="20% - Accent1 2 2 3 2 2 2 2 2 3" xfId="10310"/>
    <cellStyle name="20% - Accent1 2 2 3 2 2 2 2 2 3 2" xfId="43447"/>
    <cellStyle name="20% - Accent1 2 2 3 2 2 2 2 2 4" xfId="22111"/>
    <cellStyle name="20% - Accent1 2 2 3 2 2 2 2 2 4 2" xfId="50336"/>
    <cellStyle name="20% - Accent1 2 2 3 2 2 2 2 2 5" xfId="35726"/>
    <cellStyle name="20% - Accent1 2 2 3 2 2 2 2 3" xfId="3016"/>
    <cellStyle name="20% - Accent1 2 2 3 2 2 2 2 3 2" xfId="11651"/>
    <cellStyle name="20% - Accent1 2 2 3 2 2 2 2 3 2 2" xfId="23452"/>
    <cellStyle name="20% - Accent1 2 2 3 2 2 2 2 3 2 2 2" xfId="50337"/>
    <cellStyle name="20% - Accent1 2 2 3 2 2 2 2 3 2 3" xfId="37067"/>
    <cellStyle name="20% - Accent1 2 2 3 2 2 2 2 3 3" xfId="8469"/>
    <cellStyle name="20% - Accent1 2 2 3 2 2 2 2 3 3 2" xfId="43448"/>
    <cellStyle name="20% - Accent1 2 2 3 2 2 2 2 3 4" xfId="20270"/>
    <cellStyle name="20% - Accent1 2 2 3 2 2 2 2 3 4 2" xfId="50338"/>
    <cellStyle name="20% - Accent1 2 2 3 2 2 2 2 3 5" xfId="33885"/>
    <cellStyle name="20% - Accent1 2 2 3 2 2 2 2 4" xfId="11652"/>
    <cellStyle name="20% - Accent1 2 2 3 2 2 2 2 4 2" xfId="23453"/>
    <cellStyle name="20% - Accent1 2 2 3 2 2 2 2 4 2 2" xfId="50339"/>
    <cellStyle name="20% - Accent1 2 2 3 2 2 2 2 4 3" xfId="37068"/>
    <cellStyle name="20% - Accent1 2 2 3 2 2 2 2 5" xfId="6529"/>
    <cellStyle name="20% - Accent1 2 2 3 2 2 2 2 5 2" xfId="43449"/>
    <cellStyle name="20% - Accent1 2 2 3 2 2 2 2 6" xfId="18330"/>
    <cellStyle name="20% - Accent1 2 2 3 2 2 2 2 6 2" xfId="50340"/>
    <cellStyle name="20% - Accent1 2 2 3 2 2 2 2 7" xfId="31945"/>
    <cellStyle name="20% - Accent1 2 2 3 2 2 2 3" xfId="3584"/>
    <cellStyle name="20% - Accent1 2 2 3 2 2 2 3 2" xfId="5425"/>
    <cellStyle name="20% - Accent1 2 2 3 2 2 2 3 2 2" xfId="16895"/>
    <cellStyle name="20% - Accent1 2 2 3 2 2 2 3 2 2 2" xfId="28696"/>
    <cellStyle name="20% - Accent1 2 2 3 2 2 2 3 2 2 2 2" xfId="50341"/>
    <cellStyle name="20% - Accent1 2 2 3 2 2 2 3 2 2 3" xfId="42311"/>
    <cellStyle name="20% - Accent1 2 2 3 2 2 2 3 2 3" xfId="10878"/>
    <cellStyle name="20% - Accent1 2 2 3 2 2 2 3 2 3 2" xfId="50342"/>
    <cellStyle name="20% - Accent1 2 2 3 2 2 2 3 2 4" xfId="22679"/>
    <cellStyle name="20% - Accent1 2 2 3 2 2 2 3 2 4 2" xfId="50343"/>
    <cellStyle name="20% - Accent1 2 2 3 2 2 2 3 2 5" xfId="36294"/>
    <cellStyle name="20% - Accent1 2 2 3 2 2 2 3 3" xfId="11653"/>
    <cellStyle name="20% - Accent1 2 2 3 2 2 2 3 3 2" xfId="23454"/>
    <cellStyle name="20% - Accent1 2 2 3 2 2 2 3 3 2 2" xfId="50344"/>
    <cellStyle name="20% - Accent1 2 2 3 2 2 2 3 3 3" xfId="37069"/>
    <cellStyle name="20% - Accent1 2 2 3 2 2 2 3 4" xfId="9037"/>
    <cellStyle name="20% - Accent1 2 2 3 2 2 2 3 4 2" xfId="50345"/>
    <cellStyle name="20% - Accent1 2 2 3 2 2 2 3 5" xfId="20838"/>
    <cellStyle name="20% - Accent1 2 2 3 2 2 2 3 5 2" xfId="50346"/>
    <cellStyle name="20% - Accent1 2 2 3 2 2 2 3 6" xfId="34453"/>
    <cellStyle name="20% - Accent1 2 2 3 2 2 2 4" xfId="4289"/>
    <cellStyle name="20% - Accent1 2 2 3 2 2 2 4 2" xfId="11654"/>
    <cellStyle name="20% - Accent1 2 2 3 2 2 2 4 2 2" xfId="23455"/>
    <cellStyle name="20% - Accent1 2 2 3 2 2 2 4 2 2 2" xfId="50347"/>
    <cellStyle name="20% - Accent1 2 2 3 2 2 2 4 2 3" xfId="37070"/>
    <cellStyle name="20% - Accent1 2 2 3 2 2 2 4 3" xfId="9742"/>
    <cellStyle name="20% - Accent1 2 2 3 2 2 2 4 3 2" xfId="43450"/>
    <cellStyle name="20% - Accent1 2 2 3 2 2 2 4 4" xfId="21543"/>
    <cellStyle name="20% - Accent1 2 2 3 2 2 2 4 4 2" xfId="50348"/>
    <cellStyle name="20% - Accent1 2 2 3 2 2 2 4 5" xfId="35158"/>
    <cellStyle name="20% - Accent1 2 2 3 2 2 2 5" xfId="2448"/>
    <cellStyle name="20% - Accent1 2 2 3 2 2 2 5 2" xfId="16967"/>
    <cellStyle name="20% - Accent1 2 2 3 2 2 2 5 2 2" xfId="28768"/>
    <cellStyle name="20% - Accent1 2 2 3 2 2 2 5 2 2 2" xfId="50349"/>
    <cellStyle name="20% - Accent1 2 2 3 2 2 2 5 2 3" xfId="42383"/>
    <cellStyle name="20% - Accent1 2 2 3 2 2 2 5 3" xfId="7901"/>
    <cellStyle name="20% - Accent1 2 2 3 2 2 2 5 3 2" xfId="50350"/>
    <cellStyle name="20% - Accent1 2 2 3 2 2 2 5 4" xfId="19702"/>
    <cellStyle name="20% - Accent1 2 2 3 2 2 2 5 4 2" xfId="50351"/>
    <cellStyle name="20% - Accent1 2 2 3 2 2 2 5 5" xfId="33317"/>
    <cellStyle name="20% - Accent1 2 2 3 2 2 2 6" xfId="11655"/>
    <cellStyle name="20% - Accent1 2 2 3 2 2 2 6 2" xfId="23456"/>
    <cellStyle name="20% - Accent1 2 2 3 2 2 2 6 2 2" xfId="50352"/>
    <cellStyle name="20% - Accent1 2 2 3 2 2 2 6 3" xfId="37071"/>
    <cellStyle name="20% - Accent1 2 2 3 2 2 2 7" xfId="6001"/>
    <cellStyle name="20% - Accent1 2 2 3 2 2 2 7 2" xfId="50353"/>
    <cellStyle name="20% - Accent1 2 2 3 2 2 2 8" xfId="17802"/>
    <cellStyle name="20% - Accent1 2 2 3 2 2 2 8 2" xfId="50354"/>
    <cellStyle name="20% - Accent1 2 2 3 2 2 2 9" xfId="31417"/>
    <cellStyle name="20% - Accent1 2 2 3 2 2 3" xfId="410"/>
    <cellStyle name="20% - Accent1 2 2 3 2 2 3 2" xfId="1076"/>
    <cellStyle name="20% - Accent1 2 2 3 2 2 3 2 2" xfId="4720"/>
    <cellStyle name="20% - Accent1 2 2 3 2 2 3 2 2 2" xfId="11656"/>
    <cellStyle name="20% - Accent1 2 2 3 2 2 3 2 2 2 2" xfId="23457"/>
    <cellStyle name="20% - Accent1 2 2 3 2 2 3 2 2 2 2 2" xfId="50355"/>
    <cellStyle name="20% - Accent1 2 2 3 2 2 3 2 2 2 3" xfId="37072"/>
    <cellStyle name="20% - Accent1 2 2 3 2 2 3 2 2 3" xfId="10173"/>
    <cellStyle name="20% - Accent1 2 2 3 2 2 3 2 2 3 2" xfId="43451"/>
    <cellStyle name="20% - Accent1 2 2 3 2 2 3 2 2 4" xfId="21974"/>
    <cellStyle name="20% - Accent1 2 2 3 2 2 3 2 2 4 2" xfId="50356"/>
    <cellStyle name="20% - Accent1 2 2 3 2 2 3 2 2 5" xfId="35589"/>
    <cellStyle name="20% - Accent1 2 2 3 2 2 3 2 3" xfId="2879"/>
    <cellStyle name="20% - Accent1 2 2 3 2 2 3 2 3 2" xfId="11657"/>
    <cellStyle name="20% - Accent1 2 2 3 2 2 3 2 3 2 2" xfId="23458"/>
    <cellStyle name="20% - Accent1 2 2 3 2 2 3 2 3 2 2 2" xfId="50357"/>
    <cellStyle name="20% - Accent1 2 2 3 2 2 3 2 3 2 3" xfId="37073"/>
    <cellStyle name="20% - Accent1 2 2 3 2 2 3 2 3 3" xfId="8332"/>
    <cellStyle name="20% - Accent1 2 2 3 2 2 3 2 3 3 2" xfId="43452"/>
    <cellStyle name="20% - Accent1 2 2 3 2 2 3 2 3 4" xfId="20133"/>
    <cellStyle name="20% - Accent1 2 2 3 2 2 3 2 3 4 2" xfId="50358"/>
    <cellStyle name="20% - Accent1 2 2 3 2 2 3 2 3 5" xfId="33748"/>
    <cellStyle name="20% - Accent1 2 2 3 2 2 3 2 4" xfId="11658"/>
    <cellStyle name="20% - Accent1 2 2 3 2 2 3 2 4 2" xfId="23459"/>
    <cellStyle name="20% - Accent1 2 2 3 2 2 3 2 4 2 2" xfId="50359"/>
    <cellStyle name="20% - Accent1 2 2 3 2 2 3 2 4 3" xfId="37074"/>
    <cellStyle name="20% - Accent1 2 2 3 2 2 3 2 5" xfId="6530"/>
    <cellStyle name="20% - Accent1 2 2 3 2 2 3 2 5 2" xfId="43453"/>
    <cellStyle name="20% - Accent1 2 2 3 2 2 3 2 6" xfId="18331"/>
    <cellStyle name="20% - Accent1 2 2 3 2 2 3 2 6 2" xfId="50360"/>
    <cellStyle name="20% - Accent1 2 2 3 2 2 3 2 7" xfId="31946"/>
    <cellStyle name="20% - Accent1 2 2 3 2 2 3 3" xfId="3447"/>
    <cellStyle name="20% - Accent1 2 2 3 2 2 3 3 2" xfId="5288"/>
    <cellStyle name="20% - Accent1 2 2 3 2 2 3 3 2 2" xfId="16758"/>
    <cellStyle name="20% - Accent1 2 2 3 2 2 3 3 2 2 2" xfId="28559"/>
    <cellStyle name="20% - Accent1 2 2 3 2 2 3 3 2 2 2 2" xfId="50361"/>
    <cellStyle name="20% - Accent1 2 2 3 2 2 3 3 2 2 3" xfId="42174"/>
    <cellStyle name="20% - Accent1 2 2 3 2 2 3 3 2 3" xfId="10741"/>
    <cellStyle name="20% - Accent1 2 2 3 2 2 3 3 2 3 2" xfId="50362"/>
    <cellStyle name="20% - Accent1 2 2 3 2 2 3 3 2 4" xfId="22542"/>
    <cellStyle name="20% - Accent1 2 2 3 2 2 3 3 2 4 2" xfId="50363"/>
    <cellStyle name="20% - Accent1 2 2 3 2 2 3 3 2 5" xfId="36157"/>
    <cellStyle name="20% - Accent1 2 2 3 2 2 3 3 3" xfId="11659"/>
    <cellStyle name="20% - Accent1 2 2 3 2 2 3 3 3 2" xfId="23460"/>
    <cellStyle name="20% - Accent1 2 2 3 2 2 3 3 3 2 2" xfId="50364"/>
    <cellStyle name="20% - Accent1 2 2 3 2 2 3 3 3 3" xfId="37075"/>
    <cellStyle name="20% - Accent1 2 2 3 2 2 3 3 4" xfId="8900"/>
    <cellStyle name="20% - Accent1 2 2 3 2 2 3 3 4 2" xfId="50365"/>
    <cellStyle name="20% - Accent1 2 2 3 2 2 3 3 5" xfId="20701"/>
    <cellStyle name="20% - Accent1 2 2 3 2 2 3 3 5 2" xfId="50366"/>
    <cellStyle name="20% - Accent1 2 2 3 2 2 3 3 6" xfId="34316"/>
    <cellStyle name="20% - Accent1 2 2 3 2 2 3 4" xfId="4152"/>
    <cellStyle name="20% - Accent1 2 2 3 2 2 3 4 2" xfId="11660"/>
    <cellStyle name="20% - Accent1 2 2 3 2 2 3 4 2 2" xfId="23461"/>
    <cellStyle name="20% - Accent1 2 2 3 2 2 3 4 2 2 2" xfId="50367"/>
    <cellStyle name="20% - Accent1 2 2 3 2 2 3 4 2 3" xfId="37076"/>
    <cellStyle name="20% - Accent1 2 2 3 2 2 3 4 3" xfId="9605"/>
    <cellStyle name="20% - Accent1 2 2 3 2 2 3 4 3 2" xfId="43454"/>
    <cellStyle name="20% - Accent1 2 2 3 2 2 3 4 4" xfId="21406"/>
    <cellStyle name="20% - Accent1 2 2 3 2 2 3 4 4 2" xfId="50368"/>
    <cellStyle name="20% - Accent1 2 2 3 2 2 3 4 5" xfId="35021"/>
    <cellStyle name="20% - Accent1 2 2 3 2 2 3 5" xfId="2311"/>
    <cellStyle name="20% - Accent1 2 2 3 2 2 3 5 2" xfId="16968"/>
    <cellStyle name="20% - Accent1 2 2 3 2 2 3 5 2 2" xfId="28769"/>
    <cellStyle name="20% - Accent1 2 2 3 2 2 3 5 2 2 2" xfId="50369"/>
    <cellStyle name="20% - Accent1 2 2 3 2 2 3 5 2 3" xfId="42384"/>
    <cellStyle name="20% - Accent1 2 2 3 2 2 3 5 3" xfId="7764"/>
    <cellStyle name="20% - Accent1 2 2 3 2 2 3 5 3 2" xfId="50370"/>
    <cellStyle name="20% - Accent1 2 2 3 2 2 3 5 4" xfId="19565"/>
    <cellStyle name="20% - Accent1 2 2 3 2 2 3 5 4 2" xfId="50371"/>
    <cellStyle name="20% - Accent1 2 2 3 2 2 3 5 5" xfId="33180"/>
    <cellStyle name="20% - Accent1 2 2 3 2 2 3 6" xfId="11661"/>
    <cellStyle name="20% - Accent1 2 2 3 2 2 3 6 2" xfId="23462"/>
    <cellStyle name="20% - Accent1 2 2 3 2 2 3 6 2 2" xfId="50372"/>
    <cellStyle name="20% - Accent1 2 2 3 2 2 3 6 3" xfId="37077"/>
    <cellStyle name="20% - Accent1 2 2 3 2 2 3 7" xfId="5864"/>
    <cellStyle name="20% - Accent1 2 2 3 2 2 3 7 2" xfId="50373"/>
    <cellStyle name="20% - Accent1 2 2 3 2 2 3 8" xfId="17665"/>
    <cellStyle name="20% - Accent1 2 2 3 2 2 3 8 2" xfId="50374"/>
    <cellStyle name="20% - Accent1 2 2 3 2 2 3 9" xfId="31280"/>
    <cellStyle name="20% - Accent1 2 2 3 2 2 4" xfId="688"/>
    <cellStyle name="20% - Accent1 2 2 3 2 2 4 2" xfId="1077"/>
    <cellStyle name="20% - Accent1 2 2 3 2 2 4 2 2" xfId="4430"/>
    <cellStyle name="20% - Accent1 2 2 3 2 2 4 2 2 2" xfId="11662"/>
    <cellStyle name="20% - Accent1 2 2 3 2 2 4 2 2 2 2" xfId="23463"/>
    <cellStyle name="20% - Accent1 2 2 3 2 2 4 2 2 2 2 2" xfId="50375"/>
    <cellStyle name="20% - Accent1 2 2 3 2 2 4 2 2 2 3" xfId="37078"/>
    <cellStyle name="20% - Accent1 2 2 3 2 2 4 2 2 3" xfId="9883"/>
    <cellStyle name="20% - Accent1 2 2 3 2 2 4 2 2 3 2" xfId="43455"/>
    <cellStyle name="20% - Accent1 2 2 3 2 2 4 2 2 4" xfId="21684"/>
    <cellStyle name="20% - Accent1 2 2 3 2 2 4 2 2 4 2" xfId="50376"/>
    <cellStyle name="20% - Accent1 2 2 3 2 2 4 2 2 5" xfId="35299"/>
    <cellStyle name="20% - Accent1 2 2 3 2 2 4 2 3" xfId="11663"/>
    <cellStyle name="20% - Accent1 2 2 3 2 2 4 2 3 2" xfId="23464"/>
    <cellStyle name="20% - Accent1 2 2 3 2 2 4 2 3 2 2" xfId="43456"/>
    <cellStyle name="20% - Accent1 2 2 3 2 2 4 2 3 3" xfId="29294"/>
    <cellStyle name="20% - Accent1 2 2 3 2 2 4 2 3 3 2" xfId="43457"/>
    <cellStyle name="20% - Accent1 2 2 3 2 2 4 2 3 4" xfId="29295"/>
    <cellStyle name="20% - Accent1 2 2 3 2 2 4 2 3 4 2" xfId="50377"/>
    <cellStyle name="20% - Accent1 2 2 3 2 2 4 2 3 5" xfId="37079"/>
    <cellStyle name="20% - Accent1 2 2 3 2 2 4 2 4" xfId="11664"/>
    <cellStyle name="20% - Accent1 2 2 3 2 2 4 2 4 2" xfId="23465"/>
    <cellStyle name="20% - Accent1 2 2 3 2 2 4 2 4 2 2" xfId="50378"/>
    <cellStyle name="20% - Accent1 2 2 3 2 2 4 2 4 3" xfId="37080"/>
    <cellStyle name="20% - Accent1 2 2 3 2 2 4 2 5" xfId="6531"/>
    <cellStyle name="20% - Accent1 2 2 3 2 2 4 2 5 2" xfId="43458"/>
    <cellStyle name="20% - Accent1 2 2 3 2 2 4 2 6" xfId="18332"/>
    <cellStyle name="20% - Accent1 2 2 3 2 2 4 2 6 2" xfId="50379"/>
    <cellStyle name="20% - Accent1 2 2 3 2 2 4 2 7" xfId="31947"/>
    <cellStyle name="20% - Accent1 2 2 3 2 2 4 3" xfId="2589"/>
    <cellStyle name="20% - Accent1 2 2 3 2 2 4 3 2" xfId="11665"/>
    <cellStyle name="20% - Accent1 2 2 3 2 2 4 3 2 2" xfId="23466"/>
    <cellStyle name="20% - Accent1 2 2 3 2 2 4 3 2 2 2" xfId="50380"/>
    <cellStyle name="20% - Accent1 2 2 3 2 2 4 3 2 3" xfId="37081"/>
    <cellStyle name="20% - Accent1 2 2 3 2 2 4 3 3" xfId="8042"/>
    <cellStyle name="20% - Accent1 2 2 3 2 2 4 3 3 2" xfId="43459"/>
    <cellStyle name="20% - Accent1 2 2 3 2 2 4 3 4" xfId="19843"/>
    <cellStyle name="20% - Accent1 2 2 3 2 2 4 3 4 2" xfId="50381"/>
    <cellStyle name="20% - Accent1 2 2 3 2 2 4 3 5" xfId="33458"/>
    <cellStyle name="20% - Accent1 2 2 3 2 2 4 4" xfId="11666"/>
    <cellStyle name="20% - Accent1 2 2 3 2 2 4 4 2" xfId="23467"/>
    <cellStyle name="20% - Accent1 2 2 3 2 2 4 4 2 2" xfId="43460"/>
    <cellStyle name="20% - Accent1 2 2 3 2 2 4 4 3" xfId="29296"/>
    <cellStyle name="20% - Accent1 2 2 3 2 2 4 4 3 2" xfId="43461"/>
    <cellStyle name="20% - Accent1 2 2 3 2 2 4 4 4" xfId="29297"/>
    <cellStyle name="20% - Accent1 2 2 3 2 2 4 4 4 2" xfId="50382"/>
    <cellStyle name="20% - Accent1 2 2 3 2 2 4 4 5" xfId="37082"/>
    <cellStyle name="20% - Accent1 2 2 3 2 2 4 5" xfId="11667"/>
    <cellStyle name="20% - Accent1 2 2 3 2 2 4 5 2" xfId="23468"/>
    <cellStyle name="20% - Accent1 2 2 3 2 2 4 5 2 2" xfId="50383"/>
    <cellStyle name="20% - Accent1 2 2 3 2 2 4 5 3" xfId="37083"/>
    <cellStyle name="20% - Accent1 2 2 3 2 2 4 6" xfId="6142"/>
    <cellStyle name="20% - Accent1 2 2 3 2 2 4 6 2" xfId="43462"/>
    <cellStyle name="20% - Accent1 2 2 3 2 2 4 7" xfId="17943"/>
    <cellStyle name="20% - Accent1 2 2 3 2 2 4 7 2" xfId="50384"/>
    <cellStyle name="20% - Accent1 2 2 3 2 2 4 8" xfId="31558"/>
    <cellStyle name="20% - Accent1 2 2 3 2 2 5" xfId="929"/>
    <cellStyle name="20% - Accent1 2 2 3 2 2 5 2" xfId="1078"/>
    <cellStyle name="20% - Accent1 2 2 3 2 2 5 2 2" xfId="4998"/>
    <cellStyle name="20% - Accent1 2 2 3 2 2 5 2 2 2" xfId="11668"/>
    <cellStyle name="20% - Accent1 2 2 3 2 2 5 2 2 2 2" xfId="23469"/>
    <cellStyle name="20% - Accent1 2 2 3 2 2 5 2 2 2 2 2" xfId="50385"/>
    <cellStyle name="20% - Accent1 2 2 3 2 2 5 2 2 2 3" xfId="37084"/>
    <cellStyle name="20% - Accent1 2 2 3 2 2 5 2 2 3" xfId="10451"/>
    <cellStyle name="20% - Accent1 2 2 3 2 2 5 2 2 3 2" xfId="43463"/>
    <cellStyle name="20% - Accent1 2 2 3 2 2 5 2 2 4" xfId="22252"/>
    <cellStyle name="20% - Accent1 2 2 3 2 2 5 2 2 4 2" xfId="50386"/>
    <cellStyle name="20% - Accent1 2 2 3 2 2 5 2 2 5" xfId="35867"/>
    <cellStyle name="20% - Accent1 2 2 3 2 2 5 2 3" xfId="11669"/>
    <cellStyle name="20% - Accent1 2 2 3 2 2 5 2 3 2" xfId="23470"/>
    <cellStyle name="20% - Accent1 2 2 3 2 2 5 2 3 2 2" xfId="43464"/>
    <cellStyle name="20% - Accent1 2 2 3 2 2 5 2 3 3" xfId="29298"/>
    <cellStyle name="20% - Accent1 2 2 3 2 2 5 2 3 3 2" xfId="43465"/>
    <cellStyle name="20% - Accent1 2 2 3 2 2 5 2 3 4" xfId="29299"/>
    <cellStyle name="20% - Accent1 2 2 3 2 2 5 2 3 4 2" xfId="50387"/>
    <cellStyle name="20% - Accent1 2 2 3 2 2 5 2 3 5" xfId="37085"/>
    <cellStyle name="20% - Accent1 2 2 3 2 2 5 2 4" xfId="11670"/>
    <cellStyle name="20% - Accent1 2 2 3 2 2 5 2 4 2" xfId="23471"/>
    <cellStyle name="20% - Accent1 2 2 3 2 2 5 2 4 2 2" xfId="50388"/>
    <cellStyle name="20% - Accent1 2 2 3 2 2 5 2 4 3" xfId="37086"/>
    <cellStyle name="20% - Accent1 2 2 3 2 2 5 2 5" xfId="6532"/>
    <cellStyle name="20% - Accent1 2 2 3 2 2 5 2 5 2" xfId="43466"/>
    <cellStyle name="20% - Accent1 2 2 3 2 2 5 2 6" xfId="18333"/>
    <cellStyle name="20% - Accent1 2 2 3 2 2 5 2 6 2" xfId="50389"/>
    <cellStyle name="20% - Accent1 2 2 3 2 2 5 2 7" xfId="31948"/>
    <cellStyle name="20% - Accent1 2 2 3 2 2 5 3" xfId="3157"/>
    <cellStyle name="20% - Accent1 2 2 3 2 2 5 3 2" xfId="11671"/>
    <cellStyle name="20% - Accent1 2 2 3 2 2 5 3 2 2" xfId="23472"/>
    <cellStyle name="20% - Accent1 2 2 3 2 2 5 3 2 2 2" xfId="50390"/>
    <cellStyle name="20% - Accent1 2 2 3 2 2 5 3 2 3" xfId="37087"/>
    <cellStyle name="20% - Accent1 2 2 3 2 2 5 3 3" xfId="8610"/>
    <cellStyle name="20% - Accent1 2 2 3 2 2 5 3 3 2" xfId="43467"/>
    <cellStyle name="20% - Accent1 2 2 3 2 2 5 3 4" xfId="20411"/>
    <cellStyle name="20% - Accent1 2 2 3 2 2 5 3 4 2" xfId="50391"/>
    <cellStyle name="20% - Accent1 2 2 3 2 2 5 3 5" xfId="34026"/>
    <cellStyle name="20% - Accent1 2 2 3 2 2 5 4" xfId="11672"/>
    <cellStyle name="20% - Accent1 2 2 3 2 2 5 4 2" xfId="23473"/>
    <cellStyle name="20% - Accent1 2 2 3 2 2 5 4 2 2" xfId="43468"/>
    <cellStyle name="20% - Accent1 2 2 3 2 2 5 4 3" xfId="29300"/>
    <cellStyle name="20% - Accent1 2 2 3 2 2 5 4 3 2" xfId="43469"/>
    <cellStyle name="20% - Accent1 2 2 3 2 2 5 4 4" xfId="29301"/>
    <cellStyle name="20% - Accent1 2 2 3 2 2 5 4 4 2" xfId="50392"/>
    <cellStyle name="20% - Accent1 2 2 3 2 2 5 4 5" xfId="37088"/>
    <cellStyle name="20% - Accent1 2 2 3 2 2 5 5" xfId="11673"/>
    <cellStyle name="20% - Accent1 2 2 3 2 2 5 5 2" xfId="23474"/>
    <cellStyle name="20% - Accent1 2 2 3 2 2 5 5 2 2" xfId="50393"/>
    <cellStyle name="20% - Accent1 2 2 3 2 2 5 5 3" xfId="37089"/>
    <cellStyle name="20% - Accent1 2 2 3 2 2 5 6" xfId="6383"/>
    <cellStyle name="20% - Accent1 2 2 3 2 2 5 6 2" xfId="43470"/>
    <cellStyle name="20% - Accent1 2 2 3 2 2 5 7" xfId="18184"/>
    <cellStyle name="20% - Accent1 2 2 3 2 2 5 7 2" xfId="50394"/>
    <cellStyle name="20% - Accent1 2 2 3 2 2 5 8" xfId="31799"/>
    <cellStyle name="20% - Accent1 2 2 3 2 2 6" xfId="1079"/>
    <cellStyle name="20% - Accent1 2 2 3 2 2 6 2" xfId="3862"/>
    <cellStyle name="20% - Accent1 2 2 3 2 2 6 2 2" xfId="11674"/>
    <cellStyle name="20% - Accent1 2 2 3 2 2 6 2 2 2" xfId="23475"/>
    <cellStyle name="20% - Accent1 2 2 3 2 2 6 2 2 2 2" xfId="50395"/>
    <cellStyle name="20% - Accent1 2 2 3 2 2 6 2 2 3" xfId="37090"/>
    <cellStyle name="20% - Accent1 2 2 3 2 2 6 2 3" xfId="9315"/>
    <cellStyle name="20% - Accent1 2 2 3 2 2 6 2 3 2" xfId="43471"/>
    <cellStyle name="20% - Accent1 2 2 3 2 2 6 2 4" xfId="21116"/>
    <cellStyle name="20% - Accent1 2 2 3 2 2 6 2 4 2" xfId="50396"/>
    <cellStyle name="20% - Accent1 2 2 3 2 2 6 2 5" xfId="34731"/>
    <cellStyle name="20% - Accent1 2 2 3 2 2 6 3" xfId="11675"/>
    <cellStyle name="20% - Accent1 2 2 3 2 2 6 3 2" xfId="23476"/>
    <cellStyle name="20% - Accent1 2 2 3 2 2 6 3 2 2" xfId="43472"/>
    <cellStyle name="20% - Accent1 2 2 3 2 2 6 3 3" xfId="29302"/>
    <cellStyle name="20% - Accent1 2 2 3 2 2 6 3 3 2" xfId="43473"/>
    <cellStyle name="20% - Accent1 2 2 3 2 2 6 3 4" xfId="29303"/>
    <cellStyle name="20% - Accent1 2 2 3 2 2 6 3 4 2" xfId="50397"/>
    <cellStyle name="20% - Accent1 2 2 3 2 2 6 3 5" xfId="37091"/>
    <cellStyle name="20% - Accent1 2 2 3 2 2 6 4" xfId="11676"/>
    <cellStyle name="20% - Accent1 2 2 3 2 2 6 4 2" xfId="23477"/>
    <cellStyle name="20% - Accent1 2 2 3 2 2 6 4 2 2" xfId="50398"/>
    <cellStyle name="20% - Accent1 2 2 3 2 2 6 4 3" xfId="37092"/>
    <cellStyle name="20% - Accent1 2 2 3 2 2 6 5" xfId="6533"/>
    <cellStyle name="20% - Accent1 2 2 3 2 2 6 5 2" xfId="43474"/>
    <cellStyle name="20% - Accent1 2 2 3 2 2 6 6" xfId="18334"/>
    <cellStyle name="20% - Accent1 2 2 3 2 2 6 6 2" xfId="50399"/>
    <cellStyle name="20% - Accent1 2 2 3 2 2 6 7" xfId="31949"/>
    <cellStyle name="20% - Accent1 2 2 3 2 2 7" xfId="3725"/>
    <cellStyle name="20% - Accent1 2 2 3 2 2 7 2" xfId="11677"/>
    <cellStyle name="20% - Accent1 2 2 3 2 2 7 2 2" xfId="23478"/>
    <cellStyle name="20% - Accent1 2 2 3 2 2 7 2 2 2" xfId="50400"/>
    <cellStyle name="20% - Accent1 2 2 3 2 2 7 2 3" xfId="37093"/>
    <cellStyle name="20% - Accent1 2 2 3 2 2 7 3" xfId="9178"/>
    <cellStyle name="20% - Accent1 2 2 3 2 2 7 3 2" xfId="43475"/>
    <cellStyle name="20% - Accent1 2 2 3 2 2 7 4" xfId="20979"/>
    <cellStyle name="20% - Accent1 2 2 3 2 2 7 4 2" xfId="50401"/>
    <cellStyle name="20% - Accent1 2 2 3 2 2 7 5" xfId="34594"/>
    <cellStyle name="20% - Accent1 2 2 3 2 2 8" xfId="2021"/>
    <cellStyle name="20% - Accent1 2 2 3 2 2 8 2" xfId="11678"/>
    <cellStyle name="20% - Accent1 2 2 3 2 2 8 2 2" xfId="23479"/>
    <cellStyle name="20% - Accent1 2 2 3 2 2 8 2 2 2" xfId="50402"/>
    <cellStyle name="20% - Accent1 2 2 3 2 2 8 2 3" xfId="37094"/>
    <cellStyle name="20% - Accent1 2 2 3 2 2 8 3" xfId="7474"/>
    <cellStyle name="20% - Accent1 2 2 3 2 2 8 3 2" xfId="43476"/>
    <cellStyle name="20% - Accent1 2 2 3 2 2 8 4" xfId="19275"/>
    <cellStyle name="20% - Accent1 2 2 3 2 2 8 4 2" xfId="50403"/>
    <cellStyle name="20% - Accent1 2 2 3 2 2 8 5" xfId="32890"/>
    <cellStyle name="20% - Accent1 2 2 3 2 2 9" xfId="11679"/>
    <cellStyle name="20% - Accent1 2 2 3 2 2 9 2" xfId="23480"/>
    <cellStyle name="20% - Accent1 2 2 3 2 2 9 2 2" xfId="50404"/>
    <cellStyle name="20% - Accent1 2 2 3 2 2 9 3" xfId="37095"/>
    <cellStyle name="20% - Accent1 2 2 3 2 3" xfId="138"/>
    <cellStyle name="20% - Accent1 2 2 3 2 3 10" xfId="5592"/>
    <cellStyle name="20% - Accent1 2 2 3 2 3 10 2" xfId="43477"/>
    <cellStyle name="20% - Accent1 2 2 3 2 3 11" xfId="17393"/>
    <cellStyle name="20% - Accent1 2 2 3 2 3 11 2" xfId="50405"/>
    <cellStyle name="20% - Accent1 2 2 3 2 3 12" xfId="31008"/>
    <cellStyle name="20% - Accent1 2 2 3 2 3 2" xfId="565"/>
    <cellStyle name="20% - Accent1 2 2 3 2 3 2 2" xfId="1080"/>
    <cellStyle name="20% - Accent1 2 2 3 2 3 2 2 2" xfId="4875"/>
    <cellStyle name="20% - Accent1 2 2 3 2 3 2 2 2 2" xfId="11680"/>
    <cellStyle name="20% - Accent1 2 2 3 2 3 2 2 2 2 2" xfId="23481"/>
    <cellStyle name="20% - Accent1 2 2 3 2 3 2 2 2 2 2 2" xfId="50406"/>
    <cellStyle name="20% - Accent1 2 2 3 2 3 2 2 2 2 3" xfId="37096"/>
    <cellStyle name="20% - Accent1 2 2 3 2 3 2 2 2 3" xfId="10328"/>
    <cellStyle name="20% - Accent1 2 2 3 2 3 2 2 2 3 2" xfId="43478"/>
    <cellStyle name="20% - Accent1 2 2 3 2 3 2 2 2 4" xfId="22129"/>
    <cellStyle name="20% - Accent1 2 2 3 2 3 2 2 2 4 2" xfId="50407"/>
    <cellStyle name="20% - Accent1 2 2 3 2 3 2 2 2 5" xfId="35744"/>
    <cellStyle name="20% - Accent1 2 2 3 2 3 2 2 3" xfId="3034"/>
    <cellStyle name="20% - Accent1 2 2 3 2 3 2 2 3 2" xfId="11681"/>
    <cellStyle name="20% - Accent1 2 2 3 2 3 2 2 3 2 2" xfId="23482"/>
    <cellStyle name="20% - Accent1 2 2 3 2 3 2 2 3 2 2 2" xfId="50408"/>
    <cellStyle name="20% - Accent1 2 2 3 2 3 2 2 3 2 3" xfId="37097"/>
    <cellStyle name="20% - Accent1 2 2 3 2 3 2 2 3 3" xfId="8487"/>
    <cellStyle name="20% - Accent1 2 2 3 2 3 2 2 3 3 2" xfId="43479"/>
    <cellStyle name="20% - Accent1 2 2 3 2 3 2 2 3 4" xfId="20288"/>
    <cellStyle name="20% - Accent1 2 2 3 2 3 2 2 3 4 2" xfId="50409"/>
    <cellStyle name="20% - Accent1 2 2 3 2 3 2 2 3 5" xfId="33903"/>
    <cellStyle name="20% - Accent1 2 2 3 2 3 2 2 4" xfId="11682"/>
    <cellStyle name="20% - Accent1 2 2 3 2 3 2 2 4 2" xfId="23483"/>
    <cellStyle name="20% - Accent1 2 2 3 2 3 2 2 4 2 2" xfId="50410"/>
    <cellStyle name="20% - Accent1 2 2 3 2 3 2 2 4 3" xfId="37098"/>
    <cellStyle name="20% - Accent1 2 2 3 2 3 2 2 5" xfId="6534"/>
    <cellStyle name="20% - Accent1 2 2 3 2 3 2 2 5 2" xfId="43480"/>
    <cellStyle name="20% - Accent1 2 2 3 2 3 2 2 6" xfId="18335"/>
    <cellStyle name="20% - Accent1 2 2 3 2 3 2 2 6 2" xfId="50411"/>
    <cellStyle name="20% - Accent1 2 2 3 2 3 2 2 7" xfId="31950"/>
    <cellStyle name="20% - Accent1 2 2 3 2 3 2 3" xfId="3602"/>
    <cellStyle name="20% - Accent1 2 2 3 2 3 2 3 2" xfId="5443"/>
    <cellStyle name="20% - Accent1 2 2 3 2 3 2 3 2 2" xfId="16913"/>
    <cellStyle name="20% - Accent1 2 2 3 2 3 2 3 2 2 2" xfId="28714"/>
    <cellStyle name="20% - Accent1 2 2 3 2 3 2 3 2 2 2 2" xfId="50412"/>
    <cellStyle name="20% - Accent1 2 2 3 2 3 2 3 2 2 3" xfId="42329"/>
    <cellStyle name="20% - Accent1 2 2 3 2 3 2 3 2 3" xfId="10896"/>
    <cellStyle name="20% - Accent1 2 2 3 2 3 2 3 2 3 2" xfId="50413"/>
    <cellStyle name="20% - Accent1 2 2 3 2 3 2 3 2 4" xfId="22697"/>
    <cellStyle name="20% - Accent1 2 2 3 2 3 2 3 2 4 2" xfId="50414"/>
    <cellStyle name="20% - Accent1 2 2 3 2 3 2 3 2 5" xfId="36312"/>
    <cellStyle name="20% - Accent1 2 2 3 2 3 2 3 3" xfId="11683"/>
    <cellStyle name="20% - Accent1 2 2 3 2 3 2 3 3 2" xfId="23484"/>
    <cellStyle name="20% - Accent1 2 2 3 2 3 2 3 3 2 2" xfId="50415"/>
    <cellStyle name="20% - Accent1 2 2 3 2 3 2 3 3 3" xfId="37099"/>
    <cellStyle name="20% - Accent1 2 2 3 2 3 2 3 4" xfId="9055"/>
    <cellStyle name="20% - Accent1 2 2 3 2 3 2 3 4 2" xfId="50416"/>
    <cellStyle name="20% - Accent1 2 2 3 2 3 2 3 5" xfId="20856"/>
    <cellStyle name="20% - Accent1 2 2 3 2 3 2 3 5 2" xfId="50417"/>
    <cellStyle name="20% - Accent1 2 2 3 2 3 2 3 6" xfId="34471"/>
    <cellStyle name="20% - Accent1 2 2 3 2 3 2 4" xfId="4307"/>
    <cellStyle name="20% - Accent1 2 2 3 2 3 2 4 2" xfId="11684"/>
    <cellStyle name="20% - Accent1 2 2 3 2 3 2 4 2 2" xfId="23485"/>
    <cellStyle name="20% - Accent1 2 2 3 2 3 2 4 2 2 2" xfId="50418"/>
    <cellStyle name="20% - Accent1 2 2 3 2 3 2 4 2 3" xfId="37100"/>
    <cellStyle name="20% - Accent1 2 2 3 2 3 2 4 3" xfId="9760"/>
    <cellStyle name="20% - Accent1 2 2 3 2 3 2 4 3 2" xfId="43481"/>
    <cellStyle name="20% - Accent1 2 2 3 2 3 2 4 4" xfId="21561"/>
    <cellStyle name="20% - Accent1 2 2 3 2 3 2 4 4 2" xfId="50419"/>
    <cellStyle name="20% - Accent1 2 2 3 2 3 2 4 5" xfId="35176"/>
    <cellStyle name="20% - Accent1 2 2 3 2 3 2 5" xfId="2466"/>
    <cellStyle name="20% - Accent1 2 2 3 2 3 2 5 2" xfId="16969"/>
    <cellStyle name="20% - Accent1 2 2 3 2 3 2 5 2 2" xfId="28770"/>
    <cellStyle name="20% - Accent1 2 2 3 2 3 2 5 2 2 2" xfId="50420"/>
    <cellStyle name="20% - Accent1 2 2 3 2 3 2 5 2 3" xfId="42385"/>
    <cellStyle name="20% - Accent1 2 2 3 2 3 2 5 3" xfId="7919"/>
    <cellStyle name="20% - Accent1 2 2 3 2 3 2 5 3 2" xfId="50421"/>
    <cellStyle name="20% - Accent1 2 2 3 2 3 2 5 4" xfId="19720"/>
    <cellStyle name="20% - Accent1 2 2 3 2 3 2 5 4 2" xfId="50422"/>
    <cellStyle name="20% - Accent1 2 2 3 2 3 2 5 5" xfId="33335"/>
    <cellStyle name="20% - Accent1 2 2 3 2 3 2 6" xfId="11685"/>
    <cellStyle name="20% - Accent1 2 2 3 2 3 2 6 2" xfId="23486"/>
    <cellStyle name="20% - Accent1 2 2 3 2 3 2 6 2 2" xfId="50423"/>
    <cellStyle name="20% - Accent1 2 2 3 2 3 2 6 3" xfId="37101"/>
    <cellStyle name="20% - Accent1 2 2 3 2 3 2 7" xfId="6019"/>
    <cellStyle name="20% - Accent1 2 2 3 2 3 2 7 2" xfId="50424"/>
    <cellStyle name="20% - Accent1 2 2 3 2 3 2 8" xfId="17820"/>
    <cellStyle name="20% - Accent1 2 2 3 2 3 2 8 2" xfId="50425"/>
    <cellStyle name="20% - Accent1 2 2 3 2 3 2 9" xfId="31435"/>
    <cellStyle name="20% - Accent1 2 2 3 2 3 3" xfId="428"/>
    <cellStyle name="20% - Accent1 2 2 3 2 3 3 2" xfId="1081"/>
    <cellStyle name="20% - Accent1 2 2 3 2 3 3 2 2" xfId="4738"/>
    <cellStyle name="20% - Accent1 2 2 3 2 3 3 2 2 2" xfId="11686"/>
    <cellStyle name="20% - Accent1 2 2 3 2 3 3 2 2 2 2" xfId="23487"/>
    <cellStyle name="20% - Accent1 2 2 3 2 3 3 2 2 2 2 2" xfId="50426"/>
    <cellStyle name="20% - Accent1 2 2 3 2 3 3 2 2 2 3" xfId="37102"/>
    <cellStyle name="20% - Accent1 2 2 3 2 3 3 2 2 3" xfId="10191"/>
    <cellStyle name="20% - Accent1 2 2 3 2 3 3 2 2 3 2" xfId="43482"/>
    <cellStyle name="20% - Accent1 2 2 3 2 3 3 2 2 4" xfId="21992"/>
    <cellStyle name="20% - Accent1 2 2 3 2 3 3 2 2 4 2" xfId="50427"/>
    <cellStyle name="20% - Accent1 2 2 3 2 3 3 2 2 5" xfId="35607"/>
    <cellStyle name="20% - Accent1 2 2 3 2 3 3 2 3" xfId="2897"/>
    <cellStyle name="20% - Accent1 2 2 3 2 3 3 2 3 2" xfId="11687"/>
    <cellStyle name="20% - Accent1 2 2 3 2 3 3 2 3 2 2" xfId="23488"/>
    <cellStyle name="20% - Accent1 2 2 3 2 3 3 2 3 2 2 2" xfId="50428"/>
    <cellStyle name="20% - Accent1 2 2 3 2 3 3 2 3 2 3" xfId="37103"/>
    <cellStyle name="20% - Accent1 2 2 3 2 3 3 2 3 3" xfId="8350"/>
    <cellStyle name="20% - Accent1 2 2 3 2 3 3 2 3 3 2" xfId="43483"/>
    <cellStyle name="20% - Accent1 2 2 3 2 3 3 2 3 4" xfId="20151"/>
    <cellStyle name="20% - Accent1 2 2 3 2 3 3 2 3 4 2" xfId="50429"/>
    <cellStyle name="20% - Accent1 2 2 3 2 3 3 2 3 5" xfId="33766"/>
    <cellStyle name="20% - Accent1 2 2 3 2 3 3 2 4" xfId="11688"/>
    <cellStyle name="20% - Accent1 2 2 3 2 3 3 2 4 2" xfId="23489"/>
    <cellStyle name="20% - Accent1 2 2 3 2 3 3 2 4 2 2" xfId="50430"/>
    <cellStyle name="20% - Accent1 2 2 3 2 3 3 2 4 3" xfId="37104"/>
    <cellStyle name="20% - Accent1 2 2 3 2 3 3 2 5" xfId="6535"/>
    <cellStyle name="20% - Accent1 2 2 3 2 3 3 2 5 2" xfId="43484"/>
    <cellStyle name="20% - Accent1 2 2 3 2 3 3 2 6" xfId="18336"/>
    <cellStyle name="20% - Accent1 2 2 3 2 3 3 2 6 2" xfId="50431"/>
    <cellStyle name="20% - Accent1 2 2 3 2 3 3 2 7" xfId="31951"/>
    <cellStyle name="20% - Accent1 2 2 3 2 3 3 3" xfId="3465"/>
    <cellStyle name="20% - Accent1 2 2 3 2 3 3 3 2" xfId="5306"/>
    <cellStyle name="20% - Accent1 2 2 3 2 3 3 3 2 2" xfId="16776"/>
    <cellStyle name="20% - Accent1 2 2 3 2 3 3 3 2 2 2" xfId="28577"/>
    <cellStyle name="20% - Accent1 2 2 3 2 3 3 3 2 2 2 2" xfId="50432"/>
    <cellStyle name="20% - Accent1 2 2 3 2 3 3 3 2 2 3" xfId="42192"/>
    <cellStyle name="20% - Accent1 2 2 3 2 3 3 3 2 3" xfId="10759"/>
    <cellStyle name="20% - Accent1 2 2 3 2 3 3 3 2 3 2" xfId="50433"/>
    <cellStyle name="20% - Accent1 2 2 3 2 3 3 3 2 4" xfId="22560"/>
    <cellStyle name="20% - Accent1 2 2 3 2 3 3 3 2 4 2" xfId="50434"/>
    <cellStyle name="20% - Accent1 2 2 3 2 3 3 3 2 5" xfId="36175"/>
    <cellStyle name="20% - Accent1 2 2 3 2 3 3 3 3" xfId="11689"/>
    <cellStyle name="20% - Accent1 2 2 3 2 3 3 3 3 2" xfId="23490"/>
    <cellStyle name="20% - Accent1 2 2 3 2 3 3 3 3 2 2" xfId="50435"/>
    <cellStyle name="20% - Accent1 2 2 3 2 3 3 3 3 3" xfId="37105"/>
    <cellStyle name="20% - Accent1 2 2 3 2 3 3 3 4" xfId="8918"/>
    <cellStyle name="20% - Accent1 2 2 3 2 3 3 3 4 2" xfId="50436"/>
    <cellStyle name="20% - Accent1 2 2 3 2 3 3 3 5" xfId="20719"/>
    <cellStyle name="20% - Accent1 2 2 3 2 3 3 3 5 2" xfId="50437"/>
    <cellStyle name="20% - Accent1 2 2 3 2 3 3 3 6" xfId="34334"/>
    <cellStyle name="20% - Accent1 2 2 3 2 3 3 4" xfId="4170"/>
    <cellStyle name="20% - Accent1 2 2 3 2 3 3 4 2" xfId="11690"/>
    <cellStyle name="20% - Accent1 2 2 3 2 3 3 4 2 2" xfId="23491"/>
    <cellStyle name="20% - Accent1 2 2 3 2 3 3 4 2 2 2" xfId="50438"/>
    <cellStyle name="20% - Accent1 2 2 3 2 3 3 4 2 3" xfId="37106"/>
    <cellStyle name="20% - Accent1 2 2 3 2 3 3 4 3" xfId="9623"/>
    <cellStyle name="20% - Accent1 2 2 3 2 3 3 4 3 2" xfId="43485"/>
    <cellStyle name="20% - Accent1 2 2 3 2 3 3 4 4" xfId="21424"/>
    <cellStyle name="20% - Accent1 2 2 3 2 3 3 4 4 2" xfId="50439"/>
    <cellStyle name="20% - Accent1 2 2 3 2 3 3 4 5" xfId="35039"/>
    <cellStyle name="20% - Accent1 2 2 3 2 3 3 5" xfId="2329"/>
    <cellStyle name="20% - Accent1 2 2 3 2 3 3 5 2" xfId="16970"/>
    <cellStyle name="20% - Accent1 2 2 3 2 3 3 5 2 2" xfId="28771"/>
    <cellStyle name="20% - Accent1 2 2 3 2 3 3 5 2 2 2" xfId="50440"/>
    <cellStyle name="20% - Accent1 2 2 3 2 3 3 5 2 3" xfId="42386"/>
    <cellStyle name="20% - Accent1 2 2 3 2 3 3 5 3" xfId="7782"/>
    <cellStyle name="20% - Accent1 2 2 3 2 3 3 5 3 2" xfId="50441"/>
    <cellStyle name="20% - Accent1 2 2 3 2 3 3 5 4" xfId="19583"/>
    <cellStyle name="20% - Accent1 2 2 3 2 3 3 5 4 2" xfId="50442"/>
    <cellStyle name="20% - Accent1 2 2 3 2 3 3 5 5" xfId="33198"/>
    <cellStyle name="20% - Accent1 2 2 3 2 3 3 6" xfId="11691"/>
    <cellStyle name="20% - Accent1 2 2 3 2 3 3 6 2" xfId="23492"/>
    <cellStyle name="20% - Accent1 2 2 3 2 3 3 6 2 2" xfId="50443"/>
    <cellStyle name="20% - Accent1 2 2 3 2 3 3 6 3" xfId="37107"/>
    <cellStyle name="20% - Accent1 2 2 3 2 3 3 7" xfId="5882"/>
    <cellStyle name="20% - Accent1 2 2 3 2 3 3 7 2" xfId="50444"/>
    <cellStyle name="20% - Accent1 2 2 3 2 3 3 8" xfId="17683"/>
    <cellStyle name="20% - Accent1 2 2 3 2 3 3 8 2" xfId="50445"/>
    <cellStyle name="20% - Accent1 2 2 3 2 3 3 9" xfId="31298"/>
    <cellStyle name="20% - Accent1 2 2 3 2 3 4" xfId="706"/>
    <cellStyle name="20% - Accent1 2 2 3 2 3 4 2" xfId="1082"/>
    <cellStyle name="20% - Accent1 2 2 3 2 3 4 2 2" xfId="4448"/>
    <cellStyle name="20% - Accent1 2 2 3 2 3 4 2 2 2" xfId="11692"/>
    <cellStyle name="20% - Accent1 2 2 3 2 3 4 2 2 2 2" xfId="23493"/>
    <cellStyle name="20% - Accent1 2 2 3 2 3 4 2 2 2 2 2" xfId="50446"/>
    <cellStyle name="20% - Accent1 2 2 3 2 3 4 2 2 2 3" xfId="37108"/>
    <cellStyle name="20% - Accent1 2 2 3 2 3 4 2 2 3" xfId="9901"/>
    <cellStyle name="20% - Accent1 2 2 3 2 3 4 2 2 3 2" xfId="43486"/>
    <cellStyle name="20% - Accent1 2 2 3 2 3 4 2 2 4" xfId="21702"/>
    <cellStyle name="20% - Accent1 2 2 3 2 3 4 2 2 4 2" xfId="50447"/>
    <cellStyle name="20% - Accent1 2 2 3 2 3 4 2 2 5" xfId="35317"/>
    <cellStyle name="20% - Accent1 2 2 3 2 3 4 2 3" xfId="11693"/>
    <cellStyle name="20% - Accent1 2 2 3 2 3 4 2 3 2" xfId="23494"/>
    <cellStyle name="20% - Accent1 2 2 3 2 3 4 2 3 2 2" xfId="43487"/>
    <cellStyle name="20% - Accent1 2 2 3 2 3 4 2 3 3" xfId="29304"/>
    <cellStyle name="20% - Accent1 2 2 3 2 3 4 2 3 3 2" xfId="43488"/>
    <cellStyle name="20% - Accent1 2 2 3 2 3 4 2 3 4" xfId="29305"/>
    <cellStyle name="20% - Accent1 2 2 3 2 3 4 2 3 4 2" xfId="50448"/>
    <cellStyle name="20% - Accent1 2 2 3 2 3 4 2 3 5" xfId="37109"/>
    <cellStyle name="20% - Accent1 2 2 3 2 3 4 2 4" xfId="11694"/>
    <cellStyle name="20% - Accent1 2 2 3 2 3 4 2 4 2" xfId="23495"/>
    <cellStyle name="20% - Accent1 2 2 3 2 3 4 2 4 2 2" xfId="50449"/>
    <cellStyle name="20% - Accent1 2 2 3 2 3 4 2 4 3" xfId="37110"/>
    <cellStyle name="20% - Accent1 2 2 3 2 3 4 2 5" xfId="6536"/>
    <cellStyle name="20% - Accent1 2 2 3 2 3 4 2 5 2" xfId="43489"/>
    <cellStyle name="20% - Accent1 2 2 3 2 3 4 2 6" xfId="18337"/>
    <cellStyle name="20% - Accent1 2 2 3 2 3 4 2 6 2" xfId="50450"/>
    <cellStyle name="20% - Accent1 2 2 3 2 3 4 2 7" xfId="31952"/>
    <cellStyle name="20% - Accent1 2 2 3 2 3 4 3" xfId="2607"/>
    <cellStyle name="20% - Accent1 2 2 3 2 3 4 3 2" xfId="11695"/>
    <cellStyle name="20% - Accent1 2 2 3 2 3 4 3 2 2" xfId="23496"/>
    <cellStyle name="20% - Accent1 2 2 3 2 3 4 3 2 2 2" xfId="50451"/>
    <cellStyle name="20% - Accent1 2 2 3 2 3 4 3 2 3" xfId="37111"/>
    <cellStyle name="20% - Accent1 2 2 3 2 3 4 3 3" xfId="8060"/>
    <cellStyle name="20% - Accent1 2 2 3 2 3 4 3 3 2" xfId="43490"/>
    <cellStyle name="20% - Accent1 2 2 3 2 3 4 3 4" xfId="19861"/>
    <cellStyle name="20% - Accent1 2 2 3 2 3 4 3 4 2" xfId="50452"/>
    <cellStyle name="20% - Accent1 2 2 3 2 3 4 3 5" xfId="33476"/>
    <cellStyle name="20% - Accent1 2 2 3 2 3 4 4" xfId="11696"/>
    <cellStyle name="20% - Accent1 2 2 3 2 3 4 4 2" xfId="23497"/>
    <cellStyle name="20% - Accent1 2 2 3 2 3 4 4 2 2" xfId="43491"/>
    <cellStyle name="20% - Accent1 2 2 3 2 3 4 4 3" xfId="29306"/>
    <cellStyle name="20% - Accent1 2 2 3 2 3 4 4 3 2" xfId="43492"/>
    <cellStyle name="20% - Accent1 2 2 3 2 3 4 4 4" xfId="29307"/>
    <cellStyle name="20% - Accent1 2 2 3 2 3 4 4 4 2" xfId="50453"/>
    <cellStyle name="20% - Accent1 2 2 3 2 3 4 4 5" xfId="37112"/>
    <cellStyle name="20% - Accent1 2 2 3 2 3 4 5" xfId="11697"/>
    <cellStyle name="20% - Accent1 2 2 3 2 3 4 5 2" xfId="23498"/>
    <cellStyle name="20% - Accent1 2 2 3 2 3 4 5 2 2" xfId="50454"/>
    <cellStyle name="20% - Accent1 2 2 3 2 3 4 5 3" xfId="37113"/>
    <cellStyle name="20% - Accent1 2 2 3 2 3 4 6" xfId="6160"/>
    <cellStyle name="20% - Accent1 2 2 3 2 3 4 6 2" xfId="43493"/>
    <cellStyle name="20% - Accent1 2 2 3 2 3 4 7" xfId="17961"/>
    <cellStyle name="20% - Accent1 2 2 3 2 3 4 7 2" xfId="50455"/>
    <cellStyle name="20% - Accent1 2 2 3 2 3 4 8" xfId="31576"/>
    <cellStyle name="20% - Accent1 2 2 3 2 3 5" xfId="947"/>
    <cellStyle name="20% - Accent1 2 2 3 2 3 5 2" xfId="1083"/>
    <cellStyle name="20% - Accent1 2 2 3 2 3 5 2 2" xfId="5016"/>
    <cellStyle name="20% - Accent1 2 2 3 2 3 5 2 2 2" xfId="11698"/>
    <cellStyle name="20% - Accent1 2 2 3 2 3 5 2 2 2 2" xfId="23499"/>
    <cellStyle name="20% - Accent1 2 2 3 2 3 5 2 2 2 2 2" xfId="50456"/>
    <cellStyle name="20% - Accent1 2 2 3 2 3 5 2 2 2 3" xfId="37114"/>
    <cellStyle name="20% - Accent1 2 2 3 2 3 5 2 2 3" xfId="10469"/>
    <cellStyle name="20% - Accent1 2 2 3 2 3 5 2 2 3 2" xfId="43494"/>
    <cellStyle name="20% - Accent1 2 2 3 2 3 5 2 2 4" xfId="22270"/>
    <cellStyle name="20% - Accent1 2 2 3 2 3 5 2 2 4 2" xfId="50457"/>
    <cellStyle name="20% - Accent1 2 2 3 2 3 5 2 2 5" xfId="35885"/>
    <cellStyle name="20% - Accent1 2 2 3 2 3 5 2 3" xfId="11699"/>
    <cellStyle name="20% - Accent1 2 2 3 2 3 5 2 3 2" xfId="23500"/>
    <cellStyle name="20% - Accent1 2 2 3 2 3 5 2 3 2 2" xfId="43495"/>
    <cellStyle name="20% - Accent1 2 2 3 2 3 5 2 3 3" xfId="29308"/>
    <cellStyle name="20% - Accent1 2 2 3 2 3 5 2 3 3 2" xfId="43496"/>
    <cellStyle name="20% - Accent1 2 2 3 2 3 5 2 3 4" xfId="29309"/>
    <cellStyle name="20% - Accent1 2 2 3 2 3 5 2 3 4 2" xfId="50458"/>
    <cellStyle name="20% - Accent1 2 2 3 2 3 5 2 3 5" xfId="37115"/>
    <cellStyle name="20% - Accent1 2 2 3 2 3 5 2 4" xfId="11700"/>
    <cellStyle name="20% - Accent1 2 2 3 2 3 5 2 4 2" xfId="23501"/>
    <cellStyle name="20% - Accent1 2 2 3 2 3 5 2 4 2 2" xfId="50459"/>
    <cellStyle name="20% - Accent1 2 2 3 2 3 5 2 4 3" xfId="37116"/>
    <cellStyle name="20% - Accent1 2 2 3 2 3 5 2 5" xfId="6537"/>
    <cellStyle name="20% - Accent1 2 2 3 2 3 5 2 5 2" xfId="43497"/>
    <cellStyle name="20% - Accent1 2 2 3 2 3 5 2 6" xfId="18338"/>
    <cellStyle name="20% - Accent1 2 2 3 2 3 5 2 6 2" xfId="50460"/>
    <cellStyle name="20% - Accent1 2 2 3 2 3 5 2 7" xfId="31953"/>
    <cellStyle name="20% - Accent1 2 2 3 2 3 5 3" xfId="3175"/>
    <cellStyle name="20% - Accent1 2 2 3 2 3 5 3 2" xfId="11701"/>
    <cellStyle name="20% - Accent1 2 2 3 2 3 5 3 2 2" xfId="23502"/>
    <cellStyle name="20% - Accent1 2 2 3 2 3 5 3 2 2 2" xfId="50461"/>
    <cellStyle name="20% - Accent1 2 2 3 2 3 5 3 2 3" xfId="37117"/>
    <cellStyle name="20% - Accent1 2 2 3 2 3 5 3 3" xfId="8628"/>
    <cellStyle name="20% - Accent1 2 2 3 2 3 5 3 3 2" xfId="43498"/>
    <cellStyle name="20% - Accent1 2 2 3 2 3 5 3 4" xfId="20429"/>
    <cellStyle name="20% - Accent1 2 2 3 2 3 5 3 4 2" xfId="50462"/>
    <cellStyle name="20% - Accent1 2 2 3 2 3 5 3 5" xfId="34044"/>
    <cellStyle name="20% - Accent1 2 2 3 2 3 5 4" xfId="11702"/>
    <cellStyle name="20% - Accent1 2 2 3 2 3 5 4 2" xfId="23503"/>
    <cellStyle name="20% - Accent1 2 2 3 2 3 5 4 2 2" xfId="43499"/>
    <cellStyle name="20% - Accent1 2 2 3 2 3 5 4 3" xfId="29310"/>
    <cellStyle name="20% - Accent1 2 2 3 2 3 5 4 3 2" xfId="43500"/>
    <cellStyle name="20% - Accent1 2 2 3 2 3 5 4 4" xfId="29311"/>
    <cellStyle name="20% - Accent1 2 2 3 2 3 5 4 4 2" xfId="50463"/>
    <cellStyle name="20% - Accent1 2 2 3 2 3 5 4 5" xfId="37118"/>
    <cellStyle name="20% - Accent1 2 2 3 2 3 5 5" xfId="11703"/>
    <cellStyle name="20% - Accent1 2 2 3 2 3 5 5 2" xfId="23504"/>
    <cellStyle name="20% - Accent1 2 2 3 2 3 5 5 2 2" xfId="50464"/>
    <cellStyle name="20% - Accent1 2 2 3 2 3 5 5 3" xfId="37119"/>
    <cellStyle name="20% - Accent1 2 2 3 2 3 5 6" xfId="6401"/>
    <cellStyle name="20% - Accent1 2 2 3 2 3 5 6 2" xfId="43501"/>
    <cellStyle name="20% - Accent1 2 2 3 2 3 5 7" xfId="18202"/>
    <cellStyle name="20% - Accent1 2 2 3 2 3 5 7 2" xfId="50465"/>
    <cellStyle name="20% - Accent1 2 2 3 2 3 5 8" xfId="31817"/>
    <cellStyle name="20% - Accent1 2 2 3 2 3 6" xfId="1084"/>
    <cellStyle name="20% - Accent1 2 2 3 2 3 6 2" xfId="3880"/>
    <cellStyle name="20% - Accent1 2 2 3 2 3 6 2 2" xfId="11704"/>
    <cellStyle name="20% - Accent1 2 2 3 2 3 6 2 2 2" xfId="23505"/>
    <cellStyle name="20% - Accent1 2 2 3 2 3 6 2 2 2 2" xfId="50466"/>
    <cellStyle name="20% - Accent1 2 2 3 2 3 6 2 2 3" xfId="37120"/>
    <cellStyle name="20% - Accent1 2 2 3 2 3 6 2 3" xfId="9333"/>
    <cellStyle name="20% - Accent1 2 2 3 2 3 6 2 3 2" xfId="43502"/>
    <cellStyle name="20% - Accent1 2 2 3 2 3 6 2 4" xfId="21134"/>
    <cellStyle name="20% - Accent1 2 2 3 2 3 6 2 4 2" xfId="50467"/>
    <cellStyle name="20% - Accent1 2 2 3 2 3 6 2 5" xfId="34749"/>
    <cellStyle name="20% - Accent1 2 2 3 2 3 6 3" xfId="11705"/>
    <cellStyle name="20% - Accent1 2 2 3 2 3 6 3 2" xfId="23506"/>
    <cellStyle name="20% - Accent1 2 2 3 2 3 6 3 2 2" xfId="43503"/>
    <cellStyle name="20% - Accent1 2 2 3 2 3 6 3 3" xfId="29312"/>
    <cellStyle name="20% - Accent1 2 2 3 2 3 6 3 3 2" xfId="43504"/>
    <cellStyle name="20% - Accent1 2 2 3 2 3 6 3 4" xfId="29313"/>
    <cellStyle name="20% - Accent1 2 2 3 2 3 6 3 4 2" xfId="50468"/>
    <cellStyle name="20% - Accent1 2 2 3 2 3 6 3 5" xfId="37121"/>
    <cellStyle name="20% - Accent1 2 2 3 2 3 6 4" xfId="11706"/>
    <cellStyle name="20% - Accent1 2 2 3 2 3 6 4 2" xfId="23507"/>
    <cellStyle name="20% - Accent1 2 2 3 2 3 6 4 2 2" xfId="50469"/>
    <cellStyle name="20% - Accent1 2 2 3 2 3 6 4 3" xfId="37122"/>
    <cellStyle name="20% - Accent1 2 2 3 2 3 6 5" xfId="6538"/>
    <cellStyle name="20% - Accent1 2 2 3 2 3 6 5 2" xfId="43505"/>
    <cellStyle name="20% - Accent1 2 2 3 2 3 6 6" xfId="18339"/>
    <cellStyle name="20% - Accent1 2 2 3 2 3 6 6 2" xfId="50470"/>
    <cellStyle name="20% - Accent1 2 2 3 2 3 6 7" xfId="31954"/>
    <cellStyle name="20% - Accent1 2 2 3 2 3 7" xfId="3743"/>
    <cellStyle name="20% - Accent1 2 2 3 2 3 7 2" xfId="11707"/>
    <cellStyle name="20% - Accent1 2 2 3 2 3 7 2 2" xfId="23508"/>
    <cellStyle name="20% - Accent1 2 2 3 2 3 7 2 2 2" xfId="50471"/>
    <cellStyle name="20% - Accent1 2 2 3 2 3 7 2 3" xfId="37123"/>
    <cellStyle name="20% - Accent1 2 2 3 2 3 7 3" xfId="9196"/>
    <cellStyle name="20% - Accent1 2 2 3 2 3 7 3 2" xfId="43506"/>
    <cellStyle name="20% - Accent1 2 2 3 2 3 7 4" xfId="20997"/>
    <cellStyle name="20% - Accent1 2 2 3 2 3 7 4 2" xfId="50472"/>
    <cellStyle name="20% - Accent1 2 2 3 2 3 7 5" xfId="34612"/>
    <cellStyle name="20% - Accent1 2 2 3 2 3 8" xfId="2039"/>
    <cellStyle name="20% - Accent1 2 2 3 2 3 8 2" xfId="11708"/>
    <cellStyle name="20% - Accent1 2 2 3 2 3 8 2 2" xfId="23509"/>
    <cellStyle name="20% - Accent1 2 2 3 2 3 8 2 2 2" xfId="50473"/>
    <cellStyle name="20% - Accent1 2 2 3 2 3 8 2 3" xfId="37124"/>
    <cellStyle name="20% - Accent1 2 2 3 2 3 8 3" xfId="7492"/>
    <cellStyle name="20% - Accent1 2 2 3 2 3 8 3 2" xfId="43507"/>
    <cellStyle name="20% - Accent1 2 2 3 2 3 8 4" xfId="19293"/>
    <cellStyle name="20% - Accent1 2 2 3 2 3 8 4 2" xfId="50474"/>
    <cellStyle name="20% - Accent1 2 2 3 2 3 8 5" xfId="32908"/>
    <cellStyle name="20% - Accent1 2 2 3 2 3 9" xfId="11709"/>
    <cellStyle name="20% - Accent1 2 2 3 2 3 9 2" xfId="23510"/>
    <cellStyle name="20% - Accent1 2 2 3 2 3 9 2 2" xfId="50475"/>
    <cellStyle name="20% - Accent1 2 2 3 2 3 9 3" xfId="37125"/>
    <cellStyle name="20% - Accent1 2 2 3 2 4" xfId="190"/>
    <cellStyle name="20% - Accent1 2 2 3 2 4 10" xfId="31060"/>
    <cellStyle name="20% - Accent1 2 2 3 2 4 2" xfId="480"/>
    <cellStyle name="20% - Accent1 2 2 3 2 4 2 2" xfId="1085"/>
    <cellStyle name="20% - Accent1 2 2 3 2 4 2 2 2" xfId="4790"/>
    <cellStyle name="20% - Accent1 2 2 3 2 4 2 2 2 2" xfId="11710"/>
    <cellStyle name="20% - Accent1 2 2 3 2 4 2 2 2 2 2" xfId="23511"/>
    <cellStyle name="20% - Accent1 2 2 3 2 4 2 2 2 2 2 2" xfId="50476"/>
    <cellStyle name="20% - Accent1 2 2 3 2 4 2 2 2 2 3" xfId="37126"/>
    <cellStyle name="20% - Accent1 2 2 3 2 4 2 2 2 3" xfId="10243"/>
    <cellStyle name="20% - Accent1 2 2 3 2 4 2 2 2 3 2" xfId="43508"/>
    <cellStyle name="20% - Accent1 2 2 3 2 4 2 2 2 4" xfId="22044"/>
    <cellStyle name="20% - Accent1 2 2 3 2 4 2 2 2 4 2" xfId="50477"/>
    <cellStyle name="20% - Accent1 2 2 3 2 4 2 2 2 5" xfId="35659"/>
    <cellStyle name="20% - Accent1 2 2 3 2 4 2 2 3" xfId="2949"/>
    <cellStyle name="20% - Accent1 2 2 3 2 4 2 2 3 2" xfId="11711"/>
    <cellStyle name="20% - Accent1 2 2 3 2 4 2 2 3 2 2" xfId="23512"/>
    <cellStyle name="20% - Accent1 2 2 3 2 4 2 2 3 2 2 2" xfId="50478"/>
    <cellStyle name="20% - Accent1 2 2 3 2 4 2 2 3 2 3" xfId="37127"/>
    <cellStyle name="20% - Accent1 2 2 3 2 4 2 2 3 3" xfId="8402"/>
    <cellStyle name="20% - Accent1 2 2 3 2 4 2 2 3 3 2" xfId="43509"/>
    <cellStyle name="20% - Accent1 2 2 3 2 4 2 2 3 4" xfId="20203"/>
    <cellStyle name="20% - Accent1 2 2 3 2 4 2 2 3 4 2" xfId="50479"/>
    <cellStyle name="20% - Accent1 2 2 3 2 4 2 2 3 5" xfId="33818"/>
    <cellStyle name="20% - Accent1 2 2 3 2 4 2 2 4" xfId="11712"/>
    <cellStyle name="20% - Accent1 2 2 3 2 4 2 2 4 2" xfId="23513"/>
    <cellStyle name="20% - Accent1 2 2 3 2 4 2 2 4 2 2" xfId="50480"/>
    <cellStyle name="20% - Accent1 2 2 3 2 4 2 2 4 3" xfId="37128"/>
    <cellStyle name="20% - Accent1 2 2 3 2 4 2 2 5" xfId="6539"/>
    <cellStyle name="20% - Accent1 2 2 3 2 4 2 2 5 2" xfId="43510"/>
    <cellStyle name="20% - Accent1 2 2 3 2 4 2 2 6" xfId="18340"/>
    <cellStyle name="20% - Accent1 2 2 3 2 4 2 2 6 2" xfId="50481"/>
    <cellStyle name="20% - Accent1 2 2 3 2 4 2 2 7" xfId="31955"/>
    <cellStyle name="20% - Accent1 2 2 3 2 4 2 3" xfId="3517"/>
    <cellStyle name="20% - Accent1 2 2 3 2 4 2 3 2" xfId="5358"/>
    <cellStyle name="20% - Accent1 2 2 3 2 4 2 3 2 2" xfId="16828"/>
    <cellStyle name="20% - Accent1 2 2 3 2 4 2 3 2 2 2" xfId="28629"/>
    <cellStyle name="20% - Accent1 2 2 3 2 4 2 3 2 2 2 2" xfId="50482"/>
    <cellStyle name="20% - Accent1 2 2 3 2 4 2 3 2 2 3" xfId="42244"/>
    <cellStyle name="20% - Accent1 2 2 3 2 4 2 3 2 3" xfId="10811"/>
    <cellStyle name="20% - Accent1 2 2 3 2 4 2 3 2 3 2" xfId="50483"/>
    <cellStyle name="20% - Accent1 2 2 3 2 4 2 3 2 4" xfId="22612"/>
    <cellStyle name="20% - Accent1 2 2 3 2 4 2 3 2 4 2" xfId="50484"/>
    <cellStyle name="20% - Accent1 2 2 3 2 4 2 3 2 5" xfId="36227"/>
    <cellStyle name="20% - Accent1 2 2 3 2 4 2 3 3" xfId="11713"/>
    <cellStyle name="20% - Accent1 2 2 3 2 4 2 3 3 2" xfId="23514"/>
    <cellStyle name="20% - Accent1 2 2 3 2 4 2 3 3 2 2" xfId="50485"/>
    <cellStyle name="20% - Accent1 2 2 3 2 4 2 3 3 3" xfId="37129"/>
    <cellStyle name="20% - Accent1 2 2 3 2 4 2 3 4" xfId="8970"/>
    <cellStyle name="20% - Accent1 2 2 3 2 4 2 3 4 2" xfId="50486"/>
    <cellStyle name="20% - Accent1 2 2 3 2 4 2 3 5" xfId="20771"/>
    <cellStyle name="20% - Accent1 2 2 3 2 4 2 3 5 2" xfId="50487"/>
    <cellStyle name="20% - Accent1 2 2 3 2 4 2 3 6" xfId="34386"/>
    <cellStyle name="20% - Accent1 2 2 3 2 4 2 4" xfId="4222"/>
    <cellStyle name="20% - Accent1 2 2 3 2 4 2 4 2" xfId="11714"/>
    <cellStyle name="20% - Accent1 2 2 3 2 4 2 4 2 2" xfId="23515"/>
    <cellStyle name="20% - Accent1 2 2 3 2 4 2 4 2 2 2" xfId="50488"/>
    <cellStyle name="20% - Accent1 2 2 3 2 4 2 4 2 3" xfId="37130"/>
    <cellStyle name="20% - Accent1 2 2 3 2 4 2 4 3" xfId="9675"/>
    <cellStyle name="20% - Accent1 2 2 3 2 4 2 4 3 2" xfId="43511"/>
    <cellStyle name="20% - Accent1 2 2 3 2 4 2 4 4" xfId="21476"/>
    <cellStyle name="20% - Accent1 2 2 3 2 4 2 4 4 2" xfId="50489"/>
    <cellStyle name="20% - Accent1 2 2 3 2 4 2 4 5" xfId="35091"/>
    <cellStyle name="20% - Accent1 2 2 3 2 4 2 5" xfId="2381"/>
    <cellStyle name="20% - Accent1 2 2 3 2 4 2 5 2" xfId="16971"/>
    <cellStyle name="20% - Accent1 2 2 3 2 4 2 5 2 2" xfId="28772"/>
    <cellStyle name="20% - Accent1 2 2 3 2 4 2 5 2 2 2" xfId="50490"/>
    <cellStyle name="20% - Accent1 2 2 3 2 4 2 5 2 3" xfId="42387"/>
    <cellStyle name="20% - Accent1 2 2 3 2 4 2 5 3" xfId="7834"/>
    <cellStyle name="20% - Accent1 2 2 3 2 4 2 5 3 2" xfId="50491"/>
    <cellStyle name="20% - Accent1 2 2 3 2 4 2 5 4" xfId="19635"/>
    <cellStyle name="20% - Accent1 2 2 3 2 4 2 5 4 2" xfId="50492"/>
    <cellStyle name="20% - Accent1 2 2 3 2 4 2 5 5" xfId="33250"/>
    <cellStyle name="20% - Accent1 2 2 3 2 4 2 6" xfId="11715"/>
    <cellStyle name="20% - Accent1 2 2 3 2 4 2 6 2" xfId="23516"/>
    <cellStyle name="20% - Accent1 2 2 3 2 4 2 6 2 2" xfId="50493"/>
    <cellStyle name="20% - Accent1 2 2 3 2 4 2 6 3" xfId="37131"/>
    <cellStyle name="20% - Accent1 2 2 3 2 4 2 7" xfId="5934"/>
    <cellStyle name="20% - Accent1 2 2 3 2 4 2 7 2" xfId="50494"/>
    <cellStyle name="20% - Accent1 2 2 3 2 4 2 8" xfId="17735"/>
    <cellStyle name="20% - Accent1 2 2 3 2 4 2 8 2" xfId="50495"/>
    <cellStyle name="20% - Accent1 2 2 3 2 4 2 9" xfId="31350"/>
    <cellStyle name="20% - Accent1 2 2 3 2 4 3" xfId="758"/>
    <cellStyle name="20% - Accent1 2 2 3 2 4 3 2" xfId="1086"/>
    <cellStyle name="20% - Accent1 2 2 3 2 4 3 2 2" xfId="4500"/>
    <cellStyle name="20% - Accent1 2 2 3 2 4 3 2 2 2" xfId="11716"/>
    <cellStyle name="20% - Accent1 2 2 3 2 4 3 2 2 2 2" xfId="23517"/>
    <cellStyle name="20% - Accent1 2 2 3 2 4 3 2 2 2 2 2" xfId="50496"/>
    <cellStyle name="20% - Accent1 2 2 3 2 4 3 2 2 2 3" xfId="37132"/>
    <cellStyle name="20% - Accent1 2 2 3 2 4 3 2 2 3" xfId="9953"/>
    <cellStyle name="20% - Accent1 2 2 3 2 4 3 2 2 3 2" xfId="43512"/>
    <cellStyle name="20% - Accent1 2 2 3 2 4 3 2 2 4" xfId="21754"/>
    <cellStyle name="20% - Accent1 2 2 3 2 4 3 2 2 4 2" xfId="50497"/>
    <cellStyle name="20% - Accent1 2 2 3 2 4 3 2 2 5" xfId="35369"/>
    <cellStyle name="20% - Accent1 2 2 3 2 4 3 2 3" xfId="11717"/>
    <cellStyle name="20% - Accent1 2 2 3 2 4 3 2 3 2" xfId="23518"/>
    <cellStyle name="20% - Accent1 2 2 3 2 4 3 2 3 2 2" xfId="43513"/>
    <cellStyle name="20% - Accent1 2 2 3 2 4 3 2 3 3" xfId="29314"/>
    <cellStyle name="20% - Accent1 2 2 3 2 4 3 2 3 3 2" xfId="43514"/>
    <cellStyle name="20% - Accent1 2 2 3 2 4 3 2 3 4" xfId="29315"/>
    <cellStyle name="20% - Accent1 2 2 3 2 4 3 2 3 4 2" xfId="50498"/>
    <cellStyle name="20% - Accent1 2 2 3 2 4 3 2 3 5" xfId="37133"/>
    <cellStyle name="20% - Accent1 2 2 3 2 4 3 2 4" xfId="11718"/>
    <cellStyle name="20% - Accent1 2 2 3 2 4 3 2 4 2" xfId="23519"/>
    <cellStyle name="20% - Accent1 2 2 3 2 4 3 2 4 2 2" xfId="50499"/>
    <cellStyle name="20% - Accent1 2 2 3 2 4 3 2 4 3" xfId="37134"/>
    <cellStyle name="20% - Accent1 2 2 3 2 4 3 2 5" xfId="6540"/>
    <cellStyle name="20% - Accent1 2 2 3 2 4 3 2 5 2" xfId="43515"/>
    <cellStyle name="20% - Accent1 2 2 3 2 4 3 2 6" xfId="18341"/>
    <cellStyle name="20% - Accent1 2 2 3 2 4 3 2 6 2" xfId="50500"/>
    <cellStyle name="20% - Accent1 2 2 3 2 4 3 2 7" xfId="31956"/>
    <cellStyle name="20% - Accent1 2 2 3 2 4 3 3" xfId="2659"/>
    <cellStyle name="20% - Accent1 2 2 3 2 4 3 3 2" xfId="11719"/>
    <cellStyle name="20% - Accent1 2 2 3 2 4 3 3 2 2" xfId="23520"/>
    <cellStyle name="20% - Accent1 2 2 3 2 4 3 3 2 2 2" xfId="50501"/>
    <cellStyle name="20% - Accent1 2 2 3 2 4 3 3 2 3" xfId="37135"/>
    <cellStyle name="20% - Accent1 2 2 3 2 4 3 3 3" xfId="8112"/>
    <cellStyle name="20% - Accent1 2 2 3 2 4 3 3 3 2" xfId="43516"/>
    <cellStyle name="20% - Accent1 2 2 3 2 4 3 3 4" xfId="19913"/>
    <cellStyle name="20% - Accent1 2 2 3 2 4 3 3 4 2" xfId="50502"/>
    <cellStyle name="20% - Accent1 2 2 3 2 4 3 3 5" xfId="33528"/>
    <cellStyle name="20% - Accent1 2 2 3 2 4 3 4" xfId="11720"/>
    <cellStyle name="20% - Accent1 2 2 3 2 4 3 4 2" xfId="23521"/>
    <cellStyle name="20% - Accent1 2 2 3 2 4 3 4 2 2" xfId="43517"/>
    <cellStyle name="20% - Accent1 2 2 3 2 4 3 4 3" xfId="29316"/>
    <cellStyle name="20% - Accent1 2 2 3 2 4 3 4 3 2" xfId="43518"/>
    <cellStyle name="20% - Accent1 2 2 3 2 4 3 4 4" xfId="29317"/>
    <cellStyle name="20% - Accent1 2 2 3 2 4 3 4 4 2" xfId="50503"/>
    <cellStyle name="20% - Accent1 2 2 3 2 4 3 4 5" xfId="37136"/>
    <cellStyle name="20% - Accent1 2 2 3 2 4 3 5" xfId="11721"/>
    <cellStyle name="20% - Accent1 2 2 3 2 4 3 5 2" xfId="23522"/>
    <cellStyle name="20% - Accent1 2 2 3 2 4 3 5 2 2" xfId="50504"/>
    <cellStyle name="20% - Accent1 2 2 3 2 4 3 5 3" xfId="37137"/>
    <cellStyle name="20% - Accent1 2 2 3 2 4 3 6" xfId="6212"/>
    <cellStyle name="20% - Accent1 2 2 3 2 4 3 6 2" xfId="43519"/>
    <cellStyle name="20% - Accent1 2 2 3 2 4 3 7" xfId="18013"/>
    <cellStyle name="20% - Accent1 2 2 3 2 4 3 7 2" xfId="50505"/>
    <cellStyle name="20% - Accent1 2 2 3 2 4 3 8" xfId="31628"/>
    <cellStyle name="20% - Accent1 2 2 3 2 4 4" xfId="1087"/>
    <cellStyle name="20% - Accent1 2 2 3 2 4 4 2" xfId="5068"/>
    <cellStyle name="20% - Accent1 2 2 3 2 4 4 2 2" xfId="11722"/>
    <cellStyle name="20% - Accent1 2 2 3 2 4 4 2 2 2" xfId="23523"/>
    <cellStyle name="20% - Accent1 2 2 3 2 4 4 2 2 2 2" xfId="50506"/>
    <cellStyle name="20% - Accent1 2 2 3 2 4 4 2 2 3" xfId="37138"/>
    <cellStyle name="20% - Accent1 2 2 3 2 4 4 2 3" xfId="10521"/>
    <cellStyle name="20% - Accent1 2 2 3 2 4 4 2 3 2" xfId="43520"/>
    <cellStyle name="20% - Accent1 2 2 3 2 4 4 2 4" xfId="22322"/>
    <cellStyle name="20% - Accent1 2 2 3 2 4 4 2 4 2" xfId="50507"/>
    <cellStyle name="20% - Accent1 2 2 3 2 4 4 2 5" xfId="35937"/>
    <cellStyle name="20% - Accent1 2 2 3 2 4 4 3" xfId="3227"/>
    <cellStyle name="20% - Accent1 2 2 3 2 4 4 3 2" xfId="11723"/>
    <cellStyle name="20% - Accent1 2 2 3 2 4 4 3 2 2" xfId="23524"/>
    <cellStyle name="20% - Accent1 2 2 3 2 4 4 3 2 2 2" xfId="50508"/>
    <cellStyle name="20% - Accent1 2 2 3 2 4 4 3 2 3" xfId="37139"/>
    <cellStyle name="20% - Accent1 2 2 3 2 4 4 3 3" xfId="8680"/>
    <cellStyle name="20% - Accent1 2 2 3 2 4 4 3 3 2" xfId="43521"/>
    <cellStyle name="20% - Accent1 2 2 3 2 4 4 3 4" xfId="20481"/>
    <cellStyle name="20% - Accent1 2 2 3 2 4 4 3 4 2" xfId="50509"/>
    <cellStyle name="20% - Accent1 2 2 3 2 4 4 3 5" xfId="34096"/>
    <cellStyle name="20% - Accent1 2 2 3 2 4 4 4" xfId="11724"/>
    <cellStyle name="20% - Accent1 2 2 3 2 4 4 4 2" xfId="23525"/>
    <cellStyle name="20% - Accent1 2 2 3 2 4 4 4 2 2" xfId="50510"/>
    <cellStyle name="20% - Accent1 2 2 3 2 4 4 4 3" xfId="37140"/>
    <cellStyle name="20% - Accent1 2 2 3 2 4 4 5" xfId="6541"/>
    <cellStyle name="20% - Accent1 2 2 3 2 4 4 5 2" xfId="43522"/>
    <cellStyle name="20% - Accent1 2 2 3 2 4 4 6" xfId="18342"/>
    <cellStyle name="20% - Accent1 2 2 3 2 4 4 6 2" xfId="50511"/>
    <cellStyle name="20% - Accent1 2 2 3 2 4 4 7" xfId="31957"/>
    <cellStyle name="20% - Accent1 2 2 3 2 4 5" xfId="3932"/>
    <cellStyle name="20% - Accent1 2 2 3 2 4 5 2" xfId="11725"/>
    <cellStyle name="20% - Accent1 2 2 3 2 4 5 2 2" xfId="23526"/>
    <cellStyle name="20% - Accent1 2 2 3 2 4 5 2 2 2" xfId="50512"/>
    <cellStyle name="20% - Accent1 2 2 3 2 4 5 2 3" xfId="37141"/>
    <cellStyle name="20% - Accent1 2 2 3 2 4 5 3" xfId="9385"/>
    <cellStyle name="20% - Accent1 2 2 3 2 4 5 3 2" xfId="43523"/>
    <cellStyle name="20% - Accent1 2 2 3 2 4 5 4" xfId="21186"/>
    <cellStyle name="20% - Accent1 2 2 3 2 4 5 4 2" xfId="50513"/>
    <cellStyle name="20% - Accent1 2 2 3 2 4 5 5" xfId="34801"/>
    <cellStyle name="20% - Accent1 2 2 3 2 4 6" xfId="2091"/>
    <cellStyle name="20% - Accent1 2 2 3 2 4 6 2" xfId="11726"/>
    <cellStyle name="20% - Accent1 2 2 3 2 4 6 2 2" xfId="23527"/>
    <cellStyle name="20% - Accent1 2 2 3 2 4 6 2 2 2" xfId="50514"/>
    <cellStyle name="20% - Accent1 2 2 3 2 4 6 2 3" xfId="37142"/>
    <cellStyle name="20% - Accent1 2 2 3 2 4 6 3" xfId="7544"/>
    <cellStyle name="20% - Accent1 2 2 3 2 4 6 3 2" xfId="43524"/>
    <cellStyle name="20% - Accent1 2 2 3 2 4 6 4" xfId="19345"/>
    <cellStyle name="20% - Accent1 2 2 3 2 4 6 4 2" xfId="50515"/>
    <cellStyle name="20% - Accent1 2 2 3 2 4 6 5" xfId="32960"/>
    <cellStyle name="20% - Accent1 2 2 3 2 4 7" xfId="11727"/>
    <cellStyle name="20% - Accent1 2 2 3 2 4 7 2" xfId="23528"/>
    <cellStyle name="20% - Accent1 2 2 3 2 4 7 2 2" xfId="50516"/>
    <cellStyle name="20% - Accent1 2 2 3 2 4 7 3" xfId="37143"/>
    <cellStyle name="20% - Accent1 2 2 3 2 4 8" xfId="5644"/>
    <cellStyle name="20% - Accent1 2 2 3 2 4 8 2" xfId="43525"/>
    <cellStyle name="20% - Accent1 2 2 3 2 4 9" xfId="17445"/>
    <cellStyle name="20% - Accent1 2 2 3 2 4 9 2" xfId="50517"/>
    <cellStyle name="20% - Accent1 2 2 3 2 5" xfId="343"/>
    <cellStyle name="20% - Accent1 2 2 3 2 5 2" xfId="1088"/>
    <cellStyle name="20% - Accent1 2 2 3 2 5 2 2" xfId="4653"/>
    <cellStyle name="20% - Accent1 2 2 3 2 5 2 2 2" xfId="11728"/>
    <cellStyle name="20% - Accent1 2 2 3 2 5 2 2 2 2" xfId="23529"/>
    <cellStyle name="20% - Accent1 2 2 3 2 5 2 2 2 2 2" xfId="50518"/>
    <cellStyle name="20% - Accent1 2 2 3 2 5 2 2 2 3" xfId="37144"/>
    <cellStyle name="20% - Accent1 2 2 3 2 5 2 2 3" xfId="10106"/>
    <cellStyle name="20% - Accent1 2 2 3 2 5 2 2 3 2" xfId="43526"/>
    <cellStyle name="20% - Accent1 2 2 3 2 5 2 2 4" xfId="21907"/>
    <cellStyle name="20% - Accent1 2 2 3 2 5 2 2 4 2" xfId="50519"/>
    <cellStyle name="20% - Accent1 2 2 3 2 5 2 2 5" xfId="35522"/>
    <cellStyle name="20% - Accent1 2 2 3 2 5 2 3" xfId="2812"/>
    <cellStyle name="20% - Accent1 2 2 3 2 5 2 3 2" xfId="11729"/>
    <cellStyle name="20% - Accent1 2 2 3 2 5 2 3 2 2" xfId="23530"/>
    <cellStyle name="20% - Accent1 2 2 3 2 5 2 3 2 2 2" xfId="50520"/>
    <cellStyle name="20% - Accent1 2 2 3 2 5 2 3 2 3" xfId="37145"/>
    <cellStyle name="20% - Accent1 2 2 3 2 5 2 3 3" xfId="8265"/>
    <cellStyle name="20% - Accent1 2 2 3 2 5 2 3 3 2" xfId="43527"/>
    <cellStyle name="20% - Accent1 2 2 3 2 5 2 3 4" xfId="20066"/>
    <cellStyle name="20% - Accent1 2 2 3 2 5 2 3 4 2" xfId="50521"/>
    <cellStyle name="20% - Accent1 2 2 3 2 5 2 3 5" xfId="33681"/>
    <cellStyle name="20% - Accent1 2 2 3 2 5 2 4" xfId="11730"/>
    <cellStyle name="20% - Accent1 2 2 3 2 5 2 4 2" xfId="23531"/>
    <cellStyle name="20% - Accent1 2 2 3 2 5 2 4 2 2" xfId="50522"/>
    <cellStyle name="20% - Accent1 2 2 3 2 5 2 4 3" xfId="37146"/>
    <cellStyle name="20% - Accent1 2 2 3 2 5 2 5" xfId="6542"/>
    <cellStyle name="20% - Accent1 2 2 3 2 5 2 5 2" xfId="43528"/>
    <cellStyle name="20% - Accent1 2 2 3 2 5 2 6" xfId="18343"/>
    <cellStyle name="20% - Accent1 2 2 3 2 5 2 6 2" xfId="50523"/>
    <cellStyle name="20% - Accent1 2 2 3 2 5 2 7" xfId="31958"/>
    <cellStyle name="20% - Accent1 2 2 3 2 5 3" xfId="3380"/>
    <cellStyle name="20% - Accent1 2 2 3 2 5 3 2" xfId="5221"/>
    <cellStyle name="20% - Accent1 2 2 3 2 5 3 2 2" xfId="16691"/>
    <cellStyle name="20% - Accent1 2 2 3 2 5 3 2 2 2" xfId="28492"/>
    <cellStyle name="20% - Accent1 2 2 3 2 5 3 2 2 2 2" xfId="50524"/>
    <cellStyle name="20% - Accent1 2 2 3 2 5 3 2 2 3" xfId="42107"/>
    <cellStyle name="20% - Accent1 2 2 3 2 5 3 2 3" xfId="10674"/>
    <cellStyle name="20% - Accent1 2 2 3 2 5 3 2 3 2" xfId="50525"/>
    <cellStyle name="20% - Accent1 2 2 3 2 5 3 2 4" xfId="22475"/>
    <cellStyle name="20% - Accent1 2 2 3 2 5 3 2 4 2" xfId="50526"/>
    <cellStyle name="20% - Accent1 2 2 3 2 5 3 2 5" xfId="36090"/>
    <cellStyle name="20% - Accent1 2 2 3 2 5 3 3" xfId="11731"/>
    <cellStyle name="20% - Accent1 2 2 3 2 5 3 3 2" xfId="23532"/>
    <cellStyle name="20% - Accent1 2 2 3 2 5 3 3 2 2" xfId="50527"/>
    <cellStyle name="20% - Accent1 2 2 3 2 5 3 3 3" xfId="37147"/>
    <cellStyle name="20% - Accent1 2 2 3 2 5 3 4" xfId="8833"/>
    <cellStyle name="20% - Accent1 2 2 3 2 5 3 4 2" xfId="50528"/>
    <cellStyle name="20% - Accent1 2 2 3 2 5 3 5" xfId="20634"/>
    <cellStyle name="20% - Accent1 2 2 3 2 5 3 5 2" xfId="50529"/>
    <cellStyle name="20% - Accent1 2 2 3 2 5 3 6" xfId="34249"/>
    <cellStyle name="20% - Accent1 2 2 3 2 5 4" xfId="4085"/>
    <cellStyle name="20% - Accent1 2 2 3 2 5 4 2" xfId="11732"/>
    <cellStyle name="20% - Accent1 2 2 3 2 5 4 2 2" xfId="23533"/>
    <cellStyle name="20% - Accent1 2 2 3 2 5 4 2 2 2" xfId="50530"/>
    <cellStyle name="20% - Accent1 2 2 3 2 5 4 2 3" xfId="37148"/>
    <cellStyle name="20% - Accent1 2 2 3 2 5 4 3" xfId="9538"/>
    <cellStyle name="20% - Accent1 2 2 3 2 5 4 3 2" xfId="43529"/>
    <cellStyle name="20% - Accent1 2 2 3 2 5 4 4" xfId="21339"/>
    <cellStyle name="20% - Accent1 2 2 3 2 5 4 4 2" xfId="50531"/>
    <cellStyle name="20% - Accent1 2 2 3 2 5 4 5" xfId="34954"/>
    <cellStyle name="20% - Accent1 2 2 3 2 5 5" xfId="2244"/>
    <cellStyle name="20% - Accent1 2 2 3 2 5 5 2" xfId="16972"/>
    <cellStyle name="20% - Accent1 2 2 3 2 5 5 2 2" xfId="28773"/>
    <cellStyle name="20% - Accent1 2 2 3 2 5 5 2 2 2" xfId="50532"/>
    <cellStyle name="20% - Accent1 2 2 3 2 5 5 2 3" xfId="42388"/>
    <cellStyle name="20% - Accent1 2 2 3 2 5 5 3" xfId="7697"/>
    <cellStyle name="20% - Accent1 2 2 3 2 5 5 3 2" xfId="50533"/>
    <cellStyle name="20% - Accent1 2 2 3 2 5 5 4" xfId="19498"/>
    <cellStyle name="20% - Accent1 2 2 3 2 5 5 4 2" xfId="50534"/>
    <cellStyle name="20% - Accent1 2 2 3 2 5 5 5" xfId="33113"/>
    <cellStyle name="20% - Accent1 2 2 3 2 5 6" xfId="11733"/>
    <cellStyle name="20% - Accent1 2 2 3 2 5 6 2" xfId="23534"/>
    <cellStyle name="20% - Accent1 2 2 3 2 5 6 2 2" xfId="50535"/>
    <cellStyle name="20% - Accent1 2 2 3 2 5 6 3" xfId="37149"/>
    <cellStyle name="20% - Accent1 2 2 3 2 5 7" xfId="5797"/>
    <cellStyle name="20% - Accent1 2 2 3 2 5 7 2" xfId="50536"/>
    <cellStyle name="20% - Accent1 2 2 3 2 5 8" xfId="17598"/>
    <cellStyle name="20% - Accent1 2 2 3 2 5 8 2" xfId="50537"/>
    <cellStyle name="20% - Accent1 2 2 3 2 5 9" xfId="31213"/>
    <cellStyle name="20% - Accent1 2 2 3 2 6" xfId="621"/>
    <cellStyle name="20% - Accent1 2 2 3 2 6 2" xfId="1089"/>
    <cellStyle name="20% - Accent1 2 2 3 2 6 2 2" xfId="4363"/>
    <cellStyle name="20% - Accent1 2 2 3 2 6 2 2 2" xfId="11734"/>
    <cellStyle name="20% - Accent1 2 2 3 2 6 2 2 2 2" xfId="23535"/>
    <cellStyle name="20% - Accent1 2 2 3 2 6 2 2 2 2 2" xfId="50538"/>
    <cellStyle name="20% - Accent1 2 2 3 2 6 2 2 2 3" xfId="37150"/>
    <cellStyle name="20% - Accent1 2 2 3 2 6 2 2 3" xfId="9816"/>
    <cellStyle name="20% - Accent1 2 2 3 2 6 2 2 3 2" xfId="43530"/>
    <cellStyle name="20% - Accent1 2 2 3 2 6 2 2 4" xfId="21617"/>
    <cellStyle name="20% - Accent1 2 2 3 2 6 2 2 4 2" xfId="50539"/>
    <cellStyle name="20% - Accent1 2 2 3 2 6 2 2 5" xfId="35232"/>
    <cellStyle name="20% - Accent1 2 2 3 2 6 2 3" xfId="11735"/>
    <cellStyle name="20% - Accent1 2 2 3 2 6 2 3 2" xfId="23536"/>
    <cellStyle name="20% - Accent1 2 2 3 2 6 2 3 2 2" xfId="43531"/>
    <cellStyle name="20% - Accent1 2 2 3 2 6 2 3 3" xfId="29318"/>
    <cellStyle name="20% - Accent1 2 2 3 2 6 2 3 3 2" xfId="43532"/>
    <cellStyle name="20% - Accent1 2 2 3 2 6 2 3 4" xfId="29319"/>
    <cellStyle name="20% - Accent1 2 2 3 2 6 2 3 4 2" xfId="50540"/>
    <cellStyle name="20% - Accent1 2 2 3 2 6 2 3 5" xfId="37151"/>
    <cellStyle name="20% - Accent1 2 2 3 2 6 2 4" xfId="11736"/>
    <cellStyle name="20% - Accent1 2 2 3 2 6 2 4 2" xfId="23537"/>
    <cellStyle name="20% - Accent1 2 2 3 2 6 2 4 2 2" xfId="50541"/>
    <cellStyle name="20% - Accent1 2 2 3 2 6 2 4 3" xfId="37152"/>
    <cellStyle name="20% - Accent1 2 2 3 2 6 2 5" xfId="6543"/>
    <cellStyle name="20% - Accent1 2 2 3 2 6 2 5 2" xfId="43533"/>
    <cellStyle name="20% - Accent1 2 2 3 2 6 2 6" xfId="18344"/>
    <cellStyle name="20% - Accent1 2 2 3 2 6 2 6 2" xfId="50542"/>
    <cellStyle name="20% - Accent1 2 2 3 2 6 2 7" xfId="31959"/>
    <cellStyle name="20% - Accent1 2 2 3 2 6 3" xfId="2522"/>
    <cellStyle name="20% - Accent1 2 2 3 2 6 3 2" xfId="11737"/>
    <cellStyle name="20% - Accent1 2 2 3 2 6 3 2 2" xfId="23538"/>
    <cellStyle name="20% - Accent1 2 2 3 2 6 3 2 2 2" xfId="50543"/>
    <cellStyle name="20% - Accent1 2 2 3 2 6 3 2 3" xfId="37153"/>
    <cellStyle name="20% - Accent1 2 2 3 2 6 3 3" xfId="7975"/>
    <cellStyle name="20% - Accent1 2 2 3 2 6 3 3 2" xfId="43534"/>
    <cellStyle name="20% - Accent1 2 2 3 2 6 3 4" xfId="19776"/>
    <cellStyle name="20% - Accent1 2 2 3 2 6 3 4 2" xfId="50544"/>
    <cellStyle name="20% - Accent1 2 2 3 2 6 3 5" xfId="33391"/>
    <cellStyle name="20% - Accent1 2 2 3 2 6 4" xfId="11738"/>
    <cellStyle name="20% - Accent1 2 2 3 2 6 4 2" xfId="23539"/>
    <cellStyle name="20% - Accent1 2 2 3 2 6 4 2 2" xfId="43535"/>
    <cellStyle name="20% - Accent1 2 2 3 2 6 4 3" xfId="29320"/>
    <cellStyle name="20% - Accent1 2 2 3 2 6 4 3 2" xfId="43536"/>
    <cellStyle name="20% - Accent1 2 2 3 2 6 4 4" xfId="29321"/>
    <cellStyle name="20% - Accent1 2 2 3 2 6 4 4 2" xfId="50545"/>
    <cellStyle name="20% - Accent1 2 2 3 2 6 4 5" xfId="37154"/>
    <cellStyle name="20% - Accent1 2 2 3 2 6 5" xfId="11739"/>
    <cellStyle name="20% - Accent1 2 2 3 2 6 5 2" xfId="23540"/>
    <cellStyle name="20% - Accent1 2 2 3 2 6 5 2 2" xfId="50546"/>
    <cellStyle name="20% - Accent1 2 2 3 2 6 5 3" xfId="37155"/>
    <cellStyle name="20% - Accent1 2 2 3 2 6 6" xfId="6075"/>
    <cellStyle name="20% - Accent1 2 2 3 2 6 6 2" xfId="43537"/>
    <cellStyle name="20% - Accent1 2 2 3 2 6 7" xfId="17876"/>
    <cellStyle name="20% - Accent1 2 2 3 2 6 7 2" xfId="50547"/>
    <cellStyle name="20% - Accent1 2 2 3 2 6 8" xfId="31491"/>
    <cellStyle name="20% - Accent1 2 2 3 2 7" xfId="862"/>
    <cellStyle name="20% - Accent1 2 2 3 2 7 2" xfId="1090"/>
    <cellStyle name="20% - Accent1 2 2 3 2 7 2 2" xfId="4931"/>
    <cellStyle name="20% - Accent1 2 2 3 2 7 2 2 2" xfId="11740"/>
    <cellStyle name="20% - Accent1 2 2 3 2 7 2 2 2 2" xfId="23541"/>
    <cellStyle name="20% - Accent1 2 2 3 2 7 2 2 2 2 2" xfId="50548"/>
    <cellStyle name="20% - Accent1 2 2 3 2 7 2 2 2 3" xfId="37156"/>
    <cellStyle name="20% - Accent1 2 2 3 2 7 2 2 3" xfId="10384"/>
    <cellStyle name="20% - Accent1 2 2 3 2 7 2 2 3 2" xfId="43538"/>
    <cellStyle name="20% - Accent1 2 2 3 2 7 2 2 4" xfId="22185"/>
    <cellStyle name="20% - Accent1 2 2 3 2 7 2 2 4 2" xfId="50549"/>
    <cellStyle name="20% - Accent1 2 2 3 2 7 2 2 5" xfId="35800"/>
    <cellStyle name="20% - Accent1 2 2 3 2 7 2 3" xfId="11741"/>
    <cellStyle name="20% - Accent1 2 2 3 2 7 2 3 2" xfId="23542"/>
    <cellStyle name="20% - Accent1 2 2 3 2 7 2 3 2 2" xfId="43539"/>
    <cellStyle name="20% - Accent1 2 2 3 2 7 2 3 3" xfId="29322"/>
    <cellStyle name="20% - Accent1 2 2 3 2 7 2 3 3 2" xfId="43540"/>
    <cellStyle name="20% - Accent1 2 2 3 2 7 2 3 4" xfId="29323"/>
    <cellStyle name="20% - Accent1 2 2 3 2 7 2 3 4 2" xfId="50550"/>
    <cellStyle name="20% - Accent1 2 2 3 2 7 2 3 5" xfId="37157"/>
    <cellStyle name="20% - Accent1 2 2 3 2 7 2 4" xfId="11742"/>
    <cellStyle name="20% - Accent1 2 2 3 2 7 2 4 2" xfId="23543"/>
    <cellStyle name="20% - Accent1 2 2 3 2 7 2 4 2 2" xfId="50551"/>
    <cellStyle name="20% - Accent1 2 2 3 2 7 2 4 3" xfId="37158"/>
    <cellStyle name="20% - Accent1 2 2 3 2 7 2 5" xfId="6544"/>
    <cellStyle name="20% - Accent1 2 2 3 2 7 2 5 2" xfId="43541"/>
    <cellStyle name="20% - Accent1 2 2 3 2 7 2 6" xfId="18345"/>
    <cellStyle name="20% - Accent1 2 2 3 2 7 2 6 2" xfId="50552"/>
    <cellStyle name="20% - Accent1 2 2 3 2 7 2 7" xfId="31960"/>
    <cellStyle name="20% - Accent1 2 2 3 2 7 3" xfId="3090"/>
    <cellStyle name="20% - Accent1 2 2 3 2 7 3 2" xfId="11743"/>
    <cellStyle name="20% - Accent1 2 2 3 2 7 3 2 2" xfId="23544"/>
    <cellStyle name="20% - Accent1 2 2 3 2 7 3 2 2 2" xfId="50553"/>
    <cellStyle name="20% - Accent1 2 2 3 2 7 3 2 3" xfId="37159"/>
    <cellStyle name="20% - Accent1 2 2 3 2 7 3 3" xfId="8543"/>
    <cellStyle name="20% - Accent1 2 2 3 2 7 3 3 2" xfId="43542"/>
    <cellStyle name="20% - Accent1 2 2 3 2 7 3 4" xfId="20344"/>
    <cellStyle name="20% - Accent1 2 2 3 2 7 3 4 2" xfId="50554"/>
    <cellStyle name="20% - Accent1 2 2 3 2 7 3 5" xfId="33959"/>
    <cellStyle name="20% - Accent1 2 2 3 2 7 4" xfId="11744"/>
    <cellStyle name="20% - Accent1 2 2 3 2 7 4 2" xfId="23545"/>
    <cellStyle name="20% - Accent1 2 2 3 2 7 4 2 2" xfId="43543"/>
    <cellStyle name="20% - Accent1 2 2 3 2 7 4 3" xfId="29324"/>
    <cellStyle name="20% - Accent1 2 2 3 2 7 4 3 2" xfId="43544"/>
    <cellStyle name="20% - Accent1 2 2 3 2 7 4 4" xfId="29325"/>
    <cellStyle name="20% - Accent1 2 2 3 2 7 4 4 2" xfId="50555"/>
    <cellStyle name="20% - Accent1 2 2 3 2 7 4 5" xfId="37160"/>
    <cellStyle name="20% - Accent1 2 2 3 2 7 5" xfId="11745"/>
    <cellStyle name="20% - Accent1 2 2 3 2 7 5 2" xfId="23546"/>
    <cellStyle name="20% - Accent1 2 2 3 2 7 5 2 2" xfId="50556"/>
    <cellStyle name="20% - Accent1 2 2 3 2 7 5 3" xfId="37161"/>
    <cellStyle name="20% - Accent1 2 2 3 2 7 6" xfId="6316"/>
    <cellStyle name="20% - Accent1 2 2 3 2 7 6 2" xfId="43545"/>
    <cellStyle name="20% - Accent1 2 2 3 2 7 7" xfId="18117"/>
    <cellStyle name="20% - Accent1 2 2 3 2 7 7 2" xfId="50557"/>
    <cellStyle name="20% - Accent1 2 2 3 2 7 8" xfId="31732"/>
    <cellStyle name="20% - Accent1 2 2 3 2 8" xfId="1091"/>
    <cellStyle name="20% - Accent1 2 2 3 2 8 2" xfId="3795"/>
    <cellStyle name="20% - Accent1 2 2 3 2 8 2 2" xfId="11746"/>
    <cellStyle name="20% - Accent1 2 2 3 2 8 2 2 2" xfId="23547"/>
    <cellStyle name="20% - Accent1 2 2 3 2 8 2 2 2 2" xfId="50558"/>
    <cellStyle name="20% - Accent1 2 2 3 2 8 2 2 3" xfId="37162"/>
    <cellStyle name="20% - Accent1 2 2 3 2 8 2 3" xfId="9248"/>
    <cellStyle name="20% - Accent1 2 2 3 2 8 2 3 2" xfId="43546"/>
    <cellStyle name="20% - Accent1 2 2 3 2 8 2 4" xfId="21049"/>
    <cellStyle name="20% - Accent1 2 2 3 2 8 2 4 2" xfId="50559"/>
    <cellStyle name="20% - Accent1 2 2 3 2 8 2 5" xfId="34664"/>
    <cellStyle name="20% - Accent1 2 2 3 2 8 3" xfId="11747"/>
    <cellStyle name="20% - Accent1 2 2 3 2 8 3 2" xfId="23548"/>
    <cellStyle name="20% - Accent1 2 2 3 2 8 3 2 2" xfId="43547"/>
    <cellStyle name="20% - Accent1 2 2 3 2 8 3 3" xfId="29326"/>
    <cellStyle name="20% - Accent1 2 2 3 2 8 3 3 2" xfId="43548"/>
    <cellStyle name="20% - Accent1 2 2 3 2 8 3 4" xfId="29327"/>
    <cellStyle name="20% - Accent1 2 2 3 2 8 3 4 2" xfId="50560"/>
    <cellStyle name="20% - Accent1 2 2 3 2 8 3 5" xfId="37163"/>
    <cellStyle name="20% - Accent1 2 2 3 2 8 4" xfId="11748"/>
    <cellStyle name="20% - Accent1 2 2 3 2 8 4 2" xfId="23549"/>
    <cellStyle name="20% - Accent1 2 2 3 2 8 4 2 2" xfId="50561"/>
    <cellStyle name="20% - Accent1 2 2 3 2 8 4 3" xfId="37164"/>
    <cellStyle name="20% - Accent1 2 2 3 2 8 5" xfId="6545"/>
    <cellStyle name="20% - Accent1 2 2 3 2 8 5 2" xfId="43549"/>
    <cellStyle name="20% - Accent1 2 2 3 2 8 6" xfId="18346"/>
    <cellStyle name="20% - Accent1 2 2 3 2 8 6 2" xfId="50562"/>
    <cellStyle name="20% - Accent1 2 2 3 2 8 7" xfId="31961"/>
    <cellStyle name="20% - Accent1 2 2 3 2 9" xfId="3658"/>
    <cellStyle name="20% - Accent1 2 2 3 2 9 2" xfId="11749"/>
    <cellStyle name="20% - Accent1 2 2 3 2 9 2 2" xfId="23550"/>
    <cellStyle name="20% - Accent1 2 2 3 2 9 2 2 2" xfId="50563"/>
    <cellStyle name="20% - Accent1 2 2 3 2 9 2 3" xfId="37165"/>
    <cellStyle name="20% - Accent1 2 2 3 2 9 3" xfId="9111"/>
    <cellStyle name="20% - Accent1 2 2 3 2 9 3 2" xfId="43550"/>
    <cellStyle name="20% - Accent1 2 2 3 2 9 4" xfId="20912"/>
    <cellStyle name="20% - Accent1 2 2 3 2 9 4 2" xfId="50564"/>
    <cellStyle name="20% - Accent1 2 2 3 2 9 5" xfId="34527"/>
    <cellStyle name="20% - Accent1 2 2 3 3" xfId="98"/>
    <cellStyle name="20% - Accent1 2 2 3 3 10" xfId="5552"/>
    <cellStyle name="20% - Accent1 2 2 3 3 10 2" xfId="43551"/>
    <cellStyle name="20% - Accent1 2 2 3 3 11" xfId="17353"/>
    <cellStyle name="20% - Accent1 2 2 3 3 11 2" xfId="50565"/>
    <cellStyle name="20% - Accent1 2 2 3 3 12" xfId="30968"/>
    <cellStyle name="20% - Accent1 2 2 3 3 2" xfId="197"/>
    <cellStyle name="20% - Accent1 2 2 3 3 2 10" xfId="31067"/>
    <cellStyle name="20% - Accent1 2 2 3 3 2 2" xfId="525"/>
    <cellStyle name="20% - Accent1 2 2 3 3 2 2 2" xfId="1092"/>
    <cellStyle name="20% - Accent1 2 2 3 3 2 2 2 2" xfId="4835"/>
    <cellStyle name="20% - Accent1 2 2 3 3 2 2 2 2 2" xfId="11750"/>
    <cellStyle name="20% - Accent1 2 2 3 3 2 2 2 2 2 2" xfId="23551"/>
    <cellStyle name="20% - Accent1 2 2 3 3 2 2 2 2 2 2 2" xfId="50566"/>
    <cellStyle name="20% - Accent1 2 2 3 3 2 2 2 2 2 3" xfId="37166"/>
    <cellStyle name="20% - Accent1 2 2 3 3 2 2 2 2 3" xfId="10288"/>
    <cellStyle name="20% - Accent1 2 2 3 3 2 2 2 2 3 2" xfId="43552"/>
    <cellStyle name="20% - Accent1 2 2 3 3 2 2 2 2 4" xfId="22089"/>
    <cellStyle name="20% - Accent1 2 2 3 3 2 2 2 2 4 2" xfId="50567"/>
    <cellStyle name="20% - Accent1 2 2 3 3 2 2 2 2 5" xfId="35704"/>
    <cellStyle name="20% - Accent1 2 2 3 3 2 2 2 3" xfId="2994"/>
    <cellStyle name="20% - Accent1 2 2 3 3 2 2 2 3 2" xfId="11751"/>
    <cellStyle name="20% - Accent1 2 2 3 3 2 2 2 3 2 2" xfId="23552"/>
    <cellStyle name="20% - Accent1 2 2 3 3 2 2 2 3 2 2 2" xfId="50568"/>
    <cellStyle name="20% - Accent1 2 2 3 3 2 2 2 3 2 3" xfId="37167"/>
    <cellStyle name="20% - Accent1 2 2 3 3 2 2 2 3 3" xfId="8447"/>
    <cellStyle name="20% - Accent1 2 2 3 3 2 2 2 3 3 2" xfId="43553"/>
    <cellStyle name="20% - Accent1 2 2 3 3 2 2 2 3 4" xfId="20248"/>
    <cellStyle name="20% - Accent1 2 2 3 3 2 2 2 3 4 2" xfId="50569"/>
    <cellStyle name="20% - Accent1 2 2 3 3 2 2 2 3 5" xfId="33863"/>
    <cellStyle name="20% - Accent1 2 2 3 3 2 2 2 4" xfId="11752"/>
    <cellStyle name="20% - Accent1 2 2 3 3 2 2 2 4 2" xfId="23553"/>
    <cellStyle name="20% - Accent1 2 2 3 3 2 2 2 4 2 2" xfId="50570"/>
    <cellStyle name="20% - Accent1 2 2 3 3 2 2 2 4 3" xfId="37168"/>
    <cellStyle name="20% - Accent1 2 2 3 3 2 2 2 5" xfId="6546"/>
    <cellStyle name="20% - Accent1 2 2 3 3 2 2 2 5 2" xfId="43554"/>
    <cellStyle name="20% - Accent1 2 2 3 3 2 2 2 6" xfId="18347"/>
    <cellStyle name="20% - Accent1 2 2 3 3 2 2 2 6 2" xfId="50571"/>
    <cellStyle name="20% - Accent1 2 2 3 3 2 2 2 7" xfId="31962"/>
    <cellStyle name="20% - Accent1 2 2 3 3 2 2 3" xfId="3562"/>
    <cellStyle name="20% - Accent1 2 2 3 3 2 2 3 2" xfId="5403"/>
    <cellStyle name="20% - Accent1 2 2 3 3 2 2 3 2 2" xfId="16873"/>
    <cellStyle name="20% - Accent1 2 2 3 3 2 2 3 2 2 2" xfId="28674"/>
    <cellStyle name="20% - Accent1 2 2 3 3 2 2 3 2 2 2 2" xfId="50572"/>
    <cellStyle name="20% - Accent1 2 2 3 3 2 2 3 2 2 3" xfId="42289"/>
    <cellStyle name="20% - Accent1 2 2 3 3 2 2 3 2 3" xfId="10856"/>
    <cellStyle name="20% - Accent1 2 2 3 3 2 2 3 2 3 2" xfId="50573"/>
    <cellStyle name="20% - Accent1 2 2 3 3 2 2 3 2 4" xfId="22657"/>
    <cellStyle name="20% - Accent1 2 2 3 3 2 2 3 2 4 2" xfId="50574"/>
    <cellStyle name="20% - Accent1 2 2 3 3 2 2 3 2 5" xfId="36272"/>
    <cellStyle name="20% - Accent1 2 2 3 3 2 2 3 3" xfId="11753"/>
    <cellStyle name="20% - Accent1 2 2 3 3 2 2 3 3 2" xfId="23554"/>
    <cellStyle name="20% - Accent1 2 2 3 3 2 2 3 3 2 2" xfId="50575"/>
    <cellStyle name="20% - Accent1 2 2 3 3 2 2 3 3 3" xfId="37169"/>
    <cellStyle name="20% - Accent1 2 2 3 3 2 2 3 4" xfId="9015"/>
    <cellStyle name="20% - Accent1 2 2 3 3 2 2 3 4 2" xfId="50576"/>
    <cellStyle name="20% - Accent1 2 2 3 3 2 2 3 5" xfId="20816"/>
    <cellStyle name="20% - Accent1 2 2 3 3 2 2 3 5 2" xfId="50577"/>
    <cellStyle name="20% - Accent1 2 2 3 3 2 2 3 6" xfId="34431"/>
    <cellStyle name="20% - Accent1 2 2 3 3 2 2 4" xfId="4267"/>
    <cellStyle name="20% - Accent1 2 2 3 3 2 2 4 2" xfId="11754"/>
    <cellStyle name="20% - Accent1 2 2 3 3 2 2 4 2 2" xfId="23555"/>
    <cellStyle name="20% - Accent1 2 2 3 3 2 2 4 2 2 2" xfId="50578"/>
    <cellStyle name="20% - Accent1 2 2 3 3 2 2 4 2 3" xfId="37170"/>
    <cellStyle name="20% - Accent1 2 2 3 3 2 2 4 3" xfId="9720"/>
    <cellStyle name="20% - Accent1 2 2 3 3 2 2 4 3 2" xfId="43555"/>
    <cellStyle name="20% - Accent1 2 2 3 3 2 2 4 4" xfId="21521"/>
    <cellStyle name="20% - Accent1 2 2 3 3 2 2 4 4 2" xfId="50579"/>
    <cellStyle name="20% - Accent1 2 2 3 3 2 2 4 5" xfId="35136"/>
    <cellStyle name="20% - Accent1 2 2 3 3 2 2 5" xfId="2426"/>
    <cellStyle name="20% - Accent1 2 2 3 3 2 2 5 2" xfId="16973"/>
    <cellStyle name="20% - Accent1 2 2 3 3 2 2 5 2 2" xfId="28774"/>
    <cellStyle name="20% - Accent1 2 2 3 3 2 2 5 2 2 2" xfId="50580"/>
    <cellStyle name="20% - Accent1 2 2 3 3 2 2 5 2 3" xfId="42389"/>
    <cellStyle name="20% - Accent1 2 2 3 3 2 2 5 3" xfId="7879"/>
    <cellStyle name="20% - Accent1 2 2 3 3 2 2 5 3 2" xfId="50581"/>
    <cellStyle name="20% - Accent1 2 2 3 3 2 2 5 4" xfId="19680"/>
    <cellStyle name="20% - Accent1 2 2 3 3 2 2 5 4 2" xfId="50582"/>
    <cellStyle name="20% - Accent1 2 2 3 3 2 2 5 5" xfId="33295"/>
    <cellStyle name="20% - Accent1 2 2 3 3 2 2 6" xfId="11755"/>
    <cellStyle name="20% - Accent1 2 2 3 3 2 2 6 2" xfId="23556"/>
    <cellStyle name="20% - Accent1 2 2 3 3 2 2 6 2 2" xfId="50583"/>
    <cellStyle name="20% - Accent1 2 2 3 3 2 2 6 3" xfId="37171"/>
    <cellStyle name="20% - Accent1 2 2 3 3 2 2 7" xfId="5979"/>
    <cellStyle name="20% - Accent1 2 2 3 3 2 2 7 2" xfId="50584"/>
    <cellStyle name="20% - Accent1 2 2 3 3 2 2 8" xfId="17780"/>
    <cellStyle name="20% - Accent1 2 2 3 3 2 2 8 2" xfId="50585"/>
    <cellStyle name="20% - Accent1 2 2 3 3 2 2 9" xfId="31395"/>
    <cellStyle name="20% - Accent1 2 2 3 3 2 3" xfId="765"/>
    <cellStyle name="20% - Accent1 2 2 3 3 2 3 2" xfId="1093"/>
    <cellStyle name="20% - Accent1 2 2 3 3 2 3 2 2" xfId="4507"/>
    <cellStyle name="20% - Accent1 2 2 3 3 2 3 2 2 2" xfId="11756"/>
    <cellStyle name="20% - Accent1 2 2 3 3 2 3 2 2 2 2" xfId="23557"/>
    <cellStyle name="20% - Accent1 2 2 3 3 2 3 2 2 2 2 2" xfId="50586"/>
    <cellStyle name="20% - Accent1 2 2 3 3 2 3 2 2 2 3" xfId="37172"/>
    <cellStyle name="20% - Accent1 2 2 3 3 2 3 2 2 3" xfId="9960"/>
    <cellStyle name="20% - Accent1 2 2 3 3 2 3 2 2 3 2" xfId="43556"/>
    <cellStyle name="20% - Accent1 2 2 3 3 2 3 2 2 4" xfId="21761"/>
    <cellStyle name="20% - Accent1 2 2 3 3 2 3 2 2 4 2" xfId="50587"/>
    <cellStyle name="20% - Accent1 2 2 3 3 2 3 2 2 5" xfId="35376"/>
    <cellStyle name="20% - Accent1 2 2 3 3 2 3 2 3" xfId="11757"/>
    <cellStyle name="20% - Accent1 2 2 3 3 2 3 2 3 2" xfId="23558"/>
    <cellStyle name="20% - Accent1 2 2 3 3 2 3 2 3 2 2" xfId="43557"/>
    <cellStyle name="20% - Accent1 2 2 3 3 2 3 2 3 3" xfId="29328"/>
    <cellStyle name="20% - Accent1 2 2 3 3 2 3 2 3 3 2" xfId="43558"/>
    <cellStyle name="20% - Accent1 2 2 3 3 2 3 2 3 4" xfId="29329"/>
    <cellStyle name="20% - Accent1 2 2 3 3 2 3 2 3 4 2" xfId="50588"/>
    <cellStyle name="20% - Accent1 2 2 3 3 2 3 2 3 5" xfId="37173"/>
    <cellStyle name="20% - Accent1 2 2 3 3 2 3 2 4" xfId="11758"/>
    <cellStyle name="20% - Accent1 2 2 3 3 2 3 2 4 2" xfId="23559"/>
    <cellStyle name="20% - Accent1 2 2 3 3 2 3 2 4 2 2" xfId="50589"/>
    <cellStyle name="20% - Accent1 2 2 3 3 2 3 2 4 3" xfId="37174"/>
    <cellStyle name="20% - Accent1 2 2 3 3 2 3 2 5" xfId="6547"/>
    <cellStyle name="20% - Accent1 2 2 3 3 2 3 2 5 2" xfId="43559"/>
    <cellStyle name="20% - Accent1 2 2 3 3 2 3 2 6" xfId="18348"/>
    <cellStyle name="20% - Accent1 2 2 3 3 2 3 2 6 2" xfId="50590"/>
    <cellStyle name="20% - Accent1 2 2 3 3 2 3 2 7" xfId="31963"/>
    <cellStyle name="20% - Accent1 2 2 3 3 2 3 3" xfId="2666"/>
    <cellStyle name="20% - Accent1 2 2 3 3 2 3 3 2" xfId="11759"/>
    <cellStyle name="20% - Accent1 2 2 3 3 2 3 3 2 2" xfId="23560"/>
    <cellStyle name="20% - Accent1 2 2 3 3 2 3 3 2 2 2" xfId="50591"/>
    <cellStyle name="20% - Accent1 2 2 3 3 2 3 3 2 3" xfId="37175"/>
    <cellStyle name="20% - Accent1 2 2 3 3 2 3 3 3" xfId="8119"/>
    <cellStyle name="20% - Accent1 2 2 3 3 2 3 3 3 2" xfId="43560"/>
    <cellStyle name="20% - Accent1 2 2 3 3 2 3 3 4" xfId="19920"/>
    <cellStyle name="20% - Accent1 2 2 3 3 2 3 3 4 2" xfId="50592"/>
    <cellStyle name="20% - Accent1 2 2 3 3 2 3 3 5" xfId="33535"/>
    <cellStyle name="20% - Accent1 2 2 3 3 2 3 4" xfId="11760"/>
    <cellStyle name="20% - Accent1 2 2 3 3 2 3 4 2" xfId="23561"/>
    <cellStyle name="20% - Accent1 2 2 3 3 2 3 4 2 2" xfId="43561"/>
    <cellStyle name="20% - Accent1 2 2 3 3 2 3 4 3" xfId="29330"/>
    <cellStyle name="20% - Accent1 2 2 3 3 2 3 4 3 2" xfId="43562"/>
    <cellStyle name="20% - Accent1 2 2 3 3 2 3 4 4" xfId="29331"/>
    <cellStyle name="20% - Accent1 2 2 3 3 2 3 4 4 2" xfId="50593"/>
    <cellStyle name="20% - Accent1 2 2 3 3 2 3 4 5" xfId="37176"/>
    <cellStyle name="20% - Accent1 2 2 3 3 2 3 5" xfId="11761"/>
    <cellStyle name="20% - Accent1 2 2 3 3 2 3 5 2" xfId="23562"/>
    <cellStyle name="20% - Accent1 2 2 3 3 2 3 5 2 2" xfId="50594"/>
    <cellStyle name="20% - Accent1 2 2 3 3 2 3 5 3" xfId="37177"/>
    <cellStyle name="20% - Accent1 2 2 3 3 2 3 6" xfId="6219"/>
    <cellStyle name="20% - Accent1 2 2 3 3 2 3 6 2" xfId="43563"/>
    <cellStyle name="20% - Accent1 2 2 3 3 2 3 7" xfId="18020"/>
    <cellStyle name="20% - Accent1 2 2 3 3 2 3 7 2" xfId="50595"/>
    <cellStyle name="20% - Accent1 2 2 3 3 2 3 8" xfId="31635"/>
    <cellStyle name="20% - Accent1 2 2 3 3 2 4" xfId="1094"/>
    <cellStyle name="20% - Accent1 2 2 3 3 2 4 2" xfId="5075"/>
    <cellStyle name="20% - Accent1 2 2 3 3 2 4 2 2" xfId="11762"/>
    <cellStyle name="20% - Accent1 2 2 3 3 2 4 2 2 2" xfId="23563"/>
    <cellStyle name="20% - Accent1 2 2 3 3 2 4 2 2 2 2" xfId="50596"/>
    <cellStyle name="20% - Accent1 2 2 3 3 2 4 2 2 3" xfId="37178"/>
    <cellStyle name="20% - Accent1 2 2 3 3 2 4 2 3" xfId="10528"/>
    <cellStyle name="20% - Accent1 2 2 3 3 2 4 2 3 2" xfId="43564"/>
    <cellStyle name="20% - Accent1 2 2 3 3 2 4 2 4" xfId="22329"/>
    <cellStyle name="20% - Accent1 2 2 3 3 2 4 2 4 2" xfId="50597"/>
    <cellStyle name="20% - Accent1 2 2 3 3 2 4 2 5" xfId="35944"/>
    <cellStyle name="20% - Accent1 2 2 3 3 2 4 3" xfId="3234"/>
    <cellStyle name="20% - Accent1 2 2 3 3 2 4 3 2" xfId="11763"/>
    <cellStyle name="20% - Accent1 2 2 3 3 2 4 3 2 2" xfId="23564"/>
    <cellStyle name="20% - Accent1 2 2 3 3 2 4 3 2 2 2" xfId="50598"/>
    <cellStyle name="20% - Accent1 2 2 3 3 2 4 3 2 3" xfId="37179"/>
    <cellStyle name="20% - Accent1 2 2 3 3 2 4 3 3" xfId="8687"/>
    <cellStyle name="20% - Accent1 2 2 3 3 2 4 3 3 2" xfId="43565"/>
    <cellStyle name="20% - Accent1 2 2 3 3 2 4 3 4" xfId="20488"/>
    <cellStyle name="20% - Accent1 2 2 3 3 2 4 3 4 2" xfId="50599"/>
    <cellStyle name="20% - Accent1 2 2 3 3 2 4 3 5" xfId="34103"/>
    <cellStyle name="20% - Accent1 2 2 3 3 2 4 4" xfId="11764"/>
    <cellStyle name="20% - Accent1 2 2 3 3 2 4 4 2" xfId="23565"/>
    <cellStyle name="20% - Accent1 2 2 3 3 2 4 4 2 2" xfId="50600"/>
    <cellStyle name="20% - Accent1 2 2 3 3 2 4 4 3" xfId="37180"/>
    <cellStyle name="20% - Accent1 2 2 3 3 2 4 5" xfId="6548"/>
    <cellStyle name="20% - Accent1 2 2 3 3 2 4 5 2" xfId="43566"/>
    <cellStyle name="20% - Accent1 2 2 3 3 2 4 6" xfId="18349"/>
    <cellStyle name="20% - Accent1 2 2 3 3 2 4 6 2" xfId="50601"/>
    <cellStyle name="20% - Accent1 2 2 3 3 2 4 7" xfId="31964"/>
    <cellStyle name="20% - Accent1 2 2 3 3 2 5" xfId="3939"/>
    <cellStyle name="20% - Accent1 2 2 3 3 2 5 2" xfId="11765"/>
    <cellStyle name="20% - Accent1 2 2 3 3 2 5 2 2" xfId="23566"/>
    <cellStyle name="20% - Accent1 2 2 3 3 2 5 2 2 2" xfId="50602"/>
    <cellStyle name="20% - Accent1 2 2 3 3 2 5 2 3" xfId="37181"/>
    <cellStyle name="20% - Accent1 2 2 3 3 2 5 3" xfId="9392"/>
    <cellStyle name="20% - Accent1 2 2 3 3 2 5 3 2" xfId="43567"/>
    <cellStyle name="20% - Accent1 2 2 3 3 2 5 4" xfId="21193"/>
    <cellStyle name="20% - Accent1 2 2 3 3 2 5 4 2" xfId="50603"/>
    <cellStyle name="20% - Accent1 2 2 3 3 2 5 5" xfId="34808"/>
    <cellStyle name="20% - Accent1 2 2 3 3 2 6" xfId="2098"/>
    <cellStyle name="20% - Accent1 2 2 3 3 2 6 2" xfId="11766"/>
    <cellStyle name="20% - Accent1 2 2 3 3 2 6 2 2" xfId="23567"/>
    <cellStyle name="20% - Accent1 2 2 3 3 2 6 2 2 2" xfId="50604"/>
    <cellStyle name="20% - Accent1 2 2 3 3 2 6 2 3" xfId="37182"/>
    <cellStyle name="20% - Accent1 2 2 3 3 2 6 3" xfId="7551"/>
    <cellStyle name="20% - Accent1 2 2 3 3 2 6 3 2" xfId="43568"/>
    <cellStyle name="20% - Accent1 2 2 3 3 2 6 4" xfId="19352"/>
    <cellStyle name="20% - Accent1 2 2 3 3 2 6 4 2" xfId="50605"/>
    <cellStyle name="20% - Accent1 2 2 3 3 2 6 5" xfId="32967"/>
    <cellStyle name="20% - Accent1 2 2 3 3 2 7" xfId="11767"/>
    <cellStyle name="20% - Accent1 2 2 3 3 2 7 2" xfId="23568"/>
    <cellStyle name="20% - Accent1 2 2 3 3 2 7 2 2" xfId="50606"/>
    <cellStyle name="20% - Accent1 2 2 3 3 2 7 3" xfId="37183"/>
    <cellStyle name="20% - Accent1 2 2 3 3 2 8" xfId="5651"/>
    <cellStyle name="20% - Accent1 2 2 3 3 2 8 2" xfId="43569"/>
    <cellStyle name="20% - Accent1 2 2 3 3 2 9" xfId="17452"/>
    <cellStyle name="20% - Accent1 2 2 3 3 2 9 2" xfId="50607"/>
    <cellStyle name="20% - Accent1 2 2 3 3 3" xfId="388"/>
    <cellStyle name="20% - Accent1 2 2 3 3 3 2" xfId="1095"/>
    <cellStyle name="20% - Accent1 2 2 3 3 3 2 2" xfId="4698"/>
    <cellStyle name="20% - Accent1 2 2 3 3 3 2 2 2" xfId="11768"/>
    <cellStyle name="20% - Accent1 2 2 3 3 3 2 2 2 2" xfId="23569"/>
    <cellStyle name="20% - Accent1 2 2 3 3 3 2 2 2 2 2" xfId="50608"/>
    <cellStyle name="20% - Accent1 2 2 3 3 3 2 2 2 3" xfId="37184"/>
    <cellStyle name="20% - Accent1 2 2 3 3 3 2 2 3" xfId="10151"/>
    <cellStyle name="20% - Accent1 2 2 3 3 3 2 2 3 2" xfId="43570"/>
    <cellStyle name="20% - Accent1 2 2 3 3 3 2 2 4" xfId="21952"/>
    <cellStyle name="20% - Accent1 2 2 3 3 3 2 2 4 2" xfId="50609"/>
    <cellStyle name="20% - Accent1 2 2 3 3 3 2 2 5" xfId="35567"/>
    <cellStyle name="20% - Accent1 2 2 3 3 3 2 3" xfId="2857"/>
    <cellStyle name="20% - Accent1 2 2 3 3 3 2 3 2" xfId="11769"/>
    <cellStyle name="20% - Accent1 2 2 3 3 3 2 3 2 2" xfId="23570"/>
    <cellStyle name="20% - Accent1 2 2 3 3 3 2 3 2 2 2" xfId="50610"/>
    <cellStyle name="20% - Accent1 2 2 3 3 3 2 3 2 3" xfId="37185"/>
    <cellStyle name="20% - Accent1 2 2 3 3 3 2 3 3" xfId="8310"/>
    <cellStyle name="20% - Accent1 2 2 3 3 3 2 3 3 2" xfId="43571"/>
    <cellStyle name="20% - Accent1 2 2 3 3 3 2 3 4" xfId="20111"/>
    <cellStyle name="20% - Accent1 2 2 3 3 3 2 3 4 2" xfId="50611"/>
    <cellStyle name="20% - Accent1 2 2 3 3 3 2 3 5" xfId="33726"/>
    <cellStyle name="20% - Accent1 2 2 3 3 3 2 4" xfId="11770"/>
    <cellStyle name="20% - Accent1 2 2 3 3 3 2 4 2" xfId="23571"/>
    <cellStyle name="20% - Accent1 2 2 3 3 3 2 4 2 2" xfId="50612"/>
    <cellStyle name="20% - Accent1 2 2 3 3 3 2 4 3" xfId="37186"/>
    <cellStyle name="20% - Accent1 2 2 3 3 3 2 5" xfId="6549"/>
    <cellStyle name="20% - Accent1 2 2 3 3 3 2 5 2" xfId="43572"/>
    <cellStyle name="20% - Accent1 2 2 3 3 3 2 6" xfId="18350"/>
    <cellStyle name="20% - Accent1 2 2 3 3 3 2 6 2" xfId="50613"/>
    <cellStyle name="20% - Accent1 2 2 3 3 3 2 7" xfId="31965"/>
    <cellStyle name="20% - Accent1 2 2 3 3 3 3" xfId="3425"/>
    <cellStyle name="20% - Accent1 2 2 3 3 3 3 2" xfId="5266"/>
    <cellStyle name="20% - Accent1 2 2 3 3 3 3 2 2" xfId="16736"/>
    <cellStyle name="20% - Accent1 2 2 3 3 3 3 2 2 2" xfId="28537"/>
    <cellStyle name="20% - Accent1 2 2 3 3 3 3 2 2 2 2" xfId="50614"/>
    <cellStyle name="20% - Accent1 2 2 3 3 3 3 2 2 3" xfId="42152"/>
    <cellStyle name="20% - Accent1 2 2 3 3 3 3 2 3" xfId="10719"/>
    <cellStyle name="20% - Accent1 2 2 3 3 3 3 2 3 2" xfId="50615"/>
    <cellStyle name="20% - Accent1 2 2 3 3 3 3 2 4" xfId="22520"/>
    <cellStyle name="20% - Accent1 2 2 3 3 3 3 2 4 2" xfId="50616"/>
    <cellStyle name="20% - Accent1 2 2 3 3 3 3 2 5" xfId="36135"/>
    <cellStyle name="20% - Accent1 2 2 3 3 3 3 3" xfId="11771"/>
    <cellStyle name="20% - Accent1 2 2 3 3 3 3 3 2" xfId="23572"/>
    <cellStyle name="20% - Accent1 2 2 3 3 3 3 3 2 2" xfId="50617"/>
    <cellStyle name="20% - Accent1 2 2 3 3 3 3 3 3" xfId="37187"/>
    <cellStyle name="20% - Accent1 2 2 3 3 3 3 4" xfId="8878"/>
    <cellStyle name="20% - Accent1 2 2 3 3 3 3 4 2" xfId="50618"/>
    <cellStyle name="20% - Accent1 2 2 3 3 3 3 5" xfId="20679"/>
    <cellStyle name="20% - Accent1 2 2 3 3 3 3 5 2" xfId="50619"/>
    <cellStyle name="20% - Accent1 2 2 3 3 3 3 6" xfId="34294"/>
    <cellStyle name="20% - Accent1 2 2 3 3 3 4" xfId="4130"/>
    <cellStyle name="20% - Accent1 2 2 3 3 3 4 2" xfId="11772"/>
    <cellStyle name="20% - Accent1 2 2 3 3 3 4 2 2" xfId="23573"/>
    <cellStyle name="20% - Accent1 2 2 3 3 3 4 2 2 2" xfId="50620"/>
    <cellStyle name="20% - Accent1 2 2 3 3 3 4 2 3" xfId="37188"/>
    <cellStyle name="20% - Accent1 2 2 3 3 3 4 3" xfId="9583"/>
    <cellStyle name="20% - Accent1 2 2 3 3 3 4 3 2" xfId="43573"/>
    <cellStyle name="20% - Accent1 2 2 3 3 3 4 4" xfId="21384"/>
    <cellStyle name="20% - Accent1 2 2 3 3 3 4 4 2" xfId="50621"/>
    <cellStyle name="20% - Accent1 2 2 3 3 3 4 5" xfId="34999"/>
    <cellStyle name="20% - Accent1 2 2 3 3 3 5" xfId="2289"/>
    <cellStyle name="20% - Accent1 2 2 3 3 3 5 2" xfId="16974"/>
    <cellStyle name="20% - Accent1 2 2 3 3 3 5 2 2" xfId="28775"/>
    <cellStyle name="20% - Accent1 2 2 3 3 3 5 2 2 2" xfId="50622"/>
    <cellStyle name="20% - Accent1 2 2 3 3 3 5 2 3" xfId="42390"/>
    <cellStyle name="20% - Accent1 2 2 3 3 3 5 3" xfId="7742"/>
    <cellStyle name="20% - Accent1 2 2 3 3 3 5 3 2" xfId="50623"/>
    <cellStyle name="20% - Accent1 2 2 3 3 3 5 4" xfId="19543"/>
    <cellStyle name="20% - Accent1 2 2 3 3 3 5 4 2" xfId="50624"/>
    <cellStyle name="20% - Accent1 2 2 3 3 3 5 5" xfId="33158"/>
    <cellStyle name="20% - Accent1 2 2 3 3 3 6" xfId="11773"/>
    <cellStyle name="20% - Accent1 2 2 3 3 3 6 2" xfId="23574"/>
    <cellStyle name="20% - Accent1 2 2 3 3 3 6 2 2" xfId="50625"/>
    <cellStyle name="20% - Accent1 2 2 3 3 3 6 3" xfId="37189"/>
    <cellStyle name="20% - Accent1 2 2 3 3 3 7" xfId="5842"/>
    <cellStyle name="20% - Accent1 2 2 3 3 3 7 2" xfId="50626"/>
    <cellStyle name="20% - Accent1 2 2 3 3 3 8" xfId="17643"/>
    <cellStyle name="20% - Accent1 2 2 3 3 3 8 2" xfId="50627"/>
    <cellStyle name="20% - Accent1 2 2 3 3 3 9" xfId="31258"/>
    <cellStyle name="20% - Accent1 2 2 3 3 4" xfId="666"/>
    <cellStyle name="20% - Accent1 2 2 3 3 4 2" xfId="1096"/>
    <cellStyle name="20% - Accent1 2 2 3 3 4 2 2" xfId="4408"/>
    <cellStyle name="20% - Accent1 2 2 3 3 4 2 2 2" xfId="11774"/>
    <cellStyle name="20% - Accent1 2 2 3 3 4 2 2 2 2" xfId="23575"/>
    <cellStyle name="20% - Accent1 2 2 3 3 4 2 2 2 2 2" xfId="50628"/>
    <cellStyle name="20% - Accent1 2 2 3 3 4 2 2 2 3" xfId="37190"/>
    <cellStyle name="20% - Accent1 2 2 3 3 4 2 2 3" xfId="9861"/>
    <cellStyle name="20% - Accent1 2 2 3 3 4 2 2 3 2" xfId="43574"/>
    <cellStyle name="20% - Accent1 2 2 3 3 4 2 2 4" xfId="21662"/>
    <cellStyle name="20% - Accent1 2 2 3 3 4 2 2 4 2" xfId="50629"/>
    <cellStyle name="20% - Accent1 2 2 3 3 4 2 2 5" xfId="35277"/>
    <cellStyle name="20% - Accent1 2 2 3 3 4 2 3" xfId="11775"/>
    <cellStyle name="20% - Accent1 2 2 3 3 4 2 3 2" xfId="23576"/>
    <cellStyle name="20% - Accent1 2 2 3 3 4 2 3 2 2" xfId="43575"/>
    <cellStyle name="20% - Accent1 2 2 3 3 4 2 3 3" xfId="29332"/>
    <cellStyle name="20% - Accent1 2 2 3 3 4 2 3 3 2" xfId="43576"/>
    <cellStyle name="20% - Accent1 2 2 3 3 4 2 3 4" xfId="29333"/>
    <cellStyle name="20% - Accent1 2 2 3 3 4 2 3 4 2" xfId="50630"/>
    <cellStyle name="20% - Accent1 2 2 3 3 4 2 3 5" xfId="37191"/>
    <cellStyle name="20% - Accent1 2 2 3 3 4 2 4" xfId="11776"/>
    <cellStyle name="20% - Accent1 2 2 3 3 4 2 4 2" xfId="23577"/>
    <cellStyle name="20% - Accent1 2 2 3 3 4 2 4 2 2" xfId="50631"/>
    <cellStyle name="20% - Accent1 2 2 3 3 4 2 4 3" xfId="37192"/>
    <cellStyle name="20% - Accent1 2 2 3 3 4 2 5" xfId="6550"/>
    <cellStyle name="20% - Accent1 2 2 3 3 4 2 5 2" xfId="43577"/>
    <cellStyle name="20% - Accent1 2 2 3 3 4 2 6" xfId="18351"/>
    <cellStyle name="20% - Accent1 2 2 3 3 4 2 6 2" xfId="50632"/>
    <cellStyle name="20% - Accent1 2 2 3 3 4 2 7" xfId="31966"/>
    <cellStyle name="20% - Accent1 2 2 3 3 4 3" xfId="2567"/>
    <cellStyle name="20% - Accent1 2 2 3 3 4 3 2" xfId="11777"/>
    <cellStyle name="20% - Accent1 2 2 3 3 4 3 2 2" xfId="23578"/>
    <cellStyle name="20% - Accent1 2 2 3 3 4 3 2 2 2" xfId="50633"/>
    <cellStyle name="20% - Accent1 2 2 3 3 4 3 2 3" xfId="37193"/>
    <cellStyle name="20% - Accent1 2 2 3 3 4 3 3" xfId="8020"/>
    <cellStyle name="20% - Accent1 2 2 3 3 4 3 3 2" xfId="43578"/>
    <cellStyle name="20% - Accent1 2 2 3 3 4 3 4" xfId="19821"/>
    <cellStyle name="20% - Accent1 2 2 3 3 4 3 4 2" xfId="50634"/>
    <cellStyle name="20% - Accent1 2 2 3 3 4 3 5" xfId="33436"/>
    <cellStyle name="20% - Accent1 2 2 3 3 4 4" xfId="11778"/>
    <cellStyle name="20% - Accent1 2 2 3 3 4 4 2" xfId="23579"/>
    <cellStyle name="20% - Accent1 2 2 3 3 4 4 2 2" xfId="43579"/>
    <cellStyle name="20% - Accent1 2 2 3 3 4 4 3" xfId="29334"/>
    <cellStyle name="20% - Accent1 2 2 3 3 4 4 3 2" xfId="43580"/>
    <cellStyle name="20% - Accent1 2 2 3 3 4 4 4" xfId="29335"/>
    <cellStyle name="20% - Accent1 2 2 3 3 4 4 4 2" xfId="50635"/>
    <cellStyle name="20% - Accent1 2 2 3 3 4 4 5" xfId="37194"/>
    <cellStyle name="20% - Accent1 2 2 3 3 4 5" xfId="11779"/>
    <cellStyle name="20% - Accent1 2 2 3 3 4 5 2" xfId="23580"/>
    <cellStyle name="20% - Accent1 2 2 3 3 4 5 2 2" xfId="50636"/>
    <cellStyle name="20% - Accent1 2 2 3 3 4 5 3" xfId="37195"/>
    <cellStyle name="20% - Accent1 2 2 3 3 4 6" xfId="6120"/>
    <cellStyle name="20% - Accent1 2 2 3 3 4 6 2" xfId="43581"/>
    <cellStyle name="20% - Accent1 2 2 3 3 4 7" xfId="17921"/>
    <cellStyle name="20% - Accent1 2 2 3 3 4 7 2" xfId="50637"/>
    <cellStyle name="20% - Accent1 2 2 3 3 4 8" xfId="31536"/>
    <cellStyle name="20% - Accent1 2 2 3 3 5" xfId="907"/>
    <cellStyle name="20% - Accent1 2 2 3 3 5 2" xfId="1097"/>
    <cellStyle name="20% - Accent1 2 2 3 3 5 2 2" xfId="4976"/>
    <cellStyle name="20% - Accent1 2 2 3 3 5 2 2 2" xfId="11780"/>
    <cellStyle name="20% - Accent1 2 2 3 3 5 2 2 2 2" xfId="23581"/>
    <cellStyle name="20% - Accent1 2 2 3 3 5 2 2 2 2 2" xfId="50638"/>
    <cellStyle name="20% - Accent1 2 2 3 3 5 2 2 2 3" xfId="37196"/>
    <cellStyle name="20% - Accent1 2 2 3 3 5 2 2 3" xfId="10429"/>
    <cellStyle name="20% - Accent1 2 2 3 3 5 2 2 3 2" xfId="43582"/>
    <cellStyle name="20% - Accent1 2 2 3 3 5 2 2 4" xfId="22230"/>
    <cellStyle name="20% - Accent1 2 2 3 3 5 2 2 4 2" xfId="50639"/>
    <cellStyle name="20% - Accent1 2 2 3 3 5 2 2 5" xfId="35845"/>
    <cellStyle name="20% - Accent1 2 2 3 3 5 2 3" xfId="11781"/>
    <cellStyle name="20% - Accent1 2 2 3 3 5 2 3 2" xfId="23582"/>
    <cellStyle name="20% - Accent1 2 2 3 3 5 2 3 2 2" xfId="43583"/>
    <cellStyle name="20% - Accent1 2 2 3 3 5 2 3 3" xfId="29336"/>
    <cellStyle name="20% - Accent1 2 2 3 3 5 2 3 3 2" xfId="43584"/>
    <cellStyle name="20% - Accent1 2 2 3 3 5 2 3 4" xfId="29337"/>
    <cellStyle name="20% - Accent1 2 2 3 3 5 2 3 4 2" xfId="50640"/>
    <cellStyle name="20% - Accent1 2 2 3 3 5 2 3 5" xfId="37197"/>
    <cellStyle name="20% - Accent1 2 2 3 3 5 2 4" xfId="11782"/>
    <cellStyle name="20% - Accent1 2 2 3 3 5 2 4 2" xfId="23583"/>
    <cellStyle name="20% - Accent1 2 2 3 3 5 2 4 2 2" xfId="50641"/>
    <cellStyle name="20% - Accent1 2 2 3 3 5 2 4 3" xfId="37198"/>
    <cellStyle name="20% - Accent1 2 2 3 3 5 2 5" xfId="6551"/>
    <cellStyle name="20% - Accent1 2 2 3 3 5 2 5 2" xfId="43585"/>
    <cellStyle name="20% - Accent1 2 2 3 3 5 2 6" xfId="18352"/>
    <cellStyle name="20% - Accent1 2 2 3 3 5 2 6 2" xfId="50642"/>
    <cellStyle name="20% - Accent1 2 2 3 3 5 2 7" xfId="31967"/>
    <cellStyle name="20% - Accent1 2 2 3 3 5 3" xfId="3135"/>
    <cellStyle name="20% - Accent1 2 2 3 3 5 3 2" xfId="11783"/>
    <cellStyle name="20% - Accent1 2 2 3 3 5 3 2 2" xfId="23584"/>
    <cellStyle name="20% - Accent1 2 2 3 3 5 3 2 2 2" xfId="50643"/>
    <cellStyle name="20% - Accent1 2 2 3 3 5 3 2 3" xfId="37199"/>
    <cellStyle name="20% - Accent1 2 2 3 3 5 3 3" xfId="8588"/>
    <cellStyle name="20% - Accent1 2 2 3 3 5 3 3 2" xfId="43586"/>
    <cellStyle name="20% - Accent1 2 2 3 3 5 3 4" xfId="20389"/>
    <cellStyle name="20% - Accent1 2 2 3 3 5 3 4 2" xfId="50644"/>
    <cellStyle name="20% - Accent1 2 2 3 3 5 3 5" xfId="34004"/>
    <cellStyle name="20% - Accent1 2 2 3 3 5 4" xfId="11784"/>
    <cellStyle name="20% - Accent1 2 2 3 3 5 4 2" xfId="23585"/>
    <cellStyle name="20% - Accent1 2 2 3 3 5 4 2 2" xfId="43587"/>
    <cellStyle name="20% - Accent1 2 2 3 3 5 4 3" xfId="29338"/>
    <cellStyle name="20% - Accent1 2 2 3 3 5 4 3 2" xfId="43588"/>
    <cellStyle name="20% - Accent1 2 2 3 3 5 4 4" xfId="29339"/>
    <cellStyle name="20% - Accent1 2 2 3 3 5 4 4 2" xfId="50645"/>
    <cellStyle name="20% - Accent1 2 2 3 3 5 4 5" xfId="37200"/>
    <cellStyle name="20% - Accent1 2 2 3 3 5 5" xfId="11785"/>
    <cellStyle name="20% - Accent1 2 2 3 3 5 5 2" xfId="23586"/>
    <cellStyle name="20% - Accent1 2 2 3 3 5 5 2 2" xfId="50646"/>
    <cellStyle name="20% - Accent1 2 2 3 3 5 5 3" xfId="37201"/>
    <cellStyle name="20% - Accent1 2 2 3 3 5 6" xfId="6361"/>
    <cellStyle name="20% - Accent1 2 2 3 3 5 6 2" xfId="43589"/>
    <cellStyle name="20% - Accent1 2 2 3 3 5 7" xfId="18162"/>
    <cellStyle name="20% - Accent1 2 2 3 3 5 7 2" xfId="50647"/>
    <cellStyle name="20% - Accent1 2 2 3 3 5 8" xfId="31777"/>
    <cellStyle name="20% - Accent1 2 2 3 3 6" xfId="1098"/>
    <cellStyle name="20% - Accent1 2 2 3 3 6 2" xfId="3840"/>
    <cellStyle name="20% - Accent1 2 2 3 3 6 2 2" xfId="11786"/>
    <cellStyle name="20% - Accent1 2 2 3 3 6 2 2 2" xfId="23587"/>
    <cellStyle name="20% - Accent1 2 2 3 3 6 2 2 2 2" xfId="50648"/>
    <cellStyle name="20% - Accent1 2 2 3 3 6 2 2 3" xfId="37202"/>
    <cellStyle name="20% - Accent1 2 2 3 3 6 2 3" xfId="9293"/>
    <cellStyle name="20% - Accent1 2 2 3 3 6 2 3 2" xfId="43590"/>
    <cellStyle name="20% - Accent1 2 2 3 3 6 2 4" xfId="21094"/>
    <cellStyle name="20% - Accent1 2 2 3 3 6 2 4 2" xfId="50649"/>
    <cellStyle name="20% - Accent1 2 2 3 3 6 2 5" xfId="34709"/>
    <cellStyle name="20% - Accent1 2 2 3 3 6 3" xfId="11787"/>
    <cellStyle name="20% - Accent1 2 2 3 3 6 3 2" xfId="23588"/>
    <cellStyle name="20% - Accent1 2 2 3 3 6 3 2 2" xfId="43591"/>
    <cellStyle name="20% - Accent1 2 2 3 3 6 3 3" xfId="29340"/>
    <cellStyle name="20% - Accent1 2 2 3 3 6 3 3 2" xfId="43592"/>
    <cellStyle name="20% - Accent1 2 2 3 3 6 3 4" xfId="29341"/>
    <cellStyle name="20% - Accent1 2 2 3 3 6 3 4 2" xfId="50650"/>
    <cellStyle name="20% - Accent1 2 2 3 3 6 3 5" xfId="37203"/>
    <cellStyle name="20% - Accent1 2 2 3 3 6 4" xfId="11788"/>
    <cellStyle name="20% - Accent1 2 2 3 3 6 4 2" xfId="23589"/>
    <cellStyle name="20% - Accent1 2 2 3 3 6 4 2 2" xfId="50651"/>
    <cellStyle name="20% - Accent1 2 2 3 3 6 4 3" xfId="37204"/>
    <cellStyle name="20% - Accent1 2 2 3 3 6 5" xfId="6552"/>
    <cellStyle name="20% - Accent1 2 2 3 3 6 5 2" xfId="43593"/>
    <cellStyle name="20% - Accent1 2 2 3 3 6 6" xfId="18353"/>
    <cellStyle name="20% - Accent1 2 2 3 3 6 6 2" xfId="50652"/>
    <cellStyle name="20% - Accent1 2 2 3 3 6 7" xfId="31968"/>
    <cellStyle name="20% - Accent1 2 2 3 3 7" xfId="3703"/>
    <cellStyle name="20% - Accent1 2 2 3 3 7 2" xfId="11789"/>
    <cellStyle name="20% - Accent1 2 2 3 3 7 2 2" xfId="23590"/>
    <cellStyle name="20% - Accent1 2 2 3 3 7 2 2 2" xfId="50653"/>
    <cellStyle name="20% - Accent1 2 2 3 3 7 2 3" xfId="37205"/>
    <cellStyle name="20% - Accent1 2 2 3 3 7 3" xfId="9156"/>
    <cellStyle name="20% - Accent1 2 2 3 3 7 3 2" xfId="43594"/>
    <cellStyle name="20% - Accent1 2 2 3 3 7 4" xfId="20957"/>
    <cellStyle name="20% - Accent1 2 2 3 3 7 4 2" xfId="50654"/>
    <cellStyle name="20% - Accent1 2 2 3 3 7 5" xfId="34572"/>
    <cellStyle name="20% - Accent1 2 2 3 3 8" xfId="1999"/>
    <cellStyle name="20% - Accent1 2 2 3 3 8 2" xfId="11790"/>
    <cellStyle name="20% - Accent1 2 2 3 3 8 2 2" xfId="23591"/>
    <cellStyle name="20% - Accent1 2 2 3 3 8 2 2 2" xfId="50655"/>
    <cellStyle name="20% - Accent1 2 2 3 3 8 2 3" xfId="37206"/>
    <cellStyle name="20% - Accent1 2 2 3 3 8 3" xfId="7452"/>
    <cellStyle name="20% - Accent1 2 2 3 3 8 3 2" xfId="43595"/>
    <cellStyle name="20% - Accent1 2 2 3 3 8 4" xfId="19253"/>
    <cellStyle name="20% - Accent1 2 2 3 3 8 4 2" xfId="50656"/>
    <cellStyle name="20% - Accent1 2 2 3 3 8 5" xfId="32868"/>
    <cellStyle name="20% - Accent1 2 2 3 3 9" xfId="11791"/>
    <cellStyle name="20% - Accent1 2 2 3 3 9 2" xfId="23592"/>
    <cellStyle name="20% - Accent1 2 2 3 3 9 2 2" xfId="50657"/>
    <cellStyle name="20% - Accent1 2 2 3 3 9 3" xfId="37207"/>
    <cellStyle name="20% - Accent1 2 2 3 4" xfId="160"/>
    <cellStyle name="20% - Accent1 2 2 3 4 10" xfId="31030"/>
    <cellStyle name="20% - Accent1 2 2 3 4 2" xfId="321"/>
    <cellStyle name="20% - Accent1 2 2 3 4 2 2" xfId="1099"/>
    <cellStyle name="20% - Accent1 2 2 3 4 2 2 2" xfId="4631"/>
    <cellStyle name="20% - Accent1 2 2 3 4 2 2 2 2" xfId="11792"/>
    <cellStyle name="20% - Accent1 2 2 3 4 2 2 2 2 2" xfId="23593"/>
    <cellStyle name="20% - Accent1 2 2 3 4 2 2 2 2 2 2" xfId="50658"/>
    <cellStyle name="20% - Accent1 2 2 3 4 2 2 2 2 3" xfId="37208"/>
    <cellStyle name="20% - Accent1 2 2 3 4 2 2 2 3" xfId="10084"/>
    <cellStyle name="20% - Accent1 2 2 3 4 2 2 2 3 2" xfId="43596"/>
    <cellStyle name="20% - Accent1 2 2 3 4 2 2 2 4" xfId="21885"/>
    <cellStyle name="20% - Accent1 2 2 3 4 2 2 2 4 2" xfId="50659"/>
    <cellStyle name="20% - Accent1 2 2 3 4 2 2 2 5" xfId="35500"/>
    <cellStyle name="20% - Accent1 2 2 3 4 2 2 3" xfId="2790"/>
    <cellStyle name="20% - Accent1 2 2 3 4 2 2 3 2" xfId="11793"/>
    <cellStyle name="20% - Accent1 2 2 3 4 2 2 3 2 2" xfId="23594"/>
    <cellStyle name="20% - Accent1 2 2 3 4 2 2 3 2 2 2" xfId="50660"/>
    <cellStyle name="20% - Accent1 2 2 3 4 2 2 3 2 3" xfId="37209"/>
    <cellStyle name="20% - Accent1 2 2 3 4 2 2 3 3" xfId="8243"/>
    <cellStyle name="20% - Accent1 2 2 3 4 2 2 3 3 2" xfId="43597"/>
    <cellStyle name="20% - Accent1 2 2 3 4 2 2 3 4" xfId="20044"/>
    <cellStyle name="20% - Accent1 2 2 3 4 2 2 3 4 2" xfId="50661"/>
    <cellStyle name="20% - Accent1 2 2 3 4 2 2 3 5" xfId="33659"/>
    <cellStyle name="20% - Accent1 2 2 3 4 2 2 4" xfId="11794"/>
    <cellStyle name="20% - Accent1 2 2 3 4 2 2 4 2" xfId="23595"/>
    <cellStyle name="20% - Accent1 2 2 3 4 2 2 4 2 2" xfId="50662"/>
    <cellStyle name="20% - Accent1 2 2 3 4 2 2 4 3" xfId="37210"/>
    <cellStyle name="20% - Accent1 2 2 3 4 2 2 5" xfId="6553"/>
    <cellStyle name="20% - Accent1 2 2 3 4 2 2 5 2" xfId="43598"/>
    <cellStyle name="20% - Accent1 2 2 3 4 2 2 6" xfId="18354"/>
    <cellStyle name="20% - Accent1 2 2 3 4 2 2 6 2" xfId="50663"/>
    <cellStyle name="20% - Accent1 2 2 3 4 2 2 7" xfId="31969"/>
    <cellStyle name="20% - Accent1 2 2 3 4 2 3" xfId="3358"/>
    <cellStyle name="20% - Accent1 2 2 3 4 2 3 2" xfId="5199"/>
    <cellStyle name="20% - Accent1 2 2 3 4 2 3 2 2" xfId="16669"/>
    <cellStyle name="20% - Accent1 2 2 3 4 2 3 2 2 2" xfId="28470"/>
    <cellStyle name="20% - Accent1 2 2 3 4 2 3 2 2 2 2" xfId="50664"/>
    <cellStyle name="20% - Accent1 2 2 3 4 2 3 2 2 3" xfId="42085"/>
    <cellStyle name="20% - Accent1 2 2 3 4 2 3 2 3" xfId="10652"/>
    <cellStyle name="20% - Accent1 2 2 3 4 2 3 2 3 2" xfId="50665"/>
    <cellStyle name="20% - Accent1 2 2 3 4 2 3 2 4" xfId="22453"/>
    <cellStyle name="20% - Accent1 2 2 3 4 2 3 2 4 2" xfId="50666"/>
    <cellStyle name="20% - Accent1 2 2 3 4 2 3 2 5" xfId="36068"/>
    <cellStyle name="20% - Accent1 2 2 3 4 2 3 3" xfId="11795"/>
    <cellStyle name="20% - Accent1 2 2 3 4 2 3 3 2" xfId="23596"/>
    <cellStyle name="20% - Accent1 2 2 3 4 2 3 3 2 2" xfId="50667"/>
    <cellStyle name="20% - Accent1 2 2 3 4 2 3 3 3" xfId="37211"/>
    <cellStyle name="20% - Accent1 2 2 3 4 2 3 4" xfId="8811"/>
    <cellStyle name="20% - Accent1 2 2 3 4 2 3 4 2" xfId="50668"/>
    <cellStyle name="20% - Accent1 2 2 3 4 2 3 5" xfId="20612"/>
    <cellStyle name="20% - Accent1 2 2 3 4 2 3 5 2" xfId="50669"/>
    <cellStyle name="20% - Accent1 2 2 3 4 2 3 6" xfId="34227"/>
    <cellStyle name="20% - Accent1 2 2 3 4 2 4" xfId="4063"/>
    <cellStyle name="20% - Accent1 2 2 3 4 2 4 2" xfId="11796"/>
    <cellStyle name="20% - Accent1 2 2 3 4 2 4 2 2" xfId="23597"/>
    <cellStyle name="20% - Accent1 2 2 3 4 2 4 2 2 2" xfId="50670"/>
    <cellStyle name="20% - Accent1 2 2 3 4 2 4 2 3" xfId="37212"/>
    <cellStyle name="20% - Accent1 2 2 3 4 2 4 3" xfId="9516"/>
    <cellStyle name="20% - Accent1 2 2 3 4 2 4 3 2" xfId="43599"/>
    <cellStyle name="20% - Accent1 2 2 3 4 2 4 4" xfId="21317"/>
    <cellStyle name="20% - Accent1 2 2 3 4 2 4 4 2" xfId="50671"/>
    <cellStyle name="20% - Accent1 2 2 3 4 2 4 5" xfId="34932"/>
    <cellStyle name="20% - Accent1 2 2 3 4 2 5" xfId="2222"/>
    <cellStyle name="20% - Accent1 2 2 3 4 2 5 2" xfId="16975"/>
    <cellStyle name="20% - Accent1 2 2 3 4 2 5 2 2" xfId="28776"/>
    <cellStyle name="20% - Accent1 2 2 3 4 2 5 2 2 2" xfId="50672"/>
    <cellStyle name="20% - Accent1 2 2 3 4 2 5 2 3" xfId="42391"/>
    <cellStyle name="20% - Accent1 2 2 3 4 2 5 3" xfId="7675"/>
    <cellStyle name="20% - Accent1 2 2 3 4 2 5 3 2" xfId="50673"/>
    <cellStyle name="20% - Accent1 2 2 3 4 2 5 4" xfId="19476"/>
    <cellStyle name="20% - Accent1 2 2 3 4 2 5 4 2" xfId="50674"/>
    <cellStyle name="20% - Accent1 2 2 3 4 2 5 5" xfId="33091"/>
    <cellStyle name="20% - Accent1 2 2 3 4 2 6" xfId="11797"/>
    <cellStyle name="20% - Accent1 2 2 3 4 2 6 2" xfId="23598"/>
    <cellStyle name="20% - Accent1 2 2 3 4 2 6 2 2" xfId="50675"/>
    <cellStyle name="20% - Accent1 2 2 3 4 2 6 3" xfId="37213"/>
    <cellStyle name="20% - Accent1 2 2 3 4 2 7" xfId="5775"/>
    <cellStyle name="20% - Accent1 2 2 3 4 2 7 2" xfId="50676"/>
    <cellStyle name="20% - Accent1 2 2 3 4 2 8" xfId="17576"/>
    <cellStyle name="20% - Accent1 2 2 3 4 2 8 2" xfId="50677"/>
    <cellStyle name="20% - Accent1 2 2 3 4 2 9" xfId="31191"/>
    <cellStyle name="20% - Accent1 2 2 3 4 3" xfId="728"/>
    <cellStyle name="20% - Accent1 2 2 3 4 3 2" xfId="1100"/>
    <cellStyle name="20% - Accent1 2 2 3 4 3 2 2" xfId="4470"/>
    <cellStyle name="20% - Accent1 2 2 3 4 3 2 2 2" xfId="11798"/>
    <cellStyle name="20% - Accent1 2 2 3 4 3 2 2 2 2" xfId="23599"/>
    <cellStyle name="20% - Accent1 2 2 3 4 3 2 2 2 2 2" xfId="50678"/>
    <cellStyle name="20% - Accent1 2 2 3 4 3 2 2 2 3" xfId="37214"/>
    <cellStyle name="20% - Accent1 2 2 3 4 3 2 2 3" xfId="9923"/>
    <cellStyle name="20% - Accent1 2 2 3 4 3 2 2 3 2" xfId="43600"/>
    <cellStyle name="20% - Accent1 2 2 3 4 3 2 2 4" xfId="21724"/>
    <cellStyle name="20% - Accent1 2 2 3 4 3 2 2 4 2" xfId="50679"/>
    <cellStyle name="20% - Accent1 2 2 3 4 3 2 2 5" xfId="35339"/>
    <cellStyle name="20% - Accent1 2 2 3 4 3 2 3" xfId="11799"/>
    <cellStyle name="20% - Accent1 2 2 3 4 3 2 3 2" xfId="23600"/>
    <cellStyle name="20% - Accent1 2 2 3 4 3 2 3 2 2" xfId="43601"/>
    <cellStyle name="20% - Accent1 2 2 3 4 3 2 3 3" xfId="29342"/>
    <cellStyle name="20% - Accent1 2 2 3 4 3 2 3 3 2" xfId="43602"/>
    <cellStyle name="20% - Accent1 2 2 3 4 3 2 3 4" xfId="29343"/>
    <cellStyle name="20% - Accent1 2 2 3 4 3 2 3 4 2" xfId="50680"/>
    <cellStyle name="20% - Accent1 2 2 3 4 3 2 3 5" xfId="37215"/>
    <cellStyle name="20% - Accent1 2 2 3 4 3 2 4" xfId="11800"/>
    <cellStyle name="20% - Accent1 2 2 3 4 3 2 4 2" xfId="23601"/>
    <cellStyle name="20% - Accent1 2 2 3 4 3 2 4 2 2" xfId="50681"/>
    <cellStyle name="20% - Accent1 2 2 3 4 3 2 4 3" xfId="37216"/>
    <cellStyle name="20% - Accent1 2 2 3 4 3 2 5" xfId="6554"/>
    <cellStyle name="20% - Accent1 2 2 3 4 3 2 5 2" xfId="43603"/>
    <cellStyle name="20% - Accent1 2 2 3 4 3 2 6" xfId="18355"/>
    <cellStyle name="20% - Accent1 2 2 3 4 3 2 6 2" xfId="50682"/>
    <cellStyle name="20% - Accent1 2 2 3 4 3 2 7" xfId="31970"/>
    <cellStyle name="20% - Accent1 2 2 3 4 3 3" xfId="2629"/>
    <cellStyle name="20% - Accent1 2 2 3 4 3 3 2" xfId="11801"/>
    <cellStyle name="20% - Accent1 2 2 3 4 3 3 2 2" xfId="23602"/>
    <cellStyle name="20% - Accent1 2 2 3 4 3 3 2 2 2" xfId="50683"/>
    <cellStyle name="20% - Accent1 2 2 3 4 3 3 2 3" xfId="37217"/>
    <cellStyle name="20% - Accent1 2 2 3 4 3 3 3" xfId="8082"/>
    <cellStyle name="20% - Accent1 2 2 3 4 3 3 3 2" xfId="43604"/>
    <cellStyle name="20% - Accent1 2 2 3 4 3 3 4" xfId="19883"/>
    <cellStyle name="20% - Accent1 2 2 3 4 3 3 4 2" xfId="50684"/>
    <cellStyle name="20% - Accent1 2 2 3 4 3 3 5" xfId="33498"/>
    <cellStyle name="20% - Accent1 2 2 3 4 3 4" xfId="11802"/>
    <cellStyle name="20% - Accent1 2 2 3 4 3 4 2" xfId="23603"/>
    <cellStyle name="20% - Accent1 2 2 3 4 3 4 2 2" xfId="43605"/>
    <cellStyle name="20% - Accent1 2 2 3 4 3 4 3" xfId="29344"/>
    <cellStyle name="20% - Accent1 2 2 3 4 3 4 3 2" xfId="43606"/>
    <cellStyle name="20% - Accent1 2 2 3 4 3 4 4" xfId="29345"/>
    <cellStyle name="20% - Accent1 2 2 3 4 3 4 4 2" xfId="50685"/>
    <cellStyle name="20% - Accent1 2 2 3 4 3 4 5" xfId="37218"/>
    <cellStyle name="20% - Accent1 2 2 3 4 3 5" xfId="11803"/>
    <cellStyle name="20% - Accent1 2 2 3 4 3 5 2" xfId="23604"/>
    <cellStyle name="20% - Accent1 2 2 3 4 3 5 2 2" xfId="50686"/>
    <cellStyle name="20% - Accent1 2 2 3 4 3 5 3" xfId="37219"/>
    <cellStyle name="20% - Accent1 2 2 3 4 3 6" xfId="6182"/>
    <cellStyle name="20% - Accent1 2 2 3 4 3 6 2" xfId="43607"/>
    <cellStyle name="20% - Accent1 2 2 3 4 3 7" xfId="17983"/>
    <cellStyle name="20% - Accent1 2 2 3 4 3 7 2" xfId="50687"/>
    <cellStyle name="20% - Accent1 2 2 3 4 3 8" xfId="31598"/>
    <cellStyle name="20% - Accent1 2 2 3 4 4" xfId="1101"/>
    <cellStyle name="20% - Accent1 2 2 3 4 4 2" xfId="5038"/>
    <cellStyle name="20% - Accent1 2 2 3 4 4 2 2" xfId="11804"/>
    <cellStyle name="20% - Accent1 2 2 3 4 4 2 2 2" xfId="23605"/>
    <cellStyle name="20% - Accent1 2 2 3 4 4 2 2 2 2" xfId="50688"/>
    <cellStyle name="20% - Accent1 2 2 3 4 4 2 2 3" xfId="37220"/>
    <cellStyle name="20% - Accent1 2 2 3 4 4 2 3" xfId="10491"/>
    <cellStyle name="20% - Accent1 2 2 3 4 4 2 3 2" xfId="43608"/>
    <cellStyle name="20% - Accent1 2 2 3 4 4 2 4" xfId="22292"/>
    <cellStyle name="20% - Accent1 2 2 3 4 4 2 4 2" xfId="50689"/>
    <cellStyle name="20% - Accent1 2 2 3 4 4 2 5" xfId="35907"/>
    <cellStyle name="20% - Accent1 2 2 3 4 4 3" xfId="3197"/>
    <cellStyle name="20% - Accent1 2 2 3 4 4 3 2" xfId="11805"/>
    <cellStyle name="20% - Accent1 2 2 3 4 4 3 2 2" xfId="23606"/>
    <cellStyle name="20% - Accent1 2 2 3 4 4 3 2 2 2" xfId="50690"/>
    <cellStyle name="20% - Accent1 2 2 3 4 4 3 2 3" xfId="37221"/>
    <cellStyle name="20% - Accent1 2 2 3 4 4 3 3" xfId="8650"/>
    <cellStyle name="20% - Accent1 2 2 3 4 4 3 3 2" xfId="43609"/>
    <cellStyle name="20% - Accent1 2 2 3 4 4 3 4" xfId="20451"/>
    <cellStyle name="20% - Accent1 2 2 3 4 4 3 4 2" xfId="50691"/>
    <cellStyle name="20% - Accent1 2 2 3 4 4 3 5" xfId="34066"/>
    <cellStyle name="20% - Accent1 2 2 3 4 4 4" xfId="11806"/>
    <cellStyle name="20% - Accent1 2 2 3 4 4 4 2" xfId="23607"/>
    <cellStyle name="20% - Accent1 2 2 3 4 4 4 2 2" xfId="50692"/>
    <cellStyle name="20% - Accent1 2 2 3 4 4 4 3" xfId="37222"/>
    <cellStyle name="20% - Accent1 2 2 3 4 4 5" xfId="6555"/>
    <cellStyle name="20% - Accent1 2 2 3 4 4 5 2" xfId="43610"/>
    <cellStyle name="20% - Accent1 2 2 3 4 4 6" xfId="18356"/>
    <cellStyle name="20% - Accent1 2 2 3 4 4 6 2" xfId="50693"/>
    <cellStyle name="20% - Accent1 2 2 3 4 4 7" xfId="31971"/>
    <cellStyle name="20% - Accent1 2 2 3 4 5" xfId="3902"/>
    <cellStyle name="20% - Accent1 2 2 3 4 5 2" xfId="11807"/>
    <cellStyle name="20% - Accent1 2 2 3 4 5 2 2" xfId="23608"/>
    <cellStyle name="20% - Accent1 2 2 3 4 5 2 2 2" xfId="50694"/>
    <cellStyle name="20% - Accent1 2 2 3 4 5 2 3" xfId="37223"/>
    <cellStyle name="20% - Accent1 2 2 3 4 5 3" xfId="9355"/>
    <cellStyle name="20% - Accent1 2 2 3 4 5 3 2" xfId="43611"/>
    <cellStyle name="20% - Accent1 2 2 3 4 5 4" xfId="21156"/>
    <cellStyle name="20% - Accent1 2 2 3 4 5 4 2" xfId="50695"/>
    <cellStyle name="20% - Accent1 2 2 3 4 5 5" xfId="34771"/>
    <cellStyle name="20% - Accent1 2 2 3 4 6" xfId="2061"/>
    <cellStyle name="20% - Accent1 2 2 3 4 6 2" xfId="11808"/>
    <cellStyle name="20% - Accent1 2 2 3 4 6 2 2" xfId="23609"/>
    <cellStyle name="20% - Accent1 2 2 3 4 6 2 2 2" xfId="50696"/>
    <cellStyle name="20% - Accent1 2 2 3 4 6 2 3" xfId="37224"/>
    <cellStyle name="20% - Accent1 2 2 3 4 6 3" xfId="7514"/>
    <cellStyle name="20% - Accent1 2 2 3 4 6 3 2" xfId="43612"/>
    <cellStyle name="20% - Accent1 2 2 3 4 6 4" xfId="19315"/>
    <cellStyle name="20% - Accent1 2 2 3 4 6 4 2" xfId="50697"/>
    <cellStyle name="20% - Accent1 2 2 3 4 6 5" xfId="32930"/>
    <cellStyle name="20% - Accent1 2 2 3 4 7" xfId="11809"/>
    <cellStyle name="20% - Accent1 2 2 3 4 7 2" xfId="23610"/>
    <cellStyle name="20% - Accent1 2 2 3 4 7 2 2" xfId="50698"/>
    <cellStyle name="20% - Accent1 2 2 3 4 7 3" xfId="37225"/>
    <cellStyle name="20% - Accent1 2 2 3 4 8" xfId="5614"/>
    <cellStyle name="20% - Accent1 2 2 3 4 8 2" xfId="43613"/>
    <cellStyle name="20% - Accent1 2 2 3 4 9" xfId="17415"/>
    <cellStyle name="20% - Accent1 2 2 3 4 9 2" xfId="50699"/>
    <cellStyle name="20% - Accent1 2 2 3 5" xfId="458"/>
    <cellStyle name="20% - Accent1 2 2 3 5 2" xfId="1102"/>
    <cellStyle name="20% - Accent1 2 2 3 5 2 2" xfId="4768"/>
    <cellStyle name="20% - Accent1 2 2 3 5 2 2 2" xfId="11810"/>
    <cellStyle name="20% - Accent1 2 2 3 5 2 2 2 2" xfId="23611"/>
    <cellStyle name="20% - Accent1 2 2 3 5 2 2 2 2 2" xfId="50700"/>
    <cellStyle name="20% - Accent1 2 2 3 5 2 2 2 3" xfId="37226"/>
    <cellStyle name="20% - Accent1 2 2 3 5 2 2 3" xfId="10221"/>
    <cellStyle name="20% - Accent1 2 2 3 5 2 2 3 2" xfId="43614"/>
    <cellStyle name="20% - Accent1 2 2 3 5 2 2 4" xfId="22022"/>
    <cellStyle name="20% - Accent1 2 2 3 5 2 2 4 2" xfId="50701"/>
    <cellStyle name="20% - Accent1 2 2 3 5 2 2 5" xfId="35637"/>
    <cellStyle name="20% - Accent1 2 2 3 5 2 3" xfId="2927"/>
    <cellStyle name="20% - Accent1 2 2 3 5 2 3 2" xfId="11811"/>
    <cellStyle name="20% - Accent1 2 2 3 5 2 3 2 2" xfId="23612"/>
    <cellStyle name="20% - Accent1 2 2 3 5 2 3 2 2 2" xfId="50702"/>
    <cellStyle name="20% - Accent1 2 2 3 5 2 3 2 3" xfId="37227"/>
    <cellStyle name="20% - Accent1 2 2 3 5 2 3 3" xfId="8380"/>
    <cellStyle name="20% - Accent1 2 2 3 5 2 3 3 2" xfId="43615"/>
    <cellStyle name="20% - Accent1 2 2 3 5 2 3 4" xfId="20181"/>
    <cellStyle name="20% - Accent1 2 2 3 5 2 3 4 2" xfId="50703"/>
    <cellStyle name="20% - Accent1 2 2 3 5 2 3 5" xfId="33796"/>
    <cellStyle name="20% - Accent1 2 2 3 5 2 4" xfId="11812"/>
    <cellStyle name="20% - Accent1 2 2 3 5 2 4 2" xfId="23613"/>
    <cellStyle name="20% - Accent1 2 2 3 5 2 4 2 2" xfId="50704"/>
    <cellStyle name="20% - Accent1 2 2 3 5 2 4 3" xfId="37228"/>
    <cellStyle name="20% - Accent1 2 2 3 5 2 5" xfId="6556"/>
    <cellStyle name="20% - Accent1 2 2 3 5 2 5 2" xfId="43616"/>
    <cellStyle name="20% - Accent1 2 2 3 5 2 6" xfId="18357"/>
    <cellStyle name="20% - Accent1 2 2 3 5 2 6 2" xfId="50705"/>
    <cellStyle name="20% - Accent1 2 2 3 5 2 7" xfId="31972"/>
    <cellStyle name="20% - Accent1 2 2 3 5 3" xfId="3495"/>
    <cellStyle name="20% - Accent1 2 2 3 5 3 2" xfId="5336"/>
    <cellStyle name="20% - Accent1 2 2 3 5 3 2 2" xfId="16806"/>
    <cellStyle name="20% - Accent1 2 2 3 5 3 2 2 2" xfId="28607"/>
    <cellStyle name="20% - Accent1 2 2 3 5 3 2 2 2 2" xfId="50706"/>
    <cellStyle name="20% - Accent1 2 2 3 5 3 2 2 3" xfId="42222"/>
    <cellStyle name="20% - Accent1 2 2 3 5 3 2 3" xfId="10789"/>
    <cellStyle name="20% - Accent1 2 2 3 5 3 2 3 2" xfId="50707"/>
    <cellStyle name="20% - Accent1 2 2 3 5 3 2 4" xfId="22590"/>
    <cellStyle name="20% - Accent1 2 2 3 5 3 2 4 2" xfId="50708"/>
    <cellStyle name="20% - Accent1 2 2 3 5 3 2 5" xfId="36205"/>
    <cellStyle name="20% - Accent1 2 2 3 5 3 3" xfId="11813"/>
    <cellStyle name="20% - Accent1 2 2 3 5 3 3 2" xfId="23614"/>
    <cellStyle name="20% - Accent1 2 2 3 5 3 3 2 2" xfId="50709"/>
    <cellStyle name="20% - Accent1 2 2 3 5 3 3 3" xfId="37229"/>
    <cellStyle name="20% - Accent1 2 2 3 5 3 4" xfId="8948"/>
    <cellStyle name="20% - Accent1 2 2 3 5 3 4 2" xfId="50710"/>
    <cellStyle name="20% - Accent1 2 2 3 5 3 5" xfId="20749"/>
    <cellStyle name="20% - Accent1 2 2 3 5 3 5 2" xfId="50711"/>
    <cellStyle name="20% - Accent1 2 2 3 5 3 6" xfId="34364"/>
    <cellStyle name="20% - Accent1 2 2 3 5 4" xfId="4200"/>
    <cellStyle name="20% - Accent1 2 2 3 5 4 2" xfId="11814"/>
    <cellStyle name="20% - Accent1 2 2 3 5 4 2 2" xfId="23615"/>
    <cellStyle name="20% - Accent1 2 2 3 5 4 2 2 2" xfId="50712"/>
    <cellStyle name="20% - Accent1 2 2 3 5 4 2 3" xfId="37230"/>
    <cellStyle name="20% - Accent1 2 2 3 5 4 3" xfId="9653"/>
    <cellStyle name="20% - Accent1 2 2 3 5 4 3 2" xfId="43617"/>
    <cellStyle name="20% - Accent1 2 2 3 5 4 4" xfId="21454"/>
    <cellStyle name="20% - Accent1 2 2 3 5 4 4 2" xfId="50713"/>
    <cellStyle name="20% - Accent1 2 2 3 5 4 5" xfId="35069"/>
    <cellStyle name="20% - Accent1 2 2 3 5 5" xfId="2359"/>
    <cellStyle name="20% - Accent1 2 2 3 5 5 2" xfId="16976"/>
    <cellStyle name="20% - Accent1 2 2 3 5 5 2 2" xfId="28777"/>
    <cellStyle name="20% - Accent1 2 2 3 5 5 2 2 2" xfId="50714"/>
    <cellStyle name="20% - Accent1 2 2 3 5 5 2 3" xfId="42392"/>
    <cellStyle name="20% - Accent1 2 2 3 5 5 3" xfId="7812"/>
    <cellStyle name="20% - Accent1 2 2 3 5 5 3 2" xfId="50715"/>
    <cellStyle name="20% - Accent1 2 2 3 5 5 4" xfId="19613"/>
    <cellStyle name="20% - Accent1 2 2 3 5 5 4 2" xfId="50716"/>
    <cellStyle name="20% - Accent1 2 2 3 5 5 5" xfId="33228"/>
    <cellStyle name="20% - Accent1 2 2 3 5 6" xfId="11815"/>
    <cellStyle name="20% - Accent1 2 2 3 5 6 2" xfId="23616"/>
    <cellStyle name="20% - Accent1 2 2 3 5 6 2 2" xfId="50717"/>
    <cellStyle name="20% - Accent1 2 2 3 5 6 3" xfId="37231"/>
    <cellStyle name="20% - Accent1 2 2 3 5 7" xfId="5912"/>
    <cellStyle name="20% - Accent1 2 2 3 5 7 2" xfId="50718"/>
    <cellStyle name="20% - Accent1 2 2 3 5 8" xfId="17713"/>
    <cellStyle name="20% - Accent1 2 2 3 5 8 2" xfId="50719"/>
    <cellStyle name="20% - Accent1 2 2 3 5 9" xfId="31328"/>
    <cellStyle name="20% - Accent1 2 2 3 6" xfId="272"/>
    <cellStyle name="20% - Accent1 2 2 3 6 2" xfId="1103"/>
    <cellStyle name="20% - Accent1 2 2 3 6 2 2" xfId="4582"/>
    <cellStyle name="20% - Accent1 2 2 3 6 2 2 2" xfId="11816"/>
    <cellStyle name="20% - Accent1 2 2 3 6 2 2 2 2" xfId="23617"/>
    <cellStyle name="20% - Accent1 2 2 3 6 2 2 2 2 2" xfId="50720"/>
    <cellStyle name="20% - Accent1 2 2 3 6 2 2 2 3" xfId="37232"/>
    <cellStyle name="20% - Accent1 2 2 3 6 2 2 3" xfId="10035"/>
    <cellStyle name="20% - Accent1 2 2 3 6 2 2 3 2" xfId="43618"/>
    <cellStyle name="20% - Accent1 2 2 3 6 2 2 4" xfId="21836"/>
    <cellStyle name="20% - Accent1 2 2 3 6 2 2 4 2" xfId="50721"/>
    <cellStyle name="20% - Accent1 2 2 3 6 2 2 5" xfId="35451"/>
    <cellStyle name="20% - Accent1 2 2 3 6 2 3" xfId="2741"/>
    <cellStyle name="20% - Accent1 2 2 3 6 2 3 2" xfId="11817"/>
    <cellStyle name="20% - Accent1 2 2 3 6 2 3 2 2" xfId="23618"/>
    <cellStyle name="20% - Accent1 2 2 3 6 2 3 2 2 2" xfId="50722"/>
    <cellStyle name="20% - Accent1 2 2 3 6 2 3 2 3" xfId="37233"/>
    <cellStyle name="20% - Accent1 2 2 3 6 2 3 3" xfId="8194"/>
    <cellStyle name="20% - Accent1 2 2 3 6 2 3 3 2" xfId="43619"/>
    <cellStyle name="20% - Accent1 2 2 3 6 2 3 4" xfId="19995"/>
    <cellStyle name="20% - Accent1 2 2 3 6 2 3 4 2" xfId="50723"/>
    <cellStyle name="20% - Accent1 2 2 3 6 2 3 5" xfId="33610"/>
    <cellStyle name="20% - Accent1 2 2 3 6 2 4" xfId="11818"/>
    <cellStyle name="20% - Accent1 2 2 3 6 2 4 2" xfId="23619"/>
    <cellStyle name="20% - Accent1 2 2 3 6 2 4 2 2" xfId="50724"/>
    <cellStyle name="20% - Accent1 2 2 3 6 2 4 3" xfId="37234"/>
    <cellStyle name="20% - Accent1 2 2 3 6 2 5" xfId="6557"/>
    <cellStyle name="20% - Accent1 2 2 3 6 2 5 2" xfId="43620"/>
    <cellStyle name="20% - Accent1 2 2 3 6 2 6" xfId="18358"/>
    <cellStyle name="20% - Accent1 2 2 3 6 2 6 2" xfId="50725"/>
    <cellStyle name="20% - Accent1 2 2 3 6 2 7" xfId="31973"/>
    <cellStyle name="20% - Accent1 2 2 3 6 3" xfId="3309"/>
    <cellStyle name="20% - Accent1 2 2 3 6 3 2" xfId="5150"/>
    <cellStyle name="20% - Accent1 2 2 3 6 3 2 2" xfId="16620"/>
    <cellStyle name="20% - Accent1 2 2 3 6 3 2 2 2" xfId="28421"/>
    <cellStyle name="20% - Accent1 2 2 3 6 3 2 2 2 2" xfId="50726"/>
    <cellStyle name="20% - Accent1 2 2 3 6 3 2 2 3" xfId="42036"/>
    <cellStyle name="20% - Accent1 2 2 3 6 3 2 3" xfId="10603"/>
    <cellStyle name="20% - Accent1 2 2 3 6 3 2 3 2" xfId="50727"/>
    <cellStyle name="20% - Accent1 2 2 3 6 3 2 4" xfId="22404"/>
    <cellStyle name="20% - Accent1 2 2 3 6 3 2 4 2" xfId="50728"/>
    <cellStyle name="20% - Accent1 2 2 3 6 3 2 5" xfId="36019"/>
    <cellStyle name="20% - Accent1 2 2 3 6 3 3" xfId="11819"/>
    <cellStyle name="20% - Accent1 2 2 3 6 3 3 2" xfId="23620"/>
    <cellStyle name="20% - Accent1 2 2 3 6 3 3 2 2" xfId="50729"/>
    <cellStyle name="20% - Accent1 2 2 3 6 3 3 3" xfId="37235"/>
    <cellStyle name="20% - Accent1 2 2 3 6 3 4" xfId="8762"/>
    <cellStyle name="20% - Accent1 2 2 3 6 3 4 2" xfId="50730"/>
    <cellStyle name="20% - Accent1 2 2 3 6 3 5" xfId="20563"/>
    <cellStyle name="20% - Accent1 2 2 3 6 3 5 2" xfId="50731"/>
    <cellStyle name="20% - Accent1 2 2 3 6 3 6" xfId="34178"/>
    <cellStyle name="20% - Accent1 2 2 3 6 4" xfId="4014"/>
    <cellStyle name="20% - Accent1 2 2 3 6 4 2" xfId="11820"/>
    <cellStyle name="20% - Accent1 2 2 3 6 4 2 2" xfId="23621"/>
    <cellStyle name="20% - Accent1 2 2 3 6 4 2 2 2" xfId="50732"/>
    <cellStyle name="20% - Accent1 2 2 3 6 4 2 3" xfId="37236"/>
    <cellStyle name="20% - Accent1 2 2 3 6 4 3" xfId="9467"/>
    <cellStyle name="20% - Accent1 2 2 3 6 4 3 2" xfId="43621"/>
    <cellStyle name="20% - Accent1 2 2 3 6 4 4" xfId="21268"/>
    <cellStyle name="20% - Accent1 2 2 3 6 4 4 2" xfId="50733"/>
    <cellStyle name="20% - Accent1 2 2 3 6 4 5" xfId="34883"/>
    <cellStyle name="20% - Accent1 2 2 3 6 5" xfId="2173"/>
    <cellStyle name="20% - Accent1 2 2 3 6 5 2" xfId="16977"/>
    <cellStyle name="20% - Accent1 2 2 3 6 5 2 2" xfId="28778"/>
    <cellStyle name="20% - Accent1 2 2 3 6 5 2 2 2" xfId="50734"/>
    <cellStyle name="20% - Accent1 2 2 3 6 5 2 3" xfId="42393"/>
    <cellStyle name="20% - Accent1 2 2 3 6 5 3" xfId="7626"/>
    <cellStyle name="20% - Accent1 2 2 3 6 5 3 2" xfId="50735"/>
    <cellStyle name="20% - Accent1 2 2 3 6 5 4" xfId="19427"/>
    <cellStyle name="20% - Accent1 2 2 3 6 5 4 2" xfId="50736"/>
    <cellStyle name="20% - Accent1 2 2 3 6 5 5" xfId="33042"/>
    <cellStyle name="20% - Accent1 2 2 3 6 6" xfId="11821"/>
    <cellStyle name="20% - Accent1 2 2 3 6 6 2" xfId="23622"/>
    <cellStyle name="20% - Accent1 2 2 3 6 6 2 2" xfId="50737"/>
    <cellStyle name="20% - Accent1 2 2 3 6 6 3" xfId="37237"/>
    <cellStyle name="20% - Accent1 2 2 3 6 7" xfId="5726"/>
    <cellStyle name="20% - Accent1 2 2 3 6 7 2" xfId="50738"/>
    <cellStyle name="20% - Accent1 2 2 3 6 8" xfId="17527"/>
    <cellStyle name="20% - Accent1 2 2 3 6 8 2" xfId="50739"/>
    <cellStyle name="20% - Accent1 2 2 3 6 9" xfId="31142"/>
    <cellStyle name="20% - Accent1 2 2 3 7" xfId="599"/>
    <cellStyle name="20% - Accent1 2 2 3 7 2" xfId="1104"/>
    <cellStyle name="20% - Accent1 2 2 3 7 2 2" xfId="4341"/>
    <cellStyle name="20% - Accent1 2 2 3 7 2 2 2" xfId="11822"/>
    <cellStyle name="20% - Accent1 2 2 3 7 2 2 2 2" xfId="23623"/>
    <cellStyle name="20% - Accent1 2 2 3 7 2 2 2 2 2" xfId="50740"/>
    <cellStyle name="20% - Accent1 2 2 3 7 2 2 2 3" xfId="37238"/>
    <cellStyle name="20% - Accent1 2 2 3 7 2 2 3" xfId="9794"/>
    <cellStyle name="20% - Accent1 2 2 3 7 2 2 3 2" xfId="43622"/>
    <cellStyle name="20% - Accent1 2 2 3 7 2 2 4" xfId="21595"/>
    <cellStyle name="20% - Accent1 2 2 3 7 2 2 4 2" xfId="50741"/>
    <cellStyle name="20% - Accent1 2 2 3 7 2 2 5" xfId="35210"/>
    <cellStyle name="20% - Accent1 2 2 3 7 2 3" xfId="11823"/>
    <cellStyle name="20% - Accent1 2 2 3 7 2 3 2" xfId="23624"/>
    <cellStyle name="20% - Accent1 2 2 3 7 2 3 2 2" xfId="43623"/>
    <cellStyle name="20% - Accent1 2 2 3 7 2 3 3" xfId="29346"/>
    <cellStyle name="20% - Accent1 2 2 3 7 2 3 3 2" xfId="43624"/>
    <cellStyle name="20% - Accent1 2 2 3 7 2 3 4" xfId="29347"/>
    <cellStyle name="20% - Accent1 2 2 3 7 2 3 4 2" xfId="50742"/>
    <cellStyle name="20% - Accent1 2 2 3 7 2 3 5" xfId="37239"/>
    <cellStyle name="20% - Accent1 2 2 3 7 2 4" xfId="11824"/>
    <cellStyle name="20% - Accent1 2 2 3 7 2 4 2" xfId="23625"/>
    <cellStyle name="20% - Accent1 2 2 3 7 2 4 2 2" xfId="50743"/>
    <cellStyle name="20% - Accent1 2 2 3 7 2 4 3" xfId="37240"/>
    <cellStyle name="20% - Accent1 2 2 3 7 2 5" xfId="6558"/>
    <cellStyle name="20% - Accent1 2 2 3 7 2 5 2" xfId="43625"/>
    <cellStyle name="20% - Accent1 2 2 3 7 2 6" xfId="18359"/>
    <cellStyle name="20% - Accent1 2 2 3 7 2 6 2" xfId="50744"/>
    <cellStyle name="20% - Accent1 2 2 3 7 2 7" xfId="31974"/>
    <cellStyle name="20% - Accent1 2 2 3 7 3" xfId="2500"/>
    <cellStyle name="20% - Accent1 2 2 3 7 3 2" xfId="11825"/>
    <cellStyle name="20% - Accent1 2 2 3 7 3 2 2" xfId="23626"/>
    <cellStyle name="20% - Accent1 2 2 3 7 3 2 2 2" xfId="50745"/>
    <cellStyle name="20% - Accent1 2 2 3 7 3 2 3" xfId="37241"/>
    <cellStyle name="20% - Accent1 2 2 3 7 3 3" xfId="7953"/>
    <cellStyle name="20% - Accent1 2 2 3 7 3 3 2" xfId="43626"/>
    <cellStyle name="20% - Accent1 2 2 3 7 3 4" xfId="19754"/>
    <cellStyle name="20% - Accent1 2 2 3 7 3 4 2" xfId="50746"/>
    <cellStyle name="20% - Accent1 2 2 3 7 3 5" xfId="33369"/>
    <cellStyle name="20% - Accent1 2 2 3 7 4" xfId="11826"/>
    <cellStyle name="20% - Accent1 2 2 3 7 4 2" xfId="23627"/>
    <cellStyle name="20% - Accent1 2 2 3 7 4 2 2" xfId="43627"/>
    <cellStyle name="20% - Accent1 2 2 3 7 4 3" xfId="29348"/>
    <cellStyle name="20% - Accent1 2 2 3 7 4 3 2" xfId="43628"/>
    <cellStyle name="20% - Accent1 2 2 3 7 4 4" xfId="29349"/>
    <cellStyle name="20% - Accent1 2 2 3 7 4 4 2" xfId="50747"/>
    <cellStyle name="20% - Accent1 2 2 3 7 4 5" xfId="37242"/>
    <cellStyle name="20% - Accent1 2 2 3 7 5" xfId="11827"/>
    <cellStyle name="20% - Accent1 2 2 3 7 5 2" xfId="23628"/>
    <cellStyle name="20% - Accent1 2 2 3 7 5 2 2" xfId="50748"/>
    <cellStyle name="20% - Accent1 2 2 3 7 5 3" xfId="37243"/>
    <cellStyle name="20% - Accent1 2 2 3 7 6" xfId="6053"/>
    <cellStyle name="20% - Accent1 2 2 3 7 6 2" xfId="43629"/>
    <cellStyle name="20% - Accent1 2 2 3 7 7" xfId="17854"/>
    <cellStyle name="20% - Accent1 2 2 3 7 7 2" xfId="50749"/>
    <cellStyle name="20% - Accent1 2 2 3 7 8" xfId="31469"/>
    <cellStyle name="20% - Accent1 2 2 3 8" xfId="840"/>
    <cellStyle name="20% - Accent1 2 2 3 8 2" xfId="1105"/>
    <cellStyle name="20% - Accent1 2 2 3 8 2 2" xfId="4909"/>
    <cellStyle name="20% - Accent1 2 2 3 8 2 2 2" xfId="11828"/>
    <cellStyle name="20% - Accent1 2 2 3 8 2 2 2 2" xfId="23629"/>
    <cellStyle name="20% - Accent1 2 2 3 8 2 2 2 2 2" xfId="50750"/>
    <cellStyle name="20% - Accent1 2 2 3 8 2 2 2 3" xfId="37244"/>
    <cellStyle name="20% - Accent1 2 2 3 8 2 2 3" xfId="10362"/>
    <cellStyle name="20% - Accent1 2 2 3 8 2 2 3 2" xfId="43630"/>
    <cellStyle name="20% - Accent1 2 2 3 8 2 2 4" xfId="22163"/>
    <cellStyle name="20% - Accent1 2 2 3 8 2 2 4 2" xfId="50751"/>
    <cellStyle name="20% - Accent1 2 2 3 8 2 2 5" xfId="35778"/>
    <cellStyle name="20% - Accent1 2 2 3 8 2 3" xfId="11829"/>
    <cellStyle name="20% - Accent1 2 2 3 8 2 3 2" xfId="23630"/>
    <cellStyle name="20% - Accent1 2 2 3 8 2 3 2 2" xfId="43631"/>
    <cellStyle name="20% - Accent1 2 2 3 8 2 3 3" xfId="29350"/>
    <cellStyle name="20% - Accent1 2 2 3 8 2 3 3 2" xfId="43632"/>
    <cellStyle name="20% - Accent1 2 2 3 8 2 3 4" xfId="29351"/>
    <cellStyle name="20% - Accent1 2 2 3 8 2 3 4 2" xfId="50752"/>
    <cellStyle name="20% - Accent1 2 2 3 8 2 3 5" xfId="37245"/>
    <cellStyle name="20% - Accent1 2 2 3 8 2 4" xfId="11830"/>
    <cellStyle name="20% - Accent1 2 2 3 8 2 4 2" xfId="23631"/>
    <cellStyle name="20% - Accent1 2 2 3 8 2 4 2 2" xfId="50753"/>
    <cellStyle name="20% - Accent1 2 2 3 8 2 4 3" xfId="37246"/>
    <cellStyle name="20% - Accent1 2 2 3 8 2 5" xfId="6559"/>
    <cellStyle name="20% - Accent1 2 2 3 8 2 5 2" xfId="43633"/>
    <cellStyle name="20% - Accent1 2 2 3 8 2 6" xfId="18360"/>
    <cellStyle name="20% - Accent1 2 2 3 8 2 6 2" xfId="50754"/>
    <cellStyle name="20% - Accent1 2 2 3 8 2 7" xfId="31975"/>
    <cellStyle name="20% - Accent1 2 2 3 8 3" xfId="3068"/>
    <cellStyle name="20% - Accent1 2 2 3 8 3 2" xfId="11831"/>
    <cellStyle name="20% - Accent1 2 2 3 8 3 2 2" xfId="23632"/>
    <cellStyle name="20% - Accent1 2 2 3 8 3 2 2 2" xfId="50755"/>
    <cellStyle name="20% - Accent1 2 2 3 8 3 2 3" xfId="37247"/>
    <cellStyle name="20% - Accent1 2 2 3 8 3 3" xfId="8521"/>
    <cellStyle name="20% - Accent1 2 2 3 8 3 3 2" xfId="43634"/>
    <cellStyle name="20% - Accent1 2 2 3 8 3 4" xfId="20322"/>
    <cellStyle name="20% - Accent1 2 2 3 8 3 4 2" xfId="50756"/>
    <cellStyle name="20% - Accent1 2 2 3 8 3 5" xfId="33937"/>
    <cellStyle name="20% - Accent1 2 2 3 8 4" xfId="11832"/>
    <cellStyle name="20% - Accent1 2 2 3 8 4 2" xfId="23633"/>
    <cellStyle name="20% - Accent1 2 2 3 8 4 2 2" xfId="43635"/>
    <cellStyle name="20% - Accent1 2 2 3 8 4 3" xfId="29352"/>
    <cellStyle name="20% - Accent1 2 2 3 8 4 3 2" xfId="43636"/>
    <cellStyle name="20% - Accent1 2 2 3 8 4 4" xfId="29353"/>
    <cellStyle name="20% - Accent1 2 2 3 8 4 4 2" xfId="50757"/>
    <cellStyle name="20% - Accent1 2 2 3 8 4 5" xfId="37248"/>
    <cellStyle name="20% - Accent1 2 2 3 8 5" xfId="11833"/>
    <cellStyle name="20% - Accent1 2 2 3 8 5 2" xfId="23634"/>
    <cellStyle name="20% - Accent1 2 2 3 8 5 2 2" xfId="50758"/>
    <cellStyle name="20% - Accent1 2 2 3 8 5 3" xfId="37249"/>
    <cellStyle name="20% - Accent1 2 2 3 8 6" xfId="6294"/>
    <cellStyle name="20% - Accent1 2 2 3 8 6 2" xfId="43637"/>
    <cellStyle name="20% - Accent1 2 2 3 8 7" xfId="18095"/>
    <cellStyle name="20% - Accent1 2 2 3 8 7 2" xfId="50759"/>
    <cellStyle name="20% - Accent1 2 2 3 8 8" xfId="31710"/>
    <cellStyle name="20% - Accent1 2 2 3 9" xfId="1106"/>
    <cellStyle name="20% - Accent1 2 2 3 9 2" xfId="3773"/>
    <cellStyle name="20% - Accent1 2 2 3 9 2 2" xfId="11834"/>
    <cellStyle name="20% - Accent1 2 2 3 9 2 2 2" xfId="23635"/>
    <cellStyle name="20% - Accent1 2 2 3 9 2 2 2 2" xfId="50760"/>
    <cellStyle name="20% - Accent1 2 2 3 9 2 2 3" xfId="37250"/>
    <cellStyle name="20% - Accent1 2 2 3 9 2 3" xfId="9226"/>
    <cellStyle name="20% - Accent1 2 2 3 9 2 3 2" xfId="43638"/>
    <cellStyle name="20% - Accent1 2 2 3 9 2 4" xfId="21027"/>
    <cellStyle name="20% - Accent1 2 2 3 9 2 4 2" xfId="50761"/>
    <cellStyle name="20% - Accent1 2 2 3 9 2 5" xfId="34642"/>
    <cellStyle name="20% - Accent1 2 2 3 9 3" xfId="11835"/>
    <cellStyle name="20% - Accent1 2 2 3 9 3 2" xfId="23636"/>
    <cellStyle name="20% - Accent1 2 2 3 9 3 2 2" xfId="43639"/>
    <cellStyle name="20% - Accent1 2 2 3 9 3 3" xfId="29354"/>
    <cellStyle name="20% - Accent1 2 2 3 9 3 3 2" xfId="43640"/>
    <cellStyle name="20% - Accent1 2 2 3 9 3 4" xfId="29355"/>
    <cellStyle name="20% - Accent1 2 2 3 9 3 4 2" xfId="50762"/>
    <cellStyle name="20% - Accent1 2 2 3 9 3 5" xfId="37251"/>
    <cellStyle name="20% - Accent1 2 2 3 9 4" xfId="11836"/>
    <cellStyle name="20% - Accent1 2 2 3 9 4 2" xfId="23637"/>
    <cellStyle name="20% - Accent1 2 2 3 9 4 2 2" xfId="50763"/>
    <cellStyle name="20% - Accent1 2 2 3 9 4 3" xfId="37252"/>
    <cellStyle name="20% - Accent1 2 2 3 9 5" xfId="6560"/>
    <cellStyle name="20% - Accent1 2 2 3 9 5 2" xfId="43641"/>
    <cellStyle name="20% - Accent1 2 2 3 9 6" xfId="18361"/>
    <cellStyle name="20% - Accent1 2 2 3 9 6 2" xfId="50764"/>
    <cellStyle name="20% - Accent1 2 2 3 9 7" xfId="31976"/>
    <cellStyle name="20% - Accent1 2 2 4" xfId="41"/>
    <cellStyle name="20% - Accent1 2 2 4 10" xfId="1942"/>
    <cellStyle name="20% - Accent1 2 2 4 10 2" xfId="11837"/>
    <cellStyle name="20% - Accent1 2 2 4 10 2 2" xfId="23638"/>
    <cellStyle name="20% - Accent1 2 2 4 10 2 2 2" xfId="50765"/>
    <cellStyle name="20% - Accent1 2 2 4 10 2 3" xfId="37253"/>
    <cellStyle name="20% - Accent1 2 2 4 10 3" xfId="7395"/>
    <cellStyle name="20% - Accent1 2 2 4 10 3 2" xfId="43642"/>
    <cellStyle name="20% - Accent1 2 2 4 10 4" xfId="19196"/>
    <cellStyle name="20% - Accent1 2 2 4 10 4 2" xfId="50766"/>
    <cellStyle name="20% - Accent1 2 2 4 10 5" xfId="32811"/>
    <cellStyle name="20% - Accent1 2 2 4 11" xfId="11838"/>
    <cellStyle name="20% - Accent1 2 2 4 11 2" xfId="23639"/>
    <cellStyle name="20% - Accent1 2 2 4 11 2 2" xfId="50767"/>
    <cellStyle name="20% - Accent1 2 2 4 11 3" xfId="37254"/>
    <cellStyle name="20% - Accent1 2 2 4 12" xfId="5495"/>
    <cellStyle name="20% - Accent1 2 2 4 12 2" xfId="43643"/>
    <cellStyle name="20% - Accent1 2 2 4 13" xfId="17296"/>
    <cellStyle name="20% - Accent1 2 2 4 13 2" xfId="50768"/>
    <cellStyle name="20% - Accent1 2 2 4 14" xfId="30911"/>
    <cellStyle name="20% - Accent1 2 2 4 2" xfId="108"/>
    <cellStyle name="20% - Accent1 2 2 4 2 10" xfId="5562"/>
    <cellStyle name="20% - Accent1 2 2 4 2 10 2" xfId="43644"/>
    <cellStyle name="20% - Accent1 2 2 4 2 11" xfId="17363"/>
    <cellStyle name="20% - Accent1 2 2 4 2 11 2" xfId="50769"/>
    <cellStyle name="20% - Accent1 2 2 4 2 12" xfId="30978"/>
    <cellStyle name="20% - Accent1 2 2 4 2 2" xfId="198"/>
    <cellStyle name="20% - Accent1 2 2 4 2 2 10" xfId="31068"/>
    <cellStyle name="20% - Accent1 2 2 4 2 2 2" xfId="535"/>
    <cellStyle name="20% - Accent1 2 2 4 2 2 2 2" xfId="1107"/>
    <cellStyle name="20% - Accent1 2 2 4 2 2 2 2 2" xfId="4845"/>
    <cellStyle name="20% - Accent1 2 2 4 2 2 2 2 2 2" xfId="11839"/>
    <cellStyle name="20% - Accent1 2 2 4 2 2 2 2 2 2 2" xfId="23640"/>
    <cellStyle name="20% - Accent1 2 2 4 2 2 2 2 2 2 2 2" xfId="50770"/>
    <cellStyle name="20% - Accent1 2 2 4 2 2 2 2 2 2 3" xfId="37255"/>
    <cellStyle name="20% - Accent1 2 2 4 2 2 2 2 2 3" xfId="10298"/>
    <cellStyle name="20% - Accent1 2 2 4 2 2 2 2 2 3 2" xfId="43645"/>
    <cellStyle name="20% - Accent1 2 2 4 2 2 2 2 2 4" xfId="22099"/>
    <cellStyle name="20% - Accent1 2 2 4 2 2 2 2 2 4 2" xfId="50771"/>
    <cellStyle name="20% - Accent1 2 2 4 2 2 2 2 2 5" xfId="35714"/>
    <cellStyle name="20% - Accent1 2 2 4 2 2 2 2 3" xfId="3004"/>
    <cellStyle name="20% - Accent1 2 2 4 2 2 2 2 3 2" xfId="11840"/>
    <cellStyle name="20% - Accent1 2 2 4 2 2 2 2 3 2 2" xfId="23641"/>
    <cellStyle name="20% - Accent1 2 2 4 2 2 2 2 3 2 2 2" xfId="50772"/>
    <cellStyle name="20% - Accent1 2 2 4 2 2 2 2 3 2 3" xfId="37256"/>
    <cellStyle name="20% - Accent1 2 2 4 2 2 2 2 3 3" xfId="8457"/>
    <cellStyle name="20% - Accent1 2 2 4 2 2 2 2 3 3 2" xfId="43646"/>
    <cellStyle name="20% - Accent1 2 2 4 2 2 2 2 3 4" xfId="20258"/>
    <cellStyle name="20% - Accent1 2 2 4 2 2 2 2 3 4 2" xfId="50773"/>
    <cellStyle name="20% - Accent1 2 2 4 2 2 2 2 3 5" xfId="33873"/>
    <cellStyle name="20% - Accent1 2 2 4 2 2 2 2 4" xfId="11841"/>
    <cellStyle name="20% - Accent1 2 2 4 2 2 2 2 4 2" xfId="23642"/>
    <cellStyle name="20% - Accent1 2 2 4 2 2 2 2 4 2 2" xfId="50774"/>
    <cellStyle name="20% - Accent1 2 2 4 2 2 2 2 4 3" xfId="37257"/>
    <cellStyle name="20% - Accent1 2 2 4 2 2 2 2 5" xfId="6561"/>
    <cellStyle name="20% - Accent1 2 2 4 2 2 2 2 5 2" xfId="43647"/>
    <cellStyle name="20% - Accent1 2 2 4 2 2 2 2 6" xfId="18362"/>
    <cellStyle name="20% - Accent1 2 2 4 2 2 2 2 6 2" xfId="50775"/>
    <cellStyle name="20% - Accent1 2 2 4 2 2 2 2 7" xfId="31977"/>
    <cellStyle name="20% - Accent1 2 2 4 2 2 2 3" xfId="3572"/>
    <cellStyle name="20% - Accent1 2 2 4 2 2 2 3 2" xfId="5413"/>
    <cellStyle name="20% - Accent1 2 2 4 2 2 2 3 2 2" xfId="16883"/>
    <cellStyle name="20% - Accent1 2 2 4 2 2 2 3 2 2 2" xfId="28684"/>
    <cellStyle name="20% - Accent1 2 2 4 2 2 2 3 2 2 2 2" xfId="50776"/>
    <cellStyle name="20% - Accent1 2 2 4 2 2 2 3 2 2 3" xfId="42299"/>
    <cellStyle name="20% - Accent1 2 2 4 2 2 2 3 2 3" xfId="10866"/>
    <cellStyle name="20% - Accent1 2 2 4 2 2 2 3 2 3 2" xfId="50777"/>
    <cellStyle name="20% - Accent1 2 2 4 2 2 2 3 2 4" xfId="22667"/>
    <cellStyle name="20% - Accent1 2 2 4 2 2 2 3 2 4 2" xfId="50778"/>
    <cellStyle name="20% - Accent1 2 2 4 2 2 2 3 2 5" xfId="36282"/>
    <cellStyle name="20% - Accent1 2 2 4 2 2 2 3 3" xfId="11842"/>
    <cellStyle name="20% - Accent1 2 2 4 2 2 2 3 3 2" xfId="23643"/>
    <cellStyle name="20% - Accent1 2 2 4 2 2 2 3 3 2 2" xfId="50779"/>
    <cellStyle name="20% - Accent1 2 2 4 2 2 2 3 3 3" xfId="37258"/>
    <cellStyle name="20% - Accent1 2 2 4 2 2 2 3 4" xfId="9025"/>
    <cellStyle name="20% - Accent1 2 2 4 2 2 2 3 4 2" xfId="50780"/>
    <cellStyle name="20% - Accent1 2 2 4 2 2 2 3 5" xfId="20826"/>
    <cellStyle name="20% - Accent1 2 2 4 2 2 2 3 5 2" xfId="50781"/>
    <cellStyle name="20% - Accent1 2 2 4 2 2 2 3 6" xfId="34441"/>
    <cellStyle name="20% - Accent1 2 2 4 2 2 2 4" xfId="4277"/>
    <cellStyle name="20% - Accent1 2 2 4 2 2 2 4 2" xfId="11843"/>
    <cellStyle name="20% - Accent1 2 2 4 2 2 2 4 2 2" xfId="23644"/>
    <cellStyle name="20% - Accent1 2 2 4 2 2 2 4 2 2 2" xfId="50782"/>
    <cellStyle name="20% - Accent1 2 2 4 2 2 2 4 2 3" xfId="37259"/>
    <cellStyle name="20% - Accent1 2 2 4 2 2 2 4 3" xfId="9730"/>
    <cellStyle name="20% - Accent1 2 2 4 2 2 2 4 3 2" xfId="43648"/>
    <cellStyle name="20% - Accent1 2 2 4 2 2 2 4 4" xfId="21531"/>
    <cellStyle name="20% - Accent1 2 2 4 2 2 2 4 4 2" xfId="50783"/>
    <cellStyle name="20% - Accent1 2 2 4 2 2 2 4 5" xfId="35146"/>
    <cellStyle name="20% - Accent1 2 2 4 2 2 2 5" xfId="2436"/>
    <cellStyle name="20% - Accent1 2 2 4 2 2 2 5 2" xfId="16978"/>
    <cellStyle name="20% - Accent1 2 2 4 2 2 2 5 2 2" xfId="28779"/>
    <cellStyle name="20% - Accent1 2 2 4 2 2 2 5 2 2 2" xfId="50784"/>
    <cellStyle name="20% - Accent1 2 2 4 2 2 2 5 2 3" xfId="42394"/>
    <cellStyle name="20% - Accent1 2 2 4 2 2 2 5 3" xfId="7889"/>
    <cellStyle name="20% - Accent1 2 2 4 2 2 2 5 3 2" xfId="50785"/>
    <cellStyle name="20% - Accent1 2 2 4 2 2 2 5 4" xfId="19690"/>
    <cellStyle name="20% - Accent1 2 2 4 2 2 2 5 4 2" xfId="50786"/>
    <cellStyle name="20% - Accent1 2 2 4 2 2 2 5 5" xfId="33305"/>
    <cellStyle name="20% - Accent1 2 2 4 2 2 2 6" xfId="11844"/>
    <cellStyle name="20% - Accent1 2 2 4 2 2 2 6 2" xfId="23645"/>
    <cellStyle name="20% - Accent1 2 2 4 2 2 2 6 2 2" xfId="50787"/>
    <cellStyle name="20% - Accent1 2 2 4 2 2 2 6 3" xfId="37260"/>
    <cellStyle name="20% - Accent1 2 2 4 2 2 2 7" xfId="5989"/>
    <cellStyle name="20% - Accent1 2 2 4 2 2 2 7 2" xfId="50788"/>
    <cellStyle name="20% - Accent1 2 2 4 2 2 2 8" xfId="17790"/>
    <cellStyle name="20% - Accent1 2 2 4 2 2 2 8 2" xfId="50789"/>
    <cellStyle name="20% - Accent1 2 2 4 2 2 2 9" xfId="31405"/>
    <cellStyle name="20% - Accent1 2 2 4 2 2 3" xfId="766"/>
    <cellStyle name="20% - Accent1 2 2 4 2 2 3 2" xfId="1108"/>
    <cellStyle name="20% - Accent1 2 2 4 2 2 3 2 2" xfId="4508"/>
    <cellStyle name="20% - Accent1 2 2 4 2 2 3 2 2 2" xfId="11845"/>
    <cellStyle name="20% - Accent1 2 2 4 2 2 3 2 2 2 2" xfId="23646"/>
    <cellStyle name="20% - Accent1 2 2 4 2 2 3 2 2 2 2 2" xfId="50790"/>
    <cellStyle name="20% - Accent1 2 2 4 2 2 3 2 2 2 3" xfId="37261"/>
    <cellStyle name="20% - Accent1 2 2 4 2 2 3 2 2 3" xfId="9961"/>
    <cellStyle name="20% - Accent1 2 2 4 2 2 3 2 2 3 2" xfId="43649"/>
    <cellStyle name="20% - Accent1 2 2 4 2 2 3 2 2 4" xfId="21762"/>
    <cellStyle name="20% - Accent1 2 2 4 2 2 3 2 2 4 2" xfId="50791"/>
    <cellStyle name="20% - Accent1 2 2 4 2 2 3 2 2 5" xfId="35377"/>
    <cellStyle name="20% - Accent1 2 2 4 2 2 3 2 3" xfId="11846"/>
    <cellStyle name="20% - Accent1 2 2 4 2 2 3 2 3 2" xfId="23647"/>
    <cellStyle name="20% - Accent1 2 2 4 2 2 3 2 3 2 2" xfId="43650"/>
    <cellStyle name="20% - Accent1 2 2 4 2 2 3 2 3 3" xfId="29356"/>
    <cellStyle name="20% - Accent1 2 2 4 2 2 3 2 3 3 2" xfId="43651"/>
    <cellStyle name="20% - Accent1 2 2 4 2 2 3 2 3 4" xfId="29357"/>
    <cellStyle name="20% - Accent1 2 2 4 2 2 3 2 3 4 2" xfId="50792"/>
    <cellStyle name="20% - Accent1 2 2 4 2 2 3 2 3 5" xfId="37262"/>
    <cellStyle name="20% - Accent1 2 2 4 2 2 3 2 4" xfId="11847"/>
    <cellStyle name="20% - Accent1 2 2 4 2 2 3 2 4 2" xfId="23648"/>
    <cellStyle name="20% - Accent1 2 2 4 2 2 3 2 4 2 2" xfId="50793"/>
    <cellStyle name="20% - Accent1 2 2 4 2 2 3 2 4 3" xfId="37263"/>
    <cellStyle name="20% - Accent1 2 2 4 2 2 3 2 5" xfId="6562"/>
    <cellStyle name="20% - Accent1 2 2 4 2 2 3 2 5 2" xfId="43652"/>
    <cellStyle name="20% - Accent1 2 2 4 2 2 3 2 6" xfId="18363"/>
    <cellStyle name="20% - Accent1 2 2 4 2 2 3 2 6 2" xfId="50794"/>
    <cellStyle name="20% - Accent1 2 2 4 2 2 3 2 7" xfId="31978"/>
    <cellStyle name="20% - Accent1 2 2 4 2 2 3 3" xfId="2667"/>
    <cellStyle name="20% - Accent1 2 2 4 2 2 3 3 2" xfId="11848"/>
    <cellStyle name="20% - Accent1 2 2 4 2 2 3 3 2 2" xfId="23649"/>
    <cellStyle name="20% - Accent1 2 2 4 2 2 3 3 2 2 2" xfId="50795"/>
    <cellStyle name="20% - Accent1 2 2 4 2 2 3 3 2 3" xfId="37264"/>
    <cellStyle name="20% - Accent1 2 2 4 2 2 3 3 3" xfId="8120"/>
    <cellStyle name="20% - Accent1 2 2 4 2 2 3 3 3 2" xfId="43653"/>
    <cellStyle name="20% - Accent1 2 2 4 2 2 3 3 4" xfId="19921"/>
    <cellStyle name="20% - Accent1 2 2 4 2 2 3 3 4 2" xfId="50796"/>
    <cellStyle name="20% - Accent1 2 2 4 2 2 3 3 5" xfId="33536"/>
    <cellStyle name="20% - Accent1 2 2 4 2 2 3 4" xfId="11849"/>
    <cellStyle name="20% - Accent1 2 2 4 2 2 3 4 2" xfId="23650"/>
    <cellStyle name="20% - Accent1 2 2 4 2 2 3 4 2 2" xfId="43654"/>
    <cellStyle name="20% - Accent1 2 2 4 2 2 3 4 3" xfId="29358"/>
    <cellStyle name="20% - Accent1 2 2 4 2 2 3 4 3 2" xfId="43655"/>
    <cellStyle name="20% - Accent1 2 2 4 2 2 3 4 4" xfId="29359"/>
    <cellStyle name="20% - Accent1 2 2 4 2 2 3 4 4 2" xfId="50797"/>
    <cellStyle name="20% - Accent1 2 2 4 2 2 3 4 5" xfId="37265"/>
    <cellStyle name="20% - Accent1 2 2 4 2 2 3 5" xfId="11850"/>
    <cellStyle name="20% - Accent1 2 2 4 2 2 3 5 2" xfId="23651"/>
    <cellStyle name="20% - Accent1 2 2 4 2 2 3 5 2 2" xfId="50798"/>
    <cellStyle name="20% - Accent1 2 2 4 2 2 3 5 3" xfId="37266"/>
    <cellStyle name="20% - Accent1 2 2 4 2 2 3 6" xfId="6220"/>
    <cellStyle name="20% - Accent1 2 2 4 2 2 3 6 2" xfId="43656"/>
    <cellStyle name="20% - Accent1 2 2 4 2 2 3 7" xfId="18021"/>
    <cellStyle name="20% - Accent1 2 2 4 2 2 3 7 2" xfId="50799"/>
    <cellStyle name="20% - Accent1 2 2 4 2 2 3 8" xfId="31636"/>
    <cellStyle name="20% - Accent1 2 2 4 2 2 4" xfId="1109"/>
    <cellStyle name="20% - Accent1 2 2 4 2 2 4 2" xfId="5076"/>
    <cellStyle name="20% - Accent1 2 2 4 2 2 4 2 2" xfId="11851"/>
    <cellStyle name="20% - Accent1 2 2 4 2 2 4 2 2 2" xfId="23652"/>
    <cellStyle name="20% - Accent1 2 2 4 2 2 4 2 2 2 2" xfId="50800"/>
    <cellStyle name="20% - Accent1 2 2 4 2 2 4 2 2 3" xfId="37267"/>
    <cellStyle name="20% - Accent1 2 2 4 2 2 4 2 3" xfId="10529"/>
    <cellStyle name="20% - Accent1 2 2 4 2 2 4 2 3 2" xfId="43657"/>
    <cellStyle name="20% - Accent1 2 2 4 2 2 4 2 4" xfId="22330"/>
    <cellStyle name="20% - Accent1 2 2 4 2 2 4 2 4 2" xfId="50801"/>
    <cellStyle name="20% - Accent1 2 2 4 2 2 4 2 5" xfId="35945"/>
    <cellStyle name="20% - Accent1 2 2 4 2 2 4 3" xfId="3235"/>
    <cellStyle name="20% - Accent1 2 2 4 2 2 4 3 2" xfId="11852"/>
    <cellStyle name="20% - Accent1 2 2 4 2 2 4 3 2 2" xfId="23653"/>
    <cellStyle name="20% - Accent1 2 2 4 2 2 4 3 2 2 2" xfId="50802"/>
    <cellStyle name="20% - Accent1 2 2 4 2 2 4 3 2 3" xfId="37268"/>
    <cellStyle name="20% - Accent1 2 2 4 2 2 4 3 3" xfId="8688"/>
    <cellStyle name="20% - Accent1 2 2 4 2 2 4 3 3 2" xfId="43658"/>
    <cellStyle name="20% - Accent1 2 2 4 2 2 4 3 4" xfId="20489"/>
    <cellStyle name="20% - Accent1 2 2 4 2 2 4 3 4 2" xfId="50803"/>
    <cellStyle name="20% - Accent1 2 2 4 2 2 4 3 5" xfId="34104"/>
    <cellStyle name="20% - Accent1 2 2 4 2 2 4 4" xfId="11853"/>
    <cellStyle name="20% - Accent1 2 2 4 2 2 4 4 2" xfId="23654"/>
    <cellStyle name="20% - Accent1 2 2 4 2 2 4 4 2 2" xfId="50804"/>
    <cellStyle name="20% - Accent1 2 2 4 2 2 4 4 3" xfId="37269"/>
    <cellStyle name="20% - Accent1 2 2 4 2 2 4 5" xfId="6563"/>
    <cellStyle name="20% - Accent1 2 2 4 2 2 4 5 2" xfId="43659"/>
    <cellStyle name="20% - Accent1 2 2 4 2 2 4 6" xfId="18364"/>
    <cellStyle name="20% - Accent1 2 2 4 2 2 4 6 2" xfId="50805"/>
    <cellStyle name="20% - Accent1 2 2 4 2 2 4 7" xfId="31979"/>
    <cellStyle name="20% - Accent1 2 2 4 2 2 5" xfId="3940"/>
    <cellStyle name="20% - Accent1 2 2 4 2 2 5 2" xfId="11854"/>
    <cellStyle name="20% - Accent1 2 2 4 2 2 5 2 2" xfId="23655"/>
    <cellStyle name="20% - Accent1 2 2 4 2 2 5 2 2 2" xfId="50806"/>
    <cellStyle name="20% - Accent1 2 2 4 2 2 5 2 3" xfId="37270"/>
    <cellStyle name="20% - Accent1 2 2 4 2 2 5 3" xfId="9393"/>
    <cellStyle name="20% - Accent1 2 2 4 2 2 5 3 2" xfId="43660"/>
    <cellStyle name="20% - Accent1 2 2 4 2 2 5 4" xfId="21194"/>
    <cellStyle name="20% - Accent1 2 2 4 2 2 5 4 2" xfId="50807"/>
    <cellStyle name="20% - Accent1 2 2 4 2 2 5 5" xfId="34809"/>
    <cellStyle name="20% - Accent1 2 2 4 2 2 6" xfId="2099"/>
    <cellStyle name="20% - Accent1 2 2 4 2 2 6 2" xfId="11855"/>
    <cellStyle name="20% - Accent1 2 2 4 2 2 6 2 2" xfId="23656"/>
    <cellStyle name="20% - Accent1 2 2 4 2 2 6 2 2 2" xfId="50808"/>
    <cellStyle name="20% - Accent1 2 2 4 2 2 6 2 3" xfId="37271"/>
    <cellStyle name="20% - Accent1 2 2 4 2 2 6 3" xfId="7552"/>
    <cellStyle name="20% - Accent1 2 2 4 2 2 6 3 2" xfId="43661"/>
    <cellStyle name="20% - Accent1 2 2 4 2 2 6 4" xfId="19353"/>
    <cellStyle name="20% - Accent1 2 2 4 2 2 6 4 2" xfId="50809"/>
    <cellStyle name="20% - Accent1 2 2 4 2 2 6 5" xfId="32968"/>
    <cellStyle name="20% - Accent1 2 2 4 2 2 7" xfId="11856"/>
    <cellStyle name="20% - Accent1 2 2 4 2 2 7 2" xfId="23657"/>
    <cellStyle name="20% - Accent1 2 2 4 2 2 7 2 2" xfId="50810"/>
    <cellStyle name="20% - Accent1 2 2 4 2 2 7 3" xfId="37272"/>
    <cellStyle name="20% - Accent1 2 2 4 2 2 8" xfId="5652"/>
    <cellStyle name="20% - Accent1 2 2 4 2 2 8 2" xfId="43662"/>
    <cellStyle name="20% - Accent1 2 2 4 2 2 9" xfId="17453"/>
    <cellStyle name="20% - Accent1 2 2 4 2 2 9 2" xfId="50811"/>
    <cellStyle name="20% - Accent1 2 2 4 2 3" xfId="398"/>
    <cellStyle name="20% - Accent1 2 2 4 2 3 2" xfId="1110"/>
    <cellStyle name="20% - Accent1 2 2 4 2 3 2 2" xfId="4708"/>
    <cellStyle name="20% - Accent1 2 2 4 2 3 2 2 2" xfId="11857"/>
    <cellStyle name="20% - Accent1 2 2 4 2 3 2 2 2 2" xfId="23658"/>
    <cellStyle name="20% - Accent1 2 2 4 2 3 2 2 2 2 2" xfId="50812"/>
    <cellStyle name="20% - Accent1 2 2 4 2 3 2 2 2 3" xfId="37273"/>
    <cellStyle name="20% - Accent1 2 2 4 2 3 2 2 3" xfId="10161"/>
    <cellStyle name="20% - Accent1 2 2 4 2 3 2 2 3 2" xfId="43663"/>
    <cellStyle name="20% - Accent1 2 2 4 2 3 2 2 4" xfId="21962"/>
    <cellStyle name="20% - Accent1 2 2 4 2 3 2 2 4 2" xfId="50813"/>
    <cellStyle name="20% - Accent1 2 2 4 2 3 2 2 5" xfId="35577"/>
    <cellStyle name="20% - Accent1 2 2 4 2 3 2 3" xfId="2867"/>
    <cellStyle name="20% - Accent1 2 2 4 2 3 2 3 2" xfId="11858"/>
    <cellStyle name="20% - Accent1 2 2 4 2 3 2 3 2 2" xfId="23659"/>
    <cellStyle name="20% - Accent1 2 2 4 2 3 2 3 2 2 2" xfId="50814"/>
    <cellStyle name="20% - Accent1 2 2 4 2 3 2 3 2 3" xfId="37274"/>
    <cellStyle name="20% - Accent1 2 2 4 2 3 2 3 3" xfId="8320"/>
    <cellStyle name="20% - Accent1 2 2 4 2 3 2 3 3 2" xfId="43664"/>
    <cellStyle name="20% - Accent1 2 2 4 2 3 2 3 4" xfId="20121"/>
    <cellStyle name="20% - Accent1 2 2 4 2 3 2 3 4 2" xfId="50815"/>
    <cellStyle name="20% - Accent1 2 2 4 2 3 2 3 5" xfId="33736"/>
    <cellStyle name="20% - Accent1 2 2 4 2 3 2 4" xfId="11859"/>
    <cellStyle name="20% - Accent1 2 2 4 2 3 2 4 2" xfId="23660"/>
    <cellStyle name="20% - Accent1 2 2 4 2 3 2 4 2 2" xfId="50816"/>
    <cellStyle name="20% - Accent1 2 2 4 2 3 2 4 3" xfId="37275"/>
    <cellStyle name="20% - Accent1 2 2 4 2 3 2 5" xfId="6564"/>
    <cellStyle name="20% - Accent1 2 2 4 2 3 2 5 2" xfId="43665"/>
    <cellStyle name="20% - Accent1 2 2 4 2 3 2 6" xfId="18365"/>
    <cellStyle name="20% - Accent1 2 2 4 2 3 2 6 2" xfId="50817"/>
    <cellStyle name="20% - Accent1 2 2 4 2 3 2 7" xfId="31980"/>
    <cellStyle name="20% - Accent1 2 2 4 2 3 3" xfId="3435"/>
    <cellStyle name="20% - Accent1 2 2 4 2 3 3 2" xfId="5276"/>
    <cellStyle name="20% - Accent1 2 2 4 2 3 3 2 2" xfId="16746"/>
    <cellStyle name="20% - Accent1 2 2 4 2 3 3 2 2 2" xfId="28547"/>
    <cellStyle name="20% - Accent1 2 2 4 2 3 3 2 2 2 2" xfId="50818"/>
    <cellStyle name="20% - Accent1 2 2 4 2 3 3 2 2 3" xfId="42162"/>
    <cellStyle name="20% - Accent1 2 2 4 2 3 3 2 3" xfId="10729"/>
    <cellStyle name="20% - Accent1 2 2 4 2 3 3 2 3 2" xfId="50819"/>
    <cellStyle name="20% - Accent1 2 2 4 2 3 3 2 4" xfId="22530"/>
    <cellStyle name="20% - Accent1 2 2 4 2 3 3 2 4 2" xfId="50820"/>
    <cellStyle name="20% - Accent1 2 2 4 2 3 3 2 5" xfId="36145"/>
    <cellStyle name="20% - Accent1 2 2 4 2 3 3 3" xfId="11860"/>
    <cellStyle name="20% - Accent1 2 2 4 2 3 3 3 2" xfId="23661"/>
    <cellStyle name="20% - Accent1 2 2 4 2 3 3 3 2 2" xfId="50821"/>
    <cellStyle name="20% - Accent1 2 2 4 2 3 3 3 3" xfId="37276"/>
    <cellStyle name="20% - Accent1 2 2 4 2 3 3 4" xfId="8888"/>
    <cellStyle name="20% - Accent1 2 2 4 2 3 3 4 2" xfId="50822"/>
    <cellStyle name="20% - Accent1 2 2 4 2 3 3 5" xfId="20689"/>
    <cellStyle name="20% - Accent1 2 2 4 2 3 3 5 2" xfId="50823"/>
    <cellStyle name="20% - Accent1 2 2 4 2 3 3 6" xfId="34304"/>
    <cellStyle name="20% - Accent1 2 2 4 2 3 4" xfId="4140"/>
    <cellStyle name="20% - Accent1 2 2 4 2 3 4 2" xfId="11861"/>
    <cellStyle name="20% - Accent1 2 2 4 2 3 4 2 2" xfId="23662"/>
    <cellStyle name="20% - Accent1 2 2 4 2 3 4 2 2 2" xfId="50824"/>
    <cellStyle name="20% - Accent1 2 2 4 2 3 4 2 3" xfId="37277"/>
    <cellStyle name="20% - Accent1 2 2 4 2 3 4 3" xfId="9593"/>
    <cellStyle name="20% - Accent1 2 2 4 2 3 4 3 2" xfId="43666"/>
    <cellStyle name="20% - Accent1 2 2 4 2 3 4 4" xfId="21394"/>
    <cellStyle name="20% - Accent1 2 2 4 2 3 4 4 2" xfId="50825"/>
    <cellStyle name="20% - Accent1 2 2 4 2 3 4 5" xfId="35009"/>
    <cellStyle name="20% - Accent1 2 2 4 2 3 5" xfId="2299"/>
    <cellStyle name="20% - Accent1 2 2 4 2 3 5 2" xfId="16979"/>
    <cellStyle name="20% - Accent1 2 2 4 2 3 5 2 2" xfId="28780"/>
    <cellStyle name="20% - Accent1 2 2 4 2 3 5 2 2 2" xfId="50826"/>
    <cellStyle name="20% - Accent1 2 2 4 2 3 5 2 3" xfId="42395"/>
    <cellStyle name="20% - Accent1 2 2 4 2 3 5 3" xfId="7752"/>
    <cellStyle name="20% - Accent1 2 2 4 2 3 5 3 2" xfId="50827"/>
    <cellStyle name="20% - Accent1 2 2 4 2 3 5 4" xfId="19553"/>
    <cellStyle name="20% - Accent1 2 2 4 2 3 5 4 2" xfId="50828"/>
    <cellStyle name="20% - Accent1 2 2 4 2 3 5 5" xfId="33168"/>
    <cellStyle name="20% - Accent1 2 2 4 2 3 6" xfId="11862"/>
    <cellStyle name="20% - Accent1 2 2 4 2 3 6 2" xfId="23663"/>
    <cellStyle name="20% - Accent1 2 2 4 2 3 6 2 2" xfId="50829"/>
    <cellStyle name="20% - Accent1 2 2 4 2 3 6 3" xfId="37278"/>
    <cellStyle name="20% - Accent1 2 2 4 2 3 7" xfId="5852"/>
    <cellStyle name="20% - Accent1 2 2 4 2 3 7 2" xfId="50830"/>
    <cellStyle name="20% - Accent1 2 2 4 2 3 8" xfId="17653"/>
    <cellStyle name="20% - Accent1 2 2 4 2 3 8 2" xfId="50831"/>
    <cellStyle name="20% - Accent1 2 2 4 2 3 9" xfId="31268"/>
    <cellStyle name="20% - Accent1 2 2 4 2 4" xfId="676"/>
    <cellStyle name="20% - Accent1 2 2 4 2 4 2" xfId="1111"/>
    <cellStyle name="20% - Accent1 2 2 4 2 4 2 2" xfId="4418"/>
    <cellStyle name="20% - Accent1 2 2 4 2 4 2 2 2" xfId="11863"/>
    <cellStyle name="20% - Accent1 2 2 4 2 4 2 2 2 2" xfId="23664"/>
    <cellStyle name="20% - Accent1 2 2 4 2 4 2 2 2 2 2" xfId="50832"/>
    <cellStyle name="20% - Accent1 2 2 4 2 4 2 2 2 3" xfId="37279"/>
    <cellStyle name="20% - Accent1 2 2 4 2 4 2 2 3" xfId="9871"/>
    <cellStyle name="20% - Accent1 2 2 4 2 4 2 2 3 2" xfId="43667"/>
    <cellStyle name="20% - Accent1 2 2 4 2 4 2 2 4" xfId="21672"/>
    <cellStyle name="20% - Accent1 2 2 4 2 4 2 2 4 2" xfId="50833"/>
    <cellStyle name="20% - Accent1 2 2 4 2 4 2 2 5" xfId="35287"/>
    <cellStyle name="20% - Accent1 2 2 4 2 4 2 3" xfId="11864"/>
    <cellStyle name="20% - Accent1 2 2 4 2 4 2 3 2" xfId="23665"/>
    <cellStyle name="20% - Accent1 2 2 4 2 4 2 3 2 2" xfId="43668"/>
    <cellStyle name="20% - Accent1 2 2 4 2 4 2 3 3" xfId="29360"/>
    <cellStyle name="20% - Accent1 2 2 4 2 4 2 3 3 2" xfId="43669"/>
    <cellStyle name="20% - Accent1 2 2 4 2 4 2 3 4" xfId="29361"/>
    <cellStyle name="20% - Accent1 2 2 4 2 4 2 3 4 2" xfId="50834"/>
    <cellStyle name="20% - Accent1 2 2 4 2 4 2 3 5" xfId="37280"/>
    <cellStyle name="20% - Accent1 2 2 4 2 4 2 4" xfId="11865"/>
    <cellStyle name="20% - Accent1 2 2 4 2 4 2 4 2" xfId="23666"/>
    <cellStyle name="20% - Accent1 2 2 4 2 4 2 4 2 2" xfId="50835"/>
    <cellStyle name="20% - Accent1 2 2 4 2 4 2 4 3" xfId="37281"/>
    <cellStyle name="20% - Accent1 2 2 4 2 4 2 5" xfId="6565"/>
    <cellStyle name="20% - Accent1 2 2 4 2 4 2 5 2" xfId="43670"/>
    <cellStyle name="20% - Accent1 2 2 4 2 4 2 6" xfId="18366"/>
    <cellStyle name="20% - Accent1 2 2 4 2 4 2 6 2" xfId="50836"/>
    <cellStyle name="20% - Accent1 2 2 4 2 4 2 7" xfId="31981"/>
    <cellStyle name="20% - Accent1 2 2 4 2 4 3" xfId="2577"/>
    <cellStyle name="20% - Accent1 2 2 4 2 4 3 2" xfId="11866"/>
    <cellStyle name="20% - Accent1 2 2 4 2 4 3 2 2" xfId="23667"/>
    <cellStyle name="20% - Accent1 2 2 4 2 4 3 2 2 2" xfId="50837"/>
    <cellStyle name="20% - Accent1 2 2 4 2 4 3 2 3" xfId="37282"/>
    <cellStyle name="20% - Accent1 2 2 4 2 4 3 3" xfId="8030"/>
    <cellStyle name="20% - Accent1 2 2 4 2 4 3 3 2" xfId="43671"/>
    <cellStyle name="20% - Accent1 2 2 4 2 4 3 4" xfId="19831"/>
    <cellStyle name="20% - Accent1 2 2 4 2 4 3 4 2" xfId="50838"/>
    <cellStyle name="20% - Accent1 2 2 4 2 4 3 5" xfId="33446"/>
    <cellStyle name="20% - Accent1 2 2 4 2 4 4" xfId="11867"/>
    <cellStyle name="20% - Accent1 2 2 4 2 4 4 2" xfId="23668"/>
    <cellStyle name="20% - Accent1 2 2 4 2 4 4 2 2" xfId="43672"/>
    <cellStyle name="20% - Accent1 2 2 4 2 4 4 3" xfId="29362"/>
    <cellStyle name="20% - Accent1 2 2 4 2 4 4 3 2" xfId="43673"/>
    <cellStyle name="20% - Accent1 2 2 4 2 4 4 4" xfId="29363"/>
    <cellStyle name="20% - Accent1 2 2 4 2 4 4 4 2" xfId="50839"/>
    <cellStyle name="20% - Accent1 2 2 4 2 4 4 5" xfId="37283"/>
    <cellStyle name="20% - Accent1 2 2 4 2 4 5" xfId="11868"/>
    <cellStyle name="20% - Accent1 2 2 4 2 4 5 2" xfId="23669"/>
    <cellStyle name="20% - Accent1 2 2 4 2 4 5 2 2" xfId="50840"/>
    <cellStyle name="20% - Accent1 2 2 4 2 4 5 3" xfId="37284"/>
    <cellStyle name="20% - Accent1 2 2 4 2 4 6" xfId="6130"/>
    <cellStyle name="20% - Accent1 2 2 4 2 4 6 2" xfId="43674"/>
    <cellStyle name="20% - Accent1 2 2 4 2 4 7" xfId="17931"/>
    <cellStyle name="20% - Accent1 2 2 4 2 4 7 2" xfId="50841"/>
    <cellStyle name="20% - Accent1 2 2 4 2 4 8" xfId="31546"/>
    <cellStyle name="20% - Accent1 2 2 4 2 5" xfId="917"/>
    <cellStyle name="20% - Accent1 2 2 4 2 5 2" xfId="1112"/>
    <cellStyle name="20% - Accent1 2 2 4 2 5 2 2" xfId="4986"/>
    <cellStyle name="20% - Accent1 2 2 4 2 5 2 2 2" xfId="11869"/>
    <cellStyle name="20% - Accent1 2 2 4 2 5 2 2 2 2" xfId="23670"/>
    <cellStyle name="20% - Accent1 2 2 4 2 5 2 2 2 2 2" xfId="50842"/>
    <cellStyle name="20% - Accent1 2 2 4 2 5 2 2 2 3" xfId="37285"/>
    <cellStyle name="20% - Accent1 2 2 4 2 5 2 2 3" xfId="10439"/>
    <cellStyle name="20% - Accent1 2 2 4 2 5 2 2 3 2" xfId="43675"/>
    <cellStyle name="20% - Accent1 2 2 4 2 5 2 2 4" xfId="22240"/>
    <cellStyle name="20% - Accent1 2 2 4 2 5 2 2 4 2" xfId="50843"/>
    <cellStyle name="20% - Accent1 2 2 4 2 5 2 2 5" xfId="35855"/>
    <cellStyle name="20% - Accent1 2 2 4 2 5 2 3" xfId="11870"/>
    <cellStyle name="20% - Accent1 2 2 4 2 5 2 3 2" xfId="23671"/>
    <cellStyle name="20% - Accent1 2 2 4 2 5 2 3 2 2" xfId="43676"/>
    <cellStyle name="20% - Accent1 2 2 4 2 5 2 3 3" xfId="29364"/>
    <cellStyle name="20% - Accent1 2 2 4 2 5 2 3 3 2" xfId="43677"/>
    <cellStyle name="20% - Accent1 2 2 4 2 5 2 3 4" xfId="29365"/>
    <cellStyle name="20% - Accent1 2 2 4 2 5 2 3 4 2" xfId="50844"/>
    <cellStyle name="20% - Accent1 2 2 4 2 5 2 3 5" xfId="37286"/>
    <cellStyle name="20% - Accent1 2 2 4 2 5 2 4" xfId="11871"/>
    <cellStyle name="20% - Accent1 2 2 4 2 5 2 4 2" xfId="23672"/>
    <cellStyle name="20% - Accent1 2 2 4 2 5 2 4 2 2" xfId="50845"/>
    <cellStyle name="20% - Accent1 2 2 4 2 5 2 4 3" xfId="37287"/>
    <cellStyle name="20% - Accent1 2 2 4 2 5 2 5" xfId="6566"/>
    <cellStyle name="20% - Accent1 2 2 4 2 5 2 5 2" xfId="43678"/>
    <cellStyle name="20% - Accent1 2 2 4 2 5 2 6" xfId="18367"/>
    <cellStyle name="20% - Accent1 2 2 4 2 5 2 6 2" xfId="50846"/>
    <cellStyle name="20% - Accent1 2 2 4 2 5 2 7" xfId="31982"/>
    <cellStyle name="20% - Accent1 2 2 4 2 5 3" xfId="3145"/>
    <cellStyle name="20% - Accent1 2 2 4 2 5 3 2" xfId="11872"/>
    <cellStyle name="20% - Accent1 2 2 4 2 5 3 2 2" xfId="23673"/>
    <cellStyle name="20% - Accent1 2 2 4 2 5 3 2 2 2" xfId="50847"/>
    <cellStyle name="20% - Accent1 2 2 4 2 5 3 2 3" xfId="37288"/>
    <cellStyle name="20% - Accent1 2 2 4 2 5 3 3" xfId="8598"/>
    <cellStyle name="20% - Accent1 2 2 4 2 5 3 3 2" xfId="43679"/>
    <cellStyle name="20% - Accent1 2 2 4 2 5 3 4" xfId="20399"/>
    <cellStyle name="20% - Accent1 2 2 4 2 5 3 4 2" xfId="50848"/>
    <cellStyle name="20% - Accent1 2 2 4 2 5 3 5" xfId="34014"/>
    <cellStyle name="20% - Accent1 2 2 4 2 5 4" xfId="11873"/>
    <cellStyle name="20% - Accent1 2 2 4 2 5 4 2" xfId="23674"/>
    <cellStyle name="20% - Accent1 2 2 4 2 5 4 2 2" xfId="43680"/>
    <cellStyle name="20% - Accent1 2 2 4 2 5 4 3" xfId="29366"/>
    <cellStyle name="20% - Accent1 2 2 4 2 5 4 3 2" xfId="43681"/>
    <cellStyle name="20% - Accent1 2 2 4 2 5 4 4" xfId="29367"/>
    <cellStyle name="20% - Accent1 2 2 4 2 5 4 4 2" xfId="50849"/>
    <cellStyle name="20% - Accent1 2 2 4 2 5 4 5" xfId="37289"/>
    <cellStyle name="20% - Accent1 2 2 4 2 5 5" xfId="11874"/>
    <cellStyle name="20% - Accent1 2 2 4 2 5 5 2" xfId="23675"/>
    <cellStyle name="20% - Accent1 2 2 4 2 5 5 2 2" xfId="50850"/>
    <cellStyle name="20% - Accent1 2 2 4 2 5 5 3" xfId="37290"/>
    <cellStyle name="20% - Accent1 2 2 4 2 5 6" xfId="6371"/>
    <cellStyle name="20% - Accent1 2 2 4 2 5 6 2" xfId="43682"/>
    <cellStyle name="20% - Accent1 2 2 4 2 5 7" xfId="18172"/>
    <cellStyle name="20% - Accent1 2 2 4 2 5 7 2" xfId="50851"/>
    <cellStyle name="20% - Accent1 2 2 4 2 5 8" xfId="31787"/>
    <cellStyle name="20% - Accent1 2 2 4 2 6" xfId="1113"/>
    <cellStyle name="20% - Accent1 2 2 4 2 6 2" xfId="3850"/>
    <cellStyle name="20% - Accent1 2 2 4 2 6 2 2" xfId="11875"/>
    <cellStyle name="20% - Accent1 2 2 4 2 6 2 2 2" xfId="23676"/>
    <cellStyle name="20% - Accent1 2 2 4 2 6 2 2 2 2" xfId="50852"/>
    <cellStyle name="20% - Accent1 2 2 4 2 6 2 2 3" xfId="37291"/>
    <cellStyle name="20% - Accent1 2 2 4 2 6 2 3" xfId="9303"/>
    <cellStyle name="20% - Accent1 2 2 4 2 6 2 3 2" xfId="43683"/>
    <cellStyle name="20% - Accent1 2 2 4 2 6 2 4" xfId="21104"/>
    <cellStyle name="20% - Accent1 2 2 4 2 6 2 4 2" xfId="50853"/>
    <cellStyle name="20% - Accent1 2 2 4 2 6 2 5" xfId="34719"/>
    <cellStyle name="20% - Accent1 2 2 4 2 6 3" xfId="11876"/>
    <cellStyle name="20% - Accent1 2 2 4 2 6 3 2" xfId="23677"/>
    <cellStyle name="20% - Accent1 2 2 4 2 6 3 2 2" xfId="43684"/>
    <cellStyle name="20% - Accent1 2 2 4 2 6 3 3" xfId="29368"/>
    <cellStyle name="20% - Accent1 2 2 4 2 6 3 3 2" xfId="43685"/>
    <cellStyle name="20% - Accent1 2 2 4 2 6 3 4" xfId="29369"/>
    <cellStyle name="20% - Accent1 2 2 4 2 6 3 4 2" xfId="50854"/>
    <cellStyle name="20% - Accent1 2 2 4 2 6 3 5" xfId="37292"/>
    <cellStyle name="20% - Accent1 2 2 4 2 6 4" xfId="11877"/>
    <cellStyle name="20% - Accent1 2 2 4 2 6 4 2" xfId="23678"/>
    <cellStyle name="20% - Accent1 2 2 4 2 6 4 2 2" xfId="50855"/>
    <cellStyle name="20% - Accent1 2 2 4 2 6 4 3" xfId="37293"/>
    <cellStyle name="20% - Accent1 2 2 4 2 6 5" xfId="6567"/>
    <cellStyle name="20% - Accent1 2 2 4 2 6 5 2" xfId="43686"/>
    <cellStyle name="20% - Accent1 2 2 4 2 6 6" xfId="18368"/>
    <cellStyle name="20% - Accent1 2 2 4 2 6 6 2" xfId="50856"/>
    <cellStyle name="20% - Accent1 2 2 4 2 6 7" xfId="31983"/>
    <cellStyle name="20% - Accent1 2 2 4 2 7" xfId="3713"/>
    <cellStyle name="20% - Accent1 2 2 4 2 7 2" xfId="11878"/>
    <cellStyle name="20% - Accent1 2 2 4 2 7 2 2" xfId="23679"/>
    <cellStyle name="20% - Accent1 2 2 4 2 7 2 2 2" xfId="50857"/>
    <cellStyle name="20% - Accent1 2 2 4 2 7 2 3" xfId="37294"/>
    <cellStyle name="20% - Accent1 2 2 4 2 7 3" xfId="9166"/>
    <cellStyle name="20% - Accent1 2 2 4 2 7 3 2" xfId="43687"/>
    <cellStyle name="20% - Accent1 2 2 4 2 7 4" xfId="20967"/>
    <cellStyle name="20% - Accent1 2 2 4 2 7 4 2" xfId="50858"/>
    <cellStyle name="20% - Accent1 2 2 4 2 7 5" xfId="34582"/>
    <cellStyle name="20% - Accent1 2 2 4 2 8" xfId="2009"/>
    <cellStyle name="20% - Accent1 2 2 4 2 8 2" xfId="11879"/>
    <cellStyle name="20% - Accent1 2 2 4 2 8 2 2" xfId="23680"/>
    <cellStyle name="20% - Accent1 2 2 4 2 8 2 2 2" xfId="50859"/>
    <cellStyle name="20% - Accent1 2 2 4 2 8 2 3" xfId="37295"/>
    <cellStyle name="20% - Accent1 2 2 4 2 8 3" xfId="7462"/>
    <cellStyle name="20% - Accent1 2 2 4 2 8 3 2" xfId="43688"/>
    <cellStyle name="20% - Accent1 2 2 4 2 8 4" xfId="19263"/>
    <cellStyle name="20% - Accent1 2 2 4 2 8 4 2" xfId="50860"/>
    <cellStyle name="20% - Accent1 2 2 4 2 8 5" xfId="32878"/>
    <cellStyle name="20% - Accent1 2 2 4 2 9" xfId="11880"/>
    <cellStyle name="20% - Accent1 2 2 4 2 9 2" xfId="23681"/>
    <cellStyle name="20% - Accent1 2 2 4 2 9 2 2" xfId="50861"/>
    <cellStyle name="20% - Accent1 2 2 4 2 9 3" xfId="37296"/>
    <cellStyle name="20% - Accent1 2 2 4 3" xfId="161"/>
    <cellStyle name="20% - Accent1 2 2 4 3 10" xfId="31031"/>
    <cellStyle name="20% - Accent1 2 2 4 3 2" xfId="331"/>
    <cellStyle name="20% - Accent1 2 2 4 3 2 2" xfId="1114"/>
    <cellStyle name="20% - Accent1 2 2 4 3 2 2 2" xfId="4641"/>
    <cellStyle name="20% - Accent1 2 2 4 3 2 2 2 2" xfId="11881"/>
    <cellStyle name="20% - Accent1 2 2 4 3 2 2 2 2 2" xfId="23682"/>
    <cellStyle name="20% - Accent1 2 2 4 3 2 2 2 2 2 2" xfId="50862"/>
    <cellStyle name="20% - Accent1 2 2 4 3 2 2 2 2 3" xfId="37297"/>
    <cellStyle name="20% - Accent1 2 2 4 3 2 2 2 3" xfId="10094"/>
    <cellStyle name="20% - Accent1 2 2 4 3 2 2 2 3 2" xfId="43689"/>
    <cellStyle name="20% - Accent1 2 2 4 3 2 2 2 4" xfId="21895"/>
    <cellStyle name="20% - Accent1 2 2 4 3 2 2 2 4 2" xfId="50863"/>
    <cellStyle name="20% - Accent1 2 2 4 3 2 2 2 5" xfId="35510"/>
    <cellStyle name="20% - Accent1 2 2 4 3 2 2 3" xfId="2800"/>
    <cellStyle name="20% - Accent1 2 2 4 3 2 2 3 2" xfId="11882"/>
    <cellStyle name="20% - Accent1 2 2 4 3 2 2 3 2 2" xfId="23683"/>
    <cellStyle name="20% - Accent1 2 2 4 3 2 2 3 2 2 2" xfId="50864"/>
    <cellStyle name="20% - Accent1 2 2 4 3 2 2 3 2 3" xfId="37298"/>
    <cellStyle name="20% - Accent1 2 2 4 3 2 2 3 3" xfId="8253"/>
    <cellStyle name="20% - Accent1 2 2 4 3 2 2 3 3 2" xfId="43690"/>
    <cellStyle name="20% - Accent1 2 2 4 3 2 2 3 4" xfId="20054"/>
    <cellStyle name="20% - Accent1 2 2 4 3 2 2 3 4 2" xfId="50865"/>
    <cellStyle name="20% - Accent1 2 2 4 3 2 2 3 5" xfId="33669"/>
    <cellStyle name="20% - Accent1 2 2 4 3 2 2 4" xfId="11883"/>
    <cellStyle name="20% - Accent1 2 2 4 3 2 2 4 2" xfId="23684"/>
    <cellStyle name="20% - Accent1 2 2 4 3 2 2 4 2 2" xfId="50866"/>
    <cellStyle name="20% - Accent1 2 2 4 3 2 2 4 3" xfId="37299"/>
    <cellStyle name="20% - Accent1 2 2 4 3 2 2 5" xfId="6568"/>
    <cellStyle name="20% - Accent1 2 2 4 3 2 2 5 2" xfId="43691"/>
    <cellStyle name="20% - Accent1 2 2 4 3 2 2 6" xfId="18369"/>
    <cellStyle name="20% - Accent1 2 2 4 3 2 2 6 2" xfId="50867"/>
    <cellStyle name="20% - Accent1 2 2 4 3 2 2 7" xfId="31984"/>
    <cellStyle name="20% - Accent1 2 2 4 3 2 3" xfId="3368"/>
    <cellStyle name="20% - Accent1 2 2 4 3 2 3 2" xfId="5209"/>
    <cellStyle name="20% - Accent1 2 2 4 3 2 3 2 2" xfId="16679"/>
    <cellStyle name="20% - Accent1 2 2 4 3 2 3 2 2 2" xfId="28480"/>
    <cellStyle name="20% - Accent1 2 2 4 3 2 3 2 2 2 2" xfId="50868"/>
    <cellStyle name="20% - Accent1 2 2 4 3 2 3 2 2 3" xfId="42095"/>
    <cellStyle name="20% - Accent1 2 2 4 3 2 3 2 3" xfId="10662"/>
    <cellStyle name="20% - Accent1 2 2 4 3 2 3 2 3 2" xfId="50869"/>
    <cellStyle name="20% - Accent1 2 2 4 3 2 3 2 4" xfId="22463"/>
    <cellStyle name="20% - Accent1 2 2 4 3 2 3 2 4 2" xfId="50870"/>
    <cellStyle name="20% - Accent1 2 2 4 3 2 3 2 5" xfId="36078"/>
    <cellStyle name="20% - Accent1 2 2 4 3 2 3 3" xfId="11884"/>
    <cellStyle name="20% - Accent1 2 2 4 3 2 3 3 2" xfId="23685"/>
    <cellStyle name="20% - Accent1 2 2 4 3 2 3 3 2 2" xfId="50871"/>
    <cellStyle name="20% - Accent1 2 2 4 3 2 3 3 3" xfId="37300"/>
    <cellStyle name="20% - Accent1 2 2 4 3 2 3 4" xfId="8821"/>
    <cellStyle name="20% - Accent1 2 2 4 3 2 3 4 2" xfId="50872"/>
    <cellStyle name="20% - Accent1 2 2 4 3 2 3 5" xfId="20622"/>
    <cellStyle name="20% - Accent1 2 2 4 3 2 3 5 2" xfId="50873"/>
    <cellStyle name="20% - Accent1 2 2 4 3 2 3 6" xfId="34237"/>
    <cellStyle name="20% - Accent1 2 2 4 3 2 4" xfId="4073"/>
    <cellStyle name="20% - Accent1 2 2 4 3 2 4 2" xfId="11885"/>
    <cellStyle name="20% - Accent1 2 2 4 3 2 4 2 2" xfId="23686"/>
    <cellStyle name="20% - Accent1 2 2 4 3 2 4 2 2 2" xfId="50874"/>
    <cellStyle name="20% - Accent1 2 2 4 3 2 4 2 3" xfId="37301"/>
    <cellStyle name="20% - Accent1 2 2 4 3 2 4 3" xfId="9526"/>
    <cellStyle name="20% - Accent1 2 2 4 3 2 4 3 2" xfId="43692"/>
    <cellStyle name="20% - Accent1 2 2 4 3 2 4 4" xfId="21327"/>
    <cellStyle name="20% - Accent1 2 2 4 3 2 4 4 2" xfId="50875"/>
    <cellStyle name="20% - Accent1 2 2 4 3 2 4 5" xfId="34942"/>
    <cellStyle name="20% - Accent1 2 2 4 3 2 5" xfId="2232"/>
    <cellStyle name="20% - Accent1 2 2 4 3 2 5 2" xfId="16980"/>
    <cellStyle name="20% - Accent1 2 2 4 3 2 5 2 2" xfId="28781"/>
    <cellStyle name="20% - Accent1 2 2 4 3 2 5 2 2 2" xfId="50876"/>
    <cellStyle name="20% - Accent1 2 2 4 3 2 5 2 3" xfId="42396"/>
    <cellStyle name="20% - Accent1 2 2 4 3 2 5 3" xfId="7685"/>
    <cellStyle name="20% - Accent1 2 2 4 3 2 5 3 2" xfId="50877"/>
    <cellStyle name="20% - Accent1 2 2 4 3 2 5 4" xfId="19486"/>
    <cellStyle name="20% - Accent1 2 2 4 3 2 5 4 2" xfId="50878"/>
    <cellStyle name="20% - Accent1 2 2 4 3 2 5 5" xfId="33101"/>
    <cellStyle name="20% - Accent1 2 2 4 3 2 6" xfId="11886"/>
    <cellStyle name="20% - Accent1 2 2 4 3 2 6 2" xfId="23687"/>
    <cellStyle name="20% - Accent1 2 2 4 3 2 6 2 2" xfId="50879"/>
    <cellStyle name="20% - Accent1 2 2 4 3 2 6 3" xfId="37302"/>
    <cellStyle name="20% - Accent1 2 2 4 3 2 7" xfId="5785"/>
    <cellStyle name="20% - Accent1 2 2 4 3 2 7 2" xfId="50880"/>
    <cellStyle name="20% - Accent1 2 2 4 3 2 8" xfId="17586"/>
    <cellStyle name="20% - Accent1 2 2 4 3 2 8 2" xfId="50881"/>
    <cellStyle name="20% - Accent1 2 2 4 3 2 9" xfId="31201"/>
    <cellStyle name="20% - Accent1 2 2 4 3 3" xfId="729"/>
    <cellStyle name="20% - Accent1 2 2 4 3 3 2" xfId="1115"/>
    <cellStyle name="20% - Accent1 2 2 4 3 3 2 2" xfId="4471"/>
    <cellStyle name="20% - Accent1 2 2 4 3 3 2 2 2" xfId="11887"/>
    <cellStyle name="20% - Accent1 2 2 4 3 3 2 2 2 2" xfId="23688"/>
    <cellStyle name="20% - Accent1 2 2 4 3 3 2 2 2 2 2" xfId="50882"/>
    <cellStyle name="20% - Accent1 2 2 4 3 3 2 2 2 3" xfId="37303"/>
    <cellStyle name="20% - Accent1 2 2 4 3 3 2 2 3" xfId="9924"/>
    <cellStyle name="20% - Accent1 2 2 4 3 3 2 2 3 2" xfId="43693"/>
    <cellStyle name="20% - Accent1 2 2 4 3 3 2 2 4" xfId="21725"/>
    <cellStyle name="20% - Accent1 2 2 4 3 3 2 2 4 2" xfId="50883"/>
    <cellStyle name="20% - Accent1 2 2 4 3 3 2 2 5" xfId="35340"/>
    <cellStyle name="20% - Accent1 2 2 4 3 3 2 3" xfId="11888"/>
    <cellStyle name="20% - Accent1 2 2 4 3 3 2 3 2" xfId="23689"/>
    <cellStyle name="20% - Accent1 2 2 4 3 3 2 3 2 2" xfId="43694"/>
    <cellStyle name="20% - Accent1 2 2 4 3 3 2 3 3" xfId="29370"/>
    <cellStyle name="20% - Accent1 2 2 4 3 3 2 3 3 2" xfId="43695"/>
    <cellStyle name="20% - Accent1 2 2 4 3 3 2 3 4" xfId="29371"/>
    <cellStyle name="20% - Accent1 2 2 4 3 3 2 3 4 2" xfId="50884"/>
    <cellStyle name="20% - Accent1 2 2 4 3 3 2 3 5" xfId="37304"/>
    <cellStyle name="20% - Accent1 2 2 4 3 3 2 4" xfId="11889"/>
    <cellStyle name="20% - Accent1 2 2 4 3 3 2 4 2" xfId="23690"/>
    <cellStyle name="20% - Accent1 2 2 4 3 3 2 4 2 2" xfId="50885"/>
    <cellStyle name="20% - Accent1 2 2 4 3 3 2 4 3" xfId="37305"/>
    <cellStyle name="20% - Accent1 2 2 4 3 3 2 5" xfId="6569"/>
    <cellStyle name="20% - Accent1 2 2 4 3 3 2 5 2" xfId="43696"/>
    <cellStyle name="20% - Accent1 2 2 4 3 3 2 6" xfId="18370"/>
    <cellStyle name="20% - Accent1 2 2 4 3 3 2 6 2" xfId="50886"/>
    <cellStyle name="20% - Accent1 2 2 4 3 3 2 7" xfId="31985"/>
    <cellStyle name="20% - Accent1 2 2 4 3 3 3" xfId="2630"/>
    <cellStyle name="20% - Accent1 2 2 4 3 3 3 2" xfId="11890"/>
    <cellStyle name="20% - Accent1 2 2 4 3 3 3 2 2" xfId="23691"/>
    <cellStyle name="20% - Accent1 2 2 4 3 3 3 2 2 2" xfId="50887"/>
    <cellStyle name="20% - Accent1 2 2 4 3 3 3 2 3" xfId="37306"/>
    <cellStyle name="20% - Accent1 2 2 4 3 3 3 3" xfId="8083"/>
    <cellStyle name="20% - Accent1 2 2 4 3 3 3 3 2" xfId="43697"/>
    <cellStyle name="20% - Accent1 2 2 4 3 3 3 4" xfId="19884"/>
    <cellStyle name="20% - Accent1 2 2 4 3 3 3 4 2" xfId="50888"/>
    <cellStyle name="20% - Accent1 2 2 4 3 3 3 5" xfId="33499"/>
    <cellStyle name="20% - Accent1 2 2 4 3 3 4" xfId="11891"/>
    <cellStyle name="20% - Accent1 2 2 4 3 3 4 2" xfId="23692"/>
    <cellStyle name="20% - Accent1 2 2 4 3 3 4 2 2" xfId="43698"/>
    <cellStyle name="20% - Accent1 2 2 4 3 3 4 3" xfId="29372"/>
    <cellStyle name="20% - Accent1 2 2 4 3 3 4 3 2" xfId="43699"/>
    <cellStyle name="20% - Accent1 2 2 4 3 3 4 4" xfId="29373"/>
    <cellStyle name="20% - Accent1 2 2 4 3 3 4 4 2" xfId="50889"/>
    <cellStyle name="20% - Accent1 2 2 4 3 3 4 5" xfId="37307"/>
    <cellStyle name="20% - Accent1 2 2 4 3 3 5" xfId="11892"/>
    <cellStyle name="20% - Accent1 2 2 4 3 3 5 2" xfId="23693"/>
    <cellStyle name="20% - Accent1 2 2 4 3 3 5 2 2" xfId="50890"/>
    <cellStyle name="20% - Accent1 2 2 4 3 3 5 3" xfId="37308"/>
    <cellStyle name="20% - Accent1 2 2 4 3 3 6" xfId="6183"/>
    <cellStyle name="20% - Accent1 2 2 4 3 3 6 2" xfId="43700"/>
    <cellStyle name="20% - Accent1 2 2 4 3 3 7" xfId="17984"/>
    <cellStyle name="20% - Accent1 2 2 4 3 3 7 2" xfId="50891"/>
    <cellStyle name="20% - Accent1 2 2 4 3 3 8" xfId="31599"/>
    <cellStyle name="20% - Accent1 2 2 4 3 4" xfId="1116"/>
    <cellStyle name="20% - Accent1 2 2 4 3 4 2" xfId="5039"/>
    <cellStyle name="20% - Accent1 2 2 4 3 4 2 2" xfId="11893"/>
    <cellStyle name="20% - Accent1 2 2 4 3 4 2 2 2" xfId="23694"/>
    <cellStyle name="20% - Accent1 2 2 4 3 4 2 2 2 2" xfId="50892"/>
    <cellStyle name="20% - Accent1 2 2 4 3 4 2 2 3" xfId="37309"/>
    <cellStyle name="20% - Accent1 2 2 4 3 4 2 3" xfId="10492"/>
    <cellStyle name="20% - Accent1 2 2 4 3 4 2 3 2" xfId="43701"/>
    <cellStyle name="20% - Accent1 2 2 4 3 4 2 4" xfId="22293"/>
    <cellStyle name="20% - Accent1 2 2 4 3 4 2 4 2" xfId="50893"/>
    <cellStyle name="20% - Accent1 2 2 4 3 4 2 5" xfId="35908"/>
    <cellStyle name="20% - Accent1 2 2 4 3 4 3" xfId="3198"/>
    <cellStyle name="20% - Accent1 2 2 4 3 4 3 2" xfId="11894"/>
    <cellStyle name="20% - Accent1 2 2 4 3 4 3 2 2" xfId="23695"/>
    <cellStyle name="20% - Accent1 2 2 4 3 4 3 2 2 2" xfId="50894"/>
    <cellStyle name="20% - Accent1 2 2 4 3 4 3 2 3" xfId="37310"/>
    <cellStyle name="20% - Accent1 2 2 4 3 4 3 3" xfId="8651"/>
    <cellStyle name="20% - Accent1 2 2 4 3 4 3 3 2" xfId="43702"/>
    <cellStyle name="20% - Accent1 2 2 4 3 4 3 4" xfId="20452"/>
    <cellStyle name="20% - Accent1 2 2 4 3 4 3 4 2" xfId="50895"/>
    <cellStyle name="20% - Accent1 2 2 4 3 4 3 5" xfId="34067"/>
    <cellStyle name="20% - Accent1 2 2 4 3 4 4" xfId="11895"/>
    <cellStyle name="20% - Accent1 2 2 4 3 4 4 2" xfId="23696"/>
    <cellStyle name="20% - Accent1 2 2 4 3 4 4 2 2" xfId="50896"/>
    <cellStyle name="20% - Accent1 2 2 4 3 4 4 3" xfId="37311"/>
    <cellStyle name="20% - Accent1 2 2 4 3 4 5" xfId="6570"/>
    <cellStyle name="20% - Accent1 2 2 4 3 4 5 2" xfId="43703"/>
    <cellStyle name="20% - Accent1 2 2 4 3 4 6" xfId="18371"/>
    <cellStyle name="20% - Accent1 2 2 4 3 4 6 2" xfId="50897"/>
    <cellStyle name="20% - Accent1 2 2 4 3 4 7" xfId="31986"/>
    <cellStyle name="20% - Accent1 2 2 4 3 5" xfId="3903"/>
    <cellStyle name="20% - Accent1 2 2 4 3 5 2" xfId="11896"/>
    <cellStyle name="20% - Accent1 2 2 4 3 5 2 2" xfId="23697"/>
    <cellStyle name="20% - Accent1 2 2 4 3 5 2 2 2" xfId="50898"/>
    <cellStyle name="20% - Accent1 2 2 4 3 5 2 3" xfId="37312"/>
    <cellStyle name="20% - Accent1 2 2 4 3 5 3" xfId="9356"/>
    <cellStyle name="20% - Accent1 2 2 4 3 5 3 2" xfId="43704"/>
    <cellStyle name="20% - Accent1 2 2 4 3 5 4" xfId="21157"/>
    <cellStyle name="20% - Accent1 2 2 4 3 5 4 2" xfId="50899"/>
    <cellStyle name="20% - Accent1 2 2 4 3 5 5" xfId="34772"/>
    <cellStyle name="20% - Accent1 2 2 4 3 6" xfId="2062"/>
    <cellStyle name="20% - Accent1 2 2 4 3 6 2" xfId="11897"/>
    <cellStyle name="20% - Accent1 2 2 4 3 6 2 2" xfId="23698"/>
    <cellStyle name="20% - Accent1 2 2 4 3 6 2 2 2" xfId="50900"/>
    <cellStyle name="20% - Accent1 2 2 4 3 6 2 3" xfId="37313"/>
    <cellStyle name="20% - Accent1 2 2 4 3 6 3" xfId="7515"/>
    <cellStyle name="20% - Accent1 2 2 4 3 6 3 2" xfId="43705"/>
    <cellStyle name="20% - Accent1 2 2 4 3 6 4" xfId="19316"/>
    <cellStyle name="20% - Accent1 2 2 4 3 6 4 2" xfId="50901"/>
    <cellStyle name="20% - Accent1 2 2 4 3 6 5" xfId="32931"/>
    <cellStyle name="20% - Accent1 2 2 4 3 7" xfId="11898"/>
    <cellStyle name="20% - Accent1 2 2 4 3 7 2" xfId="23699"/>
    <cellStyle name="20% - Accent1 2 2 4 3 7 2 2" xfId="50902"/>
    <cellStyle name="20% - Accent1 2 2 4 3 7 3" xfId="37314"/>
    <cellStyle name="20% - Accent1 2 2 4 3 8" xfId="5615"/>
    <cellStyle name="20% - Accent1 2 2 4 3 8 2" xfId="43706"/>
    <cellStyle name="20% - Accent1 2 2 4 3 9" xfId="17416"/>
    <cellStyle name="20% - Accent1 2 2 4 3 9 2" xfId="50903"/>
    <cellStyle name="20% - Accent1 2 2 4 4" xfId="468"/>
    <cellStyle name="20% - Accent1 2 2 4 4 2" xfId="1117"/>
    <cellStyle name="20% - Accent1 2 2 4 4 2 2" xfId="4778"/>
    <cellStyle name="20% - Accent1 2 2 4 4 2 2 2" xfId="11899"/>
    <cellStyle name="20% - Accent1 2 2 4 4 2 2 2 2" xfId="23700"/>
    <cellStyle name="20% - Accent1 2 2 4 4 2 2 2 2 2" xfId="50904"/>
    <cellStyle name="20% - Accent1 2 2 4 4 2 2 2 3" xfId="37315"/>
    <cellStyle name="20% - Accent1 2 2 4 4 2 2 3" xfId="10231"/>
    <cellStyle name="20% - Accent1 2 2 4 4 2 2 3 2" xfId="43707"/>
    <cellStyle name="20% - Accent1 2 2 4 4 2 2 4" xfId="22032"/>
    <cellStyle name="20% - Accent1 2 2 4 4 2 2 4 2" xfId="50905"/>
    <cellStyle name="20% - Accent1 2 2 4 4 2 2 5" xfId="35647"/>
    <cellStyle name="20% - Accent1 2 2 4 4 2 3" xfId="2937"/>
    <cellStyle name="20% - Accent1 2 2 4 4 2 3 2" xfId="11900"/>
    <cellStyle name="20% - Accent1 2 2 4 4 2 3 2 2" xfId="23701"/>
    <cellStyle name="20% - Accent1 2 2 4 4 2 3 2 2 2" xfId="50906"/>
    <cellStyle name="20% - Accent1 2 2 4 4 2 3 2 3" xfId="37316"/>
    <cellStyle name="20% - Accent1 2 2 4 4 2 3 3" xfId="8390"/>
    <cellStyle name="20% - Accent1 2 2 4 4 2 3 3 2" xfId="43708"/>
    <cellStyle name="20% - Accent1 2 2 4 4 2 3 4" xfId="20191"/>
    <cellStyle name="20% - Accent1 2 2 4 4 2 3 4 2" xfId="50907"/>
    <cellStyle name="20% - Accent1 2 2 4 4 2 3 5" xfId="33806"/>
    <cellStyle name="20% - Accent1 2 2 4 4 2 4" xfId="11901"/>
    <cellStyle name="20% - Accent1 2 2 4 4 2 4 2" xfId="23702"/>
    <cellStyle name="20% - Accent1 2 2 4 4 2 4 2 2" xfId="50908"/>
    <cellStyle name="20% - Accent1 2 2 4 4 2 4 3" xfId="37317"/>
    <cellStyle name="20% - Accent1 2 2 4 4 2 5" xfId="6571"/>
    <cellStyle name="20% - Accent1 2 2 4 4 2 5 2" xfId="43709"/>
    <cellStyle name="20% - Accent1 2 2 4 4 2 6" xfId="18372"/>
    <cellStyle name="20% - Accent1 2 2 4 4 2 6 2" xfId="50909"/>
    <cellStyle name="20% - Accent1 2 2 4 4 2 7" xfId="31987"/>
    <cellStyle name="20% - Accent1 2 2 4 4 3" xfId="3505"/>
    <cellStyle name="20% - Accent1 2 2 4 4 3 2" xfId="5346"/>
    <cellStyle name="20% - Accent1 2 2 4 4 3 2 2" xfId="16816"/>
    <cellStyle name="20% - Accent1 2 2 4 4 3 2 2 2" xfId="28617"/>
    <cellStyle name="20% - Accent1 2 2 4 4 3 2 2 2 2" xfId="50910"/>
    <cellStyle name="20% - Accent1 2 2 4 4 3 2 2 3" xfId="42232"/>
    <cellStyle name="20% - Accent1 2 2 4 4 3 2 3" xfId="10799"/>
    <cellStyle name="20% - Accent1 2 2 4 4 3 2 3 2" xfId="50911"/>
    <cellStyle name="20% - Accent1 2 2 4 4 3 2 4" xfId="22600"/>
    <cellStyle name="20% - Accent1 2 2 4 4 3 2 4 2" xfId="50912"/>
    <cellStyle name="20% - Accent1 2 2 4 4 3 2 5" xfId="36215"/>
    <cellStyle name="20% - Accent1 2 2 4 4 3 3" xfId="11902"/>
    <cellStyle name="20% - Accent1 2 2 4 4 3 3 2" xfId="23703"/>
    <cellStyle name="20% - Accent1 2 2 4 4 3 3 2 2" xfId="50913"/>
    <cellStyle name="20% - Accent1 2 2 4 4 3 3 3" xfId="37318"/>
    <cellStyle name="20% - Accent1 2 2 4 4 3 4" xfId="8958"/>
    <cellStyle name="20% - Accent1 2 2 4 4 3 4 2" xfId="50914"/>
    <cellStyle name="20% - Accent1 2 2 4 4 3 5" xfId="20759"/>
    <cellStyle name="20% - Accent1 2 2 4 4 3 5 2" xfId="50915"/>
    <cellStyle name="20% - Accent1 2 2 4 4 3 6" xfId="34374"/>
    <cellStyle name="20% - Accent1 2 2 4 4 4" xfId="4210"/>
    <cellStyle name="20% - Accent1 2 2 4 4 4 2" xfId="11903"/>
    <cellStyle name="20% - Accent1 2 2 4 4 4 2 2" xfId="23704"/>
    <cellStyle name="20% - Accent1 2 2 4 4 4 2 2 2" xfId="50916"/>
    <cellStyle name="20% - Accent1 2 2 4 4 4 2 3" xfId="37319"/>
    <cellStyle name="20% - Accent1 2 2 4 4 4 3" xfId="9663"/>
    <cellStyle name="20% - Accent1 2 2 4 4 4 3 2" xfId="43710"/>
    <cellStyle name="20% - Accent1 2 2 4 4 4 4" xfId="21464"/>
    <cellStyle name="20% - Accent1 2 2 4 4 4 4 2" xfId="50917"/>
    <cellStyle name="20% - Accent1 2 2 4 4 4 5" xfId="35079"/>
    <cellStyle name="20% - Accent1 2 2 4 4 5" xfId="2369"/>
    <cellStyle name="20% - Accent1 2 2 4 4 5 2" xfId="16981"/>
    <cellStyle name="20% - Accent1 2 2 4 4 5 2 2" xfId="28782"/>
    <cellStyle name="20% - Accent1 2 2 4 4 5 2 2 2" xfId="50918"/>
    <cellStyle name="20% - Accent1 2 2 4 4 5 2 3" xfId="42397"/>
    <cellStyle name="20% - Accent1 2 2 4 4 5 3" xfId="7822"/>
    <cellStyle name="20% - Accent1 2 2 4 4 5 3 2" xfId="50919"/>
    <cellStyle name="20% - Accent1 2 2 4 4 5 4" xfId="19623"/>
    <cellStyle name="20% - Accent1 2 2 4 4 5 4 2" xfId="50920"/>
    <cellStyle name="20% - Accent1 2 2 4 4 5 5" xfId="33238"/>
    <cellStyle name="20% - Accent1 2 2 4 4 6" xfId="11904"/>
    <cellStyle name="20% - Accent1 2 2 4 4 6 2" xfId="23705"/>
    <cellStyle name="20% - Accent1 2 2 4 4 6 2 2" xfId="50921"/>
    <cellStyle name="20% - Accent1 2 2 4 4 6 3" xfId="37320"/>
    <cellStyle name="20% - Accent1 2 2 4 4 7" xfId="5922"/>
    <cellStyle name="20% - Accent1 2 2 4 4 7 2" xfId="50922"/>
    <cellStyle name="20% - Accent1 2 2 4 4 8" xfId="17723"/>
    <cellStyle name="20% - Accent1 2 2 4 4 8 2" xfId="50923"/>
    <cellStyle name="20% - Accent1 2 2 4 4 9" xfId="31338"/>
    <cellStyle name="20% - Accent1 2 2 4 5" xfId="282"/>
    <cellStyle name="20% - Accent1 2 2 4 5 2" xfId="1118"/>
    <cellStyle name="20% - Accent1 2 2 4 5 2 2" xfId="4592"/>
    <cellStyle name="20% - Accent1 2 2 4 5 2 2 2" xfId="11905"/>
    <cellStyle name="20% - Accent1 2 2 4 5 2 2 2 2" xfId="23706"/>
    <cellStyle name="20% - Accent1 2 2 4 5 2 2 2 2 2" xfId="50924"/>
    <cellStyle name="20% - Accent1 2 2 4 5 2 2 2 3" xfId="37321"/>
    <cellStyle name="20% - Accent1 2 2 4 5 2 2 3" xfId="10045"/>
    <cellStyle name="20% - Accent1 2 2 4 5 2 2 3 2" xfId="43711"/>
    <cellStyle name="20% - Accent1 2 2 4 5 2 2 4" xfId="21846"/>
    <cellStyle name="20% - Accent1 2 2 4 5 2 2 4 2" xfId="50925"/>
    <cellStyle name="20% - Accent1 2 2 4 5 2 2 5" xfId="35461"/>
    <cellStyle name="20% - Accent1 2 2 4 5 2 3" xfId="2751"/>
    <cellStyle name="20% - Accent1 2 2 4 5 2 3 2" xfId="11906"/>
    <cellStyle name="20% - Accent1 2 2 4 5 2 3 2 2" xfId="23707"/>
    <cellStyle name="20% - Accent1 2 2 4 5 2 3 2 2 2" xfId="50926"/>
    <cellStyle name="20% - Accent1 2 2 4 5 2 3 2 3" xfId="37322"/>
    <cellStyle name="20% - Accent1 2 2 4 5 2 3 3" xfId="8204"/>
    <cellStyle name="20% - Accent1 2 2 4 5 2 3 3 2" xfId="43712"/>
    <cellStyle name="20% - Accent1 2 2 4 5 2 3 4" xfId="20005"/>
    <cellStyle name="20% - Accent1 2 2 4 5 2 3 4 2" xfId="50927"/>
    <cellStyle name="20% - Accent1 2 2 4 5 2 3 5" xfId="33620"/>
    <cellStyle name="20% - Accent1 2 2 4 5 2 4" xfId="11907"/>
    <cellStyle name="20% - Accent1 2 2 4 5 2 4 2" xfId="23708"/>
    <cellStyle name="20% - Accent1 2 2 4 5 2 4 2 2" xfId="50928"/>
    <cellStyle name="20% - Accent1 2 2 4 5 2 4 3" xfId="37323"/>
    <cellStyle name="20% - Accent1 2 2 4 5 2 5" xfId="6572"/>
    <cellStyle name="20% - Accent1 2 2 4 5 2 5 2" xfId="43713"/>
    <cellStyle name="20% - Accent1 2 2 4 5 2 6" xfId="18373"/>
    <cellStyle name="20% - Accent1 2 2 4 5 2 6 2" xfId="50929"/>
    <cellStyle name="20% - Accent1 2 2 4 5 2 7" xfId="31988"/>
    <cellStyle name="20% - Accent1 2 2 4 5 3" xfId="3319"/>
    <cellStyle name="20% - Accent1 2 2 4 5 3 2" xfId="5160"/>
    <cellStyle name="20% - Accent1 2 2 4 5 3 2 2" xfId="16630"/>
    <cellStyle name="20% - Accent1 2 2 4 5 3 2 2 2" xfId="28431"/>
    <cellStyle name="20% - Accent1 2 2 4 5 3 2 2 2 2" xfId="50930"/>
    <cellStyle name="20% - Accent1 2 2 4 5 3 2 2 3" xfId="42046"/>
    <cellStyle name="20% - Accent1 2 2 4 5 3 2 3" xfId="10613"/>
    <cellStyle name="20% - Accent1 2 2 4 5 3 2 3 2" xfId="50931"/>
    <cellStyle name="20% - Accent1 2 2 4 5 3 2 4" xfId="22414"/>
    <cellStyle name="20% - Accent1 2 2 4 5 3 2 4 2" xfId="50932"/>
    <cellStyle name="20% - Accent1 2 2 4 5 3 2 5" xfId="36029"/>
    <cellStyle name="20% - Accent1 2 2 4 5 3 3" xfId="11908"/>
    <cellStyle name="20% - Accent1 2 2 4 5 3 3 2" xfId="23709"/>
    <cellStyle name="20% - Accent1 2 2 4 5 3 3 2 2" xfId="50933"/>
    <cellStyle name="20% - Accent1 2 2 4 5 3 3 3" xfId="37324"/>
    <cellStyle name="20% - Accent1 2 2 4 5 3 4" xfId="8772"/>
    <cellStyle name="20% - Accent1 2 2 4 5 3 4 2" xfId="50934"/>
    <cellStyle name="20% - Accent1 2 2 4 5 3 5" xfId="20573"/>
    <cellStyle name="20% - Accent1 2 2 4 5 3 5 2" xfId="50935"/>
    <cellStyle name="20% - Accent1 2 2 4 5 3 6" xfId="34188"/>
    <cellStyle name="20% - Accent1 2 2 4 5 4" xfId="4024"/>
    <cellStyle name="20% - Accent1 2 2 4 5 4 2" xfId="11909"/>
    <cellStyle name="20% - Accent1 2 2 4 5 4 2 2" xfId="23710"/>
    <cellStyle name="20% - Accent1 2 2 4 5 4 2 2 2" xfId="50936"/>
    <cellStyle name="20% - Accent1 2 2 4 5 4 2 3" xfId="37325"/>
    <cellStyle name="20% - Accent1 2 2 4 5 4 3" xfId="9477"/>
    <cellStyle name="20% - Accent1 2 2 4 5 4 3 2" xfId="43714"/>
    <cellStyle name="20% - Accent1 2 2 4 5 4 4" xfId="21278"/>
    <cellStyle name="20% - Accent1 2 2 4 5 4 4 2" xfId="50937"/>
    <cellStyle name="20% - Accent1 2 2 4 5 4 5" xfId="34893"/>
    <cellStyle name="20% - Accent1 2 2 4 5 5" xfId="2183"/>
    <cellStyle name="20% - Accent1 2 2 4 5 5 2" xfId="16982"/>
    <cellStyle name="20% - Accent1 2 2 4 5 5 2 2" xfId="28783"/>
    <cellStyle name="20% - Accent1 2 2 4 5 5 2 2 2" xfId="50938"/>
    <cellStyle name="20% - Accent1 2 2 4 5 5 2 3" xfId="42398"/>
    <cellStyle name="20% - Accent1 2 2 4 5 5 3" xfId="7636"/>
    <cellStyle name="20% - Accent1 2 2 4 5 5 3 2" xfId="50939"/>
    <cellStyle name="20% - Accent1 2 2 4 5 5 4" xfId="19437"/>
    <cellStyle name="20% - Accent1 2 2 4 5 5 4 2" xfId="50940"/>
    <cellStyle name="20% - Accent1 2 2 4 5 5 5" xfId="33052"/>
    <cellStyle name="20% - Accent1 2 2 4 5 6" xfId="11910"/>
    <cellStyle name="20% - Accent1 2 2 4 5 6 2" xfId="23711"/>
    <cellStyle name="20% - Accent1 2 2 4 5 6 2 2" xfId="50941"/>
    <cellStyle name="20% - Accent1 2 2 4 5 6 3" xfId="37326"/>
    <cellStyle name="20% - Accent1 2 2 4 5 7" xfId="5736"/>
    <cellStyle name="20% - Accent1 2 2 4 5 7 2" xfId="50942"/>
    <cellStyle name="20% - Accent1 2 2 4 5 8" xfId="17537"/>
    <cellStyle name="20% - Accent1 2 2 4 5 8 2" xfId="50943"/>
    <cellStyle name="20% - Accent1 2 2 4 5 9" xfId="31152"/>
    <cellStyle name="20% - Accent1 2 2 4 6" xfId="609"/>
    <cellStyle name="20% - Accent1 2 2 4 6 2" xfId="1119"/>
    <cellStyle name="20% - Accent1 2 2 4 6 2 2" xfId="4351"/>
    <cellStyle name="20% - Accent1 2 2 4 6 2 2 2" xfId="11911"/>
    <cellStyle name="20% - Accent1 2 2 4 6 2 2 2 2" xfId="23712"/>
    <cellStyle name="20% - Accent1 2 2 4 6 2 2 2 2 2" xfId="50944"/>
    <cellStyle name="20% - Accent1 2 2 4 6 2 2 2 3" xfId="37327"/>
    <cellStyle name="20% - Accent1 2 2 4 6 2 2 3" xfId="9804"/>
    <cellStyle name="20% - Accent1 2 2 4 6 2 2 3 2" xfId="43715"/>
    <cellStyle name="20% - Accent1 2 2 4 6 2 2 4" xfId="21605"/>
    <cellStyle name="20% - Accent1 2 2 4 6 2 2 4 2" xfId="50945"/>
    <cellStyle name="20% - Accent1 2 2 4 6 2 2 5" xfId="35220"/>
    <cellStyle name="20% - Accent1 2 2 4 6 2 3" xfId="11912"/>
    <cellStyle name="20% - Accent1 2 2 4 6 2 3 2" xfId="23713"/>
    <cellStyle name="20% - Accent1 2 2 4 6 2 3 2 2" xfId="43716"/>
    <cellStyle name="20% - Accent1 2 2 4 6 2 3 3" xfId="29374"/>
    <cellStyle name="20% - Accent1 2 2 4 6 2 3 3 2" xfId="43717"/>
    <cellStyle name="20% - Accent1 2 2 4 6 2 3 4" xfId="29375"/>
    <cellStyle name="20% - Accent1 2 2 4 6 2 3 4 2" xfId="50946"/>
    <cellStyle name="20% - Accent1 2 2 4 6 2 3 5" xfId="37328"/>
    <cellStyle name="20% - Accent1 2 2 4 6 2 4" xfId="11913"/>
    <cellStyle name="20% - Accent1 2 2 4 6 2 4 2" xfId="23714"/>
    <cellStyle name="20% - Accent1 2 2 4 6 2 4 2 2" xfId="50947"/>
    <cellStyle name="20% - Accent1 2 2 4 6 2 4 3" xfId="37329"/>
    <cellStyle name="20% - Accent1 2 2 4 6 2 5" xfId="6573"/>
    <cellStyle name="20% - Accent1 2 2 4 6 2 5 2" xfId="43718"/>
    <cellStyle name="20% - Accent1 2 2 4 6 2 6" xfId="18374"/>
    <cellStyle name="20% - Accent1 2 2 4 6 2 6 2" xfId="50948"/>
    <cellStyle name="20% - Accent1 2 2 4 6 2 7" xfId="31989"/>
    <cellStyle name="20% - Accent1 2 2 4 6 3" xfId="2510"/>
    <cellStyle name="20% - Accent1 2 2 4 6 3 2" xfId="11914"/>
    <cellStyle name="20% - Accent1 2 2 4 6 3 2 2" xfId="23715"/>
    <cellStyle name="20% - Accent1 2 2 4 6 3 2 2 2" xfId="50949"/>
    <cellStyle name="20% - Accent1 2 2 4 6 3 2 3" xfId="37330"/>
    <cellStyle name="20% - Accent1 2 2 4 6 3 3" xfId="7963"/>
    <cellStyle name="20% - Accent1 2 2 4 6 3 3 2" xfId="43719"/>
    <cellStyle name="20% - Accent1 2 2 4 6 3 4" xfId="19764"/>
    <cellStyle name="20% - Accent1 2 2 4 6 3 4 2" xfId="50950"/>
    <cellStyle name="20% - Accent1 2 2 4 6 3 5" xfId="33379"/>
    <cellStyle name="20% - Accent1 2 2 4 6 4" xfId="11915"/>
    <cellStyle name="20% - Accent1 2 2 4 6 4 2" xfId="23716"/>
    <cellStyle name="20% - Accent1 2 2 4 6 4 2 2" xfId="43720"/>
    <cellStyle name="20% - Accent1 2 2 4 6 4 3" xfId="29376"/>
    <cellStyle name="20% - Accent1 2 2 4 6 4 3 2" xfId="43721"/>
    <cellStyle name="20% - Accent1 2 2 4 6 4 4" xfId="29377"/>
    <cellStyle name="20% - Accent1 2 2 4 6 4 4 2" xfId="50951"/>
    <cellStyle name="20% - Accent1 2 2 4 6 4 5" xfId="37331"/>
    <cellStyle name="20% - Accent1 2 2 4 6 5" xfId="11916"/>
    <cellStyle name="20% - Accent1 2 2 4 6 5 2" xfId="23717"/>
    <cellStyle name="20% - Accent1 2 2 4 6 5 2 2" xfId="50952"/>
    <cellStyle name="20% - Accent1 2 2 4 6 5 3" xfId="37332"/>
    <cellStyle name="20% - Accent1 2 2 4 6 6" xfId="6063"/>
    <cellStyle name="20% - Accent1 2 2 4 6 6 2" xfId="43722"/>
    <cellStyle name="20% - Accent1 2 2 4 6 7" xfId="17864"/>
    <cellStyle name="20% - Accent1 2 2 4 6 7 2" xfId="50953"/>
    <cellStyle name="20% - Accent1 2 2 4 6 8" xfId="31479"/>
    <cellStyle name="20% - Accent1 2 2 4 7" xfId="850"/>
    <cellStyle name="20% - Accent1 2 2 4 7 2" xfId="1120"/>
    <cellStyle name="20% - Accent1 2 2 4 7 2 2" xfId="4919"/>
    <cellStyle name="20% - Accent1 2 2 4 7 2 2 2" xfId="11917"/>
    <cellStyle name="20% - Accent1 2 2 4 7 2 2 2 2" xfId="23718"/>
    <cellStyle name="20% - Accent1 2 2 4 7 2 2 2 2 2" xfId="50954"/>
    <cellStyle name="20% - Accent1 2 2 4 7 2 2 2 3" xfId="37333"/>
    <cellStyle name="20% - Accent1 2 2 4 7 2 2 3" xfId="10372"/>
    <cellStyle name="20% - Accent1 2 2 4 7 2 2 3 2" xfId="43723"/>
    <cellStyle name="20% - Accent1 2 2 4 7 2 2 4" xfId="22173"/>
    <cellStyle name="20% - Accent1 2 2 4 7 2 2 4 2" xfId="50955"/>
    <cellStyle name="20% - Accent1 2 2 4 7 2 2 5" xfId="35788"/>
    <cellStyle name="20% - Accent1 2 2 4 7 2 3" xfId="11918"/>
    <cellStyle name="20% - Accent1 2 2 4 7 2 3 2" xfId="23719"/>
    <cellStyle name="20% - Accent1 2 2 4 7 2 3 2 2" xfId="43724"/>
    <cellStyle name="20% - Accent1 2 2 4 7 2 3 3" xfId="29378"/>
    <cellStyle name="20% - Accent1 2 2 4 7 2 3 3 2" xfId="43725"/>
    <cellStyle name="20% - Accent1 2 2 4 7 2 3 4" xfId="29379"/>
    <cellStyle name="20% - Accent1 2 2 4 7 2 3 4 2" xfId="50956"/>
    <cellStyle name="20% - Accent1 2 2 4 7 2 3 5" xfId="37334"/>
    <cellStyle name="20% - Accent1 2 2 4 7 2 4" xfId="11919"/>
    <cellStyle name="20% - Accent1 2 2 4 7 2 4 2" xfId="23720"/>
    <cellStyle name="20% - Accent1 2 2 4 7 2 4 2 2" xfId="50957"/>
    <cellStyle name="20% - Accent1 2 2 4 7 2 4 3" xfId="37335"/>
    <cellStyle name="20% - Accent1 2 2 4 7 2 5" xfId="6574"/>
    <cellStyle name="20% - Accent1 2 2 4 7 2 5 2" xfId="43726"/>
    <cellStyle name="20% - Accent1 2 2 4 7 2 6" xfId="18375"/>
    <cellStyle name="20% - Accent1 2 2 4 7 2 6 2" xfId="50958"/>
    <cellStyle name="20% - Accent1 2 2 4 7 2 7" xfId="31990"/>
    <cellStyle name="20% - Accent1 2 2 4 7 3" xfId="3078"/>
    <cellStyle name="20% - Accent1 2 2 4 7 3 2" xfId="11920"/>
    <cellStyle name="20% - Accent1 2 2 4 7 3 2 2" xfId="23721"/>
    <cellStyle name="20% - Accent1 2 2 4 7 3 2 2 2" xfId="50959"/>
    <cellStyle name="20% - Accent1 2 2 4 7 3 2 3" xfId="37336"/>
    <cellStyle name="20% - Accent1 2 2 4 7 3 3" xfId="8531"/>
    <cellStyle name="20% - Accent1 2 2 4 7 3 3 2" xfId="43727"/>
    <cellStyle name="20% - Accent1 2 2 4 7 3 4" xfId="20332"/>
    <cellStyle name="20% - Accent1 2 2 4 7 3 4 2" xfId="50960"/>
    <cellStyle name="20% - Accent1 2 2 4 7 3 5" xfId="33947"/>
    <cellStyle name="20% - Accent1 2 2 4 7 4" xfId="11921"/>
    <cellStyle name="20% - Accent1 2 2 4 7 4 2" xfId="23722"/>
    <cellStyle name="20% - Accent1 2 2 4 7 4 2 2" xfId="43728"/>
    <cellStyle name="20% - Accent1 2 2 4 7 4 3" xfId="29380"/>
    <cellStyle name="20% - Accent1 2 2 4 7 4 3 2" xfId="43729"/>
    <cellStyle name="20% - Accent1 2 2 4 7 4 4" xfId="29381"/>
    <cellStyle name="20% - Accent1 2 2 4 7 4 4 2" xfId="50961"/>
    <cellStyle name="20% - Accent1 2 2 4 7 4 5" xfId="37337"/>
    <cellStyle name="20% - Accent1 2 2 4 7 5" xfId="11922"/>
    <cellStyle name="20% - Accent1 2 2 4 7 5 2" xfId="23723"/>
    <cellStyle name="20% - Accent1 2 2 4 7 5 2 2" xfId="50962"/>
    <cellStyle name="20% - Accent1 2 2 4 7 5 3" xfId="37338"/>
    <cellStyle name="20% - Accent1 2 2 4 7 6" xfId="6304"/>
    <cellStyle name="20% - Accent1 2 2 4 7 6 2" xfId="43730"/>
    <cellStyle name="20% - Accent1 2 2 4 7 7" xfId="18105"/>
    <cellStyle name="20% - Accent1 2 2 4 7 7 2" xfId="50963"/>
    <cellStyle name="20% - Accent1 2 2 4 7 8" xfId="31720"/>
    <cellStyle name="20% - Accent1 2 2 4 8" xfId="1121"/>
    <cellStyle name="20% - Accent1 2 2 4 8 2" xfId="3783"/>
    <cellStyle name="20% - Accent1 2 2 4 8 2 2" xfId="11923"/>
    <cellStyle name="20% - Accent1 2 2 4 8 2 2 2" xfId="23724"/>
    <cellStyle name="20% - Accent1 2 2 4 8 2 2 2 2" xfId="50964"/>
    <cellStyle name="20% - Accent1 2 2 4 8 2 2 3" xfId="37339"/>
    <cellStyle name="20% - Accent1 2 2 4 8 2 3" xfId="9236"/>
    <cellStyle name="20% - Accent1 2 2 4 8 2 3 2" xfId="43731"/>
    <cellStyle name="20% - Accent1 2 2 4 8 2 4" xfId="21037"/>
    <cellStyle name="20% - Accent1 2 2 4 8 2 4 2" xfId="50965"/>
    <cellStyle name="20% - Accent1 2 2 4 8 2 5" xfId="34652"/>
    <cellStyle name="20% - Accent1 2 2 4 8 3" xfId="11924"/>
    <cellStyle name="20% - Accent1 2 2 4 8 3 2" xfId="23725"/>
    <cellStyle name="20% - Accent1 2 2 4 8 3 2 2" xfId="43732"/>
    <cellStyle name="20% - Accent1 2 2 4 8 3 3" xfId="29382"/>
    <cellStyle name="20% - Accent1 2 2 4 8 3 3 2" xfId="43733"/>
    <cellStyle name="20% - Accent1 2 2 4 8 3 4" xfId="29383"/>
    <cellStyle name="20% - Accent1 2 2 4 8 3 4 2" xfId="50966"/>
    <cellStyle name="20% - Accent1 2 2 4 8 3 5" xfId="37340"/>
    <cellStyle name="20% - Accent1 2 2 4 8 4" xfId="11925"/>
    <cellStyle name="20% - Accent1 2 2 4 8 4 2" xfId="23726"/>
    <cellStyle name="20% - Accent1 2 2 4 8 4 2 2" xfId="50967"/>
    <cellStyle name="20% - Accent1 2 2 4 8 4 3" xfId="37341"/>
    <cellStyle name="20% - Accent1 2 2 4 8 5" xfId="6575"/>
    <cellStyle name="20% - Accent1 2 2 4 8 5 2" xfId="43734"/>
    <cellStyle name="20% - Accent1 2 2 4 8 6" xfId="18376"/>
    <cellStyle name="20% - Accent1 2 2 4 8 6 2" xfId="50968"/>
    <cellStyle name="20% - Accent1 2 2 4 8 7" xfId="31991"/>
    <cellStyle name="20% - Accent1 2 2 4 9" xfId="3646"/>
    <cellStyle name="20% - Accent1 2 2 4 9 2" xfId="11926"/>
    <cellStyle name="20% - Accent1 2 2 4 9 2 2" xfId="23727"/>
    <cellStyle name="20% - Accent1 2 2 4 9 2 2 2" xfId="50969"/>
    <cellStyle name="20% - Accent1 2 2 4 9 2 3" xfId="37342"/>
    <cellStyle name="20% - Accent1 2 2 4 9 3" xfId="9099"/>
    <cellStyle name="20% - Accent1 2 2 4 9 3 2" xfId="43735"/>
    <cellStyle name="20% - Accent1 2 2 4 9 4" xfId="20900"/>
    <cellStyle name="20% - Accent1 2 2 4 9 4 2" xfId="50970"/>
    <cellStyle name="20% - Accent1 2 2 4 9 5" xfId="34515"/>
    <cellStyle name="20% - Accent1 2 2 5" xfId="21"/>
    <cellStyle name="20% - Accent1 2 2 5 10" xfId="1922"/>
    <cellStyle name="20% - Accent1 2 2 5 10 2" xfId="11927"/>
    <cellStyle name="20% - Accent1 2 2 5 10 2 2" xfId="23728"/>
    <cellStyle name="20% - Accent1 2 2 5 10 2 2 2" xfId="50971"/>
    <cellStyle name="20% - Accent1 2 2 5 10 2 3" xfId="37343"/>
    <cellStyle name="20% - Accent1 2 2 5 10 3" xfId="7375"/>
    <cellStyle name="20% - Accent1 2 2 5 10 3 2" xfId="43736"/>
    <cellStyle name="20% - Accent1 2 2 5 10 4" xfId="19176"/>
    <cellStyle name="20% - Accent1 2 2 5 10 4 2" xfId="50972"/>
    <cellStyle name="20% - Accent1 2 2 5 10 5" xfId="32791"/>
    <cellStyle name="20% - Accent1 2 2 5 11" xfId="11928"/>
    <cellStyle name="20% - Accent1 2 2 5 11 2" xfId="23729"/>
    <cellStyle name="20% - Accent1 2 2 5 11 2 2" xfId="50973"/>
    <cellStyle name="20% - Accent1 2 2 5 11 3" xfId="37344"/>
    <cellStyle name="20% - Accent1 2 2 5 12" xfId="5475"/>
    <cellStyle name="20% - Accent1 2 2 5 12 2" xfId="43737"/>
    <cellStyle name="20% - Accent1 2 2 5 13" xfId="17276"/>
    <cellStyle name="20% - Accent1 2 2 5 13 2" xfId="50974"/>
    <cellStyle name="20% - Accent1 2 2 5 14" xfId="30891"/>
    <cellStyle name="20% - Accent1 2 2 5 2" xfId="88"/>
    <cellStyle name="20% - Accent1 2 2 5 2 10" xfId="5542"/>
    <cellStyle name="20% - Accent1 2 2 5 2 10 2" xfId="43738"/>
    <cellStyle name="20% - Accent1 2 2 5 2 11" xfId="17343"/>
    <cellStyle name="20% - Accent1 2 2 5 2 11 2" xfId="50975"/>
    <cellStyle name="20% - Accent1 2 2 5 2 12" xfId="30958"/>
    <cellStyle name="20% - Accent1 2 2 5 2 2" xfId="199"/>
    <cellStyle name="20% - Accent1 2 2 5 2 2 10" xfId="31069"/>
    <cellStyle name="20% - Accent1 2 2 5 2 2 2" xfId="515"/>
    <cellStyle name="20% - Accent1 2 2 5 2 2 2 2" xfId="1122"/>
    <cellStyle name="20% - Accent1 2 2 5 2 2 2 2 2" xfId="4825"/>
    <cellStyle name="20% - Accent1 2 2 5 2 2 2 2 2 2" xfId="11929"/>
    <cellStyle name="20% - Accent1 2 2 5 2 2 2 2 2 2 2" xfId="23730"/>
    <cellStyle name="20% - Accent1 2 2 5 2 2 2 2 2 2 2 2" xfId="50976"/>
    <cellStyle name="20% - Accent1 2 2 5 2 2 2 2 2 2 3" xfId="37345"/>
    <cellStyle name="20% - Accent1 2 2 5 2 2 2 2 2 3" xfId="10278"/>
    <cellStyle name="20% - Accent1 2 2 5 2 2 2 2 2 3 2" xfId="43739"/>
    <cellStyle name="20% - Accent1 2 2 5 2 2 2 2 2 4" xfId="22079"/>
    <cellStyle name="20% - Accent1 2 2 5 2 2 2 2 2 4 2" xfId="50977"/>
    <cellStyle name="20% - Accent1 2 2 5 2 2 2 2 2 5" xfId="35694"/>
    <cellStyle name="20% - Accent1 2 2 5 2 2 2 2 3" xfId="2984"/>
    <cellStyle name="20% - Accent1 2 2 5 2 2 2 2 3 2" xfId="11930"/>
    <cellStyle name="20% - Accent1 2 2 5 2 2 2 2 3 2 2" xfId="23731"/>
    <cellStyle name="20% - Accent1 2 2 5 2 2 2 2 3 2 2 2" xfId="50978"/>
    <cellStyle name="20% - Accent1 2 2 5 2 2 2 2 3 2 3" xfId="37346"/>
    <cellStyle name="20% - Accent1 2 2 5 2 2 2 2 3 3" xfId="8437"/>
    <cellStyle name="20% - Accent1 2 2 5 2 2 2 2 3 3 2" xfId="43740"/>
    <cellStyle name="20% - Accent1 2 2 5 2 2 2 2 3 4" xfId="20238"/>
    <cellStyle name="20% - Accent1 2 2 5 2 2 2 2 3 4 2" xfId="50979"/>
    <cellStyle name="20% - Accent1 2 2 5 2 2 2 2 3 5" xfId="33853"/>
    <cellStyle name="20% - Accent1 2 2 5 2 2 2 2 4" xfId="11931"/>
    <cellStyle name="20% - Accent1 2 2 5 2 2 2 2 4 2" xfId="23732"/>
    <cellStyle name="20% - Accent1 2 2 5 2 2 2 2 4 2 2" xfId="50980"/>
    <cellStyle name="20% - Accent1 2 2 5 2 2 2 2 4 3" xfId="37347"/>
    <cellStyle name="20% - Accent1 2 2 5 2 2 2 2 5" xfId="6576"/>
    <cellStyle name="20% - Accent1 2 2 5 2 2 2 2 5 2" xfId="43741"/>
    <cellStyle name="20% - Accent1 2 2 5 2 2 2 2 6" xfId="18377"/>
    <cellStyle name="20% - Accent1 2 2 5 2 2 2 2 6 2" xfId="50981"/>
    <cellStyle name="20% - Accent1 2 2 5 2 2 2 2 7" xfId="31992"/>
    <cellStyle name="20% - Accent1 2 2 5 2 2 2 3" xfId="3552"/>
    <cellStyle name="20% - Accent1 2 2 5 2 2 2 3 2" xfId="5393"/>
    <cellStyle name="20% - Accent1 2 2 5 2 2 2 3 2 2" xfId="16863"/>
    <cellStyle name="20% - Accent1 2 2 5 2 2 2 3 2 2 2" xfId="28664"/>
    <cellStyle name="20% - Accent1 2 2 5 2 2 2 3 2 2 2 2" xfId="50982"/>
    <cellStyle name="20% - Accent1 2 2 5 2 2 2 3 2 2 3" xfId="42279"/>
    <cellStyle name="20% - Accent1 2 2 5 2 2 2 3 2 3" xfId="10846"/>
    <cellStyle name="20% - Accent1 2 2 5 2 2 2 3 2 3 2" xfId="50983"/>
    <cellStyle name="20% - Accent1 2 2 5 2 2 2 3 2 4" xfId="22647"/>
    <cellStyle name="20% - Accent1 2 2 5 2 2 2 3 2 4 2" xfId="50984"/>
    <cellStyle name="20% - Accent1 2 2 5 2 2 2 3 2 5" xfId="36262"/>
    <cellStyle name="20% - Accent1 2 2 5 2 2 2 3 3" xfId="11932"/>
    <cellStyle name="20% - Accent1 2 2 5 2 2 2 3 3 2" xfId="23733"/>
    <cellStyle name="20% - Accent1 2 2 5 2 2 2 3 3 2 2" xfId="50985"/>
    <cellStyle name="20% - Accent1 2 2 5 2 2 2 3 3 3" xfId="37348"/>
    <cellStyle name="20% - Accent1 2 2 5 2 2 2 3 4" xfId="9005"/>
    <cellStyle name="20% - Accent1 2 2 5 2 2 2 3 4 2" xfId="50986"/>
    <cellStyle name="20% - Accent1 2 2 5 2 2 2 3 5" xfId="20806"/>
    <cellStyle name="20% - Accent1 2 2 5 2 2 2 3 5 2" xfId="50987"/>
    <cellStyle name="20% - Accent1 2 2 5 2 2 2 3 6" xfId="34421"/>
    <cellStyle name="20% - Accent1 2 2 5 2 2 2 4" xfId="4257"/>
    <cellStyle name="20% - Accent1 2 2 5 2 2 2 4 2" xfId="11933"/>
    <cellStyle name="20% - Accent1 2 2 5 2 2 2 4 2 2" xfId="23734"/>
    <cellStyle name="20% - Accent1 2 2 5 2 2 2 4 2 2 2" xfId="50988"/>
    <cellStyle name="20% - Accent1 2 2 5 2 2 2 4 2 3" xfId="37349"/>
    <cellStyle name="20% - Accent1 2 2 5 2 2 2 4 3" xfId="9710"/>
    <cellStyle name="20% - Accent1 2 2 5 2 2 2 4 3 2" xfId="43742"/>
    <cellStyle name="20% - Accent1 2 2 5 2 2 2 4 4" xfId="21511"/>
    <cellStyle name="20% - Accent1 2 2 5 2 2 2 4 4 2" xfId="50989"/>
    <cellStyle name="20% - Accent1 2 2 5 2 2 2 4 5" xfId="35126"/>
    <cellStyle name="20% - Accent1 2 2 5 2 2 2 5" xfId="2416"/>
    <cellStyle name="20% - Accent1 2 2 5 2 2 2 5 2" xfId="16983"/>
    <cellStyle name="20% - Accent1 2 2 5 2 2 2 5 2 2" xfId="28784"/>
    <cellStyle name="20% - Accent1 2 2 5 2 2 2 5 2 2 2" xfId="50990"/>
    <cellStyle name="20% - Accent1 2 2 5 2 2 2 5 2 3" xfId="42399"/>
    <cellStyle name="20% - Accent1 2 2 5 2 2 2 5 3" xfId="7869"/>
    <cellStyle name="20% - Accent1 2 2 5 2 2 2 5 3 2" xfId="50991"/>
    <cellStyle name="20% - Accent1 2 2 5 2 2 2 5 4" xfId="19670"/>
    <cellStyle name="20% - Accent1 2 2 5 2 2 2 5 4 2" xfId="50992"/>
    <cellStyle name="20% - Accent1 2 2 5 2 2 2 5 5" xfId="33285"/>
    <cellStyle name="20% - Accent1 2 2 5 2 2 2 6" xfId="11934"/>
    <cellStyle name="20% - Accent1 2 2 5 2 2 2 6 2" xfId="23735"/>
    <cellStyle name="20% - Accent1 2 2 5 2 2 2 6 2 2" xfId="50993"/>
    <cellStyle name="20% - Accent1 2 2 5 2 2 2 6 3" xfId="37350"/>
    <cellStyle name="20% - Accent1 2 2 5 2 2 2 7" xfId="5969"/>
    <cellStyle name="20% - Accent1 2 2 5 2 2 2 7 2" xfId="50994"/>
    <cellStyle name="20% - Accent1 2 2 5 2 2 2 8" xfId="17770"/>
    <cellStyle name="20% - Accent1 2 2 5 2 2 2 8 2" xfId="50995"/>
    <cellStyle name="20% - Accent1 2 2 5 2 2 2 9" xfId="31385"/>
    <cellStyle name="20% - Accent1 2 2 5 2 2 3" xfId="767"/>
    <cellStyle name="20% - Accent1 2 2 5 2 2 3 2" xfId="1123"/>
    <cellStyle name="20% - Accent1 2 2 5 2 2 3 2 2" xfId="4509"/>
    <cellStyle name="20% - Accent1 2 2 5 2 2 3 2 2 2" xfId="11935"/>
    <cellStyle name="20% - Accent1 2 2 5 2 2 3 2 2 2 2" xfId="23736"/>
    <cellStyle name="20% - Accent1 2 2 5 2 2 3 2 2 2 2 2" xfId="50996"/>
    <cellStyle name="20% - Accent1 2 2 5 2 2 3 2 2 2 3" xfId="37351"/>
    <cellStyle name="20% - Accent1 2 2 5 2 2 3 2 2 3" xfId="9962"/>
    <cellStyle name="20% - Accent1 2 2 5 2 2 3 2 2 3 2" xfId="43743"/>
    <cellStyle name="20% - Accent1 2 2 5 2 2 3 2 2 4" xfId="21763"/>
    <cellStyle name="20% - Accent1 2 2 5 2 2 3 2 2 4 2" xfId="50997"/>
    <cellStyle name="20% - Accent1 2 2 5 2 2 3 2 2 5" xfId="35378"/>
    <cellStyle name="20% - Accent1 2 2 5 2 2 3 2 3" xfId="11936"/>
    <cellStyle name="20% - Accent1 2 2 5 2 2 3 2 3 2" xfId="23737"/>
    <cellStyle name="20% - Accent1 2 2 5 2 2 3 2 3 2 2" xfId="43744"/>
    <cellStyle name="20% - Accent1 2 2 5 2 2 3 2 3 3" xfId="29384"/>
    <cellStyle name="20% - Accent1 2 2 5 2 2 3 2 3 3 2" xfId="43745"/>
    <cellStyle name="20% - Accent1 2 2 5 2 2 3 2 3 4" xfId="29385"/>
    <cellStyle name="20% - Accent1 2 2 5 2 2 3 2 3 4 2" xfId="50998"/>
    <cellStyle name="20% - Accent1 2 2 5 2 2 3 2 3 5" xfId="37352"/>
    <cellStyle name="20% - Accent1 2 2 5 2 2 3 2 4" xfId="11937"/>
    <cellStyle name="20% - Accent1 2 2 5 2 2 3 2 4 2" xfId="23738"/>
    <cellStyle name="20% - Accent1 2 2 5 2 2 3 2 4 2 2" xfId="50999"/>
    <cellStyle name="20% - Accent1 2 2 5 2 2 3 2 4 3" xfId="37353"/>
    <cellStyle name="20% - Accent1 2 2 5 2 2 3 2 5" xfId="6577"/>
    <cellStyle name="20% - Accent1 2 2 5 2 2 3 2 5 2" xfId="43746"/>
    <cellStyle name="20% - Accent1 2 2 5 2 2 3 2 6" xfId="18378"/>
    <cellStyle name="20% - Accent1 2 2 5 2 2 3 2 6 2" xfId="51000"/>
    <cellStyle name="20% - Accent1 2 2 5 2 2 3 2 7" xfId="31993"/>
    <cellStyle name="20% - Accent1 2 2 5 2 2 3 3" xfId="2668"/>
    <cellStyle name="20% - Accent1 2 2 5 2 2 3 3 2" xfId="11938"/>
    <cellStyle name="20% - Accent1 2 2 5 2 2 3 3 2 2" xfId="23739"/>
    <cellStyle name="20% - Accent1 2 2 5 2 2 3 3 2 2 2" xfId="51001"/>
    <cellStyle name="20% - Accent1 2 2 5 2 2 3 3 2 3" xfId="37354"/>
    <cellStyle name="20% - Accent1 2 2 5 2 2 3 3 3" xfId="8121"/>
    <cellStyle name="20% - Accent1 2 2 5 2 2 3 3 3 2" xfId="43747"/>
    <cellStyle name="20% - Accent1 2 2 5 2 2 3 3 4" xfId="19922"/>
    <cellStyle name="20% - Accent1 2 2 5 2 2 3 3 4 2" xfId="51002"/>
    <cellStyle name="20% - Accent1 2 2 5 2 2 3 3 5" xfId="33537"/>
    <cellStyle name="20% - Accent1 2 2 5 2 2 3 4" xfId="11939"/>
    <cellStyle name="20% - Accent1 2 2 5 2 2 3 4 2" xfId="23740"/>
    <cellStyle name="20% - Accent1 2 2 5 2 2 3 4 2 2" xfId="43748"/>
    <cellStyle name="20% - Accent1 2 2 5 2 2 3 4 3" xfId="29386"/>
    <cellStyle name="20% - Accent1 2 2 5 2 2 3 4 3 2" xfId="43749"/>
    <cellStyle name="20% - Accent1 2 2 5 2 2 3 4 4" xfId="29387"/>
    <cellStyle name="20% - Accent1 2 2 5 2 2 3 4 4 2" xfId="51003"/>
    <cellStyle name="20% - Accent1 2 2 5 2 2 3 4 5" xfId="37355"/>
    <cellStyle name="20% - Accent1 2 2 5 2 2 3 5" xfId="11940"/>
    <cellStyle name="20% - Accent1 2 2 5 2 2 3 5 2" xfId="23741"/>
    <cellStyle name="20% - Accent1 2 2 5 2 2 3 5 2 2" xfId="51004"/>
    <cellStyle name="20% - Accent1 2 2 5 2 2 3 5 3" xfId="37356"/>
    <cellStyle name="20% - Accent1 2 2 5 2 2 3 6" xfId="6221"/>
    <cellStyle name="20% - Accent1 2 2 5 2 2 3 6 2" xfId="43750"/>
    <cellStyle name="20% - Accent1 2 2 5 2 2 3 7" xfId="18022"/>
    <cellStyle name="20% - Accent1 2 2 5 2 2 3 7 2" xfId="51005"/>
    <cellStyle name="20% - Accent1 2 2 5 2 2 3 8" xfId="31637"/>
    <cellStyle name="20% - Accent1 2 2 5 2 2 4" xfId="1124"/>
    <cellStyle name="20% - Accent1 2 2 5 2 2 4 2" xfId="5077"/>
    <cellStyle name="20% - Accent1 2 2 5 2 2 4 2 2" xfId="11941"/>
    <cellStyle name="20% - Accent1 2 2 5 2 2 4 2 2 2" xfId="23742"/>
    <cellStyle name="20% - Accent1 2 2 5 2 2 4 2 2 2 2" xfId="51006"/>
    <cellStyle name="20% - Accent1 2 2 5 2 2 4 2 2 3" xfId="37357"/>
    <cellStyle name="20% - Accent1 2 2 5 2 2 4 2 3" xfId="10530"/>
    <cellStyle name="20% - Accent1 2 2 5 2 2 4 2 3 2" xfId="43751"/>
    <cellStyle name="20% - Accent1 2 2 5 2 2 4 2 4" xfId="22331"/>
    <cellStyle name="20% - Accent1 2 2 5 2 2 4 2 4 2" xfId="51007"/>
    <cellStyle name="20% - Accent1 2 2 5 2 2 4 2 5" xfId="35946"/>
    <cellStyle name="20% - Accent1 2 2 5 2 2 4 3" xfId="3236"/>
    <cellStyle name="20% - Accent1 2 2 5 2 2 4 3 2" xfId="11942"/>
    <cellStyle name="20% - Accent1 2 2 5 2 2 4 3 2 2" xfId="23743"/>
    <cellStyle name="20% - Accent1 2 2 5 2 2 4 3 2 2 2" xfId="51008"/>
    <cellStyle name="20% - Accent1 2 2 5 2 2 4 3 2 3" xfId="37358"/>
    <cellStyle name="20% - Accent1 2 2 5 2 2 4 3 3" xfId="8689"/>
    <cellStyle name="20% - Accent1 2 2 5 2 2 4 3 3 2" xfId="43752"/>
    <cellStyle name="20% - Accent1 2 2 5 2 2 4 3 4" xfId="20490"/>
    <cellStyle name="20% - Accent1 2 2 5 2 2 4 3 4 2" xfId="51009"/>
    <cellStyle name="20% - Accent1 2 2 5 2 2 4 3 5" xfId="34105"/>
    <cellStyle name="20% - Accent1 2 2 5 2 2 4 4" xfId="11943"/>
    <cellStyle name="20% - Accent1 2 2 5 2 2 4 4 2" xfId="23744"/>
    <cellStyle name="20% - Accent1 2 2 5 2 2 4 4 2 2" xfId="51010"/>
    <cellStyle name="20% - Accent1 2 2 5 2 2 4 4 3" xfId="37359"/>
    <cellStyle name="20% - Accent1 2 2 5 2 2 4 5" xfId="6578"/>
    <cellStyle name="20% - Accent1 2 2 5 2 2 4 5 2" xfId="43753"/>
    <cellStyle name="20% - Accent1 2 2 5 2 2 4 6" xfId="18379"/>
    <cellStyle name="20% - Accent1 2 2 5 2 2 4 6 2" xfId="51011"/>
    <cellStyle name="20% - Accent1 2 2 5 2 2 4 7" xfId="31994"/>
    <cellStyle name="20% - Accent1 2 2 5 2 2 5" xfId="3941"/>
    <cellStyle name="20% - Accent1 2 2 5 2 2 5 2" xfId="11944"/>
    <cellStyle name="20% - Accent1 2 2 5 2 2 5 2 2" xfId="23745"/>
    <cellStyle name="20% - Accent1 2 2 5 2 2 5 2 2 2" xfId="51012"/>
    <cellStyle name="20% - Accent1 2 2 5 2 2 5 2 3" xfId="37360"/>
    <cellStyle name="20% - Accent1 2 2 5 2 2 5 3" xfId="9394"/>
    <cellStyle name="20% - Accent1 2 2 5 2 2 5 3 2" xfId="43754"/>
    <cellStyle name="20% - Accent1 2 2 5 2 2 5 4" xfId="21195"/>
    <cellStyle name="20% - Accent1 2 2 5 2 2 5 4 2" xfId="51013"/>
    <cellStyle name="20% - Accent1 2 2 5 2 2 5 5" xfId="34810"/>
    <cellStyle name="20% - Accent1 2 2 5 2 2 6" xfId="2100"/>
    <cellStyle name="20% - Accent1 2 2 5 2 2 6 2" xfId="11945"/>
    <cellStyle name="20% - Accent1 2 2 5 2 2 6 2 2" xfId="23746"/>
    <cellStyle name="20% - Accent1 2 2 5 2 2 6 2 2 2" xfId="51014"/>
    <cellStyle name="20% - Accent1 2 2 5 2 2 6 2 3" xfId="37361"/>
    <cellStyle name="20% - Accent1 2 2 5 2 2 6 3" xfId="7553"/>
    <cellStyle name="20% - Accent1 2 2 5 2 2 6 3 2" xfId="43755"/>
    <cellStyle name="20% - Accent1 2 2 5 2 2 6 4" xfId="19354"/>
    <cellStyle name="20% - Accent1 2 2 5 2 2 6 4 2" xfId="51015"/>
    <cellStyle name="20% - Accent1 2 2 5 2 2 6 5" xfId="32969"/>
    <cellStyle name="20% - Accent1 2 2 5 2 2 7" xfId="11946"/>
    <cellStyle name="20% - Accent1 2 2 5 2 2 7 2" xfId="23747"/>
    <cellStyle name="20% - Accent1 2 2 5 2 2 7 2 2" xfId="51016"/>
    <cellStyle name="20% - Accent1 2 2 5 2 2 7 3" xfId="37362"/>
    <cellStyle name="20% - Accent1 2 2 5 2 2 8" xfId="5653"/>
    <cellStyle name="20% - Accent1 2 2 5 2 2 8 2" xfId="43756"/>
    <cellStyle name="20% - Accent1 2 2 5 2 2 9" xfId="17454"/>
    <cellStyle name="20% - Accent1 2 2 5 2 2 9 2" xfId="51017"/>
    <cellStyle name="20% - Accent1 2 2 5 2 3" xfId="378"/>
    <cellStyle name="20% - Accent1 2 2 5 2 3 2" xfId="1125"/>
    <cellStyle name="20% - Accent1 2 2 5 2 3 2 2" xfId="4688"/>
    <cellStyle name="20% - Accent1 2 2 5 2 3 2 2 2" xfId="11947"/>
    <cellStyle name="20% - Accent1 2 2 5 2 3 2 2 2 2" xfId="23748"/>
    <cellStyle name="20% - Accent1 2 2 5 2 3 2 2 2 2 2" xfId="51018"/>
    <cellStyle name="20% - Accent1 2 2 5 2 3 2 2 2 3" xfId="37363"/>
    <cellStyle name="20% - Accent1 2 2 5 2 3 2 2 3" xfId="10141"/>
    <cellStyle name="20% - Accent1 2 2 5 2 3 2 2 3 2" xfId="43757"/>
    <cellStyle name="20% - Accent1 2 2 5 2 3 2 2 4" xfId="21942"/>
    <cellStyle name="20% - Accent1 2 2 5 2 3 2 2 4 2" xfId="51019"/>
    <cellStyle name="20% - Accent1 2 2 5 2 3 2 2 5" xfId="35557"/>
    <cellStyle name="20% - Accent1 2 2 5 2 3 2 3" xfId="2847"/>
    <cellStyle name="20% - Accent1 2 2 5 2 3 2 3 2" xfId="11948"/>
    <cellStyle name="20% - Accent1 2 2 5 2 3 2 3 2 2" xfId="23749"/>
    <cellStyle name="20% - Accent1 2 2 5 2 3 2 3 2 2 2" xfId="51020"/>
    <cellStyle name="20% - Accent1 2 2 5 2 3 2 3 2 3" xfId="37364"/>
    <cellStyle name="20% - Accent1 2 2 5 2 3 2 3 3" xfId="8300"/>
    <cellStyle name="20% - Accent1 2 2 5 2 3 2 3 3 2" xfId="43758"/>
    <cellStyle name="20% - Accent1 2 2 5 2 3 2 3 4" xfId="20101"/>
    <cellStyle name="20% - Accent1 2 2 5 2 3 2 3 4 2" xfId="51021"/>
    <cellStyle name="20% - Accent1 2 2 5 2 3 2 3 5" xfId="33716"/>
    <cellStyle name="20% - Accent1 2 2 5 2 3 2 4" xfId="11949"/>
    <cellStyle name="20% - Accent1 2 2 5 2 3 2 4 2" xfId="23750"/>
    <cellStyle name="20% - Accent1 2 2 5 2 3 2 4 2 2" xfId="51022"/>
    <cellStyle name="20% - Accent1 2 2 5 2 3 2 4 3" xfId="37365"/>
    <cellStyle name="20% - Accent1 2 2 5 2 3 2 5" xfId="6579"/>
    <cellStyle name="20% - Accent1 2 2 5 2 3 2 5 2" xfId="43759"/>
    <cellStyle name="20% - Accent1 2 2 5 2 3 2 6" xfId="18380"/>
    <cellStyle name="20% - Accent1 2 2 5 2 3 2 6 2" xfId="51023"/>
    <cellStyle name="20% - Accent1 2 2 5 2 3 2 7" xfId="31995"/>
    <cellStyle name="20% - Accent1 2 2 5 2 3 3" xfId="3415"/>
    <cellStyle name="20% - Accent1 2 2 5 2 3 3 2" xfId="5256"/>
    <cellStyle name="20% - Accent1 2 2 5 2 3 3 2 2" xfId="16726"/>
    <cellStyle name="20% - Accent1 2 2 5 2 3 3 2 2 2" xfId="28527"/>
    <cellStyle name="20% - Accent1 2 2 5 2 3 3 2 2 2 2" xfId="51024"/>
    <cellStyle name="20% - Accent1 2 2 5 2 3 3 2 2 3" xfId="42142"/>
    <cellStyle name="20% - Accent1 2 2 5 2 3 3 2 3" xfId="10709"/>
    <cellStyle name="20% - Accent1 2 2 5 2 3 3 2 3 2" xfId="51025"/>
    <cellStyle name="20% - Accent1 2 2 5 2 3 3 2 4" xfId="22510"/>
    <cellStyle name="20% - Accent1 2 2 5 2 3 3 2 4 2" xfId="51026"/>
    <cellStyle name="20% - Accent1 2 2 5 2 3 3 2 5" xfId="36125"/>
    <cellStyle name="20% - Accent1 2 2 5 2 3 3 3" xfId="11950"/>
    <cellStyle name="20% - Accent1 2 2 5 2 3 3 3 2" xfId="23751"/>
    <cellStyle name="20% - Accent1 2 2 5 2 3 3 3 2 2" xfId="51027"/>
    <cellStyle name="20% - Accent1 2 2 5 2 3 3 3 3" xfId="37366"/>
    <cellStyle name="20% - Accent1 2 2 5 2 3 3 4" xfId="8868"/>
    <cellStyle name="20% - Accent1 2 2 5 2 3 3 4 2" xfId="51028"/>
    <cellStyle name="20% - Accent1 2 2 5 2 3 3 5" xfId="20669"/>
    <cellStyle name="20% - Accent1 2 2 5 2 3 3 5 2" xfId="51029"/>
    <cellStyle name="20% - Accent1 2 2 5 2 3 3 6" xfId="34284"/>
    <cellStyle name="20% - Accent1 2 2 5 2 3 4" xfId="4120"/>
    <cellStyle name="20% - Accent1 2 2 5 2 3 4 2" xfId="11951"/>
    <cellStyle name="20% - Accent1 2 2 5 2 3 4 2 2" xfId="23752"/>
    <cellStyle name="20% - Accent1 2 2 5 2 3 4 2 2 2" xfId="51030"/>
    <cellStyle name="20% - Accent1 2 2 5 2 3 4 2 3" xfId="37367"/>
    <cellStyle name="20% - Accent1 2 2 5 2 3 4 3" xfId="9573"/>
    <cellStyle name="20% - Accent1 2 2 5 2 3 4 3 2" xfId="43760"/>
    <cellStyle name="20% - Accent1 2 2 5 2 3 4 4" xfId="21374"/>
    <cellStyle name="20% - Accent1 2 2 5 2 3 4 4 2" xfId="51031"/>
    <cellStyle name="20% - Accent1 2 2 5 2 3 4 5" xfId="34989"/>
    <cellStyle name="20% - Accent1 2 2 5 2 3 5" xfId="2279"/>
    <cellStyle name="20% - Accent1 2 2 5 2 3 5 2" xfId="16984"/>
    <cellStyle name="20% - Accent1 2 2 5 2 3 5 2 2" xfId="28785"/>
    <cellStyle name="20% - Accent1 2 2 5 2 3 5 2 2 2" xfId="51032"/>
    <cellStyle name="20% - Accent1 2 2 5 2 3 5 2 3" xfId="42400"/>
    <cellStyle name="20% - Accent1 2 2 5 2 3 5 3" xfId="7732"/>
    <cellStyle name="20% - Accent1 2 2 5 2 3 5 3 2" xfId="51033"/>
    <cellStyle name="20% - Accent1 2 2 5 2 3 5 4" xfId="19533"/>
    <cellStyle name="20% - Accent1 2 2 5 2 3 5 4 2" xfId="51034"/>
    <cellStyle name="20% - Accent1 2 2 5 2 3 5 5" xfId="33148"/>
    <cellStyle name="20% - Accent1 2 2 5 2 3 6" xfId="11952"/>
    <cellStyle name="20% - Accent1 2 2 5 2 3 6 2" xfId="23753"/>
    <cellStyle name="20% - Accent1 2 2 5 2 3 6 2 2" xfId="51035"/>
    <cellStyle name="20% - Accent1 2 2 5 2 3 6 3" xfId="37368"/>
    <cellStyle name="20% - Accent1 2 2 5 2 3 7" xfId="5832"/>
    <cellStyle name="20% - Accent1 2 2 5 2 3 7 2" xfId="51036"/>
    <cellStyle name="20% - Accent1 2 2 5 2 3 8" xfId="17633"/>
    <cellStyle name="20% - Accent1 2 2 5 2 3 8 2" xfId="51037"/>
    <cellStyle name="20% - Accent1 2 2 5 2 3 9" xfId="31248"/>
    <cellStyle name="20% - Accent1 2 2 5 2 4" xfId="656"/>
    <cellStyle name="20% - Accent1 2 2 5 2 4 2" xfId="1126"/>
    <cellStyle name="20% - Accent1 2 2 5 2 4 2 2" xfId="4398"/>
    <cellStyle name="20% - Accent1 2 2 5 2 4 2 2 2" xfId="11953"/>
    <cellStyle name="20% - Accent1 2 2 5 2 4 2 2 2 2" xfId="23754"/>
    <cellStyle name="20% - Accent1 2 2 5 2 4 2 2 2 2 2" xfId="51038"/>
    <cellStyle name="20% - Accent1 2 2 5 2 4 2 2 2 3" xfId="37369"/>
    <cellStyle name="20% - Accent1 2 2 5 2 4 2 2 3" xfId="9851"/>
    <cellStyle name="20% - Accent1 2 2 5 2 4 2 2 3 2" xfId="43761"/>
    <cellStyle name="20% - Accent1 2 2 5 2 4 2 2 4" xfId="21652"/>
    <cellStyle name="20% - Accent1 2 2 5 2 4 2 2 4 2" xfId="51039"/>
    <cellStyle name="20% - Accent1 2 2 5 2 4 2 2 5" xfId="35267"/>
    <cellStyle name="20% - Accent1 2 2 5 2 4 2 3" xfId="11954"/>
    <cellStyle name="20% - Accent1 2 2 5 2 4 2 3 2" xfId="23755"/>
    <cellStyle name="20% - Accent1 2 2 5 2 4 2 3 2 2" xfId="43762"/>
    <cellStyle name="20% - Accent1 2 2 5 2 4 2 3 3" xfId="29388"/>
    <cellStyle name="20% - Accent1 2 2 5 2 4 2 3 3 2" xfId="43763"/>
    <cellStyle name="20% - Accent1 2 2 5 2 4 2 3 4" xfId="29389"/>
    <cellStyle name="20% - Accent1 2 2 5 2 4 2 3 4 2" xfId="51040"/>
    <cellStyle name="20% - Accent1 2 2 5 2 4 2 3 5" xfId="37370"/>
    <cellStyle name="20% - Accent1 2 2 5 2 4 2 4" xfId="11955"/>
    <cellStyle name="20% - Accent1 2 2 5 2 4 2 4 2" xfId="23756"/>
    <cellStyle name="20% - Accent1 2 2 5 2 4 2 4 2 2" xfId="51041"/>
    <cellStyle name="20% - Accent1 2 2 5 2 4 2 4 3" xfId="37371"/>
    <cellStyle name="20% - Accent1 2 2 5 2 4 2 5" xfId="6580"/>
    <cellStyle name="20% - Accent1 2 2 5 2 4 2 5 2" xfId="43764"/>
    <cellStyle name="20% - Accent1 2 2 5 2 4 2 6" xfId="18381"/>
    <cellStyle name="20% - Accent1 2 2 5 2 4 2 6 2" xfId="51042"/>
    <cellStyle name="20% - Accent1 2 2 5 2 4 2 7" xfId="31996"/>
    <cellStyle name="20% - Accent1 2 2 5 2 4 3" xfId="2557"/>
    <cellStyle name="20% - Accent1 2 2 5 2 4 3 2" xfId="11956"/>
    <cellStyle name="20% - Accent1 2 2 5 2 4 3 2 2" xfId="23757"/>
    <cellStyle name="20% - Accent1 2 2 5 2 4 3 2 2 2" xfId="51043"/>
    <cellStyle name="20% - Accent1 2 2 5 2 4 3 2 3" xfId="37372"/>
    <cellStyle name="20% - Accent1 2 2 5 2 4 3 3" xfId="8010"/>
    <cellStyle name="20% - Accent1 2 2 5 2 4 3 3 2" xfId="43765"/>
    <cellStyle name="20% - Accent1 2 2 5 2 4 3 4" xfId="19811"/>
    <cellStyle name="20% - Accent1 2 2 5 2 4 3 4 2" xfId="51044"/>
    <cellStyle name="20% - Accent1 2 2 5 2 4 3 5" xfId="33426"/>
    <cellStyle name="20% - Accent1 2 2 5 2 4 4" xfId="11957"/>
    <cellStyle name="20% - Accent1 2 2 5 2 4 4 2" xfId="23758"/>
    <cellStyle name="20% - Accent1 2 2 5 2 4 4 2 2" xfId="43766"/>
    <cellStyle name="20% - Accent1 2 2 5 2 4 4 3" xfId="29390"/>
    <cellStyle name="20% - Accent1 2 2 5 2 4 4 3 2" xfId="43767"/>
    <cellStyle name="20% - Accent1 2 2 5 2 4 4 4" xfId="29391"/>
    <cellStyle name="20% - Accent1 2 2 5 2 4 4 4 2" xfId="51045"/>
    <cellStyle name="20% - Accent1 2 2 5 2 4 4 5" xfId="37373"/>
    <cellStyle name="20% - Accent1 2 2 5 2 4 5" xfId="11958"/>
    <cellStyle name="20% - Accent1 2 2 5 2 4 5 2" xfId="23759"/>
    <cellStyle name="20% - Accent1 2 2 5 2 4 5 2 2" xfId="51046"/>
    <cellStyle name="20% - Accent1 2 2 5 2 4 5 3" xfId="37374"/>
    <cellStyle name="20% - Accent1 2 2 5 2 4 6" xfId="6110"/>
    <cellStyle name="20% - Accent1 2 2 5 2 4 6 2" xfId="43768"/>
    <cellStyle name="20% - Accent1 2 2 5 2 4 7" xfId="17911"/>
    <cellStyle name="20% - Accent1 2 2 5 2 4 7 2" xfId="51047"/>
    <cellStyle name="20% - Accent1 2 2 5 2 4 8" xfId="31526"/>
    <cellStyle name="20% - Accent1 2 2 5 2 5" xfId="897"/>
    <cellStyle name="20% - Accent1 2 2 5 2 5 2" xfId="1127"/>
    <cellStyle name="20% - Accent1 2 2 5 2 5 2 2" xfId="4966"/>
    <cellStyle name="20% - Accent1 2 2 5 2 5 2 2 2" xfId="11959"/>
    <cellStyle name="20% - Accent1 2 2 5 2 5 2 2 2 2" xfId="23760"/>
    <cellStyle name="20% - Accent1 2 2 5 2 5 2 2 2 2 2" xfId="51048"/>
    <cellStyle name="20% - Accent1 2 2 5 2 5 2 2 2 3" xfId="37375"/>
    <cellStyle name="20% - Accent1 2 2 5 2 5 2 2 3" xfId="10419"/>
    <cellStyle name="20% - Accent1 2 2 5 2 5 2 2 3 2" xfId="43769"/>
    <cellStyle name="20% - Accent1 2 2 5 2 5 2 2 4" xfId="22220"/>
    <cellStyle name="20% - Accent1 2 2 5 2 5 2 2 4 2" xfId="51049"/>
    <cellStyle name="20% - Accent1 2 2 5 2 5 2 2 5" xfId="35835"/>
    <cellStyle name="20% - Accent1 2 2 5 2 5 2 3" xfId="11960"/>
    <cellStyle name="20% - Accent1 2 2 5 2 5 2 3 2" xfId="23761"/>
    <cellStyle name="20% - Accent1 2 2 5 2 5 2 3 2 2" xfId="43770"/>
    <cellStyle name="20% - Accent1 2 2 5 2 5 2 3 3" xfId="29392"/>
    <cellStyle name="20% - Accent1 2 2 5 2 5 2 3 3 2" xfId="43771"/>
    <cellStyle name="20% - Accent1 2 2 5 2 5 2 3 4" xfId="29393"/>
    <cellStyle name="20% - Accent1 2 2 5 2 5 2 3 4 2" xfId="51050"/>
    <cellStyle name="20% - Accent1 2 2 5 2 5 2 3 5" xfId="37376"/>
    <cellStyle name="20% - Accent1 2 2 5 2 5 2 4" xfId="11961"/>
    <cellStyle name="20% - Accent1 2 2 5 2 5 2 4 2" xfId="23762"/>
    <cellStyle name="20% - Accent1 2 2 5 2 5 2 4 2 2" xfId="51051"/>
    <cellStyle name="20% - Accent1 2 2 5 2 5 2 4 3" xfId="37377"/>
    <cellStyle name="20% - Accent1 2 2 5 2 5 2 5" xfId="6581"/>
    <cellStyle name="20% - Accent1 2 2 5 2 5 2 5 2" xfId="43772"/>
    <cellStyle name="20% - Accent1 2 2 5 2 5 2 6" xfId="18382"/>
    <cellStyle name="20% - Accent1 2 2 5 2 5 2 6 2" xfId="51052"/>
    <cellStyle name="20% - Accent1 2 2 5 2 5 2 7" xfId="31997"/>
    <cellStyle name="20% - Accent1 2 2 5 2 5 3" xfId="3125"/>
    <cellStyle name="20% - Accent1 2 2 5 2 5 3 2" xfId="11962"/>
    <cellStyle name="20% - Accent1 2 2 5 2 5 3 2 2" xfId="23763"/>
    <cellStyle name="20% - Accent1 2 2 5 2 5 3 2 2 2" xfId="51053"/>
    <cellStyle name="20% - Accent1 2 2 5 2 5 3 2 3" xfId="37378"/>
    <cellStyle name="20% - Accent1 2 2 5 2 5 3 3" xfId="8578"/>
    <cellStyle name="20% - Accent1 2 2 5 2 5 3 3 2" xfId="43773"/>
    <cellStyle name="20% - Accent1 2 2 5 2 5 3 4" xfId="20379"/>
    <cellStyle name="20% - Accent1 2 2 5 2 5 3 4 2" xfId="51054"/>
    <cellStyle name="20% - Accent1 2 2 5 2 5 3 5" xfId="33994"/>
    <cellStyle name="20% - Accent1 2 2 5 2 5 4" xfId="11963"/>
    <cellStyle name="20% - Accent1 2 2 5 2 5 4 2" xfId="23764"/>
    <cellStyle name="20% - Accent1 2 2 5 2 5 4 2 2" xfId="43774"/>
    <cellStyle name="20% - Accent1 2 2 5 2 5 4 3" xfId="29394"/>
    <cellStyle name="20% - Accent1 2 2 5 2 5 4 3 2" xfId="43775"/>
    <cellStyle name="20% - Accent1 2 2 5 2 5 4 4" xfId="29395"/>
    <cellStyle name="20% - Accent1 2 2 5 2 5 4 4 2" xfId="51055"/>
    <cellStyle name="20% - Accent1 2 2 5 2 5 4 5" xfId="37379"/>
    <cellStyle name="20% - Accent1 2 2 5 2 5 5" xfId="11964"/>
    <cellStyle name="20% - Accent1 2 2 5 2 5 5 2" xfId="23765"/>
    <cellStyle name="20% - Accent1 2 2 5 2 5 5 2 2" xfId="51056"/>
    <cellStyle name="20% - Accent1 2 2 5 2 5 5 3" xfId="37380"/>
    <cellStyle name="20% - Accent1 2 2 5 2 5 6" xfId="6351"/>
    <cellStyle name="20% - Accent1 2 2 5 2 5 6 2" xfId="43776"/>
    <cellStyle name="20% - Accent1 2 2 5 2 5 7" xfId="18152"/>
    <cellStyle name="20% - Accent1 2 2 5 2 5 7 2" xfId="51057"/>
    <cellStyle name="20% - Accent1 2 2 5 2 5 8" xfId="31767"/>
    <cellStyle name="20% - Accent1 2 2 5 2 6" xfId="1128"/>
    <cellStyle name="20% - Accent1 2 2 5 2 6 2" xfId="3830"/>
    <cellStyle name="20% - Accent1 2 2 5 2 6 2 2" xfId="11965"/>
    <cellStyle name="20% - Accent1 2 2 5 2 6 2 2 2" xfId="23766"/>
    <cellStyle name="20% - Accent1 2 2 5 2 6 2 2 2 2" xfId="51058"/>
    <cellStyle name="20% - Accent1 2 2 5 2 6 2 2 3" xfId="37381"/>
    <cellStyle name="20% - Accent1 2 2 5 2 6 2 3" xfId="9283"/>
    <cellStyle name="20% - Accent1 2 2 5 2 6 2 3 2" xfId="43777"/>
    <cellStyle name="20% - Accent1 2 2 5 2 6 2 4" xfId="21084"/>
    <cellStyle name="20% - Accent1 2 2 5 2 6 2 4 2" xfId="51059"/>
    <cellStyle name="20% - Accent1 2 2 5 2 6 2 5" xfId="34699"/>
    <cellStyle name="20% - Accent1 2 2 5 2 6 3" xfId="11966"/>
    <cellStyle name="20% - Accent1 2 2 5 2 6 3 2" xfId="23767"/>
    <cellStyle name="20% - Accent1 2 2 5 2 6 3 2 2" xfId="43778"/>
    <cellStyle name="20% - Accent1 2 2 5 2 6 3 3" xfId="29396"/>
    <cellStyle name="20% - Accent1 2 2 5 2 6 3 3 2" xfId="43779"/>
    <cellStyle name="20% - Accent1 2 2 5 2 6 3 4" xfId="29397"/>
    <cellStyle name="20% - Accent1 2 2 5 2 6 3 4 2" xfId="51060"/>
    <cellStyle name="20% - Accent1 2 2 5 2 6 3 5" xfId="37382"/>
    <cellStyle name="20% - Accent1 2 2 5 2 6 4" xfId="11967"/>
    <cellStyle name="20% - Accent1 2 2 5 2 6 4 2" xfId="23768"/>
    <cellStyle name="20% - Accent1 2 2 5 2 6 4 2 2" xfId="51061"/>
    <cellStyle name="20% - Accent1 2 2 5 2 6 4 3" xfId="37383"/>
    <cellStyle name="20% - Accent1 2 2 5 2 6 5" xfId="6582"/>
    <cellStyle name="20% - Accent1 2 2 5 2 6 5 2" xfId="43780"/>
    <cellStyle name="20% - Accent1 2 2 5 2 6 6" xfId="18383"/>
    <cellStyle name="20% - Accent1 2 2 5 2 6 6 2" xfId="51062"/>
    <cellStyle name="20% - Accent1 2 2 5 2 6 7" xfId="31998"/>
    <cellStyle name="20% - Accent1 2 2 5 2 7" xfId="3693"/>
    <cellStyle name="20% - Accent1 2 2 5 2 7 2" xfId="11968"/>
    <cellStyle name="20% - Accent1 2 2 5 2 7 2 2" xfId="23769"/>
    <cellStyle name="20% - Accent1 2 2 5 2 7 2 2 2" xfId="51063"/>
    <cellStyle name="20% - Accent1 2 2 5 2 7 2 3" xfId="37384"/>
    <cellStyle name="20% - Accent1 2 2 5 2 7 3" xfId="9146"/>
    <cellStyle name="20% - Accent1 2 2 5 2 7 3 2" xfId="43781"/>
    <cellStyle name="20% - Accent1 2 2 5 2 7 4" xfId="20947"/>
    <cellStyle name="20% - Accent1 2 2 5 2 7 4 2" xfId="51064"/>
    <cellStyle name="20% - Accent1 2 2 5 2 7 5" xfId="34562"/>
    <cellStyle name="20% - Accent1 2 2 5 2 8" xfId="1989"/>
    <cellStyle name="20% - Accent1 2 2 5 2 8 2" xfId="11969"/>
    <cellStyle name="20% - Accent1 2 2 5 2 8 2 2" xfId="23770"/>
    <cellStyle name="20% - Accent1 2 2 5 2 8 2 2 2" xfId="51065"/>
    <cellStyle name="20% - Accent1 2 2 5 2 8 2 3" xfId="37385"/>
    <cellStyle name="20% - Accent1 2 2 5 2 8 3" xfId="7442"/>
    <cellStyle name="20% - Accent1 2 2 5 2 8 3 2" xfId="43782"/>
    <cellStyle name="20% - Accent1 2 2 5 2 8 4" xfId="19243"/>
    <cellStyle name="20% - Accent1 2 2 5 2 8 4 2" xfId="51066"/>
    <cellStyle name="20% - Accent1 2 2 5 2 8 5" xfId="32858"/>
    <cellStyle name="20% - Accent1 2 2 5 2 9" xfId="11970"/>
    <cellStyle name="20% - Accent1 2 2 5 2 9 2" xfId="23771"/>
    <cellStyle name="20% - Accent1 2 2 5 2 9 2 2" xfId="51067"/>
    <cellStyle name="20% - Accent1 2 2 5 2 9 3" xfId="37386"/>
    <cellStyle name="20% - Accent1 2 2 5 3" xfId="162"/>
    <cellStyle name="20% - Accent1 2 2 5 3 10" xfId="31032"/>
    <cellStyle name="20% - Accent1 2 2 5 3 2" xfId="311"/>
    <cellStyle name="20% - Accent1 2 2 5 3 2 2" xfId="1129"/>
    <cellStyle name="20% - Accent1 2 2 5 3 2 2 2" xfId="4621"/>
    <cellStyle name="20% - Accent1 2 2 5 3 2 2 2 2" xfId="11971"/>
    <cellStyle name="20% - Accent1 2 2 5 3 2 2 2 2 2" xfId="23772"/>
    <cellStyle name="20% - Accent1 2 2 5 3 2 2 2 2 2 2" xfId="51068"/>
    <cellStyle name="20% - Accent1 2 2 5 3 2 2 2 2 3" xfId="37387"/>
    <cellStyle name="20% - Accent1 2 2 5 3 2 2 2 3" xfId="10074"/>
    <cellStyle name="20% - Accent1 2 2 5 3 2 2 2 3 2" xfId="43783"/>
    <cellStyle name="20% - Accent1 2 2 5 3 2 2 2 4" xfId="21875"/>
    <cellStyle name="20% - Accent1 2 2 5 3 2 2 2 4 2" xfId="51069"/>
    <cellStyle name="20% - Accent1 2 2 5 3 2 2 2 5" xfId="35490"/>
    <cellStyle name="20% - Accent1 2 2 5 3 2 2 3" xfId="2780"/>
    <cellStyle name="20% - Accent1 2 2 5 3 2 2 3 2" xfId="11972"/>
    <cellStyle name="20% - Accent1 2 2 5 3 2 2 3 2 2" xfId="23773"/>
    <cellStyle name="20% - Accent1 2 2 5 3 2 2 3 2 2 2" xfId="51070"/>
    <cellStyle name="20% - Accent1 2 2 5 3 2 2 3 2 3" xfId="37388"/>
    <cellStyle name="20% - Accent1 2 2 5 3 2 2 3 3" xfId="8233"/>
    <cellStyle name="20% - Accent1 2 2 5 3 2 2 3 3 2" xfId="43784"/>
    <cellStyle name="20% - Accent1 2 2 5 3 2 2 3 4" xfId="20034"/>
    <cellStyle name="20% - Accent1 2 2 5 3 2 2 3 4 2" xfId="51071"/>
    <cellStyle name="20% - Accent1 2 2 5 3 2 2 3 5" xfId="33649"/>
    <cellStyle name="20% - Accent1 2 2 5 3 2 2 4" xfId="11973"/>
    <cellStyle name="20% - Accent1 2 2 5 3 2 2 4 2" xfId="23774"/>
    <cellStyle name="20% - Accent1 2 2 5 3 2 2 4 2 2" xfId="51072"/>
    <cellStyle name="20% - Accent1 2 2 5 3 2 2 4 3" xfId="37389"/>
    <cellStyle name="20% - Accent1 2 2 5 3 2 2 5" xfId="6583"/>
    <cellStyle name="20% - Accent1 2 2 5 3 2 2 5 2" xfId="43785"/>
    <cellStyle name="20% - Accent1 2 2 5 3 2 2 6" xfId="18384"/>
    <cellStyle name="20% - Accent1 2 2 5 3 2 2 6 2" xfId="51073"/>
    <cellStyle name="20% - Accent1 2 2 5 3 2 2 7" xfId="31999"/>
    <cellStyle name="20% - Accent1 2 2 5 3 2 3" xfId="3348"/>
    <cellStyle name="20% - Accent1 2 2 5 3 2 3 2" xfId="5189"/>
    <cellStyle name="20% - Accent1 2 2 5 3 2 3 2 2" xfId="16659"/>
    <cellStyle name="20% - Accent1 2 2 5 3 2 3 2 2 2" xfId="28460"/>
    <cellStyle name="20% - Accent1 2 2 5 3 2 3 2 2 2 2" xfId="51074"/>
    <cellStyle name="20% - Accent1 2 2 5 3 2 3 2 2 3" xfId="42075"/>
    <cellStyle name="20% - Accent1 2 2 5 3 2 3 2 3" xfId="10642"/>
    <cellStyle name="20% - Accent1 2 2 5 3 2 3 2 3 2" xfId="51075"/>
    <cellStyle name="20% - Accent1 2 2 5 3 2 3 2 4" xfId="22443"/>
    <cellStyle name="20% - Accent1 2 2 5 3 2 3 2 4 2" xfId="51076"/>
    <cellStyle name="20% - Accent1 2 2 5 3 2 3 2 5" xfId="36058"/>
    <cellStyle name="20% - Accent1 2 2 5 3 2 3 3" xfId="11974"/>
    <cellStyle name="20% - Accent1 2 2 5 3 2 3 3 2" xfId="23775"/>
    <cellStyle name="20% - Accent1 2 2 5 3 2 3 3 2 2" xfId="51077"/>
    <cellStyle name="20% - Accent1 2 2 5 3 2 3 3 3" xfId="37390"/>
    <cellStyle name="20% - Accent1 2 2 5 3 2 3 4" xfId="8801"/>
    <cellStyle name="20% - Accent1 2 2 5 3 2 3 4 2" xfId="51078"/>
    <cellStyle name="20% - Accent1 2 2 5 3 2 3 5" xfId="20602"/>
    <cellStyle name="20% - Accent1 2 2 5 3 2 3 5 2" xfId="51079"/>
    <cellStyle name="20% - Accent1 2 2 5 3 2 3 6" xfId="34217"/>
    <cellStyle name="20% - Accent1 2 2 5 3 2 4" xfId="4053"/>
    <cellStyle name="20% - Accent1 2 2 5 3 2 4 2" xfId="11975"/>
    <cellStyle name="20% - Accent1 2 2 5 3 2 4 2 2" xfId="23776"/>
    <cellStyle name="20% - Accent1 2 2 5 3 2 4 2 2 2" xfId="51080"/>
    <cellStyle name="20% - Accent1 2 2 5 3 2 4 2 3" xfId="37391"/>
    <cellStyle name="20% - Accent1 2 2 5 3 2 4 3" xfId="9506"/>
    <cellStyle name="20% - Accent1 2 2 5 3 2 4 3 2" xfId="43786"/>
    <cellStyle name="20% - Accent1 2 2 5 3 2 4 4" xfId="21307"/>
    <cellStyle name="20% - Accent1 2 2 5 3 2 4 4 2" xfId="51081"/>
    <cellStyle name="20% - Accent1 2 2 5 3 2 4 5" xfId="34922"/>
    <cellStyle name="20% - Accent1 2 2 5 3 2 5" xfId="2212"/>
    <cellStyle name="20% - Accent1 2 2 5 3 2 5 2" xfId="16985"/>
    <cellStyle name="20% - Accent1 2 2 5 3 2 5 2 2" xfId="28786"/>
    <cellStyle name="20% - Accent1 2 2 5 3 2 5 2 2 2" xfId="51082"/>
    <cellStyle name="20% - Accent1 2 2 5 3 2 5 2 3" xfId="42401"/>
    <cellStyle name="20% - Accent1 2 2 5 3 2 5 3" xfId="7665"/>
    <cellStyle name="20% - Accent1 2 2 5 3 2 5 3 2" xfId="51083"/>
    <cellStyle name="20% - Accent1 2 2 5 3 2 5 4" xfId="19466"/>
    <cellStyle name="20% - Accent1 2 2 5 3 2 5 4 2" xfId="51084"/>
    <cellStyle name="20% - Accent1 2 2 5 3 2 5 5" xfId="33081"/>
    <cellStyle name="20% - Accent1 2 2 5 3 2 6" xfId="11976"/>
    <cellStyle name="20% - Accent1 2 2 5 3 2 6 2" xfId="23777"/>
    <cellStyle name="20% - Accent1 2 2 5 3 2 6 2 2" xfId="51085"/>
    <cellStyle name="20% - Accent1 2 2 5 3 2 6 3" xfId="37392"/>
    <cellStyle name="20% - Accent1 2 2 5 3 2 7" xfId="5765"/>
    <cellStyle name="20% - Accent1 2 2 5 3 2 7 2" xfId="51086"/>
    <cellStyle name="20% - Accent1 2 2 5 3 2 8" xfId="17566"/>
    <cellStyle name="20% - Accent1 2 2 5 3 2 8 2" xfId="51087"/>
    <cellStyle name="20% - Accent1 2 2 5 3 2 9" xfId="31181"/>
    <cellStyle name="20% - Accent1 2 2 5 3 3" xfId="730"/>
    <cellStyle name="20% - Accent1 2 2 5 3 3 2" xfId="1130"/>
    <cellStyle name="20% - Accent1 2 2 5 3 3 2 2" xfId="4472"/>
    <cellStyle name="20% - Accent1 2 2 5 3 3 2 2 2" xfId="11977"/>
    <cellStyle name="20% - Accent1 2 2 5 3 3 2 2 2 2" xfId="23778"/>
    <cellStyle name="20% - Accent1 2 2 5 3 3 2 2 2 2 2" xfId="51088"/>
    <cellStyle name="20% - Accent1 2 2 5 3 3 2 2 2 3" xfId="37393"/>
    <cellStyle name="20% - Accent1 2 2 5 3 3 2 2 3" xfId="9925"/>
    <cellStyle name="20% - Accent1 2 2 5 3 3 2 2 3 2" xfId="43787"/>
    <cellStyle name="20% - Accent1 2 2 5 3 3 2 2 4" xfId="21726"/>
    <cellStyle name="20% - Accent1 2 2 5 3 3 2 2 4 2" xfId="51089"/>
    <cellStyle name="20% - Accent1 2 2 5 3 3 2 2 5" xfId="35341"/>
    <cellStyle name="20% - Accent1 2 2 5 3 3 2 3" xfId="11978"/>
    <cellStyle name="20% - Accent1 2 2 5 3 3 2 3 2" xfId="23779"/>
    <cellStyle name="20% - Accent1 2 2 5 3 3 2 3 2 2" xfId="43788"/>
    <cellStyle name="20% - Accent1 2 2 5 3 3 2 3 3" xfId="29398"/>
    <cellStyle name="20% - Accent1 2 2 5 3 3 2 3 3 2" xfId="43789"/>
    <cellStyle name="20% - Accent1 2 2 5 3 3 2 3 4" xfId="29399"/>
    <cellStyle name="20% - Accent1 2 2 5 3 3 2 3 4 2" xfId="51090"/>
    <cellStyle name="20% - Accent1 2 2 5 3 3 2 3 5" xfId="37394"/>
    <cellStyle name="20% - Accent1 2 2 5 3 3 2 4" xfId="11979"/>
    <cellStyle name="20% - Accent1 2 2 5 3 3 2 4 2" xfId="23780"/>
    <cellStyle name="20% - Accent1 2 2 5 3 3 2 4 2 2" xfId="51091"/>
    <cellStyle name="20% - Accent1 2 2 5 3 3 2 4 3" xfId="37395"/>
    <cellStyle name="20% - Accent1 2 2 5 3 3 2 5" xfId="6584"/>
    <cellStyle name="20% - Accent1 2 2 5 3 3 2 5 2" xfId="43790"/>
    <cellStyle name="20% - Accent1 2 2 5 3 3 2 6" xfId="18385"/>
    <cellStyle name="20% - Accent1 2 2 5 3 3 2 6 2" xfId="51092"/>
    <cellStyle name="20% - Accent1 2 2 5 3 3 2 7" xfId="32000"/>
    <cellStyle name="20% - Accent1 2 2 5 3 3 3" xfId="2631"/>
    <cellStyle name="20% - Accent1 2 2 5 3 3 3 2" xfId="11980"/>
    <cellStyle name="20% - Accent1 2 2 5 3 3 3 2 2" xfId="23781"/>
    <cellStyle name="20% - Accent1 2 2 5 3 3 3 2 2 2" xfId="51093"/>
    <cellStyle name="20% - Accent1 2 2 5 3 3 3 2 3" xfId="37396"/>
    <cellStyle name="20% - Accent1 2 2 5 3 3 3 3" xfId="8084"/>
    <cellStyle name="20% - Accent1 2 2 5 3 3 3 3 2" xfId="43791"/>
    <cellStyle name="20% - Accent1 2 2 5 3 3 3 4" xfId="19885"/>
    <cellStyle name="20% - Accent1 2 2 5 3 3 3 4 2" xfId="51094"/>
    <cellStyle name="20% - Accent1 2 2 5 3 3 3 5" xfId="33500"/>
    <cellStyle name="20% - Accent1 2 2 5 3 3 4" xfId="11981"/>
    <cellStyle name="20% - Accent1 2 2 5 3 3 4 2" xfId="23782"/>
    <cellStyle name="20% - Accent1 2 2 5 3 3 4 2 2" xfId="43792"/>
    <cellStyle name="20% - Accent1 2 2 5 3 3 4 3" xfId="29400"/>
    <cellStyle name="20% - Accent1 2 2 5 3 3 4 3 2" xfId="43793"/>
    <cellStyle name="20% - Accent1 2 2 5 3 3 4 4" xfId="29401"/>
    <cellStyle name="20% - Accent1 2 2 5 3 3 4 4 2" xfId="51095"/>
    <cellStyle name="20% - Accent1 2 2 5 3 3 4 5" xfId="37397"/>
    <cellStyle name="20% - Accent1 2 2 5 3 3 5" xfId="11982"/>
    <cellStyle name="20% - Accent1 2 2 5 3 3 5 2" xfId="23783"/>
    <cellStyle name="20% - Accent1 2 2 5 3 3 5 2 2" xfId="51096"/>
    <cellStyle name="20% - Accent1 2 2 5 3 3 5 3" xfId="37398"/>
    <cellStyle name="20% - Accent1 2 2 5 3 3 6" xfId="6184"/>
    <cellStyle name="20% - Accent1 2 2 5 3 3 6 2" xfId="43794"/>
    <cellStyle name="20% - Accent1 2 2 5 3 3 7" xfId="17985"/>
    <cellStyle name="20% - Accent1 2 2 5 3 3 7 2" xfId="51097"/>
    <cellStyle name="20% - Accent1 2 2 5 3 3 8" xfId="31600"/>
    <cellStyle name="20% - Accent1 2 2 5 3 4" xfId="1131"/>
    <cellStyle name="20% - Accent1 2 2 5 3 4 2" xfId="5040"/>
    <cellStyle name="20% - Accent1 2 2 5 3 4 2 2" xfId="11983"/>
    <cellStyle name="20% - Accent1 2 2 5 3 4 2 2 2" xfId="23784"/>
    <cellStyle name="20% - Accent1 2 2 5 3 4 2 2 2 2" xfId="51098"/>
    <cellStyle name="20% - Accent1 2 2 5 3 4 2 2 3" xfId="37399"/>
    <cellStyle name="20% - Accent1 2 2 5 3 4 2 3" xfId="10493"/>
    <cellStyle name="20% - Accent1 2 2 5 3 4 2 3 2" xfId="43795"/>
    <cellStyle name="20% - Accent1 2 2 5 3 4 2 4" xfId="22294"/>
    <cellStyle name="20% - Accent1 2 2 5 3 4 2 4 2" xfId="51099"/>
    <cellStyle name="20% - Accent1 2 2 5 3 4 2 5" xfId="35909"/>
    <cellStyle name="20% - Accent1 2 2 5 3 4 3" xfId="3199"/>
    <cellStyle name="20% - Accent1 2 2 5 3 4 3 2" xfId="11984"/>
    <cellStyle name="20% - Accent1 2 2 5 3 4 3 2 2" xfId="23785"/>
    <cellStyle name="20% - Accent1 2 2 5 3 4 3 2 2 2" xfId="51100"/>
    <cellStyle name="20% - Accent1 2 2 5 3 4 3 2 3" xfId="37400"/>
    <cellStyle name="20% - Accent1 2 2 5 3 4 3 3" xfId="8652"/>
    <cellStyle name="20% - Accent1 2 2 5 3 4 3 3 2" xfId="43796"/>
    <cellStyle name="20% - Accent1 2 2 5 3 4 3 4" xfId="20453"/>
    <cellStyle name="20% - Accent1 2 2 5 3 4 3 4 2" xfId="51101"/>
    <cellStyle name="20% - Accent1 2 2 5 3 4 3 5" xfId="34068"/>
    <cellStyle name="20% - Accent1 2 2 5 3 4 4" xfId="11985"/>
    <cellStyle name="20% - Accent1 2 2 5 3 4 4 2" xfId="23786"/>
    <cellStyle name="20% - Accent1 2 2 5 3 4 4 2 2" xfId="51102"/>
    <cellStyle name="20% - Accent1 2 2 5 3 4 4 3" xfId="37401"/>
    <cellStyle name="20% - Accent1 2 2 5 3 4 5" xfId="6585"/>
    <cellStyle name="20% - Accent1 2 2 5 3 4 5 2" xfId="43797"/>
    <cellStyle name="20% - Accent1 2 2 5 3 4 6" xfId="18386"/>
    <cellStyle name="20% - Accent1 2 2 5 3 4 6 2" xfId="51103"/>
    <cellStyle name="20% - Accent1 2 2 5 3 4 7" xfId="32001"/>
    <cellStyle name="20% - Accent1 2 2 5 3 5" xfId="3904"/>
    <cellStyle name="20% - Accent1 2 2 5 3 5 2" xfId="11986"/>
    <cellStyle name="20% - Accent1 2 2 5 3 5 2 2" xfId="23787"/>
    <cellStyle name="20% - Accent1 2 2 5 3 5 2 2 2" xfId="51104"/>
    <cellStyle name="20% - Accent1 2 2 5 3 5 2 3" xfId="37402"/>
    <cellStyle name="20% - Accent1 2 2 5 3 5 3" xfId="9357"/>
    <cellStyle name="20% - Accent1 2 2 5 3 5 3 2" xfId="43798"/>
    <cellStyle name="20% - Accent1 2 2 5 3 5 4" xfId="21158"/>
    <cellStyle name="20% - Accent1 2 2 5 3 5 4 2" xfId="51105"/>
    <cellStyle name="20% - Accent1 2 2 5 3 5 5" xfId="34773"/>
    <cellStyle name="20% - Accent1 2 2 5 3 6" xfId="2063"/>
    <cellStyle name="20% - Accent1 2 2 5 3 6 2" xfId="11987"/>
    <cellStyle name="20% - Accent1 2 2 5 3 6 2 2" xfId="23788"/>
    <cellStyle name="20% - Accent1 2 2 5 3 6 2 2 2" xfId="51106"/>
    <cellStyle name="20% - Accent1 2 2 5 3 6 2 3" xfId="37403"/>
    <cellStyle name="20% - Accent1 2 2 5 3 6 3" xfId="7516"/>
    <cellStyle name="20% - Accent1 2 2 5 3 6 3 2" xfId="43799"/>
    <cellStyle name="20% - Accent1 2 2 5 3 6 4" xfId="19317"/>
    <cellStyle name="20% - Accent1 2 2 5 3 6 4 2" xfId="51107"/>
    <cellStyle name="20% - Accent1 2 2 5 3 6 5" xfId="32932"/>
    <cellStyle name="20% - Accent1 2 2 5 3 7" xfId="11988"/>
    <cellStyle name="20% - Accent1 2 2 5 3 7 2" xfId="23789"/>
    <cellStyle name="20% - Accent1 2 2 5 3 7 2 2" xfId="51108"/>
    <cellStyle name="20% - Accent1 2 2 5 3 7 3" xfId="37404"/>
    <cellStyle name="20% - Accent1 2 2 5 3 8" xfId="5616"/>
    <cellStyle name="20% - Accent1 2 2 5 3 8 2" xfId="43800"/>
    <cellStyle name="20% - Accent1 2 2 5 3 9" xfId="17417"/>
    <cellStyle name="20% - Accent1 2 2 5 3 9 2" xfId="51109"/>
    <cellStyle name="20% - Accent1 2 2 5 4" xfId="448"/>
    <cellStyle name="20% - Accent1 2 2 5 4 2" xfId="1132"/>
    <cellStyle name="20% - Accent1 2 2 5 4 2 2" xfId="4758"/>
    <cellStyle name="20% - Accent1 2 2 5 4 2 2 2" xfId="11989"/>
    <cellStyle name="20% - Accent1 2 2 5 4 2 2 2 2" xfId="23790"/>
    <cellStyle name="20% - Accent1 2 2 5 4 2 2 2 2 2" xfId="51110"/>
    <cellStyle name="20% - Accent1 2 2 5 4 2 2 2 3" xfId="37405"/>
    <cellStyle name="20% - Accent1 2 2 5 4 2 2 3" xfId="10211"/>
    <cellStyle name="20% - Accent1 2 2 5 4 2 2 3 2" xfId="43801"/>
    <cellStyle name="20% - Accent1 2 2 5 4 2 2 4" xfId="22012"/>
    <cellStyle name="20% - Accent1 2 2 5 4 2 2 4 2" xfId="51111"/>
    <cellStyle name="20% - Accent1 2 2 5 4 2 2 5" xfId="35627"/>
    <cellStyle name="20% - Accent1 2 2 5 4 2 3" xfId="2917"/>
    <cellStyle name="20% - Accent1 2 2 5 4 2 3 2" xfId="11990"/>
    <cellStyle name="20% - Accent1 2 2 5 4 2 3 2 2" xfId="23791"/>
    <cellStyle name="20% - Accent1 2 2 5 4 2 3 2 2 2" xfId="51112"/>
    <cellStyle name="20% - Accent1 2 2 5 4 2 3 2 3" xfId="37406"/>
    <cellStyle name="20% - Accent1 2 2 5 4 2 3 3" xfId="8370"/>
    <cellStyle name="20% - Accent1 2 2 5 4 2 3 3 2" xfId="43802"/>
    <cellStyle name="20% - Accent1 2 2 5 4 2 3 4" xfId="20171"/>
    <cellStyle name="20% - Accent1 2 2 5 4 2 3 4 2" xfId="51113"/>
    <cellStyle name="20% - Accent1 2 2 5 4 2 3 5" xfId="33786"/>
    <cellStyle name="20% - Accent1 2 2 5 4 2 4" xfId="11991"/>
    <cellStyle name="20% - Accent1 2 2 5 4 2 4 2" xfId="23792"/>
    <cellStyle name="20% - Accent1 2 2 5 4 2 4 2 2" xfId="51114"/>
    <cellStyle name="20% - Accent1 2 2 5 4 2 4 3" xfId="37407"/>
    <cellStyle name="20% - Accent1 2 2 5 4 2 5" xfId="6586"/>
    <cellStyle name="20% - Accent1 2 2 5 4 2 5 2" xfId="43803"/>
    <cellStyle name="20% - Accent1 2 2 5 4 2 6" xfId="18387"/>
    <cellStyle name="20% - Accent1 2 2 5 4 2 6 2" xfId="51115"/>
    <cellStyle name="20% - Accent1 2 2 5 4 2 7" xfId="32002"/>
    <cellStyle name="20% - Accent1 2 2 5 4 3" xfId="3485"/>
    <cellStyle name="20% - Accent1 2 2 5 4 3 2" xfId="5326"/>
    <cellStyle name="20% - Accent1 2 2 5 4 3 2 2" xfId="16796"/>
    <cellStyle name="20% - Accent1 2 2 5 4 3 2 2 2" xfId="28597"/>
    <cellStyle name="20% - Accent1 2 2 5 4 3 2 2 2 2" xfId="51116"/>
    <cellStyle name="20% - Accent1 2 2 5 4 3 2 2 3" xfId="42212"/>
    <cellStyle name="20% - Accent1 2 2 5 4 3 2 3" xfId="10779"/>
    <cellStyle name="20% - Accent1 2 2 5 4 3 2 3 2" xfId="51117"/>
    <cellStyle name="20% - Accent1 2 2 5 4 3 2 4" xfId="22580"/>
    <cellStyle name="20% - Accent1 2 2 5 4 3 2 4 2" xfId="51118"/>
    <cellStyle name="20% - Accent1 2 2 5 4 3 2 5" xfId="36195"/>
    <cellStyle name="20% - Accent1 2 2 5 4 3 3" xfId="11992"/>
    <cellStyle name="20% - Accent1 2 2 5 4 3 3 2" xfId="23793"/>
    <cellStyle name="20% - Accent1 2 2 5 4 3 3 2 2" xfId="51119"/>
    <cellStyle name="20% - Accent1 2 2 5 4 3 3 3" xfId="37408"/>
    <cellStyle name="20% - Accent1 2 2 5 4 3 4" xfId="8938"/>
    <cellStyle name="20% - Accent1 2 2 5 4 3 4 2" xfId="51120"/>
    <cellStyle name="20% - Accent1 2 2 5 4 3 5" xfId="20739"/>
    <cellStyle name="20% - Accent1 2 2 5 4 3 5 2" xfId="51121"/>
    <cellStyle name="20% - Accent1 2 2 5 4 3 6" xfId="34354"/>
    <cellStyle name="20% - Accent1 2 2 5 4 4" xfId="4190"/>
    <cellStyle name="20% - Accent1 2 2 5 4 4 2" xfId="11993"/>
    <cellStyle name="20% - Accent1 2 2 5 4 4 2 2" xfId="23794"/>
    <cellStyle name="20% - Accent1 2 2 5 4 4 2 2 2" xfId="51122"/>
    <cellStyle name="20% - Accent1 2 2 5 4 4 2 3" xfId="37409"/>
    <cellStyle name="20% - Accent1 2 2 5 4 4 3" xfId="9643"/>
    <cellStyle name="20% - Accent1 2 2 5 4 4 3 2" xfId="43804"/>
    <cellStyle name="20% - Accent1 2 2 5 4 4 4" xfId="21444"/>
    <cellStyle name="20% - Accent1 2 2 5 4 4 4 2" xfId="51123"/>
    <cellStyle name="20% - Accent1 2 2 5 4 4 5" xfId="35059"/>
    <cellStyle name="20% - Accent1 2 2 5 4 5" xfId="2349"/>
    <cellStyle name="20% - Accent1 2 2 5 4 5 2" xfId="16986"/>
    <cellStyle name="20% - Accent1 2 2 5 4 5 2 2" xfId="28787"/>
    <cellStyle name="20% - Accent1 2 2 5 4 5 2 2 2" xfId="51124"/>
    <cellStyle name="20% - Accent1 2 2 5 4 5 2 3" xfId="42402"/>
    <cellStyle name="20% - Accent1 2 2 5 4 5 3" xfId="7802"/>
    <cellStyle name="20% - Accent1 2 2 5 4 5 3 2" xfId="51125"/>
    <cellStyle name="20% - Accent1 2 2 5 4 5 4" xfId="19603"/>
    <cellStyle name="20% - Accent1 2 2 5 4 5 4 2" xfId="51126"/>
    <cellStyle name="20% - Accent1 2 2 5 4 5 5" xfId="33218"/>
    <cellStyle name="20% - Accent1 2 2 5 4 6" xfId="11994"/>
    <cellStyle name="20% - Accent1 2 2 5 4 6 2" xfId="23795"/>
    <cellStyle name="20% - Accent1 2 2 5 4 6 2 2" xfId="51127"/>
    <cellStyle name="20% - Accent1 2 2 5 4 6 3" xfId="37410"/>
    <cellStyle name="20% - Accent1 2 2 5 4 7" xfId="5902"/>
    <cellStyle name="20% - Accent1 2 2 5 4 7 2" xfId="51128"/>
    <cellStyle name="20% - Accent1 2 2 5 4 8" xfId="17703"/>
    <cellStyle name="20% - Accent1 2 2 5 4 8 2" xfId="51129"/>
    <cellStyle name="20% - Accent1 2 2 5 4 9" xfId="31318"/>
    <cellStyle name="20% - Accent1 2 2 5 5" xfId="262"/>
    <cellStyle name="20% - Accent1 2 2 5 5 2" xfId="1133"/>
    <cellStyle name="20% - Accent1 2 2 5 5 2 2" xfId="4572"/>
    <cellStyle name="20% - Accent1 2 2 5 5 2 2 2" xfId="11995"/>
    <cellStyle name="20% - Accent1 2 2 5 5 2 2 2 2" xfId="23796"/>
    <cellStyle name="20% - Accent1 2 2 5 5 2 2 2 2 2" xfId="51130"/>
    <cellStyle name="20% - Accent1 2 2 5 5 2 2 2 3" xfId="37411"/>
    <cellStyle name="20% - Accent1 2 2 5 5 2 2 3" xfId="10025"/>
    <cellStyle name="20% - Accent1 2 2 5 5 2 2 3 2" xfId="43805"/>
    <cellStyle name="20% - Accent1 2 2 5 5 2 2 4" xfId="21826"/>
    <cellStyle name="20% - Accent1 2 2 5 5 2 2 4 2" xfId="51131"/>
    <cellStyle name="20% - Accent1 2 2 5 5 2 2 5" xfId="35441"/>
    <cellStyle name="20% - Accent1 2 2 5 5 2 3" xfId="2731"/>
    <cellStyle name="20% - Accent1 2 2 5 5 2 3 2" xfId="11996"/>
    <cellStyle name="20% - Accent1 2 2 5 5 2 3 2 2" xfId="23797"/>
    <cellStyle name="20% - Accent1 2 2 5 5 2 3 2 2 2" xfId="51132"/>
    <cellStyle name="20% - Accent1 2 2 5 5 2 3 2 3" xfId="37412"/>
    <cellStyle name="20% - Accent1 2 2 5 5 2 3 3" xfId="8184"/>
    <cellStyle name="20% - Accent1 2 2 5 5 2 3 3 2" xfId="43806"/>
    <cellStyle name="20% - Accent1 2 2 5 5 2 3 4" xfId="19985"/>
    <cellStyle name="20% - Accent1 2 2 5 5 2 3 4 2" xfId="51133"/>
    <cellStyle name="20% - Accent1 2 2 5 5 2 3 5" xfId="33600"/>
    <cellStyle name="20% - Accent1 2 2 5 5 2 4" xfId="11997"/>
    <cellStyle name="20% - Accent1 2 2 5 5 2 4 2" xfId="23798"/>
    <cellStyle name="20% - Accent1 2 2 5 5 2 4 2 2" xfId="51134"/>
    <cellStyle name="20% - Accent1 2 2 5 5 2 4 3" xfId="37413"/>
    <cellStyle name="20% - Accent1 2 2 5 5 2 5" xfId="6587"/>
    <cellStyle name="20% - Accent1 2 2 5 5 2 5 2" xfId="43807"/>
    <cellStyle name="20% - Accent1 2 2 5 5 2 6" xfId="18388"/>
    <cellStyle name="20% - Accent1 2 2 5 5 2 6 2" xfId="51135"/>
    <cellStyle name="20% - Accent1 2 2 5 5 2 7" xfId="32003"/>
    <cellStyle name="20% - Accent1 2 2 5 5 3" xfId="3299"/>
    <cellStyle name="20% - Accent1 2 2 5 5 3 2" xfId="5140"/>
    <cellStyle name="20% - Accent1 2 2 5 5 3 2 2" xfId="16610"/>
    <cellStyle name="20% - Accent1 2 2 5 5 3 2 2 2" xfId="28411"/>
    <cellStyle name="20% - Accent1 2 2 5 5 3 2 2 2 2" xfId="51136"/>
    <cellStyle name="20% - Accent1 2 2 5 5 3 2 2 3" xfId="42026"/>
    <cellStyle name="20% - Accent1 2 2 5 5 3 2 3" xfId="10593"/>
    <cellStyle name="20% - Accent1 2 2 5 5 3 2 3 2" xfId="51137"/>
    <cellStyle name="20% - Accent1 2 2 5 5 3 2 4" xfId="22394"/>
    <cellStyle name="20% - Accent1 2 2 5 5 3 2 4 2" xfId="51138"/>
    <cellStyle name="20% - Accent1 2 2 5 5 3 2 5" xfId="36009"/>
    <cellStyle name="20% - Accent1 2 2 5 5 3 3" xfId="11998"/>
    <cellStyle name="20% - Accent1 2 2 5 5 3 3 2" xfId="23799"/>
    <cellStyle name="20% - Accent1 2 2 5 5 3 3 2 2" xfId="51139"/>
    <cellStyle name="20% - Accent1 2 2 5 5 3 3 3" xfId="37414"/>
    <cellStyle name="20% - Accent1 2 2 5 5 3 4" xfId="8752"/>
    <cellStyle name="20% - Accent1 2 2 5 5 3 4 2" xfId="51140"/>
    <cellStyle name="20% - Accent1 2 2 5 5 3 5" xfId="20553"/>
    <cellStyle name="20% - Accent1 2 2 5 5 3 5 2" xfId="51141"/>
    <cellStyle name="20% - Accent1 2 2 5 5 3 6" xfId="34168"/>
    <cellStyle name="20% - Accent1 2 2 5 5 4" xfId="4004"/>
    <cellStyle name="20% - Accent1 2 2 5 5 4 2" xfId="11999"/>
    <cellStyle name="20% - Accent1 2 2 5 5 4 2 2" xfId="23800"/>
    <cellStyle name="20% - Accent1 2 2 5 5 4 2 2 2" xfId="51142"/>
    <cellStyle name="20% - Accent1 2 2 5 5 4 2 3" xfId="37415"/>
    <cellStyle name="20% - Accent1 2 2 5 5 4 3" xfId="9457"/>
    <cellStyle name="20% - Accent1 2 2 5 5 4 3 2" xfId="43808"/>
    <cellStyle name="20% - Accent1 2 2 5 5 4 4" xfId="21258"/>
    <cellStyle name="20% - Accent1 2 2 5 5 4 4 2" xfId="51143"/>
    <cellStyle name="20% - Accent1 2 2 5 5 4 5" xfId="34873"/>
    <cellStyle name="20% - Accent1 2 2 5 5 5" xfId="2163"/>
    <cellStyle name="20% - Accent1 2 2 5 5 5 2" xfId="16987"/>
    <cellStyle name="20% - Accent1 2 2 5 5 5 2 2" xfId="28788"/>
    <cellStyle name="20% - Accent1 2 2 5 5 5 2 2 2" xfId="51144"/>
    <cellStyle name="20% - Accent1 2 2 5 5 5 2 3" xfId="42403"/>
    <cellStyle name="20% - Accent1 2 2 5 5 5 3" xfId="7616"/>
    <cellStyle name="20% - Accent1 2 2 5 5 5 3 2" xfId="51145"/>
    <cellStyle name="20% - Accent1 2 2 5 5 5 4" xfId="19417"/>
    <cellStyle name="20% - Accent1 2 2 5 5 5 4 2" xfId="51146"/>
    <cellStyle name="20% - Accent1 2 2 5 5 5 5" xfId="33032"/>
    <cellStyle name="20% - Accent1 2 2 5 5 6" xfId="12000"/>
    <cellStyle name="20% - Accent1 2 2 5 5 6 2" xfId="23801"/>
    <cellStyle name="20% - Accent1 2 2 5 5 6 2 2" xfId="51147"/>
    <cellStyle name="20% - Accent1 2 2 5 5 6 3" xfId="37416"/>
    <cellStyle name="20% - Accent1 2 2 5 5 7" xfId="5716"/>
    <cellStyle name="20% - Accent1 2 2 5 5 7 2" xfId="51148"/>
    <cellStyle name="20% - Accent1 2 2 5 5 8" xfId="17517"/>
    <cellStyle name="20% - Accent1 2 2 5 5 8 2" xfId="51149"/>
    <cellStyle name="20% - Accent1 2 2 5 5 9" xfId="31132"/>
    <cellStyle name="20% - Accent1 2 2 5 6" xfId="589"/>
    <cellStyle name="20% - Accent1 2 2 5 6 2" xfId="1134"/>
    <cellStyle name="20% - Accent1 2 2 5 6 2 2" xfId="4331"/>
    <cellStyle name="20% - Accent1 2 2 5 6 2 2 2" xfId="12001"/>
    <cellStyle name="20% - Accent1 2 2 5 6 2 2 2 2" xfId="23802"/>
    <cellStyle name="20% - Accent1 2 2 5 6 2 2 2 2 2" xfId="51150"/>
    <cellStyle name="20% - Accent1 2 2 5 6 2 2 2 3" xfId="37417"/>
    <cellStyle name="20% - Accent1 2 2 5 6 2 2 3" xfId="9784"/>
    <cellStyle name="20% - Accent1 2 2 5 6 2 2 3 2" xfId="43809"/>
    <cellStyle name="20% - Accent1 2 2 5 6 2 2 4" xfId="21585"/>
    <cellStyle name="20% - Accent1 2 2 5 6 2 2 4 2" xfId="51151"/>
    <cellStyle name="20% - Accent1 2 2 5 6 2 2 5" xfId="35200"/>
    <cellStyle name="20% - Accent1 2 2 5 6 2 3" xfId="12002"/>
    <cellStyle name="20% - Accent1 2 2 5 6 2 3 2" xfId="23803"/>
    <cellStyle name="20% - Accent1 2 2 5 6 2 3 2 2" xfId="43810"/>
    <cellStyle name="20% - Accent1 2 2 5 6 2 3 3" xfId="29402"/>
    <cellStyle name="20% - Accent1 2 2 5 6 2 3 3 2" xfId="43811"/>
    <cellStyle name="20% - Accent1 2 2 5 6 2 3 4" xfId="29403"/>
    <cellStyle name="20% - Accent1 2 2 5 6 2 3 4 2" xfId="51152"/>
    <cellStyle name="20% - Accent1 2 2 5 6 2 3 5" xfId="37418"/>
    <cellStyle name="20% - Accent1 2 2 5 6 2 4" xfId="12003"/>
    <cellStyle name="20% - Accent1 2 2 5 6 2 4 2" xfId="23804"/>
    <cellStyle name="20% - Accent1 2 2 5 6 2 4 2 2" xfId="51153"/>
    <cellStyle name="20% - Accent1 2 2 5 6 2 4 3" xfId="37419"/>
    <cellStyle name="20% - Accent1 2 2 5 6 2 5" xfId="6588"/>
    <cellStyle name="20% - Accent1 2 2 5 6 2 5 2" xfId="43812"/>
    <cellStyle name="20% - Accent1 2 2 5 6 2 6" xfId="18389"/>
    <cellStyle name="20% - Accent1 2 2 5 6 2 6 2" xfId="51154"/>
    <cellStyle name="20% - Accent1 2 2 5 6 2 7" xfId="32004"/>
    <cellStyle name="20% - Accent1 2 2 5 6 3" xfId="2490"/>
    <cellStyle name="20% - Accent1 2 2 5 6 3 2" xfId="12004"/>
    <cellStyle name="20% - Accent1 2 2 5 6 3 2 2" xfId="23805"/>
    <cellStyle name="20% - Accent1 2 2 5 6 3 2 2 2" xfId="51155"/>
    <cellStyle name="20% - Accent1 2 2 5 6 3 2 3" xfId="37420"/>
    <cellStyle name="20% - Accent1 2 2 5 6 3 3" xfId="7943"/>
    <cellStyle name="20% - Accent1 2 2 5 6 3 3 2" xfId="43813"/>
    <cellStyle name="20% - Accent1 2 2 5 6 3 4" xfId="19744"/>
    <cellStyle name="20% - Accent1 2 2 5 6 3 4 2" xfId="51156"/>
    <cellStyle name="20% - Accent1 2 2 5 6 3 5" xfId="33359"/>
    <cellStyle name="20% - Accent1 2 2 5 6 4" xfId="12005"/>
    <cellStyle name="20% - Accent1 2 2 5 6 4 2" xfId="23806"/>
    <cellStyle name="20% - Accent1 2 2 5 6 4 2 2" xfId="43814"/>
    <cellStyle name="20% - Accent1 2 2 5 6 4 3" xfId="29404"/>
    <cellStyle name="20% - Accent1 2 2 5 6 4 3 2" xfId="43815"/>
    <cellStyle name="20% - Accent1 2 2 5 6 4 4" xfId="29405"/>
    <cellStyle name="20% - Accent1 2 2 5 6 4 4 2" xfId="51157"/>
    <cellStyle name="20% - Accent1 2 2 5 6 4 5" xfId="37421"/>
    <cellStyle name="20% - Accent1 2 2 5 6 5" xfId="12006"/>
    <cellStyle name="20% - Accent1 2 2 5 6 5 2" xfId="23807"/>
    <cellStyle name="20% - Accent1 2 2 5 6 5 2 2" xfId="51158"/>
    <cellStyle name="20% - Accent1 2 2 5 6 5 3" xfId="37422"/>
    <cellStyle name="20% - Accent1 2 2 5 6 6" xfId="6043"/>
    <cellStyle name="20% - Accent1 2 2 5 6 6 2" xfId="43816"/>
    <cellStyle name="20% - Accent1 2 2 5 6 7" xfId="17844"/>
    <cellStyle name="20% - Accent1 2 2 5 6 7 2" xfId="51159"/>
    <cellStyle name="20% - Accent1 2 2 5 6 8" xfId="31459"/>
    <cellStyle name="20% - Accent1 2 2 5 7" xfId="830"/>
    <cellStyle name="20% - Accent1 2 2 5 7 2" xfId="1135"/>
    <cellStyle name="20% - Accent1 2 2 5 7 2 2" xfId="4899"/>
    <cellStyle name="20% - Accent1 2 2 5 7 2 2 2" xfId="12007"/>
    <cellStyle name="20% - Accent1 2 2 5 7 2 2 2 2" xfId="23808"/>
    <cellStyle name="20% - Accent1 2 2 5 7 2 2 2 2 2" xfId="51160"/>
    <cellStyle name="20% - Accent1 2 2 5 7 2 2 2 3" xfId="37423"/>
    <cellStyle name="20% - Accent1 2 2 5 7 2 2 3" xfId="10352"/>
    <cellStyle name="20% - Accent1 2 2 5 7 2 2 3 2" xfId="43817"/>
    <cellStyle name="20% - Accent1 2 2 5 7 2 2 4" xfId="22153"/>
    <cellStyle name="20% - Accent1 2 2 5 7 2 2 4 2" xfId="51161"/>
    <cellStyle name="20% - Accent1 2 2 5 7 2 2 5" xfId="35768"/>
    <cellStyle name="20% - Accent1 2 2 5 7 2 3" xfId="12008"/>
    <cellStyle name="20% - Accent1 2 2 5 7 2 3 2" xfId="23809"/>
    <cellStyle name="20% - Accent1 2 2 5 7 2 3 2 2" xfId="43818"/>
    <cellStyle name="20% - Accent1 2 2 5 7 2 3 3" xfId="29406"/>
    <cellStyle name="20% - Accent1 2 2 5 7 2 3 3 2" xfId="43819"/>
    <cellStyle name="20% - Accent1 2 2 5 7 2 3 4" xfId="29407"/>
    <cellStyle name="20% - Accent1 2 2 5 7 2 3 4 2" xfId="51162"/>
    <cellStyle name="20% - Accent1 2 2 5 7 2 3 5" xfId="37424"/>
    <cellStyle name="20% - Accent1 2 2 5 7 2 4" xfId="12009"/>
    <cellStyle name="20% - Accent1 2 2 5 7 2 4 2" xfId="23810"/>
    <cellStyle name="20% - Accent1 2 2 5 7 2 4 2 2" xfId="51163"/>
    <cellStyle name="20% - Accent1 2 2 5 7 2 4 3" xfId="37425"/>
    <cellStyle name="20% - Accent1 2 2 5 7 2 5" xfId="6589"/>
    <cellStyle name="20% - Accent1 2 2 5 7 2 5 2" xfId="43820"/>
    <cellStyle name="20% - Accent1 2 2 5 7 2 6" xfId="18390"/>
    <cellStyle name="20% - Accent1 2 2 5 7 2 6 2" xfId="51164"/>
    <cellStyle name="20% - Accent1 2 2 5 7 2 7" xfId="32005"/>
    <cellStyle name="20% - Accent1 2 2 5 7 3" xfId="3058"/>
    <cellStyle name="20% - Accent1 2 2 5 7 3 2" xfId="12010"/>
    <cellStyle name="20% - Accent1 2 2 5 7 3 2 2" xfId="23811"/>
    <cellStyle name="20% - Accent1 2 2 5 7 3 2 2 2" xfId="51165"/>
    <cellStyle name="20% - Accent1 2 2 5 7 3 2 3" xfId="37426"/>
    <cellStyle name="20% - Accent1 2 2 5 7 3 3" xfId="8511"/>
    <cellStyle name="20% - Accent1 2 2 5 7 3 3 2" xfId="43821"/>
    <cellStyle name="20% - Accent1 2 2 5 7 3 4" xfId="20312"/>
    <cellStyle name="20% - Accent1 2 2 5 7 3 4 2" xfId="51166"/>
    <cellStyle name="20% - Accent1 2 2 5 7 3 5" xfId="33927"/>
    <cellStyle name="20% - Accent1 2 2 5 7 4" xfId="12011"/>
    <cellStyle name="20% - Accent1 2 2 5 7 4 2" xfId="23812"/>
    <cellStyle name="20% - Accent1 2 2 5 7 4 2 2" xfId="43822"/>
    <cellStyle name="20% - Accent1 2 2 5 7 4 3" xfId="29408"/>
    <cellStyle name="20% - Accent1 2 2 5 7 4 3 2" xfId="43823"/>
    <cellStyle name="20% - Accent1 2 2 5 7 4 4" xfId="29409"/>
    <cellStyle name="20% - Accent1 2 2 5 7 4 4 2" xfId="51167"/>
    <cellStyle name="20% - Accent1 2 2 5 7 4 5" xfId="37427"/>
    <cellStyle name="20% - Accent1 2 2 5 7 5" xfId="12012"/>
    <cellStyle name="20% - Accent1 2 2 5 7 5 2" xfId="23813"/>
    <cellStyle name="20% - Accent1 2 2 5 7 5 2 2" xfId="51168"/>
    <cellStyle name="20% - Accent1 2 2 5 7 5 3" xfId="37428"/>
    <cellStyle name="20% - Accent1 2 2 5 7 6" xfId="6284"/>
    <cellStyle name="20% - Accent1 2 2 5 7 6 2" xfId="43824"/>
    <cellStyle name="20% - Accent1 2 2 5 7 7" xfId="18085"/>
    <cellStyle name="20% - Accent1 2 2 5 7 7 2" xfId="51169"/>
    <cellStyle name="20% - Accent1 2 2 5 7 8" xfId="31700"/>
    <cellStyle name="20% - Accent1 2 2 5 8" xfId="1136"/>
    <cellStyle name="20% - Accent1 2 2 5 8 2" xfId="3763"/>
    <cellStyle name="20% - Accent1 2 2 5 8 2 2" xfId="12013"/>
    <cellStyle name="20% - Accent1 2 2 5 8 2 2 2" xfId="23814"/>
    <cellStyle name="20% - Accent1 2 2 5 8 2 2 2 2" xfId="51170"/>
    <cellStyle name="20% - Accent1 2 2 5 8 2 2 3" xfId="37429"/>
    <cellStyle name="20% - Accent1 2 2 5 8 2 3" xfId="9216"/>
    <cellStyle name="20% - Accent1 2 2 5 8 2 3 2" xfId="43825"/>
    <cellStyle name="20% - Accent1 2 2 5 8 2 4" xfId="21017"/>
    <cellStyle name="20% - Accent1 2 2 5 8 2 4 2" xfId="51171"/>
    <cellStyle name="20% - Accent1 2 2 5 8 2 5" xfId="34632"/>
    <cellStyle name="20% - Accent1 2 2 5 8 3" xfId="12014"/>
    <cellStyle name="20% - Accent1 2 2 5 8 3 2" xfId="23815"/>
    <cellStyle name="20% - Accent1 2 2 5 8 3 2 2" xfId="43826"/>
    <cellStyle name="20% - Accent1 2 2 5 8 3 3" xfId="29410"/>
    <cellStyle name="20% - Accent1 2 2 5 8 3 3 2" xfId="43827"/>
    <cellStyle name="20% - Accent1 2 2 5 8 3 4" xfId="29411"/>
    <cellStyle name="20% - Accent1 2 2 5 8 3 4 2" xfId="51172"/>
    <cellStyle name="20% - Accent1 2 2 5 8 3 5" xfId="37430"/>
    <cellStyle name="20% - Accent1 2 2 5 8 4" xfId="12015"/>
    <cellStyle name="20% - Accent1 2 2 5 8 4 2" xfId="23816"/>
    <cellStyle name="20% - Accent1 2 2 5 8 4 2 2" xfId="51173"/>
    <cellStyle name="20% - Accent1 2 2 5 8 4 3" xfId="37431"/>
    <cellStyle name="20% - Accent1 2 2 5 8 5" xfId="6590"/>
    <cellStyle name="20% - Accent1 2 2 5 8 5 2" xfId="43828"/>
    <cellStyle name="20% - Accent1 2 2 5 8 6" xfId="18391"/>
    <cellStyle name="20% - Accent1 2 2 5 8 6 2" xfId="51174"/>
    <cellStyle name="20% - Accent1 2 2 5 8 7" xfId="32006"/>
    <cellStyle name="20% - Accent1 2 2 5 9" xfId="3626"/>
    <cellStyle name="20% - Accent1 2 2 5 9 2" xfId="12016"/>
    <cellStyle name="20% - Accent1 2 2 5 9 2 2" xfId="23817"/>
    <cellStyle name="20% - Accent1 2 2 5 9 2 2 2" xfId="51175"/>
    <cellStyle name="20% - Accent1 2 2 5 9 2 3" xfId="37432"/>
    <cellStyle name="20% - Accent1 2 2 5 9 3" xfId="9079"/>
    <cellStyle name="20% - Accent1 2 2 5 9 3 2" xfId="43829"/>
    <cellStyle name="20% - Accent1 2 2 5 9 4" xfId="20880"/>
    <cellStyle name="20% - Accent1 2 2 5 9 4 2" xfId="51176"/>
    <cellStyle name="20% - Accent1 2 2 5 9 5" xfId="34495"/>
    <cellStyle name="20% - Accent1 2 2 6" xfId="58"/>
    <cellStyle name="20% - Accent1 2 2 6 10" xfId="12017"/>
    <cellStyle name="20% - Accent1 2 2 6 10 2" xfId="23818"/>
    <cellStyle name="20% - Accent1 2 2 6 10 2 2" xfId="51177"/>
    <cellStyle name="20% - Accent1 2 2 6 10 3" xfId="37433"/>
    <cellStyle name="20% - Accent1 2 2 6 11" xfId="5512"/>
    <cellStyle name="20% - Accent1 2 2 6 11 2" xfId="43830"/>
    <cellStyle name="20% - Accent1 2 2 6 12" xfId="17313"/>
    <cellStyle name="20% - Accent1 2 2 6 12 2" xfId="51178"/>
    <cellStyle name="20% - Accent1 2 2 6 13" xfId="30928"/>
    <cellStyle name="20% - Accent1 2 2 6 2" xfId="125"/>
    <cellStyle name="20% - Accent1 2 2 6 2 10" xfId="5579"/>
    <cellStyle name="20% - Accent1 2 2 6 2 10 2" xfId="43831"/>
    <cellStyle name="20% - Accent1 2 2 6 2 11" xfId="17380"/>
    <cellStyle name="20% - Accent1 2 2 6 2 11 2" xfId="51179"/>
    <cellStyle name="20% - Accent1 2 2 6 2 12" xfId="30995"/>
    <cellStyle name="20% - Accent1 2 2 6 2 2" xfId="552"/>
    <cellStyle name="20% - Accent1 2 2 6 2 2 2" xfId="1137"/>
    <cellStyle name="20% - Accent1 2 2 6 2 2 2 2" xfId="4862"/>
    <cellStyle name="20% - Accent1 2 2 6 2 2 2 2 2" xfId="12018"/>
    <cellStyle name="20% - Accent1 2 2 6 2 2 2 2 2 2" xfId="23819"/>
    <cellStyle name="20% - Accent1 2 2 6 2 2 2 2 2 2 2" xfId="51180"/>
    <cellStyle name="20% - Accent1 2 2 6 2 2 2 2 2 3" xfId="37434"/>
    <cellStyle name="20% - Accent1 2 2 6 2 2 2 2 3" xfId="10315"/>
    <cellStyle name="20% - Accent1 2 2 6 2 2 2 2 3 2" xfId="43832"/>
    <cellStyle name="20% - Accent1 2 2 6 2 2 2 2 4" xfId="22116"/>
    <cellStyle name="20% - Accent1 2 2 6 2 2 2 2 4 2" xfId="51181"/>
    <cellStyle name="20% - Accent1 2 2 6 2 2 2 2 5" xfId="35731"/>
    <cellStyle name="20% - Accent1 2 2 6 2 2 2 3" xfId="3021"/>
    <cellStyle name="20% - Accent1 2 2 6 2 2 2 3 2" xfId="12019"/>
    <cellStyle name="20% - Accent1 2 2 6 2 2 2 3 2 2" xfId="23820"/>
    <cellStyle name="20% - Accent1 2 2 6 2 2 2 3 2 2 2" xfId="51182"/>
    <cellStyle name="20% - Accent1 2 2 6 2 2 2 3 2 3" xfId="37435"/>
    <cellStyle name="20% - Accent1 2 2 6 2 2 2 3 3" xfId="8474"/>
    <cellStyle name="20% - Accent1 2 2 6 2 2 2 3 3 2" xfId="43833"/>
    <cellStyle name="20% - Accent1 2 2 6 2 2 2 3 4" xfId="20275"/>
    <cellStyle name="20% - Accent1 2 2 6 2 2 2 3 4 2" xfId="51183"/>
    <cellStyle name="20% - Accent1 2 2 6 2 2 2 3 5" xfId="33890"/>
    <cellStyle name="20% - Accent1 2 2 6 2 2 2 4" xfId="12020"/>
    <cellStyle name="20% - Accent1 2 2 6 2 2 2 4 2" xfId="23821"/>
    <cellStyle name="20% - Accent1 2 2 6 2 2 2 4 2 2" xfId="51184"/>
    <cellStyle name="20% - Accent1 2 2 6 2 2 2 4 3" xfId="37436"/>
    <cellStyle name="20% - Accent1 2 2 6 2 2 2 5" xfId="6591"/>
    <cellStyle name="20% - Accent1 2 2 6 2 2 2 5 2" xfId="43834"/>
    <cellStyle name="20% - Accent1 2 2 6 2 2 2 6" xfId="18392"/>
    <cellStyle name="20% - Accent1 2 2 6 2 2 2 6 2" xfId="51185"/>
    <cellStyle name="20% - Accent1 2 2 6 2 2 2 7" xfId="32007"/>
    <cellStyle name="20% - Accent1 2 2 6 2 2 3" xfId="3589"/>
    <cellStyle name="20% - Accent1 2 2 6 2 2 3 2" xfId="5430"/>
    <cellStyle name="20% - Accent1 2 2 6 2 2 3 2 2" xfId="16900"/>
    <cellStyle name="20% - Accent1 2 2 6 2 2 3 2 2 2" xfId="28701"/>
    <cellStyle name="20% - Accent1 2 2 6 2 2 3 2 2 2 2" xfId="51186"/>
    <cellStyle name="20% - Accent1 2 2 6 2 2 3 2 2 3" xfId="42316"/>
    <cellStyle name="20% - Accent1 2 2 6 2 2 3 2 3" xfId="10883"/>
    <cellStyle name="20% - Accent1 2 2 6 2 2 3 2 3 2" xfId="51187"/>
    <cellStyle name="20% - Accent1 2 2 6 2 2 3 2 4" xfId="22684"/>
    <cellStyle name="20% - Accent1 2 2 6 2 2 3 2 4 2" xfId="51188"/>
    <cellStyle name="20% - Accent1 2 2 6 2 2 3 2 5" xfId="36299"/>
    <cellStyle name="20% - Accent1 2 2 6 2 2 3 3" xfId="12021"/>
    <cellStyle name="20% - Accent1 2 2 6 2 2 3 3 2" xfId="23822"/>
    <cellStyle name="20% - Accent1 2 2 6 2 2 3 3 2 2" xfId="51189"/>
    <cellStyle name="20% - Accent1 2 2 6 2 2 3 3 3" xfId="37437"/>
    <cellStyle name="20% - Accent1 2 2 6 2 2 3 4" xfId="9042"/>
    <cellStyle name="20% - Accent1 2 2 6 2 2 3 4 2" xfId="51190"/>
    <cellStyle name="20% - Accent1 2 2 6 2 2 3 5" xfId="20843"/>
    <cellStyle name="20% - Accent1 2 2 6 2 2 3 5 2" xfId="51191"/>
    <cellStyle name="20% - Accent1 2 2 6 2 2 3 6" xfId="34458"/>
    <cellStyle name="20% - Accent1 2 2 6 2 2 4" xfId="4294"/>
    <cellStyle name="20% - Accent1 2 2 6 2 2 4 2" xfId="12022"/>
    <cellStyle name="20% - Accent1 2 2 6 2 2 4 2 2" xfId="23823"/>
    <cellStyle name="20% - Accent1 2 2 6 2 2 4 2 2 2" xfId="51192"/>
    <cellStyle name="20% - Accent1 2 2 6 2 2 4 2 3" xfId="37438"/>
    <cellStyle name="20% - Accent1 2 2 6 2 2 4 3" xfId="9747"/>
    <cellStyle name="20% - Accent1 2 2 6 2 2 4 3 2" xfId="43835"/>
    <cellStyle name="20% - Accent1 2 2 6 2 2 4 4" xfId="21548"/>
    <cellStyle name="20% - Accent1 2 2 6 2 2 4 4 2" xfId="51193"/>
    <cellStyle name="20% - Accent1 2 2 6 2 2 4 5" xfId="35163"/>
    <cellStyle name="20% - Accent1 2 2 6 2 2 5" xfId="2453"/>
    <cellStyle name="20% - Accent1 2 2 6 2 2 5 2" xfId="16988"/>
    <cellStyle name="20% - Accent1 2 2 6 2 2 5 2 2" xfId="28789"/>
    <cellStyle name="20% - Accent1 2 2 6 2 2 5 2 2 2" xfId="51194"/>
    <cellStyle name="20% - Accent1 2 2 6 2 2 5 2 3" xfId="42404"/>
    <cellStyle name="20% - Accent1 2 2 6 2 2 5 3" xfId="7906"/>
    <cellStyle name="20% - Accent1 2 2 6 2 2 5 3 2" xfId="51195"/>
    <cellStyle name="20% - Accent1 2 2 6 2 2 5 4" xfId="19707"/>
    <cellStyle name="20% - Accent1 2 2 6 2 2 5 4 2" xfId="51196"/>
    <cellStyle name="20% - Accent1 2 2 6 2 2 5 5" xfId="33322"/>
    <cellStyle name="20% - Accent1 2 2 6 2 2 6" xfId="12023"/>
    <cellStyle name="20% - Accent1 2 2 6 2 2 6 2" xfId="23824"/>
    <cellStyle name="20% - Accent1 2 2 6 2 2 6 2 2" xfId="51197"/>
    <cellStyle name="20% - Accent1 2 2 6 2 2 6 3" xfId="37439"/>
    <cellStyle name="20% - Accent1 2 2 6 2 2 7" xfId="6006"/>
    <cellStyle name="20% - Accent1 2 2 6 2 2 7 2" xfId="51198"/>
    <cellStyle name="20% - Accent1 2 2 6 2 2 8" xfId="17807"/>
    <cellStyle name="20% - Accent1 2 2 6 2 2 8 2" xfId="51199"/>
    <cellStyle name="20% - Accent1 2 2 6 2 2 9" xfId="31422"/>
    <cellStyle name="20% - Accent1 2 2 6 2 3" xfId="415"/>
    <cellStyle name="20% - Accent1 2 2 6 2 3 2" xfId="1138"/>
    <cellStyle name="20% - Accent1 2 2 6 2 3 2 2" xfId="4725"/>
    <cellStyle name="20% - Accent1 2 2 6 2 3 2 2 2" xfId="12024"/>
    <cellStyle name="20% - Accent1 2 2 6 2 3 2 2 2 2" xfId="23825"/>
    <cellStyle name="20% - Accent1 2 2 6 2 3 2 2 2 2 2" xfId="51200"/>
    <cellStyle name="20% - Accent1 2 2 6 2 3 2 2 2 3" xfId="37440"/>
    <cellStyle name="20% - Accent1 2 2 6 2 3 2 2 3" xfId="10178"/>
    <cellStyle name="20% - Accent1 2 2 6 2 3 2 2 3 2" xfId="43836"/>
    <cellStyle name="20% - Accent1 2 2 6 2 3 2 2 4" xfId="21979"/>
    <cellStyle name="20% - Accent1 2 2 6 2 3 2 2 4 2" xfId="51201"/>
    <cellStyle name="20% - Accent1 2 2 6 2 3 2 2 5" xfId="35594"/>
    <cellStyle name="20% - Accent1 2 2 6 2 3 2 3" xfId="2884"/>
    <cellStyle name="20% - Accent1 2 2 6 2 3 2 3 2" xfId="12025"/>
    <cellStyle name="20% - Accent1 2 2 6 2 3 2 3 2 2" xfId="23826"/>
    <cellStyle name="20% - Accent1 2 2 6 2 3 2 3 2 2 2" xfId="51202"/>
    <cellStyle name="20% - Accent1 2 2 6 2 3 2 3 2 3" xfId="37441"/>
    <cellStyle name="20% - Accent1 2 2 6 2 3 2 3 3" xfId="8337"/>
    <cellStyle name="20% - Accent1 2 2 6 2 3 2 3 3 2" xfId="43837"/>
    <cellStyle name="20% - Accent1 2 2 6 2 3 2 3 4" xfId="20138"/>
    <cellStyle name="20% - Accent1 2 2 6 2 3 2 3 4 2" xfId="51203"/>
    <cellStyle name="20% - Accent1 2 2 6 2 3 2 3 5" xfId="33753"/>
    <cellStyle name="20% - Accent1 2 2 6 2 3 2 4" xfId="12026"/>
    <cellStyle name="20% - Accent1 2 2 6 2 3 2 4 2" xfId="23827"/>
    <cellStyle name="20% - Accent1 2 2 6 2 3 2 4 2 2" xfId="51204"/>
    <cellStyle name="20% - Accent1 2 2 6 2 3 2 4 3" xfId="37442"/>
    <cellStyle name="20% - Accent1 2 2 6 2 3 2 5" xfId="6592"/>
    <cellStyle name="20% - Accent1 2 2 6 2 3 2 5 2" xfId="43838"/>
    <cellStyle name="20% - Accent1 2 2 6 2 3 2 6" xfId="18393"/>
    <cellStyle name="20% - Accent1 2 2 6 2 3 2 6 2" xfId="51205"/>
    <cellStyle name="20% - Accent1 2 2 6 2 3 2 7" xfId="32008"/>
    <cellStyle name="20% - Accent1 2 2 6 2 3 3" xfId="3452"/>
    <cellStyle name="20% - Accent1 2 2 6 2 3 3 2" xfId="5293"/>
    <cellStyle name="20% - Accent1 2 2 6 2 3 3 2 2" xfId="16763"/>
    <cellStyle name="20% - Accent1 2 2 6 2 3 3 2 2 2" xfId="28564"/>
    <cellStyle name="20% - Accent1 2 2 6 2 3 3 2 2 2 2" xfId="51206"/>
    <cellStyle name="20% - Accent1 2 2 6 2 3 3 2 2 3" xfId="42179"/>
    <cellStyle name="20% - Accent1 2 2 6 2 3 3 2 3" xfId="10746"/>
    <cellStyle name="20% - Accent1 2 2 6 2 3 3 2 3 2" xfId="51207"/>
    <cellStyle name="20% - Accent1 2 2 6 2 3 3 2 4" xfId="22547"/>
    <cellStyle name="20% - Accent1 2 2 6 2 3 3 2 4 2" xfId="51208"/>
    <cellStyle name="20% - Accent1 2 2 6 2 3 3 2 5" xfId="36162"/>
    <cellStyle name="20% - Accent1 2 2 6 2 3 3 3" xfId="12027"/>
    <cellStyle name="20% - Accent1 2 2 6 2 3 3 3 2" xfId="23828"/>
    <cellStyle name="20% - Accent1 2 2 6 2 3 3 3 2 2" xfId="51209"/>
    <cellStyle name="20% - Accent1 2 2 6 2 3 3 3 3" xfId="37443"/>
    <cellStyle name="20% - Accent1 2 2 6 2 3 3 4" xfId="8905"/>
    <cellStyle name="20% - Accent1 2 2 6 2 3 3 4 2" xfId="51210"/>
    <cellStyle name="20% - Accent1 2 2 6 2 3 3 5" xfId="20706"/>
    <cellStyle name="20% - Accent1 2 2 6 2 3 3 5 2" xfId="51211"/>
    <cellStyle name="20% - Accent1 2 2 6 2 3 3 6" xfId="34321"/>
    <cellStyle name="20% - Accent1 2 2 6 2 3 4" xfId="4157"/>
    <cellStyle name="20% - Accent1 2 2 6 2 3 4 2" xfId="12028"/>
    <cellStyle name="20% - Accent1 2 2 6 2 3 4 2 2" xfId="23829"/>
    <cellStyle name="20% - Accent1 2 2 6 2 3 4 2 2 2" xfId="51212"/>
    <cellStyle name="20% - Accent1 2 2 6 2 3 4 2 3" xfId="37444"/>
    <cellStyle name="20% - Accent1 2 2 6 2 3 4 3" xfId="9610"/>
    <cellStyle name="20% - Accent1 2 2 6 2 3 4 3 2" xfId="43839"/>
    <cellStyle name="20% - Accent1 2 2 6 2 3 4 4" xfId="21411"/>
    <cellStyle name="20% - Accent1 2 2 6 2 3 4 4 2" xfId="51213"/>
    <cellStyle name="20% - Accent1 2 2 6 2 3 4 5" xfId="35026"/>
    <cellStyle name="20% - Accent1 2 2 6 2 3 5" xfId="2316"/>
    <cellStyle name="20% - Accent1 2 2 6 2 3 5 2" xfId="16989"/>
    <cellStyle name="20% - Accent1 2 2 6 2 3 5 2 2" xfId="28790"/>
    <cellStyle name="20% - Accent1 2 2 6 2 3 5 2 2 2" xfId="51214"/>
    <cellStyle name="20% - Accent1 2 2 6 2 3 5 2 3" xfId="42405"/>
    <cellStyle name="20% - Accent1 2 2 6 2 3 5 3" xfId="7769"/>
    <cellStyle name="20% - Accent1 2 2 6 2 3 5 3 2" xfId="51215"/>
    <cellStyle name="20% - Accent1 2 2 6 2 3 5 4" xfId="19570"/>
    <cellStyle name="20% - Accent1 2 2 6 2 3 5 4 2" xfId="51216"/>
    <cellStyle name="20% - Accent1 2 2 6 2 3 5 5" xfId="33185"/>
    <cellStyle name="20% - Accent1 2 2 6 2 3 6" xfId="12029"/>
    <cellStyle name="20% - Accent1 2 2 6 2 3 6 2" xfId="23830"/>
    <cellStyle name="20% - Accent1 2 2 6 2 3 6 2 2" xfId="51217"/>
    <cellStyle name="20% - Accent1 2 2 6 2 3 6 3" xfId="37445"/>
    <cellStyle name="20% - Accent1 2 2 6 2 3 7" xfId="5869"/>
    <cellStyle name="20% - Accent1 2 2 6 2 3 7 2" xfId="51218"/>
    <cellStyle name="20% - Accent1 2 2 6 2 3 8" xfId="17670"/>
    <cellStyle name="20% - Accent1 2 2 6 2 3 8 2" xfId="51219"/>
    <cellStyle name="20% - Accent1 2 2 6 2 3 9" xfId="31285"/>
    <cellStyle name="20% - Accent1 2 2 6 2 4" xfId="693"/>
    <cellStyle name="20% - Accent1 2 2 6 2 4 2" xfId="1139"/>
    <cellStyle name="20% - Accent1 2 2 6 2 4 2 2" xfId="4435"/>
    <cellStyle name="20% - Accent1 2 2 6 2 4 2 2 2" xfId="12030"/>
    <cellStyle name="20% - Accent1 2 2 6 2 4 2 2 2 2" xfId="23831"/>
    <cellStyle name="20% - Accent1 2 2 6 2 4 2 2 2 2 2" xfId="51220"/>
    <cellStyle name="20% - Accent1 2 2 6 2 4 2 2 2 3" xfId="37446"/>
    <cellStyle name="20% - Accent1 2 2 6 2 4 2 2 3" xfId="9888"/>
    <cellStyle name="20% - Accent1 2 2 6 2 4 2 2 3 2" xfId="43840"/>
    <cellStyle name="20% - Accent1 2 2 6 2 4 2 2 4" xfId="21689"/>
    <cellStyle name="20% - Accent1 2 2 6 2 4 2 2 4 2" xfId="51221"/>
    <cellStyle name="20% - Accent1 2 2 6 2 4 2 2 5" xfId="35304"/>
    <cellStyle name="20% - Accent1 2 2 6 2 4 2 3" xfId="12031"/>
    <cellStyle name="20% - Accent1 2 2 6 2 4 2 3 2" xfId="23832"/>
    <cellStyle name="20% - Accent1 2 2 6 2 4 2 3 2 2" xfId="43841"/>
    <cellStyle name="20% - Accent1 2 2 6 2 4 2 3 3" xfId="29412"/>
    <cellStyle name="20% - Accent1 2 2 6 2 4 2 3 3 2" xfId="43842"/>
    <cellStyle name="20% - Accent1 2 2 6 2 4 2 3 4" xfId="29413"/>
    <cellStyle name="20% - Accent1 2 2 6 2 4 2 3 4 2" xfId="51222"/>
    <cellStyle name="20% - Accent1 2 2 6 2 4 2 3 5" xfId="37447"/>
    <cellStyle name="20% - Accent1 2 2 6 2 4 2 4" xfId="12032"/>
    <cellStyle name="20% - Accent1 2 2 6 2 4 2 4 2" xfId="23833"/>
    <cellStyle name="20% - Accent1 2 2 6 2 4 2 4 2 2" xfId="51223"/>
    <cellStyle name="20% - Accent1 2 2 6 2 4 2 4 3" xfId="37448"/>
    <cellStyle name="20% - Accent1 2 2 6 2 4 2 5" xfId="6593"/>
    <cellStyle name="20% - Accent1 2 2 6 2 4 2 5 2" xfId="43843"/>
    <cellStyle name="20% - Accent1 2 2 6 2 4 2 6" xfId="18394"/>
    <cellStyle name="20% - Accent1 2 2 6 2 4 2 6 2" xfId="51224"/>
    <cellStyle name="20% - Accent1 2 2 6 2 4 2 7" xfId="32009"/>
    <cellStyle name="20% - Accent1 2 2 6 2 4 3" xfId="2594"/>
    <cellStyle name="20% - Accent1 2 2 6 2 4 3 2" xfId="12033"/>
    <cellStyle name="20% - Accent1 2 2 6 2 4 3 2 2" xfId="23834"/>
    <cellStyle name="20% - Accent1 2 2 6 2 4 3 2 2 2" xfId="51225"/>
    <cellStyle name="20% - Accent1 2 2 6 2 4 3 2 3" xfId="37449"/>
    <cellStyle name="20% - Accent1 2 2 6 2 4 3 3" xfId="8047"/>
    <cellStyle name="20% - Accent1 2 2 6 2 4 3 3 2" xfId="43844"/>
    <cellStyle name="20% - Accent1 2 2 6 2 4 3 4" xfId="19848"/>
    <cellStyle name="20% - Accent1 2 2 6 2 4 3 4 2" xfId="51226"/>
    <cellStyle name="20% - Accent1 2 2 6 2 4 3 5" xfId="33463"/>
    <cellStyle name="20% - Accent1 2 2 6 2 4 4" xfId="12034"/>
    <cellStyle name="20% - Accent1 2 2 6 2 4 4 2" xfId="23835"/>
    <cellStyle name="20% - Accent1 2 2 6 2 4 4 2 2" xfId="43845"/>
    <cellStyle name="20% - Accent1 2 2 6 2 4 4 3" xfId="29414"/>
    <cellStyle name="20% - Accent1 2 2 6 2 4 4 3 2" xfId="43846"/>
    <cellStyle name="20% - Accent1 2 2 6 2 4 4 4" xfId="29415"/>
    <cellStyle name="20% - Accent1 2 2 6 2 4 4 4 2" xfId="51227"/>
    <cellStyle name="20% - Accent1 2 2 6 2 4 4 5" xfId="37450"/>
    <cellStyle name="20% - Accent1 2 2 6 2 4 5" xfId="12035"/>
    <cellStyle name="20% - Accent1 2 2 6 2 4 5 2" xfId="23836"/>
    <cellStyle name="20% - Accent1 2 2 6 2 4 5 2 2" xfId="51228"/>
    <cellStyle name="20% - Accent1 2 2 6 2 4 5 3" xfId="37451"/>
    <cellStyle name="20% - Accent1 2 2 6 2 4 6" xfId="6147"/>
    <cellStyle name="20% - Accent1 2 2 6 2 4 6 2" xfId="43847"/>
    <cellStyle name="20% - Accent1 2 2 6 2 4 7" xfId="17948"/>
    <cellStyle name="20% - Accent1 2 2 6 2 4 7 2" xfId="51229"/>
    <cellStyle name="20% - Accent1 2 2 6 2 4 8" xfId="31563"/>
    <cellStyle name="20% - Accent1 2 2 6 2 5" xfId="934"/>
    <cellStyle name="20% - Accent1 2 2 6 2 5 2" xfId="1140"/>
    <cellStyle name="20% - Accent1 2 2 6 2 5 2 2" xfId="5003"/>
    <cellStyle name="20% - Accent1 2 2 6 2 5 2 2 2" xfId="12036"/>
    <cellStyle name="20% - Accent1 2 2 6 2 5 2 2 2 2" xfId="23837"/>
    <cellStyle name="20% - Accent1 2 2 6 2 5 2 2 2 2 2" xfId="51230"/>
    <cellStyle name="20% - Accent1 2 2 6 2 5 2 2 2 3" xfId="37452"/>
    <cellStyle name="20% - Accent1 2 2 6 2 5 2 2 3" xfId="10456"/>
    <cellStyle name="20% - Accent1 2 2 6 2 5 2 2 3 2" xfId="43848"/>
    <cellStyle name="20% - Accent1 2 2 6 2 5 2 2 4" xfId="22257"/>
    <cellStyle name="20% - Accent1 2 2 6 2 5 2 2 4 2" xfId="51231"/>
    <cellStyle name="20% - Accent1 2 2 6 2 5 2 2 5" xfId="35872"/>
    <cellStyle name="20% - Accent1 2 2 6 2 5 2 3" xfId="12037"/>
    <cellStyle name="20% - Accent1 2 2 6 2 5 2 3 2" xfId="23838"/>
    <cellStyle name="20% - Accent1 2 2 6 2 5 2 3 2 2" xfId="43849"/>
    <cellStyle name="20% - Accent1 2 2 6 2 5 2 3 3" xfId="29416"/>
    <cellStyle name="20% - Accent1 2 2 6 2 5 2 3 3 2" xfId="43850"/>
    <cellStyle name="20% - Accent1 2 2 6 2 5 2 3 4" xfId="29417"/>
    <cellStyle name="20% - Accent1 2 2 6 2 5 2 3 4 2" xfId="51232"/>
    <cellStyle name="20% - Accent1 2 2 6 2 5 2 3 5" xfId="37453"/>
    <cellStyle name="20% - Accent1 2 2 6 2 5 2 4" xfId="12038"/>
    <cellStyle name="20% - Accent1 2 2 6 2 5 2 4 2" xfId="23839"/>
    <cellStyle name="20% - Accent1 2 2 6 2 5 2 4 2 2" xfId="51233"/>
    <cellStyle name="20% - Accent1 2 2 6 2 5 2 4 3" xfId="37454"/>
    <cellStyle name="20% - Accent1 2 2 6 2 5 2 5" xfId="6594"/>
    <cellStyle name="20% - Accent1 2 2 6 2 5 2 5 2" xfId="43851"/>
    <cellStyle name="20% - Accent1 2 2 6 2 5 2 6" xfId="18395"/>
    <cellStyle name="20% - Accent1 2 2 6 2 5 2 6 2" xfId="51234"/>
    <cellStyle name="20% - Accent1 2 2 6 2 5 2 7" xfId="32010"/>
    <cellStyle name="20% - Accent1 2 2 6 2 5 3" xfId="3162"/>
    <cellStyle name="20% - Accent1 2 2 6 2 5 3 2" xfId="12039"/>
    <cellStyle name="20% - Accent1 2 2 6 2 5 3 2 2" xfId="23840"/>
    <cellStyle name="20% - Accent1 2 2 6 2 5 3 2 2 2" xfId="51235"/>
    <cellStyle name="20% - Accent1 2 2 6 2 5 3 2 3" xfId="37455"/>
    <cellStyle name="20% - Accent1 2 2 6 2 5 3 3" xfId="8615"/>
    <cellStyle name="20% - Accent1 2 2 6 2 5 3 3 2" xfId="43852"/>
    <cellStyle name="20% - Accent1 2 2 6 2 5 3 4" xfId="20416"/>
    <cellStyle name="20% - Accent1 2 2 6 2 5 3 4 2" xfId="51236"/>
    <cellStyle name="20% - Accent1 2 2 6 2 5 3 5" xfId="34031"/>
    <cellStyle name="20% - Accent1 2 2 6 2 5 4" xfId="12040"/>
    <cellStyle name="20% - Accent1 2 2 6 2 5 4 2" xfId="23841"/>
    <cellStyle name="20% - Accent1 2 2 6 2 5 4 2 2" xfId="43853"/>
    <cellStyle name="20% - Accent1 2 2 6 2 5 4 3" xfId="29418"/>
    <cellStyle name="20% - Accent1 2 2 6 2 5 4 3 2" xfId="43854"/>
    <cellStyle name="20% - Accent1 2 2 6 2 5 4 4" xfId="29419"/>
    <cellStyle name="20% - Accent1 2 2 6 2 5 4 4 2" xfId="51237"/>
    <cellStyle name="20% - Accent1 2 2 6 2 5 4 5" xfId="37456"/>
    <cellStyle name="20% - Accent1 2 2 6 2 5 5" xfId="12041"/>
    <cellStyle name="20% - Accent1 2 2 6 2 5 5 2" xfId="23842"/>
    <cellStyle name="20% - Accent1 2 2 6 2 5 5 2 2" xfId="51238"/>
    <cellStyle name="20% - Accent1 2 2 6 2 5 5 3" xfId="37457"/>
    <cellStyle name="20% - Accent1 2 2 6 2 5 6" xfId="6388"/>
    <cellStyle name="20% - Accent1 2 2 6 2 5 6 2" xfId="43855"/>
    <cellStyle name="20% - Accent1 2 2 6 2 5 7" xfId="18189"/>
    <cellStyle name="20% - Accent1 2 2 6 2 5 7 2" xfId="51239"/>
    <cellStyle name="20% - Accent1 2 2 6 2 5 8" xfId="31804"/>
    <cellStyle name="20% - Accent1 2 2 6 2 6" xfId="1141"/>
    <cellStyle name="20% - Accent1 2 2 6 2 6 2" xfId="3867"/>
    <cellStyle name="20% - Accent1 2 2 6 2 6 2 2" xfId="12042"/>
    <cellStyle name="20% - Accent1 2 2 6 2 6 2 2 2" xfId="23843"/>
    <cellStyle name="20% - Accent1 2 2 6 2 6 2 2 2 2" xfId="51240"/>
    <cellStyle name="20% - Accent1 2 2 6 2 6 2 2 3" xfId="37458"/>
    <cellStyle name="20% - Accent1 2 2 6 2 6 2 3" xfId="9320"/>
    <cellStyle name="20% - Accent1 2 2 6 2 6 2 3 2" xfId="43856"/>
    <cellStyle name="20% - Accent1 2 2 6 2 6 2 4" xfId="21121"/>
    <cellStyle name="20% - Accent1 2 2 6 2 6 2 4 2" xfId="51241"/>
    <cellStyle name="20% - Accent1 2 2 6 2 6 2 5" xfId="34736"/>
    <cellStyle name="20% - Accent1 2 2 6 2 6 3" xfId="12043"/>
    <cellStyle name="20% - Accent1 2 2 6 2 6 3 2" xfId="23844"/>
    <cellStyle name="20% - Accent1 2 2 6 2 6 3 2 2" xfId="43857"/>
    <cellStyle name="20% - Accent1 2 2 6 2 6 3 3" xfId="29420"/>
    <cellStyle name="20% - Accent1 2 2 6 2 6 3 3 2" xfId="43858"/>
    <cellStyle name="20% - Accent1 2 2 6 2 6 3 4" xfId="29421"/>
    <cellStyle name="20% - Accent1 2 2 6 2 6 3 4 2" xfId="51242"/>
    <cellStyle name="20% - Accent1 2 2 6 2 6 3 5" xfId="37459"/>
    <cellStyle name="20% - Accent1 2 2 6 2 6 4" xfId="12044"/>
    <cellStyle name="20% - Accent1 2 2 6 2 6 4 2" xfId="23845"/>
    <cellStyle name="20% - Accent1 2 2 6 2 6 4 2 2" xfId="51243"/>
    <cellStyle name="20% - Accent1 2 2 6 2 6 4 3" xfId="37460"/>
    <cellStyle name="20% - Accent1 2 2 6 2 6 5" xfId="6595"/>
    <cellStyle name="20% - Accent1 2 2 6 2 6 5 2" xfId="43859"/>
    <cellStyle name="20% - Accent1 2 2 6 2 6 6" xfId="18396"/>
    <cellStyle name="20% - Accent1 2 2 6 2 6 6 2" xfId="51244"/>
    <cellStyle name="20% - Accent1 2 2 6 2 6 7" xfId="32011"/>
    <cellStyle name="20% - Accent1 2 2 6 2 7" xfId="3730"/>
    <cellStyle name="20% - Accent1 2 2 6 2 7 2" xfId="12045"/>
    <cellStyle name="20% - Accent1 2 2 6 2 7 2 2" xfId="23846"/>
    <cellStyle name="20% - Accent1 2 2 6 2 7 2 2 2" xfId="51245"/>
    <cellStyle name="20% - Accent1 2 2 6 2 7 2 3" xfId="37461"/>
    <cellStyle name="20% - Accent1 2 2 6 2 7 3" xfId="9183"/>
    <cellStyle name="20% - Accent1 2 2 6 2 7 3 2" xfId="43860"/>
    <cellStyle name="20% - Accent1 2 2 6 2 7 4" xfId="20984"/>
    <cellStyle name="20% - Accent1 2 2 6 2 7 4 2" xfId="51246"/>
    <cellStyle name="20% - Accent1 2 2 6 2 7 5" xfId="34599"/>
    <cellStyle name="20% - Accent1 2 2 6 2 8" xfId="2026"/>
    <cellStyle name="20% - Accent1 2 2 6 2 8 2" xfId="12046"/>
    <cellStyle name="20% - Accent1 2 2 6 2 8 2 2" xfId="23847"/>
    <cellStyle name="20% - Accent1 2 2 6 2 8 2 2 2" xfId="51247"/>
    <cellStyle name="20% - Accent1 2 2 6 2 8 2 3" xfId="37462"/>
    <cellStyle name="20% - Accent1 2 2 6 2 8 3" xfId="7479"/>
    <cellStyle name="20% - Accent1 2 2 6 2 8 3 2" xfId="43861"/>
    <cellStyle name="20% - Accent1 2 2 6 2 8 4" xfId="19280"/>
    <cellStyle name="20% - Accent1 2 2 6 2 8 4 2" xfId="51248"/>
    <cellStyle name="20% - Accent1 2 2 6 2 8 5" xfId="32895"/>
    <cellStyle name="20% - Accent1 2 2 6 2 9" xfId="12047"/>
    <cellStyle name="20% - Accent1 2 2 6 2 9 2" xfId="23848"/>
    <cellStyle name="20% - Accent1 2 2 6 2 9 2 2" xfId="51249"/>
    <cellStyle name="20% - Accent1 2 2 6 2 9 3" xfId="37463"/>
    <cellStyle name="20% - Accent1 2 2 6 3" xfId="200"/>
    <cellStyle name="20% - Accent1 2 2 6 3 10" xfId="31070"/>
    <cellStyle name="20% - Accent1 2 2 6 3 2" xfId="485"/>
    <cellStyle name="20% - Accent1 2 2 6 3 2 2" xfId="1142"/>
    <cellStyle name="20% - Accent1 2 2 6 3 2 2 2" xfId="4795"/>
    <cellStyle name="20% - Accent1 2 2 6 3 2 2 2 2" xfId="12048"/>
    <cellStyle name="20% - Accent1 2 2 6 3 2 2 2 2 2" xfId="23849"/>
    <cellStyle name="20% - Accent1 2 2 6 3 2 2 2 2 2 2" xfId="51250"/>
    <cellStyle name="20% - Accent1 2 2 6 3 2 2 2 2 3" xfId="37464"/>
    <cellStyle name="20% - Accent1 2 2 6 3 2 2 2 3" xfId="10248"/>
    <cellStyle name="20% - Accent1 2 2 6 3 2 2 2 3 2" xfId="43862"/>
    <cellStyle name="20% - Accent1 2 2 6 3 2 2 2 4" xfId="22049"/>
    <cellStyle name="20% - Accent1 2 2 6 3 2 2 2 4 2" xfId="51251"/>
    <cellStyle name="20% - Accent1 2 2 6 3 2 2 2 5" xfId="35664"/>
    <cellStyle name="20% - Accent1 2 2 6 3 2 2 3" xfId="2954"/>
    <cellStyle name="20% - Accent1 2 2 6 3 2 2 3 2" xfId="12049"/>
    <cellStyle name="20% - Accent1 2 2 6 3 2 2 3 2 2" xfId="23850"/>
    <cellStyle name="20% - Accent1 2 2 6 3 2 2 3 2 2 2" xfId="51252"/>
    <cellStyle name="20% - Accent1 2 2 6 3 2 2 3 2 3" xfId="37465"/>
    <cellStyle name="20% - Accent1 2 2 6 3 2 2 3 3" xfId="8407"/>
    <cellStyle name="20% - Accent1 2 2 6 3 2 2 3 3 2" xfId="43863"/>
    <cellStyle name="20% - Accent1 2 2 6 3 2 2 3 4" xfId="20208"/>
    <cellStyle name="20% - Accent1 2 2 6 3 2 2 3 4 2" xfId="51253"/>
    <cellStyle name="20% - Accent1 2 2 6 3 2 2 3 5" xfId="33823"/>
    <cellStyle name="20% - Accent1 2 2 6 3 2 2 4" xfId="12050"/>
    <cellStyle name="20% - Accent1 2 2 6 3 2 2 4 2" xfId="23851"/>
    <cellStyle name="20% - Accent1 2 2 6 3 2 2 4 2 2" xfId="51254"/>
    <cellStyle name="20% - Accent1 2 2 6 3 2 2 4 3" xfId="37466"/>
    <cellStyle name="20% - Accent1 2 2 6 3 2 2 5" xfId="6596"/>
    <cellStyle name="20% - Accent1 2 2 6 3 2 2 5 2" xfId="43864"/>
    <cellStyle name="20% - Accent1 2 2 6 3 2 2 6" xfId="18397"/>
    <cellStyle name="20% - Accent1 2 2 6 3 2 2 6 2" xfId="51255"/>
    <cellStyle name="20% - Accent1 2 2 6 3 2 2 7" xfId="32012"/>
    <cellStyle name="20% - Accent1 2 2 6 3 2 3" xfId="3522"/>
    <cellStyle name="20% - Accent1 2 2 6 3 2 3 2" xfId="5363"/>
    <cellStyle name="20% - Accent1 2 2 6 3 2 3 2 2" xfId="16833"/>
    <cellStyle name="20% - Accent1 2 2 6 3 2 3 2 2 2" xfId="28634"/>
    <cellStyle name="20% - Accent1 2 2 6 3 2 3 2 2 2 2" xfId="51256"/>
    <cellStyle name="20% - Accent1 2 2 6 3 2 3 2 2 3" xfId="42249"/>
    <cellStyle name="20% - Accent1 2 2 6 3 2 3 2 3" xfId="10816"/>
    <cellStyle name="20% - Accent1 2 2 6 3 2 3 2 3 2" xfId="51257"/>
    <cellStyle name="20% - Accent1 2 2 6 3 2 3 2 4" xfId="22617"/>
    <cellStyle name="20% - Accent1 2 2 6 3 2 3 2 4 2" xfId="51258"/>
    <cellStyle name="20% - Accent1 2 2 6 3 2 3 2 5" xfId="36232"/>
    <cellStyle name="20% - Accent1 2 2 6 3 2 3 3" xfId="12051"/>
    <cellStyle name="20% - Accent1 2 2 6 3 2 3 3 2" xfId="23852"/>
    <cellStyle name="20% - Accent1 2 2 6 3 2 3 3 2 2" xfId="51259"/>
    <cellStyle name="20% - Accent1 2 2 6 3 2 3 3 3" xfId="37467"/>
    <cellStyle name="20% - Accent1 2 2 6 3 2 3 4" xfId="8975"/>
    <cellStyle name="20% - Accent1 2 2 6 3 2 3 4 2" xfId="51260"/>
    <cellStyle name="20% - Accent1 2 2 6 3 2 3 5" xfId="20776"/>
    <cellStyle name="20% - Accent1 2 2 6 3 2 3 5 2" xfId="51261"/>
    <cellStyle name="20% - Accent1 2 2 6 3 2 3 6" xfId="34391"/>
    <cellStyle name="20% - Accent1 2 2 6 3 2 4" xfId="4227"/>
    <cellStyle name="20% - Accent1 2 2 6 3 2 4 2" xfId="12052"/>
    <cellStyle name="20% - Accent1 2 2 6 3 2 4 2 2" xfId="23853"/>
    <cellStyle name="20% - Accent1 2 2 6 3 2 4 2 2 2" xfId="51262"/>
    <cellStyle name="20% - Accent1 2 2 6 3 2 4 2 3" xfId="37468"/>
    <cellStyle name="20% - Accent1 2 2 6 3 2 4 3" xfId="9680"/>
    <cellStyle name="20% - Accent1 2 2 6 3 2 4 3 2" xfId="43865"/>
    <cellStyle name="20% - Accent1 2 2 6 3 2 4 4" xfId="21481"/>
    <cellStyle name="20% - Accent1 2 2 6 3 2 4 4 2" xfId="51263"/>
    <cellStyle name="20% - Accent1 2 2 6 3 2 4 5" xfId="35096"/>
    <cellStyle name="20% - Accent1 2 2 6 3 2 5" xfId="2386"/>
    <cellStyle name="20% - Accent1 2 2 6 3 2 5 2" xfId="16990"/>
    <cellStyle name="20% - Accent1 2 2 6 3 2 5 2 2" xfId="28791"/>
    <cellStyle name="20% - Accent1 2 2 6 3 2 5 2 2 2" xfId="51264"/>
    <cellStyle name="20% - Accent1 2 2 6 3 2 5 2 3" xfId="42406"/>
    <cellStyle name="20% - Accent1 2 2 6 3 2 5 3" xfId="7839"/>
    <cellStyle name="20% - Accent1 2 2 6 3 2 5 3 2" xfId="51265"/>
    <cellStyle name="20% - Accent1 2 2 6 3 2 5 4" xfId="19640"/>
    <cellStyle name="20% - Accent1 2 2 6 3 2 5 4 2" xfId="51266"/>
    <cellStyle name="20% - Accent1 2 2 6 3 2 5 5" xfId="33255"/>
    <cellStyle name="20% - Accent1 2 2 6 3 2 6" xfId="12053"/>
    <cellStyle name="20% - Accent1 2 2 6 3 2 6 2" xfId="23854"/>
    <cellStyle name="20% - Accent1 2 2 6 3 2 6 2 2" xfId="51267"/>
    <cellStyle name="20% - Accent1 2 2 6 3 2 6 3" xfId="37469"/>
    <cellStyle name="20% - Accent1 2 2 6 3 2 7" xfId="5939"/>
    <cellStyle name="20% - Accent1 2 2 6 3 2 7 2" xfId="51268"/>
    <cellStyle name="20% - Accent1 2 2 6 3 2 8" xfId="17740"/>
    <cellStyle name="20% - Accent1 2 2 6 3 2 8 2" xfId="51269"/>
    <cellStyle name="20% - Accent1 2 2 6 3 2 9" xfId="31355"/>
    <cellStyle name="20% - Accent1 2 2 6 3 3" xfId="768"/>
    <cellStyle name="20% - Accent1 2 2 6 3 3 2" xfId="1143"/>
    <cellStyle name="20% - Accent1 2 2 6 3 3 2 2" xfId="4510"/>
    <cellStyle name="20% - Accent1 2 2 6 3 3 2 2 2" xfId="12054"/>
    <cellStyle name="20% - Accent1 2 2 6 3 3 2 2 2 2" xfId="23855"/>
    <cellStyle name="20% - Accent1 2 2 6 3 3 2 2 2 2 2" xfId="51270"/>
    <cellStyle name="20% - Accent1 2 2 6 3 3 2 2 2 3" xfId="37470"/>
    <cellStyle name="20% - Accent1 2 2 6 3 3 2 2 3" xfId="9963"/>
    <cellStyle name="20% - Accent1 2 2 6 3 3 2 2 3 2" xfId="43866"/>
    <cellStyle name="20% - Accent1 2 2 6 3 3 2 2 4" xfId="21764"/>
    <cellStyle name="20% - Accent1 2 2 6 3 3 2 2 4 2" xfId="51271"/>
    <cellStyle name="20% - Accent1 2 2 6 3 3 2 2 5" xfId="35379"/>
    <cellStyle name="20% - Accent1 2 2 6 3 3 2 3" xfId="12055"/>
    <cellStyle name="20% - Accent1 2 2 6 3 3 2 3 2" xfId="23856"/>
    <cellStyle name="20% - Accent1 2 2 6 3 3 2 3 2 2" xfId="43867"/>
    <cellStyle name="20% - Accent1 2 2 6 3 3 2 3 3" xfId="29422"/>
    <cellStyle name="20% - Accent1 2 2 6 3 3 2 3 3 2" xfId="43868"/>
    <cellStyle name="20% - Accent1 2 2 6 3 3 2 3 4" xfId="29423"/>
    <cellStyle name="20% - Accent1 2 2 6 3 3 2 3 4 2" xfId="51272"/>
    <cellStyle name="20% - Accent1 2 2 6 3 3 2 3 5" xfId="37471"/>
    <cellStyle name="20% - Accent1 2 2 6 3 3 2 4" xfId="12056"/>
    <cellStyle name="20% - Accent1 2 2 6 3 3 2 4 2" xfId="23857"/>
    <cellStyle name="20% - Accent1 2 2 6 3 3 2 4 2 2" xfId="51273"/>
    <cellStyle name="20% - Accent1 2 2 6 3 3 2 4 3" xfId="37472"/>
    <cellStyle name="20% - Accent1 2 2 6 3 3 2 5" xfId="6597"/>
    <cellStyle name="20% - Accent1 2 2 6 3 3 2 5 2" xfId="43869"/>
    <cellStyle name="20% - Accent1 2 2 6 3 3 2 6" xfId="18398"/>
    <cellStyle name="20% - Accent1 2 2 6 3 3 2 6 2" xfId="51274"/>
    <cellStyle name="20% - Accent1 2 2 6 3 3 2 7" xfId="32013"/>
    <cellStyle name="20% - Accent1 2 2 6 3 3 3" xfId="2669"/>
    <cellStyle name="20% - Accent1 2 2 6 3 3 3 2" xfId="12057"/>
    <cellStyle name="20% - Accent1 2 2 6 3 3 3 2 2" xfId="23858"/>
    <cellStyle name="20% - Accent1 2 2 6 3 3 3 2 2 2" xfId="51275"/>
    <cellStyle name="20% - Accent1 2 2 6 3 3 3 2 3" xfId="37473"/>
    <cellStyle name="20% - Accent1 2 2 6 3 3 3 3" xfId="8122"/>
    <cellStyle name="20% - Accent1 2 2 6 3 3 3 3 2" xfId="43870"/>
    <cellStyle name="20% - Accent1 2 2 6 3 3 3 4" xfId="19923"/>
    <cellStyle name="20% - Accent1 2 2 6 3 3 3 4 2" xfId="51276"/>
    <cellStyle name="20% - Accent1 2 2 6 3 3 3 5" xfId="33538"/>
    <cellStyle name="20% - Accent1 2 2 6 3 3 4" xfId="12058"/>
    <cellStyle name="20% - Accent1 2 2 6 3 3 4 2" xfId="23859"/>
    <cellStyle name="20% - Accent1 2 2 6 3 3 4 2 2" xfId="43871"/>
    <cellStyle name="20% - Accent1 2 2 6 3 3 4 3" xfId="29424"/>
    <cellStyle name="20% - Accent1 2 2 6 3 3 4 3 2" xfId="43872"/>
    <cellStyle name="20% - Accent1 2 2 6 3 3 4 4" xfId="29425"/>
    <cellStyle name="20% - Accent1 2 2 6 3 3 4 4 2" xfId="51277"/>
    <cellStyle name="20% - Accent1 2 2 6 3 3 4 5" xfId="37474"/>
    <cellStyle name="20% - Accent1 2 2 6 3 3 5" xfId="12059"/>
    <cellStyle name="20% - Accent1 2 2 6 3 3 5 2" xfId="23860"/>
    <cellStyle name="20% - Accent1 2 2 6 3 3 5 2 2" xfId="51278"/>
    <cellStyle name="20% - Accent1 2 2 6 3 3 5 3" xfId="37475"/>
    <cellStyle name="20% - Accent1 2 2 6 3 3 6" xfId="6222"/>
    <cellStyle name="20% - Accent1 2 2 6 3 3 6 2" xfId="43873"/>
    <cellStyle name="20% - Accent1 2 2 6 3 3 7" xfId="18023"/>
    <cellStyle name="20% - Accent1 2 2 6 3 3 7 2" xfId="51279"/>
    <cellStyle name="20% - Accent1 2 2 6 3 3 8" xfId="31638"/>
    <cellStyle name="20% - Accent1 2 2 6 3 4" xfId="1144"/>
    <cellStyle name="20% - Accent1 2 2 6 3 4 2" xfId="5078"/>
    <cellStyle name="20% - Accent1 2 2 6 3 4 2 2" xfId="12060"/>
    <cellStyle name="20% - Accent1 2 2 6 3 4 2 2 2" xfId="23861"/>
    <cellStyle name="20% - Accent1 2 2 6 3 4 2 2 2 2" xfId="51280"/>
    <cellStyle name="20% - Accent1 2 2 6 3 4 2 2 3" xfId="37476"/>
    <cellStyle name="20% - Accent1 2 2 6 3 4 2 3" xfId="10531"/>
    <cellStyle name="20% - Accent1 2 2 6 3 4 2 3 2" xfId="43874"/>
    <cellStyle name="20% - Accent1 2 2 6 3 4 2 4" xfId="22332"/>
    <cellStyle name="20% - Accent1 2 2 6 3 4 2 4 2" xfId="51281"/>
    <cellStyle name="20% - Accent1 2 2 6 3 4 2 5" xfId="35947"/>
    <cellStyle name="20% - Accent1 2 2 6 3 4 3" xfId="3237"/>
    <cellStyle name="20% - Accent1 2 2 6 3 4 3 2" xfId="12061"/>
    <cellStyle name="20% - Accent1 2 2 6 3 4 3 2 2" xfId="23862"/>
    <cellStyle name="20% - Accent1 2 2 6 3 4 3 2 2 2" xfId="51282"/>
    <cellStyle name="20% - Accent1 2 2 6 3 4 3 2 3" xfId="37477"/>
    <cellStyle name="20% - Accent1 2 2 6 3 4 3 3" xfId="8690"/>
    <cellStyle name="20% - Accent1 2 2 6 3 4 3 3 2" xfId="43875"/>
    <cellStyle name="20% - Accent1 2 2 6 3 4 3 4" xfId="20491"/>
    <cellStyle name="20% - Accent1 2 2 6 3 4 3 4 2" xfId="51283"/>
    <cellStyle name="20% - Accent1 2 2 6 3 4 3 5" xfId="34106"/>
    <cellStyle name="20% - Accent1 2 2 6 3 4 4" xfId="12062"/>
    <cellStyle name="20% - Accent1 2 2 6 3 4 4 2" xfId="23863"/>
    <cellStyle name="20% - Accent1 2 2 6 3 4 4 2 2" xfId="51284"/>
    <cellStyle name="20% - Accent1 2 2 6 3 4 4 3" xfId="37478"/>
    <cellStyle name="20% - Accent1 2 2 6 3 4 5" xfId="6598"/>
    <cellStyle name="20% - Accent1 2 2 6 3 4 5 2" xfId="43876"/>
    <cellStyle name="20% - Accent1 2 2 6 3 4 6" xfId="18399"/>
    <cellStyle name="20% - Accent1 2 2 6 3 4 6 2" xfId="51285"/>
    <cellStyle name="20% - Accent1 2 2 6 3 4 7" xfId="32014"/>
    <cellStyle name="20% - Accent1 2 2 6 3 5" xfId="3942"/>
    <cellStyle name="20% - Accent1 2 2 6 3 5 2" xfId="12063"/>
    <cellStyle name="20% - Accent1 2 2 6 3 5 2 2" xfId="23864"/>
    <cellStyle name="20% - Accent1 2 2 6 3 5 2 2 2" xfId="51286"/>
    <cellStyle name="20% - Accent1 2 2 6 3 5 2 3" xfId="37479"/>
    <cellStyle name="20% - Accent1 2 2 6 3 5 3" xfId="9395"/>
    <cellStyle name="20% - Accent1 2 2 6 3 5 3 2" xfId="43877"/>
    <cellStyle name="20% - Accent1 2 2 6 3 5 4" xfId="21196"/>
    <cellStyle name="20% - Accent1 2 2 6 3 5 4 2" xfId="51287"/>
    <cellStyle name="20% - Accent1 2 2 6 3 5 5" xfId="34811"/>
    <cellStyle name="20% - Accent1 2 2 6 3 6" xfId="2101"/>
    <cellStyle name="20% - Accent1 2 2 6 3 6 2" xfId="12064"/>
    <cellStyle name="20% - Accent1 2 2 6 3 6 2 2" xfId="23865"/>
    <cellStyle name="20% - Accent1 2 2 6 3 6 2 2 2" xfId="51288"/>
    <cellStyle name="20% - Accent1 2 2 6 3 6 2 3" xfId="37480"/>
    <cellStyle name="20% - Accent1 2 2 6 3 6 3" xfId="7554"/>
    <cellStyle name="20% - Accent1 2 2 6 3 6 3 2" xfId="43878"/>
    <cellStyle name="20% - Accent1 2 2 6 3 6 4" xfId="19355"/>
    <cellStyle name="20% - Accent1 2 2 6 3 6 4 2" xfId="51289"/>
    <cellStyle name="20% - Accent1 2 2 6 3 6 5" xfId="32970"/>
    <cellStyle name="20% - Accent1 2 2 6 3 7" xfId="12065"/>
    <cellStyle name="20% - Accent1 2 2 6 3 7 2" xfId="23866"/>
    <cellStyle name="20% - Accent1 2 2 6 3 7 2 2" xfId="51290"/>
    <cellStyle name="20% - Accent1 2 2 6 3 7 3" xfId="37481"/>
    <cellStyle name="20% - Accent1 2 2 6 3 8" xfId="5654"/>
    <cellStyle name="20% - Accent1 2 2 6 3 8 2" xfId="43879"/>
    <cellStyle name="20% - Accent1 2 2 6 3 9" xfId="17455"/>
    <cellStyle name="20% - Accent1 2 2 6 3 9 2" xfId="51291"/>
    <cellStyle name="20% - Accent1 2 2 6 4" xfId="348"/>
    <cellStyle name="20% - Accent1 2 2 6 4 2" xfId="1145"/>
    <cellStyle name="20% - Accent1 2 2 6 4 2 2" xfId="4658"/>
    <cellStyle name="20% - Accent1 2 2 6 4 2 2 2" xfId="12066"/>
    <cellStyle name="20% - Accent1 2 2 6 4 2 2 2 2" xfId="23867"/>
    <cellStyle name="20% - Accent1 2 2 6 4 2 2 2 2 2" xfId="51292"/>
    <cellStyle name="20% - Accent1 2 2 6 4 2 2 2 3" xfId="37482"/>
    <cellStyle name="20% - Accent1 2 2 6 4 2 2 3" xfId="10111"/>
    <cellStyle name="20% - Accent1 2 2 6 4 2 2 3 2" xfId="43880"/>
    <cellStyle name="20% - Accent1 2 2 6 4 2 2 4" xfId="21912"/>
    <cellStyle name="20% - Accent1 2 2 6 4 2 2 4 2" xfId="51293"/>
    <cellStyle name="20% - Accent1 2 2 6 4 2 2 5" xfId="35527"/>
    <cellStyle name="20% - Accent1 2 2 6 4 2 3" xfId="2817"/>
    <cellStyle name="20% - Accent1 2 2 6 4 2 3 2" xfId="12067"/>
    <cellStyle name="20% - Accent1 2 2 6 4 2 3 2 2" xfId="23868"/>
    <cellStyle name="20% - Accent1 2 2 6 4 2 3 2 2 2" xfId="51294"/>
    <cellStyle name="20% - Accent1 2 2 6 4 2 3 2 3" xfId="37483"/>
    <cellStyle name="20% - Accent1 2 2 6 4 2 3 3" xfId="8270"/>
    <cellStyle name="20% - Accent1 2 2 6 4 2 3 3 2" xfId="43881"/>
    <cellStyle name="20% - Accent1 2 2 6 4 2 3 4" xfId="20071"/>
    <cellStyle name="20% - Accent1 2 2 6 4 2 3 4 2" xfId="51295"/>
    <cellStyle name="20% - Accent1 2 2 6 4 2 3 5" xfId="33686"/>
    <cellStyle name="20% - Accent1 2 2 6 4 2 4" xfId="12068"/>
    <cellStyle name="20% - Accent1 2 2 6 4 2 4 2" xfId="23869"/>
    <cellStyle name="20% - Accent1 2 2 6 4 2 4 2 2" xfId="51296"/>
    <cellStyle name="20% - Accent1 2 2 6 4 2 4 3" xfId="37484"/>
    <cellStyle name="20% - Accent1 2 2 6 4 2 5" xfId="6599"/>
    <cellStyle name="20% - Accent1 2 2 6 4 2 5 2" xfId="43882"/>
    <cellStyle name="20% - Accent1 2 2 6 4 2 6" xfId="18400"/>
    <cellStyle name="20% - Accent1 2 2 6 4 2 6 2" xfId="51297"/>
    <cellStyle name="20% - Accent1 2 2 6 4 2 7" xfId="32015"/>
    <cellStyle name="20% - Accent1 2 2 6 4 3" xfId="3385"/>
    <cellStyle name="20% - Accent1 2 2 6 4 3 2" xfId="5226"/>
    <cellStyle name="20% - Accent1 2 2 6 4 3 2 2" xfId="16696"/>
    <cellStyle name="20% - Accent1 2 2 6 4 3 2 2 2" xfId="28497"/>
    <cellStyle name="20% - Accent1 2 2 6 4 3 2 2 2 2" xfId="51298"/>
    <cellStyle name="20% - Accent1 2 2 6 4 3 2 2 3" xfId="42112"/>
    <cellStyle name="20% - Accent1 2 2 6 4 3 2 3" xfId="10679"/>
    <cellStyle name="20% - Accent1 2 2 6 4 3 2 3 2" xfId="51299"/>
    <cellStyle name="20% - Accent1 2 2 6 4 3 2 4" xfId="22480"/>
    <cellStyle name="20% - Accent1 2 2 6 4 3 2 4 2" xfId="51300"/>
    <cellStyle name="20% - Accent1 2 2 6 4 3 2 5" xfId="36095"/>
    <cellStyle name="20% - Accent1 2 2 6 4 3 3" xfId="12069"/>
    <cellStyle name="20% - Accent1 2 2 6 4 3 3 2" xfId="23870"/>
    <cellStyle name="20% - Accent1 2 2 6 4 3 3 2 2" xfId="51301"/>
    <cellStyle name="20% - Accent1 2 2 6 4 3 3 3" xfId="37485"/>
    <cellStyle name="20% - Accent1 2 2 6 4 3 4" xfId="8838"/>
    <cellStyle name="20% - Accent1 2 2 6 4 3 4 2" xfId="51302"/>
    <cellStyle name="20% - Accent1 2 2 6 4 3 5" xfId="20639"/>
    <cellStyle name="20% - Accent1 2 2 6 4 3 5 2" xfId="51303"/>
    <cellStyle name="20% - Accent1 2 2 6 4 3 6" xfId="34254"/>
    <cellStyle name="20% - Accent1 2 2 6 4 4" xfId="4090"/>
    <cellStyle name="20% - Accent1 2 2 6 4 4 2" xfId="12070"/>
    <cellStyle name="20% - Accent1 2 2 6 4 4 2 2" xfId="23871"/>
    <cellStyle name="20% - Accent1 2 2 6 4 4 2 2 2" xfId="51304"/>
    <cellStyle name="20% - Accent1 2 2 6 4 4 2 3" xfId="37486"/>
    <cellStyle name="20% - Accent1 2 2 6 4 4 3" xfId="9543"/>
    <cellStyle name="20% - Accent1 2 2 6 4 4 3 2" xfId="43883"/>
    <cellStyle name="20% - Accent1 2 2 6 4 4 4" xfId="21344"/>
    <cellStyle name="20% - Accent1 2 2 6 4 4 4 2" xfId="51305"/>
    <cellStyle name="20% - Accent1 2 2 6 4 4 5" xfId="34959"/>
    <cellStyle name="20% - Accent1 2 2 6 4 5" xfId="2249"/>
    <cellStyle name="20% - Accent1 2 2 6 4 5 2" xfId="16991"/>
    <cellStyle name="20% - Accent1 2 2 6 4 5 2 2" xfId="28792"/>
    <cellStyle name="20% - Accent1 2 2 6 4 5 2 2 2" xfId="51306"/>
    <cellStyle name="20% - Accent1 2 2 6 4 5 2 3" xfId="42407"/>
    <cellStyle name="20% - Accent1 2 2 6 4 5 3" xfId="7702"/>
    <cellStyle name="20% - Accent1 2 2 6 4 5 3 2" xfId="51307"/>
    <cellStyle name="20% - Accent1 2 2 6 4 5 4" xfId="19503"/>
    <cellStyle name="20% - Accent1 2 2 6 4 5 4 2" xfId="51308"/>
    <cellStyle name="20% - Accent1 2 2 6 4 5 5" xfId="33118"/>
    <cellStyle name="20% - Accent1 2 2 6 4 6" xfId="12071"/>
    <cellStyle name="20% - Accent1 2 2 6 4 6 2" xfId="23872"/>
    <cellStyle name="20% - Accent1 2 2 6 4 6 2 2" xfId="51309"/>
    <cellStyle name="20% - Accent1 2 2 6 4 6 3" xfId="37487"/>
    <cellStyle name="20% - Accent1 2 2 6 4 7" xfId="5802"/>
    <cellStyle name="20% - Accent1 2 2 6 4 7 2" xfId="51310"/>
    <cellStyle name="20% - Accent1 2 2 6 4 8" xfId="17603"/>
    <cellStyle name="20% - Accent1 2 2 6 4 8 2" xfId="51311"/>
    <cellStyle name="20% - Accent1 2 2 6 4 9" xfId="31218"/>
    <cellStyle name="20% - Accent1 2 2 6 5" xfId="626"/>
    <cellStyle name="20% - Accent1 2 2 6 5 2" xfId="1146"/>
    <cellStyle name="20% - Accent1 2 2 6 5 2 2" xfId="4368"/>
    <cellStyle name="20% - Accent1 2 2 6 5 2 2 2" xfId="12072"/>
    <cellStyle name="20% - Accent1 2 2 6 5 2 2 2 2" xfId="23873"/>
    <cellStyle name="20% - Accent1 2 2 6 5 2 2 2 2 2" xfId="51312"/>
    <cellStyle name="20% - Accent1 2 2 6 5 2 2 2 3" xfId="37488"/>
    <cellStyle name="20% - Accent1 2 2 6 5 2 2 3" xfId="9821"/>
    <cellStyle name="20% - Accent1 2 2 6 5 2 2 3 2" xfId="43884"/>
    <cellStyle name="20% - Accent1 2 2 6 5 2 2 4" xfId="21622"/>
    <cellStyle name="20% - Accent1 2 2 6 5 2 2 4 2" xfId="51313"/>
    <cellStyle name="20% - Accent1 2 2 6 5 2 2 5" xfId="35237"/>
    <cellStyle name="20% - Accent1 2 2 6 5 2 3" xfId="12073"/>
    <cellStyle name="20% - Accent1 2 2 6 5 2 3 2" xfId="23874"/>
    <cellStyle name="20% - Accent1 2 2 6 5 2 3 2 2" xfId="43885"/>
    <cellStyle name="20% - Accent1 2 2 6 5 2 3 3" xfId="29426"/>
    <cellStyle name="20% - Accent1 2 2 6 5 2 3 3 2" xfId="43886"/>
    <cellStyle name="20% - Accent1 2 2 6 5 2 3 4" xfId="29427"/>
    <cellStyle name="20% - Accent1 2 2 6 5 2 3 4 2" xfId="51314"/>
    <cellStyle name="20% - Accent1 2 2 6 5 2 3 5" xfId="37489"/>
    <cellStyle name="20% - Accent1 2 2 6 5 2 4" xfId="12074"/>
    <cellStyle name="20% - Accent1 2 2 6 5 2 4 2" xfId="23875"/>
    <cellStyle name="20% - Accent1 2 2 6 5 2 4 2 2" xfId="51315"/>
    <cellStyle name="20% - Accent1 2 2 6 5 2 4 3" xfId="37490"/>
    <cellStyle name="20% - Accent1 2 2 6 5 2 5" xfId="6600"/>
    <cellStyle name="20% - Accent1 2 2 6 5 2 5 2" xfId="43887"/>
    <cellStyle name="20% - Accent1 2 2 6 5 2 6" xfId="18401"/>
    <cellStyle name="20% - Accent1 2 2 6 5 2 6 2" xfId="51316"/>
    <cellStyle name="20% - Accent1 2 2 6 5 2 7" xfId="32016"/>
    <cellStyle name="20% - Accent1 2 2 6 5 3" xfId="2527"/>
    <cellStyle name="20% - Accent1 2 2 6 5 3 2" xfId="12075"/>
    <cellStyle name="20% - Accent1 2 2 6 5 3 2 2" xfId="23876"/>
    <cellStyle name="20% - Accent1 2 2 6 5 3 2 2 2" xfId="51317"/>
    <cellStyle name="20% - Accent1 2 2 6 5 3 2 3" xfId="37491"/>
    <cellStyle name="20% - Accent1 2 2 6 5 3 3" xfId="7980"/>
    <cellStyle name="20% - Accent1 2 2 6 5 3 3 2" xfId="43888"/>
    <cellStyle name="20% - Accent1 2 2 6 5 3 4" xfId="19781"/>
    <cellStyle name="20% - Accent1 2 2 6 5 3 4 2" xfId="51318"/>
    <cellStyle name="20% - Accent1 2 2 6 5 3 5" xfId="33396"/>
    <cellStyle name="20% - Accent1 2 2 6 5 4" xfId="12076"/>
    <cellStyle name="20% - Accent1 2 2 6 5 4 2" xfId="23877"/>
    <cellStyle name="20% - Accent1 2 2 6 5 4 2 2" xfId="43889"/>
    <cellStyle name="20% - Accent1 2 2 6 5 4 3" xfId="29428"/>
    <cellStyle name="20% - Accent1 2 2 6 5 4 3 2" xfId="43890"/>
    <cellStyle name="20% - Accent1 2 2 6 5 4 4" xfId="29429"/>
    <cellStyle name="20% - Accent1 2 2 6 5 4 4 2" xfId="51319"/>
    <cellStyle name="20% - Accent1 2 2 6 5 4 5" xfId="37492"/>
    <cellStyle name="20% - Accent1 2 2 6 5 5" xfId="12077"/>
    <cellStyle name="20% - Accent1 2 2 6 5 5 2" xfId="23878"/>
    <cellStyle name="20% - Accent1 2 2 6 5 5 2 2" xfId="51320"/>
    <cellStyle name="20% - Accent1 2 2 6 5 5 3" xfId="37493"/>
    <cellStyle name="20% - Accent1 2 2 6 5 6" xfId="6080"/>
    <cellStyle name="20% - Accent1 2 2 6 5 6 2" xfId="43891"/>
    <cellStyle name="20% - Accent1 2 2 6 5 7" xfId="17881"/>
    <cellStyle name="20% - Accent1 2 2 6 5 7 2" xfId="51321"/>
    <cellStyle name="20% - Accent1 2 2 6 5 8" xfId="31496"/>
    <cellStyle name="20% - Accent1 2 2 6 6" xfId="867"/>
    <cellStyle name="20% - Accent1 2 2 6 6 2" xfId="1147"/>
    <cellStyle name="20% - Accent1 2 2 6 6 2 2" xfId="4936"/>
    <cellStyle name="20% - Accent1 2 2 6 6 2 2 2" xfId="12078"/>
    <cellStyle name="20% - Accent1 2 2 6 6 2 2 2 2" xfId="23879"/>
    <cellStyle name="20% - Accent1 2 2 6 6 2 2 2 2 2" xfId="51322"/>
    <cellStyle name="20% - Accent1 2 2 6 6 2 2 2 3" xfId="37494"/>
    <cellStyle name="20% - Accent1 2 2 6 6 2 2 3" xfId="10389"/>
    <cellStyle name="20% - Accent1 2 2 6 6 2 2 3 2" xfId="43892"/>
    <cellStyle name="20% - Accent1 2 2 6 6 2 2 4" xfId="22190"/>
    <cellStyle name="20% - Accent1 2 2 6 6 2 2 4 2" xfId="51323"/>
    <cellStyle name="20% - Accent1 2 2 6 6 2 2 5" xfId="35805"/>
    <cellStyle name="20% - Accent1 2 2 6 6 2 3" xfId="12079"/>
    <cellStyle name="20% - Accent1 2 2 6 6 2 3 2" xfId="23880"/>
    <cellStyle name="20% - Accent1 2 2 6 6 2 3 2 2" xfId="43893"/>
    <cellStyle name="20% - Accent1 2 2 6 6 2 3 3" xfId="29430"/>
    <cellStyle name="20% - Accent1 2 2 6 6 2 3 3 2" xfId="43894"/>
    <cellStyle name="20% - Accent1 2 2 6 6 2 3 4" xfId="29431"/>
    <cellStyle name="20% - Accent1 2 2 6 6 2 3 4 2" xfId="51324"/>
    <cellStyle name="20% - Accent1 2 2 6 6 2 3 5" xfId="37495"/>
    <cellStyle name="20% - Accent1 2 2 6 6 2 4" xfId="12080"/>
    <cellStyle name="20% - Accent1 2 2 6 6 2 4 2" xfId="23881"/>
    <cellStyle name="20% - Accent1 2 2 6 6 2 4 2 2" xfId="51325"/>
    <cellStyle name="20% - Accent1 2 2 6 6 2 4 3" xfId="37496"/>
    <cellStyle name="20% - Accent1 2 2 6 6 2 5" xfId="6601"/>
    <cellStyle name="20% - Accent1 2 2 6 6 2 5 2" xfId="43895"/>
    <cellStyle name="20% - Accent1 2 2 6 6 2 6" xfId="18402"/>
    <cellStyle name="20% - Accent1 2 2 6 6 2 6 2" xfId="51326"/>
    <cellStyle name="20% - Accent1 2 2 6 6 2 7" xfId="32017"/>
    <cellStyle name="20% - Accent1 2 2 6 6 3" xfId="3095"/>
    <cellStyle name="20% - Accent1 2 2 6 6 3 2" xfId="12081"/>
    <cellStyle name="20% - Accent1 2 2 6 6 3 2 2" xfId="23882"/>
    <cellStyle name="20% - Accent1 2 2 6 6 3 2 2 2" xfId="51327"/>
    <cellStyle name="20% - Accent1 2 2 6 6 3 2 3" xfId="37497"/>
    <cellStyle name="20% - Accent1 2 2 6 6 3 3" xfId="8548"/>
    <cellStyle name="20% - Accent1 2 2 6 6 3 3 2" xfId="43896"/>
    <cellStyle name="20% - Accent1 2 2 6 6 3 4" xfId="20349"/>
    <cellStyle name="20% - Accent1 2 2 6 6 3 4 2" xfId="51328"/>
    <cellStyle name="20% - Accent1 2 2 6 6 3 5" xfId="33964"/>
    <cellStyle name="20% - Accent1 2 2 6 6 4" xfId="12082"/>
    <cellStyle name="20% - Accent1 2 2 6 6 4 2" xfId="23883"/>
    <cellStyle name="20% - Accent1 2 2 6 6 4 2 2" xfId="43897"/>
    <cellStyle name="20% - Accent1 2 2 6 6 4 3" xfId="29432"/>
    <cellStyle name="20% - Accent1 2 2 6 6 4 3 2" xfId="43898"/>
    <cellStyle name="20% - Accent1 2 2 6 6 4 4" xfId="29433"/>
    <cellStyle name="20% - Accent1 2 2 6 6 4 4 2" xfId="51329"/>
    <cellStyle name="20% - Accent1 2 2 6 6 4 5" xfId="37498"/>
    <cellStyle name="20% - Accent1 2 2 6 6 5" xfId="12083"/>
    <cellStyle name="20% - Accent1 2 2 6 6 5 2" xfId="23884"/>
    <cellStyle name="20% - Accent1 2 2 6 6 5 2 2" xfId="51330"/>
    <cellStyle name="20% - Accent1 2 2 6 6 5 3" xfId="37499"/>
    <cellStyle name="20% - Accent1 2 2 6 6 6" xfId="6321"/>
    <cellStyle name="20% - Accent1 2 2 6 6 6 2" xfId="43899"/>
    <cellStyle name="20% - Accent1 2 2 6 6 7" xfId="18122"/>
    <cellStyle name="20% - Accent1 2 2 6 6 7 2" xfId="51331"/>
    <cellStyle name="20% - Accent1 2 2 6 6 8" xfId="31737"/>
    <cellStyle name="20% - Accent1 2 2 6 7" xfId="1148"/>
    <cellStyle name="20% - Accent1 2 2 6 7 2" xfId="3800"/>
    <cellStyle name="20% - Accent1 2 2 6 7 2 2" xfId="12084"/>
    <cellStyle name="20% - Accent1 2 2 6 7 2 2 2" xfId="23885"/>
    <cellStyle name="20% - Accent1 2 2 6 7 2 2 2 2" xfId="51332"/>
    <cellStyle name="20% - Accent1 2 2 6 7 2 2 3" xfId="37500"/>
    <cellStyle name="20% - Accent1 2 2 6 7 2 3" xfId="9253"/>
    <cellStyle name="20% - Accent1 2 2 6 7 2 3 2" xfId="43900"/>
    <cellStyle name="20% - Accent1 2 2 6 7 2 4" xfId="21054"/>
    <cellStyle name="20% - Accent1 2 2 6 7 2 4 2" xfId="51333"/>
    <cellStyle name="20% - Accent1 2 2 6 7 2 5" xfId="34669"/>
    <cellStyle name="20% - Accent1 2 2 6 7 3" xfId="12085"/>
    <cellStyle name="20% - Accent1 2 2 6 7 3 2" xfId="23886"/>
    <cellStyle name="20% - Accent1 2 2 6 7 3 2 2" xfId="43901"/>
    <cellStyle name="20% - Accent1 2 2 6 7 3 3" xfId="29434"/>
    <cellStyle name="20% - Accent1 2 2 6 7 3 3 2" xfId="43902"/>
    <cellStyle name="20% - Accent1 2 2 6 7 3 4" xfId="29435"/>
    <cellStyle name="20% - Accent1 2 2 6 7 3 4 2" xfId="51334"/>
    <cellStyle name="20% - Accent1 2 2 6 7 3 5" xfId="37501"/>
    <cellStyle name="20% - Accent1 2 2 6 7 4" xfId="12086"/>
    <cellStyle name="20% - Accent1 2 2 6 7 4 2" xfId="23887"/>
    <cellStyle name="20% - Accent1 2 2 6 7 4 2 2" xfId="51335"/>
    <cellStyle name="20% - Accent1 2 2 6 7 4 3" xfId="37502"/>
    <cellStyle name="20% - Accent1 2 2 6 7 5" xfId="6602"/>
    <cellStyle name="20% - Accent1 2 2 6 7 5 2" xfId="43903"/>
    <cellStyle name="20% - Accent1 2 2 6 7 6" xfId="18403"/>
    <cellStyle name="20% - Accent1 2 2 6 7 6 2" xfId="51336"/>
    <cellStyle name="20% - Accent1 2 2 6 7 7" xfId="32018"/>
    <cellStyle name="20% - Accent1 2 2 6 8" xfId="3663"/>
    <cellStyle name="20% - Accent1 2 2 6 8 2" xfId="12087"/>
    <cellStyle name="20% - Accent1 2 2 6 8 2 2" xfId="23888"/>
    <cellStyle name="20% - Accent1 2 2 6 8 2 2 2" xfId="51337"/>
    <cellStyle name="20% - Accent1 2 2 6 8 2 3" xfId="37503"/>
    <cellStyle name="20% - Accent1 2 2 6 8 3" xfId="9116"/>
    <cellStyle name="20% - Accent1 2 2 6 8 3 2" xfId="43904"/>
    <cellStyle name="20% - Accent1 2 2 6 8 4" xfId="20917"/>
    <cellStyle name="20% - Accent1 2 2 6 8 4 2" xfId="51338"/>
    <cellStyle name="20% - Accent1 2 2 6 8 5" xfId="34532"/>
    <cellStyle name="20% - Accent1 2 2 6 9" xfId="1959"/>
    <cellStyle name="20% - Accent1 2 2 6 9 2" xfId="12088"/>
    <cellStyle name="20% - Accent1 2 2 6 9 2 2" xfId="23889"/>
    <cellStyle name="20% - Accent1 2 2 6 9 2 2 2" xfId="51339"/>
    <cellStyle name="20% - Accent1 2 2 6 9 2 3" xfId="37504"/>
    <cellStyle name="20% - Accent1 2 2 6 9 3" xfId="7412"/>
    <cellStyle name="20% - Accent1 2 2 6 9 3 2" xfId="43905"/>
    <cellStyle name="20% - Accent1 2 2 6 9 4" xfId="19213"/>
    <cellStyle name="20% - Accent1 2 2 6 9 4 2" xfId="51340"/>
    <cellStyle name="20% - Accent1 2 2 6 9 5" xfId="32828"/>
    <cellStyle name="20% - Accent1 2 2 7" xfId="73"/>
    <cellStyle name="20% - Accent1 2 2 7 10" xfId="5527"/>
    <cellStyle name="20% - Accent1 2 2 7 10 2" xfId="43906"/>
    <cellStyle name="20% - Accent1 2 2 7 11" xfId="17328"/>
    <cellStyle name="20% - Accent1 2 2 7 11 2" xfId="51341"/>
    <cellStyle name="20% - Accent1 2 2 7 12" xfId="30943"/>
    <cellStyle name="20% - Accent1 2 2 7 2" xfId="500"/>
    <cellStyle name="20% - Accent1 2 2 7 2 2" xfId="1149"/>
    <cellStyle name="20% - Accent1 2 2 7 2 2 2" xfId="4810"/>
    <cellStyle name="20% - Accent1 2 2 7 2 2 2 2" xfId="12089"/>
    <cellStyle name="20% - Accent1 2 2 7 2 2 2 2 2" xfId="23890"/>
    <cellStyle name="20% - Accent1 2 2 7 2 2 2 2 2 2" xfId="51342"/>
    <cellStyle name="20% - Accent1 2 2 7 2 2 2 2 3" xfId="37505"/>
    <cellStyle name="20% - Accent1 2 2 7 2 2 2 3" xfId="10263"/>
    <cellStyle name="20% - Accent1 2 2 7 2 2 2 3 2" xfId="43907"/>
    <cellStyle name="20% - Accent1 2 2 7 2 2 2 4" xfId="22064"/>
    <cellStyle name="20% - Accent1 2 2 7 2 2 2 4 2" xfId="51343"/>
    <cellStyle name="20% - Accent1 2 2 7 2 2 2 5" xfId="35679"/>
    <cellStyle name="20% - Accent1 2 2 7 2 2 3" xfId="2969"/>
    <cellStyle name="20% - Accent1 2 2 7 2 2 3 2" xfId="12090"/>
    <cellStyle name="20% - Accent1 2 2 7 2 2 3 2 2" xfId="23891"/>
    <cellStyle name="20% - Accent1 2 2 7 2 2 3 2 2 2" xfId="51344"/>
    <cellStyle name="20% - Accent1 2 2 7 2 2 3 2 3" xfId="37506"/>
    <cellStyle name="20% - Accent1 2 2 7 2 2 3 3" xfId="8422"/>
    <cellStyle name="20% - Accent1 2 2 7 2 2 3 3 2" xfId="43908"/>
    <cellStyle name="20% - Accent1 2 2 7 2 2 3 4" xfId="20223"/>
    <cellStyle name="20% - Accent1 2 2 7 2 2 3 4 2" xfId="51345"/>
    <cellStyle name="20% - Accent1 2 2 7 2 2 3 5" xfId="33838"/>
    <cellStyle name="20% - Accent1 2 2 7 2 2 4" xfId="12091"/>
    <cellStyle name="20% - Accent1 2 2 7 2 2 4 2" xfId="23892"/>
    <cellStyle name="20% - Accent1 2 2 7 2 2 4 2 2" xfId="51346"/>
    <cellStyle name="20% - Accent1 2 2 7 2 2 4 3" xfId="37507"/>
    <cellStyle name="20% - Accent1 2 2 7 2 2 5" xfId="6603"/>
    <cellStyle name="20% - Accent1 2 2 7 2 2 5 2" xfId="43909"/>
    <cellStyle name="20% - Accent1 2 2 7 2 2 6" xfId="18404"/>
    <cellStyle name="20% - Accent1 2 2 7 2 2 6 2" xfId="51347"/>
    <cellStyle name="20% - Accent1 2 2 7 2 2 7" xfId="32019"/>
    <cellStyle name="20% - Accent1 2 2 7 2 3" xfId="3537"/>
    <cellStyle name="20% - Accent1 2 2 7 2 3 2" xfId="5378"/>
    <cellStyle name="20% - Accent1 2 2 7 2 3 2 2" xfId="16848"/>
    <cellStyle name="20% - Accent1 2 2 7 2 3 2 2 2" xfId="28649"/>
    <cellStyle name="20% - Accent1 2 2 7 2 3 2 2 2 2" xfId="51348"/>
    <cellStyle name="20% - Accent1 2 2 7 2 3 2 2 3" xfId="42264"/>
    <cellStyle name="20% - Accent1 2 2 7 2 3 2 3" xfId="10831"/>
    <cellStyle name="20% - Accent1 2 2 7 2 3 2 3 2" xfId="51349"/>
    <cellStyle name="20% - Accent1 2 2 7 2 3 2 4" xfId="22632"/>
    <cellStyle name="20% - Accent1 2 2 7 2 3 2 4 2" xfId="51350"/>
    <cellStyle name="20% - Accent1 2 2 7 2 3 2 5" xfId="36247"/>
    <cellStyle name="20% - Accent1 2 2 7 2 3 3" xfId="12092"/>
    <cellStyle name="20% - Accent1 2 2 7 2 3 3 2" xfId="23893"/>
    <cellStyle name="20% - Accent1 2 2 7 2 3 3 2 2" xfId="51351"/>
    <cellStyle name="20% - Accent1 2 2 7 2 3 3 3" xfId="37508"/>
    <cellStyle name="20% - Accent1 2 2 7 2 3 4" xfId="8990"/>
    <cellStyle name="20% - Accent1 2 2 7 2 3 4 2" xfId="51352"/>
    <cellStyle name="20% - Accent1 2 2 7 2 3 5" xfId="20791"/>
    <cellStyle name="20% - Accent1 2 2 7 2 3 5 2" xfId="51353"/>
    <cellStyle name="20% - Accent1 2 2 7 2 3 6" xfId="34406"/>
    <cellStyle name="20% - Accent1 2 2 7 2 4" xfId="4242"/>
    <cellStyle name="20% - Accent1 2 2 7 2 4 2" xfId="12093"/>
    <cellStyle name="20% - Accent1 2 2 7 2 4 2 2" xfId="23894"/>
    <cellStyle name="20% - Accent1 2 2 7 2 4 2 2 2" xfId="51354"/>
    <cellStyle name="20% - Accent1 2 2 7 2 4 2 3" xfId="37509"/>
    <cellStyle name="20% - Accent1 2 2 7 2 4 3" xfId="9695"/>
    <cellStyle name="20% - Accent1 2 2 7 2 4 3 2" xfId="43910"/>
    <cellStyle name="20% - Accent1 2 2 7 2 4 4" xfId="21496"/>
    <cellStyle name="20% - Accent1 2 2 7 2 4 4 2" xfId="51355"/>
    <cellStyle name="20% - Accent1 2 2 7 2 4 5" xfId="35111"/>
    <cellStyle name="20% - Accent1 2 2 7 2 5" xfId="2401"/>
    <cellStyle name="20% - Accent1 2 2 7 2 5 2" xfId="16992"/>
    <cellStyle name="20% - Accent1 2 2 7 2 5 2 2" xfId="28793"/>
    <cellStyle name="20% - Accent1 2 2 7 2 5 2 2 2" xfId="51356"/>
    <cellStyle name="20% - Accent1 2 2 7 2 5 2 3" xfId="42408"/>
    <cellStyle name="20% - Accent1 2 2 7 2 5 3" xfId="7854"/>
    <cellStyle name="20% - Accent1 2 2 7 2 5 3 2" xfId="51357"/>
    <cellStyle name="20% - Accent1 2 2 7 2 5 4" xfId="19655"/>
    <cellStyle name="20% - Accent1 2 2 7 2 5 4 2" xfId="51358"/>
    <cellStyle name="20% - Accent1 2 2 7 2 5 5" xfId="33270"/>
    <cellStyle name="20% - Accent1 2 2 7 2 6" xfId="12094"/>
    <cellStyle name="20% - Accent1 2 2 7 2 6 2" xfId="23895"/>
    <cellStyle name="20% - Accent1 2 2 7 2 6 2 2" xfId="51359"/>
    <cellStyle name="20% - Accent1 2 2 7 2 6 3" xfId="37510"/>
    <cellStyle name="20% - Accent1 2 2 7 2 7" xfId="5954"/>
    <cellStyle name="20% - Accent1 2 2 7 2 7 2" xfId="51360"/>
    <cellStyle name="20% - Accent1 2 2 7 2 8" xfId="17755"/>
    <cellStyle name="20% - Accent1 2 2 7 2 8 2" xfId="51361"/>
    <cellStyle name="20% - Accent1 2 2 7 2 9" xfId="31370"/>
    <cellStyle name="20% - Accent1 2 2 7 3" xfId="363"/>
    <cellStyle name="20% - Accent1 2 2 7 3 2" xfId="1150"/>
    <cellStyle name="20% - Accent1 2 2 7 3 2 2" xfId="4673"/>
    <cellStyle name="20% - Accent1 2 2 7 3 2 2 2" xfId="12095"/>
    <cellStyle name="20% - Accent1 2 2 7 3 2 2 2 2" xfId="23896"/>
    <cellStyle name="20% - Accent1 2 2 7 3 2 2 2 2 2" xfId="51362"/>
    <cellStyle name="20% - Accent1 2 2 7 3 2 2 2 3" xfId="37511"/>
    <cellStyle name="20% - Accent1 2 2 7 3 2 2 3" xfId="10126"/>
    <cellStyle name="20% - Accent1 2 2 7 3 2 2 3 2" xfId="43911"/>
    <cellStyle name="20% - Accent1 2 2 7 3 2 2 4" xfId="21927"/>
    <cellStyle name="20% - Accent1 2 2 7 3 2 2 4 2" xfId="51363"/>
    <cellStyle name="20% - Accent1 2 2 7 3 2 2 5" xfId="35542"/>
    <cellStyle name="20% - Accent1 2 2 7 3 2 3" xfId="2832"/>
    <cellStyle name="20% - Accent1 2 2 7 3 2 3 2" xfId="12096"/>
    <cellStyle name="20% - Accent1 2 2 7 3 2 3 2 2" xfId="23897"/>
    <cellStyle name="20% - Accent1 2 2 7 3 2 3 2 2 2" xfId="51364"/>
    <cellStyle name="20% - Accent1 2 2 7 3 2 3 2 3" xfId="37512"/>
    <cellStyle name="20% - Accent1 2 2 7 3 2 3 3" xfId="8285"/>
    <cellStyle name="20% - Accent1 2 2 7 3 2 3 3 2" xfId="43912"/>
    <cellStyle name="20% - Accent1 2 2 7 3 2 3 4" xfId="20086"/>
    <cellStyle name="20% - Accent1 2 2 7 3 2 3 4 2" xfId="51365"/>
    <cellStyle name="20% - Accent1 2 2 7 3 2 3 5" xfId="33701"/>
    <cellStyle name="20% - Accent1 2 2 7 3 2 4" xfId="12097"/>
    <cellStyle name="20% - Accent1 2 2 7 3 2 4 2" xfId="23898"/>
    <cellStyle name="20% - Accent1 2 2 7 3 2 4 2 2" xfId="51366"/>
    <cellStyle name="20% - Accent1 2 2 7 3 2 4 3" xfId="37513"/>
    <cellStyle name="20% - Accent1 2 2 7 3 2 5" xfId="6604"/>
    <cellStyle name="20% - Accent1 2 2 7 3 2 5 2" xfId="43913"/>
    <cellStyle name="20% - Accent1 2 2 7 3 2 6" xfId="18405"/>
    <cellStyle name="20% - Accent1 2 2 7 3 2 6 2" xfId="51367"/>
    <cellStyle name="20% - Accent1 2 2 7 3 2 7" xfId="32020"/>
    <cellStyle name="20% - Accent1 2 2 7 3 3" xfId="3400"/>
    <cellStyle name="20% - Accent1 2 2 7 3 3 2" xfId="5241"/>
    <cellStyle name="20% - Accent1 2 2 7 3 3 2 2" xfId="16711"/>
    <cellStyle name="20% - Accent1 2 2 7 3 3 2 2 2" xfId="28512"/>
    <cellStyle name="20% - Accent1 2 2 7 3 3 2 2 2 2" xfId="51368"/>
    <cellStyle name="20% - Accent1 2 2 7 3 3 2 2 3" xfId="42127"/>
    <cellStyle name="20% - Accent1 2 2 7 3 3 2 3" xfId="10694"/>
    <cellStyle name="20% - Accent1 2 2 7 3 3 2 3 2" xfId="51369"/>
    <cellStyle name="20% - Accent1 2 2 7 3 3 2 4" xfId="22495"/>
    <cellStyle name="20% - Accent1 2 2 7 3 3 2 4 2" xfId="51370"/>
    <cellStyle name="20% - Accent1 2 2 7 3 3 2 5" xfId="36110"/>
    <cellStyle name="20% - Accent1 2 2 7 3 3 3" xfId="12098"/>
    <cellStyle name="20% - Accent1 2 2 7 3 3 3 2" xfId="23899"/>
    <cellStyle name="20% - Accent1 2 2 7 3 3 3 2 2" xfId="51371"/>
    <cellStyle name="20% - Accent1 2 2 7 3 3 3 3" xfId="37514"/>
    <cellStyle name="20% - Accent1 2 2 7 3 3 4" xfId="8853"/>
    <cellStyle name="20% - Accent1 2 2 7 3 3 4 2" xfId="51372"/>
    <cellStyle name="20% - Accent1 2 2 7 3 3 5" xfId="20654"/>
    <cellStyle name="20% - Accent1 2 2 7 3 3 5 2" xfId="51373"/>
    <cellStyle name="20% - Accent1 2 2 7 3 3 6" xfId="34269"/>
    <cellStyle name="20% - Accent1 2 2 7 3 4" xfId="4105"/>
    <cellStyle name="20% - Accent1 2 2 7 3 4 2" xfId="12099"/>
    <cellStyle name="20% - Accent1 2 2 7 3 4 2 2" xfId="23900"/>
    <cellStyle name="20% - Accent1 2 2 7 3 4 2 2 2" xfId="51374"/>
    <cellStyle name="20% - Accent1 2 2 7 3 4 2 3" xfId="37515"/>
    <cellStyle name="20% - Accent1 2 2 7 3 4 3" xfId="9558"/>
    <cellStyle name="20% - Accent1 2 2 7 3 4 3 2" xfId="43914"/>
    <cellStyle name="20% - Accent1 2 2 7 3 4 4" xfId="21359"/>
    <cellStyle name="20% - Accent1 2 2 7 3 4 4 2" xfId="51375"/>
    <cellStyle name="20% - Accent1 2 2 7 3 4 5" xfId="34974"/>
    <cellStyle name="20% - Accent1 2 2 7 3 5" xfId="2264"/>
    <cellStyle name="20% - Accent1 2 2 7 3 5 2" xfId="16993"/>
    <cellStyle name="20% - Accent1 2 2 7 3 5 2 2" xfId="28794"/>
    <cellStyle name="20% - Accent1 2 2 7 3 5 2 2 2" xfId="51376"/>
    <cellStyle name="20% - Accent1 2 2 7 3 5 2 3" xfId="42409"/>
    <cellStyle name="20% - Accent1 2 2 7 3 5 3" xfId="7717"/>
    <cellStyle name="20% - Accent1 2 2 7 3 5 3 2" xfId="51377"/>
    <cellStyle name="20% - Accent1 2 2 7 3 5 4" xfId="19518"/>
    <cellStyle name="20% - Accent1 2 2 7 3 5 4 2" xfId="51378"/>
    <cellStyle name="20% - Accent1 2 2 7 3 5 5" xfId="33133"/>
    <cellStyle name="20% - Accent1 2 2 7 3 6" xfId="12100"/>
    <cellStyle name="20% - Accent1 2 2 7 3 6 2" xfId="23901"/>
    <cellStyle name="20% - Accent1 2 2 7 3 6 2 2" xfId="51379"/>
    <cellStyle name="20% - Accent1 2 2 7 3 6 3" xfId="37516"/>
    <cellStyle name="20% - Accent1 2 2 7 3 7" xfId="5817"/>
    <cellStyle name="20% - Accent1 2 2 7 3 7 2" xfId="51380"/>
    <cellStyle name="20% - Accent1 2 2 7 3 8" xfId="17618"/>
    <cellStyle name="20% - Accent1 2 2 7 3 8 2" xfId="51381"/>
    <cellStyle name="20% - Accent1 2 2 7 3 9" xfId="31233"/>
    <cellStyle name="20% - Accent1 2 2 7 4" xfId="641"/>
    <cellStyle name="20% - Accent1 2 2 7 4 2" xfId="1151"/>
    <cellStyle name="20% - Accent1 2 2 7 4 2 2" xfId="4383"/>
    <cellStyle name="20% - Accent1 2 2 7 4 2 2 2" xfId="12101"/>
    <cellStyle name="20% - Accent1 2 2 7 4 2 2 2 2" xfId="23902"/>
    <cellStyle name="20% - Accent1 2 2 7 4 2 2 2 2 2" xfId="51382"/>
    <cellStyle name="20% - Accent1 2 2 7 4 2 2 2 3" xfId="37517"/>
    <cellStyle name="20% - Accent1 2 2 7 4 2 2 3" xfId="9836"/>
    <cellStyle name="20% - Accent1 2 2 7 4 2 2 3 2" xfId="43915"/>
    <cellStyle name="20% - Accent1 2 2 7 4 2 2 4" xfId="21637"/>
    <cellStyle name="20% - Accent1 2 2 7 4 2 2 4 2" xfId="51383"/>
    <cellStyle name="20% - Accent1 2 2 7 4 2 2 5" xfId="35252"/>
    <cellStyle name="20% - Accent1 2 2 7 4 2 3" xfId="12102"/>
    <cellStyle name="20% - Accent1 2 2 7 4 2 3 2" xfId="23903"/>
    <cellStyle name="20% - Accent1 2 2 7 4 2 3 2 2" xfId="43916"/>
    <cellStyle name="20% - Accent1 2 2 7 4 2 3 3" xfId="29436"/>
    <cellStyle name="20% - Accent1 2 2 7 4 2 3 3 2" xfId="43917"/>
    <cellStyle name="20% - Accent1 2 2 7 4 2 3 4" xfId="29437"/>
    <cellStyle name="20% - Accent1 2 2 7 4 2 3 4 2" xfId="51384"/>
    <cellStyle name="20% - Accent1 2 2 7 4 2 3 5" xfId="37518"/>
    <cellStyle name="20% - Accent1 2 2 7 4 2 4" xfId="12103"/>
    <cellStyle name="20% - Accent1 2 2 7 4 2 4 2" xfId="23904"/>
    <cellStyle name="20% - Accent1 2 2 7 4 2 4 2 2" xfId="51385"/>
    <cellStyle name="20% - Accent1 2 2 7 4 2 4 3" xfId="37519"/>
    <cellStyle name="20% - Accent1 2 2 7 4 2 5" xfId="6605"/>
    <cellStyle name="20% - Accent1 2 2 7 4 2 5 2" xfId="43918"/>
    <cellStyle name="20% - Accent1 2 2 7 4 2 6" xfId="18406"/>
    <cellStyle name="20% - Accent1 2 2 7 4 2 6 2" xfId="51386"/>
    <cellStyle name="20% - Accent1 2 2 7 4 2 7" xfId="32021"/>
    <cellStyle name="20% - Accent1 2 2 7 4 3" xfId="2542"/>
    <cellStyle name="20% - Accent1 2 2 7 4 3 2" xfId="12104"/>
    <cellStyle name="20% - Accent1 2 2 7 4 3 2 2" xfId="23905"/>
    <cellStyle name="20% - Accent1 2 2 7 4 3 2 2 2" xfId="51387"/>
    <cellStyle name="20% - Accent1 2 2 7 4 3 2 3" xfId="37520"/>
    <cellStyle name="20% - Accent1 2 2 7 4 3 3" xfId="7995"/>
    <cellStyle name="20% - Accent1 2 2 7 4 3 3 2" xfId="43919"/>
    <cellStyle name="20% - Accent1 2 2 7 4 3 4" xfId="19796"/>
    <cellStyle name="20% - Accent1 2 2 7 4 3 4 2" xfId="51388"/>
    <cellStyle name="20% - Accent1 2 2 7 4 3 5" xfId="33411"/>
    <cellStyle name="20% - Accent1 2 2 7 4 4" xfId="12105"/>
    <cellStyle name="20% - Accent1 2 2 7 4 4 2" xfId="23906"/>
    <cellStyle name="20% - Accent1 2 2 7 4 4 2 2" xfId="43920"/>
    <cellStyle name="20% - Accent1 2 2 7 4 4 3" xfId="29438"/>
    <cellStyle name="20% - Accent1 2 2 7 4 4 3 2" xfId="43921"/>
    <cellStyle name="20% - Accent1 2 2 7 4 4 4" xfId="29439"/>
    <cellStyle name="20% - Accent1 2 2 7 4 4 4 2" xfId="51389"/>
    <cellStyle name="20% - Accent1 2 2 7 4 4 5" xfId="37521"/>
    <cellStyle name="20% - Accent1 2 2 7 4 5" xfId="12106"/>
    <cellStyle name="20% - Accent1 2 2 7 4 5 2" xfId="23907"/>
    <cellStyle name="20% - Accent1 2 2 7 4 5 2 2" xfId="51390"/>
    <cellStyle name="20% - Accent1 2 2 7 4 5 3" xfId="37522"/>
    <cellStyle name="20% - Accent1 2 2 7 4 6" xfId="6095"/>
    <cellStyle name="20% - Accent1 2 2 7 4 6 2" xfId="43922"/>
    <cellStyle name="20% - Accent1 2 2 7 4 7" xfId="17896"/>
    <cellStyle name="20% - Accent1 2 2 7 4 7 2" xfId="51391"/>
    <cellStyle name="20% - Accent1 2 2 7 4 8" xfId="31511"/>
    <cellStyle name="20% - Accent1 2 2 7 5" xfId="882"/>
    <cellStyle name="20% - Accent1 2 2 7 5 2" xfId="1152"/>
    <cellStyle name="20% - Accent1 2 2 7 5 2 2" xfId="4951"/>
    <cellStyle name="20% - Accent1 2 2 7 5 2 2 2" xfId="12107"/>
    <cellStyle name="20% - Accent1 2 2 7 5 2 2 2 2" xfId="23908"/>
    <cellStyle name="20% - Accent1 2 2 7 5 2 2 2 2 2" xfId="51392"/>
    <cellStyle name="20% - Accent1 2 2 7 5 2 2 2 3" xfId="37523"/>
    <cellStyle name="20% - Accent1 2 2 7 5 2 2 3" xfId="10404"/>
    <cellStyle name="20% - Accent1 2 2 7 5 2 2 3 2" xfId="43923"/>
    <cellStyle name="20% - Accent1 2 2 7 5 2 2 4" xfId="22205"/>
    <cellStyle name="20% - Accent1 2 2 7 5 2 2 4 2" xfId="51393"/>
    <cellStyle name="20% - Accent1 2 2 7 5 2 2 5" xfId="35820"/>
    <cellStyle name="20% - Accent1 2 2 7 5 2 3" xfId="12108"/>
    <cellStyle name="20% - Accent1 2 2 7 5 2 3 2" xfId="23909"/>
    <cellStyle name="20% - Accent1 2 2 7 5 2 3 2 2" xfId="43924"/>
    <cellStyle name="20% - Accent1 2 2 7 5 2 3 3" xfId="29440"/>
    <cellStyle name="20% - Accent1 2 2 7 5 2 3 3 2" xfId="43925"/>
    <cellStyle name="20% - Accent1 2 2 7 5 2 3 4" xfId="29441"/>
    <cellStyle name="20% - Accent1 2 2 7 5 2 3 4 2" xfId="51394"/>
    <cellStyle name="20% - Accent1 2 2 7 5 2 3 5" xfId="37524"/>
    <cellStyle name="20% - Accent1 2 2 7 5 2 4" xfId="12109"/>
    <cellStyle name="20% - Accent1 2 2 7 5 2 4 2" xfId="23910"/>
    <cellStyle name="20% - Accent1 2 2 7 5 2 4 2 2" xfId="51395"/>
    <cellStyle name="20% - Accent1 2 2 7 5 2 4 3" xfId="37525"/>
    <cellStyle name="20% - Accent1 2 2 7 5 2 5" xfId="6606"/>
    <cellStyle name="20% - Accent1 2 2 7 5 2 5 2" xfId="43926"/>
    <cellStyle name="20% - Accent1 2 2 7 5 2 6" xfId="18407"/>
    <cellStyle name="20% - Accent1 2 2 7 5 2 6 2" xfId="51396"/>
    <cellStyle name="20% - Accent1 2 2 7 5 2 7" xfId="32022"/>
    <cellStyle name="20% - Accent1 2 2 7 5 3" xfId="3110"/>
    <cellStyle name="20% - Accent1 2 2 7 5 3 2" xfId="12110"/>
    <cellStyle name="20% - Accent1 2 2 7 5 3 2 2" xfId="23911"/>
    <cellStyle name="20% - Accent1 2 2 7 5 3 2 2 2" xfId="51397"/>
    <cellStyle name="20% - Accent1 2 2 7 5 3 2 3" xfId="37526"/>
    <cellStyle name="20% - Accent1 2 2 7 5 3 3" xfId="8563"/>
    <cellStyle name="20% - Accent1 2 2 7 5 3 3 2" xfId="43927"/>
    <cellStyle name="20% - Accent1 2 2 7 5 3 4" xfId="20364"/>
    <cellStyle name="20% - Accent1 2 2 7 5 3 4 2" xfId="51398"/>
    <cellStyle name="20% - Accent1 2 2 7 5 3 5" xfId="33979"/>
    <cellStyle name="20% - Accent1 2 2 7 5 4" xfId="12111"/>
    <cellStyle name="20% - Accent1 2 2 7 5 4 2" xfId="23912"/>
    <cellStyle name="20% - Accent1 2 2 7 5 4 2 2" xfId="43928"/>
    <cellStyle name="20% - Accent1 2 2 7 5 4 3" xfId="29442"/>
    <cellStyle name="20% - Accent1 2 2 7 5 4 3 2" xfId="43929"/>
    <cellStyle name="20% - Accent1 2 2 7 5 4 4" xfId="29443"/>
    <cellStyle name="20% - Accent1 2 2 7 5 4 4 2" xfId="51399"/>
    <cellStyle name="20% - Accent1 2 2 7 5 4 5" xfId="37527"/>
    <cellStyle name="20% - Accent1 2 2 7 5 5" xfId="12112"/>
    <cellStyle name="20% - Accent1 2 2 7 5 5 2" xfId="23913"/>
    <cellStyle name="20% - Accent1 2 2 7 5 5 2 2" xfId="51400"/>
    <cellStyle name="20% - Accent1 2 2 7 5 5 3" xfId="37528"/>
    <cellStyle name="20% - Accent1 2 2 7 5 6" xfId="6336"/>
    <cellStyle name="20% - Accent1 2 2 7 5 6 2" xfId="43930"/>
    <cellStyle name="20% - Accent1 2 2 7 5 7" xfId="18137"/>
    <cellStyle name="20% - Accent1 2 2 7 5 7 2" xfId="51401"/>
    <cellStyle name="20% - Accent1 2 2 7 5 8" xfId="31752"/>
    <cellStyle name="20% - Accent1 2 2 7 6" xfId="1153"/>
    <cellStyle name="20% - Accent1 2 2 7 6 2" xfId="3815"/>
    <cellStyle name="20% - Accent1 2 2 7 6 2 2" xfId="12113"/>
    <cellStyle name="20% - Accent1 2 2 7 6 2 2 2" xfId="23914"/>
    <cellStyle name="20% - Accent1 2 2 7 6 2 2 2 2" xfId="51402"/>
    <cellStyle name="20% - Accent1 2 2 7 6 2 2 3" xfId="37529"/>
    <cellStyle name="20% - Accent1 2 2 7 6 2 3" xfId="9268"/>
    <cellStyle name="20% - Accent1 2 2 7 6 2 3 2" xfId="43931"/>
    <cellStyle name="20% - Accent1 2 2 7 6 2 4" xfId="21069"/>
    <cellStyle name="20% - Accent1 2 2 7 6 2 4 2" xfId="51403"/>
    <cellStyle name="20% - Accent1 2 2 7 6 2 5" xfId="34684"/>
    <cellStyle name="20% - Accent1 2 2 7 6 3" xfId="12114"/>
    <cellStyle name="20% - Accent1 2 2 7 6 3 2" xfId="23915"/>
    <cellStyle name="20% - Accent1 2 2 7 6 3 2 2" xfId="43932"/>
    <cellStyle name="20% - Accent1 2 2 7 6 3 3" xfId="29444"/>
    <cellStyle name="20% - Accent1 2 2 7 6 3 3 2" xfId="43933"/>
    <cellStyle name="20% - Accent1 2 2 7 6 3 4" xfId="29445"/>
    <cellStyle name="20% - Accent1 2 2 7 6 3 4 2" xfId="51404"/>
    <cellStyle name="20% - Accent1 2 2 7 6 3 5" xfId="37530"/>
    <cellStyle name="20% - Accent1 2 2 7 6 4" xfId="12115"/>
    <cellStyle name="20% - Accent1 2 2 7 6 4 2" xfId="23916"/>
    <cellStyle name="20% - Accent1 2 2 7 6 4 2 2" xfId="51405"/>
    <cellStyle name="20% - Accent1 2 2 7 6 4 3" xfId="37531"/>
    <cellStyle name="20% - Accent1 2 2 7 6 5" xfId="6607"/>
    <cellStyle name="20% - Accent1 2 2 7 6 5 2" xfId="43934"/>
    <cellStyle name="20% - Accent1 2 2 7 6 6" xfId="18408"/>
    <cellStyle name="20% - Accent1 2 2 7 6 6 2" xfId="51406"/>
    <cellStyle name="20% - Accent1 2 2 7 6 7" xfId="32023"/>
    <cellStyle name="20% - Accent1 2 2 7 7" xfId="3678"/>
    <cellStyle name="20% - Accent1 2 2 7 7 2" xfId="12116"/>
    <cellStyle name="20% - Accent1 2 2 7 7 2 2" xfId="23917"/>
    <cellStyle name="20% - Accent1 2 2 7 7 2 2 2" xfId="51407"/>
    <cellStyle name="20% - Accent1 2 2 7 7 2 3" xfId="37532"/>
    <cellStyle name="20% - Accent1 2 2 7 7 3" xfId="9131"/>
    <cellStyle name="20% - Accent1 2 2 7 7 3 2" xfId="43935"/>
    <cellStyle name="20% - Accent1 2 2 7 7 4" xfId="20932"/>
    <cellStyle name="20% - Accent1 2 2 7 7 4 2" xfId="51408"/>
    <cellStyle name="20% - Accent1 2 2 7 7 5" xfId="34547"/>
    <cellStyle name="20% - Accent1 2 2 7 8" xfId="1974"/>
    <cellStyle name="20% - Accent1 2 2 7 8 2" xfId="12117"/>
    <cellStyle name="20% - Accent1 2 2 7 8 2 2" xfId="23918"/>
    <cellStyle name="20% - Accent1 2 2 7 8 2 2 2" xfId="51409"/>
    <cellStyle name="20% - Accent1 2 2 7 8 2 3" xfId="37533"/>
    <cellStyle name="20% - Accent1 2 2 7 8 3" xfId="7427"/>
    <cellStyle name="20% - Accent1 2 2 7 8 3 2" xfId="43936"/>
    <cellStyle name="20% - Accent1 2 2 7 8 4" xfId="19228"/>
    <cellStyle name="20% - Accent1 2 2 7 8 4 2" xfId="51410"/>
    <cellStyle name="20% - Accent1 2 2 7 8 5" xfId="32843"/>
    <cellStyle name="20% - Accent1 2 2 7 9" xfId="12118"/>
    <cellStyle name="20% - Accent1 2 2 7 9 2" xfId="23919"/>
    <cellStyle name="20% - Accent1 2 2 7 9 2 2" xfId="51411"/>
    <cellStyle name="20% - Accent1 2 2 7 9 3" xfId="37534"/>
    <cellStyle name="20% - Accent1 2 2 8" xfId="144"/>
    <cellStyle name="20% - Accent1 2 2 8 10" xfId="31014"/>
    <cellStyle name="20% - Accent1 2 2 8 2" xfId="296"/>
    <cellStyle name="20% - Accent1 2 2 8 2 2" xfId="1154"/>
    <cellStyle name="20% - Accent1 2 2 8 2 2 2" xfId="4606"/>
    <cellStyle name="20% - Accent1 2 2 8 2 2 2 2" xfId="12119"/>
    <cellStyle name="20% - Accent1 2 2 8 2 2 2 2 2" xfId="23920"/>
    <cellStyle name="20% - Accent1 2 2 8 2 2 2 2 2 2" xfId="51412"/>
    <cellStyle name="20% - Accent1 2 2 8 2 2 2 2 3" xfId="37535"/>
    <cellStyle name="20% - Accent1 2 2 8 2 2 2 3" xfId="10059"/>
    <cellStyle name="20% - Accent1 2 2 8 2 2 2 3 2" xfId="43937"/>
    <cellStyle name="20% - Accent1 2 2 8 2 2 2 4" xfId="21860"/>
    <cellStyle name="20% - Accent1 2 2 8 2 2 2 4 2" xfId="51413"/>
    <cellStyle name="20% - Accent1 2 2 8 2 2 2 5" xfId="35475"/>
    <cellStyle name="20% - Accent1 2 2 8 2 2 3" xfId="2765"/>
    <cellStyle name="20% - Accent1 2 2 8 2 2 3 2" xfId="12120"/>
    <cellStyle name="20% - Accent1 2 2 8 2 2 3 2 2" xfId="23921"/>
    <cellStyle name="20% - Accent1 2 2 8 2 2 3 2 2 2" xfId="51414"/>
    <cellStyle name="20% - Accent1 2 2 8 2 2 3 2 3" xfId="37536"/>
    <cellStyle name="20% - Accent1 2 2 8 2 2 3 3" xfId="8218"/>
    <cellStyle name="20% - Accent1 2 2 8 2 2 3 3 2" xfId="43938"/>
    <cellStyle name="20% - Accent1 2 2 8 2 2 3 4" xfId="20019"/>
    <cellStyle name="20% - Accent1 2 2 8 2 2 3 4 2" xfId="51415"/>
    <cellStyle name="20% - Accent1 2 2 8 2 2 3 5" xfId="33634"/>
    <cellStyle name="20% - Accent1 2 2 8 2 2 4" xfId="12121"/>
    <cellStyle name="20% - Accent1 2 2 8 2 2 4 2" xfId="23922"/>
    <cellStyle name="20% - Accent1 2 2 8 2 2 4 2 2" xfId="51416"/>
    <cellStyle name="20% - Accent1 2 2 8 2 2 4 3" xfId="37537"/>
    <cellStyle name="20% - Accent1 2 2 8 2 2 5" xfId="6608"/>
    <cellStyle name="20% - Accent1 2 2 8 2 2 5 2" xfId="43939"/>
    <cellStyle name="20% - Accent1 2 2 8 2 2 6" xfId="18409"/>
    <cellStyle name="20% - Accent1 2 2 8 2 2 6 2" xfId="51417"/>
    <cellStyle name="20% - Accent1 2 2 8 2 2 7" xfId="32024"/>
    <cellStyle name="20% - Accent1 2 2 8 2 3" xfId="3333"/>
    <cellStyle name="20% - Accent1 2 2 8 2 3 2" xfId="5174"/>
    <cellStyle name="20% - Accent1 2 2 8 2 3 2 2" xfId="16644"/>
    <cellStyle name="20% - Accent1 2 2 8 2 3 2 2 2" xfId="28445"/>
    <cellStyle name="20% - Accent1 2 2 8 2 3 2 2 2 2" xfId="51418"/>
    <cellStyle name="20% - Accent1 2 2 8 2 3 2 2 3" xfId="42060"/>
    <cellStyle name="20% - Accent1 2 2 8 2 3 2 3" xfId="10627"/>
    <cellStyle name="20% - Accent1 2 2 8 2 3 2 3 2" xfId="51419"/>
    <cellStyle name="20% - Accent1 2 2 8 2 3 2 4" xfId="22428"/>
    <cellStyle name="20% - Accent1 2 2 8 2 3 2 4 2" xfId="51420"/>
    <cellStyle name="20% - Accent1 2 2 8 2 3 2 5" xfId="36043"/>
    <cellStyle name="20% - Accent1 2 2 8 2 3 3" xfId="12122"/>
    <cellStyle name="20% - Accent1 2 2 8 2 3 3 2" xfId="23923"/>
    <cellStyle name="20% - Accent1 2 2 8 2 3 3 2 2" xfId="51421"/>
    <cellStyle name="20% - Accent1 2 2 8 2 3 3 3" xfId="37538"/>
    <cellStyle name="20% - Accent1 2 2 8 2 3 4" xfId="8786"/>
    <cellStyle name="20% - Accent1 2 2 8 2 3 4 2" xfId="51422"/>
    <cellStyle name="20% - Accent1 2 2 8 2 3 5" xfId="20587"/>
    <cellStyle name="20% - Accent1 2 2 8 2 3 5 2" xfId="51423"/>
    <cellStyle name="20% - Accent1 2 2 8 2 3 6" xfId="34202"/>
    <cellStyle name="20% - Accent1 2 2 8 2 4" xfId="4038"/>
    <cellStyle name="20% - Accent1 2 2 8 2 4 2" xfId="12123"/>
    <cellStyle name="20% - Accent1 2 2 8 2 4 2 2" xfId="23924"/>
    <cellStyle name="20% - Accent1 2 2 8 2 4 2 2 2" xfId="51424"/>
    <cellStyle name="20% - Accent1 2 2 8 2 4 2 3" xfId="37539"/>
    <cellStyle name="20% - Accent1 2 2 8 2 4 3" xfId="9491"/>
    <cellStyle name="20% - Accent1 2 2 8 2 4 3 2" xfId="43940"/>
    <cellStyle name="20% - Accent1 2 2 8 2 4 4" xfId="21292"/>
    <cellStyle name="20% - Accent1 2 2 8 2 4 4 2" xfId="51425"/>
    <cellStyle name="20% - Accent1 2 2 8 2 4 5" xfId="34907"/>
    <cellStyle name="20% - Accent1 2 2 8 2 5" xfId="2197"/>
    <cellStyle name="20% - Accent1 2 2 8 2 5 2" xfId="16994"/>
    <cellStyle name="20% - Accent1 2 2 8 2 5 2 2" xfId="28795"/>
    <cellStyle name="20% - Accent1 2 2 8 2 5 2 2 2" xfId="51426"/>
    <cellStyle name="20% - Accent1 2 2 8 2 5 2 3" xfId="42410"/>
    <cellStyle name="20% - Accent1 2 2 8 2 5 3" xfId="7650"/>
    <cellStyle name="20% - Accent1 2 2 8 2 5 3 2" xfId="51427"/>
    <cellStyle name="20% - Accent1 2 2 8 2 5 4" xfId="19451"/>
    <cellStyle name="20% - Accent1 2 2 8 2 5 4 2" xfId="51428"/>
    <cellStyle name="20% - Accent1 2 2 8 2 5 5" xfId="33066"/>
    <cellStyle name="20% - Accent1 2 2 8 2 6" xfId="12124"/>
    <cellStyle name="20% - Accent1 2 2 8 2 6 2" xfId="23925"/>
    <cellStyle name="20% - Accent1 2 2 8 2 6 2 2" xfId="51429"/>
    <cellStyle name="20% - Accent1 2 2 8 2 6 3" xfId="37540"/>
    <cellStyle name="20% - Accent1 2 2 8 2 7" xfId="5750"/>
    <cellStyle name="20% - Accent1 2 2 8 2 7 2" xfId="51430"/>
    <cellStyle name="20% - Accent1 2 2 8 2 8" xfId="17551"/>
    <cellStyle name="20% - Accent1 2 2 8 2 8 2" xfId="51431"/>
    <cellStyle name="20% - Accent1 2 2 8 2 9" xfId="31166"/>
    <cellStyle name="20% - Accent1 2 2 8 3" xfId="712"/>
    <cellStyle name="20% - Accent1 2 2 8 3 2" xfId="1155"/>
    <cellStyle name="20% - Accent1 2 2 8 3 2 2" xfId="4454"/>
    <cellStyle name="20% - Accent1 2 2 8 3 2 2 2" xfId="12125"/>
    <cellStyle name="20% - Accent1 2 2 8 3 2 2 2 2" xfId="23926"/>
    <cellStyle name="20% - Accent1 2 2 8 3 2 2 2 2 2" xfId="51432"/>
    <cellStyle name="20% - Accent1 2 2 8 3 2 2 2 3" xfId="37541"/>
    <cellStyle name="20% - Accent1 2 2 8 3 2 2 3" xfId="9907"/>
    <cellStyle name="20% - Accent1 2 2 8 3 2 2 3 2" xfId="43941"/>
    <cellStyle name="20% - Accent1 2 2 8 3 2 2 4" xfId="21708"/>
    <cellStyle name="20% - Accent1 2 2 8 3 2 2 4 2" xfId="51433"/>
    <cellStyle name="20% - Accent1 2 2 8 3 2 2 5" xfId="35323"/>
    <cellStyle name="20% - Accent1 2 2 8 3 2 3" xfId="12126"/>
    <cellStyle name="20% - Accent1 2 2 8 3 2 3 2" xfId="23927"/>
    <cellStyle name="20% - Accent1 2 2 8 3 2 3 2 2" xfId="43942"/>
    <cellStyle name="20% - Accent1 2 2 8 3 2 3 3" xfId="29446"/>
    <cellStyle name="20% - Accent1 2 2 8 3 2 3 3 2" xfId="43943"/>
    <cellStyle name="20% - Accent1 2 2 8 3 2 3 4" xfId="29447"/>
    <cellStyle name="20% - Accent1 2 2 8 3 2 3 4 2" xfId="51434"/>
    <cellStyle name="20% - Accent1 2 2 8 3 2 3 5" xfId="37542"/>
    <cellStyle name="20% - Accent1 2 2 8 3 2 4" xfId="12127"/>
    <cellStyle name="20% - Accent1 2 2 8 3 2 4 2" xfId="23928"/>
    <cellStyle name="20% - Accent1 2 2 8 3 2 4 2 2" xfId="51435"/>
    <cellStyle name="20% - Accent1 2 2 8 3 2 4 3" xfId="37543"/>
    <cellStyle name="20% - Accent1 2 2 8 3 2 5" xfId="6609"/>
    <cellStyle name="20% - Accent1 2 2 8 3 2 5 2" xfId="43944"/>
    <cellStyle name="20% - Accent1 2 2 8 3 2 6" xfId="18410"/>
    <cellStyle name="20% - Accent1 2 2 8 3 2 6 2" xfId="51436"/>
    <cellStyle name="20% - Accent1 2 2 8 3 2 7" xfId="32025"/>
    <cellStyle name="20% - Accent1 2 2 8 3 3" xfId="2613"/>
    <cellStyle name="20% - Accent1 2 2 8 3 3 2" xfId="12128"/>
    <cellStyle name="20% - Accent1 2 2 8 3 3 2 2" xfId="23929"/>
    <cellStyle name="20% - Accent1 2 2 8 3 3 2 2 2" xfId="51437"/>
    <cellStyle name="20% - Accent1 2 2 8 3 3 2 3" xfId="37544"/>
    <cellStyle name="20% - Accent1 2 2 8 3 3 3" xfId="8066"/>
    <cellStyle name="20% - Accent1 2 2 8 3 3 3 2" xfId="43945"/>
    <cellStyle name="20% - Accent1 2 2 8 3 3 4" xfId="19867"/>
    <cellStyle name="20% - Accent1 2 2 8 3 3 4 2" xfId="51438"/>
    <cellStyle name="20% - Accent1 2 2 8 3 3 5" xfId="33482"/>
    <cellStyle name="20% - Accent1 2 2 8 3 4" xfId="12129"/>
    <cellStyle name="20% - Accent1 2 2 8 3 4 2" xfId="23930"/>
    <cellStyle name="20% - Accent1 2 2 8 3 4 2 2" xfId="43946"/>
    <cellStyle name="20% - Accent1 2 2 8 3 4 3" xfId="29448"/>
    <cellStyle name="20% - Accent1 2 2 8 3 4 3 2" xfId="43947"/>
    <cellStyle name="20% - Accent1 2 2 8 3 4 4" xfId="29449"/>
    <cellStyle name="20% - Accent1 2 2 8 3 4 4 2" xfId="51439"/>
    <cellStyle name="20% - Accent1 2 2 8 3 4 5" xfId="37545"/>
    <cellStyle name="20% - Accent1 2 2 8 3 5" xfId="12130"/>
    <cellStyle name="20% - Accent1 2 2 8 3 5 2" xfId="23931"/>
    <cellStyle name="20% - Accent1 2 2 8 3 5 2 2" xfId="51440"/>
    <cellStyle name="20% - Accent1 2 2 8 3 5 3" xfId="37546"/>
    <cellStyle name="20% - Accent1 2 2 8 3 6" xfId="6166"/>
    <cellStyle name="20% - Accent1 2 2 8 3 6 2" xfId="43948"/>
    <cellStyle name="20% - Accent1 2 2 8 3 7" xfId="17967"/>
    <cellStyle name="20% - Accent1 2 2 8 3 7 2" xfId="51441"/>
    <cellStyle name="20% - Accent1 2 2 8 3 8" xfId="31582"/>
    <cellStyle name="20% - Accent1 2 2 8 4" xfId="1156"/>
    <cellStyle name="20% - Accent1 2 2 8 4 2" xfId="5022"/>
    <cellStyle name="20% - Accent1 2 2 8 4 2 2" xfId="12131"/>
    <cellStyle name="20% - Accent1 2 2 8 4 2 2 2" xfId="23932"/>
    <cellStyle name="20% - Accent1 2 2 8 4 2 2 2 2" xfId="51442"/>
    <cellStyle name="20% - Accent1 2 2 8 4 2 2 3" xfId="37547"/>
    <cellStyle name="20% - Accent1 2 2 8 4 2 3" xfId="10475"/>
    <cellStyle name="20% - Accent1 2 2 8 4 2 3 2" xfId="43949"/>
    <cellStyle name="20% - Accent1 2 2 8 4 2 4" xfId="22276"/>
    <cellStyle name="20% - Accent1 2 2 8 4 2 4 2" xfId="51443"/>
    <cellStyle name="20% - Accent1 2 2 8 4 2 5" xfId="35891"/>
    <cellStyle name="20% - Accent1 2 2 8 4 3" xfId="3181"/>
    <cellStyle name="20% - Accent1 2 2 8 4 3 2" xfId="12132"/>
    <cellStyle name="20% - Accent1 2 2 8 4 3 2 2" xfId="23933"/>
    <cellStyle name="20% - Accent1 2 2 8 4 3 2 2 2" xfId="51444"/>
    <cellStyle name="20% - Accent1 2 2 8 4 3 2 3" xfId="37548"/>
    <cellStyle name="20% - Accent1 2 2 8 4 3 3" xfId="8634"/>
    <cellStyle name="20% - Accent1 2 2 8 4 3 3 2" xfId="43950"/>
    <cellStyle name="20% - Accent1 2 2 8 4 3 4" xfId="20435"/>
    <cellStyle name="20% - Accent1 2 2 8 4 3 4 2" xfId="51445"/>
    <cellStyle name="20% - Accent1 2 2 8 4 3 5" xfId="34050"/>
    <cellStyle name="20% - Accent1 2 2 8 4 4" xfId="12133"/>
    <cellStyle name="20% - Accent1 2 2 8 4 4 2" xfId="23934"/>
    <cellStyle name="20% - Accent1 2 2 8 4 4 2 2" xfId="51446"/>
    <cellStyle name="20% - Accent1 2 2 8 4 4 3" xfId="37549"/>
    <cellStyle name="20% - Accent1 2 2 8 4 5" xfId="6610"/>
    <cellStyle name="20% - Accent1 2 2 8 4 5 2" xfId="43951"/>
    <cellStyle name="20% - Accent1 2 2 8 4 6" xfId="18411"/>
    <cellStyle name="20% - Accent1 2 2 8 4 6 2" xfId="51447"/>
    <cellStyle name="20% - Accent1 2 2 8 4 7" xfId="32026"/>
    <cellStyle name="20% - Accent1 2 2 8 5" xfId="3886"/>
    <cellStyle name="20% - Accent1 2 2 8 5 2" xfId="12134"/>
    <cellStyle name="20% - Accent1 2 2 8 5 2 2" xfId="23935"/>
    <cellStyle name="20% - Accent1 2 2 8 5 2 2 2" xfId="51448"/>
    <cellStyle name="20% - Accent1 2 2 8 5 2 3" xfId="37550"/>
    <cellStyle name="20% - Accent1 2 2 8 5 3" xfId="9339"/>
    <cellStyle name="20% - Accent1 2 2 8 5 3 2" xfId="43952"/>
    <cellStyle name="20% - Accent1 2 2 8 5 4" xfId="21140"/>
    <cellStyle name="20% - Accent1 2 2 8 5 4 2" xfId="51449"/>
    <cellStyle name="20% - Accent1 2 2 8 5 5" xfId="34755"/>
    <cellStyle name="20% - Accent1 2 2 8 6" xfId="2045"/>
    <cellStyle name="20% - Accent1 2 2 8 6 2" xfId="12135"/>
    <cellStyle name="20% - Accent1 2 2 8 6 2 2" xfId="23936"/>
    <cellStyle name="20% - Accent1 2 2 8 6 2 2 2" xfId="51450"/>
    <cellStyle name="20% - Accent1 2 2 8 6 2 3" xfId="37551"/>
    <cellStyle name="20% - Accent1 2 2 8 6 3" xfId="7498"/>
    <cellStyle name="20% - Accent1 2 2 8 6 3 2" xfId="43953"/>
    <cellStyle name="20% - Accent1 2 2 8 6 4" xfId="19299"/>
    <cellStyle name="20% - Accent1 2 2 8 6 4 2" xfId="51451"/>
    <cellStyle name="20% - Accent1 2 2 8 6 5" xfId="32914"/>
    <cellStyle name="20% - Accent1 2 2 8 7" xfId="12136"/>
    <cellStyle name="20% - Accent1 2 2 8 7 2" xfId="23937"/>
    <cellStyle name="20% - Accent1 2 2 8 7 2 2" xfId="51452"/>
    <cellStyle name="20% - Accent1 2 2 8 7 3" xfId="37552"/>
    <cellStyle name="20% - Accent1 2 2 8 8" xfId="5598"/>
    <cellStyle name="20% - Accent1 2 2 8 8 2" xfId="43954"/>
    <cellStyle name="20% - Accent1 2 2 8 9" xfId="17399"/>
    <cellStyle name="20% - Accent1 2 2 8 9 2" xfId="51453"/>
    <cellStyle name="20% - Accent1 2 2 9" xfId="433"/>
    <cellStyle name="20% - Accent1 2 2 9 2" xfId="1157"/>
    <cellStyle name="20% - Accent1 2 2 9 2 2" xfId="4743"/>
    <cellStyle name="20% - Accent1 2 2 9 2 2 2" xfId="12137"/>
    <cellStyle name="20% - Accent1 2 2 9 2 2 2 2" xfId="23938"/>
    <cellStyle name="20% - Accent1 2 2 9 2 2 2 2 2" xfId="51454"/>
    <cellStyle name="20% - Accent1 2 2 9 2 2 2 3" xfId="37553"/>
    <cellStyle name="20% - Accent1 2 2 9 2 2 3" xfId="10196"/>
    <cellStyle name="20% - Accent1 2 2 9 2 2 3 2" xfId="43955"/>
    <cellStyle name="20% - Accent1 2 2 9 2 2 4" xfId="21997"/>
    <cellStyle name="20% - Accent1 2 2 9 2 2 4 2" xfId="51455"/>
    <cellStyle name="20% - Accent1 2 2 9 2 2 5" xfId="35612"/>
    <cellStyle name="20% - Accent1 2 2 9 2 3" xfId="2902"/>
    <cellStyle name="20% - Accent1 2 2 9 2 3 2" xfId="12138"/>
    <cellStyle name="20% - Accent1 2 2 9 2 3 2 2" xfId="23939"/>
    <cellStyle name="20% - Accent1 2 2 9 2 3 2 2 2" xfId="51456"/>
    <cellStyle name="20% - Accent1 2 2 9 2 3 2 3" xfId="37554"/>
    <cellStyle name="20% - Accent1 2 2 9 2 3 3" xfId="8355"/>
    <cellStyle name="20% - Accent1 2 2 9 2 3 3 2" xfId="43956"/>
    <cellStyle name="20% - Accent1 2 2 9 2 3 4" xfId="20156"/>
    <cellStyle name="20% - Accent1 2 2 9 2 3 4 2" xfId="51457"/>
    <cellStyle name="20% - Accent1 2 2 9 2 3 5" xfId="33771"/>
    <cellStyle name="20% - Accent1 2 2 9 2 4" xfId="12139"/>
    <cellStyle name="20% - Accent1 2 2 9 2 4 2" xfId="23940"/>
    <cellStyle name="20% - Accent1 2 2 9 2 4 2 2" xfId="51458"/>
    <cellStyle name="20% - Accent1 2 2 9 2 4 3" xfId="37555"/>
    <cellStyle name="20% - Accent1 2 2 9 2 5" xfId="6611"/>
    <cellStyle name="20% - Accent1 2 2 9 2 5 2" xfId="43957"/>
    <cellStyle name="20% - Accent1 2 2 9 2 6" xfId="18412"/>
    <cellStyle name="20% - Accent1 2 2 9 2 6 2" xfId="51459"/>
    <cellStyle name="20% - Accent1 2 2 9 2 7" xfId="32027"/>
    <cellStyle name="20% - Accent1 2 2 9 3" xfId="3470"/>
    <cellStyle name="20% - Accent1 2 2 9 3 2" xfId="5311"/>
    <cellStyle name="20% - Accent1 2 2 9 3 2 2" xfId="16781"/>
    <cellStyle name="20% - Accent1 2 2 9 3 2 2 2" xfId="28582"/>
    <cellStyle name="20% - Accent1 2 2 9 3 2 2 2 2" xfId="51460"/>
    <cellStyle name="20% - Accent1 2 2 9 3 2 2 3" xfId="42197"/>
    <cellStyle name="20% - Accent1 2 2 9 3 2 3" xfId="10764"/>
    <cellStyle name="20% - Accent1 2 2 9 3 2 3 2" xfId="51461"/>
    <cellStyle name="20% - Accent1 2 2 9 3 2 4" xfId="22565"/>
    <cellStyle name="20% - Accent1 2 2 9 3 2 4 2" xfId="51462"/>
    <cellStyle name="20% - Accent1 2 2 9 3 2 5" xfId="36180"/>
    <cellStyle name="20% - Accent1 2 2 9 3 3" xfId="12140"/>
    <cellStyle name="20% - Accent1 2 2 9 3 3 2" xfId="23941"/>
    <cellStyle name="20% - Accent1 2 2 9 3 3 2 2" xfId="51463"/>
    <cellStyle name="20% - Accent1 2 2 9 3 3 3" xfId="37556"/>
    <cellStyle name="20% - Accent1 2 2 9 3 4" xfId="8923"/>
    <cellStyle name="20% - Accent1 2 2 9 3 4 2" xfId="51464"/>
    <cellStyle name="20% - Accent1 2 2 9 3 5" xfId="20724"/>
    <cellStyle name="20% - Accent1 2 2 9 3 5 2" xfId="51465"/>
    <cellStyle name="20% - Accent1 2 2 9 3 6" xfId="34339"/>
    <cellStyle name="20% - Accent1 2 2 9 4" xfId="4175"/>
    <cellStyle name="20% - Accent1 2 2 9 4 2" xfId="12141"/>
    <cellStyle name="20% - Accent1 2 2 9 4 2 2" xfId="23942"/>
    <cellStyle name="20% - Accent1 2 2 9 4 2 2 2" xfId="51466"/>
    <cellStyle name="20% - Accent1 2 2 9 4 2 3" xfId="37557"/>
    <cellStyle name="20% - Accent1 2 2 9 4 3" xfId="9628"/>
    <cellStyle name="20% - Accent1 2 2 9 4 3 2" xfId="43958"/>
    <cellStyle name="20% - Accent1 2 2 9 4 4" xfId="21429"/>
    <cellStyle name="20% - Accent1 2 2 9 4 4 2" xfId="51467"/>
    <cellStyle name="20% - Accent1 2 2 9 4 5" xfId="35044"/>
    <cellStyle name="20% - Accent1 2 2 9 5" xfId="2334"/>
    <cellStyle name="20% - Accent1 2 2 9 5 2" xfId="16995"/>
    <cellStyle name="20% - Accent1 2 2 9 5 2 2" xfId="28796"/>
    <cellStyle name="20% - Accent1 2 2 9 5 2 2 2" xfId="51468"/>
    <cellStyle name="20% - Accent1 2 2 9 5 2 3" xfId="42411"/>
    <cellStyle name="20% - Accent1 2 2 9 5 3" xfId="7787"/>
    <cellStyle name="20% - Accent1 2 2 9 5 3 2" xfId="51469"/>
    <cellStyle name="20% - Accent1 2 2 9 5 4" xfId="19588"/>
    <cellStyle name="20% - Accent1 2 2 9 5 4 2" xfId="51470"/>
    <cellStyle name="20% - Accent1 2 2 9 5 5" xfId="33203"/>
    <cellStyle name="20% - Accent1 2 2 9 6" xfId="12142"/>
    <cellStyle name="20% - Accent1 2 2 9 6 2" xfId="23943"/>
    <cellStyle name="20% - Accent1 2 2 9 6 2 2" xfId="51471"/>
    <cellStyle name="20% - Accent1 2 2 9 6 3" xfId="37558"/>
    <cellStyle name="20% - Accent1 2 2 9 7" xfId="5887"/>
    <cellStyle name="20% - Accent1 2 2 9 7 2" xfId="51472"/>
    <cellStyle name="20% - Accent1 2 2 9 8" xfId="17688"/>
    <cellStyle name="20% - Accent1 2 2 9 8 2" xfId="51473"/>
    <cellStyle name="20% - Accent1 2 2 9 9" xfId="31303"/>
    <cellStyle name="20% - Accent1 2 20" xfId="5455"/>
    <cellStyle name="20% - Accent1 2 20 2" xfId="10909"/>
    <cellStyle name="20% - Accent1 2 20 2 2" xfId="51474"/>
    <cellStyle name="20% - Accent1 2 20 3" xfId="22710"/>
    <cellStyle name="20% - Accent1 2 20 3 2" xfId="51475"/>
    <cellStyle name="20% - Accent1 2 20 4" xfId="36325"/>
    <cellStyle name="20% - Accent1 2 20 5" xfId="61751"/>
    <cellStyle name="20% - Accent1 2 20 5 2" xfId="61755"/>
    <cellStyle name="20% - Accent1 2 20 5 2 2" xfId="61756"/>
    <cellStyle name="20% - Accent1 2 20 5 2 2 2" xfId="61764"/>
    <cellStyle name="20% - Accent1 2 20 5 2 2 2 2" xfId="61847"/>
    <cellStyle name="20% - Accent1 2 20 5 2 2 3" xfId="61771"/>
    <cellStyle name="20% - Accent1 2 20 6" xfId="61772"/>
    <cellStyle name="20% - Accent1 2 20 7" xfId="61766"/>
    <cellStyle name="20% - Accent1 2 20 7 2" xfId="61849"/>
    <cellStyle name="20% - Accent1 2 21" xfId="5457"/>
    <cellStyle name="20% - Accent1 2 21 2" xfId="43959"/>
    <cellStyle name="20% - Accent1 2 22" xfId="17258"/>
    <cellStyle name="20% - Accent1 2 22 2" xfId="51476"/>
    <cellStyle name="20% - Accent1 2 23" xfId="30873"/>
    <cellStyle name="20% - Accent1 2 23 2" xfId="61773"/>
    <cellStyle name="20% - Accent1 2 23 3" xfId="61767"/>
    <cellStyle name="20% - Accent1 2 23 3 2" xfId="61850"/>
    <cellStyle name="20% - Accent1 2 24" xfId="61740"/>
    <cellStyle name="20% - Accent1 2 3" xfId="8"/>
    <cellStyle name="20% - Accent1 2 3 10" xfId="576"/>
    <cellStyle name="20% - Accent1 2 3 10 2" xfId="1158"/>
    <cellStyle name="20% - Accent1 2 3 10 2 2" xfId="4318"/>
    <cellStyle name="20% - Accent1 2 3 10 2 2 2" xfId="12143"/>
    <cellStyle name="20% - Accent1 2 3 10 2 2 2 2" xfId="23944"/>
    <cellStyle name="20% - Accent1 2 3 10 2 2 2 2 2" xfId="51477"/>
    <cellStyle name="20% - Accent1 2 3 10 2 2 2 3" xfId="37559"/>
    <cellStyle name="20% - Accent1 2 3 10 2 2 3" xfId="9771"/>
    <cellStyle name="20% - Accent1 2 3 10 2 2 3 2" xfId="43960"/>
    <cellStyle name="20% - Accent1 2 3 10 2 2 4" xfId="21572"/>
    <cellStyle name="20% - Accent1 2 3 10 2 2 4 2" xfId="51478"/>
    <cellStyle name="20% - Accent1 2 3 10 2 2 5" xfId="35187"/>
    <cellStyle name="20% - Accent1 2 3 10 2 3" xfId="12144"/>
    <cellStyle name="20% - Accent1 2 3 10 2 3 2" xfId="23945"/>
    <cellStyle name="20% - Accent1 2 3 10 2 3 2 2" xfId="43961"/>
    <cellStyle name="20% - Accent1 2 3 10 2 3 3" xfId="29450"/>
    <cellStyle name="20% - Accent1 2 3 10 2 3 3 2" xfId="43962"/>
    <cellStyle name="20% - Accent1 2 3 10 2 3 4" xfId="29451"/>
    <cellStyle name="20% - Accent1 2 3 10 2 3 4 2" xfId="51479"/>
    <cellStyle name="20% - Accent1 2 3 10 2 3 5" xfId="37560"/>
    <cellStyle name="20% - Accent1 2 3 10 2 4" xfId="12145"/>
    <cellStyle name="20% - Accent1 2 3 10 2 4 2" xfId="23946"/>
    <cellStyle name="20% - Accent1 2 3 10 2 4 2 2" xfId="51480"/>
    <cellStyle name="20% - Accent1 2 3 10 2 4 3" xfId="37561"/>
    <cellStyle name="20% - Accent1 2 3 10 2 5" xfId="6612"/>
    <cellStyle name="20% - Accent1 2 3 10 2 5 2" xfId="43963"/>
    <cellStyle name="20% - Accent1 2 3 10 2 6" xfId="18413"/>
    <cellStyle name="20% - Accent1 2 3 10 2 6 2" xfId="51481"/>
    <cellStyle name="20% - Accent1 2 3 10 2 7" xfId="32028"/>
    <cellStyle name="20% - Accent1 2 3 10 3" xfId="2477"/>
    <cellStyle name="20% - Accent1 2 3 10 3 2" xfId="12146"/>
    <cellStyle name="20% - Accent1 2 3 10 3 2 2" xfId="23947"/>
    <cellStyle name="20% - Accent1 2 3 10 3 2 2 2" xfId="51482"/>
    <cellStyle name="20% - Accent1 2 3 10 3 2 3" xfId="37562"/>
    <cellStyle name="20% - Accent1 2 3 10 3 3" xfId="7930"/>
    <cellStyle name="20% - Accent1 2 3 10 3 3 2" xfId="43964"/>
    <cellStyle name="20% - Accent1 2 3 10 3 4" xfId="19731"/>
    <cellStyle name="20% - Accent1 2 3 10 3 4 2" xfId="51483"/>
    <cellStyle name="20% - Accent1 2 3 10 3 5" xfId="33346"/>
    <cellStyle name="20% - Accent1 2 3 10 4" xfId="12147"/>
    <cellStyle name="20% - Accent1 2 3 10 4 2" xfId="23948"/>
    <cellStyle name="20% - Accent1 2 3 10 4 2 2" xfId="43965"/>
    <cellStyle name="20% - Accent1 2 3 10 4 3" xfId="29452"/>
    <cellStyle name="20% - Accent1 2 3 10 4 3 2" xfId="43966"/>
    <cellStyle name="20% - Accent1 2 3 10 4 4" xfId="29453"/>
    <cellStyle name="20% - Accent1 2 3 10 4 4 2" xfId="51484"/>
    <cellStyle name="20% - Accent1 2 3 10 4 5" xfId="37563"/>
    <cellStyle name="20% - Accent1 2 3 10 5" xfId="12148"/>
    <cellStyle name="20% - Accent1 2 3 10 5 2" xfId="23949"/>
    <cellStyle name="20% - Accent1 2 3 10 5 2 2" xfId="51485"/>
    <cellStyle name="20% - Accent1 2 3 10 5 3" xfId="37564"/>
    <cellStyle name="20% - Accent1 2 3 10 6" xfId="6030"/>
    <cellStyle name="20% - Accent1 2 3 10 6 2" xfId="43967"/>
    <cellStyle name="20% - Accent1 2 3 10 7" xfId="17831"/>
    <cellStyle name="20% - Accent1 2 3 10 7 2" xfId="51486"/>
    <cellStyle name="20% - Accent1 2 3 10 8" xfId="31446"/>
    <cellStyle name="20% - Accent1 2 3 11" xfId="817"/>
    <cellStyle name="20% - Accent1 2 3 11 2" xfId="1159"/>
    <cellStyle name="20% - Accent1 2 3 11 2 2" xfId="4886"/>
    <cellStyle name="20% - Accent1 2 3 11 2 2 2" xfId="12149"/>
    <cellStyle name="20% - Accent1 2 3 11 2 2 2 2" xfId="23950"/>
    <cellStyle name="20% - Accent1 2 3 11 2 2 2 2 2" xfId="51487"/>
    <cellStyle name="20% - Accent1 2 3 11 2 2 2 3" xfId="37565"/>
    <cellStyle name="20% - Accent1 2 3 11 2 2 3" xfId="10339"/>
    <cellStyle name="20% - Accent1 2 3 11 2 2 3 2" xfId="43968"/>
    <cellStyle name="20% - Accent1 2 3 11 2 2 4" xfId="22140"/>
    <cellStyle name="20% - Accent1 2 3 11 2 2 4 2" xfId="51488"/>
    <cellStyle name="20% - Accent1 2 3 11 2 2 5" xfId="35755"/>
    <cellStyle name="20% - Accent1 2 3 11 2 3" xfId="12150"/>
    <cellStyle name="20% - Accent1 2 3 11 2 3 2" xfId="23951"/>
    <cellStyle name="20% - Accent1 2 3 11 2 3 2 2" xfId="43969"/>
    <cellStyle name="20% - Accent1 2 3 11 2 3 3" xfId="29454"/>
    <cellStyle name="20% - Accent1 2 3 11 2 3 3 2" xfId="43970"/>
    <cellStyle name="20% - Accent1 2 3 11 2 3 4" xfId="29455"/>
    <cellStyle name="20% - Accent1 2 3 11 2 3 4 2" xfId="51489"/>
    <cellStyle name="20% - Accent1 2 3 11 2 3 5" xfId="37566"/>
    <cellStyle name="20% - Accent1 2 3 11 2 4" xfId="12151"/>
    <cellStyle name="20% - Accent1 2 3 11 2 4 2" xfId="23952"/>
    <cellStyle name="20% - Accent1 2 3 11 2 4 2 2" xfId="51490"/>
    <cellStyle name="20% - Accent1 2 3 11 2 4 3" xfId="37567"/>
    <cellStyle name="20% - Accent1 2 3 11 2 5" xfId="6613"/>
    <cellStyle name="20% - Accent1 2 3 11 2 5 2" xfId="43971"/>
    <cellStyle name="20% - Accent1 2 3 11 2 6" xfId="18414"/>
    <cellStyle name="20% - Accent1 2 3 11 2 6 2" xfId="51491"/>
    <cellStyle name="20% - Accent1 2 3 11 2 7" xfId="32029"/>
    <cellStyle name="20% - Accent1 2 3 11 3" xfId="3045"/>
    <cellStyle name="20% - Accent1 2 3 11 3 2" xfId="12152"/>
    <cellStyle name="20% - Accent1 2 3 11 3 2 2" xfId="23953"/>
    <cellStyle name="20% - Accent1 2 3 11 3 2 2 2" xfId="51492"/>
    <cellStyle name="20% - Accent1 2 3 11 3 2 3" xfId="37568"/>
    <cellStyle name="20% - Accent1 2 3 11 3 3" xfId="8498"/>
    <cellStyle name="20% - Accent1 2 3 11 3 3 2" xfId="43972"/>
    <cellStyle name="20% - Accent1 2 3 11 3 4" xfId="20299"/>
    <cellStyle name="20% - Accent1 2 3 11 3 4 2" xfId="51493"/>
    <cellStyle name="20% - Accent1 2 3 11 3 5" xfId="33914"/>
    <cellStyle name="20% - Accent1 2 3 11 4" xfId="12153"/>
    <cellStyle name="20% - Accent1 2 3 11 4 2" xfId="23954"/>
    <cellStyle name="20% - Accent1 2 3 11 4 2 2" xfId="43973"/>
    <cellStyle name="20% - Accent1 2 3 11 4 3" xfId="29456"/>
    <cellStyle name="20% - Accent1 2 3 11 4 3 2" xfId="43974"/>
    <cellStyle name="20% - Accent1 2 3 11 4 4" xfId="29457"/>
    <cellStyle name="20% - Accent1 2 3 11 4 4 2" xfId="51494"/>
    <cellStyle name="20% - Accent1 2 3 11 4 5" xfId="37569"/>
    <cellStyle name="20% - Accent1 2 3 11 5" xfId="12154"/>
    <cellStyle name="20% - Accent1 2 3 11 5 2" xfId="23955"/>
    <cellStyle name="20% - Accent1 2 3 11 5 2 2" xfId="51495"/>
    <cellStyle name="20% - Accent1 2 3 11 5 3" xfId="37570"/>
    <cellStyle name="20% - Accent1 2 3 11 6" xfId="6271"/>
    <cellStyle name="20% - Accent1 2 3 11 6 2" xfId="43975"/>
    <cellStyle name="20% - Accent1 2 3 11 7" xfId="18072"/>
    <cellStyle name="20% - Accent1 2 3 11 7 2" xfId="51496"/>
    <cellStyle name="20% - Accent1 2 3 11 8" xfId="31687"/>
    <cellStyle name="20% - Accent1 2 3 12" xfId="1160"/>
    <cellStyle name="20% - Accent1 2 3 12 2" xfId="3750"/>
    <cellStyle name="20% - Accent1 2 3 12 2 2" xfId="12155"/>
    <cellStyle name="20% - Accent1 2 3 12 2 2 2" xfId="23956"/>
    <cellStyle name="20% - Accent1 2 3 12 2 2 2 2" xfId="51497"/>
    <cellStyle name="20% - Accent1 2 3 12 2 2 3" xfId="37571"/>
    <cellStyle name="20% - Accent1 2 3 12 2 3" xfId="9203"/>
    <cellStyle name="20% - Accent1 2 3 12 2 3 2" xfId="43976"/>
    <cellStyle name="20% - Accent1 2 3 12 2 4" xfId="21004"/>
    <cellStyle name="20% - Accent1 2 3 12 2 4 2" xfId="51498"/>
    <cellStyle name="20% - Accent1 2 3 12 2 5" xfId="34619"/>
    <cellStyle name="20% - Accent1 2 3 12 3" xfId="12156"/>
    <cellStyle name="20% - Accent1 2 3 12 3 2" xfId="23957"/>
    <cellStyle name="20% - Accent1 2 3 12 3 2 2" xfId="43977"/>
    <cellStyle name="20% - Accent1 2 3 12 3 3" xfId="29458"/>
    <cellStyle name="20% - Accent1 2 3 12 3 3 2" xfId="43978"/>
    <cellStyle name="20% - Accent1 2 3 12 3 4" xfId="29459"/>
    <cellStyle name="20% - Accent1 2 3 12 3 4 2" xfId="51499"/>
    <cellStyle name="20% - Accent1 2 3 12 3 5" xfId="37572"/>
    <cellStyle name="20% - Accent1 2 3 12 4" xfId="12157"/>
    <cellStyle name="20% - Accent1 2 3 12 4 2" xfId="23958"/>
    <cellStyle name="20% - Accent1 2 3 12 4 2 2" xfId="51500"/>
    <cellStyle name="20% - Accent1 2 3 12 4 3" xfId="37573"/>
    <cellStyle name="20% - Accent1 2 3 12 5" xfId="6614"/>
    <cellStyle name="20% - Accent1 2 3 12 5 2" xfId="43979"/>
    <cellStyle name="20% - Accent1 2 3 12 6" xfId="18415"/>
    <cellStyle name="20% - Accent1 2 3 12 6 2" xfId="51501"/>
    <cellStyle name="20% - Accent1 2 3 12 7" xfId="32030"/>
    <cellStyle name="20% - Accent1 2 3 13" xfId="3613"/>
    <cellStyle name="20% - Accent1 2 3 13 2" xfId="12158"/>
    <cellStyle name="20% - Accent1 2 3 13 2 2" xfId="23959"/>
    <cellStyle name="20% - Accent1 2 3 13 2 2 2" xfId="51502"/>
    <cellStyle name="20% - Accent1 2 3 13 2 3" xfId="37574"/>
    <cellStyle name="20% - Accent1 2 3 13 3" xfId="9066"/>
    <cellStyle name="20% - Accent1 2 3 13 3 2" xfId="43980"/>
    <cellStyle name="20% - Accent1 2 3 13 4" xfId="20867"/>
    <cellStyle name="20% - Accent1 2 3 13 4 2" xfId="51503"/>
    <cellStyle name="20% - Accent1 2 3 13 5" xfId="34482"/>
    <cellStyle name="20% - Accent1 2 3 14" xfId="1909"/>
    <cellStyle name="20% - Accent1 2 3 14 2" xfId="12159"/>
    <cellStyle name="20% - Accent1 2 3 14 2 2" xfId="23960"/>
    <cellStyle name="20% - Accent1 2 3 14 2 2 2" xfId="51504"/>
    <cellStyle name="20% - Accent1 2 3 14 2 3" xfId="37575"/>
    <cellStyle name="20% - Accent1 2 3 14 3" xfId="7362"/>
    <cellStyle name="20% - Accent1 2 3 14 3 2" xfId="43981"/>
    <cellStyle name="20% - Accent1 2 3 14 4" xfId="19163"/>
    <cellStyle name="20% - Accent1 2 3 14 4 2" xfId="51505"/>
    <cellStyle name="20% - Accent1 2 3 14 5" xfId="32778"/>
    <cellStyle name="20% - Accent1 2 3 15" xfId="12160"/>
    <cellStyle name="20% - Accent1 2 3 15 2" xfId="23961"/>
    <cellStyle name="20% - Accent1 2 3 15 2 2" xfId="51506"/>
    <cellStyle name="20% - Accent1 2 3 15 3" xfId="37576"/>
    <cellStyle name="20% - Accent1 2 3 16" xfId="5462"/>
    <cellStyle name="20% - Accent1 2 3 16 2" xfId="43982"/>
    <cellStyle name="20% - Accent1 2 3 17" xfId="17263"/>
    <cellStyle name="20% - Accent1 2 3 17 2" xfId="51507"/>
    <cellStyle name="20% - Accent1 2 3 18" xfId="30878"/>
    <cellStyle name="20% - Accent1 2 3 2" xfId="32"/>
    <cellStyle name="20% - Accent1 2 3 2 10" xfId="1933"/>
    <cellStyle name="20% - Accent1 2 3 2 10 2" xfId="12161"/>
    <cellStyle name="20% - Accent1 2 3 2 10 2 2" xfId="23962"/>
    <cellStyle name="20% - Accent1 2 3 2 10 2 2 2" xfId="51508"/>
    <cellStyle name="20% - Accent1 2 3 2 10 2 3" xfId="37577"/>
    <cellStyle name="20% - Accent1 2 3 2 10 3" xfId="7386"/>
    <cellStyle name="20% - Accent1 2 3 2 10 3 2" xfId="43983"/>
    <cellStyle name="20% - Accent1 2 3 2 10 4" xfId="19187"/>
    <cellStyle name="20% - Accent1 2 3 2 10 4 2" xfId="51509"/>
    <cellStyle name="20% - Accent1 2 3 2 10 5" xfId="32802"/>
    <cellStyle name="20% - Accent1 2 3 2 11" xfId="12162"/>
    <cellStyle name="20% - Accent1 2 3 2 11 2" xfId="23963"/>
    <cellStyle name="20% - Accent1 2 3 2 11 2 2" xfId="51510"/>
    <cellStyle name="20% - Accent1 2 3 2 11 3" xfId="37578"/>
    <cellStyle name="20% - Accent1 2 3 2 12" xfId="5486"/>
    <cellStyle name="20% - Accent1 2 3 2 12 2" xfId="43984"/>
    <cellStyle name="20% - Accent1 2 3 2 13" xfId="17287"/>
    <cellStyle name="20% - Accent1 2 3 2 13 2" xfId="51511"/>
    <cellStyle name="20% - Accent1 2 3 2 14" xfId="30902"/>
    <cellStyle name="20% - Accent1 2 3 2 2" xfId="99"/>
    <cellStyle name="20% - Accent1 2 3 2 2 10" xfId="5553"/>
    <cellStyle name="20% - Accent1 2 3 2 2 10 2" xfId="43985"/>
    <cellStyle name="20% - Accent1 2 3 2 2 11" xfId="17354"/>
    <cellStyle name="20% - Accent1 2 3 2 2 11 2" xfId="51512"/>
    <cellStyle name="20% - Accent1 2 3 2 2 12" xfId="30969"/>
    <cellStyle name="20% - Accent1 2 3 2 2 2" xfId="201"/>
    <cellStyle name="20% - Accent1 2 3 2 2 2 10" xfId="31071"/>
    <cellStyle name="20% - Accent1 2 3 2 2 2 2" xfId="526"/>
    <cellStyle name="20% - Accent1 2 3 2 2 2 2 2" xfId="1161"/>
    <cellStyle name="20% - Accent1 2 3 2 2 2 2 2 2" xfId="4836"/>
    <cellStyle name="20% - Accent1 2 3 2 2 2 2 2 2 2" xfId="12163"/>
    <cellStyle name="20% - Accent1 2 3 2 2 2 2 2 2 2 2" xfId="23964"/>
    <cellStyle name="20% - Accent1 2 3 2 2 2 2 2 2 2 2 2" xfId="51513"/>
    <cellStyle name="20% - Accent1 2 3 2 2 2 2 2 2 2 3" xfId="37579"/>
    <cellStyle name="20% - Accent1 2 3 2 2 2 2 2 2 3" xfId="10289"/>
    <cellStyle name="20% - Accent1 2 3 2 2 2 2 2 2 3 2" xfId="43986"/>
    <cellStyle name="20% - Accent1 2 3 2 2 2 2 2 2 4" xfId="22090"/>
    <cellStyle name="20% - Accent1 2 3 2 2 2 2 2 2 4 2" xfId="51514"/>
    <cellStyle name="20% - Accent1 2 3 2 2 2 2 2 2 5" xfId="35705"/>
    <cellStyle name="20% - Accent1 2 3 2 2 2 2 2 3" xfId="2995"/>
    <cellStyle name="20% - Accent1 2 3 2 2 2 2 2 3 2" xfId="12164"/>
    <cellStyle name="20% - Accent1 2 3 2 2 2 2 2 3 2 2" xfId="23965"/>
    <cellStyle name="20% - Accent1 2 3 2 2 2 2 2 3 2 2 2" xfId="51515"/>
    <cellStyle name="20% - Accent1 2 3 2 2 2 2 2 3 2 3" xfId="37580"/>
    <cellStyle name="20% - Accent1 2 3 2 2 2 2 2 3 3" xfId="8448"/>
    <cellStyle name="20% - Accent1 2 3 2 2 2 2 2 3 3 2" xfId="43987"/>
    <cellStyle name="20% - Accent1 2 3 2 2 2 2 2 3 4" xfId="20249"/>
    <cellStyle name="20% - Accent1 2 3 2 2 2 2 2 3 4 2" xfId="51516"/>
    <cellStyle name="20% - Accent1 2 3 2 2 2 2 2 3 5" xfId="33864"/>
    <cellStyle name="20% - Accent1 2 3 2 2 2 2 2 4" xfId="12165"/>
    <cellStyle name="20% - Accent1 2 3 2 2 2 2 2 4 2" xfId="23966"/>
    <cellStyle name="20% - Accent1 2 3 2 2 2 2 2 4 2 2" xfId="51517"/>
    <cellStyle name="20% - Accent1 2 3 2 2 2 2 2 4 3" xfId="37581"/>
    <cellStyle name="20% - Accent1 2 3 2 2 2 2 2 5" xfId="6615"/>
    <cellStyle name="20% - Accent1 2 3 2 2 2 2 2 5 2" xfId="43988"/>
    <cellStyle name="20% - Accent1 2 3 2 2 2 2 2 6" xfId="18416"/>
    <cellStyle name="20% - Accent1 2 3 2 2 2 2 2 6 2" xfId="51518"/>
    <cellStyle name="20% - Accent1 2 3 2 2 2 2 2 7" xfId="32031"/>
    <cellStyle name="20% - Accent1 2 3 2 2 2 2 3" xfId="3563"/>
    <cellStyle name="20% - Accent1 2 3 2 2 2 2 3 2" xfId="5404"/>
    <cellStyle name="20% - Accent1 2 3 2 2 2 2 3 2 2" xfId="16874"/>
    <cellStyle name="20% - Accent1 2 3 2 2 2 2 3 2 2 2" xfId="28675"/>
    <cellStyle name="20% - Accent1 2 3 2 2 2 2 3 2 2 2 2" xfId="51519"/>
    <cellStyle name="20% - Accent1 2 3 2 2 2 2 3 2 2 3" xfId="42290"/>
    <cellStyle name="20% - Accent1 2 3 2 2 2 2 3 2 3" xfId="10857"/>
    <cellStyle name="20% - Accent1 2 3 2 2 2 2 3 2 3 2" xfId="51520"/>
    <cellStyle name="20% - Accent1 2 3 2 2 2 2 3 2 4" xfId="22658"/>
    <cellStyle name="20% - Accent1 2 3 2 2 2 2 3 2 4 2" xfId="51521"/>
    <cellStyle name="20% - Accent1 2 3 2 2 2 2 3 2 5" xfId="36273"/>
    <cellStyle name="20% - Accent1 2 3 2 2 2 2 3 3" xfId="12166"/>
    <cellStyle name="20% - Accent1 2 3 2 2 2 2 3 3 2" xfId="23967"/>
    <cellStyle name="20% - Accent1 2 3 2 2 2 2 3 3 2 2" xfId="51522"/>
    <cellStyle name="20% - Accent1 2 3 2 2 2 2 3 3 3" xfId="37582"/>
    <cellStyle name="20% - Accent1 2 3 2 2 2 2 3 4" xfId="9016"/>
    <cellStyle name="20% - Accent1 2 3 2 2 2 2 3 4 2" xfId="51523"/>
    <cellStyle name="20% - Accent1 2 3 2 2 2 2 3 5" xfId="20817"/>
    <cellStyle name="20% - Accent1 2 3 2 2 2 2 3 5 2" xfId="51524"/>
    <cellStyle name="20% - Accent1 2 3 2 2 2 2 3 6" xfId="34432"/>
    <cellStyle name="20% - Accent1 2 3 2 2 2 2 4" xfId="4268"/>
    <cellStyle name="20% - Accent1 2 3 2 2 2 2 4 2" xfId="12167"/>
    <cellStyle name="20% - Accent1 2 3 2 2 2 2 4 2 2" xfId="23968"/>
    <cellStyle name="20% - Accent1 2 3 2 2 2 2 4 2 2 2" xfId="51525"/>
    <cellStyle name="20% - Accent1 2 3 2 2 2 2 4 2 3" xfId="37583"/>
    <cellStyle name="20% - Accent1 2 3 2 2 2 2 4 3" xfId="9721"/>
    <cellStyle name="20% - Accent1 2 3 2 2 2 2 4 3 2" xfId="43989"/>
    <cellStyle name="20% - Accent1 2 3 2 2 2 2 4 4" xfId="21522"/>
    <cellStyle name="20% - Accent1 2 3 2 2 2 2 4 4 2" xfId="51526"/>
    <cellStyle name="20% - Accent1 2 3 2 2 2 2 4 5" xfId="35137"/>
    <cellStyle name="20% - Accent1 2 3 2 2 2 2 5" xfId="2427"/>
    <cellStyle name="20% - Accent1 2 3 2 2 2 2 5 2" xfId="16996"/>
    <cellStyle name="20% - Accent1 2 3 2 2 2 2 5 2 2" xfId="28797"/>
    <cellStyle name="20% - Accent1 2 3 2 2 2 2 5 2 2 2" xfId="51527"/>
    <cellStyle name="20% - Accent1 2 3 2 2 2 2 5 2 3" xfId="42412"/>
    <cellStyle name="20% - Accent1 2 3 2 2 2 2 5 3" xfId="7880"/>
    <cellStyle name="20% - Accent1 2 3 2 2 2 2 5 3 2" xfId="51528"/>
    <cellStyle name="20% - Accent1 2 3 2 2 2 2 5 4" xfId="19681"/>
    <cellStyle name="20% - Accent1 2 3 2 2 2 2 5 4 2" xfId="51529"/>
    <cellStyle name="20% - Accent1 2 3 2 2 2 2 5 5" xfId="33296"/>
    <cellStyle name="20% - Accent1 2 3 2 2 2 2 6" xfId="12168"/>
    <cellStyle name="20% - Accent1 2 3 2 2 2 2 6 2" xfId="23969"/>
    <cellStyle name="20% - Accent1 2 3 2 2 2 2 6 2 2" xfId="51530"/>
    <cellStyle name="20% - Accent1 2 3 2 2 2 2 6 3" xfId="37584"/>
    <cellStyle name="20% - Accent1 2 3 2 2 2 2 7" xfId="5980"/>
    <cellStyle name="20% - Accent1 2 3 2 2 2 2 7 2" xfId="51531"/>
    <cellStyle name="20% - Accent1 2 3 2 2 2 2 8" xfId="17781"/>
    <cellStyle name="20% - Accent1 2 3 2 2 2 2 8 2" xfId="51532"/>
    <cellStyle name="20% - Accent1 2 3 2 2 2 2 9" xfId="31396"/>
    <cellStyle name="20% - Accent1 2 3 2 2 2 3" xfId="769"/>
    <cellStyle name="20% - Accent1 2 3 2 2 2 3 2" xfId="1162"/>
    <cellStyle name="20% - Accent1 2 3 2 2 2 3 2 2" xfId="4511"/>
    <cellStyle name="20% - Accent1 2 3 2 2 2 3 2 2 2" xfId="12169"/>
    <cellStyle name="20% - Accent1 2 3 2 2 2 3 2 2 2 2" xfId="23970"/>
    <cellStyle name="20% - Accent1 2 3 2 2 2 3 2 2 2 2 2" xfId="51533"/>
    <cellStyle name="20% - Accent1 2 3 2 2 2 3 2 2 2 3" xfId="37585"/>
    <cellStyle name="20% - Accent1 2 3 2 2 2 3 2 2 3" xfId="9964"/>
    <cellStyle name="20% - Accent1 2 3 2 2 2 3 2 2 3 2" xfId="43990"/>
    <cellStyle name="20% - Accent1 2 3 2 2 2 3 2 2 4" xfId="21765"/>
    <cellStyle name="20% - Accent1 2 3 2 2 2 3 2 2 4 2" xfId="51534"/>
    <cellStyle name="20% - Accent1 2 3 2 2 2 3 2 2 5" xfId="35380"/>
    <cellStyle name="20% - Accent1 2 3 2 2 2 3 2 3" xfId="12170"/>
    <cellStyle name="20% - Accent1 2 3 2 2 2 3 2 3 2" xfId="23971"/>
    <cellStyle name="20% - Accent1 2 3 2 2 2 3 2 3 2 2" xfId="43991"/>
    <cellStyle name="20% - Accent1 2 3 2 2 2 3 2 3 3" xfId="29460"/>
    <cellStyle name="20% - Accent1 2 3 2 2 2 3 2 3 3 2" xfId="43992"/>
    <cellStyle name="20% - Accent1 2 3 2 2 2 3 2 3 4" xfId="29461"/>
    <cellStyle name="20% - Accent1 2 3 2 2 2 3 2 3 4 2" xfId="51535"/>
    <cellStyle name="20% - Accent1 2 3 2 2 2 3 2 3 5" xfId="37586"/>
    <cellStyle name="20% - Accent1 2 3 2 2 2 3 2 4" xfId="12171"/>
    <cellStyle name="20% - Accent1 2 3 2 2 2 3 2 4 2" xfId="23972"/>
    <cellStyle name="20% - Accent1 2 3 2 2 2 3 2 4 2 2" xfId="51536"/>
    <cellStyle name="20% - Accent1 2 3 2 2 2 3 2 4 3" xfId="37587"/>
    <cellStyle name="20% - Accent1 2 3 2 2 2 3 2 5" xfId="6616"/>
    <cellStyle name="20% - Accent1 2 3 2 2 2 3 2 5 2" xfId="43993"/>
    <cellStyle name="20% - Accent1 2 3 2 2 2 3 2 6" xfId="18417"/>
    <cellStyle name="20% - Accent1 2 3 2 2 2 3 2 6 2" xfId="51537"/>
    <cellStyle name="20% - Accent1 2 3 2 2 2 3 2 7" xfId="32032"/>
    <cellStyle name="20% - Accent1 2 3 2 2 2 3 3" xfId="2670"/>
    <cellStyle name="20% - Accent1 2 3 2 2 2 3 3 2" xfId="12172"/>
    <cellStyle name="20% - Accent1 2 3 2 2 2 3 3 2 2" xfId="23973"/>
    <cellStyle name="20% - Accent1 2 3 2 2 2 3 3 2 2 2" xfId="51538"/>
    <cellStyle name="20% - Accent1 2 3 2 2 2 3 3 2 3" xfId="37588"/>
    <cellStyle name="20% - Accent1 2 3 2 2 2 3 3 3" xfId="8123"/>
    <cellStyle name="20% - Accent1 2 3 2 2 2 3 3 3 2" xfId="43994"/>
    <cellStyle name="20% - Accent1 2 3 2 2 2 3 3 4" xfId="19924"/>
    <cellStyle name="20% - Accent1 2 3 2 2 2 3 3 4 2" xfId="51539"/>
    <cellStyle name="20% - Accent1 2 3 2 2 2 3 3 5" xfId="33539"/>
    <cellStyle name="20% - Accent1 2 3 2 2 2 3 4" xfId="12173"/>
    <cellStyle name="20% - Accent1 2 3 2 2 2 3 4 2" xfId="23974"/>
    <cellStyle name="20% - Accent1 2 3 2 2 2 3 4 2 2" xfId="43995"/>
    <cellStyle name="20% - Accent1 2 3 2 2 2 3 4 3" xfId="29462"/>
    <cellStyle name="20% - Accent1 2 3 2 2 2 3 4 3 2" xfId="43996"/>
    <cellStyle name="20% - Accent1 2 3 2 2 2 3 4 4" xfId="29463"/>
    <cellStyle name="20% - Accent1 2 3 2 2 2 3 4 4 2" xfId="51540"/>
    <cellStyle name="20% - Accent1 2 3 2 2 2 3 4 5" xfId="37589"/>
    <cellStyle name="20% - Accent1 2 3 2 2 2 3 5" xfId="12174"/>
    <cellStyle name="20% - Accent1 2 3 2 2 2 3 5 2" xfId="23975"/>
    <cellStyle name="20% - Accent1 2 3 2 2 2 3 5 2 2" xfId="51541"/>
    <cellStyle name="20% - Accent1 2 3 2 2 2 3 5 3" xfId="37590"/>
    <cellStyle name="20% - Accent1 2 3 2 2 2 3 6" xfId="6223"/>
    <cellStyle name="20% - Accent1 2 3 2 2 2 3 6 2" xfId="43997"/>
    <cellStyle name="20% - Accent1 2 3 2 2 2 3 7" xfId="18024"/>
    <cellStyle name="20% - Accent1 2 3 2 2 2 3 7 2" xfId="51542"/>
    <cellStyle name="20% - Accent1 2 3 2 2 2 3 8" xfId="31639"/>
    <cellStyle name="20% - Accent1 2 3 2 2 2 4" xfId="1163"/>
    <cellStyle name="20% - Accent1 2 3 2 2 2 4 2" xfId="5079"/>
    <cellStyle name="20% - Accent1 2 3 2 2 2 4 2 2" xfId="12175"/>
    <cellStyle name="20% - Accent1 2 3 2 2 2 4 2 2 2" xfId="23976"/>
    <cellStyle name="20% - Accent1 2 3 2 2 2 4 2 2 2 2" xfId="51543"/>
    <cellStyle name="20% - Accent1 2 3 2 2 2 4 2 2 3" xfId="37591"/>
    <cellStyle name="20% - Accent1 2 3 2 2 2 4 2 3" xfId="10532"/>
    <cellStyle name="20% - Accent1 2 3 2 2 2 4 2 3 2" xfId="43998"/>
    <cellStyle name="20% - Accent1 2 3 2 2 2 4 2 4" xfId="22333"/>
    <cellStyle name="20% - Accent1 2 3 2 2 2 4 2 4 2" xfId="51544"/>
    <cellStyle name="20% - Accent1 2 3 2 2 2 4 2 5" xfId="35948"/>
    <cellStyle name="20% - Accent1 2 3 2 2 2 4 3" xfId="3238"/>
    <cellStyle name="20% - Accent1 2 3 2 2 2 4 3 2" xfId="12176"/>
    <cellStyle name="20% - Accent1 2 3 2 2 2 4 3 2 2" xfId="23977"/>
    <cellStyle name="20% - Accent1 2 3 2 2 2 4 3 2 2 2" xfId="51545"/>
    <cellStyle name="20% - Accent1 2 3 2 2 2 4 3 2 3" xfId="37592"/>
    <cellStyle name="20% - Accent1 2 3 2 2 2 4 3 3" xfId="8691"/>
    <cellStyle name="20% - Accent1 2 3 2 2 2 4 3 3 2" xfId="43999"/>
    <cellStyle name="20% - Accent1 2 3 2 2 2 4 3 4" xfId="20492"/>
    <cellStyle name="20% - Accent1 2 3 2 2 2 4 3 4 2" xfId="51546"/>
    <cellStyle name="20% - Accent1 2 3 2 2 2 4 3 5" xfId="34107"/>
    <cellStyle name="20% - Accent1 2 3 2 2 2 4 4" xfId="12177"/>
    <cellStyle name="20% - Accent1 2 3 2 2 2 4 4 2" xfId="23978"/>
    <cellStyle name="20% - Accent1 2 3 2 2 2 4 4 2 2" xfId="51547"/>
    <cellStyle name="20% - Accent1 2 3 2 2 2 4 4 3" xfId="37593"/>
    <cellStyle name="20% - Accent1 2 3 2 2 2 4 5" xfId="6617"/>
    <cellStyle name="20% - Accent1 2 3 2 2 2 4 5 2" xfId="44000"/>
    <cellStyle name="20% - Accent1 2 3 2 2 2 4 6" xfId="18418"/>
    <cellStyle name="20% - Accent1 2 3 2 2 2 4 6 2" xfId="51548"/>
    <cellStyle name="20% - Accent1 2 3 2 2 2 4 7" xfId="32033"/>
    <cellStyle name="20% - Accent1 2 3 2 2 2 5" xfId="3943"/>
    <cellStyle name="20% - Accent1 2 3 2 2 2 5 2" xfId="12178"/>
    <cellStyle name="20% - Accent1 2 3 2 2 2 5 2 2" xfId="23979"/>
    <cellStyle name="20% - Accent1 2 3 2 2 2 5 2 2 2" xfId="51549"/>
    <cellStyle name="20% - Accent1 2 3 2 2 2 5 2 3" xfId="37594"/>
    <cellStyle name="20% - Accent1 2 3 2 2 2 5 3" xfId="9396"/>
    <cellStyle name="20% - Accent1 2 3 2 2 2 5 3 2" xfId="44001"/>
    <cellStyle name="20% - Accent1 2 3 2 2 2 5 4" xfId="21197"/>
    <cellStyle name="20% - Accent1 2 3 2 2 2 5 4 2" xfId="51550"/>
    <cellStyle name="20% - Accent1 2 3 2 2 2 5 5" xfId="34812"/>
    <cellStyle name="20% - Accent1 2 3 2 2 2 6" xfId="2102"/>
    <cellStyle name="20% - Accent1 2 3 2 2 2 6 2" xfId="12179"/>
    <cellStyle name="20% - Accent1 2 3 2 2 2 6 2 2" xfId="23980"/>
    <cellStyle name="20% - Accent1 2 3 2 2 2 6 2 2 2" xfId="51551"/>
    <cellStyle name="20% - Accent1 2 3 2 2 2 6 2 3" xfId="37595"/>
    <cellStyle name="20% - Accent1 2 3 2 2 2 6 3" xfId="7555"/>
    <cellStyle name="20% - Accent1 2 3 2 2 2 6 3 2" xfId="44002"/>
    <cellStyle name="20% - Accent1 2 3 2 2 2 6 4" xfId="19356"/>
    <cellStyle name="20% - Accent1 2 3 2 2 2 6 4 2" xfId="51552"/>
    <cellStyle name="20% - Accent1 2 3 2 2 2 6 5" xfId="32971"/>
    <cellStyle name="20% - Accent1 2 3 2 2 2 7" xfId="12180"/>
    <cellStyle name="20% - Accent1 2 3 2 2 2 7 2" xfId="23981"/>
    <cellStyle name="20% - Accent1 2 3 2 2 2 7 2 2" xfId="51553"/>
    <cellStyle name="20% - Accent1 2 3 2 2 2 7 3" xfId="37596"/>
    <cellStyle name="20% - Accent1 2 3 2 2 2 8" xfId="5655"/>
    <cellStyle name="20% - Accent1 2 3 2 2 2 8 2" xfId="44003"/>
    <cellStyle name="20% - Accent1 2 3 2 2 2 9" xfId="17456"/>
    <cellStyle name="20% - Accent1 2 3 2 2 2 9 2" xfId="51554"/>
    <cellStyle name="20% - Accent1 2 3 2 2 3" xfId="389"/>
    <cellStyle name="20% - Accent1 2 3 2 2 3 2" xfId="1164"/>
    <cellStyle name="20% - Accent1 2 3 2 2 3 2 2" xfId="4699"/>
    <cellStyle name="20% - Accent1 2 3 2 2 3 2 2 2" xfId="12181"/>
    <cellStyle name="20% - Accent1 2 3 2 2 3 2 2 2 2" xfId="23982"/>
    <cellStyle name="20% - Accent1 2 3 2 2 3 2 2 2 2 2" xfId="51555"/>
    <cellStyle name="20% - Accent1 2 3 2 2 3 2 2 2 3" xfId="37597"/>
    <cellStyle name="20% - Accent1 2 3 2 2 3 2 2 3" xfId="10152"/>
    <cellStyle name="20% - Accent1 2 3 2 2 3 2 2 3 2" xfId="44004"/>
    <cellStyle name="20% - Accent1 2 3 2 2 3 2 2 4" xfId="21953"/>
    <cellStyle name="20% - Accent1 2 3 2 2 3 2 2 4 2" xfId="51556"/>
    <cellStyle name="20% - Accent1 2 3 2 2 3 2 2 5" xfId="35568"/>
    <cellStyle name="20% - Accent1 2 3 2 2 3 2 3" xfId="2858"/>
    <cellStyle name="20% - Accent1 2 3 2 2 3 2 3 2" xfId="12182"/>
    <cellStyle name="20% - Accent1 2 3 2 2 3 2 3 2 2" xfId="23983"/>
    <cellStyle name="20% - Accent1 2 3 2 2 3 2 3 2 2 2" xfId="51557"/>
    <cellStyle name="20% - Accent1 2 3 2 2 3 2 3 2 3" xfId="37598"/>
    <cellStyle name="20% - Accent1 2 3 2 2 3 2 3 3" xfId="8311"/>
    <cellStyle name="20% - Accent1 2 3 2 2 3 2 3 3 2" xfId="44005"/>
    <cellStyle name="20% - Accent1 2 3 2 2 3 2 3 4" xfId="20112"/>
    <cellStyle name="20% - Accent1 2 3 2 2 3 2 3 4 2" xfId="51558"/>
    <cellStyle name="20% - Accent1 2 3 2 2 3 2 3 5" xfId="33727"/>
    <cellStyle name="20% - Accent1 2 3 2 2 3 2 4" xfId="12183"/>
    <cellStyle name="20% - Accent1 2 3 2 2 3 2 4 2" xfId="23984"/>
    <cellStyle name="20% - Accent1 2 3 2 2 3 2 4 2 2" xfId="51559"/>
    <cellStyle name="20% - Accent1 2 3 2 2 3 2 4 3" xfId="37599"/>
    <cellStyle name="20% - Accent1 2 3 2 2 3 2 5" xfId="6618"/>
    <cellStyle name="20% - Accent1 2 3 2 2 3 2 5 2" xfId="44006"/>
    <cellStyle name="20% - Accent1 2 3 2 2 3 2 6" xfId="18419"/>
    <cellStyle name="20% - Accent1 2 3 2 2 3 2 6 2" xfId="51560"/>
    <cellStyle name="20% - Accent1 2 3 2 2 3 2 7" xfId="32034"/>
    <cellStyle name="20% - Accent1 2 3 2 2 3 3" xfId="3426"/>
    <cellStyle name="20% - Accent1 2 3 2 2 3 3 2" xfId="5267"/>
    <cellStyle name="20% - Accent1 2 3 2 2 3 3 2 2" xfId="16737"/>
    <cellStyle name="20% - Accent1 2 3 2 2 3 3 2 2 2" xfId="28538"/>
    <cellStyle name="20% - Accent1 2 3 2 2 3 3 2 2 2 2" xfId="51561"/>
    <cellStyle name="20% - Accent1 2 3 2 2 3 3 2 2 3" xfId="42153"/>
    <cellStyle name="20% - Accent1 2 3 2 2 3 3 2 3" xfId="10720"/>
    <cellStyle name="20% - Accent1 2 3 2 2 3 3 2 3 2" xfId="51562"/>
    <cellStyle name="20% - Accent1 2 3 2 2 3 3 2 4" xfId="22521"/>
    <cellStyle name="20% - Accent1 2 3 2 2 3 3 2 4 2" xfId="51563"/>
    <cellStyle name="20% - Accent1 2 3 2 2 3 3 2 5" xfId="36136"/>
    <cellStyle name="20% - Accent1 2 3 2 2 3 3 3" xfId="12184"/>
    <cellStyle name="20% - Accent1 2 3 2 2 3 3 3 2" xfId="23985"/>
    <cellStyle name="20% - Accent1 2 3 2 2 3 3 3 2 2" xfId="51564"/>
    <cellStyle name="20% - Accent1 2 3 2 2 3 3 3 3" xfId="37600"/>
    <cellStyle name="20% - Accent1 2 3 2 2 3 3 4" xfId="8879"/>
    <cellStyle name="20% - Accent1 2 3 2 2 3 3 4 2" xfId="51565"/>
    <cellStyle name="20% - Accent1 2 3 2 2 3 3 5" xfId="20680"/>
    <cellStyle name="20% - Accent1 2 3 2 2 3 3 5 2" xfId="51566"/>
    <cellStyle name="20% - Accent1 2 3 2 2 3 3 6" xfId="34295"/>
    <cellStyle name="20% - Accent1 2 3 2 2 3 4" xfId="4131"/>
    <cellStyle name="20% - Accent1 2 3 2 2 3 4 2" xfId="12185"/>
    <cellStyle name="20% - Accent1 2 3 2 2 3 4 2 2" xfId="23986"/>
    <cellStyle name="20% - Accent1 2 3 2 2 3 4 2 2 2" xfId="51567"/>
    <cellStyle name="20% - Accent1 2 3 2 2 3 4 2 3" xfId="37601"/>
    <cellStyle name="20% - Accent1 2 3 2 2 3 4 3" xfId="9584"/>
    <cellStyle name="20% - Accent1 2 3 2 2 3 4 3 2" xfId="44007"/>
    <cellStyle name="20% - Accent1 2 3 2 2 3 4 4" xfId="21385"/>
    <cellStyle name="20% - Accent1 2 3 2 2 3 4 4 2" xfId="51568"/>
    <cellStyle name="20% - Accent1 2 3 2 2 3 4 5" xfId="35000"/>
    <cellStyle name="20% - Accent1 2 3 2 2 3 5" xfId="2290"/>
    <cellStyle name="20% - Accent1 2 3 2 2 3 5 2" xfId="16997"/>
    <cellStyle name="20% - Accent1 2 3 2 2 3 5 2 2" xfId="28798"/>
    <cellStyle name="20% - Accent1 2 3 2 2 3 5 2 2 2" xfId="51569"/>
    <cellStyle name="20% - Accent1 2 3 2 2 3 5 2 3" xfId="42413"/>
    <cellStyle name="20% - Accent1 2 3 2 2 3 5 3" xfId="7743"/>
    <cellStyle name="20% - Accent1 2 3 2 2 3 5 3 2" xfId="51570"/>
    <cellStyle name="20% - Accent1 2 3 2 2 3 5 4" xfId="19544"/>
    <cellStyle name="20% - Accent1 2 3 2 2 3 5 4 2" xfId="51571"/>
    <cellStyle name="20% - Accent1 2 3 2 2 3 5 5" xfId="33159"/>
    <cellStyle name="20% - Accent1 2 3 2 2 3 6" xfId="12186"/>
    <cellStyle name="20% - Accent1 2 3 2 2 3 6 2" xfId="23987"/>
    <cellStyle name="20% - Accent1 2 3 2 2 3 6 2 2" xfId="51572"/>
    <cellStyle name="20% - Accent1 2 3 2 2 3 6 3" xfId="37602"/>
    <cellStyle name="20% - Accent1 2 3 2 2 3 7" xfId="5843"/>
    <cellStyle name="20% - Accent1 2 3 2 2 3 7 2" xfId="51573"/>
    <cellStyle name="20% - Accent1 2 3 2 2 3 8" xfId="17644"/>
    <cellStyle name="20% - Accent1 2 3 2 2 3 8 2" xfId="51574"/>
    <cellStyle name="20% - Accent1 2 3 2 2 3 9" xfId="31259"/>
    <cellStyle name="20% - Accent1 2 3 2 2 4" xfId="667"/>
    <cellStyle name="20% - Accent1 2 3 2 2 4 2" xfId="1165"/>
    <cellStyle name="20% - Accent1 2 3 2 2 4 2 2" xfId="4409"/>
    <cellStyle name="20% - Accent1 2 3 2 2 4 2 2 2" xfId="12187"/>
    <cellStyle name="20% - Accent1 2 3 2 2 4 2 2 2 2" xfId="23988"/>
    <cellStyle name="20% - Accent1 2 3 2 2 4 2 2 2 2 2" xfId="51575"/>
    <cellStyle name="20% - Accent1 2 3 2 2 4 2 2 2 3" xfId="37603"/>
    <cellStyle name="20% - Accent1 2 3 2 2 4 2 2 3" xfId="9862"/>
    <cellStyle name="20% - Accent1 2 3 2 2 4 2 2 3 2" xfId="44008"/>
    <cellStyle name="20% - Accent1 2 3 2 2 4 2 2 4" xfId="21663"/>
    <cellStyle name="20% - Accent1 2 3 2 2 4 2 2 4 2" xfId="51576"/>
    <cellStyle name="20% - Accent1 2 3 2 2 4 2 2 5" xfId="35278"/>
    <cellStyle name="20% - Accent1 2 3 2 2 4 2 3" xfId="12188"/>
    <cellStyle name="20% - Accent1 2 3 2 2 4 2 3 2" xfId="23989"/>
    <cellStyle name="20% - Accent1 2 3 2 2 4 2 3 2 2" xfId="44009"/>
    <cellStyle name="20% - Accent1 2 3 2 2 4 2 3 3" xfId="29464"/>
    <cellStyle name="20% - Accent1 2 3 2 2 4 2 3 3 2" xfId="44010"/>
    <cellStyle name="20% - Accent1 2 3 2 2 4 2 3 4" xfId="29465"/>
    <cellStyle name="20% - Accent1 2 3 2 2 4 2 3 4 2" xfId="51577"/>
    <cellStyle name="20% - Accent1 2 3 2 2 4 2 3 5" xfId="37604"/>
    <cellStyle name="20% - Accent1 2 3 2 2 4 2 4" xfId="12189"/>
    <cellStyle name="20% - Accent1 2 3 2 2 4 2 4 2" xfId="23990"/>
    <cellStyle name="20% - Accent1 2 3 2 2 4 2 4 2 2" xfId="51578"/>
    <cellStyle name="20% - Accent1 2 3 2 2 4 2 4 3" xfId="37605"/>
    <cellStyle name="20% - Accent1 2 3 2 2 4 2 5" xfId="6619"/>
    <cellStyle name="20% - Accent1 2 3 2 2 4 2 5 2" xfId="44011"/>
    <cellStyle name="20% - Accent1 2 3 2 2 4 2 6" xfId="18420"/>
    <cellStyle name="20% - Accent1 2 3 2 2 4 2 6 2" xfId="51579"/>
    <cellStyle name="20% - Accent1 2 3 2 2 4 2 7" xfId="32035"/>
    <cellStyle name="20% - Accent1 2 3 2 2 4 3" xfId="2568"/>
    <cellStyle name="20% - Accent1 2 3 2 2 4 3 2" xfId="12190"/>
    <cellStyle name="20% - Accent1 2 3 2 2 4 3 2 2" xfId="23991"/>
    <cellStyle name="20% - Accent1 2 3 2 2 4 3 2 2 2" xfId="51580"/>
    <cellStyle name="20% - Accent1 2 3 2 2 4 3 2 3" xfId="37606"/>
    <cellStyle name="20% - Accent1 2 3 2 2 4 3 3" xfId="8021"/>
    <cellStyle name="20% - Accent1 2 3 2 2 4 3 3 2" xfId="44012"/>
    <cellStyle name="20% - Accent1 2 3 2 2 4 3 4" xfId="19822"/>
    <cellStyle name="20% - Accent1 2 3 2 2 4 3 4 2" xfId="51581"/>
    <cellStyle name="20% - Accent1 2 3 2 2 4 3 5" xfId="33437"/>
    <cellStyle name="20% - Accent1 2 3 2 2 4 4" xfId="12191"/>
    <cellStyle name="20% - Accent1 2 3 2 2 4 4 2" xfId="23992"/>
    <cellStyle name="20% - Accent1 2 3 2 2 4 4 2 2" xfId="44013"/>
    <cellStyle name="20% - Accent1 2 3 2 2 4 4 3" xfId="29466"/>
    <cellStyle name="20% - Accent1 2 3 2 2 4 4 3 2" xfId="44014"/>
    <cellStyle name="20% - Accent1 2 3 2 2 4 4 4" xfId="29467"/>
    <cellStyle name="20% - Accent1 2 3 2 2 4 4 4 2" xfId="51582"/>
    <cellStyle name="20% - Accent1 2 3 2 2 4 4 5" xfId="37607"/>
    <cellStyle name="20% - Accent1 2 3 2 2 4 5" xfId="12192"/>
    <cellStyle name="20% - Accent1 2 3 2 2 4 5 2" xfId="23993"/>
    <cellStyle name="20% - Accent1 2 3 2 2 4 5 2 2" xfId="51583"/>
    <cellStyle name="20% - Accent1 2 3 2 2 4 5 3" xfId="37608"/>
    <cellStyle name="20% - Accent1 2 3 2 2 4 6" xfId="6121"/>
    <cellStyle name="20% - Accent1 2 3 2 2 4 6 2" xfId="44015"/>
    <cellStyle name="20% - Accent1 2 3 2 2 4 7" xfId="17922"/>
    <cellStyle name="20% - Accent1 2 3 2 2 4 7 2" xfId="51584"/>
    <cellStyle name="20% - Accent1 2 3 2 2 4 8" xfId="31537"/>
    <cellStyle name="20% - Accent1 2 3 2 2 5" xfId="908"/>
    <cellStyle name="20% - Accent1 2 3 2 2 5 2" xfId="1166"/>
    <cellStyle name="20% - Accent1 2 3 2 2 5 2 2" xfId="4977"/>
    <cellStyle name="20% - Accent1 2 3 2 2 5 2 2 2" xfId="12193"/>
    <cellStyle name="20% - Accent1 2 3 2 2 5 2 2 2 2" xfId="23994"/>
    <cellStyle name="20% - Accent1 2 3 2 2 5 2 2 2 2 2" xfId="51585"/>
    <cellStyle name="20% - Accent1 2 3 2 2 5 2 2 2 3" xfId="37609"/>
    <cellStyle name="20% - Accent1 2 3 2 2 5 2 2 3" xfId="10430"/>
    <cellStyle name="20% - Accent1 2 3 2 2 5 2 2 3 2" xfId="44016"/>
    <cellStyle name="20% - Accent1 2 3 2 2 5 2 2 4" xfId="22231"/>
    <cellStyle name="20% - Accent1 2 3 2 2 5 2 2 4 2" xfId="51586"/>
    <cellStyle name="20% - Accent1 2 3 2 2 5 2 2 5" xfId="35846"/>
    <cellStyle name="20% - Accent1 2 3 2 2 5 2 3" xfId="12194"/>
    <cellStyle name="20% - Accent1 2 3 2 2 5 2 3 2" xfId="23995"/>
    <cellStyle name="20% - Accent1 2 3 2 2 5 2 3 2 2" xfId="44017"/>
    <cellStyle name="20% - Accent1 2 3 2 2 5 2 3 3" xfId="29468"/>
    <cellStyle name="20% - Accent1 2 3 2 2 5 2 3 3 2" xfId="44018"/>
    <cellStyle name="20% - Accent1 2 3 2 2 5 2 3 4" xfId="29469"/>
    <cellStyle name="20% - Accent1 2 3 2 2 5 2 3 4 2" xfId="51587"/>
    <cellStyle name="20% - Accent1 2 3 2 2 5 2 3 5" xfId="37610"/>
    <cellStyle name="20% - Accent1 2 3 2 2 5 2 4" xfId="12195"/>
    <cellStyle name="20% - Accent1 2 3 2 2 5 2 4 2" xfId="23996"/>
    <cellStyle name="20% - Accent1 2 3 2 2 5 2 4 2 2" xfId="51588"/>
    <cellStyle name="20% - Accent1 2 3 2 2 5 2 4 3" xfId="37611"/>
    <cellStyle name="20% - Accent1 2 3 2 2 5 2 5" xfId="6620"/>
    <cellStyle name="20% - Accent1 2 3 2 2 5 2 5 2" xfId="44019"/>
    <cellStyle name="20% - Accent1 2 3 2 2 5 2 6" xfId="18421"/>
    <cellStyle name="20% - Accent1 2 3 2 2 5 2 6 2" xfId="51589"/>
    <cellStyle name="20% - Accent1 2 3 2 2 5 2 7" xfId="32036"/>
    <cellStyle name="20% - Accent1 2 3 2 2 5 3" xfId="3136"/>
    <cellStyle name="20% - Accent1 2 3 2 2 5 3 2" xfId="12196"/>
    <cellStyle name="20% - Accent1 2 3 2 2 5 3 2 2" xfId="23997"/>
    <cellStyle name="20% - Accent1 2 3 2 2 5 3 2 2 2" xfId="51590"/>
    <cellStyle name="20% - Accent1 2 3 2 2 5 3 2 3" xfId="37612"/>
    <cellStyle name="20% - Accent1 2 3 2 2 5 3 3" xfId="8589"/>
    <cellStyle name="20% - Accent1 2 3 2 2 5 3 3 2" xfId="44020"/>
    <cellStyle name="20% - Accent1 2 3 2 2 5 3 4" xfId="20390"/>
    <cellStyle name="20% - Accent1 2 3 2 2 5 3 4 2" xfId="51591"/>
    <cellStyle name="20% - Accent1 2 3 2 2 5 3 5" xfId="34005"/>
    <cellStyle name="20% - Accent1 2 3 2 2 5 4" xfId="12197"/>
    <cellStyle name="20% - Accent1 2 3 2 2 5 4 2" xfId="23998"/>
    <cellStyle name="20% - Accent1 2 3 2 2 5 4 2 2" xfId="44021"/>
    <cellStyle name="20% - Accent1 2 3 2 2 5 4 3" xfId="29470"/>
    <cellStyle name="20% - Accent1 2 3 2 2 5 4 3 2" xfId="44022"/>
    <cellStyle name="20% - Accent1 2 3 2 2 5 4 4" xfId="29471"/>
    <cellStyle name="20% - Accent1 2 3 2 2 5 4 4 2" xfId="51592"/>
    <cellStyle name="20% - Accent1 2 3 2 2 5 4 5" xfId="37613"/>
    <cellStyle name="20% - Accent1 2 3 2 2 5 5" xfId="12198"/>
    <cellStyle name="20% - Accent1 2 3 2 2 5 5 2" xfId="23999"/>
    <cellStyle name="20% - Accent1 2 3 2 2 5 5 2 2" xfId="51593"/>
    <cellStyle name="20% - Accent1 2 3 2 2 5 5 3" xfId="37614"/>
    <cellStyle name="20% - Accent1 2 3 2 2 5 6" xfId="6362"/>
    <cellStyle name="20% - Accent1 2 3 2 2 5 6 2" xfId="44023"/>
    <cellStyle name="20% - Accent1 2 3 2 2 5 7" xfId="18163"/>
    <cellStyle name="20% - Accent1 2 3 2 2 5 7 2" xfId="51594"/>
    <cellStyle name="20% - Accent1 2 3 2 2 5 8" xfId="31778"/>
    <cellStyle name="20% - Accent1 2 3 2 2 6" xfId="1167"/>
    <cellStyle name="20% - Accent1 2 3 2 2 6 2" xfId="3841"/>
    <cellStyle name="20% - Accent1 2 3 2 2 6 2 2" xfId="12199"/>
    <cellStyle name="20% - Accent1 2 3 2 2 6 2 2 2" xfId="24000"/>
    <cellStyle name="20% - Accent1 2 3 2 2 6 2 2 2 2" xfId="51595"/>
    <cellStyle name="20% - Accent1 2 3 2 2 6 2 2 3" xfId="37615"/>
    <cellStyle name="20% - Accent1 2 3 2 2 6 2 3" xfId="9294"/>
    <cellStyle name="20% - Accent1 2 3 2 2 6 2 3 2" xfId="44024"/>
    <cellStyle name="20% - Accent1 2 3 2 2 6 2 4" xfId="21095"/>
    <cellStyle name="20% - Accent1 2 3 2 2 6 2 4 2" xfId="51596"/>
    <cellStyle name="20% - Accent1 2 3 2 2 6 2 5" xfId="34710"/>
    <cellStyle name="20% - Accent1 2 3 2 2 6 3" xfId="12200"/>
    <cellStyle name="20% - Accent1 2 3 2 2 6 3 2" xfId="24001"/>
    <cellStyle name="20% - Accent1 2 3 2 2 6 3 2 2" xfId="44025"/>
    <cellStyle name="20% - Accent1 2 3 2 2 6 3 3" xfId="29472"/>
    <cellStyle name="20% - Accent1 2 3 2 2 6 3 3 2" xfId="44026"/>
    <cellStyle name="20% - Accent1 2 3 2 2 6 3 4" xfId="29473"/>
    <cellStyle name="20% - Accent1 2 3 2 2 6 3 4 2" xfId="51597"/>
    <cellStyle name="20% - Accent1 2 3 2 2 6 3 5" xfId="37616"/>
    <cellStyle name="20% - Accent1 2 3 2 2 6 4" xfId="12201"/>
    <cellStyle name="20% - Accent1 2 3 2 2 6 4 2" xfId="24002"/>
    <cellStyle name="20% - Accent1 2 3 2 2 6 4 2 2" xfId="51598"/>
    <cellStyle name="20% - Accent1 2 3 2 2 6 4 3" xfId="37617"/>
    <cellStyle name="20% - Accent1 2 3 2 2 6 5" xfId="6621"/>
    <cellStyle name="20% - Accent1 2 3 2 2 6 5 2" xfId="44027"/>
    <cellStyle name="20% - Accent1 2 3 2 2 6 6" xfId="18422"/>
    <cellStyle name="20% - Accent1 2 3 2 2 6 6 2" xfId="51599"/>
    <cellStyle name="20% - Accent1 2 3 2 2 6 7" xfId="32037"/>
    <cellStyle name="20% - Accent1 2 3 2 2 7" xfId="3704"/>
    <cellStyle name="20% - Accent1 2 3 2 2 7 2" xfId="12202"/>
    <cellStyle name="20% - Accent1 2 3 2 2 7 2 2" xfId="24003"/>
    <cellStyle name="20% - Accent1 2 3 2 2 7 2 2 2" xfId="51600"/>
    <cellStyle name="20% - Accent1 2 3 2 2 7 2 3" xfId="37618"/>
    <cellStyle name="20% - Accent1 2 3 2 2 7 3" xfId="9157"/>
    <cellStyle name="20% - Accent1 2 3 2 2 7 3 2" xfId="44028"/>
    <cellStyle name="20% - Accent1 2 3 2 2 7 4" xfId="20958"/>
    <cellStyle name="20% - Accent1 2 3 2 2 7 4 2" xfId="51601"/>
    <cellStyle name="20% - Accent1 2 3 2 2 7 5" xfId="34573"/>
    <cellStyle name="20% - Accent1 2 3 2 2 8" xfId="2000"/>
    <cellStyle name="20% - Accent1 2 3 2 2 8 2" xfId="12203"/>
    <cellStyle name="20% - Accent1 2 3 2 2 8 2 2" xfId="24004"/>
    <cellStyle name="20% - Accent1 2 3 2 2 8 2 2 2" xfId="51602"/>
    <cellStyle name="20% - Accent1 2 3 2 2 8 2 3" xfId="37619"/>
    <cellStyle name="20% - Accent1 2 3 2 2 8 3" xfId="7453"/>
    <cellStyle name="20% - Accent1 2 3 2 2 8 3 2" xfId="44029"/>
    <cellStyle name="20% - Accent1 2 3 2 2 8 4" xfId="19254"/>
    <cellStyle name="20% - Accent1 2 3 2 2 8 4 2" xfId="51603"/>
    <cellStyle name="20% - Accent1 2 3 2 2 8 5" xfId="32869"/>
    <cellStyle name="20% - Accent1 2 3 2 2 9" xfId="12204"/>
    <cellStyle name="20% - Accent1 2 3 2 2 9 2" xfId="24005"/>
    <cellStyle name="20% - Accent1 2 3 2 2 9 2 2" xfId="51604"/>
    <cellStyle name="20% - Accent1 2 3 2 2 9 3" xfId="37620"/>
    <cellStyle name="20% - Accent1 2 3 2 3" xfId="163"/>
    <cellStyle name="20% - Accent1 2 3 2 3 10" xfId="31033"/>
    <cellStyle name="20% - Accent1 2 3 2 3 2" xfId="322"/>
    <cellStyle name="20% - Accent1 2 3 2 3 2 2" xfId="1168"/>
    <cellStyle name="20% - Accent1 2 3 2 3 2 2 2" xfId="4632"/>
    <cellStyle name="20% - Accent1 2 3 2 3 2 2 2 2" xfId="12205"/>
    <cellStyle name="20% - Accent1 2 3 2 3 2 2 2 2 2" xfId="24006"/>
    <cellStyle name="20% - Accent1 2 3 2 3 2 2 2 2 2 2" xfId="51605"/>
    <cellStyle name="20% - Accent1 2 3 2 3 2 2 2 2 3" xfId="37621"/>
    <cellStyle name="20% - Accent1 2 3 2 3 2 2 2 3" xfId="10085"/>
    <cellStyle name="20% - Accent1 2 3 2 3 2 2 2 3 2" xfId="44030"/>
    <cellStyle name="20% - Accent1 2 3 2 3 2 2 2 4" xfId="21886"/>
    <cellStyle name="20% - Accent1 2 3 2 3 2 2 2 4 2" xfId="51606"/>
    <cellStyle name="20% - Accent1 2 3 2 3 2 2 2 5" xfId="35501"/>
    <cellStyle name="20% - Accent1 2 3 2 3 2 2 3" xfId="2791"/>
    <cellStyle name="20% - Accent1 2 3 2 3 2 2 3 2" xfId="12206"/>
    <cellStyle name="20% - Accent1 2 3 2 3 2 2 3 2 2" xfId="24007"/>
    <cellStyle name="20% - Accent1 2 3 2 3 2 2 3 2 2 2" xfId="51607"/>
    <cellStyle name="20% - Accent1 2 3 2 3 2 2 3 2 3" xfId="37622"/>
    <cellStyle name="20% - Accent1 2 3 2 3 2 2 3 3" xfId="8244"/>
    <cellStyle name="20% - Accent1 2 3 2 3 2 2 3 3 2" xfId="44031"/>
    <cellStyle name="20% - Accent1 2 3 2 3 2 2 3 4" xfId="20045"/>
    <cellStyle name="20% - Accent1 2 3 2 3 2 2 3 4 2" xfId="51608"/>
    <cellStyle name="20% - Accent1 2 3 2 3 2 2 3 5" xfId="33660"/>
    <cellStyle name="20% - Accent1 2 3 2 3 2 2 4" xfId="12207"/>
    <cellStyle name="20% - Accent1 2 3 2 3 2 2 4 2" xfId="24008"/>
    <cellStyle name="20% - Accent1 2 3 2 3 2 2 4 2 2" xfId="51609"/>
    <cellStyle name="20% - Accent1 2 3 2 3 2 2 4 3" xfId="37623"/>
    <cellStyle name="20% - Accent1 2 3 2 3 2 2 5" xfId="6622"/>
    <cellStyle name="20% - Accent1 2 3 2 3 2 2 5 2" xfId="44032"/>
    <cellStyle name="20% - Accent1 2 3 2 3 2 2 6" xfId="18423"/>
    <cellStyle name="20% - Accent1 2 3 2 3 2 2 6 2" xfId="51610"/>
    <cellStyle name="20% - Accent1 2 3 2 3 2 2 7" xfId="32038"/>
    <cellStyle name="20% - Accent1 2 3 2 3 2 3" xfId="3359"/>
    <cellStyle name="20% - Accent1 2 3 2 3 2 3 2" xfId="5200"/>
    <cellStyle name="20% - Accent1 2 3 2 3 2 3 2 2" xfId="16670"/>
    <cellStyle name="20% - Accent1 2 3 2 3 2 3 2 2 2" xfId="28471"/>
    <cellStyle name="20% - Accent1 2 3 2 3 2 3 2 2 2 2" xfId="51611"/>
    <cellStyle name="20% - Accent1 2 3 2 3 2 3 2 2 3" xfId="42086"/>
    <cellStyle name="20% - Accent1 2 3 2 3 2 3 2 3" xfId="10653"/>
    <cellStyle name="20% - Accent1 2 3 2 3 2 3 2 3 2" xfId="51612"/>
    <cellStyle name="20% - Accent1 2 3 2 3 2 3 2 4" xfId="22454"/>
    <cellStyle name="20% - Accent1 2 3 2 3 2 3 2 4 2" xfId="51613"/>
    <cellStyle name="20% - Accent1 2 3 2 3 2 3 2 5" xfId="36069"/>
    <cellStyle name="20% - Accent1 2 3 2 3 2 3 3" xfId="12208"/>
    <cellStyle name="20% - Accent1 2 3 2 3 2 3 3 2" xfId="24009"/>
    <cellStyle name="20% - Accent1 2 3 2 3 2 3 3 2 2" xfId="51614"/>
    <cellStyle name="20% - Accent1 2 3 2 3 2 3 3 3" xfId="37624"/>
    <cellStyle name="20% - Accent1 2 3 2 3 2 3 4" xfId="8812"/>
    <cellStyle name="20% - Accent1 2 3 2 3 2 3 4 2" xfId="51615"/>
    <cellStyle name="20% - Accent1 2 3 2 3 2 3 5" xfId="20613"/>
    <cellStyle name="20% - Accent1 2 3 2 3 2 3 5 2" xfId="51616"/>
    <cellStyle name="20% - Accent1 2 3 2 3 2 3 6" xfId="34228"/>
    <cellStyle name="20% - Accent1 2 3 2 3 2 4" xfId="4064"/>
    <cellStyle name="20% - Accent1 2 3 2 3 2 4 2" xfId="12209"/>
    <cellStyle name="20% - Accent1 2 3 2 3 2 4 2 2" xfId="24010"/>
    <cellStyle name="20% - Accent1 2 3 2 3 2 4 2 2 2" xfId="51617"/>
    <cellStyle name="20% - Accent1 2 3 2 3 2 4 2 3" xfId="37625"/>
    <cellStyle name="20% - Accent1 2 3 2 3 2 4 3" xfId="9517"/>
    <cellStyle name="20% - Accent1 2 3 2 3 2 4 3 2" xfId="44033"/>
    <cellStyle name="20% - Accent1 2 3 2 3 2 4 4" xfId="21318"/>
    <cellStyle name="20% - Accent1 2 3 2 3 2 4 4 2" xfId="51618"/>
    <cellStyle name="20% - Accent1 2 3 2 3 2 4 5" xfId="34933"/>
    <cellStyle name="20% - Accent1 2 3 2 3 2 5" xfId="2223"/>
    <cellStyle name="20% - Accent1 2 3 2 3 2 5 2" xfId="16998"/>
    <cellStyle name="20% - Accent1 2 3 2 3 2 5 2 2" xfId="28799"/>
    <cellStyle name="20% - Accent1 2 3 2 3 2 5 2 2 2" xfId="51619"/>
    <cellStyle name="20% - Accent1 2 3 2 3 2 5 2 3" xfId="42414"/>
    <cellStyle name="20% - Accent1 2 3 2 3 2 5 3" xfId="7676"/>
    <cellStyle name="20% - Accent1 2 3 2 3 2 5 3 2" xfId="51620"/>
    <cellStyle name="20% - Accent1 2 3 2 3 2 5 4" xfId="19477"/>
    <cellStyle name="20% - Accent1 2 3 2 3 2 5 4 2" xfId="51621"/>
    <cellStyle name="20% - Accent1 2 3 2 3 2 5 5" xfId="33092"/>
    <cellStyle name="20% - Accent1 2 3 2 3 2 6" xfId="12210"/>
    <cellStyle name="20% - Accent1 2 3 2 3 2 6 2" xfId="24011"/>
    <cellStyle name="20% - Accent1 2 3 2 3 2 6 2 2" xfId="51622"/>
    <cellStyle name="20% - Accent1 2 3 2 3 2 6 3" xfId="37626"/>
    <cellStyle name="20% - Accent1 2 3 2 3 2 7" xfId="5776"/>
    <cellStyle name="20% - Accent1 2 3 2 3 2 7 2" xfId="51623"/>
    <cellStyle name="20% - Accent1 2 3 2 3 2 8" xfId="17577"/>
    <cellStyle name="20% - Accent1 2 3 2 3 2 8 2" xfId="51624"/>
    <cellStyle name="20% - Accent1 2 3 2 3 2 9" xfId="31192"/>
    <cellStyle name="20% - Accent1 2 3 2 3 3" xfId="731"/>
    <cellStyle name="20% - Accent1 2 3 2 3 3 2" xfId="1169"/>
    <cellStyle name="20% - Accent1 2 3 2 3 3 2 2" xfId="4473"/>
    <cellStyle name="20% - Accent1 2 3 2 3 3 2 2 2" xfId="12211"/>
    <cellStyle name="20% - Accent1 2 3 2 3 3 2 2 2 2" xfId="24012"/>
    <cellStyle name="20% - Accent1 2 3 2 3 3 2 2 2 2 2" xfId="51625"/>
    <cellStyle name="20% - Accent1 2 3 2 3 3 2 2 2 3" xfId="37627"/>
    <cellStyle name="20% - Accent1 2 3 2 3 3 2 2 3" xfId="9926"/>
    <cellStyle name="20% - Accent1 2 3 2 3 3 2 2 3 2" xfId="44034"/>
    <cellStyle name="20% - Accent1 2 3 2 3 3 2 2 4" xfId="21727"/>
    <cellStyle name="20% - Accent1 2 3 2 3 3 2 2 4 2" xfId="51626"/>
    <cellStyle name="20% - Accent1 2 3 2 3 3 2 2 5" xfId="35342"/>
    <cellStyle name="20% - Accent1 2 3 2 3 3 2 3" xfId="12212"/>
    <cellStyle name="20% - Accent1 2 3 2 3 3 2 3 2" xfId="24013"/>
    <cellStyle name="20% - Accent1 2 3 2 3 3 2 3 2 2" xfId="44035"/>
    <cellStyle name="20% - Accent1 2 3 2 3 3 2 3 3" xfId="29474"/>
    <cellStyle name="20% - Accent1 2 3 2 3 3 2 3 3 2" xfId="44036"/>
    <cellStyle name="20% - Accent1 2 3 2 3 3 2 3 4" xfId="29475"/>
    <cellStyle name="20% - Accent1 2 3 2 3 3 2 3 4 2" xfId="51627"/>
    <cellStyle name="20% - Accent1 2 3 2 3 3 2 3 5" xfId="37628"/>
    <cellStyle name="20% - Accent1 2 3 2 3 3 2 4" xfId="12213"/>
    <cellStyle name="20% - Accent1 2 3 2 3 3 2 4 2" xfId="24014"/>
    <cellStyle name="20% - Accent1 2 3 2 3 3 2 4 2 2" xfId="51628"/>
    <cellStyle name="20% - Accent1 2 3 2 3 3 2 4 3" xfId="37629"/>
    <cellStyle name="20% - Accent1 2 3 2 3 3 2 5" xfId="6623"/>
    <cellStyle name="20% - Accent1 2 3 2 3 3 2 5 2" xfId="44037"/>
    <cellStyle name="20% - Accent1 2 3 2 3 3 2 6" xfId="18424"/>
    <cellStyle name="20% - Accent1 2 3 2 3 3 2 6 2" xfId="51629"/>
    <cellStyle name="20% - Accent1 2 3 2 3 3 2 7" xfId="32039"/>
    <cellStyle name="20% - Accent1 2 3 2 3 3 3" xfId="2632"/>
    <cellStyle name="20% - Accent1 2 3 2 3 3 3 2" xfId="12214"/>
    <cellStyle name="20% - Accent1 2 3 2 3 3 3 2 2" xfId="24015"/>
    <cellStyle name="20% - Accent1 2 3 2 3 3 3 2 2 2" xfId="51630"/>
    <cellStyle name="20% - Accent1 2 3 2 3 3 3 2 3" xfId="37630"/>
    <cellStyle name="20% - Accent1 2 3 2 3 3 3 3" xfId="8085"/>
    <cellStyle name="20% - Accent1 2 3 2 3 3 3 3 2" xfId="44038"/>
    <cellStyle name="20% - Accent1 2 3 2 3 3 3 4" xfId="19886"/>
    <cellStyle name="20% - Accent1 2 3 2 3 3 3 4 2" xfId="51631"/>
    <cellStyle name="20% - Accent1 2 3 2 3 3 3 5" xfId="33501"/>
    <cellStyle name="20% - Accent1 2 3 2 3 3 4" xfId="12215"/>
    <cellStyle name="20% - Accent1 2 3 2 3 3 4 2" xfId="24016"/>
    <cellStyle name="20% - Accent1 2 3 2 3 3 4 2 2" xfId="44039"/>
    <cellStyle name="20% - Accent1 2 3 2 3 3 4 3" xfId="29476"/>
    <cellStyle name="20% - Accent1 2 3 2 3 3 4 3 2" xfId="44040"/>
    <cellStyle name="20% - Accent1 2 3 2 3 3 4 4" xfId="29477"/>
    <cellStyle name="20% - Accent1 2 3 2 3 3 4 4 2" xfId="51632"/>
    <cellStyle name="20% - Accent1 2 3 2 3 3 4 5" xfId="37631"/>
    <cellStyle name="20% - Accent1 2 3 2 3 3 5" xfId="12216"/>
    <cellStyle name="20% - Accent1 2 3 2 3 3 5 2" xfId="24017"/>
    <cellStyle name="20% - Accent1 2 3 2 3 3 5 2 2" xfId="51633"/>
    <cellStyle name="20% - Accent1 2 3 2 3 3 5 3" xfId="37632"/>
    <cellStyle name="20% - Accent1 2 3 2 3 3 6" xfId="6185"/>
    <cellStyle name="20% - Accent1 2 3 2 3 3 6 2" xfId="44041"/>
    <cellStyle name="20% - Accent1 2 3 2 3 3 7" xfId="17986"/>
    <cellStyle name="20% - Accent1 2 3 2 3 3 7 2" xfId="51634"/>
    <cellStyle name="20% - Accent1 2 3 2 3 3 8" xfId="31601"/>
    <cellStyle name="20% - Accent1 2 3 2 3 4" xfId="1170"/>
    <cellStyle name="20% - Accent1 2 3 2 3 4 2" xfId="5041"/>
    <cellStyle name="20% - Accent1 2 3 2 3 4 2 2" xfId="12217"/>
    <cellStyle name="20% - Accent1 2 3 2 3 4 2 2 2" xfId="24018"/>
    <cellStyle name="20% - Accent1 2 3 2 3 4 2 2 2 2" xfId="51635"/>
    <cellStyle name="20% - Accent1 2 3 2 3 4 2 2 3" xfId="37633"/>
    <cellStyle name="20% - Accent1 2 3 2 3 4 2 3" xfId="10494"/>
    <cellStyle name="20% - Accent1 2 3 2 3 4 2 3 2" xfId="44042"/>
    <cellStyle name="20% - Accent1 2 3 2 3 4 2 4" xfId="22295"/>
    <cellStyle name="20% - Accent1 2 3 2 3 4 2 4 2" xfId="51636"/>
    <cellStyle name="20% - Accent1 2 3 2 3 4 2 5" xfId="35910"/>
    <cellStyle name="20% - Accent1 2 3 2 3 4 3" xfId="3200"/>
    <cellStyle name="20% - Accent1 2 3 2 3 4 3 2" xfId="12218"/>
    <cellStyle name="20% - Accent1 2 3 2 3 4 3 2 2" xfId="24019"/>
    <cellStyle name="20% - Accent1 2 3 2 3 4 3 2 2 2" xfId="51637"/>
    <cellStyle name="20% - Accent1 2 3 2 3 4 3 2 3" xfId="37634"/>
    <cellStyle name="20% - Accent1 2 3 2 3 4 3 3" xfId="8653"/>
    <cellStyle name="20% - Accent1 2 3 2 3 4 3 3 2" xfId="44043"/>
    <cellStyle name="20% - Accent1 2 3 2 3 4 3 4" xfId="20454"/>
    <cellStyle name="20% - Accent1 2 3 2 3 4 3 4 2" xfId="51638"/>
    <cellStyle name="20% - Accent1 2 3 2 3 4 3 5" xfId="34069"/>
    <cellStyle name="20% - Accent1 2 3 2 3 4 4" xfId="12219"/>
    <cellStyle name="20% - Accent1 2 3 2 3 4 4 2" xfId="24020"/>
    <cellStyle name="20% - Accent1 2 3 2 3 4 4 2 2" xfId="51639"/>
    <cellStyle name="20% - Accent1 2 3 2 3 4 4 3" xfId="37635"/>
    <cellStyle name="20% - Accent1 2 3 2 3 4 5" xfId="6624"/>
    <cellStyle name="20% - Accent1 2 3 2 3 4 5 2" xfId="44044"/>
    <cellStyle name="20% - Accent1 2 3 2 3 4 6" xfId="18425"/>
    <cellStyle name="20% - Accent1 2 3 2 3 4 6 2" xfId="51640"/>
    <cellStyle name="20% - Accent1 2 3 2 3 4 7" xfId="32040"/>
    <cellStyle name="20% - Accent1 2 3 2 3 5" xfId="3905"/>
    <cellStyle name="20% - Accent1 2 3 2 3 5 2" xfId="12220"/>
    <cellStyle name="20% - Accent1 2 3 2 3 5 2 2" xfId="24021"/>
    <cellStyle name="20% - Accent1 2 3 2 3 5 2 2 2" xfId="51641"/>
    <cellStyle name="20% - Accent1 2 3 2 3 5 2 3" xfId="37636"/>
    <cellStyle name="20% - Accent1 2 3 2 3 5 3" xfId="9358"/>
    <cellStyle name="20% - Accent1 2 3 2 3 5 3 2" xfId="44045"/>
    <cellStyle name="20% - Accent1 2 3 2 3 5 4" xfId="21159"/>
    <cellStyle name="20% - Accent1 2 3 2 3 5 4 2" xfId="51642"/>
    <cellStyle name="20% - Accent1 2 3 2 3 5 5" xfId="34774"/>
    <cellStyle name="20% - Accent1 2 3 2 3 6" xfId="2064"/>
    <cellStyle name="20% - Accent1 2 3 2 3 6 2" xfId="12221"/>
    <cellStyle name="20% - Accent1 2 3 2 3 6 2 2" xfId="24022"/>
    <cellStyle name="20% - Accent1 2 3 2 3 6 2 2 2" xfId="51643"/>
    <cellStyle name="20% - Accent1 2 3 2 3 6 2 3" xfId="37637"/>
    <cellStyle name="20% - Accent1 2 3 2 3 6 3" xfId="7517"/>
    <cellStyle name="20% - Accent1 2 3 2 3 6 3 2" xfId="44046"/>
    <cellStyle name="20% - Accent1 2 3 2 3 6 4" xfId="19318"/>
    <cellStyle name="20% - Accent1 2 3 2 3 6 4 2" xfId="51644"/>
    <cellStyle name="20% - Accent1 2 3 2 3 6 5" xfId="32933"/>
    <cellStyle name="20% - Accent1 2 3 2 3 7" xfId="12222"/>
    <cellStyle name="20% - Accent1 2 3 2 3 7 2" xfId="24023"/>
    <cellStyle name="20% - Accent1 2 3 2 3 7 2 2" xfId="51645"/>
    <cellStyle name="20% - Accent1 2 3 2 3 7 3" xfId="37638"/>
    <cellStyle name="20% - Accent1 2 3 2 3 8" xfId="5617"/>
    <cellStyle name="20% - Accent1 2 3 2 3 8 2" xfId="44047"/>
    <cellStyle name="20% - Accent1 2 3 2 3 9" xfId="17418"/>
    <cellStyle name="20% - Accent1 2 3 2 3 9 2" xfId="51646"/>
    <cellStyle name="20% - Accent1 2 3 2 4" xfId="459"/>
    <cellStyle name="20% - Accent1 2 3 2 4 2" xfId="1171"/>
    <cellStyle name="20% - Accent1 2 3 2 4 2 2" xfId="4769"/>
    <cellStyle name="20% - Accent1 2 3 2 4 2 2 2" xfId="12223"/>
    <cellStyle name="20% - Accent1 2 3 2 4 2 2 2 2" xfId="24024"/>
    <cellStyle name="20% - Accent1 2 3 2 4 2 2 2 2 2" xfId="51647"/>
    <cellStyle name="20% - Accent1 2 3 2 4 2 2 2 3" xfId="37639"/>
    <cellStyle name="20% - Accent1 2 3 2 4 2 2 3" xfId="10222"/>
    <cellStyle name="20% - Accent1 2 3 2 4 2 2 3 2" xfId="44048"/>
    <cellStyle name="20% - Accent1 2 3 2 4 2 2 4" xfId="22023"/>
    <cellStyle name="20% - Accent1 2 3 2 4 2 2 4 2" xfId="51648"/>
    <cellStyle name="20% - Accent1 2 3 2 4 2 2 5" xfId="35638"/>
    <cellStyle name="20% - Accent1 2 3 2 4 2 3" xfId="2928"/>
    <cellStyle name="20% - Accent1 2 3 2 4 2 3 2" xfId="12224"/>
    <cellStyle name="20% - Accent1 2 3 2 4 2 3 2 2" xfId="24025"/>
    <cellStyle name="20% - Accent1 2 3 2 4 2 3 2 2 2" xfId="51649"/>
    <cellStyle name="20% - Accent1 2 3 2 4 2 3 2 3" xfId="37640"/>
    <cellStyle name="20% - Accent1 2 3 2 4 2 3 3" xfId="8381"/>
    <cellStyle name="20% - Accent1 2 3 2 4 2 3 3 2" xfId="44049"/>
    <cellStyle name="20% - Accent1 2 3 2 4 2 3 4" xfId="20182"/>
    <cellStyle name="20% - Accent1 2 3 2 4 2 3 4 2" xfId="51650"/>
    <cellStyle name="20% - Accent1 2 3 2 4 2 3 5" xfId="33797"/>
    <cellStyle name="20% - Accent1 2 3 2 4 2 4" xfId="12225"/>
    <cellStyle name="20% - Accent1 2 3 2 4 2 4 2" xfId="24026"/>
    <cellStyle name="20% - Accent1 2 3 2 4 2 4 2 2" xfId="51651"/>
    <cellStyle name="20% - Accent1 2 3 2 4 2 4 3" xfId="37641"/>
    <cellStyle name="20% - Accent1 2 3 2 4 2 5" xfId="6625"/>
    <cellStyle name="20% - Accent1 2 3 2 4 2 5 2" xfId="44050"/>
    <cellStyle name="20% - Accent1 2 3 2 4 2 6" xfId="18426"/>
    <cellStyle name="20% - Accent1 2 3 2 4 2 6 2" xfId="51652"/>
    <cellStyle name="20% - Accent1 2 3 2 4 2 7" xfId="32041"/>
    <cellStyle name="20% - Accent1 2 3 2 4 3" xfId="3496"/>
    <cellStyle name="20% - Accent1 2 3 2 4 3 2" xfId="5337"/>
    <cellStyle name="20% - Accent1 2 3 2 4 3 2 2" xfId="16807"/>
    <cellStyle name="20% - Accent1 2 3 2 4 3 2 2 2" xfId="28608"/>
    <cellStyle name="20% - Accent1 2 3 2 4 3 2 2 2 2" xfId="51653"/>
    <cellStyle name="20% - Accent1 2 3 2 4 3 2 2 3" xfId="42223"/>
    <cellStyle name="20% - Accent1 2 3 2 4 3 2 3" xfId="10790"/>
    <cellStyle name="20% - Accent1 2 3 2 4 3 2 3 2" xfId="51654"/>
    <cellStyle name="20% - Accent1 2 3 2 4 3 2 4" xfId="22591"/>
    <cellStyle name="20% - Accent1 2 3 2 4 3 2 4 2" xfId="51655"/>
    <cellStyle name="20% - Accent1 2 3 2 4 3 2 5" xfId="36206"/>
    <cellStyle name="20% - Accent1 2 3 2 4 3 3" xfId="12226"/>
    <cellStyle name="20% - Accent1 2 3 2 4 3 3 2" xfId="24027"/>
    <cellStyle name="20% - Accent1 2 3 2 4 3 3 2 2" xfId="51656"/>
    <cellStyle name="20% - Accent1 2 3 2 4 3 3 3" xfId="37642"/>
    <cellStyle name="20% - Accent1 2 3 2 4 3 4" xfId="8949"/>
    <cellStyle name="20% - Accent1 2 3 2 4 3 4 2" xfId="51657"/>
    <cellStyle name="20% - Accent1 2 3 2 4 3 5" xfId="20750"/>
    <cellStyle name="20% - Accent1 2 3 2 4 3 5 2" xfId="51658"/>
    <cellStyle name="20% - Accent1 2 3 2 4 3 6" xfId="34365"/>
    <cellStyle name="20% - Accent1 2 3 2 4 4" xfId="4201"/>
    <cellStyle name="20% - Accent1 2 3 2 4 4 2" xfId="12227"/>
    <cellStyle name="20% - Accent1 2 3 2 4 4 2 2" xfId="24028"/>
    <cellStyle name="20% - Accent1 2 3 2 4 4 2 2 2" xfId="51659"/>
    <cellStyle name="20% - Accent1 2 3 2 4 4 2 3" xfId="37643"/>
    <cellStyle name="20% - Accent1 2 3 2 4 4 3" xfId="9654"/>
    <cellStyle name="20% - Accent1 2 3 2 4 4 3 2" xfId="44051"/>
    <cellStyle name="20% - Accent1 2 3 2 4 4 4" xfId="21455"/>
    <cellStyle name="20% - Accent1 2 3 2 4 4 4 2" xfId="51660"/>
    <cellStyle name="20% - Accent1 2 3 2 4 4 5" xfId="35070"/>
    <cellStyle name="20% - Accent1 2 3 2 4 5" xfId="2360"/>
    <cellStyle name="20% - Accent1 2 3 2 4 5 2" xfId="16999"/>
    <cellStyle name="20% - Accent1 2 3 2 4 5 2 2" xfId="28800"/>
    <cellStyle name="20% - Accent1 2 3 2 4 5 2 2 2" xfId="51661"/>
    <cellStyle name="20% - Accent1 2 3 2 4 5 2 3" xfId="42415"/>
    <cellStyle name="20% - Accent1 2 3 2 4 5 3" xfId="7813"/>
    <cellStyle name="20% - Accent1 2 3 2 4 5 3 2" xfId="51662"/>
    <cellStyle name="20% - Accent1 2 3 2 4 5 4" xfId="19614"/>
    <cellStyle name="20% - Accent1 2 3 2 4 5 4 2" xfId="51663"/>
    <cellStyle name="20% - Accent1 2 3 2 4 5 5" xfId="33229"/>
    <cellStyle name="20% - Accent1 2 3 2 4 6" xfId="12228"/>
    <cellStyle name="20% - Accent1 2 3 2 4 6 2" xfId="24029"/>
    <cellStyle name="20% - Accent1 2 3 2 4 6 2 2" xfId="51664"/>
    <cellStyle name="20% - Accent1 2 3 2 4 6 3" xfId="37644"/>
    <cellStyle name="20% - Accent1 2 3 2 4 7" xfId="5913"/>
    <cellStyle name="20% - Accent1 2 3 2 4 7 2" xfId="51665"/>
    <cellStyle name="20% - Accent1 2 3 2 4 8" xfId="17714"/>
    <cellStyle name="20% - Accent1 2 3 2 4 8 2" xfId="51666"/>
    <cellStyle name="20% - Accent1 2 3 2 4 9" xfId="31329"/>
    <cellStyle name="20% - Accent1 2 3 2 5" xfId="273"/>
    <cellStyle name="20% - Accent1 2 3 2 5 2" xfId="1172"/>
    <cellStyle name="20% - Accent1 2 3 2 5 2 2" xfId="4583"/>
    <cellStyle name="20% - Accent1 2 3 2 5 2 2 2" xfId="12229"/>
    <cellStyle name="20% - Accent1 2 3 2 5 2 2 2 2" xfId="24030"/>
    <cellStyle name="20% - Accent1 2 3 2 5 2 2 2 2 2" xfId="51667"/>
    <cellStyle name="20% - Accent1 2 3 2 5 2 2 2 3" xfId="37645"/>
    <cellStyle name="20% - Accent1 2 3 2 5 2 2 3" xfId="10036"/>
    <cellStyle name="20% - Accent1 2 3 2 5 2 2 3 2" xfId="44052"/>
    <cellStyle name="20% - Accent1 2 3 2 5 2 2 4" xfId="21837"/>
    <cellStyle name="20% - Accent1 2 3 2 5 2 2 4 2" xfId="51668"/>
    <cellStyle name="20% - Accent1 2 3 2 5 2 2 5" xfId="35452"/>
    <cellStyle name="20% - Accent1 2 3 2 5 2 3" xfId="2742"/>
    <cellStyle name="20% - Accent1 2 3 2 5 2 3 2" xfId="12230"/>
    <cellStyle name="20% - Accent1 2 3 2 5 2 3 2 2" xfId="24031"/>
    <cellStyle name="20% - Accent1 2 3 2 5 2 3 2 2 2" xfId="51669"/>
    <cellStyle name="20% - Accent1 2 3 2 5 2 3 2 3" xfId="37646"/>
    <cellStyle name="20% - Accent1 2 3 2 5 2 3 3" xfId="8195"/>
    <cellStyle name="20% - Accent1 2 3 2 5 2 3 3 2" xfId="44053"/>
    <cellStyle name="20% - Accent1 2 3 2 5 2 3 4" xfId="19996"/>
    <cellStyle name="20% - Accent1 2 3 2 5 2 3 4 2" xfId="51670"/>
    <cellStyle name="20% - Accent1 2 3 2 5 2 3 5" xfId="33611"/>
    <cellStyle name="20% - Accent1 2 3 2 5 2 4" xfId="12231"/>
    <cellStyle name="20% - Accent1 2 3 2 5 2 4 2" xfId="24032"/>
    <cellStyle name="20% - Accent1 2 3 2 5 2 4 2 2" xfId="51671"/>
    <cellStyle name="20% - Accent1 2 3 2 5 2 4 3" xfId="37647"/>
    <cellStyle name="20% - Accent1 2 3 2 5 2 5" xfId="6626"/>
    <cellStyle name="20% - Accent1 2 3 2 5 2 5 2" xfId="44054"/>
    <cellStyle name="20% - Accent1 2 3 2 5 2 6" xfId="18427"/>
    <cellStyle name="20% - Accent1 2 3 2 5 2 6 2" xfId="51672"/>
    <cellStyle name="20% - Accent1 2 3 2 5 2 7" xfId="32042"/>
    <cellStyle name="20% - Accent1 2 3 2 5 3" xfId="3310"/>
    <cellStyle name="20% - Accent1 2 3 2 5 3 2" xfId="5151"/>
    <cellStyle name="20% - Accent1 2 3 2 5 3 2 2" xfId="16621"/>
    <cellStyle name="20% - Accent1 2 3 2 5 3 2 2 2" xfId="28422"/>
    <cellStyle name="20% - Accent1 2 3 2 5 3 2 2 2 2" xfId="51673"/>
    <cellStyle name="20% - Accent1 2 3 2 5 3 2 2 3" xfId="42037"/>
    <cellStyle name="20% - Accent1 2 3 2 5 3 2 3" xfId="10604"/>
    <cellStyle name="20% - Accent1 2 3 2 5 3 2 3 2" xfId="51674"/>
    <cellStyle name="20% - Accent1 2 3 2 5 3 2 4" xfId="22405"/>
    <cellStyle name="20% - Accent1 2 3 2 5 3 2 4 2" xfId="51675"/>
    <cellStyle name="20% - Accent1 2 3 2 5 3 2 5" xfId="36020"/>
    <cellStyle name="20% - Accent1 2 3 2 5 3 3" xfId="12232"/>
    <cellStyle name="20% - Accent1 2 3 2 5 3 3 2" xfId="24033"/>
    <cellStyle name="20% - Accent1 2 3 2 5 3 3 2 2" xfId="51676"/>
    <cellStyle name="20% - Accent1 2 3 2 5 3 3 3" xfId="37648"/>
    <cellStyle name="20% - Accent1 2 3 2 5 3 4" xfId="8763"/>
    <cellStyle name="20% - Accent1 2 3 2 5 3 4 2" xfId="51677"/>
    <cellStyle name="20% - Accent1 2 3 2 5 3 5" xfId="20564"/>
    <cellStyle name="20% - Accent1 2 3 2 5 3 5 2" xfId="51678"/>
    <cellStyle name="20% - Accent1 2 3 2 5 3 6" xfId="34179"/>
    <cellStyle name="20% - Accent1 2 3 2 5 4" xfId="4015"/>
    <cellStyle name="20% - Accent1 2 3 2 5 4 2" xfId="12233"/>
    <cellStyle name="20% - Accent1 2 3 2 5 4 2 2" xfId="24034"/>
    <cellStyle name="20% - Accent1 2 3 2 5 4 2 2 2" xfId="51679"/>
    <cellStyle name="20% - Accent1 2 3 2 5 4 2 3" xfId="37649"/>
    <cellStyle name="20% - Accent1 2 3 2 5 4 3" xfId="9468"/>
    <cellStyle name="20% - Accent1 2 3 2 5 4 3 2" xfId="44055"/>
    <cellStyle name="20% - Accent1 2 3 2 5 4 4" xfId="21269"/>
    <cellStyle name="20% - Accent1 2 3 2 5 4 4 2" xfId="51680"/>
    <cellStyle name="20% - Accent1 2 3 2 5 4 5" xfId="34884"/>
    <cellStyle name="20% - Accent1 2 3 2 5 5" xfId="2174"/>
    <cellStyle name="20% - Accent1 2 3 2 5 5 2" xfId="17000"/>
    <cellStyle name="20% - Accent1 2 3 2 5 5 2 2" xfId="28801"/>
    <cellStyle name="20% - Accent1 2 3 2 5 5 2 2 2" xfId="51681"/>
    <cellStyle name="20% - Accent1 2 3 2 5 5 2 3" xfId="42416"/>
    <cellStyle name="20% - Accent1 2 3 2 5 5 3" xfId="7627"/>
    <cellStyle name="20% - Accent1 2 3 2 5 5 3 2" xfId="51682"/>
    <cellStyle name="20% - Accent1 2 3 2 5 5 4" xfId="19428"/>
    <cellStyle name="20% - Accent1 2 3 2 5 5 4 2" xfId="51683"/>
    <cellStyle name="20% - Accent1 2 3 2 5 5 5" xfId="33043"/>
    <cellStyle name="20% - Accent1 2 3 2 5 6" xfId="12234"/>
    <cellStyle name="20% - Accent1 2 3 2 5 6 2" xfId="24035"/>
    <cellStyle name="20% - Accent1 2 3 2 5 6 2 2" xfId="51684"/>
    <cellStyle name="20% - Accent1 2 3 2 5 6 3" xfId="37650"/>
    <cellStyle name="20% - Accent1 2 3 2 5 7" xfId="5727"/>
    <cellStyle name="20% - Accent1 2 3 2 5 7 2" xfId="51685"/>
    <cellStyle name="20% - Accent1 2 3 2 5 8" xfId="17528"/>
    <cellStyle name="20% - Accent1 2 3 2 5 8 2" xfId="51686"/>
    <cellStyle name="20% - Accent1 2 3 2 5 9" xfId="31143"/>
    <cellStyle name="20% - Accent1 2 3 2 6" xfId="600"/>
    <cellStyle name="20% - Accent1 2 3 2 6 2" xfId="1173"/>
    <cellStyle name="20% - Accent1 2 3 2 6 2 2" xfId="4342"/>
    <cellStyle name="20% - Accent1 2 3 2 6 2 2 2" xfId="12235"/>
    <cellStyle name="20% - Accent1 2 3 2 6 2 2 2 2" xfId="24036"/>
    <cellStyle name="20% - Accent1 2 3 2 6 2 2 2 2 2" xfId="51687"/>
    <cellStyle name="20% - Accent1 2 3 2 6 2 2 2 3" xfId="37651"/>
    <cellStyle name="20% - Accent1 2 3 2 6 2 2 3" xfId="9795"/>
    <cellStyle name="20% - Accent1 2 3 2 6 2 2 3 2" xfId="44056"/>
    <cellStyle name="20% - Accent1 2 3 2 6 2 2 4" xfId="21596"/>
    <cellStyle name="20% - Accent1 2 3 2 6 2 2 4 2" xfId="51688"/>
    <cellStyle name="20% - Accent1 2 3 2 6 2 2 5" xfId="35211"/>
    <cellStyle name="20% - Accent1 2 3 2 6 2 3" xfId="12236"/>
    <cellStyle name="20% - Accent1 2 3 2 6 2 3 2" xfId="24037"/>
    <cellStyle name="20% - Accent1 2 3 2 6 2 3 2 2" xfId="44057"/>
    <cellStyle name="20% - Accent1 2 3 2 6 2 3 3" xfId="29478"/>
    <cellStyle name="20% - Accent1 2 3 2 6 2 3 3 2" xfId="44058"/>
    <cellStyle name="20% - Accent1 2 3 2 6 2 3 4" xfId="29479"/>
    <cellStyle name="20% - Accent1 2 3 2 6 2 3 4 2" xfId="51689"/>
    <cellStyle name="20% - Accent1 2 3 2 6 2 3 5" xfId="37652"/>
    <cellStyle name="20% - Accent1 2 3 2 6 2 4" xfId="12237"/>
    <cellStyle name="20% - Accent1 2 3 2 6 2 4 2" xfId="24038"/>
    <cellStyle name="20% - Accent1 2 3 2 6 2 4 2 2" xfId="51690"/>
    <cellStyle name="20% - Accent1 2 3 2 6 2 4 3" xfId="37653"/>
    <cellStyle name="20% - Accent1 2 3 2 6 2 5" xfId="6627"/>
    <cellStyle name="20% - Accent1 2 3 2 6 2 5 2" xfId="44059"/>
    <cellStyle name="20% - Accent1 2 3 2 6 2 6" xfId="18428"/>
    <cellStyle name="20% - Accent1 2 3 2 6 2 6 2" xfId="51691"/>
    <cellStyle name="20% - Accent1 2 3 2 6 2 7" xfId="32043"/>
    <cellStyle name="20% - Accent1 2 3 2 6 3" xfId="2501"/>
    <cellStyle name="20% - Accent1 2 3 2 6 3 2" xfId="12238"/>
    <cellStyle name="20% - Accent1 2 3 2 6 3 2 2" xfId="24039"/>
    <cellStyle name="20% - Accent1 2 3 2 6 3 2 2 2" xfId="51692"/>
    <cellStyle name="20% - Accent1 2 3 2 6 3 2 3" xfId="37654"/>
    <cellStyle name="20% - Accent1 2 3 2 6 3 3" xfId="7954"/>
    <cellStyle name="20% - Accent1 2 3 2 6 3 3 2" xfId="44060"/>
    <cellStyle name="20% - Accent1 2 3 2 6 3 4" xfId="19755"/>
    <cellStyle name="20% - Accent1 2 3 2 6 3 4 2" xfId="51693"/>
    <cellStyle name="20% - Accent1 2 3 2 6 3 5" xfId="33370"/>
    <cellStyle name="20% - Accent1 2 3 2 6 4" xfId="12239"/>
    <cellStyle name="20% - Accent1 2 3 2 6 4 2" xfId="24040"/>
    <cellStyle name="20% - Accent1 2 3 2 6 4 2 2" xfId="44061"/>
    <cellStyle name="20% - Accent1 2 3 2 6 4 3" xfId="29480"/>
    <cellStyle name="20% - Accent1 2 3 2 6 4 3 2" xfId="44062"/>
    <cellStyle name="20% - Accent1 2 3 2 6 4 4" xfId="29481"/>
    <cellStyle name="20% - Accent1 2 3 2 6 4 4 2" xfId="51694"/>
    <cellStyle name="20% - Accent1 2 3 2 6 4 5" xfId="37655"/>
    <cellStyle name="20% - Accent1 2 3 2 6 5" xfId="12240"/>
    <cellStyle name="20% - Accent1 2 3 2 6 5 2" xfId="24041"/>
    <cellStyle name="20% - Accent1 2 3 2 6 5 2 2" xfId="51695"/>
    <cellStyle name="20% - Accent1 2 3 2 6 5 3" xfId="37656"/>
    <cellStyle name="20% - Accent1 2 3 2 6 6" xfId="6054"/>
    <cellStyle name="20% - Accent1 2 3 2 6 6 2" xfId="44063"/>
    <cellStyle name="20% - Accent1 2 3 2 6 7" xfId="17855"/>
    <cellStyle name="20% - Accent1 2 3 2 6 7 2" xfId="51696"/>
    <cellStyle name="20% - Accent1 2 3 2 6 8" xfId="31470"/>
    <cellStyle name="20% - Accent1 2 3 2 7" xfId="841"/>
    <cellStyle name="20% - Accent1 2 3 2 7 2" xfId="1174"/>
    <cellStyle name="20% - Accent1 2 3 2 7 2 2" xfId="4910"/>
    <cellStyle name="20% - Accent1 2 3 2 7 2 2 2" xfId="12241"/>
    <cellStyle name="20% - Accent1 2 3 2 7 2 2 2 2" xfId="24042"/>
    <cellStyle name="20% - Accent1 2 3 2 7 2 2 2 2 2" xfId="51697"/>
    <cellStyle name="20% - Accent1 2 3 2 7 2 2 2 3" xfId="37657"/>
    <cellStyle name="20% - Accent1 2 3 2 7 2 2 3" xfId="10363"/>
    <cellStyle name="20% - Accent1 2 3 2 7 2 2 3 2" xfId="44064"/>
    <cellStyle name="20% - Accent1 2 3 2 7 2 2 4" xfId="22164"/>
    <cellStyle name="20% - Accent1 2 3 2 7 2 2 4 2" xfId="51698"/>
    <cellStyle name="20% - Accent1 2 3 2 7 2 2 5" xfId="35779"/>
    <cellStyle name="20% - Accent1 2 3 2 7 2 3" xfId="12242"/>
    <cellStyle name="20% - Accent1 2 3 2 7 2 3 2" xfId="24043"/>
    <cellStyle name="20% - Accent1 2 3 2 7 2 3 2 2" xfId="44065"/>
    <cellStyle name="20% - Accent1 2 3 2 7 2 3 3" xfId="29482"/>
    <cellStyle name="20% - Accent1 2 3 2 7 2 3 3 2" xfId="44066"/>
    <cellStyle name="20% - Accent1 2 3 2 7 2 3 4" xfId="29483"/>
    <cellStyle name="20% - Accent1 2 3 2 7 2 3 4 2" xfId="51699"/>
    <cellStyle name="20% - Accent1 2 3 2 7 2 3 5" xfId="37658"/>
    <cellStyle name="20% - Accent1 2 3 2 7 2 4" xfId="12243"/>
    <cellStyle name="20% - Accent1 2 3 2 7 2 4 2" xfId="24044"/>
    <cellStyle name="20% - Accent1 2 3 2 7 2 4 2 2" xfId="51700"/>
    <cellStyle name="20% - Accent1 2 3 2 7 2 4 3" xfId="37659"/>
    <cellStyle name="20% - Accent1 2 3 2 7 2 5" xfId="6628"/>
    <cellStyle name="20% - Accent1 2 3 2 7 2 5 2" xfId="44067"/>
    <cellStyle name="20% - Accent1 2 3 2 7 2 6" xfId="18429"/>
    <cellStyle name="20% - Accent1 2 3 2 7 2 6 2" xfId="51701"/>
    <cellStyle name="20% - Accent1 2 3 2 7 2 7" xfId="32044"/>
    <cellStyle name="20% - Accent1 2 3 2 7 3" xfId="3069"/>
    <cellStyle name="20% - Accent1 2 3 2 7 3 2" xfId="12244"/>
    <cellStyle name="20% - Accent1 2 3 2 7 3 2 2" xfId="24045"/>
    <cellStyle name="20% - Accent1 2 3 2 7 3 2 2 2" xfId="51702"/>
    <cellStyle name="20% - Accent1 2 3 2 7 3 2 3" xfId="37660"/>
    <cellStyle name="20% - Accent1 2 3 2 7 3 3" xfId="8522"/>
    <cellStyle name="20% - Accent1 2 3 2 7 3 3 2" xfId="44068"/>
    <cellStyle name="20% - Accent1 2 3 2 7 3 4" xfId="20323"/>
    <cellStyle name="20% - Accent1 2 3 2 7 3 4 2" xfId="51703"/>
    <cellStyle name="20% - Accent1 2 3 2 7 3 5" xfId="33938"/>
    <cellStyle name="20% - Accent1 2 3 2 7 4" xfId="12245"/>
    <cellStyle name="20% - Accent1 2 3 2 7 4 2" xfId="24046"/>
    <cellStyle name="20% - Accent1 2 3 2 7 4 2 2" xfId="44069"/>
    <cellStyle name="20% - Accent1 2 3 2 7 4 3" xfId="29484"/>
    <cellStyle name="20% - Accent1 2 3 2 7 4 3 2" xfId="44070"/>
    <cellStyle name="20% - Accent1 2 3 2 7 4 4" xfId="29485"/>
    <cellStyle name="20% - Accent1 2 3 2 7 4 4 2" xfId="51704"/>
    <cellStyle name="20% - Accent1 2 3 2 7 4 5" xfId="37661"/>
    <cellStyle name="20% - Accent1 2 3 2 7 5" xfId="12246"/>
    <cellStyle name="20% - Accent1 2 3 2 7 5 2" xfId="24047"/>
    <cellStyle name="20% - Accent1 2 3 2 7 5 2 2" xfId="51705"/>
    <cellStyle name="20% - Accent1 2 3 2 7 5 3" xfId="37662"/>
    <cellStyle name="20% - Accent1 2 3 2 7 6" xfId="6295"/>
    <cellStyle name="20% - Accent1 2 3 2 7 6 2" xfId="44071"/>
    <cellStyle name="20% - Accent1 2 3 2 7 7" xfId="18096"/>
    <cellStyle name="20% - Accent1 2 3 2 7 7 2" xfId="51706"/>
    <cellStyle name="20% - Accent1 2 3 2 7 8" xfId="31711"/>
    <cellStyle name="20% - Accent1 2 3 2 8" xfId="1175"/>
    <cellStyle name="20% - Accent1 2 3 2 8 2" xfId="3774"/>
    <cellStyle name="20% - Accent1 2 3 2 8 2 2" xfId="12247"/>
    <cellStyle name="20% - Accent1 2 3 2 8 2 2 2" xfId="24048"/>
    <cellStyle name="20% - Accent1 2 3 2 8 2 2 2 2" xfId="51707"/>
    <cellStyle name="20% - Accent1 2 3 2 8 2 2 3" xfId="37663"/>
    <cellStyle name="20% - Accent1 2 3 2 8 2 3" xfId="9227"/>
    <cellStyle name="20% - Accent1 2 3 2 8 2 3 2" xfId="44072"/>
    <cellStyle name="20% - Accent1 2 3 2 8 2 4" xfId="21028"/>
    <cellStyle name="20% - Accent1 2 3 2 8 2 4 2" xfId="51708"/>
    <cellStyle name="20% - Accent1 2 3 2 8 2 5" xfId="34643"/>
    <cellStyle name="20% - Accent1 2 3 2 8 3" xfId="12248"/>
    <cellStyle name="20% - Accent1 2 3 2 8 3 2" xfId="24049"/>
    <cellStyle name="20% - Accent1 2 3 2 8 3 2 2" xfId="44073"/>
    <cellStyle name="20% - Accent1 2 3 2 8 3 3" xfId="29486"/>
    <cellStyle name="20% - Accent1 2 3 2 8 3 3 2" xfId="44074"/>
    <cellStyle name="20% - Accent1 2 3 2 8 3 4" xfId="29487"/>
    <cellStyle name="20% - Accent1 2 3 2 8 3 4 2" xfId="51709"/>
    <cellStyle name="20% - Accent1 2 3 2 8 3 5" xfId="37664"/>
    <cellStyle name="20% - Accent1 2 3 2 8 4" xfId="12249"/>
    <cellStyle name="20% - Accent1 2 3 2 8 4 2" xfId="24050"/>
    <cellStyle name="20% - Accent1 2 3 2 8 4 2 2" xfId="51710"/>
    <cellStyle name="20% - Accent1 2 3 2 8 4 3" xfId="37665"/>
    <cellStyle name="20% - Accent1 2 3 2 8 5" xfId="6629"/>
    <cellStyle name="20% - Accent1 2 3 2 8 5 2" xfId="44075"/>
    <cellStyle name="20% - Accent1 2 3 2 8 6" xfId="18430"/>
    <cellStyle name="20% - Accent1 2 3 2 8 6 2" xfId="51711"/>
    <cellStyle name="20% - Accent1 2 3 2 8 7" xfId="32045"/>
    <cellStyle name="20% - Accent1 2 3 2 9" xfId="3637"/>
    <cellStyle name="20% - Accent1 2 3 2 9 2" xfId="12250"/>
    <cellStyle name="20% - Accent1 2 3 2 9 2 2" xfId="24051"/>
    <cellStyle name="20% - Accent1 2 3 2 9 2 2 2" xfId="51712"/>
    <cellStyle name="20% - Accent1 2 3 2 9 2 3" xfId="37666"/>
    <cellStyle name="20% - Accent1 2 3 2 9 3" xfId="9090"/>
    <cellStyle name="20% - Accent1 2 3 2 9 3 2" xfId="44076"/>
    <cellStyle name="20% - Accent1 2 3 2 9 4" xfId="20891"/>
    <cellStyle name="20% - Accent1 2 3 2 9 4 2" xfId="51713"/>
    <cellStyle name="20% - Accent1 2 3 2 9 5" xfId="34506"/>
    <cellStyle name="20% - Accent1 2 3 3" xfId="43"/>
    <cellStyle name="20% - Accent1 2 3 3 10" xfId="1944"/>
    <cellStyle name="20% - Accent1 2 3 3 10 2" xfId="12251"/>
    <cellStyle name="20% - Accent1 2 3 3 10 2 2" xfId="24052"/>
    <cellStyle name="20% - Accent1 2 3 3 10 2 2 2" xfId="51714"/>
    <cellStyle name="20% - Accent1 2 3 3 10 2 3" xfId="37667"/>
    <cellStyle name="20% - Accent1 2 3 3 10 3" xfId="7397"/>
    <cellStyle name="20% - Accent1 2 3 3 10 3 2" xfId="44077"/>
    <cellStyle name="20% - Accent1 2 3 3 10 4" xfId="19198"/>
    <cellStyle name="20% - Accent1 2 3 3 10 4 2" xfId="51715"/>
    <cellStyle name="20% - Accent1 2 3 3 10 5" xfId="32813"/>
    <cellStyle name="20% - Accent1 2 3 3 11" xfId="12252"/>
    <cellStyle name="20% - Accent1 2 3 3 11 2" xfId="24053"/>
    <cellStyle name="20% - Accent1 2 3 3 11 2 2" xfId="51716"/>
    <cellStyle name="20% - Accent1 2 3 3 11 3" xfId="37668"/>
    <cellStyle name="20% - Accent1 2 3 3 12" xfId="5497"/>
    <cellStyle name="20% - Accent1 2 3 3 12 2" xfId="44078"/>
    <cellStyle name="20% - Accent1 2 3 3 13" xfId="17298"/>
    <cellStyle name="20% - Accent1 2 3 3 13 2" xfId="51717"/>
    <cellStyle name="20% - Accent1 2 3 3 14" xfId="30913"/>
    <cellStyle name="20% - Accent1 2 3 3 2" xfId="110"/>
    <cellStyle name="20% - Accent1 2 3 3 2 10" xfId="5564"/>
    <cellStyle name="20% - Accent1 2 3 3 2 10 2" xfId="44079"/>
    <cellStyle name="20% - Accent1 2 3 3 2 11" xfId="17365"/>
    <cellStyle name="20% - Accent1 2 3 3 2 11 2" xfId="51718"/>
    <cellStyle name="20% - Accent1 2 3 3 2 12" xfId="30980"/>
    <cellStyle name="20% - Accent1 2 3 3 2 2" xfId="202"/>
    <cellStyle name="20% - Accent1 2 3 3 2 2 10" xfId="31072"/>
    <cellStyle name="20% - Accent1 2 3 3 2 2 2" xfId="537"/>
    <cellStyle name="20% - Accent1 2 3 3 2 2 2 2" xfId="1176"/>
    <cellStyle name="20% - Accent1 2 3 3 2 2 2 2 2" xfId="4847"/>
    <cellStyle name="20% - Accent1 2 3 3 2 2 2 2 2 2" xfId="12253"/>
    <cellStyle name="20% - Accent1 2 3 3 2 2 2 2 2 2 2" xfId="24054"/>
    <cellStyle name="20% - Accent1 2 3 3 2 2 2 2 2 2 2 2" xfId="51719"/>
    <cellStyle name="20% - Accent1 2 3 3 2 2 2 2 2 2 3" xfId="37669"/>
    <cellStyle name="20% - Accent1 2 3 3 2 2 2 2 2 3" xfId="10300"/>
    <cellStyle name="20% - Accent1 2 3 3 2 2 2 2 2 3 2" xfId="44080"/>
    <cellStyle name="20% - Accent1 2 3 3 2 2 2 2 2 4" xfId="22101"/>
    <cellStyle name="20% - Accent1 2 3 3 2 2 2 2 2 4 2" xfId="51720"/>
    <cellStyle name="20% - Accent1 2 3 3 2 2 2 2 2 5" xfId="35716"/>
    <cellStyle name="20% - Accent1 2 3 3 2 2 2 2 3" xfId="3006"/>
    <cellStyle name="20% - Accent1 2 3 3 2 2 2 2 3 2" xfId="12254"/>
    <cellStyle name="20% - Accent1 2 3 3 2 2 2 2 3 2 2" xfId="24055"/>
    <cellStyle name="20% - Accent1 2 3 3 2 2 2 2 3 2 2 2" xfId="51721"/>
    <cellStyle name="20% - Accent1 2 3 3 2 2 2 2 3 2 3" xfId="37670"/>
    <cellStyle name="20% - Accent1 2 3 3 2 2 2 2 3 3" xfId="8459"/>
    <cellStyle name="20% - Accent1 2 3 3 2 2 2 2 3 3 2" xfId="44081"/>
    <cellStyle name="20% - Accent1 2 3 3 2 2 2 2 3 4" xfId="20260"/>
    <cellStyle name="20% - Accent1 2 3 3 2 2 2 2 3 4 2" xfId="51722"/>
    <cellStyle name="20% - Accent1 2 3 3 2 2 2 2 3 5" xfId="33875"/>
    <cellStyle name="20% - Accent1 2 3 3 2 2 2 2 4" xfId="12255"/>
    <cellStyle name="20% - Accent1 2 3 3 2 2 2 2 4 2" xfId="24056"/>
    <cellStyle name="20% - Accent1 2 3 3 2 2 2 2 4 2 2" xfId="51723"/>
    <cellStyle name="20% - Accent1 2 3 3 2 2 2 2 4 3" xfId="37671"/>
    <cellStyle name="20% - Accent1 2 3 3 2 2 2 2 5" xfId="6630"/>
    <cellStyle name="20% - Accent1 2 3 3 2 2 2 2 5 2" xfId="44082"/>
    <cellStyle name="20% - Accent1 2 3 3 2 2 2 2 6" xfId="18431"/>
    <cellStyle name="20% - Accent1 2 3 3 2 2 2 2 6 2" xfId="51724"/>
    <cellStyle name="20% - Accent1 2 3 3 2 2 2 2 7" xfId="32046"/>
    <cellStyle name="20% - Accent1 2 3 3 2 2 2 3" xfId="3574"/>
    <cellStyle name="20% - Accent1 2 3 3 2 2 2 3 2" xfId="5415"/>
    <cellStyle name="20% - Accent1 2 3 3 2 2 2 3 2 2" xfId="16885"/>
    <cellStyle name="20% - Accent1 2 3 3 2 2 2 3 2 2 2" xfId="28686"/>
    <cellStyle name="20% - Accent1 2 3 3 2 2 2 3 2 2 2 2" xfId="51725"/>
    <cellStyle name="20% - Accent1 2 3 3 2 2 2 3 2 2 3" xfId="42301"/>
    <cellStyle name="20% - Accent1 2 3 3 2 2 2 3 2 3" xfId="10868"/>
    <cellStyle name="20% - Accent1 2 3 3 2 2 2 3 2 3 2" xfId="51726"/>
    <cellStyle name="20% - Accent1 2 3 3 2 2 2 3 2 4" xfId="22669"/>
    <cellStyle name="20% - Accent1 2 3 3 2 2 2 3 2 4 2" xfId="51727"/>
    <cellStyle name="20% - Accent1 2 3 3 2 2 2 3 2 5" xfId="36284"/>
    <cellStyle name="20% - Accent1 2 3 3 2 2 2 3 3" xfId="12256"/>
    <cellStyle name="20% - Accent1 2 3 3 2 2 2 3 3 2" xfId="24057"/>
    <cellStyle name="20% - Accent1 2 3 3 2 2 2 3 3 2 2" xfId="51728"/>
    <cellStyle name="20% - Accent1 2 3 3 2 2 2 3 3 3" xfId="37672"/>
    <cellStyle name="20% - Accent1 2 3 3 2 2 2 3 4" xfId="9027"/>
    <cellStyle name="20% - Accent1 2 3 3 2 2 2 3 4 2" xfId="51729"/>
    <cellStyle name="20% - Accent1 2 3 3 2 2 2 3 5" xfId="20828"/>
    <cellStyle name="20% - Accent1 2 3 3 2 2 2 3 5 2" xfId="51730"/>
    <cellStyle name="20% - Accent1 2 3 3 2 2 2 3 6" xfId="34443"/>
    <cellStyle name="20% - Accent1 2 3 3 2 2 2 4" xfId="4279"/>
    <cellStyle name="20% - Accent1 2 3 3 2 2 2 4 2" xfId="12257"/>
    <cellStyle name="20% - Accent1 2 3 3 2 2 2 4 2 2" xfId="24058"/>
    <cellStyle name="20% - Accent1 2 3 3 2 2 2 4 2 2 2" xfId="51731"/>
    <cellStyle name="20% - Accent1 2 3 3 2 2 2 4 2 3" xfId="37673"/>
    <cellStyle name="20% - Accent1 2 3 3 2 2 2 4 3" xfId="9732"/>
    <cellStyle name="20% - Accent1 2 3 3 2 2 2 4 3 2" xfId="44083"/>
    <cellStyle name="20% - Accent1 2 3 3 2 2 2 4 4" xfId="21533"/>
    <cellStyle name="20% - Accent1 2 3 3 2 2 2 4 4 2" xfId="51732"/>
    <cellStyle name="20% - Accent1 2 3 3 2 2 2 4 5" xfId="35148"/>
    <cellStyle name="20% - Accent1 2 3 3 2 2 2 5" xfId="2438"/>
    <cellStyle name="20% - Accent1 2 3 3 2 2 2 5 2" xfId="17001"/>
    <cellStyle name="20% - Accent1 2 3 3 2 2 2 5 2 2" xfId="28802"/>
    <cellStyle name="20% - Accent1 2 3 3 2 2 2 5 2 2 2" xfId="51733"/>
    <cellStyle name="20% - Accent1 2 3 3 2 2 2 5 2 3" xfId="42417"/>
    <cellStyle name="20% - Accent1 2 3 3 2 2 2 5 3" xfId="7891"/>
    <cellStyle name="20% - Accent1 2 3 3 2 2 2 5 3 2" xfId="51734"/>
    <cellStyle name="20% - Accent1 2 3 3 2 2 2 5 4" xfId="19692"/>
    <cellStyle name="20% - Accent1 2 3 3 2 2 2 5 4 2" xfId="51735"/>
    <cellStyle name="20% - Accent1 2 3 3 2 2 2 5 5" xfId="33307"/>
    <cellStyle name="20% - Accent1 2 3 3 2 2 2 6" xfId="12258"/>
    <cellStyle name="20% - Accent1 2 3 3 2 2 2 6 2" xfId="24059"/>
    <cellStyle name="20% - Accent1 2 3 3 2 2 2 6 2 2" xfId="51736"/>
    <cellStyle name="20% - Accent1 2 3 3 2 2 2 6 3" xfId="37674"/>
    <cellStyle name="20% - Accent1 2 3 3 2 2 2 7" xfId="5991"/>
    <cellStyle name="20% - Accent1 2 3 3 2 2 2 7 2" xfId="51737"/>
    <cellStyle name="20% - Accent1 2 3 3 2 2 2 8" xfId="17792"/>
    <cellStyle name="20% - Accent1 2 3 3 2 2 2 8 2" xfId="51738"/>
    <cellStyle name="20% - Accent1 2 3 3 2 2 2 9" xfId="31407"/>
    <cellStyle name="20% - Accent1 2 3 3 2 2 3" xfId="770"/>
    <cellStyle name="20% - Accent1 2 3 3 2 2 3 2" xfId="1177"/>
    <cellStyle name="20% - Accent1 2 3 3 2 2 3 2 2" xfId="4512"/>
    <cellStyle name="20% - Accent1 2 3 3 2 2 3 2 2 2" xfId="12259"/>
    <cellStyle name="20% - Accent1 2 3 3 2 2 3 2 2 2 2" xfId="24060"/>
    <cellStyle name="20% - Accent1 2 3 3 2 2 3 2 2 2 2 2" xfId="51739"/>
    <cellStyle name="20% - Accent1 2 3 3 2 2 3 2 2 2 3" xfId="37675"/>
    <cellStyle name="20% - Accent1 2 3 3 2 2 3 2 2 3" xfId="9965"/>
    <cellStyle name="20% - Accent1 2 3 3 2 2 3 2 2 3 2" xfId="44084"/>
    <cellStyle name="20% - Accent1 2 3 3 2 2 3 2 2 4" xfId="21766"/>
    <cellStyle name="20% - Accent1 2 3 3 2 2 3 2 2 4 2" xfId="51740"/>
    <cellStyle name="20% - Accent1 2 3 3 2 2 3 2 2 5" xfId="35381"/>
    <cellStyle name="20% - Accent1 2 3 3 2 2 3 2 3" xfId="12260"/>
    <cellStyle name="20% - Accent1 2 3 3 2 2 3 2 3 2" xfId="24061"/>
    <cellStyle name="20% - Accent1 2 3 3 2 2 3 2 3 2 2" xfId="44085"/>
    <cellStyle name="20% - Accent1 2 3 3 2 2 3 2 3 3" xfId="29488"/>
    <cellStyle name="20% - Accent1 2 3 3 2 2 3 2 3 3 2" xfId="44086"/>
    <cellStyle name="20% - Accent1 2 3 3 2 2 3 2 3 4" xfId="29489"/>
    <cellStyle name="20% - Accent1 2 3 3 2 2 3 2 3 4 2" xfId="51741"/>
    <cellStyle name="20% - Accent1 2 3 3 2 2 3 2 3 5" xfId="37676"/>
    <cellStyle name="20% - Accent1 2 3 3 2 2 3 2 4" xfId="12261"/>
    <cellStyle name="20% - Accent1 2 3 3 2 2 3 2 4 2" xfId="24062"/>
    <cellStyle name="20% - Accent1 2 3 3 2 2 3 2 4 2 2" xfId="51742"/>
    <cellStyle name="20% - Accent1 2 3 3 2 2 3 2 4 3" xfId="37677"/>
    <cellStyle name="20% - Accent1 2 3 3 2 2 3 2 5" xfId="6631"/>
    <cellStyle name="20% - Accent1 2 3 3 2 2 3 2 5 2" xfId="44087"/>
    <cellStyle name="20% - Accent1 2 3 3 2 2 3 2 6" xfId="18432"/>
    <cellStyle name="20% - Accent1 2 3 3 2 2 3 2 6 2" xfId="51743"/>
    <cellStyle name="20% - Accent1 2 3 3 2 2 3 2 7" xfId="32047"/>
    <cellStyle name="20% - Accent1 2 3 3 2 2 3 3" xfId="2671"/>
    <cellStyle name="20% - Accent1 2 3 3 2 2 3 3 2" xfId="12262"/>
    <cellStyle name="20% - Accent1 2 3 3 2 2 3 3 2 2" xfId="24063"/>
    <cellStyle name="20% - Accent1 2 3 3 2 2 3 3 2 2 2" xfId="51744"/>
    <cellStyle name="20% - Accent1 2 3 3 2 2 3 3 2 3" xfId="37678"/>
    <cellStyle name="20% - Accent1 2 3 3 2 2 3 3 3" xfId="8124"/>
    <cellStyle name="20% - Accent1 2 3 3 2 2 3 3 3 2" xfId="44088"/>
    <cellStyle name="20% - Accent1 2 3 3 2 2 3 3 4" xfId="19925"/>
    <cellStyle name="20% - Accent1 2 3 3 2 2 3 3 4 2" xfId="51745"/>
    <cellStyle name="20% - Accent1 2 3 3 2 2 3 3 5" xfId="33540"/>
    <cellStyle name="20% - Accent1 2 3 3 2 2 3 4" xfId="12263"/>
    <cellStyle name="20% - Accent1 2 3 3 2 2 3 4 2" xfId="24064"/>
    <cellStyle name="20% - Accent1 2 3 3 2 2 3 4 2 2" xfId="44089"/>
    <cellStyle name="20% - Accent1 2 3 3 2 2 3 4 3" xfId="29490"/>
    <cellStyle name="20% - Accent1 2 3 3 2 2 3 4 3 2" xfId="44090"/>
    <cellStyle name="20% - Accent1 2 3 3 2 2 3 4 4" xfId="29491"/>
    <cellStyle name="20% - Accent1 2 3 3 2 2 3 4 4 2" xfId="51746"/>
    <cellStyle name="20% - Accent1 2 3 3 2 2 3 4 5" xfId="37679"/>
    <cellStyle name="20% - Accent1 2 3 3 2 2 3 5" xfId="12264"/>
    <cellStyle name="20% - Accent1 2 3 3 2 2 3 5 2" xfId="24065"/>
    <cellStyle name="20% - Accent1 2 3 3 2 2 3 5 2 2" xfId="51747"/>
    <cellStyle name="20% - Accent1 2 3 3 2 2 3 5 3" xfId="37680"/>
    <cellStyle name="20% - Accent1 2 3 3 2 2 3 6" xfId="6224"/>
    <cellStyle name="20% - Accent1 2 3 3 2 2 3 6 2" xfId="44091"/>
    <cellStyle name="20% - Accent1 2 3 3 2 2 3 7" xfId="18025"/>
    <cellStyle name="20% - Accent1 2 3 3 2 2 3 7 2" xfId="51748"/>
    <cellStyle name="20% - Accent1 2 3 3 2 2 3 8" xfId="31640"/>
    <cellStyle name="20% - Accent1 2 3 3 2 2 4" xfId="1178"/>
    <cellStyle name="20% - Accent1 2 3 3 2 2 4 2" xfId="5080"/>
    <cellStyle name="20% - Accent1 2 3 3 2 2 4 2 2" xfId="12265"/>
    <cellStyle name="20% - Accent1 2 3 3 2 2 4 2 2 2" xfId="24066"/>
    <cellStyle name="20% - Accent1 2 3 3 2 2 4 2 2 2 2" xfId="51749"/>
    <cellStyle name="20% - Accent1 2 3 3 2 2 4 2 2 3" xfId="37681"/>
    <cellStyle name="20% - Accent1 2 3 3 2 2 4 2 3" xfId="10533"/>
    <cellStyle name="20% - Accent1 2 3 3 2 2 4 2 3 2" xfId="44092"/>
    <cellStyle name="20% - Accent1 2 3 3 2 2 4 2 4" xfId="22334"/>
    <cellStyle name="20% - Accent1 2 3 3 2 2 4 2 4 2" xfId="51750"/>
    <cellStyle name="20% - Accent1 2 3 3 2 2 4 2 5" xfId="35949"/>
    <cellStyle name="20% - Accent1 2 3 3 2 2 4 3" xfId="3239"/>
    <cellStyle name="20% - Accent1 2 3 3 2 2 4 3 2" xfId="12266"/>
    <cellStyle name="20% - Accent1 2 3 3 2 2 4 3 2 2" xfId="24067"/>
    <cellStyle name="20% - Accent1 2 3 3 2 2 4 3 2 2 2" xfId="51751"/>
    <cellStyle name="20% - Accent1 2 3 3 2 2 4 3 2 3" xfId="37682"/>
    <cellStyle name="20% - Accent1 2 3 3 2 2 4 3 3" xfId="8692"/>
    <cellStyle name="20% - Accent1 2 3 3 2 2 4 3 3 2" xfId="44093"/>
    <cellStyle name="20% - Accent1 2 3 3 2 2 4 3 4" xfId="20493"/>
    <cellStyle name="20% - Accent1 2 3 3 2 2 4 3 4 2" xfId="51752"/>
    <cellStyle name="20% - Accent1 2 3 3 2 2 4 3 5" xfId="34108"/>
    <cellStyle name="20% - Accent1 2 3 3 2 2 4 4" xfId="12267"/>
    <cellStyle name="20% - Accent1 2 3 3 2 2 4 4 2" xfId="24068"/>
    <cellStyle name="20% - Accent1 2 3 3 2 2 4 4 2 2" xfId="51753"/>
    <cellStyle name="20% - Accent1 2 3 3 2 2 4 4 3" xfId="37683"/>
    <cellStyle name="20% - Accent1 2 3 3 2 2 4 5" xfId="6632"/>
    <cellStyle name="20% - Accent1 2 3 3 2 2 4 5 2" xfId="44094"/>
    <cellStyle name="20% - Accent1 2 3 3 2 2 4 6" xfId="18433"/>
    <cellStyle name="20% - Accent1 2 3 3 2 2 4 6 2" xfId="51754"/>
    <cellStyle name="20% - Accent1 2 3 3 2 2 4 7" xfId="32048"/>
    <cellStyle name="20% - Accent1 2 3 3 2 2 5" xfId="3944"/>
    <cellStyle name="20% - Accent1 2 3 3 2 2 5 2" xfId="12268"/>
    <cellStyle name="20% - Accent1 2 3 3 2 2 5 2 2" xfId="24069"/>
    <cellStyle name="20% - Accent1 2 3 3 2 2 5 2 2 2" xfId="51755"/>
    <cellStyle name="20% - Accent1 2 3 3 2 2 5 2 3" xfId="37684"/>
    <cellStyle name="20% - Accent1 2 3 3 2 2 5 3" xfId="9397"/>
    <cellStyle name="20% - Accent1 2 3 3 2 2 5 3 2" xfId="44095"/>
    <cellStyle name="20% - Accent1 2 3 3 2 2 5 4" xfId="21198"/>
    <cellStyle name="20% - Accent1 2 3 3 2 2 5 4 2" xfId="51756"/>
    <cellStyle name="20% - Accent1 2 3 3 2 2 5 5" xfId="34813"/>
    <cellStyle name="20% - Accent1 2 3 3 2 2 6" xfId="2103"/>
    <cellStyle name="20% - Accent1 2 3 3 2 2 6 2" xfId="12269"/>
    <cellStyle name="20% - Accent1 2 3 3 2 2 6 2 2" xfId="24070"/>
    <cellStyle name="20% - Accent1 2 3 3 2 2 6 2 2 2" xfId="51757"/>
    <cellStyle name="20% - Accent1 2 3 3 2 2 6 2 3" xfId="37685"/>
    <cellStyle name="20% - Accent1 2 3 3 2 2 6 3" xfId="7556"/>
    <cellStyle name="20% - Accent1 2 3 3 2 2 6 3 2" xfId="44096"/>
    <cellStyle name="20% - Accent1 2 3 3 2 2 6 4" xfId="19357"/>
    <cellStyle name="20% - Accent1 2 3 3 2 2 6 4 2" xfId="51758"/>
    <cellStyle name="20% - Accent1 2 3 3 2 2 6 5" xfId="32972"/>
    <cellStyle name="20% - Accent1 2 3 3 2 2 7" xfId="12270"/>
    <cellStyle name="20% - Accent1 2 3 3 2 2 7 2" xfId="24071"/>
    <cellStyle name="20% - Accent1 2 3 3 2 2 7 2 2" xfId="51759"/>
    <cellStyle name="20% - Accent1 2 3 3 2 2 7 3" xfId="37686"/>
    <cellStyle name="20% - Accent1 2 3 3 2 2 8" xfId="5656"/>
    <cellStyle name="20% - Accent1 2 3 3 2 2 8 2" xfId="44097"/>
    <cellStyle name="20% - Accent1 2 3 3 2 2 9" xfId="17457"/>
    <cellStyle name="20% - Accent1 2 3 3 2 2 9 2" xfId="51760"/>
    <cellStyle name="20% - Accent1 2 3 3 2 3" xfId="400"/>
    <cellStyle name="20% - Accent1 2 3 3 2 3 2" xfId="1179"/>
    <cellStyle name="20% - Accent1 2 3 3 2 3 2 2" xfId="4710"/>
    <cellStyle name="20% - Accent1 2 3 3 2 3 2 2 2" xfId="12271"/>
    <cellStyle name="20% - Accent1 2 3 3 2 3 2 2 2 2" xfId="24072"/>
    <cellStyle name="20% - Accent1 2 3 3 2 3 2 2 2 2 2" xfId="51761"/>
    <cellStyle name="20% - Accent1 2 3 3 2 3 2 2 2 3" xfId="37687"/>
    <cellStyle name="20% - Accent1 2 3 3 2 3 2 2 3" xfId="10163"/>
    <cellStyle name="20% - Accent1 2 3 3 2 3 2 2 3 2" xfId="44098"/>
    <cellStyle name="20% - Accent1 2 3 3 2 3 2 2 4" xfId="21964"/>
    <cellStyle name="20% - Accent1 2 3 3 2 3 2 2 4 2" xfId="51762"/>
    <cellStyle name="20% - Accent1 2 3 3 2 3 2 2 5" xfId="35579"/>
    <cellStyle name="20% - Accent1 2 3 3 2 3 2 3" xfId="2869"/>
    <cellStyle name="20% - Accent1 2 3 3 2 3 2 3 2" xfId="12272"/>
    <cellStyle name="20% - Accent1 2 3 3 2 3 2 3 2 2" xfId="24073"/>
    <cellStyle name="20% - Accent1 2 3 3 2 3 2 3 2 2 2" xfId="51763"/>
    <cellStyle name="20% - Accent1 2 3 3 2 3 2 3 2 3" xfId="37688"/>
    <cellStyle name="20% - Accent1 2 3 3 2 3 2 3 3" xfId="8322"/>
    <cellStyle name="20% - Accent1 2 3 3 2 3 2 3 3 2" xfId="44099"/>
    <cellStyle name="20% - Accent1 2 3 3 2 3 2 3 4" xfId="20123"/>
    <cellStyle name="20% - Accent1 2 3 3 2 3 2 3 4 2" xfId="51764"/>
    <cellStyle name="20% - Accent1 2 3 3 2 3 2 3 5" xfId="33738"/>
    <cellStyle name="20% - Accent1 2 3 3 2 3 2 4" xfId="12273"/>
    <cellStyle name="20% - Accent1 2 3 3 2 3 2 4 2" xfId="24074"/>
    <cellStyle name="20% - Accent1 2 3 3 2 3 2 4 2 2" xfId="51765"/>
    <cellStyle name="20% - Accent1 2 3 3 2 3 2 4 3" xfId="37689"/>
    <cellStyle name="20% - Accent1 2 3 3 2 3 2 5" xfId="6633"/>
    <cellStyle name="20% - Accent1 2 3 3 2 3 2 5 2" xfId="44100"/>
    <cellStyle name="20% - Accent1 2 3 3 2 3 2 6" xfId="18434"/>
    <cellStyle name="20% - Accent1 2 3 3 2 3 2 6 2" xfId="51766"/>
    <cellStyle name="20% - Accent1 2 3 3 2 3 2 7" xfId="32049"/>
    <cellStyle name="20% - Accent1 2 3 3 2 3 3" xfId="3437"/>
    <cellStyle name="20% - Accent1 2 3 3 2 3 3 2" xfId="5278"/>
    <cellStyle name="20% - Accent1 2 3 3 2 3 3 2 2" xfId="16748"/>
    <cellStyle name="20% - Accent1 2 3 3 2 3 3 2 2 2" xfId="28549"/>
    <cellStyle name="20% - Accent1 2 3 3 2 3 3 2 2 2 2" xfId="51767"/>
    <cellStyle name="20% - Accent1 2 3 3 2 3 3 2 2 3" xfId="42164"/>
    <cellStyle name="20% - Accent1 2 3 3 2 3 3 2 3" xfId="10731"/>
    <cellStyle name="20% - Accent1 2 3 3 2 3 3 2 3 2" xfId="51768"/>
    <cellStyle name="20% - Accent1 2 3 3 2 3 3 2 4" xfId="22532"/>
    <cellStyle name="20% - Accent1 2 3 3 2 3 3 2 4 2" xfId="51769"/>
    <cellStyle name="20% - Accent1 2 3 3 2 3 3 2 5" xfId="36147"/>
    <cellStyle name="20% - Accent1 2 3 3 2 3 3 3" xfId="12274"/>
    <cellStyle name="20% - Accent1 2 3 3 2 3 3 3 2" xfId="24075"/>
    <cellStyle name="20% - Accent1 2 3 3 2 3 3 3 2 2" xfId="51770"/>
    <cellStyle name="20% - Accent1 2 3 3 2 3 3 3 3" xfId="37690"/>
    <cellStyle name="20% - Accent1 2 3 3 2 3 3 4" xfId="8890"/>
    <cellStyle name="20% - Accent1 2 3 3 2 3 3 4 2" xfId="51771"/>
    <cellStyle name="20% - Accent1 2 3 3 2 3 3 5" xfId="20691"/>
    <cellStyle name="20% - Accent1 2 3 3 2 3 3 5 2" xfId="51772"/>
    <cellStyle name="20% - Accent1 2 3 3 2 3 3 6" xfId="34306"/>
    <cellStyle name="20% - Accent1 2 3 3 2 3 4" xfId="4142"/>
    <cellStyle name="20% - Accent1 2 3 3 2 3 4 2" xfId="12275"/>
    <cellStyle name="20% - Accent1 2 3 3 2 3 4 2 2" xfId="24076"/>
    <cellStyle name="20% - Accent1 2 3 3 2 3 4 2 2 2" xfId="51773"/>
    <cellStyle name="20% - Accent1 2 3 3 2 3 4 2 3" xfId="37691"/>
    <cellStyle name="20% - Accent1 2 3 3 2 3 4 3" xfId="9595"/>
    <cellStyle name="20% - Accent1 2 3 3 2 3 4 3 2" xfId="44101"/>
    <cellStyle name="20% - Accent1 2 3 3 2 3 4 4" xfId="21396"/>
    <cellStyle name="20% - Accent1 2 3 3 2 3 4 4 2" xfId="51774"/>
    <cellStyle name="20% - Accent1 2 3 3 2 3 4 5" xfId="35011"/>
    <cellStyle name="20% - Accent1 2 3 3 2 3 5" xfId="2301"/>
    <cellStyle name="20% - Accent1 2 3 3 2 3 5 2" xfId="17002"/>
    <cellStyle name="20% - Accent1 2 3 3 2 3 5 2 2" xfId="28803"/>
    <cellStyle name="20% - Accent1 2 3 3 2 3 5 2 2 2" xfId="51775"/>
    <cellStyle name="20% - Accent1 2 3 3 2 3 5 2 3" xfId="42418"/>
    <cellStyle name="20% - Accent1 2 3 3 2 3 5 3" xfId="7754"/>
    <cellStyle name="20% - Accent1 2 3 3 2 3 5 3 2" xfId="51776"/>
    <cellStyle name="20% - Accent1 2 3 3 2 3 5 4" xfId="19555"/>
    <cellStyle name="20% - Accent1 2 3 3 2 3 5 4 2" xfId="51777"/>
    <cellStyle name="20% - Accent1 2 3 3 2 3 5 5" xfId="33170"/>
    <cellStyle name="20% - Accent1 2 3 3 2 3 6" xfId="12276"/>
    <cellStyle name="20% - Accent1 2 3 3 2 3 6 2" xfId="24077"/>
    <cellStyle name="20% - Accent1 2 3 3 2 3 6 2 2" xfId="51778"/>
    <cellStyle name="20% - Accent1 2 3 3 2 3 6 3" xfId="37692"/>
    <cellStyle name="20% - Accent1 2 3 3 2 3 7" xfId="5854"/>
    <cellStyle name="20% - Accent1 2 3 3 2 3 7 2" xfId="51779"/>
    <cellStyle name="20% - Accent1 2 3 3 2 3 8" xfId="17655"/>
    <cellStyle name="20% - Accent1 2 3 3 2 3 8 2" xfId="51780"/>
    <cellStyle name="20% - Accent1 2 3 3 2 3 9" xfId="31270"/>
    <cellStyle name="20% - Accent1 2 3 3 2 4" xfId="678"/>
    <cellStyle name="20% - Accent1 2 3 3 2 4 2" xfId="1180"/>
    <cellStyle name="20% - Accent1 2 3 3 2 4 2 2" xfId="4420"/>
    <cellStyle name="20% - Accent1 2 3 3 2 4 2 2 2" xfId="12277"/>
    <cellStyle name="20% - Accent1 2 3 3 2 4 2 2 2 2" xfId="24078"/>
    <cellStyle name="20% - Accent1 2 3 3 2 4 2 2 2 2 2" xfId="51781"/>
    <cellStyle name="20% - Accent1 2 3 3 2 4 2 2 2 3" xfId="37693"/>
    <cellStyle name="20% - Accent1 2 3 3 2 4 2 2 3" xfId="9873"/>
    <cellStyle name="20% - Accent1 2 3 3 2 4 2 2 3 2" xfId="44102"/>
    <cellStyle name="20% - Accent1 2 3 3 2 4 2 2 4" xfId="21674"/>
    <cellStyle name="20% - Accent1 2 3 3 2 4 2 2 4 2" xfId="51782"/>
    <cellStyle name="20% - Accent1 2 3 3 2 4 2 2 5" xfId="35289"/>
    <cellStyle name="20% - Accent1 2 3 3 2 4 2 3" xfId="12278"/>
    <cellStyle name="20% - Accent1 2 3 3 2 4 2 3 2" xfId="24079"/>
    <cellStyle name="20% - Accent1 2 3 3 2 4 2 3 2 2" xfId="44103"/>
    <cellStyle name="20% - Accent1 2 3 3 2 4 2 3 3" xfId="29492"/>
    <cellStyle name="20% - Accent1 2 3 3 2 4 2 3 3 2" xfId="44104"/>
    <cellStyle name="20% - Accent1 2 3 3 2 4 2 3 4" xfId="29493"/>
    <cellStyle name="20% - Accent1 2 3 3 2 4 2 3 4 2" xfId="51783"/>
    <cellStyle name="20% - Accent1 2 3 3 2 4 2 3 5" xfId="37694"/>
    <cellStyle name="20% - Accent1 2 3 3 2 4 2 4" xfId="12279"/>
    <cellStyle name="20% - Accent1 2 3 3 2 4 2 4 2" xfId="24080"/>
    <cellStyle name="20% - Accent1 2 3 3 2 4 2 4 2 2" xfId="51784"/>
    <cellStyle name="20% - Accent1 2 3 3 2 4 2 4 3" xfId="37695"/>
    <cellStyle name="20% - Accent1 2 3 3 2 4 2 5" xfId="6634"/>
    <cellStyle name="20% - Accent1 2 3 3 2 4 2 5 2" xfId="44105"/>
    <cellStyle name="20% - Accent1 2 3 3 2 4 2 6" xfId="18435"/>
    <cellStyle name="20% - Accent1 2 3 3 2 4 2 6 2" xfId="51785"/>
    <cellStyle name="20% - Accent1 2 3 3 2 4 2 7" xfId="32050"/>
    <cellStyle name="20% - Accent1 2 3 3 2 4 3" xfId="2579"/>
    <cellStyle name="20% - Accent1 2 3 3 2 4 3 2" xfId="12280"/>
    <cellStyle name="20% - Accent1 2 3 3 2 4 3 2 2" xfId="24081"/>
    <cellStyle name="20% - Accent1 2 3 3 2 4 3 2 2 2" xfId="51786"/>
    <cellStyle name="20% - Accent1 2 3 3 2 4 3 2 3" xfId="37696"/>
    <cellStyle name="20% - Accent1 2 3 3 2 4 3 3" xfId="8032"/>
    <cellStyle name="20% - Accent1 2 3 3 2 4 3 3 2" xfId="44106"/>
    <cellStyle name="20% - Accent1 2 3 3 2 4 3 4" xfId="19833"/>
    <cellStyle name="20% - Accent1 2 3 3 2 4 3 4 2" xfId="51787"/>
    <cellStyle name="20% - Accent1 2 3 3 2 4 3 5" xfId="33448"/>
    <cellStyle name="20% - Accent1 2 3 3 2 4 4" xfId="12281"/>
    <cellStyle name="20% - Accent1 2 3 3 2 4 4 2" xfId="24082"/>
    <cellStyle name="20% - Accent1 2 3 3 2 4 4 2 2" xfId="44107"/>
    <cellStyle name="20% - Accent1 2 3 3 2 4 4 3" xfId="29494"/>
    <cellStyle name="20% - Accent1 2 3 3 2 4 4 3 2" xfId="44108"/>
    <cellStyle name="20% - Accent1 2 3 3 2 4 4 4" xfId="29495"/>
    <cellStyle name="20% - Accent1 2 3 3 2 4 4 4 2" xfId="51788"/>
    <cellStyle name="20% - Accent1 2 3 3 2 4 4 5" xfId="37697"/>
    <cellStyle name="20% - Accent1 2 3 3 2 4 5" xfId="12282"/>
    <cellStyle name="20% - Accent1 2 3 3 2 4 5 2" xfId="24083"/>
    <cellStyle name="20% - Accent1 2 3 3 2 4 5 2 2" xfId="51789"/>
    <cellStyle name="20% - Accent1 2 3 3 2 4 5 3" xfId="37698"/>
    <cellStyle name="20% - Accent1 2 3 3 2 4 6" xfId="6132"/>
    <cellStyle name="20% - Accent1 2 3 3 2 4 6 2" xfId="44109"/>
    <cellStyle name="20% - Accent1 2 3 3 2 4 7" xfId="17933"/>
    <cellStyle name="20% - Accent1 2 3 3 2 4 7 2" xfId="51790"/>
    <cellStyle name="20% - Accent1 2 3 3 2 4 8" xfId="31548"/>
    <cellStyle name="20% - Accent1 2 3 3 2 5" xfId="919"/>
    <cellStyle name="20% - Accent1 2 3 3 2 5 2" xfId="1181"/>
    <cellStyle name="20% - Accent1 2 3 3 2 5 2 2" xfId="4988"/>
    <cellStyle name="20% - Accent1 2 3 3 2 5 2 2 2" xfId="12283"/>
    <cellStyle name="20% - Accent1 2 3 3 2 5 2 2 2 2" xfId="24084"/>
    <cellStyle name="20% - Accent1 2 3 3 2 5 2 2 2 2 2" xfId="51791"/>
    <cellStyle name="20% - Accent1 2 3 3 2 5 2 2 2 3" xfId="37699"/>
    <cellStyle name="20% - Accent1 2 3 3 2 5 2 2 3" xfId="10441"/>
    <cellStyle name="20% - Accent1 2 3 3 2 5 2 2 3 2" xfId="44110"/>
    <cellStyle name="20% - Accent1 2 3 3 2 5 2 2 4" xfId="22242"/>
    <cellStyle name="20% - Accent1 2 3 3 2 5 2 2 4 2" xfId="51792"/>
    <cellStyle name="20% - Accent1 2 3 3 2 5 2 2 5" xfId="35857"/>
    <cellStyle name="20% - Accent1 2 3 3 2 5 2 3" xfId="12284"/>
    <cellStyle name="20% - Accent1 2 3 3 2 5 2 3 2" xfId="24085"/>
    <cellStyle name="20% - Accent1 2 3 3 2 5 2 3 2 2" xfId="44111"/>
    <cellStyle name="20% - Accent1 2 3 3 2 5 2 3 3" xfId="29496"/>
    <cellStyle name="20% - Accent1 2 3 3 2 5 2 3 3 2" xfId="44112"/>
    <cellStyle name="20% - Accent1 2 3 3 2 5 2 3 4" xfId="29497"/>
    <cellStyle name="20% - Accent1 2 3 3 2 5 2 3 4 2" xfId="51793"/>
    <cellStyle name="20% - Accent1 2 3 3 2 5 2 3 5" xfId="37700"/>
    <cellStyle name="20% - Accent1 2 3 3 2 5 2 4" xfId="12285"/>
    <cellStyle name="20% - Accent1 2 3 3 2 5 2 4 2" xfId="24086"/>
    <cellStyle name="20% - Accent1 2 3 3 2 5 2 4 2 2" xfId="51794"/>
    <cellStyle name="20% - Accent1 2 3 3 2 5 2 4 3" xfId="37701"/>
    <cellStyle name="20% - Accent1 2 3 3 2 5 2 5" xfId="6635"/>
    <cellStyle name="20% - Accent1 2 3 3 2 5 2 5 2" xfId="44113"/>
    <cellStyle name="20% - Accent1 2 3 3 2 5 2 6" xfId="18436"/>
    <cellStyle name="20% - Accent1 2 3 3 2 5 2 6 2" xfId="51795"/>
    <cellStyle name="20% - Accent1 2 3 3 2 5 2 7" xfId="32051"/>
    <cellStyle name="20% - Accent1 2 3 3 2 5 3" xfId="3147"/>
    <cellStyle name="20% - Accent1 2 3 3 2 5 3 2" xfId="12286"/>
    <cellStyle name="20% - Accent1 2 3 3 2 5 3 2 2" xfId="24087"/>
    <cellStyle name="20% - Accent1 2 3 3 2 5 3 2 2 2" xfId="51796"/>
    <cellStyle name="20% - Accent1 2 3 3 2 5 3 2 3" xfId="37702"/>
    <cellStyle name="20% - Accent1 2 3 3 2 5 3 3" xfId="8600"/>
    <cellStyle name="20% - Accent1 2 3 3 2 5 3 3 2" xfId="44114"/>
    <cellStyle name="20% - Accent1 2 3 3 2 5 3 4" xfId="20401"/>
    <cellStyle name="20% - Accent1 2 3 3 2 5 3 4 2" xfId="51797"/>
    <cellStyle name="20% - Accent1 2 3 3 2 5 3 5" xfId="34016"/>
    <cellStyle name="20% - Accent1 2 3 3 2 5 4" xfId="12287"/>
    <cellStyle name="20% - Accent1 2 3 3 2 5 4 2" xfId="24088"/>
    <cellStyle name="20% - Accent1 2 3 3 2 5 4 2 2" xfId="44115"/>
    <cellStyle name="20% - Accent1 2 3 3 2 5 4 3" xfId="29498"/>
    <cellStyle name="20% - Accent1 2 3 3 2 5 4 3 2" xfId="44116"/>
    <cellStyle name="20% - Accent1 2 3 3 2 5 4 4" xfId="29499"/>
    <cellStyle name="20% - Accent1 2 3 3 2 5 4 4 2" xfId="51798"/>
    <cellStyle name="20% - Accent1 2 3 3 2 5 4 5" xfId="37703"/>
    <cellStyle name="20% - Accent1 2 3 3 2 5 5" xfId="12288"/>
    <cellStyle name="20% - Accent1 2 3 3 2 5 5 2" xfId="24089"/>
    <cellStyle name="20% - Accent1 2 3 3 2 5 5 2 2" xfId="51799"/>
    <cellStyle name="20% - Accent1 2 3 3 2 5 5 3" xfId="37704"/>
    <cellStyle name="20% - Accent1 2 3 3 2 5 6" xfId="6373"/>
    <cellStyle name="20% - Accent1 2 3 3 2 5 6 2" xfId="44117"/>
    <cellStyle name="20% - Accent1 2 3 3 2 5 7" xfId="18174"/>
    <cellStyle name="20% - Accent1 2 3 3 2 5 7 2" xfId="51800"/>
    <cellStyle name="20% - Accent1 2 3 3 2 5 8" xfId="31789"/>
    <cellStyle name="20% - Accent1 2 3 3 2 6" xfId="1182"/>
    <cellStyle name="20% - Accent1 2 3 3 2 6 2" xfId="3852"/>
    <cellStyle name="20% - Accent1 2 3 3 2 6 2 2" xfId="12289"/>
    <cellStyle name="20% - Accent1 2 3 3 2 6 2 2 2" xfId="24090"/>
    <cellStyle name="20% - Accent1 2 3 3 2 6 2 2 2 2" xfId="51801"/>
    <cellStyle name="20% - Accent1 2 3 3 2 6 2 2 3" xfId="37705"/>
    <cellStyle name="20% - Accent1 2 3 3 2 6 2 3" xfId="9305"/>
    <cellStyle name="20% - Accent1 2 3 3 2 6 2 3 2" xfId="44118"/>
    <cellStyle name="20% - Accent1 2 3 3 2 6 2 4" xfId="21106"/>
    <cellStyle name="20% - Accent1 2 3 3 2 6 2 4 2" xfId="51802"/>
    <cellStyle name="20% - Accent1 2 3 3 2 6 2 5" xfId="34721"/>
    <cellStyle name="20% - Accent1 2 3 3 2 6 3" xfId="12290"/>
    <cellStyle name="20% - Accent1 2 3 3 2 6 3 2" xfId="24091"/>
    <cellStyle name="20% - Accent1 2 3 3 2 6 3 2 2" xfId="44119"/>
    <cellStyle name="20% - Accent1 2 3 3 2 6 3 3" xfId="29500"/>
    <cellStyle name="20% - Accent1 2 3 3 2 6 3 3 2" xfId="44120"/>
    <cellStyle name="20% - Accent1 2 3 3 2 6 3 4" xfId="29501"/>
    <cellStyle name="20% - Accent1 2 3 3 2 6 3 4 2" xfId="51803"/>
    <cellStyle name="20% - Accent1 2 3 3 2 6 3 5" xfId="37706"/>
    <cellStyle name="20% - Accent1 2 3 3 2 6 4" xfId="12291"/>
    <cellStyle name="20% - Accent1 2 3 3 2 6 4 2" xfId="24092"/>
    <cellStyle name="20% - Accent1 2 3 3 2 6 4 2 2" xfId="51804"/>
    <cellStyle name="20% - Accent1 2 3 3 2 6 4 3" xfId="37707"/>
    <cellStyle name="20% - Accent1 2 3 3 2 6 5" xfId="6636"/>
    <cellStyle name="20% - Accent1 2 3 3 2 6 5 2" xfId="44121"/>
    <cellStyle name="20% - Accent1 2 3 3 2 6 6" xfId="18437"/>
    <cellStyle name="20% - Accent1 2 3 3 2 6 6 2" xfId="51805"/>
    <cellStyle name="20% - Accent1 2 3 3 2 6 7" xfId="32052"/>
    <cellStyle name="20% - Accent1 2 3 3 2 7" xfId="3715"/>
    <cellStyle name="20% - Accent1 2 3 3 2 7 2" xfId="12292"/>
    <cellStyle name="20% - Accent1 2 3 3 2 7 2 2" xfId="24093"/>
    <cellStyle name="20% - Accent1 2 3 3 2 7 2 2 2" xfId="51806"/>
    <cellStyle name="20% - Accent1 2 3 3 2 7 2 3" xfId="37708"/>
    <cellStyle name="20% - Accent1 2 3 3 2 7 3" xfId="9168"/>
    <cellStyle name="20% - Accent1 2 3 3 2 7 3 2" xfId="44122"/>
    <cellStyle name="20% - Accent1 2 3 3 2 7 4" xfId="20969"/>
    <cellStyle name="20% - Accent1 2 3 3 2 7 4 2" xfId="51807"/>
    <cellStyle name="20% - Accent1 2 3 3 2 7 5" xfId="34584"/>
    <cellStyle name="20% - Accent1 2 3 3 2 8" xfId="2011"/>
    <cellStyle name="20% - Accent1 2 3 3 2 8 2" xfId="12293"/>
    <cellStyle name="20% - Accent1 2 3 3 2 8 2 2" xfId="24094"/>
    <cellStyle name="20% - Accent1 2 3 3 2 8 2 2 2" xfId="51808"/>
    <cellStyle name="20% - Accent1 2 3 3 2 8 2 3" xfId="37709"/>
    <cellStyle name="20% - Accent1 2 3 3 2 8 3" xfId="7464"/>
    <cellStyle name="20% - Accent1 2 3 3 2 8 3 2" xfId="44123"/>
    <cellStyle name="20% - Accent1 2 3 3 2 8 4" xfId="19265"/>
    <cellStyle name="20% - Accent1 2 3 3 2 8 4 2" xfId="51809"/>
    <cellStyle name="20% - Accent1 2 3 3 2 8 5" xfId="32880"/>
    <cellStyle name="20% - Accent1 2 3 3 2 9" xfId="12294"/>
    <cellStyle name="20% - Accent1 2 3 3 2 9 2" xfId="24095"/>
    <cellStyle name="20% - Accent1 2 3 3 2 9 2 2" xfId="51810"/>
    <cellStyle name="20% - Accent1 2 3 3 2 9 3" xfId="37710"/>
    <cellStyle name="20% - Accent1 2 3 3 3" xfId="164"/>
    <cellStyle name="20% - Accent1 2 3 3 3 10" xfId="31034"/>
    <cellStyle name="20% - Accent1 2 3 3 3 2" xfId="333"/>
    <cellStyle name="20% - Accent1 2 3 3 3 2 2" xfId="1183"/>
    <cellStyle name="20% - Accent1 2 3 3 3 2 2 2" xfId="4643"/>
    <cellStyle name="20% - Accent1 2 3 3 3 2 2 2 2" xfId="12295"/>
    <cellStyle name="20% - Accent1 2 3 3 3 2 2 2 2 2" xfId="24096"/>
    <cellStyle name="20% - Accent1 2 3 3 3 2 2 2 2 2 2" xfId="51811"/>
    <cellStyle name="20% - Accent1 2 3 3 3 2 2 2 2 3" xfId="37711"/>
    <cellStyle name="20% - Accent1 2 3 3 3 2 2 2 3" xfId="10096"/>
    <cellStyle name="20% - Accent1 2 3 3 3 2 2 2 3 2" xfId="44124"/>
    <cellStyle name="20% - Accent1 2 3 3 3 2 2 2 4" xfId="21897"/>
    <cellStyle name="20% - Accent1 2 3 3 3 2 2 2 4 2" xfId="51812"/>
    <cellStyle name="20% - Accent1 2 3 3 3 2 2 2 5" xfId="35512"/>
    <cellStyle name="20% - Accent1 2 3 3 3 2 2 3" xfId="2802"/>
    <cellStyle name="20% - Accent1 2 3 3 3 2 2 3 2" xfId="12296"/>
    <cellStyle name="20% - Accent1 2 3 3 3 2 2 3 2 2" xfId="24097"/>
    <cellStyle name="20% - Accent1 2 3 3 3 2 2 3 2 2 2" xfId="51813"/>
    <cellStyle name="20% - Accent1 2 3 3 3 2 2 3 2 3" xfId="37712"/>
    <cellStyle name="20% - Accent1 2 3 3 3 2 2 3 3" xfId="8255"/>
    <cellStyle name="20% - Accent1 2 3 3 3 2 2 3 3 2" xfId="44125"/>
    <cellStyle name="20% - Accent1 2 3 3 3 2 2 3 4" xfId="20056"/>
    <cellStyle name="20% - Accent1 2 3 3 3 2 2 3 4 2" xfId="51814"/>
    <cellStyle name="20% - Accent1 2 3 3 3 2 2 3 5" xfId="33671"/>
    <cellStyle name="20% - Accent1 2 3 3 3 2 2 4" xfId="12297"/>
    <cellStyle name="20% - Accent1 2 3 3 3 2 2 4 2" xfId="24098"/>
    <cellStyle name="20% - Accent1 2 3 3 3 2 2 4 2 2" xfId="51815"/>
    <cellStyle name="20% - Accent1 2 3 3 3 2 2 4 3" xfId="37713"/>
    <cellStyle name="20% - Accent1 2 3 3 3 2 2 5" xfId="6637"/>
    <cellStyle name="20% - Accent1 2 3 3 3 2 2 5 2" xfId="44126"/>
    <cellStyle name="20% - Accent1 2 3 3 3 2 2 6" xfId="18438"/>
    <cellStyle name="20% - Accent1 2 3 3 3 2 2 6 2" xfId="51816"/>
    <cellStyle name="20% - Accent1 2 3 3 3 2 2 7" xfId="32053"/>
    <cellStyle name="20% - Accent1 2 3 3 3 2 3" xfId="3370"/>
    <cellStyle name="20% - Accent1 2 3 3 3 2 3 2" xfId="5211"/>
    <cellStyle name="20% - Accent1 2 3 3 3 2 3 2 2" xfId="16681"/>
    <cellStyle name="20% - Accent1 2 3 3 3 2 3 2 2 2" xfId="28482"/>
    <cellStyle name="20% - Accent1 2 3 3 3 2 3 2 2 2 2" xfId="51817"/>
    <cellStyle name="20% - Accent1 2 3 3 3 2 3 2 2 3" xfId="42097"/>
    <cellStyle name="20% - Accent1 2 3 3 3 2 3 2 3" xfId="10664"/>
    <cellStyle name="20% - Accent1 2 3 3 3 2 3 2 3 2" xfId="51818"/>
    <cellStyle name="20% - Accent1 2 3 3 3 2 3 2 4" xfId="22465"/>
    <cellStyle name="20% - Accent1 2 3 3 3 2 3 2 4 2" xfId="51819"/>
    <cellStyle name="20% - Accent1 2 3 3 3 2 3 2 5" xfId="36080"/>
    <cellStyle name="20% - Accent1 2 3 3 3 2 3 3" xfId="12298"/>
    <cellStyle name="20% - Accent1 2 3 3 3 2 3 3 2" xfId="24099"/>
    <cellStyle name="20% - Accent1 2 3 3 3 2 3 3 2 2" xfId="51820"/>
    <cellStyle name="20% - Accent1 2 3 3 3 2 3 3 3" xfId="37714"/>
    <cellStyle name="20% - Accent1 2 3 3 3 2 3 4" xfId="8823"/>
    <cellStyle name="20% - Accent1 2 3 3 3 2 3 4 2" xfId="51821"/>
    <cellStyle name="20% - Accent1 2 3 3 3 2 3 5" xfId="20624"/>
    <cellStyle name="20% - Accent1 2 3 3 3 2 3 5 2" xfId="51822"/>
    <cellStyle name="20% - Accent1 2 3 3 3 2 3 6" xfId="34239"/>
    <cellStyle name="20% - Accent1 2 3 3 3 2 4" xfId="4075"/>
    <cellStyle name="20% - Accent1 2 3 3 3 2 4 2" xfId="12299"/>
    <cellStyle name="20% - Accent1 2 3 3 3 2 4 2 2" xfId="24100"/>
    <cellStyle name="20% - Accent1 2 3 3 3 2 4 2 2 2" xfId="51823"/>
    <cellStyle name="20% - Accent1 2 3 3 3 2 4 2 3" xfId="37715"/>
    <cellStyle name="20% - Accent1 2 3 3 3 2 4 3" xfId="9528"/>
    <cellStyle name="20% - Accent1 2 3 3 3 2 4 3 2" xfId="44127"/>
    <cellStyle name="20% - Accent1 2 3 3 3 2 4 4" xfId="21329"/>
    <cellStyle name="20% - Accent1 2 3 3 3 2 4 4 2" xfId="51824"/>
    <cellStyle name="20% - Accent1 2 3 3 3 2 4 5" xfId="34944"/>
    <cellStyle name="20% - Accent1 2 3 3 3 2 5" xfId="2234"/>
    <cellStyle name="20% - Accent1 2 3 3 3 2 5 2" xfId="17003"/>
    <cellStyle name="20% - Accent1 2 3 3 3 2 5 2 2" xfId="28804"/>
    <cellStyle name="20% - Accent1 2 3 3 3 2 5 2 2 2" xfId="51825"/>
    <cellStyle name="20% - Accent1 2 3 3 3 2 5 2 3" xfId="42419"/>
    <cellStyle name="20% - Accent1 2 3 3 3 2 5 3" xfId="7687"/>
    <cellStyle name="20% - Accent1 2 3 3 3 2 5 3 2" xfId="51826"/>
    <cellStyle name="20% - Accent1 2 3 3 3 2 5 4" xfId="19488"/>
    <cellStyle name="20% - Accent1 2 3 3 3 2 5 4 2" xfId="51827"/>
    <cellStyle name="20% - Accent1 2 3 3 3 2 5 5" xfId="33103"/>
    <cellStyle name="20% - Accent1 2 3 3 3 2 6" xfId="12300"/>
    <cellStyle name="20% - Accent1 2 3 3 3 2 6 2" xfId="24101"/>
    <cellStyle name="20% - Accent1 2 3 3 3 2 6 2 2" xfId="51828"/>
    <cellStyle name="20% - Accent1 2 3 3 3 2 6 3" xfId="37716"/>
    <cellStyle name="20% - Accent1 2 3 3 3 2 7" xfId="5787"/>
    <cellStyle name="20% - Accent1 2 3 3 3 2 7 2" xfId="51829"/>
    <cellStyle name="20% - Accent1 2 3 3 3 2 8" xfId="17588"/>
    <cellStyle name="20% - Accent1 2 3 3 3 2 8 2" xfId="51830"/>
    <cellStyle name="20% - Accent1 2 3 3 3 2 9" xfId="31203"/>
    <cellStyle name="20% - Accent1 2 3 3 3 3" xfId="732"/>
    <cellStyle name="20% - Accent1 2 3 3 3 3 2" xfId="1184"/>
    <cellStyle name="20% - Accent1 2 3 3 3 3 2 2" xfId="4474"/>
    <cellStyle name="20% - Accent1 2 3 3 3 3 2 2 2" xfId="12301"/>
    <cellStyle name="20% - Accent1 2 3 3 3 3 2 2 2 2" xfId="24102"/>
    <cellStyle name="20% - Accent1 2 3 3 3 3 2 2 2 2 2" xfId="51831"/>
    <cellStyle name="20% - Accent1 2 3 3 3 3 2 2 2 3" xfId="37717"/>
    <cellStyle name="20% - Accent1 2 3 3 3 3 2 2 3" xfId="9927"/>
    <cellStyle name="20% - Accent1 2 3 3 3 3 2 2 3 2" xfId="44128"/>
    <cellStyle name="20% - Accent1 2 3 3 3 3 2 2 4" xfId="21728"/>
    <cellStyle name="20% - Accent1 2 3 3 3 3 2 2 4 2" xfId="51832"/>
    <cellStyle name="20% - Accent1 2 3 3 3 3 2 2 5" xfId="35343"/>
    <cellStyle name="20% - Accent1 2 3 3 3 3 2 3" xfId="12302"/>
    <cellStyle name="20% - Accent1 2 3 3 3 3 2 3 2" xfId="24103"/>
    <cellStyle name="20% - Accent1 2 3 3 3 3 2 3 2 2" xfId="44129"/>
    <cellStyle name="20% - Accent1 2 3 3 3 3 2 3 3" xfId="29502"/>
    <cellStyle name="20% - Accent1 2 3 3 3 3 2 3 3 2" xfId="44130"/>
    <cellStyle name="20% - Accent1 2 3 3 3 3 2 3 4" xfId="29503"/>
    <cellStyle name="20% - Accent1 2 3 3 3 3 2 3 4 2" xfId="51833"/>
    <cellStyle name="20% - Accent1 2 3 3 3 3 2 3 5" xfId="37718"/>
    <cellStyle name="20% - Accent1 2 3 3 3 3 2 4" xfId="12303"/>
    <cellStyle name="20% - Accent1 2 3 3 3 3 2 4 2" xfId="24104"/>
    <cellStyle name="20% - Accent1 2 3 3 3 3 2 4 2 2" xfId="51834"/>
    <cellStyle name="20% - Accent1 2 3 3 3 3 2 4 3" xfId="37719"/>
    <cellStyle name="20% - Accent1 2 3 3 3 3 2 5" xfId="6638"/>
    <cellStyle name="20% - Accent1 2 3 3 3 3 2 5 2" xfId="44131"/>
    <cellStyle name="20% - Accent1 2 3 3 3 3 2 6" xfId="18439"/>
    <cellStyle name="20% - Accent1 2 3 3 3 3 2 6 2" xfId="51835"/>
    <cellStyle name="20% - Accent1 2 3 3 3 3 2 7" xfId="32054"/>
    <cellStyle name="20% - Accent1 2 3 3 3 3 3" xfId="2633"/>
    <cellStyle name="20% - Accent1 2 3 3 3 3 3 2" xfId="12304"/>
    <cellStyle name="20% - Accent1 2 3 3 3 3 3 2 2" xfId="24105"/>
    <cellStyle name="20% - Accent1 2 3 3 3 3 3 2 2 2" xfId="51836"/>
    <cellStyle name="20% - Accent1 2 3 3 3 3 3 2 3" xfId="37720"/>
    <cellStyle name="20% - Accent1 2 3 3 3 3 3 3" xfId="8086"/>
    <cellStyle name="20% - Accent1 2 3 3 3 3 3 3 2" xfId="44132"/>
    <cellStyle name="20% - Accent1 2 3 3 3 3 3 4" xfId="19887"/>
    <cellStyle name="20% - Accent1 2 3 3 3 3 3 4 2" xfId="51837"/>
    <cellStyle name="20% - Accent1 2 3 3 3 3 3 5" xfId="33502"/>
    <cellStyle name="20% - Accent1 2 3 3 3 3 4" xfId="12305"/>
    <cellStyle name="20% - Accent1 2 3 3 3 3 4 2" xfId="24106"/>
    <cellStyle name="20% - Accent1 2 3 3 3 3 4 2 2" xfId="44133"/>
    <cellStyle name="20% - Accent1 2 3 3 3 3 4 3" xfId="29504"/>
    <cellStyle name="20% - Accent1 2 3 3 3 3 4 3 2" xfId="44134"/>
    <cellStyle name="20% - Accent1 2 3 3 3 3 4 4" xfId="29505"/>
    <cellStyle name="20% - Accent1 2 3 3 3 3 4 4 2" xfId="51838"/>
    <cellStyle name="20% - Accent1 2 3 3 3 3 4 5" xfId="37721"/>
    <cellStyle name="20% - Accent1 2 3 3 3 3 5" xfId="12306"/>
    <cellStyle name="20% - Accent1 2 3 3 3 3 5 2" xfId="24107"/>
    <cellStyle name="20% - Accent1 2 3 3 3 3 5 2 2" xfId="51839"/>
    <cellStyle name="20% - Accent1 2 3 3 3 3 5 3" xfId="37722"/>
    <cellStyle name="20% - Accent1 2 3 3 3 3 6" xfId="6186"/>
    <cellStyle name="20% - Accent1 2 3 3 3 3 6 2" xfId="44135"/>
    <cellStyle name="20% - Accent1 2 3 3 3 3 7" xfId="17987"/>
    <cellStyle name="20% - Accent1 2 3 3 3 3 7 2" xfId="51840"/>
    <cellStyle name="20% - Accent1 2 3 3 3 3 8" xfId="31602"/>
    <cellStyle name="20% - Accent1 2 3 3 3 4" xfId="1185"/>
    <cellStyle name="20% - Accent1 2 3 3 3 4 2" xfId="5042"/>
    <cellStyle name="20% - Accent1 2 3 3 3 4 2 2" xfId="12307"/>
    <cellStyle name="20% - Accent1 2 3 3 3 4 2 2 2" xfId="24108"/>
    <cellStyle name="20% - Accent1 2 3 3 3 4 2 2 2 2" xfId="51841"/>
    <cellStyle name="20% - Accent1 2 3 3 3 4 2 2 3" xfId="37723"/>
    <cellStyle name="20% - Accent1 2 3 3 3 4 2 3" xfId="10495"/>
    <cellStyle name="20% - Accent1 2 3 3 3 4 2 3 2" xfId="44136"/>
    <cellStyle name="20% - Accent1 2 3 3 3 4 2 4" xfId="22296"/>
    <cellStyle name="20% - Accent1 2 3 3 3 4 2 4 2" xfId="51842"/>
    <cellStyle name="20% - Accent1 2 3 3 3 4 2 5" xfId="35911"/>
    <cellStyle name="20% - Accent1 2 3 3 3 4 3" xfId="3201"/>
    <cellStyle name="20% - Accent1 2 3 3 3 4 3 2" xfId="12308"/>
    <cellStyle name="20% - Accent1 2 3 3 3 4 3 2 2" xfId="24109"/>
    <cellStyle name="20% - Accent1 2 3 3 3 4 3 2 2 2" xfId="51843"/>
    <cellStyle name="20% - Accent1 2 3 3 3 4 3 2 3" xfId="37724"/>
    <cellStyle name="20% - Accent1 2 3 3 3 4 3 3" xfId="8654"/>
    <cellStyle name="20% - Accent1 2 3 3 3 4 3 3 2" xfId="44137"/>
    <cellStyle name="20% - Accent1 2 3 3 3 4 3 4" xfId="20455"/>
    <cellStyle name="20% - Accent1 2 3 3 3 4 3 4 2" xfId="51844"/>
    <cellStyle name="20% - Accent1 2 3 3 3 4 3 5" xfId="34070"/>
    <cellStyle name="20% - Accent1 2 3 3 3 4 4" xfId="12309"/>
    <cellStyle name="20% - Accent1 2 3 3 3 4 4 2" xfId="24110"/>
    <cellStyle name="20% - Accent1 2 3 3 3 4 4 2 2" xfId="51845"/>
    <cellStyle name="20% - Accent1 2 3 3 3 4 4 3" xfId="37725"/>
    <cellStyle name="20% - Accent1 2 3 3 3 4 5" xfId="6639"/>
    <cellStyle name="20% - Accent1 2 3 3 3 4 5 2" xfId="44138"/>
    <cellStyle name="20% - Accent1 2 3 3 3 4 6" xfId="18440"/>
    <cellStyle name="20% - Accent1 2 3 3 3 4 6 2" xfId="51846"/>
    <cellStyle name="20% - Accent1 2 3 3 3 4 7" xfId="32055"/>
    <cellStyle name="20% - Accent1 2 3 3 3 5" xfId="3906"/>
    <cellStyle name="20% - Accent1 2 3 3 3 5 2" xfId="12310"/>
    <cellStyle name="20% - Accent1 2 3 3 3 5 2 2" xfId="24111"/>
    <cellStyle name="20% - Accent1 2 3 3 3 5 2 2 2" xfId="51847"/>
    <cellStyle name="20% - Accent1 2 3 3 3 5 2 3" xfId="37726"/>
    <cellStyle name="20% - Accent1 2 3 3 3 5 3" xfId="9359"/>
    <cellStyle name="20% - Accent1 2 3 3 3 5 3 2" xfId="44139"/>
    <cellStyle name="20% - Accent1 2 3 3 3 5 4" xfId="21160"/>
    <cellStyle name="20% - Accent1 2 3 3 3 5 4 2" xfId="51848"/>
    <cellStyle name="20% - Accent1 2 3 3 3 5 5" xfId="34775"/>
    <cellStyle name="20% - Accent1 2 3 3 3 6" xfId="2065"/>
    <cellStyle name="20% - Accent1 2 3 3 3 6 2" xfId="12311"/>
    <cellStyle name="20% - Accent1 2 3 3 3 6 2 2" xfId="24112"/>
    <cellStyle name="20% - Accent1 2 3 3 3 6 2 2 2" xfId="51849"/>
    <cellStyle name="20% - Accent1 2 3 3 3 6 2 3" xfId="37727"/>
    <cellStyle name="20% - Accent1 2 3 3 3 6 3" xfId="7518"/>
    <cellStyle name="20% - Accent1 2 3 3 3 6 3 2" xfId="44140"/>
    <cellStyle name="20% - Accent1 2 3 3 3 6 4" xfId="19319"/>
    <cellStyle name="20% - Accent1 2 3 3 3 6 4 2" xfId="51850"/>
    <cellStyle name="20% - Accent1 2 3 3 3 6 5" xfId="32934"/>
    <cellStyle name="20% - Accent1 2 3 3 3 7" xfId="12312"/>
    <cellStyle name="20% - Accent1 2 3 3 3 7 2" xfId="24113"/>
    <cellStyle name="20% - Accent1 2 3 3 3 7 2 2" xfId="51851"/>
    <cellStyle name="20% - Accent1 2 3 3 3 7 3" xfId="37728"/>
    <cellStyle name="20% - Accent1 2 3 3 3 8" xfId="5618"/>
    <cellStyle name="20% - Accent1 2 3 3 3 8 2" xfId="44141"/>
    <cellStyle name="20% - Accent1 2 3 3 3 9" xfId="17419"/>
    <cellStyle name="20% - Accent1 2 3 3 3 9 2" xfId="51852"/>
    <cellStyle name="20% - Accent1 2 3 3 4" xfId="470"/>
    <cellStyle name="20% - Accent1 2 3 3 4 2" xfId="1186"/>
    <cellStyle name="20% - Accent1 2 3 3 4 2 2" xfId="4780"/>
    <cellStyle name="20% - Accent1 2 3 3 4 2 2 2" xfId="12313"/>
    <cellStyle name="20% - Accent1 2 3 3 4 2 2 2 2" xfId="24114"/>
    <cellStyle name="20% - Accent1 2 3 3 4 2 2 2 2 2" xfId="51853"/>
    <cellStyle name="20% - Accent1 2 3 3 4 2 2 2 3" xfId="37729"/>
    <cellStyle name="20% - Accent1 2 3 3 4 2 2 3" xfId="10233"/>
    <cellStyle name="20% - Accent1 2 3 3 4 2 2 3 2" xfId="44142"/>
    <cellStyle name="20% - Accent1 2 3 3 4 2 2 4" xfId="22034"/>
    <cellStyle name="20% - Accent1 2 3 3 4 2 2 4 2" xfId="51854"/>
    <cellStyle name="20% - Accent1 2 3 3 4 2 2 5" xfId="35649"/>
    <cellStyle name="20% - Accent1 2 3 3 4 2 3" xfId="2939"/>
    <cellStyle name="20% - Accent1 2 3 3 4 2 3 2" xfId="12314"/>
    <cellStyle name="20% - Accent1 2 3 3 4 2 3 2 2" xfId="24115"/>
    <cellStyle name="20% - Accent1 2 3 3 4 2 3 2 2 2" xfId="51855"/>
    <cellStyle name="20% - Accent1 2 3 3 4 2 3 2 3" xfId="37730"/>
    <cellStyle name="20% - Accent1 2 3 3 4 2 3 3" xfId="8392"/>
    <cellStyle name="20% - Accent1 2 3 3 4 2 3 3 2" xfId="44143"/>
    <cellStyle name="20% - Accent1 2 3 3 4 2 3 4" xfId="20193"/>
    <cellStyle name="20% - Accent1 2 3 3 4 2 3 4 2" xfId="51856"/>
    <cellStyle name="20% - Accent1 2 3 3 4 2 3 5" xfId="33808"/>
    <cellStyle name="20% - Accent1 2 3 3 4 2 4" xfId="12315"/>
    <cellStyle name="20% - Accent1 2 3 3 4 2 4 2" xfId="24116"/>
    <cellStyle name="20% - Accent1 2 3 3 4 2 4 2 2" xfId="51857"/>
    <cellStyle name="20% - Accent1 2 3 3 4 2 4 3" xfId="37731"/>
    <cellStyle name="20% - Accent1 2 3 3 4 2 5" xfId="6640"/>
    <cellStyle name="20% - Accent1 2 3 3 4 2 5 2" xfId="44144"/>
    <cellStyle name="20% - Accent1 2 3 3 4 2 6" xfId="18441"/>
    <cellStyle name="20% - Accent1 2 3 3 4 2 6 2" xfId="51858"/>
    <cellStyle name="20% - Accent1 2 3 3 4 2 7" xfId="32056"/>
    <cellStyle name="20% - Accent1 2 3 3 4 3" xfId="3507"/>
    <cellStyle name="20% - Accent1 2 3 3 4 3 2" xfId="5348"/>
    <cellStyle name="20% - Accent1 2 3 3 4 3 2 2" xfId="16818"/>
    <cellStyle name="20% - Accent1 2 3 3 4 3 2 2 2" xfId="28619"/>
    <cellStyle name="20% - Accent1 2 3 3 4 3 2 2 2 2" xfId="51859"/>
    <cellStyle name="20% - Accent1 2 3 3 4 3 2 2 3" xfId="42234"/>
    <cellStyle name="20% - Accent1 2 3 3 4 3 2 3" xfId="10801"/>
    <cellStyle name="20% - Accent1 2 3 3 4 3 2 3 2" xfId="51860"/>
    <cellStyle name="20% - Accent1 2 3 3 4 3 2 4" xfId="22602"/>
    <cellStyle name="20% - Accent1 2 3 3 4 3 2 4 2" xfId="51861"/>
    <cellStyle name="20% - Accent1 2 3 3 4 3 2 5" xfId="36217"/>
    <cellStyle name="20% - Accent1 2 3 3 4 3 3" xfId="12316"/>
    <cellStyle name="20% - Accent1 2 3 3 4 3 3 2" xfId="24117"/>
    <cellStyle name="20% - Accent1 2 3 3 4 3 3 2 2" xfId="51862"/>
    <cellStyle name="20% - Accent1 2 3 3 4 3 3 3" xfId="37732"/>
    <cellStyle name="20% - Accent1 2 3 3 4 3 4" xfId="8960"/>
    <cellStyle name="20% - Accent1 2 3 3 4 3 4 2" xfId="51863"/>
    <cellStyle name="20% - Accent1 2 3 3 4 3 5" xfId="20761"/>
    <cellStyle name="20% - Accent1 2 3 3 4 3 5 2" xfId="51864"/>
    <cellStyle name="20% - Accent1 2 3 3 4 3 6" xfId="34376"/>
    <cellStyle name="20% - Accent1 2 3 3 4 4" xfId="4212"/>
    <cellStyle name="20% - Accent1 2 3 3 4 4 2" xfId="12317"/>
    <cellStyle name="20% - Accent1 2 3 3 4 4 2 2" xfId="24118"/>
    <cellStyle name="20% - Accent1 2 3 3 4 4 2 2 2" xfId="51865"/>
    <cellStyle name="20% - Accent1 2 3 3 4 4 2 3" xfId="37733"/>
    <cellStyle name="20% - Accent1 2 3 3 4 4 3" xfId="9665"/>
    <cellStyle name="20% - Accent1 2 3 3 4 4 3 2" xfId="44145"/>
    <cellStyle name="20% - Accent1 2 3 3 4 4 4" xfId="21466"/>
    <cellStyle name="20% - Accent1 2 3 3 4 4 4 2" xfId="51866"/>
    <cellStyle name="20% - Accent1 2 3 3 4 4 5" xfId="35081"/>
    <cellStyle name="20% - Accent1 2 3 3 4 5" xfId="2371"/>
    <cellStyle name="20% - Accent1 2 3 3 4 5 2" xfId="17004"/>
    <cellStyle name="20% - Accent1 2 3 3 4 5 2 2" xfId="28805"/>
    <cellStyle name="20% - Accent1 2 3 3 4 5 2 2 2" xfId="51867"/>
    <cellStyle name="20% - Accent1 2 3 3 4 5 2 3" xfId="42420"/>
    <cellStyle name="20% - Accent1 2 3 3 4 5 3" xfId="7824"/>
    <cellStyle name="20% - Accent1 2 3 3 4 5 3 2" xfId="51868"/>
    <cellStyle name="20% - Accent1 2 3 3 4 5 4" xfId="19625"/>
    <cellStyle name="20% - Accent1 2 3 3 4 5 4 2" xfId="51869"/>
    <cellStyle name="20% - Accent1 2 3 3 4 5 5" xfId="33240"/>
    <cellStyle name="20% - Accent1 2 3 3 4 6" xfId="12318"/>
    <cellStyle name="20% - Accent1 2 3 3 4 6 2" xfId="24119"/>
    <cellStyle name="20% - Accent1 2 3 3 4 6 2 2" xfId="51870"/>
    <cellStyle name="20% - Accent1 2 3 3 4 6 3" xfId="37734"/>
    <cellStyle name="20% - Accent1 2 3 3 4 7" xfId="5924"/>
    <cellStyle name="20% - Accent1 2 3 3 4 7 2" xfId="51871"/>
    <cellStyle name="20% - Accent1 2 3 3 4 8" xfId="17725"/>
    <cellStyle name="20% - Accent1 2 3 3 4 8 2" xfId="51872"/>
    <cellStyle name="20% - Accent1 2 3 3 4 9" xfId="31340"/>
    <cellStyle name="20% - Accent1 2 3 3 5" xfId="284"/>
    <cellStyle name="20% - Accent1 2 3 3 5 2" xfId="1187"/>
    <cellStyle name="20% - Accent1 2 3 3 5 2 2" xfId="4594"/>
    <cellStyle name="20% - Accent1 2 3 3 5 2 2 2" xfId="12319"/>
    <cellStyle name="20% - Accent1 2 3 3 5 2 2 2 2" xfId="24120"/>
    <cellStyle name="20% - Accent1 2 3 3 5 2 2 2 2 2" xfId="51873"/>
    <cellStyle name="20% - Accent1 2 3 3 5 2 2 2 3" xfId="37735"/>
    <cellStyle name="20% - Accent1 2 3 3 5 2 2 3" xfId="10047"/>
    <cellStyle name="20% - Accent1 2 3 3 5 2 2 3 2" xfId="44146"/>
    <cellStyle name="20% - Accent1 2 3 3 5 2 2 4" xfId="21848"/>
    <cellStyle name="20% - Accent1 2 3 3 5 2 2 4 2" xfId="51874"/>
    <cellStyle name="20% - Accent1 2 3 3 5 2 2 5" xfId="35463"/>
    <cellStyle name="20% - Accent1 2 3 3 5 2 3" xfId="2753"/>
    <cellStyle name="20% - Accent1 2 3 3 5 2 3 2" xfId="12320"/>
    <cellStyle name="20% - Accent1 2 3 3 5 2 3 2 2" xfId="24121"/>
    <cellStyle name="20% - Accent1 2 3 3 5 2 3 2 2 2" xfId="51875"/>
    <cellStyle name="20% - Accent1 2 3 3 5 2 3 2 3" xfId="37736"/>
    <cellStyle name="20% - Accent1 2 3 3 5 2 3 3" xfId="8206"/>
    <cellStyle name="20% - Accent1 2 3 3 5 2 3 3 2" xfId="44147"/>
    <cellStyle name="20% - Accent1 2 3 3 5 2 3 4" xfId="20007"/>
    <cellStyle name="20% - Accent1 2 3 3 5 2 3 4 2" xfId="51876"/>
    <cellStyle name="20% - Accent1 2 3 3 5 2 3 5" xfId="33622"/>
    <cellStyle name="20% - Accent1 2 3 3 5 2 4" xfId="12321"/>
    <cellStyle name="20% - Accent1 2 3 3 5 2 4 2" xfId="24122"/>
    <cellStyle name="20% - Accent1 2 3 3 5 2 4 2 2" xfId="51877"/>
    <cellStyle name="20% - Accent1 2 3 3 5 2 4 3" xfId="37737"/>
    <cellStyle name="20% - Accent1 2 3 3 5 2 5" xfId="6641"/>
    <cellStyle name="20% - Accent1 2 3 3 5 2 5 2" xfId="44148"/>
    <cellStyle name="20% - Accent1 2 3 3 5 2 6" xfId="18442"/>
    <cellStyle name="20% - Accent1 2 3 3 5 2 6 2" xfId="51878"/>
    <cellStyle name="20% - Accent1 2 3 3 5 2 7" xfId="32057"/>
    <cellStyle name="20% - Accent1 2 3 3 5 3" xfId="3321"/>
    <cellStyle name="20% - Accent1 2 3 3 5 3 2" xfId="5162"/>
    <cellStyle name="20% - Accent1 2 3 3 5 3 2 2" xfId="16632"/>
    <cellStyle name="20% - Accent1 2 3 3 5 3 2 2 2" xfId="28433"/>
    <cellStyle name="20% - Accent1 2 3 3 5 3 2 2 2 2" xfId="51879"/>
    <cellStyle name="20% - Accent1 2 3 3 5 3 2 2 3" xfId="42048"/>
    <cellStyle name="20% - Accent1 2 3 3 5 3 2 3" xfId="10615"/>
    <cellStyle name="20% - Accent1 2 3 3 5 3 2 3 2" xfId="51880"/>
    <cellStyle name="20% - Accent1 2 3 3 5 3 2 4" xfId="22416"/>
    <cellStyle name="20% - Accent1 2 3 3 5 3 2 4 2" xfId="51881"/>
    <cellStyle name="20% - Accent1 2 3 3 5 3 2 5" xfId="36031"/>
    <cellStyle name="20% - Accent1 2 3 3 5 3 3" xfId="12322"/>
    <cellStyle name="20% - Accent1 2 3 3 5 3 3 2" xfId="24123"/>
    <cellStyle name="20% - Accent1 2 3 3 5 3 3 2 2" xfId="51882"/>
    <cellStyle name="20% - Accent1 2 3 3 5 3 3 3" xfId="37738"/>
    <cellStyle name="20% - Accent1 2 3 3 5 3 4" xfId="8774"/>
    <cellStyle name="20% - Accent1 2 3 3 5 3 4 2" xfId="51883"/>
    <cellStyle name="20% - Accent1 2 3 3 5 3 5" xfId="20575"/>
    <cellStyle name="20% - Accent1 2 3 3 5 3 5 2" xfId="51884"/>
    <cellStyle name="20% - Accent1 2 3 3 5 3 6" xfId="34190"/>
    <cellStyle name="20% - Accent1 2 3 3 5 4" xfId="4026"/>
    <cellStyle name="20% - Accent1 2 3 3 5 4 2" xfId="12323"/>
    <cellStyle name="20% - Accent1 2 3 3 5 4 2 2" xfId="24124"/>
    <cellStyle name="20% - Accent1 2 3 3 5 4 2 2 2" xfId="51885"/>
    <cellStyle name="20% - Accent1 2 3 3 5 4 2 3" xfId="37739"/>
    <cellStyle name="20% - Accent1 2 3 3 5 4 3" xfId="9479"/>
    <cellStyle name="20% - Accent1 2 3 3 5 4 3 2" xfId="44149"/>
    <cellStyle name="20% - Accent1 2 3 3 5 4 4" xfId="21280"/>
    <cellStyle name="20% - Accent1 2 3 3 5 4 4 2" xfId="51886"/>
    <cellStyle name="20% - Accent1 2 3 3 5 4 5" xfId="34895"/>
    <cellStyle name="20% - Accent1 2 3 3 5 5" xfId="2185"/>
    <cellStyle name="20% - Accent1 2 3 3 5 5 2" xfId="17005"/>
    <cellStyle name="20% - Accent1 2 3 3 5 5 2 2" xfId="28806"/>
    <cellStyle name="20% - Accent1 2 3 3 5 5 2 2 2" xfId="51887"/>
    <cellStyle name="20% - Accent1 2 3 3 5 5 2 3" xfId="42421"/>
    <cellStyle name="20% - Accent1 2 3 3 5 5 3" xfId="7638"/>
    <cellStyle name="20% - Accent1 2 3 3 5 5 3 2" xfId="51888"/>
    <cellStyle name="20% - Accent1 2 3 3 5 5 4" xfId="19439"/>
    <cellStyle name="20% - Accent1 2 3 3 5 5 4 2" xfId="51889"/>
    <cellStyle name="20% - Accent1 2 3 3 5 5 5" xfId="33054"/>
    <cellStyle name="20% - Accent1 2 3 3 5 6" xfId="12324"/>
    <cellStyle name="20% - Accent1 2 3 3 5 6 2" xfId="24125"/>
    <cellStyle name="20% - Accent1 2 3 3 5 6 2 2" xfId="51890"/>
    <cellStyle name="20% - Accent1 2 3 3 5 6 3" xfId="37740"/>
    <cellStyle name="20% - Accent1 2 3 3 5 7" xfId="5738"/>
    <cellStyle name="20% - Accent1 2 3 3 5 7 2" xfId="51891"/>
    <cellStyle name="20% - Accent1 2 3 3 5 8" xfId="17539"/>
    <cellStyle name="20% - Accent1 2 3 3 5 8 2" xfId="51892"/>
    <cellStyle name="20% - Accent1 2 3 3 5 9" xfId="31154"/>
    <cellStyle name="20% - Accent1 2 3 3 6" xfId="611"/>
    <cellStyle name="20% - Accent1 2 3 3 6 2" xfId="1188"/>
    <cellStyle name="20% - Accent1 2 3 3 6 2 2" xfId="4353"/>
    <cellStyle name="20% - Accent1 2 3 3 6 2 2 2" xfId="12325"/>
    <cellStyle name="20% - Accent1 2 3 3 6 2 2 2 2" xfId="24126"/>
    <cellStyle name="20% - Accent1 2 3 3 6 2 2 2 2 2" xfId="51893"/>
    <cellStyle name="20% - Accent1 2 3 3 6 2 2 2 3" xfId="37741"/>
    <cellStyle name="20% - Accent1 2 3 3 6 2 2 3" xfId="9806"/>
    <cellStyle name="20% - Accent1 2 3 3 6 2 2 3 2" xfId="44150"/>
    <cellStyle name="20% - Accent1 2 3 3 6 2 2 4" xfId="21607"/>
    <cellStyle name="20% - Accent1 2 3 3 6 2 2 4 2" xfId="51894"/>
    <cellStyle name="20% - Accent1 2 3 3 6 2 2 5" xfId="35222"/>
    <cellStyle name="20% - Accent1 2 3 3 6 2 3" xfId="12326"/>
    <cellStyle name="20% - Accent1 2 3 3 6 2 3 2" xfId="24127"/>
    <cellStyle name="20% - Accent1 2 3 3 6 2 3 2 2" xfId="44151"/>
    <cellStyle name="20% - Accent1 2 3 3 6 2 3 3" xfId="29506"/>
    <cellStyle name="20% - Accent1 2 3 3 6 2 3 3 2" xfId="44152"/>
    <cellStyle name="20% - Accent1 2 3 3 6 2 3 4" xfId="29507"/>
    <cellStyle name="20% - Accent1 2 3 3 6 2 3 4 2" xfId="51895"/>
    <cellStyle name="20% - Accent1 2 3 3 6 2 3 5" xfId="37742"/>
    <cellStyle name="20% - Accent1 2 3 3 6 2 4" xfId="12327"/>
    <cellStyle name="20% - Accent1 2 3 3 6 2 4 2" xfId="24128"/>
    <cellStyle name="20% - Accent1 2 3 3 6 2 4 2 2" xfId="51896"/>
    <cellStyle name="20% - Accent1 2 3 3 6 2 4 3" xfId="37743"/>
    <cellStyle name="20% - Accent1 2 3 3 6 2 5" xfId="6642"/>
    <cellStyle name="20% - Accent1 2 3 3 6 2 5 2" xfId="44153"/>
    <cellStyle name="20% - Accent1 2 3 3 6 2 6" xfId="18443"/>
    <cellStyle name="20% - Accent1 2 3 3 6 2 6 2" xfId="51897"/>
    <cellStyle name="20% - Accent1 2 3 3 6 2 7" xfId="32058"/>
    <cellStyle name="20% - Accent1 2 3 3 6 3" xfId="2512"/>
    <cellStyle name="20% - Accent1 2 3 3 6 3 2" xfId="12328"/>
    <cellStyle name="20% - Accent1 2 3 3 6 3 2 2" xfId="24129"/>
    <cellStyle name="20% - Accent1 2 3 3 6 3 2 2 2" xfId="51898"/>
    <cellStyle name="20% - Accent1 2 3 3 6 3 2 3" xfId="37744"/>
    <cellStyle name="20% - Accent1 2 3 3 6 3 3" xfId="7965"/>
    <cellStyle name="20% - Accent1 2 3 3 6 3 3 2" xfId="44154"/>
    <cellStyle name="20% - Accent1 2 3 3 6 3 4" xfId="19766"/>
    <cellStyle name="20% - Accent1 2 3 3 6 3 4 2" xfId="51899"/>
    <cellStyle name="20% - Accent1 2 3 3 6 3 5" xfId="33381"/>
    <cellStyle name="20% - Accent1 2 3 3 6 4" xfId="12329"/>
    <cellStyle name="20% - Accent1 2 3 3 6 4 2" xfId="24130"/>
    <cellStyle name="20% - Accent1 2 3 3 6 4 2 2" xfId="44155"/>
    <cellStyle name="20% - Accent1 2 3 3 6 4 3" xfId="29508"/>
    <cellStyle name="20% - Accent1 2 3 3 6 4 3 2" xfId="44156"/>
    <cellStyle name="20% - Accent1 2 3 3 6 4 4" xfId="29509"/>
    <cellStyle name="20% - Accent1 2 3 3 6 4 4 2" xfId="51900"/>
    <cellStyle name="20% - Accent1 2 3 3 6 4 5" xfId="37745"/>
    <cellStyle name="20% - Accent1 2 3 3 6 5" xfId="12330"/>
    <cellStyle name="20% - Accent1 2 3 3 6 5 2" xfId="24131"/>
    <cellStyle name="20% - Accent1 2 3 3 6 5 2 2" xfId="51901"/>
    <cellStyle name="20% - Accent1 2 3 3 6 5 3" xfId="37746"/>
    <cellStyle name="20% - Accent1 2 3 3 6 6" xfId="6065"/>
    <cellStyle name="20% - Accent1 2 3 3 6 6 2" xfId="44157"/>
    <cellStyle name="20% - Accent1 2 3 3 6 7" xfId="17866"/>
    <cellStyle name="20% - Accent1 2 3 3 6 7 2" xfId="51902"/>
    <cellStyle name="20% - Accent1 2 3 3 6 8" xfId="31481"/>
    <cellStyle name="20% - Accent1 2 3 3 7" xfId="852"/>
    <cellStyle name="20% - Accent1 2 3 3 7 2" xfId="1189"/>
    <cellStyle name="20% - Accent1 2 3 3 7 2 2" xfId="4921"/>
    <cellStyle name="20% - Accent1 2 3 3 7 2 2 2" xfId="12331"/>
    <cellStyle name="20% - Accent1 2 3 3 7 2 2 2 2" xfId="24132"/>
    <cellStyle name="20% - Accent1 2 3 3 7 2 2 2 2 2" xfId="51903"/>
    <cellStyle name="20% - Accent1 2 3 3 7 2 2 2 3" xfId="37747"/>
    <cellStyle name="20% - Accent1 2 3 3 7 2 2 3" xfId="10374"/>
    <cellStyle name="20% - Accent1 2 3 3 7 2 2 3 2" xfId="44158"/>
    <cellStyle name="20% - Accent1 2 3 3 7 2 2 4" xfId="22175"/>
    <cellStyle name="20% - Accent1 2 3 3 7 2 2 4 2" xfId="51904"/>
    <cellStyle name="20% - Accent1 2 3 3 7 2 2 5" xfId="35790"/>
    <cellStyle name="20% - Accent1 2 3 3 7 2 3" xfId="12332"/>
    <cellStyle name="20% - Accent1 2 3 3 7 2 3 2" xfId="24133"/>
    <cellStyle name="20% - Accent1 2 3 3 7 2 3 2 2" xfId="44159"/>
    <cellStyle name="20% - Accent1 2 3 3 7 2 3 3" xfId="29510"/>
    <cellStyle name="20% - Accent1 2 3 3 7 2 3 3 2" xfId="44160"/>
    <cellStyle name="20% - Accent1 2 3 3 7 2 3 4" xfId="29511"/>
    <cellStyle name="20% - Accent1 2 3 3 7 2 3 4 2" xfId="51905"/>
    <cellStyle name="20% - Accent1 2 3 3 7 2 3 5" xfId="37748"/>
    <cellStyle name="20% - Accent1 2 3 3 7 2 4" xfId="12333"/>
    <cellStyle name="20% - Accent1 2 3 3 7 2 4 2" xfId="24134"/>
    <cellStyle name="20% - Accent1 2 3 3 7 2 4 2 2" xfId="51906"/>
    <cellStyle name="20% - Accent1 2 3 3 7 2 4 3" xfId="37749"/>
    <cellStyle name="20% - Accent1 2 3 3 7 2 5" xfId="6643"/>
    <cellStyle name="20% - Accent1 2 3 3 7 2 5 2" xfId="44161"/>
    <cellStyle name="20% - Accent1 2 3 3 7 2 6" xfId="18444"/>
    <cellStyle name="20% - Accent1 2 3 3 7 2 6 2" xfId="51907"/>
    <cellStyle name="20% - Accent1 2 3 3 7 2 7" xfId="32059"/>
    <cellStyle name="20% - Accent1 2 3 3 7 3" xfId="3080"/>
    <cellStyle name="20% - Accent1 2 3 3 7 3 2" xfId="12334"/>
    <cellStyle name="20% - Accent1 2 3 3 7 3 2 2" xfId="24135"/>
    <cellStyle name="20% - Accent1 2 3 3 7 3 2 2 2" xfId="51908"/>
    <cellStyle name="20% - Accent1 2 3 3 7 3 2 3" xfId="37750"/>
    <cellStyle name="20% - Accent1 2 3 3 7 3 3" xfId="8533"/>
    <cellStyle name="20% - Accent1 2 3 3 7 3 3 2" xfId="44162"/>
    <cellStyle name="20% - Accent1 2 3 3 7 3 4" xfId="20334"/>
    <cellStyle name="20% - Accent1 2 3 3 7 3 4 2" xfId="51909"/>
    <cellStyle name="20% - Accent1 2 3 3 7 3 5" xfId="33949"/>
    <cellStyle name="20% - Accent1 2 3 3 7 4" xfId="12335"/>
    <cellStyle name="20% - Accent1 2 3 3 7 4 2" xfId="24136"/>
    <cellStyle name="20% - Accent1 2 3 3 7 4 2 2" xfId="44163"/>
    <cellStyle name="20% - Accent1 2 3 3 7 4 3" xfId="29512"/>
    <cellStyle name="20% - Accent1 2 3 3 7 4 3 2" xfId="44164"/>
    <cellStyle name="20% - Accent1 2 3 3 7 4 4" xfId="29513"/>
    <cellStyle name="20% - Accent1 2 3 3 7 4 4 2" xfId="51910"/>
    <cellStyle name="20% - Accent1 2 3 3 7 4 5" xfId="37751"/>
    <cellStyle name="20% - Accent1 2 3 3 7 5" xfId="12336"/>
    <cellStyle name="20% - Accent1 2 3 3 7 5 2" xfId="24137"/>
    <cellStyle name="20% - Accent1 2 3 3 7 5 2 2" xfId="51911"/>
    <cellStyle name="20% - Accent1 2 3 3 7 5 3" xfId="37752"/>
    <cellStyle name="20% - Accent1 2 3 3 7 6" xfId="6306"/>
    <cellStyle name="20% - Accent1 2 3 3 7 6 2" xfId="44165"/>
    <cellStyle name="20% - Accent1 2 3 3 7 7" xfId="18107"/>
    <cellStyle name="20% - Accent1 2 3 3 7 7 2" xfId="51912"/>
    <cellStyle name="20% - Accent1 2 3 3 7 8" xfId="31722"/>
    <cellStyle name="20% - Accent1 2 3 3 8" xfId="1190"/>
    <cellStyle name="20% - Accent1 2 3 3 8 2" xfId="3785"/>
    <cellStyle name="20% - Accent1 2 3 3 8 2 2" xfId="12337"/>
    <cellStyle name="20% - Accent1 2 3 3 8 2 2 2" xfId="24138"/>
    <cellStyle name="20% - Accent1 2 3 3 8 2 2 2 2" xfId="51913"/>
    <cellStyle name="20% - Accent1 2 3 3 8 2 2 3" xfId="37753"/>
    <cellStyle name="20% - Accent1 2 3 3 8 2 3" xfId="9238"/>
    <cellStyle name="20% - Accent1 2 3 3 8 2 3 2" xfId="44166"/>
    <cellStyle name="20% - Accent1 2 3 3 8 2 4" xfId="21039"/>
    <cellStyle name="20% - Accent1 2 3 3 8 2 4 2" xfId="51914"/>
    <cellStyle name="20% - Accent1 2 3 3 8 2 5" xfId="34654"/>
    <cellStyle name="20% - Accent1 2 3 3 8 3" xfId="12338"/>
    <cellStyle name="20% - Accent1 2 3 3 8 3 2" xfId="24139"/>
    <cellStyle name="20% - Accent1 2 3 3 8 3 2 2" xfId="44167"/>
    <cellStyle name="20% - Accent1 2 3 3 8 3 3" xfId="29514"/>
    <cellStyle name="20% - Accent1 2 3 3 8 3 3 2" xfId="44168"/>
    <cellStyle name="20% - Accent1 2 3 3 8 3 4" xfId="29515"/>
    <cellStyle name="20% - Accent1 2 3 3 8 3 4 2" xfId="51915"/>
    <cellStyle name="20% - Accent1 2 3 3 8 3 5" xfId="37754"/>
    <cellStyle name="20% - Accent1 2 3 3 8 4" xfId="12339"/>
    <cellStyle name="20% - Accent1 2 3 3 8 4 2" xfId="24140"/>
    <cellStyle name="20% - Accent1 2 3 3 8 4 2 2" xfId="51916"/>
    <cellStyle name="20% - Accent1 2 3 3 8 4 3" xfId="37755"/>
    <cellStyle name="20% - Accent1 2 3 3 8 5" xfId="6644"/>
    <cellStyle name="20% - Accent1 2 3 3 8 5 2" xfId="44169"/>
    <cellStyle name="20% - Accent1 2 3 3 8 6" xfId="18445"/>
    <cellStyle name="20% - Accent1 2 3 3 8 6 2" xfId="51917"/>
    <cellStyle name="20% - Accent1 2 3 3 8 7" xfId="32060"/>
    <cellStyle name="20% - Accent1 2 3 3 9" xfId="3648"/>
    <cellStyle name="20% - Accent1 2 3 3 9 2" xfId="12340"/>
    <cellStyle name="20% - Accent1 2 3 3 9 2 2" xfId="24141"/>
    <cellStyle name="20% - Accent1 2 3 3 9 2 2 2" xfId="51918"/>
    <cellStyle name="20% - Accent1 2 3 3 9 2 3" xfId="37756"/>
    <cellStyle name="20% - Accent1 2 3 3 9 3" xfId="9101"/>
    <cellStyle name="20% - Accent1 2 3 3 9 3 2" xfId="44170"/>
    <cellStyle name="20% - Accent1 2 3 3 9 4" xfId="20902"/>
    <cellStyle name="20% - Accent1 2 3 3 9 4 2" xfId="51919"/>
    <cellStyle name="20% - Accent1 2 3 3 9 5" xfId="34517"/>
    <cellStyle name="20% - Accent1 2 3 4" xfId="23"/>
    <cellStyle name="20% - Accent1 2 3 4 10" xfId="1924"/>
    <cellStyle name="20% - Accent1 2 3 4 10 2" xfId="12341"/>
    <cellStyle name="20% - Accent1 2 3 4 10 2 2" xfId="24142"/>
    <cellStyle name="20% - Accent1 2 3 4 10 2 2 2" xfId="51920"/>
    <cellStyle name="20% - Accent1 2 3 4 10 2 3" xfId="37757"/>
    <cellStyle name="20% - Accent1 2 3 4 10 3" xfId="7377"/>
    <cellStyle name="20% - Accent1 2 3 4 10 3 2" xfId="44171"/>
    <cellStyle name="20% - Accent1 2 3 4 10 4" xfId="19178"/>
    <cellStyle name="20% - Accent1 2 3 4 10 4 2" xfId="51921"/>
    <cellStyle name="20% - Accent1 2 3 4 10 5" xfId="32793"/>
    <cellStyle name="20% - Accent1 2 3 4 11" xfId="12342"/>
    <cellStyle name="20% - Accent1 2 3 4 11 2" xfId="24143"/>
    <cellStyle name="20% - Accent1 2 3 4 11 2 2" xfId="51922"/>
    <cellStyle name="20% - Accent1 2 3 4 11 3" xfId="37758"/>
    <cellStyle name="20% - Accent1 2 3 4 12" xfId="5477"/>
    <cellStyle name="20% - Accent1 2 3 4 12 2" xfId="44172"/>
    <cellStyle name="20% - Accent1 2 3 4 13" xfId="17278"/>
    <cellStyle name="20% - Accent1 2 3 4 13 2" xfId="51923"/>
    <cellStyle name="20% - Accent1 2 3 4 14" xfId="30893"/>
    <cellStyle name="20% - Accent1 2 3 4 2" xfId="90"/>
    <cellStyle name="20% - Accent1 2 3 4 2 10" xfId="5544"/>
    <cellStyle name="20% - Accent1 2 3 4 2 10 2" xfId="44173"/>
    <cellStyle name="20% - Accent1 2 3 4 2 11" xfId="17345"/>
    <cellStyle name="20% - Accent1 2 3 4 2 11 2" xfId="51924"/>
    <cellStyle name="20% - Accent1 2 3 4 2 12" xfId="30960"/>
    <cellStyle name="20% - Accent1 2 3 4 2 2" xfId="203"/>
    <cellStyle name="20% - Accent1 2 3 4 2 2 10" xfId="31073"/>
    <cellStyle name="20% - Accent1 2 3 4 2 2 2" xfId="517"/>
    <cellStyle name="20% - Accent1 2 3 4 2 2 2 2" xfId="1191"/>
    <cellStyle name="20% - Accent1 2 3 4 2 2 2 2 2" xfId="4827"/>
    <cellStyle name="20% - Accent1 2 3 4 2 2 2 2 2 2" xfId="12343"/>
    <cellStyle name="20% - Accent1 2 3 4 2 2 2 2 2 2 2" xfId="24144"/>
    <cellStyle name="20% - Accent1 2 3 4 2 2 2 2 2 2 2 2" xfId="51925"/>
    <cellStyle name="20% - Accent1 2 3 4 2 2 2 2 2 2 3" xfId="37759"/>
    <cellStyle name="20% - Accent1 2 3 4 2 2 2 2 2 3" xfId="10280"/>
    <cellStyle name="20% - Accent1 2 3 4 2 2 2 2 2 3 2" xfId="44174"/>
    <cellStyle name="20% - Accent1 2 3 4 2 2 2 2 2 4" xfId="22081"/>
    <cellStyle name="20% - Accent1 2 3 4 2 2 2 2 2 4 2" xfId="51926"/>
    <cellStyle name="20% - Accent1 2 3 4 2 2 2 2 2 5" xfId="35696"/>
    <cellStyle name="20% - Accent1 2 3 4 2 2 2 2 3" xfId="2986"/>
    <cellStyle name="20% - Accent1 2 3 4 2 2 2 2 3 2" xfId="12344"/>
    <cellStyle name="20% - Accent1 2 3 4 2 2 2 2 3 2 2" xfId="24145"/>
    <cellStyle name="20% - Accent1 2 3 4 2 2 2 2 3 2 2 2" xfId="51927"/>
    <cellStyle name="20% - Accent1 2 3 4 2 2 2 2 3 2 3" xfId="37760"/>
    <cellStyle name="20% - Accent1 2 3 4 2 2 2 2 3 3" xfId="8439"/>
    <cellStyle name="20% - Accent1 2 3 4 2 2 2 2 3 3 2" xfId="44175"/>
    <cellStyle name="20% - Accent1 2 3 4 2 2 2 2 3 4" xfId="20240"/>
    <cellStyle name="20% - Accent1 2 3 4 2 2 2 2 3 4 2" xfId="51928"/>
    <cellStyle name="20% - Accent1 2 3 4 2 2 2 2 3 5" xfId="33855"/>
    <cellStyle name="20% - Accent1 2 3 4 2 2 2 2 4" xfId="12345"/>
    <cellStyle name="20% - Accent1 2 3 4 2 2 2 2 4 2" xfId="24146"/>
    <cellStyle name="20% - Accent1 2 3 4 2 2 2 2 4 2 2" xfId="51929"/>
    <cellStyle name="20% - Accent1 2 3 4 2 2 2 2 4 3" xfId="37761"/>
    <cellStyle name="20% - Accent1 2 3 4 2 2 2 2 5" xfId="6645"/>
    <cellStyle name="20% - Accent1 2 3 4 2 2 2 2 5 2" xfId="44176"/>
    <cellStyle name="20% - Accent1 2 3 4 2 2 2 2 6" xfId="18446"/>
    <cellStyle name="20% - Accent1 2 3 4 2 2 2 2 6 2" xfId="51930"/>
    <cellStyle name="20% - Accent1 2 3 4 2 2 2 2 7" xfId="32061"/>
    <cellStyle name="20% - Accent1 2 3 4 2 2 2 3" xfId="3554"/>
    <cellStyle name="20% - Accent1 2 3 4 2 2 2 3 2" xfId="5395"/>
    <cellStyle name="20% - Accent1 2 3 4 2 2 2 3 2 2" xfId="16865"/>
    <cellStyle name="20% - Accent1 2 3 4 2 2 2 3 2 2 2" xfId="28666"/>
    <cellStyle name="20% - Accent1 2 3 4 2 2 2 3 2 2 2 2" xfId="51931"/>
    <cellStyle name="20% - Accent1 2 3 4 2 2 2 3 2 2 3" xfId="42281"/>
    <cellStyle name="20% - Accent1 2 3 4 2 2 2 3 2 3" xfId="10848"/>
    <cellStyle name="20% - Accent1 2 3 4 2 2 2 3 2 3 2" xfId="51932"/>
    <cellStyle name="20% - Accent1 2 3 4 2 2 2 3 2 4" xfId="22649"/>
    <cellStyle name="20% - Accent1 2 3 4 2 2 2 3 2 4 2" xfId="51933"/>
    <cellStyle name="20% - Accent1 2 3 4 2 2 2 3 2 5" xfId="36264"/>
    <cellStyle name="20% - Accent1 2 3 4 2 2 2 3 3" xfId="12346"/>
    <cellStyle name="20% - Accent1 2 3 4 2 2 2 3 3 2" xfId="24147"/>
    <cellStyle name="20% - Accent1 2 3 4 2 2 2 3 3 2 2" xfId="51934"/>
    <cellStyle name="20% - Accent1 2 3 4 2 2 2 3 3 3" xfId="37762"/>
    <cellStyle name="20% - Accent1 2 3 4 2 2 2 3 4" xfId="9007"/>
    <cellStyle name="20% - Accent1 2 3 4 2 2 2 3 4 2" xfId="51935"/>
    <cellStyle name="20% - Accent1 2 3 4 2 2 2 3 5" xfId="20808"/>
    <cellStyle name="20% - Accent1 2 3 4 2 2 2 3 5 2" xfId="51936"/>
    <cellStyle name="20% - Accent1 2 3 4 2 2 2 3 6" xfId="34423"/>
    <cellStyle name="20% - Accent1 2 3 4 2 2 2 4" xfId="4259"/>
    <cellStyle name="20% - Accent1 2 3 4 2 2 2 4 2" xfId="12347"/>
    <cellStyle name="20% - Accent1 2 3 4 2 2 2 4 2 2" xfId="24148"/>
    <cellStyle name="20% - Accent1 2 3 4 2 2 2 4 2 2 2" xfId="51937"/>
    <cellStyle name="20% - Accent1 2 3 4 2 2 2 4 2 3" xfId="37763"/>
    <cellStyle name="20% - Accent1 2 3 4 2 2 2 4 3" xfId="9712"/>
    <cellStyle name="20% - Accent1 2 3 4 2 2 2 4 3 2" xfId="44177"/>
    <cellStyle name="20% - Accent1 2 3 4 2 2 2 4 4" xfId="21513"/>
    <cellStyle name="20% - Accent1 2 3 4 2 2 2 4 4 2" xfId="51938"/>
    <cellStyle name="20% - Accent1 2 3 4 2 2 2 4 5" xfId="35128"/>
    <cellStyle name="20% - Accent1 2 3 4 2 2 2 5" xfId="2418"/>
    <cellStyle name="20% - Accent1 2 3 4 2 2 2 5 2" xfId="17006"/>
    <cellStyle name="20% - Accent1 2 3 4 2 2 2 5 2 2" xfId="28807"/>
    <cellStyle name="20% - Accent1 2 3 4 2 2 2 5 2 2 2" xfId="51939"/>
    <cellStyle name="20% - Accent1 2 3 4 2 2 2 5 2 3" xfId="42422"/>
    <cellStyle name="20% - Accent1 2 3 4 2 2 2 5 3" xfId="7871"/>
    <cellStyle name="20% - Accent1 2 3 4 2 2 2 5 3 2" xfId="51940"/>
    <cellStyle name="20% - Accent1 2 3 4 2 2 2 5 4" xfId="19672"/>
    <cellStyle name="20% - Accent1 2 3 4 2 2 2 5 4 2" xfId="51941"/>
    <cellStyle name="20% - Accent1 2 3 4 2 2 2 5 5" xfId="33287"/>
    <cellStyle name="20% - Accent1 2 3 4 2 2 2 6" xfId="12348"/>
    <cellStyle name="20% - Accent1 2 3 4 2 2 2 6 2" xfId="24149"/>
    <cellStyle name="20% - Accent1 2 3 4 2 2 2 6 2 2" xfId="51942"/>
    <cellStyle name="20% - Accent1 2 3 4 2 2 2 6 3" xfId="37764"/>
    <cellStyle name="20% - Accent1 2 3 4 2 2 2 7" xfId="5971"/>
    <cellStyle name="20% - Accent1 2 3 4 2 2 2 7 2" xfId="51943"/>
    <cellStyle name="20% - Accent1 2 3 4 2 2 2 8" xfId="17772"/>
    <cellStyle name="20% - Accent1 2 3 4 2 2 2 8 2" xfId="51944"/>
    <cellStyle name="20% - Accent1 2 3 4 2 2 2 9" xfId="31387"/>
    <cellStyle name="20% - Accent1 2 3 4 2 2 3" xfId="771"/>
    <cellStyle name="20% - Accent1 2 3 4 2 2 3 2" xfId="1192"/>
    <cellStyle name="20% - Accent1 2 3 4 2 2 3 2 2" xfId="4513"/>
    <cellStyle name="20% - Accent1 2 3 4 2 2 3 2 2 2" xfId="12349"/>
    <cellStyle name="20% - Accent1 2 3 4 2 2 3 2 2 2 2" xfId="24150"/>
    <cellStyle name="20% - Accent1 2 3 4 2 2 3 2 2 2 2 2" xfId="51945"/>
    <cellStyle name="20% - Accent1 2 3 4 2 2 3 2 2 2 3" xfId="37765"/>
    <cellStyle name="20% - Accent1 2 3 4 2 2 3 2 2 3" xfId="9966"/>
    <cellStyle name="20% - Accent1 2 3 4 2 2 3 2 2 3 2" xfId="44178"/>
    <cellStyle name="20% - Accent1 2 3 4 2 2 3 2 2 4" xfId="21767"/>
    <cellStyle name="20% - Accent1 2 3 4 2 2 3 2 2 4 2" xfId="51946"/>
    <cellStyle name="20% - Accent1 2 3 4 2 2 3 2 2 5" xfId="35382"/>
    <cellStyle name="20% - Accent1 2 3 4 2 2 3 2 3" xfId="12350"/>
    <cellStyle name="20% - Accent1 2 3 4 2 2 3 2 3 2" xfId="24151"/>
    <cellStyle name="20% - Accent1 2 3 4 2 2 3 2 3 2 2" xfId="44179"/>
    <cellStyle name="20% - Accent1 2 3 4 2 2 3 2 3 3" xfId="29516"/>
    <cellStyle name="20% - Accent1 2 3 4 2 2 3 2 3 3 2" xfId="44180"/>
    <cellStyle name="20% - Accent1 2 3 4 2 2 3 2 3 4" xfId="29517"/>
    <cellStyle name="20% - Accent1 2 3 4 2 2 3 2 3 4 2" xfId="51947"/>
    <cellStyle name="20% - Accent1 2 3 4 2 2 3 2 3 5" xfId="37766"/>
    <cellStyle name="20% - Accent1 2 3 4 2 2 3 2 4" xfId="12351"/>
    <cellStyle name="20% - Accent1 2 3 4 2 2 3 2 4 2" xfId="24152"/>
    <cellStyle name="20% - Accent1 2 3 4 2 2 3 2 4 2 2" xfId="51948"/>
    <cellStyle name="20% - Accent1 2 3 4 2 2 3 2 4 3" xfId="37767"/>
    <cellStyle name="20% - Accent1 2 3 4 2 2 3 2 5" xfId="6646"/>
    <cellStyle name="20% - Accent1 2 3 4 2 2 3 2 5 2" xfId="44181"/>
    <cellStyle name="20% - Accent1 2 3 4 2 2 3 2 6" xfId="18447"/>
    <cellStyle name="20% - Accent1 2 3 4 2 2 3 2 6 2" xfId="51949"/>
    <cellStyle name="20% - Accent1 2 3 4 2 2 3 2 7" xfId="32062"/>
    <cellStyle name="20% - Accent1 2 3 4 2 2 3 3" xfId="2672"/>
    <cellStyle name="20% - Accent1 2 3 4 2 2 3 3 2" xfId="12352"/>
    <cellStyle name="20% - Accent1 2 3 4 2 2 3 3 2 2" xfId="24153"/>
    <cellStyle name="20% - Accent1 2 3 4 2 2 3 3 2 2 2" xfId="51950"/>
    <cellStyle name="20% - Accent1 2 3 4 2 2 3 3 2 3" xfId="37768"/>
    <cellStyle name="20% - Accent1 2 3 4 2 2 3 3 3" xfId="8125"/>
    <cellStyle name="20% - Accent1 2 3 4 2 2 3 3 3 2" xfId="44182"/>
    <cellStyle name="20% - Accent1 2 3 4 2 2 3 3 4" xfId="19926"/>
    <cellStyle name="20% - Accent1 2 3 4 2 2 3 3 4 2" xfId="51951"/>
    <cellStyle name="20% - Accent1 2 3 4 2 2 3 3 5" xfId="33541"/>
    <cellStyle name="20% - Accent1 2 3 4 2 2 3 4" xfId="12353"/>
    <cellStyle name="20% - Accent1 2 3 4 2 2 3 4 2" xfId="24154"/>
    <cellStyle name="20% - Accent1 2 3 4 2 2 3 4 2 2" xfId="44183"/>
    <cellStyle name="20% - Accent1 2 3 4 2 2 3 4 3" xfId="29518"/>
    <cellStyle name="20% - Accent1 2 3 4 2 2 3 4 3 2" xfId="44184"/>
    <cellStyle name="20% - Accent1 2 3 4 2 2 3 4 4" xfId="29519"/>
    <cellStyle name="20% - Accent1 2 3 4 2 2 3 4 4 2" xfId="51952"/>
    <cellStyle name="20% - Accent1 2 3 4 2 2 3 4 5" xfId="37769"/>
    <cellStyle name="20% - Accent1 2 3 4 2 2 3 5" xfId="12354"/>
    <cellStyle name="20% - Accent1 2 3 4 2 2 3 5 2" xfId="24155"/>
    <cellStyle name="20% - Accent1 2 3 4 2 2 3 5 2 2" xfId="51953"/>
    <cellStyle name="20% - Accent1 2 3 4 2 2 3 5 3" xfId="37770"/>
    <cellStyle name="20% - Accent1 2 3 4 2 2 3 6" xfId="6225"/>
    <cellStyle name="20% - Accent1 2 3 4 2 2 3 6 2" xfId="44185"/>
    <cellStyle name="20% - Accent1 2 3 4 2 2 3 7" xfId="18026"/>
    <cellStyle name="20% - Accent1 2 3 4 2 2 3 7 2" xfId="51954"/>
    <cellStyle name="20% - Accent1 2 3 4 2 2 3 8" xfId="31641"/>
    <cellStyle name="20% - Accent1 2 3 4 2 2 4" xfId="1193"/>
    <cellStyle name="20% - Accent1 2 3 4 2 2 4 2" xfId="5081"/>
    <cellStyle name="20% - Accent1 2 3 4 2 2 4 2 2" xfId="12355"/>
    <cellStyle name="20% - Accent1 2 3 4 2 2 4 2 2 2" xfId="24156"/>
    <cellStyle name="20% - Accent1 2 3 4 2 2 4 2 2 2 2" xfId="51955"/>
    <cellStyle name="20% - Accent1 2 3 4 2 2 4 2 2 3" xfId="37771"/>
    <cellStyle name="20% - Accent1 2 3 4 2 2 4 2 3" xfId="10534"/>
    <cellStyle name="20% - Accent1 2 3 4 2 2 4 2 3 2" xfId="44186"/>
    <cellStyle name="20% - Accent1 2 3 4 2 2 4 2 4" xfId="22335"/>
    <cellStyle name="20% - Accent1 2 3 4 2 2 4 2 4 2" xfId="51956"/>
    <cellStyle name="20% - Accent1 2 3 4 2 2 4 2 5" xfId="35950"/>
    <cellStyle name="20% - Accent1 2 3 4 2 2 4 3" xfId="3240"/>
    <cellStyle name="20% - Accent1 2 3 4 2 2 4 3 2" xfId="12356"/>
    <cellStyle name="20% - Accent1 2 3 4 2 2 4 3 2 2" xfId="24157"/>
    <cellStyle name="20% - Accent1 2 3 4 2 2 4 3 2 2 2" xfId="51957"/>
    <cellStyle name="20% - Accent1 2 3 4 2 2 4 3 2 3" xfId="37772"/>
    <cellStyle name="20% - Accent1 2 3 4 2 2 4 3 3" xfId="8693"/>
    <cellStyle name="20% - Accent1 2 3 4 2 2 4 3 3 2" xfId="44187"/>
    <cellStyle name="20% - Accent1 2 3 4 2 2 4 3 4" xfId="20494"/>
    <cellStyle name="20% - Accent1 2 3 4 2 2 4 3 4 2" xfId="51958"/>
    <cellStyle name="20% - Accent1 2 3 4 2 2 4 3 5" xfId="34109"/>
    <cellStyle name="20% - Accent1 2 3 4 2 2 4 4" xfId="12357"/>
    <cellStyle name="20% - Accent1 2 3 4 2 2 4 4 2" xfId="24158"/>
    <cellStyle name="20% - Accent1 2 3 4 2 2 4 4 2 2" xfId="51959"/>
    <cellStyle name="20% - Accent1 2 3 4 2 2 4 4 3" xfId="37773"/>
    <cellStyle name="20% - Accent1 2 3 4 2 2 4 5" xfId="6647"/>
    <cellStyle name="20% - Accent1 2 3 4 2 2 4 5 2" xfId="44188"/>
    <cellStyle name="20% - Accent1 2 3 4 2 2 4 6" xfId="18448"/>
    <cellStyle name="20% - Accent1 2 3 4 2 2 4 6 2" xfId="51960"/>
    <cellStyle name="20% - Accent1 2 3 4 2 2 4 7" xfId="32063"/>
    <cellStyle name="20% - Accent1 2 3 4 2 2 5" xfId="3945"/>
    <cellStyle name="20% - Accent1 2 3 4 2 2 5 2" xfId="12358"/>
    <cellStyle name="20% - Accent1 2 3 4 2 2 5 2 2" xfId="24159"/>
    <cellStyle name="20% - Accent1 2 3 4 2 2 5 2 2 2" xfId="51961"/>
    <cellStyle name="20% - Accent1 2 3 4 2 2 5 2 3" xfId="37774"/>
    <cellStyle name="20% - Accent1 2 3 4 2 2 5 3" xfId="9398"/>
    <cellStyle name="20% - Accent1 2 3 4 2 2 5 3 2" xfId="44189"/>
    <cellStyle name="20% - Accent1 2 3 4 2 2 5 4" xfId="21199"/>
    <cellStyle name="20% - Accent1 2 3 4 2 2 5 4 2" xfId="51962"/>
    <cellStyle name="20% - Accent1 2 3 4 2 2 5 5" xfId="34814"/>
    <cellStyle name="20% - Accent1 2 3 4 2 2 6" xfId="2104"/>
    <cellStyle name="20% - Accent1 2 3 4 2 2 6 2" xfId="12359"/>
    <cellStyle name="20% - Accent1 2 3 4 2 2 6 2 2" xfId="24160"/>
    <cellStyle name="20% - Accent1 2 3 4 2 2 6 2 2 2" xfId="51963"/>
    <cellStyle name="20% - Accent1 2 3 4 2 2 6 2 3" xfId="37775"/>
    <cellStyle name="20% - Accent1 2 3 4 2 2 6 3" xfId="7557"/>
    <cellStyle name="20% - Accent1 2 3 4 2 2 6 3 2" xfId="44190"/>
    <cellStyle name="20% - Accent1 2 3 4 2 2 6 4" xfId="19358"/>
    <cellStyle name="20% - Accent1 2 3 4 2 2 6 4 2" xfId="51964"/>
    <cellStyle name="20% - Accent1 2 3 4 2 2 6 5" xfId="32973"/>
    <cellStyle name="20% - Accent1 2 3 4 2 2 7" xfId="12360"/>
    <cellStyle name="20% - Accent1 2 3 4 2 2 7 2" xfId="24161"/>
    <cellStyle name="20% - Accent1 2 3 4 2 2 7 2 2" xfId="51965"/>
    <cellStyle name="20% - Accent1 2 3 4 2 2 7 3" xfId="37776"/>
    <cellStyle name="20% - Accent1 2 3 4 2 2 8" xfId="5657"/>
    <cellStyle name="20% - Accent1 2 3 4 2 2 8 2" xfId="44191"/>
    <cellStyle name="20% - Accent1 2 3 4 2 2 9" xfId="17458"/>
    <cellStyle name="20% - Accent1 2 3 4 2 2 9 2" xfId="51966"/>
    <cellStyle name="20% - Accent1 2 3 4 2 3" xfId="380"/>
    <cellStyle name="20% - Accent1 2 3 4 2 3 2" xfId="1194"/>
    <cellStyle name="20% - Accent1 2 3 4 2 3 2 2" xfId="4690"/>
    <cellStyle name="20% - Accent1 2 3 4 2 3 2 2 2" xfId="12361"/>
    <cellStyle name="20% - Accent1 2 3 4 2 3 2 2 2 2" xfId="24162"/>
    <cellStyle name="20% - Accent1 2 3 4 2 3 2 2 2 2 2" xfId="51967"/>
    <cellStyle name="20% - Accent1 2 3 4 2 3 2 2 2 3" xfId="37777"/>
    <cellStyle name="20% - Accent1 2 3 4 2 3 2 2 3" xfId="10143"/>
    <cellStyle name="20% - Accent1 2 3 4 2 3 2 2 3 2" xfId="44192"/>
    <cellStyle name="20% - Accent1 2 3 4 2 3 2 2 4" xfId="21944"/>
    <cellStyle name="20% - Accent1 2 3 4 2 3 2 2 4 2" xfId="51968"/>
    <cellStyle name="20% - Accent1 2 3 4 2 3 2 2 5" xfId="35559"/>
    <cellStyle name="20% - Accent1 2 3 4 2 3 2 3" xfId="2849"/>
    <cellStyle name="20% - Accent1 2 3 4 2 3 2 3 2" xfId="12362"/>
    <cellStyle name="20% - Accent1 2 3 4 2 3 2 3 2 2" xfId="24163"/>
    <cellStyle name="20% - Accent1 2 3 4 2 3 2 3 2 2 2" xfId="51969"/>
    <cellStyle name="20% - Accent1 2 3 4 2 3 2 3 2 3" xfId="37778"/>
    <cellStyle name="20% - Accent1 2 3 4 2 3 2 3 3" xfId="8302"/>
    <cellStyle name="20% - Accent1 2 3 4 2 3 2 3 3 2" xfId="44193"/>
    <cellStyle name="20% - Accent1 2 3 4 2 3 2 3 4" xfId="20103"/>
    <cellStyle name="20% - Accent1 2 3 4 2 3 2 3 4 2" xfId="51970"/>
    <cellStyle name="20% - Accent1 2 3 4 2 3 2 3 5" xfId="33718"/>
    <cellStyle name="20% - Accent1 2 3 4 2 3 2 4" xfId="12363"/>
    <cellStyle name="20% - Accent1 2 3 4 2 3 2 4 2" xfId="24164"/>
    <cellStyle name="20% - Accent1 2 3 4 2 3 2 4 2 2" xfId="51971"/>
    <cellStyle name="20% - Accent1 2 3 4 2 3 2 4 3" xfId="37779"/>
    <cellStyle name="20% - Accent1 2 3 4 2 3 2 5" xfId="6648"/>
    <cellStyle name="20% - Accent1 2 3 4 2 3 2 5 2" xfId="44194"/>
    <cellStyle name="20% - Accent1 2 3 4 2 3 2 6" xfId="18449"/>
    <cellStyle name="20% - Accent1 2 3 4 2 3 2 6 2" xfId="51972"/>
    <cellStyle name="20% - Accent1 2 3 4 2 3 2 7" xfId="32064"/>
    <cellStyle name="20% - Accent1 2 3 4 2 3 3" xfId="3417"/>
    <cellStyle name="20% - Accent1 2 3 4 2 3 3 2" xfId="5258"/>
    <cellStyle name="20% - Accent1 2 3 4 2 3 3 2 2" xfId="16728"/>
    <cellStyle name="20% - Accent1 2 3 4 2 3 3 2 2 2" xfId="28529"/>
    <cellStyle name="20% - Accent1 2 3 4 2 3 3 2 2 2 2" xfId="51973"/>
    <cellStyle name="20% - Accent1 2 3 4 2 3 3 2 2 3" xfId="42144"/>
    <cellStyle name="20% - Accent1 2 3 4 2 3 3 2 3" xfId="10711"/>
    <cellStyle name="20% - Accent1 2 3 4 2 3 3 2 3 2" xfId="51974"/>
    <cellStyle name="20% - Accent1 2 3 4 2 3 3 2 4" xfId="22512"/>
    <cellStyle name="20% - Accent1 2 3 4 2 3 3 2 4 2" xfId="51975"/>
    <cellStyle name="20% - Accent1 2 3 4 2 3 3 2 5" xfId="36127"/>
    <cellStyle name="20% - Accent1 2 3 4 2 3 3 3" xfId="12364"/>
    <cellStyle name="20% - Accent1 2 3 4 2 3 3 3 2" xfId="24165"/>
    <cellStyle name="20% - Accent1 2 3 4 2 3 3 3 2 2" xfId="51976"/>
    <cellStyle name="20% - Accent1 2 3 4 2 3 3 3 3" xfId="37780"/>
    <cellStyle name="20% - Accent1 2 3 4 2 3 3 4" xfId="8870"/>
    <cellStyle name="20% - Accent1 2 3 4 2 3 3 4 2" xfId="51977"/>
    <cellStyle name="20% - Accent1 2 3 4 2 3 3 5" xfId="20671"/>
    <cellStyle name="20% - Accent1 2 3 4 2 3 3 5 2" xfId="51978"/>
    <cellStyle name="20% - Accent1 2 3 4 2 3 3 6" xfId="34286"/>
    <cellStyle name="20% - Accent1 2 3 4 2 3 4" xfId="4122"/>
    <cellStyle name="20% - Accent1 2 3 4 2 3 4 2" xfId="12365"/>
    <cellStyle name="20% - Accent1 2 3 4 2 3 4 2 2" xfId="24166"/>
    <cellStyle name="20% - Accent1 2 3 4 2 3 4 2 2 2" xfId="51979"/>
    <cellStyle name="20% - Accent1 2 3 4 2 3 4 2 3" xfId="37781"/>
    <cellStyle name="20% - Accent1 2 3 4 2 3 4 3" xfId="9575"/>
    <cellStyle name="20% - Accent1 2 3 4 2 3 4 3 2" xfId="44195"/>
    <cellStyle name="20% - Accent1 2 3 4 2 3 4 4" xfId="21376"/>
    <cellStyle name="20% - Accent1 2 3 4 2 3 4 4 2" xfId="51980"/>
    <cellStyle name="20% - Accent1 2 3 4 2 3 4 5" xfId="34991"/>
    <cellStyle name="20% - Accent1 2 3 4 2 3 5" xfId="2281"/>
    <cellStyle name="20% - Accent1 2 3 4 2 3 5 2" xfId="17007"/>
    <cellStyle name="20% - Accent1 2 3 4 2 3 5 2 2" xfId="28808"/>
    <cellStyle name="20% - Accent1 2 3 4 2 3 5 2 2 2" xfId="51981"/>
    <cellStyle name="20% - Accent1 2 3 4 2 3 5 2 3" xfId="42423"/>
    <cellStyle name="20% - Accent1 2 3 4 2 3 5 3" xfId="7734"/>
    <cellStyle name="20% - Accent1 2 3 4 2 3 5 3 2" xfId="51982"/>
    <cellStyle name="20% - Accent1 2 3 4 2 3 5 4" xfId="19535"/>
    <cellStyle name="20% - Accent1 2 3 4 2 3 5 4 2" xfId="51983"/>
    <cellStyle name="20% - Accent1 2 3 4 2 3 5 5" xfId="33150"/>
    <cellStyle name="20% - Accent1 2 3 4 2 3 6" xfId="12366"/>
    <cellStyle name="20% - Accent1 2 3 4 2 3 6 2" xfId="24167"/>
    <cellStyle name="20% - Accent1 2 3 4 2 3 6 2 2" xfId="51984"/>
    <cellStyle name="20% - Accent1 2 3 4 2 3 6 3" xfId="37782"/>
    <cellStyle name="20% - Accent1 2 3 4 2 3 7" xfId="5834"/>
    <cellStyle name="20% - Accent1 2 3 4 2 3 7 2" xfId="51985"/>
    <cellStyle name="20% - Accent1 2 3 4 2 3 8" xfId="17635"/>
    <cellStyle name="20% - Accent1 2 3 4 2 3 8 2" xfId="51986"/>
    <cellStyle name="20% - Accent1 2 3 4 2 3 9" xfId="31250"/>
    <cellStyle name="20% - Accent1 2 3 4 2 4" xfId="658"/>
    <cellStyle name="20% - Accent1 2 3 4 2 4 2" xfId="1195"/>
    <cellStyle name="20% - Accent1 2 3 4 2 4 2 2" xfId="4400"/>
    <cellStyle name="20% - Accent1 2 3 4 2 4 2 2 2" xfId="12367"/>
    <cellStyle name="20% - Accent1 2 3 4 2 4 2 2 2 2" xfId="24168"/>
    <cellStyle name="20% - Accent1 2 3 4 2 4 2 2 2 2 2" xfId="51987"/>
    <cellStyle name="20% - Accent1 2 3 4 2 4 2 2 2 3" xfId="37783"/>
    <cellStyle name="20% - Accent1 2 3 4 2 4 2 2 3" xfId="9853"/>
    <cellStyle name="20% - Accent1 2 3 4 2 4 2 2 3 2" xfId="44196"/>
    <cellStyle name="20% - Accent1 2 3 4 2 4 2 2 4" xfId="21654"/>
    <cellStyle name="20% - Accent1 2 3 4 2 4 2 2 4 2" xfId="51988"/>
    <cellStyle name="20% - Accent1 2 3 4 2 4 2 2 5" xfId="35269"/>
    <cellStyle name="20% - Accent1 2 3 4 2 4 2 3" xfId="12368"/>
    <cellStyle name="20% - Accent1 2 3 4 2 4 2 3 2" xfId="24169"/>
    <cellStyle name="20% - Accent1 2 3 4 2 4 2 3 2 2" xfId="44197"/>
    <cellStyle name="20% - Accent1 2 3 4 2 4 2 3 3" xfId="29520"/>
    <cellStyle name="20% - Accent1 2 3 4 2 4 2 3 3 2" xfId="44198"/>
    <cellStyle name="20% - Accent1 2 3 4 2 4 2 3 4" xfId="29521"/>
    <cellStyle name="20% - Accent1 2 3 4 2 4 2 3 4 2" xfId="51989"/>
    <cellStyle name="20% - Accent1 2 3 4 2 4 2 3 5" xfId="37784"/>
    <cellStyle name="20% - Accent1 2 3 4 2 4 2 4" xfId="12369"/>
    <cellStyle name="20% - Accent1 2 3 4 2 4 2 4 2" xfId="24170"/>
    <cellStyle name="20% - Accent1 2 3 4 2 4 2 4 2 2" xfId="51990"/>
    <cellStyle name="20% - Accent1 2 3 4 2 4 2 4 3" xfId="37785"/>
    <cellStyle name="20% - Accent1 2 3 4 2 4 2 5" xfId="6649"/>
    <cellStyle name="20% - Accent1 2 3 4 2 4 2 5 2" xfId="44199"/>
    <cellStyle name="20% - Accent1 2 3 4 2 4 2 6" xfId="18450"/>
    <cellStyle name="20% - Accent1 2 3 4 2 4 2 6 2" xfId="51991"/>
    <cellStyle name="20% - Accent1 2 3 4 2 4 2 7" xfId="32065"/>
    <cellStyle name="20% - Accent1 2 3 4 2 4 3" xfId="2559"/>
    <cellStyle name="20% - Accent1 2 3 4 2 4 3 2" xfId="12370"/>
    <cellStyle name="20% - Accent1 2 3 4 2 4 3 2 2" xfId="24171"/>
    <cellStyle name="20% - Accent1 2 3 4 2 4 3 2 2 2" xfId="51992"/>
    <cellStyle name="20% - Accent1 2 3 4 2 4 3 2 3" xfId="37786"/>
    <cellStyle name="20% - Accent1 2 3 4 2 4 3 3" xfId="8012"/>
    <cellStyle name="20% - Accent1 2 3 4 2 4 3 3 2" xfId="44200"/>
    <cellStyle name="20% - Accent1 2 3 4 2 4 3 4" xfId="19813"/>
    <cellStyle name="20% - Accent1 2 3 4 2 4 3 4 2" xfId="51993"/>
    <cellStyle name="20% - Accent1 2 3 4 2 4 3 5" xfId="33428"/>
    <cellStyle name="20% - Accent1 2 3 4 2 4 4" xfId="12371"/>
    <cellStyle name="20% - Accent1 2 3 4 2 4 4 2" xfId="24172"/>
    <cellStyle name="20% - Accent1 2 3 4 2 4 4 2 2" xfId="44201"/>
    <cellStyle name="20% - Accent1 2 3 4 2 4 4 3" xfId="29522"/>
    <cellStyle name="20% - Accent1 2 3 4 2 4 4 3 2" xfId="44202"/>
    <cellStyle name="20% - Accent1 2 3 4 2 4 4 4" xfId="29523"/>
    <cellStyle name="20% - Accent1 2 3 4 2 4 4 4 2" xfId="51994"/>
    <cellStyle name="20% - Accent1 2 3 4 2 4 4 5" xfId="37787"/>
    <cellStyle name="20% - Accent1 2 3 4 2 4 5" xfId="12372"/>
    <cellStyle name="20% - Accent1 2 3 4 2 4 5 2" xfId="24173"/>
    <cellStyle name="20% - Accent1 2 3 4 2 4 5 2 2" xfId="51995"/>
    <cellStyle name="20% - Accent1 2 3 4 2 4 5 3" xfId="37788"/>
    <cellStyle name="20% - Accent1 2 3 4 2 4 6" xfId="6112"/>
    <cellStyle name="20% - Accent1 2 3 4 2 4 6 2" xfId="44203"/>
    <cellStyle name="20% - Accent1 2 3 4 2 4 7" xfId="17913"/>
    <cellStyle name="20% - Accent1 2 3 4 2 4 7 2" xfId="51996"/>
    <cellStyle name="20% - Accent1 2 3 4 2 4 8" xfId="31528"/>
    <cellStyle name="20% - Accent1 2 3 4 2 5" xfId="899"/>
    <cellStyle name="20% - Accent1 2 3 4 2 5 2" xfId="1196"/>
    <cellStyle name="20% - Accent1 2 3 4 2 5 2 2" xfId="4968"/>
    <cellStyle name="20% - Accent1 2 3 4 2 5 2 2 2" xfId="12373"/>
    <cellStyle name="20% - Accent1 2 3 4 2 5 2 2 2 2" xfId="24174"/>
    <cellStyle name="20% - Accent1 2 3 4 2 5 2 2 2 2 2" xfId="51997"/>
    <cellStyle name="20% - Accent1 2 3 4 2 5 2 2 2 3" xfId="37789"/>
    <cellStyle name="20% - Accent1 2 3 4 2 5 2 2 3" xfId="10421"/>
    <cellStyle name="20% - Accent1 2 3 4 2 5 2 2 3 2" xfId="44204"/>
    <cellStyle name="20% - Accent1 2 3 4 2 5 2 2 4" xfId="22222"/>
    <cellStyle name="20% - Accent1 2 3 4 2 5 2 2 4 2" xfId="51998"/>
    <cellStyle name="20% - Accent1 2 3 4 2 5 2 2 5" xfId="35837"/>
    <cellStyle name="20% - Accent1 2 3 4 2 5 2 3" xfId="12374"/>
    <cellStyle name="20% - Accent1 2 3 4 2 5 2 3 2" xfId="24175"/>
    <cellStyle name="20% - Accent1 2 3 4 2 5 2 3 2 2" xfId="44205"/>
    <cellStyle name="20% - Accent1 2 3 4 2 5 2 3 3" xfId="29524"/>
    <cellStyle name="20% - Accent1 2 3 4 2 5 2 3 3 2" xfId="44206"/>
    <cellStyle name="20% - Accent1 2 3 4 2 5 2 3 4" xfId="29525"/>
    <cellStyle name="20% - Accent1 2 3 4 2 5 2 3 4 2" xfId="51999"/>
    <cellStyle name="20% - Accent1 2 3 4 2 5 2 3 5" xfId="37790"/>
    <cellStyle name="20% - Accent1 2 3 4 2 5 2 4" xfId="12375"/>
    <cellStyle name="20% - Accent1 2 3 4 2 5 2 4 2" xfId="24176"/>
    <cellStyle name="20% - Accent1 2 3 4 2 5 2 4 2 2" xfId="52000"/>
    <cellStyle name="20% - Accent1 2 3 4 2 5 2 4 3" xfId="37791"/>
    <cellStyle name="20% - Accent1 2 3 4 2 5 2 5" xfId="6650"/>
    <cellStyle name="20% - Accent1 2 3 4 2 5 2 5 2" xfId="44207"/>
    <cellStyle name="20% - Accent1 2 3 4 2 5 2 6" xfId="18451"/>
    <cellStyle name="20% - Accent1 2 3 4 2 5 2 6 2" xfId="52001"/>
    <cellStyle name="20% - Accent1 2 3 4 2 5 2 7" xfId="32066"/>
    <cellStyle name="20% - Accent1 2 3 4 2 5 3" xfId="3127"/>
    <cellStyle name="20% - Accent1 2 3 4 2 5 3 2" xfId="12376"/>
    <cellStyle name="20% - Accent1 2 3 4 2 5 3 2 2" xfId="24177"/>
    <cellStyle name="20% - Accent1 2 3 4 2 5 3 2 2 2" xfId="52002"/>
    <cellStyle name="20% - Accent1 2 3 4 2 5 3 2 3" xfId="37792"/>
    <cellStyle name="20% - Accent1 2 3 4 2 5 3 3" xfId="8580"/>
    <cellStyle name="20% - Accent1 2 3 4 2 5 3 3 2" xfId="44208"/>
    <cellStyle name="20% - Accent1 2 3 4 2 5 3 4" xfId="20381"/>
    <cellStyle name="20% - Accent1 2 3 4 2 5 3 4 2" xfId="52003"/>
    <cellStyle name="20% - Accent1 2 3 4 2 5 3 5" xfId="33996"/>
    <cellStyle name="20% - Accent1 2 3 4 2 5 4" xfId="12377"/>
    <cellStyle name="20% - Accent1 2 3 4 2 5 4 2" xfId="24178"/>
    <cellStyle name="20% - Accent1 2 3 4 2 5 4 2 2" xfId="44209"/>
    <cellStyle name="20% - Accent1 2 3 4 2 5 4 3" xfId="29526"/>
    <cellStyle name="20% - Accent1 2 3 4 2 5 4 3 2" xfId="44210"/>
    <cellStyle name="20% - Accent1 2 3 4 2 5 4 4" xfId="29527"/>
    <cellStyle name="20% - Accent1 2 3 4 2 5 4 4 2" xfId="52004"/>
    <cellStyle name="20% - Accent1 2 3 4 2 5 4 5" xfId="37793"/>
    <cellStyle name="20% - Accent1 2 3 4 2 5 5" xfId="12378"/>
    <cellStyle name="20% - Accent1 2 3 4 2 5 5 2" xfId="24179"/>
    <cellStyle name="20% - Accent1 2 3 4 2 5 5 2 2" xfId="52005"/>
    <cellStyle name="20% - Accent1 2 3 4 2 5 5 3" xfId="37794"/>
    <cellStyle name="20% - Accent1 2 3 4 2 5 6" xfId="6353"/>
    <cellStyle name="20% - Accent1 2 3 4 2 5 6 2" xfId="44211"/>
    <cellStyle name="20% - Accent1 2 3 4 2 5 7" xfId="18154"/>
    <cellStyle name="20% - Accent1 2 3 4 2 5 7 2" xfId="52006"/>
    <cellStyle name="20% - Accent1 2 3 4 2 5 8" xfId="31769"/>
    <cellStyle name="20% - Accent1 2 3 4 2 6" xfId="1197"/>
    <cellStyle name="20% - Accent1 2 3 4 2 6 2" xfId="3832"/>
    <cellStyle name="20% - Accent1 2 3 4 2 6 2 2" xfId="12379"/>
    <cellStyle name="20% - Accent1 2 3 4 2 6 2 2 2" xfId="24180"/>
    <cellStyle name="20% - Accent1 2 3 4 2 6 2 2 2 2" xfId="52007"/>
    <cellStyle name="20% - Accent1 2 3 4 2 6 2 2 3" xfId="37795"/>
    <cellStyle name="20% - Accent1 2 3 4 2 6 2 3" xfId="9285"/>
    <cellStyle name="20% - Accent1 2 3 4 2 6 2 3 2" xfId="44212"/>
    <cellStyle name="20% - Accent1 2 3 4 2 6 2 4" xfId="21086"/>
    <cellStyle name="20% - Accent1 2 3 4 2 6 2 4 2" xfId="52008"/>
    <cellStyle name="20% - Accent1 2 3 4 2 6 2 5" xfId="34701"/>
    <cellStyle name="20% - Accent1 2 3 4 2 6 3" xfId="12380"/>
    <cellStyle name="20% - Accent1 2 3 4 2 6 3 2" xfId="24181"/>
    <cellStyle name="20% - Accent1 2 3 4 2 6 3 2 2" xfId="44213"/>
    <cellStyle name="20% - Accent1 2 3 4 2 6 3 3" xfId="29528"/>
    <cellStyle name="20% - Accent1 2 3 4 2 6 3 3 2" xfId="44214"/>
    <cellStyle name="20% - Accent1 2 3 4 2 6 3 4" xfId="29529"/>
    <cellStyle name="20% - Accent1 2 3 4 2 6 3 4 2" xfId="52009"/>
    <cellStyle name="20% - Accent1 2 3 4 2 6 3 5" xfId="37796"/>
    <cellStyle name="20% - Accent1 2 3 4 2 6 4" xfId="12381"/>
    <cellStyle name="20% - Accent1 2 3 4 2 6 4 2" xfId="24182"/>
    <cellStyle name="20% - Accent1 2 3 4 2 6 4 2 2" xfId="52010"/>
    <cellStyle name="20% - Accent1 2 3 4 2 6 4 3" xfId="37797"/>
    <cellStyle name="20% - Accent1 2 3 4 2 6 5" xfId="6651"/>
    <cellStyle name="20% - Accent1 2 3 4 2 6 5 2" xfId="44215"/>
    <cellStyle name="20% - Accent1 2 3 4 2 6 6" xfId="18452"/>
    <cellStyle name="20% - Accent1 2 3 4 2 6 6 2" xfId="52011"/>
    <cellStyle name="20% - Accent1 2 3 4 2 6 7" xfId="32067"/>
    <cellStyle name="20% - Accent1 2 3 4 2 7" xfId="3695"/>
    <cellStyle name="20% - Accent1 2 3 4 2 7 2" xfId="12382"/>
    <cellStyle name="20% - Accent1 2 3 4 2 7 2 2" xfId="24183"/>
    <cellStyle name="20% - Accent1 2 3 4 2 7 2 2 2" xfId="52012"/>
    <cellStyle name="20% - Accent1 2 3 4 2 7 2 3" xfId="37798"/>
    <cellStyle name="20% - Accent1 2 3 4 2 7 3" xfId="9148"/>
    <cellStyle name="20% - Accent1 2 3 4 2 7 3 2" xfId="44216"/>
    <cellStyle name="20% - Accent1 2 3 4 2 7 4" xfId="20949"/>
    <cellStyle name="20% - Accent1 2 3 4 2 7 4 2" xfId="52013"/>
    <cellStyle name="20% - Accent1 2 3 4 2 7 5" xfId="34564"/>
    <cellStyle name="20% - Accent1 2 3 4 2 8" xfId="1991"/>
    <cellStyle name="20% - Accent1 2 3 4 2 8 2" xfId="12383"/>
    <cellStyle name="20% - Accent1 2 3 4 2 8 2 2" xfId="24184"/>
    <cellStyle name="20% - Accent1 2 3 4 2 8 2 2 2" xfId="52014"/>
    <cellStyle name="20% - Accent1 2 3 4 2 8 2 3" xfId="37799"/>
    <cellStyle name="20% - Accent1 2 3 4 2 8 3" xfId="7444"/>
    <cellStyle name="20% - Accent1 2 3 4 2 8 3 2" xfId="44217"/>
    <cellStyle name="20% - Accent1 2 3 4 2 8 4" xfId="19245"/>
    <cellStyle name="20% - Accent1 2 3 4 2 8 4 2" xfId="52015"/>
    <cellStyle name="20% - Accent1 2 3 4 2 8 5" xfId="32860"/>
    <cellStyle name="20% - Accent1 2 3 4 2 9" xfId="12384"/>
    <cellStyle name="20% - Accent1 2 3 4 2 9 2" xfId="24185"/>
    <cellStyle name="20% - Accent1 2 3 4 2 9 2 2" xfId="52016"/>
    <cellStyle name="20% - Accent1 2 3 4 2 9 3" xfId="37800"/>
    <cellStyle name="20% - Accent1 2 3 4 3" xfId="165"/>
    <cellStyle name="20% - Accent1 2 3 4 3 10" xfId="31035"/>
    <cellStyle name="20% - Accent1 2 3 4 3 2" xfId="313"/>
    <cellStyle name="20% - Accent1 2 3 4 3 2 2" xfId="1198"/>
    <cellStyle name="20% - Accent1 2 3 4 3 2 2 2" xfId="4623"/>
    <cellStyle name="20% - Accent1 2 3 4 3 2 2 2 2" xfId="12385"/>
    <cellStyle name="20% - Accent1 2 3 4 3 2 2 2 2 2" xfId="24186"/>
    <cellStyle name="20% - Accent1 2 3 4 3 2 2 2 2 2 2" xfId="52017"/>
    <cellStyle name="20% - Accent1 2 3 4 3 2 2 2 2 3" xfId="37801"/>
    <cellStyle name="20% - Accent1 2 3 4 3 2 2 2 3" xfId="10076"/>
    <cellStyle name="20% - Accent1 2 3 4 3 2 2 2 3 2" xfId="44218"/>
    <cellStyle name="20% - Accent1 2 3 4 3 2 2 2 4" xfId="21877"/>
    <cellStyle name="20% - Accent1 2 3 4 3 2 2 2 4 2" xfId="52018"/>
    <cellStyle name="20% - Accent1 2 3 4 3 2 2 2 5" xfId="35492"/>
    <cellStyle name="20% - Accent1 2 3 4 3 2 2 3" xfId="2782"/>
    <cellStyle name="20% - Accent1 2 3 4 3 2 2 3 2" xfId="12386"/>
    <cellStyle name="20% - Accent1 2 3 4 3 2 2 3 2 2" xfId="24187"/>
    <cellStyle name="20% - Accent1 2 3 4 3 2 2 3 2 2 2" xfId="52019"/>
    <cellStyle name="20% - Accent1 2 3 4 3 2 2 3 2 3" xfId="37802"/>
    <cellStyle name="20% - Accent1 2 3 4 3 2 2 3 3" xfId="8235"/>
    <cellStyle name="20% - Accent1 2 3 4 3 2 2 3 3 2" xfId="44219"/>
    <cellStyle name="20% - Accent1 2 3 4 3 2 2 3 4" xfId="20036"/>
    <cellStyle name="20% - Accent1 2 3 4 3 2 2 3 4 2" xfId="52020"/>
    <cellStyle name="20% - Accent1 2 3 4 3 2 2 3 5" xfId="33651"/>
    <cellStyle name="20% - Accent1 2 3 4 3 2 2 4" xfId="12387"/>
    <cellStyle name="20% - Accent1 2 3 4 3 2 2 4 2" xfId="24188"/>
    <cellStyle name="20% - Accent1 2 3 4 3 2 2 4 2 2" xfId="52021"/>
    <cellStyle name="20% - Accent1 2 3 4 3 2 2 4 3" xfId="37803"/>
    <cellStyle name="20% - Accent1 2 3 4 3 2 2 5" xfId="6652"/>
    <cellStyle name="20% - Accent1 2 3 4 3 2 2 5 2" xfId="44220"/>
    <cellStyle name="20% - Accent1 2 3 4 3 2 2 6" xfId="18453"/>
    <cellStyle name="20% - Accent1 2 3 4 3 2 2 6 2" xfId="52022"/>
    <cellStyle name="20% - Accent1 2 3 4 3 2 2 7" xfId="32068"/>
    <cellStyle name="20% - Accent1 2 3 4 3 2 3" xfId="3350"/>
    <cellStyle name="20% - Accent1 2 3 4 3 2 3 2" xfId="5191"/>
    <cellStyle name="20% - Accent1 2 3 4 3 2 3 2 2" xfId="16661"/>
    <cellStyle name="20% - Accent1 2 3 4 3 2 3 2 2 2" xfId="28462"/>
    <cellStyle name="20% - Accent1 2 3 4 3 2 3 2 2 2 2" xfId="52023"/>
    <cellStyle name="20% - Accent1 2 3 4 3 2 3 2 2 3" xfId="42077"/>
    <cellStyle name="20% - Accent1 2 3 4 3 2 3 2 3" xfId="10644"/>
    <cellStyle name="20% - Accent1 2 3 4 3 2 3 2 3 2" xfId="52024"/>
    <cellStyle name="20% - Accent1 2 3 4 3 2 3 2 4" xfId="22445"/>
    <cellStyle name="20% - Accent1 2 3 4 3 2 3 2 4 2" xfId="52025"/>
    <cellStyle name="20% - Accent1 2 3 4 3 2 3 2 5" xfId="36060"/>
    <cellStyle name="20% - Accent1 2 3 4 3 2 3 3" xfId="12388"/>
    <cellStyle name="20% - Accent1 2 3 4 3 2 3 3 2" xfId="24189"/>
    <cellStyle name="20% - Accent1 2 3 4 3 2 3 3 2 2" xfId="52026"/>
    <cellStyle name="20% - Accent1 2 3 4 3 2 3 3 3" xfId="37804"/>
    <cellStyle name="20% - Accent1 2 3 4 3 2 3 4" xfId="8803"/>
    <cellStyle name="20% - Accent1 2 3 4 3 2 3 4 2" xfId="52027"/>
    <cellStyle name="20% - Accent1 2 3 4 3 2 3 5" xfId="20604"/>
    <cellStyle name="20% - Accent1 2 3 4 3 2 3 5 2" xfId="52028"/>
    <cellStyle name="20% - Accent1 2 3 4 3 2 3 6" xfId="34219"/>
    <cellStyle name="20% - Accent1 2 3 4 3 2 4" xfId="4055"/>
    <cellStyle name="20% - Accent1 2 3 4 3 2 4 2" xfId="12389"/>
    <cellStyle name="20% - Accent1 2 3 4 3 2 4 2 2" xfId="24190"/>
    <cellStyle name="20% - Accent1 2 3 4 3 2 4 2 2 2" xfId="52029"/>
    <cellStyle name="20% - Accent1 2 3 4 3 2 4 2 3" xfId="37805"/>
    <cellStyle name="20% - Accent1 2 3 4 3 2 4 3" xfId="9508"/>
    <cellStyle name="20% - Accent1 2 3 4 3 2 4 3 2" xfId="44221"/>
    <cellStyle name="20% - Accent1 2 3 4 3 2 4 4" xfId="21309"/>
    <cellStyle name="20% - Accent1 2 3 4 3 2 4 4 2" xfId="52030"/>
    <cellStyle name="20% - Accent1 2 3 4 3 2 4 5" xfId="34924"/>
    <cellStyle name="20% - Accent1 2 3 4 3 2 5" xfId="2214"/>
    <cellStyle name="20% - Accent1 2 3 4 3 2 5 2" xfId="17008"/>
    <cellStyle name="20% - Accent1 2 3 4 3 2 5 2 2" xfId="28809"/>
    <cellStyle name="20% - Accent1 2 3 4 3 2 5 2 2 2" xfId="52031"/>
    <cellStyle name="20% - Accent1 2 3 4 3 2 5 2 3" xfId="42424"/>
    <cellStyle name="20% - Accent1 2 3 4 3 2 5 3" xfId="7667"/>
    <cellStyle name="20% - Accent1 2 3 4 3 2 5 3 2" xfId="52032"/>
    <cellStyle name="20% - Accent1 2 3 4 3 2 5 4" xfId="19468"/>
    <cellStyle name="20% - Accent1 2 3 4 3 2 5 4 2" xfId="52033"/>
    <cellStyle name="20% - Accent1 2 3 4 3 2 5 5" xfId="33083"/>
    <cellStyle name="20% - Accent1 2 3 4 3 2 6" xfId="12390"/>
    <cellStyle name="20% - Accent1 2 3 4 3 2 6 2" xfId="24191"/>
    <cellStyle name="20% - Accent1 2 3 4 3 2 6 2 2" xfId="52034"/>
    <cellStyle name="20% - Accent1 2 3 4 3 2 6 3" xfId="37806"/>
    <cellStyle name="20% - Accent1 2 3 4 3 2 7" xfId="5767"/>
    <cellStyle name="20% - Accent1 2 3 4 3 2 7 2" xfId="52035"/>
    <cellStyle name="20% - Accent1 2 3 4 3 2 8" xfId="17568"/>
    <cellStyle name="20% - Accent1 2 3 4 3 2 8 2" xfId="52036"/>
    <cellStyle name="20% - Accent1 2 3 4 3 2 9" xfId="31183"/>
    <cellStyle name="20% - Accent1 2 3 4 3 3" xfId="733"/>
    <cellStyle name="20% - Accent1 2 3 4 3 3 2" xfId="1199"/>
    <cellStyle name="20% - Accent1 2 3 4 3 3 2 2" xfId="4475"/>
    <cellStyle name="20% - Accent1 2 3 4 3 3 2 2 2" xfId="12391"/>
    <cellStyle name="20% - Accent1 2 3 4 3 3 2 2 2 2" xfId="24192"/>
    <cellStyle name="20% - Accent1 2 3 4 3 3 2 2 2 2 2" xfId="52037"/>
    <cellStyle name="20% - Accent1 2 3 4 3 3 2 2 2 3" xfId="37807"/>
    <cellStyle name="20% - Accent1 2 3 4 3 3 2 2 3" xfId="9928"/>
    <cellStyle name="20% - Accent1 2 3 4 3 3 2 2 3 2" xfId="44222"/>
    <cellStyle name="20% - Accent1 2 3 4 3 3 2 2 4" xfId="21729"/>
    <cellStyle name="20% - Accent1 2 3 4 3 3 2 2 4 2" xfId="52038"/>
    <cellStyle name="20% - Accent1 2 3 4 3 3 2 2 5" xfId="35344"/>
    <cellStyle name="20% - Accent1 2 3 4 3 3 2 3" xfId="12392"/>
    <cellStyle name="20% - Accent1 2 3 4 3 3 2 3 2" xfId="24193"/>
    <cellStyle name="20% - Accent1 2 3 4 3 3 2 3 2 2" xfId="44223"/>
    <cellStyle name="20% - Accent1 2 3 4 3 3 2 3 3" xfId="29530"/>
    <cellStyle name="20% - Accent1 2 3 4 3 3 2 3 3 2" xfId="44224"/>
    <cellStyle name="20% - Accent1 2 3 4 3 3 2 3 4" xfId="29531"/>
    <cellStyle name="20% - Accent1 2 3 4 3 3 2 3 4 2" xfId="52039"/>
    <cellStyle name="20% - Accent1 2 3 4 3 3 2 3 5" xfId="37808"/>
    <cellStyle name="20% - Accent1 2 3 4 3 3 2 4" xfId="12393"/>
    <cellStyle name="20% - Accent1 2 3 4 3 3 2 4 2" xfId="24194"/>
    <cellStyle name="20% - Accent1 2 3 4 3 3 2 4 2 2" xfId="52040"/>
    <cellStyle name="20% - Accent1 2 3 4 3 3 2 4 3" xfId="37809"/>
    <cellStyle name="20% - Accent1 2 3 4 3 3 2 5" xfId="6653"/>
    <cellStyle name="20% - Accent1 2 3 4 3 3 2 5 2" xfId="44225"/>
    <cellStyle name="20% - Accent1 2 3 4 3 3 2 6" xfId="18454"/>
    <cellStyle name="20% - Accent1 2 3 4 3 3 2 6 2" xfId="52041"/>
    <cellStyle name="20% - Accent1 2 3 4 3 3 2 7" xfId="32069"/>
    <cellStyle name="20% - Accent1 2 3 4 3 3 3" xfId="2634"/>
    <cellStyle name="20% - Accent1 2 3 4 3 3 3 2" xfId="12394"/>
    <cellStyle name="20% - Accent1 2 3 4 3 3 3 2 2" xfId="24195"/>
    <cellStyle name="20% - Accent1 2 3 4 3 3 3 2 2 2" xfId="52042"/>
    <cellStyle name="20% - Accent1 2 3 4 3 3 3 2 3" xfId="37810"/>
    <cellStyle name="20% - Accent1 2 3 4 3 3 3 3" xfId="8087"/>
    <cellStyle name="20% - Accent1 2 3 4 3 3 3 3 2" xfId="44226"/>
    <cellStyle name="20% - Accent1 2 3 4 3 3 3 4" xfId="19888"/>
    <cellStyle name="20% - Accent1 2 3 4 3 3 3 4 2" xfId="52043"/>
    <cellStyle name="20% - Accent1 2 3 4 3 3 3 5" xfId="33503"/>
    <cellStyle name="20% - Accent1 2 3 4 3 3 4" xfId="12395"/>
    <cellStyle name="20% - Accent1 2 3 4 3 3 4 2" xfId="24196"/>
    <cellStyle name="20% - Accent1 2 3 4 3 3 4 2 2" xfId="44227"/>
    <cellStyle name="20% - Accent1 2 3 4 3 3 4 3" xfId="29532"/>
    <cellStyle name="20% - Accent1 2 3 4 3 3 4 3 2" xfId="44228"/>
    <cellStyle name="20% - Accent1 2 3 4 3 3 4 4" xfId="29533"/>
    <cellStyle name="20% - Accent1 2 3 4 3 3 4 4 2" xfId="52044"/>
    <cellStyle name="20% - Accent1 2 3 4 3 3 4 5" xfId="37811"/>
    <cellStyle name="20% - Accent1 2 3 4 3 3 5" xfId="12396"/>
    <cellStyle name="20% - Accent1 2 3 4 3 3 5 2" xfId="24197"/>
    <cellStyle name="20% - Accent1 2 3 4 3 3 5 2 2" xfId="52045"/>
    <cellStyle name="20% - Accent1 2 3 4 3 3 5 3" xfId="37812"/>
    <cellStyle name="20% - Accent1 2 3 4 3 3 6" xfId="6187"/>
    <cellStyle name="20% - Accent1 2 3 4 3 3 6 2" xfId="44229"/>
    <cellStyle name="20% - Accent1 2 3 4 3 3 7" xfId="17988"/>
    <cellStyle name="20% - Accent1 2 3 4 3 3 7 2" xfId="52046"/>
    <cellStyle name="20% - Accent1 2 3 4 3 3 8" xfId="31603"/>
    <cellStyle name="20% - Accent1 2 3 4 3 4" xfId="1200"/>
    <cellStyle name="20% - Accent1 2 3 4 3 4 2" xfId="5043"/>
    <cellStyle name="20% - Accent1 2 3 4 3 4 2 2" xfId="12397"/>
    <cellStyle name="20% - Accent1 2 3 4 3 4 2 2 2" xfId="24198"/>
    <cellStyle name="20% - Accent1 2 3 4 3 4 2 2 2 2" xfId="52047"/>
    <cellStyle name="20% - Accent1 2 3 4 3 4 2 2 3" xfId="37813"/>
    <cellStyle name="20% - Accent1 2 3 4 3 4 2 3" xfId="10496"/>
    <cellStyle name="20% - Accent1 2 3 4 3 4 2 3 2" xfId="44230"/>
    <cellStyle name="20% - Accent1 2 3 4 3 4 2 4" xfId="22297"/>
    <cellStyle name="20% - Accent1 2 3 4 3 4 2 4 2" xfId="52048"/>
    <cellStyle name="20% - Accent1 2 3 4 3 4 2 5" xfId="35912"/>
    <cellStyle name="20% - Accent1 2 3 4 3 4 3" xfId="3202"/>
    <cellStyle name="20% - Accent1 2 3 4 3 4 3 2" xfId="12398"/>
    <cellStyle name="20% - Accent1 2 3 4 3 4 3 2 2" xfId="24199"/>
    <cellStyle name="20% - Accent1 2 3 4 3 4 3 2 2 2" xfId="52049"/>
    <cellStyle name="20% - Accent1 2 3 4 3 4 3 2 3" xfId="37814"/>
    <cellStyle name="20% - Accent1 2 3 4 3 4 3 3" xfId="8655"/>
    <cellStyle name="20% - Accent1 2 3 4 3 4 3 3 2" xfId="44231"/>
    <cellStyle name="20% - Accent1 2 3 4 3 4 3 4" xfId="20456"/>
    <cellStyle name="20% - Accent1 2 3 4 3 4 3 4 2" xfId="52050"/>
    <cellStyle name="20% - Accent1 2 3 4 3 4 3 5" xfId="34071"/>
    <cellStyle name="20% - Accent1 2 3 4 3 4 4" xfId="12399"/>
    <cellStyle name="20% - Accent1 2 3 4 3 4 4 2" xfId="24200"/>
    <cellStyle name="20% - Accent1 2 3 4 3 4 4 2 2" xfId="52051"/>
    <cellStyle name="20% - Accent1 2 3 4 3 4 4 3" xfId="37815"/>
    <cellStyle name="20% - Accent1 2 3 4 3 4 5" xfId="6654"/>
    <cellStyle name="20% - Accent1 2 3 4 3 4 5 2" xfId="44232"/>
    <cellStyle name="20% - Accent1 2 3 4 3 4 6" xfId="18455"/>
    <cellStyle name="20% - Accent1 2 3 4 3 4 6 2" xfId="52052"/>
    <cellStyle name="20% - Accent1 2 3 4 3 4 7" xfId="32070"/>
    <cellStyle name="20% - Accent1 2 3 4 3 5" xfId="3907"/>
    <cellStyle name="20% - Accent1 2 3 4 3 5 2" xfId="12400"/>
    <cellStyle name="20% - Accent1 2 3 4 3 5 2 2" xfId="24201"/>
    <cellStyle name="20% - Accent1 2 3 4 3 5 2 2 2" xfId="52053"/>
    <cellStyle name="20% - Accent1 2 3 4 3 5 2 3" xfId="37816"/>
    <cellStyle name="20% - Accent1 2 3 4 3 5 3" xfId="9360"/>
    <cellStyle name="20% - Accent1 2 3 4 3 5 3 2" xfId="44233"/>
    <cellStyle name="20% - Accent1 2 3 4 3 5 4" xfId="21161"/>
    <cellStyle name="20% - Accent1 2 3 4 3 5 4 2" xfId="52054"/>
    <cellStyle name="20% - Accent1 2 3 4 3 5 5" xfId="34776"/>
    <cellStyle name="20% - Accent1 2 3 4 3 6" xfId="2066"/>
    <cellStyle name="20% - Accent1 2 3 4 3 6 2" xfId="12401"/>
    <cellStyle name="20% - Accent1 2 3 4 3 6 2 2" xfId="24202"/>
    <cellStyle name="20% - Accent1 2 3 4 3 6 2 2 2" xfId="52055"/>
    <cellStyle name="20% - Accent1 2 3 4 3 6 2 3" xfId="37817"/>
    <cellStyle name="20% - Accent1 2 3 4 3 6 3" xfId="7519"/>
    <cellStyle name="20% - Accent1 2 3 4 3 6 3 2" xfId="44234"/>
    <cellStyle name="20% - Accent1 2 3 4 3 6 4" xfId="19320"/>
    <cellStyle name="20% - Accent1 2 3 4 3 6 4 2" xfId="52056"/>
    <cellStyle name="20% - Accent1 2 3 4 3 6 5" xfId="32935"/>
    <cellStyle name="20% - Accent1 2 3 4 3 7" xfId="12402"/>
    <cellStyle name="20% - Accent1 2 3 4 3 7 2" xfId="24203"/>
    <cellStyle name="20% - Accent1 2 3 4 3 7 2 2" xfId="52057"/>
    <cellStyle name="20% - Accent1 2 3 4 3 7 3" xfId="37818"/>
    <cellStyle name="20% - Accent1 2 3 4 3 8" xfId="5619"/>
    <cellStyle name="20% - Accent1 2 3 4 3 8 2" xfId="44235"/>
    <cellStyle name="20% - Accent1 2 3 4 3 9" xfId="17420"/>
    <cellStyle name="20% - Accent1 2 3 4 3 9 2" xfId="52058"/>
    <cellStyle name="20% - Accent1 2 3 4 4" xfId="450"/>
    <cellStyle name="20% - Accent1 2 3 4 4 2" xfId="1201"/>
    <cellStyle name="20% - Accent1 2 3 4 4 2 2" xfId="4760"/>
    <cellStyle name="20% - Accent1 2 3 4 4 2 2 2" xfId="12403"/>
    <cellStyle name="20% - Accent1 2 3 4 4 2 2 2 2" xfId="24204"/>
    <cellStyle name="20% - Accent1 2 3 4 4 2 2 2 2 2" xfId="52059"/>
    <cellStyle name="20% - Accent1 2 3 4 4 2 2 2 3" xfId="37819"/>
    <cellStyle name="20% - Accent1 2 3 4 4 2 2 3" xfId="10213"/>
    <cellStyle name="20% - Accent1 2 3 4 4 2 2 3 2" xfId="44236"/>
    <cellStyle name="20% - Accent1 2 3 4 4 2 2 4" xfId="22014"/>
    <cellStyle name="20% - Accent1 2 3 4 4 2 2 4 2" xfId="52060"/>
    <cellStyle name="20% - Accent1 2 3 4 4 2 2 5" xfId="35629"/>
    <cellStyle name="20% - Accent1 2 3 4 4 2 3" xfId="2919"/>
    <cellStyle name="20% - Accent1 2 3 4 4 2 3 2" xfId="12404"/>
    <cellStyle name="20% - Accent1 2 3 4 4 2 3 2 2" xfId="24205"/>
    <cellStyle name="20% - Accent1 2 3 4 4 2 3 2 2 2" xfId="52061"/>
    <cellStyle name="20% - Accent1 2 3 4 4 2 3 2 3" xfId="37820"/>
    <cellStyle name="20% - Accent1 2 3 4 4 2 3 3" xfId="8372"/>
    <cellStyle name="20% - Accent1 2 3 4 4 2 3 3 2" xfId="44237"/>
    <cellStyle name="20% - Accent1 2 3 4 4 2 3 4" xfId="20173"/>
    <cellStyle name="20% - Accent1 2 3 4 4 2 3 4 2" xfId="52062"/>
    <cellStyle name="20% - Accent1 2 3 4 4 2 3 5" xfId="33788"/>
    <cellStyle name="20% - Accent1 2 3 4 4 2 4" xfId="12405"/>
    <cellStyle name="20% - Accent1 2 3 4 4 2 4 2" xfId="24206"/>
    <cellStyle name="20% - Accent1 2 3 4 4 2 4 2 2" xfId="52063"/>
    <cellStyle name="20% - Accent1 2 3 4 4 2 4 3" xfId="37821"/>
    <cellStyle name="20% - Accent1 2 3 4 4 2 5" xfId="6655"/>
    <cellStyle name="20% - Accent1 2 3 4 4 2 5 2" xfId="44238"/>
    <cellStyle name="20% - Accent1 2 3 4 4 2 6" xfId="18456"/>
    <cellStyle name="20% - Accent1 2 3 4 4 2 6 2" xfId="52064"/>
    <cellStyle name="20% - Accent1 2 3 4 4 2 7" xfId="32071"/>
    <cellStyle name="20% - Accent1 2 3 4 4 3" xfId="3487"/>
    <cellStyle name="20% - Accent1 2 3 4 4 3 2" xfId="5328"/>
    <cellStyle name="20% - Accent1 2 3 4 4 3 2 2" xfId="16798"/>
    <cellStyle name="20% - Accent1 2 3 4 4 3 2 2 2" xfId="28599"/>
    <cellStyle name="20% - Accent1 2 3 4 4 3 2 2 2 2" xfId="52065"/>
    <cellStyle name="20% - Accent1 2 3 4 4 3 2 2 3" xfId="42214"/>
    <cellStyle name="20% - Accent1 2 3 4 4 3 2 3" xfId="10781"/>
    <cellStyle name="20% - Accent1 2 3 4 4 3 2 3 2" xfId="52066"/>
    <cellStyle name="20% - Accent1 2 3 4 4 3 2 4" xfId="22582"/>
    <cellStyle name="20% - Accent1 2 3 4 4 3 2 4 2" xfId="52067"/>
    <cellStyle name="20% - Accent1 2 3 4 4 3 2 5" xfId="36197"/>
    <cellStyle name="20% - Accent1 2 3 4 4 3 3" xfId="12406"/>
    <cellStyle name="20% - Accent1 2 3 4 4 3 3 2" xfId="24207"/>
    <cellStyle name="20% - Accent1 2 3 4 4 3 3 2 2" xfId="52068"/>
    <cellStyle name="20% - Accent1 2 3 4 4 3 3 3" xfId="37822"/>
    <cellStyle name="20% - Accent1 2 3 4 4 3 4" xfId="8940"/>
    <cellStyle name="20% - Accent1 2 3 4 4 3 4 2" xfId="52069"/>
    <cellStyle name="20% - Accent1 2 3 4 4 3 5" xfId="20741"/>
    <cellStyle name="20% - Accent1 2 3 4 4 3 5 2" xfId="52070"/>
    <cellStyle name="20% - Accent1 2 3 4 4 3 6" xfId="34356"/>
    <cellStyle name="20% - Accent1 2 3 4 4 4" xfId="4192"/>
    <cellStyle name="20% - Accent1 2 3 4 4 4 2" xfId="12407"/>
    <cellStyle name="20% - Accent1 2 3 4 4 4 2 2" xfId="24208"/>
    <cellStyle name="20% - Accent1 2 3 4 4 4 2 2 2" xfId="52071"/>
    <cellStyle name="20% - Accent1 2 3 4 4 4 2 3" xfId="37823"/>
    <cellStyle name="20% - Accent1 2 3 4 4 4 3" xfId="9645"/>
    <cellStyle name="20% - Accent1 2 3 4 4 4 3 2" xfId="44239"/>
    <cellStyle name="20% - Accent1 2 3 4 4 4 4" xfId="21446"/>
    <cellStyle name="20% - Accent1 2 3 4 4 4 4 2" xfId="52072"/>
    <cellStyle name="20% - Accent1 2 3 4 4 4 5" xfId="35061"/>
    <cellStyle name="20% - Accent1 2 3 4 4 5" xfId="2351"/>
    <cellStyle name="20% - Accent1 2 3 4 4 5 2" xfId="17009"/>
    <cellStyle name="20% - Accent1 2 3 4 4 5 2 2" xfId="28810"/>
    <cellStyle name="20% - Accent1 2 3 4 4 5 2 2 2" xfId="52073"/>
    <cellStyle name="20% - Accent1 2 3 4 4 5 2 3" xfId="42425"/>
    <cellStyle name="20% - Accent1 2 3 4 4 5 3" xfId="7804"/>
    <cellStyle name="20% - Accent1 2 3 4 4 5 3 2" xfId="52074"/>
    <cellStyle name="20% - Accent1 2 3 4 4 5 4" xfId="19605"/>
    <cellStyle name="20% - Accent1 2 3 4 4 5 4 2" xfId="52075"/>
    <cellStyle name="20% - Accent1 2 3 4 4 5 5" xfId="33220"/>
    <cellStyle name="20% - Accent1 2 3 4 4 6" xfId="12408"/>
    <cellStyle name="20% - Accent1 2 3 4 4 6 2" xfId="24209"/>
    <cellStyle name="20% - Accent1 2 3 4 4 6 2 2" xfId="52076"/>
    <cellStyle name="20% - Accent1 2 3 4 4 6 3" xfId="37824"/>
    <cellStyle name="20% - Accent1 2 3 4 4 7" xfId="5904"/>
    <cellStyle name="20% - Accent1 2 3 4 4 7 2" xfId="52077"/>
    <cellStyle name="20% - Accent1 2 3 4 4 8" xfId="17705"/>
    <cellStyle name="20% - Accent1 2 3 4 4 8 2" xfId="52078"/>
    <cellStyle name="20% - Accent1 2 3 4 4 9" xfId="31320"/>
    <cellStyle name="20% - Accent1 2 3 4 5" xfId="264"/>
    <cellStyle name="20% - Accent1 2 3 4 5 2" xfId="1202"/>
    <cellStyle name="20% - Accent1 2 3 4 5 2 2" xfId="4574"/>
    <cellStyle name="20% - Accent1 2 3 4 5 2 2 2" xfId="12409"/>
    <cellStyle name="20% - Accent1 2 3 4 5 2 2 2 2" xfId="24210"/>
    <cellStyle name="20% - Accent1 2 3 4 5 2 2 2 2 2" xfId="52079"/>
    <cellStyle name="20% - Accent1 2 3 4 5 2 2 2 3" xfId="37825"/>
    <cellStyle name="20% - Accent1 2 3 4 5 2 2 3" xfId="10027"/>
    <cellStyle name="20% - Accent1 2 3 4 5 2 2 3 2" xfId="44240"/>
    <cellStyle name="20% - Accent1 2 3 4 5 2 2 4" xfId="21828"/>
    <cellStyle name="20% - Accent1 2 3 4 5 2 2 4 2" xfId="52080"/>
    <cellStyle name="20% - Accent1 2 3 4 5 2 2 5" xfId="35443"/>
    <cellStyle name="20% - Accent1 2 3 4 5 2 3" xfId="2733"/>
    <cellStyle name="20% - Accent1 2 3 4 5 2 3 2" xfId="12410"/>
    <cellStyle name="20% - Accent1 2 3 4 5 2 3 2 2" xfId="24211"/>
    <cellStyle name="20% - Accent1 2 3 4 5 2 3 2 2 2" xfId="52081"/>
    <cellStyle name="20% - Accent1 2 3 4 5 2 3 2 3" xfId="37826"/>
    <cellStyle name="20% - Accent1 2 3 4 5 2 3 3" xfId="8186"/>
    <cellStyle name="20% - Accent1 2 3 4 5 2 3 3 2" xfId="44241"/>
    <cellStyle name="20% - Accent1 2 3 4 5 2 3 4" xfId="19987"/>
    <cellStyle name="20% - Accent1 2 3 4 5 2 3 4 2" xfId="52082"/>
    <cellStyle name="20% - Accent1 2 3 4 5 2 3 5" xfId="33602"/>
    <cellStyle name="20% - Accent1 2 3 4 5 2 4" xfId="12411"/>
    <cellStyle name="20% - Accent1 2 3 4 5 2 4 2" xfId="24212"/>
    <cellStyle name="20% - Accent1 2 3 4 5 2 4 2 2" xfId="52083"/>
    <cellStyle name="20% - Accent1 2 3 4 5 2 4 3" xfId="37827"/>
    <cellStyle name="20% - Accent1 2 3 4 5 2 5" xfId="6656"/>
    <cellStyle name="20% - Accent1 2 3 4 5 2 5 2" xfId="44242"/>
    <cellStyle name="20% - Accent1 2 3 4 5 2 6" xfId="18457"/>
    <cellStyle name="20% - Accent1 2 3 4 5 2 6 2" xfId="52084"/>
    <cellStyle name="20% - Accent1 2 3 4 5 2 7" xfId="32072"/>
    <cellStyle name="20% - Accent1 2 3 4 5 3" xfId="3301"/>
    <cellStyle name="20% - Accent1 2 3 4 5 3 2" xfId="5142"/>
    <cellStyle name="20% - Accent1 2 3 4 5 3 2 2" xfId="16612"/>
    <cellStyle name="20% - Accent1 2 3 4 5 3 2 2 2" xfId="28413"/>
    <cellStyle name="20% - Accent1 2 3 4 5 3 2 2 2 2" xfId="52085"/>
    <cellStyle name="20% - Accent1 2 3 4 5 3 2 2 3" xfId="42028"/>
    <cellStyle name="20% - Accent1 2 3 4 5 3 2 3" xfId="10595"/>
    <cellStyle name="20% - Accent1 2 3 4 5 3 2 3 2" xfId="52086"/>
    <cellStyle name="20% - Accent1 2 3 4 5 3 2 4" xfId="22396"/>
    <cellStyle name="20% - Accent1 2 3 4 5 3 2 4 2" xfId="52087"/>
    <cellStyle name="20% - Accent1 2 3 4 5 3 2 5" xfId="36011"/>
    <cellStyle name="20% - Accent1 2 3 4 5 3 3" xfId="12412"/>
    <cellStyle name="20% - Accent1 2 3 4 5 3 3 2" xfId="24213"/>
    <cellStyle name="20% - Accent1 2 3 4 5 3 3 2 2" xfId="52088"/>
    <cellStyle name="20% - Accent1 2 3 4 5 3 3 3" xfId="37828"/>
    <cellStyle name="20% - Accent1 2 3 4 5 3 4" xfId="8754"/>
    <cellStyle name="20% - Accent1 2 3 4 5 3 4 2" xfId="52089"/>
    <cellStyle name="20% - Accent1 2 3 4 5 3 5" xfId="20555"/>
    <cellStyle name="20% - Accent1 2 3 4 5 3 5 2" xfId="52090"/>
    <cellStyle name="20% - Accent1 2 3 4 5 3 6" xfId="34170"/>
    <cellStyle name="20% - Accent1 2 3 4 5 4" xfId="4006"/>
    <cellStyle name="20% - Accent1 2 3 4 5 4 2" xfId="12413"/>
    <cellStyle name="20% - Accent1 2 3 4 5 4 2 2" xfId="24214"/>
    <cellStyle name="20% - Accent1 2 3 4 5 4 2 2 2" xfId="52091"/>
    <cellStyle name="20% - Accent1 2 3 4 5 4 2 3" xfId="37829"/>
    <cellStyle name="20% - Accent1 2 3 4 5 4 3" xfId="9459"/>
    <cellStyle name="20% - Accent1 2 3 4 5 4 3 2" xfId="44243"/>
    <cellStyle name="20% - Accent1 2 3 4 5 4 4" xfId="21260"/>
    <cellStyle name="20% - Accent1 2 3 4 5 4 4 2" xfId="52092"/>
    <cellStyle name="20% - Accent1 2 3 4 5 4 5" xfId="34875"/>
    <cellStyle name="20% - Accent1 2 3 4 5 5" xfId="2165"/>
    <cellStyle name="20% - Accent1 2 3 4 5 5 2" xfId="17010"/>
    <cellStyle name="20% - Accent1 2 3 4 5 5 2 2" xfId="28811"/>
    <cellStyle name="20% - Accent1 2 3 4 5 5 2 2 2" xfId="52093"/>
    <cellStyle name="20% - Accent1 2 3 4 5 5 2 3" xfId="42426"/>
    <cellStyle name="20% - Accent1 2 3 4 5 5 3" xfId="7618"/>
    <cellStyle name="20% - Accent1 2 3 4 5 5 3 2" xfId="52094"/>
    <cellStyle name="20% - Accent1 2 3 4 5 5 4" xfId="19419"/>
    <cellStyle name="20% - Accent1 2 3 4 5 5 4 2" xfId="52095"/>
    <cellStyle name="20% - Accent1 2 3 4 5 5 5" xfId="33034"/>
    <cellStyle name="20% - Accent1 2 3 4 5 6" xfId="12414"/>
    <cellStyle name="20% - Accent1 2 3 4 5 6 2" xfId="24215"/>
    <cellStyle name="20% - Accent1 2 3 4 5 6 2 2" xfId="52096"/>
    <cellStyle name="20% - Accent1 2 3 4 5 6 3" xfId="37830"/>
    <cellStyle name="20% - Accent1 2 3 4 5 7" xfId="5718"/>
    <cellStyle name="20% - Accent1 2 3 4 5 7 2" xfId="52097"/>
    <cellStyle name="20% - Accent1 2 3 4 5 8" xfId="17519"/>
    <cellStyle name="20% - Accent1 2 3 4 5 8 2" xfId="52098"/>
    <cellStyle name="20% - Accent1 2 3 4 5 9" xfId="31134"/>
    <cellStyle name="20% - Accent1 2 3 4 6" xfId="591"/>
    <cellStyle name="20% - Accent1 2 3 4 6 2" xfId="1203"/>
    <cellStyle name="20% - Accent1 2 3 4 6 2 2" xfId="4333"/>
    <cellStyle name="20% - Accent1 2 3 4 6 2 2 2" xfId="12415"/>
    <cellStyle name="20% - Accent1 2 3 4 6 2 2 2 2" xfId="24216"/>
    <cellStyle name="20% - Accent1 2 3 4 6 2 2 2 2 2" xfId="52099"/>
    <cellStyle name="20% - Accent1 2 3 4 6 2 2 2 3" xfId="37831"/>
    <cellStyle name="20% - Accent1 2 3 4 6 2 2 3" xfId="9786"/>
    <cellStyle name="20% - Accent1 2 3 4 6 2 2 3 2" xfId="44244"/>
    <cellStyle name="20% - Accent1 2 3 4 6 2 2 4" xfId="21587"/>
    <cellStyle name="20% - Accent1 2 3 4 6 2 2 4 2" xfId="52100"/>
    <cellStyle name="20% - Accent1 2 3 4 6 2 2 5" xfId="35202"/>
    <cellStyle name="20% - Accent1 2 3 4 6 2 3" xfId="12416"/>
    <cellStyle name="20% - Accent1 2 3 4 6 2 3 2" xfId="24217"/>
    <cellStyle name="20% - Accent1 2 3 4 6 2 3 2 2" xfId="44245"/>
    <cellStyle name="20% - Accent1 2 3 4 6 2 3 3" xfId="29534"/>
    <cellStyle name="20% - Accent1 2 3 4 6 2 3 3 2" xfId="44246"/>
    <cellStyle name="20% - Accent1 2 3 4 6 2 3 4" xfId="29535"/>
    <cellStyle name="20% - Accent1 2 3 4 6 2 3 4 2" xfId="52101"/>
    <cellStyle name="20% - Accent1 2 3 4 6 2 3 5" xfId="37832"/>
    <cellStyle name="20% - Accent1 2 3 4 6 2 4" xfId="12417"/>
    <cellStyle name="20% - Accent1 2 3 4 6 2 4 2" xfId="24218"/>
    <cellStyle name="20% - Accent1 2 3 4 6 2 4 2 2" xfId="52102"/>
    <cellStyle name="20% - Accent1 2 3 4 6 2 4 3" xfId="37833"/>
    <cellStyle name="20% - Accent1 2 3 4 6 2 5" xfId="6657"/>
    <cellStyle name="20% - Accent1 2 3 4 6 2 5 2" xfId="44247"/>
    <cellStyle name="20% - Accent1 2 3 4 6 2 6" xfId="18458"/>
    <cellStyle name="20% - Accent1 2 3 4 6 2 6 2" xfId="52103"/>
    <cellStyle name="20% - Accent1 2 3 4 6 2 7" xfId="32073"/>
    <cellStyle name="20% - Accent1 2 3 4 6 3" xfId="2492"/>
    <cellStyle name="20% - Accent1 2 3 4 6 3 2" xfId="12418"/>
    <cellStyle name="20% - Accent1 2 3 4 6 3 2 2" xfId="24219"/>
    <cellStyle name="20% - Accent1 2 3 4 6 3 2 2 2" xfId="52104"/>
    <cellStyle name="20% - Accent1 2 3 4 6 3 2 3" xfId="37834"/>
    <cellStyle name="20% - Accent1 2 3 4 6 3 3" xfId="7945"/>
    <cellStyle name="20% - Accent1 2 3 4 6 3 3 2" xfId="44248"/>
    <cellStyle name="20% - Accent1 2 3 4 6 3 4" xfId="19746"/>
    <cellStyle name="20% - Accent1 2 3 4 6 3 4 2" xfId="52105"/>
    <cellStyle name="20% - Accent1 2 3 4 6 3 5" xfId="33361"/>
    <cellStyle name="20% - Accent1 2 3 4 6 4" xfId="12419"/>
    <cellStyle name="20% - Accent1 2 3 4 6 4 2" xfId="24220"/>
    <cellStyle name="20% - Accent1 2 3 4 6 4 2 2" xfId="44249"/>
    <cellStyle name="20% - Accent1 2 3 4 6 4 3" xfId="29536"/>
    <cellStyle name="20% - Accent1 2 3 4 6 4 3 2" xfId="44250"/>
    <cellStyle name="20% - Accent1 2 3 4 6 4 4" xfId="29537"/>
    <cellStyle name="20% - Accent1 2 3 4 6 4 4 2" xfId="52106"/>
    <cellStyle name="20% - Accent1 2 3 4 6 4 5" xfId="37835"/>
    <cellStyle name="20% - Accent1 2 3 4 6 5" xfId="12420"/>
    <cellStyle name="20% - Accent1 2 3 4 6 5 2" xfId="24221"/>
    <cellStyle name="20% - Accent1 2 3 4 6 5 2 2" xfId="52107"/>
    <cellStyle name="20% - Accent1 2 3 4 6 5 3" xfId="37836"/>
    <cellStyle name="20% - Accent1 2 3 4 6 6" xfId="6045"/>
    <cellStyle name="20% - Accent1 2 3 4 6 6 2" xfId="44251"/>
    <cellStyle name="20% - Accent1 2 3 4 6 7" xfId="17846"/>
    <cellStyle name="20% - Accent1 2 3 4 6 7 2" xfId="52108"/>
    <cellStyle name="20% - Accent1 2 3 4 6 8" xfId="31461"/>
    <cellStyle name="20% - Accent1 2 3 4 7" xfId="832"/>
    <cellStyle name="20% - Accent1 2 3 4 7 2" xfId="1204"/>
    <cellStyle name="20% - Accent1 2 3 4 7 2 2" xfId="4901"/>
    <cellStyle name="20% - Accent1 2 3 4 7 2 2 2" xfId="12421"/>
    <cellStyle name="20% - Accent1 2 3 4 7 2 2 2 2" xfId="24222"/>
    <cellStyle name="20% - Accent1 2 3 4 7 2 2 2 2 2" xfId="52109"/>
    <cellStyle name="20% - Accent1 2 3 4 7 2 2 2 3" xfId="37837"/>
    <cellStyle name="20% - Accent1 2 3 4 7 2 2 3" xfId="10354"/>
    <cellStyle name="20% - Accent1 2 3 4 7 2 2 3 2" xfId="44252"/>
    <cellStyle name="20% - Accent1 2 3 4 7 2 2 4" xfId="22155"/>
    <cellStyle name="20% - Accent1 2 3 4 7 2 2 4 2" xfId="52110"/>
    <cellStyle name="20% - Accent1 2 3 4 7 2 2 5" xfId="35770"/>
    <cellStyle name="20% - Accent1 2 3 4 7 2 3" xfId="12422"/>
    <cellStyle name="20% - Accent1 2 3 4 7 2 3 2" xfId="24223"/>
    <cellStyle name="20% - Accent1 2 3 4 7 2 3 2 2" xfId="44253"/>
    <cellStyle name="20% - Accent1 2 3 4 7 2 3 3" xfId="29538"/>
    <cellStyle name="20% - Accent1 2 3 4 7 2 3 3 2" xfId="44254"/>
    <cellStyle name="20% - Accent1 2 3 4 7 2 3 4" xfId="29539"/>
    <cellStyle name="20% - Accent1 2 3 4 7 2 3 4 2" xfId="52111"/>
    <cellStyle name="20% - Accent1 2 3 4 7 2 3 5" xfId="37838"/>
    <cellStyle name="20% - Accent1 2 3 4 7 2 4" xfId="12423"/>
    <cellStyle name="20% - Accent1 2 3 4 7 2 4 2" xfId="24224"/>
    <cellStyle name="20% - Accent1 2 3 4 7 2 4 2 2" xfId="52112"/>
    <cellStyle name="20% - Accent1 2 3 4 7 2 4 3" xfId="37839"/>
    <cellStyle name="20% - Accent1 2 3 4 7 2 5" xfId="6658"/>
    <cellStyle name="20% - Accent1 2 3 4 7 2 5 2" xfId="44255"/>
    <cellStyle name="20% - Accent1 2 3 4 7 2 6" xfId="18459"/>
    <cellStyle name="20% - Accent1 2 3 4 7 2 6 2" xfId="52113"/>
    <cellStyle name="20% - Accent1 2 3 4 7 2 7" xfId="32074"/>
    <cellStyle name="20% - Accent1 2 3 4 7 3" xfId="3060"/>
    <cellStyle name="20% - Accent1 2 3 4 7 3 2" xfId="12424"/>
    <cellStyle name="20% - Accent1 2 3 4 7 3 2 2" xfId="24225"/>
    <cellStyle name="20% - Accent1 2 3 4 7 3 2 2 2" xfId="52114"/>
    <cellStyle name="20% - Accent1 2 3 4 7 3 2 3" xfId="37840"/>
    <cellStyle name="20% - Accent1 2 3 4 7 3 3" xfId="8513"/>
    <cellStyle name="20% - Accent1 2 3 4 7 3 3 2" xfId="44256"/>
    <cellStyle name="20% - Accent1 2 3 4 7 3 4" xfId="20314"/>
    <cellStyle name="20% - Accent1 2 3 4 7 3 4 2" xfId="52115"/>
    <cellStyle name="20% - Accent1 2 3 4 7 3 5" xfId="33929"/>
    <cellStyle name="20% - Accent1 2 3 4 7 4" xfId="12425"/>
    <cellStyle name="20% - Accent1 2 3 4 7 4 2" xfId="24226"/>
    <cellStyle name="20% - Accent1 2 3 4 7 4 2 2" xfId="44257"/>
    <cellStyle name="20% - Accent1 2 3 4 7 4 3" xfId="29540"/>
    <cellStyle name="20% - Accent1 2 3 4 7 4 3 2" xfId="44258"/>
    <cellStyle name="20% - Accent1 2 3 4 7 4 4" xfId="29541"/>
    <cellStyle name="20% - Accent1 2 3 4 7 4 4 2" xfId="52116"/>
    <cellStyle name="20% - Accent1 2 3 4 7 4 5" xfId="37841"/>
    <cellStyle name="20% - Accent1 2 3 4 7 5" xfId="12426"/>
    <cellStyle name="20% - Accent1 2 3 4 7 5 2" xfId="24227"/>
    <cellStyle name="20% - Accent1 2 3 4 7 5 2 2" xfId="52117"/>
    <cellStyle name="20% - Accent1 2 3 4 7 5 3" xfId="37842"/>
    <cellStyle name="20% - Accent1 2 3 4 7 6" xfId="6286"/>
    <cellStyle name="20% - Accent1 2 3 4 7 6 2" xfId="44259"/>
    <cellStyle name="20% - Accent1 2 3 4 7 7" xfId="18087"/>
    <cellStyle name="20% - Accent1 2 3 4 7 7 2" xfId="52118"/>
    <cellStyle name="20% - Accent1 2 3 4 7 8" xfId="31702"/>
    <cellStyle name="20% - Accent1 2 3 4 8" xfId="1205"/>
    <cellStyle name="20% - Accent1 2 3 4 8 2" xfId="3765"/>
    <cellStyle name="20% - Accent1 2 3 4 8 2 2" xfId="12427"/>
    <cellStyle name="20% - Accent1 2 3 4 8 2 2 2" xfId="24228"/>
    <cellStyle name="20% - Accent1 2 3 4 8 2 2 2 2" xfId="52119"/>
    <cellStyle name="20% - Accent1 2 3 4 8 2 2 3" xfId="37843"/>
    <cellStyle name="20% - Accent1 2 3 4 8 2 3" xfId="9218"/>
    <cellStyle name="20% - Accent1 2 3 4 8 2 3 2" xfId="44260"/>
    <cellStyle name="20% - Accent1 2 3 4 8 2 4" xfId="21019"/>
    <cellStyle name="20% - Accent1 2 3 4 8 2 4 2" xfId="52120"/>
    <cellStyle name="20% - Accent1 2 3 4 8 2 5" xfId="34634"/>
    <cellStyle name="20% - Accent1 2 3 4 8 3" xfId="12428"/>
    <cellStyle name="20% - Accent1 2 3 4 8 3 2" xfId="24229"/>
    <cellStyle name="20% - Accent1 2 3 4 8 3 2 2" xfId="44261"/>
    <cellStyle name="20% - Accent1 2 3 4 8 3 3" xfId="29542"/>
    <cellStyle name="20% - Accent1 2 3 4 8 3 3 2" xfId="44262"/>
    <cellStyle name="20% - Accent1 2 3 4 8 3 4" xfId="29543"/>
    <cellStyle name="20% - Accent1 2 3 4 8 3 4 2" xfId="52121"/>
    <cellStyle name="20% - Accent1 2 3 4 8 3 5" xfId="37844"/>
    <cellStyle name="20% - Accent1 2 3 4 8 4" xfId="12429"/>
    <cellStyle name="20% - Accent1 2 3 4 8 4 2" xfId="24230"/>
    <cellStyle name="20% - Accent1 2 3 4 8 4 2 2" xfId="52122"/>
    <cellStyle name="20% - Accent1 2 3 4 8 4 3" xfId="37845"/>
    <cellStyle name="20% - Accent1 2 3 4 8 5" xfId="6659"/>
    <cellStyle name="20% - Accent1 2 3 4 8 5 2" xfId="44263"/>
    <cellStyle name="20% - Accent1 2 3 4 8 6" xfId="18460"/>
    <cellStyle name="20% - Accent1 2 3 4 8 6 2" xfId="52123"/>
    <cellStyle name="20% - Accent1 2 3 4 8 7" xfId="32075"/>
    <cellStyle name="20% - Accent1 2 3 4 9" xfId="3628"/>
    <cellStyle name="20% - Accent1 2 3 4 9 2" xfId="12430"/>
    <cellStyle name="20% - Accent1 2 3 4 9 2 2" xfId="24231"/>
    <cellStyle name="20% - Accent1 2 3 4 9 2 2 2" xfId="52124"/>
    <cellStyle name="20% - Accent1 2 3 4 9 2 3" xfId="37846"/>
    <cellStyle name="20% - Accent1 2 3 4 9 3" xfId="9081"/>
    <cellStyle name="20% - Accent1 2 3 4 9 3 2" xfId="44264"/>
    <cellStyle name="20% - Accent1 2 3 4 9 4" xfId="20882"/>
    <cellStyle name="20% - Accent1 2 3 4 9 4 2" xfId="52125"/>
    <cellStyle name="20% - Accent1 2 3 4 9 5" xfId="34497"/>
    <cellStyle name="20% - Accent1 2 3 5" xfId="60"/>
    <cellStyle name="20% - Accent1 2 3 5 10" xfId="12431"/>
    <cellStyle name="20% - Accent1 2 3 5 10 2" xfId="24232"/>
    <cellStyle name="20% - Accent1 2 3 5 10 2 2" xfId="52126"/>
    <cellStyle name="20% - Accent1 2 3 5 10 3" xfId="37847"/>
    <cellStyle name="20% - Accent1 2 3 5 11" xfId="5514"/>
    <cellStyle name="20% - Accent1 2 3 5 11 2" xfId="44265"/>
    <cellStyle name="20% - Accent1 2 3 5 12" xfId="17315"/>
    <cellStyle name="20% - Accent1 2 3 5 12 2" xfId="52127"/>
    <cellStyle name="20% - Accent1 2 3 5 13" xfId="30930"/>
    <cellStyle name="20% - Accent1 2 3 5 2" xfId="127"/>
    <cellStyle name="20% - Accent1 2 3 5 2 10" xfId="5581"/>
    <cellStyle name="20% - Accent1 2 3 5 2 10 2" xfId="44266"/>
    <cellStyle name="20% - Accent1 2 3 5 2 11" xfId="17382"/>
    <cellStyle name="20% - Accent1 2 3 5 2 11 2" xfId="52128"/>
    <cellStyle name="20% - Accent1 2 3 5 2 12" xfId="30997"/>
    <cellStyle name="20% - Accent1 2 3 5 2 2" xfId="554"/>
    <cellStyle name="20% - Accent1 2 3 5 2 2 2" xfId="1206"/>
    <cellStyle name="20% - Accent1 2 3 5 2 2 2 2" xfId="4864"/>
    <cellStyle name="20% - Accent1 2 3 5 2 2 2 2 2" xfId="12432"/>
    <cellStyle name="20% - Accent1 2 3 5 2 2 2 2 2 2" xfId="24233"/>
    <cellStyle name="20% - Accent1 2 3 5 2 2 2 2 2 2 2" xfId="52129"/>
    <cellStyle name="20% - Accent1 2 3 5 2 2 2 2 2 3" xfId="37848"/>
    <cellStyle name="20% - Accent1 2 3 5 2 2 2 2 3" xfId="10317"/>
    <cellStyle name="20% - Accent1 2 3 5 2 2 2 2 3 2" xfId="44267"/>
    <cellStyle name="20% - Accent1 2 3 5 2 2 2 2 4" xfId="22118"/>
    <cellStyle name="20% - Accent1 2 3 5 2 2 2 2 4 2" xfId="52130"/>
    <cellStyle name="20% - Accent1 2 3 5 2 2 2 2 5" xfId="35733"/>
    <cellStyle name="20% - Accent1 2 3 5 2 2 2 3" xfId="3023"/>
    <cellStyle name="20% - Accent1 2 3 5 2 2 2 3 2" xfId="12433"/>
    <cellStyle name="20% - Accent1 2 3 5 2 2 2 3 2 2" xfId="24234"/>
    <cellStyle name="20% - Accent1 2 3 5 2 2 2 3 2 2 2" xfId="52131"/>
    <cellStyle name="20% - Accent1 2 3 5 2 2 2 3 2 3" xfId="37849"/>
    <cellStyle name="20% - Accent1 2 3 5 2 2 2 3 3" xfId="8476"/>
    <cellStyle name="20% - Accent1 2 3 5 2 2 2 3 3 2" xfId="44268"/>
    <cellStyle name="20% - Accent1 2 3 5 2 2 2 3 4" xfId="20277"/>
    <cellStyle name="20% - Accent1 2 3 5 2 2 2 3 4 2" xfId="52132"/>
    <cellStyle name="20% - Accent1 2 3 5 2 2 2 3 5" xfId="33892"/>
    <cellStyle name="20% - Accent1 2 3 5 2 2 2 4" xfId="12434"/>
    <cellStyle name="20% - Accent1 2 3 5 2 2 2 4 2" xfId="24235"/>
    <cellStyle name="20% - Accent1 2 3 5 2 2 2 4 2 2" xfId="52133"/>
    <cellStyle name="20% - Accent1 2 3 5 2 2 2 4 3" xfId="37850"/>
    <cellStyle name="20% - Accent1 2 3 5 2 2 2 5" xfId="6660"/>
    <cellStyle name="20% - Accent1 2 3 5 2 2 2 5 2" xfId="44269"/>
    <cellStyle name="20% - Accent1 2 3 5 2 2 2 6" xfId="18461"/>
    <cellStyle name="20% - Accent1 2 3 5 2 2 2 6 2" xfId="52134"/>
    <cellStyle name="20% - Accent1 2 3 5 2 2 2 7" xfId="32076"/>
    <cellStyle name="20% - Accent1 2 3 5 2 2 3" xfId="3591"/>
    <cellStyle name="20% - Accent1 2 3 5 2 2 3 2" xfId="5432"/>
    <cellStyle name="20% - Accent1 2 3 5 2 2 3 2 2" xfId="16902"/>
    <cellStyle name="20% - Accent1 2 3 5 2 2 3 2 2 2" xfId="28703"/>
    <cellStyle name="20% - Accent1 2 3 5 2 2 3 2 2 2 2" xfId="52135"/>
    <cellStyle name="20% - Accent1 2 3 5 2 2 3 2 2 3" xfId="42318"/>
    <cellStyle name="20% - Accent1 2 3 5 2 2 3 2 3" xfId="10885"/>
    <cellStyle name="20% - Accent1 2 3 5 2 2 3 2 3 2" xfId="52136"/>
    <cellStyle name="20% - Accent1 2 3 5 2 2 3 2 4" xfId="22686"/>
    <cellStyle name="20% - Accent1 2 3 5 2 2 3 2 4 2" xfId="52137"/>
    <cellStyle name="20% - Accent1 2 3 5 2 2 3 2 5" xfId="36301"/>
    <cellStyle name="20% - Accent1 2 3 5 2 2 3 3" xfId="12435"/>
    <cellStyle name="20% - Accent1 2 3 5 2 2 3 3 2" xfId="24236"/>
    <cellStyle name="20% - Accent1 2 3 5 2 2 3 3 2 2" xfId="52138"/>
    <cellStyle name="20% - Accent1 2 3 5 2 2 3 3 3" xfId="37851"/>
    <cellStyle name="20% - Accent1 2 3 5 2 2 3 4" xfId="9044"/>
    <cellStyle name="20% - Accent1 2 3 5 2 2 3 4 2" xfId="52139"/>
    <cellStyle name="20% - Accent1 2 3 5 2 2 3 5" xfId="20845"/>
    <cellStyle name="20% - Accent1 2 3 5 2 2 3 5 2" xfId="52140"/>
    <cellStyle name="20% - Accent1 2 3 5 2 2 3 6" xfId="34460"/>
    <cellStyle name="20% - Accent1 2 3 5 2 2 4" xfId="4296"/>
    <cellStyle name="20% - Accent1 2 3 5 2 2 4 2" xfId="12436"/>
    <cellStyle name="20% - Accent1 2 3 5 2 2 4 2 2" xfId="24237"/>
    <cellStyle name="20% - Accent1 2 3 5 2 2 4 2 2 2" xfId="52141"/>
    <cellStyle name="20% - Accent1 2 3 5 2 2 4 2 3" xfId="37852"/>
    <cellStyle name="20% - Accent1 2 3 5 2 2 4 3" xfId="9749"/>
    <cellStyle name="20% - Accent1 2 3 5 2 2 4 3 2" xfId="44270"/>
    <cellStyle name="20% - Accent1 2 3 5 2 2 4 4" xfId="21550"/>
    <cellStyle name="20% - Accent1 2 3 5 2 2 4 4 2" xfId="52142"/>
    <cellStyle name="20% - Accent1 2 3 5 2 2 4 5" xfId="35165"/>
    <cellStyle name="20% - Accent1 2 3 5 2 2 5" xfId="2455"/>
    <cellStyle name="20% - Accent1 2 3 5 2 2 5 2" xfId="17011"/>
    <cellStyle name="20% - Accent1 2 3 5 2 2 5 2 2" xfId="28812"/>
    <cellStyle name="20% - Accent1 2 3 5 2 2 5 2 2 2" xfId="52143"/>
    <cellStyle name="20% - Accent1 2 3 5 2 2 5 2 3" xfId="42427"/>
    <cellStyle name="20% - Accent1 2 3 5 2 2 5 3" xfId="7908"/>
    <cellStyle name="20% - Accent1 2 3 5 2 2 5 3 2" xfId="52144"/>
    <cellStyle name="20% - Accent1 2 3 5 2 2 5 4" xfId="19709"/>
    <cellStyle name="20% - Accent1 2 3 5 2 2 5 4 2" xfId="52145"/>
    <cellStyle name="20% - Accent1 2 3 5 2 2 5 5" xfId="33324"/>
    <cellStyle name="20% - Accent1 2 3 5 2 2 6" xfId="12437"/>
    <cellStyle name="20% - Accent1 2 3 5 2 2 6 2" xfId="24238"/>
    <cellStyle name="20% - Accent1 2 3 5 2 2 6 2 2" xfId="52146"/>
    <cellStyle name="20% - Accent1 2 3 5 2 2 6 3" xfId="37853"/>
    <cellStyle name="20% - Accent1 2 3 5 2 2 7" xfId="6008"/>
    <cellStyle name="20% - Accent1 2 3 5 2 2 7 2" xfId="52147"/>
    <cellStyle name="20% - Accent1 2 3 5 2 2 8" xfId="17809"/>
    <cellStyle name="20% - Accent1 2 3 5 2 2 8 2" xfId="52148"/>
    <cellStyle name="20% - Accent1 2 3 5 2 2 9" xfId="31424"/>
    <cellStyle name="20% - Accent1 2 3 5 2 3" xfId="417"/>
    <cellStyle name="20% - Accent1 2 3 5 2 3 2" xfId="1207"/>
    <cellStyle name="20% - Accent1 2 3 5 2 3 2 2" xfId="4727"/>
    <cellStyle name="20% - Accent1 2 3 5 2 3 2 2 2" xfId="12438"/>
    <cellStyle name="20% - Accent1 2 3 5 2 3 2 2 2 2" xfId="24239"/>
    <cellStyle name="20% - Accent1 2 3 5 2 3 2 2 2 2 2" xfId="52149"/>
    <cellStyle name="20% - Accent1 2 3 5 2 3 2 2 2 3" xfId="37854"/>
    <cellStyle name="20% - Accent1 2 3 5 2 3 2 2 3" xfId="10180"/>
    <cellStyle name="20% - Accent1 2 3 5 2 3 2 2 3 2" xfId="44271"/>
    <cellStyle name="20% - Accent1 2 3 5 2 3 2 2 4" xfId="21981"/>
    <cellStyle name="20% - Accent1 2 3 5 2 3 2 2 4 2" xfId="52150"/>
    <cellStyle name="20% - Accent1 2 3 5 2 3 2 2 5" xfId="35596"/>
    <cellStyle name="20% - Accent1 2 3 5 2 3 2 3" xfId="2886"/>
    <cellStyle name="20% - Accent1 2 3 5 2 3 2 3 2" xfId="12439"/>
    <cellStyle name="20% - Accent1 2 3 5 2 3 2 3 2 2" xfId="24240"/>
    <cellStyle name="20% - Accent1 2 3 5 2 3 2 3 2 2 2" xfId="52151"/>
    <cellStyle name="20% - Accent1 2 3 5 2 3 2 3 2 3" xfId="37855"/>
    <cellStyle name="20% - Accent1 2 3 5 2 3 2 3 3" xfId="8339"/>
    <cellStyle name="20% - Accent1 2 3 5 2 3 2 3 3 2" xfId="44272"/>
    <cellStyle name="20% - Accent1 2 3 5 2 3 2 3 4" xfId="20140"/>
    <cellStyle name="20% - Accent1 2 3 5 2 3 2 3 4 2" xfId="52152"/>
    <cellStyle name="20% - Accent1 2 3 5 2 3 2 3 5" xfId="33755"/>
    <cellStyle name="20% - Accent1 2 3 5 2 3 2 4" xfId="12440"/>
    <cellStyle name="20% - Accent1 2 3 5 2 3 2 4 2" xfId="24241"/>
    <cellStyle name="20% - Accent1 2 3 5 2 3 2 4 2 2" xfId="52153"/>
    <cellStyle name="20% - Accent1 2 3 5 2 3 2 4 3" xfId="37856"/>
    <cellStyle name="20% - Accent1 2 3 5 2 3 2 5" xfId="6661"/>
    <cellStyle name="20% - Accent1 2 3 5 2 3 2 5 2" xfId="44273"/>
    <cellStyle name="20% - Accent1 2 3 5 2 3 2 6" xfId="18462"/>
    <cellStyle name="20% - Accent1 2 3 5 2 3 2 6 2" xfId="52154"/>
    <cellStyle name="20% - Accent1 2 3 5 2 3 2 7" xfId="32077"/>
    <cellStyle name="20% - Accent1 2 3 5 2 3 3" xfId="3454"/>
    <cellStyle name="20% - Accent1 2 3 5 2 3 3 2" xfId="5295"/>
    <cellStyle name="20% - Accent1 2 3 5 2 3 3 2 2" xfId="16765"/>
    <cellStyle name="20% - Accent1 2 3 5 2 3 3 2 2 2" xfId="28566"/>
    <cellStyle name="20% - Accent1 2 3 5 2 3 3 2 2 2 2" xfId="52155"/>
    <cellStyle name="20% - Accent1 2 3 5 2 3 3 2 2 3" xfId="42181"/>
    <cellStyle name="20% - Accent1 2 3 5 2 3 3 2 3" xfId="10748"/>
    <cellStyle name="20% - Accent1 2 3 5 2 3 3 2 3 2" xfId="52156"/>
    <cellStyle name="20% - Accent1 2 3 5 2 3 3 2 4" xfId="22549"/>
    <cellStyle name="20% - Accent1 2 3 5 2 3 3 2 4 2" xfId="52157"/>
    <cellStyle name="20% - Accent1 2 3 5 2 3 3 2 5" xfId="36164"/>
    <cellStyle name="20% - Accent1 2 3 5 2 3 3 3" xfId="12441"/>
    <cellStyle name="20% - Accent1 2 3 5 2 3 3 3 2" xfId="24242"/>
    <cellStyle name="20% - Accent1 2 3 5 2 3 3 3 2 2" xfId="52158"/>
    <cellStyle name="20% - Accent1 2 3 5 2 3 3 3 3" xfId="37857"/>
    <cellStyle name="20% - Accent1 2 3 5 2 3 3 4" xfId="8907"/>
    <cellStyle name="20% - Accent1 2 3 5 2 3 3 4 2" xfId="52159"/>
    <cellStyle name="20% - Accent1 2 3 5 2 3 3 5" xfId="20708"/>
    <cellStyle name="20% - Accent1 2 3 5 2 3 3 5 2" xfId="52160"/>
    <cellStyle name="20% - Accent1 2 3 5 2 3 3 6" xfId="34323"/>
    <cellStyle name="20% - Accent1 2 3 5 2 3 4" xfId="4159"/>
    <cellStyle name="20% - Accent1 2 3 5 2 3 4 2" xfId="12442"/>
    <cellStyle name="20% - Accent1 2 3 5 2 3 4 2 2" xfId="24243"/>
    <cellStyle name="20% - Accent1 2 3 5 2 3 4 2 2 2" xfId="52161"/>
    <cellStyle name="20% - Accent1 2 3 5 2 3 4 2 3" xfId="37858"/>
    <cellStyle name="20% - Accent1 2 3 5 2 3 4 3" xfId="9612"/>
    <cellStyle name="20% - Accent1 2 3 5 2 3 4 3 2" xfId="44274"/>
    <cellStyle name="20% - Accent1 2 3 5 2 3 4 4" xfId="21413"/>
    <cellStyle name="20% - Accent1 2 3 5 2 3 4 4 2" xfId="52162"/>
    <cellStyle name="20% - Accent1 2 3 5 2 3 4 5" xfId="35028"/>
    <cellStyle name="20% - Accent1 2 3 5 2 3 5" xfId="2318"/>
    <cellStyle name="20% - Accent1 2 3 5 2 3 5 2" xfId="17012"/>
    <cellStyle name="20% - Accent1 2 3 5 2 3 5 2 2" xfId="28813"/>
    <cellStyle name="20% - Accent1 2 3 5 2 3 5 2 2 2" xfId="52163"/>
    <cellStyle name="20% - Accent1 2 3 5 2 3 5 2 3" xfId="42428"/>
    <cellStyle name="20% - Accent1 2 3 5 2 3 5 3" xfId="7771"/>
    <cellStyle name="20% - Accent1 2 3 5 2 3 5 3 2" xfId="52164"/>
    <cellStyle name="20% - Accent1 2 3 5 2 3 5 4" xfId="19572"/>
    <cellStyle name="20% - Accent1 2 3 5 2 3 5 4 2" xfId="52165"/>
    <cellStyle name="20% - Accent1 2 3 5 2 3 5 5" xfId="33187"/>
    <cellStyle name="20% - Accent1 2 3 5 2 3 6" xfId="12443"/>
    <cellStyle name="20% - Accent1 2 3 5 2 3 6 2" xfId="24244"/>
    <cellStyle name="20% - Accent1 2 3 5 2 3 6 2 2" xfId="52166"/>
    <cellStyle name="20% - Accent1 2 3 5 2 3 6 3" xfId="37859"/>
    <cellStyle name="20% - Accent1 2 3 5 2 3 7" xfId="5871"/>
    <cellStyle name="20% - Accent1 2 3 5 2 3 7 2" xfId="52167"/>
    <cellStyle name="20% - Accent1 2 3 5 2 3 8" xfId="17672"/>
    <cellStyle name="20% - Accent1 2 3 5 2 3 8 2" xfId="52168"/>
    <cellStyle name="20% - Accent1 2 3 5 2 3 9" xfId="31287"/>
    <cellStyle name="20% - Accent1 2 3 5 2 4" xfId="695"/>
    <cellStyle name="20% - Accent1 2 3 5 2 4 2" xfId="1208"/>
    <cellStyle name="20% - Accent1 2 3 5 2 4 2 2" xfId="4437"/>
    <cellStyle name="20% - Accent1 2 3 5 2 4 2 2 2" xfId="12444"/>
    <cellStyle name="20% - Accent1 2 3 5 2 4 2 2 2 2" xfId="24245"/>
    <cellStyle name="20% - Accent1 2 3 5 2 4 2 2 2 2 2" xfId="52169"/>
    <cellStyle name="20% - Accent1 2 3 5 2 4 2 2 2 3" xfId="37860"/>
    <cellStyle name="20% - Accent1 2 3 5 2 4 2 2 3" xfId="9890"/>
    <cellStyle name="20% - Accent1 2 3 5 2 4 2 2 3 2" xfId="44275"/>
    <cellStyle name="20% - Accent1 2 3 5 2 4 2 2 4" xfId="21691"/>
    <cellStyle name="20% - Accent1 2 3 5 2 4 2 2 4 2" xfId="52170"/>
    <cellStyle name="20% - Accent1 2 3 5 2 4 2 2 5" xfId="35306"/>
    <cellStyle name="20% - Accent1 2 3 5 2 4 2 3" xfId="12445"/>
    <cellStyle name="20% - Accent1 2 3 5 2 4 2 3 2" xfId="24246"/>
    <cellStyle name="20% - Accent1 2 3 5 2 4 2 3 2 2" xfId="44276"/>
    <cellStyle name="20% - Accent1 2 3 5 2 4 2 3 3" xfId="29544"/>
    <cellStyle name="20% - Accent1 2 3 5 2 4 2 3 3 2" xfId="44277"/>
    <cellStyle name="20% - Accent1 2 3 5 2 4 2 3 4" xfId="29545"/>
    <cellStyle name="20% - Accent1 2 3 5 2 4 2 3 4 2" xfId="52171"/>
    <cellStyle name="20% - Accent1 2 3 5 2 4 2 3 5" xfId="37861"/>
    <cellStyle name="20% - Accent1 2 3 5 2 4 2 4" xfId="12446"/>
    <cellStyle name="20% - Accent1 2 3 5 2 4 2 4 2" xfId="24247"/>
    <cellStyle name="20% - Accent1 2 3 5 2 4 2 4 2 2" xfId="52172"/>
    <cellStyle name="20% - Accent1 2 3 5 2 4 2 4 3" xfId="37862"/>
    <cellStyle name="20% - Accent1 2 3 5 2 4 2 5" xfId="6662"/>
    <cellStyle name="20% - Accent1 2 3 5 2 4 2 5 2" xfId="44278"/>
    <cellStyle name="20% - Accent1 2 3 5 2 4 2 6" xfId="18463"/>
    <cellStyle name="20% - Accent1 2 3 5 2 4 2 6 2" xfId="52173"/>
    <cellStyle name="20% - Accent1 2 3 5 2 4 2 7" xfId="32078"/>
    <cellStyle name="20% - Accent1 2 3 5 2 4 3" xfId="2596"/>
    <cellStyle name="20% - Accent1 2 3 5 2 4 3 2" xfId="12447"/>
    <cellStyle name="20% - Accent1 2 3 5 2 4 3 2 2" xfId="24248"/>
    <cellStyle name="20% - Accent1 2 3 5 2 4 3 2 2 2" xfId="52174"/>
    <cellStyle name="20% - Accent1 2 3 5 2 4 3 2 3" xfId="37863"/>
    <cellStyle name="20% - Accent1 2 3 5 2 4 3 3" xfId="8049"/>
    <cellStyle name="20% - Accent1 2 3 5 2 4 3 3 2" xfId="44279"/>
    <cellStyle name="20% - Accent1 2 3 5 2 4 3 4" xfId="19850"/>
    <cellStyle name="20% - Accent1 2 3 5 2 4 3 4 2" xfId="52175"/>
    <cellStyle name="20% - Accent1 2 3 5 2 4 3 5" xfId="33465"/>
    <cellStyle name="20% - Accent1 2 3 5 2 4 4" xfId="12448"/>
    <cellStyle name="20% - Accent1 2 3 5 2 4 4 2" xfId="24249"/>
    <cellStyle name="20% - Accent1 2 3 5 2 4 4 2 2" xfId="44280"/>
    <cellStyle name="20% - Accent1 2 3 5 2 4 4 3" xfId="29546"/>
    <cellStyle name="20% - Accent1 2 3 5 2 4 4 3 2" xfId="44281"/>
    <cellStyle name="20% - Accent1 2 3 5 2 4 4 4" xfId="29547"/>
    <cellStyle name="20% - Accent1 2 3 5 2 4 4 4 2" xfId="52176"/>
    <cellStyle name="20% - Accent1 2 3 5 2 4 4 5" xfId="37864"/>
    <cellStyle name="20% - Accent1 2 3 5 2 4 5" xfId="12449"/>
    <cellStyle name="20% - Accent1 2 3 5 2 4 5 2" xfId="24250"/>
    <cellStyle name="20% - Accent1 2 3 5 2 4 5 2 2" xfId="52177"/>
    <cellStyle name="20% - Accent1 2 3 5 2 4 5 3" xfId="37865"/>
    <cellStyle name="20% - Accent1 2 3 5 2 4 6" xfId="6149"/>
    <cellStyle name="20% - Accent1 2 3 5 2 4 6 2" xfId="44282"/>
    <cellStyle name="20% - Accent1 2 3 5 2 4 7" xfId="17950"/>
    <cellStyle name="20% - Accent1 2 3 5 2 4 7 2" xfId="52178"/>
    <cellStyle name="20% - Accent1 2 3 5 2 4 8" xfId="31565"/>
    <cellStyle name="20% - Accent1 2 3 5 2 5" xfId="936"/>
    <cellStyle name="20% - Accent1 2 3 5 2 5 2" xfId="1209"/>
    <cellStyle name="20% - Accent1 2 3 5 2 5 2 2" xfId="5005"/>
    <cellStyle name="20% - Accent1 2 3 5 2 5 2 2 2" xfId="12450"/>
    <cellStyle name="20% - Accent1 2 3 5 2 5 2 2 2 2" xfId="24251"/>
    <cellStyle name="20% - Accent1 2 3 5 2 5 2 2 2 2 2" xfId="52179"/>
    <cellStyle name="20% - Accent1 2 3 5 2 5 2 2 2 3" xfId="37866"/>
    <cellStyle name="20% - Accent1 2 3 5 2 5 2 2 3" xfId="10458"/>
    <cellStyle name="20% - Accent1 2 3 5 2 5 2 2 3 2" xfId="44283"/>
    <cellStyle name="20% - Accent1 2 3 5 2 5 2 2 4" xfId="22259"/>
    <cellStyle name="20% - Accent1 2 3 5 2 5 2 2 4 2" xfId="52180"/>
    <cellStyle name="20% - Accent1 2 3 5 2 5 2 2 5" xfId="35874"/>
    <cellStyle name="20% - Accent1 2 3 5 2 5 2 3" xfId="12451"/>
    <cellStyle name="20% - Accent1 2 3 5 2 5 2 3 2" xfId="24252"/>
    <cellStyle name="20% - Accent1 2 3 5 2 5 2 3 2 2" xfId="44284"/>
    <cellStyle name="20% - Accent1 2 3 5 2 5 2 3 3" xfId="29548"/>
    <cellStyle name="20% - Accent1 2 3 5 2 5 2 3 3 2" xfId="44285"/>
    <cellStyle name="20% - Accent1 2 3 5 2 5 2 3 4" xfId="29549"/>
    <cellStyle name="20% - Accent1 2 3 5 2 5 2 3 4 2" xfId="52181"/>
    <cellStyle name="20% - Accent1 2 3 5 2 5 2 3 5" xfId="37867"/>
    <cellStyle name="20% - Accent1 2 3 5 2 5 2 4" xfId="12452"/>
    <cellStyle name="20% - Accent1 2 3 5 2 5 2 4 2" xfId="24253"/>
    <cellStyle name="20% - Accent1 2 3 5 2 5 2 4 2 2" xfId="52182"/>
    <cellStyle name="20% - Accent1 2 3 5 2 5 2 4 3" xfId="37868"/>
    <cellStyle name="20% - Accent1 2 3 5 2 5 2 5" xfId="6663"/>
    <cellStyle name="20% - Accent1 2 3 5 2 5 2 5 2" xfId="44286"/>
    <cellStyle name="20% - Accent1 2 3 5 2 5 2 6" xfId="18464"/>
    <cellStyle name="20% - Accent1 2 3 5 2 5 2 6 2" xfId="52183"/>
    <cellStyle name="20% - Accent1 2 3 5 2 5 2 7" xfId="32079"/>
    <cellStyle name="20% - Accent1 2 3 5 2 5 3" xfId="3164"/>
    <cellStyle name="20% - Accent1 2 3 5 2 5 3 2" xfId="12453"/>
    <cellStyle name="20% - Accent1 2 3 5 2 5 3 2 2" xfId="24254"/>
    <cellStyle name="20% - Accent1 2 3 5 2 5 3 2 2 2" xfId="52184"/>
    <cellStyle name="20% - Accent1 2 3 5 2 5 3 2 3" xfId="37869"/>
    <cellStyle name="20% - Accent1 2 3 5 2 5 3 3" xfId="8617"/>
    <cellStyle name="20% - Accent1 2 3 5 2 5 3 3 2" xfId="44287"/>
    <cellStyle name="20% - Accent1 2 3 5 2 5 3 4" xfId="20418"/>
    <cellStyle name="20% - Accent1 2 3 5 2 5 3 4 2" xfId="52185"/>
    <cellStyle name="20% - Accent1 2 3 5 2 5 3 5" xfId="34033"/>
    <cellStyle name="20% - Accent1 2 3 5 2 5 4" xfId="12454"/>
    <cellStyle name="20% - Accent1 2 3 5 2 5 4 2" xfId="24255"/>
    <cellStyle name="20% - Accent1 2 3 5 2 5 4 2 2" xfId="44288"/>
    <cellStyle name="20% - Accent1 2 3 5 2 5 4 3" xfId="29550"/>
    <cellStyle name="20% - Accent1 2 3 5 2 5 4 3 2" xfId="44289"/>
    <cellStyle name="20% - Accent1 2 3 5 2 5 4 4" xfId="29551"/>
    <cellStyle name="20% - Accent1 2 3 5 2 5 4 4 2" xfId="52186"/>
    <cellStyle name="20% - Accent1 2 3 5 2 5 4 5" xfId="37870"/>
    <cellStyle name="20% - Accent1 2 3 5 2 5 5" xfId="12455"/>
    <cellStyle name="20% - Accent1 2 3 5 2 5 5 2" xfId="24256"/>
    <cellStyle name="20% - Accent1 2 3 5 2 5 5 2 2" xfId="52187"/>
    <cellStyle name="20% - Accent1 2 3 5 2 5 5 3" xfId="37871"/>
    <cellStyle name="20% - Accent1 2 3 5 2 5 6" xfId="6390"/>
    <cellStyle name="20% - Accent1 2 3 5 2 5 6 2" xfId="44290"/>
    <cellStyle name="20% - Accent1 2 3 5 2 5 7" xfId="18191"/>
    <cellStyle name="20% - Accent1 2 3 5 2 5 7 2" xfId="52188"/>
    <cellStyle name="20% - Accent1 2 3 5 2 5 8" xfId="31806"/>
    <cellStyle name="20% - Accent1 2 3 5 2 6" xfId="1210"/>
    <cellStyle name="20% - Accent1 2 3 5 2 6 2" xfId="3869"/>
    <cellStyle name="20% - Accent1 2 3 5 2 6 2 2" xfId="12456"/>
    <cellStyle name="20% - Accent1 2 3 5 2 6 2 2 2" xfId="24257"/>
    <cellStyle name="20% - Accent1 2 3 5 2 6 2 2 2 2" xfId="52189"/>
    <cellStyle name="20% - Accent1 2 3 5 2 6 2 2 3" xfId="37872"/>
    <cellStyle name="20% - Accent1 2 3 5 2 6 2 3" xfId="9322"/>
    <cellStyle name="20% - Accent1 2 3 5 2 6 2 3 2" xfId="44291"/>
    <cellStyle name="20% - Accent1 2 3 5 2 6 2 4" xfId="21123"/>
    <cellStyle name="20% - Accent1 2 3 5 2 6 2 4 2" xfId="52190"/>
    <cellStyle name="20% - Accent1 2 3 5 2 6 2 5" xfId="34738"/>
    <cellStyle name="20% - Accent1 2 3 5 2 6 3" xfId="12457"/>
    <cellStyle name="20% - Accent1 2 3 5 2 6 3 2" xfId="24258"/>
    <cellStyle name="20% - Accent1 2 3 5 2 6 3 2 2" xfId="44292"/>
    <cellStyle name="20% - Accent1 2 3 5 2 6 3 3" xfId="29552"/>
    <cellStyle name="20% - Accent1 2 3 5 2 6 3 3 2" xfId="44293"/>
    <cellStyle name="20% - Accent1 2 3 5 2 6 3 4" xfId="29553"/>
    <cellStyle name="20% - Accent1 2 3 5 2 6 3 4 2" xfId="52191"/>
    <cellStyle name="20% - Accent1 2 3 5 2 6 3 5" xfId="37873"/>
    <cellStyle name="20% - Accent1 2 3 5 2 6 4" xfId="12458"/>
    <cellStyle name="20% - Accent1 2 3 5 2 6 4 2" xfId="24259"/>
    <cellStyle name="20% - Accent1 2 3 5 2 6 4 2 2" xfId="52192"/>
    <cellStyle name="20% - Accent1 2 3 5 2 6 4 3" xfId="37874"/>
    <cellStyle name="20% - Accent1 2 3 5 2 6 5" xfId="6664"/>
    <cellStyle name="20% - Accent1 2 3 5 2 6 5 2" xfId="44294"/>
    <cellStyle name="20% - Accent1 2 3 5 2 6 6" xfId="18465"/>
    <cellStyle name="20% - Accent1 2 3 5 2 6 6 2" xfId="52193"/>
    <cellStyle name="20% - Accent1 2 3 5 2 6 7" xfId="32080"/>
    <cellStyle name="20% - Accent1 2 3 5 2 7" xfId="3732"/>
    <cellStyle name="20% - Accent1 2 3 5 2 7 2" xfId="12459"/>
    <cellStyle name="20% - Accent1 2 3 5 2 7 2 2" xfId="24260"/>
    <cellStyle name="20% - Accent1 2 3 5 2 7 2 2 2" xfId="52194"/>
    <cellStyle name="20% - Accent1 2 3 5 2 7 2 3" xfId="37875"/>
    <cellStyle name="20% - Accent1 2 3 5 2 7 3" xfId="9185"/>
    <cellStyle name="20% - Accent1 2 3 5 2 7 3 2" xfId="44295"/>
    <cellStyle name="20% - Accent1 2 3 5 2 7 4" xfId="20986"/>
    <cellStyle name="20% - Accent1 2 3 5 2 7 4 2" xfId="52195"/>
    <cellStyle name="20% - Accent1 2 3 5 2 7 5" xfId="34601"/>
    <cellStyle name="20% - Accent1 2 3 5 2 8" xfId="2028"/>
    <cellStyle name="20% - Accent1 2 3 5 2 8 2" xfId="12460"/>
    <cellStyle name="20% - Accent1 2 3 5 2 8 2 2" xfId="24261"/>
    <cellStyle name="20% - Accent1 2 3 5 2 8 2 2 2" xfId="52196"/>
    <cellStyle name="20% - Accent1 2 3 5 2 8 2 3" xfId="37876"/>
    <cellStyle name="20% - Accent1 2 3 5 2 8 3" xfId="7481"/>
    <cellStyle name="20% - Accent1 2 3 5 2 8 3 2" xfId="44296"/>
    <cellStyle name="20% - Accent1 2 3 5 2 8 4" xfId="19282"/>
    <cellStyle name="20% - Accent1 2 3 5 2 8 4 2" xfId="52197"/>
    <cellStyle name="20% - Accent1 2 3 5 2 8 5" xfId="32897"/>
    <cellStyle name="20% - Accent1 2 3 5 2 9" xfId="12461"/>
    <cellStyle name="20% - Accent1 2 3 5 2 9 2" xfId="24262"/>
    <cellStyle name="20% - Accent1 2 3 5 2 9 2 2" xfId="52198"/>
    <cellStyle name="20% - Accent1 2 3 5 2 9 3" xfId="37877"/>
    <cellStyle name="20% - Accent1 2 3 5 3" xfId="204"/>
    <cellStyle name="20% - Accent1 2 3 5 3 10" xfId="31074"/>
    <cellStyle name="20% - Accent1 2 3 5 3 2" xfId="487"/>
    <cellStyle name="20% - Accent1 2 3 5 3 2 2" xfId="1211"/>
    <cellStyle name="20% - Accent1 2 3 5 3 2 2 2" xfId="4797"/>
    <cellStyle name="20% - Accent1 2 3 5 3 2 2 2 2" xfId="12462"/>
    <cellStyle name="20% - Accent1 2 3 5 3 2 2 2 2 2" xfId="24263"/>
    <cellStyle name="20% - Accent1 2 3 5 3 2 2 2 2 2 2" xfId="52199"/>
    <cellStyle name="20% - Accent1 2 3 5 3 2 2 2 2 3" xfId="37878"/>
    <cellStyle name="20% - Accent1 2 3 5 3 2 2 2 3" xfId="10250"/>
    <cellStyle name="20% - Accent1 2 3 5 3 2 2 2 3 2" xfId="44297"/>
    <cellStyle name="20% - Accent1 2 3 5 3 2 2 2 4" xfId="22051"/>
    <cellStyle name="20% - Accent1 2 3 5 3 2 2 2 4 2" xfId="52200"/>
    <cellStyle name="20% - Accent1 2 3 5 3 2 2 2 5" xfId="35666"/>
    <cellStyle name="20% - Accent1 2 3 5 3 2 2 3" xfId="2956"/>
    <cellStyle name="20% - Accent1 2 3 5 3 2 2 3 2" xfId="12463"/>
    <cellStyle name="20% - Accent1 2 3 5 3 2 2 3 2 2" xfId="24264"/>
    <cellStyle name="20% - Accent1 2 3 5 3 2 2 3 2 2 2" xfId="52201"/>
    <cellStyle name="20% - Accent1 2 3 5 3 2 2 3 2 3" xfId="37879"/>
    <cellStyle name="20% - Accent1 2 3 5 3 2 2 3 3" xfId="8409"/>
    <cellStyle name="20% - Accent1 2 3 5 3 2 2 3 3 2" xfId="44298"/>
    <cellStyle name="20% - Accent1 2 3 5 3 2 2 3 4" xfId="20210"/>
    <cellStyle name="20% - Accent1 2 3 5 3 2 2 3 4 2" xfId="52202"/>
    <cellStyle name="20% - Accent1 2 3 5 3 2 2 3 5" xfId="33825"/>
    <cellStyle name="20% - Accent1 2 3 5 3 2 2 4" xfId="12464"/>
    <cellStyle name="20% - Accent1 2 3 5 3 2 2 4 2" xfId="24265"/>
    <cellStyle name="20% - Accent1 2 3 5 3 2 2 4 2 2" xfId="52203"/>
    <cellStyle name="20% - Accent1 2 3 5 3 2 2 4 3" xfId="37880"/>
    <cellStyle name="20% - Accent1 2 3 5 3 2 2 5" xfId="6665"/>
    <cellStyle name="20% - Accent1 2 3 5 3 2 2 5 2" xfId="44299"/>
    <cellStyle name="20% - Accent1 2 3 5 3 2 2 6" xfId="18466"/>
    <cellStyle name="20% - Accent1 2 3 5 3 2 2 6 2" xfId="52204"/>
    <cellStyle name="20% - Accent1 2 3 5 3 2 2 7" xfId="32081"/>
    <cellStyle name="20% - Accent1 2 3 5 3 2 3" xfId="3524"/>
    <cellStyle name="20% - Accent1 2 3 5 3 2 3 2" xfId="5365"/>
    <cellStyle name="20% - Accent1 2 3 5 3 2 3 2 2" xfId="16835"/>
    <cellStyle name="20% - Accent1 2 3 5 3 2 3 2 2 2" xfId="28636"/>
    <cellStyle name="20% - Accent1 2 3 5 3 2 3 2 2 2 2" xfId="52205"/>
    <cellStyle name="20% - Accent1 2 3 5 3 2 3 2 2 3" xfId="42251"/>
    <cellStyle name="20% - Accent1 2 3 5 3 2 3 2 3" xfId="10818"/>
    <cellStyle name="20% - Accent1 2 3 5 3 2 3 2 3 2" xfId="52206"/>
    <cellStyle name="20% - Accent1 2 3 5 3 2 3 2 4" xfId="22619"/>
    <cellStyle name="20% - Accent1 2 3 5 3 2 3 2 4 2" xfId="52207"/>
    <cellStyle name="20% - Accent1 2 3 5 3 2 3 2 5" xfId="36234"/>
    <cellStyle name="20% - Accent1 2 3 5 3 2 3 3" xfId="12465"/>
    <cellStyle name="20% - Accent1 2 3 5 3 2 3 3 2" xfId="24266"/>
    <cellStyle name="20% - Accent1 2 3 5 3 2 3 3 2 2" xfId="52208"/>
    <cellStyle name="20% - Accent1 2 3 5 3 2 3 3 3" xfId="37881"/>
    <cellStyle name="20% - Accent1 2 3 5 3 2 3 4" xfId="8977"/>
    <cellStyle name="20% - Accent1 2 3 5 3 2 3 4 2" xfId="52209"/>
    <cellStyle name="20% - Accent1 2 3 5 3 2 3 5" xfId="20778"/>
    <cellStyle name="20% - Accent1 2 3 5 3 2 3 5 2" xfId="52210"/>
    <cellStyle name="20% - Accent1 2 3 5 3 2 3 6" xfId="34393"/>
    <cellStyle name="20% - Accent1 2 3 5 3 2 4" xfId="4229"/>
    <cellStyle name="20% - Accent1 2 3 5 3 2 4 2" xfId="12466"/>
    <cellStyle name="20% - Accent1 2 3 5 3 2 4 2 2" xfId="24267"/>
    <cellStyle name="20% - Accent1 2 3 5 3 2 4 2 2 2" xfId="52211"/>
    <cellStyle name="20% - Accent1 2 3 5 3 2 4 2 3" xfId="37882"/>
    <cellStyle name="20% - Accent1 2 3 5 3 2 4 3" xfId="9682"/>
    <cellStyle name="20% - Accent1 2 3 5 3 2 4 3 2" xfId="44300"/>
    <cellStyle name="20% - Accent1 2 3 5 3 2 4 4" xfId="21483"/>
    <cellStyle name="20% - Accent1 2 3 5 3 2 4 4 2" xfId="52212"/>
    <cellStyle name="20% - Accent1 2 3 5 3 2 4 5" xfId="35098"/>
    <cellStyle name="20% - Accent1 2 3 5 3 2 5" xfId="2388"/>
    <cellStyle name="20% - Accent1 2 3 5 3 2 5 2" xfId="17013"/>
    <cellStyle name="20% - Accent1 2 3 5 3 2 5 2 2" xfId="28814"/>
    <cellStyle name="20% - Accent1 2 3 5 3 2 5 2 2 2" xfId="52213"/>
    <cellStyle name="20% - Accent1 2 3 5 3 2 5 2 3" xfId="42429"/>
    <cellStyle name="20% - Accent1 2 3 5 3 2 5 3" xfId="7841"/>
    <cellStyle name="20% - Accent1 2 3 5 3 2 5 3 2" xfId="52214"/>
    <cellStyle name="20% - Accent1 2 3 5 3 2 5 4" xfId="19642"/>
    <cellStyle name="20% - Accent1 2 3 5 3 2 5 4 2" xfId="52215"/>
    <cellStyle name="20% - Accent1 2 3 5 3 2 5 5" xfId="33257"/>
    <cellStyle name="20% - Accent1 2 3 5 3 2 6" xfId="12467"/>
    <cellStyle name="20% - Accent1 2 3 5 3 2 6 2" xfId="24268"/>
    <cellStyle name="20% - Accent1 2 3 5 3 2 6 2 2" xfId="52216"/>
    <cellStyle name="20% - Accent1 2 3 5 3 2 6 3" xfId="37883"/>
    <cellStyle name="20% - Accent1 2 3 5 3 2 7" xfId="5941"/>
    <cellStyle name="20% - Accent1 2 3 5 3 2 7 2" xfId="52217"/>
    <cellStyle name="20% - Accent1 2 3 5 3 2 8" xfId="17742"/>
    <cellStyle name="20% - Accent1 2 3 5 3 2 8 2" xfId="52218"/>
    <cellStyle name="20% - Accent1 2 3 5 3 2 9" xfId="31357"/>
    <cellStyle name="20% - Accent1 2 3 5 3 3" xfId="772"/>
    <cellStyle name="20% - Accent1 2 3 5 3 3 2" xfId="1212"/>
    <cellStyle name="20% - Accent1 2 3 5 3 3 2 2" xfId="4514"/>
    <cellStyle name="20% - Accent1 2 3 5 3 3 2 2 2" xfId="12468"/>
    <cellStyle name="20% - Accent1 2 3 5 3 3 2 2 2 2" xfId="24269"/>
    <cellStyle name="20% - Accent1 2 3 5 3 3 2 2 2 2 2" xfId="52219"/>
    <cellStyle name="20% - Accent1 2 3 5 3 3 2 2 2 3" xfId="37884"/>
    <cellStyle name="20% - Accent1 2 3 5 3 3 2 2 3" xfId="9967"/>
    <cellStyle name="20% - Accent1 2 3 5 3 3 2 2 3 2" xfId="44301"/>
    <cellStyle name="20% - Accent1 2 3 5 3 3 2 2 4" xfId="21768"/>
    <cellStyle name="20% - Accent1 2 3 5 3 3 2 2 4 2" xfId="52220"/>
    <cellStyle name="20% - Accent1 2 3 5 3 3 2 2 5" xfId="35383"/>
    <cellStyle name="20% - Accent1 2 3 5 3 3 2 3" xfId="12469"/>
    <cellStyle name="20% - Accent1 2 3 5 3 3 2 3 2" xfId="24270"/>
    <cellStyle name="20% - Accent1 2 3 5 3 3 2 3 2 2" xfId="44302"/>
    <cellStyle name="20% - Accent1 2 3 5 3 3 2 3 3" xfId="29554"/>
    <cellStyle name="20% - Accent1 2 3 5 3 3 2 3 3 2" xfId="44303"/>
    <cellStyle name="20% - Accent1 2 3 5 3 3 2 3 4" xfId="29555"/>
    <cellStyle name="20% - Accent1 2 3 5 3 3 2 3 4 2" xfId="52221"/>
    <cellStyle name="20% - Accent1 2 3 5 3 3 2 3 5" xfId="37885"/>
    <cellStyle name="20% - Accent1 2 3 5 3 3 2 4" xfId="12470"/>
    <cellStyle name="20% - Accent1 2 3 5 3 3 2 4 2" xfId="24271"/>
    <cellStyle name="20% - Accent1 2 3 5 3 3 2 4 2 2" xfId="52222"/>
    <cellStyle name="20% - Accent1 2 3 5 3 3 2 4 3" xfId="37886"/>
    <cellStyle name="20% - Accent1 2 3 5 3 3 2 5" xfId="6666"/>
    <cellStyle name="20% - Accent1 2 3 5 3 3 2 5 2" xfId="44304"/>
    <cellStyle name="20% - Accent1 2 3 5 3 3 2 6" xfId="18467"/>
    <cellStyle name="20% - Accent1 2 3 5 3 3 2 6 2" xfId="52223"/>
    <cellStyle name="20% - Accent1 2 3 5 3 3 2 7" xfId="32082"/>
    <cellStyle name="20% - Accent1 2 3 5 3 3 3" xfId="2673"/>
    <cellStyle name="20% - Accent1 2 3 5 3 3 3 2" xfId="12471"/>
    <cellStyle name="20% - Accent1 2 3 5 3 3 3 2 2" xfId="24272"/>
    <cellStyle name="20% - Accent1 2 3 5 3 3 3 2 2 2" xfId="52224"/>
    <cellStyle name="20% - Accent1 2 3 5 3 3 3 2 3" xfId="37887"/>
    <cellStyle name="20% - Accent1 2 3 5 3 3 3 3" xfId="8126"/>
    <cellStyle name="20% - Accent1 2 3 5 3 3 3 3 2" xfId="44305"/>
    <cellStyle name="20% - Accent1 2 3 5 3 3 3 4" xfId="19927"/>
    <cellStyle name="20% - Accent1 2 3 5 3 3 3 4 2" xfId="52225"/>
    <cellStyle name="20% - Accent1 2 3 5 3 3 3 5" xfId="33542"/>
    <cellStyle name="20% - Accent1 2 3 5 3 3 4" xfId="12472"/>
    <cellStyle name="20% - Accent1 2 3 5 3 3 4 2" xfId="24273"/>
    <cellStyle name="20% - Accent1 2 3 5 3 3 4 2 2" xfId="44306"/>
    <cellStyle name="20% - Accent1 2 3 5 3 3 4 3" xfId="29556"/>
    <cellStyle name="20% - Accent1 2 3 5 3 3 4 3 2" xfId="44307"/>
    <cellStyle name="20% - Accent1 2 3 5 3 3 4 4" xfId="29557"/>
    <cellStyle name="20% - Accent1 2 3 5 3 3 4 4 2" xfId="52226"/>
    <cellStyle name="20% - Accent1 2 3 5 3 3 4 5" xfId="37888"/>
    <cellStyle name="20% - Accent1 2 3 5 3 3 5" xfId="12473"/>
    <cellStyle name="20% - Accent1 2 3 5 3 3 5 2" xfId="24274"/>
    <cellStyle name="20% - Accent1 2 3 5 3 3 5 2 2" xfId="52227"/>
    <cellStyle name="20% - Accent1 2 3 5 3 3 5 3" xfId="37889"/>
    <cellStyle name="20% - Accent1 2 3 5 3 3 6" xfId="6226"/>
    <cellStyle name="20% - Accent1 2 3 5 3 3 6 2" xfId="44308"/>
    <cellStyle name="20% - Accent1 2 3 5 3 3 7" xfId="18027"/>
    <cellStyle name="20% - Accent1 2 3 5 3 3 7 2" xfId="52228"/>
    <cellStyle name="20% - Accent1 2 3 5 3 3 8" xfId="31642"/>
    <cellStyle name="20% - Accent1 2 3 5 3 4" xfId="1213"/>
    <cellStyle name="20% - Accent1 2 3 5 3 4 2" xfId="5082"/>
    <cellStyle name="20% - Accent1 2 3 5 3 4 2 2" xfId="12474"/>
    <cellStyle name="20% - Accent1 2 3 5 3 4 2 2 2" xfId="24275"/>
    <cellStyle name="20% - Accent1 2 3 5 3 4 2 2 2 2" xfId="52229"/>
    <cellStyle name="20% - Accent1 2 3 5 3 4 2 2 3" xfId="37890"/>
    <cellStyle name="20% - Accent1 2 3 5 3 4 2 3" xfId="10535"/>
    <cellStyle name="20% - Accent1 2 3 5 3 4 2 3 2" xfId="44309"/>
    <cellStyle name="20% - Accent1 2 3 5 3 4 2 4" xfId="22336"/>
    <cellStyle name="20% - Accent1 2 3 5 3 4 2 4 2" xfId="52230"/>
    <cellStyle name="20% - Accent1 2 3 5 3 4 2 5" xfId="35951"/>
    <cellStyle name="20% - Accent1 2 3 5 3 4 3" xfId="3241"/>
    <cellStyle name="20% - Accent1 2 3 5 3 4 3 2" xfId="12475"/>
    <cellStyle name="20% - Accent1 2 3 5 3 4 3 2 2" xfId="24276"/>
    <cellStyle name="20% - Accent1 2 3 5 3 4 3 2 2 2" xfId="52231"/>
    <cellStyle name="20% - Accent1 2 3 5 3 4 3 2 3" xfId="37891"/>
    <cellStyle name="20% - Accent1 2 3 5 3 4 3 3" xfId="8694"/>
    <cellStyle name="20% - Accent1 2 3 5 3 4 3 3 2" xfId="44310"/>
    <cellStyle name="20% - Accent1 2 3 5 3 4 3 4" xfId="20495"/>
    <cellStyle name="20% - Accent1 2 3 5 3 4 3 4 2" xfId="52232"/>
    <cellStyle name="20% - Accent1 2 3 5 3 4 3 5" xfId="34110"/>
    <cellStyle name="20% - Accent1 2 3 5 3 4 4" xfId="12476"/>
    <cellStyle name="20% - Accent1 2 3 5 3 4 4 2" xfId="24277"/>
    <cellStyle name="20% - Accent1 2 3 5 3 4 4 2 2" xfId="52233"/>
    <cellStyle name="20% - Accent1 2 3 5 3 4 4 3" xfId="37892"/>
    <cellStyle name="20% - Accent1 2 3 5 3 4 5" xfId="6667"/>
    <cellStyle name="20% - Accent1 2 3 5 3 4 5 2" xfId="44311"/>
    <cellStyle name="20% - Accent1 2 3 5 3 4 6" xfId="18468"/>
    <cellStyle name="20% - Accent1 2 3 5 3 4 6 2" xfId="52234"/>
    <cellStyle name="20% - Accent1 2 3 5 3 4 7" xfId="32083"/>
    <cellStyle name="20% - Accent1 2 3 5 3 5" xfId="3946"/>
    <cellStyle name="20% - Accent1 2 3 5 3 5 2" xfId="12477"/>
    <cellStyle name="20% - Accent1 2 3 5 3 5 2 2" xfId="24278"/>
    <cellStyle name="20% - Accent1 2 3 5 3 5 2 2 2" xfId="52235"/>
    <cellStyle name="20% - Accent1 2 3 5 3 5 2 3" xfId="37893"/>
    <cellStyle name="20% - Accent1 2 3 5 3 5 3" xfId="9399"/>
    <cellStyle name="20% - Accent1 2 3 5 3 5 3 2" xfId="44312"/>
    <cellStyle name="20% - Accent1 2 3 5 3 5 4" xfId="21200"/>
    <cellStyle name="20% - Accent1 2 3 5 3 5 4 2" xfId="52236"/>
    <cellStyle name="20% - Accent1 2 3 5 3 5 5" xfId="34815"/>
    <cellStyle name="20% - Accent1 2 3 5 3 6" xfId="2105"/>
    <cellStyle name="20% - Accent1 2 3 5 3 6 2" xfId="12478"/>
    <cellStyle name="20% - Accent1 2 3 5 3 6 2 2" xfId="24279"/>
    <cellStyle name="20% - Accent1 2 3 5 3 6 2 2 2" xfId="52237"/>
    <cellStyle name="20% - Accent1 2 3 5 3 6 2 3" xfId="37894"/>
    <cellStyle name="20% - Accent1 2 3 5 3 6 3" xfId="7558"/>
    <cellStyle name="20% - Accent1 2 3 5 3 6 3 2" xfId="44313"/>
    <cellStyle name="20% - Accent1 2 3 5 3 6 4" xfId="19359"/>
    <cellStyle name="20% - Accent1 2 3 5 3 6 4 2" xfId="52238"/>
    <cellStyle name="20% - Accent1 2 3 5 3 6 5" xfId="32974"/>
    <cellStyle name="20% - Accent1 2 3 5 3 7" xfId="12479"/>
    <cellStyle name="20% - Accent1 2 3 5 3 7 2" xfId="24280"/>
    <cellStyle name="20% - Accent1 2 3 5 3 7 2 2" xfId="52239"/>
    <cellStyle name="20% - Accent1 2 3 5 3 7 3" xfId="37895"/>
    <cellStyle name="20% - Accent1 2 3 5 3 8" xfId="5658"/>
    <cellStyle name="20% - Accent1 2 3 5 3 8 2" xfId="44314"/>
    <cellStyle name="20% - Accent1 2 3 5 3 9" xfId="17459"/>
    <cellStyle name="20% - Accent1 2 3 5 3 9 2" xfId="52240"/>
    <cellStyle name="20% - Accent1 2 3 5 4" xfId="350"/>
    <cellStyle name="20% - Accent1 2 3 5 4 2" xfId="1214"/>
    <cellStyle name="20% - Accent1 2 3 5 4 2 2" xfId="4660"/>
    <cellStyle name="20% - Accent1 2 3 5 4 2 2 2" xfId="12480"/>
    <cellStyle name="20% - Accent1 2 3 5 4 2 2 2 2" xfId="24281"/>
    <cellStyle name="20% - Accent1 2 3 5 4 2 2 2 2 2" xfId="52241"/>
    <cellStyle name="20% - Accent1 2 3 5 4 2 2 2 3" xfId="37896"/>
    <cellStyle name="20% - Accent1 2 3 5 4 2 2 3" xfId="10113"/>
    <cellStyle name="20% - Accent1 2 3 5 4 2 2 3 2" xfId="44315"/>
    <cellStyle name="20% - Accent1 2 3 5 4 2 2 4" xfId="21914"/>
    <cellStyle name="20% - Accent1 2 3 5 4 2 2 4 2" xfId="52242"/>
    <cellStyle name="20% - Accent1 2 3 5 4 2 2 5" xfId="35529"/>
    <cellStyle name="20% - Accent1 2 3 5 4 2 3" xfId="2819"/>
    <cellStyle name="20% - Accent1 2 3 5 4 2 3 2" xfId="12481"/>
    <cellStyle name="20% - Accent1 2 3 5 4 2 3 2 2" xfId="24282"/>
    <cellStyle name="20% - Accent1 2 3 5 4 2 3 2 2 2" xfId="52243"/>
    <cellStyle name="20% - Accent1 2 3 5 4 2 3 2 3" xfId="37897"/>
    <cellStyle name="20% - Accent1 2 3 5 4 2 3 3" xfId="8272"/>
    <cellStyle name="20% - Accent1 2 3 5 4 2 3 3 2" xfId="44316"/>
    <cellStyle name="20% - Accent1 2 3 5 4 2 3 4" xfId="20073"/>
    <cellStyle name="20% - Accent1 2 3 5 4 2 3 4 2" xfId="52244"/>
    <cellStyle name="20% - Accent1 2 3 5 4 2 3 5" xfId="33688"/>
    <cellStyle name="20% - Accent1 2 3 5 4 2 4" xfId="12482"/>
    <cellStyle name="20% - Accent1 2 3 5 4 2 4 2" xfId="24283"/>
    <cellStyle name="20% - Accent1 2 3 5 4 2 4 2 2" xfId="52245"/>
    <cellStyle name="20% - Accent1 2 3 5 4 2 4 3" xfId="37898"/>
    <cellStyle name="20% - Accent1 2 3 5 4 2 5" xfId="6668"/>
    <cellStyle name="20% - Accent1 2 3 5 4 2 5 2" xfId="44317"/>
    <cellStyle name="20% - Accent1 2 3 5 4 2 6" xfId="18469"/>
    <cellStyle name="20% - Accent1 2 3 5 4 2 6 2" xfId="52246"/>
    <cellStyle name="20% - Accent1 2 3 5 4 2 7" xfId="32084"/>
    <cellStyle name="20% - Accent1 2 3 5 4 3" xfId="3387"/>
    <cellStyle name="20% - Accent1 2 3 5 4 3 2" xfId="5228"/>
    <cellStyle name="20% - Accent1 2 3 5 4 3 2 2" xfId="16698"/>
    <cellStyle name="20% - Accent1 2 3 5 4 3 2 2 2" xfId="28499"/>
    <cellStyle name="20% - Accent1 2 3 5 4 3 2 2 2 2" xfId="52247"/>
    <cellStyle name="20% - Accent1 2 3 5 4 3 2 2 3" xfId="42114"/>
    <cellStyle name="20% - Accent1 2 3 5 4 3 2 3" xfId="10681"/>
    <cellStyle name="20% - Accent1 2 3 5 4 3 2 3 2" xfId="52248"/>
    <cellStyle name="20% - Accent1 2 3 5 4 3 2 4" xfId="22482"/>
    <cellStyle name="20% - Accent1 2 3 5 4 3 2 4 2" xfId="52249"/>
    <cellStyle name="20% - Accent1 2 3 5 4 3 2 5" xfId="36097"/>
    <cellStyle name="20% - Accent1 2 3 5 4 3 3" xfId="12483"/>
    <cellStyle name="20% - Accent1 2 3 5 4 3 3 2" xfId="24284"/>
    <cellStyle name="20% - Accent1 2 3 5 4 3 3 2 2" xfId="52250"/>
    <cellStyle name="20% - Accent1 2 3 5 4 3 3 3" xfId="37899"/>
    <cellStyle name="20% - Accent1 2 3 5 4 3 4" xfId="8840"/>
    <cellStyle name="20% - Accent1 2 3 5 4 3 4 2" xfId="52251"/>
    <cellStyle name="20% - Accent1 2 3 5 4 3 5" xfId="20641"/>
    <cellStyle name="20% - Accent1 2 3 5 4 3 5 2" xfId="52252"/>
    <cellStyle name="20% - Accent1 2 3 5 4 3 6" xfId="34256"/>
    <cellStyle name="20% - Accent1 2 3 5 4 4" xfId="4092"/>
    <cellStyle name="20% - Accent1 2 3 5 4 4 2" xfId="12484"/>
    <cellStyle name="20% - Accent1 2 3 5 4 4 2 2" xfId="24285"/>
    <cellStyle name="20% - Accent1 2 3 5 4 4 2 2 2" xfId="52253"/>
    <cellStyle name="20% - Accent1 2 3 5 4 4 2 3" xfId="37900"/>
    <cellStyle name="20% - Accent1 2 3 5 4 4 3" xfId="9545"/>
    <cellStyle name="20% - Accent1 2 3 5 4 4 3 2" xfId="44318"/>
    <cellStyle name="20% - Accent1 2 3 5 4 4 4" xfId="21346"/>
    <cellStyle name="20% - Accent1 2 3 5 4 4 4 2" xfId="52254"/>
    <cellStyle name="20% - Accent1 2 3 5 4 4 5" xfId="34961"/>
    <cellStyle name="20% - Accent1 2 3 5 4 5" xfId="2251"/>
    <cellStyle name="20% - Accent1 2 3 5 4 5 2" xfId="17014"/>
    <cellStyle name="20% - Accent1 2 3 5 4 5 2 2" xfId="28815"/>
    <cellStyle name="20% - Accent1 2 3 5 4 5 2 2 2" xfId="52255"/>
    <cellStyle name="20% - Accent1 2 3 5 4 5 2 3" xfId="42430"/>
    <cellStyle name="20% - Accent1 2 3 5 4 5 3" xfId="7704"/>
    <cellStyle name="20% - Accent1 2 3 5 4 5 3 2" xfId="52256"/>
    <cellStyle name="20% - Accent1 2 3 5 4 5 4" xfId="19505"/>
    <cellStyle name="20% - Accent1 2 3 5 4 5 4 2" xfId="52257"/>
    <cellStyle name="20% - Accent1 2 3 5 4 5 5" xfId="33120"/>
    <cellStyle name="20% - Accent1 2 3 5 4 6" xfId="12485"/>
    <cellStyle name="20% - Accent1 2 3 5 4 6 2" xfId="24286"/>
    <cellStyle name="20% - Accent1 2 3 5 4 6 2 2" xfId="52258"/>
    <cellStyle name="20% - Accent1 2 3 5 4 6 3" xfId="37901"/>
    <cellStyle name="20% - Accent1 2 3 5 4 7" xfId="5804"/>
    <cellStyle name="20% - Accent1 2 3 5 4 7 2" xfId="52259"/>
    <cellStyle name="20% - Accent1 2 3 5 4 8" xfId="17605"/>
    <cellStyle name="20% - Accent1 2 3 5 4 8 2" xfId="52260"/>
    <cellStyle name="20% - Accent1 2 3 5 4 9" xfId="31220"/>
    <cellStyle name="20% - Accent1 2 3 5 5" xfId="628"/>
    <cellStyle name="20% - Accent1 2 3 5 5 2" xfId="1215"/>
    <cellStyle name="20% - Accent1 2 3 5 5 2 2" xfId="4370"/>
    <cellStyle name="20% - Accent1 2 3 5 5 2 2 2" xfId="12486"/>
    <cellStyle name="20% - Accent1 2 3 5 5 2 2 2 2" xfId="24287"/>
    <cellStyle name="20% - Accent1 2 3 5 5 2 2 2 2 2" xfId="52261"/>
    <cellStyle name="20% - Accent1 2 3 5 5 2 2 2 3" xfId="37902"/>
    <cellStyle name="20% - Accent1 2 3 5 5 2 2 3" xfId="9823"/>
    <cellStyle name="20% - Accent1 2 3 5 5 2 2 3 2" xfId="44319"/>
    <cellStyle name="20% - Accent1 2 3 5 5 2 2 4" xfId="21624"/>
    <cellStyle name="20% - Accent1 2 3 5 5 2 2 4 2" xfId="52262"/>
    <cellStyle name="20% - Accent1 2 3 5 5 2 2 5" xfId="35239"/>
    <cellStyle name="20% - Accent1 2 3 5 5 2 3" xfId="12487"/>
    <cellStyle name="20% - Accent1 2 3 5 5 2 3 2" xfId="24288"/>
    <cellStyle name="20% - Accent1 2 3 5 5 2 3 2 2" xfId="44320"/>
    <cellStyle name="20% - Accent1 2 3 5 5 2 3 3" xfId="29558"/>
    <cellStyle name="20% - Accent1 2 3 5 5 2 3 3 2" xfId="44321"/>
    <cellStyle name="20% - Accent1 2 3 5 5 2 3 4" xfId="29559"/>
    <cellStyle name="20% - Accent1 2 3 5 5 2 3 4 2" xfId="52263"/>
    <cellStyle name="20% - Accent1 2 3 5 5 2 3 5" xfId="37903"/>
    <cellStyle name="20% - Accent1 2 3 5 5 2 4" xfId="12488"/>
    <cellStyle name="20% - Accent1 2 3 5 5 2 4 2" xfId="24289"/>
    <cellStyle name="20% - Accent1 2 3 5 5 2 4 2 2" xfId="52264"/>
    <cellStyle name="20% - Accent1 2 3 5 5 2 4 3" xfId="37904"/>
    <cellStyle name="20% - Accent1 2 3 5 5 2 5" xfId="6669"/>
    <cellStyle name="20% - Accent1 2 3 5 5 2 5 2" xfId="44322"/>
    <cellStyle name="20% - Accent1 2 3 5 5 2 6" xfId="18470"/>
    <cellStyle name="20% - Accent1 2 3 5 5 2 6 2" xfId="52265"/>
    <cellStyle name="20% - Accent1 2 3 5 5 2 7" xfId="32085"/>
    <cellStyle name="20% - Accent1 2 3 5 5 3" xfId="2529"/>
    <cellStyle name="20% - Accent1 2 3 5 5 3 2" xfId="12489"/>
    <cellStyle name="20% - Accent1 2 3 5 5 3 2 2" xfId="24290"/>
    <cellStyle name="20% - Accent1 2 3 5 5 3 2 2 2" xfId="52266"/>
    <cellStyle name="20% - Accent1 2 3 5 5 3 2 3" xfId="37905"/>
    <cellStyle name="20% - Accent1 2 3 5 5 3 3" xfId="7982"/>
    <cellStyle name="20% - Accent1 2 3 5 5 3 3 2" xfId="44323"/>
    <cellStyle name="20% - Accent1 2 3 5 5 3 4" xfId="19783"/>
    <cellStyle name="20% - Accent1 2 3 5 5 3 4 2" xfId="52267"/>
    <cellStyle name="20% - Accent1 2 3 5 5 3 5" xfId="33398"/>
    <cellStyle name="20% - Accent1 2 3 5 5 4" xfId="12490"/>
    <cellStyle name="20% - Accent1 2 3 5 5 4 2" xfId="24291"/>
    <cellStyle name="20% - Accent1 2 3 5 5 4 2 2" xfId="44324"/>
    <cellStyle name="20% - Accent1 2 3 5 5 4 3" xfId="29560"/>
    <cellStyle name="20% - Accent1 2 3 5 5 4 3 2" xfId="44325"/>
    <cellStyle name="20% - Accent1 2 3 5 5 4 4" xfId="29561"/>
    <cellStyle name="20% - Accent1 2 3 5 5 4 4 2" xfId="52268"/>
    <cellStyle name="20% - Accent1 2 3 5 5 4 5" xfId="37906"/>
    <cellStyle name="20% - Accent1 2 3 5 5 5" xfId="12491"/>
    <cellStyle name="20% - Accent1 2 3 5 5 5 2" xfId="24292"/>
    <cellStyle name="20% - Accent1 2 3 5 5 5 2 2" xfId="52269"/>
    <cellStyle name="20% - Accent1 2 3 5 5 5 3" xfId="37907"/>
    <cellStyle name="20% - Accent1 2 3 5 5 6" xfId="6082"/>
    <cellStyle name="20% - Accent1 2 3 5 5 6 2" xfId="44326"/>
    <cellStyle name="20% - Accent1 2 3 5 5 7" xfId="17883"/>
    <cellStyle name="20% - Accent1 2 3 5 5 7 2" xfId="52270"/>
    <cellStyle name="20% - Accent1 2 3 5 5 8" xfId="31498"/>
    <cellStyle name="20% - Accent1 2 3 5 6" xfId="869"/>
    <cellStyle name="20% - Accent1 2 3 5 6 2" xfId="1216"/>
    <cellStyle name="20% - Accent1 2 3 5 6 2 2" xfId="4938"/>
    <cellStyle name="20% - Accent1 2 3 5 6 2 2 2" xfId="12492"/>
    <cellStyle name="20% - Accent1 2 3 5 6 2 2 2 2" xfId="24293"/>
    <cellStyle name="20% - Accent1 2 3 5 6 2 2 2 2 2" xfId="52271"/>
    <cellStyle name="20% - Accent1 2 3 5 6 2 2 2 3" xfId="37908"/>
    <cellStyle name="20% - Accent1 2 3 5 6 2 2 3" xfId="10391"/>
    <cellStyle name="20% - Accent1 2 3 5 6 2 2 3 2" xfId="44327"/>
    <cellStyle name="20% - Accent1 2 3 5 6 2 2 4" xfId="22192"/>
    <cellStyle name="20% - Accent1 2 3 5 6 2 2 4 2" xfId="52272"/>
    <cellStyle name="20% - Accent1 2 3 5 6 2 2 5" xfId="35807"/>
    <cellStyle name="20% - Accent1 2 3 5 6 2 3" xfId="12493"/>
    <cellStyle name="20% - Accent1 2 3 5 6 2 3 2" xfId="24294"/>
    <cellStyle name="20% - Accent1 2 3 5 6 2 3 2 2" xfId="44328"/>
    <cellStyle name="20% - Accent1 2 3 5 6 2 3 3" xfId="29562"/>
    <cellStyle name="20% - Accent1 2 3 5 6 2 3 3 2" xfId="44329"/>
    <cellStyle name="20% - Accent1 2 3 5 6 2 3 4" xfId="29563"/>
    <cellStyle name="20% - Accent1 2 3 5 6 2 3 4 2" xfId="52273"/>
    <cellStyle name="20% - Accent1 2 3 5 6 2 3 5" xfId="37909"/>
    <cellStyle name="20% - Accent1 2 3 5 6 2 4" xfId="12494"/>
    <cellStyle name="20% - Accent1 2 3 5 6 2 4 2" xfId="24295"/>
    <cellStyle name="20% - Accent1 2 3 5 6 2 4 2 2" xfId="52274"/>
    <cellStyle name="20% - Accent1 2 3 5 6 2 4 3" xfId="37910"/>
    <cellStyle name="20% - Accent1 2 3 5 6 2 5" xfId="6670"/>
    <cellStyle name="20% - Accent1 2 3 5 6 2 5 2" xfId="44330"/>
    <cellStyle name="20% - Accent1 2 3 5 6 2 6" xfId="18471"/>
    <cellStyle name="20% - Accent1 2 3 5 6 2 6 2" xfId="52275"/>
    <cellStyle name="20% - Accent1 2 3 5 6 2 7" xfId="32086"/>
    <cellStyle name="20% - Accent1 2 3 5 6 3" xfId="3097"/>
    <cellStyle name="20% - Accent1 2 3 5 6 3 2" xfId="12495"/>
    <cellStyle name="20% - Accent1 2 3 5 6 3 2 2" xfId="24296"/>
    <cellStyle name="20% - Accent1 2 3 5 6 3 2 2 2" xfId="52276"/>
    <cellStyle name="20% - Accent1 2 3 5 6 3 2 3" xfId="37911"/>
    <cellStyle name="20% - Accent1 2 3 5 6 3 3" xfId="8550"/>
    <cellStyle name="20% - Accent1 2 3 5 6 3 3 2" xfId="44331"/>
    <cellStyle name="20% - Accent1 2 3 5 6 3 4" xfId="20351"/>
    <cellStyle name="20% - Accent1 2 3 5 6 3 4 2" xfId="52277"/>
    <cellStyle name="20% - Accent1 2 3 5 6 3 5" xfId="33966"/>
    <cellStyle name="20% - Accent1 2 3 5 6 4" xfId="12496"/>
    <cellStyle name="20% - Accent1 2 3 5 6 4 2" xfId="24297"/>
    <cellStyle name="20% - Accent1 2 3 5 6 4 2 2" xfId="44332"/>
    <cellStyle name="20% - Accent1 2 3 5 6 4 3" xfId="29564"/>
    <cellStyle name="20% - Accent1 2 3 5 6 4 3 2" xfId="44333"/>
    <cellStyle name="20% - Accent1 2 3 5 6 4 4" xfId="29565"/>
    <cellStyle name="20% - Accent1 2 3 5 6 4 4 2" xfId="52278"/>
    <cellStyle name="20% - Accent1 2 3 5 6 4 5" xfId="37912"/>
    <cellStyle name="20% - Accent1 2 3 5 6 5" xfId="12497"/>
    <cellStyle name="20% - Accent1 2 3 5 6 5 2" xfId="24298"/>
    <cellStyle name="20% - Accent1 2 3 5 6 5 2 2" xfId="52279"/>
    <cellStyle name="20% - Accent1 2 3 5 6 5 3" xfId="37913"/>
    <cellStyle name="20% - Accent1 2 3 5 6 6" xfId="6323"/>
    <cellStyle name="20% - Accent1 2 3 5 6 6 2" xfId="44334"/>
    <cellStyle name="20% - Accent1 2 3 5 6 7" xfId="18124"/>
    <cellStyle name="20% - Accent1 2 3 5 6 7 2" xfId="52280"/>
    <cellStyle name="20% - Accent1 2 3 5 6 8" xfId="31739"/>
    <cellStyle name="20% - Accent1 2 3 5 7" xfId="1217"/>
    <cellStyle name="20% - Accent1 2 3 5 7 2" xfId="3802"/>
    <cellStyle name="20% - Accent1 2 3 5 7 2 2" xfId="12498"/>
    <cellStyle name="20% - Accent1 2 3 5 7 2 2 2" xfId="24299"/>
    <cellStyle name="20% - Accent1 2 3 5 7 2 2 2 2" xfId="52281"/>
    <cellStyle name="20% - Accent1 2 3 5 7 2 2 3" xfId="37914"/>
    <cellStyle name="20% - Accent1 2 3 5 7 2 3" xfId="9255"/>
    <cellStyle name="20% - Accent1 2 3 5 7 2 3 2" xfId="44335"/>
    <cellStyle name="20% - Accent1 2 3 5 7 2 4" xfId="21056"/>
    <cellStyle name="20% - Accent1 2 3 5 7 2 4 2" xfId="52282"/>
    <cellStyle name="20% - Accent1 2 3 5 7 2 5" xfId="34671"/>
    <cellStyle name="20% - Accent1 2 3 5 7 3" xfId="12499"/>
    <cellStyle name="20% - Accent1 2 3 5 7 3 2" xfId="24300"/>
    <cellStyle name="20% - Accent1 2 3 5 7 3 2 2" xfId="44336"/>
    <cellStyle name="20% - Accent1 2 3 5 7 3 3" xfId="29566"/>
    <cellStyle name="20% - Accent1 2 3 5 7 3 3 2" xfId="44337"/>
    <cellStyle name="20% - Accent1 2 3 5 7 3 4" xfId="29567"/>
    <cellStyle name="20% - Accent1 2 3 5 7 3 4 2" xfId="52283"/>
    <cellStyle name="20% - Accent1 2 3 5 7 3 5" xfId="37915"/>
    <cellStyle name="20% - Accent1 2 3 5 7 4" xfId="12500"/>
    <cellStyle name="20% - Accent1 2 3 5 7 4 2" xfId="24301"/>
    <cellStyle name="20% - Accent1 2 3 5 7 4 2 2" xfId="52284"/>
    <cellStyle name="20% - Accent1 2 3 5 7 4 3" xfId="37916"/>
    <cellStyle name="20% - Accent1 2 3 5 7 5" xfId="6671"/>
    <cellStyle name="20% - Accent1 2 3 5 7 5 2" xfId="44338"/>
    <cellStyle name="20% - Accent1 2 3 5 7 6" xfId="18472"/>
    <cellStyle name="20% - Accent1 2 3 5 7 6 2" xfId="52285"/>
    <cellStyle name="20% - Accent1 2 3 5 7 7" xfId="32087"/>
    <cellStyle name="20% - Accent1 2 3 5 8" xfId="3665"/>
    <cellStyle name="20% - Accent1 2 3 5 8 2" xfId="12501"/>
    <cellStyle name="20% - Accent1 2 3 5 8 2 2" xfId="24302"/>
    <cellStyle name="20% - Accent1 2 3 5 8 2 2 2" xfId="52286"/>
    <cellStyle name="20% - Accent1 2 3 5 8 2 3" xfId="37917"/>
    <cellStyle name="20% - Accent1 2 3 5 8 3" xfId="9118"/>
    <cellStyle name="20% - Accent1 2 3 5 8 3 2" xfId="44339"/>
    <cellStyle name="20% - Accent1 2 3 5 8 4" xfId="20919"/>
    <cellStyle name="20% - Accent1 2 3 5 8 4 2" xfId="52287"/>
    <cellStyle name="20% - Accent1 2 3 5 8 5" xfId="34534"/>
    <cellStyle name="20% - Accent1 2 3 5 9" xfId="1961"/>
    <cellStyle name="20% - Accent1 2 3 5 9 2" xfId="12502"/>
    <cellStyle name="20% - Accent1 2 3 5 9 2 2" xfId="24303"/>
    <cellStyle name="20% - Accent1 2 3 5 9 2 2 2" xfId="52288"/>
    <cellStyle name="20% - Accent1 2 3 5 9 2 3" xfId="37918"/>
    <cellStyle name="20% - Accent1 2 3 5 9 3" xfId="7414"/>
    <cellStyle name="20% - Accent1 2 3 5 9 3 2" xfId="44340"/>
    <cellStyle name="20% - Accent1 2 3 5 9 4" xfId="19215"/>
    <cellStyle name="20% - Accent1 2 3 5 9 4 2" xfId="52289"/>
    <cellStyle name="20% - Accent1 2 3 5 9 5" xfId="32830"/>
    <cellStyle name="20% - Accent1 2 3 6" xfId="75"/>
    <cellStyle name="20% - Accent1 2 3 6 10" xfId="5529"/>
    <cellStyle name="20% - Accent1 2 3 6 10 2" xfId="44341"/>
    <cellStyle name="20% - Accent1 2 3 6 11" xfId="17330"/>
    <cellStyle name="20% - Accent1 2 3 6 11 2" xfId="52290"/>
    <cellStyle name="20% - Accent1 2 3 6 12" xfId="30945"/>
    <cellStyle name="20% - Accent1 2 3 6 2" xfId="502"/>
    <cellStyle name="20% - Accent1 2 3 6 2 2" xfId="1218"/>
    <cellStyle name="20% - Accent1 2 3 6 2 2 2" xfId="4812"/>
    <cellStyle name="20% - Accent1 2 3 6 2 2 2 2" xfId="12503"/>
    <cellStyle name="20% - Accent1 2 3 6 2 2 2 2 2" xfId="24304"/>
    <cellStyle name="20% - Accent1 2 3 6 2 2 2 2 2 2" xfId="52291"/>
    <cellStyle name="20% - Accent1 2 3 6 2 2 2 2 3" xfId="37919"/>
    <cellStyle name="20% - Accent1 2 3 6 2 2 2 3" xfId="10265"/>
    <cellStyle name="20% - Accent1 2 3 6 2 2 2 3 2" xfId="44342"/>
    <cellStyle name="20% - Accent1 2 3 6 2 2 2 4" xfId="22066"/>
    <cellStyle name="20% - Accent1 2 3 6 2 2 2 4 2" xfId="52292"/>
    <cellStyle name="20% - Accent1 2 3 6 2 2 2 5" xfId="35681"/>
    <cellStyle name="20% - Accent1 2 3 6 2 2 3" xfId="2971"/>
    <cellStyle name="20% - Accent1 2 3 6 2 2 3 2" xfId="12504"/>
    <cellStyle name="20% - Accent1 2 3 6 2 2 3 2 2" xfId="24305"/>
    <cellStyle name="20% - Accent1 2 3 6 2 2 3 2 2 2" xfId="52293"/>
    <cellStyle name="20% - Accent1 2 3 6 2 2 3 2 3" xfId="37920"/>
    <cellStyle name="20% - Accent1 2 3 6 2 2 3 3" xfId="8424"/>
    <cellStyle name="20% - Accent1 2 3 6 2 2 3 3 2" xfId="44343"/>
    <cellStyle name="20% - Accent1 2 3 6 2 2 3 4" xfId="20225"/>
    <cellStyle name="20% - Accent1 2 3 6 2 2 3 4 2" xfId="52294"/>
    <cellStyle name="20% - Accent1 2 3 6 2 2 3 5" xfId="33840"/>
    <cellStyle name="20% - Accent1 2 3 6 2 2 4" xfId="12505"/>
    <cellStyle name="20% - Accent1 2 3 6 2 2 4 2" xfId="24306"/>
    <cellStyle name="20% - Accent1 2 3 6 2 2 4 2 2" xfId="52295"/>
    <cellStyle name="20% - Accent1 2 3 6 2 2 4 3" xfId="37921"/>
    <cellStyle name="20% - Accent1 2 3 6 2 2 5" xfId="6672"/>
    <cellStyle name="20% - Accent1 2 3 6 2 2 5 2" xfId="44344"/>
    <cellStyle name="20% - Accent1 2 3 6 2 2 6" xfId="18473"/>
    <cellStyle name="20% - Accent1 2 3 6 2 2 6 2" xfId="52296"/>
    <cellStyle name="20% - Accent1 2 3 6 2 2 7" xfId="32088"/>
    <cellStyle name="20% - Accent1 2 3 6 2 3" xfId="3539"/>
    <cellStyle name="20% - Accent1 2 3 6 2 3 2" xfId="5380"/>
    <cellStyle name="20% - Accent1 2 3 6 2 3 2 2" xfId="16850"/>
    <cellStyle name="20% - Accent1 2 3 6 2 3 2 2 2" xfId="28651"/>
    <cellStyle name="20% - Accent1 2 3 6 2 3 2 2 2 2" xfId="52297"/>
    <cellStyle name="20% - Accent1 2 3 6 2 3 2 2 3" xfId="42266"/>
    <cellStyle name="20% - Accent1 2 3 6 2 3 2 3" xfId="10833"/>
    <cellStyle name="20% - Accent1 2 3 6 2 3 2 3 2" xfId="52298"/>
    <cellStyle name="20% - Accent1 2 3 6 2 3 2 4" xfId="22634"/>
    <cellStyle name="20% - Accent1 2 3 6 2 3 2 4 2" xfId="52299"/>
    <cellStyle name="20% - Accent1 2 3 6 2 3 2 5" xfId="36249"/>
    <cellStyle name="20% - Accent1 2 3 6 2 3 3" xfId="12506"/>
    <cellStyle name="20% - Accent1 2 3 6 2 3 3 2" xfId="24307"/>
    <cellStyle name="20% - Accent1 2 3 6 2 3 3 2 2" xfId="52300"/>
    <cellStyle name="20% - Accent1 2 3 6 2 3 3 3" xfId="37922"/>
    <cellStyle name="20% - Accent1 2 3 6 2 3 4" xfId="8992"/>
    <cellStyle name="20% - Accent1 2 3 6 2 3 4 2" xfId="52301"/>
    <cellStyle name="20% - Accent1 2 3 6 2 3 5" xfId="20793"/>
    <cellStyle name="20% - Accent1 2 3 6 2 3 5 2" xfId="52302"/>
    <cellStyle name="20% - Accent1 2 3 6 2 3 6" xfId="34408"/>
    <cellStyle name="20% - Accent1 2 3 6 2 4" xfId="4244"/>
    <cellStyle name="20% - Accent1 2 3 6 2 4 2" xfId="12507"/>
    <cellStyle name="20% - Accent1 2 3 6 2 4 2 2" xfId="24308"/>
    <cellStyle name="20% - Accent1 2 3 6 2 4 2 2 2" xfId="52303"/>
    <cellStyle name="20% - Accent1 2 3 6 2 4 2 3" xfId="37923"/>
    <cellStyle name="20% - Accent1 2 3 6 2 4 3" xfId="9697"/>
    <cellStyle name="20% - Accent1 2 3 6 2 4 3 2" xfId="44345"/>
    <cellStyle name="20% - Accent1 2 3 6 2 4 4" xfId="21498"/>
    <cellStyle name="20% - Accent1 2 3 6 2 4 4 2" xfId="52304"/>
    <cellStyle name="20% - Accent1 2 3 6 2 4 5" xfId="35113"/>
    <cellStyle name="20% - Accent1 2 3 6 2 5" xfId="2403"/>
    <cellStyle name="20% - Accent1 2 3 6 2 5 2" xfId="17015"/>
    <cellStyle name="20% - Accent1 2 3 6 2 5 2 2" xfId="28816"/>
    <cellStyle name="20% - Accent1 2 3 6 2 5 2 2 2" xfId="52305"/>
    <cellStyle name="20% - Accent1 2 3 6 2 5 2 3" xfId="42431"/>
    <cellStyle name="20% - Accent1 2 3 6 2 5 3" xfId="7856"/>
    <cellStyle name="20% - Accent1 2 3 6 2 5 3 2" xfId="52306"/>
    <cellStyle name="20% - Accent1 2 3 6 2 5 4" xfId="19657"/>
    <cellStyle name="20% - Accent1 2 3 6 2 5 4 2" xfId="52307"/>
    <cellStyle name="20% - Accent1 2 3 6 2 5 5" xfId="33272"/>
    <cellStyle name="20% - Accent1 2 3 6 2 6" xfId="12508"/>
    <cellStyle name="20% - Accent1 2 3 6 2 6 2" xfId="24309"/>
    <cellStyle name="20% - Accent1 2 3 6 2 6 2 2" xfId="52308"/>
    <cellStyle name="20% - Accent1 2 3 6 2 6 3" xfId="37924"/>
    <cellStyle name="20% - Accent1 2 3 6 2 7" xfId="5956"/>
    <cellStyle name="20% - Accent1 2 3 6 2 7 2" xfId="52309"/>
    <cellStyle name="20% - Accent1 2 3 6 2 8" xfId="17757"/>
    <cellStyle name="20% - Accent1 2 3 6 2 8 2" xfId="52310"/>
    <cellStyle name="20% - Accent1 2 3 6 2 9" xfId="31372"/>
    <cellStyle name="20% - Accent1 2 3 6 3" xfId="365"/>
    <cellStyle name="20% - Accent1 2 3 6 3 2" xfId="1219"/>
    <cellStyle name="20% - Accent1 2 3 6 3 2 2" xfId="4675"/>
    <cellStyle name="20% - Accent1 2 3 6 3 2 2 2" xfId="12509"/>
    <cellStyle name="20% - Accent1 2 3 6 3 2 2 2 2" xfId="24310"/>
    <cellStyle name="20% - Accent1 2 3 6 3 2 2 2 2 2" xfId="52311"/>
    <cellStyle name="20% - Accent1 2 3 6 3 2 2 2 3" xfId="37925"/>
    <cellStyle name="20% - Accent1 2 3 6 3 2 2 3" xfId="10128"/>
    <cellStyle name="20% - Accent1 2 3 6 3 2 2 3 2" xfId="44346"/>
    <cellStyle name="20% - Accent1 2 3 6 3 2 2 4" xfId="21929"/>
    <cellStyle name="20% - Accent1 2 3 6 3 2 2 4 2" xfId="52312"/>
    <cellStyle name="20% - Accent1 2 3 6 3 2 2 5" xfId="35544"/>
    <cellStyle name="20% - Accent1 2 3 6 3 2 3" xfId="2834"/>
    <cellStyle name="20% - Accent1 2 3 6 3 2 3 2" xfId="12510"/>
    <cellStyle name="20% - Accent1 2 3 6 3 2 3 2 2" xfId="24311"/>
    <cellStyle name="20% - Accent1 2 3 6 3 2 3 2 2 2" xfId="52313"/>
    <cellStyle name="20% - Accent1 2 3 6 3 2 3 2 3" xfId="37926"/>
    <cellStyle name="20% - Accent1 2 3 6 3 2 3 3" xfId="8287"/>
    <cellStyle name="20% - Accent1 2 3 6 3 2 3 3 2" xfId="44347"/>
    <cellStyle name="20% - Accent1 2 3 6 3 2 3 4" xfId="20088"/>
    <cellStyle name="20% - Accent1 2 3 6 3 2 3 4 2" xfId="52314"/>
    <cellStyle name="20% - Accent1 2 3 6 3 2 3 5" xfId="33703"/>
    <cellStyle name="20% - Accent1 2 3 6 3 2 4" xfId="12511"/>
    <cellStyle name="20% - Accent1 2 3 6 3 2 4 2" xfId="24312"/>
    <cellStyle name="20% - Accent1 2 3 6 3 2 4 2 2" xfId="52315"/>
    <cellStyle name="20% - Accent1 2 3 6 3 2 4 3" xfId="37927"/>
    <cellStyle name="20% - Accent1 2 3 6 3 2 5" xfId="6673"/>
    <cellStyle name="20% - Accent1 2 3 6 3 2 5 2" xfId="44348"/>
    <cellStyle name="20% - Accent1 2 3 6 3 2 6" xfId="18474"/>
    <cellStyle name="20% - Accent1 2 3 6 3 2 6 2" xfId="52316"/>
    <cellStyle name="20% - Accent1 2 3 6 3 2 7" xfId="32089"/>
    <cellStyle name="20% - Accent1 2 3 6 3 3" xfId="3402"/>
    <cellStyle name="20% - Accent1 2 3 6 3 3 2" xfId="5243"/>
    <cellStyle name="20% - Accent1 2 3 6 3 3 2 2" xfId="16713"/>
    <cellStyle name="20% - Accent1 2 3 6 3 3 2 2 2" xfId="28514"/>
    <cellStyle name="20% - Accent1 2 3 6 3 3 2 2 2 2" xfId="52317"/>
    <cellStyle name="20% - Accent1 2 3 6 3 3 2 2 3" xfId="42129"/>
    <cellStyle name="20% - Accent1 2 3 6 3 3 2 3" xfId="10696"/>
    <cellStyle name="20% - Accent1 2 3 6 3 3 2 3 2" xfId="52318"/>
    <cellStyle name="20% - Accent1 2 3 6 3 3 2 4" xfId="22497"/>
    <cellStyle name="20% - Accent1 2 3 6 3 3 2 4 2" xfId="52319"/>
    <cellStyle name="20% - Accent1 2 3 6 3 3 2 5" xfId="36112"/>
    <cellStyle name="20% - Accent1 2 3 6 3 3 3" xfId="12512"/>
    <cellStyle name="20% - Accent1 2 3 6 3 3 3 2" xfId="24313"/>
    <cellStyle name="20% - Accent1 2 3 6 3 3 3 2 2" xfId="52320"/>
    <cellStyle name="20% - Accent1 2 3 6 3 3 3 3" xfId="37928"/>
    <cellStyle name="20% - Accent1 2 3 6 3 3 4" xfId="8855"/>
    <cellStyle name="20% - Accent1 2 3 6 3 3 4 2" xfId="52321"/>
    <cellStyle name="20% - Accent1 2 3 6 3 3 5" xfId="20656"/>
    <cellStyle name="20% - Accent1 2 3 6 3 3 5 2" xfId="52322"/>
    <cellStyle name="20% - Accent1 2 3 6 3 3 6" xfId="34271"/>
    <cellStyle name="20% - Accent1 2 3 6 3 4" xfId="4107"/>
    <cellStyle name="20% - Accent1 2 3 6 3 4 2" xfId="12513"/>
    <cellStyle name="20% - Accent1 2 3 6 3 4 2 2" xfId="24314"/>
    <cellStyle name="20% - Accent1 2 3 6 3 4 2 2 2" xfId="52323"/>
    <cellStyle name="20% - Accent1 2 3 6 3 4 2 3" xfId="37929"/>
    <cellStyle name="20% - Accent1 2 3 6 3 4 3" xfId="9560"/>
    <cellStyle name="20% - Accent1 2 3 6 3 4 3 2" xfId="44349"/>
    <cellStyle name="20% - Accent1 2 3 6 3 4 4" xfId="21361"/>
    <cellStyle name="20% - Accent1 2 3 6 3 4 4 2" xfId="52324"/>
    <cellStyle name="20% - Accent1 2 3 6 3 4 5" xfId="34976"/>
    <cellStyle name="20% - Accent1 2 3 6 3 5" xfId="2266"/>
    <cellStyle name="20% - Accent1 2 3 6 3 5 2" xfId="17016"/>
    <cellStyle name="20% - Accent1 2 3 6 3 5 2 2" xfId="28817"/>
    <cellStyle name="20% - Accent1 2 3 6 3 5 2 2 2" xfId="52325"/>
    <cellStyle name="20% - Accent1 2 3 6 3 5 2 3" xfId="42432"/>
    <cellStyle name="20% - Accent1 2 3 6 3 5 3" xfId="7719"/>
    <cellStyle name="20% - Accent1 2 3 6 3 5 3 2" xfId="52326"/>
    <cellStyle name="20% - Accent1 2 3 6 3 5 4" xfId="19520"/>
    <cellStyle name="20% - Accent1 2 3 6 3 5 4 2" xfId="52327"/>
    <cellStyle name="20% - Accent1 2 3 6 3 5 5" xfId="33135"/>
    <cellStyle name="20% - Accent1 2 3 6 3 6" xfId="12514"/>
    <cellStyle name="20% - Accent1 2 3 6 3 6 2" xfId="24315"/>
    <cellStyle name="20% - Accent1 2 3 6 3 6 2 2" xfId="52328"/>
    <cellStyle name="20% - Accent1 2 3 6 3 6 3" xfId="37930"/>
    <cellStyle name="20% - Accent1 2 3 6 3 7" xfId="5819"/>
    <cellStyle name="20% - Accent1 2 3 6 3 7 2" xfId="52329"/>
    <cellStyle name="20% - Accent1 2 3 6 3 8" xfId="17620"/>
    <cellStyle name="20% - Accent1 2 3 6 3 8 2" xfId="52330"/>
    <cellStyle name="20% - Accent1 2 3 6 3 9" xfId="31235"/>
    <cellStyle name="20% - Accent1 2 3 6 4" xfId="643"/>
    <cellStyle name="20% - Accent1 2 3 6 4 2" xfId="1220"/>
    <cellStyle name="20% - Accent1 2 3 6 4 2 2" xfId="4385"/>
    <cellStyle name="20% - Accent1 2 3 6 4 2 2 2" xfId="12515"/>
    <cellStyle name="20% - Accent1 2 3 6 4 2 2 2 2" xfId="24316"/>
    <cellStyle name="20% - Accent1 2 3 6 4 2 2 2 2 2" xfId="52331"/>
    <cellStyle name="20% - Accent1 2 3 6 4 2 2 2 3" xfId="37931"/>
    <cellStyle name="20% - Accent1 2 3 6 4 2 2 3" xfId="9838"/>
    <cellStyle name="20% - Accent1 2 3 6 4 2 2 3 2" xfId="44350"/>
    <cellStyle name="20% - Accent1 2 3 6 4 2 2 4" xfId="21639"/>
    <cellStyle name="20% - Accent1 2 3 6 4 2 2 4 2" xfId="52332"/>
    <cellStyle name="20% - Accent1 2 3 6 4 2 2 5" xfId="35254"/>
    <cellStyle name="20% - Accent1 2 3 6 4 2 3" xfId="12516"/>
    <cellStyle name="20% - Accent1 2 3 6 4 2 3 2" xfId="24317"/>
    <cellStyle name="20% - Accent1 2 3 6 4 2 3 2 2" xfId="44351"/>
    <cellStyle name="20% - Accent1 2 3 6 4 2 3 3" xfId="29568"/>
    <cellStyle name="20% - Accent1 2 3 6 4 2 3 3 2" xfId="44352"/>
    <cellStyle name="20% - Accent1 2 3 6 4 2 3 4" xfId="29569"/>
    <cellStyle name="20% - Accent1 2 3 6 4 2 3 4 2" xfId="52333"/>
    <cellStyle name="20% - Accent1 2 3 6 4 2 3 5" xfId="37932"/>
    <cellStyle name="20% - Accent1 2 3 6 4 2 4" xfId="12517"/>
    <cellStyle name="20% - Accent1 2 3 6 4 2 4 2" xfId="24318"/>
    <cellStyle name="20% - Accent1 2 3 6 4 2 4 2 2" xfId="52334"/>
    <cellStyle name="20% - Accent1 2 3 6 4 2 4 3" xfId="37933"/>
    <cellStyle name="20% - Accent1 2 3 6 4 2 5" xfId="6674"/>
    <cellStyle name="20% - Accent1 2 3 6 4 2 5 2" xfId="44353"/>
    <cellStyle name="20% - Accent1 2 3 6 4 2 6" xfId="18475"/>
    <cellStyle name="20% - Accent1 2 3 6 4 2 6 2" xfId="52335"/>
    <cellStyle name="20% - Accent1 2 3 6 4 2 7" xfId="32090"/>
    <cellStyle name="20% - Accent1 2 3 6 4 3" xfId="2544"/>
    <cellStyle name="20% - Accent1 2 3 6 4 3 2" xfId="12518"/>
    <cellStyle name="20% - Accent1 2 3 6 4 3 2 2" xfId="24319"/>
    <cellStyle name="20% - Accent1 2 3 6 4 3 2 2 2" xfId="52336"/>
    <cellStyle name="20% - Accent1 2 3 6 4 3 2 3" xfId="37934"/>
    <cellStyle name="20% - Accent1 2 3 6 4 3 3" xfId="7997"/>
    <cellStyle name="20% - Accent1 2 3 6 4 3 3 2" xfId="44354"/>
    <cellStyle name="20% - Accent1 2 3 6 4 3 4" xfId="19798"/>
    <cellStyle name="20% - Accent1 2 3 6 4 3 4 2" xfId="52337"/>
    <cellStyle name="20% - Accent1 2 3 6 4 3 5" xfId="33413"/>
    <cellStyle name="20% - Accent1 2 3 6 4 4" xfId="12519"/>
    <cellStyle name="20% - Accent1 2 3 6 4 4 2" xfId="24320"/>
    <cellStyle name="20% - Accent1 2 3 6 4 4 2 2" xfId="44355"/>
    <cellStyle name="20% - Accent1 2 3 6 4 4 3" xfId="29570"/>
    <cellStyle name="20% - Accent1 2 3 6 4 4 3 2" xfId="44356"/>
    <cellStyle name="20% - Accent1 2 3 6 4 4 4" xfId="29571"/>
    <cellStyle name="20% - Accent1 2 3 6 4 4 4 2" xfId="52338"/>
    <cellStyle name="20% - Accent1 2 3 6 4 4 5" xfId="37935"/>
    <cellStyle name="20% - Accent1 2 3 6 4 5" xfId="12520"/>
    <cellStyle name="20% - Accent1 2 3 6 4 5 2" xfId="24321"/>
    <cellStyle name="20% - Accent1 2 3 6 4 5 2 2" xfId="52339"/>
    <cellStyle name="20% - Accent1 2 3 6 4 5 3" xfId="37936"/>
    <cellStyle name="20% - Accent1 2 3 6 4 6" xfId="6097"/>
    <cellStyle name="20% - Accent1 2 3 6 4 6 2" xfId="44357"/>
    <cellStyle name="20% - Accent1 2 3 6 4 7" xfId="17898"/>
    <cellStyle name="20% - Accent1 2 3 6 4 7 2" xfId="52340"/>
    <cellStyle name="20% - Accent1 2 3 6 4 8" xfId="31513"/>
    <cellStyle name="20% - Accent1 2 3 6 5" xfId="884"/>
    <cellStyle name="20% - Accent1 2 3 6 5 2" xfId="1221"/>
    <cellStyle name="20% - Accent1 2 3 6 5 2 2" xfId="4953"/>
    <cellStyle name="20% - Accent1 2 3 6 5 2 2 2" xfId="12521"/>
    <cellStyle name="20% - Accent1 2 3 6 5 2 2 2 2" xfId="24322"/>
    <cellStyle name="20% - Accent1 2 3 6 5 2 2 2 2 2" xfId="52341"/>
    <cellStyle name="20% - Accent1 2 3 6 5 2 2 2 3" xfId="37937"/>
    <cellStyle name="20% - Accent1 2 3 6 5 2 2 3" xfId="10406"/>
    <cellStyle name="20% - Accent1 2 3 6 5 2 2 3 2" xfId="44358"/>
    <cellStyle name="20% - Accent1 2 3 6 5 2 2 4" xfId="22207"/>
    <cellStyle name="20% - Accent1 2 3 6 5 2 2 4 2" xfId="52342"/>
    <cellStyle name="20% - Accent1 2 3 6 5 2 2 5" xfId="35822"/>
    <cellStyle name="20% - Accent1 2 3 6 5 2 3" xfId="12522"/>
    <cellStyle name="20% - Accent1 2 3 6 5 2 3 2" xfId="24323"/>
    <cellStyle name="20% - Accent1 2 3 6 5 2 3 2 2" xfId="44359"/>
    <cellStyle name="20% - Accent1 2 3 6 5 2 3 3" xfId="29572"/>
    <cellStyle name="20% - Accent1 2 3 6 5 2 3 3 2" xfId="44360"/>
    <cellStyle name="20% - Accent1 2 3 6 5 2 3 4" xfId="29573"/>
    <cellStyle name="20% - Accent1 2 3 6 5 2 3 4 2" xfId="52343"/>
    <cellStyle name="20% - Accent1 2 3 6 5 2 3 5" xfId="37938"/>
    <cellStyle name="20% - Accent1 2 3 6 5 2 4" xfId="12523"/>
    <cellStyle name="20% - Accent1 2 3 6 5 2 4 2" xfId="24324"/>
    <cellStyle name="20% - Accent1 2 3 6 5 2 4 2 2" xfId="52344"/>
    <cellStyle name="20% - Accent1 2 3 6 5 2 4 3" xfId="37939"/>
    <cellStyle name="20% - Accent1 2 3 6 5 2 5" xfId="6675"/>
    <cellStyle name="20% - Accent1 2 3 6 5 2 5 2" xfId="44361"/>
    <cellStyle name="20% - Accent1 2 3 6 5 2 6" xfId="18476"/>
    <cellStyle name="20% - Accent1 2 3 6 5 2 6 2" xfId="52345"/>
    <cellStyle name="20% - Accent1 2 3 6 5 2 7" xfId="32091"/>
    <cellStyle name="20% - Accent1 2 3 6 5 3" xfId="3112"/>
    <cellStyle name="20% - Accent1 2 3 6 5 3 2" xfId="12524"/>
    <cellStyle name="20% - Accent1 2 3 6 5 3 2 2" xfId="24325"/>
    <cellStyle name="20% - Accent1 2 3 6 5 3 2 2 2" xfId="52346"/>
    <cellStyle name="20% - Accent1 2 3 6 5 3 2 3" xfId="37940"/>
    <cellStyle name="20% - Accent1 2 3 6 5 3 3" xfId="8565"/>
    <cellStyle name="20% - Accent1 2 3 6 5 3 3 2" xfId="44362"/>
    <cellStyle name="20% - Accent1 2 3 6 5 3 4" xfId="20366"/>
    <cellStyle name="20% - Accent1 2 3 6 5 3 4 2" xfId="52347"/>
    <cellStyle name="20% - Accent1 2 3 6 5 3 5" xfId="33981"/>
    <cellStyle name="20% - Accent1 2 3 6 5 4" xfId="12525"/>
    <cellStyle name="20% - Accent1 2 3 6 5 4 2" xfId="24326"/>
    <cellStyle name="20% - Accent1 2 3 6 5 4 2 2" xfId="44363"/>
    <cellStyle name="20% - Accent1 2 3 6 5 4 3" xfId="29574"/>
    <cellStyle name="20% - Accent1 2 3 6 5 4 3 2" xfId="44364"/>
    <cellStyle name="20% - Accent1 2 3 6 5 4 4" xfId="29575"/>
    <cellStyle name="20% - Accent1 2 3 6 5 4 4 2" xfId="52348"/>
    <cellStyle name="20% - Accent1 2 3 6 5 4 5" xfId="37941"/>
    <cellStyle name="20% - Accent1 2 3 6 5 5" xfId="12526"/>
    <cellStyle name="20% - Accent1 2 3 6 5 5 2" xfId="24327"/>
    <cellStyle name="20% - Accent1 2 3 6 5 5 2 2" xfId="52349"/>
    <cellStyle name="20% - Accent1 2 3 6 5 5 3" xfId="37942"/>
    <cellStyle name="20% - Accent1 2 3 6 5 6" xfId="6338"/>
    <cellStyle name="20% - Accent1 2 3 6 5 6 2" xfId="44365"/>
    <cellStyle name="20% - Accent1 2 3 6 5 7" xfId="18139"/>
    <cellStyle name="20% - Accent1 2 3 6 5 7 2" xfId="52350"/>
    <cellStyle name="20% - Accent1 2 3 6 5 8" xfId="31754"/>
    <cellStyle name="20% - Accent1 2 3 6 6" xfId="1222"/>
    <cellStyle name="20% - Accent1 2 3 6 6 2" xfId="3817"/>
    <cellStyle name="20% - Accent1 2 3 6 6 2 2" xfId="12527"/>
    <cellStyle name="20% - Accent1 2 3 6 6 2 2 2" xfId="24328"/>
    <cellStyle name="20% - Accent1 2 3 6 6 2 2 2 2" xfId="52351"/>
    <cellStyle name="20% - Accent1 2 3 6 6 2 2 3" xfId="37943"/>
    <cellStyle name="20% - Accent1 2 3 6 6 2 3" xfId="9270"/>
    <cellStyle name="20% - Accent1 2 3 6 6 2 3 2" xfId="44366"/>
    <cellStyle name="20% - Accent1 2 3 6 6 2 4" xfId="21071"/>
    <cellStyle name="20% - Accent1 2 3 6 6 2 4 2" xfId="52352"/>
    <cellStyle name="20% - Accent1 2 3 6 6 2 5" xfId="34686"/>
    <cellStyle name="20% - Accent1 2 3 6 6 3" xfId="12528"/>
    <cellStyle name="20% - Accent1 2 3 6 6 3 2" xfId="24329"/>
    <cellStyle name="20% - Accent1 2 3 6 6 3 2 2" xfId="44367"/>
    <cellStyle name="20% - Accent1 2 3 6 6 3 3" xfId="29576"/>
    <cellStyle name="20% - Accent1 2 3 6 6 3 3 2" xfId="44368"/>
    <cellStyle name="20% - Accent1 2 3 6 6 3 4" xfId="29577"/>
    <cellStyle name="20% - Accent1 2 3 6 6 3 4 2" xfId="52353"/>
    <cellStyle name="20% - Accent1 2 3 6 6 3 5" xfId="37944"/>
    <cellStyle name="20% - Accent1 2 3 6 6 4" xfId="12529"/>
    <cellStyle name="20% - Accent1 2 3 6 6 4 2" xfId="24330"/>
    <cellStyle name="20% - Accent1 2 3 6 6 4 2 2" xfId="52354"/>
    <cellStyle name="20% - Accent1 2 3 6 6 4 3" xfId="37945"/>
    <cellStyle name="20% - Accent1 2 3 6 6 5" xfId="6676"/>
    <cellStyle name="20% - Accent1 2 3 6 6 5 2" xfId="44369"/>
    <cellStyle name="20% - Accent1 2 3 6 6 6" xfId="18477"/>
    <cellStyle name="20% - Accent1 2 3 6 6 6 2" xfId="52355"/>
    <cellStyle name="20% - Accent1 2 3 6 6 7" xfId="32092"/>
    <cellStyle name="20% - Accent1 2 3 6 7" xfId="3680"/>
    <cellStyle name="20% - Accent1 2 3 6 7 2" xfId="12530"/>
    <cellStyle name="20% - Accent1 2 3 6 7 2 2" xfId="24331"/>
    <cellStyle name="20% - Accent1 2 3 6 7 2 2 2" xfId="52356"/>
    <cellStyle name="20% - Accent1 2 3 6 7 2 3" xfId="37946"/>
    <cellStyle name="20% - Accent1 2 3 6 7 3" xfId="9133"/>
    <cellStyle name="20% - Accent1 2 3 6 7 3 2" xfId="44370"/>
    <cellStyle name="20% - Accent1 2 3 6 7 4" xfId="20934"/>
    <cellStyle name="20% - Accent1 2 3 6 7 4 2" xfId="52357"/>
    <cellStyle name="20% - Accent1 2 3 6 7 5" xfId="34549"/>
    <cellStyle name="20% - Accent1 2 3 6 8" xfId="1976"/>
    <cellStyle name="20% - Accent1 2 3 6 8 2" xfId="12531"/>
    <cellStyle name="20% - Accent1 2 3 6 8 2 2" xfId="24332"/>
    <cellStyle name="20% - Accent1 2 3 6 8 2 2 2" xfId="52358"/>
    <cellStyle name="20% - Accent1 2 3 6 8 2 3" xfId="37947"/>
    <cellStyle name="20% - Accent1 2 3 6 8 3" xfId="7429"/>
    <cellStyle name="20% - Accent1 2 3 6 8 3 2" xfId="44371"/>
    <cellStyle name="20% - Accent1 2 3 6 8 4" xfId="19230"/>
    <cellStyle name="20% - Accent1 2 3 6 8 4 2" xfId="52359"/>
    <cellStyle name="20% - Accent1 2 3 6 8 5" xfId="32845"/>
    <cellStyle name="20% - Accent1 2 3 6 9" xfId="12532"/>
    <cellStyle name="20% - Accent1 2 3 6 9 2" xfId="24333"/>
    <cellStyle name="20% - Accent1 2 3 6 9 2 2" xfId="52360"/>
    <cellStyle name="20% - Accent1 2 3 6 9 3" xfId="37948"/>
    <cellStyle name="20% - Accent1 2 3 7" xfId="146"/>
    <cellStyle name="20% - Accent1 2 3 7 10" xfId="31016"/>
    <cellStyle name="20% - Accent1 2 3 7 2" xfId="298"/>
    <cellStyle name="20% - Accent1 2 3 7 2 2" xfId="1223"/>
    <cellStyle name="20% - Accent1 2 3 7 2 2 2" xfId="4608"/>
    <cellStyle name="20% - Accent1 2 3 7 2 2 2 2" xfId="12533"/>
    <cellStyle name="20% - Accent1 2 3 7 2 2 2 2 2" xfId="24334"/>
    <cellStyle name="20% - Accent1 2 3 7 2 2 2 2 2 2" xfId="52361"/>
    <cellStyle name="20% - Accent1 2 3 7 2 2 2 2 3" xfId="37949"/>
    <cellStyle name="20% - Accent1 2 3 7 2 2 2 3" xfId="10061"/>
    <cellStyle name="20% - Accent1 2 3 7 2 2 2 3 2" xfId="44372"/>
    <cellStyle name="20% - Accent1 2 3 7 2 2 2 4" xfId="21862"/>
    <cellStyle name="20% - Accent1 2 3 7 2 2 2 4 2" xfId="52362"/>
    <cellStyle name="20% - Accent1 2 3 7 2 2 2 5" xfId="35477"/>
    <cellStyle name="20% - Accent1 2 3 7 2 2 3" xfId="2767"/>
    <cellStyle name="20% - Accent1 2 3 7 2 2 3 2" xfId="12534"/>
    <cellStyle name="20% - Accent1 2 3 7 2 2 3 2 2" xfId="24335"/>
    <cellStyle name="20% - Accent1 2 3 7 2 2 3 2 2 2" xfId="52363"/>
    <cellStyle name="20% - Accent1 2 3 7 2 2 3 2 3" xfId="37950"/>
    <cellStyle name="20% - Accent1 2 3 7 2 2 3 3" xfId="8220"/>
    <cellStyle name="20% - Accent1 2 3 7 2 2 3 3 2" xfId="44373"/>
    <cellStyle name="20% - Accent1 2 3 7 2 2 3 4" xfId="20021"/>
    <cellStyle name="20% - Accent1 2 3 7 2 2 3 4 2" xfId="52364"/>
    <cellStyle name="20% - Accent1 2 3 7 2 2 3 5" xfId="33636"/>
    <cellStyle name="20% - Accent1 2 3 7 2 2 4" xfId="12535"/>
    <cellStyle name="20% - Accent1 2 3 7 2 2 4 2" xfId="24336"/>
    <cellStyle name="20% - Accent1 2 3 7 2 2 4 2 2" xfId="52365"/>
    <cellStyle name="20% - Accent1 2 3 7 2 2 4 3" xfId="37951"/>
    <cellStyle name="20% - Accent1 2 3 7 2 2 5" xfId="6677"/>
    <cellStyle name="20% - Accent1 2 3 7 2 2 5 2" xfId="44374"/>
    <cellStyle name="20% - Accent1 2 3 7 2 2 6" xfId="18478"/>
    <cellStyle name="20% - Accent1 2 3 7 2 2 6 2" xfId="52366"/>
    <cellStyle name="20% - Accent1 2 3 7 2 2 7" xfId="32093"/>
    <cellStyle name="20% - Accent1 2 3 7 2 3" xfId="3335"/>
    <cellStyle name="20% - Accent1 2 3 7 2 3 2" xfId="5176"/>
    <cellStyle name="20% - Accent1 2 3 7 2 3 2 2" xfId="16646"/>
    <cellStyle name="20% - Accent1 2 3 7 2 3 2 2 2" xfId="28447"/>
    <cellStyle name="20% - Accent1 2 3 7 2 3 2 2 2 2" xfId="52367"/>
    <cellStyle name="20% - Accent1 2 3 7 2 3 2 2 3" xfId="42062"/>
    <cellStyle name="20% - Accent1 2 3 7 2 3 2 3" xfId="10629"/>
    <cellStyle name="20% - Accent1 2 3 7 2 3 2 3 2" xfId="52368"/>
    <cellStyle name="20% - Accent1 2 3 7 2 3 2 4" xfId="22430"/>
    <cellStyle name="20% - Accent1 2 3 7 2 3 2 4 2" xfId="52369"/>
    <cellStyle name="20% - Accent1 2 3 7 2 3 2 5" xfId="36045"/>
    <cellStyle name="20% - Accent1 2 3 7 2 3 3" xfId="12536"/>
    <cellStyle name="20% - Accent1 2 3 7 2 3 3 2" xfId="24337"/>
    <cellStyle name="20% - Accent1 2 3 7 2 3 3 2 2" xfId="52370"/>
    <cellStyle name="20% - Accent1 2 3 7 2 3 3 3" xfId="37952"/>
    <cellStyle name="20% - Accent1 2 3 7 2 3 4" xfId="8788"/>
    <cellStyle name="20% - Accent1 2 3 7 2 3 4 2" xfId="52371"/>
    <cellStyle name="20% - Accent1 2 3 7 2 3 5" xfId="20589"/>
    <cellStyle name="20% - Accent1 2 3 7 2 3 5 2" xfId="52372"/>
    <cellStyle name="20% - Accent1 2 3 7 2 3 6" xfId="34204"/>
    <cellStyle name="20% - Accent1 2 3 7 2 4" xfId="4040"/>
    <cellStyle name="20% - Accent1 2 3 7 2 4 2" xfId="12537"/>
    <cellStyle name="20% - Accent1 2 3 7 2 4 2 2" xfId="24338"/>
    <cellStyle name="20% - Accent1 2 3 7 2 4 2 2 2" xfId="52373"/>
    <cellStyle name="20% - Accent1 2 3 7 2 4 2 3" xfId="37953"/>
    <cellStyle name="20% - Accent1 2 3 7 2 4 3" xfId="9493"/>
    <cellStyle name="20% - Accent1 2 3 7 2 4 3 2" xfId="44375"/>
    <cellStyle name="20% - Accent1 2 3 7 2 4 4" xfId="21294"/>
    <cellStyle name="20% - Accent1 2 3 7 2 4 4 2" xfId="52374"/>
    <cellStyle name="20% - Accent1 2 3 7 2 4 5" xfId="34909"/>
    <cellStyle name="20% - Accent1 2 3 7 2 5" xfId="2199"/>
    <cellStyle name="20% - Accent1 2 3 7 2 5 2" xfId="17017"/>
    <cellStyle name="20% - Accent1 2 3 7 2 5 2 2" xfId="28818"/>
    <cellStyle name="20% - Accent1 2 3 7 2 5 2 2 2" xfId="52375"/>
    <cellStyle name="20% - Accent1 2 3 7 2 5 2 3" xfId="42433"/>
    <cellStyle name="20% - Accent1 2 3 7 2 5 3" xfId="7652"/>
    <cellStyle name="20% - Accent1 2 3 7 2 5 3 2" xfId="52376"/>
    <cellStyle name="20% - Accent1 2 3 7 2 5 4" xfId="19453"/>
    <cellStyle name="20% - Accent1 2 3 7 2 5 4 2" xfId="52377"/>
    <cellStyle name="20% - Accent1 2 3 7 2 5 5" xfId="33068"/>
    <cellStyle name="20% - Accent1 2 3 7 2 6" xfId="12538"/>
    <cellStyle name="20% - Accent1 2 3 7 2 6 2" xfId="24339"/>
    <cellStyle name="20% - Accent1 2 3 7 2 6 2 2" xfId="52378"/>
    <cellStyle name="20% - Accent1 2 3 7 2 6 3" xfId="37954"/>
    <cellStyle name="20% - Accent1 2 3 7 2 7" xfId="5752"/>
    <cellStyle name="20% - Accent1 2 3 7 2 7 2" xfId="52379"/>
    <cellStyle name="20% - Accent1 2 3 7 2 8" xfId="17553"/>
    <cellStyle name="20% - Accent1 2 3 7 2 8 2" xfId="52380"/>
    <cellStyle name="20% - Accent1 2 3 7 2 9" xfId="31168"/>
    <cellStyle name="20% - Accent1 2 3 7 3" xfId="714"/>
    <cellStyle name="20% - Accent1 2 3 7 3 2" xfId="1224"/>
    <cellStyle name="20% - Accent1 2 3 7 3 2 2" xfId="4456"/>
    <cellStyle name="20% - Accent1 2 3 7 3 2 2 2" xfId="12539"/>
    <cellStyle name="20% - Accent1 2 3 7 3 2 2 2 2" xfId="24340"/>
    <cellStyle name="20% - Accent1 2 3 7 3 2 2 2 2 2" xfId="52381"/>
    <cellStyle name="20% - Accent1 2 3 7 3 2 2 2 3" xfId="37955"/>
    <cellStyle name="20% - Accent1 2 3 7 3 2 2 3" xfId="9909"/>
    <cellStyle name="20% - Accent1 2 3 7 3 2 2 3 2" xfId="44376"/>
    <cellStyle name="20% - Accent1 2 3 7 3 2 2 4" xfId="21710"/>
    <cellStyle name="20% - Accent1 2 3 7 3 2 2 4 2" xfId="52382"/>
    <cellStyle name="20% - Accent1 2 3 7 3 2 2 5" xfId="35325"/>
    <cellStyle name="20% - Accent1 2 3 7 3 2 3" xfId="12540"/>
    <cellStyle name="20% - Accent1 2 3 7 3 2 3 2" xfId="24341"/>
    <cellStyle name="20% - Accent1 2 3 7 3 2 3 2 2" xfId="44377"/>
    <cellStyle name="20% - Accent1 2 3 7 3 2 3 3" xfId="29578"/>
    <cellStyle name="20% - Accent1 2 3 7 3 2 3 3 2" xfId="44378"/>
    <cellStyle name="20% - Accent1 2 3 7 3 2 3 4" xfId="29579"/>
    <cellStyle name="20% - Accent1 2 3 7 3 2 3 4 2" xfId="52383"/>
    <cellStyle name="20% - Accent1 2 3 7 3 2 3 5" xfId="37956"/>
    <cellStyle name="20% - Accent1 2 3 7 3 2 4" xfId="12541"/>
    <cellStyle name="20% - Accent1 2 3 7 3 2 4 2" xfId="24342"/>
    <cellStyle name="20% - Accent1 2 3 7 3 2 4 2 2" xfId="52384"/>
    <cellStyle name="20% - Accent1 2 3 7 3 2 4 3" xfId="37957"/>
    <cellStyle name="20% - Accent1 2 3 7 3 2 5" xfId="6678"/>
    <cellStyle name="20% - Accent1 2 3 7 3 2 5 2" xfId="44379"/>
    <cellStyle name="20% - Accent1 2 3 7 3 2 6" xfId="18479"/>
    <cellStyle name="20% - Accent1 2 3 7 3 2 6 2" xfId="52385"/>
    <cellStyle name="20% - Accent1 2 3 7 3 2 7" xfId="32094"/>
    <cellStyle name="20% - Accent1 2 3 7 3 3" xfId="2615"/>
    <cellStyle name="20% - Accent1 2 3 7 3 3 2" xfId="12542"/>
    <cellStyle name="20% - Accent1 2 3 7 3 3 2 2" xfId="24343"/>
    <cellStyle name="20% - Accent1 2 3 7 3 3 2 2 2" xfId="52386"/>
    <cellStyle name="20% - Accent1 2 3 7 3 3 2 3" xfId="37958"/>
    <cellStyle name="20% - Accent1 2 3 7 3 3 3" xfId="8068"/>
    <cellStyle name="20% - Accent1 2 3 7 3 3 3 2" xfId="44380"/>
    <cellStyle name="20% - Accent1 2 3 7 3 3 4" xfId="19869"/>
    <cellStyle name="20% - Accent1 2 3 7 3 3 4 2" xfId="52387"/>
    <cellStyle name="20% - Accent1 2 3 7 3 3 5" xfId="33484"/>
    <cellStyle name="20% - Accent1 2 3 7 3 4" xfId="12543"/>
    <cellStyle name="20% - Accent1 2 3 7 3 4 2" xfId="24344"/>
    <cellStyle name="20% - Accent1 2 3 7 3 4 2 2" xfId="44381"/>
    <cellStyle name="20% - Accent1 2 3 7 3 4 3" xfId="29580"/>
    <cellStyle name="20% - Accent1 2 3 7 3 4 3 2" xfId="44382"/>
    <cellStyle name="20% - Accent1 2 3 7 3 4 4" xfId="29581"/>
    <cellStyle name="20% - Accent1 2 3 7 3 4 4 2" xfId="52388"/>
    <cellStyle name="20% - Accent1 2 3 7 3 4 5" xfId="37959"/>
    <cellStyle name="20% - Accent1 2 3 7 3 5" xfId="12544"/>
    <cellStyle name="20% - Accent1 2 3 7 3 5 2" xfId="24345"/>
    <cellStyle name="20% - Accent1 2 3 7 3 5 2 2" xfId="52389"/>
    <cellStyle name="20% - Accent1 2 3 7 3 5 3" xfId="37960"/>
    <cellStyle name="20% - Accent1 2 3 7 3 6" xfId="6168"/>
    <cellStyle name="20% - Accent1 2 3 7 3 6 2" xfId="44383"/>
    <cellStyle name="20% - Accent1 2 3 7 3 7" xfId="17969"/>
    <cellStyle name="20% - Accent1 2 3 7 3 7 2" xfId="52390"/>
    <cellStyle name="20% - Accent1 2 3 7 3 8" xfId="31584"/>
    <cellStyle name="20% - Accent1 2 3 7 4" xfId="1225"/>
    <cellStyle name="20% - Accent1 2 3 7 4 2" xfId="5024"/>
    <cellStyle name="20% - Accent1 2 3 7 4 2 2" xfId="12545"/>
    <cellStyle name="20% - Accent1 2 3 7 4 2 2 2" xfId="24346"/>
    <cellStyle name="20% - Accent1 2 3 7 4 2 2 2 2" xfId="52391"/>
    <cellStyle name="20% - Accent1 2 3 7 4 2 2 3" xfId="37961"/>
    <cellStyle name="20% - Accent1 2 3 7 4 2 3" xfId="10477"/>
    <cellStyle name="20% - Accent1 2 3 7 4 2 3 2" xfId="44384"/>
    <cellStyle name="20% - Accent1 2 3 7 4 2 4" xfId="22278"/>
    <cellStyle name="20% - Accent1 2 3 7 4 2 4 2" xfId="52392"/>
    <cellStyle name="20% - Accent1 2 3 7 4 2 5" xfId="35893"/>
    <cellStyle name="20% - Accent1 2 3 7 4 3" xfId="3183"/>
    <cellStyle name="20% - Accent1 2 3 7 4 3 2" xfId="12546"/>
    <cellStyle name="20% - Accent1 2 3 7 4 3 2 2" xfId="24347"/>
    <cellStyle name="20% - Accent1 2 3 7 4 3 2 2 2" xfId="52393"/>
    <cellStyle name="20% - Accent1 2 3 7 4 3 2 3" xfId="37962"/>
    <cellStyle name="20% - Accent1 2 3 7 4 3 3" xfId="8636"/>
    <cellStyle name="20% - Accent1 2 3 7 4 3 3 2" xfId="44385"/>
    <cellStyle name="20% - Accent1 2 3 7 4 3 4" xfId="20437"/>
    <cellStyle name="20% - Accent1 2 3 7 4 3 4 2" xfId="52394"/>
    <cellStyle name="20% - Accent1 2 3 7 4 3 5" xfId="34052"/>
    <cellStyle name="20% - Accent1 2 3 7 4 4" xfId="12547"/>
    <cellStyle name="20% - Accent1 2 3 7 4 4 2" xfId="24348"/>
    <cellStyle name="20% - Accent1 2 3 7 4 4 2 2" xfId="52395"/>
    <cellStyle name="20% - Accent1 2 3 7 4 4 3" xfId="37963"/>
    <cellStyle name="20% - Accent1 2 3 7 4 5" xfId="6679"/>
    <cellStyle name="20% - Accent1 2 3 7 4 5 2" xfId="44386"/>
    <cellStyle name="20% - Accent1 2 3 7 4 6" xfId="18480"/>
    <cellStyle name="20% - Accent1 2 3 7 4 6 2" xfId="52396"/>
    <cellStyle name="20% - Accent1 2 3 7 4 7" xfId="32095"/>
    <cellStyle name="20% - Accent1 2 3 7 5" xfId="3888"/>
    <cellStyle name="20% - Accent1 2 3 7 5 2" xfId="12548"/>
    <cellStyle name="20% - Accent1 2 3 7 5 2 2" xfId="24349"/>
    <cellStyle name="20% - Accent1 2 3 7 5 2 2 2" xfId="52397"/>
    <cellStyle name="20% - Accent1 2 3 7 5 2 3" xfId="37964"/>
    <cellStyle name="20% - Accent1 2 3 7 5 3" xfId="9341"/>
    <cellStyle name="20% - Accent1 2 3 7 5 3 2" xfId="44387"/>
    <cellStyle name="20% - Accent1 2 3 7 5 4" xfId="21142"/>
    <cellStyle name="20% - Accent1 2 3 7 5 4 2" xfId="52398"/>
    <cellStyle name="20% - Accent1 2 3 7 5 5" xfId="34757"/>
    <cellStyle name="20% - Accent1 2 3 7 6" xfId="2047"/>
    <cellStyle name="20% - Accent1 2 3 7 6 2" xfId="12549"/>
    <cellStyle name="20% - Accent1 2 3 7 6 2 2" xfId="24350"/>
    <cellStyle name="20% - Accent1 2 3 7 6 2 2 2" xfId="52399"/>
    <cellStyle name="20% - Accent1 2 3 7 6 2 3" xfId="37965"/>
    <cellStyle name="20% - Accent1 2 3 7 6 3" xfId="7500"/>
    <cellStyle name="20% - Accent1 2 3 7 6 3 2" xfId="44388"/>
    <cellStyle name="20% - Accent1 2 3 7 6 4" xfId="19301"/>
    <cellStyle name="20% - Accent1 2 3 7 6 4 2" xfId="52400"/>
    <cellStyle name="20% - Accent1 2 3 7 6 5" xfId="32916"/>
    <cellStyle name="20% - Accent1 2 3 7 7" xfId="12550"/>
    <cellStyle name="20% - Accent1 2 3 7 7 2" xfId="24351"/>
    <cellStyle name="20% - Accent1 2 3 7 7 2 2" xfId="52401"/>
    <cellStyle name="20% - Accent1 2 3 7 7 3" xfId="37966"/>
    <cellStyle name="20% - Accent1 2 3 7 8" xfId="5600"/>
    <cellStyle name="20% - Accent1 2 3 7 8 2" xfId="44389"/>
    <cellStyle name="20% - Accent1 2 3 7 9" xfId="17401"/>
    <cellStyle name="20% - Accent1 2 3 7 9 2" xfId="52402"/>
    <cellStyle name="20% - Accent1 2 3 8" xfId="435"/>
    <cellStyle name="20% - Accent1 2 3 8 2" xfId="1226"/>
    <cellStyle name="20% - Accent1 2 3 8 2 2" xfId="4745"/>
    <cellStyle name="20% - Accent1 2 3 8 2 2 2" xfId="12551"/>
    <cellStyle name="20% - Accent1 2 3 8 2 2 2 2" xfId="24352"/>
    <cellStyle name="20% - Accent1 2 3 8 2 2 2 2 2" xfId="52403"/>
    <cellStyle name="20% - Accent1 2 3 8 2 2 2 3" xfId="37967"/>
    <cellStyle name="20% - Accent1 2 3 8 2 2 3" xfId="10198"/>
    <cellStyle name="20% - Accent1 2 3 8 2 2 3 2" xfId="44390"/>
    <cellStyle name="20% - Accent1 2 3 8 2 2 4" xfId="21999"/>
    <cellStyle name="20% - Accent1 2 3 8 2 2 4 2" xfId="52404"/>
    <cellStyle name="20% - Accent1 2 3 8 2 2 5" xfId="35614"/>
    <cellStyle name="20% - Accent1 2 3 8 2 3" xfId="2904"/>
    <cellStyle name="20% - Accent1 2 3 8 2 3 2" xfId="12552"/>
    <cellStyle name="20% - Accent1 2 3 8 2 3 2 2" xfId="24353"/>
    <cellStyle name="20% - Accent1 2 3 8 2 3 2 2 2" xfId="52405"/>
    <cellStyle name="20% - Accent1 2 3 8 2 3 2 3" xfId="37968"/>
    <cellStyle name="20% - Accent1 2 3 8 2 3 3" xfId="8357"/>
    <cellStyle name="20% - Accent1 2 3 8 2 3 3 2" xfId="44391"/>
    <cellStyle name="20% - Accent1 2 3 8 2 3 4" xfId="20158"/>
    <cellStyle name="20% - Accent1 2 3 8 2 3 4 2" xfId="52406"/>
    <cellStyle name="20% - Accent1 2 3 8 2 3 5" xfId="33773"/>
    <cellStyle name="20% - Accent1 2 3 8 2 4" xfId="12553"/>
    <cellStyle name="20% - Accent1 2 3 8 2 4 2" xfId="24354"/>
    <cellStyle name="20% - Accent1 2 3 8 2 4 2 2" xfId="52407"/>
    <cellStyle name="20% - Accent1 2 3 8 2 4 3" xfId="37969"/>
    <cellStyle name="20% - Accent1 2 3 8 2 5" xfId="6680"/>
    <cellStyle name="20% - Accent1 2 3 8 2 5 2" xfId="44392"/>
    <cellStyle name="20% - Accent1 2 3 8 2 6" xfId="18481"/>
    <cellStyle name="20% - Accent1 2 3 8 2 6 2" xfId="52408"/>
    <cellStyle name="20% - Accent1 2 3 8 2 7" xfId="32096"/>
    <cellStyle name="20% - Accent1 2 3 8 3" xfId="3472"/>
    <cellStyle name="20% - Accent1 2 3 8 3 2" xfId="5313"/>
    <cellStyle name="20% - Accent1 2 3 8 3 2 2" xfId="16783"/>
    <cellStyle name="20% - Accent1 2 3 8 3 2 2 2" xfId="28584"/>
    <cellStyle name="20% - Accent1 2 3 8 3 2 2 2 2" xfId="52409"/>
    <cellStyle name="20% - Accent1 2 3 8 3 2 2 3" xfId="42199"/>
    <cellStyle name="20% - Accent1 2 3 8 3 2 3" xfId="10766"/>
    <cellStyle name="20% - Accent1 2 3 8 3 2 3 2" xfId="52410"/>
    <cellStyle name="20% - Accent1 2 3 8 3 2 4" xfId="22567"/>
    <cellStyle name="20% - Accent1 2 3 8 3 2 4 2" xfId="52411"/>
    <cellStyle name="20% - Accent1 2 3 8 3 2 5" xfId="36182"/>
    <cellStyle name="20% - Accent1 2 3 8 3 3" xfId="12554"/>
    <cellStyle name="20% - Accent1 2 3 8 3 3 2" xfId="24355"/>
    <cellStyle name="20% - Accent1 2 3 8 3 3 2 2" xfId="52412"/>
    <cellStyle name="20% - Accent1 2 3 8 3 3 3" xfId="37970"/>
    <cellStyle name="20% - Accent1 2 3 8 3 4" xfId="8925"/>
    <cellStyle name="20% - Accent1 2 3 8 3 4 2" xfId="52413"/>
    <cellStyle name="20% - Accent1 2 3 8 3 5" xfId="20726"/>
    <cellStyle name="20% - Accent1 2 3 8 3 5 2" xfId="52414"/>
    <cellStyle name="20% - Accent1 2 3 8 3 6" xfId="34341"/>
    <cellStyle name="20% - Accent1 2 3 8 4" xfId="4177"/>
    <cellStyle name="20% - Accent1 2 3 8 4 2" xfId="12555"/>
    <cellStyle name="20% - Accent1 2 3 8 4 2 2" xfId="24356"/>
    <cellStyle name="20% - Accent1 2 3 8 4 2 2 2" xfId="52415"/>
    <cellStyle name="20% - Accent1 2 3 8 4 2 3" xfId="37971"/>
    <cellStyle name="20% - Accent1 2 3 8 4 3" xfId="9630"/>
    <cellStyle name="20% - Accent1 2 3 8 4 3 2" xfId="44393"/>
    <cellStyle name="20% - Accent1 2 3 8 4 4" xfId="21431"/>
    <cellStyle name="20% - Accent1 2 3 8 4 4 2" xfId="52416"/>
    <cellStyle name="20% - Accent1 2 3 8 4 5" xfId="35046"/>
    <cellStyle name="20% - Accent1 2 3 8 5" xfId="2336"/>
    <cellStyle name="20% - Accent1 2 3 8 5 2" xfId="17018"/>
    <cellStyle name="20% - Accent1 2 3 8 5 2 2" xfId="28819"/>
    <cellStyle name="20% - Accent1 2 3 8 5 2 2 2" xfId="52417"/>
    <cellStyle name="20% - Accent1 2 3 8 5 2 3" xfId="42434"/>
    <cellStyle name="20% - Accent1 2 3 8 5 3" xfId="7789"/>
    <cellStyle name="20% - Accent1 2 3 8 5 3 2" xfId="52418"/>
    <cellStyle name="20% - Accent1 2 3 8 5 4" xfId="19590"/>
    <cellStyle name="20% - Accent1 2 3 8 5 4 2" xfId="52419"/>
    <cellStyle name="20% - Accent1 2 3 8 5 5" xfId="33205"/>
    <cellStyle name="20% - Accent1 2 3 8 6" xfId="12556"/>
    <cellStyle name="20% - Accent1 2 3 8 6 2" xfId="24357"/>
    <cellStyle name="20% - Accent1 2 3 8 6 2 2" xfId="52420"/>
    <cellStyle name="20% - Accent1 2 3 8 6 3" xfId="37972"/>
    <cellStyle name="20% - Accent1 2 3 8 7" xfId="5889"/>
    <cellStyle name="20% - Accent1 2 3 8 7 2" xfId="52421"/>
    <cellStyle name="20% - Accent1 2 3 8 8" xfId="17690"/>
    <cellStyle name="20% - Accent1 2 3 8 8 2" xfId="52422"/>
    <cellStyle name="20% - Accent1 2 3 8 9" xfId="31305"/>
    <cellStyle name="20% - Accent1 2 3 9" xfId="249"/>
    <cellStyle name="20% - Accent1 2 3 9 2" xfId="1227"/>
    <cellStyle name="20% - Accent1 2 3 9 2 2" xfId="4559"/>
    <cellStyle name="20% - Accent1 2 3 9 2 2 2" xfId="12557"/>
    <cellStyle name="20% - Accent1 2 3 9 2 2 2 2" xfId="24358"/>
    <cellStyle name="20% - Accent1 2 3 9 2 2 2 2 2" xfId="52423"/>
    <cellStyle name="20% - Accent1 2 3 9 2 2 2 3" xfId="37973"/>
    <cellStyle name="20% - Accent1 2 3 9 2 2 3" xfId="10012"/>
    <cellStyle name="20% - Accent1 2 3 9 2 2 3 2" xfId="44394"/>
    <cellStyle name="20% - Accent1 2 3 9 2 2 4" xfId="21813"/>
    <cellStyle name="20% - Accent1 2 3 9 2 2 4 2" xfId="52424"/>
    <cellStyle name="20% - Accent1 2 3 9 2 2 5" xfId="35428"/>
    <cellStyle name="20% - Accent1 2 3 9 2 3" xfId="2718"/>
    <cellStyle name="20% - Accent1 2 3 9 2 3 2" xfId="12558"/>
    <cellStyle name="20% - Accent1 2 3 9 2 3 2 2" xfId="24359"/>
    <cellStyle name="20% - Accent1 2 3 9 2 3 2 2 2" xfId="52425"/>
    <cellStyle name="20% - Accent1 2 3 9 2 3 2 3" xfId="37974"/>
    <cellStyle name="20% - Accent1 2 3 9 2 3 3" xfId="8171"/>
    <cellStyle name="20% - Accent1 2 3 9 2 3 3 2" xfId="44395"/>
    <cellStyle name="20% - Accent1 2 3 9 2 3 4" xfId="19972"/>
    <cellStyle name="20% - Accent1 2 3 9 2 3 4 2" xfId="52426"/>
    <cellStyle name="20% - Accent1 2 3 9 2 3 5" xfId="33587"/>
    <cellStyle name="20% - Accent1 2 3 9 2 4" xfId="12559"/>
    <cellStyle name="20% - Accent1 2 3 9 2 4 2" xfId="24360"/>
    <cellStyle name="20% - Accent1 2 3 9 2 4 2 2" xfId="52427"/>
    <cellStyle name="20% - Accent1 2 3 9 2 4 3" xfId="37975"/>
    <cellStyle name="20% - Accent1 2 3 9 2 5" xfId="6681"/>
    <cellStyle name="20% - Accent1 2 3 9 2 5 2" xfId="44396"/>
    <cellStyle name="20% - Accent1 2 3 9 2 6" xfId="18482"/>
    <cellStyle name="20% - Accent1 2 3 9 2 6 2" xfId="52428"/>
    <cellStyle name="20% - Accent1 2 3 9 2 7" xfId="32097"/>
    <cellStyle name="20% - Accent1 2 3 9 3" xfId="3286"/>
    <cellStyle name="20% - Accent1 2 3 9 3 2" xfId="5127"/>
    <cellStyle name="20% - Accent1 2 3 9 3 2 2" xfId="16597"/>
    <cellStyle name="20% - Accent1 2 3 9 3 2 2 2" xfId="28398"/>
    <cellStyle name="20% - Accent1 2 3 9 3 2 2 2 2" xfId="52429"/>
    <cellStyle name="20% - Accent1 2 3 9 3 2 2 3" xfId="42013"/>
    <cellStyle name="20% - Accent1 2 3 9 3 2 3" xfId="10580"/>
    <cellStyle name="20% - Accent1 2 3 9 3 2 3 2" xfId="52430"/>
    <cellStyle name="20% - Accent1 2 3 9 3 2 4" xfId="22381"/>
    <cellStyle name="20% - Accent1 2 3 9 3 2 4 2" xfId="52431"/>
    <cellStyle name="20% - Accent1 2 3 9 3 2 5" xfId="35996"/>
    <cellStyle name="20% - Accent1 2 3 9 3 3" xfId="12560"/>
    <cellStyle name="20% - Accent1 2 3 9 3 3 2" xfId="24361"/>
    <cellStyle name="20% - Accent1 2 3 9 3 3 2 2" xfId="52432"/>
    <cellStyle name="20% - Accent1 2 3 9 3 3 3" xfId="37976"/>
    <cellStyle name="20% - Accent1 2 3 9 3 4" xfId="8739"/>
    <cellStyle name="20% - Accent1 2 3 9 3 4 2" xfId="52433"/>
    <cellStyle name="20% - Accent1 2 3 9 3 5" xfId="20540"/>
    <cellStyle name="20% - Accent1 2 3 9 3 5 2" xfId="52434"/>
    <cellStyle name="20% - Accent1 2 3 9 3 6" xfId="34155"/>
    <cellStyle name="20% - Accent1 2 3 9 4" xfId="3991"/>
    <cellStyle name="20% - Accent1 2 3 9 4 2" xfId="12561"/>
    <cellStyle name="20% - Accent1 2 3 9 4 2 2" xfId="24362"/>
    <cellStyle name="20% - Accent1 2 3 9 4 2 2 2" xfId="52435"/>
    <cellStyle name="20% - Accent1 2 3 9 4 2 3" xfId="37977"/>
    <cellStyle name="20% - Accent1 2 3 9 4 3" xfId="9444"/>
    <cellStyle name="20% - Accent1 2 3 9 4 3 2" xfId="44397"/>
    <cellStyle name="20% - Accent1 2 3 9 4 4" xfId="21245"/>
    <cellStyle name="20% - Accent1 2 3 9 4 4 2" xfId="52436"/>
    <cellStyle name="20% - Accent1 2 3 9 4 5" xfId="34860"/>
    <cellStyle name="20% - Accent1 2 3 9 5" xfId="2150"/>
    <cellStyle name="20% - Accent1 2 3 9 5 2" xfId="17019"/>
    <cellStyle name="20% - Accent1 2 3 9 5 2 2" xfId="28820"/>
    <cellStyle name="20% - Accent1 2 3 9 5 2 2 2" xfId="52437"/>
    <cellStyle name="20% - Accent1 2 3 9 5 2 3" xfId="42435"/>
    <cellStyle name="20% - Accent1 2 3 9 5 3" xfId="7603"/>
    <cellStyle name="20% - Accent1 2 3 9 5 3 2" xfId="52438"/>
    <cellStyle name="20% - Accent1 2 3 9 5 4" xfId="19404"/>
    <cellStyle name="20% - Accent1 2 3 9 5 4 2" xfId="52439"/>
    <cellStyle name="20% - Accent1 2 3 9 5 5" xfId="33019"/>
    <cellStyle name="20% - Accent1 2 3 9 6" xfId="12562"/>
    <cellStyle name="20% - Accent1 2 3 9 6 2" xfId="24363"/>
    <cellStyle name="20% - Accent1 2 3 9 6 2 2" xfId="52440"/>
    <cellStyle name="20% - Accent1 2 3 9 6 3" xfId="37978"/>
    <cellStyle name="20% - Accent1 2 3 9 7" xfId="5703"/>
    <cellStyle name="20% - Accent1 2 3 9 7 2" xfId="52441"/>
    <cellStyle name="20% - Accent1 2 3 9 8" xfId="17504"/>
    <cellStyle name="20% - Accent1 2 3 9 8 2" xfId="52442"/>
    <cellStyle name="20% - Accent1 2 3 9 9" xfId="31119"/>
    <cellStyle name="20% - Accent1 2 4" xfId="11"/>
    <cellStyle name="20% - Accent1 2 4 10" xfId="579"/>
    <cellStyle name="20% - Accent1 2 4 10 2" xfId="1228"/>
    <cellStyle name="20% - Accent1 2 4 10 2 2" xfId="4321"/>
    <cellStyle name="20% - Accent1 2 4 10 2 2 2" xfId="12563"/>
    <cellStyle name="20% - Accent1 2 4 10 2 2 2 2" xfId="24364"/>
    <cellStyle name="20% - Accent1 2 4 10 2 2 2 2 2" xfId="52443"/>
    <cellStyle name="20% - Accent1 2 4 10 2 2 2 3" xfId="37979"/>
    <cellStyle name="20% - Accent1 2 4 10 2 2 3" xfId="9774"/>
    <cellStyle name="20% - Accent1 2 4 10 2 2 3 2" xfId="44398"/>
    <cellStyle name="20% - Accent1 2 4 10 2 2 4" xfId="21575"/>
    <cellStyle name="20% - Accent1 2 4 10 2 2 4 2" xfId="52444"/>
    <cellStyle name="20% - Accent1 2 4 10 2 2 5" xfId="35190"/>
    <cellStyle name="20% - Accent1 2 4 10 2 3" xfId="12564"/>
    <cellStyle name="20% - Accent1 2 4 10 2 3 2" xfId="24365"/>
    <cellStyle name="20% - Accent1 2 4 10 2 3 2 2" xfId="44399"/>
    <cellStyle name="20% - Accent1 2 4 10 2 3 3" xfId="29582"/>
    <cellStyle name="20% - Accent1 2 4 10 2 3 3 2" xfId="44400"/>
    <cellStyle name="20% - Accent1 2 4 10 2 3 4" xfId="29583"/>
    <cellStyle name="20% - Accent1 2 4 10 2 3 4 2" xfId="52445"/>
    <cellStyle name="20% - Accent1 2 4 10 2 3 5" xfId="37980"/>
    <cellStyle name="20% - Accent1 2 4 10 2 4" xfId="12565"/>
    <cellStyle name="20% - Accent1 2 4 10 2 4 2" xfId="24366"/>
    <cellStyle name="20% - Accent1 2 4 10 2 4 2 2" xfId="52446"/>
    <cellStyle name="20% - Accent1 2 4 10 2 4 3" xfId="37981"/>
    <cellStyle name="20% - Accent1 2 4 10 2 5" xfId="6682"/>
    <cellStyle name="20% - Accent1 2 4 10 2 5 2" xfId="44401"/>
    <cellStyle name="20% - Accent1 2 4 10 2 6" xfId="18483"/>
    <cellStyle name="20% - Accent1 2 4 10 2 6 2" xfId="52447"/>
    <cellStyle name="20% - Accent1 2 4 10 2 7" xfId="32098"/>
    <cellStyle name="20% - Accent1 2 4 10 3" xfId="2480"/>
    <cellStyle name="20% - Accent1 2 4 10 3 2" xfId="12566"/>
    <cellStyle name="20% - Accent1 2 4 10 3 2 2" xfId="24367"/>
    <cellStyle name="20% - Accent1 2 4 10 3 2 2 2" xfId="52448"/>
    <cellStyle name="20% - Accent1 2 4 10 3 2 3" xfId="37982"/>
    <cellStyle name="20% - Accent1 2 4 10 3 3" xfId="7933"/>
    <cellStyle name="20% - Accent1 2 4 10 3 3 2" xfId="44402"/>
    <cellStyle name="20% - Accent1 2 4 10 3 4" xfId="19734"/>
    <cellStyle name="20% - Accent1 2 4 10 3 4 2" xfId="52449"/>
    <cellStyle name="20% - Accent1 2 4 10 3 5" xfId="33349"/>
    <cellStyle name="20% - Accent1 2 4 10 4" xfId="12567"/>
    <cellStyle name="20% - Accent1 2 4 10 4 2" xfId="24368"/>
    <cellStyle name="20% - Accent1 2 4 10 4 2 2" xfId="44403"/>
    <cellStyle name="20% - Accent1 2 4 10 4 3" xfId="29584"/>
    <cellStyle name="20% - Accent1 2 4 10 4 3 2" xfId="44404"/>
    <cellStyle name="20% - Accent1 2 4 10 4 4" xfId="29585"/>
    <cellStyle name="20% - Accent1 2 4 10 4 4 2" xfId="52450"/>
    <cellStyle name="20% - Accent1 2 4 10 4 5" xfId="37983"/>
    <cellStyle name="20% - Accent1 2 4 10 5" xfId="12568"/>
    <cellStyle name="20% - Accent1 2 4 10 5 2" xfId="24369"/>
    <cellStyle name="20% - Accent1 2 4 10 5 2 2" xfId="52451"/>
    <cellStyle name="20% - Accent1 2 4 10 5 3" xfId="37984"/>
    <cellStyle name="20% - Accent1 2 4 10 6" xfId="6033"/>
    <cellStyle name="20% - Accent1 2 4 10 6 2" xfId="44405"/>
    <cellStyle name="20% - Accent1 2 4 10 7" xfId="17834"/>
    <cellStyle name="20% - Accent1 2 4 10 7 2" xfId="52452"/>
    <cellStyle name="20% - Accent1 2 4 10 8" xfId="31449"/>
    <cellStyle name="20% - Accent1 2 4 11" xfId="820"/>
    <cellStyle name="20% - Accent1 2 4 11 2" xfId="1229"/>
    <cellStyle name="20% - Accent1 2 4 11 2 2" xfId="4889"/>
    <cellStyle name="20% - Accent1 2 4 11 2 2 2" xfId="12569"/>
    <cellStyle name="20% - Accent1 2 4 11 2 2 2 2" xfId="24370"/>
    <cellStyle name="20% - Accent1 2 4 11 2 2 2 2 2" xfId="52453"/>
    <cellStyle name="20% - Accent1 2 4 11 2 2 2 3" xfId="37985"/>
    <cellStyle name="20% - Accent1 2 4 11 2 2 3" xfId="10342"/>
    <cellStyle name="20% - Accent1 2 4 11 2 2 3 2" xfId="44406"/>
    <cellStyle name="20% - Accent1 2 4 11 2 2 4" xfId="22143"/>
    <cellStyle name="20% - Accent1 2 4 11 2 2 4 2" xfId="52454"/>
    <cellStyle name="20% - Accent1 2 4 11 2 2 5" xfId="35758"/>
    <cellStyle name="20% - Accent1 2 4 11 2 3" xfId="12570"/>
    <cellStyle name="20% - Accent1 2 4 11 2 3 2" xfId="24371"/>
    <cellStyle name="20% - Accent1 2 4 11 2 3 2 2" xfId="44407"/>
    <cellStyle name="20% - Accent1 2 4 11 2 3 3" xfId="29586"/>
    <cellStyle name="20% - Accent1 2 4 11 2 3 3 2" xfId="44408"/>
    <cellStyle name="20% - Accent1 2 4 11 2 3 4" xfId="29587"/>
    <cellStyle name="20% - Accent1 2 4 11 2 3 4 2" xfId="52455"/>
    <cellStyle name="20% - Accent1 2 4 11 2 3 5" xfId="37986"/>
    <cellStyle name="20% - Accent1 2 4 11 2 4" xfId="12571"/>
    <cellStyle name="20% - Accent1 2 4 11 2 4 2" xfId="24372"/>
    <cellStyle name="20% - Accent1 2 4 11 2 4 2 2" xfId="52456"/>
    <cellStyle name="20% - Accent1 2 4 11 2 4 3" xfId="37987"/>
    <cellStyle name="20% - Accent1 2 4 11 2 5" xfId="6683"/>
    <cellStyle name="20% - Accent1 2 4 11 2 5 2" xfId="44409"/>
    <cellStyle name="20% - Accent1 2 4 11 2 6" xfId="18484"/>
    <cellStyle name="20% - Accent1 2 4 11 2 6 2" xfId="52457"/>
    <cellStyle name="20% - Accent1 2 4 11 2 7" xfId="32099"/>
    <cellStyle name="20% - Accent1 2 4 11 3" xfId="3048"/>
    <cellStyle name="20% - Accent1 2 4 11 3 2" xfId="12572"/>
    <cellStyle name="20% - Accent1 2 4 11 3 2 2" xfId="24373"/>
    <cellStyle name="20% - Accent1 2 4 11 3 2 2 2" xfId="52458"/>
    <cellStyle name="20% - Accent1 2 4 11 3 2 3" xfId="37988"/>
    <cellStyle name="20% - Accent1 2 4 11 3 3" xfId="8501"/>
    <cellStyle name="20% - Accent1 2 4 11 3 3 2" xfId="44410"/>
    <cellStyle name="20% - Accent1 2 4 11 3 4" xfId="20302"/>
    <cellStyle name="20% - Accent1 2 4 11 3 4 2" xfId="52459"/>
    <cellStyle name="20% - Accent1 2 4 11 3 5" xfId="33917"/>
    <cellStyle name="20% - Accent1 2 4 11 4" xfId="12573"/>
    <cellStyle name="20% - Accent1 2 4 11 4 2" xfId="24374"/>
    <cellStyle name="20% - Accent1 2 4 11 4 2 2" xfId="44411"/>
    <cellStyle name="20% - Accent1 2 4 11 4 3" xfId="29588"/>
    <cellStyle name="20% - Accent1 2 4 11 4 3 2" xfId="44412"/>
    <cellStyle name="20% - Accent1 2 4 11 4 4" xfId="29589"/>
    <cellStyle name="20% - Accent1 2 4 11 4 4 2" xfId="52460"/>
    <cellStyle name="20% - Accent1 2 4 11 4 5" xfId="37989"/>
    <cellStyle name="20% - Accent1 2 4 11 5" xfId="12574"/>
    <cellStyle name="20% - Accent1 2 4 11 5 2" xfId="24375"/>
    <cellStyle name="20% - Accent1 2 4 11 5 2 2" xfId="52461"/>
    <cellStyle name="20% - Accent1 2 4 11 5 3" xfId="37990"/>
    <cellStyle name="20% - Accent1 2 4 11 6" xfId="6274"/>
    <cellStyle name="20% - Accent1 2 4 11 6 2" xfId="44413"/>
    <cellStyle name="20% - Accent1 2 4 11 7" xfId="18075"/>
    <cellStyle name="20% - Accent1 2 4 11 7 2" xfId="52462"/>
    <cellStyle name="20% - Accent1 2 4 11 8" xfId="31690"/>
    <cellStyle name="20% - Accent1 2 4 12" xfId="1230"/>
    <cellStyle name="20% - Accent1 2 4 12 2" xfId="3753"/>
    <cellStyle name="20% - Accent1 2 4 12 2 2" xfId="12575"/>
    <cellStyle name="20% - Accent1 2 4 12 2 2 2" xfId="24376"/>
    <cellStyle name="20% - Accent1 2 4 12 2 2 2 2" xfId="52463"/>
    <cellStyle name="20% - Accent1 2 4 12 2 2 3" xfId="37991"/>
    <cellStyle name="20% - Accent1 2 4 12 2 3" xfId="9206"/>
    <cellStyle name="20% - Accent1 2 4 12 2 3 2" xfId="44414"/>
    <cellStyle name="20% - Accent1 2 4 12 2 4" xfId="21007"/>
    <cellStyle name="20% - Accent1 2 4 12 2 4 2" xfId="52464"/>
    <cellStyle name="20% - Accent1 2 4 12 2 5" xfId="34622"/>
    <cellStyle name="20% - Accent1 2 4 12 3" xfId="12576"/>
    <cellStyle name="20% - Accent1 2 4 12 3 2" xfId="24377"/>
    <cellStyle name="20% - Accent1 2 4 12 3 2 2" xfId="44415"/>
    <cellStyle name="20% - Accent1 2 4 12 3 3" xfId="29590"/>
    <cellStyle name="20% - Accent1 2 4 12 3 3 2" xfId="44416"/>
    <cellStyle name="20% - Accent1 2 4 12 3 4" xfId="29591"/>
    <cellStyle name="20% - Accent1 2 4 12 3 4 2" xfId="52465"/>
    <cellStyle name="20% - Accent1 2 4 12 3 5" xfId="37992"/>
    <cellStyle name="20% - Accent1 2 4 12 4" xfId="12577"/>
    <cellStyle name="20% - Accent1 2 4 12 4 2" xfId="24378"/>
    <cellStyle name="20% - Accent1 2 4 12 4 2 2" xfId="52466"/>
    <cellStyle name="20% - Accent1 2 4 12 4 3" xfId="37993"/>
    <cellStyle name="20% - Accent1 2 4 12 5" xfId="6684"/>
    <cellStyle name="20% - Accent1 2 4 12 5 2" xfId="44417"/>
    <cellStyle name="20% - Accent1 2 4 12 6" xfId="18485"/>
    <cellStyle name="20% - Accent1 2 4 12 6 2" xfId="52467"/>
    <cellStyle name="20% - Accent1 2 4 12 7" xfId="32100"/>
    <cellStyle name="20% - Accent1 2 4 13" xfId="3616"/>
    <cellStyle name="20% - Accent1 2 4 13 2" xfId="12578"/>
    <cellStyle name="20% - Accent1 2 4 13 2 2" xfId="24379"/>
    <cellStyle name="20% - Accent1 2 4 13 2 2 2" xfId="52468"/>
    <cellStyle name="20% - Accent1 2 4 13 2 3" xfId="37994"/>
    <cellStyle name="20% - Accent1 2 4 13 3" xfId="9069"/>
    <cellStyle name="20% - Accent1 2 4 13 3 2" xfId="44418"/>
    <cellStyle name="20% - Accent1 2 4 13 4" xfId="20870"/>
    <cellStyle name="20% - Accent1 2 4 13 4 2" xfId="52469"/>
    <cellStyle name="20% - Accent1 2 4 13 5" xfId="34485"/>
    <cellStyle name="20% - Accent1 2 4 14" xfId="1912"/>
    <cellStyle name="20% - Accent1 2 4 14 2" xfId="12579"/>
    <cellStyle name="20% - Accent1 2 4 14 2 2" xfId="24380"/>
    <cellStyle name="20% - Accent1 2 4 14 2 2 2" xfId="52470"/>
    <cellStyle name="20% - Accent1 2 4 14 2 3" xfId="37995"/>
    <cellStyle name="20% - Accent1 2 4 14 3" xfId="7365"/>
    <cellStyle name="20% - Accent1 2 4 14 3 2" xfId="44419"/>
    <cellStyle name="20% - Accent1 2 4 14 4" xfId="19166"/>
    <cellStyle name="20% - Accent1 2 4 14 4 2" xfId="52471"/>
    <cellStyle name="20% - Accent1 2 4 14 5" xfId="32781"/>
    <cellStyle name="20% - Accent1 2 4 15" xfId="12580"/>
    <cellStyle name="20% - Accent1 2 4 15 2" xfId="24381"/>
    <cellStyle name="20% - Accent1 2 4 15 2 2" xfId="52472"/>
    <cellStyle name="20% - Accent1 2 4 15 3" xfId="37996"/>
    <cellStyle name="20% - Accent1 2 4 16" xfId="5465"/>
    <cellStyle name="20% - Accent1 2 4 16 2" xfId="44420"/>
    <cellStyle name="20% - Accent1 2 4 17" xfId="17266"/>
    <cellStyle name="20% - Accent1 2 4 17 2" xfId="52473"/>
    <cellStyle name="20% - Accent1 2 4 18" xfId="30881"/>
    <cellStyle name="20% - Accent1 2 4 2" xfId="15"/>
    <cellStyle name="20% - Accent1 2 4 2 10" xfId="1231"/>
    <cellStyle name="20% - Accent1 2 4 2 10 2" xfId="3757"/>
    <cellStyle name="20% - Accent1 2 4 2 10 2 2" xfId="12581"/>
    <cellStyle name="20% - Accent1 2 4 2 10 2 2 2" xfId="24382"/>
    <cellStyle name="20% - Accent1 2 4 2 10 2 2 2 2" xfId="52474"/>
    <cellStyle name="20% - Accent1 2 4 2 10 2 2 3" xfId="37997"/>
    <cellStyle name="20% - Accent1 2 4 2 10 2 3" xfId="9210"/>
    <cellStyle name="20% - Accent1 2 4 2 10 2 3 2" xfId="44421"/>
    <cellStyle name="20% - Accent1 2 4 2 10 2 4" xfId="21011"/>
    <cellStyle name="20% - Accent1 2 4 2 10 2 4 2" xfId="52475"/>
    <cellStyle name="20% - Accent1 2 4 2 10 2 5" xfId="34626"/>
    <cellStyle name="20% - Accent1 2 4 2 10 3" xfId="12582"/>
    <cellStyle name="20% - Accent1 2 4 2 10 3 2" xfId="24383"/>
    <cellStyle name="20% - Accent1 2 4 2 10 3 2 2" xfId="44422"/>
    <cellStyle name="20% - Accent1 2 4 2 10 3 3" xfId="29592"/>
    <cellStyle name="20% - Accent1 2 4 2 10 3 3 2" xfId="44423"/>
    <cellStyle name="20% - Accent1 2 4 2 10 3 4" xfId="29593"/>
    <cellStyle name="20% - Accent1 2 4 2 10 3 4 2" xfId="52476"/>
    <cellStyle name="20% - Accent1 2 4 2 10 3 5" xfId="37998"/>
    <cellStyle name="20% - Accent1 2 4 2 10 4" xfId="12583"/>
    <cellStyle name="20% - Accent1 2 4 2 10 4 2" xfId="24384"/>
    <cellStyle name="20% - Accent1 2 4 2 10 4 2 2" xfId="52477"/>
    <cellStyle name="20% - Accent1 2 4 2 10 4 3" xfId="37999"/>
    <cellStyle name="20% - Accent1 2 4 2 10 5" xfId="6685"/>
    <cellStyle name="20% - Accent1 2 4 2 10 5 2" xfId="44424"/>
    <cellStyle name="20% - Accent1 2 4 2 10 6" xfId="18486"/>
    <cellStyle name="20% - Accent1 2 4 2 10 6 2" xfId="52478"/>
    <cellStyle name="20% - Accent1 2 4 2 10 7" xfId="32101"/>
    <cellStyle name="20% - Accent1 2 4 2 11" xfId="952"/>
    <cellStyle name="20% - Accent1 2 4 2 11 2" xfId="1899"/>
    <cellStyle name="20% - Accent1 2 4 2 11 2 2" xfId="12584"/>
    <cellStyle name="20% - Accent1 2 4 2 11 2 2 2" xfId="24385"/>
    <cellStyle name="20% - Accent1 2 4 2 11 2 2 2 2" xfId="52479"/>
    <cellStyle name="20% - Accent1 2 4 2 11 2 2 3" xfId="38000"/>
    <cellStyle name="20% - Accent1 2 4 2 11 2 3" xfId="7352"/>
    <cellStyle name="20% - Accent1 2 4 2 11 2 3 2" xfId="44425"/>
    <cellStyle name="20% - Accent1 2 4 2 11 2 4" xfId="19153"/>
    <cellStyle name="20% - Accent1 2 4 2 11 2 4 2" xfId="52480"/>
    <cellStyle name="20% - Accent1 2 4 2 11 2 5" xfId="32768"/>
    <cellStyle name="20% - Accent1 2 4 2 11 3" xfId="1902"/>
    <cellStyle name="20% - Accent1 2 4 2 11 3 2" xfId="5454"/>
    <cellStyle name="20% - Accent1 2 4 2 11 3 2 2" xfId="17256"/>
    <cellStyle name="20% - Accent1 2 4 2 11 3 2 2 2" xfId="29057"/>
    <cellStyle name="20% - Accent1 2 4 2 11 3 2 2 2 2" xfId="52481"/>
    <cellStyle name="20% - Accent1 2 4 2 11 3 2 2 3" xfId="42672"/>
    <cellStyle name="20% - Accent1 2 4 2 11 3 2 3" xfId="10907"/>
    <cellStyle name="20% - Accent1 2 4 2 11 3 2 3 2" xfId="52482"/>
    <cellStyle name="20% - Accent1 2 4 2 11 3 2 4" xfId="22708"/>
    <cellStyle name="20% - Accent1 2 4 2 11 3 2 4 2" xfId="52483"/>
    <cellStyle name="20% - Accent1 2 4 2 11 3 2 5" xfId="36323"/>
    <cellStyle name="20% - Accent1 2 4 2 11 3 2 6" xfId="61744"/>
    <cellStyle name="20% - Accent1 2 4 2 11 3 2 6 2" xfId="61761"/>
    <cellStyle name="20% - Accent1 2 4 2 11 3 3" xfId="16920"/>
    <cellStyle name="20% - Accent1 2 4 2 11 3 3 2" xfId="28721"/>
    <cellStyle name="20% - Accent1 2 4 2 11 3 3 2 2" xfId="52484"/>
    <cellStyle name="20% - Accent1 2 4 2 11 3 3 3" xfId="42336"/>
    <cellStyle name="20% - Accent1 2 4 2 11 3 4" xfId="7355"/>
    <cellStyle name="20% - Accent1 2 4 2 11 3 4 2" xfId="52485"/>
    <cellStyle name="20% - Accent1 2 4 2 11 3 5" xfId="19156"/>
    <cellStyle name="20% - Accent1 2 4 2 11 3 5 2" xfId="52486"/>
    <cellStyle name="20% - Accent1 2 4 2 11 3 6" xfId="32771"/>
    <cellStyle name="20% - Accent1 2 4 2 11 4" xfId="3620"/>
    <cellStyle name="20% - Accent1 2 4 2 11 4 2" xfId="17020"/>
    <cellStyle name="20% - Accent1 2 4 2 11 4 2 2" xfId="28821"/>
    <cellStyle name="20% - Accent1 2 4 2 11 4 2 2 2" xfId="52487"/>
    <cellStyle name="20% - Accent1 2 4 2 11 4 2 3" xfId="42436"/>
    <cellStyle name="20% - Accent1 2 4 2 11 4 3" xfId="9073"/>
    <cellStyle name="20% - Accent1 2 4 2 11 4 3 2" xfId="52488"/>
    <cellStyle name="20% - Accent1 2 4 2 11 4 4" xfId="20874"/>
    <cellStyle name="20% - Accent1 2 4 2 11 4 4 2" xfId="52489"/>
    <cellStyle name="20% - Accent1 2 4 2 11 4 5" xfId="34489"/>
    <cellStyle name="20% - Accent1 2 4 2 11 5" xfId="12585"/>
    <cellStyle name="20% - Accent1 2 4 2 11 5 2" xfId="24386"/>
    <cellStyle name="20% - Accent1 2 4 2 11 5 2 2" xfId="52490"/>
    <cellStyle name="20% - Accent1 2 4 2 11 5 3" xfId="38001"/>
    <cellStyle name="20% - Accent1 2 4 2 11 6" xfId="6406"/>
    <cellStyle name="20% - Accent1 2 4 2 11 6 2" xfId="52491"/>
    <cellStyle name="20% - Accent1 2 4 2 11 7" xfId="18207"/>
    <cellStyle name="20% - Accent1 2 4 2 11 7 2" xfId="52492"/>
    <cellStyle name="20% - Accent1 2 4 2 11 8" xfId="31822"/>
    <cellStyle name="20% - Accent1 2 4 2 12" xfId="1916"/>
    <cellStyle name="20% - Accent1 2 4 2 12 2" xfId="12586"/>
    <cellStyle name="20% - Accent1 2 4 2 12 2 2" xfId="24387"/>
    <cellStyle name="20% - Accent1 2 4 2 12 2 2 2" xfId="52493"/>
    <cellStyle name="20% - Accent1 2 4 2 12 2 3" xfId="38002"/>
    <cellStyle name="20% - Accent1 2 4 2 12 3" xfId="7369"/>
    <cellStyle name="20% - Accent1 2 4 2 12 3 2" xfId="44426"/>
    <cellStyle name="20% - Accent1 2 4 2 12 4" xfId="19170"/>
    <cellStyle name="20% - Accent1 2 4 2 12 4 2" xfId="52494"/>
    <cellStyle name="20% - Accent1 2 4 2 12 5" xfId="32785"/>
    <cellStyle name="20% - Accent1 2 4 2 13" xfId="5452"/>
    <cellStyle name="20% - Accent1 2 4 2 13 2" xfId="10905"/>
    <cellStyle name="20% - Accent1 2 4 2 13 2 2" xfId="44427"/>
    <cellStyle name="20% - Accent1 2 4 2 13 3" xfId="22706"/>
    <cellStyle name="20% - Accent1 2 4 2 13 3 2" xfId="44428"/>
    <cellStyle name="20% - Accent1 2 4 2 13 4" xfId="29594"/>
    <cellStyle name="20% - Accent1 2 4 2 13 4 2" xfId="52495"/>
    <cellStyle name="20% - Accent1 2 4 2 13 5" xfId="36321"/>
    <cellStyle name="20% - Accent1 2 4 2 14" xfId="12587"/>
    <cellStyle name="20% - Accent1 2 4 2 14 2" xfId="24388"/>
    <cellStyle name="20% - Accent1 2 4 2 14 2 2" xfId="52496"/>
    <cellStyle name="20% - Accent1 2 4 2 14 3" xfId="38003"/>
    <cellStyle name="20% - Accent1 2 4 2 15" xfId="5469"/>
    <cellStyle name="20% - Accent1 2 4 2 15 2" xfId="44429"/>
    <cellStyle name="20% - Accent1 2 4 2 16" xfId="17270"/>
    <cellStyle name="20% - Accent1 2 4 2 16 2" xfId="52497"/>
    <cellStyle name="20% - Accent1 2 4 2 17" xfId="30885"/>
    <cellStyle name="20% - Accent1 2 4 2 18" xfId="61748"/>
    <cellStyle name="20% - Accent1 2 4 2 18 2" xfId="61752"/>
    <cellStyle name="20% - Accent1 2 4 2 2" xfId="30"/>
    <cellStyle name="20% - Accent1 2 4 2 2 10" xfId="1931"/>
    <cellStyle name="20% - Accent1 2 4 2 2 10 2" xfId="12588"/>
    <cellStyle name="20% - Accent1 2 4 2 2 10 2 2" xfId="24389"/>
    <cellStyle name="20% - Accent1 2 4 2 2 10 2 2 2" xfId="52498"/>
    <cellStyle name="20% - Accent1 2 4 2 2 10 2 3" xfId="38004"/>
    <cellStyle name="20% - Accent1 2 4 2 2 10 3" xfId="7384"/>
    <cellStyle name="20% - Accent1 2 4 2 2 10 3 2" xfId="44430"/>
    <cellStyle name="20% - Accent1 2 4 2 2 10 4" xfId="19185"/>
    <cellStyle name="20% - Accent1 2 4 2 2 10 4 2" xfId="52499"/>
    <cellStyle name="20% - Accent1 2 4 2 2 10 5" xfId="32800"/>
    <cellStyle name="20% - Accent1 2 4 2 2 11" xfId="12589"/>
    <cellStyle name="20% - Accent1 2 4 2 2 11 2" xfId="24390"/>
    <cellStyle name="20% - Accent1 2 4 2 2 11 2 2" xfId="52500"/>
    <cellStyle name="20% - Accent1 2 4 2 2 11 3" xfId="38005"/>
    <cellStyle name="20% - Accent1 2 4 2 2 12" xfId="5484"/>
    <cellStyle name="20% - Accent1 2 4 2 2 12 2" xfId="44431"/>
    <cellStyle name="20% - Accent1 2 4 2 2 13" xfId="17285"/>
    <cellStyle name="20% - Accent1 2 4 2 2 13 2" xfId="52501"/>
    <cellStyle name="20% - Accent1 2 4 2 2 14" xfId="30900"/>
    <cellStyle name="20% - Accent1 2 4 2 2 2" xfId="97"/>
    <cellStyle name="20% - Accent1 2 4 2 2 2 10" xfId="5551"/>
    <cellStyle name="20% - Accent1 2 4 2 2 2 10 2" xfId="44432"/>
    <cellStyle name="20% - Accent1 2 4 2 2 2 11" xfId="17352"/>
    <cellStyle name="20% - Accent1 2 4 2 2 2 11 2" xfId="52502"/>
    <cellStyle name="20% - Accent1 2 4 2 2 2 12" xfId="30967"/>
    <cellStyle name="20% - Accent1 2 4 2 2 2 2" xfId="205"/>
    <cellStyle name="20% - Accent1 2 4 2 2 2 2 10" xfId="31075"/>
    <cellStyle name="20% - Accent1 2 4 2 2 2 2 2" xfId="524"/>
    <cellStyle name="20% - Accent1 2 4 2 2 2 2 2 2" xfId="1232"/>
    <cellStyle name="20% - Accent1 2 4 2 2 2 2 2 2 2" xfId="4834"/>
    <cellStyle name="20% - Accent1 2 4 2 2 2 2 2 2 2 2" xfId="12590"/>
    <cellStyle name="20% - Accent1 2 4 2 2 2 2 2 2 2 2 2" xfId="24391"/>
    <cellStyle name="20% - Accent1 2 4 2 2 2 2 2 2 2 2 2 2" xfId="52503"/>
    <cellStyle name="20% - Accent1 2 4 2 2 2 2 2 2 2 2 3" xfId="38006"/>
    <cellStyle name="20% - Accent1 2 4 2 2 2 2 2 2 2 3" xfId="10287"/>
    <cellStyle name="20% - Accent1 2 4 2 2 2 2 2 2 2 3 2" xfId="44433"/>
    <cellStyle name="20% - Accent1 2 4 2 2 2 2 2 2 2 4" xfId="22088"/>
    <cellStyle name="20% - Accent1 2 4 2 2 2 2 2 2 2 4 2" xfId="52504"/>
    <cellStyle name="20% - Accent1 2 4 2 2 2 2 2 2 2 5" xfId="35703"/>
    <cellStyle name="20% - Accent1 2 4 2 2 2 2 2 2 3" xfId="2993"/>
    <cellStyle name="20% - Accent1 2 4 2 2 2 2 2 2 3 2" xfId="12591"/>
    <cellStyle name="20% - Accent1 2 4 2 2 2 2 2 2 3 2 2" xfId="24392"/>
    <cellStyle name="20% - Accent1 2 4 2 2 2 2 2 2 3 2 2 2" xfId="52505"/>
    <cellStyle name="20% - Accent1 2 4 2 2 2 2 2 2 3 2 3" xfId="38007"/>
    <cellStyle name="20% - Accent1 2 4 2 2 2 2 2 2 3 3" xfId="8446"/>
    <cellStyle name="20% - Accent1 2 4 2 2 2 2 2 2 3 3 2" xfId="44434"/>
    <cellStyle name="20% - Accent1 2 4 2 2 2 2 2 2 3 4" xfId="20247"/>
    <cellStyle name="20% - Accent1 2 4 2 2 2 2 2 2 3 4 2" xfId="52506"/>
    <cellStyle name="20% - Accent1 2 4 2 2 2 2 2 2 3 5" xfId="33862"/>
    <cellStyle name="20% - Accent1 2 4 2 2 2 2 2 2 4" xfId="12592"/>
    <cellStyle name="20% - Accent1 2 4 2 2 2 2 2 2 4 2" xfId="24393"/>
    <cellStyle name="20% - Accent1 2 4 2 2 2 2 2 2 4 2 2" xfId="52507"/>
    <cellStyle name="20% - Accent1 2 4 2 2 2 2 2 2 4 3" xfId="38008"/>
    <cellStyle name="20% - Accent1 2 4 2 2 2 2 2 2 5" xfId="6686"/>
    <cellStyle name="20% - Accent1 2 4 2 2 2 2 2 2 5 2" xfId="44435"/>
    <cellStyle name="20% - Accent1 2 4 2 2 2 2 2 2 6" xfId="18487"/>
    <cellStyle name="20% - Accent1 2 4 2 2 2 2 2 2 6 2" xfId="52508"/>
    <cellStyle name="20% - Accent1 2 4 2 2 2 2 2 2 7" xfId="32102"/>
    <cellStyle name="20% - Accent1 2 4 2 2 2 2 2 3" xfId="3561"/>
    <cellStyle name="20% - Accent1 2 4 2 2 2 2 2 3 2" xfId="5402"/>
    <cellStyle name="20% - Accent1 2 4 2 2 2 2 2 3 2 2" xfId="16872"/>
    <cellStyle name="20% - Accent1 2 4 2 2 2 2 2 3 2 2 2" xfId="28673"/>
    <cellStyle name="20% - Accent1 2 4 2 2 2 2 2 3 2 2 2 2" xfId="52509"/>
    <cellStyle name="20% - Accent1 2 4 2 2 2 2 2 3 2 2 3" xfId="42288"/>
    <cellStyle name="20% - Accent1 2 4 2 2 2 2 2 3 2 3" xfId="10855"/>
    <cellStyle name="20% - Accent1 2 4 2 2 2 2 2 3 2 3 2" xfId="52510"/>
    <cellStyle name="20% - Accent1 2 4 2 2 2 2 2 3 2 4" xfId="22656"/>
    <cellStyle name="20% - Accent1 2 4 2 2 2 2 2 3 2 4 2" xfId="52511"/>
    <cellStyle name="20% - Accent1 2 4 2 2 2 2 2 3 2 5" xfId="36271"/>
    <cellStyle name="20% - Accent1 2 4 2 2 2 2 2 3 3" xfId="12593"/>
    <cellStyle name="20% - Accent1 2 4 2 2 2 2 2 3 3 2" xfId="24394"/>
    <cellStyle name="20% - Accent1 2 4 2 2 2 2 2 3 3 2 2" xfId="52512"/>
    <cellStyle name="20% - Accent1 2 4 2 2 2 2 2 3 3 3" xfId="38009"/>
    <cellStyle name="20% - Accent1 2 4 2 2 2 2 2 3 4" xfId="9014"/>
    <cellStyle name="20% - Accent1 2 4 2 2 2 2 2 3 4 2" xfId="52513"/>
    <cellStyle name="20% - Accent1 2 4 2 2 2 2 2 3 5" xfId="20815"/>
    <cellStyle name="20% - Accent1 2 4 2 2 2 2 2 3 5 2" xfId="52514"/>
    <cellStyle name="20% - Accent1 2 4 2 2 2 2 2 3 6" xfId="34430"/>
    <cellStyle name="20% - Accent1 2 4 2 2 2 2 2 4" xfId="4266"/>
    <cellStyle name="20% - Accent1 2 4 2 2 2 2 2 4 2" xfId="12594"/>
    <cellStyle name="20% - Accent1 2 4 2 2 2 2 2 4 2 2" xfId="24395"/>
    <cellStyle name="20% - Accent1 2 4 2 2 2 2 2 4 2 2 2" xfId="52515"/>
    <cellStyle name="20% - Accent1 2 4 2 2 2 2 2 4 2 3" xfId="38010"/>
    <cellStyle name="20% - Accent1 2 4 2 2 2 2 2 4 3" xfId="9719"/>
    <cellStyle name="20% - Accent1 2 4 2 2 2 2 2 4 3 2" xfId="44436"/>
    <cellStyle name="20% - Accent1 2 4 2 2 2 2 2 4 4" xfId="21520"/>
    <cellStyle name="20% - Accent1 2 4 2 2 2 2 2 4 4 2" xfId="52516"/>
    <cellStyle name="20% - Accent1 2 4 2 2 2 2 2 4 5" xfId="35135"/>
    <cellStyle name="20% - Accent1 2 4 2 2 2 2 2 5" xfId="2425"/>
    <cellStyle name="20% - Accent1 2 4 2 2 2 2 2 5 2" xfId="17021"/>
    <cellStyle name="20% - Accent1 2 4 2 2 2 2 2 5 2 2" xfId="28822"/>
    <cellStyle name="20% - Accent1 2 4 2 2 2 2 2 5 2 2 2" xfId="52517"/>
    <cellStyle name="20% - Accent1 2 4 2 2 2 2 2 5 2 3" xfId="42437"/>
    <cellStyle name="20% - Accent1 2 4 2 2 2 2 2 5 3" xfId="7878"/>
    <cellStyle name="20% - Accent1 2 4 2 2 2 2 2 5 3 2" xfId="52518"/>
    <cellStyle name="20% - Accent1 2 4 2 2 2 2 2 5 4" xfId="19679"/>
    <cellStyle name="20% - Accent1 2 4 2 2 2 2 2 5 4 2" xfId="52519"/>
    <cellStyle name="20% - Accent1 2 4 2 2 2 2 2 5 5" xfId="33294"/>
    <cellStyle name="20% - Accent1 2 4 2 2 2 2 2 6" xfId="12595"/>
    <cellStyle name="20% - Accent1 2 4 2 2 2 2 2 6 2" xfId="24396"/>
    <cellStyle name="20% - Accent1 2 4 2 2 2 2 2 6 2 2" xfId="52520"/>
    <cellStyle name="20% - Accent1 2 4 2 2 2 2 2 6 3" xfId="38011"/>
    <cellStyle name="20% - Accent1 2 4 2 2 2 2 2 7" xfId="5978"/>
    <cellStyle name="20% - Accent1 2 4 2 2 2 2 2 7 2" xfId="52521"/>
    <cellStyle name="20% - Accent1 2 4 2 2 2 2 2 8" xfId="17779"/>
    <cellStyle name="20% - Accent1 2 4 2 2 2 2 2 8 2" xfId="52522"/>
    <cellStyle name="20% - Accent1 2 4 2 2 2 2 2 9" xfId="31394"/>
    <cellStyle name="20% - Accent1 2 4 2 2 2 2 3" xfId="773"/>
    <cellStyle name="20% - Accent1 2 4 2 2 2 2 3 2" xfId="1233"/>
    <cellStyle name="20% - Accent1 2 4 2 2 2 2 3 2 2" xfId="4515"/>
    <cellStyle name="20% - Accent1 2 4 2 2 2 2 3 2 2 2" xfId="12596"/>
    <cellStyle name="20% - Accent1 2 4 2 2 2 2 3 2 2 2 2" xfId="24397"/>
    <cellStyle name="20% - Accent1 2 4 2 2 2 2 3 2 2 2 2 2" xfId="52523"/>
    <cellStyle name="20% - Accent1 2 4 2 2 2 2 3 2 2 2 3" xfId="38012"/>
    <cellStyle name="20% - Accent1 2 4 2 2 2 2 3 2 2 3" xfId="9968"/>
    <cellStyle name="20% - Accent1 2 4 2 2 2 2 3 2 2 3 2" xfId="44437"/>
    <cellStyle name="20% - Accent1 2 4 2 2 2 2 3 2 2 4" xfId="21769"/>
    <cellStyle name="20% - Accent1 2 4 2 2 2 2 3 2 2 4 2" xfId="52524"/>
    <cellStyle name="20% - Accent1 2 4 2 2 2 2 3 2 2 5" xfId="35384"/>
    <cellStyle name="20% - Accent1 2 4 2 2 2 2 3 2 3" xfId="12597"/>
    <cellStyle name="20% - Accent1 2 4 2 2 2 2 3 2 3 2" xfId="24398"/>
    <cellStyle name="20% - Accent1 2 4 2 2 2 2 3 2 3 2 2" xfId="44438"/>
    <cellStyle name="20% - Accent1 2 4 2 2 2 2 3 2 3 3" xfId="29595"/>
    <cellStyle name="20% - Accent1 2 4 2 2 2 2 3 2 3 3 2" xfId="44439"/>
    <cellStyle name="20% - Accent1 2 4 2 2 2 2 3 2 3 4" xfId="29596"/>
    <cellStyle name="20% - Accent1 2 4 2 2 2 2 3 2 3 4 2" xfId="52525"/>
    <cellStyle name="20% - Accent1 2 4 2 2 2 2 3 2 3 5" xfId="38013"/>
    <cellStyle name="20% - Accent1 2 4 2 2 2 2 3 2 4" xfId="12598"/>
    <cellStyle name="20% - Accent1 2 4 2 2 2 2 3 2 4 2" xfId="24399"/>
    <cellStyle name="20% - Accent1 2 4 2 2 2 2 3 2 4 2 2" xfId="52526"/>
    <cellStyle name="20% - Accent1 2 4 2 2 2 2 3 2 4 3" xfId="38014"/>
    <cellStyle name="20% - Accent1 2 4 2 2 2 2 3 2 5" xfId="6687"/>
    <cellStyle name="20% - Accent1 2 4 2 2 2 2 3 2 5 2" xfId="44440"/>
    <cellStyle name="20% - Accent1 2 4 2 2 2 2 3 2 6" xfId="18488"/>
    <cellStyle name="20% - Accent1 2 4 2 2 2 2 3 2 6 2" xfId="52527"/>
    <cellStyle name="20% - Accent1 2 4 2 2 2 2 3 2 7" xfId="32103"/>
    <cellStyle name="20% - Accent1 2 4 2 2 2 2 3 3" xfId="2674"/>
    <cellStyle name="20% - Accent1 2 4 2 2 2 2 3 3 2" xfId="12599"/>
    <cellStyle name="20% - Accent1 2 4 2 2 2 2 3 3 2 2" xfId="24400"/>
    <cellStyle name="20% - Accent1 2 4 2 2 2 2 3 3 2 2 2" xfId="52528"/>
    <cellStyle name="20% - Accent1 2 4 2 2 2 2 3 3 2 3" xfId="38015"/>
    <cellStyle name="20% - Accent1 2 4 2 2 2 2 3 3 3" xfId="8127"/>
    <cellStyle name="20% - Accent1 2 4 2 2 2 2 3 3 3 2" xfId="44441"/>
    <cellStyle name="20% - Accent1 2 4 2 2 2 2 3 3 4" xfId="19928"/>
    <cellStyle name="20% - Accent1 2 4 2 2 2 2 3 3 4 2" xfId="52529"/>
    <cellStyle name="20% - Accent1 2 4 2 2 2 2 3 3 5" xfId="33543"/>
    <cellStyle name="20% - Accent1 2 4 2 2 2 2 3 4" xfId="12600"/>
    <cellStyle name="20% - Accent1 2 4 2 2 2 2 3 4 2" xfId="24401"/>
    <cellStyle name="20% - Accent1 2 4 2 2 2 2 3 4 2 2" xfId="44442"/>
    <cellStyle name="20% - Accent1 2 4 2 2 2 2 3 4 3" xfId="29597"/>
    <cellStyle name="20% - Accent1 2 4 2 2 2 2 3 4 3 2" xfId="44443"/>
    <cellStyle name="20% - Accent1 2 4 2 2 2 2 3 4 4" xfId="29598"/>
    <cellStyle name="20% - Accent1 2 4 2 2 2 2 3 4 4 2" xfId="52530"/>
    <cellStyle name="20% - Accent1 2 4 2 2 2 2 3 4 5" xfId="38016"/>
    <cellStyle name="20% - Accent1 2 4 2 2 2 2 3 5" xfId="12601"/>
    <cellStyle name="20% - Accent1 2 4 2 2 2 2 3 5 2" xfId="24402"/>
    <cellStyle name="20% - Accent1 2 4 2 2 2 2 3 5 2 2" xfId="52531"/>
    <cellStyle name="20% - Accent1 2 4 2 2 2 2 3 5 3" xfId="38017"/>
    <cellStyle name="20% - Accent1 2 4 2 2 2 2 3 6" xfId="6227"/>
    <cellStyle name="20% - Accent1 2 4 2 2 2 2 3 6 2" xfId="44444"/>
    <cellStyle name="20% - Accent1 2 4 2 2 2 2 3 7" xfId="18028"/>
    <cellStyle name="20% - Accent1 2 4 2 2 2 2 3 7 2" xfId="52532"/>
    <cellStyle name="20% - Accent1 2 4 2 2 2 2 3 8" xfId="31643"/>
    <cellStyle name="20% - Accent1 2 4 2 2 2 2 4" xfId="1234"/>
    <cellStyle name="20% - Accent1 2 4 2 2 2 2 4 2" xfId="5083"/>
    <cellStyle name="20% - Accent1 2 4 2 2 2 2 4 2 2" xfId="12602"/>
    <cellStyle name="20% - Accent1 2 4 2 2 2 2 4 2 2 2" xfId="24403"/>
    <cellStyle name="20% - Accent1 2 4 2 2 2 2 4 2 2 2 2" xfId="52533"/>
    <cellStyle name="20% - Accent1 2 4 2 2 2 2 4 2 2 3" xfId="38018"/>
    <cellStyle name="20% - Accent1 2 4 2 2 2 2 4 2 3" xfId="10536"/>
    <cellStyle name="20% - Accent1 2 4 2 2 2 2 4 2 3 2" xfId="44445"/>
    <cellStyle name="20% - Accent1 2 4 2 2 2 2 4 2 4" xfId="22337"/>
    <cellStyle name="20% - Accent1 2 4 2 2 2 2 4 2 4 2" xfId="52534"/>
    <cellStyle name="20% - Accent1 2 4 2 2 2 2 4 2 5" xfId="35952"/>
    <cellStyle name="20% - Accent1 2 4 2 2 2 2 4 3" xfId="3242"/>
    <cellStyle name="20% - Accent1 2 4 2 2 2 2 4 3 2" xfId="12603"/>
    <cellStyle name="20% - Accent1 2 4 2 2 2 2 4 3 2 2" xfId="24404"/>
    <cellStyle name="20% - Accent1 2 4 2 2 2 2 4 3 2 2 2" xfId="52535"/>
    <cellStyle name="20% - Accent1 2 4 2 2 2 2 4 3 2 3" xfId="38019"/>
    <cellStyle name="20% - Accent1 2 4 2 2 2 2 4 3 3" xfId="8695"/>
    <cellStyle name="20% - Accent1 2 4 2 2 2 2 4 3 3 2" xfId="44446"/>
    <cellStyle name="20% - Accent1 2 4 2 2 2 2 4 3 4" xfId="20496"/>
    <cellStyle name="20% - Accent1 2 4 2 2 2 2 4 3 4 2" xfId="52536"/>
    <cellStyle name="20% - Accent1 2 4 2 2 2 2 4 3 5" xfId="34111"/>
    <cellStyle name="20% - Accent1 2 4 2 2 2 2 4 4" xfId="12604"/>
    <cellStyle name="20% - Accent1 2 4 2 2 2 2 4 4 2" xfId="24405"/>
    <cellStyle name="20% - Accent1 2 4 2 2 2 2 4 4 2 2" xfId="52537"/>
    <cellStyle name="20% - Accent1 2 4 2 2 2 2 4 4 3" xfId="38020"/>
    <cellStyle name="20% - Accent1 2 4 2 2 2 2 4 5" xfId="6688"/>
    <cellStyle name="20% - Accent1 2 4 2 2 2 2 4 5 2" xfId="44447"/>
    <cellStyle name="20% - Accent1 2 4 2 2 2 2 4 6" xfId="18489"/>
    <cellStyle name="20% - Accent1 2 4 2 2 2 2 4 6 2" xfId="52538"/>
    <cellStyle name="20% - Accent1 2 4 2 2 2 2 4 7" xfId="32104"/>
    <cellStyle name="20% - Accent1 2 4 2 2 2 2 5" xfId="3947"/>
    <cellStyle name="20% - Accent1 2 4 2 2 2 2 5 2" xfId="12605"/>
    <cellStyle name="20% - Accent1 2 4 2 2 2 2 5 2 2" xfId="24406"/>
    <cellStyle name="20% - Accent1 2 4 2 2 2 2 5 2 2 2" xfId="52539"/>
    <cellStyle name="20% - Accent1 2 4 2 2 2 2 5 2 3" xfId="38021"/>
    <cellStyle name="20% - Accent1 2 4 2 2 2 2 5 3" xfId="9400"/>
    <cellStyle name="20% - Accent1 2 4 2 2 2 2 5 3 2" xfId="44448"/>
    <cellStyle name="20% - Accent1 2 4 2 2 2 2 5 4" xfId="21201"/>
    <cellStyle name="20% - Accent1 2 4 2 2 2 2 5 4 2" xfId="52540"/>
    <cellStyle name="20% - Accent1 2 4 2 2 2 2 5 5" xfId="34816"/>
    <cellStyle name="20% - Accent1 2 4 2 2 2 2 6" xfId="2106"/>
    <cellStyle name="20% - Accent1 2 4 2 2 2 2 6 2" xfId="12606"/>
    <cellStyle name="20% - Accent1 2 4 2 2 2 2 6 2 2" xfId="24407"/>
    <cellStyle name="20% - Accent1 2 4 2 2 2 2 6 2 2 2" xfId="52541"/>
    <cellStyle name="20% - Accent1 2 4 2 2 2 2 6 2 3" xfId="38022"/>
    <cellStyle name="20% - Accent1 2 4 2 2 2 2 6 3" xfId="7559"/>
    <cellStyle name="20% - Accent1 2 4 2 2 2 2 6 3 2" xfId="44449"/>
    <cellStyle name="20% - Accent1 2 4 2 2 2 2 6 4" xfId="19360"/>
    <cellStyle name="20% - Accent1 2 4 2 2 2 2 6 4 2" xfId="52542"/>
    <cellStyle name="20% - Accent1 2 4 2 2 2 2 6 5" xfId="32975"/>
    <cellStyle name="20% - Accent1 2 4 2 2 2 2 7" xfId="12607"/>
    <cellStyle name="20% - Accent1 2 4 2 2 2 2 7 2" xfId="24408"/>
    <cellStyle name="20% - Accent1 2 4 2 2 2 2 7 2 2" xfId="52543"/>
    <cellStyle name="20% - Accent1 2 4 2 2 2 2 7 3" xfId="38023"/>
    <cellStyle name="20% - Accent1 2 4 2 2 2 2 8" xfId="5659"/>
    <cellStyle name="20% - Accent1 2 4 2 2 2 2 8 2" xfId="44450"/>
    <cellStyle name="20% - Accent1 2 4 2 2 2 2 9" xfId="17460"/>
    <cellStyle name="20% - Accent1 2 4 2 2 2 2 9 2" xfId="52544"/>
    <cellStyle name="20% - Accent1 2 4 2 2 2 3" xfId="387"/>
    <cellStyle name="20% - Accent1 2 4 2 2 2 3 2" xfId="1235"/>
    <cellStyle name="20% - Accent1 2 4 2 2 2 3 2 2" xfId="4697"/>
    <cellStyle name="20% - Accent1 2 4 2 2 2 3 2 2 2" xfId="12608"/>
    <cellStyle name="20% - Accent1 2 4 2 2 2 3 2 2 2 2" xfId="24409"/>
    <cellStyle name="20% - Accent1 2 4 2 2 2 3 2 2 2 2 2" xfId="52545"/>
    <cellStyle name="20% - Accent1 2 4 2 2 2 3 2 2 2 3" xfId="38024"/>
    <cellStyle name="20% - Accent1 2 4 2 2 2 3 2 2 3" xfId="10150"/>
    <cellStyle name="20% - Accent1 2 4 2 2 2 3 2 2 3 2" xfId="44451"/>
    <cellStyle name="20% - Accent1 2 4 2 2 2 3 2 2 4" xfId="21951"/>
    <cellStyle name="20% - Accent1 2 4 2 2 2 3 2 2 4 2" xfId="52546"/>
    <cellStyle name="20% - Accent1 2 4 2 2 2 3 2 2 5" xfId="35566"/>
    <cellStyle name="20% - Accent1 2 4 2 2 2 3 2 3" xfId="2856"/>
    <cellStyle name="20% - Accent1 2 4 2 2 2 3 2 3 2" xfId="12609"/>
    <cellStyle name="20% - Accent1 2 4 2 2 2 3 2 3 2 2" xfId="24410"/>
    <cellStyle name="20% - Accent1 2 4 2 2 2 3 2 3 2 2 2" xfId="52547"/>
    <cellStyle name="20% - Accent1 2 4 2 2 2 3 2 3 2 3" xfId="38025"/>
    <cellStyle name="20% - Accent1 2 4 2 2 2 3 2 3 3" xfId="8309"/>
    <cellStyle name="20% - Accent1 2 4 2 2 2 3 2 3 3 2" xfId="44452"/>
    <cellStyle name="20% - Accent1 2 4 2 2 2 3 2 3 4" xfId="20110"/>
    <cellStyle name="20% - Accent1 2 4 2 2 2 3 2 3 4 2" xfId="52548"/>
    <cellStyle name="20% - Accent1 2 4 2 2 2 3 2 3 5" xfId="33725"/>
    <cellStyle name="20% - Accent1 2 4 2 2 2 3 2 4" xfId="12610"/>
    <cellStyle name="20% - Accent1 2 4 2 2 2 3 2 4 2" xfId="24411"/>
    <cellStyle name="20% - Accent1 2 4 2 2 2 3 2 4 2 2" xfId="52549"/>
    <cellStyle name="20% - Accent1 2 4 2 2 2 3 2 4 3" xfId="38026"/>
    <cellStyle name="20% - Accent1 2 4 2 2 2 3 2 5" xfId="6689"/>
    <cellStyle name="20% - Accent1 2 4 2 2 2 3 2 5 2" xfId="44453"/>
    <cellStyle name="20% - Accent1 2 4 2 2 2 3 2 6" xfId="18490"/>
    <cellStyle name="20% - Accent1 2 4 2 2 2 3 2 6 2" xfId="52550"/>
    <cellStyle name="20% - Accent1 2 4 2 2 2 3 2 7" xfId="32105"/>
    <cellStyle name="20% - Accent1 2 4 2 2 2 3 3" xfId="3424"/>
    <cellStyle name="20% - Accent1 2 4 2 2 2 3 3 2" xfId="5265"/>
    <cellStyle name="20% - Accent1 2 4 2 2 2 3 3 2 2" xfId="16735"/>
    <cellStyle name="20% - Accent1 2 4 2 2 2 3 3 2 2 2" xfId="28536"/>
    <cellStyle name="20% - Accent1 2 4 2 2 2 3 3 2 2 2 2" xfId="52551"/>
    <cellStyle name="20% - Accent1 2 4 2 2 2 3 3 2 2 3" xfId="42151"/>
    <cellStyle name="20% - Accent1 2 4 2 2 2 3 3 2 3" xfId="10718"/>
    <cellStyle name="20% - Accent1 2 4 2 2 2 3 3 2 3 2" xfId="52552"/>
    <cellStyle name="20% - Accent1 2 4 2 2 2 3 3 2 4" xfId="22519"/>
    <cellStyle name="20% - Accent1 2 4 2 2 2 3 3 2 4 2" xfId="52553"/>
    <cellStyle name="20% - Accent1 2 4 2 2 2 3 3 2 5" xfId="36134"/>
    <cellStyle name="20% - Accent1 2 4 2 2 2 3 3 3" xfId="12611"/>
    <cellStyle name="20% - Accent1 2 4 2 2 2 3 3 3 2" xfId="24412"/>
    <cellStyle name="20% - Accent1 2 4 2 2 2 3 3 3 2 2" xfId="52554"/>
    <cellStyle name="20% - Accent1 2 4 2 2 2 3 3 3 3" xfId="38027"/>
    <cellStyle name="20% - Accent1 2 4 2 2 2 3 3 4" xfId="8877"/>
    <cellStyle name="20% - Accent1 2 4 2 2 2 3 3 4 2" xfId="52555"/>
    <cellStyle name="20% - Accent1 2 4 2 2 2 3 3 5" xfId="20678"/>
    <cellStyle name="20% - Accent1 2 4 2 2 2 3 3 5 2" xfId="52556"/>
    <cellStyle name="20% - Accent1 2 4 2 2 2 3 3 6" xfId="34293"/>
    <cellStyle name="20% - Accent1 2 4 2 2 2 3 4" xfId="4129"/>
    <cellStyle name="20% - Accent1 2 4 2 2 2 3 4 2" xfId="12612"/>
    <cellStyle name="20% - Accent1 2 4 2 2 2 3 4 2 2" xfId="24413"/>
    <cellStyle name="20% - Accent1 2 4 2 2 2 3 4 2 2 2" xfId="52557"/>
    <cellStyle name="20% - Accent1 2 4 2 2 2 3 4 2 3" xfId="38028"/>
    <cellStyle name="20% - Accent1 2 4 2 2 2 3 4 3" xfId="9582"/>
    <cellStyle name="20% - Accent1 2 4 2 2 2 3 4 3 2" xfId="44454"/>
    <cellStyle name="20% - Accent1 2 4 2 2 2 3 4 4" xfId="21383"/>
    <cellStyle name="20% - Accent1 2 4 2 2 2 3 4 4 2" xfId="52558"/>
    <cellStyle name="20% - Accent1 2 4 2 2 2 3 4 5" xfId="34998"/>
    <cellStyle name="20% - Accent1 2 4 2 2 2 3 5" xfId="2288"/>
    <cellStyle name="20% - Accent1 2 4 2 2 2 3 5 2" xfId="17022"/>
    <cellStyle name="20% - Accent1 2 4 2 2 2 3 5 2 2" xfId="28823"/>
    <cellStyle name="20% - Accent1 2 4 2 2 2 3 5 2 2 2" xfId="52559"/>
    <cellStyle name="20% - Accent1 2 4 2 2 2 3 5 2 3" xfId="42438"/>
    <cellStyle name="20% - Accent1 2 4 2 2 2 3 5 3" xfId="7741"/>
    <cellStyle name="20% - Accent1 2 4 2 2 2 3 5 3 2" xfId="52560"/>
    <cellStyle name="20% - Accent1 2 4 2 2 2 3 5 4" xfId="19542"/>
    <cellStyle name="20% - Accent1 2 4 2 2 2 3 5 4 2" xfId="52561"/>
    <cellStyle name="20% - Accent1 2 4 2 2 2 3 5 5" xfId="33157"/>
    <cellStyle name="20% - Accent1 2 4 2 2 2 3 6" xfId="12613"/>
    <cellStyle name="20% - Accent1 2 4 2 2 2 3 6 2" xfId="24414"/>
    <cellStyle name="20% - Accent1 2 4 2 2 2 3 6 2 2" xfId="52562"/>
    <cellStyle name="20% - Accent1 2 4 2 2 2 3 6 3" xfId="38029"/>
    <cellStyle name="20% - Accent1 2 4 2 2 2 3 7" xfId="5841"/>
    <cellStyle name="20% - Accent1 2 4 2 2 2 3 7 2" xfId="52563"/>
    <cellStyle name="20% - Accent1 2 4 2 2 2 3 8" xfId="17642"/>
    <cellStyle name="20% - Accent1 2 4 2 2 2 3 8 2" xfId="52564"/>
    <cellStyle name="20% - Accent1 2 4 2 2 2 3 9" xfId="31257"/>
    <cellStyle name="20% - Accent1 2 4 2 2 2 4" xfId="665"/>
    <cellStyle name="20% - Accent1 2 4 2 2 2 4 2" xfId="1236"/>
    <cellStyle name="20% - Accent1 2 4 2 2 2 4 2 2" xfId="4407"/>
    <cellStyle name="20% - Accent1 2 4 2 2 2 4 2 2 2" xfId="12614"/>
    <cellStyle name="20% - Accent1 2 4 2 2 2 4 2 2 2 2" xfId="24415"/>
    <cellStyle name="20% - Accent1 2 4 2 2 2 4 2 2 2 2 2" xfId="52565"/>
    <cellStyle name="20% - Accent1 2 4 2 2 2 4 2 2 2 3" xfId="38030"/>
    <cellStyle name="20% - Accent1 2 4 2 2 2 4 2 2 3" xfId="9860"/>
    <cellStyle name="20% - Accent1 2 4 2 2 2 4 2 2 3 2" xfId="44455"/>
    <cellStyle name="20% - Accent1 2 4 2 2 2 4 2 2 4" xfId="21661"/>
    <cellStyle name="20% - Accent1 2 4 2 2 2 4 2 2 4 2" xfId="52566"/>
    <cellStyle name="20% - Accent1 2 4 2 2 2 4 2 2 5" xfId="35276"/>
    <cellStyle name="20% - Accent1 2 4 2 2 2 4 2 3" xfId="12615"/>
    <cellStyle name="20% - Accent1 2 4 2 2 2 4 2 3 2" xfId="24416"/>
    <cellStyle name="20% - Accent1 2 4 2 2 2 4 2 3 2 2" xfId="44456"/>
    <cellStyle name="20% - Accent1 2 4 2 2 2 4 2 3 3" xfId="29599"/>
    <cellStyle name="20% - Accent1 2 4 2 2 2 4 2 3 3 2" xfId="44457"/>
    <cellStyle name="20% - Accent1 2 4 2 2 2 4 2 3 4" xfId="29600"/>
    <cellStyle name="20% - Accent1 2 4 2 2 2 4 2 3 4 2" xfId="52567"/>
    <cellStyle name="20% - Accent1 2 4 2 2 2 4 2 3 5" xfId="38031"/>
    <cellStyle name="20% - Accent1 2 4 2 2 2 4 2 4" xfId="12616"/>
    <cellStyle name="20% - Accent1 2 4 2 2 2 4 2 4 2" xfId="24417"/>
    <cellStyle name="20% - Accent1 2 4 2 2 2 4 2 4 2 2" xfId="52568"/>
    <cellStyle name="20% - Accent1 2 4 2 2 2 4 2 4 3" xfId="38032"/>
    <cellStyle name="20% - Accent1 2 4 2 2 2 4 2 5" xfId="6690"/>
    <cellStyle name="20% - Accent1 2 4 2 2 2 4 2 5 2" xfId="44458"/>
    <cellStyle name="20% - Accent1 2 4 2 2 2 4 2 6" xfId="18491"/>
    <cellStyle name="20% - Accent1 2 4 2 2 2 4 2 6 2" xfId="52569"/>
    <cellStyle name="20% - Accent1 2 4 2 2 2 4 2 7" xfId="32106"/>
    <cellStyle name="20% - Accent1 2 4 2 2 2 4 3" xfId="2566"/>
    <cellStyle name="20% - Accent1 2 4 2 2 2 4 3 2" xfId="12617"/>
    <cellStyle name="20% - Accent1 2 4 2 2 2 4 3 2 2" xfId="24418"/>
    <cellStyle name="20% - Accent1 2 4 2 2 2 4 3 2 2 2" xfId="52570"/>
    <cellStyle name="20% - Accent1 2 4 2 2 2 4 3 2 3" xfId="38033"/>
    <cellStyle name="20% - Accent1 2 4 2 2 2 4 3 3" xfId="8019"/>
    <cellStyle name="20% - Accent1 2 4 2 2 2 4 3 3 2" xfId="44459"/>
    <cellStyle name="20% - Accent1 2 4 2 2 2 4 3 4" xfId="19820"/>
    <cellStyle name="20% - Accent1 2 4 2 2 2 4 3 4 2" xfId="52571"/>
    <cellStyle name="20% - Accent1 2 4 2 2 2 4 3 5" xfId="33435"/>
    <cellStyle name="20% - Accent1 2 4 2 2 2 4 4" xfId="12618"/>
    <cellStyle name="20% - Accent1 2 4 2 2 2 4 4 2" xfId="24419"/>
    <cellStyle name="20% - Accent1 2 4 2 2 2 4 4 2 2" xfId="44460"/>
    <cellStyle name="20% - Accent1 2 4 2 2 2 4 4 3" xfId="29601"/>
    <cellStyle name="20% - Accent1 2 4 2 2 2 4 4 3 2" xfId="44461"/>
    <cellStyle name="20% - Accent1 2 4 2 2 2 4 4 4" xfId="29602"/>
    <cellStyle name="20% - Accent1 2 4 2 2 2 4 4 4 2" xfId="52572"/>
    <cellStyle name="20% - Accent1 2 4 2 2 2 4 4 5" xfId="38034"/>
    <cellStyle name="20% - Accent1 2 4 2 2 2 4 5" xfId="12619"/>
    <cellStyle name="20% - Accent1 2 4 2 2 2 4 5 2" xfId="24420"/>
    <cellStyle name="20% - Accent1 2 4 2 2 2 4 5 2 2" xfId="52573"/>
    <cellStyle name="20% - Accent1 2 4 2 2 2 4 5 3" xfId="38035"/>
    <cellStyle name="20% - Accent1 2 4 2 2 2 4 6" xfId="6119"/>
    <cellStyle name="20% - Accent1 2 4 2 2 2 4 6 2" xfId="44462"/>
    <cellStyle name="20% - Accent1 2 4 2 2 2 4 7" xfId="17920"/>
    <cellStyle name="20% - Accent1 2 4 2 2 2 4 7 2" xfId="52574"/>
    <cellStyle name="20% - Accent1 2 4 2 2 2 4 8" xfId="31535"/>
    <cellStyle name="20% - Accent1 2 4 2 2 2 5" xfId="906"/>
    <cellStyle name="20% - Accent1 2 4 2 2 2 5 2" xfId="1237"/>
    <cellStyle name="20% - Accent1 2 4 2 2 2 5 2 2" xfId="4975"/>
    <cellStyle name="20% - Accent1 2 4 2 2 2 5 2 2 2" xfId="12620"/>
    <cellStyle name="20% - Accent1 2 4 2 2 2 5 2 2 2 2" xfId="24421"/>
    <cellStyle name="20% - Accent1 2 4 2 2 2 5 2 2 2 2 2" xfId="52575"/>
    <cellStyle name="20% - Accent1 2 4 2 2 2 5 2 2 2 3" xfId="38036"/>
    <cellStyle name="20% - Accent1 2 4 2 2 2 5 2 2 3" xfId="10428"/>
    <cellStyle name="20% - Accent1 2 4 2 2 2 5 2 2 3 2" xfId="44463"/>
    <cellStyle name="20% - Accent1 2 4 2 2 2 5 2 2 4" xfId="22229"/>
    <cellStyle name="20% - Accent1 2 4 2 2 2 5 2 2 4 2" xfId="52576"/>
    <cellStyle name="20% - Accent1 2 4 2 2 2 5 2 2 5" xfId="35844"/>
    <cellStyle name="20% - Accent1 2 4 2 2 2 5 2 3" xfId="12621"/>
    <cellStyle name="20% - Accent1 2 4 2 2 2 5 2 3 2" xfId="24422"/>
    <cellStyle name="20% - Accent1 2 4 2 2 2 5 2 3 2 2" xfId="44464"/>
    <cellStyle name="20% - Accent1 2 4 2 2 2 5 2 3 3" xfId="29603"/>
    <cellStyle name="20% - Accent1 2 4 2 2 2 5 2 3 3 2" xfId="44465"/>
    <cellStyle name="20% - Accent1 2 4 2 2 2 5 2 3 4" xfId="29604"/>
    <cellStyle name="20% - Accent1 2 4 2 2 2 5 2 3 4 2" xfId="52577"/>
    <cellStyle name="20% - Accent1 2 4 2 2 2 5 2 3 5" xfId="38037"/>
    <cellStyle name="20% - Accent1 2 4 2 2 2 5 2 4" xfId="12622"/>
    <cellStyle name="20% - Accent1 2 4 2 2 2 5 2 4 2" xfId="24423"/>
    <cellStyle name="20% - Accent1 2 4 2 2 2 5 2 4 2 2" xfId="52578"/>
    <cellStyle name="20% - Accent1 2 4 2 2 2 5 2 4 3" xfId="38038"/>
    <cellStyle name="20% - Accent1 2 4 2 2 2 5 2 5" xfId="6691"/>
    <cellStyle name="20% - Accent1 2 4 2 2 2 5 2 5 2" xfId="44466"/>
    <cellStyle name="20% - Accent1 2 4 2 2 2 5 2 6" xfId="18492"/>
    <cellStyle name="20% - Accent1 2 4 2 2 2 5 2 6 2" xfId="52579"/>
    <cellStyle name="20% - Accent1 2 4 2 2 2 5 2 7" xfId="32107"/>
    <cellStyle name="20% - Accent1 2 4 2 2 2 5 3" xfId="3134"/>
    <cellStyle name="20% - Accent1 2 4 2 2 2 5 3 2" xfId="12623"/>
    <cellStyle name="20% - Accent1 2 4 2 2 2 5 3 2 2" xfId="24424"/>
    <cellStyle name="20% - Accent1 2 4 2 2 2 5 3 2 2 2" xfId="52580"/>
    <cellStyle name="20% - Accent1 2 4 2 2 2 5 3 2 3" xfId="38039"/>
    <cellStyle name="20% - Accent1 2 4 2 2 2 5 3 3" xfId="8587"/>
    <cellStyle name="20% - Accent1 2 4 2 2 2 5 3 3 2" xfId="44467"/>
    <cellStyle name="20% - Accent1 2 4 2 2 2 5 3 4" xfId="20388"/>
    <cellStyle name="20% - Accent1 2 4 2 2 2 5 3 4 2" xfId="52581"/>
    <cellStyle name="20% - Accent1 2 4 2 2 2 5 3 5" xfId="34003"/>
    <cellStyle name="20% - Accent1 2 4 2 2 2 5 4" xfId="12624"/>
    <cellStyle name="20% - Accent1 2 4 2 2 2 5 4 2" xfId="24425"/>
    <cellStyle name="20% - Accent1 2 4 2 2 2 5 4 2 2" xfId="44468"/>
    <cellStyle name="20% - Accent1 2 4 2 2 2 5 4 3" xfId="29605"/>
    <cellStyle name="20% - Accent1 2 4 2 2 2 5 4 3 2" xfId="44469"/>
    <cellStyle name="20% - Accent1 2 4 2 2 2 5 4 4" xfId="29606"/>
    <cellStyle name="20% - Accent1 2 4 2 2 2 5 4 4 2" xfId="52582"/>
    <cellStyle name="20% - Accent1 2 4 2 2 2 5 4 5" xfId="38040"/>
    <cellStyle name="20% - Accent1 2 4 2 2 2 5 5" xfId="12625"/>
    <cellStyle name="20% - Accent1 2 4 2 2 2 5 5 2" xfId="24426"/>
    <cellStyle name="20% - Accent1 2 4 2 2 2 5 5 2 2" xfId="52583"/>
    <cellStyle name="20% - Accent1 2 4 2 2 2 5 5 3" xfId="38041"/>
    <cellStyle name="20% - Accent1 2 4 2 2 2 5 6" xfId="6360"/>
    <cellStyle name="20% - Accent1 2 4 2 2 2 5 6 2" xfId="44470"/>
    <cellStyle name="20% - Accent1 2 4 2 2 2 5 7" xfId="18161"/>
    <cellStyle name="20% - Accent1 2 4 2 2 2 5 7 2" xfId="52584"/>
    <cellStyle name="20% - Accent1 2 4 2 2 2 5 8" xfId="31776"/>
    <cellStyle name="20% - Accent1 2 4 2 2 2 6" xfId="1238"/>
    <cellStyle name="20% - Accent1 2 4 2 2 2 6 2" xfId="3839"/>
    <cellStyle name="20% - Accent1 2 4 2 2 2 6 2 2" xfId="12626"/>
    <cellStyle name="20% - Accent1 2 4 2 2 2 6 2 2 2" xfId="24427"/>
    <cellStyle name="20% - Accent1 2 4 2 2 2 6 2 2 2 2" xfId="52585"/>
    <cellStyle name="20% - Accent1 2 4 2 2 2 6 2 2 3" xfId="38042"/>
    <cellStyle name="20% - Accent1 2 4 2 2 2 6 2 3" xfId="9292"/>
    <cellStyle name="20% - Accent1 2 4 2 2 2 6 2 3 2" xfId="44471"/>
    <cellStyle name="20% - Accent1 2 4 2 2 2 6 2 4" xfId="21093"/>
    <cellStyle name="20% - Accent1 2 4 2 2 2 6 2 4 2" xfId="52586"/>
    <cellStyle name="20% - Accent1 2 4 2 2 2 6 2 5" xfId="34708"/>
    <cellStyle name="20% - Accent1 2 4 2 2 2 6 3" xfId="12627"/>
    <cellStyle name="20% - Accent1 2 4 2 2 2 6 3 2" xfId="24428"/>
    <cellStyle name="20% - Accent1 2 4 2 2 2 6 3 2 2" xfId="44472"/>
    <cellStyle name="20% - Accent1 2 4 2 2 2 6 3 3" xfId="29607"/>
    <cellStyle name="20% - Accent1 2 4 2 2 2 6 3 3 2" xfId="44473"/>
    <cellStyle name="20% - Accent1 2 4 2 2 2 6 3 4" xfId="29608"/>
    <cellStyle name="20% - Accent1 2 4 2 2 2 6 3 4 2" xfId="52587"/>
    <cellStyle name="20% - Accent1 2 4 2 2 2 6 3 5" xfId="38043"/>
    <cellStyle name="20% - Accent1 2 4 2 2 2 6 4" xfId="12628"/>
    <cellStyle name="20% - Accent1 2 4 2 2 2 6 4 2" xfId="24429"/>
    <cellStyle name="20% - Accent1 2 4 2 2 2 6 4 2 2" xfId="52588"/>
    <cellStyle name="20% - Accent1 2 4 2 2 2 6 4 3" xfId="38044"/>
    <cellStyle name="20% - Accent1 2 4 2 2 2 6 5" xfId="6692"/>
    <cellStyle name="20% - Accent1 2 4 2 2 2 6 5 2" xfId="44474"/>
    <cellStyle name="20% - Accent1 2 4 2 2 2 6 6" xfId="18493"/>
    <cellStyle name="20% - Accent1 2 4 2 2 2 6 6 2" xfId="52589"/>
    <cellStyle name="20% - Accent1 2 4 2 2 2 6 7" xfId="32108"/>
    <cellStyle name="20% - Accent1 2 4 2 2 2 7" xfId="3702"/>
    <cellStyle name="20% - Accent1 2 4 2 2 2 7 2" xfId="12629"/>
    <cellStyle name="20% - Accent1 2 4 2 2 2 7 2 2" xfId="24430"/>
    <cellStyle name="20% - Accent1 2 4 2 2 2 7 2 2 2" xfId="52590"/>
    <cellStyle name="20% - Accent1 2 4 2 2 2 7 2 3" xfId="38045"/>
    <cellStyle name="20% - Accent1 2 4 2 2 2 7 3" xfId="9155"/>
    <cellStyle name="20% - Accent1 2 4 2 2 2 7 3 2" xfId="44475"/>
    <cellStyle name="20% - Accent1 2 4 2 2 2 7 4" xfId="20956"/>
    <cellStyle name="20% - Accent1 2 4 2 2 2 7 4 2" xfId="52591"/>
    <cellStyle name="20% - Accent1 2 4 2 2 2 7 5" xfId="34571"/>
    <cellStyle name="20% - Accent1 2 4 2 2 2 8" xfId="1998"/>
    <cellStyle name="20% - Accent1 2 4 2 2 2 8 2" xfId="12630"/>
    <cellStyle name="20% - Accent1 2 4 2 2 2 8 2 2" xfId="24431"/>
    <cellStyle name="20% - Accent1 2 4 2 2 2 8 2 2 2" xfId="52592"/>
    <cellStyle name="20% - Accent1 2 4 2 2 2 8 2 3" xfId="38046"/>
    <cellStyle name="20% - Accent1 2 4 2 2 2 8 3" xfId="7451"/>
    <cellStyle name="20% - Accent1 2 4 2 2 2 8 3 2" xfId="44476"/>
    <cellStyle name="20% - Accent1 2 4 2 2 2 8 4" xfId="19252"/>
    <cellStyle name="20% - Accent1 2 4 2 2 2 8 4 2" xfId="52593"/>
    <cellStyle name="20% - Accent1 2 4 2 2 2 8 5" xfId="32867"/>
    <cellStyle name="20% - Accent1 2 4 2 2 2 9" xfId="12631"/>
    <cellStyle name="20% - Accent1 2 4 2 2 2 9 2" xfId="24432"/>
    <cellStyle name="20% - Accent1 2 4 2 2 2 9 2 2" xfId="52594"/>
    <cellStyle name="20% - Accent1 2 4 2 2 2 9 3" xfId="38047"/>
    <cellStyle name="20% - Accent1 2 4 2 2 3" xfId="166"/>
    <cellStyle name="20% - Accent1 2 4 2 2 3 10" xfId="31036"/>
    <cellStyle name="20% - Accent1 2 4 2 2 3 2" xfId="320"/>
    <cellStyle name="20% - Accent1 2 4 2 2 3 2 2" xfId="1239"/>
    <cellStyle name="20% - Accent1 2 4 2 2 3 2 2 2" xfId="4630"/>
    <cellStyle name="20% - Accent1 2 4 2 2 3 2 2 2 2" xfId="12632"/>
    <cellStyle name="20% - Accent1 2 4 2 2 3 2 2 2 2 2" xfId="24433"/>
    <cellStyle name="20% - Accent1 2 4 2 2 3 2 2 2 2 2 2" xfId="52595"/>
    <cellStyle name="20% - Accent1 2 4 2 2 3 2 2 2 2 3" xfId="38048"/>
    <cellStyle name="20% - Accent1 2 4 2 2 3 2 2 2 3" xfId="10083"/>
    <cellStyle name="20% - Accent1 2 4 2 2 3 2 2 2 3 2" xfId="44477"/>
    <cellStyle name="20% - Accent1 2 4 2 2 3 2 2 2 4" xfId="21884"/>
    <cellStyle name="20% - Accent1 2 4 2 2 3 2 2 2 4 2" xfId="52596"/>
    <cellStyle name="20% - Accent1 2 4 2 2 3 2 2 2 5" xfId="35499"/>
    <cellStyle name="20% - Accent1 2 4 2 2 3 2 2 3" xfId="2789"/>
    <cellStyle name="20% - Accent1 2 4 2 2 3 2 2 3 2" xfId="12633"/>
    <cellStyle name="20% - Accent1 2 4 2 2 3 2 2 3 2 2" xfId="24434"/>
    <cellStyle name="20% - Accent1 2 4 2 2 3 2 2 3 2 2 2" xfId="52597"/>
    <cellStyle name="20% - Accent1 2 4 2 2 3 2 2 3 2 3" xfId="38049"/>
    <cellStyle name="20% - Accent1 2 4 2 2 3 2 2 3 3" xfId="8242"/>
    <cellStyle name="20% - Accent1 2 4 2 2 3 2 2 3 3 2" xfId="44478"/>
    <cellStyle name="20% - Accent1 2 4 2 2 3 2 2 3 4" xfId="20043"/>
    <cellStyle name="20% - Accent1 2 4 2 2 3 2 2 3 4 2" xfId="52598"/>
    <cellStyle name="20% - Accent1 2 4 2 2 3 2 2 3 5" xfId="33658"/>
    <cellStyle name="20% - Accent1 2 4 2 2 3 2 2 4" xfId="12634"/>
    <cellStyle name="20% - Accent1 2 4 2 2 3 2 2 4 2" xfId="24435"/>
    <cellStyle name="20% - Accent1 2 4 2 2 3 2 2 4 2 2" xfId="52599"/>
    <cellStyle name="20% - Accent1 2 4 2 2 3 2 2 4 3" xfId="38050"/>
    <cellStyle name="20% - Accent1 2 4 2 2 3 2 2 5" xfId="6693"/>
    <cellStyle name="20% - Accent1 2 4 2 2 3 2 2 5 2" xfId="44479"/>
    <cellStyle name="20% - Accent1 2 4 2 2 3 2 2 6" xfId="18494"/>
    <cellStyle name="20% - Accent1 2 4 2 2 3 2 2 6 2" xfId="52600"/>
    <cellStyle name="20% - Accent1 2 4 2 2 3 2 2 7" xfId="32109"/>
    <cellStyle name="20% - Accent1 2 4 2 2 3 2 3" xfId="3357"/>
    <cellStyle name="20% - Accent1 2 4 2 2 3 2 3 2" xfId="5198"/>
    <cellStyle name="20% - Accent1 2 4 2 2 3 2 3 2 2" xfId="16668"/>
    <cellStyle name="20% - Accent1 2 4 2 2 3 2 3 2 2 2" xfId="28469"/>
    <cellStyle name="20% - Accent1 2 4 2 2 3 2 3 2 2 2 2" xfId="52601"/>
    <cellStyle name="20% - Accent1 2 4 2 2 3 2 3 2 2 3" xfId="42084"/>
    <cellStyle name="20% - Accent1 2 4 2 2 3 2 3 2 3" xfId="10651"/>
    <cellStyle name="20% - Accent1 2 4 2 2 3 2 3 2 3 2" xfId="52602"/>
    <cellStyle name="20% - Accent1 2 4 2 2 3 2 3 2 4" xfId="22452"/>
    <cellStyle name="20% - Accent1 2 4 2 2 3 2 3 2 4 2" xfId="52603"/>
    <cellStyle name="20% - Accent1 2 4 2 2 3 2 3 2 5" xfId="36067"/>
    <cellStyle name="20% - Accent1 2 4 2 2 3 2 3 3" xfId="12635"/>
    <cellStyle name="20% - Accent1 2 4 2 2 3 2 3 3 2" xfId="24436"/>
    <cellStyle name="20% - Accent1 2 4 2 2 3 2 3 3 2 2" xfId="52604"/>
    <cellStyle name="20% - Accent1 2 4 2 2 3 2 3 3 3" xfId="38051"/>
    <cellStyle name="20% - Accent1 2 4 2 2 3 2 3 4" xfId="8810"/>
    <cellStyle name="20% - Accent1 2 4 2 2 3 2 3 4 2" xfId="52605"/>
    <cellStyle name="20% - Accent1 2 4 2 2 3 2 3 5" xfId="20611"/>
    <cellStyle name="20% - Accent1 2 4 2 2 3 2 3 5 2" xfId="52606"/>
    <cellStyle name="20% - Accent1 2 4 2 2 3 2 3 6" xfId="34226"/>
    <cellStyle name="20% - Accent1 2 4 2 2 3 2 4" xfId="4062"/>
    <cellStyle name="20% - Accent1 2 4 2 2 3 2 4 2" xfId="12636"/>
    <cellStyle name="20% - Accent1 2 4 2 2 3 2 4 2 2" xfId="24437"/>
    <cellStyle name="20% - Accent1 2 4 2 2 3 2 4 2 2 2" xfId="52607"/>
    <cellStyle name="20% - Accent1 2 4 2 2 3 2 4 2 3" xfId="38052"/>
    <cellStyle name="20% - Accent1 2 4 2 2 3 2 4 3" xfId="9515"/>
    <cellStyle name="20% - Accent1 2 4 2 2 3 2 4 3 2" xfId="44480"/>
    <cellStyle name="20% - Accent1 2 4 2 2 3 2 4 4" xfId="21316"/>
    <cellStyle name="20% - Accent1 2 4 2 2 3 2 4 4 2" xfId="52608"/>
    <cellStyle name="20% - Accent1 2 4 2 2 3 2 4 5" xfId="34931"/>
    <cellStyle name="20% - Accent1 2 4 2 2 3 2 5" xfId="2221"/>
    <cellStyle name="20% - Accent1 2 4 2 2 3 2 5 2" xfId="17023"/>
    <cellStyle name="20% - Accent1 2 4 2 2 3 2 5 2 2" xfId="28824"/>
    <cellStyle name="20% - Accent1 2 4 2 2 3 2 5 2 2 2" xfId="52609"/>
    <cellStyle name="20% - Accent1 2 4 2 2 3 2 5 2 3" xfId="42439"/>
    <cellStyle name="20% - Accent1 2 4 2 2 3 2 5 3" xfId="7674"/>
    <cellStyle name="20% - Accent1 2 4 2 2 3 2 5 3 2" xfId="52610"/>
    <cellStyle name="20% - Accent1 2 4 2 2 3 2 5 4" xfId="19475"/>
    <cellStyle name="20% - Accent1 2 4 2 2 3 2 5 4 2" xfId="52611"/>
    <cellStyle name="20% - Accent1 2 4 2 2 3 2 5 5" xfId="33090"/>
    <cellStyle name="20% - Accent1 2 4 2 2 3 2 6" xfId="12637"/>
    <cellStyle name="20% - Accent1 2 4 2 2 3 2 6 2" xfId="24438"/>
    <cellStyle name="20% - Accent1 2 4 2 2 3 2 6 2 2" xfId="52612"/>
    <cellStyle name="20% - Accent1 2 4 2 2 3 2 6 3" xfId="38053"/>
    <cellStyle name="20% - Accent1 2 4 2 2 3 2 7" xfId="5774"/>
    <cellStyle name="20% - Accent1 2 4 2 2 3 2 7 2" xfId="52613"/>
    <cellStyle name="20% - Accent1 2 4 2 2 3 2 8" xfId="17575"/>
    <cellStyle name="20% - Accent1 2 4 2 2 3 2 8 2" xfId="52614"/>
    <cellStyle name="20% - Accent1 2 4 2 2 3 2 9" xfId="31190"/>
    <cellStyle name="20% - Accent1 2 4 2 2 3 3" xfId="734"/>
    <cellStyle name="20% - Accent1 2 4 2 2 3 3 2" xfId="1240"/>
    <cellStyle name="20% - Accent1 2 4 2 2 3 3 2 2" xfId="4476"/>
    <cellStyle name="20% - Accent1 2 4 2 2 3 3 2 2 2" xfId="12638"/>
    <cellStyle name="20% - Accent1 2 4 2 2 3 3 2 2 2 2" xfId="24439"/>
    <cellStyle name="20% - Accent1 2 4 2 2 3 3 2 2 2 2 2" xfId="52615"/>
    <cellStyle name="20% - Accent1 2 4 2 2 3 3 2 2 2 3" xfId="38054"/>
    <cellStyle name="20% - Accent1 2 4 2 2 3 3 2 2 3" xfId="9929"/>
    <cellStyle name="20% - Accent1 2 4 2 2 3 3 2 2 3 2" xfId="44481"/>
    <cellStyle name="20% - Accent1 2 4 2 2 3 3 2 2 4" xfId="21730"/>
    <cellStyle name="20% - Accent1 2 4 2 2 3 3 2 2 4 2" xfId="52616"/>
    <cellStyle name="20% - Accent1 2 4 2 2 3 3 2 2 5" xfId="35345"/>
    <cellStyle name="20% - Accent1 2 4 2 2 3 3 2 3" xfId="12639"/>
    <cellStyle name="20% - Accent1 2 4 2 2 3 3 2 3 2" xfId="24440"/>
    <cellStyle name="20% - Accent1 2 4 2 2 3 3 2 3 2 2" xfId="44482"/>
    <cellStyle name="20% - Accent1 2 4 2 2 3 3 2 3 3" xfId="29609"/>
    <cellStyle name="20% - Accent1 2 4 2 2 3 3 2 3 3 2" xfId="44483"/>
    <cellStyle name="20% - Accent1 2 4 2 2 3 3 2 3 4" xfId="29610"/>
    <cellStyle name="20% - Accent1 2 4 2 2 3 3 2 3 4 2" xfId="52617"/>
    <cellStyle name="20% - Accent1 2 4 2 2 3 3 2 3 5" xfId="38055"/>
    <cellStyle name="20% - Accent1 2 4 2 2 3 3 2 4" xfId="12640"/>
    <cellStyle name="20% - Accent1 2 4 2 2 3 3 2 4 2" xfId="24441"/>
    <cellStyle name="20% - Accent1 2 4 2 2 3 3 2 4 2 2" xfId="52618"/>
    <cellStyle name="20% - Accent1 2 4 2 2 3 3 2 4 3" xfId="38056"/>
    <cellStyle name="20% - Accent1 2 4 2 2 3 3 2 5" xfId="6694"/>
    <cellStyle name="20% - Accent1 2 4 2 2 3 3 2 5 2" xfId="44484"/>
    <cellStyle name="20% - Accent1 2 4 2 2 3 3 2 6" xfId="18495"/>
    <cellStyle name="20% - Accent1 2 4 2 2 3 3 2 6 2" xfId="52619"/>
    <cellStyle name="20% - Accent1 2 4 2 2 3 3 2 7" xfId="32110"/>
    <cellStyle name="20% - Accent1 2 4 2 2 3 3 3" xfId="2635"/>
    <cellStyle name="20% - Accent1 2 4 2 2 3 3 3 2" xfId="12641"/>
    <cellStyle name="20% - Accent1 2 4 2 2 3 3 3 2 2" xfId="24442"/>
    <cellStyle name="20% - Accent1 2 4 2 2 3 3 3 2 2 2" xfId="52620"/>
    <cellStyle name="20% - Accent1 2 4 2 2 3 3 3 2 3" xfId="38057"/>
    <cellStyle name="20% - Accent1 2 4 2 2 3 3 3 3" xfId="8088"/>
    <cellStyle name="20% - Accent1 2 4 2 2 3 3 3 3 2" xfId="44485"/>
    <cellStyle name="20% - Accent1 2 4 2 2 3 3 3 4" xfId="19889"/>
    <cellStyle name="20% - Accent1 2 4 2 2 3 3 3 4 2" xfId="52621"/>
    <cellStyle name="20% - Accent1 2 4 2 2 3 3 3 5" xfId="33504"/>
    <cellStyle name="20% - Accent1 2 4 2 2 3 3 4" xfId="12642"/>
    <cellStyle name="20% - Accent1 2 4 2 2 3 3 4 2" xfId="24443"/>
    <cellStyle name="20% - Accent1 2 4 2 2 3 3 4 2 2" xfId="44486"/>
    <cellStyle name="20% - Accent1 2 4 2 2 3 3 4 3" xfId="29611"/>
    <cellStyle name="20% - Accent1 2 4 2 2 3 3 4 3 2" xfId="44487"/>
    <cellStyle name="20% - Accent1 2 4 2 2 3 3 4 4" xfId="29612"/>
    <cellStyle name="20% - Accent1 2 4 2 2 3 3 4 4 2" xfId="52622"/>
    <cellStyle name="20% - Accent1 2 4 2 2 3 3 4 5" xfId="38058"/>
    <cellStyle name="20% - Accent1 2 4 2 2 3 3 5" xfId="12643"/>
    <cellStyle name="20% - Accent1 2 4 2 2 3 3 5 2" xfId="24444"/>
    <cellStyle name="20% - Accent1 2 4 2 2 3 3 5 2 2" xfId="52623"/>
    <cellStyle name="20% - Accent1 2 4 2 2 3 3 5 3" xfId="38059"/>
    <cellStyle name="20% - Accent1 2 4 2 2 3 3 6" xfId="6188"/>
    <cellStyle name="20% - Accent1 2 4 2 2 3 3 6 2" xfId="44488"/>
    <cellStyle name="20% - Accent1 2 4 2 2 3 3 7" xfId="17989"/>
    <cellStyle name="20% - Accent1 2 4 2 2 3 3 7 2" xfId="52624"/>
    <cellStyle name="20% - Accent1 2 4 2 2 3 3 8" xfId="31604"/>
    <cellStyle name="20% - Accent1 2 4 2 2 3 4" xfId="1241"/>
    <cellStyle name="20% - Accent1 2 4 2 2 3 4 2" xfId="5044"/>
    <cellStyle name="20% - Accent1 2 4 2 2 3 4 2 2" xfId="12644"/>
    <cellStyle name="20% - Accent1 2 4 2 2 3 4 2 2 2" xfId="24445"/>
    <cellStyle name="20% - Accent1 2 4 2 2 3 4 2 2 2 2" xfId="52625"/>
    <cellStyle name="20% - Accent1 2 4 2 2 3 4 2 2 3" xfId="38060"/>
    <cellStyle name="20% - Accent1 2 4 2 2 3 4 2 3" xfId="10497"/>
    <cellStyle name="20% - Accent1 2 4 2 2 3 4 2 3 2" xfId="44489"/>
    <cellStyle name="20% - Accent1 2 4 2 2 3 4 2 4" xfId="22298"/>
    <cellStyle name="20% - Accent1 2 4 2 2 3 4 2 4 2" xfId="52626"/>
    <cellStyle name="20% - Accent1 2 4 2 2 3 4 2 5" xfId="35913"/>
    <cellStyle name="20% - Accent1 2 4 2 2 3 4 3" xfId="3203"/>
    <cellStyle name="20% - Accent1 2 4 2 2 3 4 3 2" xfId="12645"/>
    <cellStyle name="20% - Accent1 2 4 2 2 3 4 3 2 2" xfId="24446"/>
    <cellStyle name="20% - Accent1 2 4 2 2 3 4 3 2 2 2" xfId="52627"/>
    <cellStyle name="20% - Accent1 2 4 2 2 3 4 3 2 3" xfId="38061"/>
    <cellStyle name="20% - Accent1 2 4 2 2 3 4 3 3" xfId="8656"/>
    <cellStyle name="20% - Accent1 2 4 2 2 3 4 3 3 2" xfId="44490"/>
    <cellStyle name="20% - Accent1 2 4 2 2 3 4 3 4" xfId="20457"/>
    <cellStyle name="20% - Accent1 2 4 2 2 3 4 3 4 2" xfId="52628"/>
    <cellStyle name="20% - Accent1 2 4 2 2 3 4 3 5" xfId="34072"/>
    <cellStyle name="20% - Accent1 2 4 2 2 3 4 4" xfId="12646"/>
    <cellStyle name="20% - Accent1 2 4 2 2 3 4 4 2" xfId="24447"/>
    <cellStyle name="20% - Accent1 2 4 2 2 3 4 4 2 2" xfId="52629"/>
    <cellStyle name="20% - Accent1 2 4 2 2 3 4 4 3" xfId="38062"/>
    <cellStyle name="20% - Accent1 2 4 2 2 3 4 5" xfId="6695"/>
    <cellStyle name="20% - Accent1 2 4 2 2 3 4 5 2" xfId="44491"/>
    <cellStyle name="20% - Accent1 2 4 2 2 3 4 6" xfId="18496"/>
    <cellStyle name="20% - Accent1 2 4 2 2 3 4 6 2" xfId="52630"/>
    <cellStyle name="20% - Accent1 2 4 2 2 3 4 7" xfId="32111"/>
    <cellStyle name="20% - Accent1 2 4 2 2 3 5" xfId="3908"/>
    <cellStyle name="20% - Accent1 2 4 2 2 3 5 2" xfId="12647"/>
    <cellStyle name="20% - Accent1 2 4 2 2 3 5 2 2" xfId="24448"/>
    <cellStyle name="20% - Accent1 2 4 2 2 3 5 2 2 2" xfId="52631"/>
    <cellStyle name="20% - Accent1 2 4 2 2 3 5 2 3" xfId="38063"/>
    <cellStyle name="20% - Accent1 2 4 2 2 3 5 3" xfId="9361"/>
    <cellStyle name="20% - Accent1 2 4 2 2 3 5 3 2" xfId="44492"/>
    <cellStyle name="20% - Accent1 2 4 2 2 3 5 4" xfId="21162"/>
    <cellStyle name="20% - Accent1 2 4 2 2 3 5 4 2" xfId="52632"/>
    <cellStyle name="20% - Accent1 2 4 2 2 3 5 5" xfId="34777"/>
    <cellStyle name="20% - Accent1 2 4 2 2 3 6" xfId="2067"/>
    <cellStyle name="20% - Accent1 2 4 2 2 3 6 2" xfId="12648"/>
    <cellStyle name="20% - Accent1 2 4 2 2 3 6 2 2" xfId="24449"/>
    <cellStyle name="20% - Accent1 2 4 2 2 3 6 2 2 2" xfId="52633"/>
    <cellStyle name="20% - Accent1 2 4 2 2 3 6 2 3" xfId="38064"/>
    <cellStyle name="20% - Accent1 2 4 2 2 3 6 3" xfId="7520"/>
    <cellStyle name="20% - Accent1 2 4 2 2 3 6 3 2" xfId="44493"/>
    <cellStyle name="20% - Accent1 2 4 2 2 3 6 4" xfId="19321"/>
    <cellStyle name="20% - Accent1 2 4 2 2 3 6 4 2" xfId="52634"/>
    <cellStyle name="20% - Accent1 2 4 2 2 3 6 5" xfId="32936"/>
    <cellStyle name="20% - Accent1 2 4 2 2 3 7" xfId="12649"/>
    <cellStyle name="20% - Accent1 2 4 2 2 3 7 2" xfId="24450"/>
    <cellStyle name="20% - Accent1 2 4 2 2 3 7 2 2" xfId="52635"/>
    <cellStyle name="20% - Accent1 2 4 2 2 3 7 3" xfId="38065"/>
    <cellStyle name="20% - Accent1 2 4 2 2 3 8" xfId="5620"/>
    <cellStyle name="20% - Accent1 2 4 2 2 3 8 2" xfId="44494"/>
    <cellStyle name="20% - Accent1 2 4 2 2 3 9" xfId="17421"/>
    <cellStyle name="20% - Accent1 2 4 2 2 3 9 2" xfId="52636"/>
    <cellStyle name="20% - Accent1 2 4 2 2 4" xfId="457"/>
    <cellStyle name="20% - Accent1 2 4 2 2 4 2" xfId="1242"/>
    <cellStyle name="20% - Accent1 2 4 2 2 4 2 2" xfId="4767"/>
    <cellStyle name="20% - Accent1 2 4 2 2 4 2 2 2" xfId="12650"/>
    <cellStyle name="20% - Accent1 2 4 2 2 4 2 2 2 2" xfId="24451"/>
    <cellStyle name="20% - Accent1 2 4 2 2 4 2 2 2 2 2" xfId="52637"/>
    <cellStyle name="20% - Accent1 2 4 2 2 4 2 2 2 3" xfId="38066"/>
    <cellStyle name="20% - Accent1 2 4 2 2 4 2 2 3" xfId="10220"/>
    <cellStyle name="20% - Accent1 2 4 2 2 4 2 2 3 2" xfId="44495"/>
    <cellStyle name="20% - Accent1 2 4 2 2 4 2 2 4" xfId="22021"/>
    <cellStyle name="20% - Accent1 2 4 2 2 4 2 2 4 2" xfId="52638"/>
    <cellStyle name="20% - Accent1 2 4 2 2 4 2 2 5" xfId="35636"/>
    <cellStyle name="20% - Accent1 2 4 2 2 4 2 3" xfId="2926"/>
    <cellStyle name="20% - Accent1 2 4 2 2 4 2 3 2" xfId="12651"/>
    <cellStyle name="20% - Accent1 2 4 2 2 4 2 3 2 2" xfId="24452"/>
    <cellStyle name="20% - Accent1 2 4 2 2 4 2 3 2 2 2" xfId="52639"/>
    <cellStyle name="20% - Accent1 2 4 2 2 4 2 3 2 3" xfId="38067"/>
    <cellStyle name="20% - Accent1 2 4 2 2 4 2 3 3" xfId="8379"/>
    <cellStyle name="20% - Accent1 2 4 2 2 4 2 3 3 2" xfId="44496"/>
    <cellStyle name="20% - Accent1 2 4 2 2 4 2 3 4" xfId="20180"/>
    <cellStyle name="20% - Accent1 2 4 2 2 4 2 3 4 2" xfId="52640"/>
    <cellStyle name="20% - Accent1 2 4 2 2 4 2 3 5" xfId="33795"/>
    <cellStyle name="20% - Accent1 2 4 2 2 4 2 4" xfId="12652"/>
    <cellStyle name="20% - Accent1 2 4 2 2 4 2 4 2" xfId="24453"/>
    <cellStyle name="20% - Accent1 2 4 2 2 4 2 4 2 2" xfId="52641"/>
    <cellStyle name="20% - Accent1 2 4 2 2 4 2 4 3" xfId="38068"/>
    <cellStyle name="20% - Accent1 2 4 2 2 4 2 5" xfId="6696"/>
    <cellStyle name="20% - Accent1 2 4 2 2 4 2 5 2" xfId="44497"/>
    <cellStyle name="20% - Accent1 2 4 2 2 4 2 6" xfId="18497"/>
    <cellStyle name="20% - Accent1 2 4 2 2 4 2 6 2" xfId="52642"/>
    <cellStyle name="20% - Accent1 2 4 2 2 4 2 7" xfId="32112"/>
    <cellStyle name="20% - Accent1 2 4 2 2 4 3" xfId="3494"/>
    <cellStyle name="20% - Accent1 2 4 2 2 4 3 2" xfId="5335"/>
    <cellStyle name="20% - Accent1 2 4 2 2 4 3 2 2" xfId="16805"/>
    <cellStyle name="20% - Accent1 2 4 2 2 4 3 2 2 2" xfId="28606"/>
    <cellStyle name="20% - Accent1 2 4 2 2 4 3 2 2 2 2" xfId="52643"/>
    <cellStyle name="20% - Accent1 2 4 2 2 4 3 2 2 3" xfId="42221"/>
    <cellStyle name="20% - Accent1 2 4 2 2 4 3 2 3" xfId="10788"/>
    <cellStyle name="20% - Accent1 2 4 2 2 4 3 2 3 2" xfId="52644"/>
    <cellStyle name="20% - Accent1 2 4 2 2 4 3 2 4" xfId="22589"/>
    <cellStyle name="20% - Accent1 2 4 2 2 4 3 2 4 2" xfId="52645"/>
    <cellStyle name="20% - Accent1 2 4 2 2 4 3 2 5" xfId="36204"/>
    <cellStyle name="20% - Accent1 2 4 2 2 4 3 3" xfId="12653"/>
    <cellStyle name="20% - Accent1 2 4 2 2 4 3 3 2" xfId="24454"/>
    <cellStyle name="20% - Accent1 2 4 2 2 4 3 3 2 2" xfId="52646"/>
    <cellStyle name="20% - Accent1 2 4 2 2 4 3 3 3" xfId="38069"/>
    <cellStyle name="20% - Accent1 2 4 2 2 4 3 4" xfId="8947"/>
    <cellStyle name="20% - Accent1 2 4 2 2 4 3 4 2" xfId="52647"/>
    <cellStyle name="20% - Accent1 2 4 2 2 4 3 5" xfId="20748"/>
    <cellStyle name="20% - Accent1 2 4 2 2 4 3 5 2" xfId="52648"/>
    <cellStyle name="20% - Accent1 2 4 2 2 4 3 6" xfId="34363"/>
    <cellStyle name="20% - Accent1 2 4 2 2 4 4" xfId="4199"/>
    <cellStyle name="20% - Accent1 2 4 2 2 4 4 2" xfId="12654"/>
    <cellStyle name="20% - Accent1 2 4 2 2 4 4 2 2" xfId="24455"/>
    <cellStyle name="20% - Accent1 2 4 2 2 4 4 2 2 2" xfId="52649"/>
    <cellStyle name="20% - Accent1 2 4 2 2 4 4 2 3" xfId="38070"/>
    <cellStyle name="20% - Accent1 2 4 2 2 4 4 3" xfId="9652"/>
    <cellStyle name="20% - Accent1 2 4 2 2 4 4 3 2" xfId="44498"/>
    <cellStyle name="20% - Accent1 2 4 2 2 4 4 4" xfId="21453"/>
    <cellStyle name="20% - Accent1 2 4 2 2 4 4 4 2" xfId="52650"/>
    <cellStyle name="20% - Accent1 2 4 2 2 4 4 5" xfId="35068"/>
    <cellStyle name="20% - Accent1 2 4 2 2 4 5" xfId="2358"/>
    <cellStyle name="20% - Accent1 2 4 2 2 4 5 2" xfId="17024"/>
    <cellStyle name="20% - Accent1 2 4 2 2 4 5 2 2" xfId="28825"/>
    <cellStyle name="20% - Accent1 2 4 2 2 4 5 2 2 2" xfId="52651"/>
    <cellStyle name="20% - Accent1 2 4 2 2 4 5 2 3" xfId="42440"/>
    <cellStyle name="20% - Accent1 2 4 2 2 4 5 3" xfId="7811"/>
    <cellStyle name="20% - Accent1 2 4 2 2 4 5 3 2" xfId="52652"/>
    <cellStyle name="20% - Accent1 2 4 2 2 4 5 4" xfId="19612"/>
    <cellStyle name="20% - Accent1 2 4 2 2 4 5 4 2" xfId="52653"/>
    <cellStyle name="20% - Accent1 2 4 2 2 4 5 5" xfId="33227"/>
    <cellStyle name="20% - Accent1 2 4 2 2 4 6" xfId="12655"/>
    <cellStyle name="20% - Accent1 2 4 2 2 4 6 2" xfId="24456"/>
    <cellStyle name="20% - Accent1 2 4 2 2 4 6 2 2" xfId="52654"/>
    <cellStyle name="20% - Accent1 2 4 2 2 4 6 3" xfId="38071"/>
    <cellStyle name="20% - Accent1 2 4 2 2 4 7" xfId="5911"/>
    <cellStyle name="20% - Accent1 2 4 2 2 4 7 2" xfId="52655"/>
    <cellStyle name="20% - Accent1 2 4 2 2 4 8" xfId="17712"/>
    <cellStyle name="20% - Accent1 2 4 2 2 4 8 2" xfId="52656"/>
    <cellStyle name="20% - Accent1 2 4 2 2 4 9" xfId="31327"/>
    <cellStyle name="20% - Accent1 2 4 2 2 5" xfId="271"/>
    <cellStyle name="20% - Accent1 2 4 2 2 5 2" xfId="1243"/>
    <cellStyle name="20% - Accent1 2 4 2 2 5 2 2" xfId="4581"/>
    <cellStyle name="20% - Accent1 2 4 2 2 5 2 2 2" xfId="12656"/>
    <cellStyle name="20% - Accent1 2 4 2 2 5 2 2 2 2" xfId="24457"/>
    <cellStyle name="20% - Accent1 2 4 2 2 5 2 2 2 2 2" xfId="52657"/>
    <cellStyle name="20% - Accent1 2 4 2 2 5 2 2 2 3" xfId="38072"/>
    <cellStyle name="20% - Accent1 2 4 2 2 5 2 2 3" xfId="10034"/>
    <cellStyle name="20% - Accent1 2 4 2 2 5 2 2 3 2" xfId="44499"/>
    <cellStyle name="20% - Accent1 2 4 2 2 5 2 2 4" xfId="21835"/>
    <cellStyle name="20% - Accent1 2 4 2 2 5 2 2 4 2" xfId="52658"/>
    <cellStyle name="20% - Accent1 2 4 2 2 5 2 2 5" xfId="35450"/>
    <cellStyle name="20% - Accent1 2 4 2 2 5 2 3" xfId="2740"/>
    <cellStyle name="20% - Accent1 2 4 2 2 5 2 3 2" xfId="12657"/>
    <cellStyle name="20% - Accent1 2 4 2 2 5 2 3 2 2" xfId="24458"/>
    <cellStyle name="20% - Accent1 2 4 2 2 5 2 3 2 2 2" xfId="52659"/>
    <cellStyle name="20% - Accent1 2 4 2 2 5 2 3 2 3" xfId="38073"/>
    <cellStyle name="20% - Accent1 2 4 2 2 5 2 3 3" xfId="8193"/>
    <cellStyle name="20% - Accent1 2 4 2 2 5 2 3 3 2" xfId="44500"/>
    <cellStyle name="20% - Accent1 2 4 2 2 5 2 3 4" xfId="19994"/>
    <cellStyle name="20% - Accent1 2 4 2 2 5 2 3 4 2" xfId="52660"/>
    <cellStyle name="20% - Accent1 2 4 2 2 5 2 3 5" xfId="33609"/>
    <cellStyle name="20% - Accent1 2 4 2 2 5 2 4" xfId="12658"/>
    <cellStyle name="20% - Accent1 2 4 2 2 5 2 4 2" xfId="24459"/>
    <cellStyle name="20% - Accent1 2 4 2 2 5 2 4 2 2" xfId="52661"/>
    <cellStyle name="20% - Accent1 2 4 2 2 5 2 4 3" xfId="38074"/>
    <cellStyle name="20% - Accent1 2 4 2 2 5 2 5" xfId="6697"/>
    <cellStyle name="20% - Accent1 2 4 2 2 5 2 5 2" xfId="44501"/>
    <cellStyle name="20% - Accent1 2 4 2 2 5 2 6" xfId="18498"/>
    <cellStyle name="20% - Accent1 2 4 2 2 5 2 6 2" xfId="52662"/>
    <cellStyle name="20% - Accent1 2 4 2 2 5 2 7" xfId="32113"/>
    <cellStyle name="20% - Accent1 2 4 2 2 5 3" xfId="3308"/>
    <cellStyle name="20% - Accent1 2 4 2 2 5 3 2" xfId="5149"/>
    <cellStyle name="20% - Accent1 2 4 2 2 5 3 2 2" xfId="16619"/>
    <cellStyle name="20% - Accent1 2 4 2 2 5 3 2 2 2" xfId="28420"/>
    <cellStyle name="20% - Accent1 2 4 2 2 5 3 2 2 2 2" xfId="52663"/>
    <cellStyle name="20% - Accent1 2 4 2 2 5 3 2 2 3" xfId="42035"/>
    <cellStyle name="20% - Accent1 2 4 2 2 5 3 2 3" xfId="10602"/>
    <cellStyle name="20% - Accent1 2 4 2 2 5 3 2 3 2" xfId="52664"/>
    <cellStyle name="20% - Accent1 2 4 2 2 5 3 2 4" xfId="22403"/>
    <cellStyle name="20% - Accent1 2 4 2 2 5 3 2 4 2" xfId="52665"/>
    <cellStyle name="20% - Accent1 2 4 2 2 5 3 2 5" xfId="36018"/>
    <cellStyle name="20% - Accent1 2 4 2 2 5 3 3" xfId="12659"/>
    <cellStyle name="20% - Accent1 2 4 2 2 5 3 3 2" xfId="24460"/>
    <cellStyle name="20% - Accent1 2 4 2 2 5 3 3 2 2" xfId="52666"/>
    <cellStyle name="20% - Accent1 2 4 2 2 5 3 3 3" xfId="38075"/>
    <cellStyle name="20% - Accent1 2 4 2 2 5 3 4" xfId="8761"/>
    <cellStyle name="20% - Accent1 2 4 2 2 5 3 4 2" xfId="52667"/>
    <cellStyle name="20% - Accent1 2 4 2 2 5 3 5" xfId="20562"/>
    <cellStyle name="20% - Accent1 2 4 2 2 5 3 5 2" xfId="52668"/>
    <cellStyle name="20% - Accent1 2 4 2 2 5 3 6" xfId="34177"/>
    <cellStyle name="20% - Accent1 2 4 2 2 5 4" xfId="4013"/>
    <cellStyle name="20% - Accent1 2 4 2 2 5 4 2" xfId="12660"/>
    <cellStyle name="20% - Accent1 2 4 2 2 5 4 2 2" xfId="24461"/>
    <cellStyle name="20% - Accent1 2 4 2 2 5 4 2 2 2" xfId="52669"/>
    <cellStyle name="20% - Accent1 2 4 2 2 5 4 2 3" xfId="38076"/>
    <cellStyle name="20% - Accent1 2 4 2 2 5 4 3" xfId="9466"/>
    <cellStyle name="20% - Accent1 2 4 2 2 5 4 3 2" xfId="44502"/>
    <cellStyle name="20% - Accent1 2 4 2 2 5 4 4" xfId="21267"/>
    <cellStyle name="20% - Accent1 2 4 2 2 5 4 4 2" xfId="52670"/>
    <cellStyle name="20% - Accent1 2 4 2 2 5 4 5" xfId="34882"/>
    <cellStyle name="20% - Accent1 2 4 2 2 5 5" xfId="2172"/>
    <cellStyle name="20% - Accent1 2 4 2 2 5 5 2" xfId="17025"/>
    <cellStyle name="20% - Accent1 2 4 2 2 5 5 2 2" xfId="28826"/>
    <cellStyle name="20% - Accent1 2 4 2 2 5 5 2 2 2" xfId="52671"/>
    <cellStyle name="20% - Accent1 2 4 2 2 5 5 2 3" xfId="42441"/>
    <cellStyle name="20% - Accent1 2 4 2 2 5 5 3" xfId="7625"/>
    <cellStyle name="20% - Accent1 2 4 2 2 5 5 3 2" xfId="52672"/>
    <cellStyle name="20% - Accent1 2 4 2 2 5 5 4" xfId="19426"/>
    <cellStyle name="20% - Accent1 2 4 2 2 5 5 4 2" xfId="52673"/>
    <cellStyle name="20% - Accent1 2 4 2 2 5 5 5" xfId="33041"/>
    <cellStyle name="20% - Accent1 2 4 2 2 5 6" xfId="12661"/>
    <cellStyle name="20% - Accent1 2 4 2 2 5 6 2" xfId="24462"/>
    <cellStyle name="20% - Accent1 2 4 2 2 5 6 2 2" xfId="52674"/>
    <cellStyle name="20% - Accent1 2 4 2 2 5 6 3" xfId="38077"/>
    <cellStyle name="20% - Accent1 2 4 2 2 5 7" xfId="5725"/>
    <cellStyle name="20% - Accent1 2 4 2 2 5 7 2" xfId="52675"/>
    <cellStyle name="20% - Accent1 2 4 2 2 5 8" xfId="17526"/>
    <cellStyle name="20% - Accent1 2 4 2 2 5 8 2" xfId="52676"/>
    <cellStyle name="20% - Accent1 2 4 2 2 5 9" xfId="31141"/>
    <cellStyle name="20% - Accent1 2 4 2 2 6" xfId="598"/>
    <cellStyle name="20% - Accent1 2 4 2 2 6 2" xfId="1244"/>
    <cellStyle name="20% - Accent1 2 4 2 2 6 2 2" xfId="4340"/>
    <cellStyle name="20% - Accent1 2 4 2 2 6 2 2 2" xfId="12662"/>
    <cellStyle name="20% - Accent1 2 4 2 2 6 2 2 2 2" xfId="24463"/>
    <cellStyle name="20% - Accent1 2 4 2 2 6 2 2 2 2 2" xfId="52677"/>
    <cellStyle name="20% - Accent1 2 4 2 2 6 2 2 2 3" xfId="38078"/>
    <cellStyle name="20% - Accent1 2 4 2 2 6 2 2 3" xfId="9793"/>
    <cellStyle name="20% - Accent1 2 4 2 2 6 2 2 3 2" xfId="44503"/>
    <cellStyle name="20% - Accent1 2 4 2 2 6 2 2 4" xfId="21594"/>
    <cellStyle name="20% - Accent1 2 4 2 2 6 2 2 4 2" xfId="52678"/>
    <cellStyle name="20% - Accent1 2 4 2 2 6 2 2 5" xfId="35209"/>
    <cellStyle name="20% - Accent1 2 4 2 2 6 2 3" xfId="12663"/>
    <cellStyle name="20% - Accent1 2 4 2 2 6 2 3 2" xfId="24464"/>
    <cellStyle name="20% - Accent1 2 4 2 2 6 2 3 2 2" xfId="44504"/>
    <cellStyle name="20% - Accent1 2 4 2 2 6 2 3 3" xfId="29613"/>
    <cellStyle name="20% - Accent1 2 4 2 2 6 2 3 3 2" xfId="44505"/>
    <cellStyle name="20% - Accent1 2 4 2 2 6 2 3 4" xfId="29614"/>
    <cellStyle name="20% - Accent1 2 4 2 2 6 2 3 4 2" xfId="52679"/>
    <cellStyle name="20% - Accent1 2 4 2 2 6 2 3 5" xfId="38079"/>
    <cellStyle name="20% - Accent1 2 4 2 2 6 2 4" xfId="12664"/>
    <cellStyle name="20% - Accent1 2 4 2 2 6 2 4 2" xfId="24465"/>
    <cellStyle name="20% - Accent1 2 4 2 2 6 2 4 2 2" xfId="52680"/>
    <cellStyle name="20% - Accent1 2 4 2 2 6 2 4 3" xfId="38080"/>
    <cellStyle name="20% - Accent1 2 4 2 2 6 2 5" xfId="6698"/>
    <cellStyle name="20% - Accent1 2 4 2 2 6 2 5 2" xfId="44506"/>
    <cellStyle name="20% - Accent1 2 4 2 2 6 2 6" xfId="18499"/>
    <cellStyle name="20% - Accent1 2 4 2 2 6 2 6 2" xfId="52681"/>
    <cellStyle name="20% - Accent1 2 4 2 2 6 2 7" xfId="32114"/>
    <cellStyle name="20% - Accent1 2 4 2 2 6 3" xfId="2499"/>
    <cellStyle name="20% - Accent1 2 4 2 2 6 3 2" xfId="12665"/>
    <cellStyle name="20% - Accent1 2 4 2 2 6 3 2 2" xfId="24466"/>
    <cellStyle name="20% - Accent1 2 4 2 2 6 3 2 2 2" xfId="52682"/>
    <cellStyle name="20% - Accent1 2 4 2 2 6 3 2 3" xfId="38081"/>
    <cellStyle name="20% - Accent1 2 4 2 2 6 3 3" xfId="7952"/>
    <cellStyle name="20% - Accent1 2 4 2 2 6 3 3 2" xfId="44507"/>
    <cellStyle name="20% - Accent1 2 4 2 2 6 3 4" xfId="19753"/>
    <cellStyle name="20% - Accent1 2 4 2 2 6 3 4 2" xfId="52683"/>
    <cellStyle name="20% - Accent1 2 4 2 2 6 3 5" xfId="33368"/>
    <cellStyle name="20% - Accent1 2 4 2 2 6 4" xfId="12666"/>
    <cellStyle name="20% - Accent1 2 4 2 2 6 4 2" xfId="24467"/>
    <cellStyle name="20% - Accent1 2 4 2 2 6 4 2 2" xfId="44508"/>
    <cellStyle name="20% - Accent1 2 4 2 2 6 4 3" xfId="29615"/>
    <cellStyle name="20% - Accent1 2 4 2 2 6 4 3 2" xfId="44509"/>
    <cellStyle name="20% - Accent1 2 4 2 2 6 4 4" xfId="29616"/>
    <cellStyle name="20% - Accent1 2 4 2 2 6 4 4 2" xfId="52684"/>
    <cellStyle name="20% - Accent1 2 4 2 2 6 4 5" xfId="38082"/>
    <cellStyle name="20% - Accent1 2 4 2 2 6 5" xfId="12667"/>
    <cellStyle name="20% - Accent1 2 4 2 2 6 5 2" xfId="24468"/>
    <cellStyle name="20% - Accent1 2 4 2 2 6 5 2 2" xfId="52685"/>
    <cellStyle name="20% - Accent1 2 4 2 2 6 5 3" xfId="38083"/>
    <cellStyle name="20% - Accent1 2 4 2 2 6 6" xfId="6052"/>
    <cellStyle name="20% - Accent1 2 4 2 2 6 6 2" xfId="44510"/>
    <cellStyle name="20% - Accent1 2 4 2 2 6 7" xfId="17853"/>
    <cellStyle name="20% - Accent1 2 4 2 2 6 7 2" xfId="52686"/>
    <cellStyle name="20% - Accent1 2 4 2 2 6 8" xfId="31468"/>
    <cellStyle name="20% - Accent1 2 4 2 2 7" xfId="839"/>
    <cellStyle name="20% - Accent1 2 4 2 2 7 2" xfId="1245"/>
    <cellStyle name="20% - Accent1 2 4 2 2 7 2 2" xfId="4908"/>
    <cellStyle name="20% - Accent1 2 4 2 2 7 2 2 2" xfId="12668"/>
    <cellStyle name="20% - Accent1 2 4 2 2 7 2 2 2 2" xfId="24469"/>
    <cellStyle name="20% - Accent1 2 4 2 2 7 2 2 2 2 2" xfId="52687"/>
    <cellStyle name="20% - Accent1 2 4 2 2 7 2 2 2 3" xfId="38084"/>
    <cellStyle name="20% - Accent1 2 4 2 2 7 2 2 3" xfId="10361"/>
    <cellStyle name="20% - Accent1 2 4 2 2 7 2 2 3 2" xfId="44511"/>
    <cellStyle name="20% - Accent1 2 4 2 2 7 2 2 4" xfId="22162"/>
    <cellStyle name="20% - Accent1 2 4 2 2 7 2 2 4 2" xfId="52688"/>
    <cellStyle name="20% - Accent1 2 4 2 2 7 2 2 5" xfId="35777"/>
    <cellStyle name="20% - Accent1 2 4 2 2 7 2 3" xfId="12669"/>
    <cellStyle name="20% - Accent1 2 4 2 2 7 2 3 2" xfId="24470"/>
    <cellStyle name="20% - Accent1 2 4 2 2 7 2 3 2 2" xfId="44512"/>
    <cellStyle name="20% - Accent1 2 4 2 2 7 2 3 3" xfId="29617"/>
    <cellStyle name="20% - Accent1 2 4 2 2 7 2 3 3 2" xfId="44513"/>
    <cellStyle name="20% - Accent1 2 4 2 2 7 2 3 4" xfId="29618"/>
    <cellStyle name="20% - Accent1 2 4 2 2 7 2 3 4 2" xfId="52689"/>
    <cellStyle name="20% - Accent1 2 4 2 2 7 2 3 5" xfId="38085"/>
    <cellStyle name="20% - Accent1 2 4 2 2 7 2 4" xfId="12670"/>
    <cellStyle name="20% - Accent1 2 4 2 2 7 2 4 2" xfId="24471"/>
    <cellStyle name="20% - Accent1 2 4 2 2 7 2 4 2 2" xfId="52690"/>
    <cellStyle name="20% - Accent1 2 4 2 2 7 2 4 3" xfId="38086"/>
    <cellStyle name="20% - Accent1 2 4 2 2 7 2 5" xfId="6699"/>
    <cellStyle name="20% - Accent1 2 4 2 2 7 2 5 2" xfId="44514"/>
    <cellStyle name="20% - Accent1 2 4 2 2 7 2 6" xfId="18500"/>
    <cellStyle name="20% - Accent1 2 4 2 2 7 2 6 2" xfId="52691"/>
    <cellStyle name="20% - Accent1 2 4 2 2 7 2 7" xfId="32115"/>
    <cellStyle name="20% - Accent1 2 4 2 2 7 3" xfId="3067"/>
    <cellStyle name="20% - Accent1 2 4 2 2 7 3 2" xfId="12671"/>
    <cellStyle name="20% - Accent1 2 4 2 2 7 3 2 2" xfId="24472"/>
    <cellStyle name="20% - Accent1 2 4 2 2 7 3 2 2 2" xfId="52692"/>
    <cellStyle name="20% - Accent1 2 4 2 2 7 3 2 3" xfId="38087"/>
    <cellStyle name="20% - Accent1 2 4 2 2 7 3 3" xfId="8520"/>
    <cellStyle name="20% - Accent1 2 4 2 2 7 3 3 2" xfId="44515"/>
    <cellStyle name="20% - Accent1 2 4 2 2 7 3 4" xfId="20321"/>
    <cellStyle name="20% - Accent1 2 4 2 2 7 3 4 2" xfId="52693"/>
    <cellStyle name="20% - Accent1 2 4 2 2 7 3 5" xfId="33936"/>
    <cellStyle name="20% - Accent1 2 4 2 2 7 4" xfId="12672"/>
    <cellStyle name="20% - Accent1 2 4 2 2 7 4 2" xfId="24473"/>
    <cellStyle name="20% - Accent1 2 4 2 2 7 4 2 2" xfId="44516"/>
    <cellStyle name="20% - Accent1 2 4 2 2 7 4 3" xfId="29619"/>
    <cellStyle name="20% - Accent1 2 4 2 2 7 4 3 2" xfId="44517"/>
    <cellStyle name="20% - Accent1 2 4 2 2 7 4 4" xfId="29620"/>
    <cellStyle name="20% - Accent1 2 4 2 2 7 4 4 2" xfId="52694"/>
    <cellStyle name="20% - Accent1 2 4 2 2 7 4 5" xfId="38088"/>
    <cellStyle name="20% - Accent1 2 4 2 2 7 5" xfId="12673"/>
    <cellStyle name="20% - Accent1 2 4 2 2 7 5 2" xfId="24474"/>
    <cellStyle name="20% - Accent1 2 4 2 2 7 5 2 2" xfId="52695"/>
    <cellStyle name="20% - Accent1 2 4 2 2 7 5 3" xfId="38089"/>
    <cellStyle name="20% - Accent1 2 4 2 2 7 6" xfId="6293"/>
    <cellStyle name="20% - Accent1 2 4 2 2 7 6 2" xfId="44518"/>
    <cellStyle name="20% - Accent1 2 4 2 2 7 7" xfId="18094"/>
    <cellStyle name="20% - Accent1 2 4 2 2 7 7 2" xfId="52696"/>
    <cellStyle name="20% - Accent1 2 4 2 2 7 8" xfId="31709"/>
    <cellStyle name="20% - Accent1 2 4 2 2 8" xfId="1246"/>
    <cellStyle name="20% - Accent1 2 4 2 2 8 2" xfId="3772"/>
    <cellStyle name="20% - Accent1 2 4 2 2 8 2 2" xfId="12674"/>
    <cellStyle name="20% - Accent1 2 4 2 2 8 2 2 2" xfId="24475"/>
    <cellStyle name="20% - Accent1 2 4 2 2 8 2 2 2 2" xfId="52697"/>
    <cellStyle name="20% - Accent1 2 4 2 2 8 2 2 3" xfId="38090"/>
    <cellStyle name="20% - Accent1 2 4 2 2 8 2 3" xfId="9225"/>
    <cellStyle name="20% - Accent1 2 4 2 2 8 2 3 2" xfId="44519"/>
    <cellStyle name="20% - Accent1 2 4 2 2 8 2 4" xfId="21026"/>
    <cellStyle name="20% - Accent1 2 4 2 2 8 2 4 2" xfId="52698"/>
    <cellStyle name="20% - Accent1 2 4 2 2 8 2 5" xfId="34641"/>
    <cellStyle name="20% - Accent1 2 4 2 2 8 3" xfId="12675"/>
    <cellStyle name="20% - Accent1 2 4 2 2 8 3 2" xfId="24476"/>
    <cellStyle name="20% - Accent1 2 4 2 2 8 3 2 2" xfId="44520"/>
    <cellStyle name="20% - Accent1 2 4 2 2 8 3 3" xfId="29621"/>
    <cellStyle name="20% - Accent1 2 4 2 2 8 3 3 2" xfId="44521"/>
    <cellStyle name="20% - Accent1 2 4 2 2 8 3 4" xfId="29622"/>
    <cellStyle name="20% - Accent1 2 4 2 2 8 3 4 2" xfId="52699"/>
    <cellStyle name="20% - Accent1 2 4 2 2 8 3 5" xfId="38091"/>
    <cellStyle name="20% - Accent1 2 4 2 2 8 4" xfId="12676"/>
    <cellStyle name="20% - Accent1 2 4 2 2 8 4 2" xfId="24477"/>
    <cellStyle name="20% - Accent1 2 4 2 2 8 4 2 2" xfId="52700"/>
    <cellStyle name="20% - Accent1 2 4 2 2 8 4 3" xfId="38092"/>
    <cellStyle name="20% - Accent1 2 4 2 2 8 5" xfId="6700"/>
    <cellStyle name="20% - Accent1 2 4 2 2 8 5 2" xfId="44522"/>
    <cellStyle name="20% - Accent1 2 4 2 2 8 6" xfId="18501"/>
    <cellStyle name="20% - Accent1 2 4 2 2 8 6 2" xfId="52701"/>
    <cellStyle name="20% - Accent1 2 4 2 2 8 7" xfId="32116"/>
    <cellStyle name="20% - Accent1 2 4 2 2 9" xfId="3635"/>
    <cellStyle name="20% - Accent1 2 4 2 2 9 2" xfId="12677"/>
    <cellStyle name="20% - Accent1 2 4 2 2 9 2 2" xfId="24478"/>
    <cellStyle name="20% - Accent1 2 4 2 2 9 2 2 2" xfId="52702"/>
    <cellStyle name="20% - Accent1 2 4 2 2 9 2 3" xfId="38093"/>
    <cellStyle name="20% - Accent1 2 4 2 2 9 3" xfId="9088"/>
    <cellStyle name="20% - Accent1 2 4 2 2 9 3 2" xfId="44523"/>
    <cellStyle name="20% - Accent1 2 4 2 2 9 4" xfId="20889"/>
    <cellStyle name="20% - Accent1 2 4 2 2 9 4 2" xfId="52703"/>
    <cellStyle name="20% - Accent1 2 4 2 2 9 5" xfId="34504"/>
    <cellStyle name="20% - Accent1 2 4 2 3" xfId="67"/>
    <cellStyle name="20% - Accent1 2 4 2 3 10" xfId="12678"/>
    <cellStyle name="20% - Accent1 2 4 2 3 10 2" xfId="24479"/>
    <cellStyle name="20% - Accent1 2 4 2 3 10 2 2" xfId="52704"/>
    <cellStyle name="20% - Accent1 2 4 2 3 10 3" xfId="38094"/>
    <cellStyle name="20% - Accent1 2 4 2 3 11" xfId="5521"/>
    <cellStyle name="20% - Accent1 2 4 2 3 11 2" xfId="44524"/>
    <cellStyle name="20% - Accent1 2 4 2 3 12" xfId="17322"/>
    <cellStyle name="20% - Accent1 2 4 2 3 12 2" xfId="52705"/>
    <cellStyle name="20% - Accent1 2 4 2 3 13" xfId="30937"/>
    <cellStyle name="20% - Accent1 2 4 2 3 2" xfId="134"/>
    <cellStyle name="20% - Accent1 2 4 2 3 2 10" xfId="5588"/>
    <cellStyle name="20% - Accent1 2 4 2 3 2 10 2" xfId="44525"/>
    <cellStyle name="20% - Accent1 2 4 2 3 2 11" xfId="17389"/>
    <cellStyle name="20% - Accent1 2 4 2 3 2 11 2" xfId="52706"/>
    <cellStyle name="20% - Accent1 2 4 2 3 2 12" xfId="31004"/>
    <cellStyle name="20% - Accent1 2 4 2 3 2 2" xfId="561"/>
    <cellStyle name="20% - Accent1 2 4 2 3 2 2 2" xfId="1247"/>
    <cellStyle name="20% - Accent1 2 4 2 3 2 2 2 2" xfId="4871"/>
    <cellStyle name="20% - Accent1 2 4 2 3 2 2 2 2 2" xfId="12679"/>
    <cellStyle name="20% - Accent1 2 4 2 3 2 2 2 2 2 2" xfId="24480"/>
    <cellStyle name="20% - Accent1 2 4 2 3 2 2 2 2 2 2 2" xfId="52707"/>
    <cellStyle name="20% - Accent1 2 4 2 3 2 2 2 2 2 3" xfId="38095"/>
    <cellStyle name="20% - Accent1 2 4 2 3 2 2 2 2 3" xfId="10324"/>
    <cellStyle name="20% - Accent1 2 4 2 3 2 2 2 2 3 2" xfId="44526"/>
    <cellStyle name="20% - Accent1 2 4 2 3 2 2 2 2 4" xfId="22125"/>
    <cellStyle name="20% - Accent1 2 4 2 3 2 2 2 2 4 2" xfId="52708"/>
    <cellStyle name="20% - Accent1 2 4 2 3 2 2 2 2 5" xfId="35740"/>
    <cellStyle name="20% - Accent1 2 4 2 3 2 2 2 3" xfId="3030"/>
    <cellStyle name="20% - Accent1 2 4 2 3 2 2 2 3 2" xfId="12680"/>
    <cellStyle name="20% - Accent1 2 4 2 3 2 2 2 3 2 2" xfId="24481"/>
    <cellStyle name="20% - Accent1 2 4 2 3 2 2 2 3 2 2 2" xfId="52709"/>
    <cellStyle name="20% - Accent1 2 4 2 3 2 2 2 3 2 3" xfId="38096"/>
    <cellStyle name="20% - Accent1 2 4 2 3 2 2 2 3 3" xfId="8483"/>
    <cellStyle name="20% - Accent1 2 4 2 3 2 2 2 3 3 2" xfId="44527"/>
    <cellStyle name="20% - Accent1 2 4 2 3 2 2 2 3 4" xfId="20284"/>
    <cellStyle name="20% - Accent1 2 4 2 3 2 2 2 3 4 2" xfId="52710"/>
    <cellStyle name="20% - Accent1 2 4 2 3 2 2 2 3 5" xfId="33899"/>
    <cellStyle name="20% - Accent1 2 4 2 3 2 2 2 4" xfId="12681"/>
    <cellStyle name="20% - Accent1 2 4 2 3 2 2 2 4 2" xfId="24482"/>
    <cellStyle name="20% - Accent1 2 4 2 3 2 2 2 4 2 2" xfId="52711"/>
    <cellStyle name="20% - Accent1 2 4 2 3 2 2 2 4 3" xfId="38097"/>
    <cellStyle name="20% - Accent1 2 4 2 3 2 2 2 5" xfId="6701"/>
    <cellStyle name="20% - Accent1 2 4 2 3 2 2 2 5 2" xfId="44528"/>
    <cellStyle name="20% - Accent1 2 4 2 3 2 2 2 6" xfId="18502"/>
    <cellStyle name="20% - Accent1 2 4 2 3 2 2 2 6 2" xfId="52712"/>
    <cellStyle name="20% - Accent1 2 4 2 3 2 2 2 7" xfId="32117"/>
    <cellStyle name="20% - Accent1 2 4 2 3 2 2 3" xfId="3598"/>
    <cellStyle name="20% - Accent1 2 4 2 3 2 2 3 2" xfId="5439"/>
    <cellStyle name="20% - Accent1 2 4 2 3 2 2 3 2 2" xfId="16909"/>
    <cellStyle name="20% - Accent1 2 4 2 3 2 2 3 2 2 2" xfId="28710"/>
    <cellStyle name="20% - Accent1 2 4 2 3 2 2 3 2 2 2 2" xfId="52713"/>
    <cellStyle name="20% - Accent1 2 4 2 3 2 2 3 2 2 3" xfId="42325"/>
    <cellStyle name="20% - Accent1 2 4 2 3 2 2 3 2 3" xfId="10892"/>
    <cellStyle name="20% - Accent1 2 4 2 3 2 2 3 2 3 2" xfId="52714"/>
    <cellStyle name="20% - Accent1 2 4 2 3 2 2 3 2 4" xfId="22693"/>
    <cellStyle name="20% - Accent1 2 4 2 3 2 2 3 2 4 2" xfId="52715"/>
    <cellStyle name="20% - Accent1 2 4 2 3 2 2 3 2 5" xfId="36308"/>
    <cellStyle name="20% - Accent1 2 4 2 3 2 2 3 3" xfId="12682"/>
    <cellStyle name="20% - Accent1 2 4 2 3 2 2 3 3 2" xfId="24483"/>
    <cellStyle name="20% - Accent1 2 4 2 3 2 2 3 3 2 2" xfId="52716"/>
    <cellStyle name="20% - Accent1 2 4 2 3 2 2 3 3 3" xfId="38098"/>
    <cellStyle name="20% - Accent1 2 4 2 3 2 2 3 4" xfId="9051"/>
    <cellStyle name="20% - Accent1 2 4 2 3 2 2 3 4 2" xfId="52717"/>
    <cellStyle name="20% - Accent1 2 4 2 3 2 2 3 5" xfId="20852"/>
    <cellStyle name="20% - Accent1 2 4 2 3 2 2 3 5 2" xfId="52718"/>
    <cellStyle name="20% - Accent1 2 4 2 3 2 2 3 6" xfId="34467"/>
    <cellStyle name="20% - Accent1 2 4 2 3 2 2 4" xfId="4303"/>
    <cellStyle name="20% - Accent1 2 4 2 3 2 2 4 2" xfId="12683"/>
    <cellStyle name="20% - Accent1 2 4 2 3 2 2 4 2 2" xfId="24484"/>
    <cellStyle name="20% - Accent1 2 4 2 3 2 2 4 2 2 2" xfId="52719"/>
    <cellStyle name="20% - Accent1 2 4 2 3 2 2 4 2 3" xfId="38099"/>
    <cellStyle name="20% - Accent1 2 4 2 3 2 2 4 3" xfId="9756"/>
    <cellStyle name="20% - Accent1 2 4 2 3 2 2 4 3 2" xfId="44529"/>
    <cellStyle name="20% - Accent1 2 4 2 3 2 2 4 4" xfId="21557"/>
    <cellStyle name="20% - Accent1 2 4 2 3 2 2 4 4 2" xfId="52720"/>
    <cellStyle name="20% - Accent1 2 4 2 3 2 2 4 5" xfId="35172"/>
    <cellStyle name="20% - Accent1 2 4 2 3 2 2 5" xfId="2462"/>
    <cellStyle name="20% - Accent1 2 4 2 3 2 2 5 2" xfId="17026"/>
    <cellStyle name="20% - Accent1 2 4 2 3 2 2 5 2 2" xfId="28827"/>
    <cellStyle name="20% - Accent1 2 4 2 3 2 2 5 2 2 2" xfId="52721"/>
    <cellStyle name="20% - Accent1 2 4 2 3 2 2 5 2 3" xfId="42442"/>
    <cellStyle name="20% - Accent1 2 4 2 3 2 2 5 3" xfId="7915"/>
    <cellStyle name="20% - Accent1 2 4 2 3 2 2 5 3 2" xfId="52722"/>
    <cellStyle name="20% - Accent1 2 4 2 3 2 2 5 4" xfId="19716"/>
    <cellStyle name="20% - Accent1 2 4 2 3 2 2 5 4 2" xfId="52723"/>
    <cellStyle name="20% - Accent1 2 4 2 3 2 2 5 5" xfId="33331"/>
    <cellStyle name="20% - Accent1 2 4 2 3 2 2 6" xfId="12684"/>
    <cellStyle name="20% - Accent1 2 4 2 3 2 2 6 2" xfId="24485"/>
    <cellStyle name="20% - Accent1 2 4 2 3 2 2 6 2 2" xfId="52724"/>
    <cellStyle name="20% - Accent1 2 4 2 3 2 2 6 3" xfId="38100"/>
    <cellStyle name="20% - Accent1 2 4 2 3 2 2 7" xfId="6015"/>
    <cellStyle name="20% - Accent1 2 4 2 3 2 2 7 2" xfId="52725"/>
    <cellStyle name="20% - Accent1 2 4 2 3 2 2 8" xfId="17816"/>
    <cellStyle name="20% - Accent1 2 4 2 3 2 2 8 2" xfId="52726"/>
    <cellStyle name="20% - Accent1 2 4 2 3 2 2 9" xfId="31431"/>
    <cellStyle name="20% - Accent1 2 4 2 3 2 3" xfId="424"/>
    <cellStyle name="20% - Accent1 2 4 2 3 2 3 2" xfId="1248"/>
    <cellStyle name="20% - Accent1 2 4 2 3 2 3 2 2" xfId="4734"/>
    <cellStyle name="20% - Accent1 2 4 2 3 2 3 2 2 2" xfId="12685"/>
    <cellStyle name="20% - Accent1 2 4 2 3 2 3 2 2 2 2" xfId="24486"/>
    <cellStyle name="20% - Accent1 2 4 2 3 2 3 2 2 2 2 2" xfId="52727"/>
    <cellStyle name="20% - Accent1 2 4 2 3 2 3 2 2 2 3" xfId="38101"/>
    <cellStyle name="20% - Accent1 2 4 2 3 2 3 2 2 3" xfId="10187"/>
    <cellStyle name="20% - Accent1 2 4 2 3 2 3 2 2 3 2" xfId="44530"/>
    <cellStyle name="20% - Accent1 2 4 2 3 2 3 2 2 4" xfId="21988"/>
    <cellStyle name="20% - Accent1 2 4 2 3 2 3 2 2 4 2" xfId="52728"/>
    <cellStyle name="20% - Accent1 2 4 2 3 2 3 2 2 5" xfId="35603"/>
    <cellStyle name="20% - Accent1 2 4 2 3 2 3 2 3" xfId="2893"/>
    <cellStyle name="20% - Accent1 2 4 2 3 2 3 2 3 2" xfId="12686"/>
    <cellStyle name="20% - Accent1 2 4 2 3 2 3 2 3 2 2" xfId="24487"/>
    <cellStyle name="20% - Accent1 2 4 2 3 2 3 2 3 2 2 2" xfId="52729"/>
    <cellStyle name="20% - Accent1 2 4 2 3 2 3 2 3 2 3" xfId="38102"/>
    <cellStyle name="20% - Accent1 2 4 2 3 2 3 2 3 3" xfId="8346"/>
    <cellStyle name="20% - Accent1 2 4 2 3 2 3 2 3 3 2" xfId="44531"/>
    <cellStyle name="20% - Accent1 2 4 2 3 2 3 2 3 4" xfId="20147"/>
    <cellStyle name="20% - Accent1 2 4 2 3 2 3 2 3 4 2" xfId="52730"/>
    <cellStyle name="20% - Accent1 2 4 2 3 2 3 2 3 5" xfId="33762"/>
    <cellStyle name="20% - Accent1 2 4 2 3 2 3 2 4" xfId="12687"/>
    <cellStyle name="20% - Accent1 2 4 2 3 2 3 2 4 2" xfId="24488"/>
    <cellStyle name="20% - Accent1 2 4 2 3 2 3 2 4 2 2" xfId="52731"/>
    <cellStyle name="20% - Accent1 2 4 2 3 2 3 2 4 3" xfId="38103"/>
    <cellStyle name="20% - Accent1 2 4 2 3 2 3 2 5" xfId="6702"/>
    <cellStyle name="20% - Accent1 2 4 2 3 2 3 2 5 2" xfId="44532"/>
    <cellStyle name="20% - Accent1 2 4 2 3 2 3 2 6" xfId="18503"/>
    <cellStyle name="20% - Accent1 2 4 2 3 2 3 2 6 2" xfId="52732"/>
    <cellStyle name="20% - Accent1 2 4 2 3 2 3 2 7" xfId="32118"/>
    <cellStyle name="20% - Accent1 2 4 2 3 2 3 3" xfId="3461"/>
    <cellStyle name="20% - Accent1 2 4 2 3 2 3 3 2" xfId="5302"/>
    <cellStyle name="20% - Accent1 2 4 2 3 2 3 3 2 2" xfId="16772"/>
    <cellStyle name="20% - Accent1 2 4 2 3 2 3 3 2 2 2" xfId="28573"/>
    <cellStyle name="20% - Accent1 2 4 2 3 2 3 3 2 2 2 2" xfId="52733"/>
    <cellStyle name="20% - Accent1 2 4 2 3 2 3 3 2 2 3" xfId="42188"/>
    <cellStyle name="20% - Accent1 2 4 2 3 2 3 3 2 3" xfId="10755"/>
    <cellStyle name="20% - Accent1 2 4 2 3 2 3 3 2 3 2" xfId="52734"/>
    <cellStyle name="20% - Accent1 2 4 2 3 2 3 3 2 4" xfId="22556"/>
    <cellStyle name="20% - Accent1 2 4 2 3 2 3 3 2 4 2" xfId="52735"/>
    <cellStyle name="20% - Accent1 2 4 2 3 2 3 3 2 5" xfId="36171"/>
    <cellStyle name="20% - Accent1 2 4 2 3 2 3 3 3" xfId="12688"/>
    <cellStyle name="20% - Accent1 2 4 2 3 2 3 3 3 2" xfId="24489"/>
    <cellStyle name="20% - Accent1 2 4 2 3 2 3 3 3 2 2" xfId="52736"/>
    <cellStyle name="20% - Accent1 2 4 2 3 2 3 3 3 3" xfId="38104"/>
    <cellStyle name="20% - Accent1 2 4 2 3 2 3 3 4" xfId="8914"/>
    <cellStyle name="20% - Accent1 2 4 2 3 2 3 3 4 2" xfId="52737"/>
    <cellStyle name="20% - Accent1 2 4 2 3 2 3 3 5" xfId="20715"/>
    <cellStyle name="20% - Accent1 2 4 2 3 2 3 3 5 2" xfId="52738"/>
    <cellStyle name="20% - Accent1 2 4 2 3 2 3 3 6" xfId="34330"/>
    <cellStyle name="20% - Accent1 2 4 2 3 2 3 4" xfId="4166"/>
    <cellStyle name="20% - Accent1 2 4 2 3 2 3 4 2" xfId="12689"/>
    <cellStyle name="20% - Accent1 2 4 2 3 2 3 4 2 2" xfId="24490"/>
    <cellStyle name="20% - Accent1 2 4 2 3 2 3 4 2 2 2" xfId="52739"/>
    <cellStyle name="20% - Accent1 2 4 2 3 2 3 4 2 3" xfId="38105"/>
    <cellStyle name="20% - Accent1 2 4 2 3 2 3 4 3" xfId="9619"/>
    <cellStyle name="20% - Accent1 2 4 2 3 2 3 4 3 2" xfId="44533"/>
    <cellStyle name="20% - Accent1 2 4 2 3 2 3 4 4" xfId="21420"/>
    <cellStyle name="20% - Accent1 2 4 2 3 2 3 4 4 2" xfId="52740"/>
    <cellStyle name="20% - Accent1 2 4 2 3 2 3 4 5" xfId="35035"/>
    <cellStyle name="20% - Accent1 2 4 2 3 2 3 5" xfId="2325"/>
    <cellStyle name="20% - Accent1 2 4 2 3 2 3 5 2" xfId="17027"/>
    <cellStyle name="20% - Accent1 2 4 2 3 2 3 5 2 2" xfId="28828"/>
    <cellStyle name="20% - Accent1 2 4 2 3 2 3 5 2 2 2" xfId="52741"/>
    <cellStyle name="20% - Accent1 2 4 2 3 2 3 5 2 3" xfId="42443"/>
    <cellStyle name="20% - Accent1 2 4 2 3 2 3 5 3" xfId="7778"/>
    <cellStyle name="20% - Accent1 2 4 2 3 2 3 5 3 2" xfId="52742"/>
    <cellStyle name="20% - Accent1 2 4 2 3 2 3 5 4" xfId="19579"/>
    <cellStyle name="20% - Accent1 2 4 2 3 2 3 5 4 2" xfId="52743"/>
    <cellStyle name="20% - Accent1 2 4 2 3 2 3 5 5" xfId="33194"/>
    <cellStyle name="20% - Accent1 2 4 2 3 2 3 6" xfId="12690"/>
    <cellStyle name="20% - Accent1 2 4 2 3 2 3 6 2" xfId="24491"/>
    <cellStyle name="20% - Accent1 2 4 2 3 2 3 6 2 2" xfId="52744"/>
    <cellStyle name="20% - Accent1 2 4 2 3 2 3 6 3" xfId="38106"/>
    <cellStyle name="20% - Accent1 2 4 2 3 2 3 7" xfId="5878"/>
    <cellStyle name="20% - Accent1 2 4 2 3 2 3 7 2" xfId="52745"/>
    <cellStyle name="20% - Accent1 2 4 2 3 2 3 8" xfId="17679"/>
    <cellStyle name="20% - Accent1 2 4 2 3 2 3 8 2" xfId="52746"/>
    <cellStyle name="20% - Accent1 2 4 2 3 2 3 9" xfId="31294"/>
    <cellStyle name="20% - Accent1 2 4 2 3 2 4" xfId="702"/>
    <cellStyle name="20% - Accent1 2 4 2 3 2 4 2" xfId="1249"/>
    <cellStyle name="20% - Accent1 2 4 2 3 2 4 2 2" xfId="4444"/>
    <cellStyle name="20% - Accent1 2 4 2 3 2 4 2 2 2" xfId="12691"/>
    <cellStyle name="20% - Accent1 2 4 2 3 2 4 2 2 2 2" xfId="24492"/>
    <cellStyle name="20% - Accent1 2 4 2 3 2 4 2 2 2 2 2" xfId="52747"/>
    <cellStyle name="20% - Accent1 2 4 2 3 2 4 2 2 2 3" xfId="38107"/>
    <cellStyle name="20% - Accent1 2 4 2 3 2 4 2 2 3" xfId="9897"/>
    <cellStyle name="20% - Accent1 2 4 2 3 2 4 2 2 3 2" xfId="44534"/>
    <cellStyle name="20% - Accent1 2 4 2 3 2 4 2 2 4" xfId="21698"/>
    <cellStyle name="20% - Accent1 2 4 2 3 2 4 2 2 4 2" xfId="52748"/>
    <cellStyle name="20% - Accent1 2 4 2 3 2 4 2 2 5" xfId="35313"/>
    <cellStyle name="20% - Accent1 2 4 2 3 2 4 2 3" xfId="12692"/>
    <cellStyle name="20% - Accent1 2 4 2 3 2 4 2 3 2" xfId="24493"/>
    <cellStyle name="20% - Accent1 2 4 2 3 2 4 2 3 2 2" xfId="44535"/>
    <cellStyle name="20% - Accent1 2 4 2 3 2 4 2 3 3" xfId="29623"/>
    <cellStyle name="20% - Accent1 2 4 2 3 2 4 2 3 3 2" xfId="44536"/>
    <cellStyle name="20% - Accent1 2 4 2 3 2 4 2 3 4" xfId="29624"/>
    <cellStyle name="20% - Accent1 2 4 2 3 2 4 2 3 4 2" xfId="52749"/>
    <cellStyle name="20% - Accent1 2 4 2 3 2 4 2 3 5" xfId="38108"/>
    <cellStyle name="20% - Accent1 2 4 2 3 2 4 2 4" xfId="12693"/>
    <cellStyle name="20% - Accent1 2 4 2 3 2 4 2 4 2" xfId="24494"/>
    <cellStyle name="20% - Accent1 2 4 2 3 2 4 2 4 2 2" xfId="52750"/>
    <cellStyle name="20% - Accent1 2 4 2 3 2 4 2 4 3" xfId="38109"/>
    <cellStyle name="20% - Accent1 2 4 2 3 2 4 2 5" xfId="6703"/>
    <cellStyle name="20% - Accent1 2 4 2 3 2 4 2 5 2" xfId="44537"/>
    <cellStyle name="20% - Accent1 2 4 2 3 2 4 2 6" xfId="18504"/>
    <cellStyle name="20% - Accent1 2 4 2 3 2 4 2 6 2" xfId="52751"/>
    <cellStyle name="20% - Accent1 2 4 2 3 2 4 2 7" xfId="32119"/>
    <cellStyle name="20% - Accent1 2 4 2 3 2 4 3" xfId="2603"/>
    <cellStyle name="20% - Accent1 2 4 2 3 2 4 3 2" xfId="12694"/>
    <cellStyle name="20% - Accent1 2 4 2 3 2 4 3 2 2" xfId="24495"/>
    <cellStyle name="20% - Accent1 2 4 2 3 2 4 3 2 2 2" xfId="52752"/>
    <cellStyle name="20% - Accent1 2 4 2 3 2 4 3 2 3" xfId="38110"/>
    <cellStyle name="20% - Accent1 2 4 2 3 2 4 3 3" xfId="8056"/>
    <cellStyle name="20% - Accent1 2 4 2 3 2 4 3 3 2" xfId="44538"/>
    <cellStyle name="20% - Accent1 2 4 2 3 2 4 3 4" xfId="19857"/>
    <cellStyle name="20% - Accent1 2 4 2 3 2 4 3 4 2" xfId="52753"/>
    <cellStyle name="20% - Accent1 2 4 2 3 2 4 3 5" xfId="33472"/>
    <cellStyle name="20% - Accent1 2 4 2 3 2 4 4" xfId="12695"/>
    <cellStyle name="20% - Accent1 2 4 2 3 2 4 4 2" xfId="24496"/>
    <cellStyle name="20% - Accent1 2 4 2 3 2 4 4 2 2" xfId="44539"/>
    <cellStyle name="20% - Accent1 2 4 2 3 2 4 4 3" xfId="29625"/>
    <cellStyle name="20% - Accent1 2 4 2 3 2 4 4 3 2" xfId="44540"/>
    <cellStyle name="20% - Accent1 2 4 2 3 2 4 4 4" xfId="29626"/>
    <cellStyle name="20% - Accent1 2 4 2 3 2 4 4 4 2" xfId="52754"/>
    <cellStyle name="20% - Accent1 2 4 2 3 2 4 4 5" xfId="38111"/>
    <cellStyle name="20% - Accent1 2 4 2 3 2 4 5" xfId="12696"/>
    <cellStyle name="20% - Accent1 2 4 2 3 2 4 5 2" xfId="24497"/>
    <cellStyle name="20% - Accent1 2 4 2 3 2 4 5 2 2" xfId="52755"/>
    <cellStyle name="20% - Accent1 2 4 2 3 2 4 5 3" xfId="38112"/>
    <cellStyle name="20% - Accent1 2 4 2 3 2 4 6" xfId="6156"/>
    <cellStyle name="20% - Accent1 2 4 2 3 2 4 6 2" xfId="44541"/>
    <cellStyle name="20% - Accent1 2 4 2 3 2 4 7" xfId="17957"/>
    <cellStyle name="20% - Accent1 2 4 2 3 2 4 7 2" xfId="52756"/>
    <cellStyle name="20% - Accent1 2 4 2 3 2 4 8" xfId="31572"/>
    <cellStyle name="20% - Accent1 2 4 2 3 2 5" xfId="943"/>
    <cellStyle name="20% - Accent1 2 4 2 3 2 5 2" xfId="1250"/>
    <cellStyle name="20% - Accent1 2 4 2 3 2 5 2 2" xfId="5012"/>
    <cellStyle name="20% - Accent1 2 4 2 3 2 5 2 2 2" xfId="12697"/>
    <cellStyle name="20% - Accent1 2 4 2 3 2 5 2 2 2 2" xfId="24498"/>
    <cellStyle name="20% - Accent1 2 4 2 3 2 5 2 2 2 2 2" xfId="52757"/>
    <cellStyle name="20% - Accent1 2 4 2 3 2 5 2 2 2 3" xfId="38113"/>
    <cellStyle name="20% - Accent1 2 4 2 3 2 5 2 2 3" xfId="10465"/>
    <cellStyle name="20% - Accent1 2 4 2 3 2 5 2 2 3 2" xfId="44542"/>
    <cellStyle name="20% - Accent1 2 4 2 3 2 5 2 2 4" xfId="22266"/>
    <cellStyle name="20% - Accent1 2 4 2 3 2 5 2 2 4 2" xfId="52758"/>
    <cellStyle name="20% - Accent1 2 4 2 3 2 5 2 2 5" xfId="35881"/>
    <cellStyle name="20% - Accent1 2 4 2 3 2 5 2 3" xfId="12698"/>
    <cellStyle name="20% - Accent1 2 4 2 3 2 5 2 3 2" xfId="24499"/>
    <cellStyle name="20% - Accent1 2 4 2 3 2 5 2 3 2 2" xfId="44543"/>
    <cellStyle name="20% - Accent1 2 4 2 3 2 5 2 3 3" xfId="29627"/>
    <cellStyle name="20% - Accent1 2 4 2 3 2 5 2 3 3 2" xfId="44544"/>
    <cellStyle name="20% - Accent1 2 4 2 3 2 5 2 3 4" xfId="29628"/>
    <cellStyle name="20% - Accent1 2 4 2 3 2 5 2 3 4 2" xfId="52759"/>
    <cellStyle name="20% - Accent1 2 4 2 3 2 5 2 3 5" xfId="38114"/>
    <cellStyle name="20% - Accent1 2 4 2 3 2 5 2 4" xfId="12699"/>
    <cellStyle name="20% - Accent1 2 4 2 3 2 5 2 4 2" xfId="24500"/>
    <cellStyle name="20% - Accent1 2 4 2 3 2 5 2 4 2 2" xfId="52760"/>
    <cellStyle name="20% - Accent1 2 4 2 3 2 5 2 4 3" xfId="38115"/>
    <cellStyle name="20% - Accent1 2 4 2 3 2 5 2 5" xfId="6704"/>
    <cellStyle name="20% - Accent1 2 4 2 3 2 5 2 5 2" xfId="44545"/>
    <cellStyle name="20% - Accent1 2 4 2 3 2 5 2 6" xfId="18505"/>
    <cellStyle name="20% - Accent1 2 4 2 3 2 5 2 6 2" xfId="52761"/>
    <cellStyle name="20% - Accent1 2 4 2 3 2 5 2 7" xfId="32120"/>
    <cellStyle name="20% - Accent1 2 4 2 3 2 5 3" xfId="3171"/>
    <cellStyle name="20% - Accent1 2 4 2 3 2 5 3 2" xfId="12700"/>
    <cellStyle name="20% - Accent1 2 4 2 3 2 5 3 2 2" xfId="24501"/>
    <cellStyle name="20% - Accent1 2 4 2 3 2 5 3 2 2 2" xfId="52762"/>
    <cellStyle name="20% - Accent1 2 4 2 3 2 5 3 2 3" xfId="38116"/>
    <cellStyle name="20% - Accent1 2 4 2 3 2 5 3 3" xfId="8624"/>
    <cellStyle name="20% - Accent1 2 4 2 3 2 5 3 3 2" xfId="44546"/>
    <cellStyle name="20% - Accent1 2 4 2 3 2 5 3 4" xfId="20425"/>
    <cellStyle name="20% - Accent1 2 4 2 3 2 5 3 4 2" xfId="52763"/>
    <cellStyle name="20% - Accent1 2 4 2 3 2 5 3 5" xfId="34040"/>
    <cellStyle name="20% - Accent1 2 4 2 3 2 5 4" xfId="12701"/>
    <cellStyle name="20% - Accent1 2 4 2 3 2 5 4 2" xfId="24502"/>
    <cellStyle name="20% - Accent1 2 4 2 3 2 5 4 2 2" xfId="44547"/>
    <cellStyle name="20% - Accent1 2 4 2 3 2 5 4 3" xfId="29629"/>
    <cellStyle name="20% - Accent1 2 4 2 3 2 5 4 3 2" xfId="44548"/>
    <cellStyle name="20% - Accent1 2 4 2 3 2 5 4 4" xfId="29630"/>
    <cellStyle name="20% - Accent1 2 4 2 3 2 5 4 4 2" xfId="52764"/>
    <cellStyle name="20% - Accent1 2 4 2 3 2 5 4 5" xfId="38117"/>
    <cellStyle name="20% - Accent1 2 4 2 3 2 5 5" xfId="12702"/>
    <cellStyle name="20% - Accent1 2 4 2 3 2 5 5 2" xfId="24503"/>
    <cellStyle name="20% - Accent1 2 4 2 3 2 5 5 2 2" xfId="52765"/>
    <cellStyle name="20% - Accent1 2 4 2 3 2 5 5 3" xfId="38118"/>
    <cellStyle name="20% - Accent1 2 4 2 3 2 5 6" xfId="6397"/>
    <cellStyle name="20% - Accent1 2 4 2 3 2 5 6 2" xfId="44549"/>
    <cellStyle name="20% - Accent1 2 4 2 3 2 5 7" xfId="18198"/>
    <cellStyle name="20% - Accent1 2 4 2 3 2 5 7 2" xfId="52766"/>
    <cellStyle name="20% - Accent1 2 4 2 3 2 5 8" xfId="31813"/>
    <cellStyle name="20% - Accent1 2 4 2 3 2 6" xfId="1251"/>
    <cellStyle name="20% - Accent1 2 4 2 3 2 6 2" xfId="3876"/>
    <cellStyle name="20% - Accent1 2 4 2 3 2 6 2 2" xfId="12703"/>
    <cellStyle name="20% - Accent1 2 4 2 3 2 6 2 2 2" xfId="24504"/>
    <cellStyle name="20% - Accent1 2 4 2 3 2 6 2 2 2 2" xfId="52767"/>
    <cellStyle name="20% - Accent1 2 4 2 3 2 6 2 2 3" xfId="38119"/>
    <cellStyle name="20% - Accent1 2 4 2 3 2 6 2 3" xfId="9329"/>
    <cellStyle name="20% - Accent1 2 4 2 3 2 6 2 3 2" xfId="44550"/>
    <cellStyle name="20% - Accent1 2 4 2 3 2 6 2 4" xfId="21130"/>
    <cellStyle name="20% - Accent1 2 4 2 3 2 6 2 4 2" xfId="52768"/>
    <cellStyle name="20% - Accent1 2 4 2 3 2 6 2 5" xfId="34745"/>
    <cellStyle name="20% - Accent1 2 4 2 3 2 6 3" xfId="12704"/>
    <cellStyle name="20% - Accent1 2 4 2 3 2 6 3 2" xfId="24505"/>
    <cellStyle name="20% - Accent1 2 4 2 3 2 6 3 2 2" xfId="44551"/>
    <cellStyle name="20% - Accent1 2 4 2 3 2 6 3 3" xfId="29631"/>
    <cellStyle name="20% - Accent1 2 4 2 3 2 6 3 3 2" xfId="44552"/>
    <cellStyle name="20% - Accent1 2 4 2 3 2 6 3 4" xfId="29632"/>
    <cellStyle name="20% - Accent1 2 4 2 3 2 6 3 4 2" xfId="52769"/>
    <cellStyle name="20% - Accent1 2 4 2 3 2 6 3 5" xfId="38120"/>
    <cellStyle name="20% - Accent1 2 4 2 3 2 6 4" xfId="12705"/>
    <cellStyle name="20% - Accent1 2 4 2 3 2 6 4 2" xfId="24506"/>
    <cellStyle name="20% - Accent1 2 4 2 3 2 6 4 2 2" xfId="52770"/>
    <cellStyle name="20% - Accent1 2 4 2 3 2 6 4 3" xfId="38121"/>
    <cellStyle name="20% - Accent1 2 4 2 3 2 6 5" xfId="6705"/>
    <cellStyle name="20% - Accent1 2 4 2 3 2 6 5 2" xfId="44553"/>
    <cellStyle name="20% - Accent1 2 4 2 3 2 6 6" xfId="18506"/>
    <cellStyle name="20% - Accent1 2 4 2 3 2 6 6 2" xfId="52771"/>
    <cellStyle name="20% - Accent1 2 4 2 3 2 6 7" xfId="32121"/>
    <cellStyle name="20% - Accent1 2 4 2 3 2 7" xfId="3739"/>
    <cellStyle name="20% - Accent1 2 4 2 3 2 7 2" xfId="12706"/>
    <cellStyle name="20% - Accent1 2 4 2 3 2 7 2 2" xfId="24507"/>
    <cellStyle name="20% - Accent1 2 4 2 3 2 7 2 2 2" xfId="52772"/>
    <cellStyle name="20% - Accent1 2 4 2 3 2 7 2 3" xfId="38122"/>
    <cellStyle name="20% - Accent1 2 4 2 3 2 7 3" xfId="9192"/>
    <cellStyle name="20% - Accent1 2 4 2 3 2 7 3 2" xfId="44554"/>
    <cellStyle name="20% - Accent1 2 4 2 3 2 7 4" xfId="20993"/>
    <cellStyle name="20% - Accent1 2 4 2 3 2 7 4 2" xfId="52773"/>
    <cellStyle name="20% - Accent1 2 4 2 3 2 7 5" xfId="34608"/>
    <cellStyle name="20% - Accent1 2 4 2 3 2 8" xfId="2035"/>
    <cellStyle name="20% - Accent1 2 4 2 3 2 8 2" xfId="12707"/>
    <cellStyle name="20% - Accent1 2 4 2 3 2 8 2 2" xfId="24508"/>
    <cellStyle name="20% - Accent1 2 4 2 3 2 8 2 2 2" xfId="52774"/>
    <cellStyle name="20% - Accent1 2 4 2 3 2 8 2 3" xfId="38123"/>
    <cellStyle name="20% - Accent1 2 4 2 3 2 8 3" xfId="7488"/>
    <cellStyle name="20% - Accent1 2 4 2 3 2 8 3 2" xfId="44555"/>
    <cellStyle name="20% - Accent1 2 4 2 3 2 8 4" xfId="19289"/>
    <cellStyle name="20% - Accent1 2 4 2 3 2 8 4 2" xfId="52775"/>
    <cellStyle name="20% - Accent1 2 4 2 3 2 8 5" xfId="32904"/>
    <cellStyle name="20% - Accent1 2 4 2 3 2 9" xfId="12708"/>
    <cellStyle name="20% - Accent1 2 4 2 3 2 9 2" xfId="24509"/>
    <cellStyle name="20% - Accent1 2 4 2 3 2 9 2 2" xfId="52776"/>
    <cellStyle name="20% - Accent1 2 4 2 3 2 9 3" xfId="38124"/>
    <cellStyle name="20% - Accent1 2 4 2 3 3" xfId="206"/>
    <cellStyle name="20% - Accent1 2 4 2 3 3 10" xfId="31076"/>
    <cellStyle name="20% - Accent1 2 4 2 3 3 2" xfId="494"/>
    <cellStyle name="20% - Accent1 2 4 2 3 3 2 2" xfId="1252"/>
    <cellStyle name="20% - Accent1 2 4 2 3 3 2 2 2" xfId="4804"/>
    <cellStyle name="20% - Accent1 2 4 2 3 3 2 2 2 2" xfId="12709"/>
    <cellStyle name="20% - Accent1 2 4 2 3 3 2 2 2 2 2" xfId="24510"/>
    <cellStyle name="20% - Accent1 2 4 2 3 3 2 2 2 2 2 2" xfId="52777"/>
    <cellStyle name="20% - Accent1 2 4 2 3 3 2 2 2 2 3" xfId="38125"/>
    <cellStyle name="20% - Accent1 2 4 2 3 3 2 2 2 3" xfId="10257"/>
    <cellStyle name="20% - Accent1 2 4 2 3 3 2 2 2 3 2" xfId="44556"/>
    <cellStyle name="20% - Accent1 2 4 2 3 3 2 2 2 4" xfId="22058"/>
    <cellStyle name="20% - Accent1 2 4 2 3 3 2 2 2 4 2" xfId="52778"/>
    <cellStyle name="20% - Accent1 2 4 2 3 3 2 2 2 5" xfId="35673"/>
    <cellStyle name="20% - Accent1 2 4 2 3 3 2 2 3" xfId="2963"/>
    <cellStyle name="20% - Accent1 2 4 2 3 3 2 2 3 2" xfId="12710"/>
    <cellStyle name="20% - Accent1 2 4 2 3 3 2 2 3 2 2" xfId="24511"/>
    <cellStyle name="20% - Accent1 2 4 2 3 3 2 2 3 2 2 2" xfId="52779"/>
    <cellStyle name="20% - Accent1 2 4 2 3 3 2 2 3 2 3" xfId="38126"/>
    <cellStyle name="20% - Accent1 2 4 2 3 3 2 2 3 3" xfId="8416"/>
    <cellStyle name="20% - Accent1 2 4 2 3 3 2 2 3 3 2" xfId="44557"/>
    <cellStyle name="20% - Accent1 2 4 2 3 3 2 2 3 4" xfId="20217"/>
    <cellStyle name="20% - Accent1 2 4 2 3 3 2 2 3 4 2" xfId="52780"/>
    <cellStyle name="20% - Accent1 2 4 2 3 3 2 2 3 5" xfId="33832"/>
    <cellStyle name="20% - Accent1 2 4 2 3 3 2 2 4" xfId="12711"/>
    <cellStyle name="20% - Accent1 2 4 2 3 3 2 2 4 2" xfId="24512"/>
    <cellStyle name="20% - Accent1 2 4 2 3 3 2 2 4 2 2" xfId="52781"/>
    <cellStyle name="20% - Accent1 2 4 2 3 3 2 2 4 3" xfId="38127"/>
    <cellStyle name="20% - Accent1 2 4 2 3 3 2 2 5" xfId="6706"/>
    <cellStyle name="20% - Accent1 2 4 2 3 3 2 2 5 2" xfId="44558"/>
    <cellStyle name="20% - Accent1 2 4 2 3 3 2 2 6" xfId="18507"/>
    <cellStyle name="20% - Accent1 2 4 2 3 3 2 2 6 2" xfId="52782"/>
    <cellStyle name="20% - Accent1 2 4 2 3 3 2 2 7" xfId="32122"/>
    <cellStyle name="20% - Accent1 2 4 2 3 3 2 3" xfId="3531"/>
    <cellStyle name="20% - Accent1 2 4 2 3 3 2 3 2" xfId="5372"/>
    <cellStyle name="20% - Accent1 2 4 2 3 3 2 3 2 2" xfId="16842"/>
    <cellStyle name="20% - Accent1 2 4 2 3 3 2 3 2 2 2" xfId="28643"/>
    <cellStyle name="20% - Accent1 2 4 2 3 3 2 3 2 2 2 2" xfId="52783"/>
    <cellStyle name="20% - Accent1 2 4 2 3 3 2 3 2 2 3" xfId="42258"/>
    <cellStyle name="20% - Accent1 2 4 2 3 3 2 3 2 3" xfId="10825"/>
    <cellStyle name="20% - Accent1 2 4 2 3 3 2 3 2 3 2" xfId="52784"/>
    <cellStyle name="20% - Accent1 2 4 2 3 3 2 3 2 4" xfId="22626"/>
    <cellStyle name="20% - Accent1 2 4 2 3 3 2 3 2 4 2" xfId="52785"/>
    <cellStyle name="20% - Accent1 2 4 2 3 3 2 3 2 5" xfId="36241"/>
    <cellStyle name="20% - Accent1 2 4 2 3 3 2 3 3" xfId="12712"/>
    <cellStyle name="20% - Accent1 2 4 2 3 3 2 3 3 2" xfId="24513"/>
    <cellStyle name="20% - Accent1 2 4 2 3 3 2 3 3 2 2" xfId="52786"/>
    <cellStyle name="20% - Accent1 2 4 2 3 3 2 3 3 3" xfId="38128"/>
    <cellStyle name="20% - Accent1 2 4 2 3 3 2 3 4" xfId="8984"/>
    <cellStyle name="20% - Accent1 2 4 2 3 3 2 3 4 2" xfId="52787"/>
    <cellStyle name="20% - Accent1 2 4 2 3 3 2 3 5" xfId="20785"/>
    <cellStyle name="20% - Accent1 2 4 2 3 3 2 3 5 2" xfId="52788"/>
    <cellStyle name="20% - Accent1 2 4 2 3 3 2 3 6" xfId="34400"/>
    <cellStyle name="20% - Accent1 2 4 2 3 3 2 4" xfId="4236"/>
    <cellStyle name="20% - Accent1 2 4 2 3 3 2 4 2" xfId="12713"/>
    <cellStyle name="20% - Accent1 2 4 2 3 3 2 4 2 2" xfId="24514"/>
    <cellStyle name="20% - Accent1 2 4 2 3 3 2 4 2 2 2" xfId="52789"/>
    <cellStyle name="20% - Accent1 2 4 2 3 3 2 4 2 3" xfId="38129"/>
    <cellStyle name="20% - Accent1 2 4 2 3 3 2 4 3" xfId="9689"/>
    <cellStyle name="20% - Accent1 2 4 2 3 3 2 4 3 2" xfId="44559"/>
    <cellStyle name="20% - Accent1 2 4 2 3 3 2 4 4" xfId="21490"/>
    <cellStyle name="20% - Accent1 2 4 2 3 3 2 4 4 2" xfId="52790"/>
    <cellStyle name="20% - Accent1 2 4 2 3 3 2 4 5" xfId="35105"/>
    <cellStyle name="20% - Accent1 2 4 2 3 3 2 5" xfId="2395"/>
    <cellStyle name="20% - Accent1 2 4 2 3 3 2 5 2" xfId="17028"/>
    <cellStyle name="20% - Accent1 2 4 2 3 3 2 5 2 2" xfId="28829"/>
    <cellStyle name="20% - Accent1 2 4 2 3 3 2 5 2 2 2" xfId="52791"/>
    <cellStyle name="20% - Accent1 2 4 2 3 3 2 5 2 3" xfId="42444"/>
    <cellStyle name="20% - Accent1 2 4 2 3 3 2 5 3" xfId="7848"/>
    <cellStyle name="20% - Accent1 2 4 2 3 3 2 5 3 2" xfId="52792"/>
    <cellStyle name="20% - Accent1 2 4 2 3 3 2 5 4" xfId="19649"/>
    <cellStyle name="20% - Accent1 2 4 2 3 3 2 5 4 2" xfId="52793"/>
    <cellStyle name="20% - Accent1 2 4 2 3 3 2 5 5" xfId="33264"/>
    <cellStyle name="20% - Accent1 2 4 2 3 3 2 6" xfId="12714"/>
    <cellStyle name="20% - Accent1 2 4 2 3 3 2 6 2" xfId="24515"/>
    <cellStyle name="20% - Accent1 2 4 2 3 3 2 6 2 2" xfId="52794"/>
    <cellStyle name="20% - Accent1 2 4 2 3 3 2 6 3" xfId="38130"/>
    <cellStyle name="20% - Accent1 2 4 2 3 3 2 7" xfId="5948"/>
    <cellStyle name="20% - Accent1 2 4 2 3 3 2 7 2" xfId="52795"/>
    <cellStyle name="20% - Accent1 2 4 2 3 3 2 8" xfId="17749"/>
    <cellStyle name="20% - Accent1 2 4 2 3 3 2 8 2" xfId="52796"/>
    <cellStyle name="20% - Accent1 2 4 2 3 3 2 9" xfId="31364"/>
    <cellStyle name="20% - Accent1 2 4 2 3 3 3" xfId="774"/>
    <cellStyle name="20% - Accent1 2 4 2 3 3 3 2" xfId="1253"/>
    <cellStyle name="20% - Accent1 2 4 2 3 3 3 2 2" xfId="4516"/>
    <cellStyle name="20% - Accent1 2 4 2 3 3 3 2 2 2" xfId="12715"/>
    <cellStyle name="20% - Accent1 2 4 2 3 3 3 2 2 2 2" xfId="24516"/>
    <cellStyle name="20% - Accent1 2 4 2 3 3 3 2 2 2 2 2" xfId="52797"/>
    <cellStyle name="20% - Accent1 2 4 2 3 3 3 2 2 2 3" xfId="38131"/>
    <cellStyle name="20% - Accent1 2 4 2 3 3 3 2 2 3" xfId="9969"/>
    <cellStyle name="20% - Accent1 2 4 2 3 3 3 2 2 3 2" xfId="44560"/>
    <cellStyle name="20% - Accent1 2 4 2 3 3 3 2 2 4" xfId="21770"/>
    <cellStyle name="20% - Accent1 2 4 2 3 3 3 2 2 4 2" xfId="52798"/>
    <cellStyle name="20% - Accent1 2 4 2 3 3 3 2 2 5" xfId="35385"/>
    <cellStyle name="20% - Accent1 2 4 2 3 3 3 2 3" xfId="12716"/>
    <cellStyle name="20% - Accent1 2 4 2 3 3 3 2 3 2" xfId="24517"/>
    <cellStyle name="20% - Accent1 2 4 2 3 3 3 2 3 2 2" xfId="44561"/>
    <cellStyle name="20% - Accent1 2 4 2 3 3 3 2 3 3" xfId="29633"/>
    <cellStyle name="20% - Accent1 2 4 2 3 3 3 2 3 3 2" xfId="44562"/>
    <cellStyle name="20% - Accent1 2 4 2 3 3 3 2 3 4" xfId="29634"/>
    <cellStyle name="20% - Accent1 2 4 2 3 3 3 2 3 4 2" xfId="52799"/>
    <cellStyle name="20% - Accent1 2 4 2 3 3 3 2 3 5" xfId="38132"/>
    <cellStyle name="20% - Accent1 2 4 2 3 3 3 2 4" xfId="12717"/>
    <cellStyle name="20% - Accent1 2 4 2 3 3 3 2 4 2" xfId="24518"/>
    <cellStyle name="20% - Accent1 2 4 2 3 3 3 2 4 2 2" xfId="52800"/>
    <cellStyle name="20% - Accent1 2 4 2 3 3 3 2 4 3" xfId="38133"/>
    <cellStyle name="20% - Accent1 2 4 2 3 3 3 2 5" xfId="6707"/>
    <cellStyle name="20% - Accent1 2 4 2 3 3 3 2 5 2" xfId="44563"/>
    <cellStyle name="20% - Accent1 2 4 2 3 3 3 2 6" xfId="18508"/>
    <cellStyle name="20% - Accent1 2 4 2 3 3 3 2 6 2" xfId="52801"/>
    <cellStyle name="20% - Accent1 2 4 2 3 3 3 2 7" xfId="32123"/>
    <cellStyle name="20% - Accent1 2 4 2 3 3 3 3" xfId="2675"/>
    <cellStyle name="20% - Accent1 2 4 2 3 3 3 3 2" xfId="12718"/>
    <cellStyle name="20% - Accent1 2 4 2 3 3 3 3 2 2" xfId="24519"/>
    <cellStyle name="20% - Accent1 2 4 2 3 3 3 3 2 2 2" xfId="52802"/>
    <cellStyle name="20% - Accent1 2 4 2 3 3 3 3 2 3" xfId="38134"/>
    <cellStyle name="20% - Accent1 2 4 2 3 3 3 3 3" xfId="8128"/>
    <cellStyle name="20% - Accent1 2 4 2 3 3 3 3 3 2" xfId="44564"/>
    <cellStyle name="20% - Accent1 2 4 2 3 3 3 3 4" xfId="19929"/>
    <cellStyle name="20% - Accent1 2 4 2 3 3 3 3 4 2" xfId="52803"/>
    <cellStyle name="20% - Accent1 2 4 2 3 3 3 3 5" xfId="33544"/>
    <cellStyle name="20% - Accent1 2 4 2 3 3 3 4" xfId="12719"/>
    <cellStyle name="20% - Accent1 2 4 2 3 3 3 4 2" xfId="24520"/>
    <cellStyle name="20% - Accent1 2 4 2 3 3 3 4 2 2" xfId="44565"/>
    <cellStyle name="20% - Accent1 2 4 2 3 3 3 4 3" xfId="29635"/>
    <cellStyle name="20% - Accent1 2 4 2 3 3 3 4 3 2" xfId="44566"/>
    <cellStyle name="20% - Accent1 2 4 2 3 3 3 4 4" xfId="29636"/>
    <cellStyle name="20% - Accent1 2 4 2 3 3 3 4 4 2" xfId="52804"/>
    <cellStyle name="20% - Accent1 2 4 2 3 3 3 4 5" xfId="38135"/>
    <cellStyle name="20% - Accent1 2 4 2 3 3 3 5" xfId="12720"/>
    <cellStyle name="20% - Accent1 2 4 2 3 3 3 5 2" xfId="24521"/>
    <cellStyle name="20% - Accent1 2 4 2 3 3 3 5 2 2" xfId="52805"/>
    <cellStyle name="20% - Accent1 2 4 2 3 3 3 5 3" xfId="38136"/>
    <cellStyle name="20% - Accent1 2 4 2 3 3 3 6" xfId="6228"/>
    <cellStyle name="20% - Accent1 2 4 2 3 3 3 6 2" xfId="44567"/>
    <cellStyle name="20% - Accent1 2 4 2 3 3 3 7" xfId="18029"/>
    <cellStyle name="20% - Accent1 2 4 2 3 3 3 7 2" xfId="52806"/>
    <cellStyle name="20% - Accent1 2 4 2 3 3 3 8" xfId="31644"/>
    <cellStyle name="20% - Accent1 2 4 2 3 3 4" xfId="1254"/>
    <cellStyle name="20% - Accent1 2 4 2 3 3 4 2" xfId="5084"/>
    <cellStyle name="20% - Accent1 2 4 2 3 3 4 2 2" xfId="12721"/>
    <cellStyle name="20% - Accent1 2 4 2 3 3 4 2 2 2" xfId="24522"/>
    <cellStyle name="20% - Accent1 2 4 2 3 3 4 2 2 2 2" xfId="52807"/>
    <cellStyle name="20% - Accent1 2 4 2 3 3 4 2 2 3" xfId="38137"/>
    <cellStyle name="20% - Accent1 2 4 2 3 3 4 2 3" xfId="10537"/>
    <cellStyle name="20% - Accent1 2 4 2 3 3 4 2 3 2" xfId="44568"/>
    <cellStyle name="20% - Accent1 2 4 2 3 3 4 2 4" xfId="22338"/>
    <cellStyle name="20% - Accent1 2 4 2 3 3 4 2 4 2" xfId="52808"/>
    <cellStyle name="20% - Accent1 2 4 2 3 3 4 2 5" xfId="35953"/>
    <cellStyle name="20% - Accent1 2 4 2 3 3 4 3" xfId="3243"/>
    <cellStyle name="20% - Accent1 2 4 2 3 3 4 3 2" xfId="12722"/>
    <cellStyle name="20% - Accent1 2 4 2 3 3 4 3 2 2" xfId="24523"/>
    <cellStyle name="20% - Accent1 2 4 2 3 3 4 3 2 2 2" xfId="52809"/>
    <cellStyle name="20% - Accent1 2 4 2 3 3 4 3 2 3" xfId="38138"/>
    <cellStyle name="20% - Accent1 2 4 2 3 3 4 3 3" xfId="8696"/>
    <cellStyle name="20% - Accent1 2 4 2 3 3 4 3 3 2" xfId="44569"/>
    <cellStyle name="20% - Accent1 2 4 2 3 3 4 3 4" xfId="20497"/>
    <cellStyle name="20% - Accent1 2 4 2 3 3 4 3 4 2" xfId="52810"/>
    <cellStyle name="20% - Accent1 2 4 2 3 3 4 3 5" xfId="34112"/>
    <cellStyle name="20% - Accent1 2 4 2 3 3 4 4" xfId="12723"/>
    <cellStyle name="20% - Accent1 2 4 2 3 3 4 4 2" xfId="24524"/>
    <cellStyle name="20% - Accent1 2 4 2 3 3 4 4 2 2" xfId="52811"/>
    <cellStyle name="20% - Accent1 2 4 2 3 3 4 4 3" xfId="38139"/>
    <cellStyle name="20% - Accent1 2 4 2 3 3 4 5" xfId="6708"/>
    <cellStyle name="20% - Accent1 2 4 2 3 3 4 5 2" xfId="44570"/>
    <cellStyle name="20% - Accent1 2 4 2 3 3 4 6" xfId="18509"/>
    <cellStyle name="20% - Accent1 2 4 2 3 3 4 6 2" xfId="52812"/>
    <cellStyle name="20% - Accent1 2 4 2 3 3 4 7" xfId="32124"/>
    <cellStyle name="20% - Accent1 2 4 2 3 3 5" xfId="3948"/>
    <cellStyle name="20% - Accent1 2 4 2 3 3 5 2" xfId="12724"/>
    <cellStyle name="20% - Accent1 2 4 2 3 3 5 2 2" xfId="24525"/>
    <cellStyle name="20% - Accent1 2 4 2 3 3 5 2 2 2" xfId="52813"/>
    <cellStyle name="20% - Accent1 2 4 2 3 3 5 2 3" xfId="38140"/>
    <cellStyle name="20% - Accent1 2 4 2 3 3 5 3" xfId="9401"/>
    <cellStyle name="20% - Accent1 2 4 2 3 3 5 3 2" xfId="44571"/>
    <cellStyle name="20% - Accent1 2 4 2 3 3 5 4" xfId="21202"/>
    <cellStyle name="20% - Accent1 2 4 2 3 3 5 4 2" xfId="52814"/>
    <cellStyle name="20% - Accent1 2 4 2 3 3 5 5" xfId="34817"/>
    <cellStyle name="20% - Accent1 2 4 2 3 3 6" xfId="2107"/>
    <cellStyle name="20% - Accent1 2 4 2 3 3 6 2" xfId="12725"/>
    <cellStyle name="20% - Accent1 2 4 2 3 3 6 2 2" xfId="24526"/>
    <cellStyle name="20% - Accent1 2 4 2 3 3 6 2 2 2" xfId="52815"/>
    <cellStyle name="20% - Accent1 2 4 2 3 3 6 2 3" xfId="38141"/>
    <cellStyle name="20% - Accent1 2 4 2 3 3 6 3" xfId="7560"/>
    <cellStyle name="20% - Accent1 2 4 2 3 3 6 3 2" xfId="44572"/>
    <cellStyle name="20% - Accent1 2 4 2 3 3 6 4" xfId="19361"/>
    <cellStyle name="20% - Accent1 2 4 2 3 3 6 4 2" xfId="52816"/>
    <cellStyle name="20% - Accent1 2 4 2 3 3 6 5" xfId="32976"/>
    <cellStyle name="20% - Accent1 2 4 2 3 3 7" xfId="12726"/>
    <cellStyle name="20% - Accent1 2 4 2 3 3 7 2" xfId="24527"/>
    <cellStyle name="20% - Accent1 2 4 2 3 3 7 2 2" xfId="52817"/>
    <cellStyle name="20% - Accent1 2 4 2 3 3 7 3" xfId="38142"/>
    <cellStyle name="20% - Accent1 2 4 2 3 3 8" xfId="5660"/>
    <cellStyle name="20% - Accent1 2 4 2 3 3 8 2" xfId="44573"/>
    <cellStyle name="20% - Accent1 2 4 2 3 3 9" xfId="17461"/>
    <cellStyle name="20% - Accent1 2 4 2 3 3 9 2" xfId="52818"/>
    <cellStyle name="20% - Accent1 2 4 2 3 4" xfId="357"/>
    <cellStyle name="20% - Accent1 2 4 2 3 4 2" xfId="1255"/>
    <cellStyle name="20% - Accent1 2 4 2 3 4 2 2" xfId="4667"/>
    <cellStyle name="20% - Accent1 2 4 2 3 4 2 2 2" xfId="12727"/>
    <cellStyle name="20% - Accent1 2 4 2 3 4 2 2 2 2" xfId="24528"/>
    <cellStyle name="20% - Accent1 2 4 2 3 4 2 2 2 2 2" xfId="52819"/>
    <cellStyle name="20% - Accent1 2 4 2 3 4 2 2 2 3" xfId="38143"/>
    <cellStyle name="20% - Accent1 2 4 2 3 4 2 2 3" xfId="10120"/>
    <cellStyle name="20% - Accent1 2 4 2 3 4 2 2 3 2" xfId="44574"/>
    <cellStyle name="20% - Accent1 2 4 2 3 4 2 2 4" xfId="21921"/>
    <cellStyle name="20% - Accent1 2 4 2 3 4 2 2 4 2" xfId="52820"/>
    <cellStyle name="20% - Accent1 2 4 2 3 4 2 2 5" xfId="35536"/>
    <cellStyle name="20% - Accent1 2 4 2 3 4 2 3" xfId="2826"/>
    <cellStyle name="20% - Accent1 2 4 2 3 4 2 3 2" xfId="12728"/>
    <cellStyle name="20% - Accent1 2 4 2 3 4 2 3 2 2" xfId="24529"/>
    <cellStyle name="20% - Accent1 2 4 2 3 4 2 3 2 2 2" xfId="52821"/>
    <cellStyle name="20% - Accent1 2 4 2 3 4 2 3 2 3" xfId="38144"/>
    <cellStyle name="20% - Accent1 2 4 2 3 4 2 3 3" xfId="8279"/>
    <cellStyle name="20% - Accent1 2 4 2 3 4 2 3 3 2" xfId="44575"/>
    <cellStyle name="20% - Accent1 2 4 2 3 4 2 3 4" xfId="20080"/>
    <cellStyle name="20% - Accent1 2 4 2 3 4 2 3 4 2" xfId="52822"/>
    <cellStyle name="20% - Accent1 2 4 2 3 4 2 3 5" xfId="33695"/>
    <cellStyle name="20% - Accent1 2 4 2 3 4 2 4" xfId="12729"/>
    <cellStyle name="20% - Accent1 2 4 2 3 4 2 4 2" xfId="24530"/>
    <cellStyle name="20% - Accent1 2 4 2 3 4 2 4 2 2" xfId="52823"/>
    <cellStyle name="20% - Accent1 2 4 2 3 4 2 4 3" xfId="38145"/>
    <cellStyle name="20% - Accent1 2 4 2 3 4 2 5" xfId="6709"/>
    <cellStyle name="20% - Accent1 2 4 2 3 4 2 5 2" xfId="44576"/>
    <cellStyle name="20% - Accent1 2 4 2 3 4 2 6" xfId="18510"/>
    <cellStyle name="20% - Accent1 2 4 2 3 4 2 6 2" xfId="52824"/>
    <cellStyle name="20% - Accent1 2 4 2 3 4 2 7" xfId="32125"/>
    <cellStyle name="20% - Accent1 2 4 2 3 4 3" xfId="3394"/>
    <cellStyle name="20% - Accent1 2 4 2 3 4 3 2" xfId="5235"/>
    <cellStyle name="20% - Accent1 2 4 2 3 4 3 2 2" xfId="16705"/>
    <cellStyle name="20% - Accent1 2 4 2 3 4 3 2 2 2" xfId="28506"/>
    <cellStyle name="20% - Accent1 2 4 2 3 4 3 2 2 2 2" xfId="52825"/>
    <cellStyle name="20% - Accent1 2 4 2 3 4 3 2 2 3" xfId="42121"/>
    <cellStyle name="20% - Accent1 2 4 2 3 4 3 2 3" xfId="10688"/>
    <cellStyle name="20% - Accent1 2 4 2 3 4 3 2 3 2" xfId="52826"/>
    <cellStyle name="20% - Accent1 2 4 2 3 4 3 2 4" xfId="22489"/>
    <cellStyle name="20% - Accent1 2 4 2 3 4 3 2 4 2" xfId="52827"/>
    <cellStyle name="20% - Accent1 2 4 2 3 4 3 2 5" xfId="36104"/>
    <cellStyle name="20% - Accent1 2 4 2 3 4 3 3" xfId="12730"/>
    <cellStyle name="20% - Accent1 2 4 2 3 4 3 3 2" xfId="24531"/>
    <cellStyle name="20% - Accent1 2 4 2 3 4 3 3 2 2" xfId="52828"/>
    <cellStyle name="20% - Accent1 2 4 2 3 4 3 3 3" xfId="38146"/>
    <cellStyle name="20% - Accent1 2 4 2 3 4 3 4" xfId="8847"/>
    <cellStyle name="20% - Accent1 2 4 2 3 4 3 4 2" xfId="52829"/>
    <cellStyle name="20% - Accent1 2 4 2 3 4 3 5" xfId="20648"/>
    <cellStyle name="20% - Accent1 2 4 2 3 4 3 5 2" xfId="52830"/>
    <cellStyle name="20% - Accent1 2 4 2 3 4 3 6" xfId="34263"/>
    <cellStyle name="20% - Accent1 2 4 2 3 4 4" xfId="4099"/>
    <cellStyle name="20% - Accent1 2 4 2 3 4 4 2" xfId="12731"/>
    <cellStyle name="20% - Accent1 2 4 2 3 4 4 2 2" xfId="24532"/>
    <cellStyle name="20% - Accent1 2 4 2 3 4 4 2 2 2" xfId="52831"/>
    <cellStyle name="20% - Accent1 2 4 2 3 4 4 2 3" xfId="38147"/>
    <cellStyle name="20% - Accent1 2 4 2 3 4 4 3" xfId="9552"/>
    <cellStyle name="20% - Accent1 2 4 2 3 4 4 3 2" xfId="44577"/>
    <cellStyle name="20% - Accent1 2 4 2 3 4 4 4" xfId="21353"/>
    <cellStyle name="20% - Accent1 2 4 2 3 4 4 4 2" xfId="52832"/>
    <cellStyle name="20% - Accent1 2 4 2 3 4 4 5" xfId="34968"/>
    <cellStyle name="20% - Accent1 2 4 2 3 4 5" xfId="2258"/>
    <cellStyle name="20% - Accent1 2 4 2 3 4 5 2" xfId="17029"/>
    <cellStyle name="20% - Accent1 2 4 2 3 4 5 2 2" xfId="28830"/>
    <cellStyle name="20% - Accent1 2 4 2 3 4 5 2 2 2" xfId="52833"/>
    <cellStyle name="20% - Accent1 2 4 2 3 4 5 2 3" xfId="42445"/>
    <cellStyle name="20% - Accent1 2 4 2 3 4 5 3" xfId="7711"/>
    <cellStyle name="20% - Accent1 2 4 2 3 4 5 3 2" xfId="52834"/>
    <cellStyle name="20% - Accent1 2 4 2 3 4 5 4" xfId="19512"/>
    <cellStyle name="20% - Accent1 2 4 2 3 4 5 4 2" xfId="52835"/>
    <cellStyle name="20% - Accent1 2 4 2 3 4 5 5" xfId="33127"/>
    <cellStyle name="20% - Accent1 2 4 2 3 4 6" xfId="12732"/>
    <cellStyle name="20% - Accent1 2 4 2 3 4 6 2" xfId="24533"/>
    <cellStyle name="20% - Accent1 2 4 2 3 4 6 2 2" xfId="52836"/>
    <cellStyle name="20% - Accent1 2 4 2 3 4 6 3" xfId="38148"/>
    <cellStyle name="20% - Accent1 2 4 2 3 4 7" xfId="5811"/>
    <cellStyle name="20% - Accent1 2 4 2 3 4 7 2" xfId="52837"/>
    <cellStyle name="20% - Accent1 2 4 2 3 4 8" xfId="17612"/>
    <cellStyle name="20% - Accent1 2 4 2 3 4 8 2" xfId="52838"/>
    <cellStyle name="20% - Accent1 2 4 2 3 4 9" xfId="31227"/>
    <cellStyle name="20% - Accent1 2 4 2 3 5" xfId="635"/>
    <cellStyle name="20% - Accent1 2 4 2 3 5 2" xfId="1256"/>
    <cellStyle name="20% - Accent1 2 4 2 3 5 2 2" xfId="4377"/>
    <cellStyle name="20% - Accent1 2 4 2 3 5 2 2 2" xfId="12733"/>
    <cellStyle name="20% - Accent1 2 4 2 3 5 2 2 2 2" xfId="24534"/>
    <cellStyle name="20% - Accent1 2 4 2 3 5 2 2 2 2 2" xfId="52839"/>
    <cellStyle name="20% - Accent1 2 4 2 3 5 2 2 2 3" xfId="38149"/>
    <cellStyle name="20% - Accent1 2 4 2 3 5 2 2 3" xfId="9830"/>
    <cellStyle name="20% - Accent1 2 4 2 3 5 2 2 3 2" xfId="44578"/>
    <cellStyle name="20% - Accent1 2 4 2 3 5 2 2 4" xfId="21631"/>
    <cellStyle name="20% - Accent1 2 4 2 3 5 2 2 4 2" xfId="52840"/>
    <cellStyle name="20% - Accent1 2 4 2 3 5 2 2 5" xfId="35246"/>
    <cellStyle name="20% - Accent1 2 4 2 3 5 2 3" xfId="12734"/>
    <cellStyle name="20% - Accent1 2 4 2 3 5 2 3 2" xfId="24535"/>
    <cellStyle name="20% - Accent1 2 4 2 3 5 2 3 2 2" xfId="44579"/>
    <cellStyle name="20% - Accent1 2 4 2 3 5 2 3 3" xfId="29637"/>
    <cellStyle name="20% - Accent1 2 4 2 3 5 2 3 3 2" xfId="44580"/>
    <cellStyle name="20% - Accent1 2 4 2 3 5 2 3 4" xfId="29638"/>
    <cellStyle name="20% - Accent1 2 4 2 3 5 2 3 4 2" xfId="52841"/>
    <cellStyle name="20% - Accent1 2 4 2 3 5 2 3 5" xfId="38150"/>
    <cellStyle name="20% - Accent1 2 4 2 3 5 2 4" xfId="12735"/>
    <cellStyle name="20% - Accent1 2 4 2 3 5 2 4 2" xfId="24536"/>
    <cellStyle name="20% - Accent1 2 4 2 3 5 2 4 2 2" xfId="52842"/>
    <cellStyle name="20% - Accent1 2 4 2 3 5 2 4 3" xfId="38151"/>
    <cellStyle name="20% - Accent1 2 4 2 3 5 2 5" xfId="6710"/>
    <cellStyle name="20% - Accent1 2 4 2 3 5 2 5 2" xfId="44581"/>
    <cellStyle name="20% - Accent1 2 4 2 3 5 2 6" xfId="18511"/>
    <cellStyle name="20% - Accent1 2 4 2 3 5 2 6 2" xfId="52843"/>
    <cellStyle name="20% - Accent1 2 4 2 3 5 2 7" xfId="32126"/>
    <cellStyle name="20% - Accent1 2 4 2 3 5 3" xfId="2536"/>
    <cellStyle name="20% - Accent1 2 4 2 3 5 3 2" xfId="12736"/>
    <cellStyle name="20% - Accent1 2 4 2 3 5 3 2 2" xfId="24537"/>
    <cellStyle name="20% - Accent1 2 4 2 3 5 3 2 2 2" xfId="52844"/>
    <cellStyle name="20% - Accent1 2 4 2 3 5 3 2 3" xfId="38152"/>
    <cellStyle name="20% - Accent1 2 4 2 3 5 3 3" xfId="7989"/>
    <cellStyle name="20% - Accent1 2 4 2 3 5 3 3 2" xfId="44582"/>
    <cellStyle name="20% - Accent1 2 4 2 3 5 3 4" xfId="19790"/>
    <cellStyle name="20% - Accent1 2 4 2 3 5 3 4 2" xfId="52845"/>
    <cellStyle name="20% - Accent1 2 4 2 3 5 3 5" xfId="33405"/>
    <cellStyle name="20% - Accent1 2 4 2 3 5 4" xfId="12737"/>
    <cellStyle name="20% - Accent1 2 4 2 3 5 4 2" xfId="24538"/>
    <cellStyle name="20% - Accent1 2 4 2 3 5 4 2 2" xfId="44583"/>
    <cellStyle name="20% - Accent1 2 4 2 3 5 4 3" xfId="29639"/>
    <cellStyle name="20% - Accent1 2 4 2 3 5 4 3 2" xfId="44584"/>
    <cellStyle name="20% - Accent1 2 4 2 3 5 4 4" xfId="29640"/>
    <cellStyle name="20% - Accent1 2 4 2 3 5 4 4 2" xfId="52846"/>
    <cellStyle name="20% - Accent1 2 4 2 3 5 4 5" xfId="38153"/>
    <cellStyle name="20% - Accent1 2 4 2 3 5 5" xfId="12738"/>
    <cellStyle name="20% - Accent1 2 4 2 3 5 5 2" xfId="24539"/>
    <cellStyle name="20% - Accent1 2 4 2 3 5 5 2 2" xfId="52847"/>
    <cellStyle name="20% - Accent1 2 4 2 3 5 5 3" xfId="38154"/>
    <cellStyle name="20% - Accent1 2 4 2 3 5 6" xfId="6089"/>
    <cellStyle name="20% - Accent1 2 4 2 3 5 6 2" xfId="44585"/>
    <cellStyle name="20% - Accent1 2 4 2 3 5 7" xfId="17890"/>
    <cellStyle name="20% - Accent1 2 4 2 3 5 7 2" xfId="52848"/>
    <cellStyle name="20% - Accent1 2 4 2 3 5 8" xfId="31505"/>
    <cellStyle name="20% - Accent1 2 4 2 3 6" xfId="876"/>
    <cellStyle name="20% - Accent1 2 4 2 3 6 2" xfId="1257"/>
    <cellStyle name="20% - Accent1 2 4 2 3 6 2 2" xfId="4945"/>
    <cellStyle name="20% - Accent1 2 4 2 3 6 2 2 2" xfId="12739"/>
    <cellStyle name="20% - Accent1 2 4 2 3 6 2 2 2 2" xfId="24540"/>
    <cellStyle name="20% - Accent1 2 4 2 3 6 2 2 2 2 2" xfId="52849"/>
    <cellStyle name="20% - Accent1 2 4 2 3 6 2 2 2 3" xfId="38155"/>
    <cellStyle name="20% - Accent1 2 4 2 3 6 2 2 3" xfId="10398"/>
    <cellStyle name="20% - Accent1 2 4 2 3 6 2 2 3 2" xfId="44586"/>
    <cellStyle name="20% - Accent1 2 4 2 3 6 2 2 4" xfId="22199"/>
    <cellStyle name="20% - Accent1 2 4 2 3 6 2 2 4 2" xfId="52850"/>
    <cellStyle name="20% - Accent1 2 4 2 3 6 2 2 5" xfId="35814"/>
    <cellStyle name="20% - Accent1 2 4 2 3 6 2 3" xfId="12740"/>
    <cellStyle name="20% - Accent1 2 4 2 3 6 2 3 2" xfId="24541"/>
    <cellStyle name="20% - Accent1 2 4 2 3 6 2 3 2 2" xfId="44587"/>
    <cellStyle name="20% - Accent1 2 4 2 3 6 2 3 3" xfId="29641"/>
    <cellStyle name="20% - Accent1 2 4 2 3 6 2 3 3 2" xfId="44588"/>
    <cellStyle name="20% - Accent1 2 4 2 3 6 2 3 4" xfId="29642"/>
    <cellStyle name="20% - Accent1 2 4 2 3 6 2 3 4 2" xfId="52851"/>
    <cellStyle name="20% - Accent1 2 4 2 3 6 2 3 5" xfId="38156"/>
    <cellStyle name="20% - Accent1 2 4 2 3 6 2 4" xfId="12741"/>
    <cellStyle name="20% - Accent1 2 4 2 3 6 2 4 2" xfId="24542"/>
    <cellStyle name="20% - Accent1 2 4 2 3 6 2 4 2 2" xfId="52852"/>
    <cellStyle name="20% - Accent1 2 4 2 3 6 2 4 3" xfId="38157"/>
    <cellStyle name="20% - Accent1 2 4 2 3 6 2 5" xfId="6711"/>
    <cellStyle name="20% - Accent1 2 4 2 3 6 2 5 2" xfId="44589"/>
    <cellStyle name="20% - Accent1 2 4 2 3 6 2 6" xfId="18512"/>
    <cellStyle name="20% - Accent1 2 4 2 3 6 2 6 2" xfId="52853"/>
    <cellStyle name="20% - Accent1 2 4 2 3 6 2 7" xfId="32127"/>
    <cellStyle name="20% - Accent1 2 4 2 3 6 3" xfId="3104"/>
    <cellStyle name="20% - Accent1 2 4 2 3 6 3 2" xfId="12742"/>
    <cellStyle name="20% - Accent1 2 4 2 3 6 3 2 2" xfId="24543"/>
    <cellStyle name="20% - Accent1 2 4 2 3 6 3 2 2 2" xfId="52854"/>
    <cellStyle name="20% - Accent1 2 4 2 3 6 3 2 3" xfId="38158"/>
    <cellStyle name="20% - Accent1 2 4 2 3 6 3 3" xfId="8557"/>
    <cellStyle name="20% - Accent1 2 4 2 3 6 3 3 2" xfId="44590"/>
    <cellStyle name="20% - Accent1 2 4 2 3 6 3 4" xfId="20358"/>
    <cellStyle name="20% - Accent1 2 4 2 3 6 3 4 2" xfId="52855"/>
    <cellStyle name="20% - Accent1 2 4 2 3 6 3 5" xfId="33973"/>
    <cellStyle name="20% - Accent1 2 4 2 3 6 4" xfId="12743"/>
    <cellStyle name="20% - Accent1 2 4 2 3 6 4 2" xfId="24544"/>
    <cellStyle name="20% - Accent1 2 4 2 3 6 4 2 2" xfId="44591"/>
    <cellStyle name="20% - Accent1 2 4 2 3 6 4 3" xfId="29643"/>
    <cellStyle name="20% - Accent1 2 4 2 3 6 4 3 2" xfId="44592"/>
    <cellStyle name="20% - Accent1 2 4 2 3 6 4 4" xfId="29644"/>
    <cellStyle name="20% - Accent1 2 4 2 3 6 4 4 2" xfId="52856"/>
    <cellStyle name="20% - Accent1 2 4 2 3 6 4 5" xfId="38159"/>
    <cellStyle name="20% - Accent1 2 4 2 3 6 5" xfId="12744"/>
    <cellStyle name="20% - Accent1 2 4 2 3 6 5 2" xfId="24545"/>
    <cellStyle name="20% - Accent1 2 4 2 3 6 5 2 2" xfId="52857"/>
    <cellStyle name="20% - Accent1 2 4 2 3 6 5 3" xfId="38160"/>
    <cellStyle name="20% - Accent1 2 4 2 3 6 6" xfId="6330"/>
    <cellStyle name="20% - Accent1 2 4 2 3 6 6 2" xfId="44593"/>
    <cellStyle name="20% - Accent1 2 4 2 3 6 7" xfId="18131"/>
    <cellStyle name="20% - Accent1 2 4 2 3 6 7 2" xfId="52858"/>
    <cellStyle name="20% - Accent1 2 4 2 3 6 8" xfId="31746"/>
    <cellStyle name="20% - Accent1 2 4 2 3 7" xfId="1258"/>
    <cellStyle name="20% - Accent1 2 4 2 3 7 2" xfId="3809"/>
    <cellStyle name="20% - Accent1 2 4 2 3 7 2 2" xfId="12745"/>
    <cellStyle name="20% - Accent1 2 4 2 3 7 2 2 2" xfId="24546"/>
    <cellStyle name="20% - Accent1 2 4 2 3 7 2 2 2 2" xfId="52859"/>
    <cellStyle name="20% - Accent1 2 4 2 3 7 2 2 3" xfId="38161"/>
    <cellStyle name="20% - Accent1 2 4 2 3 7 2 3" xfId="9262"/>
    <cellStyle name="20% - Accent1 2 4 2 3 7 2 3 2" xfId="44594"/>
    <cellStyle name="20% - Accent1 2 4 2 3 7 2 4" xfId="21063"/>
    <cellStyle name="20% - Accent1 2 4 2 3 7 2 4 2" xfId="52860"/>
    <cellStyle name="20% - Accent1 2 4 2 3 7 2 5" xfId="34678"/>
    <cellStyle name="20% - Accent1 2 4 2 3 7 3" xfId="12746"/>
    <cellStyle name="20% - Accent1 2 4 2 3 7 3 2" xfId="24547"/>
    <cellStyle name="20% - Accent1 2 4 2 3 7 3 2 2" xfId="44595"/>
    <cellStyle name="20% - Accent1 2 4 2 3 7 3 3" xfId="29645"/>
    <cellStyle name="20% - Accent1 2 4 2 3 7 3 3 2" xfId="44596"/>
    <cellStyle name="20% - Accent1 2 4 2 3 7 3 4" xfId="29646"/>
    <cellStyle name="20% - Accent1 2 4 2 3 7 3 4 2" xfId="52861"/>
    <cellStyle name="20% - Accent1 2 4 2 3 7 3 5" xfId="38162"/>
    <cellStyle name="20% - Accent1 2 4 2 3 7 4" xfId="12747"/>
    <cellStyle name="20% - Accent1 2 4 2 3 7 4 2" xfId="24548"/>
    <cellStyle name="20% - Accent1 2 4 2 3 7 4 2 2" xfId="52862"/>
    <cellStyle name="20% - Accent1 2 4 2 3 7 4 3" xfId="38163"/>
    <cellStyle name="20% - Accent1 2 4 2 3 7 5" xfId="6712"/>
    <cellStyle name="20% - Accent1 2 4 2 3 7 5 2" xfId="44597"/>
    <cellStyle name="20% - Accent1 2 4 2 3 7 6" xfId="18513"/>
    <cellStyle name="20% - Accent1 2 4 2 3 7 6 2" xfId="52863"/>
    <cellStyle name="20% - Accent1 2 4 2 3 7 7" xfId="32128"/>
    <cellStyle name="20% - Accent1 2 4 2 3 8" xfId="3672"/>
    <cellStyle name="20% - Accent1 2 4 2 3 8 2" xfId="12748"/>
    <cellStyle name="20% - Accent1 2 4 2 3 8 2 2" xfId="24549"/>
    <cellStyle name="20% - Accent1 2 4 2 3 8 2 2 2" xfId="52864"/>
    <cellStyle name="20% - Accent1 2 4 2 3 8 2 3" xfId="38164"/>
    <cellStyle name="20% - Accent1 2 4 2 3 8 3" xfId="9125"/>
    <cellStyle name="20% - Accent1 2 4 2 3 8 3 2" xfId="44598"/>
    <cellStyle name="20% - Accent1 2 4 2 3 8 4" xfId="20926"/>
    <cellStyle name="20% - Accent1 2 4 2 3 8 4 2" xfId="52865"/>
    <cellStyle name="20% - Accent1 2 4 2 3 8 5" xfId="34541"/>
    <cellStyle name="20% - Accent1 2 4 2 3 9" xfId="1968"/>
    <cellStyle name="20% - Accent1 2 4 2 3 9 2" xfId="12749"/>
    <cellStyle name="20% - Accent1 2 4 2 3 9 2 2" xfId="24550"/>
    <cellStyle name="20% - Accent1 2 4 2 3 9 2 2 2" xfId="52866"/>
    <cellStyle name="20% - Accent1 2 4 2 3 9 2 3" xfId="38165"/>
    <cellStyle name="20% - Accent1 2 4 2 3 9 3" xfId="7421"/>
    <cellStyle name="20% - Accent1 2 4 2 3 9 3 2" xfId="44599"/>
    <cellStyle name="20% - Accent1 2 4 2 3 9 4" xfId="19222"/>
    <cellStyle name="20% - Accent1 2 4 2 3 9 4 2" xfId="52867"/>
    <cellStyle name="20% - Accent1 2 4 2 3 9 5" xfId="32837"/>
    <cellStyle name="20% - Accent1 2 4 2 4" xfId="82"/>
    <cellStyle name="20% - Accent1 2 4 2 4 10" xfId="5536"/>
    <cellStyle name="20% - Accent1 2 4 2 4 10 2" xfId="44600"/>
    <cellStyle name="20% - Accent1 2 4 2 4 11" xfId="17337"/>
    <cellStyle name="20% - Accent1 2 4 2 4 11 2" xfId="52868"/>
    <cellStyle name="20% - Accent1 2 4 2 4 12" xfId="30952"/>
    <cellStyle name="20% - Accent1 2 4 2 4 2" xfId="509"/>
    <cellStyle name="20% - Accent1 2 4 2 4 2 2" xfId="1259"/>
    <cellStyle name="20% - Accent1 2 4 2 4 2 2 2" xfId="4819"/>
    <cellStyle name="20% - Accent1 2 4 2 4 2 2 2 2" xfId="12750"/>
    <cellStyle name="20% - Accent1 2 4 2 4 2 2 2 2 2" xfId="24551"/>
    <cellStyle name="20% - Accent1 2 4 2 4 2 2 2 2 2 2" xfId="52869"/>
    <cellStyle name="20% - Accent1 2 4 2 4 2 2 2 2 3" xfId="38166"/>
    <cellStyle name="20% - Accent1 2 4 2 4 2 2 2 3" xfId="10272"/>
    <cellStyle name="20% - Accent1 2 4 2 4 2 2 2 3 2" xfId="44601"/>
    <cellStyle name="20% - Accent1 2 4 2 4 2 2 2 4" xfId="22073"/>
    <cellStyle name="20% - Accent1 2 4 2 4 2 2 2 4 2" xfId="52870"/>
    <cellStyle name="20% - Accent1 2 4 2 4 2 2 2 5" xfId="35688"/>
    <cellStyle name="20% - Accent1 2 4 2 4 2 2 3" xfId="2978"/>
    <cellStyle name="20% - Accent1 2 4 2 4 2 2 3 2" xfId="12751"/>
    <cellStyle name="20% - Accent1 2 4 2 4 2 2 3 2 2" xfId="24552"/>
    <cellStyle name="20% - Accent1 2 4 2 4 2 2 3 2 2 2" xfId="52871"/>
    <cellStyle name="20% - Accent1 2 4 2 4 2 2 3 2 3" xfId="38167"/>
    <cellStyle name="20% - Accent1 2 4 2 4 2 2 3 3" xfId="8431"/>
    <cellStyle name="20% - Accent1 2 4 2 4 2 2 3 3 2" xfId="44602"/>
    <cellStyle name="20% - Accent1 2 4 2 4 2 2 3 4" xfId="20232"/>
    <cellStyle name="20% - Accent1 2 4 2 4 2 2 3 4 2" xfId="52872"/>
    <cellStyle name="20% - Accent1 2 4 2 4 2 2 3 5" xfId="33847"/>
    <cellStyle name="20% - Accent1 2 4 2 4 2 2 4" xfId="12752"/>
    <cellStyle name="20% - Accent1 2 4 2 4 2 2 4 2" xfId="24553"/>
    <cellStyle name="20% - Accent1 2 4 2 4 2 2 4 2 2" xfId="52873"/>
    <cellStyle name="20% - Accent1 2 4 2 4 2 2 4 3" xfId="38168"/>
    <cellStyle name="20% - Accent1 2 4 2 4 2 2 5" xfId="6713"/>
    <cellStyle name="20% - Accent1 2 4 2 4 2 2 5 2" xfId="44603"/>
    <cellStyle name="20% - Accent1 2 4 2 4 2 2 6" xfId="18514"/>
    <cellStyle name="20% - Accent1 2 4 2 4 2 2 6 2" xfId="52874"/>
    <cellStyle name="20% - Accent1 2 4 2 4 2 2 7" xfId="32129"/>
    <cellStyle name="20% - Accent1 2 4 2 4 2 3" xfId="3546"/>
    <cellStyle name="20% - Accent1 2 4 2 4 2 3 2" xfId="5387"/>
    <cellStyle name="20% - Accent1 2 4 2 4 2 3 2 2" xfId="16857"/>
    <cellStyle name="20% - Accent1 2 4 2 4 2 3 2 2 2" xfId="28658"/>
    <cellStyle name="20% - Accent1 2 4 2 4 2 3 2 2 2 2" xfId="52875"/>
    <cellStyle name="20% - Accent1 2 4 2 4 2 3 2 2 3" xfId="42273"/>
    <cellStyle name="20% - Accent1 2 4 2 4 2 3 2 3" xfId="10840"/>
    <cellStyle name="20% - Accent1 2 4 2 4 2 3 2 3 2" xfId="52876"/>
    <cellStyle name="20% - Accent1 2 4 2 4 2 3 2 4" xfId="22641"/>
    <cellStyle name="20% - Accent1 2 4 2 4 2 3 2 4 2" xfId="52877"/>
    <cellStyle name="20% - Accent1 2 4 2 4 2 3 2 5" xfId="36256"/>
    <cellStyle name="20% - Accent1 2 4 2 4 2 3 3" xfId="12753"/>
    <cellStyle name="20% - Accent1 2 4 2 4 2 3 3 2" xfId="24554"/>
    <cellStyle name="20% - Accent1 2 4 2 4 2 3 3 2 2" xfId="52878"/>
    <cellStyle name="20% - Accent1 2 4 2 4 2 3 3 3" xfId="38169"/>
    <cellStyle name="20% - Accent1 2 4 2 4 2 3 4" xfId="8999"/>
    <cellStyle name="20% - Accent1 2 4 2 4 2 3 4 2" xfId="52879"/>
    <cellStyle name="20% - Accent1 2 4 2 4 2 3 5" xfId="20800"/>
    <cellStyle name="20% - Accent1 2 4 2 4 2 3 5 2" xfId="52880"/>
    <cellStyle name="20% - Accent1 2 4 2 4 2 3 6" xfId="34415"/>
    <cellStyle name="20% - Accent1 2 4 2 4 2 4" xfId="4251"/>
    <cellStyle name="20% - Accent1 2 4 2 4 2 4 2" xfId="12754"/>
    <cellStyle name="20% - Accent1 2 4 2 4 2 4 2 2" xfId="24555"/>
    <cellStyle name="20% - Accent1 2 4 2 4 2 4 2 2 2" xfId="52881"/>
    <cellStyle name="20% - Accent1 2 4 2 4 2 4 2 3" xfId="38170"/>
    <cellStyle name="20% - Accent1 2 4 2 4 2 4 3" xfId="9704"/>
    <cellStyle name="20% - Accent1 2 4 2 4 2 4 3 2" xfId="44604"/>
    <cellStyle name="20% - Accent1 2 4 2 4 2 4 4" xfId="21505"/>
    <cellStyle name="20% - Accent1 2 4 2 4 2 4 4 2" xfId="52882"/>
    <cellStyle name="20% - Accent1 2 4 2 4 2 4 5" xfId="35120"/>
    <cellStyle name="20% - Accent1 2 4 2 4 2 5" xfId="2410"/>
    <cellStyle name="20% - Accent1 2 4 2 4 2 5 2" xfId="17030"/>
    <cellStyle name="20% - Accent1 2 4 2 4 2 5 2 2" xfId="28831"/>
    <cellStyle name="20% - Accent1 2 4 2 4 2 5 2 2 2" xfId="52883"/>
    <cellStyle name="20% - Accent1 2 4 2 4 2 5 2 3" xfId="42446"/>
    <cellStyle name="20% - Accent1 2 4 2 4 2 5 3" xfId="7863"/>
    <cellStyle name="20% - Accent1 2 4 2 4 2 5 3 2" xfId="52884"/>
    <cellStyle name="20% - Accent1 2 4 2 4 2 5 4" xfId="19664"/>
    <cellStyle name="20% - Accent1 2 4 2 4 2 5 4 2" xfId="52885"/>
    <cellStyle name="20% - Accent1 2 4 2 4 2 5 5" xfId="33279"/>
    <cellStyle name="20% - Accent1 2 4 2 4 2 6" xfId="12755"/>
    <cellStyle name="20% - Accent1 2 4 2 4 2 6 2" xfId="24556"/>
    <cellStyle name="20% - Accent1 2 4 2 4 2 6 2 2" xfId="52886"/>
    <cellStyle name="20% - Accent1 2 4 2 4 2 6 3" xfId="38171"/>
    <cellStyle name="20% - Accent1 2 4 2 4 2 7" xfId="5963"/>
    <cellStyle name="20% - Accent1 2 4 2 4 2 7 2" xfId="52887"/>
    <cellStyle name="20% - Accent1 2 4 2 4 2 8" xfId="17764"/>
    <cellStyle name="20% - Accent1 2 4 2 4 2 8 2" xfId="52888"/>
    <cellStyle name="20% - Accent1 2 4 2 4 2 9" xfId="31379"/>
    <cellStyle name="20% - Accent1 2 4 2 4 3" xfId="372"/>
    <cellStyle name="20% - Accent1 2 4 2 4 3 2" xfId="1260"/>
    <cellStyle name="20% - Accent1 2 4 2 4 3 2 2" xfId="4682"/>
    <cellStyle name="20% - Accent1 2 4 2 4 3 2 2 2" xfId="12756"/>
    <cellStyle name="20% - Accent1 2 4 2 4 3 2 2 2 2" xfId="24557"/>
    <cellStyle name="20% - Accent1 2 4 2 4 3 2 2 2 2 2" xfId="52889"/>
    <cellStyle name="20% - Accent1 2 4 2 4 3 2 2 2 3" xfId="38172"/>
    <cellStyle name="20% - Accent1 2 4 2 4 3 2 2 3" xfId="10135"/>
    <cellStyle name="20% - Accent1 2 4 2 4 3 2 2 3 2" xfId="44605"/>
    <cellStyle name="20% - Accent1 2 4 2 4 3 2 2 4" xfId="21936"/>
    <cellStyle name="20% - Accent1 2 4 2 4 3 2 2 4 2" xfId="52890"/>
    <cellStyle name="20% - Accent1 2 4 2 4 3 2 2 5" xfId="35551"/>
    <cellStyle name="20% - Accent1 2 4 2 4 3 2 3" xfId="2841"/>
    <cellStyle name="20% - Accent1 2 4 2 4 3 2 3 2" xfId="12757"/>
    <cellStyle name="20% - Accent1 2 4 2 4 3 2 3 2 2" xfId="24558"/>
    <cellStyle name="20% - Accent1 2 4 2 4 3 2 3 2 2 2" xfId="52891"/>
    <cellStyle name="20% - Accent1 2 4 2 4 3 2 3 2 3" xfId="38173"/>
    <cellStyle name="20% - Accent1 2 4 2 4 3 2 3 3" xfId="8294"/>
    <cellStyle name="20% - Accent1 2 4 2 4 3 2 3 3 2" xfId="44606"/>
    <cellStyle name="20% - Accent1 2 4 2 4 3 2 3 4" xfId="20095"/>
    <cellStyle name="20% - Accent1 2 4 2 4 3 2 3 4 2" xfId="52892"/>
    <cellStyle name="20% - Accent1 2 4 2 4 3 2 3 5" xfId="33710"/>
    <cellStyle name="20% - Accent1 2 4 2 4 3 2 4" xfId="12758"/>
    <cellStyle name="20% - Accent1 2 4 2 4 3 2 4 2" xfId="24559"/>
    <cellStyle name="20% - Accent1 2 4 2 4 3 2 4 2 2" xfId="52893"/>
    <cellStyle name="20% - Accent1 2 4 2 4 3 2 4 3" xfId="38174"/>
    <cellStyle name="20% - Accent1 2 4 2 4 3 2 5" xfId="6714"/>
    <cellStyle name="20% - Accent1 2 4 2 4 3 2 5 2" xfId="44607"/>
    <cellStyle name="20% - Accent1 2 4 2 4 3 2 6" xfId="18515"/>
    <cellStyle name="20% - Accent1 2 4 2 4 3 2 6 2" xfId="52894"/>
    <cellStyle name="20% - Accent1 2 4 2 4 3 2 7" xfId="32130"/>
    <cellStyle name="20% - Accent1 2 4 2 4 3 3" xfId="3409"/>
    <cellStyle name="20% - Accent1 2 4 2 4 3 3 2" xfId="5250"/>
    <cellStyle name="20% - Accent1 2 4 2 4 3 3 2 2" xfId="16720"/>
    <cellStyle name="20% - Accent1 2 4 2 4 3 3 2 2 2" xfId="28521"/>
    <cellStyle name="20% - Accent1 2 4 2 4 3 3 2 2 2 2" xfId="52895"/>
    <cellStyle name="20% - Accent1 2 4 2 4 3 3 2 2 3" xfId="42136"/>
    <cellStyle name="20% - Accent1 2 4 2 4 3 3 2 3" xfId="10703"/>
    <cellStyle name="20% - Accent1 2 4 2 4 3 3 2 3 2" xfId="52896"/>
    <cellStyle name="20% - Accent1 2 4 2 4 3 3 2 4" xfId="22504"/>
    <cellStyle name="20% - Accent1 2 4 2 4 3 3 2 4 2" xfId="52897"/>
    <cellStyle name="20% - Accent1 2 4 2 4 3 3 2 5" xfId="36119"/>
    <cellStyle name="20% - Accent1 2 4 2 4 3 3 3" xfId="12759"/>
    <cellStyle name="20% - Accent1 2 4 2 4 3 3 3 2" xfId="24560"/>
    <cellStyle name="20% - Accent1 2 4 2 4 3 3 3 2 2" xfId="52898"/>
    <cellStyle name="20% - Accent1 2 4 2 4 3 3 3 3" xfId="38175"/>
    <cellStyle name="20% - Accent1 2 4 2 4 3 3 4" xfId="8862"/>
    <cellStyle name="20% - Accent1 2 4 2 4 3 3 4 2" xfId="52899"/>
    <cellStyle name="20% - Accent1 2 4 2 4 3 3 5" xfId="20663"/>
    <cellStyle name="20% - Accent1 2 4 2 4 3 3 5 2" xfId="52900"/>
    <cellStyle name="20% - Accent1 2 4 2 4 3 3 6" xfId="34278"/>
    <cellStyle name="20% - Accent1 2 4 2 4 3 4" xfId="4114"/>
    <cellStyle name="20% - Accent1 2 4 2 4 3 4 2" xfId="12760"/>
    <cellStyle name="20% - Accent1 2 4 2 4 3 4 2 2" xfId="24561"/>
    <cellStyle name="20% - Accent1 2 4 2 4 3 4 2 2 2" xfId="52901"/>
    <cellStyle name="20% - Accent1 2 4 2 4 3 4 2 3" xfId="38176"/>
    <cellStyle name="20% - Accent1 2 4 2 4 3 4 3" xfId="9567"/>
    <cellStyle name="20% - Accent1 2 4 2 4 3 4 3 2" xfId="44608"/>
    <cellStyle name="20% - Accent1 2 4 2 4 3 4 4" xfId="21368"/>
    <cellStyle name="20% - Accent1 2 4 2 4 3 4 4 2" xfId="52902"/>
    <cellStyle name="20% - Accent1 2 4 2 4 3 4 5" xfId="34983"/>
    <cellStyle name="20% - Accent1 2 4 2 4 3 5" xfId="2273"/>
    <cellStyle name="20% - Accent1 2 4 2 4 3 5 2" xfId="17031"/>
    <cellStyle name="20% - Accent1 2 4 2 4 3 5 2 2" xfId="28832"/>
    <cellStyle name="20% - Accent1 2 4 2 4 3 5 2 2 2" xfId="52903"/>
    <cellStyle name="20% - Accent1 2 4 2 4 3 5 2 3" xfId="42447"/>
    <cellStyle name="20% - Accent1 2 4 2 4 3 5 3" xfId="7726"/>
    <cellStyle name="20% - Accent1 2 4 2 4 3 5 3 2" xfId="52904"/>
    <cellStyle name="20% - Accent1 2 4 2 4 3 5 4" xfId="19527"/>
    <cellStyle name="20% - Accent1 2 4 2 4 3 5 4 2" xfId="52905"/>
    <cellStyle name="20% - Accent1 2 4 2 4 3 5 5" xfId="33142"/>
    <cellStyle name="20% - Accent1 2 4 2 4 3 6" xfId="12761"/>
    <cellStyle name="20% - Accent1 2 4 2 4 3 6 2" xfId="24562"/>
    <cellStyle name="20% - Accent1 2 4 2 4 3 6 2 2" xfId="52906"/>
    <cellStyle name="20% - Accent1 2 4 2 4 3 6 3" xfId="38177"/>
    <cellStyle name="20% - Accent1 2 4 2 4 3 7" xfId="5826"/>
    <cellStyle name="20% - Accent1 2 4 2 4 3 7 2" xfId="52907"/>
    <cellStyle name="20% - Accent1 2 4 2 4 3 8" xfId="17627"/>
    <cellStyle name="20% - Accent1 2 4 2 4 3 8 2" xfId="52908"/>
    <cellStyle name="20% - Accent1 2 4 2 4 3 9" xfId="31242"/>
    <cellStyle name="20% - Accent1 2 4 2 4 4" xfId="650"/>
    <cellStyle name="20% - Accent1 2 4 2 4 4 2" xfId="1261"/>
    <cellStyle name="20% - Accent1 2 4 2 4 4 2 2" xfId="4392"/>
    <cellStyle name="20% - Accent1 2 4 2 4 4 2 2 2" xfId="12762"/>
    <cellStyle name="20% - Accent1 2 4 2 4 4 2 2 2 2" xfId="24563"/>
    <cellStyle name="20% - Accent1 2 4 2 4 4 2 2 2 2 2" xfId="52909"/>
    <cellStyle name="20% - Accent1 2 4 2 4 4 2 2 2 3" xfId="38178"/>
    <cellStyle name="20% - Accent1 2 4 2 4 4 2 2 3" xfId="9845"/>
    <cellStyle name="20% - Accent1 2 4 2 4 4 2 2 3 2" xfId="44609"/>
    <cellStyle name="20% - Accent1 2 4 2 4 4 2 2 4" xfId="21646"/>
    <cellStyle name="20% - Accent1 2 4 2 4 4 2 2 4 2" xfId="52910"/>
    <cellStyle name="20% - Accent1 2 4 2 4 4 2 2 5" xfId="35261"/>
    <cellStyle name="20% - Accent1 2 4 2 4 4 2 3" xfId="12763"/>
    <cellStyle name="20% - Accent1 2 4 2 4 4 2 3 2" xfId="24564"/>
    <cellStyle name="20% - Accent1 2 4 2 4 4 2 3 2 2" xfId="44610"/>
    <cellStyle name="20% - Accent1 2 4 2 4 4 2 3 3" xfId="29647"/>
    <cellStyle name="20% - Accent1 2 4 2 4 4 2 3 3 2" xfId="44611"/>
    <cellStyle name="20% - Accent1 2 4 2 4 4 2 3 4" xfId="29648"/>
    <cellStyle name="20% - Accent1 2 4 2 4 4 2 3 4 2" xfId="52911"/>
    <cellStyle name="20% - Accent1 2 4 2 4 4 2 3 5" xfId="38179"/>
    <cellStyle name="20% - Accent1 2 4 2 4 4 2 4" xfId="12764"/>
    <cellStyle name="20% - Accent1 2 4 2 4 4 2 4 2" xfId="24565"/>
    <cellStyle name="20% - Accent1 2 4 2 4 4 2 4 2 2" xfId="52912"/>
    <cellStyle name="20% - Accent1 2 4 2 4 4 2 4 3" xfId="38180"/>
    <cellStyle name="20% - Accent1 2 4 2 4 4 2 5" xfId="6715"/>
    <cellStyle name="20% - Accent1 2 4 2 4 4 2 5 2" xfId="44612"/>
    <cellStyle name="20% - Accent1 2 4 2 4 4 2 6" xfId="18516"/>
    <cellStyle name="20% - Accent1 2 4 2 4 4 2 6 2" xfId="52913"/>
    <cellStyle name="20% - Accent1 2 4 2 4 4 2 7" xfId="32131"/>
    <cellStyle name="20% - Accent1 2 4 2 4 4 3" xfId="2551"/>
    <cellStyle name="20% - Accent1 2 4 2 4 4 3 2" xfId="12765"/>
    <cellStyle name="20% - Accent1 2 4 2 4 4 3 2 2" xfId="24566"/>
    <cellStyle name="20% - Accent1 2 4 2 4 4 3 2 2 2" xfId="52914"/>
    <cellStyle name="20% - Accent1 2 4 2 4 4 3 2 3" xfId="38181"/>
    <cellStyle name="20% - Accent1 2 4 2 4 4 3 3" xfId="8004"/>
    <cellStyle name="20% - Accent1 2 4 2 4 4 3 3 2" xfId="44613"/>
    <cellStyle name="20% - Accent1 2 4 2 4 4 3 4" xfId="19805"/>
    <cellStyle name="20% - Accent1 2 4 2 4 4 3 4 2" xfId="52915"/>
    <cellStyle name="20% - Accent1 2 4 2 4 4 3 5" xfId="33420"/>
    <cellStyle name="20% - Accent1 2 4 2 4 4 4" xfId="12766"/>
    <cellStyle name="20% - Accent1 2 4 2 4 4 4 2" xfId="24567"/>
    <cellStyle name="20% - Accent1 2 4 2 4 4 4 2 2" xfId="44614"/>
    <cellStyle name="20% - Accent1 2 4 2 4 4 4 3" xfId="29649"/>
    <cellStyle name="20% - Accent1 2 4 2 4 4 4 3 2" xfId="44615"/>
    <cellStyle name="20% - Accent1 2 4 2 4 4 4 4" xfId="29650"/>
    <cellStyle name="20% - Accent1 2 4 2 4 4 4 4 2" xfId="52916"/>
    <cellStyle name="20% - Accent1 2 4 2 4 4 4 5" xfId="38182"/>
    <cellStyle name="20% - Accent1 2 4 2 4 4 5" xfId="12767"/>
    <cellStyle name="20% - Accent1 2 4 2 4 4 5 2" xfId="24568"/>
    <cellStyle name="20% - Accent1 2 4 2 4 4 5 2 2" xfId="52917"/>
    <cellStyle name="20% - Accent1 2 4 2 4 4 5 3" xfId="38183"/>
    <cellStyle name="20% - Accent1 2 4 2 4 4 6" xfId="6104"/>
    <cellStyle name="20% - Accent1 2 4 2 4 4 6 2" xfId="44616"/>
    <cellStyle name="20% - Accent1 2 4 2 4 4 7" xfId="17905"/>
    <cellStyle name="20% - Accent1 2 4 2 4 4 7 2" xfId="52918"/>
    <cellStyle name="20% - Accent1 2 4 2 4 4 8" xfId="31520"/>
    <cellStyle name="20% - Accent1 2 4 2 4 5" xfId="891"/>
    <cellStyle name="20% - Accent1 2 4 2 4 5 2" xfId="1262"/>
    <cellStyle name="20% - Accent1 2 4 2 4 5 2 2" xfId="4960"/>
    <cellStyle name="20% - Accent1 2 4 2 4 5 2 2 2" xfId="12768"/>
    <cellStyle name="20% - Accent1 2 4 2 4 5 2 2 2 2" xfId="24569"/>
    <cellStyle name="20% - Accent1 2 4 2 4 5 2 2 2 2 2" xfId="52919"/>
    <cellStyle name="20% - Accent1 2 4 2 4 5 2 2 2 3" xfId="38184"/>
    <cellStyle name="20% - Accent1 2 4 2 4 5 2 2 3" xfId="10413"/>
    <cellStyle name="20% - Accent1 2 4 2 4 5 2 2 3 2" xfId="44617"/>
    <cellStyle name="20% - Accent1 2 4 2 4 5 2 2 4" xfId="22214"/>
    <cellStyle name="20% - Accent1 2 4 2 4 5 2 2 4 2" xfId="52920"/>
    <cellStyle name="20% - Accent1 2 4 2 4 5 2 2 5" xfId="35829"/>
    <cellStyle name="20% - Accent1 2 4 2 4 5 2 3" xfId="12769"/>
    <cellStyle name="20% - Accent1 2 4 2 4 5 2 3 2" xfId="24570"/>
    <cellStyle name="20% - Accent1 2 4 2 4 5 2 3 2 2" xfId="44618"/>
    <cellStyle name="20% - Accent1 2 4 2 4 5 2 3 3" xfId="29651"/>
    <cellStyle name="20% - Accent1 2 4 2 4 5 2 3 3 2" xfId="44619"/>
    <cellStyle name="20% - Accent1 2 4 2 4 5 2 3 4" xfId="29652"/>
    <cellStyle name="20% - Accent1 2 4 2 4 5 2 3 4 2" xfId="52921"/>
    <cellStyle name="20% - Accent1 2 4 2 4 5 2 3 5" xfId="38185"/>
    <cellStyle name="20% - Accent1 2 4 2 4 5 2 4" xfId="12770"/>
    <cellStyle name="20% - Accent1 2 4 2 4 5 2 4 2" xfId="24571"/>
    <cellStyle name="20% - Accent1 2 4 2 4 5 2 4 2 2" xfId="52922"/>
    <cellStyle name="20% - Accent1 2 4 2 4 5 2 4 3" xfId="38186"/>
    <cellStyle name="20% - Accent1 2 4 2 4 5 2 5" xfId="6716"/>
    <cellStyle name="20% - Accent1 2 4 2 4 5 2 5 2" xfId="44620"/>
    <cellStyle name="20% - Accent1 2 4 2 4 5 2 6" xfId="18517"/>
    <cellStyle name="20% - Accent1 2 4 2 4 5 2 6 2" xfId="52923"/>
    <cellStyle name="20% - Accent1 2 4 2 4 5 2 7" xfId="32132"/>
    <cellStyle name="20% - Accent1 2 4 2 4 5 3" xfId="3119"/>
    <cellStyle name="20% - Accent1 2 4 2 4 5 3 2" xfId="12771"/>
    <cellStyle name="20% - Accent1 2 4 2 4 5 3 2 2" xfId="24572"/>
    <cellStyle name="20% - Accent1 2 4 2 4 5 3 2 2 2" xfId="52924"/>
    <cellStyle name="20% - Accent1 2 4 2 4 5 3 2 3" xfId="38187"/>
    <cellStyle name="20% - Accent1 2 4 2 4 5 3 3" xfId="8572"/>
    <cellStyle name="20% - Accent1 2 4 2 4 5 3 3 2" xfId="44621"/>
    <cellStyle name="20% - Accent1 2 4 2 4 5 3 4" xfId="20373"/>
    <cellStyle name="20% - Accent1 2 4 2 4 5 3 4 2" xfId="52925"/>
    <cellStyle name="20% - Accent1 2 4 2 4 5 3 5" xfId="33988"/>
    <cellStyle name="20% - Accent1 2 4 2 4 5 4" xfId="12772"/>
    <cellStyle name="20% - Accent1 2 4 2 4 5 4 2" xfId="24573"/>
    <cellStyle name="20% - Accent1 2 4 2 4 5 4 2 2" xfId="44622"/>
    <cellStyle name="20% - Accent1 2 4 2 4 5 4 3" xfId="29653"/>
    <cellStyle name="20% - Accent1 2 4 2 4 5 4 3 2" xfId="44623"/>
    <cellStyle name="20% - Accent1 2 4 2 4 5 4 4" xfId="29654"/>
    <cellStyle name="20% - Accent1 2 4 2 4 5 4 4 2" xfId="52926"/>
    <cellStyle name="20% - Accent1 2 4 2 4 5 4 5" xfId="38188"/>
    <cellStyle name="20% - Accent1 2 4 2 4 5 5" xfId="12773"/>
    <cellStyle name="20% - Accent1 2 4 2 4 5 5 2" xfId="24574"/>
    <cellStyle name="20% - Accent1 2 4 2 4 5 5 2 2" xfId="52927"/>
    <cellStyle name="20% - Accent1 2 4 2 4 5 5 3" xfId="38189"/>
    <cellStyle name="20% - Accent1 2 4 2 4 5 6" xfId="6345"/>
    <cellStyle name="20% - Accent1 2 4 2 4 5 6 2" xfId="44624"/>
    <cellStyle name="20% - Accent1 2 4 2 4 5 7" xfId="18146"/>
    <cellStyle name="20% - Accent1 2 4 2 4 5 7 2" xfId="52928"/>
    <cellStyle name="20% - Accent1 2 4 2 4 5 8" xfId="31761"/>
    <cellStyle name="20% - Accent1 2 4 2 4 6" xfId="1263"/>
    <cellStyle name="20% - Accent1 2 4 2 4 6 2" xfId="3824"/>
    <cellStyle name="20% - Accent1 2 4 2 4 6 2 2" xfId="12774"/>
    <cellStyle name="20% - Accent1 2 4 2 4 6 2 2 2" xfId="24575"/>
    <cellStyle name="20% - Accent1 2 4 2 4 6 2 2 2 2" xfId="52929"/>
    <cellStyle name="20% - Accent1 2 4 2 4 6 2 2 3" xfId="38190"/>
    <cellStyle name="20% - Accent1 2 4 2 4 6 2 3" xfId="9277"/>
    <cellStyle name="20% - Accent1 2 4 2 4 6 2 3 2" xfId="44625"/>
    <cellStyle name="20% - Accent1 2 4 2 4 6 2 4" xfId="21078"/>
    <cellStyle name="20% - Accent1 2 4 2 4 6 2 4 2" xfId="52930"/>
    <cellStyle name="20% - Accent1 2 4 2 4 6 2 5" xfId="34693"/>
    <cellStyle name="20% - Accent1 2 4 2 4 6 3" xfId="12775"/>
    <cellStyle name="20% - Accent1 2 4 2 4 6 3 2" xfId="24576"/>
    <cellStyle name="20% - Accent1 2 4 2 4 6 3 2 2" xfId="44626"/>
    <cellStyle name="20% - Accent1 2 4 2 4 6 3 3" xfId="29655"/>
    <cellStyle name="20% - Accent1 2 4 2 4 6 3 3 2" xfId="44627"/>
    <cellStyle name="20% - Accent1 2 4 2 4 6 3 4" xfId="29656"/>
    <cellStyle name="20% - Accent1 2 4 2 4 6 3 4 2" xfId="52931"/>
    <cellStyle name="20% - Accent1 2 4 2 4 6 3 5" xfId="38191"/>
    <cellStyle name="20% - Accent1 2 4 2 4 6 4" xfId="12776"/>
    <cellStyle name="20% - Accent1 2 4 2 4 6 4 2" xfId="24577"/>
    <cellStyle name="20% - Accent1 2 4 2 4 6 4 2 2" xfId="52932"/>
    <cellStyle name="20% - Accent1 2 4 2 4 6 4 3" xfId="38192"/>
    <cellStyle name="20% - Accent1 2 4 2 4 6 5" xfId="6717"/>
    <cellStyle name="20% - Accent1 2 4 2 4 6 5 2" xfId="44628"/>
    <cellStyle name="20% - Accent1 2 4 2 4 6 6" xfId="18518"/>
    <cellStyle name="20% - Accent1 2 4 2 4 6 6 2" xfId="52933"/>
    <cellStyle name="20% - Accent1 2 4 2 4 6 7" xfId="32133"/>
    <cellStyle name="20% - Accent1 2 4 2 4 7" xfId="3687"/>
    <cellStyle name="20% - Accent1 2 4 2 4 7 2" xfId="12777"/>
    <cellStyle name="20% - Accent1 2 4 2 4 7 2 2" xfId="24578"/>
    <cellStyle name="20% - Accent1 2 4 2 4 7 2 2 2" xfId="52934"/>
    <cellStyle name="20% - Accent1 2 4 2 4 7 2 3" xfId="38193"/>
    <cellStyle name="20% - Accent1 2 4 2 4 7 3" xfId="9140"/>
    <cellStyle name="20% - Accent1 2 4 2 4 7 3 2" xfId="44629"/>
    <cellStyle name="20% - Accent1 2 4 2 4 7 4" xfId="20941"/>
    <cellStyle name="20% - Accent1 2 4 2 4 7 4 2" xfId="52935"/>
    <cellStyle name="20% - Accent1 2 4 2 4 7 5" xfId="34556"/>
    <cellStyle name="20% - Accent1 2 4 2 4 8" xfId="1983"/>
    <cellStyle name="20% - Accent1 2 4 2 4 8 2" xfId="12778"/>
    <cellStyle name="20% - Accent1 2 4 2 4 8 2 2" xfId="24579"/>
    <cellStyle name="20% - Accent1 2 4 2 4 8 2 2 2" xfId="52936"/>
    <cellStyle name="20% - Accent1 2 4 2 4 8 2 3" xfId="38194"/>
    <cellStyle name="20% - Accent1 2 4 2 4 8 3" xfId="7436"/>
    <cellStyle name="20% - Accent1 2 4 2 4 8 3 2" xfId="44630"/>
    <cellStyle name="20% - Accent1 2 4 2 4 8 4" xfId="19237"/>
    <cellStyle name="20% - Accent1 2 4 2 4 8 4 2" xfId="52937"/>
    <cellStyle name="20% - Accent1 2 4 2 4 8 5" xfId="32852"/>
    <cellStyle name="20% - Accent1 2 4 2 4 9" xfId="12779"/>
    <cellStyle name="20% - Accent1 2 4 2 4 9 2" xfId="24580"/>
    <cellStyle name="20% - Accent1 2 4 2 4 9 2 2" xfId="52938"/>
    <cellStyle name="20% - Accent1 2 4 2 4 9 3" xfId="38195"/>
    <cellStyle name="20% - Accent1 2 4 2 5" xfId="153"/>
    <cellStyle name="20% - Accent1 2 4 2 5 10" xfId="31023"/>
    <cellStyle name="20% - Accent1 2 4 2 5 2" xfId="305"/>
    <cellStyle name="20% - Accent1 2 4 2 5 2 2" xfId="1264"/>
    <cellStyle name="20% - Accent1 2 4 2 5 2 2 2" xfId="4615"/>
    <cellStyle name="20% - Accent1 2 4 2 5 2 2 2 2" xfId="12780"/>
    <cellStyle name="20% - Accent1 2 4 2 5 2 2 2 2 2" xfId="24581"/>
    <cellStyle name="20% - Accent1 2 4 2 5 2 2 2 2 2 2" xfId="52939"/>
    <cellStyle name="20% - Accent1 2 4 2 5 2 2 2 2 3" xfId="38196"/>
    <cellStyle name="20% - Accent1 2 4 2 5 2 2 2 3" xfId="10068"/>
    <cellStyle name="20% - Accent1 2 4 2 5 2 2 2 3 2" xfId="44631"/>
    <cellStyle name="20% - Accent1 2 4 2 5 2 2 2 4" xfId="21869"/>
    <cellStyle name="20% - Accent1 2 4 2 5 2 2 2 4 2" xfId="52940"/>
    <cellStyle name="20% - Accent1 2 4 2 5 2 2 2 5" xfId="35484"/>
    <cellStyle name="20% - Accent1 2 4 2 5 2 2 3" xfId="2774"/>
    <cellStyle name="20% - Accent1 2 4 2 5 2 2 3 2" xfId="12781"/>
    <cellStyle name="20% - Accent1 2 4 2 5 2 2 3 2 2" xfId="24582"/>
    <cellStyle name="20% - Accent1 2 4 2 5 2 2 3 2 2 2" xfId="52941"/>
    <cellStyle name="20% - Accent1 2 4 2 5 2 2 3 2 3" xfId="38197"/>
    <cellStyle name="20% - Accent1 2 4 2 5 2 2 3 3" xfId="8227"/>
    <cellStyle name="20% - Accent1 2 4 2 5 2 2 3 3 2" xfId="44632"/>
    <cellStyle name="20% - Accent1 2 4 2 5 2 2 3 4" xfId="20028"/>
    <cellStyle name="20% - Accent1 2 4 2 5 2 2 3 4 2" xfId="52942"/>
    <cellStyle name="20% - Accent1 2 4 2 5 2 2 3 5" xfId="33643"/>
    <cellStyle name="20% - Accent1 2 4 2 5 2 2 4" xfId="12782"/>
    <cellStyle name="20% - Accent1 2 4 2 5 2 2 4 2" xfId="24583"/>
    <cellStyle name="20% - Accent1 2 4 2 5 2 2 4 2 2" xfId="52943"/>
    <cellStyle name="20% - Accent1 2 4 2 5 2 2 4 3" xfId="38198"/>
    <cellStyle name="20% - Accent1 2 4 2 5 2 2 5" xfId="6718"/>
    <cellStyle name="20% - Accent1 2 4 2 5 2 2 5 2" xfId="44633"/>
    <cellStyle name="20% - Accent1 2 4 2 5 2 2 6" xfId="18519"/>
    <cellStyle name="20% - Accent1 2 4 2 5 2 2 6 2" xfId="52944"/>
    <cellStyle name="20% - Accent1 2 4 2 5 2 2 7" xfId="32134"/>
    <cellStyle name="20% - Accent1 2 4 2 5 2 3" xfId="3342"/>
    <cellStyle name="20% - Accent1 2 4 2 5 2 3 2" xfId="5183"/>
    <cellStyle name="20% - Accent1 2 4 2 5 2 3 2 2" xfId="16653"/>
    <cellStyle name="20% - Accent1 2 4 2 5 2 3 2 2 2" xfId="28454"/>
    <cellStyle name="20% - Accent1 2 4 2 5 2 3 2 2 2 2" xfId="52945"/>
    <cellStyle name="20% - Accent1 2 4 2 5 2 3 2 2 3" xfId="42069"/>
    <cellStyle name="20% - Accent1 2 4 2 5 2 3 2 3" xfId="10636"/>
    <cellStyle name="20% - Accent1 2 4 2 5 2 3 2 3 2" xfId="52946"/>
    <cellStyle name="20% - Accent1 2 4 2 5 2 3 2 4" xfId="22437"/>
    <cellStyle name="20% - Accent1 2 4 2 5 2 3 2 4 2" xfId="52947"/>
    <cellStyle name="20% - Accent1 2 4 2 5 2 3 2 5" xfId="36052"/>
    <cellStyle name="20% - Accent1 2 4 2 5 2 3 3" xfId="12783"/>
    <cellStyle name="20% - Accent1 2 4 2 5 2 3 3 2" xfId="24584"/>
    <cellStyle name="20% - Accent1 2 4 2 5 2 3 3 2 2" xfId="52948"/>
    <cellStyle name="20% - Accent1 2 4 2 5 2 3 3 3" xfId="38199"/>
    <cellStyle name="20% - Accent1 2 4 2 5 2 3 4" xfId="8795"/>
    <cellStyle name="20% - Accent1 2 4 2 5 2 3 4 2" xfId="52949"/>
    <cellStyle name="20% - Accent1 2 4 2 5 2 3 5" xfId="20596"/>
    <cellStyle name="20% - Accent1 2 4 2 5 2 3 5 2" xfId="52950"/>
    <cellStyle name="20% - Accent1 2 4 2 5 2 3 6" xfId="34211"/>
    <cellStyle name="20% - Accent1 2 4 2 5 2 4" xfId="4047"/>
    <cellStyle name="20% - Accent1 2 4 2 5 2 4 2" xfId="12784"/>
    <cellStyle name="20% - Accent1 2 4 2 5 2 4 2 2" xfId="24585"/>
    <cellStyle name="20% - Accent1 2 4 2 5 2 4 2 2 2" xfId="52951"/>
    <cellStyle name="20% - Accent1 2 4 2 5 2 4 2 3" xfId="38200"/>
    <cellStyle name="20% - Accent1 2 4 2 5 2 4 3" xfId="9500"/>
    <cellStyle name="20% - Accent1 2 4 2 5 2 4 3 2" xfId="44634"/>
    <cellStyle name="20% - Accent1 2 4 2 5 2 4 4" xfId="21301"/>
    <cellStyle name="20% - Accent1 2 4 2 5 2 4 4 2" xfId="52952"/>
    <cellStyle name="20% - Accent1 2 4 2 5 2 4 5" xfId="34916"/>
    <cellStyle name="20% - Accent1 2 4 2 5 2 5" xfId="2206"/>
    <cellStyle name="20% - Accent1 2 4 2 5 2 5 2" xfId="17032"/>
    <cellStyle name="20% - Accent1 2 4 2 5 2 5 2 2" xfId="28833"/>
    <cellStyle name="20% - Accent1 2 4 2 5 2 5 2 2 2" xfId="52953"/>
    <cellStyle name="20% - Accent1 2 4 2 5 2 5 2 3" xfId="42448"/>
    <cellStyle name="20% - Accent1 2 4 2 5 2 5 3" xfId="7659"/>
    <cellStyle name="20% - Accent1 2 4 2 5 2 5 3 2" xfId="52954"/>
    <cellStyle name="20% - Accent1 2 4 2 5 2 5 4" xfId="19460"/>
    <cellStyle name="20% - Accent1 2 4 2 5 2 5 4 2" xfId="52955"/>
    <cellStyle name="20% - Accent1 2 4 2 5 2 5 5" xfId="33075"/>
    <cellStyle name="20% - Accent1 2 4 2 5 2 6" xfId="12785"/>
    <cellStyle name="20% - Accent1 2 4 2 5 2 6 2" xfId="24586"/>
    <cellStyle name="20% - Accent1 2 4 2 5 2 6 2 2" xfId="52956"/>
    <cellStyle name="20% - Accent1 2 4 2 5 2 6 3" xfId="38201"/>
    <cellStyle name="20% - Accent1 2 4 2 5 2 7" xfId="5759"/>
    <cellStyle name="20% - Accent1 2 4 2 5 2 7 2" xfId="52957"/>
    <cellStyle name="20% - Accent1 2 4 2 5 2 8" xfId="17560"/>
    <cellStyle name="20% - Accent1 2 4 2 5 2 8 2" xfId="52958"/>
    <cellStyle name="20% - Accent1 2 4 2 5 2 9" xfId="31175"/>
    <cellStyle name="20% - Accent1 2 4 2 5 3" xfId="721"/>
    <cellStyle name="20% - Accent1 2 4 2 5 3 2" xfId="1265"/>
    <cellStyle name="20% - Accent1 2 4 2 5 3 2 2" xfId="4463"/>
    <cellStyle name="20% - Accent1 2 4 2 5 3 2 2 2" xfId="12786"/>
    <cellStyle name="20% - Accent1 2 4 2 5 3 2 2 2 2" xfId="24587"/>
    <cellStyle name="20% - Accent1 2 4 2 5 3 2 2 2 2 2" xfId="52959"/>
    <cellStyle name="20% - Accent1 2 4 2 5 3 2 2 2 3" xfId="38202"/>
    <cellStyle name="20% - Accent1 2 4 2 5 3 2 2 3" xfId="9916"/>
    <cellStyle name="20% - Accent1 2 4 2 5 3 2 2 3 2" xfId="44635"/>
    <cellStyle name="20% - Accent1 2 4 2 5 3 2 2 4" xfId="21717"/>
    <cellStyle name="20% - Accent1 2 4 2 5 3 2 2 4 2" xfId="52960"/>
    <cellStyle name="20% - Accent1 2 4 2 5 3 2 2 5" xfId="35332"/>
    <cellStyle name="20% - Accent1 2 4 2 5 3 2 3" xfId="12787"/>
    <cellStyle name="20% - Accent1 2 4 2 5 3 2 3 2" xfId="24588"/>
    <cellStyle name="20% - Accent1 2 4 2 5 3 2 3 2 2" xfId="44636"/>
    <cellStyle name="20% - Accent1 2 4 2 5 3 2 3 3" xfId="29657"/>
    <cellStyle name="20% - Accent1 2 4 2 5 3 2 3 3 2" xfId="44637"/>
    <cellStyle name="20% - Accent1 2 4 2 5 3 2 3 4" xfId="29658"/>
    <cellStyle name="20% - Accent1 2 4 2 5 3 2 3 4 2" xfId="52961"/>
    <cellStyle name="20% - Accent1 2 4 2 5 3 2 3 5" xfId="38203"/>
    <cellStyle name="20% - Accent1 2 4 2 5 3 2 4" xfId="12788"/>
    <cellStyle name="20% - Accent1 2 4 2 5 3 2 4 2" xfId="24589"/>
    <cellStyle name="20% - Accent1 2 4 2 5 3 2 4 2 2" xfId="52962"/>
    <cellStyle name="20% - Accent1 2 4 2 5 3 2 4 3" xfId="38204"/>
    <cellStyle name="20% - Accent1 2 4 2 5 3 2 5" xfId="6719"/>
    <cellStyle name="20% - Accent1 2 4 2 5 3 2 5 2" xfId="44638"/>
    <cellStyle name="20% - Accent1 2 4 2 5 3 2 6" xfId="18520"/>
    <cellStyle name="20% - Accent1 2 4 2 5 3 2 6 2" xfId="52963"/>
    <cellStyle name="20% - Accent1 2 4 2 5 3 2 7" xfId="32135"/>
    <cellStyle name="20% - Accent1 2 4 2 5 3 3" xfId="2622"/>
    <cellStyle name="20% - Accent1 2 4 2 5 3 3 2" xfId="12789"/>
    <cellStyle name="20% - Accent1 2 4 2 5 3 3 2 2" xfId="24590"/>
    <cellStyle name="20% - Accent1 2 4 2 5 3 3 2 2 2" xfId="52964"/>
    <cellStyle name="20% - Accent1 2 4 2 5 3 3 2 3" xfId="38205"/>
    <cellStyle name="20% - Accent1 2 4 2 5 3 3 3" xfId="8075"/>
    <cellStyle name="20% - Accent1 2 4 2 5 3 3 3 2" xfId="44639"/>
    <cellStyle name="20% - Accent1 2 4 2 5 3 3 4" xfId="19876"/>
    <cellStyle name="20% - Accent1 2 4 2 5 3 3 4 2" xfId="52965"/>
    <cellStyle name="20% - Accent1 2 4 2 5 3 3 5" xfId="33491"/>
    <cellStyle name="20% - Accent1 2 4 2 5 3 4" xfId="12790"/>
    <cellStyle name="20% - Accent1 2 4 2 5 3 4 2" xfId="24591"/>
    <cellStyle name="20% - Accent1 2 4 2 5 3 4 2 2" xfId="44640"/>
    <cellStyle name="20% - Accent1 2 4 2 5 3 4 3" xfId="29659"/>
    <cellStyle name="20% - Accent1 2 4 2 5 3 4 3 2" xfId="44641"/>
    <cellStyle name="20% - Accent1 2 4 2 5 3 4 4" xfId="29660"/>
    <cellStyle name="20% - Accent1 2 4 2 5 3 4 4 2" xfId="52966"/>
    <cellStyle name="20% - Accent1 2 4 2 5 3 4 5" xfId="38206"/>
    <cellStyle name="20% - Accent1 2 4 2 5 3 5" xfId="12791"/>
    <cellStyle name="20% - Accent1 2 4 2 5 3 5 2" xfId="24592"/>
    <cellStyle name="20% - Accent1 2 4 2 5 3 5 2 2" xfId="52967"/>
    <cellStyle name="20% - Accent1 2 4 2 5 3 5 3" xfId="38207"/>
    <cellStyle name="20% - Accent1 2 4 2 5 3 6" xfId="6175"/>
    <cellStyle name="20% - Accent1 2 4 2 5 3 6 2" xfId="44642"/>
    <cellStyle name="20% - Accent1 2 4 2 5 3 7" xfId="17976"/>
    <cellStyle name="20% - Accent1 2 4 2 5 3 7 2" xfId="52968"/>
    <cellStyle name="20% - Accent1 2 4 2 5 3 8" xfId="31591"/>
    <cellStyle name="20% - Accent1 2 4 2 5 4" xfId="1266"/>
    <cellStyle name="20% - Accent1 2 4 2 5 4 2" xfId="5031"/>
    <cellStyle name="20% - Accent1 2 4 2 5 4 2 2" xfId="12792"/>
    <cellStyle name="20% - Accent1 2 4 2 5 4 2 2 2" xfId="24593"/>
    <cellStyle name="20% - Accent1 2 4 2 5 4 2 2 2 2" xfId="52969"/>
    <cellStyle name="20% - Accent1 2 4 2 5 4 2 2 3" xfId="38208"/>
    <cellStyle name="20% - Accent1 2 4 2 5 4 2 3" xfId="10484"/>
    <cellStyle name="20% - Accent1 2 4 2 5 4 2 3 2" xfId="44643"/>
    <cellStyle name="20% - Accent1 2 4 2 5 4 2 4" xfId="22285"/>
    <cellStyle name="20% - Accent1 2 4 2 5 4 2 4 2" xfId="52970"/>
    <cellStyle name="20% - Accent1 2 4 2 5 4 2 5" xfId="35900"/>
    <cellStyle name="20% - Accent1 2 4 2 5 4 3" xfId="3190"/>
    <cellStyle name="20% - Accent1 2 4 2 5 4 3 2" xfId="12793"/>
    <cellStyle name="20% - Accent1 2 4 2 5 4 3 2 2" xfId="24594"/>
    <cellStyle name="20% - Accent1 2 4 2 5 4 3 2 2 2" xfId="52971"/>
    <cellStyle name="20% - Accent1 2 4 2 5 4 3 2 3" xfId="38209"/>
    <cellStyle name="20% - Accent1 2 4 2 5 4 3 3" xfId="8643"/>
    <cellStyle name="20% - Accent1 2 4 2 5 4 3 3 2" xfId="44644"/>
    <cellStyle name="20% - Accent1 2 4 2 5 4 3 4" xfId="20444"/>
    <cellStyle name="20% - Accent1 2 4 2 5 4 3 4 2" xfId="52972"/>
    <cellStyle name="20% - Accent1 2 4 2 5 4 3 5" xfId="34059"/>
    <cellStyle name="20% - Accent1 2 4 2 5 4 4" xfId="12794"/>
    <cellStyle name="20% - Accent1 2 4 2 5 4 4 2" xfId="24595"/>
    <cellStyle name="20% - Accent1 2 4 2 5 4 4 2 2" xfId="52973"/>
    <cellStyle name="20% - Accent1 2 4 2 5 4 4 3" xfId="38210"/>
    <cellStyle name="20% - Accent1 2 4 2 5 4 5" xfId="6720"/>
    <cellStyle name="20% - Accent1 2 4 2 5 4 5 2" xfId="44645"/>
    <cellStyle name="20% - Accent1 2 4 2 5 4 6" xfId="18521"/>
    <cellStyle name="20% - Accent1 2 4 2 5 4 6 2" xfId="52974"/>
    <cellStyle name="20% - Accent1 2 4 2 5 4 7" xfId="32136"/>
    <cellStyle name="20% - Accent1 2 4 2 5 5" xfId="3895"/>
    <cellStyle name="20% - Accent1 2 4 2 5 5 2" xfId="12795"/>
    <cellStyle name="20% - Accent1 2 4 2 5 5 2 2" xfId="24596"/>
    <cellStyle name="20% - Accent1 2 4 2 5 5 2 2 2" xfId="52975"/>
    <cellStyle name="20% - Accent1 2 4 2 5 5 2 3" xfId="38211"/>
    <cellStyle name="20% - Accent1 2 4 2 5 5 3" xfId="9348"/>
    <cellStyle name="20% - Accent1 2 4 2 5 5 3 2" xfId="44646"/>
    <cellStyle name="20% - Accent1 2 4 2 5 5 4" xfId="21149"/>
    <cellStyle name="20% - Accent1 2 4 2 5 5 4 2" xfId="52976"/>
    <cellStyle name="20% - Accent1 2 4 2 5 5 5" xfId="34764"/>
    <cellStyle name="20% - Accent1 2 4 2 5 6" xfId="2054"/>
    <cellStyle name="20% - Accent1 2 4 2 5 6 2" xfId="12796"/>
    <cellStyle name="20% - Accent1 2 4 2 5 6 2 2" xfId="24597"/>
    <cellStyle name="20% - Accent1 2 4 2 5 6 2 2 2" xfId="52977"/>
    <cellStyle name="20% - Accent1 2 4 2 5 6 2 3" xfId="38212"/>
    <cellStyle name="20% - Accent1 2 4 2 5 6 3" xfId="7507"/>
    <cellStyle name="20% - Accent1 2 4 2 5 6 3 2" xfId="44647"/>
    <cellStyle name="20% - Accent1 2 4 2 5 6 4" xfId="19308"/>
    <cellStyle name="20% - Accent1 2 4 2 5 6 4 2" xfId="52978"/>
    <cellStyle name="20% - Accent1 2 4 2 5 6 5" xfId="32923"/>
    <cellStyle name="20% - Accent1 2 4 2 5 7" xfId="12797"/>
    <cellStyle name="20% - Accent1 2 4 2 5 7 2" xfId="24598"/>
    <cellStyle name="20% - Accent1 2 4 2 5 7 2 2" xfId="52979"/>
    <cellStyle name="20% - Accent1 2 4 2 5 7 3" xfId="38213"/>
    <cellStyle name="20% - Accent1 2 4 2 5 8" xfId="5607"/>
    <cellStyle name="20% - Accent1 2 4 2 5 8 2" xfId="44648"/>
    <cellStyle name="20% - Accent1 2 4 2 5 9" xfId="17408"/>
    <cellStyle name="20% - Accent1 2 4 2 5 9 2" xfId="52980"/>
    <cellStyle name="20% - Accent1 2 4 2 6" xfId="442"/>
    <cellStyle name="20% - Accent1 2 4 2 6 2" xfId="1267"/>
    <cellStyle name="20% - Accent1 2 4 2 6 2 2" xfId="4752"/>
    <cellStyle name="20% - Accent1 2 4 2 6 2 2 2" xfId="12798"/>
    <cellStyle name="20% - Accent1 2 4 2 6 2 2 2 2" xfId="24599"/>
    <cellStyle name="20% - Accent1 2 4 2 6 2 2 2 2 2" xfId="52981"/>
    <cellStyle name="20% - Accent1 2 4 2 6 2 2 2 3" xfId="38214"/>
    <cellStyle name="20% - Accent1 2 4 2 6 2 2 3" xfId="10205"/>
    <cellStyle name="20% - Accent1 2 4 2 6 2 2 3 2" xfId="44649"/>
    <cellStyle name="20% - Accent1 2 4 2 6 2 2 4" xfId="22006"/>
    <cellStyle name="20% - Accent1 2 4 2 6 2 2 4 2" xfId="52982"/>
    <cellStyle name="20% - Accent1 2 4 2 6 2 2 5" xfId="35621"/>
    <cellStyle name="20% - Accent1 2 4 2 6 2 3" xfId="2911"/>
    <cellStyle name="20% - Accent1 2 4 2 6 2 3 2" xfId="12799"/>
    <cellStyle name="20% - Accent1 2 4 2 6 2 3 2 2" xfId="24600"/>
    <cellStyle name="20% - Accent1 2 4 2 6 2 3 2 2 2" xfId="52983"/>
    <cellStyle name="20% - Accent1 2 4 2 6 2 3 2 3" xfId="38215"/>
    <cellStyle name="20% - Accent1 2 4 2 6 2 3 3" xfId="8364"/>
    <cellStyle name="20% - Accent1 2 4 2 6 2 3 3 2" xfId="44650"/>
    <cellStyle name="20% - Accent1 2 4 2 6 2 3 4" xfId="20165"/>
    <cellStyle name="20% - Accent1 2 4 2 6 2 3 4 2" xfId="52984"/>
    <cellStyle name="20% - Accent1 2 4 2 6 2 3 5" xfId="33780"/>
    <cellStyle name="20% - Accent1 2 4 2 6 2 4" xfId="12800"/>
    <cellStyle name="20% - Accent1 2 4 2 6 2 4 2" xfId="24601"/>
    <cellStyle name="20% - Accent1 2 4 2 6 2 4 2 2" xfId="52985"/>
    <cellStyle name="20% - Accent1 2 4 2 6 2 4 3" xfId="38216"/>
    <cellStyle name="20% - Accent1 2 4 2 6 2 5" xfId="6721"/>
    <cellStyle name="20% - Accent1 2 4 2 6 2 5 2" xfId="44651"/>
    <cellStyle name="20% - Accent1 2 4 2 6 2 6" xfId="18522"/>
    <cellStyle name="20% - Accent1 2 4 2 6 2 6 2" xfId="52986"/>
    <cellStyle name="20% - Accent1 2 4 2 6 2 7" xfId="32137"/>
    <cellStyle name="20% - Accent1 2 4 2 6 3" xfId="3479"/>
    <cellStyle name="20% - Accent1 2 4 2 6 3 2" xfId="5320"/>
    <cellStyle name="20% - Accent1 2 4 2 6 3 2 2" xfId="16790"/>
    <cellStyle name="20% - Accent1 2 4 2 6 3 2 2 2" xfId="28591"/>
    <cellStyle name="20% - Accent1 2 4 2 6 3 2 2 2 2" xfId="52987"/>
    <cellStyle name="20% - Accent1 2 4 2 6 3 2 2 3" xfId="42206"/>
    <cellStyle name="20% - Accent1 2 4 2 6 3 2 3" xfId="10773"/>
    <cellStyle name="20% - Accent1 2 4 2 6 3 2 3 2" xfId="52988"/>
    <cellStyle name="20% - Accent1 2 4 2 6 3 2 4" xfId="22574"/>
    <cellStyle name="20% - Accent1 2 4 2 6 3 2 4 2" xfId="52989"/>
    <cellStyle name="20% - Accent1 2 4 2 6 3 2 5" xfId="36189"/>
    <cellStyle name="20% - Accent1 2 4 2 6 3 3" xfId="12801"/>
    <cellStyle name="20% - Accent1 2 4 2 6 3 3 2" xfId="24602"/>
    <cellStyle name="20% - Accent1 2 4 2 6 3 3 2 2" xfId="52990"/>
    <cellStyle name="20% - Accent1 2 4 2 6 3 3 3" xfId="38217"/>
    <cellStyle name="20% - Accent1 2 4 2 6 3 4" xfId="8932"/>
    <cellStyle name="20% - Accent1 2 4 2 6 3 4 2" xfId="52991"/>
    <cellStyle name="20% - Accent1 2 4 2 6 3 5" xfId="20733"/>
    <cellStyle name="20% - Accent1 2 4 2 6 3 5 2" xfId="52992"/>
    <cellStyle name="20% - Accent1 2 4 2 6 3 6" xfId="34348"/>
    <cellStyle name="20% - Accent1 2 4 2 6 4" xfId="4184"/>
    <cellStyle name="20% - Accent1 2 4 2 6 4 2" xfId="12802"/>
    <cellStyle name="20% - Accent1 2 4 2 6 4 2 2" xfId="24603"/>
    <cellStyle name="20% - Accent1 2 4 2 6 4 2 2 2" xfId="52993"/>
    <cellStyle name="20% - Accent1 2 4 2 6 4 2 3" xfId="38218"/>
    <cellStyle name="20% - Accent1 2 4 2 6 4 3" xfId="9637"/>
    <cellStyle name="20% - Accent1 2 4 2 6 4 3 2" xfId="44652"/>
    <cellStyle name="20% - Accent1 2 4 2 6 4 4" xfId="21438"/>
    <cellStyle name="20% - Accent1 2 4 2 6 4 4 2" xfId="52994"/>
    <cellStyle name="20% - Accent1 2 4 2 6 4 5" xfId="35053"/>
    <cellStyle name="20% - Accent1 2 4 2 6 5" xfId="2343"/>
    <cellStyle name="20% - Accent1 2 4 2 6 5 2" xfId="17033"/>
    <cellStyle name="20% - Accent1 2 4 2 6 5 2 2" xfId="28834"/>
    <cellStyle name="20% - Accent1 2 4 2 6 5 2 2 2" xfId="52995"/>
    <cellStyle name="20% - Accent1 2 4 2 6 5 2 3" xfId="42449"/>
    <cellStyle name="20% - Accent1 2 4 2 6 5 3" xfId="7796"/>
    <cellStyle name="20% - Accent1 2 4 2 6 5 3 2" xfId="52996"/>
    <cellStyle name="20% - Accent1 2 4 2 6 5 4" xfId="19597"/>
    <cellStyle name="20% - Accent1 2 4 2 6 5 4 2" xfId="52997"/>
    <cellStyle name="20% - Accent1 2 4 2 6 5 5" xfId="33212"/>
    <cellStyle name="20% - Accent1 2 4 2 6 6" xfId="12803"/>
    <cellStyle name="20% - Accent1 2 4 2 6 6 2" xfId="24604"/>
    <cellStyle name="20% - Accent1 2 4 2 6 6 2 2" xfId="52998"/>
    <cellStyle name="20% - Accent1 2 4 2 6 6 3" xfId="38219"/>
    <cellStyle name="20% - Accent1 2 4 2 6 7" xfId="5896"/>
    <cellStyle name="20% - Accent1 2 4 2 6 7 2" xfId="52999"/>
    <cellStyle name="20% - Accent1 2 4 2 6 8" xfId="17697"/>
    <cellStyle name="20% - Accent1 2 4 2 6 8 2" xfId="53000"/>
    <cellStyle name="20% - Accent1 2 4 2 6 9" xfId="31312"/>
    <cellStyle name="20% - Accent1 2 4 2 7" xfId="256"/>
    <cellStyle name="20% - Accent1 2 4 2 7 2" xfId="1268"/>
    <cellStyle name="20% - Accent1 2 4 2 7 2 2" xfId="4566"/>
    <cellStyle name="20% - Accent1 2 4 2 7 2 2 2" xfId="12804"/>
    <cellStyle name="20% - Accent1 2 4 2 7 2 2 2 2" xfId="24605"/>
    <cellStyle name="20% - Accent1 2 4 2 7 2 2 2 2 2" xfId="53001"/>
    <cellStyle name="20% - Accent1 2 4 2 7 2 2 2 3" xfId="38220"/>
    <cellStyle name="20% - Accent1 2 4 2 7 2 2 3" xfId="10019"/>
    <cellStyle name="20% - Accent1 2 4 2 7 2 2 3 2" xfId="44653"/>
    <cellStyle name="20% - Accent1 2 4 2 7 2 2 4" xfId="21820"/>
    <cellStyle name="20% - Accent1 2 4 2 7 2 2 4 2" xfId="53002"/>
    <cellStyle name="20% - Accent1 2 4 2 7 2 2 5" xfId="35435"/>
    <cellStyle name="20% - Accent1 2 4 2 7 2 3" xfId="2725"/>
    <cellStyle name="20% - Accent1 2 4 2 7 2 3 2" xfId="12805"/>
    <cellStyle name="20% - Accent1 2 4 2 7 2 3 2 2" xfId="24606"/>
    <cellStyle name="20% - Accent1 2 4 2 7 2 3 2 2 2" xfId="53003"/>
    <cellStyle name="20% - Accent1 2 4 2 7 2 3 2 3" xfId="38221"/>
    <cellStyle name="20% - Accent1 2 4 2 7 2 3 3" xfId="8178"/>
    <cellStyle name="20% - Accent1 2 4 2 7 2 3 3 2" xfId="44654"/>
    <cellStyle name="20% - Accent1 2 4 2 7 2 3 4" xfId="19979"/>
    <cellStyle name="20% - Accent1 2 4 2 7 2 3 4 2" xfId="53004"/>
    <cellStyle name="20% - Accent1 2 4 2 7 2 3 5" xfId="33594"/>
    <cellStyle name="20% - Accent1 2 4 2 7 2 4" xfId="12806"/>
    <cellStyle name="20% - Accent1 2 4 2 7 2 4 2" xfId="24607"/>
    <cellStyle name="20% - Accent1 2 4 2 7 2 4 2 2" xfId="53005"/>
    <cellStyle name="20% - Accent1 2 4 2 7 2 4 3" xfId="38222"/>
    <cellStyle name="20% - Accent1 2 4 2 7 2 5" xfId="6722"/>
    <cellStyle name="20% - Accent1 2 4 2 7 2 5 2" xfId="44655"/>
    <cellStyle name="20% - Accent1 2 4 2 7 2 6" xfId="18523"/>
    <cellStyle name="20% - Accent1 2 4 2 7 2 6 2" xfId="53006"/>
    <cellStyle name="20% - Accent1 2 4 2 7 2 7" xfId="32138"/>
    <cellStyle name="20% - Accent1 2 4 2 7 3" xfId="3293"/>
    <cellStyle name="20% - Accent1 2 4 2 7 3 2" xfId="5134"/>
    <cellStyle name="20% - Accent1 2 4 2 7 3 2 2" xfId="16604"/>
    <cellStyle name="20% - Accent1 2 4 2 7 3 2 2 2" xfId="28405"/>
    <cellStyle name="20% - Accent1 2 4 2 7 3 2 2 2 2" xfId="53007"/>
    <cellStyle name="20% - Accent1 2 4 2 7 3 2 2 3" xfId="42020"/>
    <cellStyle name="20% - Accent1 2 4 2 7 3 2 3" xfId="10587"/>
    <cellStyle name="20% - Accent1 2 4 2 7 3 2 3 2" xfId="53008"/>
    <cellStyle name="20% - Accent1 2 4 2 7 3 2 4" xfId="22388"/>
    <cellStyle name="20% - Accent1 2 4 2 7 3 2 4 2" xfId="53009"/>
    <cellStyle name="20% - Accent1 2 4 2 7 3 2 5" xfId="36003"/>
    <cellStyle name="20% - Accent1 2 4 2 7 3 3" xfId="12807"/>
    <cellStyle name="20% - Accent1 2 4 2 7 3 3 2" xfId="24608"/>
    <cellStyle name="20% - Accent1 2 4 2 7 3 3 2 2" xfId="53010"/>
    <cellStyle name="20% - Accent1 2 4 2 7 3 3 3" xfId="38223"/>
    <cellStyle name="20% - Accent1 2 4 2 7 3 4" xfId="8746"/>
    <cellStyle name="20% - Accent1 2 4 2 7 3 4 2" xfId="53011"/>
    <cellStyle name="20% - Accent1 2 4 2 7 3 5" xfId="20547"/>
    <cellStyle name="20% - Accent1 2 4 2 7 3 5 2" xfId="53012"/>
    <cellStyle name="20% - Accent1 2 4 2 7 3 6" xfId="34162"/>
    <cellStyle name="20% - Accent1 2 4 2 7 4" xfId="3998"/>
    <cellStyle name="20% - Accent1 2 4 2 7 4 2" xfId="12808"/>
    <cellStyle name="20% - Accent1 2 4 2 7 4 2 2" xfId="24609"/>
    <cellStyle name="20% - Accent1 2 4 2 7 4 2 2 2" xfId="53013"/>
    <cellStyle name="20% - Accent1 2 4 2 7 4 2 3" xfId="38224"/>
    <cellStyle name="20% - Accent1 2 4 2 7 4 3" xfId="9451"/>
    <cellStyle name="20% - Accent1 2 4 2 7 4 3 2" xfId="44656"/>
    <cellStyle name="20% - Accent1 2 4 2 7 4 4" xfId="21252"/>
    <cellStyle name="20% - Accent1 2 4 2 7 4 4 2" xfId="53014"/>
    <cellStyle name="20% - Accent1 2 4 2 7 4 5" xfId="34867"/>
    <cellStyle name="20% - Accent1 2 4 2 7 5" xfId="2157"/>
    <cellStyle name="20% - Accent1 2 4 2 7 5 2" xfId="17034"/>
    <cellStyle name="20% - Accent1 2 4 2 7 5 2 2" xfId="28835"/>
    <cellStyle name="20% - Accent1 2 4 2 7 5 2 2 2" xfId="53015"/>
    <cellStyle name="20% - Accent1 2 4 2 7 5 2 3" xfId="42450"/>
    <cellStyle name="20% - Accent1 2 4 2 7 5 3" xfId="7610"/>
    <cellStyle name="20% - Accent1 2 4 2 7 5 3 2" xfId="53016"/>
    <cellStyle name="20% - Accent1 2 4 2 7 5 4" xfId="19411"/>
    <cellStyle name="20% - Accent1 2 4 2 7 5 4 2" xfId="53017"/>
    <cellStyle name="20% - Accent1 2 4 2 7 5 5" xfId="33026"/>
    <cellStyle name="20% - Accent1 2 4 2 7 6" xfId="12809"/>
    <cellStyle name="20% - Accent1 2 4 2 7 6 2" xfId="24610"/>
    <cellStyle name="20% - Accent1 2 4 2 7 6 2 2" xfId="53018"/>
    <cellStyle name="20% - Accent1 2 4 2 7 6 3" xfId="38225"/>
    <cellStyle name="20% - Accent1 2 4 2 7 7" xfId="5710"/>
    <cellStyle name="20% - Accent1 2 4 2 7 7 2" xfId="53019"/>
    <cellStyle name="20% - Accent1 2 4 2 7 8" xfId="17511"/>
    <cellStyle name="20% - Accent1 2 4 2 7 8 2" xfId="53020"/>
    <cellStyle name="20% - Accent1 2 4 2 7 9" xfId="31126"/>
    <cellStyle name="20% - Accent1 2 4 2 8" xfId="583"/>
    <cellStyle name="20% - Accent1 2 4 2 8 2" xfId="1269"/>
    <cellStyle name="20% - Accent1 2 4 2 8 2 2" xfId="4325"/>
    <cellStyle name="20% - Accent1 2 4 2 8 2 2 2" xfId="12810"/>
    <cellStyle name="20% - Accent1 2 4 2 8 2 2 2 2" xfId="24611"/>
    <cellStyle name="20% - Accent1 2 4 2 8 2 2 2 2 2" xfId="53021"/>
    <cellStyle name="20% - Accent1 2 4 2 8 2 2 2 3" xfId="38226"/>
    <cellStyle name="20% - Accent1 2 4 2 8 2 2 3" xfId="9778"/>
    <cellStyle name="20% - Accent1 2 4 2 8 2 2 3 2" xfId="44657"/>
    <cellStyle name="20% - Accent1 2 4 2 8 2 2 4" xfId="21579"/>
    <cellStyle name="20% - Accent1 2 4 2 8 2 2 4 2" xfId="53022"/>
    <cellStyle name="20% - Accent1 2 4 2 8 2 2 5" xfId="35194"/>
    <cellStyle name="20% - Accent1 2 4 2 8 2 3" xfId="12811"/>
    <cellStyle name="20% - Accent1 2 4 2 8 2 3 2" xfId="24612"/>
    <cellStyle name="20% - Accent1 2 4 2 8 2 3 2 2" xfId="44658"/>
    <cellStyle name="20% - Accent1 2 4 2 8 2 3 3" xfId="29661"/>
    <cellStyle name="20% - Accent1 2 4 2 8 2 3 3 2" xfId="44659"/>
    <cellStyle name="20% - Accent1 2 4 2 8 2 3 4" xfId="29662"/>
    <cellStyle name="20% - Accent1 2 4 2 8 2 3 4 2" xfId="53023"/>
    <cellStyle name="20% - Accent1 2 4 2 8 2 3 5" xfId="38227"/>
    <cellStyle name="20% - Accent1 2 4 2 8 2 4" xfId="12812"/>
    <cellStyle name="20% - Accent1 2 4 2 8 2 4 2" xfId="24613"/>
    <cellStyle name="20% - Accent1 2 4 2 8 2 4 2 2" xfId="53024"/>
    <cellStyle name="20% - Accent1 2 4 2 8 2 4 3" xfId="38228"/>
    <cellStyle name="20% - Accent1 2 4 2 8 2 5" xfId="6723"/>
    <cellStyle name="20% - Accent1 2 4 2 8 2 5 2" xfId="44660"/>
    <cellStyle name="20% - Accent1 2 4 2 8 2 6" xfId="18524"/>
    <cellStyle name="20% - Accent1 2 4 2 8 2 6 2" xfId="53025"/>
    <cellStyle name="20% - Accent1 2 4 2 8 2 7" xfId="32139"/>
    <cellStyle name="20% - Accent1 2 4 2 8 3" xfId="2484"/>
    <cellStyle name="20% - Accent1 2 4 2 8 3 2" xfId="12813"/>
    <cellStyle name="20% - Accent1 2 4 2 8 3 2 2" xfId="24614"/>
    <cellStyle name="20% - Accent1 2 4 2 8 3 2 2 2" xfId="53026"/>
    <cellStyle name="20% - Accent1 2 4 2 8 3 2 3" xfId="38229"/>
    <cellStyle name="20% - Accent1 2 4 2 8 3 3" xfId="7937"/>
    <cellStyle name="20% - Accent1 2 4 2 8 3 3 2" xfId="44661"/>
    <cellStyle name="20% - Accent1 2 4 2 8 3 4" xfId="19738"/>
    <cellStyle name="20% - Accent1 2 4 2 8 3 4 2" xfId="53027"/>
    <cellStyle name="20% - Accent1 2 4 2 8 3 5" xfId="33353"/>
    <cellStyle name="20% - Accent1 2 4 2 8 4" xfId="12814"/>
    <cellStyle name="20% - Accent1 2 4 2 8 4 2" xfId="24615"/>
    <cellStyle name="20% - Accent1 2 4 2 8 4 2 2" xfId="44662"/>
    <cellStyle name="20% - Accent1 2 4 2 8 4 3" xfId="29663"/>
    <cellStyle name="20% - Accent1 2 4 2 8 4 3 2" xfId="44663"/>
    <cellStyle name="20% - Accent1 2 4 2 8 4 4" xfId="29664"/>
    <cellStyle name="20% - Accent1 2 4 2 8 4 4 2" xfId="53028"/>
    <cellStyle name="20% - Accent1 2 4 2 8 4 5" xfId="38230"/>
    <cellStyle name="20% - Accent1 2 4 2 8 5" xfId="12815"/>
    <cellStyle name="20% - Accent1 2 4 2 8 5 2" xfId="24616"/>
    <cellStyle name="20% - Accent1 2 4 2 8 5 2 2" xfId="53029"/>
    <cellStyle name="20% - Accent1 2 4 2 8 5 3" xfId="38231"/>
    <cellStyle name="20% - Accent1 2 4 2 8 6" xfId="6037"/>
    <cellStyle name="20% - Accent1 2 4 2 8 6 2" xfId="44664"/>
    <cellStyle name="20% - Accent1 2 4 2 8 7" xfId="17838"/>
    <cellStyle name="20% - Accent1 2 4 2 8 7 2" xfId="53030"/>
    <cellStyle name="20% - Accent1 2 4 2 8 8" xfId="31453"/>
    <cellStyle name="20% - Accent1 2 4 2 9" xfId="824"/>
    <cellStyle name="20% - Accent1 2 4 2 9 2" xfId="1270"/>
    <cellStyle name="20% - Accent1 2 4 2 9 2 2" xfId="4893"/>
    <cellStyle name="20% - Accent1 2 4 2 9 2 2 2" xfId="12816"/>
    <cellStyle name="20% - Accent1 2 4 2 9 2 2 2 2" xfId="24617"/>
    <cellStyle name="20% - Accent1 2 4 2 9 2 2 2 2 2" xfId="53031"/>
    <cellStyle name="20% - Accent1 2 4 2 9 2 2 2 3" xfId="38232"/>
    <cellStyle name="20% - Accent1 2 4 2 9 2 2 3" xfId="10346"/>
    <cellStyle name="20% - Accent1 2 4 2 9 2 2 3 2" xfId="44665"/>
    <cellStyle name="20% - Accent1 2 4 2 9 2 2 4" xfId="22147"/>
    <cellStyle name="20% - Accent1 2 4 2 9 2 2 4 2" xfId="53032"/>
    <cellStyle name="20% - Accent1 2 4 2 9 2 2 5" xfId="35762"/>
    <cellStyle name="20% - Accent1 2 4 2 9 2 3" xfId="12817"/>
    <cellStyle name="20% - Accent1 2 4 2 9 2 3 2" xfId="24618"/>
    <cellStyle name="20% - Accent1 2 4 2 9 2 3 2 2" xfId="44666"/>
    <cellStyle name="20% - Accent1 2 4 2 9 2 3 3" xfId="29665"/>
    <cellStyle name="20% - Accent1 2 4 2 9 2 3 3 2" xfId="44667"/>
    <cellStyle name="20% - Accent1 2 4 2 9 2 3 4" xfId="29666"/>
    <cellStyle name="20% - Accent1 2 4 2 9 2 3 4 2" xfId="53033"/>
    <cellStyle name="20% - Accent1 2 4 2 9 2 3 5" xfId="38233"/>
    <cellStyle name="20% - Accent1 2 4 2 9 2 4" xfId="12818"/>
    <cellStyle name="20% - Accent1 2 4 2 9 2 4 2" xfId="24619"/>
    <cellStyle name="20% - Accent1 2 4 2 9 2 4 2 2" xfId="53034"/>
    <cellStyle name="20% - Accent1 2 4 2 9 2 4 3" xfId="38234"/>
    <cellStyle name="20% - Accent1 2 4 2 9 2 5" xfId="6724"/>
    <cellStyle name="20% - Accent1 2 4 2 9 2 5 2" xfId="44668"/>
    <cellStyle name="20% - Accent1 2 4 2 9 2 6" xfId="18525"/>
    <cellStyle name="20% - Accent1 2 4 2 9 2 6 2" xfId="53035"/>
    <cellStyle name="20% - Accent1 2 4 2 9 2 7" xfId="32140"/>
    <cellStyle name="20% - Accent1 2 4 2 9 3" xfId="3052"/>
    <cellStyle name="20% - Accent1 2 4 2 9 3 2" xfId="12819"/>
    <cellStyle name="20% - Accent1 2 4 2 9 3 2 2" xfId="24620"/>
    <cellStyle name="20% - Accent1 2 4 2 9 3 2 2 2" xfId="53036"/>
    <cellStyle name="20% - Accent1 2 4 2 9 3 2 3" xfId="38235"/>
    <cellStyle name="20% - Accent1 2 4 2 9 3 3" xfId="8505"/>
    <cellStyle name="20% - Accent1 2 4 2 9 3 3 2" xfId="44669"/>
    <cellStyle name="20% - Accent1 2 4 2 9 3 4" xfId="20306"/>
    <cellStyle name="20% - Accent1 2 4 2 9 3 4 2" xfId="53037"/>
    <cellStyle name="20% - Accent1 2 4 2 9 3 5" xfId="33921"/>
    <cellStyle name="20% - Accent1 2 4 2 9 4" xfId="12820"/>
    <cellStyle name="20% - Accent1 2 4 2 9 4 2" xfId="24621"/>
    <cellStyle name="20% - Accent1 2 4 2 9 4 2 2" xfId="44670"/>
    <cellStyle name="20% - Accent1 2 4 2 9 4 3" xfId="29667"/>
    <cellStyle name="20% - Accent1 2 4 2 9 4 3 2" xfId="44671"/>
    <cellStyle name="20% - Accent1 2 4 2 9 4 4" xfId="29668"/>
    <cellStyle name="20% - Accent1 2 4 2 9 4 4 2" xfId="53038"/>
    <cellStyle name="20% - Accent1 2 4 2 9 4 5" xfId="38236"/>
    <cellStyle name="20% - Accent1 2 4 2 9 5" xfId="12821"/>
    <cellStyle name="20% - Accent1 2 4 2 9 5 2" xfId="24622"/>
    <cellStyle name="20% - Accent1 2 4 2 9 5 2 2" xfId="53039"/>
    <cellStyle name="20% - Accent1 2 4 2 9 5 3" xfId="38237"/>
    <cellStyle name="20% - Accent1 2 4 2 9 6" xfId="6278"/>
    <cellStyle name="20% - Accent1 2 4 2 9 6 2" xfId="44672"/>
    <cellStyle name="20% - Accent1 2 4 2 9 7" xfId="18079"/>
    <cellStyle name="20% - Accent1 2 4 2 9 7 2" xfId="53040"/>
    <cellStyle name="20% - Accent1 2 4 2 9 8" xfId="31694"/>
    <cellStyle name="20% - Accent1 2 4 3" xfId="16"/>
    <cellStyle name="20% - Accent1 2 4 3 10" xfId="825"/>
    <cellStyle name="20% - Accent1 2 4 3 10 2" xfId="1271"/>
    <cellStyle name="20% - Accent1 2 4 3 10 2 2" xfId="4894"/>
    <cellStyle name="20% - Accent1 2 4 3 10 2 2 2" xfId="12822"/>
    <cellStyle name="20% - Accent1 2 4 3 10 2 2 2 2" xfId="24623"/>
    <cellStyle name="20% - Accent1 2 4 3 10 2 2 2 2 2" xfId="53041"/>
    <cellStyle name="20% - Accent1 2 4 3 10 2 2 2 3" xfId="38238"/>
    <cellStyle name="20% - Accent1 2 4 3 10 2 2 3" xfId="10347"/>
    <cellStyle name="20% - Accent1 2 4 3 10 2 2 3 2" xfId="44673"/>
    <cellStyle name="20% - Accent1 2 4 3 10 2 2 4" xfId="22148"/>
    <cellStyle name="20% - Accent1 2 4 3 10 2 2 4 2" xfId="53042"/>
    <cellStyle name="20% - Accent1 2 4 3 10 2 2 5" xfId="35763"/>
    <cellStyle name="20% - Accent1 2 4 3 10 2 3" xfId="12823"/>
    <cellStyle name="20% - Accent1 2 4 3 10 2 3 2" xfId="24624"/>
    <cellStyle name="20% - Accent1 2 4 3 10 2 3 2 2" xfId="44674"/>
    <cellStyle name="20% - Accent1 2 4 3 10 2 3 3" xfId="29669"/>
    <cellStyle name="20% - Accent1 2 4 3 10 2 3 3 2" xfId="44675"/>
    <cellStyle name="20% - Accent1 2 4 3 10 2 3 4" xfId="29670"/>
    <cellStyle name="20% - Accent1 2 4 3 10 2 3 4 2" xfId="53043"/>
    <cellStyle name="20% - Accent1 2 4 3 10 2 3 5" xfId="38239"/>
    <cellStyle name="20% - Accent1 2 4 3 10 2 4" xfId="12824"/>
    <cellStyle name="20% - Accent1 2 4 3 10 2 4 2" xfId="24625"/>
    <cellStyle name="20% - Accent1 2 4 3 10 2 4 2 2" xfId="53044"/>
    <cellStyle name="20% - Accent1 2 4 3 10 2 4 3" xfId="38240"/>
    <cellStyle name="20% - Accent1 2 4 3 10 2 5" xfId="6725"/>
    <cellStyle name="20% - Accent1 2 4 3 10 2 5 2" xfId="44676"/>
    <cellStyle name="20% - Accent1 2 4 3 10 2 6" xfId="18526"/>
    <cellStyle name="20% - Accent1 2 4 3 10 2 6 2" xfId="53045"/>
    <cellStyle name="20% - Accent1 2 4 3 10 2 7" xfId="32141"/>
    <cellStyle name="20% - Accent1 2 4 3 10 3" xfId="3053"/>
    <cellStyle name="20% - Accent1 2 4 3 10 3 2" xfId="12825"/>
    <cellStyle name="20% - Accent1 2 4 3 10 3 2 2" xfId="24626"/>
    <cellStyle name="20% - Accent1 2 4 3 10 3 2 2 2" xfId="53046"/>
    <cellStyle name="20% - Accent1 2 4 3 10 3 2 3" xfId="38241"/>
    <cellStyle name="20% - Accent1 2 4 3 10 3 3" xfId="8506"/>
    <cellStyle name="20% - Accent1 2 4 3 10 3 3 2" xfId="44677"/>
    <cellStyle name="20% - Accent1 2 4 3 10 3 4" xfId="20307"/>
    <cellStyle name="20% - Accent1 2 4 3 10 3 4 2" xfId="53047"/>
    <cellStyle name="20% - Accent1 2 4 3 10 3 5" xfId="33922"/>
    <cellStyle name="20% - Accent1 2 4 3 10 4" xfId="12826"/>
    <cellStyle name="20% - Accent1 2 4 3 10 4 2" xfId="24627"/>
    <cellStyle name="20% - Accent1 2 4 3 10 4 2 2" xfId="44678"/>
    <cellStyle name="20% - Accent1 2 4 3 10 4 3" xfId="29671"/>
    <cellStyle name="20% - Accent1 2 4 3 10 4 3 2" xfId="44679"/>
    <cellStyle name="20% - Accent1 2 4 3 10 4 4" xfId="29672"/>
    <cellStyle name="20% - Accent1 2 4 3 10 4 4 2" xfId="53048"/>
    <cellStyle name="20% - Accent1 2 4 3 10 4 5" xfId="38242"/>
    <cellStyle name="20% - Accent1 2 4 3 10 5" xfId="12827"/>
    <cellStyle name="20% - Accent1 2 4 3 10 5 2" xfId="24628"/>
    <cellStyle name="20% - Accent1 2 4 3 10 5 2 2" xfId="53049"/>
    <cellStyle name="20% - Accent1 2 4 3 10 5 3" xfId="38243"/>
    <cellStyle name="20% - Accent1 2 4 3 10 6" xfId="6279"/>
    <cellStyle name="20% - Accent1 2 4 3 10 6 2" xfId="44680"/>
    <cellStyle name="20% - Accent1 2 4 3 10 7" xfId="18080"/>
    <cellStyle name="20% - Accent1 2 4 3 10 7 2" xfId="53050"/>
    <cellStyle name="20% - Accent1 2 4 3 10 8" xfId="31695"/>
    <cellStyle name="20% - Accent1 2 4 3 11" xfId="1272"/>
    <cellStyle name="20% - Accent1 2 4 3 11 2" xfId="3758"/>
    <cellStyle name="20% - Accent1 2 4 3 11 2 2" xfId="12828"/>
    <cellStyle name="20% - Accent1 2 4 3 11 2 2 2" xfId="24629"/>
    <cellStyle name="20% - Accent1 2 4 3 11 2 2 2 2" xfId="53051"/>
    <cellStyle name="20% - Accent1 2 4 3 11 2 2 3" xfId="38244"/>
    <cellStyle name="20% - Accent1 2 4 3 11 2 3" xfId="9211"/>
    <cellStyle name="20% - Accent1 2 4 3 11 2 3 2" xfId="44681"/>
    <cellStyle name="20% - Accent1 2 4 3 11 2 4" xfId="21012"/>
    <cellStyle name="20% - Accent1 2 4 3 11 2 4 2" xfId="53052"/>
    <cellStyle name="20% - Accent1 2 4 3 11 2 5" xfId="34627"/>
    <cellStyle name="20% - Accent1 2 4 3 11 3" xfId="12829"/>
    <cellStyle name="20% - Accent1 2 4 3 11 3 2" xfId="24630"/>
    <cellStyle name="20% - Accent1 2 4 3 11 3 2 2" xfId="44682"/>
    <cellStyle name="20% - Accent1 2 4 3 11 3 3" xfId="29673"/>
    <cellStyle name="20% - Accent1 2 4 3 11 3 3 2" xfId="44683"/>
    <cellStyle name="20% - Accent1 2 4 3 11 3 4" xfId="29674"/>
    <cellStyle name="20% - Accent1 2 4 3 11 3 4 2" xfId="53053"/>
    <cellStyle name="20% - Accent1 2 4 3 11 3 5" xfId="38245"/>
    <cellStyle name="20% - Accent1 2 4 3 11 4" xfId="12830"/>
    <cellStyle name="20% - Accent1 2 4 3 11 4 2" xfId="24631"/>
    <cellStyle name="20% - Accent1 2 4 3 11 4 2 2" xfId="53054"/>
    <cellStyle name="20% - Accent1 2 4 3 11 4 3" xfId="38246"/>
    <cellStyle name="20% - Accent1 2 4 3 11 5" xfId="6726"/>
    <cellStyle name="20% - Accent1 2 4 3 11 5 2" xfId="44684"/>
    <cellStyle name="20% - Accent1 2 4 3 11 6" xfId="18527"/>
    <cellStyle name="20% - Accent1 2 4 3 11 6 2" xfId="53055"/>
    <cellStyle name="20% - Accent1 2 4 3 11 7" xfId="32142"/>
    <cellStyle name="20% - Accent1 2 4 3 12" xfId="3621"/>
    <cellStyle name="20% - Accent1 2 4 3 12 2" xfId="12831"/>
    <cellStyle name="20% - Accent1 2 4 3 12 2 2" xfId="24632"/>
    <cellStyle name="20% - Accent1 2 4 3 12 2 2 2" xfId="53056"/>
    <cellStyle name="20% - Accent1 2 4 3 12 2 3" xfId="38247"/>
    <cellStyle name="20% - Accent1 2 4 3 12 3" xfId="9074"/>
    <cellStyle name="20% - Accent1 2 4 3 12 3 2" xfId="44685"/>
    <cellStyle name="20% - Accent1 2 4 3 12 4" xfId="20875"/>
    <cellStyle name="20% - Accent1 2 4 3 12 4 2" xfId="53057"/>
    <cellStyle name="20% - Accent1 2 4 3 12 5" xfId="34490"/>
    <cellStyle name="20% - Accent1 2 4 3 13" xfId="1917"/>
    <cellStyle name="20% - Accent1 2 4 3 13 2" xfId="12832"/>
    <cellStyle name="20% - Accent1 2 4 3 13 2 2" xfId="24633"/>
    <cellStyle name="20% - Accent1 2 4 3 13 2 2 2" xfId="53058"/>
    <cellStyle name="20% - Accent1 2 4 3 13 2 3" xfId="38248"/>
    <cellStyle name="20% - Accent1 2 4 3 13 3" xfId="7370"/>
    <cellStyle name="20% - Accent1 2 4 3 13 3 2" xfId="44686"/>
    <cellStyle name="20% - Accent1 2 4 3 13 4" xfId="19171"/>
    <cellStyle name="20% - Accent1 2 4 3 13 4 2" xfId="53059"/>
    <cellStyle name="20% - Accent1 2 4 3 13 5" xfId="32786"/>
    <cellStyle name="20% - Accent1 2 4 3 14" xfId="12833"/>
    <cellStyle name="20% - Accent1 2 4 3 14 2" xfId="24634"/>
    <cellStyle name="20% - Accent1 2 4 3 14 2 2" xfId="53060"/>
    <cellStyle name="20% - Accent1 2 4 3 14 3" xfId="38249"/>
    <cellStyle name="20% - Accent1 2 4 3 15" xfId="5470"/>
    <cellStyle name="20% - Accent1 2 4 3 15 2" xfId="44687"/>
    <cellStyle name="20% - Accent1 2 4 3 16" xfId="17271"/>
    <cellStyle name="20% - Accent1 2 4 3 16 2" xfId="53061"/>
    <cellStyle name="20% - Accent1 2 4 3 17" xfId="30864"/>
    <cellStyle name="20% - Accent1 2 4 3 17 2" xfId="30870"/>
    <cellStyle name="20% - Accent1 2 4 3 17 2 2" xfId="61774"/>
    <cellStyle name="20% - Accent1 2 4 3 17 3" xfId="61734"/>
    <cellStyle name="20% - Accent1 2 4 3 17 4" xfId="61775"/>
    <cellStyle name="20% - Accent1 2 4 3 18" xfId="30886"/>
    <cellStyle name="20% - Accent1 2 4 3 2" xfId="44"/>
    <cellStyle name="20% - Accent1 2 4 3 2 10" xfId="1945"/>
    <cellStyle name="20% - Accent1 2 4 3 2 10 2" xfId="12834"/>
    <cellStyle name="20% - Accent1 2 4 3 2 10 2 2" xfId="24635"/>
    <cellStyle name="20% - Accent1 2 4 3 2 10 2 2 2" xfId="53062"/>
    <cellStyle name="20% - Accent1 2 4 3 2 10 2 3" xfId="38250"/>
    <cellStyle name="20% - Accent1 2 4 3 2 10 3" xfId="7398"/>
    <cellStyle name="20% - Accent1 2 4 3 2 10 3 2" xfId="44688"/>
    <cellStyle name="20% - Accent1 2 4 3 2 10 4" xfId="19199"/>
    <cellStyle name="20% - Accent1 2 4 3 2 10 4 2" xfId="53063"/>
    <cellStyle name="20% - Accent1 2 4 3 2 10 5" xfId="32814"/>
    <cellStyle name="20% - Accent1 2 4 3 2 11" xfId="12835"/>
    <cellStyle name="20% - Accent1 2 4 3 2 11 2" xfId="24636"/>
    <cellStyle name="20% - Accent1 2 4 3 2 11 2 2" xfId="53064"/>
    <cellStyle name="20% - Accent1 2 4 3 2 11 3" xfId="38251"/>
    <cellStyle name="20% - Accent1 2 4 3 2 12" xfId="5498"/>
    <cellStyle name="20% - Accent1 2 4 3 2 12 2" xfId="44689"/>
    <cellStyle name="20% - Accent1 2 4 3 2 13" xfId="17299"/>
    <cellStyle name="20% - Accent1 2 4 3 2 13 2" xfId="53065"/>
    <cellStyle name="20% - Accent1 2 4 3 2 14" xfId="30914"/>
    <cellStyle name="20% - Accent1 2 4 3 2 2" xfId="111"/>
    <cellStyle name="20% - Accent1 2 4 3 2 2 10" xfId="5565"/>
    <cellStyle name="20% - Accent1 2 4 3 2 2 10 2" xfId="44690"/>
    <cellStyle name="20% - Accent1 2 4 3 2 2 11" xfId="17366"/>
    <cellStyle name="20% - Accent1 2 4 3 2 2 11 2" xfId="53066"/>
    <cellStyle name="20% - Accent1 2 4 3 2 2 12" xfId="30981"/>
    <cellStyle name="20% - Accent1 2 4 3 2 2 2" xfId="207"/>
    <cellStyle name="20% - Accent1 2 4 3 2 2 2 10" xfId="31077"/>
    <cellStyle name="20% - Accent1 2 4 3 2 2 2 2" xfId="538"/>
    <cellStyle name="20% - Accent1 2 4 3 2 2 2 2 2" xfId="1273"/>
    <cellStyle name="20% - Accent1 2 4 3 2 2 2 2 2 2" xfId="4848"/>
    <cellStyle name="20% - Accent1 2 4 3 2 2 2 2 2 2 2" xfId="12836"/>
    <cellStyle name="20% - Accent1 2 4 3 2 2 2 2 2 2 2 2" xfId="24637"/>
    <cellStyle name="20% - Accent1 2 4 3 2 2 2 2 2 2 2 2 2" xfId="53067"/>
    <cellStyle name="20% - Accent1 2 4 3 2 2 2 2 2 2 2 3" xfId="30865"/>
    <cellStyle name="20% - Accent1 2 4 3 2 2 2 2 2 2 2 3 2" xfId="30871"/>
    <cellStyle name="20% - Accent1 2 4 3 2 2 2 2 2 2 2 3 2 2 3" xfId="61868"/>
    <cellStyle name="20% - Accent1 2 4 3 2 2 2 2 2 2 2 3 2 2 3 3 2" xfId="61881"/>
    <cellStyle name="20% - Accent1 2 4 3 2 2 2 2 2 2 2 3 3" xfId="61735"/>
    <cellStyle name="20% - Accent1 2 4 3 2 2 2 2 2 2 2 3 4" xfId="61776"/>
    <cellStyle name="20% - Accent1 2 4 3 2 2 2 2 2 2 2 4" xfId="38252"/>
    <cellStyle name="20% - Accent1 2 4 3 2 2 2 2 2 2 3" xfId="10301"/>
    <cellStyle name="20% - Accent1 2 4 3 2 2 2 2 2 2 3 2" xfId="44691"/>
    <cellStyle name="20% - Accent1 2 4 3 2 2 2 2 2 2 4" xfId="22102"/>
    <cellStyle name="20% - Accent1 2 4 3 2 2 2 2 2 2 4 2" xfId="53068"/>
    <cellStyle name="20% - Accent1 2 4 3 2 2 2 2 2 2 5" xfId="35717"/>
    <cellStyle name="20% - Accent1 2 4 3 2 2 2 2 2 3" xfId="3007"/>
    <cellStyle name="20% - Accent1 2 4 3 2 2 2 2 2 3 2" xfId="12837"/>
    <cellStyle name="20% - Accent1 2 4 3 2 2 2 2 2 3 2 2" xfId="24638"/>
    <cellStyle name="20% - Accent1 2 4 3 2 2 2 2 2 3 2 2 2" xfId="53069"/>
    <cellStyle name="20% - Accent1 2 4 3 2 2 2 2 2 3 2 3" xfId="38253"/>
    <cellStyle name="20% - Accent1 2 4 3 2 2 2 2 2 3 3" xfId="8460"/>
    <cellStyle name="20% - Accent1 2 4 3 2 2 2 2 2 3 3 2" xfId="44692"/>
    <cellStyle name="20% - Accent1 2 4 3 2 2 2 2 2 3 4" xfId="20261"/>
    <cellStyle name="20% - Accent1 2 4 3 2 2 2 2 2 3 4 2" xfId="53070"/>
    <cellStyle name="20% - Accent1 2 4 3 2 2 2 2 2 3 5" xfId="33876"/>
    <cellStyle name="20% - Accent1 2 4 3 2 2 2 2 2 4" xfId="12838"/>
    <cellStyle name="20% - Accent1 2 4 3 2 2 2 2 2 4 2" xfId="24639"/>
    <cellStyle name="20% - Accent1 2 4 3 2 2 2 2 2 4 2 2" xfId="53071"/>
    <cellStyle name="20% - Accent1 2 4 3 2 2 2 2 2 4 3" xfId="38254"/>
    <cellStyle name="20% - Accent1 2 4 3 2 2 2 2 2 5" xfId="6727"/>
    <cellStyle name="20% - Accent1 2 4 3 2 2 2 2 2 5 2" xfId="44693"/>
    <cellStyle name="20% - Accent1 2 4 3 2 2 2 2 2 6" xfId="18528"/>
    <cellStyle name="20% - Accent1 2 4 3 2 2 2 2 2 6 2" xfId="53072"/>
    <cellStyle name="20% - Accent1 2 4 3 2 2 2 2 2 7" xfId="32143"/>
    <cellStyle name="20% - Accent1 2 4 3 2 2 2 2 3" xfId="3575"/>
    <cellStyle name="20% - Accent1 2 4 3 2 2 2 2 3 2" xfId="5416"/>
    <cellStyle name="20% - Accent1 2 4 3 2 2 2 2 3 2 2" xfId="16886"/>
    <cellStyle name="20% - Accent1 2 4 3 2 2 2 2 3 2 2 2" xfId="28687"/>
    <cellStyle name="20% - Accent1 2 4 3 2 2 2 2 3 2 2 2 2" xfId="53073"/>
    <cellStyle name="20% - Accent1 2 4 3 2 2 2 2 3 2 2 3" xfId="42302"/>
    <cellStyle name="20% - Accent1 2 4 3 2 2 2 2 3 2 3" xfId="10869"/>
    <cellStyle name="20% - Accent1 2 4 3 2 2 2 2 3 2 3 2" xfId="53074"/>
    <cellStyle name="20% - Accent1 2 4 3 2 2 2 2 3 2 4" xfId="22670"/>
    <cellStyle name="20% - Accent1 2 4 3 2 2 2 2 3 2 4 2" xfId="53075"/>
    <cellStyle name="20% - Accent1 2 4 3 2 2 2 2 3 2 5" xfId="36285"/>
    <cellStyle name="20% - Accent1 2 4 3 2 2 2 2 3 3" xfId="12839"/>
    <cellStyle name="20% - Accent1 2 4 3 2 2 2 2 3 3 2" xfId="24640"/>
    <cellStyle name="20% - Accent1 2 4 3 2 2 2 2 3 3 2 2" xfId="53076"/>
    <cellStyle name="20% - Accent1 2 4 3 2 2 2 2 3 3 3" xfId="38255"/>
    <cellStyle name="20% - Accent1 2 4 3 2 2 2 2 3 4" xfId="9028"/>
    <cellStyle name="20% - Accent1 2 4 3 2 2 2 2 3 4 2" xfId="53077"/>
    <cellStyle name="20% - Accent1 2 4 3 2 2 2 2 3 5" xfId="20829"/>
    <cellStyle name="20% - Accent1 2 4 3 2 2 2 2 3 5 2" xfId="53078"/>
    <cellStyle name="20% - Accent1 2 4 3 2 2 2 2 3 6" xfId="34444"/>
    <cellStyle name="20% - Accent1 2 4 3 2 2 2 2 4" xfId="4280"/>
    <cellStyle name="20% - Accent1 2 4 3 2 2 2 2 4 2" xfId="12840"/>
    <cellStyle name="20% - Accent1 2 4 3 2 2 2 2 4 2 2" xfId="24641"/>
    <cellStyle name="20% - Accent1 2 4 3 2 2 2 2 4 2 2 2" xfId="53079"/>
    <cellStyle name="20% - Accent1 2 4 3 2 2 2 2 4 2 3" xfId="38256"/>
    <cellStyle name="20% - Accent1 2 4 3 2 2 2 2 4 3" xfId="9733"/>
    <cellStyle name="20% - Accent1 2 4 3 2 2 2 2 4 3 2" xfId="44694"/>
    <cellStyle name="20% - Accent1 2 4 3 2 2 2 2 4 4" xfId="21534"/>
    <cellStyle name="20% - Accent1 2 4 3 2 2 2 2 4 4 2" xfId="53080"/>
    <cellStyle name="20% - Accent1 2 4 3 2 2 2 2 4 5" xfId="35149"/>
    <cellStyle name="20% - Accent1 2 4 3 2 2 2 2 5" xfId="2439"/>
    <cellStyle name="20% - Accent1 2 4 3 2 2 2 2 5 2" xfId="17035"/>
    <cellStyle name="20% - Accent1 2 4 3 2 2 2 2 5 2 2" xfId="28836"/>
    <cellStyle name="20% - Accent1 2 4 3 2 2 2 2 5 2 2 2" xfId="53081"/>
    <cellStyle name="20% - Accent1 2 4 3 2 2 2 2 5 2 3" xfId="42451"/>
    <cellStyle name="20% - Accent1 2 4 3 2 2 2 2 5 3" xfId="7892"/>
    <cellStyle name="20% - Accent1 2 4 3 2 2 2 2 5 3 2" xfId="53082"/>
    <cellStyle name="20% - Accent1 2 4 3 2 2 2 2 5 4" xfId="19693"/>
    <cellStyle name="20% - Accent1 2 4 3 2 2 2 2 5 4 2" xfId="53083"/>
    <cellStyle name="20% - Accent1 2 4 3 2 2 2 2 5 5" xfId="33308"/>
    <cellStyle name="20% - Accent1 2 4 3 2 2 2 2 6" xfId="12841"/>
    <cellStyle name="20% - Accent1 2 4 3 2 2 2 2 6 2" xfId="24642"/>
    <cellStyle name="20% - Accent1 2 4 3 2 2 2 2 6 2 2" xfId="53084"/>
    <cellStyle name="20% - Accent1 2 4 3 2 2 2 2 6 3" xfId="38257"/>
    <cellStyle name="20% - Accent1 2 4 3 2 2 2 2 7" xfId="5992"/>
    <cellStyle name="20% - Accent1 2 4 3 2 2 2 2 7 2" xfId="53085"/>
    <cellStyle name="20% - Accent1 2 4 3 2 2 2 2 8" xfId="17793"/>
    <cellStyle name="20% - Accent1 2 4 3 2 2 2 2 8 2" xfId="53086"/>
    <cellStyle name="20% - Accent1 2 4 3 2 2 2 2 9" xfId="31408"/>
    <cellStyle name="20% - Accent1 2 4 3 2 2 2 3" xfId="775"/>
    <cellStyle name="20% - Accent1 2 4 3 2 2 2 3 2" xfId="1274"/>
    <cellStyle name="20% - Accent1 2 4 3 2 2 2 3 2 2" xfId="4517"/>
    <cellStyle name="20% - Accent1 2 4 3 2 2 2 3 2 2 2" xfId="12842"/>
    <cellStyle name="20% - Accent1 2 4 3 2 2 2 3 2 2 2 2" xfId="24643"/>
    <cellStyle name="20% - Accent1 2 4 3 2 2 2 3 2 2 2 2 2" xfId="53087"/>
    <cellStyle name="20% - Accent1 2 4 3 2 2 2 3 2 2 2 3" xfId="38258"/>
    <cellStyle name="20% - Accent1 2 4 3 2 2 2 3 2 2 3" xfId="9970"/>
    <cellStyle name="20% - Accent1 2 4 3 2 2 2 3 2 2 3 2" xfId="44695"/>
    <cellStyle name="20% - Accent1 2 4 3 2 2 2 3 2 2 4" xfId="21771"/>
    <cellStyle name="20% - Accent1 2 4 3 2 2 2 3 2 2 4 2" xfId="53088"/>
    <cellStyle name="20% - Accent1 2 4 3 2 2 2 3 2 2 5" xfId="35386"/>
    <cellStyle name="20% - Accent1 2 4 3 2 2 2 3 2 3" xfId="12843"/>
    <cellStyle name="20% - Accent1 2 4 3 2 2 2 3 2 3 2" xfId="24644"/>
    <cellStyle name="20% - Accent1 2 4 3 2 2 2 3 2 3 2 2" xfId="44696"/>
    <cellStyle name="20% - Accent1 2 4 3 2 2 2 3 2 3 3" xfId="29675"/>
    <cellStyle name="20% - Accent1 2 4 3 2 2 2 3 2 3 3 2" xfId="44697"/>
    <cellStyle name="20% - Accent1 2 4 3 2 2 2 3 2 3 4" xfId="29676"/>
    <cellStyle name="20% - Accent1 2 4 3 2 2 2 3 2 3 4 2" xfId="53089"/>
    <cellStyle name="20% - Accent1 2 4 3 2 2 2 3 2 3 5" xfId="38259"/>
    <cellStyle name="20% - Accent1 2 4 3 2 2 2 3 2 4" xfId="12844"/>
    <cellStyle name="20% - Accent1 2 4 3 2 2 2 3 2 4 2" xfId="24645"/>
    <cellStyle name="20% - Accent1 2 4 3 2 2 2 3 2 4 2 2" xfId="53090"/>
    <cellStyle name="20% - Accent1 2 4 3 2 2 2 3 2 4 3" xfId="38260"/>
    <cellStyle name="20% - Accent1 2 4 3 2 2 2 3 2 5" xfId="6728"/>
    <cellStyle name="20% - Accent1 2 4 3 2 2 2 3 2 5 2" xfId="44698"/>
    <cellStyle name="20% - Accent1 2 4 3 2 2 2 3 2 6" xfId="18529"/>
    <cellStyle name="20% - Accent1 2 4 3 2 2 2 3 2 6 2" xfId="53091"/>
    <cellStyle name="20% - Accent1 2 4 3 2 2 2 3 2 7" xfId="32144"/>
    <cellStyle name="20% - Accent1 2 4 3 2 2 2 3 3" xfId="2676"/>
    <cellStyle name="20% - Accent1 2 4 3 2 2 2 3 3 2" xfId="12845"/>
    <cellStyle name="20% - Accent1 2 4 3 2 2 2 3 3 2 2" xfId="24646"/>
    <cellStyle name="20% - Accent1 2 4 3 2 2 2 3 3 2 2 2" xfId="53092"/>
    <cellStyle name="20% - Accent1 2 4 3 2 2 2 3 3 2 3" xfId="38261"/>
    <cellStyle name="20% - Accent1 2 4 3 2 2 2 3 3 3" xfId="8129"/>
    <cellStyle name="20% - Accent1 2 4 3 2 2 2 3 3 3 2" xfId="44699"/>
    <cellStyle name="20% - Accent1 2 4 3 2 2 2 3 3 4" xfId="19930"/>
    <cellStyle name="20% - Accent1 2 4 3 2 2 2 3 3 4 2" xfId="53093"/>
    <cellStyle name="20% - Accent1 2 4 3 2 2 2 3 3 5" xfId="33545"/>
    <cellStyle name="20% - Accent1 2 4 3 2 2 2 3 4" xfId="12846"/>
    <cellStyle name="20% - Accent1 2 4 3 2 2 2 3 4 2" xfId="24647"/>
    <cellStyle name="20% - Accent1 2 4 3 2 2 2 3 4 2 2" xfId="44700"/>
    <cellStyle name="20% - Accent1 2 4 3 2 2 2 3 4 3" xfId="29677"/>
    <cellStyle name="20% - Accent1 2 4 3 2 2 2 3 4 3 2" xfId="44701"/>
    <cellStyle name="20% - Accent1 2 4 3 2 2 2 3 4 4" xfId="29678"/>
    <cellStyle name="20% - Accent1 2 4 3 2 2 2 3 4 4 2" xfId="53094"/>
    <cellStyle name="20% - Accent1 2 4 3 2 2 2 3 4 5" xfId="38262"/>
    <cellStyle name="20% - Accent1 2 4 3 2 2 2 3 5" xfId="12847"/>
    <cellStyle name="20% - Accent1 2 4 3 2 2 2 3 5 2" xfId="24648"/>
    <cellStyle name="20% - Accent1 2 4 3 2 2 2 3 5 2 2" xfId="53095"/>
    <cellStyle name="20% - Accent1 2 4 3 2 2 2 3 5 3" xfId="38263"/>
    <cellStyle name="20% - Accent1 2 4 3 2 2 2 3 6" xfId="6229"/>
    <cellStyle name="20% - Accent1 2 4 3 2 2 2 3 6 2" xfId="44702"/>
    <cellStyle name="20% - Accent1 2 4 3 2 2 2 3 7" xfId="18030"/>
    <cellStyle name="20% - Accent1 2 4 3 2 2 2 3 7 2" xfId="53096"/>
    <cellStyle name="20% - Accent1 2 4 3 2 2 2 3 8" xfId="31645"/>
    <cellStyle name="20% - Accent1 2 4 3 2 2 2 4" xfId="1275"/>
    <cellStyle name="20% - Accent1 2 4 3 2 2 2 4 2" xfId="5085"/>
    <cellStyle name="20% - Accent1 2 4 3 2 2 2 4 2 2" xfId="12848"/>
    <cellStyle name="20% - Accent1 2 4 3 2 2 2 4 2 2 2" xfId="24649"/>
    <cellStyle name="20% - Accent1 2 4 3 2 2 2 4 2 2 2 2" xfId="53097"/>
    <cellStyle name="20% - Accent1 2 4 3 2 2 2 4 2 2 3" xfId="38264"/>
    <cellStyle name="20% - Accent1 2 4 3 2 2 2 4 2 3" xfId="10538"/>
    <cellStyle name="20% - Accent1 2 4 3 2 2 2 4 2 3 2" xfId="44703"/>
    <cellStyle name="20% - Accent1 2 4 3 2 2 2 4 2 4" xfId="22339"/>
    <cellStyle name="20% - Accent1 2 4 3 2 2 2 4 2 4 2" xfId="53098"/>
    <cellStyle name="20% - Accent1 2 4 3 2 2 2 4 2 5" xfId="35954"/>
    <cellStyle name="20% - Accent1 2 4 3 2 2 2 4 3" xfId="3244"/>
    <cellStyle name="20% - Accent1 2 4 3 2 2 2 4 3 2" xfId="12849"/>
    <cellStyle name="20% - Accent1 2 4 3 2 2 2 4 3 2 2" xfId="24650"/>
    <cellStyle name="20% - Accent1 2 4 3 2 2 2 4 3 2 2 2" xfId="53099"/>
    <cellStyle name="20% - Accent1 2 4 3 2 2 2 4 3 2 3" xfId="38265"/>
    <cellStyle name="20% - Accent1 2 4 3 2 2 2 4 3 3" xfId="8697"/>
    <cellStyle name="20% - Accent1 2 4 3 2 2 2 4 3 3 2" xfId="44704"/>
    <cellStyle name="20% - Accent1 2 4 3 2 2 2 4 3 4" xfId="20498"/>
    <cellStyle name="20% - Accent1 2 4 3 2 2 2 4 3 4 2" xfId="53100"/>
    <cellStyle name="20% - Accent1 2 4 3 2 2 2 4 3 5" xfId="34113"/>
    <cellStyle name="20% - Accent1 2 4 3 2 2 2 4 4" xfId="12850"/>
    <cellStyle name="20% - Accent1 2 4 3 2 2 2 4 4 2" xfId="24651"/>
    <cellStyle name="20% - Accent1 2 4 3 2 2 2 4 4 2 2" xfId="53101"/>
    <cellStyle name="20% - Accent1 2 4 3 2 2 2 4 4 3" xfId="38266"/>
    <cellStyle name="20% - Accent1 2 4 3 2 2 2 4 5" xfId="6729"/>
    <cellStyle name="20% - Accent1 2 4 3 2 2 2 4 5 2" xfId="44705"/>
    <cellStyle name="20% - Accent1 2 4 3 2 2 2 4 6" xfId="18530"/>
    <cellStyle name="20% - Accent1 2 4 3 2 2 2 4 6 2" xfId="53102"/>
    <cellStyle name="20% - Accent1 2 4 3 2 2 2 4 7" xfId="32145"/>
    <cellStyle name="20% - Accent1 2 4 3 2 2 2 5" xfId="3949"/>
    <cellStyle name="20% - Accent1 2 4 3 2 2 2 5 2" xfId="12851"/>
    <cellStyle name="20% - Accent1 2 4 3 2 2 2 5 2 2" xfId="24652"/>
    <cellStyle name="20% - Accent1 2 4 3 2 2 2 5 2 2 2" xfId="53103"/>
    <cellStyle name="20% - Accent1 2 4 3 2 2 2 5 2 3" xfId="38267"/>
    <cellStyle name="20% - Accent1 2 4 3 2 2 2 5 3" xfId="9402"/>
    <cellStyle name="20% - Accent1 2 4 3 2 2 2 5 3 2" xfId="44706"/>
    <cellStyle name="20% - Accent1 2 4 3 2 2 2 5 4" xfId="21203"/>
    <cellStyle name="20% - Accent1 2 4 3 2 2 2 5 4 2" xfId="53104"/>
    <cellStyle name="20% - Accent1 2 4 3 2 2 2 5 5" xfId="34818"/>
    <cellStyle name="20% - Accent1 2 4 3 2 2 2 6" xfId="2108"/>
    <cellStyle name="20% - Accent1 2 4 3 2 2 2 6 2" xfId="12852"/>
    <cellStyle name="20% - Accent1 2 4 3 2 2 2 6 2 2" xfId="24653"/>
    <cellStyle name="20% - Accent1 2 4 3 2 2 2 6 2 2 2" xfId="53105"/>
    <cellStyle name="20% - Accent1 2 4 3 2 2 2 6 2 3" xfId="38268"/>
    <cellStyle name="20% - Accent1 2 4 3 2 2 2 6 3" xfId="7561"/>
    <cellStyle name="20% - Accent1 2 4 3 2 2 2 6 3 2" xfId="44707"/>
    <cellStyle name="20% - Accent1 2 4 3 2 2 2 6 4" xfId="19362"/>
    <cellStyle name="20% - Accent1 2 4 3 2 2 2 6 4 2" xfId="53106"/>
    <cellStyle name="20% - Accent1 2 4 3 2 2 2 6 5" xfId="32977"/>
    <cellStyle name="20% - Accent1 2 4 3 2 2 2 7" xfId="12853"/>
    <cellStyle name="20% - Accent1 2 4 3 2 2 2 7 2" xfId="24654"/>
    <cellStyle name="20% - Accent1 2 4 3 2 2 2 7 2 2" xfId="53107"/>
    <cellStyle name="20% - Accent1 2 4 3 2 2 2 7 3" xfId="38269"/>
    <cellStyle name="20% - Accent1 2 4 3 2 2 2 8" xfId="5661"/>
    <cellStyle name="20% - Accent1 2 4 3 2 2 2 8 2" xfId="44708"/>
    <cellStyle name="20% - Accent1 2 4 3 2 2 2 9" xfId="17462"/>
    <cellStyle name="20% - Accent1 2 4 3 2 2 2 9 2" xfId="53108"/>
    <cellStyle name="20% - Accent1 2 4 3 2 2 3" xfId="401"/>
    <cellStyle name="20% - Accent1 2 4 3 2 2 3 2" xfId="1276"/>
    <cellStyle name="20% - Accent1 2 4 3 2 2 3 2 2" xfId="4711"/>
    <cellStyle name="20% - Accent1 2 4 3 2 2 3 2 2 2" xfId="12854"/>
    <cellStyle name="20% - Accent1 2 4 3 2 2 3 2 2 2 2" xfId="24655"/>
    <cellStyle name="20% - Accent1 2 4 3 2 2 3 2 2 2 2 2" xfId="53109"/>
    <cellStyle name="20% - Accent1 2 4 3 2 2 3 2 2 2 3" xfId="38270"/>
    <cellStyle name="20% - Accent1 2 4 3 2 2 3 2 2 3" xfId="10164"/>
    <cellStyle name="20% - Accent1 2 4 3 2 2 3 2 2 3 2" xfId="44709"/>
    <cellStyle name="20% - Accent1 2 4 3 2 2 3 2 2 4" xfId="21965"/>
    <cellStyle name="20% - Accent1 2 4 3 2 2 3 2 2 4 2" xfId="53110"/>
    <cellStyle name="20% - Accent1 2 4 3 2 2 3 2 2 5" xfId="35580"/>
    <cellStyle name="20% - Accent1 2 4 3 2 2 3 2 3" xfId="2870"/>
    <cellStyle name="20% - Accent1 2 4 3 2 2 3 2 3 2" xfId="12855"/>
    <cellStyle name="20% - Accent1 2 4 3 2 2 3 2 3 2 2" xfId="24656"/>
    <cellStyle name="20% - Accent1 2 4 3 2 2 3 2 3 2 2 2" xfId="53111"/>
    <cellStyle name="20% - Accent1 2 4 3 2 2 3 2 3 2 3" xfId="38271"/>
    <cellStyle name="20% - Accent1 2 4 3 2 2 3 2 3 3" xfId="8323"/>
    <cellStyle name="20% - Accent1 2 4 3 2 2 3 2 3 3 2" xfId="44710"/>
    <cellStyle name="20% - Accent1 2 4 3 2 2 3 2 3 4" xfId="20124"/>
    <cellStyle name="20% - Accent1 2 4 3 2 2 3 2 3 4 2" xfId="53112"/>
    <cellStyle name="20% - Accent1 2 4 3 2 2 3 2 3 5" xfId="33739"/>
    <cellStyle name="20% - Accent1 2 4 3 2 2 3 2 4" xfId="12856"/>
    <cellStyle name="20% - Accent1 2 4 3 2 2 3 2 4 2" xfId="24657"/>
    <cellStyle name="20% - Accent1 2 4 3 2 2 3 2 4 2 2" xfId="53113"/>
    <cellStyle name="20% - Accent1 2 4 3 2 2 3 2 4 3" xfId="38272"/>
    <cellStyle name="20% - Accent1 2 4 3 2 2 3 2 5" xfId="6730"/>
    <cellStyle name="20% - Accent1 2 4 3 2 2 3 2 5 2" xfId="44711"/>
    <cellStyle name="20% - Accent1 2 4 3 2 2 3 2 6" xfId="18531"/>
    <cellStyle name="20% - Accent1 2 4 3 2 2 3 2 6 2" xfId="53114"/>
    <cellStyle name="20% - Accent1 2 4 3 2 2 3 2 7" xfId="32146"/>
    <cellStyle name="20% - Accent1 2 4 3 2 2 3 3" xfId="3438"/>
    <cellStyle name="20% - Accent1 2 4 3 2 2 3 3 2" xfId="5279"/>
    <cellStyle name="20% - Accent1 2 4 3 2 2 3 3 2 2" xfId="16749"/>
    <cellStyle name="20% - Accent1 2 4 3 2 2 3 3 2 2 2" xfId="28550"/>
    <cellStyle name="20% - Accent1 2 4 3 2 2 3 3 2 2 2 2" xfId="53115"/>
    <cellStyle name="20% - Accent1 2 4 3 2 2 3 3 2 2 3" xfId="42165"/>
    <cellStyle name="20% - Accent1 2 4 3 2 2 3 3 2 3" xfId="10732"/>
    <cellStyle name="20% - Accent1 2 4 3 2 2 3 3 2 3 2" xfId="53116"/>
    <cellStyle name="20% - Accent1 2 4 3 2 2 3 3 2 4" xfId="22533"/>
    <cellStyle name="20% - Accent1 2 4 3 2 2 3 3 2 4 2" xfId="53117"/>
    <cellStyle name="20% - Accent1 2 4 3 2 2 3 3 2 5" xfId="36148"/>
    <cellStyle name="20% - Accent1 2 4 3 2 2 3 3 3" xfId="12857"/>
    <cellStyle name="20% - Accent1 2 4 3 2 2 3 3 3 2" xfId="24658"/>
    <cellStyle name="20% - Accent1 2 4 3 2 2 3 3 3 2 2" xfId="53118"/>
    <cellStyle name="20% - Accent1 2 4 3 2 2 3 3 3 3" xfId="38273"/>
    <cellStyle name="20% - Accent1 2 4 3 2 2 3 3 4" xfId="8891"/>
    <cellStyle name="20% - Accent1 2 4 3 2 2 3 3 4 2" xfId="53119"/>
    <cellStyle name="20% - Accent1 2 4 3 2 2 3 3 5" xfId="20692"/>
    <cellStyle name="20% - Accent1 2 4 3 2 2 3 3 5 2" xfId="53120"/>
    <cellStyle name="20% - Accent1 2 4 3 2 2 3 3 6" xfId="34307"/>
    <cellStyle name="20% - Accent1 2 4 3 2 2 3 4" xfId="4143"/>
    <cellStyle name="20% - Accent1 2 4 3 2 2 3 4 2" xfId="12858"/>
    <cellStyle name="20% - Accent1 2 4 3 2 2 3 4 2 2" xfId="24659"/>
    <cellStyle name="20% - Accent1 2 4 3 2 2 3 4 2 2 2" xfId="53121"/>
    <cellStyle name="20% - Accent1 2 4 3 2 2 3 4 2 3" xfId="38274"/>
    <cellStyle name="20% - Accent1 2 4 3 2 2 3 4 3" xfId="9596"/>
    <cellStyle name="20% - Accent1 2 4 3 2 2 3 4 3 2" xfId="44712"/>
    <cellStyle name="20% - Accent1 2 4 3 2 2 3 4 4" xfId="21397"/>
    <cellStyle name="20% - Accent1 2 4 3 2 2 3 4 4 2" xfId="53122"/>
    <cellStyle name="20% - Accent1 2 4 3 2 2 3 4 5" xfId="35012"/>
    <cellStyle name="20% - Accent1 2 4 3 2 2 3 5" xfId="2302"/>
    <cellStyle name="20% - Accent1 2 4 3 2 2 3 5 2" xfId="17036"/>
    <cellStyle name="20% - Accent1 2 4 3 2 2 3 5 2 2" xfId="28837"/>
    <cellStyle name="20% - Accent1 2 4 3 2 2 3 5 2 2 2" xfId="53123"/>
    <cellStyle name="20% - Accent1 2 4 3 2 2 3 5 2 3" xfId="42452"/>
    <cellStyle name="20% - Accent1 2 4 3 2 2 3 5 3" xfId="7755"/>
    <cellStyle name="20% - Accent1 2 4 3 2 2 3 5 3 2" xfId="53124"/>
    <cellStyle name="20% - Accent1 2 4 3 2 2 3 5 4" xfId="19556"/>
    <cellStyle name="20% - Accent1 2 4 3 2 2 3 5 4 2" xfId="53125"/>
    <cellStyle name="20% - Accent1 2 4 3 2 2 3 5 5" xfId="33171"/>
    <cellStyle name="20% - Accent1 2 4 3 2 2 3 6" xfId="12859"/>
    <cellStyle name="20% - Accent1 2 4 3 2 2 3 6 2" xfId="24660"/>
    <cellStyle name="20% - Accent1 2 4 3 2 2 3 6 2 2" xfId="53126"/>
    <cellStyle name="20% - Accent1 2 4 3 2 2 3 6 3" xfId="38275"/>
    <cellStyle name="20% - Accent1 2 4 3 2 2 3 7" xfId="5855"/>
    <cellStyle name="20% - Accent1 2 4 3 2 2 3 7 2" xfId="53127"/>
    <cellStyle name="20% - Accent1 2 4 3 2 2 3 8" xfId="17656"/>
    <cellStyle name="20% - Accent1 2 4 3 2 2 3 8 2" xfId="53128"/>
    <cellStyle name="20% - Accent1 2 4 3 2 2 3 9" xfId="31271"/>
    <cellStyle name="20% - Accent1 2 4 3 2 2 4" xfId="679"/>
    <cellStyle name="20% - Accent1 2 4 3 2 2 4 2" xfId="1277"/>
    <cellStyle name="20% - Accent1 2 4 3 2 2 4 2 2" xfId="4421"/>
    <cellStyle name="20% - Accent1 2 4 3 2 2 4 2 2 2" xfId="12860"/>
    <cellStyle name="20% - Accent1 2 4 3 2 2 4 2 2 2 2" xfId="24661"/>
    <cellStyle name="20% - Accent1 2 4 3 2 2 4 2 2 2 2 2" xfId="53129"/>
    <cellStyle name="20% - Accent1 2 4 3 2 2 4 2 2 2 3" xfId="38276"/>
    <cellStyle name="20% - Accent1 2 4 3 2 2 4 2 2 3" xfId="9874"/>
    <cellStyle name="20% - Accent1 2 4 3 2 2 4 2 2 3 2" xfId="44713"/>
    <cellStyle name="20% - Accent1 2 4 3 2 2 4 2 2 4" xfId="21675"/>
    <cellStyle name="20% - Accent1 2 4 3 2 2 4 2 2 4 2" xfId="53130"/>
    <cellStyle name="20% - Accent1 2 4 3 2 2 4 2 2 5" xfId="35290"/>
    <cellStyle name="20% - Accent1 2 4 3 2 2 4 2 3" xfId="12861"/>
    <cellStyle name="20% - Accent1 2 4 3 2 2 4 2 3 2" xfId="24662"/>
    <cellStyle name="20% - Accent1 2 4 3 2 2 4 2 3 2 2" xfId="44714"/>
    <cellStyle name="20% - Accent1 2 4 3 2 2 4 2 3 3" xfId="29679"/>
    <cellStyle name="20% - Accent1 2 4 3 2 2 4 2 3 3 2" xfId="44715"/>
    <cellStyle name="20% - Accent1 2 4 3 2 2 4 2 3 4" xfId="29680"/>
    <cellStyle name="20% - Accent1 2 4 3 2 2 4 2 3 4 2" xfId="53131"/>
    <cellStyle name="20% - Accent1 2 4 3 2 2 4 2 3 5" xfId="38277"/>
    <cellStyle name="20% - Accent1 2 4 3 2 2 4 2 4" xfId="12862"/>
    <cellStyle name="20% - Accent1 2 4 3 2 2 4 2 4 2" xfId="24663"/>
    <cellStyle name="20% - Accent1 2 4 3 2 2 4 2 4 2 2" xfId="53132"/>
    <cellStyle name="20% - Accent1 2 4 3 2 2 4 2 4 3" xfId="38278"/>
    <cellStyle name="20% - Accent1 2 4 3 2 2 4 2 5" xfId="6731"/>
    <cellStyle name="20% - Accent1 2 4 3 2 2 4 2 5 2" xfId="44716"/>
    <cellStyle name="20% - Accent1 2 4 3 2 2 4 2 6" xfId="18532"/>
    <cellStyle name="20% - Accent1 2 4 3 2 2 4 2 6 2" xfId="53133"/>
    <cellStyle name="20% - Accent1 2 4 3 2 2 4 2 7" xfId="32147"/>
    <cellStyle name="20% - Accent1 2 4 3 2 2 4 3" xfId="2580"/>
    <cellStyle name="20% - Accent1 2 4 3 2 2 4 3 2" xfId="12863"/>
    <cellStyle name="20% - Accent1 2 4 3 2 2 4 3 2 2" xfId="24664"/>
    <cellStyle name="20% - Accent1 2 4 3 2 2 4 3 2 2 2" xfId="53134"/>
    <cellStyle name="20% - Accent1 2 4 3 2 2 4 3 2 3" xfId="38279"/>
    <cellStyle name="20% - Accent1 2 4 3 2 2 4 3 3" xfId="8033"/>
    <cellStyle name="20% - Accent1 2 4 3 2 2 4 3 3 2" xfId="44717"/>
    <cellStyle name="20% - Accent1 2 4 3 2 2 4 3 4" xfId="19834"/>
    <cellStyle name="20% - Accent1 2 4 3 2 2 4 3 4 2" xfId="53135"/>
    <cellStyle name="20% - Accent1 2 4 3 2 2 4 3 5" xfId="33449"/>
    <cellStyle name="20% - Accent1 2 4 3 2 2 4 4" xfId="12864"/>
    <cellStyle name="20% - Accent1 2 4 3 2 2 4 4 2" xfId="24665"/>
    <cellStyle name="20% - Accent1 2 4 3 2 2 4 4 2 2" xfId="44718"/>
    <cellStyle name="20% - Accent1 2 4 3 2 2 4 4 3" xfId="29681"/>
    <cellStyle name="20% - Accent1 2 4 3 2 2 4 4 3 2" xfId="44719"/>
    <cellStyle name="20% - Accent1 2 4 3 2 2 4 4 4" xfId="29682"/>
    <cellStyle name="20% - Accent1 2 4 3 2 2 4 4 4 2" xfId="53136"/>
    <cellStyle name="20% - Accent1 2 4 3 2 2 4 4 5" xfId="38280"/>
    <cellStyle name="20% - Accent1 2 4 3 2 2 4 5" xfId="12865"/>
    <cellStyle name="20% - Accent1 2 4 3 2 2 4 5 2" xfId="24666"/>
    <cellStyle name="20% - Accent1 2 4 3 2 2 4 5 2 2" xfId="53137"/>
    <cellStyle name="20% - Accent1 2 4 3 2 2 4 5 3" xfId="38281"/>
    <cellStyle name="20% - Accent1 2 4 3 2 2 4 6" xfId="6133"/>
    <cellStyle name="20% - Accent1 2 4 3 2 2 4 6 2" xfId="44720"/>
    <cellStyle name="20% - Accent1 2 4 3 2 2 4 7" xfId="17934"/>
    <cellStyle name="20% - Accent1 2 4 3 2 2 4 7 2" xfId="53138"/>
    <cellStyle name="20% - Accent1 2 4 3 2 2 4 8" xfId="31549"/>
    <cellStyle name="20% - Accent1 2 4 3 2 2 5" xfId="920"/>
    <cellStyle name="20% - Accent1 2 4 3 2 2 5 2" xfId="1278"/>
    <cellStyle name="20% - Accent1 2 4 3 2 2 5 2 2" xfId="4989"/>
    <cellStyle name="20% - Accent1 2 4 3 2 2 5 2 2 2" xfId="12866"/>
    <cellStyle name="20% - Accent1 2 4 3 2 2 5 2 2 2 2" xfId="24667"/>
    <cellStyle name="20% - Accent1 2 4 3 2 2 5 2 2 2 2 2" xfId="53139"/>
    <cellStyle name="20% - Accent1 2 4 3 2 2 5 2 2 2 3" xfId="38282"/>
    <cellStyle name="20% - Accent1 2 4 3 2 2 5 2 2 3" xfId="10442"/>
    <cellStyle name="20% - Accent1 2 4 3 2 2 5 2 2 3 2" xfId="44721"/>
    <cellStyle name="20% - Accent1 2 4 3 2 2 5 2 2 4" xfId="22243"/>
    <cellStyle name="20% - Accent1 2 4 3 2 2 5 2 2 4 2" xfId="53140"/>
    <cellStyle name="20% - Accent1 2 4 3 2 2 5 2 2 5" xfId="35858"/>
    <cellStyle name="20% - Accent1 2 4 3 2 2 5 2 3" xfId="12867"/>
    <cellStyle name="20% - Accent1 2 4 3 2 2 5 2 3 2" xfId="24668"/>
    <cellStyle name="20% - Accent1 2 4 3 2 2 5 2 3 2 2" xfId="44722"/>
    <cellStyle name="20% - Accent1 2 4 3 2 2 5 2 3 3" xfId="29683"/>
    <cellStyle name="20% - Accent1 2 4 3 2 2 5 2 3 3 2" xfId="44723"/>
    <cellStyle name="20% - Accent1 2 4 3 2 2 5 2 3 4" xfId="29684"/>
    <cellStyle name="20% - Accent1 2 4 3 2 2 5 2 3 4 2" xfId="53141"/>
    <cellStyle name="20% - Accent1 2 4 3 2 2 5 2 3 5" xfId="38283"/>
    <cellStyle name="20% - Accent1 2 4 3 2 2 5 2 4" xfId="12868"/>
    <cellStyle name="20% - Accent1 2 4 3 2 2 5 2 4 2" xfId="24669"/>
    <cellStyle name="20% - Accent1 2 4 3 2 2 5 2 4 2 2" xfId="53142"/>
    <cellStyle name="20% - Accent1 2 4 3 2 2 5 2 4 3" xfId="38284"/>
    <cellStyle name="20% - Accent1 2 4 3 2 2 5 2 5" xfId="6732"/>
    <cellStyle name="20% - Accent1 2 4 3 2 2 5 2 5 2" xfId="44724"/>
    <cellStyle name="20% - Accent1 2 4 3 2 2 5 2 6" xfId="18533"/>
    <cellStyle name="20% - Accent1 2 4 3 2 2 5 2 6 2" xfId="53143"/>
    <cellStyle name="20% - Accent1 2 4 3 2 2 5 2 7" xfId="32148"/>
    <cellStyle name="20% - Accent1 2 4 3 2 2 5 3" xfId="3148"/>
    <cellStyle name="20% - Accent1 2 4 3 2 2 5 3 2" xfId="12869"/>
    <cellStyle name="20% - Accent1 2 4 3 2 2 5 3 2 2" xfId="24670"/>
    <cellStyle name="20% - Accent1 2 4 3 2 2 5 3 2 2 2" xfId="53144"/>
    <cellStyle name="20% - Accent1 2 4 3 2 2 5 3 2 3" xfId="38285"/>
    <cellStyle name="20% - Accent1 2 4 3 2 2 5 3 3" xfId="8601"/>
    <cellStyle name="20% - Accent1 2 4 3 2 2 5 3 3 2" xfId="44725"/>
    <cellStyle name="20% - Accent1 2 4 3 2 2 5 3 4" xfId="20402"/>
    <cellStyle name="20% - Accent1 2 4 3 2 2 5 3 4 2" xfId="53145"/>
    <cellStyle name="20% - Accent1 2 4 3 2 2 5 3 5" xfId="34017"/>
    <cellStyle name="20% - Accent1 2 4 3 2 2 5 4" xfId="12870"/>
    <cellStyle name="20% - Accent1 2 4 3 2 2 5 4 2" xfId="24671"/>
    <cellStyle name="20% - Accent1 2 4 3 2 2 5 4 2 2" xfId="44726"/>
    <cellStyle name="20% - Accent1 2 4 3 2 2 5 4 3" xfId="29685"/>
    <cellStyle name="20% - Accent1 2 4 3 2 2 5 4 3 2" xfId="44727"/>
    <cellStyle name="20% - Accent1 2 4 3 2 2 5 4 4" xfId="29686"/>
    <cellStyle name="20% - Accent1 2 4 3 2 2 5 4 4 2" xfId="53146"/>
    <cellStyle name="20% - Accent1 2 4 3 2 2 5 4 5" xfId="38286"/>
    <cellStyle name="20% - Accent1 2 4 3 2 2 5 5" xfId="12871"/>
    <cellStyle name="20% - Accent1 2 4 3 2 2 5 5 2" xfId="24672"/>
    <cellStyle name="20% - Accent1 2 4 3 2 2 5 5 2 2" xfId="53147"/>
    <cellStyle name="20% - Accent1 2 4 3 2 2 5 5 3" xfId="38287"/>
    <cellStyle name="20% - Accent1 2 4 3 2 2 5 6" xfId="6374"/>
    <cellStyle name="20% - Accent1 2 4 3 2 2 5 6 2" xfId="44728"/>
    <cellStyle name="20% - Accent1 2 4 3 2 2 5 7" xfId="18175"/>
    <cellStyle name="20% - Accent1 2 4 3 2 2 5 7 2" xfId="53148"/>
    <cellStyle name="20% - Accent1 2 4 3 2 2 5 8" xfId="31790"/>
    <cellStyle name="20% - Accent1 2 4 3 2 2 6" xfId="1279"/>
    <cellStyle name="20% - Accent1 2 4 3 2 2 6 2" xfId="3853"/>
    <cellStyle name="20% - Accent1 2 4 3 2 2 6 2 2" xfId="12872"/>
    <cellStyle name="20% - Accent1 2 4 3 2 2 6 2 2 2" xfId="24673"/>
    <cellStyle name="20% - Accent1 2 4 3 2 2 6 2 2 2 2" xfId="53149"/>
    <cellStyle name="20% - Accent1 2 4 3 2 2 6 2 2 3" xfId="38288"/>
    <cellStyle name="20% - Accent1 2 4 3 2 2 6 2 3" xfId="9306"/>
    <cellStyle name="20% - Accent1 2 4 3 2 2 6 2 3 2" xfId="44729"/>
    <cellStyle name="20% - Accent1 2 4 3 2 2 6 2 4" xfId="21107"/>
    <cellStyle name="20% - Accent1 2 4 3 2 2 6 2 4 2" xfId="53150"/>
    <cellStyle name="20% - Accent1 2 4 3 2 2 6 2 5" xfId="34722"/>
    <cellStyle name="20% - Accent1 2 4 3 2 2 6 3" xfId="12873"/>
    <cellStyle name="20% - Accent1 2 4 3 2 2 6 3 2" xfId="24674"/>
    <cellStyle name="20% - Accent1 2 4 3 2 2 6 3 2 2" xfId="44730"/>
    <cellStyle name="20% - Accent1 2 4 3 2 2 6 3 3" xfId="29687"/>
    <cellStyle name="20% - Accent1 2 4 3 2 2 6 3 3 2" xfId="44731"/>
    <cellStyle name="20% - Accent1 2 4 3 2 2 6 3 4" xfId="29688"/>
    <cellStyle name="20% - Accent1 2 4 3 2 2 6 3 4 2" xfId="53151"/>
    <cellStyle name="20% - Accent1 2 4 3 2 2 6 3 5" xfId="38289"/>
    <cellStyle name="20% - Accent1 2 4 3 2 2 6 4" xfId="12874"/>
    <cellStyle name="20% - Accent1 2 4 3 2 2 6 4 2" xfId="24675"/>
    <cellStyle name="20% - Accent1 2 4 3 2 2 6 4 2 2" xfId="53152"/>
    <cellStyle name="20% - Accent1 2 4 3 2 2 6 4 3" xfId="38290"/>
    <cellStyle name="20% - Accent1 2 4 3 2 2 6 5" xfId="6733"/>
    <cellStyle name="20% - Accent1 2 4 3 2 2 6 5 2" xfId="44732"/>
    <cellStyle name="20% - Accent1 2 4 3 2 2 6 6" xfId="18534"/>
    <cellStyle name="20% - Accent1 2 4 3 2 2 6 6 2" xfId="53153"/>
    <cellStyle name="20% - Accent1 2 4 3 2 2 6 7" xfId="32149"/>
    <cellStyle name="20% - Accent1 2 4 3 2 2 7" xfId="3716"/>
    <cellStyle name="20% - Accent1 2 4 3 2 2 7 2" xfId="12875"/>
    <cellStyle name="20% - Accent1 2 4 3 2 2 7 2 2" xfId="24676"/>
    <cellStyle name="20% - Accent1 2 4 3 2 2 7 2 2 2" xfId="53154"/>
    <cellStyle name="20% - Accent1 2 4 3 2 2 7 2 3" xfId="38291"/>
    <cellStyle name="20% - Accent1 2 4 3 2 2 7 3" xfId="9169"/>
    <cellStyle name="20% - Accent1 2 4 3 2 2 7 3 2" xfId="44733"/>
    <cellStyle name="20% - Accent1 2 4 3 2 2 7 4" xfId="20970"/>
    <cellStyle name="20% - Accent1 2 4 3 2 2 7 4 2" xfId="53155"/>
    <cellStyle name="20% - Accent1 2 4 3 2 2 7 5" xfId="34585"/>
    <cellStyle name="20% - Accent1 2 4 3 2 2 8" xfId="2012"/>
    <cellStyle name="20% - Accent1 2 4 3 2 2 8 2" xfId="12876"/>
    <cellStyle name="20% - Accent1 2 4 3 2 2 8 2 2" xfId="24677"/>
    <cellStyle name="20% - Accent1 2 4 3 2 2 8 2 2 2" xfId="53156"/>
    <cellStyle name="20% - Accent1 2 4 3 2 2 8 2 3" xfId="38292"/>
    <cellStyle name="20% - Accent1 2 4 3 2 2 8 3" xfId="7465"/>
    <cellStyle name="20% - Accent1 2 4 3 2 2 8 3 2" xfId="44734"/>
    <cellStyle name="20% - Accent1 2 4 3 2 2 8 4" xfId="19266"/>
    <cellStyle name="20% - Accent1 2 4 3 2 2 8 4 2" xfId="53157"/>
    <cellStyle name="20% - Accent1 2 4 3 2 2 8 5" xfId="32881"/>
    <cellStyle name="20% - Accent1 2 4 3 2 2 9" xfId="12877"/>
    <cellStyle name="20% - Accent1 2 4 3 2 2 9 2" xfId="24678"/>
    <cellStyle name="20% - Accent1 2 4 3 2 2 9 2 2" xfId="53158"/>
    <cellStyle name="20% - Accent1 2 4 3 2 2 9 3" xfId="38293"/>
    <cellStyle name="20% - Accent1 2 4 3 2 3" xfId="167"/>
    <cellStyle name="20% - Accent1 2 4 3 2 3 10" xfId="31037"/>
    <cellStyle name="20% - Accent1 2 4 3 2 3 2" xfId="334"/>
    <cellStyle name="20% - Accent1 2 4 3 2 3 2 2" xfId="1280"/>
    <cellStyle name="20% - Accent1 2 4 3 2 3 2 2 2" xfId="4644"/>
    <cellStyle name="20% - Accent1 2 4 3 2 3 2 2 2 2" xfId="12878"/>
    <cellStyle name="20% - Accent1 2 4 3 2 3 2 2 2 2 2" xfId="24679"/>
    <cellStyle name="20% - Accent1 2 4 3 2 3 2 2 2 2 2 2" xfId="53159"/>
    <cellStyle name="20% - Accent1 2 4 3 2 3 2 2 2 2 3" xfId="38294"/>
    <cellStyle name="20% - Accent1 2 4 3 2 3 2 2 2 3" xfId="10097"/>
    <cellStyle name="20% - Accent1 2 4 3 2 3 2 2 2 3 2" xfId="44735"/>
    <cellStyle name="20% - Accent1 2 4 3 2 3 2 2 2 4" xfId="21898"/>
    <cellStyle name="20% - Accent1 2 4 3 2 3 2 2 2 4 2" xfId="53160"/>
    <cellStyle name="20% - Accent1 2 4 3 2 3 2 2 2 5" xfId="35513"/>
    <cellStyle name="20% - Accent1 2 4 3 2 3 2 2 3" xfId="2803"/>
    <cellStyle name="20% - Accent1 2 4 3 2 3 2 2 3 2" xfId="12879"/>
    <cellStyle name="20% - Accent1 2 4 3 2 3 2 2 3 2 2" xfId="24680"/>
    <cellStyle name="20% - Accent1 2 4 3 2 3 2 2 3 2 2 2" xfId="53161"/>
    <cellStyle name="20% - Accent1 2 4 3 2 3 2 2 3 2 3" xfId="38295"/>
    <cellStyle name="20% - Accent1 2 4 3 2 3 2 2 3 3" xfId="8256"/>
    <cellStyle name="20% - Accent1 2 4 3 2 3 2 2 3 3 2" xfId="44736"/>
    <cellStyle name="20% - Accent1 2 4 3 2 3 2 2 3 4" xfId="20057"/>
    <cellStyle name="20% - Accent1 2 4 3 2 3 2 2 3 4 2" xfId="53162"/>
    <cellStyle name="20% - Accent1 2 4 3 2 3 2 2 3 5" xfId="33672"/>
    <cellStyle name="20% - Accent1 2 4 3 2 3 2 2 4" xfId="12880"/>
    <cellStyle name="20% - Accent1 2 4 3 2 3 2 2 4 2" xfId="24681"/>
    <cellStyle name="20% - Accent1 2 4 3 2 3 2 2 4 2 2" xfId="53163"/>
    <cellStyle name="20% - Accent1 2 4 3 2 3 2 2 4 3" xfId="38296"/>
    <cellStyle name="20% - Accent1 2 4 3 2 3 2 2 5" xfId="6734"/>
    <cellStyle name="20% - Accent1 2 4 3 2 3 2 2 5 2" xfId="44737"/>
    <cellStyle name="20% - Accent1 2 4 3 2 3 2 2 6" xfId="18535"/>
    <cellStyle name="20% - Accent1 2 4 3 2 3 2 2 6 2" xfId="53164"/>
    <cellStyle name="20% - Accent1 2 4 3 2 3 2 2 7" xfId="32150"/>
    <cellStyle name="20% - Accent1 2 4 3 2 3 2 3" xfId="3371"/>
    <cellStyle name="20% - Accent1 2 4 3 2 3 2 3 2" xfId="5212"/>
    <cellStyle name="20% - Accent1 2 4 3 2 3 2 3 2 2" xfId="16682"/>
    <cellStyle name="20% - Accent1 2 4 3 2 3 2 3 2 2 2" xfId="28483"/>
    <cellStyle name="20% - Accent1 2 4 3 2 3 2 3 2 2 2 2" xfId="53165"/>
    <cellStyle name="20% - Accent1 2 4 3 2 3 2 3 2 2 3" xfId="42098"/>
    <cellStyle name="20% - Accent1 2 4 3 2 3 2 3 2 3" xfId="10665"/>
    <cellStyle name="20% - Accent1 2 4 3 2 3 2 3 2 3 2" xfId="53166"/>
    <cellStyle name="20% - Accent1 2 4 3 2 3 2 3 2 4" xfId="22466"/>
    <cellStyle name="20% - Accent1 2 4 3 2 3 2 3 2 4 2" xfId="53167"/>
    <cellStyle name="20% - Accent1 2 4 3 2 3 2 3 2 5" xfId="36081"/>
    <cellStyle name="20% - Accent1 2 4 3 2 3 2 3 3" xfId="12881"/>
    <cellStyle name="20% - Accent1 2 4 3 2 3 2 3 3 2" xfId="24682"/>
    <cellStyle name="20% - Accent1 2 4 3 2 3 2 3 3 2 2" xfId="53168"/>
    <cellStyle name="20% - Accent1 2 4 3 2 3 2 3 3 3" xfId="38297"/>
    <cellStyle name="20% - Accent1 2 4 3 2 3 2 3 4" xfId="8824"/>
    <cellStyle name="20% - Accent1 2 4 3 2 3 2 3 4 2" xfId="53169"/>
    <cellStyle name="20% - Accent1 2 4 3 2 3 2 3 5" xfId="20625"/>
    <cellStyle name="20% - Accent1 2 4 3 2 3 2 3 5 2" xfId="53170"/>
    <cellStyle name="20% - Accent1 2 4 3 2 3 2 3 6" xfId="34240"/>
    <cellStyle name="20% - Accent1 2 4 3 2 3 2 4" xfId="4076"/>
    <cellStyle name="20% - Accent1 2 4 3 2 3 2 4 2" xfId="12882"/>
    <cellStyle name="20% - Accent1 2 4 3 2 3 2 4 2 2" xfId="24683"/>
    <cellStyle name="20% - Accent1 2 4 3 2 3 2 4 2 2 2" xfId="53171"/>
    <cellStyle name="20% - Accent1 2 4 3 2 3 2 4 2 3" xfId="38298"/>
    <cellStyle name="20% - Accent1 2 4 3 2 3 2 4 3" xfId="9529"/>
    <cellStyle name="20% - Accent1 2 4 3 2 3 2 4 3 2" xfId="44738"/>
    <cellStyle name="20% - Accent1 2 4 3 2 3 2 4 4" xfId="21330"/>
    <cellStyle name="20% - Accent1 2 4 3 2 3 2 4 4 2" xfId="53172"/>
    <cellStyle name="20% - Accent1 2 4 3 2 3 2 4 5" xfId="34945"/>
    <cellStyle name="20% - Accent1 2 4 3 2 3 2 5" xfId="2235"/>
    <cellStyle name="20% - Accent1 2 4 3 2 3 2 5 2" xfId="17037"/>
    <cellStyle name="20% - Accent1 2 4 3 2 3 2 5 2 2" xfId="28838"/>
    <cellStyle name="20% - Accent1 2 4 3 2 3 2 5 2 2 2" xfId="53173"/>
    <cellStyle name="20% - Accent1 2 4 3 2 3 2 5 2 3" xfId="42453"/>
    <cellStyle name="20% - Accent1 2 4 3 2 3 2 5 3" xfId="7688"/>
    <cellStyle name="20% - Accent1 2 4 3 2 3 2 5 3 2" xfId="53174"/>
    <cellStyle name="20% - Accent1 2 4 3 2 3 2 5 4" xfId="19489"/>
    <cellStyle name="20% - Accent1 2 4 3 2 3 2 5 4 2" xfId="53175"/>
    <cellStyle name="20% - Accent1 2 4 3 2 3 2 5 5" xfId="33104"/>
    <cellStyle name="20% - Accent1 2 4 3 2 3 2 6" xfId="12883"/>
    <cellStyle name="20% - Accent1 2 4 3 2 3 2 6 2" xfId="24684"/>
    <cellStyle name="20% - Accent1 2 4 3 2 3 2 6 2 2" xfId="53176"/>
    <cellStyle name="20% - Accent1 2 4 3 2 3 2 6 3" xfId="38299"/>
    <cellStyle name="20% - Accent1 2 4 3 2 3 2 7" xfId="5788"/>
    <cellStyle name="20% - Accent1 2 4 3 2 3 2 7 2" xfId="53177"/>
    <cellStyle name="20% - Accent1 2 4 3 2 3 2 8" xfId="17589"/>
    <cellStyle name="20% - Accent1 2 4 3 2 3 2 8 2" xfId="53178"/>
    <cellStyle name="20% - Accent1 2 4 3 2 3 2 9" xfId="31204"/>
    <cellStyle name="20% - Accent1 2 4 3 2 3 3" xfId="735"/>
    <cellStyle name="20% - Accent1 2 4 3 2 3 3 2" xfId="1281"/>
    <cellStyle name="20% - Accent1 2 4 3 2 3 3 2 2" xfId="4477"/>
    <cellStyle name="20% - Accent1 2 4 3 2 3 3 2 2 2" xfId="12884"/>
    <cellStyle name="20% - Accent1 2 4 3 2 3 3 2 2 2 2" xfId="24685"/>
    <cellStyle name="20% - Accent1 2 4 3 2 3 3 2 2 2 2 2" xfId="53179"/>
    <cellStyle name="20% - Accent1 2 4 3 2 3 3 2 2 2 3" xfId="38300"/>
    <cellStyle name="20% - Accent1 2 4 3 2 3 3 2 2 3" xfId="9930"/>
    <cellStyle name="20% - Accent1 2 4 3 2 3 3 2 2 3 2" xfId="44739"/>
    <cellStyle name="20% - Accent1 2 4 3 2 3 3 2 2 4" xfId="21731"/>
    <cellStyle name="20% - Accent1 2 4 3 2 3 3 2 2 4 2" xfId="53180"/>
    <cellStyle name="20% - Accent1 2 4 3 2 3 3 2 2 5" xfId="35346"/>
    <cellStyle name="20% - Accent1 2 4 3 2 3 3 2 3" xfId="12885"/>
    <cellStyle name="20% - Accent1 2 4 3 2 3 3 2 3 2" xfId="24686"/>
    <cellStyle name="20% - Accent1 2 4 3 2 3 3 2 3 2 2" xfId="44740"/>
    <cellStyle name="20% - Accent1 2 4 3 2 3 3 2 3 3" xfId="29689"/>
    <cellStyle name="20% - Accent1 2 4 3 2 3 3 2 3 3 2" xfId="44741"/>
    <cellStyle name="20% - Accent1 2 4 3 2 3 3 2 3 4" xfId="29690"/>
    <cellStyle name="20% - Accent1 2 4 3 2 3 3 2 3 4 2" xfId="53181"/>
    <cellStyle name="20% - Accent1 2 4 3 2 3 3 2 3 5" xfId="38301"/>
    <cellStyle name="20% - Accent1 2 4 3 2 3 3 2 4" xfId="12886"/>
    <cellStyle name="20% - Accent1 2 4 3 2 3 3 2 4 2" xfId="24687"/>
    <cellStyle name="20% - Accent1 2 4 3 2 3 3 2 4 2 2" xfId="53182"/>
    <cellStyle name="20% - Accent1 2 4 3 2 3 3 2 4 3" xfId="38302"/>
    <cellStyle name="20% - Accent1 2 4 3 2 3 3 2 5" xfId="6735"/>
    <cellStyle name="20% - Accent1 2 4 3 2 3 3 2 5 2" xfId="44742"/>
    <cellStyle name="20% - Accent1 2 4 3 2 3 3 2 6" xfId="18536"/>
    <cellStyle name="20% - Accent1 2 4 3 2 3 3 2 6 2" xfId="53183"/>
    <cellStyle name="20% - Accent1 2 4 3 2 3 3 2 7" xfId="32151"/>
    <cellStyle name="20% - Accent1 2 4 3 2 3 3 3" xfId="2636"/>
    <cellStyle name="20% - Accent1 2 4 3 2 3 3 3 2" xfId="12887"/>
    <cellStyle name="20% - Accent1 2 4 3 2 3 3 3 2 2" xfId="24688"/>
    <cellStyle name="20% - Accent1 2 4 3 2 3 3 3 2 2 2" xfId="53184"/>
    <cellStyle name="20% - Accent1 2 4 3 2 3 3 3 2 3" xfId="38303"/>
    <cellStyle name="20% - Accent1 2 4 3 2 3 3 3 3" xfId="8089"/>
    <cellStyle name="20% - Accent1 2 4 3 2 3 3 3 3 2" xfId="44743"/>
    <cellStyle name="20% - Accent1 2 4 3 2 3 3 3 4" xfId="19890"/>
    <cellStyle name="20% - Accent1 2 4 3 2 3 3 3 4 2" xfId="53185"/>
    <cellStyle name="20% - Accent1 2 4 3 2 3 3 3 5" xfId="33505"/>
    <cellStyle name="20% - Accent1 2 4 3 2 3 3 4" xfId="12888"/>
    <cellStyle name="20% - Accent1 2 4 3 2 3 3 4 2" xfId="24689"/>
    <cellStyle name="20% - Accent1 2 4 3 2 3 3 4 2 2" xfId="44744"/>
    <cellStyle name="20% - Accent1 2 4 3 2 3 3 4 3" xfId="29691"/>
    <cellStyle name="20% - Accent1 2 4 3 2 3 3 4 3 2" xfId="44745"/>
    <cellStyle name="20% - Accent1 2 4 3 2 3 3 4 4" xfId="29692"/>
    <cellStyle name="20% - Accent1 2 4 3 2 3 3 4 4 2" xfId="53186"/>
    <cellStyle name="20% - Accent1 2 4 3 2 3 3 4 5" xfId="38304"/>
    <cellStyle name="20% - Accent1 2 4 3 2 3 3 5" xfId="12889"/>
    <cellStyle name="20% - Accent1 2 4 3 2 3 3 5 2" xfId="24690"/>
    <cellStyle name="20% - Accent1 2 4 3 2 3 3 5 2 2" xfId="53187"/>
    <cellStyle name="20% - Accent1 2 4 3 2 3 3 5 3" xfId="38305"/>
    <cellStyle name="20% - Accent1 2 4 3 2 3 3 6" xfId="6189"/>
    <cellStyle name="20% - Accent1 2 4 3 2 3 3 6 2" xfId="44746"/>
    <cellStyle name="20% - Accent1 2 4 3 2 3 3 7" xfId="17990"/>
    <cellStyle name="20% - Accent1 2 4 3 2 3 3 7 2" xfId="53188"/>
    <cellStyle name="20% - Accent1 2 4 3 2 3 3 8" xfId="31605"/>
    <cellStyle name="20% - Accent1 2 4 3 2 3 4" xfId="1282"/>
    <cellStyle name="20% - Accent1 2 4 3 2 3 4 2" xfId="5045"/>
    <cellStyle name="20% - Accent1 2 4 3 2 3 4 2 2" xfId="12890"/>
    <cellStyle name="20% - Accent1 2 4 3 2 3 4 2 2 2" xfId="24691"/>
    <cellStyle name="20% - Accent1 2 4 3 2 3 4 2 2 2 2" xfId="53189"/>
    <cellStyle name="20% - Accent1 2 4 3 2 3 4 2 2 3" xfId="38306"/>
    <cellStyle name="20% - Accent1 2 4 3 2 3 4 2 3" xfId="10498"/>
    <cellStyle name="20% - Accent1 2 4 3 2 3 4 2 3 2" xfId="44747"/>
    <cellStyle name="20% - Accent1 2 4 3 2 3 4 2 4" xfId="22299"/>
    <cellStyle name="20% - Accent1 2 4 3 2 3 4 2 4 2" xfId="53190"/>
    <cellStyle name="20% - Accent1 2 4 3 2 3 4 2 5" xfId="35914"/>
    <cellStyle name="20% - Accent1 2 4 3 2 3 4 3" xfId="3204"/>
    <cellStyle name="20% - Accent1 2 4 3 2 3 4 3 2" xfId="12891"/>
    <cellStyle name="20% - Accent1 2 4 3 2 3 4 3 2 2" xfId="24692"/>
    <cellStyle name="20% - Accent1 2 4 3 2 3 4 3 2 2 2" xfId="53191"/>
    <cellStyle name="20% - Accent1 2 4 3 2 3 4 3 2 3" xfId="38307"/>
    <cellStyle name="20% - Accent1 2 4 3 2 3 4 3 3" xfId="8657"/>
    <cellStyle name="20% - Accent1 2 4 3 2 3 4 3 3 2" xfId="44748"/>
    <cellStyle name="20% - Accent1 2 4 3 2 3 4 3 4" xfId="20458"/>
    <cellStyle name="20% - Accent1 2 4 3 2 3 4 3 4 2" xfId="53192"/>
    <cellStyle name="20% - Accent1 2 4 3 2 3 4 3 5" xfId="34073"/>
    <cellStyle name="20% - Accent1 2 4 3 2 3 4 4" xfId="12892"/>
    <cellStyle name="20% - Accent1 2 4 3 2 3 4 4 2" xfId="24693"/>
    <cellStyle name="20% - Accent1 2 4 3 2 3 4 4 2 2" xfId="53193"/>
    <cellStyle name="20% - Accent1 2 4 3 2 3 4 4 3" xfId="38308"/>
    <cellStyle name="20% - Accent1 2 4 3 2 3 4 5" xfId="6736"/>
    <cellStyle name="20% - Accent1 2 4 3 2 3 4 5 2" xfId="44749"/>
    <cellStyle name="20% - Accent1 2 4 3 2 3 4 6" xfId="18537"/>
    <cellStyle name="20% - Accent1 2 4 3 2 3 4 6 2" xfId="53194"/>
    <cellStyle name="20% - Accent1 2 4 3 2 3 4 7" xfId="32152"/>
    <cellStyle name="20% - Accent1 2 4 3 2 3 5" xfId="3909"/>
    <cellStyle name="20% - Accent1 2 4 3 2 3 5 2" xfId="12893"/>
    <cellStyle name="20% - Accent1 2 4 3 2 3 5 2 2" xfId="24694"/>
    <cellStyle name="20% - Accent1 2 4 3 2 3 5 2 2 2" xfId="53195"/>
    <cellStyle name="20% - Accent1 2 4 3 2 3 5 2 3" xfId="38309"/>
    <cellStyle name="20% - Accent1 2 4 3 2 3 5 3" xfId="9362"/>
    <cellStyle name="20% - Accent1 2 4 3 2 3 5 3 2" xfId="44750"/>
    <cellStyle name="20% - Accent1 2 4 3 2 3 5 4" xfId="21163"/>
    <cellStyle name="20% - Accent1 2 4 3 2 3 5 4 2" xfId="53196"/>
    <cellStyle name="20% - Accent1 2 4 3 2 3 5 5" xfId="34778"/>
    <cellStyle name="20% - Accent1 2 4 3 2 3 6" xfId="2068"/>
    <cellStyle name="20% - Accent1 2 4 3 2 3 6 2" xfId="12894"/>
    <cellStyle name="20% - Accent1 2 4 3 2 3 6 2 2" xfId="24695"/>
    <cellStyle name="20% - Accent1 2 4 3 2 3 6 2 2 2" xfId="53197"/>
    <cellStyle name="20% - Accent1 2 4 3 2 3 6 2 3" xfId="38310"/>
    <cellStyle name="20% - Accent1 2 4 3 2 3 6 3" xfId="7521"/>
    <cellStyle name="20% - Accent1 2 4 3 2 3 6 3 2" xfId="44751"/>
    <cellStyle name="20% - Accent1 2 4 3 2 3 6 4" xfId="19322"/>
    <cellStyle name="20% - Accent1 2 4 3 2 3 6 4 2" xfId="53198"/>
    <cellStyle name="20% - Accent1 2 4 3 2 3 6 5" xfId="32937"/>
    <cellStyle name="20% - Accent1 2 4 3 2 3 7" xfId="12895"/>
    <cellStyle name="20% - Accent1 2 4 3 2 3 7 2" xfId="24696"/>
    <cellStyle name="20% - Accent1 2 4 3 2 3 7 2 2" xfId="53199"/>
    <cellStyle name="20% - Accent1 2 4 3 2 3 7 3" xfId="38311"/>
    <cellStyle name="20% - Accent1 2 4 3 2 3 8" xfId="5621"/>
    <cellStyle name="20% - Accent1 2 4 3 2 3 8 2" xfId="44752"/>
    <cellStyle name="20% - Accent1 2 4 3 2 3 9" xfId="17422"/>
    <cellStyle name="20% - Accent1 2 4 3 2 3 9 2" xfId="53200"/>
    <cellStyle name="20% - Accent1 2 4 3 2 4" xfId="471"/>
    <cellStyle name="20% - Accent1 2 4 3 2 4 2" xfId="1283"/>
    <cellStyle name="20% - Accent1 2 4 3 2 4 2 2" xfId="4781"/>
    <cellStyle name="20% - Accent1 2 4 3 2 4 2 2 2" xfId="12896"/>
    <cellStyle name="20% - Accent1 2 4 3 2 4 2 2 2 2" xfId="24697"/>
    <cellStyle name="20% - Accent1 2 4 3 2 4 2 2 2 2 2" xfId="53201"/>
    <cellStyle name="20% - Accent1 2 4 3 2 4 2 2 2 3" xfId="38312"/>
    <cellStyle name="20% - Accent1 2 4 3 2 4 2 2 3" xfId="10234"/>
    <cellStyle name="20% - Accent1 2 4 3 2 4 2 2 3 2" xfId="44753"/>
    <cellStyle name="20% - Accent1 2 4 3 2 4 2 2 4" xfId="22035"/>
    <cellStyle name="20% - Accent1 2 4 3 2 4 2 2 4 2" xfId="53202"/>
    <cellStyle name="20% - Accent1 2 4 3 2 4 2 2 5" xfId="35650"/>
    <cellStyle name="20% - Accent1 2 4 3 2 4 2 3" xfId="2940"/>
    <cellStyle name="20% - Accent1 2 4 3 2 4 2 3 2" xfId="12897"/>
    <cellStyle name="20% - Accent1 2 4 3 2 4 2 3 2 2" xfId="24698"/>
    <cellStyle name="20% - Accent1 2 4 3 2 4 2 3 2 2 2" xfId="53203"/>
    <cellStyle name="20% - Accent1 2 4 3 2 4 2 3 2 3" xfId="38313"/>
    <cellStyle name="20% - Accent1 2 4 3 2 4 2 3 3" xfId="8393"/>
    <cellStyle name="20% - Accent1 2 4 3 2 4 2 3 3 2" xfId="44754"/>
    <cellStyle name="20% - Accent1 2 4 3 2 4 2 3 4" xfId="20194"/>
    <cellStyle name="20% - Accent1 2 4 3 2 4 2 3 4 2" xfId="53204"/>
    <cellStyle name="20% - Accent1 2 4 3 2 4 2 3 5" xfId="33809"/>
    <cellStyle name="20% - Accent1 2 4 3 2 4 2 4" xfId="12898"/>
    <cellStyle name="20% - Accent1 2 4 3 2 4 2 4 2" xfId="24699"/>
    <cellStyle name="20% - Accent1 2 4 3 2 4 2 4 2 2" xfId="53205"/>
    <cellStyle name="20% - Accent1 2 4 3 2 4 2 4 3" xfId="38314"/>
    <cellStyle name="20% - Accent1 2 4 3 2 4 2 5" xfId="6737"/>
    <cellStyle name="20% - Accent1 2 4 3 2 4 2 5 2" xfId="44755"/>
    <cellStyle name="20% - Accent1 2 4 3 2 4 2 6" xfId="18538"/>
    <cellStyle name="20% - Accent1 2 4 3 2 4 2 6 2" xfId="53206"/>
    <cellStyle name="20% - Accent1 2 4 3 2 4 2 7" xfId="32153"/>
    <cellStyle name="20% - Accent1 2 4 3 2 4 3" xfId="3508"/>
    <cellStyle name="20% - Accent1 2 4 3 2 4 3 2" xfId="5349"/>
    <cellStyle name="20% - Accent1 2 4 3 2 4 3 2 2" xfId="16819"/>
    <cellStyle name="20% - Accent1 2 4 3 2 4 3 2 2 2" xfId="28620"/>
    <cellStyle name="20% - Accent1 2 4 3 2 4 3 2 2 2 2" xfId="53207"/>
    <cellStyle name="20% - Accent1 2 4 3 2 4 3 2 2 3" xfId="42235"/>
    <cellStyle name="20% - Accent1 2 4 3 2 4 3 2 3" xfId="10802"/>
    <cellStyle name="20% - Accent1 2 4 3 2 4 3 2 3 2" xfId="53208"/>
    <cellStyle name="20% - Accent1 2 4 3 2 4 3 2 4" xfId="22603"/>
    <cellStyle name="20% - Accent1 2 4 3 2 4 3 2 4 2" xfId="53209"/>
    <cellStyle name="20% - Accent1 2 4 3 2 4 3 2 5" xfId="36218"/>
    <cellStyle name="20% - Accent1 2 4 3 2 4 3 3" xfId="12899"/>
    <cellStyle name="20% - Accent1 2 4 3 2 4 3 3 2" xfId="24700"/>
    <cellStyle name="20% - Accent1 2 4 3 2 4 3 3 2 2" xfId="53210"/>
    <cellStyle name="20% - Accent1 2 4 3 2 4 3 3 3" xfId="38315"/>
    <cellStyle name="20% - Accent1 2 4 3 2 4 3 4" xfId="8961"/>
    <cellStyle name="20% - Accent1 2 4 3 2 4 3 4 2" xfId="53211"/>
    <cellStyle name="20% - Accent1 2 4 3 2 4 3 5" xfId="20762"/>
    <cellStyle name="20% - Accent1 2 4 3 2 4 3 5 2" xfId="53212"/>
    <cellStyle name="20% - Accent1 2 4 3 2 4 3 6" xfId="34377"/>
    <cellStyle name="20% - Accent1 2 4 3 2 4 4" xfId="4213"/>
    <cellStyle name="20% - Accent1 2 4 3 2 4 4 2" xfId="12900"/>
    <cellStyle name="20% - Accent1 2 4 3 2 4 4 2 2" xfId="24701"/>
    <cellStyle name="20% - Accent1 2 4 3 2 4 4 2 2 2" xfId="53213"/>
    <cellStyle name="20% - Accent1 2 4 3 2 4 4 2 3" xfId="38316"/>
    <cellStyle name="20% - Accent1 2 4 3 2 4 4 3" xfId="9666"/>
    <cellStyle name="20% - Accent1 2 4 3 2 4 4 3 2" xfId="44756"/>
    <cellStyle name="20% - Accent1 2 4 3 2 4 4 4" xfId="21467"/>
    <cellStyle name="20% - Accent1 2 4 3 2 4 4 4 2" xfId="53214"/>
    <cellStyle name="20% - Accent1 2 4 3 2 4 4 5" xfId="35082"/>
    <cellStyle name="20% - Accent1 2 4 3 2 4 5" xfId="2372"/>
    <cellStyle name="20% - Accent1 2 4 3 2 4 5 2" xfId="17038"/>
    <cellStyle name="20% - Accent1 2 4 3 2 4 5 2 2" xfId="28839"/>
    <cellStyle name="20% - Accent1 2 4 3 2 4 5 2 2 2" xfId="53215"/>
    <cellStyle name="20% - Accent1 2 4 3 2 4 5 2 3" xfId="42454"/>
    <cellStyle name="20% - Accent1 2 4 3 2 4 5 3" xfId="7825"/>
    <cellStyle name="20% - Accent1 2 4 3 2 4 5 3 2" xfId="53216"/>
    <cellStyle name="20% - Accent1 2 4 3 2 4 5 4" xfId="19626"/>
    <cellStyle name="20% - Accent1 2 4 3 2 4 5 4 2" xfId="53217"/>
    <cellStyle name="20% - Accent1 2 4 3 2 4 5 5" xfId="33241"/>
    <cellStyle name="20% - Accent1 2 4 3 2 4 6" xfId="12901"/>
    <cellStyle name="20% - Accent1 2 4 3 2 4 6 2" xfId="24702"/>
    <cellStyle name="20% - Accent1 2 4 3 2 4 6 2 2" xfId="53218"/>
    <cellStyle name="20% - Accent1 2 4 3 2 4 6 3" xfId="38317"/>
    <cellStyle name="20% - Accent1 2 4 3 2 4 7" xfId="5925"/>
    <cellStyle name="20% - Accent1 2 4 3 2 4 7 2" xfId="53219"/>
    <cellStyle name="20% - Accent1 2 4 3 2 4 8" xfId="17726"/>
    <cellStyle name="20% - Accent1 2 4 3 2 4 8 2" xfId="53220"/>
    <cellStyle name="20% - Accent1 2 4 3 2 4 9" xfId="31341"/>
    <cellStyle name="20% - Accent1 2 4 3 2 5" xfId="285"/>
    <cellStyle name="20% - Accent1 2 4 3 2 5 2" xfId="1284"/>
    <cellStyle name="20% - Accent1 2 4 3 2 5 2 2" xfId="4595"/>
    <cellStyle name="20% - Accent1 2 4 3 2 5 2 2 2" xfId="12902"/>
    <cellStyle name="20% - Accent1 2 4 3 2 5 2 2 2 2" xfId="24703"/>
    <cellStyle name="20% - Accent1 2 4 3 2 5 2 2 2 2 2" xfId="53221"/>
    <cellStyle name="20% - Accent1 2 4 3 2 5 2 2 2 3" xfId="38318"/>
    <cellStyle name="20% - Accent1 2 4 3 2 5 2 2 3" xfId="10048"/>
    <cellStyle name="20% - Accent1 2 4 3 2 5 2 2 3 2" xfId="44757"/>
    <cellStyle name="20% - Accent1 2 4 3 2 5 2 2 4" xfId="21849"/>
    <cellStyle name="20% - Accent1 2 4 3 2 5 2 2 4 2" xfId="53222"/>
    <cellStyle name="20% - Accent1 2 4 3 2 5 2 2 5" xfId="35464"/>
    <cellStyle name="20% - Accent1 2 4 3 2 5 2 3" xfId="2754"/>
    <cellStyle name="20% - Accent1 2 4 3 2 5 2 3 2" xfId="12903"/>
    <cellStyle name="20% - Accent1 2 4 3 2 5 2 3 2 2" xfId="24704"/>
    <cellStyle name="20% - Accent1 2 4 3 2 5 2 3 2 2 2" xfId="53223"/>
    <cellStyle name="20% - Accent1 2 4 3 2 5 2 3 2 3" xfId="38319"/>
    <cellStyle name="20% - Accent1 2 4 3 2 5 2 3 3" xfId="8207"/>
    <cellStyle name="20% - Accent1 2 4 3 2 5 2 3 3 2" xfId="44758"/>
    <cellStyle name="20% - Accent1 2 4 3 2 5 2 3 4" xfId="20008"/>
    <cellStyle name="20% - Accent1 2 4 3 2 5 2 3 4 2" xfId="53224"/>
    <cellStyle name="20% - Accent1 2 4 3 2 5 2 3 5" xfId="33623"/>
    <cellStyle name="20% - Accent1 2 4 3 2 5 2 4" xfId="12904"/>
    <cellStyle name="20% - Accent1 2 4 3 2 5 2 4 2" xfId="24705"/>
    <cellStyle name="20% - Accent1 2 4 3 2 5 2 4 2 2" xfId="53225"/>
    <cellStyle name="20% - Accent1 2 4 3 2 5 2 4 3" xfId="38320"/>
    <cellStyle name="20% - Accent1 2 4 3 2 5 2 5" xfId="6738"/>
    <cellStyle name="20% - Accent1 2 4 3 2 5 2 5 2" xfId="44759"/>
    <cellStyle name="20% - Accent1 2 4 3 2 5 2 6" xfId="18539"/>
    <cellStyle name="20% - Accent1 2 4 3 2 5 2 6 2" xfId="53226"/>
    <cellStyle name="20% - Accent1 2 4 3 2 5 2 7" xfId="32154"/>
    <cellStyle name="20% - Accent1 2 4 3 2 5 3" xfId="3322"/>
    <cellStyle name="20% - Accent1 2 4 3 2 5 3 2" xfId="5163"/>
    <cellStyle name="20% - Accent1 2 4 3 2 5 3 2 2" xfId="16633"/>
    <cellStyle name="20% - Accent1 2 4 3 2 5 3 2 2 2" xfId="28434"/>
    <cellStyle name="20% - Accent1 2 4 3 2 5 3 2 2 2 2" xfId="53227"/>
    <cellStyle name="20% - Accent1 2 4 3 2 5 3 2 2 3" xfId="42049"/>
    <cellStyle name="20% - Accent1 2 4 3 2 5 3 2 3" xfId="10616"/>
    <cellStyle name="20% - Accent1 2 4 3 2 5 3 2 3 2" xfId="53228"/>
    <cellStyle name="20% - Accent1 2 4 3 2 5 3 2 4" xfId="22417"/>
    <cellStyle name="20% - Accent1 2 4 3 2 5 3 2 4 2" xfId="53229"/>
    <cellStyle name="20% - Accent1 2 4 3 2 5 3 2 5" xfId="36032"/>
    <cellStyle name="20% - Accent1 2 4 3 2 5 3 3" xfId="12905"/>
    <cellStyle name="20% - Accent1 2 4 3 2 5 3 3 2" xfId="24706"/>
    <cellStyle name="20% - Accent1 2 4 3 2 5 3 3 2 2" xfId="53230"/>
    <cellStyle name="20% - Accent1 2 4 3 2 5 3 3 3" xfId="38321"/>
    <cellStyle name="20% - Accent1 2 4 3 2 5 3 4" xfId="8775"/>
    <cellStyle name="20% - Accent1 2 4 3 2 5 3 4 2" xfId="53231"/>
    <cellStyle name="20% - Accent1 2 4 3 2 5 3 5" xfId="20576"/>
    <cellStyle name="20% - Accent1 2 4 3 2 5 3 5 2" xfId="53232"/>
    <cellStyle name="20% - Accent1 2 4 3 2 5 3 6" xfId="34191"/>
    <cellStyle name="20% - Accent1 2 4 3 2 5 4" xfId="4027"/>
    <cellStyle name="20% - Accent1 2 4 3 2 5 4 2" xfId="12906"/>
    <cellStyle name="20% - Accent1 2 4 3 2 5 4 2 2" xfId="24707"/>
    <cellStyle name="20% - Accent1 2 4 3 2 5 4 2 2 2" xfId="53233"/>
    <cellStyle name="20% - Accent1 2 4 3 2 5 4 2 3" xfId="38322"/>
    <cellStyle name="20% - Accent1 2 4 3 2 5 4 3" xfId="9480"/>
    <cellStyle name="20% - Accent1 2 4 3 2 5 4 3 2" xfId="44760"/>
    <cellStyle name="20% - Accent1 2 4 3 2 5 4 4" xfId="21281"/>
    <cellStyle name="20% - Accent1 2 4 3 2 5 4 4 2" xfId="53234"/>
    <cellStyle name="20% - Accent1 2 4 3 2 5 4 5" xfId="34896"/>
    <cellStyle name="20% - Accent1 2 4 3 2 5 5" xfId="2186"/>
    <cellStyle name="20% - Accent1 2 4 3 2 5 5 2" xfId="17039"/>
    <cellStyle name="20% - Accent1 2 4 3 2 5 5 2 2" xfId="28840"/>
    <cellStyle name="20% - Accent1 2 4 3 2 5 5 2 2 2" xfId="53235"/>
    <cellStyle name="20% - Accent1 2 4 3 2 5 5 2 3" xfId="42455"/>
    <cellStyle name="20% - Accent1 2 4 3 2 5 5 3" xfId="7639"/>
    <cellStyle name="20% - Accent1 2 4 3 2 5 5 3 2" xfId="53236"/>
    <cellStyle name="20% - Accent1 2 4 3 2 5 5 4" xfId="19440"/>
    <cellStyle name="20% - Accent1 2 4 3 2 5 5 4 2" xfId="53237"/>
    <cellStyle name="20% - Accent1 2 4 3 2 5 5 5" xfId="33055"/>
    <cellStyle name="20% - Accent1 2 4 3 2 5 6" xfId="12907"/>
    <cellStyle name="20% - Accent1 2 4 3 2 5 6 2" xfId="24708"/>
    <cellStyle name="20% - Accent1 2 4 3 2 5 6 2 2" xfId="53238"/>
    <cellStyle name="20% - Accent1 2 4 3 2 5 6 3" xfId="38323"/>
    <cellStyle name="20% - Accent1 2 4 3 2 5 7" xfId="5739"/>
    <cellStyle name="20% - Accent1 2 4 3 2 5 7 2" xfId="53239"/>
    <cellStyle name="20% - Accent1 2 4 3 2 5 8" xfId="17540"/>
    <cellStyle name="20% - Accent1 2 4 3 2 5 8 2" xfId="53240"/>
    <cellStyle name="20% - Accent1 2 4 3 2 5 9" xfId="31155"/>
    <cellStyle name="20% - Accent1 2 4 3 2 6" xfId="612"/>
    <cellStyle name="20% - Accent1 2 4 3 2 6 2" xfId="1285"/>
    <cellStyle name="20% - Accent1 2 4 3 2 6 2 2" xfId="4354"/>
    <cellStyle name="20% - Accent1 2 4 3 2 6 2 2 2" xfId="12908"/>
    <cellStyle name="20% - Accent1 2 4 3 2 6 2 2 2 2" xfId="24709"/>
    <cellStyle name="20% - Accent1 2 4 3 2 6 2 2 2 2 2" xfId="53241"/>
    <cellStyle name="20% - Accent1 2 4 3 2 6 2 2 2 3" xfId="38324"/>
    <cellStyle name="20% - Accent1 2 4 3 2 6 2 2 3" xfId="9807"/>
    <cellStyle name="20% - Accent1 2 4 3 2 6 2 2 3 2" xfId="44761"/>
    <cellStyle name="20% - Accent1 2 4 3 2 6 2 2 4" xfId="21608"/>
    <cellStyle name="20% - Accent1 2 4 3 2 6 2 2 4 2" xfId="53242"/>
    <cellStyle name="20% - Accent1 2 4 3 2 6 2 2 5" xfId="35223"/>
    <cellStyle name="20% - Accent1 2 4 3 2 6 2 3" xfId="12909"/>
    <cellStyle name="20% - Accent1 2 4 3 2 6 2 3 2" xfId="24710"/>
    <cellStyle name="20% - Accent1 2 4 3 2 6 2 3 2 2" xfId="44762"/>
    <cellStyle name="20% - Accent1 2 4 3 2 6 2 3 3" xfId="29693"/>
    <cellStyle name="20% - Accent1 2 4 3 2 6 2 3 3 2" xfId="44763"/>
    <cellStyle name="20% - Accent1 2 4 3 2 6 2 3 4" xfId="29694"/>
    <cellStyle name="20% - Accent1 2 4 3 2 6 2 3 4 2" xfId="53243"/>
    <cellStyle name="20% - Accent1 2 4 3 2 6 2 3 5" xfId="38325"/>
    <cellStyle name="20% - Accent1 2 4 3 2 6 2 4" xfId="12910"/>
    <cellStyle name="20% - Accent1 2 4 3 2 6 2 4 2" xfId="24711"/>
    <cellStyle name="20% - Accent1 2 4 3 2 6 2 4 2 2" xfId="53244"/>
    <cellStyle name="20% - Accent1 2 4 3 2 6 2 4 3" xfId="38326"/>
    <cellStyle name="20% - Accent1 2 4 3 2 6 2 5" xfId="6739"/>
    <cellStyle name="20% - Accent1 2 4 3 2 6 2 5 2" xfId="44764"/>
    <cellStyle name="20% - Accent1 2 4 3 2 6 2 6" xfId="18540"/>
    <cellStyle name="20% - Accent1 2 4 3 2 6 2 6 2" xfId="53245"/>
    <cellStyle name="20% - Accent1 2 4 3 2 6 2 7" xfId="32155"/>
    <cellStyle name="20% - Accent1 2 4 3 2 6 3" xfId="2513"/>
    <cellStyle name="20% - Accent1 2 4 3 2 6 3 2" xfId="12911"/>
    <cellStyle name="20% - Accent1 2 4 3 2 6 3 2 2" xfId="24712"/>
    <cellStyle name="20% - Accent1 2 4 3 2 6 3 2 2 2" xfId="53246"/>
    <cellStyle name="20% - Accent1 2 4 3 2 6 3 2 3" xfId="38327"/>
    <cellStyle name="20% - Accent1 2 4 3 2 6 3 3" xfId="7966"/>
    <cellStyle name="20% - Accent1 2 4 3 2 6 3 3 2" xfId="44765"/>
    <cellStyle name="20% - Accent1 2 4 3 2 6 3 4" xfId="19767"/>
    <cellStyle name="20% - Accent1 2 4 3 2 6 3 4 2" xfId="53247"/>
    <cellStyle name="20% - Accent1 2 4 3 2 6 3 5" xfId="33382"/>
    <cellStyle name="20% - Accent1 2 4 3 2 6 4" xfId="12912"/>
    <cellStyle name="20% - Accent1 2 4 3 2 6 4 2" xfId="24713"/>
    <cellStyle name="20% - Accent1 2 4 3 2 6 4 2 2" xfId="44766"/>
    <cellStyle name="20% - Accent1 2 4 3 2 6 4 3" xfId="29695"/>
    <cellStyle name="20% - Accent1 2 4 3 2 6 4 3 2" xfId="44767"/>
    <cellStyle name="20% - Accent1 2 4 3 2 6 4 4" xfId="29696"/>
    <cellStyle name="20% - Accent1 2 4 3 2 6 4 4 2" xfId="53248"/>
    <cellStyle name="20% - Accent1 2 4 3 2 6 4 5" xfId="38328"/>
    <cellStyle name="20% - Accent1 2 4 3 2 6 5" xfId="12913"/>
    <cellStyle name="20% - Accent1 2 4 3 2 6 5 2" xfId="24714"/>
    <cellStyle name="20% - Accent1 2 4 3 2 6 5 2 2" xfId="53249"/>
    <cellStyle name="20% - Accent1 2 4 3 2 6 5 3" xfId="38329"/>
    <cellStyle name="20% - Accent1 2 4 3 2 6 6" xfId="6066"/>
    <cellStyle name="20% - Accent1 2 4 3 2 6 6 2" xfId="44768"/>
    <cellStyle name="20% - Accent1 2 4 3 2 6 7" xfId="17867"/>
    <cellStyle name="20% - Accent1 2 4 3 2 6 7 2" xfId="53250"/>
    <cellStyle name="20% - Accent1 2 4 3 2 6 8" xfId="31482"/>
    <cellStyle name="20% - Accent1 2 4 3 2 7" xfId="853"/>
    <cellStyle name="20% - Accent1 2 4 3 2 7 2" xfId="1286"/>
    <cellStyle name="20% - Accent1 2 4 3 2 7 2 2" xfId="4922"/>
    <cellStyle name="20% - Accent1 2 4 3 2 7 2 2 2" xfId="12914"/>
    <cellStyle name="20% - Accent1 2 4 3 2 7 2 2 2 2" xfId="24715"/>
    <cellStyle name="20% - Accent1 2 4 3 2 7 2 2 2 2 2" xfId="53251"/>
    <cellStyle name="20% - Accent1 2 4 3 2 7 2 2 2 3" xfId="38330"/>
    <cellStyle name="20% - Accent1 2 4 3 2 7 2 2 3" xfId="10375"/>
    <cellStyle name="20% - Accent1 2 4 3 2 7 2 2 3 2" xfId="44769"/>
    <cellStyle name="20% - Accent1 2 4 3 2 7 2 2 4" xfId="22176"/>
    <cellStyle name="20% - Accent1 2 4 3 2 7 2 2 4 2" xfId="53252"/>
    <cellStyle name="20% - Accent1 2 4 3 2 7 2 2 5" xfId="35791"/>
    <cellStyle name="20% - Accent1 2 4 3 2 7 2 3" xfId="12915"/>
    <cellStyle name="20% - Accent1 2 4 3 2 7 2 3 2" xfId="24716"/>
    <cellStyle name="20% - Accent1 2 4 3 2 7 2 3 2 2" xfId="44770"/>
    <cellStyle name="20% - Accent1 2 4 3 2 7 2 3 3" xfId="29697"/>
    <cellStyle name="20% - Accent1 2 4 3 2 7 2 3 3 2" xfId="44771"/>
    <cellStyle name="20% - Accent1 2 4 3 2 7 2 3 4" xfId="29698"/>
    <cellStyle name="20% - Accent1 2 4 3 2 7 2 3 4 2" xfId="53253"/>
    <cellStyle name="20% - Accent1 2 4 3 2 7 2 3 5" xfId="38331"/>
    <cellStyle name="20% - Accent1 2 4 3 2 7 2 4" xfId="12916"/>
    <cellStyle name="20% - Accent1 2 4 3 2 7 2 4 2" xfId="24717"/>
    <cellStyle name="20% - Accent1 2 4 3 2 7 2 4 2 2" xfId="53254"/>
    <cellStyle name="20% - Accent1 2 4 3 2 7 2 4 3" xfId="38332"/>
    <cellStyle name="20% - Accent1 2 4 3 2 7 2 5" xfId="6740"/>
    <cellStyle name="20% - Accent1 2 4 3 2 7 2 5 2" xfId="44772"/>
    <cellStyle name="20% - Accent1 2 4 3 2 7 2 6" xfId="18541"/>
    <cellStyle name="20% - Accent1 2 4 3 2 7 2 6 2" xfId="53255"/>
    <cellStyle name="20% - Accent1 2 4 3 2 7 2 7" xfId="32156"/>
    <cellStyle name="20% - Accent1 2 4 3 2 7 3" xfId="3081"/>
    <cellStyle name="20% - Accent1 2 4 3 2 7 3 2" xfId="12917"/>
    <cellStyle name="20% - Accent1 2 4 3 2 7 3 2 2" xfId="24718"/>
    <cellStyle name="20% - Accent1 2 4 3 2 7 3 2 2 2" xfId="53256"/>
    <cellStyle name="20% - Accent1 2 4 3 2 7 3 2 3" xfId="38333"/>
    <cellStyle name="20% - Accent1 2 4 3 2 7 3 3" xfId="8534"/>
    <cellStyle name="20% - Accent1 2 4 3 2 7 3 3 2" xfId="44773"/>
    <cellStyle name="20% - Accent1 2 4 3 2 7 3 4" xfId="20335"/>
    <cellStyle name="20% - Accent1 2 4 3 2 7 3 4 2" xfId="53257"/>
    <cellStyle name="20% - Accent1 2 4 3 2 7 3 5" xfId="33950"/>
    <cellStyle name="20% - Accent1 2 4 3 2 7 4" xfId="12918"/>
    <cellStyle name="20% - Accent1 2 4 3 2 7 4 2" xfId="24719"/>
    <cellStyle name="20% - Accent1 2 4 3 2 7 4 2 2" xfId="44774"/>
    <cellStyle name="20% - Accent1 2 4 3 2 7 4 3" xfId="29699"/>
    <cellStyle name="20% - Accent1 2 4 3 2 7 4 3 2" xfId="44775"/>
    <cellStyle name="20% - Accent1 2 4 3 2 7 4 4" xfId="29700"/>
    <cellStyle name="20% - Accent1 2 4 3 2 7 4 4 2" xfId="53258"/>
    <cellStyle name="20% - Accent1 2 4 3 2 7 4 5" xfId="38334"/>
    <cellStyle name="20% - Accent1 2 4 3 2 7 5" xfId="12919"/>
    <cellStyle name="20% - Accent1 2 4 3 2 7 5 2" xfId="24720"/>
    <cellStyle name="20% - Accent1 2 4 3 2 7 5 2 2" xfId="53259"/>
    <cellStyle name="20% - Accent1 2 4 3 2 7 5 3" xfId="38335"/>
    <cellStyle name="20% - Accent1 2 4 3 2 7 6" xfId="6307"/>
    <cellStyle name="20% - Accent1 2 4 3 2 7 6 2" xfId="44776"/>
    <cellStyle name="20% - Accent1 2 4 3 2 7 7" xfId="18108"/>
    <cellStyle name="20% - Accent1 2 4 3 2 7 7 2" xfId="53260"/>
    <cellStyle name="20% - Accent1 2 4 3 2 7 8" xfId="31723"/>
    <cellStyle name="20% - Accent1 2 4 3 2 8" xfId="1287"/>
    <cellStyle name="20% - Accent1 2 4 3 2 8 2" xfId="3786"/>
    <cellStyle name="20% - Accent1 2 4 3 2 8 2 2" xfId="12920"/>
    <cellStyle name="20% - Accent1 2 4 3 2 8 2 2 2" xfId="24721"/>
    <cellStyle name="20% - Accent1 2 4 3 2 8 2 2 2 2" xfId="53261"/>
    <cellStyle name="20% - Accent1 2 4 3 2 8 2 2 3" xfId="38336"/>
    <cellStyle name="20% - Accent1 2 4 3 2 8 2 3" xfId="9239"/>
    <cellStyle name="20% - Accent1 2 4 3 2 8 2 3 2" xfId="44777"/>
    <cellStyle name="20% - Accent1 2 4 3 2 8 2 4" xfId="21040"/>
    <cellStyle name="20% - Accent1 2 4 3 2 8 2 4 2" xfId="53262"/>
    <cellStyle name="20% - Accent1 2 4 3 2 8 2 5" xfId="34655"/>
    <cellStyle name="20% - Accent1 2 4 3 2 8 3" xfId="12921"/>
    <cellStyle name="20% - Accent1 2 4 3 2 8 3 2" xfId="24722"/>
    <cellStyle name="20% - Accent1 2 4 3 2 8 3 2 2" xfId="44778"/>
    <cellStyle name="20% - Accent1 2 4 3 2 8 3 3" xfId="29701"/>
    <cellStyle name="20% - Accent1 2 4 3 2 8 3 3 2" xfId="44779"/>
    <cellStyle name="20% - Accent1 2 4 3 2 8 3 4" xfId="29702"/>
    <cellStyle name="20% - Accent1 2 4 3 2 8 3 4 2" xfId="53263"/>
    <cellStyle name="20% - Accent1 2 4 3 2 8 3 5" xfId="38337"/>
    <cellStyle name="20% - Accent1 2 4 3 2 8 4" xfId="12922"/>
    <cellStyle name="20% - Accent1 2 4 3 2 8 4 2" xfId="24723"/>
    <cellStyle name="20% - Accent1 2 4 3 2 8 4 2 2" xfId="53264"/>
    <cellStyle name="20% - Accent1 2 4 3 2 8 4 3" xfId="38338"/>
    <cellStyle name="20% - Accent1 2 4 3 2 8 5" xfId="6741"/>
    <cellStyle name="20% - Accent1 2 4 3 2 8 5 2" xfId="44780"/>
    <cellStyle name="20% - Accent1 2 4 3 2 8 6" xfId="18542"/>
    <cellStyle name="20% - Accent1 2 4 3 2 8 6 2" xfId="53265"/>
    <cellStyle name="20% - Accent1 2 4 3 2 8 7" xfId="32157"/>
    <cellStyle name="20% - Accent1 2 4 3 2 9" xfId="3649"/>
    <cellStyle name="20% - Accent1 2 4 3 2 9 2" xfId="12923"/>
    <cellStyle name="20% - Accent1 2 4 3 2 9 2 2" xfId="24724"/>
    <cellStyle name="20% - Accent1 2 4 3 2 9 2 2 2" xfId="53266"/>
    <cellStyle name="20% - Accent1 2 4 3 2 9 2 3" xfId="38339"/>
    <cellStyle name="20% - Accent1 2 4 3 2 9 3" xfId="9102"/>
    <cellStyle name="20% - Accent1 2 4 3 2 9 3 2" xfId="44781"/>
    <cellStyle name="20% - Accent1 2 4 3 2 9 4" xfId="20903"/>
    <cellStyle name="20% - Accent1 2 4 3 2 9 4 2" xfId="53267"/>
    <cellStyle name="20% - Accent1 2 4 3 2 9 5" xfId="34518"/>
    <cellStyle name="20% - Accent1 2 4 3 3" xfId="68"/>
    <cellStyle name="20% - Accent1 2 4 3 3 10" xfId="12924"/>
    <cellStyle name="20% - Accent1 2 4 3 3 10 2" xfId="24725"/>
    <cellStyle name="20% - Accent1 2 4 3 3 10 2 2" xfId="53268"/>
    <cellStyle name="20% - Accent1 2 4 3 3 10 3" xfId="38340"/>
    <cellStyle name="20% - Accent1 2 4 3 3 11" xfId="5522"/>
    <cellStyle name="20% - Accent1 2 4 3 3 11 2" xfId="44782"/>
    <cellStyle name="20% - Accent1 2 4 3 3 12" xfId="17323"/>
    <cellStyle name="20% - Accent1 2 4 3 3 12 2" xfId="53269"/>
    <cellStyle name="20% - Accent1 2 4 3 3 13" xfId="30938"/>
    <cellStyle name="20% - Accent1 2 4 3 3 2" xfId="135"/>
    <cellStyle name="20% - Accent1 2 4 3 3 2 10" xfId="5589"/>
    <cellStyle name="20% - Accent1 2 4 3 3 2 10 2" xfId="44783"/>
    <cellStyle name="20% - Accent1 2 4 3 3 2 11" xfId="17390"/>
    <cellStyle name="20% - Accent1 2 4 3 3 2 11 2" xfId="53270"/>
    <cellStyle name="20% - Accent1 2 4 3 3 2 12" xfId="31005"/>
    <cellStyle name="20% - Accent1 2 4 3 3 2 2" xfId="562"/>
    <cellStyle name="20% - Accent1 2 4 3 3 2 2 2" xfId="1288"/>
    <cellStyle name="20% - Accent1 2 4 3 3 2 2 2 2" xfId="4872"/>
    <cellStyle name="20% - Accent1 2 4 3 3 2 2 2 2 2" xfId="12925"/>
    <cellStyle name="20% - Accent1 2 4 3 3 2 2 2 2 2 2" xfId="24726"/>
    <cellStyle name="20% - Accent1 2 4 3 3 2 2 2 2 2 2 2" xfId="53271"/>
    <cellStyle name="20% - Accent1 2 4 3 3 2 2 2 2 2 3" xfId="38341"/>
    <cellStyle name="20% - Accent1 2 4 3 3 2 2 2 2 3" xfId="10325"/>
    <cellStyle name="20% - Accent1 2 4 3 3 2 2 2 2 3 2" xfId="44784"/>
    <cellStyle name="20% - Accent1 2 4 3 3 2 2 2 2 4" xfId="22126"/>
    <cellStyle name="20% - Accent1 2 4 3 3 2 2 2 2 4 2" xfId="53272"/>
    <cellStyle name="20% - Accent1 2 4 3 3 2 2 2 2 5" xfId="35741"/>
    <cellStyle name="20% - Accent1 2 4 3 3 2 2 2 3" xfId="3031"/>
    <cellStyle name="20% - Accent1 2 4 3 3 2 2 2 3 2" xfId="12926"/>
    <cellStyle name="20% - Accent1 2 4 3 3 2 2 2 3 2 2" xfId="24727"/>
    <cellStyle name="20% - Accent1 2 4 3 3 2 2 2 3 2 2 2" xfId="53273"/>
    <cellStyle name="20% - Accent1 2 4 3 3 2 2 2 3 2 3" xfId="38342"/>
    <cellStyle name="20% - Accent1 2 4 3 3 2 2 2 3 3" xfId="8484"/>
    <cellStyle name="20% - Accent1 2 4 3 3 2 2 2 3 3 2" xfId="44785"/>
    <cellStyle name="20% - Accent1 2 4 3 3 2 2 2 3 4" xfId="20285"/>
    <cellStyle name="20% - Accent1 2 4 3 3 2 2 2 3 4 2" xfId="53274"/>
    <cellStyle name="20% - Accent1 2 4 3 3 2 2 2 3 5" xfId="33900"/>
    <cellStyle name="20% - Accent1 2 4 3 3 2 2 2 4" xfId="12927"/>
    <cellStyle name="20% - Accent1 2 4 3 3 2 2 2 4 2" xfId="24728"/>
    <cellStyle name="20% - Accent1 2 4 3 3 2 2 2 4 2 2" xfId="53275"/>
    <cellStyle name="20% - Accent1 2 4 3 3 2 2 2 4 3" xfId="38343"/>
    <cellStyle name="20% - Accent1 2 4 3 3 2 2 2 5" xfId="6742"/>
    <cellStyle name="20% - Accent1 2 4 3 3 2 2 2 5 2" xfId="44786"/>
    <cellStyle name="20% - Accent1 2 4 3 3 2 2 2 6" xfId="18543"/>
    <cellStyle name="20% - Accent1 2 4 3 3 2 2 2 6 2" xfId="53276"/>
    <cellStyle name="20% - Accent1 2 4 3 3 2 2 2 7" xfId="32158"/>
    <cellStyle name="20% - Accent1 2 4 3 3 2 2 3" xfId="3599"/>
    <cellStyle name="20% - Accent1 2 4 3 3 2 2 3 2" xfId="5440"/>
    <cellStyle name="20% - Accent1 2 4 3 3 2 2 3 2 2" xfId="16910"/>
    <cellStyle name="20% - Accent1 2 4 3 3 2 2 3 2 2 2" xfId="28711"/>
    <cellStyle name="20% - Accent1 2 4 3 3 2 2 3 2 2 2 2" xfId="53277"/>
    <cellStyle name="20% - Accent1 2 4 3 3 2 2 3 2 2 3" xfId="42326"/>
    <cellStyle name="20% - Accent1 2 4 3 3 2 2 3 2 3" xfId="10893"/>
    <cellStyle name="20% - Accent1 2 4 3 3 2 2 3 2 3 2" xfId="53278"/>
    <cellStyle name="20% - Accent1 2 4 3 3 2 2 3 2 4" xfId="22694"/>
    <cellStyle name="20% - Accent1 2 4 3 3 2 2 3 2 4 2" xfId="53279"/>
    <cellStyle name="20% - Accent1 2 4 3 3 2 2 3 2 5" xfId="36309"/>
    <cellStyle name="20% - Accent1 2 4 3 3 2 2 3 3" xfId="12928"/>
    <cellStyle name="20% - Accent1 2 4 3 3 2 2 3 3 2" xfId="24729"/>
    <cellStyle name="20% - Accent1 2 4 3 3 2 2 3 3 2 2" xfId="53280"/>
    <cellStyle name="20% - Accent1 2 4 3 3 2 2 3 3 3" xfId="38344"/>
    <cellStyle name="20% - Accent1 2 4 3 3 2 2 3 4" xfId="9052"/>
    <cellStyle name="20% - Accent1 2 4 3 3 2 2 3 4 2" xfId="53281"/>
    <cellStyle name="20% - Accent1 2 4 3 3 2 2 3 5" xfId="20853"/>
    <cellStyle name="20% - Accent1 2 4 3 3 2 2 3 5 2" xfId="53282"/>
    <cellStyle name="20% - Accent1 2 4 3 3 2 2 3 6" xfId="34468"/>
    <cellStyle name="20% - Accent1 2 4 3 3 2 2 4" xfId="4304"/>
    <cellStyle name="20% - Accent1 2 4 3 3 2 2 4 2" xfId="12929"/>
    <cellStyle name="20% - Accent1 2 4 3 3 2 2 4 2 2" xfId="24730"/>
    <cellStyle name="20% - Accent1 2 4 3 3 2 2 4 2 2 2" xfId="53283"/>
    <cellStyle name="20% - Accent1 2 4 3 3 2 2 4 2 3" xfId="38345"/>
    <cellStyle name="20% - Accent1 2 4 3 3 2 2 4 3" xfId="9757"/>
    <cellStyle name="20% - Accent1 2 4 3 3 2 2 4 3 2" xfId="44787"/>
    <cellStyle name="20% - Accent1 2 4 3 3 2 2 4 4" xfId="21558"/>
    <cellStyle name="20% - Accent1 2 4 3 3 2 2 4 4 2" xfId="53284"/>
    <cellStyle name="20% - Accent1 2 4 3 3 2 2 4 5" xfId="35173"/>
    <cellStyle name="20% - Accent1 2 4 3 3 2 2 5" xfId="2463"/>
    <cellStyle name="20% - Accent1 2 4 3 3 2 2 5 2" xfId="17040"/>
    <cellStyle name="20% - Accent1 2 4 3 3 2 2 5 2 2" xfId="28841"/>
    <cellStyle name="20% - Accent1 2 4 3 3 2 2 5 2 2 2" xfId="53285"/>
    <cellStyle name="20% - Accent1 2 4 3 3 2 2 5 2 3" xfId="42456"/>
    <cellStyle name="20% - Accent1 2 4 3 3 2 2 5 3" xfId="7916"/>
    <cellStyle name="20% - Accent1 2 4 3 3 2 2 5 3 2" xfId="53286"/>
    <cellStyle name="20% - Accent1 2 4 3 3 2 2 5 4" xfId="19717"/>
    <cellStyle name="20% - Accent1 2 4 3 3 2 2 5 4 2" xfId="53287"/>
    <cellStyle name="20% - Accent1 2 4 3 3 2 2 5 5" xfId="33332"/>
    <cellStyle name="20% - Accent1 2 4 3 3 2 2 6" xfId="12930"/>
    <cellStyle name="20% - Accent1 2 4 3 3 2 2 6 2" xfId="24731"/>
    <cellStyle name="20% - Accent1 2 4 3 3 2 2 6 2 2" xfId="53288"/>
    <cellStyle name="20% - Accent1 2 4 3 3 2 2 6 3" xfId="38346"/>
    <cellStyle name="20% - Accent1 2 4 3 3 2 2 7" xfId="6016"/>
    <cellStyle name="20% - Accent1 2 4 3 3 2 2 7 2" xfId="53289"/>
    <cellStyle name="20% - Accent1 2 4 3 3 2 2 8" xfId="17817"/>
    <cellStyle name="20% - Accent1 2 4 3 3 2 2 8 2" xfId="53290"/>
    <cellStyle name="20% - Accent1 2 4 3 3 2 2 9" xfId="31432"/>
    <cellStyle name="20% - Accent1 2 4 3 3 2 3" xfId="425"/>
    <cellStyle name="20% - Accent1 2 4 3 3 2 3 2" xfId="1289"/>
    <cellStyle name="20% - Accent1 2 4 3 3 2 3 2 2" xfId="4735"/>
    <cellStyle name="20% - Accent1 2 4 3 3 2 3 2 2 2" xfId="12931"/>
    <cellStyle name="20% - Accent1 2 4 3 3 2 3 2 2 2 2" xfId="24732"/>
    <cellStyle name="20% - Accent1 2 4 3 3 2 3 2 2 2 2 2" xfId="53291"/>
    <cellStyle name="20% - Accent1 2 4 3 3 2 3 2 2 2 3" xfId="38347"/>
    <cellStyle name="20% - Accent1 2 4 3 3 2 3 2 2 3" xfId="10188"/>
    <cellStyle name="20% - Accent1 2 4 3 3 2 3 2 2 3 2" xfId="44788"/>
    <cellStyle name="20% - Accent1 2 4 3 3 2 3 2 2 4" xfId="21989"/>
    <cellStyle name="20% - Accent1 2 4 3 3 2 3 2 2 4 2" xfId="53292"/>
    <cellStyle name="20% - Accent1 2 4 3 3 2 3 2 2 5" xfId="35604"/>
    <cellStyle name="20% - Accent1 2 4 3 3 2 3 2 3" xfId="2894"/>
    <cellStyle name="20% - Accent1 2 4 3 3 2 3 2 3 2" xfId="12932"/>
    <cellStyle name="20% - Accent1 2 4 3 3 2 3 2 3 2 2" xfId="24733"/>
    <cellStyle name="20% - Accent1 2 4 3 3 2 3 2 3 2 2 2" xfId="53293"/>
    <cellStyle name="20% - Accent1 2 4 3 3 2 3 2 3 2 3" xfId="38348"/>
    <cellStyle name="20% - Accent1 2 4 3 3 2 3 2 3 3" xfId="8347"/>
    <cellStyle name="20% - Accent1 2 4 3 3 2 3 2 3 3 2" xfId="44789"/>
    <cellStyle name="20% - Accent1 2 4 3 3 2 3 2 3 4" xfId="20148"/>
    <cellStyle name="20% - Accent1 2 4 3 3 2 3 2 3 4 2" xfId="53294"/>
    <cellStyle name="20% - Accent1 2 4 3 3 2 3 2 3 5" xfId="33763"/>
    <cellStyle name="20% - Accent1 2 4 3 3 2 3 2 4" xfId="12933"/>
    <cellStyle name="20% - Accent1 2 4 3 3 2 3 2 4 2" xfId="24734"/>
    <cellStyle name="20% - Accent1 2 4 3 3 2 3 2 4 2 2" xfId="53295"/>
    <cellStyle name="20% - Accent1 2 4 3 3 2 3 2 4 3" xfId="38349"/>
    <cellStyle name="20% - Accent1 2 4 3 3 2 3 2 5" xfId="6743"/>
    <cellStyle name="20% - Accent1 2 4 3 3 2 3 2 5 2" xfId="44790"/>
    <cellStyle name="20% - Accent1 2 4 3 3 2 3 2 6" xfId="18544"/>
    <cellStyle name="20% - Accent1 2 4 3 3 2 3 2 6 2" xfId="53296"/>
    <cellStyle name="20% - Accent1 2 4 3 3 2 3 2 7" xfId="32159"/>
    <cellStyle name="20% - Accent1 2 4 3 3 2 3 3" xfId="3462"/>
    <cellStyle name="20% - Accent1 2 4 3 3 2 3 3 2" xfId="5303"/>
    <cellStyle name="20% - Accent1 2 4 3 3 2 3 3 2 2" xfId="16773"/>
    <cellStyle name="20% - Accent1 2 4 3 3 2 3 3 2 2 2" xfId="28574"/>
    <cellStyle name="20% - Accent1 2 4 3 3 2 3 3 2 2 2 2" xfId="53297"/>
    <cellStyle name="20% - Accent1 2 4 3 3 2 3 3 2 2 3" xfId="42189"/>
    <cellStyle name="20% - Accent1 2 4 3 3 2 3 3 2 3" xfId="10756"/>
    <cellStyle name="20% - Accent1 2 4 3 3 2 3 3 2 3 2" xfId="53298"/>
    <cellStyle name="20% - Accent1 2 4 3 3 2 3 3 2 4" xfId="22557"/>
    <cellStyle name="20% - Accent1 2 4 3 3 2 3 3 2 4 2" xfId="53299"/>
    <cellStyle name="20% - Accent1 2 4 3 3 2 3 3 2 5" xfId="36172"/>
    <cellStyle name="20% - Accent1 2 4 3 3 2 3 3 3" xfId="12934"/>
    <cellStyle name="20% - Accent1 2 4 3 3 2 3 3 3 2" xfId="24735"/>
    <cellStyle name="20% - Accent1 2 4 3 3 2 3 3 3 2 2" xfId="53300"/>
    <cellStyle name="20% - Accent1 2 4 3 3 2 3 3 3 3" xfId="38350"/>
    <cellStyle name="20% - Accent1 2 4 3 3 2 3 3 4" xfId="8915"/>
    <cellStyle name="20% - Accent1 2 4 3 3 2 3 3 4 2" xfId="53301"/>
    <cellStyle name="20% - Accent1 2 4 3 3 2 3 3 5" xfId="20716"/>
    <cellStyle name="20% - Accent1 2 4 3 3 2 3 3 5 2" xfId="53302"/>
    <cellStyle name="20% - Accent1 2 4 3 3 2 3 3 6" xfId="34331"/>
    <cellStyle name="20% - Accent1 2 4 3 3 2 3 4" xfId="4167"/>
    <cellStyle name="20% - Accent1 2 4 3 3 2 3 4 2" xfId="12935"/>
    <cellStyle name="20% - Accent1 2 4 3 3 2 3 4 2 2" xfId="24736"/>
    <cellStyle name="20% - Accent1 2 4 3 3 2 3 4 2 2 2" xfId="53303"/>
    <cellStyle name="20% - Accent1 2 4 3 3 2 3 4 2 3" xfId="38351"/>
    <cellStyle name="20% - Accent1 2 4 3 3 2 3 4 3" xfId="9620"/>
    <cellStyle name="20% - Accent1 2 4 3 3 2 3 4 3 2" xfId="44791"/>
    <cellStyle name="20% - Accent1 2 4 3 3 2 3 4 4" xfId="21421"/>
    <cellStyle name="20% - Accent1 2 4 3 3 2 3 4 4 2" xfId="53304"/>
    <cellStyle name="20% - Accent1 2 4 3 3 2 3 4 5" xfId="35036"/>
    <cellStyle name="20% - Accent1 2 4 3 3 2 3 5" xfId="2326"/>
    <cellStyle name="20% - Accent1 2 4 3 3 2 3 5 2" xfId="17041"/>
    <cellStyle name="20% - Accent1 2 4 3 3 2 3 5 2 2" xfId="28842"/>
    <cellStyle name="20% - Accent1 2 4 3 3 2 3 5 2 2 2" xfId="53305"/>
    <cellStyle name="20% - Accent1 2 4 3 3 2 3 5 2 3" xfId="42457"/>
    <cellStyle name="20% - Accent1 2 4 3 3 2 3 5 3" xfId="7779"/>
    <cellStyle name="20% - Accent1 2 4 3 3 2 3 5 3 2" xfId="53306"/>
    <cellStyle name="20% - Accent1 2 4 3 3 2 3 5 4" xfId="19580"/>
    <cellStyle name="20% - Accent1 2 4 3 3 2 3 5 4 2" xfId="53307"/>
    <cellStyle name="20% - Accent1 2 4 3 3 2 3 5 5" xfId="33195"/>
    <cellStyle name="20% - Accent1 2 4 3 3 2 3 6" xfId="12936"/>
    <cellStyle name="20% - Accent1 2 4 3 3 2 3 6 2" xfId="24737"/>
    <cellStyle name="20% - Accent1 2 4 3 3 2 3 6 2 2" xfId="53308"/>
    <cellStyle name="20% - Accent1 2 4 3 3 2 3 6 3" xfId="38352"/>
    <cellStyle name="20% - Accent1 2 4 3 3 2 3 7" xfId="5879"/>
    <cellStyle name="20% - Accent1 2 4 3 3 2 3 7 2" xfId="53309"/>
    <cellStyle name="20% - Accent1 2 4 3 3 2 3 8" xfId="17680"/>
    <cellStyle name="20% - Accent1 2 4 3 3 2 3 8 2" xfId="53310"/>
    <cellStyle name="20% - Accent1 2 4 3 3 2 3 9" xfId="31295"/>
    <cellStyle name="20% - Accent1 2 4 3 3 2 4" xfId="703"/>
    <cellStyle name="20% - Accent1 2 4 3 3 2 4 2" xfId="1290"/>
    <cellStyle name="20% - Accent1 2 4 3 3 2 4 2 2" xfId="4445"/>
    <cellStyle name="20% - Accent1 2 4 3 3 2 4 2 2 2" xfId="12937"/>
    <cellStyle name="20% - Accent1 2 4 3 3 2 4 2 2 2 2" xfId="24738"/>
    <cellStyle name="20% - Accent1 2 4 3 3 2 4 2 2 2 2 2" xfId="53311"/>
    <cellStyle name="20% - Accent1 2 4 3 3 2 4 2 2 2 3" xfId="38353"/>
    <cellStyle name="20% - Accent1 2 4 3 3 2 4 2 2 3" xfId="9898"/>
    <cellStyle name="20% - Accent1 2 4 3 3 2 4 2 2 3 2" xfId="44792"/>
    <cellStyle name="20% - Accent1 2 4 3 3 2 4 2 2 4" xfId="21699"/>
    <cellStyle name="20% - Accent1 2 4 3 3 2 4 2 2 4 2" xfId="53312"/>
    <cellStyle name="20% - Accent1 2 4 3 3 2 4 2 2 5" xfId="35314"/>
    <cellStyle name="20% - Accent1 2 4 3 3 2 4 2 3" xfId="12938"/>
    <cellStyle name="20% - Accent1 2 4 3 3 2 4 2 3 2" xfId="24739"/>
    <cellStyle name="20% - Accent1 2 4 3 3 2 4 2 3 2 2" xfId="44793"/>
    <cellStyle name="20% - Accent1 2 4 3 3 2 4 2 3 3" xfId="29703"/>
    <cellStyle name="20% - Accent1 2 4 3 3 2 4 2 3 3 2" xfId="44794"/>
    <cellStyle name="20% - Accent1 2 4 3 3 2 4 2 3 4" xfId="29704"/>
    <cellStyle name="20% - Accent1 2 4 3 3 2 4 2 3 4 2" xfId="53313"/>
    <cellStyle name="20% - Accent1 2 4 3 3 2 4 2 3 5" xfId="38354"/>
    <cellStyle name="20% - Accent1 2 4 3 3 2 4 2 4" xfId="12939"/>
    <cellStyle name="20% - Accent1 2 4 3 3 2 4 2 4 2" xfId="24740"/>
    <cellStyle name="20% - Accent1 2 4 3 3 2 4 2 4 2 2" xfId="53314"/>
    <cellStyle name="20% - Accent1 2 4 3 3 2 4 2 4 3" xfId="38355"/>
    <cellStyle name="20% - Accent1 2 4 3 3 2 4 2 5" xfId="6744"/>
    <cellStyle name="20% - Accent1 2 4 3 3 2 4 2 5 2" xfId="44795"/>
    <cellStyle name="20% - Accent1 2 4 3 3 2 4 2 6" xfId="18545"/>
    <cellStyle name="20% - Accent1 2 4 3 3 2 4 2 6 2" xfId="53315"/>
    <cellStyle name="20% - Accent1 2 4 3 3 2 4 2 7" xfId="32160"/>
    <cellStyle name="20% - Accent1 2 4 3 3 2 4 3" xfId="2604"/>
    <cellStyle name="20% - Accent1 2 4 3 3 2 4 3 2" xfId="12940"/>
    <cellStyle name="20% - Accent1 2 4 3 3 2 4 3 2 2" xfId="24741"/>
    <cellStyle name="20% - Accent1 2 4 3 3 2 4 3 2 2 2" xfId="53316"/>
    <cellStyle name="20% - Accent1 2 4 3 3 2 4 3 2 3" xfId="38356"/>
    <cellStyle name="20% - Accent1 2 4 3 3 2 4 3 3" xfId="8057"/>
    <cellStyle name="20% - Accent1 2 4 3 3 2 4 3 3 2" xfId="44796"/>
    <cellStyle name="20% - Accent1 2 4 3 3 2 4 3 4" xfId="19858"/>
    <cellStyle name="20% - Accent1 2 4 3 3 2 4 3 4 2" xfId="53317"/>
    <cellStyle name="20% - Accent1 2 4 3 3 2 4 3 5" xfId="33473"/>
    <cellStyle name="20% - Accent1 2 4 3 3 2 4 4" xfId="12941"/>
    <cellStyle name="20% - Accent1 2 4 3 3 2 4 4 2" xfId="24742"/>
    <cellStyle name="20% - Accent1 2 4 3 3 2 4 4 2 2" xfId="44797"/>
    <cellStyle name="20% - Accent1 2 4 3 3 2 4 4 3" xfId="29705"/>
    <cellStyle name="20% - Accent1 2 4 3 3 2 4 4 3 2" xfId="44798"/>
    <cellStyle name="20% - Accent1 2 4 3 3 2 4 4 4" xfId="29706"/>
    <cellStyle name="20% - Accent1 2 4 3 3 2 4 4 4 2" xfId="53318"/>
    <cellStyle name="20% - Accent1 2 4 3 3 2 4 4 5" xfId="38357"/>
    <cellStyle name="20% - Accent1 2 4 3 3 2 4 5" xfId="12942"/>
    <cellStyle name="20% - Accent1 2 4 3 3 2 4 5 2" xfId="24743"/>
    <cellStyle name="20% - Accent1 2 4 3 3 2 4 5 2 2" xfId="53319"/>
    <cellStyle name="20% - Accent1 2 4 3 3 2 4 5 3" xfId="38358"/>
    <cellStyle name="20% - Accent1 2 4 3 3 2 4 6" xfId="6157"/>
    <cellStyle name="20% - Accent1 2 4 3 3 2 4 6 2" xfId="44799"/>
    <cellStyle name="20% - Accent1 2 4 3 3 2 4 7" xfId="17958"/>
    <cellStyle name="20% - Accent1 2 4 3 3 2 4 7 2" xfId="53320"/>
    <cellStyle name="20% - Accent1 2 4 3 3 2 4 8" xfId="31573"/>
    <cellStyle name="20% - Accent1 2 4 3 3 2 5" xfId="944"/>
    <cellStyle name="20% - Accent1 2 4 3 3 2 5 2" xfId="1291"/>
    <cellStyle name="20% - Accent1 2 4 3 3 2 5 2 2" xfId="5013"/>
    <cellStyle name="20% - Accent1 2 4 3 3 2 5 2 2 2" xfId="12943"/>
    <cellStyle name="20% - Accent1 2 4 3 3 2 5 2 2 2 2" xfId="24744"/>
    <cellStyle name="20% - Accent1 2 4 3 3 2 5 2 2 2 2 2" xfId="53321"/>
    <cellStyle name="20% - Accent1 2 4 3 3 2 5 2 2 2 3" xfId="38359"/>
    <cellStyle name="20% - Accent1 2 4 3 3 2 5 2 2 3" xfId="10466"/>
    <cellStyle name="20% - Accent1 2 4 3 3 2 5 2 2 3 2" xfId="44800"/>
    <cellStyle name="20% - Accent1 2 4 3 3 2 5 2 2 4" xfId="22267"/>
    <cellStyle name="20% - Accent1 2 4 3 3 2 5 2 2 4 2" xfId="53322"/>
    <cellStyle name="20% - Accent1 2 4 3 3 2 5 2 2 5" xfId="35882"/>
    <cellStyle name="20% - Accent1 2 4 3 3 2 5 2 3" xfId="12944"/>
    <cellStyle name="20% - Accent1 2 4 3 3 2 5 2 3 2" xfId="24745"/>
    <cellStyle name="20% - Accent1 2 4 3 3 2 5 2 3 2 2" xfId="44801"/>
    <cellStyle name="20% - Accent1 2 4 3 3 2 5 2 3 3" xfId="29707"/>
    <cellStyle name="20% - Accent1 2 4 3 3 2 5 2 3 3 2" xfId="44802"/>
    <cellStyle name="20% - Accent1 2 4 3 3 2 5 2 3 4" xfId="29708"/>
    <cellStyle name="20% - Accent1 2 4 3 3 2 5 2 3 4 2" xfId="53323"/>
    <cellStyle name="20% - Accent1 2 4 3 3 2 5 2 3 5" xfId="38360"/>
    <cellStyle name="20% - Accent1 2 4 3 3 2 5 2 4" xfId="12945"/>
    <cellStyle name="20% - Accent1 2 4 3 3 2 5 2 4 2" xfId="24746"/>
    <cellStyle name="20% - Accent1 2 4 3 3 2 5 2 4 2 2" xfId="53324"/>
    <cellStyle name="20% - Accent1 2 4 3 3 2 5 2 4 3" xfId="38361"/>
    <cellStyle name="20% - Accent1 2 4 3 3 2 5 2 5" xfId="6745"/>
    <cellStyle name="20% - Accent1 2 4 3 3 2 5 2 5 2" xfId="44803"/>
    <cellStyle name="20% - Accent1 2 4 3 3 2 5 2 6" xfId="18546"/>
    <cellStyle name="20% - Accent1 2 4 3 3 2 5 2 6 2" xfId="53325"/>
    <cellStyle name="20% - Accent1 2 4 3 3 2 5 2 7" xfId="32161"/>
    <cellStyle name="20% - Accent1 2 4 3 3 2 5 3" xfId="3172"/>
    <cellStyle name="20% - Accent1 2 4 3 3 2 5 3 2" xfId="12946"/>
    <cellStyle name="20% - Accent1 2 4 3 3 2 5 3 2 2" xfId="24747"/>
    <cellStyle name="20% - Accent1 2 4 3 3 2 5 3 2 2 2" xfId="53326"/>
    <cellStyle name="20% - Accent1 2 4 3 3 2 5 3 2 3" xfId="38362"/>
    <cellStyle name="20% - Accent1 2 4 3 3 2 5 3 3" xfId="8625"/>
    <cellStyle name="20% - Accent1 2 4 3 3 2 5 3 3 2" xfId="44804"/>
    <cellStyle name="20% - Accent1 2 4 3 3 2 5 3 4" xfId="20426"/>
    <cellStyle name="20% - Accent1 2 4 3 3 2 5 3 4 2" xfId="53327"/>
    <cellStyle name="20% - Accent1 2 4 3 3 2 5 3 5" xfId="34041"/>
    <cellStyle name="20% - Accent1 2 4 3 3 2 5 4" xfId="12947"/>
    <cellStyle name="20% - Accent1 2 4 3 3 2 5 4 2" xfId="24748"/>
    <cellStyle name="20% - Accent1 2 4 3 3 2 5 4 2 2" xfId="44805"/>
    <cellStyle name="20% - Accent1 2 4 3 3 2 5 4 3" xfId="29709"/>
    <cellStyle name="20% - Accent1 2 4 3 3 2 5 4 3 2" xfId="44806"/>
    <cellStyle name="20% - Accent1 2 4 3 3 2 5 4 4" xfId="29710"/>
    <cellStyle name="20% - Accent1 2 4 3 3 2 5 4 4 2" xfId="53328"/>
    <cellStyle name="20% - Accent1 2 4 3 3 2 5 4 5" xfId="38363"/>
    <cellStyle name="20% - Accent1 2 4 3 3 2 5 5" xfId="12948"/>
    <cellStyle name="20% - Accent1 2 4 3 3 2 5 5 2" xfId="24749"/>
    <cellStyle name="20% - Accent1 2 4 3 3 2 5 5 2 2" xfId="53329"/>
    <cellStyle name="20% - Accent1 2 4 3 3 2 5 5 3" xfId="38364"/>
    <cellStyle name="20% - Accent1 2 4 3 3 2 5 6" xfId="6398"/>
    <cellStyle name="20% - Accent1 2 4 3 3 2 5 6 2" xfId="44807"/>
    <cellStyle name="20% - Accent1 2 4 3 3 2 5 7" xfId="18199"/>
    <cellStyle name="20% - Accent1 2 4 3 3 2 5 7 2" xfId="53330"/>
    <cellStyle name="20% - Accent1 2 4 3 3 2 5 8" xfId="31814"/>
    <cellStyle name="20% - Accent1 2 4 3 3 2 6" xfId="1292"/>
    <cellStyle name="20% - Accent1 2 4 3 3 2 6 2" xfId="3877"/>
    <cellStyle name="20% - Accent1 2 4 3 3 2 6 2 2" xfId="12949"/>
    <cellStyle name="20% - Accent1 2 4 3 3 2 6 2 2 2" xfId="24750"/>
    <cellStyle name="20% - Accent1 2 4 3 3 2 6 2 2 2 2" xfId="53331"/>
    <cellStyle name="20% - Accent1 2 4 3 3 2 6 2 2 3" xfId="38365"/>
    <cellStyle name="20% - Accent1 2 4 3 3 2 6 2 3" xfId="9330"/>
    <cellStyle name="20% - Accent1 2 4 3 3 2 6 2 3 2" xfId="44808"/>
    <cellStyle name="20% - Accent1 2 4 3 3 2 6 2 4" xfId="21131"/>
    <cellStyle name="20% - Accent1 2 4 3 3 2 6 2 4 2" xfId="53332"/>
    <cellStyle name="20% - Accent1 2 4 3 3 2 6 2 5" xfId="34746"/>
    <cellStyle name="20% - Accent1 2 4 3 3 2 6 3" xfId="12950"/>
    <cellStyle name="20% - Accent1 2 4 3 3 2 6 3 2" xfId="24751"/>
    <cellStyle name="20% - Accent1 2 4 3 3 2 6 3 2 2" xfId="44809"/>
    <cellStyle name="20% - Accent1 2 4 3 3 2 6 3 3" xfId="29711"/>
    <cellStyle name="20% - Accent1 2 4 3 3 2 6 3 3 2" xfId="44810"/>
    <cellStyle name="20% - Accent1 2 4 3 3 2 6 3 4" xfId="29712"/>
    <cellStyle name="20% - Accent1 2 4 3 3 2 6 3 4 2" xfId="53333"/>
    <cellStyle name="20% - Accent1 2 4 3 3 2 6 3 5" xfId="38366"/>
    <cellStyle name="20% - Accent1 2 4 3 3 2 6 4" xfId="12951"/>
    <cellStyle name="20% - Accent1 2 4 3 3 2 6 4 2" xfId="24752"/>
    <cellStyle name="20% - Accent1 2 4 3 3 2 6 4 2 2" xfId="53334"/>
    <cellStyle name="20% - Accent1 2 4 3 3 2 6 4 3" xfId="38367"/>
    <cellStyle name="20% - Accent1 2 4 3 3 2 6 5" xfId="6746"/>
    <cellStyle name="20% - Accent1 2 4 3 3 2 6 5 2" xfId="44811"/>
    <cellStyle name="20% - Accent1 2 4 3 3 2 6 6" xfId="18547"/>
    <cellStyle name="20% - Accent1 2 4 3 3 2 6 6 2" xfId="53335"/>
    <cellStyle name="20% - Accent1 2 4 3 3 2 6 7" xfId="32162"/>
    <cellStyle name="20% - Accent1 2 4 3 3 2 7" xfId="3740"/>
    <cellStyle name="20% - Accent1 2 4 3 3 2 7 2" xfId="12952"/>
    <cellStyle name="20% - Accent1 2 4 3 3 2 7 2 2" xfId="24753"/>
    <cellStyle name="20% - Accent1 2 4 3 3 2 7 2 2 2" xfId="53336"/>
    <cellStyle name="20% - Accent1 2 4 3 3 2 7 2 3" xfId="38368"/>
    <cellStyle name="20% - Accent1 2 4 3 3 2 7 3" xfId="9193"/>
    <cellStyle name="20% - Accent1 2 4 3 3 2 7 3 2" xfId="44812"/>
    <cellStyle name="20% - Accent1 2 4 3 3 2 7 4" xfId="20994"/>
    <cellStyle name="20% - Accent1 2 4 3 3 2 7 4 2" xfId="53337"/>
    <cellStyle name="20% - Accent1 2 4 3 3 2 7 5" xfId="34609"/>
    <cellStyle name="20% - Accent1 2 4 3 3 2 8" xfId="2036"/>
    <cellStyle name="20% - Accent1 2 4 3 3 2 8 2" xfId="12953"/>
    <cellStyle name="20% - Accent1 2 4 3 3 2 8 2 2" xfId="24754"/>
    <cellStyle name="20% - Accent1 2 4 3 3 2 8 2 2 2" xfId="53338"/>
    <cellStyle name="20% - Accent1 2 4 3 3 2 8 2 3" xfId="38369"/>
    <cellStyle name="20% - Accent1 2 4 3 3 2 8 3" xfId="7489"/>
    <cellStyle name="20% - Accent1 2 4 3 3 2 8 3 2" xfId="44813"/>
    <cellStyle name="20% - Accent1 2 4 3 3 2 8 4" xfId="19290"/>
    <cellStyle name="20% - Accent1 2 4 3 3 2 8 4 2" xfId="53339"/>
    <cellStyle name="20% - Accent1 2 4 3 3 2 8 5" xfId="32905"/>
    <cellStyle name="20% - Accent1 2 4 3 3 2 9" xfId="12954"/>
    <cellStyle name="20% - Accent1 2 4 3 3 2 9 2" xfId="24755"/>
    <cellStyle name="20% - Accent1 2 4 3 3 2 9 2 2" xfId="53340"/>
    <cellStyle name="20% - Accent1 2 4 3 3 2 9 3" xfId="38370"/>
    <cellStyle name="20% - Accent1 2 4 3 3 3" xfId="208"/>
    <cellStyle name="20% - Accent1 2 4 3 3 3 10" xfId="31078"/>
    <cellStyle name="20% - Accent1 2 4 3 3 3 2" xfId="495"/>
    <cellStyle name="20% - Accent1 2 4 3 3 3 2 2" xfId="1293"/>
    <cellStyle name="20% - Accent1 2 4 3 3 3 2 2 2" xfId="4805"/>
    <cellStyle name="20% - Accent1 2 4 3 3 3 2 2 2 2" xfId="12955"/>
    <cellStyle name="20% - Accent1 2 4 3 3 3 2 2 2 2 2" xfId="24756"/>
    <cellStyle name="20% - Accent1 2 4 3 3 3 2 2 2 2 2 2" xfId="53341"/>
    <cellStyle name="20% - Accent1 2 4 3 3 3 2 2 2 2 3" xfId="38371"/>
    <cellStyle name="20% - Accent1 2 4 3 3 3 2 2 2 3" xfId="10258"/>
    <cellStyle name="20% - Accent1 2 4 3 3 3 2 2 2 3 2" xfId="44814"/>
    <cellStyle name="20% - Accent1 2 4 3 3 3 2 2 2 4" xfId="22059"/>
    <cellStyle name="20% - Accent1 2 4 3 3 3 2 2 2 4 2" xfId="53342"/>
    <cellStyle name="20% - Accent1 2 4 3 3 3 2 2 2 5" xfId="35674"/>
    <cellStyle name="20% - Accent1 2 4 3 3 3 2 2 3" xfId="2964"/>
    <cellStyle name="20% - Accent1 2 4 3 3 3 2 2 3 2" xfId="12956"/>
    <cellStyle name="20% - Accent1 2 4 3 3 3 2 2 3 2 2" xfId="24757"/>
    <cellStyle name="20% - Accent1 2 4 3 3 3 2 2 3 2 2 2" xfId="53343"/>
    <cellStyle name="20% - Accent1 2 4 3 3 3 2 2 3 2 3" xfId="38372"/>
    <cellStyle name="20% - Accent1 2 4 3 3 3 2 2 3 3" xfId="8417"/>
    <cellStyle name="20% - Accent1 2 4 3 3 3 2 2 3 3 2" xfId="44815"/>
    <cellStyle name="20% - Accent1 2 4 3 3 3 2 2 3 4" xfId="20218"/>
    <cellStyle name="20% - Accent1 2 4 3 3 3 2 2 3 4 2" xfId="53344"/>
    <cellStyle name="20% - Accent1 2 4 3 3 3 2 2 3 5" xfId="33833"/>
    <cellStyle name="20% - Accent1 2 4 3 3 3 2 2 4" xfId="12957"/>
    <cellStyle name="20% - Accent1 2 4 3 3 3 2 2 4 2" xfId="24758"/>
    <cellStyle name="20% - Accent1 2 4 3 3 3 2 2 4 2 2" xfId="53345"/>
    <cellStyle name="20% - Accent1 2 4 3 3 3 2 2 4 3" xfId="38373"/>
    <cellStyle name="20% - Accent1 2 4 3 3 3 2 2 5" xfId="6747"/>
    <cellStyle name="20% - Accent1 2 4 3 3 3 2 2 5 2" xfId="44816"/>
    <cellStyle name="20% - Accent1 2 4 3 3 3 2 2 6" xfId="18548"/>
    <cellStyle name="20% - Accent1 2 4 3 3 3 2 2 6 2" xfId="53346"/>
    <cellStyle name="20% - Accent1 2 4 3 3 3 2 2 7" xfId="32163"/>
    <cellStyle name="20% - Accent1 2 4 3 3 3 2 3" xfId="3532"/>
    <cellStyle name="20% - Accent1 2 4 3 3 3 2 3 2" xfId="5373"/>
    <cellStyle name="20% - Accent1 2 4 3 3 3 2 3 2 2" xfId="16843"/>
    <cellStyle name="20% - Accent1 2 4 3 3 3 2 3 2 2 2" xfId="28644"/>
    <cellStyle name="20% - Accent1 2 4 3 3 3 2 3 2 2 2 2" xfId="53347"/>
    <cellStyle name="20% - Accent1 2 4 3 3 3 2 3 2 2 3" xfId="42259"/>
    <cellStyle name="20% - Accent1 2 4 3 3 3 2 3 2 3" xfId="10826"/>
    <cellStyle name="20% - Accent1 2 4 3 3 3 2 3 2 3 2" xfId="53348"/>
    <cellStyle name="20% - Accent1 2 4 3 3 3 2 3 2 4" xfId="22627"/>
    <cellStyle name="20% - Accent1 2 4 3 3 3 2 3 2 4 2" xfId="53349"/>
    <cellStyle name="20% - Accent1 2 4 3 3 3 2 3 2 5" xfId="36242"/>
    <cellStyle name="20% - Accent1 2 4 3 3 3 2 3 3" xfId="12958"/>
    <cellStyle name="20% - Accent1 2 4 3 3 3 2 3 3 2" xfId="24759"/>
    <cellStyle name="20% - Accent1 2 4 3 3 3 2 3 3 2 2" xfId="53350"/>
    <cellStyle name="20% - Accent1 2 4 3 3 3 2 3 3 3" xfId="38374"/>
    <cellStyle name="20% - Accent1 2 4 3 3 3 2 3 4" xfId="8985"/>
    <cellStyle name="20% - Accent1 2 4 3 3 3 2 3 4 2" xfId="53351"/>
    <cellStyle name="20% - Accent1 2 4 3 3 3 2 3 5" xfId="20786"/>
    <cellStyle name="20% - Accent1 2 4 3 3 3 2 3 5 2" xfId="53352"/>
    <cellStyle name="20% - Accent1 2 4 3 3 3 2 3 6" xfId="34401"/>
    <cellStyle name="20% - Accent1 2 4 3 3 3 2 4" xfId="4237"/>
    <cellStyle name="20% - Accent1 2 4 3 3 3 2 4 2" xfId="12959"/>
    <cellStyle name="20% - Accent1 2 4 3 3 3 2 4 2 2" xfId="24760"/>
    <cellStyle name="20% - Accent1 2 4 3 3 3 2 4 2 2 2" xfId="53353"/>
    <cellStyle name="20% - Accent1 2 4 3 3 3 2 4 2 3" xfId="38375"/>
    <cellStyle name="20% - Accent1 2 4 3 3 3 2 4 3" xfId="9690"/>
    <cellStyle name="20% - Accent1 2 4 3 3 3 2 4 3 2" xfId="44817"/>
    <cellStyle name="20% - Accent1 2 4 3 3 3 2 4 4" xfId="21491"/>
    <cellStyle name="20% - Accent1 2 4 3 3 3 2 4 4 2" xfId="53354"/>
    <cellStyle name="20% - Accent1 2 4 3 3 3 2 4 5" xfId="35106"/>
    <cellStyle name="20% - Accent1 2 4 3 3 3 2 5" xfId="2396"/>
    <cellStyle name="20% - Accent1 2 4 3 3 3 2 5 2" xfId="17042"/>
    <cellStyle name="20% - Accent1 2 4 3 3 3 2 5 2 2" xfId="28843"/>
    <cellStyle name="20% - Accent1 2 4 3 3 3 2 5 2 2 2" xfId="53355"/>
    <cellStyle name="20% - Accent1 2 4 3 3 3 2 5 2 3" xfId="42458"/>
    <cellStyle name="20% - Accent1 2 4 3 3 3 2 5 3" xfId="7849"/>
    <cellStyle name="20% - Accent1 2 4 3 3 3 2 5 3 2" xfId="53356"/>
    <cellStyle name="20% - Accent1 2 4 3 3 3 2 5 4" xfId="19650"/>
    <cellStyle name="20% - Accent1 2 4 3 3 3 2 5 4 2" xfId="53357"/>
    <cellStyle name="20% - Accent1 2 4 3 3 3 2 5 5" xfId="33265"/>
    <cellStyle name="20% - Accent1 2 4 3 3 3 2 6" xfId="12960"/>
    <cellStyle name="20% - Accent1 2 4 3 3 3 2 6 2" xfId="24761"/>
    <cellStyle name="20% - Accent1 2 4 3 3 3 2 6 2 2" xfId="53358"/>
    <cellStyle name="20% - Accent1 2 4 3 3 3 2 6 3" xfId="38376"/>
    <cellStyle name="20% - Accent1 2 4 3 3 3 2 7" xfId="5949"/>
    <cellStyle name="20% - Accent1 2 4 3 3 3 2 7 2" xfId="53359"/>
    <cellStyle name="20% - Accent1 2 4 3 3 3 2 8" xfId="17750"/>
    <cellStyle name="20% - Accent1 2 4 3 3 3 2 8 2" xfId="53360"/>
    <cellStyle name="20% - Accent1 2 4 3 3 3 2 9" xfId="31365"/>
    <cellStyle name="20% - Accent1 2 4 3 3 3 3" xfId="776"/>
    <cellStyle name="20% - Accent1 2 4 3 3 3 3 2" xfId="1294"/>
    <cellStyle name="20% - Accent1 2 4 3 3 3 3 2 2" xfId="4518"/>
    <cellStyle name="20% - Accent1 2 4 3 3 3 3 2 2 2" xfId="12961"/>
    <cellStyle name="20% - Accent1 2 4 3 3 3 3 2 2 2 2" xfId="24762"/>
    <cellStyle name="20% - Accent1 2 4 3 3 3 3 2 2 2 2 2" xfId="53361"/>
    <cellStyle name="20% - Accent1 2 4 3 3 3 3 2 2 2 3" xfId="38377"/>
    <cellStyle name="20% - Accent1 2 4 3 3 3 3 2 2 3" xfId="9971"/>
    <cellStyle name="20% - Accent1 2 4 3 3 3 3 2 2 3 2" xfId="44818"/>
    <cellStyle name="20% - Accent1 2 4 3 3 3 3 2 2 4" xfId="21772"/>
    <cellStyle name="20% - Accent1 2 4 3 3 3 3 2 2 4 2" xfId="53362"/>
    <cellStyle name="20% - Accent1 2 4 3 3 3 3 2 2 5" xfId="35387"/>
    <cellStyle name="20% - Accent1 2 4 3 3 3 3 2 3" xfId="12962"/>
    <cellStyle name="20% - Accent1 2 4 3 3 3 3 2 3 2" xfId="24763"/>
    <cellStyle name="20% - Accent1 2 4 3 3 3 3 2 3 2 2" xfId="44819"/>
    <cellStyle name="20% - Accent1 2 4 3 3 3 3 2 3 3" xfId="29713"/>
    <cellStyle name="20% - Accent1 2 4 3 3 3 3 2 3 3 2" xfId="44820"/>
    <cellStyle name="20% - Accent1 2 4 3 3 3 3 2 3 4" xfId="29714"/>
    <cellStyle name="20% - Accent1 2 4 3 3 3 3 2 3 4 2" xfId="53363"/>
    <cellStyle name="20% - Accent1 2 4 3 3 3 3 2 3 5" xfId="38378"/>
    <cellStyle name="20% - Accent1 2 4 3 3 3 3 2 4" xfId="12963"/>
    <cellStyle name="20% - Accent1 2 4 3 3 3 3 2 4 2" xfId="24764"/>
    <cellStyle name="20% - Accent1 2 4 3 3 3 3 2 4 2 2" xfId="53364"/>
    <cellStyle name="20% - Accent1 2 4 3 3 3 3 2 4 3" xfId="38379"/>
    <cellStyle name="20% - Accent1 2 4 3 3 3 3 2 5" xfId="6748"/>
    <cellStyle name="20% - Accent1 2 4 3 3 3 3 2 5 2" xfId="44821"/>
    <cellStyle name="20% - Accent1 2 4 3 3 3 3 2 6" xfId="18549"/>
    <cellStyle name="20% - Accent1 2 4 3 3 3 3 2 6 2" xfId="53365"/>
    <cellStyle name="20% - Accent1 2 4 3 3 3 3 2 7" xfId="32164"/>
    <cellStyle name="20% - Accent1 2 4 3 3 3 3 3" xfId="2677"/>
    <cellStyle name="20% - Accent1 2 4 3 3 3 3 3 2" xfId="12964"/>
    <cellStyle name="20% - Accent1 2 4 3 3 3 3 3 2 2" xfId="24765"/>
    <cellStyle name="20% - Accent1 2 4 3 3 3 3 3 2 2 2" xfId="53366"/>
    <cellStyle name="20% - Accent1 2 4 3 3 3 3 3 2 3" xfId="38380"/>
    <cellStyle name="20% - Accent1 2 4 3 3 3 3 3 3" xfId="8130"/>
    <cellStyle name="20% - Accent1 2 4 3 3 3 3 3 3 2" xfId="44822"/>
    <cellStyle name="20% - Accent1 2 4 3 3 3 3 3 4" xfId="19931"/>
    <cellStyle name="20% - Accent1 2 4 3 3 3 3 3 4 2" xfId="53367"/>
    <cellStyle name="20% - Accent1 2 4 3 3 3 3 3 5" xfId="33546"/>
    <cellStyle name="20% - Accent1 2 4 3 3 3 3 4" xfId="12965"/>
    <cellStyle name="20% - Accent1 2 4 3 3 3 3 4 2" xfId="24766"/>
    <cellStyle name="20% - Accent1 2 4 3 3 3 3 4 2 2" xfId="44823"/>
    <cellStyle name="20% - Accent1 2 4 3 3 3 3 4 3" xfId="29715"/>
    <cellStyle name="20% - Accent1 2 4 3 3 3 3 4 3 2" xfId="44824"/>
    <cellStyle name="20% - Accent1 2 4 3 3 3 3 4 4" xfId="29716"/>
    <cellStyle name="20% - Accent1 2 4 3 3 3 3 4 4 2" xfId="53368"/>
    <cellStyle name="20% - Accent1 2 4 3 3 3 3 4 5" xfId="38381"/>
    <cellStyle name="20% - Accent1 2 4 3 3 3 3 5" xfId="12966"/>
    <cellStyle name="20% - Accent1 2 4 3 3 3 3 5 2" xfId="24767"/>
    <cellStyle name="20% - Accent1 2 4 3 3 3 3 5 2 2" xfId="53369"/>
    <cellStyle name="20% - Accent1 2 4 3 3 3 3 5 3" xfId="38382"/>
    <cellStyle name="20% - Accent1 2 4 3 3 3 3 6" xfId="6230"/>
    <cellStyle name="20% - Accent1 2 4 3 3 3 3 6 2" xfId="44825"/>
    <cellStyle name="20% - Accent1 2 4 3 3 3 3 7" xfId="18031"/>
    <cellStyle name="20% - Accent1 2 4 3 3 3 3 7 2" xfId="53370"/>
    <cellStyle name="20% - Accent1 2 4 3 3 3 3 8" xfId="31646"/>
    <cellStyle name="20% - Accent1 2 4 3 3 3 4" xfId="1295"/>
    <cellStyle name="20% - Accent1 2 4 3 3 3 4 2" xfId="5086"/>
    <cellStyle name="20% - Accent1 2 4 3 3 3 4 2 2" xfId="12967"/>
    <cellStyle name="20% - Accent1 2 4 3 3 3 4 2 2 2" xfId="24768"/>
    <cellStyle name="20% - Accent1 2 4 3 3 3 4 2 2 2 2" xfId="53371"/>
    <cellStyle name="20% - Accent1 2 4 3 3 3 4 2 2 3" xfId="38383"/>
    <cellStyle name="20% - Accent1 2 4 3 3 3 4 2 3" xfId="10539"/>
    <cellStyle name="20% - Accent1 2 4 3 3 3 4 2 3 2" xfId="44826"/>
    <cellStyle name="20% - Accent1 2 4 3 3 3 4 2 4" xfId="22340"/>
    <cellStyle name="20% - Accent1 2 4 3 3 3 4 2 4 2" xfId="53372"/>
    <cellStyle name="20% - Accent1 2 4 3 3 3 4 2 5" xfId="35955"/>
    <cellStyle name="20% - Accent1 2 4 3 3 3 4 3" xfId="3245"/>
    <cellStyle name="20% - Accent1 2 4 3 3 3 4 3 2" xfId="12968"/>
    <cellStyle name="20% - Accent1 2 4 3 3 3 4 3 2 2" xfId="24769"/>
    <cellStyle name="20% - Accent1 2 4 3 3 3 4 3 2 2 2" xfId="53373"/>
    <cellStyle name="20% - Accent1 2 4 3 3 3 4 3 2 3" xfId="38384"/>
    <cellStyle name="20% - Accent1 2 4 3 3 3 4 3 3" xfId="8698"/>
    <cellStyle name="20% - Accent1 2 4 3 3 3 4 3 3 2" xfId="44827"/>
    <cellStyle name="20% - Accent1 2 4 3 3 3 4 3 4" xfId="20499"/>
    <cellStyle name="20% - Accent1 2 4 3 3 3 4 3 4 2" xfId="53374"/>
    <cellStyle name="20% - Accent1 2 4 3 3 3 4 3 5" xfId="34114"/>
    <cellStyle name="20% - Accent1 2 4 3 3 3 4 4" xfId="12969"/>
    <cellStyle name="20% - Accent1 2 4 3 3 3 4 4 2" xfId="24770"/>
    <cellStyle name="20% - Accent1 2 4 3 3 3 4 4 2 2" xfId="53375"/>
    <cellStyle name="20% - Accent1 2 4 3 3 3 4 4 3" xfId="38385"/>
    <cellStyle name="20% - Accent1 2 4 3 3 3 4 5" xfId="6749"/>
    <cellStyle name="20% - Accent1 2 4 3 3 3 4 5 2" xfId="44828"/>
    <cellStyle name="20% - Accent1 2 4 3 3 3 4 6" xfId="18550"/>
    <cellStyle name="20% - Accent1 2 4 3 3 3 4 6 2" xfId="53376"/>
    <cellStyle name="20% - Accent1 2 4 3 3 3 4 7" xfId="32165"/>
    <cellStyle name="20% - Accent1 2 4 3 3 3 5" xfId="3950"/>
    <cellStyle name="20% - Accent1 2 4 3 3 3 5 2" xfId="12970"/>
    <cellStyle name="20% - Accent1 2 4 3 3 3 5 2 2" xfId="24771"/>
    <cellStyle name="20% - Accent1 2 4 3 3 3 5 2 2 2" xfId="53377"/>
    <cellStyle name="20% - Accent1 2 4 3 3 3 5 2 3" xfId="38386"/>
    <cellStyle name="20% - Accent1 2 4 3 3 3 5 3" xfId="9403"/>
    <cellStyle name="20% - Accent1 2 4 3 3 3 5 3 2" xfId="44829"/>
    <cellStyle name="20% - Accent1 2 4 3 3 3 5 4" xfId="21204"/>
    <cellStyle name="20% - Accent1 2 4 3 3 3 5 4 2" xfId="53378"/>
    <cellStyle name="20% - Accent1 2 4 3 3 3 5 5" xfId="34819"/>
    <cellStyle name="20% - Accent1 2 4 3 3 3 6" xfId="2109"/>
    <cellStyle name="20% - Accent1 2 4 3 3 3 6 2" xfId="12971"/>
    <cellStyle name="20% - Accent1 2 4 3 3 3 6 2 2" xfId="24772"/>
    <cellStyle name="20% - Accent1 2 4 3 3 3 6 2 2 2" xfId="53379"/>
    <cellStyle name="20% - Accent1 2 4 3 3 3 6 2 3" xfId="38387"/>
    <cellStyle name="20% - Accent1 2 4 3 3 3 6 3" xfId="7562"/>
    <cellStyle name="20% - Accent1 2 4 3 3 3 6 3 2" xfId="44830"/>
    <cellStyle name="20% - Accent1 2 4 3 3 3 6 4" xfId="19363"/>
    <cellStyle name="20% - Accent1 2 4 3 3 3 6 4 2" xfId="53380"/>
    <cellStyle name="20% - Accent1 2 4 3 3 3 6 5" xfId="32978"/>
    <cellStyle name="20% - Accent1 2 4 3 3 3 7" xfId="12972"/>
    <cellStyle name="20% - Accent1 2 4 3 3 3 7 2" xfId="24773"/>
    <cellStyle name="20% - Accent1 2 4 3 3 3 7 2 2" xfId="53381"/>
    <cellStyle name="20% - Accent1 2 4 3 3 3 7 3" xfId="38388"/>
    <cellStyle name="20% - Accent1 2 4 3 3 3 8" xfId="5662"/>
    <cellStyle name="20% - Accent1 2 4 3 3 3 8 2" xfId="44831"/>
    <cellStyle name="20% - Accent1 2 4 3 3 3 9" xfId="17463"/>
    <cellStyle name="20% - Accent1 2 4 3 3 3 9 2" xfId="53382"/>
    <cellStyle name="20% - Accent1 2 4 3 3 4" xfId="358"/>
    <cellStyle name="20% - Accent1 2 4 3 3 4 2" xfId="1296"/>
    <cellStyle name="20% - Accent1 2 4 3 3 4 2 2" xfId="4668"/>
    <cellStyle name="20% - Accent1 2 4 3 3 4 2 2 2" xfId="12973"/>
    <cellStyle name="20% - Accent1 2 4 3 3 4 2 2 2 2" xfId="24774"/>
    <cellStyle name="20% - Accent1 2 4 3 3 4 2 2 2 2 2" xfId="53383"/>
    <cellStyle name="20% - Accent1 2 4 3 3 4 2 2 2 3" xfId="38389"/>
    <cellStyle name="20% - Accent1 2 4 3 3 4 2 2 3" xfId="10121"/>
    <cellStyle name="20% - Accent1 2 4 3 3 4 2 2 3 2" xfId="44832"/>
    <cellStyle name="20% - Accent1 2 4 3 3 4 2 2 4" xfId="21922"/>
    <cellStyle name="20% - Accent1 2 4 3 3 4 2 2 4 2" xfId="53384"/>
    <cellStyle name="20% - Accent1 2 4 3 3 4 2 2 5" xfId="35537"/>
    <cellStyle name="20% - Accent1 2 4 3 3 4 2 3" xfId="2827"/>
    <cellStyle name="20% - Accent1 2 4 3 3 4 2 3 2" xfId="12974"/>
    <cellStyle name="20% - Accent1 2 4 3 3 4 2 3 2 2" xfId="24775"/>
    <cellStyle name="20% - Accent1 2 4 3 3 4 2 3 2 2 2" xfId="53385"/>
    <cellStyle name="20% - Accent1 2 4 3 3 4 2 3 2 3" xfId="38390"/>
    <cellStyle name="20% - Accent1 2 4 3 3 4 2 3 3" xfId="8280"/>
    <cellStyle name="20% - Accent1 2 4 3 3 4 2 3 3 2" xfId="44833"/>
    <cellStyle name="20% - Accent1 2 4 3 3 4 2 3 4" xfId="20081"/>
    <cellStyle name="20% - Accent1 2 4 3 3 4 2 3 4 2" xfId="53386"/>
    <cellStyle name="20% - Accent1 2 4 3 3 4 2 3 5" xfId="33696"/>
    <cellStyle name="20% - Accent1 2 4 3 3 4 2 4" xfId="12975"/>
    <cellStyle name="20% - Accent1 2 4 3 3 4 2 4 2" xfId="24776"/>
    <cellStyle name="20% - Accent1 2 4 3 3 4 2 4 2 2" xfId="53387"/>
    <cellStyle name="20% - Accent1 2 4 3 3 4 2 4 3" xfId="38391"/>
    <cellStyle name="20% - Accent1 2 4 3 3 4 2 5" xfId="6750"/>
    <cellStyle name="20% - Accent1 2 4 3 3 4 2 5 2" xfId="44834"/>
    <cellStyle name="20% - Accent1 2 4 3 3 4 2 6" xfId="18551"/>
    <cellStyle name="20% - Accent1 2 4 3 3 4 2 6 2" xfId="53388"/>
    <cellStyle name="20% - Accent1 2 4 3 3 4 2 7" xfId="32166"/>
    <cellStyle name="20% - Accent1 2 4 3 3 4 3" xfId="3395"/>
    <cellStyle name="20% - Accent1 2 4 3 3 4 3 2" xfId="5236"/>
    <cellStyle name="20% - Accent1 2 4 3 3 4 3 2 2" xfId="16706"/>
    <cellStyle name="20% - Accent1 2 4 3 3 4 3 2 2 2" xfId="28507"/>
    <cellStyle name="20% - Accent1 2 4 3 3 4 3 2 2 2 2" xfId="53389"/>
    <cellStyle name="20% - Accent1 2 4 3 3 4 3 2 2 3" xfId="42122"/>
    <cellStyle name="20% - Accent1 2 4 3 3 4 3 2 3" xfId="10689"/>
    <cellStyle name="20% - Accent1 2 4 3 3 4 3 2 3 2" xfId="53390"/>
    <cellStyle name="20% - Accent1 2 4 3 3 4 3 2 4" xfId="22490"/>
    <cellStyle name="20% - Accent1 2 4 3 3 4 3 2 4 2" xfId="53391"/>
    <cellStyle name="20% - Accent1 2 4 3 3 4 3 2 5" xfId="36105"/>
    <cellStyle name="20% - Accent1 2 4 3 3 4 3 3" xfId="12976"/>
    <cellStyle name="20% - Accent1 2 4 3 3 4 3 3 2" xfId="24777"/>
    <cellStyle name="20% - Accent1 2 4 3 3 4 3 3 2 2" xfId="53392"/>
    <cellStyle name="20% - Accent1 2 4 3 3 4 3 3 3" xfId="38392"/>
    <cellStyle name="20% - Accent1 2 4 3 3 4 3 4" xfId="8848"/>
    <cellStyle name="20% - Accent1 2 4 3 3 4 3 4 2" xfId="53393"/>
    <cellStyle name="20% - Accent1 2 4 3 3 4 3 5" xfId="20649"/>
    <cellStyle name="20% - Accent1 2 4 3 3 4 3 5 2" xfId="53394"/>
    <cellStyle name="20% - Accent1 2 4 3 3 4 3 6" xfId="34264"/>
    <cellStyle name="20% - Accent1 2 4 3 3 4 4" xfId="4100"/>
    <cellStyle name="20% - Accent1 2 4 3 3 4 4 2" xfId="12977"/>
    <cellStyle name="20% - Accent1 2 4 3 3 4 4 2 2" xfId="24778"/>
    <cellStyle name="20% - Accent1 2 4 3 3 4 4 2 2 2" xfId="53395"/>
    <cellStyle name="20% - Accent1 2 4 3 3 4 4 2 3" xfId="38393"/>
    <cellStyle name="20% - Accent1 2 4 3 3 4 4 3" xfId="9553"/>
    <cellStyle name="20% - Accent1 2 4 3 3 4 4 3 2" xfId="44835"/>
    <cellStyle name="20% - Accent1 2 4 3 3 4 4 4" xfId="21354"/>
    <cellStyle name="20% - Accent1 2 4 3 3 4 4 4 2" xfId="53396"/>
    <cellStyle name="20% - Accent1 2 4 3 3 4 4 5" xfId="34969"/>
    <cellStyle name="20% - Accent1 2 4 3 3 4 5" xfId="2259"/>
    <cellStyle name="20% - Accent1 2 4 3 3 4 5 2" xfId="17043"/>
    <cellStyle name="20% - Accent1 2 4 3 3 4 5 2 2" xfId="28844"/>
    <cellStyle name="20% - Accent1 2 4 3 3 4 5 2 2 2" xfId="53397"/>
    <cellStyle name="20% - Accent1 2 4 3 3 4 5 2 3" xfId="42459"/>
    <cellStyle name="20% - Accent1 2 4 3 3 4 5 3" xfId="7712"/>
    <cellStyle name="20% - Accent1 2 4 3 3 4 5 3 2" xfId="53398"/>
    <cellStyle name="20% - Accent1 2 4 3 3 4 5 4" xfId="19513"/>
    <cellStyle name="20% - Accent1 2 4 3 3 4 5 4 2" xfId="53399"/>
    <cellStyle name="20% - Accent1 2 4 3 3 4 5 5" xfId="33128"/>
    <cellStyle name="20% - Accent1 2 4 3 3 4 6" xfId="12978"/>
    <cellStyle name="20% - Accent1 2 4 3 3 4 6 2" xfId="24779"/>
    <cellStyle name="20% - Accent1 2 4 3 3 4 6 2 2" xfId="53400"/>
    <cellStyle name="20% - Accent1 2 4 3 3 4 6 3" xfId="38394"/>
    <cellStyle name="20% - Accent1 2 4 3 3 4 7" xfId="5812"/>
    <cellStyle name="20% - Accent1 2 4 3 3 4 7 2" xfId="53401"/>
    <cellStyle name="20% - Accent1 2 4 3 3 4 8" xfId="17613"/>
    <cellStyle name="20% - Accent1 2 4 3 3 4 8 2" xfId="53402"/>
    <cellStyle name="20% - Accent1 2 4 3 3 4 9" xfId="31228"/>
    <cellStyle name="20% - Accent1 2 4 3 3 5" xfId="636"/>
    <cellStyle name="20% - Accent1 2 4 3 3 5 2" xfId="1297"/>
    <cellStyle name="20% - Accent1 2 4 3 3 5 2 2" xfId="4378"/>
    <cellStyle name="20% - Accent1 2 4 3 3 5 2 2 2" xfId="12979"/>
    <cellStyle name="20% - Accent1 2 4 3 3 5 2 2 2 2" xfId="24780"/>
    <cellStyle name="20% - Accent1 2 4 3 3 5 2 2 2 2 2" xfId="53403"/>
    <cellStyle name="20% - Accent1 2 4 3 3 5 2 2 2 3" xfId="38395"/>
    <cellStyle name="20% - Accent1 2 4 3 3 5 2 2 3" xfId="9831"/>
    <cellStyle name="20% - Accent1 2 4 3 3 5 2 2 3 2" xfId="44836"/>
    <cellStyle name="20% - Accent1 2 4 3 3 5 2 2 4" xfId="21632"/>
    <cellStyle name="20% - Accent1 2 4 3 3 5 2 2 4 2" xfId="53404"/>
    <cellStyle name="20% - Accent1 2 4 3 3 5 2 2 5" xfId="35247"/>
    <cellStyle name="20% - Accent1 2 4 3 3 5 2 3" xfId="12980"/>
    <cellStyle name="20% - Accent1 2 4 3 3 5 2 3 2" xfId="24781"/>
    <cellStyle name="20% - Accent1 2 4 3 3 5 2 3 2 2" xfId="44837"/>
    <cellStyle name="20% - Accent1 2 4 3 3 5 2 3 3" xfId="29717"/>
    <cellStyle name="20% - Accent1 2 4 3 3 5 2 3 3 2" xfId="44838"/>
    <cellStyle name="20% - Accent1 2 4 3 3 5 2 3 4" xfId="29718"/>
    <cellStyle name="20% - Accent1 2 4 3 3 5 2 3 4 2" xfId="53405"/>
    <cellStyle name="20% - Accent1 2 4 3 3 5 2 3 5" xfId="38396"/>
    <cellStyle name="20% - Accent1 2 4 3 3 5 2 4" xfId="12981"/>
    <cellStyle name="20% - Accent1 2 4 3 3 5 2 4 2" xfId="24782"/>
    <cellStyle name="20% - Accent1 2 4 3 3 5 2 4 2 2" xfId="53406"/>
    <cellStyle name="20% - Accent1 2 4 3 3 5 2 4 3" xfId="38397"/>
    <cellStyle name="20% - Accent1 2 4 3 3 5 2 5" xfId="6751"/>
    <cellStyle name="20% - Accent1 2 4 3 3 5 2 5 2" xfId="44839"/>
    <cellStyle name="20% - Accent1 2 4 3 3 5 2 6" xfId="18552"/>
    <cellStyle name="20% - Accent1 2 4 3 3 5 2 6 2" xfId="53407"/>
    <cellStyle name="20% - Accent1 2 4 3 3 5 2 7" xfId="32167"/>
    <cellStyle name="20% - Accent1 2 4 3 3 5 3" xfId="2537"/>
    <cellStyle name="20% - Accent1 2 4 3 3 5 3 2" xfId="12982"/>
    <cellStyle name="20% - Accent1 2 4 3 3 5 3 2 2" xfId="24783"/>
    <cellStyle name="20% - Accent1 2 4 3 3 5 3 2 2 2" xfId="53408"/>
    <cellStyle name="20% - Accent1 2 4 3 3 5 3 2 3" xfId="38398"/>
    <cellStyle name="20% - Accent1 2 4 3 3 5 3 3" xfId="7990"/>
    <cellStyle name="20% - Accent1 2 4 3 3 5 3 3 2" xfId="44840"/>
    <cellStyle name="20% - Accent1 2 4 3 3 5 3 4" xfId="19791"/>
    <cellStyle name="20% - Accent1 2 4 3 3 5 3 4 2" xfId="53409"/>
    <cellStyle name="20% - Accent1 2 4 3 3 5 3 5" xfId="33406"/>
    <cellStyle name="20% - Accent1 2 4 3 3 5 4" xfId="12983"/>
    <cellStyle name="20% - Accent1 2 4 3 3 5 4 2" xfId="24784"/>
    <cellStyle name="20% - Accent1 2 4 3 3 5 4 2 2" xfId="44841"/>
    <cellStyle name="20% - Accent1 2 4 3 3 5 4 3" xfId="29719"/>
    <cellStyle name="20% - Accent1 2 4 3 3 5 4 3 2" xfId="44842"/>
    <cellStyle name="20% - Accent1 2 4 3 3 5 4 4" xfId="29720"/>
    <cellStyle name="20% - Accent1 2 4 3 3 5 4 4 2" xfId="53410"/>
    <cellStyle name="20% - Accent1 2 4 3 3 5 4 5" xfId="38399"/>
    <cellStyle name="20% - Accent1 2 4 3 3 5 5" xfId="12984"/>
    <cellStyle name="20% - Accent1 2 4 3 3 5 5 2" xfId="24785"/>
    <cellStyle name="20% - Accent1 2 4 3 3 5 5 2 2" xfId="53411"/>
    <cellStyle name="20% - Accent1 2 4 3 3 5 5 3" xfId="38400"/>
    <cellStyle name="20% - Accent1 2 4 3 3 5 6" xfId="6090"/>
    <cellStyle name="20% - Accent1 2 4 3 3 5 6 2" xfId="44843"/>
    <cellStyle name="20% - Accent1 2 4 3 3 5 7" xfId="17891"/>
    <cellStyle name="20% - Accent1 2 4 3 3 5 7 2" xfId="53412"/>
    <cellStyle name="20% - Accent1 2 4 3 3 5 8" xfId="31506"/>
    <cellStyle name="20% - Accent1 2 4 3 3 6" xfId="877"/>
    <cellStyle name="20% - Accent1 2 4 3 3 6 2" xfId="1298"/>
    <cellStyle name="20% - Accent1 2 4 3 3 6 2 2" xfId="4946"/>
    <cellStyle name="20% - Accent1 2 4 3 3 6 2 2 2" xfId="12985"/>
    <cellStyle name="20% - Accent1 2 4 3 3 6 2 2 2 2" xfId="24786"/>
    <cellStyle name="20% - Accent1 2 4 3 3 6 2 2 2 2 2" xfId="53413"/>
    <cellStyle name="20% - Accent1 2 4 3 3 6 2 2 2 3" xfId="38401"/>
    <cellStyle name="20% - Accent1 2 4 3 3 6 2 2 3" xfId="10399"/>
    <cellStyle name="20% - Accent1 2 4 3 3 6 2 2 3 2" xfId="44844"/>
    <cellStyle name="20% - Accent1 2 4 3 3 6 2 2 4" xfId="22200"/>
    <cellStyle name="20% - Accent1 2 4 3 3 6 2 2 4 2" xfId="53414"/>
    <cellStyle name="20% - Accent1 2 4 3 3 6 2 2 5" xfId="35815"/>
    <cellStyle name="20% - Accent1 2 4 3 3 6 2 3" xfId="12986"/>
    <cellStyle name="20% - Accent1 2 4 3 3 6 2 3 2" xfId="24787"/>
    <cellStyle name="20% - Accent1 2 4 3 3 6 2 3 2 2" xfId="44845"/>
    <cellStyle name="20% - Accent1 2 4 3 3 6 2 3 3" xfId="29721"/>
    <cellStyle name="20% - Accent1 2 4 3 3 6 2 3 3 2" xfId="44846"/>
    <cellStyle name="20% - Accent1 2 4 3 3 6 2 3 4" xfId="29722"/>
    <cellStyle name="20% - Accent1 2 4 3 3 6 2 3 4 2" xfId="53415"/>
    <cellStyle name="20% - Accent1 2 4 3 3 6 2 3 5" xfId="38402"/>
    <cellStyle name="20% - Accent1 2 4 3 3 6 2 4" xfId="12987"/>
    <cellStyle name="20% - Accent1 2 4 3 3 6 2 4 2" xfId="24788"/>
    <cellStyle name="20% - Accent1 2 4 3 3 6 2 4 2 2" xfId="53416"/>
    <cellStyle name="20% - Accent1 2 4 3 3 6 2 4 3" xfId="38403"/>
    <cellStyle name="20% - Accent1 2 4 3 3 6 2 5" xfId="6752"/>
    <cellStyle name="20% - Accent1 2 4 3 3 6 2 5 2" xfId="44847"/>
    <cellStyle name="20% - Accent1 2 4 3 3 6 2 6" xfId="18553"/>
    <cellStyle name="20% - Accent1 2 4 3 3 6 2 6 2" xfId="53417"/>
    <cellStyle name="20% - Accent1 2 4 3 3 6 2 7" xfId="32168"/>
    <cellStyle name="20% - Accent1 2 4 3 3 6 3" xfId="3105"/>
    <cellStyle name="20% - Accent1 2 4 3 3 6 3 2" xfId="12988"/>
    <cellStyle name="20% - Accent1 2 4 3 3 6 3 2 2" xfId="24789"/>
    <cellStyle name="20% - Accent1 2 4 3 3 6 3 2 2 2" xfId="53418"/>
    <cellStyle name="20% - Accent1 2 4 3 3 6 3 2 3" xfId="38404"/>
    <cellStyle name="20% - Accent1 2 4 3 3 6 3 3" xfId="8558"/>
    <cellStyle name="20% - Accent1 2 4 3 3 6 3 3 2" xfId="44848"/>
    <cellStyle name="20% - Accent1 2 4 3 3 6 3 4" xfId="20359"/>
    <cellStyle name="20% - Accent1 2 4 3 3 6 3 4 2" xfId="53419"/>
    <cellStyle name="20% - Accent1 2 4 3 3 6 3 5" xfId="33974"/>
    <cellStyle name="20% - Accent1 2 4 3 3 6 4" xfId="12989"/>
    <cellStyle name="20% - Accent1 2 4 3 3 6 4 2" xfId="24790"/>
    <cellStyle name="20% - Accent1 2 4 3 3 6 4 2 2" xfId="44849"/>
    <cellStyle name="20% - Accent1 2 4 3 3 6 4 3" xfId="29723"/>
    <cellStyle name="20% - Accent1 2 4 3 3 6 4 3 2" xfId="44850"/>
    <cellStyle name="20% - Accent1 2 4 3 3 6 4 4" xfId="29724"/>
    <cellStyle name="20% - Accent1 2 4 3 3 6 4 4 2" xfId="53420"/>
    <cellStyle name="20% - Accent1 2 4 3 3 6 4 5" xfId="38405"/>
    <cellStyle name="20% - Accent1 2 4 3 3 6 5" xfId="12990"/>
    <cellStyle name="20% - Accent1 2 4 3 3 6 5 2" xfId="24791"/>
    <cellStyle name="20% - Accent1 2 4 3 3 6 5 2 2" xfId="53421"/>
    <cellStyle name="20% - Accent1 2 4 3 3 6 5 3" xfId="38406"/>
    <cellStyle name="20% - Accent1 2 4 3 3 6 6" xfId="6331"/>
    <cellStyle name="20% - Accent1 2 4 3 3 6 6 2" xfId="44851"/>
    <cellStyle name="20% - Accent1 2 4 3 3 6 7" xfId="18132"/>
    <cellStyle name="20% - Accent1 2 4 3 3 6 7 2" xfId="53422"/>
    <cellStyle name="20% - Accent1 2 4 3 3 6 8" xfId="31747"/>
    <cellStyle name="20% - Accent1 2 4 3 3 7" xfId="1299"/>
    <cellStyle name="20% - Accent1 2 4 3 3 7 2" xfId="3810"/>
    <cellStyle name="20% - Accent1 2 4 3 3 7 2 2" xfId="12991"/>
    <cellStyle name="20% - Accent1 2 4 3 3 7 2 2 2" xfId="24792"/>
    <cellStyle name="20% - Accent1 2 4 3 3 7 2 2 2 2" xfId="53423"/>
    <cellStyle name="20% - Accent1 2 4 3 3 7 2 2 3" xfId="38407"/>
    <cellStyle name="20% - Accent1 2 4 3 3 7 2 3" xfId="9263"/>
    <cellStyle name="20% - Accent1 2 4 3 3 7 2 3 2" xfId="44852"/>
    <cellStyle name="20% - Accent1 2 4 3 3 7 2 4" xfId="21064"/>
    <cellStyle name="20% - Accent1 2 4 3 3 7 2 4 2" xfId="53424"/>
    <cellStyle name="20% - Accent1 2 4 3 3 7 2 5" xfId="34679"/>
    <cellStyle name="20% - Accent1 2 4 3 3 7 3" xfId="12992"/>
    <cellStyle name="20% - Accent1 2 4 3 3 7 3 2" xfId="24793"/>
    <cellStyle name="20% - Accent1 2 4 3 3 7 3 2 2" xfId="44853"/>
    <cellStyle name="20% - Accent1 2 4 3 3 7 3 3" xfId="29725"/>
    <cellStyle name="20% - Accent1 2 4 3 3 7 3 3 2" xfId="44854"/>
    <cellStyle name="20% - Accent1 2 4 3 3 7 3 4" xfId="29726"/>
    <cellStyle name="20% - Accent1 2 4 3 3 7 3 4 2" xfId="53425"/>
    <cellStyle name="20% - Accent1 2 4 3 3 7 3 5" xfId="38408"/>
    <cellStyle name="20% - Accent1 2 4 3 3 7 4" xfId="12993"/>
    <cellStyle name="20% - Accent1 2 4 3 3 7 4 2" xfId="24794"/>
    <cellStyle name="20% - Accent1 2 4 3 3 7 4 2 2" xfId="53426"/>
    <cellStyle name="20% - Accent1 2 4 3 3 7 4 3" xfId="38409"/>
    <cellStyle name="20% - Accent1 2 4 3 3 7 5" xfId="6753"/>
    <cellStyle name="20% - Accent1 2 4 3 3 7 5 2" xfId="44855"/>
    <cellStyle name="20% - Accent1 2 4 3 3 7 6" xfId="18554"/>
    <cellStyle name="20% - Accent1 2 4 3 3 7 6 2" xfId="53427"/>
    <cellStyle name="20% - Accent1 2 4 3 3 7 7" xfId="32169"/>
    <cellStyle name="20% - Accent1 2 4 3 3 8" xfId="3673"/>
    <cellStyle name="20% - Accent1 2 4 3 3 8 2" xfId="12994"/>
    <cellStyle name="20% - Accent1 2 4 3 3 8 2 2" xfId="24795"/>
    <cellStyle name="20% - Accent1 2 4 3 3 8 2 2 2" xfId="53428"/>
    <cellStyle name="20% - Accent1 2 4 3 3 8 2 3" xfId="38410"/>
    <cellStyle name="20% - Accent1 2 4 3 3 8 3" xfId="9126"/>
    <cellStyle name="20% - Accent1 2 4 3 3 8 3 2" xfId="44856"/>
    <cellStyle name="20% - Accent1 2 4 3 3 8 4" xfId="20927"/>
    <cellStyle name="20% - Accent1 2 4 3 3 8 4 2" xfId="53429"/>
    <cellStyle name="20% - Accent1 2 4 3 3 8 5" xfId="34542"/>
    <cellStyle name="20% - Accent1 2 4 3 3 9" xfId="1969"/>
    <cellStyle name="20% - Accent1 2 4 3 3 9 2" xfId="12995"/>
    <cellStyle name="20% - Accent1 2 4 3 3 9 2 2" xfId="24796"/>
    <cellStyle name="20% - Accent1 2 4 3 3 9 2 2 2" xfId="53430"/>
    <cellStyle name="20% - Accent1 2 4 3 3 9 2 3" xfId="38411"/>
    <cellStyle name="20% - Accent1 2 4 3 3 9 3" xfId="7422"/>
    <cellStyle name="20% - Accent1 2 4 3 3 9 3 2" xfId="44857"/>
    <cellStyle name="20% - Accent1 2 4 3 3 9 4" xfId="19223"/>
    <cellStyle name="20% - Accent1 2 4 3 3 9 4 2" xfId="53431"/>
    <cellStyle name="20% - Accent1 2 4 3 3 9 5" xfId="32838"/>
    <cellStyle name="20% - Accent1 2 4 3 4" xfId="83"/>
    <cellStyle name="20% - Accent1 2 4 3 4 10" xfId="5537"/>
    <cellStyle name="20% - Accent1 2 4 3 4 10 2" xfId="44858"/>
    <cellStyle name="20% - Accent1 2 4 3 4 11" xfId="17338"/>
    <cellStyle name="20% - Accent1 2 4 3 4 11 2" xfId="53432"/>
    <cellStyle name="20% - Accent1 2 4 3 4 12" xfId="30953"/>
    <cellStyle name="20% - Accent1 2 4 3 4 2" xfId="510"/>
    <cellStyle name="20% - Accent1 2 4 3 4 2 2" xfId="1300"/>
    <cellStyle name="20% - Accent1 2 4 3 4 2 2 2" xfId="4820"/>
    <cellStyle name="20% - Accent1 2 4 3 4 2 2 2 2" xfId="12996"/>
    <cellStyle name="20% - Accent1 2 4 3 4 2 2 2 2 2" xfId="24797"/>
    <cellStyle name="20% - Accent1 2 4 3 4 2 2 2 2 2 2" xfId="53433"/>
    <cellStyle name="20% - Accent1 2 4 3 4 2 2 2 2 3" xfId="38412"/>
    <cellStyle name="20% - Accent1 2 4 3 4 2 2 2 3" xfId="10273"/>
    <cellStyle name="20% - Accent1 2 4 3 4 2 2 2 3 2" xfId="44859"/>
    <cellStyle name="20% - Accent1 2 4 3 4 2 2 2 4" xfId="22074"/>
    <cellStyle name="20% - Accent1 2 4 3 4 2 2 2 4 2" xfId="53434"/>
    <cellStyle name="20% - Accent1 2 4 3 4 2 2 2 5" xfId="35689"/>
    <cellStyle name="20% - Accent1 2 4 3 4 2 2 3" xfId="2979"/>
    <cellStyle name="20% - Accent1 2 4 3 4 2 2 3 2" xfId="12997"/>
    <cellStyle name="20% - Accent1 2 4 3 4 2 2 3 2 2" xfId="24798"/>
    <cellStyle name="20% - Accent1 2 4 3 4 2 2 3 2 2 2" xfId="53435"/>
    <cellStyle name="20% - Accent1 2 4 3 4 2 2 3 2 3" xfId="38413"/>
    <cellStyle name="20% - Accent1 2 4 3 4 2 2 3 3" xfId="8432"/>
    <cellStyle name="20% - Accent1 2 4 3 4 2 2 3 3 2" xfId="44860"/>
    <cellStyle name="20% - Accent1 2 4 3 4 2 2 3 4" xfId="20233"/>
    <cellStyle name="20% - Accent1 2 4 3 4 2 2 3 4 2" xfId="53436"/>
    <cellStyle name="20% - Accent1 2 4 3 4 2 2 3 5" xfId="33848"/>
    <cellStyle name="20% - Accent1 2 4 3 4 2 2 4" xfId="12998"/>
    <cellStyle name="20% - Accent1 2 4 3 4 2 2 4 2" xfId="24799"/>
    <cellStyle name="20% - Accent1 2 4 3 4 2 2 4 2 2" xfId="53437"/>
    <cellStyle name="20% - Accent1 2 4 3 4 2 2 4 3" xfId="38414"/>
    <cellStyle name="20% - Accent1 2 4 3 4 2 2 5" xfId="6754"/>
    <cellStyle name="20% - Accent1 2 4 3 4 2 2 5 2" xfId="44861"/>
    <cellStyle name="20% - Accent1 2 4 3 4 2 2 6" xfId="18555"/>
    <cellStyle name="20% - Accent1 2 4 3 4 2 2 6 2" xfId="53438"/>
    <cellStyle name="20% - Accent1 2 4 3 4 2 2 7" xfId="32170"/>
    <cellStyle name="20% - Accent1 2 4 3 4 2 3" xfId="3547"/>
    <cellStyle name="20% - Accent1 2 4 3 4 2 3 2" xfId="5388"/>
    <cellStyle name="20% - Accent1 2 4 3 4 2 3 2 2" xfId="16858"/>
    <cellStyle name="20% - Accent1 2 4 3 4 2 3 2 2 2" xfId="28659"/>
    <cellStyle name="20% - Accent1 2 4 3 4 2 3 2 2 2 2" xfId="53439"/>
    <cellStyle name="20% - Accent1 2 4 3 4 2 3 2 2 3" xfId="42274"/>
    <cellStyle name="20% - Accent1 2 4 3 4 2 3 2 3" xfId="10841"/>
    <cellStyle name="20% - Accent1 2 4 3 4 2 3 2 3 2" xfId="53440"/>
    <cellStyle name="20% - Accent1 2 4 3 4 2 3 2 4" xfId="22642"/>
    <cellStyle name="20% - Accent1 2 4 3 4 2 3 2 4 2" xfId="53441"/>
    <cellStyle name="20% - Accent1 2 4 3 4 2 3 2 5" xfId="36257"/>
    <cellStyle name="20% - Accent1 2 4 3 4 2 3 3" xfId="12999"/>
    <cellStyle name="20% - Accent1 2 4 3 4 2 3 3 2" xfId="24800"/>
    <cellStyle name="20% - Accent1 2 4 3 4 2 3 3 2 2" xfId="53442"/>
    <cellStyle name="20% - Accent1 2 4 3 4 2 3 3 3" xfId="38415"/>
    <cellStyle name="20% - Accent1 2 4 3 4 2 3 4" xfId="9000"/>
    <cellStyle name="20% - Accent1 2 4 3 4 2 3 4 2" xfId="53443"/>
    <cellStyle name="20% - Accent1 2 4 3 4 2 3 5" xfId="20801"/>
    <cellStyle name="20% - Accent1 2 4 3 4 2 3 5 2" xfId="53444"/>
    <cellStyle name="20% - Accent1 2 4 3 4 2 3 6" xfId="34416"/>
    <cellStyle name="20% - Accent1 2 4 3 4 2 4" xfId="4252"/>
    <cellStyle name="20% - Accent1 2 4 3 4 2 4 2" xfId="13000"/>
    <cellStyle name="20% - Accent1 2 4 3 4 2 4 2 2" xfId="24801"/>
    <cellStyle name="20% - Accent1 2 4 3 4 2 4 2 2 2" xfId="53445"/>
    <cellStyle name="20% - Accent1 2 4 3 4 2 4 2 3" xfId="38416"/>
    <cellStyle name="20% - Accent1 2 4 3 4 2 4 3" xfId="9705"/>
    <cellStyle name="20% - Accent1 2 4 3 4 2 4 3 2" xfId="44862"/>
    <cellStyle name="20% - Accent1 2 4 3 4 2 4 4" xfId="21506"/>
    <cellStyle name="20% - Accent1 2 4 3 4 2 4 4 2" xfId="53446"/>
    <cellStyle name="20% - Accent1 2 4 3 4 2 4 5" xfId="35121"/>
    <cellStyle name="20% - Accent1 2 4 3 4 2 5" xfId="2411"/>
    <cellStyle name="20% - Accent1 2 4 3 4 2 5 2" xfId="17044"/>
    <cellStyle name="20% - Accent1 2 4 3 4 2 5 2 2" xfId="28845"/>
    <cellStyle name="20% - Accent1 2 4 3 4 2 5 2 2 2" xfId="53447"/>
    <cellStyle name="20% - Accent1 2 4 3 4 2 5 2 3" xfId="42460"/>
    <cellStyle name="20% - Accent1 2 4 3 4 2 5 3" xfId="7864"/>
    <cellStyle name="20% - Accent1 2 4 3 4 2 5 3 2" xfId="53448"/>
    <cellStyle name="20% - Accent1 2 4 3 4 2 5 4" xfId="19665"/>
    <cellStyle name="20% - Accent1 2 4 3 4 2 5 4 2" xfId="53449"/>
    <cellStyle name="20% - Accent1 2 4 3 4 2 5 5" xfId="33280"/>
    <cellStyle name="20% - Accent1 2 4 3 4 2 6" xfId="13001"/>
    <cellStyle name="20% - Accent1 2 4 3 4 2 6 2" xfId="24802"/>
    <cellStyle name="20% - Accent1 2 4 3 4 2 6 2 2" xfId="53450"/>
    <cellStyle name="20% - Accent1 2 4 3 4 2 6 3" xfId="38417"/>
    <cellStyle name="20% - Accent1 2 4 3 4 2 7" xfId="5964"/>
    <cellStyle name="20% - Accent1 2 4 3 4 2 7 2" xfId="53451"/>
    <cellStyle name="20% - Accent1 2 4 3 4 2 8" xfId="17765"/>
    <cellStyle name="20% - Accent1 2 4 3 4 2 8 2" xfId="53452"/>
    <cellStyle name="20% - Accent1 2 4 3 4 2 9" xfId="31380"/>
    <cellStyle name="20% - Accent1 2 4 3 4 3" xfId="373"/>
    <cellStyle name="20% - Accent1 2 4 3 4 3 2" xfId="1301"/>
    <cellStyle name="20% - Accent1 2 4 3 4 3 2 2" xfId="4683"/>
    <cellStyle name="20% - Accent1 2 4 3 4 3 2 2 2" xfId="13002"/>
    <cellStyle name="20% - Accent1 2 4 3 4 3 2 2 2 2" xfId="24803"/>
    <cellStyle name="20% - Accent1 2 4 3 4 3 2 2 2 2 2" xfId="53453"/>
    <cellStyle name="20% - Accent1 2 4 3 4 3 2 2 2 3" xfId="38418"/>
    <cellStyle name="20% - Accent1 2 4 3 4 3 2 2 3" xfId="10136"/>
    <cellStyle name="20% - Accent1 2 4 3 4 3 2 2 3 2" xfId="44863"/>
    <cellStyle name="20% - Accent1 2 4 3 4 3 2 2 4" xfId="21937"/>
    <cellStyle name="20% - Accent1 2 4 3 4 3 2 2 4 2" xfId="53454"/>
    <cellStyle name="20% - Accent1 2 4 3 4 3 2 2 5" xfId="35552"/>
    <cellStyle name="20% - Accent1 2 4 3 4 3 2 3" xfId="2842"/>
    <cellStyle name="20% - Accent1 2 4 3 4 3 2 3 2" xfId="13003"/>
    <cellStyle name="20% - Accent1 2 4 3 4 3 2 3 2 2" xfId="24804"/>
    <cellStyle name="20% - Accent1 2 4 3 4 3 2 3 2 2 2" xfId="53455"/>
    <cellStyle name="20% - Accent1 2 4 3 4 3 2 3 2 3" xfId="38419"/>
    <cellStyle name="20% - Accent1 2 4 3 4 3 2 3 3" xfId="8295"/>
    <cellStyle name="20% - Accent1 2 4 3 4 3 2 3 3 2" xfId="44864"/>
    <cellStyle name="20% - Accent1 2 4 3 4 3 2 3 4" xfId="20096"/>
    <cellStyle name="20% - Accent1 2 4 3 4 3 2 3 4 2" xfId="53456"/>
    <cellStyle name="20% - Accent1 2 4 3 4 3 2 3 5" xfId="33711"/>
    <cellStyle name="20% - Accent1 2 4 3 4 3 2 4" xfId="13004"/>
    <cellStyle name="20% - Accent1 2 4 3 4 3 2 4 2" xfId="24805"/>
    <cellStyle name="20% - Accent1 2 4 3 4 3 2 4 2 2" xfId="53457"/>
    <cellStyle name="20% - Accent1 2 4 3 4 3 2 4 3" xfId="38420"/>
    <cellStyle name="20% - Accent1 2 4 3 4 3 2 5" xfId="6755"/>
    <cellStyle name="20% - Accent1 2 4 3 4 3 2 5 2" xfId="44865"/>
    <cellStyle name="20% - Accent1 2 4 3 4 3 2 6" xfId="18556"/>
    <cellStyle name="20% - Accent1 2 4 3 4 3 2 6 2" xfId="53458"/>
    <cellStyle name="20% - Accent1 2 4 3 4 3 2 7" xfId="32171"/>
    <cellStyle name="20% - Accent1 2 4 3 4 3 3" xfId="3410"/>
    <cellStyle name="20% - Accent1 2 4 3 4 3 3 2" xfId="5251"/>
    <cellStyle name="20% - Accent1 2 4 3 4 3 3 2 2" xfId="16721"/>
    <cellStyle name="20% - Accent1 2 4 3 4 3 3 2 2 2" xfId="28522"/>
    <cellStyle name="20% - Accent1 2 4 3 4 3 3 2 2 2 2" xfId="53459"/>
    <cellStyle name="20% - Accent1 2 4 3 4 3 3 2 2 3" xfId="42137"/>
    <cellStyle name="20% - Accent1 2 4 3 4 3 3 2 3" xfId="10704"/>
    <cellStyle name="20% - Accent1 2 4 3 4 3 3 2 3 2" xfId="53460"/>
    <cellStyle name="20% - Accent1 2 4 3 4 3 3 2 4" xfId="22505"/>
    <cellStyle name="20% - Accent1 2 4 3 4 3 3 2 4 2" xfId="53461"/>
    <cellStyle name="20% - Accent1 2 4 3 4 3 3 2 5" xfId="36120"/>
    <cellStyle name="20% - Accent1 2 4 3 4 3 3 3" xfId="13005"/>
    <cellStyle name="20% - Accent1 2 4 3 4 3 3 3 2" xfId="24806"/>
    <cellStyle name="20% - Accent1 2 4 3 4 3 3 3 2 2" xfId="53462"/>
    <cellStyle name="20% - Accent1 2 4 3 4 3 3 3 3" xfId="38421"/>
    <cellStyle name="20% - Accent1 2 4 3 4 3 3 4" xfId="8863"/>
    <cellStyle name="20% - Accent1 2 4 3 4 3 3 4 2" xfId="53463"/>
    <cellStyle name="20% - Accent1 2 4 3 4 3 3 5" xfId="20664"/>
    <cellStyle name="20% - Accent1 2 4 3 4 3 3 5 2" xfId="53464"/>
    <cellStyle name="20% - Accent1 2 4 3 4 3 3 6" xfId="34279"/>
    <cellStyle name="20% - Accent1 2 4 3 4 3 4" xfId="4115"/>
    <cellStyle name="20% - Accent1 2 4 3 4 3 4 2" xfId="13006"/>
    <cellStyle name="20% - Accent1 2 4 3 4 3 4 2 2" xfId="24807"/>
    <cellStyle name="20% - Accent1 2 4 3 4 3 4 2 2 2" xfId="53465"/>
    <cellStyle name="20% - Accent1 2 4 3 4 3 4 2 3" xfId="38422"/>
    <cellStyle name="20% - Accent1 2 4 3 4 3 4 3" xfId="9568"/>
    <cellStyle name="20% - Accent1 2 4 3 4 3 4 3 2" xfId="44866"/>
    <cellStyle name="20% - Accent1 2 4 3 4 3 4 4" xfId="21369"/>
    <cellStyle name="20% - Accent1 2 4 3 4 3 4 4 2" xfId="53466"/>
    <cellStyle name="20% - Accent1 2 4 3 4 3 4 5" xfId="34984"/>
    <cellStyle name="20% - Accent1 2 4 3 4 3 5" xfId="2274"/>
    <cellStyle name="20% - Accent1 2 4 3 4 3 5 2" xfId="17045"/>
    <cellStyle name="20% - Accent1 2 4 3 4 3 5 2 2" xfId="28846"/>
    <cellStyle name="20% - Accent1 2 4 3 4 3 5 2 2 2" xfId="53467"/>
    <cellStyle name="20% - Accent1 2 4 3 4 3 5 2 3" xfId="42461"/>
    <cellStyle name="20% - Accent1 2 4 3 4 3 5 3" xfId="7727"/>
    <cellStyle name="20% - Accent1 2 4 3 4 3 5 3 2" xfId="53468"/>
    <cellStyle name="20% - Accent1 2 4 3 4 3 5 4" xfId="19528"/>
    <cellStyle name="20% - Accent1 2 4 3 4 3 5 4 2" xfId="53469"/>
    <cellStyle name="20% - Accent1 2 4 3 4 3 5 5" xfId="33143"/>
    <cellStyle name="20% - Accent1 2 4 3 4 3 6" xfId="13007"/>
    <cellStyle name="20% - Accent1 2 4 3 4 3 6 2" xfId="24808"/>
    <cellStyle name="20% - Accent1 2 4 3 4 3 6 2 2" xfId="53470"/>
    <cellStyle name="20% - Accent1 2 4 3 4 3 6 3" xfId="38423"/>
    <cellStyle name="20% - Accent1 2 4 3 4 3 7" xfId="5827"/>
    <cellStyle name="20% - Accent1 2 4 3 4 3 7 2" xfId="53471"/>
    <cellStyle name="20% - Accent1 2 4 3 4 3 8" xfId="17628"/>
    <cellStyle name="20% - Accent1 2 4 3 4 3 8 2" xfId="53472"/>
    <cellStyle name="20% - Accent1 2 4 3 4 3 9" xfId="31243"/>
    <cellStyle name="20% - Accent1 2 4 3 4 4" xfId="651"/>
    <cellStyle name="20% - Accent1 2 4 3 4 4 2" xfId="1302"/>
    <cellStyle name="20% - Accent1 2 4 3 4 4 2 2" xfId="4393"/>
    <cellStyle name="20% - Accent1 2 4 3 4 4 2 2 2" xfId="13008"/>
    <cellStyle name="20% - Accent1 2 4 3 4 4 2 2 2 2" xfId="24809"/>
    <cellStyle name="20% - Accent1 2 4 3 4 4 2 2 2 2 2" xfId="53473"/>
    <cellStyle name="20% - Accent1 2 4 3 4 4 2 2 2 3" xfId="38424"/>
    <cellStyle name="20% - Accent1 2 4 3 4 4 2 2 3" xfId="9846"/>
    <cellStyle name="20% - Accent1 2 4 3 4 4 2 2 3 2" xfId="44867"/>
    <cellStyle name="20% - Accent1 2 4 3 4 4 2 2 4" xfId="21647"/>
    <cellStyle name="20% - Accent1 2 4 3 4 4 2 2 4 2" xfId="53474"/>
    <cellStyle name="20% - Accent1 2 4 3 4 4 2 2 5" xfId="35262"/>
    <cellStyle name="20% - Accent1 2 4 3 4 4 2 3" xfId="13009"/>
    <cellStyle name="20% - Accent1 2 4 3 4 4 2 3 2" xfId="24810"/>
    <cellStyle name="20% - Accent1 2 4 3 4 4 2 3 2 2" xfId="44868"/>
    <cellStyle name="20% - Accent1 2 4 3 4 4 2 3 3" xfId="29727"/>
    <cellStyle name="20% - Accent1 2 4 3 4 4 2 3 3 2" xfId="44869"/>
    <cellStyle name="20% - Accent1 2 4 3 4 4 2 3 4" xfId="29728"/>
    <cellStyle name="20% - Accent1 2 4 3 4 4 2 3 4 2" xfId="53475"/>
    <cellStyle name="20% - Accent1 2 4 3 4 4 2 3 5" xfId="38425"/>
    <cellStyle name="20% - Accent1 2 4 3 4 4 2 4" xfId="13010"/>
    <cellStyle name="20% - Accent1 2 4 3 4 4 2 4 2" xfId="24811"/>
    <cellStyle name="20% - Accent1 2 4 3 4 4 2 4 2 2" xfId="53476"/>
    <cellStyle name="20% - Accent1 2 4 3 4 4 2 4 3" xfId="38426"/>
    <cellStyle name="20% - Accent1 2 4 3 4 4 2 5" xfId="6756"/>
    <cellStyle name="20% - Accent1 2 4 3 4 4 2 5 2" xfId="44870"/>
    <cellStyle name="20% - Accent1 2 4 3 4 4 2 6" xfId="18557"/>
    <cellStyle name="20% - Accent1 2 4 3 4 4 2 6 2" xfId="53477"/>
    <cellStyle name="20% - Accent1 2 4 3 4 4 2 7" xfId="32172"/>
    <cellStyle name="20% - Accent1 2 4 3 4 4 3" xfId="2552"/>
    <cellStyle name="20% - Accent1 2 4 3 4 4 3 2" xfId="13011"/>
    <cellStyle name="20% - Accent1 2 4 3 4 4 3 2 2" xfId="24812"/>
    <cellStyle name="20% - Accent1 2 4 3 4 4 3 2 2 2" xfId="53478"/>
    <cellStyle name="20% - Accent1 2 4 3 4 4 3 2 3" xfId="38427"/>
    <cellStyle name="20% - Accent1 2 4 3 4 4 3 3" xfId="8005"/>
    <cellStyle name="20% - Accent1 2 4 3 4 4 3 3 2" xfId="44871"/>
    <cellStyle name="20% - Accent1 2 4 3 4 4 3 4" xfId="19806"/>
    <cellStyle name="20% - Accent1 2 4 3 4 4 3 4 2" xfId="53479"/>
    <cellStyle name="20% - Accent1 2 4 3 4 4 3 5" xfId="33421"/>
    <cellStyle name="20% - Accent1 2 4 3 4 4 4" xfId="13012"/>
    <cellStyle name="20% - Accent1 2 4 3 4 4 4 2" xfId="24813"/>
    <cellStyle name="20% - Accent1 2 4 3 4 4 4 2 2" xfId="44872"/>
    <cellStyle name="20% - Accent1 2 4 3 4 4 4 3" xfId="29729"/>
    <cellStyle name="20% - Accent1 2 4 3 4 4 4 3 2" xfId="44873"/>
    <cellStyle name="20% - Accent1 2 4 3 4 4 4 4" xfId="29730"/>
    <cellStyle name="20% - Accent1 2 4 3 4 4 4 4 2" xfId="53480"/>
    <cellStyle name="20% - Accent1 2 4 3 4 4 4 5" xfId="38428"/>
    <cellStyle name="20% - Accent1 2 4 3 4 4 5" xfId="13013"/>
    <cellStyle name="20% - Accent1 2 4 3 4 4 5 2" xfId="24814"/>
    <cellStyle name="20% - Accent1 2 4 3 4 4 5 2 2" xfId="53481"/>
    <cellStyle name="20% - Accent1 2 4 3 4 4 5 3" xfId="38429"/>
    <cellStyle name="20% - Accent1 2 4 3 4 4 6" xfId="6105"/>
    <cellStyle name="20% - Accent1 2 4 3 4 4 6 2" xfId="44874"/>
    <cellStyle name="20% - Accent1 2 4 3 4 4 7" xfId="17906"/>
    <cellStyle name="20% - Accent1 2 4 3 4 4 7 2" xfId="53482"/>
    <cellStyle name="20% - Accent1 2 4 3 4 4 8" xfId="31521"/>
    <cellStyle name="20% - Accent1 2 4 3 4 5" xfId="892"/>
    <cellStyle name="20% - Accent1 2 4 3 4 5 2" xfId="1303"/>
    <cellStyle name="20% - Accent1 2 4 3 4 5 2 2" xfId="4961"/>
    <cellStyle name="20% - Accent1 2 4 3 4 5 2 2 2" xfId="13014"/>
    <cellStyle name="20% - Accent1 2 4 3 4 5 2 2 2 2" xfId="24815"/>
    <cellStyle name="20% - Accent1 2 4 3 4 5 2 2 2 2 2" xfId="53483"/>
    <cellStyle name="20% - Accent1 2 4 3 4 5 2 2 2 3" xfId="38430"/>
    <cellStyle name="20% - Accent1 2 4 3 4 5 2 2 3" xfId="10414"/>
    <cellStyle name="20% - Accent1 2 4 3 4 5 2 2 3 2" xfId="44875"/>
    <cellStyle name="20% - Accent1 2 4 3 4 5 2 2 4" xfId="22215"/>
    <cellStyle name="20% - Accent1 2 4 3 4 5 2 2 4 2" xfId="53484"/>
    <cellStyle name="20% - Accent1 2 4 3 4 5 2 2 5" xfId="35830"/>
    <cellStyle name="20% - Accent1 2 4 3 4 5 2 3" xfId="13015"/>
    <cellStyle name="20% - Accent1 2 4 3 4 5 2 3 2" xfId="24816"/>
    <cellStyle name="20% - Accent1 2 4 3 4 5 2 3 2 2" xfId="44876"/>
    <cellStyle name="20% - Accent1 2 4 3 4 5 2 3 3" xfId="29731"/>
    <cellStyle name="20% - Accent1 2 4 3 4 5 2 3 3 2" xfId="44877"/>
    <cellStyle name="20% - Accent1 2 4 3 4 5 2 3 4" xfId="29732"/>
    <cellStyle name="20% - Accent1 2 4 3 4 5 2 3 4 2" xfId="53485"/>
    <cellStyle name="20% - Accent1 2 4 3 4 5 2 3 5" xfId="38431"/>
    <cellStyle name="20% - Accent1 2 4 3 4 5 2 4" xfId="13016"/>
    <cellStyle name="20% - Accent1 2 4 3 4 5 2 4 2" xfId="24817"/>
    <cellStyle name="20% - Accent1 2 4 3 4 5 2 4 2 2" xfId="53486"/>
    <cellStyle name="20% - Accent1 2 4 3 4 5 2 4 3" xfId="38432"/>
    <cellStyle name="20% - Accent1 2 4 3 4 5 2 5" xfId="6757"/>
    <cellStyle name="20% - Accent1 2 4 3 4 5 2 5 2" xfId="44878"/>
    <cellStyle name="20% - Accent1 2 4 3 4 5 2 6" xfId="18558"/>
    <cellStyle name="20% - Accent1 2 4 3 4 5 2 6 2" xfId="53487"/>
    <cellStyle name="20% - Accent1 2 4 3 4 5 2 7" xfId="32173"/>
    <cellStyle name="20% - Accent1 2 4 3 4 5 3" xfId="3120"/>
    <cellStyle name="20% - Accent1 2 4 3 4 5 3 2" xfId="13017"/>
    <cellStyle name="20% - Accent1 2 4 3 4 5 3 2 2" xfId="24818"/>
    <cellStyle name="20% - Accent1 2 4 3 4 5 3 2 2 2" xfId="53488"/>
    <cellStyle name="20% - Accent1 2 4 3 4 5 3 2 3" xfId="38433"/>
    <cellStyle name="20% - Accent1 2 4 3 4 5 3 3" xfId="8573"/>
    <cellStyle name="20% - Accent1 2 4 3 4 5 3 3 2" xfId="44879"/>
    <cellStyle name="20% - Accent1 2 4 3 4 5 3 4" xfId="20374"/>
    <cellStyle name="20% - Accent1 2 4 3 4 5 3 4 2" xfId="53489"/>
    <cellStyle name="20% - Accent1 2 4 3 4 5 3 5" xfId="33989"/>
    <cellStyle name="20% - Accent1 2 4 3 4 5 4" xfId="13018"/>
    <cellStyle name="20% - Accent1 2 4 3 4 5 4 2" xfId="24819"/>
    <cellStyle name="20% - Accent1 2 4 3 4 5 4 2 2" xfId="44880"/>
    <cellStyle name="20% - Accent1 2 4 3 4 5 4 3" xfId="29733"/>
    <cellStyle name="20% - Accent1 2 4 3 4 5 4 3 2" xfId="44881"/>
    <cellStyle name="20% - Accent1 2 4 3 4 5 4 4" xfId="29734"/>
    <cellStyle name="20% - Accent1 2 4 3 4 5 4 4 2" xfId="53490"/>
    <cellStyle name="20% - Accent1 2 4 3 4 5 4 5" xfId="38434"/>
    <cellStyle name="20% - Accent1 2 4 3 4 5 5" xfId="13019"/>
    <cellStyle name="20% - Accent1 2 4 3 4 5 5 2" xfId="24820"/>
    <cellStyle name="20% - Accent1 2 4 3 4 5 5 2 2" xfId="53491"/>
    <cellStyle name="20% - Accent1 2 4 3 4 5 5 3" xfId="38435"/>
    <cellStyle name="20% - Accent1 2 4 3 4 5 6" xfId="6346"/>
    <cellStyle name="20% - Accent1 2 4 3 4 5 6 2" xfId="44882"/>
    <cellStyle name="20% - Accent1 2 4 3 4 5 7" xfId="18147"/>
    <cellStyle name="20% - Accent1 2 4 3 4 5 7 2" xfId="53492"/>
    <cellStyle name="20% - Accent1 2 4 3 4 5 8" xfId="31762"/>
    <cellStyle name="20% - Accent1 2 4 3 4 6" xfId="1304"/>
    <cellStyle name="20% - Accent1 2 4 3 4 6 2" xfId="3825"/>
    <cellStyle name="20% - Accent1 2 4 3 4 6 2 2" xfId="13020"/>
    <cellStyle name="20% - Accent1 2 4 3 4 6 2 2 2" xfId="24821"/>
    <cellStyle name="20% - Accent1 2 4 3 4 6 2 2 2 2" xfId="53493"/>
    <cellStyle name="20% - Accent1 2 4 3 4 6 2 2 3" xfId="38436"/>
    <cellStyle name="20% - Accent1 2 4 3 4 6 2 3" xfId="9278"/>
    <cellStyle name="20% - Accent1 2 4 3 4 6 2 3 2" xfId="44883"/>
    <cellStyle name="20% - Accent1 2 4 3 4 6 2 4" xfId="21079"/>
    <cellStyle name="20% - Accent1 2 4 3 4 6 2 4 2" xfId="53494"/>
    <cellStyle name="20% - Accent1 2 4 3 4 6 2 5" xfId="34694"/>
    <cellStyle name="20% - Accent1 2 4 3 4 6 3" xfId="13021"/>
    <cellStyle name="20% - Accent1 2 4 3 4 6 3 2" xfId="24822"/>
    <cellStyle name="20% - Accent1 2 4 3 4 6 3 2 2" xfId="44884"/>
    <cellStyle name="20% - Accent1 2 4 3 4 6 3 3" xfId="29735"/>
    <cellStyle name="20% - Accent1 2 4 3 4 6 3 3 2" xfId="44885"/>
    <cellStyle name="20% - Accent1 2 4 3 4 6 3 4" xfId="29736"/>
    <cellStyle name="20% - Accent1 2 4 3 4 6 3 4 2" xfId="53495"/>
    <cellStyle name="20% - Accent1 2 4 3 4 6 3 5" xfId="38437"/>
    <cellStyle name="20% - Accent1 2 4 3 4 6 4" xfId="13022"/>
    <cellStyle name="20% - Accent1 2 4 3 4 6 4 2" xfId="24823"/>
    <cellStyle name="20% - Accent1 2 4 3 4 6 4 2 2" xfId="53496"/>
    <cellStyle name="20% - Accent1 2 4 3 4 6 4 3" xfId="38438"/>
    <cellStyle name="20% - Accent1 2 4 3 4 6 5" xfId="6758"/>
    <cellStyle name="20% - Accent1 2 4 3 4 6 5 2" xfId="44886"/>
    <cellStyle name="20% - Accent1 2 4 3 4 6 6" xfId="18559"/>
    <cellStyle name="20% - Accent1 2 4 3 4 6 6 2" xfId="53497"/>
    <cellStyle name="20% - Accent1 2 4 3 4 6 7" xfId="32174"/>
    <cellStyle name="20% - Accent1 2 4 3 4 7" xfId="3688"/>
    <cellStyle name="20% - Accent1 2 4 3 4 7 2" xfId="13023"/>
    <cellStyle name="20% - Accent1 2 4 3 4 7 2 2" xfId="24824"/>
    <cellStyle name="20% - Accent1 2 4 3 4 7 2 2 2" xfId="53498"/>
    <cellStyle name="20% - Accent1 2 4 3 4 7 2 3" xfId="38439"/>
    <cellStyle name="20% - Accent1 2 4 3 4 7 3" xfId="9141"/>
    <cellStyle name="20% - Accent1 2 4 3 4 7 3 2" xfId="44887"/>
    <cellStyle name="20% - Accent1 2 4 3 4 7 4" xfId="20942"/>
    <cellStyle name="20% - Accent1 2 4 3 4 7 4 2" xfId="53499"/>
    <cellStyle name="20% - Accent1 2 4 3 4 7 5" xfId="34557"/>
    <cellStyle name="20% - Accent1 2 4 3 4 8" xfId="1984"/>
    <cellStyle name="20% - Accent1 2 4 3 4 8 2" xfId="13024"/>
    <cellStyle name="20% - Accent1 2 4 3 4 8 2 2" xfId="24825"/>
    <cellStyle name="20% - Accent1 2 4 3 4 8 2 2 2" xfId="53500"/>
    <cellStyle name="20% - Accent1 2 4 3 4 8 2 3" xfId="38440"/>
    <cellStyle name="20% - Accent1 2 4 3 4 8 3" xfId="7437"/>
    <cellStyle name="20% - Accent1 2 4 3 4 8 3 2" xfId="44888"/>
    <cellStyle name="20% - Accent1 2 4 3 4 8 4" xfId="19238"/>
    <cellStyle name="20% - Accent1 2 4 3 4 8 4 2" xfId="53501"/>
    <cellStyle name="20% - Accent1 2 4 3 4 8 5" xfId="32853"/>
    <cellStyle name="20% - Accent1 2 4 3 4 9" xfId="13025"/>
    <cellStyle name="20% - Accent1 2 4 3 4 9 2" xfId="24826"/>
    <cellStyle name="20% - Accent1 2 4 3 4 9 2 2" xfId="53502"/>
    <cellStyle name="20% - Accent1 2 4 3 4 9 3" xfId="38441"/>
    <cellStyle name="20% - Accent1 2 4 3 5" xfId="154"/>
    <cellStyle name="20% - Accent1 2 4 3 5 10" xfId="31024"/>
    <cellStyle name="20% - Accent1 2 4 3 5 2" xfId="306"/>
    <cellStyle name="20% - Accent1 2 4 3 5 2 2" xfId="1305"/>
    <cellStyle name="20% - Accent1 2 4 3 5 2 2 2" xfId="4616"/>
    <cellStyle name="20% - Accent1 2 4 3 5 2 2 2 2" xfId="13026"/>
    <cellStyle name="20% - Accent1 2 4 3 5 2 2 2 2 2" xfId="24827"/>
    <cellStyle name="20% - Accent1 2 4 3 5 2 2 2 2 2 2" xfId="53503"/>
    <cellStyle name="20% - Accent1 2 4 3 5 2 2 2 2 3" xfId="38442"/>
    <cellStyle name="20% - Accent1 2 4 3 5 2 2 2 3" xfId="10069"/>
    <cellStyle name="20% - Accent1 2 4 3 5 2 2 2 3 2" xfId="44889"/>
    <cellStyle name="20% - Accent1 2 4 3 5 2 2 2 4" xfId="21870"/>
    <cellStyle name="20% - Accent1 2 4 3 5 2 2 2 4 2" xfId="53504"/>
    <cellStyle name="20% - Accent1 2 4 3 5 2 2 2 5" xfId="35485"/>
    <cellStyle name="20% - Accent1 2 4 3 5 2 2 3" xfId="2775"/>
    <cellStyle name="20% - Accent1 2 4 3 5 2 2 3 2" xfId="13027"/>
    <cellStyle name="20% - Accent1 2 4 3 5 2 2 3 2 2" xfId="24828"/>
    <cellStyle name="20% - Accent1 2 4 3 5 2 2 3 2 2 2" xfId="53505"/>
    <cellStyle name="20% - Accent1 2 4 3 5 2 2 3 2 3" xfId="38443"/>
    <cellStyle name="20% - Accent1 2 4 3 5 2 2 3 3" xfId="8228"/>
    <cellStyle name="20% - Accent1 2 4 3 5 2 2 3 3 2" xfId="44890"/>
    <cellStyle name="20% - Accent1 2 4 3 5 2 2 3 4" xfId="20029"/>
    <cellStyle name="20% - Accent1 2 4 3 5 2 2 3 4 2" xfId="53506"/>
    <cellStyle name="20% - Accent1 2 4 3 5 2 2 3 5" xfId="33644"/>
    <cellStyle name="20% - Accent1 2 4 3 5 2 2 4" xfId="13028"/>
    <cellStyle name="20% - Accent1 2 4 3 5 2 2 4 2" xfId="24829"/>
    <cellStyle name="20% - Accent1 2 4 3 5 2 2 4 2 2" xfId="53507"/>
    <cellStyle name="20% - Accent1 2 4 3 5 2 2 4 3" xfId="38444"/>
    <cellStyle name="20% - Accent1 2 4 3 5 2 2 5" xfId="6759"/>
    <cellStyle name="20% - Accent1 2 4 3 5 2 2 5 2" xfId="44891"/>
    <cellStyle name="20% - Accent1 2 4 3 5 2 2 6" xfId="18560"/>
    <cellStyle name="20% - Accent1 2 4 3 5 2 2 6 2" xfId="53508"/>
    <cellStyle name="20% - Accent1 2 4 3 5 2 2 7" xfId="32175"/>
    <cellStyle name="20% - Accent1 2 4 3 5 2 3" xfId="3343"/>
    <cellStyle name="20% - Accent1 2 4 3 5 2 3 2" xfId="5184"/>
    <cellStyle name="20% - Accent1 2 4 3 5 2 3 2 2" xfId="16654"/>
    <cellStyle name="20% - Accent1 2 4 3 5 2 3 2 2 2" xfId="28455"/>
    <cellStyle name="20% - Accent1 2 4 3 5 2 3 2 2 2 2" xfId="53509"/>
    <cellStyle name="20% - Accent1 2 4 3 5 2 3 2 2 3" xfId="42070"/>
    <cellStyle name="20% - Accent1 2 4 3 5 2 3 2 3" xfId="10637"/>
    <cellStyle name="20% - Accent1 2 4 3 5 2 3 2 3 2" xfId="53510"/>
    <cellStyle name="20% - Accent1 2 4 3 5 2 3 2 4" xfId="22438"/>
    <cellStyle name="20% - Accent1 2 4 3 5 2 3 2 4 2" xfId="53511"/>
    <cellStyle name="20% - Accent1 2 4 3 5 2 3 2 5" xfId="36053"/>
    <cellStyle name="20% - Accent1 2 4 3 5 2 3 3" xfId="13029"/>
    <cellStyle name="20% - Accent1 2 4 3 5 2 3 3 2" xfId="24830"/>
    <cellStyle name="20% - Accent1 2 4 3 5 2 3 3 2 2" xfId="53512"/>
    <cellStyle name="20% - Accent1 2 4 3 5 2 3 3 3" xfId="38445"/>
    <cellStyle name="20% - Accent1 2 4 3 5 2 3 4" xfId="8796"/>
    <cellStyle name="20% - Accent1 2 4 3 5 2 3 4 2" xfId="53513"/>
    <cellStyle name="20% - Accent1 2 4 3 5 2 3 5" xfId="20597"/>
    <cellStyle name="20% - Accent1 2 4 3 5 2 3 5 2" xfId="53514"/>
    <cellStyle name="20% - Accent1 2 4 3 5 2 3 6" xfId="34212"/>
    <cellStyle name="20% - Accent1 2 4 3 5 2 4" xfId="4048"/>
    <cellStyle name="20% - Accent1 2 4 3 5 2 4 2" xfId="13030"/>
    <cellStyle name="20% - Accent1 2 4 3 5 2 4 2 2" xfId="24831"/>
    <cellStyle name="20% - Accent1 2 4 3 5 2 4 2 2 2" xfId="53515"/>
    <cellStyle name="20% - Accent1 2 4 3 5 2 4 2 3" xfId="38446"/>
    <cellStyle name="20% - Accent1 2 4 3 5 2 4 3" xfId="9501"/>
    <cellStyle name="20% - Accent1 2 4 3 5 2 4 3 2" xfId="44892"/>
    <cellStyle name="20% - Accent1 2 4 3 5 2 4 4" xfId="21302"/>
    <cellStyle name="20% - Accent1 2 4 3 5 2 4 4 2" xfId="53516"/>
    <cellStyle name="20% - Accent1 2 4 3 5 2 4 5" xfId="34917"/>
    <cellStyle name="20% - Accent1 2 4 3 5 2 5" xfId="2207"/>
    <cellStyle name="20% - Accent1 2 4 3 5 2 5 2" xfId="17046"/>
    <cellStyle name="20% - Accent1 2 4 3 5 2 5 2 2" xfId="28847"/>
    <cellStyle name="20% - Accent1 2 4 3 5 2 5 2 2 2" xfId="53517"/>
    <cellStyle name="20% - Accent1 2 4 3 5 2 5 2 3" xfId="42462"/>
    <cellStyle name="20% - Accent1 2 4 3 5 2 5 3" xfId="7660"/>
    <cellStyle name="20% - Accent1 2 4 3 5 2 5 3 2" xfId="53518"/>
    <cellStyle name="20% - Accent1 2 4 3 5 2 5 4" xfId="19461"/>
    <cellStyle name="20% - Accent1 2 4 3 5 2 5 4 2" xfId="53519"/>
    <cellStyle name="20% - Accent1 2 4 3 5 2 5 5" xfId="33076"/>
    <cellStyle name="20% - Accent1 2 4 3 5 2 6" xfId="13031"/>
    <cellStyle name="20% - Accent1 2 4 3 5 2 6 2" xfId="24832"/>
    <cellStyle name="20% - Accent1 2 4 3 5 2 6 2 2" xfId="53520"/>
    <cellStyle name="20% - Accent1 2 4 3 5 2 6 3" xfId="38447"/>
    <cellStyle name="20% - Accent1 2 4 3 5 2 7" xfId="5760"/>
    <cellStyle name="20% - Accent1 2 4 3 5 2 7 2" xfId="53521"/>
    <cellStyle name="20% - Accent1 2 4 3 5 2 8" xfId="17561"/>
    <cellStyle name="20% - Accent1 2 4 3 5 2 8 2" xfId="53522"/>
    <cellStyle name="20% - Accent1 2 4 3 5 2 9" xfId="31176"/>
    <cellStyle name="20% - Accent1 2 4 3 5 3" xfId="722"/>
    <cellStyle name="20% - Accent1 2 4 3 5 3 2" xfId="1306"/>
    <cellStyle name="20% - Accent1 2 4 3 5 3 2 2" xfId="4464"/>
    <cellStyle name="20% - Accent1 2 4 3 5 3 2 2 2" xfId="13032"/>
    <cellStyle name="20% - Accent1 2 4 3 5 3 2 2 2 2" xfId="24833"/>
    <cellStyle name="20% - Accent1 2 4 3 5 3 2 2 2 2 2" xfId="53523"/>
    <cellStyle name="20% - Accent1 2 4 3 5 3 2 2 2 3" xfId="38448"/>
    <cellStyle name="20% - Accent1 2 4 3 5 3 2 2 3" xfId="9917"/>
    <cellStyle name="20% - Accent1 2 4 3 5 3 2 2 3 2" xfId="44893"/>
    <cellStyle name="20% - Accent1 2 4 3 5 3 2 2 4" xfId="21718"/>
    <cellStyle name="20% - Accent1 2 4 3 5 3 2 2 4 2" xfId="53524"/>
    <cellStyle name="20% - Accent1 2 4 3 5 3 2 2 5" xfId="35333"/>
    <cellStyle name="20% - Accent1 2 4 3 5 3 2 3" xfId="13033"/>
    <cellStyle name="20% - Accent1 2 4 3 5 3 2 3 2" xfId="24834"/>
    <cellStyle name="20% - Accent1 2 4 3 5 3 2 3 2 2" xfId="44894"/>
    <cellStyle name="20% - Accent1 2 4 3 5 3 2 3 3" xfId="29737"/>
    <cellStyle name="20% - Accent1 2 4 3 5 3 2 3 3 2" xfId="44895"/>
    <cellStyle name="20% - Accent1 2 4 3 5 3 2 3 4" xfId="29738"/>
    <cellStyle name="20% - Accent1 2 4 3 5 3 2 3 4 2" xfId="53525"/>
    <cellStyle name="20% - Accent1 2 4 3 5 3 2 3 5" xfId="38449"/>
    <cellStyle name="20% - Accent1 2 4 3 5 3 2 4" xfId="13034"/>
    <cellStyle name="20% - Accent1 2 4 3 5 3 2 4 2" xfId="24835"/>
    <cellStyle name="20% - Accent1 2 4 3 5 3 2 4 2 2" xfId="53526"/>
    <cellStyle name="20% - Accent1 2 4 3 5 3 2 4 3" xfId="38450"/>
    <cellStyle name="20% - Accent1 2 4 3 5 3 2 5" xfId="6760"/>
    <cellStyle name="20% - Accent1 2 4 3 5 3 2 5 2" xfId="44896"/>
    <cellStyle name="20% - Accent1 2 4 3 5 3 2 6" xfId="18561"/>
    <cellStyle name="20% - Accent1 2 4 3 5 3 2 6 2" xfId="53527"/>
    <cellStyle name="20% - Accent1 2 4 3 5 3 2 7" xfId="32176"/>
    <cellStyle name="20% - Accent1 2 4 3 5 3 3" xfId="2623"/>
    <cellStyle name="20% - Accent1 2 4 3 5 3 3 2" xfId="13035"/>
    <cellStyle name="20% - Accent1 2 4 3 5 3 3 2 2" xfId="24836"/>
    <cellStyle name="20% - Accent1 2 4 3 5 3 3 2 2 2" xfId="53528"/>
    <cellStyle name="20% - Accent1 2 4 3 5 3 3 2 3" xfId="38451"/>
    <cellStyle name="20% - Accent1 2 4 3 5 3 3 3" xfId="8076"/>
    <cellStyle name="20% - Accent1 2 4 3 5 3 3 3 2" xfId="44897"/>
    <cellStyle name="20% - Accent1 2 4 3 5 3 3 4" xfId="19877"/>
    <cellStyle name="20% - Accent1 2 4 3 5 3 3 4 2" xfId="53529"/>
    <cellStyle name="20% - Accent1 2 4 3 5 3 3 5" xfId="33492"/>
    <cellStyle name="20% - Accent1 2 4 3 5 3 4" xfId="13036"/>
    <cellStyle name="20% - Accent1 2 4 3 5 3 4 2" xfId="24837"/>
    <cellStyle name="20% - Accent1 2 4 3 5 3 4 2 2" xfId="44898"/>
    <cellStyle name="20% - Accent1 2 4 3 5 3 4 3" xfId="29739"/>
    <cellStyle name="20% - Accent1 2 4 3 5 3 4 3 2" xfId="44899"/>
    <cellStyle name="20% - Accent1 2 4 3 5 3 4 4" xfId="29740"/>
    <cellStyle name="20% - Accent1 2 4 3 5 3 4 4 2" xfId="53530"/>
    <cellStyle name="20% - Accent1 2 4 3 5 3 4 5" xfId="38452"/>
    <cellStyle name="20% - Accent1 2 4 3 5 3 5" xfId="13037"/>
    <cellStyle name="20% - Accent1 2 4 3 5 3 5 2" xfId="24838"/>
    <cellStyle name="20% - Accent1 2 4 3 5 3 5 2 2" xfId="53531"/>
    <cellStyle name="20% - Accent1 2 4 3 5 3 5 3" xfId="38453"/>
    <cellStyle name="20% - Accent1 2 4 3 5 3 6" xfId="6176"/>
    <cellStyle name="20% - Accent1 2 4 3 5 3 6 2" xfId="44900"/>
    <cellStyle name="20% - Accent1 2 4 3 5 3 7" xfId="17977"/>
    <cellStyle name="20% - Accent1 2 4 3 5 3 7 2" xfId="53532"/>
    <cellStyle name="20% - Accent1 2 4 3 5 3 8" xfId="31592"/>
    <cellStyle name="20% - Accent1 2 4 3 5 4" xfId="1307"/>
    <cellStyle name="20% - Accent1 2 4 3 5 4 2" xfId="5032"/>
    <cellStyle name="20% - Accent1 2 4 3 5 4 2 2" xfId="13038"/>
    <cellStyle name="20% - Accent1 2 4 3 5 4 2 2 2" xfId="24839"/>
    <cellStyle name="20% - Accent1 2 4 3 5 4 2 2 2 2" xfId="53533"/>
    <cellStyle name="20% - Accent1 2 4 3 5 4 2 2 3" xfId="38454"/>
    <cellStyle name="20% - Accent1 2 4 3 5 4 2 3" xfId="10485"/>
    <cellStyle name="20% - Accent1 2 4 3 5 4 2 3 2" xfId="44901"/>
    <cellStyle name="20% - Accent1 2 4 3 5 4 2 4" xfId="22286"/>
    <cellStyle name="20% - Accent1 2 4 3 5 4 2 4 2" xfId="53534"/>
    <cellStyle name="20% - Accent1 2 4 3 5 4 2 5" xfId="35901"/>
    <cellStyle name="20% - Accent1 2 4 3 5 4 3" xfId="3191"/>
    <cellStyle name="20% - Accent1 2 4 3 5 4 3 2" xfId="13039"/>
    <cellStyle name="20% - Accent1 2 4 3 5 4 3 2 2" xfId="24840"/>
    <cellStyle name="20% - Accent1 2 4 3 5 4 3 2 2 2" xfId="53535"/>
    <cellStyle name="20% - Accent1 2 4 3 5 4 3 2 3" xfId="38455"/>
    <cellStyle name="20% - Accent1 2 4 3 5 4 3 3" xfId="8644"/>
    <cellStyle name="20% - Accent1 2 4 3 5 4 3 3 2" xfId="44902"/>
    <cellStyle name="20% - Accent1 2 4 3 5 4 3 4" xfId="20445"/>
    <cellStyle name="20% - Accent1 2 4 3 5 4 3 4 2" xfId="53536"/>
    <cellStyle name="20% - Accent1 2 4 3 5 4 3 5" xfId="34060"/>
    <cellStyle name="20% - Accent1 2 4 3 5 4 4" xfId="13040"/>
    <cellStyle name="20% - Accent1 2 4 3 5 4 4 2" xfId="24841"/>
    <cellStyle name="20% - Accent1 2 4 3 5 4 4 2 2" xfId="53537"/>
    <cellStyle name="20% - Accent1 2 4 3 5 4 4 3" xfId="38456"/>
    <cellStyle name="20% - Accent1 2 4 3 5 4 5" xfId="6761"/>
    <cellStyle name="20% - Accent1 2 4 3 5 4 5 2" xfId="44903"/>
    <cellStyle name="20% - Accent1 2 4 3 5 4 6" xfId="18562"/>
    <cellStyle name="20% - Accent1 2 4 3 5 4 6 2" xfId="53538"/>
    <cellStyle name="20% - Accent1 2 4 3 5 4 7" xfId="32177"/>
    <cellStyle name="20% - Accent1 2 4 3 5 5" xfId="3896"/>
    <cellStyle name="20% - Accent1 2 4 3 5 5 2" xfId="13041"/>
    <cellStyle name="20% - Accent1 2 4 3 5 5 2 2" xfId="24842"/>
    <cellStyle name="20% - Accent1 2 4 3 5 5 2 2 2" xfId="53539"/>
    <cellStyle name="20% - Accent1 2 4 3 5 5 2 3" xfId="38457"/>
    <cellStyle name="20% - Accent1 2 4 3 5 5 3" xfId="9349"/>
    <cellStyle name="20% - Accent1 2 4 3 5 5 3 2" xfId="44904"/>
    <cellStyle name="20% - Accent1 2 4 3 5 5 4" xfId="21150"/>
    <cellStyle name="20% - Accent1 2 4 3 5 5 4 2" xfId="53540"/>
    <cellStyle name="20% - Accent1 2 4 3 5 5 5" xfId="34765"/>
    <cellStyle name="20% - Accent1 2 4 3 5 6" xfId="2055"/>
    <cellStyle name="20% - Accent1 2 4 3 5 6 2" xfId="13042"/>
    <cellStyle name="20% - Accent1 2 4 3 5 6 2 2" xfId="24843"/>
    <cellStyle name="20% - Accent1 2 4 3 5 6 2 2 2" xfId="53541"/>
    <cellStyle name="20% - Accent1 2 4 3 5 6 2 3" xfId="38458"/>
    <cellStyle name="20% - Accent1 2 4 3 5 6 3" xfId="7508"/>
    <cellStyle name="20% - Accent1 2 4 3 5 6 3 2" xfId="44905"/>
    <cellStyle name="20% - Accent1 2 4 3 5 6 4" xfId="19309"/>
    <cellStyle name="20% - Accent1 2 4 3 5 6 4 2" xfId="53542"/>
    <cellStyle name="20% - Accent1 2 4 3 5 6 5" xfId="32924"/>
    <cellStyle name="20% - Accent1 2 4 3 5 7" xfId="13043"/>
    <cellStyle name="20% - Accent1 2 4 3 5 7 2" xfId="24844"/>
    <cellStyle name="20% - Accent1 2 4 3 5 7 2 2" xfId="53543"/>
    <cellStyle name="20% - Accent1 2 4 3 5 7 3" xfId="38459"/>
    <cellStyle name="20% - Accent1 2 4 3 5 8" xfId="5608"/>
    <cellStyle name="20% - Accent1 2 4 3 5 8 2" xfId="44906"/>
    <cellStyle name="20% - Accent1 2 4 3 5 9" xfId="17409"/>
    <cellStyle name="20% - Accent1 2 4 3 5 9 2" xfId="53544"/>
    <cellStyle name="20% - Accent1 2 4 3 6" xfId="443"/>
    <cellStyle name="20% - Accent1 2 4 3 6 2" xfId="1308"/>
    <cellStyle name="20% - Accent1 2 4 3 6 2 2" xfId="4753"/>
    <cellStyle name="20% - Accent1 2 4 3 6 2 2 2" xfId="13044"/>
    <cellStyle name="20% - Accent1 2 4 3 6 2 2 2 2" xfId="24845"/>
    <cellStyle name="20% - Accent1 2 4 3 6 2 2 2 2 2" xfId="53545"/>
    <cellStyle name="20% - Accent1 2 4 3 6 2 2 2 3" xfId="38460"/>
    <cellStyle name="20% - Accent1 2 4 3 6 2 2 3" xfId="10206"/>
    <cellStyle name="20% - Accent1 2 4 3 6 2 2 3 2" xfId="44907"/>
    <cellStyle name="20% - Accent1 2 4 3 6 2 2 4" xfId="22007"/>
    <cellStyle name="20% - Accent1 2 4 3 6 2 2 4 2" xfId="53546"/>
    <cellStyle name="20% - Accent1 2 4 3 6 2 2 5" xfId="35622"/>
    <cellStyle name="20% - Accent1 2 4 3 6 2 3" xfId="2912"/>
    <cellStyle name="20% - Accent1 2 4 3 6 2 3 2" xfId="13045"/>
    <cellStyle name="20% - Accent1 2 4 3 6 2 3 2 2" xfId="24846"/>
    <cellStyle name="20% - Accent1 2 4 3 6 2 3 2 2 2" xfId="53547"/>
    <cellStyle name="20% - Accent1 2 4 3 6 2 3 2 3" xfId="38461"/>
    <cellStyle name="20% - Accent1 2 4 3 6 2 3 3" xfId="8365"/>
    <cellStyle name="20% - Accent1 2 4 3 6 2 3 3 2" xfId="44908"/>
    <cellStyle name="20% - Accent1 2 4 3 6 2 3 4" xfId="20166"/>
    <cellStyle name="20% - Accent1 2 4 3 6 2 3 4 2" xfId="53548"/>
    <cellStyle name="20% - Accent1 2 4 3 6 2 3 5" xfId="33781"/>
    <cellStyle name="20% - Accent1 2 4 3 6 2 4" xfId="13046"/>
    <cellStyle name="20% - Accent1 2 4 3 6 2 4 2" xfId="24847"/>
    <cellStyle name="20% - Accent1 2 4 3 6 2 4 2 2" xfId="53549"/>
    <cellStyle name="20% - Accent1 2 4 3 6 2 4 3" xfId="38462"/>
    <cellStyle name="20% - Accent1 2 4 3 6 2 5" xfId="6762"/>
    <cellStyle name="20% - Accent1 2 4 3 6 2 5 2" xfId="44909"/>
    <cellStyle name="20% - Accent1 2 4 3 6 2 6" xfId="18563"/>
    <cellStyle name="20% - Accent1 2 4 3 6 2 6 2" xfId="53550"/>
    <cellStyle name="20% - Accent1 2 4 3 6 2 7" xfId="32178"/>
    <cellStyle name="20% - Accent1 2 4 3 6 3" xfId="3480"/>
    <cellStyle name="20% - Accent1 2 4 3 6 3 2" xfId="5321"/>
    <cellStyle name="20% - Accent1 2 4 3 6 3 2 2" xfId="16791"/>
    <cellStyle name="20% - Accent1 2 4 3 6 3 2 2 2" xfId="28592"/>
    <cellStyle name="20% - Accent1 2 4 3 6 3 2 2 2 2" xfId="53551"/>
    <cellStyle name="20% - Accent1 2 4 3 6 3 2 2 3" xfId="42207"/>
    <cellStyle name="20% - Accent1 2 4 3 6 3 2 3" xfId="10774"/>
    <cellStyle name="20% - Accent1 2 4 3 6 3 2 3 2" xfId="53552"/>
    <cellStyle name="20% - Accent1 2 4 3 6 3 2 4" xfId="22575"/>
    <cellStyle name="20% - Accent1 2 4 3 6 3 2 4 2" xfId="53553"/>
    <cellStyle name="20% - Accent1 2 4 3 6 3 2 5" xfId="36190"/>
    <cellStyle name="20% - Accent1 2 4 3 6 3 3" xfId="13047"/>
    <cellStyle name="20% - Accent1 2 4 3 6 3 3 2" xfId="24848"/>
    <cellStyle name="20% - Accent1 2 4 3 6 3 3 2 2" xfId="53554"/>
    <cellStyle name="20% - Accent1 2 4 3 6 3 3 3" xfId="38463"/>
    <cellStyle name="20% - Accent1 2 4 3 6 3 4" xfId="8933"/>
    <cellStyle name="20% - Accent1 2 4 3 6 3 4 2" xfId="53555"/>
    <cellStyle name="20% - Accent1 2 4 3 6 3 5" xfId="20734"/>
    <cellStyle name="20% - Accent1 2 4 3 6 3 5 2" xfId="53556"/>
    <cellStyle name="20% - Accent1 2 4 3 6 3 6" xfId="34349"/>
    <cellStyle name="20% - Accent1 2 4 3 6 4" xfId="4185"/>
    <cellStyle name="20% - Accent1 2 4 3 6 4 2" xfId="13048"/>
    <cellStyle name="20% - Accent1 2 4 3 6 4 2 2" xfId="24849"/>
    <cellStyle name="20% - Accent1 2 4 3 6 4 2 2 2" xfId="53557"/>
    <cellStyle name="20% - Accent1 2 4 3 6 4 2 3" xfId="38464"/>
    <cellStyle name="20% - Accent1 2 4 3 6 4 3" xfId="9638"/>
    <cellStyle name="20% - Accent1 2 4 3 6 4 3 2" xfId="44910"/>
    <cellStyle name="20% - Accent1 2 4 3 6 4 4" xfId="21439"/>
    <cellStyle name="20% - Accent1 2 4 3 6 4 4 2" xfId="53558"/>
    <cellStyle name="20% - Accent1 2 4 3 6 4 5" xfId="35054"/>
    <cellStyle name="20% - Accent1 2 4 3 6 5" xfId="2344"/>
    <cellStyle name="20% - Accent1 2 4 3 6 5 2" xfId="17047"/>
    <cellStyle name="20% - Accent1 2 4 3 6 5 2 2" xfId="28848"/>
    <cellStyle name="20% - Accent1 2 4 3 6 5 2 2 2" xfId="53559"/>
    <cellStyle name="20% - Accent1 2 4 3 6 5 2 3" xfId="42463"/>
    <cellStyle name="20% - Accent1 2 4 3 6 5 3" xfId="7797"/>
    <cellStyle name="20% - Accent1 2 4 3 6 5 3 2" xfId="53560"/>
    <cellStyle name="20% - Accent1 2 4 3 6 5 4" xfId="19598"/>
    <cellStyle name="20% - Accent1 2 4 3 6 5 4 2" xfId="53561"/>
    <cellStyle name="20% - Accent1 2 4 3 6 5 5" xfId="33213"/>
    <cellStyle name="20% - Accent1 2 4 3 6 6" xfId="13049"/>
    <cellStyle name="20% - Accent1 2 4 3 6 6 2" xfId="24850"/>
    <cellStyle name="20% - Accent1 2 4 3 6 6 2 2" xfId="53562"/>
    <cellStyle name="20% - Accent1 2 4 3 6 6 3" xfId="38465"/>
    <cellStyle name="20% - Accent1 2 4 3 6 7" xfId="5897"/>
    <cellStyle name="20% - Accent1 2 4 3 6 7 2" xfId="53563"/>
    <cellStyle name="20% - Accent1 2 4 3 6 8" xfId="17698"/>
    <cellStyle name="20% - Accent1 2 4 3 6 8 2" xfId="53564"/>
    <cellStyle name="20% - Accent1 2 4 3 6 9" xfId="31313"/>
    <cellStyle name="20% - Accent1 2 4 3 7" xfId="569"/>
    <cellStyle name="20% - Accent1 2 4 3 7 2" xfId="1309"/>
    <cellStyle name="20% - Accent1 2 4 3 7 2 2" xfId="4879"/>
    <cellStyle name="20% - Accent1 2 4 3 7 2 2 2" xfId="13050"/>
    <cellStyle name="20% - Accent1 2 4 3 7 2 2 2 2" xfId="24851"/>
    <cellStyle name="20% - Accent1 2 4 3 7 2 2 2 2 2" xfId="53565"/>
    <cellStyle name="20% - Accent1 2 4 3 7 2 2 2 3" xfId="38466"/>
    <cellStyle name="20% - Accent1 2 4 3 7 2 2 3" xfId="10332"/>
    <cellStyle name="20% - Accent1 2 4 3 7 2 2 3 2" xfId="44911"/>
    <cellStyle name="20% - Accent1 2 4 3 7 2 2 4" xfId="22133"/>
    <cellStyle name="20% - Accent1 2 4 3 7 2 2 4 2" xfId="53566"/>
    <cellStyle name="20% - Accent1 2 4 3 7 2 2 5" xfId="35748"/>
    <cellStyle name="20% - Accent1 2 4 3 7 2 3" xfId="3038"/>
    <cellStyle name="20% - Accent1 2 4 3 7 2 3 2" xfId="13051"/>
    <cellStyle name="20% - Accent1 2 4 3 7 2 3 2 2" xfId="24852"/>
    <cellStyle name="20% - Accent1 2 4 3 7 2 3 2 2 2" xfId="53567"/>
    <cellStyle name="20% - Accent1 2 4 3 7 2 3 2 3" xfId="38467"/>
    <cellStyle name="20% - Accent1 2 4 3 7 2 3 3" xfId="8491"/>
    <cellStyle name="20% - Accent1 2 4 3 7 2 3 3 2" xfId="44912"/>
    <cellStyle name="20% - Accent1 2 4 3 7 2 3 4" xfId="20292"/>
    <cellStyle name="20% - Accent1 2 4 3 7 2 3 4 2" xfId="53568"/>
    <cellStyle name="20% - Accent1 2 4 3 7 2 3 5" xfId="33907"/>
    <cellStyle name="20% - Accent1 2 4 3 7 2 4" xfId="13052"/>
    <cellStyle name="20% - Accent1 2 4 3 7 2 4 2" xfId="24853"/>
    <cellStyle name="20% - Accent1 2 4 3 7 2 4 2 2" xfId="53569"/>
    <cellStyle name="20% - Accent1 2 4 3 7 2 4 3" xfId="38468"/>
    <cellStyle name="20% - Accent1 2 4 3 7 2 5" xfId="6763"/>
    <cellStyle name="20% - Accent1 2 4 3 7 2 5 2" xfId="44913"/>
    <cellStyle name="20% - Accent1 2 4 3 7 2 6" xfId="18564"/>
    <cellStyle name="20% - Accent1 2 4 3 7 2 6 2" xfId="53570"/>
    <cellStyle name="20% - Accent1 2 4 3 7 2 7" xfId="32179"/>
    <cellStyle name="20% - Accent1 2 4 3 7 3" xfId="3606"/>
    <cellStyle name="20% - Accent1 2 4 3 7 3 2" xfId="5447"/>
    <cellStyle name="20% - Accent1 2 4 3 7 3 2 2" xfId="16917"/>
    <cellStyle name="20% - Accent1 2 4 3 7 3 2 2 2" xfId="28718"/>
    <cellStyle name="20% - Accent1 2 4 3 7 3 2 2 2 2" xfId="53571"/>
    <cellStyle name="20% - Accent1 2 4 3 7 3 2 2 3" xfId="42333"/>
    <cellStyle name="20% - Accent1 2 4 3 7 3 2 3" xfId="10900"/>
    <cellStyle name="20% - Accent1 2 4 3 7 3 2 3 2" xfId="53572"/>
    <cellStyle name="20% - Accent1 2 4 3 7 3 2 4" xfId="22701"/>
    <cellStyle name="20% - Accent1 2 4 3 7 3 2 4 2" xfId="53573"/>
    <cellStyle name="20% - Accent1 2 4 3 7 3 2 5" xfId="36316"/>
    <cellStyle name="20% - Accent1 2 4 3 7 3 3" xfId="13053"/>
    <cellStyle name="20% - Accent1 2 4 3 7 3 3 2" xfId="24854"/>
    <cellStyle name="20% - Accent1 2 4 3 7 3 3 2 2" xfId="53574"/>
    <cellStyle name="20% - Accent1 2 4 3 7 3 3 3" xfId="38469"/>
    <cellStyle name="20% - Accent1 2 4 3 7 3 4" xfId="9059"/>
    <cellStyle name="20% - Accent1 2 4 3 7 3 4 2" xfId="53575"/>
    <cellStyle name="20% - Accent1 2 4 3 7 3 5" xfId="20860"/>
    <cellStyle name="20% - Accent1 2 4 3 7 3 5 2" xfId="53576"/>
    <cellStyle name="20% - Accent1 2 4 3 7 3 6" xfId="34475"/>
    <cellStyle name="20% - Accent1 2 4 3 7 4" xfId="4311"/>
    <cellStyle name="20% - Accent1 2 4 3 7 4 2" xfId="13054"/>
    <cellStyle name="20% - Accent1 2 4 3 7 4 2 2" xfId="24855"/>
    <cellStyle name="20% - Accent1 2 4 3 7 4 2 2 2" xfId="53577"/>
    <cellStyle name="20% - Accent1 2 4 3 7 4 2 3" xfId="38470"/>
    <cellStyle name="20% - Accent1 2 4 3 7 4 3" xfId="9764"/>
    <cellStyle name="20% - Accent1 2 4 3 7 4 3 2" xfId="44914"/>
    <cellStyle name="20% - Accent1 2 4 3 7 4 4" xfId="21565"/>
    <cellStyle name="20% - Accent1 2 4 3 7 4 4 2" xfId="53578"/>
    <cellStyle name="20% - Accent1 2 4 3 7 4 5" xfId="35180"/>
    <cellStyle name="20% - Accent1 2 4 3 7 5" xfId="2470"/>
    <cellStyle name="20% - Accent1 2 4 3 7 5 2" xfId="17048"/>
    <cellStyle name="20% - Accent1 2 4 3 7 5 2 2" xfId="28849"/>
    <cellStyle name="20% - Accent1 2 4 3 7 5 2 2 2" xfId="53579"/>
    <cellStyle name="20% - Accent1 2 4 3 7 5 2 3" xfId="42464"/>
    <cellStyle name="20% - Accent1 2 4 3 7 5 3" xfId="7923"/>
    <cellStyle name="20% - Accent1 2 4 3 7 5 3 2" xfId="53580"/>
    <cellStyle name="20% - Accent1 2 4 3 7 5 4" xfId="19724"/>
    <cellStyle name="20% - Accent1 2 4 3 7 5 4 2" xfId="53581"/>
    <cellStyle name="20% - Accent1 2 4 3 7 5 5" xfId="33339"/>
    <cellStyle name="20% - Accent1 2 4 3 7 6" xfId="13055"/>
    <cellStyle name="20% - Accent1 2 4 3 7 6 2" xfId="24856"/>
    <cellStyle name="20% - Accent1 2 4 3 7 6 2 2" xfId="53582"/>
    <cellStyle name="20% - Accent1 2 4 3 7 6 3" xfId="38471"/>
    <cellStyle name="20% - Accent1 2 4 3 7 7" xfId="6023"/>
    <cellStyle name="20% - Accent1 2 4 3 7 7 2" xfId="53583"/>
    <cellStyle name="20% - Accent1 2 4 3 7 8" xfId="17824"/>
    <cellStyle name="20% - Accent1 2 4 3 7 8 2" xfId="53584"/>
    <cellStyle name="20% - Accent1 2 4 3 7 9" xfId="31439"/>
    <cellStyle name="20% - Accent1 2 4 3 8" xfId="257"/>
    <cellStyle name="20% - Accent1 2 4 3 8 2" xfId="1310"/>
    <cellStyle name="20% - Accent1 2 4 3 8 2 2" xfId="4567"/>
    <cellStyle name="20% - Accent1 2 4 3 8 2 2 2" xfId="13056"/>
    <cellStyle name="20% - Accent1 2 4 3 8 2 2 2 2" xfId="24857"/>
    <cellStyle name="20% - Accent1 2 4 3 8 2 2 2 2 2" xfId="53585"/>
    <cellStyle name="20% - Accent1 2 4 3 8 2 2 2 3" xfId="38472"/>
    <cellStyle name="20% - Accent1 2 4 3 8 2 2 3" xfId="10020"/>
    <cellStyle name="20% - Accent1 2 4 3 8 2 2 3 2" xfId="44915"/>
    <cellStyle name="20% - Accent1 2 4 3 8 2 2 4" xfId="21821"/>
    <cellStyle name="20% - Accent1 2 4 3 8 2 2 4 2" xfId="53586"/>
    <cellStyle name="20% - Accent1 2 4 3 8 2 2 5" xfId="35436"/>
    <cellStyle name="20% - Accent1 2 4 3 8 2 3" xfId="2726"/>
    <cellStyle name="20% - Accent1 2 4 3 8 2 3 2" xfId="13057"/>
    <cellStyle name="20% - Accent1 2 4 3 8 2 3 2 2" xfId="24858"/>
    <cellStyle name="20% - Accent1 2 4 3 8 2 3 2 2 2" xfId="53587"/>
    <cellStyle name="20% - Accent1 2 4 3 8 2 3 2 3" xfId="38473"/>
    <cellStyle name="20% - Accent1 2 4 3 8 2 3 3" xfId="8179"/>
    <cellStyle name="20% - Accent1 2 4 3 8 2 3 3 2" xfId="44916"/>
    <cellStyle name="20% - Accent1 2 4 3 8 2 3 4" xfId="19980"/>
    <cellStyle name="20% - Accent1 2 4 3 8 2 3 4 2" xfId="53588"/>
    <cellStyle name="20% - Accent1 2 4 3 8 2 3 5" xfId="33595"/>
    <cellStyle name="20% - Accent1 2 4 3 8 2 4" xfId="13058"/>
    <cellStyle name="20% - Accent1 2 4 3 8 2 4 2" xfId="24859"/>
    <cellStyle name="20% - Accent1 2 4 3 8 2 4 2 2" xfId="53589"/>
    <cellStyle name="20% - Accent1 2 4 3 8 2 4 3" xfId="38474"/>
    <cellStyle name="20% - Accent1 2 4 3 8 2 5" xfId="6764"/>
    <cellStyle name="20% - Accent1 2 4 3 8 2 5 2" xfId="44917"/>
    <cellStyle name="20% - Accent1 2 4 3 8 2 6" xfId="18565"/>
    <cellStyle name="20% - Accent1 2 4 3 8 2 6 2" xfId="53590"/>
    <cellStyle name="20% - Accent1 2 4 3 8 2 7" xfId="32180"/>
    <cellStyle name="20% - Accent1 2 4 3 8 3" xfId="3294"/>
    <cellStyle name="20% - Accent1 2 4 3 8 3 2" xfId="5135"/>
    <cellStyle name="20% - Accent1 2 4 3 8 3 2 2" xfId="16605"/>
    <cellStyle name="20% - Accent1 2 4 3 8 3 2 2 2" xfId="28406"/>
    <cellStyle name="20% - Accent1 2 4 3 8 3 2 2 2 2" xfId="53591"/>
    <cellStyle name="20% - Accent1 2 4 3 8 3 2 2 3" xfId="42021"/>
    <cellStyle name="20% - Accent1 2 4 3 8 3 2 3" xfId="10588"/>
    <cellStyle name="20% - Accent1 2 4 3 8 3 2 3 2" xfId="53592"/>
    <cellStyle name="20% - Accent1 2 4 3 8 3 2 4" xfId="22389"/>
    <cellStyle name="20% - Accent1 2 4 3 8 3 2 4 2" xfId="53593"/>
    <cellStyle name="20% - Accent1 2 4 3 8 3 2 5" xfId="36004"/>
    <cellStyle name="20% - Accent1 2 4 3 8 3 3" xfId="13059"/>
    <cellStyle name="20% - Accent1 2 4 3 8 3 3 2" xfId="24860"/>
    <cellStyle name="20% - Accent1 2 4 3 8 3 3 2 2" xfId="53594"/>
    <cellStyle name="20% - Accent1 2 4 3 8 3 3 3" xfId="38475"/>
    <cellStyle name="20% - Accent1 2 4 3 8 3 4" xfId="8747"/>
    <cellStyle name="20% - Accent1 2 4 3 8 3 4 2" xfId="53595"/>
    <cellStyle name="20% - Accent1 2 4 3 8 3 5" xfId="20548"/>
    <cellStyle name="20% - Accent1 2 4 3 8 3 5 2" xfId="53596"/>
    <cellStyle name="20% - Accent1 2 4 3 8 3 6" xfId="34163"/>
    <cellStyle name="20% - Accent1 2 4 3 8 4" xfId="3999"/>
    <cellStyle name="20% - Accent1 2 4 3 8 4 2" xfId="13060"/>
    <cellStyle name="20% - Accent1 2 4 3 8 4 2 2" xfId="24861"/>
    <cellStyle name="20% - Accent1 2 4 3 8 4 2 2 2" xfId="53597"/>
    <cellStyle name="20% - Accent1 2 4 3 8 4 2 3" xfId="38476"/>
    <cellStyle name="20% - Accent1 2 4 3 8 4 3" xfId="9452"/>
    <cellStyle name="20% - Accent1 2 4 3 8 4 3 2" xfId="44918"/>
    <cellStyle name="20% - Accent1 2 4 3 8 4 4" xfId="21253"/>
    <cellStyle name="20% - Accent1 2 4 3 8 4 4 2" xfId="53598"/>
    <cellStyle name="20% - Accent1 2 4 3 8 4 5" xfId="34868"/>
    <cellStyle name="20% - Accent1 2 4 3 8 5" xfId="2158"/>
    <cellStyle name="20% - Accent1 2 4 3 8 5 2" xfId="17049"/>
    <cellStyle name="20% - Accent1 2 4 3 8 5 2 2" xfId="28850"/>
    <cellStyle name="20% - Accent1 2 4 3 8 5 2 2 2" xfId="53599"/>
    <cellStyle name="20% - Accent1 2 4 3 8 5 2 3" xfId="42465"/>
    <cellStyle name="20% - Accent1 2 4 3 8 5 3" xfId="7611"/>
    <cellStyle name="20% - Accent1 2 4 3 8 5 3 2" xfId="53600"/>
    <cellStyle name="20% - Accent1 2 4 3 8 5 4" xfId="19412"/>
    <cellStyle name="20% - Accent1 2 4 3 8 5 4 2" xfId="53601"/>
    <cellStyle name="20% - Accent1 2 4 3 8 5 5" xfId="33027"/>
    <cellStyle name="20% - Accent1 2 4 3 8 6" xfId="13061"/>
    <cellStyle name="20% - Accent1 2 4 3 8 6 2" xfId="24862"/>
    <cellStyle name="20% - Accent1 2 4 3 8 6 2 2" xfId="53602"/>
    <cellStyle name="20% - Accent1 2 4 3 8 6 3" xfId="38477"/>
    <cellStyle name="20% - Accent1 2 4 3 8 7" xfId="5711"/>
    <cellStyle name="20% - Accent1 2 4 3 8 7 2" xfId="53603"/>
    <cellStyle name="20% - Accent1 2 4 3 8 8" xfId="17512"/>
    <cellStyle name="20% - Accent1 2 4 3 8 8 2" xfId="53604"/>
    <cellStyle name="20% - Accent1 2 4 3 8 9" xfId="31127"/>
    <cellStyle name="20% - Accent1 2 4 3 9" xfId="584"/>
    <cellStyle name="20% - Accent1 2 4 3 9 2" xfId="1311"/>
    <cellStyle name="20% - Accent1 2 4 3 9 2 2" xfId="4326"/>
    <cellStyle name="20% - Accent1 2 4 3 9 2 2 2" xfId="13062"/>
    <cellStyle name="20% - Accent1 2 4 3 9 2 2 2 2" xfId="24863"/>
    <cellStyle name="20% - Accent1 2 4 3 9 2 2 2 2 2" xfId="53605"/>
    <cellStyle name="20% - Accent1 2 4 3 9 2 2 2 3" xfId="38478"/>
    <cellStyle name="20% - Accent1 2 4 3 9 2 2 3" xfId="9779"/>
    <cellStyle name="20% - Accent1 2 4 3 9 2 2 3 2" xfId="44919"/>
    <cellStyle name="20% - Accent1 2 4 3 9 2 2 4" xfId="21580"/>
    <cellStyle name="20% - Accent1 2 4 3 9 2 2 4 2" xfId="53606"/>
    <cellStyle name="20% - Accent1 2 4 3 9 2 2 5" xfId="35195"/>
    <cellStyle name="20% - Accent1 2 4 3 9 2 3" xfId="13063"/>
    <cellStyle name="20% - Accent1 2 4 3 9 2 3 2" xfId="24864"/>
    <cellStyle name="20% - Accent1 2 4 3 9 2 3 2 2" xfId="44920"/>
    <cellStyle name="20% - Accent1 2 4 3 9 2 3 3" xfId="29741"/>
    <cellStyle name="20% - Accent1 2 4 3 9 2 3 3 2" xfId="44921"/>
    <cellStyle name="20% - Accent1 2 4 3 9 2 3 4" xfId="29742"/>
    <cellStyle name="20% - Accent1 2 4 3 9 2 3 4 2" xfId="53607"/>
    <cellStyle name="20% - Accent1 2 4 3 9 2 3 5" xfId="38479"/>
    <cellStyle name="20% - Accent1 2 4 3 9 2 4" xfId="13064"/>
    <cellStyle name="20% - Accent1 2 4 3 9 2 4 2" xfId="24865"/>
    <cellStyle name="20% - Accent1 2 4 3 9 2 4 2 2" xfId="53608"/>
    <cellStyle name="20% - Accent1 2 4 3 9 2 4 3" xfId="38480"/>
    <cellStyle name="20% - Accent1 2 4 3 9 2 5" xfId="6765"/>
    <cellStyle name="20% - Accent1 2 4 3 9 2 5 2" xfId="44922"/>
    <cellStyle name="20% - Accent1 2 4 3 9 2 6" xfId="18566"/>
    <cellStyle name="20% - Accent1 2 4 3 9 2 6 2" xfId="53609"/>
    <cellStyle name="20% - Accent1 2 4 3 9 2 7" xfId="32181"/>
    <cellStyle name="20% - Accent1 2 4 3 9 3" xfId="2485"/>
    <cellStyle name="20% - Accent1 2 4 3 9 3 2" xfId="13065"/>
    <cellStyle name="20% - Accent1 2 4 3 9 3 2 2" xfId="24866"/>
    <cellStyle name="20% - Accent1 2 4 3 9 3 2 2 2" xfId="53610"/>
    <cellStyle name="20% - Accent1 2 4 3 9 3 2 3" xfId="38481"/>
    <cellStyle name="20% - Accent1 2 4 3 9 3 3" xfId="7938"/>
    <cellStyle name="20% - Accent1 2 4 3 9 3 3 2" xfId="44923"/>
    <cellStyle name="20% - Accent1 2 4 3 9 3 4" xfId="19739"/>
    <cellStyle name="20% - Accent1 2 4 3 9 3 4 2" xfId="53611"/>
    <cellStyle name="20% - Accent1 2 4 3 9 3 5" xfId="33354"/>
    <cellStyle name="20% - Accent1 2 4 3 9 4" xfId="13066"/>
    <cellStyle name="20% - Accent1 2 4 3 9 4 2" xfId="24867"/>
    <cellStyle name="20% - Accent1 2 4 3 9 4 2 2" xfId="44924"/>
    <cellStyle name="20% - Accent1 2 4 3 9 4 3" xfId="29743"/>
    <cellStyle name="20% - Accent1 2 4 3 9 4 3 2" xfId="44925"/>
    <cellStyle name="20% - Accent1 2 4 3 9 4 4" xfId="29744"/>
    <cellStyle name="20% - Accent1 2 4 3 9 4 4 2" xfId="53612"/>
    <cellStyle name="20% - Accent1 2 4 3 9 4 5" xfId="38482"/>
    <cellStyle name="20% - Accent1 2 4 3 9 5" xfId="13067"/>
    <cellStyle name="20% - Accent1 2 4 3 9 5 2" xfId="24868"/>
    <cellStyle name="20% - Accent1 2 4 3 9 5 2 2" xfId="53613"/>
    <cellStyle name="20% - Accent1 2 4 3 9 5 3" xfId="38483"/>
    <cellStyle name="20% - Accent1 2 4 3 9 6" xfId="6038"/>
    <cellStyle name="20% - Accent1 2 4 3 9 6 2" xfId="44926"/>
    <cellStyle name="20% - Accent1 2 4 3 9 7" xfId="17839"/>
    <cellStyle name="20% - Accent1 2 4 3 9 7 2" xfId="53614"/>
    <cellStyle name="20% - Accent1 2 4 3 9 8" xfId="31454"/>
    <cellStyle name="20% - Accent1 2 4 4" xfId="26"/>
    <cellStyle name="20% - Accent1 2 4 4 10" xfId="1927"/>
    <cellStyle name="20% - Accent1 2 4 4 10 2" xfId="13068"/>
    <cellStyle name="20% - Accent1 2 4 4 10 2 2" xfId="24869"/>
    <cellStyle name="20% - Accent1 2 4 4 10 2 2 2" xfId="53615"/>
    <cellStyle name="20% - Accent1 2 4 4 10 2 3" xfId="38484"/>
    <cellStyle name="20% - Accent1 2 4 4 10 3" xfId="7380"/>
    <cellStyle name="20% - Accent1 2 4 4 10 3 2" xfId="44927"/>
    <cellStyle name="20% - Accent1 2 4 4 10 4" xfId="19181"/>
    <cellStyle name="20% - Accent1 2 4 4 10 4 2" xfId="53616"/>
    <cellStyle name="20% - Accent1 2 4 4 10 5" xfId="32796"/>
    <cellStyle name="20% - Accent1 2 4 4 11" xfId="13069"/>
    <cellStyle name="20% - Accent1 2 4 4 11 2" xfId="24870"/>
    <cellStyle name="20% - Accent1 2 4 4 11 2 2" xfId="53617"/>
    <cellStyle name="20% - Accent1 2 4 4 11 3" xfId="38485"/>
    <cellStyle name="20% - Accent1 2 4 4 12" xfId="5480"/>
    <cellStyle name="20% - Accent1 2 4 4 12 2" xfId="44928"/>
    <cellStyle name="20% - Accent1 2 4 4 13" xfId="17281"/>
    <cellStyle name="20% - Accent1 2 4 4 13 2" xfId="53618"/>
    <cellStyle name="20% - Accent1 2 4 4 14" xfId="30896"/>
    <cellStyle name="20% - Accent1 2 4 4 2" xfId="93"/>
    <cellStyle name="20% - Accent1 2 4 4 2 10" xfId="5547"/>
    <cellStyle name="20% - Accent1 2 4 4 2 10 2" xfId="44929"/>
    <cellStyle name="20% - Accent1 2 4 4 2 11" xfId="17348"/>
    <cellStyle name="20% - Accent1 2 4 4 2 11 2" xfId="53619"/>
    <cellStyle name="20% - Accent1 2 4 4 2 12" xfId="30963"/>
    <cellStyle name="20% - Accent1 2 4 4 2 2" xfId="209"/>
    <cellStyle name="20% - Accent1 2 4 4 2 2 10" xfId="31079"/>
    <cellStyle name="20% - Accent1 2 4 4 2 2 2" xfId="520"/>
    <cellStyle name="20% - Accent1 2 4 4 2 2 2 2" xfId="1312"/>
    <cellStyle name="20% - Accent1 2 4 4 2 2 2 2 2" xfId="4830"/>
    <cellStyle name="20% - Accent1 2 4 4 2 2 2 2 2 2" xfId="13070"/>
    <cellStyle name="20% - Accent1 2 4 4 2 2 2 2 2 2 2" xfId="24871"/>
    <cellStyle name="20% - Accent1 2 4 4 2 2 2 2 2 2 2 2" xfId="53620"/>
    <cellStyle name="20% - Accent1 2 4 4 2 2 2 2 2 2 3" xfId="38486"/>
    <cellStyle name="20% - Accent1 2 4 4 2 2 2 2 2 3" xfId="10283"/>
    <cellStyle name="20% - Accent1 2 4 4 2 2 2 2 2 3 2" xfId="44930"/>
    <cellStyle name="20% - Accent1 2 4 4 2 2 2 2 2 4" xfId="22084"/>
    <cellStyle name="20% - Accent1 2 4 4 2 2 2 2 2 4 2" xfId="53621"/>
    <cellStyle name="20% - Accent1 2 4 4 2 2 2 2 2 5" xfId="35699"/>
    <cellStyle name="20% - Accent1 2 4 4 2 2 2 2 3" xfId="2989"/>
    <cellStyle name="20% - Accent1 2 4 4 2 2 2 2 3 2" xfId="13071"/>
    <cellStyle name="20% - Accent1 2 4 4 2 2 2 2 3 2 2" xfId="24872"/>
    <cellStyle name="20% - Accent1 2 4 4 2 2 2 2 3 2 2 2" xfId="53622"/>
    <cellStyle name="20% - Accent1 2 4 4 2 2 2 2 3 2 3" xfId="38487"/>
    <cellStyle name="20% - Accent1 2 4 4 2 2 2 2 3 3" xfId="8442"/>
    <cellStyle name="20% - Accent1 2 4 4 2 2 2 2 3 3 2" xfId="44931"/>
    <cellStyle name="20% - Accent1 2 4 4 2 2 2 2 3 4" xfId="20243"/>
    <cellStyle name="20% - Accent1 2 4 4 2 2 2 2 3 4 2" xfId="53623"/>
    <cellStyle name="20% - Accent1 2 4 4 2 2 2 2 3 5" xfId="33858"/>
    <cellStyle name="20% - Accent1 2 4 4 2 2 2 2 4" xfId="13072"/>
    <cellStyle name="20% - Accent1 2 4 4 2 2 2 2 4 2" xfId="24873"/>
    <cellStyle name="20% - Accent1 2 4 4 2 2 2 2 4 2 2" xfId="53624"/>
    <cellStyle name="20% - Accent1 2 4 4 2 2 2 2 4 3" xfId="38488"/>
    <cellStyle name="20% - Accent1 2 4 4 2 2 2 2 5" xfId="6766"/>
    <cellStyle name="20% - Accent1 2 4 4 2 2 2 2 5 2" xfId="44932"/>
    <cellStyle name="20% - Accent1 2 4 4 2 2 2 2 6" xfId="18567"/>
    <cellStyle name="20% - Accent1 2 4 4 2 2 2 2 6 2" xfId="53625"/>
    <cellStyle name="20% - Accent1 2 4 4 2 2 2 2 7" xfId="32182"/>
    <cellStyle name="20% - Accent1 2 4 4 2 2 2 3" xfId="3557"/>
    <cellStyle name="20% - Accent1 2 4 4 2 2 2 3 2" xfId="5398"/>
    <cellStyle name="20% - Accent1 2 4 4 2 2 2 3 2 2" xfId="16868"/>
    <cellStyle name="20% - Accent1 2 4 4 2 2 2 3 2 2 2" xfId="28669"/>
    <cellStyle name="20% - Accent1 2 4 4 2 2 2 3 2 2 2 2" xfId="53626"/>
    <cellStyle name="20% - Accent1 2 4 4 2 2 2 3 2 2 3" xfId="42284"/>
    <cellStyle name="20% - Accent1 2 4 4 2 2 2 3 2 3" xfId="10851"/>
    <cellStyle name="20% - Accent1 2 4 4 2 2 2 3 2 3 2" xfId="53627"/>
    <cellStyle name="20% - Accent1 2 4 4 2 2 2 3 2 4" xfId="22652"/>
    <cellStyle name="20% - Accent1 2 4 4 2 2 2 3 2 4 2" xfId="53628"/>
    <cellStyle name="20% - Accent1 2 4 4 2 2 2 3 2 5" xfId="36267"/>
    <cellStyle name="20% - Accent1 2 4 4 2 2 2 3 3" xfId="13073"/>
    <cellStyle name="20% - Accent1 2 4 4 2 2 2 3 3 2" xfId="24874"/>
    <cellStyle name="20% - Accent1 2 4 4 2 2 2 3 3 2 2" xfId="53629"/>
    <cellStyle name="20% - Accent1 2 4 4 2 2 2 3 3 3" xfId="38489"/>
    <cellStyle name="20% - Accent1 2 4 4 2 2 2 3 4" xfId="9010"/>
    <cellStyle name="20% - Accent1 2 4 4 2 2 2 3 4 2" xfId="53630"/>
    <cellStyle name="20% - Accent1 2 4 4 2 2 2 3 5" xfId="20811"/>
    <cellStyle name="20% - Accent1 2 4 4 2 2 2 3 5 2" xfId="53631"/>
    <cellStyle name="20% - Accent1 2 4 4 2 2 2 3 6" xfId="34426"/>
    <cellStyle name="20% - Accent1 2 4 4 2 2 2 4" xfId="4262"/>
    <cellStyle name="20% - Accent1 2 4 4 2 2 2 4 2" xfId="13074"/>
    <cellStyle name="20% - Accent1 2 4 4 2 2 2 4 2 2" xfId="24875"/>
    <cellStyle name="20% - Accent1 2 4 4 2 2 2 4 2 2 2" xfId="53632"/>
    <cellStyle name="20% - Accent1 2 4 4 2 2 2 4 2 3" xfId="38490"/>
    <cellStyle name="20% - Accent1 2 4 4 2 2 2 4 3" xfId="9715"/>
    <cellStyle name="20% - Accent1 2 4 4 2 2 2 4 3 2" xfId="44933"/>
    <cellStyle name="20% - Accent1 2 4 4 2 2 2 4 4" xfId="21516"/>
    <cellStyle name="20% - Accent1 2 4 4 2 2 2 4 4 2" xfId="53633"/>
    <cellStyle name="20% - Accent1 2 4 4 2 2 2 4 5" xfId="35131"/>
    <cellStyle name="20% - Accent1 2 4 4 2 2 2 5" xfId="2421"/>
    <cellStyle name="20% - Accent1 2 4 4 2 2 2 5 2" xfId="17050"/>
    <cellStyle name="20% - Accent1 2 4 4 2 2 2 5 2 2" xfId="28851"/>
    <cellStyle name="20% - Accent1 2 4 4 2 2 2 5 2 2 2" xfId="53634"/>
    <cellStyle name="20% - Accent1 2 4 4 2 2 2 5 2 3" xfId="42466"/>
    <cellStyle name="20% - Accent1 2 4 4 2 2 2 5 3" xfId="7874"/>
    <cellStyle name="20% - Accent1 2 4 4 2 2 2 5 3 2" xfId="53635"/>
    <cellStyle name="20% - Accent1 2 4 4 2 2 2 5 4" xfId="19675"/>
    <cellStyle name="20% - Accent1 2 4 4 2 2 2 5 4 2" xfId="53636"/>
    <cellStyle name="20% - Accent1 2 4 4 2 2 2 5 5" xfId="33290"/>
    <cellStyle name="20% - Accent1 2 4 4 2 2 2 6" xfId="13075"/>
    <cellStyle name="20% - Accent1 2 4 4 2 2 2 6 2" xfId="24876"/>
    <cellStyle name="20% - Accent1 2 4 4 2 2 2 6 2 2" xfId="53637"/>
    <cellStyle name="20% - Accent1 2 4 4 2 2 2 6 3" xfId="38491"/>
    <cellStyle name="20% - Accent1 2 4 4 2 2 2 7" xfId="5974"/>
    <cellStyle name="20% - Accent1 2 4 4 2 2 2 7 2" xfId="53638"/>
    <cellStyle name="20% - Accent1 2 4 4 2 2 2 8" xfId="17775"/>
    <cellStyle name="20% - Accent1 2 4 4 2 2 2 8 2" xfId="53639"/>
    <cellStyle name="20% - Accent1 2 4 4 2 2 2 9" xfId="31390"/>
    <cellStyle name="20% - Accent1 2 4 4 2 2 3" xfId="777"/>
    <cellStyle name="20% - Accent1 2 4 4 2 2 3 2" xfId="1313"/>
    <cellStyle name="20% - Accent1 2 4 4 2 2 3 2 2" xfId="4519"/>
    <cellStyle name="20% - Accent1 2 4 4 2 2 3 2 2 2" xfId="13076"/>
    <cellStyle name="20% - Accent1 2 4 4 2 2 3 2 2 2 2" xfId="24877"/>
    <cellStyle name="20% - Accent1 2 4 4 2 2 3 2 2 2 2 2" xfId="53640"/>
    <cellStyle name="20% - Accent1 2 4 4 2 2 3 2 2 2 3" xfId="38492"/>
    <cellStyle name="20% - Accent1 2 4 4 2 2 3 2 2 3" xfId="9972"/>
    <cellStyle name="20% - Accent1 2 4 4 2 2 3 2 2 3 2" xfId="44934"/>
    <cellStyle name="20% - Accent1 2 4 4 2 2 3 2 2 4" xfId="21773"/>
    <cellStyle name="20% - Accent1 2 4 4 2 2 3 2 2 4 2" xfId="53641"/>
    <cellStyle name="20% - Accent1 2 4 4 2 2 3 2 2 5" xfId="35388"/>
    <cellStyle name="20% - Accent1 2 4 4 2 2 3 2 3" xfId="13077"/>
    <cellStyle name="20% - Accent1 2 4 4 2 2 3 2 3 2" xfId="24878"/>
    <cellStyle name="20% - Accent1 2 4 4 2 2 3 2 3 2 2" xfId="44935"/>
    <cellStyle name="20% - Accent1 2 4 4 2 2 3 2 3 3" xfId="29745"/>
    <cellStyle name="20% - Accent1 2 4 4 2 2 3 2 3 3 2" xfId="44936"/>
    <cellStyle name="20% - Accent1 2 4 4 2 2 3 2 3 4" xfId="29746"/>
    <cellStyle name="20% - Accent1 2 4 4 2 2 3 2 3 4 2" xfId="53642"/>
    <cellStyle name="20% - Accent1 2 4 4 2 2 3 2 3 5" xfId="38493"/>
    <cellStyle name="20% - Accent1 2 4 4 2 2 3 2 4" xfId="13078"/>
    <cellStyle name="20% - Accent1 2 4 4 2 2 3 2 4 2" xfId="24879"/>
    <cellStyle name="20% - Accent1 2 4 4 2 2 3 2 4 2 2" xfId="53643"/>
    <cellStyle name="20% - Accent1 2 4 4 2 2 3 2 4 3" xfId="38494"/>
    <cellStyle name="20% - Accent1 2 4 4 2 2 3 2 5" xfId="6767"/>
    <cellStyle name="20% - Accent1 2 4 4 2 2 3 2 5 2" xfId="44937"/>
    <cellStyle name="20% - Accent1 2 4 4 2 2 3 2 6" xfId="18568"/>
    <cellStyle name="20% - Accent1 2 4 4 2 2 3 2 6 2" xfId="53644"/>
    <cellStyle name="20% - Accent1 2 4 4 2 2 3 2 7" xfId="32183"/>
    <cellStyle name="20% - Accent1 2 4 4 2 2 3 3" xfId="2678"/>
    <cellStyle name="20% - Accent1 2 4 4 2 2 3 3 2" xfId="13079"/>
    <cellStyle name="20% - Accent1 2 4 4 2 2 3 3 2 2" xfId="24880"/>
    <cellStyle name="20% - Accent1 2 4 4 2 2 3 3 2 2 2" xfId="53645"/>
    <cellStyle name="20% - Accent1 2 4 4 2 2 3 3 2 3" xfId="38495"/>
    <cellStyle name="20% - Accent1 2 4 4 2 2 3 3 3" xfId="8131"/>
    <cellStyle name="20% - Accent1 2 4 4 2 2 3 3 3 2" xfId="44938"/>
    <cellStyle name="20% - Accent1 2 4 4 2 2 3 3 4" xfId="19932"/>
    <cellStyle name="20% - Accent1 2 4 4 2 2 3 3 4 2" xfId="53646"/>
    <cellStyle name="20% - Accent1 2 4 4 2 2 3 3 5" xfId="33547"/>
    <cellStyle name="20% - Accent1 2 4 4 2 2 3 4" xfId="13080"/>
    <cellStyle name="20% - Accent1 2 4 4 2 2 3 4 2" xfId="24881"/>
    <cellStyle name="20% - Accent1 2 4 4 2 2 3 4 2 2" xfId="44939"/>
    <cellStyle name="20% - Accent1 2 4 4 2 2 3 4 3" xfId="29747"/>
    <cellStyle name="20% - Accent1 2 4 4 2 2 3 4 3 2" xfId="44940"/>
    <cellStyle name="20% - Accent1 2 4 4 2 2 3 4 4" xfId="29748"/>
    <cellStyle name="20% - Accent1 2 4 4 2 2 3 4 4 2" xfId="53647"/>
    <cellStyle name="20% - Accent1 2 4 4 2 2 3 4 5" xfId="38496"/>
    <cellStyle name="20% - Accent1 2 4 4 2 2 3 5" xfId="13081"/>
    <cellStyle name="20% - Accent1 2 4 4 2 2 3 5 2" xfId="24882"/>
    <cellStyle name="20% - Accent1 2 4 4 2 2 3 5 2 2" xfId="53648"/>
    <cellStyle name="20% - Accent1 2 4 4 2 2 3 5 3" xfId="38497"/>
    <cellStyle name="20% - Accent1 2 4 4 2 2 3 6" xfId="6231"/>
    <cellStyle name="20% - Accent1 2 4 4 2 2 3 6 2" xfId="44941"/>
    <cellStyle name="20% - Accent1 2 4 4 2 2 3 7" xfId="18032"/>
    <cellStyle name="20% - Accent1 2 4 4 2 2 3 7 2" xfId="53649"/>
    <cellStyle name="20% - Accent1 2 4 4 2 2 3 8" xfId="31647"/>
    <cellStyle name="20% - Accent1 2 4 4 2 2 4" xfId="1314"/>
    <cellStyle name="20% - Accent1 2 4 4 2 2 4 2" xfId="5087"/>
    <cellStyle name="20% - Accent1 2 4 4 2 2 4 2 2" xfId="13082"/>
    <cellStyle name="20% - Accent1 2 4 4 2 2 4 2 2 2" xfId="24883"/>
    <cellStyle name="20% - Accent1 2 4 4 2 2 4 2 2 2 2" xfId="53650"/>
    <cellStyle name="20% - Accent1 2 4 4 2 2 4 2 2 3" xfId="38498"/>
    <cellStyle name="20% - Accent1 2 4 4 2 2 4 2 3" xfId="10540"/>
    <cellStyle name="20% - Accent1 2 4 4 2 2 4 2 3 2" xfId="44942"/>
    <cellStyle name="20% - Accent1 2 4 4 2 2 4 2 4" xfId="22341"/>
    <cellStyle name="20% - Accent1 2 4 4 2 2 4 2 4 2" xfId="53651"/>
    <cellStyle name="20% - Accent1 2 4 4 2 2 4 2 5" xfId="35956"/>
    <cellStyle name="20% - Accent1 2 4 4 2 2 4 3" xfId="3246"/>
    <cellStyle name="20% - Accent1 2 4 4 2 2 4 3 2" xfId="13083"/>
    <cellStyle name="20% - Accent1 2 4 4 2 2 4 3 2 2" xfId="24884"/>
    <cellStyle name="20% - Accent1 2 4 4 2 2 4 3 2 2 2" xfId="53652"/>
    <cellStyle name="20% - Accent1 2 4 4 2 2 4 3 2 3" xfId="38499"/>
    <cellStyle name="20% - Accent1 2 4 4 2 2 4 3 3" xfId="8699"/>
    <cellStyle name="20% - Accent1 2 4 4 2 2 4 3 3 2" xfId="44943"/>
    <cellStyle name="20% - Accent1 2 4 4 2 2 4 3 4" xfId="20500"/>
    <cellStyle name="20% - Accent1 2 4 4 2 2 4 3 4 2" xfId="53653"/>
    <cellStyle name="20% - Accent1 2 4 4 2 2 4 3 5" xfId="34115"/>
    <cellStyle name="20% - Accent1 2 4 4 2 2 4 4" xfId="13084"/>
    <cellStyle name="20% - Accent1 2 4 4 2 2 4 4 2" xfId="24885"/>
    <cellStyle name="20% - Accent1 2 4 4 2 2 4 4 2 2" xfId="53654"/>
    <cellStyle name="20% - Accent1 2 4 4 2 2 4 4 3" xfId="38500"/>
    <cellStyle name="20% - Accent1 2 4 4 2 2 4 5" xfId="6768"/>
    <cellStyle name="20% - Accent1 2 4 4 2 2 4 5 2" xfId="44944"/>
    <cellStyle name="20% - Accent1 2 4 4 2 2 4 6" xfId="18569"/>
    <cellStyle name="20% - Accent1 2 4 4 2 2 4 6 2" xfId="53655"/>
    <cellStyle name="20% - Accent1 2 4 4 2 2 4 7" xfId="32184"/>
    <cellStyle name="20% - Accent1 2 4 4 2 2 5" xfId="3951"/>
    <cellStyle name="20% - Accent1 2 4 4 2 2 5 2" xfId="13085"/>
    <cellStyle name="20% - Accent1 2 4 4 2 2 5 2 2" xfId="24886"/>
    <cellStyle name="20% - Accent1 2 4 4 2 2 5 2 2 2" xfId="53656"/>
    <cellStyle name="20% - Accent1 2 4 4 2 2 5 2 3" xfId="38501"/>
    <cellStyle name="20% - Accent1 2 4 4 2 2 5 3" xfId="9404"/>
    <cellStyle name="20% - Accent1 2 4 4 2 2 5 3 2" xfId="44945"/>
    <cellStyle name="20% - Accent1 2 4 4 2 2 5 4" xfId="21205"/>
    <cellStyle name="20% - Accent1 2 4 4 2 2 5 4 2" xfId="53657"/>
    <cellStyle name="20% - Accent1 2 4 4 2 2 5 5" xfId="34820"/>
    <cellStyle name="20% - Accent1 2 4 4 2 2 6" xfId="2110"/>
    <cellStyle name="20% - Accent1 2 4 4 2 2 6 2" xfId="13086"/>
    <cellStyle name="20% - Accent1 2 4 4 2 2 6 2 2" xfId="24887"/>
    <cellStyle name="20% - Accent1 2 4 4 2 2 6 2 2 2" xfId="53658"/>
    <cellStyle name="20% - Accent1 2 4 4 2 2 6 2 3" xfId="38502"/>
    <cellStyle name="20% - Accent1 2 4 4 2 2 6 3" xfId="7563"/>
    <cellStyle name="20% - Accent1 2 4 4 2 2 6 3 2" xfId="44946"/>
    <cellStyle name="20% - Accent1 2 4 4 2 2 6 4" xfId="19364"/>
    <cellStyle name="20% - Accent1 2 4 4 2 2 6 4 2" xfId="53659"/>
    <cellStyle name="20% - Accent1 2 4 4 2 2 6 5" xfId="32979"/>
    <cellStyle name="20% - Accent1 2 4 4 2 2 7" xfId="13087"/>
    <cellStyle name="20% - Accent1 2 4 4 2 2 7 2" xfId="24888"/>
    <cellStyle name="20% - Accent1 2 4 4 2 2 7 2 2" xfId="53660"/>
    <cellStyle name="20% - Accent1 2 4 4 2 2 7 3" xfId="38503"/>
    <cellStyle name="20% - Accent1 2 4 4 2 2 8" xfId="5663"/>
    <cellStyle name="20% - Accent1 2 4 4 2 2 8 2" xfId="44947"/>
    <cellStyle name="20% - Accent1 2 4 4 2 2 9" xfId="17464"/>
    <cellStyle name="20% - Accent1 2 4 4 2 2 9 2" xfId="53661"/>
    <cellStyle name="20% - Accent1 2 4 4 2 3" xfId="383"/>
    <cellStyle name="20% - Accent1 2 4 4 2 3 2" xfId="1315"/>
    <cellStyle name="20% - Accent1 2 4 4 2 3 2 2" xfId="4693"/>
    <cellStyle name="20% - Accent1 2 4 4 2 3 2 2 2" xfId="13088"/>
    <cellStyle name="20% - Accent1 2 4 4 2 3 2 2 2 2" xfId="24889"/>
    <cellStyle name="20% - Accent1 2 4 4 2 3 2 2 2 2 2" xfId="53662"/>
    <cellStyle name="20% - Accent1 2 4 4 2 3 2 2 2 3" xfId="38504"/>
    <cellStyle name="20% - Accent1 2 4 4 2 3 2 2 3" xfId="10146"/>
    <cellStyle name="20% - Accent1 2 4 4 2 3 2 2 3 2" xfId="44948"/>
    <cellStyle name="20% - Accent1 2 4 4 2 3 2 2 4" xfId="21947"/>
    <cellStyle name="20% - Accent1 2 4 4 2 3 2 2 4 2" xfId="53663"/>
    <cellStyle name="20% - Accent1 2 4 4 2 3 2 2 5" xfId="35562"/>
    <cellStyle name="20% - Accent1 2 4 4 2 3 2 3" xfId="2852"/>
    <cellStyle name="20% - Accent1 2 4 4 2 3 2 3 2" xfId="13089"/>
    <cellStyle name="20% - Accent1 2 4 4 2 3 2 3 2 2" xfId="24890"/>
    <cellStyle name="20% - Accent1 2 4 4 2 3 2 3 2 2 2" xfId="53664"/>
    <cellStyle name="20% - Accent1 2 4 4 2 3 2 3 2 3" xfId="38505"/>
    <cellStyle name="20% - Accent1 2 4 4 2 3 2 3 3" xfId="8305"/>
    <cellStyle name="20% - Accent1 2 4 4 2 3 2 3 3 2" xfId="44949"/>
    <cellStyle name="20% - Accent1 2 4 4 2 3 2 3 4" xfId="20106"/>
    <cellStyle name="20% - Accent1 2 4 4 2 3 2 3 4 2" xfId="53665"/>
    <cellStyle name="20% - Accent1 2 4 4 2 3 2 3 5" xfId="33721"/>
    <cellStyle name="20% - Accent1 2 4 4 2 3 2 4" xfId="13090"/>
    <cellStyle name="20% - Accent1 2 4 4 2 3 2 4 2" xfId="24891"/>
    <cellStyle name="20% - Accent1 2 4 4 2 3 2 4 2 2" xfId="53666"/>
    <cellStyle name="20% - Accent1 2 4 4 2 3 2 4 3" xfId="38506"/>
    <cellStyle name="20% - Accent1 2 4 4 2 3 2 5" xfId="6769"/>
    <cellStyle name="20% - Accent1 2 4 4 2 3 2 5 2" xfId="44950"/>
    <cellStyle name="20% - Accent1 2 4 4 2 3 2 6" xfId="18570"/>
    <cellStyle name="20% - Accent1 2 4 4 2 3 2 6 2" xfId="53667"/>
    <cellStyle name="20% - Accent1 2 4 4 2 3 2 7" xfId="32185"/>
    <cellStyle name="20% - Accent1 2 4 4 2 3 3" xfId="3420"/>
    <cellStyle name="20% - Accent1 2 4 4 2 3 3 2" xfId="5261"/>
    <cellStyle name="20% - Accent1 2 4 4 2 3 3 2 2" xfId="16731"/>
    <cellStyle name="20% - Accent1 2 4 4 2 3 3 2 2 2" xfId="28532"/>
    <cellStyle name="20% - Accent1 2 4 4 2 3 3 2 2 2 2" xfId="53668"/>
    <cellStyle name="20% - Accent1 2 4 4 2 3 3 2 2 3" xfId="42147"/>
    <cellStyle name="20% - Accent1 2 4 4 2 3 3 2 3" xfId="10714"/>
    <cellStyle name="20% - Accent1 2 4 4 2 3 3 2 3 2" xfId="53669"/>
    <cellStyle name="20% - Accent1 2 4 4 2 3 3 2 4" xfId="22515"/>
    <cellStyle name="20% - Accent1 2 4 4 2 3 3 2 4 2" xfId="53670"/>
    <cellStyle name="20% - Accent1 2 4 4 2 3 3 2 5" xfId="36130"/>
    <cellStyle name="20% - Accent1 2 4 4 2 3 3 3" xfId="13091"/>
    <cellStyle name="20% - Accent1 2 4 4 2 3 3 3 2" xfId="24892"/>
    <cellStyle name="20% - Accent1 2 4 4 2 3 3 3 2 2" xfId="53671"/>
    <cellStyle name="20% - Accent1 2 4 4 2 3 3 3 3" xfId="38507"/>
    <cellStyle name="20% - Accent1 2 4 4 2 3 3 4" xfId="8873"/>
    <cellStyle name="20% - Accent1 2 4 4 2 3 3 4 2" xfId="53672"/>
    <cellStyle name="20% - Accent1 2 4 4 2 3 3 5" xfId="20674"/>
    <cellStyle name="20% - Accent1 2 4 4 2 3 3 5 2" xfId="53673"/>
    <cellStyle name="20% - Accent1 2 4 4 2 3 3 6" xfId="34289"/>
    <cellStyle name="20% - Accent1 2 4 4 2 3 4" xfId="4125"/>
    <cellStyle name="20% - Accent1 2 4 4 2 3 4 2" xfId="13092"/>
    <cellStyle name="20% - Accent1 2 4 4 2 3 4 2 2" xfId="24893"/>
    <cellStyle name="20% - Accent1 2 4 4 2 3 4 2 2 2" xfId="53674"/>
    <cellStyle name="20% - Accent1 2 4 4 2 3 4 2 3" xfId="38508"/>
    <cellStyle name="20% - Accent1 2 4 4 2 3 4 3" xfId="9578"/>
    <cellStyle name="20% - Accent1 2 4 4 2 3 4 3 2" xfId="44951"/>
    <cellStyle name="20% - Accent1 2 4 4 2 3 4 4" xfId="21379"/>
    <cellStyle name="20% - Accent1 2 4 4 2 3 4 4 2" xfId="53675"/>
    <cellStyle name="20% - Accent1 2 4 4 2 3 4 5" xfId="34994"/>
    <cellStyle name="20% - Accent1 2 4 4 2 3 5" xfId="2284"/>
    <cellStyle name="20% - Accent1 2 4 4 2 3 5 2" xfId="17051"/>
    <cellStyle name="20% - Accent1 2 4 4 2 3 5 2 2" xfId="28852"/>
    <cellStyle name="20% - Accent1 2 4 4 2 3 5 2 2 2" xfId="53676"/>
    <cellStyle name="20% - Accent1 2 4 4 2 3 5 2 3" xfId="42467"/>
    <cellStyle name="20% - Accent1 2 4 4 2 3 5 3" xfId="7737"/>
    <cellStyle name="20% - Accent1 2 4 4 2 3 5 3 2" xfId="53677"/>
    <cellStyle name="20% - Accent1 2 4 4 2 3 5 4" xfId="19538"/>
    <cellStyle name="20% - Accent1 2 4 4 2 3 5 4 2" xfId="53678"/>
    <cellStyle name="20% - Accent1 2 4 4 2 3 5 5" xfId="33153"/>
    <cellStyle name="20% - Accent1 2 4 4 2 3 6" xfId="13093"/>
    <cellStyle name="20% - Accent1 2 4 4 2 3 6 2" xfId="24894"/>
    <cellStyle name="20% - Accent1 2 4 4 2 3 6 2 2" xfId="53679"/>
    <cellStyle name="20% - Accent1 2 4 4 2 3 6 3" xfId="38509"/>
    <cellStyle name="20% - Accent1 2 4 4 2 3 7" xfId="5837"/>
    <cellStyle name="20% - Accent1 2 4 4 2 3 7 2" xfId="53680"/>
    <cellStyle name="20% - Accent1 2 4 4 2 3 8" xfId="17638"/>
    <cellStyle name="20% - Accent1 2 4 4 2 3 8 2" xfId="53681"/>
    <cellStyle name="20% - Accent1 2 4 4 2 3 9" xfId="31253"/>
    <cellStyle name="20% - Accent1 2 4 4 2 4" xfId="661"/>
    <cellStyle name="20% - Accent1 2 4 4 2 4 2" xfId="1316"/>
    <cellStyle name="20% - Accent1 2 4 4 2 4 2 2" xfId="4403"/>
    <cellStyle name="20% - Accent1 2 4 4 2 4 2 2 2" xfId="13094"/>
    <cellStyle name="20% - Accent1 2 4 4 2 4 2 2 2 2" xfId="24895"/>
    <cellStyle name="20% - Accent1 2 4 4 2 4 2 2 2 2 2" xfId="53682"/>
    <cellStyle name="20% - Accent1 2 4 4 2 4 2 2 2 3" xfId="38510"/>
    <cellStyle name="20% - Accent1 2 4 4 2 4 2 2 3" xfId="9856"/>
    <cellStyle name="20% - Accent1 2 4 4 2 4 2 2 3 2" xfId="44952"/>
    <cellStyle name="20% - Accent1 2 4 4 2 4 2 2 4" xfId="21657"/>
    <cellStyle name="20% - Accent1 2 4 4 2 4 2 2 4 2" xfId="53683"/>
    <cellStyle name="20% - Accent1 2 4 4 2 4 2 2 5" xfId="35272"/>
    <cellStyle name="20% - Accent1 2 4 4 2 4 2 3" xfId="13095"/>
    <cellStyle name="20% - Accent1 2 4 4 2 4 2 3 2" xfId="24896"/>
    <cellStyle name="20% - Accent1 2 4 4 2 4 2 3 2 2" xfId="44953"/>
    <cellStyle name="20% - Accent1 2 4 4 2 4 2 3 3" xfId="29749"/>
    <cellStyle name="20% - Accent1 2 4 4 2 4 2 3 3 2" xfId="44954"/>
    <cellStyle name="20% - Accent1 2 4 4 2 4 2 3 4" xfId="29750"/>
    <cellStyle name="20% - Accent1 2 4 4 2 4 2 3 4 2" xfId="53684"/>
    <cellStyle name="20% - Accent1 2 4 4 2 4 2 3 5" xfId="38511"/>
    <cellStyle name="20% - Accent1 2 4 4 2 4 2 4" xfId="13096"/>
    <cellStyle name="20% - Accent1 2 4 4 2 4 2 4 2" xfId="24897"/>
    <cellStyle name="20% - Accent1 2 4 4 2 4 2 4 2 2" xfId="53685"/>
    <cellStyle name="20% - Accent1 2 4 4 2 4 2 4 3" xfId="38512"/>
    <cellStyle name="20% - Accent1 2 4 4 2 4 2 5" xfId="6770"/>
    <cellStyle name="20% - Accent1 2 4 4 2 4 2 5 2" xfId="44955"/>
    <cellStyle name="20% - Accent1 2 4 4 2 4 2 6" xfId="18571"/>
    <cellStyle name="20% - Accent1 2 4 4 2 4 2 6 2" xfId="53686"/>
    <cellStyle name="20% - Accent1 2 4 4 2 4 2 7" xfId="32186"/>
    <cellStyle name="20% - Accent1 2 4 4 2 4 3" xfId="2562"/>
    <cellStyle name="20% - Accent1 2 4 4 2 4 3 2" xfId="13097"/>
    <cellStyle name="20% - Accent1 2 4 4 2 4 3 2 2" xfId="24898"/>
    <cellStyle name="20% - Accent1 2 4 4 2 4 3 2 2 2" xfId="53687"/>
    <cellStyle name="20% - Accent1 2 4 4 2 4 3 2 3" xfId="38513"/>
    <cellStyle name="20% - Accent1 2 4 4 2 4 3 3" xfId="8015"/>
    <cellStyle name="20% - Accent1 2 4 4 2 4 3 3 2" xfId="44956"/>
    <cellStyle name="20% - Accent1 2 4 4 2 4 3 4" xfId="19816"/>
    <cellStyle name="20% - Accent1 2 4 4 2 4 3 4 2" xfId="53688"/>
    <cellStyle name="20% - Accent1 2 4 4 2 4 3 5" xfId="33431"/>
    <cellStyle name="20% - Accent1 2 4 4 2 4 4" xfId="13098"/>
    <cellStyle name="20% - Accent1 2 4 4 2 4 4 2" xfId="24899"/>
    <cellStyle name="20% - Accent1 2 4 4 2 4 4 2 2" xfId="44957"/>
    <cellStyle name="20% - Accent1 2 4 4 2 4 4 3" xfId="29751"/>
    <cellStyle name="20% - Accent1 2 4 4 2 4 4 3 2" xfId="44958"/>
    <cellStyle name="20% - Accent1 2 4 4 2 4 4 4" xfId="29752"/>
    <cellStyle name="20% - Accent1 2 4 4 2 4 4 4 2" xfId="53689"/>
    <cellStyle name="20% - Accent1 2 4 4 2 4 4 5" xfId="38514"/>
    <cellStyle name="20% - Accent1 2 4 4 2 4 5" xfId="13099"/>
    <cellStyle name="20% - Accent1 2 4 4 2 4 5 2" xfId="24900"/>
    <cellStyle name="20% - Accent1 2 4 4 2 4 5 2 2" xfId="53690"/>
    <cellStyle name="20% - Accent1 2 4 4 2 4 5 3" xfId="38515"/>
    <cellStyle name="20% - Accent1 2 4 4 2 4 6" xfId="6115"/>
    <cellStyle name="20% - Accent1 2 4 4 2 4 6 2" xfId="44959"/>
    <cellStyle name="20% - Accent1 2 4 4 2 4 7" xfId="17916"/>
    <cellStyle name="20% - Accent1 2 4 4 2 4 7 2" xfId="53691"/>
    <cellStyle name="20% - Accent1 2 4 4 2 4 8" xfId="31531"/>
    <cellStyle name="20% - Accent1 2 4 4 2 5" xfId="902"/>
    <cellStyle name="20% - Accent1 2 4 4 2 5 2" xfId="1317"/>
    <cellStyle name="20% - Accent1 2 4 4 2 5 2 2" xfId="4971"/>
    <cellStyle name="20% - Accent1 2 4 4 2 5 2 2 2" xfId="13100"/>
    <cellStyle name="20% - Accent1 2 4 4 2 5 2 2 2 2" xfId="24901"/>
    <cellStyle name="20% - Accent1 2 4 4 2 5 2 2 2 2 2" xfId="53692"/>
    <cellStyle name="20% - Accent1 2 4 4 2 5 2 2 2 3" xfId="38516"/>
    <cellStyle name="20% - Accent1 2 4 4 2 5 2 2 3" xfId="10424"/>
    <cellStyle name="20% - Accent1 2 4 4 2 5 2 2 3 2" xfId="44960"/>
    <cellStyle name="20% - Accent1 2 4 4 2 5 2 2 4" xfId="22225"/>
    <cellStyle name="20% - Accent1 2 4 4 2 5 2 2 4 2" xfId="53693"/>
    <cellStyle name="20% - Accent1 2 4 4 2 5 2 2 5" xfId="35840"/>
    <cellStyle name="20% - Accent1 2 4 4 2 5 2 3" xfId="13101"/>
    <cellStyle name="20% - Accent1 2 4 4 2 5 2 3 2" xfId="24902"/>
    <cellStyle name="20% - Accent1 2 4 4 2 5 2 3 2 2" xfId="44961"/>
    <cellStyle name="20% - Accent1 2 4 4 2 5 2 3 3" xfId="29753"/>
    <cellStyle name="20% - Accent1 2 4 4 2 5 2 3 3 2" xfId="44962"/>
    <cellStyle name="20% - Accent1 2 4 4 2 5 2 3 4" xfId="29754"/>
    <cellStyle name="20% - Accent1 2 4 4 2 5 2 3 4 2" xfId="53694"/>
    <cellStyle name="20% - Accent1 2 4 4 2 5 2 3 5" xfId="38517"/>
    <cellStyle name="20% - Accent1 2 4 4 2 5 2 4" xfId="13102"/>
    <cellStyle name="20% - Accent1 2 4 4 2 5 2 4 2" xfId="24903"/>
    <cellStyle name="20% - Accent1 2 4 4 2 5 2 4 2 2" xfId="53695"/>
    <cellStyle name="20% - Accent1 2 4 4 2 5 2 4 3" xfId="38518"/>
    <cellStyle name="20% - Accent1 2 4 4 2 5 2 5" xfId="6771"/>
    <cellStyle name="20% - Accent1 2 4 4 2 5 2 5 2" xfId="44963"/>
    <cellStyle name="20% - Accent1 2 4 4 2 5 2 6" xfId="18572"/>
    <cellStyle name="20% - Accent1 2 4 4 2 5 2 6 2" xfId="53696"/>
    <cellStyle name="20% - Accent1 2 4 4 2 5 2 7" xfId="32187"/>
    <cellStyle name="20% - Accent1 2 4 4 2 5 3" xfId="3130"/>
    <cellStyle name="20% - Accent1 2 4 4 2 5 3 2" xfId="13103"/>
    <cellStyle name="20% - Accent1 2 4 4 2 5 3 2 2" xfId="24904"/>
    <cellStyle name="20% - Accent1 2 4 4 2 5 3 2 2 2" xfId="53697"/>
    <cellStyle name="20% - Accent1 2 4 4 2 5 3 2 3" xfId="38519"/>
    <cellStyle name="20% - Accent1 2 4 4 2 5 3 3" xfId="8583"/>
    <cellStyle name="20% - Accent1 2 4 4 2 5 3 3 2" xfId="44964"/>
    <cellStyle name="20% - Accent1 2 4 4 2 5 3 4" xfId="20384"/>
    <cellStyle name="20% - Accent1 2 4 4 2 5 3 4 2" xfId="53698"/>
    <cellStyle name="20% - Accent1 2 4 4 2 5 3 5" xfId="33999"/>
    <cellStyle name="20% - Accent1 2 4 4 2 5 4" xfId="13104"/>
    <cellStyle name="20% - Accent1 2 4 4 2 5 4 2" xfId="24905"/>
    <cellStyle name="20% - Accent1 2 4 4 2 5 4 2 2" xfId="44965"/>
    <cellStyle name="20% - Accent1 2 4 4 2 5 4 3" xfId="29755"/>
    <cellStyle name="20% - Accent1 2 4 4 2 5 4 3 2" xfId="44966"/>
    <cellStyle name="20% - Accent1 2 4 4 2 5 4 4" xfId="29756"/>
    <cellStyle name="20% - Accent1 2 4 4 2 5 4 4 2" xfId="53699"/>
    <cellStyle name="20% - Accent1 2 4 4 2 5 4 5" xfId="38520"/>
    <cellStyle name="20% - Accent1 2 4 4 2 5 5" xfId="13105"/>
    <cellStyle name="20% - Accent1 2 4 4 2 5 5 2" xfId="24906"/>
    <cellStyle name="20% - Accent1 2 4 4 2 5 5 2 2" xfId="53700"/>
    <cellStyle name="20% - Accent1 2 4 4 2 5 5 3" xfId="38521"/>
    <cellStyle name="20% - Accent1 2 4 4 2 5 6" xfId="6356"/>
    <cellStyle name="20% - Accent1 2 4 4 2 5 6 2" xfId="44967"/>
    <cellStyle name="20% - Accent1 2 4 4 2 5 7" xfId="18157"/>
    <cellStyle name="20% - Accent1 2 4 4 2 5 7 2" xfId="53701"/>
    <cellStyle name="20% - Accent1 2 4 4 2 5 8" xfId="31772"/>
    <cellStyle name="20% - Accent1 2 4 4 2 6" xfId="1318"/>
    <cellStyle name="20% - Accent1 2 4 4 2 6 2" xfId="3835"/>
    <cellStyle name="20% - Accent1 2 4 4 2 6 2 2" xfId="13106"/>
    <cellStyle name="20% - Accent1 2 4 4 2 6 2 2 2" xfId="24907"/>
    <cellStyle name="20% - Accent1 2 4 4 2 6 2 2 2 2" xfId="53702"/>
    <cellStyle name="20% - Accent1 2 4 4 2 6 2 2 3" xfId="38522"/>
    <cellStyle name="20% - Accent1 2 4 4 2 6 2 3" xfId="9288"/>
    <cellStyle name="20% - Accent1 2 4 4 2 6 2 3 2" xfId="44968"/>
    <cellStyle name="20% - Accent1 2 4 4 2 6 2 4" xfId="21089"/>
    <cellStyle name="20% - Accent1 2 4 4 2 6 2 4 2" xfId="53703"/>
    <cellStyle name="20% - Accent1 2 4 4 2 6 2 5" xfId="34704"/>
    <cellStyle name="20% - Accent1 2 4 4 2 6 3" xfId="13107"/>
    <cellStyle name="20% - Accent1 2 4 4 2 6 3 2" xfId="24908"/>
    <cellStyle name="20% - Accent1 2 4 4 2 6 3 2 2" xfId="44969"/>
    <cellStyle name="20% - Accent1 2 4 4 2 6 3 3" xfId="29757"/>
    <cellStyle name="20% - Accent1 2 4 4 2 6 3 3 2" xfId="44970"/>
    <cellStyle name="20% - Accent1 2 4 4 2 6 3 4" xfId="29758"/>
    <cellStyle name="20% - Accent1 2 4 4 2 6 3 4 2" xfId="53704"/>
    <cellStyle name="20% - Accent1 2 4 4 2 6 3 5" xfId="38523"/>
    <cellStyle name="20% - Accent1 2 4 4 2 6 4" xfId="13108"/>
    <cellStyle name="20% - Accent1 2 4 4 2 6 4 2" xfId="24909"/>
    <cellStyle name="20% - Accent1 2 4 4 2 6 4 2 2" xfId="53705"/>
    <cellStyle name="20% - Accent1 2 4 4 2 6 4 3" xfId="38524"/>
    <cellStyle name="20% - Accent1 2 4 4 2 6 5" xfId="6772"/>
    <cellStyle name="20% - Accent1 2 4 4 2 6 5 2" xfId="44971"/>
    <cellStyle name="20% - Accent1 2 4 4 2 6 6" xfId="18573"/>
    <cellStyle name="20% - Accent1 2 4 4 2 6 6 2" xfId="53706"/>
    <cellStyle name="20% - Accent1 2 4 4 2 6 7" xfId="32188"/>
    <cellStyle name="20% - Accent1 2 4 4 2 7" xfId="3698"/>
    <cellStyle name="20% - Accent1 2 4 4 2 7 2" xfId="13109"/>
    <cellStyle name="20% - Accent1 2 4 4 2 7 2 2" xfId="24910"/>
    <cellStyle name="20% - Accent1 2 4 4 2 7 2 2 2" xfId="53707"/>
    <cellStyle name="20% - Accent1 2 4 4 2 7 2 3" xfId="38525"/>
    <cellStyle name="20% - Accent1 2 4 4 2 7 3" xfId="9151"/>
    <cellStyle name="20% - Accent1 2 4 4 2 7 3 2" xfId="44972"/>
    <cellStyle name="20% - Accent1 2 4 4 2 7 4" xfId="20952"/>
    <cellStyle name="20% - Accent1 2 4 4 2 7 4 2" xfId="53708"/>
    <cellStyle name="20% - Accent1 2 4 4 2 7 5" xfId="34567"/>
    <cellStyle name="20% - Accent1 2 4 4 2 8" xfId="1994"/>
    <cellStyle name="20% - Accent1 2 4 4 2 8 2" xfId="13110"/>
    <cellStyle name="20% - Accent1 2 4 4 2 8 2 2" xfId="24911"/>
    <cellStyle name="20% - Accent1 2 4 4 2 8 2 2 2" xfId="53709"/>
    <cellStyle name="20% - Accent1 2 4 4 2 8 2 3" xfId="38526"/>
    <cellStyle name="20% - Accent1 2 4 4 2 8 3" xfId="7447"/>
    <cellStyle name="20% - Accent1 2 4 4 2 8 3 2" xfId="44973"/>
    <cellStyle name="20% - Accent1 2 4 4 2 8 4" xfId="19248"/>
    <cellStyle name="20% - Accent1 2 4 4 2 8 4 2" xfId="53710"/>
    <cellStyle name="20% - Accent1 2 4 4 2 8 5" xfId="32863"/>
    <cellStyle name="20% - Accent1 2 4 4 2 9" xfId="13111"/>
    <cellStyle name="20% - Accent1 2 4 4 2 9 2" xfId="24912"/>
    <cellStyle name="20% - Accent1 2 4 4 2 9 2 2" xfId="53711"/>
    <cellStyle name="20% - Accent1 2 4 4 2 9 3" xfId="38527"/>
    <cellStyle name="20% - Accent1 2 4 4 3" xfId="168"/>
    <cellStyle name="20% - Accent1 2 4 4 3 10" xfId="31038"/>
    <cellStyle name="20% - Accent1 2 4 4 3 2" xfId="316"/>
    <cellStyle name="20% - Accent1 2 4 4 3 2 2" xfId="1319"/>
    <cellStyle name="20% - Accent1 2 4 4 3 2 2 2" xfId="4626"/>
    <cellStyle name="20% - Accent1 2 4 4 3 2 2 2 2" xfId="13112"/>
    <cellStyle name="20% - Accent1 2 4 4 3 2 2 2 2 2" xfId="24913"/>
    <cellStyle name="20% - Accent1 2 4 4 3 2 2 2 2 2 2" xfId="53712"/>
    <cellStyle name="20% - Accent1 2 4 4 3 2 2 2 2 3" xfId="38528"/>
    <cellStyle name="20% - Accent1 2 4 4 3 2 2 2 3" xfId="10079"/>
    <cellStyle name="20% - Accent1 2 4 4 3 2 2 2 3 2" xfId="44974"/>
    <cellStyle name="20% - Accent1 2 4 4 3 2 2 2 4" xfId="21880"/>
    <cellStyle name="20% - Accent1 2 4 4 3 2 2 2 4 2" xfId="53713"/>
    <cellStyle name="20% - Accent1 2 4 4 3 2 2 2 5" xfId="35495"/>
    <cellStyle name="20% - Accent1 2 4 4 3 2 2 3" xfId="2785"/>
    <cellStyle name="20% - Accent1 2 4 4 3 2 2 3 2" xfId="13113"/>
    <cellStyle name="20% - Accent1 2 4 4 3 2 2 3 2 2" xfId="24914"/>
    <cellStyle name="20% - Accent1 2 4 4 3 2 2 3 2 2 2" xfId="53714"/>
    <cellStyle name="20% - Accent1 2 4 4 3 2 2 3 2 3" xfId="38529"/>
    <cellStyle name="20% - Accent1 2 4 4 3 2 2 3 3" xfId="8238"/>
    <cellStyle name="20% - Accent1 2 4 4 3 2 2 3 3 2" xfId="44975"/>
    <cellStyle name="20% - Accent1 2 4 4 3 2 2 3 4" xfId="20039"/>
    <cellStyle name="20% - Accent1 2 4 4 3 2 2 3 4 2" xfId="53715"/>
    <cellStyle name="20% - Accent1 2 4 4 3 2 2 3 5" xfId="33654"/>
    <cellStyle name="20% - Accent1 2 4 4 3 2 2 4" xfId="13114"/>
    <cellStyle name="20% - Accent1 2 4 4 3 2 2 4 2" xfId="24915"/>
    <cellStyle name="20% - Accent1 2 4 4 3 2 2 4 2 2" xfId="53716"/>
    <cellStyle name="20% - Accent1 2 4 4 3 2 2 4 3" xfId="38530"/>
    <cellStyle name="20% - Accent1 2 4 4 3 2 2 5" xfId="6773"/>
    <cellStyle name="20% - Accent1 2 4 4 3 2 2 5 2" xfId="44976"/>
    <cellStyle name="20% - Accent1 2 4 4 3 2 2 6" xfId="18574"/>
    <cellStyle name="20% - Accent1 2 4 4 3 2 2 6 2" xfId="53717"/>
    <cellStyle name="20% - Accent1 2 4 4 3 2 2 7" xfId="32189"/>
    <cellStyle name="20% - Accent1 2 4 4 3 2 3" xfId="3353"/>
    <cellStyle name="20% - Accent1 2 4 4 3 2 3 2" xfId="5194"/>
    <cellStyle name="20% - Accent1 2 4 4 3 2 3 2 2" xfId="16664"/>
    <cellStyle name="20% - Accent1 2 4 4 3 2 3 2 2 2" xfId="28465"/>
    <cellStyle name="20% - Accent1 2 4 4 3 2 3 2 2 2 2" xfId="53718"/>
    <cellStyle name="20% - Accent1 2 4 4 3 2 3 2 2 3" xfId="42080"/>
    <cellStyle name="20% - Accent1 2 4 4 3 2 3 2 3" xfId="10647"/>
    <cellStyle name="20% - Accent1 2 4 4 3 2 3 2 3 2" xfId="53719"/>
    <cellStyle name="20% - Accent1 2 4 4 3 2 3 2 4" xfId="22448"/>
    <cellStyle name="20% - Accent1 2 4 4 3 2 3 2 4 2" xfId="53720"/>
    <cellStyle name="20% - Accent1 2 4 4 3 2 3 2 5" xfId="36063"/>
    <cellStyle name="20% - Accent1 2 4 4 3 2 3 3" xfId="13115"/>
    <cellStyle name="20% - Accent1 2 4 4 3 2 3 3 2" xfId="24916"/>
    <cellStyle name="20% - Accent1 2 4 4 3 2 3 3 2 2" xfId="53721"/>
    <cellStyle name="20% - Accent1 2 4 4 3 2 3 3 3" xfId="38531"/>
    <cellStyle name="20% - Accent1 2 4 4 3 2 3 4" xfId="8806"/>
    <cellStyle name="20% - Accent1 2 4 4 3 2 3 4 2" xfId="53722"/>
    <cellStyle name="20% - Accent1 2 4 4 3 2 3 5" xfId="20607"/>
    <cellStyle name="20% - Accent1 2 4 4 3 2 3 5 2" xfId="53723"/>
    <cellStyle name="20% - Accent1 2 4 4 3 2 3 6" xfId="34222"/>
    <cellStyle name="20% - Accent1 2 4 4 3 2 4" xfId="4058"/>
    <cellStyle name="20% - Accent1 2 4 4 3 2 4 2" xfId="13116"/>
    <cellStyle name="20% - Accent1 2 4 4 3 2 4 2 2" xfId="24917"/>
    <cellStyle name="20% - Accent1 2 4 4 3 2 4 2 2 2" xfId="53724"/>
    <cellStyle name="20% - Accent1 2 4 4 3 2 4 2 3" xfId="38532"/>
    <cellStyle name="20% - Accent1 2 4 4 3 2 4 3" xfId="9511"/>
    <cellStyle name="20% - Accent1 2 4 4 3 2 4 3 2" xfId="44977"/>
    <cellStyle name="20% - Accent1 2 4 4 3 2 4 4" xfId="21312"/>
    <cellStyle name="20% - Accent1 2 4 4 3 2 4 4 2" xfId="53725"/>
    <cellStyle name="20% - Accent1 2 4 4 3 2 4 5" xfId="34927"/>
    <cellStyle name="20% - Accent1 2 4 4 3 2 5" xfId="2217"/>
    <cellStyle name="20% - Accent1 2 4 4 3 2 5 2" xfId="17052"/>
    <cellStyle name="20% - Accent1 2 4 4 3 2 5 2 2" xfId="28853"/>
    <cellStyle name="20% - Accent1 2 4 4 3 2 5 2 2 2" xfId="53726"/>
    <cellStyle name="20% - Accent1 2 4 4 3 2 5 2 3" xfId="42468"/>
    <cellStyle name="20% - Accent1 2 4 4 3 2 5 3" xfId="7670"/>
    <cellStyle name="20% - Accent1 2 4 4 3 2 5 3 2" xfId="53727"/>
    <cellStyle name="20% - Accent1 2 4 4 3 2 5 4" xfId="19471"/>
    <cellStyle name="20% - Accent1 2 4 4 3 2 5 4 2" xfId="53728"/>
    <cellStyle name="20% - Accent1 2 4 4 3 2 5 5" xfId="33086"/>
    <cellStyle name="20% - Accent1 2 4 4 3 2 6" xfId="13117"/>
    <cellStyle name="20% - Accent1 2 4 4 3 2 6 2" xfId="24918"/>
    <cellStyle name="20% - Accent1 2 4 4 3 2 6 2 2" xfId="53729"/>
    <cellStyle name="20% - Accent1 2 4 4 3 2 6 3" xfId="38533"/>
    <cellStyle name="20% - Accent1 2 4 4 3 2 7" xfId="5770"/>
    <cellStyle name="20% - Accent1 2 4 4 3 2 7 2" xfId="53730"/>
    <cellStyle name="20% - Accent1 2 4 4 3 2 8" xfId="17571"/>
    <cellStyle name="20% - Accent1 2 4 4 3 2 8 2" xfId="53731"/>
    <cellStyle name="20% - Accent1 2 4 4 3 2 9" xfId="31186"/>
    <cellStyle name="20% - Accent1 2 4 4 3 3" xfId="736"/>
    <cellStyle name="20% - Accent1 2 4 4 3 3 2" xfId="1320"/>
    <cellStyle name="20% - Accent1 2 4 4 3 3 2 2" xfId="4478"/>
    <cellStyle name="20% - Accent1 2 4 4 3 3 2 2 2" xfId="13118"/>
    <cellStyle name="20% - Accent1 2 4 4 3 3 2 2 2 2" xfId="24919"/>
    <cellStyle name="20% - Accent1 2 4 4 3 3 2 2 2 2 2" xfId="53732"/>
    <cellStyle name="20% - Accent1 2 4 4 3 3 2 2 2 3" xfId="38534"/>
    <cellStyle name="20% - Accent1 2 4 4 3 3 2 2 3" xfId="9931"/>
    <cellStyle name="20% - Accent1 2 4 4 3 3 2 2 3 2" xfId="44978"/>
    <cellStyle name="20% - Accent1 2 4 4 3 3 2 2 4" xfId="21732"/>
    <cellStyle name="20% - Accent1 2 4 4 3 3 2 2 4 2" xfId="53733"/>
    <cellStyle name="20% - Accent1 2 4 4 3 3 2 2 5" xfId="35347"/>
    <cellStyle name="20% - Accent1 2 4 4 3 3 2 3" xfId="13119"/>
    <cellStyle name="20% - Accent1 2 4 4 3 3 2 3 2" xfId="24920"/>
    <cellStyle name="20% - Accent1 2 4 4 3 3 2 3 2 2" xfId="44979"/>
    <cellStyle name="20% - Accent1 2 4 4 3 3 2 3 3" xfId="29759"/>
    <cellStyle name="20% - Accent1 2 4 4 3 3 2 3 3 2" xfId="44980"/>
    <cellStyle name="20% - Accent1 2 4 4 3 3 2 3 4" xfId="29760"/>
    <cellStyle name="20% - Accent1 2 4 4 3 3 2 3 4 2" xfId="53734"/>
    <cellStyle name="20% - Accent1 2 4 4 3 3 2 3 5" xfId="38535"/>
    <cellStyle name="20% - Accent1 2 4 4 3 3 2 4" xfId="13120"/>
    <cellStyle name="20% - Accent1 2 4 4 3 3 2 4 2" xfId="24921"/>
    <cellStyle name="20% - Accent1 2 4 4 3 3 2 4 2 2" xfId="53735"/>
    <cellStyle name="20% - Accent1 2 4 4 3 3 2 4 3" xfId="38536"/>
    <cellStyle name="20% - Accent1 2 4 4 3 3 2 5" xfId="6774"/>
    <cellStyle name="20% - Accent1 2 4 4 3 3 2 5 2" xfId="44981"/>
    <cellStyle name="20% - Accent1 2 4 4 3 3 2 6" xfId="18575"/>
    <cellStyle name="20% - Accent1 2 4 4 3 3 2 6 2" xfId="53736"/>
    <cellStyle name="20% - Accent1 2 4 4 3 3 2 7" xfId="32190"/>
    <cellStyle name="20% - Accent1 2 4 4 3 3 3" xfId="2637"/>
    <cellStyle name="20% - Accent1 2 4 4 3 3 3 2" xfId="13121"/>
    <cellStyle name="20% - Accent1 2 4 4 3 3 3 2 2" xfId="24922"/>
    <cellStyle name="20% - Accent1 2 4 4 3 3 3 2 2 2" xfId="53737"/>
    <cellStyle name="20% - Accent1 2 4 4 3 3 3 2 3" xfId="38537"/>
    <cellStyle name="20% - Accent1 2 4 4 3 3 3 3" xfId="8090"/>
    <cellStyle name="20% - Accent1 2 4 4 3 3 3 3 2" xfId="44982"/>
    <cellStyle name="20% - Accent1 2 4 4 3 3 3 4" xfId="19891"/>
    <cellStyle name="20% - Accent1 2 4 4 3 3 3 4 2" xfId="53738"/>
    <cellStyle name="20% - Accent1 2 4 4 3 3 3 5" xfId="33506"/>
    <cellStyle name="20% - Accent1 2 4 4 3 3 4" xfId="13122"/>
    <cellStyle name="20% - Accent1 2 4 4 3 3 4 2" xfId="24923"/>
    <cellStyle name="20% - Accent1 2 4 4 3 3 4 2 2" xfId="44983"/>
    <cellStyle name="20% - Accent1 2 4 4 3 3 4 3" xfId="29761"/>
    <cellStyle name="20% - Accent1 2 4 4 3 3 4 3 2" xfId="44984"/>
    <cellStyle name="20% - Accent1 2 4 4 3 3 4 4" xfId="29762"/>
    <cellStyle name="20% - Accent1 2 4 4 3 3 4 4 2" xfId="53739"/>
    <cellStyle name="20% - Accent1 2 4 4 3 3 4 5" xfId="38538"/>
    <cellStyle name="20% - Accent1 2 4 4 3 3 5" xfId="13123"/>
    <cellStyle name="20% - Accent1 2 4 4 3 3 5 2" xfId="24924"/>
    <cellStyle name="20% - Accent1 2 4 4 3 3 5 2 2" xfId="53740"/>
    <cellStyle name="20% - Accent1 2 4 4 3 3 5 3" xfId="38539"/>
    <cellStyle name="20% - Accent1 2 4 4 3 3 6" xfId="6190"/>
    <cellStyle name="20% - Accent1 2 4 4 3 3 6 2" xfId="44985"/>
    <cellStyle name="20% - Accent1 2 4 4 3 3 7" xfId="17991"/>
    <cellStyle name="20% - Accent1 2 4 4 3 3 7 2" xfId="53741"/>
    <cellStyle name="20% - Accent1 2 4 4 3 3 8" xfId="31606"/>
    <cellStyle name="20% - Accent1 2 4 4 3 4" xfId="1321"/>
    <cellStyle name="20% - Accent1 2 4 4 3 4 2" xfId="5046"/>
    <cellStyle name="20% - Accent1 2 4 4 3 4 2 2" xfId="13124"/>
    <cellStyle name="20% - Accent1 2 4 4 3 4 2 2 2" xfId="24925"/>
    <cellStyle name="20% - Accent1 2 4 4 3 4 2 2 2 2" xfId="53742"/>
    <cellStyle name="20% - Accent1 2 4 4 3 4 2 2 3" xfId="38540"/>
    <cellStyle name="20% - Accent1 2 4 4 3 4 2 3" xfId="10499"/>
    <cellStyle name="20% - Accent1 2 4 4 3 4 2 3 2" xfId="44986"/>
    <cellStyle name="20% - Accent1 2 4 4 3 4 2 4" xfId="22300"/>
    <cellStyle name="20% - Accent1 2 4 4 3 4 2 4 2" xfId="53743"/>
    <cellStyle name="20% - Accent1 2 4 4 3 4 2 5" xfId="35915"/>
    <cellStyle name="20% - Accent1 2 4 4 3 4 3" xfId="3205"/>
    <cellStyle name="20% - Accent1 2 4 4 3 4 3 2" xfId="13125"/>
    <cellStyle name="20% - Accent1 2 4 4 3 4 3 2 2" xfId="24926"/>
    <cellStyle name="20% - Accent1 2 4 4 3 4 3 2 2 2" xfId="53744"/>
    <cellStyle name="20% - Accent1 2 4 4 3 4 3 2 3" xfId="38541"/>
    <cellStyle name="20% - Accent1 2 4 4 3 4 3 3" xfId="8658"/>
    <cellStyle name="20% - Accent1 2 4 4 3 4 3 3 2" xfId="44987"/>
    <cellStyle name="20% - Accent1 2 4 4 3 4 3 4" xfId="20459"/>
    <cellStyle name="20% - Accent1 2 4 4 3 4 3 4 2" xfId="53745"/>
    <cellStyle name="20% - Accent1 2 4 4 3 4 3 5" xfId="34074"/>
    <cellStyle name="20% - Accent1 2 4 4 3 4 4" xfId="13126"/>
    <cellStyle name="20% - Accent1 2 4 4 3 4 4 2" xfId="24927"/>
    <cellStyle name="20% - Accent1 2 4 4 3 4 4 2 2" xfId="53746"/>
    <cellStyle name="20% - Accent1 2 4 4 3 4 4 3" xfId="38542"/>
    <cellStyle name="20% - Accent1 2 4 4 3 4 5" xfId="6775"/>
    <cellStyle name="20% - Accent1 2 4 4 3 4 5 2" xfId="44988"/>
    <cellStyle name="20% - Accent1 2 4 4 3 4 6" xfId="18576"/>
    <cellStyle name="20% - Accent1 2 4 4 3 4 6 2" xfId="53747"/>
    <cellStyle name="20% - Accent1 2 4 4 3 4 7" xfId="32191"/>
    <cellStyle name="20% - Accent1 2 4 4 3 5" xfId="3910"/>
    <cellStyle name="20% - Accent1 2 4 4 3 5 2" xfId="13127"/>
    <cellStyle name="20% - Accent1 2 4 4 3 5 2 2" xfId="24928"/>
    <cellStyle name="20% - Accent1 2 4 4 3 5 2 2 2" xfId="53748"/>
    <cellStyle name="20% - Accent1 2 4 4 3 5 2 3" xfId="38543"/>
    <cellStyle name="20% - Accent1 2 4 4 3 5 3" xfId="9363"/>
    <cellStyle name="20% - Accent1 2 4 4 3 5 3 2" xfId="44989"/>
    <cellStyle name="20% - Accent1 2 4 4 3 5 4" xfId="21164"/>
    <cellStyle name="20% - Accent1 2 4 4 3 5 4 2" xfId="53749"/>
    <cellStyle name="20% - Accent1 2 4 4 3 5 5" xfId="34779"/>
    <cellStyle name="20% - Accent1 2 4 4 3 6" xfId="2069"/>
    <cellStyle name="20% - Accent1 2 4 4 3 6 2" xfId="13128"/>
    <cellStyle name="20% - Accent1 2 4 4 3 6 2 2" xfId="24929"/>
    <cellStyle name="20% - Accent1 2 4 4 3 6 2 2 2" xfId="53750"/>
    <cellStyle name="20% - Accent1 2 4 4 3 6 2 3" xfId="38544"/>
    <cellStyle name="20% - Accent1 2 4 4 3 6 3" xfId="7522"/>
    <cellStyle name="20% - Accent1 2 4 4 3 6 3 2" xfId="44990"/>
    <cellStyle name="20% - Accent1 2 4 4 3 6 4" xfId="19323"/>
    <cellStyle name="20% - Accent1 2 4 4 3 6 4 2" xfId="53751"/>
    <cellStyle name="20% - Accent1 2 4 4 3 6 5" xfId="32938"/>
    <cellStyle name="20% - Accent1 2 4 4 3 7" xfId="13129"/>
    <cellStyle name="20% - Accent1 2 4 4 3 7 2" xfId="24930"/>
    <cellStyle name="20% - Accent1 2 4 4 3 7 2 2" xfId="53752"/>
    <cellStyle name="20% - Accent1 2 4 4 3 7 3" xfId="38545"/>
    <cellStyle name="20% - Accent1 2 4 4 3 8" xfId="5622"/>
    <cellStyle name="20% - Accent1 2 4 4 3 8 2" xfId="44991"/>
    <cellStyle name="20% - Accent1 2 4 4 3 9" xfId="17423"/>
    <cellStyle name="20% - Accent1 2 4 4 3 9 2" xfId="53753"/>
    <cellStyle name="20% - Accent1 2 4 4 4" xfId="453"/>
    <cellStyle name="20% - Accent1 2 4 4 4 2" xfId="1322"/>
    <cellStyle name="20% - Accent1 2 4 4 4 2 2" xfId="4763"/>
    <cellStyle name="20% - Accent1 2 4 4 4 2 2 2" xfId="13130"/>
    <cellStyle name="20% - Accent1 2 4 4 4 2 2 2 2" xfId="24931"/>
    <cellStyle name="20% - Accent1 2 4 4 4 2 2 2 2 2" xfId="53754"/>
    <cellStyle name="20% - Accent1 2 4 4 4 2 2 2 3" xfId="38546"/>
    <cellStyle name="20% - Accent1 2 4 4 4 2 2 3" xfId="10216"/>
    <cellStyle name="20% - Accent1 2 4 4 4 2 2 3 2" xfId="44992"/>
    <cellStyle name="20% - Accent1 2 4 4 4 2 2 4" xfId="22017"/>
    <cellStyle name="20% - Accent1 2 4 4 4 2 2 4 2" xfId="53755"/>
    <cellStyle name="20% - Accent1 2 4 4 4 2 2 5" xfId="35632"/>
    <cellStyle name="20% - Accent1 2 4 4 4 2 3" xfId="2922"/>
    <cellStyle name="20% - Accent1 2 4 4 4 2 3 2" xfId="13131"/>
    <cellStyle name="20% - Accent1 2 4 4 4 2 3 2 2" xfId="24932"/>
    <cellStyle name="20% - Accent1 2 4 4 4 2 3 2 2 2" xfId="53756"/>
    <cellStyle name="20% - Accent1 2 4 4 4 2 3 2 3" xfId="38547"/>
    <cellStyle name="20% - Accent1 2 4 4 4 2 3 3" xfId="8375"/>
    <cellStyle name="20% - Accent1 2 4 4 4 2 3 3 2" xfId="44993"/>
    <cellStyle name="20% - Accent1 2 4 4 4 2 3 4" xfId="20176"/>
    <cellStyle name="20% - Accent1 2 4 4 4 2 3 4 2" xfId="53757"/>
    <cellStyle name="20% - Accent1 2 4 4 4 2 3 5" xfId="33791"/>
    <cellStyle name="20% - Accent1 2 4 4 4 2 4" xfId="13132"/>
    <cellStyle name="20% - Accent1 2 4 4 4 2 4 2" xfId="24933"/>
    <cellStyle name="20% - Accent1 2 4 4 4 2 4 2 2" xfId="53758"/>
    <cellStyle name="20% - Accent1 2 4 4 4 2 4 3" xfId="38548"/>
    <cellStyle name="20% - Accent1 2 4 4 4 2 5" xfId="6776"/>
    <cellStyle name="20% - Accent1 2 4 4 4 2 5 2" xfId="44994"/>
    <cellStyle name="20% - Accent1 2 4 4 4 2 6" xfId="18577"/>
    <cellStyle name="20% - Accent1 2 4 4 4 2 6 2" xfId="53759"/>
    <cellStyle name="20% - Accent1 2 4 4 4 2 7" xfId="32192"/>
    <cellStyle name="20% - Accent1 2 4 4 4 3" xfId="3490"/>
    <cellStyle name="20% - Accent1 2 4 4 4 3 2" xfId="5331"/>
    <cellStyle name="20% - Accent1 2 4 4 4 3 2 2" xfId="16801"/>
    <cellStyle name="20% - Accent1 2 4 4 4 3 2 2 2" xfId="28602"/>
    <cellStyle name="20% - Accent1 2 4 4 4 3 2 2 2 2" xfId="53760"/>
    <cellStyle name="20% - Accent1 2 4 4 4 3 2 2 3" xfId="42217"/>
    <cellStyle name="20% - Accent1 2 4 4 4 3 2 3" xfId="10784"/>
    <cellStyle name="20% - Accent1 2 4 4 4 3 2 3 2" xfId="53761"/>
    <cellStyle name="20% - Accent1 2 4 4 4 3 2 4" xfId="22585"/>
    <cellStyle name="20% - Accent1 2 4 4 4 3 2 4 2" xfId="53762"/>
    <cellStyle name="20% - Accent1 2 4 4 4 3 2 5" xfId="36200"/>
    <cellStyle name="20% - Accent1 2 4 4 4 3 3" xfId="13133"/>
    <cellStyle name="20% - Accent1 2 4 4 4 3 3 2" xfId="24934"/>
    <cellStyle name="20% - Accent1 2 4 4 4 3 3 2 2" xfId="53763"/>
    <cellStyle name="20% - Accent1 2 4 4 4 3 3 3" xfId="38549"/>
    <cellStyle name="20% - Accent1 2 4 4 4 3 4" xfId="8943"/>
    <cellStyle name="20% - Accent1 2 4 4 4 3 4 2" xfId="53764"/>
    <cellStyle name="20% - Accent1 2 4 4 4 3 5" xfId="20744"/>
    <cellStyle name="20% - Accent1 2 4 4 4 3 5 2" xfId="53765"/>
    <cellStyle name="20% - Accent1 2 4 4 4 3 6" xfId="34359"/>
    <cellStyle name="20% - Accent1 2 4 4 4 4" xfId="4195"/>
    <cellStyle name="20% - Accent1 2 4 4 4 4 2" xfId="13134"/>
    <cellStyle name="20% - Accent1 2 4 4 4 4 2 2" xfId="24935"/>
    <cellStyle name="20% - Accent1 2 4 4 4 4 2 2 2" xfId="53766"/>
    <cellStyle name="20% - Accent1 2 4 4 4 4 2 3" xfId="38550"/>
    <cellStyle name="20% - Accent1 2 4 4 4 4 3" xfId="9648"/>
    <cellStyle name="20% - Accent1 2 4 4 4 4 3 2" xfId="44995"/>
    <cellStyle name="20% - Accent1 2 4 4 4 4 4" xfId="21449"/>
    <cellStyle name="20% - Accent1 2 4 4 4 4 4 2" xfId="53767"/>
    <cellStyle name="20% - Accent1 2 4 4 4 4 5" xfId="35064"/>
    <cellStyle name="20% - Accent1 2 4 4 4 5" xfId="2354"/>
    <cellStyle name="20% - Accent1 2 4 4 4 5 2" xfId="17053"/>
    <cellStyle name="20% - Accent1 2 4 4 4 5 2 2" xfId="28854"/>
    <cellStyle name="20% - Accent1 2 4 4 4 5 2 2 2" xfId="53768"/>
    <cellStyle name="20% - Accent1 2 4 4 4 5 2 3" xfId="42469"/>
    <cellStyle name="20% - Accent1 2 4 4 4 5 3" xfId="7807"/>
    <cellStyle name="20% - Accent1 2 4 4 4 5 3 2" xfId="53769"/>
    <cellStyle name="20% - Accent1 2 4 4 4 5 4" xfId="19608"/>
    <cellStyle name="20% - Accent1 2 4 4 4 5 4 2" xfId="53770"/>
    <cellStyle name="20% - Accent1 2 4 4 4 5 5" xfId="33223"/>
    <cellStyle name="20% - Accent1 2 4 4 4 6" xfId="13135"/>
    <cellStyle name="20% - Accent1 2 4 4 4 6 2" xfId="24936"/>
    <cellStyle name="20% - Accent1 2 4 4 4 6 2 2" xfId="53771"/>
    <cellStyle name="20% - Accent1 2 4 4 4 6 3" xfId="38551"/>
    <cellStyle name="20% - Accent1 2 4 4 4 7" xfId="5907"/>
    <cellStyle name="20% - Accent1 2 4 4 4 7 2" xfId="53772"/>
    <cellStyle name="20% - Accent1 2 4 4 4 8" xfId="17708"/>
    <cellStyle name="20% - Accent1 2 4 4 4 8 2" xfId="53773"/>
    <cellStyle name="20% - Accent1 2 4 4 4 9" xfId="31323"/>
    <cellStyle name="20% - Accent1 2 4 4 5" xfId="267"/>
    <cellStyle name="20% - Accent1 2 4 4 5 2" xfId="1323"/>
    <cellStyle name="20% - Accent1 2 4 4 5 2 2" xfId="4577"/>
    <cellStyle name="20% - Accent1 2 4 4 5 2 2 2" xfId="13136"/>
    <cellStyle name="20% - Accent1 2 4 4 5 2 2 2 2" xfId="24937"/>
    <cellStyle name="20% - Accent1 2 4 4 5 2 2 2 2 2" xfId="53774"/>
    <cellStyle name="20% - Accent1 2 4 4 5 2 2 2 3" xfId="38552"/>
    <cellStyle name="20% - Accent1 2 4 4 5 2 2 3" xfId="10030"/>
    <cellStyle name="20% - Accent1 2 4 4 5 2 2 3 2" xfId="44996"/>
    <cellStyle name="20% - Accent1 2 4 4 5 2 2 4" xfId="21831"/>
    <cellStyle name="20% - Accent1 2 4 4 5 2 2 4 2" xfId="53775"/>
    <cellStyle name="20% - Accent1 2 4 4 5 2 2 5" xfId="35446"/>
    <cellStyle name="20% - Accent1 2 4 4 5 2 3" xfId="2736"/>
    <cellStyle name="20% - Accent1 2 4 4 5 2 3 2" xfId="13137"/>
    <cellStyle name="20% - Accent1 2 4 4 5 2 3 2 2" xfId="24938"/>
    <cellStyle name="20% - Accent1 2 4 4 5 2 3 2 2 2" xfId="53776"/>
    <cellStyle name="20% - Accent1 2 4 4 5 2 3 2 3" xfId="38553"/>
    <cellStyle name="20% - Accent1 2 4 4 5 2 3 3" xfId="8189"/>
    <cellStyle name="20% - Accent1 2 4 4 5 2 3 3 2" xfId="44997"/>
    <cellStyle name="20% - Accent1 2 4 4 5 2 3 4" xfId="19990"/>
    <cellStyle name="20% - Accent1 2 4 4 5 2 3 4 2" xfId="53777"/>
    <cellStyle name="20% - Accent1 2 4 4 5 2 3 5" xfId="33605"/>
    <cellStyle name="20% - Accent1 2 4 4 5 2 4" xfId="13138"/>
    <cellStyle name="20% - Accent1 2 4 4 5 2 4 2" xfId="24939"/>
    <cellStyle name="20% - Accent1 2 4 4 5 2 4 2 2" xfId="53778"/>
    <cellStyle name="20% - Accent1 2 4 4 5 2 4 3" xfId="38554"/>
    <cellStyle name="20% - Accent1 2 4 4 5 2 5" xfId="6777"/>
    <cellStyle name="20% - Accent1 2 4 4 5 2 5 2" xfId="44998"/>
    <cellStyle name="20% - Accent1 2 4 4 5 2 6" xfId="18578"/>
    <cellStyle name="20% - Accent1 2 4 4 5 2 6 2" xfId="53779"/>
    <cellStyle name="20% - Accent1 2 4 4 5 2 7" xfId="32193"/>
    <cellStyle name="20% - Accent1 2 4 4 5 3" xfId="3304"/>
    <cellStyle name="20% - Accent1 2 4 4 5 3 2" xfId="5145"/>
    <cellStyle name="20% - Accent1 2 4 4 5 3 2 2" xfId="16615"/>
    <cellStyle name="20% - Accent1 2 4 4 5 3 2 2 2" xfId="28416"/>
    <cellStyle name="20% - Accent1 2 4 4 5 3 2 2 2 2" xfId="53780"/>
    <cellStyle name="20% - Accent1 2 4 4 5 3 2 2 3" xfId="42031"/>
    <cellStyle name="20% - Accent1 2 4 4 5 3 2 3" xfId="10598"/>
    <cellStyle name="20% - Accent1 2 4 4 5 3 2 3 2" xfId="53781"/>
    <cellStyle name="20% - Accent1 2 4 4 5 3 2 4" xfId="22399"/>
    <cellStyle name="20% - Accent1 2 4 4 5 3 2 4 2" xfId="53782"/>
    <cellStyle name="20% - Accent1 2 4 4 5 3 2 5" xfId="36014"/>
    <cellStyle name="20% - Accent1 2 4 4 5 3 3" xfId="13139"/>
    <cellStyle name="20% - Accent1 2 4 4 5 3 3 2" xfId="24940"/>
    <cellStyle name="20% - Accent1 2 4 4 5 3 3 2 2" xfId="53783"/>
    <cellStyle name="20% - Accent1 2 4 4 5 3 3 3" xfId="38555"/>
    <cellStyle name="20% - Accent1 2 4 4 5 3 4" xfId="8757"/>
    <cellStyle name="20% - Accent1 2 4 4 5 3 4 2" xfId="53784"/>
    <cellStyle name="20% - Accent1 2 4 4 5 3 5" xfId="20558"/>
    <cellStyle name="20% - Accent1 2 4 4 5 3 5 2" xfId="53785"/>
    <cellStyle name="20% - Accent1 2 4 4 5 3 6" xfId="34173"/>
    <cellStyle name="20% - Accent1 2 4 4 5 4" xfId="4009"/>
    <cellStyle name="20% - Accent1 2 4 4 5 4 2" xfId="13140"/>
    <cellStyle name="20% - Accent1 2 4 4 5 4 2 2" xfId="24941"/>
    <cellStyle name="20% - Accent1 2 4 4 5 4 2 2 2" xfId="53786"/>
    <cellStyle name="20% - Accent1 2 4 4 5 4 2 3" xfId="38556"/>
    <cellStyle name="20% - Accent1 2 4 4 5 4 3" xfId="9462"/>
    <cellStyle name="20% - Accent1 2 4 4 5 4 3 2" xfId="44999"/>
    <cellStyle name="20% - Accent1 2 4 4 5 4 4" xfId="21263"/>
    <cellStyle name="20% - Accent1 2 4 4 5 4 4 2" xfId="53787"/>
    <cellStyle name="20% - Accent1 2 4 4 5 4 5" xfId="34878"/>
    <cellStyle name="20% - Accent1 2 4 4 5 5" xfId="2168"/>
    <cellStyle name="20% - Accent1 2 4 4 5 5 2" xfId="17054"/>
    <cellStyle name="20% - Accent1 2 4 4 5 5 2 2" xfId="28855"/>
    <cellStyle name="20% - Accent1 2 4 4 5 5 2 2 2" xfId="53788"/>
    <cellStyle name="20% - Accent1 2 4 4 5 5 2 3" xfId="42470"/>
    <cellStyle name="20% - Accent1 2 4 4 5 5 3" xfId="7621"/>
    <cellStyle name="20% - Accent1 2 4 4 5 5 3 2" xfId="53789"/>
    <cellStyle name="20% - Accent1 2 4 4 5 5 4" xfId="19422"/>
    <cellStyle name="20% - Accent1 2 4 4 5 5 4 2" xfId="53790"/>
    <cellStyle name="20% - Accent1 2 4 4 5 5 5" xfId="33037"/>
    <cellStyle name="20% - Accent1 2 4 4 5 6" xfId="13141"/>
    <cellStyle name="20% - Accent1 2 4 4 5 6 2" xfId="24942"/>
    <cellStyle name="20% - Accent1 2 4 4 5 6 2 2" xfId="53791"/>
    <cellStyle name="20% - Accent1 2 4 4 5 6 3" xfId="38557"/>
    <cellStyle name="20% - Accent1 2 4 4 5 7" xfId="5721"/>
    <cellStyle name="20% - Accent1 2 4 4 5 7 2" xfId="53792"/>
    <cellStyle name="20% - Accent1 2 4 4 5 8" xfId="17522"/>
    <cellStyle name="20% - Accent1 2 4 4 5 8 2" xfId="53793"/>
    <cellStyle name="20% - Accent1 2 4 4 5 9" xfId="31137"/>
    <cellStyle name="20% - Accent1 2 4 4 6" xfId="594"/>
    <cellStyle name="20% - Accent1 2 4 4 6 2" xfId="1324"/>
    <cellStyle name="20% - Accent1 2 4 4 6 2 2" xfId="4336"/>
    <cellStyle name="20% - Accent1 2 4 4 6 2 2 2" xfId="13142"/>
    <cellStyle name="20% - Accent1 2 4 4 6 2 2 2 2" xfId="24943"/>
    <cellStyle name="20% - Accent1 2 4 4 6 2 2 2 2 2" xfId="53794"/>
    <cellStyle name="20% - Accent1 2 4 4 6 2 2 2 3" xfId="38558"/>
    <cellStyle name="20% - Accent1 2 4 4 6 2 2 3" xfId="9789"/>
    <cellStyle name="20% - Accent1 2 4 4 6 2 2 3 2" xfId="45000"/>
    <cellStyle name="20% - Accent1 2 4 4 6 2 2 4" xfId="21590"/>
    <cellStyle name="20% - Accent1 2 4 4 6 2 2 4 2" xfId="53795"/>
    <cellStyle name="20% - Accent1 2 4 4 6 2 2 5" xfId="35205"/>
    <cellStyle name="20% - Accent1 2 4 4 6 2 3" xfId="13143"/>
    <cellStyle name="20% - Accent1 2 4 4 6 2 3 2" xfId="24944"/>
    <cellStyle name="20% - Accent1 2 4 4 6 2 3 2 2" xfId="45001"/>
    <cellStyle name="20% - Accent1 2 4 4 6 2 3 3" xfId="29763"/>
    <cellStyle name="20% - Accent1 2 4 4 6 2 3 3 2" xfId="45002"/>
    <cellStyle name="20% - Accent1 2 4 4 6 2 3 4" xfId="29764"/>
    <cellStyle name="20% - Accent1 2 4 4 6 2 3 4 2" xfId="53796"/>
    <cellStyle name="20% - Accent1 2 4 4 6 2 3 5" xfId="38559"/>
    <cellStyle name="20% - Accent1 2 4 4 6 2 4" xfId="13144"/>
    <cellStyle name="20% - Accent1 2 4 4 6 2 4 2" xfId="24945"/>
    <cellStyle name="20% - Accent1 2 4 4 6 2 4 2 2" xfId="53797"/>
    <cellStyle name="20% - Accent1 2 4 4 6 2 4 3" xfId="38560"/>
    <cellStyle name="20% - Accent1 2 4 4 6 2 5" xfId="6778"/>
    <cellStyle name="20% - Accent1 2 4 4 6 2 5 2" xfId="45003"/>
    <cellStyle name="20% - Accent1 2 4 4 6 2 6" xfId="18579"/>
    <cellStyle name="20% - Accent1 2 4 4 6 2 6 2" xfId="53798"/>
    <cellStyle name="20% - Accent1 2 4 4 6 2 7" xfId="32194"/>
    <cellStyle name="20% - Accent1 2 4 4 6 3" xfId="2495"/>
    <cellStyle name="20% - Accent1 2 4 4 6 3 2" xfId="13145"/>
    <cellStyle name="20% - Accent1 2 4 4 6 3 2 2" xfId="24946"/>
    <cellStyle name="20% - Accent1 2 4 4 6 3 2 2 2" xfId="53799"/>
    <cellStyle name="20% - Accent1 2 4 4 6 3 2 3" xfId="38561"/>
    <cellStyle name="20% - Accent1 2 4 4 6 3 3" xfId="7948"/>
    <cellStyle name="20% - Accent1 2 4 4 6 3 3 2" xfId="45004"/>
    <cellStyle name="20% - Accent1 2 4 4 6 3 4" xfId="19749"/>
    <cellStyle name="20% - Accent1 2 4 4 6 3 4 2" xfId="53800"/>
    <cellStyle name="20% - Accent1 2 4 4 6 3 5" xfId="33364"/>
    <cellStyle name="20% - Accent1 2 4 4 6 4" xfId="13146"/>
    <cellStyle name="20% - Accent1 2 4 4 6 4 2" xfId="24947"/>
    <cellStyle name="20% - Accent1 2 4 4 6 4 2 2" xfId="45005"/>
    <cellStyle name="20% - Accent1 2 4 4 6 4 3" xfId="29765"/>
    <cellStyle name="20% - Accent1 2 4 4 6 4 3 2" xfId="45006"/>
    <cellStyle name="20% - Accent1 2 4 4 6 4 4" xfId="29766"/>
    <cellStyle name="20% - Accent1 2 4 4 6 4 4 2" xfId="53801"/>
    <cellStyle name="20% - Accent1 2 4 4 6 4 5" xfId="38562"/>
    <cellStyle name="20% - Accent1 2 4 4 6 5" xfId="13147"/>
    <cellStyle name="20% - Accent1 2 4 4 6 5 2" xfId="24948"/>
    <cellStyle name="20% - Accent1 2 4 4 6 5 2 2" xfId="53802"/>
    <cellStyle name="20% - Accent1 2 4 4 6 5 3" xfId="38563"/>
    <cellStyle name="20% - Accent1 2 4 4 6 6" xfId="6048"/>
    <cellStyle name="20% - Accent1 2 4 4 6 6 2" xfId="45007"/>
    <cellStyle name="20% - Accent1 2 4 4 6 7" xfId="17849"/>
    <cellStyle name="20% - Accent1 2 4 4 6 7 2" xfId="53803"/>
    <cellStyle name="20% - Accent1 2 4 4 6 8" xfId="31464"/>
    <cellStyle name="20% - Accent1 2 4 4 7" xfId="835"/>
    <cellStyle name="20% - Accent1 2 4 4 7 2" xfId="1325"/>
    <cellStyle name="20% - Accent1 2 4 4 7 2 2" xfId="4904"/>
    <cellStyle name="20% - Accent1 2 4 4 7 2 2 2" xfId="13148"/>
    <cellStyle name="20% - Accent1 2 4 4 7 2 2 2 2" xfId="24949"/>
    <cellStyle name="20% - Accent1 2 4 4 7 2 2 2 2 2" xfId="53804"/>
    <cellStyle name="20% - Accent1 2 4 4 7 2 2 2 3" xfId="38564"/>
    <cellStyle name="20% - Accent1 2 4 4 7 2 2 3" xfId="10357"/>
    <cellStyle name="20% - Accent1 2 4 4 7 2 2 3 2" xfId="45008"/>
    <cellStyle name="20% - Accent1 2 4 4 7 2 2 4" xfId="22158"/>
    <cellStyle name="20% - Accent1 2 4 4 7 2 2 4 2" xfId="53805"/>
    <cellStyle name="20% - Accent1 2 4 4 7 2 2 5" xfId="35773"/>
    <cellStyle name="20% - Accent1 2 4 4 7 2 3" xfId="13149"/>
    <cellStyle name="20% - Accent1 2 4 4 7 2 3 2" xfId="24950"/>
    <cellStyle name="20% - Accent1 2 4 4 7 2 3 2 2" xfId="45009"/>
    <cellStyle name="20% - Accent1 2 4 4 7 2 3 3" xfId="29767"/>
    <cellStyle name="20% - Accent1 2 4 4 7 2 3 3 2" xfId="45010"/>
    <cellStyle name="20% - Accent1 2 4 4 7 2 3 4" xfId="29768"/>
    <cellStyle name="20% - Accent1 2 4 4 7 2 3 4 2" xfId="53806"/>
    <cellStyle name="20% - Accent1 2 4 4 7 2 3 5" xfId="38565"/>
    <cellStyle name="20% - Accent1 2 4 4 7 2 4" xfId="13150"/>
    <cellStyle name="20% - Accent1 2 4 4 7 2 4 2" xfId="24951"/>
    <cellStyle name="20% - Accent1 2 4 4 7 2 4 2 2" xfId="53807"/>
    <cellStyle name="20% - Accent1 2 4 4 7 2 4 3" xfId="38566"/>
    <cellStyle name="20% - Accent1 2 4 4 7 2 5" xfId="6779"/>
    <cellStyle name="20% - Accent1 2 4 4 7 2 5 2" xfId="45011"/>
    <cellStyle name="20% - Accent1 2 4 4 7 2 6" xfId="18580"/>
    <cellStyle name="20% - Accent1 2 4 4 7 2 6 2" xfId="53808"/>
    <cellStyle name="20% - Accent1 2 4 4 7 2 7" xfId="32195"/>
    <cellStyle name="20% - Accent1 2 4 4 7 3" xfId="3063"/>
    <cellStyle name="20% - Accent1 2 4 4 7 3 2" xfId="13151"/>
    <cellStyle name="20% - Accent1 2 4 4 7 3 2 2" xfId="24952"/>
    <cellStyle name="20% - Accent1 2 4 4 7 3 2 2 2" xfId="53809"/>
    <cellStyle name="20% - Accent1 2 4 4 7 3 2 3" xfId="38567"/>
    <cellStyle name="20% - Accent1 2 4 4 7 3 3" xfId="8516"/>
    <cellStyle name="20% - Accent1 2 4 4 7 3 3 2" xfId="45012"/>
    <cellStyle name="20% - Accent1 2 4 4 7 3 4" xfId="20317"/>
    <cellStyle name="20% - Accent1 2 4 4 7 3 4 2" xfId="53810"/>
    <cellStyle name="20% - Accent1 2 4 4 7 3 5" xfId="33932"/>
    <cellStyle name="20% - Accent1 2 4 4 7 4" xfId="13152"/>
    <cellStyle name="20% - Accent1 2 4 4 7 4 2" xfId="24953"/>
    <cellStyle name="20% - Accent1 2 4 4 7 4 2 2" xfId="45013"/>
    <cellStyle name="20% - Accent1 2 4 4 7 4 3" xfId="29769"/>
    <cellStyle name="20% - Accent1 2 4 4 7 4 3 2" xfId="45014"/>
    <cellStyle name="20% - Accent1 2 4 4 7 4 4" xfId="29770"/>
    <cellStyle name="20% - Accent1 2 4 4 7 4 4 2" xfId="53811"/>
    <cellStyle name="20% - Accent1 2 4 4 7 4 5" xfId="38568"/>
    <cellStyle name="20% - Accent1 2 4 4 7 5" xfId="13153"/>
    <cellStyle name="20% - Accent1 2 4 4 7 5 2" xfId="24954"/>
    <cellStyle name="20% - Accent1 2 4 4 7 5 2 2" xfId="53812"/>
    <cellStyle name="20% - Accent1 2 4 4 7 5 3" xfId="38569"/>
    <cellStyle name="20% - Accent1 2 4 4 7 6" xfId="6289"/>
    <cellStyle name="20% - Accent1 2 4 4 7 6 2" xfId="45015"/>
    <cellStyle name="20% - Accent1 2 4 4 7 7" xfId="18090"/>
    <cellStyle name="20% - Accent1 2 4 4 7 7 2" xfId="53813"/>
    <cellStyle name="20% - Accent1 2 4 4 7 8" xfId="31705"/>
    <cellStyle name="20% - Accent1 2 4 4 8" xfId="1326"/>
    <cellStyle name="20% - Accent1 2 4 4 8 2" xfId="3768"/>
    <cellStyle name="20% - Accent1 2 4 4 8 2 2" xfId="13154"/>
    <cellStyle name="20% - Accent1 2 4 4 8 2 2 2" xfId="24955"/>
    <cellStyle name="20% - Accent1 2 4 4 8 2 2 2 2" xfId="53814"/>
    <cellStyle name="20% - Accent1 2 4 4 8 2 2 3" xfId="38570"/>
    <cellStyle name="20% - Accent1 2 4 4 8 2 3" xfId="9221"/>
    <cellStyle name="20% - Accent1 2 4 4 8 2 3 2" xfId="45016"/>
    <cellStyle name="20% - Accent1 2 4 4 8 2 4" xfId="21022"/>
    <cellStyle name="20% - Accent1 2 4 4 8 2 4 2" xfId="53815"/>
    <cellStyle name="20% - Accent1 2 4 4 8 2 5" xfId="34637"/>
    <cellStyle name="20% - Accent1 2 4 4 8 3" xfId="13155"/>
    <cellStyle name="20% - Accent1 2 4 4 8 3 2" xfId="24956"/>
    <cellStyle name="20% - Accent1 2 4 4 8 3 2 2" xfId="45017"/>
    <cellStyle name="20% - Accent1 2 4 4 8 3 3" xfId="29771"/>
    <cellStyle name="20% - Accent1 2 4 4 8 3 3 2" xfId="45018"/>
    <cellStyle name="20% - Accent1 2 4 4 8 3 4" xfId="29772"/>
    <cellStyle name="20% - Accent1 2 4 4 8 3 4 2" xfId="53816"/>
    <cellStyle name="20% - Accent1 2 4 4 8 3 5" xfId="38571"/>
    <cellStyle name="20% - Accent1 2 4 4 8 4" xfId="13156"/>
    <cellStyle name="20% - Accent1 2 4 4 8 4 2" xfId="24957"/>
    <cellStyle name="20% - Accent1 2 4 4 8 4 2 2" xfId="53817"/>
    <cellStyle name="20% - Accent1 2 4 4 8 4 3" xfId="38572"/>
    <cellStyle name="20% - Accent1 2 4 4 8 5" xfId="6780"/>
    <cellStyle name="20% - Accent1 2 4 4 8 5 2" xfId="45019"/>
    <cellStyle name="20% - Accent1 2 4 4 8 6" xfId="18581"/>
    <cellStyle name="20% - Accent1 2 4 4 8 6 2" xfId="53818"/>
    <cellStyle name="20% - Accent1 2 4 4 8 7" xfId="32196"/>
    <cellStyle name="20% - Accent1 2 4 4 9" xfId="3631"/>
    <cellStyle name="20% - Accent1 2 4 4 9 2" xfId="13157"/>
    <cellStyle name="20% - Accent1 2 4 4 9 2 2" xfId="24958"/>
    <cellStyle name="20% - Accent1 2 4 4 9 2 2 2" xfId="53819"/>
    <cellStyle name="20% - Accent1 2 4 4 9 2 3" xfId="38573"/>
    <cellStyle name="20% - Accent1 2 4 4 9 3" xfId="9084"/>
    <cellStyle name="20% - Accent1 2 4 4 9 3 2" xfId="45020"/>
    <cellStyle name="20% - Accent1 2 4 4 9 4" xfId="20885"/>
    <cellStyle name="20% - Accent1 2 4 4 9 4 2" xfId="53820"/>
    <cellStyle name="20% - Accent1 2 4 4 9 5" xfId="34500"/>
    <cellStyle name="20% - Accent1 2 4 5" xfId="63"/>
    <cellStyle name="20% - Accent1 2 4 5 10" xfId="13158"/>
    <cellStyle name="20% - Accent1 2 4 5 10 2" xfId="24959"/>
    <cellStyle name="20% - Accent1 2 4 5 10 2 2" xfId="53821"/>
    <cellStyle name="20% - Accent1 2 4 5 10 3" xfId="38574"/>
    <cellStyle name="20% - Accent1 2 4 5 11" xfId="5517"/>
    <cellStyle name="20% - Accent1 2 4 5 11 2" xfId="45021"/>
    <cellStyle name="20% - Accent1 2 4 5 12" xfId="17318"/>
    <cellStyle name="20% - Accent1 2 4 5 12 2" xfId="53822"/>
    <cellStyle name="20% - Accent1 2 4 5 13" xfId="30933"/>
    <cellStyle name="20% - Accent1 2 4 5 2" xfId="130"/>
    <cellStyle name="20% - Accent1 2 4 5 2 10" xfId="5584"/>
    <cellStyle name="20% - Accent1 2 4 5 2 10 2" xfId="45022"/>
    <cellStyle name="20% - Accent1 2 4 5 2 11" xfId="17385"/>
    <cellStyle name="20% - Accent1 2 4 5 2 11 2" xfId="53823"/>
    <cellStyle name="20% - Accent1 2 4 5 2 12" xfId="31000"/>
    <cellStyle name="20% - Accent1 2 4 5 2 2" xfId="557"/>
    <cellStyle name="20% - Accent1 2 4 5 2 2 2" xfId="1327"/>
    <cellStyle name="20% - Accent1 2 4 5 2 2 2 2" xfId="4867"/>
    <cellStyle name="20% - Accent1 2 4 5 2 2 2 2 2" xfId="13159"/>
    <cellStyle name="20% - Accent1 2 4 5 2 2 2 2 2 2" xfId="24960"/>
    <cellStyle name="20% - Accent1 2 4 5 2 2 2 2 2 2 2" xfId="53824"/>
    <cellStyle name="20% - Accent1 2 4 5 2 2 2 2 2 3" xfId="38575"/>
    <cellStyle name="20% - Accent1 2 4 5 2 2 2 2 3" xfId="10320"/>
    <cellStyle name="20% - Accent1 2 4 5 2 2 2 2 3 2" xfId="45023"/>
    <cellStyle name="20% - Accent1 2 4 5 2 2 2 2 4" xfId="22121"/>
    <cellStyle name="20% - Accent1 2 4 5 2 2 2 2 4 2" xfId="53825"/>
    <cellStyle name="20% - Accent1 2 4 5 2 2 2 2 5" xfId="35736"/>
    <cellStyle name="20% - Accent1 2 4 5 2 2 2 3" xfId="3026"/>
    <cellStyle name="20% - Accent1 2 4 5 2 2 2 3 2" xfId="13160"/>
    <cellStyle name="20% - Accent1 2 4 5 2 2 2 3 2 2" xfId="24961"/>
    <cellStyle name="20% - Accent1 2 4 5 2 2 2 3 2 2 2" xfId="53826"/>
    <cellStyle name="20% - Accent1 2 4 5 2 2 2 3 2 3" xfId="38576"/>
    <cellStyle name="20% - Accent1 2 4 5 2 2 2 3 3" xfId="8479"/>
    <cellStyle name="20% - Accent1 2 4 5 2 2 2 3 3 2" xfId="45024"/>
    <cellStyle name="20% - Accent1 2 4 5 2 2 2 3 4" xfId="20280"/>
    <cellStyle name="20% - Accent1 2 4 5 2 2 2 3 4 2" xfId="53827"/>
    <cellStyle name="20% - Accent1 2 4 5 2 2 2 3 5" xfId="33895"/>
    <cellStyle name="20% - Accent1 2 4 5 2 2 2 4" xfId="13161"/>
    <cellStyle name="20% - Accent1 2 4 5 2 2 2 4 2" xfId="24962"/>
    <cellStyle name="20% - Accent1 2 4 5 2 2 2 4 2 2" xfId="53828"/>
    <cellStyle name="20% - Accent1 2 4 5 2 2 2 4 3" xfId="38577"/>
    <cellStyle name="20% - Accent1 2 4 5 2 2 2 5" xfId="6781"/>
    <cellStyle name="20% - Accent1 2 4 5 2 2 2 5 2" xfId="45025"/>
    <cellStyle name="20% - Accent1 2 4 5 2 2 2 6" xfId="18582"/>
    <cellStyle name="20% - Accent1 2 4 5 2 2 2 6 2" xfId="53829"/>
    <cellStyle name="20% - Accent1 2 4 5 2 2 2 7" xfId="32197"/>
    <cellStyle name="20% - Accent1 2 4 5 2 2 3" xfId="3594"/>
    <cellStyle name="20% - Accent1 2 4 5 2 2 3 2" xfId="5435"/>
    <cellStyle name="20% - Accent1 2 4 5 2 2 3 2 2" xfId="16905"/>
    <cellStyle name="20% - Accent1 2 4 5 2 2 3 2 2 2" xfId="28706"/>
    <cellStyle name="20% - Accent1 2 4 5 2 2 3 2 2 2 2" xfId="53830"/>
    <cellStyle name="20% - Accent1 2 4 5 2 2 3 2 2 3" xfId="42321"/>
    <cellStyle name="20% - Accent1 2 4 5 2 2 3 2 3" xfId="10888"/>
    <cellStyle name="20% - Accent1 2 4 5 2 2 3 2 3 2" xfId="53831"/>
    <cellStyle name="20% - Accent1 2 4 5 2 2 3 2 4" xfId="22689"/>
    <cellStyle name="20% - Accent1 2 4 5 2 2 3 2 4 2" xfId="53832"/>
    <cellStyle name="20% - Accent1 2 4 5 2 2 3 2 5" xfId="36304"/>
    <cellStyle name="20% - Accent1 2 4 5 2 2 3 3" xfId="13162"/>
    <cellStyle name="20% - Accent1 2 4 5 2 2 3 3 2" xfId="24963"/>
    <cellStyle name="20% - Accent1 2 4 5 2 2 3 3 2 2" xfId="53833"/>
    <cellStyle name="20% - Accent1 2 4 5 2 2 3 3 3" xfId="38578"/>
    <cellStyle name="20% - Accent1 2 4 5 2 2 3 4" xfId="9047"/>
    <cellStyle name="20% - Accent1 2 4 5 2 2 3 4 2" xfId="53834"/>
    <cellStyle name="20% - Accent1 2 4 5 2 2 3 5" xfId="20848"/>
    <cellStyle name="20% - Accent1 2 4 5 2 2 3 5 2" xfId="53835"/>
    <cellStyle name="20% - Accent1 2 4 5 2 2 3 6" xfId="34463"/>
    <cellStyle name="20% - Accent1 2 4 5 2 2 4" xfId="4299"/>
    <cellStyle name="20% - Accent1 2 4 5 2 2 4 2" xfId="13163"/>
    <cellStyle name="20% - Accent1 2 4 5 2 2 4 2 2" xfId="24964"/>
    <cellStyle name="20% - Accent1 2 4 5 2 2 4 2 2 2" xfId="53836"/>
    <cellStyle name="20% - Accent1 2 4 5 2 2 4 2 3" xfId="38579"/>
    <cellStyle name="20% - Accent1 2 4 5 2 2 4 3" xfId="9752"/>
    <cellStyle name="20% - Accent1 2 4 5 2 2 4 3 2" xfId="45026"/>
    <cellStyle name="20% - Accent1 2 4 5 2 2 4 4" xfId="21553"/>
    <cellStyle name="20% - Accent1 2 4 5 2 2 4 4 2" xfId="53837"/>
    <cellStyle name="20% - Accent1 2 4 5 2 2 4 5" xfId="35168"/>
    <cellStyle name="20% - Accent1 2 4 5 2 2 5" xfId="2458"/>
    <cellStyle name="20% - Accent1 2 4 5 2 2 5 2" xfId="17055"/>
    <cellStyle name="20% - Accent1 2 4 5 2 2 5 2 2" xfId="28856"/>
    <cellStyle name="20% - Accent1 2 4 5 2 2 5 2 2 2" xfId="53838"/>
    <cellStyle name="20% - Accent1 2 4 5 2 2 5 2 3" xfId="42471"/>
    <cellStyle name="20% - Accent1 2 4 5 2 2 5 3" xfId="7911"/>
    <cellStyle name="20% - Accent1 2 4 5 2 2 5 3 2" xfId="53839"/>
    <cellStyle name="20% - Accent1 2 4 5 2 2 5 4" xfId="19712"/>
    <cellStyle name="20% - Accent1 2 4 5 2 2 5 4 2" xfId="53840"/>
    <cellStyle name="20% - Accent1 2 4 5 2 2 5 5" xfId="33327"/>
    <cellStyle name="20% - Accent1 2 4 5 2 2 6" xfId="13164"/>
    <cellStyle name="20% - Accent1 2 4 5 2 2 6 2" xfId="24965"/>
    <cellStyle name="20% - Accent1 2 4 5 2 2 6 2 2" xfId="53841"/>
    <cellStyle name="20% - Accent1 2 4 5 2 2 6 3" xfId="38580"/>
    <cellStyle name="20% - Accent1 2 4 5 2 2 7" xfId="6011"/>
    <cellStyle name="20% - Accent1 2 4 5 2 2 7 2" xfId="53842"/>
    <cellStyle name="20% - Accent1 2 4 5 2 2 8" xfId="17812"/>
    <cellStyle name="20% - Accent1 2 4 5 2 2 8 2" xfId="53843"/>
    <cellStyle name="20% - Accent1 2 4 5 2 2 9" xfId="31427"/>
    <cellStyle name="20% - Accent1 2 4 5 2 3" xfId="420"/>
    <cellStyle name="20% - Accent1 2 4 5 2 3 2" xfId="1328"/>
    <cellStyle name="20% - Accent1 2 4 5 2 3 2 2" xfId="4730"/>
    <cellStyle name="20% - Accent1 2 4 5 2 3 2 2 2" xfId="13165"/>
    <cellStyle name="20% - Accent1 2 4 5 2 3 2 2 2 2" xfId="24966"/>
    <cellStyle name="20% - Accent1 2 4 5 2 3 2 2 2 2 2" xfId="53844"/>
    <cellStyle name="20% - Accent1 2 4 5 2 3 2 2 2 3" xfId="38581"/>
    <cellStyle name="20% - Accent1 2 4 5 2 3 2 2 3" xfId="10183"/>
    <cellStyle name="20% - Accent1 2 4 5 2 3 2 2 3 2" xfId="45027"/>
    <cellStyle name="20% - Accent1 2 4 5 2 3 2 2 4" xfId="21984"/>
    <cellStyle name="20% - Accent1 2 4 5 2 3 2 2 4 2" xfId="53845"/>
    <cellStyle name="20% - Accent1 2 4 5 2 3 2 2 5" xfId="35599"/>
    <cellStyle name="20% - Accent1 2 4 5 2 3 2 3" xfId="2889"/>
    <cellStyle name="20% - Accent1 2 4 5 2 3 2 3 2" xfId="13166"/>
    <cellStyle name="20% - Accent1 2 4 5 2 3 2 3 2 2" xfId="24967"/>
    <cellStyle name="20% - Accent1 2 4 5 2 3 2 3 2 2 2" xfId="53846"/>
    <cellStyle name="20% - Accent1 2 4 5 2 3 2 3 2 3" xfId="38582"/>
    <cellStyle name="20% - Accent1 2 4 5 2 3 2 3 3" xfId="8342"/>
    <cellStyle name="20% - Accent1 2 4 5 2 3 2 3 3 2" xfId="45028"/>
    <cellStyle name="20% - Accent1 2 4 5 2 3 2 3 4" xfId="20143"/>
    <cellStyle name="20% - Accent1 2 4 5 2 3 2 3 4 2" xfId="53847"/>
    <cellStyle name="20% - Accent1 2 4 5 2 3 2 3 5" xfId="33758"/>
    <cellStyle name="20% - Accent1 2 4 5 2 3 2 4" xfId="13167"/>
    <cellStyle name="20% - Accent1 2 4 5 2 3 2 4 2" xfId="24968"/>
    <cellStyle name="20% - Accent1 2 4 5 2 3 2 4 2 2" xfId="53848"/>
    <cellStyle name="20% - Accent1 2 4 5 2 3 2 4 3" xfId="38583"/>
    <cellStyle name="20% - Accent1 2 4 5 2 3 2 5" xfId="6782"/>
    <cellStyle name="20% - Accent1 2 4 5 2 3 2 5 2" xfId="45029"/>
    <cellStyle name="20% - Accent1 2 4 5 2 3 2 6" xfId="18583"/>
    <cellStyle name="20% - Accent1 2 4 5 2 3 2 6 2" xfId="53849"/>
    <cellStyle name="20% - Accent1 2 4 5 2 3 2 7" xfId="32198"/>
    <cellStyle name="20% - Accent1 2 4 5 2 3 3" xfId="3457"/>
    <cellStyle name="20% - Accent1 2 4 5 2 3 3 2" xfId="5298"/>
    <cellStyle name="20% - Accent1 2 4 5 2 3 3 2 2" xfId="16768"/>
    <cellStyle name="20% - Accent1 2 4 5 2 3 3 2 2 2" xfId="28569"/>
    <cellStyle name="20% - Accent1 2 4 5 2 3 3 2 2 2 2" xfId="53850"/>
    <cellStyle name="20% - Accent1 2 4 5 2 3 3 2 2 3" xfId="42184"/>
    <cellStyle name="20% - Accent1 2 4 5 2 3 3 2 3" xfId="10751"/>
    <cellStyle name="20% - Accent1 2 4 5 2 3 3 2 3 2" xfId="53851"/>
    <cellStyle name="20% - Accent1 2 4 5 2 3 3 2 4" xfId="22552"/>
    <cellStyle name="20% - Accent1 2 4 5 2 3 3 2 4 2" xfId="53852"/>
    <cellStyle name="20% - Accent1 2 4 5 2 3 3 2 5" xfId="36167"/>
    <cellStyle name="20% - Accent1 2 4 5 2 3 3 3" xfId="13168"/>
    <cellStyle name="20% - Accent1 2 4 5 2 3 3 3 2" xfId="24969"/>
    <cellStyle name="20% - Accent1 2 4 5 2 3 3 3 2 2" xfId="53853"/>
    <cellStyle name="20% - Accent1 2 4 5 2 3 3 3 3" xfId="38584"/>
    <cellStyle name="20% - Accent1 2 4 5 2 3 3 4" xfId="8910"/>
    <cellStyle name="20% - Accent1 2 4 5 2 3 3 4 2" xfId="53854"/>
    <cellStyle name="20% - Accent1 2 4 5 2 3 3 5" xfId="20711"/>
    <cellStyle name="20% - Accent1 2 4 5 2 3 3 5 2" xfId="53855"/>
    <cellStyle name="20% - Accent1 2 4 5 2 3 3 6" xfId="34326"/>
    <cellStyle name="20% - Accent1 2 4 5 2 3 4" xfId="4162"/>
    <cellStyle name="20% - Accent1 2 4 5 2 3 4 2" xfId="13169"/>
    <cellStyle name="20% - Accent1 2 4 5 2 3 4 2 2" xfId="24970"/>
    <cellStyle name="20% - Accent1 2 4 5 2 3 4 2 2 2" xfId="53856"/>
    <cellStyle name="20% - Accent1 2 4 5 2 3 4 2 3" xfId="38585"/>
    <cellStyle name="20% - Accent1 2 4 5 2 3 4 3" xfId="9615"/>
    <cellStyle name="20% - Accent1 2 4 5 2 3 4 3 2" xfId="45030"/>
    <cellStyle name="20% - Accent1 2 4 5 2 3 4 4" xfId="21416"/>
    <cellStyle name="20% - Accent1 2 4 5 2 3 4 4 2" xfId="53857"/>
    <cellStyle name="20% - Accent1 2 4 5 2 3 4 5" xfId="35031"/>
    <cellStyle name="20% - Accent1 2 4 5 2 3 5" xfId="2321"/>
    <cellStyle name="20% - Accent1 2 4 5 2 3 5 2" xfId="17056"/>
    <cellStyle name="20% - Accent1 2 4 5 2 3 5 2 2" xfId="28857"/>
    <cellStyle name="20% - Accent1 2 4 5 2 3 5 2 2 2" xfId="53858"/>
    <cellStyle name="20% - Accent1 2 4 5 2 3 5 2 3" xfId="42472"/>
    <cellStyle name="20% - Accent1 2 4 5 2 3 5 3" xfId="7774"/>
    <cellStyle name="20% - Accent1 2 4 5 2 3 5 3 2" xfId="53859"/>
    <cellStyle name="20% - Accent1 2 4 5 2 3 5 4" xfId="19575"/>
    <cellStyle name="20% - Accent1 2 4 5 2 3 5 4 2" xfId="53860"/>
    <cellStyle name="20% - Accent1 2 4 5 2 3 5 5" xfId="33190"/>
    <cellStyle name="20% - Accent1 2 4 5 2 3 6" xfId="13170"/>
    <cellStyle name="20% - Accent1 2 4 5 2 3 6 2" xfId="24971"/>
    <cellStyle name="20% - Accent1 2 4 5 2 3 6 2 2" xfId="53861"/>
    <cellStyle name="20% - Accent1 2 4 5 2 3 6 3" xfId="38586"/>
    <cellStyle name="20% - Accent1 2 4 5 2 3 7" xfId="5874"/>
    <cellStyle name="20% - Accent1 2 4 5 2 3 7 2" xfId="53862"/>
    <cellStyle name="20% - Accent1 2 4 5 2 3 8" xfId="17675"/>
    <cellStyle name="20% - Accent1 2 4 5 2 3 8 2" xfId="53863"/>
    <cellStyle name="20% - Accent1 2 4 5 2 3 9" xfId="31290"/>
    <cellStyle name="20% - Accent1 2 4 5 2 4" xfId="698"/>
    <cellStyle name="20% - Accent1 2 4 5 2 4 2" xfId="1329"/>
    <cellStyle name="20% - Accent1 2 4 5 2 4 2 2" xfId="4440"/>
    <cellStyle name="20% - Accent1 2 4 5 2 4 2 2 2" xfId="13171"/>
    <cellStyle name="20% - Accent1 2 4 5 2 4 2 2 2 2" xfId="24972"/>
    <cellStyle name="20% - Accent1 2 4 5 2 4 2 2 2 2 2" xfId="53864"/>
    <cellStyle name="20% - Accent1 2 4 5 2 4 2 2 2 3" xfId="38587"/>
    <cellStyle name="20% - Accent1 2 4 5 2 4 2 2 3" xfId="9893"/>
    <cellStyle name="20% - Accent1 2 4 5 2 4 2 2 3 2" xfId="45031"/>
    <cellStyle name="20% - Accent1 2 4 5 2 4 2 2 4" xfId="21694"/>
    <cellStyle name="20% - Accent1 2 4 5 2 4 2 2 4 2" xfId="53865"/>
    <cellStyle name="20% - Accent1 2 4 5 2 4 2 2 5" xfId="35309"/>
    <cellStyle name="20% - Accent1 2 4 5 2 4 2 3" xfId="13172"/>
    <cellStyle name="20% - Accent1 2 4 5 2 4 2 3 2" xfId="24973"/>
    <cellStyle name="20% - Accent1 2 4 5 2 4 2 3 2 2" xfId="45032"/>
    <cellStyle name="20% - Accent1 2 4 5 2 4 2 3 3" xfId="29773"/>
    <cellStyle name="20% - Accent1 2 4 5 2 4 2 3 3 2" xfId="45033"/>
    <cellStyle name="20% - Accent1 2 4 5 2 4 2 3 4" xfId="29774"/>
    <cellStyle name="20% - Accent1 2 4 5 2 4 2 3 4 2" xfId="53866"/>
    <cellStyle name="20% - Accent1 2 4 5 2 4 2 3 5" xfId="38588"/>
    <cellStyle name="20% - Accent1 2 4 5 2 4 2 4" xfId="13173"/>
    <cellStyle name="20% - Accent1 2 4 5 2 4 2 4 2" xfId="24974"/>
    <cellStyle name="20% - Accent1 2 4 5 2 4 2 4 2 2" xfId="53867"/>
    <cellStyle name="20% - Accent1 2 4 5 2 4 2 4 3" xfId="38589"/>
    <cellStyle name="20% - Accent1 2 4 5 2 4 2 5" xfId="6783"/>
    <cellStyle name="20% - Accent1 2 4 5 2 4 2 5 2" xfId="45034"/>
    <cellStyle name="20% - Accent1 2 4 5 2 4 2 6" xfId="18584"/>
    <cellStyle name="20% - Accent1 2 4 5 2 4 2 6 2" xfId="53868"/>
    <cellStyle name="20% - Accent1 2 4 5 2 4 2 7" xfId="32199"/>
    <cellStyle name="20% - Accent1 2 4 5 2 4 3" xfId="2599"/>
    <cellStyle name="20% - Accent1 2 4 5 2 4 3 2" xfId="13174"/>
    <cellStyle name="20% - Accent1 2 4 5 2 4 3 2 2" xfId="24975"/>
    <cellStyle name="20% - Accent1 2 4 5 2 4 3 2 2 2" xfId="53869"/>
    <cellStyle name="20% - Accent1 2 4 5 2 4 3 2 3" xfId="38590"/>
    <cellStyle name="20% - Accent1 2 4 5 2 4 3 3" xfId="8052"/>
    <cellStyle name="20% - Accent1 2 4 5 2 4 3 3 2" xfId="45035"/>
    <cellStyle name="20% - Accent1 2 4 5 2 4 3 4" xfId="19853"/>
    <cellStyle name="20% - Accent1 2 4 5 2 4 3 4 2" xfId="53870"/>
    <cellStyle name="20% - Accent1 2 4 5 2 4 3 5" xfId="33468"/>
    <cellStyle name="20% - Accent1 2 4 5 2 4 4" xfId="13175"/>
    <cellStyle name="20% - Accent1 2 4 5 2 4 4 2" xfId="24976"/>
    <cellStyle name="20% - Accent1 2 4 5 2 4 4 2 2" xfId="45036"/>
    <cellStyle name="20% - Accent1 2 4 5 2 4 4 3" xfId="29775"/>
    <cellStyle name="20% - Accent1 2 4 5 2 4 4 3 2" xfId="45037"/>
    <cellStyle name="20% - Accent1 2 4 5 2 4 4 4" xfId="29776"/>
    <cellStyle name="20% - Accent1 2 4 5 2 4 4 4 2" xfId="53871"/>
    <cellStyle name="20% - Accent1 2 4 5 2 4 4 5" xfId="38591"/>
    <cellStyle name="20% - Accent1 2 4 5 2 4 5" xfId="13176"/>
    <cellStyle name="20% - Accent1 2 4 5 2 4 5 2" xfId="24977"/>
    <cellStyle name="20% - Accent1 2 4 5 2 4 5 2 2" xfId="53872"/>
    <cellStyle name="20% - Accent1 2 4 5 2 4 5 3" xfId="38592"/>
    <cellStyle name="20% - Accent1 2 4 5 2 4 6" xfId="6152"/>
    <cellStyle name="20% - Accent1 2 4 5 2 4 6 2" xfId="45038"/>
    <cellStyle name="20% - Accent1 2 4 5 2 4 7" xfId="17953"/>
    <cellStyle name="20% - Accent1 2 4 5 2 4 7 2" xfId="53873"/>
    <cellStyle name="20% - Accent1 2 4 5 2 4 8" xfId="31568"/>
    <cellStyle name="20% - Accent1 2 4 5 2 5" xfId="939"/>
    <cellStyle name="20% - Accent1 2 4 5 2 5 2" xfId="1330"/>
    <cellStyle name="20% - Accent1 2 4 5 2 5 2 2" xfId="5008"/>
    <cellStyle name="20% - Accent1 2 4 5 2 5 2 2 2" xfId="13177"/>
    <cellStyle name="20% - Accent1 2 4 5 2 5 2 2 2 2" xfId="24978"/>
    <cellStyle name="20% - Accent1 2 4 5 2 5 2 2 2 2 2" xfId="53874"/>
    <cellStyle name="20% - Accent1 2 4 5 2 5 2 2 2 3" xfId="38593"/>
    <cellStyle name="20% - Accent1 2 4 5 2 5 2 2 3" xfId="10461"/>
    <cellStyle name="20% - Accent1 2 4 5 2 5 2 2 3 2" xfId="45039"/>
    <cellStyle name="20% - Accent1 2 4 5 2 5 2 2 4" xfId="22262"/>
    <cellStyle name="20% - Accent1 2 4 5 2 5 2 2 4 2" xfId="53875"/>
    <cellStyle name="20% - Accent1 2 4 5 2 5 2 2 5" xfId="35877"/>
    <cellStyle name="20% - Accent1 2 4 5 2 5 2 3" xfId="13178"/>
    <cellStyle name="20% - Accent1 2 4 5 2 5 2 3 2" xfId="24979"/>
    <cellStyle name="20% - Accent1 2 4 5 2 5 2 3 2 2" xfId="45040"/>
    <cellStyle name="20% - Accent1 2 4 5 2 5 2 3 3" xfId="29777"/>
    <cellStyle name="20% - Accent1 2 4 5 2 5 2 3 3 2" xfId="45041"/>
    <cellStyle name="20% - Accent1 2 4 5 2 5 2 3 4" xfId="29778"/>
    <cellStyle name="20% - Accent1 2 4 5 2 5 2 3 4 2" xfId="53876"/>
    <cellStyle name="20% - Accent1 2 4 5 2 5 2 3 5" xfId="38594"/>
    <cellStyle name="20% - Accent1 2 4 5 2 5 2 4" xfId="13179"/>
    <cellStyle name="20% - Accent1 2 4 5 2 5 2 4 2" xfId="24980"/>
    <cellStyle name="20% - Accent1 2 4 5 2 5 2 4 2 2" xfId="53877"/>
    <cellStyle name="20% - Accent1 2 4 5 2 5 2 4 3" xfId="38595"/>
    <cellStyle name="20% - Accent1 2 4 5 2 5 2 5" xfId="6784"/>
    <cellStyle name="20% - Accent1 2 4 5 2 5 2 5 2" xfId="45042"/>
    <cellStyle name="20% - Accent1 2 4 5 2 5 2 6" xfId="18585"/>
    <cellStyle name="20% - Accent1 2 4 5 2 5 2 6 2" xfId="53878"/>
    <cellStyle name="20% - Accent1 2 4 5 2 5 2 7" xfId="32200"/>
    <cellStyle name="20% - Accent1 2 4 5 2 5 3" xfId="3167"/>
    <cellStyle name="20% - Accent1 2 4 5 2 5 3 2" xfId="13180"/>
    <cellStyle name="20% - Accent1 2 4 5 2 5 3 2 2" xfId="24981"/>
    <cellStyle name="20% - Accent1 2 4 5 2 5 3 2 2 2" xfId="53879"/>
    <cellStyle name="20% - Accent1 2 4 5 2 5 3 2 3" xfId="38596"/>
    <cellStyle name="20% - Accent1 2 4 5 2 5 3 3" xfId="8620"/>
    <cellStyle name="20% - Accent1 2 4 5 2 5 3 3 2" xfId="45043"/>
    <cellStyle name="20% - Accent1 2 4 5 2 5 3 4" xfId="20421"/>
    <cellStyle name="20% - Accent1 2 4 5 2 5 3 4 2" xfId="53880"/>
    <cellStyle name="20% - Accent1 2 4 5 2 5 3 5" xfId="34036"/>
    <cellStyle name="20% - Accent1 2 4 5 2 5 4" xfId="13181"/>
    <cellStyle name="20% - Accent1 2 4 5 2 5 4 2" xfId="24982"/>
    <cellStyle name="20% - Accent1 2 4 5 2 5 4 2 2" xfId="45044"/>
    <cellStyle name="20% - Accent1 2 4 5 2 5 4 3" xfId="29779"/>
    <cellStyle name="20% - Accent1 2 4 5 2 5 4 3 2" xfId="45045"/>
    <cellStyle name="20% - Accent1 2 4 5 2 5 4 4" xfId="29780"/>
    <cellStyle name="20% - Accent1 2 4 5 2 5 4 4 2" xfId="53881"/>
    <cellStyle name="20% - Accent1 2 4 5 2 5 4 5" xfId="38597"/>
    <cellStyle name="20% - Accent1 2 4 5 2 5 5" xfId="13182"/>
    <cellStyle name="20% - Accent1 2 4 5 2 5 5 2" xfId="24983"/>
    <cellStyle name="20% - Accent1 2 4 5 2 5 5 2 2" xfId="53882"/>
    <cellStyle name="20% - Accent1 2 4 5 2 5 5 3" xfId="38598"/>
    <cellStyle name="20% - Accent1 2 4 5 2 5 6" xfId="6393"/>
    <cellStyle name="20% - Accent1 2 4 5 2 5 6 2" xfId="45046"/>
    <cellStyle name="20% - Accent1 2 4 5 2 5 7" xfId="18194"/>
    <cellStyle name="20% - Accent1 2 4 5 2 5 7 2" xfId="53883"/>
    <cellStyle name="20% - Accent1 2 4 5 2 5 8" xfId="31809"/>
    <cellStyle name="20% - Accent1 2 4 5 2 6" xfId="1331"/>
    <cellStyle name="20% - Accent1 2 4 5 2 6 2" xfId="3872"/>
    <cellStyle name="20% - Accent1 2 4 5 2 6 2 2" xfId="13183"/>
    <cellStyle name="20% - Accent1 2 4 5 2 6 2 2 2" xfId="24984"/>
    <cellStyle name="20% - Accent1 2 4 5 2 6 2 2 2 2" xfId="53884"/>
    <cellStyle name="20% - Accent1 2 4 5 2 6 2 2 3" xfId="38599"/>
    <cellStyle name="20% - Accent1 2 4 5 2 6 2 3" xfId="9325"/>
    <cellStyle name="20% - Accent1 2 4 5 2 6 2 3 2" xfId="45047"/>
    <cellStyle name="20% - Accent1 2 4 5 2 6 2 4" xfId="21126"/>
    <cellStyle name="20% - Accent1 2 4 5 2 6 2 4 2" xfId="53885"/>
    <cellStyle name="20% - Accent1 2 4 5 2 6 2 5" xfId="34741"/>
    <cellStyle name="20% - Accent1 2 4 5 2 6 3" xfId="13184"/>
    <cellStyle name="20% - Accent1 2 4 5 2 6 3 2" xfId="24985"/>
    <cellStyle name="20% - Accent1 2 4 5 2 6 3 2 2" xfId="45048"/>
    <cellStyle name="20% - Accent1 2 4 5 2 6 3 3" xfId="29781"/>
    <cellStyle name="20% - Accent1 2 4 5 2 6 3 3 2" xfId="45049"/>
    <cellStyle name="20% - Accent1 2 4 5 2 6 3 4" xfId="29782"/>
    <cellStyle name="20% - Accent1 2 4 5 2 6 3 4 2" xfId="53886"/>
    <cellStyle name="20% - Accent1 2 4 5 2 6 3 5" xfId="38600"/>
    <cellStyle name="20% - Accent1 2 4 5 2 6 4" xfId="13185"/>
    <cellStyle name="20% - Accent1 2 4 5 2 6 4 2" xfId="24986"/>
    <cellStyle name="20% - Accent1 2 4 5 2 6 4 2 2" xfId="53887"/>
    <cellStyle name="20% - Accent1 2 4 5 2 6 4 3" xfId="38601"/>
    <cellStyle name="20% - Accent1 2 4 5 2 6 5" xfId="6785"/>
    <cellStyle name="20% - Accent1 2 4 5 2 6 5 2" xfId="45050"/>
    <cellStyle name="20% - Accent1 2 4 5 2 6 6" xfId="18586"/>
    <cellStyle name="20% - Accent1 2 4 5 2 6 6 2" xfId="53888"/>
    <cellStyle name="20% - Accent1 2 4 5 2 6 7" xfId="32201"/>
    <cellStyle name="20% - Accent1 2 4 5 2 7" xfId="3735"/>
    <cellStyle name="20% - Accent1 2 4 5 2 7 2" xfId="13186"/>
    <cellStyle name="20% - Accent1 2 4 5 2 7 2 2" xfId="24987"/>
    <cellStyle name="20% - Accent1 2 4 5 2 7 2 2 2" xfId="53889"/>
    <cellStyle name="20% - Accent1 2 4 5 2 7 2 3" xfId="38602"/>
    <cellStyle name="20% - Accent1 2 4 5 2 7 3" xfId="9188"/>
    <cellStyle name="20% - Accent1 2 4 5 2 7 3 2" xfId="45051"/>
    <cellStyle name="20% - Accent1 2 4 5 2 7 4" xfId="20989"/>
    <cellStyle name="20% - Accent1 2 4 5 2 7 4 2" xfId="53890"/>
    <cellStyle name="20% - Accent1 2 4 5 2 7 5" xfId="34604"/>
    <cellStyle name="20% - Accent1 2 4 5 2 8" xfId="2031"/>
    <cellStyle name="20% - Accent1 2 4 5 2 8 2" xfId="13187"/>
    <cellStyle name="20% - Accent1 2 4 5 2 8 2 2" xfId="24988"/>
    <cellStyle name="20% - Accent1 2 4 5 2 8 2 2 2" xfId="53891"/>
    <cellStyle name="20% - Accent1 2 4 5 2 8 2 3" xfId="38603"/>
    <cellStyle name="20% - Accent1 2 4 5 2 8 3" xfId="7484"/>
    <cellStyle name="20% - Accent1 2 4 5 2 8 3 2" xfId="45052"/>
    <cellStyle name="20% - Accent1 2 4 5 2 8 4" xfId="19285"/>
    <cellStyle name="20% - Accent1 2 4 5 2 8 4 2" xfId="53892"/>
    <cellStyle name="20% - Accent1 2 4 5 2 8 5" xfId="32900"/>
    <cellStyle name="20% - Accent1 2 4 5 2 9" xfId="13188"/>
    <cellStyle name="20% - Accent1 2 4 5 2 9 2" xfId="24989"/>
    <cellStyle name="20% - Accent1 2 4 5 2 9 2 2" xfId="53893"/>
    <cellStyle name="20% - Accent1 2 4 5 2 9 3" xfId="38604"/>
    <cellStyle name="20% - Accent1 2 4 5 3" xfId="210"/>
    <cellStyle name="20% - Accent1 2 4 5 3 10" xfId="31080"/>
    <cellStyle name="20% - Accent1 2 4 5 3 2" xfId="490"/>
    <cellStyle name="20% - Accent1 2 4 5 3 2 2" xfId="1332"/>
    <cellStyle name="20% - Accent1 2 4 5 3 2 2 2" xfId="4800"/>
    <cellStyle name="20% - Accent1 2 4 5 3 2 2 2 2" xfId="13189"/>
    <cellStyle name="20% - Accent1 2 4 5 3 2 2 2 2 2" xfId="24990"/>
    <cellStyle name="20% - Accent1 2 4 5 3 2 2 2 2 2 2" xfId="53894"/>
    <cellStyle name="20% - Accent1 2 4 5 3 2 2 2 2 3" xfId="38605"/>
    <cellStyle name="20% - Accent1 2 4 5 3 2 2 2 3" xfId="10253"/>
    <cellStyle name="20% - Accent1 2 4 5 3 2 2 2 3 2" xfId="45053"/>
    <cellStyle name="20% - Accent1 2 4 5 3 2 2 2 4" xfId="22054"/>
    <cellStyle name="20% - Accent1 2 4 5 3 2 2 2 4 2" xfId="53895"/>
    <cellStyle name="20% - Accent1 2 4 5 3 2 2 2 5" xfId="35669"/>
    <cellStyle name="20% - Accent1 2 4 5 3 2 2 3" xfId="2959"/>
    <cellStyle name="20% - Accent1 2 4 5 3 2 2 3 2" xfId="13190"/>
    <cellStyle name="20% - Accent1 2 4 5 3 2 2 3 2 2" xfId="24991"/>
    <cellStyle name="20% - Accent1 2 4 5 3 2 2 3 2 2 2" xfId="53896"/>
    <cellStyle name="20% - Accent1 2 4 5 3 2 2 3 2 3" xfId="38606"/>
    <cellStyle name="20% - Accent1 2 4 5 3 2 2 3 3" xfId="8412"/>
    <cellStyle name="20% - Accent1 2 4 5 3 2 2 3 3 2" xfId="45054"/>
    <cellStyle name="20% - Accent1 2 4 5 3 2 2 3 4" xfId="20213"/>
    <cellStyle name="20% - Accent1 2 4 5 3 2 2 3 4 2" xfId="53897"/>
    <cellStyle name="20% - Accent1 2 4 5 3 2 2 3 5" xfId="33828"/>
    <cellStyle name="20% - Accent1 2 4 5 3 2 2 4" xfId="13191"/>
    <cellStyle name="20% - Accent1 2 4 5 3 2 2 4 2" xfId="24992"/>
    <cellStyle name="20% - Accent1 2 4 5 3 2 2 4 2 2" xfId="53898"/>
    <cellStyle name="20% - Accent1 2 4 5 3 2 2 4 3" xfId="38607"/>
    <cellStyle name="20% - Accent1 2 4 5 3 2 2 5" xfId="6786"/>
    <cellStyle name="20% - Accent1 2 4 5 3 2 2 5 2" xfId="45055"/>
    <cellStyle name="20% - Accent1 2 4 5 3 2 2 6" xfId="18587"/>
    <cellStyle name="20% - Accent1 2 4 5 3 2 2 6 2" xfId="53899"/>
    <cellStyle name="20% - Accent1 2 4 5 3 2 2 7" xfId="32202"/>
    <cellStyle name="20% - Accent1 2 4 5 3 2 3" xfId="3527"/>
    <cellStyle name="20% - Accent1 2 4 5 3 2 3 2" xfId="5368"/>
    <cellStyle name="20% - Accent1 2 4 5 3 2 3 2 2" xfId="16838"/>
    <cellStyle name="20% - Accent1 2 4 5 3 2 3 2 2 2" xfId="28639"/>
    <cellStyle name="20% - Accent1 2 4 5 3 2 3 2 2 2 2" xfId="53900"/>
    <cellStyle name="20% - Accent1 2 4 5 3 2 3 2 2 3" xfId="42254"/>
    <cellStyle name="20% - Accent1 2 4 5 3 2 3 2 3" xfId="10821"/>
    <cellStyle name="20% - Accent1 2 4 5 3 2 3 2 3 2" xfId="53901"/>
    <cellStyle name="20% - Accent1 2 4 5 3 2 3 2 4" xfId="22622"/>
    <cellStyle name="20% - Accent1 2 4 5 3 2 3 2 4 2" xfId="53902"/>
    <cellStyle name="20% - Accent1 2 4 5 3 2 3 2 5" xfId="36237"/>
    <cellStyle name="20% - Accent1 2 4 5 3 2 3 3" xfId="13192"/>
    <cellStyle name="20% - Accent1 2 4 5 3 2 3 3 2" xfId="24993"/>
    <cellStyle name="20% - Accent1 2 4 5 3 2 3 3 2 2" xfId="53903"/>
    <cellStyle name="20% - Accent1 2 4 5 3 2 3 3 3" xfId="38608"/>
    <cellStyle name="20% - Accent1 2 4 5 3 2 3 4" xfId="8980"/>
    <cellStyle name="20% - Accent1 2 4 5 3 2 3 4 2" xfId="53904"/>
    <cellStyle name="20% - Accent1 2 4 5 3 2 3 5" xfId="20781"/>
    <cellStyle name="20% - Accent1 2 4 5 3 2 3 5 2" xfId="53905"/>
    <cellStyle name="20% - Accent1 2 4 5 3 2 3 6" xfId="34396"/>
    <cellStyle name="20% - Accent1 2 4 5 3 2 4" xfId="4232"/>
    <cellStyle name="20% - Accent1 2 4 5 3 2 4 2" xfId="13193"/>
    <cellStyle name="20% - Accent1 2 4 5 3 2 4 2 2" xfId="24994"/>
    <cellStyle name="20% - Accent1 2 4 5 3 2 4 2 2 2" xfId="53906"/>
    <cellStyle name="20% - Accent1 2 4 5 3 2 4 2 3" xfId="38609"/>
    <cellStyle name="20% - Accent1 2 4 5 3 2 4 3" xfId="9685"/>
    <cellStyle name="20% - Accent1 2 4 5 3 2 4 3 2" xfId="45056"/>
    <cellStyle name="20% - Accent1 2 4 5 3 2 4 4" xfId="21486"/>
    <cellStyle name="20% - Accent1 2 4 5 3 2 4 4 2" xfId="53907"/>
    <cellStyle name="20% - Accent1 2 4 5 3 2 4 5" xfId="35101"/>
    <cellStyle name="20% - Accent1 2 4 5 3 2 5" xfId="2391"/>
    <cellStyle name="20% - Accent1 2 4 5 3 2 5 2" xfId="17057"/>
    <cellStyle name="20% - Accent1 2 4 5 3 2 5 2 2" xfId="28858"/>
    <cellStyle name="20% - Accent1 2 4 5 3 2 5 2 2 2" xfId="53908"/>
    <cellStyle name="20% - Accent1 2 4 5 3 2 5 2 3" xfId="42473"/>
    <cellStyle name="20% - Accent1 2 4 5 3 2 5 3" xfId="7844"/>
    <cellStyle name="20% - Accent1 2 4 5 3 2 5 3 2" xfId="53909"/>
    <cellStyle name="20% - Accent1 2 4 5 3 2 5 4" xfId="19645"/>
    <cellStyle name="20% - Accent1 2 4 5 3 2 5 4 2" xfId="53910"/>
    <cellStyle name="20% - Accent1 2 4 5 3 2 5 5" xfId="33260"/>
    <cellStyle name="20% - Accent1 2 4 5 3 2 6" xfId="13194"/>
    <cellStyle name="20% - Accent1 2 4 5 3 2 6 2" xfId="24995"/>
    <cellStyle name="20% - Accent1 2 4 5 3 2 6 2 2" xfId="53911"/>
    <cellStyle name="20% - Accent1 2 4 5 3 2 6 3" xfId="38610"/>
    <cellStyle name="20% - Accent1 2 4 5 3 2 7" xfId="5944"/>
    <cellStyle name="20% - Accent1 2 4 5 3 2 7 2" xfId="53912"/>
    <cellStyle name="20% - Accent1 2 4 5 3 2 8" xfId="17745"/>
    <cellStyle name="20% - Accent1 2 4 5 3 2 8 2" xfId="53913"/>
    <cellStyle name="20% - Accent1 2 4 5 3 2 9" xfId="31360"/>
    <cellStyle name="20% - Accent1 2 4 5 3 3" xfId="778"/>
    <cellStyle name="20% - Accent1 2 4 5 3 3 2" xfId="1333"/>
    <cellStyle name="20% - Accent1 2 4 5 3 3 2 2" xfId="4520"/>
    <cellStyle name="20% - Accent1 2 4 5 3 3 2 2 2" xfId="13195"/>
    <cellStyle name="20% - Accent1 2 4 5 3 3 2 2 2 2" xfId="24996"/>
    <cellStyle name="20% - Accent1 2 4 5 3 3 2 2 2 2 2" xfId="53914"/>
    <cellStyle name="20% - Accent1 2 4 5 3 3 2 2 2 3" xfId="38611"/>
    <cellStyle name="20% - Accent1 2 4 5 3 3 2 2 3" xfId="9973"/>
    <cellStyle name="20% - Accent1 2 4 5 3 3 2 2 3 2" xfId="45057"/>
    <cellStyle name="20% - Accent1 2 4 5 3 3 2 2 4" xfId="21774"/>
    <cellStyle name="20% - Accent1 2 4 5 3 3 2 2 4 2" xfId="53915"/>
    <cellStyle name="20% - Accent1 2 4 5 3 3 2 2 5" xfId="35389"/>
    <cellStyle name="20% - Accent1 2 4 5 3 3 2 3" xfId="13196"/>
    <cellStyle name="20% - Accent1 2 4 5 3 3 2 3 2" xfId="24997"/>
    <cellStyle name="20% - Accent1 2 4 5 3 3 2 3 2 2" xfId="45058"/>
    <cellStyle name="20% - Accent1 2 4 5 3 3 2 3 3" xfId="29783"/>
    <cellStyle name="20% - Accent1 2 4 5 3 3 2 3 3 2" xfId="45059"/>
    <cellStyle name="20% - Accent1 2 4 5 3 3 2 3 4" xfId="29784"/>
    <cellStyle name="20% - Accent1 2 4 5 3 3 2 3 4 2" xfId="53916"/>
    <cellStyle name="20% - Accent1 2 4 5 3 3 2 3 5" xfId="38612"/>
    <cellStyle name="20% - Accent1 2 4 5 3 3 2 4" xfId="13197"/>
    <cellStyle name="20% - Accent1 2 4 5 3 3 2 4 2" xfId="24998"/>
    <cellStyle name="20% - Accent1 2 4 5 3 3 2 4 2 2" xfId="53917"/>
    <cellStyle name="20% - Accent1 2 4 5 3 3 2 4 3" xfId="38613"/>
    <cellStyle name="20% - Accent1 2 4 5 3 3 2 5" xfId="6787"/>
    <cellStyle name="20% - Accent1 2 4 5 3 3 2 5 2" xfId="45060"/>
    <cellStyle name="20% - Accent1 2 4 5 3 3 2 6" xfId="18588"/>
    <cellStyle name="20% - Accent1 2 4 5 3 3 2 6 2" xfId="53918"/>
    <cellStyle name="20% - Accent1 2 4 5 3 3 2 7" xfId="32203"/>
    <cellStyle name="20% - Accent1 2 4 5 3 3 3" xfId="2679"/>
    <cellStyle name="20% - Accent1 2 4 5 3 3 3 2" xfId="13198"/>
    <cellStyle name="20% - Accent1 2 4 5 3 3 3 2 2" xfId="24999"/>
    <cellStyle name="20% - Accent1 2 4 5 3 3 3 2 2 2" xfId="53919"/>
    <cellStyle name="20% - Accent1 2 4 5 3 3 3 2 3" xfId="38614"/>
    <cellStyle name="20% - Accent1 2 4 5 3 3 3 3" xfId="8132"/>
    <cellStyle name="20% - Accent1 2 4 5 3 3 3 3 2" xfId="45061"/>
    <cellStyle name="20% - Accent1 2 4 5 3 3 3 4" xfId="19933"/>
    <cellStyle name="20% - Accent1 2 4 5 3 3 3 4 2" xfId="53920"/>
    <cellStyle name="20% - Accent1 2 4 5 3 3 3 5" xfId="33548"/>
    <cellStyle name="20% - Accent1 2 4 5 3 3 4" xfId="13199"/>
    <cellStyle name="20% - Accent1 2 4 5 3 3 4 2" xfId="25000"/>
    <cellStyle name="20% - Accent1 2 4 5 3 3 4 2 2" xfId="45062"/>
    <cellStyle name="20% - Accent1 2 4 5 3 3 4 3" xfId="29785"/>
    <cellStyle name="20% - Accent1 2 4 5 3 3 4 3 2" xfId="45063"/>
    <cellStyle name="20% - Accent1 2 4 5 3 3 4 4" xfId="29786"/>
    <cellStyle name="20% - Accent1 2 4 5 3 3 4 4 2" xfId="53921"/>
    <cellStyle name="20% - Accent1 2 4 5 3 3 4 5" xfId="38615"/>
    <cellStyle name="20% - Accent1 2 4 5 3 3 5" xfId="13200"/>
    <cellStyle name="20% - Accent1 2 4 5 3 3 5 2" xfId="25001"/>
    <cellStyle name="20% - Accent1 2 4 5 3 3 5 2 2" xfId="53922"/>
    <cellStyle name="20% - Accent1 2 4 5 3 3 5 3" xfId="38616"/>
    <cellStyle name="20% - Accent1 2 4 5 3 3 6" xfId="6232"/>
    <cellStyle name="20% - Accent1 2 4 5 3 3 6 2" xfId="45064"/>
    <cellStyle name="20% - Accent1 2 4 5 3 3 7" xfId="18033"/>
    <cellStyle name="20% - Accent1 2 4 5 3 3 7 2" xfId="53923"/>
    <cellStyle name="20% - Accent1 2 4 5 3 3 8" xfId="31648"/>
    <cellStyle name="20% - Accent1 2 4 5 3 4" xfId="1334"/>
    <cellStyle name="20% - Accent1 2 4 5 3 4 2" xfId="5088"/>
    <cellStyle name="20% - Accent1 2 4 5 3 4 2 2" xfId="13201"/>
    <cellStyle name="20% - Accent1 2 4 5 3 4 2 2 2" xfId="25002"/>
    <cellStyle name="20% - Accent1 2 4 5 3 4 2 2 2 2" xfId="53924"/>
    <cellStyle name="20% - Accent1 2 4 5 3 4 2 2 3" xfId="38617"/>
    <cellStyle name="20% - Accent1 2 4 5 3 4 2 3" xfId="10541"/>
    <cellStyle name="20% - Accent1 2 4 5 3 4 2 3 2" xfId="45065"/>
    <cellStyle name="20% - Accent1 2 4 5 3 4 2 4" xfId="22342"/>
    <cellStyle name="20% - Accent1 2 4 5 3 4 2 4 2" xfId="53925"/>
    <cellStyle name="20% - Accent1 2 4 5 3 4 2 5" xfId="35957"/>
    <cellStyle name="20% - Accent1 2 4 5 3 4 3" xfId="3247"/>
    <cellStyle name="20% - Accent1 2 4 5 3 4 3 2" xfId="13202"/>
    <cellStyle name="20% - Accent1 2 4 5 3 4 3 2 2" xfId="25003"/>
    <cellStyle name="20% - Accent1 2 4 5 3 4 3 2 2 2" xfId="53926"/>
    <cellStyle name="20% - Accent1 2 4 5 3 4 3 2 3" xfId="38618"/>
    <cellStyle name="20% - Accent1 2 4 5 3 4 3 3" xfId="8700"/>
    <cellStyle name="20% - Accent1 2 4 5 3 4 3 3 2" xfId="45066"/>
    <cellStyle name="20% - Accent1 2 4 5 3 4 3 4" xfId="20501"/>
    <cellStyle name="20% - Accent1 2 4 5 3 4 3 4 2" xfId="53927"/>
    <cellStyle name="20% - Accent1 2 4 5 3 4 3 5" xfId="34116"/>
    <cellStyle name="20% - Accent1 2 4 5 3 4 4" xfId="13203"/>
    <cellStyle name="20% - Accent1 2 4 5 3 4 4 2" xfId="25004"/>
    <cellStyle name="20% - Accent1 2 4 5 3 4 4 2 2" xfId="53928"/>
    <cellStyle name="20% - Accent1 2 4 5 3 4 4 3" xfId="38619"/>
    <cellStyle name="20% - Accent1 2 4 5 3 4 5" xfId="6788"/>
    <cellStyle name="20% - Accent1 2 4 5 3 4 5 2" xfId="45067"/>
    <cellStyle name="20% - Accent1 2 4 5 3 4 6" xfId="18589"/>
    <cellStyle name="20% - Accent1 2 4 5 3 4 6 2" xfId="53929"/>
    <cellStyle name="20% - Accent1 2 4 5 3 4 7" xfId="32204"/>
    <cellStyle name="20% - Accent1 2 4 5 3 5" xfId="3952"/>
    <cellStyle name="20% - Accent1 2 4 5 3 5 2" xfId="13204"/>
    <cellStyle name="20% - Accent1 2 4 5 3 5 2 2" xfId="25005"/>
    <cellStyle name="20% - Accent1 2 4 5 3 5 2 2 2" xfId="53930"/>
    <cellStyle name="20% - Accent1 2 4 5 3 5 2 3" xfId="38620"/>
    <cellStyle name="20% - Accent1 2 4 5 3 5 3" xfId="9405"/>
    <cellStyle name="20% - Accent1 2 4 5 3 5 3 2" xfId="45068"/>
    <cellStyle name="20% - Accent1 2 4 5 3 5 4" xfId="21206"/>
    <cellStyle name="20% - Accent1 2 4 5 3 5 4 2" xfId="53931"/>
    <cellStyle name="20% - Accent1 2 4 5 3 5 5" xfId="34821"/>
    <cellStyle name="20% - Accent1 2 4 5 3 6" xfId="2111"/>
    <cellStyle name="20% - Accent1 2 4 5 3 6 2" xfId="13205"/>
    <cellStyle name="20% - Accent1 2 4 5 3 6 2 2" xfId="25006"/>
    <cellStyle name="20% - Accent1 2 4 5 3 6 2 2 2" xfId="53932"/>
    <cellStyle name="20% - Accent1 2 4 5 3 6 2 3" xfId="38621"/>
    <cellStyle name="20% - Accent1 2 4 5 3 6 3" xfId="7564"/>
    <cellStyle name="20% - Accent1 2 4 5 3 6 3 2" xfId="45069"/>
    <cellStyle name="20% - Accent1 2 4 5 3 6 4" xfId="19365"/>
    <cellStyle name="20% - Accent1 2 4 5 3 6 4 2" xfId="53933"/>
    <cellStyle name="20% - Accent1 2 4 5 3 6 5" xfId="32980"/>
    <cellStyle name="20% - Accent1 2 4 5 3 7" xfId="13206"/>
    <cellStyle name="20% - Accent1 2 4 5 3 7 2" xfId="25007"/>
    <cellStyle name="20% - Accent1 2 4 5 3 7 2 2" xfId="53934"/>
    <cellStyle name="20% - Accent1 2 4 5 3 7 3" xfId="38622"/>
    <cellStyle name="20% - Accent1 2 4 5 3 8" xfId="5664"/>
    <cellStyle name="20% - Accent1 2 4 5 3 8 2" xfId="45070"/>
    <cellStyle name="20% - Accent1 2 4 5 3 9" xfId="17465"/>
    <cellStyle name="20% - Accent1 2 4 5 3 9 2" xfId="53935"/>
    <cellStyle name="20% - Accent1 2 4 5 4" xfId="353"/>
    <cellStyle name="20% - Accent1 2 4 5 4 2" xfId="1335"/>
    <cellStyle name="20% - Accent1 2 4 5 4 2 2" xfId="4663"/>
    <cellStyle name="20% - Accent1 2 4 5 4 2 2 2" xfId="13207"/>
    <cellStyle name="20% - Accent1 2 4 5 4 2 2 2 2" xfId="25008"/>
    <cellStyle name="20% - Accent1 2 4 5 4 2 2 2 2 2" xfId="53936"/>
    <cellStyle name="20% - Accent1 2 4 5 4 2 2 2 3" xfId="38623"/>
    <cellStyle name="20% - Accent1 2 4 5 4 2 2 3" xfId="10116"/>
    <cellStyle name="20% - Accent1 2 4 5 4 2 2 3 2" xfId="45071"/>
    <cellStyle name="20% - Accent1 2 4 5 4 2 2 4" xfId="21917"/>
    <cellStyle name="20% - Accent1 2 4 5 4 2 2 4 2" xfId="53937"/>
    <cellStyle name="20% - Accent1 2 4 5 4 2 2 5" xfId="35532"/>
    <cellStyle name="20% - Accent1 2 4 5 4 2 3" xfId="2822"/>
    <cellStyle name="20% - Accent1 2 4 5 4 2 3 2" xfId="13208"/>
    <cellStyle name="20% - Accent1 2 4 5 4 2 3 2 2" xfId="25009"/>
    <cellStyle name="20% - Accent1 2 4 5 4 2 3 2 2 2" xfId="53938"/>
    <cellStyle name="20% - Accent1 2 4 5 4 2 3 2 3" xfId="38624"/>
    <cellStyle name="20% - Accent1 2 4 5 4 2 3 3" xfId="8275"/>
    <cellStyle name="20% - Accent1 2 4 5 4 2 3 3 2" xfId="45072"/>
    <cellStyle name="20% - Accent1 2 4 5 4 2 3 4" xfId="20076"/>
    <cellStyle name="20% - Accent1 2 4 5 4 2 3 4 2" xfId="53939"/>
    <cellStyle name="20% - Accent1 2 4 5 4 2 3 5" xfId="33691"/>
    <cellStyle name="20% - Accent1 2 4 5 4 2 4" xfId="13209"/>
    <cellStyle name="20% - Accent1 2 4 5 4 2 4 2" xfId="25010"/>
    <cellStyle name="20% - Accent1 2 4 5 4 2 4 2 2" xfId="53940"/>
    <cellStyle name="20% - Accent1 2 4 5 4 2 4 3" xfId="38625"/>
    <cellStyle name="20% - Accent1 2 4 5 4 2 5" xfId="6789"/>
    <cellStyle name="20% - Accent1 2 4 5 4 2 5 2" xfId="45073"/>
    <cellStyle name="20% - Accent1 2 4 5 4 2 6" xfId="18590"/>
    <cellStyle name="20% - Accent1 2 4 5 4 2 6 2" xfId="53941"/>
    <cellStyle name="20% - Accent1 2 4 5 4 2 7" xfId="32205"/>
    <cellStyle name="20% - Accent1 2 4 5 4 3" xfId="3390"/>
    <cellStyle name="20% - Accent1 2 4 5 4 3 2" xfId="5231"/>
    <cellStyle name="20% - Accent1 2 4 5 4 3 2 2" xfId="16701"/>
    <cellStyle name="20% - Accent1 2 4 5 4 3 2 2 2" xfId="28502"/>
    <cellStyle name="20% - Accent1 2 4 5 4 3 2 2 2 2" xfId="53942"/>
    <cellStyle name="20% - Accent1 2 4 5 4 3 2 2 3" xfId="42117"/>
    <cellStyle name="20% - Accent1 2 4 5 4 3 2 3" xfId="10684"/>
    <cellStyle name="20% - Accent1 2 4 5 4 3 2 3 2" xfId="53943"/>
    <cellStyle name="20% - Accent1 2 4 5 4 3 2 4" xfId="22485"/>
    <cellStyle name="20% - Accent1 2 4 5 4 3 2 4 2" xfId="53944"/>
    <cellStyle name="20% - Accent1 2 4 5 4 3 2 5" xfId="36100"/>
    <cellStyle name="20% - Accent1 2 4 5 4 3 3" xfId="13210"/>
    <cellStyle name="20% - Accent1 2 4 5 4 3 3 2" xfId="25011"/>
    <cellStyle name="20% - Accent1 2 4 5 4 3 3 2 2" xfId="53945"/>
    <cellStyle name="20% - Accent1 2 4 5 4 3 3 3" xfId="38626"/>
    <cellStyle name="20% - Accent1 2 4 5 4 3 4" xfId="8843"/>
    <cellStyle name="20% - Accent1 2 4 5 4 3 4 2" xfId="53946"/>
    <cellStyle name="20% - Accent1 2 4 5 4 3 5" xfId="20644"/>
    <cellStyle name="20% - Accent1 2 4 5 4 3 5 2" xfId="53947"/>
    <cellStyle name="20% - Accent1 2 4 5 4 3 6" xfId="34259"/>
    <cellStyle name="20% - Accent1 2 4 5 4 4" xfId="4095"/>
    <cellStyle name="20% - Accent1 2 4 5 4 4 2" xfId="13211"/>
    <cellStyle name="20% - Accent1 2 4 5 4 4 2 2" xfId="25012"/>
    <cellStyle name="20% - Accent1 2 4 5 4 4 2 2 2" xfId="53948"/>
    <cellStyle name="20% - Accent1 2 4 5 4 4 2 3" xfId="38627"/>
    <cellStyle name="20% - Accent1 2 4 5 4 4 3" xfId="9548"/>
    <cellStyle name="20% - Accent1 2 4 5 4 4 3 2" xfId="45074"/>
    <cellStyle name="20% - Accent1 2 4 5 4 4 4" xfId="21349"/>
    <cellStyle name="20% - Accent1 2 4 5 4 4 4 2" xfId="53949"/>
    <cellStyle name="20% - Accent1 2 4 5 4 4 5" xfId="34964"/>
    <cellStyle name="20% - Accent1 2 4 5 4 5" xfId="2254"/>
    <cellStyle name="20% - Accent1 2 4 5 4 5 2" xfId="17058"/>
    <cellStyle name="20% - Accent1 2 4 5 4 5 2 2" xfId="28859"/>
    <cellStyle name="20% - Accent1 2 4 5 4 5 2 2 2" xfId="53950"/>
    <cellStyle name="20% - Accent1 2 4 5 4 5 2 3" xfId="42474"/>
    <cellStyle name="20% - Accent1 2 4 5 4 5 3" xfId="7707"/>
    <cellStyle name="20% - Accent1 2 4 5 4 5 3 2" xfId="53951"/>
    <cellStyle name="20% - Accent1 2 4 5 4 5 4" xfId="19508"/>
    <cellStyle name="20% - Accent1 2 4 5 4 5 4 2" xfId="53952"/>
    <cellStyle name="20% - Accent1 2 4 5 4 5 5" xfId="33123"/>
    <cellStyle name="20% - Accent1 2 4 5 4 6" xfId="13212"/>
    <cellStyle name="20% - Accent1 2 4 5 4 6 2" xfId="25013"/>
    <cellStyle name="20% - Accent1 2 4 5 4 6 2 2" xfId="53953"/>
    <cellStyle name="20% - Accent1 2 4 5 4 6 3" xfId="38628"/>
    <cellStyle name="20% - Accent1 2 4 5 4 7" xfId="5807"/>
    <cellStyle name="20% - Accent1 2 4 5 4 7 2" xfId="53954"/>
    <cellStyle name="20% - Accent1 2 4 5 4 8" xfId="17608"/>
    <cellStyle name="20% - Accent1 2 4 5 4 8 2" xfId="53955"/>
    <cellStyle name="20% - Accent1 2 4 5 4 9" xfId="31223"/>
    <cellStyle name="20% - Accent1 2 4 5 5" xfId="631"/>
    <cellStyle name="20% - Accent1 2 4 5 5 2" xfId="1336"/>
    <cellStyle name="20% - Accent1 2 4 5 5 2 2" xfId="4373"/>
    <cellStyle name="20% - Accent1 2 4 5 5 2 2 2" xfId="13213"/>
    <cellStyle name="20% - Accent1 2 4 5 5 2 2 2 2" xfId="25014"/>
    <cellStyle name="20% - Accent1 2 4 5 5 2 2 2 2 2" xfId="53956"/>
    <cellStyle name="20% - Accent1 2 4 5 5 2 2 2 3" xfId="38629"/>
    <cellStyle name="20% - Accent1 2 4 5 5 2 2 3" xfId="9826"/>
    <cellStyle name="20% - Accent1 2 4 5 5 2 2 3 2" xfId="45075"/>
    <cellStyle name="20% - Accent1 2 4 5 5 2 2 4" xfId="21627"/>
    <cellStyle name="20% - Accent1 2 4 5 5 2 2 4 2" xfId="53957"/>
    <cellStyle name="20% - Accent1 2 4 5 5 2 2 5" xfId="35242"/>
    <cellStyle name="20% - Accent1 2 4 5 5 2 3" xfId="13214"/>
    <cellStyle name="20% - Accent1 2 4 5 5 2 3 2" xfId="25015"/>
    <cellStyle name="20% - Accent1 2 4 5 5 2 3 2 2" xfId="45076"/>
    <cellStyle name="20% - Accent1 2 4 5 5 2 3 3" xfId="29787"/>
    <cellStyle name="20% - Accent1 2 4 5 5 2 3 3 2" xfId="45077"/>
    <cellStyle name="20% - Accent1 2 4 5 5 2 3 4" xfId="29788"/>
    <cellStyle name="20% - Accent1 2 4 5 5 2 3 4 2" xfId="53958"/>
    <cellStyle name="20% - Accent1 2 4 5 5 2 3 5" xfId="38630"/>
    <cellStyle name="20% - Accent1 2 4 5 5 2 4" xfId="13215"/>
    <cellStyle name="20% - Accent1 2 4 5 5 2 4 2" xfId="25016"/>
    <cellStyle name="20% - Accent1 2 4 5 5 2 4 2 2" xfId="53959"/>
    <cellStyle name="20% - Accent1 2 4 5 5 2 4 3" xfId="38631"/>
    <cellStyle name="20% - Accent1 2 4 5 5 2 5" xfId="6790"/>
    <cellStyle name="20% - Accent1 2 4 5 5 2 5 2" xfId="45078"/>
    <cellStyle name="20% - Accent1 2 4 5 5 2 6" xfId="18591"/>
    <cellStyle name="20% - Accent1 2 4 5 5 2 6 2" xfId="53960"/>
    <cellStyle name="20% - Accent1 2 4 5 5 2 7" xfId="32206"/>
    <cellStyle name="20% - Accent1 2 4 5 5 3" xfId="2532"/>
    <cellStyle name="20% - Accent1 2 4 5 5 3 2" xfId="13216"/>
    <cellStyle name="20% - Accent1 2 4 5 5 3 2 2" xfId="25017"/>
    <cellStyle name="20% - Accent1 2 4 5 5 3 2 2 2" xfId="53961"/>
    <cellStyle name="20% - Accent1 2 4 5 5 3 2 3" xfId="38632"/>
    <cellStyle name="20% - Accent1 2 4 5 5 3 3" xfId="7985"/>
    <cellStyle name="20% - Accent1 2 4 5 5 3 3 2" xfId="45079"/>
    <cellStyle name="20% - Accent1 2 4 5 5 3 4" xfId="19786"/>
    <cellStyle name="20% - Accent1 2 4 5 5 3 4 2" xfId="53962"/>
    <cellStyle name="20% - Accent1 2 4 5 5 3 5" xfId="33401"/>
    <cellStyle name="20% - Accent1 2 4 5 5 4" xfId="13217"/>
    <cellStyle name="20% - Accent1 2 4 5 5 4 2" xfId="25018"/>
    <cellStyle name="20% - Accent1 2 4 5 5 4 2 2" xfId="45080"/>
    <cellStyle name="20% - Accent1 2 4 5 5 4 3" xfId="29789"/>
    <cellStyle name="20% - Accent1 2 4 5 5 4 3 2" xfId="45081"/>
    <cellStyle name="20% - Accent1 2 4 5 5 4 4" xfId="29790"/>
    <cellStyle name="20% - Accent1 2 4 5 5 4 4 2" xfId="53963"/>
    <cellStyle name="20% - Accent1 2 4 5 5 4 5" xfId="38633"/>
    <cellStyle name="20% - Accent1 2 4 5 5 5" xfId="13218"/>
    <cellStyle name="20% - Accent1 2 4 5 5 5 2" xfId="25019"/>
    <cellStyle name="20% - Accent1 2 4 5 5 5 2 2" xfId="53964"/>
    <cellStyle name="20% - Accent1 2 4 5 5 5 3" xfId="38634"/>
    <cellStyle name="20% - Accent1 2 4 5 5 6" xfId="6085"/>
    <cellStyle name="20% - Accent1 2 4 5 5 6 2" xfId="45082"/>
    <cellStyle name="20% - Accent1 2 4 5 5 7" xfId="17886"/>
    <cellStyle name="20% - Accent1 2 4 5 5 7 2" xfId="53965"/>
    <cellStyle name="20% - Accent1 2 4 5 5 8" xfId="31501"/>
    <cellStyle name="20% - Accent1 2 4 5 6" xfId="872"/>
    <cellStyle name="20% - Accent1 2 4 5 6 2" xfId="1337"/>
    <cellStyle name="20% - Accent1 2 4 5 6 2 2" xfId="4941"/>
    <cellStyle name="20% - Accent1 2 4 5 6 2 2 2" xfId="13219"/>
    <cellStyle name="20% - Accent1 2 4 5 6 2 2 2 2" xfId="25020"/>
    <cellStyle name="20% - Accent1 2 4 5 6 2 2 2 2 2" xfId="53966"/>
    <cellStyle name="20% - Accent1 2 4 5 6 2 2 2 3" xfId="38635"/>
    <cellStyle name="20% - Accent1 2 4 5 6 2 2 3" xfId="10394"/>
    <cellStyle name="20% - Accent1 2 4 5 6 2 2 3 2" xfId="45083"/>
    <cellStyle name="20% - Accent1 2 4 5 6 2 2 4" xfId="22195"/>
    <cellStyle name="20% - Accent1 2 4 5 6 2 2 4 2" xfId="53967"/>
    <cellStyle name="20% - Accent1 2 4 5 6 2 2 5" xfId="35810"/>
    <cellStyle name="20% - Accent1 2 4 5 6 2 3" xfId="13220"/>
    <cellStyle name="20% - Accent1 2 4 5 6 2 3 2" xfId="25021"/>
    <cellStyle name="20% - Accent1 2 4 5 6 2 3 2 2" xfId="45084"/>
    <cellStyle name="20% - Accent1 2 4 5 6 2 3 3" xfId="29791"/>
    <cellStyle name="20% - Accent1 2 4 5 6 2 3 3 2" xfId="45085"/>
    <cellStyle name="20% - Accent1 2 4 5 6 2 3 4" xfId="29792"/>
    <cellStyle name="20% - Accent1 2 4 5 6 2 3 4 2" xfId="53968"/>
    <cellStyle name="20% - Accent1 2 4 5 6 2 3 5" xfId="38636"/>
    <cellStyle name="20% - Accent1 2 4 5 6 2 4" xfId="13221"/>
    <cellStyle name="20% - Accent1 2 4 5 6 2 4 2" xfId="25022"/>
    <cellStyle name="20% - Accent1 2 4 5 6 2 4 2 2" xfId="53969"/>
    <cellStyle name="20% - Accent1 2 4 5 6 2 4 3" xfId="38637"/>
    <cellStyle name="20% - Accent1 2 4 5 6 2 5" xfId="6791"/>
    <cellStyle name="20% - Accent1 2 4 5 6 2 5 2" xfId="45086"/>
    <cellStyle name="20% - Accent1 2 4 5 6 2 6" xfId="18592"/>
    <cellStyle name="20% - Accent1 2 4 5 6 2 6 2" xfId="53970"/>
    <cellStyle name="20% - Accent1 2 4 5 6 2 7" xfId="32207"/>
    <cellStyle name="20% - Accent1 2 4 5 6 3" xfId="3100"/>
    <cellStyle name="20% - Accent1 2 4 5 6 3 2" xfId="13222"/>
    <cellStyle name="20% - Accent1 2 4 5 6 3 2 2" xfId="25023"/>
    <cellStyle name="20% - Accent1 2 4 5 6 3 2 2 2" xfId="53971"/>
    <cellStyle name="20% - Accent1 2 4 5 6 3 2 3" xfId="38638"/>
    <cellStyle name="20% - Accent1 2 4 5 6 3 3" xfId="8553"/>
    <cellStyle name="20% - Accent1 2 4 5 6 3 3 2" xfId="45087"/>
    <cellStyle name="20% - Accent1 2 4 5 6 3 4" xfId="20354"/>
    <cellStyle name="20% - Accent1 2 4 5 6 3 4 2" xfId="53972"/>
    <cellStyle name="20% - Accent1 2 4 5 6 3 5" xfId="33969"/>
    <cellStyle name="20% - Accent1 2 4 5 6 4" xfId="13223"/>
    <cellStyle name="20% - Accent1 2 4 5 6 4 2" xfId="25024"/>
    <cellStyle name="20% - Accent1 2 4 5 6 4 2 2" xfId="45088"/>
    <cellStyle name="20% - Accent1 2 4 5 6 4 3" xfId="29793"/>
    <cellStyle name="20% - Accent1 2 4 5 6 4 3 2" xfId="45089"/>
    <cellStyle name="20% - Accent1 2 4 5 6 4 4" xfId="29794"/>
    <cellStyle name="20% - Accent1 2 4 5 6 4 4 2" xfId="53973"/>
    <cellStyle name="20% - Accent1 2 4 5 6 4 5" xfId="38639"/>
    <cellStyle name="20% - Accent1 2 4 5 6 5" xfId="13224"/>
    <cellStyle name="20% - Accent1 2 4 5 6 5 2" xfId="25025"/>
    <cellStyle name="20% - Accent1 2 4 5 6 5 2 2" xfId="53974"/>
    <cellStyle name="20% - Accent1 2 4 5 6 5 3" xfId="38640"/>
    <cellStyle name="20% - Accent1 2 4 5 6 6" xfId="6326"/>
    <cellStyle name="20% - Accent1 2 4 5 6 6 2" xfId="45090"/>
    <cellStyle name="20% - Accent1 2 4 5 6 7" xfId="18127"/>
    <cellStyle name="20% - Accent1 2 4 5 6 7 2" xfId="53975"/>
    <cellStyle name="20% - Accent1 2 4 5 6 8" xfId="31742"/>
    <cellStyle name="20% - Accent1 2 4 5 7" xfId="1338"/>
    <cellStyle name="20% - Accent1 2 4 5 7 2" xfId="3805"/>
    <cellStyle name="20% - Accent1 2 4 5 7 2 2" xfId="13225"/>
    <cellStyle name="20% - Accent1 2 4 5 7 2 2 2" xfId="25026"/>
    <cellStyle name="20% - Accent1 2 4 5 7 2 2 2 2" xfId="53976"/>
    <cellStyle name="20% - Accent1 2 4 5 7 2 2 3" xfId="38641"/>
    <cellStyle name="20% - Accent1 2 4 5 7 2 3" xfId="9258"/>
    <cellStyle name="20% - Accent1 2 4 5 7 2 3 2" xfId="45091"/>
    <cellStyle name="20% - Accent1 2 4 5 7 2 4" xfId="21059"/>
    <cellStyle name="20% - Accent1 2 4 5 7 2 4 2" xfId="53977"/>
    <cellStyle name="20% - Accent1 2 4 5 7 2 5" xfId="34674"/>
    <cellStyle name="20% - Accent1 2 4 5 7 3" xfId="13226"/>
    <cellStyle name="20% - Accent1 2 4 5 7 3 2" xfId="25027"/>
    <cellStyle name="20% - Accent1 2 4 5 7 3 2 2" xfId="45092"/>
    <cellStyle name="20% - Accent1 2 4 5 7 3 3" xfId="29795"/>
    <cellStyle name="20% - Accent1 2 4 5 7 3 3 2" xfId="45093"/>
    <cellStyle name="20% - Accent1 2 4 5 7 3 4" xfId="29796"/>
    <cellStyle name="20% - Accent1 2 4 5 7 3 4 2" xfId="53978"/>
    <cellStyle name="20% - Accent1 2 4 5 7 3 5" xfId="38642"/>
    <cellStyle name="20% - Accent1 2 4 5 7 4" xfId="13227"/>
    <cellStyle name="20% - Accent1 2 4 5 7 4 2" xfId="25028"/>
    <cellStyle name="20% - Accent1 2 4 5 7 4 2 2" xfId="53979"/>
    <cellStyle name="20% - Accent1 2 4 5 7 4 3" xfId="38643"/>
    <cellStyle name="20% - Accent1 2 4 5 7 5" xfId="6792"/>
    <cellStyle name="20% - Accent1 2 4 5 7 5 2" xfId="45094"/>
    <cellStyle name="20% - Accent1 2 4 5 7 6" xfId="18593"/>
    <cellStyle name="20% - Accent1 2 4 5 7 6 2" xfId="53980"/>
    <cellStyle name="20% - Accent1 2 4 5 7 7" xfId="32208"/>
    <cellStyle name="20% - Accent1 2 4 5 8" xfId="3668"/>
    <cellStyle name="20% - Accent1 2 4 5 8 2" xfId="13228"/>
    <cellStyle name="20% - Accent1 2 4 5 8 2 2" xfId="25029"/>
    <cellStyle name="20% - Accent1 2 4 5 8 2 2 2" xfId="53981"/>
    <cellStyle name="20% - Accent1 2 4 5 8 2 3" xfId="38644"/>
    <cellStyle name="20% - Accent1 2 4 5 8 3" xfId="9121"/>
    <cellStyle name="20% - Accent1 2 4 5 8 3 2" xfId="45095"/>
    <cellStyle name="20% - Accent1 2 4 5 8 4" xfId="20922"/>
    <cellStyle name="20% - Accent1 2 4 5 8 4 2" xfId="53982"/>
    <cellStyle name="20% - Accent1 2 4 5 8 5" xfId="34537"/>
    <cellStyle name="20% - Accent1 2 4 5 9" xfId="1964"/>
    <cellStyle name="20% - Accent1 2 4 5 9 2" xfId="13229"/>
    <cellStyle name="20% - Accent1 2 4 5 9 2 2" xfId="25030"/>
    <cellStyle name="20% - Accent1 2 4 5 9 2 2 2" xfId="53983"/>
    <cellStyle name="20% - Accent1 2 4 5 9 2 3" xfId="38645"/>
    <cellStyle name="20% - Accent1 2 4 5 9 3" xfId="7417"/>
    <cellStyle name="20% - Accent1 2 4 5 9 3 2" xfId="45096"/>
    <cellStyle name="20% - Accent1 2 4 5 9 4" xfId="19218"/>
    <cellStyle name="20% - Accent1 2 4 5 9 4 2" xfId="53984"/>
    <cellStyle name="20% - Accent1 2 4 5 9 5" xfId="32833"/>
    <cellStyle name="20% - Accent1 2 4 6" xfId="78"/>
    <cellStyle name="20% - Accent1 2 4 6 10" xfId="5532"/>
    <cellStyle name="20% - Accent1 2 4 6 10 2" xfId="45097"/>
    <cellStyle name="20% - Accent1 2 4 6 11" xfId="17333"/>
    <cellStyle name="20% - Accent1 2 4 6 11 2" xfId="53985"/>
    <cellStyle name="20% - Accent1 2 4 6 12" xfId="30948"/>
    <cellStyle name="20% - Accent1 2 4 6 2" xfId="505"/>
    <cellStyle name="20% - Accent1 2 4 6 2 2" xfId="1339"/>
    <cellStyle name="20% - Accent1 2 4 6 2 2 2" xfId="4815"/>
    <cellStyle name="20% - Accent1 2 4 6 2 2 2 2" xfId="13230"/>
    <cellStyle name="20% - Accent1 2 4 6 2 2 2 2 2" xfId="25031"/>
    <cellStyle name="20% - Accent1 2 4 6 2 2 2 2 2 2" xfId="53986"/>
    <cellStyle name="20% - Accent1 2 4 6 2 2 2 2 3" xfId="38646"/>
    <cellStyle name="20% - Accent1 2 4 6 2 2 2 3" xfId="10268"/>
    <cellStyle name="20% - Accent1 2 4 6 2 2 2 3 2" xfId="45098"/>
    <cellStyle name="20% - Accent1 2 4 6 2 2 2 4" xfId="22069"/>
    <cellStyle name="20% - Accent1 2 4 6 2 2 2 4 2" xfId="53987"/>
    <cellStyle name="20% - Accent1 2 4 6 2 2 2 5" xfId="35684"/>
    <cellStyle name="20% - Accent1 2 4 6 2 2 3" xfId="2974"/>
    <cellStyle name="20% - Accent1 2 4 6 2 2 3 2" xfId="13231"/>
    <cellStyle name="20% - Accent1 2 4 6 2 2 3 2 2" xfId="25032"/>
    <cellStyle name="20% - Accent1 2 4 6 2 2 3 2 2 2" xfId="53988"/>
    <cellStyle name="20% - Accent1 2 4 6 2 2 3 2 3" xfId="38647"/>
    <cellStyle name="20% - Accent1 2 4 6 2 2 3 3" xfId="8427"/>
    <cellStyle name="20% - Accent1 2 4 6 2 2 3 3 2" xfId="45099"/>
    <cellStyle name="20% - Accent1 2 4 6 2 2 3 4" xfId="20228"/>
    <cellStyle name="20% - Accent1 2 4 6 2 2 3 4 2" xfId="53989"/>
    <cellStyle name="20% - Accent1 2 4 6 2 2 3 5" xfId="33843"/>
    <cellStyle name="20% - Accent1 2 4 6 2 2 4" xfId="13232"/>
    <cellStyle name="20% - Accent1 2 4 6 2 2 4 2" xfId="25033"/>
    <cellStyle name="20% - Accent1 2 4 6 2 2 4 2 2" xfId="53990"/>
    <cellStyle name="20% - Accent1 2 4 6 2 2 4 3" xfId="38648"/>
    <cellStyle name="20% - Accent1 2 4 6 2 2 5" xfId="6793"/>
    <cellStyle name="20% - Accent1 2 4 6 2 2 5 2" xfId="45100"/>
    <cellStyle name="20% - Accent1 2 4 6 2 2 6" xfId="18594"/>
    <cellStyle name="20% - Accent1 2 4 6 2 2 6 2" xfId="53991"/>
    <cellStyle name="20% - Accent1 2 4 6 2 2 7" xfId="32209"/>
    <cellStyle name="20% - Accent1 2 4 6 2 3" xfId="3542"/>
    <cellStyle name="20% - Accent1 2 4 6 2 3 2" xfId="5383"/>
    <cellStyle name="20% - Accent1 2 4 6 2 3 2 2" xfId="16853"/>
    <cellStyle name="20% - Accent1 2 4 6 2 3 2 2 2" xfId="28654"/>
    <cellStyle name="20% - Accent1 2 4 6 2 3 2 2 2 2" xfId="53992"/>
    <cellStyle name="20% - Accent1 2 4 6 2 3 2 2 3" xfId="42269"/>
    <cellStyle name="20% - Accent1 2 4 6 2 3 2 3" xfId="10836"/>
    <cellStyle name="20% - Accent1 2 4 6 2 3 2 3 2" xfId="53993"/>
    <cellStyle name="20% - Accent1 2 4 6 2 3 2 4" xfId="22637"/>
    <cellStyle name="20% - Accent1 2 4 6 2 3 2 4 2" xfId="53994"/>
    <cellStyle name="20% - Accent1 2 4 6 2 3 2 5" xfId="36252"/>
    <cellStyle name="20% - Accent1 2 4 6 2 3 3" xfId="13233"/>
    <cellStyle name="20% - Accent1 2 4 6 2 3 3 2" xfId="25034"/>
    <cellStyle name="20% - Accent1 2 4 6 2 3 3 2 2" xfId="53995"/>
    <cellStyle name="20% - Accent1 2 4 6 2 3 3 3" xfId="38649"/>
    <cellStyle name="20% - Accent1 2 4 6 2 3 4" xfId="8995"/>
    <cellStyle name="20% - Accent1 2 4 6 2 3 4 2" xfId="53996"/>
    <cellStyle name="20% - Accent1 2 4 6 2 3 5" xfId="20796"/>
    <cellStyle name="20% - Accent1 2 4 6 2 3 5 2" xfId="53997"/>
    <cellStyle name="20% - Accent1 2 4 6 2 3 6" xfId="34411"/>
    <cellStyle name="20% - Accent1 2 4 6 2 4" xfId="4247"/>
    <cellStyle name="20% - Accent1 2 4 6 2 4 2" xfId="13234"/>
    <cellStyle name="20% - Accent1 2 4 6 2 4 2 2" xfId="25035"/>
    <cellStyle name="20% - Accent1 2 4 6 2 4 2 2 2" xfId="53998"/>
    <cellStyle name="20% - Accent1 2 4 6 2 4 2 3" xfId="38650"/>
    <cellStyle name="20% - Accent1 2 4 6 2 4 3" xfId="9700"/>
    <cellStyle name="20% - Accent1 2 4 6 2 4 3 2" xfId="45101"/>
    <cellStyle name="20% - Accent1 2 4 6 2 4 4" xfId="21501"/>
    <cellStyle name="20% - Accent1 2 4 6 2 4 4 2" xfId="53999"/>
    <cellStyle name="20% - Accent1 2 4 6 2 4 5" xfId="35116"/>
    <cellStyle name="20% - Accent1 2 4 6 2 5" xfId="2406"/>
    <cellStyle name="20% - Accent1 2 4 6 2 5 2" xfId="17059"/>
    <cellStyle name="20% - Accent1 2 4 6 2 5 2 2" xfId="28860"/>
    <cellStyle name="20% - Accent1 2 4 6 2 5 2 2 2" xfId="54000"/>
    <cellStyle name="20% - Accent1 2 4 6 2 5 2 3" xfId="42475"/>
    <cellStyle name="20% - Accent1 2 4 6 2 5 3" xfId="7859"/>
    <cellStyle name="20% - Accent1 2 4 6 2 5 3 2" xfId="54001"/>
    <cellStyle name="20% - Accent1 2 4 6 2 5 4" xfId="19660"/>
    <cellStyle name="20% - Accent1 2 4 6 2 5 4 2" xfId="54002"/>
    <cellStyle name="20% - Accent1 2 4 6 2 5 5" xfId="33275"/>
    <cellStyle name="20% - Accent1 2 4 6 2 6" xfId="13235"/>
    <cellStyle name="20% - Accent1 2 4 6 2 6 2" xfId="25036"/>
    <cellStyle name="20% - Accent1 2 4 6 2 6 2 2" xfId="54003"/>
    <cellStyle name="20% - Accent1 2 4 6 2 6 3" xfId="38651"/>
    <cellStyle name="20% - Accent1 2 4 6 2 7" xfId="5959"/>
    <cellStyle name="20% - Accent1 2 4 6 2 7 2" xfId="54004"/>
    <cellStyle name="20% - Accent1 2 4 6 2 8" xfId="17760"/>
    <cellStyle name="20% - Accent1 2 4 6 2 8 2" xfId="54005"/>
    <cellStyle name="20% - Accent1 2 4 6 2 9" xfId="31375"/>
    <cellStyle name="20% - Accent1 2 4 6 3" xfId="368"/>
    <cellStyle name="20% - Accent1 2 4 6 3 2" xfId="1340"/>
    <cellStyle name="20% - Accent1 2 4 6 3 2 2" xfId="4678"/>
    <cellStyle name="20% - Accent1 2 4 6 3 2 2 2" xfId="13236"/>
    <cellStyle name="20% - Accent1 2 4 6 3 2 2 2 2" xfId="25037"/>
    <cellStyle name="20% - Accent1 2 4 6 3 2 2 2 2 2" xfId="54006"/>
    <cellStyle name="20% - Accent1 2 4 6 3 2 2 2 3" xfId="38652"/>
    <cellStyle name="20% - Accent1 2 4 6 3 2 2 3" xfId="10131"/>
    <cellStyle name="20% - Accent1 2 4 6 3 2 2 3 2" xfId="45102"/>
    <cellStyle name="20% - Accent1 2 4 6 3 2 2 4" xfId="21932"/>
    <cellStyle name="20% - Accent1 2 4 6 3 2 2 4 2" xfId="54007"/>
    <cellStyle name="20% - Accent1 2 4 6 3 2 2 5" xfId="35547"/>
    <cellStyle name="20% - Accent1 2 4 6 3 2 3" xfId="2837"/>
    <cellStyle name="20% - Accent1 2 4 6 3 2 3 2" xfId="13237"/>
    <cellStyle name="20% - Accent1 2 4 6 3 2 3 2 2" xfId="25038"/>
    <cellStyle name="20% - Accent1 2 4 6 3 2 3 2 2 2" xfId="54008"/>
    <cellStyle name="20% - Accent1 2 4 6 3 2 3 2 3" xfId="38653"/>
    <cellStyle name="20% - Accent1 2 4 6 3 2 3 3" xfId="8290"/>
    <cellStyle name="20% - Accent1 2 4 6 3 2 3 3 2" xfId="45103"/>
    <cellStyle name="20% - Accent1 2 4 6 3 2 3 4" xfId="20091"/>
    <cellStyle name="20% - Accent1 2 4 6 3 2 3 4 2" xfId="54009"/>
    <cellStyle name="20% - Accent1 2 4 6 3 2 3 5" xfId="33706"/>
    <cellStyle name="20% - Accent1 2 4 6 3 2 4" xfId="13238"/>
    <cellStyle name="20% - Accent1 2 4 6 3 2 4 2" xfId="25039"/>
    <cellStyle name="20% - Accent1 2 4 6 3 2 4 2 2" xfId="54010"/>
    <cellStyle name="20% - Accent1 2 4 6 3 2 4 3" xfId="38654"/>
    <cellStyle name="20% - Accent1 2 4 6 3 2 5" xfId="6794"/>
    <cellStyle name="20% - Accent1 2 4 6 3 2 5 2" xfId="45104"/>
    <cellStyle name="20% - Accent1 2 4 6 3 2 6" xfId="18595"/>
    <cellStyle name="20% - Accent1 2 4 6 3 2 6 2" xfId="54011"/>
    <cellStyle name="20% - Accent1 2 4 6 3 2 7" xfId="32210"/>
    <cellStyle name="20% - Accent1 2 4 6 3 3" xfId="3405"/>
    <cellStyle name="20% - Accent1 2 4 6 3 3 2" xfId="5246"/>
    <cellStyle name="20% - Accent1 2 4 6 3 3 2 2" xfId="16716"/>
    <cellStyle name="20% - Accent1 2 4 6 3 3 2 2 2" xfId="28517"/>
    <cellStyle name="20% - Accent1 2 4 6 3 3 2 2 2 2" xfId="54012"/>
    <cellStyle name="20% - Accent1 2 4 6 3 3 2 2 3" xfId="42132"/>
    <cellStyle name="20% - Accent1 2 4 6 3 3 2 3" xfId="10699"/>
    <cellStyle name="20% - Accent1 2 4 6 3 3 2 3 2" xfId="54013"/>
    <cellStyle name="20% - Accent1 2 4 6 3 3 2 4" xfId="22500"/>
    <cellStyle name="20% - Accent1 2 4 6 3 3 2 4 2" xfId="54014"/>
    <cellStyle name="20% - Accent1 2 4 6 3 3 2 5" xfId="36115"/>
    <cellStyle name="20% - Accent1 2 4 6 3 3 3" xfId="13239"/>
    <cellStyle name="20% - Accent1 2 4 6 3 3 3 2" xfId="25040"/>
    <cellStyle name="20% - Accent1 2 4 6 3 3 3 2 2" xfId="54015"/>
    <cellStyle name="20% - Accent1 2 4 6 3 3 3 3" xfId="38655"/>
    <cellStyle name="20% - Accent1 2 4 6 3 3 4" xfId="8858"/>
    <cellStyle name="20% - Accent1 2 4 6 3 3 4 2" xfId="54016"/>
    <cellStyle name="20% - Accent1 2 4 6 3 3 5" xfId="20659"/>
    <cellStyle name="20% - Accent1 2 4 6 3 3 5 2" xfId="54017"/>
    <cellStyle name="20% - Accent1 2 4 6 3 3 6" xfId="34274"/>
    <cellStyle name="20% - Accent1 2 4 6 3 4" xfId="4110"/>
    <cellStyle name="20% - Accent1 2 4 6 3 4 2" xfId="13240"/>
    <cellStyle name="20% - Accent1 2 4 6 3 4 2 2" xfId="25041"/>
    <cellStyle name="20% - Accent1 2 4 6 3 4 2 2 2" xfId="54018"/>
    <cellStyle name="20% - Accent1 2 4 6 3 4 2 3" xfId="38656"/>
    <cellStyle name="20% - Accent1 2 4 6 3 4 3" xfId="9563"/>
    <cellStyle name="20% - Accent1 2 4 6 3 4 3 2" xfId="45105"/>
    <cellStyle name="20% - Accent1 2 4 6 3 4 4" xfId="21364"/>
    <cellStyle name="20% - Accent1 2 4 6 3 4 4 2" xfId="54019"/>
    <cellStyle name="20% - Accent1 2 4 6 3 4 5" xfId="34979"/>
    <cellStyle name="20% - Accent1 2 4 6 3 5" xfId="2269"/>
    <cellStyle name="20% - Accent1 2 4 6 3 5 2" xfId="17060"/>
    <cellStyle name="20% - Accent1 2 4 6 3 5 2 2" xfId="28861"/>
    <cellStyle name="20% - Accent1 2 4 6 3 5 2 2 2" xfId="54020"/>
    <cellStyle name="20% - Accent1 2 4 6 3 5 2 3" xfId="42476"/>
    <cellStyle name="20% - Accent1 2 4 6 3 5 3" xfId="7722"/>
    <cellStyle name="20% - Accent1 2 4 6 3 5 3 2" xfId="54021"/>
    <cellStyle name="20% - Accent1 2 4 6 3 5 4" xfId="19523"/>
    <cellStyle name="20% - Accent1 2 4 6 3 5 4 2" xfId="54022"/>
    <cellStyle name="20% - Accent1 2 4 6 3 5 5" xfId="33138"/>
    <cellStyle name="20% - Accent1 2 4 6 3 6" xfId="13241"/>
    <cellStyle name="20% - Accent1 2 4 6 3 6 2" xfId="25042"/>
    <cellStyle name="20% - Accent1 2 4 6 3 6 2 2" xfId="54023"/>
    <cellStyle name="20% - Accent1 2 4 6 3 6 3" xfId="38657"/>
    <cellStyle name="20% - Accent1 2 4 6 3 7" xfId="5822"/>
    <cellStyle name="20% - Accent1 2 4 6 3 7 2" xfId="54024"/>
    <cellStyle name="20% - Accent1 2 4 6 3 8" xfId="17623"/>
    <cellStyle name="20% - Accent1 2 4 6 3 8 2" xfId="54025"/>
    <cellStyle name="20% - Accent1 2 4 6 3 9" xfId="31238"/>
    <cellStyle name="20% - Accent1 2 4 6 4" xfId="646"/>
    <cellStyle name="20% - Accent1 2 4 6 4 2" xfId="1341"/>
    <cellStyle name="20% - Accent1 2 4 6 4 2 2" xfId="4388"/>
    <cellStyle name="20% - Accent1 2 4 6 4 2 2 2" xfId="13242"/>
    <cellStyle name="20% - Accent1 2 4 6 4 2 2 2 2" xfId="25043"/>
    <cellStyle name="20% - Accent1 2 4 6 4 2 2 2 2 2" xfId="54026"/>
    <cellStyle name="20% - Accent1 2 4 6 4 2 2 2 3" xfId="38658"/>
    <cellStyle name="20% - Accent1 2 4 6 4 2 2 3" xfId="9841"/>
    <cellStyle name="20% - Accent1 2 4 6 4 2 2 3 2" xfId="45106"/>
    <cellStyle name="20% - Accent1 2 4 6 4 2 2 4" xfId="21642"/>
    <cellStyle name="20% - Accent1 2 4 6 4 2 2 4 2" xfId="54027"/>
    <cellStyle name="20% - Accent1 2 4 6 4 2 2 5" xfId="35257"/>
    <cellStyle name="20% - Accent1 2 4 6 4 2 3" xfId="13243"/>
    <cellStyle name="20% - Accent1 2 4 6 4 2 3 2" xfId="25044"/>
    <cellStyle name="20% - Accent1 2 4 6 4 2 3 2 2" xfId="45107"/>
    <cellStyle name="20% - Accent1 2 4 6 4 2 3 3" xfId="29797"/>
    <cellStyle name="20% - Accent1 2 4 6 4 2 3 3 2" xfId="45108"/>
    <cellStyle name="20% - Accent1 2 4 6 4 2 3 4" xfId="29798"/>
    <cellStyle name="20% - Accent1 2 4 6 4 2 3 4 2" xfId="54028"/>
    <cellStyle name="20% - Accent1 2 4 6 4 2 3 5" xfId="38659"/>
    <cellStyle name="20% - Accent1 2 4 6 4 2 4" xfId="13244"/>
    <cellStyle name="20% - Accent1 2 4 6 4 2 4 2" xfId="25045"/>
    <cellStyle name="20% - Accent1 2 4 6 4 2 4 2 2" xfId="54029"/>
    <cellStyle name="20% - Accent1 2 4 6 4 2 4 3" xfId="38660"/>
    <cellStyle name="20% - Accent1 2 4 6 4 2 5" xfId="6795"/>
    <cellStyle name="20% - Accent1 2 4 6 4 2 5 2" xfId="45109"/>
    <cellStyle name="20% - Accent1 2 4 6 4 2 6" xfId="18596"/>
    <cellStyle name="20% - Accent1 2 4 6 4 2 6 2" xfId="54030"/>
    <cellStyle name="20% - Accent1 2 4 6 4 2 7" xfId="32211"/>
    <cellStyle name="20% - Accent1 2 4 6 4 3" xfId="2547"/>
    <cellStyle name="20% - Accent1 2 4 6 4 3 2" xfId="13245"/>
    <cellStyle name="20% - Accent1 2 4 6 4 3 2 2" xfId="25046"/>
    <cellStyle name="20% - Accent1 2 4 6 4 3 2 2 2" xfId="54031"/>
    <cellStyle name="20% - Accent1 2 4 6 4 3 2 3" xfId="38661"/>
    <cellStyle name="20% - Accent1 2 4 6 4 3 3" xfId="8000"/>
    <cellStyle name="20% - Accent1 2 4 6 4 3 3 2" xfId="45110"/>
    <cellStyle name="20% - Accent1 2 4 6 4 3 4" xfId="19801"/>
    <cellStyle name="20% - Accent1 2 4 6 4 3 4 2" xfId="54032"/>
    <cellStyle name="20% - Accent1 2 4 6 4 3 5" xfId="33416"/>
    <cellStyle name="20% - Accent1 2 4 6 4 4" xfId="13246"/>
    <cellStyle name="20% - Accent1 2 4 6 4 4 2" xfId="25047"/>
    <cellStyle name="20% - Accent1 2 4 6 4 4 2 2" xfId="45111"/>
    <cellStyle name="20% - Accent1 2 4 6 4 4 3" xfId="29799"/>
    <cellStyle name="20% - Accent1 2 4 6 4 4 3 2" xfId="45112"/>
    <cellStyle name="20% - Accent1 2 4 6 4 4 4" xfId="29800"/>
    <cellStyle name="20% - Accent1 2 4 6 4 4 4 2" xfId="54033"/>
    <cellStyle name="20% - Accent1 2 4 6 4 4 5" xfId="38662"/>
    <cellStyle name="20% - Accent1 2 4 6 4 5" xfId="13247"/>
    <cellStyle name="20% - Accent1 2 4 6 4 5 2" xfId="25048"/>
    <cellStyle name="20% - Accent1 2 4 6 4 5 2 2" xfId="54034"/>
    <cellStyle name="20% - Accent1 2 4 6 4 5 3" xfId="38663"/>
    <cellStyle name="20% - Accent1 2 4 6 4 6" xfId="6100"/>
    <cellStyle name="20% - Accent1 2 4 6 4 6 2" xfId="45113"/>
    <cellStyle name="20% - Accent1 2 4 6 4 7" xfId="17901"/>
    <cellStyle name="20% - Accent1 2 4 6 4 7 2" xfId="54035"/>
    <cellStyle name="20% - Accent1 2 4 6 4 8" xfId="31516"/>
    <cellStyle name="20% - Accent1 2 4 6 5" xfId="887"/>
    <cellStyle name="20% - Accent1 2 4 6 5 2" xfId="1342"/>
    <cellStyle name="20% - Accent1 2 4 6 5 2 2" xfId="4956"/>
    <cellStyle name="20% - Accent1 2 4 6 5 2 2 2" xfId="13248"/>
    <cellStyle name="20% - Accent1 2 4 6 5 2 2 2 2" xfId="25049"/>
    <cellStyle name="20% - Accent1 2 4 6 5 2 2 2 2 2" xfId="54036"/>
    <cellStyle name="20% - Accent1 2 4 6 5 2 2 2 3" xfId="38664"/>
    <cellStyle name="20% - Accent1 2 4 6 5 2 2 3" xfId="10409"/>
    <cellStyle name="20% - Accent1 2 4 6 5 2 2 3 2" xfId="45114"/>
    <cellStyle name="20% - Accent1 2 4 6 5 2 2 4" xfId="22210"/>
    <cellStyle name="20% - Accent1 2 4 6 5 2 2 4 2" xfId="54037"/>
    <cellStyle name="20% - Accent1 2 4 6 5 2 2 5" xfId="35825"/>
    <cellStyle name="20% - Accent1 2 4 6 5 2 3" xfId="13249"/>
    <cellStyle name="20% - Accent1 2 4 6 5 2 3 2" xfId="25050"/>
    <cellStyle name="20% - Accent1 2 4 6 5 2 3 2 2" xfId="45115"/>
    <cellStyle name="20% - Accent1 2 4 6 5 2 3 3" xfId="29801"/>
    <cellStyle name="20% - Accent1 2 4 6 5 2 3 3 2" xfId="45116"/>
    <cellStyle name="20% - Accent1 2 4 6 5 2 3 4" xfId="29802"/>
    <cellStyle name="20% - Accent1 2 4 6 5 2 3 4 2" xfId="54038"/>
    <cellStyle name="20% - Accent1 2 4 6 5 2 3 5" xfId="38665"/>
    <cellStyle name="20% - Accent1 2 4 6 5 2 4" xfId="13250"/>
    <cellStyle name="20% - Accent1 2 4 6 5 2 4 2" xfId="25051"/>
    <cellStyle name="20% - Accent1 2 4 6 5 2 4 2 2" xfId="54039"/>
    <cellStyle name="20% - Accent1 2 4 6 5 2 4 3" xfId="38666"/>
    <cellStyle name="20% - Accent1 2 4 6 5 2 5" xfId="6796"/>
    <cellStyle name="20% - Accent1 2 4 6 5 2 5 2" xfId="45117"/>
    <cellStyle name="20% - Accent1 2 4 6 5 2 6" xfId="18597"/>
    <cellStyle name="20% - Accent1 2 4 6 5 2 6 2" xfId="54040"/>
    <cellStyle name="20% - Accent1 2 4 6 5 2 7" xfId="32212"/>
    <cellStyle name="20% - Accent1 2 4 6 5 3" xfId="3115"/>
    <cellStyle name="20% - Accent1 2 4 6 5 3 2" xfId="13251"/>
    <cellStyle name="20% - Accent1 2 4 6 5 3 2 2" xfId="25052"/>
    <cellStyle name="20% - Accent1 2 4 6 5 3 2 2 2" xfId="54041"/>
    <cellStyle name="20% - Accent1 2 4 6 5 3 2 3" xfId="38667"/>
    <cellStyle name="20% - Accent1 2 4 6 5 3 3" xfId="8568"/>
    <cellStyle name="20% - Accent1 2 4 6 5 3 3 2" xfId="45118"/>
    <cellStyle name="20% - Accent1 2 4 6 5 3 4" xfId="20369"/>
    <cellStyle name="20% - Accent1 2 4 6 5 3 4 2" xfId="54042"/>
    <cellStyle name="20% - Accent1 2 4 6 5 3 5" xfId="33984"/>
    <cellStyle name="20% - Accent1 2 4 6 5 4" xfId="13252"/>
    <cellStyle name="20% - Accent1 2 4 6 5 4 2" xfId="25053"/>
    <cellStyle name="20% - Accent1 2 4 6 5 4 2 2" xfId="45119"/>
    <cellStyle name="20% - Accent1 2 4 6 5 4 3" xfId="29803"/>
    <cellStyle name="20% - Accent1 2 4 6 5 4 3 2" xfId="45120"/>
    <cellStyle name="20% - Accent1 2 4 6 5 4 4" xfId="29804"/>
    <cellStyle name="20% - Accent1 2 4 6 5 4 4 2" xfId="54043"/>
    <cellStyle name="20% - Accent1 2 4 6 5 4 5" xfId="38668"/>
    <cellStyle name="20% - Accent1 2 4 6 5 5" xfId="13253"/>
    <cellStyle name="20% - Accent1 2 4 6 5 5 2" xfId="25054"/>
    <cellStyle name="20% - Accent1 2 4 6 5 5 2 2" xfId="54044"/>
    <cellStyle name="20% - Accent1 2 4 6 5 5 3" xfId="38669"/>
    <cellStyle name="20% - Accent1 2 4 6 5 6" xfId="6341"/>
    <cellStyle name="20% - Accent1 2 4 6 5 6 2" xfId="45121"/>
    <cellStyle name="20% - Accent1 2 4 6 5 7" xfId="18142"/>
    <cellStyle name="20% - Accent1 2 4 6 5 7 2" xfId="54045"/>
    <cellStyle name="20% - Accent1 2 4 6 5 8" xfId="31757"/>
    <cellStyle name="20% - Accent1 2 4 6 6" xfId="1343"/>
    <cellStyle name="20% - Accent1 2 4 6 6 2" xfId="3820"/>
    <cellStyle name="20% - Accent1 2 4 6 6 2 2" xfId="13254"/>
    <cellStyle name="20% - Accent1 2 4 6 6 2 2 2" xfId="25055"/>
    <cellStyle name="20% - Accent1 2 4 6 6 2 2 2 2" xfId="54046"/>
    <cellStyle name="20% - Accent1 2 4 6 6 2 2 3" xfId="38670"/>
    <cellStyle name="20% - Accent1 2 4 6 6 2 3" xfId="9273"/>
    <cellStyle name="20% - Accent1 2 4 6 6 2 3 2" xfId="45122"/>
    <cellStyle name="20% - Accent1 2 4 6 6 2 4" xfId="21074"/>
    <cellStyle name="20% - Accent1 2 4 6 6 2 4 2" xfId="54047"/>
    <cellStyle name="20% - Accent1 2 4 6 6 2 5" xfId="34689"/>
    <cellStyle name="20% - Accent1 2 4 6 6 3" xfId="13255"/>
    <cellStyle name="20% - Accent1 2 4 6 6 3 2" xfId="25056"/>
    <cellStyle name="20% - Accent1 2 4 6 6 3 2 2" xfId="45123"/>
    <cellStyle name="20% - Accent1 2 4 6 6 3 3" xfId="29805"/>
    <cellStyle name="20% - Accent1 2 4 6 6 3 3 2" xfId="45124"/>
    <cellStyle name="20% - Accent1 2 4 6 6 3 4" xfId="29806"/>
    <cellStyle name="20% - Accent1 2 4 6 6 3 4 2" xfId="54048"/>
    <cellStyle name="20% - Accent1 2 4 6 6 3 5" xfId="38671"/>
    <cellStyle name="20% - Accent1 2 4 6 6 4" xfId="13256"/>
    <cellStyle name="20% - Accent1 2 4 6 6 4 2" xfId="25057"/>
    <cellStyle name="20% - Accent1 2 4 6 6 4 2 2" xfId="54049"/>
    <cellStyle name="20% - Accent1 2 4 6 6 4 3" xfId="38672"/>
    <cellStyle name="20% - Accent1 2 4 6 6 5" xfId="6797"/>
    <cellStyle name="20% - Accent1 2 4 6 6 5 2" xfId="45125"/>
    <cellStyle name="20% - Accent1 2 4 6 6 6" xfId="18598"/>
    <cellStyle name="20% - Accent1 2 4 6 6 6 2" xfId="54050"/>
    <cellStyle name="20% - Accent1 2 4 6 6 7" xfId="32213"/>
    <cellStyle name="20% - Accent1 2 4 6 7" xfId="3683"/>
    <cellStyle name="20% - Accent1 2 4 6 7 2" xfId="13257"/>
    <cellStyle name="20% - Accent1 2 4 6 7 2 2" xfId="25058"/>
    <cellStyle name="20% - Accent1 2 4 6 7 2 2 2" xfId="54051"/>
    <cellStyle name="20% - Accent1 2 4 6 7 2 3" xfId="38673"/>
    <cellStyle name="20% - Accent1 2 4 6 7 3" xfId="9136"/>
    <cellStyle name="20% - Accent1 2 4 6 7 3 2" xfId="45126"/>
    <cellStyle name="20% - Accent1 2 4 6 7 4" xfId="20937"/>
    <cellStyle name="20% - Accent1 2 4 6 7 4 2" xfId="54052"/>
    <cellStyle name="20% - Accent1 2 4 6 7 5" xfId="34552"/>
    <cellStyle name="20% - Accent1 2 4 6 8" xfId="1979"/>
    <cellStyle name="20% - Accent1 2 4 6 8 2" xfId="13258"/>
    <cellStyle name="20% - Accent1 2 4 6 8 2 2" xfId="25059"/>
    <cellStyle name="20% - Accent1 2 4 6 8 2 2 2" xfId="54053"/>
    <cellStyle name="20% - Accent1 2 4 6 8 2 3" xfId="38674"/>
    <cellStyle name="20% - Accent1 2 4 6 8 3" xfId="7432"/>
    <cellStyle name="20% - Accent1 2 4 6 8 3 2" xfId="45127"/>
    <cellStyle name="20% - Accent1 2 4 6 8 4" xfId="19233"/>
    <cellStyle name="20% - Accent1 2 4 6 8 4 2" xfId="54054"/>
    <cellStyle name="20% - Accent1 2 4 6 8 5" xfId="32848"/>
    <cellStyle name="20% - Accent1 2 4 6 9" xfId="13259"/>
    <cellStyle name="20% - Accent1 2 4 6 9 2" xfId="25060"/>
    <cellStyle name="20% - Accent1 2 4 6 9 2 2" xfId="54055"/>
    <cellStyle name="20% - Accent1 2 4 6 9 3" xfId="38675"/>
    <cellStyle name="20% - Accent1 2 4 7" xfId="149"/>
    <cellStyle name="20% - Accent1 2 4 7 10" xfId="31019"/>
    <cellStyle name="20% - Accent1 2 4 7 2" xfId="301"/>
    <cellStyle name="20% - Accent1 2 4 7 2 2" xfId="1344"/>
    <cellStyle name="20% - Accent1 2 4 7 2 2 2" xfId="4611"/>
    <cellStyle name="20% - Accent1 2 4 7 2 2 2 2" xfId="13260"/>
    <cellStyle name="20% - Accent1 2 4 7 2 2 2 2 2" xfId="25061"/>
    <cellStyle name="20% - Accent1 2 4 7 2 2 2 2 2 2" xfId="54056"/>
    <cellStyle name="20% - Accent1 2 4 7 2 2 2 2 3" xfId="38676"/>
    <cellStyle name="20% - Accent1 2 4 7 2 2 2 3" xfId="10064"/>
    <cellStyle name="20% - Accent1 2 4 7 2 2 2 3 2" xfId="45128"/>
    <cellStyle name="20% - Accent1 2 4 7 2 2 2 4" xfId="21865"/>
    <cellStyle name="20% - Accent1 2 4 7 2 2 2 4 2" xfId="54057"/>
    <cellStyle name="20% - Accent1 2 4 7 2 2 2 5" xfId="35480"/>
    <cellStyle name="20% - Accent1 2 4 7 2 2 3" xfId="2770"/>
    <cellStyle name="20% - Accent1 2 4 7 2 2 3 2" xfId="13261"/>
    <cellStyle name="20% - Accent1 2 4 7 2 2 3 2 2" xfId="25062"/>
    <cellStyle name="20% - Accent1 2 4 7 2 2 3 2 2 2" xfId="54058"/>
    <cellStyle name="20% - Accent1 2 4 7 2 2 3 2 3" xfId="38677"/>
    <cellStyle name="20% - Accent1 2 4 7 2 2 3 3" xfId="8223"/>
    <cellStyle name="20% - Accent1 2 4 7 2 2 3 3 2" xfId="45129"/>
    <cellStyle name="20% - Accent1 2 4 7 2 2 3 4" xfId="20024"/>
    <cellStyle name="20% - Accent1 2 4 7 2 2 3 4 2" xfId="54059"/>
    <cellStyle name="20% - Accent1 2 4 7 2 2 3 5" xfId="33639"/>
    <cellStyle name="20% - Accent1 2 4 7 2 2 4" xfId="13262"/>
    <cellStyle name="20% - Accent1 2 4 7 2 2 4 2" xfId="25063"/>
    <cellStyle name="20% - Accent1 2 4 7 2 2 4 2 2" xfId="54060"/>
    <cellStyle name="20% - Accent1 2 4 7 2 2 4 3" xfId="38678"/>
    <cellStyle name="20% - Accent1 2 4 7 2 2 5" xfId="6798"/>
    <cellStyle name="20% - Accent1 2 4 7 2 2 5 2" xfId="45130"/>
    <cellStyle name="20% - Accent1 2 4 7 2 2 6" xfId="18599"/>
    <cellStyle name="20% - Accent1 2 4 7 2 2 6 2" xfId="54061"/>
    <cellStyle name="20% - Accent1 2 4 7 2 2 7" xfId="32214"/>
    <cellStyle name="20% - Accent1 2 4 7 2 3" xfId="3338"/>
    <cellStyle name="20% - Accent1 2 4 7 2 3 2" xfId="5179"/>
    <cellStyle name="20% - Accent1 2 4 7 2 3 2 2" xfId="16649"/>
    <cellStyle name="20% - Accent1 2 4 7 2 3 2 2 2" xfId="28450"/>
    <cellStyle name="20% - Accent1 2 4 7 2 3 2 2 2 2" xfId="54062"/>
    <cellStyle name="20% - Accent1 2 4 7 2 3 2 2 3" xfId="42065"/>
    <cellStyle name="20% - Accent1 2 4 7 2 3 2 3" xfId="10632"/>
    <cellStyle name="20% - Accent1 2 4 7 2 3 2 3 2" xfId="54063"/>
    <cellStyle name="20% - Accent1 2 4 7 2 3 2 4" xfId="22433"/>
    <cellStyle name="20% - Accent1 2 4 7 2 3 2 4 2" xfId="54064"/>
    <cellStyle name="20% - Accent1 2 4 7 2 3 2 5" xfId="36048"/>
    <cellStyle name="20% - Accent1 2 4 7 2 3 3" xfId="13263"/>
    <cellStyle name="20% - Accent1 2 4 7 2 3 3 2" xfId="25064"/>
    <cellStyle name="20% - Accent1 2 4 7 2 3 3 2 2" xfId="54065"/>
    <cellStyle name="20% - Accent1 2 4 7 2 3 3 3" xfId="38679"/>
    <cellStyle name="20% - Accent1 2 4 7 2 3 4" xfId="8791"/>
    <cellStyle name="20% - Accent1 2 4 7 2 3 4 2" xfId="54066"/>
    <cellStyle name="20% - Accent1 2 4 7 2 3 5" xfId="20592"/>
    <cellStyle name="20% - Accent1 2 4 7 2 3 5 2" xfId="54067"/>
    <cellStyle name="20% - Accent1 2 4 7 2 3 6" xfId="34207"/>
    <cellStyle name="20% - Accent1 2 4 7 2 4" xfId="4043"/>
    <cellStyle name="20% - Accent1 2 4 7 2 4 2" xfId="13264"/>
    <cellStyle name="20% - Accent1 2 4 7 2 4 2 2" xfId="25065"/>
    <cellStyle name="20% - Accent1 2 4 7 2 4 2 2 2" xfId="54068"/>
    <cellStyle name="20% - Accent1 2 4 7 2 4 2 3" xfId="38680"/>
    <cellStyle name="20% - Accent1 2 4 7 2 4 3" xfId="9496"/>
    <cellStyle name="20% - Accent1 2 4 7 2 4 3 2" xfId="45131"/>
    <cellStyle name="20% - Accent1 2 4 7 2 4 4" xfId="21297"/>
    <cellStyle name="20% - Accent1 2 4 7 2 4 4 2" xfId="54069"/>
    <cellStyle name="20% - Accent1 2 4 7 2 4 5" xfId="34912"/>
    <cellStyle name="20% - Accent1 2 4 7 2 5" xfId="2202"/>
    <cellStyle name="20% - Accent1 2 4 7 2 5 2" xfId="17061"/>
    <cellStyle name="20% - Accent1 2 4 7 2 5 2 2" xfId="28862"/>
    <cellStyle name="20% - Accent1 2 4 7 2 5 2 2 2" xfId="54070"/>
    <cellStyle name="20% - Accent1 2 4 7 2 5 2 3" xfId="42477"/>
    <cellStyle name="20% - Accent1 2 4 7 2 5 3" xfId="7655"/>
    <cellStyle name="20% - Accent1 2 4 7 2 5 3 2" xfId="54071"/>
    <cellStyle name="20% - Accent1 2 4 7 2 5 4" xfId="19456"/>
    <cellStyle name="20% - Accent1 2 4 7 2 5 4 2" xfId="54072"/>
    <cellStyle name="20% - Accent1 2 4 7 2 5 5" xfId="33071"/>
    <cellStyle name="20% - Accent1 2 4 7 2 6" xfId="13265"/>
    <cellStyle name="20% - Accent1 2 4 7 2 6 2" xfId="25066"/>
    <cellStyle name="20% - Accent1 2 4 7 2 6 2 2" xfId="54073"/>
    <cellStyle name="20% - Accent1 2 4 7 2 6 3" xfId="38681"/>
    <cellStyle name="20% - Accent1 2 4 7 2 7" xfId="5755"/>
    <cellStyle name="20% - Accent1 2 4 7 2 7 2" xfId="54074"/>
    <cellStyle name="20% - Accent1 2 4 7 2 8" xfId="17556"/>
    <cellStyle name="20% - Accent1 2 4 7 2 8 2" xfId="54075"/>
    <cellStyle name="20% - Accent1 2 4 7 2 9" xfId="31171"/>
    <cellStyle name="20% - Accent1 2 4 7 3" xfId="717"/>
    <cellStyle name="20% - Accent1 2 4 7 3 2" xfId="1345"/>
    <cellStyle name="20% - Accent1 2 4 7 3 2 2" xfId="4459"/>
    <cellStyle name="20% - Accent1 2 4 7 3 2 2 2" xfId="13266"/>
    <cellStyle name="20% - Accent1 2 4 7 3 2 2 2 2" xfId="25067"/>
    <cellStyle name="20% - Accent1 2 4 7 3 2 2 2 2 2" xfId="54076"/>
    <cellStyle name="20% - Accent1 2 4 7 3 2 2 2 3" xfId="38682"/>
    <cellStyle name="20% - Accent1 2 4 7 3 2 2 3" xfId="9912"/>
    <cellStyle name="20% - Accent1 2 4 7 3 2 2 3 2" xfId="45132"/>
    <cellStyle name="20% - Accent1 2 4 7 3 2 2 4" xfId="21713"/>
    <cellStyle name="20% - Accent1 2 4 7 3 2 2 4 2" xfId="54077"/>
    <cellStyle name="20% - Accent1 2 4 7 3 2 2 5" xfId="35328"/>
    <cellStyle name="20% - Accent1 2 4 7 3 2 3" xfId="13267"/>
    <cellStyle name="20% - Accent1 2 4 7 3 2 3 2" xfId="25068"/>
    <cellStyle name="20% - Accent1 2 4 7 3 2 3 2 2" xfId="45133"/>
    <cellStyle name="20% - Accent1 2 4 7 3 2 3 3" xfId="29807"/>
    <cellStyle name="20% - Accent1 2 4 7 3 2 3 3 2" xfId="45134"/>
    <cellStyle name="20% - Accent1 2 4 7 3 2 3 4" xfId="29808"/>
    <cellStyle name="20% - Accent1 2 4 7 3 2 3 4 2" xfId="54078"/>
    <cellStyle name="20% - Accent1 2 4 7 3 2 3 5" xfId="38683"/>
    <cellStyle name="20% - Accent1 2 4 7 3 2 4" xfId="13268"/>
    <cellStyle name="20% - Accent1 2 4 7 3 2 4 2" xfId="25069"/>
    <cellStyle name="20% - Accent1 2 4 7 3 2 4 2 2" xfId="54079"/>
    <cellStyle name="20% - Accent1 2 4 7 3 2 4 3" xfId="38684"/>
    <cellStyle name="20% - Accent1 2 4 7 3 2 5" xfId="6799"/>
    <cellStyle name="20% - Accent1 2 4 7 3 2 5 2" xfId="45135"/>
    <cellStyle name="20% - Accent1 2 4 7 3 2 6" xfId="18600"/>
    <cellStyle name="20% - Accent1 2 4 7 3 2 6 2" xfId="54080"/>
    <cellStyle name="20% - Accent1 2 4 7 3 2 7" xfId="32215"/>
    <cellStyle name="20% - Accent1 2 4 7 3 3" xfId="2618"/>
    <cellStyle name="20% - Accent1 2 4 7 3 3 2" xfId="13269"/>
    <cellStyle name="20% - Accent1 2 4 7 3 3 2 2" xfId="25070"/>
    <cellStyle name="20% - Accent1 2 4 7 3 3 2 2 2" xfId="54081"/>
    <cellStyle name="20% - Accent1 2 4 7 3 3 2 3" xfId="38685"/>
    <cellStyle name="20% - Accent1 2 4 7 3 3 3" xfId="8071"/>
    <cellStyle name="20% - Accent1 2 4 7 3 3 3 2" xfId="45136"/>
    <cellStyle name="20% - Accent1 2 4 7 3 3 4" xfId="19872"/>
    <cellStyle name="20% - Accent1 2 4 7 3 3 4 2" xfId="54082"/>
    <cellStyle name="20% - Accent1 2 4 7 3 3 5" xfId="33487"/>
    <cellStyle name="20% - Accent1 2 4 7 3 4" xfId="13270"/>
    <cellStyle name="20% - Accent1 2 4 7 3 4 2" xfId="25071"/>
    <cellStyle name="20% - Accent1 2 4 7 3 4 2 2" xfId="45137"/>
    <cellStyle name="20% - Accent1 2 4 7 3 4 3" xfId="29809"/>
    <cellStyle name="20% - Accent1 2 4 7 3 4 3 2" xfId="45138"/>
    <cellStyle name="20% - Accent1 2 4 7 3 4 4" xfId="29810"/>
    <cellStyle name="20% - Accent1 2 4 7 3 4 4 2" xfId="54083"/>
    <cellStyle name="20% - Accent1 2 4 7 3 4 5" xfId="38686"/>
    <cellStyle name="20% - Accent1 2 4 7 3 5" xfId="13271"/>
    <cellStyle name="20% - Accent1 2 4 7 3 5 2" xfId="25072"/>
    <cellStyle name="20% - Accent1 2 4 7 3 5 2 2" xfId="54084"/>
    <cellStyle name="20% - Accent1 2 4 7 3 5 3" xfId="38687"/>
    <cellStyle name="20% - Accent1 2 4 7 3 6" xfId="6171"/>
    <cellStyle name="20% - Accent1 2 4 7 3 6 2" xfId="45139"/>
    <cellStyle name="20% - Accent1 2 4 7 3 7" xfId="17972"/>
    <cellStyle name="20% - Accent1 2 4 7 3 7 2" xfId="54085"/>
    <cellStyle name="20% - Accent1 2 4 7 3 8" xfId="31587"/>
    <cellStyle name="20% - Accent1 2 4 7 4" xfId="1346"/>
    <cellStyle name="20% - Accent1 2 4 7 4 2" xfId="5027"/>
    <cellStyle name="20% - Accent1 2 4 7 4 2 2" xfId="13272"/>
    <cellStyle name="20% - Accent1 2 4 7 4 2 2 2" xfId="25073"/>
    <cellStyle name="20% - Accent1 2 4 7 4 2 2 2 2" xfId="54086"/>
    <cellStyle name="20% - Accent1 2 4 7 4 2 2 3" xfId="38688"/>
    <cellStyle name="20% - Accent1 2 4 7 4 2 3" xfId="10480"/>
    <cellStyle name="20% - Accent1 2 4 7 4 2 3 2" xfId="45140"/>
    <cellStyle name="20% - Accent1 2 4 7 4 2 4" xfId="22281"/>
    <cellStyle name="20% - Accent1 2 4 7 4 2 4 2" xfId="54087"/>
    <cellStyle name="20% - Accent1 2 4 7 4 2 5" xfId="35896"/>
    <cellStyle name="20% - Accent1 2 4 7 4 3" xfId="3186"/>
    <cellStyle name="20% - Accent1 2 4 7 4 3 2" xfId="13273"/>
    <cellStyle name="20% - Accent1 2 4 7 4 3 2 2" xfId="25074"/>
    <cellStyle name="20% - Accent1 2 4 7 4 3 2 2 2" xfId="54088"/>
    <cellStyle name="20% - Accent1 2 4 7 4 3 2 3" xfId="38689"/>
    <cellStyle name="20% - Accent1 2 4 7 4 3 3" xfId="8639"/>
    <cellStyle name="20% - Accent1 2 4 7 4 3 3 2" xfId="45141"/>
    <cellStyle name="20% - Accent1 2 4 7 4 3 4" xfId="20440"/>
    <cellStyle name="20% - Accent1 2 4 7 4 3 4 2" xfId="54089"/>
    <cellStyle name="20% - Accent1 2 4 7 4 3 5" xfId="34055"/>
    <cellStyle name="20% - Accent1 2 4 7 4 4" xfId="13274"/>
    <cellStyle name="20% - Accent1 2 4 7 4 4 2" xfId="25075"/>
    <cellStyle name="20% - Accent1 2 4 7 4 4 2 2" xfId="54090"/>
    <cellStyle name="20% - Accent1 2 4 7 4 4 3" xfId="38690"/>
    <cellStyle name="20% - Accent1 2 4 7 4 5" xfId="6800"/>
    <cellStyle name="20% - Accent1 2 4 7 4 5 2" xfId="45142"/>
    <cellStyle name="20% - Accent1 2 4 7 4 6" xfId="18601"/>
    <cellStyle name="20% - Accent1 2 4 7 4 6 2" xfId="54091"/>
    <cellStyle name="20% - Accent1 2 4 7 4 7" xfId="32216"/>
    <cellStyle name="20% - Accent1 2 4 7 5" xfId="3891"/>
    <cellStyle name="20% - Accent1 2 4 7 5 2" xfId="13275"/>
    <cellStyle name="20% - Accent1 2 4 7 5 2 2" xfId="25076"/>
    <cellStyle name="20% - Accent1 2 4 7 5 2 2 2" xfId="54092"/>
    <cellStyle name="20% - Accent1 2 4 7 5 2 3" xfId="38691"/>
    <cellStyle name="20% - Accent1 2 4 7 5 3" xfId="9344"/>
    <cellStyle name="20% - Accent1 2 4 7 5 3 2" xfId="45143"/>
    <cellStyle name="20% - Accent1 2 4 7 5 4" xfId="21145"/>
    <cellStyle name="20% - Accent1 2 4 7 5 4 2" xfId="54093"/>
    <cellStyle name="20% - Accent1 2 4 7 5 5" xfId="34760"/>
    <cellStyle name="20% - Accent1 2 4 7 6" xfId="2050"/>
    <cellStyle name="20% - Accent1 2 4 7 6 2" xfId="13276"/>
    <cellStyle name="20% - Accent1 2 4 7 6 2 2" xfId="25077"/>
    <cellStyle name="20% - Accent1 2 4 7 6 2 2 2" xfId="54094"/>
    <cellStyle name="20% - Accent1 2 4 7 6 2 3" xfId="38692"/>
    <cellStyle name="20% - Accent1 2 4 7 6 3" xfId="7503"/>
    <cellStyle name="20% - Accent1 2 4 7 6 3 2" xfId="45144"/>
    <cellStyle name="20% - Accent1 2 4 7 6 4" xfId="19304"/>
    <cellStyle name="20% - Accent1 2 4 7 6 4 2" xfId="54095"/>
    <cellStyle name="20% - Accent1 2 4 7 6 5" xfId="32919"/>
    <cellStyle name="20% - Accent1 2 4 7 7" xfId="13277"/>
    <cellStyle name="20% - Accent1 2 4 7 7 2" xfId="25078"/>
    <cellStyle name="20% - Accent1 2 4 7 7 2 2" xfId="54096"/>
    <cellStyle name="20% - Accent1 2 4 7 7 3" xfId="38693"/>
    <cellStyle name="20% - Accent1 2 4 7 8" xfId="5603"/>
    <cellStyle name="20% - Accent1 2 4 7 8 2" xfId="45145"/>
    <cellStyle name="20% - Accent1 2 4 7 9" xfId="17404"/>
    <cellStyle name="20% - Accent1 2 4 7 9 2" xfId="54097"/>
    <cellStyle name="20% - Accent1 2 4 8" xfId="438"/>
    <cellStyle name="20% - Accent1 2 4 8 2" xfId="1347"/>
    <cellStyle name="20% - Accent1 2 4 8 2 2" xfId="4748"/>
    <cellStyle name="20% - Accent1 2 4 8 2 2 2" xfId="13278"/>
    <cellStyle name="20% - Accent1 2 4 8 2 2 2 2" xfId="25079"/>
    <cellStyle name="20% - Accent1 2 4 8 2 2 2 2 2" xfId="54098"/>
    <cellStyle name="20% - Accent1 2 4 8 2 2 2 3" xfId="38694"/>
    <cellStyle name="20% - Accent1 2 4 8 2 2 3" xfId="10201"/>
    <cellStyle name="20% - Accent1 2 4 8 2 2 3 2" xfId="45146"/>
    <cellStyle name="20% - Accent1 2 4 8 2 2 4" xfId="22002"/>
    <cellStyle name="20% - Accent1 2 4 8 2 2 4 2" xfId="54099"/>
    <cellStyle name="20% - Accent1 2 4 8 2 2 5" xfId="35617"/>
    <cellStyle name="20% - Accent1 2 4 8 2 3" xfId="2907"/>
    <cellStyle name="20% - Accent1 2 4 8 2 3 2" xfId="13279"/>
    <cellStyle name="20% - Accent1 2 4 8 2 3 2 2" xfId="25080"/>
    <cellStyle name="20% - Accent1 2 4 8 2 3 2 2 2" xfId="54100"/>
    <cellStyle name="20% - Accent1 2 4 8 2 3 2 3" xfId="38695"/>
    <cellStyle name="20% - Accent1 2 4 8 2 3 3" xfId="8360"/>
    <cellStyle name="20% - Accent1 2 4 8 2 3 3 2" xfId="45147"/>
    <cellStyle name="20% - Accent1 2 4 8 2 3 4" xfId="20161"/>
    <cellStyle name="20% - Accent1 2 4 8 2 3 4 2" xfId="54101"/>
    <cellStyle name="20% - Accent1 2 4 8 2 3 5" xfId="33776"/>
    <cellStyle name="20% - Accent1 2 4 8 2 4" xfId="13280"/>
    <cellStyle name="20% - Accent1 2 4 8 2 4 2" xfId="25081"/>
    <cellStyle name="20% - Accent1 2 4 8 2 4 2 2" xfId="54102"/>
    <cellStyle name="20% - Accent1 2 4 8 2 4 3" xfId="38696"/>
    <cellStyle name="20% - Accent1 2 4 8 2 5" xfId="6801"/>
    <cellStyle name="20% - Accent1 2 4 8 2 5 2" xfId="45148"/>
    <cellStyle name="20% - Accent1 2 4 8 2 6" xfId="18602"/>
    <cellStyle name="20% - Accent1 2 4 8 2 6 2" xfId="54103"/>
    <cellStyle name="20% - Accent1 2 4 8 2 7" xfId="32217"/>
    <cellStyle name="20% - Accent1 2 4 8 3" xfId="3475"/>
    <cellStyle name="20% - Accent1 2 4 8 3 2" xfId="5316"/>
    <cellStyle name="20% - Accent1 2 4 8 3 2 2" xfId="16786"/>
    <cellStyle name="20% - Accent1 2 4 8 3 2 2 2" xfId="28587"/>
    <cellStyle name="20% - Accent1 2 4 8 3 2 2 2 2" xfId="54104"/>
    <cellStyle name="20% - Accent1 2 4 8 3 2 2 3" xfId="42202"/>
    <cellStyle name="20% - Accent1 2 4 8 3 2 3" xfId="10769"/>
    <cellStyle name="20% - Accent1 2 4 8 3 2 3 2" xfId="54105"/>
    <cellStyle name="20% - Accent1 2 4 8 3 2 4" xfId="22570"/>
    <cellStyle name="20% - Accent1 2 4 8 3 2 4 2" xfId="54106"/>
    <cellStyle name="20% - Accent1 2 4 8 3 2 5" xfId="36185"/>
    <cellStyle name="20% - Accent1 2 4 8 3 3" xfId="13281"/>
    <cellStyle name="20% - Accent1 2 4 8 3 3 2" xfId="25082"/>
    <cellStyle name="20% - Accent1 2 4 8 3 3 2 2" xfId="54107"/>
    <cellStyle name="20% - Accent1 2 4 8 3 3 3" xfId="38697"/>
    <cellStyle name="20% - Accent1 2 4 8 3 4" xfId="8928"/>
    <cellStyle name="20% - Accent1 2 4 8 3 4 2" xfId="54108"/>
    <cellStyle name="20% - Accent1 2 4 8 3 5" xfId="20729"/>
    <cellStyle name="20% - Accent1 2 4 8 3 5 2" xfId="54109"/>
    <cellStyle name="20% - Accent1 2 4 8 3 6" xfId="34344"/>
    <cellStyle name="20% - Accent1 2 4 8 4" xfId="4180"/>
    <cellStyle name="20% - Accent1 2 4 8 4 2" xfId="13282"/>
    <cellStyle name="20% - Accent1 2 4 8 4 2 2" xfId="25083"/>
    <cellStyle name="20% - Accent1 2 4 8 4 2 2 2" xfId="54110"/>
    <cellStyle name="20% - Accent1 2 4 8 4 2 3" xfId="38698"/>
    <cellStyle name="20% - Accent1 2 4 8 4 3" xfId="9633"/>
    <cellStyle name="20% - Accent1 2 4 8 4 3 2" xfId="45149"/>
    <cellStyle name="20% - Accent1 2 4 8 4 4" xfId="21434"/>
    <cellStyle name="20% - Accent1 2 4 8 4 4 2" xfId="54111"/>
    <cellStyle name="20% - Accent1 2 4 8 4 5" xfId="35049"/>
    <cellStyle name="20% - Accent1 2 4 8 5" xfId="2339"/>
    <cellStyle name="20% - Accent1 2 4 8 5 2" xfId="17062"/>
    <cellStyle name="20% - Accent1 2 4 8 5 2 2" xfId="28863"/>
    <cellStyle name="20% - Accent1 2 4 8 5 2 2 2" xfId="54112"/>
    <cellStyle name="20% - Accent1 2 4 8 5 2 3" xfId="42478"/>
    <cellStyle name="20% - Accent1 2 4 8 5 3" xfId="7792"/>
    <cellStyle name="20% - Accent1 2 4 8 5 3 2" xfId="54113"/>
    <cellStyle name="20% - Accent1 2 4 8 5 4" xfId="19593"/>
    <cellStyle name="20% - Accent1 2 4 8 5 4 2" xfId="54114"/>
    <cellStyle name="20% - Accent1 2 4 8 5 5" xfId="33208"/>
    <cellStyle name="20% - Accent1 2 4 8 6" xfId="13283"/>
    <cellStyle name="20% - Accent1 2 4 8 6 2" xfId="25084"/>
    <cellStyle name="20% - Accent1 2 4 8 6 2 2" xfId="54115"/>
    <cellStyle name="20% - Accent1 2 4 8 6 3" xfId="38699"/>
    <cellStyle name="20% - Accent1 2 4 8 7" xfId="5892"/>
    <cellStyle name="20% - Accent1 2 4 8 7 2" xfId="54116"/>
    <cellStyle name="20% - Accent1 2 4 8 8" xfId="17693"/>
    <cellStyle name="20% - Accent1 2 4 8 8 2" xfId="54117"/>
    <cellStyle name="20% - Accent1 2 4 8 9" xfId="31308"/>
    <cellStyle name="20% - Accent1 2 4 9" xfId="252"/>
    <cellStyle name="20% - Accent1 2 4 9 2" xfId="1348"/>
    <cellStyle name="20% - Accent1 2 4 9 2 2" xfId="4562"/>
    <cellStyle name="20% - Accent1 2 4 9 2 2 2" xfId="13284"/>
    <cellStyle name="20% - Accent1 2 4 9 2 2 2 2" xfId="25085"/>
    <cellStyle name="20% - Accent1 2 4 9 2 2 2 2 2" xfId="54118"/>
    <cellStyle name="20% - Accent1 2 4 9 2 2 2 3" xfId="38700"/>
    <cellStyle name="20% - Accent1 2 4 9 2 2 3" xfId="10015"/>
    <cellStyle name="20% - Accent1 2 4 9 2 2 3 2" xfId="45150"/>
    <cellStyle name="20% - Accent1 2 4 9 2 2 4" xfId="21816"/>
    <cellStyle name="20% - Accent1 2 4 9 2 2 4 2" xfId="54119"/>
    <cellStyle name="20% - Accent1 2 4 9 2 2 5" xfId="35431"/>
    <cellStyle name="20% - Accent1 2 4 9 2 3" xfId="2721"/>
    <cellStyle name="20% - Accent1 2 4 9 2 3 2" xfId="13285"/>
    <cellStyle name="20% - Accent1 2 4 9 2 3 2 2" xfId="25086"/>
    <cellStyle name="20% - Accent1 2 4 9 2 3 2 2 2" xfId="54120"/>
    <cellStyle name="20% - Accent1 2 4 9 2 3 2 3" xfId="38701"/>
    <cellStyle name="20% - Accent1 2 4 9 2 3 3" xfId="8174"/>
    <cellStyle name="20% - Accent1 2 4 9 2 3 3 2" xfId="45151"/>
    <cellStyle name="20% - Accent1 2 4 9 2 3 4" xfId="19975"/>
    <cellStyle name="20% - Accent1 2 4 9 2 3 4 2" xfId="54121"/>
    <cellStyle name="20% - Accent1 2 4 9 2 3 5" xfId="33590"/>
    <cellStyle name="20% - Accent1 2 4 9 2 4" xfId="13286"/>
    <cellStyle name="20% - Accent1 2 4 9 2 4 2" xfId="25087"/>
    <cellStyle name="20% - Accent1 2 4 9 2 4 2 2" xfId="54122"/>
    <cellStyle name="20% - Accent1 2 4 9 2 4 3" xfId="38702"/>
    <cellStyle name="20% - Accent1 2 4 9 2 5" xfId="6802"/>
    <cellStyle name="20% - Accent1 2 4 9 2 5 2" xfId="45152"/>
    <cellStyle name="20% - Accent1 2 4 9 2 6" xfId="18603"/>
    <cellStyle name="20% - Accent1 2 4 9 2 6 2" xfId="54123"/>
    <cellStyle name="20% - Accent1 2 4 9 2 7" xfId="32218"/>
    <cellStyle name="20% - Accent1 2 4 9 3" xfId="3289"/>
    <cellStyle name="20% - Accent1 2 4 9 3 2" xfId="5130"/>
    <cellStyle name="20% - Accent1 2 4 9 3 2 2" xfId="16600"/>
    <cellStyle name="20% - Accent1 2 4 9 3 2 2 2" xfId="28401"/>
    <cellStyle name="20% - Accent1 2 4 9 3 2 2 2 2" xfId="54124"/>
    <cellStyle name="20% - Accent1 2 4 9 3 2 2 3" xfId="42016"/>
    <cellStyle name="20% - Accent1 2 4 9 3 2 3" xfId="10583"/>
    <cellStyle name="20% - Accent1 2 4 9 3 2 3 2" xfId="54125"/>
    <cellStyle name="20% - Accent1 2 4 9 3 2 4" xfId="22384"/>
    <cellStyle name="20% - Accent1 2 4 9 3 2 4 2" xfId="54126"/>
    <cellStyle name="20% - Accent1 2 4 9 3 2 5" xfId="35999"/>
    <cellStyle name="20% - Accent1 2 4 9 3 3" xfId="13287"/>
    <cellStyle name="20% - Accent1 2 4 9 3 3 2" xfId="25088"/>
    <cellStyle name="20% - Accent1 2 4 9 3 3 2 2" xfId="54127"/>
    <cellStyle name="20% - Accent1 2 4 9 3 3 3" xfId="38703"/>
    <cellStyle name="20% - Accent1 2 4 9 3 4" xfId="8742"/>
    <cellStyle name="20% - Accent1 2 4 9 3 4 2" xfId="54128"/>
    <cellStyle name="20% - Accent1 2 4 9 3 5" xfId="20543"/>
    <cellStyle name="20% - Accent1 2 4 9 3 5 2" xfId="54129"/>
    <cellStyle name="20% - Accent1 2 4 9 3 6" xfId="34158"/>
    <cellStyle name="20% - Accent1 2 4 9 4" xfId="3994"/>
    <cellStyle name="20% - Accent1 2 4 9 4 2" xfId="13288"/>
    <cellStyle name="20% - Accent1 2 4 9 4 2 2" xfId="25089"/>
    <cellStyle name="20% - Accent1 2 4 9 4 2 2 2" xfId="54130"/>
    <cellStyle name="20% - Accent1 2 4 9 4 2 3" xfId="38704"/>
    <cellStyle name="20% - Accent1 2 4 9 4 3" xfId="9447"/>
    <cellStyle name="20% - Accent1 2 4 9 4 3 2" xfId="45153"/>
    <cellStyle name="20% - Accent1 2 4 9 4 4" xfId="21248"/>
    <cellStyle name="20% - Accent1 2 4 9 4 4 2" xfId="54131"/>
    <cellStyle name="20% - Accent1 2 4 9 4 5" xfId="34863"/>
    <cellStyle name="20% - Accent1 2 4 9 5" xfId="2153"/>
    <cellStyle name="20% - Accent1 2 4 9 5 2" xfId="17063"/>
    <cellStyle name="20% - Accent1 2 4 9 5 2 2" xfId="28864"/>
    <cellStyle name="20% - Accent1 2 4 9 5 2 2 2" xfId="54132"/>
    <cellStyle name="20% - Accent1 2 4 9 5 2 3" xfId="42479"/>
    <cellStyle name="20% - Accent1 2 4 9 5 3" xfId="7606"/>
    <cellStyle name="20% - Accent1 2 4 9 5 3 2" xfId="54133"/>
    <cellStyle name="20% - Accent1 2 4 9 5 4" xfId="19407"/>
    <cellStyle name="20% - Accent1 2 4 9 5 4 2" xfId="54134"/>
    <cellStyle name="20% - Accent1 2 4 9 5 5" xfId="33022"/>
    <cellStyle name="20% - Accent1 2 4 9 6" xfId="13289"/>
    <cellStyle name="20% - Accent1 2 4 9 6 2" xfId="25090"/>
    <cellStyle name="20% - Accent1 2 4 9 6 2 2" xfId="54135"/>
    <cellStyle name="20% - Accent1 2 4 9 6 3" xfId="38705"/>
    <cellStyle name="20% - Accent1 2 4 9 7" xfId="5706"/>
    <cellStyle name="20% - Accent1 2 4 9 7 2" xfId="54136"/>
    <cellStyle name="20% - Accent1 2 4 9 8" xfId="17507"/>
    <cellStyle name="20% - Accent1 2 4 9 8 2" xfId="54137"/>
    <cellStyle name="20% - Accent1 2 4 9 9" xfId="31122"/>
    <cellStyle name="20% - Accent1 2 5" xfId="33"/>
    <cellStyle name="20% - Accent1 2 5 10" xfId="1934"/>
    <cellStyle name="20% - Accent1 2 5 10 2" xfId="13290"/>
    <cellStyle name="20% - Accent1 2 5 10 2 2" xfId="25091"/>
    <cellStyle name="20% - Accent1 2 5 10 2 2 2" xfId="54138"/>
    <cellStyle name="20% - Accent1 2 5 10 2 3" xfId="38706"/>
    <cellStyle name="20% - Accent1 2 5 10 3" xfId="7387"/>
    <cellStyle name="20% - Accent1 2 5 10 3 2" xfId="45154"/>
    <cellStyle name="20% - Accent1 2 5 10 4" xfId="19188"/>
    <cellStyle name="20% - Accent1 2 5 10 4 2" xfId="54139"/>
    <cellStyle name="20% - Accent1 2 5 10 5" xfId="32803"/>
    <cellStyle name="20% - Accent1 2 5 11" xfId="13291"/>
    <cellStyle name="20% - Accent1 2 5 11 2" xfId="25092"/>
    <cellStyle name="20% - Accent1 2 5 11 2 2" xfId="54140"/>
    <cellStyle name="20% - Accent1 2 5 11 3" xfId="38707"/>
    <cellStyle name="20% - Accent1 2 5 12" xfId="5487"/>
    <cellStyle name="20% - Accent1 2 5 12 2" xfId="45155"/>
    <cellStyle name="20% - Accent1 2 5 13" xfId="17288"/>
    <cellStyle name="20% - Accent1 2 5 13 2" xfId="54141"/>
    <cellStyle name="20% - Accent1 2 5 14" xfId="30903"/>
    <cellStyle name="20% - Accent1 2 5 2" xfId="100"/>
    <cellStyle name="20% - Accent1 2 5 2 10" xfId="5554"/>
    <cellStyle name="20% - Accent1 2 5 2 10 2" xfId="45156"/>
    <cellStyle name="20% - Accent1 2 5 2 11" xfId="17355"/>
    <cellStyle name="20% - Accent1 2 5 2 11 2" xfId="54142"/>
    <cellStyle name="20% - Accent1 2 5 2 12" xfId="30970"/>
    <cellStyle name="20% - Accent1 2 5 2 2" xfId="211"/>
    <cellStyle name="20% - Accent1 2 5 2 2 10" xfId="31081"/>
    <cellStyle name="20% - Accent1 2 5 2 2 2" xfId="527"/>
    <cellStyle name="20% - Accent1 2 5 2 2 2 2" xfId="1349"/>
    <cellStyle name="20% - Accent1 2 5 2 2 2 2 2" xfId="4837"/>
    <cellStyle name="20% - Accent1 2 5 2 2 2 2 2 2" xfId="13292"/>
    <cellStyle name="20% - Accent1 2 5 2 2 2 2 2 2 2" xfId="25093"/>
    <cellStyle name="20% - Accent1 2 5 2 2 2 2 2 2 2 2" xfId="54143"/>
    <cellStyle name="20% - Accent1 2 5 2 2 2 2 2 2 3" xfId="38708"/>
    <cellStyle name="20% - Accent1 2 5 2 2 2 2 2 3" xfId="10290"/>
    <cellStyle name="20% - Accent1 2 5 2 2 2 2 2 3 2" xfId="45157"/>
    <cellStyle name="20% - Accent1 2 5 2 2 2 2 2 4" xfId="22091"/>
    <cellStyle name="20% - Accent1 2 5 2 2 2 2 2 4 2" xfId="54144"/>
    <cellStyle name="20% - Accent1 2 5 2 2 2 2 2 5" xfId="35706"/>
    <cellStyle name="20% - Accent1 2 5 2 2 2 2 3" xfId="2996"/>
    <cellStyle name="20% - Accent1 2 5 2 2 2 2 3 2" xfId="13293"/>
    <cellStyle name="20% - Accent1 2 5 2 2 2 2 3 2 2" xfId="25094"/>
    <cellStyle name="20% - Accent1 2 5 2 2 2 2 3 2 2 2" xfId="54145"/>
    <cellStyle name="20% - Accent1 2 5 2 2 2 2 3 2 3" xfId="38709"/>
    <cellStyle name="20% - Accent1 2 5 2 2 2 2 3 3" xfId="8449"/>
    <cellStyle name="20% - Accent1 2 5 2 2 2 2 3 3 2" xfId="45158"/>
    <cellStyle name="20% - Accent1 2 5 2 2 2 2 3 4" xfId="20250"/>
    <cellStyle name="20% - Accent1 2 5 2 2 2 2 3 4 2" xfId="54146"/>
    <cellStyle name="20% - Accent1 2 5 2 2 2 2 3 5" xfId="33865"/>
    <cellStyle name="20% - Accent1 2 5 2 2 2 2 4" xfId="13294"/>
    <cellStyle name="20% - Accent1 2 5 2 2 2 2 4 2" xfId="25095"/>
    <cellStyle name="20% - Accent1 2 5 2 2 2 2 4 2 2" xfId="54147"/>
    <cellStyle name="20% - Accent1 2 5 2 2 2 2 4 3" xfId="38710"/>
    <cellStyle name="20% - Accent1 2 5 2 2 2 2 5" xfId="6803"/>
    <cellStyle name="20% - Accent1 2 5 2 2 2 2 5 2" xfId="45159"/>
    <cellStyle name="20% - Accent1 2 5 2 2 2 2 6" xfId="18604"/>
    <cellStyle name="20% - Accent1 2 5 2 2 2 2 6 2" xfId="54148"/>
    <cellStyle name="20% - Accent1 2 5 2 2 2 2 7" xfId="32219"/>
    <cellStyle name="20% - Accent1 2 5 2 2 2 3" xfId="3564"/>
    <cellStyle name="20% - Accent1 2 5 2 2 2 3 2" xfId="5405"/>
    <cellStyle name="20% - Accent1 2 5 2 2 2 3 2 2" xfId="16875"/>
    <cellStyle name="20% - Accent1 2 5 2 2 2 3 2 2 2" xfId="28676"/>
    <cellStyle name="20% - Accent1 2 5 2 2 2 3 2 2 2 2" xfId="54149"/>
    <cellStyle name="20% - Accent1 2 5 2 2 2 3 2 2 3" xfId="42291"/>
    <cellStyle name="20% - Accent1 2 5 2 2 2 3 2 3" xfId="10858"/>
    <cellStyle name="20% - Accent1 2 5 2 2 2 3 2 3 2" xfId="54150"/>
    <cellStyle name="20% - Accent1 2 5 2 2 2 3 2 4" xfId="22659"/>
    <cellStyle name="20% - Accent1 2 5 2 2 2 3 2 4 2" xfId="54151"/>
    <cellStyle name="20% - Accent1 2 5 2 2 2 3 2 5" xfId="36274"/>
    <cellStyle name="20% - Accent1 2 5 2 2 2 3 3" xfId="13295"/>
    <cellStyle name="20% - Accent1 2 5 2 2 2 3 3 2" xfId="25096"/>
    <cellStyle name="20% - Accent1 2 5 2 2 2 3 3 2 2" xfId="54152"/>
    <cellStyle name="20% - Accent1 2 5 2 2 2 3 3 3" xfId="38711"/>
    <cellStyle name="20% - Accent1 2 5 2 2 2 3 4" xfId="9017"/>
    <cellStyle name="20% - Accent1 2 5 2 2 2 3 4 2" xfId="54153"/>
    <cellStyle name="20% - Accent1 2 5 2 2 2 3 5" xfId="20818"/>
    <cellStyle name="20% - Accent1 2 5 2 2 2 3 5 2" xfId="54154"/>
    <cellStyle name="20% - Accent1 2 5 2 2 2 3 6" xfId="34433"/>
    <cellStyle name="20% - Accent1 2 5 2 2 2 4" xfId="4269"/>
    <cellStyle name="20% - Accent1 2 5 2 2 2 4 2" xfId="13296"/>
    <cellStyle name="20% - Accent1 2 5 2 2 2 4 2 2" xfId="25097"/>
    <cellStyle name="20% - Accent1 2 5 2 2 2 4 2 2 2" xfId="54155"/>
    <cellStyle name="20% - Accent1 2 5 2 2 2 4 2 3" xfId="38712"/>
    <cellStyle name="20% - Accent1 2 5 2 2 2 4 3" xfId="9722"/>
    <cellStyle name="20% - Accent1 2 5 2 2 2 4 3 2" xfId="45160"/>
    <cellStyle name="20% - Accent1 2 5 2 2 2 4 4" xfId="21523"/>
    <cellStyle name="20% - Accent1 2 5 2 2 2 4 4 2" xfId="54156"/>
    <cellStyle name="20% - Accent1 2 5 2 2 2 4 5" xfId="35138"/>
    <cellStyle name="20% - Accent1 2 5 2 2 2 5" xfId="2428"/>
    <cellStyle name="20% - Accent1 2 5 2 2 2 5 2" xfId="17064"/>
    <cellStyle name="20% - Accent1 2 5 2 2 2 5 2 2" xfId="28865"/>
    <cellStyle name="20% - Accent1 2 5 2 2 2 5 2 2 2" xfId="54157"/>
    <cellStyle name="20% - Accent1 2 5 2 2 2 5 2 3" xfId="42480"/>
    <cellStyle name="20% - Accent1 2 5 2 2 2 5 3" xfId="7881"/>
    <cellStyle name="20% - Accent1 2 5 2 2 2 5 3 2" xfId="54158"/>
    <cellStyle name="20% - Accent1 2 5 2 2 2 5 4" xfId="19682"/>
    <cellStyle name="20% - Accent1 2 5 2 2 2 5 4 2" xfId="54159"/>
    <cellStyle name="20% - Accent1 2 5 2 2 2 5 5" xfId="33297"/>
    <cellStyle name="20% - Accent1 2 5 2 2 2 6" xfId="13297"/>
    <cellStyle name="20% - Accent1 2 5 2 2 2 6 2" xfId="25098"/>
    <cellStyle name="20% - Accent1 2 5 2 2 2 6 2 2" xfId="54160"/>
    <cellStyle name="20% - Accent1 2 5 2 2 2 6 3" xfId="38713"/>
    <cellStyle name="20% - Accent1 2 5 2 2 2 7" xfId="5981"/>
    <cellStyle name="20% - Accent1 2 5 2 2 2 7 2" xfId="54161"/>
    <cellStyle name="20% - Accent1 2 5 2 2 2 8" xfId="17782"/>
    <cellStyle name="20% - Accent1 2 5 2 2 2 8 2" xfId="54162"/>
    <cellStyle name="20% - Accent1 2 5 2 2 2 9" xfId="31397"/>
    <cellStyle name="20% - Accent1 2 5 2 2 3" xfId="779"/>
    <cellStyle name="20% - Accent1 2 5 2 2 3 2" xfId="1350"/>
    <cellStyle name="20% - Accent1 2 5 2 2 3 2 2" xfId="4521"/>
    <cellStyle name="20% - Accent1 2 5 2 2 3 2 2 2" xfId="13298"/>
    <cellStyle name="20% - Accent1 2 5 2 2 3 2 2 2 2" xfId="25099"/>
    <cellStyle name="20% - Accent1 2 5 2 2 3 2 2 2 2 2" xfId="54163"/>
    <cellStyle name="20% - Accent1 2 5 2 2 3 2 2 2 3" xfId="38714"/>
    <cellStyle name="20% - Accent1 2 5 2 2 3 2 2 3" xfId="9974"/>
    <cellStyle name="20% - Accent1 2 5 2 2 3 2 2 3 2" xfId="45161"/>
    <cellStyle name="20% - Accent1 2 5 2 2 3 2 2 4" xfId="21775"/>
    <cellStyle name="20% - Accent1 2 5 2 2 3 2 2 4 2" xfId="54164"/>
    <cellStyle name="20% - Accent1 2 5 2 2 3 2 2 5" xfId="35390"/>
    <cellStyle name="20% - Accent1 2 5 2 2 3 2 3" xfId="13299"/>
    <cellStyle name="20% - Accent1 2 5 2 2 3 2 3 2" xfId="25100"/>
    <cellStyle name="20% - Accent1 2 5 2 2 3 2 3 2 2" xfId="45162"/>
    <cellStyle name="20% - Accent1 2 5 2 2 3 2 3 3" xfId="29811"/>
    <cellStyle name="20% - Accent1 2 5 2 2 3 2 3 3 2" xfId="45163"/>
    <cellStyle name="20% - Accent1 2 5 2 2 3 2 3 4" xfId="29812"/>
    <cellStyle name="20% - Accent1 2 5 2 2 3 2 3 4 2" xfId="54165"/>
    <cellStyle name="20% - Accent1 2 5 2 2 3 2 3 5" xfId="38715"/>
    <cellStyle name="20% - Accent1 2 5 2 2 3 2 4" xfId="13300"/>
    <cellStyle name="20% - Accent1 2 5 2 2 3 2 4 2" xfId="25101"/>
    <cellStyle name="20% - Accent1 2 5 2 2 3 2 4 2 2" xfId="54166"/>
    <cellStyle name="20% - Accent1 2 5 2 2 3 2 4 3" xfId="38716"/>
    <cellStyle name="20% - Accent1 2 5 2 2 3 2 5" xfId="6804"/>
    <cellStyle name="20% - Accent1 2 5 2 2 3 2 5 2" xfId="45164"/>
    <cellStyle name="20% - Accent1 2 5 2 2 3 2 6" xfId="18605"/>
    <cellStyle name="20% - Accent1 2 5 2 2 3 2 6 2" xfId="54167"/>
    <cellStyle name="20% - Accent1 2 5 2 2 3 2 7" xfId="32220"/>
    <cellStyle name="20% - Accent1 2 5 2 2 3 3" xfId="2680"/>
    <cellStyle name="20% - Accent1 2 5 2 2 3 3 2" xfId="13301"/>
    <cellStyle name="20% - Accent1 2 5 2 2 3 3 2 2" xfId="25102"/>
    <cellStyle name="20% - Accent1 2 5 2 2 3 3 2 2 2" xfId="54168"/>
    <cellStyle name="20% - Accent1 2 5 2 2 3 3 2 3" xfId="38717"/>
    <cellStyle name="20% - Accent1 2 5 2 2 3 3 3" xfId="8133"/>
    <cellStyle name="20% - Accent1 2 5 2 2 3 3 3 2" xfId="45165"/>
    <cellStyle name="20% - Accent1 2 5 2 2 3 3 4" xfId="19934"/>
    <cellStyle name="20% - Accent1 2 5 2 2 3 3 4 2" xfId="54169"/>
    <cellStyle name="20% - Accent1 2 5 2 2 3 3 5" xfId="33549"/>
    <cellStyle name="20% - Accent1 2 5 2 2 3 4" xfId="13302"/>
    <cellStyle name="20% - Accent1 2 5 2 2 3 4 2" xfId="25103"/>
    <cellStyle name="20% - Accent1 2 5 2 2 3 4 2 2" xfId="45166"/>
    <cellStyle name="20% - Accent1 2 5 2 2 3 4 3" xfId="29813"/>
    <cellStyle name="20% - Accent1 2 5 2 2 3 4 3 2" xfId="45167"/>
    <cellStyle name="20% - Accent1 2 5 2 2 3 4 4" xfId="29814"/>
    <cellStyle name="20% - Accent1 2 5 2 2 3 4 4 2" xfId="54170"/>
    <cellStyle name="20% - Accent1 2 5 2 2 3 4 5" xfId="38718"/>
    <cellStyle name="20% - Accent1 2 5 2 2 3 5" xfId="13303"/>
    <cellStyle name="20% - Accent1 2 5 2 2 3 5 2" xfId="25104"/>
    <cellStyle name="20% - Accent1 2 5 2 2 3 5 2 2" xfId="54171"/>
    <cellStyle name="20% - Accent1 2 5 2 2 3 5 3" xfId="38719"/>
    <cellStyle name="20% - Accent1 2 5 2 2 3 6" xfId="6233"/>
    <cellStyle name="20% - Accent1 2 5 2 2 3 6 2" xfId="45168"/>
    <cellStyle name="20% - Accent1 2 5 2 2 3 7" xfId="18034"/>
    <cellStyle name="20% - Accent1 2 5 2 2 3 7 2" xfId="54172"/>
    <cellStyle name="20% - Accent1 2 5 2 2 3 8" xfId="31649"/>
    <cellStyle name="20% - Accent1 2 5 2 2 4" xfId="1351"/>
    <cellStyle name="20% - Accent1 2 5 2 2 4 2" xfId="5089"/>
    <cellStyle name="20% - Accent1 2 5 2 2 4 2 2" xfId="13304"/>
    <cellStyle name="20% - Accent1 2 5 2 2 4 2 2 2" xfId="25105"/>
    <cellStyle name="20% - Accent1 2 5 2 2 4 2 2 2 2" xfId="54173"/>
    <cellStyle name="20% - Accent1 2 5 2 2 4 2 2 3" xfId="38720"/>
    <cellStyle name="20% - Accent1 2 5 2 2 4 2 3" xfId="10542"/>
    <cellStyle name="20% - Accent1 2 5 2 2 4 2 3 2" xfId="45169"/>
    <cellStyle name="20% - Accent1 2 5 2 2 4 2 4" xfId="22343"/>
    <cellStyle name="20% - Accent1 2 5 2 2 4 2 4 2" xfId="54174"/>
    <cellStyle name="20% - Accent1 2 5 2 2 4 2 5" xfId="35958"/>
    <cellStyle name="20% - Accent1 2 5 2 2 4 3" xfId="3248"/>
    <cellStyle name="20% - Accent1 2 5 2 2 4 3 2" xfId="13305"/>
    <cellStyle name="20% - Accent1 2 5 2 2 4 3 2 2" xfId="25106"/>
    <cellStyle name="20% - Accent1 2 5 2 2 4 3 2 2 2" xfId="54175"/>
    <cellStyle name="20% - Accent1 2 5 2 2 4 3 2 3" xfId="38721"/>
    <cellStyle name="20% - Accent1 2 5 2 2 4 3 3" xfId="8701"/>
    <cellStyle name="20% - Accent1 2 5 2 2 4 3 3 2" xfId="45170"/>
    <cellStyle name="20% - Accent1 2 5 2 2 4 3 4" xfId="20502"/>
    <cellStyle name="20% - Accent1 2 5 2 2 4 3 4 2" xfId="54176"/>
    <cellStyle name="20% - Accent1 2 5 2 2 4 3 5" xfId="34117"/>
    <cellStyle name="20% - Accent1 2 5 2 2 4 4" xfId="13306"/>
    <cellStyle name="20% - Accent1 2 5 2 2 4 4 2" xfId="25107"/>
    <cellStyle name="20% - Accent1 2 5 2 2 4 4 2 2" xfId="54177"/>
    <cellStyle name="20% - Accent1 2 5 2 2 4 4 3" xfId="38722"/>
    <cellStyle name="20% - Accent1 2 5 2 2 4 5" xfId="6805"/>
    <cellStyle name="20% - Accent1 2 5 2 2 4 5 2" xfId="45171"/>
    <cellStyle name="20% - Accent1 2 5 2 2 4 6" xfId="18606"/>
    <cellStyle name="20% - Accent1 2 5 2 2 4 6 2" xfId="54178"/>
    <cellStyle name="20% - Accent1 2 5 2 2 4 7" xfId="32221"/>
    <cellStyle name="20% - Accent1 2 5 2 2 5" xfId="3953"/>
    <cellStyle name="20% - Accent1 2 5 2 2 5 2" xfId="13307"/>
    <cellStyle name="20% - Accent1 2 5 2 2 5 2 2" xfId="25108"/>
    <cellStyle name="20% - Accent1 2 5 2 2 5 2 2 2" xfId="54179"/>
    <cellStyle name="20% - Accent1 2 5 2 2 5 2 3" xfId="38723"/>
    <cellStyle name="20% - Accent1 2 5 2 2 5 3" xfId="9406"/>
    <cellStyle name="20% - Accent1 2 5 2 2 5 3 2" xfId="45172"/>
    <cellStyle name="20% - Accent1 2 5 2 2 5 4" xfId="21207"/>
    <cellStyle name="20% - Accent1 2 5 2 2 5 4 2" xfId="54180"/>
    <cellStyle name="20% - Accent1 2 5 2 2 5 5" xfId="34822"/>
    <cellStyle name="20% - Accent1 2 5 2 2 6" xfId="2112"/>
    <cellStyle name="20% - Accent1 2 5 2 2 6 2" xfId="13308"/>
    <cellStyle name="20% - Accent1 2 5 2 2 6 2 2" xfId="25109"/>
    <cellStyle name="20% - Accent1 2 5 2 2 6 2 2 2" xfId="54181"/>
    <cellStyle name="20% - Accent1 2 5 2 2 6 2 3" xfId="38724"/>
    <cellStyle name="20% - Accent1 2 5 2 2 6 3" xfId="7565"/>
    <cellStyle name="20% - Accent1 2 5 2 2 6 3 2" xfId="45173"/>
    <cellStyle name="20% - Accent1 2 5 2 2 6 4" xfId="19366"/>
    <cellStyle name="20% - Accent1 2 5 2 2 6 4 2" xfId="54182"/>
    <cellStyle name="20% - Accent1 2 5 2 2 6 5" xfId="32981"/>
    <cellStyle name="20% - Accent1 2 5 2 2 7" xfId="13309"/>
    <cellStyle name="20% - Accent1 2 5 2 2 7 2" xfId="25110"/>
    <cellStyle name="20% - Accent1 2 5 2 2 7 2 2" xfId="54183"/>
    <cellStyle name="20% - Accent1 2 5 2 2 7 3" xfId="38725"/>
    <cellStyle name="20% - Accent1 2 5 2 2 8" xfId="5665"/>
    <cellStyle name="20% - Accent1 2 5 2 2 8 2" xfId="45174"/>
    <cellStyle name="20% - Accent1 2 5 2 2 9" xfId="17466"/>
    <cellStyle name="20% - Accent1 2 5 2 2 9 2" xfId="54184"/>
    <cellStyle name="20% - Accent1 2 5 2 3" xfId="390"/>
    <cellStyle name="20% - Accent1 2 5 2 3 2" xfId="1352"/>
    <cellStyle name="20% - Accent1 2 5 2 3 2 2" xfId="4700"/>
    <cellStyle name="20% - Accent1 2 5 2 3 2 2 2" xfId="13310"/>
    <cellStyle name="20% - Accent1 2 5 2 3 2 2 2 2" xfId="25111"/>
    <cellStyle name="20% - Accent1 2 5 2 3 2 2 2 2 2" xfId="54185"/>
    <cellStyle name="20% - Accent1 2 5 2 3 2 2 2 3" xfId="38726"/>
    <cellStyle name="20% - Accent1 2 5 2 3 2 2 3" xfId="10153"/>
    <cellStyle name="20% - Accent1 2 5 2 3 2 2 3 2" xfId="45175"/>
    <cellStyle name="20% - Accent1 2 5 2 3 2 2 4" xfId="21954"/>
    <cellStyle name="20% - Accent1 2 5 2 3 2 2 4 2" xfId="54186"/>
    <cellStyle name="20% - Accent1 2 5 2 3 2 2 5" xfId="35569"/>
    <cellStyle name="20% - Accent1 2 5 2 3 2 3" xfId="2859"/>
    <cellStyle name="20% - Accent1 2 5 2 3 2 3 2" xfId="13311"/>
    <cellStyle name="20% - Accent1 2 5 2 3 2 3 2 2" xfId="25112"/>
    <cellStyle name="20% - Accent1 2 5 2 3 2 3 2 2 2" xfId="54187"/>
    <cellStyle name="20% - Accent1 2 5 2 3 2 3 2 3" xfId="38727"/>
    <cellStyle name="20% - Accent1 2 5 2 3 2 3 3" xfId="8312"/>
    <cellStyle name="20% - Accent1 2 5 2 3 2 3 3 2" xfId="45176"/>
    <cellStyle name="20% - Accent1 2 5 2 3 2 3 4" xfId="20113"/>
    <cellStyle name="20% - Accent1 2 5 2 3 2 3 4 2" xfId="54188"/>
    <cellStyle name="20% - Accent1 2 5 2 3 2 3 5" xfId="33728"/>
    <cellStyle name="20% - Accent1 2 5 2 3 2 4" xfId="13312"/>
    <cellStyle name="20% - Accent1 2 5 2 3 2 4 2" xfId="25113"/>
    <cellStyle name="20% - Accent1 2 5 2 3 2 4 2 2" xfId="54189"/>
    <cellStyle name="20% - Accent1 2 5 2 3 2 4 3" xfId="38728"/>
    <cellStyle name="20% - Accent1 2 5 2 3 2 5" xfId="6806"/>
    <cellStyle name="20% - Accent1 2 5 2 3 2 5 2" xfId="45177"/>
    <cellStyle name="20% - Accent1 2 5 2 3 2 6" xfId="18607"/>
    <cellStyle name="20% - Accent1 2 5 2 3 2 6 2" xfId="54190"/>
    <cellStyle name="20% - Accent1 2 5 2 3 2 7" xfId="32222"/>
    <cellStyle name="20% - Accent1 2 5 2 3 3" xfId="3427"/>
    <cellStyle name="20% - Accent1 2 5 2 3 3 2" xfId="5268"/>
    <cellStyle name="20% - Accent1 2 5 2 3 3 2 2" xfId="16738"/>
    <cellStyle name="20% - Accent1 2 5 2 3 3 2 2 2" xfId="28539"/>
    <cellStyle name="20% - Accent1 2 5 2 3 3 2 2 2 2" xfId="54191"/>
    <cellStyle name="20% - Accent1 2 5 2 3 3 2 2 3" xfId="42154"/>
    <cellStyle name="20% - Accent1 2 5 2 3 3 2 3" xfId="10721"/>
    <cellStyle name="20% - Accent1 2 5 2 3 3 2 3 2" xfId="54192"/>
    <cellStyle name="20% - Accent1 2 5 2 3 3 2 4" xfId="22522"/>
    <cellStyle name="20% - Accent1 2 5 2 3 3 2 4 2" xfId="54193"/>
    <cellStyle name="20% - Accent1 2 5 2 3 3 2 5" xfId="36137"/>
    <cellStyle name="20% - Accent1 2 5 2 3 3 3" xfId="13313"/>
    <cellStyle name="20% - Accent1 2 5 2 3 3 3 2" xfId="25114"/>
    <cellStyle name="20% - Accent1 2 5 2 3 3 3 2 2" xfId="54194"/>
    <cellStyle name="20% - Accent1 2 5 2 3 3 3 3" xfId="38729"/>
    <cellStyle name="20% - Accent1 2 5 2 3 3 4" xfId="8880"/>
    <cellStyle name="20% - Accent1 2 5 2 3 3 4 2" xfId="54195"/>
    <cellStyle name="20% - Accent1 2 5 2 3 3 5" xfId="20681"/>
    <cellStyle name="20% - Accent1 2 5 2 3 3 5 2" xfId="54196"/>
    <cellStyle name="20% - Accent1 2 5 2 3 3 6" xfId="34296"/>
    <cellStyle name="20% - Accent1 2 5 2 3 4" xfId="4132"/>
    <cellStyle name="20% - Accent1 2 5 2 3 4 2" xfId="13314"/>
    <cellStyle name="20% - Accent1 2 5 2 3 4 2 2" xfId="25115"/>
    <cellStyle name="20% - Accent1 2 5 2 3 4 2 2 2" xfId="54197"/>
    <cellStyle name="20% - Accent1 2 5 2 3 4 2 3" xfId="38730"/>
    <cellStyle name="20% - Accent1 2 5 2 3 4 3" xfId="9585"/>
    <cellStyle name="20% - Accent1 2 5 2 3 4 3 2" xfId="45178"/>
    <cellStyle name="20% - Accent1 2 5 2 3 4 4" xfId="21386"/>
    <cellStyle name="20% - Accent1 2 5 2 3 4 4 2" xfId="54198"/>
    <cellStyle name="20% - Accent1 2 5 2 3 4 5" xfId="35001"/>
    <cellStyle name="20% - Accent1 2 5 2 3 5" xfId="2291"/>
    <cellStyle name="20% - Accent1 2 5 2 3 5 2" xfId="17065"/>
    <cellStyle name="20% - Accent1 2 5 2 3 5 2 2" xfId="28866"/>
    <cellStyle name="20% - Accent1 2 5 2 3 5 2 2 2" xfId="54199"/>
    <cellStyle name="20% - Accent1 2 5 2 3 5 2 3" xfId="42481"/>
    <cellStyle name="20% - Accent1 2 5 2 3 5 3" xfId="7744"/>
    <cellStyle name="20% - Accent1 2 5 2 3 5 3 2" xfId="54200"/>
    <cellStyle name="20% - Accent1 2 5 2 3 5 4" xfId="19545"/>
    <cellStyle name="20% - Accent1 2 5 2 3 5 4 2" xfId="54201"/>
    <cellStyle name="20% - Accent1 2 5 2 3 5 5" xfId="33160"/>
    <cellStyle name="20% - Accent1 2 5 2 3 6" xfId="13315"/>
    <cellStyle name="20% - Accent1 2 5 2 3 6 2" xfId="25116"/>
    <cellStyle name="20% - Accent1 2 5 2 3 6 2 2" xfId="54202"/>
    <cellStyle name="20% - Accent1 2 5 2 3 6 3" xfId="38731"/>
    <cellStyle name="20% - Accent1 2 5 2 3 7" xfId="5844"/>
    <cellStyle name="20% - Accent1 2 5 2 3 7 2" xfId="54203"/>
    <cellStyle name="20% - Accent1 2 5 2 3 8" xfId="17645"/>
    <cellStyle name="20% - Accent1 2 5 2 3 8 2" xfId="54204"/>
    <cellStyle name="20% - Accent1 2 5 2 3 9" xfId="31260"/>
    <cellStyle name="20% - Accent1 2 5 2 4" xfId="668"/>
    <cellStyle name="20% - Accent1 2 5 2 4 2" xfId="1353"/>
    <cellStyle name="20% - Accent1 2 5 2 4 2 2" xfId="4410"/>
    <cellStyle name="20% - Accent1 2 5 2 4 2 2 2" xfId="13316"/>
    <cellStyle name="20% - Accent1 2 5 2 4 2 2 2 2" xfId="25117"/>
    <cellStyle name="20% - Accent1 2 5 2 4 2 2 2 2 2" xfId="54205"/>
    <cellStyle name="20% - Accent1 2 5 2 4 2 2 2 3" xfId="38732"/>
    <cellStyle name="20% - Accent1 2 5 2 4 2 2 3" xfId="9863"/>
    <cellStyle name="20% - Accent1 2 5 2 4 2 2 3 2" xfId="45179"/>
    <cellStyle name="20% - Accent1 2 5 2 4 2 2 4" xfId="21664"/>
    <cellStyle name="20% - Accent1 2 5 2 4 2 2 4 2" xfId="54206"/>
    <cellStyle name="20% - Accent1 2 5 2 4 2 2 5" xfId="35279"/>
    <cellStyle name="20% - Accent1 2 5 2 4 2 3" xfId="13317"/>
    <cellStyle name="20% - Accent1 2 5 2 4 2 3 2" xfId="25118"/>
    <cellStyle name="20% - Accent1 2 5 2 4 2 3 2 2" xfId="45180"/>
    <cellStyle name="20% - Accent1 2 5 2 4 2 3 3" xfId="29815"/>
    <cellStyle name="20% - Accent1 2 5 2 4 2 3 3 2" xfId="45181"/>
    <cellStyle name="20% - Accent1 2 5 2 4 2 3 4" xfId="29816"/>
    <cellStyle name="20% - Accent1 2 5 2 4 2 3 4 2" xfId="54207"/>
    <cellStyle name="20% - Accent1 2 5 2 4 2 3 5" xfId="38733"/>
    <cellStyle name="20% - Accent1 2 5 2 4 2 4" xfId="13318"/>
    <cellStyle name="20% - Accent1 2 5 2 4 2 4 2" xfId="25119"/>
    <cellStyle name="20% - Accent1 2 5 2 4 2 4 2 2" xfId="54208"/>
    <cellStyle name="20% - Accent1 2 5 2 4 2 4 3" xfId="38734"/>
    <cellStyle name="20% - Accent1 2 5 2 4 2 5" xfId="6807"/>
    <cellStyle name="20% - Accent1 2 5 2 4 2 5 2" xfId="45182"/>
    <cellStyle name="20% - Accent1 2 5 2 4 2 6" xfId="18608"/>
    <cellStyle name="20% - Accent1 2 5 2 4 2 6 2" xfId="54209"/>
    <cellStyle name="20% - Accent1 2 5 2 4 2 7" xfId="32223"/>
    <cellStyle name="20% - Accent1 2 5 2 4 3" xfId="2569"/>
    <cellStyle name="20% - Accent1 2 5 2 4 3 2" xfId="13319"/>
    <cellStyle name="20% - Accent1 2 5 2 4 3 2 2" xfId="25120"/>
    <cellStyle name="20% - Accent1 2 5 2 4 3 2 2 2" xfId="54210"/>
    <cellStyle name="20% - Accent1 2 5 2 4 3 2 3" xfId="38735"/>
    <cellStyle name="20% - Accent1 2 5 2 4 3 3" xfId="8022"/>
    <cellStyle name="20% - Accent1 2 5 2 4 3 3 2" xfId="45183"/>
    <cellStyle name="20% - Accent1 2 5 2 4 3 4" xfId="19823"/>
    <cellStyle name="20% - Accent1 2 5 2 4 3 4 2" xfId="54211"/>
    <cellStyle name="20% - Accent1 2 5 2 4 3 5" xfId="33438"/>
    <cellStyle name="20% - Accent1 2 5 2 4 4" xfId="13320"/>
    <cellStyle name="20% - Accent1 2 5 2 4 4 2" xfId="25121"/>
    <cellStyle name="20% - Accent1 2 5 2 4 4 2 2" xfId="45184"/>
    <cellStyle name="20% - Accent1 2 5 2 4 4 3" xfId="29817"/>
    <cellStyle name="20% - Accent1 2 5 2 4 4 3 2" xfId="45185"/>
    <cellStyle name="20% - Accent1 2 5 2 4 4 4" xfId="29818"/>
    <cellStyle name="20% - Accent1 2 5 2 4 4 4 2" xfId="54212"/>
    <cellStyle name="20% - Accent1 2 5 2 4 4 5" xfId="38736"/>
    <cellStyle name="20% - Accent1 2 5 2 4 5" xfId="13321"/>
    <cellStyle name="20% - Accent1 2 5 2 4 5 2" xfId="25122"/>
    <cellStyle name="20% - Accent1 2 5 2 4 5 2 2" xfId="54213"/>
    <cellStyle name="20% - Accent1 2 5 2 4 5 3" xfId="38737"/>
    <cellStyle name="20% - Accent1 2 5 2 4 6" xfId="6122"/>
    <cellStyle name="20% - Accent1 2 5 2 4 6 2" xfId="45186"/>
    <cellStyle name="20% - Accent1 2 5 2 4 7" xfId="17923"/>
    <cellStyle name="20% - Accent1 2 5 2 4 7 2" xfId="54214"/>
    <cellStyle name="20% - Accent1 2 5 2 4 8" xfId="31538"/>
    <cellStyle name="20% - Accent1 2 5 2 5" xfId="909"/>
    <cellStyle name="20% - Accent1 2 5 2 5 2" xfId="1354"/>
    <cellStyle name="20% - Accent1 2 5 2 5 2 2" xfId="4978"/>
    <cellStyle name="20% - Accent1 2 5 2 5 2 2 2" xfId="13322"/>
    <cellStyle name="20% - Accent1 2 5 2 5 2 2 2 2" xfId="25123"/>
    <cellStyle name="20% - Accent1 2 5 2 5 2 2 2 2 2" xfId="54215"/>
    <cellStyle name="20% - Accent1 2 5 2 5 2 2 2 3" xfId="38738"/>
    <cellStyle name="20% - Accent1 2 5 2 5 2 2 3" xfId="10431"/>
    <cellStyle name="20% - Accent1 2 5 2 5 2 2 3 2" xfId="45187"/>
    <cellStyle name="20% - Accent1 2 5 2 5 2 2 4" xfId="22232"/>
    <cellStyle name="20% - Accent1 2 5 2 5 2 2 4 2" xfId="54216"/>
    <cellStyle name="20% - Accent1 2 5 2 5 2 2 5" xfId="35847"/>
    <cellStyle name="20% - Accent1 2 5 2 5 2 3" xfId="13323"/>
    <cellStyle name="20% - Accent1 2 5 2 5 2 3 2" xfId="25124"/>
    <cellStyle name="20% - Accent1 2 5 2 5 2 3 2 2" xfId="45188"/>
    <cellStyle name="20% - Accent1 2 5 2 5 2 3 3" xfId="29819"/>
    <cellStyle name="20% - Accent1 2 5 2 5 2 3 3 2" xfId="45189"/>
    <cellStyle name="20% - Accent1 2 5 2 5 2 3 4" xfId="29820"/>
    <cellStyle name="20% - Accent1 2 5 2 5 2 3 4 2" xfId="54217"/>
    <cellStyle name="20% - Accent1 2 5 2 5 2 3 5" xfId="38739"/>
    <cellStyle name="20% - Accent1 2 5 2 5 2 4" xfId="13324"/>
    <cellStyle name="20% - Accent1 2 5 2 5 2 4 2" xfId="25125"/>
    <cellStyle name="20% - Accent1 2 5 2 5 2 4 2 2" xfId="54218"/>
    <cellStyle name="20% - Accent1 2 5 2 5 2 4 3" xfId="38740"/>
    <cellStyle name="20% - Accent1 2 5 2 5 2 5" xfId="6808"/>
    <cellStyle name="20% - Accent1 2 5 2 5 2 5 2" xfId="45190"/>
    <cellStyle name="20% - Accent1 2 5 2 5 2 6" xfId="18609"/>
    <cellStyle name="20% - Accent1 2 5 2 5 2 6 2" xfId="54219"/>
    <cellStyle name="20% - Accent1 2 5 2 5 2 7" xfId="32224"/>
    <cellStyle name="20% - Accent1 2 5 2 5 3" xfId="3137"/>
    <cellStyle name="20% - Accent1 2 5 2 5 3 2" xfId="13325"/>
    <cellStyle name="20% - Accent1 2 5 2 5 3 2 2" xfId="25126"/>
    <cellStyle name="20% - Accent1 2 5 2 5 3 2 2 2" xfId="54220"/>
    <cellStyle name="20% - Accent1 2 5 2 5 3 2 3" xfId="38741"/>
    <cellStyle name="20% - Accent1 2 5 2 5 3 3" xfId="8590"/>
    <cellStyle name="20% - Accent1 2 5 2 5 3 3 2" xfId="45191"/>
    <cellStyle name="20% - Accent1 2 5 2 5 3 4" xfId="20391"/>
    <cellStyle name="20% - Accent1 2 5 2 5 3 4 2" xfId="54221"/>
    <cellStyle name="20% - Accent1 2 5 2 5 3 5" xfId="34006"/>
    <cellStyle name="20% - Accent1 2 5 2 5 4" xfId="13326"/>
    <cellStyle name="20% - Accent1 2 5 2 5 4 2" xfId="25127"/>
    <cellStyle name="20% - Accent1 2 5 2 5 4 2 2" xfId="45192"/>
    <cellStyle name="20% - Accent1 2 5 2 5 4 3" xfId="29821"/>
    <cellStyle name="20% - Accent1 2 5 2 5 4 3 2" xfId="45193"/>
    <cellStyle name="20% - Accent1 2 5 2 5 4 4" xfId="29822"/>
    <cellStyle name="20% - Accent1 2 5 2 5 4 4 2" xfId="54222"/>
    <cellStyle name="20% - Accent1 2 5 2 5 4 5" xfId="38742"/>
    <cellStyle name="20% - Accent1 2 5 2 5 5" xfId="13327"/>
    <cellStyle name="20% - Accent1 2 5 2 5 5 2" xfId="25128"/>
    <cellStyle name="20% - Accent1 2 5 2 5 5 2 2" xfId="54223"/>
    <cellStyle name="20% - Accent1 2 5 2 5 5 3" xfId="38743"/>
    <cellStyle name="20% - Accent1 2 5 2 5 6" xfId="6363"/>
    <cellStyle name="20% - Accent1 2 5 2 5 6 2" xfId="45194"/>
    <cellStyle name="20% - Accent1 2 5 2 5 7" xfId="18164"/>
    <cellStyle name="20% - Accent1 2 5 2 5 7 2" xfId="54224"/>
    <cellStyle name="20% - Accent1 2 5 2 5 8" xfId="31779"/>
    <cellStyle name="20% - Accent1 2 5 2 6" xfId="1355"/>
    <cellStyle name="20% - Accent1 2 5 2 6 2" xfId="3842"/>
    <cellStyle name="20% - Accent1 2 5 2 6 2 2" xfId="13328"/>
    <cellStyle name="20% - Accent1 2 5 2 6 2 2 2" xfId="25129"/>
    <cellStyle name="20% - Accent1 2 5 2 6 2 2 2 2" xfId="54225"/>
    <cellStyle name="20% - Accent1 2 5 2 6 2 2 3" xfId="38744"/>
    <cellStyle name="20% - Accent1 2 5 2 6 2 3" xfId="9295"/>
    <cellStyle name="20% - Accent1 2 5 2 6 2 3 2" xfId="45195"/>
    <cellStyle name="20% - Accent1 2 5 2 6 2 4" xfId="21096"/>
    <cellStyle name="20% - Accent1 2 5 2 6 2 4 2" xfId="54226"/>
    <cellStyle name="20% - Accent1 2 5 2 6 2 5" xfId="34711"/>
    <cellStyle name="20% - Accent1 2 5 2 6 3" xfId="13329"/>
    <cellStyle name="20% - Accent1 2 5 2 6 3 2" xfId="25130"/>
    <cellStyle name="20% - Accent1 2 5 2 6 3 2 2" xfId="45196"/>
    <cellStyle name="20% - Accent1 2 5 2 6 3 3" xfId="29823"/>
    <cellStyle name="20% - Accent1 2 5 2 6 3 3 2" xfId="45197"/>
    <cellStyle name="20% - Accent1 2 5 2 6 3 4" xfId="29824"/>
    <cellStyle name="20% - Accent1 2 5 2 6 3 4 2" xfId="54227"/>
    <cellStyle name="20% - Accent1 2 5 2 6 3 5" xfId="38745"/>
    <cellStyle name="20% - Accent1 2 5 2 6 4" xfId="13330"/>
    <cellStyle name="20% - Accent1 2 5 2 6 4 2" xfId="25131"/>
    <cellStyle name="20% - Accent1 2 5 2 6 4 2 2" xfId="54228"/>
    <cellStyle name="20% - Accent1 2 5 2 6 4 3" xfId="38746"/>
    <cellStyle name="20% - Accent1 2 5 2 6 5" xfId="6809"/>
    <cellStyle name="20% - Accent1 2 5 2 6 5 2" xfId="45198"/>
    <cellStyle name="20% - Accent1 2 5 2 6 6" xfId="18610"/>
    <cellStyle name="20% - Accent1 2 5 2 6 6 2" xfId="54229"/>
    <cellStyle name="20% - Accent1 2 5 2 6 7" xfId="32225"/>
    <cellStyle name="20% - Accent1 2 5 2 7" xfId="3705"/>
    <cellStyle name="20% - Accent1 2 5 2 7 2" xfId="13331"/>
    <cellStyle name="20% - Accent1 2 5 2 7 2 2" xfId="25132"/>
    <cellStyle name="20% - Accent1 2 5 2 7 2 2 2" xfId="54230"/>
    <cellStyle name="20% - Accent1 2 5 2 7 2 3" xfId="38747"/>
    <cellStyle name="20% - Accent1 2 5 2 7 3" xfId="9158"/>
    <cellStyle name="20% - Accent1 2 5 2 7 3 2" xfId="45199"/>
    <cellStyle name="20% - Accent1 2 5 2 7 4" xfId="20959"/>
    <cellStyle name="20% - Accent1 2 5 2 7 4 2" xfId="54231"/>
    <cellStyle name="20% - Accent1 2 5 2 7 5" xfId="34574"/>
    <cellStyle name="20% - Accent1 2 5 2 8" xfId="2001"/>
    <cellStyle name="20% - Accent1 2 5 2 8 2" xfId="13332"/>
    <cellStyle name="20% - Accent1 2 5 2 8 2 2" xfId="25133"/>
    <cellStyle name="20% - Accent1 2 5 2 8 2 2 2" xfId="54232"/>
    <cellStyle name="20% - Accent1 2 5 2 8 2 3" xfId="38748"/>
    <cellStyle name="20% - Accent1 2 5 2 8 3" xfId="7454"/>
    <cellStyle name="20% - Accent1 2 5 2 8 3 2" xfId="45200"/>
    <cellStyle name="20% - Accent1 2 5 2 8 4" xfId="19255"/>
    <cellStyle name="20% - Accent1 2 5 2 8 4 2" xfId="54233"/>
    <cellStyle name="20% - Accent1 2 5 2 8 5" xfId="32870"/>
    <cellStyle name="20% - Accent1 2 5 2 9" xfId="13333"/>
    <cellStyle name="20% - Accent1 2 5 2 9 2" xfId="25134"/>
    <cellStyle name="20% - Accent1 2 5 2 9 2 2" xfId="54234"/>
    <cellStyle name="20% - Accent1 2 5 2 9 3" xfId="38749"/>
    <cellStyle name="20% - Accent1 2 5 3" xfId="156"/>
    <cellStyle name="20% - Accent1 2 5 3 10" xfId="31026"/>
    <cellStyle name="20% - Accent1 2 5 3 2" xfId="323"/>
    <cellStyle name="20% - Accent1 2 5 3 2 2" xfId="1356"/>
    <cellStyle name="20% - Accent1 2 5 3 2 2 2" xfId="4633"/>
    <cellStyle name="20% - Accent1 2 5 3 2 2 2 2" xfId="13334"/>
    <cellStyle name="20% - Accent1 2 5 3 2 2 2 2 2" xfId="25135"/>
    <cellStyle name="20% - Accent1 2 5 3 2 2 2 2 2 2" xfId="54235"/>
    <cellStyle name="20% - Accent1 2 5 3 2 2 2 2 3" xfId="38750"/>
    <cellStyle name="20% - Accent1 2 5 3 2 2 2 3" xfId="10086"/>
    <cellStyle name="20% - Accent1 2 5 3 2 2 2 3 2" xfId="45201"/>
    <cellStyle name="20% - Accent1 2 5 3 2 2 2 4" xfId="21887"/>
    <cellStyle name="20% - Accent1 2 5 3 2 2 2 4 2" xfId="54236"/>
    <cellStyle name="20% - Accent1 2 5 3 2 2 2 5" xfId="35502"/>
    <cellStyle name="20% - Accent1 2 5 3 2 2 3" xfId="2792"/>
    <cellStyle name="20% - Accent1 2 5 3 2 2 3 2" xfId="13335"/>
    <cellStyle name="20% - Accent1 2 5 3 2 2 3 2 2" xfId="25136"/>
    <cellStyle name="20% - Accent1 2 5 3 2 2 3 2 2 2" xfId="54237"/>
    <cellStyle name="20% - Accent1 2 5 3 2 2 3 2 3" xfId="38751"/>
    <cellStyle name="20% - Accent1 2 5 3 2 2 3 3" xfId="8245"/>
    <cellStyle name="20% - Accent1 2 5 3 2 2 3 3 2" xfId="45202"/>
    <cellStyle name="20% - Accent1 2 5 3 2 2 3 4" xfId="20046"/>
    <cellStyle name="20% - Accent1 2 5 3 2 2 3 4 2" xfId="54238"/>
    <cellStyle name="20% - Accent1 2 5 3 2 2 3 5" xfId="33661"/>
    <cellStyle name="20% - Accent1 2 5 3 2 2 4" xfId="13336"/>
    <cellStyle name="20% - Accent1 2 5 3 2 2 4 2" xfId="25137"/>
    <cellStyle name="20% - Accent1 2 5 3 2 2 4 2 2" xfId="54239"/>
    <cellStyle name="20% - Accent1 2 5 3 2 2 4 3" xfId="38752"/>
    <cellStyle name="20% - Accent1 2 5 3 2 2 5" xfId="6810"/>
    <cellStyle name="20% - Accent1 2 5 3 2 2 5 2" xfId="45203"/>
    <cellStyle name="20% - Accent1 2 5 3 2 2 6" xfId="18611"/>
    <cellStyle name="20% - Accent1 2 5 3 2 2 6 2" xfId="54240"/>
    <cellStyle name="20% - Accent1 2 5 3 2 2 7" xfId="32226"/>
    <cellStyle name="20% - Accent1 2 5 3 2 3" xfId="3360"/>
    <cellStyle name="20% - Accent1 2 5 3 2 3 2" xfId="5201"/>
    <cellStyle name="20% - Accent1 2 5 3 2 3 2 2" xfId="16671"/>
    <cellStyle name="20% - Accent1 2 5 3 2 3 2 2 2" xfId="28472"/>
    <cellStyle name="20% - Accent1 2 5 3 2 3 2 2 2 2" xfId="54241"/>
    <cellStyle name="20% - Accent1 2 5 3 2 3 2 2 3" xfId="42087"/>
    <cellStyle name="20% - Accent1 2 5 3 2 3 2 3" xfId="10654"/>
    <cellStyle name="20% - Accent1 2 5 3 2 3 2 3 2" xfId="54242"/>
    <cellStyle name="20% - Accent1 2 5 3 2 3 2 4" xfId="22455"/>
    <cellStyle name="20% - Accent1 2 5 3 2 3 2 4 2" xfId="54243"/>
    <cellStyle name="20% - Accent1 2 5 3 2 3 2 5" xfId="36070"/>
    <cellStyle name="20% - Accent1 2 5 3 2 3 3" xfId="13337"/>
    <cellStyle name="20% - Accent1 2 5 3 2 3 3 2" xfId="25138"/>
    <cellStyle name="20% - Accent1 2 5 3 2 3 3 2 2" xfId="54244"/>
    <cellStyle name="20% - Accent1 2 5 3 2 3 3 3" xfId="38753"/>
    <cellStyle name="20% - Accent1 2 5 3 2 3 4" xfId="8813"/>
    <cellStyle name="20% - Accent1 2 5 3 2 3 4 2" xfId="54245"/>
    <cellStyle name="20% - Accent1 2 5 3 2 3 5" xfId="20614"/>
    <cellStyle name="20% - Accent1 2 5 3 2 3 5 2" xfId="54246"/>
    <cellStyle name="20% - Accent1 2 5 3 2 3 6" xfId="34229"/>
    <cellStyle name="20% - Accent1 2 5 3 2 4" xfId="4065"/>
    <cellStyle name="20% - Accent1 2 5 3 2 4 2" xfId="13338"/>
    <cellStyle name="20% - Accent1 2 5 3 2 4 2 2" xfId="25139"/>
    <cellStyle name="20% - Accent1 2 5 3 2 4 2 2 2" xfId="54247"/>
    <cellStyle name="20% - Accent1 2 5 3 2 4 2 3" xfId="38754"/>
    <cellStyle name="20% - Accent1 2 5 3 2 4 3" xfId="9518"/>
    <cellStyle name="20% - Accent1 2 5 3 2 4 3 2" xfId="45204"/>
    <cellStyle name="20% - Accent1 2 5 3 2 4 4" xfId="21319"/>
    <cellStyle name="20% - Accent1 2 5 3 2 4 4 2" xfId="54248"/>
    <cellStyle name="20% - Accent1 2 5 3 2 4 5" xfId="34934"/>
    <cellStyle name="20% - Accent1 2 5 3 2 5" xfId="2224"/>
    <cellStyle name="20% - Accent1 2 5 3 2 5 2" xfId="17066"/>
    <cellStyle name="20% - Accent1 2 5 3 2 5 2 2" xfId="28867"/>
    <cellStyle name="20% - Accent1 2 5 3 2 5 2 2 2" xfId="54249"/>
    <cellStyle name="20% - Accent1 2 5 3 2 5 2 3" xfId="42482"/>
    <cellStyle name="20% - Accent1 2 5 3 2 5 3" xfId="7677"/>
    <cellStyle name="20% - Accent1 2 5 3 2 5 3 2" xfId="54250"/>
    <cellStyle name="20% - Accent1 2 5 3 2 5 4" xfId="19478"/>
    <cellStyle name="20% - Accent1 2 5 3 2 5 4 2" xfId="54251"/>
    <cellStyle name="20% - Accent1 2 5 3 2 5 5" xfId="33093"/>
    <cellStyle name="20% - Accent1 2 5 3 2 6" xfId="13339"/>
    <cellStyle name="20% - Accent1 2 5 3 2 6 2" xfId="25140"/>
    <cellStyle name="20% - Accent1 2 5 3 2 6 2 2" xfId="54252"/>
    <cellStyle name="20% - Accent1 2 5 3 2 6 3" xfId="38755"/>
    <cellStyle name="20% - Accent1 2 5 3 2 7" xfId="5777"/>
    <cellStyle name="20% - Accent1 2 5 3 2 7 2" xfId="54253"/>
    <cellStyle name="20% - Accent1 2 5 3 2 8" xfId="17578"/>
    <cellStyle name="20% - Accent1 2 5 3 2 8 2" xfId="54254"/>
    <cellStyle name="20% - Accent1 2 5 3 2 9" xfId="31193"/>
    <cellStyle name="20% - Accent1 2 5 3 3" xfId="724"/>
    <cellStyle name="20% - Accent1 2 5 3 3 2" xfId="1357"/>
    <cellStyle name="20% - Accent1 2 5 3 3 2 2" xfId="4466"/>
    <cellStyle name="20% - Accent1 2 5 3 3 2 2 2" xfId="13340"/>
    <cellStyle name="20% - Accent1 2 5 3 3 2 2 2 2" xfId="25141"/>
    <cellStyle name="20% - Accent1 2 5 3 3 2 2 2 2 2" xfId="54255"/>
    <cellStyle name="20% - Accent1 2 5 3 3 2 2 2 3" xfId="38756"/>
    <cellStyle name="20% - Accent1 2 5 3 3 2 2 3" xfId="9919"/>
    <cellStyle name="20% - Accent1 2 5 3 3 2 2 3 2" xfId="45205"/>
    <cellStyle name="20% - Accent1 2 5 3 3 2 2 4" xfId="21720"/>
    <cellStyle name="20% - Accent1 2 5 3 3 2 2 4 2" xfId="54256"/>
    <cellStyle name="20% - Accent1 2 5 3 3 2 2 5" xfId="35335"/>
    <cellStyle name="20% - Accent1 2 5 3 3 2 3" xfId="13341"/>
    <cellStyle name="20% - Accent1 2 5 3 3 2 3 2" xfId="25142"/>
    <cellStyle name="20% - Accent1 2 5 3 3 2 3 2 2" xfId="45206"/>
    <cellStyle name="20% - Accent1 2 5 3 3 2 3 3" xfId="29825"/>
    <cellStyle name="20% - Accent1 2 5 3 3 2 3 3 2" xfId="45207"/>
    <cellStyle name="20% - Accent1 2 5 3 3 2 3 4" xfId="29826"/>
    <cellStyle name="20% - Accent1 2 5 3 3 2 3 4 2" xfId="54257"/>
    <cellStyle name="20% - Accent1 2 5 3 3 2 3 5" xfId="38757"/>
    <cellStyle name="20% - Accent1 2 5 3 3 2 4" xfId="13342"/>
    <cellStyle name="20% - Accent1 2 5 3 3 2 4 2" xfId="25143"/>
    <cellStyle name="20% - Accent1 2 5 3 3 2 4 2 2" xfId="54258"/>
    <cellStyle name="20% - Accent1 2 5 3 3 2 4 3" xfId="38758"/>
    <cellStyle name="20% - Accent1 2 5 3 3 2 5" xfId="6811"/>
    <cellStyle name="20% - Accent1 2 5 3 3 2 5 2" xfId="45208"/>
    <cellStyle name="20% - Accent1 2 5 3 3 2 6" xfId="18612"/>
    <cellStyle name="20% - Accent1 2 5 3 3 2 6 2" xfId="54259"/>
    <cellStyle name="20% - Accent1 2 5 3 3 2 7" xfId="32227"/>
    <cellStyle name="20% - Accent1 2 5 3 3 3" xfId="2625"/>
    <cellStyle name="20% - Accent1 2 5 3 3 3 2" xfId="13343"/>
    <cellStyle name="20% - Accent1 2 5 3 3 3 2 2" xfId="25144"/>
    <cellStyle name="20% - Accent1 2 5 3 3 3 2 2 2" xfId="54260"/>
    <cellStyle name="20% - Accent1 2 5 3 3 3 2 3" xfId="38759"/>
    <cellStyle name="20% - Accent1 2 5 3 3 3 3" xfId="8078"/>
    <cellStyle name="20% - Accent1 2 5 3 3 3 3 2" xfId="45209"/>
    <cellStyle name="20% - Accent1 2 5 3 3 3 4" xfId="19879"/>
    <cellStyle name="20% - Accent1 2 5 3 3 3 4 2" xfId="54261"/>
    <cellStyle name="20% - Accent1 2 5 3 3 3 5" xfId="33494"/>
    <cellStyle name="20% - Accent1 2 5 3 3 4" xfId="13344"/>
    <cellStyle name="20% - Accent1 2 5 3 3 4 2" xfId="25145"/>
    <cellStyle name="20% - Accent1 2 5 3 3 4 2 2" xfId="45210"/>
    <cellStyle name="20% - Accent1 2 5 3 3 4 3" xfId="29827"/>
    <cellStyle name="20% - Accent1 2 5 3 3 4 3 2" xfId="45211"/>
    <cellStyle name="20% - Accent1 2 5 3 3 4 4" xfId="29828"/>
    <cellStyle name="20% - Accent1 2 5 3 3 4 4 2" xfId="54262"/>
    <cellStyle name="20% - Accent1 2 5 3 3 4 5" xfId="38760"/>
    <cellStyle name="20% - Accent1 2 5 3 3 5" xfId="13345"/>
    <cellStyle name="20% - Accent1 2 5 3 3 5 2" xfId="25146"/>
    <cellStyle name="20% - Accent1 2 5 3 3 5 2 2" xfId="54263"/>
    <cellStyle name="20% - Accent1 2 5 3 3 5 3" xfId="38761"/>
    <cellStyle name="20% - Accent1 2 5 3 3 6" xfId="6178"/>
    <cellStyle name="20% - Accent1 2 5 3 3 6 2" xfId="45212"/>
    <cellStyle name="20% - Accent1 2 5 3 3 7" xfId="17979"/>
    <cellStyle name="20% - Accent1 2 5 3 3 7 2" xfId="54264"/>
    <cellStyle name="20% - Accent1 2 5 3 3 8" xfId="31594"/>
    <cellStyle name="20% - Accent1 2 5 3 4" xfId="1358"/>
    <cellStyle name="20% - Accent1 2 5 3 4 2" xfId="5034"/>
    <cellStyle name="20% - Accent1 2 5 3 4 2 2" xfId="13346"/>
    <cellStyle name="20% - Accent1 2 5 3 4 2 2 2" xfId="25147"/>
    <cellStyle name="20% - Accent1 2 5 3 4 2 2 2 2" xfId="54265"/>
    <cellStyle name="20% - Accent1 2 5 3 4 2 2 3" xfId="38762"/>
    <cellStyle name="20% - Accent1 2 5 3 4 2 3" xfId="10487"/>
    <cellStyle name="20% - Accent1 2 5 3 4 2 3 2" xfId="45213"/>
    <cellStyle name="20% - Accent1 2 5 3 4 2 4" xfId="22288"/>
    <cellStyle name="20% - Accent1 2 5 3 4 2 4 2" xfId="54266"/>
    <cellStyle name="20% - Accent1 2 5 3 4 2 5" xfId="35903"/>
    <cellStyle name="20% - Accent1 2 5 3 4 3" xfId="3193"/>
    <cellStyle name="20% - Accent1 2 5 3 4 3 2" xfId="13347"/>
    <cellStyle name="20% - Accent1 2 5 3 4 3 2 2" xfId="25148"/>
    <cellStyle name="20% - Accent1 2 5 3 4 3 2 2 2" xfId="54267"/>
    <cellStyle name="20% - Accent1 2 5 3 4 3 2 3" xfId="38763"/>
    <cellStyle name="20% - Accent1 2 5 3 4 3 3" xfId="8646"/>
    <cellStyle name="20% - Accent1 2 5 3 4 3 3 2" xfId="45214"/>
    <cellStyle name="20% - Accent1 2 5 3 4 3 4" xfId="20447"/>
    <cellStyle name="20% - Accent1 2 5 3 4 3 4 2" xfId="54268"/>
    <cellStyle name="20% - Accent1 2 5 3 4 3 5" xfId="34062"/>
    <cellStyle name="20% - Accent1 2 5 3 4 4" xfId="13348"/>
    <cellStyle name="20% - Accent1 2 5 3 4 4 2" xfId="25149"/>
    <cellStyle name="20% - Accent1 2 5 3 4 4 2 2" xfId="54269"/>
    <cellStyle name="20% - Accent1 2 5 3 4 4 3" xfId="38764"/>
    <cellStyle name="20% - Accent1 2 5 3 4 5" xfId="6812"/>
    <cellStyle name="20% - Accent1 2 5 3 4 5 2" xfId="45215"/>
    <cellStyle name="20% - Accent1 2 5 3 4 6" xfId="18613"/>
    <cellStyle name="20% - Accent1 2 5 3 4 6 2" xfId="54270"/>
    <cellStyle name="20% - Accent1 2 5 3 4 7" xfId="32228"/>
    <cellStyle name="20% - Accent1 2 5 3 5" xfId="3898"/>
    <cellStyle name="20% - Accent1 2 5 3 5 2" xfId="13349"/>
    <cellStyle name="20% - Accent1 2 5 3 5 2 2" xfId="25150"/>
    <cellStyle name="20% - Accent1 2 5 3 5 2 2 2" xfId="54271"/>
    <cellStyle name="20% - Accent1 2 5 3 5 2 3" xfId="38765"/>
    <cellStyle name="20% - Accent1 2 5 3 5 3" xfId="9351"/>
    <cellStyle name="20% - Accent1 2 5 3 5 3 2" xfId="45216"/>
    <cellStyle name="20% - Accent1 2 5 3 5 4" xfId="21152"/>
    <cellStyle name="20% - Accent1 2 5 3 5 4 2" xfId="54272"/>
    <cellStyle name="20% - Accent1 2 5 3 5 5" xfId="34767"/>
    <cellStyle name="20% - Accent1 2 5 3 6" xfId="2057"/>
    <cellStyle name="20% - Accent1 2 5 3 6 2" xfId="13350"/>
    <cellStyle name="20% - Accent1 2 5 3 6 2 2" xfId="25151"/>
    <cellStyle name="20% - Accent1 2 5 3 6 2 2 2" xfId="54273"/>
    <cellStyle name="20% - Accent1 2 5 3 6 2 3" xfId="38766"/>
    <cellStyle name="20% - Accent1 2 5 3 6 3" xfId="7510"/>
    <cellStyle name="20% - Accent1 2 5 3 6 3 2" xfId="45217"/>
    <cellStyle name="20% - Accent1 2 5 3 6 4" xfId="19311"/>
    <cellStyle name="20% - Accent1 2 5 3 6 4 2" xfId="54274"/>
    <cellStyle name="20% - Accent1 2 5 3 6 5" xfId="32926"/>
    <cellStyle name="20% - Accent1 2 5 3 7" xfId="13351"/>
    <cellStyle name="20% - Accent1 2 5 3 7 2" xfId="25152"/>
    <cellStyle name="20% - Accent1 2 5 3 7 2 2" xfId="54275"/>
    <cellStyle name="20% - Accent1 2 5 3 7 3" xfId="38767"/>
    <cellStyle name="20% - Accent1 2 5 3 8" xfId="5610"/>
    <cellStyle name="20% - Accent1 2 5 3 8 2" xfId="30860"/>
    <cellStyle name="20% - Accent1 2 5 3 8 3" xfId="42673"/>
    <cellStyle name="20% - Accent1 2 5 3 9" xfId="17411"/>
    <cellStyle name="20% - Accent1 2 5 3 9 2" xfId="54276"/>
    <cellStyle name="20% - Accent1 2 5 4" xfId="460"/>
    <cellStyle name="20% - Accent1 2 5 4 2" xfId="1359"/>
    <cellStyle name="20% - Accent1 2 5 4 2 2" xfId="4770"/>
    <cellStyle name="20% - Accent1 2 5 4 2 2 2" xfId="13352"/>
    <cellStyle name="20% - Accent1 2 5 4 2 2 2 2" xfId="25153"/>
    <cellStyle name="20% - Accent1 2 5 4 2 2 2 2 2" xfId="54277"/>
    <cellStyle name="20% - Accent1 2 5 4 2 2 2 3" xfId="38768"/>
    <cellStyle name="20% - Accent1 2 5 4 2 2 3" xfId="10223"/>
    <cellStyle name="20% - Accent1 2 5 4 2 2 3 2" xfId="45218"/>
    <cellStyle name="20% - Accent1 2 5 4 2 2 4" xfId="22024"/>
    <cellStyle name="20% - Accent1 2 5 4 2 2 4 2" xfId="54278"/>
    <cellStyle name="20% - Accent1 2 5 4 2 2 5" xfId="35639"/>
    <cellStyle name="20% - Accent1 2 5 4 2 3" xfId="2929"/>
    <cellStyle name="20% - Accent1 2 5 4 2 3 2" xfId="13353"/>
    <cellStyle name="20% - Accent1 2 5 4 2 3 2 2" xfId="25154"/>
    <cellStyle name="20% - Accent1 2 5 4 2 3 2 2 2" xfId="54279"/>
    <cellStyle name="20% - Accent1 2 5 4 2 3 2 3" xfId="38769"/>
    <cellStyle name="20% - Accent1 2 5 4 2 3 3" xfId="8382"/>
    <cellStyle name="20% - Accent1 2 5 4 2 3 3 2" xfId="45219"/>
    <cellStyle name="20% - Accent1 2 5 4 2 3 4" xfId="20183"/>
    <cellStyle name="20% - Accent1 2 5 4 2 3 4 2" xfId="54280"/>
    <cellStyle name="20% - Accent1 2 5 4 2 3 5" xfId="33798"/>
    <cellStyle name="20% - Accent1 2 5 4 2 4" xfId="13354"/>
    <cellStyle name="20% - Accent1 2 5 4 2 4 2" xfId="25155"/>
    <cellStyle name="20% - Accent1 2 5 4 2 4 2 2" xfId="54281"/>
    <cellStyle name="20% - Accent1 2 5 4 2 4 3" xfId="38770"/>
    <cellStyle name="20% - Accent1 2 5 4 2 5" xfId="6813"/>
    <cellStyle name="20% - Accent1 2 5 4 2 5 2" xfId="45220"/>
    <cellStyle name="20% - Accent1 2 5 4 2 6" xfId="18614"/>
    <cellStyle name="20% - Accent1 2 5 4 2 6 2" xfId="54282"/>
    <cellStyle name="20% - Accent1 2 5 4 2 7" xfId="32229"/>
    <cellStyle name="20% - Accent1 2 5 4 3" xfId="3497"/>
    <cellStyle name="20% - Accent1 2 5 4 3 2" xfId="5338"/>
    <cellStyle name="20% - Accent1 2 5 4 3 2 2" xfId="16808"/>
    <cellStyle name="20% - Accent1 2 5 4 3 2 2 2" xfId="28609"/>
    <cellStyle name="20% - Accent1 2 5 4 3 2 2 2 2" xfId="54283"/>
    <cellStyle name="20% - Accent1 2 5 4 3 2 2 3" xfId="42224"/>
    <cellStyle name="20% - Accent1 2 5 4 3 2 3" xfId="10791"/>
    <cellStyle name="20% - Accent1 2 5 4 3 2 3 2" xfId="54284"/>
    <cellStyle name="20% - Accent1 2 5 4 3 2 4" xfId="22592"/>
    <cellStyle name="20% - Accent1 2 5 4 3 2 4 2" xfId="54285"/>
    <cellStyle name="20% - Accent1 2 5 4 3 2 5" xfId="36207"/>
    <cellStyle name="20% - Accent1 2 5 4 3 3" xfId="13355"/>
    <cellStyle name="20% - Accent1 2 5 4 3 3 2" xfId="25156"/>
    <cellStyle name="20% - Accent1 2 5 4 3 3 2 2" xfId="54286"/>
    <cellStyle name="20% - Accent1 2 5 4 3 3 3" xfId="38771"/>
    <cellStyle name="20% - Accent1 2 5 4 3 4" xfId="8950"/>
    <cellStyle name="20% - Accent1 2 5 4 3 4 2" xfId="54287"/>
    <cellStyle name="20% - Accent1 2 5 4 3 5" xfId="20751"/>
    <cellStyle name="20% - Accent1 2 5 4 3 5 2" xfId="54288"/>
    <cellStyle name="20% - Accent1 2 5 4 3 6" xfId="34366"/>
    <cellStyle name="20% - Accent1 2 5 4 4" xfId="4202"/>
    <cellStyle name="20% - Accent1 2 5 4 4 2" xfId="13356"/>
    <cellStyle name="20% - Accent1 2 5 4 4 2 2" xfId="25157"/>
    <cellStyle name="20% - Accent1 2 5 4 4 2 2 2" xfId="54289"/>
    <cellStyle name="20% - Accent1 2 5 4 4 2 3" xfId="38772"/>
    <cellStyle name="20% - Accent1 2 5 4 4 3" xfId="9655"/>
    <cellStyle name="20% - Accent1 2 5 4 4 3 2" xfId="45221"/>
    <cellStyle name="20% - Accent1 2 5 4 4 4" xfId="21456"/>
    <cellStyle name="20% - Accent1 2 5 4 4 4 2" xfId="54290"/>
    <cellStyle name="20% - Accent1 2 5 4 4 5" xfId="35071"/>
    <cellStyle name="20% - Accent1 2 5 4 5" xfId="2361"/>
    <cellStyle name="20% - Accent1 2 5 4 5 2" xfId="17067"/>
    <cellStyle name="20% - Accent1 2 5 4 5 2 2" xfId="28868"/>
    <cellStyle name="20% - Accent1 2 5 4 5 2 2 2" xfId="54291"/>
    <cellStyle name="20% - Accent1 2 5 4 5 2 3" xfId="42483"/>
    <cellStyle name="20% - Accent1 2 5 4 5 3" xfId="7814"/>
    <cellStyle name="20% - Accent1 2 5 4 5 3 2" xfId="54292"/>
    <cellStyle name="20% - Accent1 2 5 4 5 4" xfId="19615"/>
    <cellStyle name="20% - Accent1 2 5 4 5 4 2" xfId="54293"/>
    <cellStyle name="20% - Accent1 2 5 4 5 5" xfId="33230"/>
    <cellStyle name="20% - Accent1 2 5 4 6" xfId="13357"/>
    <cellStyle name="20% - Accent1 2 5 4 6 2" xfId="25158"/>
    <cellStyle name="20% - Accent1 2 5 4 6 2 2" xfId="54294"/>
    <cellStyle name="20% - Accent1 2 5 4 6 3" xfId="38773"/>
    <cellStyle name="20% - Accent1 2 5 4 7" xfId="5914"/>
    <cellStyle name="20% - Accent1 2 5 4 7 2" xfId="54295"/>
    <cellStyle name="20% - Accent1 2 5 4 8" xfId="17715"/>
    <cellStyle name="20% - Accent1 2 5 4 8 2" xfId="54296"/>
    <cellStyle name="20% - Accent1 2 5 4 9" xfId="31330"/>
    <cellStyle name="20% - Accent1 2 5 5" xfId="274"/>
    <cellStyle name="20% - Accent1 2 5 5 2" xfId="1360"/>
    <cellStyle name="20% - Accent1 2 5 5 2 2" xfId="4584"/>
    <cellStyle name="20% - Accent1 2 5 5 2 2 2" xfId="13358"/>
    <cellStyle name="20% - Accent1 2 5 5 2 2 2 2" xfId="25159"/>
    <cellStyle name="20% - Accent1 2 5 5 2 2 2 2 2" xfId="54297"/>
    <cellStyle name="20% - Accent1 2 5 5 2 2 2 3" xfId="38774"/>
    <cellStyle name="20% - Accent1 2 5 5 2 2 3" xfId="10037"/>
    <cellStyle name="20% - Accent1 2 5 5 2 2 3 2" xfId="45222"/>
    <cellStyle name="20% - Accent1 2 5 5 2 2 4" xfId="21838"/>
    <cellStyle name="20% - Accent1 2 5 5 2 2 4 2" xfId="54298"/>
    <cellStyle name="20% - Accent1 2 5 5 2 2 5" xfId="35453"/>
    <cellStyle name="20% - Accent1 2 5 5 2 3" xfId="2743"/>
    <cellStyle name="20% - Accent1 2 5 5 2 3 2" xfId="13359"/>
    <cellStyle name="20% - Accent1 2 5 5 2 3 2 2" xfId="25160"/>
    <cellStyle name="20% - Accent1 2 5 5 2 3 2 2 2" xfId="54299"/>
    <cellStyle name="20% - Accent1 2 5 5 2 3 2 3" xfId="38775"/>
    <cellStyle name="20% - Accent1 2 5 5 2 3 3" xfId="8196"/>
    <cellStyle name="20% - Accent1 2 5 5 2 3 3 2" xfId="45223"/>
    <cellStyle name="20% - Accent1 2 5 5 2 3 4" xfId="19997"/>
    <cellStyle name="20% - Accent1 2 5 5 2 3 4 2" xfId="54300"/>
    <cellStyle name="20% - Accent1 2 5 5 2 3 5" xfId="33612"/>
    <cellStyle name="20% - Accent1 2 5 5 2 4" xfId="13360"/>
    <cellStyle name="20% - Accent1 2 5 5 2 4 2" xfId="25161"/>
    <cellStyle name="20% - Accent1 2 5 5 2 4 2 2" xfId="54301"/>
    <cellStyle name="20% - Accent1 2 5 5 2 4 3" xfId="38776"/>
    <cellStyle name="20% - Accent1 2 5 5 2 5" xfId="6814"/>
    <cellStyle name="20% - Accent1 2 5 5 2 5 2" xfId="45224"/>
    <cellStyle name="20% - Accent1 2 5 5 2 6" xfId="18615"/>
    <cellStyle name="20% - Accent1 2 5 5 2 6 2" xfId="54302"/>
    <cellStyle name="20% - Accent1 2 5 5 2 7" xfId="32230"/>
    <cellStyle name="20% - Accent1 2 5 5 3" xfId="3311"/>
    <cellStyle name="20% - Accent1 2 5 5 3 2" xfId="5152"/>
    <cellStyle name="20% - Accent1 2 5 5 3 2 2" xfId="16622"/>
    <cellStyle name="20% - Accent1 2 5 5 3 2 2 2" xfId="28423"/>
    <cellStyle name="20% - Accent1 2 5 5 3 2 2 2 2" xfId="54303"/>
    <cellStyle name="20% - Accent1 2 5 5 3 2 2 3" xfId="42038"/>
    <cellStyle name="20% - Accent1 2 5 5 3 2 3" xfId="10605"/>
    <cellStyle name="20% - Accent1 2 5 5 3 2 3 2" xfId="54304"/>
    <cellStyle name="20% - Accent1 2 5 5 3 2 4" xfId="22406"/>
    <cellStyle name="20% - Accent1 2 5 5 3 2 4 2" xfId="54305"/>
    <cellStyle name="20% - Accent1 2 5 5 3 2 5" xfId="36021"/>
    <cellStyle name="20% - Accent1 2 5 5 3 3" xfId="13361"/>
    <cellStyle name="20% - Accent1 2 5 5 3 3 2" xfId="25162"/>
    <cellStyle name="20% - Accent1 2 5 5 3 3 2 2" xfId="54306"/>
    <cellStyle name="20% - Accent1 2 5 5 3 3 3" xfId="38777"/>
    <cellStyle name="20% - Accent1 2 5 5 3 4" xfId="8764"/>
    <cellStyle name="20% - Accent1 2 5 5 3 4 2" xfId="54307"/>
    <cellStyle name="20% - Accent1 2 5 5 3 5" xfId="20565"/>
    <cellStyle name="20% - Accent1 2 5 5 3 5 2" xfId="54308"/>
    <cellStyle name="20% - Accent1 2 5 5 3 6" xfId="34180"/>
    <cellStyle name="20% - Accent1 2 5 5 4" xfId="4016"/>
    <cellStyle name="20% - Accent1 2 5 5 4 2" xfId="13362"/>
    <cellStyle name="20% - Accent1 2 5 5 4 2 2" xfId="25163"/>
    <cellStyle name="20% - Accent1 2 5 5 4 2 2 2" xfId="54309"/>
    <cellStyle name="20% - Accent1 2 5 5 4 2 3" xfId="38778"/>
    <cellStyle name="20% - Accent1 2 5 5 4 3" xfId="9469"/>
    <cellStyle name="20% - Accent1 2 5 5 4 3 2" xfId="45225"/>
    <cellStyle name="20% - Accent1 2 5 5 4 4" xfId="21270"/>
    <cellStyle name="20% - Accent1 2 5 5 4 4 2" xfId="54310"/>
    <cellStyle name="20% - Accent1 2 5 5 4 5" xfId="34885"/>
    <cellStyle name="20% - Accent1 2 5 5 5" xfId="2175"/>
    <cellStyle name="20% - Accent1 2 5 5 5 2" xfId="17068"/>
    <cellStyle name="20% - Accent1 2 5 5 5 2 2" xfId="28869"/>
    <cellStyle name="20% - Accent1 2 5 5 5 2 2 2" xfId="54311"/>
    <cellStyle name="20% - Accent1 2 5 5 5 2 3" xfId="42484"/>
    <cellStyle name="20% - Accent1 2 5 5 5 3" xfId="7628"/>
    <cellStyle name="20% - Accent1 2 5 5 5 3 2" xfId="54312"/>
    <cellStyle name="20% - Accent1 2 5 5 5 4" xfId="19429"/>
    <cellStyle name="20% - Accent1 2 5 5 5 4 2" xfId="54313"/>
    <cellStyle name="20% - Accent1 2 5 5 5 5" xfId="33044"/>
    <cellStyle name="20% - Accent1 2 5 5 6" xfId="13363"/>
    <cellStyle name="20% - Accent1 2 5 5 6 2" xfId="25164"/>
    <cellStyle name="20% - Accent1 2 5 5 6 2 2" xfId="54314"/>
    <cellStyle name="20% - Accent1 2 5 5 6 3" xfId="38779"/>
    <cellStyle name="20% - Accent1 2 5 5 7" xfId="5728"/>
    <cellStyle name="20% - Accent1 2 5 5 7 2" xfId="54315"/>
    <cellStyle name="20% - Accent1 2 5 5 8" xfId="17529"/>
    <cellStyle name="20% - Accent1 2 5 5 8 2" xfId="54316"/>
    <cellStyle name="20% - Accent1 2 5 5 9" xfId="31144"/>
    <cellStyle name="20% - Accent1 2 5 6" xfId="601"/>
    <cellStyle name="20% - Accent1 2 5 6 2" xfId="1361"/>
    <cellStyle name="20% - Accent1 2 5 6 2 2" xfId="4343"/>
    <cellStyle name="20% - Accent1 2 5 6 2 2 2" xfId="13364"/>
    <cellStyle name="20% - Accent1 2 5 6 2 2 2 2" xfId="25165"/>
    <cellStyle name="20% - Accent1 2 5 6 2 2 2 2 2" xfId="54317"/>
    <cellStyle name="20% - Accent1 2 5 6 2 2 2 3" xfId="38780"/>
    <cellStyle name="20% - Accent1 2 5 6 2 2 3" xfId="9796"/>
    <cellStyle name="20% - Accent1 2 5 6 2 2 3 2" xfId="45226"/>
    <cellStyle name="20% - Accent1 2 5 6 2 2 4" xfId="21597"/>
    <cellStyle name="20% - Accent1 2 5 6 2 2 4 2" xfId="54318"/>
    <cellStyle name="20% - Accent1 2 5 6 2 2 5" xfId="35212"/>
    <cellStyle name="20% - Accent1 2 5 6 2 3" xfId="13365"/>
    <cellStyle name="20% - Accent1 2 5 6 2 3 2" xfId="25166"/>
    <cellStyle name="20% - Accent1 2 5 6 2 3 2 2" xfId="45227"/>
    <cellStyle name="20% - Accent1 2 5 6 2 3 3" xfId="29829"/>
    <cellStyle name="20% - Accent1 2 5 6 2 3 3 2" xfId="45228"/>
    <cellStyle name="20% - Accent1 2 5 6 2 3 4" xfId="29830"/>
    <cellStyle name="20% - Accent1 2 5 6 2 3 4 2" xfId="54319"/>
    <cellStyle name="20% - Accent1 2 5 6 2 3 5" xfId="38781"/>
    <cellStyle name="20% - Accent1 2 5 6 2 4" xfId="13366"/>
    <cellStyle name="20% - Accent1 2 5 6 2 4 2" xfId="25167"/>
    <cellStyle name="20% - Accent1 2 5 6 2 4 2 2" xfId="54320"/>
    <cellStyle name="20% - Accent1 2 5 6 2 4 3" xfId="38782"/>
    <cellStyle name="20% - Accent1 2 5 6 2 5" xfId="6815"/>
    <cellStyle name="20% - Accent1 2 5 6 2 5 2" xfId="45229"/>
    <cellStyle name="20% - Accent1 2 5 6 2 6" xfId="18616"/>
    <cellStyle name="20% - Accent1 2 5 6 2 6 2" xfId="54321"/>
    <cellStyle name="20% - Accent1 2 5 6 2 7" xfId="32231"/>
    <cellStyle name="20% - Accent1 2 5 6 3" xfId="2502"/>
    <cellStyle name="20% - Accent1 2 5 6 3 2" xfId="13367"/>
    <cellStyle name="20% - Accent1 2 5 6 3 2 2" xfId="25168"/>
    <cellStyle name="20% - Accent1 2 5 6 3 2 2 2" xfId="54322"/>
    <cellStyle name="20% - Accent1 2 5 6 3 2 3" xfId="38783"/>
    <cellStyle name="20% - Accent1 2 5 6 3 3" xfId="7955"/>
    <cellStyle name="20% - Accent1 2 5 6 3 3 2" xfId="45230"/>
    <cellStyle name="20% - Accent1 2 5 6 3 4" xfId="19756"/>
    <cellStyle name="20% - Accent1 2 5 6 3 4 2" xfId="54323"/>
    <cellStyle name="20% - Accent1 2 5 6 3 5" xfId="33371"/>
    <cellStyle name="20% - Accent1 2 5 6 4" xfId="13368"/>
    <cellStyle name="20% - Accent1 2 5 6 4 2" xfId="25169"/>
    <cellStyle name="20% - Accent1 2 5 6 4 2 2" xfId="45231"/>
    <cellStyle name="20% - Accent1 2 5 6 4 3" xfId="29831"/>
    <cellStyle name="20% - Accent1 2 5 6 4 3 2" xfId="45232"/>
    <cellStyle name="20% - Accent1 2 5 6 4 4" xfId="29832"/>
    <cellStyle name="20% - Accent1 2 5 6 4 4 2" xfId="54324"/>
    <cellStyle name="20% - Accent1 2 5 6 4 5" xfId="38784"/>
    <cellStyle name="20% - Accent1 2 5 6 5" xfId="13369"/>
    <cellStyle name="20% - Accent1 2 5 6 5 2" xfId="25170"/>
    <cellStyle name="20% - Accent1 2 5 6 5 2 2" xfId="54325"/>
    <cellStyle name="20% - Accent1 2 5 6 5 3" xfId="38785"/>
    <cellStyle name="20% - Accent1 2 5 6 6" xfId="6055"/>
    <cellStyle name="20% - Accent1 2 5 6 6 2" xfId="45233"/>
    <cellStyle name="20% - Accent1 2 5 6 7" xfId="17856"/>
    <cellStyle name="20% - Accent1 2 5 6 7 2" xfId="54326"/>
    <cellStyle name="20% - Accent1 2 5 6 8" xfId="31471"/>
    <cellStyle name="20% - Accent1 2 5 7" xfId="842"/>
    <cellStyle name="20% - Accent1 2 5 7 2" xfId="1362"/>
    <cellStyle name="20% - Accent1 2 5 7 2 2" xfId="4911"/>
    <cellStyle name="20% - Accent1 2 5 7 2 2 2" xfId="13370"/>
    <cellStyle name="20% - Accent1 2 5 7 2 2 2 2" xfId="25171"/>
    <cellStyle name="20% - Accent1 2 5 7 2 2 2 2 2" xfId="54327"/>
    <cellStyle name="20% - Accent1 2 5 7 2 2 2 3" xfId="38786"/>
    <cellStyle name="20% - Accent1 2 5 7 2 2 3" xfId="10364"/>
    <cellStyle name="20% - Accent1 2 5 7 2 2 3 2" xfId="45234"/>
    <cellStyle name="20% - Accent1 2 5 7 2 2 4" xfId="22165"/>
    <cellStyle name="20% - Accent1 2 5 7 2 2 4 2" xfId="54328"/>
    <cellStyle name="20% - Accent1 2 5 7 2 2 5" xfId="35780"/>
    <cellStyle name="20% - Accent1 2 5 7 2 3" xfId="13371"/>
    <cellStyle name="20% - Accent1 2 5 7 2 3 2" xfId="25172"/>
    <cellStyle name="20% - Accent1 2 5 7 2 3 2 2" xfId="45235"/>
    <cellStyle name="20% - Accent1 2 5 7 2 3 3" xfId="29833"/>
    <cellStyle name="20% - Accent1 2 5 7 2 3 3 2" xfId="45236"/>
    <cellStyle name="20% - Accent1 2 5 7 2 3 4" xfId="29834"/>
    <cellStyle name="20% - Accent1 2 5 7 2 3 4 2" xfId="54329"/>
    <cellStyle name="20% - Accent1 2 5 7 2 3 5" xfId="38787"/>
    <cellStyle name="20% - Accent1 2 5 7 2 4" xfId="13372"/>
    <cellStyle name="20% - Accent1 2 5 7 2 4 2" xfId="25173"/>
    <cellStyle name="20% - Accent1 2 5 7 2 4 2 2" xfId="54330"/>
    <cellStyle name="20% - Accent1 2 5 7 2 4 3" xfId="38788"/>
    <cellStyle name="20% - Accent1 2 5 7 2 5" xfId="6816"/>
    <cellStyle name="20% - Accent1 2 5 7 2 5 2" xfId="45237"/>
    <cellStyle name="20% - Accent1 2 5 7 2 6" xfId="18617"/>
    <cellStyle name="20% - Accent1 2 5 7 2 6 2" xfId="54331"/>
    <cellStyle name="20% - Accent1 2 5 7 2 7" xfId="32232"/>
    <cellStyle name="20% - Accent1 2 5 7 3" xfId="3070"/>
    <cellStyle name="20% - Accent1 2 5 7 3 2" xfId="13373"/>
    <cellStyle name="20% - Accent1 2 5 7 3 2 2" xfId="25174"/>
    <cellStyle name="20% - Accent1 2 5 7 3 2 2 2" xfId="54332"/>
    <cellStyle name="20% - Accent1 2 5 7 3 2 3" xfId="38789"/>
    <cellStyle name="20% - Accent1 2 5 7 3 3" xfId="8523"/>
    <cellStyle name="20% - Accent1 2 5 7 3 3 2" xfId="45238"/>
    <cellStyle name="20% - Accent1 2 5 7 3 4" xfId="20324"/>
    <cellStyle name="20% - Accent1 2 5 7 3 4 2" xfId="54333"/>
    <cellStyle name="20% - Accent1 2 5 7 3 5" xfId="33939"/>
    <cellStyle name="20% - Accent1 2 5 7 4" xfId="13374"/>
    <cellStyle name="20% - Accent1 2 5 7 4 2" xfId="25175"/>
    <cellStyle name="20% - Accent1 2 5 7 4 2 2" xfId="45239"/>
    <cellStyle name="20% - Accent1 2 5 7 4 3" xfId="29835"/>
    <cellStyle name="20% - Accent1 2 5 7 4 3 2" xfId="45240"/>
    <cellStyle name="20% - Accent1 2 5 7 4 4" xfId="29836"/>
    <cellStyle name="20% - Accent1 2 5 7 4 4 2" xfId="54334"/>
    <cellStyle name="20% - Accent1 2 5 7 4 5" xfId="38790"/>
    <cellStyle name="20% - Accent1 2 5 7 5" xfId="13375"/>
    <cellStyle name="20% - Accent1 2 5 7 5 2" xfId="25176"/>
    <cellStyle name="20% - Accent1 2 5 7 5 2 2" xfId="54335"/>
    <cellStyle name="20% - Accent1 2 5 7 5 3" xfId="38791"/>
    <cellStyle name="20% - Accent1 2 5 7 6" xfId="6296"/>
    <cellStyle name="20% - Accent1 2 5 7 6 2" xfId="45241"/>
    <cellStyle name="20% - Accent1 2 5 7 7" xfId="18097"/>
    <cellStyle name="20% - Accent1 2 5 7 7 2" xfId="54336"/>
    <cellStyle name="20% - Accent1 2 5 7 8" xfId="31712"/>
    <cellStyle name="20% - Accent1 2 5 8" xfId="1363"/>
    <cellStyle name="20% - Accent1 2 5 8 2" xfId="3775"/>
    <cellStyle name="20% - Accent1 2 5 8 2 2" xfId="13376"/>
    <cellStyle name="20% - Accent1 2 5 8 2 2 2" xfId="25177"/>
    <cellStyle name="20% - Accent1 2 5 8 2 2 2 2" xfId="54337"/>
    <cellStyle name="20% - Accent1 2 5 8 2 2 3" xfId="38792"/>
    <cellStyle name="20% - Accent1 2 5 8 2 3" xfId="9228"/>
    <cellStyle name="20% - Accent1 2 5 8 2 3 2" xfId="45242"/>
    <cellStyle name="20% - Accent1 2 5 8 2 4" xfId="21029"/>
    <cellStyle name="20% - Accent1 2 5 8 2 4 2" xfId="54338"/>
    <cellStyle name="20% - Accent1 2 5 8 2 5" xfId="34644"/>
    <cellStyle name="20% - Accent1 2 5 8 3" xfId="13377"/>
    <cellStyle name="20% - Accent1 2 5 8 3 2" xfId="25178"/>
    <cellStyle name="20% - Accent1 2 5 8 3 2 2" xfId="45243"/>
    <cellStyle name="20% - Accent1 2 5 8 3 3" xfId="29837"/>
    <cellStyle name="20% - Accent1 2 5 8 3 3 2" xfId="45244"/>
    <cellStyle name="20% - Accent1 2 5 8 3 4" xfId="29838"/>
    <cellStyle name="20% - Accent1 2 5 8 3 4 2" xfId="54339"/>
    <cellStyle name="20% - Accent1 2 5 8 3 5" xfId="38793"/>
    <cellStyle name="20% - Accent1 2 5 8 4" xfId="13378"/>
    <cellStyle name="20% - Accent1 2 5 8 4 2" xfId="25179"/>
    <cellStyle name="20% - Accent1 2 5 8 4 2 2" xfId="54340"/>
    <cellStyle name="20% - Accent1 2 5 8 4 3" xfId="38794"/>
    <cellStyle name="20% - Accent1 2 5 8 5" xfId="6817"/>
    <cellStyle name="20% - Accent1 2 5 8 5 2" xfId="45245"/>
    <cellStyle name="20% - Accent1 2 5 8 6" xfId="18618"/>
    <cellStyle name="20% - Accent1 2 5 8 6 2" xfId="54341"/>
    <cellStyle name="20% - Accent1 2 5 8 7" xfId="32233"/>
    <cellStyle name="20% - Accent1 2 5 9" xfId="3638"/>
    <cellStyle name="20% - Accent1 2 5 9 2" xfId="13379"/>
    <cellStyle name="20% - Accent1 2 5 9 2 2" xfId="25180"/>
    <cellStyle name="20% - Accent1 2 5 9 2 2 2" xfId="54342"/>
    <cellStyle name="20% - Accent1 2 5 9 2 3" xfId="38795"/>
    <cellStyle name="20% - Accent1 2 5 9 3" xfId="9091"/>
    <cellStyle name="20% - Accent1 2 5 9 3 2" xfId="45246"/>
    <cellStyle name="20% - Accent1 2 5 9 4" xfId="20892"/>
    <cellStyle name="20% - Accent1 2 5 9 4 2" xfId="54343"/>
    <cellStyle name="20% - Accent1 2 5 9 5" xfId="34507"/>
    <cellStyle name="20% - Accent1 2 6" xfId="40"/>
    <cellStyle name="20% - Accent1 2 6 10" xfId="1941"/>
    <cellStyle name="20% - Accent1 2 6 10 2" xfId="13380"/>
    <cellStyle name="20% - Accent1 2 6 10 2 2" xfId="25181"/>
    <cellStyle name="20% - Accent1 2 6 10 2 2 2" xfId="54344"/>
    <cellStyle name="20% - Accent1 2 6 10 2 3" xfId="38796"/>
    <cellStyle name="20% - Accent1 2 6 10 3" xfId="7394"/>
    <cellStyle name="20% - Accent1 2 6 10 3 2" xfId="45247"/>
    <cellStyle name="20% - Accent1 2 6 10 4" xfId="19195"/>
    <cellStyle name="20% - Accent1 2 6 10 4 2" xfId="54345"/>
    <cellStyle name="20% - Accent1 2 6 10 5" xfId="32810"/>
    <cellStyle name="20% - Accent1 2 6 11" xfId="13381"/>
    <cellStyle name="20% - Accent1 2 6 11 2" xfId="25182"/>
    <cellStyle name="20% - Accent1 2 6 11 2 2" xfId="54346"/>
    <cellStyle name="20% - Accent1 2 6 11 3" xfId="38797"/>
    <cellStyle name="20% - Accent1 2 6 12" xfId="5494"/>
    <cellStyle name="20% - Accent1 2 6 12 2" xfId="45248"/>
    <cellStyle name="20% - Accent1 2 6 13" xfId="17295"/>
    <cellStyle name="20% - Accent1 2 6 13 2" xfId="54347"/>
    <cellStyle name="20% - Accent1 2 6 14" xfId="30910"/>
    <cellStyle name="20% - Accent1 2 6 2" xfId="107"/>
    <cellStyle name="20% - Accent1 2 6 2 10" xfId="5561"/>
    <cellStyle name="20% - Accent1 2 6 2 10 2" xfId="45249"/>
    <cellStyle name="20% - Accent1 2 6 2 11" xfId="17362"/>
    <cellStyle name="20% - Accent1 2 6 2 11 2" xfId="54348"/>
    <cellStyle name="20% - Accent1 2 6 2 12" xfId="30977"/>
    <cellStyle name="20% - Accent1 2 6 2 2" xfId="212"/>
    <cellStyle name="20% - Accent1 2 6 2 2 10" xfId="31082"/>
    <cellStyle name="20% - Accent1 2 6 2 2 2" xfId="534"/>
    <cellStyle name="20% - Accent1 2 6 2 2 2 2" xfId="1364"/>
    <cellStyle name="20% - Accent1 2 6 2 2 2 2 2" xfId="4844"/>
    <cellStyle name="20% - Accent1 2 6 2 2 2 2 2 2" xfId="13382"/>
    <cellStyle name="20% - Accent1 2 6 2 2 2 2 2 2 2" xfId="25183"/>
    <cellStyle name="20% - Accent1 2 6 2 2 2 2 2 2 2 2" xfId="54349"/>
    <cellStyle name="20% - Accent1 2 6 2 2 2 2 2 2 3" xfId="38798"/>
    <cellStyle name="20% - Accent1 2 6 2 2 2 2 2 3" xfId="10297"/>
    <cellStyle name="20% - Accent1 2 6 2 2 2 2 2 3 2" xfId="45250"/>
    <cellStyle name="20% - Accent1 2 6 2 2 2 2 2 4" xfId="22098"/>
    <cellStyle name="20% - Accent1 2 6 2 2 2 2 2 4 2" xfId="54350"/>
    <cellStyle name="20% - Accent1 2 6 2 2 2 2 2 5" xfId="35713"/>
    <cellStyle name="20% - Accent1 2 6 2 2 2 2 3" xfId="3003"/>
    <cellStyle name="20% - Accent1 2 6 2 2 2 2 3 2" xfId="13383"/>
    <cellStyle name="20% - Accent1 2 6 2 2 2 2 3 2 2" xfId="25184"/>
    <cellStyle name="20% - Accent1 2 6 2 2 2 2 3 2 2 2" xfId="54351"/>
    <cellStyle name="20% - Accent1 2 6 2 2 2 2 3 2 3" xfId="38799"/>
    <cellStyle name="20% - Accent1 2 6 2 2 2 2 3 3" xfId="8456"/>
    <cellStyle name="20% - Accent1 2 6 2 2 2 2 3 3 2" xfId="45251"/>
    <cellStyle name="20% - Accent1 2 6 2 2 2 2 3 4" xfId="20257"/>
    <cellStyle name="20% - Accent1 2 6 2 2 2 2 3 4 2" xfId="54352"/>
    <cellStyle name="20% - Accent1 2 6 2 2 2 2 3 5" xfId="33872"/>
    <cellStyle name="20% - Accent1 2 6 2 2 2 2 4" xfId="13384"/>
    <cellStyle name="20% - Accent1 2 6 2 2 2 2 4 2" xfId="25185"/>
    <cellStyle name="20% - Accent1 2 6 2 2 2 2 4 2 2" xfId="54353"/>
    <cellStyle name="20% - Accent1 2 6 2 2 2 2 4 3" xfId="38800"/>
    <cellStyle name="20% - Accent1 2 6 2 2 2 2 5" xfId="6818"/>
    <cellStyle name="20% - Accent1 2 6 2 2 2 2 5 2" xfId="45252"/>
    <cellStyle name="20% - Accent1 2 6 2 2 2 2 6" xfId="18619"/>
    <cellStyle name="20% - Accent1 2 6 2 2 2 2 6 2" xfId="54354"/>
    <cellStyle name="20% - Accent1 2 6 2 2 2 2 7" xfId="32234"/>
    <cellStyle name="20% - Accent1 2 6 2 2 2 3" xfId="3571"/>
    <cellStyle name="20% - Accent1 2 6 2 2 2 3 2" xfId="5412"/>
    <cellStyle name="20% - Accent1 2 6 2 2 2 3 2 2" xfId="16882"/>
    <cellStyle name="20% - Accent1 2 6 2 2 2 3 2 2 2" xfId="28683"/>
    <cellStyle name="20% - Accent1 2 6 2 2 2 3 2 2 2 2" xfId="54355"/>
    <cellStyle name="20% - Accent1 2 6 2 2 2 3 2 2 3" xfId="42298"/>
    <cellStyle name="20% - Accent1 2 6 2 2 2 3 2 3" xfId="10865"/>
    <cellStyle name="20% - Accent1 2 6 2 2 2 3 2 3 2" xfId="54356"/>
    <cellStyle name="20% - Accent1 2 6 2 2 2 3 2 4" xfId="22666"/>
    <cellStyle name="20% - Accent1 2 6 2 2 2 3 2 4 2" xfId="54357"/>
    <cellStyle name="20% - Accent1 2 6 2 2 2 3 2 5" xfId="36281"/>
    <cellStyle name="20% - Accent1 2 6 2 2 2 3 3" xfId="13385"/>
    <cellStyle name="20% - Accent1 2 6 2 2 2 3 3 2" xfId="25186"/>
    <cellStyle name="20% - Accent1 2 6 2 2 2 3 3 2 2" xfId="54358"/>
    <cellStyle name="20% - Accent1 2 6 2 2 2 3 3 3" xfId="38801"/>
    <cellStyle name="20% - Accent1 2 6 2 2 2 3 4" xfId="9024"/>
    <cellStyle name="20% - Accent1 2 6 2 2 2 3 4 2" xfId="54359"/>
    <cellStyle name="20% - Accent1 2 6 2 2 2 3 5" xfId="20825"/>
    <cellStyle name="20% - Accent1 2 6 2 2 2 3 5 2" xfId="54360"/>
    <cellStyle name="20% - Accent1 2 6 2 2 2 3 6" xfId="34440"/>
    <cellStyle name="20% - Accent1 2 6 2 2 2 4" xfId="4276"/>
    <cellStyle name="20% - Accent1 2 6 2 2 2 4 2" xfId="13386"/>
    <cellStyle name="20% - Accent1 2 6 2 2 2 4 2 2" xfId="25187"/>
    <cellStyle name="20% - Accent1 2 6 2 2 2 4 2 2 2" xfId="54361"/>
    <cellStyle name="20% - Accent1 2 6 2 2 2 4 2 3" xfId="38802"/>
    <cellStyle name="20% - Accent1 2 6 2 2 2 4 3" xfId="9729"/>
    <cellStyle name="20% - Accent1 2 6 2 2 2 4 3 2" xfId="45253"/>
    <cellStyle name="20% - Accent1 2 6 2 2 2 4 4" xfId="21530"/>
    <cellStyle name="20% - Accent1 2 6 2 2 2 4 4 2" xfId="54362"/>
    <cellStyle name="20% - Accent1 2 6 2 2 2 4 5" xfId="35145"/>
    <cellStyle name="20% - Accent1 2 6 2 2 2 5" xfId="2435"/>
    <cellStyle name="20% - Accent1 2 6 2 2 2 5 2" xfId="17069"/>
    <cellStyle name="20% - Accent1 2 6 2 2 2 5 2 2" xfId="28870"/>
    <cellStyle name="20% - Accent1 2 6 2 2 2 5 2 2 2" xfId="54363"/>
    <cellStyle name="20% - Accent1 2 6 2 2 2 5 2 3" xfId="42485"/>
    <cellStyle name="20% - Accent1 2 6 2 2 2 5 3" xfId="7888"/>
    <cellStyle name="20% - Accent1 2 6 2 2 2 5 3 2" xfId="54364"/>
    <cellStyle name="20% - Accent1 2 6 2 2 2 5 4" xfId="19689"/>
    <cellStyle name="20% - Accent1 2 6 2 2 2 5 4 2" xfId="54365"/>
    <cellStyle name="20% - Accent1 2 6 2 2 2 5 5" xfId="33304"/>
    <cellStyle name="20% - Accent1 2 6 2 2 2 6" xfId="13387"/>
    <cellStyle name="20% - Accent1 2 6 2 2 2 6 2" xfId="25188"/>
    <cellStyle name="20% - Accent1 2 6 2 2 2 6 2 2" xfId="54366"/>
    <cellStyle name="20% - Accent1 2 6 2 2 2 6 3" xfId="38803"/>
    <cellStyle name="20% - Accent1 2 6 2 2 2 7" xfId="5988"/>
    <cellStyle name="20% - Accent1 2 6 2 2 2 7 2" xfId="54367"/>
    <cellStyle name="20% - Accent1 2 6 2 2 2 8" xfId="17789"/>
    <cellStyle name="20% - Accent1 2 6 2 2 2 8 2" xfId="54368"/>
    <cellStyle name="20% - Accent1 2 6 2 2 2 9" xfId="31404"/>
    <cellStyle name="20% - Accent1 2 6 2 2 3" xfId="780"/>
    <cellStyle name="20% - Accent1 2 6 2 2 3 2" xfId="1365"/>
    <cellStyle name="20% - Accent1 2 6 2 2 3 2 2" xfId="4522"/>
    <cellStyle name="20% - Accent1 2 6 2 2 3 2 2 2" xfId="13388"/>
    <cellStyle name="20% - Accent1 2 6 2 2 3 2 2 2 2" xfId="25189"/>
    <cellStyle name="20% - Accent1 2 6 2 2 3 2 2 2 2 2" xfId="54369"/>
    <cellStyle name="20% - Accent1 2 6 2 2 3 2 2 2 3" xfId="38804"/>
    <cellStyle name="20% - Accent1 2 6 2 2 3 2 2 3" xfId="9975"/>
    <cellStyle name="20% - Accent1 2 6 2 2 3 2 2 3 2" xfId="45254"/>
    <cellStyle name="20% - Accent1 2 6 2 2 3 2 2 4" xfId="21776"/>
    <cellStyle name="20% - Accent1 2 6 2 2 3 2 2 4 2" xfId="54370"/>
    <cellStyle name="20% - Accent1 2 6 2 2 3 2 2 5" xfId="35391"/>
    <cellStyle name="20% - Accent1 2 6 2 2 3 2 3" xfId="13389"/>
    <cellStyle name="20% - Accent1 2 6 2 2 3 2 3 2" xfId="25190"/>
    <cellStyle name="20% - Accent1 2 6 2 2 3 2 3 2 2" xfId="45255"/>
    <cellStyle name="20% - Accent1 2 6 2 2 3 2 3 3" xfId="29839"/>
    <cellStyle name="20% - Accent1 2 6 2 2 3 2 3 3 2" xfId="45256"/>
    <cellStyle name="20% - Accent1 2 6 2 2 3 2 3 4" xfId="29840"/>
    <cellStyle name="20% - Accent1 2 6 2 2 3 2 3 4 2" xfId="54371"/>
    <cellStyle name="20% - Accent1 2 6 2 2 3 2 3 5" xfId="38805"/>
    <cellStyle name="20% - Accent1 2 6 2 2 3 2 4" xfId="13390"/>
    <cellStyle name="20% - Accent1 2 6 2 2 3 2 4 2" xfId="25191"/>
    <cellStyle name="20% - Accent1 2 6 2 2 3 2 4 2 2" xfId="54372"/>
    <cellStyle name="20% - Accent1 2 6 2 2 3 2 4 3" xfId="38806"/>
    <cellStyle name="20% - Accent1 2 6 2 2 3 2 5" xfId="6819"/>
    <cellStyle name="20% - Accent1 2 6 2 2 3 2 5 2" xfId="45257"/>
    <cellStyle name="20% - Accent1 2 6 2 2 3 2 6" xfId="18620"/>
    <cellStyle name="20% - Accent1 2 6 2 2 3 2 6 2" xfId="54373"/>
    <cellStyle name="20% - Accent1 2 6 2 2 3 2 7" xfId="32235"/>
    <cellStyle name="20% - Accent1 2 6 2 2 3 3" xfId="2681"/>
    <cellStyle name="20% - Accent1 2 6 2 2 3 3 2" xfId="13391"/>
    <cellStyle name="20% - Accent1 2 6 2 2 3 3 2 2" xfId="25192"/>
    <cellStyle name="20% - Accent1 2 6 2 2 3 3 2 2 2" xfId="54374"/>
    <cellStyle name="20% - Accent1 2 6 2 2 3 3 2 3" xfId="38807"/>
    <cellStyle name="20% - Accent1 2 6 2 2 3 3 3" xfId="8134"/>
    <cellStyle name="20% - Accent1 2 6 2 2 3 3 3 2" xfId="45258"/>
    <cellStyle name="20% - Accent1 2 6 2 2 3 3 4" xfId="19935"/>
    <cellStyle name="20% - Accent1 2 6 2 2 3 3 4 2" xfId="54375"/>
    <cellStyle name="20% - Accent1 2 6 2 2 3 3 5" xfId="33550"/>
    <cellStyle name="20% - Accent1 2 6 2 2 3 4" xfId="13392"/>
    <cellStyle name="20% - Accent1 2 6 2 2 3 4 2" xfId="25193"/>
    <cellStyle name="20% - Accent1 2 6 2 2 3 4 2 2" xfId="45259"/>
    <cellStyle name="20% - Accent1 2 6 2 2 3 4 3" xfId="29841"/>
    <cellStyle name="20% - Accent1 2 6 2 2 3 4 3 2" xfId="45260"/>
    <cellStyle name="20% - Accent1 2 6 2 2 3 4 4" xfId="29842"/>
    <cellStyle name="20% - Accent1 2 6 2 2 3 4 4 2" xfId="54376"/>
    <cellStyle name="20% - Accent1 2 6 2 2 3 4 5" xfId="38808"/>
    <cellStyle name="20% - Accent1 2 6 2 2 3 5" xfId="13393"/>
    <cellStyle name="20% - Accent1 2 6 2 2 3 5 2" xfId="25194"/>
    <cellStyle name="20% - Accent1 2 6 2 2 3 5 2 2" xfId="54377"/>
    <cellStyle name="20% - Accent1 2 6 2 2 3 5 3" xfId="38809"/>
    <cellStyle name="20% - Accent1 2 6 2 2 3 6" xfId="6234"/>
    <cellStyle name="20% - Accent1 2 6 2 2 3 6 2" xfId="45261"/>
    <cellStyle name="20% - Accent1 2 6 2 2 3 7" xfId="18035"/>
    <cellStyle name="20% - Accent1 2 6 2 2 3 7 2" xfId="54378"/>
    <cellStyle name="20% - Accent1 2 6 2 2 3 8" xfId="31650"/>
    <cellStyle name="20% - Accent1 2 6 2 2 4" xfId="1366"/>
    <cellStyle name="20% - Accent1 2 6 2 2 4 2" xfId="5090"/>
    <cellStyle name="20% - Accent1 2 6 2 2 4 2 2" xfId="13394"/>
    <cellStyle name="20% - Accent1 2 6 2 2 4 2 2 2" xfId="25195"/>
    <cellStyle name="20% - Accent1 2 6 2 2 4 2 2 2 2" xfId="54379"/>
    <cellStyle name="20% - Accent1 2 6 2 2 4 2 2 3" xfId="38810"/>
    <cellStyle name="20% - Accent1 2 6 2 2 4 2 3" xfId="10543"/>
    <cellStyle name="20% - Accent1 2 6 2 2 4 2 3 2" xfId="45262"/>
    <cellStyle name="20% - Accent1 2 6 2 2 4 2 4" xfId="22344"/>
    <cellStyle name="20% - Accent1 2 6 2 2 4 2 4 2" xfId="54380"/>
    <cellStyle name="20% - Accent1 2 6 2 2 4 2 5" xfId="35959"/>
    <cellStyle name="20% - Accent1 2 6 2 2 4 3" xfId="3249"/>
    <cellStyle name="20% - Accent1 2 6 2 2 4 3 2" xfId="13395"/>
    <cellStyle name="20% - Accent1 2 6 2 2 4 3 2 2" xfId="25196"/>
    <cellStyle name="20% - Accent1 2 6 2 2 4 3 2 2 2" xfId="54381"/>
    <cellStyle name="20% - Accent1 2 6 2 2 4 3 2 3" xfId="38811"/>
    <cellStyle name="20% - Accent1 2 6 2 2 4 3 3" xfId="8702"/>
    <cellStyle name="20% - Accent1 2 6 2 2 4 3 3 2" xfId="45263"/>
    <cellStyle name="20% - Accent1 2 6 2 2 4 3 4" xfId="20503"/>
    <cellStyle name="20% - Accent1 2 6 2 2 4 3 4 2" xfId="54382"/>
    <cellStyle name="20% - Accent1 2 6 2 2 4 3 5" xfId="34118"/>
    <cellStyle name="20% - Accent1 2 6 2 2 4 4" xfId="13396"/>
    <cellStyle name="20% - Accent1 2 6 2 2 4 4 2" xfId="25197"/>
    <cellStyle name="20% - Accent1 2 6 2 2 4 4 2 2" xfId="54383"/>
    <cellStyle name="20% - Accent1 2 6 2 2 4 4 3" xfId="38812"/>
    <cellStyle name="20% - Accent1 2 6 2 2 4 5" xfId="6820"/>
    <cellStyle name="20% - Accent1 2 6 2 2 4 5 2" xfId="45264"/>
    <cellStyle name="20% - Accent1 2 6 2 2 4 6" xfId="18621"/>
    <cellStyle name="20% - Accent1 2 6 2 2 4 6 2" xfId="54384"/>
    <cellStyle name="20% - Accent1 2 6 2 2 4 7" xfId="32236"/>
    <cellStyle name="20% - Accent1 2 6 2 2 5" xfId="3954"/>
    <cellStyle name="20% - Accent1 2 6 2 2 5 2" xfId="13397"/>
    <cellStyle name="20% - Accent1 2 6 2 2 5 2 2" xfId="25198"/>
    <cellStyle name="20% - Accent1 2 6 2 2 5 2 2 2" xfId="54385"/>
    <cellStyle name="20% - Accent1 2 6 2 2 5 2 3" xfId="38813"/>
    <cellStyle name="20% - Accent1 2 6 2 2 5 3" xfId="9407"/>
    <cellStyle name="20% - Accent1 2 6 2 2 5 3 2" xfId="45265"/>
    <cellStyle name="20% - Accent1 2 6 2 2 5 4" xfId="21208"/>
    <cellStyle name="20% - Accent1 2 6 2 2 5 4 2" xfId="54386"/>
    <cellStyle name="20% - Accent1 2 6 2 2 5 5" xfId="34823"/>
    <cellStyle name="20% - Accent1 2 6 2 2 6" xfId="2113"/>
    <cellStyle name="20% - Accent1 2 6 2 2 6 2" xfId="13398"/>
    <cellStyle name="20% - Accent1 2 6 2 2 6 2 2" xfId="25199"/>
    <cellStyle name="20% - Accent1 2 6 2 2 6 2 2 2" xfId="54387"/>
    <cellStyle name="20% - Accent1 2 6 2 2 6 2 3" xfId="38814"/>
    <cellStyle name="20% - Accent1 2 6 2 2 6 3" xfId="7566"/>
    <cellStyle name="20% - Accent1 2 6 2 2 6 3 2" xfId="45266"/>
    <cellStyle name="20% - Accent1 2 6 2 2 6 4" xfId="19367"/>
    <cellStyle name="20% - Accent1 2 6 2 2 6 4 2" xfId="54388"/>
    <cellStyle name="20% - Accent1 2 6 2 2 6 5" xfId="32982"/>
    <cellStyle name="20% - Accent1 2 6 2 2 7" xfId="13399"/>
    <cellStyle name="20% - Accent1 2 6 2 2 7 2" xfId="25200"/>
    <cellStyle name="20% - Accent1 2 6 2 2 7 2 2" xfId="54389"/>
    <cellStyle name="20% - Accent1 2 6 2 2 7 3" xfId="38815"/>
    <cellStyle name="20% - Accent1 2 6 2 2 8" xfId="5666"/>
    <cellStyle name="20% - Accent1 2 6 2 2 8 2" xfId="45267"/>
    <cellStyle name="20% - Accent1 2 6 2 2 9" xfId="17467"/>
    <cellStyle name="20% - Accent1 2 6 2 2 9 2" xfId="54390"/>
    <cellStyle name="20% - Accent1 2 6 2 3" xfId="397"/>
    <cellStyle name="20% - Accent1 2 6 2 3 2" xfId="1367"/>
    <cellStyle name="20% - Accent1 2 6 2 3 2 2" xfId="4707"/>
    <cellStyle name="20% - Accent1 2 6 2 3 2 2 2" xfId="13400"/>
    <cellStyle name="20% - Accent1 2 6 2 3 2 2 2 2" xfId="25201"/>
    <cellStyle name="20% - Accent1 2 6 2 3 2 2 2 2 2" xfId="54391"/>
    <cellStyle name="20% - Accent1 2 6 2 3 2 2 2 3" xfId="38816"/>
    <cellStyle name="20% - Accent1 2 6 2 3 2 2 3" xfId="10160"/>
    <cellStyle name="20% - Accent1 2 6 2 3 2 2 3 2" xfId="45268"/>
    <cellStyle name="20% - Accent1 2 6 2 3 2 2 4" xfId="21961"/>
    <cellStyle name="20% - Accent1 2 6 2 3 2 2 4 2" xfId="54392"/>
    <cellStyle name="20% - Accent1 2 6 2 3 2 2 5" xfId="35576"/>
    <cellStyle name="20% - Accent1 2 6 2 3 2 3" xfId="2866"/>
    <cellStyle name="20% - Accent1 2 6 2 3 2 3 2" xfId="13401"/>
    <cellStyle name="20% - Accent1 2 6 2 3 2 3 2 2" xfId="25202"/>
    <cellStyle name="20% - Accent1 2 6 2 3 2 3 2 2 2" xfId="54393"/>
    <cellStyle name="20% - Accent1 2 6 2 3 2 3 2 3" xfId="38817"/>
    <cellStyle name="20% - Accent1 2 6 2 3 2 3 3" xfId="8319"/>
    <cellStyle name="20% - Accent1 2 6 2 3 2 3 3 2" xfId="45269"/>
    <cellStyle name="20% - Accent1 2 6 2 3 2 3 4" xfId="20120"/>
    <cellStyle name="20% - Accent1 2 6 2 3 2 3 4 2" xfId="54394"/>
    <cellStyle name="20% - Accent1 2 6 2 3 2 3 5" xfId="33735"/>
    <cellStyle name="20% - Accent1 2 6 2 3 2 4" xfId="13402"/>
    <cellStyle name="20% - Accent1 2 6 2 3 2 4 2" xfId="25203"/>
    <cellStyle name="20% - Accent1 2 6 2 3 2 4 2 2" xfId="54395"/>
    <cellStyle name="20% - Accent1 2 6 2 3 2 4 3" xfId="38818"/>
    <cellStyle name="20% - Accent1 2 6 2 3 2 5" xfId="6821"/>
    <cellStyle name="20% - Accent1 2 6 2 3 2 5 2" xfId="45270"/>
    <cellStyle name="20% - Accent1 2 6 2 3 2 6" xfId="18622"/>
    <cellStyle name="20% - Accent1 2 6 2 3 2 6 2" xfId="54396"/>
    <cellStyle name="20% - Accent1 2 6 2 3 2 7" xfId="32237"/>
    <cellStyle name="20% - Accent1 2 6 2 3 3" xfId="3434"/>
    <cellStyle name="20% - Accent1 2 6 2 3 3 2" xfId="5275"/>
    <cellStyle name="20% - Accent1 2 6 2 3 3 2 2" xfId="16745"/>
    <cellStyle name="20% - Accent1 2 6 2 3 3 2 2 2" xfId="28546"/>
    <cellStyle name="20% - Accent1 2 6 2 3 3 2 2 2 2" xfId="54397"/>
    <cellStyle name="20% - Accent1 2 6 2 3 3 2 2 3" xfId="42161"/>
    <cellStyle name="20% - Accent1 2 6 2 3 3 2 3" xfId="10728"/>
    <cellStyle name="20% - Accent1 2 6 2 3 3 2 3 2" xfId="54398"/>
    <cellStyle name="20% - Accent1 2 6 2 3 3 2 4" xfId="22529"/>
    <cellStyle name="20% - Accent1 2 6 2 3 3 2 4 2" xfId="54399"/>
    <cellStyle name="20% - Accent1 2 6 2 3 3 2 5" xfId="36144"/>
    <cellStyle name="20% - Accent1 2 6 2 3 3 3" xfId="13403"/>
    <cellStyle name="20% - Accent1 2 6 2 3 3 3 2" xfId="25204"/>
    <cellStyle name="20% - Accent1 2 6 2 3 3 3 2 2" xfId="54400"/>
    <cellStyle name="20% - Accent1 2 6 2 3 3 3 3" xfId="38819"/>
    <cellStyle name="20% - Accent1 2 6 2 3 3 4" xfId="8887"/>
    <cellStyle name="20% - Accent1 2 6 2 3 3 4 2" xfId="54401"/>
    <cellStyle name="20% - Accent1 2 6 2 3 3 5" xfId="20688"/>
    <cellStyle name="20% - Accent1 2 6 2 3 3 5 2" xfId="54402"/>
    <cellStyle name="20% - Accent1 2 6 2 3 3 6" xfId="34303"/>
    <cellStyle name="20% - Accent1 2 6 2 3 4" xfId="4139"/>
    <cellStyle name="20% - Accent1 2 6 2 3 4 2" xfId="13404"/>
    <cellStyle name="20% - Accent1 2 6 2 3 4 2 2" xfId="25205"/>
    <cellStyle name="20% - Accent1 2 6 2 3 4 2 2 2" xfId="54403"/>
    <cellStyle name="20% - Accent1 2 6 2 3 4 2 3" xfId="38820"/>
    <cellStyle name="20% - Accent1 2 6 2 3 4 3" xfId="9592"/>
    <cellStyle name="20% - Accent1 2 6 2 3 4 3 2" xfId="45271"/>
    <cellStyle name="20% - Accent1 2 6 2 3 4 4" xfId="21393"/>
    <cellStyle name="20% - Accent1 2 6 2 3 4 4 2" xfId="54404"/>
    <cellStyle name="20% - Accent1 2 6 2 3 4 5" xfId="35008"/>
    <cellStyle name="20% - Accent1 2 6 2 3 5" xfId="2298"/>
    <cellStyle name="20% - Accent1 2 6 2 3 5 2" xfId="17070"/>
    <cellStyle name="20% - Accent1 2 6 2 3 5 2 2" xfId="28871"/>
    <cellStyle name="20% - Accent1 2 6 2 3 5 2 2 2" xfId="54405"/>
    <cellStyle name="20% - Accent1 2 6 2 3 5 2 3" xfId="42486"/>
    <cellStyle name="20% - Accent1 2 6 2 3 5 3" xfId="7751"/>
    <cellStyle name="20% - Accent1 2 6 2 3 5 3 2" xfId="54406"/>
    <cellStyle name="20% - Accent1 2 6 2 3 5 4" xfId="19552"/>
    <cellStyle name="20% - Accent1 2 6 2 3 5 4 2" xfId="54407"/>
    <cellStyle name="20% - Accent1 2 6 2 3 5 5" xfId="33167"/>
    <cellStyle name="20% - Accent1 2 6 2 3 6" xfId="13405"/>
    <cellStyle name="20% - Accent1 2 6 2 3 6 2" xfId="25206"/>
    <cellStyle name="20% - Accent1 2 6 2 3 6 2 2" xfId="54408"/>
    <cellStyle name="20% - Accent1 2 6 2 3 6 3" xfId="38821"/>
    <cellStyle name="20% - Accent1 2 6 2 3 7" xfId="5851"/>
    <cellStyle name="20% - Accent1 2 6 2 3 7 2" xfId="54409"/>
    <cellStyle name="20% - Accent1 2 6 2 3 8" xfId="17652"/>
    <cellStyle name="20% - Accent1 2 6 2 3 8 2" xfId="54410"/>
    <cellStyle name="20% - Accent1 2 6 2 3 9" xfId="31267"/>
    <cellStyle name="20% - Accent1 2 6 2 4" xfId="675"/>
    <cellStyle name="20% - Accent1 2 6 2 4 2" xfId="1368"/>
    <cellStyle name="20% - Accent1 2 6 2 4 2 2" xfId="4417"/>
    <cellStyle name="20% - Accent1 2 6 2 4 2 2 2" xfId="13406"/>
    <cellStyle name="20% - Accent1 2 6 2 4 2 2 2 2" xfId="25207"/>
    <cellStyle name="20% - Accent1 2 6 2 4 2 2 2 2 2" xfId="54411"/>
    <cellStyle name="20% - Accent1 2 6 2 4 2 2 2 3" xfId="38822"/>
    <cellStyle name="20% - Accent1 2 6 2 4 2 2 3" xfId="9870"/>
    <cellStyle name="20% - Accent1 2 6 2 4 2 2 3 2" xfId="45272"/>
    <cellStyle name="20% - Accent1 2 6 2 4 2 2 4" xfId="21671"/>
    <cellStyle name="20% - Accent1 2 6 2 4 2 2 4 2" xfId="54412"/>
    <cellStyle name="20% - Accent1 2 6 2 4 2 2 5" xfId="35286"/>
    <cellStyle name="20% - Accent1 2 6 2 4 2 3" xfId="13407"/>
    <cellStyle name="20% - Accent1 2 6 2 4 2 3 2" xfId="25208"/>
    <cellStyle name="20% - Accent1 2 6 2 4 2 3 2 2" xfId="45273"/>
    <cellStyle name="20% - Accent1 2 6 2 4 2 3 3" xfId="29843"/>
    <cellStyle name="20% - Accent1 2 6 2 4 2 3 3 2" xfId="45274"/>
    <cellStyle name="20% - Accent1 2 6 2 4 2 3 4" xfId="29844"/>
    <cellStyle name="20% - Accent1 2 6 2 4 2 3 4 2" xfId="54413"/>
    <cellStyle name="20% - Accent1 2 6 2 4 2 3 5" xfId="38823"/>
    <cellStyle name="20% - Accent1 2 6 2 4 2 4" xfId="13408"/>
    <cellStyle name="20% - Accent1 2 6 2 4 2 4 2" xfId="25209"/>
    <cellStyle name="20% - Accent1 2 6 2 4 2 4 2 2" xfId="54414"/>
    <cellStyle name="20% - Accent1 2 6 2 4 2 4 3" xfId="38824"/>
    <cellStyle name="20% - Accent1 2 6 2 4 2 5" xfId="6822"/>
    <cellStyle name="20% - Accent1 2 6 2 4 2 5 2" xfId="45275"/>
    <cellStyle name="20% - Accent1 2 6 2 4 2 6" xfId="18623"/>
    <cellStyle name="20% - Accent1 2 6 2 4 2 6 2" xfId="54415"/>
    <cellStyle name="20% - Accent1 2 6 2 4 2 7" xfId="32238"/>
    <cellStyle name="20% - Accent1 2 6 2 4 3" xfId="2576"/>
    <cellStyle name="20% - Accent1 2 6 2 4 3 2" xfId="13409"/>
    <cellStyle name="20% - Accent1 2 6 2 4 3 2 2" xfId="25210"/>
    <cellStyle name="20% - Accent1 2 6 2 4 3 2 2 2" xfId="54416"/>
    <cellStyle name="20% - Accent1 2 6 2 4 3 2 3" xfId="38825"/>
    <cellStyle name="20% - Accent1 2 6 2 4 3 3" xfId="8029"/>
    <cellStyle name="20% - Accent1 2 6 2 4 3 3 2" xfId="45276"/>
    <cellStyle name="20% - Accent1 2 6 2 4 3 4" xfId="19830"/>
    <cellStyle name="20% - Accent1 2 6 2 4 3 4 2" xfId="54417"/>
    <cellStyle name="20% - Accent1 2 6 2 4 3 5" xfId="33445"/>
    <cellStyle name="20% - Accent1 2 6 2 4 4" xfId="13410"/>
    <cellStyle name="20% - Accent1 2 6 2 4 4 2" xfId="25211"/>
    <cellStyle name="20% - Accent1 2 6 2 4 4 2 2" xfId="45277"/>
    <cellStyle name="20% - Accent1 2 6 2 4 4 3" xfId="29845"/>
    <cellStyle name="20% - Accent1 2 6 2 4 4 3 2" xfId="45278"/>
    <cellStyle name="20% - Accent1 2 6 2 4 4 4" xfId="29846"/>
    <cellStyle name="20% - Accent1 2 6 2 4 4 4 2" xfId="54418"/>
    <cellStyle name="20% - Accent1 2 6 2 4 4 5" xfId="38826"/>
    <cellStyle name="20% - Accent1 2 6 2 4 5" xfId="13411"/>
    <cellStyle name="20% - Accent1 2 6 2 4 5 2" xfId="25212"/>
    <cellStyle name="20% - Accent1 2 6 2 4 5 2 2" xfId="54419"/>
    <cellStyle name="20% - Accent1 2 6 2 4 5 3" xfId="38827"/>
    <cellStyle name="20% - Accent1 2 6 2 4 6" xfId="6129"/>
    <cellStyle name="20% - Accent1 2 6 2 4 6 2" xfId="45279"/>
    <cellStyle name="20% - Accent1 2 6 2 4 7" xfId="17930"/>
    <cellStyle name="20% - Accent1 2 6 2 4 7 2" xfId="54420"/>
    <cellStyle name="20% - Accent1 2 6 2 4 8" xfId="31545"/>
    <cellStyle name="20% - Accent1 2 6 2 5" xfId="916"/>
    <cellStyle name="20% - Accent1 2 6 2 5 2" xfId="1369"/>
    <cellStyle name="20% - Accent1 2 6 2 5 2 2" xfId="4985"/>
    <cellStyle name="20% - Accent1 2 6 2 5 2 2 2" xfId="13412"/>
    <cellStyle name="20% - Accent1 2 6 2 5 2 2 2 2" xfId="25213"/>
    <cellStyle name="20% - Accent1 2 6 2 5 2 2 2 2 2" xfId="54421"/>
    <cellStyle name="20% - Accent1 2 6 2 5 2 2 2 3" xfId="38828"/>
    <cellStyle name="20% - Accent1 2 6 2 5 2 2 3" xfId="10438"/>
    <cellStyle name="20% - Accent1 2 6 2 5 2 2 3 2" xfId="45280"/>
    <cellStyle name="20% - Accent1 2 6 2 5 2 2 4" xfId="22239"/>
    <cellStyle name="20% - Accent1 2 6 2 5 2 2 4 2" xfId="54422"/>
    <cellStyle name="20% - Accent1 2 6 2 5 2 2 5" xfId="35854"/>
    <cellStyle name="20% - Accent1 2 6 2 5 2 3" xfId="13413"/>
    <cellStyle name="20% - Accent1 2 6 2 5 2 3 2" xfId="25214"/>
    <cellStyle name="20% - Accent1 2 6 2 5 2 3 2 2" xfId="45281"/>
    <cellStyle name="20% - Accent1 2 6 2 5 2 3 3" xfId="29847"/>
    <cellStyle name="20% - Accent1 2 6 2 5 2 3 3 2" xfId="45282"/>
    <cellStyle name="20% - Accent1 2 6 2 5 2 3 4" xfId="29848"/>
    <cellStyle name="20% - Accent1 2 6 2 5 2 3 4 2" xfId="54423"/>
    <cellStyle name="20% - Accent1 2 6 2 5 2 3 5" xfId="38829"/>
    <cellStyle name="20% - Accent1 2 6 2 5 2 4" xfId="13414"/>
    <cellStyle name="20% - Accent1 2 6 2 5 2 4 2" xfId="25215"/>
    <cellStyle name="20% - Accent1 2 6 2 5 2 4 2 2" xfId="54424"/>
    <cellStyle name="20% - Accent1 2 6 2 5 2 4 3" xfId="38830"/>
    <cellStyle name="20% - Accent1 2 6 2 5 2 5" xfId="6823"/>
    <cellStyle name="20% - Accent1 2 6 2 5 2 5 2" xfId="45283"/>
    <cellStyle name="20% - Accent1 2 6 2 5 2 6" xfId="18624"/>
    <cellStyle name="20% - Accent1 2 6 2 5 2 6 2" xfId="54425"/>
    <cellStyle name="20% - Accent1 2 6 2 5 2 7" xfId="32239"/>
    <cellStyle name="20% - Accent1 2 6 2 5 3" xfId="3144"/>
    <cellStyle name="20% - Accent1 2 6 2 5 3 2" xfId="13415"/>
    <cellStyle name="20% - Accent1 2 6 2 5 3 2 2" xfId="25216"/>
    <cellStyle name="20% - Accent1 2 6 2 5 3 2 2 2" xfId="54426"/>
    <cellStyle name="20% - Accent1 2 6 2 5 3 2 3" xfId="38831"/>
    <cellStyle name="20% - Accent1 2 6 2 5 3 3" xfId="8597"/>
    <cellStyle name="20% - Accent1 2 6 2 5 3 3 2" xfId="45284"/>
    <cellStyle name="20% - Accent1 2 6 2 5 3 4" xfId="20398"/>
    <cellStyle name="20% - Accent1 2 6 2 5 3 4 2" xfId="54427"/>
    <cellStyle name="20% - Accent1 2 6 2 5 3 5" xfId="34013"/>
    <cellStyle name="20% - Accent1 2 6 2 5 4" xfId="13416"/>
    <cellStyle name="20% - Accent1 2 6 2 5 4 2" xfId="25217"/>
    <cellStyle name="20% - Accent1 2 6 2 5 4 2 2" xfId="45285"/>
    <cellStyle name="20% - Accent1 2 6 2 5 4 3" xfId="29849"/>
    <cellStyle name="20% - Accent1 2 6 2 5 4 3 2" xfId="45286"/>
    <cellStyle name="20% - Accent1 2 6 2 5 4 4" xfId="29850"/>
    <cellStyle name="20% - Accent1 2 6 2 5 4 4 2" xfId="54428"/>
    <cellStyle name="20% - Accent1 2 6 2 5 4 5" xfId="38832"/>
    <cellStyle name="20% - Accent1 2 6 2 5 5" xfId="13417"/>
    <cellStyle name="20% - Accent1 2 6 2 5 5 2" xfId="25218"/>
    <cellStyle name="20% - Accent1 2 6 2 5 5 2 2" xfId="54429"/>
    <cellStyle name="20% - Accent1 2 6 2 5 5 3" xfId="38833"/>
    <cellStyle name="20% - Accent1 2 6 2 5 6" xfId="6370"/>
    <cellStyle name="20% - Accent1 2 6 2 5 6 2" xfId="45287"/>
    <cellStyle name="20% - Accent1 2 6 2 5 7" xfId="18171"/>
    <cellStyle name="20% - Accent1 2 6 2 5 7 2" xfId="54430"/>
    <cellStyle name="20% - Accent1 2 6 2 5 8" xfId="31786"/>
    <cellStyle name="20% - Accent1 2 6 2 6" xfId="1370"/>
    <cellStyle name="20% - Accent1 2 6 2 6 2" xfId="3849"/>
    <cellStyle name="20% - Accent1 2 6 2 6 2 2" xfId="13418"/>
    <cellStyle name="20% - Accent1 2 6 2 6 2 2 2" xfId="25219"/>
    <cellStyle name="20% - Accent1 2 6 2 6 2 2 2 2" xfId="54431"/>
    <cellStyle name="20% - Accent1 2 6 2 6 2 2 3" xfId="38834"/>
    <cellStyle name="20% - Accent1 2 6 2 6 2 3" xfId="9302"/>
    <cellStyle name="20% - Accent1 2 6 2 6 2 3 2" xfId="45288"/>
    <cellStyle name="20% - Accent1 2 6 2 6 2 4" xfId="21103"/>
    <cellStyle name="20% - Accent1 2 6 2 6 2 4 2" xfId="54432"/>
    <cellStyle name="20% - Accent1 2 6 2 6 2 5" xfId="34718"/>
    <cellStyle name="20% - Accent1 2 6 2 6 3" xfId="13419"/>
    <cellStyle name="20% - Accent1 2 6 2 6 3 2" xfId="25220"/>
    <cellStyle name="20% - Accent1 2 6 2 6 3 2 2" xfId="45289"/>
    <cellStyle name="20% - Accent1 2 6 2 6 3 3" xfId="29851"/>
    <cellStyle name="20% - Accent1 2 6 2 6 3 3 2" xfId="45290"/>
    <cellStyle name="20% - Accent1 2 6 2 6 3 4" xfId="29852"/>
    <cellStyle name="20% - Accent1 2 6 2 6 3 4 2" xfId="54433"/>
    <cellStyle name="20% - Accent1 2 6 2 6 3 5" xfId="38835"/>
    <cellStyle name="20% - Accent1 2 6 2 6 4" xfId="13420"/>
    <cellStyle name="20% - Accent1 2 6 2 6 4 2" xfId="25221"/>
    <cellStyle name="20% - Accent1 2 6 2 6 4 2 2" xfId="54434"/>
    <cellStyle name="20% - Accent1 2 6 2 6 4 3" xfId="38836"/>
    <cellStyle name="20% - Accent1 2 6 2 6 5" xfId="6824"/>
    <cellStyle name="20% - Accent1 2 6 2 6 5 2" xfId="45291"/>
    <cellStyle name="20% - Accent1 2 6 2 6 6" xfId="18625"/>
    <cellStyle name="20% - Accent1 2 6 2 6 6 2" xfId="54435"/>
    <cellStyle name="20% - Accent1 2 6 2 6 7" xfId="32240"/>
    <cellStyle name="20% - Accent1 2 6 2 7" xfId="3712"/>
    <cellStyle name="20% - Accent1 2 6 2 7 2" xfId="13421"/>
    <cellStyle name="20% - Accent1 2 6 2 7 2 2" xfId="25222"/>
    <cellStyle name="20% - Accent1 2 6 2 7 2 2 2" xfId="54436"/>
    <cellStyle name="20% - Accent1 2 6 2 7 2 3" xfId="38837"/>
    <cellStyle name="20% - Accent1 2 6 2 7 3" xfId="9165"/>
    <cellStyle name="20% - Accent1 2 6 2 7 3 2" xfId="45292"/>
    <cellStyle name="20% - Accent1 2 6 2 7 4" xfId="20966"/>
    <cellStyle name="20% - Accent1 2 6 2 7 4 2" xfId="54437"/>
    <cellStyle name="20% - Accent1 2 6 2 7 5" xfId="34581"/>
    <cellStyle name="20% - Accent1 2 6 2 8" xfId="2008"/>
    <cellStyle name="20% - Accent1 2 6 2 8 2" xfId="13422"/>
    <cellStyle name="20% - Accent1 2 6 2 8 2 2" xfId="25223"/>
    <cellStyle name="20% - Accent1 2 6 2 8 2 2 2" xfId="54438"/>
    <cellStyle name="20% - Accent1 2 6 2 8 2 3" xfId="38838"/>
    <cellStyle name="20% - Accent1 2 6 2 8 3" xfId="7461"/>
    <cellStyle name="20% - Accent1 2 6 2 8 3 2" xfId="45293"/>
    <cellStyle name="20% - Accent1 2 6 2 8 4" xfId="19262"/>
    <cellStyle name="20% - Accent1 2 6 2 8 4 2" xfId="54439"/>
    <cellStyle name="20% - Accent1 2 6 2 8 5" xfId="32877"/>
    <cellStyle name="20% - Accent1 2 6 2 9" xfId="13423"/>
    <cellStyle name="20% - Accent1 2 6 2 9 2" xfId="25224"/>
    <cellStyle name="20% - Accent1 2 6 2 9 2 2" xfId="54440"/>
    <cellStyle name="20% - Accent1 2 6 2 9 3" xfId="38839"/>
    <cellStyle name="20% - Accent1 2 6 3" xfId="169"/>
    <cellStyle name="20% - Accent1 2 6 3 10" xfId="31039"/>
    <cellStyle name="20% - Accent1 2 6 3 2" xfId="330"/>
    <cellStyle name="20% - Accent1 2 6 3 2 2" xfId="1371"/>
    <cellStyle name="20% - Accent1 2 6 3 2 2 2" xfId="4640"/>
    <cellStyle name="20% - Accent1 2 6 3 2 2 2 2" xfId="13424"/>
    <cellStyle name="20% - Accent1 2 6 3 2 2 2 2 2" xfId="25225"/>
    <cellStyle name="20% - Accent1 2 6 3 2 2 2 2 2 2" xfId="54441"/>
    <cellStyle name="20% - Accent1 2 6 3 2 2 2 2 3" xfId="38840"/>
    <cellStyle name="20% - Accent1 2 6 3 2 2 2 3" xfId="10093"/>
    <cellStyle name="20% - Accent1 2 6 3 2 2 2 3 2" xfId="45294"/>
    <cellStyle name="20% - Accent1 2 6 3 2 2 2 4" xfId="21894"/>
    <cellStyle name="20% - Accent1 2 6 3 2 2 2 4 2" xfId="54442"/>
    <cellStyle name="20% - Accent1 2 6 3 2 2 2 5" xfId="35509"/>
    <cellStyle name="20% - Accent1 2 6 3 2 2 3" xfId="2799"/>
    <cellStyle name="20% - Accent1 2 6 3 2 2 3 2" xfId="13425"/>
    <cellStyle name="20% - Accent1 2 6 3 2 2 3 2 2" xfId="25226"/>
    <cellStyle name="20% - Accent1 2 6 3 2 2 3 2 2 2" xfId="54443"/>
    <cellStyle name="20% - Accent1 2 6 3 2 2 3 2 3" xfId="38841"/>
    <cellStyle name="20% - Accent1 2 6 3 2 2 3 3" xfId="8252"/>
    <cellStyle name="20% - Accent1 2 6 3 2 2 3 3 2" xfId="45295"/>
    <cellStyle name="20% - Accent1 2 6 3 2 2 3 4" xfId="20053"/>
    <cellStyle name="20% - Accent1 2 6 3 2 2 3 4 2" xfId="54444"/>
    <cellStyle name="20% - Accent1 2 6 3 2 2 3 5" xfId="33668"/>
    <cellStyle name="20% - Accent1 2 6 3 2 2 4" xfId="13426"/>
    <cellStyle name="20% - Accent1 2 6 3 2 2 4 2" xfId="25227"/>
    <cellStyle name="20% - Accent1 2 6 3 2 2 4 2 2" xfId="54445"/>
    <cellStyle name="20% - Accent1 2 6 3 2 2 4 3" xfId="38842"/>
    <cellStyle name="20% - Accent1 2 6 3 2 2 5" xfId="6825"/>
    <cellStyle name="20% - Accent1 2 6 3 2 2 5 2" xfId="45296"/>
    <cellStyle name="20% - Accent1 2 6 3 2 2 6" xfId="18626"/>
    <cellStyle name="20% - Accent1 2 6 3 2 2 6 2" xfId="54446"/>
    <cellStyle name="20% - Accent1 2 6 3 2 2 7" xfId="32241"/>
    <cellStyle name="20% - Accent1 2 6 3 2 3" xfId="3367"/>
    <cellStyle name="20% - Accent1 2 6 3 2 3 2" xfId="5208"/>
    <cellStyle name="20% - Accent1 2 6 3 2 3 2 2" xfId="16678"/>
    <cellStyle name="20% - Accent1 2 6 3 2 3 2 2 2" xfId="28479"/>
    <cellStyle name="20% - Accent1 2 6 3 2 3 2 2 2 2" xfId="54447"/>
    <cellStyle name="20% - Accent1 2 6 3 2 3 2 2 3" xfId="42094"/>
    <cellStyle name="20% - Accent1 2 6 3 2 3 2 3" xfId="10661"/>
    <cellStyle name="20% - Accent1 2 6 3 2 3 2 3 2" xfId="54448"/>
    <cellStyle name="20% - Accent1 2 6 3 2 3 2 4" xfId="22462"/>
    <cellStyle name="20% - Accent1 2 6 3 2 3 2 4 2" xfId="54449"/>
    <cellStyle name="20% - Accent1 2 6 3 2 3 2 5" xfId="36077"/>
    <cellStyle name="20% - Accent1 2 6 3 2 3 3" xfId="13427"/>
    <cellStyle name="20% - Accent1 2 6 3 2 3 3 2" xfId="25228"/>
    <cellStyle name="20% - Accent1 2 6 3 2 3 3 2 2" xfId="54450"/>
    <cellStyle name="20% - Accent1 2 6 3 2 3 3 3" xfId="38843"/>
    <cellStyle name="20% - Accent1 2 6 3 2 3 4" xfId="8820"/>
    <cellStyle name="20% - Accent1 2 6 3 2 3 4 2" xfId="54451"/>
    <cellStyle name="20% - Accent1 2 6 3 2 3 5" xfId="20621"/>
    <cellStyle name="20% - Accent1 2 6 3 2 3 5 2" xfId="54452"/>
    <cellStyle name="20% - Accent1 2 6 3 2 3 6" xfId="34236"/>
    <cellStyle name="20% - Accent1 2 6 3 2 4" xfId="4072"/>
    <cellStyle name="20% - Accent1 2 6 3 2 4 2" xfId="13428"/>
    <cellStyle name="20% - Accent1 2 6 3 2 4 2 2" xfId="25229"/>
    <cellStyle name="20% - Accent1 2 6 3 2 4 2 2 2" xfId="54453"/>
    <cellStyle name="20% - Accent1 2 6 3 2 4 2 3" xfId="38844"/>
    <cellStyle name="20% - Accent1 2 6 3 2 4 3" xfId="9525"/>
    <cellStyle name="20% - Accent1 2 6 3 2 4 3 2" xfId="45297"/>
    <cellStyle name="20% - Accent1 2 6 3 2 4 4" xfId="21326"/>
    <cellStyle name="20% - Accent1 2 6 3 2 4 4 2" xfId="54454"/>
    <cellStyle name="20% - Accent1 2 6 3 2 4 5" xfId="34941"/>
    <cellStyle name="20% - Accent1 2 6 3 2 5" xfId="2231"/>
    <cellStyle name="20% - Accent1 2 6 3 2 5 2" xfId="17071"/>
    <cellStyle name="20% - Accent1 2 6 3 2 5 2 2" xfId="28872"/>
    <cellStyle name="20% - Accent1 2 6 3 2 5 2 2 2" xfId="54455"/>
    <cellStyle name="20% - Accent1 2 6 3 2 5 2 3" xfId="42487"/>
    <cellStyle name="20% - Accent1 2 6 3 2 5 3" xfId="7684"/>
    <cellStyle name="20% - Accent1 2 6 3 2 5 3 2" xfId="54456"/>
    <cellStyle name="20% - Accent1 2 6 3 2 5 4" xfId="19485"/>
    <cellStyle name="20% - Accent1 2 6 3 2 5 4 2" xfId="54457"/>
    <cellStyle name="20% - Accent1 2 6 3 2 5 5" xfId="33100"/>
    <cellStyle name="20% - Accent1 2 6 3 2 6" xfId="13429"/>
    <cellStyle name="20% - Accent1 2 6 3 2 6 2" xfId="25230"/>
    <cellStyle name="20% - Accent1 2 6 3 2 6 2 2" xfId="54458"/>
    <cellStyle name="20% - Accent1 2 6 3 2 6 3" xfId="38845"/>
    <cellStyle name="20% - Accent1 2 6 3 2 7" xfId="5784"/>
    <cellStyle name="20% - Accent1 2 6 3 2 7 2" xfId="54459"/>
    <cellStyle name="20% - Accent1 2 6 3 2 8" xfId="17585"/>
    <cellStyle name="20% - Accent1 2 6 3 2 8 2" xfId="54460"/>
    <cellStyle name="20% - Accent1 2 6 3 2 9" xfId="31200"/>
    <cellStyle name="20% - Accent1 2 6 3 3" xfId="737"/>
    <cellStyle name="20% - Accent1 2 6 3 3 2" xfId="1372"/>
    <cellStyle name="20% - Accent1 2 6 3 3 2 2" xfId="4479"/>
    <cellStyle name="20% - Accent1 2 6 3 3 2 2 2" xfId="13430"/>
    <cellStyle name="20% - Accent1 2 6 3 3 2 2 2 2" xfId="25231"/>
    <cellStyle name="20% - Accent1 2 6 3 3 2 2 2 2 2" xfId="54461"/>
    <cellStyle name="20% - Accent1 2 6 3 3 2 2 2 3" xfId="38846"/>
    <cellStyle name="20% - Accent1 2 6 3 3 2 2 3" xfId="9932"/>
    <cellStyle name="20% - Accent1 2 6 3 3 2 2 3 2" xfId="45298"/>
    <cellStyle name="20% - Accent1 2 6 3 3 2 2 4" xfId="21733"/>
    <cellStyle name="20% - Accent1 2 6 3 3 2 2 4 2" xfId="54462"/>
    <cellStyle name="20% - Accent1 2 6 3 3 2 2 5" xfId="35348"/>
    <cellStyle name="20% - Accent1 2 6 3 3 2 3" xfId="13431"/>
    <cellStyle name="20% - Accent1 2 6 3 3 2 3 2" xfId="25232"/>
    <cellStyle name="20% - Accent1 2 6 3 3 2 3 2 2" xfId="45299"/>
    <cellStyle name="20% - Accent1 2 6 3 3 2 3 3" xfId="29853"/>
    <cellStyle name="20% - Accent1 2 6 3 3 2 3 3 2" xfId="45300"/>
    <cellStyle name="20% - Accent1 2 6 3 3 2 3 4" xfId="29854"/>
    <cellStyle name="20% - Accent1 2 6 3 3 2 3 4 2" xfId="54463"/>
    <cellStyle name="20% - Accent1 2 6 3 3 2 3 5" xfId="38847"/>
    <cellStyle name="20% - Accent1 2 6 3 3 2 4" xfId="13432"/>
    <cellStyle name="20% - Accent1 2 6 3 3 2 4 2" xfId="25233"/>
    <cellStyle name="20% - Accent1 2 6 3 3 2 4 2 2" xfId="54464"/>
    <cellStyle name="20% - Accent1 2 6 3 3 2 4 3" xfId="38848"/>
    <cellStyle name="20% - Accent1 2 6 3 3 2 5" xfId="6826"/>
    <cellStyle name="20% - Accent1 2 6 3 3 2 5 2" xfId="45301"/>
    <cellStyle name="20% - Accent1 2 6 3 3 2 6" xfId="18627"/>
    <cellStyle name="20% - Accent1 2 6 3 3 2 6 2" xfId="54465"/>
    <cellStyle name="20% - Accent1 2 6 3 3 2 7" xfId="32242"/>
    <cellStyle name="20% - Accent1 2 6 3 3 3" xfId="2638"/>
    <cellStyle name="20% - Accent1 2 6 3 3 3 2" xfId="13433"/>
    <cellStyle name="20% - Accent1 2 6 3 3 3 2 2" xfId="25234"/>
    <cellStyle name="20% - Accent1 2 6 3 3 3 2 2 2" xfId="54466"/>
    <cellStyle name="20% - Accent1 2 6 3 3 3 2 3" xfId="38849"/>
    <cellStyle name="20% - Accent1 2 6 3 3 3 3" xfId="8091"/>
    <cellStyle name="20% - Accent1 2 6 3 3 3 3 2" xfId="45302"/>
    <cellStyle name="20% - Accent1 2 6 3 3 3 4" xfId="19892"/>
    <cellStyle name="20% - Accent1 2 6 3 3 3 4 2" xfId="54467"/>
    <cellStyle name="20% - Accent1 2 6 3 3 3 5" xfId="33507"/>
    <cellStyle name="20% - Accent1 2 6 3 3 4" xfId="13434"/>
    <cellStyle name="20% - Accent1 2 6 3 3 4 2" xfId="25235"/>
    <cellStyle name="20% - Accent1 2 6 3 3 4 2 2" xfId="45303"/>
    <cellStyle name="20% - Accent1 2 6 3 3 4 3" xfId="29855"/>
    <cellStyle name="20% - Accent1 2 6 3 3 4 3 2" xfId="45304"/>
    <cellStyle name="20% - Accent1 2 6 3 3 4 4" xfId="29856"/>
    <cellStyle name="20% - Accent1 2 6 3 3 4 4 2" xfId="54468"/>
    <cellStyle name="20% - Accent1 2 6 3 3 4 5" xfId="38850"/>
    <cellStyle name="20% - Accent1 2 6 3 3 5" xfId="13435"/>
    <cellStyle name="20% - Accent1 2 6 3 3 5 2" xfId="25236"/>
    <cellStyle name="20% - Accent1 2 6 3 3 5 2 2" xfId="54469"/>
    <cellStyle name="20% - Accent1 2 6 3 3 5 3" xfId="38851"/>
    <cellStyle name="20% - Accent1 2 6 3 3 6" xfId="6191"/>
    <cellStyle name="20% - Accent1 2 6 3 3 6 2" xfId="45305"/>
    <cellStyle name="20% - Accent1 2 6 3 3 7" xfId="17992"/>
    <cellStyle name="20% - Accent1 2 6 3 3 7 2" xfId="54470"/>
    <cellStyle name="20% - Accent1 2 6 3 3 8" xfId="31607"/>
    <cellStyle name="20% - Accent1 2 6 3 4" xfId="1373"/>
    <cellStyle name="20% - Accent1 2 6 3 4 2" xfId="5047"/>
    <cellStyle name="20% - Accent1 2 6 3 4 2 2" xfId="13436"/>
    <cellStyle name="20% - Accent1 2 6 3 4 2 2 2" xfId="25237"/>
    <cellStyle name="20% - Accent1 2 6 3 4 2 2 2 2" xfId="54471"/>
    <cellStyle name="20% - Accent1 2 6 3 4 2 2 3" xfId="38852"/>
    <cellStyle name="20% - Accent1 2 6 3 4 2 3" xfId="10500"/>
    <cellStyle name="20% - Accent1 2 6 3 4 2 3 2" xfId="45306"/>
    <cellStyle name="20% - Accent1 2 6 3 4 2 4" xfId="22301"/>
    <cellStyle name="20% - Accent1 2 6 3 4 2 4 2" xfId="54472"/>
    <cellStyle name="20% - Accent1 2 6 3 4 2 5" xfId="35916"/>
    <cellStyle name="20% - Accent1 2 6 3 4 3" xfId="3206"/>
    <cellStyle name="20% - Accent1 2 6 3 4 3 2" xfId="13437"/>
    <cellStyle name="20% - Accent1 2 6 3 4 3 2 2" xfId="25238"/>
    <cellStyle name="20% - Accent1 2 6 3 4 3 2 2 2" xfId="54473"/>
    <cellStyle name="20% - Accent1 2 6 3 4 3 2 3" xfId="38853"/>
    <cellStyle name="20% - Accent1 2 6 3 4 3 3" xfId="8659"/>
    <cellStyle name="20% - Accent1 2 6 3 4 3 3 2" xfId="45307"/>
    <cellStyle name="20% - Accent1 2 6 3 4 3 4" xfId="20460"/>
    <cellStyle name="20% - Accent1 2 6 3 4 3 4 2" xfId="54474"/>
    <cellStyle name="20% - Accent1 2 6 3 4 3 5" xfId="34075"/>
    <cellStyle name="20% - Accent1 2 6 3 4 4" xfId="13438"/>
    <cellStyle name="20% - Accent1 2 6 3 4 4 2" xfId="25239"/>
    <cellStyle name="20% - Accent1 2 6 3 4 4 2 2" xfId="54475"/>
    <cellStyle name="20% - Accent1 2 6 3 4 4 3" xfId="38854"/>
    <cellStyle name="20% - Accent1 2 6 3 4 5" xfId="6827"/>
    <cellStyle name="20% - Accent1 2 6 3 4 5 2" xfId="45308"/>
    <cellStyle name="20% - Accent1 2 6 3 4 6" xfId="18628"/>
    <cellStyle name="20% - Accent1 2 6 3 4 6 2" xfId="54476"/>
    <cellStyle name="20% - Accent1 2 6 3 4 7" xfId="32243"/>
    <cellStyle name="20% - Accent1 2 6 3 5" xfId="3911"/>
    <cellStyle name="20% - Accent1 2 6 3 5 2" xfId="13439"/>
    <cellStyle name="20% - Accent1 2 6 3 5 2 2" xfId="25240"/>
    <cellStyle name="20% - Accent1 2 6 3 5 2 2 2" xfId="54477"/>
    <cellStyle name="20% - Accent1 2 6 3 5 2 3" xfId="38855"/>
    <cellStyle name="20% - Accent1 2 6 3 5 3" xfId="9364"/>
    <cellStyle name="20% - Accent1 2 6 3 5 3 2" xfId="45309"/>
    <cellStyle name="20% - Accent1 2 6 3 5 4" xfId="21165"/>
    <cellStyle name="20% - Accent1 2 6 3 5 4 2" xfId="54478"/>
    <cellStyle name="20% - Accent1 2 6 3 5 5" xfId="34780"/>
    <cellStyle name="20% - Accent1 2 6 3 6" xfId="2070"/>
    <cellStyle name="20% - Accent1 2 6 3 6 2" xfId="13440"/>
    <cellStyle name="20% - Accent1 2 6 3 6 2 2" xfId="25241"/>
    <cellStyle name="20% - Accent1 2 6 3 6 2 2 2" xfId="54479"/>
    <cellStyle name="20% - Accent1 2 6 3 6 2 3" xfId="38856"/>
    <cellStyle name="20% - Accent1 2 6 3 6 3" xfId="7523"/>
    <cellStyle name="20% - Accent1 2 6 3 6 3 2" xfId="45310"/>
    <cellStyle name="20% - Accent1 2 6 3 6 4" xfId="19324"/>
    <cellStyle name="20% - Accent1 2 6 3 6 4 2" xfId="54480"/>
    <cellStyle name="20% - Accent1 2 6 3 6 5" xfId="32939"/>
    <cellStyle name="20% - Accent1 2 6 3 7" xfId="13441"/>
    <cellStyle name="20% - Accent1 2 6 3 7 2" xfId="25242"/>
    <cellStyle name="20% - Accent1 2 6 3 7 2 2" xfId="54481"/>
    <cellStyle name="20% - Accent1 2 6 3 7 3" xfId="38857"/>
    <cellStyle name="20% - Accent1 2 6 3 8" xfId="5623"/>
    <cellStyle name="20% - Accent1 2 6 3 8 2" xfId="45311"/>
    <cellStyle name="20% - Accent1 2 6 3 9" xfId="17424"/>
    <cellStyle name="20% - Accent1 2 6 3 9 2" xfId="54482"/>
    <cellStyle name="20% - Accent1 2 6 4" xfId="467"/>
    <cellStyle name="20% - Accent1 2 6 4 2" xfId="1374"/>
    <cellStyle name="20% - Accent1 2 6 4 2 2" xfId="4777"/>
    <cellStyle name="20% - Accent1 2 6 4 2 2 2" xfId="13442"/>
    <cellStyle name="20% - Accent1 2 6 4 2 2 2 2" xfId="25243"/>
    <cellStyle name="20% - Accent1 2 6 4 2 2 2 2 2" xfId="54483"/>
    <cellStyle name="20% - Accent1 2 6 4 2 2 2 3" xfId="38858"/>
    <cellStyle name="20% - Accent1 2 6 4 2 2 3" xfId="10230"/>
    <cellStyle name="20% - Accent1 2 6 4 2 2 3 2" xfId="45312"/>
    <cellStyle name="20% - Accent1 2 6 4 2 2 4" xfId="22031"/>
    <cellStyle name="20% - Accent1 2 6 4 2 2 4 2" xfId="54484"/>
    <cellStyle name="20% - Accent1 2 6 4 2 2 5" xfId="35646"/>
    <cellStyle name="20% - Accent1 2 6 4 2 3" xfId="2936"/>
    <cellStyle name="20% - Accent1 2 6 4 2 3 2" xfId="13443"/>
    <cellStyle name="20% - Accent1 2 6 4 2 3 2 2" xfId="25244"/>
    <cellStyle name="20% - Accent1 2 6 4 2 3 2 2 2" xfId="54485"/>
    <cellStyle name="20% - Accent1 2 6 4 2 3 2 3" xfId="38859"/>
    <cellStyle name="20% - Accent1 2 6 4 2 3 3" xfId="8389"/>
    <cellStyle name="20% - Accent1 2 6 4 2 3 3 2" xfId="45313"/>
    <cellStyle name="20% - Accent1 2 6 4 2 3 4" xfId="20190"/>
    <cellStyle name="20% - Accent1 2 6 4 2 3 4 2" xfId="54486"/>
    <cellStyle name="20% - Accent1 2 6 4 2 3 5" xfId="33805"/>
    <cellStyle name="20% - Accent1 2 6 4 2 4" xfId="13444"/>
    <cellStyle name="20% - Accent1 2 6 4 2 4 2" xfId="25245"/>
    <cellStyle name="20% - Accent1 2 6 4 2 4 2 2" xfId="54487"/>
    <cellStyle name="20% - Accent1 2 6 4 2 4 3" xfId="38860"/>
    <cellStyle name="20% - Accent1 2 6 4 2 5" xfId="6828"/>
    <cellStyle name="20% - Accent1 2 6 4 2 5 2" xfId="45314"/>
    <cellStyle name="20% - Accent1 2 6 4 2 6" xfId="18629"/>
    <cellStyle name="20% - Accent1 2 6 4 2 6 2" xfId="54488"/>
    <cellStyle name="20% - Accent1 2 6 4 2 7" xfId="32244"/>
    <cellStyle name="20% - Accent1 2 6 4 3" xfId="3504"/>
    <cellStyle name="20% - Accent1 2 6 4 3 2" xfId="5345"/>
    <cellStyle name="20% - Accent1 2 6 4 3 2 2" xfId="16815"/>
    <cellStyle name="20% - Accent1 2 6 4 3 2 2 2" xfId="28616"/>
    <cellStyle name="20% - Accent1 2 6 4 3 2 2 2 2" xfId="54489"/>
    <cellStyle name="20% - Accent1 2 6 4 3 2 2 3" xfId="42231"/>
    <cellStyle name="20% - Accent1 2 6 4 3 2 3" xfId="10798"/>
    <cellStyle name="20% - Accent1 2 6 4 3 2 3 2" xfId="54490"/>
    <cellStyle name="20% - Accent1 2 6 4 3 2 4" xfId="22599"/>
    <cellStyle name="20% - Accent1 2 6 4 3 2 4 2" xfId="54491"/>
    <cellStyle name="20% - Accent1 2 6 4 3 2 5" xfId="36214"/>
    <cellStyle name="20% - Accent1 2 6 4 3 3" xfId="13445"/>
    <cellStyle name="20% - Accent1 2 6 4 3 3 2" xfId="25246"/>
    <cellStyle name="20% - Accent1 2 6 4 3 3 2 2" xfId="54492"/>
    <cellStyle name="20% - Accent1 2 6 4 3 3 3" xfId="38861"/>
    <cellStyle name="20% - Accent1 2 6 4 3 4" xfId="8957"/>
    <cellStyle name="20% - Accent1 2 6 4 3 4 2" xfId="54493"/>
    <cellStyle name="20% - Accent1 2 6 4 3 5" xfId="20758"/>
    <cellStyle name="20% - Accent1 2 6 4 3 5 2" xfId="54494"/>
    <cellStyle name="20% - Accent1 2 6 4 3 6" xfId="34373"/>
    <cellStyle name="20% - Accent1 2 6 4 4" xfId="4209"/>
    <cellStyle name="20% - Accent1 2 6 4 4 2" xfId="13446"/>
    <cellStyle name="20% - Accent1 2 6 4 4 2 2" xfId="25247"/>
    <cellStyle name="20% - Accent1 2 6 4 4 2 2 2" xfId="54495"/>
    <cellStyle name="20% - Accent1 2 6 4 4 2 3" xfId="38862"/>
    <cellStyle name="20% - Accent1 2 6 4 4 3" xfId="9662"/>
    <cellStyle name="20% - Accent1 2 6 4 4 3 2" xfId="45315"/>
    <cellStyle name="20% - Accent1 2 6 4 4 4" xfId="21463"/>
    <cellStyle name="20% - Accent1 2 6 4 4 4 2" xfId="54496"/>
    <cellStyle name="20% - Accent1 2 6 4 4 5" xfId="35078"/>
    <cellStyle name="20% - Accent1 2 6 4 5" xfId="2368"/>
    <cellStyle name="20% - Accent1 2 6 4 5 2" xfId="17072"/>
    <cellStyle name="20% - Accent1 2 6 4 5 2 2" xfId="28873"/>
    <cellStyle name="20% - Accent1 2 6 4 5 2 2 2" xfId="54497"/>
    <cellStyle name="20% - Accent1 2 6 4 5 2 3" xfId="42488"/>
    <cellStyle name="20% - Accent1 2 6 4 5 3" xfId="7821"/>
    <cellStyle name="20% - Accent1 2 6 4 5 3 2" xfId="54498"/>
    <cellStyle name="20% - Accent1 2 6 4 5 4" xfId="19622"/>
    <cellStyle name="20% - Accent1 2 6 4 5 4 2" xfId="54499"/>
    <cellStyle name="20% - Accent1 2 6 4 5 5" xfId="33237"/>
    <cellStyle name="20% - Accent1 2 6 4 6" xfId="13447"/>
    <cellStyle name="20% - Accent1 2 6 4 6 2" xfId="25248"/>
    <cellStyle name="20% - Accent1 2 6 4 6 2 2" xfId="54500"/>
    <cellStyle name="20% - Accent1 2 6 4 6 3" xfId="38863"/>
    <cellStyle name="20% - Accent1 2 6 4 7" xfId="5921"/>
    <cellStyle name="20% - Accent1 2 6 4 7 2" xfId="54501"/>
    <cellStyle name="20% - Accent1 2 6 4 8" xfId="17722"/>
    <cellStyle name="20% - Accent1 2 6 4 8 2" xfId="54502"/>
    <cellStyle name="20% - Accent1 2 6 4 9" xfId="31337"/>
    <cellStyle name="20% - Accent1 2 6 5" xfId="281"/>
    <cellStyle name="20% - Accent1 2 6 5 2" xfId="1375"/>
    <cellStyle name="20% - Accent1 2 6 5 2 2" xfId="4591"/>
    <cellStyle name="20% - Accent1 2 6 5 2 2 2" xfId="13448"/>
    <cellStyle name="20% - Accent1 2 6 5 2 2 2 2" xfId="25249"/>
    <cellStyle name="20% - Accent1 2 6 5 2 2 2 2 2" xfId="54503"/>
    <cellStyle name="20% - Accent1 2 6 5 2 2 2 3" xfId="38864"/>
    <cellStyle name="20% - Accent1 2 6 5 2 2 3" xfId="10044"/>
    <cellStyle name="20% - Accent1 2 6 5 2 2 3 2" xfId="45316"/>
    <cellStyle name="20% - Accent1 2 6 5 2 2 4" xfId="21845"/>
    <cellStyle name="20% - Accent1 2 6 5 2 2 4 2" xfId="54504"/>
    <cellStyle name="20% - Accent1 2 6 5 2 2 5" xfId="35460"/>
    <cellStyle name="20% - Accent1 2 6 5 2 3" xfId="2750"/>
    <cellStyle name="20% - Accent1 2 6 5 2 3 2" xfId="13449"/>
    <cellStyle name="20% - Accent1 2 6 5 2 3 2 2" xfId="25250"/>
    <cellStyle name="20% - Accent1 2 6 5 2 3 2 2 2" xfId="54505"/>
    <cellStyle name="20% - Accent1 2 6 5 2 3 2 3" xfId="38865"/>
    <cellStyle name="20% - Accent1 2 6 5 2 3 3" xfId="8203"/>
    <cellStyle name="20% - Accent1 2 6 5 2 3 3 2" xfId="45317"/>
    <cellStyle name="20% - Accent1 2 6 5 2 3 4" xfId="20004"/>
    <cellStyle name="20% - Accent1 2 6 5 2 3 4 2" xfId="54506"/>
    <cellStyle name="20% - Accent1 2 6 5 2 3 5" xfId="33619"/>
    <cellStyle name="20% - Accent1 2 6 5 2 4" xfId="13450"/>
    <cellStyle name="20% - Accent1 2 6 5 2 4 2" xfId="25251"/>
    <cellStyle name="20% - Accent1 2 6 5 2 4 2 2" xfId="54507"/>
    <cellStyle name="20% - Accent1 2 6 5 2 4 3" xfId="38866"/>
    <cellStyle name="20% - Accent1 2 6 5 2 5" xfId="6829"/>
    <cellStyle name="20% - Accent1 2 6 5 2 5 2" xfId="45318"/>
    <cellStyle name="20% - Accent1 2 6 5 2 6" xfId="18630"/>
    <cellStyle name="20% - Accent1 2 6 5 2 6 2" xfId="54508"/>
    <cellStyle name="20% - Accent1 2 6 5 2 7" xfId="32245"/>
    <cellStyle name="20% - Accent1 2 6 5 3" xfId="3318"/>
    <cellStyle name="20% - Accent1 2 6 5 3 2" xfId="5159"/>
    <cellStyle name="20% - Accent1 2 6 5 3 2 2" xfId="16629"/>
    <cellStyle name="20% - Accent1 2 6 5 3 2 2 2" xfId="28430"/>
    <cellStyle name="20% - Accent1 2 6 5 3 2 2 2 2" xfId="54509"/>
    <cellStyle name="20% - Accent1 2 6 5 3 2 2 3" xfId="42045"/>
    <cellStyle name="20% - Accent1 2 6 5 3 2 3" xfId="10612"/>
    <cellStyle name="20% - Accent1 2 6 5 3 2 3 2" xfId="54510"/>
    <cellStyle name="20% - Accent1 2 6 5 3 2 4" xfId="22413"/>
    <cellStyle name="20% - Accent1 2 6 5 3 2 4 2" xfId="54511"/>
    <cellStyle name="20% - Accent1 2 6 5 3 2 5" xfId="36028"/>
    <cellStyle name="20% - Accent1 2 6 5 3 3" xfId="13451"/>
    <cellStyle name="20% - Accent1 2 6 5 3 3 2" xfId="25252"/>
    <cellStyle name="20% - Accent1 2 6 5 3 3 2 2" xfId="54512"/>
    <cellStyle name="20% - Accent1 2 6 5 3 3 3" xfId="38867"/>
    <cellStyle name="20% - Accent1 2 6 5 3 4" xfId="8771"/>
    <cellStyle name="20% - Accent1 2 6 5 3 4 2" xfId="54513"/>
    <cellStyle name="20% - Accent1 2 6 5 3 5" xfId="20572"/>
    <cellStyle name="20% - Accent1 2 6 5 3 5 2" xfId="54514"/>
    <cellStyle name="20% - Accent1 2 6 5 3 6" xfId="34187"/>
    <cellStyle name="20% - Accent1 2 6 5 4" xfId="4023"/>
    <cellStyle name="20% - Accent1 2 6 5 4 2" xfId="13452"/>
    <cellStyle name="20% - Accent1 2 6 5 4 2 2" xfId="25253"/>
    <cellStyle name="20% - Accent1 2 6 5 4 2 2 2" xfId="54515"/>
    <cellStyle name="20% - Accent1 2 6 5 4 2 3" xfId="38868"/>
    <cellStyle name="20% - Accent1 2 6 5 4 3" xfId="9476"/>
    <cellStyle name="20% - Accent1 2 6 5 4 3 2" xfId="45319"/>
    <cellStyle name="20% - Accent1 2 6 5 4 4" xfId="21277"/>
    <cellStyle name="20% - Accent1 2 6 5 4 4 2" xfId="54516"/>
    <cellStyle name="20% - Accent1 2 6 5 4 5" xfId="34892"/>
    <cellStyle name="20% - Accent1 2 6 5 5" xfId="2182"/>
    <cellStyle name="20% - Accent1 2 6 5 5 2" xfId="17073"/>
    <cellStyle name="20% - Accent1 2 6 5 5 2 2" xfId="28874"/>
    <cellStyle name="20% - Accent1 2 6 5 5 2 2 2" xfId="54517"/>
    <cellStyle name="20% - Accent1 2 6 5 5 2 3" xfId="42489"/>
    <cellStyle name="20% - Accent1 2 6 5 5 3" xfId="7635"/>
    <cellStyle name="20% - Accent1 2 6 5 5 3 2" xfId="54518"/>
    <cellStyle name="20% - Accent1 2 6 5 5 4" xfId="19436"/>
    <cellStyle name="20% - Accent1 2 6 5 5 4 2" xfId="54519"/>
    <cellStyle name="20% - Accent1 2 6 5 5 5" xfId="33051"/>
    <cellStyle name="20% - Accent1 2 6 5 6" xfId="13453"/>
    <cellStyle name="20% - Accent1 2 6 5 6 2" xfId="25254"/>
    <cellStyle name="20% - Accent1 2 6 5 6 2 2" xfId="54520"/>
    <cellStyle name="20% - Accent1 2 6 5 6 3" xfId="38869"/>
    <cellStyle name="20% - Accent1 2 6 5 7" xfId="5735"/>
    <cellStyle name="20% - Accent1 2 6 5 7 2" xfId="54521"/>
    <cellStyle name="20% - Accent1 2 6 5 8" xfId="17536"/>
    <cellStyle name="20% - Accent1 2 6 5 8 2" xfId="54522"/>
    <cellStyle name="20% - Accent1 2 6 5 9" xfId="31151"/>
    <cellStyle name="20% - Accent1 2 6 6" xfId="608"/>
    <cellStyle name="20% - Accent1 2 6 6 2" xfId="1376"/>
    <cellStyle name="20% - Accent1 2 6 6 2 2" xfId="4350"/>
    <cellStyle name="20% - Accent1 2 6 6 2 2 2" xfId="13454"/>
    <cellStyle name="20% - Accent1 2 6 6 2 2 2 2" xfId="25255"/>
    <cellStyle name="20% - Accent1 2 6 6 2 2 2 2 2" xfId="54523"/>
    <cellStyle name="20% - Accent1 2 6 6 2 2 2 3" xfId="38870"/>
    <cellStyle name="20% - Accent1 2 6 6 2 2 3" xfId="9803"/>
    <cellStyle name="20% - Accent1 2 6 6 2 2 3 2" xfId="45320"/>
    <cellStyle name="20% - Accent1 2 6 6 2 2 4" xfId="21604"/>
    <cellStyle name="20% - Accent1 2 6 6 2 2 4 2" xfId="54524"/>
    <cellStyle name="20% - Accent1 2 6 6 2 2 5" xfId="35219"/>
    <cellStyle name="20% - Accent1 2 6 6 2 3" xfId="13455"/>
    <cellStyle name="20% - Accent1 2 6 6 2 3 2" xfId="25256"/>
    <cellStyle name="20% - Accent1 2 6 6 2 3 2 2" xfId="45321"/>
    <cellStyle name="20% - Accent1 2 6 6 2 3 3" xfId="29857"/>
    <cellStyle name="20% - Accent1 2 6 6 2 3 3 2" xfId="45322"/>
    <cellStyle name="20% - Accent1 2 6 6 2 3 4" xfId="29858"/>
    <cellStyle name="20% - Accent1 2 6 6 2 3 4 2" xfId="54525"/>
    <cellStyle name="20% - Accent1 2 6 6 2 3 5" xfId="38871"/>
    <cellStyle name="20% - Accent1 2 6 6 2 4" xfId="13456"/>
    <cellStyle name="20% - Accent1 2 6 6 2 4 2" xfId="25257"/>
    <cellStyle name="20% - Accent1 2 6 6 2 4 2 2" xfId="54526"/>
    <cellStyle name="20% - Accent1 2 6 6 2 4 3" xfId="38872"/>
    <cellStyle name="20% - Accent1 2 6 6 2 5" xfId="6830"/>
    <cellStyle name="20% - Accent1 2 6 6 2 5 2" xfId="45323"/>
    <cellStyle name="20% - Accent1 2 6 6 2 6" xfId="18631"/>
    <cellStyle name="20% - Accent1 2 6 6 2 6 2" xfId="54527"/>
    <cellStyle name="20% - Accent1 2 6 6 2 7" xfId="32246"/>
    <cellStyle name="20% - Accent1 2 6 6 3" xfId="2509"/>
    <cellStyle name="20% - Accent1 2 6 6 3 2" xfId="13457"/>
    <cellStyle name="20% - Accent1 2 6 6 3 2 2" xfId="25258"/>
    <cellStyle name="20% - Accent1 2 6 6 3 2 2 2" xfId="54528"/>
    <cellStyle name="20% - Accent1 2 6 6 3 2 3" xfId="38873"/>
    <cellStyle name="20% - Accent1 2 6 6 3 3" xfId="7962"/>
    <cellStyle name="20% - Accent1 2 6 6 3 3 2" xfId="45324"/>
    <cellStyle name="20% - Accent1 2 6 6 3 4" xfId="19763"/>
    <cellStyle name="20% - Accent1 2 6 6 3 4 2" xfId="54529"/>
    <cellStyle name="20% - Accent1 2 6 6 3 5" xfId="33378"/>
    <cellStyle name="20% - Accent1 2 6 6 4" xfId="13458"/>
    <cellStyle name="20% - Accent1 2 6 6 4 2" xfId="25259"/>
    <cellStyle name="20% - Accent1 2 6 6 4 2 2" xfId="45325"/>
    <cellStyle name="20% - Accent1 2 6 6 4 3" xfId="29859"/>
    <cellStyle name="20% - Accent1 2 6 6 4 3 2" xfId="45326"/>
    <cellStyle name="20% - Accent1 2 6 6 4 4" xfId="29860"/>
    <cellStyle name="20% - Accent1 2 6 6 4 4 2" xfId="54530"/>
    <cellStyle name="20% - Accent1 2 6 6 4 5" xfId="38874"/>
    <cellStyle name="20% - Accent1 2 6 6 5" xfId="13459"/>
    <cellStyle name="20% - Accent1 2 6 6 5 2" xfId="25260"/>
    <cellStyle name="20% - Accent1 2 6 6 5 2 2" xfId="54531"/>
    <cellStyle name="20% - Accent1 2 6 6 5 3" xfId="38875"/>
    <cellStyle name="20% - Accent1 2 6 6 6" xfId="6062"/>
    <cellStyle name="20% - Accent1 2 6 6 6 2" xfId="45327"/>
    <cellStyle name="20% - Accent1 2 6 6 7" xfId="17863"/>
    <cellStyle name="20% - Accent1 2 6 6 7 2" xfId="54532"/>
    <cellStyle name="20% - Accent1 2 6 6 8" xfId="31478"/>
    <cellStyle name="20% - Accent1 2 6 7" xfId="849"/>
    <cellStyle name="20% - Accent1 2 6 7 2" xfId="1377"/>
    <cellStyle name="20% - Accent1 2 6 7 2 2" xfId="4918"/>
    <cellStyle name="20% - Accent1 2 6 7 2 2 2" xfId="13460"/>
    <cellStyle name="20% - Accent1 2 6 7 2 2 2 2" xfId="25261"/>
    <cellStyle name="20% - Accent1 2 6 7 2 2 2 2 2" xfId="54533"/>
    <cellStyle name="20% - Accent1 2 6 7 2 2 2 3" xfId="38876"/>
    <cellStyle name="20% - Accent1 2 6 7 2 2 3" xfId="10371"/>
    <cellStyle name="20% - Accent1 2 6 7 2 2 3 2" xfId="45328"/>
    <cellStyle name="20% - Accent1 2 6 7 2 2 4" xfId="22172"/>
    <cellStyle name="20% - Accent1 2 6 7 2 2 4 2" xfId="54534"/>
    <cellStyle name="20% - Accent1 2 6 7 2 2 5" xfId="35787"/>
    <cellStyle name="20% - Accent1 2 6 7 2 3" xfId="13461"/>
    <cellStyle name="20% - Accent1 2 6 7 2 3 2" xfId="25262"/>
    <cellStyle name="20% - Accent1 2 6 7 2 3 2 2" xfId="45329"/>
    <cellStyle name="20% - Accent1 2 6 7 2 3 3" xfId="29861"/>
    <cellStyle name="20% - Accent1 2 6 7 2 3 3 2" xfId="45330"/>
    <cellStyle name="20% - Accent1 2 6 7 2 3 4" xfId="29862"/>
    <cellStyle name="20% - Accent1 2 6 7 2 3 4 2" xfId="54535"/>
    <cellStyle name="20% - Accent1 2 6 7 2 3 5" xfId="38877"/>
    <cellStyle name="20% - Accent1 2 6 7 2 4" xfId="13462"/>
    <cellStyle name="20% - Accent1 2 6 7 2 4 2" xfId="25263"/>
    <cellStyle name="20% - Accent1 2 6 7 2 4 2 2" xfId="54536"/>
    <cellStyle name="20% - Accent1 2 6 7 2 4 3" xfId="38878"/>
    <cellStyle name="20% - Accent1 2 6 7 2 5" xfId="6831"/>
    <cellStyle name="20% - Accent1 2 6 7 2 5 2" xfId="45331"/>
    <cellStyle name="20% - Accent1 2 6 7 2 6" xfId="18632"/>
    <cellStyle name="20% - Accent1 2 6 7 2 6 2" xfId="54537"/>
    <cellStyle name="20% - Accent1 2 6 7 2 7" xfId="32247"/>
    <cellStyle name="20% - Accent1 2 6 7 3" xfId="3077"/>
    <cellStyle name="20% - Accent1 2 6 7 3 2" xfId="13463"/>
    <cellStyle name="20% - Accent1 2 6 7 3 2 2" xfId="25264"/>
    <cellStyle name="20% - Accent1 2 6 7 3 2 2 2" xfId="54538"/>
    <cellStyle name="20% - Accent1 2 6 7 3 2 3" xfId="38879"/>
    <cellStyle name="20% - Accent1 2 6 7 3 3" xfId="8530"/>
    <cellStyle name="20% - Accent1 2 6 7 3 3 2" xfId="45332"/>
    <cellStyle name="20% - Accent1 2 6 7 3 4" xfId="20331"/>
    <cellStyle name="20% - Accent1 2 6 7 3 4 2" xfId="54539"/>
    <cellStyle name="20% - Accent1 2 6 7 3 5" xfId="33946"/>
    <cellStyle name="20% - Accent1 2 6 7 4" xfId="13464"/>
    <cellStyle name="20% - Accent1 2 6 7 4 2" xfId="25265"/>
    <cellStyle name="20% - Accent1 2 6 7 4 2 2" xfId="45333"/>
    <cellStyle name="20% - Accent1 2 6 7 4 3" xfId="29863"/>
    <cellStyle name="20% - Accent1 2 6 7 4 3 2" xfId="45334"/>
    <cellStyle name="20% - Accent1 2 6 7 4 4" xfId="29864"/>
    <cellStyle name="20% - Accent1 2 6 7 4 4 2" xfId="54540"/>
    <cellStyle name="20% - Accent1 2 6 7 4 5" xfId="38880"/>
    <cellStyle name="20% - Accent1 2 6 7 5" xfId="13465"/>
    <cellStyle name="20% - Accent1 2 6 7 5 2" xfId="25266"/>
    <cellStyle name="20% - Accent1 2 6 7 5 2 2" xfId="54541"/>
    <cellStyle name="20% - Accent1 2 6 7 5 3" xfId="38881"/>
    <cellStyle name="20% - Accent1 2 6 7 6" xfId="6303"/>
    <cellStyle name="20% - Accent1 2 6 7 6 2" xfId="45335"/>
    <cellStyle name="20% - Accent1 2 6 7 7" xfId="18104"/>
    <cellStyle name="20% - Accent1 2 6 7 7 2" xfId="54542"/>
    <cellStyle name="20% - Accent1 2 6 7 8" xfId="31719"/>
    <cellStyle name="20% - Accent1 2 6 8" xfId="1378"/>
    <cellStyle name="20% - Accent1 2 6 8 2" xfId="3782"/>
    <cellStyle name="20% - Accent1 2 6 8 2 2" xfId="13466"/>
    <cellStyle name="20% - Accent1 2 6 8 2 2 2" xfId="25267"/>
    <cellStyle name="20% - Accent1 2 6 8 2 2 2 2" xfId="54543"/>
    <cellStyle name="20% - Accent1 2 6 8 2 2 3" xfId="38882"/>
    <cellStyle name="20% - Accent1 2 6 8 2 3" xfId="9235"/>
    <cellStyle name="20% - Accent1 2 6 8 2 3 2" xfId="45336"/>
    <cellStyle name="20% - Accent1 2 6 8 2 4" xfId="21036"/>
    <cellStyle name="20% - Accent1 2 6 8 2 4 2" xfId="54544"/>
    <cellStyle name="20% - Accent1 2 6 8 2 5" xfId="34651"/>
    <cellStyle name="20% - Accent1 2 6 8 3" xfId="13467"/>
    <cellStyle name="20% - Accent1 2 6 8 3 2" xfId="25268"/>
    <cellStyle name="20% - Accent1 2 6 8 3 2 2" xfId="45337"/>
    <cellStyle name="20% - Accent1 2 6 8 3 3" xfId="29865"/>
    <cellStyle name="20% - Accent1 2 6 8 3 3 2" xfId="45338"/>
    <cellStyle name="20% - Accent1 2 6 8 3 4" xfId="29866"/>
    <cellStyle name="20% - Accent1 2 6 8 3 4 2" xfId="54545"/>
    <cellStyle name="20% - Accent1 2 6 8 3 5" xfId="38883"/>
    <cellStyle name="20% - Accent1 2 6 8 4" xfId="13468"/>
    <cellStyle name="20% - Accent1 2 6 8 4 2" xfId="25269"/>
    <cellStyle name="20% - Accent1 2 6 8 4 2 2" xfId="54546"/>
    <cellStyle name="20% - Accent1 2 6 8 4 3" xfId="38884"/>
    <cellStyle name="20% - Accent1 2 6 8 5" xfId="6832"/>
    <cellStyle name="20% - Accent1 2 6 8 5 2" xfId="45339"/>
    <cellStyle name="20% - Accent1 2 6 8 6" xfId="18633"/>
    <cellStyle name="20% - Accent1 2 6 8 6 2" xfId="54547"/>
    <cellStyle name="20% - Accent1 2 6 8 7" xfId="32248"/>
    <cellStyle name="20% - Accent1 2 6 9" xfId="3645"/>
    <cellStyle name="20% - Accent1 2 6 9 2" xfId="13469"/>
    <cellStyle name="20% - Accent1 2 6 9 2 2" xfId="25270"/>
    <cellStyle name="20% - Accent1 2 6 9 2 2 2" xfId="54548"/>
    <cellStyle name="20% - Accent1 2 6 9 2 3" xfId="38885"/>
    <cellStyle name="20% - Accent1 2 6 9 3" xfId="9098"/>
    <cellStyle name="20% - Accent1 2 6 9 3 2" xfId="45340"/>
    <cellStyle name="20% - Accent1 2 6 9 4" xfId="20899"/>
    <cellStyle name="20% - Accent1 2 6 9 4 2" xfId="54549"/>
    <cellStyle name="20% - Accent1 2 6 9 5" xfId="34514"/>
    <cellStyle name="20% - Accent1 2 7" xfId="18"/>
    <cellStyle name="20% - Accent1 2 7 10" xfId="1919"/>
    <cellStyle name="20% - Accent1 2 7 10 2" xfId="13470"/>
    <cellStyle name="20% - Accent1 2 7 10 2 2" xfId="25271"/>
    <cellStyle name="20% - Accent1 2 7 10 2 2 2" xfId="54550"/>
    <cellStyle name="20% - Accent1 2 7 10 2 3" xfId="38886"/>
    <cellStyle name="20% - Accent1 2 7 10 3" xfId="7372"/>
    <cellStyle name="20% - Accent1 2 7 10 3 2" xfId="45341"/>
    <cellStyle name="20% - Accent1 2 7 10 4" xfId="19173"/>
    <cellStyle name="20% - Accent1 2 7 10 4 2" xfId="54551"/>
    <cellStyle name="20% - Accent1 2 7 10 5" xfId="32788"/>
    <cellStyle name="20% - Accent1 2 7 11" xfId="13471"/>
    <cellStyle name="20% - Accent1 2 7 11 2" xfId="25272"/>
    <cellStyle name="20% - Accent1 2 7 11 2 2" xfId="54552"/>
    <cellStyle name="20% - Accent1 2 7 11 3" xfId="38887"/>
    <cellStyle name="20% - Accent1 2 7 12" xfId="5472"/>
    <cellStyle name="20% - Accent1 2 7 12 2" xfId="45342"/>
    <cellStyle name="20% - Accent1 2 7 13" xfId="17273"/>
    <cellStyle name="20% - Accent1 2 7 13 2" xfId="54553"/>
    <cellStyle name="20% - Accent1 2 7 14" xfId="30888"/>
    <cellStyle name="20% - Accent1 2 7 2" xfId="85"/>
    <cellStyle name="20% - Accent1 2 7 2 10" xfId="5539"/>
    <cellStyle name="20% - Accent1 2 7 2 10 2" xfId="45343"/>
    <cellStyle name="20% - Accent1 2 7 2 11" xfId="17340"/>
    <cellStyle name="20% - Accent1 2 7 2 11 2" xfId="54554"/>
    <cellStyle name="20% - Accent1 2 7 2 12" xfId="30955"/>
    <cellStyle name="20% - Accent1 2 7 2 2" xfId="213"/>
    <cellStyle name="20% - Accent1 2 7 2 2 10" xfId="31083"/>
    <cellStyle name="20% - Accent1 2 7 2 2 2" xfId="512"/>
    <cellStyle name="20% - Accent1 2 7 2 2 2 2" xfId="1379"/>
    <cellStyle name="20% - Accent1 2 7 2 2 2 2 2" xfId="4822"/>
    <cellStyle name="20% - Accent1 2 7 2 2 2 2 2 2" xfId="13472"/>
    <cellStyle name="20% - Accent1 2 7 2 2 2 2 2 2 2" xfId="25273"/>
    <cellStyle name="20% - Accent1 2 7 2 2 2 2 2 2 2 2" xfId="54555"/>
    <cellStyle name="20% - Accent1 2 7 2 2 2 2 2 2 3" xfId="38888"/>
    <cellStyle name="20% - Accent1 2 7 2 2 2 2 2 3" xfId="10275"/>
    <cellStyle name="20% - Accent1 2 7 2 2 2 2 2 3 2" xfId="45344"/>
    <cellStyle name="20% - Accent1 2 7 2 2 2 2 2 4" xfId="22076"/>
    <cellStyle name="20% - Accent1 2 7 2 2 2 2 2 4 2" xfId="54556"/>
    <cellStyle name="20% - Accent1 2 7 2 2 2 2 2 5" xfId="35691"/>
    <cellStyle name="20% - Accent1 2 7 2 2 2 2 3" xfId="2981"/>
    <cellStyle name="20% - Accent1 2 7 2 2 2 2 3 2" xfId="13473"/>
    <cellStyle name="20% - Accent1 2 7 2 2 2 2 3 2 2" xfId="25274"/>
    <cellStyle name="20% - Accent1 2 7 2 2 2 2 3 2 2 2" xfId="54557"/>
    <cellStyle name="20% - Accent1 2 7 2 2 2 2 3 2 3" xfId="38889"/>
    <cellStyle name="20% - Accent1 2 7 2 2 2 2 3 3" xfId="8434"/>
    <cellStyle name="20% - Accent1 2 7 2 2 2 2 3 3 2" xfId="45345"/>
    <cellStyle name="20% - Accent1 2 7 2 2 2 2 3 4" xfId="20235"/>
    <cellStyle name="20% - Accent1 2 7 2 2 2 2 3 4 2" xfId="54558"/>
    <cellStyle name="20% - Accent1 2 7 2 2 2 2 3 5" xfId="33850"/>
    <cellStyle name="20% - Accent1 2 7 2 2 2 2 4" xfId="13474"/>
    <cellStyle name="20% - Accent1 2 7 2 2 2 2 4 2" xfId="25275"/>
    <cellStyle name="20% - Accent1 2 7 2 2 2 2 4 2 2" xfId="54559"/>
    <cellStyle name="20% - Accent1 2 7 2 2 2 2 4 3" xfId="38890"/>
    <cellStyle name="20% - Accent1 2 7 2 2 2 2 5" xfId="6833"/>
    <cellStyle name="20% - Accent1 2 7 2 2 2 2 5 2" xfId="45346"/>
    <cellStyle name="20% - Accent1 2 7 2 2 2 2 6" xfId="18634"/>
    <cellStyle name="20% - Accent1 2 7 2 2 2 2 6 2" xfId="54560"/>
    <cellStyle name="20% - Accent1 2 7 2 2 2 2 7" xfId="32249"/>
    <cellStyle name="20% - Accent1 2 7 2 2 2 3" xfId="3549"/>
    <cellStyle name="20% - Accent1 2 7 2 2 2 3 2" xfId="5390"/>
    <cellStyle name="20% - Accent1 2 7 2 2 2 3 2 2" xfId="16860"/>
    <cellStyle name="20% - Accent1 2 7 2 2 2 3 2 2 2" xfId="28661"/>
    <cellStyle name="20% - Accent1 2 7 2 2 2 3 2 2 2 2" xfId="54561"/>
    <cellStyle name="20% - Accent1 2 7 2 2 2 3 2 2 3" xfId="42276"/>
    <cellStyle name="20% - Accent1 2 7 2 2 2 3 2 3" xfId="10843"/>
    <cellStyle name="20% - Accent1 2 7 2 2 2 3 2 3 2" xfId="54562"/>
    <cellStyle name="20% - Accent1 2 7 2 2 2 3 2 4" xfId="22644"/>
    <cellStyle name="20% - Accent1 2 7 2 2 2 3 2 4 2" xfId="54563"/>
    <cellStyle name="20% - Accent1 2 7 2 2 2 3 2 5" xfId="36259"/>
    <cellStyle name="20% - Accent1 2 7 2 2 2 3 3" xfId="13475"/>
    <cellStyle name="20% - Accent1 2 7 2 2 2 3 3 2" xfId="25276"/>
    <cellStyle name="20% - Accent1 2 7 2 2 2 3 3 2 2" xfId="54564"/>
    <cellStyle name="20% - Accent1 2 7 2 2 2 3 3 3" xfId="38891"/>
    <cellStyle name="20% - Accent1 2 7 2 2 2 3 4" xfId="9002"/>
    <cellStyle name="20% - Accent1 2 7 2 2 2 3 4 2" xfId="54565"/>
    <cellStyle name="20% - Accent1 2 7 2 2 2 3 5" xfId="20803"/>
    <cellStyle name="20% - Accent1 2 7 2 2 2 3 5 2" xfId="54566"/>
    <cellStyle name="20% - Accent1 2 7 2 2 2 3 6" xfId="34418"/>
    <cellStyle name="20% - Accent1 2 7 2 2 2 4" xfId="4254"/>
    <cellStyle name="20% - Accent1 2 7 2 2 2 4 2" xfId="13476"/>
    <cellStyle name="20% - Accent1 2 7 2 2 2 4 2 2" xfId="25277"/>
    <cellStyle name="20% - Accent1 2 7 2 2 2 4 2 2 2" xfId="54567"/>
    <cellStyle name="20% - Accent1 2 7 2 2 2 4 2 3" xfId="38892"/>
    <cellStyle name="20% - Accent1 2 7 2 2 2 4 3" xfId="9707"/>
    <cellStyle name="20% - Accent1 2 7 2 2 2 4 3 2" xfId="45347"/>
    <cellStyle name="20% - Accent1 2 7 2 2 2 4 4" xfId="21508"/>
    <cellStyle name="20% - Accent1 2 7 2 2 2 4 4 2" xfId="54568"/>
    <cellStyle name="20% - Accent1 2 7 2 2 2 4 5" xfId="35123"/>
    <cellStyle name="20% - Accent1 2 7 2 2 2 5" xfId="2413"/>
    <cellStyle name="20% - Accent1 2 7 2 2 2 5 2" xfId="17074"/>
    <cellStyle name="20% - Accent1 2 7 2 2 2 5 2 2" xfId="28875"/>
    <cellStyle name="20% - Accent1 2 7 2 2 2 5 2 2 2" xfId="54569"/>
    <cellStyle name="20% - Accent1 2 7 2 2 2 5 2 3" xfId="42490"/>
    <cellStyle name="20% - Accent1 2 7 2 2 2 5 3" xfId="7866"/>
    <cellStyle name="20% - Accent1 2 7 2 2 2 5 3 2" xfId="54570"/>
    <cellStyle name="20% - Accent1 2 7 2 2 2 5 4" xfId="19667"/>
    <cellStyle name="20% - Accent1 2 7 2 2 2 5 4 2" xfId="54571"/>
    <cellStyle name="20% - Accent1 2 7 2 2 2 5 5" xfId="33282"/>
    <cellStyle name="20% - Accent1 2 7 2 2 2 6" xfId="13477"/>
    <cellStyle name="20% - Accent1 2 7 2 2 2 6 2" xfId="25278"/>
    <cellStyle name="20% - Accent1 2 7 2 2 2 6 2 2" xfId="54572"/>
    <cellStyle name="20% - Accent1 2 7 2 2 2 6 3" xfId="38893"/>
    <cellStyle name="20% - Accent1 2 7 2 2 2 7" xfId="5966"/>
    <cellStyle name="20% - Accent1 2 7 2 2 2 7 2" xfId="54573"/>
    <cellStyle name="20% - Accent1 2 7 2 2 2 8" xfId="17767"/>
    <cellStyle name="20% - Accent1 2 7 2 2 2 8 2" xfId="54574"/>
    <cellStyle name="20% - Accent1 2 7 2 2 2 9" xfId="31382"/>
    <cellStyle name="20% - Accent1 2 7 2 2 3" xfId="781"/>
    <cellStyle name="20% - Accent1 2 7 2 2 3 2" xfId="1380"/>
    <cellStyle name="20% - Accent1 2 7 2 2 3 2 2" xfId="4523"/>
    <cellStyle name="20% - Accent1 2 7 2 2 3 2 2 2" xfId="13478"/>
    <cellStyle name="20% - Accent1 2 7 2 2 3 2 2 2 2" xfId="25279"/>
    <cellStyle name="20% - Accent1 2 7 2 2 3 2 2 2 2 2" xfId="54575"/>
    <cellStyle name="20% - Accent1 2 7 2 2 3 2 2 2 3" xfId="38894"/>
    <cellStyle name="20% - Accent1 2 7 2 2 3 2 2 3" xfId="9976"/>
    <cellStyle name="20% - Accent1 2 7 2 2 3 2 2 3 2" xfId="45348"/>
    <cellStyle name="20% - Accent1 2 7 2 2 3 2 2 4" xfId="21777"/>
    <cellStyle name="20% - Accent1 2 7 2 2 3 2 2 4 2" xfId="54576"/>
    <cellStyle name="20% - Accent1 2 7 2 2 3 2 2 5" xfId="35392"/>
    <cellStyle name="20% - Accent1 2 7 2 2 3 2 3" xfId="13479"/>
    <cellStyle name="20% - Accent1 2 7 2 2 3 2 3 2" xfId="25280"/>
    <cellStyle name="20% - Accent1 2 7 2 2 3 2 3 2 2" xfId="45349"/>
    <cellStyle name="20% - Accent1 2 7 2 2 3 2 3 3" xfId="29867"/>
    <cellStyle name="20% - Accent1 2 7 2 2 3 2 3 3 2" xfId="45350"/>
    <cellStyle name="20% - Accent1 2 7 2 2 3 2 3 4" xfId="29868"/>
    <cellStyle name="20% - Accent1 2 7 2 2 3 2 3 4 2" xfId="54577"/>
    <cellStyle name="20% - Accent1 2 7 2 2 3 2 3 5" xfId="38895"/>
    <cellStyle name="20% - Accent1 2 7 2 2 3 2 4" xfId="13480"/>
    <cellStyle name="20% - Accent1 2 7 2 2 3 2 4 2" xfId="25281"/>
    <cellStyle name="20% - Accent1 2 7 2 2 3 2 4 2 2" xfId="54578"/>
    <cellStyle name="20% - Accent1 2 7 2 2 3 2 4 3" xfId="38896"/>
    <cellStyle name="20% - Accent1 2 7 2 2 3 2 5" xfId="6834"/>
    <cellStyle name="20% - Accent1 2 7 2 2 3 2 5 2" xfId="45351"/>
    <cellStyle name="20% - Accent1 2 7 2 2 3 2 6" xfId="18635"/>
    <cellStyle name="20% - Accent1 2 7 2 2 3 2 6 2" xfId="54579"/>
    <cellStyle name="20% - Accent1 2 7 2 2 3 2 7" xfId="32250"/>
    <cellStyle name="20% - Accent1 2 7 2 2 3 3" xfId="2682"/>
    <cellStyle name="20% - Accent1 2 7 2 2 3 3 2" xfId="13481"/>
    <cellStyle name="20% - Accent1 2 7 2 2 3 3 2 2" xfId="25282"/>
    <cellStyle name="20% - Accent1 2 7 2 2 3 3 2 2 2" xfId="54580"/>
    <cellStyle name="20% - Accent1 2 7 2 2 3 3 2 3" xfId="38897"/>
    <cellStyle name="20% - Accent1 2 7 2 2 3 3 3" xfId="8135"/>
    <cellStyle name="20% - Accent1 2 7 2 2 3 3 3 2" xfId="45352"/>
    <cellStyle name="20% - Accent1 2 7 2 2 3 3 4" xfId="19936"/>
    <cellStyle name="20% - Accent1 2 7 2 2 3 3 4 2" xfId="54581"/>
    <cellStyle name="20% - Accent1 2 7 2 2 3 3 5" xfId="33551"/>
    <cellStyle name="20% - Accent1 2 7 2 2 3 4" xfId="13482"/>
    <cellStyle name="20% - Accent1 2 7 2 2 3 4 2" xfId="25283"/>
    <cellStyle name="20% - Accent1 2 7 2 2 3 4 2 2" xfId="45353"/>
    <cellStyle name="20% - Accent1 2 7 2 2 3 4 3" xfId="29869"/>
    <cellStyle name="20% - Accent1 2 7 2 2 3 4 3 2" xfId="45354"/>
    <cellStyle name="20% - Accent1 2 7 2 2 3 4 4" xfId="29870"/>
    <cellStyle name="20% - Accent1 2 7 2 2 3 4 4 2" xfId="54582"/>
    <cellStyle name="20% - Accent1 2 7 2 2 3 4 5" xfId="38898"/>
    <cellStyle name="20% - Accent1 2 7 2 2 3 5" xfId="13483"/>
    <cellStyle name="20% - Accent1 2 7 2 2 3 5 2" xfId="25284"/>
    <cellStyle name="20% - Accent1 2 7 2 2 3 5 2 2" xfId="54583"/>
    <cellStyle name="20% - Accent1 2 7 2 2 3 5 3" xfId="38899"/>
    <cellStyle name="20% - Accent1 2 7 2 2 3 6" xfId="6235"/>
    <cellStyle name="20% - Accent1 2 7 2 2 3 6 2" xfId="45355"/>
    <cellStyle name="20% - Accent1 2 7 2 2 3 7" xfId="18036"/>
    <cellStyle name="20% - Accent1 2 7 2 2 3 7 2" xfId="54584"/>
    <cellStyle name="20% - Accent1 2 7 2 2 3 8" xfId="31651"/>
    <cellStyle name="20% - Accent1 2 7 2 2 4" xfId="1381"/>
    <cellStyle name="20% - Accent1 2 7 2 2 4 2" xfId="5091"/>
    <cellStyle name="20% - Accent1 2 7 2 2 4 2 2" xfId="13484"/>
    <cellStyle name="20% - Accent1 2 7 2 2 4 2 2 2" xfId="25285"/>
    <cellStyle name="20% - Accent1 2 7 2 2 4 2 2 2 2" xfId="54585"/>
    <cellStyle name="20% - Accent1 2 7 2 2 4 2 2 3" xfId="38900"/>
    <cellStyle name="20% - Accent1 2 7 2 2 4 2 3" xfId="10544"/>
    <cellStyle name="20% - Accent1 2 7 2 2 4 2 3 2" xfId="45356"/>
    <cellStyle name="20% - Accent1 2 7 2 2 4 2 4" xfId="22345"/>
    <cellStyle name="20% - Accent1 2 7 2 2 4 2 4 2" xfId="54586"/>
    <cellStyle name="20% - Accent1 2 7 2 2 4 2 5" xfId="35960"/>
    <cellStyle name="20% - Accent1 2 7 2 2 4 3" xfId="3250"/>
    <cellStyle name="20% - Accent1 2 7 2 2 4 3 2" xfId="13485"/>
    <cellStyle name="20% - Accent1 2 7 2 2 4 3 2 2" xfId="25286"/>
    <cellStyle name="20% - Accent1 2 7 2 2 4 3 2 2 2" xfId="54587"/>
    <cellStyle name="20% - Accent1 2 7 2 2 4 3 2 3" xfId="38901"/>
    <cellStyle name="20% - Accent1 2 7 2 2 4 3 3" xfId="8703"/>
    <cellStyle name="20% - Accent1 2 7 2 2 4 3 3 2" xfId="45357"/>
    <cellStyle name="20% - Accent1 2 7 2 2 4 3 4" xfId="20504"/>
    <cellStyle name="20% - Accent1 2 7 2 2 4 3 4 2" xfId="54588"/>
    <cellStyle name="20% - Accent1 2 7 2 2 4 3 5" xfId="34119"/>
    <cellStyle name="20% - Accent1 2 7 2 2 4 4" xfId="13486"/>
    <cellStyle name="20% - Accent1 2 7 2 2 4 4 2" xfId="25287"/>
    <cellStyle name="20% - Accent1 2 7 2 2 4 4 2 2" xfId="54589"/>
    <cellStyle name="20% - Accent1 2 7 2 2 4 4 3" xfId="38902"/>
    <cellStyle name="20% - Accent1 2 7 2 2 4 5" xfId="6835"/>
    <cellStyle name="20% - Accent1 2 7 2 2 4 5 2" xfId="45358"/>
    <cellStyle name="20% - Accent1 2 7 2 2 4 6" xfId="18636"/>
    <cellStyle name="20% - Accent1 2 7 2 2 4 6 2" xfId="54590"/>
    <cellStyle name="20% - Accent1 2 7 2 2 4 7" xfId="32251"/>
    <cellStyle name="20% - Accent1 2 7 2 2 5" xfId="3955"/>
    <cellStyle name="20% - Accent1 2 7 2 2 5 2" xfId="13487"/>
    <cellStyle name="20% - Accent1 2 7 2 2 5 2 2" xfId="25288"/>
    <cellStyle name="20% - Accent1 2 7 2 2 5 2 2 2" xfId="54591"/>
    <cellStyle name="20% - Accent1 2 7 2 2 5 2 3" xfId="38903"/>
    <cellStyle name="20% - Accent1 2 7 2 2 5 3" xfId="9408"/>
    <cellStyle name="20% - Accent1 2 7 2 2 5 3 2" xfId="45359"/>
    <cellStyle name="20% - Accent1 2 7 2 2 5 4" xfId="21209"/>
    <cellStyle name="20% - Accent1 2 7 2 2 5 4 2" xfId="54592"/>
    <cellStyle name="20% - Accent1 2 7 2 2 5 5" xfId="34824"/>
    <cellStyle name="20% - Accent1 2 7 2 2 6" xfId="2114"/>
    <cellStyle name="20% - Accent1 2 7 2 2 6 2" xfId="13488"/>
    <cellStyle name="20% - Accent1 2 7 2 2 6 2 2" xfId="25289"/>
    <cellStyle name="20% - Accent1 2 7 2 2 6 2 2 2" xfId="54593"/>
    <cellStyle name="20% - Accent1 2 7 2 2 6 2 3" xfId="38904"/>
    <cellStyle name="20% - Accent1 2 7 2 2 6 3" xfId="7567"/>
    <cellStyle name="20% - Accent1 2 7 2 2 6 3 2" xfId="45360"/>
    <cellStyle name="20% - Accent1 2 7 2 2 6 4" xfId="19368"/>
    <cellStyle name="20% - Accent1 2 7 2 2 6 4 2" xfId="54594"/>
    <cellStyle name="20% - Accent1 2 7 2 2 6 5" xfId="32983"/>
    <cellStyle name="20% - Accent1 2 7 2 2 7" xfId="13489"/>
    <cellStyle name="20% - Accent1 2 7 2 2 7 2" xfId="25290"/>
    <cellStyle name="20% - Accent1 2 7 2 2 7 2 2" xfId="54595"/>
    <cellStyle name="20% - Accent1 2 7 2 2 7 3" xfId="38905"/>
    <cellStyle name="20% - Accent1 2 7 2 2 8" xfId="5667"/>
    <cellStyle name="20% - Accent1 2 7 2 2 8 2" xfId="45361"/>
    <cellStyle name="20% - Accent1 2 7 2 2 9" xfId="17468"/>
    <cellStyle name="20% - Accent1 2 7 2 2 9 2" xfId="54596"/>
    <cellStyle name="20% - Accent1 2 7 2 3" xfId="375"/>
    <cellStyle name="20% - Accent1 2 7 2 3 2" xfId="1382"/>
    <cellStyle name="20% - Accent1 2 7 2 3 2 2" xfId="4685"/>
    <cellStyle name="20% - Accent1 2 7 2 3 2 2 2" xfId="13490"/>
    <cellStyle name="20% - Accent1 2 7 2 3 2 2 2 2" xfId="25291"/>
    <cellStyle name="20% - Accent1 2 7 2 3 2 2 2 2 2" xfId="54597"/>
    <cellStyle name="20% - Accent1 2 7 2 3 2 2 2 3" xfId="38906"/>
    <cellStyle name="20% - Accent1 2 7 2 3 2 2 3" xfId="10138"/>
    <cellStyle name="20% - Accent1 2 7 2 3 2 2 3 2" xfId="45362"/>
    <cellStyle name="20% - Accent1 2 7 2 3 2 2 4" xfId="21939"/>
    <cellStyle name="20% - Accent1 2 7 2 3 2 2 4 2" xfId="54598"/>
    <cellStyle name="20% - Accent1 2 7 2 3 2 2 5" xfId="35554"/>
    <cellStyle name="20% - Accent1 2 7 2 3 2 3" xfId="2844"/>
    <cellStyle name="20% - Accent1 2 7 2 3 2 3 2" xfId="13491"/>
    <cellStyle name="20% - Accent1 2 7 2 3 2 3 2 2" xfId="25292"/>
    <cellStyle name="20% - Accent1 2 7 2 3 2 3 2 2 2" xfId="54599"/>
    <cellStyle name="20% - Accent1 2 7 2 3 2 3 2 3" xfId="38907"/>
    <cellStyle name="20% - Accent1 2 7 2 3 2 3 3" xfId="8297"/>
    <cellStyle name="20% - Accent1 2 7 2 3 2 3 3 2" xfId="45363"/>
    <cellStyle name="20% - Accent1 2 7 2 3 2 3 4" xfId="20098"/>
    <cellStyle name="20% - Accent1 2 7 2 3 2 3 4 2" xfId="54600"/>
    <cellStyle name="20% - Accent1 2 7 2 3 2 3 5" xfId="33713"/>
    <cellStyle name="20% - Accent1 2 7 2 3 2 4" xfId="13492"/>
    <cellStyle name="20% - Accent1 2 7 2 3 2 4 2" xfId="25293"/>
    <cellStyle name="20% - Accent1 2 7 2 3 2 4 2 2" xfId="54601"/>
    <cellStyle name="20% - Accent1 2 7 2 3 2 4 3" xfId="38908"/>
    <cellStyle name="20% - Accent1 2 7 2 3 2 5" xfId="6836"/>
    <cellStyle name="20% - Accent1 2 7 2 3 2 5 2" xfId="45364"/>
    <cellStyle name="20% - Accent1 2 7 2 3 2 6" xfId="18637"/>
    <cellStyle name="20% - Accent1 2 7 2 3 2 6 2" xfId="54602"/>
    <cellStyle name="20% - Accent1 2 7 2 3 2 7" xfId="32252"/>
    <cellStyle name="20% - Accent1 2 7 2 3 3" xfId="3412"/>
    <cellStyle name="20% - Accent1 2 7 2 3 3 2" xfId="5253"/>
    <cellStyle name="20% - Accent1 2 7 2 3 3 2 2" xfId="16723"/>
    <cellStyle name="20% - Accent1 2 7 2 3 3 2 2 2" xfId="28524"/>
    <cellStyle name="20% - Accent1 2 7 2 3 3 2 2 2 2" xfId="54603"/>
    <cellStyle name="20% - Accent1 2 7 2 3 3 2 2 3" xfId="42139"/>
    <cellStyle name="20% - Accent1 2 7 2 3 3 2 3" xfId="10706"/>
    <cellStyle name="20% - Accent1 2 7 2 3 3 2 3 2" xfId="54604"/>
    <cellStyle name="20% - Accent1 2 7 2 3 3 2 4" xfId="22507"/>
    <cellStyle name="20% - Accent1 2 7 2 3 3 2 4 2" xfId="54605"/>
    <cellStyle name="20% - Accent1 2 7 2 3 3 2 5" xfId="36122"/>
    <cellStyle name="20% - Accent1 2 7 2 3 3 3" xfId="13493"/>
    <cellStyle name="20% - Accent1 2 7 2 3 3 3 2" xfId="25294"/>
    <cellStyle name="20% - Accent1 2 7 2 3 3 3 2 2" xfId="54606"/>
    <cellStyle name="20% - Accent1 2 7 2 3 3 3 3" xfId="38909"/>
    <cellStyle name="20% - Accent1 2 7 2 3 3 4" xfId="8865"/>
    <cellStyle name="20% - Accent1 2 7 2 3 3 4 2" xfId="54607"/>
    <cellStyle name="20% - Accent1 2 7 2 3 3 5" xfId="20666"/>
    <cellStyle name="20% - Accent1 2 7 2 3 3 5 2" xfId="54608"/>
    <cellStyle name="20% - Accent1 2 7 2 3 3 6" xfId="34281"/>
    <cellStyle name="20% - Accent1 2 7 2 3 4" xfId="4117"/>
    <cellStyle name="20% - Accent1 2 7 2 3 4 2" xfId="13494"/>
    <cellStyle name="20% - Accent1 2 7 2 3 4 2 2" xfId="25295"/>
    <cellStyle name="20% - Accent1 2 7 2 3 4 2 2 2" xfId="54609"/>
    <cellStyle name="20% - Accent1 2 7 2 3 4 2 3" xfId="38910"/>
    <cellStyle name="20% - Accent1 2 7 2 3 4 3" xfId="9570"/>
    <cellStyle name="20% - Accent1 2 7 2 3 4 3 2" xfId="45365"/>
    <cellStyle name="20% - Accent1 2 7 2 3 4 4" xfId="21371"/>
    <cellStyle name="20% - Accent1 2 7 2 3 4 4 2" xfId="54610"/>
    <cellStyle name="20% - Accent1 2 7 2 3 4 5" xfId="34986"/>
    <cellStyle name="20% - Accent1 2 7 2 3 5" xfId="2276"/>
    <cellStyle name="20% - Accent1 2 7 2 3 5 2" xfId="17075"/>
    <cellStyle name="20% - Accent1 2 7 2 3 5 2 2" xfId="28876"/>
    <cellStyle name="20% - Accent1 2 7 2 3 5 2 2 2" xfId="54611"/>
    <cellStyle name="20% - Accent1 2 7 2 3 5 2 3" xfId="42491"/>
    <cellStyle name="20% - Accent1 2 7 2 3 5 3" xfId="7729"/>
    <cellStyle name="20% - Accent1 2 7 2 3 5 3 2" xfId="54612"/>
    <cellStyle name="20% - Accent1 2 7 2 3 5 4" xfId="19530"/>
    <cellStyle name="20% - Accent1 2 7 2 3 5 4 2" xfId="54613"/>
    <cellStyle name="20% - Accent1 2 7 2 3 5 5" xfId="33145"/>
    <cellStyle name="20% - Accent1 2 7 2 3 6" xfId="13495"/>
    <cellStyle name="20% - Accent1 2 7 2 3 6 2" xfId="25296"/>
    <cellStyle name="20% - Accent1 2 7 2 3 6 2 2" xfId="54614"/>
    <cellStyle name="20% - Accent1 2 7 2 3 6 3" xfId="38911"/>
    <cellStyle name="20% - Accent1 2 7 2 3 7" xfId="5829"/>
    <cellStyle name="20% - Accent1 2 7 2 3 7 2" xfId="54615"/>
    <cellStyle name="20% - Accent1 2 7 2 3 8" xfId="17630"/>
    <cellStyle name="20% - Accent1 2 7 2 3 8 2" xfId="54616"/>
    <cellStyle name="20% - Accent1 2 7 2 3 9" xfId="31245"/>
    <cellStyle name="20% - Accent1 2 7 2 4" xfId="653"/>
    <cellStyle name="20% - Accent1 2 7 2 4 2" xfId="1383"/>
    <cellStyle name="20% - Accent1 2 7 2 4 2 2" xfId="4395"/>
    <cellStyle name="20% - Accent1 2 7 2 4 2 2 2" xfId="13496"/>
    <cellStyle name="20% - Accent1 2 7 2 4 2 2 2 2" xfId="25297"/>
    <cellStyle name="20% - Accent1 2 7 2 4 2 2 2 2 2" xfId="54617"/>
    <cellStyle name="20% - Accent1 2 7 2 4 2 2 2 3" xfId="38912"/>
    <cellStyle name="20% - Accent1 2 7 2 4 2 2 3" xfId="9848"/>
    <cellStyle name="20% - Accent1 2 7 2 4 2 2 3 2" xfId="45366"/>
    <cellStyle name="20% - Accent1 2 7 2 4 2 2 4" xfId="21649"/>
    <cellStyle name="20% - Accent1 2 7 2 4 2 2 4 2" xfId="54618"/>
    <cellStyle name="20% - Accent1 2 7 2 4 2 2 5" xfId="35264"/>
    <cellStyle name="20% - Accent1 2 7 2 4 2 3" xfId="13497"/>
    <cellStyle name="20% - Accent1 2 7 2 4 2 3 2" xfId="25298"/>
    <cellStyle name="20% - Accent1 2 7 2 4 2 3 2 2" xfId="45367"/>
    <cellStyle name="20% - Accent1 2 7 2 4 2 3 3" xfId="29871"/>
    <cellStyle name="20% - Accent1 2 7 2 4 2 3 3 2" xfId="45368"/>
    <cellStyle name="20% - Accent1 2 7 2 4 2 3 4" xfId="29872"/>
    <cellStyle name="20% - Accent1 2 7 2 4 2 3 4 2" xfId="54619"/>
    <cellStyle name="20% - Accent1 2 7 2 4 2 3 5" xfId="38913"/>
    <cellStyle name="20% - Accent1 2 7 2 4 2 4" xfId="13498"/>
    <cellStyle name="20% - Accent1 2 7 2 4 2 4 2" xfId="25299"/>
    <cellStyle name="20% - Accent1 2 7 2 4 2 4 2 2" xfId="54620"/>
    <cellStyle name="20% - Accent1 2 7 2 4 2 4 3" xfId="38914"/>
    <cellStyle name="20% - Accent1 2 7 2 4 2 5" xfId="6837"/>
    <cellStyle name="20% - Accent1 2 7 2 4 2 5 2" xfId="45369"/>
    <cellStyle name="20% - Accent1 2 7 2 4 2 6" xfId="18638"/>
    <cellStyle name="20% - Accent1 2 7 2 4 2 6 2" xfId="54621"/>
    <cellStyle name="20% - Accent1 2 7 2 4 2 7" xfId="32253"/>
    <cellStyle name="20% - Accent1 2 7 2 4 3" xfId="2554"/>
    <cellStyle name="20% - Accent1 2 7 2 4 3 2" xfId="13499"/>
    <cellStyle name="20% - Accent1 2 7 2 4 3 2 2" xfId="25300"/>
    <cellStyle name="20% - Accent1 2 7 2 4 3 2 2 2" xfId="54622"/>
    <cellStyle name="20% - Accent1 2 7 2 4 3 2 3" xfId="38915"/>
    <cellStyle name="20% - Accent1 2 7 2 4 3 3" xfId="8007"/>
    <cellStyle name="20% - Accent1 2 7 2 4 3 3 2" xfId="45370"/>
    <cellStyle name="20% - Accent1 2 7 2 4 3 4" xfId="19808"/>
    <cellStyle name="20% - Accent1 2 7 2 4 3 4 2" xfId="54623"/>
    <cellStyle name="20% - Accent1 2 7 2 4 3 5" xfId="33423"/>
    <cellStyle name="20% - Accent1 2 7 2 4 4" xfId="13500"/>
    <cellStyle name="20% - Accent1 2 7 2 4 4 2" xfId="25301"/>
    <cellStyle name="20% - Accent1 2 7 2 4 4 2 2" xfId="45371"/>
    <cellStyle name="20% - Accent1 2 7 2 4 4 3" xfId="29873"/>
    <cellStyle name="20% - Accent1 2 7 2 4 4 3 2" xfId="45372"/>
    <cellStyle name="20% - Accent1 2 7 2 4 4 4" xfId="29874"/>
    <cellStyle name="20% - Accent1 2 7 2 4 4 4 2" xfId="54624"/>
    <cellStyle name="20% - Accent1 2 7 2 4 4 5" xfId="38916"/>
    <cellStyle name="20% - Accent1 2 7 2 4 5" xfId="13501"/>
    <cellStyle name="20% - Accent1 2 7 2 4 5 2" xfId="25302"/>
    <cellStyle name="20% - Accent1 2 7 2 4 5 2 2" xfId="54625"/>
    <cellStyle name="20% - Accent1 2 7 2 4 5 3" xfId="38917"/>
    <cellStyle name="20% - Accent1 2 7 2 4 6" xfId="6107"/>
    <cellStyle name="20% - Accent1 2 7 2 4 6 2" xfId="45373"/>
    <cellStyle name="20% - Accent1 2 7 2 4 7" xfId="17908"/>
    <cellStyle name="20% - Accent1 2 7 2 4 7 2" xfId="54626"/>
    <cellStyle name="20% - Accent1 2 7 2 4 8" xfId="31523"/>
    <cellStyle name="20% - Accent1 2 7 2 5" xfId="894"/>
    <cellStyle name="20% - Accent1 2 7 2 5 2" xfId="1384"/>
    <cellStyle name="20% - Accent1 2 7 2 5 2 2" xfId="4963"/>
    <cellStyle name="20% - Accent1 2 7 2 5 2 2 2" xfId="13502"/>
    <cellStyle name="20% - Accent1 2 7 2 5 2 2 2 2" xfId="25303"/>
    <cellStyle name="20% - Accent1 2 7 2 5 2 2 2 2 2" xfId="54627"/>
    <cellStyle name="20% - Accent1 2 7 2 5 2 2 2 3" xfId="38918"/>
    <cellStyle name="20% - Accent1 2 7 2 5 2 2 3" xfId="10416"/>
    <cellStyle name="20% - Accent1 2 7 2 5 2 2 3 2" xfId="45374"/>
    <cellStyle name="20% - Accent1 2 7 2 5 2 2 4" xfId="22217"/>
    <cellStyle name="20% - Accent1 2 7 2 5 2 2 4 2" xfId="54628"/>
    <cellStyle name="20% - Accent1 2 7 2 5 2 2 5" xfId="35832"/>
    <cellStyle name="20% - Accent1 2 7 2 5 2 3" xfId="13503"/>
    <cellStyle name="20% - Accent1 2 7 2 5 2 3 2" xfId="25304"/>
    <cellStyle name="20% - Accent1 2 7 2 5 2 3 2 2" xfId="45375"/>
    <cellStyle name="20% - Accent1 2 7 2 5 2 3 3" xfId="29875"/>
    <cellStyle name="20% - Accent1 2 7 2 5 2 3 3 2" xfId="45376"/>
    <cellStyle name="20% - Accent1 2 7 2 5 2 3 4" xfId="29876"/>
    <cellStyle name="20% - Accent1 2 7 2 5 2 3 4 2" xfId="54629"/>
    <cellStyle name="20% - Accent1 2 7 2 5 2 3 5" xfId="38919"/>
    <cellStyle name="20% - Accent1 2 7 2 5 2 4" xfId="13504"/>
    <cellStyle name="20% - Accent1 2 7 2 5 2 4 2" xfId="25305"/>
    <cellStyle name="20% - Accent1 2 7 2 5 2 4 2 2" xfId="54630"/>
    <cellStyle name="20% - Accent1 2 7 2 5 2 4 3" xfId="38920"/>
    <cellStyle name="20% - Accent1 2 7 2 5 2 5" xfId="6838"/>
    <cellStyle name="20% - Accent1 2 7 2 5 2 5 2" xfId="45377"/>
    <cellStyle name="20% - Accent1 2 7 2 5 2 6" xfId="18639"/>
    <cellStyle name="20% - Accent1 2 7 2 5 2 6 2" xfId="54631"/>
    <cellStyle name="20% - Accent1 2 7 2 5 2 7" xfId="32254"/>
    <cellStyle name="20% - Accent1 2 7 2 5 3" xfId="3122"/>
    <cellStyle name="20% - Accent1 2 7 2 5 3 2" xfId="13505"/>
    <cellStyle name="20% - Accent1 2 7 2 5 3 2 2" xfId="25306"/>
    <cellStyle name="20% - Accent1 2 7 2 5 3 2 2 2" xfId="54632"/>
    <cellStyle name="20% - Accent1 2 7 2 5 3 2 3" xfId="38921"/>
    <cellStyle name="20% - Accent1 2 7 2 5 3 3" xfId="8575"/>
    <cellStyle name="20% - Accent1 2 7 2 5 3 3 2" xfId="45378"/>
    <cellStyle name="20% - Accent1 2 7 2 5 3 4" xfId="20376"/>
    <cellStyle name="20% - Accent1 2 7 2 5 3 4 2" xfId="54633"/>
    <cellStyle name="20% - Accent1 2 7 2 5 3 5" xfId="33991"/>
    <cellStyle name="20% - Accent1 2 7 2 5 4" xfId="13506"/>
    <cellStyle name="20% - Accent1 2 7 2 5 4 2" xfId="25307"/>
    <cellStyle name="20% - Accent1 2 7 2 5 4 2 2" xfId="45379"/>
    <cellStyle name="20% - Accent1 2 7 2 5 4 3" xfId="29877"/>
    <cellStyle name="20% - Accent1 2 7 2 5 4 3 2" xfId="45380"/>
    <cellStyle name="20% - Accent1 2 7 2 5 4 4" xfId="29878"/>
    <cellStyle name="20% - Accent1 2 7 2 5 4 4 2" xfId="54634"/>
    <cellStyle name="20% - Accent1 2 7 2 5 4 5" xfId="38922"/>
    <cellStyle name="20% - Accent1 2 7 2 5 5" xfId="13507"/>
    <cellStyle name="20% - Accent1 2 7 2 5 5 2" xfId="25308"/>
    <cellStyle name="20% - Accent1 2 7 2 5 5 2 2" xfId="54635"/>
    <cellStyle name="20% - Accent1 2 7 2 5 5 3" xfId="38923"/>
    <cellStyle name="20% - Accent1 2 7 2 5 6" xfId="6348"/>
    <cellStyle name="20% - Accent1 2 7 2 5 6 2" xfId="45381"/>
    <cellStyle name="20% - Accent1 2 7 2 5 7" xfId="18149"/>
    <cellStyle name="20% - Accent1 2 7 2 5 7 2" xfId="54636"/>
    <cellStyle name="20% - Accent1 2 7 2 5 8" xfId="31764"/>
    <cellStyle name="20% - Accent1 2 7 2 6" xfId="1385"/>
    <cellStyle name="20% - Accent1 2 7 2 6 2" xfId="3827"/>
    <cellStyle name="20% - Accent1 2 7 2 6 2 2" xfId="13508"/>
    <cellStyle name="20% - Accent1 2 7 2 6 2 2 2" xfId="25309"/>
    <cellStyle name="20% - Accent1 2 7 2 6 2 2 2 2" xfId="54637"/>
    <cellStyle name="20% - Accent1 2 7 2 6 2 2 3" xfId="38924"/>
    <cellStyle name="20% - Accent1 2 7 2 6 2 3" xfId="9280"/>
    <cellStyle name="20% - Accent1 2 7 2 6 2 3 2" xfId="45382"/>
    <cellStyle name="20% - Accent1 2 7 2 6 2 4" xfId="21081"/>
    <cellStyle name="20% - Accent1 2 7 2 6 2 4 2" xfId="54638"/>
    <cellStyle name="20% - Accent1 2 7 2 6 2 5" xfId="34696"/>
    <cellStyle name="20% - Accent1 2 7 2 6 3" xfId="13509"/>
    <cellStyle name="20% - Accent1 2 7 2 6 3 2" xfId="25310"/>
    <cellStyle name="20% - Accent1 2 7 2 6 3 2 2" xfId="45383"/>
    <cellStyle name="20% - Accent1 2 7 2 6 3 3" xfId="29879"/>
    <cellStyle name="20% - Accent1 2 7 2 6 3 3 2" xfId="45384"/>
    <cellStyle name="20% - Accent1 2 7 2 6 3 4" xfId="29880"/>
    <cellStyle name="20% - Accent1 2 7 2 6 3 4 2" xfId="54639"/>
    <cellStyle name="20% - Accent1 2 7 2 6 3 5" xfId="38925"/>
    <cellStyle name="20% - Accent1 2 7 2 6 4" xfId="13510"/>
    <cellStyle name="20% - Accent1 2 7 2 6 4 2" xfId="25311"/>
    <cellStyle name="20% - Accent1 2 7 2 6 4 2 2" xfId="54640"/>
    <cellStyle name="20% - Accent1 2 7 2 6 4 3" xfId="38926"/>
    <cellStyle name="20% - Accent1 2 7 2 6 5" xfId="6839"/>
    <cellStyle name="20% - Accent1 2 7 2 6 5 2" xfId="45385"/>
    <cellStyle name="20% - Accent1 2 7 2 6 6" xfId="18640"/>
    <cellStyle name="20% - Accent1 2 7 2 6 6 2" xfId="54641"/>
    <cellStyle name="20% - Accent1 2 7 2 6 7" xfId="32255"/>
    <cellStyle name="20% - Accent1 2 7 2 7" xfId="3690"/>
    <cellStyle name="20% - Accent1 2 7 2 7 2" xfId="13511"/>
    <cellStyle name="20% - Accent1 2 7 2 7 2 2" xfId="25312"/>
    <cellStyle name="20% - Accent1 2 7 2 7 2 2 2" xfId="54642"/>
    <cellStyle name="20% - Accent1 2 7 2 7 2 3" xfId="38927"/>
    <cellStyle name="20% - Accent1 2 7 2 7 3" xfId="9143"/>
    <cellStyle name="20% - Accent1 2 7 2 7 3 2" xfId="45386"/>
    <cellStyle name="20% - Accent1 2 7 2 7 4" xfId="20944"/>
    <cellStyle name="20% - Accent1 2 7 2 7 4 2" xfId="54643"/>
    <cellStyle name="20% - Accent1 2 7 2 7 5" xfId="34559"/>
    <cellStyle name="20% - Accent1 2 7 2 8" xfId="1986"/>
    <cellStyle name="20% - Accent1 2 7 2 8 2" xfId="13512"/>
    <cellStyle name="20% - Accent1 2 7 2 8 2 2" xfId="25313"/>
    <cellStyle name="20% - Accent1 2 7 2 8 2 2 2" xfId="54644"/>
    <cellStyle name="20% - Accent1 2 7 2 8 2 3" xfId="38928"/>
    <cellStyle name="20% - Accent1 2 7 2 8 3" xfId="7439"/>
    <cellStyle name="20% - Accent1 2 7 2 8 3 2" xfId="45387"/>
    <cellStyle name="20% - Accent1 2 7 2 8 4" xfId="19240"/>
    <cellStyle name="20% - Accent1 2 7 2 8 4 2" xfId="54645"/>
    <cellStyle name="20% - Accent1 2 7 2 8 5" xfId="32855"/>
    <cellStyle name="20% - Accent1 2 7 2 9" xfId="13513"/>
    <cellStyle name="20% - Accent1 2 7 2 9 2" xfId="25314"/>
    <cellStyle name="20% - Accent1 2 7 2 9 2 2" xfId="54646"/>
    <cellStyle name="20% - Accent1 2 7 2 9 3" xfId="38929"/>
    <cellStyle name="20% - Accent1 2 7 3" xfId="170"/>
    <cellStyle name="20% - Accent1 2 7 3 10" xfId="31040"/>
    <cellStyle name="20% - Accent1 2 7 3 2" xfId="308"/>
    <cellStyle name="20% - Accent1 2 7 3 2 2" xfId="1386"/>
    <cellStyle name="20% - Accent1 2 7 3 2 2 2" xfId="4618"/>
    <cellStyle name="20% - Accent1 2 7 3 2 2 2 2" xfId="13514"/>
    <cellStyle name="20% - Accent1 2 7 3 2 2 2 2 2" xfId="25315"/>
    <cellStyle name="20% - Accent1 2 7 3 2 2 2 2 2 2" xfId="54647"/>
    <cellStyle name="20% - Accent1 2 7 3 2 2 2 2 3" xfId="38930"/>
    <cellStyle name="20% - Accent1 2 7 3 2 2 2 3" xfId="10071"/>
    <cellStyle name="20% - Accent1 2 7 3 2 2 2 3 2" xfId="45388"/>
    <cellStyle name="20% - Accent1 2 7 3 2 2 2 4" xfId="21872"/>
    <cellStyle name="20% - Accent1 2 7 3 2 2 2 4 2" xfId="54648"/>
    <cellStyle name="20% - Accent1 2 7 3 2 2 2 5" xfId="35487"/>
    <cellStyle name="20% - Accent1 2 7 3 2 2 3" xfId="2777"/>
    <cellStyle name="20% - Accent1 2 7 3 2 2 3 2" xfId="13515"/>
    <cellStyle name="20% - Accent1 2 7 3 2 2 3 2 2" xfId="25316"/>
    <cellStyle name="20% - Accent1 2 7 3 2 2 3 2 2 2" xfId="54649"/>
    <cellStyle name="20% - Accent1 2 7 3 2 2 3 2 3" xfId="38931"/>
    <cellStyle name="20% - Accent1 2 7 3 2 2 3 3" xfId="8230"/>
    <cellStyle name="20% - Accent1 2 7 3 2 2 3 3 2" xfId="45389"/>
    <cellStyle name="20% - Accent1 2 7 3 2 2 3 4" xfId="20031"/>
    <cellStyle name="20% - Accent1 2 7 3 2 2 3 4 2" xfId="54650"/>
    <cellStyle name="20% - Accent1 2 7 3 2 2 3 5" xfId="33646"/>
    <cellStyle name="20% - Accent1 2 7 3 2 2 4" xfId="13516"/>
    <cellStyle name="20% - Accent1 2 7 3 2 2 4 2" xfId="25317"/>
    <cellStyle name="20% - Accent1 2 7 3 2 2 4 2 2" xfId="54651"/>
    <cellStyle name="20% - Accent1 2 7 3 2 2 4 3" xfId="38932"/>
    <cellStyle name="20% - Accent1 2 7 3 2 2 5" xfId="6840"/>
    <cellStyle name="20% - Accent1 2 7 3 2 2 5 2" xfId="45390"/>
    <cellStyle name="20% - Accent1 2 7 3 2 2 6" xfId="18641"/>
    <cellStyle name="20% - Accent1 2 7 3 2 2 6 2" xfId="54652"/>
    <cellStyle name="20% - Accent1 2 7 3 2 2 7" xfId="32256"/>
    <cellStyle name="20% - Accent1 2 7 3 2 3" xfId="3345"/>
    <cellStyle name="20% - Accent1 2 7 3 2 3 2" xfId="5186"/>
    <cellStyle name="20% - Accent1 2 7 3 2 3 2 2" xfId="16656"/>
    <cellStyle name="20% - Accent1 2 7 3 2 3 2 2 2" xfId="28457"/>
    <cellStyle name="20% - Accent1 2 7 3 2 3 2 2 2 2" xfId="54653"/>
    <cellStyle name="20% - Accent1 2 7 3 2 3 2 2 3" xfId="42072"/>
    <cellStyle name="20% - Accent1 2 7 3 2 3 2 3" xfId="10639"/>
    <cellStyle name="20% - Accent1 2 7 3 2 3 2 3 2" xfId="54654"/>
    <cellStyle name="20% - Accent1 2 7 3 2 3 2 4" xfId="22440"/>
    <cellStyle name="20% - Accent1 2 7 3 2 3 2 4 2" xfId="54655"/>
    <cellStyle name="20% - Accent1 2 7 3 2 3 2 5" xfId="36055"/>
    <cellStyle name="20% - Accent1 2 7 3 2 3 3" xfId="13517"/>
    <cellStyle name="20% - Accent1 2 7 3 2 3 3 2" xfId="25318"/>
    <cellStyle name="20% - Accent1 2 7 3 2 3 3 2 2" xfId="54656"/>
    <cellStyle name="20% - Accent1 2 7 3 2 3 3 3" xfId="38933"/>
    <cellStyle name="20% - Accent1 2 7 3 2 3 4" xfId="8798"/>
    <cellStyle name="20% - Accent1 2 7 3 2 3 4 2" xfId="54657"/>
    <cellStyle name="20% - Accent1 2 7 3 2 3 5" xfId="20599"/>
    <cellStyle name="20% - Accent1 2 7 3 2 3 5 2" xfId="54658"/>
    <cellStyle name="20% - Accent1 2 7 3 2 3 6" xfId="34214"/>
    <cellStyle name="20% - Accent1 2 7 3 2 4" xfId="4050"/>
    <cellStyle name="20% - Accent1 2 7 3 2 4 2" xfId="13518"/>
    <cellStyle name="20% - Accent1 2 7 3 2 4 2 2" xfId="25319"/>
    <cellStyle name="20% - Accent1 2 7 3 2 4 2 2 2" xfId="54659"/>
    <cellStyle name="20% - Accent1 2 7 3 2 4 2 3" xfId="38934"/>
    <cellStyle name="20% - Accent1 2 7 3 2 4 3" xfId="9503"/>
    <cellStyle name="20% - Accent1 2 7 3 2 4 3 2" xfId="45391"/>
    <cellStyle name="20% - Accent1 2 7 3 2 4 4" xfId="21304"/>
    <cellStyle name="20% - Accent1 2 7 3 2 4 4 2" xfId="54660"/>
    <cellStyle name="20% - Accent1 2 7 3 2 4 5" xfId="34919"/>
    <cellStyle name="20% - Accent1 2 7 3 2 5" xfId="2209"/>
    <cellStyle name="20% - Accent1 2 7 3 2 5 2" xfId="17076"/>
    <cellStyle name="20% - Accent1 2 7 3 2 5 2 2" xfId="28877"/>
    <cellStyle name="20% - Accent1 2 7 3 2 5 2 2 2" xfId="54661"/>
    <cellStyle name="20% - Accent1 2 7 3 2 5 2 3" xfId="42492"/>
    <cellStyle name="20% - Accent1 2 7 3 2 5 3" xfId="7662"/>
    <cellStyle name="20% - Accent1 2 7 3 2 5 3 2" xfId="54662"/>
    <cellStyle name="20% - Accent1 2 7 3 2 5 4" xfId="19463"/>
    <cellStyle name="20% - Accent1 2 7 3 2 5 4 2" xfId="54663"/>
    <cellStyle name="20% - Accent1 2 7 3 2 5 5" xfId="33078"/>
    <cellStyle name="20% - Accent1 2 7 3 2 6" xfId="13519"/>
    <cellStyle name="20% - Accent1 2 7 3 2 6 2" xfId="25320"/>
    <cellStyle name="20% - Accent1 2 7 3 2 6 2 2" xfId="54664"/>
    <cellStyle name="20% - Accent1 2 7 3 2 6 3" xfId="38935"/>
    <cellStyle name="20% - Accent1 2 7 3 2 7" xfId="5762"/>
    <cellStyle name="20% - Accent1 2 7 3 2 7 2" xfId="54665"/>
    <cellStyle name="20% - Accent1 2 7 3 2 8" xfId="17563"/>
    <cellStyle name="20% - Accent1 2 7 3 2 8 2" xfId="54666"/>
    <cellStyle name="20% - Accent1 2 7 3 2 9" xfId="31178"/>
    <cellStyle name="20% - Accent1 2 7 3 3" xfId="738"/>
    <cellStyle name="20% - Accent1 2 7 3 3 2" xfId="1387"/>
    <cellStyle name="20% - Accent1 2 7 3 3 2 2" xfId="4480"/>
    <cellStyle name="20% - Accent1 2 7 3 3 2 2 2" xfId="13520"/>
    <cellStyle name="20% - Accent1 2 7 3 3 2 2 2 2" xfId="25321"/>
    <cellStyle name="20% - Accent1 2 7 3 3 2 2 2 2 2" xfId="54667"/>
    <cellStyle name="20% - Accent1 2 7 3 3 2 2 2 3" xfId="38936"/>
    <cellStyle name="20% - Accent1 2 7 3 3 2 2 3" xfId="9933"/>
    <cellStyle name="20% - Accent1 2 7 3 3 2 2 3 2" xfId="45392"/>
    <cellStyle name="20% - Accent1 2 7 3 3 2 2 4" xfId="21734"/>
    <cellStyle name="20% - Accent1 2 7 3 3 2 2 4 2" xfId="54668"/>
    <cellStyle name="20% - Accent1 2 7 3 3 2 2 5" xfId="35349"/>
    <cellStyle name="20% - Accent1 2 7 3 3 2 3" xfId="13521"/>
    <cellStyle name="20% - Accent1 2 7 3 3 2 3 2" xfId="25322"/>
    <cellStyle name="20% - Accent1 2 7 3 3 2 3 2 2" xfId="45393"/>
    <cellStyle name="20% - Accent1 2 7 3 3 2 3 3" xfId="29881"/>
    <cellStyle name="20% - Accent1 2 7 3 3 2 3 3 2" xfId="45394"/>
    <cellStyle name="20% - Accent1 2 7 3 3 2 3 4" xfId="29882"/>
    <cellStyle name="20% - Accent1 2 7 3 3 2 3 4 2" xfId="54669"/>
    <cellStyle name="20% - Accent1 2 7 3 3 2 3 5" xfId="38937"/>
    <cellStyle name="20% - Accent1 2 7 3 3 2 4" xfId="13522"/>
    <cellStyle name="20% - Accent1 2 7 3 3 2 4 2" xfId="25323"/>
    <cellStyle name="20% - Accent1 2 7 3 3 2 4 2 2" xfId="54670"/>
    <cellStyle name="20% - Accent1 2 7 3 3 2 4 3" xfId="38938"/>
    <cellStyle name="20% - Accent1 2 7 3 3 2 5" xfId="6841"/>
    <cellStyle name="20% - Accent1 2 7 3 3 2 5 2" xfId="45395"/>
    <cellStyle name="20% - Accent1 2 7 3 3 2 6" xfId="18642"/>
    <cellStyle name="20% - Accent1 2 7 3 3 2 6 2" xfId="54671"/>
    <cellStyle name="20% - Accent1 2 7 3 3 2 7" xfId="32257"/>
    <cellStyle name="20% - Accent1 2 7 3 3 3" xfId="2639"/>
    <cellStyle name="20% - Accent1 2 7 3 3 3 2" xfId="13523"/>
    <cellStyle name="20% - Accent1 2 7 3 3 3 2 2" xfId="25324"/>
    <cellStyle name="20% - Accent1 2 7 3 3 3 2 2 2" xfId="54672"/>
    <cellStyle name="20% - Accent1 2 7 3 3 3 2 3" xfId="38939"/>
    <cellStyle name="20% - Accent1 2 7 3 3 3 3" xfId="8092"/>
    <cellStyle name="20% - Accent1 2 7 3 3 3 3 2" xfId="45396"/>
    <cellStyle name="20% - Accent1 2 7 3 3 3 4" xfId="19893"/>
    <cellStyle name="20% - Accent1 2 7 3 3 3 4 2" xfId="54673"/>
    <cellStyle name="20% - Accent1 2 7 3 3 3 5" xfId="33508"/>
    <cellStyle name="20% - Accent1 2 7 3 3 4" xfId="13524"/>
    <cellStyle name="20% - Accent1 2 7 3 3 4 2" xfId="25325"/>
    <cellStyle name="20% - Accent1 2 7 3 3 4 2 2" xfId="45397"/>
    <cellStyle name="20% - Accent1 2 7 3 3 4 3" xfId="29883"/>
    <cellStyle name="20% - Accent1 2 7 3 3 4 3 2" xfId="45398"/>
    <cellStyle name="20% - Accent1 2 7 3 3 4 4" xfId="29884"/>
    <cellStyle name="20% - Accent1 2 7 3 3 4 4 2" xfId="54674"/>
    <cellStyle name="20% - Accent1 2 7 3 3 4 5" xfId="38940"/>
    <cellStyle name="20% - Accent1 2 7 3 3 5" xfId="13525"/>
    <cellStyle name="20% - Accent1 2 7 3 3 5 2" xfId="25326"/>
    <cellStyle name="20% - Accent1 2 7 3 3 5 2 2" xfId="54675"/>
    <cellStyle name="20% - Accent1 2 7 3 3 5 3" xfId="38941"/>
    <cellStyle name="20% - Accent1 2 7 3 3 6" xfId="6192"/>
    <cellStyle name="20% - Accent1 2 7 3 3 6 2" xfId="45399"/>
    <cellStyle name="20% - Accent1 2 7 3 3 7" xfId="17993"/>
    <cellStyle name="20% - Accent1 2 7 3 3 7 2" xfId="54676"/>
    <cellStyle name="20% - Accent1 2 7 3 3 8" xfId="31608"/>
    <cellStyle name="20% - Accent1 2 7 3 4" xfId="1388"/>
    <cellStyle name="20% - Accent1 2 7 3 4 2" xfId="5048"/>
    <cellStyle name="20% - Accent1 2 7 3 4 2 2" xfId="13526"/>
    <cellStyle name="20% - Accent1 2 7 3 4 2 2 2" xfId="25327"/>
    <cellStyle name="20% - Accent1 2 7 3 4 2 2 2 2" xfId="54677"/>
    <cellStyle name="20% - Accent1 2 7 3 4 2 2 3" xfId="38942"/>
    <cellStyle name="20% - Accent1 2 7 3 4 2 3" xfId="10501"/>
    <cellStyle name="20% - Accent1 2 7 3 4 2 3 2" xfId="45400"/>
    <cellStyle name="20% - Accent1 2 7 3 4 2 4" xfId="22302"/>
    <cellStyle name="20% - Accent1 2 7 3 4 2 4 2" xfId="54678"/>
    <cellStyle name="20% - Accent1 2 7 3 4 2 5" xfId="35917"/>
    <cellStyle name="20% - Accent1 2 7 3 4 3" xfId="3207"/>
    <cellStyle name="20% - Accent1 2 7 3 4 3 2" xfId="13527"/>
    <cellStyle name="20% - Accent1 2 7 3 4 3 2 2" xfId="25328"/>
    <cellStyle name="20% - Accent1 2 7 3 4 3 2 2 2" xfId="54679"/>
    <cellStyle name="20% - Accent1 2 7 3 4 3 2 3" xfId="38943"/>
    <cellStyle name="20% - Accent1 2 7 3 4 3 3" xfId="8660"/>
    <cellStyle name="20% - Accent1 2 7 3 4 3 3 2" xfId="45401"/>
    <cellStyle name="20% - Accent1 2 7 3 4 3 4" xfId="20461"/>
    <cellStyle name="20% - Accent1 2 7 3 4 3 4 2" xfId="54680"/>
    <cellStyle name="20% - Accent1 2 7 3 4 3 5" xfId="34076"/>
    <cellStyle name="20% - Accent1 2 7 3 4 4" xfId="13528"/>
    <cellStyle name="20% - Accent1 2 7 3 4 4 2" xfId="25329"/>
    <cellStyle name="20% - Accent1 2 7 3 4 4 2 2" xfId="54681"/>
    <cellStyle name="20% - Accent1 2 7 3 4 4 3" xfId="38944"/>
    <cellStyle name="20% - Accent1 2 7 3 4 5" xfId="6842"/>
    <cellStyle name="20% - Accent1 2 7 3 4 5 2" xfId="45402"/>
    <cellStyle name="20% - Accent1 2 7 3 4 6" xfId="18643"/>
    <cellStyle name="20% - Accent1 2 7 3 4 6 2" xfId="54682"/>
    <cellStyle name="20% - Accent1 2 7 3 4 7" xfId="32258"/>
    <cellStyle name="20% - Accent1 2 7 3 5" xfId="3912"/>
    <cellStyle name="20% - Accent1 2 7 3 5 2" xfId="13529"/>
    <cellStyle name="20% - Accent1 2 7 3 5 2 2" xfId="25330"/>
    <cellStyle name="20% - Accent1 2 7 3 5 2 2 2" xfId="54683"/>
    <cellStyle name="20% - Accent1 2 7 3 5 2 3" xfId="38945"/>
    <cellStyle name="20% - Accent1 2 7 3 5 3" xfId="9365"/>
    <cellStyle name="20% - Accent1 2 7 3 5 3 2" xfId="45403"/>
    <cellStyle name="20% - Accent1 2 7 3 5 4" xfId="21166"/>
    <cellStyle name="20% - Accent1 2 7 3 5 4 2" xfId="54684"/>
    <cellStyle name="20% - Accent1 2 7 3 5 5" xfId="34781"/>
    <cellStyle name="20% - Accent1 2 7 3 6" xfId="2071"/>
    <cellStyle name="20% - Accent1 2 7 3 6 2" xfId="13530"/>
    <cellStyle name="20% - Accent1 2 7 3 6 2 2" xfId="25331"/>
    <cellStyle name="20% - Accent1 2 7 3 6 2 2 2" xfId="54685"/>
    <cellStyle name="20% - Accent1 2 7 3 6 2 3" xfId="38946"/>
    <cellStyle name="20% - Accent1 2 7 3 6 3" xfId="7524"/>
    <cellStyle name="20% - Accent1 2 7 3 6 3 2" xfId="45404"/>
    <cellStyle name="20% - Accent1 2 7 3 6 4" xfId="19325"/>
    <cellStyle name="20% - Accent1 2 7 3 6 4 2" xfId="54686"/>
    <cellStyle name="20% - Accent1 2 7 3 6 5" xfId="32940"/>
    <cellStyle name="20% - Accent1 2 7 3 7" xfId="13531"/>
    <cellStyle name="20% - Accent1 2 7 3 7 2" xfId="25332"/>
    <cellStyle name="20% - Accent1 2 7 3 7 2 2" xfId="54687"/>
    <cellStyle name="20% - Accent1 2 7 3 7 3" xfId="38947"/>
    <cellStyle name="20% - Accent1 2 7 3 8" xfId="5624"/>
    <cellStyle name="20% - Accent1 2 7 3 8 2" xfId="45405"/>
    <cellStyle name="20% - Accent1 2 7 3 9" xfId="17425"/>
    <cellStyle name="20% - Accent1 2 7 3 9 2" xfId="54688"/>
    <cellStyle name="20% - Accent1 2 7 4" xfId="445"/>
    <cellStyle name="20% - Accent1 2 7 4 2" xfId="1389"/>
    <cellStyle name="20% - Accent1 2 7 4 2 2" xfId="4755"/>
    <cellStyle name="20% - Accent1 2 7 4 2 2 2" xfId="13532"/>
    <cellStyle name="20% - Accent1 2 7 4 2 2 2 2" xfId="25333"/>
    <cellStyle name="20% - Accent1 2 7 4 2 2 2 2 2" xfId="54689"/>
    <cellStyle name="20% - Accent1 2 7 4 2 2 2 3" xfId="38948"/>
    <cellStyle name="20% - Accent1 2 7 4 2 2 3" xfId="10208"/>
    <cellStyle name="20% - Accent1 2 7 4 2 2 3 2" xfId="45406"/>
    <cellStyle name="20% - Accent1 2 7 4 2 2 4" xfId="22009"/>
    <cellStyle name="20% - Accent1 2 7 4 2 2 4 2" xfId="54690"/>
    <cellStyle name="20% - Accent1 2 7 4 2 2 5" xfId="35624"/>
    <cellStyle name="20% - Accent1 2 7 4 2 3" xfId="2914"/>
    <cellStyle name="20% - Accent1 2 7 4 2 3 2" xfId="13533"/>
    <cellStyle name="20% - Accent1 2 7 4 2 3 2 2" xfId="25334"/>
    <cellStyle name="20% - Accent1 2 7 4 2 3 2 2 2" xfId="54691"/>
    <cellStyle name="20% - Accent1 2 7 4 2 3 2 3" xfId="38949"/>
    <cellStyle name="20% - Accent1 2 7 4 2 3 3" xfId="8367"/>
    <cellStyle name="20% - Accent1 2 7 4 2 3 3 2" xfId="45407"/>
    <cellStyle name="20% - Accent1 2 7 4 2 3 4" xfId="20168"/>
    <cellStyle name="20% - Accent1 2 7 4 2 3 4 2" xfId="54692"/>
    <cellStyle name="20% - Accent1 2 7 4 2 3 5" xfId="33783"/>
    <cellStyle name="20% - Accent1 2 7 4 2 4" xfId="13534"/>
    <cellStyle name="20% - Accent1 2 7 4 2 4 2" xfId="25335"/>
    <cellStyle name="20% - Accent1 2 7 4 2 4 2 2" xfId="54693"/>
    <cellStyle name="20% - Accent1 2 7 4 2 4 3" xfId="38950"/>
    <cellStyle name="20% - Accent1 2 7 4 2 5" xfId="6843"/>
    <cellStyle name="20% - Accent1 2 7 4 2 5 2" xfId="45408"/>
    <cellStyle name="20% - Accent1 2 7 4 2 6" xfId="18644"/>
    <cellStyle name="20% - Accent1 2 7 4 2 6 2" xfId="54694"/>
    <cellStyle name="20% - Accent1 2 7 4 2 7" xfId="32259"/>
    <cellStyle name="20% - Accent1 2 7 4 3" xfId="3482"/>
    <cellStyle name="20% - Accent1 2 7 4 3 2" xfId="5323"/>
    <cellStyle name="20% - Accent1 2 7 4 3 2 2" xfId="16793"/>
    <cellStyle name="20% - Accent1 2 7 4 3 2 2 2" xfId="28594"/>
    <cellStyle name="20% - Accent1 2 7 4 3 2 2 2 2" xfId="54695"/>
    <cellStyle name="20% - Accent1 2 7 4 3 2 2 3" xfId="42209"/>
    <cellStyle name="20% - Accent1 2 7 4 3 2 3" xfId="10776"/>
    <cellStyle name="20% - Accent1 2 7 4 3 2 3 2" xfId="54696"/>
    <cellStyle name="20% - Accent1 2 7 4 3 2 4" xfId="22577"/>
    <cellStyle name="20% - Accent1 2 7 4 3 2 4 2" xfId="54697"/>
    <cellStyle name="20% - Accent1 2 7 4 3 2 5" xfId="36192"/>
    <cellStyle name="20% - Accent1 2 7 4 3 3" xfId="13535"/>
    <cellStyle name="20% - Accent1 2 7 4 3 3 2" xfId="25336"/>
    <cellStyle name="20% - Accent1 2 7 4 3 3 2 2" xfId="54698"/>
    <cellStyle name="20% - Accent1 2 7 4 3 3 3" xfId="38951"/>
    <cellStyle name="20% - Accent1 2 7 4 3 4" xfId="8935"/>
    <cellStyle name="20% - Accent1 2 7 4 3 4 2" xfId="54699"/>
    <cellStyle name="20% - Accent1 2 7 4 3 5" xfId="20736"/>
    <cellStyle name="20% - Accent1 2 7 4 3 5 2" xfId="54700"/>
    <cellStyle name="20% - Accent1 2 7 4 3 6" xfId="34351"/>
    <cellStyle name="20% - Accent1 2 7 4 4" xfId="4187"/>
    <cellStyle name="20% - Accent1 2 7 4 4 2" xfId="13536"/>
    <cellStyle name="20% - Accent1 2 7 4 4 2 2" xfId="25337"/>
    <cellStyle name="20% - Accent1 2 7 4 4 2 2 2" xfId="54701"/>
    <cellStyle name="20% - Accent1 2 7 4 4 2 3" xfId="38952"/>
    <cellStyle name="20% - Accent1 2 7 4 4 3" xfId="9640"/>
    <cellStyle name="20% - Accent1 2 7 4 4 3 2" xfId="45409"/>
    <cellStyle name="20% - Accent1 2 7 4 4 4" xfId="21441"/>
    <cellStyle name="20% - Accent1 2 7 4 4 4 2" xfId="54702"/>
    <cellStyle name="20% - Accent1 2 7 4 4 5" xfId="35056"/>
    <cellStyle name="20% - Accent1 2 7 4 5" xfId="2346"/>
    <cellStyle name="20% - Accent1 2 7 4 5 2" xfId="17077"/>
    <cellStyle name="20% - Accent1 2 7 4 5 2 2" xfId="28878"/>
    <cellStyle name="20% - Accent1 2 7 4 5 2 2 2" xfId="54703"/>
    <cellStyle name="20% - Accent1 2 7 4 5 2 3" xfId="42493"/>
    <cellStyle name="20% - Accent1 2 7 4 5 3" xfId="7799"/>
    <cellStyle name="20% - Accent1 2 7 4 5 3 2" xfId="54704"/>
    <cellStyle name="20% - Accent1 2 7 4 5 4" xfId="19600"/>
    <cellStyle name="20% - Accent1 2 7 4 5 4 2" xfId="54705"/>
    <cellStyle name="20% - Accent1 2 7 4 5 5" xfId="33215"/>
    <cellStyle name="20% - Accent1 2 7 4 6" xfId="13537"/>
    <cellStyle name="20% - Accent1 2 7 4 6 2" xfId="25338"/>
    <cellStyle name="20% - Accent1 2 7 4 6 2 2" xfId="54706"/>
    <cellStyle name="20% - Accent1 2 7 4 6 3" xfId="38953"/>
    <cellStyle name="20% - Accent1 2 7 4 7" xfId="5899"/>
    <cellStyle name="20% - Accent1 2 7 4 7 2" xfId="54707"/>
    <cellStyle name="20% - Accent1 2 7 4 8" xfId="17700"/>
    <cellStyle name="20% - Accent1 2 7 4 8 2" xfId="54708"/>
    <cellStyle name="20% - Accent1 2 7 4 9" xfId="31315"/>
    <cellStyle name="20% - Accent1 2 7 5" xfId="259"/>
    <cellStyle name="20% - Accent1 2 7 5 2" xfId="1390"/>
    <cellStyle name="20% - Accent1 2 7 5 2 2" xfId="4569"/>
    <cellStyle name="20% - Accent1 2 7 5 2 2 2" xfId="13538"/>
    <cellStyle name="20% - Accent1 2 7 5 2 2 2 2" xfId="25339"/>
    <cellStyle name="20% - Accent1 2 7 5 2 2 2 2 2" xfId="54709"/>
    <cellStyle name="20% - Accent1 2 7 5 2 2 2 3" xfId="38954"/>
    <cellStyle name="20% - Accent1 2 7 5 2 2 3" xfId="10022"/>
    <cellStyle name="20% - Accent1 2 7 5 2 2 3 2" xfId="45410"/>
    <cellStyle name="20% - Accent1 2 7 5 2 2 4" xfId="21823"/>
    <cellStyle name="20% - Accent1 2 7 5 2 2 4 2" xfId="54710"/>
    <cellStyle name="20% - Accent1 2 7 5 2 2 5" xfId="35438"/>
    <cellStyle name="20% - Accent1 2 7 5 2 3" xfId="2728"/>
    <cellStyle name="20% - Accent1 2 7 5 2 3 2" xfId="13539"/>
    <cellStyle name="20% - Accent1 2 7 5 2 3 2 2" xfId="25340"/>
    <cellStyle name="20% - Accent1 2 7 5 2 3 2 2 2" xfId="54711"/>
    <cellStyle name="20% - Accent1 2 7 5 2 3 2 3" xfId="38955"/>
    <cellStyle name="20% - Accent1 2 7 5 2 3 3" xfId="8181"/>
    <cellStyle name="20% - Accent1 2 7 5 2 3 3 2" xfId="45411"/>
    <cellStyle name="20% - Accent1 2 7 5 2 3 4" xfId="19982"/>
    <cellStyle name="20% - Accent1 2 7 5 2 3 4 2" xfId="54712"/>
    <cellStyle name="20% - Accent1 2 7 5 2 3 5" xfId="33597"/>
    <cellStyle name="20% - Accent1 2 7 5 2 4" xfId="13540"/>
    <cellStyle name="20% - Accent1 2 7 5 2 4 2" xfId="25341"/>
    <cellStyle name="20% - Accent1 2 7 5 2 4 2 2" xfId="54713"/>
    <cellStyle name="20% - Accent1 2 7 5 2 4 3" xfId="38956"/>
    <cellStyle name="20% - Accent1 2 7 5 2 5" xfId="6844"/>
    <cellStyle name="20% - Accent1 2 7 5 2 5 2" xfId="45412"/>
    <cellStyle name="20% - Accent1 2 7 5 2 6" xfId="18645"/>
    <cellStyle name="20% - Accent1 2 7 5 2 6 2" xfId="54714"/>
    <cellStyle name="20% - Accent1 2 7 5 2 7" xfId="32260"/>
    <cellStyle name="20% - Accent1 2 7 5 3" xfId="3296"/>
    <cellStyle name="20% - Accent1 2 7 5 3 2" xfId="5137"/>
    <cellStyle name="20% - Accent1 2 7 5 3 2 2" xfId="16607"/>
    <cellStyle name="20% - Accent1 2 7 5 3 2 2 2" xfId="28408"/>
    <cellStyle name="20% - Accent1 2 7 5 3 2 2 2 2" xfId="54715"/>
    <cellStyle name="20% - Accent1 2 7 5 3 2 2 3" xfId="42023"/>
    <cellStyle name="20% - Accent1 2 7 5 3 2 3" xfId="10590"/>
    <cellStyle name="20% - Accent1 2 7 5 3 2 3 2" xfId="54716"/>
    <cellStyle name="20% - Accent1 2 7 5 3 2 4" xfId="22391"/>
    <cellStyle name="20% - Accent1 2 7 5 3 2 4 2" xfId="54717"/>
    <cellStyle name="20% - Accent1 2 7 5 3 2 5" xfId="36006"/>
    <cellStyle name="20% - Accent1 2 7 5 3 3" xfId="13541"/>
    <cellStyle name="20% - Accent1 2 7 5 3 3 2" xfId="25342"/>
    <cellStyle name="20% - Accent1 2 7 5 3 3 2 2" xfId="54718"/>
    <cellStyle name="20% - Accent1 2 7 5 3 3 3" xfId="38957"/>
    <cellStyle name="20% - Accent1 2 7 5 3 4" xfId="8749"/>
    <cellStyle name="20% - Accent1 2 7 5 3 4 2" xfId="54719"/>
    <cellStyle name="20% - Accent1 2 7 5 3 5" xfId="20550"/>
    <cellStyle name="20% - Accent1 2 7 5 3 5 2" xfId="54720"/>
    <cellStyle name="20% - Accent1 2 7 5 3 6" xfId="34165"/>
    <cellStyle name="20% - Accent1 2 7 5 4" xfId="4001"/>
    <cellStyle name="20% - Accent1 2 7 5 4 2" xfId="13542"/>
    <cellStyle name="20% - Accent1 2 7 5 4 2 2" xfId="25343"/>
    <cellStyle name="20% - Accent1 2 7 5 4 2 2 2" xfId="54721"/>
    <cellStyle name="20% - Accent1 2 7 5 4 2 3" xfId="38958"/>
    <cellStyle name="20% - Accent1 2 7 5 4 3" xfId="9454"/>
    <cellStyle name="20% - Accent1 2 7 5 4 3 2" xfId="45413"/>
    <cellStyle name="20% - Accent1 2 7 5 4 4" xfId="21255"/>
    <cellStyle name="20% - Accent1 2 7 5 4 4 2" xfId="54722"/>
    <cellStyle name="20% - Accent1 2 7 5 4 5" xfId="34870"/>
    <cellStyle name="20% - Accent1 2 7 5 5" xfId="2160"/>
    <cellStyle name="20% - Accent1 2 7 5 5 2" xfId="17078"/>
    <cellStyle name="20% - Accent1 2 7 5 5 2 2" xfId="28879"/>
    <cellStyle name="20% - Accent1 2 7 5 5 2 2 2" xfId="54723"/>
    <cellStyle name="20% - Accent1 2 7 5 5 2 3" xfId="42494"/>
    <cellStyle name="20% - Accent1 2 7 5 5 3" xfId="7613"/>
    <cellStyle name="20% - Accent1 2 7 5 5 3 2" xfId="54724"/>
    <cellStyle name="20% - Accent1 2 7 5 5 4" xfId="19414"/>
    <cellStyle name="20% - Accent1 2 7 5 5 4 2" xfId="54725"/>
    <cellStyle name="20% - Accent1 2 7 5 5 5" xfId="33029"/>
    <cellStyle name="20% - Accent1 2 7 5 6" xfId="13543"/>
    <cellStyle name="20% - Accent1 2 7 5 6 2" xfId="25344"/>
    <cellStyle name="20% - Accent1 2 7 5 6 2 2" xfId="54726"/>
    <cellStyle name="20% - Accent1 2 7 5 6 3" xfId="38959"/>
    <cellStyle name="20% - Accent1 2 7 5 7" xfId="5713"/>
    <cellStyle name="20% - Accent1 2 7 5 7 2" xfId="54727"/>
    <cellStyle name="20% - Accent1 2 7 5 8" xfId="17514"/>
    <cellStyle name="20% - Accent1 2 7 5 8 2" xfId="54728"/>
    <cellStyle name="20% - Accent1 2 7 5 9" xfId="31129"/>
    <cellStyle name="20% - Accent1 2 7 6" xfId="586"/>
    <cellStyle name="20% - Accent1 2 7 6 2" xfId="1391"/>
    <cellStyle name="20% - Accent1 2 7 6 2 2" xfId="4328"/>
    <cellStyle name="20% - Accent1 2 7 6 2 2 2" xfId="13544"/>
    <cellStyle name="20% - Accent1 2 7 6 2 2 2 2" xfId="25345"/>
    <cellStyle name="20% - Accent1 2 7 6 2 2 2 2 2" xfId="54729"/>
    <cellStyle name="20% - Accent1 2 7 6 2 2 2 3" xfId="38960"/>
    <cellStyle name="20% - Accent1 2 7 6 2 2 3" xfId="9781"/>
    <cellStyle name="20% - Accent1 2 7 6 2 2 3 2" xfId="45414"/>
    <cellStyle name="20% - Accent1 2 7 6 2 2 4" xfId="21582"/>
    <cellStyle name="20% - Accent1 2 7 6 2 2 4 2" xfId="54730"/>
    <cellStyle name="20% - Accent1 2 7 6 2 2 5" xfId="35197"/>
    <cellStyle name="20% - Accent1 2 7 6 2 3" xfId="13545"/>
    <cellStyle name="20% - Accent1 2 7 6 2 3 2" xfId="25346"/>
    <cellStyle name="20% - Accent1 2 7 6 2 3 2 2" xfId="45415"/>
    <cellStyle name="20% - Accent1 2 7 6 2 3 3" xfId="29885"/>
    <cellStyle name="20% - Accent1 2 7 6 2 3 3 2" xfId="45416"/>
    <cellStyle name="20% - Accent1 2 7 6 2 3 4" xfId="29886"/>
    <cellStyle name="20% - Accent1 2 7 6 2 3 4 2" xfId="54731"/>
    <cellStyle name="20% - Accent1 2 7 6 2 3 5" xfId="38961"/>
    <cellStyle name="20% - Accent1 2 7 6 2 4" xfId="13546"/>
    <cellStyle name="20% - Accent1 2 7 6 2 4 2" xfId="25347"/>
    <cellStyle name="20% - Accent1 2 7 6 2 4 2 2" xfId="54732"/>
    <cellStyle name="20% - Accent1 2 7 6 2 4 3" xfId="38962"/>
    <cellStyle name="20% - Accent1 2 7 6 2 5" xfId="6845"/>
    <cellStyle name="20% - Accent1 2 7 6 2 5 2" xfId="45417"/>
    <cellStyle name="20% - Accent1 2 7 6 2 6" xfId="18646"/>
    <cellStyle name="20% - Accent1 2 7 6 2 6 2" xfId="54733"/>
    <cellStyle name="20% - Accent1 2 7 6 2 7" xfId="32261"/>
    <cellStyle name="20% - Accent1 2 7 6 3" xfId="2487"/>
    <cellStyle name="20% - Accent1 2 7 6 3 2" xfId="13547"/>
    <cellStyle name="20% - Accent1 2 7 6 3 2 2" xfId="25348"/>
    <cellStyle name="20% - Accent1 2 7 6 3 2 2 2" xfId="54734"/>
    <cellStyle name="20% - Accent1 2 7 6 3 2 3" xfId="38963"/>
    <cellStyle name="20% - Accent1 2 7 6 3 3" xfId="7940"/>
    <cellStyle name="20% - Accent1 2 7 6 3 3 2" xfId="45418"/>
    <cellStyle name="20% - Accent1 2 7 6 3 4" xfId="19741"/>
    <cellStyle name="20% - Accent1 2 7 6 3 4 2" xfId="54735"/>
    <cellStyle name="20% - Accent1 2 7 6 3 5" xfId="33356"/>
    <cellStyle name="20% - Accent1 2 7 6 4" xfId="13548"/>
    <cellStyle name="20% - Accent1 2 7 6 4 2" xfId="25349"/>
    <cellStyle name="20% - Accent1 2 7 6 4 2 2" xfId="45419"/>
    <cellStyle name="20% - Accent1 2 7 6 4 3" xfId="29887"/>
    <cellStyle name="20% - Accent1 2 7 6 4 3 2" xfId="45420"/>
    <cellStyle name="20% - Accent1 2 7 6 4 4" xfId="29888"/>
    <cellStyle name="20% - Accent1 2 7 6 4 4 2" xfId="54736"/>
    <cellStyle name="20% - Accent1 2 7 6 4 5" xfId="38964"/>
    <cellStyle name="20% - Accent1 2 7 6 5" xfId="13549"/>
    <cellStyle name="20% - Accent1 2 7 6 5 2" xfId="25350"/>
    <cellStyle name="20% - Accent1 2 7 6 5 2 2" xfId="54737"/>
    <cellStyle name="20% - Accent1 2 7 6 5 3" xfId="38965"/>
    <cellStyle name="20% - Accent1 2 7 6 6" xfId="6040"/>
    <cellStyle name="20% - Accent1 2 7 6 6 2" xfId="45421"/>
    <cellStyle name="20% - Accent1 2 7 6 7" xfId="17841"/>
    <cellStyle name="20% - Accent1 2 7 6 7 2" xfId="54738"/>
    <cellStyle name="20% - Accent1 2 7 6 8" xfId="31456"/>
    <cellStyle name="20% - Accent1 2 7 7" xfId="827"/>
    <cellStyle name="20% - Accent1 2 7 7 2" xfId="1392"/>
    <cellStyle name="20% - Accent1 2 7 7 2 2" xfId="4896"/>
    <cellStyle name="20% - Accent1 2 7 7 2 2 2" xfId="13550"/>
    <cellStyle name="20% - Accent1 2 7 7 2 2 2 2" xfId="25351"/>
    <cellStyle name="20% - Accent1 2 7 7 2 2 2 2 2" xfId="54739"/>
    <cellStyle name="20% - Accent1 2 7 7 2 2 2 3" xfId="38966"/>
    <cellStyle name="20% - Accent1 2 7 7 2 2 3" xfId="10349"/>
    <cellStyle name="20% - Accent1 2 7 7 2 2 3 2" xfId="45422"/>
    <cellStyle name="20% - Accent1 2 7 7 2 2 4" xfId="22150"/>
    <cellStyle name="20% - Accent1 2 7 7 2 2 4 2" xfId="54740"/>
    <cellStyle name="20% - Accent1 2 7 7 2 2 5" xfId="35765"/>
    <cellStyle name="20% - Accent1 2 7 7 2 3" xfId="13551"/>
    <cellStyle name="20% - Accent1 2 7 7 2 3 2" xfId="25352"/>
    <cellStyle name="20% - Accent1 2 7 7 2 3 2 2" xfId="45423"/>
    <cellStyle name="20% - Accent1 2 7 7 2 3 3" xfId="29889"/>
    <cellStyle name="20% - Accent1 2 7 7 2 3 3 2" xfId="45424"/>
    <cellStyle name="20% - Accent1 2 7 7 2 3 4" xfId="29890"/>
    <cellStyle name="20% - Accent1 2 7 7 2 3 4 2" xfId="54741"/>
    <cellStyle name="20% - Accent1 2 7 7 2 3 5" xfId="38967"/>
    <cellStyle name="20% - Accent1 2 7 7 2 4" xfId="13552"/>
    <cellStyle name="20% - Accent1 2 7 7 2 4 2" xfId="25353"/>
    <cellStyle name="20% - Accent1 2 7 7 2 4 2 2" xfId="54742"/>
    <cellStyle name="20% - Accent1 2 7 7 2 4 3" xfId="38968"/>
    <cellStyle name="20% - Accent1 2 7 7 2 5" xfId="6846"/>
    <cellStyle name="20% - Accent1 2 7 7 2 5 2" xfId="45425"/>
    <cellStyle name="20% - Accent1 2 7 7 2 6" xfId="18647"/>
    <cellStyle name="20% - Accent1 2 7 7 2 6 2" xfId="54743"/>
    <cellStyle name="20% - Accent1 2 7 7 2 7" xfId="32262"/>
    <cellStyle name="20% - Accent1 2 7 7 3" xfId="3055"/>
    <cellStyle name="20% - Accent1 2 7 7 3 2" xfId="13553"/>
    <cellStyle name="20% - Accent1 2 7 7 3 2 2" xfId="25354"/>
    <cellStyle name="20% - Accent1 2 7 7 3 2 2 2" xfId="54744"/>
    <cellStyle name="20% - Accent1 2 7 7 3 2 3" xfId="38969"/>
    <cellStyle name="20% - Accent1 2 7 7 3 3" xfId="8508"/>
    <cellStyle name="20% - Accent1 2 7 7 3 3 2" xfId="45426"/>
    <cellStyle name="20% - Accent1 2 7 7 3 4" xfId="20309"/>
    <cellStyle name="20% - Accent1 2 7 7 3 4 2" xfId="54745"/>
    <cellStyle name="20% - Accent1 2 7 7 3 5" xfId="33924"/>
    <cellStyle name="20% - Accent1 2 7 7 4" xfId="13554"/>
    <cellStyle name="20% - Accent1 2 7 7 4 2" xfId="25355"/>
    <cellStyle name="20% - Accent1 2 7 7 4 2 2" xfId="45427"/>
    <cellStyle name="20% - Accent1 2 7 7 4 3" xfId="29891"/>
    <cellStyle name="20% - Accent1 2 7 7 4 3 2" xfId="45428"/>
    <cellStyle name="20% - Accent1 2 7 7 4 4" xfId="29892"/>
    <cellStyle name="20% - Accent1 2 7 7 4 4 2" xfId="54746"/>
    <cellStyle name="20% - Accent1 2 7 7 4 5" xfId="38970"/>
    <cellStyle name="20% - Accent1 2 7 7 5" xfId="13555"/>
    <cellStyle name="20% - Accent1 2 7 7 5 2" xfId="25356"/>
    <cellStyle name="20% - Accent1 2 7 7 5 2 2" xfId="54747"/>
    <cellStyle name="20% - Accent1 2 7 7 5 3" xfId="38971"/>
    <cellStyle name="20% - Accent1 2 7 7 6" xfId="6281"/>
    <cellStyle name="20% - Accent1 2 7 7 6 2" xfId="45429"/>
    <cellStyle name="20% - Accent1 2 7 7 7" xfId="18082"/>
    <cellStyle name="20% - Accent1 2 7 7 7 2" xfId="54748"/>
    <cellStyle name="20% - Accent1 2 7 7 8" xfId="31697"/>
    <cellStyle name="20% - Accent1 2 7 8" xfId="1393"/>
    <cellStyle name="20% - Accent1 2 7 8 2" xfId="3760"/>
    <cellStyle name="20% - Accent1 2 7 8 2 2" xfId="13556"/>
    <cellStyle name="20% - Accent1 2 7 8 2 2 2" xfId="25357"/>
    <cellStyle name="20% - Accent1 2 7 8 2 2 2 2" xfId="54749"/>
    <cellStyle name="20% - Accent1 2 7 8 2 2 3" xfId="38972"/>
    <cellStyle name="20% - Accent1 2 7 8 2 3" xfId="9213"/>
    <cellStyle name="20% - Accent1 2 7 8 2 3 2" xfId="45430"/>
    <cellStyle name="20% - Accent1 2 7 8 2 4" xfId="21014"/>
    <cellStyle name="20% - Accent1 2 7 8 2 4 2" xfId="54750"/>
    <cellStyle name="20% - Accent1 2 7 8 2 5" xfId="34629"/>
    <cellStyle name="20% - Accent1 2 7 8 3" xfId="13557"/>
    <cellStyle name="20% - Accent1 2 7 8 3 2" xfId="25358"/>
    <cellStyle name="20% - Accent1 2 7 8 3 2 2" xfId="45431"/>
    <cellStyle name="20% - Accent1 2 7 8 3 3" xfId="29893"/>
    <cellStyle name="20% - Accent1 2 7 8 3 3 2" xfId="45432"/>
    <cellStyle name="20% - Accent1 2 7 8 3 4" xfId="29894"/>
    <cellStyle name="20% - Accent1 2 7 8 3 4 2" xfId="54751"/>
    <cellStyle name="20% - Accent1 2 7 8 3 5" xfId="38973"/>
    <cellStyle name="20% - Accent1 2 7 8 4" xfId="13558"/>
    <cellStyle name="20% - Accent1 2 7 8 4 2" xfId="25359"/>
    <cellStyle name="20% - Accent1 2 7 8 4 2 2" xfId="54752"/>
    <cellStyle name="20% - Accent1 2 7 8 4 3" xfId="38974"/>
    <cellStyle name="20% - Accent1 2 7 8 5" xfId="6847"/>
    <cellStyle name="20% - Accent1 2 7 8 5 2" xfId="45433"/>
    <cellStyle name="20% - Accent1 2 7 8 6" xfId="18648"/>
    <cellStyle name="20% - Accent1 2 7 8 6 2" xfId="54753"/>
    <cellStyle name="20% - Accent1 2 7 8 7" xfId="32263"/>
    <cellStyle name="20% - Accent1 2 7 9" xfId="3623"/>
    <cellStyle name="20% - Accent1 2 7 9 2" xfId="13559"/>
    <cellStyle name="20% - Accent1 2 7 9 2 2" xfId="25360"/>
    <cellStyle name="20% - Accent1 2 7 9 2 2 2" xfId="54754"/>
    <cellStyle name="20% - Accent1 2 7 9 2 3" xfId="38975"/>
    <cellStyle name="20% - Accent1 2 7 9 3" xfId="9076"/>
    <cellStyle name="20% - Accent1 2 7 9 3 2" xfId="45434"/>
    <cellStyle name="20% - Accent1 2 7 9 4" xfId="20877"/>
    <cellStyle name="20% - Accent1 2 7 9 4 2" xfId="54755"/>
    <cellStyle name="20% - Accent1 2 7 9 5" xfId="34492"/>
    <cellStyle name="20% - Accent1 2 8" xfId="52"/>
    <cellStyle name="20% - Accent1 2 8 10" xfId="1953"/>
    <cellStyle name="20% - Accent1 2 8 10 2" xfId="13560"/>
    <cellStyle name="20% - Accent1 2 8 10 2 2" xfId="25361"/>
    <cellStyle name="20% - Accent1 2 8 10 2 2 2" xfId="54756"/>
    <cellStyle name="20% - Accent1 2 8 10 2 3" xfId="38976"/>
    <cellStyle name="20% - Accent1 2 8 10 3" xfId="7406"/>
    <cellStyle name="20% - Accent1 2 8 10 3 2" xfId="45435"/>
    <cellStyle name="20% - Accent1 2 8 10 4" xfId="19207"/>
    <cellStyle name="20% - Accent1 2 8 10 4 2" xfId="54757"/>
    <cellStyle name="20% - Accent1 2 8 10 5" xfId="32822"/>
    <cellStyle name="20% - Accent1 2 8 11" xfId="13561"/>
    <cellStyle name="20% - Accent1 2 8 11 2" xfId="25362"/>
    <cellStyle name="20% - Accent1 2 8 11 2 2" xfId="45436"/>
    <cellStyle name="20% - Accent1 2 8 11 3" xfId="29895"/>
    <cellStyle name="20% - Accent1 2 8 11 3 2" xfId="45437"/>
    <cellStyle name="20% - Accent1 2 8 11 4" xfId="29896"/>
    <cellStyle name="20% - Accent1 2 8 11 4 2" xfId="54758"/>
    <cellStyle name="20% - Accent1 2 8 11 5" xfId="38977"/>
    <cellStyle name="20% - Accent1 2 8 12" xfId="13562"/>
    <cellStyle name="20% - Accent1 2 8 12 2" xfId="25363"/>
    <cellStyle name="20% - Accent1 2 8 12 2 2" xfId="45438"/>
    <cellStyle name="20% - Accent1 2 8 12 3" xfId="29059"/>
    <cellStyle name="20% - Accent1 2 8 12 3 2" xfId="30866"/>
    <cellStyle name="20% - Accent1 2 8 12 3 2 2" xfId="48606"/>
    <cellStyle name="20% - Accent1 2 8 12 3 3" xfId="45439"/>
    <cellStyle name="20% - Accent1 2 8 12 3 4" xfId="61747"/>
    <cellStyle name="20% - Accent1 2 8 12 4" xfId="29897"/>
    <cellStyle name="20% - Accent1 2 8 12 4 2" xfId="54759"/>
    <cellStyle name="20% - Accent1 2 8 12 5" xfId="38978"/>
    <cellStyle name="20% - Accent1 2 8 13" xfId="13563"/>
    <cellStyle name="20% - Accent1 2 8 13 2" xfId="25364"/>
    <cellStyle name="20% - Accent1 2 8 13 2 2" xfId="54760"/>
    <cellStyle name="20% - Accent1 2 8 13 3" xfId="38979"/>
    <cellStyle name="20% - Accent1 2 8 14" xfId="5506"/>
    <cellStyle name="20% - Accent1 2 8 14 2" xfId="45440"/>
    <cellStyle name="20% - Accent1 2 8 15" xfId="17307"/>
    <cellStyle name="20% - Accent1 2 8 15 2" xfId="54761"/>
    <cellStyle name="20% - Accent1 2 8 16" xfId="30922"/>
    <cellStyle name="20% - Accent1 2 8 2" xfId="119"/>
    <cellStyle name="20% - Accent1 2 8 2 10" xfId="5573"/>
    <cellStyle name="20% - Accent1 2 8 2 10 2" xfId="45441"/>
    <cellStyle name="20% - Accent1 2 8 2 11" xfId="17374"/>
    <cellStyle name="20% - Accent1 2 8 2 11 2" xfId="54762"/>
    <cellStyle name="20% - Accent1 2 8 2 12" xfId="30989"/>
    <cellStyle name="20% - Accent1 2 8 2 2" xfId="546"/>
    <cellStyle name="20% - Accent1 2 8 2 2 2" xfId="1394"/>
    <cellStyle name="20% - Accent1 2 8 2 2 2 2" xfId="4856"/>
    <cellStyle name="20% - Accent1 2 8 2 2 2 2 2" xfId="13564"/>
    <cellStyle name="20% - Accent1 2 8 2 2 2 2 2 2" xfId="25365"/>
    <cellStyle name="20% - Accent1 2 8 2 2 2 2 2 2 2" xfId="54763"/>
    <cellStyle name="20% - Accent1 2 8 2 2 2 2 2 3" xfId="38980"/>
    <cellStyle name="20% - Accent1 2 8 2 2 2 2 3" xfId="10309"/>
    <cellStyle name="20% - Accent1 2 8 2 2 2 2 3 2" xfId="45442"/>
    <cellStyle name="20% - Accent1 2 8 2 2 2 2 4" xfId="22110"/>
    <cellStyle name="20% - Accent1 2 8 2 2 2 2 4 2" xfId="54764"/>
    <cellStyle name="20% - Accent1 2 8 2 2 2 2 5" xfId="35725"/>
    <cellStyle name="20% - Accent1 2 8 2 2 2 3" xfId="3015"/>
    <cellStyle name="20% - Accent1 2 8 2 2 2 3 2" xfId="13565"/>
    <cellStyle name="20% - Accent1 2 8 2 2 2 3 2 2" xfId="25366"/>
    <cellStyle name="20% - Accent1 2 8 2 2 2 3 2 2 2" xfId="54765"/>
    <cellStyle name="20% - Accent1 2 8 2 2 2 3 2 3" xfId="38981"/>
    <cellStyle name="20% - Accent1 2 8 2 2 2 3 3" xfId="8468"/>
    <cellStyle name="20% - Accent1 2 8 2 2 2 3 3 2" xfId="45443"/>
    <cellStyle name="20% - Accent1 2 8 2 2 2 3 4" xfId="20269"/>
    <cellStyle name="20% - Accent1 2 8 2 2 2 3 4 2" xfId="54766"/>
    <cellStyle name="20% - Accent1 2 8 2 2 2 3 5" xfId="33884"/>
    <cellStyle name="20% - Accent1 2 8 2 2 2 4" xfId="13566"/>
    <cellStyle name="20% - Accent1 2 8 2 2 2 4 2" xfId="25367"/>
    <cellStyle name="20% - Accent1 2 8 2 2 2 4 2 2" xfId="54767"/>
    <cellStyle name="20% - Accent1 2 8 2 2 2 4 3" xfId="38982"/>
    <cellStyle name="20% - Accent1 2 8 2 2 2 5" xfId="6848"/>
    <cellStyle name="20% - Accent1 2 8 2 2 2 5 2" xfId="45444"/>
    <cellStyle name="20% - Accent1 2 8 2 2 2 6" xfId="18649"/>
    <cellStyle name="20% - Accent1 2 8 2 2 2 6 2" xfId="54768"/>
    <cellStyle name="20% - Accent1 2 8 2 2 2 7" xfId="32264"/>
    <cellStyle name="20% - Accent1 2 8 2 2 3" xfId="3583"/>
    <cellStyle name="20% - Accent1 2 8 2 2 3 2" xfId="5424"/>
    <cellStyle name="20% - Accent1 2 8 2 2 3 2 2" xfId="16894"/>
    <cellStyle name="20% - Accent1 2 8 2 2 3 2 2 2" xfId="28695"/>
    <cellStyle name="20% - Accent1 2 8 2 2 3 2 2 2 2" xfId="54769"/>
    <cellStyle name="20% - Accent1 2 8 2 2 3 2 2 3" xfId="42310"/>
    <cellStyle name="20% - Accent1 2 8 2 2 3 2 3" xfId="10877"/>
    <cellStyle name="20% - Accent1 2 8 2 2 3 2 3 2" xfId="54770"/>
    <cellStyle name="20% - Accent1 2 8 2 2 3 2 4" xfId="22678"/>
    <cellStyle name="20% - Accent1 2 8 2 2 3 2 4 2" xfId="54771"/>
    <cellStyle name="20% - Accent1 2 8 2 2 3 2 5" xfId="36293"/>
    <cellStyle name="20% - Accent1 2 8 2 2 3 3" xfId="13567"/>
    <cellStyle name="20% - Accent1 2 8 2 2 3 3 2" xfId="25368"/>
    <cellStyle name="20% - Accent1 2 8 2 2 3 3 2 2" xfId="54772"/>
    <cellStyle name="20% - Accent1 2 8 2 2 3 3 3" xfId="38983"/>
    <cellStyle name="20% - Accent1 2 8 2 2 3 4" xfId="9036"/>
    <cellStyle name="20% - Accent1 2 8 2 2 3 4 2" xfId="54773"/>
    <cellStyle name="20% - Accent1 2 8 2 2 3 5" xfId="20837"/>
    <cellStyle name="20% - Accent1 2 8 2 2 3 5 2" xfId="54774"/>
    <cellStyle name="20% - Accent1 2 8 2 2 3 6" xfId="34452"/>
    <cellStyle name="20% - Accent1 2 8 2 2 4" xfId="4288"/>
    <cellStyle name="20% - Accent1 2 8 2 2 4 2" xfId="13568"/>
    <cellStyle name="20% - Accent1 2 8 2 2 4 2 2" xfId="25369"/>
    <cellStyle name="20% - Accent1 2 8 2 2 4 2 2 2" xfId="54775"/>
    <cellStyle name="20% - Accent1 2 8 2 2 4 2 3" xfId="38984"/>
    <cellStyle name="20% - Accent1 2 8 2 2 4 3" xfId="9741"/>
    <cellStyle name="20% - Accent1 2 8 2 2 4 3 2" xfId="45445"/>
    <cellStyle name="20% - Accent1 2 8 2 2 4 4" xfId="21542"/>
    <cellStyle name="20% - Accent1 2 8 2 2 4 4 2" xfId="54776"/>
    <cellStyle name="20% - Accent1 2 8 2 2 4 5" xfId="35157"/>
    <cellStyle name="20% - Accent1 2 8 2 2 5" xfId="2447"/>
    <cellStyle name="20% - Accent1 2 8 2 2 5 2" xfId="17079"/>
    <cellStyle name="20% - Accent1 2 8 2 2 5 2 2" xfId="28880"/>
    <cellStyle name="20% - Accent1 2 8 2 2 5 2 2 2" xfId="54777"/>
    <cellStyle name="20% - Accent1 2 8 2 2 5 2 3" xfId="42495"/>
    <cellStyle name="20% - Accent1 2 8 2 2 5 3" xfId="7900"/>
    <cellStyle name="20% - Accent1 2 8 2 2 5 3 2" xfId="54778"/>
    <cellStyle name="20% - Accent1 2 8 2 2 5 4" xfId="19701"/>
    <cellStyle name="20% - Accent1 2 8 2 2 5 4 2" xfId="54779"/>
    <cellStyle name="20% - Accent1 2 8 2 2 5 5" xfId="33316"/>
    <cellStyle name="20% - Accent1 2 8 2 2 6" xfId="13569"/>
    <cellStyle name="20% - Accent1 2 8 2 2 6 2" xfId="25370"/>
    <cellStyle name="20% - Accent1 2 8 2 2 6 2 2" xfId="54780"/>
    <cellStyle name="20% - Accent1 2 8 2 2 6 3" xfId="38985"/>
    <cellStyle name="20% - Accent1 2 8 2 2 7" xfId="6000"/>
    <cellStyle name="20% - Accent1 2 8 2 2 7 2" xfId="54781"/>
    <cellStyle name="20% - Accent1 2 8 2 2 8" xfId="17801"/>
    <cellStyle name="20% - Accent1 2 8 2 2 8 2" xfId="54782"/>
    <cellStyle name="20% - Accent1 2 8 2 2 9" xfId="31416"/>
    <cellStyle name="20% - Accent1 2 8 2 3" xfId="409"/>
    <cellStyle name="20% - Accent1 2 8 2 3 2" xfId="1395"/>
    <cellStyle name="20% - Accent1 2 8 2 3 2 2" xfId="4719"/>
    <cellStyle name="20% - Accent1 2 8 2 3 2 2 2" xfId="13570"/>
    <cellStyle name="20% - Accent1 2 8 2 3 2 2 2 2" xfId="25371"/>
    <cellStyle name="20% - Accent1 2 8 2 3 2 2 2 2 2" xfId="54783"/>
    <cellStyle name="20% - Accent1 2 8 2 3 2 2 2 3" xfId="38986"/>
    <cellStyle name="20% - Accent1 2 8 2 3 2 2 3" xfId="10172"/>
    <cellStyle name="20% - Accent1 2 8 2 3 2 2 3 2" xfId="45446"/>
    <cellStyle name="20% - Accent1 2 8 2 3 2 2 4" xfId="21973"/>
    <cellStyle name="20% - Accent1 2 8 2 3 2 2 4 2" xfId="54784"/>
    <cellStyle name="20% - Accent1 2 8 2 3 2 2 5" xfId="35588"/>
    <cellStyle name="20% - Accent1 2 8 2 3 2 3" xfId="2878"/>
    <cellStyle name="20% - Accent1 2 8 2 3 2 3 2" xfId="13571"/>
    <cellStyle name="20% - Accent1 2 8 2 3 2 3 2 2" xfId="25372"/>
    <cellStyle name="20% - Accent1 2 8 2 3 2 3 2 2 2" xfId="54785"/>
    <cellStyle name="20% - Accent1 2 8 2 3 2 3 2 3" xfId="38987"/>
    <cellStyle name="20% - Accent1 2 8 2 3 2 3 3" xfId="8331"/>
    <cellStyle name="20% - Accent1 2 8 2 3 2 3 3 2" xfId="45447"/>
    <cellStyle name="20% - Accent1 2 8 2 3 2 3 4" xfId="20132"/>
    <cellStyle name="20% - Accent1 2 8 2 3 2 3 4 2" xfId="54786"/>
    <cellStyle name="20% - Accent1 2 8 2 3 2 3 5" xfId="33747"/>
    <cellStyle name="20% - Accent1 2 8 2 3 2 4" xfId="13572"/>
    <cellStyle name="20% - Accent1 2 8 2 3 2 4 2" xfId="25373"/>
    <cellStyle name="20% - Accent1 2 8 2 3 2 4 2 2" xfId="54787"/>
    <cellStyle name="20% - Accent1 2 8 2 3 2 4 3" xfId="38988"/>
    <cellStyle name="20% - Accent1 2 8 2 3 2 5" xfId="6849"/>
    <cellStyle name="20% - Accent1 2 8 2 3 2 5 2" xfId="45448"/>
    <cellStyle name="20% - Accent1 2 8 2 3 2 6" xfId="18650"/>
    <cellStyle name="20% - Accent1 2 8 2 3 2 6 2" xfId="54788"/>
    <cellStyle name="20% - Accent1 2 8 2 3 2 7" xfId="32265"/>
    <cellStyle name="20% - Accent1 2 8 2 3 3" xfId="3446"/>
    <cellStyle name="20% - Accent1 2 8 2 3 3 2" xfId="5287"/>
    <cellStyle name="20% - Accent1 2 8 2 3 3 2 2" xfId="16757"/>
    <cellStyle name="20% - Accent1 2 8 2 3 3 2 2 2" xfId="28558"/>
    <cellStyle name="20% - Accent1 2 8 2 3 3 2 2 2 2" xfId="54789"/>
    <cellStyle name="20% - Accent1 2 8 2 3 3 2 2 3" xfId="42173"/>
    <cellStyle name="20% - Accent1 2 8 2 3 3 2 3" xfId="10740"/>
    <cellStyle name="20% - Accent1 2 8 2 3 3 2 3 2" xfId="54790"/>
    <cellStyle name="20% - Accent1 2 8 2 3 3 2 4" xfId="22541"/>
    <cellStyle name="20% - Accent1 2 8 2 3 3 2 4 2" xfId="54791"/>
    <cellStyle name="20% - Accent1 2 8 2 3 3 2 5" xfId="36156"/>
    <cellStyle name="20% - Accent1 2 8 2 3 3 3" xfId="13573"/>
    <cellStyle name="20% - Accent1 2 8 2 3 3 3 2" xfId="25374"/>
    <cellStyle name="20% - Accent1 2 8 2 3 3 3 2 2" xfId="54792"/>
    <cellStyle name="20% - Accent1 2 8 2 3 3 3 3" xfId="38989"/>
    <cellStyle name="20% - Accent1 2 8 2 3 3 4" xfId="8899"/>
    <cellStyle name="20% - Accent1 2 8 2 3 3 4 2" xfId="54793"/>
    <cellStyle name="20% - Accent1 2 8 2 3 3 5" xfId="20700"/>
    <cellStyle name="20% - Accent1 2 8 2 3 3 5 2" xfId="54794"/>
    <cellStyle name="20% - Accent1 2 8 2 3 3 6" xfId="34315"/>
    <cellStyle name="20% - Accent1 2 8 2 3 4" xfId="4151"/>
    <cellStyle name="20% - Accent1 2 8 2 3 4 2" xfId="13574"/>
    <cellStyle name="20% - Accent1 2 8 2 3 4 2 2" xfId="25375"/>
    <cellStyle name="20% - Accent1 2 8 2 3 4 2 2 2" xfId="54795"/>
    <cellStyle name="20% - Accent1 2 8 2 3 4 2 3" xfId="38990"/>
    <cellStyle name="20% - Accent1 2 8 2 3 4 3" xfId="9604"/>
    <cellStyle name="20% - Accent1 2 8 2 3 4 3 2" xfId="45449"/>
    <cellStyle name="20% - Accent1 2 8 2 3 4 4" xfId="21405"/>
    <cellStyle name="20% - Accent1 2 8 2 3 4 4 2" xfId="54796"/>
    <cellStyle name="20% - Accent1 2 8 2 3 4 5" xfId="35020"/>
    <cellStyle name="20% - Accent1 2 8 2 3 5" xfId="2310"/>
    <cellStyle name="20% - Accent1 2 8 2 3 5 2" xfId="17080"/>
    <cellStyle name="20% - Accent1 2 8 2 3 5 2 2" xfId="28881"/>
    <cellStyle name="20% - Accent1 2 8 2 3 5 2 2 2" xfId="54797"/>
    <cellStyle name="20% - Accent1 2 8 2 3 5 2 3" xfId="42496"/>
    <cellStyle name="20% - Accent1 2 8 2 3 5 3" xfId="7763"/>
    <cellStyle name="20% - Accent1 2 8 2 3 5 3 2" xfId="54798"/>
    <cellStyle name="20% - Accent1 2 8 2 3 5 4" xfId="19564"/>
    <cellStyle name="20% - Accent1 2 8 2 3 5 4 2" xfId="54799"/>
    <cellStyle name="20% - Accent1 2 8 2 3 5 5" xfId="33179"/>
    <cellStyle name="20% - Accent1 2 8 2 3 6" xfId="13575"/>
    <cellStyle name="20% - Accent1 2 8 2 3 6 2" xfId="25376"/>
    <cellStyle name="20% - Accent1 2 8 2 3 6 2 2" xfId="54800"/>
    <cellStyle name="20% - Accent1 2 8 2 3 6 3" xfId="38991"/>
    <cellStyle name="20% - Accent1 2 8 2 3 7" xfId="5863"/>
    <cellStyle name="20% - Accent1 2 8 2 3 7 2" xfId="54801"/>
    <cellStyle name="20% - Accent1 2 8 2 3 8" xfId="17664"/>
    <cellStyle name="20% - Accent1 2 8 2 3 8 2" xfId="54802"/>
    <cellStyle name="20% - Accent1 2 8 2 3 9" xfId="31279"/>
    <cellStyle name="20% - Accent1 2 8 2 4" xfId="687"/>
    <cellStyle name="20% - Accent1 2 8 2 4 2" xfId="1396"/>
    <cellStyle name="20% - Accent1 2 8 2 4 2 2" xfId="4429"/>
    <cellStyle name="20% - Accent1 2 8 2 4 2 2 2" xfId="13576"/>
    <cellStyle name="20% - Accent1 2 8 2 4 2 2 2 2" xfId="25377"/>
    <cellStyle name="20% - Accent1 2 8 2 4 2 2 2 2 2" xfId="54803"/>
    <cellStyle name="20% - Accent1 2 8 2 4 2 2 2 3" xfId="38992"/>
    <cellStyle name="20% - Accent1 2 8 2 4 2 2 3" xfId="9882"/>
    <cellStyle name="20% - Accent1 2 8 2 4 2 2 3 2" xfId="45450"/>
    <cellStyle name="20% - Accent1 2 8 2 4 2 2 4" xfId="21683"/>
    <cellStyle name="20% - Accent1 2 8 2 4 2 2 4 2" xfId="54804"/>
    <cellStyle name="20% - Accent1 2 8 2 4 2 2 5" xfId="35298"/>
    <cellStyle name="20% - Accent1 2 8 2 4 2 3" xfId="13577"/>
    <cellStyle name="20% - Accent1 2 8 2 4 2 3 2" xfId="25378"/>
    <cellStyle name="20% - Accent1 2 8 2 4 2 3 2 2" xfId="45451"/>
    <cellStyle name="20% - Accent1 2 8 2 4 2 3 3" xfId="29898"/>
    <cellStyle name="20% - Accent1 2 8 2 4 2 3 3 2" xfId="45452"/>
    <cellStyle name="20% - Accent1 2 8 2 4 2 3 4" xfId="29899"/>
    <cellStyle name="20% - Accent1 2 8 2 4 2 3 4 2" xfId="54805"/>
    <cellStyle name="20% - Accent1 2 8 2 4 2 3 5" xfId="38993"/>
    <cellStyle name="20% - Accent1 2 8 2 4 2 4" xfId="13578"/>
    <cellStyle name="20% - Accent1 2 8 2 4 2 4 2" xfId="25379"/>
    <cellStyle name="20% - Accent1 2 8 2 4 2 4 2 2" xfId="54806"/>
    <cellStyle name="20% - Accent1 2 8 2 4 2 4 3" xfId="38994"/>
    <cellStyle name="20% - Accent1 2 8 2 4 2 5" xfId="6850"/>
    <cellStyle name="20% - Accent1 2 8 2 4 2 5 2" xfId="45453"/>
    <cellStyle name="20% - Accent1 2 8 2 4 2 6" xfId="18651"/>
    <cellStyle name="20% - Accent1 2 8 2 4 2 6 2" xfId="54807"/>
    <cellStyle name="20% - Accent1 2 8 2 4 2 7" xfId="32266"/>
    <cellStyle name="20% - Accent1 2 8 2 4 3" xfId="2588"/>
    <cellStyle name="20% - Accent1 2 8 2 4 3 2" xfId="13579"/>
    <cellStyle name="20% - Accent1 2 8 2 4 3 2 2" xfId="25380"/>
    <cellStyle name="20% - Accent1 2 8 2 4 3 2 2 2" xfId="54808"/>
    <cellStyle name="20% - Accent1 2 8 2 4 3 2 3" xfId="38995"/>
    <cellStyle name="20% - Accent1 2 8 2 4 3 3" xfId="8041"/>
    <cellStyle name="20% - Accent1 2 8 2 4 3 3 2" xfId="45454"/>
    <cellStyle name="20% - Accent1 2 8 2 4 3 4" xfId="19842"/>
    <cellStyle name="20% - Accent1 2 8 2 4 3 4 2" xfId="54809"/>
    <cellStyle name="20% - Accent1 2 8 2 4 3 5" xfId="33457"/>
    <cellStyle name="20% - Accent1 2 8 2 4 4" xfId="13580"/>
    <cellStyle name="20% - Accent1 2 8 2 4 4 2" xfId="25381"/>
    <cellStyle name="20% - Accent1 2 8 2 4 4 2 2" xfId="45455"/>
    <cellStyle name="20% - Accent1 2 8 2 4 4 3" xfId="29900"/>
    <cellStyle name="20% - Accent1 2 8 2 4 4 3 2" xfId="45456"/>
    <cellStyle name="20% - Accent1 2 8 2 4 4 4" xfId="29901"/>
    <cellStyle name="20% - Accent1 2 8 2 4 4 4 2" xfId="54810"/>
    <cellStyle name="20% - Accent1 2 8 2 4 4 5" xfId="38996"/>
    <cellStyle name="20% - Accent1 2 8 2 4 5" xfId="13581"/>
    <cellStyle name="20% - Accent1 2 8 2 4 5 2" xfId="25382"/>
    <cellStyle name="20% - Accent1 2 8 2 4 5 2 2" xfId="54811"/>
    <cellStyle name="20% - Accent1 2 8 2 4 5 3" xfId="38997"/>
    <cellStyle name="20% - Accent1 2 8 2 4 6" xfId="6141"/>
    <cellStyle name="20% - Accent1 2 8 2 4 6 2" xfId="45457"/>
    <cellStyle name="20% - Accent1 2 8 2 4 7" xfId="17942"/>
    <cellStyle name="20% - Accent1 2 8 2 4 7 2" xfId="54812"/>
    <cellStyle name="20% - Accent1 2 8 2 4 8" xfId="31557"/>
    <cellStyle name="20% - Accent1 2 8 2 5" xfId="928"/>
    <cellStyle name="20% - Accent1 2 8 2 5 2" xfId="1397"/>
    <cellStyle name="20% - Accent1 2 8 2 5 2 2" xfId="4997"/>
    <cellStyle name="20% - Accent1 2 8 2 5 2 2 2" xfId="13582"/>
    <cellStyle name="20% - Accent1 2 8 2 5 2 2 2 2" xfId="25383"/>
    <cellStyle name="20% - Accent1 2 8 2 5 2 2 2 2 2" xfId="54813"/>
    <cellStyle name="20% - Accent1 2 8 2 5 2 2 2 3" xfId="38998"/>
    <cellStyle name="20% - Accent1 2 8 2 5 2 2 3" xfId="10450"/>
    <cellStyle name="20% - Accent1 2 8 2 5 2 2 3 2" xfId="45458"/>
    <cellStyle name="20% - Accent1 2 8 2 5 2 2 4" xfId="22251"/>
    <cellStyle name="20% - Accent1 2 8 2 5 2 2 4 2" xfId="54814"/>
    <cellStyle name="20% - Accent1 2 8 2 5 2 2 5" xfId="35866"/>
    <cellStyle name="20% - Accent1 2 8 2 5 2 3" xfId="13583"/>
    <cellStyle name="20% - Accent1 2 8 2 5 2 3 2" xfId="25384"/>
    <cellStyle name="20% - Accent1 2 8 2 5 2 3 2 2" xfId="45459"/>
    <cellStyle name="20% - Accent1 2 8 2 5 2 3 3" xfId="29902"/>
    <cellStyle name="20% - Accent1 2 8 2 5 2 3 3 2" xfId="45460"/>
    <cellStyle name="20% - Accent1 2 8 2 5 2 3 4" xfId="29903"/>
    <cellStyle name="20% - Accent1 2 8 2 5 2 3 4 2" xfId="54815"/>
    <cellStyle name="20% - Accent1 2 8 2 5 2 3 5" xfId="38999"/>
    <cellStyle name="20% - Accent1 2 8 2 5 2 4" xfId="13584"/>
    <cellStyle name="20% - Accent1 2 8 2 5 2 4 2" xfId="25385"/>
    <cellStyle name="20% - Accent1 2 8 2 5 2 4 2 2" xfId="54816"/>
    <cellStyle name="20% - Accent1 2 8 2 5 2 4 3" xfId="39000"/>
    <cellStyle name="20% - Accent1 2 8 2 5 2 5" xfId="6851"/>
    <cellStyle name="20% - Accent1 2 8 2 5 2 5 2" xfId="45461"/>
    <cellStyle name="20% - Accent1 2 8 2 5 2 6" xfId="18652"/>
    <cellStyle name="20% - Accent1 2 8 2 5 2 6 2" xfId="54817"/>
    <cellStyle name="20% - Accent1 2 8 2 5 2 7" xfId="32267"/>
    <cellStyle name="20% - Accent1 2 8 2 5 3" xfId="3156"/>
    <cellStyle name="20% - Accent1 2 8 2 5 3 2" xfId="13585"/>
    <cellStyle name="20% - Accent1 2 8 2 5 3 2 2" xfId="25386"/>
    <cellStyle name="20% - Accent1 2 8 2 5 3 2 2 2" xfId="54818"/>
    <cellStyle name="20% - Accent1 2 8 2 5 3 2 3" xfId="39001"/>
    <cellStyle name="20% - Accent1 2 8 2 5 3 3" xfId="8609"/>
    <cellStyle name="20% - Accent1 2 8 2 5 3 3 2" xfId="45462"/>
    <cellStyle name="20% - Accent1 2 8 2 5 3 4" xfId="20410"/>
    <cellStyle name="20% - Accent1 2 8 2 5 3 4 2" xfId="54819"/>
    <cellStyle name="20% - Accent1 2 8 2 5 3 5" xfId="34025"/>
    <cellStyle name="20% - Accent1 2 8 2 5 4" xfId="13586"/>
    <cellStyle name="20% - Accent1 2 8 2 5 4 2" xfId="25387"/>
    <cellStyle name="20% - Accent1 2 8 2 5 4 2 2" xfId="45463"/>
    <cellStyle name="20% - Accent1 2 8 2 5 4 3" xfId="29904"/>
    <cellStyle name="20% - Accent1 2 8 2 5 4 3 2" xfId="45464"/>
    <cellStyle name="20% - Accent1 2 8 2 5 4 4" xfId="29905"/>
    <cellStyle name="20% - Accent1 2 8 2 5 4 4 2" xfId="54820"/>
    <cellStyle name="20% - Accent1 2 8 2 5 4 5" xfId="39002"/>
    <cellStyle name="20% - Accent1 2 8 2 5 5" xfId="13587"/>
    <cellStyle name="20% - Accent1 2 8 2 5 5 2" xfId="25388"/>
    <cellStyle name="20% - Accent1 2 8 2 5 5 2 2" xfId="54821"/>
    <cellStyle name="20% - Accent1 2 8 2 5 5 3" xfId="39003"/>
    <cellStyle name="20% - Accent1 2 8 2 5 6" xfId="6382"/>
    <cellStyle name="20% - Accent1 2 8 2 5 6 2" xfId="45465"/>
    <cellStyle name="20% - Accent1 2 8 2 5 7" xfId="18183"/>
    <cellStyle name="20% - Accent1 2 8 2 5 7 2" xfId="54822"/>
    <cellStyle name="20% - Accent1 2 8 2 5 8" xfId="31798"/>
    <cellStyle name="20% - Accent1 2 8 2 6" xfId="1398"/>
    <cellStyle name="20% - Accent1 2 8 2 6 2" xfId="3861"/>
    <cellStyle name="20% - Accent1 2 8 2 6 2 2" xfId="13588"/>
    <cellStyle name="20% - Accent1 2 8 2 6 2 2 2" xfId="25389"/>
    <cellStyle name="20% - Accent1 2 8 2 6 2 2 2 2" xfId="54823"/>
    <cellStyle name="20% - Accent1 2 8 2 6 2 2 3" xfId="39004"/>
    <cellStyle name="20% - Accent1 2 8 2 6 2 3" xfId="9314"/>
    <cellStyle name="20% - Accent1 2 8 2 6 2 3 2" xfId="45466"/>
    <cellStyle name="20% - Accent1 2 8 2 6 2 4" xfId="21115"/>
    <cellStyle name="20% - Accent1 2 8 2 6 2 4 2" xfId="54824"/>
    <cellStyle name="20% - Accent1 2 8 2 6 2 5" xfId="34730"/>
    <cellStyle name="20% - Accent1 2 8 2 6 3" xfId="13589"/>
    <cellStyle name="20% - Accent1 2 8 2 6 3 2" xfId="25390"/>
    <cellStyle name="20% - Accent1 2 8 2 6 3 2 2" xfId="45467"/>
    <cellStyle name="20% - Accent1 2 8 2 6 3 3" xfId="29906"/>
    <cellStyle name="20% - Accent1 2 8 2 6 3 3 2" xfId="45468"/>
    <cellStyle name="20% - Accent1 2 8 2 6 3 4" xfId="29907"/>
    <cellStyle name="20% - Accent1 2 8 2 6 3 4 2" xfId="54825"/>
    <cellStyle name="20% - Accent1 2 8 2 6 3 5" xfId="39005"/>
    <cellStyle name="20% - Accent1 2 8 2 6 4" xfId="13590"/>
    <cellStyle name="20% - Accent1 2 8 2 6 4 2" xfId="25391"/>
    <cellStyle name="20% - Accent1 2 8 2 6 4 2 2" xfId="54826"/>
    <cellStyle name="20% - Accent1 2 8 2 6 4 3" xfId="39006"/>
    <cellStyle name="20% - Accent1 2 8 2 6 5" xfId="6852"/>
    <cellStyle name="20% - Accent1 2 8 2 6 5 2" xfId="45469"/>
    <cellStyle name="20% - Accent1 2 8 2 6 6" xfId="18653"/>
    <cellStyle name="20% - Accent1 2 8 2 6 6 2" xfId="54827"/>
    <cellStyle name="20% - Accent1 2 8 2 6 7" xfId="32268"/>
    <cellStyle name="20% - Accent1 2 8 2 7" xfId="3724"/>
    <cellStyle name="20% - Accent1 2 8 2 7 2" xfId="13591"/>
    <cellStyle name="20% - Accent1 2 8 2 7 2 2" xfId="25392"/>
    <cellStyle name="20% - Accent1 2 8 2 7 2 2 2" xfId="54828"/>
    <cellStyle name="20% - Accent1 2 8 2 7 2 3" xfId="39007"/>
    <cellStyle name="20% - Accent1 2 8 2 7 3" xfId="9177"/>
    <cellStyle name="20% - Accent1 2 8 2 7 3 2" xfId="45470"/>
    <cellStyle name="20% - Accent1 2 8 2 7 4" xfId="20978"/>
    <cellStyle name="20% - Accent1 2 8 2 7 4 2" xfId="54829"/>
    <cellStyle name="20% - Accent1 2 8 2 7 5" xfId="34593"/>
    <cellStyle name="20% - Accent1 2 8 2 8" xfId="2020"/>
    <cellStyle name="20% - Accent1 2 8 2 8 2" xfId="13592"/>
    <cellStyle name="20% - Accent1 2 8 2 8 2 2" xfId="25393"/>
    <cellStyle name="20% - Accent1 2 8 2 8 2 2 2" xfId="54830"/>
    <cellStyle name="20% - Accent1 2 8 2 8 2 3" xfId="39008"/>
    <cellStyle name="20% - Accent1 2 8 2 8 3" xfId="7473"/>
    <cellStyle name="20% - Accent1 2 8 2 8 3 2" xfId="45471"/>
    <cellStyle name="20% - Accent1 2 8 2 8 4" xfId="19274"/>
    <cellStyle name="20% - Accent1 2 8 2 8 4 2" xfId="54831"/>
    <cellStyle name="20% - Accent1 2 8 2 8 5" xfId="32889"/>
    <cellStyle name="20% - Accent1 2 8 2 9" xfId="13593"/>
    <cellStyle name="20% - Accent1 2 8 2 9 2" xfId="25394"/>
    <cellStyle name="20% - Accent1 2 8 2 9 2 2" xfId="54832"/>
    <cellStyle name="20% - Accent1 2 8 2 9 3" xfId="39009"/>
    <cellStyle name="20% - Accent1 2 8 3" xfId="137"/>
    <cellStyle name="20% - Accent1 2 8 3 10" xfId="5591"/>
    <cellStyle name="20% - Accent1 2 8 3 10 2" xfId="45472"/>
    <cellStyle name="20% - Accent1 2 8 3 11" xfId="17392"/>
    <cellStyle name="20% - Accent1 2 8 3 11 2" xfId="54833"/>
    <cellStyle name="20% - Accent1 2 8 3 12" xfId="31007"/>
    <cellStyle name="20% - Accent1 2 8 3 2" xfId="564"/>
    <cellStyle name="20% - Accent1 2 8 3 2 2" xfId="1399"/>
    <cellStyle name="20% - Accent1 2 8 3 2 2 2" xfId="4874"/>
    <cellStyle name="20% - Accent1 2 8 3 2 2 2 2" xfId="13594"/>
    <cellStyle name="20% - Accent1 2 8 3 2 2 2 2 2" xfId="25395"/>
    <cellStyle name="20% - Accent1 2 8 3 2 2 2 2 2 2" xfId="54834"/>
    <cellStyle name="20% - Accent1 2 8 3 2 2 2 2 3" xfId="39010"/>
    <cellStyle name="20% - Accent1 2 8 3 2 2 2 3" xfId="10327"/>
    <cellStyle name="20% - Accent1 2 8 3 2 2 2 3 2" xfId="45473"/>
    <cellStyle name="20% - Accent1 2 8 3 2 2 2 4" xfId="22128"/>
    <cellStyle name="20% - Accent1 2 8 3 2 2 2 4 2" xfId="54835"/>
    <cellStyle name="20% - Accent1 2 8 3 2 2 2 5" xfId="35743"/>
    <cellStyle name="20% - Accent1 2 8 3 2 2 3" xfId="3033"/>
    <cellStyle name="20% - Accent1 2 8 3 2 2 3 2" xfId="13595"/>
    <cellStyle name="20% - Accent1 2 8 3 2 2 3 2 2" xfId="25396"/>
    <cellStyle name="20% - Accent1 2 8 3 2 2 3 2 2 2" xfId="54836"/>
    <cellStyle name="20% - Accent1 2 8 3 2 2 3 2 3" xfId="39011"/>
    <cellStyle name="20% - Accent1 2 8 3 2 2 3 3" xfId="8486"/>
    <cellStyle name="20% - Accent1 2 8 3 2 2 3 3 2" xfId="45474"/>
    <cellStyle name="20% - Accent1 2 8 3 2 2 3 4" xfId="20287"/>
    <cellStyle name="20% - Accent1 2 8 3 2 2 3 4 2" xfId="54837"/>
    <cellStyle name="20% - Accent1 2 8 3 2 2 3 5" xfId="33902"/>
    <cellStyle name="20% - Accent1 2 8 3 2 2 4" xfId="13596"/>
    <cellStyle name="20% - Accent1 2 8 3 2 2 4 2" xfId="25397"/>
    <cellStyle name="20% - Accent1 2 8 3 2 2 4 2 2" xfId="54838"/>
    <cellStyle name="20% - Accent1 2 8 3 2 2 4 3" xfId="39012"/>
    <cellStyle name="20% - Accent1 2 8 3 2 2 5" xfId="6853"/>
    <cellStyle name="20% - Accent1 2 8 3 2 2 5 2" xfId="45475"/>
    <cellStyle name="20% - Accent1 2 8 3 2 2 6" xfId="18654"/>
    <cellStyle name="20% - Accent1 2 8 3 2 2 6 2" xfId="54839"/>
    <cellStyle name="20% - Accent1 2 8 3 2 2 7" xfId="32269"/>
    <cellStyle name="20% - Accent1 2 8 3 2 3" xfId="3601"/>
    <cellStyle name="20% - Accent1 2 8 3 2 3 2" xfId="5442"/>
    <cellStyle name="20% - Accent1 2 8 3 2 3 2 2" xfId="16912"/>
    <cellStyle name="20% - Accent1 2 8 3 2 3 2 2 2" xfId="28713"/>
    <cellStyle name="20% - Accent1 2 8 3 2 3 2 2 2 2" xfId="54840"/>
    <cellStyle name="20% - Accent1 2 8 3 2 3 2 2 3" xfId="42328"/>
    <cellStyle name="20% - Accent1 2 8 3 2 3 2 3" xfId="10895"/>
    <cellStyle name="20% - Accent1 2 8 3 2 3 2 3 2" xfId="54841"/>
    <cellStyle name="20% - Accent1 2 8 3 2 3 2 4" xfId="22696"/>
    <cellStyle name="20% - Accent1 2 8 3 2 3 2 4 2" xfId="54842"/>
    <cellStyle name="20% - Accent1 2 8 3 2 3 2 5" xfId="36311"/>
    <cellStyle name="20% - Accent1 2 8 3 2 3 3" xfId="13597"/>
    <cellStyle name="20% - Accent1 2 8 3 2 3 3 2" xfId="25398"/>
    <cellStyle name="20% - Accent1 2 8 3 2 3 3 2 2" xfId="54843"/>
    <cellStyle name="20% - Accent1 2 8 3 2 3 3 3" xfId="39013"/>
    <cellStyle name="20% - Accent1 2 8 3 2 3 4" xfId="9054"/>
    <cellStyle name="20% - Accent1 2 8 3 2 3 4 2" xfId="54844"/>
    <cellStyle name="20% - Accent1 2 8 3 2 3 5" xfId="20855"/>
    <cellStyle name="20% - Accent1 2 8 3 2 3 5 2" xfId="54845"/>
    <cellStyle name="20% - Accent1 2 8 3 2 3 6" xfId="34470"/>
    <cellStyle name="20% - Accent1 2 8 3 2 4" xfId="4306"/>
    <cellStyle name="20% - Accent1 2 8 3 2 4 2" xfId="13598"/>
    <cellStyle name="20% - Accent1 2 8 3 2 4 2 2" xfId="25399"/>
    <cellStyle name="20% - Accent1 2 8 3 2 4 2 2 2" xfId="54846"/>
    <cellStyle name="20% - Accent1 2 8 3 2 4 2 3" xfId="39014"/>
    <cellStyle name="20% - Accent1 2 8 3 2 4 3" xfId="9759"/>
    <cellStyle name="20% - Accent1 2 8 3 2 4 3 2" xfId="45476"/>
    <cellStyle name="20% - Accent1 2 8 3 2 4 4" xfId="21560"/>
    <cellStyle name="20% - Accent1 2 8 3 2 4 4 2" xfId="54847"/>
    <cellStyle name="20% - Accent1 2 8 3 2 4 5" xfId="35175"/>
    <cellStyle name="20% - Accent1 2 8 3 2 5" xfId="2465"/>
    <cellStyle name="20% - Accent1 2 8 3 2 5 2" xfId="17081"/>
    <cellStyle name="20% - Accent1 2 8 3 2 5 2 2" xfId="28882"/>
    <cellStyle name="20% - Accent1 2 8 3 2 5 2 2 2" xfId="54848"/>
    <cellStyle name="20% - Accent1 2 8 3 2 5 2 3" xfId="42497"/>
    <cellStyle name="20% - Accent1 2 8 3 2 5 3" xfId="7918"/>
    <cellStyle name="20% - Accent1 2 8 3 2 5 3 2" xfId="54849"/>
    <cellStyle name="20% - Accent1 2 8 3 2 5 4" xfId="19719"/>
    <cellStyle name="20% - Accent1 2 8 3 2 5 4 2" xfId="54850"/>
    <cellStyle name="20% - Accent1 2 8 3 2 5 5" xfId="33334"/>
    <cellStyle name="20% - Accent1 2 8 3 2 6" xfId="13599"/>
    <cellStyle name="20% - Accent1 2 8 3 2 6 2" xfId="25400"/>
    <cellStyle name="20% - Accent1 2 8 3 2 6 2 2" xfId="54851"/>
    <cellStyle name="20% - Accent1 2 8 3 2 6 3" xfId="39015"/>
    <cellStyle name="20% - Accent1 2 8 3 2 7" xfId="6018"/>
    <cellStyle name="20% - Accent1 2 8 3 2 7 2" xfId="54852"/>
    <cellStyle name="20% - Accent1 2 8 3 2 8" xfId="17819"/>
    <cellStyle name="20% - Accent1 2 8 3 2 8 2" xfId="54853"/>
    <cellStyle name="20% - Accent1 2 8 3 2 9" xfId="31434"/>
    <cellStyle name="20% - Accent1 2 8 3 3" xfId="427"/>
    <cellStyle name="20% - Accent1 2 8 3 3 2" xfId="1400"/>
    <cellStyle name="20% - Accent1 2 8 3 3 2 2" xfId="4737"/>
    <cellStyle name="20% - Accent1 2 8 3 3 2 2 2" xfId="13600"/>
    <cellStyle name="20% - Accent1 2 8 3 3 2 2 2 2" xfId="25401"/>
    <cellStyle name="20% - Accent1 2 8 3 3 2 2 2 2 2" xfId="54854"/>
    <cellStyle name="20% - Accent1 2 8 3 3 2 2 2 3" xfId="39016"/>
    <cellStyle name="20% - Accent1 2 8 3 3 2 2 3" xfId="10190"/>
    <cellStyle name="20% - Accent1 2 8 3 3 2 2 3 2" xfId="45477"/>
    <cellStyle name="20% - Accent1 2 8 3 3 2 2 4" xfId="21991"/>
    <cellStyle name="20% - Accent1 2 8 3 3 2 2 4 2" xfId="54855"/>
    <cellStyle name="20% - Accent1 2 8 3 3 2 2 5" xfId="35606"/>
    <cellStyle name="20% - Accent1 2 8 3 3 2 3" xfId="2896"/>
    <cellStyle name="20% - Accent1 2 8 3 3 2 3 2" xfId="13601"/>
    <cellStyle name="20% - Accent1 2 8 3 3 2 3 2 2" xfId="25402"/>
    <cellStyle name="20% - Accent1 2 8 3 3 2 3 2 2 2" xfId="54856"/>
    <cellStyle name="20% - Accent1 2 8 3 3 2 3 2 3" xfId="39017"/>
    <cellStyle name="20% - Accent1 2 8 3 3 2 3 3" xfId="8349"/>
    <cellStyle name="20% - Accent1 2 8 3 3 2 3 3 2" xfId="45478"/>
    <cellStyle name="20% - Accent1 2 8 3 3 2 3 4" xfId="20150"/>
    <cellStyle name="20% - Accent1 2 8 3 3 2 3 4 2" xfId="54857"/>
    <cellStyle name="20% - Accent1 2 8 3 3 2 3 5" xfId="33765"/>
    <cellStyle name="20% - Accent1 2 8 3 3 2 4" xfId="13602"/>
    <cellStyle name="20% - Accent1 2 8 3 3 2 4 2" xfId="25403"/>
    <cellStyle name="20% - Accent1 2 8 3 3 2 4 2 2" xfId="54858"/>
    <cellStyle name="20% - Accent1 2 8 3 3 2 4 3" xfId="39018"/>
    <cellStyle name="20% - Accent1 2 8 3 3 2 5" xfId="6854"/>
    <cellStyle name="20% - Accent1 2 8 3 3 2 5 2" xfId="45479"/>
    <cellStyle name="20% - Accent1 2 8 3 3 2 6" xfId="18655"/>
    <cellStyle name="20% - Accent1 2 8 3 3 2 6 2" xfId="54859"/>
    <cellStyle name="20% - Accent1 2 8 3 3 2 7" xfId="32270"/>
    <cellStyle name="20% - Accent1 2 8 3 3 3" xfId="3464"/>
    <cellStyle name="20% - Accent1 2 8 3 3 3 2" xfId="5305"/>
    <cellStyle name="20% - Accent1 2 8 3 3 3 2 2" xfId="16775"/>
    <cellStyle name="20% - Accent1 2 8 3 3 3 2 2 2" xfId="28576"/>
    <cellStyle name="20% - Accent1 2 8 3 3 3 2 2 2 2" xfId="54860"/>
    <cellStyle name="20% - Accent1 2 8 3 3 3 2 2 3" xfId="42191"/>
    <cellStyle name="20% - Accent1 2 8 3 3 3 2 3" xfId="10758"/>
    <cellStyle name="20% - Accent1 2 8 3 3 3 2 3 2" xfId="54861"/>
    <cellStyle name="20% - Accent1 2 8 3 3 3 2 4" xfId="22559"/>
    <cellStyle name="20% - Accent1 2 8 3 3 3 2 4 2" xfId="54862"/>
    <cellStyle name="20% - Accent1 2 8 3 3 3 2 5" xfId="36174"/>
    <cellStyle name="20% - Accent1 2 8 3 3 3 3" xfId="13603"/>
    <cellStyle name="20% - Accent1 2 8 3 3 3 3 2" xfId="25404"/>
    <cellStyle name="20% - Accent1 2 8 3 3 3 3 2 2" xfId="54863"/>
    <cellStyle name="20% - Accent1 2 8 3 3 3 3 3" xfId="39019"/>
    <cellStyle name="20% - Accent1 2 8 3 3 3 4" xfId="8917"/>
    <cellStyle name="20% - Accent1 2 8 3 3 3 4 2" xfId="54864"/>
    <cellStyle name="20% - Accent1 2 8 3 3 3 5" xfId="20718"/>
    <cellStyle name="20% - Accent1 2 8 3 3 3 5 2" xfId="54865"/>
    <cellStyle name="20% - Accent1 2 8 3 3 3 6" xfId="34333"/>
    <cellStyle name="20% - Accent1 2 8 3 3 4" xfId="4169"/>
    <cellStyle name="20% - Accent1 2 8 3 3 4 2" xfId="13604"/>
    <cellStyle name="20% - Accent1 2 8 3 3 4 2 2" xfId="25405"/>
    <cellStyle name="20% - Accent1 2 8 3 3 4 2 2 2" xfId="54866"/>
    <cellStyle name="20% - Accent1 2 8 3 3 4 2 3" xfId="39020"/>
    <cellStyle name="20% - Accent1 2 8 3 3 4 3" xfId="9622"/>
    <cellStyle name="20% - Accent1 2 8 3 3 4 3 2" xfId="45480"/>
    <cellStyle name="20% - Accent1 2 8 3 3 4 4" xfId="21423"/>
    <cellStyle name="20% - Accent1 2 8 3 3 4 4 2" xfId="54867"/>
    <cellStyle name="20% - Accent1 2 8 3 3 4 5" xfId="35038"/>
    <cellStyle name="20% - Accent1 2 8 3 3 5" xfId="2328"/>
    <cellStyle name="20% - Accent1 2 8 3 3 5 2" xfId="17082"/>
    <cellStyle name="20% - Accent1 2 8 3 3 5 2 2" xfId="28883"/>
    <cellStyle name="20% - Accent1 2 8 3 3 5 2 2 2" xfId="54868"/>
    <cellStyle name="20% - Accent1 2 8 3 3 5 2 3" xfId="42498"/>
    <cellStyle name="20% - Accent1 2 8 3 3 5 3" xfId="7781"/>
    <cellStyle name="20% - Accent1 2 8 3 3 5 3 2" xfId="54869"/>
    <cellStyle name="20% - Accent1 2 8 3 3 5 4" xfId="19582"/>
    <cellStyle name="20% - Accent1 2 8 3 3 5 4 2" xfId="54870"/>
    <cellStyle name="20% - Accent1 2 8 3 3 5 5" xfId="33197"/>
    <cellStyle name="20% - Accent1 2 8 3 3 6" xfId="13605"/>
    <cellStyle name="20% - Accent1 2 8 3 3 6 2" xfId="25406"/>
    <cellStyle name="20% - Accent1 2 8 3 3 6 2 2" xfId="54871"/>
    <cellStyle name="20% - Accent1 2 8 3 3 6 3" xfId="39021"/>
    <cellStyle name="20% - Accent1 2 8 3 3 7" xfId="5881"/>
    <cellStyle name="20% - Accent1 2 8 3 3 7 2" xfId="54872"/>
    <cellStyle name="20% - Accent1 2 8 3 3 8" xfId="17682"/>
    <cellStyle name="20% - Accent1 2 8 3 3 8 2" xfId="54873"/>
    <cellStyle name="20% - Accent1 2 8 3 3 9" xfId="31297"/>
    <cellStyle name="20% - Accent1 2 8 3 4" xfId="705"/>
    <cellStyle name="20% - Accent1 2 8 3 4 2" xfId="1401"/>
    <cellStyle name="20% - Accent1 2 8 3 4 2 2" xfId="4447"/>
    <cellStyle name="20% - Accent1 2 8 3 4 2 2 2" xfId="13606"/>
    <cellStyle name="20% - Accent1 2 8 3 4 2 2 2 2" xfId="25407"/>
    <cellStyle name="20% - Accent1 2 8 3 4 2 2 2 2 2" xfId="54874"/>
    <cellStyle name="20% - Accent1 2 8 3 4 2 2 2 3" xfId="39022"/>
    <cellStyle name="20% - Accent1 2 8 3 4 2 2 3" xfId="9900"/>
    <cellStyle name="20% - Accent1 2 8 3 4 2 2 3 2" xfId="45481"/>
    <cellStyle name="20% - Accent1 2 8 3 4 2 2 4" xfId="21701"/>
    <cellStyle name="20% - Accent1 2 8 3 4 2 2 4 2" xfId="54875"/>
    <cellStyle name="20% - Accent1 2 8 3 4 2 2 5" xfId="35316"/>
    <cellStyle name="20% - Accent1 2 8 3 4 2 3" xfId="13607"/>
    <cellStyle name="20% - Accent1 2 8 3 4 2 3 2" xfId="25408"/>
    <cellStyle name="20% - Accent1 2 8 3 4 2 3 2 2" xfId="45482"/>
    <cellStyle name="20% - Accent1 2 8 3 4 2 3 3" xfId="29908"/>
    <cellStyle name="20% - Accent1 2 8 3 4 2 3 3 2" xfId="45483"/>
    <cellStyle name="20% - Accent1 2 8 3 4 2 3 4" xfId="29909"/>
    <cellStyle name="20% - Accent1 2 8 3 4 2 3 4 2" xfId="54876"/>
    <cellStyle name="20% - Accent1 2 8 3 4 2 3 5" xfId="39023"/>
    <cellStyle name="20% - Accent1 2 8 3 4 2 4" xfId="13608"/>
    <cellStyle name="20% - Accent1 2 8 3 4 2 4 2" xfId="25409"/>
    <cellStyle name="20% - Accent1 2 8 3 4 2 4 2 2" xfId="54877"/>
    <cellStyle name="20% - Accent1 2 8 3 4 2 4 3" xfId="39024"/>
    <cellStyle name="20% - Accent1 2 8 3 4 2 5" xfId="6855"/>
    <cellStyle name="20% - Accent1 2 8 3 4 2 5 2" xfId="45484"/>
    <cellStyle name="20% - Accent1 2 8 3 4 2 6" xfId="18656"/>
    <cellStyle name="20% - Accent1 2 8 3 4 2 6 2" xfId="54878"/>
    <cellStyle name="20% - Accent1 2 8 3 4 2 7" xfId="32271"/>
    <cellStyle name="20% - Accent1 2 8 3 4 3" xfId="2606"/>
    <cellStyle name="20% - Accent1 2 8 3 4 3 2" xfId="13609"/>
    <cellStyle name="20% - Accent1 2 8 3 4 3 2 2" xfId="25410"/>
    <cellStyle name="20% - Accent1 2 8 3 4 3 2 2 2" xfId="54879"/>
    <cellStyle name="20% - Accent1 2 8 3 4 3 2 3" xfId="39025"/>
    <cellStyle name="20% - Accent1 2 8 3 4 3 3" xfId="8059"/>
    <cellStyle name="20% - Accent1 2 8 3 4 3 3 2" xfId="45485"/>
    <cellStyle name="20% - Accent1 2 8 3 4 3 4" xfId="19860"/>
    <cellStyle name="20% - Accent1 2 8 3 4 3 4 2" xfId="54880"/>
    <cellStyle name="20% - Accent1 2 8 3 4 3 5" xfId="33475"/>
    <cellStyle name="20% - Accent1 2 8 3 4 4" xfId="13610"/>
    <cellStyle name="20% - Accent1 2 8 3 4 4 2" xfId="25411"/>
    <cellStyle name="20% - Accent1 2 8 3 4 4 2 2" xfId="45486"/>
    <cellStyle name="20% - Accent1 2 8 3 4 4 3" xfId="29910"/>
    <cellStyle name="20% - Accent1 2 8 3 4 4 3 2" xfId="45487"/>
    <cellStyle name="20% - Accent1 2 8 3 4 4 4" xfId="29911"/>
    <cellStyle name="20% - Accent1 2 8 3 4 4 4 2" xfId="54881"/>
    <cellStyle name="20% - Accent1 2 8 3 4 4 5" xfId="39026"/>
    <cellStyle name="20% - Accent1 2 8 3 4 5" xfId="13611"/>
    <cellStyle name="20% - Accent1 2 8 3 4 5 2" xfId="25412"/>
    <cellStyle name="20% - Accent1 2 8 3 4 5 2 2" xfId="54882"/>
    <cellStyle name="20% - Accent1 2 8 3 4 5 3" xfId="39027"/>
    <cellStyle name="20% - Accent1 2 8 3 4 6" xfId="6159"/>
    <cellStyle name="20% - Accent1 2 8 3 4 6 2" xfId="45488"/>
    <cellStyle name="20% - Accent1 2 8 3 4 7" xfId="17960"/>
    <cellStyle name="20% - Accent1 2 8 3 4 7 2" xfId="54883"/>
    <cellStyle name="20% - Accent1 2 8 3 4 8" xfId="31575"/>
    <cellStyle name="20% - Accent1 2 8 3 5" xfId="946"/>
    <cellStyle name="20% - Accent1 2 8 3 5 2" xfId="1402"/>
    <cellStyle name="20% - Accent1 2 8 3 5 2 2" xfId="5015"/>
    <cellStyle name="20% - Accent1 2 8 3 5 2 2 2" xfId="13612"/>
    <cellStyle name="20% - Accent1 2 8 3 5 2 2 2 2" xfId="25413"/>
    <cellStyle name="20% - Accent1 2 8 3 5 2 2 2 2 2" xfId="54884"/>
    <cellStyle name="20% - Accent1 2 8 3 5 2 2 2 3" xfId="39028"/>
    <cellStyle name="20% - Accent1 2 8 3 5 2 2 3" xfId="10468"/>
    <cellStyle name="20% - Accent1 2 8 3 5 2 2 3 2" xfId="45489"/>
    <cellStyle name="20% - Accent1 2 8 3 5 2 2 4" xfId="22269"/>
    <cellStyle name="20% - Accent1 2 8 3 5 2 2 4 2" xfId="54885"/>
    <cellStyle name="20% - Accent1 2 8 3 5 2 2 5" xfId="35884"/>
    <cellStyle name="20% - Accent1 2 8 3 5 2 3" xfId="13613"/>
    <cellStyle name="20% - Accent1 2 8 3 5 2 3 2" xfId="25414"/>
    <cellStyle name="20% - Accent1 2 8 3 5 2 3 2 2" xfId="45490"/>
    <cellStyle name="20% - Accent1 2 8 3 5 2 3 3" xfId="29912"/>
    <cellStyle name="20% - Accent1 2 8 3 5 2 3 3 2" xfId="45491"/>
    <cellStyle name="20% - Accent1 2 8 3 5 2 3 4" xfId="29913"/>
    <cellStyle name="20% - Accent1 2 8 3 5 2 3 4 2" xfId="54886"/>
    <cellStyle name="20% - Accent1 2 8 3 5 2 3 5" xfId="39029"/>
    <cellStyle name="20% - Accent1 2 8 3 5 2 4" xfId="13614"/>
    <cellStyle name="20% - Accent1 2 8 3 5 2 4 2" xfId="25415"/>
    <cellStyle name="20% - Accent1 2 8 3 5 2 4 2 2" xfId="54887"/>
    <cellStyle name="20% - Accent1 2 8 3 5 2 4 3" xfId="39030"/>
    <cellStyle name="20% - Accent1 2 8 3 5 2 5" xfId="6856"/>
    <cellStyle name="20% - Accent1 2 8 3 5 2 5 2" xfId="45492"/>
    <cellStyle name="20% - Accent1 2 8 3 5 2 6" xfId="18657"/>
    <cellStyle name="20% - Accent1 2 8 3 5 2 6 2" xfId="54888"/>
    <cellStyle name="20% - Accent1 2 8 3 5 2 7" xfId="32272"/>
    <cellStyle name="20% - Accent1 2 8 3 5 3" xfId="3174"/>
    <cellStyle name="20% - Accent1 2 8 3 5 3 2" xfId="13615"/>
    <cellStyle name="20% - Accent1 2 8 3 5 3 2 2" xfId="25416"/>
    <cellStyle name="20% - Accent1 2 8 3 5 3 2 2 2" xfId="54889"/>
    <cellStyle name="20% - Accent1 2 8 3 5 3 2 3" xfId="39031"/>
    <cellStyle name="20% - Accent1 2 8 3 5 3 3" xfId="8627"/>
    <cellStyle name="20% - Accent1 2 8 3 5 3 3 2" xfId="45493"/>
    <cellStyle name="20% - Accent1 2 8 3 5 3 4" xfId="20428"/>
    <cellStyle name="20% - Accent1 2 8 3 5 3 4 2" xfId="54890"/>
    <cellStyle name="20% - Accent1 2 8 3 5 3 5" xfId="34043"/>
    <cellStyle name="20% - Accent1 2 8 3 5 4" xfId="13616"/>
    <cellStyle name="20% - Accent1 2 8 3 5 4 2" xfId="25417"/>
    <cellStyle name="20% - Accent1 2 8 3 5 4 2 2" xfId="45494"/>
    <cellStyle name="20% - Accent1 2 8 3 5 4 3" xfId="29914"/>
    <cellStyle name="20% - Accent1 2 8 3 5 4 3 2" xfId="45495"/>
    <cellStyle name="20% - Accent1 2 8 3 5 4 4" xfId="29915"/>
    <cellStyle name="20% - Accent1 2 8 3 5 4 4 2" xfId="54891"/>
    <cellStyle name="20% - Accent1 2 8 3 5 4 5" xfId="39032"/>
    <cellStyle name="20% - Accent1 2 8 3 5 5" xfId="13617"/>
    <cellStyle name="20% - Accent1 2 8 3 5 5 2" xfId="25418"/>
    <cellStyle name="20% - Accent1 2 8 3 5 5 2 2" xfId="54892"/>
    <cellStyle name="20% - Accent1 2 8 3 5 5 3" xfId="39033"/>
    <cellStyle name="20% - Accent1 2 8 3 5 6" xfId="6400"/>
    <cellStyle name="20% - Accent1 2 8 3 5 6 2" xfId="45496"/>
    <cellStyle name="20% - Accent1 2 8 3 5 7" xfId="18201"/>
    <cellStyle name="20% - Accent1 2 8 3 5 7 2" xfId="54893"/>
    <cellStyle name="20% - Accent1 2 8 3 5 8" xfId="31816"/>
    <cellStyle name="20% - Accent1 2 8 3 6" xfId="1403"/>
    <cellStyle name="20% - Accent1 2 8 3 6 2" xfId="3879"/>
    <cellStyle name="20% - Accent1 2 8 3 6 2 2" xfId="13618"/>
    <cellStyle name="20% - Accent1 2 8 3 6 2 2 2" xfId="25419"/>
    <cellStyle name="20% - Accent1 2 8 3 6 2 2 2 2" xfId="54894"/>
    <cellStyle name="20% - Accent1 2 8 3 6 2 2 3" xfId="39034"/>
    <cellStyle name="20% - Accent1 2 8 3 6 2 3" xfId="9332"/>
    <cellStyle name="20% - Accent1 2 8 3 6 2 3 2" xfId="45497"/>
    <cellStyle name="20% - Accent1 2 8 3 6 2 4" xfId="21133"/>
    <cellStyle name="20% - Accent1 2 8 3 6 2 4 2" xfId="54895"/>
    <cellStyle name="20% - Accent1 2 8 3 6 2 5" xfId="34748"/>
    <cellStyle name="20% - Accent1 2 8 3 6 3" xfId="13619"/>
    <cellStyle name="20% - Accent1 2 8 3 6 3 2" xfId="25420"/>
    <cellStyle name="20% - Accent1 2 8 3 6 3 2 2" xfId="45498"/>
    <cellStyle name="20% - Accent1 2 8 3 6 3 3" xfId="29916"/>
    <cellStyle name="20% - Accent1 2 8 3 6 3 3 2" xfId="45499"/>
    <cellStyle name="20% - Accent1 2 8 3 6 3 4" xfId="29917"/>
    <cellStyle name="20% - Accent1 2 8 3 6 3 4 2" xfId="54896"/>
    <cellStyle name="20% - Accent1 2 8 3 6 3 5" xfId="39035"/>
    <cellStyle name="20% - Accent1 2 8 3 6 4" xfId="13620"/>
    <cellStyle name="20% - Accent1 2 8 3 6 4 2" xfId="25421"/>
    <cellStyle name="20% - Accent1 2 8 3 6 4 2 2" xfId="54897"/>
    <cellStyle name="20% - Accent1 2 8 3 6 4 3" xfId="39036"/>
    <cellStyle name="20% - Accent1 2 8 3 6 5" xfId="6857"/>
    <cellStyle name="20% - Accent1 2 8 3 6 5 2" xfId="45500"/>
    <cellStyle name="20% - Accent1 2 8 3 6 6" xfId="18658"/>
    <cellStyle name="20% - Accent1 2 8 3 6 6 2" xfId="54898"/>
    <cellStyle name="20% - Accent1 2 8 3 6 7" xfId="32273"/>
    <cellStyle name="20% - Accent1 2 8 3 7" xfId="3742"/>
    <cellStyle name="20% - Accent1 2 8 3 7 2" xfId="13621"/>
    <cellStyle name="20% - Accent1 2 8 3 7 2 2" xfId="25422"/>
    <cellStyle name="20% - Accent1 2 8 3 7 2 2 2" xfId="54899"/>
    <cellStyle name="20% - Accent1 2 8 3 7 2 3" xfId="39037"/>
    <cellStyle name="20% - Accent1 2 8 3 7 3" xfId="9195"/>
    <cellStyle name="20% - Accent1 2 8 3 7 3 2" xfId="45501"/>
    <cellStyle name="20% - Accent1 2 8 3 7 4" xfId="20996"/>
    <cellStyle name="20% - Accent1 2 8 3 7 4 2" xfId="54900"/>
    <cellStyle name="20% - Accent1 2 8 3 7 5" xfId="34611"/>
    <cellStyle name="20% - Accent1 2 8 3 8" xfId="2038"/>
    <cellStyle name="20% - Accent1 2 8 3 8 2" xfId="13622"/>
    <cellStyle name="20% - Accent1 2 8 3 8 2 2" xfId="25423"/>
    <cellStyle name="20% - Accent1 2 8 3 8 2 2 2" xfId="54901"/>
    <cellStyle name="20% - Accent1 2 8 3 8 2 3" xfId="39038"/>
    <cellStyle name="20% - Accent1 2 8 3 8 3" xfId="7491"/>
    <cellStyle name="20% - Accent1 2 8 3 8 3 2" xfId="45502"/>
    <cellStyle name="20% - Accent1 2 8 3 8 4" xfId="19292"/>
    <cellStyle name="20% - Accent1 2 8 3 8 4 2" xfId="54902"/>
    <cellStyle name="20% - Accent1 2 8 3 8 5" xfId="32907"/>
    <cellStyle name="20% - Accent1 2 8 3 9" xfId="13623"/>
    <cellStyle name="20% - Accent1 2 8 3 9 2" xfId="25424"/>
    <cellStyle name="20% - Accent1 2 8 3 9 2 2" xfId="54903"/>
    <cellStyle name="20% - Accent1 2 8 3 9 3" xfId="39039"/>
    <cellStyle name="20% - Accent1 2 8 4" xfId="191"/>
    <cellStyle name="20% - Accent1 2 8 4 10" xfId="31061"/>
    <cellStyle name="20% - Accent1 2 8 4 2" xfId="479"/>
    <cellStyle name="20% - Accent1 2 8 4 2 2" xfId="1404"/>
    <cellStyle name="20% - Accent1 2 8 4 2 2 2" xfId="4789"/>
    <cellStyle name="20% - Accent1 2 8 4 2 2 2 2" xfId="13624"/>
    <cellStyle name="20% - Accent1 2 8 4 2 2 2 2 2" xfId="25425"/>
    <cellStyle name="20% - Accent1 2 8 4 2 2 2 2 2 2" xfId="54904"/>
    <cellStyle name="20% - Accent1 2 8 4 2 2 2 2 3" xfId="39040"/>
    <cellStyle name="20% - Accent1 2 8 4 2 2 2 3" xfId="10242"/>
    <cellStyle name="20% - Accent1 2 8 4 2 2 2 3 2" xfId="45503"/>
    <cellStyle name="20% - Accent1 2 8 4 2 2 2 4" xfId="22043"/>
    <cellStyle name="20% - Accent1 2 8 4 2 2 2 4 2" xfId="54905"/>
    <cellStyle name="20% - Accent1 2 8 4 2 2 2 5" xfId="35658"/>
    <cellStyle name="20% - Accent1 2 8 4 2 2 3" xfId="2948"/>
    <cellStyle name="20% - Accent1 2 8 4 2 2 3 2" xfId="13625"/>
    <cellStyle name="20% - Accent1 2 8 4 2 2 3 2 2" xfId="25426"/>
    <cellStyle name="20% - Accent1 2 8 4 2 2 3 2 2 2" xfId="54906"/>
    <cellStyle name="20% - Accent1 2 8 4 2 2 3 2 3" xfId="39041"/>
    <cellStyle name="20% - Accent1 2 8 4 2 2 3 3" xfId="8401"/>
    <cellStyle name="20% - Accent1 2 8 4 2 2 3 3 2" xfId="45504"/>
    <cellStyle name="20% - Accent1 2 8 4 2 2 3 4" xfId="20202"/>
    <cellStyle name="20% - Accent1 2 8 4 2 2 3 4 2" xfId="54907"/>
    <cellStyle name="20% - Accent1 2 8 4 2 2 3 5" xfId="33817"/>
    <cellStyle name="20% - Accent1 2 8 4 2 2 4" xfId="13626"/>
    <cellStyle name="20% - Accent1 2 8 4 2 2 4 2" xfId="25427"/>
    <cellStyle name="20% - Accent1 2 8 4 2 2 4 2 2" xfId="54908"/>
    <cellStyle name="20% - Accent1 2 8 4 2 2 4 3" xfId="39042"/>
    <cellStyle name="20% - Accent1 2 8 4 2 2 5" xfId="6858"/>
    <cellStyle name="20% - Accent1 2 8 4 2 2 5 2" xfId="45505"/>
    <cellStyle name="20% - Accent1 2 8 4 2 2 6" xfId="18659"/>
    <cellStyle name="20% - Accent1 2 8 4 2 2 6 2" xfId="54909"/>
    <cellStyle name="20% - Accent1 2 8 4 2 2 7" xfId="32274"/>
    <cellStyle name="20% - Accent1 2 8 4 2 3" xfId="3516"/>
    <cellStyle name="20% - Accent1 2 8 4 2 3 2" xfId="5357"/>
    <cellStyle name="20% - Accent1 2 8 4 2 3 2 2" xfId="16827"/>
    <cellStyle name="20% - Accent1 2 8 4 2 3 2 2 2" xfId="28628"/>
    <cellStyle name="20% - Accent1 2 8 4 2 3 2 2 2 2" xfId="54910"/>
    <cellStyle name="20% - Accent1 2 8 4 2 3 2 2 3" xfId="42243"/>
    <cellStyle name="20% - Accent1 2 8 4 2 3 2 3" xfId="10810"/>
    <cellStyle name="20% - Accent1 2 8 4 2 3 2 3 2" xfId="54911"/>
    <cellStyle name="20% - Accent1 2 8 4 2 3 2 4" xfId="22611"/>
    <cellStyle name="20% - Accent1 2 8 4 2 3 2 4 2" xfId="54912"/>
    <cellStyle name="20% - Accent1 2 8 4 2 3 2 5" xfId="36226"/>
    <cellStyle name="20% - Accent1 2 8 4 2 3 3" xfId="13627"/>
    <cellStyle name="20% - Accent1 2 8 4 2 3 3 2" xfId="25428"/>
    <cellStyle name="20% - Accent1 2 8 4 2 3 3 2 2" xfId="54913"/>
    <cellStyle name="20% - Accent1 2 8 4 2 3 3 3" xfId="39043"/>
    <cellStyle name="20% - Accent1 2 8 4 2 3 4" xfId="8969"/>
    <cellStyle name="20% - Accent1 2 8 4 2 3 4 2" xfId="54914"/>
    <cellStyle name="20% - Accent1 2 8 4 2 3 5" xfId="20770"/>
    <cellStyle name="20% - Accent1 2 8 4 2 3 5 2" xfId="54915"/>
    <cellStyle name="20% - Accent1 2 8 4 2 3 6" xfId="34385"/>
    <cellStyle name="20% - Accent1 2 8 4 2 4" xfId="4221"/>
    <cellStyle name="20% - Accent1 2 8 4 2 4 2" xfId="13628"/>
    <cellStyle name="20% - Accent1 2 8 4 2 4 2 2" xfId="25429"/>
    <cellStyle name="20% - Accent1 2 8 4 2 4 2 2 2" xfId="54916"/>
    <cellStyle name="20% - Accent1 2 8 4 2 4 2 3" xfId="39044"/>
    <cellStyle name="20% - Accent1 2 8 4 2 4 3" xfId="9674"/>
    <cellStyle name="20% - Accent1 2 8 4 2 4 3 2" xfId="45506"/>
    <cellStyle name="20% - Accent1 2 8 4 2 4 4" xfId="21475"/>
    <cellStyle name="20% - Accent1 2 8 4 2 4 4 2" xfId="54917"/>
    <cellStyle name="20% - Accent1 2 8 4 2 4 5" xfId="35090"/>
    <cellStyle name="20% - Accent1 2 8 4 2 5" xfId="2380"/>
    <cellStyle name="20% - Accent1 2 8 4 2 5 2" xfId="17083"/>
    <cellStyle name="20% - Accent1 2 8 4 2 5 2 2" xfId="28884"/>
    <cellStyle name="20% - Accent1 2 8 4 2 5 2 2 2" xfId="54918"/>
    <cellStyle name="20% - Accent1 2 8 4 2 5 2 3" xfId="42499"/>
    <cellStyle name="20% - Accent1 2 8 4 2 5 3" xfId="7833"/>
    <cellStyle name="20% - Accent1 2 8 4 2 5 3 2" xfId="54919"/>
    <cellStyle name="20% - Accent1 2 8 4 2 5 4" xfId="19634"/>
    <cellStyle name="20% - Accent1 2 8 4 2 5 4 2" xfId="54920"/>
    <cellStyle name="20% - Accent1 2 8 4 2 5 5" xfId="33249"/>
    <cellStyle name="20% - Accent1 2 8 4 2 6" xfId="13629"/>
    <cellStyle name="20% - Accent1 2 8 4 2 6 2" xfId="25430"/>
    <cellStyle name="20% - Accent1 2 8 4 2 6 2 2" xfId="54921"/>
    <cellStyle name="20% - Accent1 2 8 4 2 6 3" xfId="39045"/>
    <cellStyle name="20% - Accent1 2 8 4 2 7" xfId="5933"/>
    <cellStyle name="20% - Accent1 2 8 4 2 7 2" xfId="54922"/>
    <cellStyle name="20% - Accent1 2 8 4 2 8" xfId="17734"/>
    <cellStyle name="20% - Accent1 2 8 4 2 8 2" xfId="54923"/>
    <cellStyle name="20% - Accent1 2 8 4 2 9" xfId="31349"/>
    <cellStyle name="20% - Accent1 2 8 4 3" xfId="759"/>
    <cellStyle name="20% - Accent1 2 8 4 3 2" xfId="1405"/>
    <cellStyle name="20% - Accent1 2 8 4 3 2 2" xfId="4501"/>
    <cellStyle name="20% - Accent1 2 8 4 3 2 2 2" xfId="13630"/>
    <cellStyle name="20% - Accent1 2 8 4 3 2 2 2 2" xfId="25431"/>
    <cellStyle name="20% - Accent1 2 8 4 3 2 2 2 2 2" xfId="54924"/>
    <cellStyle name="20% - Accent1 2 8 4 3 2 2 2 3" xfId="39046"/>
    <cellStyle name="20% - Accent1 2 8 4 3 2 2 3" xfId="9954"/>
    <cellStyle name="20% - Accent1 2 8 4 3 2 2 3 2" xfId="45507"/>
    <cellStyle name="20% - Accent1 2 8 4 3 2 2 4" xfId="21755"/>
    <cellStyle name="20% - Accent1 2 8 4 3 2 2 4 2" xfId="54925"/>
    <cellStyle name="20% - Accent1 2 8 4 3 2 2 5" xfId="35370"/>
    <cellStyle name="20% - Accent1 2 8 4 3 2 3" xfId="13631"/>
    <cellStyle name="20% - Accent1 2 8 4 3 2 3 2" xfId="25432"/>
    <cellStyle name="20% - Accent1 2 8 4 3 2 3 2 2" xfId="45508"/>
    <cellStyle name="20% - Accent1 2 8 4 3 2 3 3" xfId="29918"/>
    <cellStyle name="20% - Accent1 2 8 4 3 2 3 3 2" xfId="45509"/>
    <cellStyle name="20% - Accent1 2 8 4 3 2 3 4" xfId="29919"/>
    <cellStyle name="20% - Accent1 2 8 4 3 2 3 4 2" xfId="54926"/>
    <cellStyle name="20% - Accent1 2 8 4 3 2 3 5" xfId="39047"/>
    <cellStyle name="20% - Accent1 2 8 4 3 2 4" xfId="13632"/>
    <cellStyle name="20% - Accent1 2 8 4 3 2 4 2" xfId="25433"/>
    <cellStyle name="20% - Accent1 2 8 4 3 2 4 2 2" xfId="54927"/>
    <cellStyle name="20% - Accent1 2 8 4 3 2 4 3" xfId="39048"/>
    <cellStyle name="20% - Accent1 2 8 4 3 2 5" xfId="6859"/>
    <cellStyle name="20% - Accent1 2 8 4 3 2 5 2" xfId="45510"/>
    <cellStyle name="20% - Accent1 2 8 4 3 2 6" xfId="18660"/>
    <cellStyle name="20% - Accent1 2 8 4 3 2 6 2" xfId="54928"/>
    <cellStyle name="20% - Accent1 2 8 4 3 2 7" xfId="32275"/>
    <cellStyle name="20% - Accent1 2 8 4 3 3" xfId="2660"/>
    <cellStyle name="20% - Accent1 2 8 4 3 3 2" xfId="13633"/>
    <cellStyle name="20% - Accent1 2 8 4 3 3 2 2" xfId="25434"/>
    <cellStyle name="20% - Accent1 2 8 4 3 3 2 2 2" xfId="54929"/>
    <cellStyle name="20% - Accent1 2 8 4 3 3 2 3" xfId="39049"/>
    <cellStyle name="20% - Accent1 2 8 4 3 3 3" xfId="8113"/>
    <cellStyle name="20% - Accent1 2 8 4 3 3 3 2" xfId="45511"/>
    <cellStyle name="20% - Accent1 2 8 4 3 3 4" xfId="19914"/>
    <cellStyle name="20% - Accent1 2 8 4 3 3 4 2" xfId="54930"/>
    <cellStyle name="20% - Accent1 2 8 4 3 3 5" xfId="33529"/>
    <cellStyle name="20% - Accent1 2 8 4 3 4" xfId="13634"/>
    <cellStyle name="20% - Accent1 2 8 4 3 4 2" xfId="25435"/>
    <cellStyle name="20% - Accent1 2 8 4 3 4 2 2" xfId="45512"/>
    <cellStyle name="20% - Accent1 2 8 4 3 4 3" xfId="29920"/>
    <cellStyle name="20% - Accent1 2 8 4 3 4 3 2" xfId="45513"/>
    <cellStyle name="20% - Accent1 2 8 4 3 4 4" xfId="29921"/>
    <cellStyle name="20% - Accent1 2 8 4 3 4 4 2" xfId="54931"/>
    <cellStyle name="20% - Accent1 2 8 4 3 4 5" xfId="39050"/>
    <cellStyle name="20% - Accent1 2 8 4 3 5" xfId="13635"/>
    <cellStyle name="20% - Accent1 2 8 4 3 5 2" xfId="25436"/>
    <cellStyle name="20% - Accent1 2 8 4 3 5 2 2" xfId="54932"/>
    <cellStyle name="20% - Accent1 2 8 4 3 5 3" xfId="39051"/>
    <cellStyle name="20% - Accent1 2 8 4 3 6" xfId="6213"/>
    <cellStyle name="20% - Accent1 2 8 4 3 6 2" xfId="45514"/>
    <cellStyle name="20% - Accent1 2 8 4 3 7" xfId="18014"/>
    <cellStyle name="20% - Accent1 2 8 4 3 7 2" xfId="54933"/>
    <cellStyle name="20% - Accent1 2 8 4 3 8" xfId="31629"/>
    <cellStyle name="20% - Accent1 2 8 4 4" xfId="1406"/>
    <cellStyle name="20% - Accent1 2 8 4 4 2" xfId="5069"/>
    <cellStyle name="20% - Accent1 2 8 4 4 2 2" xfId="13636"/>
    <cellStyle name="20% - Accent1 2 8 4 4 2 2 2" xfId="25437"/>
    <cellStyle name="20% - Accent1 2 8 4 4 2 2 2 2" xfId="54934"/>
    <cellStyle name="20% - Accent1 2 8 4 4 2 2 3" xfId="39052"/>
    <cellStyle name="20% - Accent1 2 8 4 4 2 3" xfId="10522"/>
    <cellStyle name="20% - Accent1 2 8 4 4 2 3 2" xfId="45515"/>
    <cellStyle name="20% - Accent1 2 8 4 4 2 4" xfId="22323"/>
    <cellStyle name="20% - Accent1 2 8 4 4 2 4 2" xfId="54935"/>
    <cellStyle name="20% - Accent1 2 8 4 4 2 5" xfId="35938"/>
    <cellStyle name="20% - Accent1 2 8 4 4 3" xfId="3228"/>
    <cellStyle name="20% - Accent1 2 8 4 4 3 2" xfId="13637"/>
    <cellStyle name="20% - Accent1 2 8 4 4 3 2 2" xfId="25438"/>
    <cellStyle name="20% - Accent1 2 8 4 4 3 2 2 2" xfId="54936"/>
    <cellStyle name="20% - Accent1 2 8 4 4 3 2 3" xfId="39053"/>
    <cellStyle name="20% - Accent1 2 8 4 4 3 3" xfId="8681"/>
    <cellStyle name="20% - Accent1 2 8 4 4 3 3 2" xfId="45516"/>
    <cellStyle name="20% - Accent1 2 8 4 4 3 4" xfId="20482"/>
    <cellStyle name="20% - Accent1 2 8 4 4 3 4 2" xfId="54937"/>
    <cellStyle name="20% - Accent1 2 8 4 4 3 5" xfId="34097"/>
    <cellStyle name="20% - Accent1 2 8 4 4 4" xfId="13638"/>
    <cellStyle name="20% - Accent1 2 8 4 4 4 2" xfId="25439"/>
    <cellStyle name="20% - Accent1 2 8 4 4 4 2 2" xfId="54938"/>
    <cellStyle name="20% - Accent1 2 8 4 4 4 3" xfId="39054"/>
    <cellStyle name="20% - Accent1 2 8 4 4 5" xfId="6860"/>
    <cellStyle name="20% - Accent1 2 8 4 4 5 2" xfId="45517"/>
    <cellStyle name="20% - Accent1 2 8 4 4 6" xfId="18661"/>
    <cellStyle name="20% - Accent1 2 8 4 4 6 2" xfId="54939"/>
    <cellStyle name="20% - Accent1 2 8 4 4 7" xfId="32276"/>
    <cellStyle name="20% - Accent1 2 8 4 5" xfId="3933"/>
    <cellStyle name="20% - Accent1 2 8 4 5 2" xfId="13639"/>
    <cellStyle name="20% - Accent1 2 8 4 5 2 2" xfId="25440"/>
    <cellStyle name="20% - Accent1 2 8 4 5 2 2 2" xfId="54940"/>
    <cellStyle name="20% - Accent1 2 8 4 5 2 3" xfId="39055"/>
    <cellStyle name="20% - Accent1 2 8 4 5 3" xfId="9386"/>
    <cellStyle name="20% - Accent1 2 8 4 5 3 2" xfId="45518"/>
    <cellStyle name="20% - Accent1 2 8 4 5 4" xfId="21187"/>
    <cellStyle name="20% - Accent1 2 8 4 5 4 2" xfId="54941"/>
    <cellStyle name="20% - Accent1 2 8 4 5 5" xfId="34802"/>
    <cellStyle name="20% - Accent1 2 8 4 6" xfId="2092"/>
    <cellStyle name="20% - Accent1 2 8 4 6 2" xfId="13640"/>
    <cellStyle name="20% - Accent1 2 8 4 6 2 2" xfId="25441"/>
    <cellStyle name="20% - Accent1 2 8 4 6 2 2 2" xfId="54942"/>
    <cellStyle name="20% - Accent1 2 8 4 6 2 3" xfId="39056"/>
    <cellStyle name="20% - Accent1 2 8 4 6 3" xfId="7545"/>
    <cellStyle name="20% - Accent1 2 8 4 6 3 2" xfId="45519"/>
    <cellStyle name="20% - Accent1 2 8 4 6 4" xfId="19346"/>
    <cellStyle name="20% - Accent1 2 8 4 6 4 2" xfId="54943"/>
    <cellStyle name="20% - Accent1 2 8 4 6 5" xfId="32961"/>
    <cellStyle name="20% - Accent1 2 8 4 7" xfId="13641"/>
    <cellStyle name="20% - Accent1 2 8 4 7 2" xfId="25442"/>
    <cellStyle name="20% - Accent1 2 8 4 7 2 2" xfId="54944"/>
    <cellStyle name="20% - Accent1 2 8 4 7 3" xfId="39057"/>
    <cellStyle name="20% - Accent1 2 8 4 8" xfId="5645"/>
    <cellStyle name="20% - Accent1 2 8 4 8 2" xfId="45520"/>
    <cellStyle name="20% - Accent1 2 8 4 9" xfId="17446"/>
    <cellStyle name="20% - Accent1 2 8 4 9 2" xfId="54945"/>
    <cellStyle name="20% - Accent1 2 8 5" xfId="342"/>
    <cellStyle name="20% - Accent1 2 8 5 2" xfId="1407"/>
    <cellStyle name="20% - Accent1 2 8 5 2 2" xfId="4652"/>
    <cellStyle name="20% - Accent1 2 8 5 2 2 2" xfId="13642"/>
    <cellStyle name="20% - Accent1 2 8 5 2 2 2 2" xfId="25443"/>
    <cellStyle name="20% - Accent1 2 8 5 2 2 2 2 2" xfId="54946"/>
    <cellStyle name="20% - Accent1 2 8 5 2 2 2 3" xfId="39058"/>
    <cellStyle name="20% - Accent1 2 8 5 2 2 3" xfId="10105"/>
    <cellStyle name="20% - Accent1 2 8 5 2 2 3 2" xfId="45521"/>
    <cellStyle name="20% - Accent1 2 8 5 2 2 4" xfId="21906"/>
    <cellStyle name="20% - Accent1 2 8 5 2 2 4 2" xfId="54947"/>
    <cellStyle name="20% - Accent1 2 8 5 2 2 5" xfId="35521"/>
    <cellStyle name="20% - Accent1 2 8 5 2 3" xfId="2811"/>
    <cellStyle name="20% - Accent1 2 8 5 2 3 2" xfId="13643"/>
    <cellStyle name="20% - Accent1 2 8 5 2 3 2 2" xfId="25444"/>
    <cellStyle name="20% - Accent1 2 8 5 2 3 2 2 2" xfId="54948"/>
    <cellStyle name="20% - Accent1 2 8 5 2 3 2 3" xfId="39059"/>
    <cellStyle name="20% - Accent1 2 8 5 2 3 3" xfId="8264"/>
    <cellStyle name="20% - Accent1 2 8 5 2 3 3 2" xfId="45522"/>
    <cellStyle name="20% - Accent1 2 8 5 2 3 4" xfId="20065"/>
    <cellStyle name="20% - Accent1 2 8 5 2 3 4 2" xfId="54949"/>
    <cellStyle name="20% - Accent1 2 8 5 2 3 5" xfId="33680"/>
    <cellStyle name="20% - Accent1 2 8 5 2 4" xfId="13644"/>
    <cellStyle name="20% - Accent1 2 8 5 2 4 2" xfId="25445"/>
    <cellStyle name="20% - Accent1 2 8 5 2 4 2 2" xfId="54950"/>
    <cellStyle name="20% - Accent1 2 8 5 2 4 3" xfId="39060"/>
    <cellStyle name="20% - Accent1 2 8 5 2 5" xfId="6861"/>
    <cellStyle name="20% - Accent1 2 8 5 2 5 2" xfId="45523"/>
    <cellStyle name="20% - Accent1 2 8 5 2 6" xfId="18662"/>
    <cellStyle name="20% - Accent1 2 8 5 2 6 2" xfId="54951"/>
    <cellStyle name="20% - Accent1 2 8 5 2 7" xfId="32277"/>
    <cellStyle name="20% - Accent1 2 8 5 3" xfId="3379"/>
    <cellStyle name="20% - Accent1 2 8 5 3 2" xfId="5220"/>
    <cellStyle name="20% - Accent1 2 8 5 3 2 2" xfId="16690"/>
    <cellStyle name="20% - Accent1 2 8 5 3 2 2 2" xfId="28491"/>
    <cellStyle name="20% - Accent1 2 8 5 3 2 2 2 2" xfId="54952"/>
    <cellStyle name="20% - Accent1 2 8 5 3 2 2 3" xfId="42106"/>
    <cellStyle name="20% - Accent1 2 8 5 3 2 3" xfId="10673"/>
    <cellStyle name="20% - Accent1 2 8 5 3 2 3 2" xfId="54953"/>
    <cellStyle name="20% - Accent1 2 8 5 3 2 4" xfId="22474"/>
    <cellStyle name="20% - Accent1 2 8 5 3 2 4 2" xfId="54954"/>
    <cellStyle name="20% - Accent1 2 8 5 3 2 5" xfId="36089"/>
    <cellStyle name="20% - Accent1 2 8 5 3 3" xfId="13645"/>
    <cellStyle name="20% - Accent1 2 8 5 3 3 2" xfId="25446"/>
    <cellStyle name="20% - Accent1 2 8 5 3 3 2 2" xfId="54955"/>
    <cellStyle name="20% - Accent1 2 8 5 3 3 3" xfId="39061"/>
    <cellStyle name="20% - Accent1 2 8 5 3 4" xfId="8832"/>
    <cellStyle name="20% - Accent1 2 8 5 3 4 2" xfId="54956"/>
    <cellStyle name="20% - Accent1 2 8 5 3 5" xfId="20633"/>
    <cellStyle name="20% - Accent1 2 8 5 3 5 2" xfId="54957"/>
    <cellStyle name="20% - Accent1 2 8 5 3 6" xfId="34248"/>
    <cellStyle name="20% - Accent1 2 8 5 4" xfId="4084"/>
    <cellStyle name="20% - Accent1 2 8 5 4 2" xfId="13646"/>
    <cellStyle name="20% - Accent1 2 8 5 4 2 2" xfId="25447"/>
    <cellStyle name="20% - Accent1 2 8 5 4 2 2 2" xfId="54958"/>
    <cellStyle name="20% - Accent1 2 8 5 4 2 3" xfId="39062"/>
    <cellStyle name="20% - Accent1 2 8 5 4 3" xfId="9537"/>
    <cellStyle name="20% - Accent1 2 8 5 4 3 2" xfId="45524"/>
    <cellStyle name="20% - Accent1 2 8 5 4 4" xfId="21338"/>
    <cellStyle name="20% - Accent1 2 8 5 4 4 2" xfId="54959"/>
    <cellStyle name="20% - Accent1 2 8 5 4 5" xfId="34953"/>
    <cellStyle name="20% - Accent1 2 8 5 5" xfId="2243"/>
    <cellStyle name="20% - Accent1 2 8 5 5 2" xfId="17084"/>
    <cellStyle name="20% - Accent1 2 8 5 5 2 2" xfId="28885"/>
    <cellStyle name="20% - Accent1 2 8 5 5 2 2 2" xfId="54960"/>
    <cellStyle name="20% - Accent1 2 8 5 5 2 3" xfId="42500"/>
    <cellStyle name="20% - Accent1 2 8 5 5 3" xfId="7696"/>
    <cellStyle name="20% - Accent1 2 8 5 5 3 2" xfId="54961"/>
    <cellStyle name="20% - Accent1 2 8 5 5 4" xfId="19497"/>
    <cellStyle name="20% - Accent1 2 8 5 5 4 2" xfId="54962"/>
    <cellStyle name="20% - Accent1 2 8 5 5 5" xfId="33112"/>
    <cellStyle name="20% - Accent1 2 8 5 6" xfId="13647"/>
    <cellStyle name="20% - Accent1 2 8 5 6 2" xfId="25448"/>
    <cellStyle name="20% - Accent1 2 8 5 6 2 2" xfId="54963"/>
    <cellStyle name="20% - Accent1 2 8 5 6 3" xfId="39063"/>
    <cellStyle name="20% - Accent1 2 8 5 7" xfId="5796"/>
    <cellStyle name="20% - Accent1 2 8 5 7 2" xfId="54964"/>
    <cellStyle name="20% - Accent1 2 8 5 8" xfId="17597"/>
    <cellStyle name="20% - Accent1 2 8 5 8 2" xfId="54965"/>
    <cellStyle name="20% - Accent1 2 8 5 9" xfId="31212"/>
    <cellStyle name="20% - Accent1 2 8 6" xfId="620"/>
    <cellStyle name="20% - Accent1 2 8 6 2" xfId="1408"/>
    <cellStyle name="20% - Accent1 2 8 6 2 2" xfId="4362"/>
    <cellStyle name="20% - Accent1 2 8 6 2 2 2" xfId="13648"/>
    <cellStyle name="20% - Accent1 2 8 6 2 2 2 2" xfId="25449"/>
    <cellStyle name="20% - Accent1 2 8 6 2 2 2 2 2" xfId="54966"/>
    <cellStyle name="20% - Accent1 2 8 6 2 2 2 3" xfId="39064"/>
    <cellStyle name="20% - Accent1 2 8 6 2 2 3" xfId="9815"/>
    <cellStyle name="20% - Accent1 2 8 6 2 2 3 2" xfId="45525"/>
    <cellStyle name="20% - Accent1 2 8 6 2 2 4" xfId="21616"/>
    <cellStyle name="20% - Accent1 2 8 6 2 2 4 2" xfId="54967"/>
    <cellStyle name="20% - Accent1 2 8 6 2 2 5" xfId="35231"/>
    <cellStyle name="20% - Accent1 2 8 6 2 3" xfId="13649"/>
    <cellStyle name="20% - Accent1 2 8 6 2 3 2" xfId="25450"/>
    <cellStyle name="20% - Accent1 2 8 6 2 3 2 2" xfId="45526"/>
    <cellStyle name="20% - Accent1 2 8 6 2 3 3" xfId="29922"/>
    <cellStyle name="20% - Accent1 2 8 6 2 3 3 2" xfId="45527"/>
    <cellStyle name="20% - Accent1 2 8 6 2 3 4" xfId="29923"/>
    <cellStyle name="20% - Accent1 2 8 6 2 3 4 2" xfId="54968"/>
    <cellStyle name="20% - Accent1 2 8 6 2 3 5" xfId="39065"/>
    <cellStyle name="20% - Accent1 2 8 6 2 4" xfId="13650"/>
    <cellStyle name="20% - Accent1 2 8 6 2 4 2" xfId="25451"/>
    <cellStyle name="20% - Accent1 2 8 6 2 4 2 2" xfId="54969"/>
    <cellStyle name="20% - Accent1 2 8 6 2 4 3" xfId="39066"/>
    <cellStyle name="20% - Accent1 2 8 6 2 5" xfId="6862"/>
    <cellStyle name="20% - Accent1 2 8 6 2 5 2" xfId="45528"/>
    <cellStyle name="20% - Accent1 2 8 6 2 6" xfId="18663"/>
    <cellStyle name="20% - Accent1 2 8 6 2 6 2" xfId="54970"/>
    <cellStyle name="20% - Accent1 2 8 6 2 7" xfId="32278"/>
    <cellStyle name="20% - Accent1 2 8 6 3" xfId="2521"/>
    <cellStyle name="20% - Accent1 2 8 6 3 2" xfId="13651"/>
    <cellStyle name="20% - Accent1 2 8 6 3 2 2" xfId="25452"/>
    <cellStyle name="20% - Accent1 2 8 6 3 2 2 2" xfId="54971"/>
    <cellStyle name="20% - Accent1 2 8 6 3 2 3" xfId="39067"/>
    <cellStyle name="20% - Accent1 2 8 6 3 3" xfId="7974"/>
    <cellStyle name="20% - Accent1 2 8 6 3 3 2" xfId="45529"/>
    <cellStyle name="20% - Accent1 2 8 6 3 4" xfId="19775"/>
    <cellStyle name="20% - Accent1 2 8 6 3 4 2" xfId="54972"/>
    <cellStyle name="20% - Accent1 2 8 6 3 5" xfId="33390"/>
    <cellStyle name="20% - Accent1 2 8 6 4" xfId="13652"/>
    <cellStyle name="20% - Accent1 2 8 6 4 2" xfId="25453"/>
    <cellStyle name="20% - Accent1 2 8 6 4 2 2" xfId="45530"/>
    <cellStyle name="20% - Accent1 2 8 6 4 3" xfId="29924"/>
    <cellStyle name="20% - Accent1 2 8 6 4 3 2" xfId="45531"/>
    <cellStyle name="20% - Accent1 2 8 6 4 4" xfId="29925"/>
    <cellStyle name="20% - Accent1 2 8 6 4 4 2" xfId="54973"/>
    <cellStyle name="20% - Accent1 2 8 6 4 5" xfId="39068"/>
    <cellStyle name="20% - Accent1 2 8 6 5" xfId="13653"/>
    <cellStyle name="20% - Accent1 2 8 6 5 2" xfId="25454"/>
    <cellStyle name="20% - Accent1 2 8 6 5 2 2" xfId="54974"/>
    <cellStyle name="20% - Accent1 2 8 6 5 3" xfId="39069"/>
    <cellStyle name="20% - Accent1 2 8 6 6" xfId="6074"/>
    <cellStyle name="20% - Accent1 2 8 6 6 2" xfId="45532"/>
    <cellStyle name="20% - Accent1 2 8 6 7" xfId="17875"/>
    <cellStyle name="20% - Accent1 2 8 6 7 2" xfId="54975"/>
    <cellStyle name="20% - Accent1 2 8 6 8" xfId="31490"/>
    <cellStyle name="20% - Accent1 2 8 7" xfId="861"/>
    <cellStyle name="20% - Accent1 2 8 7 2" xfId="1409"/>
    <cellStyle name="20% - Accent1 2 8 7 2 2" xfId="4930"/>
    <cellStyle name="20% - Accent1 2 8 7 2 2 2" xfId="13654"/>
    <cellStyle name="20% - Accent1 2 8 7 2 2 2 2" xfId="25455"/>
    <cellStyle name="20% - Accent1 2 8 7 2 2 2 2 2" xfId="54976"/>
    <cellStyle name="20% - Accent1 2 8 7 2 2 2 3" xfId="39070"/>
    <cellStyle name="20% - Accent1 2 8 7 2 2 3" xfId="10383"/>
    <cellStyle name="20% - Accent1 2 8 7 2 2 3 2" xfId="45533"/>
    <cellStyle name="20% - Accent1 2 8 7 2 2 4" xfId="22184"/>
    <cellStyle name="20% - Accent1 2 8 7 2 2 4 2" xfId="54977"/>
    <cellStyle name="20% - Accent1 2 8 7 2 2 5" xfId="35799"/>
    <cellStyle name="20% - Accent1 2 8 7 2 3" xfId="13655"/>
    <cellStyle name="20% - Accent1 2 8 7 2 3 2" xfId="25456"/>
    <cellStyle name="20% - Accent1 2 8 7 2 3 2 2" xfId="45534"/>
    <cellStyle name="20% - Accent1 2 8 7 2 3 3" xfId="29926"/>
    <cellStyle name="20% - Accent1 2 8 7 2 3 3 2" xfId="45535"/>
    <cellStyle name="20% - Accent1 2 8 7 2 3 4" xfId="29927"/>
    <cellStyle name="20% - Accent1 2 8 7 2 3 4 2" xfId="54978"/>
    <cellStyle name="20% - Accent1 2 8 7 2 3 5" xfId="39071"/>
    <cellStyle name="20% - Accent1 2 8 7 2 4" xfId="13656"/>
    <cellStyle name="20% - Accent1 2 8 7 2 4 2" xfId="25457"/>
    <cellStyle name="20% - Accent1 2 8 7 2 4 2 2" xfId="54979"/>
    <cellStyle name="20% - Accent1 2 8 7 2 4 3" xfId="39072"/>
    <cellStyle name="20% - Accent1 2 8 7 2 5" xfId="6863"/>
    <cellStyle name="20% - Accent1 2 8 7 2 5 2" xfId="45536"/>
    <cellStyle name="20% - Accent1 2 8 7 2 6" xfId="18664"/>
    <cellStyle name="20% - Accent1 2 8 7 2 6 2" xfId="54980"/>
    <cellStyle name="20% - Accent1 2 8 7 2 7" xfId="32279"/>
    <cellStyle name="20% - Accent1 2 8 7 3" xfId="3089"/>
    <cellStyle name="20% - Accent1 2 8 7 3 2" xfId="13657"/>
    <cellStyle name="20% - Accent1 2 8 7 3 2 2" xfId="25458"/>
    <cellStyle name="20% - Accent1 2 8 7 3 2 2 2" xfId="54981"/>
    <cellStyle name="20% - Accent1 2 8 7 3 2 3" xfId="39073"/>
    <cellStyle name="20% - Accent1 2 8 7 3 3" xfId="8542"/>
    <cellStyle name="20% - Accent1 2 8 7 3 3 2" xfId="45537"/>
    <cellStyle name="20% - Accent1 2 8 7 3 4" xfId="20343"/>
    <cellStyle name="20% - Accent1 2 8 7 3 4 2" xfId="54982"/>
    <cellStyle name="20% - Accent1 2 8 7 3 5" xfId="33958"/>
    <cellStyle name="20% - Accent1 2 8 7 4" xfId="13658"/>
    <cellStyle name="20% - Accent1 2 8 7 4 2" xfId="25459"/>
    <cellStyle name="20% - Accent1 2 8 7 4 2 2" xfId="45538"/>
    <cellStyle name="20% - Accent1 2 8 7 4 3" xfId="29928"/>
    <cellStyle name="20% - Accent1 2 8 7 4 3 2" xfId="45539"/>
    <cellStyle name="20% - Accent1 2 8 7 4 4" xfId="29929"/>
    <cellStyle name="20% - Accent1 2 8 7 4 4 2" xfId="54983"/>
    <cellStyle name="20% - Accent1 2 8 7 4 5" xfId="39074"/>
    <cellStyle name="20% - Accent1 2 8 7 5" xfId="13659"/>
    <cellStyle name="20% - Accent1 2 8 7 5 2" xfId="25460"/>
    <cellStyle name="20% - Accent1 2 8 7 5 2 2" xfId="54984"/>
    <cellStyle name="20% - Accent1 2 8 7 5 3" xfId="39075"/>
    <cellStyle name="20% - Accent1 2 8 7 6" xfId="6315"/>
    <cellStyle name="20% - Accent1 2 8 7 6 2" xfId="45540"/>
    <cellStyle name="20% - Accent1 2 8 7 7" xfId="18116"/>
    <cellStyle name="20% - Accent1 2 8 7 7 2" xfId="54985"/>
    <cellStyle name="20% - Accent1 2 8 7 8" xfId="31731"/>
    <cellStyle name="20% - Accent1 2 8 8" xfId="1410"/>
    <cellStyle name="20% - Accent1 2 8 8 2" xfId="3794"/>
    <cellStyle name="20% - Accent1 2 8 8 2 2" xfId="13660"/>
    <cellStyle name="20% - Accent1 2 8 8 2 2 2" xfId="25461"/>
    <cellStyle name="20% - Accent1 2 8 8 2 2 2 2" xfId="54986"/>
    <cellStyle name="20% - Accent1 2 8 8 2 2 3" xfId="39076"/>
    <cellStyle name="20% - Accent1 2 8 8 2 3" xfId="9247"/>
    <cellStyle name="20% - Accent1 2 8 8 2 3 2" xfId="45541"/>
    <cellStyle name="20% - Accent1 2 8 8 2 4" xfId="21048"/>
    <cellStyle name="20% - Accent1 2 8 8 2 4 2" xfId="54987"/>
    <cellStyle name="20% - Accent1 2 8 8 2 5" xfId="34663"/>
    <cellStyle name="20% - Accent1 2 8 8 3" xfId="13661"/>
    <cellStyle name="20% - Accent1 2 8 8 3 2" xfId="25462"/>
    <cellStyle name="20% - Accent1 2 8 8 3 2 2" xfId="45542"/>
    <cellStyle name="20% - Accent1 2 8 8 3 3" xfId="29930"/>
    <cellStyle name="20% - Accent1 2 8 8 3 3 2" xfId="45543"/>
    <cellStyle name="20% - Accent1 2 8 8 3 4" xfId="29931"/>
    <cellStyle name="20% - Accent1 2 8 8 3 4 2" xfId="54988"/>
    <cellStyle name="20% - Accent1 2 8 8 3 5" xfId="39077"/>
    <cellStyle name="20% - Accent1 2 8 8 4" xfId="13662"/>
    <cellStyle name="20% - Accent1 2 8 8 4 2" xfId="25463"/>
    <cellStyle name="20% - Accent1 2 8 8 4 2 2" xfId="54989"/>
    <cellStyle name="20% - Accent1 2 8 8 4 3" xfId="39078"/>
    <cellStyle name="20% - Accent1 2 8 8 5" xfId="6864"/>
    <cellStyle name="20% - Accent1 2 8 8 5 2" xfId="45544"/>
    <cellStyle name="20% - Accent1 2 8 8 6" xfId="18665"/>
    <cellStyle name="20% - Accent1 2 8 8 6 2" xfId="54990"/>
    <cellStyle name="20% - Accent1 2 8 8 7" xfId="32280"/>
    <cellStyle name="20% - Accent1 2 8 9" xfId="3657"/>
    <cellStyle name="20% - Accent1 2 8 9 2" xfId="13663"/>
    <cellStyle name="20% - Accent1 2 8 9 2 2" xfId="25464"/>
    <cellStyle name="20% - Accent1 2 8 9 2 2 2" xfId="45545"/>
    <cellStyle name="20% - Accent1 2 8 9 2 3" xfId="29060"/>
    <cellStyle name="20% - Accent1 2 8 9 2 3 2" xfId="30867"/>
    <cellStyle name="20% - Accent1 2 8 9 2 3 2 2" xfId="48607"/>
    <cellStyle name="20% - Accent1 2 8 9 2 3 3" xfId="45546"/>
    <cellStyle name="20% - Accent1 2 8 9 2 4" xfId="29932"/>
    <cellStyle name="20% - Accent1 2 8 9 2 4 2" xfId="54991"/>
    <cellStyle name="20% - Accent1 2 8 9 2 5" xfId="39079"/>
    <cellStyle name="20% - Accent1 2 8 9 3" xfId="13664"/>
    <cellStyle name="20% - Accent1 2 8 9 3 2" xfId="25465"/>
    <cellStyle name="20% - Accent1 2 8 9 3 2 2" xfId="54992"/>
    <cellStyle name="20% - Accent1 2 8 9 3 3" xfId="39080"/>
    <cellStyle name="20% - Accent1 2 8 9 4" xfId="9110"/>
    <cellStyle name="20% - Accent1 2 8 9 4 2" xfId="45547"/>
    <cellStyle name="20% - Accent1 2 8 9 5" xfId="20911"/>
    <cellStyle name="20% - Accent1 2 8 9 5 2" xfId="54993"/>
    <cellStyle name="20% - Accent1 2 8 9 6" xfId="34526"/>
    <cellStyle name="20% - Accent1 2 9" xfId="55"/>
    <cellStyle name="20% - Accent1 2 9 10" xfId="13665"/>
    <cellStyle name="20% - Accent1 2 9 10 2" xfId="25466"/>
    <cellStyle name="20% - Accent1 2 9 10 2 2" xfId="54994"/>
    <cellStyle name="20% - Accent1 2 9 10 3" xfId="39081"/>
    <cellStyle name="20% - Accent1 2 9 11" xfId="5509"/>
    <cellStyle name="20% - Accent1 2 9 11 2" xfId="45548"/>
    <cellStyle name="20% - Accent1 2 9 12" xfId="17310"/>
    <cellStyle name="20% - Accent1 2 9 12 2" xfId="54995"/>
    <cellStyle name="20% - Accent1 2 9 13" xfId="30925"/>
    <cellStyle name="20% - Accent1 2 9 2" xfId="122"/>
    <cellStyle name="20% - Accent1 2 9 2 10" xfId="5576"/>
    <cellStyle name="20% - Accent1 2 9 2 10 2" xfId="45549"/>
    <cellStyle name="20% - Accent1 2 9 2 11" xfId="17377"/>
    <cellStyle name="20% - Accent1 2 9 2 11 2" xfId="54996"/>
    <cellStyle name="20% - Accent1 2 9 2 12" xfId="30992"/>
    <cellStyle name="20% - Accent1 2 9 2 2" xfId="549"/>
    <cellStyle name="20% - Accent1 2 9 2 2 2" xfId="1411"/>
    <cellStyle name="20% - Accent1 2 9 2 2 2 2" xfId="4859"/>
    <cellStyle name="20% - Accent1 2 9 2 2 2 2 2" xfId="13666"/>
    <cellStyle name="20% - Accent1 2 9 2 2 2 2 2 2" xfId="25467"/>
    <cellStyle name="20% - Accent1 2 9 2 2 2 2 2 2 2" xfId="54997"/>
    <cellStyle name="20% - Accent1 2 9 2 2 2 2 2 3" xfId="39082"/>
    <cellStyle name="20% - Accent1 2 9 2 2 2 2 3" xfId="10312"/>
    <cellStyle name="20% - Accent1 2 9 2 2 2 2 3 2" xfId="45550"/>
    <cellStyle name="20% - Accent1 2 9 2 2 2 2 4" xfId="22113"/>
    <cellStyle name="20% - Accent1 2 9 2 2 2 2 4 2" xfId="54998"/>
    <cellStyle name="20% - Accent1 2 9 2 2 2 2 5" xfId="35728"/>
    <cellStyle name="20% - Accent1 2 9 2 2 2 3" xfId="3018"/>
    <cellStyle name="20% - Accent1 2 9 2 2 2 3 2" xfId="13667"/>
    <cellStyle name="20% - Accent1 2 9 2 2 2 3 2 2" xfId="25468"/>
    <cellStyle name="20% - Accent1 2 9 2 2 2 3 2 2 2" xfId="54999"/>
    <cellStyle name="20% - Accent1 2 9 2 2 2 3 2 3" xfId="39083"/>
    <cellStyle name="20% - Accent1 2 9 2 2 2 3 3" xfId="8471"/>
    <cellStyle name="20% - Accent1 2 9 2 2 2 3 3 2" xfId="45551"/>
    <cellStyle name="20% - Accent1 2 9 2 2 2 3 4" xfId="20272"/>
    <cellStyle name="20% - Accent1 2 9 2 2 2 3 4 2" xfId="55000"/>
    <cellStyle name="20% - Accent1 2 9 2 2 2 3 5" xfId="33887"/>
    <cellStyle name="20% - Accent1 2 9 2 2 2 4" xfId="13668"/>
    <cellStyle name="20% - Accent1 2 9 2 2 2 4 2" xfId="25469"/>
    <cellStyle name="20% - Accent1 2 9 2 2 2 4 2 2" xfId="55001"/>
    <cellStyle name="20% - Accent1 2 9 2 2 2 4 3" xfId="39084"/>
    <cellStyle name="20% - Accent1 2 9 2 2 2 5" xfId="6865"/>
    <cellStyle name="20% - Accent1 2 9 2 2 2 5 2" xfId="45552"/>
    <cellStyle name="20% - Accent1 2 9 2 2 2 6" xfId="18666"/>
    <cellStyle name="20% - Accent1 2 9 2 2 2 6 2" xfId="55002"/>
    <cellStyle name="20% - Accent1 2 9 2 2 2 7" xfId="32281"/>
    <cellStyle name="20% - Accent1 2 9 2 2 3" xfId="3586"/>
    <cellStyle name="20% - Accent1 2 9 2 2 3 2" xfId="5427"/>
    <cellStyle name="20% - Accent1 2 9 2 2 3 2 2" xfId="16897"/>
    <cellStyle name="20% - Accent1 2 9 2 2 3 2 2 2" xfId="28698"/>
    <cellStyle name="20% - Accent1 2 9 2 2 3 2 2 2 2" xfId="55003"/>
    <cellStyle name="20% - Accent1 2 9 2 2 3 2 2 3" xfId="42313"/>
    <cellStyle name="20% - Accent1 2 9 2 2 3 2 3" xfId="10880"/>
    <cellStyle name="20% - Accent1 2 9 2 2 3 2 3 2" xfId="55004"/>
    <cellStyle name="20% - Accent1 2 9 2 2 3 2 4" xfId="22681"/>
    <cellStyle name="20% - Accent1 2 9 2 2 3 2 4 2" xfId="55005"/>
    <cellStyle name="20% - Accent1 2 9 2 2 3 2 5" xfId="36296"/>
    <cellStyle name="20% - Accent1 2 9 2 2 3 3" xfId="13669"/>
    <cellStyle name="20% - Accent1 2 9 2 2 3 3 2" xfId="25470"/>
    <cellStyle name="20% - Accent1 2 9 2 2 3 3 2 2" xfId="55006"/>
    <cellStyle name="20% - Accent1 2 9 2 2 3 3 3" xfId="39085"/>
    <cellStyle name="20% - Accent1 2 9 2 2 3 4" xfId="9039"/>
    <cellStyle name="20% - Accent1 2 9 2 2 3 4 2" xfId="55007"/>
    <cellStyle name="20% - Accent1 2 9 2 2 3 5" xfId="20840"/>
    <cellStyle name="20% - Accent1 2 9 2 2 3 5 2" xfId="55008"/>
    <cellStyle name="20% - Accent1 2 9 2 2 3 6" xfId="34455"/>
    <cellStyle name="20% - Accent1 2 9 2 2 4" xfId="4291"/>
    <cellStyle name="20% - Accent1 2 9 2 2 4 2" xfId="13670"/>
    <cellStyle name="20% - Accent1 2 9 2 2 4 2 2" xfId="25471"/>
    <cellStyle name="20% - Accent1 2 9 2 2 4 2 2 2" xfId="55009"/>
    <cellStyle name="20% - Accent1 2 9 2 2 4 2 3" xfId="39086"/>
    <cellStyle name="20% - Accent1 2 9 2 2 4 3" xfId="9744"/>
    <cellStyle name="20% - Accent1 2 9 2 2 4 3 2" xfId="45553"/>
    <cellStyle name="20% - Accent1 2 9 2 2 4 4" xfId="21545"/>
    <cellStyle name="20% - Accent1 2 9 2 2 4 4 2" xfId="55010"/>
    <cellStyle name="20% - Accent1 2 9 2 2 4 5" xfId="35160"/>
    <cellStyle name="20% - Accent1 2 9 2 2 5" xfId="2450"/>
    <cellStyle name="20% - Accent1 2 9 2 2 5 2" xfId="17085"/>
    <cellStyle name="20% - Accent1 2 9 2 2 5 2 2" xfId="28886"/>
    <cellStyle name="20% - Accent1 2 9 2 2 5 2 2 2" xfId="55011"/>
    <cellStyle name="20% - Accent1 2 9 2 2 5 2 3" xfId="42501"/>
    <cellStyle name="20% - Accent1 2 9 2 2 5 3" xfId="7903"/>
    <cellStyle name="20% - Accent1 2 9 2 2 5 3 2" xfId="55012"/>
    <cellStyle name="20% - Accent1 2 9 2 2 5 4" xfId="19704"/>
    <cellStyle name="20% - Accent1 2 9 2 2 5 4 2" xfId="55013"/>
    <cellStyle name="20% - Accent1 2 9 2 2 5 5" xfId="33319"/>
    <cellStyle name="20% - Accent1 2 9 2 2 6" xfId="13671"/>
    <cellStyle name="20% - Accent1 2 9 2 2 6 2" xfId="25472"/>
    <cellStyle name="20% - Accent1 2 9 2 2 6 2 2" xfId="55014"/>
    <cellStyle name="20% - Accent1 2 9 2 2 6 3" xfId="39087"/>
    <cellStyle name="20% - Accent1 2 9 2 2 7" xfId="6003"/>
    <cellStyle name="20% - Accent1 2 9 2 2 7 2" xfId="55015"/>
    <cellStyle name="20% - Accent1 2 9 2 2 8" xfId="17804"/>
    <cellStyle name="20% - Accent1 2 9 2 2 8 2" xfId="55016"/>
    <cellStyle name="20% - Accent1 2 9 2 2 9" xfId="31419"/>
    <cellStyle name="20% - Accent1 2 9 2 3" xfId="412"/>
    <cellStyle name="20% - Accent1 2 9 2 3 2" xfId="1412"/>
    <cellStyle name="20% - Accent1 2 9 2 3 2 2" xfId="4722"/>
    <cellStyle name="20% - Accent1 2 9 2 3 2 2 2" xfId="13672"/>
    <cellStyle name="20% - Accent1 2 9 2 3 2 2 2 2" xfId="25473"/>
    <cellStyle name="20% - Accent1 2 9 2 3 2 2 2 2 2" xfId="55017"/>
    <cellStyle name="20% - Accent1 2 9 2 3 2 2 2 3" xfId="39088"/>
    <cellStyle name="20% - Accent1 2 9 2 3 2 2 3" xfId="10175"/>
    <cellStyle name="20% - Accent1 2 9 2 3 2 2 3 2" xfId="45554"/>
    <cellStyle name="20% - Accent1 2 9 2 3 2 2 4" xfId="21976"/>
    <cellStyle name="20% - Accent1 2 9 2 3 2 2 4 2" xfId="55018"/>
    <cellStyle name="20% - Accent1 2 9 2 3 2 2 5" xfId="35591"/>
    <cellStyle name="20% - Accent1 2 9 2 3 2 3" xfId="2881"/>
    <cellStyle name="20% - Accent1 2 9 2 3 2 3 2" xfId="13673"/>
    <cellStyle name="20% - Accent1 2 9 2 3 2 3 2 2" xfId="25474"/>
    <cellStyle name="20% - Accent1 2 9 2 3 2 3 2 2 2" xfId="55019"/>
    <cellStyle name="20% - Accent1 2 9 2 3 2 3 2 3" xfId="39089"/>
    <cellStyle name="20% - Accent1 2 9 2 3 2 3 3" xfId="8334"/>
    <cellStyle name="20% - Accent1 2 9 2 3 2 3 3 2" xfId="45555"/>
    <cellStyle name="20% - Accent1 2 9 2 3 2 3 4" xfId="20135"/>
    <cellStyle name="20% - Accent1 2 9 2 3 2 3 4 2" xfId="55020"/>
    <cellStyle name="20% - Accent1 2 9 2 3 2 3 5" xfId="33750"/>
    <cellStyle name="20% - Accent1 2 9 2 3 2 4" xfId="13674"/>
    <cellStyle name="20% - Accent1 2 9 2 3 2 4 2" xfId="25475"/>
    <cellStyle name="20% - Accent1 2 9 2 3 2 4 2 2" xfId="55021"/>
    <cellStyle name="20% - Accent1 2 9 2 3 2 4 3" xfId="39090"/>
    <cellStyle name="20% - Accent1 2 9 2 3 2 5" xfId="6866"/>
    <cellStyle name="20% - Accent1 2 9 2 3 2 5 2" xfId="45556"/>
    <cellStyle name="20% - Accent1 2 9 2 3 2 6" xfId="18667"/>
    <cellStyle name="20% - Accent1 2 9 2 3 2 6 2" xfId="55022"/>
    <cellStyle name="20% - Accent1 2 9 2 3 2 7" xfId="32282"/>
    <cellStyle name="20% - Accent1 2 9 2 3 3" xfId="3449"/>
    <cellStyle name="20% - Accent1 2 9 2 3 3 2" xfId="5290"/>
    <cellStyle name="20% - Accent1 2 9 2 3 3 2 2" xfId="16760"/>
    <cellStyle name="20% - Accent1 2 9 2 3 3 2 2 2" xfId="28561"/>
    <cellStyle name="20% - Accent1 2 9 2 3 3 2 2 2 2" xfId="55023"/>
    <cellStyle name="20% - Accent1 2 9 2 3 3 2 2 3" xfId="42176"/>
    <cellStyle name="20% - Accent1 2 9 2 3 3 2 3" xfId="10743"/>
    <cellStyle name="20% - Accent1 2 9 2 3 3 2 3 2" xfId="55024"/>
    <cellStyle name="20% - Accent1 2 9 2 3 3 2 4" xfId="22544"/>
    <cellStyle name="20% - Accent1 2 9 2 3 3 2 4 2" xfId="55025"/>
    <cellStyle name="20% - Accent1 2 9 2 3 3 2 5" xfId="36159"/>
    <cellStyle name="20% - Accent1 2 9 2 3 3 3" xfId="13675"/>
    <cellStyle name="20% - Accent1 2 9 2 3 3 3 2" xfId="25476"/>
    <cellStyle name="20% - Accent1 2 9 2 3 3 3 2 2" xfId="55026"/>
    <cellStyle name="20% - Accent1 2 9 2 3 3 3 3" xfId="39091"/>
    <cellStyle name="20% - Accent1 2 9 2 3 3 4" xfId="8902"/>
    <cellStyle name="20% - Accent1 2 9 2 3 3 4 2" xfId="55027"/>
    <cellStyle name="20% - Accent1 2 9 2 3 3 5" xfId="20703"/>
    <cellStyle name="20% - Accent1 2 9 2 3 3 5 2" xfId="55028"/>
    <cellStyle name="20% - Accent1 2 9 2 3 3 6" xfId="34318"/>
    <cellStyle name="20% - Accent1 2 9 2 3 4" xfId="4154"/>
    <cellStyle name="20% - Accent1 2 9 2 3 4 2" xfId="13676"/>
    <cellStyle name="20% - Accent1 2 9 2 3 4 2 2" xfId="25477"/>
    <cellStyle name="20% - Accent1 2 9 2 3 4 2 2 2" xfId="55029"/>
    <cellStyle name="20% - Accent1 2 9 2 3 4 2 3" xfId="39092"/>
    <cellStyle name="20% - Accent1 2 9 2 3 4 3" xfId="9607"/>
    <cellStyle name="20% - Accent1 2 9 2 3 4 3 2" xfId="45557"/>
    <cellStyle name="20% - Accent1 2 9 2 3 4 4" xfId="21408"/>
    <cellStyle name="20% - Accent1 2 9 2 3 4 4 2" xfId="55030"/>
    <cellStyle name="20% - Accent1 2 9 2 3 4 5" xfId="35023"/>
    <cellStyle name="20% - Accent1 2 9 2 3 5" xfId="2313"/>
    <cellStyle name="20% - Accent1 2 9 2 3 5 2" xfId="17086"/>
    <cellStyle name="20% - Accent1 2 9 2 3 5 2 2" xfId="28887"/>
    <cellStyle name="20% - Accent1 2 9 2 3 5 2 2 2" xfId="55031"/>
    <cellStyle name="20% - Accent1 2 9 2 3 5 2 3" xfId="42502"/>
    <cellStyle name="20% - Accent1 2 9 2 3 5 3" xfId="7766"/>
    <cellStyle name="20% - Accent1 2 9 2 3 5 3 2" xfId="55032"/>
    <cellStyle name="20% - Accent1 2 9 2 3 5 4" xfId="19567"/>
    <cellStyle name="20% - Accent1 2 9 2 3 5 4 2" xfId="55033"/>
    <cellStyle name="20% - Accent1 2 9 2 3 5 5" xfId="33182"/>
    <cellStyle name="20% - Accent1 2 9 2 3 6" xfId="13677"/>
    <cellStyle name="20% - Accent1 2 9 2 3 6 2" xfId="25478"/>
    <cellStyle name="20% - Accent1 2 9 2 3 6 2 2" xfId="55034"/>
    <cellStyle name="20% - Accent1 2 9 2 3 6 3" xfId="39093"/>
    <cellStyle name="20% - Accent1 2 9 2 3 7" xfId="5866"/>
    <cellStyle name="20% - Accent1 2 9 2 3 7 2" xfId="55035"/>
    <cellStyle name="20% - Accent1 2 9 2 3 8" xfId="17667"/>
    <cellStyle name="20% - Accent1 2 9 2 3 8 2" xfId="55036"/>
    <cellStyle name="20% - Accent1 2 9 2 3 9" xfId="31282"/>
    <cellStyle name="20% - Accent1 2 9 2 4" xfId="690"/>
    <cellStyle name="20% - Accent1 2 9 2 4 2" xfId="1413"/>
    <cellStyle name="20% - Accent1 2 9 2 4 2 2" xfId="4432"/>
    <cellStyle name="20% - Accent1 2 9 2 4 2 2 2" xfId="13678"/>
    <cellStyle name="20% - Accent1 2 9 2 4 2 2 2 2" xfId="25479"/>
    <cellStyle name="20% - Accent1 2 9 2 4 2 2 2 2 2" xfId="55037"/>
    <cellStyle name="20% - Accent1 2 9 2 4 2 2 2 3" xfId="39094"/>
    <cellStyle name="20% - Accent1 2 9 2 4 2 2 3" xfId="9885"/>
    <cellStyle name="20% - Accent1 2 9 2 4 2 2 3 2" xfId="45558"/>
    <cellStyle name="20% - Accent1 2 9 2 4 2 2 4" xfId="21686"/>
    <cellStyle name="20% - Accent1 2 9 2 4 2 2 4 2" xfId="55038"/>
    <cellStyle name="20% - Accent1 2 9 2 4 2 2 5" xfId="35301"/>
    <cellStyle name="20% - Accent1 2 9 2 4 2 3" xfId="13679"/>
    <cellStyle name="20% - Accent1 2 9 2 4 2 3 2" xfId="25480"/>
    <cellStyle name="20% - Accent1 2 9 2 4 2 3 2 2" xfId="45559"/>
    <cellStyle name="20% - Accent1 2 9 2 4 2 3 3" xfId="29933"/>
    <cellStyle name="20% - Accent1 2 9 2 4 2 3 3 2" xfId="45560"/>
    <cellStyle name="20% - Accent1 2 9 2 4 2 3 4" xfId="29934"/>
    <cellStyle name="20% - Accent1 2 9 2 4 2 3 4 2" xfId="55039"/>
    <cellStyle name="20% - Accent1 2 9 2 4 2 3 5" xfId="39095"/>
    <cellStyle name="20% - Accent1 2 9 2 4 2 4" xfId="13680"/>
    <cellStyle name="20% - Accent1 2 9 2 4 2 4 2" xfId="25481"/>
    <cellStyle name="20% - Accent1 2 9 2 4 2 4 2 2" xfId="55040"/>
    <cellStyle name="20% - Accent1 2 9 2 4 2 4 3" xfId="39096"/>
    <cellStyle name="20% - Accent1 2 9 2 4 2 5" xfId="6867"/>
    <cellStyle name="20% - Accent1 2 9 2 4 2 5 2" xfId="45561"/>
    <cellStyle name="20% - Accent1 2 9 2 4 2 6" xfId="18668"/>
    <cellStyle name="20% - Accent1 2 9 2 4 2 6 2" xfId="55041"/>
    <cellStyle name="20% - Accent1 2 9 2 4 2 7" xfId="32283"/>
    <cellStyle name="20% - Accent1 2 9 2 4 3" xfId="2591"/>
    <cellStyle name="20% - Accent1 2 9 2 4 3 2" xfId="13681"/>
    <cellStyle name="20% - Accent1 2 9 2 4 3 2 2" xfId="25482"/>
    <cellStyle name="20% - Accent1 2 9 2 4 3 2 2 2" xfId="55042"/>
    <cellStyle name="20% - Accent1 2 9 2 4 3 2 3" xfId="39097"/>
    <cellStyle name="20% - Accent1 2 9 2 4 3 3" xfId="8044"/>
    <cellStyle name="20% - Accent1 2 9 2 4 3 3 2" xfId="45562"/>
    <cellStyle name="20% - Accent1 2 9 2 4 3 4" xfId="19845"/>
    <cellStyle name="20% - Accent1 2 9 2 4 3 4 2" xfId="55043"/>
    <cellStyle name="20% - Accent1 2 9 2 4 3 5" xfId="33460"/>
    <cellStyle name="20% - Accent1 2 9 2 4 4" xfId="13682"/>
    <cellStyle name="20% - Accent1 2 9 2 4 4 2" xfId="25483"/>
    <cellStyle name="20% - Accent1 2 9 2 4 4 2 2" xfId="45563"/>
    <cellStyle name="20% - Accent1 2 9 2 4 4 3" xfId="29935"/>
    <cellStyle name="20% - Accent1 2 9 2 4 4 3 2" xfId="45564"/>
    <cellStyle name="20% - Accent1 2 9 2 4 4 4" xfId="29936"/>
    <cellStyle name="20% - Accent1 2 9 2 4 4 4 2" xfId="55044"/>
    <cellStyle name="20% - Accent1 2 9 2 4 4 5" xfId="39098"/>
    <cellStyle name="20% - Accent1 2 9 2 4 5" xfId="13683"/>
    <cellStyle name="20% - Accent1 2 9 2 4 5 2" xfId="25484"/>
    <cellStyle name="20% - Accent1 2 9 2 4 5 2 2" xfId="55045"/>
    <cellStyle name="20% - Accent1 2 9 2 4 5 3" xfId="39099"/>
    <cellStyle name="20% - Accent1 2 9 2 4 6" xfId="6144"/>
    <cellStyle name="20% - Accent1 2 9 2 4 6 2" xfId="45565"/>
    <cellStyle name="20% - Accent1 2 9 2 4 7" xfId="17945"/>
    <cellStyle name="20% - Accent1 2 9 2 4 7 2" xfId="55046"/>
    <cellStyle name="20% - Accent1 2 9 2 4 8" xfId="31560"/>
    <cellStyle name="20% - Accent1 2 9 2 5" xfId="931"/>
    <cellStyle name="20% - Accent1 2 9 2 5 2" xfId="1414"/>
    <cellStyle name="20% - Accent1 2 9 2 5 2 2" xfId="5000"/>
    <cellStyle name="20% - Accent1 2 9 2 5 2 2 2" xfId="13684"/>
    <cellStyle name="20% - Accent1 2 9 2 5 2 2 2 2" xfId="25485"/>
    <cellStyle name="20% - Accent1 2 9 2 5 2 2 2 2 2" xfId="55047"/>
    <cellStyle name="20% - Accent1 2 9 2 5 2 2 2 3" xfId="39100"/>
    <cellStyle name="20% - Accent1 2 9 2 5 2 2 3" xfId="10453"/>
    <cellStyle name="20% - Accent1 2 9 2 5 2 2 3 2" xfId="45566"/>
    <cellStyle name="20% - Accent1 2 9 2 5 2 2 4" xfId="22254"/>
    <cellStyle name="20% - Accent1 2 9 2 5 2 2 4 2" xfId="55048"/>
    <cellStyle name="20% - Accent1 2 9 2 5 2 2 5" xfId="35869"/>
    <cellStyle name="20% - Accent1 2 9 2 5 2 3" xfId="13685"/>
    <cellStyle name="20% - Accent1 2 9 2 5 2 3 2" xfId="25486"/>
    <cellStyle name="20% - Accent1 2 9 2 5 2 3 2 2" xfId="45567"/>
    <cellStyle name="20% - Accent1 2 9 2 5 2 3 3" xfId="29937"/>
    <cellStyle name="20% - Accent1 2 9 2 5 2 3 3 2" xfId="45568"/>
    <cellStyle name="20% - Accent1 2 9 2 5 2 3 4" xfId="29938"/>
    <cellStyle name="20% - Accent1 2 9 2 5 2 3 4 2" xfId="55049"/>
    <cellStyle name="20% - Accent1 2 9 2 5 2 3 5" xfId="39101"/>
    <cellStyle name="20% - Accent1 2 9 2 5 2 4" xfId="13686"/>
    <cellStyle name="20% - Accent1 2 9 2 5 2 4 2" xfId="25487"/>
    <cellStyle name="20% - Accent1 2 9 2 5 2 4 2 2" xfId="55050"/>
    <cellStyle name="20% - Accent1 2 9 2 5 2 4 3" xfId="39102"/>
    <cellStyle name="20% - Accent1 2 9 2 5 2 5" xfId="6868"/>
    <cellStyle name="20% - Accent1 2 9 2 5 2 5 2" xfId="45569"/>
    <cellStyle name="20% - Accent1 2 9 2 5 2 6" xfId="18669"/>
    <cellStyle name="20% - Accent1 2 9 2 5 2 6 2" xfId="55051"/>
    <cellStyle name="20% - Accent1 2 9 2 5 2 7" xfId="32284"/>
    <cellStyle name="20% - Accent1 2 9 2 5 3" xfId="3159"/>
    <cellStyle name="20% - Accent1 2 9 2 5 3 2" xfId="13687"/>
    <cellStyle name="20% - Accent1 2 9 2 5 3 2 2" xfId="25488"/>
    <cellStyle name="20% - Accent1 2 9 2 5 3 2 2 2" xfId="55052"/>
    <cellStyle name="20% - Accent1 2 9 2 5 3 2 3" xfId="39103"/>
    <cellStyle name="20% - Accent1 2 9 2 5 3 3" xfId="8612"/>
    <cellStyle name="20% - Accent1 2 9 2 5 3 3 2" xfId="45570"/>
    <cellStyle name="20% - Accent1 2 9 2 5 3 4" xfId="20413"/>
    <cellStyle name="20% - Accent1 2 9 2 5 3 4 2" xfId="55053"/>
    <cellStyle name="20% - Accent1 2 9 2 5 3 5" xfId="34028"/>
    <cellStyle name="20% - Accent1 2 9 2 5 4" xfId="13688"/>
    <cellStyle name="20% - Accent1 2 9 2 5 4 2" xfId="25489"/>
    <cellStyle name="20% - Accent1 2 9 2 5 4 2 2" xfId="45571"/>
    <cellStyle name="20% - Accent1 2 9 2 5 4 3" xfId="29939"/>
    <cellStyle name="20% - Accent1 2 9 2 5 4 3 2" xfId="45572"/>
    <cellStyle name="20% - Accent1 2 9 2 5 4 4" xfId="29940"/>
    <cellStyle name="20% - Accent1 2 9 2 5 4 4 2" xfId="55054"/>
    <cellStyle name="20% - Accent1 2 9 2 5 4 5" xfId="39104"/>
    <cellStyle name="20% - Accent1 2 9 2 5 5" xfId="13689"/>
    <cellStyle name="20% - Accent1 2 9 2 5 5 2" xfId="25490"/>
    <cellStyle name="20% - Accent1 2 9 2 5 5 2 2" xfId="55055"/>
    <cellStyle name="20% - Accent1 2 9 2 5 5 3" xfId="39105"/>
    <cellStyle name="20% - Accent1 2 9 2 5 6" xfId="6385"/>
    <cellStyle name="20% - Accent1 2 9 2 5 6 2" xfId="45573"/>
    <cellStyle name="20% - Accent1 2 9 2 5 7" xfId="18186"/>
    <cellStyle name="20% - Accent1 2 9 2 5 7 2" xfId="55056"/>
    <cellStyle name="20% - Accent1 2 9 2 5 8" xfId="31801"/>
    <cellStyle name="20% - Accent1 2 9 2 6" xfId="1415"/>
    <cellStyle name="20% - Accent1 2 9 2 6 2" xfId="3864"/>
    <cellStyle name="20% - Accent1 2 9 2 6 2 2" xfId="13690"/>
    <cellStyle name="20% - Accent1 2 9 2 6 2 2 2" xfId="25491"/>
    <cellStyle name="20% - Accent1 2 9 2 6 2 2 2 2" xfId="55057"/>
    <cellStyle name="20% - Accent1 2 9 2 6 2 2 3" xfId="39106"/>
    <cellStyle name="20% - Accent1 2 9 2 6 2 3" xfId="9317"/>
    <cellStyle name="20% - Accent1 2 9 2 6 2 3 2" xfId="45574"/>
    <cellStyle name="20% - Accent1 2 9 2 6 2 4" xfId="21118"/>
    <cellStyle name="20% - Accent1 2 9 2 6 2 4 2" xfId="55058"/>
    <cellStyle name="20% - Accent1 2 9 2 6 2 5" xfId="34733"/>
    <cellStyle name="20% - Accent1 2 9 2 6 3" xfId="13691"/>
    <cellStyle name="20% - Accent1 2 9 2 6 3 2" xfId="25492"/>
    <cellStyle name="20% - Accent1 2 9 2 6 3 2 2" xfId="45575"/>
    <cellStyle name="20% - Accent1 2 9 2 6 3 3" xfId="29941"/>
    <cellStyle name="20% - Accent1 2 9 2 6 3 3 2" xfId="45576"/>
    <cellStyle name="20% - Accent1 2 9 2 6 3 4" xfId="29942"/>
    <cellStyle name="20% - Accent1 2 9 2 6 3 4 2" xfId="55059"/>
    <cellStyle name="20% - Accent1 2 9 2 6 3 5" xfId="39107"/>
    <cellStyle name="20% - Accent1 2 9 2 6 4" xfId="13692"/>
    <cellStyle name="20% - Accent1 2 9 2 6 4 2" xfId="25493"/>
    <cellStyle name="20% - Accent1 2 9 2 6 4 2 2" xfId="55060"/>
    <cellStyle name="20% - Accent1 2 9 2 6 4 3" xfId="39108"/>
    <cellStyle name="20% - Accent1 2 9 2 6 5" xfId="6869"/>
    <cellStyle name="20% - Accent1 2 9 2 6 5 2" xfId="45577"/>
    <cellStyle name="20% - Accent1 2 9 2 6 6" xfId="18670"/>
    <cellStyle name="20% - Accent1 2 9 2 6 6 2" xfId="55061"/>
    <cellStyle name="20% - Accent1 2 9 2 6 7" xfId="32285"/>
    <cellStyle name="20% - Accent1 2 9 2 7" xfId="3727"/>
    <cellStyle name="20% - Accent1 2 9 2 7 2" xfId="13693"/>
    <cellStyle name="20% - Accent1 2 9 2 7 2 2" xfId="25494"/>
    <cellStyle name="20% - Accent1 2 9 2 7 2 2 2" xfId="55062"/>
    <cellStyle name="20% - Accent1 2 9 2 7 2 3" xfId="39109"/>
    <cellStyle name="20% - Accent1 2 9 2 7 3" xfId="9180"/>
    <cellStyle name="20% - Accent1 2 9 2 7 3 2" xfId="45578"/>
    <cellStyle name="20% - Accent1 2 9 2 7 4" xfId="20981"/>
    <cellStyle name="20% - Accent1 2 9 2 7 4 2" xfId="55063"/>
    <cellStyle name="20% - Accent1 2 9 2 7 5" xfId="34596"/>
    <cellStyle name="20% - Accent1 2 9 2 8" xfId="2023"/>
    <cellStyle name="20% - Accent1 2 9 2 8 2" xfId="13694"/>
    <cellStyle name="20% - Accent1 2 9 2 8 2 2" xfId="25495"/>
    <cellStyle name="20% - Accent1 2 9 2 8 2 2 2" xfId="55064"/>
    <cellStyle name="20% - Accent1 2 9 2 8 2 3" xfId="39110"/>
    <cellStyle name="20% - Accent1 2 9 2 8 3" xfId="7476"/>
    <cellStyle name="20% - Accent1 2 9 2 8 3 2" xfId="45579"/>
    <cellStyle name="20% - Accent1 2 9 2 8 4" xfId="19277"/>
    <cellStyle name="20% - Accent1 2 9 2 8 4 2" xfId="55065"/>
    <cellStyle name="20% - Accent1 2 9 2 8 5" xfId="32892"/>
    <cellStyle name="20% - Accent1 2 9 2 9" xfId="13695"/>
    <cellStyle name="20% - Accent1 2 9 2 9 2" xfId="25496"/>
    <cellStyle name="20% - Accent1 2 9 2 9 2 2" xfId="55066"/>
    <cellStyle name="20% - Accent1 2 9 2 9 3" xfId="39111"/>
    <cellStyle name="20% - Accent1 2 9 3" xfId="214"/>
    <cellStyle name="20% - Accent1 2 9 3 10" xfId="31084"/>
    <cellStyle name="20% - Accent1 2 9 3 2" xfId="482"/>
    <cellStyle name="20% - Accent1 2 9 3 2 2" xfId="1416"/>
    <cellStyle name="20% - Accent1 2 9 3 2 2 2" xfId="4792"/>
    <cellStyle name="20% - Accent1 2 9 3 2 2 2 2" xfId="13696"/>
    <cellStyle name="20% - Accent1 2 9 3 2 2 2 2 2" xfId="25497"/>
    <cellStyle name="20% - Accent1 2 9 3 2 2 2 2 2 2" xfId="55067"/>
    <cellStyle name="20% - Accent1 2 9 3 2 2 2 2 3" xfId="39112"/>
    <cellStyle name="20% - Accent1 2 9 3 2 2 2 3" xfId="10245"/>
    <cellStyle name="20% - Accent1 2 9 3 2 2 2 3 2" xfId="45580"/>
    <cellStyle name="20% - Accent1 2 9 3 2 2 2 4" xfId="22046"/>
    <cellStyle name="20% - Accent1 2 9 3 2 2 2 4 2" xfId="55068"/>
    <cellStyle name="20% - Accent1 2 9 3 2 2 2 5" xfId="35661"/>
    <cellStyle name="20% - Accent1 2 9 3 2 2 3" xfId="2951"/>
    <cellStyle name="20% - Accent1 2 9 3 2 2 3 2" xfId="13697"/>
    <cellStyle name="20% - Accent1 2 9 3 2 2 3 2 2" xfId="25498"/>
    <cellStyle name="20% - Accent1 2 9 3 2 2 3 2 2 2" xfId="55069"/>
    <cellStyle name="20% - Accent1 2 9 3 2 2 3 2 3" xfId="39113"/>
    <cellStyle name="20% - Accent1 2 9 3 2 2 3 3" xfId="8404"/>
    <cellStyle name="20% - Accent1 2 9 3 2 2 3 3 2" xfId="45581"/>
    <cellStyle name="20% - Accent1 2 9 3 2 2 3 4" xfId="20205"/>
    <cellStyle name="20% - Accent1 2 9 3 2 2 3 4 2" xfId="55070"/>
    <cellStyle name="20% - Accent1 2 9 3 2 2 3 5" xfId="33820"/>
    <cellStyle name="20% - Accent1 2 9 3 2 2 4" xfId="13698"/>
    <cellStyle name="20% - Accent1 2 9 3 2 2 4 2" xfId="25499"/>
    <cellStyle name="20% - Accent1 2 9 3 2 2 4 2 2" xfId="55071"/>
    <cellStyle name="20% - Accent1 2 9 3 2 2 4 3" xfId="39114"/>
    <cellStyle name="20% - Accent1 2 9 3 2 2 5" xfId="6870"/>
    <cellStyle name="20% - Accent1 2 9 3 2 2 5 2" xfId="45582"/>
    <cellStyle name="20% - Accent1 2 9 3 2 2 6" xfId="18671"/>
    <cellStyle name="20% - Accent1 2 9 3 2 2 6 2" xfId="55072"/>
    <cellStyle name="20% - Accent1 2 9 3 2 2 7" xfId="32286"/>
    <cellStyle name="20% - Accent1 2 9 3 2 3" xfId="3519"/>
    <cellStyle name="20% - Accent1 2 9 3 2 3 2" xfId="5360"/>
    <cellStyle name="20% - Accent1 2 9 3 2 3 2 2" xfId="16830"/>
    <cellStyle name="20% - Accent1 2 9 3 2 3 2 2 2" xfId="28631"/>
    <cellStyle name="20% - Accent1 2 9 3 2 3 2 2 2 2" xfId="55073"/>
    <cellStyle name="20% - Accent1 2 9 3 2 3 2 2 3" xfId="42246"/>
    <cellStyle name="20% - Accent1 2 9 3 2 3 2 3" xfId="10813"/>
    <cellStyle name="20% - Accent1 2 9 3 2 3 2 3 2" xfId="55074"/>
    <cellStyle name="20% - Accent1 2 9 3 2 3 2 4" xfId="22614"/>
    <cellStyle name="20% - Accent1 2 9 3 2 3 2 4 2" xfId="55075"/>
    <cellStyle name="20% - Accent1 2 9 3 2 3 2 5" xfId="36229"/>
    <cellStyle name="20% - Accent1 2 9 3 2 3 3" xfId="13699"/>
    <cellStyle name="20% - Accent1 2 9 3 2 3 3 2" xfId="25500"/>
    <cellStyle name="20% - Accent1 2 9 3 2 3 3 2 2" xfId="55076"/>
    <cellStyle name="20% - Accent1 2 9 3 2 3 3 3" xfId="39115"/>
    <cellStyle name="20% - Accent1 2 9 3 2 3 4" xfId="8972"/>
    <cellStyle name="20% - Accent1 2 9 3 2 3 4 2" xfId="55077"/>
    <cellStyle name="20% - Accent1 2 9 3 2 3 5" xfId="20773"/>
    <cellStyle name="20% - Accent1 2 9 3 2 3 5 2" xfId="55078"/>
    <cellStyle name="20% - Accent1 2 9 3 2 3 6" xfId="34388"/>
    <cellStyle name="20% - Accent1 2 9 3 2 4" xfId="4224"/>
    <cellStyle name="20% - Accent1 2 9 3 2 4 2" xfId="13700"/>
    <cellStyle name="20% - Accent1 2 9 3 2 4 2 2" xfId="25501"/>
    <cellStyle name="20% - Accent1 2 9 3 2 4 2 2 2" xfId="55079"/>
    <cellStyle name="20% - Accent1 2 9 3 2 4 2 3" xfId="39116"/>
    <cellStyle name="20% - Accent1 2 9 3 2 4 3" xfId="9677"/>
    <cellStyle name="20% - Accent1 2 9 3 2 4 3 2" xfId="45583"/>
    <cellStyle name="20% - Accent1 2 9 3 2 4 4" xfId="21478"/>
    <cellStyle name="20% - Accent1 2 9 3 2 4 4 2" xfId="55080"/>
    <cellStyle name="20% - Accent1 2 9 3 2 4 5" xfId="35093"/>
    <cellStyle name="20% - Accent1 2 9 3 2 5" xfId="2383"/>
    <cellStyle name="20% - Accent1 2 9 3 2 5 2" xfId="17087"/>
    <cellStyle name="20% - Accent1 2 9 3 2 5 2 2" xfId="28888"/>
    <cellStyle name="20% - Accent1 2 9 3 2 5 2 2 2" xfId="55081"/>
    <cellStyle name="20% - Accent1 2 9 3 2 5 2 3" xfId="42503"/>
    <cellStyle name="20% - Accent1 2 9 3 2 5 3" xfId="7836"/>
    <cellStyle name="20% - Accent1 2 9 3 2 5 3 2" xfId="55082"/>
    <cellStyle name="20% - Accent1 2 9 3 2 5 4" xfId="19637"/>
    <cellStyle name="20% - Accent1 2 9 3 2 5 4 2" xfId="55083"/>
    <cellStyle name="20% - Accent1 2 9 3 2 5 5" xfId="33252"/>
    <cellStyle name="20% - Accent1 2 9 3 2 6" xfId="13701"/>
    <cellStyle name="20% - Accent1 2 9 3 2 6 2" xfId="25502"/>
    <cellStyle name="20% - Accent1 2 9 3 2 6 2 2" xfId="55084"/>
    <cellStyle name="20% - Accent1 2 9 3 2 6 3" xfId="39117"/>
    <cellStyle name="20% - Accent1 2 9 3 2 7" xfId="5936"/>
    <cellStyle name="20% - Accent1 2 9 3 2 7 2" xfId="55085"/>
    <cellStyle name="20% - Accent1 2 9 3 2 8" xfId="17737"/>
    <cellStyle name="20% - Accent1 2 9 3 2 8 2" xfId="55086"/>
    <cellStyle name="20% - Accent1 2 9 3 2 9" xfId="31352"/>
    <cellStyle name="20% - Accent1 2 9 3 3" xfId="782"/>
    <cellStyle name="20% - Accent1 2 9 3 3 2" xfId="1417"/>
    <cellStyle name="20% - Accent1 2 9 3 3 2 2" xfId="4524"/>
    <cellStyle name="20% - Accent1 2 9 3 3 2 2 2" xfId="13702"/>
    <cellStyle name="20% - Accent1 2 9 3 3 2 2 2 2" xfId="25503"/>
    <cellStyle name="20% - Accent1 2 9 3 3 2 2 2 2 2" xfId="55087"/>
    <cellStyle name="20% - Accent1 2 9 3 3 2 2 2 3" xfId="39118"/>
    <cellStyle name="20% - Accent1 2 9 3 3 2 2 3" xfId="9977"/>
    <cellStyle name="20% - Accent1 2 9 3 3 2 2 3 2" xfId="45584"/>
    <cellStyle name="20% - Accent1 2 9 3 3 2 2 4" xfId="21778"/>
    <cellStyle name="20% - Accent1 2 9 3 3 2 2 4 2" xfId="55088"/>
    <cellStyle name="20% - Accent1 2 9 3 3 2 2 5" xfId="35393"/>
    <cellStyle name="20% - Accent1 2 9 3 3 2 3" xfId="13703"/>
    <cellStyle name="20% - Accent1 2 9 3 3 2 3 2" xfId="25504"/>
    <cellStyle name="20% - Accent1 2 9 3 3 2 3 2 2" xfId="45585"/>
    <cellStyle name="20% - Accent1 2 9 3 3 2 3 3" xfId="29943"/>
    <cellStyle name="20% - Accent1 2 9 3 3 2 3 3 2" xfId="45586"/>
    <cellStyle name="20% - Accent1 2 9 3 3 2 3 4" xfId="29944"/>
    <cellStyle name="20% - Accent1 2 9 3 3 2 3 4 2" xfId="55089"/>
    <cellStyle name="20% - Accent1 2 9 3 3 2 3 5" xfId="39119"/>
    <cellStyle name="20% - Accent1 2 9 3 3 2 4" xfId="13704"/>
    <cellStyle name="20% - Accent1 2 9 3 3 2 4 2" xfId="25505"/>
    <cellStyle name="20% - Accent1 2 9 3 3 2 4 2 2" xfId="55090"/>
    <cellStyle name="20% - Accent1 2 9 3 3 2 4 3" xfId="39120"/>
    <cellStyle name="20% - Accent1 2 9 3 3 2 5" xfId="6871"/>
    <cellStyle name="20% - Accent1 2 9 3 3 2 5 2" xfId="45587"/>
    <cellStyle name="20% - Accent1 2 9 3 3 2 6" xfId="18672"/>
    <cellStyle name="20% - Accent1 2 9 3 3 2 6 2" xfId="55091"/>
    <cellStyle name="20% - Accent1 2 9 3 3 2 7" xfId="32287"/>
    <cellStyle name="20% - Accent1 2 9 3 3 3" xfId="2683"/>
    <cellStyle name="20% - Accent1 2 9 3 3 3 2" xfId="13705"/>
    <cellStyle name="20% - Accent1 2 9 3 3 3 2 2" xfId="25506"/>
    <cellStyle name="20% - Accent1 2 9 3 3 3 2 2 2" xfId="55092"/>
    <cellStyle name="20% - Accent1 2 9 3 3 3 2 3" xfId="39121"/>
    <cellStyle name="20% - Accent1 2 9 3 3 3 3" xfId="8136"/>
    <cellStyle name="20% - Accent1 2 9 3 3 3 3 2" xfId="45588"/>
    <cellStyle name="20% - Accent1 2 9 3 3 3 4" xfId="19937"/>
    <cellStyle name="20% - Accent1 2 9 3 3 3 4 2" xfId="55093"/>
    <cellStyle name="20% - Accent1 2 9 3 3 3 5" xfId="33552"/>
    <cellStyle name="20% - Accent1 2 9 3 3 4" xfId="13706"/>
    <cellStyle name="20% - Accent1 2 9 3 3 4 2" xfId="25507"/>
    <cellStyle name="20% - Accent1 2 9 3 3 4 2 2" xfId="45589"/>
    <cellStyle name="20% - Accent1 2 9 3 3 4 3" xfId="29945"/>
    <cellStyle name="20% - Accent1 2 9 3 3 4 3 2" xfId="45590"/>
    <cellStyle name="20% - Accent1 2 9 3 3 4 4" xfId="29946"/>
    <cellStyle name="20% - Accent1 2 9 3 3 4 4 2" xfId="55094"/>
    <cellStyle name="20% - Accent1 2 9 3 3 4 5" xfId="39122"/>
    <cellStyle name="20% - Accent1 2 9 3 3 5" xfId="13707"/>
    <cellStyle name="20% - Accent1 2 9 3 3 5 2" xfId="25508"/>
    <cellStyle name="20% - Accent1 2 9 3 3 5 2 2" xfId="55095"/>
    <cellStyle name="20% - Accent1 2 9 3 3 5 3" xfId="39123"/>
    <cellStyle name="20% - Accent1 2 9 3 3 6" xfId="6236"/>
    <cellStyle name="20% - Accent1 2 9 3 3 6 2" xfId="45591"/>
    <cellStyle name="20% - Accent1 2 9 3 3 7" xfId="18037"/>
    <cellStyle name="20% - Accent1 2 9 3 3 7 2" xfId="55096"/>
    <cellStyle name="20% - Accent1 2 9 3 3 8" xfId="31652"/>
    <cellStyle name="20% - Accent1 2 9 3 4" xfId="1418"/>
    <cellStyle name="20% - Accent1 2 9 3 4 2" xfId="5092"/>
    <cellStyle name="20% - Accent1 2 9 3 4 2 2" xfId="13708"/>
    <cellStyle name="20% - Accent1 2 9 3 4 2 2 2" xfId="25509"/>
    <cellStyle name="20% - Accent1 2 9 3 4 2 2 2 2" xfId="55097"/>
    <cellStyle name="20% - Accent1 2 9 3 4 2 2 3" xfId="39124"/>
    <cellStyle name="20% - Accent1 2 9 3 4 2 3" xfId="10545"/>
    <cellStyle name="20% - Accent1 2 9 3 4 2 3 2" xfId="45592"/>
    <cellStyle name="20% - Accent1 2 9 3 4 2 4" xfId="22346"/>
    <cellStyle name="20% - Accent1 2 9 3 4 2 4 2" xfId="55098"/>
    <cellStyle name="20% - Accent1 2 9 3 4 2 5" xfId="35961"/>
    <cellStyle name="20% - Accent1 2 9 3 4 3" xfId="3251"/>
    <cellStyle name="20% - Accent1 2 9 3 4 3 2" xfId="13709"/>
    <cellStyle name="20% - Accent1 2 9 3 4 3 2 2" xfId="25510"/>
    <cellStyle name="20% - Accent1 2 9 3 4 3 2 2 2" xfId="55099"/>
    <cellStyle name="20% - Accent1 2 9 3 4 3 2 3" xfId="39125"/>
    <cellStyle name="20% - Accent1 2 9 3 4 3 3" xfId="8704"/>
    <cellStyle name="20% - Accent1 2 9 3 4 3 3 2" xfId="45593"/>
    <cellStyle name="20% - Accent1 2 9 3 4 3 4" xfId="20505"/>
    <cellStyle name="20% - Accent1 2 9 3 4 3 4 2" xfId="55100"/>
    <cellStyle name="20% - Accent1 2 9 3 4 3 5" xfId="34120"/>
    <cellStyle name="20% - Accent1 2 9 3 4 4" xfId="13710"/>
    <cellStyle name="20% - Accent1 2 9 3 4 4 2" xfId="25511"/>
    <cellStyle name="20% - Accent1 2 9 3 4 4 2 2" xfId="55101"/>
    <cellStyle name="20% - Accent1 2 9 3 4 4 3" xfId="39126"/>
    <cellStyle name="20% - Accent1 2 9 3 4 5" xfId="6872"/>
    <cellStyle name="20% - Accent1 2 9 3 4 5 2" xfId="45594"/>
    <cellStyle name="20% - Accent1 2 9 3 4 6" xfId="18673"/>
    <cellStyle name="20% - Accent1 2 9 3 4 6 2" xfId="55102"/>
    <cellStyle name="20% - Accent1 2 9 3 4 7" xfId="32288"/>
    <cellStyle name="20% - Accent1 2 9 3 5" xfId="3956"/>
    <cellStyle name="20% - Accent1 2 9 3 5 2" xfId="13711"/>
    <cellStyle name="20% - Accent1 2 9 3 5 2 2" xfId="25512"/>
    <cellStyle name="20% - Accent1 2 9 3 5 2 2 2" xfId="55103"/>
    <cellStyle name="20% - Accent1 2 9 3 5 2 3" xfId="39127"/>
    <cellStyle name="20% - Accent1 2 9 3 5 3" xfId="9409"/>
    <cellStyle name="20% - Accent1 2 9 3 5 3 2" xfId="45595"/>
    <cellStyle name="20% - Accent1 2 9 3 5 4" xfId="21210"/>
    <cellStyle name="20% - Accent1 2 9 3 5 4 2" xfId="55104"/>
    <cellStyle name="20% - Accent1 2 9 3 5 5" xfId="34825"/>
    <cellStyle name="20% - Accent1 2 9 3 6" xfId="2115"/>
    <cellStyle name="20% - Accent1 2 9 3 6 2" xfId="13712"/>
    <cellStyle name="20% - Accent1 2 9 3 6 2 2" xfId="25513"/>
    <cellStyle name="20% - Accent1 2 9 3 6 2 2 2" xfId="55105"/>
    <cellStyle name="20% - Accent1 2 9 3 6 2 3" xfId="39128"/>
    <cellStyle name="20% - Accent1 2 9 3 6 3" xfId="7568"/>
    <cellStyle name="20% - Accent1 2 9 3 6 3 2" xfId="45596"/>
    <cellStyle name="20% - Accent1 2 9 3 6 4" xfId="19369"/>
    <cellStyle name="20% - Accent1 2 9 3 6 4 2" xfId="55106"/>
    <cellStyle name="20% - Accent1 2 9 3 6 5" xfId="32984"/>
    <cellStyle name="20% - Accent1 2 9 3 7" xfId="13713"/>
    <cellStyle name="20% - Accent1 2 9 3 7 2" xfId="25514"/>
    <cellStyle name="20% - Accent1 2 9 3 7 2 2" xfId="55107"/>
    <cellStyle name="20% - Accent1 2 9 3 7 3" xfId="39129"/>
    <cellStyle name="20% - Accent1 2 9 3 8" xfId="5668"/>
    <cellStyle name="20% - Accent1 2 9 3 8 2" xfId="45597"/>
    <cellStyle name="20% - Accent1 2 9 3 9" xfId="17469"/>
    <cellStyle name="20% - Accent1 2 9 3 9 2" xfId="55108"/>
    <cellStyle name="20% - Accent1 2 9 4" xfId="345"/>
    <cellStyle name="20% - Accent1 2 9 4 2" xfId="1419"/>
    <cellStyle name="20% - Accent1 2 9 4 2 2" xfId="4655"/>
    <cellStyle name="20% - Accent1 2 9 4 2 2 2" xfId="13714"/>
    <cellStyle name="20% - Accent1 2 9 4 2 2 2 2" xfId="25515"/>
    <cellStyle name="20% - Accent1 2 9 4 2 2 2 2 2" xfId="55109"/>
    <cellStyle name="20% - Accent1 2 9 4 2 2 2 3" xfId="39130"/>
    <cellStyle name="20% - Accent1 2 9 4 2 2 3" xfId="10108"/>
    <cellStyle name="20% - Accent1 2 9 4 2 2 3 2" xfId="45598"/>
    <cellStyle name="20% - Accent1 2 9 4 2 2 4" xfId="21909"/>
    <cellStyle name="20% - Accent1 2 9 4 2 2 4 2" xfId="55110"/>
    <cellStyle name="20% - Accent1 2 9 4 2 2 5" xfId="35524"/>
    <cellStyle name="20% - Accent1 2 9 4 2 3" xfId="2814"/>
    <cellStyle name="20% - Accent1 2 9 4 2 3 2" xfId="13715"/>
    <cellStyle name="20% - Accent1 2 9 4 2 3 2 2" xfId="25516"/>
    <cellStyle name="20% - Accent1 2 9 4 2 3 2 2 2" xfId="55111"/>
    <cellStyle name="20% - Accent1 2 9 4 2 3 2 3" xfId="39131"/>
    <cellStyle name="20% - Accent1 2 9 4 2 3 3" xfId="8267"/>
    <cellStyle name="20% - Accent1 2 9 4 2 3 3 2" xfId="45599"/>
    <cellStyle name="20% - Accent1 2 9 4 2 3 4" xfId="20068"/>
    <cellStyle name="20% - Accent1 2 9 4 2 3 4 2" xfId="55112"/>
    <cellStyle name="20% - Accent1 2 9 4 2 3 5" xfId="33683"/>
    <cellStyle name="20% - Accent1 2 9 4 2 4" xfId="13716"/>
    <cellStyle name="20% - Accent1 2 9 4 2 4 2" xfId="25517"/>
    <cellStyle name="20% - Accent1 2 9 4 2 4 2 2" xfId="55113"/>
    <cellStyle name="20% - Accent1 2 9 4 2 4 3" xfId="39132"/>
    <cellStyle name="20% - Accent1 2 9 4 2 5" xfId="6873"/>
    <cellStyle name="20% - Accent1 2 9 4 2 5 2" xfId="45600"/>
    <cellStyle name="20% - Accent1 2 9 4 2 6" xfId="18674"/>
    <cellStyle name="20% - Accent1 2 9 4 2 6 2" xfId="55114"/>
    <cellStyle name="20% - Accent1 2 9 4 2 7" xfId="32289"/>
    <cellStyle name="20% - Accent1 2 9 4 3" xfId="3382"/>
    <cellStyle name="20% - Accent1 2 9 4 3 2" xfId="5223"/>
    <cellStyle name="20% - Accent1 2 9 4 3 2 2" xfId="16693"/>
    <cellStyle name="20% - Accent1 2 9 4 3 2 2 2" xfId="28494"/>
    <cellStyle name="20% - Accent1 2 9 4 3 2 2 2 2" xfId="55115"/>
    <cellStyle name="20% - Accent1 2 9 4 3 2 2 3" xfId="42109"/>
    <cellStyle name="20% - Accent1 2 9 4 3 2 3" xfId="10676"/>
    <cellStyle name="20% - Accent1 2 9 4 3 2 3 2" xfId="55116"/>
    <cellStyle name="20% - Accent1 2 9 4 3 2 4" xfId="22477"/>
    <cellStyle name="20% - Accent1 2 9 4 3 2 4 2" xfId="55117"/>
    <cellStyle name="20% - Accent1 2 9 4 3 2 5" xfId="36092"/>
    <cellStyle name="20% - Accent1 2 9 4 3 3" xfId="13717"/>
    <cellStyle name="20% - Accent1 2 9 4 3 3 2" xfId="25518"/>
    <cellStyle name="20% - Accent1 2 9 4 3 3 2 2" xfId="55118"/>
    <cellStyle name="20% - Accent1 2 9 4 3 3 3" xfId="39133"/>
    <cellStyle name="20% - Accent1 2 9 4 3 4" xfId="8835"/>
    <cellStyle name="20% - Accent1 2 9 4 3 4 2" xfId="55119"/>
    <cellStyle name="20% - Accent1 2 9 4 3 5" xfId="20636"/>
    <cellStyle name="20% - Accent1 2 9 4 3 5 2" xfId="55120"/>
    <cellStyle name="20% - Accent1 2 9 4 3 6" xfId="34251"/>
    <cellStyle name="20% - Accent1 2 9 4 4" xfId="4087"/>
    <cellStyle name="20% - Accent1 2 9 4 4 2" xfId="13718"/>
    <cellStyle name="20% - Accent1 2 9 4 4 2 2" xfId="25519"/>
    <cellStyle name="20% - Accent1 2 9 4 4 2 2 2" xfId="55121"/>
    <cellStyle name="20% - Accent1 2 9 4 4 2 3" xfId="39134"/>
    <cellStyle name="20% - Accent1 2 9 4 4 3" xfId="9540"/>
    <cellStyle name="20% - Accent1 2 9 4 4 3 2" xfId="45601"/>
    <cellStyle name="20% - Accent1 2 9 4 4 4" xfId="21341"/>
    <cellStyle name="20% - Accent1 2 9 4 4 4 2" xfId="55122"/>
    <cellStyle name="20% - Accent1 2 9 4 4 5" xfId="34956"/>
    <cellStyle name="20% - Accent1 2 9 4 5" xfId="2246"/>
    <cellStyle name="20% - Accent1 2 9 4 5 2" xfId="17088"/>
    <cellStyle name="20% - Accent1 2 9 4 5 2 2" xfId="28889"/>
    <cellStyle name="20% - Accent1 2 9 4 5 2 2 2" xfId="55123"/>
    <cellStyle name="20% - Accent1 2 9 4 5 2 3" xfId="42504"/>
    <cellStyle name="20% - Accent1 2 9 4 5 3" xfId="7699"/>
    <cellStyle name="20% - Accent1 2 9 4 5 3 2" xfId="55124"/>
    <cellStyle name="20% - Accent1 2 9 4 5 4" xfId="19500"/>
    <cellStyle name="20% - Accent1 2 9 4 5 4 2" xfId="55125"/>
    <cellStyle name="20% - Accent1 2 9 4 5 5" xfId="33115"/>
    <cellStyle name="20% - Accent1 2 9 4 6" xfId="13719"/>
    <cellStyle name="20% - Accent1 2 9 4 6 2" xfId="25520"/>
    <cellStyle name="20% - Accent1 2 9 4 6 2 2" xfId="55126"/>
    <cellStyle name="20% - Accent1 2 9 4 6 3" xfId="39135"/>
    <cellStyle name="20% - Accent1 2 9 4 7" xfId="5799"/>
    <cellStyle name="20% - Accent1 2 9 4 7 2" xfId="55127"/>
    <cellStyle name="20% - Accent1 2 9 4 8" xfId="17600"/>
    <cellStyle name="20% - Accent1 2 9 4 8 2" xfId="55128"/>
    <cellStyle name="20% - Accent1 2 9 4 9" xfId="31215"/>
    <cellStyle name="20% - Accent1 2 9 5" xfId="623"/>
    <cellStyle name="20% - Accent1 2 9 5 2" xfId="1420"/>
    <cellStyle name="20% - Accent1 2 9 5 2 2" xfId="4365"/>
    <cellStyle name="20% - Accent1 2 9 5 2 2 2" xfId="13720"/>
    <cellStyle name="20% - Accent1 2 9 5 2 2 2 2" xfId="25521"/>
    <cellStyle name="20% - Accent1 2 9 5 2 2 2 2 2" xfId="55129"/>
    <cellStyle name="20% - Accent1 2 9 5 2 2 2 3" xfId="39136"/>
    <cellStyle name="20% - Accent1 2 9 5 2 2 3" xfId="9818"/>
    <cellStyle name="20% - Accent1 2 9 5 2 2 3 2" xfId="45602"/>
    <cellStyle name="20% - Accent1 2 9 5 2 2 4" xfId="21619"/>
    <cellStyle name="20% - Accent1 2 9 5 2 2 4 2" xfId="55130"/>
    <cellStyle name="20% - Accent1 2 9 5 2 2 5" xfId="35234"/>
    <cellStyle name="20% - Accent1 2 9 5 2 3" xfId="13721"/>
    <cellStyle name="20% - Accent1 2 9 5 2 3 2" xfId="25522"/>
    <cellStyle name="20% - Accent1 2 9 5 2 3 2 2" xfId="45603"/>
    <cellStyle name="20% - Accent1 2 9 5 2 3 3" xfId="29947"/>
    <cellStyle name="20% - Accent1 2 9 5 2 3 3 2" xfId="45604"/>
    <cellStyle name="20% - Accent1 2 9 5 2 3 4" xfId="29948"/>
    <cellStyle name="20% - Accent1 2 9 5 2 3 4 2" xfId="55131"/>
    <cellStyle name="20% - Accent1 2 9 5 2 3 5" xfId="39137"/>
    <cellStyle name="20% - Accent1 2 9 5 2 4" xfId="13722"/>
    <cellStyle name="20% - Accent1 2 9 5 2 4 2" xfId="25523"/>
    <cellStyle name="20% - Accent1 2 9 5 2 4 2 2" xfId="55132"/>
    <cellStyle name="20% - Accent1 2 9 5 2 4 3" xfId="39138"/>
    <cellStyle name="20% - Accent1 2 9 5 2 5" xfId="6874"/>
    <cellStyle name="20% - Accent1 2 9 5 2 5 2" xfId="45605"/>
    <cellStyle name="20% - Accent1 2 9 5 2 6" xfId="18675"/>
    <cellStyle name="20% - Accent1 2 9 5 2 6 2" xfId="55133"/>
    <cellStyle name="20% - Accent1 2 9 5 2 7" xfId="32290"/>
    <cellStyle name="20% - Accent1 2 9 5 3" xfId="2524"/>
    <cellStyle name="20% - Accent1 2 9 5 3 2" xfId="13723"/>
    <cellStyle name="20% - Accent1 2 9 5 3 2 2" xfId="25524"/>
    <cellStyle name="20% - Accent1 2 9 5 3 2 2 2" xfId="55134"/>
    <cellStyle name="20% - Accent1 2 9 5 3 2 3" xfId="39139"/>
    <cellStyle name="20% - Accent1 2 9 5 3 3" xfId="7977"/>
    <cellStyle name="20% - Accent1 2 9 5 3 3 2" xfId="45606"/>
    <cellStyle name="20% - Accent1 2 9 5 3 4" xfId="19778"/>
    <cellStyle name="20% - Accent1 2 9 5 3 4 2" xfId="55135"/>
    <cellStyle name="20% - Accent1 2 9 5 3 5" xfId="33393"/>
    <cellStyle name="20% - Accent1 2 9 5 4" xfId="13724"/>
    <cellStyle name="20% - Accent1 2 9 5 4 2" xfId="25525"/>
    <cellStyle name="20% - Accent1 2 9 5 4 2 2" xfId="45607"/>
    <cellStyle name="20% - Accent1 2 9 5 4 3" xfId="29949"/>
    <cellStyle name="20% - Accent1 2 9 5 4 3 2" xfId="45608"/>
    <cellStyle name="20% - Accent1 2 9 5 4 4" xfId="29950"/>
    <cellStyle name="20% - Accent1 2 9 5 4 4 2" xfId="55136"/>
    <cellStyle name="20% - Accent1 2 9 5 4 5" xfId="39140"/>
    <cellStyle name="20% - Accent1 2 9 5 5" xfId="13725"/>
    <cellStyle name="20% - Accent1 2 9 5 5 2" xfId="25526"/>
    <cellStyle name="20% - Accent1 2 9 5 5 2 2" xfId="55137"/>
    <cellStyle name="20% - Accent1 2 9 5 5 3" xfId="39141"/>
    <cellStyle name="20% - Accent1 2 9 5 6" xfId="6077"/>
    <cellStyle name="20% - Accent1 2 9 5 6 2" xfId="45609"/>
    <cellStyle name="20% - Accent1 2 9 5 7" xfId="17878"/>
    <cellStyle name="20% - Accent1 2 9 5 7 2" xfId="55138"/>
    <cellStyle name="20% - Accent1 2 9 5 8" xfId="31493"/>
    <cellStyle name="20% - Accent1 2 9 6" xfId="864"/>
    <cellStyle name="20% - Accent1 2 9 6 2" xfId="1421"/>
    <cellStyle name="20% - Accent1 2 9 6 2 2" xfId="4933"/>
    <cellStyle name="20% - Accent1 2 9 6 2 2 2" xfId="13726"/>
    <cellStyle name="20% - Accent1 2 9 6 2 2 2 2" xfId="25527"/>
    <cellStyle name="20% - Accent1 2 9 6 2 2 2 2 2" xfId="55139"/>
    <cellStyle name="20% - Accent1 2 9 6 2 2 2 3" xfId="39142"/>
    <cellStyle name="20% - Accent1 2 9 6 2 2 3" xfId="10386"/>
    <cellStyle name="20% - Accent1 2 9 6 2 2 3 2" xfId="45610"/>
    <cellStyle name="20% - Accent1 2 9 6 2 2 4" xfId="22187"/>
    <cellStyle name="20% - Accent1 2 9 6 2 2 4 2" xfId="55140"/>
    <cellStyle name="20% - Accent1 2 9 6 2 2 5" xfId="35802"/>
    <cellStyle name="20% - Accent1 2 9 6 2 3" xfId="13727"/>
    <cellStyle name="20% - Accent1 2 9 6 2 3 2" xfId="25528"/>
    <cellStyle name="20% - Accent1 2 9 6 2 3 2 2" xfId="45611"/>
    <cellStyle name="20% - Accent1 2 9 6 2 3 3" xfId="29951"/>
    <cellStyle name="20% - Accent1 2 9 6 2 3 3 2" xfId="45612"/>
    <cellStyle name="20% - Accent1 2 9 6 2 3 4" xfId="29952"/>
    <cellStyle name="20% - Accent1 2 9 6 2 3 4 2" xfId="55141"/>
    <cellStyle name="20% - Accent1 2 9 6 2 3 5" xfId="39143"/>
    <cellStyle name="20% - Accent1 2 9 6 2 4" xfId="13728"/>
    <cellStyle name="20% - Accent1 2 9 6 2 4 2" xfId="25529"/>
    <cellStyle name="20% - Accent1 2 9 6 2 4 2 2" xfId="55142"/>
    <cellStyle name="20% - Accent1 2 9 6 2 4 3" xfId="39144"/>
    <cellStyle name="20% - Accent1 2 9 6 2 5" xfId="6875"/>
    <cellStyle name="20% - Accent1 2 9 6 2 5 2" xfId="45613"/>
    <cellStyle name="20% - Accent1 2 9 6 2 6" xfId="18676"/>
    <cellStyle name="20% - Accent1 2 9 6 2 6 2" xfId="55143"/>
    <cellStyle name="20% - Accent1 2 9 6 2 7" xfId="32291"/>
    <cellStyle name="20% - Accent1 2 9 6 3" xfId="3092"/>
    <cellStyle name="20% - Accent1 2 9 6 3 2" xfId="13729"/>
    <cellStyle name="20% - Accent1 2 9 6 3 2 2" xfId="25530"/>
    <cellStyle name="20% - Accent1 2 9 6 3 2 2 2" xfId="55144"/>
    <cellStyle name="20% - Accent1 2 9 6 3 2 3" xfId="39145"/>
    <cellStyle name="20% - Accent1 2 9 6 3 3" xfId="8545"/>
    <cellStyle name="20% - Accent1 2 9 6 3 3 2" xfId="45614"/>
    <cellStyle name="20% - Accent1 2 9 6 3 4" xfId="20346"/>
    <cellStyle name="20% - Accent1 2 9 6 3 4 2" xfId="55145"/>
    <cellStyle name="20% - Accent1 2 9 6 3 5" xfId="33961"/>
    <cellStyle name="20% - Accent1 2 9 6 4" xfId="13730"/>
    <cellStyle name="20% - Accent1 2 9 6 4 2" xfId="25531"/>
    <cellStyle name="20% - Accent1 2 9 6 4 2 2" xfId="45615"/>
    <cellStyle name="20% - Accent1 2 9 6 4 3" xfId="29953"/>
    <cellStyle name="20% - Accent1 2 9 6 4 3 2" xfId="45616"/>
    <cellStyle name="20% - Accent1 2 9 6 4 4" xfId="29954"/>
    <cellStyle name="20% - Accent1 2 9 6 4 4 2" xfId="55146"/>
    <cellStyle name="20% - Accent1 2 9 6 4 5" xfId="39146"/>
    <cellStyle name="20% - Accent1 2 9 6 5" xfId="13731"/>
    <cellStyle name="20% - Accent1 2 9 6 5 2" xfId="25532"/>
    <cellStyle name="20% - Accent1 2 9 6 5 2 2" xfId="55147"/>
    <cellStyle name="20% - Accent1 2 9 6 5 3" xfId="39147"/>
    <cellStyle name="20% - Accent1 2 9 6 6" xfId="6318"/>
    <cellStyle name="20% - Accent1 2 9 6 6 2" xfId="45617"/>
    <cellStyle name="20% - Accent1 2 9 6 7" xfId="18119"/>
    <cellStyle name="20% - Accent1 2 9 6 7 2" xfId="55148"/>
    <cellStyle name="20% - Accent1 2 9 6 8" xfId="31734"/>
    <cellStyle name="20% - Accent1 2 9 7" xfId="1422"/>
    <cellStyle name="20% - Accent1 2 9 7 2" xfId="3797"/>
    <cellStyle name="20% - Accent1 2 9 7 2 2" xfId="13732"/>
    <cellStyle name="20% - Accent1 2 9 7 2 2 2" xfId="25533"/>
    <cellStyle name="20% - Accent1 2 9 7 2 2 2 2" xfId="55149"/>
    <cellStyle name="20% - Accent1 2 9 7 2 2 3" xfId="39148"/>
    <cellStyle name="20% - Accent1 2 9 7 2 3" xfId="9250"/>
    <cellStyle name="20% - Accent1 2 9 7 2 3 2" xfId="45618"/>
    <cellStyle name="20% - Accent1 2 9 7 2 4" xfId="21051"/>
    <cellStyle name="20% - Accent1 2 9 7 2 4 2" xfId="55150"/>
    <cellStyle name="20% - Accent1 2 9 7 2 5" xfId="34666"/>
    <cellStyle name="20% - Accent1 2 9 7 3" xfId="13733"/>
    <cellStyle name="20% - Accent1 2 9 7 3 2" xfId="25534"/>
    <cellStyle name="20% - Accent1 2 9 7 3 2 2" xfId="45619"/>
    <cellStyle name="20% - Accent1 2 9 7 3 3" xfId="29955"/>
    <cellStyle name="20% - Accent1 2 9 7 3 3 2" xfId="45620"/>
    <cellStyle name="20% - Accent1 2 9 7 3 4" xfId="29956"/>
    <cellStyle name="20% - Accent1 2 9 7 3 4 2" xfId="55151"/>
    <cellStyle name="20% - Accent1 2 9 7 3 5" xfId="39149"/>
    <cellStyle name="20% - Accent1 2 9 7 4" xfId="13734"/>
    <cellStyle name="20% - Accent1 2 9 7 4 2" xfId="25535"/>
    <cellStyle name="20% - Accent1 2 9 7 4 2 2" xfId="55152"/>
    <cellStyle name="20% - Accent1 2 9 7 4 3" xfId="39150"/>
    <cellStyle name="20% - Accent1 2 9 7 5" xfId="6876"/>
    <cellStyle name="20% - Accent1 2 9 7 5 2" xfId="45621"/>
    <cellStyle name="20% - Accent1 2 9 7 6" xfId="18677"/>
    <cellStyle name="20% - Accent1 2 9 7 6 2" xfId="55153"/>
    <cellStyle name="20% - Accent1 2 9 7 7" xfId="32292"/>
    <cellStyle name="20% - Accent1 2 9 8" xfId="3660"/>
    <cellStyle name="20% - Accent1 2 9 8 2" xfId="13735"/>
    <cellStyle name="20% - Accent1 2 9 8 2 2" xfId="25536"/>
    <cellStyle name="20% - Accent1 2 9 8 2 2 2" xfId="55154"/>
    <cellStyle name="20% - Accent1 2 9 8 2 3" xfId="39151"/>
    <cellStyle name="20% - Accent1 2 9 8 3" xfId="9113"/>
    <cellStyle name="20% - Accent1 2 9 8 3 2" xfId="45622"/>
    <cellStyle name="20% - Accent1 2 9 8 4" xfId="20914"/>
    <cellStyle name="20% - Accent1 2 9 8 4 2" xfId="55155"/>
    <cellStyle name="20% - Accent1 2 9 8 5" xfId="34529"/>
    <cellStyle name="20% - Accent1 2 9 9" xfId="1956"/>
    <cellStyle name="20% - Accent1 2 9 9 2" xfId="13736"/>
    <cellStyle name="20% - Accent1 2 9 9 2 2" xfId="25537"/>
    <cellStyle name="20% - Accent1 2 9 9 2 2 2" xfId="55156"/>
    <cellStyle name="20% - Accent1 2 9 9 2 3" xfId="39152"/>
    <cellStyle name="20% - Accent1 2 9 9 3" xfId="7409"/>
    <cellStyle name="20% - Accent1 2 9 9 3 2" xfId="45623"/>
    <cellStyle name="20% - Accent1 2 9 9 4" xfId="19210"/>
    <cellStyle name="20% - Accent1 2 9 9 4 2" xfId="55157"/>
    <cellStyle name="20% - Accent1 2 9 9 5" xfId="32825"/>
    <cellStyle name="20% - Accent1 20" xfId="17257"/>
    <cellStyle name="20% - Accent1 20 2" xfId="55158"/>
    <cellStyle name="20% - Accent1 21" xfId="30872"/>
    <cellStyle name="20% - Accent1 3" xfId="2"/>
    <cellStyle name="20% - Accent1 3 10" xfId="572"/>
    <cellStyle name="20% - Accent1 3 10 2" xfId="1423"/>
    <cellStyle name="20% - Accent1 3 10 2 2" xfId="4314"/>
    <cellStyle name="20% - Accent1 3 10 2 2 2" xfId="13737"/>
    <cellStyle name="20% - Accent1 3 10 2 2 2 2" xfId="25538"/>
    <cellStyle name="20% - Accent1 3 10 2 2 2 2 2" xfId="55159"/>
    <cellStyle name="20% - Accent1 3 10 2 2 2 3" xfId="39153"/>
    <cellStyle name="20% - Accent1 3 10 2 2 3" xfId="9767"/>
    <cellStyle name="20% - Accent1 3 10 2 2 3 2" xfId="45624"/>
    <cellStyle name="20% - Accent1 3 10 2 2 4" xfId="21568"/>
    <cellStyle name="20% - Accent1 3 10 2 2 4 2" xfId="55160"/>
    <cellStyle name="20% - Accent1 3 10 2 2 5" xfId="35183"/>
    <cellStyle name="20% - Accent1 3 10 2 3" xfId="13738"/>
    <cellStyle name="20% - Accent1 3 10 2 3 2" xfId="25539"/>
    <cellStyle name="20% - Accent1 3 10 2 3 2 2" xfId="45625"/>
    <cellStyle name="20% - Accent1 3 10 2 3 3" xfId="29957"/>
    <cellStyle name="20% - Accent1 3 10 2 3 3 2" xfId="45626"/>
    <cellStyle name="20% - Accent1 3 10 2 3 4" xfId="29958"/>
    <cellStyle name="20% - Accent1 3 10 2 3 4 2" xfId="55161"/>
    <cellStyle name="20% - Accent1 3 10 2 3 5" xfId="39154"/>
    <cellStyle name="20% - Accent1 3 10 2 4" xfId="13739"/>
    <cellStyle name="20% - Accent1 3 10 2 4 2" xfId="25540"/>
    <cellStyle name="20% - Accent1 3 10 2 4 2 2" xfId="55162"/>
    <cellStyle name="20% - Accent1 3 10 2 4 3" xfId="39155"/>
    <cellStyle name="20% - Accent1 3 10 2 5" xfId="6877"/>
    <cellStyle name="20% - Accent1 3 10 2 5 2" xfId="45627"/>
    <cellStyle name="20% - Accent1 3 10 2 6" xfId="18678"/>
    <cellStyle name="20% - Accent1 3 10 2 6 2" xfId="55163"/>
    <cellStyle name="20% - Accent1 3 10 2 7" xfId="32293"/>
    <cellStyle name="20% - Accent1 3 10 3" xfId="2473"/>
    <cellStyle name="20% - Accent1 3 10 3 2" xfId="13740"/>
    <cellStyle name="20% - Accent1 3 10 3 2 2" xfId="25541"/>
    <cellStyle name="20% - Accent1 3 10 3 2 2 2" xfId="55164"/>
    <cellStyle name="20% - Accent1 3 10 3 2 3" xfId="39156"/>
    <cellStyle name="20% - Accent1 3 10 3 3" xfId="7926"/>
    <cellStyle name="20% - Accent1 3 10 3 3 2" xfId="45628"/>
    <cellStyle name="20% - Accent1 3 10 3 4" xfId="19727"/>
    <cellStyle name="20% - Accent1 3 10 3 4 2" xfId="55165"/>
    <cellStyle name="20% - Accent1 3 10 3 5" xfId="33342"/>
    <cellStyle name="20% - Accent1 3 10 4" xfId="13741"/>
    <cellStyle name="20% - Accent1 3 10 4 2" xfId="25542"/>
    <cellStyle name="20% - Accent1 3 10 4 2 2" xfId="45629"/>
    <cellStyle name="20% - Accent1 3 10 4 3" xfId="29959"/>
    <cellStyle name="20% - Accent1 3 10 4 3 2" xfId="45630"/>
    <cellStyle name="20% - Accent1 3 10 4 4" xfId="29960"/>
    <cellStyle name="20% - Accent1 3 10 4 4 2" xfId="55166"/>
    <cellStyle name="20% - Accent1 3 10 4 5" xfId="39157"/>
    <cellStyle name="20% - Accent1 3 10 5" xfId="13742"/>
    <cellStyle name="20% - Accent1 3 10 5 2" xfId="25543"/>
    <cellStyle name="20% - Accent1 3 10 5 2 2" xfId="55167"/>
    <cellStyle name="20% - Accent1 3 10 5 3" xfId="39158"/>
    <cellStyle name="20% - Accent1 3 10 6" xfId="6026"/>
    <cellStyle name="20% - Accent1 3 10 6 2" xfId="45631"/>
    <cellStyle name="20% - Accent1 3 10 7" xfId="17827"/>
    <cellStyle name="20% - Accent1 3 10 7 2" xfId="55168"/>
    <cellStyle name="20% - Accent1 3 10 8" xfId="31442"/>
    <cellStyle name="20% - Accent1 3 11" xfId="813"/>
    <cellStyle name="20% - Accent1 3 11 2" xfId="1424"/>
    <cellStyle name="20% - Accent1 3 11 2 2" xfId="4882"/>
    <cellStyle name="20% - Accent1 3 11 2 2 2" xfId="13743"/>
    <cellStyle name="20% - Accent1 3 11 2 2 2 2" xfId="25544"/>
    <cellStyle name="20% - Accent1 3 11 2 2 2 2 2" xfId="55169"/>
    <cellStyle name="20% - Accent1 3 11 2 2 2 3" xfId="39159"/>
    <cellStyle name="20% - Accent1 3 11 2 2 3" xfId="10335"/>
    <cellStyle name="20% - Accent1 3 11 2 2 3 2" xfId="45632"/>
    <cellStyle name="20% - Accent1 3 11 2 2 4" xfId="22136"/>
    <cellStyle name="20% - Accent1 3 11 2 2 4 2" xfId="55170"/>
    <cellStyle name="20% - Accent1 3 11 2 2 5" xfId="35751"/>
    <cellStyle name="20% - Accent1 3 11 2 3" xfId="13744"/>
    <cellStyle name="20% - Accent1 3 11 2 3 2" xfId="25545"/>
    <cellStyle name="20% - Accent1 3 11 2 3 2 2" xfId="45633"/>
    <cellStyle name="20% - Accent1 3 11 2 3 3" xfId="29961"/>
    <cellStyle name="20% - Accent1 3 11 2 3 3 2" xfId="45634"/>
    <cellStyle name="20% - Accent1 3 11 2 3 4" xfId="29962"/>
    <cellStyle name="20% - Accent1 3 11 2 3 4 2" xfId="55171"/>
    <cellStyle name="20% - Accent1 3 11 2 3 5" xfId="39160"/>
    <cellStyle name="20% - Accent1 3 11 2 4" xfId="13745"/>
    <cellStyle name="20% - Accent1 3 11 2 4 2" xfId="25546"/>
    <cellStyle name="20% - Accent1 3 11 2 4 2 2" xfId="55172"/>
    <cellStyle name="20% - Accent1 3 11 2 4 3" xfId="39161"/>
    <cellStyle name="20% - Accent1 3 11 2 5" xfId="6878"/>
    <cellStyle name="20% - Accent1 3 11 2 5 2" xfId="45635"/>
    <cellStyle name="20% - Accent1 3 11 2 6" xfId="18679"/>
    <cellStyle name="20% - Accent1 3 11 2 6 2" xfId="55173"/>
    <cellStyle name="20% - Accent1 3 11 2 7" xfId="32294"/>
    <cellStyle name="20% - Accent1 3 11 3" xfId="3041"/>
    <cellStyle name="20% - Accent1 3 11 3 2" xfId="13746"/>
    <cellStyle name="20% - Accent1 3 11 3 2 2" xfId="25547"/>
    <cellStyle name="20% - Accent1 3 11 3 2 2 2" xfId="55174"/>
    <cellStyle name="20% - Accent1 3 11 3 2 3" xfId="39162"/>
    <cellStyle name="20% - Accent1 3 11 3 3" xfId="8494"/>
    <cellStyle name="20% - Accent1 3 11 3 3 2" xfId="45636"/>
    <cellStyle name="20% - Accent1 3 11 3 4" xfId="20295"/>
    <cellStyle name="20% - Accent1 3 11 3 4 2" xfId="55175"/>
    <cellStyle name="20% - Accent1 3 11 3 5" xfId="33910"/>
    <cellStyle name="20% - Accent1 3 11 4" xfId="13747"/>
    <cellStyle name="20% - Accent1 3 11 4 2" xfId="25548"/>
    <cellStyle name="20% - Accent1 3 11 4 2 2" xfId="45637"/>
    <cellStyle name="20% - Accent1 3 11 4 3" xfId="29963"/>
    <cellStyle name="20% - Accent1 3 11 4 3 2" xfId="45638"/>
    <cellStyle name="20% - Accent1 3 11 4 4" xfId="29964"/>
    <cellStyle name="20% - Accent1 3 11 4 4 2" xfId="55176"/>
    <cellStyle name="20% - Accent1 3 11 4 5" xfId="39163"/>
    <cellStyle name="20% - Accent1 3 11 5" xfId="13748"/>
    <cellStyle name="20% - Accent1 3 11 5 2" xfId="25549"/>
    <cellStyle name="20% - Accent1 3 11 5 2 2" xfId="55177"/>
    <cellStyle name="20% - Accent1 3 11 5 3" xfId="39164"/>
    <cellStyle name="20% - Accent1 3 11 6" xfId="6267"/>
    <cellStyle name="20% - Accent1 3 11 6 2" xfId="45639"/>
    <cellStyle name="20% - Accent1 3 11 7" xfId="18068"/>
    <cellStyle name="20% - Accent1 3 11 7 2" xfId="55178"/>
    <cellStyle name="20% - Accent1 3 11 8" xfId="31683"/>
    <cellStyle name="20% - Accent1 3 12" xfId="1425"/>
    <cellStyle name="20% - Accent1 3 12 2" xfId="3746"/>
    <cellStyle name="20% - Accent1 3 12 2 2" xfId="13749"/>
    <cellStyle name="20% - Accent1 3 12 2 2 2" xfId="25550"/>
    <cellStyle name="20% - Accent1 3 12 2 2 2 2" xfId="55179"/>
    <cellStyle name="20% - Accent1 3 12 2 2 3" xfId="39165"/>
    <cellStyle name="20% - Accent1 3 12 2 3" xfId="9199"/>
    <cellStyle name="20% - Accent1 3 12 2 3 2" xfId="45640"/>
    <cellStyle name="20% - Accent1 3 12 2 4" xfId="21000"/>
    <cellStyle name="20% - Accent1 3 12 2 4 2" xfId="55180"/>
    <cellStyle name="20% - Accent1 3 12 2 5" xfId="34615"/>
    <cellStyle name="20% - Accent1 3 12 3" xfId="13750"/>
    <cellStyle name="20% - Accent1 3 12 3 2" xfId="25551"/>
    <cellStyle name="20% - Accent1 3 12 3 2 2" xfId="45641"/>
    <cellStyle name="20% - Accent1 3 12 3 3" xfId="29965"/>
    <cellStyle name="20% - Accent1 3 12 3 3 2" xfId="45642"/>
    <cellStyle name="20% - Accent1 3 12 3 4" xfId="29966"/>
    <cellStyle name="20% - Accent1 3 12 3 4 2" xfId="55181"/>
    <cellStyle name="20% - Accent1 3 12 3 5" xfId="39166"/>
    <cellStyle name="20% - Accent1 3 12 4" xfId="13751"/>
    <cellStyle name="20% - Accent1 3 12 4 2" xfId="25552"/>
    <cellStyle name="20% - Accent1 3 12 4 2 2" xfId="55182"/>
    <cellStyle name="20% - Accent1 3 12 4 3" xfId="39167"/>
    <cellStyle name="20% - Accent1 3 12 5" xfId="6879"/>
    <cellStyle name="20% - Accent1 3 12 5 2" xfId="45643"/>
    <cellStyle name="20% - Accent1 3 12 6" xfId="18680"/>
    <cellStyle name="20% - Accent1 3 12 6 2" xfId="55183"/>
    <cellStyle name="20% - Accent1 3 12 7" xfId="32295"/>
    <cellStyle name="20% - Accent1 3 13" xfId="3609"/>
    <cellStyle name="20% - Accent1 3 13 2" xfId="13752"/>
    <cellStyle name="20% - Accent1 3 13 2 2" xfId="25553"/>
    <cellStyle name="20% - Accent1 3 13 2 2 2" xfId="55184"/>
    <cellStyle name="20% - Accent1 3 13 2 3" xfId="39168"/>
    <cellStyle name="20% - Accent1 3 13 3" xfId="9062"/>
    <cellStyle name="20% - Accent1 3 13 3 2" xfId="45644"/>
    <cellStyle name="20% - Accent1 3 13 4" xfId="20863"/>
    <cellStyle name="20% - Accent1 3 13 4 2" xfId="55185"/>
    <cellStyle name="20% - Accent1 3 13 5" xfId="34478"/>
    <cellStyle name="20% - Accent1 3 14" xfId="1905"/>
    <cellStyle name="20% - Accent1 3 14 2" xfId="13753"/>
    <cellStyle name="20% - Accent1 3 14 2 2" xfId="25554"/>
    <cellStyle name="20% - Accent1 3 14 2 2 2" xfId="55186"/>
    <cellStyle name="20% - Accent1 3 14 2 3" xfId="39169"/>
    <cellStyle name="20% - Accent1 3 14 3" xfId="7358"/>
    <cellStyle name="20% - Accent1 3 14 3 2" xfId="45645"/>
    <cellStyle name="20% - Accent1 3 14 4" xfId="19159"/>
    <cellStyle name="20% - Accent1 3 14 4 2" xfId="55187"/>
    <cellStyle name="20% - Accent1 3 14 5" xfId="32774"/>
    <cellStyle name="20% - Accent1 3 15" xfId="13754"/>
    <cellStyle name="20% - Accent1 3 15 2" xfId="25555"/>
    <cellStyle name="20% - Accent1 3 15 2 2" xfId="55188"/>
    <cellStyle name="20% - Accent1 3 15 3" xfId="39170"/>
    <cellStyle name="20% - Accent1 3 16" xfId="5458"/>
    <cellStyle name="20% - Accent1 3 16 2" xfId="45646"/>
    <cellStyle name="20% - Accent1 3 17" xfId="17259"/>
    <cellStyle name="20% - Accent1 3 17 2" xfId="55189"/>
    <cellStyle name="20% - Accent1 3 18" xfId="30874"/>
    <cellStyle name="20% - Accent1 3 2" xfId="34"/>
    <cellStyle name="20% - Accent1 3 2 10" xfId="1935"/>
    <cellStyle name="20% - Accent1 3 2 10 2" xfId="13755"/>
    <cellStyle name="20% - Accent1 3 2 10 2 2" xfId="25556"/>
    <cellStyle name="20% - Accent1 3 2 10 2 2 2" xfId="55190"/>
    <cellStyle name="20% - Accent1 3 2 10 2 3" xfId="39171"/>
    <cellStyle name="20% - Accent1 3 2 10 3" xfId="7388"/>
    <cellStyle name="20% - Accent1 3 2 10 3 2" xfId="45647"/>
    <cellStyle name="20% - Accent1 3 2 10 4" xfId="19189"/>
    <cellStyle name="20% - Accent1 3 2 10 4 2" xfId="55191"/>
    <cellStyle name="20% - Accent1 3 2 10 5" xfId="32804"/>
    <cellStyle name="20% - Accent1 3 2 11" xfId="13756"/>
    <cellStyle name="20% - Accent1 3 2 11 2" xfId="25557"/>
    <cellStyle name="20% - Accent1 3 2 11 2 2" xfId="55192"/>
    <cellStyle name="20% - Accent1 3 2 11 3" xfId="39172"/>
    <cellStyle name="20% - Accent1 3 2 12" xfId="5488"/>
    <cellStyle name="20% - Accent1 3 2 12 2" xfId="45648"/>
    <cellStyle name="20% - Accent1 3 2 13" xfId="17289"/>
    <cellStyle name="20% - Accent1 3 2 13 2" xfId="55193"/>
    <cellStyle name="20% - Accent1 3 2 14" xfId="30904"/>
    <cellStyle name="20% - Accent1 3 2 2" xfId="101"/>
    <cellStyle name="20% - Accent1 3 2 2 10" xfId="5555"/>
    <cellStyle name="20% - Accent1 3 2 2 10 2" xfId="45649"/>
    <cellStyle name="20% - Accent1 3 2 2 11" xfId="17356"/>
    <cellStyle name="20% - Accent1 3 2 2 11 2" xfId="55194"/>
    <cellStyle name="20% - Accent1 3 2 2 12" xfId="30971"/>
    <cellStyle name="20% - Accent1 3 2 2 2" xfId="215"/>
    <cellStyle name="20% - Accent1 3 2 2 2 10" xfId="31085"/>
    <cellStyle name="20% - Accent1 3 2 2 2 2" xfId="528"/>
    <cellStyle name="20% - Accent1 3 2 2 2 2 2" xfId="1426"/>
    <cellStyle name="20% - Accent1 3 2 2 2 2 2 2" xfId="4838"/>
    <cellStyle name="20% - Accent1 3 2 2 2 2 2 2 2" xfId="13757"/>
    <cellStyle name="20% - Accent1 3 2 2 2 2 2 2 2 2" xfId="25558"/>
    <cellStyle name="20% - Accent1 3 2 2 2 2 2 2 2 2 2" xfId="55195"/>
    <cellStyle name="20% - Accent1 3 2 2 2 2 2 2 2 3" xfId="39173"/>
    <cellStyle name="20% - Accent1 3 2 2 2 2 2 2 3" xfId="10291"/>
    <cellStyle name="20% - Accent1 3 2 2 2 2 2 2 3 2" xfId="45650"/>
    <cellStyle name="20% - Accent1 3 2 2 2 2 2 2 4" xfId="22092"/>
    <cellStyle name="20% - Accent1 3 2 2 2 2 2 2 4 2" xfId="55196"/>
    <cellStyle name="20% - Accent1 3 2 2 2 2 2 2 5" xfId="35707"/>
    <cellStyle name="20% - Accent1 3 2 2 2 2 2 3" xfId="2997"/>
    <cellStyle name="20% - Accent1 3 2 2 2 2 2 3 2" xfId="13758"/>
    <cellStyle name="20% - Accent1 3 2 2 2 2 2 3 2 2" xfId="25559"/>
    <cellStyle name="20% - Accent1 3 2 2 2 2 2 3 2 2 2" xfId="55197"/>
    <cellStyle name="20% - Accent1 3 2 2 2 2 2 3 2 3" xfId="39174"/>
    <cellStyle name="20% - Accent1 3 2 2 2 2 2 3 3" xfId="8450"/>
    <cellStyle name="20% - Accent1 3 2 2 2 2 2 3 3 2" xfId="45651"/>
    <cellStyle name="20% - Accent1 3 2 2 2 2 2 3 4" xfId="20251"/>
    <cellStyle name="20% - Accent1 3 2 2 2 2 2 3 4 2" xfId="55198"/>
    <cellStyle name="20% - Accent1 3 2 2 2 2 2 3 5" xfId="33866"/>
    <cellStyle name="20% - Accent1 3 2 2 2 2 2 4" xfId="13759"/>
    <cellStyle name="20% - Accent1 3 2 2 2 2 2 4 2" xfId="25560"/>
    <cellStyle name="20% - Accent1 3 2 2 2 2 2 4 2 2" xfId="55199"/>
    <cellStyle name="20% - Accent1 3 2 2 2 2 2 4 3" xfId="39175"/>
    <cellStyle name="20% - Accent1 3 2 2 2 2 2 5" xfId="6880"/>
    <cellStyle name="20% - Accent1 3 2 2 2 2 2 5 2" xfId="45652"/>
    <cellStyle name="20% - Accent1 3 2 2 2 2 2 6" xfId="18681"/>
    <cellStyle name="20% - Accent1 3 2 2 2 2 2 6 2" xfId="55200"/>
    <cellStyle name="20% - Accent1 3 2 2 2 2 2 7" xfId="32296"/>
    <cellStyle name="20% - Accent1 3 2 2 2 2 3" xfId="3565"/>
    <cellStyle name="20% - Accent1 3 2 2 2 2 3 2" xfId="5406"/>
    <cellStyle name="20% - Accent1 3 2 2 2 2 3 2 2" xfId="16876"/>
    <cellStyle name="20% - Accent1 3 2 2 2 2 3 2 2 2" xfId="28677"/>
    <cellStyle name="20% - Accent1 3 2 2 2 2 3 2 2 2 2" xfId="55201"/>
    <cellStyle name="20% - Accent1 3 2 2 2 2 3 2 2 3" xfId="42292"/>
    <cellStyle name="20% - Accent1 3 2 2 2 2 3 2 3" xfId="10859"/>
    <cellStyle name="20% - Accent1 3 2 2 2 2 3 2 3 2" xfId="55202"/>
    <cellStyle name="20% - Accent1 3 2 2 2 2 3 2 4" xfId="22660"/>
    <cellStyle name="20% - Accent1 3 2 2 2 2 3 2 4 2" xfId="55203"/>
    <cellStyle name="20% - Accent1 3 2 2 2 2 3 2 5" xfId="36275"/>
    <cellStyle name="20% - Accent1 3 2 2 2 2 3 3" xfId="13760"/>
    <cellStyle name="20% - Accent1 3 2 2 2 2 3 3 2" xfId="25561"/>
    <cellStyle name="20% - Accent1 3 2 2 2 2 3 3 2 2" xfId="55204"/>
    <cellStyle name="20% - Accent1 3 2 2 2 2 3 3 3" xfId="39176"/>
    <cellStyle name="20% - Accent1 3 2 2 2 2 3 4" xfId="9018"/>
    <cellStyle name="20% - Accent1 3 2 2 2 2 3 4 2" xfId="55205"/>
    <cellStyle name="20% - Accent1 3 2 2 2 2 3 5" xfId="20819"/>
    <cellStyle name="20% - Accent1 3 2 2 2 2 3 5 2" xfId="55206"/>
    <cellStyle name="20% - Accent1 3 2 2 2 2 3 6" xfId="34434"/>
    <cellStyle name="20% - Accent1 3 2 2 2 2 4" xfId="4270"/>
    <cellStyle name="20% - Accent1 3 2 2 2 2 4 2" xfId="13761"/>
    <cellStyle name="20% - Accent1 3 2 2 2 2 4 2 2" xfId="25562"/>
    <cellStyle name="20% - Accent1 3 2 2 2 2 4 2 2 2" xfId="55207"/>
    <cellStyle name="20% - Accent1 3 2 2 2 2 4 2 3" xfId="39177"/>
    <cellStyle name="20% - Accent1 3 2 2 2 2 4 3" xfId="9723"/>
    <cellStyle name="20% - Accent1 3 2 2 2 2 4 3 2" xfId="45653"/>
    <cellStyle name="20% - Accent1 3 2 2 2 2 4 4" xfId="21524"/>
    <cellStyle name="20% - Accent1 3 2 2 2 2 4 4 2" xfId="55208"/>
    <cellStyle name="20% - Accent1 3 2 2 2 2 4 5" xfId="35139"/>
    <cellStyle name="20% - Accent1 3 2 2 2 2 5" xfId="2429"/>
    <cellStyle name="20% - Accent1 3 2 2 2 2 5 2" xfId="17089"/>
    <cellStyle name="20% - Accent1 3 2 2 2 2 5 2 2" xfId="28890"/>
    <cellStyle name="20% - Accent1 3 2 2 2 2 5 2 2 2" xfId="55209"/>
    <cellStyle name="20% - Accent1 3 2 2 2 2 5 2 3" xfId="42505"/>
    <cellStyle name="20% - Accent1 3 2 2 2 2 5 3" xfId="7882"/>
    <cellStyle name="20% - Accent1 3 2 2 2 2 5 3 2" xfId="55210"/>
    <cellStyle name="20% - Accent1 3 2 2 2 2 5 4" xfId="19683"/>
    <cellStyle name="20% - Accent1 3 2 2 2 2 5 4 2" xfId="55211"/>
    <cellStyle name="20% - Accent1 3 2 2 2 2 5 5" xfId="33298"/>
    <cellStyle name="20% - Accent1 3 2 2 2 2 6" xfId="13762"/>
    <cellStyle name="20% - Accent1 3 2 2 2 2 6 2" xfId="25563"/>
    <cellStyle name="20% - Accent1 3 2 2 2 2 6 2 2" xfId="55212"/>
    <cellStyle name="20% - Accent1 3 2 2 2 2 6 3" xfId="39178"/>
    <cellStyle name="20% - Accent1 3 2 2 2 2 7" xfId="5982"/>
    <cellStyle name="20% - Accent1 3 2 2 2 2 7 2" xfId="55213"/>
    <cellStyle name="20% - Accent1 3 2 2 2 2 8" xfId="17783"/>
    <cellStyle name="20% - Accent1 3 2 2 2 2 8 2" xfId="55214"/>
    <cellStyle name="20% - Accent1 3 2 2 2 2 9" xfId="31398"/>
    <cellStyle name="20% - Accent1 3 2 2 2 3" xfId="783"/>
    <cellStyle name="20% - Accent1 3 2 2 2 3 2" xfId="1427"/>
    <cellStyle name="20% - Accent1 3 2 2 2 3 2 2" xfId="4525"/>
    <cellStyle name="20% - Accent1 3 2 2 2 3 2 2 2" xfId="13763"/>
    <cellStyle name="20% - Accent1 3 2 2 2 3 2 2 2 2" xfId="25564"/>
    <cellStyle name="20% - Accent1 3 2 2 2 3 2 2 2 2 2" xfId="55215"/>
    <cellStyle name="20% - Accent1 3 2 2 2 3 2 2 2 3" xfId="39179"/>
    <cellStyle name="20% - Accent1 3 2 2 2 3 2 2 3" xfId="9978"/>
    <cellStyle name="20% - Accent1 3 2 2 2 3 2 2 3 2" xfId="45654"/>
    <cellStyle name="20% - Accent1 3 2 2 2 3 2 2 4" xfId="21779"/>
    <cellStyle name="20% - Accent1 3 2 2 2 3 2 2 4 2" xfId="55216"/>
    <cellStyle name="20% - Accent1 3 2 2 2 3 2 2 5" xfId="35394"/>
    <cellStyle name="20% - Accent1 3 2 2 2 3 2 3" xfId="13764"/>
    <cellStyle name="20% - Accent1 3 2 2 2 3 2 3 2" xfId="25565"/>
    <cellStyle name="20% - Accent1 3 2 2 2 3 2 3 2 2" xfId="45655"/>
    <cellStyle name="20% - Accent1 3 2 2 2 3 2 3 3" xfId="29967"/>
    <cellStyle name="20% - Accent1 3 2 2 2 3 2 3 3 2" xfId="45656"/>
    <cellStyle name="20% - Accent1 3 2 2 2 3 2 3 4" xfId="29968"/>
    <cellStyle name="20% - Accent1 3 2 2 2 3 2 3 4 2" xfId="55217"/>
    <cellStyle name="20% - Accent1 3 2 2 2 3 2 3 5" xfId="39180"/>
    <cellStyle name="20% - Accent1 3 2 2 2 3 2 4" xfId="13765"/>
    <cellStyle name="20% - Accent1 3 2 2 2 3 2 4 2" xfId="25566"/>
    <cellStyle name="20% - Accent1 3 2 2 2 3 2 4 2 2" xfId="55218"/>
    <cellStyle name="20% - Accent1 3 2 2 2 3 2 4 3" xfId="39181"/>
    <cellStyle name="20% - Accent1 3 2 2 2 3 2 5" xfId="6881"/>
    <cellStyle name="20% - Accent1 3 2 2 2 3 2 5 2" xfId="45657"/>
    <cellStyle name="20% - Accent1 3 2 2 2 3 2 6" xfId="18682"/>
    <cellStyle name="20% - Accent1 3 2 2 2 3 2 6 2" xfId="55219"/>
    <cellStyle name="20% - Accent1 3 2 2 2 3 2 7" xfId="32297"/>
    <cellStyle name="20% - Accent1 3 2 2 2 3 3" xfId="2684"/>
    <cellStyle name="20% - Accent1 3 2 2 2 3 3 2" xfId="13766"/>
    <cellStyle name="20% - Accent1 3 2 2 2 3 3 2 2" xfId="25567"/>
    <cellStyle name="20% - Accent1 3 2 2 2 3 3 2 2 2" xfId="55220"/>
    <cellStyle name="20% - Accent1 3 2 2 2 3 3 2 3" xfId="39182"/>
    <cellStyle name="20% - Accent1 3 2 2 2 3 3 3" xfId="8137"/>
    <cellStyle name="20% - Accent1 3 2 2 2 3 3 3 2" xfId="45658"/>
    <cellStyle name="20% - Accent1 3 2 2 2 3 3 4" xfId="19938"/>
    <cellStyle name="20% - Accent1 3 2 2 2 3 3 4 2" xfId="55221"/>
    <cellStyle name="20% - Accent1 3 2 2 2 3 3 5" xfId="33553"/>
    <cellStyle name="20% - Accent1 3 2 2 2 3 4" xfId="13767"/>
    <cellStyle name="20% - Accent1 3 2 2 2 3 4 2" xfId="25568"/>
    <cellStyle name="20% - Accent1 3 2 2 2 3 4 2 2" xfId="45659"/>
    <cellStyle name="20% - Accent1 3 2 2 2 3 4 3" xfId="29969"/>
    <cellStyle name="20% - Accent1 3 2 2 2 3 4 3 2" xfId="45660"/>
    <cellStyle name="20% - Accent1 3 2 2 2 3 4 4" xfId="29970"/>
    <cellStyle name="20% - Accent1 3 2 2 2 3 4 4 2" xfId="55222"/>
    <cellStyle name="20% - Accent1 3 2 2 2 3 4 5" xfId="39183"/>
    <cellStyle name="20% - Accent1 3 2 2 2 3 5" xfId="13768"/>
    <cellStyle name="20% - Accent1 3 2 2 2 3 5 2" xfId="25569"/>
    <cellStyle name="20% - Accent1 3 2 2 2 3 5 2 2" xfId="55223"/>
    <cellStyle name="20% - Accent1 3 2 2 2 3 5 3" xfId="39184"/>
    <cellStyle name="20% - Accent1 3 2 2 2 3 6" xfId="6237"/>
    <cellStyle name="20% - Accent1 3 2 2 2 3 6 2" xfId="45661"/>
    <cellStyle name="20% - Accent1 3 2 2 2 3 7" xfId="18038"/>
    <cellStyle name="20% - Accent1 3 2 2 2 3 7 2" xfId="55224"/>
    <cellStyle name="20% - Accent1 3 2 2 2 3 8" xfId="31653"/>
    <cellStyle name="20% - Accent1 3 2 2 2 4" xfId="1428"/>
    <cellStyle name="20% - Accent1 3 2 2 2 4 2" xfId="5093"/>
    <cellStyle name="20% - Accent1 3 2 2 2 4 2 2" xfId="13769"/>
    <cellStyle name="20% - Accent1 3 2 2 2 4 2 2 2" xfId="25570"/>
    <cellStyle name="20% - Accent1 3 2 2 2 4 2 2 2 2" xfId="55225"/>
    <cellStyle name="20% - Accent1 3 2 2 2 4 2 2 3" xfId="39185"/>
    <cellStyle name="20% - Accent1 3 2 2 2 4 2 3" xfId="10546"/>
    <cellStyle name="20% - Accent1 3 2 2 2 4 2 3 2" xfId="45662"/>
    <cellStyle name="20% - Accent1 3 2 2 2 4 2 4" xfId="22347"/>
    <cellStyle name="20% - Accent1 3 2 2 2 4 2 4 2" xfId="55226"/>
    <cellStyle name="20% - Accent1 3 2 2 2 4 2 5" xfId="35962"/>
    <cellStyle name="20% - Accent1 3 2 2 2 4 3" xfId="3252"/>
    <cellStyle name="20% - Accent1 3 2 2 2 4 3 2" xfId="13770"/>
    <cellStyle name="20% - Accent1 3 2 2 2 4 3 2 2" xfId="25571"/>
    <cellStyle name="20% - Accent1 3 2 2 2 4 3 2 2 2" xfId="55227"/>
    <cellStyle name="20% - Accent1 3 2 2 2 4 3 2 3" xfId="39186"/>
    <cellStyle name="20% - Accent1 3 2 2 2 4 3 3" xfId="8705"/>
    <cellStyle name="20% - Accent1 3 2 2 2 4 3 3 2" xfId="45663"/>
    <cellStyle name="20% - Accent1 3 2 2 2 4 3 4" xfId="20506"/>
    <cellStyle name="20% - Accent1 3 2 2 2 4 3 4 2" xfId="55228"/>
    <cellStyle name="20% - Accent1 3 2 2 2 4 3 5" xfId="34121"/>
    <cellStyle name="20% - Accent1 3 2 2 2 4 4" xfId="13771"/>
    <cellStyle name="20% - Accent1 3 2 2 2 4 4 2" xfId="25572"/>
    <cellStyle name="20% - Accent1 3 2 2 2 4 4 2 2" xfId="55229"/>
    <cellStyle name="20% - Accent1 3 2 2 2 4 4 3" xfId="39187"/>
    <cellStyle name="20% - Accent1 3 2 2 2 4 5" xfId="6882"/>
    <cellStyle name="20% - Accent1 3 2 2 2 4 5 2" xfId="45664"/>
    <cellStyle name="20% - Accent1 3 2 2 2 4 6" xfId="18683"/>
    <cellStyle name="20% - Accent1 3 2 2 2 4 6 2" xfId="55230"/>
    <cellStyle name="20% - Accent1 3 2 2 2 4 7" xfId="32298"/>
    <cellStyle name="20% - Accent1 3 2 2 2 5" xfId="3957"/>
    <cellStyle name="20% - Accent1 3 2 2 2 5 2" xfId="13772"/>
    <cellStyle name="20% - Accent1 3 2 2 2 5 2 2" xfId="25573"/>
    <cellStyle name="20% - Accent1 3 2 2 2 5 2 2 2" xfId="55231"/>
    <cellStyle name="20% - Accent1 3 2 2 2 5 2 3" xfId="39188"/>
    <cellStyle name="20% - Accent1 3 2 2 2 5 3" xfId="9410"/>
    <cellStyle name="20% - Accent1 3 2 2 2 5 3 2" xfId="45665"/>
    <cellStyle name="20% - Accent1 3 2 2 2 5 4" xfId="21211"/>
    <cellStyle name="20% - Accent1 3 2 2 2 5 4 2" xfId="55232"/>
    <cellStyle name="20% - Accent1 3 2 2 2 5 5" xfId="34826"/>
    <cellStyle name="20% - Accent1 3 2 2 2 6" xfId="2116"/>
    <cellStyle name="20% - Accent1 3 2 2 2 6 2" xfId="13773"/>
    <cellStyle name="20% - Accent1 3 2 2 2 6 2 2" xfId="25574"/>
    <cellStyle name="20% - Accent1 3 2 2 2 6 2 2 2" xfId="55233"/>
    <cellStyle name="20% - Accent1 3 2 2 2 6 2 3" xfId="39189"/>
    <cellStyle name="20% - Accent1 3 2 2 2 6 3" xfId="7569"/>
    <cellStyle name="20% - Accent1 3 2 2 2 6 3 2" xfId="45666"/>
    <cellStyle name="20% - Accent1 3 2 2 2 6 4" xfId="19370"/>
    <cellStyle name="20% - Accent1 3 2 2 2 6 4 2" xfId="55234"/>
    <cellStyle name="20% - Accent1 3 2 2 2 6 5" xfId="32985"/>
    <cellStyle name="20% - Accent1 3 2 2 2 7" xfId="13774"/>
    <cellStyle name="20% - Accent1 3 2 2 2 7 2" xfId="25575"/>
    <cellStyle name="20% - Accent1 3 2 2 2 7 2 2" xfId="55235"/>
    <cellStyle name="20% - Accent1 3 2 2 2 7 3" xfId="39190"/>
    <cellStyle name="20% - Accent1 3 2 2 2 8" xfId="5669"/>
    <cellStyle name="20% - Accent1 3 2 2 2 8 2" xfId="45667"/>
    <cellStyle name="20% - Accent1 3 2 2 2 9" xfId="17470"/>
    <cellStyle name="20% - Accent1 3 2 2 2 9 2" xfId="55236"/>
    <cellStyle name="20% - Accent1 3 2 2 3" xfId="391"/>
    <cellStyle name="20% - Accent1 3 2 2 3 2" xfId="1429"/>
    <cellStyle name="20% - Accent1 3 2 2 3 2 2" xfId="4701"/>
    <cellStyle name="20% - Accent1 3 2 2 3 2 2 2" xfId="13775"/>
    <cellStyle name="20% - Accent1 3 2 2 3 2 2 2 2" xfId="25576"/>
    <cellStyle name="20% - Accent1 3 2 2 3 2 2 2 2 2" xfId="55237"/>
    <cellStyle name="20% - Accent1 3 2 2 3 2 2 2 3" xfId="39191"/>
    <cellStyle name="20% - Accent1 3 2 2 3 2 2 3" xfId="10154"/>
    <cellStyle name="20% - Accent1 3 2 2 3 2 2 3 2" xfId="45668"/>
    <cellStyle name="20% - Accent1 3 2 2 3 2 2 4" xfId="21955"/>
    <cellStyle name="20% - Accent1 3 2 2 3 2 2 4 2" xfId="55238"/>
    <cellStyle name="20% - Accent1 3 2 2 3 2 2 5" xfId="35570"/>
    <cellStyle name="20% - Accent1 3 2 2 3 2 3" xfId="2860"/>
    <cellStyle name="20% - Accent1 3 2 2 3 2 3 2" xfId="13776"/>
    <cellStyle name="20% - Accent1 3 2 2 3 2 3 2 2" xfId="25577"/>
    <cellStyle name="20% - Accent1 3 2 2 3 2 3 2 2 2" xfId="55239"/>
    <cellStyle name="20% - Accent1 3 2 2 3 2 3 2 3" xfId="39192"/>
    <cellStyle name="20% - Accent1 3 2 2 3 2 3 3" xfId="8313"/>
    <cellStyle name="20% - Accent1 3 2 2 3 2 3 3 2" xfId="45669"/>
    <cellStyle name="20% - Accent1 3 2 2 3 2 3 4" xfId="20114"/>
    <cellStyle name="20% - Accent1 3 2 2 3 2 3 4 2" xfId="55240"/>
    <cellStyle name="20% - Accent1 3 2 2 3 2 3 5" xfId="33729"/>
    <cellStyle name="20% - Accent1 3 2 2 3 2 4" xfId="13777"/>
    <cellStyle name="20% - Accent1 3 2 2 3 2 4 2" xfId="25578"/>
    <cellStyle name="20% - Accent1 3 2 2 3 2 4 2 2" xfId="55241"/>
    <cellStyle name="20% - Accent1 3 2 2 3 2 4 3" xfId="39193"/>
    <cellStyle name="20% - Accent1 3 2 2 3 2 5" xfId="6883"/>
    <cellStyle name="20% - Accent1 3 2 2 3 2 5 2" xfId="45670"/>
    <cellStyle name="20% - Accent1 3 2 2 3 2 6" xfId="18684"/>
    <cellStyle name="20% - Accent1 3 2 2 3 2 6 2" xfId="55242"/>
    <cellStyle name="20% - Accent1 3 2 2 3 2 7" xfId="32299"/>
    <cellStyle name="20% - Accent1 3 2 2 3 3" xfId="3428"/>
    <cellStyle name="20% - Accent1 3 2 2 3 3 2" xfId="5269"/>
    <cellStyle name="20% - Accent1 3 2 2 3 3 2 2" xfId="16739"/>
    <cellStyle name="20% - Accent1 3 2 2 3 3 2 2 2" xfId="28540"/>
    <cellStyle name="20% - Accent1 3 2 2 3 3 2 2 2 2" xfId="55243"/>
    <cellStyle name="20% - Accent1 3 2 2 3 3 2 2 3" xfId="42155"/>
    <cellStyle name="20% - Accent1 3 2 2 3 3 2 3" xfId="10722"/>
    <cellStyle name="20% - Accent1 3 2 2 3 3 2 3 2" xfId="55244"/>
    <cellStyle name="20% - Accent1 3 2 2 3 3 2 4" xfId="22523"/>
    <cellStyle name="20% - Accent1 3 2 2 3 3 2 4 2" xfId="55245"/>
    <cellStyle name="20% - Accent1 3 2 2 3 3 2 5" xfId="36138"/>
    <cellStyle name="20% - Accent1 3 2 2 3 3 3" xfId="13778"/>
    <cellStyle name="20% - Accent1 3 2 2 3 3 3 2" xfId="25579"/>
    <cellStyle name="20% - Accent1 3 2 2 3 3 3 2 2" xfId="55246"/>
    <cellStyle name="20% - Accent1 3 2 2 3 3 3 3" xfId="39194"/>
    <cellStyle name="20% - Accent1 3 2 2 3 3 4" xfId="8881"/>
    <cellStyle name="20% - Accent1 3 2 2 3 3 4 2" xfId="55247"/>
    <cellStyle name="20% - Accent1 3 2 2 3 3 5" xfId="20682"/>
    <cellStyle name="20% - Accent1 3 2 2 3 3 5 2" xfId="55248"/>
    <cellStyle name="20% - Accent1 3 2 2 3 3 6" xfId="34297"/>
    <cellStyle name="20% - Accent1 3 2 2 3 4" xfId="4133"/>
    <cellStyle name="20% - Accent1 3 2 2 3 4 2" xfId="13779"/>
    <cellStyle name="20% - Accent1 3 2 2 3 4 2 2" xfId="25580"/>
    <cellStyle name="20% - Accent1 3 2 2 3 4 2 2 2" xfId="55249"/>
    <cellStyle name="20% - Accent1 3 2 2 3 4 2 3" xfId="39195"/>
    <cellStyle name="20% - Accent1 3 2 2 3 4 3" xfId="9586"/>
    <cellStyle name="20% - Accent1 3 2 2 3 4 3 2" xfId="45671"/>
    <cellStyle name="20% - Accent1 3 2 2 3 4 4" xfId="21387"/>
    <cellStyle name="20% - Accent1 3 2 2 3 4 4 2" xfId="55250"/>
    <cellStyle name="20% - Accent1 3 2 2 3 4 5" xfId="35002"/>
    <cellStyle name="20% - Accent1 3 2 2 3 5" xfId="2292"/>
    <cellStyle name="20% - Accent1 3 2 2 3 5 2" xfId="17090"/>
    <cellStyle name="20% - Accent1 3 2 2 3 5 2 2" xfId="28891"/>
    <cellStyle name="20% - Accent1 3 2 2 3 5 2 2 2" xfId="55251"/>
    <cellStyle name="20% - Accent1 3 2 2 3 5 2 3" xfId="42506"/>
    <cellStyle name="20% - Accent1 3 2 2 3 5 3" xfId="7745"/>
    <cellStyle name="20% - Accent1 3 2 2 3 5 3 2" xfId="55252"/>
    <cellStyle name="20% - Accent1 3 2 2 3 5 4" xfId="19546"/>
    <cellStyle name="20% - Accent1 3 2 2 3 5 4 2" xfId="55253"/>
    <cellStyle name="20% - Accent1 3 2 2 3 5 5" xfId="33161"/>
    <cellStyle name="20% - Accent1 3 2 2 3 6" xfId="13780"/>
    <cellStyle name="20% - Accent1 3 2 2 3 6 2" xfId="25581"/>
    <cellStyle name="20% - Accent1 3 2 2 3 6 2 2" xfId="55254"/>
    <cellStyle name="20% - Accent1 3 2 2 3 6 3" xfId="39196"/>
    <cellStyle name="20% - Accent1 3 2 2 3 7" xfId="5845"/>
    <cellStyle name="20% - Accent1 3 2 2 3 7 2" xfId="55255"/>
    <cellStyle name="20% - Accent1 3 2 2 3 8" xfId="17646"/>
    <cellStyle name="20% - Accent1 3 2 2 3 8 2" xfId="55256"/>
    <cellStyle name="20% - Accent1 3 2 2 3 9" xfId="31261"/>
    <cellStyle name="20% - Accent1 3 2 2 4" xfId="669"/>
    <cellStyle name="20% - Accent1 3 2 2 4 2" xfId="1430"/>
    <cellStyle name="20% - Accent1 3 2 2 4 2 2" xfId="4411"/>
    <cellStyle name="20% - Accent1 3 2 2 4 2 2 2" xfId="13781"/>
    <cellStyle name="20% - Accent1 3 2 2 4 2 2 2 2" xfId="25582"/>
    <cellStyle name="20% - Accent1 3 2 2 4 2 2 2 2 2" xfId="55257"/>
    <cellStyle name="20% - Accent1 3 2 2 4 2 2 2 3" xfId="39197"/>
    <cellStyle name="20% - Accent1 3 2 2 4 2 2 3" xfId="9864"/>
    <cellStyle name="20% - Accent1 3 2 2 4 2 2 3 2" xfId="45672"/>
    <cellStyle name="20% - Accent1 3 2 2 4 2 2 4" xfId="21665"/>
    <cellStyle name="20% - Accent1 3 2 2 4 2 2 4 2" xfId="55258"/>
    <cellStyle name="20% - Accent1 3 2 2 4 2 2 5" xfId="35280"/>
    <cellStyle name="20% - Accent1 3 2 2 4 2 3" xfId="13782"/>
    <cellStyle name="20% - Accent1 3 2 2 4 2 3 2" xfId="25583"/>
    <cellStyle name="20% - Accent1 3 2 2 4 2 3 2 2" xfId="45673"/>
    <cellStyle name="20% - Accent1 3 2 2 4 2 3 3" xfId="29971"/>
    <cellStyle name="20% - Accent1 3 2 2 4 2 3 3 2" xfId="45674"/>
    <cellStyle name="20% - Accent1 3 2 2 4 2 3 4" xfId="29972"/>
    <cellStyle name="20% - Accent1 3 2 2 4 2 3 4 2" xfId="55259"/>
    <cellStyle name="20% - Accent1 3 2 2 4 2 3 5" xfId="39198"/>
    <cellStyle name="20% - Accent1 3 2 2 4 2 4" xfId="13783"/>
    <cellStyle name="20% - Accent1 3 2 2 4 2 4 2" xfId="25584"/>
    <cellStyle name="20% - Accent1 3 2 2 4 2 4 2 2" xfId="55260"/>
    <cellStyle name="20% - Accent1 3 2 2 4 2 4 3" xfId="39199"/>
    <cellStyle name="20% - Accent1 3 2 2 4 2 5" xfId="6884"/>
    <cellStyle name="20% - Accent1 3 2 2 4 2 5 2" xfId="45675"/>
    <cellStyle name="20% - Accent1 3 2 2 4 2 6" xfId="18685"/>
    <cellStyle name="20% - Accent1 3 2 2 4 2 6 2" xfId="55261"/>
    <cellStyle name="20% - Accent1 3 2 2 4 2 7" xfId="32300"/>
    <cellStyle name="20% - Accent1 3 2 2 4 3" xfId="2570"/>
    <cellStyle name="20% - Accent1 3 2 2 4 3 2" xfId="13784"/>
    <cellStyle name="20% - Accent1 3 2 2 4 3 2 2" xfId="25585"/>
    <cellStyle name="20% - Accent1 3 2 2 4 3 2 2 2" xfId="55262"/>
    <cellStyle name="20% - Accent1 3 2 2 4 3 2 3" xfId="39200"/>
    <cellStyle name="20% - Accent1 3 2 2 4 3 3" xfId="8023"/>
    <cellStyle name="20% - Accent1 3 2 2 4 3 3 2" xfId="45676"/>
    <cellStyle name="20% - Accent1 3 2 2 4 3 4" xfId="19824"/>
    <cellStyle name="20% - Accent1 3 2 2 4 3 4 2" xfId="55263"/>
    <cellStyle name="20% - Accent1 3 2 2 4 3 5" xfId="33439"/>
    <cellStyle name="20% - Accent1 3 2 2 4 4" xfId="13785"/>
    <cellStyle name="20% - Accent1 3 2 2 4 4 2" xfId="25586"/>
    <cellStyle name="20% - Accent1 3 2 2 4 4 2 2" xfId="45677"/>
    <cellStyle name="20% - Accent1 3 2 2 4 4 3" xfId="29973"/>
    <cellStyle name="20% - Accent1 3 2 2 4 4 3 2" xfId="45678"/>
    <cellStyle name="20% - Accent1 3 2 2 4 4 4" xfId="29974"/>
    <cellStyle name="20% - Accent1 3 2 2 4 4 4 2" xfId="55264"/>
    <cellStyle name="20% - Accent1 3 2 2 4 4 5" xfId="39201"/>
    <cellStyle name="20% - Accent1 3 2 2 4 5" xfId="13786"/>
    <cellStyle name="20% - Accent1 3 2 2 4 5 2" xfId="25587"/>
    <cellStyle name="20% - Accent1 3 2 2 4 5 2 2" xfId="55265"/>
    <cellStyle name="20% - Accent1 3 2 2 4 5 3" xfId="39202"/>
    <cellStyle name="20% - Accent1 3 2 2 4 6" xfId="6123"/>
    <cellStyle name="20% - Accent1 3 2 2 4 6 2" xfId="45679"/>
    <cellStyle name="20% - Accent1 3 2 2 4 7" xfId="17924"/>
    <cellStyle name="20% - Accent1 3 2 2 4 7 2" xfId="55266"/>
    <cellStyle name="20% - Accent1 3 2 2 4 8" xfId="31539"/>
    <cellStyle name="20% - Accent1 3 2 2 5" xfId="910"/>
    <cellStyle name="20% - Accent1 3 2 2 5 2" xfId="1431"/>
    <cellStyle name="20% - Accent1 3 2 2 5 2 2" xfId="4979"/>
    <cellStyle name="20% - Accent1 3 2 2 5 2 2 2" xfId="13787"/>
    <cellStyle name="20% - Accent1 3 2 2 5 2 2 2 2" xfId="25588"/>
    <cellStyle name="20% - Accent1 3 2 2 5 2 2 2 2 2" xfId="55267"/>
    <cellStyle name="20% - Accent1 3 2 2 5 2 2 2 3" xfId="39203"/>
    <cellStyle name="20% - Accent1 3 2 2 5 2 2 3" xfId="10432"/>
    <cellStyle name="20% - Accent1 3 2 2 5 2 2 3 2" xfId="45680"/>
    <cellStyle name="20% - Accent1 3 2 2 5 2 2 4" xfId="22233"/>
    <cellStyle name="20% - Accent1 3 2 2 5 2 2 4 2" xfId="55268"/>
    <cellStyle name="20% - Accent1 3 2 2 5 2 2 5" xfId="35848"/>
    <cellStyle name="20% - Accent1 3 2 2 5 2 3" xfId="13788"/>
    <cellStyle name="20% - Accent1 3 2 2 5 2 3 2" xfId="25589"/>
    <cellStyle name="20% - Accent1 3 2 2 5 2 3 2 2" xfId="45681"/>
    <cellStyle name="20% - Accent1 3 2 2 5 2 3 3" xfId="29975"/>
    <cellStyle name="20% - Accent1 3 2 2 5 2 3 3 2" xfId="45682"/>
    <cellStyle name="20% - Accent1 3 2 2 5 2 3 4" xfId="29976"/>
    <cellStyle name="20% - Accent1 3 2 2 5 2 3 4 2" xfId="55269"/>
    <cellStyle name="20% - Accent1 3 2 2 5 2 3 5" xfId="39204"/>
    <cellStyle name="20% - Accent1 3 2 2 5 2 4" xfId="13789"/>
    <cellStyle name="20% - Accent1 3 2 2 5 2 4 2" xfId="25590"/>
    <cellStyle name="20% - Accent1 3 2 2 5 2 4 2 2" xfId="55270"/>
    <cellStyle name="20% - Accent1 3 2 2 5 2 4 3" xfId="39205"/>
    <cellStyle name="20% - Accent1 3 2 2 5 2 5" xfId="6885"/>
    <cellStyle name="20% - Accent1 3 2 2 5 2 5 2" xfId="45683"/>
    <cellStyle name="20% - Accent1 3 2 2 5 2 6" xfId="18686"/>
    <cellStyle name="20% - Accent1 3 2 2 5 2 6 2" xfId="55271"/>
    <cellStyle name="20% - Accent1 3 2 2 5 2 7" xfId="32301"/>
    <cellStyle name="20% - Accent1 3 2 2 5 3" xfId="3138"/>
    <cellStyle name="20% - Accent1 3 2 2 5 3 2" xfId="13790"/>
    <cellStyle name="20% - Accent1 3 2 2 5 3 2 2" xfId="25591"/>
    <cellStyle name="20% - Accent1 3 2 2 5 3 2 2 2" xfId="55272"/>
    <cellStyle name="20% - Accent1 3 2 2 5 3 2 3" xfId="39206"/>
    <cellStyle name="20% - Accent1 3 2 2 5 3 3" xfId="8591"/>
    <cellStyle name="20% - Accent1 3 2 2 5 3 3 2" xfId="45684"/>
    <cellStyle name="20% - Accent1 3 2 2 5 3 4" xfId="20392"/>
    <cellStyle name="20% - Accent1 3 2 2 5 3 4 2" xfId="55273"/>
    <cellStyle name="20% - Accent1 3 2 2 5 3 5" xfId="34007"/>
    <cellStyle name="20% - Accent1 3 2 2 5 4" xfId="13791"/>
    <cellStyle name="20% - Accent1 3 2 2 5 4 2" xfId="25592"/>
    <cellStyle name="20% - Accent1 3 2 2 5 4 2 2" xfId="45685"/>
    <cellStyle name="20% - Accent1 3 2 2 5 4 3" xfId="29977"/>
    <cellStyle name="20% - Accent1 3 2 2 5 4 3 2" xfId="45686"/>
    <cellStyle name="20% - Accent1 3 2 2 5 4 4" xfId="29978"/>
    <cellStyle name="20% - Accent1 3 2 2 5 4 4 2" xfId="55274"/>
    <cellStyle name="20% - Accent1 3 2 2 5 4 5" xfId="39207"/>
    <cellStyle name="20% - Accent1 3 2 2 5 5" xfId="13792"/>
    <cellStyle name="20% - Accent1 3 2 2 5 5 2" xfId="25593"/>
    <cellStyle name="20% - Accent1 3 2 2 5 5 2 2" xfId="55275"/>
    <cellStyle name="20% - Accent1 3 2 2 5 5 3" xfId="39208"/>
    <cellStyle name="20% - Accent1 3 2 2 5 6" xfId="6364"/>
    <cellStyle name="20% - Accent1 3 2 2 5 6 2" xfId="45687"/>
    <cellStyle name="20% - Accent1 3 2 2 5 7" xfId="18165"/>
    <cellStyle name="20% - Accent1 3 2 2 5 7 2" xfId="55276"/>
    <cellStyle name="20% - Accent1 3 2 2 5 8" xfId="31780"/>
    <cellStyle name="20% - Accent1 3 2 2 6" xfId="1432"/>
    <cellStyle name="20% - Accent1 3 2 2 6 2" xfId="3843"/>
    <cellStyle name="20% - Accent1 3 2 2 6 2 2" xfId="13793"/>
    <cellStyle name="20% - Accent1 3 2 2 6 2 2 2" xfId="25594"/>
    <cellStyle name="20% - Accent1 3 2 2 6 2 2 2 2" xfId="55277"/>
    <cellStyle name="20% - Accent1 3 2 2 6 2 2 3" xfId="39209"/>
    <cellStyle name="20% - Accent1 3 2 2 6 2 3" xfId="9296"/>
    <cellStyle name="20% - Accent1 3 2 2 6 2 3 2" xfId="45688"/>
    <cellStyle name="20% - Accent1 3 2 2 6 2 4" xfId="21097"/>
    <cellStyle name="20% - Accent1 3 2 2 6 2 4 2" xfId="55278"/>
    <cellStyle name="20% - Accent1 3 2 2 6 2 5" xfId="34712"/>
    <cellStyle name="20% - Accent1 3 2 2 6 3" xfId="13794"/>
    <cellStyle name="20% - Accent1 3 2 2 6 3 2" xfId="25595"/>
    <cellStyle name="20% - Accent1 3 2 2 6 3 2 2" xfId="45689"/>
    <cellStyle name="20% - Accent1 3 2 2 6 3 3" xfId="29979"/>
    <cellStyle name="20% - Accent1 3 2 2 6 3 3 2" xfId="45690"/>
    <cellStyle name="20% - Accent1 3 2 2 6 3 4" xfId="29980"/>
    <cellStyle name="20% - Accent1 3 2 2 6 3 4 2" xfId="55279"/>
    <cellStyle name="20% - Accent1 3 2 2 6 3 5" xfId="39210"/>
    <cellStyle name="20% - Accent1 3 2 2 6 4" xfId="13795"/>
    <cellStyle name="20% - Accent1 3 2 2 6 4 2" xfId="25596"/>
    <cellStyle name="20% - Accent1 3 2 2 6 4 2 2" xfId="55280"/>
    <cellStyle name="20% - Accent1 3 2 2 6 4 3" xfId="39211"/>
    <cellStyle name="20% - Accent1 3 2 2 6 5" xfId="6886"/>
    <cellStyle name="20% - Accent1 3 2 2 6 5 2" xfId="45691"/>
    <cellStyle name="20% - Accent1 3 2 2 6 6" xfId="18687"/>
    <cellStyle name="20% - Accent1 3 2 2 6 6 2" xfId="55281"/>
    <cellStyle name="20% - Accent1 3 2 2 6 7" xfId="32302"/>
    <cellStyle name="20% - Accent1 3 2 2 7" xfId="3706"/>
    <cellStyle name="20% - Accent1 3 2 2 7 2" xfId="13796"/>
    <cellStyle name="20% - Accent1 3 2 2 7 2 2" xfId="25597"/>
    <cellStyle name="20% - Accent1 3 2 2 7 2 2 2" xfId="55282"/>
    <cellStyle name="20% - Accent1 3 2 2 7 2 3" xfId="39212"/>
    <cellStyle name="20% - Accent1 3 2 2 7 3" xfId="9159"/>
    <cellStyle name="20% - Accent1 3 2 2 7 3 2" xfId="45692"/>
    <cellStyle name="20% - Accent1 3 2 2 7 4" xfId="20960"/>
    <cellStyle name="20% - Accent1 3 2 2 7 4 2" xfId="55283"/>
    <cellStyle name="20% - Accent1 3 2 2 7 5" xfId="34575"/>
    <cellStyle name="20% - Accent1 3 2 2 8" xfId="2002"/>
    <cellStyle name="20% - Accent1 3 2 2 8 2" xfId="13797"/>
    <cellStyle name="20% - Accent1 3 2 2 8 2 2" xfId="25598"/>
    <cellStyle name="20% - Accent1 3 2 2 8 2 2 2" xfId="55284"/>
    <cellStyle name="20% - Accent1 3 2 2 8 2 3" xfId="39213"/>
    <cellStyle name="20% - Accent1 3 2 2 8 3" xfId="7455"/>
    <cellStyle name="20% - Accent1 3 2 2 8 3 2" xfId="45693"/>
    <cellStyle name="20% - Accent1 3 2 2 8 4" xfId="19256"/>
    <cellStyle name="20% - Accent1 3 2 2 8 4 2" xfId="55285"/>
    <cellStyle name="20% - Accent1 3 2 2 8 5" xfId="32871"/>
    <cellStyle name="20% - Accent1 3 2 2 9" xfId="13798"/>
    <cellStyle name="20% - Accent1 3 2 2 9 2" xfId="25599"/>
    <cellStyle name="20% - Accent1 3 2 2 9 2 2" xfId="55286"/>
    <cellStyle name="20% - Accent1 3 2 2 9 3" xfId="39214"/>
    <cellStyle name="20% - Accent1 3 2 3" xfId="171"/>
    <cellStyle name="20% - Accent1 3 2 3 10" xfId="31041"/>
    <cellStyle name="20% - Accent1 3 2 3 2" xfId="324"/>
    <cellStyle name="20% - Accent1 3 2 3 2 2" xfId="1433"/>
    <cellStyle name="20% - Accent1 3 2 3 2 2 2" xfId="4634"/>
    <cellStyle name="20% - Accent1 3 2 3 2 2 2 2" xfId="13799"/>
    <cellStyle name="20% - Accent1 3 2 3 2 2 2 2 2" xfId="25600"/>
    <cellStyle name="20% - Accent1 3 2 3 2 2 2 2 2 2" xfId="55287"/>
    <cellStyle name="20% - Accent1 3 2 3 2 2 2 2 3" xfId="39215"/>
    <cellStyle name="20% - Accent1 3 2 3 2 2 2 3" xfId="10087"/>
    <cellStyle name="20% - Accent1 3 2 3 2 2 2 3 2" xfId="45694"/>
    <cellStyle name="20% - Accent1 3 2 3 2 2 2 4" xfId="21888"/>
    <cellStyle name="20% - Accent1 3 2 3 2 2 2 4 2" xfId="55288"/>
    <cellStyle name="20% - Accent1 3 2 3 2 2 2 5" xfId="35503"/>
    <cellStyle name="20% - Accent1 3 2 3 2 2 3" xfId="2793"/>
    <cellStyle name="20% - Accent1 3 2 3 2 2 3 2" xfId="13800"/>
    <cellStyle name="20% - Accent1 3 2 3 2 2 3 2 2" xfId="25601"/>
    <cellStyle name="20% - Accent1 3 2 3 2 2 3 2 2 2" xfId="55289"/>
    <cellStyle name="20% - Accent1 3 2 3 2 2 3 2 3" xfId="39216"/>
    <cellStyle name="20% - Accent1 3 2 3 2 2 3 3" xfId="8246"/>
    <cellStyle name="20% - Accent1 3 2 3 2 2 3 3 2" xfId="45695"/>
    <cellStyle name="20% - Accent1 3 2 3 2 2 3 4" xfId="20047"/>
    <cellStyle name="20% - Accent1 3 2 3 2 2 3 4 2" xfId="55290"/>
    <cellStyle name="20% - Accent1 3 2 3 2 2 3 5" xfId="33662"/>
    <cellStyle name="20% - Accent1 3 2 3 2 2 4" xfId="13801"/>
    <cellStyle name="20% - Accent1 3 2 3 2 2 4 2" xfId="25602"/>
    <cellStyle name="20% - Accent1 3 2 3 2 2 4 2 2" xfId="55291"/>
    <cellStyle name="20% - Accent1 3 2 3 2 2 4 3" xfId="39217"/>
    <cellStyle name="20% - Accent1 3 2 3 2 2 5" xfId="6887"/>
    <cellStyle name="20% - Accent1 3 2 3 2 2 5 2" xfId="45696"/>
    <cellStyle name="20% - Accent1 3 2 3 2 2 6" xfId="18688"/>
    <cellStyle name="20% - Accent1 3 2 3 2 2 6 2" xfId="55292"/>
    <cellStyle name="20% - Accent1 3 2 3 2 2 7" xfId="32303"/>
    <cellStyle name="20% - Accent1 3 2 3 2 3" xfId="3361"/>
    <cellStyle name="20% - Accent1 3 2 3 2 3 2" xfId="5202"/>
    <cellStyle name="20% - Accent1 3 2 3 2 3 2 2" xfId="16672"/>
    <cellStyle name="20% - Accent1 3 2 3 2 3 2 2 2" xfId="28473"/>
    <cellStyle name="20% - Accent1 3 2 3 2 3 2 2 2 2" xfId="55293"/>
    <cellStyle name="20% - Accent1 3 2 3 2 3 2 2 3" xfId="42088"/>
    <cellStyle name="20% - Accent1 3 2 3 2 3 2 3" xfId="10655"/>
    <cellStyle name="20% - Accent1 3 2 3 2 3 2 3 2" xfId="55294"/>
    <cellStyle name="20% - Accent1 3 2 3 2 3 2 4" xfId="22456"/>
    <cellStyle name="20% - Accent1 3 2 3 2 3 2 4 2" xfId="55295"/>
    <cellStyle name="20% - Accent1 3 2 3 2 3 2 5" xfId="36071"/>
    <cellStyle name="20% - Accent1 3 2 3 2 3 3" xfId="13802"/>
    <cellStyle name="20% - Accent1 3 2 3 2 3 3 2" xfId="25603"/>
    <cellStyle name="20% - Accent1 3 2 3 2 3 3 2 2" xfId="55296"/>
    <cellStyle name="20% - Accent1 3 2 3 2 3 3 3" xfId="39218"/>
    <cellStyle name="20% - Accent1 3 2 3 2 3 4" xfId="8814"/>
    <cellStyle name="20% - Accent1 3 2 3 2 3 4 2" xfId="55297"/>
    <cellStyle name="20% - Accent1 3 2 3 2 3 5" xfId="20615"/>
    <cellStyle name="20% - Accent1 3 2 3 2 3 5 2" xfId="55298"/>
    <cellStyle name="20% - Accent1 3 2 3 2 3 6" xfId="34230"/>
    <cellStyle name="20% - Accent1 3 2 3 2 4" xfId="4066"/>
    <cellStyle name="20% - Accent1 3 2 3 2 4 2" xfId="13803"/>
    <cellStyle name="20% - Accent1 3 2 3 2 4 2 2" xfId="25604"/>
    <cellStyle name="20% - Accent1 3 2 3 2 4 2 2 2" xfId="55299"/>
    <cellStyle name="20% - Accent1 3 2 3 2 4 2 3" xfId="39219"/>
    <cellStyle name="20% - Accent1 3 2 3 2 4 3" xfId="9519"/>
    <cellStyle name="20% - Accent1 3 2 3 2 4 3 2" xfId="45697"/>
    <cellStyle name="20% - Accent1 3 2 3 2 4 4" xfId="21320"/>
    <cellStyle name="20% - Accent1 3 2 3 2 4 4 2" xfId="55300"/>
    <cellStyle name="20% - Accent1 3 2 3 2 4 5" xfId="34935"/>
    <cellStyle name="20% - Accent1 3 2 3 2 5" xfId="2225"/>
    <cellStyle name="20% - Accent1 3 2 3 2 5 2" xfId="17091"/>
    <cellStyle name="20% - Accent1 3 2 3 2 5 2 2" xfId="28892"/>
    <cellStyle name="20% - Accent1 3 2 3 2 5 2 2 2" xfId="55301"/>
    <cellStyle name="20% - Accent1 3 2 3 2 5 2 3" xfId="42507"/>
    <cellStyle name="20% - Accent1 3 2 3 2 5 3" xfId="7678"/>
    <cellStyle name="20% - Accent1 3 2 3 2 5 3 2" xfId="55302"/>
    <cellStyle name="20% - Accent1 3 2 3 2 5 4" xfId="19479"/>
    <cellStyle name="20% - Accent1 3 2 3 2 5 4 2" xfId="55303"/>
    <cellStyle name="20% - Accent1 3 2 3 2 5 5" xfId="33094"/>
    <cellStyle name="20% - Accent1 3 2 3 2 6" xfId="13804"/>
    <cellStyle name="20% - Accent1 3 2 3 2 6 2" xfId="25605"/>
    <cellStyle name="20% - Accent1 3 2 3 2 6 2 2" xfId="55304"/>
    <cellStyle name="20% - Accent1 3 2 3 2 6 3" xfId="39220"/>
    <cellStyle name="20% - Accent1 3 2 3 2 7" xfId="5778"/>
    <cellStyle name="20% - Accent1 3 2 3 2 7 2" xfId="55305"/>
    <cellStyle name="20% - Accent1 3 2 3 2 8" xfId="17579"/>
    <cellStyle name="20% - Accent1 3 2 3 2 8 2" xfId="55306"/>
    <cellStyle name="20% - Accent1 3 2 3 2 9" xfId="31194"/>
    <cellStyle name="20% - Accent1 3 2 3 3" xfId="739"/>
    <cellStyle name="20% - Accent1 3 2 3 3 2" xfId="1434"/>
    <cellStyle name="20% - Accent1 3 2 3 3 2 2" xfId="4481"/>
    <cellStyle name="20% - Accent1 3 2 3 3 2 2 2" xfId="13805"/>
    <cellStyle name="20% - Accent1 3 2 3 3 2 2 2 2" xfId="25606"/>
    <cellStyle name="20% - Accent1 3 2 3 3 2 2 2 2 2" xfId="55307"/>
    <cellStyle name="20% - Accent1 3 2 3 3 2 2 2 3" xfId="39221"/>
    <cellStyle name="20% - Accent1 3 2 3 3 2 2 3" xfId="9934"/>
    <cellStyle name="20% - Accent1 3 2 3 3 2 2 3 2" xfId="45698"/>
    <cellStyle name="20% - Accent1 3 2 3 3 2 2 4" xfId="21735"/>
    <cellStyle name="20% - Accent1 3 2 3 3 2 2 4 2" xfId="55308"/>
    <cellStyle name="20% - Accent1 3 2 3 3 2 2 5" xfId="35350"/>
    <cellStyle name="20% - Accent1 3 2 3 3 2 3" xfId="13806"/>
    <cellStyle name="20% - Accent1 3 2 3 3 2 3 2" xfId="25607"/>
    <cellStyle name="20% - Accent1 3 2 3 3 2 3 2 2" xfId="45699"/>
    <cellStyle name="20% - Accent1 3 2 3 3 2 3 3" xfId="29981"/>
    <cellStyle name="20% - Accent1 3 2 3 3 2 3 3 2" xfId="45700"/>
    <cellStyle name="20% - Accent1 3 2 3 3 2 3 4" xfId="29982"/>
    <cellStyle name="20% - Accent1 3 2 3 3 2 3 4 2" xfId="55309"/>
    <cellStyle name="20% - Accent1 3 2 3 3 2 3 5" xfId="39222"/>
    <cellStyle name="20% - Accent1 3 2 3 3 2 4" xfId="13807"/>
    <cellStyle name="20% - Accent1 3 2 3 3 2 4 2" xfId="25608"/>
    <cellStyle name="20% - Accent1 3 2 3 3 2 4 2 2" xfId="55310"/>
    <cellStyle name="20% - Accent1 3 2 3 3 2 4 3" xfId="39223"/>
    <cellStyle name="20% - Accent1 3 2 3 3 2 5" xfId="6888"/>
    <cellStyle name="20% - Accent1 3 2 3 3 2 5 2" xfId="45701"/>
    <cellStyle name="20% - Accent1 3 2 3 3 2 6" xfId="18689"/>
    <cellStyle name="20% - Accent1 3 2 3 3 2 6 2" xfId="55311"/>
    <cellStyle name="20% - Accent1 3 2 3 3 2 7" xfId="32304"/>
    <cellStyle name="20% - Accent1 3 2 3 3 3" xfId="2640"/>
    <cellStyle name="20% - Accent1 3 2 3 3 3 2" xfId="13808"/>
    <cellStyle name="20% - Accent1 3 2 3 3 3 2 2" xfId="25609"/>
    <cellStyle name="20% - Accent1 3 2 3 3 3 2 2 2" xfId="55312"/>
    <cellStyle name="20% - Accent1 3 2 3 3 3 2 3" xfId="39224"/>
    <cellStyle name="20% - Accent1 3 2 3 3 3 3" xfId="8093"/>
    <cellStyle name="20% - Accent1 3 2 3 3 3 3 2" xfId="45702"/>
    <cellStyle name="20% - Accent1 3 2 3 3 3 4" xfId="19894"/>
    <cellStyle name="20% - Accent1 3 2 3 3 3 4 2" xfId="55313"/>
    <cellStyle name="20% - Accent1 3 2 3 3 3 5" xfId="33509"/>
    <cellStyle name="20% - Accent1 3 2 3 3 4" xfId="13809"/>
    <cellStyle name="20% - Accent1 3 2 3 3 4 2" xfId="25610"/>
    <cellStyle name="20% - Accent1 3 2 3 3 4 2 2" xfId="45703"/>
    <cellStyle name="20% - Accent1 3 2 3 3 4 3" xfId="29983"/>
    <cellStyle name="20% - Accent1 3 2 3 3 4 3 2" xfId="45704"/>
    <cellStyle name="20% - Accent1 3 2 3 3 4 4" xfId="29984"/>
    <cellStyle name="20% - Accent1 3 2 3 3 4 4 2" xfId="55314"/>
    <cellStyle name="20% - Accent1 3 2 3 3 4 5" xfId="39225"/>
    <cellStyle name="20% - Accent1 3 2 3 3 5" xfId="13810"/>
    <cellStyle name="20% - Accent1 3 2 3 3 5 2" xfId="25611"/>
    <cellStyle name="20% - Accent1 3 2 3 3 5 2 2" xfId="55315"/>
    <cellStyle name="20% - Accent1 3 2 3 3 5 3" xfId="39226"/>
    <cellStyle name="20% - Accent1 3 2 3 3 6" xfId="6193"/>
    <cellStyle name="20% - Accent1 3 2 3 3 6 2" xfId="45705"/>
    <cellStyle name="20% - Accent1 3 2 3 3 7" xfId="17994"/>
    <cellStyle name="20% - Accent1 3 2 3 3 7 2" xfId="55316"/>
    <cellStyle name="20% - Accent1 3 2 3 3 8" xfId="31609"/>
    <cellStyle name="20% - Accent1 3 2 3 4" xfId="1435"/>
    <cellStyle name="20% - Accent1 3 2 3 4 2" xfId="5049"/>
    <cellStyle name="20% - Accent1 3 2 3 4 2 2" xfId="13811"/>
    <cellStyle name="20% - Accent1 3 2 3 4 2 2 2" xfId="25612"/>
    <cellStyle name="20% - Accent1 3 2 3 4 2 2 2 2" xfId="55317"/>
    <cellStyle name="20% - Accent1 3 2 3 4 2 2 3" xfId="39227"/>
    <cellStyle name="20% - Accent1 3 2 3 4 2 3" xfId="10502"/>
    <cellStyle name="20% - Accent1 3 2 3 4 2 3 2" xfId="45706"/>
    <cellStyle name="20% - Accent1 3 2 3 4 2 4" xfId="22303"/>
    <cellStyle name="20% - Accent1 3 2 3 4 2 4 2" xfId="55318"/>
    <cellStyle name="20% - Accent1 3 2 3 4 2 5" xfId="35918"/>
    <cellStyle name="20% - Accent1 3 2 3 4 3" xfId="3208"/>
    <cellStyle name="20% - Accent1 3 2 3 4 3 2" xfId="13812"/>
    <cellStyle name="20% - Accent1 3 2 3 4 3 2 2" xfId="25613"/>
    <cellStyle name="20% - Accent1 3 2 3 4 3 2 2 2" xfId="55319"/>
    <cellStyle name="20% - Accent1 3 2 3 4 3 2 3" xfId="39228"/>
    <cellStyle name="20% - Accent1 3 2 3 4 3 3" xfId="8661"/>
    <cellStyle name="20% - Accent1 3 2 3 4 3 3 2" xfId="45707"/>
    <cellStyle name="20% - Accent1 3 2 3 4 3 4" xfId="20462"/>
    <cellStyle name="20% - Accent1 3 2 3 4 3 4 2" xfId="55320"/>
    <cellStyle name="20% - Accent1 3 2 3 4 3 5" xfId="34077"/>
    <cellStyle name="20% - Accent1 3 2 3 4 4" xfId="13813"/>
    <cellStyle name="20% - Accent1 3 2 3 4 4 2" xfId="25614"/>
    <cellStyle name="20% - Accent1 3 2 3 4 4 2 2" xfId="55321"/>
    <cellStyle name="20% - Accent1 3 2 3 4 4 3" xfId="39229"/>
    <cellStyle name="20% - Accent1 3 2 3 4 5" xfId="6889"/>
    <cellStyle name="20% - Accent1 3 2 3 4 5 2" xfId="45708"/>
    <cellStyle name="20% - Accent1 3 2 3 4 6" xfId="18690"/>
    <cellStyle name="20% - Accent1 3 2 3 4 6 2" xfId="55322"/>
    <cellStyle name="20% - Accent1 3 2 3 4 7" xfId="32305"/>
    <cellStyle name="20% - Accent1 3 2 3 5" xfId="3913"/>
    <cellStyle name="20% - Accent1 3 2 3 5 2" xfId="13814"/>
    <cellStyle name="20% - Accent1 3 2 3 5 2 2" xfId="25615"/>
    <cellStyle name="20% - Accent1 3 2 3 5 2 2 2" xfId="55323"/>
    <cellStyle name="20% - Accent1 3 2 3 5 2 3" xfId="39230"/>
    <cellStyle name="20% - Accent1 3 2 3 5 3" xfId="9366"/>
    <cellStyle name="20% - Accent1 3 2 3 5 3 2" xfId="45709"/>
    <cellStyle name="20% - Accent1 3 2 3 5 4" xfId="21167"/>
    <cellStyle name="20% - Accent1 3 2 3 5 4 2" xfId="55324"/>
    <cellStyle name="20% - Accent1 3 2 3 5 5" xfId="34782"/>
    <cellStyle name="20% - Accent1 3 2 3 6" xfId="2072"/>
    <cellStyle name="20% - Accent1 3 2 3 6 2" xfId="13815"/>
    <cellStyle name="20% - Accent1 3 2 3 6 2 2" xfId="25616"/>
    <cellStyle name="20% - Accent1 3 2 3 6 2 2 2" xfId="55325"/>
    <cellStyle name="20% - Accent1 3 2 3 6 2 3" xfId="39231"/>
    <cellStyle name="20% - Accent1 3 2 3 6 3" xfId="7525"/>
    <cellStyle name="20% - Accent1 3 2 3 6 3 2" xfId="45710"/>
    <cellStyle name="20% - Accent1 3 2 3 6 4" xfId="19326"/>
    <cellStyle name="20% - Accent1 3 2 3 6 4 2" xfId="55326"/>
    <cellStyle name="20% - Accent1 3 2 3 6 5" xfId="32941"/>
    <cellStyle name="20% - Accent1 3 2 3 7" xfId="13816"/>
    <cellStyle name="20% - Accent1 3 2 3 7 2" xfId="25617"/>
    <cellStyle name="20% - Accent1 3 2 3 7 2 2" xfId="55327"/>
    <cellStyle name="20% - Accent1 3 2 3 7 3" xfId="39232"/>
    <cellStyle name="20% - Accent1 3 2 3 8" xfId="5625"/>
    <cellStyle name="20% - Accent1 3 2 3 8 2" xfId="45711"/>
    <cellStyle name="20% - Accent1 3 2 3 9" xfId="17426"/>
    <cellStyle name="20% - Accent1 3 2 3 9 2" xfId="55328"/>
    <cellStyle name="20% - Accent1 3 2 4" xfId="461"/>
    <cellStyle name="20% - Accent1 3 2 4 2" xfId="1436"/>
    <cellStyle name="20% - Accent1 3 2 4 2 2" xfId="4771"/>
    <cellStyle name="20% - Accent1 3 2 4 2 2 2" xfId="13817"/>
    <cellStyle name="20% - Accent1 3 2 4 2 2 2 2" xfId="25618"/>
    <cellStyle name="20% - Accent1 3 2 4 2 2 2 2 2" xfId="55329"/>
    <cellStyle name="20% - Accent1 3 2 4 2 2 2 3" xfId="39233"/>
    <cellStyle name="20% - Accent1 3 2 4 2 2 3" xfId="10224"/>
    <cellStyle name="20% - Accent1 3 2 4 2 2 3 2" xfId="45712"/>
    <cellStyle name="20% - Accent1 3 2 4 2 2 4" xfId="22025"/>
    <cellStyle name="20% - Accent1 3 2 4 2 2 4 2" xfId="55330"/>
    <cellStyle name="20% - Accent1 3 2 4 2 2 5" xfId="35640"/>
    <cellStyle name="20% - Accent1 3 2 4 2 3" xfId="2930"/>
    <cellStyle name="20% - Accent1 3 2 4 2 3 2" xfId="13818"/>
    <cellStyle name="20% - Accent1 3 2 4 2 3 2 2" xfId="25619"/>
    <cellStyle name="20% - Accent1 3 2 4 2 3 2 2 2" xfId="55331"/>
    <cellStyle name="20% - Accent1 3 2 4 2 3 2 3" xfId="39234"/>
    <cellStyle name="20% - Accent1 3 2 4 2 3 3" xfId="8383"/>
    <cellStyle name="20% - Accent1 3 2 4 2 3 3 2" xfId="45713"/>
    <cellStyle name="20% - Accent1 3 2 4 2 3 4" xfId="20184"/>
    <cellStyle name="20% - Accent1 3 2 4 2 3 4 2" xfId="55332"/>
    <cellStyle name="20% - Accent1 3 2 4 2 3 5" xfId="33799"/>
    <cellStyle name="20% - Accent1 3 2 4 2 4" xfId="13819"/>
    <cellStyle name="20% - Accent1 3 2 4 2 4 2" xfId="25620"/>
    <cellStyle name="20% - Accent1 3 2 4 2 4 2 2" xfId="55333"/>
    <cellStyle name="20% - Accent1 3 2 4 2 4 3" xfId="39235"/>
    <cellStyle name="20% - Accent1 3 2 4 2 5" xfId="6890"/>
    <cellStyle name="20% - Accent1 3 2 4 2 5 2" xfId="45714"/>
    <cellStyle name="20% - Accent1 3 2 4 2 6" xfId="18691"/>
    <cellStyle name="20% - Accent1 3 2 4 2 6 2" xfId="55334"/>
    <cellStyle name="20% - Accent1 3 2 4 2 7" xfId="32306"/>
    <cellStyle name="20% - Accent1 3 2 4 3" xfId="3498"/>
    <cellStyle name="20% - Accent1 3 2 4 3 2" xfId="5339"/>
    <cellStyle name="20% - Accent1 3 2 4 3 2 2" xfId="16809"/>
    <cellStyle name="20% - Accent1 3 2 4 3 2 2 2" xfId="28610"/>
    <cellStyle name="20% - Accent1 3 2 4 3 2 2 2 2" xfId="55335"/>
    <cellStyle name="20% - Accent1 3 2 4 3 2 2 3" xfId="42225"/>
    <cellStyle name="20% - Accent1 3 2 4 3 2 3" xfId="10792"/>
    <cellStyle name="20% - Accent1 3 2 4 3 2 3 2" xfId="55336"/>
    <cellStyle name="20% - Accent1 3 2 4 3 2 4" xfId="22593"/>
    <cellStyle name="20% - Accent1 3 2 4 3 2 4 2" xfId="55337"/>
    <cellStyle name="20% - Accent1 3 2 4 3 2 5" xfId="36208"/>
    <cellStyle name="20% - Accent1 3 2 4 3 3" xfId="13820"/>
    <cellStyle name="20% - Accent1 3 2 4 3 3 2" xfId="25621"/>
    <cellStyle name="20% - Accent1 3 2 4 3 3 2 2" xfId="55338"/>
    <cellStyle name="20% - Accent1 3 2 4 3 3 3" xfId="39236"/>
    <cellStyle name="20% - Accent1 3 2 4 3 4" xfId="8951"/>
    <cellStyle name="20% - Accent1 3 2 4 3 4 2" xfId="55339"/>
    <cellStyle name="20% - Accent1 3 2 4 3 5" xfId="20752"/>
    <cellStyle name="20% - Accent1 3 2 4 3 5 2" xfId="55340"/>
    <cellStyle name="20% - Accent1 3 2 4 3 6" xfId="34367"/>
    <cellStyle name="20% - Accent1 3 2 4 4" xfId="4203"/>
    <cellStyle name="20% - Accent1 3 2 4 4 2" xfId="13821"/>
    <cellStyle name="20% - Accent1 3 2 4 4 2 2" xfId="25622"/>
    <cellStyle name="20% - Accent1 3 2 4 4 2 2 2" xfId="55341"/>
    <cellStyle name="20% - Accent1 3 2 4 4 2 3" xfId="39237"/>
    <cellStyle name="20% - Accent1 3 2 4 4 3" xfId="9656"/>
    <cellStyle name="20% - Accent1 3 2 4 4 3 2" xfId="45715"/>
    <cellStyle name="20% - Accent1 3 2 4 4 4" xfId="21457"/>
    <cellStyle name="20% - Accent1 3 2 4 4 4 2" xfId="55342"/>
    <cellStyle name="20% - Accent1 3 2 4 4 5" xfId="35072"/>
    <cellStyle name="20% - Accent1 3 2 4 5" xfId="2362"/>
    <cellStyle name="20% - Accent1 3 2 4 5 2" xfId="17092"/>
    <cellStyle name="20% - Accent1 3 2 4 5 2 2" xfId="28893"/>
    <cellStyle name="20% - Accent1 3 2 4 5 2 2 2" xfId="55343"/>
    <cellStyle name="20% - Accent1 3 2 4 5 2 3" xfId="42508"/>
    <cellStyle name="20% - Accent1 3 2 4 5 3" xfId="7815"/>
    <cellStyle name="20% - Accent1 3 2 4 5 3 2" xfId="55344"/>
    <cellStyle name="20% - Accent1 3 2 4 5 4" xfId="19616"/>
    <cellStyle name="20% - Accent1 3 2 4 5 4 2" xfId="55345"/>
    <cellStyle name="20% - Accent1 3 2 4 5 5" xfId="33231"/>
    <cellStyle name="20% - Accent1 3 2 4 6" xfId="13822"/>
    <cellStyle name="20% - Accent1 3 2 4 6 2" xfId="25623"/>
    <cellStyle name="20% - Accent1 3 2 4 6 2 2" xfId="55346"/>
    <cellStyle name="20% - Accent1 3 2 4 6 3" xfId="39238"/>
    <cellStyle name="20% - Accent1 3 2 4 7" xfId="5915"/>
    <cellStyle name="20% - Accent1 3 2 4 7 2" xfId="55347"/>
    <cellStyle name="20% - Accent1 3 2 4 8" xfId="17716"/>
    <cellStyle name="20% - Accent1 3 2 4 8 2" xfId="55348"/>
    <cellStyle name="20% - Accent1 3 2 4 9" xfId="31331"/>
    <cellStyle name="20% - Accent1 3 2 5" xfId="275"/>
    <cellStyle name="20% - Accent1 3 2 5 2" xfId="1437"/>
    <cellStyle name="20% - Accent1 3 2 5 2 2" xfId="4585"/>
    <cellStyle name="20% - Accent1 3 2 5 2 2 2" xfId="13823"/>
    <cellStyle name="20% - Accent1 3 2 5 2 2 2 2" xfId="25624"/>
    <cellStyle name="20% - Accent1 3 2 5 2 2 2 2 2" xfId="55349"/>
    <cellStyle name="20% - Accent1 3 2 5 2 2 2 3" xfId="39239"/>
    <cellStyle name="20% - Accent1 3 2 5 2 2 3" xfId="10038"/>
    <cellStyle name="20% - Accent1 3 2 5 2 2 3 2" xfId="45716"/>
    <cellStyle name="20% - Accent1 3 2 5 2 2 4" xfId="21839"/>
    <cellStyle name="20% - Accent1 3 2 5 2 2 4 2" xfId="55350"/>
    <cellStyle name="20% - Accent1 3 2 5 2 2 5" xfId="35454"/>
    <cellStyle name="20% - Accent1 3 2 5 2 3" xfId="2744"/>
    <cellStyle name="20% - Accent1 3 2 5 2 3 2" xfId="13824"/>
    <cellStyle name="20% - Accent1 3 2 5 2 3 2 2" xfId="25625"/>
    <cellStyle name="20% - Accent1 3 2 5 2 3 2 2 2" xfId="55351"/>
    <cellStyle name="20% - Accent1 3 2 5 2 3 2 3" xfId="39240"/>
    <cellStyle name="20% - Accent1 3 2 5 2 3 3" xfId="8197"/>
    <cellStyle name="20% - Accent1 3 2 5 2 3 3 2" xfId="45717"/>
    <cellStyle name="20% - Accent1 3 2 5 2 3 4" xfId="19998"/>
    <cellStyle name="20% - Accent1 3 2 5 2 3 4 2" xfId="55352"/>
    <cellStyle name="20% - Accent1 3 2 5 2 3 5" xfId="33613"/>
    <cellStyle name="20% - Accent1 3 2 5 2 4" xfId="13825"/>
    <cellStyle name="20% - Accent1 3 2 5 2 4 2" xfId="25626"/>
    <cellStyle name="20% - Accent1 3 2 5 2 4 2 2" xfId="55353"/>
    <cellStyle name="20% - Accent1 3 2 5 2 4 3" xfId="39241"/>
    <cellStyle name="20% - Accent1 3 2 5 2 5" xfId="6891"/>
    <cellStyle name="20% - Accent1 3 2 5 2 5 2" xfId="45718"/>
    <cellStyle name="20% - Accent1 3 2 5 2 6" xfId="18692"/>
    <cellStyle name="20% - Accent1 3 2 5 2 6 2" xfId="55354"/>
    <cellStyle name="20% - Accent1 3 2 5 2 7" xfId="32307"/>
    <cellStyle name="20% - Accent1 3 2 5 3" xfId="3312"/>
    <cellStyle name="20% - Accent1 3 2 5 3 2" xfId="5153"/>
    <cellStyle name="20% - Accent1 3 2 5 3 2 2" xfId="16623"/>
    <cellStyle name="20% - Accent1 3 2 5 3 2 2 2" xfId="28424"/>
    <cellStyle name="20% - Accent1 3 2 5 3 2 2 2 2" xfId="55355"/>
    <cellStyle name="20% - Accent1 3 2 5 3 2 2 3" xfId="42039"/>
    <cellStyle name="20% - Accent1 3 2 5 3 2 3" xfId="10606"/>
    <cellStyle name="20% - Accent1 3 2 5 3 2 3 2" xfId="55356"/>
    <cellStyle name="20% - Accent1 3 2 5 3 2 4" xfId="22407"/>
    <cellStyle name="20% - Accent1 3 2 5 3 2 4 2" xfId="55357"/>
    <cellStyle name="20% - Accent1 3 2 5 3 2 5" xfId="36022"/>
    <cellStyle name="20% - Accent1 3 2 5 3 3" xfId="13826"/>
    <cellStyle name="20% - Accent1 3 2 5 3 3 2" xfId="25627"/>
    <cellStyle name="20% - Accent1 3 2 5 3 3 2 2" xfId="55358"/>
    <cellStyle name="20% - Accent1 3 2 5 3 3 3" xfId="39242"/>
    <cellStyle name="20% - Accent1 3 2 5 3 4" xfId="8765"/>
    <cellStyle name="20% - Accent1 3 2 5 3 4 2" xfId="55359"/>
    <cellStyle name="20% - Accent1 3 2 5 3 5" xfId="20566"/>
    <cellStyle name="20% - Accent1 3 2 5 3 5 2" xfId="55360"/>
    <cellStyle name="20% - Accent1 3 2 5 3 6" xfId="34181"/>
    <cellStyle name="20% - Accent1 3 2 5 4" xfId="4017"/>
    <cellStyle name="20% - Accent1 3 2 5 4 2" xfId="13827"/>
    <cellStyle name="20% - Accent1 3 2 5 4 2 2" xfId="25628"/>
    <cellStyle name="20% - Accent1 3 2 5 4 2 2 2" xfId="55361"/>
    <cellStyle name="20% - Accent1 3 2 5 4 2 3" xfId="39243"/>
    <cellStyle name="20% - Accent1 3 2 5 4 3" xfId="9470"/>
    <cellStyle name="20% - Accent1 3 2 5 4 3 2" xfId="45719"/>
    <cellStyle name="20% - Accent1 3 2 5 4 4" xfId="21271"/>
    <cellStyle name="20% - Accent1 3 2 5 4 4 2" xfId="55362"/>
    <cellStyle name="20% - Accent1 3 2 5 4 5" xfId="34886"/>
    <cellStyle name="20% - Accent1 3 2 5 5" xfId="2176"/>
    <cellStyle name="20% - Accent1 3 2 5 5 2" xfId="17093"/>
    <cellStyle name="20% - Accent1 3 2 5 5 2 2" xfId="28894"/>
    <cellStyle name="20% - Accent1 3 2 5 5 2 2 2" xfId="55363"/>
    <cellStyle name="20% - Accent1 3 2 5 5 2 3" xfId="42509"/>
    <cellStyle name="20% - Accent1 3 2 5 5 3" xfId="7629"/>
    <cellStyle name="20% - Accent1 3 2 5 5 3 2" xfId="55364"/>
    <cellStyle name="20% - Accent1 3 2 5 5 4" xfId="19430"/>
    <cellStyle name="20% - Accent1 3 2 5 5 4 2" xfId="55365"/>
    <cellStyle name="20% - Accent1 3 2 5 5 5" xfId="33045"/>
    <cellStyle name="20% - Accent1 3 2 5 6" xfId="13828"/>
    <cellStyle name="20% - Accent1 3 2 5 6 2" xfId="25629"/>
    <cellStyle name="20% - Accent1 3 2 5 6 2 2" xfId="55366"/>
    <cellStyle name="20% - Accent1 3 2 5 6 3" xfId="39244"/>
    <cellStyle name="20% - Accent1 3 2 5 7" xfId="5729"/>
    <cellStyle name="20% - Accent1 3 2 5 7 2" xfId="55367"/>
    <cellStyle name="20% - Accent1 3 2 5 8" xfId="17530"/>
    <cellStyle name="20% - Accent1 3 2 5 8 2" xfId="55368"/>
    <cellStyle name="20% - Accent1 3 2 5 9" xfId="31145"/>
    <cellStyle name="20% - Accent1 3 2 6" xfId="602"/>
    <cellStyle name="20% - Accent1 3 2 6 2" xfId="1438"/>
    <cellStyle name="20% - Accent1 3 2 6 2 2" xfId="4344"/>
    <cellStyle name="20% - Accent1 3 2 6 2 2 2" xfId="13829"/>
    <cellStyle name="20% - Accent1 3 2 6 2 2 2 2" xfId="25630"/>
    <cellStyle name="20% - Accent1 3 2 6 2 2 2 2 2" xfId="55369"/>
    <cellStyle name="20% - Accent1 3 2 6 2 2 2 3" xfId="39245"/>
    <cellStyle name="20% - Accent1 3 2 6 2 2 3" xfId="9797"/>
    <cellStyle name="20% - Accent1 3 2 6 2 2 3 2" xfId="45720"/>
    <cellStyle name="20% - Accent1 3 2 6 2 2 4" xfId="21598"/>
    <cellStyle name="20% - Accent1 3 2 6 2 2 4 2" xfId="55370"/>
    <cellStyle name="20% - Accent1 3 2 6 2 2 5" xfId="35213"/>
    <cellStyle name="20% - Accent1 3 2 6 2 3" xfId="13830"/>
    <cellStyle name="20% - Accent1 3 2 6 2 3 2" xfId="25631"/>
    <cellStyle name="20% - Accent1 3 2 6 2 3 2 2" xfId="45721"/>
    <cellStyle name="20% - Accent1 3 2 6 2 3 3" xfId="29985"/>
    <cellStyle name="20% - Accent1 3 2 6 2 3 3 2" xfId="45722"/>
    <cellStyle name="20% - Accent1 3 2 6 2 3 4" xfId="29986"/>
    <cellStyle name="20% - Accent1 3 2 6 2 3 4 2" xfId="55371"/>
    <cellStyle name="20% - Accent1 3 2 6 2 3 5" xfId="39246"/>
    <cellStyle name="20% - Accent1 3 2 6 2 4" xfId="13831"/>
    <cellStyle name="20% - Accent1 3 2 6 2 4 2" xfId="25632"/>
    <cellStyle name="20% - Accent1 3 2 6 2 4 2 2" xfId="55372"/>
    <cellStyle name="20% - Accent1 3 2 6 2 4 3" xfId="39247"/>
    <cellStyle name="20% - Accent1 3 2 6 2 5" xfId="6892"/>
    <cellStyle name="20% - Accent1 3 2 6 2 5 2" xfId="45723"/>
    <cellStyle name="20% - Accent1 3 2 6 2 6" xfId="18693"/>
    <cellStyle name="20% - Accent1 3 2 6 2 6 2" xfId="55373"/>
    <cellStyle name="20% - Accent1 3 2 6 2 7" xfId="32308"/>
    <cellStyle name="20% - Accent1 3 2 6 3" xfId="2503"/>
    <cellStyle name="20% - Accent1 3 2 6 3 2" xfId="13832"/>
    <cellStyle name="20% - Accent1 3 2 6 3 2 2" xfId="25633"/>
    <cellStyle name="20% - Accent1 3 2 6 3 2 2 2" xfId="55374"/>
    <cellStyle name="20% - Accent1 3 2 6 3 2 3" xfId="39248"/>
    <cellStyle name="20% - Accent1 3 2 6 3 3" xfId="7956"/>
    <cellStyle name="20% - Accent1 3 2 6 3 3 2" xfId="45724"/>
    <cellStyle name="20% - Accent1 3 2 6 3 4" xfId="19757"/>
    <cellStyle name="20% - Accent1 3 2 6 3 4 2" xfId="55375"/>
    <cellStyle name="20% - Accent1 3 2 6 3 5" xfId="33372"/>
    <cellStyle name="20% - Accent1 3 2 6 4" xfId="13833"/>
    <cellStyle name="20% - Accent1 3 2 6 4 2" xfId="25634"/>
    <cellStyle name="20% - Accent1 3 2 6 4 2 2" xfId="45725"/>
    <cellStyle name="20% - Accent1 3 2 6 4 3" xfId="29987"/>
    <cellStyle name="20% - Accent1 3 2 6 4 3 2" xfId="45726"/>
    <cellStyle name="20% - Accent1 3 2 6 4 4" xfId="29988"/>
    <cellStyle name="20% - Accent1 3 2 6 4 4 2" xfId="55376"/>
    <cellStyle name="20% - Accent1 3 2 6 4 5" xfId="39249"/>
    <cellStyle name="20% - Accent1 3 2 6 5" xfId="13834"/>
    <cellStyle name="20% - Accent1 3 2 6 5 2" xfId="25635"/>
    <cellStyle name="20% - Accent1 3 2 6 5 2 2" xfId="55377"/>
    <cellStyle name="20% - Accent1 3 2 6 5 3" xfId="39250"/>
    <cellStyle name="20% - Accent1 3 2 6 6" xfId="6056"/>
    <cellStyle name="20% - Accent1 3 2 6 6 2" xfId="45727"/>
    <cellStyle name="20% - Accent1 3 2 6 7" xfId="17857"/>
    <cellStyle name="20% - Accent1 3 2 6 7 2" xfId="55378"/>
    <cellStyle name="20% - Accent1 3 2 6 8" xfId="31472"/>
    <cellStyle name="20% - Accent1 3 2 7" xfId="843"/>
    <cellStyle name="20% - Accent1 3 2 7 2" xfId="1439"/>
    <cellStyle name="20% - Accent1 3 2 7 2 2" xfId="4912"/>
    <cellStyle name="20% - Accent1 3 2 7 2 2 2" xfId="13835"/>
    <cellStyle name="20% - Accent1 3 2 7 2 2 2 2" xfId="25636"/>
    <cellStyle name="20% - Accent1 3 2 7 2 2 2 2 2" xfId="55379"/>
    <cellStyle name="20% - Accent1 3 2 7 2 2 2 3" xfId="39251"/>
    <cellStyle name="20% - Accent1 3 2 7 2 2 3" xfId="10365"/>
    <cellStyle name="20% - Accent1 3 2 7 2 2 3 2" xfId="45728"/>
    <cellStyle name="20% - Accent1 3 2 7 2 2 4" xfId="22166"/>
    <cellStyle name="20% - Accent1 3 2 7 2 2 4 2" xfId="55380"/>
    <cellStyle name="20% - Accent1 3 2 7 2 2 5" xfId="35781"/>
    <cellStyle name="20% - Accent1 3 2 7 2 3" xfId="13836"/>
    <cellStyle name="20% - Accent1 3 2 7 2 3 2" xfId="25637"/>
    <cellStyle name="20% - Accent1 3 2 7 2 3 2 2" xfId="45729"/>
    <cellStyle name="20% - Accent1 3 2 7 2 3 3" xfId="29989"/>
    <cellStyle name="20% - Accent1 3 2 7 2 3 3 2" xfId="45730"/>
    <cellStyle name="20% - Accent1 3 2 7 2 3 4" xfId="29990"/>
    <cellStyle name="20% - Accent1 3 2 7 2 3 4 2" xfId="55381"/>
    <cellStyle name="20% - Accent1 3 2 7 2 3 5" xfId="39252"/>
    <cellStyle name="20% - Accent1 3 2 7 2 4" xfId="13837"/>
    <cellStyle name="20% - Accent1 3 2 7 2 4 2" xfId="25638"/>
    <cellStyle name="20% - Accent1 3 2 7 2 4 2 2" xfId="55382"/>
    <cellStyle name="20% - Accent1 3 2 7 2 4 3" xfId="39253"/>
    <cellStyle name="20% - Accent1 3 2 7 2 5" xfId="6893"/>
    <cellStyle name="20% - Accent1 3 2 7 2 5 2" xfId="45731"/>
    <cellStyle name="20% - Accent1 3 2 7 2 6" xfId="18694"/>
    <cellStyle name="20% - Accent1 3 2 7 2 6 2" xfId="55383"/>
    <cellStyle name="20% - Accent1 3 2 7 2 7" xfId="32309"/>
    <cellStyle name="20% - Accent1 3 2 7 3" xfId="3071"/>
    <cellStyle name="20% - Accent1 3 2 7 3 2" xfId="13838"/>
    <cellStyle name="20% - Accent1 3 2 7 3 2 2" xfId="25639"/>
    <cellStyle name="20% - Accent1 3 2 7 3 2 2 2" xfId="55384"/>
    <cellStyle name="20% - Accent1 3 2 7 3 2 3" xfId="39254"/>
    <cellStyle name="20% - Accent1 3 2 7 3 3" xfId="8524"/>
    <cellStyle name="20% - Accent1 3 2 7 3 3 2" xfId="45732"/>
    <cellStyle name="20% - Accent1 3 2 7 3 4" xfId="20325"/>
    <cellStyle name="20% - Accent1 3 2 7 3 4 2" xfId="55385"/>
    <cellStyle name="20% - Accent1 3 2 7 3 5" xfId="33940"/>
    <cellStyle name="20% - Accent1 3 2 7 4" xfId="13839"/>
    <cellStyle name="20% - Accent1 3 2 7 4 2" xfId="25640"/>
    <cellStyle name="20% - Accent1 3 2 7 4 2 2" xfId="45733"/>
    <cellStyle name="20% - Accent1 3 2 7 4 3" xfId="29991"/>
    <cellStyle name="20% - Accent1 3 2 7 4 3 2" xfId="45734"/>
    <cellStyle name="20% - Accent1 3 2 7 4 4" xfId="29992"/>
    <cellStyle name="20% - Accent1 3 2 7 4 4 2" xfId="55386"/>
    <cellStyle name="20% - Accent1 3 2 7 4 5" xfId="39255"/>
    <cellStyle name="20% - Accent1 3 2 7 5" xfId="13840"/>
    <cellStyle name="20% - Accent1 3 2 7 5 2" xfId="25641"/>
    <cellStyle name="20% - Accent1 3 2 7 5 2 2" xfId="55387"/>
    <cellStyle name="20% - Accent1 3 2 7 5 3" xfId="39256"/>
    <cellStyle name="20% - Accent1 3 2 7 6" xfId="6297"/>
    <cellStyle name="20% - Accent1 3 2 7 6 2" xfId="45735"/>
    <cellStyle name="20% - Accent1 3 2 7 7" xfId="18098"/>
    <cellStyle name="20% - Accent1 3 2 7 7 2" xfId="55388"/>
    <cellStyle name="20% - Accent1 3 2 7 8" xfId="31713"/>
    <cellStyle name="20% - Accent1 3 2 8" xfId="1440"/>
    <cellStyle name="20% - Accent1 3 2 8 2" xfId="3776"/>
    <cellStyle name="20% - Accent1 3 2 8 2 2" xfId="13841"/>
    <cellStyle name="20% - Accent1 3 2 8 2 2 2" xfId="25642"/>
    <cellStyle name="20% - Accent1 3 2 8 2 2 2 2" xfId="55389"/>
    <cellStyle name="20% - Accent1 3 2 8 2 2 3" xfId="39257"/>
    <cellStyle name="20% - Accent1 3 2 8 2 3" xfId="9229"/>
    <cellStyle name="20% - Accent1 3 2 8 2 3 2" xfId="45736"/>
    <cellStyle name="20% - Accent1 3 2 8 2 4" xfId="21030"/>
    <cellStyle name="20% - Accent1 3 2 8 2 4 2" xfId="55390"/>
    <cellStyle name="20% - Accent1 3 2 8 2 5" xfId="34645"/>
    <cellStyle name="20% - Accent1 3 2 8 3" xfId="13842"/>
    <cellStyle name="20% - Accent1 3 2 8 3 2" xfId="25643"/>
    <cellStyle name="20% - Accent1 3 2 8 3 2 2" xfId="45737"/>
    <cellStyle name="20% - Accent1 3 2 8 3 3" xfId="29993"/>
    <cellStyle name="20% - Accent1 3 2 8 3 3 2" xfId="45738"/>
    <cellStyle name="20% - Accent1 3 2 8 3 4" xfId="29994"/>
    <cellStyle name="20% - Accent1 3 2 8 3 4 2" xfId="55391"/>
    <cellStyle name="20% - Accent1 3 2 8 3 5" xfId="39258"/>
    <cellStyle name="20% - Accent1 3 2 8 4" xfId="13843"/>
    <cellStyle name="20% - Accent1 3 2 8 4 2" xfId="25644"/>
    <cellStyle name="20% - Accent1 3 2 8 4 2 2" xfId="55392"/>
    <cellStyle name="20% - Accent1 3 2 8 4 3" xfId="39259"/>
    <cellStyle name="20% - Accent1 3 2 8 5" xfId="6894"/>
    <cellStyle name="20% - Accent1 3 2 8 5 2" xfId="45739"/>
    <cellStyle name="20% - Accent1 3 2 8 6" xfId="18695"/>
    <cellStyle name="20% - Accent1 3 2 8 6 2" xfId="55393"/>
    <cellStyle name="20% - Accent1 3 2 8 7" xfId="32310"/>
    <cellStyle name="20% - Accent1 3 2 9" xfId="3639"/>
    <cellStyle name="20% - Accent1 3 2 9 2" xfId="13844"/>
    <cellStyle name="20% - Accent1 3 2 9 2 2" xfId="25645"/>
    <cellStyle name="20% - Accent1 3 2 9 2 2 2" xfId="55394"/>
    <cellStyle name="20% - Accent1 3 2 9 2 3" xfId="39260"/>
    <cellStyle name="20% - Accent1 3 2 9 3" xfId="9092"/>
    <cellStyle name="20% - Accent1 3 2 9 3 2" xfId="45740"/>
    <cellStyle name="20% - Accent1 3 2 9 4" xfId="20893"/>
    <cellStyle name="20% - Accent1 3 2 9 4 2" xfId="55395"/>
    <cellStyle name="20% - Accent1 3 2 9 5" xfId="34508"/>
    <cellStyle name="20% - Accent1 3 3" xfId="45"/>
    <cellStyle name="20% - Accent1 3 3 10" xfId="1946"/>
    <cellStyle name="20% - Accent1 3 3 10 2" xfId="13845"/>
    <cellStyle name="20% - Accent1 3 3 10 2 2" xfId="25646"/>
    <cellStyle name="20% - Accent1 3 3 10 2 2 2" xfId="55396"/>
    <cellStyle name="20% - Accent1 3 3 10 2 3" xfId="39261"/>
    <cellStyle name="20% - Accent1 3 3 10 3" xfId="7399"/>
    <cellStyle name="20% - Accent1 3 3 10 3 2" xfId="45741"/>
    <cellStyle name="20% - Accent1 3 3 10 4" xfId="19200"/>
    <cellStyle name="20% - Accent1 3 3 10 4 2" xfId="55397"/>
    <cellStyle name="20% - Accent1 3 3 10 5" xfId="32815"/>
    <cellStyle name="20% - Accent1 3 3 11" xfId="13846"/>
    <cellStyle name="20% - Accent1 3 3 11 2" xfId="25647"/>
    <cellStyle name="20% - Accent1 3 3 11 2 2" xfId="55398"/>
    <cellStyle name="20% - Accent1 3 3 11 3" xfId="39262"/>
    <cellStyle name="20% - Accent1 3 3 12" xfId="5499"/>
    <cellStyle name="20% - Accent1 3 3 12 2" xfId="45742"/>
    <cellStyle name="20% - Accent1 3 3 13" xfId="17300"/>
    <cellStyle name="20% - Accent1 3 3 13 2" xfId="55399"/>
    <cellStyle name="20% - Accent1 3 3 14" xfId="30915"/>
    <cellStyle name="20% - Accent1 3 3 2" xfId="112"/>
    <cellStyle name="20% - Accent1 3 3 2 10" xfId="5566"/>
    <cellStyle name="20% - Accent1 3 3 2 10 2" xfId="45743"/>
    <cellStyle name="20% - Accent1 3 3 2 11" xfId="17367"/>
    <cellStyle name="20% - Accent1 3 3 2 11 2" xfId="55400"/>
    <cellStyle name="20% - Accent1 3 3 2 12" xfId="30982"/>
    <cellStyle name="20% - Accent1 3 3 2 2" xfId="216"/>
    <cellStyle name="20% - Accent1 3 3 2 2 10" xfId="31086"/>
    <cellStyle name="20% - Accent1 3 3 2 2 2" xfId="539"/>
    <cellStyle name="20% - Accent1 3 3 2 2 2 2" xfId="1441"/>
    <cellStyle name="20% - Accent1 3 3 2 2 2 2 2" xfId="4849"/>
    <cellStyle name="20% - Accent1 3 3 2 2 2 2 2 2" xfId="13847"/>
    <cellStyle name="20% - Accent1 3 3 2 2 2 2 2 2 2" xfId="25648"/>
    <cellStyle name="20% - Accent1 3 3 2 2 2 2 2 2 2 2" xfId="55401"/>
    <cellStyle name="20% - Accent1 3 3 2 2 2 2 2 2 3" xfId="39263"/>
    <cellStyle name="20% - Accent1 3 3 2 2 2 2 2 3" xfId="10302"/>
    <cellStyle name="20% - Accent1 3 3 2 2 2 2 2 3 2" xfId="45744"/>
    <cellStyle name="20% - Accent1 3 3 2 2 2 2 2 4" xfId="22103"/>
    <cellStyle name="20% - Accent1 3 3 2 2 2 2 2 4 2" xfId="55402"/>
    <cellStyle name="20% - Accent1 3 3 2 2 2 2 2 5" xfId="35718"/>
    <cellStyle name="20% - Accent1 3 3 2 2 2 2 3" xfId="3008"/>
    <cellStyle name="20% - Accent1 3 3 2 2 2 2 3 2" xfId="13848"/>
    <cellStyle name="20% - Accent1 3 3 2 2 2 2 3 2 2" xfId="25649"/>
    <cellStyle name="20% - Accent1 3 3 2 2 2 2 3 2 2 2" xfId="55403"/>
    <cellStyle name="20% - Accent1 3 3 2 2 2 2 3 2 3" xfId="39264"/>
    <cellStyle name="20% - Accent1 3 3 2 2 2 2 3 3" xfId="8461"/>
    <cellStyle name="20% - Accent1 3 3 2 2 2 2 3 3 2" xfId="45745"/>
    <cellStyle name="20% - Accent1 3 3 2 2 2 2 3 4" xfId="20262"/>
    <cellStyle name="20% - Accent1 3 3 2 2 2 2 3 4 2" xfId="55404"/>
    <cellStyle name="20% - Accent1 3 3 2 2 2 2 3 5" xfId="33877"/>
    <cellStyle name="20% - Accent1 3 3 2 2 2 2 4" xfId="13849"/>
    <cellStyle name="20% - Accent1 3 3 2 2 2 2 4 2" xfId="25650"/>
    <cellStyle name="20% - Accent1 3 3 2 2 2 2 4 2 2" xfId="55405"/>
    <cellStyle name="20% - Accent1 3 3 2 2 2 2 4 3" xfId="39265"/>
    <cellStyle name="20% - Accent1 3 3 2 2 2 2 5" xfId="6895"/>
    <cellStyle name="20% - Accent1 3 3 2 2 2 2 5 2" xfId="45746"/>
    <cellStyle name="20% - Accent1 3 3 2 2 2 2 6" xfId="18696"/>
    <cellStyle name="20% - Accent1 3 3 2 2 2 2 6 2" xfId="55406"/>
    <cellStyle name="20% - Accent1 3 3 2 2 2 2 7" xfId="32311"/>
    <cellStyle name="20% - Accent1 3 3 2 2 2 3" xfId="3576"/>
    <cellStyle name="20% - Accent1 3 3 2 2 2 3 2" xfId="5417"/>
    <cellStyle name="20% - Accent1 3 3 2 2 2 3 2 2" xfId="16887"/>
    <cellStyle name="20% - Accent1 3 3 2 2 2 3 2 2 2" xfId="28688"/>
    <cellStyle name="20% - Accent1 3 3 2 2 2 3 2 2 2 2" xfId="55407"/>
    <cellStyle name="20% - Accent1 3 3 2 2 2 3 2 2 3" xfId="42303"/>
    <cellStyle name="20% - Accent1 3 3 2 2 2 3 2 3" xfId="10870"/>
    <cellStyle name="20% - Accent1 3 3 2 2 2 3 2 3 2" xfId="55408"/>
    <cellStyle name="20% - Accent1 3 3 2 2 2 3 2 4" xfId="22671"/>
    <cellStyle name="20% - Accent1 3 3 2 2 2 3 2 4 2" xfId="55409"/>
    <cellStyle name="20% - Accent1 3 3 2 2 2 3 2 5" xfId="36286"/>
    <cellStyle name="20% - Accent1 3 3 2 2 2 3 3" xfId="13850"/>
    <cellStyle name="20% - Accent1 3 3 2 2 2 3 3 2" xfId="25651"/>
    <cellStyle name="20% - Accent1 3 3 2 2 2 3 3 2 2" xfId="55410"/>
    <cellStyle name="20% - Accent1 3 3 2 2 2 3 3 3" xfId="39266"/>
    <cellStyle name="20% - Accent1 3 3 2 2 2 3 4" xfId="9029"/>
    <cellStyle name="20% - Accent1 3 3 2 2 2 3 4 2" xfId="55411"/>
    <cellStyle name="20% - Accent1 3 3 2 2 2 3 5" xfId="20830"/>
    <cellStyle name="20% - Accent1 3 3 2 2 2 3 5 2" xfId="55412"/>
    <cellStyle name="20% - Accent1 3 3 2 2 2 3 6" xfId="34445"/>
    <cellStyle name="20% - Accent1 3 3 2 2 2 4" xfId="4281"/>
    <cellStyle name="20% - Accent1 3 3 2 2 2 4 2" xfId="13851"/>
    <cellStyle name="20% - Accent1 3 3 2 2 2 4 2 2" xfId="25652"/>
    <cellStyle name="20% - Accent1 3 3 2 2 2 4 2 2 2" xfId="55413"/>
    <cellStyle name="20% - Accent1 3 3 2 2 2 4 2 3" xfId="39267"/>
    <cellStyle name="20% - Accent1 3 3 2 2 2 4 3" xfId="9734"/>
    <cellStyle name="20% - Accent1 3 3 2 2 2 4 3 2" xfId="45747"/>
    <cellStyle name="20% - Accent1 3 3 2 2 2 4 4" xfId="21535"/>
    <cellStyle name="20% - Accent1 3 3 2 2 2 4 4 2" xfId="55414"/>
    <cellStyle name="20% - Accent1 3 3 2 2 2 4 5" xfId="35150"/>
    <cellStyle name="20% - Accent1 3 3 2 2 2 5" xfId="2440"/>
    <cellStyle name="20% - Accent1 3 3 2 2 2 5 2" xfId="17094"/>
    <cellStyle name="20% - Accent1 3 3 2 2 2 5 2 2" xfId="28895"/>
    <cellStyle name="20% - Accent1 3 3 2 2 2 5 2 2 2" xfId="55415"/>
    <cellStyle name="20% - Accent1 3 3 2 2 2 5 2 3" xfId="42510"/>
    <cellStyle name="20% - Accent1 3 3 2 2 2 5 3" xfId="7893"/>
    <cellStyle name="20% - Accent1 3 3 2 2 2 5 3 2" xfId="55416"/>
    <cellStyle name="20% - Accent1 3 3 2 2 2 5 4" xfId="19694"/>
    <cellStyle name="20% - Accent1 3 3 2 2 2 5 4 2" xfId="55417"/>
    <cellStyle name="20% - Accent1 3 3 2 2 2 5 5" xfId="33309"/>
    <cellStyle name="20% - Accent1 3 3 2 2 2 6" xfId="13852"/>
    <cellStyle name="20% - Accent1 3 3 2 2 2 6 2" xfId="25653"/>
    <cellStyle name="20% - Accent1 3 3 2 2 2 6 2 2" xfId="55418"/>
    <cellStyle name="20% - Accent1 3 3 2 2 2 6 3" xfId="39268"/>
    <cellStyle name="20% - Accent1 3 3 2 2 2 7" xfId="5993"/>
    <cellStyle name="20% - Accent1 3 3 2 2 2 7 2" xfId="55419"/>
    <cellStyle name="20% - Accent1 3 3 2 2 2 8" xfId="17794"/>
    <cellStyle name="20% - Accent1 3 3 2 2 2 8 2" xfId="55420"/>
    <cellStyle name="20% - Accent1 3 3 2 2 2 9" xfId="31409"/>
    <cellStyle name="20% - Accent1 3 3 2 2 3" xfId="784"/>
    <cellStyle name="20% - Accent1 3 3 2 2 3 2" xfId="1442"/>
    <cellStyle name="20% - Accent1 3 3 2 2 3 2 2" xfId="4526"/>
    <cellStyle name="20% - Accent1 3 3 2 2 3 2 2 2" xfId="13853"/>
    <cellStyle name="20% - Accent1 3 3 2 2 3 2 2 2 2" xfId="25654"/>
    <cellStyle name="20% - Accent1 3 3 2 2 3 2 2 2 2 2" xfId="55421"/>
    <cellStyle name="20% - Accent1 3 3 2 2 3 2 2 2 3" xfId="39269"/>
    <cellStyle name="20% - Accent1 3 3 2 2 3 2 2 3" xfId="9979"/>
    <cellStyle name="20% - Accent1 3 3 2 2 3 2 2 3 2" xfId="45748"/>
    <cellStyle name="20% - Accent1 3 3 2 2 3 2 2 4" xfId="21780"/>
    <cellStyle name="20% - Accent1 3 3 2 2 3 2 2 4 2" xfId="55422"/>
    <cellStyle name="20% - Accent1 3 3 2 2 3 2 2 5" xfId="35395"/>
    <cellStyle name="20% - Accent1 3 3 2 2 3 2 3" xfId="13854"/>
    <cellStyle name="20% - Accent1 3 3 2 2 3 2 3 2" xfId="25655"/>
    <cellStyle name="20% - Accent1 3 3 2 2 3 2 3 2 2" xfId="45749"/>
    <cellStyle name="20% - Accent1 3 3 2 2 3 2 3 3" xfId="29995"/>
    <cellStyle name="20% - Accent1 3 3 2 2 3 2 3 3 2" xfId="45750"/>
    <cellStyle name="20% - Accent1 3 3 2 2 3 2 3 4" xfId="29996"/>
    <cellStyle name="20% - Accent1 3 3 2 2 3 2 3 4 2" xfId="55423"/>
    <cellStyle name="20% - Accent1 3 3 2 2 3 2 3 5" xfId="39270"/>
    <cellStyle name="20% - Accent1 3 3 2 2 3 2 4" xfId="13855"/>
    <cellStyle name="20% - Accent1 3 3 2 2 3 2 4 2" xfId="25656"/>
    <cellStyle name="20% - Accent1 3 3 2 2 3 2 4 2 2" xfId="55424"/>
    <cellStyle name="20% - Accent1 3 3 2 2 3 2 4 3" xfId="39271"/>
    <cellStyle name="20% - Accent1 3 3 2 2 3 2 5" xfId="6896"/>
    <cellStyle name="20% - Accent1 3 3 2 2 3 2 5 2" xfId="45751"/>
    <cellStyle name="20% - Accent1 3 3 2 2 3 2 6" xfId="18697"/>
    <cellStyle name="20% - Accent1 3 3 2 2 3 2 6 2" xfId="55425"/>
    <cellStyle name="20% - Accent1 3 3 2 2 3 2 7" xfId="32312"/>
    <cellStyle name="20% - Accent1 3 3 2 2 3 3" xfId="2685"/>
    <cellStyle name="20% - Accent1 3 3 2 2 3 3 2" xfId="13856"/>
    <cellStyle name="20% - Accent1 3 3 2 2 3 3 2 2" xfId="25657"/>
    <cellStyle name="20% - Accent1 3 3 2 2 3 3 2 2 2" xfId="55426"/>
    <cellStyle name="20% - Accent1 3 3 2 2 3 3 2 3" xfId="39272"/>
    <cellStyle name="20% - Accent1 3 3 2 2 3 3 3" xfId="8138"/>
    <cellStyle name="20% - Accent1 3 3 2 2 3 3 3 2" xfId="45752"/>
    <cellStyle name="20% - Accent1 3 3 2 2 3 3 4" xfId="19939"/>
    <cellStyle name="20% - Accent1 3 3 2 2 3 3 4 2" xfId="55427"/>
    <cellStyle name="20% - Accent1 3 3 2 2 3 3 5" xfId="33554"/>
    <cellStyle name="20% - Accent1 3 3 2 2 3 4" xfId="13857"/>
    <cellStyle name="20% - Accent1 3 3 2 2 3 4 2" xfId="25658"/>
    <cellStyle name="20% - Accent1 3 3 2 2 3 4 2 2" xfId="45753"/>
    <cellStyle name="20% - Accent1 3 3 2 2 3 4 3" xfId="29997"/>
    <cellStyle name="20% - Accent1 3 3 2 2 3 4 3 2" xfId="45754"/>
    <cellStyle name="20% - Accent1 3 3 2 2 3 4 4" xfId="29998"/>
    <cellStyle name="20% - Accent1 3 3 2 2 3 4 4 2" xfId="55428"/>
    <cellStyle name="20% - Accent1 3 3 2 2 3 4 5" xfId="39273"/>
    <cellStyle name="20% - Accent1 3 3 2 2 3 5" xfId="13858"/>
    <cellStyle name="20% - Accent1 3 3 2 2 3 5 2" xfId="25659"/>
    <cellStyle name="20% - Accent1 3 3 2 2 3 5 2 2" xfId="55429"/>
    <cellStyle name="20% - Accent1 3 3 2 2 3 5 3" xfId="39274"/>
    <cellStyle name="20% - Accent1 3 3 2 2 3 6" xfId="6238"/>
    <cellStyle name="20% - Accent1 3 3 2 2 3 6 2" xfId="45755"/>
    <cellStyle name="20% - Accent1 3 3 2 2 3 7" xfId="18039"/>
    <cellStyle name="20% - Accent1 3 3 2 2 3 7 2" xfId="55430"/>
    <cellStyle name="20% - Accent1 3 3 2 2 3 8" xfId="31654"/>
    <cellStyle name="20% - Accent1 3 3 2 2 4" xfId="1443"/>
    <cellStyle name="20% - Accent1 3 3 2 2 4 2" xfId="5094"/>
    <cellStyle name="20% - Accent1 3 3 2 2 4 2 2" xfId="13859"/>
    <cellStyle name="20% - Accent1 3 3 2 2 4 2 2 2" xfId="25660"/>
    <cellStyle name="20% - Accent1 3 3 2 2 4 2 2 2 2" xfId="55431"/>
    <cellStyle name="20% - Accent1 3 3 2 2 4 2 2 3" xfId="39275"/>
    <cellStyle name="20% - Accent1 3 3 2 2 4 2 3" xfId="10547"/>
    <cellStyle name="20% - Accent1 3 3 2 2 4 2 3 2" xfId="45756"/>
    <cellStyle name="20% - Accent1 3 3 2 2 4 2 4" xfId="22348"/>
    <cellStyle name="20% - Accent1 3 3 2 2 4 2 4 2" xfId="55432"/>
    <cellStyle name="20% - Accent1 3 3 2 2 4 2 5" xfId="35963"/>
    <cellStyle name="20% - Accent1 3 3 2 2 4 3" xfId="3253"/>
    <cellStyle name="20% - Accent1 3 3 2 2 4 3 2" xfId="13860"/>
    <cellStyle name="20% - Accent1 3 3 2 2 4 3 2 2" xfId="25661"/>
    <cellStyle name="20% - Accent1 3 3 2 2 4 3 2 2 2" xfId="55433"/>
    <cellStyle name="20% - Accent1 3 3 2 2 4 3 2 3" xfId="39276"/>
    <cellStyle name="20% - Accent1 3 3 2 2 4 3 3" xfId="8706"/>
    <cellStyle name="20% - Accent1 3 3 2 2 4 3 3 2" xfId="45757"/>
    <cellStyle name="20% - Accent1 3 3 2 2 4 3 4" xfId="20507"/>
    <cellStyle name="20% - Accent1 3 3 2 2 4 3 4 2" xfId="55434"/>
    <cellStyle name="20% - Accent1 3 3 2 2 4 3 5" xfId="34122"/>
    <cellStyle name="20% - Accent1 3 3 2 2 4 4" xfId="13861"/>
    <cellStyle name="20% - Accent1 3 3 2 2 4 4 2" xfId="25662"/>
    <cellStyle name="20% - Accent1 3 3 2 2 4 4 2 2" xfId="55435"/>
    <cellStyle name="20% - Accent1 3 3 2 2 4 4 3" xfId="39277"/>
    <cellStyle name="20% - Accent1 3 3 2 2 4 5" xfId="6897"/>
    <cellStyle name="20% - Accent1 3 3 2 2 4 5 2" xfId="45758"/>
    <cellStyle name="20% - Accent1 3 3 2 2 4 6" xfId="18698"/>
    <cellStyle name="20% - Accent1 3 3 2 2 4 6 2" xfId="55436"/>
    <cellStyle name="20% - Accent1 3 3 2 2 4 7" xfId="32313"/>
    <cellStyle name="20% - Accent1 3 3 2 2 5" xfId="3958"/>
    <cellStyle name="20% - Accent1 3 3 2 2 5 2" xfId="13862"/>
    <cellStyle name="20% - Accent1 3 3 2 2 5 2 2" xfId="25663"/>
    <cellStyle name="20% - Accent1 3 3 2 2 5 2 2 2" xfId="55437"/>
    <cellStyle name="20% - Accent1 3 3 2 2 5 2 3" xfId="39278"/>
    <cellStyle name="20% - Accent1 3 3 2 2 5 3" xfId="9411"/>
    <cellStyle name="20% - Accent1 3 3 2 2 5 3 2" xfId="45759"/>
    <cellStyle name="20% - Accent1 3 3 2 2 5 4" xfId="21212"/>
    <cellStyle name="20% - Accent1 3 3 2 2 5 4 2" xfId="55438"/>
    <cellStyle name="20% - Accent1 3 3 2 2 5 5" xfId="34827"/>
    <cellStyle name="20% - Accent1 3 3 2 2 6" xfId="2117"/>
    <cellStyle name="20% - Accent1 3 3 2 2 6 2" xfId="13863"/>
    <cellStyle name="20% - Accent1 3 3 2 2 6 2 2" xfId="25664"/>
    <cellStyle name="20% - Accent1 3 3 2 2 6 2 2 2" xfId="55439"/>
    <cellStyle name="20% - Accent1 3 3 2 2 6 2 3" xfId="39279"/>
    <cellStyle name="20% - Accent1 3 3 2 2 6 3" xfId="7570"/>
    <cellStyle name="20% - Accent1 3 3 2 2 6 3 2" xfId="45760"/>
    <cellStyle name="20% - Accent1 3 3 2 2 6 4" xfId="19371"/>
    <cellStyle name="20% - Accent1 3 3 2 2 6 4 2" xfId="55440"/>
    <cellStyle name="20% - Accent1 3 3 2 2 6 5" xfId="32986"/>
    <cellStyle name="20% - Accent1 3 3 2 2 7" xfId="13864"/>
    <cellStyle name="20% - Accent1 3 3 2 2 7 2" xfId="25665"/>
    <cellStyle name="20% - Accent1 3 3 2 2 7 2 2" xfId="55441"/>
    <cellStyle name="20% - Accent1 3 3 2 2 7 3" xfId="39280"/>
    <cellStyle name="20% - Accent1 3 3 2 2 8" xfId="5670"/>
    <cellStyle name="20% - Accent1 3 3 2 2 8 2" xfId="45761"/>
    <cellStyle name="20% - Accent1 3 3 2 2 9" xfId="17471"/>
    <cellStyle name="20% - Accent1 3 3 2 2 9 2" xfId="55442"/>
    <cellStyle name="20% - Accent1 3 3 2 3" xfId="402"/>
    <cellStyle name="20% - Accent1 3 3 2 3 2" xfId="1444"/>
    <cellStyle name="20% - Accent1 3 3 2 3 2 2" xfId="4712"/>
    <cellStyle name="20% - Accent1 3 3 2 3 2 2 2" xfId="13865"/>
    <cellStyle name="20% - Accent1 3 3 2 3 2 2 2 2" xfId="25666"/>
    <cellStyle name="20% - Accent1 3 3 2 3 2 2 2 2 2" xfId="55443"/>
    <cellStyle name="20% - Accent1 3 3 2 3 2 2 2 3" xfId="39281"/>
    <cellStyle name="20% - Accent1 3 3 2 3 2 2 3" xfId="10165"/>
    <cellStyle name="20% - Accent1 3 3 2 3 2 2 3 2" xfId="45762"/>
    <cellStyle name="20% - Accent1 3 3 2 3 2 2 4" xfId="21966"/>
    <cellStyle name="20% - Accent1 3 3 2 3 2 2 4 2" xfId="55444"/>
    <cellStyle name="20% - Accent1 3 3 2 3 2 2 5" xfId="35581"/>
    <cellStyle name="20% - Accent1 3 3 2 3 2 3" xfId="2871"/>
    <cellStyle name="20% - Accent1 3 3 2 3 2 3 2" xfId="13866"/>
    <cellStyle name="20% - Accent1 3 3 2 3 2 3 2 2" xfId="25667"/>
    <cellStyle name="20% - Accent1 3 3 2 3 2 3 2 2 2" xfId="55445"/>
    <cellStyle name="20% - Accent1 3 3 2 3 2 3 2 3" xfId="39282"/>
    <cellStyle name="20% - Accent1 3 3 2 3 2 3 3" xfId="8324"/>
    <cellStyle name="20% - Accent1 3 3 2 3 2 3 3 2" xfId="45763"/>
    <cellStyle name="20% - Accent1 3 3 2 3 2 3 4" xfId="20125"/>
    <cellStyle name="20% - Accent1 3 3 2 3 2 3 4 2" xfId="55446"/>
    <cellStyle name="20% - Accent1 3 3 2 3 2 3 5" xfId="33740"/>
    <cellStyle name="20% - Accent1 3 3 2 3 2 4" xfId="13867"/>
    <cellStyle name="20% - Accent1 3 3 2 3 2 4 2" xfId="25668"/>
    <cellStyle name="20% - Accent1 3 3 2 3 2 4 2 2" xfId="55447"/>
    <cellStyle name="20% - Accent1 3 3 2 3 2 4 3" xfId="39283"/>
    <cellStyle name="20% - Accent1 3 3 2 3 2 5" xfId="6898"/>
    <cellStyle name="20% - Accent1 3 3 2 3 2 5 2" xfId="45764"/>
    <cellStyle name="20% - Accent1 3 3 2 3 2 6" xfId="18699"/>
    <cellStyle name="20% - Accent1 3 3 2 3 2 6 2" xfId="55448"/>
    <cellStyle name="20% - Accent1 3 3 2 3 2 7" xfId="32314"/>
    <cellStyle name="20% - Accent1 3 3 2 3 3" xfId="3439"/>
    <cellStyle name="20% - Accent1 3 3 2 3 3 2" xfId="5280"/>
    <cellStyle name="20% - Accent1 3 3 2 3 3 2 2" xfId="16750"/>
    <cellStyle name="20% - Accent1 3 3 2 3 3 2 2 2" xfId="28551"/>
    <cellStyle name="20% - Accent1 3 3 2 3 3 2 2 2 2" xfId="55449"/>
    <cellStyle name="20% - Accent1 3 3 2 3 3 2 2 3" xfId="42166"/>
    <cellStyle name="20% - Accent1 3 3 2 3 3 2 3" xfId="10733"/>
    <cellStyle name="20% - Accent1 3 3 2 3 3 2 3 2" xfId="55450"/>
    <cellStyle name="20% - Accent1 3 3 2 3 3 2 4" xfId="22534"/>
    <cellStyle name="20% - Accent1 3 3 2 3 3 2 4 2" xfId="55451"/>
    <cellStyle name="20% - Accent1 3 3 2 3 3 2 5" xfId="36149"/>
    <cellStyle name="20% - Accent1 3 3 2 3 3 3" xfId="13868"/>
    <cellStyle name="20% - Accent1 3 3 2 3 3 3 2" xfId="25669"/>
    <cellStyle name="20% - Accent1 3 3 2 3 3 3 2 2" xfId="55452"/>
    <cellStyle name="20% - Accent1 3 3 2 3 3 3 3" xfId="39284"/>
    <cellStyle name="20% - Accent1 3 3 2 3 3 4" xfId="8892"/>
    <cellStyle name="20% - Accent1 3 3 2 3 3 4 2" xfId="55453"/>
    <cellStyle name="20% - Accent1 3 3 2 3 3 5" xfId="20693"/>
    <cellStyle name="20% - Accent1 3 3 2 3 3 5 2" xfId="55454"/>
    <cellStyle name="20% - Accent1 3 3 2 3 3 6" xfId="34308"/>
    <cellStyle name="20% - Accent1 3 3 2 3 4" xfId="4144"/>
    <cellStyle name="20% - Accent1 3 3 2 3 4 2" xfId="13869"/>
    <cellStyle name="20% - Accent1 3 3 2 3 4 2 2" xfId="25670"/>
    <cellStyle name="20% - Accent1 3 3 2 3 4 2 2 2" xfId="55455"/>
    <cellStyle name="20% - Accent1 3 3 2 3 4 2 3" xfId="39285"/>
    <cellStyle name="20% - Accent1 3 3 2 3 4 3" xfId="9597"/>
    <cellStyle name="20% - Accent1 3 3 2 3 4 3 2" xfId="45765"/>
    <cellStyle name="20% - Accent1 3 3 2 3 4 4" xfId="21398"/>
    <cellStyle name="20% - Accent1 3 3 2 3 4 4 2" xfId="55456"/>
    <cellStyle name="20% - Accent1 3 3 2 3 4 5" xfId="35013"/>
    <cellStyle name="20% - Accent1 3 3 2 3 5" xfId="2303"/>
    <cellStyle name="20% - Accent1 3 3 2 3 5 2" xfId="17095"/>
    <cellStyle name="20% - Accent1 3 3 2 3 5 2 2" xfId="28896"/>
    <cellStyle name="20% - Accent1 3 3 2 3 5 2 2 2" xfId="55457"/>
    <cellStyle name="20% - Accent1 3 3 2 3 5 2 3" xfId="42511"/>
    <cellStyle name="20% - Accent1 3 3 2 3 5 3" xfId="7756"/>
    <cellStyle name="20% - Accent1 3 3 2 3 5 3 2" xfId="55458"/>
    <cellStyle name="20% - Accent1 3 3 2 3 5 4" xfId="19557"/>
    <cellStyle name="20% - Accent1 3 3 2 3 5 4 2" xfId="55459"/>
    <cellStyle name="20% - Accent1 3 3 2 3 5 5" xfId="33172"/>
    <cellStyle name="20% - Accent1 3 3 2 3 6" xfId="13870"/>
    <cellStyle name="20% - Accent1 3 3 2 3 6 2" xfId="25671"/>
    <cellStyle name="20% - Accent1 3 3 2 3 6 2 2" xfId="55460"/>
    <cellStyle name="20% - Accent1 3 3 2 3 6 3" xfId="39286"/>
    <cellStyle name="20% - Accent1 3 3 2 3 7" xfId="5856"/>
    <cellStyle name="20% - Accent1 3 3 2 3 7 2" xfId="55461"/>
    <cellStyle name="20% - Accent1 3 3 2 3 8" xfId="17657"/>
    <cellStyle name="20% - Accent1 3 3 2 3 8 2" xfId="55462"/>
    <cellStyle name="20% - Accent1 3 3 2 3 9" xfId="31272"/>
    <cellStyle name="20% - Accent1 3 3 2 4" xfId="680"/>
    <cellStyle name="20% - Accent1 3 3 2 4 2" xfId="1445"/>
    <cellStyle name="20% - Accent1 3 3 2 4 2 2" xfId="4422"/>
    <cellStyle name="20% - Accent1 3 3 2 4 2 2 2" xfId="13871"/>
    <cellStyle name="20% - Accent1 3 3 2 4 2 2 2 2" xfId="25672"/>
    <cellStyle name="20% - Accent1 3 3 2 4 2 2 2 2 2" xfId="55463"/>
    <cellStyle name="20% - Accent1 3 3 2 4 2 2 2 3" xfId="39287"/>
    <cellStyle name="20% - Accent1 3 3 2 4 2 2 3" xfId="9875"/>
    <cellStyle name="20% - Accent1 3 3 2 4 2 2 3 2" xfId="45766"/>
    <cellStyle name="20% - Accent1 3 3 2 4 2 2 4" xfId="21676"/>
    <cellStyle name="20% - Accent1 3 3 2 4 2 2 4 2" xfId="55464"/>
    <cellStyle name="20% - Accent1 3 3 2 4 2 2 5" xfId="35291"/>
    <cellStyle name="20% - Accent1 3 3 2 4 2 3" xfId="13872"/>
    <cellStyle name="20% - Accent1 3 3 2 4 2 3 2" xfId="25673"/>
    <cellStyle name="20% - Accent1 3 3 2 4 2 3 2 2" xfId="45767"/>
    <cellStyle name="20% - Accent1 3 3 2 4 2 3 3" xfId="29999"/>
    <cellStyle name="20% - Accent1 3 3 2 4 2 3 3 2" xfId="45768"/>
    <cellStyle name="20% - Accent1 3 3 2 4 2 3 4" xfId="30000"/>
    <cellStyle name="20% - Accent1 3 3 2 4 2 3 4 2" xfId="55465"/>
    <cellStyle name="20% - Accent1 3 3 2 4 2 3 5" xfId="39288"/>
    <cellStyle name="20% - Accent1 3 3 2 4 2 4" xfId="13873"/>
    <cellStyle name="20% - Accent1 3 3 2 4 2 4 2" xfId="25674"/>
    <cellStyle name="20% - Accent1 3 3 2 4 2 4 2 2" xfId="55466"/>
    <cellStyle name="20% - Accent1 3 3 2 4 2 4 3" xfId="39289"/>
    <cellStyle name="20% - Accent1 3 3 2 4 2 5" xfId="6899"/>
    <cellStyle name="20% - Accent1 3 3 2 4 2 5 2" xfId="45769"/>
    <cellStyle name="20% - Accent1 3 3 2 4 2 6" xfId="18700"/>
    <cellStyle name="20% - Accent1 3 3 2 4 2 6 2" xfId="55467"/>
    <cellStyle name="20% - Accent1 3 3 2 4 2 7" xfId="32315"/>
    <cellStyle name="20% - Accent1 3 3 2 4 3" xfId="2581"/>
    <cellStyle name="20% - Accent1 3 3 2 4 3 2" xfId="13874"/>
    <cellStyle name="20% - Accent1 3 3 2 4 3 2 2" xfId="25675"/>
    <cellStyle name="20% - Accent1 3 3 2 4 3 2 2 2" xfId="55468"/>
    <cellStyle name="20% - Accent1 3 3 2 4 3 2 3" xfId="39290"/>
    <cellStyle name="20% - Accent1 3 3 2 4 3 3" xfId="8034"/>
    <cellStyle name="20% - Accent1 3 3 2 4 3 3 2" xfId="45770"/>
    <cellStyle name="20% - Accent1 3 3 2 4 3 4" xfId="19835"/>
    <cellStyle name="20% - Accent1 3 3 2 4 3 4 2" xfId="55469"/>
    <cellStyle name="20% - Accent1 3 3 2 4 3 5" xfId="33450"/>
    <cellStyle name="20% - Accent1 3 3 2 4 4" xfId="13875"/>
    <cellStyle name="20% - Accent1 3 3 2 4 4 2" xfId="25676"/>
    <cellStyle name="20% - Accent1 3 3 2 4 4 2 2" xfId="45771"/>
    <cellStyle name="20% - Accent1 3 3 2 4 4 3" xfId="30001"/>
    <cellStyle name="20% - Accent1 3 3 2 4 4 3 2" xfId="45772"/>
    <cellStyle name="20% - Accent1 3 3 2 4 4 4" xfId="30002"/>
    <cellStyle name="20% - Accent1 3 3 2 4 4 4 2" xfId="55470"/>
    <cellStyle name="20% - Accent1 3 3 2 4 4 5" xfId="39291"/>
    <cellStyle name="20% - Accent1 3 3 2 4 5" xfId="13876"/>
    <cellStyle name="20% - Accent1 3 3 2 4 5 2" xfId="25677"/>
    <cellStyle name="20% - Accent1 3 3 2 4 5 2 2" xfId="55471"/>
    <cellStyle name="20% - Accent1 3 3 2 4 5 3" xfId="39292"/>
    <cellStyle name="20% - Accent1 3 3 2 4 6" xfId="6134"/>
    <cellStyle name="20% - Accent1 3 3 2 4 6 2" xfId="45773"/>
    <cellStyle name="20% - Accent1 3 3 2 4 7" xfId="17935"/>
    <cellStyle name="20% - Accent1 3 3 2 4 7 2" xfId="55472"/>
    <cellStyle name="20% - Accent1 3 3 2 4 8" xfId="31550"/>
    <cellStyle name="20% - Accent1 3 3 2 5" xfId="921"/>
    <cellStyle name="20% - Accent1 3 3 2 5 2" xfId="1446"/>
    <cellStyle name="20% - Accent1 3 3 2 5 2 2" xfId="4990"/>
    <cellStyle name="20% - Accent1 3 3 2 5 2 2 2" xfId="13877"/>
    <cellStyle name="20% - Accent1 3 3 2 5 2 2 2 2" xfId="25678"/>
    <cellStyle name="20% - Accent1 3 3 2 5 2 2 2 2 2" xfId="55473"/>
    <cellStyle name="20% - Accent1 3 3 2 5 2 2 2 3" xfId="39293"/>
    <cellStyle name="20% - Accent1 3 3 2 5 2 2 3" xfId="10443"/>
    <cellStyle name="20% - Accent1 3 3 2 5 2 2 3 2" xfId="45774"/>
    <cellStyle name="20% - Accent1 3 3 2 5 2 2 4" xfId="22244"/>
    <cellStyle name="20% - Accent1 3 3 2 5 2 2 4 2" xfId="55474"/>
    <cellStyle name="20% - Accent1 3 3 2 5 2 2 5" xfId="35859"/>
    <cellStyle name="20% - Accent1 3 3 2 5 2 3" xfId="13878"/>
    <cellStyle name="20% - Accent1 3 3 2 5 2 3 2" xfId="25679"/>
    <cellStyle name="20% - Accent1 3 3 2 5 2 3 2 2" xfId="45775"/>
    <cellStyle name="20% - Accent1 3 3 2 5 2 3 3" xfId="30003"/>
    <cellStyle name="20% - Accent1 3 3 2 5 2 3 3 2" xfId="45776"/>
    <cellStyle name="20% - Accent1 3 3 2 5 2 3 4" xfId="30004"/>
    <cellStyle name="20% - Accent1 3 3 2 5 2 3 4 2" xfId="55475"/>
    <cellStyle name="20% - Accent1 3 3 2 5 2 3 5" xfId="39294"/>
    <cellStyle name="20% - Accent1 3 3 2 5 2 4" xfId="13879"/>
    <cellStyle name="20% - Accent1 3 3 2 5 2 4 2" xfId="25680"/>
    <cellStyle name="20% - Accent1 3 3 2 5 2 4 2 2" xfId="55476"/>
    <cellStyle name="20% - Accent1 3 3 2 5 2 4 3" xfId="39295"/>
    <cellStyle name="20% - Accent1 3 3 2 5 2 5" xfId="6900"/>
    <cellStyle name="20% - Accent1 3 3 2 5 2 5 2" xfId="45777"/>
    <cellStyle name="20% - Accent1 3 3 2 5 2 6" xfId="18701"/>
    <cellStyle name="20% - Accent1 3 3 2 5 2 6 2" xfId="55477"/>
    <cellStyle name="20% - Accent1 3 3 2 5 2 7" xfId="32316"/>
    <cellStyle name="20% - Accent1 3 3 2 5 3" xfId="3149"/>
    <cellStyle name="20% - Accent1 3 3 2 5 3 2" xfId="13880"/>
    <cellStyle name="20% - Accent1 3 3 2 5 3 2 2" xfId="25681"/>
    <cellStyle name="20% - Accent1 3 3 2 5 3 2 2 2" xfId="55478"/>
    <cellStyle name="20% - Accent1 3 3 2 5 3 2 3" xfId="39296"/>
    <cellStyle name="20% - Accent1 3 3 2 5 3 3" xfId="8602"/>
    <cellStyle name="20% - Accent1 3 3 2 5 3 3 2" xfId="45778"/>
    <cellStyle name="20% - Accent1 3 3 2 5 3 4" xfId="20403"/>
    <cellStyle name="20% - Accent1 3 3 2 5 3 4 2" xfId="55479"/>
    <cellStyle name="20% - Accent1 3 3 2 5 3 5" xfId="34018"/>
    <cellStyle name="20% - Accent1 3 3 2 5 4" xfId="13881"/>
    <cellStyle name="20% - Accent1 3 3 2 5 4 2" xfId="25682"/>
    <cellStyle name="20% - Accent1 3 3 2 5 4 2 2" xfId="45779"/>
    <cellStyle name="20% - Accent1 3 3 2 5 4 3" xfId="30005"/>
    <cellStyle name="20% - Accent1 3 3 2 5 4 3 2" xfId="45780"/>
    <cellStyle name="20% - Accent1 3 3 2 5 4 4" xfId="30006"/>
    <cellStyle name="20% - Accent1 3 3 2 5 4 4 2" xfId="55480"/>
    <cellStyle name="20% - Accent1 3 3 2 5 4 5" xfId="39297"/>
    <cellStyle name="20% - Accent1 3 3 2 5 5" xfId="13882"/>
    <cellStyle name="20% - Accent1 3 3 2 5 5 2" xfId="25683"/>
    <cellStyle name="20% - Accent1 3 3 2 5 5 2 2" xfId="55481"/>
    <cellStyle name="20% - Accent1 3 3 2 5 5 3" xfId="39298"/>
    <cellStyle name="20% - Accent1 3 3 2 5 6" xfId="6375"/>
    <cellStyle name="20% - Accent1 3 3 2 5 6 2" xfId="45781"/>
    <cellStyle name="20% - Accent1 3 3 2 5 7" xfId="18176"/>
    <cellStyle name="20% - Accent1 3 3 2 5 7 2" xfId="55482"/>
    <cellStyle name="20% - Accent1 3 3 2 5 8" xfId="31791"/>
    <cellStyle name="20% - Accent1 3 3 2 6" xfId="1447"/>
    <cellStyle name="20% - Accent1 3 3 2 6 2" xfId="3854"/>
    <cellStyle name="20% - Accent1 3 3 2 6 2 2" xfId="13883"/>
    <cellStyle name="20% - Accent1 3 3 2 6 2 2 2" xfId="25684"/>
    <cellStyle name="20% - Accent1 3 3 2 6 2 2 2 2" xfId="55483"/>
    <cellStyle name="20% - Accent1 3 3 2 6 2 2 3" xfId="39299"/>
    <cellStyle name="20% - Accent1 3 3 2 6 2 3" xfId="9307"/>
    <cellStyle name="20% - Accent1 3 3 2 6 2 3 2" xfId="45782"/>
    <cellStyle name="20% - Accent1 3 3 2 6 2 4" xfId="21108"/>
    <cellStyle name="20% - Accent1 3 3 2 6 2 4 2" xfId="55484"/>
    <cellStyle name="20% - Accent1 3 3 2 6 2 5" xfId="34723"/>
    <cellStyle name="20% - Accent1 3 3 2 6 3" xfId="13884"/>
    <cellStyle name="20% - Accent1 3 3 2 6 3 2" xfId="25685"/>
    <cellStyle name="20% - Accent1 3 3 2 6 3 2 2" xfId="45783"/>
    <cellStyle name="20% - Accent1 3 3 2 6 3 3" xfId="30007"/>
    <cellStyle name="20% - Accent1 3 3 2 6 3 3 2" xfId="45784"/>
    <cellStyle name="20% - Accent1 3 3 2 6 3 4" xfId="30008"/>
    <cellStyle name="20% - Accent1 3 3 2 6 3 4 2" xfId="55485"/>
    <cellStyle name="20% - Accent1 3 3 2 6 3 5" xfId="39300"/>
    <cellStyle name="20% - Accent1 3 3 2 6 4" xfId="13885"/>
    <cellStyle name="20% - Accent1 3 3 2 6 4 2" xfId="25686"/>
    <cellStyle name="20% - Accent1 3 3 2 6 4 2 2" xfId="55486"/>
    <cellStyle name="20% - Accent1 3 3 2 6 4 3" xfId="39301"/>
    <cellStyle name="20% - Accent1 3 3 2 6 5" xfId="6901"/>
    <cellStyle name="20% - Accent1 3 3 2 6 5 2" xfId="45785"/>
    <cellStyle name="20% - Accent1 3 3 2 6 6" xfId="18702"/>
    <cellStyle name="20% - Accent1 3 3 2 6 6 2" xfId="55487"/>
    <cellStyle name="20% - Accent1 3 3 2 6 7" xfId="32317"/>
    <cellStyle name="20% - Accent1 3 3 2 7" xfId="3717"/>
    <cellStyle name="20% - Accent1 3 3 2 7 2" xfId="13886"/>
    <cellStyle name="20% - Accent1 3 3 2 7 2 2" xfId="25687"/>
    <cellStyle name="20% - Accent1 3 3 2 7 2 2 2" xfId="55488"/>
    <cellStyle name="20% - Accent1 3 3 2 7 2 3" xfId="39302"/>
    <cellStyle name="20% - Accent1 3 3 2 7 3" xfId="9170"/>
    <cellStyle name="20% - Accent1 3 3 2 7 3 2" xfId="45786"/>
    <cellStyle name="20% - Accent1 3 3 2 7 4" xfId="20971"/>
    <cellStyle name="20% - Accent1 3 3 2 7 4 2" xfId="55489"/>
    <cellStyle name="20% - Accent1 3 3 2 7 5" xfId="34586"/>
    <cellStyle name="20% - Accent1 3 3 2 8" xfId="2013"/>
    <cellStyle name="20% - Accent1 3 3 2 8 2" xfId="13887"/>
    <cellStyle name="20% - Accent1 3 3 2 8 2 2" xfId="25688"/>
    <cellStyle name="20% - Accent1 3 3 2 8 2 2 2" xfId="55490"/>
    <cellStyle name="20% - Accent1 3 3 2 8 2 3" xfId="39303"/>
    <cellStyle name="20% - Accent1 3 3 2 8 3" xfId="7466"/>
    <cellStyle name="20% - Accent1 3 3 2 8 3 2" xfId="45787"/>
    <cellStyle name="20% - Accent1 3 3 2 8 4" xfId="19267"/>
    <cellStyle name="20% - Accent1 3 3 2 8 4 2" xfId="55491"/>
    <cellStyle name="20% - Accent1 3 3 2 8 5" xfId="32882"/>
    <cellStyle name="20% - Accent1 3 3 2 9" xfId="13888"/>
    <cellStyle name="20% - Accent1 3 3 2 9 2" xfId="25689"/>
    <cellStyle name="20% - Accent1 3 3 2 9 2 2" xfId="55492"/>
    <cellStyle name="20% - Accent1 3 3 2 9 3" xfId="39304"/>
    <cellStyle name="20% - Accent1 3 3 3" xfId="172"/>
    <cellStyle name="20% - Accent1 3 3 3 10" xfId="31042"/>
    <cellStyle name="20% - Accent1 3 3 3 2" xfId="335"/>
    <cellStyle name="20% - Accent1 3 3 3 2 2" xfId="1448"/>
    <cellStyle name="20% - Accent1 3 3 3 2 2 2" xfId="4645"/>
    <cellStyle name="20% - Accent1 3 3 3 2 2 2 2" xfId="13889"/>
    <cellStyle name="20% - Accent1 3 3 3 2 2 2 2 2" xfId="25690"/>
    <cellStyle name="20% - Accent1 3 3 3 2 2 2 2 2 2" xfId="55493"/>
    <cellStyle name="20% - Accent1 3 3 3 2 2 2 2 3" xfId="39305"/>
    <cellStyle name="20% - Accent1 3 3 3 2 2 2 3" xfId="10098"/>
    <cellStyle name="20% - Accent1 3 3 3 2 2 2 3 2" xfId="45788"/>
    <cellStyle name="20% - Accent1 3 3 3 2 2 2 4" xfId="21899"/>
    <cellStyle name="20% - Accent1 3 3 3 2 2 2 4 2" xfId="55494"/>
    <cellStyle name="20% - Accent1 3 3 3 2 2 2 5" xfId="35514"/>
    <cellStyle name="20% - Accent1 3 3 3 2 2 3" xfId="2804"/>
    <cellStyle name="20% - Accent1 3 3 3 2 2 3 2" xfId="13890"/>
    <cellStyle name="20% - Accent1 3 3 3 2 2 3 2 2" xfId="25691"/>
    <cellStyle name="20% - Accent1 3 3 3 2 2 3 2 2 2" xfId="55495"/>
    <cellStyle name="20% - Accent1 3 3 3 2 2 3 2 3" xfId="39306"/>
    <cellStyle name="20% - Accent1 3 3 3 2 2 3 3" xfId="8257"/>
    <cellStyle name="20% - Accent1 3 3 3 2 2 3 3 2" xfId="45789"/>
    <cellStyle name="20% - Accent1 3 3 3 2 2 3 4" xfId="20058"/>
    <cellStyle name="20% - Accent1 3 3 3 2 2 3 4 2" xfId="55496"/>
    <cellStyle name="20% - Accent1 3 3 3 2 2 3 5" xfId="33673"/>
    <cellStyle name="20% - Accent1 3 3 3 2 2 4" xfId="13891"/>
    <cellStyle name="20% - Accent1 3 3 3 2 2 4 2" xfId="25692"/>
    <cellStyle name="20% - Accent1 3 3 3 2 2 4 2 2" xfId="55497"/>
    <cellStyle name="20% - Accent1 3 3 3 2 2 4 3" xfId="39307"/>
    <cellStyle name="20% - Accent1 3 3 3 2 2 5" xfId="6902"/>
    <cellStyle name="20% - Accent1 3 3 3 2 2 5 2" xfId="45790"/>
    <cellStyle name="20% - Accent1 3 3 3 2 2 6" xfId="18703"/>
    <cellStyle name="20% - Accent1 3 3 3 2 2 6 2" xfId="55498"/>
    <cellStyle name="20% - Accent1 3 3 3 2 2 7" xfId="32318"/>
    <cellStyle name="20% - Accent1 3 3 3 2 3" xfId="3372"/>
    <cellStyle name="20% - Accent1 3 3 3 2 3 2" xfId="5213"/>
    <cellStyle name="20% - Accent1 3 3 3 2 3 2 2" xfId="16683"/>
    <cellStyle name="20% - Accent1 3 3 3 2 3 2 2 2" xfId="28484"/>
    <cellStyle name="20% - Accent1 3 3 3 2 3 2 2 2 2" xfId="55499"/>
    <cellStyle name="20% - Accent1 3 3 3 2 3 2 2 3" xfId="42099"/>
    <cellStyle name="20% - Accent1 3 3 3 2 3 2 3" xfId="10666"/>
    <cellStyle name="20% - Accent1 3 3 3 2 3 2 3 2" xfId="55500"/>
    <cellStyle name="20% - Accent1 3 3 3 2 3 2 4" xfId="22467"/>
    <cellStyle name="20% - Accent1 3 3 3 2 3 2 4 2" xfId="55501"/>
    <cellStyle name="20% - Accent1 3 3 3 2 3 2 5" xfId="36082"/>
    <cellStyle name="20% - Accent1 3 3 3 2 3 3" xfId="13892"/>
    <cellStyle name="20% - Accent1 3 3 3 2 3 3 2" xfId="25693"/>
    <cellStyle name="20% - Accent1 3 3 3 2 3 3 2 2" xfId="55502"/>
    <cellStyle name="20% - Accent1 3 3 3 2 3 3 3" xfId="39308"/>
    <cellStyle name="20% - Accent1 3 3 3 2 3 4" xfId="8825"/>
    <cellStyle name="20% - Accent1 3 3 3 2 3 4 2" xfId="55503"/>
    <cellStyle name="20% - Accent1 3 3 3 2 3 5" xfId="20626"/>
    <cellStyle name="20% - Accent1 3 3 3 2 3 5 2" xfId="55504"/>
    <cellStyle name="20% - Accent1 3 3 3 2 3 6" xfId="34241"/>
    <cellStyle name="20% - Accent1 3 3 3 2 4" xfId="4077"/>
    <cellStyle name="20% - Accent1 3 3 3 2 4 2" xfId="13893"/>
    <cellStyle name="20% - Accent1 3 3 3 2 4 2 2" xfId="25694"/>
    <cellStyle name="20% - Accent1 3 3 3 2 4 2 2 2" xfId="55505"/>
    <cellStyle name="20% - Accent1 3 3 3 2 4 2 3" xfId="39309"/>
    <cellStyle name="20% - Accent1 3 3 3 2 4 3" xfId="9530"/>
    <cellStyle name="20% - Accent1 3 3 3 2 4 3 2" xfId="45791"/>
    <cellStyle name="20% - Accent1 3 3 3 2 4 4" xfId="21331"/>
    <cellStyle name="20% - Accent1 3 3 3 2 4 4 2" xfId="55506"/>
    <cellStyle name="20% - Accent1 3 3 3 2 4 5" xfId="34946"/>
    <cellStyle name="20% - Accent1 3 3 3 2 5" xfId="2236"/>
    <cellStyle name="20% - Accent1 3 3 3 2 5 2" xfId="17096"/>
    <cellStyle name="20% - Accent1 3 3 3 2 5 2 2" xfId="28897"/>
    <cellStyle name="20% - Accent1 3 3 3 2 5 2 2 2" xfId="55507"/>
    <cellStyle name="20% - Accent1 3 3 3 2 5 2 3" xfId="42512"/>
    <cellStyle name="20% - Accent1 3 3 3 2 5 3" xfId="7689"/>
    <cellStyle name="20% - Accent1 3 3 3 2 5 3 2" xfId="55508"/>
    <cellStyle name="20% - Accent1 3 3 3 2 5 4" xfId="19490"/>
    <cellStyle name="20% - Accent1 3 3 3 2 5 4 2" xfId="55509"/>
    <cellStyle name="20% - Accent1 3 3 3 2 5 5" xfId="33105"/>
    <cellStyle name="20% - Accent1 3 3 3 2 6" xfId="13894"/>
    <cellStyle name="20% - Accent1 3 3 3 2 6 2" xfId="25695"/>
    <cellStyle name="20% - Accent1 3 3 3 2 6 2 2" xfId="55510"/>
    <cellStyle name="20% - Accent1 3 3 3 2 6 3" xfId="39310"/>
    <cellStyle name="20% - Accent1 3 3 3 2 7" xfId="5789"/>
    <cellStyle name="20% - Accent1 3 3 3 2 7 2" xfId="55511"/>
    <cellStyle name="20% - Accent1 3 3 3 2 8" xfId="17590"/>
    <cellStyle name="20% - Accent1 3 3 3 2 8 2" xfId="55512"/>
    <cellStyle name="20% - Accent1 3 3 3 2 9" xfId="31205"/>
    <cellStyle name="20% - Accent1 3 3 3 3" xfId="740"/>
    <cellStyle name="20% - Accent1 3 3 3 3 2" xfId="1449"/>
    <cellStyle name="20% - Accent1 3 3 3 3 2 2" xfId="4482"/>
    <cellStyle name="20% - Accent1 3 3 3 3 2 2 2" xfId="13895"/>
    <cellStyle name="20% - Accent1 3 3 3 3 2 2 2 2" xfId="25696"/>
    <cellStyle name="20% - Accent1 3 3 3 3 2 2 2 2 2" xfId="55513"/>
    <cellStyle name="20% - Accent1 3 3 3 3 2 2 2 3" xfId="39311"/>
    <cellStyle name="20% - Accent1 3 3 3 3 2 2 3" xfId="9935"/>
    <cellStyle name="20% - Accent1 3 3 3 3 2 2 3 2" xfId="45792"/>
    <cellStyle name="20% - Accent1 3 3 3 3 2 2 4" xfId="21736"/>
    <cellStyle name="20% - Accent1 3 3 3 3 2 2 4 2" xfId="55514"/>
    <cellStyle name="20% - Accent1 3 3 3 3 2 2 5" xfId="35351"/>
    <cellStyle name="20% - Accent1 3 3 3 3 2 3" xfId="13896"/>
    <cellStyle name="20% - Accent1 3 3 3 3 2 3 2" xfId="25697"/>
    <cellStyle name="20% - Accent1 3 3 3 3 2 3 2 2" xfId="45793"/>
    <cellStyle name="20% - Accent1 3 3 3 3 2 3 3" xfId="30009"/>
    <cellStyle name="20% - Accent1 3 3 3 3 2 3 3 2" xfId="45794"/>
    <cellStyle name="20% - Accent1 3 3 3 3 2 3 4" xfId="30010"/>
    <cellStyle name="20% - Accent1 3 3 3 3 2 3 4 2" xfId="55515"/>
    <cellStyle name="20% - Accent1 3 3 3 3 2 3 5" xfId="39312"/>
    <cellStyle name="20% - Accent1 3 3 3 3 2 4" xfId="13897"/>
    <cellStyle name="20% - Accent1 3 3 3 3 2 4 2" xfId="25698"/>
    <cellStyle name="20% - Accent1 3 3 3 3 2 4 2 2" xfId="55516"/>
    <cellStyle name="20% - Accent1 3 3 3 3 2 4 3" xfId="39313"/>
    <cellStyle name="20% - Accent1 3 3 3 3 2 5" xfId="6903"/>
    <cellStyle name="20% - Accent1 3 3 3 3 2 5 2" xfId="45795"/>
    <cellStyle name="20% - Accent1 3 3 3 3 2 6" xfId="18704"/>
    <cellStyle name="20% - Accent1 3 3 3 3 2 6 2" xfId="55517"/>
    <cellStyle name="20% - Accent1 3 3 3 3 2 7" xfId="32319"/>
    <cellStyle name="20% - Accent1 3 3 3 3 3" xfId="2641"/>
    <cellStyle name="20% - Accent1 3 3 3 3 3 2" xfId="13898"/>
    <cellStyle name="20% - Accent1 3 3 3 3 3 2 2" xfId="25699"/>
    <cellStyle name="20% - Accent1 3 3 3 3 3 2 2 2" xfId="55518"/>
    <cellStyle name="20% - Accent1 3 3 3 3 3 2 3" xfId="39314"/>
    <cellStyle name="20% - Accent1 3 3 3 3 3 3" xfId="8094"/>
    <cellStyle name="20% - Accent1 3 3 3 3 3 3 2" xfId="45796"/>
    <cellStyle name="20% - Accent1 3 3 3 3 3 4" xfId="19895"/>
    <cellStyle name="20% - Accent1 3 3 3 3 3 4 2" xfId="55519"/>
    <cellStyle name="20% - Accent1 3 3 3 3 3 5" xfId="33510"/>
    <cellStyle name="20% - Accent1 3 3 3 3 4" xfId="13899"/>
    <cellStyle name="20% - Accent1 3 3 3 3 4 2" xfId="25700"/>
    <cellStyle name="20% - Accent1 3 3 3 3 4 2 2" xfId="45797"/>
    <cellStyle name="20% - Accent1 3 3 3 3 4 3" xfId="30011"/>
    <cellStyle name="20% - Accent1 3 3 3 3 4 3 2" xfId="45798"/>
    <cellStyle name="20% - Accent1 3 3 3 3 4 4" xfId="30012"/>
    <cellStyle name="20% - Accent1 3 3 3 3 4 4 2" xfId="55520"/>
    <cellStyle name="20% - Accent1 3 3 3 3 4 5" xfId="39315"/>
    <cellStyle name="20% - Accent1 3 3 3 3 5" xfId="13900"/>
    <cellStyle name="20% - Accent1 3 3 3 3 5 2" xfId="25701"/>
    <cellStyle name="20% - Accent1 3 3 3 3 5 2 2" xfId="55521"/>
    <cellStyle name="20% - Accent1 3 3 3 3 5 3" xfId="39316"/>
    <cellStyle name="20% - Accent1 3 3 3 3 6" xfId="6194"/>
    <cellStyle name="20% - Accent1 3 3 3 3 6 2" xfId="45799"/>
    <cellStyle name="20% - Accent1 3 3 3 3 7" xfId="17995"/>
    <cellStyle name="20% - Accent1 3 3 3 3 7 2" xfId="55522"/>
    <cellStyle name="20% - Accent1 3 3 3 3 8" xfId="31610"/>
    <cellStyle name="20% - Accent1 3 3 3 4" xfId="1450"/>
    <cellStyle name="20% - Accent1 3 3 3 4 2" xfId="5050"/>
    <cellStyle name="20% - Accent1 3 3 3 4 2 2" xfId="13901"/>
    <cellStyle name="20% - Accent1 3 3 3 4 2 2 2" xfId="25702"/>
    <cellStyle name="20% - Accent1 3 3 3 4 2 2 2 2" xfId="55523"/>
    <cellStyle name="20% - Accent1 3 3 3 4 2 2 3" xfId="39317"/>
    <cellStyle name="20% - Accent1 3 3 3 4 2 3" xfId="10503"/>
    <cellStyle name="20% - Accent1 3 3 3 4 2 3 2" xfId="45800"/>
    <cellStyle name="20% - Accent1 3 3 3 4 2 4" xfId="22304"/>
    <cellStyle name="20% - Accent1 3 3 3 4 2 4 2" xfId="55524"/>
    <cellStyle name="20% - Accent1 3 3 3 4 2 5" xfId="35919"/>
    <cellStyle name="20% - Accent1 3 3 3 4 3" xfId="3209"/>
    <cellStyle name="20% - Accent1 3 3 3 4 3 2" xfId="13902"/>
    <cellStyle name="20% - Accent1 3 3 3 4 3 2 2" xfId="25703"/>
    <cellStyle name="20% - Accent1 3 3 3 4 3 2 2 2" xfId="55525"/>
    <cellStyle name="20% - Accent1 3 3 3 4 3 2 3" xfId="39318"/>
    <cellStyle name="20% - Accent1 3 3 3 4 3 3" xfId="8662"/>
    <cellStyle name="20% - Accent1 3 3 3 4 3 3 2" xfId="45801"/>
    <cellStyle name="20% - Accent1 3 3 3 4 3 4" xfId="20463"/>
    <cellStyle name="20% - Accent1 3 3 3 4 3 4 2" xfId="55526"/>
    <cellStyle name="20% - Accent1 3 3 3 4 3 5" xfId="34078"/>
    <cellStyle name="20% - Accent1 3 3 3 4 4" xfId="13903"/>
    <cellStyle name="20% - Accent1 3 3 3 4 4 2" xfId="25704"/>
    <cellStyle name="20% - Accent1 3 3 3 4 4 2 2" xfId="55527"/>
    <cellStyle name="20% - Accent1 3 3 3 4 4 3" xfId="39319"/>
    <cellStyle name="20% - Accent1 3 3 3 4 5" xfId="6904"/>
    <cellStyle name="20% - Accent1 3 3 3 4 5 2" xfId="45802"/>
    <cellStyle name="20% - Accent1 3 3 3 4 6" xfId="18705"/>
    <cellStyle name="20% - Accent1 3 3 3 4 6 2" xfId="55528"/>
    <cellStyle name="20% - Accent1 3 3 3 4 7" xfId="32320"/>
    <cellStyle name="20% - Accent1 3 3 3 5" xfId="3914"/>
    <cellStyle name="20% - Accent1 3 3 3 5 2" xfId="13904"/>
    <cellStyle name="20% - Accent1 3 3 3 5 2 2" xfId="25705"/>
    <cellStyle name="20% - Accent1 3 3 3 5 2 2 2" xfId="55529"/>
    <cellStyle name="20% - Accent1 3 3 3 5 2 3" xfId="39320"/>
    <cellStyle name="20% - Accent1 3 3 3 5 3" xfId="9367"/>
    <cellStyle name="20% - Accent1 3 3 3 5 3 2" xfId="45803"/>
    <cellStyle name="20% - Accent1 3 3 3 5 4" xfId="21168"/>
    <cellStyle name="20% - Accent1 3 3 3 5 4 2" xfId="55530"/>
    <cellStyle name="20% - Accent1 3 3 3 5 5" xfId="34783"/>
    <cellStyle name="20% - Accent1 3 3 3 6" xfId="2073"/>
    <cellStyle name="20% - Accent1 3 3 3 6 2" xfId="13905"/>
    <cellStyle name="20% - Accent1 3 3 3 6 2 2" xfId="25706"/>
    <cellStyle name="20% - Accent1 3 3 3 6 2 2 2" xfId="55531"/>
    <cellStyle name="20% - Accent1 3 3 3 6 2 3" xfId="39321"/>
    <cellStyle name="20% - Accent1 3 3 3 6 3" xfId="7526"/>
    <cellStyle name="20% - Accent1 3 3 3 6 3 2" xfId="45804"/>
    <cellStyle name="20% - Accent1 3 3 3 6 4" xfId="19327"/>
    <cellStyle name="20% - Accent1 3 3 3 6 4 2" xfId="55532"/>
    <cellStyle name="20% - Accent1 3 3 3 6 5" xfId="32942"/>
    <cellStyle name="20% - Accent1 3 3 3 7" xfId="13906"/>
    <cellStyle name="20% - Accent1 3 3 3 7 2" xfId="25707"/>
    <cellStyle name="20% - Accent1 3 3 3 7 2 2" xfId="55533"/>
    <cellStyle name="20% - Accent1 3 3 3 7 3" xfId="39322"/>
    <cellStyle name="20% - Accent1 3 3 3 8" xfId="5626"/>
    <cellStyle name="20% - Accent1 3 3 3 8 2" xfId="45805"/>
    <cellStyle name="20% - Accent1 3 3 3 9" xfId="17427"/>
    <cellStyle name="20% - Accent1 3 3 3 9 2" xfId="55534"/>
    <cellStyle name="20% - Accent1 3 3 4" xfId="472"/>
    <cellStyle name="20% - Accent1 3 3 4 2" xfId="1451"/>
    <cellStyle name="20% - Accent1 3 3 4 2 2" xfId="4782"/>
    <cellStyle name="20% - Accent1 3 3 4 2 2 2" xfId="13907"/>
    <cellStyle name="20% - Accent1 3 3 4 2 2 2 2" xfId="25708"/>
    <cellStyle name="20% - Accent1 3 3 4 2 2 2 2 2" xfId="55535"/>
    <cellStyle name="20% - Accent1 3 3 4 2 2 2 3" xfId="39323"/>
    <cellStyle name="20% - Accent1 3 3 4 2 2 3" xfId="10235"/>
    <cellStyle name="20% - Accent1 3 3 4 2 2 3 2" xfId="45806"/>
    <cellStyle name="20% - Accent1 3 3 4 2 2 4" xfId="22036"/>
    <cellStyle name="20% - Accent1 3 3 4 2 2 4 2" xfId="55536"/>
    <cellStyle name="20% - Accent1 3 3 4 2 2 5" xfId="35651"/>
    <cellStyle name="20% - Accent1 3 3 4 2 3" xfId="2941"/>
    <cellStyle name="20% - Accent1 3 3 4 2 3 2" xfId="13908"/>
    <cellStyle name="20% - Accent1 3 3 4 2 3 2 2" xfId="25709"/>
    <cellStyle name="20% - Accent1 3 3 4 2 3 2 2 2" xfId="55537"/>
    <cellStyle name="20% - Accent1 3 3 4 2 3 2 3" xfId="39324"/>
    <cellStyle name="20% - Accent1 3 3 4 2 3 3" xfId="8394"/>
    <cellStyle name="20% - Accent1 3 3 4 2 3 3 2" xfId="45807"/>
    <cellStyle name="20% - Accent1 3 3 4 2 3 4" xfId="20195"/>
    <cellStyle name="20% - Accent1 3 3 4 2 3 4 2" xfId="55538"/>
    <cellStyle name="20% - Accent1 3 3 4 2 3 5" xfId="33810"/>
    <cellStyle name="20% - Accent1 3 3 4 2 4" xfId="13909"/>
    <cellStyle name="20% - Accent1 3 3 4 2 4 2" xfId="25710"/>
    <cellStyle name="20% - Accent1 3 3 4 2 4 2 2" xfId="55539"/>
    <cellStyle name="20% - Accent1 3 3 4 2 4 3" xfId="39325"/>
    <cellStyle name="20% - Accent1 3 3 4 2 5" xfId="6905"/>
    <cellStyle name="20% - Accent1 3 3 4 2 5 2" xfId="45808"/>
    <cellStyle name="20% - Accent1 3 3 4 2 6" xfId="18706"/>
    <cellStyle name="20% - Accent1 3 3 4 2 6 2" xfId="55540"/>
    <cellStyle name="20% - Accent1 3 3 4 2 7" xfId="32321"/>
    <cellStyle name="20% - Accent1 3 3 4 3" xfId="3509"/>
    <cellStyle name="20% - Accent1 3 3 4 3 2" xfId="5350"/>
    <cellStyle name="20% - Accent1 3 3 4 3 2 2" xfId="16820"/>
    <cellStyle name="20% - Accent1 3 3 4 3 2 2 2" xfId="28621"/>
    <cellStyle name="20% - Accent1 3 3 4 3 2 2 2 2" xfId="55541"/>
    <cellStyle name="20% - Accent1 3 3 4 3 2 2 3" xfId="42236"/>
    <cellStyle name="20% - Accent1 3 3 4 3 2 3" xfId="10803"/>
    <cellStyle name="20% - Accent1 3 3 4 3 2 3 2" xfId="55542"/>
    <cellStyle name="20% - Accent1 3 3 4 3 2 4" xfId="22604"/>
    <cellStyle name="20% - Accent1 3 3 4 3 2 4 2" xfId="55543"/>
    <cellStyle name="20% - Accent1 3 3 4 3 2 5" xfId="36219"/>
    <cellStyle name="20% - Accent1 3 3 4 3 3" xfId="13910"/>
    <cellStyle name="20% - Accent1 3 3 4 3 3 2" xfId="25711"/>
    <cellStyle name="20% - Accent1 3 3 4 3 3 2 2" xfId="55544"/>
    <cellStyle name="20% - Accent1 3 3 4 3 3 3" xfId="39326"/>
    <cellStyle name="20% - Accent1 3 3 4 3 4" xfId="8962"/>
    <cellStyle name="20% - Accent1 3 3 4 3 4 2" xfId="55545"/>
    <cellStyle name="20% - Accent1 3 3 4 3 5" xfId="20763"/>
    <cellStyle name="20% - Accent1 3 3 4 3 5 2" xfId="55546"/>
    <cellStyle name="20% - Accent1 3 3 4 3 6" xfId="34378"/>
    <cellStyle name="20% - Accent1 3 3 4 4" xfId="4214"/>
    <cellStyle name="20% - Accent1 3 3 4 4 2" xfId="13911"/>
    <cellStyle name="20% - Accent1 3 3 4 4 2 2" xfId="25712"/>
    <cellStyle name="20% - Accent1 3 3 4 4 2 2 2" xfId="55547"/>
    <cellStyle name="20% - Accent1 3 3 4 4 2 3" xfId="39327"/>
    <cellStyle name="20% - Accent1 3 3 4 4 3" xfId="9667"/>
    <cellStyle name="20% - Accent1 3 3 4 4 3 2" xfId="45809"/>
    <cellStyle name="20% - Accent1 3 3 4 4 4" xfId="21468"/>
    <cellStyle name="20% - Accent1 3 3 4 4 4 2" xfId="55548"/>
    <cellStyle name="20% - Accent1 3 3 4 4 5" xfId="35083"/>
    <cellStyle name="20% - Accent1 3 3 4 5" xfId="2373"/>
    <cellStyle name="20% - Accent1 3 3 4 5 2" xfId="17097"/>
    <cellStyle name="20% - Accent1 3 3 4 5 2 2" xfId="28898"/>
    <cellStyle name="20% - Accent1 3 3 4 5 2 2 2" xfId="55549"/>
    <cellStyle name="20% - Accent1 3 3 4 5 2 3" xfId="42513"/>
    <cellStyle name="20% - Accent1 3 3 4 5 3" xfId="7826"/>
    <cellStyle name="20% - Accent1 3 3 4 5 3 2" xfId="55550"/>
    <cellStyle name="20% - Accent1 3 3 4 5 4" xfId="19627"/>
    <cellStyle name="20% - Accent1 3 3 4 5 4 2" xfId="55551"/>
    <cellStyle name="20% - Accent1 3 3 4 5 5" xfId="33242"/>
    <cellStyle name="20% - Accent1 3 3 4 6" xfId="13912"/>
    <cellStyle name="20% - Accent1 3 3 4 6 2" xfId="25713"/>
    <cellStyle name="20% - Accent1 3 3 4 6 2 2" xfId="55552"/>
    <cellStyle name="20% - Accent1 3 3 4 6 3" xfId="39328"/>
    <cellStyle name="20% - Accent1 3 3 4 7" xfId="5926"/>
    <cellStyle name="20% - Accent1 3 3 4 7 2" xfId="55553"/>
    <cellStyle name="20% - Accent1 3 3 4 8" xfId="17727"/>
    <cellStyle name="20% - Accent1 3 3 4 8 2" xfId="55554"/>
    <cellStyle name="20% - Accent1 3 3 4 9" xfId="31342"/>
    <cellStyle name="20% - Accent1 3 3 5" xfId="286"/>
    <cellStyle name="20% - Accent1 3 3 5 2" xfId="1452"/>
    <cellStyle name="20% - Accent1 3 3 5 2 2" xfId="4596"/>
    <cellStyle name="20% - Accent1 3 3 5 2 2 2" xfId="13913"/>
    <cellStyle name="20% - Accent1 3 3 5 2 2 2 2" xfId="25714"/>
    <cellStyle name="20% - Accent1 3 3 5 2 2 2 2 2" xfId="55555"/>
    <cellStyle name="20% - Accent1 3 3 5 2 2 2 3" xfId="39329"/>
    <cellStyle name="20% - Accent1 3 3 5 2 2 3" xfId="10049"/>
    <cellStyle name="20% - Accent1 3 3 5 2 2 3 2" xfId="45810"/>
    <cellStyle name="20% - Accent1 3 3 5 2 2 4" xfId="21850"/>
    <cellStyle name="20% - Accent1 3 3 5 2 2 4 2" xfId="55556"/>
    <cellStyle name="20% - Accent1 3 3 5 2 2 5" xfId="35465"/>
    <cellStyle name="20% - Accent1 3 3 5 2 3" xfId="2755"/>
    <cellStyle name="20% - Accent1 3 3 5 2 3 2" xfId="13914"/>
    <cellStyle name="20% - Accent1 3 3 5 2 3 2 2" xfId="25715"/>
    <cellStyle name="20% - Accent1 3 3 5 2 3 2 2 2" xfId="55557"/>
    <cellStyle name="20% - Accent1 3 3 5 2 3 2 3" xfId="39330"/>
    <cellStyle name="20% - Accent1 3 3 5 2 3 3" xfId="8208"/>
    <cellStyle name="20% - Accent1 3 3 5 2 3 3 2" xfId="45811"/>
    <cellStyle name="20% - Accent1 3 3 5 2 3 4" xfId="20009"/>
    <cellStyle name="20% - Accent1 3 3 5 2 3 4 2" xfId="55558"/>
    <cellStyle name="20% - Accent1 3 3 5 2 3 5" xfId="33624"/>
    <cellStyle name="20% - Accent1 3 3 5 2 4" xfId="13915"/>
    <cellStyle name="20% - Accent1 3 3 5 2 4 2" xfId="25716"/>
    <cellStyle name="20% - Accent1 3 3 5 2 4 2 2" xfId="55559"/>
    <cellStyle name="20% - Accent1 3 3 5 2 4 3" xfId="39331"/>
    <cellStyle name="20% - Accent1 3 3 5 2 5" xfId="6906"/>
    <cellStyle name="20% - Accent1 3 3 5 2 5 2" xfId="45812"/>
    <cellStyle name="20% - Accent1 3 3 5 2 6" xfId="18707"/>
    <cellStyle name="20% - Accent1 3 3 5 2 6 2" xfId="55560"/>
    <cellStyle name="20% - Accent1 3 3 5 2 7" xfId="32322"/>
    <cellStyle name="20% - Accent1 3 3 5 3" xfId="3323"/>
    <cellStyle name="20% - Accent1 3 3 5 3 2" xfId="5164"/>
    <cellStyle name="20% - Accent1 3 3 5 3 2 2" xfId="16634"/>
    <cellStyle name="20% - Accent1 3 3 5 3 2 2 2" xfId="28435"/>
    <cellStyle name="20% - Accent1 3 3 5 3 2 2 2 2" xfId="55561"/>
    <cellStyle name="20% - Accent1 3 3 5 3 2 2 3" xfId="42050"/>
    <cellStyle name="20% - Accent1 3 3 5 3 2 3" xfId="10617"/>
    <cellStyle name="20% - Accent1 3 3 5 3 2 3 2" xfId="55562"/>
    <cellStyle name="20% - Accent1 3 3 5 3 2 4" xfId="22418"/>
    <cellStyle name="20% - Accent1 3 3 5 3 2 4 2" xfId="55563"/>
    <cellStyle name="20% - Accent1 3 3 5 3 2 5" xfId="36033"/>
    <cellStyle name="20% - Accent1 3 3 5 3 3" xfId="13916"/>
    <cellStyle name="20% - Accent1 3 3 5 3 3 2" xfId="25717"/>
    <cellStyle name="20% - Accent1 3 3 5 3 3 2 2" xfId="55564"/>
    <cellStyle name="20% - Accent1 3 3 5 3 3 3" xfId="39332"/>
    <cellStyle name="20% - Accent1 3 3 5 3 4" xfId="8776"/>
    <cellStyle name="20% - Accent1 3 3 5 3 4 2" xfId="55565"/>
    <cellStyle name="20% - Accent1 3 3 5 3 5" xfId="20577"/>
    <cellStyle name="20% - Accent1 3 3 5 3 5 2" xfId="55566"/>
    <cellStyle name="20% - Accent1 3 3 5 3 6" xfId="34192"/>
    <cellStyle name="20% - Accent1 3 3 5 4" xfId="4028"/>
    <cellStyle name="20% - Accent1 3 3 5 4 2" xfId="13917"/>
    <cellStyle name="20% - Accent1 3 3 5 4 2 2" xfId="25718"/>
    <cellStyle name="20% - Accent1 3 3 5 4 2 2 2" xfId="55567"/>
    <cellStyle name="20% - Accent1 3 3 5 4 2 3" xfId="39333"/>
    <cellStyle name="20% - Accent1 3 3 5 4 3" xfId="9481"/>
    <cellStyle name="20% - Accent1 3 3 5 4 3 2" xfId="45813"/>
    <cellStyle name="20% - Accent1 3 3 5 4 4" xfId="21282"/>
    <cellStyle name="20% - Accent1 3 3 5 4 4 2" xfId="55568"/>
    <cellStyle name="20% - Accent1 3 3 5 4 5" xfId="34897"/>
    <cellStyle name="20% - Accent1 3 3 5 5" xfId="2187"/>
    <cellStyle name="20% - Accent1 3 3 5 5 2" xfId="17098"/>
    <cellStyle name="20% - Accent1 3 3 5 5 2 2" xfId="28899"/>
    <cellStyle name="20% - Accent1 3 3 5 5 2 2 2" xfId="55569"/>
    <cellStyle name="20% - Accent1 3 3 5 5 2 3" xfId="42514"/>
    <cellStyle name="20% - Accent1 3 3 5 5 3" xfId="7640"/>
    <cellStyle name="20% - Accent1 3 3 5 5 3 2" xfId="55570"/>
    <cellStyle name="20% - Accent1 3 3 5 5 4" xfId="19441"/>
    <cellStyle name="20% - Accent1 3 3 5 5 4 2" xfId="55571"/>
    <cellStyle name="20% - Accent1 3 3 5 5 5" xfId="33056"/>
    <cellStyle name="20% - Accent1 3 3 5 6" xfId="13918"/>
    <cellStyle name="20% - Accent1 3 3 5 6 2" xfId="25719"/>
    <cellStyle name="20% - Accent1 3 3 5 6 2 2" xfId="55572"/>
    <cellStyle name="20% - Accent1 3 3 5 6 3" xfId="39334"/>
    <cellStyle name="20% - Accent1 3 3 5 7" xfId="5740"/>
    <cellStyle name="20% - Accent1 3 3 5 7 2" xfId="55573"/>
    <cellStyle name="20% - Accent1 3 3 5 8" xfId="17541"/>
    <cellStyle name="20% - Accent1 3 3 5 8 2" xfId="55574"/>
    <cellStyle name="20% - Accent1 3 3 5 9" xfId="31156"/>
    <cellStyle name="20% - Accent1 3 3 6" xfId="613"/>
    <cellStyle name="20% - Accent1 3 3 6 2" xfId="1453"/>
    <cellStyle name="20% - Accent1 3 3 6 2 2" xfId="4355"/>
    <cellStyle name="20% - Accent1 3 3 6 2 2 2" xfId="13919"/>
    <cellStyle name="20% - Accent1 3 3 6 2 2 2 2" xfId="25720"/>
    <cellStyle name="20% - Accent1 3 3 6 2 2 2 2 2" xfId="55575"/>
    <cellStyle name="20% - Accent1 3 3 6 2 2 2 3" xfId="39335"/>
    <cellStyle name="20% - Accent1 3 3 6 2 2 3" xfId="9808"/>
    <cellStyle name="20% - Accent1 3 3 6 2 2 3 2" xfId="45814"/>
    <cellStyle name="20% - Accent1 3 3 6 2 2 4" xfId="21609"/>
    <cellStyle name="20% - Accent1 3 3 6 2 2 4 2" xfId="55576"/>
    <cellStyle name="20% - Accent1 3 3 6 2 2 5" xfId="35224"/>
    <cellStyle name="20% - Accent1 3 3 6 2 3" xfId="13920"/>
    <cellStyle name="20% - Accent1 3 3 6 2 3 2" xfId="25721"/>
    <cellStyle name="20% - Accent1 3 3 6 2 3 2 2" xfId="45815"/>
    <cellStyle name="20% - Accent1 3 3 6 2 3 3" xfId="30013"/>
    <cellStyle name="20% - Accent1 3 3 6 2 3 3 2" xfId="45816"/>
    <cellStyle name="20% - Accent1 3 3 6 2 3 4" xfId="30014"/>
    <cellStyle name="20% - Accent1 3 3 6 2 3 4 2" xfId="55577"/>
    <cellStyle name="20% - Accent1 3 3 6 2 3 5" xfId="39336"/>
    <cellStyle name="20% - Accent1 3 3 6 2 4" xfId="13921"/>
    <cellStyle name="20% - Accent1 3 3 6 2 4 2" xfId="25722"/>
    <cellStyle name="20% - Accent1 3 3 6 2 4 2 2" xfId="55578"/>
    <cellStyle name="20% - Accent1 3 3 6 2 4 3" xfId="39337"/>
    <cellStyle name="20% - Accent1 3 3 6 2 5" xfId="6907"/>
    <cellStyle name="20% - Accent1 3 3 6 2 5 2" xfId="45817"/>
    <cellStyle name="20% - Accent1 3 3 6 2 6" xfId="18708"/>
    <cellStyle name="20% - Accent1 3 3 6 2 6 2" xfId="55579"/>
    <cellStyle name="20% - Accent1 3 3 6 2 7" xfId="32323"/>
    <cellStyle name="20% - Accent1 3 3 6 3" xfId="2514"/>
    <cellStyle name="20% - Accent1 3 3 6 3 2" xfId="13922"/>
    <cellStyle name="20% - Accent1 3 3 6 3 2 2" xfId="25723"/>
    <cellStyle name="20% - Accent1 3 3 6 3 2 2 2" xfId="55580"/>
    <cellStyle name="20% - Accent1 3 3 6 3 2 3" xfId="39338"/>
    <cellStyle name="20% - Accent1 3 3 6 3 3" xfId="7967"/>
    <cellStyle name="20% - Accent1 3 3 6 3 3 2" xfId="45818"/>
    <cellStyle name="20% - Accent1 3 3 6 3 4" xfId="19768"/>
    <cellStyle name="20% - Accent1 3 3 6 3 4 2" xfId="55581"/>
    <cellStyle name="20% - Accent1 3 3 6 3 5" xfId="33383"/>
    <cellStyle name="20% - Accent1 3 3 6 4" xfId="13923"/>
    <cellStyle name="20% - Accent1 3 3 6 4 2" xfId="25724"/>
    <cellStyle name="20% - Accent1 3 3 6 4 2 2" xfId="45819"/>
    <cellStyle name="20% - Accent1 3 3 6 4 3" xfId="30015"/>
    <cellStyle name="20% - Accent1 3 3 6 4 3 2" xfId="45820"/>
    <cellStyle name="20% - Accent1 3 3 6 4 4" xfId="30016"/>
    <cellStyle name="20% - Accent1 3 3 6 4 4 2" xfId="55582"/>
    <cellStyle name="20% - Accent1 3 3 6 4 5" xfId="39339"/>
    <cellStyle name="20% - Accent1 3 3 6 5" xfId="13924"/>
    <cellStyle name="20% - Accent1 3 3 6 5 2" xfId="25725"/>
    <cellStyle name="20% - Accent1 3 3 6 5 2 2" xfId="55583"/>
    <cellStyle name="20% - Accent1 3 3 6 5 3" xfId="39340"/>
    <cellStyle name="20% - Accent1 3 3 6 6" xfId="6067"/>
    <cellStyle name="20% - Accent1 3 3 6 6 2" xfId="45821"/>
    <cellStyle name="20% - Accent1 3 3 6 7" xfId="17868"/>
    <cellStyle name="20% - Accent1 3 3 6 7 2" xfId="55584"/>
    <cellStyle name="20% - Accent1 3 3 6 8" xfId="31483"/>
    <cellStyle name="20% - Accent1 3 3 7" xfId="854"/>
    <cellStyle name="20% - Accent1 3 3 7 2" xfId="1454"/>
    <cellStyle name="20% - Accent1 3 3 7 2 2" xfId="4923"/>
    <cellStyle name="20% - Accent1 3 3 7 2 2 2" xfId="13925"/>
    <cellStyle name="20% - Accent1 3 3 7 2 2 2 2" xfId="25726"/>
    <cellStyle name="20% - Accent1 3 3 7 2 2 2 2 2" xfId="55585"/>
    <cellStyle name="20% - Accent1 3 3 7 2 2 2 3" xfId="39341"/>
    <cellStyle name="20% - Accent1 3 3 7 2 2 3" xfId="10376"/>
    <cellStyle name="20% - Accent1 3 3 7 2 2 3 2" xfId="45822"/>
    <cellStyle name="20% - Accent1 3 3 7 2 2 4" xfId="22177"/>
    <cellStyle name="20% - Accent1 3 3 7 2 2 4 2" xfId="55586"/>
    <cellStyle name="20% - Accent1 3 3 7 2 2 5" xfId="35792"/>
    <cellStyle name="20% - Accent1 3 3 7 2 3" xfId="13926"/>
    <cellStyle name="20% - Accent1 3 3 7 2 3 2" xfId="25727"/>
    <cellStyle name="20% - Accent1 3 3 7 2 3 2 2" xfId="45823"/>
    <cellStyle name="20% - Accent1 3 3 7 2 3 3" xfId="30017"/>
    <cellStyle name="20% - Accent1 3 3 7 2 3 3 2" xfId="45824"/>
    <cellStyle name="20% - Accent1 3 3 7 2 3 4" xfId="30018"/>
    <cellStyle name="20% - Accent1 3 3 7 2 3 4 2" xfId="55587"/>
    <cellStyle name="20% - Accent1 3 3 7 2 3 5" xfId="39342"/>
    <cellStyle name="20% - Accent1 3 3 7 2 4" xfId="13927"/>
    <cellStyle name="20% - Accent1 3 3 7 2 4 2" xfId="25728"/>
    <cellStyle name="20% - Accent1 3 3 7 2 4 2 2" xfId="55588"/>
    <cellStyle name="20% - Accent1 3 3 7 2 4 3" xfId="39343"/>
    <cellStyle name="20% - Accent1 3 3 7 2 5" xfId="6908"/>
    <cellStyle name="20% - Accent1 3 3 7 2 5 2" xfId="45825"/>
    <cellStyle name="20% - Accent1 3 3 7 2 6" xfId="18709"/>
    <cellStyle name="20% - Accent1 3 3 7 2 6 2" xfId="55589"/>
    <cellStyle name="20% - Accent1 3 3 7 2 7" xfId="32324"/>
    <cellStyle name="20% - Accent1 3 3 7 3" xfId="3082"/>
    <cellStyle name="20% - Accent1 3 3 7 3 2" xfId="13928"/>
    <cellStyle name="20% - Accent1 3 3 7 3 2 2" xfId="25729"/>
    <cellStyle name="20% - Accent1 3 3 7 3 2 2 2" xfId="55590"/>
    <cellStyle name="20% - Accent1 3 3 7 3 2 3" xfId="39344"/>
    <cellStyle name="20% - Accent1 3 3 7 3 3" xfId="8535"/>
    <cellStyle name="20% - Accent1 3 3 7 3 3 2" xfId="45826"/>
    <cellStyle name="20% - Accent1 3 3 7 3 4" xfId="20336"/>
    <cellStyle name="20% - Accent1 3 3 7 3 4 2" xfId="55591"/>
    <cellStyle name="20% - Accent1 3 3 7 3 5" xfId="33951"/>
    <cellStyle name="20% - Accent1 3 3 7 4" xfId="13929"/>
    <cellStyle name="20% - Accent1 3 3 7 4 2" xfId="25730"/>
    <cellStyle name="20% - Accent1 3 3 7 4 2 2" xfId="45827"/>
    <cellStyle name="20% - Accent1 3 3 7 4 3" xfId="30019"/>
    <cellStyle name="20% - Accent1 3 3 7 4 3 2" xfId="45828"/>
    <cellStyle name="20% - Accent1 3 3 7 4 4" xfId="30020"/>
    <cellStyle name="20% - Accent1 3 3 7 4 4 2" xfId="55592"/>
    <cellStyle name="20% - Accent1 3 3 7 4 5" xfId="39345"/>
    <cellStyle name="20% - Accent1 3 3 7 5" xfId="13930"/>
    <cellStyle name="20% - Accent1 3 3 7 5 2" xfId="25731"/>
    <cellStyle name="20% - Accent1 3 3 7 5 2 2" xfId="55593"/>
    <cellStyle name="20% - Accent1 3 3 7 5 3" xfId="39346"/>
    <cellStyle name="20% - Accent1 3 3 7 6" xfId="6308"/>
    <cellStyle name="20% - Accent1 3 3 7 6 2" xfId="45829"/>
    <cellStyle name="20% - Accent1 3 3 7 7" xfId="18109"/>
    <cellStyle name="20% - Accent1 3 3 7 7 2" xfId="55594"/>
    <cellStyle name="20% - Accent1 3 3 7 8" xfId="31724"/>
    <cellStyle name="20% - Accent1 3 3 8" xfId="1455"/>
    <cellStyle name="20% - Accent1 3 3 8 2" xfId="3787"/>
    <cellStyle name="20% - Accent1 3 3 8 2 2" xfId="13931"/>
    <cellStyle name="20% - Accent1 3 3 8 2 2 2" xfId="25732"/>
    <cellStyle name="20% - Accent1 3 3 8 2 2 2 2" xfId="55595"/>
    <cellStyle name="20% - Accent1 3 3 8 2 2 3" xfId="39347"/>
    <cellStyle name="20% - Accent1 3 3 8 2 3" xfId="9240"/>
    <cellStyle name="20% - Accent1 3 3 8 2 3 2" xfId="45830"/>
    <cellStyle name="20% - Accent1 3 3 8 2 4" xfId="21041"/>
    <cellStyle name="20% - Accent1 3 3 8 2 4 2" xfId="55596"/>
    <cellStyle name="20% - Accent1 3 3 8 2 5" xfId="34656"/>
    <cellStyle name="20% - Accent1 3 3 8 3" xfId="13932"/>
    <cellStyle name="20% - Accent1 3 3 8 3 2" xfId="25733"/>
    <cellStyle name="20% - Accent1 3 3 8 3 2 2" xfId="45831"/>
    <cellStyle name="20% - Accent1 3 3 8 3 3" xfId="30021"/>
    <cellStyle name="20% - Accent1 3 3 8 3 3 2" xfId="45832"/>
    <cellStyle name="20% - Accent1 3 3 8 3 4" xfId="30022"/>
    <cellStyle name="20% - Accent1 3 3 8 3 4 2" xfId="55597"/>
    <cellStyle name="20% - Accent1 3 3 8 3 5" xfId="39348"/>
    <cellStyle name="20% - Accent1 3 3 8 4" xfId="13933"/>
    <cellStyle name="20% - Accent1 3 3 8 4 2" xfId="25734"/>
    <cellStyle name="20% - Accent1 3 3 8 4 2 2" xfId="55598"/>
    <cellStyle name="20% - Accent1 3 3 8 4 3" xfId="39349"/>
    <cellStyle name="20% - Accent1 3 3 8 5" xfId="6909"/>
    <cellStyle name="20% - Accent1 3 3 8 5 2" xfId="45833"/>
    <cellStyle name="20% - Accent1 3 3 8 6" xfId="18710"/>
    <cellStyle name="20% - Accent1 3 3 8 6 2" xfId="55599"/>
    <cellStyle name="20% - Accent1 3 3 8 7" xfId="32325"/>
    <cellStyle name="20% - Accent1 3 3 9" xfId="3650"/>
    <cellStyle name="20% - Accent1 3 3 9 2" xfId="13934"/>
    <cellStyle name="20% - Accent1 3 3 9 2 2" xfId="25735"/>
    <cellStyle name="20% - Accent1 3 3 9 2 2 2" xfId="55600"/>
    <cellStyle name="20% - Accent1 3 3 9 2 3" xfId="39350"/>
    <cellStyle name="20% - Accent1 3 3 9 3" xfId="9103"/>
    <cellStyle name="20% - Accent1 3 3 9 3 2" xfId="45834"/>
    <cellStyle name="20% - Accent1 3 3 9 4" xfId="20904"/>
    <cellStyle name="20% - Accent1 3 3 9 4 2" xfId="55601"/>
    <cellStyle name="20% - Accent1 3 3 9 5" xfId="34519"/>
    <cellStyle name="20% - Accent1 3 4" xfId="19"/>
    <cellStyle name="20% - Accent1 3 4 10" xfId="1920"/>
    <cellStyle name="20% - Accent1 3 4 10 2" xfId="13935"/>
    <cellStyle name="20% - Accent1 3 4 10 2 2" xfId="25736"/>
    <cellStyle name="20% - Accent1 3 4 10 2 2 2" xfId="55602"/>
    <cellStyle name="20% - Accent1 3 4 10 2 3" xfId="39351"/>
    <cellStyle name="20% - Accent1 3 4 10 3" xfId="7373"/>
    <cellStyle name="20% - Accent1 3 4 10 3 2" xfId="45835"/>
    <cellStyle name="20% - Accent1 3 4 10 4" xfId="19174"/>
    <cellStyle name="20% - Accent1 3 4 10 4 2" xfId="55603"/>
    <cellStyle name="20% - Accent1 3 4 10 5" xfId="32789"/>
    <cellStyle name="20% - Accent1 3 4 11" xfId="13936"/>
    <cellStyle name="20% - Accent1 3 4 11 2" xfId="25737"/>
    <cellStyle name="20% - Accent1 3 4 11 2 2" xfId="55604"/>
    <cellStyle name="20% - Accent1 3 4 11 3" xfId="39352"/>
    <cellStyle name="20% - Accent1 3 4 12" xfId="5473"/>
    <cellStyle name="20% - Accent1 3 4 12 2" xfId="45836"/>
    <cellStyle name="20% - Accent1 3 4 13" xfId="17274"/>
    <cellStyle name="20% - Accent1 3 4 13 2" xfId="55605"/>
    <cellStyle name="20% - Accent1 3 4 14" xfId="30889"/>
    <cellStyle name="20% - Accent1 3 4 2" xfId="86"/>
    <cellStyle name="20% - Accent1 3 4 2 10" xfId="5540"/>
    <cellStyle name="20% - Accent1 3 4 2 10 2" xfId="45837"/>
    <cellStyle name="20% - Accent1 3 4 2 11" xfId="17341"/>
    <cellStyle name="20% - Accent1 3 4 2 11 2" xfId="55606"/>
    <cellStyle name="20% - Accent1 3 4 2 12" xfId="30956"/>
    <cellStyle name="20% - Accent1 3 4 2 2" xfId="217"/>
    <cellStyle name="20% - Accent1 3 4 2 2 10" xfId="31087"/>
    <cellStyle name="20% - Accent1 3 4 2 2 2" xfId="513"/>
    <cellStyle name="20% - Accent1 3 4 2 2 2 2" xfId="1456"/>
    <cellStyle name="20% - Accent1 3 4 2 2 2 2 2" xfId="4823"/>
    <cellStyle name="20% - Accent1 3 4 2 2 2 2 2 2" xfId="13937"/>
    <cellStyle name="20% - Accent1 3 4 2 2 2 2 2 2 2" xfId="25738"/>
    <cellStyle name="20% - Accent1 3 4 2 2 2 2 2 2 2 2" xfId="55607"/>
    <cellStyle name="20% - Accent1 3 4 2 2 2 2 2 2 3" xfId="39353"/>
    <cellStyle name="20% - Accent1 3 4 2 2 2 2 2 3" xfId="10276"/>
    <cellStyle name="20% - Accent1 3 4 2 2 2 2 2 3 2" xfId="45838"/>
    <cellStyle name="20% - Accent1 3 4 2 2 2 2 2 4" xfId="22077"/>
    <cellStyle name="20% - Accent1 3 4 2 2 2 2 2 4 2" xfId="55608"/>
    <cellStyle name="20% - Accent1 3 4 2 2 2 2 2 5" xfId="35692"/>
    <cellStyle name="20% - Accent1 3 4 2 2 2 2 3" xfId="2982"/>
    <cellStyle name="20% - Accent1 3 4 2 2 2 2 3 2" xfId="13938"/>
    <cellStyle name="20% - Accent1 3 4 2 2 2 2 3 2 2" xfId="25739"/>
    <cellStyle name="20% - Accent1 3 4 2 2 2 2 3 2 2 2" xfId="55609"/>
    <cellStyle name="20% - Accent1 3 4 2 2 2 2 3 2 3" xfId="39354"/>
    <cellStyle name="20% - Accent1 3 4 2 2 2 2 3 3" xfId="8435"/>
    <cellStyle name="20% - Accent1 3 4 2 2 2 2 3 3 2" xfId="45839"/>
    <cellStyle name="20% - Accent1 3 4 2 2 2 2 3 4" xfId="20236"/>
    <cellStyle name="20% - Accent1 3 4 2 2 2 2 3 4 2" xfId="55610"/>
    <cellStyle name="20% - Accent1 3 4 2 2 2 2 3 5" xfId="33851"/>
    <cellStyle name="20% - Accent1 3 4 2 2 2 2 4" xfId="13939"/>
    <cellStyle name="20% - Accent1 3 4 2 2 2 2 4 2" xfId="25740"/>
    <cellStyle name="20% - Accent1 3 4 2 2 2 2 4 2 2" xfId="55611"/>
    <cellStyle name="20% - Accent1 3 4 2 2 2 2 4 3" xfId="39355"/>
    <cellStyle name="20% - Accent1 3 4 2 2 2 2 5" xfId="6910"/>
    <cellStyle name="20% - Accent1 3 4 2 2 2 2 5 2" xfId="45840"/>
    <cellStyle name="20% - Accent1 3 4 2 2 2 2 6" xfId="18711"/>
    <cellStyle name="20% - Accent1 3 4 2 2 2 2 6 2" xfId="55612"/>
    <cellStyle name="20% - Accent1 3 4 2 2 2 2 7" xfId="32326"/>
    <cellStyle name="20% - Accent1 3 4 2 2 2 3" xfId="3550"/>
    <cellStyle name="20% - Accent1 3 4 2 2 2 3 2" xfId="5391"/>
    <cellStyle name="20% - Accent1 3 4 2 2 2 3 2 2" xfId="16861"/>
    <cellStyle name="20% - Accent1 3 4 2 2 2 3 2 2 2" xfId="28662"/>
    <cellStyle name="20% - Accent1 3 4 2 2 2 3 2 2 2 2" xfId="55613"/>
    <cellStyle name="20% - Accent1 3 4 2 2 2 3 2 2 3" xfId="42277"/>
    <cellStyle name="20% - Accent1 3 4 2 2 2 3 2 3" xfId="10844"/>
    <cellStyle name="20% - Accent1 3 4 2 2 2 3 2 3 2" xfId="55614"/>
    <cellStyle name="20% - Accent1 3 4 2 2 2 3 2 4" xfId="22645"/>
    <cellStyle name="20% - Accent1 3 4 2 2 2 3 2 4 2" xfId="55615"/>
    <cellStyle name="20% - Accent1 3 4 2 2 2 3 2 5" xfId="36260"/>
    <cellStyle name="20% - Accent1 3 4 2 2 2 3 3" xfId="13940"/>
    <cellStyle name="20% - Accent1 3 4 2 2 2 3 3 2" xfId="25741"/>
    <cellStyle name="20% - Accent1 3 4 2 2 2 3 3 2 2" xfId="55616"/>
    <cellStyle name="20% - Accent1 3 4 2 2 2 3 3 3" xfId="39356"/>
    <cellStyle name="20% - Accent1 3 4 2 2 2 3 4" xfId="9003"/>
    <cellStyle name="20% - Accent1 3 4 2 2 2 3 4 2" xfId="55617"/>
    <cellStyle name="20% - Accent1 3 4 2 2 2 3 5" xfId="20804"/>
    <cellStyle name="20% - Accent1 3 4 2 2 2 3 5 2" xfId="55618"/>
    <cellStyle name="20% - Accent1 3 4 2 2 2 3 6" xfId="34419"/>
    <cellStyle name="20% - Accent1 3 4 2 2 2 4" xfId="4255"/>
    <cellStyle name="20% - Accent1 3 4 2 2 2 4 2" xfId="13941"/>
    <cellStyle name="20% - Accent1 3 4 2 2 2 4 2 2" xfId="25742"/>
    <cellStyle name="20% - Accent1 3 4 2 2 2 4 2 2 2" xfId="55619"/>
    <cellStyle name="20% - Accent1 3 4 2 2 2 4 2 3" xfId="39357"/>
    <cellStyle name="20% - Accent1 3 4 2 2 2 4 3" xfId="9708"/>
    <cellStyle name="20% - Accent1 3 4 2 2 2 4 3 2" xfId="45841"/>
    <cellStyle name="20% - Accent1 3 4 2 2 2 4 4" xfId="21509"/>
    <cellStyle name="20% - Accent1 3 4 2 2 2 4 4 2" xfId="55620"/>
    <cellStyle name="20% - Accent1 3 4 2 2 2 4 5" xfId="35124"/>
    <cellStyle name="20% - Accent1 3 4 2 2 2 5" xfId="2414"/>
    <cellStyle name="20% - Accent1 3 4 2 2 2 5 2" xfId="17099"/>
    <cellStyle name="20% - Accent1 3 4 2 2 2 5 2 2" xfId="28900"/>
    <cellStyle name="20% - Accent1 3 4 2 2 2 5 2 2 2" xfId="55621"/>
    <cellStyle name="20% - Accent1 3 4 2 2 2 5 2 3" xfId="42515"/>
    <cellStyle name="20% - Accent1 3 4 2 2 2 5 3" xfId="7867"/>
    <cellStyle name="20% - Accent1 3 4 2 2 2 5 3 2" xfId="55622"/>
    <cellStyle name="20% - Accent1 3 4 2 2 2 5 4" xfId="19668"/>
    <cellStyle name="20% - Accent1 3 4 2 2 2 5 4 2" xfId="55623"/>
    <cellStyle name="20% - Accent1 3 4 2 2 2 5 5" xfId="33283"/>
    <cellStyle name="20% - Accent1 3 4 2 2 2 6" xfId="13942"/>
    <cellStyle name="20% - Accent1 3 4 2 2 2 6 2" xfId="25743"/>
    <cellStyle name="20% - Accent1 3 4 2 2 2 6 2 2" xfId="55624"/>
    <cellStyle name="20% - Accent1 3 4 2 2 2 6 3" xfId="39358"/>
    <cellStyle name="20% - Accent1 3 4 2 2 2 7" xfId="5967"/>
    <cellStyle name="20% - Accent1 3 4 2 2 2 7 2" xfId="55625"/>
    <cellStyle name="20% - Accent1 3 4 2 2 2 8" xfId="17768"/>
    <cellStyle name="20% - Accent1 3 4 2 2 2 8 2" xfId="55626"/>
    <cellStyle name="20% - Accent1 3 4 2 2 2 9" xfId="31383"/>
    <cellStyle name="20% - Accent1 3 4 2 2 3" xfId="785"/>
    <cellStyle name="20% - Accent1 3 4 2 2 3 2" xfId="1457"/>
    <cellStyle name="20% - Accent1 3 4 2 2 3 2 2" xfId="4527"/>
    <cellStyle name="20% - Accent1 3 4 2 2 3 2 2 2" xfId="13943"/>
    <cellStyle name="20% - Accent1 3 4 2 2 3 2 2 2 2" xfId="25744"/>
    <cellStyle name="20% - Accent1 3 4 2 2 3 2 2 2 2 2" xfId="55627"/>
    <cellStyle name="20% - Accent1 3 4 2 2 3 2 2 2 3" xfId="39359"/>
    <cellStyle name="20% - Accent1 3 4 2 2 3 2 2 3" xfId="9980"/>
    <cellStyle name="20% - Accent1 3 4 2 2 3 2 2 3 2" xfId="45842"/>
    <cellStyle name="20% - Accent1 3 4 2 2 3 2 2 4" xfId="21781"/>
    <cellStyle name="20% - Accent1 3 4 2 2 3 2 2 4 2" xfId="55628"/>
    <cellStyle name="20% - Accent1 3 4 2 2 3 2 2 5" xfId="35396"/>
    <cellStyle name="20% - Accent1 3 4 2 2 3 2 3" xfId="13944"/>
    <cellStyle name="20% - Accent1 3 4 2 2 3 2 3 2" xfId="25745"/>
    <cellStyle name="20% - Accent1 3 4 2 2 3 2 3 2 2" xfId="45843"/>
    <cellStyle name="20% - Accent1 3 4 2 2 3 2 3 3" xfId="30023"/>
    <cellStyle name="20% - Accent1 3 4 2 2 3 2 3 3 2" xfId="45844"/>
    <cellStyle name="20% - Accent1 3 4 2 2 3 2 3 4" xfId="30024"/>
    <cellStyle name="20% - Accent1 3 4 2 2 3 2 3 4 2" xfId="55629"/>
    <cellStyle name="20% - Accent1 3 4 2 2 3 2 3 5" xfId="39360"/>
    <cellStyle name="20% - Accent1 3 4 2 2 3 2 4" xfId="13945"/>
    <cellStyle name="20% - Accent1 3 4 2 2 3 2 4 2" xfId="25746"/>
    <cellStyle name="20% - Accent1 3 4 2 2 3 2 4 2 2" xfId="55630"/>
    <cellStyle name="20% - Accent1 3 4 2 2 3 2 4 3" xfId="39361"/>
    <cellStyle name="20% - Accent1 3 4 2 2 3 2 5" xfId="6911"/>
    <cellStyle name="20% - Accent1 3 4 2 2 3 2 5 2" xfId="45845"/>
    <cellStyle name="20% - Accent1 3 4 2 2 3 2 6" xfId="18712"/>
    <cellStyle name="20% - Accent1 3 4 2 2 3 2 6 2" xfId="55631"/>
    <cellStyle name="20% - Accent1 3 4 2 2 3 2 7" xfId="32327"/>
    <cellStyle name="20% - Accent1 3 4 2 2 3 3" xfId="2686"/>
    <cellStyle name="20% - Accent1 3 4 2 2 3 3 2" xfId="13946"/>
    <cellStyle name="20% - Accent1 3 4 2 2 3 3 2 2" xfId="25747"/>
    <cellStyle name="20% - Accent1 3 4 2 2 3 3 2 2 2" xfId="55632"/>
    <cellStyle name="20% - Accent1 3 4 2 2 3 3 2 3" xfId="39362"/>
    <cellStyle name="20% - Accent1 3 4 2 2 3 3 3" xfId="8139"/>
    <cellStyle name="20% - Accent1 3 4 2 2 3 3 3 2" xfId="45846"/>
    <cellStyle name="20% - Accent1 3 4 2 2 3 3 4" xfId="19940"/>
    <cellStyle name="20% - Accent1 3 4 2 2 3 3 4 2" xfId="55633"/>
    <cellStyle name="20% - Accent1 3 4 2 2 3 3 5" xfId="33555"/>
    <cellStyle name="20% - Accent1 3 4 2 2 3 4" xfId="13947"/>
    <cellStyle name="20% - Accent1 3 4 2 2 3 4 2" xfId="25748"/>
    <cellStyle name="20% - Accent1 3 4 2 2 3 4 2 2" xfId="45847"/>
    <cellStyle name="20% - Accent1 3 4 2 2 3 4 3" xfId="30025"/>
    <cellStyle name="20% - Accent1 3 4 2 2 3 4 3 2" xfId="45848"/>
    <cellStyle name="20% - Accent1 3 4 2 2 3 4 4" xfId="30026"/>
    <cellStyle name="20% - Accent1 3 4 2 2 3 4 4 2" xfId="55634"/>
    <cellStyle name="20% - Accent1 3 4 2 2 3 4 5" xfId="39363"/>
    <cellStyle name="20% - Accent1 3 4 2 2 3 5" xfId="13948"/>
    <cellStyle name="20% - Accent1 3 4 2 2 3 5 2" xfId="25749"/>
    <cellStyle name="20% - Accent1 3 4 2 2 3 5 2 2" xfId="55635"/>
    <cellStyle name="20% - Accent1 3 4 2 2 3 5 3" xfId="39364"/>
    <cellStyle name="20% - Accent1 3 4 2 2 3 6" xfId="6239"/>
    <cellStyle name="20% - Accent1 3 4 2 2 3 6 2" xfId="45849"/>
    <cellStyle name="20% - Accent1 3 4 2 2 3 7" xfId="18040"/>
    <cellStyle name="20% - Accent1 3 4 2 2 3 7 2" xfId="55636"/>
    <cellStyle name="20% - Accent1 3 4 2 2 3 8" xfId="31655"/>
    <cellStyle name="20% - Accent1 3 4 2 2 4" xfId="1458"/>
    <cellStyle name="20% - Accent1 3 4 2 2 4 2" xfId="5095"/>
    <cellStyle name="20% - Accent1 3 4 2 2 4 2 2" xfId="13949"/>
    <cellStyle name="20% - Accent1 3 4 2 2 4 2 2 2" xfId="25750"/>
    <cellStyle name="20% - Accent1 3 4 2 2 4 2 2 2 2" xfId="55637"/>
    <cellStyle name="20% - Accent1 3 4 2 2 4 2 2 3" xfId="39365"/>
    <cellStyle name="20% - Accent1 3 4 2 2 4 2 3" xfId="10548"/>
    <cellStyle name="20% - Accent1 3 4 2 2 4 2 3 2" xfId="45850"/>
    <cellStyle name="20% - Accent1 3 4 2 2 4 2 4" xfId="22349"/>
    <cellStyle name="20% - Accent1 3 4 2 2 4 2 4 2" xfId="55638"/>
    <cellStyle name="20% - Accent1 3 4 2 2 4 2 5" xfId="35964"/>
    <cellStyle name="20% - Accent1 3 4 2 2 4 3" xfId="3254"/>
    <cellStyle name="20% - Accent1 3 4 2 2 4 3 2" xfId="13950"/>
    <cellStyle name="20% - Accent1 3 4 2 2 4 3 2 2" xfId="25751"/>
    <cellStyle name="20% - Accent1 3 4 2 2 4 3 2 2 2" xfId="55639"/>
    <cellStyle name="20% - Accent1 3 4 2 2 4 3 2 3" xfId="39366"/>
    <cellStyle name="20% - Accent1 3 4 2 2 4 3 3" xfId="8707"/>
    <cellStyle name="20% - Accent1 3 4 2 2 4 3 3 2" xfId="45851"/>
    <cellStyle name="20% - Accent1 3 4 2 2 4 3 4" xfId="20508"/>
    <cellStyle name="20% - Accent1 3 4 2 2 4 3 4 2" xfId="55640"/>
    <cellStyle name="20% - Accent1 3 4 2 2 4 3 5" xfId="34123"/>
    <cellStyle name="20% - Accent1 3 4 2 2 4 4" xfId="13951"/>
    <cellStyle name="20% - Accent1 3 4 2 2 4 4 2" xfId="25752"/>
    <cellStyle name="20% - Accent1 3 4 2 2 4 4 2 2" xfId="55641"/>
    <cellStyle name="20% - Accent1 3 4 2 2 4 4 3" xfId="39367"/>
    <cellStyle name="20% - Accent1 3 4 2 2 4 5" xfId="6912"/>
    <cellStyle name="20% - Accent1 3 4 2 2 4 5 2" xfId="45852"/>
    <cellStyle name="20% - Accent1 3 4 2 2 4 6" xfId="18713"/>
    <cellStyle name="20% - Accent1 3 4 2 2 4 6 2" xfId="55642"/>
    <cellStyle name="20% - Accent1 3 4 2 2 4 7" xfId="32328"/>
    <cellStyle name="20% - Accent1 3 4 2 2 5" xfId="3959"/>
    <cellStyle name="20% - Accent1 3 4 2 2 5 2" xfId="13952"/>
    <cellStyle name="20% - Accent1 3 4 2 2 5 2 2" xfId="25753"/>
    <cellStyle name="20% - Accent1 3 4 2 2 5 2 2 2" xfId="55643"/>
    <cellStyle name="20% - Accent1 3 4 2 2 5 2 3" xfId="39368"/>
    <cellStyle name="20% - Accent1 3 4 2 2 5 3" xfId="9412"/>
    <cellStyle name="20% - Accent1 3 4 2 2 5 3 2" xfId="45853"/>
    <cellStyle name="20% - Accent1 3 4 2 2 5 4" xfId="21213"/>
    <cellStyle name="20% - Accent1 3 4 2 2 5 4 2" xfId="55644"/>
    <cellStyle name="20% - Accent1 3 4 2 2 5 5" xfId="34828"/>
    <cellStyle name="20% - Accent1 3 4 2 2 6" xfId="2118"/>
    <cellStyle name="20% - Accent1 3 4 2 2 6 2" xfId="13953"/>
    <cellStyle name="20% - Accent1 3 4 2 2 6 2 2" xfId="25754"/>
    <cellStyle name="20% - Accent1 3 4 2 2 6 2 2 2" xfId="55645"/>
    <cellStyle name="20% - Accent1 3 4 2 2 6 2 3" xfId="39369"/>
    <cellStyle name="20% - Accent1 3 4 2 2 6 3" xfId="7571"/>
    <cellStyle name="20% - Accent1 3 4 2 2 6 3 2" xfId="45854"/>
    <cellStyle name="20% - Accent1 3 4 2 2 6 4" xfId="19372"/>
    <cellStyle name="20% - Accent1 3 4 2 2 6 4 2" xfId="55646"/>
    <cellStyle name="20% - Accent1 3 4 2 2 6 5" xfId="32987"/>
    <cellStyle name="20% - Accent1 3 4 2 2 7" xfId="13954"/>
    <cellStyle name="20% - Accent1 3 4 2 2 7 2" xfId="25755"/>
    <cellStyle name="20% - Accent1 3 4 2 2 7 2 2" xfId="55647"/>
    <cellStyle name="20% - Accent1 3 4 2 2 7 3" xfId="39370"/>
    <cellStyle name="20% - Accent1 3 4 2 2 8" xfId="5671"/>
    <cellStyle name="20% - Accent1 3 4 2 2 8 2" xfId="45855"/>
    <cellStyle name="20% - Accent1 3 4 2 2 9" xfId="17472"/>
    <cellStyle name="20% - Accent1 3 4 2 2 9 2" xfId="55648"/>
    <cellStyle name="20% - Accent1 3 4 2 3" xfId="376"/>
    <cellStyle name="20% - Accent1 3 4 2 3 2" xfId="1459"/>
    <cellStyle name="20% - Accent1 3 4 2 3 2 2" xfId="4686"/>
    <cellStyle name="20% - Accent1 3 4 2 3 2 2 2" xfId="13955"/>
    <cellStyle name="20% - Accent1 3 4 2 3 2 2 2 2" xfId="25756"/>
    <cellStyle name="20% - Accent1 3 4 2 3 2 2 2 2 2" xfId="55649"/>
    <cellStyle name="20% - Accent1 3 4 2 3 2 2 2 3" xfId="39371"/>
    <cellStyle name="20% - Accent1 3 4 2 3 2 2 3" xfId="10139"/>
    <cellStyle name="20% - Accent1 3 4 2 3 2 2 3 2" xfId="45856"/>
    <cellStyle name="20% - Accent1 3 4 2 3 2 2 4" xfId="21940"/>
    <cellStyle name="20% - Accent1 3 4 2 3 2 2 4 2" xfId="55650"/>
    <cellStyle name="20% - Accent1 3 4 2 3 2 2 5" xfId="35555"/>
    <cellStyle name="20% - Accent1 3 4 2 3 2 3" xfId="2845"/>
    <cellStyle name="20% - Accent1 3 4 2 3 2 3 2" xfId="13956"/>
    <cellStyle name="20% - Accent1 3 4 2 3 2 3 2 2" xfId="25757"/>
    <cellStyle name="20% - Accent1 3 4 2 3 2 3 2 2 2" xfId="55651"/>
    <cellStyle name="20% - Accent1 3 4 2 3 2 3 2 3" xfId="39372"/>
    <cellStyle name="20% - Accent1 3 4 2 3 2 3 3" xfId="8298"/>
    <cellStyle name="20% - Accent1 3 4 2 3 2 3 3 2" xfId="45857"/>
    <cellStyle name="20% - Accent1 3 4 2 3 2 3 4" xfId="20099"/>
    <cellStyle name="20% - Accent1 3 4 2 3 2 3 4 2" xfId="55652"/>
    <cellStyle name="20% - Accent1 3 4 2 3 2 3 5" xfId="33714"/>
    <cellStyle name="20% - Accent1 3 4 2 3 2 4" xfId="13957"/>
    <cellStyle name="20% - Accent1 3 4 2 3 2 4 2" xfId="25758"/>
    <cellStyle name="20% - Accent1 3 4 2 3 2 4 2 2" xfId="55653"/>
    <cellStyle name="20% - Accent1 3 4 2 3 2 4 3" xfId="39373"/>
    <cellStyle name="20% - Accent1 3 4 2 3 2 5" xfId="6913"/>
    <cellStyle name="20% - Accent1 3 4 2 3 2 5 2" xfId="45858"/>
    <cellStyle name="20% - Accent1 3 4 2 3 2 6" xfId="18714"/>
    <cellStyle name="20% - Accent1 3 4 2 3 2 6 2" xfId="55654"/>
    <cellStyle name="20% - Accent1 3 4 2 3 2 7" xfId="32329"/>
    <cellStyle name="20% - Accent1 3 4 2 3 3" xfId="3413"/>
    <cellStyle name="20% - Accent1 3 4 2 3 3 2" xfId="5254"/>
    <cellStyle name="20% - Accent1 3 4 2 3 3 2 2" xfId="16724"/>
    <cellStyle name="20% - Accent1 3 4 2 3 3 2 2 2" xfId="28525"/>
    <cellStyle name="20% - Accent1 3 4 2 3 3 2 2 2 2" xfId="55655"/>
    <cellStyle name="20% - Accent1 3 4 2 3 3 2 2 3" xfId="42140"/>
    <cellStyle name="20% - Accent1 3 4 2 3 3 2 3" xfId="10707"/>
    <cellStyle name="20% - Accent1 3 4 2 3 3 2 3 2" xfId="55656"/>
    <cellStyle name="20% - Accent1 3 4 2 3 3 2 4" xfId="22508"/>
    <cellStyle name="20% - Accent1 3 4 2 3 3 2 4 2" xfId="55657"/>
    <cellStyle name="20% - Accent1 3 4 2 3 3 2 5" xfId="36123"/>
    <cellStyle name="20% - Accent1 3 4 2 3 3 3" xfId="13958"/>
    <cellStyle name="20% - Accent1 3 4 2 3 3 3 2" xfId="25759"/>
    <cellStyle name="20% - Accent1 3 4 2 3 3 3 2 2" xfId="55658"/>
    <cellStyle name="20% - Accent1 3 4 2 3 3 3 3" xfId="39374"/>
    <cellStyle name="20% - Accent1 3 4 2 3 3 4" xfId="8866"/>
    <cellStyle name="20% - Accent1 3 4 2 3 3 4 2" xfId="55659"/>
    <cellStyle name="20% - Accent1 3 4 2 3 3 5" xfId="20667"/>
    <cellStyle name="20% - Accent1 3 4 2 3 3 5 2" xfId="55660"/>
    <cellStyle name="20% - Accent1 3 4 2 3 3 6" xfId="34282"/>
    <cellStyle name="20% - Accent1 3 4 2 3 4" xfId="4118"/>
    <cellStyle name="20% - Accent1 3 4 2 3 4 2" xfId="13959"/>
    <cellStyle name="20% - Accent1 3 4 2 3 4 2 2" xfId="25760"/>
    <cellStyle name="20% - Accent1 3 4 2 3 4 2 2 2" xfId="55661"/>
    <cellStyle name="20% - Accent1 3 4 2 3 4 2 3" xfId="39375"/>
    <cellStyle name="20% - Accent1 3 4 2 3 4 3" xfId="9571"/>
    <cellStyle name="20% - Accent1 3 4 2 3 4 3 2" xfId="45859"/>
    <cellStyle name="20% - Accent1 3 4 2 3 4 4" xfId="21372"/>
    <cellStyle name="20% - Accent1 3 4 2 3 4 4 2" xfId="55662"/>
    <cellStyle name="20% - Accent1 3 4 2 3 4 5" xfId="34987"/>
    <cellStyle name="20% - Accent1 3 4 2 3 5" xfId="2277"/>
    <cellStyle name="20% - Accent1 3 4 2 3 5 2" xfId="17100"/>
    <cellStyle name="20% - Accent1 3 4 2 3 5 2 2" xfId="28901"/>
    <cellStyle name="20% - Accent1 3 4 2 3 5 2 2 2" xfId="55663"/>
    <cellStyle name="20% - Accent1 3 4 2 3 5 2 3" xfId="42516"/>
    <cellStyle name="20% - Accent1 3 4 2 3 5 3" xfId="7730"/>
    <cellStyle name="20% - Accent1 3 4 2 3 5 3 2" xfId="55664"/>
    <cellStyle name="20% - Accent1 3 4 2 3 5 4" xfId="19531"/>
    <cellStyle name="20% - Accent1 3 4 2 3 5 4 2" xfId="55665"/>
    <cellStyle name="20% - Accent1 3 4 2 3 5 5" xfId="33146"/>
    <cellStyle name="20% - Accent1 3 4 2 3 6" xfId="13960"/>
    <cellStyle name="20% - Accent1 3 4 2 3 6 2" xfId="25761"/>
    <cellStyle name="20% - Accent1 3 4 2 3 6 2 2" xfId="55666"/>
    <cellStyle name="20% - Accent1 3 4 2 3 6 3" xfId="39376"/>
    <cellStyle name="20% - Accent1 3 4 2 3 7" xfId="5830"/>
    <cellStyle name="20% - Accent1 3 4 2 3 7 2" xfId="55667"/>
    <cellStyle name="20% - Accent1 3 4 2 3 8" xfId="17631"/>
    <cellStyle name="20% - Accent1 3 4 2 3 8 2" xfId="55668"/>
    <cellStyle name="20% - Accent1 3 4 2 3 9" xfId="31246"/>
    <cellStyle name="20% - Accent1 3 4 2 4" xfId="654"/>
    <cellStyle name="20% - Accent1 3 4 2 4 2" xfId="1460"/>
    <cellStyle name="20% - Accent1 3 4 2 4 2 2" xfId="4396"/>
    <cellStyle name="20% - Accent1 3 4 2 4 2 2 2" xfId="13961"/>
    <cellStyle name="20% - Accent1 3 4 2 4 2 2 2 2" xfId="25762"/>
    <cellStyle name="20% - Accent1 3 4 2 4 2 2 2 2 2" xfId="55669"/>
    <cellStyle name="20% - Accent1 3 4 2 4 2 2 2 3" xfId="39377"/>
    <cellStyle name="20% - Accent1 3 4 2 4 2 2 3" xfId="9849"/>
    <cellStyle name="20% - Accent1 3 4 2 4 2 2 3 2" xfId="45860"/>
    <cellStyle name="20% - Accent1 3 4 2 4 2 2 4" xfId="21650"/>
    <cellStyle name="20% - Accent1 3 4 2 4 2 2 4 2" xfId="55670"/>
    <cellStyle name="20% - Accent1 3 4 2 4 2 2 5" xfId="35265"/>
    <cellStyle name="20% - Accent1 3 4 2 4 2 3" xfId="13962"/>
    <cellStyle name="20% - Accent1 3 4 2 4 2 3 2" xfId="25763"/>
    <cellStyle name="20% - Accent1 3 4 2 4 2 3 2 2" xfId="45861"/>
    <cellStyle name="20% - Accent1 3 4 2 4 2 3 3" xfId="30027"/>
    <cellStyle name="20% - Accent1 3 4 2 4 2 3 3 2" xfId="45862"/>
    <cellStyle name="20% - Accent1 3 4 2 4 2 3 4" xfId="30028"/>
    <cellStyle name="20% - Accent1 3 4 2 4 2 3 4 2" xfId="55671"/>
    <cellStyle name="20% - Accent1 3 4 2 4 2 3 5" xfId="39378"/>
    <cellStyle name="20% - Accent1 3 4 2 4 2 4" xfId="13963"/>
    <cellStyle name="20% - Accent1 3 4 2 4 2 4 2" xfId="25764"/>
    <cellStyle name="20% - Accent1 3 4 2 4 2 4 2 2" xfId="55672"/>
    <cellStyle name="20% - Accent1 3 4 2 4 2 4 3" xfId="39379"/>
    <cellStyle name="20% - Accent1 3 4 2 4 2 5" xfId="6914"/>
    <cellStyle name="20% - Accent1 3 4 2 4 2 5 2" xfId="45863"/>
    <cellStyle name="20% - Accent1 3 4 2 4 2 6" xfId="18715"/>
    <cellStyle name="20% - Accent1 3 4 2 4 2 6 2" xfId="55673"/>
    <cellStyle name="20% - Accent1 3 4 2 4 2 7" xfId="32330"/>
    <cellStyle name="20% - Accent1 3 4 2 4 3" xfId="2555"/>
    <cellStyle name="20% - Accent1 3 4 2 4 3 2" xfId="13964"/>
    <cellStyle name="20% - Accent1 3 4 2 4 3 2 2" xfId="25765"/>
    <cellStyle name="20% - Accent1 3 4 2 4 3 2 2 2" xfId="55674"/>
    <cellStyle name="20% - Accent1 3 4 2 4 3 2 3" xfId="39380"/>
    <cellStyle name="20% - Accent1 3 4 2 4 3 3" xfId="8008"/>
    <cellStyle name="20% - Accent1 3 4 2 4 3 3 2" xfId="45864"/>
    <cellStyle name="20% - Accent1 3 4 2 4 3 4" xfId="19809"/>
    <cellStyle name="20% - Accent1 3 4 2 4 3 4 2" xfId="55675"/>
    <cellStyle name="20% - Accent1 3 4 2 4 3 5" xfId="33424"/>
    <cellStyle name="20% - Accent1 3 4 2 4 4" xfId="13965"/>
    <cellStyle name="20% - Accent1 3 4 2 4 4 2" xfId="25766"/>
    <cellStyle name="20% - Accent1 3 4 2 4 4 2 2" xfId="45865"/>
    <cellStyle name="20% - Accent1 3 4 2 4 4 3" xfId="30029"/>
    <cellStyle name="20% - Accent1 3 4 2 4 4 3 2" xfId="45866"/>
    <cellStyle name="20% - Accent1 3 4 2 4 4 4" xfId="30030"/>
    <cellStyle name="20% - Accent1 3 4 2 4 4 4 2" xfId="55676"/>
    <cellStyle name="20% - Accent1 3 4 2 4 4 5" xfId="39381"/>
    <cellStyle name="20% - Accent1 3 4 2 4 5" xfId="13966"/>
    <cellStyle name="20% - Accent1 3 4 2 4 5 2" xfId="25767"/>
    <cellStyle name="20% - Accent1 3 4 2 4 5 2 2" xfId="55677"/>
    <cellStyle name="20% - Accent1 3 4 2 4 5 3" xfId="39382"/>
    <cellStyle name="20% - Accent1 3 4 2 4 6" xfId="6108"/>
    <cellStyle name="20% - Accent1 3 4 2 4 6 2" xfId="45867"/>
    <cellStyle name="20% - Accent1 3 4 2 4 7" xfId="17909"/>
    <cellStyle name="20% - Accent1 3 4 2 4 7 2" xfId="55678"/>
    <cellStyle name="20% - Accent1 3 4 2 4 8" xfId="31524"/>
    <cellStyle name="20% - Accent1 3 4 2 5" xfId="895"/>
    <cellStyle name="20% - Accent1 3 4 2 5 2" xfId="1461"/>
    <cellStyle name="20% - Accent1 3 4 2 5 2 2" xfId="4964"/>
    <cellStyle name="20% - Accent1 3 4 2 5 2 2 2" xfId="13967"/>
    <cellStyle name="20% - Accent1 3 4 2 5 2 2 2 2" xfId="25768"/>
    <cellStyle name="20% - Accent1 3 4 2 5 2 2 2 2 2" xfId="55679"/>
    <cellStyle name="20% - Accent1 3 4 2 5 2 2 2 3" xfId="39383"/>
    <cellStyle name="20% - Accent1 3 4 2 5 2 2 3" xfId="10417"/>
    <cellStyle name="20% - Accent1 3 4 2 5 2 2 3 2" xfId="45868"/>
    <cellStyle name="20% - Accent1 3 4 2 5 2 2 4" xfId="22218"/>
    <cellStyle name="20% - Accent1 3 4 2 5 2 2 4 2" xfId="55680"/>
    <cellStyle name="20% - Accent1 3 4 2 5 2 2 5" xfId="35833"/>
    <cellStyle name="20% - Accent1 3 4 2 5 2 3" xfId="13968"/>
    <cellStyle name="20% - Accent1 3 4 2 5 2 3 2" xfId="25769"/>
    <cellStyle name="20% - Accent1 3 4 2 5 2 3 2 2" xfId="45869"/>
    <cellStyle name="20% - Accent1 3 4 2 5 2 3 3" xfId="30031"/>
    <cellStyle name="20% - Accent1 3 4 2 5 2 3 3 2" xfId="45870"/>
    <cellStyle name="20% - Accent1 3 4 2 5 2 3 4" xfId="30032"/>
    <cellStyle name="20% - Accent1 3 4 2 5 2 3 4 2" xfId="55681"/>
    <cellStyle name="20% - Accent1 3 4 2 5 2 3 5" xfId="39384"/>
    <cellStyle name="20% - Accent1 3 4 2 5 2 4" xfId="13969"/>
    <cellStyle name="20% - Accent1 3 4 2 5 2 4 2" xfId="25770"/>
    <cellStyle name="20% - Accent1 3 4 2 5 2 4 2 2" xfId="55682"/>
    <cellStyle name="20% - Accent1 3 4 2 5 2 4 3" xfId="39385"/>
    <cellStyle name="20% - Accent1 3 4 2 5 2 5" xfId="6915"/>
    <cellStyle name="20% - Accent1 3 4 2 5 2 5 2" xfId="45871"/>
    <cellStyle name="20% - Accent1 3 4 2 5 2 6" xfId="18716"/>
    <cellStyle name="20% - Accent1 3 4 2 5 2 6 2" xfId="55683"/>
    <cellStyle name="20% - Accent1 3 4 2 5 2 7" xfId="32331"/>
    <cellStyle name="20% - Accent1 3 4 2 5 3" xfId="3123"/>
    <cellStyle name="20% - Accent1 3 4 2 5 3 2" xfId="13970"/>
    <cellStyle name="20% - Accent1 3 4 2 5 3 2 2" xfId="25771"/>
    <cellStyle name="20% - Accent1 3 4 2 5 3 2 2 2" xfId="55684"/>
    <cellStyle name="20% - Accent1 3 4 2 5 3 2 3" xfId="39386"/>
    <cellStyle name="20% - Accent1 3 4 2 5 3 3" xfId="8576"/>
    <cellStyle name="20% - Accent1 3 4 2 5 3 3 2" xfId="45872"/>
    <cellStyle name="20% - Accent1 3 4 2 5 3 4" xfId="20377"/>
    <cellStyle name="20% - Accent1 3 4 2 5 3 4 2" xfId="55685"/>
    <cellStyle name="20% - Accent1 3 4 2 5 3 5" xfId="33992"/>
    <cellStyle name="20% - Accent1 3 4 2 5 4" xfId="13971"/>
    <cellStyle name="20% - Accent1 3 4 2 5 4 2" xfId="25772"/>
    <cellStyle name="20% - Accent1 3 4 2 5 4 2 2" xfId="45873"/>
    <cellStyle name="20% - Accent1 3 4 2 5 4 3" xfId="30033"/>
    <cellStyle name="20% - Accent1 3 4 2 5 4 3 2" xfId="45874"/>
    <cellStyle name="20% - Accent1 3 4 2 5 4 4" xfId="30034"/>
    <cellStyle name="20% - Accent1 3 4 2 5 4 4 2" xfId="55686"/>
    <cellStyle name="20% - Accent1 3 4 2 5 4 5" xfId="39387"/>
    <cellStyle name="20% - Accent1 3 4 2 5 5" xfId="13972"/>
    <cellStyle name="20% - Accent1 3 4 2 5 5 2" xfId="25773"/>
    <cellStyle name="20% - Accent1 3 4 2 5 5 2 2" xfId="55687"/>
    <cellStyle name="20% - Accent1 3 4 2 5 5 3" xfId="39388"/>
    <cellStyle name="20% - Accent1 3 4 2 5 6" xfId="6349"/>
    <cellStyle name="20% - Accent1 3 4 2 5 6 2" xfId="45875"/>
    <cellStyle name="20% - Accent1 3 4 2 5 7" xfId="18150"/>
    <cellStyle name="20% - Accent1 3 4 2 5 7 2" xfId="55688"/>
    <cellStyle name="20% - Accent1 3 4 2 5 8" xfId="31765"/>
    <cellStyle name="20% - Accent1 3 4 2 6" xfId="1462"/>
    <cellStyle name="20% - Accent1 3 4 2 6 2" xfId="3828"/>
    <cellStyle name="20% - Accent1 3 4 2 6 2 2" xfId="13973"/>
    <cellStyle name="20% - Accent1 3 4 2 6 2 2 2" xfId="25774"/>
    <cellStyle name="20% - Accent1 3 4 2 6 2 2 2 2" xfId="55689"/>
    <cellStyle name="20% - Accent1 3 4 2 6 2 2 3" xfId="39389"/>
    <cellStyle name="20% - Accent1 3 4 2 6 2 3" xfId="9281"/>
    <cellStyle name="20% - Accent1 3 4 2 6 2 3 2" xfId="45876"/>
    <cellStyle name="20% - Accent1 3 4 2 6 2 4" xfId="21082"/>
    <cellStyle name="20% - Accent1 3 4 2 6 2 4 2" xfId="55690"/>
    <cellStyle name="20% - Accent1 3 4 2 6 2 5" xfId="34697"/>
    <cellStyle name="20% - Accent1 3 4 2 6 3" xfId="13974"/>
    <cellStyle name="20% - Accent1 3 4 2 6 3 2" xfId="25775"/>
    <cellStyle name="20% - Accent1 3 4 2 6 3 2 2" xfId="45877"/>
    <cellStyle name="20% - Accent1 3 4 2 6 3 3" xfId="30035"/>
    <cellStyle name="20% - Accent1 3 4 2 6 3 3 2" xfId="45878"/>
    <cellStyle name="20% - Accent1 3 4 2 6 3 4" xfId="30036"/>
    <cellStyle name="20% - Accent1 3 4 2 6 3 4 2" xfId="55691"/>
    <cellStyle name="20% - Accent1 3 4 2 6 3 5" xfId="39390"/>
    <cellStyle name="20% - Accent1 3 4 2 6 4" xfId="13975"/>
    <cellStyle name="20% - Accent1 3 4 2 6 4 2" xfId="25776"/>
    <cellStyle name="20% - Accent1 3 4 2 6 4 2 2" xfId="55692"/>
    <cellStyle name="20% - Accent1 3 4 2 6 4 3" xfId="39391"/>
    <cellStyle name="20% - Accent1 3 4 2 6 5" xfId="6916"/>
    <cellStyle name="20% - Accent1 3 4 2 6 5 2" xfId="45879"/>
    <cellStyle name="20% - Accent1 3 4 2 6 6" xfId="18717"/>
    <cellStyle name="20% - Accent1 3 4 2 6 6 2" xfId="55693"/>
    <cellStyle name="20% - Accent1 3 4 2 6 7" xfId="32332"/>
    <cellStyle name="20% - Accent1 3 4 2 7" xfId="3691"/>
    <cellStyle name="20% - Accent1 3 4 2 7 2" xfId="13976"/>
    <cellStyle name="20% - Accent1 3 4 2 7 2 2" xfId="25777"/>
    <cellStyle name="20% - Accent1 3 4 2 7 2 2 2" xfId="55694"/>
    <cellStyle name="20% - Accent1 3 4 2 7 2 3" xfId="39392"/>
    <cellStyle name="20% - Accent1 3 4 2 7 3" xfId="9144"/>
    <cellStyle name="20% - Accent1 3 4 2 7 3 2" xfId="45880"/>
    <cellStyle name="20% - Accent1 3 4 2 7 4" xfId="20945"/>
    <cellStyle name="20% - Accent1 3 4 2 7 4 2" xfId="55695"/>
    <cellStyle name="20% - Accent1 3 4 2 7 5" xfId="34560"/>
    <cellStyle name="20% - Accent1 3 4 2 8" xfId="1987"/>
    <cellStyle name="20% - Accent1 3 4 2 8 2" xfId="13977"/>
    <cellStyle name="20% - Accent1 3 4 2 8 2 2" xfId="25778"/>
    <cellStyle name="20% - Accent1 3 4 2 8 2 2 2" xfId="55696"/>
    <cellStyle name="20% - Accent1 3 4 2 8 2 3" xfId="39393"/>
    <cellStyle name="20% - Accent1 3 4 2 8 3" xfId="7440"/>
    <cellStyle name="20% - Accent1 3 4 2 8 3 2" xfId="45881"/>
    <cellStyle name="20% - Accent1 3 4 2 8 4" xfId="19241"/>
    <cellStyle name="20% - Accent1 3 4 2 8 4 2" xfId="55697"/>
    <cellStyle name="20% - Accent1 3 4 2 8 5" xfId="32856"/>
    <cellStyle name="20% - Accent1 3 4 2 9" xfId="13978"/>
    <cellStyle name="20% - Accent1 3 4 2 9 2" xfId="25779"/>
    <cellStyle name="20% - Accent1 3 4 2 9 2 2" xfId="55698"/>
    <cellStyle name="20% - Accent1 3 4 2 9 3" xfId="39394"/>
    <cellStyle name="20% - Accent1 3 4 3" xfId="173"/>
    <cellStyle name="20% - Accent1 3 4 3 10" xfId="31043"/>
    <cellStyle name="20% - Accent1 3 4 3 2" xfId="309"/>
    <cellStyle name="20% - Accent1 3 4 3 2 2" xfId="1463"/>
    <cellStyle name="20% - Accent1 3 4 3 2 2 2" xfId="4619"/>
    <cellStyle name="20% - Accent1 3 4 3 2 2 2 2" xfId="13979"/>
    <cellStyle name="20% - Accent1 3 4 3 2 2 2 2 2" xfId="25780"/>
    <cellStyle name="20% - Accent1 3 4 3 2 2 2 2 2 2" xfId="55699"/>
    <cellStyle name="20% - Accent1 3 4 3 2 2 2 2 3" xfId="39395"/>
    <cellStyle name="20% - Accent1 3 4 3 2 2 2 3" xfId="10072"/>
    <cellStyle name="20% - Accent1 3 4 3 2 2 2 3 2" xfId="45882"/>
    <cellStyle name="20% - Accent1 3 4 3 2 2 2 4" xfId="21873"/>
    <cellStyle name="20% - Accent1 3 4 3 2 2 2 4 2" xfId="55700"/>
    <cellStyle name="20% - Accent1 3 4 3 2 2 2 5" xfId="35488"/>
    <cellStyle name="20% - Accent1 3 4 3 2 2 3" xfId="2778"/>
    <cellStyle name="20% - Accent1 3 4 3 2 2 3 2" xfId="13980"/>
    <cellStyle name="20% - Accent1 3 4 3 2 2 3 2 2" xfId="25781"/>
    <cellStyle name="20% - Accent1 3 4 3 2 2 3 2 2 2" xfId="55701"/>
    <cellStyle name="20% - Accent1 3 4 3 2 2 3 2 3" xfId="39396"/>
    <cellStyle name="20% - Accent1 3 4 3 2 2 3 3" xfId="8231"/>
    <cellStyle name="20% - Accent1 3 4 3 2 2 3 3 2" xfId="45883"/>
    <cellStyle name="20% - Accent1 3 4 3 2 2 3 4" xfId="20032"/>
    <cellStyle name="20% - Accent1 3 4 3 2 2 3 4 2" xfId="55702"/>
    <cellStyle name="20% - Accent1 3 4 3 2 2 3 5" xfId="33647"/>
    <cellStyle name="20% - Accent1 3 4 3 2 2 4" xfId="13981"/>
    <cellStyle name="20% - Accent1 3 4 3 2 2 4 2" xfId="25782"/>
    <cellStyle name="20% - Accent1 3 4 3 2 2 4 2 2" xfId="55703"/>
    <cellStyle name="20% - Accent1 3 4 3 2 2 4 3" xfId="39397"/>
    <cellStyle name="20% - Accent1 3 4 3 2 2 5" xfId="6917"/>
    <cellStyle name="20% - Accent1 3 4 3 2 2 5 2" xfId="45884"/>
    <cellStyle name="20% - Accent1 3 4 3 2 2 6" xfId="18718"/>
    <cellStyle name="20% - Accent1 3 4 3 2 2 6 2" xfId="55704"/>
    <cellStyle name="20% - Accent1 3 4 3 2 2 7" xfId="32333"/>
    <cellStyle name="20% - Accent1 3 4 3 2 3" xfId="3346"/>
    <cellStyle name="20% - Accent1 3 4 3 2 3 2" xfId="5187"/>
    <cellStyle name="20% - Accent1 3 4 3 2 3 2 2" xfId="16657"/>
    <cellStyle name="20% - Accent1 3 4 3 2 3 2 2 2" xfId="28458"/>
    <cellStyle name="20% - Accent1 3 4 3 2 3 2 2 2 2" xfId="55705"/>
    <cellStyle name="20% - Accent1 3 4 3 2 3 2 2 3" xfId="42073"/>
    <cellStyle name="20% - Accent1 3 4 3 2 3 2 3" xfId="10640"/>
    <cellStyle name="20% - Accent1 3 4 3 2 3 2 3 2" xfId="55706"/>
    <cellStyle name="20% - Accent1 3 4 3 2 3 2 4" xfId="22441"/>
    <cellStyle name="20% - Accent1 3 4 3 2 3 2 4 2" xfId="55707"/>
    <cellStyle name="20% - Accent1 3 4 3 2 3 2 5" xfId="36056"/>
    <cellStyle name="20% - Accent1 3 4 3 2 3 3" xfId="13982"/>
    <cellStyle name="20% - Accent1 3 4 3 2 3 3 2" xfId="25783"/>
    <cellStyle name="20% - Accent1 3 4 3 2 3 3 2 2" xfId="55708"/>
    <cellStyle name="20% - Accent1 3 4 3 2 3 3 3" xfId="39398"/>
    <cellStyle name="20% - Accent1 3 4 3 2 3 4" xfId="8799"/>
    <cellStyle name="20% - Accent1 3 4 3 2 3 4 2" xfId="55709"/>
    <cellStyle name="20% - Accent1 3 4 3 2 3 5" xfId="20600"/>
    <cellStyle name="20% - Accent1 3 4 3 2 3 5 2" xfId="55710"/>
    <cellStyle name="20% - Accent1 3 4 3 2 3 6" xfId="34215"/>
    <cellStyle name="20% - Accent1 3 4 3 2 4" xfId="4051"/>
    <cellStyle name="20% - Accent1 3 4 3 2 4 2" xfId="13983"/>
    <cellStyle name="20% - Accent1 3 4 3 2 4 2 2" xfId="25784"/>
    <cellStyle name="20% - Accent1 3 4 3 2 4 2 2 2" xfId="55711"/>
    <cellStyle name="20% - Accent1 3 4 3 2 4 2 3" xfId="39399"/>
    <cellStyle name="20% - Accent1 3 4 3 2 4 3" xfId="9504"/>
    <cellStyle name="20% - Accent1 3 4 3 2 4 3 2" xfId="45885"/>
    <cellStyle name="20% - Accent1 3 4 3 2 4 4" xfId="21305"/>
    <cellStyle name="20% - Accent1 3 4 3 2 4 4 2" xfId="55712"/>
    <cellStyle name="20% - Accent1 3 4 3 2 4 5" xfId="34920"/>
    <cellStyle name="20% - Accent1 3 4 3 2 5" xfId="2210"/>
    <cellStyle name="20% - Accent1 3 4 3 2 5 2" xfId="17101"/>
    <cellStyle name="20% - Accent1 3 4 3 2 5 2 2" xfId="28902"/>
    <cellStyle name="20% - Accent1 3 4 3 2 5 2 2 2" xfId="55713"/>
    <cellStyle name="20% - Accent1 3 4 3 2 5 2 3" xfId="42517"/>
    <cellStyle name="20% - Accent1 3 4 3 2 5 3" xfId="7663"/>
    <cellStyle name="20% - Accent1 3 4 3 2 5 3 2" xfId="55714"/>
    <cellStyle name="20% - Accent1 3 4 3 2 5 4" xfId="19464"/>
    <cellStyle name="20% - Accent1 3 4 3 2 5 4 2" xfId="55715"/>
    <cellStyle name="20% - Accent1 3 4 3 2 5 5" xfId="33079"/>
    <cellStyle name="20% - Accent1 3 4 3 2 6" xfId="13984"/>
    <cellStyle name="20% - Accent1 3 4 3 2 6 2" xfId="25785"/>
    <cellStyle name="20% - Accent1 3 4 3 2 6 2 2" xfId="55716"/>
    <cellStyle name="20% - Accent1 3 4 3 2 6 3" xfId="39400"/>
    <cellStyle name="20% - Accent1 3 4 3 2 7" xfId="5763"/>
    <cellStyle name="20% - Accent1 3 4 3 2 7 2" xfId="55717"/>
    <cellStyle name="20% - Accent1 3 4 3 2 8" xfId="17564"/>
    <cellStyle name="20% - Accent1 3 4 3 2 8 2" xfId="55718"/>
    <cellStyle name="20% - Accent1 3 4 3 2 9" xfId="31179"/>
    <cellStyle name="20% - Accent1 3 4 3 3" xfId="741"/>
    <cellStyle name="20% - Accent1 3 4 3 3 2" xfId="1464"/>
    <cellStyle name="20% - Accent1 3 4 3 3 2 2" xfId="4483"/>
    <cellStyle name="20% - Accent1 3 4 3 3 2 2 2" xfId="13985"/>
    <cellStyle name="20% - Accent1 3 4 3 3 2 2 2 2" xfId="25786"/>
    <cellStyle name="20% - Accent1 3 4 3 3 2 2 2 2 2" xfId="55719"/>
    <cellStyle name="20% - Accent1 3 4 3 3 2 2 2 3" xfId="39401"/>
    <cellStyle name="20% - Accent1 3 4 3 3 2 2 3" xfId="9936"/>
    <cellStyle name="20% - Accent1 3 4 3 3 2 2 3 2" xfId="45886"/>
    <cellStyle name="20% - Accent1 3 4 3 3 2 2 4" xfId="21737"/>
    <cellStyle name="20% - Accent1 3 4 3 3 2 2 4 2" xfId="55720"/>
    <cellStyle name="20% - Accent1 3 4 3 3 2 2 5" xfId="35352"/>
    <cellStyle name="20% - Accent1 3 4 3 3 2 3" xfId="13986"/>
    <cellStyle name="20% - Accent1 3 4 3 3 2 3 2" xfId="25787"/>
    <cellStyle name="20% - Accent1 3 4 3 3 2 3 2 2" xfId="45887"/>
    <cellStyle name="20% - Accent1 3 4 3 3 2 3 3" xfId="30037"/>
    <cellStyle name="20% - Accent1 3 4 3 3 2 3 3 2" xfId="45888"/>
    <cellStyle name="20% - Accent1 3 4 3 3 2 3 4" xfId="30038"/>
    <cellStyle name="20% - Accent1 3 4 3 3 2 3 4 2" xfId="55721"/>
    <cellStyle name="20% - Accent1 3 4 3 3 2 3 5" xfId="39402"/>
    <cellStyle name="20% - Accent1 3 4 3 3 2 4" xfId="13987"/>
    <cellStyle name="20% - Accent1 3 4 3 3 2 4 2" xfId="25788"/>
    <cellStyle name="20% - Accent1 3 4 3 3 2 4 2 2" xfId="55722"/>
    <cellStyle name="20% - Accent1 3 4 3 3 2 4 3" xfId="39403"/>
    <cellStyle name="20% - Accent1 3 4 3 3 2 5" xfId="6918"/>
    <cellStyle name="20% - Accent1 3 4 3 3 2 5 2" xfId="45889"/>
    <cellStyle name="20% - Accent1 3 4 3 3 2 6" xfId="18719"/>
    <cellStyle name="20% - Accent1 3 4 3 3 2 6 2" xfId="55723"/>
    <cellStyle name="20% - Accent1 3 4 3 3 2 7" xfId="32334"/>
    <cellStyle name="20% - Accent1 3 4 3 3 3" xfId="2642"/>
    <cellStyle name="20% - Accent1 3 4 3 3 3 2" xfId="13988"/>
    <cellStyle name="20% - Accent1 3 4 3 3 3 2 2" xfId="25789"/>
    <cellStyle name="20% - Accent1 3 4 3 3 3 2 2 2" xfId="55724"/>
    <cellStyle name="20% - Accent1 3 4 3 3 3 2 3" xfId="39404"/>
    <cellStyle name="20% - Accent1 3 4 3 3 3 3" xfId="8095"/>
    <cellStyle name="20% - Accent1 3 4 3 3 3 3 2" xfId="45890"/>
    <cellStyle name="20% - Accent1 3 4 3 3 3 4" xfId="19896"/>
    <cellStyle name="20% - Accent1 3 4 3 3 3 4 2" xfId="55725"/>
    <cellStyle name="20% - Accent1 3 4 3 3 3 5" xfId="33511"/>
    <cellStyle name="20% - Accent1 3 4 3 3 4" xfId="13989"/>
    <cellStyle name="20% - Accent1 3 4 3 3 4 2" xfId="25790"/>
    <cellStyle name="20% - Accent1 3 4 3 3 4 2 2" xfId="45891"/>
    <cellStyle name="20% - Accent1 3 4 3 3 4 3" xfId="30039"/>
    <cellStyle name="20% - Accent1 3 4 3 3 4 3 2" xfId="45892"/>
    <cellStyle name="20% - Accent1 3 4 3 3 4 4" xfId="30040"/>
    <cellStyle name="20% - Accent1 3 4 3 3 4 4 2" xfId="55726"/>
    <cellStyle name="20% - Accent1 3 4 3 3 4 5" xfId="39405"/>
    <cellStyle name="20% - Accent1 3 4 3 3 5" xfId="13990"/>
    <cellStyle name="20% - Accent1 3 4 3 3 5 2" xfId="25791"/>
    <cellStyle name="20% - Accent1 3 4 3 3 5 2 2" xfId="55727"/>
    <cellStyle name="20% - Accent1 3 4 3 3 5 3" xfId="39406"/>
    <cellStyle name="20% - Accent1 3 4 3 3 6" xfId="6195"/>
    <cellStyle name="20% - Accent1 3 4 3 3 6 2" xfId="45893"/>
    <cellStyle name="20% - Accent1 3 4 3 3 7" xfId="17996"/>
    <cellStyle name="20% - Accent1 3 4 3 3 7 2" xfId="55728"/>
    <cellStyle name="20% - Accent1 3 4 3 3 8" xfId="31611"/>
    <cellStyle name="20% - Accent1 3 4 3 4" xfId="1465"/>
    <cellStyle name="20% - Accent1 3 4 3 4 2" xfId="5051"/>
    <cellStyle name="20% - Accent1 3 4 3 4 2 2" xfId="13991"/>
    <cellStyle name="20% - Accent1 3 4 3 4 2 2 2" xfId="25792"/>
    <cellStyle name="20% - Accent1 3 4 3 4 2 2 2 2" xfId="55729"/>
    <cellStyle name="20% - Accent1 3 4 3 4 2 2 3" xfId="39407"/>
    <cellStyle name="20% - Accent1 3 4 3 4 2 3" xfId="10504"/>
    <cellStyle name="20% - Accent1 3 4 3 4 2 3 2" xfId="45894"/>
    <cellStyle name="20% - Accent1 3 4 3 4 2 4" xfId="22305"/>
    <cellStyle name="20% - Accent1 3 4 3 4 2 4 2" xfId="55730"/>
    <cellStyle name="20% - Accent1 3 4 3 4 2 5" xfId="35920"/>
    <cellStyle name="20% - Accent1 3 4 3 4 3" xfId="3210"/>
    <cellStyle name="20% - Accent1 3 4 3 4 3 2" xfId="13992"/>
    <cellStyle name="20% - Accent1 3 4 3 4 3 2 2" xfId="25793"/>
    <cellStyle name="20% - Accent1 3 4 3 4 3 2 2 2" xfId="55731"/>
    <cellStyle name="20% - Accent1 3 4 3 4 3 2 3" xfId="39408"/>
    <cellStyle name="20% - Accent1 3 4 3 4 3 3" xfId="8663"/>
    <cellStyle name="20% - Accent1 3 4 3 4 3 3 2" xfId="45895"/>
    <cellStyle name="20% - Accent1 3 4 3 4 3 4" xfId="20464"/>
    <cellStyle name="20% - Accent1 3 4 3 4 3 4 2" xfId="55732"/>
    <cellStyle name="20% - Accent1 3 4 3 4 3 5" xfId="34079"/>
    <cellStyle name="20% - Accent1 3 4 3 4 4" xfId="13993"/>
    <cellStyle name="20% - Accent1 3 4 3 4 4 2" xfId="25794"/>
    <cellStyle name="20% - Accent1 3 4 3 4 4 2 2" xfId="55733"/>
    <cellStyle name="20% - Accent1 3 4 3 4 4 3" xfId="39409"/>
    <cellStyle name="20% - Accent1 3 4 3 4 5" xfId="6919"/>
    <cellStyle name="20% - Accent1 3 4 3 4 5 2" xfId="45896"/>
    <cellStyle name="20% - Accent1 3 4 3 4 6" xfId="18720"/>
    <cellStyle name="20% - Accent1 3 4 3 4 6 2" xfId="55734"/>
    <cellStyle name="20% - Accent1 3 4 3 4 7" xfId="32335"/>
    <cellStyle name="20% - Accent1 3 4 3 5" xfId="3915"/>
    <cellStyle name="20% - Accent1 3 4 3 5 2" xfId="13994"/>
    <cellStyle name="20% - Accent1 3 4 3 5 2 2" xfId="25795"/>
    <cellStyle name="20% - Accent1 3 4 3 5 2 2 2" xfId="55735"/>
    <cellStyle name="20% - Accent1 3 4 3 5 2 3" xfId="39410"/>
    <cellStyle name="20% - Accent1 3 4 3 5 3" xfId="9368"/>
    <cellStyle name="20% - Accent1 3 4 3 5 3 2" xfId="45897"/>
    <cellStyle name="20% - Accent1 3 4 3 5 4" xfId="21169"/>
    <cellStyle name="20% - Accent1 3 4 3 5 4 2" xfId="55736"/>
    <cellStyle name="20% - Accent1 3 4 3 5 5" xfId="34784"/>
    <cellStyle name="20% - Accent1 3 4 3 6" xfId="2074"/>
    <cellStyle name="20% - Accent1 3 4 3 6 2" xfId="13995"/>
    <cellStyle name="20% - Accent1 3 4 3 6 2 2" xfId="25796"/>
    <cellStyle name="20% - Accent1 3 4 3 6 2 2 2" xfId="55737"/>
    <cellStyle name="20% - Accent1 3 4 3 6 2 3" xfId="39411"/>
    <cellStyle name="20% - Accent1 3 4 3 6 3" xfId="7527"/>
    <cellStyle name="20% - Accent1 3 4 3 6 3 2" xfId="45898"/>
    <cellStyle name="20% - Accent1 3 4 3 6 4" xfId="19328"/>
    <cellStyle name="20% - Accent1 3 4 3 6 4 2" xfId="55738"/>
    <cellStyle name="20% - Accent1 3 4 3 6 5" xfId="32943"/>
    <cellStyle name="20% - Accent1 3 4 3 7" xfId="13996"/>
    <cellStyle name="20% - Accent1 3 4 3 7 2" xfId="25797"/>
    <cellStyle name="20% - Accent1 3 4 3 7 2 2" xfId="55739"/>
    <cellStyle name="20% - Accent1 3 4 3 7 3" xfId="39412"/>
    <cellStyle name="20% - Accent1 3 4 3 8" xfId="5627"/>
    <cellStyle name="20% - Accent1 3 4 3 8 2" xfId="45899"/>
    <cellStyle name="20% - Accent1 3 4 3 9" xfId="17428"/>
    <cellStyle name="20% - Accent1 3 4 3 9 2" xfId="55740"/>
    <cellStyle name="20% - Accent1 3 4 4" xfId="446"/>
    <cellStyle name="20% - Accent1 3 4 4 2" xfId="1466"/>
    <cellStyle name="20% - Accent1 3 4 4 2 2" xfId="4756"/>
    <cellStyle name="20% - Accent1 3 4 4 2 2 2" xfId="13997"/>
    <cellStyle name="20% - Accent1 3 4 4 2 2 2 2" xfId="25798"/>
    <cellStyle name="20% - Accent1 3 4 4 2 2 2 2 2" xfId="55741"/>
    <cellStyle name="20% - Accent1 3 4 4 2 2 2 3" xfId="39413"/>
    <cellStyle name="20% - Accent1 3 4 4 2 2 3" xfId="10209"/>
    <cellStyle name="20% - Accent1 3 4 4 2 2 3 2" xfId="45900"/>
    <cellStyle name="20% - Accent1 3 4 4 2 2 4" xfId="22010"/>
    <cellStyle name="20% - Accent1 3 4 4 2 2 4 2" xfId="55742"/>
    <cellStyle name="20% - Accent1 3 4 4 2 2 5" xfId="35625"/>
    <cellStyle name="20% - Accent1 3 4 4 2 3" xfId="2915"/>
    <cellStyle name="20% - Accent1 3 4 4 2 3 2" xfId="13998"/>
    <cellStyle name="20% - Accent1 3 4 4 2 3 2 2" xfId="25799"/>
    <cellStyle name="20% - Accent1 3 4 4 2 3 2 2 2" xfId="55743"/>
    <cellStyle name="20% - Accent1 3 4 4 2 3 2 3" xfId="39414"/>
    <cellStyle name="20% - Accent1 3 4 4 2 3 3" xfId="8368"/>
    <cellStyle name="20% - Accent1 3 4 4 2 3 3 2" xfId="45901"/>
    <cellStyle name="20% - Accent1 3 4 4 2 3 4" xfId="20169"/>
    <cellStyle name="20% - Accent1 3 4 4 2 3 4 2" xfId="55744"/>
    <cellStyle name="20% - Accent1 3 4 4 2 3 5" xfId="33784"/>
    <cellStyle name="20% - Accent1 3 4 4 2 4" xfId="13999"/>
    <cellStyle name="20% - Accent1 3 4 4 2 4 2" xfId="25800"/>
    <cellStyle name="20% - Accent1 3 4 4 2 4 2 2" xfId="55745"/>
    <cellStyle name="20% - Accent1 3 4 4 2 4 3" xfId="39415"/>
    <cellStyle name="20% - Accent1 3 4 4 2 5" xfId="6920"/>
    <cellStyle name="20% - Accent1 3 4 4 2 5 2" xfId="45902"/>
    <cellStyle name="20% - Accent1 3 4 4 2 6" xfId="18721"/>
    <cellStyle name="20% - Accent1 3 4 4 2 6 2" xfId="55746"/>
    <cellStyle name="20% - Accent1 3 4 4 2 7" xfId="32336"/>
    <cellStyle name="20% - Accent1 3 4 4 3" xfId="3483"/>
    <cellStyle name="20% - Accent1 3 4 4 3 2" xfId="5324"/>
    <cellStyle name="20% - Accent1 3 4 4 3 2 2" xfId="16794"/>
    <cellStyle name="20% - Accent1 3 4 4 3 2 2 2" xfId="28595"/>
    <cellStyle name="20% - Accent1 3 4 4 3 2 2 2 2" xfId="55747"/>
    <cellStyle name="20% - Accent1 3 4 4 3 2 2 3" xfId="42210"/>
    <cellStyle name="20% - Accent1 3 4 4 3 2 3" xfId="10777"/>
    <cellStyle name="20% - Accent1 3 4 4 3 2 3 2" xfId="55748"/>
    <cellStyle name="20% - Accent1 3 4 4 3 2 4" xfId="22578"/>
    <cellStyle name="20% - Accent1 3 4 4 3 2 4 2" xfId="55749"/>
    <cellStyle name="20% - Accent1 3 4 4 3 2 5" xfId="36193"/>
    <cellStyle name="20% - Accent1 3 4 4 3 3" xfId="14000"/>
    <cellStyle name="20% - Accent1 3 4 4 3 3 2" xfId="25801"/>
    <cellStyle name="20% - Accent1 3 4 4 3 3 2 2" xfId="55750"/>
    <cellStyle name="20% - Accent1 3 4 4 3 3 3" xfId="39416"/>
    <cellStyle name="20% - Accent1 3 4 4 3 4" xfId="8936"/>
    <cellStyle name="20% - Accent1 3 4 4 3 4 2" xfId="55751"/>
    <cellStyle name="20% - Accent1 3 4 4 3 5" xfId="20737"/>
    <cellStyle name="20% - Accent1 3 4 4 3 5 2" xfId="55752"/>
    <cellStyle name="20% - Accent1 3 4 4 3 6" xfId="34352"/>
    <cellStyle name="20% - Accent1 3 4 4 4" xfId="4188"/>
    <cellStyle name="20% - Accent1 3 4 4 4 2" xfId="14001"/>
    <cellStyle name="20% - Accent1 3 4 4 4 2 2" xfId="25802"/>
    <cellStyle name="20% - Accent1 3 4 4 4 2 2 2" xfId="55753"/>
    <cellStyle name="20% - Accent1 3 4 4 4 2 3" xfId="39417"/>
    <cellStyle name="20% - Accent1 3 4 4 4 3" xfId="9641"/>
    <cellStyle name="20% - Accent1 3 4 4 4 3 2" xfId="45903"/>
    <cellStyle name="20% - Accent1 3 4 4 4 4" xfId="21442"/>
    <cellStyle name="20% - Accent1 3 4 4 4 4 2" xfId="55754"/>
    <cellStyle name="20% - Accent1 3 4 4 4 5" xfId="35057"/>
    <cellStyle name="20% - Accent1 3 4 4 5" xfId="2347"/>
    <cellStyle name="20% - Accent1 3 4 4 5 2" xfId="17102"/>
    <cellStyle name="20% - Accent1 3 4 4 5 2 2" xfId="28903"/>
    <cellStyle name="20% - Accent1 3 4 4 5 2 2 2" xfId="55755"/>
    <cellStyle name="20% - Accent1 3 4 4 5 2 3" xfId="42518"/>
    <cellStyle name="20% - Accent1 3 4 4 5 3" xfId="7800"/>
    <cellStyle name="20% - Accent1 3 4 4 5 3 2" xfId="55756"/>
    <cellStyle name="20% - Accent1 3 4 4 5 4" xfId="19601"/>
    <cellStyle name="20% - Accent1 3 4 4 5 4 2" xfId="55757"/>
    <cellStyle name="20% - Accent1 3 4 4 5 5" xfId="33216"/>
    <cellStyle name="20% - Accent1 3 4 4 6" xfId="14002"/>
    <cellStyle name="20% - Accent1 3 4 4 6 2" xfId="25803"/>
    <cellStyle name="20% - Accent1 3 4 4 6 2 2" xfId="55758"/>
    <cellStyle name="20% - Accent1 3 4 4 6 3" xfId="39418"/>
    <cellStyle name="20% - Accent1 3 4 4 7" xfId="5900"/>
    <cellStyle name="20% - Accent1 3 4 4 7 2" xfId="55759"/>
    <cellStyle name="20% - Accent1 3 4 4 8" xfId="17701"/>
    <cellStyle name="20% - Accent1 3 4 4 8 2" xfId="55760"/>
    <cellStyle name="20% - Accent1 3 4 4 9" xfId="31316"/>
    <cellStyle name="20% - Accent1 3 4 5" xfId="260"/>
    <cellStyle name="20% - Accent1 3 4 5 2" xfId="1467"/>
    <cellStyle name="20% - Accent1 3 4 5 2 2" xfId="4570"/>
    <cellStyle name="20% - Accent1 3 4 5 2 2 2" xfId="14003"/>
    <cellStyle name="20% - Accent1 3 4 5 2 2 2 2" xfId="25804"/>
    <cellStyle name="20% - Accent1 3 4 5 2 2 2 2 2" xfId="55761"/>
    <cellStyle name="20% - Accent1 3 4 5 2 2 2 3" xfId="39419"/>
    <cellStyle name="20% - Accent1 3 4 5 2 2 3" xfId="10023"/>
    <cellStyle name="20% - Accent1 3 4 5 2 2 3 2" xfId="45904"/>
    <cellStyle name="20% - Accent1 3 4 5 2 2 4" xfId="21824"/>
    <cellStyle name="20% - Accent1 3 4 5 2 2 4 2" xfId="55762"/>
    <cellStyle name="20% - Accent1 3 4 5 2 2 5" xfId="35439"/>
    <cellStyle name="20% - Accent1 3 4 5 2 3" xfId="2729"/>
    <cellStyle name="20% - Accent1 3 4 5 2 3 2" xfId="14004"/>
    <cellStyle name="20% - Accent1 3 4 5 2 3 2 2" xfId="25805"/>
    <cellStyle name="20% - Accent1 3 4 5 2 3 2 2 2" xfId="55763"/>
    <cellStyle name="20% - Accent1 3 4 5 2 3 2 3" xfId="39420"/>
    <cellStyle name="20% - Accent1 3 4 5 2 3 3" xfId="8182"/>
    <cellStyle name="20% - Accent1 3 4 5 2 3 3 2" xfId="45905"/>
    <cellStyle name="20% - Accent1 3 4 5 2 3 4" xfId="19983"/>
    <cellStyle name="20% - Accent1 3 4 5 2 3 4 2" xfId="55764"/>
    <cellStyle name="20% - Accent1 3 4 5 2 3 5" xfId="33598"/>
    <cellStyle name="20% - Accent1 3 4 5 2 4" xfId="14005"/>
    <cellStyle name="20% - Accent1 3 4 5 2 4 2" xfId="25806"/>
    <cellStyle name="20% - Accent1 3 4 5 2 4 2 2" xfId="55765"/>
    <cellStyle name="20% - Accent1 3 4 5 2 4 3" xfId="39421"/>
    <cellStyle name="20% - Accent1 3 4 5 2 5" xfId="6921"/>
    <cellStyle name="20% - Accent1 3 4 5 2 5 2" xfId="45906"/>
    <cellStyle name="20% - Accent1 3 4 5 2 6" xfId="18722"/>
    <cellStyle name="20% - Accent1 3 4 5 2 6 2" xfId="55766"/>
    <cellStyle name="20% - Accent1 3 4 5 2 7" xfId="32337"/>
    <cellStyle name="20% - Accent1 3 4 5 3" xfId="3297"/>
    <cellStyle name="20% - Accent1 3 4 5 3 2" xfId="5138"/>
    <cellStyle name="20% - Accent1 3 4 5 3 2 2" xfId="16608"/>
    <cellStyle name="20% - Accent1 3 4 5 3 2 2 2" xfId="28409"/>
    <cellStyle name="20% - Accent1 3 4 5 3 2 2 2 2" xfId="55767"/>
    <cellStyle name="20% - Accent1 3 4 5 3 2 2 3" xfId="42024"/>
    <cellStyle name="20% - Accent1 3 4 5 3 2 3" xfId="10591"/>
    <cellStyle name="20% - Accent1 3 4 5 3 2 3 2" xfId="55768"/>
    <cellStyle name="20% - Accent1 3 4 5 3 2 4" xfId="22392"/>
    <cellStyle name="20% - Accent1 3 4 5 3 2 4 2" xfId="55769"/>
    <cellStyle name="20% - Accent1 3 4 5 3 2 5" xfId="36007"/>
    <cellStyle name="20% - Accent1 3 4 5 3 3" xfId="14006"/>
    <cellStyle name="20% - Accent1 3 4 5 3 3 2" xfId="25807"/>
    <cellStyle name="20% - Accent1 3 4 5 3 3 2 2" xfId="55770"/>
    <cellStyle name="20% - Accent1 3 4 5 3 3 3" xfId="39422"/>
    <cellStyle name="20% - Accent1 3 4 5 3 4" xfId="8750"/>
    <cellStyle name="20% - Accent1 3 4 5 3 4 2" xfId="55771"/>
    <cellStyle name="20% - Accent1 3 4 5 3 5" xfId="20551"/>
    <cellStyle name="20% - Accent1 3 4 5 3 5 2" xfId="55772"/>
    <cellStyle name="20% - Accent1 3 4 5 3 6" xfId="34166"/>
    <cellStyle name="20% - Accent1 3 4 5 4" xfId="4002"/>
    <cellStyle name="20% - Accent1 3 4 5 4 2" xfId="14007"/>
    <cellStyle name="20% - Accent1 3 4 5 4 2 2" xfId="25808"/>
    <cellStyle name="20% - Accent1 3 4 5 4 2 2 2" xfId="55773"/>
    <cellStyle name="20% - Accent1 3 4 5 4 2 3" xfId="39423"/>
    <cellStyle name="20% - Accent1 3 4 5 4 3" xfId="9455"/>
    <cellStyle name="20% - Accent1 3 4 5 4 3 2" xfId="45907"/>
    <cellStyle name="20% - Accent1 3 4 5 4 4" xfId="21256"/>
    <cellStyle name="20% - Accent1 3 4 5 4 4 2" xfId="55774"/>
    <cellStyle name="20% - Accent1 3 4 5 4 5" xfId="34871"/>
    <cellStyle name="20% - Accent1 3 4 5 5" xfId="2161"/>
    <cellStyle name="20% - Accent1 3 4 5 5 2" xfId="17103"/>
    <cellStyle name="20% - Accent1 3 4 5 5 2 2" xfId="28904"/>
    <cellStyle name="20% - Accent1 3 4 5 5 2 2 2" xfId="55775"/>
    <cellStyle name="20% - Accent1 3 4 5 5 2 3" xfId="42519"/>
    <cellStyle name="20% - Accent1 3 4 5 5 3" xfId="7614"/>
    <cellStyle name="20% - Accent1 3 4 5 5 3 2" xfId="55776"/>
    <cellStyle name="20% - Accent1 3 4 5 5 4" xfId="19415"/>
    <cellStyle name="20% - Accent1 3 4 5 5 4 2" xfId="55777"/>
    <cellStyle name="20% - Accent1 3 4 5 5 5" xfId="33030"/>
    <cellStyle name="20% - Accent1 3 4 5 6" xfId="14008"/>
    <cellStyle name="20% - Accent1 3 4 5 6 2" xfId="25809"/>
    <cellStyle name="20% - Accent1 3 4 5 6 2 2" xfId="55778"/>
    <cellStyle name="20% - Accent1 3 4 5 6 3" xfId="39424"/>
    <cellStyle name="20% - Accent1 3 4 5 7" xfId="5714"/>
    <cellStyle name="20% - Accent1 3 4 5 7 2" xfId="55779"/>
    <cellStyle name="20% - Accent1 3 4 5 8" xfId="17515"/>
    <cellStyle name="20% - Accent1 3 4 5 8 2" xfId="55780"/>
    <cellStyle name="20% - Accent1 3 4 5 9" xfId="31130"/>
    <cellStyle name="20% - Accent1 3 4 6" xfId="587"/>
    <cellStyle name="20% - Accent1 3 4 6 2" xfId="1468"/>
    <cellStyle name="20% - Accent1 3 4 6 2 2" xfId="4329"/>
    <cellStyle name="20% - Accent1 3 4 6 2 2 2" xfId="14009"/>
    <cellStyle name="20% - Accent1 3 4 6 2 2 2 2" xfId="25810"/>
    <cellStyle name="20% - Accent1 3 4 6 2 2 2 2 2" xfId="55781"/>
    <cellStyle name="20% - Accent1 3 4 6 2 2 2 3" xfId="39425"/>
    <cellStyle name="20% - Accent1 3 4 6 2 2 3" xfId="9782"/>
    <cellStyle name="20% - Accent1 3 4 6 2 2 3 2" xfId="45908"/>
    <cellStyle name="20% - Accent1 3 4 6 2 2 4" xfId="21583"/>
    <cellStyle name="20% - Accent1 3 4 6 2 2 4 2" xfId="55782"/>
    <cellStyle name="20% - Accent1 3 4 6 2 2 5" xfId="35198"/>
    <cellStyle name="20% - Accent1 3 4 6 2 3" xfId="14010"/>
    <cellStyle name="20% - Accent1 3 4 6 2 3 2" xfId="25811"/>
    <cellStyle name="20% - Accent1 3 4 6 2 3 2 2" xfId="45909"/>
    <cellStyle name="20% - Accent1 3 4 6 2 3 3" xfId="30041"/>
    <cellStyle name="20% - Accent1 3 4 6 2 3 3 2" xfId="45910"/>
    <cellStyle name="20% - Accent1 3 4 6 2 3 4" xfId="30042"/>
    <cellStyle name="20% - Accent1 3 4 6 2 3 4 2" xfId="55783"/>
    <cellStyle name="20% - Accent1 3 4 6 2 3 5" xfId="39426"/>
    <cellStyle name="20% - Accent1 3 4 6 2 4" xfId="14011"/>
    <cellStyle name="20% - Accent1 3 4 6 2 4 2" xfId="25812"/>
    <cellStyle name="20% - Accent1 3 4 6 2 4 2 2" xfId="55784"/>
    <cellStyle name="20% - Accent1 3 4 6 2 4 3" xfId="39427"/>
    <cellStyle name="20% - Accent1 3 4 6 2 5" xfId="6922"/>
    <cellStyle name="20% - Accent1 3 4 6 2 5 2" xfId="45911"/>
    <cellStyle name="20% - Accent1 3 4 6 2 6" xfId="18723"/>
    <cellStyle name="20% - Accent1 3 4 6 2 6 2" xfId="55785"/>
    <cellStyle name="20% - Accent1 3 4 6 2 7" xfId="32338"/>
    <cellStyle name="20% - Accent1 3 4 6 3" xfId="2488"/>
    <cellStyle name="20% - Accent1 3 4 6 3 2" xfId="14012"/>
    <cellStyle name="20% - Accent1 3 4 6 3 2 2" xfId="25813"/>
    <cellStyle name="20% - Accent1 3 4 6 3 2 2 2" xfId="55786"/>
    <cellStyle name="20% - Accent1 3 4 6 3 2 3" xfId="39428"/>
    <cellStyle name="20% - Accent1 3 4 6 3 3" xfId="7941"/>
    <cellStyle name="20% - Accent1 3 4 6 3 3 2" xfId="45912"/>
    <cellStyle name="20% - Accent1 3 4 6 3 4" xfId="19742"/>
    <cellStyle name="20% - Accent1 3 4 6 3 4 2" xfId="55787"/>
    <cellStyle name="20% - Accent1 3 4 6 3 5" xfId="33357"/>
    <cellStyle name="20% - Accent1 3 4 6 4" xfId="14013"/>
    <cellStyle name="20% - Accent1 3 4 6 4 2" xfId="25814"/>
    <cellStyle name="20% - Accent1 3 4 6 4 2 2" xfId="45913"/>
    <cellStyle name="20% - Accent1 3 4 6 4 3" xfId="30043"/>
    <cellStyle name="20% - Accent1 3 4 6 4 3 2" xfId="45914"/>
    <cellStyle name="20% - Accent1 3 4 6 4 4" xfId="30044"/>
    <cellStyle name="20% - Accent1 3 4 6 4 4 2" xfId="55788"/>
    <cellStyle name="20% - Accent1 3 4 6 4 5" xfId="39429"/>
    <cellStyle name="20% - Accent1 3 4 6 5" xfId="14014"/>
    <cellStyle name="20% - Accent1 3 4 6 5 2" xfId="25815"/>
    <cellStyle name="20% - Accent1 3 4 6 5 2 2" xfId="55789"/>
    <cellStyle name="20% - Accent1 3 4 6 5 3" xfId="39430"/>
    <cellStyle name="20% - Accent1 3 4 6 6" xfId="6041"/>
    <cellStyle name="20% - Accent1 3 4 6 6 2" xfId="45915"/>
    <cellStyle name="20% - Accent1 3 4 6 7" xfId="17842"/>
    <cellStyle name="20% - Accent1 3 4 6 7 2" xfId="55790"/>
    <cellStyle name="20% - Accent1 3 4 6 8" xfId="31457"/>
    <cellStyle name="20% - Accent1 3 4 7" xfId="828"/>
    <cellStyle name="20% - Accent1 3 4 7 2" xfId="1469"/>
    <cellStyle name="20% - Accent1 3 4 7 2 2" xfId="4897"/>
    <cellStyle name="20% - Accent1 3 4 7 2 2 2" xfId="14015"/>
    <cellStyle name="20% - Accent1 3 4 7 2 2 2 2" xfId="25816"/>
    <cellStyle name="20% - Accent1 3 4 7 2 2 2 2 2" xfId="55791"/>
    <cellStyle name="20% - Accent1 3 4 7 2 2 2 3" xfId="39431"/>
    <cellStyle name="20% - Accent1 3 4 7 2 2 3" xfId="10350"/>
    <cellStyle name="20% - Accent1 3 4 7 2 2 3 2" xfId="45916"/>
    <cellStyle name="20% - Accent1 3 4 7 2 2 4" xfId="22151"/>
    <cellStyle name="20% - Accent1 3 4 7 2 2 4 2" xfId="55792"/>
    <cellStyle name="20% - Accent1 3 4 7 2 2 5" xfId="35766"/>
    <cellStyle name="20% - Accent1 3 4 7 2 3" xfId="14016"/>
    <cellStyle name="20% - Accent1 3 4 7 2 3 2" xfId="25817"/>
    <cellStyle name="20% - Accent1 3 4 7 2 3 2 2" xfId="45917"/>
    <cellStyle name="20% - Accent1 3 4 7 2 3 3" xfId="30045"/>
    <cellStyle name="20% - Accent1 3 4 7 2 3 3 2" xfId="45918"/>
    <cellStyle name="20% - Accent1 3 4 7 2 3 4" xfId="30046"/>
    <cellStyle name="20% - Accent1 3 4 7 2 3 4 2" xfId="55793"/>
    <cellStyle name="20% - Accent1 3 4 7 2 3 5" xfId="39432"/>
    <cellStyle name="20% - Accent1 3 4 7 2 4" xfId="14017"/>
    <cellStyle name="20% - Accent1 3 4 7 2 4 2" xfId="25818"/>
    <cellStyle name="20% - Accent1 3 4 7 2 4 2 2" xfId="55794"/>
    <cellStyle name="20% - Accent1 3 4 7 2 4 3" xfId="39433"/>
    <cellStyle name="20% - Accent1 3 4 7 2 5" xfId="6923"/>
    <cellStyle name="20% - Accent1 3 4 7 2 5 2" xfId="45919"/>
    <cellStyle name="20% - Accent1 3 4 7 2 6" xfId="18724"/>
    <cellStyle name="20% - Accent1 3 4 7 2 6 2" xfId="55795"/>
    <cellStyle name="20% - Accent1 3 4 7 2 7" xfId="32339"/>
    <cellStyle name="20% - Accent1 3 4 7 3" xfId="3056"/>
    <cellStyle name="20% - Accent1 3 4 7 3 2" xfId="14018"/>
    <cellStyle name="20% - Accent1 3 4 7 3 2 2" xfId="25819"/>
    <cellStyle name="20% - Accent1 3 4 7 3 2 2 2" xfId="55796"/>
    <cellStyle name="20% - Accent1 3 4 7 3 2 3" xfId="39434"/>
    <cellStyle name="20% - Accent1 3 4 7 3 3" xfId="8509"/>
    <cellStyle name="20% - Accent1 3 4 7 3 3 2" xfId="45920"/>
    <cellStyle name="20% - Accent1 3 4 7 3 4" xfId="20310"/>
    <cellStyle name="20% - Accent1 3 4 7 3 4 2" xfId="55797"/>
    <cellStyle name="20% - Accent1 3 4 7 3 5" xfId="33925"/>
    <cellStyle name="20% - Accent1 3 4 7 4" xfId="14019"/>
    <cellStyle name="20% - Accent1 3 4 7 4 2" xfId="25820"/>
    <cellStyle name="20% - Accent1 3 4 7 4 2 2" xfId="45921"/>
    <cellStyle name="20% - Accent1 3 4 7 4 3" xfId="30047"/>
    <cellStyle name="20% - Accent1 3 4 7 4 3 2" xfId="45922"/>
    <cellStyle name="20% - Accent1 3 4 7 4 4" xfId="30048"/>
    <cellStyle name="20% - Accent1 3 4 7 4 4 2" xfId="55798"/>
    <cellStyle name="20% - Accent1 3 4 7 4 5" xfId="39435"/>
    <cellStyle name="20% - Accent1 3 4 7 5" xfId="14020"/>
    <cellStyle name="20% - Accent1 3 4 7 5 2" xfId="25821"/>
    <cellStyle name="20% - Accent1 3 4 7 5 2 2" xfId="55799"/>
    <cellStyle name="20% - Accent1 3 4 7 5 3" xfId="39436"/>
    <cellStyle name="20% - Accent1 3 4 7 6" xfId="6282"/>
    <cellStyle name="20% - Accent1 3 4 7 6 2" xfId="45923"/>
    <cellStyle name="20% - Accent1 3 4 7 7" xfId="18083"/>
    <cellStyle name="20% - Accent1 3 4 7 7 2" xfId="55800"/>
    <cellStyle name="20% - Accent1 3 4 7 8" xfId="31698"/>
    <cellStyle name="20% - Accent1 3 4 8" xfId="1470"/>
    <cellStyle name="20% - Accent1 3 4 8 2" xfId="3761"/>
    <cellStyle name="20% - Accent1 3 4 8 2 2" xfId="14021"/>
    <cellStyle name="20% - Accent1 3 4 8 2 2 2" xfId="25822"/>
    <cellStyle name="20% - Accent1 3 4 8 2 2 2 2" xfId="55801"/>
    <cellStyle name="20% - Accent1 3 4 8 2 2 3" xfId="39437"/>
    <cellStyle name="20% - Accent1 3 4 8 2 3" xfId="9214"/>
    <cellStyle name="20% - Accent1 3 4 8 2 3 2" xfId="45924"/>
    <cellStyle name="20% - Accent1 3 4 8 2 4" xfId="21015"/>
    <cellStyle name="20% - Accent1 3 4 8 2 4 2" xfId="55802"/>
    <cellStyle name="20% - Accent1 3 4 8 2 5" xfId="34630"/>
    <cellStyle name="20% - Accent1 3 4 8 3" xfId="14022"/>
    <cellStyle name="20% - Accent1 3 4 8 3 2" xfId="25823"/>
    <cellStyle name="20% - Accent1 3 4 8 3 2 2" xfId="45925"/>
    <cellStyle name="20% - Accent1 3 4 8 3 3" xfId="30049"/>
    <cellStyle name="20% - Accent1 3 4 8 3 3 2" xfId="45926"/>
    <cellStyle name="20% - Accent1 3 4 8 3 4" xfId="30050"/>
    <cellStyle name="20% - Accent1 3 4 8 3 4 2" xfId="55803"/>
    <cellStyle name="20% - Accent1 3 4 8 3 5" xfId="39438"/>
    <cellStyle name="20% - Accent1 3 4 8 4" xfId="14023"/>
    <cellStyle name="20% - Accent1 3 4 8 4 2" xfId="25824"/>
    <cellStyle name="20% - Accent1 3 4 8 4 2 2" xfId="55804"/>
    <cellStyle name="20% - Accent1 3 4 8 4 3" xfId="39439"/>
    <cellStyle name="20% - Accent1 3 4 8 5" xfId="6924"/>
    <cellStyle name="20% - Accent1 3 4 8 5 2" xfId="45927"/>
    <cellStyle name="20% - Accent1 3 4 8 6" xfId="18725"/>
    <cellStyle name="20% - Accent1 3 4 8 6 2" xfId="55805"/>
    <cellStyle name="20% - Accent1 3 4 8 7" xfId="32340"/>
    <cellStyle name="20% - Accent1 3 4 9" xfId="3624"/>
    <cellStyle name="20% - Accent1 3 4 9 2" xfId="14024"/>
    <cellStyle name="20% - Accent1 3 4 9 2 2" xfId="25825"/>
    <cellStyle name="20% - Accent1 3 4 9 2 2 2" xfId="55806"/>
    <cellStyle name="20% - Accent1 3 4 9 2 3" xfId="39440"/>
    <cellStyle name="20% - Accent1 3 4 9 3" xfId="9077"/>
    <cellStyle name="20% - Accent1 3 4 9 3 2" xfId="45928"/>
    <cellStyle name="20% - Accent1 3 4 9 4" xfId="20878"/>
    <cellStyle name="20% - Accent1 3 4 9 4 2" xfId="55807"/>
    <cellStyle name="20% - Accent1 3 4 9 5" xfId="34493"/>
    <cellStyle name="20% - Accent1 3 5" xfId="56"/>
    <cellStyle name="20% - Accent1 3 5 10" xfId="14025"/>
    <cellStyle name="20% - Accent1 3 5 10 2" xfId="25826"/>
    <cellStyle name="20% - Accent1 3 5 10 2 2" xfId="55808"/>
    <cellStyle name="20% - Accent1 3 5 10 3" xfId="39441"/>
    <cellStyle name="20% - Accent1 3 5 11" xfId="5510"/>
    <cellStyle name="20% - Accent1 3 5 11 2" xfId="45929"/>
    <cellStyle name="20% - Accent1 3 5 12" xfId="17311"/>
    <cellStyle name="20% - Accent1 3 5 12 2" xfId="55809"/>
    <cellStyle name="20% - Accent1 3 5 13" xfId="30926"/>
    <cellStyle name="20% - Accent1 3 5 2" xfId="123"/>
    <cellStyle name="20% - Accent1 3 5 2 10" xfId="5577"/>
    <cellStyle name="20% - Accent1 3 5 2 10 2" xfId="45930"/>
    <cellStyle name="20% - Accent1 3 5 2 11" xfId="17378"/>
    <cellStyle name="20% - Accent1 3 5 2 11 2" xfId="55810"/>
    <cellStyle name="20% - Accent1 3 5 2 12" xfId="30993"/>
    <cellStyle name="20% - Accent1 3 5 2 2" xfId="550"/>
    <cellStyle name="20% - Accent1 3 5 2 2 2" xfId="1471"/>
    <cellStyle name="20% - Accent1 3 5 2 2 2 2" xfId="4860"/>
    <cellStyle name="20% - Accent1 3 5 2 2 2 2 2" xfId="14026"/>
    <cellStyle name="20% - Accent1 3 5 2 2 2 2 2 2" xfId="25827"/>
    <cellStyle name="20% - Accent1 3 5 2 2 2 2 2 2 2" xfId="55811"/>
    <cellStyle name="20% - Accent1 3 5 2 2 2 2 2 3" xfId="39442"/>
    <cellStyle name="20% - Accent1 3 5 2 2 2 2 3" xfId="10313"/>
    <cellStyle name="20% - Accent1 3 5 2 2 2 2 3 2" xfId="45931"/>
    <cellStyle name="20% - Accent1 3 5 2 2 2 2 4" xfId="22114"/>
    <cellStyle name="20% - Accent1 3 5 2 2 2 2 4 2" xfId="55812"/>
    <cellStyle name="20% - Accent1 3 5 2 2 2 2 5" xfId="35729"/>
    <cellStyle name="20% - Accent1 3 5 2 2 2 3" xfId="3019"/>
    <cellStyle name="20% - Accent1 3 5 2 2 2 3 2" xfId="14027"/>
    <cellStyle name="20% - Accent1 3 5 2 2 2 3 2 2" xfId="25828"/>
    <cellStyle name="20% - Accent1 3 5 2 2 2 3 2 2 2" xfId="55813"/>
    <cellStyle name="20% - Accent1 3 5 2 2 2 3 2 3" xfId="39443"/>
    <cellStyle name="20% - Accent1 3 5 2 2 2 3 3" xfId="8472"/>
    <cellStyle name="20% - Accent1 3 5 2 2 2 3 3 2" xfId="45932"/>
    <cellStyle name="20% - Accent1 3 5 2 2 2 3 4" xfId="20273"/>
    <cellStyle name="20% - Accent1 3 5 2 2 2 3 4 2" xfId="55814"/>
    <cellStyle name="20% - Accent1 3 5 2 2 2 3 5" xfId="33888"/>
    <cellStyle name="20% - Accent1 3 5 2 2 2 4" xfId="14028"/>
    <cellStyle name="20% - Accent1 3 5 2 2 2 4 2" xfId="25829"/>
    <cellStyle name="20% - Accent1 3 5 2 2 2 4 2 2" xfId="55815"/>
    <cellStyle name="20% - Accent1 3 5 2 2 2 4 3" xfId="39444"/>
    <cellStyle name="20% - Accent1 3 5 2 2 2 5" xfId="6925"/>
    <cellStyle name="20% - Accent1 3 5 2 2 2 5 2" xfId="45933"/>
    <cellStyle name="20% - Accent1 3 5 2 2 2 6" xfId="18726"/>
    <cellStyle name="20% - Accent1 3 5 2 2 2 6 2" xfId="55816"/>
    <cellStyle name="20% - Accent1 3 5 2 2 2 7" xfId="32341"/>
    <cellStyle name="20% - Accent1 3 5 2 2 3" xfId="3587"/>
    <cellStyle name="20% - Accent1 3 5 2 2 3 2" xfId="5428"/>
    <cellStyle name="20% - Accent1 3 5 2 2 3 2 2" xfId="16898"/>
    <cellStyle name="20% - Accent1 3 5 2 2 3 2 2 2" xfId="28699"/>
    <cellStyle name="20% - Accent1 3 5 2 2 3 2 2 2 2" xfId="55817"/>
    <cellStyle name="20% - Accent1 3 5 2 2 3 2 2 3" xfId="42314"/>
    <cellStyle name="20% - Accent1 3 5 2 2 3 2 3" xfId="10881"/>
    <cellStyle name="20% - Accent1 3 5 2 2 3 2 3 2" xfId="55818"/>
    <cellStyle name="20% - Accent1 3 5 2 2 3 2 4" xfId="22682"/>
    <cellStyle name="20% - Accent1 3 5 2 2 3 2 4 2" xfId="55819"/>
    <cellStyle name="20% - Accent1 3 5 2 2 3 2 5" xfId="36297"/>
    <cellStyle name="20% - Accent1 3 5 2 2 3 3" xfId="14029"/>
    <cellStyle name="20% - Accent1 3 5 2 2 3 3 2" xfId="25830"/>
    <cellStyle name="20% - Accent1 3 5 2 2 3 3 2 2" xfId="55820"/>
    <cellStyle name="20% - Accent1 3 5 2 2 3 3 3" xfId="39445"/>
    <cellStyle name="20% - Accent1 3 5 2 2 3 4" xfId="9040"/>
    <cellStyle name="20% - Accent1 3 5 2 2 3 4 2" xfId="55821"/>
    <cellStyle name="20% - Accent1 3 5 2 2 3 5" xfId="20841"/>
    <cellStyle name="20% - Accent1 3 5 2 2 3 5 2" xfId="55822"/>
    <cellStyle name="20% - Accent1 3 5 2 2 3 6" xfId="34456"/>
    <cellStyle name="20% - Accent1 3 5 2 2 4" xfId="4292"/>
    <cellStyle name="20% - Accent1 3 5 2 2 4 2" xfId="14030"/>
    <cellStyle name="20% - Accent1 3 5 2 2 4 2 2" xfId="25831"/>
    <cellStyle name="20% - Accent1 3 5 2 2 4 2 2 2" xfId="55823"/>
    <cellStyle name="20% - Accent1 3 5 2 2 4 2 3" xfId="39446"/>
    <cellStyle name="20% - Accent1 3 5 2 2 4 3" xfId="9745"/>
    <cellStyle name="20% - Accent1 3 5 2 2 4 3 2" xfId="45934"/>
    <cellStyle name="20% - Accent1 3 5 2 2 4 4" xfId="21546"/>
    <cellStyle name="20% - Accent1 3 5 2 2 4 4 2" xfId="55824"/>
    <cellStyle name="20% - Accent1 3 5 2 2 4 5" xfId="35161"/>
    <cellStyle name="20% - Accent1 3 5 2 2 5" xfId="2451"/>
    <cellStyle name="20% - Accent1 3 5 2 2 5 2" xfId="17104"/>
    <cellStyle name="20% - Accent1 3 5 2 2 5 2 2" xfId="28905"/>
    <cellStyle name="20% - Accent1 3 5 2 2 5 2 2 2" xfId="55825"/>
    <cellStyle name="20% - Accent1 3 5 2 2 5 2 3" xfId="42520"/>
    <cellStyle name="20% - Accent1 3 5 2 2 5 3" xfId="7904"/>
    <cellStyle name="20% - Accent1 3 5 2 2 5 3 2" xfId="55826"/>
    <cellStyle name="20% - Accent1 3 5 2 2 5 4" xfId="19705"/>
    <cellStyle name="20% - Accent1 3 5 2 2 5 4 2" xfId="55827"/>
    <cellStyle name="20% - Accent1 3 5 2 2 5 5" xfId="33320"/>
    <cellStyle name="20% - Accent1 3 5 2 2 6" xfId="14031"/>
    <cellStyle name="20% - Accent1 3 5 2 2 6 2" xfId="25832"/>
    <cellStyle name="20% - Accent1 3 5 2 2 6 2 2" xfId="55828"/>
    <cellStyle name="20% - Accent1 3 5 2 2 6 3" xfId="39447"/>
    <cellStyle name="20% - Accent1 3 5 2 2 7" xfId="6004"/>
    <cellStyle name="20% - Accent1 3 5 2 2 7 2" xfId="55829"/>
    <cellStyle name="20% - Accent1 3 5 2 2 8" xfId="17805"/>
    <cellStyle name="20% - Accent1 3 5 2 2 8 2" xfId="55830"/>
    <cellStyle name="20% - Accent1 3 5 2 2 9" xfId="31420"/>
    <cellStyle name="20% - Accent1 3 5 2 3" xfId="413"/>
    <cellStyle name="20% - Accent1 3 5 2 3 2" xfId="1472"/>
    <cellStyle name="20% - Accent1 3 5 2 3 2 2" xfId="4723"/>
    <cellStyle name="20% - Accent1 3 5 2 3 2 2 2" xfId="14032"/>
    <cellStyle name="20% - Accent1 3 5 2 3 2 2 2 2" xfId="25833"/>
    <cellStyle name="20% - Accent1 3 5 2 3 2 2 2 2 2" xfId="55831"/>
    <cellStyle name="20% - Accent1 3 5 2 3 2 2 2 3" xfId="39448"/>
    <cellStyle name="20% - Accent1 3 5 2 3 2 2 3" xfId="10176"/>
    <cellStyle name="20% - Accent1 3 5 2 3 2 2 3 2" xfId="45935"/>
    <cellStyle name="20% - Accent1 3 5 2 3 2 2 4" xfId="21977"/>
    <cellStyle name="20% - Accent1 3 5 2 3 2 2 4 2" xfId="55832"/>
    <cellStyle name="20% - Accent1 3 5 2 3 2 2 5" xfId="35592"/>
    <cellStyle name="20% - Accent1 3 5 2 3 2 3" xfId="2882"/>
    <cellStyle name="20% - Accent1 3 5 2 3 2 3 2" xfId="14033"/>
    <cellStyle name="20% - Accent1 3 5 2 3 2 3 2 2" xfId="25834"/>
    <cellStyle name="20% - Accent1 3 5 2 3 2 3 2 2 2" xfId="55833"/>
    <cellStyle name="20% - Accent1 3 5 2 3 2 3 2 3" xfId="39449"/>
    <cellStyle name="20% - Accent1 3 5 2 3 2 3 3" xfId="8335"/>
    <cellStyle name="20% - Accent1 3 5 2 3 2 3 3 2" xfId="45936"/>
    <cellStyle name="20% - Accent1 3 5 2 3 2 3 4" xfId="20136"/>
    <cellStyle name="20% - Accent1 3 5 2 3 2 3 4 2" xfId="55834"/>
    <cellStyle name="20% - Accent1 3 5 2 3 2 3 5" xfId="33751"/>
    <cellStyle name="20% - Accent1 3 5 2 3 2 4" xfId="14034"/>
    <cellStyle name="20% - Accent1 3 5 2 3 2 4 2" xfId="25835"/>
    <cellStyle name="20% - Accent1 3 5 2 3 2 4 2 2" xfId="55835"/>
    <cellStyle name="20% - Accent1 3 5 2 3 2 4 3" xfId="39450"/>
    <cellStyle name="20% - Accent1 3 5 2 3 2 5" xfId="6926"/>
    <cellStyle name="20% - Accent1 3 5 2 3 2 5 2" xfId="45937"/>
    <cellStyle name="20% - Accent1 3 5 2 3 2 6" xfId="18727"/>
    <cellStyle name="20% - Accent1 3 5 2 3 2 6 2" xfId="55836"/>
    <cellStyle name="20% - Accent1 3 5 2 3 2 7" xfId="32342"/>
    <cellStyle name="20% - Accent1 3 5 2 3 3" xfId="3450"/>
    <cellStyle name="20% - Accent1 3 5 2 3 3 2" xfId="5291"/>
    <cellStyle name="20% - Accent1 3 5 2 3 3 2 2" xfId="16761"/>
    <cellStyle name="20% - Accent1 3 5 2 3 3 2 2 2" xfId="28562"/>
    <cellStyle name="20% - Accent1 3 5 2 3 3 2 2 2 2" xfId="55837"/>
    <cellStyle name="20% - Accent1 3 5 2 3 3 2 2 3" xfId="42177"/>
    <cellStyle name="20% - Accent1 3 5 2 3 3 2 3" xfId="10744"/>
    <cellStyle name="20% - Accent1 3 5 2 3 3 2 3 2" xfId="55838"/>
    <cellStyle name="20% - Accent1 3 5 2 3 3 2 4" xfId="22545"/>
    <cellStyle name="20% - Accent1 3 5 2 3 3 2 4 2" xfId="55839"/>
    <cellStyle name="20% - Accent1 3 5 2 3 3 2 5" xfId="36160"/>
    <cellStyle name="20% - Accent1 3 5 2 3 3 3" xfId="14035"/>
    <cellStyle name="20% - Accent1 3 5 2 3 3 3 2" xfId="25836"/>
    <cellStyle name="20% - Accent1 3 5 2 3 3 3 2 2" xfId="55840"/>
    <cellStyle name="20% - Accent1 3 5 2 3 3 3 3" xfId="39451"/>
    <cellStyle name="20% - Accent1 3 5 2 3 3 4" xfId="8903"/>
    <cellStyle name="20% - Accent1 3 5 2 3 3 4 2" xfId="55841"/>
    <cellStyle name="20% - Accent1 3 5 2 3 3 5" xfId="20704"/>
    <cellStyle name="20% - Accent1 3 5 2 3 3 5 2" xfId="55842"/>
    <cellStyle name="20% - Accent1 3 5 2 3 3 6" xfId="34319"/>
    <cellStyle name="20% - Accent1 3 5 2 3 4" xfId="4155"/>
    <cellStyle name="20% - Accent1 3 5 2 3 4 2" xfId="14036"/>
    <cellStyle name="20% - Accent1 3 5 2 3 4 2 2" xfId="25837"/>
    <cellStyle name="20% - Accent1 3 5 2 3 4 2 2 2" xfId="55843"/>
    <cellStyle name="20% - Accent1 3 5 2 3 4 2 3" xfId="39452"/>
    <cellStyle name="20% - Accent1 3 5 2 3 4 3" xfId="9608"/>
    <cellStyle name="20% - Accent1 3 5 2 3 4 3 2" xfId="45938"/>
    <cellStyle name="20% - Accent1 3 5 2 3 4 4" xfId="21409"/>
    <cellStyle name="20% - Accent1 3 5 2 3 4 4 2" xfId="55844"/>
    <cellStyle name="20% - Accent1 3 5 2 3 4 5" xfId="35024"/>
    <cellStyle name="20% - Accent1 3 5 2 3 5" xfId="2314"/>
    <cellStyle name="20% - Accent1 3 5 2 3 5 2" xfId="17105"/>
    <cellStyle name="20% - Accent1 3 5 2 3 5 2 2" xfId="28906"/>
    <cellStyle name="20% - Accent1 3 5 2 3 5 2 2 2" xfId="55845"/>
    <cellStyle name="20% - Accent1 3 5 2 3 5 2 3" xfId="42521"/>
    <cellStyle name="20% - Accent1 3 5 2 3 5 3" xfId="7767"/>
    <cellStyle name="20% - Accent1 3 5 2 3 5 3 2" xfId="55846"/>
    <cellStyle name="20% - Accent1 3 5 2 3 5 4" xfId="19568"/>
    <cellStyle name="20% - Accent1 3 5 2 3 5 4 2" xfId="55847"/>
    <cellStyle name="20% - Accent1 3 5 2 3 5 5" xfId="33183"/>
    <cellStyle name="20% - Accent1 3 5 2 3 6" xfId="14037"/>
    <cellStyle name="20% - Accent1 3 5 2 3 6 2" xfId="25838"/>
    <cellStyle name="20% - Accent1 3 5 2 3 6 2 2" xfId="55848"/>
    <cellStyle name="20% - Accent1 3 5 2 3 6 3" xfId="39453"/>
    <cellStyle name="20% - Accent1 3 5 2 3 7" xfId="5867"/>
    <cellStyle name="20% - Accent1 3 5 2 3 7 2" xfId="55849"/>
    <cellStyle name="20% - Accent1 3 5 2 3 8" xfId="17668"/>
    <cellStyle name="20% - Accent1 3 5 2 3 8 2" xfId="55850"/>
    <cellStyle name="20% - Accent1 3 5 2 3 9" xfId="31283"/>
    <cellStyle name="20% - Accent1 3 5 2 4" xfId="691"/>
    <cellStyle name="20% - Accent1 3 5 2 4 2" xfId="1473"/>
    <cellStyle name="20% - Accent1 3 5 2 4 2 2" xfId="4433"/>
    <cellStyle name="20% - Accent1 3 5 2 4 2 2 2" xfId="14038"/>
    <cellStyle name="20% - Accent1 3 5 2 4 2 2 2 2" xfId="25839"/>
    <cellStyle name="20% - Accent1 3 5 2 4 2 2 2 2 2" xfId="55851"/>
    <cellStyle name="20% - Accent1 3 5 2 4 2 2 2 3" xfId="39454"/>
    <cellStyle name="20% - Accent1 3 5 2 4 2 2 3" xfId="9886"/>
    <cellStyle name="20% - Accent1 3 5 2 4 2 2 3 2" xfId="45939"/>
    <cellStyle name="20% - Accent1 3 5 2 4 2 2 4" xfId="21687"/>
    <cellStyle name="20% - Accent1 3 5 2 4 2 2 4 2" xfId="55852"/>
    <cellStyle name="20% - Accent1 3 5 2 4 2 2 5" xfId="35302"/>
    <cellStyle name="20% - Accent1 3 5 2 4 2 3" xfId="14039"/>
    <cellStyle name="20% - Accent1 3 5 2 4 2 3 2" xfId="25840"/>
    <cellStyle name="20% - Accent1 3 5 2 4 2 3 2 2" xfId="45940"/>
    <cellStyle name="20% - Accent1 3 5 2 4 2 3 3" xfId="30051"/>
    <cellStyle name="20% - Accent1 3 5 2 4 2 3 3 2" xfId="45941"/>
    <cellStyle name="20% - Accent1 3 5 2 4 2 3 4" xfId="30052"/>
    <cellStyle name="20% - Accent1 3 5 2 4 2 3 4 2" xfId="55853"/>
    <cellStyle name="20% - Accent1 3 5 2 4 2 3 5" xfId="39455"/>
    <cellStyle name="20% - Accent1 3 5 2 4 2 4" xfId="14040"/>
    <cellStyle name="20% - Accent1 3 5 2 4 2 4 2" xfId="25841"/>
    <cellStyle name="20% - Accent1 3 5 2 4 2 4 2 2" xfId="55854"/>
    <cellStyle name="20% - Accent1 3 5 2 4 2 4 3" xfId="39456"/>
    <cellStyle name="20% - Accent1 3 5 2 4 2 5" xfId="6927"/>
    <cellStyle name="20% - Accent1 3 5 2 4 2 5 2" xfId="45942"/>
    <cellStyle name="20% - Accent1 3 5 2 4 2 6" xfId="18728"/>
    <cellStyle name="20% - Accent1 3 5 2 4 2 6 2" xfId="55855"/>
    <cellStyle name="20% - Accent1 3 5 2 4 2 7" xfId="32343"/>
    <cellStyle name="20% - Accent1 3 5 2 4 3" xfId="2592"/>
    <cellStyle name="20% - Accent1 3 5 2 4 3 2" xfId="14041"/>
    <cellStyle name="20% - Accent1 3 5 2 4 3 2 2" xfId="25842"/>
    <cellStyle name="20% - Accent1 3 5 2 4 3 2 2 2" xfId="55856"/>
    <cellStyle name="20% - Accent1 3 5 2 4 3 2 3" xfId="39457"/>
    <cellStyle name="20% - Accent1 3 5 2 4 3 3" xfId="8045"/>
    <cellStyle name="20% - Accent1 3 5 2 4 3 3 2" xfId="45943"/>
    <cellStyle name="20% - Accent1 3 5 2 4 3 4" xfId="19846"/>
    <cellStyle name="20% - Accent1 3 5 2 4 3 4 2" xfId="55857"/>
    <cellStyle name="20% - Accent1 3 5 2 4 3 5" xfId="33461"/>
    <cellStyle name="20% - Accent1 3 5 2 4 4" xfId="14042"/>
    <cellStyle name="20% - Accent1 3 5 2 4 4 2" xfId="25843"/>
    <cellStyle name="20% - Accent1 3 5 2 4 4 2 2" xfId="45944"/>
    <cellStyle name="20% - Accent1 3 5 2 4 4 3" xfId="30053"/>
    <cellStyle name="20% - Accent1 3 5 2 4 4 3 2" xfId="45945"/>
    <cellStyle name="20% - Accent1 3 5 2 4 4 4" xfId="30054"/>
    <cellStyle name="20% - Accent1 3 5 2 4 4 4 2" xfId="55858"/>
    <cellStyle name="20% - Accent1 3 5 2 4 4 5" xfId="39458"/>
    <cellStyle name="20% - Accent1 3 5 2 4 5" xfId="14043"/>
    <cellStyle name="20% - Accent1 3 5 2 4 5 2" xfId="25844"/>
    <cellStyle name="20% - Accent1 3 5 2 4 5 2 2" xfId="55859"/>
    <cellStyle name="20% - Accent1 3 5 2 4 5 3" xfId="39459"/>
    <cellStyle name="20% - Accent1 3 5 2 4 6" xfId="6145"/>
    <cellStyle name="20% - Accent1 3 5 2 4 6 2" xfId="45946"/>
    <cellStyle name="20% - Accent1 3 5 2 4 7" xfId="17946"/>
    <cellStyle name="20% - Accent1 3 5 2 4 7 2" xfId="55860"/>
    <cellStyle name="20% - Accent1 3 5 2 4 8" xfId="31561"/>
    <cellStyle name="20% - Accent1 3 5 2 5" xfId="932"/>
    <cellStyle name="20% - Accent1 3 5 2 5 2" xfId="1474"/>
    <cellStyle name="20% - Accent1 3 5 2 5 2 2" xfId="5001"/>
    <cellStyle name="20% - Accent1 3 5 2 5 2 2 2" xfId="14044"/>
    <cellStyle name="20% - Accent1 3 5 2 5 2 2 2 2" xfId="25845"/>
    <cellStyle name="20% - Accent1 3 5 2 5 2 2 2 2 2" xfId="55861"/>
    <cellStyle name="20% - Accent1 3 5 2 5 2 2 2 3" xfId="39460"/>
    <cellStyle name="20% - Accent1 3 5 2 5 2 2 3" xfId="10454"/>
    <cellStyle name="20% - Accent1 3 5 2 5 2 2 3 2" xfId="45947"/>
    <cellStyle name="20% - Accent1 3 5 2 5 2 2 4" xfId="22255"/>
    <cellStyle name="20% - Accent1 3 5 2 5 2 2 4 2" xfId="55862"/>
    <cellStyle name="20% - Accent1 3 5 2 5 2 2 5" xfId="35870"/>
    <cellStyle name="20% - Accent1 3 5 2 5 2 3" xfId="14045"/>
    <cellStyle name="20% - Accent1 3 5 2 5 2 3 2" xfId="25846"/>
    <cellStyle name="20% - Accent1 3 5 2 5 2 3 2 2" xfId="45948"/>
    <cellStyle name="20% - Accent1 3 5 2 5 2 3 3" xfId="30055"/>
    <cellStyle name="20% - Accent1 3 5 2 5 2 3 3 2" xfId="45949"/>
    <cellStyle name="20% - Accent1 3 5 2 5 2 3 4" xfId="30056"/>
    <cellStyle name="20% - Accent1 3 5 2 5 2 3 4 2" xfId="55863"/>
    <cellStyle name="20% - Accent1 3 5 2 5 2 3 5" xfId="39461"/>
    <cellStyle name="20% - Accent1 3 5 2 5 2 4" xfId="14046"/>
    <cellStyle name="20% - Accent1 3 5 2 5 2 4 2" xfId="25847"/>
    <cellStyle name="20% - Accent1 3 5 2 5 2 4 2 2" xfId="55864"/>
    <cellStyle name="20% - Accent1 3 5 2 5 2 4 3" xfId="39462"/>
    <cellStyle name="20% - Accent1 3 5 2 5 2 5" xfId="6928"/>
    <cellStyle name="20% - Accent1 3 5 2 5 2 5 2" xfId="45950"/>
    <cellStyle name="20% - Accent1 3 5 2 5 2 6" xfId="18729"/>
    <cellStyle name="20% - Accent1 3 5 2 5 2 6 2" xfId="55865"/>
    <cellStyle name="20% - Accent1 3 5 2 5 2 7" xfId="32344"/>
    <cellStyle name="20% - Accent1 3 5 2 5 3" xfId="3160"/>
    <cellStyle name="20% - Accent1 3 5 2 5 3 2" xfId="14047"/>
    <cellStyle name="20% - Accent1 3 5 2 5 3 2 2" xfId="25848"/>
    <cellStyle name="20% - Accent1 3 5 2 5 3 2 2 2" xfId="55866"/>
    <cellStyle name="20% - Accent1 3 5 2 5 3 2 3" xfId="39463"/>
    <cellStyle name="20% - Accent1 3 5 2 5 3 3" xfId="8613"/>
    <cellStyle name="20% - Accent1 3 5 2 5 3 3 2" xfId="45951"/>
    <cellStyle name="20% - Accent1 3 5 2 5 3 4" xfId="20414"/>
    <cellStyle name="20% - Accent1 3 5 2 5 3 4 2" xfId="55867"/>
    <cellStyle name="20% - Accent1 3 5 2 5 3 5" xfId="34029"/>
    <cellStyle name="20% - Accent1 3 5 2 5 4" xfId="14048"/>
    <cellStyle name="20% - Accent1 3 5 2 5 4 2" xfId="25849"/>
    <cellStyle name="20% - Accent1 3 5 2 5 4 2 2" xfId="45952"/>
    <cellStyle name="20% - Accent1 3 5 2 5 4 3" xfId="30057"/>
    <cellStyle name="20% - Accent1 3 5 2 5 4 3 2" xfId="45953"/>
    <cellStyle name="20% - Accent1 3 5 2 5 4 4" xfId="30058"/>
    <cellStyle name="20% - Accent1 3 5 2 5 4 4 2" xfId="55868"/>
    <cellStyle name="20% - Accent1 3 5 2 5 4 5" xfId="39464"/>
    <cellStyle name="20% - Accent1 3 5 2 5 5" xfId="14049"/>
    <cellStyle name="20% - Accent1 3 5 2 5 5 2" xfId="25850"/>
    <cellStyle name="20% - Accent1 3 5 2 5 5 2 2" xfId="55869"/>
    <cellStyle name="20% - Accent1 3 5 2 5 5 3" xfId="39465"/>
    <cellStyle name="20% - Accent1 3 5 2 5 6" xfId="6386"/>
    <cellStyle name="20% - Accent1 3 5 2 5 6 2" xfId="45954"/>
    <cellStyle name="20% - Accent1 3 5 2 5 7" xfId="18187"/>
    <cellStyle name="20% - Accent1 3 5 2 5 7 2" xfId="55870"/>
    <cellStyle name="20% - Accent1 3 5 2 5 8" xfId="31802"/>
    <cellStyle name="20% - Accent1 3 5 2 6" xfId="1475"/>
    <cellStyle name="20% - Accent1 3 5 2 6 2" xfId="3865"/>
    <cellStyle name="20% - Accent1 3 5 2 6 2 2" xfId="14050"/>
    <cellStyle name="20% - Accent1 3 5 2 6 2 2 2" xfId="25851"/>
    <cellStyle name="20% - Accent1 3 5 2 6 2 2 2 2" xfId="55871"/>
    <cellStyle name="20% - Accent1 3 5 2 6 2 2 3" xfId="39466"/>
    <cellStyle name="20% - Accent1 3 5 2 6 2 3" xfId="9318"/>
    <cellStyle name="20% - Accent1 3 5 2 6 2 3 2" xfId="45955"/>
    <cellStyle name="20% - Accent1 3 5 2 6 2 4" xfId="21119"/>
    <cellStyle name="20% - Accent1 3 5 2 6 2 4 2" xfId="55872"/>
    <cellStyle name="20% - Accent1 3 5 2 6 2 5" xfId="34734"/>
    <cellStyle name="20% - Accent1 3 5 2 6 3" xfId="14051"/>
    <cellStyle name="20% - Accent1 3 5 2 6 3 2" xfId="25852"/>
    <cellStyle name="20% - Accent1 3 5 2 6 3 2 2" xfId="45956"/>
    <cellStyle name="20% - Accent1 3 5 2 6 3 3" xfId="30059"/>
    <cellStyle name="20% - Accent1 3 5 2 6 3 3 2" xfId="45957"/>
    <cellStyle name="20% - Accent1 3 5 2 6 3 4" xfId="30060"/>
    <cellStyle name="20% - Accent1 3 5 2 6 3 4 2" xfId="55873"/>
    <cellStyle name="20% - Accent1 3 5 2 6 3 5" xfId="39467"/>
    <cellStyle name="20% - Accent1 3 5 2 6 4" xfId="14052"/>
    <cellStyle name="20% - Accent1 3 5 2 6 4 2" xfId="25853"/>
    <cellStyle name="20% - Accent1 3 5 2 6 4 2 2" xfId="55874"/>
    <cellStyle name="20% - Accent1 3 5 2 6 4 3" xfId="39468"/>
    <cellStyle name="20% - Accent1 3 5 2 6 5" xfId="6929"/>
    <cellStyle name="20% - Accent1 3 5 2 6 5 2" xfId="45958"/>
    <cellStyle name="20% - Accent1 3 5 2 6 6" xfId="18730"/>
    <cellStyle name="20% - Accent1 3 5 2 6 6 2" xfId="55875"/>
    <cellStyle name="20% - Accent1 3 5 2 6 7" xfId="32345"/>
    <cellStyle name="20% - Accent1 3 5 2 7" xfId="3728"/>
    <cellStyle name="20% - Accent1 3 5 2 7 2" xfId="14053"/>
    <cellStyle name="20% - Accent1 3 5 2 7 2 2" xfId="25854"/>
    <cellStyle name="20% - Accent1 3 5 2 7 2 2 2" xfId="55876"/>
    <cellStyle name="20% - Accent1 3 5 2 7 2 3" xfId="39469"/>
    <cellStyle name="20% - Accent1 3 5 2 7 3" xfId="9181"/>
    <cellStyle name="20% - Accent1 3 5 2 7 3 2" xfId="45959"/>
    <cellStyle name="20% - Accent1 3 5 2 7 4" xfId="20982"/>
    <cellStyle name="20% - Accent1 3 5 2 7 4 2" xfId="55877"/>
    <cellStyle name="20% - Accent1 3 5 2 7 5" xfId="34597"/>
    <cellStyle name="20% - Accent1 3 5 2 8" xfId="2024"/>
    <cellStyle name="20% - Accent1 3 5 2 8 2" xfId="14054"/>
    <cellStyle name="20% - Accent1 3 5 2 8 2 2" xfId="25855"/>
    <cellStyle name="20% - Accent1 3 5 2 8 2 2 2" xfId="55878"/>
    <cellStyle name="20% - Accent1 3 5 2 8 2 3" xfId="39470"/>
    <cellStyle name="20% - Accent1 3 5 2 8 3" xfId="7477"/>
    <cellStyle name="20% - Accent1 3 5 2 8 3 2" xfId="45960"/>
    <cellStyle name="20% - Accent1 3 5 2 8 4" xfId="19278"/>
    <cellStyle name="20% - Accent1 3 5 2 8 4 2" xfId="55879"/>
    <cellStyle name="20% - Accent1 3 5 2 8 5" xfId="32893"/>
    <cellStyle name="20% - Accent1 3 5 2 9" xfId="14055"/>
    <cellStyle name="20% - Accent1 3 5 2 9 2" xfId="25856"/>
    <cellStyle name="20% - Accent1 3 5 2 9 2 2" xfId="55880"/>
    <cellStyle name="20% - Accent1 3 5 2 9 3" xfId="39471"/>
    <cellStyle name="20% - Accent1 3 5 3" xfId="218"/>
    <cellStyle name="20% - Accent1 3 5 3 10" xfId="31088"/>
    <cellStyle name="20% - Accent1 3 5 3 2" xfId="483"/>
    <cellStyle name="20% - Accent1 3 5 3 2 2" xfId="1476"/>
    <cellStyle name="20% - Accent1 3 5 3 2 2 2" xfId="4793"/>
    <cellStyle name="20% - Accent1 3 5 3 2 2 2 2" xfId="14056"/>
    <cellStyle name="20% - Accent1 3 5 3 2 2 2 2 2" xfId="25857"/>
    <cellStyle name="20% - Accent1 3 5 3 2 2 2 2 2 2" xfId="55881"/>
    <cellStyle name="20% - Accent1 3 5 3 2 2 2 2 3" xfId="39472"/>
    <cellStyle name="20% - Accent1 3 5 3 2 2 2 3" xfId="10246"/>
    <cellStyle name="20% - Accent1 3 5 3 2 2 2 3 2" xfId="45961"/>
    <cellStyle name="20% - Accent1 3 5 3 2 2 2 4" xfId="22047"/>
    <cellStyle name="20% - Accent1 3 5 3 2 2 2 4 2" xfId="55882"/>
    <cellStyle name="20% - Accent1 3 5 3 2 2 2 5" xfId="35662"/>
    <cellStyle name="20% - Accent1 3 5 3 2 2 3" xfId="2952"/>
    <cellStyle name="20% - Accent1 3 5 3 2 2 3 2" xfId="14057"/>
    <cellStyle name="20% - Accent1 3 5 3 2 2 3 2 2" xfId="25858"/>
    <cellStyle name="20% - Accent1 3 5 3 2 2 3 2 2 2" xfId="55883"/>
    <cellStyle name="20% - Accent1 3 5 3 2 2 3 2 3" xfId="39473"/>
    <cellStyle name="20% - Accent1 3 5 3 2 2 3 3" xfId="8405"/>
    <cellStyle name="20% - Accent1 3 5 3 2 2 3 3 2" xfId="45962"/>
    <cellStyle name="20% - Accent1 3 5 3 2 2 3 4" xfId="20206"/>
    <cellStyle name="20% - Accent1 3 5 3 2 2 3 4 2" xfId="55884"/>
    <cellStyle name="20% - Accent1 3 5 3 2 2 3 5" xfId="33821"/>
    <cellStyle name="20% - Accent1 3 5 3 2 2 4" xfId="14058"/>
    <cellStyle name="20% - Accent1 3 5 3 2 2 4 2" xfId="25859"/>
    <cellStyle name="20% - Accent1 3 5 3 2 2 4 2 2" xfId="55885"/>
    <cellStyle name="20% - Accent1 3 5 3 2 2 4 3" xfId="39474"/>
    <cellStyle name="20% - Accent1 3 5 3 2 2 5" xfId="6930"/>
    <cellStyle name="20% - Accent1 3 5 3 2 2 5 2" xfId="45963"/>
    <cellStyle name="20% - Accent1 3 5 3 2 2 6" xfId="18731"/>
    <cellStyle name="20% - Accent1 3 5 3 2 2 6 2" xfId="55886"/>
    <cellStyle name="20% - Accent1 3 5 3 2 2 7" xfId="32346"/>
    <cellStyle name="20% - Accent1 3 5 3 2 3" xfId="3520"/>
    <cellStyle name="20% - Accent1 3 5 3 2 3 2" xfId="5361"/>
    <cellStyle name="20% - Accent1 3 5 3 2 3 2 2" xfId="16831"/>
    <cellStyle name="20% - Accent1 3 5 3 2 3 2 2 2" xfId="28632"/>
    <cellStyle name="20% - Accent1 3 5 3 2 3 2 2 2 2" xfId="55887"/>
    <cellStyle name="20% - Accent1 3 5 3 2 3 2 2 3" xfId="42247"/>
    <cellStyle name="20% - Accent1 3 5 3 2 3 2 3" xfId="10814"/>
    <cellStyle name="20% - Accent1 3 5 3 2 3 2 3 2" xfId="55888"/>
    <cellStyle name="20% - Accent1 3 5 3 2 3 2 4" xfId="22615"/>
    <cellStyle name="20% - Accent1 3 5 3 2 3 2 4 2" xfId="55889"/>
    <cellStyle name="20% - Accent1 3 5 3 2 3 2 5" xfId="36230"/>
    <cellStyle name="20% - Accent1 3 5 3 2 3 3" xfId="14059"/>
    <cellStyle name="20% - Accent1 3 5 3 2 3 3 2" xfId="25860"/>
    <cellStyle name="20% - Accent1 3 5 3 2 3 3 2 2" xfId="55890"/>
    <cellStyle name="20% - Accent1 3 5 3 2 3 3 3" xfId="39475"/>
    <cellStyle name="20% - Accent1 3 5 3 2 3 4" xfId="8973"/>
    <cellStyle name="20% - Accent1 3 5 3 2 3 4 2" xfId="55891"/>
    <cellStyle name="20% - Accent1 3 5 3 2 3 5" xfId="20774"/>
    <cellStyle name="20% - Accent1 3 5 3 2 3 5 2" xfId="55892"/>
    <cellStyle name="20% - Accent1 3 5 3 2 3 6" xfId="34389"/>
    <cellStyle name="20% - Accent1 3 5 3 2 4" xfId="4225"/>
    <cellStyle name="20% - Accent1 3 5 3 2 4 2" xfId="14060"/>
    <cellStyle name="20% - Accent1 3 5 3 2 4 2 2" xfId="25861"/>
    <cellStyle name="20% - Accent1 3 5 3 2 4 2 2 2" xfId="55893"/>
    <cellStyle name="20% - Accent1 3 5 3 2 4 2 3" xfId="39476"/>
    <cellStyle name="20% - Accent1 3 5 3 2 4 3" xfId="9678"/>
    <cellStyle name="20% - Accent1 3 5 3 2 4 3 2" xfId="45964"/>
    <cellStyle name="20% - Accent1 3 5 3 2 4 4" xfId="21479"/>
    <cellStyle name="20% - Accent1 3 5 3 2 4 4 2" xfId="55894"/>
    <cellStyle name="20% - Accent1 3 5 3 2 4 5" xfId="35094"/>
    <cellStyle name="20% - Accent1 3 5 3 2 5" xfId="2384"/>
    <cellStyle name="20% - Accent1 3 5 3 2 5 2" xfId="17106"/>
    <cellStyle name="20% - Accent1 3 5 3 2 5 2 2" xfId="28907"/>
    <cellStyle name="20% - Accent1 3 5 3 2 5 2 2 2" xfId="55895"/>
    <cellStyle name="20% - Accent1 3 5 3 2 5 2 3" xfId="42522"/>
    <cellStyle name="20% - Accent1 3 5 3 2 5 3" xfId="7837"/>
    <cellStyle name="20% - Accent1 3 5 3 2 5 3 2" xfId="55896"/>
    <cellStyle name="20% - Accent1 3 5 3 2 5 4" xfId="19638"/>
    <cellStyle name="20% - Accent1 3 5 3 2 5 4 2" xfId="55897"/>
    <cellStyle name="20% - Accent1 3 5 3 2 5 5" xfId="33253"/>
    <cellStyle name="20% - Accent1 3 5 3 2 6" xfId="14061"/>
    <cellStyle name="20% - Accent1 3 5 3 2 6 2" xfId="25862"/>
    <cellStyle name="20% - Accent1 3 5 3 2 6 2 2" xfId="55898"/>
    <cellStyle name="20% - Accent1 3 5 3 2 6 3" xfId="39477"/>
    <cellStyle name="20% - Accent1 3 5 3 2 7" xfId="5937"/>
    <cellStyle name="20% - Accent1 3 5 3 2 7 2" xfId="55899"/>
    <cellStyle name="20% - Accent1 3 5 3 2 8" xfId="17738"/>
    <cellStyle name="20% - Accent1 3 5 3 2 8 2" xfId="55900"/>
    <cellStyle name="20% - Accent1 3 5 3 2 9" xfId="31353"/>
    <cellStyle name="20% - Accent1 3 5 3 3" xfId="786"/>
    <cellStyle name="20% - Accent1 3 5 3 3 2" xfId="1477"/>
    <cellStyle name="20% - Accent1 3 5 3 3 2 2" xfId="4528"/>
    <cellStyle name="20% - Accent1 3 5 3 3 2 2 2" xfId="14062"/>
    <cellStyle name="20% - Accent1 3 5 3 3 2 2 2 2" xfId="25863"/>
    <cellStyle name="20% - Accent1 3 5 3 3 2 2 2 2 2" xfId="55901"/>
    <cellStyle name="20% - Accent1 3 5 3 3 2 2 2 3" xfId="39478"/>
    <cellStyle name="20% - Accent1 3 5 3 3 2 2 3" xfId="9981"/>
    <cellStyle name="20% - Accent1 3 5 3 3 2 2 3 2" xfId="45965"/>
    <cellStyle name="20% - Accent1 3 5 3 3 2 2 4" xfId="21782"/>
    <cellStyle name="20% - Accent1 3 5 3 3 2 2 4 2" xfId="55902"/>
    <cellStyle name="20% - Accent1 3 5 3 3 2 2 5" xfId="35397"/>
    <cellStyle name="20% - Accent1 3 5 3 3 2 3" xfId="14063"/>
    <cellStyle name="20% - Accent1 3 5 3 3 2 3 2" xfId="25864"/>
    <cellStyle name="20% - Accent1 3 5 3 3 2 3 2 2" xfId="45966"/>
    <cellStyle name="20% - Accent1 3 5 3 3 2 3 3" xfId="30061"/>
    <cellStyle name="20% - Accent1 3 5 3 3 2 3 3 2" xfId="45967"/>
    <cellStyle name="20% - Accent1 3 5 3 3 2 3 4" xfId="30062"/>
    <cellStyle name="20% - Accent1 3 5 3 3 2 3 4 2" xfId="55903"/>
    <cellStyle name="20% - Accent1 3 5 3 3 2 3 5" xfId="39479"/>
    <cellStyle name="20% - Accent1 3 5 3 3 2 4" xfId="14064"/>
    <cellStyle name="20% - Accent1 3 5 3 3 2 4 2" xfId="25865"/>
    <cellStyle name="20% - Accent1 3 5 3 3 2 4 2 2" xfId="55904"/>
    <cellStyle name="20% - Accent1 3 5 3 3 2 4 3" xfId="39480"/>
    <cellStyle name="20% - Accent1 3 5 3 3 2 5" xfId="6931"/>
    <cellStyle name="20% - Accent1 3 5 3 3 2 5 2" xfId="45968"/>
    <cellStyle name="20% - Accent1 3 5 3 3 2 6" xfId="18732"/>
    <cellStyle name="20% - Accent1 3 5 3 3 2 6 2" xfId="55905"/>
    <cellStyle name="20% - Accent1 3 5 3 3 2 7" xfId="32347"/>
    <cellStyle name="20% - Accent1 3 5 3 3 3" xfId="2687"/>
    <cellStyle name="20% - Accent1 3 5 3 3 3 2" xfId="14065"/>
    <cellStyle name="20% - Accent1 3 5 3 3 3 2 2" xfId="25866"/>
    <cellStyle name="20% - Accent1 3 5 3 3 3 2 2 2" xfId="55906"/>
    <cellStyle name="20% - Accent1 3 5 3 3 3 2 3" xfId="39481"/>
    <cellStyle name="20% - Accent1 3 5 3 3 3 3" xfId="8140"/>
    <cellStyle name="20% - Accent1 3 5 3 3 3 3 2" xfId="45969"/>
    <cellStyle name="20% - Accent1 3 5 3 3 3 4" xfId="19941"/>
    <cellStyle name="20% - Accent1 3 5 3 3 3 4 2" xfId="55907"/>
    <cellStyle name="20% - Accent1 3 5 3 3 3 5" xfId="33556"/>
    <cellStyle name="20% - Accent1 3 5 3 3 4" xfId="14066"/>
    <cellStyle name="20% - Accent1 3 5 3 3 4 2" xfId="25867"/>
    <cellStyle name="20% - Accent1 3 5 3 3 4 2 2" xfId="45970"/>
    <cellStyle name="20% - Accent1 3 5 3 3 4 3" xfId="30063"/>
    <cellStyle name="20% - Accent1 3 5 3 3 4 3 2" xfId="45971"/>
    <cellStyle name="20% - Accent1 3 5 3 3 4 4" xfId="30064"/>
    <cellStyle name="20% - Accent1 3 5 3 3 4 4 2" xfId="55908"/>
    <cellStyle name="20% - Accent1 3 5 3 3 4 5" xfId="39482"/>
    <cellStyle name="20% - Accent1 3 5 3 3 5" xfId="14067"/>
    <cellStyle name="20% - Accent1 3 5 3 3 5 2" xfId="25868"/>
    <cellStyle name="20% - Accent1 3 5 3 3 5 2 2" xfId="55909"/>
    <cellStyle name="20% - Accent1 3 5 3 3 5 3" xfId="39483"/>
    <cellStyle name="20% - Accent1 3 5 3 3 6" xfId="6240"/>
    <cellStyle name="20% - Accent1 3 5 3 3 6 2" xfId="45972"/>
    <cellStyle name="20% - Accent1 3 5 3 3 7" xfId="18041"/>
    <cellStyle name="20% - Accent1 3 5 3 3 7 2" xfId="55910"/>
    <cellStyle name="20% - Accent1 3 5 3 3 8" xfId="31656"/>
    <cellStyle name="20% - Accent1 3 5 3 4" xfId="1478"/>
    <cellStyle name="20% - Accent1 3 5 3 4 2" xfId="5096"/>
    <cellStyle name="20% - Accent1 3 5 3 4 2 2" xfId="14068"/>
    <cellStyle name="20% - Accent1 3 5 3 4 2 2 2" xfId="25869"/>
    <cellStyle name="20% - Accent1 3 5 3 4 2 2 2 2" xfId="55911"/>
    <cellStyle name="20% - Accent1 3 5 3 4 2 2 3" xfId="39484"/>
    <cellStyle name="20% - Accent1 3 5 3 4 2 3" xfId="10549"/>
    <cellStyle name="20% - Accent1 3 5 3 4 2 3 2" xfId="45973"/>
    <cellStyle name="20% - Accent1 3 5 3 4 2 4" xfId="22350"/>
    <cellStyle name="20% - Accent1 3 5 3 4 2 4 2" xfId="55912"/>
    <cellStyle name="20% - Accent1 3 5 3 4 2 5" xfId="35965"/>
    <cellStyle name="20% - Accent1 3 5 3 4 3" xfId="3255"/>
    <cellStyle name="20% - Accent1 3 5 3 4 3 2" xfId="14069"/>
    <cellStyle name="20% - Accent1 3 5 3 4 3 2 2" xfId="25870"/>
    <cellStyle name="20% - Accent1 3 5 3 4 3 2 2 2" xfId="55913"/>
    <cellStyle name="20% - Accent1 3 5 3 4 3 2 3" xfId="39485"/>
    <cellStyle name="20% - Accent1 3 5 3 4 3 3" xfId="8708"/>
    <cellStyle name="20% - Accent1 3 5 3 4 3 3 2" xfId="45974"/>
    <cellStyle name="20% - Accent1 3 5 3 4 3 4" xfId="20509"/>
    <cellStyle name="20% - Accent1 3 5 3 4 3 4 2" xfId="55914"/>
    <cellStyle name="20% - Accent1 3 5 3 4 3 5" xfId="34124"/>
    <cellStyle name="20% - Accent1 3 5 3 4 4" xfId="14070"/>
    <cellStyle name="20% - Accent1 3 5 3 4 4 2" xfId="25871"/>
    <cellStyle name="20% - Accent1 3 5 3 4 4 2 2" xfId="55915"/>
    <cellStyle name="20% - Accent1 3 5 3 4 4 3" xfId="39486"/>
    <cellStyle name="20% - Accent1 3 5 3 4 5" xfId="6932"/>
    <cellStyle name="20% - Accent1 3 5 3 4 5 2" xfId="45975"/>
    <cellStyle name="20% - Accent1 3 5 3 4 6" xfId="18733"/>
    <cellStyle name="20% - Accent1 3 5 3 4 6 2" xfId="55916"/>
    <cellStyle name="20% - Accent1 3 5 3 4 7" xfId="32348"/>
    <cellStyle name="20% - Accent1 3 5 3 5" xfId="3960"/>
    <cellStyle name="20% - Accent1 3 5 3 5 2" xfId="14071"/>
    <cellStyle name="20% - Accent1 3 5 3 5 2 2" xfId="25872"/>
    <cellStyle name="20% - Accent1 3 5 3 5 2 2 2" xfId="55917"/>
    <cellStyle name="20% - Accent1 3 5 3 5 2 3" xfId="39487"/>
    <cellStyle name="20% - Accent1 3 5 3 5 3" xfId="9413"/>
    <cellStyle name="20% - Accent1 3 5 3 5 3 2" xfId="45976"/>
    <cellStyle name="20% - Accent1 3 5 3 5 4" xfId="21214"/>
    <cellStyle name="20% - Accent1 3 5 3 5 4 2" xfId="55918"/>
    <cellStyle name="20% - Accent1 3 5 3 5 5" xfId="34829"/>
    <cellStyle name="20% - Accent1 3 5 3 6" xfId="2119"/>
    <cellStyle name="20% - Accent1 3 5 3 6 2" xfId="14072"/>
    <cellStyle name="20% - Accent1 3 5 3 6 2 2" xfId="25873"/>
    <cellStyle name="20% - Accent1 3 5 3 6 2 2 2" xfId="55919"/>
    <cellStyle name="20% - Accent1 3 5 3 6 2 3" xfId="39488"/>
    <cellStyle name="20% - Accent1 3 5 3 6 3" xfId="7572"/>
    <cellStyle name="20% - Accent1 3 5 3 6 3 2" xfId="45977"/>
    <cellStyle name="20% - Accent1 3 5 3 6 4" xfId="19373"/>
    <cellStyle name="20% - Accent1 3 5 3 6 4 2" xfId="55920"/>
    <cellStyle name="20% - Accent1 3 5 3 6 5" xfId="32988"/>
    <cellStyle name="20% - Accent1 3 5 3 7" xfId="14073"/>
    <cellStyle name="20% - Accent1 3 5 3 7 2" xfId="25874"/>
    <cellStyle name="20% - Accent1 3 5 3 7 2 2" xfId="55921"/>
    <cellStyle name="20% - Accent1 3 5 3 7 3" xfId="39489"/>
    <cellStyle name="20% - Accent1 3 5 3 8" xfId="5672"/>
    <cellStyle name="20% - Accent1 3 5 3 8 2" xfId="45978"/>
    <cellStyle name="20% - Accent1 3 5 3 9" xfId="17473"/>
    <cellStyle name="20% - Accent1 3 5 3 9 2" xfId="55922"/>
    <cellStyle name="20% - Accent1 3 5 4" xfId="346"/>
    <cellStyle name="20% - Accent1 3 5 4 2" xfId="1479"/>
    <cellStyle name="20% - Accent1 3 5 4 2 2" xfId="4656"/>
    <cellStyle name="20% - Accent1 3 5 4 2 2 2" xfId="14074"/>
    <cellStyle name="20% - Accent1 3 5 4 2 2 2 2" xfId="25875"/>
    <cellStyle name="20% - Accent1 3 5 4 2 2 2 2 2" xfId="55923"/>
    <cellStyle name="20% - Accent1 3 5 4 2 2 2 3" xfId="39490"/>
    <cellStyle name="20% - Accent1 3 5 4 2 2 3" xfId="10109"/>
    <cellStyle name="20% - Accent1 3 5 4 2 2 3 2" xfId="45979"/>
    <cellStyle name="20% - Accent1 3 5 4 2 2 4" xfId="21910"/>
    <cellStyle name="20% - Accent1 3 5 4 2 2 4 2" xfId="55924"/>
    <cellStyle name="20% - Accent1 3 5 4 2 2 5" xfId="35525"/>
    <cellStyle name="20% - Accent1 3 5 4 2 3" xfId="2815"/>
    <cellStyle name="20% - Accent1 3 5 4 2 3 2" xfId="14075"/>
    <cellStyle name="20% - Accent1 3 5 4 2 3 2 2" xfId="25876"/>
    <cellStyle name="20% - Accent1 3 5 4 2 3 2 2 2" xfId="55925"/>
    <cellStyle name="20% - Accent1 3 5 4 2 3 2 3" xfId="39491"/>
    <cellStyle name="20% - Accent1 3 5 4 2 3 3" xfId="8268"/>
    <cellStyle name="20% - Accent1 3 5 4 2 3 3 2" xfId="45980"/>
    <cellStyle name="20% - Accent1 3 5 4 2 3 4" xfId="20069"/>
    <cellStyle name="20% - Accent1 3 5 4 2 3 4 2" xfId="55926"/>
    <cellStyle name="20% - Accent1 3 5 4 2 3 5" xfId="33684"/>
    <cellStyle name="20% - Accent1 3 5 4 2 4" xfId="14076"/>
    <cellStyle name="20% - Accent1 3 5 4 2 4 2" xfId="25877"/>
    <cellStyle name="20% - Accent1 3 5 4 2 4 2 2" xfId="55927"/>
    <cellStyle name="20% - Accent1 3 5 4 2 4 3" xfId="39492"/>
    <cellStyle name="20% - Accent1 3 5 4 2 5" xfId="6933"/>
    <cellStyle name="20% - Accent1 3 5 4 2 5 2" xfId="45981"/>
    <cellStyle name="20% - Accent1 3 5 4 2 6" xfId="18734"/>
    <cellStyle name="20% - Accent1 3 5 4 2 6 2" xfId="55928"/>
    <cellStyle name="20% - Accent1 3 5 4 2 7" xfId="32349"/>
    <cellStyle name="20% - Accent1 3 5 4 3" xfId="3383"/>
    <cellStyle name="20% - Accent1 3 5 4 3 2" xfId="5224"/>
    <cellStyle name="20% - Accent1 3 5 4 3 2 2" xfId="16694"/>
    <cellStyle name="20% - Accent1 3 5 4 3 2 2 2" xfId="28495"/>
    <cellStyle name="20% - Accent1 3 5 4 3 2 2 2 2" xfId="55929"/>
    <cellStyle name="20% - Accent1 3 5 4 3 2 2 3" xfId="42110"/>
    <cellStyle name="20% - Accent1 3 5 4 3 2 3" xfId="10677"/>
    <cellStyle name="20% - Accent1 3 5 4 3 2 3 2" xfId="55930"/>
    <cellStyle name="20% - Accent1 3 5 4 3 2 4" xfId="22478"/>
    <cellStyle name="20% - Accent1 3 5 4 3 2 4 2" xfId="55931"/>
    <cellStyle name="20% - Accent1 3 5 4 3 2 5" xfId="36093"/>
    <cellStyle name="20% - Accent1 3 5 4 3 3" xfId="14077"/>
    <cellStyle name="20% - Accent1 3 5 4 3 3 2" xfId="25878"/>
    <cellStyle name="20% - Accent1 3 5 4 3 3 2 2" xfId="55932"/>
    <cellStyle name="20% - Accent1 3 5 4 3 3 3" xfId="39493"/>
    <cellStyle name="20% - Accent1 3 5 4 3 4" xfId="8836"/>
    <cellStyle name="20% - Accent1 3 5 4 3 4 2" xfId="55933"/>
    <cellStyle name="20% - Accent1 3 5 4 3 5" xfId="20637"/>
    <cellStyle name="20% - Accent1 3 5 4 3 5 2" xfId="55934"/>
    <cellStyle name="20% - Accent1 3 5 4 3 6" xfId="34252"/>
    <cellStyle name="20% - Accent1 3 5 4 4" xfId="4088"/>
    <cellStyle name="20% - Accent1 3 5 4 4 2" xfId="14078"/>
    <cellStyle name="20% - Accent1 3 5 4 4 2 2" xfId="25879"/>
    <cellStyle name="20% - Accent1 3 5 4 4 2 2 2" xfId="55935"/>
    <cellStyle name="20% - Accent1 3 5 4 4 2 3" xfId="39494"/>
    <cellStyle name="20% - Accent1 3 5 4 4 3" xfId="9541"/>
    <cellStyle name="20% - Accent1 3 5 4 4 3 2" xfId="45982"/>
    <cellStyle name="20% - Accent1 3 5 4 4 4" xfId="21342"/>
    <cellStyle name="20% - Accent1 3 5 4 4 4 2" xfId="55936"/>
    <cellStyle name="20% - Accent1 3 5 4 4 5" xfId="34957"/>
    <cellStyle name="20% - Accent1 3 5 4 5" xfId="2247"/>
    <cellStyle name="20% - Accent1 3 5 4 5 2" xfId="17107"/>
    <cellStyle name="20% - Accent1 3 5 4 5 2 2" xfId="28908"/>
    <cellStyle name="20% - Accent1 3 5 4 5 2 2 2" xfId="55937"/>
    <cellStyle name="20% - Accent1 3 5 4 5 2 3" xfId="42523"/>
    <cellStyle name="20% - Accent1 3 5 4 5 3" xfId="7700"/>
    <cellStyle name="20% - Accent1 3 5 4 5 3 2" xfId="55938"/>
    <cellStyle name="20% - Accent1 3 5 4 5 4" xfId="19501"/>
    <cellStyle name="20% - Accent1 3 5 4 5 4 2" xfId="55939"/>
    <cellStyle name="20% - Accent1 3 5 4 5 5" xfId="33116"/>
    <cellStyle name="20% - Accent1 3 5 4 6" xfId="14079"/>
    <cellStyle name="20% - Accent1 3 5 4 6 2" xfId="25880"/>
    <cellStyle name="20% - Accent1 3 5 4 6 2 2" xfId="55940"/>
    <cellStyle name="20% - Accent1 3 5 4 6 3" xfId="39495"/>
    <cellStyle name="20% - Accent1 3 5 4 7" xfId="5800"/>
    <cellStyle name="20% - Accent1 3 5 4 7 2" xfId="55941"/>
    <cellStyle name="20% - Accent1 3 5 4 8" xfId="17601"/>
    <cellStyle name="20% - Accent1 3 5 4 8 2" xfId="55942"/>
    <cellStyle name="20% - Accent1 3 5 4 9" xfId="31216"/>
    <cellStyle name="20% - Accent1 3 5 5" xfId="624"/>
    <cellStyle name="20% - Accent1 3 5 5 2" xfId="1480"/>
    <cellStyle name="20% - Accent1 3 5 5 2 2" xfId="4366"/>
    <cellStyle name="20% - Accent1 3 5 5 2 2 2" xfId="14080"/>
    <cellStyle name="20% - Accent1 3 5 5 2 2 2 2" xfId="25881"/>
    <cellStyle name="20% - Accent1 3 5 5 2 2 2 2 2" xfId="55943"/>
    <cellStyle name="20% - Accent1 3 5 5 2 2 2 3" xfId="39496"/>
    <cellStyle name="20% - Accent1 3 5 5 2 2 3" xfId="9819"/>
    <cellStyle name="20% - Accent1 3 5 5 2 2 3 2" xfId="45983"/>
    <cellStyle name="20% - Accent1 3 5 5 2 2 4" xfId="21620"/>
    <cellStyle name="20% - Accent1 3 5 5 2 2 4 2" xfId="55944"/>
    <cellStyle name="20% - Accent1 3 5 5 2 2 5" xfId="35235"/>
    <cellStyle name="20% - Accent1 3 5 5 2 3" xfId="14081"/>
    <cellStyle name="20% - Accent1 3 5 5 2 3 2" xfId="25882"/>
    <cellStyle name="20% - Accent1 3 5 5 2 3 2 2" xfId="45984"/>
    <cellStyle name="20% - Accent1 3 5 5 2 3 3" xfId="30065"/>
    <cellStyle name="20% - Accent1 3 5 5 2 3 3 2" xfId="45985"/>
    <cellStyle name="20% - Accent1 3 5 5 2 3 4" xfId="30066"/>
    <cellStyle name="20% - Accent1 3 5 5 2 3 4 2" xfId="55945"/>
    <cellStyle name="20% - Accent1 3 5 5 2 3 5" xfId="39497"/>
    <cellStyle name="20% - Accent1 3 5 5 2 4" xfId="14082"/>
    <cellStyle name="20% - Accent1 3 5 5 2 4 2" xfId="25883"/>
    <cellStyle name="20% - Accent1 3 5 5 2 4 2 2" xfId="55946"/>
    <cellStyle name="20% - Accent1 3 5 5 2 4 3" xfId="39498"/>
    <cellStyle name="20% - Accent1 3 5 5 2 5" xfId="6934"/>
    <cellStyle name="20% - Accent1 3 5 5 2 5 2" xfId="45986"/>
    <cellStyle name="20% - Accent1 3 5 5 2 6" xfId="18735"/>
    <cellStyle name="20% - Accent1 3 5 5 2 6 2" xfId="55947"/>
    <cellStyle name="20% - Accent1 3 5 5 2 7" xfId="32350"/>
    <cellStyle name="20% - Accent1 3 5 5 3" xfId="2525"/>
    <cellStyle name="20% - Accent1 3 5 5 3 2" xfId="14083"/>
    <cellStyle name="20% - Accent1 3 5 5 3 2 2" xfId="25884"/>
    <cellStyle name="20% - Accent1 3 5 5 3 2 2 2" xfId="55948"/>
    <cellStyle name="20% - Accent1 3 5 5 3 2 3" xfId="39499"/>
    <cellStyle name="20% - Accent1 3 5 5 3 3" xfId="7978"/>
    <cellStyle name="20% - Accent1 3 5 5 3 3 2" xfId="45987"/>
    <cellStyle name="20% - Accent1 3 5 5 3 4" xfId="19779"/>
    <cellStyle name="20% - Accent1 3 5 5 3 4 2" xfId="55949"/>
    <cellStyle name="20% - Accent1 3 5 5 3 5" xfId="33394"/>
    <cellStyle name="20% - Accent1 3 5 5 4" xfId="14084"/>
    <cellStyle name="20% - Accent1 3 5 5 4 2" xfId="25885"/>
    <cellStyle name="20% - Accent1 3 5 5 4 2 2" xfId="45988"/>
    <cellStyle name="20% - Accent1 3 5 5 4 3" xfId="30067"/>
    <cellStyle name="20% - Accent1 3 5 5 4 3 2" xfId="45989"/>
    <cellStyle name="20% - Accent1 3 5 5 4 4" xfId="30068"/>
    <cellStyle name="20% - Accent1 3 5 5 4 4 2" xfId="55950"/>
    <cellStyle name="20% - Accent1 3 5 5 4 5" xfId="39500"/>
    <cellStyle name="20% - Accent1 3 5 5 5" xfId="14085"/>
    <cellStyle name="20% - Accent1 3 5 5 5 2" xfId="25886"/>
    <cellStyle name="20% - Accent1 3 5 5 5 2 2" xfId="55951"/>
    <cellStyle name="20% - Accent1 3 5 5 5 3" xfId="39501"/>
    <cellStyle name="20% - Accent1 3 5 5 6" xfId="6078"/>
    <cellStyle name="20% - Accent1 3 5 5 6 2" xfId="45990"/>
    <cellStyle name="20% - Accent1 3 5 5 7" xfId="17879"/>
    <cellStyle name="20% - Accent1 3 5 5 7 2" xfId="55952"/>
    <cellStyle name="20% - Accent1 3 5 5 8" xfId="31494"/>
    <cellStyle name="20% - Accent1 3 5 6" xfId="865"/>
    <cellStyle name="20% - Accent1 3 5 6 2" xfId="1481"/>
    <cellStyle name="20% - Accent1 3 5 6 2 2" xfId="4934"/>
    <cellStyle name="20% - Accent1 3 5 6 2 2 2" xfId="14086"/>
    <cellStyle name="20% - Accent1 3 5 6 2 2 2 2" xfId="25887"/>
    <cellStyle name="20% - Accent1 3 5 6 2 2 2 2 2" xfId="55953"/>
    <cellStyle name="20% - Accent1 3 5 6 2 2 2 3" xfId="39502"/>
    <cellStyle name="20% - Accent1 3 5 6 2 2 3" xfId="10387"/>
    <cellStyle name="20% - Accent1 3 5 6 2 2 3 2" xfId="45991"/>
    <cellStyle name="20% - Accent1 3 5 6 2 2 4" xfId="22188"/>
    <cellStyle name="20% - Accent1 3 5 6 2 2 4 2" xfId="55954"/>
    <cellStyle name="20% - Accent1 3 5 6 2 2 5" xfId="35803"/>
    <cellStyle name="20% - Accent1 3 5 6 2 3" xfId="14087"/>
    <cellStyle name="20% - Accent1 3 5 6 2 3 2" xfId="25888"/>
    <cellStyle name="20% - Accent1 3 5 6 2 3 2 2" xfId="45992"/>
    <cellStyle name="20% - Accent1 3 5 6 2 3 3" xfId="30069"/>
    <cellStyle name="20% - Accent1 3 5 6 2 3 3 2" xfId="45993"/>
    <cellStyle name="20% - Accent1 3 5 6 2 3 4" xfId="30070"/>
    <cellStyle name="20% - Accent1 3 5 6 2 3 4 2" xfId="55955"/>
    <cellStyle name="20% - Accent1 3 5 6 2 3 5" xfId="39503"/>
    <cellStyle name="20% - Accent1 3 5 6 2 4" xfId="14088"/>
    <cellStyle name="20% - Accent1 3 5 6 2 4 2" xfId="25889"/>
    <cellStyle name="20% - Accent1 3 5 6 2 4 2 2" xfId="55956"/>
    <cellStyle name="20% - Accent1 3 5 6 2 4 3" xfId="39504"/>
    <cellStyle name="20% - Accent1 3 5 6 2 5" xfId="6935"/>
    <cellStyle name="20% - Accent1 3 5 6 2 5 2" xfId="45994"/>
    <cellStyle name="20% - Accent1 3 5 6 2 6" xfId="18736"/>
    <cellStyle name="20% - Accent1 3 5 6 2 6 2" xfId="55957"/>
    <cellStyle name="20% - Accent1 3 5 6 2 7" xfId="32351"/>
    <cellStyle name="20% - Accent1 3 5 6 3" xfId="3093"/>
    <cellStyle name="20% - Accent1 3 5 6 3 2" xfId="14089"/>
    <cellStyle name="20% - Accent1 3 5 6 3 2 2" xfId="25890"/>
    <cellStyle name="20% - Accent1 3 5 6 3 2 2 2" xfId="55958"/>
    <cellStyle name="20% - Accent1 3 5 6 3 2 3" xfId="39505"/>
    <cellStyle name="20% - Accent1 3 5 6 3 3" xfId="8546"/>
    <cellStyle name="20% - Accent1 3 5 6 3 3 2" xfId="45995"/>
    <cellStyle name="20% - Accent1 3 5 6 3 4" xfId="20347"/>
    <cellStyle name="20% - Accent1 3 5 6 3 4 2" xfId="55959"/>
    <cellStyle name="20% - Accent1 3 5 6 3 5" xfId="33962"/>
    <cellStyle name="20% - Accent1 3 5 6 4" xfId="14090"/>
    <cellStyle name="20% - Accent1 3 5 6 4 2" xfId="25891"/>
    <cellStyle name="20% - Accent1 3 5 6 4 2 2" xfId="45996"/>
    <cellStyle name="20% - Accent1 3 5 6 4 3" xfId="30071"/>
    <cellStyle name="20% - Accent1 3 5 6 4 3 2" xfId="45997"/>
    <cellStyle name="20% - Accent1 3 5 6 4 4" xfId="30072"/>
    <cellStyle name="20% - Accent1 3 5 6 4 4 2" xfId="55960"/>
    <cellStyle name="20% - Accent1 3 5 6 4 5" xfId="39506"/>
    <cellStyle name="20% - Accent1 3 5 6 5" xfId="14091"/>
    <cellStyle name="20% - Accent1 3 5 6 5 2" xfId="25892"/>
    <cellStyle name="20% - Accent1 3 5 6 5 2 2" xfId="55961"/>
    <cellStyle name="20% - Accent1 3 5 6 5 3" xfId="39507"/>
    <cellStyle name="20% - Accent1 3 5 6 6" xfId="6319"/>
    <cellStyle name="20% - Accent1 3 5 6 6 2" xfId="45998"/>
    <cellStyle name="20% - Accent1 3 5 6 7" xfId="18120"/>
    <cellStyle name="20% - Accent1 3 5 6 7 2" xfId="55962"/>
    <cellStyle name="20% - Accent1 3 5 6 8" xfId="31735"/>
    <cellStyle name="20% - Accent1 3 5 7" xfId="1482"/>
    <cellStyle name="20% - Accent1 3 5 7 2" xfId="3798"/>
    <cellStyle name="20% - Accent1 3 5 7 2 2" xfId="14092"/>
    <cellStyle name="20% - Accent1 3 5 7 2 2 2" xfId="25893"/>
    <cellStyle name="20% - Accent1 3 5 7 2 2 2 2" xfId="55963"/>
    <cellStyle name="20% - Accent1 3 5 7 2 2 3" xfId="39508"/>
    <cellStyle name="20% - Accent1 3 5 7 2 3" xfId="9251"/>
    <cellStyle name="20% - Accent1 3 5 7 2 3 2" xfId="45999"/>
    <cellStyle name="20% - Accent1 3 5 7 2 4" xfId="21052"/>
    <cellStyle name="20% - Accent1 3 5 7 2 4 2" xfId="55964"/>
    <cellStyle name="20% - Accent1 3 5 7 2 5" xfId="34667"/>
    <cellStyle name="20% - Accent1 3 5 7 3" xfId="14093"/>
    <cellStyle name="20% - Accent1 3 5 7 3 2" xfId="25894"/>
    <cellStyle name="20% - Accent1 3 5 7 3 2 2" xfId="46000"/>
    <cellStyle name="20% - Accent1 3 5 7 3 3" xfId="30073"/>
    <cellStyle name="20% - Accent1 3 5 7 3 3 2" xfId="46001"/>
    <cellStyle name="20% - Accent1 3 5 7 3 4" xfId="30074"/>
    <cellStyle name="20% - Accent1 3 5 7 3 4 2" xfId="55965"/>
    <cellStyle name="20% - Accent1 3 5 7 3 5" xfId="39509"/>
    <cellStyle name="20% - Accent1 3 5 7 4" xfId="14094"/>
    <cellStyle name="20% - Accent1 3 5 7 4 2" xfId="25895"/>
    <cellStyle name="20% - Accent1 3 5 7 4 2 2" xfId="55966"/>
    <cellStyle name="20% - Accent1 3 5 7 4 3" xfId="39510"/>
    <cellStyle name="20% - Accent1 3 5 7 5" xfId="6936"/>
    <cellStyle name="20% - Accent1 3 5 7 5 2" xfId="46002"/>
    <cellStyle name="20% - Accent1 3 5 7 6" xfId="18737"/>
    <cellStyle name="20% - Accent1 3 5 7 6 2" xfId="55967"/>
    <cellStyle name="20% - Accent1 3 5 7 7" xfId="32352"/>
    <cellStyle name="20% - Accent1 3 5 8" xfId="3661"/>
    <cellStyle name="20% - Accent1 3 5 8 2" xfId="14095"/>
    <cellStyle name="20% - Accent1 3 5 8 2 2" xfId="25896"/>
    <cellStyle name="20% - Accent1 3 5 8 2 2 2" xfId="55968"/>
    <cellStyle name="20% - Accent1 3 5 8 2 3" xfId="39511"/>
    <cellStyle name="20% - Accent1 3 5 8 3" xfId="9114"/>
    <cellStyle name="20% - Accent1 3 5 8 3 2" xfId="46003"/>
    <cellStyle name="20% - Accent1 3 5 8 4" xfId="20915"/>
    <cellStyle name="20% - Accent1 3 5 8 4 2" xfId="55969"/>
    <cellStyle name="20% - Accent1 3 5 8 5" xfId="34530"/>
    <cellStyle name="20% - Accent1 3 5 9" xfId="1957"/>
    <cellStyle name="20% - Accent1 3 5 9 2" xfId="14096"/>
    <cellStyle name="20% - Accent1 3 5 9 2 2" xfId="25897"/>
    <cellStyle name="20% - Accent1 3 5 9 2 2 2" xfId="55970"/>
    <cellStyle name="20% - Accent1 3 5 9 2 3" xfId="39512"/>
    <cellStyle name="20% - Accent1 3 5 9 3" xfId="7410"/>
    <cellStyle name="20% - Accent1 3 5 9 3 2" xfId="46004"/>
    <cellStyle name="20% - Accent1 3 5 9 4" xfId="19211"/>
    <cellStyle name="20% - Accent1 3 5 9 4 2" xfId="55971"/>
    <cellStyle name="20% - Accent1 3 5 9 5" xfId="32826"/>
    <cellStyle name="20% - Accent1 3 6" xfId="71"/>
    <cellStyle name="20% - Accent1 3 6 10" xfId="5525"/>
    <cellStyle name="20% - Accent1 3 6 10 2" xfId="46005"/>
    <cellStyle name="20% - Accent1 3 6 11" xfId="17326"/>
    <cellStyle name="20% - Accent1 3 6 11 2" xfId="55972"/>
    <cellStyle name="20% - Accent1 3 6 12" xfId="30941"/>
    <cellStyle name="20% - Accent1 3 6 2" xfId="498"/>
    <cellStyle name="20% - Accent1 3 6 2 2" xfId="1483"/>
    <cellStyle name="20% - Accent1 3 6 2 2 2" xfId="4808"/>
    <cellStyle name="20% - Accent1 3 6 2 2 2 2" xfId="14097"/>
    <cellStyle name="20% - Accent1 3 6 2 2 2 2 2" xfId="25898"/>
    <cellStyle name="20% - Accent1 3 6 2 2 2 2 2 2" xfId="55973"/>
    <cellStyle name="20% - Accent1 3 6 2 2 2 2 3" xfId="39513"/>
    <cellStyle name="20% - Accent1 3 6 2 2 2 3" xfId="10261"/>
    <cellStyle name="20% - Accent1 3 6 2 2 2 3 2" xfId="46006"/>
    <cellStyle name="20% - Accent1 3 6 2 2 2 4" xfId="22062"/>
    <cellStyle name="20% - Accent1 3 6 2 2 2 4 2" xfId="55974"/>
    <cellStyle name="20% - Accent1 3 6 2 2 2 5" xfId="35677"/>
    <cellStyle name="20% - Accent1 3 6 2 2 3" xfId="2967"/>
    <cellStyle name="20% - Accent1 3 6 2 2 3 2" xfId="14098"/>
    <cellStyle name="20% - Accent1 3 6 2 2 3 2 2" xfId="25899"/>
    <cellStyle name="20% - Accent1 3 6 2 2 3 2 2 2" xfId="55975"/>
    <cellStyle name="20% - Accent1 3 6 2 2 3 2 3" xfId="39514"/>
    <cellStyle name="20% - Accent1 3 6 2 2 3 3" xfId="8420"/>
    <cellStyle name="20% - Accent1 3 6 2 2 3 3 2" xfId="46007"/>
    <cellStyle name="20% - Accent1 3 6 2 2 3 4" xfId="20221"/>
    <cellStyle name="20% - Accent1 3 6 2 2 3 4 2" xfId="55976"/>
    <cellStyle name="20% - Accent1 3 6 2 2 3 5" xfId="33836"/>
    <cellStyle name="20% - Accent1 3 6 2 2 4" xfId="14099"/>
    <cellStyle name="20% - Accent1 3 6 2 2 4 2" xfId="25900"/>
    <cellStyle name="20% - Accent1 3 6 2 2 4 2 2" xfId="55977"/>
    <cellStyle name="20% - Accent1 3 6 2 2 4 3" xfId="39515"/>
    <cellStyle name="20% - Accent1 3 6 2 2 5" xfId="6937"/>
    <cellStyle name="20% - Accent1 3 6 2 2 5 2" xfId="46008"/>
    <cellStyle name="20% - Accent1 3 6 2 2 6" xfId="18738"/>
    <cellStyle name="20% - Accent1 3 6 2 2 6 2" xfId="55978"/>
    <cellStyle name="20% - Accent1 3 6 2 2 7" xfId="32353"/>
    <cellStyle name="20% - Accent1 3 6 2 3" xfId="3535"/>
    <cellStyle name="20% - Accent1 3 6 2 3 2" xfId="5376"/>
    <cellStyle name="20% - Accent1 3 6 2 3 2 2" xfId="16846"/>
    <cellStyle name="20% - Accent1 3 6 2 3 2 2 2" xfId="28647"/>
    <cellStyle name="20% - Accent1 3 6 2 3 2 2 2 2" xfId="55979"/>
    <cellStyle name="20% - Accent1 3 6 2 3 2 2 3" xfId="42262"/>
    <cellStyle name="20% - Accent1 3 6 2 3 2 3" xfId="10829"/>
    <cellStyle name="20% - Accent1 3 6 2 3 2 3 2" xfId="55980"/>
    <cellStyle name="20% - Accent1 3 6 2 3 2 4" xfId="22630"/>
    <cellStyle name="20% - Accent1 3 6 2 3 2 4 2" xfId="55981"/>
    <cellStyle name="20% - Accent1 3 6 2 3 2 5" xfId="36245"/>
    <cellStyle name="20% - Accent1 3 6 2 3 3" xfId="14100"/>
    <cellStyle name="20% - Accent1 3 6 2 3 3 2" xfId="25901"/>
    <cellStyle name="20% - Accent1 3 6 2 3 3 2 2" xfId="55982"/>
    <cellStyle name="20% - Accent1 3 6 2 3 3 3" xfId="39516"/>
    <cellStyle name="20% - Accent1 3 6 2 3 4" xfId="8988"/>
    <cellStyle name="20% - Accent1 3 6 2 3 4 2" xfId="55983"/>
    <cellStyle name="20% - Accent1 3 6 2 3 5" xfId="20789"/>
    <cellStyle name="20% - Accent1 3 6 2 3 5 2" xfId="55984"/>
    <cellStyle name="20% - Accent1 3 6 2 3 6" xfId="34404"/>
    <cellStyle name="20% - Accent1 3 6 2 4" xfId="4240"/>
    <cellStyle name="20% - Accent1 3 6 2 4 2" xfId="14101"/>
    <cellStyle name="20% - Accent1 3 6 2 4 2 2" xfId="25902"/>
    <cellStyle name="20% - Accent1 3 6 2 4 2 2 2" xfId="55985"/>
    <cellStyle name="20% - Accent1 3 6 2 4 2 3" xfId="39517"/>
    <cellStyle name="20% - Accent1 3 6 2 4 3" xfId="9693"/>
    <cellStyle name="20% - Accent1 3 6 2 4 3 2" xfId="46009"/>
    <cellStyle name="20% - Accent1 3 6 2 4 4" xfId="21494"/>
    <cellStyle name="20% - Accent1 3 6 2 4 4 2" xfId="55986"/>
    <cellStyle name="20% - Accent1 3 6 2 4 5" xfId="35109"/>
    <cellStyle name="20% - Accent1 3 6 2 5" xfId="2399"/>
    <cellStyle name="20% - Accent1 3 6 2 5 2" xfId="17108"/>
    <cellStyle name="20% - Accent1 3 6 2 5 2 2" xfId="28909"/>
    <cellStyle name="20% - Accent1 3 6 2 5 2 2 2" xfId="55987"/>
    <cellStyle name="20% - Accent1 3 6 2 5 2 3" xfId="42524"/>
    <cellStyle name="20% - Accent1 3 6 2 5 3" xfId="7852"/>
    <cellStyle name="20% - Accent1 3 6 2 5 3 2" xfId="55988"/>
    <cellStyle name="20% - Accent1 3 6 2 5 4" xfId="19653"/>
    <cellStyle name="20% - Accent1 3 6 2 5 4 2" xfId="55989"/>
    <cellStyle name="20% - Accent1 3 6 2 5 5" xfId="33268"/>
    <cellStyle name="20% - Accent1 3 6 2 6" xfId="14102"/>
    <cellStyle name="20% - Accent1 3 6 2 6 2" xfId="25903"/>
    <cellStyle name="20% - Accent1 3 6 2 6 2 2" xfId="55990"/>
    <cellStyle name="20% - Accent1 3 6 2 6 3" xfId="39518"/>
    <cellStyle name="20% - Accent1 3 6 2 7" xfId="5952"/>
    <cellStyle name="20% - Accent1 3 6 2 7 2" xfId="55991"/>
    <cellStyle name="20% - Accent1 3 6 2 8" xfId="17753"/>
    <cellStyle name="20% - Accent1 3 6 2 8 2" xfId="55992"/>
    <cellStyle name="20% - Accent1 3 6 2 9" xfId="31368"/>
    <cellStyle name="20% - Accent1 3 6 3" xfId="361"/>
    <cellStyle name="20% - Accent1 3 6 3 2" xfId="1484"/>
    <cellStyle name="20% - Accent1 3 6 3 2 2" xfId="4671"/>
    <cellStyle name="20% - Accent1 3 6 3 2 2 2" xfId="14103"/>
    <cellStyle name="20% - Accent1 3 6 3 2 2 2 2" xfId="25904"/>
    <cellStyle name="20% - Accent1 3 6 3 2 2 2 2 2" xfId="55993"/>
    <cellStyle name="20% - Accent1 3 6 3 2 2 2 3" xfId="39519"/>
    <cellStyle name="20% - Accent1 3 6 3 2 2 3" xfId="10124"/>
    <cellStyle name="20% - Accent1 3 6 3 2 2 3 2" xfId="46010"/>
    <cellStyle name="20% - Accent1 3 6 3 2 2 4" xfId="21925"/>
    <cellStyle name="20% - Accent1 3 6 3 2 2 4 2" xfId="55994"/>
    <cellStyle name="20% - Accent1 3 6 3 2 2 5" xfId="35540"/>
    <cellStyle name="20% - Accent1 3 6 3 2 3" xfId="2830"/>
    <cellStyle name="20% - Accent1 3 6 3 2 3 2" xfId="14104"/>
    <cellStyle name="20% - Accent1 3 6 3 2 3 2 2" xfId="25905"/>
    <cellStyle name="20% - Accent1 3 6 3 2 3 2 2 2" xfId="55995"/>
    <cellStyle name="20% - Accent1 3 6 3 2 3 2 3" xfId="39520"/>
    <cellStyle name="20% - Accent1 3 6 3 2 3 3" xfId="8283"/>
    <cellStyle name="20% - Accent1 3 6 3 2 3 3 2" xfId="46011"/>
    <cellStyle name="20% - Accent1 3 6 3 2 3 4" xfId="20084"/>
    <cellStyle name="20% - Accent1 3 6 3 2 3 4 2" xfId="55996"/>
    <cellStyle name="20% - Accent1 3 6 3 2 3 5" xfId="33699"/>
    <cellStyle name="20% - Accent1 3 6 3 2 4" xfId="14105"/>
    <cellStyle name="20% - Accent1 3 6 3 2 4 2" xfId="25906"/>
    <cellStyle name="20% - Accent1 3 6 3 2 4 2 2" xfId="55997"/>
    <cellStyle name="20% - Accent1 3 6 3 2 4 3" xfId="39521"/>
    <cellStyle name="20% - Accent1 3 6 3 2 5" xfId="6938"/>
    <cellStyle name="20% - Accent1 3 6 3 2 5 2" xfId="46012"/>
    <cellStyle name="20% - Accent1 3 6 3 2 6" xfId="18739"/>
    <cellStyle name="20% - Accent1 3 6 3 2 6 2" xfId="55998"/>
    <cellStyle name="20% - Accent1 3 6 3 2 7" xfId="32354"/>
    <cellStyle name="20% - Accent1 3 6 3 3" xfId="3398"/>
    <cellStyle name="20% - Accent1 3 6 3 3 2" xfId="5239"/>
    <cellStyle name="20% - Accent1 3 6 3 3 2 2" xfId="16709"/>
    <cellStyle name="20% - Accent1 3 6 3 3 2 2 2" xfId="28510"/>
    <cellStyle name="20% - Accent1 3 6 3 3 2 2 2 2" xfId="55999"/>
    <cellStyle name="20% - Accent1 3 6 3 3 2 2 3" xfId="42125"/>
    <cellStyle name="20% - Accent1 3 6 3 3 2 3" xfId="10692"/>
    <cellStyle name="20% - Accent1 3 6 3 3 2 3 2" xfId="56000"/>
    <cellStyle name="20% - Accent1 3 6 3 3 2 4" xfId="22493"/>
    <cellStyle name="20% - Accent1 3 6 3 3 2 4 2" xfId="56001"/>
    <cellStyle name="20% - Accent1 3 6 3 3 2 5" xfId="36108"/>
    <cellStyle name="20% - Accent1 3 6 3 3 3" xfId="14106"/>
    <cellStyle name="20% - Accent1 3 6 3 3 3 2" xfId="25907"/>
    <cellStyle name="20% - Accent1 3 6 3 3 3 2 2" xfId="56002"/>
    <cellStyle name="20% - Accent1 3 6 3 3 3 3" xfId="39522"/>
    <cellStyle name="20% - Accent1 3 6 3 3 4" xfId="8851"/>
    <cellStyle name="20% - Accent1 3 6 3 3 4 2" xfId="56003"/>
    <cellStyle name="20% - Accent1 3 6 3 3 5" xfId="20652"/>
    <cellStyle name="20% - Accent1 3 6 3 3 5 2" xfId="56004"/>
    <cellStyle name="20% - Accent1 3 6 3 3 6" xfId="34267"/>
    <cellStyle name="20% - Accent1 3 6 3 4" xfId="4103"/>
    <cellStyle name="20% - Accent1 3 6 3 4 2" xfId="14107"/>
    <cellStyle name="20% - Accent1 3 6 3 4 2 2" xfId="25908"/>
    <cellStyle name="20% - Accent1 3 6 3 4 2 2 2" xfId="56005"/>
    <cellStyle name="20% - Accent1 3 6 3 4 2 3" xfId="39523"/>
    <cellStyle name="20% - Accent1 3 6 3 4 3" xfId="9556"/>
    <cellStyle name="20% - Accent1 3 6 3 4 3 2" xfId="46013"/>
    <cellStyle name="20% - Accent1 3 6 3 4 4" xfId="21357"/>
    <cellStyle name="20% - Accent1 3 6 3 4 4 2" xfId="56006"/>
    <cellStyle name="20% - Accent1 3 6 3 4 5" xfId="34972"/>
    <cellStyle name="20% - Accent1 3 6 3 5" xfId="2262"/>
    <cellStyle name="20% - Accent1 3 6 3 5 2" xfId="17109"/>
    <cellStyle name="20% - Accent1 3 6 3 5 2 2" xfId="28910"/>
    <cellStyle name="20% - Accent1 3 6 3 5 2 2 2" xfId="56007"/>
    <cellStyle name="20% - Accent1 3 6 3 5 2 3" xfId="42525"/>
    <cellStyle name="20% - Accent1 3 6 3 5 3" xfId="7715"/>
    <cellStyle name="20% - Accent1 3 6 3 5 3 2" xfId="56008"/>
    <cellStyle name="20% - Accent1 3 6 3 5 4" xfId="19516"/>
    <cellStyle name="20% - Accent1 3 6 3 5 4 2" xfId="56009"/>
    <cellStyle name="20% - Accent1 3 6 3 5 5" xfId="33131"/>
    <cellStyle name="20% - Accent1 3 6 3 6" xfId="14108"/>
    <cellStyle name="20% - Accent1 3 6 3 6 2" xfId="25909"/>
    <cellStyle name="20% - Accent1 3 6 3 6 2 2" xfId="56010"/>
    <cellStyle name="20% - Accent1 3 6 3 6 3" xfId="39524"/>
    <cellStyle name="20% - Accent1 3 6 3 7" xfId="5815"/>
    <cellStyle name="20% - Accent1 3 6 3 7 2" xfId="56011"/>
    <cellStyle name="20% - Accent1 3 6 3 8" xfId="17616"/>
    <cellStyle name="20% - Accent1 3 6 3 8 2" xfId="56012"/>
    <cellStyle name="20% - Accent1 3 6 3 9" xfId="31231"/>
    <cellStyle name="20% - Accent1 3 6 4" xfId="639"/>
    <cellStyle name="20% - Accent1 3 6 4 2" xfId="1485"/>
    <cellStyle name="20% - Accent1 3 6 4 2 2" xfId="4381"/>
    <cellStyle name="20% - Accent1 3 6 4 2 2 2" xfId="14109"/>
    <cellStyle name="20% - Accent1 3 6 4 2 2 2 2" xfId="25910"/>
    <cellStyle name="20% - Accent1 3 6 4 2 2 2 2 2" xfId="56013"/>
    <cellStyle name="20% - Accent1 3 6 4 2 2 2 3" xfId="39525"/>
    <cellStyle name="20% - Accent1 3 6 4 2 2 3" xfId="9834"/>
    <cellStyle name="20% - Accent1 3 6 4 2 2 3 2" xfId="46014"/>
    <cellStyle name="20% - Accent1 3 6 4 2 2 4" xfId="21635"/>
    <cellStyle name="20% - Accent1 3 6 4 2 2 4 2" xfId="56014"/>
    <cellStyle name="20% - Accent1 3 6 4 2 2 5" xfId="35250"/>
    <cellStyle name="20% - Accent1 3 6 4 2 3" xfId="14110"/>
    <cellStyle name="20% - Accent1 3 6 4 2 3 2" xfId="25911"/>
    <cellStyle name="20% - Accent1 3 6 4 2 3 2 2" xfId="46015"/>
    <cellStyle name="20% - Accent1 3 6 4 2 3 3" xfId="30075"/>
    <cellStyle name="20% - Accent1 3 6 4 2 3 3 2" xfId="46016"/>
    <cellStyle name="20% - Accent1 3 6 4 2 3 4" xfId="30076"/>
    <cellStyle name="20% - Accent1 3 6 4 2 3 4 2" xfId="56015"/>
    <cellStyle name="20% - Accent1 3 6 4 2 3 5" xfId="39526"/>
    <cellStyle name="20% - Accent1 3 6 4 2 4" xfId="14111"/>
    <cellStyle name="20% - Accent1 3 6 4 2 4 2" xfId="25912"/>
    <cellStyle name="20% - Accent1 3 6 4 2 4 2 2" xfId="56016"/>
    <cellStyle name="20% - Accent1 3 6 4 2 4 3" xfId="39527"/>
    <cellStyle name="20% - Accent1 3 6 4 2 5" xfId="6939"/>
    <cellStyle name="20% - Accent1 3 6 4 2 5 2" xfId="46017"/>
    <cellStyle name="20% - Accent1 3 6 4 2 6" xfId="18740"/>
    <cellStyle name="20% - Accent1 3 6 4 2 6 2" xfId="56017"/>
    <cellStyle name="20% - Accent1 3 6 4 2 7" xfId="32355"/>
    <cellStyle name="20% - Accent1 3 6 4 3" xfId="2540"/>
    <cellStyle name="20% - Accent1 3 6 4 3 2" xfId="14112"/>
    <cellStyle name="20% - Accent1 3 6 4 3 2 2" xfId="25913"/>
    <cellStyle name="20% - Accent1 3 6 4 3 2 2 2" xfId="56018"/>
    <cellStyle name="20% - Accent1 3 6 4 3 2 3" xfId="39528"/>
    <cellStyle name="20% - Accent1 3 6 4 3 3" xfId="7993"/>
    <cellStyle name="20% - Accent1 3 6 4 3 3 2" xfId="46018"/>
    <cellStyle name="20% - Accent1 3 6 4 3 4" xfId="19794"/>
    <cellStyle name="20% - Accent1 3 6 4 3 4 2" xfId="56019"/>
    <cellStyle name="20% - Accent1 3 6 4 3 5" xfId="33409"/>
    <cellStyle name="20% - Accent1 3 6 4 4" xfId="14113"/>
    <cellStyle name="20% - Accent1 3 6 4 4 2" xfId="25914"/>
    <cellStyle name="20% - Accent1 3 6 4 4 2 2" xfId="46019"/>
    <cellStyle name="20% - Accent1 3 6 4 4 3" xfId="30077"/>
    <cellStyle name="20% - Accent1 3 6 4 4 3 2" xfId="46020"/>
    <cellStyle name="20% - Accent1 3 6 4 4 4" xfId="30078"/>
    <cellStyle name="20% - Accent1 3 6 4 4 4 2" xfId="56020"/>
    <cellStyle name="20% - Accent1 3 6 4 4 5" xfId="39529"/>
    <cellStyle name="20% - Accent1 3 6 4 5" xfId="14114"/>
    <cellStyle name="20% - Accent1 3 6 4 5 2" xfId="25915"/>
    <cellStyle name="20% - Accent1 3 6 4 5 2 2" xfId="56021"/>
    <cellStyle name="20% - Accent1 3 6 4 5 3" xfId="39530"/>
    <cellStyle name="20% - Accent1 3 6 4 6" xfId="6093"/>
    <cellStyle name="20% - Accent1 3 6 4 6 2" xfId="46021"/>
    <cellStyle name="20% - Accent1 3 6 4 7" xfId="17894"/>
    <cellStyle name="20% - Accent1 3 6 4 7 2" xfId="56022"/>
    <cellStyle name="20% - Accent1 3 6 4 8" xfId="31509"/>
    <cellStyle name="20% - Accent1 3 6 5" xfId="880"/>
    <cellStyle name="20% - Accent1 3 6 5 2" xfId="1486"/>
    <cellStyle name="20% - Accent1 3 6 5 2 2" xfId="4949"/>
    <cellStyle name="20% - Accent1 3 6 5 2 2 2" xfId="14115"/>
    <cellStyle name="20% - Accent1 3 6 5 2 2 2 2" xfId="25916"/>
    <cellStyle name="20% - Accent1 3 6 5 2 2 2 2 2" xfId="56023"/>
    <cellStyle name="20% - Accent1 3 6 5 2 2 2 3" xfId="39531"/>
    <cellStyle name="20% - Accent1 3 6 5 2 2 3" xfId="10402"/>
    <cellStyle name="20% - Accent1 3 6 5 2 2 3 2" xfId="46022"/>
    <cellStyle name="20% - Accent1 3 6 5 2 2 4" xfId="22203"/>
    <cellStyle name="20% - Accent1 3 6 5 2 2 4 2" xfId="56024"/>
    <cellStyle name="20% - Accent1 3 6 5 2 2 5" xfId="35818"/>
    <cellStyle name="20% - Accent1 3 6 5 2 3" xfId="14116"/>
    <cellStyle name="20% - Accent1 3 6 5 2 3 2" xfId="25917"/>
    <cellStyle name="20% - Accent1 3 6 5 2 3 2 2" xfId="46023"/>
    <cellStyle name="20% - Accent1 3 6 5 2 3 3" xfId="30079"/>
    <cellStyle name="20% - Accent1 3 6 5 2 3 3 2" xfId="46024"/>
    <cellStyle name="20% - Accent1 3 6 5 2 3 4" xfId="30080"/>
    <cellStyle name="20% - Accent1 3 6 5 2 3 4 2" xfId="56025"/>
    <cellStyle name="20% - Accent1 3 6 5 2 3 5" xfId="39532"/>
    <cellStyle name="20% - Accent1 3 6 5 2 4" xfId="14117"/>
    <cellStyle name="20% - Accent1 3 6 5 2 4 2" xfId="25918"/>
    <cellStyle name="20% - Accent1 3 6 5 2 4 2 2" xfId="56026"/>
    <cellStyle name="20% - Accent1 3 6 5 2 4 3" xfId="39533"/>
    <cellStyle name="20% - Accent1 3 6 5 2 5" xfId="6940"/>
    <cellStyle name="20% - Accent1 3 6 5 2 5 2" xfId="46025"/>
    <cellStyle name="20% - Accent1 3 6 5 2 6" xfId="18741"/>
    <cellStyle name="20% - Accent1 3 6 5 2 6 2" xfId="56027"/>
    <cellStyle name="20% - Accent1 3 6 5 2 7" xfId="32356"/>
    <cellStyle name="20% - Accent1 3 6 5 3" xfId="3108"/>
    <cellStyle name="20% - Accent1 3 6 5 3 2" xfId="14118"/>
    <cellStyle name="20% - Accent1 3 6 5 3 2 2" xfId="25919"/>
    <cellStyle name="20% - Accent1 3 6 5 3 2 2 2" xfId="56028"/>
    <cellStyle name="20% - Accent1 3 6 5 3 2 3" xfId="39534"/>
    <cellStyle name="20% - Accent1 3 6 5 3 3" xfId="8561"/>
    <cellStyle name="20% - Accent1 3 6 5 3 3 2" xfId="46026"/>
    <cellStyle name="20% - Accent1 3 6 5 3 4" xfId="20362"/>
    <cellStyle name="20% - Accent1 3 6 5 3 4 2" xfId="56029"/>
    <cellStyle name="20% - Accent1 3 6 5 3 5" xfId="33977"/>
    <cellStyle name="20% - Accent1 3 6 5 4" xfId="14119"/>
    <cellStyle name="20% - Accent1 3 6 5 4 2" xfId="25920"/>
    <cellStyle name="20% - Accent1 3 6 5 4 2 2" xfId="46027"/>
    <cellStyle name="20% - Accent1 3 6 5 4 3" xfId="30081"/>
    <cellStyle name="20% - Accent1 3 6 5 4 3 2" xfId="46028"/>
    <cellStyle name="20% - Accent1 3 6 5 4 4" xfId="30082"/>
    <cellStyle name="20% - Accent1 3 6 5 4 4 2" xfId="56030"/>
    <cellStyle name="20% - Accent1 3 6 5 4 5" xfId="39535"/>
    <cellStyle name="20% - Accent1 3 6 5 5" xfId="14120"/>
    <cellStyle name="20% - Accent1 3 6 5 5 2" xfId="25921"/>
    <cellStyle name="20% - Accent1 3 6 5 5 2 2" xfId="56031"/>
    <cellStyle name="20% - Accent1 3 6 5 5 3" xfId="39536"/>
    <cellStyle name="20% - Accent1 3 6 5 6" xfId="6334"/>
    <cellStyle name="20% - Accent1 3 6 5 6 2" xfId="46029"/>
    <cellStyle name="20% - Accent1 3 6 5 7" xfId="18135"/>
    <cellStyle name="20% - Accent1 3 6 5 7 2" xfId="56032"/>
    <cellStyle name="20% - Accent1 3 6 5 8" xfId="31750"/>
    <cellStyle name="20% - Accent1 3 6 6" xfId="1487"/>
    <cellStyle name="20% - Accent1 3 6 6 2" xfId="3813"/>
    <cellStyle name="20% - Accent1 3 6 6 2 2" xfId="14121"/>
    <cellStyle name="20% - Accent1 3 6 6 2 2 2" xfId="25922"/>
    <cellStyle name="20% - Accent1 3 6 6 2 2 2 2" xfId="56033"/>
    <cellStyle name="20% - Accent1 3 6 6 2 2 3" xfId="39537"/>
    <cellStyle name="20% - Accent1 3 6 6 2 3" xfId="9266"/>
    <cellStyle name="20% - Accent1 3 6 6 2 3 2" xfId="46030"/>
    <cellStyle name="20% - Accent1 3 6 6 2 4" xfId="21067"/>
    <cellStyle name="20% - Accent1 3 6 6 2 4 2" xfId="56034"/>
    <cellStyle name="20% - Accent1 3 6 6 2 5" xfId="34682"/>
    <cellStyle name="20% - Accent1 3 6 6 3" xfId="14122"/>
    <cellStyle name="20% - Accent1 3 6 6 3 2" xfId="25923"/>
    <cellStyle name="20% - Accent1 3 6 6 3 2 2" xfId="46031"/>
    <cellStyle name="20% - Accent1 3 6 6 3 3" xfId="30083"/>
    <cellStyle name="20% - Accent1 3 6 6 3 3 2" xfId="46032"/>
    <cellStyle name="20% - Accent1 3 6 6 3 4" xfId="30084"/>
    <cellStyle name="20% - Accent1 3 6 6 3 4 2" xfId="56035"/>
    <cellStyle name="20% - Accent1 3 6 6 3 5" xfId="39538"/>
    <cellStyle name="20% - Accent1 3 6 6 4" xfId="14123"/>
    <cellStyle name="20% - Accent1 3 6 6 4 2" xfId="25924"/>
    <cellStyle name="20% - Accent1 3 6 6 4 2 2" xfId="56036"/>
    <cellStyle name="20% - Accent1 3 6 6 4 3" xfId="39539"/>
    <cellStyle name="20% - Accent1 3 6 6 5" xfId="6941"/>
    <cellStyle name="20% - Accent1 3 6 6 5 2" xfId="46033"/>
    <cellStyle name="20% - Accent1 3 6 6 6" xfId="18742"/>
    <cellStyle name="20% - Accent1 3 6 6 6 2" xfId="56037"/>
    <cellStyle name="20% - Accent1 3 6 6 7" xfId="32357"/>
    <cellStyle name="20% - Accent1 3 6 7" xfId="3676"/>
    <cellStyle name="20% - Accent1 3 6 7 2" xfId="14124"/>
    <cellStyle name="20% - Accent1 3 6 7 2 2" xfId="25925"/>
    <cellStyle name="20% - Accent1 3 6 7 2 2 2" xfId="56038"/>
    <cellStyle name="20% - Accent1 3 6 7 2 3" xfId="39540"/>
    <cellStyle name="20% - Accent1 3 6 7 3" xfId="9129"/>
    <cellStyle name="20% - Accent1 3 6 7 3 2" xfId="46034"/>
    <cellStyle name="20% - Accent1 3 6 7 4" xfId="20930"/>
    <cellStyle name="20% - Accent1 3 6 7 4 2" xfId="56039"/>
    <cellStyle name="20% - Accent1 3 6 7 5" xfId="34545"/>
    <cellStyle name="20% - Accent1 3 6 8" xfId="1972"/>
    <cellStyle name="20% - Accent1 3 6 8 2" xfId="14125"/>
    <cellStyle name="20% - Accent1 3 6 8 2 2" xfId="25926"/>
    <cellStyle name="20% - Accent1 3 6 8 2 2 2" xfId="56040"/>
    <cellStyle name="20% - Accent1 3 6 8 2 3" xfId="39541"/>
    <cellStyle name="20% - Accent1 3 6 8 3" xfId="7425"/>
    <cellStyle name="20% - Accent1 3 6 8 3 2" xfId="46035"/>
    <cellStyle name="20% - Accent1 3 6 8 4" xfId="19226"/>
    <cellStyle name="20% - Accent1 3 6 8 4 2" xfId="56041"/>
    <cellStyle name="20% - Accent1 3 6 8 5" xfId="32841"/>
    <cellStyle name="20% - Accent1 3 6 9" xfId="14126"/>
    <cellStyle name="20% - Accent1 3 6 9 2" xfId="25927"/>
    <cellStyle name="20% - Accent1 3 6 9 2 2" xfId="56042"/>
    <cellStyle name="20% - Accent1 3 6 9 3" xfId="39542"/>
    <cellStyle name="20% - Accent1 3 7" xfId="142"/>
    <cellStyle name="20% - Accent1 3 7 10" xfId="31012"/>
    <cellStyle name="20% - Accent1 3 7 2" xfId="294"/>
    <cellStyle name="20% - Accent1 3 7 2 2" xfId="1488"/>
    <cellStyle name="20% - Accent1 3 7 2 2 2" xfId="4604"/>
    <cellStyle name="20% - Accent1 3 7 2 2 2 2" xfId="14127"/>
    <cellStyle name="20% - Accent1 3 7 2 2 2 2 2" xfId="25928"/>
    <cellStyle name="20% - Accent1 3 7 2 2 2 2 2 2" xfId="56043"/>
    <cellStyle name="20% - Accent1 3 7 2 2 2 2 3" xfId="39543"/>
    <cellStyle name="20% - Accent1 3 7 2 2 2 3" xfId="10057"/>
    <cellStyle name="20% - Accent1 3 7 2 2 2 3 2" xfId="46036"/>
    <cellStyle name="20% - Accent1 3 7 2 2 2 4" xfId="21858"/>
    <cellStyle name="20% - Accent1 3 7 2 2 2 4 2" xfId="56044"/>
    <cellStyle name="20% - Accent1 3 7 2 2 2 5" xfId="35473"/>
    <cellStyle name="20% - Accent1 3 7 2 2 3" xfId="2763"/>
    <cellStyle name="20% - Accent1 3 7 2 2 3 2" xfId="14128"/>
    <cellStyle name="20% - Accent1 3 7 2 2 3 2 2" xfId="25929"/>
    <cellStyle name="20% - Accent1 3 7 2 2 3 2 2 2" xfId="56045"/>
    <cellStyle name="20% - Accent1 3 7 2 2 3 2 3" xfId="39544"/>
    <cellStyle name="20% - Accent1 3 7 2 2 3 3" xfId="8216"/>
    <cellStyle name="20% - Accent1 3 7 2 2 3 3 2" xfId="46037"/>
    <cellStyle name="20% - Accent1 3 7 2 2 3 4" xfId="20017"/>
    <cellStyle name="20% - Accent1 3 7 2 2 3 4 2" xfId="56046"/>
    <cellStyle name="20% - Accent1 3 7 2 2 3 5" xfId="33632"/>
    <cellStyle name="20% - Accent1 3 7 2 2 4" xfId="14129"/>
    <cellStyle name="20% - Accent1 3 7 2 2 4 2" xfId="25930"/>
    <cellStyle name="20% - Accent1 3 7 2 2 4 2 2" xfId="56047"/>
    <cellStyle name="20% - Accent1 3 7 2 2 4 3" xfId="39545"/>
    <cellStyle name="20% - Accent1 3 7 2 2 5" xfId="6942"/>
    <cellStyle name="20% - Accent1 3 7 2 2 5 2" xfId="46038"/>
    <cellStyle name="20% - Accent1 3 7 2 2 6" xfId="18743"/>
    <cellStyle name="20% - Accent1 3 7 2 2 6 2" xfId="56048"/>
    <cellStyle name="20% - Accent1 3 7 2 2 7" xfId="32358"/>
    <cellStyle name="20% - Accent1 3 7 2 3" xfId="3331"/>
    <cellStyle name="20% - Accent1 3 7 2 3 2" xfId="5172"/>
    <cellStyle name="20% - Accent1 3 7 2 3 2 2" xfId="16642"/>
    <cellStyle name="20% - Accent1 3 7 2 3 2 2 2" xfId="28443"/>
    <cellStyle name="20% - Accent1 3 7 2 3 2 2 2 2" xfId="56049"/>
    <cellStyle name="20% - Accent1 3 7 2 3 2 2 3" xfId="42058"/>
    <cellStyle name="20% - Accent1 3 7 2 3 2 3" xfId="10625"/>
    <cellStyle name="20% - Accent1 3 7 2 3 2 3 2" xfId="56050"/>
    <cellStyle name="20% - Accent1 3 7 2 3 2 4" xfId="22426"/>
    <cellStyle name="20% - Accent1 3 7 2 3 2 4 2" xfId="56051"/>
    <cellStyle name="20% - Accent1 3 7 2 3 2 5" xfId="36041"/>
    <cellStyle name="20% - Accent1 3 7 2 3 3" xfId="14130"/>
    <cellStyle name="20% - Accent1 3 7 2 3 3 2" xfId="25931"/>
    <cellStyle name="20% - Accent1 3 7 2 3 3 2 2" xfId="56052"/>
    <cellStyle name="20% - Accent1 3 7 2 3 3 3" xfId="39546"/>
    <cellStyle name="20% - Accent1 3 7 2 3 4" xfId="8784"/>
    <cellStyle name="20% - Accent1 3 7 2 3 4 2" xfId="56053"/>
    <cellStyle name="20% - Accent1 3 7 2 3 5" xfId="20585"/>
    <cellStyle name="20% - Accent1 3 7 2 3 5 2" xfId="56054"/>
    <cellStyle name="20% - Accent1 3 7 2 3 6" xfId="34200"/>
    <cellStyle name="20% - Accent1 3 7 2 4" xfId="4036"/>
    <cellStyle name="20% - Accent1 3 7 2 4 2" xfId="14131"/>
    <cellStyle name="20% - Accent1 3 7 2 4 2 2" xfId="25932"/>
    <cellStyle name="20% - Accent1 3 7 2 4 2 2 2" xfId="56055"/>
    <cellStyle name="20% - Accent1 3 7 2 4 2 3" xfId="39547"/>
    <cellStyle name="20% - Accent1 3 7 2 4 3" xfId="9489"/>
    <cellStyle name="20% - Accent1 3 7 2 4 3 2" xfId="46039"/>
    <cellStyle name="20% - Accent1 3 7 2 4 4" xfId="21290"/>
    <cellStyle name="20% - Accent1 3 7 2 4 4 2" xfId="56056"/>
    <cellStyle name="20% - Accent1 3 7 2 4 5" xfId="34905"/>
    <cellStyle name="20% - Accent1 3 7 2 5" xfId="2195"/>
    <cellStyle name="20% - Accent1 3 7 2 5 2" xfId="17110"/>
    <cellStyle name="20% - Accent1 3 7 2 5 2 2" xfId="28911"/>
    <cellStyle name="20% - Accent1 3 7 2 5 2 2 2" xfId="56057"/>
    <cellStyle name="20% - Accent1 3 7 2 5 2 3" xfId="42526"/>
    <cellStyle name="20% - Accent1 3 7 2 5 3" xfId="7648"/>
    <cellStyle name="20% - Accent1 3 7 2 5 3 2" xfId="56058"/>
    <cellStyle name="20% - Accent1 3 7 2 5 4" xfId="19449"/>
    <cellStyle name="20% - Accent1 3 7 2 5 4 2" xfId="56059"/>
    <cellStyle name="20% - Accent1 3 7 2 5 5" xfId="33064"/>
    <cellStyle name="20% - Accent1 3 7 2 6" xfId="14132"/>
    <cellStyle name="20% - Accent1 3 7 2 6 2" xfId="25933"/>
    <cellStyle name="20% - Accent1 3 7 2 6 2 2" xfId="56060"/>
    <cellStyle name="20% - Accent1 3 7 2 6 3" xfId="39548"/>
    <cellStyle name="20% - Accent1 3 7 2 7" xfId="5748"/>
    <cellStyle name="20% - Accent1 3 7 2 7 2" xfId="56061"/>
    <cellStyle name="20% - Accent1 3 7 2 8" xfId="17549"/>
    <cellStyle name="20% - Accent1 3 7 2 8 2" xfId="56062"/>
    <cellStyle name="20% - Accent1 3 7 2 9" xfId="31164"/>
    <cellStyle name="20% - Accent1 3 7 3" xfId="710"/>
    <cellStyle name="20% - Accent1 3 7 3 2" xfId="1489"/>
    <cellStyle name="20% - Accent1 3 7 3 2 2" xfId="4452"/>
    <cellStyle name="20% - Accent1 3 7 3 2 2 2" xfId="14133"/>
    <cellStyle name="20% - Accent1 3 7 3 2 2 2 2" xfId="25934"/>
    <cellStyle name="20% - Accent1 3 7 3 2 2 2 2 2" xfId="56063"/>
    <cellStyle name="20% - Accent1 3 7 3 2 2 2 3" xfId="39549"/>
    <cellStyle name="20% - Accent1 3 7 3 2 2 3" xfId="9905"/>
    <cellStyle name="20% - Accent1 3 7 3 2 2 3 2" xfId="46040"/>
    <cellStyle name="20% - Accent1 3 7 3 2 2 4" xfId="21706"/>
    <cellStyle name="20% - Accent1 3 7 3 2 2 4 2" xfId="56064"/>
    <cellStyle name="20% - Accent1 3 7 3 2 2 5" xfId="35321"/>
    <cellStyle name="20% - Accent1 3 7 3 2 3" xfId="14134"/>
    <cellStyle name="20% - Accent1 3 7 3 2 3 2" xfId="25935"/>
    <cellStyle name="20% - Accent1 3 7 3 2 3 2 2" xfId="46041"/>
    <cellStyle name="20% - Accent1 3 7 3 2 3 3" xfId="30085"/>
    <cellStyle name="20% - Accent1 3 7 3 2 3 3 2" xfId="46042"/>
    <cellStyle name="20% - Accent1 3 7 3 2 3 4" xfId="30086"/>
    <cellStyle name="20% - Accent1 3 7 3 2 3 4 2" xfId="56065"/>
    <cellStyle name="20% - Accent1 3 7 3 2 3 5" xfId="39550"/>
    <cellStyle name="20% - Accent1 3 7 3 2 4" xfId="14135"/>
    <cellStyle name="20% - Accent1 3 7 3 2 4 2" xfId="25936"/>
    <cellStyle name="20% - Accent1 3 7 3 2 4 2 2" xfId="56066"/>
    <cellStyle name="20% - Accent1 3 7 3 2 4 3" xfId="39551"/>
    <cellStyle name="20% - Accent1 3 7 3 2 5" xfId="6943"/>
    <cellStyle name="20% - Accent1 3 7 3 2 5 2" xfId="46043"/>
    <cellStyle name="20% - Accent1 3 7 3 2 6" xfId="18744"/>
    <cellStyle name="20% - Accent1 3 7 3 2 6 2" xfId="56067"/>
    <cellStyle name="20% - Accent1 3 7 3 2 7" xfId="32359"/>
    <cellStyle name="20% - Accent1 3 7 3 3" xfId="2611"/>
    <cellStyle name="20% - Accent1 3 7 3 3 2" xfId="14136"/>
    <cellStyle name="20% - Accent1 3 7 3 3 2 2" xfId="25937"/>
    <cellStyle name="20% - Accent1 3 7 3 3 2 2 2" xfId="56068"/>
    <cellStyle name="20% - Accent1 3 7 3 3 2 3" xfId="39552"/>
    <cellStyle name="20% - Accent1 3 7 3 3 3" xfId="8064"/>
    <cellStyle name="20% - Accent1 3 7 3 3 3 2" xfId="46044"/>
    <cellStyle name="20% - Accent1 3 7 3 3 4" xfId="19865"/>
    <cellStyle name="20% - Accent1 3 7 3 3 4 2" xfId="56069"/>
    <cellStyle name="20% - Accent1 3 7 3 3 5" xfId="33480"/>
    <cellStyle name="20% - Accent1 3 7 3 4" xfId="14137"/>
    <cellStyle name="20% - Accent1 3 7 3 4 2" xfId="25938"/>
    <cellStyle name="20% - Accent1 3 7 3 4 2 2" xfId="46045"/>
    <cellStyle name="20% - Accent1 3 7 3 4 3" xfId="30087"/>
    <cellStyle name="20% - Accent1 3 7 3 4 3 2" xfId="46046"/>
    <cellStyle name="20% - Accent1 3 7 3 4 4" xfId="30088"/>
    <cellStyle name="20% - Accent1 3 7 3 4 4 2" xfId="56070"/>
    <cellStyle name="20% - Accent1 3 7 3 4 5" xfId="39553"/>
    <cellStyle name="20% - Accent1 3 7 3 5" xfId="14138"/>
    <cellStyle name="20% - Accent1 3 7 3 5 2" xfId="25939"/>
    <cellStyle name="20% - Accent1 3 7 3 5 2 2" xfId="56071"/>
    <cellStyle name="20% - Accent1 3 7 3 5 3" xfId="39554"/>
    <cellStyle name="20% - Accent1 3 7 3 6" xfId="6164"/>
    <cellStyle name="20% - Accent1 3 7 3 6 2" xfId="46047"/>
    <cellStyle name="20% - Accent1 3 7 3 7" xfId="17965"/>
    <cellStyle name="20% - Accent1 3 7 3 7 2" xfId="56072"/>
    <cellStyle name="20% - Accent1 3 7 3 8" xfId="31580"/>
    <cellStyle name="20% - Accent1 3 7 4" xfId="1490"/>
    <cellStyle name="20% - Accent1 3 7 4 2" xfId="5020"/>
    <cellStyle name="20% - Accent1 3 7 4 2 2" xfId="14139"/>
    <cellStyle name="20% - Accent1 3 7 4 2 2 2" xfId="25940"/>
    <cellStyle name="20% - Accent1 3 7 4 2 2 2 2" xfId="56073"/>
    <cellStyle name="20% - Accent1 3 7 4 2 2 3" xfId="39555"/>
    <cellStyle name="20% - Accent1 3 7 4 2 3" xfId="10473"/>
    <cellStyle name="20% - Accent1 3 7 4 2 3 2" xfId="46048"/>
    <cellStyle name="20% - Accent1 3 7 4 2 4" xfId="22274"/>
    <cellStyle name="20% - Accent1 3 7 4 2 4 2" xfId="56074"/>
    <cellStyle name="20% - Accent1 3 7 4 2 5" xfId="35889"/>
    <cellStyle name="20% - Accent1 3 7 4 3" xfId="3179"/>
    <cellStyle name="20% - Accent1 3 7 4 3 2" xfId="14140"/>
    <cellStyle name="20% - Accent1 3 7 4 3 2 2" xfId="25941"/>
    <cellStyle name="20% - Accent1 3 7 4 3 2 2 2" xfId="56075"/>
    <cellStyle name="20% - Accent1 3 7 4 3 2 3" xfId="39556"/>
    <cellStyle name="20% - Accent1 3 7 4 3 3" xfId="8632"/>
    <cellStyle name="20% - Accent1 3 7 4 3 3 2" xfId="46049"/>
    <cellStyle name="20% - Accent1 3 7 4 3 4" xfId="20433"/>
    <cellStyle name="20% - Accent1 3 7 4 3 4 2" xfId="56076"/>
    <cellStyle name="20% - Accent1 3 7 4 3 5" xfId="34048"/>
    <cellStyle name="20% - Accent1 3 7 4 4" xfId="14141"/>
    <cellStyle name="20% - Accent1 3 7 4 4 2" xfId="25942"/>
    <cellStyle name="20% - Accent1 3 7 4 4 2 2" xfId="56077"/>
    <cellStyle name="20% - Accent1 3 7 4 4 3" xfId="39557"/>
    <cellStyle name="20% - Accent1 3 7 4 5" xfId="6944"/>
    <cellStyle name="20% - Accent1 3 7 4 5 2" xfId="46050"/>
    <cellStyle name="20% - Accent1 3 7 4 6" xfId="18745"/>
    <cellStyle name="20% - Accent1 3 7 4 6 2" xfId="56078"/>
    <cellStyle name="20% - Accent1 3 7 4 7" xfId="32360"/>
    <cellStyle name="20% - Accent1 3 7 5" xfId="3884"/>
    <cellStyle name="20% - Accent1 3 7 5 2" xfId="14142"/>
    <cellStyle name="20% - Accent1 3 7 5 2 2" xfId="25943"/>
    <cellStyle name="20% - Accent1 3 7 5 2 2 2" xfId="56079"/>
    <cellStyle name="20% - Accent1 3 7 5 2 3" xfId="39558"/>
    <cellStyle name="20% - Accent1 3 7 5 3" xfId="9337"/>
    <cellStyle name="20% - Accent1 3 7 5 3 2" xfId="46051"/>
    <cellStyle name="20% - Accent1 3 7 5 4" xfId="21138"/>
    <cellStyle name="20% - Accent1 3 7 5 4 2" xfId="56080"/>
    <cellStyle name="20% - Accent1 3 7 5 5" xfId="34753"/>
    <cellStyle name="20% - Accent1 3 7 6" xfId="2043"/>
    <cellStyle name="20% - Accent1 3 7 6 2" xfId="14143"/>
    <cellStyle name="20% - Accent1 3 7 6 2 2" xfId="25944"/>
    <cellStyle name="20% - Accent1 3 7 6 2 2 2" xfId="56081"/>
    <cellStyle name="20% - Accent1 3 7 6 2 3" xfId="39559"/>
    <cellStyle name="20% - Accent1 3 7 6 3" xfId="7496"/>
    <cellStyle name="20% - Accent1 3 7 6 3 2" xfId="46052"/>
    <cellStyle name="20% - Accent1 3 7 6 4" xfId="19297"/>
    <cellStyle name="20% - Accent1 3 7 6 4 2" xfId="56082"/>
    <cellStyle name="20% - Accent1 3 7 6 5" xfId="32912"/>
    <cellStyle name="20% - Accent1 3 7 7" xfId="14144"/>
    <cellStyle name="20% - Accent1 3 7 7 2" xfId="25945"/>
    <cellStyle name="20% - Accent1 3 7 7 2 2" xfId="56083"/>
    <cellStyle name="20% - Accent1 3 7 7 3" xfId="39560"/>
    <cellStyle name="20% - Accent1 3 7 8" xfId="5596"/>
    <cellStyle name="20% - Accent1 3 7 8 2" xfId="46053"/>
    <cellStyle name="20% - Accent1 3 7 9" xfId="17397"/>
    <cellStyle name="20% - Accent1 3 7 9 2" xfId="56084"/>
    <cellStyle name="20% - Accent1 3 8" xfId="431"/>
    <cellStyle name="20% - Accent1 3 8 2" xfId="1491"/>
    <cellStyle name="20% - Accent1 3 8 2 2" xfId="4741"/>
    <cellStyle name="20% - Accent1 3 8 2 2 2" xfId="14145"/>
    <cellStyle name="20% - Accent1 3 8 2 2 2 2" xfId="25946"/>
    <cellStyle name="20% - Accent1 3 8 2 2 2 2 2" xfId="56085"/>
    <cellStyle name="20% - Accent1 3 8 2 2 2 3" xfId="39561"/>
    <cellStyle name="20% - Accent1 3 8 2 2 3" xfId="10194"/>
    <cellStyle name="20% - Accent1 3 8 2 2 3 2" xfId="46054"/>
    <cellStyle name="20% - Accent1 3 8 2 2 4" xfId="21995"/>
    <cellStyle name="20% - Accent1 3 8 2 2 4 2" xfId="56086"/>
    <cellStyle name="20% - Accent1 3 8 2 2 5" xfId="35610"/>
    <cellStyle name="20% - Accent1 3 8 2 3" xfId="2900"/>
    <cellStyle name="20% - Accent1 3 8 2 3 2" xfId="14146"/>
    <cellStyle name="20% - Accent1 3 8 2 3 2 2" xfId="25947"/>
    <cellStyle name="20% - Accent1 3 8 2 3 2 2 2" xfId="56087"/>
    <cellStyle name="20% - Accent1 3 8 2 3 2 3" xfId="39562"/>
    <cellStyle name="20% - Accent1 3 8 2 3 3" xfId="8353"/>
    <cellStyle name="20% - Accent1 3 8 2 3 3 2" xfId="46055"/>
    <cellStyle name="20% - Accent1 3 8 2 3 4" xfId="20154"/>
    <cellStyle name="20% - Accent1 3 8 2 3 4 2" xfId="56088"/>
    <cellStyle name="20% - Accent1 3 8 2 3 5" xfId="33769"/>
    <cellStyle name="20% - Accent1 3 8 2 4" xfId="14147"/>
    <cellStyle name="20% - Accent1 3 8 2 4 2" xfId="25948"/>
    <cellStyle name="20% - Accent1 3 8 2 4 2 2" xfId="56089"/>
    <cellStyle name="20% - Accent1 3 8 2 4 3" xfId="39563"/>
    <cellStyle name="20% - Accent1 3 8 2 5" xfId="6945"/>
    <cellStyle name="20% - Accent1 3 8 2 5 2" xfId="46056"/>
    <cellStyle name="20% - Accent1 3 8 2 6" xfId="18746"/>
    <cellStyle name="20% - Accent1 3 8 2 6 2" xfId="56090"/>
    <cellStyle name="20% - Accent1 3 8 2 7" xfId="32361"/>
    <cellStyle name="20% - Accent1 3 8 3" xfId="3468"/>
    <cellStyle name="20% - Accent1 3 8 3 2" xfId="5309"/>
    <cellStyle name="20% - Accent1 3 8 3 2 2" xfId="16779"/>
    <cellStyle name="20% - Accent1 3 8 3 2 2 2" xfId="28580"/>
    <cellStyle name="20% - Accent1 3 8 3 2 2 2 2" xfId="56091"/>
    <cellStyle name="20% - Accent1 3 8 3 2 2 3" xfId="42195"/>
    <cellStyle name="20% - Accent1 3 8 3 2 3" xfId="10762"/>
    <cellStyle name="20% - Accent1 3 8 3 2 3 2" xfId="56092"/>
    <cellStyle name="20% - Accent1 3 8 3 2 4" xfId="22563"/>
    <cellStyle name="20% - Accent1 3 8 3 2 4 2" xfId="56093"/>
    <cellStyle name="20% - Accent1 3 8 3 2 5" xfId="36178"/>
    <cellStyle name="20% - Accent1 3 8 3 3" xfId="14148"/>
    <cellStyle name="20% - Accent1 3 8 3 3 2" xfId="25949"/>
    <cellStyle name="20% - Accent1 3 8 3 3 2 2" xfId="56094"/>
    <cellStyle name="20% - Accent1 3 8 3 3 3" xfId="39564"/>
    <cellStyle name="20% - Accent1 3 8 3 4" xfId="8921"/>
    <cellStyle name="20% - Accent1 3 8 3 4 2" xfId="56095"/>
    <cellStyle name="20% - Accent1 3 8 3 5" xfId="20722"/>
    <cellStyle name="20% - Accent1 3 8 3 5 2" xfId="56096"/>
    <cellStyle name="20% - Accent1 3 8 3 6" xfId="34337"/>
    <cellStyle name="20% - Accent1 3 8 4" xfId="4173"/>
    <cellStyle name="20% - Accent1 3 8 4 2" xfId="14149"/>
    <cellStyle name="20% - Accent1 3 8 4 2 2" xfId="25950"/>
    <cellStyle name="20% - Accent1 3 8 4 2 2 2" xfId="56097"/>
    <cellStyle name="20% - Accent1 3 8 4 2 3" xfId="39565"/>
    <cellStyle name="20% - Accent1 3 8 4 3" xfId="9626"/>
    <cellStyle name="20% - Accent1 3 8 4 3 2" xfId="46057"/>
    <cellStyle name="20% - Accent1 3 8 4 4" xfId="21427"/>
    <cellStyle name="20% - Accent1 3 8 4 4 2" xfId="56098"/>
    <cellStyle name="20% - Accent1 3 8 4 5" xfId="35042"/>
    <cellStyle name="20% - Accent1 3 8 5" xfId="2332"/>
    <cellStyle name="20% - Accent1 3 8 5 2" xfId="17111"/>
    <cellStyle name="20% - Accent1 3 8 5 2 2" xfId="28912"/>
    <cellStyle name="20% - Accent1 3 8 5 2 2 2" xfId="56099"/>
    <cellStyle name="20% - Accent1 3 8 5 2 3" xfId="42527"/>
    <cellStyle name="20% - Accent1 3 8 5 3" xfId="7785"/>
    <cellStyle name="20% - Accent1 3 8 5 3 2" xfId="56100"/>
    <cellStyle name="20% - Accent1 3 8 5 4" xfId="19586"/>
    <cellStyle name="20% - Accent1 3 8 5 4 2" xfId="56101"/>
    <cellStyle name="20% - Accent1 3 8 5 5" xfId="33201"/>
    <cellStyle name="20% - Accent1 3 8 6" xfId="14150"/>
    <cellStyle name="20% - Accent1 3 8 6 2" xfId="25951"/>
    <cellStyle name="20% - Accent1 3 8 6 2 2" xfId="56102"/>
    <cellStyle name="20% - Accent1 3 8 6 3" xfId="39566"/>
    <cellStyle name="20% - Accent1 3 8 7" xfId="5885"/>
    <cellStyle name="20% - Accent1 3 8 7 2" xfId="56103"/>
    <cellStyle name="20% - Accent1 3 8 8" xfId="17686"/>
    <cellStyle name="20% - Accent1 3 8 8 2" xfId="56104"/>
    <cellStyle name="20% - Accent1 3 8 9" xfId="31301"/>
    <cellStyle name="20% - Accent1 3 9" xfId="245"/>
    <cellStyle name="20% - Accent1 3 9 2" xfId="1492"/>
    <cellStyle name="20% - Accent1 3 9 2 2" xfId="4555"/>
    <cellStyle name="20% - Accent1 3 9 2 2 2" xfId="14151"/>
    <cellStyle name="20% - Accent1 3 9 2 2 2 2" xfId="25952"/>
    <cellStyle name="20% - Accent1 3 9 2 2 2 2 2" xfId="56105"/>
    <cellStyle name="20% - Accent1 3 9 2 2 2 3" xfId="39567"/>
    <cellStyle name="20% - Accent1 3 9 2 2 3" xfId="10008"/>
    <cellStyle name="20% - Accent1 3 9 2 2 3 2" xfId="46058"/>
    <cellStyle name="20% - Accent1 3 9 2 2 4" xfId="21809"/>
    <cellStyle name="20% - Accent1 3 9 2 2 4 2" xfId="56106"/>
    <cellStyle name="20% - Accent1 3 9 2 2 5" xfId="35424"/>
    <cellStyle name="20% - Accent1 3 9 2 3" xfId="2714"/>
    <cellStyle name="20% - Accent1 3 9 2 3 2" xfId="14152"/>
    <cellStyle name="20% - Accent1 3 9 2 3 2 2" xfId="25953"/>
    <cellStyle name="20% - Accent1 3 9 2 3 2 2 2" xfId="56107"/>
    <cellStyle name="20% - Accent1 3 9 2 3 2 3" xfId="39568"/>
    <cellStyle name="20% - Accent1 3 9 2 3 3" xfId="8167"/>
    <cellStyle name="20% - Accent1 3 9 2 3 3 2" xfId="46059"/>
    <cellStyle name="20% - Accent1 3 9 2 3 4" xfId="19968"/>
    <cellStyle name="20% - Accent1 3 9 2 3 4 2" xfId="56108"/>
    <cellStyle name="20% - Accent1 3 9 2 3 5" xfId="33583"/>
    <cellStyle name="20% - Accent1 3 9 2 4" xfId="14153"/>
    <cellStyle name="20% - Accent1 3 9 2 4 2" xfId="25954"/>
    <cellStyle name="20% - Accent1 3 9 2 4 2 2" xfId="56109"/>
    <cellStyle name="20% - Accent1 3 9 2 4 3" xfId="39569"/>
    <cellStyle name="20% - Accent1 3 9 2 5" xfId="6946"/>
    <cellStyle name="20% - Accent1 3 9 2 5 2" xfId="46060"/>
    <cellStyle name="20% - Accent1 3 9 2 6" xfId="18747"/>
    <cellStyle name="20% - Accent1 3 9 2 6 2" xfId="56110"/>
    <cellStyle name="20% - Accent1 3 9 2 7" xfId="32362"/>
    <cellStyle name="20% - Accent1 3 9 3" xfId="3282"/>
    <cellStyle name="20% - Accent1 3 9 3 2" xfId="5123"/>
    <cellStyle name="20% - Accent1 3 9 3 2 2" xfId="16593"/>
    <cellStyle name="20% - Accent1 3 9 3 2 2 2" xfId="28394"/>
    <cellStyle name="20% - Accent1 3 9 3 2 2 2 2" xfId="56111"/>
    <cellStyle name="20% - Accent1 3 9 3 2 2 3" xfId="42009"/>
    <cellStyle name="20% - Accent1 3 9 3 2 3" xfId="10576"/>
    <cellStyle name="20% - Accent1 3 9 3 2 3 2" xfId="56112"/>
    <cellStyle name="20% - Accent1 3 9 3 2 4" xfId="22377"/>
    <cellStyle name="20% - Accent1 3 9 3 2 4 2" xfId="56113"/>
    <cellStyle name="20% - Accent1 3 9 3 2 5" xfId="35992"/>
    <cellStyle name="20% - Accent1 3 9 3 3" xfId="14154"/>
    <cellStyle name="20% - Accent1 3 9 3 3 2" xfId="25955"/>
    <cellStyle name="20% - Accent1 3 9 3 3 2 2" xfId="56114"/>
    <cellStyle name="20% - Accent1 3 9 3 3 3" xfId="39570"/>
    <cellStyle name="20% - Accent1 3 9 3 4" xfId="8735"/>
    <cellStyle name="20% - Accent1 3 9 3 4 2" xfId="56115"/>
    <cellStyle name="20% - Accent1 3 9 3 5" xfId="20536"/>
    <cellStyle name="20% - Accent1 3 9 3 5 2" xfId="56116"/>
    <cellStyle name="20% - Accent1 3 9 3 6" xfId="34151"/>
    <cellStyle name="20% - Accent1 3 9 4" xfId="3987"/>
    <cellStyle name="20% - Accent1 3 9 4 2" xfId="14155"/>
    <cellStyle name="20% - Accent1 3 9 4 2 2" xfId="25956"/>
    <cellStyle name="20% - Accent1 3 9 4 2 2 2" xfId="56117"/>
    <cellStyle name="20% - Accent1 3 9 4 2 3" xfId="39571"/>
    <cellStyle name="20% - Accent1 3 9 4 3" xfId="9440"/>
    <cellStyle name="20% - Accent1 3 9 4 3 2" xfId="46061"/>
    <cellStyle name="20% - Accent1 3 9 4 4" xfId="21241"/>
    <cellStyle name="20% - Accent1 3 9 4 4 2" xfId="56118"/>
    <cellStyle name="20% - Accent1 3 9 4 5" xfId="34856"/>
    <cellStyle name="20% - Accent1 3 9 5" xfId="2146"/>
    <cellStyle name="20% - Accent1 3 9 5 2" xfId="17112"/>
    <cellStyle name="20% - Accent1 3 9 5 2 2" xfId="28913"/>
    <cellStyle name="20% - Accent1 3 9 5 2 2 2" xfId="56119"/>
    <cellStyle name="20% - Accent1 3 9 5 2 3" xfId="42528"/>
    <cellStyle name="20% - Accent1 3 9 5 3" xfId="7599"/>
    <cellStyle name="20% - Accent1 3 9 5 3 2" xfId="56120"/>
    <cellStyle name="20% - Accent1 3 9 5 4" xfId="19400"/>
    <cellStyle name="20% - Accent1 3 9 5 4 2" xfId="56121"/>
    <cellStyle name="20% - Accent1 3 9 5 5" xfId="33015"/>
    <cellStyle name="20% - Accent1 3 9 6" xfId="14156"/>
    <cellStyle name="20% - Accent1 3 9 6 2" xfId="25957"/>
    <cellStyle name="20% - Accent1 3 9 6 2 2" xfId="56122"/>
    <cellStyle name="20% - Accent1 3 9 6 3" xfId="39572"/>
    <cellStyle name="20% - Accent1 3 9 7" xfId="5699"/>
    <cellStyle name="20% - Accent1 3 9 7 2" xfId="56123"/>
    <cellStyle name="20% - Accent1 3 9 8" xfId="17500"/>
    <cellStyle name="20% - Accent1 3 9 8 2" xfId="56124"/>
    <cellStyle name="20% - Accent1 3 9 9" xfId="31115"/>
    <cellStyle name="20% - Accent1 4" xfId="5"/>
    <cellStyle name="20% - Accent1 4 10" xfId="246"/>
    <cellStyle name="20% - Accent1 4 10 2" xfId="1493"/>
    <cellStyle name="20% - Accent1 4 10 2 2" xfId="4556"/>
    <cellStyle name="20% - Accent1 4 10 2 2 2" xfId="14157"/>
    <cellStyle name="20% - Accent1 4 10 2 2 2 2" xfId="25958"/>
    <cellStyle name="20% - Accent1 4 10 2 2 2 2 2" xfId="56125"/>
    <cellStyle name="20% - Accent1 4 10 2 2 2 3" xfId="39573"/>
    <cellStyle name="20% - Accent1 4 10 2 2 3" xfId="10009"/>
    <cellStyle name="20% - Accent1 4 10 2 2 3 2" xfId="46062"/>
    <cellStyle name="20% - Accent1 4 10 2 2 4" xfId="21810"/>
    <cellStyle name="20% - Accent1 4 10 2 2 4 2" xfId="56126"/>
    <cellStyle name="20% - Accent1 4 10 2 2 5" xfId="35425"/>
    <cellStyle name="20% - Accent1 4 10 2 3" xfId="2715"/>
    <cellStyle name="20% - Accent1 4 10 2 3 2" xfId="14158"/>
    <cellStyle name="20% - Accent1 4 10 2 3 2 2" xfId="25959"/>
    <cellStyle name="20% - Accent1 4 10 2 3 2 2 2" xfId="56127"/>
    <cellStyle name="20% - Accent1 4 10 2 3 2 3" xfId="39574"/>
    <cellStyle name="20% - Accent1 4 10 2 3 3" xfId="8168"/>
    <cellStyle name="20% - Accent1 4 10 2 3 3 2" xfId="46063"/>
    <cellStyle name="20% - Accent1 4 10 2 3 4" xfId="19969"/>
    <cellStyle name="20% - Accent1 4 10 2 3 4 2" xfId="56128"/>
    <cellStyle name="20% - Accent1 4 10 2 3 5" xfId="33584"/>
    <cellStyle name="20% - Accent1 4 10 2 4" xfId="14159"/>
    <cellStyle name="20% - Accent1 4 10 2 4 2" xfId="25960"/>
    <cellStyle name="20% - Accent1 4 10 2 4 2 2" xfId="56129"/>
    <cellStyle name="20% - Accent1 4 10 2 4 3" xfId="39575"/>
    <cellStyle name="20% - Accent1 4 10 2 5" xfId="6947"/>
    <cellStyle name="20% - Accent1 4 10 2 5 2" xfId="46064"/>
    <cellStyle name="20% - Accent1 4 10 2 6" xfId="18748"/>
    <cellStyle name="20% - Accent1 4 10 2 6 2" xfId="56130"/>
    <cellStyle name="20% - Accent1 4 10 2 7" xfId="32363"/>
    <cellStyle name="20% - Accent1 4 10 3" xfId="3283"/>
    <cellStyle name="20% - Accent1 4 10 3 2" xfId="5124"/>
    <cellStyle name="20% - Accent1 4 10 3 2 2" xfId="16594"/>
    <cellStyle name="20% - Accent1 4 10 3 2 2 2" xfId="28395"/>
    <cellStyle name="20% - Accent1 4 10 3 2 2 2 2" xfId="56131"/>
    <cellStyle name="20% - Accent1 4 10 3 2 2 3" xfId="42010"/>
    <cellStyle name="20% - Accent1 4 10 3 2 3" xfId="10577"/>
    <cellStyle name="20% - Accent1 4 10 3 2 3 2" xfId="56132"/>
    <cellStyle name="20% - Accent1 4 10 3 2 4" xfId="22378"/>
    <cellStyle name="20% - Accent1 4 10 3 2 4 2" xfId="56133"/>
    <cellStyle name="20% - Accent1 4 10 3 2 5" xfId="35993"/>
    <cellStyle name="20% - Accent1 4 10 3 3" xfId="14160"/>
    <cellStyle name="20% - Accent1 4 10 3 3 2" xfId="25961"/>
    <cellStyle name="20% - Accent1 4 10 3 3 2 2" xfId="56134"/>
    <cellStyle name="20% - Accent1 4 10 3 3 3" xfId="39576"/>
    <cellStyle name="20% - Accent1 4 10 3 4" xfId="8736"/>
    <cellStyle name="20% - Accent1 4 10 3 4 2" xfId="56135"/>
    <cellStyle name="20% - Accent1 4 10 3 5" xfId="20537"/>
    <cellStyle name="20% - Accent1 4 10 3 5 2" xfId="56136"/>
    <cellStyle name="20% - Accent1 4 10 3 6" xfId="34152"/>
    <cellStyle name="20% - Accent1 4 10 4" xfId="3988"/>
    <cellStyle name="20% - Accent1 4 10 4 2" xfId="14161"/>
    <cellStyle name="20% - Accent1 4 10 4 2 2" xfId="25962"/>
    <cellStyle name="20% - Accent1 4 10 4 2 2 2" xfId="56137"/>
    <cellStyle name="20% - Accent1 4 10 4 2 3" xfId="39577"/>
    <cellStyle name="20% - Accent1 4 10 4 3" xfId="9441"/>
    <cellStyle name="20% - Accent1 4 10 4 3 2" xfId="46065"/>
    <cellStyle name="20% - Accent1 4 10 4 4" xfId="21242"/>
    <cellStyle name="20% - Accent1 4 10 4 4 2" xfId="56138"/>
    <cellStyle name="20% - Accent1 4 10 4 5" xfId="34857"/>
    <cellStyle name="20% - Accent1 4 10 5" xfId="2147"/>
    <cellStyle name="20% - Accent1 4 10 5 2" xfId="17113"/>
    <cellStyle name="20% - Accent1 4 10 5 2 2" xfId="28914"/>
    <cellStyle name="20% - Accent1 4 10 5 2 2 2" xfId="56139"/>
    <cellStyle name="20% - Accent1 4 10 5 2 3" xfId="42529"/>
    <cellStyle name="20% - Accent1 4 10 5 3" xfId="7600"/>
    <cellStyle name="20% - Accent1 4 10 5 3 2" xfId="56140"/>
    <cellStyle name="20% - Accent1 4 10 5 4" xfId="19401"/>
    <cellStyle name="20% - Accent1 4 10 5 4 2" xfId="56141"/>
    <cellStyle name="20% - Accent1 4 10 5 5" xfId="33016"/>
    <cellStyle name="20% - Accent1 4 10 6" xfId="14162"/>
    <cellStyle name="20% - Accent1 4 10 6 2" xfId="25963"/>
    <cellStyle name="20% - Accent1 4 10 6 2 2" xfId="56142"/>
    <cellStyle name="20% - Accent1 4 10 6 3" xfId="39578"/>
    <cellStyle name="20% - Accent1 4 10 7" xfId="5700"/>
    <cellStyle name="20% - Accent1 4 10 7 2" xfId="56143"/>
    <cellStyle name="20% - Accent1 4 10 8" xfId="17501"/>
    <cellStyle name="20% - Accent1 4 10 8 2" xfId="56144"/>
    <cellStyle name="20% - Accent1 4 10 9" xfId="31116"/>
    <cellStyle name="20% - Accent1 4 11" xfId="573"/>
    <cellStyle name="20% - Accent1 4 11 2" xfId="1494"/>
    <cellStyle name="20% - Accent1 4 11 2 2" xfId="4315"/>
    <cellStyle name="20% - Accent1 4 11 2 2 2" xfId="14163"/>
    <cellStyle name="20% - Accent1 4 11 2 2 2 2" xfId="25964"/>
    <cellStyle name="20% - Accent1 4 11 2 2 2 2 2" xfId="56145"/>
    <cellStyle name="20% - Accent1 4 11 2 2 2 3" xfId="39579"/>
    <cellStyle name="20% - Accent1 4 11 2 2 3" xfId="9768"/>
    <cellStyle name="20% - Accent1 4 11 2 2 3 2" xfId="46066"/>
    <cellStyle name="20% - Accent1 4 11 2 2 4" xfId="21569"/>
    <cellStyle name="20% - Accent1 4 11 2 2 4 2" xfId="56146"/>
    <cellStyle name="20% - Accent1 4 11 2 2 5" xfId="35184"/>
    <cellStyle name="20% - Accent1 4 11 2 3" xfId="14164"/>
    <cellStyle name="20% - Accent1 4 11 2 3 2" xfId="25965"/>
    <cellStyle name="20% - Accent1 4 11 2 3 2 2" xfId="46067"/>
    <cellStyle name="20% - Accent1 4 11 2 3 3" xfId="30089"/>
    <cellStyle name="20% - Accent1 4 11 2 3 3 2" xfId="46068"/>
    <cellStyle name="20% - Accent1 4 11 2 3 4" xfId="30090"/>
    <cellStyle name="20% - Accent1 4 11 2 3 4 2" xfId="56147"/>
    <cellStyle name="20% - Accent1 4 11 2 3 5" xfId="39580"/>
    <cellStyle name="20% - Accent1 4 11 2 4" xfId="14165"/>
    <cellStyle name="20% - Accent1 4 11 2 4 2" xfId="25966"/>
    <cellStyle name="20% - Accent1 4 11 2 4 2 2" xfId="56148"/>
    <cellStyle name="20% - Accent1 4 11 2 4 3" xfId="39581"/>
    <cellStyle name="20% - Accent1 4 11 2 5" xfId="6948"/>
    <cellStyle name="20% - Accent1 4 11 2 5 2" xfId="46069"/>
    <cellStyle name="20% - Accent1 4 11 2 6" xfId="18749"/>
    <cellStyle name="20% - Accent1 4 11 2 6 2" xfId="56149"/>
    <cellStyle name="20% - Accent1 4 11 2 7" xfId="32364"/>
    <cellStyle name="20% - Accent1 4 11 3" xfId="2474"/>
    <cellStyle name="20% - Accent1 4 11 3 2" xfId="14166"/>
    <cellStyle name="20% - Accent1 4 11 3 2 2" xfId="25967"/>
    <cellStyle name="20% - Accent1 4 11 3 2 2 2" xfId="56150"/>
    <cellStyle name="20% - Accent1 4 11 3 2 3" xfId="39582"/>
    <cellStyle name="20% - Accent1 4 11 3 3" xfId="7927"/>
    <cellStyle name="20% - Accent1 4 11 3 3 2" xfId="46070"/>
    <cellStyle name="20% - Accent1 4 11 3 4" xfId="19728"/>
    <cellStyle name="20% - Accent1 4 11 3 4 2" xfId="56151"/>
    <cellStyle name="20% - Accent1 4 11 3 5" xfId="33343"/>
    <cellStyle name="20% - Accent1 4 11 4" xfId="14167"/>
    <cellStyle name="20% - Accent1 4 11 4 2" xfId="25968"/>
    <cellStyle name="20% - Accent1 4 11 4 2 2" xfId="46071"/>
    <cellStyle name="20% - Accent1 4 11 4 3" xfId="30091"/>
    <cellStyle name="20% - Accent1 4 11 4 3 2" xfId="46072"/>
    <cellStyle name="20% - Accent1 4 11 4 4" xfId="30092"/>
    <cellStyle name="20% - Accent1 4 11 4 4 2" xfId="56152"/>
    <cellStyle name="20% - Accent1 4 11 4 5" xfId="39583"/>
    <cellStyle name="20% - Accent1 4 11 5" xfId="14168"/>
    <cellStyle name="20% - Accent1 4 11 5 2" xfId="25969"/>
    <cellStyle name="20% - Accent1 4 11 5 2 2" xfId="56153"/>
    <cellStyle name="20% - Accent1 4 11 5 3" xfId="39584"/>
    <cellStyle name="20% - Accent1 4 11 6" xfId="6027"/>
    <cellStyle name="20% - Accent1 4 11 6 2" xfId="46073"/>
    <cellStyle name="20% - Accent1 4 11 7" xfId="17828"/>
    <cellStyle name="20% - Accent1 4 11 7 2" xfId="56154"/>
    <cellStyle name="20% - Accent1 4 11 8" xfId="31443"/>
    <cellStyle name="20% - Accent1 4 12" xfId="814"/>
    <cellStyle name="20% - Accent1 4 12 2" xfId="1495"/>
    <cellStyle name="20% - Accent1 4 12 2 2" xfId="4883"/>
    <cellStyle name="20% - Accent1 4 12 2 2 2" xfId="14169"/>
    <cellStyle name="20% - Accent1 4 12 2 2 2 2" xfId="25970"/>
    <cellStyle name="20% - Accent1 4 12 2 2 2 2 2" xfId="56155"/>
    <cellStyle name="20% - Accent1 4 12 2 2 2 3" xfId="39585"/>
    <cellStyle name="20% - Accent1 4 12 2 2 3" xfId="10336"/>
    <cellStyle name="20% - Accent1 4 12 2 2 3 2" xfId="46074"/>
    <cellStyle name="20% - Accent1 4 12 2 2 4" xfId="22137"/>
    <cellStyle name="20% - Accent1 4 12 2 2 4 2" xfId="56156"/>
    <cellStyle name="20% - Accent1 4 12 2 2 5" xfId="35752"/>
    <cellStyle name="20% - Accent1 4 12 2 3" xfId="14170"/>
    <cellStyle name="20% - Accent1 4 12 2 3 2" xfId="25971"/>
    <cellStyle name="20% - Accent1 4 12 2 3 2 2" xfId="46075"/>
    <cellStyle name="20% - Accent1 4 12 2 3 3" xfId="30093"/>
    <cellStyle name="20% - Accent1 4 12 2 3 3 2" xfId="46076"/>
    <cellStyle name="20% - Accent1 4 12 2 3 4" xfId="30094"/>
    <cellStyle name="20% - Accent1 4 12 2 3 4 2" xfId="56157"/>
    <cellStyle name="20% - Accent1 4 12 2 3 5" xfId="39586"/>
    <cellStyle name="20% - Accent1 4 12 2 4" xfId="14171"/>
    <cellStyle name="20% - Accent1 4 12 2 4 2" xfId="25972"/>
    <cellStyle name="20% - Accent1 4 12 2 4 2 2" xfId="56158"/>
    <cellStyle name="20% - Accent1 4 12 2 4 3" xfId="39587"/>
    <cellStyle name="20% - Accent1 4 12 2 5" xfId="6949"/>
    <cellStyle name="20% - Accent1 4 12 2 5 2" xfId="46077"/>
    <cellStyle name="20% - Accent1 4 12 2 6" xfId="18750"/>
    <cellStyle name="20% - Accent1 4 12 2 6 2" xfId="56159"/>
    <cellStyle name="20% - Accent1 4 12 2 7" xfId="32365"/>
    <cellStyle name="20% - Accent1 4 12 3" xfId="3042"/>
    <cellStyle name="20% - Accent1 4 12 3 2" xfId="14172"/>
    <cellStyle name="20% - Accent1 4 12 3 2 2" xfId="25973"/>
    <cellStyle name="20% - Accent1 4 12 3 2 2 2" xfId="56160"/>
    <cellStyle name="20% - Accent1 4 12 3 2 3" xfId="39588"/>
    <cellStyle name="20% - Accent1 4 12 3 3" xfId="8495"/>
    <cellStyle name="20% - Accent1 4 12 3 3 2" xfId="46078"/>
    <cellStyle name="20% - Accent1 4 12 3 4" xfId="20296"/>
    <cellStyle name="20% - Accent1 4 12 3 4 2" xfId="56161"/>
    <cellStyle name="20% - Accent1 4 12 3 5" xfId="33911"/>
    <cellStyle name="20% - Accent1 4 12 4" xfId="14173"/>
    <cellStyle name="20% - Accent1 4 12 4 2" xfId="25974"/>
    <cellStyle name="20% - Accent1 4 12 4 2 2" xfId="46079"/>
    <cellStyle name="20% - Accent1 4 12 4 3" xfId="30095"/>
    <cellStyle name="20% - Accent1 4 12 4 3 2" xfId="46080"/>
    <cellStyle name="20% - Accent1 4 12 4 4" xfId="30096"/>
    <cellStyle name="20% - Accent1 4 12 4 4 2" xfId="56162"/>
    <cellStyle name="20% - Accent1 4 12 4 5" xfId="39589"/>
    <cellStyle name="20% - Accent1 4 12 5" xfId="14174"/>
    <cellStyle name="20% - Accent1 4 12 5 2" xfId="25975"/>
    <cellStyle name="20% - Accent1 4 12 5 2 2" xfId="56163"/>
    <cellStyle name="20% - Accent1 4 12 5 3" xfId="39590"/>
    <cellStyle name="20% - Accent1 4 12 6" xfId="6268"/>
    <cellStyle name="20% - Accent1 4 12 6 2" xfId="46081"/>
    <cellStyle name="20% - Accent1 4 12 7" xfId="18069"/>
    <cellStyle name="20% - Accent1 4 12 7 2" xfId="56164"/>
    <cellStyle name="20% - Accent1 4 12 8" xfId="31684"/>
    <cellStyle name="20% - Accent1 4 13" xfId="1496"/>
    <cellStyle name="20% - Accent1 4 13 2" xfId="3747"/>
    <cellStyle name="20% - Accent1 4 13 2 2" xfId="14175"/>
    <cellStyle name="20% - Accent1 4 13 2 2 2" xfId="25976"/>
    <cellStyle name="20% - Accent1 4 13 2 2 2 2" xfId="56165"/>
    <cellStyle name="20% - Accent1 4 13 2 2 3" xfId="39591"/>
    <cellStyle name="20% - Accent1 4 13 2 3" xfId="9200"/>
    <cellStyle name="20% - Accent1 4 13 2 3 2" xfId="46082"/>
    <cellStyle name="20% - Accent1 4 13 2 4" xfId="21001"/>
    <cellStyle name="20% - Accent1 4 13 2 4 2" xfId="56166"/>
    <cellStyle name="20% - Accent1 4 13 2 5" xfId="34616"/>
    <cellStyle name="20% - Accent1 4 13 3" xfId="14176"/>
    <cellStyle name="20% - Accent1 4 13 3 2" xfId="25977"/>
    <cellStyle name="20% - Accent1 4 13 3 2 2" xfId="46083"/>
    <cellStyle name="20% - Accent1 4 13 3 3" xfId="30097"/>
    <cellStyle name="20% - Accent1 4 13 3 3 2" xfId="46084"/>
    <cellStyle name="20% - Accent1 4 13 3 4" xfId="30098"/>
    <cellStyle name="20% - Accent1 4 13 3 4 2" xfId="56167"/>
    <cellStyle name="20% - Accent1 4 13 3 5" xfId="39592"/>
    <cellStyle name="20% - Accent1 4 13 4" xfId="14177"/>
    <cellStyle name="20% - Accent1 4 13 4 2" xfId="25978"/>
    <cellStyle name="20% - Accent1 4 13 4 2 2" xfId="56168"/>
    <cellStyle name="20% - Accent1 4 13 4 3" xfId="39593"/>
    <cellStyle name="20% - Accent1 4 13 5" xfId="6950"/>
    <cellStyle name="20% - Accent1 4 13 5 2" xfId="46085"/>
    <cellStyle name="20% - Accent1 4 13 6" xfId="18751"/>
    <cellStyle name="20% - Accent1 4 13 6 2" xfId="56169"/>
    <cellStyle name="20% - Accent1 4 13 7" xfId="32366"/>
    <cellStyle name="20% - Accent1 4 14" xfId="3610"/>
    <cellStyle name="20% - Accent1 4 14 2" xfId="14178"/>
    <cellStyle name="20% - Accent1 4 14 2 2" xfId="25979"/>
    <cellStyle name="20% - Accent1 4 14 2 2 2" xfId="56170"/>
    <cellStyle name="20% - Accent1 4 14 2 3" xfId="39594"/>
    <cellStyle name="20% - Accent1 4 14 3" xfId="9063"/>
    <cellStyle name="20% - Accent1 4 14 3 2" xfId="46086"/>
    <cellStyle name="20% - Accent1 4 14 4" xfId="20864"/>
    <cellStyle name="20% - Accent1 4 14 4 2" xfId="56171"/>
    <cellStyle name="20% - Accent1 4 14 5" xfId="34479"/>
    <cellStyle name="20% - Accent1 4 15" xfId="1906"/>
    <cellStyle name="20% - Accent1 4 15 2" xfId="14179"/>
    <cellStyle name="20% - Accent1 4 15 2 2" xfId="25980"/>
    <cellStyle name="20% - Accent1 4 15 2 2 2" xfId="56172"/>
    <cellStyle name="20% - Accent1 4 15 2 3" xfId="39595"/>
    <cellStyle name="20% - Accent1 4 15 3" xfId="7359"/>
    <cellStyle name="20% - Accent1 4 15 3 2" xfId="46087"/>
    <cellStyle name="20% - Accent1 4 15 4" xfId="19160"/>
    <cellStyle name="20% - Accent1 4 15 4 2" xfId="56173"/>
    <cellStyle name="20% - Accent1 4 15 5" xfId="32775"/>
    <cellStyle name="20% - Accent1 4 16" xfId="14180"/>
    <cellStyle name="20% - Accent1 4 16 2" xfId="25981"/>
    <cellStyle name="20% - Accent1 4 16 2 2" xfId="56174"/>
    <cellStyle name="20% - Accent1 4 16 3" xfId="39596"/>
    <cellStyle name="20% - Accent1 4 17" xfId="5459"/>
    <cellStyle name="20% - Accent1 4 17 2" xfId="46088"/>
    <cellStyle name="20% - Accent1 4 18" xfId="17260"/>
    <cellStyle name="20% - Accent1 4 18 2" xfId="56175"/>
    <cellStyle name="20% - Accent1 4 19" xfId="30875"/>
    <cellStyle name="20% - Accent1 4 2" xfId="9"/>
    <cellStyle name="20% - Accent1 4 2 10" xfId="577"/>
    <cellStyle name="20% - Accent1 4 2 10 2" xfId="1497"/>
    <cellStyle name="20% - Accent1 4 2 10 2 2" xfId="4319"/>
    <cellStyle name="20% - Accent1 4 2 10 2 2 2" xfId="14181"/>
    <cellStyle name="20% - Accent1 4 2 10 2 2 2 2" xfId="25982"/>
    <cellStyle name="20% - Accent1 4 2 10 2 2 2 2 2" xfId="56176"/>
    <cellStyle name="20% - Accent1 4 2 10 2 2 2 3" xfId="39597"/>
    <cellStyle name="20% - Accent1 4 2 10 2 2 3" xfId="9772"/>
    <cellStyle name="20% - Accent1 4 2 10 2 2 3 2" xfId="46089"/>
    <cellStyle name="20% - Accent1 4 2 10 2 2 4" xfId="21573"/>
    <cellStyle name="20% - Accent1 4 2 10 2 2 4 2" xfId="56177"/>
    <cellStyle name="20% - Accent1 4 2 10 2 2 5" xfId="35188"/>
    <cellStyle name="20% - Accent1 4 2 10 2 3" xfId="14182"/>
    <cellStyle name="20% - Accent1 4 2 10 2 3 2" xfId="25983"/>
    <cellStyle name="20% - Accent1 4 2 10 2 3 2 2" xfId="46090"/>
    <cellStyle name="20% - Accent1 4 2 10 2 3 3" xfId="30099"/>
    <cellStyle name="20% - Accent1 4 2 10 2 3 3 2" xfId="46091"/>
    <cellStyle name="20% - Accent1 4 2 10 2 3 4" xfId="30100"/>
    <cellStyle name="20% - Accent1 4 2 10 2 3 4 2" xfId="56178"/>
    <cellStyle name="20% - Accent1 4 2 10 2 3 5" xfId="39598"/>
    <cellStyle name="20% - Accent1 4 2 10 2 4" xfId="14183"/>
    <cellStyle name="20% - Accent1 4 2 10 2 4 2" xfId="25984"/>
    <cellStyle name="20% - Accent1 4 2 10 2 4 2 2" xfId="56179"/>
    <cellStyle name="20% - Accent1 4 2 10 2 4 3" xfId="39599"/>
    <cellStyle name="20% - Accent1 4 2 10 2 5" xfId="6951"/>
    <cellStyle name="20% - Accent1 4 2 10 2 5 2" xfId="46092"/>
    <cellStyle name="20% - Accent1 4 2 10 2 6" xfId="18752"/>
    <cellStyle name="20% - Accent1 4 2 10 2 6 2" xfId="56180"/>
    <cellStyle name="20% - Accent1 4 2 10 2 7" xfId="32367"/>
    <cellStyle name="20% - Accent1 4 2 10 3" xfId="2478"/>
    <cellStyle name="20% - Accent1 4 2 10 3 2" xfId="14184"/>
    <cellStyle name="20% - Accent1 4 2 10 3 2 2" xfId="25985"/>
    <cellStyle name="20% - Accent1 4 2 10 3 2 2 2" xfId="56181"/>
    <cellStyle name="20% - Accent1 4 2 10 3 2 3" xfId="39600"/>
    <cellStyle name="20% - Accent1 4 2 10 3 3" xfId="7931"/>
    <cellStyle name="20% - Accent1 4 2 10 3 3 2" xfId="46093"/>
    <cellStyle name="20% - Accent1 4 2 10 3 4" xfId="19732"/>
    <cellStyle name="20% - Accent1 4 2 10 3 4 2" xfId="56182"/>
    <cellStyle name="20% - Accent1 4 2 10 3 5" xfId="33347"/>
    <cellStyle name="20% - Accent1 4 2 10 4" xfId="14185"/>
    <cellStyle name="20% - Accent1 4 2 10 4 2" xfId="25986"/>
    <cellStyle name="20% - Accent1 4 2 10 4 2 2" xfId="46094"/>
    <cellStyle name="20% - Accent1 4 2 10 4 3" xfId="30101"/>
    <cellStyle name="20% - Accent1 4 2 10 4 3 2" xfId="46095"/>
    <cellStyle name="20% - Accent1 4 2 10 4 4" xfId="30102"/>
    <cellStyle name="20% - Accent1 4 2 10 4 4 2" xfId="56183"/>
    <cellStyle name="20% - Accent1 4 2 10 4 5" xfId="39601"/>
    <cellStyle name="20% - Accent1 4 2 10 5" xfId="14186"/>
    <cellStyle name="20% - Accent1 4 2 10 5 2" xfId="25987"/>
    <cellStyle name="20% - Accent1 4 2 10 5 2 2" xfId="56184"/>
    <cellStyle name="20% - Accent1 4 2 10 5 3" xfId="39602"/>
    <cellStyle name="20% - Accent1 4 2 10 6" xfId="6031"/>
    <cellStyle name="20% - Accent1 4 2 10 6 2" xfId="46096"/>
    <cellStyle name="20% - Accent1 4 2 10 7" xfId="17832"/>
    <cellStyle name="20% - Accent1 4 2 10 7 2" xfId="56185"/>
    <cellStyle name="20% - Accent1 4 2 10 8" xfId="31447"/>
    <cellStyle name="20% - Accent1 4 2 11" xfId="818"/>
    <cellStyle name="20% - Accent1 4 2 11 2" xfId="1498"/>
    <cellStyle name="20% - Accent1 4 2 11 2 2" xfId="4887"/>
    <cellStyle name="20% - Accent1 4 2 11 2 2 2" xfId="14187"/>
    <cellStyle name="20% - Accent1 4 2 11 2 2 2 2" xfId="25988"/>
    <cellStyle name="20% - Accent1 4 2 11 2 2 2 2 2" xfId="56186"/>
    <cellStyle name="20% - Accent1 4 2 11 2 2 2 3" xfId="39603"/>
    <cellStyle name="20% - Accent1 4 2 11 2 2 3" xfId="10340"/>
    <cellStyle name="20% - Accent1 4 2 11 2 2 3 2" xfId="46097"/>
    <cellStyle name="20% - Accent1 4 2 11 2 2 4" xfId="22141"/>
    <cellStyle name="20% - Accent1 4 2 11 2 2 4 2" xfId="56187"/>
    <cellStyle name="20% - Accent1 4 2 11 2 2 5" xfId="35756"/>
    <cellStyle name="20% - Accent1 4 2 11 2 3" xfId="14188"/>
    <cellStyle name="20% - Accent1 4 2 11 2 3 2" xfId="25989"/>
    <cellStyle name="20% - Accent1 4 2 11 2 3 2 2" xfId="46098"/>
    <cellStyle name="20% - Accent1 4 2 11 2 3 3" xfId="30103"/>
    <cellStyle name="20% - Accent1 4 2 11 2 3 3 2" xfId="46099"/>
    <cellStyle name="20% - Accent1 4 2 11 2 3 4" xfId="30104"/>
    <cellStyle name="20% - Accent1 4 2 11 2 3 4 2" xfId="56188"/>
    <cellStyle name="20% - Accent1 4 2 11 2 3 5" xfId="39604"/>
    <cellStyle name="20% - Accent1 4 2 11 2 4" xfId="14189"/>
    <cellStyle name="20% - Accent1 4 2 11 2 4 2" xfId="25990"/>
    <cellStyle name="20% - Accent1 4 2 11 2 4 2 2" xfId="56189"/>
    <cellStyle name="20% - Accent1 4 2 11 2 4 3" xfId="39605"/>
    <cellStyle name="20% - Accent1 4 2 11 2 5" xfId="6952"/>
    <cellStyle name="20% - Accent1 4 2 11 2 5 2" xfId="46100"/>
    <cellStyle name="20% - Accent1 4 2 11 2 6" xfId="18753"/>
    <cellStyle name="20% - Accent1 4 2 11 2 6 2" xfId="56190"/>
    <cellStyle name="20% - Accent1 4 2 11 2 7" xfId="32368"/>
    <cellStyle name="20% - Accent1 4 2 11 3" xfId="3046"/>
    <cellStyle name="20% - Accent1 4 2 11 3 2" xfId="14190"/>
    <cellStyle name="20% - Accent1 4 2 11 3 2 2" xfId="25991"/>
    <cellStyle name="20% - Accent1 4 2 11 3 2 2 2" xfId="56191"/>
    <cellStyle name="20% - Accent1 4 2 11 3 2 3" xfId="39606"/>
    <cellStyle name="20% - Accent1 4 2 11 3 3" xfId="8499"/>
    <cellStyle name="20% - Accent1 4 2 11 3 3 2" xfId="46101"/>
    <cellStyle name="20% - Accent1 4 2 11 3 4" xfId="20300"/>
    <cellStyle name="20% - Accent1 4 2 11 3 4 2" xfId="56192"/>
    <cellStyle name="20% - Accent1 4 2 11 3 5" xfId="33915"/>
    <cellStyle name="20% - Accent1 4 2 11 4" xfId="14191"/>
    <cellStyle name="20% - Accent1 4 2 11 4 2" xfId="25992"/>
    <cellStyle name="20% - Accent1 4 2 11 4 2 2" xfId="46102"/>
    <cellStyle name="20% - Accent1 4 2 11 4 3" xfId="30105"/>
    <cellStyle name="20% - Accent1 4 2 11 4 3 2" xfId="46103"/>
    <cellStyle name="20% - Accent1 4 2 11 4 4" xfId="30106"/>
    <cellStyle name="20% - Accent1 4 2 11 4 4 2" xfId="56193"/>
    <cellStyle name="20% - Accent1 4 2 11 4 5" xfId="39607"/>
    <cellStyle name="20% - Accent1 4 2 11 5" xfId="14192"/>
    <cellStyle name="20% - Accent1 4 2 11 5 2" xfId="25993"/>
    <cellStyle name="20% - Accent1 4 2 11 5 2 2" xfId="56194"/>
    <cellStyle name="20% - Accent1 4 2 11 5 3" xfId="39608"/>
    <cellStyle name="20% - Accent1 4 2 11 6" xfId="6272"/>
    <cellStyle name="20% - Accent1 4 2 11 6 2" xfId="46104"/>
    <cellStyle name="20% - Accent1 4 2 11 7" xfId="18073"/>
    <cellStyle name="20% - Accent1 4 2 11 7 2" xfId="56195"/>
    <cellStyle name="20% - Accent1 4 2 11 8" xfId="31688"/>
    <cellStyle name="20% - Accent1 4 2 12" xfId="1499"/>
    <cellStyle name="20% - Accent1 4 2 12 2" xfId="3751"/>
    <cellStyle name="20% - Accent1 4 2 12 2 2" xfId="14193"/>
    <cellStyle name="20% - Accent1 4 2 12 2 2 2" xfId="25994"/>
    <cellStyle name="20% - Accent1 4 2 12 2 2 2 2" xfId="56196"/>
    <cellStyle name="20% - Accent1 4 2 12 2 2 3" xfId="39609"/>
    <cellStyle name="20% - Accent1 4 2 12 2 3" xfId="9204"/>
    <cellStyle name="20% - Accent1 4 2 12 2 3 2" xfId="46105"/>
    <cellStyle name="20% - Accent1 4 2 12 2 4" xfId="21005"/>
    <cellStyle name="20% - Accent1 4 2 12 2 4 2" xfId="56197"/>
    <cellStyle name="20% - Accent1 4 2 12 2 5" xfId="34620"/>
    <cellStyle name="20% - Accent1 4 2 12 3" xfId="14194"/>
    <cellStyle name="20% - Accent1 4 2 12 3 2" xfId="25995"/>
    <cellStyle name="20% - Accent1 4 2 12 3 2 2" xfId="46106"/>
    <cellStyle name="20% - Accent1 4 2 12 3 3" xfId="30107"/>
    <cellStyle name="20% - Accent1 4 2 12 3 3 2" xfId="46107"/>
    <cellStyle name="20% - Accent1 4 2 12 3 4" xfId="30108"/>
    <cellStyle name="20% - Accent1 4 2 12 3 4 2" xfId="56198"/>
    <cellStyle name="20% - Accent1 4 2 12 3 5" xfId="39610"/>
    <cellStyle name="20% - Accent1 4 2 12 4" xfId="14195"/>
    <cellStyle name="20% - Accent1 4 2 12 4 2" xfId="25996"/>
    <cellStyle name="20% - Accent1 4 2 12 4 2 2" xfId="56199"/>
    <cellStyle name="20% - Accent1 4 2 12 4 3" xfId="39611"/>
    <cellStyle name="20% - Accent1 4 2 12 5" xfId="6953"/>
    <cellStyle name="20% - Accent1 4 2 12 5 2" xfId="46108"/>
    <cellStyle name="20% - Accent1 4 2 12 6" xfId="18754"/>
    <cellStyle name="20% - Accent1 4 2 12 6 2" xfId="56200"/>
    <cellStyle name="20% - Accent1 4 2 12 7" xfId="32369"/>
    <cellStyle name="20% - Accent1 4 2 13" xfId="3614"/>
    <cellStyle name="20% - Accent1 4 2 13 2" xfId="14196"/>
    <cellStyle name="20% - Accent1 4 2 13 2 2" xfId="25997"/>
    <cellStyle name="20% - Accent1 4 2 13 2 2 2" xfId="56201"/>
    <cellStyle name="20% - Accent1 4 2 13 2 3" xfId="39612"/>
    <cellStyle name="20% - Accent1 4 2 13 3" xfId="9067"/>
    <cellStyle name="20% - Accent1 4 2 13 3 2" xfId="46109"/>
    <cellStyle name="20% - Accent1 4 2 13 4" xfId="20868"/>
    <cellStyle name="20% - Accent1 4 2 13 4 2" xfId="56202"/>
    <cellStyle name="20% - Accent1 4 2 13 5" xfId="34483"/>
    <cellStyle name="20% - Accent1 4 2 14" xfId="1910"/>
    <cellStyle name="20% - Accent1 4 2 14 2" xfId="14197"/>
    <cellStyle name="20% - Accent1 4 2 14 2 2" xfId="25998"/>
    <cellStyle name="20% - Accent1 4 2 14 2 2 2" xfId="56203"/>
    <cellStyle name="20% - Accent1 4 2 14 2 3" xfId="39613"/>
    <cellStyle name="20% - Accent1 4 2 14 3" xfId="7363"/>
    <cellStyle name="20% - Accent1 4 2 14 3 2" xfId="46110"/>
    <cellStyle name="20% - Accent1 4 2 14 4" xfId="19164"/>
    <cellStyle name="20% - Accent1 4 2 14 4 2" xfId="56204"/>
    <cellStyle name="20% - Accent1 4 2 14 5" xfId="32779"/>
    <cellStyle name="20% - Accent1 4 2 15" xfId="14198"/>
    <cellStyle name="20% - Accent1 4 2 15 2" xfId="25999"/>
    <cellStyle name="20% - Accent1 4 2 15 2 2" xfId="56205"/>
    <cellStyle name="20% - Accent1 4 2 15 3" xfId="39614"/>
    <cellStyle name="20% - Accent1 4 2 16" xfId="5463"/>
    <cellStyle name="20% - Accent1 4 2 16 2" xfId="46111"/>
    <cellStyle name="20% - Accent1 4 2 17" xfId="17264"/>
    <cellStyle name="20% - Accent1 4 2 17 2" xfId="56206"/>
    <cellStyle name="20% - Accent1 4 2 18" xfId="30879"/>
    <cellStyle name="20% - Accent1 4 2 2" xfId="13"/>
    <cellStyle name="20% - Accent1 4 2 2 10" xfId="1500"/>
    <cellStyle name="20% - Accent1 4 2 2 10 2" xfId="3755"/>
    <cellStyle name="20% - Accent1 4 2 2 10 2 2" xfId="14199"/>
    <cellStyle name="20% - Accent1 4 2 2 10 2 2 2" xfId="26000"/>
    <cellStyle name="20% - Accent1 4 2 2 10 2 2 2 2" xfId="56207"/>
    <cellStyle name="20% - Accent1 4 2 2 10 2 2 3" xfId="39615"/>
    <cellStyle name="20% - Accent1 4 2 2 10 2 3" xfId="9208"/>
    <cellStyle name="20% - Accent1 4 2 2 10 2 3 2" xfId="46112"/>
    <cellStyle name="20% - Accent1 4 2 2 10 2 4" xfId="21009"/>
    <cellStyle name="20% - Accent1 4 2 2 10 2 4 2" xfId="56208"/>
    <cellStyle name="20% - Accent1 4 2 2 10 2 5" xfId="34624"/>
    <cellStyle name="20% - Accent1 4 2 2 10 3" xfId="14200"/>
    <cellStyle name="20% - Accent1 4 2 2 10 3 2" xfId="26001"/>
    <cellStyle name="20% - Accent1 4 2 2 10 3 2 2" xfId="46113"/>
    <cellStyle name="20% - Accent1 4 2 2 10 3 3" xfId="30109"/>
    <cellStyle name="20% - Accent1 4 2 2 10 3 3 2" xfId="46114"/>
    <cellStyle name="20% - Accent1 4 2 2 10 3 4" xfId="30110"/>
    <cellStyle name="20% - Accent1 4 2 2 10 3 4 2" xfId="56209"/>
    <cellStyle name="20% - Accent1 4 2 2 10 3 5" xfId="39616"/>
    <cellStyle name="20% - Accent1 4 2 2 10 4" xfId="14201"/>
    <cellStyle name="20% - Accent1 4 2 2 10 4 2" xfId="26002"/>
    <cellStyle name="20% - Accent1 4 2 2 10 4 2 2" xfId="56210"/>
    <cellStyle name="20% - Accent1 4 2 2 10 4 3" xfId="39617"/>
    <cellStyle name="20% - Accent1 4 2 2 10 5" xfId="6954"/>
    <cellStyle name="20% - Accent1 4 2 2 10 5 2" xfId="46115"/>
    <cellStyle name="20% - Accent1 4 2 2 10 6" xfId="18755"/>
    <cellStyle name="20% - Accent1 4 2 2 10 6 2" xfId="56211"/>
    <cellStyle name="20% - Accent1 4 2 2 10 7" xfId="32370"/>
    <cellStyle name="20% - Accent1 4 2 2 11" xfId="950"/>
    <cellStyle name="20% - Accent1 4 2 2 11 2" xfId="1897"/>
    <cellStyle name="20% - Accent1 4 2 2 11 2 2" xfId="14202"/>
    <cellStyle name="20% - Accent1 4 2 2 11 2 2 2" xfId="26003"/>
    <cellStyle name="20% - Accent1 4 2 2 11 2 2 2 2" xfId="56212"/>
    <cellStyle name="20% - Accent1 4 2 2 11 2 2 3" xfId="39618"/>
    <cellStyle name="20% - Accent1 4 2 2 11 2 3" xfId="7350"/>
    <cellStyle name="20% - Accent1 4 2 2 11 2 3 2" xfId="46116"/>
    <cellStyle name="20% - Accent1 4 2 2 11 2 4" xfId="19151"/>
    <cellStyle name="20% - Accent1 4 2 2 11 2 4 2" xfId="56213"/>
    <cellStyle name="20% - Accent1 4 2 2 11 2 5" xfId="32766"/>
    <cellStyle name="20% - Accent1 4 2 2 11 3" xfId="1900"/>
    <cellStyle name="20% - Accent1 4 2 2 11 3 2" xfId="5451"/>
    <cellStyle name="20% - Accent1 4 2 2 11 3 2 2" xfId="17254"/>
    <cellStyle name="20% - Accent1 4 2 2 11 3 2 2 2" xfId="29055"/>
    <cellStyle name="20% - Accent1 4 2 2 11 3 2 2 2 2" xfId="56214"/>
    <cellStyle name="20% - Accent1 4 2 2 11 3 2 2 3" xfId="42670"/>
    <cellStyle name="20% - Accent1 4 2 2 11 3 2 3" xfId="10904"/>
    <cellStyle name="20% - Accent1 4 2 2 11 3 2 3 2" xfId="56215"/>
    <cellStyle name="20% - Accent1 4 2 2 11 3 2 4" xfId="22705"/>
    <cellStyle name="20% - Accent1 4 2 2 11 3 2 4 2" xfId="56216"/>
    <cellStyle name="20% - Accent1 4 2 2 11 3 2 5" xfId="36320"/>
    <cellStyle name="20% - Accent1 4 2 2 11 3 2 6" xfId="61743"/>
    <cellStyle name="20% - Accent1 4 2 2 11 3 2 6 2" xfId="61760"/>
    <cellStyle name="20% - Accent1 4 2 2 11 3 3" xfId="16918"/>
    <cellStyle name="20% - Accent1 4 2 2 11 3 3 2" xfId="28719"/>
    <cellStyle name="20% - Accent1 4 2 2 11 3 3 2 2" xfId="56217"/>
    <cellStyle name="20% - Accent1 4 2 2 11 3 3 3" xfId="42334"/>
    <cellStyle name="20% - Accent1 4 2 2 11 3 4" xfId="7353"/>
    <cellStyle name="20% - Accent1 4 2 2 11 3 4 2" xfId="56218"/>
    <cellStyle name="20% - Accent1 4 2 2 11 3 5" xfId="19154"/>
    <cellStyle name="20% - Accent1 4 2 2 11 3 5 2" xfId="56219"/>
    <cellStyle name="20% - Accent1 4 2 2 11 3 6" xfId="32769"/>
    <cellStyle name="20% - Accent1 4 2 2 11 4" xfId="3618"/>
    <cellStyle name="20% - Accent1 4 2 2 11 4 2" xfId="17114"/>
    <cellStyle name="20% - Accent1 4 2 2 11 4 2 2" xfId="28915"/>
    <cellStyle name="20% - Accent1 4 2 2 11 4 2 2 2" xfId="56220"/>
    <cellStyle name="20% - Accent1 4 2 2 11 4 2 3" xfId="42530"/>
    <cellStyle name="20% - Accent1 4 2 2 11 4 3" xfId="9071"/>
    <cellStyle name="20% - Accent1 4 2 2 11 4 3 2" xfId="56221"/>
    <cellStyle name="20% - Accent1 4 2 2 11 4 4" xfId="20872"/>
    <cellStyle name="20% - Accent1 4 2 2 11 4 4 2" xfId="56222"/>
    <cellStyle name="20% - Accent1 4 2 2 11 4 5" xfId="34487"/>
    <cellStyle name="20% - Accent1 4 2 2 11 5" xfId="14203"/>
    <cellStyle name="20% - Accent1 4 2 2 11 5 2" xfId="26004"/>
    <cellStyle name="20% - Accent1 4 2 2 11 5 2 2" xfId="56223"/>
    <cellStyle name="20% - Accent1 4 2 2 11 5 3" xfId="39619"/>
    <cellStyle name="20% - Accent1 4 2 2 11 6" xfId="6404"/>
    <cellStyle name="20% - Accent1 4 2 2 11 6 2" xfId="56224"/>
    <cellStyle name="20% - Accent1 4 2 2 11 7" xfId="18205"/>
    <cellStyle name="20% - Accent1 4 2 2 11 7 2" xfId="56225"/>
    <cellStyle name="20% - Accent1 4 2 2 11 8" xfId="31820"/>
    <cellStyle name="20% - Accent1 4 2 2 12" xfId="1914"/>
    <cellStyle name="20% - Accent1 4 2 2 12 2" xfId="14204"/>
    <cellStyle name="20% - Accent1 4 2 2 12 2 2" xfId="26005"/>
    <cellStyle name="20% - Accent1 4 2 2 12 2 2 2" xfId="56226"/>
    <cellStyle name="20% - Accent1 4 2 2 12 2 3" xfId="39620"/>
    <cellStyle name="20% - Accent1 4 2 2 12 3" xfId="7367"/>
    <cellStyle name="20% - Accent1 4 2 2 12 3 2" xfId="46117"/>
    <cellStyle name="20% - Accent1 4 2 2 12 4" xfId="19168"/>
    <cellStyle name="20% - Accent1 4 2 2 12 4 2" xfId="56227"/>
    <cellStyle name="20% - Accent1 4 2 2 12 5" xfId="32783"/>
    <cellStyle name="20% - Accent1 4 2 2 13" xfId="14205"/>
    <cellStyle name="20% - Accent1 4 2 2 13 2" xfId="26006"/>
    <cellStyle name="20% - Accent1 4 2 2 13 2 2" xfId="46118"/>
    <cellStyle name="20% - Accent1 4 2 2 13 3" xfId="30111"/>
    <cellStyle name="20% - Accent1 4 2 2 13 3 2" xfId="46119"/>
    <cellStyle name="20% - Accent1 4 2 2 13 4" xfId="30112"/>
    <cellStyle name="20% - Accent1 4 2 2 13 4 2" xfId="56228"/>
    <cellStyle name="20% - Accent1 4 2 2 13 5" xfId="39621"/>
    <cellStyle name="20% - Accent1 4 2 2 14" xfId="14206"/>
    <cellStyle name="20% - Accent1 4 2 2 14 2" xfId="26007"/>
    <cellStyle name="20% - Accent1 4 2 2 14 2 2" xfId="56229"/>
    <cellStyle name="20% - Accent1 4 2 2 14 3" xfId="39622"/>
    <cellStyle name="20% - Accent1 4 2 2 15" xfId="5467"/>
    <cellStyle name="20% - Accent1 4 2 2 15 2" xfId="46120"/>
    <cellStyle name="20% - Accent1 4 2 2 16" xfId="17268"/>
    <cellStyle name="20% - Accent1 4 2 2 16 2" xfId="56230"/>
    <cellStyle name="20% - Accent1 4 2 2 17" xfId="30883"/>
    <cellStyle name="20% - Accent1 4 2 2 2" xfId="28"/>
    <cellStyle name="20% - Accent1 4 2 2 2 10" xfId="1929"/>
    <cellStyle name="20% - Accent1 4 2 2 2 10 2" xfId="14207"/>
    <cellStyle name="20% - Accent1 4 2 2 2 10 2 2" xfId="26008"/>
    <cellStyle name="20% - Accent1 4 2 2 2 10 2 2 2" xfId="56231"/>
    <cellStyle name="20% - Accent1 4 2 2 2 10 2 3" xfId="39623"/>
    <cellStyle name="20% - Accent1 4 2 2 2 10 3" xfId="7382"/>
    <cellStyle name="20% - Accent1 4 2 2 2 10 3 2" xfId="46121"/>
    <cellStyle name="20% - Accent1 4 2 2 2 10 4" xfId="19183"/>
    <cellStyle name="20% - Accent1 4 2 2 2 10 4 2" xfId="56232"/>
    <cellStyle name="20% - Accent1 4 2 2 2 10 5" xfId="32798"/>
    <cellStyle name="20% - Accent1 4 2 2 2 11" xfId="14208"/>
    <cellStyle name="20% - Accent1 4 2 2 2 11 2" xfId="26009"/>
    <cellStyle name="20% - Accent1 4 2 2 2 11 2 2" xfId="56233"/>
    <cellStyle name="20% - Accent1 4 2 2 2 11 3" xfId="39624"/>
    <cellStyle name="20% - Accent1 4 2 2 2 12" xfId="5482"/>
    <cellStyle name="20% - Accent1 4 2 2 2 12 2" xfId="46122"/>
    <cellStyle name="20% - Accent1 4 2 2 2 13" xfId="17283"/>
    <cellStyle name="20% - Accent1 4 2 2 2 13 2" xfId="56234"/>
    <cellStyle name="20% - Accent1 4 2 2 2 14" xfId="30898"/>
    <cellStyle name="20% - Accent1 4 2 2 2 2" xfId="95"/>
    <cellStyle name="20% - Accent1 4 2 2 2 2 10" xfId="5549"/>
    <cellStyle name="20% - Accent1 4 2 2 2 2 10 2" xfId="46123"/>
    <cellStyle name="20% - Accent1 4 2 2 2 2 11" xfId="17350"/>
    <cellStyle name="20% - Accent1 4 2 2 2 2 11 2" xfId="56235"/>
    <cellStyle name="20% - Accent1 4 2 2 2 2 12" xfId="30965"/>
    <cellStyle name="20% - Accent1 4 2 2 2 2 2" xfId="219"/>
    <cellStyle name="20% - Accent1 4 2 2 2 2 2 10" xfId="31089"/>
    <cellStyle name="20% - Accent1 4 2 2 2 2 2 2" xfId="522"/>
    <cellStyle name="20% - Accent1 4 2 2 2 2 2 2 2" xfId="1501"/>
    <cellStyle name="20% - Accent1 4 2 2 2 2 2 2 2 2" xfId="4832"/>
    <cellStyle name="20% - Accent1 4 2 2 2 2 2 2 2 2 2" xfId="14209"/>
    <cellStyle name="20% - Accent1 4 2 2 2 2 2 2 2 2 2 2" xfId="26010"/>
    <cellStyle name="20% - Accent1 4 2 2 2 2 2 2 2 2 2 2 2" xfId="56236"/>
    <cellStyle name="20% - Accent1 4 2 2 2 2 2 2 2 2 2 3" xfId="39625"/>
    <cellStyle name="20% - Accent1 4 2 2 2 2 2 2 2 2 3" xfId="10285"/>
    <cellStyle name="20% - Accent1 4 2 2 2 2 2 2 2 2 3 2" xfId="46124"/>
    <cellStyle name="20% - Accent1 4 2 2 2 2 2 2 2 2 4" xfId="22086"/>
    <cellStyle name="20% - Accent1 4 2 2 2 2 2 2 2 2 4 2" xfId="56237"/>
    <cellStyle name="20% - Accent1 4 2 2 2 2 2 2 2 2 5" xfId="35701"/>
    <cellStyle name="20% - Accent1 4 2 2 2 2 2 2 2 3" xfId="2991"/>
    <cellStyle name="20% - Accent1 4 2 2 2 2 2 2 2 3 2" xfId="14210"/>
    <cellStyle name="20% - Accent1 4 2 2 2 2 2 2 2 3 2 2" xfId="26011"/>
    <cellStyle name="20% - Accent1 4 2 2 2 2 2 2 2 3 2 2 2" xfId="56238"/>
    <cellStyle name="20% - Accent1 4 2 2 2 2 2 2 2 3 2 3" xfId="39626"/>
    <cellStyle name="20% - Accent1 4 2 2 2 2 2 2 2 3 3" xfId="8444"/>
    <cellStyle name="20% - Accent1 4 2 2 2 2 2 2 2 3 3 2" xfId="46125"/>
    <cellStyle name="20% - Accent1 4 2 2 2 2 2 2 2 3 4" xfId="20245"/>
    <cellStyle name="20% - Accent1 4 2 2 2 2 2 2 2 3 4 2" xfId="56239"/>
    <cellStyle name="20% - Accent1 4 2 2 2 2 2 2 2 3 5" xfId="33860"/>
    <cellStyle name="20% - Accent1 4 2 2 2 2 2 2 2 4" xfId="14211"/>
    <cellStyle name="20% - Accent1 4 2 2 2 2 2 2 2 4 2" xfId="26012"/>
    <cellStyle name="20% - Accent1 4 2 2 2 2 2 2 2 4 2 2" xfId="56240"/>
    <cellStyle name="20% - Accent1 4 2 2 2 2 2 2 2 4 3" xfId="39627"/>
    <cellStyle name="20% - Accent1 4 2 2 2 2 2 2 2 5" xfId="6955"/>
    <cellStyle name="20% - Accent1 4 2 2 2 2 2 2 2 5 2" xfId="46126"/>
    <cellStyle name="20% - Accent1 4 2 2 2 2 2 2 2 6" xfId="18756"/>
    <cellStyle name="20% - Accent1 4 2 2 2 2 2 2 2 6 2" xfId="56241"/>
    <cellStyle name="20% - Accent1 4 2 2 2 2 2 2 2 7" xfId="32371"/>
    <cellStyle name="20% - Accent1 4 2 2 2 2 2 2 3" xfId="3559"/>
    <cellStyle name="20% - Accent1 4 2 2 2 2 2 2 3 2" xfId="5400"/>
    <cellStyle name="20% - Accent1 4 2 2 2 2 2 2 3 2 2" xfId="16870"/>
    <cellStyle name="20% - Accent1 4 2 2 2 2 2 2 3 2 2 2" xfId="28671"/>
    <cellStyle name="20% - Accent1 4 2 2 2 2 2 2 3 2 2 2 2" xfId="56242"/>
    <cellStyle name="20% - Accent1 4 2 2 2 2 2 2 3 2 2 3" xfId="42286"/>
    <cellStyle name="20% - Accent1 4 2 2 2 2 2 2 3 2 3" xfId="10853"/>
    <cellStyle name="20% - Accent1 4 2 2 2 2 2 2 3 2 3 2" xfId="56243"/>
    <cellStyle name="20% - Accent1 4 2 2 2 2 2 2 3 2 4" xfId="22654"/>
    <cellStyle name="20% - Accent1 4 2 2 2 2 2 2 3 2 4 2" xfId="56244"/>
    <cellStyle name="20% - Accent1 4 2 2 2 2 2 2 3 2 5" xfId="36269"/>
    <cellStyle name="20% - Accent1 4 2 2 2 2 2 2 3 3" xfId="14212"/>
    <cellStyle name="20% - Accent1 4 2 2 2 2 2 2 3 3 2" xfId="26013"/>
    <cellStyle name="20% - Accent1 4 2 2 2 2 2 2 3 3 2 2" xfId="56245"/>
    <cellStyle name="20% - Accent1 4 2 2 2 2 2 2 3 3 3" xfId="39628"/>
    <cellStyle name="20% - Accent1 4 2 2 2 2 2 2 3 4" xfId="9012"/>
    <cellStyle name="20% - Accent1 4 2 2 2 2 2 2 3 4 2" xfId="56246"/>
    <cellStyle name="20% - Accent1 4 2 2 2 2 2 2 3 5" xfId="20813"/>
    <cellStyle name="20% - Accent1 4 2 2 2 2 2 2 3 5 2" xfId="56247"/>
    <cellStyle name="20% - Accent1 4 2 2 2 2 2 2 3 6" xfId="34428"/>
    <cellStyle name="20% - Accent1 4 2 2 2 2 2 2 4" xfId="4264"/>
    <cellStyle name="20% - Accent1 4 2 2 2 2 2 2 4 2" xfId="14213"/>
    <cellStyle name="20% - Accent1 4 2 2 2 2 2 2 4 2 2" xfId="26014"/>
    <cellStyle name="20% - Accent1 4 2 2 2 2 2 2 4 2 2 2" xfId="56248"/>
    <cellStyle name="20% - Accent1 4 2 2 2 2 2 2 4 2 3" xfId="39629"/>
    <cellStyle name="20% - Accent1 4 2 2 2 2 2 2 4 3" xfId="9717"/>
    <cellStyle name="20% - Accent1 4 2 2 2 2 2 2 4 3 2" xfId="46127"/>
    <cellStyle name="20% - Accent1 4 2 2 2 2 2 2 4 4" xfId="21518"/>
    <cellStyle name="20% - Accent1 4 2 2 2 2 2 2 4 4 2" xfId="56249"/>
    <cellStyle name="20% - Accent1 4 2 2 2 2 2 2 4 5" xfId="35133"/>
    <cellStyle name="20% - Accent1 4 2 2 2 2 2 2 5" xfId="2423"/>
    <cellStyle name="20% - Accent1 4 2 2 2 2 2 2 5 2" xfId="17115"/>
    <cellStyle name="20% - Accent1 4 2 2 2 2 2 2 5 2 2" xfId="28916"/>
    <cellStyle name="20% - Accent1 4 2 2 2 2 2 2 5 2 2 2" xfId="56250"/>
    <cellStyle name="20% - Accent1 4 2 2 2 2 2 2 5 2 3" xfId="42531"/>
    <cellStyle name="20% - Accent1 4 2 2 2 2 2 2 5 3" xfId="7876"/>
    <cellStyle name="20% - Accent1 4 2 2 2 2 2 2 5 3 2" xfId="56251"/>
    <cellStyle name="20% - Accent1 4 2 2 2 2 2 2 5 4" xfId="19677"/>
    <cellStyle name="20% - Accent1 4 2 2 2 2 2 2 5 4 2" xfId="56252"/>
    <cellStyle name="20% - Accent1 4 2 2 2 2 2 2 5 5" xfId="33292"/>
    <cellStyle name="20% - Accent1 4 2 2 2 2 2 2 6" xfId="14214"/>
    <cellStyle name="20% - Accent1 4 2 2 2 2 2 2 6 2" xfId="26015"/>
    <cellStyle name="20% - Accent1 4 2 2 2 2 2 2 6 2 2" xfId="56253"/>
    <cellStyle name="20% - Accent1 4 2 2 2 2 2 2 6 3" xfId="39630"/>
    <cellStyle name="20% - Accent1 4 2 2 2 2 2 2 7" xfId="5976"/>
    <cellStyle name="20% - Accent1 4 2 2 2 2 2 2 7 2" xfId="56254"/>
    <cellStyle name="20% - Accent1 4 2 2 2 2 2 2 8" xfId="17777"/>
    <cellStyle name="20% - Accent1 4 2 2 2 2 2 2 8 2" xfId="56255"/>
    <cellStyle name="20% - Accent1 4 2 2 2 2 2 2 9" xfId="31392"/>
    <cellStyle name="20% - Accent1 4 2 2 2 2 2 3" xfId="787"/>
    <cellStyle name="20% - Accent1 4 2 2 2 2 2 3 2" xfId="1502"/>
    <cellStyle name="20% - Accent1 4 2 2 2 2 2 3 2 2" xfId="4529"/>
    <cellStyle name="20% - Accent1 4 2 2 2 2 2 3 2 2 2" xfId="14215"/>
    <cellStyle name="20% - Accent1 4 2 2 2 2 2 3 2 2 2 2" xfId="26016"/>
    <cellStyle name="20% - Accent1 4 2 2 2 2 2 3 2 2 2 2 2" xfId="56256"/>
    <cellStyle name="20% - Accent1 4 2 2 2 2 2 3 2 2 2 3" xfId="39631"/>
    <cellStyle name="20% - Accent1 4 2 2 2 2 2 3 2 2 3" xfId="9982"/>
    <cellStyle name="20% - Accent1 4 2 2 2 2 2 3 2 2 3 2" xfId="46128"/>
    <cellStyle name="20% - Accent1 4 2 2 2 2 2 3 2 2 4" xfId="21783"/>
    <cellStyle name="20% - Accent1 4 2 2 2 2 2 3 2 2 4 2" xfId="56257"/>
    <cellStyle name="20% - Accent1 4 2 2 2 2 2 3 2 2 5" xfId="35398"/>
    <cellStyle name="20% - Accent1 4 2 2 2 2 2 3 2 3" xfId="14216"/>
    <cellStyle name="20% - Accent1 4 2 2 2 2 2 3 2 3 2" xfId="26017"/>
    <cellStyle name="20% - Accent1 4 2 2 2 2 2 3 2 3 2 2" xfId="46129"/>
    <cellStyle name="20% - Accent1 4 2 2 2 2 2 3 2 3 3" xfId="30113"/>
    <cellStyle name="20% - Accent1 4 2 2 2 2 2 3 2 3 3 2" xfId="46130"/>
    <cellStyle name="20% - Accent1 4 2 2 2 2 2 3 2 3 4" xfId="30114"/>
    <cellStyle name="20% - Accent1 4 2 2 2 2 2 3 2 3 4 2" xfId="56258"/>
    <cellStyle name="20% - Accent1 4 2 2 2 2 2 3 2 3 5" xfId="39632"/>
    <cellStyle name="20% - Accent1 4 2 2 2 2 2 3 2 4" xfId="14217"/>
    <cellStyle name="20% - Accent1 4 2 2 2 2 2 3 2 4 2" xfId="26018"/>
    <cellStyle name="20% - Accent1 4 2 2 2 2 2 3 2 4 2 2" xfId="56259"/>
    <cellStyle name="20% - Accent1 4 2 2 2 2 2 3 2 4 3" xfId="39633"/>
    <cellStyle name="20% - Accent1 4 2 2 2 2 2 3 2 5" xfId="6956"/>
    <cellStyle name="20% - Accent1 4 2 2 2 2 2 3 2 5 2" xfId="46131"/>
    <cellStyle name="20% - Accent1 4 2 2 2 2 2 3 2 6" xfId="18757"/>
    <cellStyle name="20% - Accent1 4 2 2 2 2 2 3 2 6 2" xfId="56260"/>
    <cellStyle name="20% - Accent1 4 2 2 2 2 2 3 2 7" xfId="32372"/>
    <cellStyle name="20% - Accent1 4 2 2 2 2 2 3 3" xfId="2688"/>
    <cellStyle name="20% - Accent1 4 2 2 2 2 2 3 3 2" xfId="14218"/>
    <cellStyle name="20% - Accent1 4 2 2 2 2 2 3 3 2 2" xfId="26019"/>
    <cellStyle name="20% - Accent1 4 2 2 2 2 2 3 3 2 2 2" xfId="56261"/>
    <cellStyle name="20% - Accent1 4 2 2 2 2 2 3 3 2 3" xfId="39634"/>
    <cellStyle name="20% - Accent1 4 2 2 2 2 2 3 3 3" xfId="8141"/>
    <cellStyle name="20% - Accent1 4 2 2 2 2 2 3 3 3 2" xfId="46132"/>
    <cellStyle name="20% - Accent1 4 2 2 2 2 2 3 3 4" xfId="19942"/>
    <cellStyle name="20% - Accent1 4 2 2 2 2 2 3 3 4 2" xfId="56262"/>
    <cellStyle name="20% - Accent1 4 2 2 2 2 2 3 3 5" xfId="33557"/>
    <cellStyle name="20% - Accent1 4 2 2 2 2 2 3 4" xfId="14219"/>
    <cellStyle name="20% - Accent1 4 2 2 2 2 2 3 4 2" xfId="26020"/>
    <cellStyle name="20% - Accent1 4 2 2 2 2 2 3 4 2 2" xfId="46133"/>
    <cellStyle name="20% - Accent1 4 2 2 2 2 2 3 4 3" xfId="30115"/>
    <cellStyle name="20% - Accent1 4 2 2 2 2 2 3 4 3 2" xfId="46134"/>
    <cellStyle name="20% - Accent1 4 2 2 2 2 2 3 4 4" xfId="30116"/>
    <cellStyle name="20% - Accent1 4 2 2 2 2 2 3 4 4 2" xfId="56263"/>
    <cellStyle name="20% - Accent1 4 2 2 2 2 2 3 4 5" xfId="39635"/>
    <cellStyle name="20% - Accent1 4 2 2 2 2 2 3 5" xfId="14220"/>
    <cellStyle name="20% - Accent1 4 2 2 2 2 2 3 5 2" xfId="26021"/>
    <cellStyle name="20% - Accent1 4 2 2 2 2 2 3 5 2 2" xfId="56264"/>
    <cellStyle name="20% - Accent1 4 2 2 2 2 2 3 5 3" xfId="39636"/>
    <cellStyle name="20% - Accent1 4 2 2 2 2 2 3 6" xfId="6241"/>
    <cellStyle name="20% - Accent1 4 2 2 2 2 2 3 6 2" xfId="46135"/>
    <cellStyle name="20% - Accent1 4 2 2 2 2 2 3 7" xfId="18042"/>
    <cellStyle name="20% - Accent1 4 2 2 2 2 2 3 7 2" xfId="56265"/>
    <cellStyle name="20% - Accent1 4 2 2 2 2 2 3 8" xfId="31657"/>
    <cellStyle name="20% - Accent1 4 2 2 2 2 2 4" xfId="1503"/>
    <cellStyle name="20% - Accent1 4 2 2 2 2 2 4 2" xfId="5097"/>
    <cellStyle name="20% - Accent1 4 2 2 2 2 2 4 2 2" xfId="14221"/>
    <cellStyle name="20% - Accent1 4 2 2 2 2 2 4 2 2 2" xfId="26022"/>
    <cellStyle name="20% - Accent1 4 2 2 2 2 2 4 2 2 2 2" xfId="56266"/>
    <cellStyle name="20% - Accent1 4 2 2 2 2 2 4 2 2 3" xfId="39637"/>
    <cellStyle name="20% - Accent1 4 2 2 2 2 2 4 2 3" xfId="10550"/>
    <cellStyle name="20% - Accent1 4 2 2 2 2 2 4 2 3 2" xfId="46136"/>
    <cellStyle name="20% - Accent1 4 2 2 2 2 2 4 2 4" xfId="22351"/>
    <cellStyle name="20% - Accent1 4 2 2 2 2 2 4 2 4 2" xfId="56267"/>
    <cellStyle name="20% - Accent1 4 2 2 2 2 2 4 2 5" xfId="35966"/>
    <cellStyle name="20% - Accent1 4 2 2 2 2 2 4 3" xfId="3256"/>
    <cellStyle name="20% - Accent1 4 2 2 2 2 2 4 3 2" xfId="14222"/>
    <cellStyle name="20% - Accent1 4 2 2 2 2 2 4 3 2 2" xfId="26023"/>
    <cellStyle name="20% - Accent1 4 2 2 2 2 2 4 3 2 2 2" xfId="56268"/>
    <cellStyle name="20% - Accent1 4 2 2 2 2 2 4 3 2 3" xfId="39638"/>
    <cellStyle name="20% - Accent1 4 2 2 2 2 2 4 3 3" xfId="8709"/>
    <cellStyle name="20% - Accent1 4 2 2 2 2 2 4 3 3 2" xfId="46137"/>
    <cellStyle name="20% - Accent1 4 2 2 2 2 2 4 3 4" xfId="20510"/>
    <cellStyle name="20% - Accent1 4 2 2 2 2 2 4 3 4 2" xfId="56269"/>
    <cellStyle name="20% - Accent1 4 2 2 2 2 2 4 3 5" xfId="34125"/>
    <cellStyle name="20% - Accent1 4 2 2 2 2 2 4 4" xfId="14223"/>
    <cellStyle name="20% - Accent1 4 2 2 2 2 2 4 4 2" xfId="26024"/>
    <cellStyle name="20% - Accent1 4 2 2 2 2 2 4 4 2 2" xfId="56270"/>
    <cellStyle name="20% - Accent1 4 2 2 2 2 2 4 4 3" xfId="39639"/>
    <cellStyle name="20% - Accent1 4 2 2 2 2 2 4 5" xfId="6957"/>
    <cellStyle name="20% - Accent1 4 2 2 2 2 2 4 5 2" xfId="46138"/>
    <cellStyle name="20% - Accent1 4 2 2 2 2 2 4 6" xfId="18758"/>
    <cellStyle name="20% - Accent1 4 2 2 2 2 2 4 6 2" xfId="56271"/>
    <cellStyle name="20% - Accent1 4 2 2 2 2 2 4 7" xfId="32373"/>
    <cellStyle name="20% - Accent1 4 2 2 2 2 2 5" xfId="3961"/>
    <cellStyle name="20% - Accent1 4 2 2 2 2 2 5 2" xfId="14224"/>
    <cellStyle name="20% - Accent1 4 2 2 2 2 2 5 2 2" xfId="26025"/>
    <cellStyle name="20% - Accent1 4 2 2 2 2 2 5 2 2 2" xfId="56272"/>
    <cellStyle name="20% - Accent1 4 2 2 2 2 2 5 2 3" xfId="39640"/>
    <cellStyle name="20% - Accent1 4 2 2 2 2 2 5 3" xfId="9414"/>
    <cellStyle name="20% - Accent1 4 2 2 2 2 2 5 3 2" xfId="46139"/>
    <cellStyle name="20% - Accent1 4 2 2 2 2 2 5 4" xfId="21215"/>
    <cellStyle name="20% - Accent1 4 2 2 2 2 2 5 4 2" xfId="56273"/>
    <cellStyle name="20% - Accent1 4 2 2 2 2 2 5 5" xfId="34830"/>
    <cellStyle name="20% - Accent1 4 2 2 2 2 2 6" xfId="2120"/>
    <cellStyle name="20% - Accent1 4 2 2 2 2 2 6 2" xfId="14225"/>
    <cellStyle name="20% - Accent1 4 2 2 2 2 2 6 2 2" xfId="26026"/>
    <cellStyle name="20% - Accent1 4 2 2 2 2 2 6 2 2 2" xfId="56274"/>
    <cellStyle name="20% - Accent1 4 2 2 2 2 2 6 2 3" xfId="39641"/>
    <cellStyle name="20% - Accent1 4 2 2 2 2 2 6 3" xfId="7573"/>
    <cellStyle name="20% - Accent1 4 2 2 2 2 2 6 3 2" xfId="46140"/>
    <cellStyle name="20% - Accent1 4 2 2 2 2 2 6 4" xfId="19374"/>
    <cellStyle name="20% - Accent1 4 2 2 2 2 2 6 4 2" xfId="56275"/>
    <cellStyle name="20% - Accent1 4 2 2 2 2 2 6 5" xfId="32989"/>
    <cellStyle name="20% - Accent1 4 2 2 2 2 2 7" xfId="14226"/>
    <cellStyle name="20% - Accent1 4 2 2 2 2 2 7 2" xfId="26027"/>
    <cellStyle name="20% - Accent1 4 2 2 2 2 2 7 2 2" xfId="56276"/>
    <cellStyle name="20% - Accent1 4 2 2 2 2 2 7 3" xfId="39642"/>
    <cellStyle name="20% - Accent1 4 2 2 2 2 2 8" xfId="5673"/>
    <cellStyle name="20% - Accent1 4 2 2 2 2 2 8 2" xfId="46141"/>
    <cellStyle name="20% - Accent1 4 2 2 2 2 2 9" xfId="17474"/>
    <cellStyle name="20% - Accent1 4 2 2 2 2 2 9 2" xfId="56277"/>
    <cellStyle name="20% - Accent1 4 2 2 2 2 3" xfId="385"/>
    <cellStyle name="20% - Accent1 4 2 2 2 2 3 2" xfId="1504"/>
    <cellStyle name="20% - Accent1 4 2 2 2 2 3 2 2" xfId="4695"/>
    <cellStyle name="20% - Accent1 4 2 2 2 2 3 2 2 2" xfId="14227"/>
    <cellStyle name="20% - Accent1 4 2 2 2 2 3 2 2 2 2" xfId="26028"/>
    <cellStyle name="20% - Accent1 4 2 2 2 2 3 2 2 2 2 2" xfId="56278"/>
    <cellStyle name="20% - Accent1 4 2 2 2 2 3 2 2 2 3" xfId="39643"/>
    <cellStyle name="20% - Accent1 4 2 2 2 2 3 2 2 3" xfId="10148"/>
    <cellStyle name="20% - Accent1 4 2 2 2 2 3 2 2 3 2" xfId="46142"/>
    <cellStyle name="20% - Accent1 4 2 2 2 2 3 2 2 4" xfId="21949"/>
    <cellStyle name="20% - Accent1 4 2 2 2 2 3 2 2 4 2" xfId="56279"/>
    <cellStyle name="20% - Accent1 4 2 2 2 2 3 2 2 5" xfId="35564"/>
    <cellStyle name="20% - Accent1 4 2 2 2 2 3 2 3" xfId="2854"/>
    <cellStyle name="20% - Accent1 4 2 2 2 2 3 2 3 2" xfId="14228"/>
    <cellStyle name="20% - Accent1 4 2 2 2 2 3 2 3 2 2" xfId="26029"/>
    <cellStyle name="20% - Accent1 4 2 2 2 2 3 2 3 2 2 2" xfId="56280"/>
    <cellStyle name="20% - Accent1 4 2 2 2 2 3 2 3 2 3" xfId="39644"/>
    <cellStyle name="20% - Accent1 4 2 2 2 2 3 2 3 3" xfId="8307"/>
    <cellStyle name="20% - Accent1 4 2 2 2 2 3 2 3 3 2" xfId="46143"/>
    <cellStyle name="20% - Accent1 4 2 2 2 2 3 2 3 4" xfId="20108"/>
    <cellStyle name="20% - Accent1 4 2 2 2 2 3 2 3 4 2" xfId="56281"/>
    <cellStyle name="20% - Accent1 4 2 2 2 2 3 2 3 5" xfId="33723"/>
    <cellStyle name="20% - Accent1 4 2 2 2 2 3 2 4" xfId="14229"/>
    <cellStyle name="20% - Accent1 4 2 2 2 2 3 2 4 2" xfId="26030"/>
    <cellStyle name="20% - Accent1 4 2 2 2 2 3 2 4 2 2" xfId="56282"/>
    <cellStyle name="20% - Accent1 4 2 2 2 2 3 2 4 3" xfId="39645"/>
    <cellStyle name="20% - Accent1 4 2 2 2 2 3 2 5" xfId="6958"/>
    <cellStyle name="20% - Accent1 4 2 2 2 2 3 2 5 2" xfId="46144"/>
    <cellStyle name="20% - Accent1 4 2 2 2 2 3 2 6" xfId="18759"/>
    <cellStyle name="20% - Accent1 4 2 2 2 2 3 2 6 2" xfId="56283"/>
    <cellStyle name="20% - Accent1 4 2 2 2 2 3 2 7" xfId="32374"/>
    <cellStyle name="20% - Accent1 4 2 2 2 2 3 3" xfId="3422"/>
    <cellStyle name="20% - Accent1 4 2 2 2 2 3 3 2" xfId="5263"/>
    <cellStyle name="20% - Accent1 4 2 2 2 2 3 3 2 2" xfId="16733"/>
    <cellStyle name="20% - Accent1 4 2 2 2 2 3 3 2 2 2" xfId="28534"/>
    <cellStyle name="20% - Accent1 4 2 2 2 2 3 3 2 2 2 2" xfId="56284"/>
    <cellStyle name="20% - Accent1 4 2 2 2 2 3 3 2 2 3" xfId="42149"/>
    <cellStyle name="20% - Accent1 4 2 2 2 2 3 3 2 3" xfId="10716"/>
    <cellStyle name="20% - Accent1 4 2 2 2 2 3 3 2 3 2" xfId="56285"/>
    <cellStyle name="20% - Accent1 4 2 2 2 2 3 3 2 4" xfId="22517"/>
    <cellStyle name="20% - Accent1 4 2 2 2 2 3 3 2 4 2" xfId="56286"/>
    <cellStyle name="20% - Accent1 4 2 2 2 2 3 3 2 5" xfId="36132"/>
    <cellStyle name="20% - Accent1 4 2 2 2 2 3 3 3" xfId="14230"/>
    <cellStyle name="20% - Accent1 4 2 2 2 2 3 3 3 2" xfId="26031"/>
    <cellStyle name="20% - Accent1 4 2 2 2 2 3 3 3 2 2" xfId="56287"/>
    <cellStyle name="20% - Accent1 4 2 2 2 2 3 3 3 3" xfId="39646"/>
    <cellStyle name="20% - Accent1 4 2 2 2 2 3 3 4" xfId="8875"/>
    <cellStyle name="20% - Accent1 4 2 2 2 2 3 3 4 2" xfId="56288"/>
    <cellStyle name="20% - Accent1 4 2 2 2 2 3 3 5" xfId="20676"/>
    <cellStyle name="20% - Accent1 4 2 2 2 2 3 3 5 2" xfId="56289"/>
    <cellStyle name="20% - Accent1 4 2 2 2 2 3 3 6" xfId="34291"/>
    <cellStyle name="20% - Accent1 4 2 2 2 2 3 4" xfId="4127"/>
    <cellStyle name="20% - Accent1 4 2 2 2 2 3 4 2" xfId="14231"/>
    <cellStyle name="20% - Accent1 4 2 2 2 2 3 4 2 2" xfId="26032"/>
    <cellStyle name="20% - Accent1 4 2 2 2 2 3 4 2 2 2" xfId="56290"/>
    <cellStyle name="20% - Accent1 4 2 2 2 2 3 4 2 3" xfId="39647"/>
    <cellStyle name="20% - Accent1 4 2 2 2 2 3 4 3" xfId="9580"/>
    <cellStyle name="20% - Accent1 4 2 2 2 2 3 4 3 2" xfId="46145"/>
    <cellStyle name="20% - Accent1 4 2 2 2 2 3 4 4" xfId="21381"/>
    <cellStyle name="20% - Accent1 4 2 2 2 2 3 4 4 2" xfId="56291"/>
    <cellStyle name="20% - Accent1 4 2 2 2 2 3 4 5" xfId="34996"/>
    <cellStyle name="20% - Accent1 4 2 2 2 2 3 5" xfId="2286"/>
    <cellStyle name="20% - Accent1 4 2 2 2 2 3 5 2" xfId="17116"/>
    <cellStyle name="20% - Accent1 4 2 2 2 2 3 5 2 2" xfId="28917"/>
    <cellStyle name="20% - Accent1 4 2 2 2 2 3 5 2 2 2" xfId="56292"/>
    <cellStyle name="20% - Accent1 4 2 2 2 2 3 5 2 3" xfId="42532"/>
    <cellStyle name="20% - Accent1 4 2 2 2 2 3 5 3" xfId="7739"/>
    <cellStyle name="20% - Accent1 4 2 2 2 2 3 5 3 2" xfId="56293"/>
    <cellStyle name="20% - Accent1 4 2 2 2 2 3 5 4" xfId="19540"/>
    <cellStyle name="20% - Accent1 4 2 2 2 2 3 5 4 2" xfId="56294"/>
    <cellStyle name="20% - Accent1 4 2 2 2 2 3 5 5" xfId="33155"/>
    <cellStyle name="20% - Accent1 4 2 2 2 2 3 6" xfId="14232"/>
    <cellStyle name="20% - Accent1 4 2 2 2 2 3 6 2" xfId="26033"/>
    <cellStyle name="20% - Accent1 4 2 2 2 2 3 6 2 2" xfId="56295"/>
    <cellStyle name="20% - Accent1 4 2 2 2 2 3 6 3" xfId="39648"/>
    <cellStyle name="20% - Accent1 4 2 2 2 2 3 7" xfId="5839"/>
    <cellStyle name="20% - Accent1 4 2 2 2 2 3 7 2" xfId="56296"/>
    <cellStyle name="20% - Accent1 4 2 2 2 2 3 8" xfId="17640"/>
    <cellStyle name="20% - Accent1 4 2 2 2 2 3 8 2" xfId="56297"/>
    <cellStyle name="20% - Accent1 4 2 2 2 2 3 9" xfId="31255"/>
    <cellStyle name="20% - Accent1 4 2 2 2 2 4" xfId="663"/>
    <cellStyle name="20% - Accent1 4 2 2 2 2 4 2" xfId="1505"/>
    <cellStyle name="20% - Accent1 4 2 2 2 2 4 2 2" xfId="4405"/>
    <cellStyle name="20% - Accent1 4 2 2 2 2 4 2 2 2" xfId="14233"/>
    <cellStyle name="20% - Accent1 4 2 2 2 2 4 2 2 2 2" xfId="26034"/>
    <cellStyle name="20% - Accent1 4 2 2 2 2 4 2 2 2 2 2" xfId="56298"/>
    <cellStyle name="20% - Accent1 4 2 2 2 2 4 2 2 2 3" xfId="39649"/>
    <cellStyle name="20% - Accent1 4 2 2 2 2 4 2 2 3" xfId="9858"/>
    <cellStyle name="20% - Accent1 4 2 2 2 2 4 2 2 3 2" xfId="46146"/>
    <cellStyle name="20% - Accent1 4 2 2 2 2 4 2 2 4" xfId="21659"/>
    <cellStyle name="20% - Accent1 4 2 2 2 2 4 2 2 4 2" xfId="56299"/>
    <cellStyle name="20% - Accent1 4 2 2 2 2 4 2 2 5" xfId="35274"/>
    <cellStyle name="20% - Accent1 4 2 2 2 2 4 2 3" xfId="14234"/>
    <cellStyle name="20% - Accent1 4 2 2 2 2 4 2 3 2" xfId="26035"/>
    <cellStyle name="20% - Accent1 4 2 2 2 2 4 2 3 2 2" xfId="46147"/>
    <cellStyle name="20% - Accent1 4 2 2 2 2 4 2 3 3" xfId="30117"/>
    <cellStyle name="20% - Accent1 4 2 2 2 2 4 2 3 3 2" xfId="46148"/>
    <cellStyle name="20% - Accent1 4 2 2 2 2 4 2 3 4" xfId="30118"/>
    <cellStyle name="20% - Accent1 4 2 2 2 2 4 2 3 4 2" xfId="56300"/>
    <cellStyle name="20% - Accent1 4 2 2 2 2 4 2 3 5" xfId="39650"/>
    <cellStyle name="20% - Accent1 4 2 2 2 2 4 2 4" xfId="14235"/>
    <cellStyle name="20% - Accent1 4 2 2 2 2 4 2 4 2" xfId="26036"/>
    <cellStyle name="20% - Accent1 4 2 2 2 2 4 2 4 2 2" xfId="56301"/>
    <cellStyle name="20% - Accent1 4 2 2 2 2 4 2 4 3" xfId="39651"/>
    <cellStyle name="20% - Accent1 4 2 2 2 2 4 2 5" xfId="6959"/>
    <cellStyle name="20% - Accent1 4 2 2 2 2 4 2 5 2" xfId="46149"/>
    <cellStyle name="20% - Accent1 4 2 2 2 2 4 2 6" xfId="18760"/>
    <cellStyle name="20% - Accent1 4 2 2 2 2 4 2 6 2" xfId="56302"/>
    <cellStyle name="20% - Accent1 4 2 2 2 2 4 2 7" xfId="32375"/>
    <cellStyle name="20% - Accent1 4 2 2 2 2 4 3" xfId="2564"/>
    <cellStyle name="20% - Accent1 4 2 2 2 2 4 3 2" xfId="14236"/>
    <cellStyle name="20% - Accent1 4 2 2 2 2 4 3 2 2" xfId="26037"/>
    <cellStyle name="20% - Accent1 4 2 2 2 2 4 3 2 2 2" xfId="56303"/>
    <cellStyle name="20% - Accent1 4 2 2 2 2 4 3 2 3" xfId="39652"/>
    <cellStyle name="20% - Accent1 4 2 2 2 2 4 3 3" xfId="8017"/>
    <cellStyle name="20% - Accent1 4 2 2 2 2 4 3 3 2" xfId="46150"/>
    <cellStyle name="20% - Accent1 4 2 2 2 2 4 3 4" xfId="19818"/>
    <cellStyle name="20% - Accent1 4 2 2 2 2 4 3 4 2" xfId="56304"/>
    <cellStyle name="20% - Accent1 4 2 2 2 2 4 3 5" xfId="33433"/>
    <cellStyle name="20% - Accent1 4 2 2 2 2 4 4" xfId="14237"/>
    <cellStyle name="20% - Accent1 4 2 2 2 2 4 4 2" xfId="26038"/>
    <cellStyle name="20% - Accent1 4 2 2 2 2 4 4 2 2" xfId="46151"/>
    <cellStyle name="20% - Accent1 4 2 2 2 2 4 4 3" xfId="30119"/>
    <cellStyle name="20% - Accent1 4 2 2 2 2 4 4 3 2" xfId="46152"/>
    <cellStyle name="20% - Accent1 4 2 2 2 2 4 4 4" xfId="30120"/>
    <cellStyle name="20% - Accent1 4 2 2 2 2 4 4 4 2" xfId="56305"/>
    <cellStyle name="20% - Accent1 4 2 2 2 2 4 4 5" xfId="39653"/>
    <cellStyle name="20% - Accent1 4 2 2 2 2 4 5" xfId="14238"/>
    <cellStyle name="20% - Accent1 4 2 2 2 2 4 5 2" xfId="26039"/>
    <cellStyle name="20% - Accent1 4 2 2 2 2 4 5 2 2" xfId="56306"/>
    <cellStyle name="20% - Accent1 4 2 2 2 2 4 5 3" xfId="39654"/>
    <cellStyle name="20% - Accent1 4 2 2 2 2 4 6" xfId="6117"/>
    <cellStyle name="20% - Accent1 4 2 2 2 2 4 6 2" xfId="46153"/>
    <cellStyle name="20% - Accent1 4 2 2 2 2 4 7" xfId="17918"/>
    <cellStyle name="20% - Accent1 4 2 2 2 2 4 7 2" xfId="56307"/>
    <cellStyle name="20% - Accent1 4 2 2 2 2 4 8" xfId="31533"/>
    <cellStyle name="20% - Accent1 4 2 2 2 2 5" xfId="904"/>
    <cellStyle name="20% - Accent1 4 2 2 2 2 5 2" xfId="1506"/>
    <cellStyle name="20% - Accent1 4 2 2 2 2 5 2 2" xfId="4973"/>
    <cellStyle name="20% - Accent1 4 2 2 2 2 5 2 2 2" xfId="14239"/>
    <cellStyle name="20% - Accent1 4 2 2 2 2 5 2 2 2 2" xfId="26040"/>
    <cellStyle name="20% - Accent1 4 2 2 2 2 5 2 2 2 2 2" xfId="56308"/>
    <cellStyle name="20% - Accent1 4 2 2 2 2 5 2 2 2 3" xfId="39655"/>
    <cellStyle name="20% - Accent1 4 2 2 2 2 5 2 2 3" xfId="10426"/>
    <cellStyle name="20% - Accent1 4 2 2 2 2 5 2 2 3 2" xfId="46154"/>
    <cellStyle name="20% - Accent1 4 2 2 2 2 5 2 2 4" xfId="22227"/>
    <cellStyle name="20% - Accent1 4 2 2 2 2 5 2 2 4 2" xfId="56309"/>
    <cellStyle name="20% - Accent1 4 2 2 2 2 5 2 2 5" xfId="35842"/>
    <cellStyle name="20% - Accent1 4 2 2 2 2 5 2 3" xfId="14240"/>
    <cellStyle name="20% - Accent1 4 2 2 2 2 5 2 3 2" xfId="26041"/>
    <cellStyle name="20% - Accent1 4 2 2 2 2 5 2 3 2 2" xfId="46155"/>
    <cellStyle name="20% - Accent1 4 2 2 2 2 5 2 3 3" xfId="30121"/>
    <cellStyle name="20% - Accent1 4 2 2 2 2 5 2 3 3 2" xfId="46156"/>
    <cellStyle name="20% - Accent1 4 2 2 2 2 5 2 3 4" xfId="30122"/>
    <cellStyle name="20% - Accent1 4 2 2 2 2 5 2 3 4 2" xfId="56310"/>
    <cellStyle name="20% - Accent1 4 2 2 2 2 5 2 3 5" xfId="39656"/>
    <cellStyle name="20% - Accent1 4 2 2 2 2 5 2 4" xfId="14241"/>
    <cellStyle name="20% - Accent1 4 2 2 2 2 5 2 4 2" xfId="26042"/>
    <cellStyle name="20% - Accent1 4 2 2 2 2 5 2 4 2 2" xfId="56311"/>
    <cellStyle name="20% - Accent1 4 2 2 2 2 5 2 4 3" xfId="39657"/>
    <cellStyle name="20% - Accent1 4 2 2 2 2 5 2 5" xfId="6960"/>
    <cellStyle name="20% - Accent1 4 2 2 2 2 5 2 5 2" xfId="46157"/>
    <cellStyle name="20% - Accent1 4 2 2 2 2 5 2 6" xfId="18761"/>
    <cellStyle name="20% - Accent1 4 2 2 2 2 5 2 6 2" xfId="56312"/>
    <cellStyle name="20% - Accent1 4 2 2 2 2 5 2 7" xfId="32376"/>
    <cellStyle name="20% - Accent1 4 2 2 2 2 5 3" xfId="3132"/>
    <cellStyle name="20% - Accent1 4 2 2 2 2 5 3 2" xfId="14242"/>
    <cellStyle name="20% - Accent1 4 2 2 2 2 5 3 2 2" xfId="26043"/>
    <cellStyle name="20% - Accent1 4 2 2 2 2 5 3 2 2 2" xfId="56313"/>
    <cellStyle name="20% - Accent1 4 2 2 2 2 5 3 2 3" xfId="39658"/>
    <cellStyle name="20% - Accent1 4 2 2 2 2 5 3 3" xfId="8585"/>
    <cellStyle name="20% - Accent1 4 2 2 2 2 5 3 3 2" xfId="46158"/>
    <cellStyle name="20% - Accent1 4 2 2 2 2 5 3 4" xfId="20386"/>
    <cellStyle name="20% - Accent1 4 2 2 2 2 5 3 4 2" xfId="56314"/>
    <cellStyle name="20% - Accent1 4 2 2 2 2 5 3 5" xfId="34001"/>
    <cellStyle name="20% - Accent1 4 2 2 2 2 5 4" xfId="14243"/>
    <cellStyle name="20% - Accent1 4 2 2 2 2 5 4 2" xfId="26044"/>
    <cellStyle name="20% - Accent1 4 2 2 2 2 5 4 2 2" xfId="46159"/>
    <cellStyle name="20% - Accent1 4 2 2 2 2 5 4 3" xfId="30123"/>
    <cellStyle name="20% - Accent1 4 2 2 2 2 5 4 3 2" xfId="46160"/>
    <cellStyle name="20% - Accent1 4 2 2 2 2 5 4 4" xfId="30124"/>
    <cellStyle name="20% - Accent1 4 2 2 2 2 5 4 4 2" xfId="56315"/>
    <cellStyle name="20% - Accent1 4 2 2 2 2 5 4 5" xfId="39659"/>
    <cellStyle name="20% - Accent1 4 2 2 2 2 5 5" xfId="14244"/>
    <cellStyle name="20% - Accent1 4 2 2 2 2 5 5 2" xfId="26045"/>
    <cellStyle name="20% - Accent1 4 2 2 2 2 5 5 2 2" xfId="56316"/>
    <cellStyle name="20% - Accent1 4 2 2 2 2 5 5 3" xfId="39660"/>
    <cellStyle name="20% - Accent1 4 2 2 2 2 5 6" xfId="6358"/>
    <cellStyle name="20% - Accent1 4 2 2 2 2 5 6 2" xfId="46161"/>
    <cellStyle name="20% - Accent1 4 2 2 2 2 5 7" xfId="18159"/>
    <cellStyle name="20% - Accent1 4 2 2 2 2 5 7 2" xfId="56317"/>
    <cellStyle name="20% - Accent1 4 2 2 2 2 5 8" xfId="31774"/>
    <cellStyle name="20% - Accent1 4 2 2 2 2 6" xfId="1507"/>
    <cellStyle name="20% - Accent1 4 2 2 2 2 6 2" xfId="3837"/>
    <cellStyle name="20% - Accent1 4 2 2 2 2 6 2 2" xfId="14245"/>
    <cellStyle name="20% - Accent1 4 2 2 2 2 6 2 2 2" xfId="26046"/>
    <cellStyle name="20% - Accent1 4 2 2 2 2 6 2 2 2 2" xfId="56318"/>
    <cellStyle name="20% - Accent1 4 2 2 2 2 6 2 2 3" xfId="39661"/>
    <cellStyle name="20% - Accent1 4 2 2 2 2 6 2 3" xfId="9290"/>
    <cellStyle name="20% - Accent1 4 2 2 2 2 6 2 3 2" xfId="46162"/>
    <cellStyle name="20% - Accent1 4 2 2 2 2 6 2 4" xfId="21091"/>
    <cellStyle name="20% - Accent1 4 2 2 2 2 6 2 4 2" xfId="56319"/>
    <cellStyle name="20% - Accent1 4 2 2 2 2 6 2 5" xfId="34706"/>
    <cellStyle name="20% - Accent1 4 2 2 2 2 6 3" xfId="14246"/>
    <cellStyle name="20% - Accent1 4 2 2 2 2 6 3 2" xfId="26047"/>
    <cellStyle name="20% - Accent1 4 2 2 2 2 6 3 2 2" xfId="46163"/>
    <cellStyle name="20% - Accent1 4 2 2 2 2 6 3 3" xfId="30125"/>
    <cellStyle name="20% - Accent1 4 2 2 2 2 6 3 3 2" xfId="46164"/>
    <cellStyle name="20% - Accent1 4 2 2 2 2 6 3 4" xfId="30126"/>
    <cellStyle name="20% - Accent1 4 2 2 2 2 6 3 4 2" xfId="56320"/>
    <cellStyle name="20% - Accent1 4 2 2 2 2 6 3 5" xfId="39662"/>
    <cellStyle name="20% - Accent1 4 2 2 2 2 6 4" xfId="14247"/>
    <cellStyle name="20% - Accent1 4 2 2 2 2 6 4 2" xfId="26048"/>
    <cellStyle name="20% - Accent1 4 2 2 2 2 6 4 2 2" xfId="56321"/>
    <cellStyle name="20% - Accent1 4 2 2 2 2 6 4 3" xfId="39663"/>
    <cellStyle name="20% - Accent1 4 2 2 2 2 6 5" xfId="6961"/>
    <cellStyle name="20% - Accent1 4 2 2 2 2 6 5 2" xfId="46165"/>
    <cellStyle name="20% - Accent1 4 2 2 2 2 6 6" xfId="18762"/>
    <cellStyle name="20% - Accent1 4 2 2 2 2 6 6 2" xfId="56322"/>
    <cellStyle name="20% - Accent1 4 2 2 2 2 6 7" xfId="32377"/>
    <cellStyle name="20% - Accent1 4 2 2 2 2 7" xfId="3700"/>
    <cellStyle name="20% - Accent1 4 2 2 2 2 7 2" xfId="14248"/>
    <cellStyle name="20% - Accent1 4 2 2 2 2 7 2 2" xfId="26049"/>
    <cellStyle name="20% - Accent1 4 2 2 2 2 7 2 2 2" xfId="56323"/>
    <cellStyle name="20% - Accent1 4 2 2 2 2 7 2 3" xfId="39664"/>
    <cellStyle name="20% - Accent1 4 2 2 2 2 7 3" xfId="9153"/>
    <cellStyle name="20% - Accent1 4 2 2 2 2 7 3 2" xfId="46166"/>
    <cellStyle name="20% - Accent1 4 2 2 2 2 7 4" xfId="20954"/>
    <cellStyle name="20% - Accent1 4 2 2 2 2 7 4 2" xfId="56324"/>
    <cellStyle name="20% - Accent1 4 2 2 2 2 7 5" xfId="34569"/>
    <cellStyle name="20% - Accent1 4 2 2 2 2 8" xfId="1996"/>
    <cellStyle name="20% - Accent1 4 2 2 2 2 8 2" xfId="14249"/>
    <cellStyle name="20% - Accent1 4 2 2 2 2 8 2 2" xfId="26050"/>
    <cellStyle name="20% - Accent1 4 2 2 2 2 8 2 2 2" xfId="56325"/>
    <cellStyle name="20% - Accent1 4 2 2 2 2 8 2 3" xfId="39665"/>
    <cellStyle name="20% - Accent1 4 2 2 2 2 8 3" xfId="7449"/>
    <cellStyle name="20% - Accent1 4 2 2 2 2 8 3 2" xfId="46167"/>
    <cellStyle name="20% - Accent1 4 2 2 2 2 8 4" xfId="19250"/>
    <cellStyle name="20% - Accent1 4 2 2 2 2 8 4 2" xfId="56326"/>
    <cellStyle name="20% - Accent1 4 2 2 2 2 8 5" xfId="32865"/>
    <cellStyle name="20% - Accent1 4 2 2 2 2 9" xfId="14250"/>
    <cellStyle name="20% - Accent1 4 2 2 2 2 9 2" xfId="26051"/>
    <cellStyle name="20% - Accent1 4 2 2 2 2 9 2 2" xfId="56327"/>
    <cellStyle name="20% - Accent1 4 2 2 2 2 9 3" xfId="39666"/>
    <cellStyle name="20% - Accent1 4 2 2 2 3" xfId="174"/>
    <cellStyle name="20% - Accent1 4 2 2 2 3 10" xfId="31044"/>
    <cellStyle name="20% - Accent1 4 2 2 2 3 2" xfId="318"/>
    <cellStyle name="20% - Accent1 4 2 2 2 3 2 2" xfId="1508"/>
    <cellStyle name="20% - Accent1 4 2 2 2 3 2 2 2" xfId="4628"/>
    <cellStyle name="20% - Accent1 4 2 2 2 3 2 2 2 2" xfId="14251"/>
    <cellStyle name="20% - Accent1 4 2 2 2 3 2 2 2 2 2" xfId="26052"/>
    <cellStyle name="20% - Accent1 4 2 2 2 3 2 2 2 2 2 2" xfId="56328"/>
    <cellStyle name="20% - Accent1 4 2 2 2 3 2 2 2 2 3" xfId="39667"/>
    <cellStyle name="20% - Accent1 4 2 2 2 3 2 2 2 3" xfId="10081"/>
    <cellStyle name="20% - Accent1 4 2 2 2 3 2 2 2 3 2" xfId="46168"/>
    <cellStyle name="20% - Accent1 4 2 2 2 3 2 2 2 4" xfId="21882"/>
    <cellStyle name="20% - Accent1 4 2 2 2 3 2 2 2 4 2" xfId="56329"/>
    <cellStyle name="20% - Accent1 4 2 2 2 3 2 2 2 5" xfId="35497"/>
    <cellStyle name="20% - Accent1 4 2 2 2 3 2 2 3" xfId="2787"/>
    <cellStyle name="20% - Accent1 4 2 2 2 3 2 2 3 2" xfId="14252"/>
    <cellStyle name="20% - Accent1 4 2 2 2 3 2 2 3 2 2" xfId="26053"/>
    <cellStyle name="20% - Accent1 4 2 2 2 3 2 2 3 2 2 2" xfId="56330"/>
    <cellStyle name="20% - Accent1 4 2 2 2 3 2 2 3 2 3" xfId="39668"/>
    <cellStyle name="20% - Accent1 4 2 2 2 3 2 2 3 3" xfId="8240"/>
    <cellStyle name="20% - Accent1 4 2 2 2 3 2 2 3 3 2" xfId="46169"/>
    <cellStyle name="20% - Accent1 4 2 2 2 3 2 2 3 4" xfId="20041"/>
    <cellStyle name="20% - Accent1 4 2 2 2 3 2 2 3 4 2" xfId="56331"/>
    <cellStyle name="20% - Accent1 4 2 2 2 3 2 2 3 5" xfId="33656"/>
    <cellStyle name="20% - Accent1 4 2 2 2 3 2 2 4" xfId="14253"/>
    <cellStyle name="20% - Accent1 4 2 2 2 3 2 2 4 2" xfId="26054"/>
    <cellStyle name="20% - Accent1 4 2 2 2 3 2 2 4 2 2" xfId="56332"/>
    <cellStyle name="20% - Accent1 4 2 2 2 3 2 2 4 3" xfId="39669"/>
    <cellStyle name="20% - Accent1 4 2 2 2 3 2 2 5" xfId="6962"/>
    <cellStyle name="20% - Accent1 4 2 2 2 3 2 2 5 2" xfId="46170"/>
    <cellStyle name="20% - Accent1 4 2 2 2 3 2 2 6" xfId="18763"/>
    <cellStyle name="20% - Accent1 4 2 2 2 3 2 2 6 2" xfId="56333"/>
    <cellStyle name="20% - Accent1 4 2 2 2 3 2 2 7" xfId="32378"/>
    <cellStyle name="20% - Accent1 4 2 2 2 3 2 3" xfId="3355"/>
    <cellStyle name="20% - Accent1 4 2 2 2 3 2 3 2" xfId="5196"/>
    <cellStyle name="20% - Accent1 4 2 2 2 3 2 3 2 2" xfId="16666"/>
    <cellStyle name="20% - Accent1 4 2 2 2 3 2 3 2 2 2" xfId="28467"/>
    <cellStyle name="20% - Accent1 4 2 2 2 3 2 3 2 2 2 2" xfId="56334"/>
    <cellStyle name="20% - Accent1 4 2 2 2 3 2 3 2 2 3" xfId="42082"/>
    <cellStyle name="20% - Accent1 4 2 2 2 3 2 3 2 3" xfId="10649"/>
    <cellStyle name="20% - Accent1 4 2 2 2 3 2 3 2 3 2" xfId="56335"/>
    <cellStyle name="20% - Accent1 4 2 2 2 3 2 3 2 4" xfId="22450"/>
    <cellStyle name="20% - Accent1 4 2 2 2 3 2 3 2 4 2" xfId="56336"/>
    <cellStyle name="20% - Accent1 4 2 2 2 3 2 3 2 5" xfId="36065"/>
    <cellStyle name="20% - Accent1 4 2 2 2 3 2 3 3" xfId="14254"/>
    <cellStyle name="20% - Accent1 4 2 2 2 3 2 3 3 2" xfId="26055"/>
    <cellStyle name="20% - Accent1 4 2 2 2 3 2 3 3 2 2" xfId="56337"/>
    <cellStyle name="20% - Accent1 4 2 2 2 3 2 3 3 3" xfId="39670"/>
    <cellStyle name="20% - Accent1 4 2 2 2 3 2 3 4" xfId="8808"/>
    <cellStyle name="20% - Accent1 4 2 2 2 3 2 3 4 2" xfId="56338"/>
    <cellStyle name="20% - Accent1 4 2 2 2 3 2 3 5" xfId="20609"/>
    <cellStyle name="20% - Accent1 4 2 2 2 3 2 3 5 2" xfId="56339"/>
    <cellStyle name="20% - Accent1 4 2 2 2 3 2 3 6" xfId="34224"/>
    <cellStyle name="20% - Accent1 4 2 2 2 3 2 4" xfId="4060"/>
    <cellStyle name="20% - Accent1 4 2 2 2 3 2 4 2" xfId="14255"/>
    <cellStyle name="20% - Accent1 4 2 2 2 3 2 4 2 2" xfId="26056"/>
    <cellStyle name="20% - Accent1 4 2 2 2 3 2 4 2 2 2" xfId="56340"/>
    <cellStyle name="20% - Accent1 4 2 2 2 3 2 4 2 3" xfId="39671"/>
    <cellStyle name="20% - Accent1 4 2 2 2 3 2 4 3" xfId="9513"/>
    <cellStyle name="20% - Accent1 4 2 2 2 3 2 4 3 2" xfId="46171"/>
    <cellStyle name="20% - Accent1 4 2 2 2 3 2 4 4" xfId="21314"/>
    <cellStyle name="20% - Accent1 4 2 2 2 3 2 4 4 2" xfId="56341"/>
    <cellStyle name="20% - Accent1 4 2 2 2 3 2 4 5" xfId="34929"/>
    <cellStyle name="20% - Accent1 4 2 2 2 3 2 5" xfId="2219"/>
    <cellStyle name="20% - Accent1 4 2 2 2 3 2 5 2" xfId="17117"/>
    <cellStyle name="20% - Accent1 4 2 2 2 3 2 5 2 2" xfId="28918"/>
    <cellStyle name="20% - Accent1 4 2 2 2 3 2 5 2 2 2" xfId="56342"/>
    <cellStyle name="20% - Accent1 4 2 2 2 3 2 5 2 3" xfId="42533"/>
    <cellStyle name="20% - Accent1 4 2 2 2 3 2 5 3" xfId="7672"/>
    <cellStyle name="20% - Accent1 4 2 2 2 3 2 5 3 2" xfId="56343"/>
    <cellStyle name="20% - Accent1 4 2 2 2 3 2 5 4" xfId="19473"/>
    <cellStyle name="20% - Accent1 4 2 2 2 3 2 5 4 2" xfId="56344"/>
    <cellStyle name="20% - Accent1 4 2 2 2 3 2 5 5" xfId="33088"/>
    <cellStyle name="20% - Accent1 4 2 2 2 3 2 6" xfId="14256"/>
    <cellStyle name="20% - Accent1 4 2 2 2 3 2 6 2" xfId="26057"/>
    <cellStyle name="20% - Accent1 4 2 2 2 3 2 6 2 2" xfId="56345"/>
    <cellStyle name="20% - Accent1 4 2 2 2 3 2 6 3" xfId="39672"/>
    <cellStyle name="20% - Accent1 4 2 2 2 3 2 7" xfId="5772"/>
    <cellStyle name="20% - Accent1 4 2 2 2 3 2 7 2" xfId="56346"/>
    <cellStyle name="20% - Accent1 4 2 2 2 3 2 8" xfId="17573"/>
    <cellStyle name="20% - Accent1 4 2 2 2 3 2 8 2" xfId="56347"/>
    <cellStyle name="20% - Accent1 4 2 2 2 3 2 9" xfId="31188"/>
    <cellStyle name="20% - Accent1 4 2 2 2 3 3" xfId="742"/>
    <cellStyle name="20% - Accent1 4 2 2 2 3 3 2" xfId="1509"/>
    <cellStyle name="20% - Accent1 4 2 2 2 3 3 2 2" xfId="4484"/>
    <cellStyle name="20% - Accent1 4 2 2 2 3 3 2 2 2" xfId="14257"/>
    <cellStyle name="20% - Accent1 4 2 2 2 3 3 2 2 2 2" xfId="26058"/>
    <cellStyle name="20% - Accent1 4 2 2 2 3 3 2 2 2 2 2" xfId="56348"/>
    <cellStyle name="20% - Accent1 4 2 2 2 3 3 2 2 2 3" xfId="39673"/>
    <cellStyle name="20% - Accent1 4 2 2 2 3 3 2 2 3" xfId="9937"/>
    <cellStyle name="20% - Accent1 4 2 2 2 3 3 2 2 3 2" xfId="46172"/>
    <cellStyle name="20% - Accent1 4 2 2 2 3 3 2 2 4" xfId="21738"/>
    <cellStyle name="20% - Accent1 4 2 2 2 3 3 2 2 4 2" xfId="56349"/>
    <cellStyle name="20% - Accent1 4 2 2 2 3 3 2 2 5" xfId="35353"/>
    <cellStyle name="20% - Accent1 4 2 2 2 3 3 2 3" xfId="14258"/>
    <cellStyle name="20% - Accent1 4 2 2 2 3 3 2 3 2" xfId="26059"/>
    <cellStyle name="20% - Accent1 4 2 2 2 3 3 2 3 2 2" xfId="46173"/>
    <cellStyle name="20% - Accent1 4 2 2 2 3 3 2 3 3" xfId="30127"/>
    <cellStyle name="20% - Accent1 4 2 2 2 3 3 2 3 3 2" xfId="46174"/>
    <cellStyle name="20% - Accent1 4 2 2 2 3 3 2 3 4" xfId="30128"/>
    <cellStyle name="20% - Accent1 4 2 2 2 3 3 2 3 4 2" xfId="56350"/>
    <cellStyle name="20% - Accent1 4 2 2 2 3 3 2 3 5" xfId="39674"/>
    <cellStyle name="20% - Accent1 4 2 2 2 3 3 2 4" xfId="14259"/>
    <cellStyle name="20% - Accent1 4 2 2 2 3 3 2 4 2" xfId="26060"/>
    <cellStyle name="20% - Accent1 4 2 2 2 3 3 2 4 2 2" xfId="56351"/>
    <cellStyle name="20% - Accent1 4 2 2 2 3 3 2 4 3" xfId="39675"/>
    <cellStyle name="20% - Accent1 4 2 2 2 3 3 2 5" xfId="6963"/>
    <cellStyle name="20% - Accent1 4 2 2 2 3 3 2 5 2" xfId="46175"/>
    <cellStyle name="20% - Accent1 4 2 2 2 3 3 2 6" xfId="18764"/>
    <cellStyle name="20% - Accent1 4 2 2 2 3 3 2 6 2" xfId="56352"/>
    <cellStyle name="20% - Accent1 4 2 2 2 3 3 2 7" xfId="32379"/>
    <cellStyle name="20% - Accent1 4 2 2 2 3 3 3" xfId="2643"/>
    <cellStyle name="20% - Accent1 4 2 2 2 3 3 3 2" xfId="14260"/>
    <cellStyle name="20% - Accent1 4 2 2 2 3 3 3 2 2" xfId="26061"/>
    <cellStyle name="20% - Accent1 4 2 2 2 3 3 3 2 2 2" xfId="56353"/>
    <cellStyle name="20% - Accent1 4 2 2 2 3 3 3 2 3" xfId="39676"/>
    <cellStyle name="20% - Accent1 4 2 2 2 3 3 3 3" xfId="8096"/>
    <cellStyle name="20% - Accent1 4 2 2 2 3 3 3 3 2" xfId="46176"/>
    <cellStyle name="20% - Accent1 4 2 2 2 3 3 3 4" xfId="19897"/>
    <cellStyle name="20% - Accent1 4 2 2 2 3 3 3 4 2" xfId="56354"/>
    <cellStyle name="20% - Accent1 4 2 2 2 3 3 3 5" xfId="33512"/>
    <cellStyle name="20% - Accent1 4 2 2 2 3 3 4" xfId="14261"/>
    <cellStyle name="20% - Accent1 4 2 2 2 3 3 4 2" xfId="26062"/>
    <cellStyle name="20% - Accent1 4 2 2 2 3 3 4 2 2" xfId="46177"/>
    <cellStyle name="20% - Accent1 4 2 2 2 3 3 4 3" xfId="30129"/>
    <cellStyle name="20% - Accent1 4 2 2 2 3 3 4 3 2" xfId="46178"/>
    <cellStyle name="20% - Accent1 4 2 2 2 3 3 4 4" xfId="30130"/>
    <cellStyle name="20% - Accent1 4 2 2 2 3 3 4 4 2" xfId="56355"/>
    <cellStyle name="20% - Accent1 4 2 2 2 3 3 4 5" xfId="39677"/>
    <cellStyle name="20% - Accent1 4 2 2 2 3 3 5" xfId="14262"/>
    <cellStyle name="20% - Accent1 4 2 2 2 3 3 5 2" xfId="26063"/>
    <cellStyle name="20% - Accent1 4 2 2 2 3 3 5 2 2" xfId="56356"/>
    <cellStyle name="20% - Accent1 4 2 2 2 3 3 5 3" xfId="39678"/>
    <cellStyle name="20% - Accent1 4 2 2 2 3 3 6" xfId="6196"/>
    <cellStyle name="20% - Accent1 4 2 2 2 3 3 6 2" xfId="46179"/>
    <cellStyle name="20% - Accent1 4 2 2 2 3 3 7" xfId="17997"/>
    <cellStyle name="20% - Accent1 4 2 2 2 3 3 7 2" xfId="56357"/>
    <cellStyle name="20% - Accent1 4 2 2 2 3 3 8" xfId="31612"/>
    <cellStyle name="20% - Accent1 4 2 2 2 3 4" xfId="1510"/>
    <cellStyle name="20% - Accent1 4 2 2 2 3 4 2" xfId="5052"/>
    <cellStyle name="20% - Accent1 4 2 2 2 3 4 2 2" xfId="14263"/>
    <cellStyle name="20% - Accent1 4 2 2 2 3 4 2 2 2" xfId="26064"/>
    <cellStyle name="20% - Accent1 4 2 2 2 3 4 2 2 2 2" xfId="56358"/>
    <cellStyle name="20% - Accent1 4 2 2 2 3 4 2 2 3" xfId="39679"/>
    <cellStyle name="20% - Accent1 4 2 2 2 3 4 2 3" xfId="10505"/>
    <cellStyle name="20% - Accent1 4 2 2 2 3 4 2 3 2" xfId="46180"/>
    <cellStyle name="20% - Accent1 4 2 2 2 3 4 2 4" xfId="22306"/>
    <cellStyle name="20% - Accent1 4 2 2 2 3 4 2 4 2" xfId="56359"/>
    <cellStyle name="20% - Accent1 4 2 2 2 3 4 2 5" xfId="35921"/>
    <cellStyle name="20% - Accent1 4 2 2 2 3 4 3" xfId="3211"/>
    <cellStyle name="20% - Accent1 4 2 2 2 3 4 3 2" xfId="14264"/>
    <cellStyle name="20% - Accent1 4 2 2 2 3 4 3 2 2" xfId="26065"/>
    <cellStyle name="20% - Accent1 4 2 2 2 3 4 3 2 2 2" xfId="56360"/>
    <cellStyle name="20% - Accent1 4 2 2 2 3 4 3 2 3" xfId="39680"/>
    <cellStyle name="20% - Accent1 4 2 2 2 3 4 3 3" xfId="8664"/>
    <cellStyle name="20% - Accent1 4 2 2 2 3 4 3 3 2" xfId="46181"/>
    <cellStyle name="20% - Accent1 4 2 2 2 3 4 3 4" xfId="20465"/>
    <cellStyle name="20% - Accent1 4 2 2 2 3 4 3 4 2" xfId="56361"/>
    <cellStyle name="20% - Accent1 4 2 2 2 3 4 3 5" xfId="34080"/>
    <cellStyle name="20% - Accent1 4 2 2 2 3 4 4" xfId="14265"/>
    <cellStyle name="20% - Accent1 4 2 2 2 3 4 4 2" xfId="26066"/>
    <cellStyle name="20% - Accent1 4 2 2 2 3 4 4 2 2" xfId="56362"/>
    <cellStyle name="20% - Accent1 4 2 2 2 3 4 4 3" xfId="39681"/>
    <cellStyle name="20% - Accent1 4 2 2 2 3 4 5" xfId="6964"/>
    <cellStyle name="20% - Accent1 4 2 2 2 3 4 5 2" xfId="46182"/>
    <cellStyle name="20% - Accent1 4 2 2 2 3 4 6" xfId="18765"/>
    <cellStyle name="20% - Accent1 4 2 2 2 3 4 6 2" xfId="56363"/>
    <cellStyle name="20% - Accent1 4 2 2 2 3 4 7" xfId="32380"/>
    <cellStyle name="20% - Accent1 4 2 2 2 3 5" xfId="3916"/>
    <cellStyle name="20% - Accent1 4 2 2 2 3 5 2" xfId="14266"/>
    <cellStyle name="20% - Accent1 4 2 2 2 3 5 2 2" xfId="26067"/>
    <cellStyle name="20% - Accent1 4 2 2 2 3 5 2 2 2" xfId="56364"/>
    <cellStyle name="20% - Accent1 4 2 2 2 3 5 2 3" xfId="39682"/>
    <cellStyle name="20% - Accent1 4 2 2 2 3 5 3" xfId="9369"/>
    <cellStyle name="20% - Accent1 4 2 2 2 3 5 3 2" xfId="46183"/>
    <cellStyle name="20% - Accent1 4 2 2 2 3 5 4" xfId="21170"/>
    <cellStyle name="20% - Accent1 4 2 2 2 3 5 4 2" xfId="56365"/>
    <cellStyle name="20% - Accent1 4 2 2 2 3 5 5" xfId="34785"/>
    <cellStyle name="20% - Accent1 4 2 2 2 3 6" xfId="2075"/>
    <cellStyle name="20% - Accent1 4 2 2 2 3 6 2" xfId="14267"/>
    <cellStyle name="20% - Accent1 4 2 2 2 3 6 2 2" xfId="26068"/>
    <cellStyle name="20% - Accent1 4 2 2 2 3 6 2 2 2" xfId="56366"/>
    <cellStyle name="20% - Accent1 4 2 2 2 3 6 2 3" xfId="39683"/>
    <cellStyle name="20% - Accent1 4 2 2 2 3 6 3" xfId="7528"/>
    <cellStyle name="20% - Accent1 4 2 2 2 3 6 3 2" xfId="46184"/>
    <cellStyle name="20% - Accent1 4 2 2 2 3 6 4" xfId="19329"/>
    <cellStyle name="20% - Accent1 4 2 2 2 3 6 4 2" xfId="56367"/>
    <cellStyle name="20% - Accent1 4 2 2 2 3 6 5" xfId="32944"/>
    <cellStyle name="20% - Accent1 4 2 2 2 3 7" xfId="14268"/>
    <cellStyle name="20% - Accent1 4 2 2 2 3 7 2" xfId="26069"/>
    <cellStyle name="20% - Accent1 4 2 2 2 3 7 2 2" xfId="56368"/>
    <cellStyle name="20% - Accent1 4 2 2 2 3 7 3" xfId="39684"/>
    <cellStyle name="20% - Accent1 4 2 2 2 3 8" xfId="5628"/>
    <cellStyle name="20% - Accent1 4 2 2 2 3 8 2" xfId="46185"/>
    <cellStyle name="20% - Accent1 4 2 2 2 3 9" xfId="17429"/>
    <cellStyle name="20% - Accent1 4 2 2 2 3 9 2" xfId="56369"/>
    <cellStyle name="20% - Accent1 4 2 2 2 4" xfId="455"/>
    <cellStyle name="20% - Accent1 4 2 2 2 4 2" xfId="1511"/>
    <cellStyle name="20% - Accent1 4 2 2 2 4 2 2" xfId="4765"/>
    <cellStyle name="20% - Accent1 4 2 2 2 4 2 2 2" xfId="14269"/>
    <cellStyle name="20% - Accent1 4 2 2 2 4 2 2 2 2" xfId="26070"/>
    <cellStyle name="20% - Accent1 4 2 2 2 4 2 2 2 2 2" xfId="56370"/>
    <cellStyle name="20% - Accent1 4 2 2 2 4 2 2 2 3" xfId="39685"/>
    <cellStyle name="20% - Accent1 4 2 2 2 4 2 2 3" xfId="10218"/>
    <cellStyle name="20% - Accent1 4 2 2 2 4 2 2 3 2" xfId="46186"/>
    <cellStyle name="20% - Accent1 4 2 2 2 4 2 2 4" xfId="22019"/>
    <cellStyle name="20% - Accent1 4 2 2 2 4 2 2 4 2" xfId="56371"/>
    <cellStyle name="20% - Accent1 4 2 2 2 4 2 2 5" xfId="35634"/>
    <cellStyle name="20% - Accent1 4 2 2 2 4 2 3" xfId="2924"/>
    <cellStyle name="20% - Accent1 4 2 2 2 4 2 3 2" xfId="14270"/>
    <cellStyle name="20% - Accent1 4 2 2 2 4 2 3 2 2" xfId="26071"/>
    <cellStyle name="20% - Accent1 4 2 2 2 4 2 3 2 2 2" xfId="56372"/>
    <cellStyle name="20% - Accent1 4 2 2 2 4 2 3 2 3" xfId="39686"/>
    <cellStyle name="20% - Accent1 4 2 2 2 4 2 3 3" xfId="8377"/>
    <cellStyle name="20% - Accent1 4 2 2 2 4 2 3 3 2" xfId="46187"/>
    <cellStyle name="20% - Accent1 4 2 2 2 4 2 3 4" xfId="20178"/>
    <cellStyle name="20% - Accent1 4 2 2 2 4 2 3 4 2" xfId="56373"/>
    <cellStyle name="20% - Accent1 4 2 2 2 4 2 3 5" xfId="33793"/>
    <cellStyle name="20% - Accent1 4 2 2 2 4 2 4" xfId="14271"/>
    <cellStyle name="20% - Accent1 4 2 2 2 4 2 4 2" xfId="26072"/>
    <cellStyle name="20% - Accent1 4 2 2 2 4 2 4 2 2" xfId="56374"/>
    <cellStyle name="20% - Accent1 4 2 2 2 4 2 4 3" xfId="39687"/>
    <cellStyle name="20% - Accent1 4 2 2 2 4 2 5" xfId="6965"/>
    <cellStyle name="20% - Accent1 4 2 2 2 4 2 5 2" xfId="46188"/>
    <cellStyle name="20% - Accent1 4 2 2 2 4 2 6" xfId="18766"/>
    <cellStyle name="20% - Accent1 4 2 2 2 4 2 6 2" xfId="56375"/>
    <cellStyle name="20% - Accent1 4 2 2 2 4 2 7" xfId="32381"/>
    <cellStyle name="20% - Accent1 4 2 2 2 4 3" xfId="3492"/>
    <cellStyle name="20% - Accent1 4 2 2 2 4 3 2" xfId="5333"/>
    <cellStyle name="20% - Accent1 4 2 2 2 4 3 2 2" xfId="16803"/>
    <cellStyle name="20% - Accent1 4 2 2 2 4 3 2 2 2" xfId="28604"/>
    <cellStyle name="20% - Accent1 4 2 2 2 4 3 2 2 2 2" xfId="56376"/>
    <cellStyle name="20% - Accent1 4 2 2 2 4 3 2 2 3" xfId="42219"/>
    <cellStyle name="20% - Accent1 4 2 2 2 4 3 2 3" xfId="10786"/>
    <cellStyle name="20% - Accent1 4 2 2 2 4 3 2 3 2" xfId="56377"/>
    <cellStyle name="20% - Accent1 4 2 2 2 4 3 2 4" xfId="22587"/>
    <cellStyle name="20% - Accent1 4 2 2 2 4 3 2 4 2" xfId="56378"/>
    <cellStyle name="20% - Accent1 4 2 2 2 4 3 2 5" xfId="36202"/>
    <cellStyle name="20% - Accent1 4 2 2 2 4 3 3" xfId="14272"/>
    <cellStyle name="20% - Accent1 4 2 2 2 4 3 3 2" xfId="26073"/>
    <cellStyle name="20% - Accent1 4 2 2 2 4 3 3 2 2" xfId="56379"/>
    <cellStyle name="20% - Accent1 4 2 2 2 4 3 3 3" xfId="39688"/>
    <cellStyle name="20% - Accent1 4 2 2 2 4 3 4" xfId="8945"/>
    <cellStyle name="20% - Accent1 4 2 2 2 4 3 4 2" xfId="56380"/>
    <cellStyle name="20% - Accent1 4 2 2 2 4 3 5" xfId="20746"/>
    <cellStyle name="20% - Accent1 4 2 2 2 4 3 5 2" xfId="56381"/>
    <cellStyle name="20% - Accent1 4 2 2 2 4 3 6" xfId="34361"/>
    <cellStyle name="20% - Accent1 4 2 2 2 4 4" xfId="4197"/>
    <cellStyle name="20% - Accent1 4 2 2 2 4 4 2" xfId="14273"/>
    <cellStyle name="20% - Accent1 4 2 2 2 4 4 2 2" xfId="26074"/>
    <cellStyle name="20% - Accent1 4 2 2 2 4 4 2 2 2" xfId="56382"/>
    <cellStyle name="20% - Accent1 4 2 2 2 4 4 2 3" xfId="39689"/>
    <cellStyle name="20% - Accent1 4 2 2 2 4 4 3" xfId="9650"/>
    <cellStyle name="20% - Accent1 4 2 2 2 4 4 3 2" xfId="46189"/>
    <cellStyle name="20% - Accent1 4 2 2 2 4 4 4" xfId="21451"/>
    <cellStyle name="20% - Accent1 4 2 2 2 4 4 4 2" xfId="56383"/>
    <cellStyle name="20% - Accent1 4 2 2 2 4 4 5" xfId="35066"/>
    <cellStyle name="20% - Accent1 4 2 2 2 4 5" xfId="2356"/>
    <cellStyle name="20% - Accent1 4 2 2 2 4 5 2" xfId="17118"/>
    <cellStyle name="20% - Accent1 4 2 2 2 4 5 2 2" xfId="28919"/>
    <cellStyle name="20% - Accent1 4 2 2 2 4 5 2 2 2" xfId="56384"/>
    <cellStyle name="20% - Accent1 4 2 2 2 4 5 2 3" xfId="42534"/>
    <cellStyle name="20% - Accent1 4 2 2 2 4 5 3" xfId="7809"/>
    <cellStyle name="20% - Accent1 4 2 2 2 4 5 3 2" xfId="56385"/>
    <cellStyle name="20% - Accent1 4 2 2 2 4 5 4" xfId="19610"/>
    <cellStyle name="20% - Accent1 4 2 2 2 4 5 4 2" xfId="56386"/>
    <cellStyle name="20% - Accent1 4 2 2 2 4 5 5" xfId="33225"/>
    <cellStyle name="20% - Accent1 4 2 2 2 4 6" xfId="14274"/>
    <cellStyle name="20% - Accent1 4 2 2 2 4 6 2" xfId="26075"/>
    <cellStyle name="20% - Accent1 4 2 2 2 4 6 2 2" xfId="56387"/>
    <cellStyle name="20% - Accent1 4 2 2 2 4 6 3" xfId="39690"/>
    <cellStyle name="20% - Accent1 4 2 2 2 4 7" xfId="5909"/>
    <cellStyle name="20% - Accent1 4 2 2 2 4 7 2" xfId="56388"/>
    <cellStyle name="20% - Accent1 4 2 2 2 4 8" xfId="17710"/>
    <cellStyle name="20% - Accent1 4 2 2 2 4 8 2" xfId="56389"/>
    <cellStyle name="20% - Accent1 4 2 2 2 4 9" xfId="31325"/>
    <cellStyle name="20% - Accent1 4 2 2 2 5" xfId="269"/>
    <cellStyle name="20% - Accent1 4 2 2 2 5 2" xfId="1512"/>
    <cellStyle name="20% - Accent1 4 2 2 2 5 2 2" xfId="4579"/>
    <cellStyle name="20% - Accent1 4 2 2 2 5 2 2 2" xfId="14275"/>
    <cellStyle name="20% - Accent1 4 2 2 2 5 2 2 2 2" xfId="26076"/>
    <cellStyle name="20% - Accent1 4 2 2 2 5 2 2 2 2 2" xfId="56390"/>
    <cellStyle name="20% - Accent1 4 2 2 2 5 2 2 2 3" xfId="39691"/>
    <cellStyle name="20% - Accent1 4 2 2 2 5 2 2 3" xfId="10032"/>
    <cellStyle name="20% - Accent1 4 2 2 2 5 2 2 3 2" xfId="46190"/>
    <cellStyle name="20% - Accent1 4 2 2 2 5 2 2 4" xfId="21833"/>
    <cellStyle name="20% - Accent1 4 2 2 2 5 2 2 4 2" xfId="56391"/>
    <cellStyle name="20% - Accent1 4 2 2 2 5 2 2 5" xfId="35448"/>
    <cellStyle name="20% - Accent1 4 2 2 2 5 2 3" xfId="2738"/>
    <cellStyle name="20% - Accent1 4 2 2 2 5 2 3 2" xfId="14276"/>
    <cellStyle name="20% - Accent1 4 2 2 2 5 2 3 2 2" xfId="26077"/>
    <cellStyle name="20% - Accent1 4 2 2 2 5 2 3 2 2 2" xfId="56392"/>
    <cellStyle name="20% - Accent1 4 2 2 2 5 2 3 2 3" xfId="39692"/>
    <cellStyle name="20% - Accent1 4 2 2 2 5 2 3 3" xfId="8191"/>
    <cellStyle name="20% - Accent1 4 2 2 2 5 2 3 3 2" xfId="46191"/>
    <cellStyle name="20% - Accent1 4 2 2 2 5 2 3 4" xfId="19992"/>
    <cellStyle name="20% - Accent1 4 2 2 2 5 2 3 4 2" xfId="56393"/>
    <cellStyle name="20% - Accent1 4 2 2 2 5 2 3 5" xfId="33607"/>
    <cellStyle name="20% - Accent1 4 2 2 2 5 2 4" xfId="14277"/>
    <cellStyle name="20% - Accent1 4 2 2 2 5 2 4 2" xfId="26078"/>
    <cellStyle name="20% - Accent1 4 2 2 2 5 2 4 2 2" xfId="56394"/>
    <cellStyle name="20% - Accent1 4 2 2 2 5 2 4 3" xfId="39693"/>
    <cellStyle name="20% - Accent1 4 2 2 2 5 2 5" xfId="6966"/>
    <cellStyle name="20% - Accent1 4 2 2 2 5 2 5 2" xfId="46192"/>
    <cellStyle name="20% - Accent1 4 2 2 2 5 2 6" xfId="18767"/>
    <cellStyle name="20% - Accent1 4 2 2 2 5 2 6 2" xfId="56395"/>
    <cellStyle name="20% - Accent1 4 2 2 2 5 2 7" xfId="32382"/>
    <cellStyle name="20% - Accent1 4 2 2 2 5 3" xfId="3306"/>
    <cellStyle name="20% - Accent1 4 2 2 2 5 3 2" xfId="5147"/>
    <cellStyle name="20% - Accent1 4 2 2 2 5 3 2 2" xfId="16617"/>
    <cellStyle name="20% - Accent1 4 2 2 2 5 3 2 2 2" xfId="28418"/>
    <cellStyle name="20% - Accent1 4 2 2 2 5 3 2 2 2 2" xfId="56396"/>
    <cellStyle name="20% - Accent1 4 2 2 2 5 3 2 2 3" xfId="42033"/>
    <cellStyle name="20% - Accent1 4 2 2 2 5 3 2 3" xfId="10600"/>
    <cellStyle name="20% - Accent1 4 2 2 2 5 3 2 3 2" xfId="56397"/>
    <cellStyle name="20% - Accent1 4 2 2 2 5 3 2 4" xfId="22401"/>
    <cellStyle name="20% - Accent1 4 2 2 2 5 3 2 4 2" xfId="56398"/>
    <cellStyle name="20% - Accent1 4 2 2 2 5 3 2 5" xfId="36016"/>
    <cellStyle name="20% - Accent1 4 2 2 2 5 3 3" xfId="14278"/>
    <cellStyle name="20% - Accent1 4 2 2 2 5 3 3 2" xfId="26079"/>
    <cellStyle name="20% - Accent1 4 2 2 2 5 3 3 2 2" xfId="56399"/>
    <cellStyle name="20% - Accent1 4 2 2 2 5 3 3 3" xfId="39694"/>
    <cellStyle name="20% - Accent1 4 2 2 2 5 3 4" xfId="8759"/>
    <cellStyle name="20% - Accent1 4 2 2 2 5 3 4 2" xfId="56400"/>
    <cellStyle name="20% - Accent1 4 2 2 2 5 3 5" xfId="20560"/>
    <cellStyle name="20% - Accent1 4 2 2 2 5 3 5 2" xfId="56401"/>
    <cellStyle name="20% - Accent1 4 2 2 2 5 3 6" xfId="34175"/>
    <cellStyle name="20% - Accent1 4 2 2 2 5 4" xfId="4011"/>
    <cellStyle name="20% - Accent1 4 2 2 2 5 4 2" xfId="14279"/>
    <cellStyle name="20% - Accent1 4 2 2 2 5 4 2 2" xfId="26080"/>
    <cellStyle name="20% - Accent1 4 2 2 2 5 4 2 2 2" xfId="56402"/>
    <cellStyle name="20% - Accent1 4 2 2 2 5 4 2 3" xfId="39695"/>
    <cellStyle name="20% - Accent1 4 2 2 2 5 4 3" xfId="9464"/>
    <cellStyle name="20% - Accent1 4 2 2 2 5 4 3 2" xfId="46193"/>
    <cellStyle name="20% - Accent1 4 2 2 2 5 4 4" xfId="21265"/>
    <cellStyle name="20% - Accent1 4 2 2 2 5 4 4 2" xfId="56403"/>
    <cellStyle name="20% - Accent1 4 2 2 2 5 4 5" xfId="34880"/>
    <cellStyle name="20% - Accent1 4 2 2 2 5 5" xfId="2170"/>
    <cellStyle name="20% - Accent1 4 2 2 2 5 5 2" xfId="17119"/>
    <cellStyle name="20% - Accent1 4 2 2 2 5 5 2 2" xfId="28920"/>
    <cellStyle name="20% - Accent1 4 2 2 2 5 5 2 2 2" xfId="56404"/>
    <cellStyle name="20% - Accent1 4 2 2 2 5 5 2 3" xfId="42535"/>
    <cellStyle name="20% - Accent1 4 2 2 2 5 5 3" xfId="7623"/>
    <cellStyle name="20% - Accent1 4 2 2 2 5 5 3 2" xfId="56405"/>
    <cellStyle name="20% - Accent1 4 2 2 2 5 5 4" xfId="19424"/>
    <cellStyle name="20% - Accent1 4 2 2 2 5 5 4 2" xfId="56406"/>
    <cellStyle name="20% - Accent1 4 2 2 2 5 5 5" xfId="33039"/>
    <cellStyle name="20% - Accent1 4 2 2 2 5 6" xfId="14280"/>
    <cellStyle name="20% - Accent1 4 2 2 2 5 6 2" xfId="26081"/>
    <cellStyle name="20% - Accent1 4 2 2 2 5 6 2 2" xfId="56407"/>
    <cellStyle name="20% - Accent1 4 2 2 2 5 6 3" xfId="39696"/>
    <cellStyle name="20% - Accent1 4 2 2 2 5 7" xfId="5723"/>
    <cellStyle name="20% - Accent1 4 2 2 2 5 7 2" xfId="56408"/>
    <cellStyle name="20% - Accent1 4 2 2 2 5 8" xfId="17524"/>
    <cellStyle name="20% - Accent1 4 2 2 2 5 8 2" xfId="56409"/>
    <cellStyle name="20% - Accent1 4 2 2 2 5 9" xfId="31139"/>
    <cellStyle name="20% - Accent1 4 2 2 2 6" xfId="596"/>
    <cellStyle name="20% - Accent1 4 2 2 2 6 2" xfId="1513"/>
    <cellStyle name="20% - Accent1 4 2 2 2 6 2 2" xfId="4338"/>
    <cellStyle name="20% - Accent1 4 2 2 2 6 2 2 2" xfId="14281"/>
    <cellStyle name="20% - Accent1 4 2 2 2 6 2 2 2 2" xfId="26082"/>
    <cellStyle name="20% - Accent1 4 2 2 2 6 2 2 2 2 2" xfId="56410"/>
    <cellStyle name="20% - Accent1 4 2 2 2 6 2 2 2 3" xfId="39697"/>
    <cellStyle name="20% - Accent1 4 2 2 2 6 2 2 3" xfId="9791"/>
    <cellStyle name="20% - Accent1 4 2 2 2 6 2 2 3 2" xfId="46194"/>
    <cellStyle name="20% - Accent1 4 2 2 2 6 2 2 4" xfId="21592"/>
    <cellStyle name="20% - Accent1 4 2 2 2 6 2 2 4 2" xfId="56411"/>
    <cellStyle name="20% - Accent1 4 2 2 2 6 2 2 5" xfId="35207"/>
    <cellStyle name="20% - Accent1 4 2 2 2 6 2 3" xfId="14282"/>
    <cellStyle name="20% - Accent1 4 2 2 2 6 2 3 2" xfId="26083"/>
    <cellStyle name="20% - Accent1 4 2 2 2 6 2 3 2 2" xfId="46195"/>
    <cellStyle name="20% - Accent1 4 2 2 2 6 2 3 3" xfId="30131"/>
    <cellStyle name="20% - Accent1 4 2 2 2 6 2 3 3 2" xfId="46196"/>
    <cellStyle name="20% - Accent1 4 2 2 2 6 2 3 4" xfId="30132"/>
    <cellStyle name="20% - Accent1 4 2 2 2 6 2 3 4 2" xfId="56412"/>
    <cellStyle name="20% - Accent1 4 2 2 2 6 2 3 5" xfId="39698"/>
    <cellStyle name="20% - Accent1 4 2 2 2 6 2 4" xfId="14283"/>
    <cellStyle name="20% - Accent1 4 2 2 2 6 2 4 2" xfId="26084"/>
    <cellStyle name="20% - Accent1 4 2 2 2 6 2 4 2 2" xfId="56413"/>
    <cellStyle name="20% - Accent1 4 2 2 2 6 2 4 3" xfId="39699"/>
    <cellStyle name="20% - Accent1 4 2 2 2 6 2 5" xfId="6967"/>
    <cellStyle name="20% - Accent1 4 2 2 2 6 2 5 2" xfId="46197"/>
    <cellStyle name="20% - Accent1 4 2 2 2 6 2 6" xfId="18768"/>
    <cellStyle name="20% - Accent1 4 2 2 2 6 2 6 2" xfId="56414"/>
    <cellStyle name="20% - Accent1 4 2 2 2 6 2 7" xfId="32383"/>
    <cellStyle name="20% - Accent1 4 2 2 2 6 3" xfId="2497"/>
    <cellStyle name="20% - Accent1 4 2 2 2 6 3 2" xfId="14284"/>
    <cellStyle name="20% - Accent1 4 2 2 2 6 3 2 2" xfId="26085"/>
    <cellStyle name="20% - Accent1 4 2 2 2 6 3 2 2 2" xfId="56415"/>
    <cellStyle name="20% - Accent1 4 2 2 2 6 3 2 3" xfId="39700"/>
    <cellStyle name="20% - Accent1 4 2 2 2 6 3 3" xfId="7950"/>
    <cellStyle name="20% - Accent1 4 2 2 2 6 3 3 2" xfId="46198"/>
    <cellStyle name="20% - Accent1 4 2 2 2 6 3 4" xfId="19751"/>
    <cellStyle name="20% - Accent1 4 2 2 2 6 3 4 2" xfId="56416"/>
    <cellStyle name="20% - Accent1 4 2 2 2 6 3 5" xfId="33366"/>
    <cellStyle name="20% - Accent1 4 2 2 2 6 4" xfId="14285"/>
    <cellStyle name="20% - Accent1 4 2 2 2 6 4 2" xfId="26086"/>
    <cellStyle name="20% - Accent1 4 2 2 2 6 4 2 2" xfId="46199"/>
    <cellStyle name="20% - Accent1 4 2 2 2 6 4 3" xfId="30133"/>
    <cellStyle name="20% - Accent1 4 2 2 2 6 4 3 2" xfId="46200"/>
    <cellStyle name="20% - Accent1 4 2 2 2 6 4 4" xfId="30134"/>
    <cellStyle name="20% - Accent1 4 2 2 2 6 4 4 2" xfId="56417"/>
    <cellStyle name="20% - Accent1 4 2 2 2 6 4 5" xfId="39701"/>
    <cellStyle name="20% - Accent1 4 2 2 2 6 5" xfId="14286"/>
    <cellStyle name="20% - Accent1 4 2 2 2 6 5 2" xfId="26087"/>
    <cellStyle name="20% - Accent1 4 2 2 2 6 5 2 2" xfId="56418"/>
    <cellStyle name="20% - Accent1 4 2 2 2 6 5 3" xfId="39702"/>
    <cellStyle name="20% - Accent1 4 2 2 2 6 6" xfId="6050"/>
    <cellStyle name="20% - Accent1 4 2 2 2 6 6 2" xfId="46201"/>
    <cellStyle name="20% - Accent1 4 2 2 2 6 7" xfId="17851"/>
    <cellStyle name="20% - Accent1 4 2 2 2 6 7 2" xfId="56419"/>
    <cellStyle name="20% - Accent1 4 2 2 2 6 8" xfId="31466"/>
    <cellStyle name="20% - Accent1 4 2 2 2 7" xfId="837"/>
    <cellStyle name="20% - Accent1 4 2 2 2 7 2" xfId="1514"/>
    <cellStyle name="20% - Accent1 4 2 2 2 7 2 2" xfId="4906"/>
    <cellStyle name="20% - Accent1 4 2 2 2 7 2 2 2" xfId="14287"/>
    <cellStyle name="20% - Accent1 4 2 2 2 7 2 2 2 2" xfId="26088"/>
    <cellStyle name="20% - Accent1 4 2 2 2 7 2 2 2 2 2" xfId="56420"/>
    <cellStyle name="20% - Accent1 4 2 2 2 7 2 2 2 3" xfId="39703"/>
    <cellStyle name="20% - Accent1 4 2 2 2 7 2 2 3" xfId="10359"/>
    <cellStyle name="20% - Accent1 4 2 2 2 7 2 2 3 2" xfId="46202"/>
    <cellStyle name="20% - Accent1 4 2 2 2 7 2 2 4" xfId="22160"/>
    <cellStyle name="20% - Accent1 4 2 2 2 7 2 2 4 2" xfId="56421"/>
    <cellStyle name="20% - Accent1 4 2 2 2 7 2 2 5" xfId="35775"/>
    <cellStyle name="20% - Accent1 4 2 2 2 7 2 3" xfId="14288"/>
    <cellStyle name="20% - Accent1 4 2 2 2 7 2 3 2" xfId="26089"/>
    <cellStyle name="20% - Accent1 4 2 2 2 7 2 3 2 2" xfId="46203"/>
    <cellStyle name="20% - Accent1 4 2 2 2 7 2 3 3" xfId="30135"/>
    <cellStyle name="20% - Accent1 4 2 2 2 7 2 3 3 2" xfId="46204"/>
    <cellStyle name="20% - Accent1 4 2 2 2 7 2 3 4" xfId="30136"/>
    <cellStyle name="20% - Accent1 4 2 2 2 7 2 3 4 2" xfId="56422"/>
    <cellStyle name="20% - Accent1 4 2 2 2 7 2 3 5" xfId="39704"/>
    <cellStyle name="20% - Accent1 4 2 2 2 7 2 4" xfId="14289"/>
    <cellStyle name="20% - Accent1 4 2 2 2 7 2 4 2" xfId="26090"/>
    <cellStyle name="20% - Accent1 4 2 2 2 7 2 4 2 2" xfId="56423"/>
    <cellStyle name="20% - Accent1 4 2 2 2 7 2 4 3" xfId="39705"/>
    <cellStyle name="20% - Accent1 4 2 2 2 7 2 5" xfId="6968"/>
    <cellStyle name="20% - Accent1 4 2 2 2 7 2 5 2" xfId="46205"/>
    <cellStyle name="20% - Accent1 4 2 2 2 7 2 6" xfId="18769"/>
    <cellStyle name="20% - Accent1 4 2 2 2 7 2 6 2" xfId="56424"/>
    <cellStyle name="20% - Accent1 4 2 2 2 7 2 7" xfId="32384"/>
    <cellStyle name="20% - Accent1 4 2 2 2 7 3" xfId="3065"/>
    <cellStyle name="20% - Accent1 4 2 2 2 7 3 2" xfId="14290"/>
    <cellStyle name="20% - Accent1 4 2 2 2 7 3 2 2" xfId="26091"/>
    <cellStyle name="20% - Accent1 4 2 2 2 7 3 2 2 2" xfId="56425"/>
    <cellStyle name="20% - Accent1 4 2 2 2 7 3 2 3" xfId="39706"/>
    <cellStyle name="20% - Accent1 4 2 2 2 7 3 3" xfId="8518"/>
    <cellStyle name="20% - Accent1 4 2 2 2 7 3 3 2" xfId="46206"/>
    <cellStyle name="20% - Accent1 4 2 2 2 7 3 4" xfId="20319"/>
    <cellStyle name="20% - Accent1 4 2 2 2 7 3 4 2" xfId="56426"/>
    <cellStyle name="20% - Accent1 4 2 2 2 7 3 5" xfId="33934"/>
    <cellStyle name="20% - Accent1 4 2 2 2 7 4" xfId="14291"/>
    <cellStyle name="20% - Accent1 4 2 2 2 7 4 2" xfId="26092"/>
    <cellStyle name="20% - Accent1 4 2 2 2 7 4 2 2" xfId="46207"/>
    <cellStyle name="20% - Accent1 4 2 2 2 7 4 3" xfId="30137"/>
    <cellStyle name="20% - Accent1 4 2 2 2 7 4 3 2" xfId="46208"/>
    <cellStyle name="20% - Accent1 4 2 2 2 7 4 4" xfId="30138"/>
    <cellStyle name="20% - Accent1 4 2 2 2 7 4 4 2" xfId="56427"/>
    <cellStyle name="20% - Accent1 4 2 2 2 7 4 5" xfId="39707"/>
    <cellStyle name="20% - Accent1 4 2 2 2 7 5" xfId="14292"/>
    <cellStyle name="20% - Accent1 4 2 2 2 7 5 2" xfId="26093"/>
    <cellStyle name="20% - Accent1 4 2 2 2 7 5 2 2" xfId="56428"/>
    <cellStyle name="20% - Accent1 4 2 2 2 7 5 3" xfId="39708"/>
    <cellStyle name="20% - Accent1 4 2 2 2 7 6" xfId="6291"/>
    <cellStyle name="20% - Accent1 4 2 2 2 7 6 2" xfId="46209"/>
    <cellStyle name="20% - Accent1 4 2 2 2 7 7" xfId="18092"/>
    <cellStyle name="20% - Accent1 4 2 2 2 7 7 2" xfId="56429"/>
    <cellStyle name="20% - Accent1 4 2 2 2 7 8" xfId="31707"/>
    <cellStyle name="20% - Accent1 4 2 2 2 8" xfId="1515"/>
    <cellStyle name="20% - Accent1 4 2 2 2 8 2" xfId="3770"/>
    <cellStyle name="20% - Accent1 4 2 2 2 8 2 2" xfId="14293"/>
    <cellStyle name="20% - Accent1 4 2 2 2 8 2 2 2" xfId="26094"/>
    <cellStyle name="20% - Accent1 4 2 2 2 8 2 2 2 2" xfId="56430"/>
    <cellStyle name="20% - Accent1 4 2 2 2 8 2 2 3" xfId="39709"/>
    <cellStyle name="20% - Accent1 4 2 2 2 8 2 3" xfId="9223"/>
    <cellStyle name="20% - Accent1 4 2 2 2 8 2 3 2" xfId="46210"/>
    <cellStyle name="20% - Accent1 4 2 2 2 8 2 4" xfId="21024"/>
    <cellStyle name="20% - Accent1 4 2 2 2 8 2 4 2" xfId="56431"/>
    <cellStyle name="20% - Accent1 4 2 2 2 8 2 5" xfId="34639"/>
    <cellStyle name="20% - Accent1 4 2 2 2 8 3" xfId="14294"/>
    <cellStyle name="20% - Accent1 4 2 2 2 8 3 2" xfId="26095"/>
    <cellStyle name="20% - Accent1 4 2 2 2 8 3 2 2" xfId="46211"/>
    <cellStyle name="20% - Accent1 4 2 2 2 8 3 3" xfId="30139"/>
    <cellStyle name="20% - Accent1 4 2 2 2 8 3 3 2" xfId="46212"/>
    <cellStyle name="20% - Accent1 4 2 2 2 8 3 4" xfId="30140"/>
    <cellStyle name="20% - Accent1 4 2 2 2 8 3 4 2" xfId="56432"/>
    <cellStyle name="20% - Accent1 4 2 2 2 8 3 5" xfId="39710"/>
    <cellStyle name="20% - Accent1 4 2 2 2 8 4" xfId="14295"/>
    <cellStyle name="20% - Accent1 4 2 2 2 8 4 2" xfId="26096"/>
    <cellStyle name="20% - Accent1 4 2 2 2 8 4 2 2" xfId="56433"/>
    <cellStyle name="20% - Accent1 4 2 2 2 8 4 3" xfId="39711"/>
    <cellStyle name="20% - Accent1 4 2 2 2 8 5" xfId="6969"/>
    <cellStyle name="20% - Accent1 4 2 2 2 8 5 2" xfId="46213"/>
    <cellStyle name="20% - Accent1 4 2 2 2 8 6" xfId="18770"/>
    <cellStyle name="20% - Accent1 4 2 2 2 8 6 2" xfId="56434"/>
    <cellStyle name="20% - Accent1 4 2 2 2 8 7" xfId="32385"/>
    <cellStyle name="20% - Accent1 4 2 2 2 9" xfId="3633"/>
    <cellStyle name="20% - Accent1 4 2 2 2 9 2" xfId="14296"/>
    <cellStyle name="20% - Accent1 4 2 2 2 9 2 2" xfId="26097"/>
    <cellStyle name="20% - Accent1 4 2 2 2 9 2 2 2" xfId="56435"/>
    <cellStyle name="20% - Accent1 4 2 2 2 9 2 3" xfId="39712"/>
    <cellStyle name="20% - Accent1 4 2 2 2 9 3" xfId="9086"/>
    <cellStyle name="20% - Accent1 4 2 2 2 9 3 2" xfId="46214"/>
    <cellStyle name="20% - Accent1 4 2 2 2 9 4" xfId="20887"/>
    <cellStyle name="20% - Accent1 4 2 2 2 9 4 2" xfId="56436"/>
    <cellStyle name="20% - Accent1 4 2 2 2 9 5" xfId="34502"/>
    <cellStyle name="20% - Accent1 4 2 2 3" xfId="65"/>
    <cellStyle name="20% - Accent1 4 2 2 3 10" xfId="14297"/>
    <cellStyle name="20% - Accent1 4 2 2 3 10 2" xfId="26098"/>
    <cellStyle name="20% - Accent1 4 2 2 3 10 2 2" xfId="56437"/>
    <cellStyle name="20% - Accent1 4 2 2 3 10 3" xfId="39713"/>
    <cellStyle name="20% - Accent1 4 2 2 3 11" xfId="5519"/>
    <cellStyle name="20% - Accent1 4 2 2 3 11 2" xfId="46215"/>
    <cellStyle name="20% - Accent1 4 2 2 3 12" xfId="17320"/>
    <cellStyle name="20% - Accent1 4 2 2 3 12 2" xfId="56438"/>
    <cellStyle name="20% - Accent1 4 2 2 3 13" xfId="30935"/>
    <cellStyle name="20% - Accent1 4 2 2 3 2" xfId="132"/>
    <cellStyle name="20% - Accent1 4 2 2 3 2 10" xfId="5586"/>
    <cellStyle name="20% - Accent1 4 2 2 3 2 10 2" xfId="46216"/>
    <cellStyle name="20% - Accent1 4 2 2 3 2 11" xfId="17387"/>
    <cellStyle name="20% - Accent1 4 2 2 3 2 11 2" xfId="56439"/>
    <cellStyle name="20% - Accent1 4 2 2 3 2 12" xfId="31002"/>
    <cellStyle name="20% - Accent1 4 2 2 3 2 2" xfId="559"/>
    <cellStyle name="20% - Accent1 4 2 2 3 2 2 2" xfId="1516"/>
    <cellStyle name="20% - Accent1 4 2 2 3 2 2 2 2" xfId="4869"/>
    <cellStyle name="20% - Accent1 4 2 2 3 2 2 2 2 2" xfId="14298"/>
    <cellStyle name="20% - Accent1 4 2 2 3 2 2 2 2 2 2" xfId="26099"/>
    <cellStyle name="20% - Accent1 4 2 2 3 2 2 2 2 2 2 2" xfId="56440"/>
    <cellStyle name="20% - Accent1 4 2 2 3 2 2 2 2 2 3" xfId="39714"/>
    <cellStyle name="20% - Accent1 4 2 2 3 2 2 2 2 3" xfId="10322"/>
    <cellStyle name="20% - Accent1 4 2 2 3 2 2 2 2 3 2" xfId="46217"/>
    <cellStyle name="20% - Accent1 4 2 2 3 2 2 2 2 4" xfId="22123"/>
    <cellStyle name="20% - Accent1 4 2 2 3 2 2 2 2 4 2" xfId="56441"/>
    <cellStyle name="20% - Accent1 4 2 2 3 2 2 2 2 5" xfId="35738"/>
    <cellStyle name="20% - Accent1 4 2 2 3 2 2 2 3" xfId="3028"/>
    <cellStyle name="20% - Accent1 4 2 2 3 2 2 2 3 2" xfId="14299"/>
    <cellStyle name="20% - Accent1 4 2 2 3 2 2 2 3 2 2" xfId="26100"/>
    <cellStyle name="20% - Accent1 4 2 2 3 2 2 2 3 2 2 2" xfId="56442"/>
    <cellStyle name="20% - Accent1 4 2 2 3 2 2 2 3 2 3" xfId="39715"/>
    <cellStyle name="20% - Accent1 4 2 2 3 2 2 2 3 3" xfId="8481"/>
    <cellStyle name="20% - Accent1 4 2 2 3 2 2 2 3 3 2" xfId="46218"/>
    <cellStyle name="20% - Accent1 4 2 2 3 2 2 2 3 4" xfId="20282"/>
    <cellStyle name="20% - Accent1 4 2 2 3 2 2 2 3 4 2" xfId="56443"/>
    <cellStyle name="20% - Accent1 4 2 2 3 2 2 2 3 5" xfId="33897"/>
    <cellStyle name="20% - Accent1 4 2 2 3 2 2 2 4" xfId="14300"/>
    <cellStyle name="20% - Accent1 4 2 2 3 2 2 2 4 2" xfId="26101"/>
    <cellStyle name="20% - Accent1 4 2 2 3 2 2 2 4 2 2" xfId="56444"/>
    <cellStyle name="20% - Accent1 4 2 2 3 2 2 2 4 3" xfId="39716"/>
    <cellStyle name="20% - Accent1 4 2 2 3 2 2 2 5" xfId="6970"/>
    <cellStyle name="20% - Accent1 4 2 2 3 2 2 2 5 2" xfId="46219"/>
    <cellStyle name="20% - Accent1 4 2 2 3 2 2 2 6" xfId="18771"/>
    <cellStyle name="20% - Accent1 4 2 2 3 2 2 2 6 2" xfId="56445"/>
    <cellStyle name="20% - Accent1 4 2 2 3 2 2 2 7" xfId="32386"/>
    <cellStyle name="20% - Accent1 4 2 2 3 2 2 3" xfId="3596"/>
    <cellStyle name="20% - Accent1 4 2 2 3 2 2 3 2" xfId="5437"/>
    <cellStyle name="20% - Accent1 4 2 2 3 2 2 3 2 2" xfId="16907"/>
    <cellStyle name="20% - Accent1 4 2 2 3 2 2 3 2 2 2" xfId="28708"/>
    <cellStyle name="20% - Accent1 4 2 2 3 2 2 3 2 2 2 2" xfId="56446"/>
    <cellStyle name="20% - Accent1 4 2 2 3 2 2 3 2 2 3" xfId="42323"/>
    <cellStyle name="20% - Accent1 4 2 2 3 2 2 3 2 3" xfId="10890"/>
    <cellStyle name="20% - Accent1 4 2 2 3 2 2 3 2 3 2" xfId="56447"/>
    <cellStyle name="20% - Accent1 4 2 2 3 2 2 3 2 4" xfId="22691"/>
    <cellStyle name="20% - Accent1 4 2 2 3 2 2 3 2 4 2" xfId="56448"/>
    <cellStyle name="20% - Accent1 4 2 2 3 2 2 3 2 5" xfId="36306"/>
    <cellStyle name="20% - Accent1 4 2 2 3 2 2 3 3" xfId="14301"/>
    <cellStyle name="20% - Accent1 4 2 2 3 2 2 3 3 2" xfId="26102"/>
    <cellStyle name="20% - Accent1 4 2 2 3 2 2 3 3 2 2" xfId="56449"/>
    <cellStyle name="20% - Accent1 4 2 2 3 2 2 3 3 3" xfId="39717"/>
    <cellStyle name="20% - Accent1 4 2 2 3 2 2 3 4" xfId="9049"/>
    <cellStyle name="20% - Accent1 4 2 2 3 2 2 3 4 2" xfId="56450"/>
    <cellStyle name="20% - Accent1 4 2 2 3 2 2 3 5" xfId="20850"/>
    <cellStyle name="20% - Accent1 4 2 2 3 2 2 3 5 2" xfId="56451"/>
    <cellStyle name="20% - Accent1 4 2 2 3 2 2 3 6" xfId="34465"/>
    <cellStyle name="20% - Accent1 4 2 2 3 2 2 4" xfId="4301"/>
    <cellStyle name="20% - Accent1 4 2 2 3 2 2 4 2" xfId="14302"/>
    <cellStyle name="20% - Accent1 4 2 2 3 2 2 4 2 2" xfId="26103"/>
    <cellStyle name="20% - Accent1 4 2 2 3 2 2 4 2 2 2" xfId="56452"/>
    <cellStyle name="20% - Accent1 4 2 2 3 2 2 4 2 3" xfId="39718"/>
    <cellStyle name="20% - Accent1 4 2 2 3 2 2 4 3" xfId="9754"/>
    <cellStyle name="20% - Accent1 4 2 2 3 2 2 4 3 2" xfId="46220"/>
    <cellStyle name="20% - Accent1 4 2 2 3 2 2 4 4" xfId="21555"/>
    <cellStyle name="20% - Accent1 4 2 2 3 2 2 4 4 2" xfId="56453"/>
    <cellStyle name="20% - Accent1 4 2 2 3 2 2 4 5" xfId="35170"/>
    <cellStyle name="20% - Accent1 4 2 2 3 2 2 5" xfId="2460"/>
    <cellStyle name="20% - Accent1 4 2 2 3 2 2 5 2" xfId="17120"/>
    <cellStyle name="20% - Accent1 4 2 2 3 2 2 5 2 2" xfId="28921"/>
    <cellStyle name="20% - Accent1 4 2 2 3 2 2 5 2 2 2" xfId="56454"/>
    <cellStyle name="20% - Accent1 4 2 2 3 2 2 5 2 3" xfId="42536"/>
    <cellStyle name="20% - Accent1 4 2 2 3 2 2 5 3" xfId="7913"/>
    <cellStyle name="20% - Accent1 4 2 2 3 2 2 5 3 2" xfId="56455"/>
    <cellStyle name="20% - Accent1 4 2 2 3 2 2 5 4" xfId="19714"/>
    <cellStyle name="20% - Accent1 4 2 2 3 2 2 5 4 2" xfId="56456"/>
    <cellStyle name="20% - Accent1 4 2 2 3 2 2 5 5" xfId="33329"/>
    <cellStyle name="20% - Accent1 4 2 2 3 2 2 6" xfId="14303"/>
    <cellStyle name="20% - Accent1 4 2 2 3 2 2 6 2" xfId="26104"/>
    <cellStyle name="20% - Accent1 4 2 2 3 2 2 6 2 2" xfId="56457"/>
    <cellStyle name="20% - Accent1 4 2 2 3 2 2 6 3" xfId="39719"/>
    <cellStyle name="20% - Accent1 4 2 2 3 2 2 7" xfId="6013"/>
    <cellStyle name="20% - Accent1 4 2 2 3 2 2 7 2" xfId="56458"/>
    <cellStyle name="20% - Accent1 4 2 2 3 2 2 8" xfId="17814"/>
    <cellStyle name="20% - Accent1 4 2 2 3 2 2 8 2" xfId="56459"/>
    <cellStyle name="20% - Accent1 4 2 2 3 2 2 9" xfId="31429"/>
    <cellStyle name="20% - Accent1 4 2 2 3 2 3" xfId="422"/>
    <cellStyle name="20% - Accent1 4 2 2 3 2 3 2" xfId="1517"/>
    <cellStyle name="20% - Accent1 4 2 2 3 2 3 2 2" xfId="4732"/>
    <cellStyle name="20% - Accent1 4 2 2 3 2 3 2 2 2" xfId="14304"/>
    <cellStyle name="20% - Accent1 4 2 2 3 2 3 2 2 2 2" xfId="26105"/>
    <cellStyle name="20% - Accent1 4 2 2 3 2 3 2 2 2 2 2" xfId="56460"/>
    <cellStyle name="20% - Accent1 4 2 2 3 2 3 2 2 2 3" xfId="39720"/>
    <cellStyle name="20% - Accent1 4 2 2 3 2 3 2 2 3" xfId="10185"/>
    <cellStyle name="20% - Accent1 4 2 2 3 2 3 2 2 3 2" xfId="46221"/>
    <cellStyle name="20% - Accent1 4 2 2 3 2 3 2 2 4" xfId="21986"/>
    <cellStyle name="20% - Accent1 4 2 2 3 2 3 2 2 4 2" xfId="56461"/>
    <cellStyle name="20% - Accent1 4 2 2 3 2 3 2 2 5" xfId="35601"/>
    <cellStyle name="20% - Accent1 4 2 2 3 2 3 2 3" xfId="2891"/>
    <cellStyle name="20% - Accent1 4 2 2 3 2 3 2 3 2" xfId="14305"/>
    <cellStyle name="20% - Accent1 4 2 2 3 2 3 2 3 2 2" xfId="26106"/>
    <cellStyle name="20% - Accent1 4 2 2 3 2 3 2 3 2 2 2" xfId="56462"/>
    <cellStyle name="20% - Accent1 4 2 2 3 2 3 2 3 2 3" xfId="39721"/>
    <cellStyle name="20% - Accent1 4 2 2 3 2 3 2 3 3" xfId="8344"/>
    <cellStyle name="20% - Accent1 4 2 2 3 2 3 2 3 3 2" xfId="46222"/>
    <cellStyle name="20% - Accent1 4 2 2 3 2 3 2 3 4" xfId="20145"/>
    <cellStyle name="20% - Accent1 4 2 2 3 2 3 2 3 4 2" xfId="56463"/>
    <cellStyle name="20% - Accent1 4 2 2 3 2 3 2 3 5" xfId="33760"/>
    <cellStyle name="20% - Accent1 4 2 2 3 2 3 2 4" xfId="14306"/>
    <cellStyle name="20% - Accent1 4 2 2 3 2 3 2 4 2" xfId="26107"/>
    <cellStyle name="20% - Accent1 4 2 2 3 2 3 2 4 2 2" xfId="56464"/>
    <cellStyle name="20% - Accent1 4 2 2 3 2 3 2 4 3" xfId="39722"/>
    <cellStyle name="20% - Accent1 4 2 2 3 2 3 2 5" xfId="6971"/>
    <cellStyle name="20% - Accent1 4 2 2 3 2 3 2 5 2" xfId="46223"/>
    <cellStyle name="20% - Accent1 4 2 2 3 2 3 2 6" xfId="18772"/>
    <cellStyle name="20% - Accent1 4 2 2 3 2 3 2 6 2" xfId="56465"/>
    <cellStyle name="20% - Accent1 4 2 2 3 2 3 2 7" xfId="32387"/>
    <cellStyle name="20% - Accent1 4 2 2 3 2 3 3" xfId="3459"/>
    <cellStyle name="20% - Accent1 4 2 2 3 2 3 3 2" xfId="5300"/>
    <cellStyle name="20% - Accent1 4 2 2 3 2 3 3 2 2" xfId="16770"/>
    <cellStyle name="20% - Accent1 4 2 2 3 2 3 3 2 2 2" xfId="28571"/>
    <cellStyle name="20% - Accent1 4 2 2 3 2 3 3 2 2 2 2" xfId="56466"/>
    <cellStyle name="20% - Accent1 4 2 2 3 2 3 3 2 2 3" xfId="42186"/>
    <cellStyle name="20% - Accent1 4 2 2 3 2 3 3 2 3" xfId="10753"/>
    <cellStyle name="20% - Accent1 4 2 2 3 2 3 3 2 3 2" xfId="56467"/>
    <cellStyle name="20% - Accent1 4 2 2 3 2 3 3 2 4" xfId="22554"/>
    <cellStyle name="20% - Accent1 4 2 2 3 2 3 3 2 4 2" xfId="56468"/>
    <cellStyle name="20% - Accent1 4 2 2 3 2 3 3 2 5" xfId="36169"/>
    <cellStyle name="20% - Accent1 4 2 2 3 2 3 3 3" xfId="14307"/>
    <cellStyle name="20% - Accent1 4 2 2 3 2 3 3 3 2" xfId="26108"/>
    <cellStyle name="20% - Accent1 4 2 2 3 2 3 3 3 2 2" xfId="56469"/>
    <cellStyle name="20% - Accent1 4 2 2 3 2 3 3 3 3" xfId="39723"/>
    <cellStyle name="20% - Accent1 4 2 2 3 2 3 3 4" xfId="8912"/>
    <cellStyle name="20% - Accent1 4 2 2 3 2 3 3 4 2" xfId="56470"/>
    <cellStyle name="20% - Accent1 4 2 2 3 2 3 3 5" xfId="20713"/>
    <cellStyle name="20% - Accent1 4 2 2 3 2 3 3 5 2" xfId="56471"/>
    <cellStyle name="20% - Accent1 4 2 2 3 2 3 3 6" xfId="34328"/>
    <cellStyle name="20% - Accent1 4 2 2 3 2 3 4" xfId="4164"/>
    <cellStyle name="20% - Accent1 4 2 2 3 2 3 4 2" xfId="14308"/>
    <cellStyle name="20% - Accent1 4 2 2 3 2 3 4 2 2" xfId="26109"/>
    <cellStyle name="20% - Accent1 4 2 2 3 2 3 4 2 2 2" xfId="56472"/>
    <cellStyle name="20% - Accent1 4 2 2 3 2 3 4 2 3" xfId="39724"/>
    <cellStyle name="20% - Accent1 4 2 2 3 2 3 4 3" xfId="9617"/>
    <cellStyle name="20% - Accent1 4 2 2 3 2 3 4 3 2" xfId="46224"/>
    <cellStyle name="20% - Accent1 4 2 2 3 2 3 4 4" xfId="21418"/>
    <cellStyle name="20% - Accent1 4 2 2 3 2 3 4 4 2" xfId="56473"/>
    <cellStyle name="20% - Accent1 4 2 2 3 2 3 4 5" xfId="35033"/>
    <cellStyle name="20% - Accent1 4 2 2 3 2 3 5" xfId="2323"/>
    <cellStyle name="20% - Accent1 4 2 2 3 2 3 5 2" xfId="17121"/>
    <cellStyle name="20% - Accent1 4 2 2 3 2 3 5 2 2" xfId="28922"/>
    <cellStyle name="20% - Accent1 4 2 2 3 2 3 5 2 2 2" xfId="56474"/>
    <cellStyle name="20% - Accent1 4 2 2 3 2 3 5 2 3" xfId="42537"/>
    <cellStyle name="20% - Accent1 4 2 2 3 2 3 5 3" xfId="7776"/>
    <cellStyle name="20% - Accent1 4 2 2 3 2 3 5 3 2" xfId="56475"/>
    <cellStyle name="20% - Accent1 4 2 2 3 2 3 5 4" xfId="19577"/>
    <cellStyle name="20% - Accent1 4 2 2 3 2 3 5 4 2" xfId="56476"/>
    <cellStyle name="20% - Accent1 4 2 2 3 2 3 5 5" xfId="33192"/>
    <cellStyle name="20% - Accent1 4 2 2 3 2 3 6" xfId="14309"/>
    <cellStyle name="20% - Accent1 4 2 2 3 2 3 6 2" xfId="26110"/>
    <cellStyle name="20% - Accent1 4 2 2 3 2 3 6 2 2" xfId="56477"/>
    <cellStyle name="20% - Accent1 4 2 2 3 2 3 6 3" xfId="39725"/>
    <cellStyle name="20% - Accent1 4 2 2 3 2 3 7" xfId="5876"/>
    <cellStyle name="20% - Accent1 4 2 2 3 2 3 7 2" xfId="56478"/>
    <cellStyle name="20% - Accent1 4 2 2 3 2 3 8" xfId="17677"/>
    <cellStyle name="20% - Accent1 4 2 2 3 2 3 8 2" xfId="56479"/>
    <cellStyle name="20% - Accent1 4 2 2 3 2 3 9" xfId="31292"/>
    <cellStyle name="20% - Accent1 4 2 2 3 2 4" xfId="700"/>
    <cellStyle name="20% - Accent1 4 2 2 3 2 4 2" xfId="1518"/>
    <cellStyle name="20% - Accent1 4 2 2 3 2 4 2 2" xfId="4442"/>
    <cellStyle name="20% - Accent1 4 2 2 3 2 4 2 2 2" xfId="14310"/>
    <cellStyle name="20% - Accent1 4 2 2 3 2 4 2 2 2 2" xfId="26111"/>
    <cellStyle name="20% - Accent1 4 2 2 3 2 4 2 2 2 2 2" xfId="56480"/>
    <cellStyle name="20% - Accent1 4 2 2 3 2 4 2 2 2 3" xfId="39726"/>
    <cellStyle name="20% - Accent1 4 2 2 3 2 4 2 2 3" xfId="9895"/>
    <cellStyle name="20% - Accent1 4 2 2 3 2 4 2 2 3 2" xfId="46225"/>
    <cellStyle name="20% - Accent1 4 2 2 3 2 4 2 2 4" xfId="21696"/>
    <cellStyle name="20% - Accent1 4 2 2 3 2 4 2 2 4 2" xfId="56481"/>
    <cellStyle name="20% - Accent1 4 2 2 3 2 4 2 2 5" xfId="35311"/>
    <cellStyle name="20% - Accent1 4 2 2 3 2 4 2 3" xfId="14311"/>
    <cellStyle name="20% - Accent1 4 2 2 3 2 4 2 3 2" xfId="26112"/>
    <cellStyle name="20% - Accent1 4 2 2 3 2 4 2 3 2 2" xfId="46226"/>
    <cellStyle name="20% - Accent1 4 2 2 3 2 4 2 3 3" xfId="30141"/>
    <cellStyle name="20% - Accent1 4 2 2 3 2 4 2 3 3 2" xfId="46227"/>
    <cellStyle name="20% - Accent1 4 2 2 3 2 4 2 3 4" xfId="30142"/>
    <cellStyle name="20% - Accent1 4 2 2 3 2 4 2 3 4 2" xfId="56482"/>
    <cellStyle name="20% - Accent1 4 2 2 3 2 4 2 3 5" xfId="39727"/>
    <cellStyle name="20% - Accent1 4 2 2 3 2 4 2 4" xfId="14312"/>
    <cellStyle name="20% - Accent1 4 2 2 3 2 4 2 4 2" xfId="26113"/>
    <cellStyle name="20% - Accent1 4 2 2 3 2 4 2 4 2 2" xfId="56483"/>
    <cellStyle name="20% - Accent1 4 2 2 3 2 4 2 4 3" xfId="39728"/>
    <cellStyle name="20% - Accent1 4 2 2 3 2 4 2 5" xfId="6972"/>
    <cellStyle name="20% - Accent1 4 2 2 3 2 4 2 5 2" xfId="46228"/>
    <cellStyle name="20% - Accent1 4 2 2 3 2 4 2 6" xfId="18773"/>
    <cellStyle name="20% - Accent1 4 2 2 3 2 4 2 6 2" xfId="56484"/>
    <cellStyle name="20% - Accent1 4 2 2 3 2 4 2 7" xfId="32388"/>
    <cellStyle name="20% - Accent1 4 2 2 3 2 4 3" xfId="2601"/>
    <cellStyle name="20% - Accent1 4 2 2 3 2 4 3 2" xfId="14313"/>
    <cellStyle name="20% - Accent1 4 2 2 3 2 4 3 2 2" xfId="26114"/>
    <cellStyle name="20% - Accent1 4 2 2 3 2 4 3 2 2 2" xfId="56485"/>
    <cellStyle name="20% - Accent1 4 2 2 3 2 4 3 2 3" xfId="39729"/>
    <cellStyle name="20% - Accent1 4 2 2 3 2 4 3 3" xfId="8054"/>
    <cellStyle name="20% - Accent1 4 2 2 3 2 4 3 3 2" xfId="46229"/>
    <cellStyle name="20% - Accent1 4 2 2 3 2 4 3 4" xfId="19855"/>
    <cellStyle name="20% - Accent1 4 2 2 3 2 4 3 4 2" xfId="56486"/>
    <cellStyle name="20% - Accent1 4 2 2 3 2 4 3 5" xfId="33470"/>
    <cellStyle name="20% - Accent1 4 2 2 3 2 4 4" xfId="14314"/>
    <cellStyle name="20% - Accent1 4 2 2 3 2 4 4 2" xfId="26115"/>
    <cellStyle name="20% - Accent1 4 2 2 3 2 4 4 2 2" xfId="46230"/>
    <cellStyle name="20% - Accent1 4 2 2 3 2 4 4 3" xfId="30143"/>
    <cellStyle name="20% - Accent1 4 2 2 3 2 4 4 3 2" xfId="46231"/>
    <cellStyle name="20% - Accent1 4 2 2 3 2 4 4 4" xfId="30144"/>
    <cellStyle name="20% - Accent1 4 2 2 3 2 4 4 4 2" xfId="56487"/>
    <cellStyle name="20% - Accent1 4 2 2 3 2 4 4 5" xfId="39730"/>
    <cellStyle name="20% - Accent1 4 2 2 3 2 4 5" xfId="14315"/>
    <cellStyle name="20% - Accent1 4 2 2 3 2 4 5 2" xfId="26116"/>
    <cellStyle name="20% - Accent1 4 2 2 3 2 4 5 2 2" xfId="56488"/>
    <cellStyle name="20% - Accent1 4 2 2 3 2 4 5 3" xfId="39731"/>
    <cellStyle name="20% - Accent1 4 2 2 3 2 4 6" xfId="6154"/>
    <cellStyle name="20% - Accent1 4 2 2 3 2 4 6 2" xfId="46232"/>
    <cellStyle name="20% - Accent1 4 2 2 3 2 4 7" xfId="17955"/>
    <cellStyle name="20% - Accent1 4 2 2 3 2 4 7 2" xfId="56489"/>
    <cellStyle name="20% - Accent1 4 2 2 3 2 4 8" xfId="31570"/>
    <cellStyle name="20% - Accent1 4 2 2 3 2 5" xfId="941"/>
    <cellStyle name="20% - Accent1 4 2 2 3 2 5 2" xfId="1519"/>
    <cellStyle name="20% - Accent1 4 2 2 3 2 5 2 2" xfId="5010"/>
    <cellStyle name="20% - Accent1 4 2 2 3 2 5 2 2 2" xfId="14316"/>
    <cellStyle name="20% - Accent1 4 2 2 3 2 5 2 2 2 2" xfId="26117"/>
    <cellStyle name="20% - Accent1 4 2 2 3 2 5 2 2 2 2 2" xfId="56490"/>
    <cellStyle name="20% - Accent1 4 2 2 3 2 5 2 2 2 3" xfId="39732"/>
    <cellStyle name="20% - Accent1 4 2 2 3 2 5 2 2 3" xfId="10463"/>
    <cellStyle name="20% - Accent1 4 2 2 3 2 5 2 2 3 2" xfId="46233"/>
    <cellStyle name="20% - Accent1 4 2 2 3 2 5 2 2 4" xfId="22264"/>
    <cellStyle name="20% - Accent1 4 2 2 3 2 5 2 2 4 2" xfId="56491"/>
    <cellStyle name="20% - Accent1 4 2 2 3 2 5 2 2 5" xfId="35879"/>
    <cellStyle name="20% - Accent1 4 2 2 3 2 5 2 3" xfId="14317"/>
    <cellStyle name="20% - Accent1 4 2 2 3 2 5 2 3 2" xfId="26118"/>
    <cellStyle name="20% - Accent1 4 2 2 3 2 5 2 3 2 2" xfId="46234"/>
    <cellStyle name="20% - Accent1 4 2 2 3 2 5 2 3 3" xfId="30145"/>
    <cellStyle name="20% - Accent1 4 2 2 3 2 5 2 3 3 2" xfId="46235"/>
    <cellStyle name="20% - Accent1 4 2 2 3 2 5 2 3 4" xfId="30146"/>
    <cellStyle name="20% - Accent1 4 2 2 3 2 5 2 3 4 2" xfId="56492"/>
    <cellStyle name="20% - Accent1 4 2 2 3 2 5 2 3 5" xfId="39733"/>
    <cellStyle name="20% - Accent1 4 2 2 3 2 5 2 4" xfId="14318"/>
    <cellStyle name="20% - Accent1 4 2 2 3 2 5 2 4 2" xfId="26119"/>
    <cellStyle name="20% - Accent1 4 2 2 3 2 5 2 4 2 2" xfId="56493"/>
    <cellStyle name="20% - Accent1 4 2 2 3 2 5 2 4 3" xfId="39734"/>
    <cellStyle name="20% - Accent1 4 2 2 3 2 5 2 5" xfId="6973"/>
    <cellStyle name="20% - Accent1 4 2 2 3 2 5 2 5 2" xfId="46236"/>
    <cellStyle name="20% - Accent1 4 2 2 3 2 5 2 6" xfId="18774"/>
    <cellStyle name="20% - Accent1 4 2 2 3 2 5 2 6 2" xfId="56494"/>
    <cellStyle name="20% - Accent1 4 2 2 3 2 5 2 7" xfId="32389"/>
    <cellStyle name="20% - Accent1 4 2 2 3 2 5 3" xfId="3169"/>
    <cellStyle name="20% - Accent1 4 2 2 3 2 5 3 2" xfId="14319"/>
    <cellStyle name="20% - Accent1 4 2 2 3 2 5 3 2 2" xfId="26120"/>
    <cellStyle name="20% - Accent1 4 2 2 3 2 5 3 2 2 2" xfId="56495"/>
    <cellStyle name="20% - Accent1 4 2 2 3 2 5 3 2 3" xfId="39735"/>
    <cellStyle name="20% - Accent1 4 2 2 3 2 5 3 3" xfId="8622"/>
    <cellStyle name="20% - Accent1 4 2 2 3 2 5 3 3 2" xfId="46237"/>
    <cellStyle name="20% - Accent1 4 2 2 3 2 5 3 4" xfId="20423"/>
    <cellStyle name="20% - Accent1 4 2 2 3 2 5 3 4 2" xfId="56496"/>
    <cellStyle name="20% - Accent1 4 2 2 3 2 5 3 5" xfId="34038"/>
    <cellStyle name="20% - Accent1 4 2 2 3 2 5 4" xfId="14320"/>
    <cellStyle name="20% - Accent1 4 2 2 3 2 5 4 2" xfId="26121"/>
    <cellStyle name="20% - Accent1 4 2 2 3 2 5 4 2 2" xfId="46238"/>
    <cellStyle name="20% - Accent1 4 2 2 3 2 5 4 3" xfId="30147"/>
    <cellStyle name="20% - Accent1 4 2 2 3 2 5 4 3 2" xfId="46239"/>
    <cellStyle name="20% - Accent1 4 2 2 3 2 5 4 4" xfId="30148"/>
    <cellStyle name="20% - Accent1 4 2 2 3 2 5 4 4 2" xfId="56497"/>
    <cellStyle name="20% - Accent1 4 2 2 3 2 5 4 5" xfId="39736"/>
    <cellStyle name="20% - Accent1 4 2 2 3 2 5 5" xfId="14321"/>
    <cellStyle name="20% - Accent1 4 2 2 3 2 5 5 2" xfId="26122"/>
    <cellStyle name="20% - Accent1 4 2 2 3 2 5 5 2 2" xfId="56498"/>
    <cellStyle name="20% - Accent1 4 2 2 3 2 5 5 3" xfId="39737"/>
    <cellStyle name="20% - Accent1 4 2 2 3 2 5 6" xfId="6395"/>
    <cellStyle name="20% - Accent1 4 2 2 3 2 5 6 2" xfId="46240"/>
    <cellStyle name="20% - Accent1 4 2 2 3 2 5 7" xfId="18196"/>
    <cellStyle name="20% - Accent1 4 2 2 3 2 5 7 2" xfId="56499"/>
    <cellStyle name="20% - Accent1 4 2 2 3 2 5 8" xfId="31811"/>
    <cellStyle name="20% - Accent1 4 2 2 3 2 6" xfId="1520"/>
    <cellStyle name="20% - Accent1 4 2 2 3 2 6 2" xfId="3874"/>
    <cellStyle name="20% - Accent1 4 2 2 3 2 6 2 2" xfId="14322"/>
    <cellStyle name="20% - Accent1 4 2 2 3 2 6 2 2 2" xfId="26123"/>
    <cellStyle name="20% - Accent1 4 2 2 3 2 6 2 2 2 2" xfId="56500"/>
    <cellStyle name="20% - Accent1 4 2 2 3 2 6 2 2 3" xfId="39738"/>
    <cellStyle name="20% - Accent1 4 2 2 3 2 6 2 3" xfId="9327"/>
    <cellStyle name="20% - Accent1 4 2 2 3 2 6 2 3 2" xfId="46241"/>
    <cellStyle name="20% - Accent1 4 2 2 3 2 6 2 4" xfId="21128"/>
    <cellStyle name="20% - Accent1 4 2 2 3 2 6 2 4 2" xfId="56501"/>
    <cellStyle name="20% - Accent1 4 2 2 3 2 6 2 5" xfId="34743"/>
    <cellStyle name="20% - Accent1 4 2 2 3 2 6 3" xfId="14323"/>
    <cellStyle name="20% - Accent1 4 2 2 3 2 6 3 2" xfId="26124"/>
    <cellStyle name="20% - Accent1 4 2 2 3 2 6 3 2 2" xfId="46242"/>
    <cellStyle name="20% - Accent1 4 2 2 3 2 6 3 3" xfId="30149"/>
    <cellStyle name="20% - Accent1 4 2 2 3 2 6 3 3 2" xfId="46243"/>
    <cellStyle name="20% - Accent1 4 2 2 3 2 6 3 4" xfId="30150"/>
    <cellStyle name="20% - Accent1 4 2 2 3 2 6 3 4 2" xfId="56502"/>
    <cellStyle name="20% - Accent1 4 2 2 3 2 6 3 5" xfId="39739"/>
    <cellStyle name="20% - Accent1 4 2 2 3 2 6 4" xfId="14324"/>
    <cellStyle name="20% - Accent1 4 2 2 3 2 6 4 2" xfId="26125"/>
    <cellStyle name="20% - Accent1 4 2 2 3 2 6 4 2 2" xfId="56503"/>
    <cellStyle name="20% - Accent1 4 2 2 3 2 6 4 3" xfId="39740"/>
    <cellStyle name="20% - Accent1 4 2 2 3 2 6 5" xfId="6974"/>
    <cellStyle name="20% - Accent1 4 2 2 3 2 6 5 2" xfId="46244"/>
    <cellStyle name="20% - Accent1 4 2 2 3 2 6 6" xfId="18775"/>
    <cellStyle name="20% - Accent1 4 2 2 3 2 6 6 2" xfId="56504"/>
    <cellStyle name="20% - Accent1 4 2 2 3 2 6 7" xfId="32390"/>
    <cellStyle name="20% - Accent1 4 2 2 3 2 7" xfId="3737"/>
    <cellStyle name="20% - Accent1 4 2 2 3 2 7 2" xfId="14325"/>
    <cellStyle name="20% - Accent1 4 2 2 3 2 7 2 2" xfId="26126"/>
    <cellStyle name="20% - Accent1 4 2 2 3 2 7 2 2 2" xfId="56505"/>
    <cellStyle name="20% - Accent1 4 2 2 3 2 7 2 3" xfId="39741"/>
    <cellStyle name="20% - Accent1 4 2 2 3 2 7 3" xfId="9190"/>
    <cellStyle name="20% - Accent1 4 2 2 3 2 7 3 2" xfId="46245"/>
    <cellStyle name="20% - Accent1 4 2 2 3 2 7 4" xfId="20991"/>
    <cellStyle name="20% - Accent1 4 2 2 3 2 7 4 2" xfId="56506"/>
    <cellStyle name="20% - Accent1 4 2 2 3 2 7 5" xfId="34606"/>
    <cellStyle name="20% - Accent1 4 2 2 3 2 8" xfId="2033"/>
    <cellStyle name="20% - Accent1 4 2 2 3 2 8 2" xfId="14326"/>
    <cellStyle name="20% - Accent1 4 2 2 3 2 8 2 2" xfId="26127"/>
    <cellStyle name="20% - Accent1 4 2 2 3 2 8 2 2 2" xfId="56507"/>
    <cellStyle name="20% - Accent1 4 2 2 3 2 8 2 3" xfId="39742"/>
    <cellStyle name="20% - Accent1 4 2 2 3 2 8 3" xfId="7486"/>
    <cellStyle name="20% - Accent1 4 2 2 3 2 8 3 2" xfId="46246"/>
    <cellStyle name="20% - Accent1 4 2 2 3 2 8 4" xfId="19287"/>
    <cellStyle name="20% - Accent1 4 2 2 3 2 8 4 2" xfId="56508"/>
    <cellStyle name="20% - Accent1 4 2 2 3 2 8 5" xfId="32902"/>
    <cellStyle name="20% - Accent1 4 2 2 3 2 9" xfId="14327"/>
    <cellStyle name="20% - Accent1 4 2 2 3 2 9 2" xfId="26128"/>
    <cellStyle name="20% - Accent1 4 2 2 3 2 9 2 2" xfId="56509"/>
    <cellStyle name="20% - Accent1 4 2 2 3 2 9 3" xfId="39743"/>
    <cellStyle name="20% - Accent1 4 2 2 3 3" xfId="220"/>
    <cellStyle name="20% - Accent1 4 2 2 3 3 10" xfId="31090"/>
    <cellStyle name="20% - Accent1 4 2 2 3 3 2" xfId="492"/>
    <cellStyle name="20% - Accent1 4 2 2 3 3 2 2" xfId="1521"/>
    <cellStyle name="20% - Accent1 4 2 2 3 3 2 2 2" xfId="4802"/>
    <cellStyle name="20% - Accent1 4 2 2 3 3 2 2 2 2" xfId="14328"/>
    <cellStyle name="20% - Accent1 4 2 2 3 3 2 2 2 2 2" xfId="26129"/>
    <cellStyle name="20% - Accent1 4 2 2 3 3 2 2 2 2 2 2" xfId="56510"/>
    <cellStyle name="20% - Accent1 4 2 2 3 3 2 2 2 2 3" xfId="39744"/>
    <cellStyle name="20% - Accent1 4 2 2 3 3 2 2 2 3" xfId="10255"/>
    <cellStyle name="20% - Accent1 4 2 2 3 3 2 2 2 3 2" xfId="46247"/>
    <cellStyle name="20% - Accent1 4 2 2 3 3 2 2 2 4" xfId="22056"/>
    <cellStyle name="20% - Accent1 4 2 2 3 3 2 2 2 4 2" xfId="56511"/>
    <cellStyle name="20% - Accent1 4 2 2 3 3 2 2 2 5" xfId="35671"/>
    <cellStyle name="20% - Accent1 4 2 2 3 3 2 2 3" xfId="2961"/>
    <cellStyle name="20% - Accent1 4 2 2 3 3 2 2 3 2" xfId="14329"/>
    <cellStyle name="20% - Accent1 4 2 2 3 3 2 2 3 2 2" xfId="26130"/>
    <cellStyle name="20% - Accent1 4 2 2 3 3 2 2 3 2 2 2" xfId="56512"/>
    <cellStyle name="20% - Accent1 4 2 2 3 3 2 2 3 2 3" xfId="39745"/>
    <cellStyle name="20% - Accent1 4 2 2 3 3 2 2 3 3" xfId="8414"/>
    <cellStyle name="20% - Accent1 4 2 2 3 3 2 2 3 3 2" xfId="46248"/>
    <cellStyle name="20% - Accent1 4 2 2 3 3 2 2 3 4" xfId="20215"/>
    <cellStyle name="20% - Accent1 4 2 2 3 3 2 2 3 4 2" xfId="56513"/>
    <cellStyle name="20% - Accent1 4 2 2 3 3 2 2 3 5" xfId="33830"/>
    <cellStyle name="20% - Accent1 4 2 2 3 3 2 2 4" xfId="14330"/>
    <cellStyle name="20% - Accent1 4 2 2 3 3 2 2 4 2" xfId="26131"/>
    <cellStyle name="20% - Accent1 4 2 2 3 3 2 2 4 2 2" xfId="56514"/>
    <cellStyle name="20% - Accent1 4 2 2 3 3 2 2 4 3" xfId="39746"/>
    <cellStyle name="20% - Accent1 4 2 2 3 3 2 2 5" xfId="6975"/>
    <cellStyle name="20% - Accent1 4 2 2 3 3 2 2 5 2" xfId="46249"/>
    <cellStyle name="20% - Accent1 4 2 2 3 3 2 2 6" xfId="18776"/>
    <cellStyle name="20% - Accent1 4 2 2 3 3 2 2 6 2" xfId="56515"/>
    <cellStyle name="20% - Accent1 4 2 2 3 3 2 2 7" xfId="32391"/>
    <cellStyle name="20% - Accent1 4 2 2 3 3 2 3" xfId="3529"/>
    <cellStyle name="20% - Accent1 4 2 2 3 3 2 3 2" xfId="5370"/>
    <cellStyle name="20% - Accent1 4 2 2 3 3 2 3 2 2" xfId="16840"/>
    <cellStyle name="20% - Accent1 4 2 2 3 3 2 3 2 2 2" xfId="28641"/>
    <cellStyle name="20% - Accent1 4 2 2 3 3 2 3 2 2 2 2" xfId="56516"/>
    <cellStyle name="20% - Accent1 4 2 2 3 3 2 3 2 2 3" xfId="42256"/>
    <cellStyle name="20% - Accent1 4 2 2 3 3 2 3 2 3" xfId="10823"/>
    <cellStyle name="20% - Accent1 4 2 2 3 3 2 3 2 3 2" xfId="56517"/>
    <cellStyle name="20% - Accent1 4 2 2 3 3 2 3 2 4" xfId="22624"/>
    <cellStyle name="20% - Accent1 4 2 2 3 3 2 3 2 4 2" xfId="56518"/>
    <cellStyle name="20% - Accent1 4 2 2 3 3 2 3 2 5" xfId="36239"/>
    <cellStyle name="20% - Accent1 4 2 2 3 3 2 3 3" xfId="14331"/>
    <cellStyle name="20% - Accent1 4 2 2 3 3 2 3 3 2" xfId="26132"/>
    <cellStyle name="20% - Accent1 4 2 2 3 3 2 3 3 2 2" xfId="56519"/>
    <cellStyle name="20% - Accent1 4 2 2 3 3 2 3 3 3" xfId="39747"/>
    <cellStyle name="20% - Accent1 4 2 2 3 3 2 3 4" xfId="8982"/>
    <cellStyle name="20% - Accent1 4 2 2 3 3 2 3 4 2" xfId="56520"/>
    <cellStyle name="20% - Accent1 4 2 2 3 3 2 3 5" xfId="20783"/>
    <cellStyle name="20% - Accent1 4 2 2 3 3 2 3 5 2" xfId="56521"/>
    <cellStyle name="20% - Accent1 4 2 2 3 3 2 3 6" xfId="34398"/>
    <cellStyle name="20% - Accent1 4 2 2 3 3 2 4" xfId="4234"/>
    <cellStyle name="20% - Accent1 4 2 2 3 3 2 4 2" xfId="14332"/>
    <cellStyle name="20% - Accent1 4 2 2 3 3 2 4 2 2" xfId="26133"/>
    <cellStyle name="20% - Accent1 4 2 2 3 3 2 4 2 2 2" xfId="56522"/>
    <cellStyle name="20% - Accent1 4 2 2 3 3 2 4 2 3" xfId="39748"/>
    <cellStyle name="20% - Accent1 4 2 2 3 3 2 4 3" xfId="9687"/>
    <cellStyle name="20% - Accent1 4 2 2 3 3 2 4 3 2" xfId="46250"/>
    <cellStyle name="20% - Accent1 4 2 2 3 3 2 4 4" xfId="21488"/>
    <cellStyle name="20% - Accent1 4 2 2 3 3 2 4 4 2" xfId="56523"/>
    <cellStyle name="20% - Accent1 4 2 2 3 3 2 4 5" xfId="35103"/>
    <cellStyle name="20% - Accent1 4 2 2 3 3 2 5" xfId="2393"/>
    <cellStyle name="20% - Accent1 4 2 2 3 3 2 5 2" xfId="17122"/>
    <cellStyle name="20% - Accent1 4 2 2 3 3 2 5 2 2" xfId="28923"/>
    <cellStyle name="20% - Accent1 4 2 2 3 3 2 5 2 2 2" xfId="56524"/>
    <cellStyle name="20% - Accent1 4 2 2 3 3 2 5 2 3" xfId="42538"/>
    <cellStyle name="20% - Accent1 4 2 2 3 3 2 5 3" xfId="7846"/>
    <cellStyle name="20% - Accent1 4 2 2 3 3 2 5 3 2" xfId="56525"/>
    <cellStyle name="20% - Accent1 4 2 2 3 3 2 5 4" xfId="19647"/>
    <cellStyle name="20% - Accent1 4 2 2 3 3 2 5 4 2" xfId="56526"/>
    <cellStyle name="20% - Accent1 4 2 2 3 3 2 5 5" xfId="33262"/>
    <cellStyle name="20% - Accent1 4 2 2 3 3 2 6" xfId="14333"/>
    <cellStyle name="20% - Accent1 4 2 2 3 3 2 6 2" xfId="26134"/>
    <cellStyle name="20% - Accent1 4 2 2 3 3 2 6 2 2" xfId="56527"/>
    <cellStyle name="20% - Accent1 4 2 2 3 3 2 6 3" xfId="39749"/>
    <cellStyle name="20% - Accent1 4 2 2 3 3 2 7" xfId="5946"/>
    <cellStyle name="20% - Accent1 4 2 2 3 3 2 7 2" xfId="56528"/>
    <cellStyle name="20% - Accent1 4 2 2 3 3 2 8" xfId="17747"/>
    <cellStyle name="20% - Accent1 4 2 2 3 3 2 8 2" xfId="56529"/>
    <cellStyle name="20% - Accent1 4 2 2 3 3 2 9" xfId="31362"/>
    <cellStyle name="20% - Accent1 4 2 2 3 3 3" xfId="788"/>
    <cellStyle name="20% - Accent1 4 2 2 3 3 3 2" xfId="1522"/>
    <cellStyle name="20% - Accent1 4 2 2 3 3 3 2 2" xfId="4530"/>
    <cellStyle name="20% - Accent1 4 2 2 3 3 3 2 2 2" xfId="14334"/>
    <cellStyle name="20% - Accent1 4 2 2 3 3 3 2 2 2 2" xfId="26135"/>
    <cellStyle name="20% - Accent1 4 2 2 3 3 3 2 2 2 2 2" xfId="56530"/>
    <cellStyle name="20% - Accent1 4 2 2 3 3 3 2 2 2 3" xfId="39750"/>
    <cellStyle name="20% - Accent1 4 2 2 3 3 3 2 2 3" xfId="9983"/>
    <cellStyle name="20% - Accent1 4 2 2 3 3 3 2 2 3 2" xfId="46251"/>
    <cellStyle name="20% - Accent1 4 2 2 3 3 3 2 2 4" xfId="21784"/>
    <cellStyle name="20% - Accent1 4 2 2 3 3 3 2 2 4 2" xfId="56531"/>
    <cellStyle name="20% - Accent1 4 2 2 3 3 3 2 2 5" xfId="35399"/>
    <cellStyle name="20% - Accent1 4 2 2 3 3 3 2 3" xfId="14335"/>
    <cellStyle name="20% - Accent1 4 2 2 3 3 3 2 3 2" xfId="26136"/>
    <cellStyle name="20% - Accent1 4 2 2 3 3 3 2 3 2 2" xfId="46252"/>
    <cellStyle name="20% - Accent1 4 2 2 3 3 3 2 3 3" xfId="30151"/>
    <cellStyle name="20% - Accent1 4 2 2 3 3 3 2 3 3 2" xfId="46253"/>
    <cellStyle name="20% - Accent1 4 2 2 3 3 3 2 3 4" xfId="30152"/>
    <cellStyle name="20% - Accent1 4 2 2 3 3 3 2 3 4 2" xfId="56532"/>
    <cellStyle name="20% - Accent1 4 2 2 3 3 3 2 3 5" xfId="39751"/>
    <cellStyle name="20% - Accent1 4 2 2 3 3 3 2 4" xfId="14336"/>
    <cellStyle name="20% - Accent1 4 2 2 3 3 3 2 4 2" xfId="26137"/>
    <cellStyle name="20% - Accent1 4 2 2 3 3 3 2 4 2 2" xfId="56533"/>
    <cellStyle name="20% - Accent1 4 2 2 3 3 3 2 4 3" xfId="39752"/>
    <cellStyle name="20% - Accent1 4 2 2 3 3 3 2 5" xfId="6976"/>
    <cellStyle name="20% - Accent1 4 2 2 3 3 3 2 5 2" xfId="46254"/>
    <cellStyle name="20% - Accent1 4 2 2 3 3 3 2 6" xfId="18777"/>
    <cellStyle name="20% - Accent1 4 2 2 3 3 3 2 6 2" xfId="56534"/>
    <cellStyle name="20% - Accent1 4 2 2 3 3 3 2 7" xfId="32392"/>
    <cellStyle name="20% - Accent1 4 2 2 3 3 3 3" xfId="2689"/>
    <cellStyle name="20% - Accent1 4 2 2 3 3 3 3 2" xfId="14337"/>
    <cellStyle name="20% - Accent1 4 2 2 3 3 3 3 2 2" xfId="26138"/>
    <cellStyle name="20% - Accent1 4 2 2 3 3 3 3 2 2 2" xfId="56535"/>
    <cellStyle name="20% - Accent1 4 2 2 3 3 3 3 2 3" xfId="39753"/>
    <cellStyle name="20% - Accent1 4 2 2 3 3 3 3 3" xfId="8142"/>
    <cellStyle name="20% - Accent1 4 2 2 3 3 3 3 3 2" xfId="46255"/>
    <cellStyle name="20% - Accent1 4 2 2 3 3 3 3 4" xfId="19943"/>
    <cellStyle name="20% - Accent1 4 2 2 3 3 3 3 4 2" xfId="56536"/>
    <cellStyle name="20% - Accent1 4 2 2 3 3 3 3 5" xfId="33558"/>
    <cellStyle name="20% - Accent1 4 2 2 3 3 3 4" xfId="14338"/>
    <cellStyle name="20% - Accent1 4 2 2 3 3 3 4 2" xfId="26139"/>
    <cellStyle name="20% - Accent1 4 2 2 3 3 3 4 2 2" xfId="46256"/>
    <cellStyle name="20% - Accent1 4 2 2 3 3 3 4 3" xfId="30153"/>
    <cellStyle name="20% - Accent1 4 2 2 3 3 3 4 3 2" xfId="46257"/>
    <cellStyle name="20% - Accent1 4 2 2 3 3 3 4 4" xfId="30154"/>
    <cellStyle name="20% - Accent1 4 2 2 3 3 3 4 4 2" xfId="56537"/>
    <cellStyle name="20% - Accent1 4 2 2 3 3 3 4 5" xfId="39754"/>
    <cellStyle name="20% - Accent1 4 2 2 3 3 3 5" xfId="14339"/>
    <cellStyle name="20% - Accent1 4 2 2 3 3 3 5 2" xfId="26140"/>
    <cellStyle name="20% - Accent1 4 2 2 3 3 3 5 2 2" xfId="56538"/>
    <cellStyle name="20% - Accent1 4 2 2 3 3 3 5 3" xfId="39755"/>
    <cellStyle name="20% - Accent1 4 2 2 3 3 3 6" xfId="6242"/>
    <cellStyle name="20% - Accent1 4 2 2 3 3 3 6 2" xfId="46258"/>
    <cellStyle name="20% - Accent1 4 2 2 3 3 3 7" xfId="18043"/>
    <cellStyle name="20% - Accent1 4 2 2 3 3 3 7 2" xfId="56539"/>
    <cellStyle name="20% - Accent1 4 2 2 3 3 3 8" xfId="31658"/>
    <cellStyle name="20% - Accent1 4 2 2 3 3 4" xfId="1523"/>
    <cellStyle name="20% - Accent1 4 2 2 3 3 4 2" xfId="5098"/>
    <cellStyle name="20% - Accent1 4 2 2 3 3 4 2 2" xfId="14340"/>
    <cellStyle name="20% - Accent1 4 2 2 3 3 4 2 2 2" xfId="26141"/>
    <cellStyle name="20% - Accent1 4 2 2 3 3 4 2 2 2 2" xfId="56540"/>
    <cellStyle name="20% - Accent1 4 2 2 3 3 4 2 2 3" xfId="39756"/>
    <cellStyle name="20% - Accent1 4 2 2 3 3 4 2 3" xfId="10551"/>
    <cellStyle name="20% - Accent1 4 2 2 3 3 4 2 3 2" xfId="46259"/>
    <cellStyle name="20% - Accent1 4 2 2 3 3 4 2 4" xfId="22352"/>
    <cellStyle name="20% - Accent1 4 2 2 3 3 4 2 4 2" xfId="56541"/>
    <cellStyle name="20% - Accent1 4 2 2 3 3 4 2 5" xfId="35967"/>
    <cellStyle name="20% - Accent1 4 2 2 3 3 4 3" xfId="3257"/>
    <cellStyle name="20% - Accent1 4 2 2 3 3 4 3 2" xfId="14341"/>
    <cellStyle name="20% - Accent1 4 2 2 3 3 4 3 2 2" xfId="26142"/>
    <cellStyle name="20% - Accent1 4 2 2 3 3 4 3 2 2 2" xfId="56542"/>
    <cellStyle name="20% - Accent1 4 2 2 3 3 4 3 2 3" xfId="39757"/>
    <cellStyle name="20% - Accent1 4 2 2 3 3 4 3 3" xfId="8710"/>
    <cellStyle name="20% - Accent1 4 2 2 3 3 4 3 3 2" xfId="46260"/>
    <cellStyle name="20% - Accent1 4 2 2 3 3 4 3 4" xfId="20511"/>
    <cellStyle name="20% - Accent1 4 2 2 3 3 4 3 4 2" xfId="56543"/>
    <cellStyle name="20% - Accent1 4 2 2 3 3 4 3 5" xfId="34126"/>
    <cellStyle name="20% - Accent1 4 2 2 3 3 4 4" xfId="14342"/>
    <cellStyle name="20% - Accent1 4 2 2 3 3 4 4 2" xfId="26143"/>
    <cellStyle name="20% - Accent1 4 2 2 3 3 4 4 2 2" xfId="56544"/>
    <cellStyle name="20% - Accent1 4 2 2 3 3 4 4 3" xfId="39758"/>
    <cellStyle name="20% - Accent1 4 2 2 3 3 4 5" xfId="6977"/>
    <cellStyle name="20% - Accent1 4 2 2 3 3 4 5 2" xfId="46261"/>
    <cellStyle name="20% - Accent1 4 2 2 3 3 4 6" xfId="18778"/>
    <cellStyle name="20% - Accent1 4 2 2 3 3 4 6 2" xfId="56545"/>
    <cellStyle name="20% - Accent1 4 2 2 3 3 4 7" xfId="32393"/>
    <cellStyle name="20% - Accent1 4 2 2 3 3 5" xfId="3962"/>
    <cellStyle name="20% - Accent1 4 2 2 3 3 5 2" xfId="14343"/>
    <cellStyle name="20% - Accent1 4 2 2 3 3 5 2 2" xfId="26144"/>
    <cellStyle name="20% - Accent1 4 2 2 3 3 5 2 2 2" xfId="56546"/>
    <cellStyle name="20% - Accent1 4 2 2 3 3 5 2 3" xfId="39759"/>
    <cellStyle name="20% - Accent1 4 2 2 3 3 5 3" xfId="9415"/>
    <cellStyle name="20% - Accent1 4 2 2 3 3 5 3 2" xfId="46262"/>
    <cellStyle name="20% - Accent1 4 2 2 3 3 5 4" xfId="21216"/>
    <cellStyle name="20% - Accent1 4 2 2 3 3 5 4 2" xfId="56547"/>
    <cellStyle name="20% - Accent1 4 2 2 3 3 5 5" xfId="34831"/>
    <cellStyle name="20% - Accent1 4 2 2 3 3 6" xfId="2121"/>
    <cellStyle name="20% - Accent1 4 2 2 3 3 6 2" xfId="14344"/>
    <cellStyle name="20% - Accent1 4 2 2 3 3 6 2 2" xfId="26145"/>
    <cellStyle name="20% - Accent1 4 2 2 3 3 6 2 2 2" xfId="56548"/>
    <cellStyle name="20% - Accent1 4 2 2 3 3 6 2 3" xfId="39760"/>
    <cellStyle name="20% - Accent1 4 2 2 3 3 6 3" xfId="7574"/>
    <cellStyle name="20% - Accent1 4 2 2 3 3 6 3 2" xfId="46263"/>
    <cellStyle name="20% - Accent1 4 2 2 3 3 6 4" xfId="19375"/>
    <cellStyle name="20% - Accent1 4 2 2 3 3 6 4 2" xfId="56549"/>
    <cellStyle name="20% - Accent1 4 2 2 3 3 6 5" xfId="32990"/>
    <cellStyle name="20% - Accent1 4 2 2 3 3 7" xfId="14345"/>
    <cellStyle name="20% - Accent1 4 2 2 3 3 7 2" xfId="26146"/>
    <cellStyle name="20% - Accent1 4 2 2 3 3 7 2 2" xfId="56550"/>
    <cellStyle name="20% - Accent1 4 2 2 3 3 7 3" xfId="39761"/>
    <cellStyle name="20% - Accent1 4 2 2 3 3 8" xfId="5674"/>
    <cellStyle name="20% - Accent1 4 2 2 3 3 8 2" xfId="46264"/>
    <cellStyle name="20% - Accent1 4 2 2 3 3 9" xfId="17475"/>
    <cellStyle name="20% - Accent1 4 2 2 3 3 9 2" xfId="56551"/>
    <cellStyle name="20% - Accent1 4 2 2 3 4" xfId="355"/>
    <cellStyle name="20% - Accent1 4 2 2 3 4 2" xfId="1524"/>
    <cellStyle name="20% - Accent1 4 2 2 3 4 2 2" xfId="4665"/>
    <cellStyle name="20% - Accent1 4 2 2 3 4 2 2 2" xfId="14346"/>
    <cellStyle name="20% - Accent1 4 2 2 3 4 2 2 2 2" xfId="26147"/>
    <cellStyle name="20% - Accent1 4 2 2 3 4 2 2 2 2 2" xfId="56552"/>
    <cellStyle name="20% - Accent1 4 2 2 3 4 2 2 2 3" xfId="39762"/>
    <cellStyle name="20% - Accent1 4 2 2 3 4 2 2 3" xfId="10118"/>
    <cellStyle name="20% - Accent1 4 2 2 3 4 2 2 3 2" xfId="46265"/>
    <cellStyle name="20% - Accent1 4 2 2 3 4 2 2 4" xfId="21919"/>
    <cellStyle name="20% - Accent1 4 2 2 3 4 2 2 4 2" xfId="56553"/>
    <cellStyle name="20% - Accent1 4 2 2 3 4 2 2 5" xfId="35534"/>
    <cellStyle name="20% - Accent1 4 2 2 3 4 2 3" xfId="2824"/>
    <cellStyle name="20% - Accent1 4 2 2 3 4 2 3 2" xfId="14347"/>
    <cellStyle name="20% - Accent1 4 2 2 3 4 2 3 2 2" xfId="26148"/>
    <cellStyle name="20% - Accent1 4 2 2 3 4 2 3 2 2 2" xfId="56554"/>
    <cellStyle name="20% - Accent1 4 2 2 3 4 2 3 2 3" xfId="39763"/>
    <cellStyle name="20% - Accent1 4 2 2 3 4 2 3 3" xfId="8277"/>
    <cellStyle name="20% - Accent1 4 2 2 3 4 2 3 3 2" xfId="46266"/>
    <cellStyle name="20% - Accent1 4 2 2 3 4 2 3 4" xfId="20078"/>
    <cellStyle name="20% - Accent1 4 2 2 3 4 2 3 4 2" xfId="56555"/>
    <cellStyle name="20% - Accent1 4 2 2 3 4 2 3 5" xfId="33693"/>
    <cellStyle name="20% - Accent1 4 2 2 3 4 2 4" xfId="14348"/>
    <cellStyle name="20% - Accent1 4 2 2 3 4 2 4 2" xfId="26149"/>
    <cellStyle name="20% - Accent1 4 2 2 3 4 2 4 2 2" xfId="56556"/>
    <cellStyle name="20% - Accent1 4 2 2 3 4 2 4 3" xfId="39764"/>
    <cellStyle name="20% - Accent1 4 2 2 3 4 2 5" xfId="6978"/>
    <cellStyle name="20% - Accent1 4 2 2 3 4 2 5 2" xfId="46267"/>
    <cellStyle name="20% - Accent1 4 2 2 3 4 2 6" xfId="18779"/>
    <cellStyle name="20% - Accent1 4 2 2 3 4 2 6 2" xfId="56557"/>
    <cellStyle name="20% - Accent1 4 2 2 3 4 2 7" xfId="32394"/>
    <cellStyle name="20% - Accent1 4 2 2 3 4 3" xfId="3392"/>
    <cellStyle name="20% - Accent1 4 2 2 3 4 3 2" xfId="5233"/>
    <cellStyle name="20% - Accent1 4 2 2 3 4 3 2 2" xfId="16703"/>
    <cellStyle name="20% - Accent1 4 2 2 3 4 3 2 2 2" xfId="28504"/>
    <cellStyle name="20% - Accent1 4 2 2 3 4 3 2 2 2 2" xfId="56558"/>
    <cellStyle name="20% - Accent1 4 2 2 3 4 3 2 2 3" xfId="42119"/>
    <cellStyle name="20% - Accent1 4 2 2 3 4 3 2 3" xfId="10686"/>
    <cellStyle name="20% - Accent1 4 2 2 3 4 3 2 3 2" xfId="56559"/>
    <cellStyle name="20% - Accent1 4 2 2 3 4 3 2 4" xfId="22487"/>
    <cellStyle name="20% - Accent1 4 2 2 3 4 3 2 4 2" xfId="56560"/>
    <cellStyle name="20% - Accent1 4 2 2 3 4 3 2 5" xfId="36102"/>
    <cellStyle name="20% - Accent1 4 2 2 3 4 3 3" xfId="14349"/>
    <cellStyle name="20% - Accent1 4 2 2 3 4 3 3 2" xfId="26150"/>
    <cellStyle name="20% - Accent1 4 2 2 3 4 3 3 2 2" xfId="56561"/>
    <cellStyle name="20% - Accent1 4 2 2 3 4 3 3 3" xfId="39765"/>
    <cellStyle name="20% - Accent1 4 2 2 3 4 3 4" xfId="8845"/>
    <cellStyle name="20% - Accent1 4 2 2 3 4 3 4 2" xfId="56562"/>
    <cellStyle name="20% - Accent1 4 2 2 3 4 3 5" xfId="20646"/>
    <cellStyle name="20% - Accent1 4 2 2 3 4 3 5 2" xfId="56563"/>
    <cellStyle name="20% - Accent1 4 2 2 3 4 3 6" xfId="34261"/>
    <cellStyle name="20% - Accent1 4 2 2 3 4 4" xfId="4097"/>
    <cellStyle name="20% - Accent1 4 2 2 3 4 4 2" xfId="14350"/>
    <cellStyle name="20% - Accent1 4 2 2 3 4 4 2 2" xfId="26151"/>
    <cellStyle name="20% - Accent1 4 2 2 3 4 4 2 2 2" xfId="56564"/>
    <cellStyle name="20% - Accent1 4 2 2 3 4 4 2 3" xfId="39766"/>
    <cellStyle name="20% - Accent1 4 2 2 3 4 4 3" xfId="9550"/>
    <cellStyle name="20% - Accent1 4 2 2 3 4 4 3 2" xfId="46268"/>
    <cellStyle name="20% - Accent1 4 2 2 3 4 4 4" xfId="21351"/>
    <cellStyle name="20% - Accent1 4 2 2 3 4 4 4 2" xfId="56565"/>
    <cellStyle name="20% - Accent1 4 2 2 3 4 4 5" xfId="34966"/>
    <cellStyle name="20% - Accent1 4 2 2 3 4 5" xfId="2256"/>
    <cellStyle name="20% - Accent1 4 2 2 3 4 5 2" xfId="17123"/>
    <cellStyle name="20% - Accent1 4 2 2 3 4 5 2 2" xfId="28924"/>
    <cellStyle name="20% - Accent1 4 2 2 3 4 5 2 2 2" xfId="56566"/>
    <cellStyle name="20% - Accent1 4 2 2 3 4 5 2 3" xfId="42539"/>
    <cellStyle name="20% - Accent1 4 2 2 3 4 5 3" xfId="7709"/>
    <cellStyle name="20% - Accent1 4 2 2 3 4 5 3 2" xfId="56567"/>
    <cellStyle name="20% - Accent1 4 2 2 3 4 5 4" xfId="19510"/>
    <cellStyle name="20% - Accent1 4 2 2 3 4 5 4 2" xfId="56568"/>
    <cellStyle name="20% - Accent1 4 2 2 3 4 5 5" xfId="33125"/>
    <cellStyle name="20% - Accent1 4 2 2 3 4 6" xfId="14351"/>
    <cellStyle name="20% - Accent1 4 2 2 3 4 6 2" xfId="26152"/>
    <cellStyle name="20% - Accent1 4 2 2 3 4 6 2 2" xfId="56569"/>
    <cellStyle name="20% - Accent1 4 2 2 3 4 6 3" xfId="39767"/>
    <cellStyle name="20% - Accent1 4 2 2 3 4 7" xfId="5809"/>
    <cellStyle name="20% - Accent1 4 2 2 3 4 7 2" xfId="56570"/>
    <cellStyle name="20% - Accent1 4 2 2 3 4 8" xfId="17610"/>
    <cellStyle name="20% - Accent1 4 2 2 3 4 8 2" xfId="56571"/>
    <cellStyle name="20% - Accent1 4 2 2 3 4 9" xfId="31225"/>
    <cellStyle name="20% - Accent1 4 2 2 3 5" xfId="633"/>
    <cellStyle name="20% - Accent1 4 2 2 3 5 2" xfId="1525"/>
    <cellStyle name="20% - Accent1 4 2 2 3 5 2 2" xfId="4375"/>
    <cellStyle name="20% - Accent1 4 2 2 3 5 2 2 2" xfId="14352"/>
    <cellStyle name="20% - Accent1 4 2 2 3 5 2 2 2 2" xfId="26153"/>
    <cellStyle name="20% - Accent1 4 2 2 3 5 2 2 2 2 2" xfId="56572"/>
    <cellStyle name="20% - Accent1 4 2 2 3 5 2 2 2 3" xfId="39768"/>
    <cellStyle name="20% - Accent1 4 2 2 3 5 2 2 3" xfId="9828"/>
    <cellStyle name="20% - Accent1 4 2 2 3 5 2 2 3 2" xfId="46269"/>
    <cellStyle name="20% - Accent1 4 2 2 3 5 2 2 4" xfId="21629"/>
    <cellStyle name="20% - Accent1 4 2 2 3 5 2 2 4 2" xfId="56573"/>
    <cellStyle name="20% - Accent1 4 2 2 3 5 2 2 5" xfId="35244"/>
    <cellStyle name="20% - Accent1 4 2 2 3 5 2 3" xfId="14353"/>
    <cellStyle name="20% - Accent1 4 2 2 3 5 2 3 2" xfId="26154"/>
    <cellStyle name="20% - Accent1 4 2 2 3 5 2 3 2 2" xfId="46270"/>
    <cellStyle name="20% - Accent1 4 2 2 3 5 2 3 3" xfId="30155"/>
    <cellStyle name="20% - Accent1 4 2 2 3 5 2 3 3 2" xfId="46271"/>
    <cellStyle name="20% - Accent1 4 2 2 3 5 2 3 4" xfId="30156"/>
    <cellStyle name="20% - Accent1 4 2 2 3 5 2 3 4 2" xfId="56574"/>
    <cellStyle name="20% - Accent1 4 2 2 3 5 2 3 5" xfId="39769"/>
    <cellStyle name="20% - Accent1 4 2 2 3 5 2 4" xfId="14354"/>
    <cellStyle name="20% - Accent1 4 2 2 3 5 2 4 2" xfId="26155"/>
    <cellStyle name="20% - Accent1 4 2 2 3 5 2 4 2 2" xfId="56575"/>
    <cellStyle name="20% - Accent1 4 2 2 3 5 2 4 3" xfId="39770"/>
    <cellStyle name="20% - Accent1 4 2 2 3 5 2 5" xfId="6979"/>
    <cellStyle name="20% - Accent1 4 2 2 3 5 2 5 2" xfId="46272"/>
    <cellStyle name="20% - Accent1 4 2 2 3 5 2 6" xfId="18780"/>
    <cellStyle name="20% - Accent1 4 2 2 3 5 2 6 2" xfId="56576"/>
    <cellStyle name="20% - Accent1 4 2 2 3 5 2 7" xfId="32395"/>
    <cellStyle name="20% - Accent1 4 2 2 3 5 3" xfId="2534"/>
    <cellStyle name="20% - Accent1 4 2 2 3 5 3 2" xfId="14355"/>
    <cellStyle name="20% - Accent1 4 2 2 3 5 3 2 2" xfId="26156"/>
    <cellStyle name="20% - Accent1 4 2 2 3 5 3 2 2 2" xfId="56577"/>
    <cellStyle name="20% - Accent1 4 2 2 3 5 3 2 3" xfId="39771"/>
    <cellStyle name="20% - Accent1 4 2 2 3 5 3 3" xfId="7987"/>
    <cellStyle name="20% - Accent1 4 2 2 3 5 3 3 2" xfId="46273"/>
    <cellStyle name="20% - Accent1 4 2 2 3 5 3 4" xfId="19788"/>
    <cellStyle name="20% - Accent1 4 2 2 3 5 3 4 2" xfId="56578"/>
    <cellStyle name="20% - Accent1 4 2 2 3 5 3 5" xfId="33403"/>
    <cellStyle name="20% - Accent1 4 2 2 3 5 4" xfId="14356"/>
    <cellStyle name="20% - Accent1 4 2 2 3 5 4 2" xfId="26157"/>
    <cellStyle name="20% - Accent1 4 2 2 3 5 4 2 2" xfId="46274"/>
    <cellStyle name="20% - Accent1 4 2 2 3 5 4 3" xfId="30157"/>
    <cellStyle name="20% - Accent1 4 2 2 3 5 4 3 2" xfId="46275"/>
    <cellStyle name="20% - Accent1 4 2 2 3 5 4 4" xfId="30158"/>
    <cellStyle name="20% - Accent1 4 2 2 3 5 4 4 2" xfId="56579"/>
    <cellStyle name="20% - Accent1 4 2 2 3 5 4 5" xfId="39772"/>
    <cellStyle name="20% - Accent1 4 2 2 3 5 5" xfId="14357"/>
    <cellStyle name="20% - Accent1 4 2 2 3 5 5 2" xfId="26158"/>
    <cellStyle name="20% - Accent1 4 2 2 3 5 5 2 2" xfId="56580"/>
    <cellStyle name="20% - Accent1 4 2 2 3 5 5 3" xfId="39773"/>
    <cellStyle name="20% - Accent1 4 2 2 3 5 6" xfId="6087"/>
    <cellStyle name="20% - Accent1 4 2 2 3 5 6 2" xfId="46276"/>
    <cellStyle name="20% - Accent1 4 2 2 3 5 7" xfId="17888"/>
    <cellStyle name="20% - Accent1 4 2 2 3 5 7 2" xfId="56581"/>
    <cellStyle name="20% - Accent1 4 2 2 3 5 8" xfId="31503"/>
    <cellStyle name="20% - Accent1 4 2 2 3 6" xfId="874"/>
    <cellStyle name="20% - Accent1 4 2 2 3 6 2" xfId="1526"/>
    <cellStyle name="20% - Accent1 4 2 2 3 6 2 2" xfId="4943"/>
    <cellStyle name="20% - Accent1 4 2 2 3 6 2 2 2" xfId="14358"/>
    <cellStyle name="20% - Accent1 4 2 2 3 6 2 2 2 2" xfId="26159"/>
    <cellStyle name="20% - Accent1 4 2 2 3 6 2 2 2 2 2" xfId="56582"/>
    <cellStyle name="20% - Accent1 4 2 2 3 6 2 2 2 3" xfId="39774"/>
    <cellStyle name="20% - Accent1 4 2 2 3 6 2 2 3" xfId="10396"/>
    <cellStyle name="20% - Accent1 4 2 2 3 6 2 2 3 2" xfId="46277"/>
    <cellStyle name="20% - Accent1 4 2 2 3 6 2 2 4" xfId="22197"/>
    <cellStyle name="20% - Accent1 4 2 2 3 6 2 2 4 2" xfId="56583"/>
    <cellStyle name="20% - Accent1 4 2 2 3 6 2 2 5" xfId="35812"/>
    <cellStyle name="20% - Accent1 4 2 2 3 6 2 3" xfId="14359"/>
    <cellStyle name="20% - Accent1 4 2 2 3 6 2 3 2" xfId="26160"/>
    <cellStyle name="20% - Accent1 4 2 2 3 6 2 3 2 2" xfId="46278"/>
    <cellStyle name="20% - Accent1 4 2 2 3 6 2 3 3" xfId="30159"/>
    <cellStyle name="20% - Accent1 4 2 2 3 6 2 3 3 2" xfId="46279"/>
    <cellStyle name="20% - Accent1 4 2 2 3 6 2 3 4" xfId="30160"/>
    <cellStyle name="20% - Accent1 4 2 2 3 6 2 3 4 2" xfId="56584"/>
    <cellStyle name="20% - Accent1 4 2 2 3 6 2 3 5" xfId="39775"/>
    <cellStyle name="20% - Accent1 4 2 2 3 6 2 4" xfId="14360"/>
    <cellStyle name="20% - Accent1 4 2 2 3 6 2 4 2" xfId="26161"/>
    <cellStyle name="20% - Accent1 4 2 2 3 6 2 4 2 2" xfId="56585"/>
    <cellStyle name="20% - Accent1 4 2 2 3 6 2 4 3" xfId="39776"/>
    <cellStyle name="20% - Accent1 4 2 2 3 6 2 5" xfId="6980"/>
    <cellStyle name="20% - Accent1 4 2 2 3 6 2 5 2" xfId="46280"/>
    <cellStyle name="20% - Accent1 4 2 2 3 6 2 6" xfId="18781"/>
    <cellStyle name="20% - Accent1 4 2 2 3 6 2 6 2" xfId="56586"/>
    <cellStyle name="20% - Accent1 4 2 2 3 6 2 7" xfId="32396"/>
    <cellStyle name="20% - Accent1 4 2 2 3 6 3" xfId="3102"/>
    <cellStyle name="20% - Accent1 4 2 2 3 6 3 2" xfId="14361"/>
    <cellStyle name="20% - Accent1 4 2 2 3 6 3 2 2" xfId="26162"/>
    <cellStyle name="20% - Accent1 4 2 2 3 6 3 2 2 2" xfId="56587"/>
    <cellStyle name="20% - Accent1 4 2 2 3 6 3 2 3" xfId="39777"/>
    <cellStyle name="20% - Accent1 4 2 2 3 6 3 3" xfId="8555"/>
    <cellStyle name="20% - Accent1 4 2 2 3 6 3 3 2" xfId="46281"/>
    <cellStyle name="20% - Accent1 4 2 2 3 6 3 4" xfId="20356"/>
    <cellStyle name="20% - Accent1 4 2 2 3 6 3 4 2" xfId="56588"/>
    <cellStyle name="20% - Accent1 4 2 2 3 6 3 5" xfId="33971"/>
    <cellStyle name="20% - Accent1 4 2 2 3 6 4" xfId="14362"/>
    <cellStyle name="20% - Accent1 4 2 2 3 6 4 2" xfId="26163"/>
    <cellStyle name="20% - Accent1 4 2 2 3 6 4 2 2" xfId="46282"/>
    <cellStyle name="20% - Accent1 4 2 2 3 6 4 3" xfId="30161"/>
    <cellStyle name="20% - Accent1 4 2 2 3 6 4 3 2" xfId="46283"/>
    <cellStyle name="20% - Accent1 4 2 2 3 6 4 4" xfId="30162"/>
    <cellStyle name="20% - Accent1 4 2 2 3 6 4 4 2" xfId="56589"/>
    <cellStyle name="20% - Accent1 4 2 2 3 6 4 5" xfId="39778"/>
    <cellStyle name="20% - Accent1 4 2 2 3 6 5" xfId="14363"/>
    <cellStyle name="20% - Accent1 4 2 2 3 6 5 2" xfId="26164"/>
    <cellStyle name="20% - Accent1 4 2 2 3 6 5 2 2" xfId="56590"/>
    <cellStyle name="20% - Accent1 4 2 2 3 6 5 3" xfId="39779"/>
    <cellStyle name="20% - Accent1 4 2 2 3 6 6" xfId="6328"/>
    <cellStyle name="20% - Accent1 4 2 2 3 6 6 2" xfId="46284"/>
    <cellStyle name="20% - Accent1 4 2 2 3 6 7" xfId="18129"/>
    <cellStyle name="20% - Accent1 4 2 2 3 6 7 2" xfId="56591"/>
    <cellStyle name="20% - Accent1 4 2 2 3 6 8" xfId="31744"/>
    <cellStyle name="20% - Accent1 4 2 2 3 7" xfId="1527"/>
    <cellStyle name="20% - Accent1 4 2 2 3 7 2" xfId="3807"/>
    <cellStyle name="20% - Accent1 4 2 2 3 7 2 2" xfId="14364"/>
    <cellStyle name="20% - Accent1 4 2 2 3 7 2 2 2" xfId="26165"/>
    <cellStyle name="20% - Accent1 4 2 2 3 7 2 2 2 2" xfId="56592"/>
    <cellStyle name="20% - Accent1 4 2 2 3 7 2 2 3" xfId="39780"/>
    <cellStyle name="20% - Accent1 4 2 2 3 7 2 3" xfId="9260"/>
    <cellStyle name="20% - Accent1 4 2 2 3 7 2 3 2" xfId="46285"/>
    <cellStyle name="20% - Accent1 4 2 2 3 7 2 4" xfId="21061"/>
    <cellStyle name="20% - Accent1 4 2 2 3 7 2 4 2" xfId="56593"/>
    <cellStyle name="20% - Accent1 4 2 2 3 7 2 5" xfId="34676"/>
    <cellStyle name="20% - Accent1 4 2 2 3 7 3" xfId="14365"/>
    <cellStyle name="20% - Accent1 4 2 2 3 7 3 2" xfId="26166"/>
    <cellStyle name="20% - Accent1 4 2 2 3 7 3 2 2" xfId="46286"/>
    <cellStyle name="20% - Accent1 4 2 2 3 7 3 3" xfId="30163"/>
    <cellStyle name="20% - Accent1 4 2 2 3 7 3 3 2" xfId="46287"/>
    <cellStyle name="20% - Accent1 4 2 2 3 7 3 4" xfId="30164"/>
    <cellStyle name="20% - Accent1 4 2 2 3 7 3 4 2" xfId="56594"/>
    <cellStyle name="20% - Accent1 4 2 2 3 7 3 5" xfId="39781"/>
    <cellStyle name="20% - Accent1 4 2 2 3 7 4" xfId="14366"/>
    <cellStyle name="20% - Accent1 4 2 2 3 7 4 2" xfId="26167"/>
    <cellStyle name="20% - Accent1 4 2 2 3 7 4 2 2" xfId="56595"/>
    <cellStyle name="20% - Accent1 4 2 2 3 7 4 3" xfId="39782"/>
    <cellStyle name="20% - Accent1 4 2 2 3 7 5" xfId="6981"/>
    <cellStyle name="20% - Accent1 4 2 2 3 7 5 2" xfId="46288"/>
    <cellStyle name="20% - Accent1 4 2 2 3 7 6" xfId="18782"/>
    <cellStyle name="20% - Accent1 4 2 2 3 7 6 2" xfId="56596"/>
    <cellStyle name="20% - Accent1 4 2 2 3 7 7" xfId="32397"/>
    <cellStyle name="20% - Accent1 4 2 2 3 8" xfId="3670"/>
    <cellStyle name="20% - Accent1 4 2 2 3 8 2" xfId="14367"/>
    <cellStyle name="20% - Accent1 4 2 2 3 8 2 2" xfId="26168"/>
    <cellStyle name="20% - Accent1 4 2 2 3 8 2 2 2" xfId="56597"/>
    <cellStyle name="20% - Accent1 4 2 2 3 8 2 3" xfId="39783"/>
    <cellStyle name="20% - Accent1 4 2 2 3 8 3" xfId="9123"/>
    <cellStyle name="20% - Accent1 4 2 2 3 8 3 2" xfId="46289"/>
    <cellStyle name="20% - Accent1 4 2 2 3 8 4" xfId="20924"/>
    <cellStyle name="20% - Accent1 4 2 2 3 8 4 2" xfId="56598"/>
    <cellStyle name="20% - Accent1 4 2 2 3 8 5" xfId="34539"/>
    <cellStyle name="20% - Accent1 4 2 2 3 9" xfId="1966"/>
    <cellStyle name="20% - Accent1 4 2 2 3 9 2" xfId="14368"/>
    <cellStyle name="20% - Accent1 4 2 2 3 9 2 2" xfId="26169"/>
    <cellStyle name="20% - Accent1 4 2 2 3 9 2 2 2" xfId="56599"/>
    <cellStyle name="20% - Accent1 4 2 2 3 9 2 3" xfId="39784"/>
    <cellStyle name="20% - Accent1 4 2 2 3 9 3" xfId="7419"/>
    <cellStyle name="20% - Accent1 4 2 2 3 9 3 2" xfId="46290"/>
    <cellStyle name="20% - Accent1 4 2 2 3 9 4" xfId="19220"/>
    <cellStyle name="20% - Accent1 4 2 2 3 9 4 2" xfId="56600"/>
    <cellStyle name="20% - Accent1 4 2 2 3 9 5" xfId="32835"/>
    <cellStyle name="20% - Accent1 4 2 2 4" xfId="80"/>
    <cellStyle name="20% - Accent1 4 2 2 4 10" xfId="5534"/>
    <cellStyle name="20% - Accent1 4 2 2 4 10 2" xfId="46291"/>
    <cellStyle name="20% - Accent1 4 2 2 4 11" xfId="17335"/>
    <cellStyle name="20% - Accent1 4 2 2 4 11 2" xfId="56601"/>
    <cellStyle name="20% - Accent1 4 2 2 4 12" xfId="30950"/>
    <cellStyle name="20% - Accent1 4 2 2 4 2" xfId="507"/>
    <cellStyle name="20% - Accent1 4 2 2 4 2 2" xfId="1528"/>
    <cellStyle name="20% - Accent1 4 2 2 4 2 2 2" xfId="4817"/>
    <cellStyle name="20% - Accent1 4 2 2 4 2 2 2 2" xfId="14369"/>
    <cellStyle name="20% - Accent1 4 2 2 4 2 2 2 2 2" xfId="26170"/>
    <cellStyle name="20% - Accent1 4 2 2 4 2 2 2 2 2 2" xfId="56602"/>
    <cellStyle name="20% - Accent1 4 2 2 4 2 2 2 2 3" xfId="39785"/>
    <cellStyle name="20% - Accent1 4 2 2 4 2 2 2 3" xfId="10270"/>
    <cellStyle name="20% - Accent1 4 2 2 4 2 2 2 3 2" xfId="46292"/>
    <cellStyle name="20% - Accent1 4 2 2 4 2 2 2 4" xfId="22071"/>
    <cellStyle name="20% - Accent1 4 2 2 4 2 2 2 4 2" xfId="56603"/>
    <cellStyle name="20% - Accent1 4 2 2 4 2 2 2 5" xfId="35686"/>
    <cellStyle name="20% - Accent1 4 2 2 4 2 2 3" xfId="2976"/>
    <cellStyle name="20% - Accent1 4 2 2 4 2 2 3 2" xfId="14370"/>
    <cellStyle name="20% - Accent1 4 2 2 4 2 2 3 2 2" xfId="26171"/>
    <cellStyle name="20% - Accent1 4 2 2 4 2 2 3 2 2 2" xfId="56604"/>
    <cellStyle name="20% - Accent1 4 2 2 4 2 2 3 2 3" xfId="39786"/>
    <cellStyle name="20% - Accent1 4 2 2 4 2 2 3 3" xfId="8429"/>
    <cellStyle name="20% - Accent1 4 2 2 4 2 2 3 3 2" xfId="46293"/>
    <cellStyle name="20% - Accent1 4 2 2 4 2 2 3 4" xfId="20230"/>
    <cellStyle name="20% - Accent1 4 2 2 4 2 2 3 4 2" xfId="56605"/>
    <cellStyle name="20% - Accent1 4 2 2 4 2 2 3 5" xfId="33845"/>
    <cellStyle name="20% - Accent1 4 2 2 4 2 2 4" xfId="14371"/>
    <cellStyle name="20% - Accent1 4 2 2 4 2 2 4 2" xfId="26172"/>
    <cellStyle name="20% - Accent1 4 2 2 4 2 2 4 2 2" xfId="56606"/>
    <cellStyle name="20% - Accent1 4 2 2 4 2 2 4 3" xfId="39787"/>
    <cellStyle name="20% - Accent1 4 2 2 4 2 2 5" xfId="6982"/>
    <cellStyle name="20% - Accent1 4 2 2 4 2 2 5 2" xfId="46294"/>
    <cellStyle name="20% - Accent1 4 2 2 4 2 2 6" xfId="18783"/>
    <cellStyle name="20% - Accent1 4 2 2 4 2 2 6 2" xfId="56607"/>
    <cellStyle name="20% - Accent1 4 2 2 4 2 2 7" xfId="32398"/>
    <cellStyle name="20% - Accent1 4 2 2 4 2 3" xfId="3544"/>
    <cellStyle name="20% - Accent1 4 2 2 4 2 3 2" xfId="5385"/>
    <cellStyle name="20% - Accent1 4 2 2 4 2 3 2 2" xfId="16855"/>
    <cellStyle name="20% - Accent1 4 2 2 4 2 3 2 2 2" xfId="28656"/>
    <cellStyle name="20% - Accent1 4 2 2 4 2 3 2 2 2 2" xfId="56608"/>
    <cellStyle name="20% - Accent1 4 2 2 4 2 3 2 2 3" xfId="42271"/>
    <cellStyle name="20% - Accent1 4 2 2 4 2 3 2 3" xfId="10838"/>
    <cellStyle name="20% - Accent1 4 2 2 4 2 3 2 3 2" xfId="56609"/>
    <cellStyle name="20% - Accent1 4 2 2 4 2 3 2 4" xfId="22639"/>
    <cellStyle name="20% - Accent1 4 2 2 4 2 3 2 4 2" xfId="56610"/>
    <cellStyle name="20% - Accent1 4 2 2 4 2 3 2 5" xfId="36254"/>
    <cellStyle name="20% - Accent1 4 2 2 4 2 3 3" xfId="14372"/>
    <cellStyle name="20% - Accent1 4 2 2 4 2 3 3 2" xfId="26173"/>
    <cellStyle name="20% - Accent1 4 2 2 4 2 3 3 2 2" xfId="56611"/>
    <cellStyle name="20% - Accent1 4 2 2 4 2 3 3 3" xfId="39788"/>
    <cellStyle name="20% - Accent1 4 2 2 4 2 3 4" xfId="8997"/>
    <cellStyle name="20% - Accent1 4 2 2 4 2 3 4 2" xfId="56612"/>
    <cellStyle name="20% - Accent1 4 2 2 4 2 3 5" xfId="20798"/>
    <cellStyle name="20% - Accent1 4 2 2 4 2 3 5 2" xfId="56613"/>
    <cellStyle name="20% - Accent1 4 2 2 4 2 3 6" xfId="34413"/>
    <cellStyle name="20% - Accent1 4 2 2 4 2 4" xfId="4249"/>
    <cellStyle name="20% - Accent1 4 2 2 4 2 4 2" xfId="14373"/>
    <cellStyle name="20% - Accent1 4 2 2 4 2 4 2 2" xfId="26174"/>
    <cellStyle name="20% - Accent1 4 2 2 4 2 4 2 2 2" xfId="56614"/>
    <cellStyle name="20% - Accent1 4 2 2 4 2 4 2 3" xfId="39789"/>
    <cellStyle name="20% - Accent1 4 2 2 4 2 4 3" xfId="9702"/>
    <cellStyle name="20% - Accent1 4 2 2 4 2 4 3 2" xfId="46295"/>
    <cellStyle name="20% - Accent1 4 2 2 4 2 4 4" xfId="21503"/>
    <cellStyle name="20% - Accent1 4 2 2 4 2 4 4 2" xfId="56615"/>
    <cellStyle name="20% - Accent1 4 2 2 4 2 4 5" xfId="35118"/>
    <cellStyle name="20% - Accent1 4 2 2 4 2 5" xfId="2408"/>
    <cellStyle name="20% - Accent1 4 2 2 4 2 5 2" xfId="17124"/>
    <cellStyle name="20% - Accent1 4 2 2 4 2 5 2 2" xfId="28925"/>
    <cellStyle name="20% - Accent1 4 2 2 4 2 5 2 2 2" xfId="56616"/>
    <cellStyle name="20% - Accent1 4 2 2 4 2 5 2 3" xfId="42540"/>
    <cellStyle name="20% - Accent1 4 2 2 4 2 5 3" xfId="7861"/>
    <cellStyle name="20% - Accent1 4 2 2 4 2 5 3 2" xfId="56617"/>
    <cellStyle name="20% - Accent1 4 2 2 4 2 5 4" xfId="19662"/>
    <cellStyle name="20% - Accent1 4 2 2 4 2 5 4 2" xfId="56618"/>
    <cellStyle name="20% - Accent1 4 2 2 4 2 5 5" xfId="33277"/>
    <cellStyle name="20% - Accent1 4 2 2 4 2 6" xfId="14374"/>
    <cellStyle name="20% - Accent1 4 2 2 4 2 6 2" xfId="26175"/>
    <cellStyle name="20% - Accent1 4 2 2 4 2 6 2 2" xfId="56619"/>
    <cellStyle name="20% - Accent1 4 2 2 4 2 6 3" xfId="39790"/>
    <cellStyle name="20% - Accent1 4 2 2 4 2 7" xfId="5961"/>
    <cellStyle name="20% - Accent1 4 2 2 4 2 7 2" xfId="56620"/>
    <cellStyle name="20% - Accent1 4 2 2 4 2 8" xfId="17762"/>
    <cellStyle name="20% - Accent1 4 2 2 4 2 8 2" xfId="56621"/>
    <cellStyle name="20% - Accent1 4 2 2 4 2 9" xfId="31377"/>
    <cellStyle name="20% - Accent1 4 2 2 4 3" xfId="370"/>
    <cellStyle name="20% - Accent1 4 2 2 4 3 2" xfId="1529"/>
    <cellStyle name="20% - Accent1 4 2 2 4 3 2 2" xfId="4680"/>
    <cellStyle name="20% - Accent1 4 2 2 4 3 2 2 2" xfId="14375"/>
    <cellStyle name="20% - Accent1 4 2 2 4 3 2 2 2 2" xfId="26176"/>
    <cellStyle name="20% - Accent1 4 2 2 4 3 2 2 2 2 2" xfId="56622"/>
    <cellStyle name="20% - Accent1 4 2 2 4 3 2 2 2 3" xfId="39791"/>
    <cellStyle name="20% - Accent1 4 2 2 4 3 2 2 3" xfId="10133"/>
    <cellStyle name="20% - Accent1 4 2 2 4 3 2 2 3 2" xfId="46296"/>
    <cellStyle name="20% - Accent1 4 2 2 4 3 2 2 4" xfId="21934"/>
    <cellStyle name="20% - Accent1 4 2 2 4 3 2 2 4 2" xfId="56623"/>
    <cellStyle name="20% - Accent1 4 2 2 4 3 2 2 5" xfId="35549"/>
    <cellStyle name="20% - Accent1 4 2 2 4 3 2 3" xfId="2839"/>
    <cellStyle name="20% - Accent1 4 2 2 4 3 2 3 2" xfId="14376"/>
    <cellStyle name="20% - Accent1 4 2 2 4 3 2 3 2 2" xfId="26177"/>
    <cellStyle name="20% - Accent1 4 2 2 4 3 2 3 2 2 2" xfId="56624"/>
    <cellStyle name="20% - Accent1 4 2 2 4 3 2 3 2 3" xfId="39792"/>
    <cellStyle name="20% - Accent1 4 2 2 4 3 2 3 3" xfId="8292"/>
    <cellStyle name="20% - Accent1 4 2 2 4 3 2 3 3 2" xfId="46297"/>
    <cellStyle name="20% - Accent1 4 2 2 4 3 2 3 4" xfId="20093"/>
    <cellStyle name="20% - Accent1 4 2 2 4 3 2 3 4 2" xfId="56625"/>
    <cellStyle name="20% - Accent1 4 2 2 4 3 2 3 5" xfId="33708"/>
    <cellStyle name="20% - Accent1 4 2 2 4 3 2 4" xfId="14377"/>
    <cellStyle name="20% - Accent1 4 2 2 4 3 2 4 2" xfId="26178"/>
    <cellStyle name="20% - Accent1 4 2 2 4 3 2 4 2 2" xfId="56626"/>
    <cellStyle name="20% - Accent1 4 2 2 4 3 2 4 3" xfId="39793"/>
    <cellStyle name="20% - Accent1 4 2 2 4 3 2 5" xfId="6983"/>
    <cellStyle name="20% - Accent1 4 2 2 4 3 2 5 2" xfId="46298"/>
    <cellStyle name="20% - Accent1 4 2 2 4 3 2 6" xfId="18784"/>
    <cellStyle name="20% - Accent1 4 2 2 4 3 2 6 2" xfId="56627"/>
    <cellStyle name="20% - Accent1 4 2 2 4 3 2 7" xfId="32399"/>
    <cellStyle name="20% - Accent1 4 2 2 4 3 3" xfId="3407"/>
    <cellStyle name="20% - Accent1 4 2 2 4 3 3 2" xfId="5248"/>
    <cellStyle name="20% - Accent1 4 2 2 4 3 3 2 2" xfId="16718"/>
    <cellStyle name="20% - Accent1 4 2 2 4 3 3 2 2 2" xfId="28519"/>
    <cellStyle name="20% - Accent1 4 2 2 4 3 3 2 2 2 2" xfId="56628"/>
    <cellStyle name="20% - Accent1 4 2 2 4 3 3 2 2 3" xfId="42134"/>
    <cellStyle name="20% - Accent1 4 2 2 4 3 3 2 3" xfId="10701"/>
    <cellStyle name="20% - Accent1 4 2 2 4 3 3 2 3 2" xfId="56629"/>
    <cellStyle name="20% - Accent1 4 2 2 4 3 3 2 4" xfId="22502"/>
    <cellStyle name="20% - Accent1 4 2 2 4 3 3 2 4 2" xfId="56630"/>
    <cellStyle name="20% - Accent1 4 2 2 4 3 3 2 5" xfId="36117"/>
    <cellStyle name="20% - Accent1 4 2 2 4 3 3 3" xfId="14378"/>
    <cellStyle name="20% - Accent1 4 2 2 4 3 3 3 2" xfId="26179"/>
    <cellStyle name="20% - Accent1 4 2 2 4 3 3 3 2 2" xfId="56631"/>
    <cellStyle name="20% - Accent1 4 2 2 4 3 3 3 3" xfId="39794"/>
    <cellStyle name="20% - Accent1 4 2 2 4 3 3 4" xfId="8860"/>
    <cellStyle name="20% - Accent1 4 2 2 4 3 3 4 2" xfId="56632"/>
    <cellStyle name="20% - Accent1 4 2 2 4 3 3 5" xfId="20661"/>
    <cellStyle name="20% - Accent1 4 2 2 4 3 3 5 2" xfId="56633"/>
    <cellStyle name="20% - Accent1 4 2 2 4 3 3 6" xfId="34276"/>
    <cellStyle name="20% - Accent1 4 2 2 4 3 4" xfId="4112"/>
    <cellStyle name="20% - Accent1 4 2 2 4 3 4 2" xfId="14379"/>
    <cellStyle name="20% - Accent1 4 2 2 4 3 4 2 2" xfId="26180"/>
    <cellStyle name="20% - Accent1 4 2 2 4 3 4 2 2 2" xfId="56634"/>
    <cellStyle name="20% - Accent1 4 2 2 4 3 4 2 3" xfId="39795"/>
    <cellStyle name="20% - Accent1 4 2 2 4 3 4 3" xfId="9565"/>
    <cellStyle name="20% - Accent1 4 2 2 4 3 4 3 2" xfId="46299"/>
    <cellStyle name="20% - Accent1 4 2 2 4 3 4 4" xfId="21366"/>
    <cellStyle name="20% - Accent1 4 2 2 4 3 4 4 2" xfId="56635"/>
    <cellStyle name="20% - Accent1 4 2 2 4 3 4 5" xfId="34981"/>
    <cellStyle name="20% - Accent1 4 2 2 4 3 5" xfId="2271"/>
    <cellStyle name="20% - Accent1 4 2 2 4 3 5 2" xfId="17125"/>
    <cellStyle name="20% - Accent1 4 2 2 4 3 5 2 2" xfId="28926"/>
    <cellStyle name="20% - Accent1 4 2 2 4 3 5 2 2 2" xfId="56636"/>
    <cellStyle name="20% - Accent1 4 2 2 4 3 5 2 3" xfId="42541"/>
    <cellStyle name="20% - Accent1 4 2 2 4 3 5 3" xfId="7724"/>
    <cellStyle name="20% - Accent1 4 2 2 4 3 5 3 2" xfId="56637"/>
    <cellStyle name="20% - Accent1 4 2 2 4 3 5 4" xfId="19525"/>
    <cellStyle name="20% - Accent1 4 2 2 4 3 5 4 2" xfId="56638"/>
    <cellStyle name="20% - Accent1 4 2 2 4 3 5 5" xfId="33140"/>
    <cellStyle name="20% - Accent1 4 2 2 4 3 6" xfId="14380"/>
    <cellStyle name="20% - Accent1 4 2 2 4 3 6 2" xfId="26181"/>
    <cellStyle name="20% - Accent1 4 2 2 4 3 6 2 2" xfId="56639"/>
    <cellStyle name="20% - Accent1 4 2 2 4 3 6 3" xfId="39796"/>
    <cellStyle name="20% - Accent1 4 2 2 4 3 7" xfId="5824"/>
    <cellStyle name="20% - Accent1 4 2 2 4 3 7 2" xfId="56640"/>
    <cellStyle name="20% - Accent1 4 2 2 4 3 8" xfId="17625"/>
    <cellStyle name="20% - Accent1 4 2 2 4 3 8 2" xfId="56641"/>
    <cellStyle name="20% - Accent1 4 2 2 4 3 9" xfId="31240"/>
    <cellStyle name="20% - Accent1 4 2 2 4 4" xfId="648"/>
    <cellStyle name="20% - Accent1 4 2 2 4 4 2" xfId="1530"/>
    <cellStyle name="20% - Accent1 4 2 2 4 4 2 2" xfId="4390"/>
    <cellStyle name="20% - Accent1 4 2 2 4 4 2 2 2" xfId="14381"/>
    <cellStyle name="20% - Accent1 4 2 2 4 4 2 2 2 2" xfId="26182"/>
    <cellStyle name="20% - Accent1 4 2 2 4 4 2 2 2 2 2" xfId="56642"/>
    <cellStyle name="20% - Accent1 4 2 2 4 4 2 2 2 3" xfId="39797"/>
    <cellStyle name="20% - Accent1 4 2 2 4 4 2 2 3" xfId="9843"/>
    <cellStyle name="20% - Accent1 4 2 2 4 4 2 2 3 2" xfId="46300"/>
    <cellStyle name="20% - Accent1 4 2 2 4 4 2 2 4" xfId="21644"/>
    <cellStyle name="20% - Accent1 4 2 2 4 4 2 2 4 2" xfId="56643"/>
    <cellStyle name="20% - Accent1 4 2 2 4 4 2 2 5" xfId="35259"/>
    <cellStyle name="20% - Accent1 4 2 2 4 4 2 3" xfId="14382"/>
    <cellStyle name="20% - Accent1 4 2 2 4 4 2 3 2" xfId="26183"/>
    <cellStyle name="20% - Accent1 4 2 2 4 4 2 3 2 2" xfId="46301"/>
    <cellStyle name="20% - Accent1 4 2 2 4 4 2 3 3" xfId="30165"/>
    <cellStyle name="20% - Accent1 4 2 2 4 4 2 3 3 2" xfId="46302"/>
    <cellStyle name="20% - Accent1 4 2 2 4 4 2 3 4" xfId="30166"/>
    <cellStyle name="20% - Accent1 4 2 2 4 4 2 3 4 2" xfId="56644"/>
    <cellStyle name="20% - Accent1 4 2 2 4 4 2 3 5" xfId="39798"/>
    <cellStyle name="20% - Accent1 4 2 2 4 4 2 4" xfId="14383"/>
    <cellStyle name="20% - Accent1 4 2 2 4 4 2 4 2" xfId="26184"/>
    <cellStyle name="20% - Accent1 4 2 2 4 4 2 4 2 2" xfId="56645"/>
    <cellStyle name="20% - Accent1 4 2 2 4 4 2 4 3" xfId="39799"/>
    <cellStyle name="20% - Accent1 4 2 2 4 4 2 5" xfId="6984"/>
    <cellStyle name="20% - Accent1 4 2 2 4 4 2 5 2" xfId="46303"/>
    <cellStyle name="20% - Accent1 4 2 2 4 4 2 6" xfId="18785"/>
    <cellStyle name="20% - Accent1 4 2 2 4 4 2 6 2" xfId="56646"/>
    <cellStyle name="20% - Accent1 4 2 2 4 4 2 7" xfId="32400"/>
    <cellStyle name="20% - Accent1 4 2 2 4 4 3" xfId="2549"/>
    <cellStyle name="20% - Accent1 4 2 2 4 4 3 2" xfId="14384"/>
    <cellStyle name="20% - Accent1 4 2 2 4 4 3 2 2" xfId="26185"/>
    <cellStyle name="20% - Accent1 4 2 2 4 4 3 2 2 2" xfId="56647"/>
    <cellStyle name="20% - Accent1 4 2 2 4 4 3 2 3" xfId="39800"/>
    <cellStyle name="20% - Accent1 4 2 2 4 4 3 3" xfId="8002"/>
    <cellStyle name="20% - Accent1 4 2 2 4 4 3 3 2" xfId="46304"/>
    <cellStyle name="20% - Accent1 4 2 2 4 4 3 4" xfId="19803"/>
    <cellStyle name="20% - Accent1 4 2 2 4 4 3 4 2" xfId="56648"/>
    <cellStyle name="20% - Accent1 4 2 2 4 4 3 5" xfId="33418"/>
    <cellStyle name="20% - Accent1 4 2 2 4 4 4" xfId="14385"/>
    <cellStyle name="20% - Accent1 4 2 2 4 4 4 2" xfId="26186"/>
    <cellStyle name="20% - Accent1 4 2 2 4 4 4 2 2" xfId="46305"/>
    <cellStyle name="20% - Accent1 4 2 2 4 4 4 3" xfId="30167"/>
    <cellStyle name="20% - Accent1 4 2 2 4 4 4 3 2" xfId="46306"/>
    <cellStyle name="20% - Accent1 4 2 2 4 4 4 4" xfId="30168"/>
    <cellStyle name="20% - Accent1 4 2 2 4 4 4 4 2" xfId="56649"/>
    <cellStyle name="20% - Accent1 4 2 2 4 4 4 5" xfId="39801"/>
    <cellStyle name="20% - Accent1 4 2 2 4 4 5" xfId="14386"/>
    <cellStyle name="20% - Accent1 4 2 2 4 4 5 2" xfId="26187"/>
    <cellStyle name="20% - Accent1 4 2 2 4 4 5 2 2" xfId="56650"/>
    <cellStyle name="20% - Accent1 4 2 2 4 4 5 3" xfId="39802"/>
    <cellStyle name="20% - Accent1 4 2 2 4 4 6" xfId="6102"/>
    <cellStyle name="20% - Accent1 4 2 2 4 4 6 2" xfId="46307"/>
    <cellStyle name="20% - Accent1 4 2 2 4 4 7" xfId="17903"/>
    <cellStyle name="20% - Accent1 4 2 2 4 4 7 2" xfId="56651"/>
    <cellStyle name="20% - Accent1 4 2 2 4 4 8" xfId="31518"/>
    <cellStyle name="20% - Accent1 4 2 2 4 5" xfId="889"/>
    <cellStyle name="20% - Accent1 4 2 2 4 5 2" xfId="1531"/>
    <cellStyle name="20% - Accent1 4 2 2 4 5 2 2" xfId="4958"/>
    <cellStyle name="20% - Accent1 4 2 2 4 5 2 2 2" xfId="14387"/>
    <cellStyle name="20% - Accent1 4 2 2 4 5 2 2 2 2" xfId="26188"/>
    <cellStyle name="20% - Accent1 4 2 2 4 5 2 2 2 2 2" xfId="56652"/>
    <cellStyle name="20% - Accent1 4 2 2 4 5 2 2 2 3" xfId="39803"/>
    <cellStyle name="20% - Accent1 4 2 2 4 5 2 2 3" xfId="10411"/>
    <cellStyle name="20% - Accent1 4 2 2 4 5 2 2 3 2" xfId="46308"/>
    <cellStyle name="20% - Accent1 4 2 2 4 5 2 2 4" xfId="22212"/>
    <cellStyle name="20% - Accent1 4 2 2 4 5 2 2 4 2" xfId="56653"/>
    <cellStyle name="20% - Accent1 4 2 2 4 5 2 2 5" xfId="35827"/>
    <cellStyle name="20% - Accent1 4 2 2 4 5 2 3" xfId="14388"/>
    <cellStyle name="20% - Accent1 4 2 2 4 5 2 3 2" xfId="26189"/>
    <cellStyle name="20% - Accent1 4 2 2 4 5 2 3 2 2" xfId="46309"/>
    <cellStyle name="20% - Accent1 4 2 2 4 5 2 3 3" xfId="30169"/>
    <cellStyle name="20% - Accent1 4 2 2 4 5 2 3 3 2" xfId="46310"/>
    <cellStyle name="20% - Accent1 4 2 2 4 5 2 3 4" xfId="30170"/>
    <cellStyle name="20% - Accent1 4 2 2 4 5 2 3 4 2" xfId="56654"/>
    <cellStyle name="20% - Accent1 4 2 2 4 5 2 3 5" xfId="39804"/>
    <cellStyle name="20% - Accent1 4 2 2 4 5 2 4" xfId="14389"/>
    <cellStyle name="20% - Accent1 4 2 2 4 5 2 4 2" xfId="26190"/>
    <cellStyle name="20% - Accent1 4 2 2 4 5 2 4 2 2" xfId="56655"/>
    <cellStyle name="20% - Accent1 4 2 2 4 5 2 4 3" xfId="39805"/>
    <cellStyle name="20% - Accent1 4 2 2 4 5 2 5" xfId="6985"/>
    <cellStyle name="20% - Accent1 4 2 2 4 5 2 5 2" xfId="46311"/>
    <cellStyle name="20% - Accent1 4 2 2 4 5 2 6" xfId="18786"/>
    <cellStyle name="20% - Accent1 4 2 2 4 5 2 6 2" xfId="56656"/>
    <cellStyle name="20% - Accent1 4 2 2 4 5 2 7" xfId="32401"/>
    <cellStyle name="20% - Accent1 4 2 2 4 5 3" xfId="3117"/>
    <cellStyle name="20% - Accent1 4 2 2 4 5 3 2" xfId="14390"/>
    <cellStyle name="20% - Accent1 4 2 2 4 5 3 2 2" xfId="26191"/>
    <cellStyle name="20% - Accent1 4 2 2 4 5 3 2 2 2" xfId="56657"/>
    <cellStyle name="20% - Accent1 4 2 2 4 5 3 2 3" xfId="39806"/>
    <cellStyle name="20% - Accent1 4 2 2 4 5 3 3" xfId="8570"/>
    <cellStyle name="20% - Accent1 4 2 2 4 5 3 3 2" xfId="46312"/>
    <cellStyle name="20% - Accent1 4 2 2 4 5 3 4" xfId="20371"/>
    <cellStyle name="20% - Accent1 4 2 2 4 5 3 4 2" xfId="56658"/>
    <cellStyle name="20% - Accent1 4 2 2 4 5 3 5" xfId="33986"/>
    <cellStyle name="20% - Accent1 4 2 2 4 5 4" xfId="14391"/>
    <cellStyle name="20% - Accent1 4 2 2 4 5 4 2" xfId="26192"/>
    <cellStyle name="20% - Accent1 4 2 2 4 5 4 2 2" xfId="46313"/>
    <cellStyle name="20% - Accent1 4 2 2 4 5 4 3" xfId="30171"/>
    <cellStyle name="20% - Accent1 4 2 2 4 5 4 3 2" xfId="46314"/>
    <cellStyle name="20% - Accent1 4 2 2 4 5 4 4" xfId="30172"/>
    <cellStyle name="20% - Accent1 4 2 2 4 5 4 4 2" xfId="56659"/>
    <cellStyle name="20% - Accent1 4 2 2 4 5 4 5" xfId="39807"/>
    <cellStyle name="20% - Accent1 4 2 2 4 5 5" xfId="14392"/>
    <cellStyle name="20% - Accent1 4 2 2 4 5 5 2" xfId="26193"/>
    <cellStyle name="20% - Accent1 4 2 2 4 5 5 2 2" xfId="56660"/>
    <cellStyle name="20% - Accent1 4 2 2 4 5 5 3" xfId="39808"/>
    <cellStyle name="20% - Accent1 4 2 2 4 5 6" xfId="6343"/>
    <cellStyle name="20% - Accent1 4 2 2 4 5 6 2" xfId="46315"/>
    <cellStyle name="20% - Accent1 4 2 2 4 5 7" xfId="18144"/>
    <cellStyle name="20% - Accent1 4 2 2 4 5 7 2" xfId="56661"/>
    <cellStyle name="20% - Accent1 4 2 2 4 5 8" xfId="31759"/>
    <cellStyle name="20% - Accent1 4 2 2 4 6" xfId="1532"/>
    <cellStyle name="20% - Accent1 4 2 2 4 6 2" xfId="3822"/>
    <cellStyle name="20% - Accent1 4 2 2 4 6 2 2" xfId="14393"/>
    <cellStyle name="20% - Accent1 4 2 2 4 6 2 2 2" xfId="26194"/>
    <cellStyle name="20% - Accent1 4 2 2 4 6 2 2 2 2" xfId="56662"/>
    <cellStyle name="20% - Accent1 4 2 2 4 6 2 2 3" xfId="39809"/>
    <cellStyle name="20% - Accent1 4 2 2 4 6 2 3" xfId="9275"/>
    <cellStyle name="20% - Accent1 4 2 2 4 6 2 3 2" xfId="46316"/>
    <cellStyle name="20% - Accent1 4 2 2 4 6 2 4" xfId="21076"/>
    <cellStyle name="20% - Accent1 4 2 2 4 6 2 4 2" xfId="56663"/>
    <cellStyle name="20% - Accent1 4 2 2 4 6 2 5" xfId="34691"/>
    <cellStyle name="20% - Accent1 4 2 2 4 6 3" xfId="14394"/>
    <cellStyle name="20% - Accent1 4 2 2 4 6 3 2" xfId="26195"/>
    <cellStyle name="20% - Accent1 4 2 2 4 6 3 2 2" xfId="46317"/>
    <cellStyle name="20% - Accent1 4 2 2 4 6 3 3" xfId="30173"/>
    <cellStyle name="20% - Accent1 4 2 2 4 6 3 3 2" xfId="46318"/>
    <cellStyle name="20% - Accent1 4 2 2 4 6 3 4" xfId="30174"/>
    <cellStyle name="20% - Accent1 4 2 2 4 6 3 4 2" xfId="56664"/>
    <cellStyle name="20% - Accent1 4 2 2 4 6 3 5" xfId="39810"/>
    <cellStyle name="20% - Accent1 4 2 2 4 6 4" xfId="14395"/>
    <cellStyle name="20% - Accent1 4 2 2 4 6 4 2" xfId="26196"/>
    <cellStyle name="20% - Accent1 4 2 2 4 6 4 2 2" xfId="56665"/>
    <cellStyle name="20% - Accent1 4 2 2 4 6 4 3" xfId="39811"/>
    <cellStyle name="20% - Accent1 4 2 2 4 6 5" xfId="6986"/>
    <cellStyle name="20% - Accent1 4 2 2 4 6 5 2" xfId="46319"/>
    <cellStyle name="20% - Accent1 4 2 2 4 6 6" xfId="18787"/>
    <cellStyle name="20% - Accent1 4 2 2 4 6 6 2" xfId="56666"/>
    <cellStyle name="20% - Accent1 4 2 2 4 6 7" xfId="32402"/>
    <cellStyle name="20% - Accent1 4 2 2 4 7" xfId="3685"/>
    <cellStyle name="20% - Accent1 4 2 2 4 7 2" xfId="14396"/>
    <cellStyle name="20% - Accent1 4 2 2 4 7 2 2" xfId="26197"/>
    <cellStyle name="20% - Accent1 4 2 2 4 7 2 2 2" xfId="56667"/>
    <cellStyle name="20% - Accent1 4 2 2 4 7 2 3" xfId="39812"/>
    <cellStyle name="20% - Accent1 4 2 2 4 7 3" xfId="9138"/>
    <cellStyle name="20% - Accent1 4 2 2 4 7 3 2" xfId="46320"/>
    <cellStyle name="20% - Accent1 4 2 2 4 7 4" xfId="20939"/>
    <cellStyle name="20% - Accent1 4 2 2 4 7 4 2" xfId="56668"/>
    <cellStyle name="20% - Accent1 4 2 2 4 7 5" xfId="34554"/>
    <cellStyle name="20% - Accent1 4 2 2 4 8" xfId="1981"/>
    <cellStyle name="20% - Accent1 4 2 2 4 8 2" xfId="14397"/>
    <cellStyle name="20% - Accent1 4 2 2 4 8 2 2" xfId="26198"/>
    <cellStyle name="20% - Accent1 4 2 2 4 8 2 2 2" xfId="56669"/>
    <cellStyle name="20% - Accent1 4 2 2 4 8 2 3" xfId="39813"/>
    <cellStyle name="20% - Accent1 4 2 2 4 8 3" xfId="7434"/>
    <cellStyle name="20% - Accent1 4 2 2 4 8 3 2" xfId="46321"/>
    <cellStyle name="20% - Accent1 4 2 2 4 8 4" xfId="19235"/>
    <cellStyle name="20% - Accent1 4 2 2 4 8 4 2" xfId="56670"/>
    <cellStyle name="20% - Accent1 4 2 2 4 8 5" xfId="32850"/>
    <cellStyle name="20% - Accent1 4 2 2 4 9" xfId="14398"/>
    <cellStyle name="20% - Accent1 4 2 2 4 9 2" xfId="26199"/>
    <cellStyle name="20% - Accent1 4 2 2 4 9 2 2" xfId="56671"/>
    <cellStyle name="20% - Accent1 4 2 2 4 9 3" xfId="39814"/>
    <cellStyle name="20% - Accent1 4 2 2 5" xfId="151"/>
    <cellStyle name="20% - Accent1 4 2 2 5 10" xfId="31021"/>
    <cellStyle name="20% - Accent1 4 2 2 5 2" xfId="303"/>
    <cellStyle name="20% - Accent1 4 2 2 5 2 2" xfId="1533"/>
    <cellStyle name="20% - Accent1 4 2 2 5 2 2 2" xfId="4613"/>
    <cellStyle name="20% - Accent1 4 2 2 5 2 2 2 2" xfId="14399"/>
    <cellStyle name="20% - Accent1 4 2 2 5 2 2 2 2 2" xfId="26200"/>
    <cellStyle name="20% - Accent1 4 2 2 5 2 2 2 2 2 2" xfId="56672"/>
    <cellStyle name="20% - Accent1 4 2 2 5 2 2 2 2 3" xfId="39815"/>
    <cellStyle name="20% - Accent1 4 2 2 5 2 2 2 3" xfId="10066"/>
    <cellStyle name="20% - Accent1 4 2 2 5 2 2 2 3 2" xfId="46322"/>
    <cellStyle name="20% - Accent1 4 2 2 5 2 2 2 4" xfId="21867"/>
    <cellStyle name="20% - Accent1 4 2 2 5 2 2 2 4 2" xfId="56673"/>
    <cellStyle name="20% - Accent1 4 2 2 5 2 2 2 5" xfId="35482"/>
    <cellStyle name="20% - Accent1 4 2 2 5 2 2 3" xfId="2772"/>
    <cellStyle name="20% - Accent1 4 2 2 5 2 2 3 2" xfId="14400"/>
    <cellStyle name="20% - Accent1 4 2 2 5 2 2 3 2 2" xfId="26201"/>
    <cellStyle name="20% - Accent1 4 2 2 5 2 2 3 2 2 2" xfId="56674"/>
    <cellStyle name="20% - Accent1 4 2 2 5 2 2 3 2 3" xfId="39816"/>
    <cellStyle name="20% - Accent1 4 2 2 5 2 2 3 3" xfId="8225"/>
    <cellStyle name="20% - Accent1 4 2 2 5 2 2 3 3 2" xfId="46323"/>
    <cellStyle name="20% - Accent1 4 2 2 5 2 2 3 4" xfId="20026"/>
    <cellStyle name="20% - Accent1 4 2 2 5 2 2 3 4 2" xfId="56675"/>
    <cellStyle name="20% - Accent1 4 2 2 5 2 2 3 5" xfId="33641"/>
    <cellStyle name="20% - Accent1 4 2 2 5 2 2 4" xfId="14401"/>
    <cellStyle name="20% - Accent1 4 2 2 5 2 2 4 2" xfId="26202"/>
    <cellStyle name="20% - Accent1 4 2 2 5 2 2 4 2 2" xfId="56676"/>
    <cellStyle name="20% - Accent1 4 2 2 5 2 2 4 3" xfId="39817"/>
    <cellStyle name="20% - Accent1 4 2 2 5 2 2 5" xfId="6987"/>
    <cellStyle name="20% - Accent1 4 2 2 5 2 2 5 2" xfId="46324"/>
    <cellStyle name="20% - Accent1 4 2 2 5 2 2 6" xfId="18788"/>
    <cellStyle name="20% - Accent1 4 2 2 5 2 2 6 2" xfId="56677"/>
    <cellStyle name="20% - Accent1 4 2 2 5 2 2 7" xfId="32403"/>
    <cellStyle name="20% - Accent1 4 2 2 5 2 3" xfId="3340"/>
    <cellStyle name="20% - Accent1 4 2 2 5 2 3 2" xfId="5181"/>
    <cellStyle name="20% - Accent1 4 2 2 5 2 3 2 2" xfId="16651"/>
    <cellStyle name="20% - Accent1 4 2 2 5 2 3 2 2 2" xfId="28452"/>
    <cellStyle name="20% - Accent1 4 2 2 5 2 3 2 2 2 2" xfId="56678"/>
    <cellStyle name="20% - Accent1 4 2 2 5 2 3 2 2 3" xfId="42067"/>
    <cellStyle name="20% - Accent1 4 2 2 5 2 3 2 3" xfId="10634"/>
    <cellStyle name="20% - Accent1 4 2 2 5 2 3 2 3 2" xfId="56679"/>
    <cellStyle name="20% - Accent1 4 2 2 5 2 3 2 4" xfId="22435"/>
    <cellStyle name="20% - Accent1 4 2 2 5 2 3 2 4 2" xfId="56680"/>
    <cellStyle name="20% - Accent1 4 2 2 5 2 3 2 5" xfId="36050"/>
    <cellStyle name="20% - Accent1 4 2 2 5 2 3 3" xfId="14402"/>
    <cellStyle name="20% - Accent1 4 2 2 5 2 3 3 2" xfId="26203"/>
    <cellStyle name="20% - Accent1 4 2 2 5 2 3 3 2 2" xfId="56681"/>
    <cellStyle name="20% - Accent1 4 2 2 5 2 3 3 3" xfId="39818"/>
    <cellStyle name="20% - Accent1 4 2 2 5 2 3 4" xfId="8793"/>
    <cellStyle name="20% - Accent1 4 2 2 5 2 3 4 2" xfId="56682"/>
    <cellStyle name="20% - Accent1 4 2 2 5 2 3 5" xfId="20594"/>
    <cellStyle name="20% - Accent1 4 2 2 5 2 3 5 2" xfId="56683"/>
    <cellStyle name="20% - Accent1 4 2 2 5 2 3 6" xfId="34209"/>
    <cellStyle name="20% - Accent1 4 2 2 5 2 4" xfId="4045"/>
    <cellStyle name="20% - Accent1 4 2 2 5 2 4 2" xfId="14403"/>
    <cellStyle name="20% - Accent1 4 2 2 5 2 4 2 2" xfId="26204"/>
    <cellStyle name="20% - Accent1 4 2 2 5 2 4 2 2 2" xfId="56684"/>
    <cellStyle name="20% - Accent1 4 2 2 5 2 4 2 3" xfId="39819"/>
    <cellStyle name="20% - Accent1 4 2 2 5 2 4 3" xfId="9498"/>
    <cellStyle name="20% - Accent1 4 2 2 5 2 4 3 2" xfId="46325"/>
    <cellStyle name="20% - Accent1 4 2 2 5 2 4 4" xfId="21299"/>
    <cellStyle name="20% - Accent1 4 2 2 5 2 4 4 2" xfId="56685"/>
    <cellStyle name="20% - Accent1 4 2 2 5 2 4 5" xfId="34914"/>
    <cellStyle name="20% - Accent1 4 2 2 5 2 5" xfId="2204"/>
    <cellStyle name="20% - Accent1 4 2 2 5 2 5 2" xfId="17126"/>
    <cellStyle name="20% - Accent1 4 2 2 5 2 5 2 2" xfId="28927"/>
    <cellStyle name="20% - Accent1 4 2 2 5 2 5 2 2 2" xfId="56686"/>
    <cellStyle name="20% - Accent1 4 2 2 5 2 5 2 3" xfId="42542"/>
    <cellStyle name="20% - Accent1 4 2 2 5 2 5 3" xfId="7657"/>
    <cellStyle name="20% - Accent1 4 2 2 5 2 5 3 2" xfId="56687"/>
    <cellStyle name="20% - Accent1 4 2 2 5 2 5 4" xfId="19458"/>
    <cellStyle name="20% - Accent1 4 2 2 5 2 5 4 2" xfId="56688"/>
    <cellStyle name="20% - Accent1 4 2 2 5 2 5 5" xfId="33073"/>
    <cellStyle name="20% - Accent1 4 2 2 5 2 6" xfId="14404"/>
    <cellStyle name="20% - Accent1 4 2 2 5 2 6 2" xfId="26205"/>
    <cellStyle name="20% - Accent1 4 2 2 5 2 6 2 2" xfId="56689"/>
    <cellStyle name="20% - Accent1 4 2 2 5 2 6 3" xfId="39820"/>
    <cellStyle name="20% - Accent1 4 2 2 5 2 7" xfId="5757"/>
    <cellStyle name="20% - Accent1 4 2 2 5 2 7 2" xfId="56690"/>
    <cellStyle name="20% - Accent1 4 2 2 5 2 8" xfId="17558"/>
    <cellStyle name="20% - Accent1 4 2 2 5 2 8 2" xfId="56691"/>
    <cellStyle name="20% - Accent1 4 2 2 5 2 9" xfId="31173"/>
    <cellStyle name="20% - Accent1 4 2 2 5 3" xfId="719"/>
    <cellStyle name="20% - Accent1 4 2 2 5 3 2" xfId="1534"/>
    <cellStyle name="20% - Accent1 4 2 2 5 3 2 2" xfId="4461"/>
    <cellStyle name="20% - Accent1 4 2 2 5 3 2 2 2" xfId="14405"/>
    <cellStyle name="20% - Accent1 4 2 2 5 3 2 2 2 2" xfId="26206"/>
    <cellStyle name="20% - Accent1 4 2 2 5 3 2 2 2 2 2" xfId="56692"/>
    <cellStyle name="20% - Accent1 4 2 2 5 3 2 2 2 3" xfId="39821"/>
    <cellStyle name="20% - Accent1 4 2 2 5 3 2 2 3" xfId="9914"/>
    <cellStyle name="20% - Accent1 4 2 2 5 3 2 2 3 2" xfId="46326"/>
    <cellStyle name="20% - Accent1 4 2 2 5 3 2 2 4" xfId="21715"/>
    <cellStyle name="20% - Accent1 4 2 2 5 3 2 2 4 2" xfId="56693"/>
    <cellStyle name="20% - Accent1 4 2 2 5 3 2 2 5" xfId="35330"/>
    <cellStyle name="20% - Accent1 4 2 2 5 3 2 3" xfId="14406"/>
    <cellStyle name="20% - Accent1 4 2 2 5 3 2 3 2" xfId="26207"/>
    <cellStyle name="20% - Accent1 4 2 2 5 3 2 3 2 2" xfId="46327"/>
    <cellStyle name="20% - Accent1 4 2 2 5 3 2 3 3" xfId="30175"/>
    <cellStyle name="20% - Accent1 4 2 2 5 3 2 3 3 2" xfId="46328"/>
    <cellStyle name="20% - Accent1 4 2 2 5 3 2 3 4" xfId="30176"/>
    <cellStyle name="20% - Accent1 4 2 2 5 3 2 3 4 2" xfId="56694"/>
    <cellStyle name="20% - Accent1 4 2 2 5 3 2 3 5" xfId="39822"/>
    <cellStyle name="20% - Accent1 4 2 2 5 3 2 4" xfId="14407"/>
    <cellStyle name="20% - Accent1 4 2 2 5 3 2 4 2" xfId="26208"/>
    <cellStyle name="20% - Accent1 4 2 2 5 3 2 4 2 2" xfId="56695"/>
    <cellStyle name="20% - Accent1 4 2 2 5 3 2 4 3" xfId="39823"/>
    <cellStyle name="20% - Accent1 4 2 2 5 3 2 5" xfId="6988"/>
    <cellStyle name="20% - Accent1 4 2 2 5 3 2 5 2" xfId="46329"/>
    <cellStyle name="20% - Accent1 4 2 2 5 3 2 6" xfId="18789"/>
    <cellStyle name="20% - Accent1 4 2 2 5 3 2 6 2" xfId="56696"/>
    <cellStyle name="20% - Accent1 4 2 2 5 3 2 7" xfId="32404"/>
    <cellStyle name="20% - Accent1 4 2 2 5 3 3" xfId="2620"/>
    <cellStyle name="20% - Accent1 4 2 2 5 3 3 2" xfId="14408"/>
    <cellStyle name="20% - Accent1 4 2 2 5 3 3 2 2" xfId="26209"/>
    <cellStyle name="20% - Accent1 4 2 2 5 3 3 2 2 2" xfId="56697"/>
    <cellStyle name="20% - Accent1 4 2 2 5 3 3 2 3" xfId="39824"/>
    <cellStyle name="20% - Accent1 4 2 2 5 3 3 3" xfId="8073"/>
    <cellStyle name="20% - Accent1 4 2 2 5 3 3 3 2" xfId="46330"/>
    <cellStyle name="20% - Accent1 4 2 2 5 3 3 4" xfId="19874"/>
    <cellStyle name="20% - Accent1 4 2 2 5 3 3 4 2" xfId="56698"/>
    <cellStyle name="20% - Accent1 4 2 2 5 3 3 5" xfId="33489"/>
    <cellStyle name="20% - Accent1 4 2 2 5 3 4" xfId="14409"/>
    <cellStyle name="20% - Accent1 4 2 2 5 3 4 2" xfId="26210"/>
    <cellStyle name="20% - Accent1 4 2 2 5 3 4 2 2" xfId="46331"/>
    <cellStyle name="20% - Accent1 4 2 2 5 3 4 3" xfId="30177"/>
    <cellStyle name="20% - Accent1 4 2 2 5 3 4 3 2" xfId="46332"/>
    <cellStyle name="20% - Accent1 4 2 2 5 3 4 4" xfId="30178"/>
    <cellStyle name="20% - Accent1 4 2 2 5 3 4 4 2" xfId="56699"/>
    <cellStyle name="20% - Accent1 4 2 2 5 3 4 5" xfId="39825"/>
    <cellStyle name="20% - Accent1 4 2 2 5 3 5" xfId="14410"/>
    <cellStyle name="20% - Accent1 4 2 2 5 3 5 2" xfId="26211"/>
    <cellStyle name="20% - Accent1 4 2 2 5 3 5 2 2" xfId="56700"/>
    <cellStyle name="20% - Accent1 4 2 2 5 3 5 3" xfId="39826"/>
    <cellStyle name="20% - Accent1 4 2 2 5 3 6" xfId="6173"/>
    <cellStyle name="20% - Accent1 4 2 2 5 3 6 2" xfId="46333"/>
    <cellStyle name="20% - Accent1 4 2 2 5 3 7" xfId="17974"/>
    <cellStyle name="20% - Accent1 4 2 2 5 3 7 2" xfId="56701"/>
    <cellStyle name="20% - Accent1 4 2 2 5 3 8" xfId="31589"/>
    <cellStyle name="20% - Accent1 4 2 2 5 4" xfId="1535"/>
    <cellStyle name="20% - Accent1 4 2 2 5 4 2" xfId="5029"/>
    <cellStyle name="20% - Accent1 4 2 2 5 4 2 2" xfId="14411"/>
    <cellStyle name="20% - Accent1 4 2 2 5 4 2 2 2" xfId="26212"/>
    <cellStyle name="20% - Accent1 4 2 2 5 4 2 2 2 2" xfId="56702"/>
    <cellStyle name="20% - Accent1 4 2 2 5 4 2 2 3" xfId="39827"/>
    <cellStyle name="20% - Accent1 4 2 2 5 4 2 3" xfId="10482"/>
    <cellStyle name="20% - Accent1 4 2 2 5 4 2 3 2" xfId="46334"/>
    <cellStyle name="20% - Accent1 4 2 2 5 4 2 4" xfId="22283"/>
    <cellStyle name="20% - Accent1 4 2 2 5 4 2 4 2" xfId="56703"/>
    <cellStyle name="20% - Accent1 4 2 2 5 4 2 5" xfId="35898"/>
    <cellStyle name="20% - Accent1 4 2 2 5 4 3" xfId="3188"/>
    <cellStyle name="20% - Accent1 4 2 2 5 4 3 2" xfId="14412"/>
    <cellStyle name="20% - Accent1 4 2 2 5 4 3 2 2" xfId="26213"/>
    <cellStyle name="20% - Accent1 4 2 2 5 4 3 2 2 2" xfId="56704"/>
    <cellStyle name="20% - Accent1 4 2 2 5 4 3 2 3" xfId="39828"/>
    <cellStyle name="20% - Accent1 4 2 2 5 4 3 3" xfId="8641"/>
    <cellStyle name="20% - Accent1 4 2 2 5 4 3 3 2" xfId="46335"/>
    <cellStyle name="20% - Accent1 4 2 2 5 4 3 4" xfId="20442"/>
    <cellStyle name="20% - Accent1 4 2 2 5 4 3 4 2" xfId="56705"/>
    <cellStyle name="20% - Accent1 4 2 2 5 4 3 5" xfId="34057"/>
    <cellStyle name="20% - Accent1 4 2 2 5 4 4" xfId="14413"/>
    <cellStyle name="20% - Accent1 4 2 2 5 4 4 2" xfId="26214"/>
    <cellStyle name="20% - Accent1 4 2 2 5 4 4 2 2" xfId="56706"/>
    <cellStyle name="20% - Accent1 4 2 2 5 4 4 3" xfId="39829"/>
    <cellStyle name="20% - Accent1 4 2 2 5 4 5" xfId="6989"/>
    <cellStyle name="20% - Accent1 4 2 2 5 4 5 2" xfId="46336"/>
    <cellStyle name="20% - Accent1 4 2 2 5 4 6" xfId="18790"/>
    <cellStyle name="20% - Accent1 4 2 2 5 4 6 2" xfId="56707"/>
    <cellStyle name="20% - Accent1 4 2 2 5 4 7" xfId="32405"/>
    <cellStyle name="20% - Accent1 4 2 2 5 5" xfId="3893"/>
    <cellStyle name="20% - Accent1 4 2 2 5 5 2" xfId="14414"/>
    <cellStyle name="20% - Accent1 4 2 2 5 5 2 2" xfId="26215"/>
    <cellStyle name="20% - Accent1 4 2 2 5 5 2 2 2" xfId="56708"/>
    <cellStyle name="20% - Accent1 4 2 2 5 5 2 3" xfId="39830"/>
    <cellStyle name="20% - Accent1 4 2 2 5 5 3" xfId="9346"/>
    <cellStyle name="20% - Accent1 4 2 2 5 5 3 2" xfId="46337"/>
    <cellStyle name="20% - Accent1 4 2 2 5 5 4" xfId="21147"/>
    <cellStyle name="20% - Accent1 4 2 2 5 5 4 2" xfId="56709"/>
    <cellStyle name="20% - Accent1 4 2 2 5 5 5" xfId="34762"/>
    <cellStyle name="20% - Accent1 4 2 2 5 6" xfId="2052"/>
    <cellStyle name="20% - Accent1 4 2 2 5 6 2" xfId="14415"/>
    <cellStyle name="20% - Accent1 4 2 2 5 6 2 2" xfId="26216"/>
    <cellStyle name="20% - Accent1 4 2 2 5 6 2 2 2" xfId="56710"/>
    <cellStyle name="20% - Accent1 4 2 2 5 6 2 3" xfId="39831"/>
    <cellStyle name="20% - Accent1 4 2 2 5 6 3" xfId="7505"/>
    <cellStyle name="20% - Accent1 4 2 2 5 6 3 2" xfId="46338"/>
    <cellStyle name="20% - Accent1 4 2 2 5 6 4" xfId="19306"/>
    <cellStyle name="20% - Accent1 4 2 2 5 6 4 2" xfId="56711"/>
    <cellStyle name="20% - Accent1 4 2 2 5 6 5" xfId="32921"/>
    <cellStyle name="20% - Accent1 4 2 2 5 7" xfId="14416"/>
    <cellStyle name="20% - Accent1 4 2 2 5 7 2" xfId="26217"/>
    <cellStyle name="20% - Accent1 4 2 2 5 7 2 2" xfId="56712"/>
    <cellStyle name="20% - Accent1 4 2 2 5 7 3" xfId="39832"/>
    <cellStyle name="20% - Accent1 4 2 2 5 8" xfId="5605"/>
    <cellStyle name="20% - Accent1 4 2 2 5 8 2" xfId="46339"/>
    <cellStyle name="20% - Accent1 4 2 2 5 9" xfId="17406"/>
    <cellStyle name="20% - Accent1 4 2 2 5 9 2" xfId="56713"/>
    <cellStyle name="20% - Accent1 4 2 2 6" xfId="440"/>
    <cellStyle name="20% - Accent1 4 2 2 6 2" xfId="1536"/>
    <cellStyle name="20% - Accent1 4 2 2 6 2 2" xfId="4750"/>
    <cellStyle name="20% - Accent1 4 2 2 6 2 2 2" xfId="14417"/>
    <cellStyle name="20% - Accent1 4 2 2 6 2 2 2 2" xfId="26218"/>
    <cellStyle name="20% - Accent1 4 2 2 6 2 2 2 2 2" xfId="56714"/>
    <cellStyle name="20% - Accent1 4 2 2 6 2 2 2 3" xfId="39833"/>
    <cellStyle name="20% - Accent1 4 2 2 6 2 2 3" xfId="10203"/>
    <cellStyle name="20% - Accent1 4 2 2 6 2 2 3 2" xfId="46340"/>
    <cellStyle name="20% - Accent1 4 2 2 6 2 2 4" xfId="22004"/>
    <cellStyle name="20% - Accent1 4 2 2 6 2 2 4 2" xfId="56715"/>
    <cellStyle name="20% - Accent1 4 2 2 6 2 2 5" xfId="35619"/>
    <cellStyle name="20% - Accent1 4 2 2 6 2 3" xfId="2909"/>
    <cellStyle name="20% - Accent1 4 2 2 6 2 3 2" xfId="14418"/>
    <cellStyle name="20% - Accent1 4 2 2 6 2 3 2 2" xfId="26219"/>
    <cellStyle name="20% - Accent1 4 2 2 6 2 3 2 2 2" xfId="56716"/>
    <cellStyle name="20% - Accent1 4 2 2 6 2 3 2 3" xfId="39834"/>
    <cellStyle name="20% - Accent1 4 2 2 6 2 3 3" xfId="8362"/>
    <cellStyle name="20% - Accent1 4 2 2 6 2 3 3 2" xfId="46341"/>
    <cellStyle name="20% - Accent1 4 2 2 6 2 3 4" xfId="20163"/>
    <cellStyle name="20% - Accent1 4 2 2 6 2 3 4 2" xfId="56717"/>
    <cellStyle name="20% - Accent1 4 2 2 6 2 3 5" xfId="33778"/>
    <cellStyle name="20% - Accent1 4 2 2 6 2 4" xfId="14419"/>
    <cellStyle name="20% - Accent1 4 2 2 6 2 4 2" xfId="26220"/>
    <cellStyle name="20% - Accent1 4 2 2 6 2 4 2 2" xfId="56718"/>
    <cellStyle name="20% - Accent1 4 2 2 6 2 4 3" xfId="39835"/>
    <cellStyle name="20% - Accent1 4 2 2 6 2 5" xfId="6990"/>
    <cellStyle name="20% - Accent1 4 2 2 6 2 5 2" xfId="46342"/>
    <cellStyle name="20% - Accent1 4 2 2 6 2 6" xfId="18791"/>
    <cellStyle name="20% - Accent1 4 2 2 6 2 6 2" xfId="56719"/>
    <cellStyle name="20% - Accent1 4 2 2 6 2 7" xfId="32406"/>
    <cellStyle name="20% - Accent1 4 2 2 6 3" xfId="3477"/>
    <cellStyle name="20% - Accent1 4 2 2 6 3 2" xfId="5318"/>
    <cellStyle name="20% - Accent1 4 2 2 6 3 2 2" xfId="16788"/>
    <cellStyle name="20% - Accent1 4 2 2 6 3 2 2 2" xfId="28589"/>
    <cellStyle name="20% - Accent1 4 2 2 6 3 2 2 2 2" xfId="56720"/>
    <cellStyle name="20% - Accent1 4 2 2 6 3 2 2 3" xfId="42204"/>
    <cellStyle name="20% - Accent1 4 2 2 6 3 2 3" xfId="10771"/>
    <cellStyle name="20% - Accent1 4 2 2 6 3 2 3 2" xfId="56721"/>
    <cellStyle name="20% - Accent1 4 2 2 6 3 2 4" xfId="22572"/>
    <cellStyle name="20% - Accent1 4 2 2 6 3 2 4 2" xfId="56722"/>
    <cellStyle name="20% - Accent1 4 2 2 6 3 2 5" xfId="36187"/>
    <cellStyle name="20% - Accent1 4 2 2 6 3 3" xfId="14420"/>
    <cellStyle name="20% - Accent1 4 2 2 6 3 3 2" xfId="26221"/>
    <cellStyle name="20% - Accent1 4 2 2 6 3 3 2 2" xfId="56723"/>
    <cellStyle name="20% - Accent1 4 2 2 6 3 3 3" xfId="39836"/>
    <cellStyle name="20% - Accent1 4 2 2 6 3 4" xfId="8930"/>
    <cellStyle name="20% - Accent1 4 2 2 6 3 4 2" xfId="56724"/>
    <cellStyle name="20% - Accent1 4 2 2 6 3 5" xfId="20731"/>
    <cellStyle name="20% - Accent1 4 2 2 6 3 5 2" xfId="56725"/>
    <cellStyle name="20% - Accent1 4 2 2 6 3 6" xfId="34346"/>
    <cellStyle name="20% - Accent1 4 2 2 6 4" xfId="4182"/>
    <cellStyle name="20% - Accent1 4 2 2 6 4 2" xfId="14421"/>
    <cellStyle name="20% - Accent1 4 2 2 6 4 2 2" xfId="26222"/>
    <cellStyle name="20% - Accent1 4 2 2 6 4 2 2 2" xfId="56726"/>
    <cellStyle name="20% - Accent1 4 2 2 6 4 2 3" xfId="39837"/>
    <cellStyle name="20% - Accent1 4 2 2 6 4 3" xfId="9635"/>
    <cellStyle name="20% - Accent1 4 2 2 6 4 3 2" xfId="46343"/>
    <cellStyle name="20% - Accent1 4 2 2 6 4 4" xfId="21436"/>
    <cellStyle name="20% - Accent1 4 2 2 6 4 4 2" xfId="56727"/>
    <cellStyle name="20% - Accent1 4 2 2 6 4 5" xfId="35051"/>
    <cellStyle name="20% - Accent1 4 2 2 6 5" xfId="2341"/>
    <cellStyle name="20% - Accent1 4 2 2 6 5 2" xfId="17127"/>
    <cellStyle name="20% - Accent1 4 2 2 6 5 2 2" xfId="28928"/>
    <cellStyle name="20% - Accent1 4 2 2 6 5 2 2 2" xfId="56728"/>
    <cellStyle name="20% - Accent1 4 2 2 6 5 2 3" xfId="42543"/>
    <cellStyle name="20% - Accent1 4 2 2 6 5 3" xfId="7794"/>
    <cellStyle name="20% - Accent1 4 2 2 6 5 3 2" xfId="56729"/>
    <cellStyle name="20% - Accent1 4 2 2 6 5 4" xfId="19595"/>
    <cellStyle name="20% - Accent1 4 2 2 6 5 4 2" xfId="56730"/>
    <cellStyle name="20% - Accent1 4 2 2 6 5 5" xfId="33210"/>
    <cellStyle name="20% - Accent1 4 2 2 6 6" xfId="14422"/>
    <cellStyle name="20% - Accent1 4 2 2 6 6 2" xfId="26223"/>
    <cellStyle name="20% - Accent1 4 2 2 6 6 2 2" xfId="56731"/>
    <cellStyle name="20% - Accent1 4 2 2 6 6 3" xfId="39838"/>
    <cellStyle name="20% - Accent1 4 2 2 6 7" xfId="5894"/>
    <cellStyle name="20% - Accent1 4 2 2 6 7 2" xfId="56732"/>
    <cellStyle name="20% - Accent1 4 2 2 6 8" xfId="17695"/>
    <cellStyle name="20% - Accent1 4 2 2 6 8 2" xfId="56733"/>
    <cellStyle name="20% - Accent1 4 2 2 6 9" xfId="31310"/>
    <cellStyle name="20% - Accent1 4 2 2 7" xfId="254"/>
    <cellStyle name="20% - Accent1 4 2 2 7 2" xfId="1537"/>
    <cellStyle name="20% - Accent1 4 2 2 7 2 2" xfId="4564"/>
    <cellStyle name="20% - Accent1 4 2 2 7 2 2 2" xfId="14423"/>
    <cellStyle name="20% - Accent1 4 2 2 7 2 2 2 2" xfId="26224"/>
    <cellStyle name="20% - Accent1 4 2 2 7 2 2 2 2 2" xfId="56734"/>
    <cellStyle name="20% - Accent1 4 2 2 7 2 2 2 3" xfId="39839"/>
    <cellStyle name="20% - Accent1 4 2 2 7 2 2 3" xfId="10017"/>
    <cellStyle name="20% - Accent1 4 2 2 7 2 2 3 2" xfId="46344"/>
    <cellStyle name="20% - Accent1 4 2 2 7 2 2 4" xfId="21818"/>
    <cellStyle name="20% - Accent1 4 2 2 7 2 2 4 2" xfId="56735"/>
    <cellStyle name="20% - Accent1 4 2 2 7 2 2 5" xfId="35433"/>
    <cellStyle name="20% - Accent1 4 2 2 7 2 3" xfId="2723"/>
    <cellStyle name="20% - Accent1 4 2 2 7 2 3 2" xfId="14424"/>
    <cellStyle name="20% - Accent1 4 2 2 7 2 3 2 2" xfId="26225"/>
    <cellStyle name="20% - Accent1 4 2 2 7 2 3 2 2 2" xfId="56736"/>
    <cellStyle name="20% - Accent1 4 2 2 7 2 3 2 3" xfId="39840"/>
    <cellStyle name="20% - Accent1 4 2 2 7 2 3 3" xfId="8176"/>
    <cellStyle name="20% - Accent1 4 2 2 7 2 3 3 2" xfId="46345"/>
    <cellStyle name="20% - Accent1 4 2 2 7 2 3 4" xfId="19977"/>
    <cellStyle name="20% - Accent1 4 2 2 7 2 3 4 2" xfId="56737"/>
    <cellStyle name="20% - Accent1 4 2 2 7 2 3 5" xfId="33592"/>
    <cellStyle name="20% - Accent1 4 2 2 7 2 4" xfId="14425"/>
    <cellStyle name="20% - Accent1 4 2 2 7 2 4 2" xfId="26226"/>
    <cellStyle name="20% - Accent1 4 2 2 7 2 4 2 2" xfId="56738"/>
    <cellStyle name="20% - Accent1 4 2 2 7 2 4 3" xfId="39841"/>
    <cellStyle name="20% - Accent1 4 2 2 7 2 5" xfId="6991"/>
    <cellStyle name="20% - Accent1 4 2 2 7 2 5 2" xfId="46346"/>
    <cellStyle name="20% - Accent1 4 2 2 7 2 6" xfId="18792"/>
    <cellStyle name="20% - Accent1 4 2 2 7 2 6 2" xfId="56739"/>
    <cellStyle name="20% - Accent1 4 2 2 7 2 7" xfId="32407"/>
    <cellStyle name="20% - Accent1 4 2 2 7 3" xfId="3291"/>
    <cellStyle name="20% - Accent1 4 2 2 7 3 2" xfId="5132"/>
    <cellStyle name="20% - Accent1 4 2 2 7 3 2 2" xfId="16602"/>
    <cellStyle name="20% - Accent1 4 2 2 7 3 2 2 2" xfId="28403"/>
    <cellStyle name="20% - Accent1 4 2 2 7 3 2 2 2 2" xfId="56740"/>
    <cellStyle name="20% - Accent1 4 2 2 7 3 2 2 3" xfId="42018"/>
    <cellStyle name="20% - Accent1 4 2 2 7 3 2 3" xfId="10585"/>
    <cellStyle name="20% - Accent1 4 2 2 7 3 2 3 2" xfId="56741"/>
    <cellStyle name="20% - Accent1 4 2 2 7 3 2 4" xfId="22386"/>
    <cellStyle name="20% - Accent1 4 2 2 7 3 2 4 2" xfId="56742"/>
    <cellStyle name="20% - Accent1 4 2 2 7 3 2 5" xfId="36001"/>
    <cellStyle name="20% - Accent1 4 2 2 7 3 3" xfId="14426"/>
    <cellStyle name="20% - Accent1 4 2 2 7 3 3 2" xfId="26227"/>
    <cellStyle name="20% - Accent1 4 2 2 7 3 3 2 2" xfId="56743"/>
    <cellStyle name="20% - Accent1 4 2 2 7 3 3 3" xfId="39842"/>
    <cellStyle name="20% - Accent1 4 2 2 7 3 4" xfId="8744"/>
    <cellStyle name="20% - Accent1 4 2 2 7 3 4 2" xfId="56744"/>
    <cellStyle name="20% - Accent1 4 2 2 7 3 5" xfId="20545"/>
    <cellStyle name="20% - Accent1 4 2 2 7 3 5 2" xfId="56745"/>
    <cellStyle name="20% - Accent1 4 2 2 7 3 6" xfId="34160"/>
    <cellStyle name="20% - Accent1 4 2 2 7 4" xfId="3996"/>
    <cellStyle name="20% - Accent1 4 2 2 7 4 2" xfId="14427"/>
    <cellStyle name="20% - Accent1 4 2 2 7 4 2 2" xfId="26228"/>
    <cellStyle name="20% - Accent1 4 2 2 7 4 2 2 2" xfId="56746"/>
    <cellStyle name="20% - Accent1 4 2 2 7 4 2 3" xfId="39843"/>
    <cellStyle name="20% - Accent1 4 2 2 7 4 3" xfId="9449"/>
    <cellStyle name="20% - Accent1 4 2 2 7 4 3 2" xfId="46347"/>
    <cellStyle name="20% - Accent1 4 2 2 7 4 4" xfId="21250"/>
    <cellStyle name="20% - Accent1 4 2 2 7 4 4 2" xfId="56747"/>
    <cellStyle name="20% - Accent1 4 2 2 7 4 5" xfId="34865"/>
    <cellStyle name="20% - Accent1 4 2 2 7 5" xfId="2155"/>
    <cellStyle name="20% - Accent1 4 2 2 7 5 2" xfId="17128"/>
    <cellStyle name="20% - Accent1 4 2 2 7 5 2 2" xfId="28929"/>
    <cellStyle name="20% - Accent1 4 2 2 7 5 2 2 2" xfId="56748"/>
    <cellStyle name="20% - Accent1 4 2 2 7 5 2 3" xfId="42544"/>
    <cellStyle name="20% - Accent1 4 2 2 7 5 3" xfId="7608"/>
    <cellStyle name="20% - Accent1 4 2 2 7 5 3 2" xfId="56749"/>
    <cellStyle name="20% - Accent1 4 2 2 7 5 4" xfId="19409"/>
    <cellStyle name="20% - Accent1 4 2 2 7 5 4 2" xfId="56750"/>
    <cellStyle name="20% - Accent1 4 2 2 7 5 5" xfId="33024"/>
    <cellStyle name="20% - Accent1 4 2 2 7 6" xfId="14428"/>
    <cellStyle name="20% - Accent1 4 2 2 7 6 2" xfId="26229"/>
    <cellStyle name="20% - Accent1 4 2 2 7 6 2 2" xfId="56751"/>
    <cellStyle name="20% - Accent1 4 2 2 7 6 3" xfId="39844"/>
    <cellStyle name="20% - Accent1 4 2 2 7 7" xfId="5708"/>
    <cellStyle name="20% - Accent1 4 2 2 7 7 2" xfId="56752"/>
    <cellStyle name="20% - Accent1 4 2 2 7 8" xfId="17509"/>
    <cellStyle name="20% - Accent1 4 2 2 7 8 2" xfId="56753"/>
    <cellStyle name="20% - Accent1 4 2 2 7 9" xfId="31124"/>
    <cellStyle name="20% - Accent1 4 2 2 8" xfId="581"/>
    <cellStyle name="20% - Accent1 4 2 2 8 2" xfId="1538"/>
    <cellStyle name="20% - Accent1 4 2 2 8 2 2" xfId="4323"/>
    <cellStyle name="20% - Accent1 4 2 2 8 2 2 2" xfId="14429"/>
    <cellStyle name="20% - Accent1 4 2 2 8 2 2 2 2" xfId="26230"/>
    <cellStyle name="20% - Accent1 4 2 2 8 2 2 2 2 2" xfId="56754"/>
    <cellStyle name="20% - Accent1 4 2 2 8 2 2 2 3" xfId="39845"/>
    <cellStyle name="20% - Accent1 4 2 2 8 2 2 3" xfId="9776"/>
    <cellStyle name="20% - Accent1 4 2 2 8 2 2 3 2" xfId="46348"/>
    <cellStyle name="20% - Accent1 4 2 2 8 2 2 4" xfId="21577"/>
    <cellStyle name="20% - Accent1 4 2 2 8 2 2 4 2" xfId="56755"/>
    <cellStyle name="20% - Accent1 4 2 2 8 2 2 5" xfId="35192"/>
    <cellStyle name="20% - Accent1 4 2 2 8 2 3" xfId="14430"/>
    <cellStyle name="20% - Accent1 4 2 2 8 2 3 2" xfId="26231"/>
    <cellStyle name="20% - Accent1 4 2 2 8 2 3 2 2" xfId="46349"/>
    <cellStyle name="20% - Accent1 4 2 2 8 2 3 3" xfId="30179"/>
    <cellStyle name="20% - Accent1 4 2 2 8 2 3 3 2" xfId="46350"/>
    <cellStyle name="20% - Accent1 4 2 2 8 2 3 4" xfId="30180"/>
    <cellStyle name="20% - Accent1 4 2 2 8 2 3 4 2" xfId="56756"/>
    <cellStyle name="20% - Accent1 4 2 2 8 2 3 5" xfId="39846"/>
    <cellStyle name="20% - Accent1 4 2 2 8 2 4" xfId="14431"/>
    <cellStyle name="20% - Accent1 4 2 2 8 2 4 2" xfId="26232"/>
    <cellStyle name="20% - Accent1 4 2 2 8 2 4 2 2" xfId="56757"/>
    <cellStyle name="20% - Accent1 4 2 2 8 2 4 3" xfId="39847"/>
    <cellStyle name="20% - Accent1 4 2 2 8 2 5" xfId="6992"/>
    <cellStyle name="20% - Accent1 4 2 2 8 2 5 2" xfId="46351"/>
    <cellStyle name="20% - Accent1 4 2 2 8 2 6" xfId="18793"/>
    <cellStyle name="20% - Accent1 4 2 2 8 2 6 2" xfId="56758"/>
    <cellStyle name="20% - Accent1 4 2 2 8 2 7" xfId="32408"/>
    <cellStyle name="20% - Accent1 4 2 2 8 3" xfId="2482"/>
    <cellStyle name="20% - Accent1 4 2 2 8 3 2" xfId="14432"/>
    <cellStyle name="20% - Accent1 4 2 2 8 3 2 2" xfId="26233"/>
    <cellStyle name="20% - Accent1 4 2 2 8 3 2 2 2" xfId="56759"/>
    <cellStyle name="20% - Accent1 4 2 2 8 3 2 3" xfId="39848"/>
    <cellStyle name="20% - Accent1 4 2 2 8 3 3" xfId="7935"/>
    <cellStyle name="20% - Accent1 4 2 2 8 3 3 2" xfId="46352"/>
    <cellStyle name="20% - Accent1 4 2 2 8 3 4" xfId="19736"/>
    <cellStyle name="20% - Accent1 4 2 2 8 3 4 2" xfId="56760"/>
    <cellStyle name="20% - Accent1 4 2 2 8 3 5" xfId="33351"/>
    <cellStyle name="20% - Accent1 4 2 2 8 4" xfId="14433"/>
    <cellStyle name="20% - Accent1 4 2 2 8 4 2" xfId="26234"/>
    <cellStyle name="20% - Accent1 4 2 2 8 4 2 2" xfId="46353"/>
    <cellStyle name="20% - Accent1 4 2 2 8 4 3" xfId="30181"/>
    <cellStyle name="20% - Accent1 4 2 2 8 4 3 2" xfId="46354"/>
    <cellStyle name="20% - Accent1 4 2 2 8 4 4" xfId="30182"/>
    <cellStyle name="20% - Accent1 4 2 2 8 4 4 2" xfId="56761"/>
    <cellStyle name="20% - Accent1 4 2 2 8 4 5" xfId="39849"/>
    <cellStyle name="20% - Accent1 4 2 2 8 5" xfId="14434"/>
    <cellStyle name="20% - Accent1 4 2 2 8 5 2" xfId="26235"/>
    <cellStyle name="20% - Accent1 4 2 2 8 5 2 2" xfId="56762"/>
    <cellStyle name="20% - Accent1 4 2 2 8 5 3" xfId="39850"/>
    <cellStyle name="20% - Accent1 4 2 2 8 6" xfId="6035"/>
    <cellStyle name="20% - Accent1 4 2 2 8 6 2" xfId="46355"/>
    <cellStyle name="20% - Accent1 4 2 2 8 7" xfId="17836"/>
    <cellStyle name="20% - Accent1 4 2 2 8 7 2" xfId="56763"/>
    <cellStyle name="20% - Accent1 4 2 2 8 8" xfId="31451"/>
    <cellStyle name="20% - Accent1 4 2 2 9" xfId="822"/>
    <cellStyle name="20% - Accent1 4 2 2 9 2" xfId="1539"/>
    <cellStyle name="20% - Accent1 4 2 2 9 2 2" xfId="4891"/>
    <cellStyle name="20% - Accent1 4 2 2 9 2 2 2" xfId="14435"/>
    <cellStyle name="20% - Accent1 4 2 2 9 2 2 2 2" xfId="26236"/>
    <cellStyle name="20% - Accent1 4 2 2 9 2 2 2 2 2" xfId="56764"/>
    <cellStyle name="20% - Accent1 4 2 2 9 2 2 2 3" xfId="39851"/>
    <cellStyle name="20% - Accent1 4 2 2 9 2 2 3" xfId="10344"/>
    <cellStyle name="20% - Accent1 4 2 2 9 2 2 3 2" xfId="46356"/>
    <cellStyle name="20% - Accent1 4 2 2 9 2 2 4" xfId="22145"/>
    <cellStyle name="20% - Accent1 4 2 2 9 2 2 4 2" xfId="56765"/>
    <cellStyle name="20% - Accent1 4 2 2 9 2 2 5" xfId="35760"/>
    <cellStyle name="20% - Accent1 4 2 2 9 2 3" xfId="14436"/>
    <cellStyle name="20% - Accent1 4 2 2 9 2 3 2" xfId="26237"/>
    <cellStyle name="20% - Accent1 4 2 2 9 2 3 2 2" xfId="46357"/>
    <cellStyle name="20% - Accent1 4 2 2 9 2 3 3" xfId="30183"/>
    <cellStyle name="20% - Accent1 4 2 2 9 2 3 3 2" xfId="46358"/>
    <cellStyle name="20% - Accent1 4 2 2 9 2 3 4" xfId="30184"/>
    <cellStyle name="20% - Accent1 4 2 2 9 2 3 4 2" xfId="56766"/>
    <cellStyle name="20% - Accent1 4 2 2 9 2 3 5" xfId="39852"/>
    <cellStyle name="20% - Accent1 4 2 2 9 2 4" xfId="14437"/>
    <cellStyle name="20% - Accent1 4 2 2 9 2 4 2" xfId="26238"/>
    <cellStyle name="20% - Accent1 4 2 2 9 2 4 2 2" xfId="56767"/>
    <cellStyle name="20% - Accent1 4 2 2 9 2 4 3" xfId="39853"/>
    <cellStyle name="20% - Accent1 4 2 2 9 2 5" xfId="6993"/>
    <cellStyle name="20% - Accent1 4 2 2 9 2 5 2" xfId="46359"/>
    <cellStyle name="20% - Accent1 4 2 2 9 2 6" xfId="18794"/>
    <cellStyle name="20% - Accent1 4 2 2 9 2 6 2" xfId="56768"/>
    <cellStyle name="20% - Accent1 4 2 2 9 2 7" xfId="32409"/>
    <cellStyle name="20% - Accent1 4 2 2 9 3" xfId="3050"/>
    <cellStyle name="20% - Accent1 4 2 2 9 3 2" xfId="14438"/>
    <cellStyle name="20% - Accent1 4 2 2 9 3 2 2" xfId="26239"/>
    <cellStyle name="20% - Accent1 4 2 2 9 3 2 2 2" xfId="56769"/>
    <cellStyle name="20% - Accent1 4 2 2 9 3 2 3" xfId="39854"/>
    <cellStyle name="20% - Accent1 4 2 2 9 3 3" xfId="8503"/>
    <cellStyle name="20% - Accent1 4 2 2 9 3 3 2" xfId="46360"/>
    <cellStyle name="20% - Accent1 4 2 2 9 3 4" xfId="20304"/>
    <cellStyle name="20% - Accent1 4 2 2 9 3 4 2" xfId="56770"/>
    <cellStyle name="20% - Accent1 4 2 2 9 3 5" xfId="33919"/>
    <cellStyle name="20% - Accent1 4 2 2 9 4" xfId="14439"/>
    <cellStyle name="20% - Accent1 4 2 2 9 4 2" xfId="26240"/>
    <cellStyle name="20% - Accent1 4 2 2 9 4 2 2" xfId="46361"/>
    <cellStyle name="20% - Accent1 4 2 2 9 4 3" xfId="30185"/>
    <cellStyle name="20% - Accent1 4 2 2 9 4 3 2" xfId="46362"/>
    <cellStyle name="20% - Accent1 4 2 2 9 4 4" xfId="30186"/>
    <cellStyle name="20% - Accent1 4 2 2 9 4 4 2" xfId="56771"/>
    <cellStyle name="20% - Accent1 4 2 2 9 4 5" xfId="39855"/>
    <cellStyle name="20% - Accent1 4 2 2 9 5" xfId="14440"/>
    <cellStyle name="20% - Accent1 4 2 2 9 5 2" xfId="26241"/>
    <cellStyle name="20% - Accent1 4 2 2 9 5 2 2" xfId="56772"/>
    <cellStyle name="20% - Accent1 4 2 2 9 5 3" xfId="39856"/>
    <cellStyle name="20% - Accent1 4 2 2 9 6" xfId="6276"/>
    <cellStyle name="20% - Accent1 4 2 2 9 6 2" xfId="46363"/>
    <cellStyle name="20% - Accent1 4 2 2 9 7" xfId="18077"/>
    <cellStyle name="20% - Accent1 4 2 2 9 7 2" xfId="56773"/>
    <cellStyle name="20% - Accent1 4 2 2 9 8" xfId="31692"/>
    <cellStyle name="20% - Accent1 4 2 3" xfId="47"/>
    <cellStyle name="20% - Accent1 4 2 3 10" xfId="1948"/>
    <cellStyle name="20% - Accent1 4 2 3 10 2" xfId="14441"/>
    <cellStyle name="20% - Accent1 4 2 3 10 2 2" xfId="26242"/>
    <cellStyle name="20% - Accent1 4 2 3 10 2 2 2" xfId="56774"/>
    <cellStyle name="20% - Accent1 4 2 3 10 2 3" xfId="39857"/>
    <cellStyle name="20% - Accent1 4 2 3 10 3" xfId="7401"/>
    <cellStyle name="20% - Accent1 4 2 3 10 3 2" xfId="46364"/>
    <cellStyle name="20% - Accent1 4 2 3 10 4" xfId="19202"/>
    <cellStyle name="20% - Accent1 4 2 3 10 4 2" xfId="56775"/>
    <cellStyle name="20% - Accent1 4 2 3 10 5" xfId="32817"/>
    <cellStyle name="20% - Accent1 4 2 3 11" xfId="14442"/>
    <cellStyle name="20% - Accent1 4 2 3 11 2" xfId="26243"/>
    <cellStyle name="20% - Accent1 4 2 3 11 2 2" xfId="56776"/>
    <cellStyle name="20% - Accent1 4 2 3 11 3" xfId="39858"/>
    <cellStyle name="20% - Accent1 4 2 3 12" xfId="5501"/>
    <cellStyle name="20% - Accent1 4 2 3 12 2" xfId="46365"/>
    <cellStyle name="20% - Accent1 4 2 3 13" xfId="17302"/>
    <cellStyle name="20% - Accent1 4 2 3 13 2" xfId="56777"/>
    <cellStyle name="20% - Accent1 4 2 3 14" xfId="30917"/>
    <cellStyle name="20% - Accent1 4 2 3 2" xfId="114"/>
    <cellStyle name="20% - Accent1 4 2 3 2 10" xfId="5568"/>
    <cellStyle name="20% - Accent1 4 2 3 2 10 2" xfId="46366"/>
    <cellStyle name="20% - Accent1 4 2 3 2 11" xfId="17369"/>
    <cellStyle name="20% - Accent1 4 2 3 2 11 2" xfId="56778"/>
    <cellStyle name="20% - Accent1 4 2 3 2 12" xfId="30984"/>
    <cellStyle name="20% - Accent1 4 2 3 2 2" xfId="221"/>
    <cellStyle name="20% - Accent1 4 2 3 2 2 10" xfId="31091"/>
    <cellStyle name="20% - Accent1 4 2 3 2 2 2" xfId="541"/>
    <cellStyle name="20% - Accent1 4 2 3 2 2 2 2" xfId="1540"/>
    <cellStyle name="20% - Accent1 4 2 3 2 2 2 2 2" xfId="4851"/>
    <cellStyle name="20% - Accent1 4 2 3 2 2 2 2 2 2" xfId="14443"/>
    <cellStyle name="20% - Accent1 4 2 3 2 2 2 2 2 2 2" xfId="26244"/>
    <cellStyle name="20% - Accent1 4 2 3 2 2 2 2 2 2 2 2" xfId="56779"/>
    <cellStyle name="20% - Accent1 4 2 3 2 2 2 2 2 2 3" xfId="39859"/>
    <cellStyle name="20% - Accent1 4 2 3 2 2 2 2 2 3" xfId="10304"/>
    <cellStyle name="20% - Accent1 4 2 3 2 2 2 2 2 3 2" xfId="46367"/>
    <cellStyle name="20% - Accent1 4 2 3 2 2 2 2 2 4" xfId="22105"/>
    <cellStyle name="20% - Accent1 4 2 3 2 2 2 2 2 4 2" xfId="56780"/>
    <cellStyle name="20% - Accent1 4 2 3 2 2 2 2 2 5" xfId="35720"/>
    <cellStyle name="20% - Accent1 4 2 3 2 2 2 2 3" xfId="3010"/>
    <cellStyle name="20% - Accent1 4 2 3 2 2 2 2 3 2" xfId="14444"/>
    <cellStyle name="20% - Accent1 4 2 3 2 2 2 2 3 2 2" xfId="26245"/>
    <cellStyle name="20% - Accent1 4 2 3 2 2 2 2 3 2 2 2" xfId="56781"/>
    <cellStyle name="20% - Accent1 4 2 3 2 2 2 2 3 2 3" xfId="39860"/>
    <cellStyle name="20% - Accent1 4 2 3 2 2 2 2 3 3" xfId="8463"/>
    <cellStyle name="20% - Accent1 4 2 3 2 2 2 2 3 3 2" xfId="46368"/>
    <cellStyle name="20% - Accent1 4 2 3 2 2 2 2 3 4" xfId="20264"/>
    <cellStyle name="20% - Accent1 4 2 3 2 2 2 2 3 4 2" xfId="56782"/>
    <cellStyle name="20% - Accent1 4 2 3 2 2 2 2 3 5" xfId="33879"/>
    <cellStyle name="20% - Accent1 4 2 3 2 2 2 2 4" xfId="14445"/>
    <cellStyle name="20% - Accent1 4 2 3 2 2 2 2 4 2" xfId="26246"/>
    <cellStyle name="20% - Accent1 4 2 3 2 2 2 2 4 2 2" xfId="56783"/>
    <cellStyle name="20% - Accent1 4 2 3 2 2 2 2 4 3" xfId="39861"/>
    <cellStyle name="20% - Accent1 4 2 3 2 2 2 2 5" xfId="6994"/>
    <cellStyle name="20% - Accent1 4 2 3 2 2 2 2 5 2" xfId="46369"/>
    <cellStyle name="20% - Accent1 4 2 3 2 2 2 2 6" xfId="18795"/>
    <cellStyle name="20% - Accent1 4 2 3 2 2 2 2 6 2" xfId="56784"/>
    <cellStyle name="20% - Accent1 4 2 3 2 2 2 2 7" xfId="32410"/>
    <cellStyle name="20% - Accent1 4 2 3 2 2 2 3" xfId="3578"/>
    <cellStyle name="20% - Accent1 4 2 3 2 2 2 3 2" xfId="5419"/>
    <cellStyle name="20% - Accent1 4 2 3 2 2 2 3 2 2" xfId="16889"/>
    <cellStyle name="20% - Accent1 4 2 3 2 2 2 3 2 2 2" xfId="28690"/>
    <cellStyle name="20% - Accent1 4 2 3 2 2 2 3 2 2 2 2" xfId="56785"/>
    <cellStyle name="20% - Accent1 4 2 3 2 2 2 3 2 2 3" xfId="42305"/>
    <cellStyle name="20% - Accent1 4 2 3 2 2 2 3 2 3" xfId="10872"/>
    <cellStyle name="20% - Accent1 4 2 3 2 2 2 3 2 3 2" xfId="56786"/>
    <cellStyle name="20% - Accent1 4 2 3 2 2 2 3 2 4" xfId="22673"/>
    <cellStyle name="20% - Accent1 4 2 3 2 2 2 3 2 4 2" xfId="56787"/>
    <cellStyle name="20% - Accent1 4 2 3 2 2 2 3 2 5" xfId="36288"/>
    <cellStyle name="20% - Accent1 4 2 3 2 2 2 3 3" xfId="14446"/>
    <cellStyle name="20% - Accent1 4 2 3 2 2 2 3 3 2" xfId="26247"/>
    <cellStyle name="20% - Accent1 4 2 3 2 2 2 3 3 2 2" xfId="56788"/>
    <cellStyle name="20% - Accent1 4 2 3 2 2 2 3 3 3" xfId="39862"/>
    <cellStyle name="20% - Accent1 4 2 3 2 2 2 3 4" xfId="9031"/>
    <cellStyle name="20% - Accent1 4 2 3 2 2 2 3 4 2" xfId="56789"/>
    <cellStyle name="20% - Accent1 4 2 3 2 2 2 3 5" xfId="20832"/>
    <cellStyle name="20% - Accent1 4 2 3 2 2 2 3 5 2" xfId="56790"/>
    <cellStyle name="20% - Accent1 4 2 3 2 2 2 3 6" xfId="34447"/>
    <cellStyle name="20% - Accent1 4 2 3 2 2 2 4" xfId="4283"/>
    <cellStyle name="20% - Accent1 4 2 3 2 2 2 4 2" xfId="14447"/>
    <cellStyle name="20% - Accent1 4 2 3 2 2 2 4 2 2" xfId="26248"/>
    <cellStyle name="20% - Accent1 4 2 3 2 2 2 4 2 2 2" xfId="56791"/>
    <cellStyle name="20% - Accent1 4 2 3 2 2 2 4 2 3" xfId="39863"/>
    <cellStyle name="20% - Accent1 4 2 3 2 2 2 4 3" xfId="9736"/>
    <cellStyle name="20% - Accent1 4 2 3 2 2 2 4 3 2" xfId="46370"/>
    <cellStyle name="20% - Accent1 4 2 3 2 2 2 4 4" xfId="21537"/>
    <cellStyle name="20% - Accent1 4 2 3 2 2 2 4 4 2" xfId="56792"/>
    <cellStyle name="20% - Accent1 4 2 3 2 2 2 4 5" xfId="35152"/>
    <cellStyle name="20% - Accent1 4 2 3 2 2 2 5" xfId="2442"/>
    <cellStyle name="20% - Accent1 4 2 3 2 2 2 5 2" xfId="17129"/>
    <cellStyle name="20% - Accent1 4 2 3 2 2 2 5 2 2" xfId="28930"/>
    <cellStyle name="20% - Accent1 4 2 3 2 2 2 5 2 2 2" xfId="56793"/>
    <cellStyle name="20% - Accent1 4 2 3 2 2 2 5 2 3" xfId="42545"/>
    <cellStyle name="20% - Accent1 4 2 3 2 2 2 5 3" xfId="7895"/>
    <cellStyle name="20% - Accent1 4 2 3 2 2 2 5 3 2" xfId="56794"/>
    <cellStyle name="20% - Accent1 4 2 3 2 2 2 5 4" xfId="19696"/>
    <cellStyle name="20% - Accent1 4 2 3 2 2 2 5 4 2" xfId="56795"/>
    <cellStyle name="20% - Accent1 4 2 3 2 2 2 5 5" xfId="33311"/>
    <cellStyle name="20% - Accent1 4 2 3 2 2 2 6" xfId="14448"/>
    <cellStyle name="20% - Accent1 4 2 3 2 2 2 6 2" xfId="26249"/>
    <cellStyle name="20% - Accent1 4 2 3 2 2 2 6 2 2" xfId="56796"/>
    <cellStyle name="20% - Accent1 4 2 3 2 2 2 6 3" xfId="39864"/>
    <cellStyle name="20% - Accent1 4 2 3 2 2 2 7" xfId="5995"/>
    <cellStyle name="20% - Accent1 4 2 3 2 2 2 7 2" xfId="56797"/>
    <cellStyle name="20% - Accent1 4 2 3 2 2 2 8" xfId="17796"/>
    <cellStyle name="20% - Accent1 4 2 3 2 2 2 8 2" xfId="56798"/>
    <cellStyle name="20% - Accent1 4 2 3 2 2 2 9" xfId="31411"/>
    <cellStyle name="20% - Accent1 4 2 3 2 2 3" xfId="789"/>
    <cellStyle name="20% - Accent1 4 2 3 2 2 3 2" xfId="1541"/>
    <cellStyle name="20% - Accent1 4 2 3 2 2 3 2 2" xfId="4531"/>
    <cellStyle name="20% - Accent1 4 2 3 2 2 3 2 2 2" xfId="14449"/>
    <cellStyle name="20% - Accent1 4 2 3 2 2 3 2 2 2 2" xfId="26250"/>
    <cellStyle name="20% - Accent1 4 2 3 2 2 3 2 2 2 2 2" xfId="56799"/>
    <cellStyle name="20% - Accent1 4 2 3 2 2 3 2 2 2 3" xfId="39865"/>
    <cellStyle name="20% - Accent1 4 2 3 2 2 3 2 2 3" xfId="9984"/>
    <cellStyle name="20% - Accent1 4 2 3 2 2 3 2 2 3 2" xfId="46371"/>
    <cellStyle name="20% - Accent1 4 2 3 2 2 3 2 2 4" xfId="21785"/>
    <cellStyle name="20% - Accent1 4 2 3 2 2 3 2 2 4 2" xfId="56800"/>
    <cellStyle name="20% - Accent1 4 2 3 2 2 3 2 2 5" xfId="35400"/>
    <cellStyle name="20% - Accent1 4 2 3 2 2 3 2 3" xfId="14450"/>
    <cellStyle name="20% - Accent1 4 2 3 2 2 3 2 3 2" xfId="26251"/>
    <cellStyle name="20% - Accent1 4 2 3 2 2 3 2 3 2 2" xfId="46372"/>
    <cellStyle name="20% - Accent1 4 2 3 2 2 3 2 3 3" xfId="30187"/>
    <cellStyle name="20% - Accent1 4 2 3 2 2 3 2 3 3 2" xfId="46373"/>
    <cellStyle name="20% - Accent1 4 2 3 2 2 3 2 3 4" xfId="30188"/>
    <cellStyle name="20% - Accent1 4 2 3 2 2 3 2 3 4 2" xfId="56801"/>
    <cellStyle name="20% - Accent1 4 2 3 2 2 3 2 3 5" xfId="39866"/>
    <cellStyle name="20% - Accent1 4 2 3 2 2 3 2 4" xfId="14451"/>
    <cellStyle name="20% - Accent1 4 2 3 2 2 3 2 4 2" xfId="26252"/>
    <cellStyle name="20% - Accent1 4 2 3 2 2 3 2 4 2 2" xfId="56802"/>
    <cellStyle name="20% - Accent1 4 2 3 2 2 3 2 4 3" xfId="39867"/>
    <cellStyle name="20% - Accent1 4 2 3 2 2 3 2 5" xfId="6995"/>
    <cellStyle name="20% - Accent1 4 2 3 2 2 3 2 5 2" xfId="46374"/>
    <cellStyle name="20% - Accent1 4 2 3 2 2 3 2 6" xfId="18796"/>
    <cellStyle name="20% - Accent1 4 2 3 2 2 3 2 6 2" xfId="56803"/>
    <cellStyle name="20% - Accent1 4 2 3 2 2 3 2 7" xfId="32411"/>
    <cellStyle name="20% - Accent1 4 2 3 2 2 3 3" xfId="2690"/>
    <cellStyle name="20% - Accent1 4 2 3 2 2 3 3 2" xfId="14452"/>
    <cellStyle name="20% - Accent1 4 2 3 2 2 3 3 2 2" xfId="26253"/>
    <cellStyle name="20% - Accent1 4 2 3 2 2 3 3 2 2 2" xfId="56804"/>
    <cellStyle name="20% - Accent1 4 2 3 2 2 3 3 2 3" xfId="39868"/>
    <cellStyle name="20% - Accent1 4 2 3 2 2 3 3 3" xfId="8143"/>
    <cellStyle name="20% - Accent1 4 2 3 2 2 3 3 3 2" xfId="46375"/>
    <cellStyle name="20% - Accent1 4 2 3 2 2 3 3 4" xfId="19944"/>
    <cellStyle name="20% - Accent1 4 2 3 2 2 3 3 4 2" xfId="56805"/>
    <cellStyle name="20% - Accent1 4 2 3 2 2 3 3 5" xfId="33559"/>
    <cellStyle name="20% - Accent1 4 2 3 2 2 3 4" xfId="14453"/>
    <cellStyle name="20% - Accent1 4 2 3 2 2 3 4 2" xfId="26254"/>
    <cellStyle name="20% - Accent1 4 2 3 2 2 3 4 2 2" xfId="46376"/>
    <cellStyle name="20% - Accent1 4 2 3 2 2 3 4 3" xfId="30189"/>
    <cellStyle name="20% - Accent1 4 2 3 2 2 3 4 3 2" xfId="46377"/>
    <cellStyle name="20% - Accent1 4 2 3 2 2 3 4 4" xfId="30190"/>
    <cellStyle name="20% - Accent1 4 2 3 2 2 3 4 4 2" xfId="56806"/>
    <cellStyle name="20% - Accent1 4 2 3 2 2 3 4 5" xfId="39869"/>
    <cellStyle name="20% - Accent1 4 2 3 2 2 3 5" xfId="14454"/>
    <cellStyle name="20% - Accent1 4 2 3 2 2 3 5 2" xfId="26255"/>
    <cellStyle name="20% - Accent1 4 2 3 2 2 3 5 2 2" xfId="56807"/>
    <cellStyle name="20% - Accent1 4 2 3 2 2 3 5 3" xfId="39870"/>
    <cellStyle name="20% - Accent1 4 2 3 2 2 3 6" xfId="6243"/>
    <cellStyle name="20% - Accent1 4 2 3 2 2 3 6 2" xfId="46378"/>
    <cellStyle name="20% - Accent1 4 2 3 2 2 3 7" xfId="18044"/>
    <cellStyle name="20% - Accent1 4 2 3 2 2 3 7 2" xfId="56808"/>
    <cellStyle name="20% - Accent1 4 2 3 2 2 3 8" xfId="31659"/>
    <cellStyle name="20% - Accent1 4 2 3 2 2 4" xfId="1542"/>
    <cellStyle name="20% - Accent1 4 2 3 2 2 4 2" xfId="5099"/>
    <cellStyle name="20% - Accent1 4 2 3 2 2 4 2 2" xfId="14455"/>
    <cellStyle name="20% - Accent1 4 2 3 2 2 4 2 2 2" xfId="26256"/>
    <cellStyle name="20% - Accent1 4 2 3 2 2 4 2 2 2 2" xfId="56809"/>
    <cellStyle name="20% - Accent1 4 2 3 2 2 4 2 2 3" xfId="39871"/>
    <cellStyle name="20% - Accent1 4 2 3 2 2 4 2 3" xfId="10552"/>
    <cellStyle name="20% - Accent1 4 2 3 2 2 4 2 3 2" xfId="46379"/>
    <cellStyle name="20% - Accent1 4 2 3 2 2 4 2 4" xfId="22353"/>
    <cellStyle name="20% - Accent1 4 2 3 2 2 4 2 4 2" xfId="56810"/>
    <cellStyle name="20% - Accent1 4 2 3 2 2 4 2 5" xfId="35968"/>
    <cellStyle name="20% - Accent1 4 2 3 2 2 4 3" xfId="3258"/>
    <cellStyle name="20% - Accent1 4 2 3 2 2 4 3 2" xfId="14456"/>
    <cellStyle name="20% - Accent1 4 2 3 2 2 4 3 2 2" xfId="26257"/>
    <cellStyle name="20% - Accent1 4 2 3 2 2 4 3 2 2 2" xfId="56811"/>
    <cellStyle name="20% - Accent1 4 2 3 2 2 4 3 2 3" xfId="39872"/>
    <cellStyle name="20% - Accent1 4 2 3 2 2 4 3 3" xfId="8711"/>
    <cellStyle name="20% - Accent1 4 2 3 2 2 4 3 3 2" xfId="46380"/>
    <cellStyle name="20% - Accent1 4 2 3 2 2 4 3 4" xfId="20512"/>
    <cellStyle name="20% - Accent1 4 2 3 2 2 4 3 4 2" xfId="56812"/>
    <cellStyle name="20% - Accent1 4 2 3 2 2 4 3 5" xfId="34127"/>
    <cellStyle name="20% - Accent1 4 2 3 2 2 4 4" xfId="14457"/>
    <cellStyle name="20% - Accent1 4 2 3 2 2 4 4 2" xfId="26258"/>
    <cellStyle name="20% - Accent1 4 2 3 2 2 4 4 2 2" xfId="56813"/>
    <cellStyle name="20% - Accent1 4 2 3 2 2 4 4 3" xfId="39873"/>
    <cellStyle name="20% - Accent1 4 2 3 2 2 4 5" xfId="6996"/>
    <cellStyle name="20% - Accent1 4 2 3 2 2 4 5 2" xfId="46381"/>
    <cellStyle name="20% - Accent1 4 2 3 2 2 4 6" xfId="18797"/>
    <cellStyle name="20% - Accent1 4 2 3 2 2 4 6 2" xfId="56814"/>
    <cellStyle name="20% - Accent1 4 2 3 2 2 4 7" xfId="32412"/>
    <cellStyle name="20% - Accent1 4 2 3 2 2 5" xfId="3963"/>
    <cellStyle name="20% - Accent1 4 2 3 2 2 5 2" xfId="14458"/>
    <cellStyle name="20% - Accent1 4 2 3 2 2 5 2 2" xfId="26259"/>
    <cellStyle name="20% - Accent1 4 2 3 2 2 5 2 2 2" xfId="56815"/>
    <cellStyle name="20% - Accent1 4 2 3 2 2 5 2 3" xfId="39874"/>
    <cellStyle name="20% - Accent1 4 2 3 2 2 5 3" xfId="9416"/>
    <cellStyle name="20% - Accent1 4 2 3 2 2 5 3 2" xfId="46382"/>
    <cellStyle name="20% - Accent1 4 2 3 2 2 5 4" xfId="21217"/>
    <cellStyle name="20% - Accent1 4 2 3 2 2 5 4 2" xfId="56816"/>
    <cellStyle name="20% - Accent1 4 2 3 2 2 5 5" xfId="34832"/>
    <cellStyle name="20% - Accent1 4 2 3 2 2 6" xfId="2122"/>
    <cellStyle name="20% - Accent1 4 2 3 2 2 6 2" xfId="14459"/>
    <cellStyle name="20% - Accent1 4 2 3 2 2 6 2 2" xfId="26260"/>
    <cellStyle name="20% - Accent1 4 2 3 2 2 6 2 2 2" xfId="56817"/>
    <cellStyle name="20% - Accent1 4 2 3 2 2 6 2 3" xfId="39875"/>
    <cellStyle name="20% - Accent1 4 2 3 2 2 6 3" xfId="7575"/>
    <cellStyle name="20% - Accent1 4 2 3 2 2 6 3 2" xfId="46383"/>
    <cellStyle name="20% - Accent1 4 2 3 2 2 6 4" xfId="19376"/>
    <cellStyle name="20% - Accent1 4 2 3 2 2 6 4 2" xfId="56818"/>
    <cellStyle name="20% - Accent1 4 2 3 2 2 6 5" xfId="32991"/>
    <cellStyle name="20% - Accent1 4 2 3 2 2 7" xfId="14460"/>
    <cellStyle name="20% - Accent1 4 2 3 2 2 7 2" xfId="26261"/>
    <cellStyle name="20% - Accent1 4 2 3 2 2 7 2 2" xfId="56819"/>
    <cellStyle name="20% - Accent1 4 2 3 2 2 7 3" xfId="39876"/>
    <cellStyle name="20% - Accent1 4 2 3 2 2 8" xfId="5675"/>
    <cellStyle name="20% - Accent1 4 2 3 2 2 8 2" xfId="46384"/>
    <cellStyle name="20% - Accent1 4 2 3 2 2 9" xfId="17476"/>
    <cellStyle name="20% - Accent1 4 2 3 2 2 9 2" xfId="56820"/>
    <cellStyle name="20% - Accent1 4 2 3 2 3" xfId="404"/>
    <cellStyle name="20% - Accent1 4 2 3 2 3 2" xfId="1543"/>
    <cellStyle name="20% - Accent1 4 2 3 2 3 2 2" xfId="4714"/>
    <cellStyle name="20% - Accent1 4 2 3 2 3 2 2 2" xfId="14461"/>
    <cellStyle name="20% - Accent1 4 2 3 2 3 2 2 2 2" xfId="26262"/>
    <cellStyle name="20% - Accent1 4 2 3 2 3 2 2 2 2 2" xfId="56821"/>
    <cellStyle name="20% - Accent1 4 2 3 2 3 2 2 2 3" xfId="39877"/>
    <cellStyle name="20% - Accent1 4 2 3 2 3 2 2 3" xfId="10167"/>
    <cellStyle name="20% - Accent1 4 2 3 2 3 2 2 3 2" xfId="46385"/>
    <cellStyle name="20% - Accent1 4 2 3 2 3 2 2 4" xfId="21968"/>
    <cellStyle name="20% - Accent1 4 2 3 2 3 2 2 4 2" xfId="56822"/>
    <cellStyle name="20% - Accent1 4 2 3 2 3 2 2 5" xfId="35583"/>
    <cellStyle name="20% - Accent1 4 2 3 2 3 2 3" xfId="2873"/>
    <cellStyle name="20% - Accent1 4 2 3 2 3 2 3 2" xfId="14462"/>
    <cellStyle name="20% - Accent1 4 2 3 2 3 2 3 2 2" xfId="26263"/>
    <cellStyle name="20% - Accent1 4 2 3 2 3 2 3 2 2 2" xfId="56823"/>
    <cellStyle name="20% - Accent1 4 2 3 2 3 2 3 2 3" xfId="39878"/>
    <cellStyle name="20% - Accent1 4 2 3 2 3 2 3 3" xfId="8326"/>
    <cellStyle name="20% - Accent1 4 2 3 2 3 2 3 3 2" xfId="46386"/>
    <cellStyle name="20% - Accent1 4 2 3 2 3 2 3 4" xfId="20127"/>
    <cellStyle name="20% - Accent1 4 2 3 2 3 2 3 4 2" xfId="56824"/>
    <cellStyle name="20% - Accent1 4 2 3 2 3 2 3 5" xfId="33742"/>
    <cellStyle name="20% - Accent1 4 2 3 2 3 2 4" xfId="14463"/>
    <cellStyle name="20% - Accent1 4 2 3 2 3 2 4 2" xfId="26264"/>
    <cellStyle name="20% - Accent1 4 2 3 2 3 2 4 2 2" xfId="56825"/>
    <cellStyle name="20% - Accent1 4 2 3 2 3 2 4 3" xfId="39879"/>
    <cellStyle name="20% - Accent1 4 2 3 2 3 2 5" xfId="6997"/>
    <cellStyle name="20% - Accent1 4 2 3 2 3 2 5 2" xfId="46387"/>
    <cellStyle name="20% - Accent1 4 2 3 2 3 2 6" xfId="18798"/>
    <cellStyle name="20% - Accent1 4 2 3 2 3 2 6 2" xfId="56826"/>
    <cellStyle name="20% - Accent1 4 2 3 2 3 2 7" xfId="32413"/>
    <cellStyle name="20% - Accent1 4 2 3 2 3 3" xfId="3441"/>
    <cellStyle name="20% - Accent1 4 2 3 2 3 3 2" xfId="5282"/>
    <cellStyle name="20% - Accent1 4 2 3 2 3 3 2 2" xfId="16752"/>
    <cellStyle name="20% - Accent1 4 2 3 2 3 3 2 2 2" xfId="28553"/>
    <cellStyle name="20% - Accent1 4 2 3 2 3 3 2 2 2 2" xfId="56827"/>
    <cellStyle name="20% - Accent1 4 2 3 2 3 3 2 2 3" xfId="42168"/>
    <cellStyle name="20% - Accent1 4 2 3 2 3 3 2 3" xfId="10735"/>
    <cellStyle name="20% - Accent1 4 2 3 2 3 3 2 3 2" xfId="56828"/>
    <cellStyle name="20% - Accent1 4 2 3 2 3 3 2 4" xfId="22536"/>
    <cellStyle name="20% - Accent1 4 2 3 2 3 3 2 4 2" xfId="56829"/>
    <cellStyle name="20% - Accent1 4 2 3 2 3 3 2 5" xfId="36151"/>
    <cellStyle name="20% - Accent1 4 2 3 2 3 3 3" xfId="14464"/>
    <cellStyle name="20% - Accent1 4 2 3 2 3 3 3 2" xfId="26265"/>
    <cellStyle name="20% - Accent1 4 2 3 2 3 3 3 2 2" xfId="56830"/>
    <cellStyle name="20% - Accent1 4 2 3 2 3 3 3 3" xfId="39880"/>
    <cellStyle name="20% - Accent1 4 2 3 2 3 3 4" xfId="8894"/>
    <cellStyle name="20% - Accent1 4 2 3 2 3 3 4 2" xfId="56831"/>
    <cellStyle name="20% - Accent1 4 2 3 2 3 3 5" xfId="20695"/>
    <cellStyle name="20% - Accent1 4 2 3 2 3 3 5 2" xfId="56832"/>
    <cellStyle name="20% - Accent1 4 2 3 2 3 3 6" xfId="34310"/>
    <cellStyle name="20% - Accent1 4 2 3 2 3 4" xfId="4146"/>
    <cellStyle name="20% - Accent1 4 2 3 2 3 4 2" xfId="14465"/>
    <cellStyle name="20% - Accent1 4 2 3 2 3 4 2 2" xfId="26266"/>
    <cellStyle name="20% - Accent1 4 2 3 2 3 4 2 2 2" xfId="56833"/>
    <cellStyle name="20% - Accent1 4 2 3 2 3 4 2 3" xfId="39881"/>
    <cellStyle name="20% - Accent1 4 2 3 2 3 4 3" xfId="9599"/>
    <cellStyle name="20% - Accent1 4 2 3 2 3 4 3 2" xfId="46388"/>
    <cellStyle name="20% - Accent1 4 2 3 2 3 4 4" xfId="21400"/>
    <cellStyle name="20% - Accent1 4 2 3 2 3 4 4 2" xfId="56834"/>
    <cellStyle name="20% - Accent1 4 2 3 2 3 4 5" xfId="35015"/>
    <cellStyle name="20% - Accent1 4 2 3 2 3 5" xfId="2305"/>
    <cellStyle name="20% - Accent1 4 2 3 2 3 5 2" xfId="17130"/>
    <cellStyle name="20% - Accent1 4 2 3 2 3 5 2 2" xfId="28931"/>
    <cellStyle name="20% - Accent1 4 2 3 2 3 5 2 2 2" xfId="56835"/>
    <cellStyle name="20% - Accent1 4 2 3 2 3 5 2 3" xfId="42546"/>
    <cellStyle name="20% - Accent1 4 2 3 2 3 5 3" xfId="7758"/>
    <cellStyle name="20% - Accent1 4 2 3 2 3 5 3 2" xfId="56836"/>
    <cellStyle name="20% - Accent1 4 2 3 2 3 5 4" xfId="19559"/>
    <cellStyle name="20% - Accent1 4 2 3 2 3 5 4 2" xfId="56837"/>
    <cellStyle name="20% - Accent1 4 2 3 2 3 5 5" xfId="33174"/>
    <cellStyle name="20% - Accent1 4 2 3 2 3 6" xfId="14466"/>
    <cellStyle name="20% - Accent1 4 2 3 2 3 6 2" xfId="26267"/>
    <cellStyle name="20% - Accent1 4 2 3 2 3 6 2 2" xfId="56838"/>
    <cellStyle name="20% - Accent1 4 2 3 2 3 6 3" xfId="39882"/>
    <cellStyle name="20% - Accent1 4 2 3 2 3 7" xfId="5858"/>
    <cellStyle name="20% - Accent1 4 2 3 2 3 7 2" xfId="56839"/>
    <cellStyle name="20% - Accent1 4 2 3 2 3 8" xfId="17659"/>
    <cellStyle name="20% - Accent1 4 2 3 2 3 8 2" xfId="56840"/>
    <cellStyle name="20% - Accent1 4 2 3 2 3 9" xfId="31274"/>
    <cellStyle name="20% - Accent1 4 2 3 2 4" xfId="682"/>
    <cellStyle name="20% - Accent1 4 2 3 2 4 2" xfId="1544"/>
    <cellStyle name="20% - Accent1 4 2 3 2 4 2 2" xfId="4424"/>
    <cellStyle name="20% - Accent1 4 2 3 2 4 2 2 2" xfId="14467"/>
    <cellStyle name="20% - Accent1 4 2 3 2 4 2 2 2 2" xfId="26268"/>
    <cellStyle name="20% - Accent1 4 2 3 2 4 2 2 2 2 2" xfId="56841"/>
    <cellStyle name="20% - Accent1 4 2 3 2 4 2 2 2 3" xfId="39883"/>
    <cellStyle name="20% - Accent1 4 2 3 2 4 2 2 3" xfId="9877"/>
    <cellStyle name="20% - Accent1 4 2 3 2 4 2 2 3 2" xfId="46389"/>
    <cellStyle name="20% - Accent1 4 2 3 2 4 2 2 4" xfId="21678"/>
    <cellStyle name="20% - Accent1 4 2 3 2 4 2 2 4 2" xfId="56842"/>
    <cellStyle name="20% - Accent1 4 2 3 2 4 2 2 5" xfId="35293"/>
    <cellStyle name="20% - Accent1 4 2 3 2 4 2 3" xfId="14468"/>
    <cellStyle name="20% - Accent1 4 2 3 2 4 2 3 2" xfId="26269"/>
    <cellStyle name="20% - Accent1 4 2 3 2 4 2 3 2 2" xfId="46390"/>
    <cellStyle name="20% - Accent1 4 2 3 2 4 2 3 3" xfId="30191"/>
    <cellStyle name="20% - Accent1 4 2 3 2 4 2 3 3 2" xfId="46391"/>
    <cellStyle name="20% - Accent1 4 2 3 2 4 2 3 4" xfId="30192"/>
    <cellStyle name="20% - Accent1 4 2 3 2 4 2 3 4 2" xfId="56843"/>
    <cellStyle name="20% - Accent1 4 2 3 2 4 2 3 5" xfId="39884"/>
    <cellStyle name="20% - Accent1 4 2 3 2 4 2 4" xfId="14469"/>
    <cellStyle name="20% - Accent1 4 2 3 2 4 2 4 2" xfId="26270"/>
    <cellStyle name="20% - Accent1 4 2 3 2 4 2 4 2 2" xfId="56844"/>
    <cellStyle name="20% - Accent1 4 2 3 2 4 2 4 3" xfId="39885"/>
    <cellStyle name="20% - Accent1 4 2 3 2 4 2 5" xfId="6998"/>
    <cellStyle name="20% - Accent1 4 2 3 2 4 2 5 2" xfId="46392"/>
    <cellStyle name="20% - Accent1 4 2 3 2 4 2 6" xfId="18799"/>
    <cellStyle name="20% - Accent1 4 2 3 2 4 2 6 2" xfId="56845"/>
    <cellStyle name="20% - Accent1 4 2 3 2 4 2 7" xfId="32414"/>
    <cellStyle name="20% - Accent1 4 2 3 2 4 3" xfId="2583"/>
    <cellStyle name="20% - Accent1 4 2 3 2 4 3 2" xfId="14470"/>
    <cellStyle name="20% - Accent1 4 2 3 2 4 3 2 2" xfId="26271"/>
    <cellStyle name="20% - Accent1 4 2 3 2 4 3 2 2 2" xfId="56846"/>
    <cellStyle name="20% - Accent1 4 2 3 2 4 3 2 3" xfId="39886"/>
    <cellStyle name="20% - Accent1 4 2 3 2 4 3 3" xfId="8036"/>
    <cellStyle name="20% - Accent1 4 2 3 2 4 3 3 2" xfId="46393"/>
    <cellStyle name="20% - Accent1 4 2 3 2 4 3 4" xfId="19837"/>
    <cellStyle name="20% - Accent1 4 2 3 2 4 3 4 2" xfId="56847"/>
    <cellStyle name="20% - Accent1 4 2 3 2 4 3 5" xfId="33452"/>
    <cellStyle name="20% - Accent1 4 2 3 2 4 4" xfId="14471"/>
    <cellStyle name="20% - Accent1 4 2 3 2 4 4 2" xfId="26272"/>
    <cellStyle name="20% - Accent1 4 2 3 2 4 4 2 2" xfId="46394"/>
    <cellStyle name="20% - Accent1 4 2 3 2 4 4 3" xfId="30193"/>
    <cellStyle name="20% - Accent1 4 2 3 2 4 4 3 2" xfId="46395"/>
    <cellStyle name="20% - Accent1 4 2 3 2 4 4 4" xfId="30194"/>
    <cellStyle name="20% - Accent1 4 2 3 2 4 4 4 2" xfId="56848"/>
    <cellStyle name="20% - Accent1 4 2 3 2 4 4 5" xfId="39887"/>
    <cellStyle name="20% - Accent1 4 2 3 2 4 5" xfId="14472"/>
    <cellStyle name="20% - Accent1 4 2 3 2 4 5 2" xfId="26273"/>
    <cellStyle name="20% - Accent1 4 2 3 2 4 5 2 2" xfId="56849"/>
    <cellStyle name="20% - Accent1 4 2 3 2 4 5 3" xfId="39888"/>
    <cellStyle name="20% - Accent1 4 2 3 2 4 6" xfId="6136"/>
    <cellStyle name="20% - Accent1 4 2 3 2 4 6 2" xfId="46396"/>
    <cellStyle name="20% - Accent1 4 2 3 2 4 7" xfId="17937"/>
    <cellStyle name="20% - Accent1 4 2 3 2 4 7 2" xfId="56850"/>
    <cellStyle name="20% - Accent1 4 2 3 2 4 8" xfId="31552"/>
    <cellStyle name="20% - Accent1 4 2 3 2 5" xfId="923"/>
    <cellStyle name="20% - Accent1 4 2 3 2 5 2" xfId="1545"/>
    <cellStyle name="20% - Accent1 4 2 3 2 5 2 2" xfId="4992"/>
    <cellStyle name="20% - Accent1 4 2 3 2 5 2 2 2" xfId="14473"/>
    <cellStyle name="20% - Accent1 4 2 3 2 5 2 2 2 2" xfId="26274"/>
    <cellStyle name="20% - Accent1 4 2 3 2 5 2 2 2 2 2" xfId="56851"/>
    <cellStyle name="20% - Accent1 4 2 3 2 5 2 2 2 3" xfId="39889"/>
    <cellStyle name="20% - Accent1 4 2 3 2 5 2 2 3" xfId="10445"/>
    <cellStyle name="20% - Accent1 4 2 3 2 5 2 2 3 2" xfId="46397"/>
    <cellStyle name="20% - Accent1 4 2 3 2 5 2 2 4" xfId="22246"/>
    <cellStyle name="20% - Accent1 4 2 3 2 5 2 2 4 2" xfId="56852"/>
    <cellStyle name="20% - Accent1 4 2 3 2 5 2 2 5" xfId="35861"/>
    <cellStyle name="20% - Accent1 4 2 3 2 5 2 3" xfId="14474"/>
    <cellStyle name="20% - Accent1 4 2 3 2 5 2 3 2" xfId="26275"/>
    <cellStyle name="20% - Accent1 4 2 3 2 5 2 3 2 2" xfId="46398"/>
    <cellStyle name="20% - Accent1 4 2 3 2 5 2 3 3" xfId="30195"/>
    <cellStyle name="20% - Accent1 4 2 3 2 5 2 3 3 2" xfId="46399"/>
    <cellStyle name="20% - Accent1 4 2 3 2 5 2 3 4" xfId="30196"/>
    <cellStyle name="20% - Accent1 4 2 3 2 5 2 3 4 2" xfId="56853"/>
    <cellStyle name="20% - Accent1 4 2 3 2 5 2 3 5" xfId="39890"/>
    <cellStyle name="20% - Accent1 4 2 3 2 5 2 4" xfId="14475"/>
    <cellStyle name="20% - Accent1 4 2 3 2 5 2 4 2" xfId="26276"/>
    <cellStyle name="20% - Accent1 4 2 3 2 5 2 4 2 2" xfId="56854"/>
    <cellStyle name="20% - Accent1 4 2 3 2 5 2 4 3" xfId="39891"/>
    <cellStyle name="20% - Accent1 4 2 3 2 5 2 5" xfId="6999"/>
    <cellStyle name="20% - Accent1 4 2 3 2 5 2 5 2" xfId="46400"/>
    <cellStyle name="20% - Accent1 4 2 3 2 5 2 6" xfId="18800"/>
    <cellStyle name="20% - Accent1 4 2 3 2 5 2 6 2" xfId="56855"/>
    <cellStyle name="20% - Accent1 4 2 3 2 5 2 7" xfId="32415"/>
    <cellStyle name="20% - Accent1 4 2 3 2 5 3" xfId="3151"/>
    <cellStyle name="20% - Accent1 4 2 3 2 5 3 2" xfId="14476"/>
    <cellStyle name="20% - Accent1 4 2 3 2 5 3 2 2" xfId="26277"/>
    <cellStyle name="20% - Accent1 4 2 3 2 5 3 2 2 2" xfId="56856"/>
    <cellStyle name="20% - Accent1 4 2 3 2 5 3 2 3" xfId="39892"/>
    <cellStyle name="20% - Accent1 4 2 3 2 5 3 3" xfId="8604"/>
    <cellStyle name="20% - Accent1 4 2 3 2 5 3 3 2" xfId="46401"/>
    <cellStyle name="20% - Accent1 4 2 3 2 5 3 4" xfId="20405"/>
    <cellStyle name="20% - Accent1 4 2 3 2 5 3 4 2" xfId="56857"/>
    <cellStyle name="20% - Accent1 4 2 3 2 5 3 5" xfId="34020"/>
    <cellStyle name="20% - Accent1 4 2 3 2 5 4" xfId="14477"/>
    <cellStyle name="20% - Accent1 4 2 3 2 5 4 2" xfId="26278"/>
    <cellStyle name="20% - Accent1 4 2 3 2 5 4 2 2" xfId="46402"/>
    <cellStyle name="20% - Accent1 4 2 3 2 5 4 3" xfId="30197"/>
    <cellStyle name="20% - Accent1 4 2 3 2 5 4 3 2" xfId="46403"/>
    <cellStyle name="20% - Accent1 4 2 3 2 5 4 4" xfId="30198"/>
    <cellStyle name="20% - Accent1 4 2 3 2 5 4 4 2" xfId="56858"/>
    <cellStyle name="20% - Accent1 4 2 3 2 5 4 5" xfId="39893"/>
    <cellStyle name="20% - Accent1 4 2 3 2 5 5" xfId="14478"/>
    <cellStyle name="20% - Accent1 4 2 3 2 5 5 2" xfId="26279"/>
    <cellStyle name="20% - Accent1 4 2 3 2 5 5 2 2" xfId="56859"/>
    <cellStyle name="20% - Accent1 4 2 3 2 5 5 3" xfId="39894"/>
    <cellStyle name="20% - Accent1 4 2 3 2 5 6" xfId="6377"/>
    <cellStyle name="20% - Accent1 4 2 3 2 5 6 2" xfId="46404"/>
    <cellStyle name="20% - Accent1 4 2 3 2 5 7" xfId="18178"/>
    <cellStyle name="20% - Accent1 4 2 3 2 5 7 2" xfId="56860"/>
    <cellStyle name="20% - Accent1 4 2 3 2 5 8" xfId="31793"/>
    <cellStyle name="20% - Accent1 4 2 3 2 6" xfId="1546"/>
    <cellStyle name="20% - Accent1 4 2 3 2 6 2" xfId="3856"/>
    <cellStyle name="20% - Accent1 4 2 3 2 6 2 2" xfId="14479"/>
    <cellStyle name="20% - Accent1 4 2 3 2 6 2 2 2" xfId="26280"/>
    <cellStyle name="20% - Accent1 4 2 3 2 6 2 2 2 2" xfId="56861"/>
    <cellStyle name="20% - Accent1 4 2 3 2 6 2 2 3" xfId="39895"/>
    <cellStyle name="20% - Accent1 4 2 3 2 6 2 3" xfId="9309"/>
    <cellStyle name="20% - Accent1 4 2 3 2 6 2 3 2" xfId="46405"/>
    <cellStyle name="20% - Accent1 4 2 3 2 6 2 4" xfId="21110"/>
    <cellStyle name="20% - Accent1 4 2 3 2 6 2 4 2" xfId="56862"/>
    <cellStyle name="20% - Accent1 4 2 3 2 6 2 5" xfId="34725"/>
    <cellStyle name="20% - Accent1 4 2 3 2 6 3" xfId="14480"/>
    <cellStyle name="20% - Accent1 4 2 3 2 6 3 2" xfId="26281"/>
    <cellStyle name="20% - Accent1 4 2 3 2 6 3 2 2" xfId="46406"/>
    <cellStyle name="20% - Accent1 4 2 3 2 6 3 3" xfId="30199"/>
    <cellStyle name="20% - Accent1 4 2 3 2 6 3 3 2" xfId="46407"/>
    <cellStyle name="20% - Accent1 4 2 3 2 6 3 4" xfId="30200"/>
    <cellStyle name="20% - Accent1 4 2 3 2 6 3 4 2" xfId="56863"/>
    <cellStyle name="20% - Accent1 4 2 3 2 6 3 5" xfId="39896"/>
    <cellStyle name="20% - Accent1 4 2 3 2 6 4" xfId="14481"/>
    <cellStyle name="20% - Accent1 4 2 3 2 6 4 2" xfId="26282"/>
    <cellStyle name="20% - Accent1 4 2 3 2 6 4 2 2" xfId="56864"/>
    <cellStyle name="20% - Accent1 4 2 3 2 6 4 3" xfId="39897"/>
    <cellStyle name="20% - Accent1 4 2 3 2 6 5" xfId="7000"/>
    <cellStyle name="20% - Accent1 4 2 3 2 6 5 2" xfId="46408"/>
    <cellStyle name="20% - Accent1 4 2 3 2 6 6" xfId="18801"/>
    <cellStyle name="20% - Accent1 4 2 3 2 6 6 2" xfId="56865"/>
    <cellStyle name="20% - Accent1 4 2 3 2 6 7" xfId="32416"/>
    <cellStyle name="20% - Accent1 4 2 3 2 7" xfId="3719"/>
    <cellStyle name="20% - Accent1 4 2 3 2 7 2" xfId="14482"/>
    <cellStyle name="20% - Accent1 4 2 3 2 7 2 2" xfId="26283"/>
    <cellStyle name="20% - Accent1 4 2 3 2 7 2 2 2" xfId="56866"/>
    <cellStyle name="20% - Accent1 4 2 3 2 7 2 3" xfId="39898"/>
    <cellStyle name="20% - Accent1 4 2 3 2 7 3" xfId="9172"/>
    <cellStyle name="20% - Accent1 4 2 3 2 7 3 2" xfId="46409"/>
    <cellStyle name="20% - Accent1 4 2 3 2 7 4" xfId="20973"/>
    <cellStyle name="20% - Accent1 4 2 3 2 7 4 2" xfId="56867"/>
    <cellStyle name="20% - Accent1 4 2 3 2 7 5" xfId="34588"/>
    <cellStyle name="20% - Accent1 4 2 3 2 8" xfId="2015"/>
    <cellStyle name="20% - Accent1 4 2 3 2 8 2" xfId="14483"/>
    <cellStyle name="20% - Accent1 4 2 3 2 8 2 2" xfId="26284"/>
    <cellStyle name="20% - Accent1 4 2 3 2 8 2 2 2" xfId="56868"/>
    <cellStyle name="20% - Accent1 4 2 3 2 8 2 3" xfId="39899"/>
    <cellStyle name="20% - Accent1 4 2 3 2 8 3" xfId="7468"/>
    <cellStyle name="20% - Accent1 4 2 3 2 8 3 2" xfId="46410"/>
    <cellStyle name="20% - Accent1 4 2 3 2 8 4" xfId="19269"/>
    <cellStyle name="20% - Accent1 4 2 3 2 8 4 2" xfId="56869"/>
    <cellStyle name="20% - Accent1 4 2 3 2 8 5" xfId="32884"/>
    <cellStyle name="20% - Accent1 4 2 3 2 9" xfId="14484"/>
    <cellStyle name="20% - Accent1 4 2 3 2 9 2" xfId="26285"/>
    <cellStyle name="20% - Accent1 4 2 3 2 9 2 2" xfId="56870"/>
    <cellStyle name="20% - Accent1 4 2 3 2 9 3" xfId="39900"/>
    <cellStyle name="20% - Accent1 4 2 3 3" xfId="175"/>
    <cellStyle name="20% - Accent1 4 2 3 3 10" xfId="31045"/>
    <cellStyle name="20% - Accent1 4 2 3 3 2" xfId="337"/>
    <cellStyle name="20% - Accent1 4 2 3 3 2 2" xfId="1547"/>
    <cellStyle name="20% - Accent1 4 2 3 3 2 2 2" xfId="4647"/>
    <cellStyle name="20% - Accent1 4 2 3 3 2 2 2 2" xfId="14485"/>
    <cellStyle name="20% - Accent1 4 2 3 3 2 2 2 2 2" xfId="26286"/>
    <cellStyle name="20% - Accent1 4 2 3 3 2 2 2 2 2 2" xfId="56871"/>
    <cellStyle name="20% - Accent1 4 2 3 3 2 2 2 2 3" xfId="39901"/>
    <cellStyle name="20% - Accent1 4 2 3 3 2 2 2 3" xfId="10100"/>
    <cellStyle name="20% - Accent1 4 2 3 3 2 2 2 3 2" xfId="46411"/>
    <cellStyle name="20% - Accent1 4 2 3 3 2 2 2 4" xfId="21901"/>
    <cellStyle name="20% - Accent1 4 2 3 3 2 2 2 4 2" xfId="56872"/>
    <cellStyle name="20% - Accent1 4 2 3 3 2 2 2 5" xfId="35516"/>
    <cellStyle name="20% - Accent1 4 2 3 3 2 2 3" xfId="2806"/>
    <cellStyle name="20% - Accent1 4 2 3 3 2 2 3 2" xfId="14486"/>
    <cellStyle name="20% - Accent1 4 2 3 3 2 2 3 2 2" xfId="26287"/>
    <cellStyle name="20% - Accent1 4 2 3 3 2 2 3 2 2 2" xfId="56873"/>
    <cellStyle name="20% - Accent1 4 2 3 3 2 2 3 2 3" xfId="39902"/>
    <cellStyle name="20% - Accent1 4 2 3 3 2 2 3 3" xfId="8259"/>
    <cellStyle name="20% - Accent1 4 2 3 3 2 2 3 3 2" xfId="46412"/>
    <cellStyle name="20% - Accent1 4 2 3 3 2 2 3 4" xfId="20060"/>
    <cellStyle name="20% - Accent1 4 2 3 3 2 2 3 4 2" xfId="56874"/>
    <cellStyle name="20% - Accent1 4 2 3 3 2 2 3 5" xfId="33675"/>
    <cellStyle name="20% - Accent1 4 2 3 3 2 2 4" xfId="14487"/>
    <cellStyle name="20% - Accent1 4 2 3 3 2 2 4 2" xfId="26288"/>
    <cellStyle name="20% - Accent1 4 2 3 3 2 2 4 2 2" xfId="56875"/>
    <cellStyle name="20% - Accent1 4 2 3 3 2 2 4 3" xfId="39903"/>
    <cellStyle name="20% - Accent1 4 2 3 3 2 2 5" xfId="7001"/>
    <cellStyle name="20% - Accent1 4 2 3 3 2 2 5 2" xfId="46413"/>
    <cellStyle name="20% - Accent1 4 2 3 3 2 2 6" xfId="18802"/>
    <cellStyle name="20% - Accent1 4 2 3 3 2 2 6 2" xfId="56876"/>
    <cellStyle name="20% - Accent1 4 2 3 3 2 2 7" xfId="32417"/>
    <cellStyle name="20% - Accent1 4 2 3 3 2 3" xfId="3374"/>
    <cellStyle name="20% - Accent1 4 2 3 3 2 3 2" xfId="5215"/>
    <cellStyle name="20% - Accent1 4 2 3 3 2 3 2 2" xfId="16685"/>
    <cellStyle name="20% - Accent1 4 2 3 3 2 3 2 2 2" xfId="28486"/>
    <cellStyle name="20% - Accent1 4 2 3 3 2 3 2 2 2 2" xfId="56877"/>
    <cellStyle name="20% - Accent1 4 2 3 3 2 3 2 2 3" xfId="42101"/>
    <cellStyle name="20% - Accent1 4 2 3 3 2 3 2 3" xfId="10668"/>
    <cellStyle name="20% - Accent1 4 2 3 3 2 3 2 3 2" xfId="56878"/>
    <cellStyle name="20% - Accent1 4 2 3 3 2 3 2 4" xfId="22469"/>
    <cellStyle name="20% - Accent1 4 2 3 3 2 3 2 4 2" xfId="56879"/>
    <cellStyle name="20% - Accent1 4 2 3 3 2 3 2 5" xfId="36084"/>
    <cellStyle name="20% - Accent1 4 2 3 3 2 3 3" xfId="14488"/>
    <cellStyle name="20% - Accent1 4 2 3 3 2 3 3 2" xfId="26289"/>
    <cellStyle name="20% - Accent1 4 2 3 3 2 3 3 2 2" xfId="56880"/>
    <cellStyle name="20% - Accent1 4 2 3 3 2 3 3 3" xfId="39904"/>
    <cellStyle name="20% - Accent1 4 2 3 3 2 3 4" xfId="8827"/>
    <cellStyle name="20% - Accent1 4 2 3 3 2 3 4 2" xfId="56881"/>
    <cellStyle name="20% - Accent1 4 2 3 3 2 3 5" xfId="20628"/>
    <cellStyle name="20% - Accent1 4 2 3 3 2 3 5 2" xfId="56882"/>
    <cellStyle name="20% - Accent1 4 2 3 3 2 3 6" xfId="34243"/>
    <cellStyle name="20% - Accent1 4 2 3 3 2 4" xfId="4079"/>
    <cellStyle name="20% - Accent1 4 2 3 3 2 4 2" xfId="14489"/>
    <cellStyle name="20% - Accent1 4 2 3 3 2 4 2 2" xfId="26290"/>
    <cellStyle name="20% - Accent1 4 2 3 3 2 4 2 2 2" xfId="56883"/>
    <cellStyle name="20% - Accent1 4 2 3 3 2 4 2 3" xfId="39905"/>
    <cellStyle name="20% - Accent1 4 2 3 3 2 4 3" xfId="9532"/>
    <cellStyle name="20% - Accent1 4 2 3 3 2 4 3 2" xfId="46414"/>
    <cellStyle name="20% - Accent1 4 2 3 3 2 4 4" xfId="21333"/>
    <cellStyle name="20% - Accent1 4 2 3 3 2 4 4 2" xfId="56884"/>
    <cellStyle name="20% - Accent1 4 2 3 3 2 4 5" xfId="34948"/>
    <cellStyle name="20% - Accent1 4 2 3 3 2 5" xfId="2238"/>
    <cellStyle name="20% - Accent1 4 2 3 3 2 5 2" xfId="17131"/>
    <cellStyle name="20% - Accent1 4 2 3 3 2 5 2 2" xfId="28932"/>
    <cellStyle name="20% - Accent1 4 2 3 3 2 5 2 2 2" xfId="56885"/>
    <cellStyle name="20% - Accent1 4 2 3 3 2 5 2 3" xfId="42547"/>
    <cellStyle name="20% - Accent1 4 2 3 3 2 5 3" xfId="7691"/>
    <cellStyle name="20% - Accent1 4 2 3 3 2 5 3 2" xfId="56886"/>
    <cellStyle name="20% - Accent1 4 2 3 3 2 5 4" xfId="19492"/>
    <cellStyle name="20% - Accent1 4 2 3 3 2 5 4 2" xfId="56887"/>
    <cellStyle name="20% - Accent1 4 2 3 3 2 5 5" xfId="33107"/>
    <cellStyle name="20% - Accent1 4 2 3 3 2 6" xfId="14490"/>
    <cellStyle name="20% - Accent1 4 2 3 3 2 6 2" xfId="26291"/>
    <cellStyle name="20% - Accent1 4 2 3 3 2 6 2 2" xfId="56888"/>
    <cellStyle name="20% - Accent1 4 2 3 3 2 6 3" xfId="39906"/>
    <cellStyle name="20% - Accent1 4 2 3 3 2 7" xfId="5791"/>
    <cellStyle name="20% - Accent1 4 2 3 3 2 7 2" xfId="56889"/>
    <cellStyle name="20% - Accent1 4 2 3 3 2 8" xfId="17592"/>
    <cellStyle name="20% - Accent1 4 2 3 3 2 8 2" xfId="56890"/>
    <cellStyle name="20% - Accent1 4 2 3 3 2 9" xfId="31207"/>
    <cellStyle name="20% - Accent1 4 2 3 3 3" xfId="743"/>
    <cellStyle name="20% - Accent1 4 2 3 3 3 2" xfId="1548"/>
    <cellStyle name="20% - Accent1 4 2 3 3 3 2 2" xfId="4485"/>
    <cellStyle name="20% - Accent1 4 2 3 3 3 2 2 2" xfId="14491"/>
    <cellStyle name="20% - Accent1 4 2 3 3 3 2 2 2 2" xfId="26292"/>
    <cellStyle name="20% - Accent1 4 2 3 3 3 2 2 2 2 2" xfId="56891"/>
    <cellStyle name="20% - Accent1 4 2 3 3 3 2 2 2 3" xfId="39907"/>
    <cellStyle name="20% - Accent1 4 2 3 3 3 2 2 3" xfId="9938"/>
    <cellStyle name="20% - Accent1 4 2 3 3 3 2 2 3 2" xfId="46415"/>
    <cellStyle name="20% - Accent1 4 2 3 3 3 2 2 4" xfId="21739"/>
    <cellStyle name="20% - Accent1 4 2 3 3 3 2 2 4 2" xfId="56892"/>
    <cellStyle name="20% - Accent1 4 2 3 3 3 2 2 5" xfId="35354"/>
    <cellStyle name="20% - Accent1 4 2 3 3 3 2 3" xfId="14492"/>
    <cellStyle name="20% - Accent1 4 2 3 3 3 2 3 2" xfId="26293"/>
    <cellStyle name="20% - Accent1 4 2 3 3 3 2 3 2 2" xfId="46416"/>
    <cellStyle name="20% - Accent1 4 2 3 3 3 2 3 3" xfId="30201"/>
    <cellStyle name="20% - Accent1 4 2 3 3 3 2 3 3 2" xfId="46417"/>
    <cellStyle name="20% - Accent1 4 2 3 3 3 2 3 4" xfId="30202"/>
    <cellStyle name="20% - Accent1 4 2 3 3 3 2 3 4 2" xfId="56893"/>
    <cellStyle name="20% - Accent1 4 2 3 3 3 2 3 5" xfId="39908"/>
    <cellStyle name="20% - Accent1 4 2 3 3 3 2 4" xfId="14493"/>
    <cellStyle name="20% - Accent1 4 2 3 3 3 2 4 2" xfId="26294"/>
    <cellStyle name="20% - Accent1 4 2 3 3 3 2 4 2 2" xfId="56894"/>
    <cellStyle name="20% - Accent1 4 2 3 3 3 2 4 3" xfId="39909"/>
    <cellStyle name="20% - Accent1 4 2 3 3 3 2 5" xfId="7002"/>
    <cellStyle name="20% - Accent1 4 2 3 3 3 2 5 2" xfId="46418"/>
    <cellStyle name="20% - Accent1 4 2 3 3 3 2 6" xfId="18803"/>
    <cellStyle name="20% - Accent1 4 2 3 3 3 2 6 2" xfId="56895"/>
    <cellStyle name="20% - Accent1 4 2 3 3 3 2 7" xfId="32418"/>
    <cellStyle name="20% - Accent1 4 2 3 3 3 3" xfId="2644"/>
    <cellStyle name="20% - Accent1 4 2 3 3 3 3 2" xfId="14494"/>
    <cellStyle name="20% - Accent1 4 2 3 3 3 3 2 2" xfId="26295"/>
    <cellStyle name="20% - Accent1 4 2 3 3 3 3 2 2 2" xfId="56896"/>
    <cellStyle name="20% - Accent1 4 2 3 3 3 3 2 3" xfId="39910"/>
    <cellStyle name="20% - Accent1 4 2 3 3 3 3 3" xfId="8097"/>
    <cellStyle name="20% - Accent1 4 2 3 3 3 3 3 2" xfId="46419"/>
    <cellStyle name="20% - Accent1 4 2 3 3 3 3 4" xfId="19898"/>
    <cellStyle name="20% - Accent1 4 2 3 3 3 3 4 2" xfId="56897"/>
    <cellStyle name="20% - Accent1 4 2 3 3 3 3 5" xfId="33513"/>
    <cellStyle name="20% - Accent1 4 2 3 3 3 4" xfId="14495"/>
    <cellStyle name="20% - Accent1 4 2 3 3 3 4 2" xfId="26296"/>
    <cellStyle name="20% - Accent1 4 2 3 3 3 4 2 2" xfId="46420"/>
    <cellStyle name="20% - Accent1 4 2 3 3 3 4 3" xfId="30203"/>
    <cellStyle name="20% - Accent1 4 2 3 3 3 4 3 2" xfId="46421"/>
    <cellStyle name="20% - Accent1 4 2 3 3 3 4 4" xfId="30204"/>
    <cellStyle name="20% - Accent1 4 2 3 3 3 4 4 2" xfId="56898"/>
    <cellStyle name="20% - Accent1 4 2 3 3 3 4 5" xfId="39911"/>
    <cellStyle name="20% - Accent1 4 2 3 3 3 5" xfId="14496"/>
    <cellStyle name="20% - Accent1 4 2 3 3 3 5 2" xfId="26297"/>
    <cellStyle name="20% - Accent1 4 2 3 3 3 5 2 2" xfId="56899"/>
    <cellStyle name="20% - Accent1 4 2 3 3 3 5 3" xfId="39912"/>
    <cellStyle name="20% - Accent1 4 2 3 3 3 6" xfId="6197"/>
    <cellStyle name="20% - Accent1 4 2 3 3 3 6 2" xfId="46422"/>
    <cellStyle name="20% - Accent1 4 2 3 3 3 7" xfId="17998"/>
    <cellStyle name="20% - Accent1 4 2 3 3 3 7 2" xfId="56900"/>
    <cellStyle name="20% - Accent1 4 2 3 3 3 8" xfId="31613"/>
    <cellStyle name="20% - Accent1 4 2 3 3 4" xfId="1549"/>
    <cellStyle name="20% - Accent1 4 2 3 3 4 2" xfId="5053"/>
    <cellStyle name="20% - Accent1 4 2 3 3 4 2 2" xfId="14497"/>
    <cellStyle name="20% - Accent1 4 2 3 3 4 2 2 2" xfId="26298"/>
    <cellStyle name="20% - Accent1 4 2 3 3 4 2 2 2 2" xfId="56901"/>
    <cellStyle name="20% - Accent1 4 2 3 3 4 2 2 3" xfId="39913"/>
    <cellStyle name="20% - Accent1 4 2 3 3 4 2 3" xfId="10506"/>
    <cellStyle name="20% - Accent1 4 2 3 3 4 2 3 2" xfId="46423"/>
    <cellStyle name="20% - Accent1 4 2 3 3 4 2 4" xfId="22307"/>
    <cellStyle name="20% - Accent1 4 2 3 3 4 2 4 2" xfId="56902"/>
    <cellStyle name="20% - Accent1 4 2 3 3 4 2 5" xfId="35922"/>
    <cellStyle name="20% - Accent1 4 2 3 3 4 3" xfId="3212"/>
    <cellStyle name="20% - Accent1 4 2 3 3 4 3 2" xfId="14498"/>
    <cellStyle name="20% - Accent1 4 2 3 3 4 3 2 2" xfId="26299"/>
    <cellStyle name="20% - Accent1 4 2 3 3 4 3 2 2 2" xfId="56903"/>
    <cellStyle name="20% - Accent1 4 2 3 3 4 3 2 3" xfId="39914"/>
    <cellStyle name="20% - Accent1 4 2 3 3 4 3 3" xfId="8665"/>
    <cellStyle name="20% - Accent1 4 2 3 3 4 3 3 2" xfId="46424"/>
    <cellStyle name="20% - Accent1 4 2 3 3 4 3 4" xfId="20466"/>
    <cellStyle name="20% - Accent1 4 2 3 3 4 3 4 2" xfId="56904"/>
    <cellStyle name="20% - Accent1 4 2 3 3 4 3 5" xfId="34081"/>
    <cellStyle name="20% - Accent1 4 2 3 3 4 4" xfId="14499"/>
    <cellStyle name="20% - Accent1 4 2 3 3 4 4 2" xfId="26300"/>
    <cellStyle name="20% - Accent1 4 2 3 3 4 4 2 2" xfId="56905"/>
    <cellStyle name="20% - Accent1 4 2 3 3 4 4 3" xfId="39915"/>
    <cellStyle name="20% - Accent1 4 2 3 3 4 5" xfId="7003"/>
    <cellStyle name="20% - Accent1 4 2 3 3 4 5 2" xfId="46425"/>
    <cellStyle name="20% - Accent1 4 2 3 3 4 6" xfId="18804"/>
    <cellStyle name="20% - Accent1 4 2 3 3 4 6 2" xfId="56906"/>
    <cellStyle name="20% - Accent1 4 2 3 3 4 7" xfId="32419"/>
    <cellStyle name="20% - Accent1 4 2 3 3 5" xfId="3917"/>
    <cellStyle name="20% - Accent1 4 2 3 3 5 2" xfId="14500"/>
    <cellStyle name="20% - Accent1 4 2 3 3 5 2 2" xfId="26301"/>
    <cellStyle name="20% - Accent1 4 2 3 3 5 2 2 2" xfId="56907"/>
    <cellStyle name="20% - Accent1 4 2 3 3 5 2 3" xfId="39916"/>
    <cellStyle name="20% - Accent1 4 2 3 3 5 3" xfId="9370"/>
    <cellStyle name="20% - Accent1 4 2 3 3 5 3 2" xfId="46426"/>
    <cellStyle name="20% - Accent1 4 2 3 3 5 4" xfId="21171"/>
    <cellStyle name="20% - Accent1 4 2 3 3 5 4 2" xfId="56908"/>
    <cellStyle name="20% - Accent1 4 2 3 3 5 5" xfId="34786"/>
    <cellStyle name="20% - Accent1 4 2 3 3 6" xfId="2076"/>
    <cellStyle name="20% - Accent1 4 2 3 3 6 2" xfId="14501"/>
    <cellStyle name="20% - Accent1 4 2 3 3 6 2 2" xfId="26302"/>
    <cellStyle name="20% - Accent1 4 2 3 3 6 2 2 2" xfId="56909"/>
    <cellStyle name="20% - Accent1 4 2 3 3 6 2 3" xfId="39917"/>
    <cellStyle name="20% - Accent1 4 2 3 3 6 3" xfId="7529"/>
    <cellStyle name="20% - Accent1 4 2 3 3 6 3 2" xfId="46427"/>
    <cellStyle name="20% - Accent1 4 2 3 3 6 4" xfId="19330"/>
    <cellStyle name="20% - Accent1 4 2 3 3 6 4 2" xfId="56910"/>
    <cellStyle name="20% - Accent1 4 2 3 3 6 5" xfId="32945"/>
    <cellStyle name="20% - Accent1 4 2 3 3 7" xfId="14502"/>
    <cellStyle name="20% - Accent1 4 2 3 3 7 2" xfId="26303"/>
    <cellStyle name="20% - Accent1 4 2 3 3 7 2 2" xfId="56911"/>
    <cellStyle name="20% - Accent1 4 2 3 3 7 3" xfId="39918"/>
    <cellStyle name="20% - Accent1 4 2 3 3 8" xfId="5629"/>
    <cellStyle name="20% - Accent1 4 2 3 3 8 2" xfId="46428"/>
    <cellStyle name="20% - Accent1 4 2 3 3 9" xfId="17430"/>
    <cellStyle name="20% - Accent1 4 2 3 3 9 2" xfId="56912"/>
    <cellStyle name="20% - Accent1 4 2 3 4" xfId="474"/>
    <cellStyle name="20% - Accent1 4 2 3 4 2" xfId="1550"/>
    <cellStyle name="20% - Accent1 4 2 3 4 2 2" xfId="4784"/>
    <cellStyle name="20% - Accent1 4 2 3 4 2 2 2" xfId="14503"/>
    <cellStyle name="20% - Accent1 4 2 3 4 2 2 2 2" xfId="26304"/>
    <cellStyle name="20% - Accent1 4 2 3 4 2 2 2 2 2" xfId="56913"/>
    <cellStyle name="20% - Accent1 4 2 3 4 2 2 2 3" xfId="39919"/>
    <cellStyle name="20% - Accent1 4 2 3 4 2 2 3" xfId="10237"/>
    <cellStyle name="20% - Accent1 4 2 3 4 2 2 3 2" xfId="46429"/>
    <cellStyle name="20% - Accent1 4 2 3 4 2 2 4" xfId="22038"/>
    <cellStyle name="20% - Accent1 4 2 3 4 2 2 4 2" xfId="56914"/>
    <cellStyle name="20% - Accent1 4 2 3 4 2 2 5" xfId="35653"/>
    <cellStyle name="20% - Accent1 4 2 3 4 2 3" xfId="2943"/>
    <cellStyle name="20% - Accent1 4 2 3 4 2 3 2" xfId="14504"/>
    <cellStyle name="20% - Accent1 4 2 3 4 2 3 2 2" xfId="26305"/>
    <cellStyle name="20% - Accent1 4 2 3 4 2 3 2 2 2" xfId="56915"/>
    <cellStyle name="20% - Accent1 4 2 3 4 2 3 2 3" xfId="39920"/>
    <cellStyle name="20% - Accent1 4 2 3 4 2 3 3" xfId="8396"/>
    <cellStyle name="20% - Accent1 4 2 3 4 2 3 3 2" xfId="46430"/>
    <cellStyle name="20% - Accent1 4 2 3 4 2 3 4" xfId="20197"/>
    <cellStyle name="20% - Accent1 4 2 3 4 2 3 4 2" xfId="56916"/>
    <cellStyle name="20% - Accent1 4 2 3 4 2 3 5" xfId="33812"/>
    <cellStyle name="20% - Accent1 4 2 3 4 2 4" xfId="14505"/>
    <cellStyle name="20% - Accent1 4 2 3 4 2 4 2" xfId="26306"/>
    <cellStyle name="20% - Accent1 4 2 3 4 2 4 2 2" xfId="56917"/>
    <cellStyle name="20% - Accent1 4 2 3 4 2 4 3" xfId="39921"/>
    <cellStyle name="20% - Accent1 4 2 3 4 2 5" xfId="7004"/>
    <cellStyle name="20% - Accent1 4 2 3 4 2 5 2" xfId="46431"/>
    <cellStyle name="20% - Accent1 4 2 3 4 2 6" xfId="18805"/>
    <cellStyle name="20% - Accent1 4 2 3 4 2 6 2" xfId="56918"/>
    <cellStyle name="20% - Accent1 4 2 3 4 2 7" xfId="32420"/>
    <cellStyle name="20% - Accent1 4 2 3 4 3" xfId="3511"/>
    <cellStyle name="20% - Accent1 4 2 3 4 3 2" xfId="5352"/>
    <cellStyle name="20% - Accent1 4 2 3 4 3 2 2" xfId="16822"/>
    <cellStyle name="20% - Accent1 4 2 3 4 3 2 2 2" xfId="28623"/>
    <cellStyle name="20% - Accent1 4 2 3 4 3 2 2 2 2" xfId="56919"/>
    <cellStyle name="20% - Accent1 4 2 3 4 3 2 2 3" xfId="42238"/>
    <cellStyle name="20% - Accent1 4 2 3 4 3 2 3" xfId="10805"/>
    <cellStyle name="20% - Accent1 4 2 3 4 3 2 3 2" xfId="56920"/>
    <cellStyle name="20% - Accent1 4 2 3 4 3 2 4" xfId="22606"/>
    <cellStyle name="20% - Accent1 4 2 3 4 3 2 4 2" xfId="56921"/>
    <cellStyle name="20% - Accent1 4 2 3 4 3 2 5" xfId="36221"/>
    <cellStyle name="20% - Accent1 4 2 3 4 3 3" xfId="14506"/>
    <cellStyle name="20% - Accent1 4 2 3 4 3 3 2" xfId="26307"/>
    <cellStyle name="20% - Accent1 4 2 3 4 3 3 2 2" xfId="56922"/>
    <cellStyle name="20% - Accent1 4 2 3 4 3 3 3" xfId="39922"/>
    <cellStyle name="20% - Accent1 4 2 3 4 3 4" xfId="8964"/>
    <cellStyle name="20% - Accent1 4 2 3 4 3 4 2" xfId="56923"/>
    <cellStyle name="20% - Accent1 4 2 3 4 3 5" xfId="20765"/>
    <cellStyle name="20% - Accent1 4 2 3 4 3 5 2" xfId="56924"/>
    <cellStyle name="20% - Accent1 4 2 3 4 3 6" xfId="34380"/>
    <cellStyle name="20% - Accent1 4 2 3 4 4" xfId="4216"/>
    <cellStyle name="20% - Accent1 4 2 3 4 4 2" xfId="14507"/>
    <cellStyle name="20% - Accent1 4 2 3 4 4 2 2" xfId="26308"/>
    <cellStyle name="20% - Accent1 4 2 3 4 4 2 2 2" xfId="56925"/>
    <cellStyle name="20% - Accent1 4 2 3 4 4 2 3" xfId="39923"/>
    <cellStyle name="20% - Accent1 4 2 3 4 4 3" xfId="9669"/>
    <cellStyle name="20% - Accent1 4 2 3 4 4 3 2" xfId="46432"/>
    <cellStyle name="20% - Accent1 4 2 3 4 4 4" xfId="21470"/>
    <cellStyle name="20% - Accent1 4 2 3 4 4 4 2" xfId="56926"/>
    <cellStyle name="20% - Accent1 4 2 3 4 4 5" xfId="35085"/>
    <cellStyle name="20% - Accent1 4 2 3 4 5" xfId="2375"/>
    <cellStyle name="20% - Accent1 4 2 3 4 5 2" xfId="17132"/>
    <cellStyle name="20% - Accent1 4 2 3 4 5 2 2" xfId="28933"/>
    <cellStyle name="20% - Accent1 4 2 3 4 5 2 2 2" xfId="56927"/>
    <cellStyle name="20% - Accent1 4 2 3 4 5 2 3" xfId="42548"/>
    <cellStyle name="20% - Accent1 4 2 3 4 5 3" xfId="7828"/>
    <cellStyle name="20% - Accent1 4 2 3 4 5 3 2" xfId="56928"/>
    <cellStyle name="20% - Accent1 4 2 3 4 5 4" xfId="19629"/>
    <cellStyle name="20% - Accent1 4 2 3 4 5 4 2" xfId="56929"/>
    <cellStyle name="20% - Accent1 4 2 3 4 5 5" xfId="33244"/>
    <cellStyle name="20% - Accent1 4 2 3 4 6" xfId="14508"/>
    <cellStyle name="20% - Accent1 4 2 3 4 6 2" xfId="26309"/>
    <cellStyle name="20% - Accent1 4 2 3 4 6 2 2" xfId="56930"/>
    <cellStyle name="20% - Accent1 4 2 3 4 6 3" xfId="39924"/>
    <cellStyle name="20% - Accent1 4 2 3 4 7" xfId="5928"/>
    <cellStyle name="20% - Accent1 4 2 3 4 7 2" xfId="56931"/>
    <cellStyle name="20% - Accent1 4 2 3 4 8" xfId="17729"/>
    <cellStyle name="20% - Accent1 4 2 3 4 8 2" xfId="56932"/>
    <cellStyle name="20% - Accent1 4 2 3 4 9" xfId="31344"/>
    <cellStyle name="20% - Accent1 4 2 3 5" xfId="288"/>
    <cellStyle name="20% - Accent1 4 2 3 5 2" xfId="1551"/>
    <cellStyle name="20% - Accent1 4 2 3 5 2 2" xfId="4598"/>
    <cellStyle name="20% - Accent1 4 2 3 5 2 2 2" xfId="14509"/>
    <cellStyle name="20% - Accent1 4 2 3 5 2 2 2 2" xfId="26310"/>
    <cellStyle name="20% - Accent1 4 2 3 5 2 2 2 2 2" xfId="56933"/>
    <cellStyle name="20% - Accent1 4 2 3 5 2 2 2 3" xfId="39925"/>
    <cellStyle name="20% - Accent1 4 2 3 5 2 2 3" xfId="10051"/>
    <cellStyle name="20% - Accent1 4 2 3 5 2 2 3 2" xfId="46433"/>
    <cellStyle name="20% - Accent1 4 2 3 5 2 2 4" xfId="21852"/>
    <cellStyle name="20% - Accent1 4 2 3 5 2 2 4 2" xfId="56934"/>
    <cellStyle name="20% - Accent1 4 2 3 5 2 2 5" xfId="35467"/>
    <cellStyle name="20% - Accent1 4 2 3 5 2 3" xfId="2757"/>
    <cellStyle name="20% - Accent1 4 2 3 5 2 3 2" xfId="14510"/>
    <cellStyle name="20% - Accent1 4 2 3 5 2 3 2 2" xfId="26311"/>
    <cellStyle name="20% - Accent1 4 2 3 5 2 3 2 2 2" xfId="56935"/>
    <cellStyle name="20% - Accent1 4 2 3 5 2 3 2 3" xfId="39926"/>
    <cellStyle name="20% - Accent1 4 2 3 5 2 3 3" xfId="8210"/>
    <cellStyle name="20% - Accent1 4 2 3 5 2 3 3 2" xfId="46434"/>
    <cellStyle name="20% - Accent1 4 2 3 5 2 3 4" xfId="20011"/>
    <cellStyle name="20% - Accent1 4 2 3 5 2 3 4 2" xfId="56936"/>
    <cellStyle name="20% - Accent1 4 2 3 5 2 3 5" xfId="33626"/>
    <cellStyle name="20% - Accent1 4 2 3 5 2 4" xfId="14511"/>
    <cellStyle name="20% - Accent1 4 2 3 5 2 4 2" xfId="26312"/>
    <cellStyle name="20% - Accent1 4 2 3 5 2 4 2 2" xfId="56937"/>
    <cellStyle name="20% - Accent1 4 2 3 5 2 4 3" xfId="39927"/>
    <cellStyle name="20% - Accent1 4 2 3 5 2 5" xfId="7005"/>
    <cellStyle name="20% - Accent1 4 2 3 5 2 5 2" xfId="46435"/>
    <cellStyle name="20% - Accent1 4 2 3 5 2 6" xfId="18806"/>
    <cellStyle name="20% - Accent1 4 2 3 5 2 6 2" xfId="56938"/>
    <cellStyle name="20% - Accent1 4 2 3 5 2 7" xfId="32421"/>
    <cellStyle name="20% - Accent1 4 2 3 5 3" xfId="3325"/>
    <cellStyle name="20% - Accent1 4 2 3 5 3 2" xfId="5166"/>
    <cellStyle name="20% - Accent1 4 2 3 5 3 2 2" xfId="16636"/>
    <cellStyle name="20% - Accent1 4 2 3 5 3 2 2 2" xfId="28437"/>
    <cellStyle name="20% - Accent1 4 2 3 5 3 2 2 2 2" xfId="56939"/>
    <cellStyle name="20% - Accent1 4 2 3 5 3 2 2 3" xfId="42052"/>
    <cellStyle name="20% - Accent1 4 2 3 5 3 2 3" xfId="10619"/>
    <cellStyle name="20% - Accent1 4 2 3 5 3 2 3 2" xfId="56940"/>
    <cellStyle name="20% - Accent1 4 2 3 5 3 2 4" xfId="22420"/>
    <cellStyle name="20% - Accent1 4 2 3 5 3 2 4 2" xfId="56941"/>
    <cellStyle name="20% - Accent1 4 2 3 5 3 2 5" xfId="36035"/>
    <cellStyle name="20% - Accent1 4 2 3 5 3 3" xfId="14512"/>
    <cellStyle name="20% - Accent1 4 2 3 5 3 3 2" xfId="26313"/>
    <cellStyle name="20% - Accent1 4 2 3 5 3 3 2 2" xfId="56942"/>
    <cellStyle name="20% - Accent1 4 2 3 5 3 3 3" xfId="39928"/>
    <cellStyle name="20% - Accent1 4 2 3 5 3 4" xfId="8778"/>
    <cellStyle name="20% - Accent1 4 2 3 5 3 4 2" xfId="56943"/>
    <cellStyle name="20% - Accent1 4 2 3 5 3 5" xfId="20579"/>
    <cellStyle name="20% - Accent1 4 2 3 5 3 5 2" xfId="56944"/>
    <cellStyle name="20% - Accent1 4 2 3 5 3 6" xfId="34194"/>
    <cellStyle name="20% - Accent1 4 2 3 5 4" xfId="4030"/>
    <cellStyle name="20% - Accent1 4 2 3 5 4 2" xfId="14513"/>
    <cellStyle name="20% - Accent1 4 2 3 5 4 2 2" xfId="26314"/>
    <cellStyle name="20% - Accent1 4 2 3 5 4 2 2 2" xfId="56945"/>
    <cellStyle name="20% - Accent1 4 2 3 5 4 2 3" xfId="39929"/>
    <cellStyle name="20% - Accent1 4 2 3 5 4 3" xfId="9483"/>
    <cellStyle name="20% - Accent1 4 2 3 5 4 3 2" xfId="46436"/>
    <cellStyle name="20% - Accent1 4 2 3 5 4 4" xfId="21284"/>
    <cellStyle name="20% - Accent1 4 2 3 5 4 4 2" xfId="56946"/>
    <cellStyle name="20% - Accent1 4 2 3 5 4 5" xfId="34899"/>
    <cellStyle name="20% - Accent1 4 2 3 5 5" xfId="2189"/>
    <cellStyle name="20% - Accent1 4 2 3 5 5 2" xfId="17133"/>
    <cellStyle name="20% - Accent1 4 2 3 5 5 2 2" xfId="28934"/>
    <cellStyle name="20% - Accent1 4 2 3 5 5 2 2 2" xfId="56947"/>
    <cellStyle name="20% - Accent1 4 2 3 5 5 2 3" xfId="42549"/>
    <cellStyle name="20% - Accent1 4 2 3 5 5 3" xfId="7642"/>
    <cellStyle name="20% - Accent1 4 2 3 5 5 3 2" xfId="56948"/>
    <cellStyle name="20% - Accent1 4 2 3 5 5 4" xfId="19443"/>
    <cellStyle name="20% - Accent1 4 2 3 5 5 4 2" xfId="56949"/>
    <cellStyle name="20% - Accent1 4 2 3 5 5 5" xfId="33058"/>
    <cellStyle name="20% - Accent1 4 2 3 5 6" xfId="14514"/>
    <cellStyle name="20% - Accent1 4 2 3 5 6 2" xfId="26315"/>
    <cellStyle name="20% - Accent1 4 2 3 5 6 2 2" xfId="56950"/>
    <cellStyle name="20% - Accent1 4 2 3 5 6 3" xfId="39930"/>
    <cellStyle name="20% - Accent1 4 2 3 5 7" xfId="5742"/>
    <cellStyle name="20% - Accent1 4 2 3 5 7 2" xfId="56951"/>
    <cellStyle name="20% - Accent1 4 2 3 5 8" xfId="17543"/>
    <cellStyle name="20% - Accent1 4 2 3 5 8 2" xfId="56952"/>
    <cellStyle name="20% - Accent1 4 2 3 5 9" xfId="31158"/>
    <cellStyle name="20% - Accent1 4 2 3 6" xfId="615"/>
    <cellStyle name="20% - Accent1 4 2 3 6 2" xfId="1552"/>
    <cellStyle name="20% - Accent1 4 2 3 6 2 2" xfId="4357"/>
    <cellStyle name="20% - Accent1 4 2 3 6 2 2 2" xfId="14515"/>
    <cellStyle name="20% - Accent1 4 2 3 6 2 2 2 2" xfId="26316"/>
    <cellStyle name="20% - Accent1 4 2 3 6 2 2 2 2 2" xfId="56953"/>
    <cellStyle name="20% - Accent1 4 2 3 6 2 2 2 3" xfId="39931"/>
    <cellStyle name="20% - Accent1 4 2 3 6 2 2 3" xfId="9810"/>
    <cellStyle name="20% - Accent1 4 2 3 6 2 2 3 2" xfId="46437"/>
    <cellStyle name="20% - Accent1 4 2 3 6 2 2 4" xfId="21611"/>
    <cellStyle name="20% - Accent1 4 2 3 6 2 2 4 2" xfId="56954"/>
    <cellStyle name="20% - Accent1 4 2 3 6 2 2 5" xfId="35226"/>
    <cellStyle name="20% - Accent1 4 2 3 6 2 3" xfId="14516"/>
    <cellStyle name="20% - Accent1 4 2 3 6 2 3 2" xfId="26317"/>
    <cellStyle name="20% - Accent1 4 2 3 6 2 3 2 2" xfId="46438"/>
    <cellStyle name="20% - Accent1 4 2 3 6 2 3 3" xfId="30205"/>
    <cellStyle name="20% - Accent1 4 2 3 6 2 3 3 2" xfId="46439"/>
    <cellStyle name="20% - Accent1 4 2 3 6 2 3 4" xfId="30206"/>
    <cellStyle name="20% - Accent1 4 2 3 6 2 3 4 2" xfId="56955"/>
    <cellStyle name="20% - Accent1 4 2 3 6 2 3 5" xfId="39932"/>
    <cellStyle name="20% - Accent1 4 2 3 6 2 4" xfId="14517"/>
    <cellStyle name="20% - Accent1 4 2 3 6 2 4 2" xfId="26318"/>
    <cellStyle name="20% - Accent1 4 2 3 6 2 4 2 2" xfId="56956"/>
    <cellStyle name="20% - Accent1 4 2 3 6 2 4 3" xfId="39933"/>
    <cellStyle name="20% - Accent1 4 2 3 6 2 5" xfId="7006"/>
    <cellStyle name="20% - Accent1 4 2 3 6 2 5 2" xfId="46440"/>
    <cellStyle name="20% - Accent1 4 2 3 6 2 6" xfId="18807"/>
    <cellStyle name="20% - Accent1 4 2 3 6 2 6 2" xfId="56957"/>
    <cellStyle name="20% - Accent1 4 2 3 6 2 7" xfId="32422"/>
    <cellStyle name="20% - Accent1 4 2 3 6 3" xfId="2516"/>
    <cellStyle name="20% - Accent1 4 2 3 6 3 2" xfId="14518"/>
    <cellStyle name="20% - Accent1 4 2 3 6 3 2 2" xfId="26319"/>
    <cellStyle name="20% - Accent1 4 2 3 6 3 2 2 2" xfId="56958"/>
    <cellStyle name="20% - Accent1 4 2 3 6 3 2 3" xfId="39934"/>
    <cellStyle name="20% - Accent1 4 2 3 6 3 3" xfId="7969"/>
    <cellStyle name="20% - Accent1 4 2 3 6 3 3 2" xfId="46441"/>
    <cellStyle name="20% - Accent1 4 2 3 6 3 4" xfId="19770"/>
    <cellStyle name="20% - Accent1 4 2 3 6 3 4 2" xfId="56959"/>
    <cellStyle name="20% - Accent1 4 2 3 6 3 5" xfId="33385"/>
    <cellStyle name="20% - Accent1 4 2 3 6 4" xfId="14519"/>
    <cellStyle name="20% - Accent1 4 2 3 6 4 2" xfId="26320"/>
    <cellStyle name="20% - Accent1 4 2 3 6 4 2 2" xfId="46442"/>
    <cellStyle name="20% - Accent1 4 2 3 6 4 3" xfId="30207"/>
    <cellStyle name="20% - Accent1 4 2 3 6 4 3 2" xfId="46443"/>
    <cellStyle name="20% - Accent1 4 2 3 6 4 4" xfId="30208"/>
    <cellStyle name="20% - Accent1 4 2 3 6 4 4 2" xfId="56960"/>
    <cellStyle name="20% - Accent1 4 2 3 6 4 5" xfId="39935"/>
    <cellStyle name="20% - Accent1 4 2 3 6 5" xfId="14520"/>
    <cellStyle name="20% - Accent1 4 2 3 6 5 2" xfId="26321"/>
    <cellStyle name="20% - Accent1 4 2 3 6 5 2 2" xfId="56961"/>
    <cellStyle name="20% - Accent1 4 2 3 6 5 3" xfId="39936"/>
    <cellStyle name="20% - Accent1 4 2 3 6 6" xfId="6069"/>
    <cellStyle name="20% - Accent1 4 2 3 6 6 2" xfId="46444"/>
    <cellStyle name="20% - Accent1 4 2 3 6 7" xfId="17870"/>
    <cellStyle name="20% - Accent1 4 2 3 6 7 2" xfId="56962"/>
    <cellStyle name="20% - Accent1 4 2 3 6 8" xfId="31485"/>
    <cellStyle name="20% - Accent1 4 2 3 7" xfId="856"/>
    <cellStyle name="20% - Accent1 4 2 3 7 2" xfId="1553"/>
    <cellStyle name="20% - Accent1 4 2 3 7 2 2" xfId="4925"/>
    <cellStyle name="20% - Accent1 4 2 3 7 2 2 2" xfId="14521"/>
    <cellStyle name="20% - Accent1 4 2 3 7 2 2 2 2" xfId="26322"/>
    <cellStyle name="20% - Accent1 4 2 3 7 2 2 2 2 2" xfId="56963"/>
    <cellStyle name="20% - Accent1 4 2 3 7 2 2 2 3" xfId="39937"/>
    <cellStyle name="20% - Accent1 4 2 3 7 2 2 3" xfId="10378"/>
    <cellStyle name="20% - Accent1 4 2 3 7 2 2 3 2" xfId="46445"/>
    <cellStyle name="20% - Accent1 4 2 3 7 2 2 4" xfId="22179"/>
    <cellStyle name="20% - Accent1 4 2 3 7 2 2 4 2" xfId="56964"/>
    <cellStyle name="20% - Accent1 4 2 3 7 2 2 5" xfId="35794"/>
    <cellStyle name="20% - Accent1 4 2 3 7 2 3" xfId="14522"/>
    <cellStyle name="20% - Accent1 4 2 3 7 2 3 2" xfId="26323"/>
    <cellStyle name="20% - Accent1 4 2 3 7 2 3 2 2" xfId="46446"/>
    <cellStyle name="20% - Accent1 4 2 3 7 2 3 3" xfId="30209"/>
    <cellStyle name="20% - Accent1 4 2 3 7 2 3 3 2" xfId="46447"/>
    <cellStyle name="20% - Accent1 4 2 3 7 2 3 4" xfId="30210"/>
    <cellStyle name="20% - Accent1 4 2 3 7 2 3 4 2" xfId="56965"/>
    <cellStyle name="20% - Accent1 4 2 3 7 2 3 5" xfId="39938"/>
    <cellStyle name="20% - Accent1 4 2 3 7 2 4" xfId="14523"/>
    <cellStyle name="20% - Accent1 4 2 3 7 2 4 2" xfId="26324"/>
    <cellStyle name="20% - Accent1 4 2 3 7 2 4 2 2" xfId="56966"/>
    <cellStyle name="20% - Accent1 4 2 3 7 2 4 3" xfId="39939"/>
    <cellStyle name="20% - Accent1 4 2 3 7 2 5" xfId="7007"/>
    <cellStyle name="20% - Accent1 4 2 3 7 2 5 2" xfId="46448"/>
    <cellStyle name="20% - Accent1 4 2 3 7 2 6" xfId="18808"/>
    <cellStyle name="20% - Accent1 4 2 3 7 2 6 2" xfId="56967"/>
    <cellStyle name="20% - Accent1 4 2 3 7 2 7" xfId="32423"/>
    <cellStyle name="20% - Accent1 4 2 3 7 3" xfId="3084"/>
    <cellStyle name="20% - Accent1 4 2 3 7 3 2" xfId="14524"/>
    <cellStyle name="20% - Accent1 4 2 3 7 3 2 2" xfId="26325"/>
    <cellStyle name="20% - Accent1 4 2 3 7 3 2 2 2" xfId="56968"/>
    <cellStyle name="20% - Accent1 4 2 3 7 3 2 3" xfId="39940"/>
    <cellStyle name="20% - Accent1 4 2 3 7 3 3" xfId="8537"/>
    <cellStyle name="20% - Accent1 4 2 3 7 3 3 2" xfId="46449"/>
    <cellStyle name="20% - Accent1 4 2 3 7 3 4" xfId="20338"/>
    <cellStyle name="20% - Accent1 4 2 3 7 3 4 2" xfId="56969"/>
    <cellStyle name="20% - Accent1 4 2 3 7 3 5" xfId="33953"/>
    <cellStyle name="20% - Accent1 4 2 3 7 4" xfId="14525"/>
    <cellStyle name="20% - Accent1 4 2 3 7 4 2" xfId="26326"/>
    <cellStyle name="20% - Accent1 4 2 3 7 4 2 2" xfId="46450"/>
    <cellStyle name="20% - Accent1 4 2 3 7 4 3" xfId="30211"/>
    <cellStyle name="20% - Accent1 4 2 3 7 4 3 2" xfId="46451"/>
    <cellStyle name="20% - Accent1 4 2 3 7 4 4" xfId="30212"/>
    <cellStyle name="20% - Accent1 4 2 3 7 4 4 2" xfId="56970"/>
    <cellStyle name="20% - Accent1 4 2 3 7 4 5" xfId="39941"/>
    <cellStyle name="20% - Accent1 4 2 3 7 5" xfId="14526"/>
    <cellStyle name="20% - Accent1 4 2 3 7 5 2" xfId="26327"/>
    <cellStyle name="20% - Accent1 4 2 3 7 5 2 2" xfId="56971"/>
    <cellStyle name="20% - Accent1 4 2 3 7 5 3" xfId="39942"/>
    <cellStyle name="20% - Accent1 4 2 3 7 6" xfId="6310"/>
    <cellStyle name="20% - Accent1 4 2 3 7 6 2" xfId="46452"/>
    <cellStyle name="20% - Accent1 4 2 3 7 7" xfId="18111"/>
    <cellStyle name="20% - Accent1 4 2 3 7 7 2" xfId="56972"/>
    <cellStyle name="20% - Accent1 4 2 3 7 8" xfId="31726"/>
    <cellStyle name="20% - Accent1 4 2 3 8" xfId="1554"/>
    <cellStyle name="20% - Accent1 4 2 3 8 2" xfId="3789"/>
    <cellStyle name="20% - Accent1 4 2 3 8 2 2" xfId="14527"/>
    <cellStyle name="20% - Accent1 4 2 3 8 2 2 2" xfId="26328"/>
    <cellStyle name="20% - Accent1 4 2 3 8 2 2 2 2" xfId="56973"/>
    <cellStyle name="20% - Accent1 4 2 3 8 2 2 3" xfId="39943"/>
    <cellStyle name="20% - Accent1 4 2 3 8 2 3" xfId="9242"/>
    <cellStyle name="20% - Accent1 4 2 3 8 2 3 2" xfId="46453"/>
    <cellStyle name="20% - Accent1 4 2 3 8 2 4" xfId="21043"/>
    <cellStyle name="20% - Accent1 4 2 3 8 2 4 2" xfId="56974"/>
    <cellStyle name="20% - Accent1 4 2 3 8 2 5" xfId="34658"/>
    <cellStyle name="20% - Accent1 4 2 3 8 3" xfId="14528"/>
    <cellStyle name="20% - Accent1 4 2 3 8 3 2" xfId="26329"/>
    <cellStyle name="20% - Accent1 4 2 3 8 3 2 2" xfId="46454"/>
    <cellStyle name="20% - Accent1 4 2 3 8 3 3" xfId="30213"/>
    <cellStyle name="20% - Accent1 4 2 3 8 3 3 2" xfId="46455"/>
    <cellStyle name="20% - Accent1 4 2 3 8 3 4" xfId="30214"/>
    <cellStyle name="20% - Accent1 4 2 3 8 3 4 2" xfId="56975"/>
    <cellStyle name="20% - Accent1 4 2 3 8 3 5" xfId="39944"/>
    <cellStyle name="20% - Accent1 4 2 3 8 4" xfId="14529"/>
    <cellStyle name="20% - Accent1 4 2 3 8 4 2" xfId="26330"/>
    <cellStyle name="20% - Accent1 4 2 3 8 4 2 2" xfId="56976"/>
    <cellStyle name="20% - Accent1 4 2 3 8 4 3" xfId="39945"/>
    <cellStyle name="20% - Accent1 4 2 3 8 5" xfId="7008"/>
    <cellStyle name="20% - Accent1 4 2 3 8 5 2" xfId="46456"/>
    <cellStyle name="20% - Accent1 4 2 3 8 6" xfId="18809"/>
    <cellStyle name="20% - Accent1 4 2 3 8 6 2" xfId="56977"/>
    <cellStyle name="20% - Accent1 4 2 3 8 7" xfId="32424"/>
    <cellStyle name="20% - Accent1 4 2 3 9" xfId="3652"/>
    <cellStyle name="20% - Accent1 4 2 3 9 2" xfId="14530"/>
    <cellStyle name="20% - Accent1 4 2 3 9 2 2" xfId="26331"/>
    <cellStyle name="20% - Accent1 4 2 3 9 2 2 2" xfId="56978"/>
    <cellStyle name="20% - Accent1 4 2 3 9 2 3" xfId="39946"/>
    <cellStyle name="20% - Accent1 4 2 3 9 3" xfId="9105"/>
    <cellStyle name="20% - Accent1 4 2 3 9 3 2" xfId="46457"/>
    <cellStyle name="20% - Accent1 4 2 3 9 4" xfId="20906"/>
    <cellStyle name="20% - Accent1 4 2 3 9 4 2" xfId="56979"/>
    <cellStyle name="20% - Accent1 4 2 3 9 5" xfId="34521"/>
    <cellStyle name="20% - Accent1 4 2 4" xfId="24"/>
    <cellStyle name="20% - Accent1 4 2 4 10" xfId="1925"/>
    <cellStyle name="20% - Accent1 4 2 4 10 2" xfId="14531"/>
    <cellStyle name="20% - Accent1 4 2 4 10 2 2" xfId="26332"/>
    <cellStyle name="20% - Accent1 4 2 4 10 2 2 2" xfId="56980"/>
    <cellStyle name="20% - Accent1 4 2 4 10 2 3" xfId="39947"/>
    <cellStyle name="20% - Accent1 4 2 4 10 3" xfId="7378"/>
    <cellStyle name="20% - Accent1 4 2 4 10 3 2" xfId="46458"/>
    <cellStyle name="20% - Accent1 4 2 4 10 4" xfId="19179"/>
    <cellStyle name="20% - Accent1 4 2 4 10 4 2" xfId="56981"/>
    <cellStyle name="20% - Accent1 4 2 4 10 5" xfId="32794"/>
    <cellStyle name="20% - Accent1 4 2 4 11" xfId="14532"/>
    <cellStyle name="20% - Accent1 4 2 4 11 2" xfId="26333"/>
    <cellStyle name="20% - Accent1 4 2 4 11 2 2" xfId="56982"/>
    <cellStyle name="20% - Accent1 4 2 4 11 3" xfId="39948"/>
    <cellStyle name="20% - Accent1 4 2 4 12" xfId="5478"/>
    <cellStyle name="20% - Accent1 4 2 4 12 2" xfId="46459"/>
    <cellStyle name="20% - Accent1 4 2 4 13" xfId="17279"/>
    <cellStyle name="20% - Accent1 4 2 4 13 2" xfId="56983"/>
    <cellStyle name="20% - Accent1 4 2 4 14" xfId="30894"/>
    <cellStyle name="20% - Accent1 4 2 4 2" xfId="91"/>
    <cellStyle name="20% - Accent1 4 2 4 2 10" xfId="5545"/>
    <cellStyle name="20% - Accent1 4 2 4 2 10 2" xfId="46460"/>
    <cellStyle name="20% - Accent1 4 2 4 2 11" xfId="17346"/>
    <cellStyle name="20% - Accent1 4 2 4 2 11 2" xfId="56984"/>
    <cellStyle name="20% - Accent1 4 2 4 2 12" xfId="30961"/>
    <cellStyle name="20% - Accent1 4 2 4 2 2" xfId="222"/>
    <cellStyle name="20% - Accent1 4 2 4 2 2 10" xfId="31092"/>
    <cellStyle name="20% - Accent1 4 2 4 2 2 2" xfId="518"/>
    <cellStyle name="20% - Accent1 4 2 4 2 2 2 2" xfId="1555"/>
    <cellStyle name="20% - Accent1 4 2 4 2 2 2 2 2" xfId="4828"/>
    <cellStyle name="20% - Accent1 4 2 4 2 2 2 2 2 2" xfId="14533"/>
    <cellStyle name="20% - Accent1 4 2 4 2 2 2 2 2 2 2" xfId="26334"/>
    <cellStyle name="20% - Accent1 4 2 4 2 2 2 2 2 2 2 2" xfId="56985"/>
    <cellStyle name="20% - Accent1 4 2 4 2 2 2 2 2 2 3" xfId="39949"/>
    <cellStyle name="20% - Accent1 4 2 4 2 2 2 2 2 3" xfId="10281"/>
    <cellStyle name="20% - Accent1 4 2 4 2 2 2 2 2 3 2" xfId="46461"/>
    <cellStyle name="20% - Accent1 4 2 4 2 2 2 2 2 4" xfId="22082"/>
    <cellStyle name="20% - Accent1 4 2 4 2 2 2 2 2 4 2" xfId="56986"/>
    <cellStyle name="20% - Accent1 4 2 4 2 2 2 2 2 5" xfId="35697"/>
    <cellStyle name="20% - Accent1 4 2 4 2 2 2 2 3" xfId="2987"/>
    <cellStyle name="20% - Accent1 4 2 4 2 2 2 2 3 2" xfId="14534"/>
    <cellStyle name="20% - Accent1 4 2 4 2 2 2 2 3 2 2" xfId="26335"/>
    <cellStyle name="20% - Accent1 4 2 4 2 2 2 2 3 2 2 2" xfId="56987"/>
    <cellStyle name="20% - Accent1 4 2 4 2 2 2 2 3 2 3" xfId="39950"/>
    <cellStyle name="20% - Accent1 4 2 4 2 2 2 2 3 3" xfId="8440"/>
    <cellStyle name="20% - Accent1 4 2 4 2 2 2 2 3 3 2" xfId="46462"/>
    <cellStyle name="20% - Accent1 4 2 4 2 2 2 2 3 4" xfId="20241"/>
    <cellStyle name="20% - Accent1 4 2 4 2 2 2 2 3 4 2" xfId="56988"/>
    <cellStyle name="20% - Accent1 4 2 4 2 2 2 2 3 5" xfId="33856"/>
    <cellStyle name="20% - Accent1 4 2 4 2 2 2 2 4" xfId="14535"/>
    <cellStyle name="20% - Accent1 4 2 4 2 2 2 2 4 2" xfId="26336"/>
    <cellStyle name="20% - Accent1 4 2 4 2 2 2 2 4 2 2" xfId="56989"/>
    <cellStyle name="20% - Accent1 4 2 4 2 2 2 2 4 3" xfId="39951"/>
    <cellStyle name="20% - Accent1 4 2 4 2 2 2 2 5" xfId="7009"/>
    <cellStyle name="20% - Accent1 4 2 4 2 2 2 2 5 2" xfId="46463"/>
    <cellStyle name="20% - Accent1 4 2 4 2 2 2 2 6" xfId="18810"/>
    <cellStyle name="20% - Accent1 4 2 4 2 2 2 2 6 2" xfId="56990"/>
    <cellStyle name="20% - Accent1 4 2 4 2 2 2 2 7" xfId="32425"/>
    <cellStyle name="20% - Accent1 4 2 4 2 2 2 3" xfId="3555"/>
    <cellStyle name="20% - Accent1 4 2 4 2 2 2 3 2" xfId="5396"/>
    <cellStyle name="20% - Accent1 4 2 4 2 2 2 3 2 2" xfId="16866"/>
    <cellStyle name="20% - Accent1 4 2 4 2 2 2 3 2 2 2" xfId="28667"/>
    <cellStyle name="20% - Accent1 4 2 4 2 2 2 3 2 2 2 2" xfId="56991"/>
    <cellStyle name="20% - Accent1 4 2 4 2 2 2 3 2 2 3" xfId="42282"/>
    <cellStyle name="20% - Accent1 4 2 4 2 2 2 3 2 3" xfId="10849"/>
    <cellStyle name="20% - Accent1 4 2 4 2 2 2 3 2 3 2" xfId="56992"/>
    <cellStyle name="20% - Accent1 4 2 4 2 2 2 3 2 4" xfId="22650"/>
    <cellStyle name="20% - Accent1 4 2 4 2 2 2 3 2 4 2" xfId="56993"/>
    <cellStyle name="20% - Accent1 4 2 4 2 2 2 3 2 5" xfId="36265"/>
    <cellStyle name="20% - Accent1 4 2 4 2 2 2 3 3" xfId="14536"/>
    <cellStyle name="20% - Accent1 4 2 4 2 2 2 3 3 2" xfId="26337"/>
    <cellStyle name="20% - Accent1 4 2 4 2 2 2 3 3 2 2" xfId="56994"/>
    <cellStyle name="20% - Accent1 4 2 4 2 2 2 3 3 3" xfId="39952"/>
    <cellStyle name="20% - Accent1 4 2 4 2 2 2 3 4" xfId="9008"/>
    <cellStyle name="20% - Accent1 4 2 4 2 2 2 3 4 2" xfId="56995"/>
    <cellStyle name="20% - Accent1 4 2 4 2 2 2 3 5" xfId="20809"/>
    <cellStyle name="20% - Accent1 4 2 4 2 2 2 3 5 2" xfId="56996"/>
    <cellStyle name="20% - Accent1 4 2 4 2 2 2 3 6" xfId="34424"/>
    <cellStyle name="20% - Accent1 4 2 4 2 2 2 4" xfId="4260"/>
    <cellStyle name="20% - Accent1 4 2 4 2 2 2 4 2" xfId="14537"/>
    <cellStyle name="20% - Accent1 4 2 4 2 2 2 4 2 2" xfId="26338"/>
    <cellStyle name="20% - Accent1 4 2 4 2 2 2 4 2 2 2" xfId="56997"/>
    <cellStyle name="20% - Accent1 4 2 4 2 2 2 4 2 3" xfId="39953"/>
    <cellStyle name="20% - Accent1 4 2 4 2 2 2 4 3" xfId="9713"/>
    <cellStyle name="20% - Accent1 4 2 4 2 2 2 4 3 2" xfId="46464"/>
    <cellStyle name="20% - Accent1 4 2 4 2 2 2 4 4" xfId="21514"/>
    <cellStyle name="20% - Accent1 4 2 4 2 2 2 4 4 2" xfId="56998"/>
    <cellStyle name="20% - Accent1 4 2 4 2 2 2 4 5" xfId="35129"/>
    <cellStyle name="20% - Accent1 4 2 4 2 2 2 5" xfId="2419"/>
    <cellStyle name="20% - Accent1 4 2 4 2 2 2 5 2" xfId="17134"/>
    <cellStyle name="20% - Accent1 4 2 4 2 2 2 5 2 2" xfId="28935"/>
    <cellStyle name="20% - Accent1 4 2 4 2 2 2 5 2 2 2" xfId="56999"/>
    <cellStyle name="20% - Accent1 4 2 4 2 2 2 5 2 3" xfId="42550"/>
    <cellStyle name="20% - Accent1 4 2 4 2 2 2 5 3" xfId="7872"/>
    <cellStyle name="20% - Accent1 4 2 4 2 2 2 5 3 2" xfId="57000"/>
    <cellStyle name="20% - Accent1 4 2 4 2 2 2 5 4" xfId="19673"/>
    <cellStyle name="20% - Accent1 4 2 4 2 2 2 5 4 2" xfId="57001"/>
    <cellStyle name="20% - Accent1 4 2 4 2 2 2 5 5" xfId="33288"/>
    <cellStyle name="20% - Accent1 4 2 4 2 2 2 6" xfId="14538"/>
    <cellStyle name="20% - Accent1 4 2 4 2 2 2 6 2" xfId="26339"/>
    <cellStyle name="20% - Accent1 4 2 4 2 2 2 6 2 2" xfId="57002"/>
    <cellStyle name="20% - Accent1 4 2 4 2 2 2 6 3" xfId="39954"/>
    <cellStyle name="20% - Accent1 4 2 4 2 2 2 7" xfId="5972"/>
    <cellStyle name="20% - Accent1 4 2 4 2 2 2 7 2" xfId="57003"/>
    <cellStyle name="20% - Accent1 4 2 4 2 2 2 8" xfId="17773"/>
    <cellStyle name="20% - Accent1 4 2 4 2 2 2 8 2" xfId="57004"/>
    <cellStyle name="20% - Accent1 4 2 4 2 2 2 9" xfId="31388"/>
    <cellStyle name="20% - Accent1 4 2 4 2 2 3" xfId="790"/>
    <cellStyle name="20% - Accent1 4 2 4 2 2 3 2" xfId="1556"/>
    <cellStyle name="20% - Accent1 4 2 4 2 2 3 2 2" xfId="4532"/>
    <cellStyle name="20% - Accent1 4 2 4 2 2 3 2 2 2" xfId="14539"/>
    <cellStyle name="20% - Accent1 4 2 4 2 2 3 2 2 2 2" xfId="26340"/>
    <cellStyle name="20% - Accent1 4 2 4 2 2 3 2 2 2 2 2" xfId="57005"/>
    <cellStyle name="20% - Accent1 4 2 4 2 2 3 2 2 2 3" xfId="39955"/>
    <cellStyle name="20% - Accent1 4 2 4 2 2 3 2 2 3" xfId="9985"/>
    <cellStyle name="20% - Accent1 4 2 4 2 2 3 2 2 3 2" xfId="46465"/>
    <cellStyle name="20% - Accent1 4 2 4 2 2 3 2 2 4" xfId="21786"/>
    <cellStyle name="20% - Accent1 4 2 4 2 2 3 2 2 4 2" xfId="57006"/>
    <cellStyle name="20% - Accent1 4 2 4 2 2 3 2 2 5" xfId="35401"/>
    <cellStyle name="20% - Accent1 4 2 4 2 2 3 2 3" xfId="14540"/>
    <cellStyle name="20% - Accent1 4 2 4 2 2 3 2 3 2" xfId="26341"/>
    <cellStyle name="20% - Accent1 4 2 4 2 2 3 2 3 2 2" xfId="46466"/>
    <cellStyle name="20% - Accent1 4 2 4 2 2 3 2 3 3" xfId="30215"/>
    <cellStyle name="20% - Accent1 4 2 4 2 2 3 2 3 3 2" xfId="46467"/>
    <cellStyle name="20% - Accent1 4 2 4 2 2 3 2 3 4" xfId="30216"/>
    <cellStyle name="20% - Accent1 4 2 4 2 2 3 2 3 4 2" xfId="57007"/>
    <cellStyle name="20% - Accent1 4 2 4 2 2 3 2 3 5" xfId="39956"/>
    <cellStyle name="20% - Accent1 4 2 4 2 2 3 2 4" xfId="14541"/>
    <cellStyle name="20% - Accent1 4 2 4 2 2 3 2 4 2" xfId="26342"/>
    <cellStyle name="20% - Accent1 4 2 4 2 2 3 2 4 2 2" xfId="57008"/>
    <cellStyle name="20% - Accent1 4 2 4 2 2 3 2 4 3" xfId="39957"/>
    <cellStyle name="20% - Accent1 4 2 4 2 2 3 2 5" xfId="7010"/>
    <cellStyle name="20% - Accent1 4 2 4 2 2 3 2 5 2" xfId="46468"/>
    <cellStyle name="20% - Accent1 4 2 4 2 2 3 2 6" xfId="18811"/>
    <cellStyle name="20% - Accent1 4 2 4 2 2 3 2 6 2" xfId="57009"/>
    <cellStyle name="20% - Accent1 4 2 4 2 2 3 2 7" xfId="32426"/>
    <cellStyle name="20% - Accent1 4 2 4 2 2 3 3" xfId="2691"/>
    <cellStyle name="20% - Accent1 4 2 4 2 2 3 3 2" xfId="14542"/>
    <cellStyle name="20% - Accent1 4 2 4 2 2 3 3 2 2" xfId="26343"/>
    <cellStyle name="20% - Accent1 4 2 4 2 2 3 3 2 2 2" xfId="57010"/>
    <cellStyle name="20% - Accent1 4 2 4 2 2 3 3 2 3" xfId="39958"/>
    <cellStyle name="20% - Accent1 4 2 4 2 2 3 3 3" xfId="8144"/>
    <cellStyle name="20% - Accent1 4 2 4 2 2 3 3 3 2" xfId="46469"/>
    <cellStyle name="20% - Accent1 4 2 4 2 2 3 3 4" xfId="19945"/>
    <cellStyle name="20% - Accent1 4 2 4 2 2 3 3 4 2" xfId="57011"/>
    <cellStyle name="20% - Accent1 4 2 4 2 2 3 3 5" xfId="33560"/>
    <cellStyle name="20% - Accent1 4 2 4 2 2 3 4" xfId="14543"/>
    <cellStyle name="20% - Accent1 4 2 4 2 2 3 4 2" xfId="26344"/>
    <cellStyle name="20% - Accent1 4 2 4 2 2 3 4 2 2" xfId="46470"/>
    <cellStyle name="20% - Accent1 4 2 4 2 2 3 4 3" xfId="30217"/>
    <cellStyle name="20% - Accent1 4 2 4 2 2 3 4 3 2" xfId="46471"/>
    <cellStyle name="20% - Accent1 4 2 4 2 2 3 4 4" xfId="30218"/>
    <cellStyle name="20% - Accent1 4 2 4 2 2 3 4 4 2" xfId="57012"/>
    <cellStyle name="20% - Accent1 4 2 4 2 2 3 4 5" xfId="39959"/>
    <cellStyle name="20% - Accent1 4 2 4 2 2 3 5" xfId="14544"/>
    <cellStyle name="20% - Accent1 4 2 4 2 2 3 5 2" xfId="26345"/>
    <cellStyle name="20% - Accent1 4 2 4 2 2 3 5 2 2" xfId="57013"/>
    <cellStyle name="20% - Accent1 4 2 4 2 2 3 5 3" xfId="39960"/>
    <cellStyle name="20% - Accent1 4 2 4 2 2 3 6" xfId="6244"/>
    <cellStyle name="20% - Accent1 4 2 4 2 2 3 6 2" xfId="46472"/>
    <cellStyle name="20% - Accent1 4 2 4 2 2 3 7" xfId="18045"/>
    <cellStyle name="20% - Accent1 4 2 4 2 2 3 7 2" xfId="57014"/>
    <cellStyle name="20% - Accent1 4 2 4 2 2 3 8" xfId="31660"/>
    <cellStyle name="20% - Accent1 4 2 4 2 2 4" xfId="1557"/>
    <cellStyle name="20% - Accent1 4 2 4 2 2 4 2" xfId="5100"/>
    <cellStyle name="20% - Accent1 4 2 4 2 2 4 2 2" xfId="14545"/>
    <cellStyle name="20% - Accent1 4 2 4 2 2 4 2 2 2" xfId="26346"/>
    <cellStyle name="20% - Accent1 4 2 4 2 2 4 2 2 2 2" xfId="57015"/>
    <cellStyle name="20% - Accent1 4 2 4 2 2 4 2 2 3" xfId="39961"/>
    <cellStyle name="20% - Accent1 4 2 4 2 2 4 2 3" xfId="10553"/>
    <cellStyle name="20% - Accent1 4 2 4 2 2 4 2 3 2" xfId="46473"/>
    <cellStyle name="20% - Accent1 4 2 4 2 2 4 2 4" xfId="22354"/>
    <cellStyle name="20% - Accent1 4 2 4 2 2 4 2 4 2" xfId="57016"/>
    <cellStyle name="20% - Accent1 4 2 4 2 2 4 2 5" xfId="35969"/>
    <cellStyle name="20% - Accent1 4 2 4 2 2 4 3" xfId="3259"/>
    <cellStyle name="20% - Accent1 4 2 4 2 2 4 3 2" xfId="14546"/>
    <cellStyle name="20% - Accent1 4 2 4 2 2 4 3 2 2" xfId="26347"/>
    <cellStyle name="20% - Accent1 4 2 4 2 2 4 3 2 2 2" xfId="57017"/>
    <cellStyle name="20% - Accent1 4 2 4 2 2 4 3 2 3" xfId="39962"/>
    <cellStyle name="20% - Accent1 4 2 4 2 2 4 3 3" xfId="8712"/>
    <cellStyle name="20% - Accent1 4 2 4 2 2 4 3 3 2" xfId="46474"/>
    <cellStyle name="20% - Accent1 4 2 4 2 2 4 3 4" xfId="20513"/>
    <cellStyle name="20% - Accent1 4 2 4 2 2 4 3 4 2" xfId="57018"/>
    <cellStyle name="20% - Accent1 4 2 4 2 2 4 3 5" xfId="34128"/>
    <cellStyle name="20% - Accent1 4 2 4 2 2 4 4" xfId="14547"/>
    <cellStyle name="20% - Accent1 4 2 4 2 2 4 4 2" xfId="26348"/>
    <cellStyle name="20% - Accent1 4 2 4 2 2 4 4 2 2" xfId="57019"/>
    <cellStyle name="20% - Accent1 4 2 4 2 2 4 4 3" xfId="39963"/>
    <cellStyle name="20% - Accent1 4 2 4 2 2 4 5" xfId="7011"/>
    <cellStyle name="20% - Accent1 4 2 4 2 2 4 5 2" xfId="46475"/>
    <cellStyle name="20% - Accent1 4 2 4 2 2 4 6" xfId="18812"/>
    <cellStyle name="20% - Accent1 4 2 4 2 2 4 6 2" xfId="57020"/>
    <cellStyle name="20% - Accent1 4 2 4 2 2 4 7" xfId="32427"/>
    <cellStyle name="20% - Accent1 4 2 4 2 2 5" xfId="3964"/>
    <cellStyle name="20% - Accent1 4 2 4 2 2 5 2" xfId="14548"/>
    <cellStyle name="20% - Accent1 4 2 4 2 2 5 2 2" xfId="26349"/>
    <cellStyle name="20% - Accent1 4 2 4 2 2 5 2 2 2" xfId="57021"/>
    <cellStyle name="20% - Accent1 4 2 4 2 2 5 2 3" xfId="39964"/>
    <cellStyle name="20% - Accent1 4 2 4 2 2 5 3" xfId="9417"/>
    <cellStyle name="20% - Accent1 4 2 4 2 2 5 3 2" xfId="46476"/>
    <cellStyle name="20% - Accent1 4 2 4 2 2 5 4" xfId="21218"/>
    <cellStyle name="20% - Accent1 4 2 4 2 2 5 4 2" xfId="57022"/>
    <cellStyle name="20% - Accent1 4 2 4 2 2 5 5" xfId="34833"/>
    <cellStyle name="20% - Accent1 4 2 4 2 2 6" xfId="2123"/>
    <cellStyle name="20% - Accent1 4 2 4 2 2 6 2" xfId="14549"/>
    <cellStyle name="20% - Accent1 4 2 4 2 2 6 2 2" xfId="26350"/>
    <cellStyle name="20% - Accent1 4 2 4 2 2 6 2 2 2" xfId="57023"/>
    <cellStyle name="20% - Accent1 4 2 4 2 2 6 2 3" xfId="39965"/>
    <cellStyle name="20% - Accent1 4 2 4 2 2 6 3" xfId="7576"/>
    <cellStyle name="20% - Accent1 4 2 4 2 2 6 3 2" xfId="46477"/>
    <cellStyle name="20% - Accent1 4 2 4 2 2 6 4" xfId="19377"/>
    <cellStyle name="20% - Accent1 4 2 4 2 2 6 4 2" xfId="57024"/>
    <cellStyle name="20% - Accent1 4 2 4 2 2 6 5" xfId="32992"/>
    <cellStyle name="20% - Accent1 4 2 4 2 2 7" xfId="14550"/>
    <cellStyle name="20% - Accent1 4 2 4 2 2 7 2" xfId="26351"/>
    <cellStyle name="20% - Accent1 4 2 4 2 2 7 2 2" xfId="57025"/>
    <cellStyle name="20% - Accent1 4 2 4 2 2 7 3" xfId="39966"/>
    <cellStyle name="20% - Accent1 4 2 4 2 2 8" xfId="5676"/>
    <cellStyle name="20% - Accent1 4 2 4 2 2 8 2" xfId="46478"/>
    <cellStyle name="20% - Accent1 4 2 4 2 2 9" xfId="17477"/>
    <cellStyle name="20% - Accent1 4 2 4 2 2 9 2" xfId="57026"/>
    <cellStyle name="20% - Accent1 4 2 4 2 3" xfId="381"/>
    <cellStyle name="20% - Accent1 4 2 4 2 3 2" xfId="1558"/>
    <cellStyle name="20% - Accent1 4 2 4 2 3 2 2" xfId="4691"/>
    <cellStyle name="20% - Accent1 4 2 4 2 3 2 2 2" xfId="14551"/>
    <cellStyle name="20% - Accent1 4 2 4 2 3 2 2 2 2" xfId="26352"/>
    <cellStyle name="20% - Accent1 4 2 4 2 3 2 2 2 2 2" xfId="57027"/>
    <cellStyle name="20% - Accent1 4 2 4 2 3 2 2 2 3" xfId="39967"/>
    <cellStyle name="20% - Accent1 4 2 4 2 3 2 2 3" xfId="10144"/>
    <cellStyle name="20% - Accent1 4 2 4 2 3 2 2 3 2" xfId="46479"/>
    <cellStyle name="20% - Accent1 4 2 4 2 3 2 2 4" xfId="21945"/>
    <cellStyle name="20% - Accent1 4 2 4 2 3 2 2 4 2" xfId="57028"/>
    <cellStyle name="20% - Accent1 4 2 4 2 3 2 2 5" xfId="35560"/>
    <cellStyle name="20% - Accent1 4 2 4 2 3 2 3" xfId="2850"/>
    <cellStyle name="20% - Accent1 4 2 4 2 3 2 3 2" xfId="14552"/>
    <cellStyle name="20% - Accent1 4 2 4 2 3 2 3 2 2" xfId="26353"/>
    <cellStyle name="20% - Accent1 4 2 4 2 3 2 3 2 2 2" xfId="57029"/>
    <cellStyle name="20% - Accent1 4 2 4 2 3 2 3 2 3" xfId="39968"/>
    <cellStyle name="20% - Accent1 4 2 4 2 3 2 3 3" xfId="8303"/>
    <cellStyle name="20% - Accent1 4 2 4 2 3 2 3 3 2" xfId="46480"/>
    <cellStyle name="20% - Accent1 4 2 4 2 3 2 3 4" xfId="20104"/>
    <cellStyle name="20% - Accent1 4 2 4 2 3 2 3 4 2" xfId="57030"/>
    <cellStyle name="20% - Accent1 4 2 4 2 3 2 3 5" xfId="33719"/>
    <cellStyle name="20% - Accent1 4 2 4 2 3 2 4" xfId="14553"/>
    <cellStyle name="20% - Accent1 4 2 4 2 3 2 4 2" xfId="26354"/>
    <cellStyle name="20% - Accent1 4 2 4 2 3 2 4 2 2" xfId="57031"/>
    <cellStyle name="20% - Accent1 4 2 4 2 3 2 4 3" xfId="39969"/>
    <cellStyle name="20% - Accent1 4 2 4 2 3 2 5" xfId="7012"/>
    <cellStyle name="20% - Accent1 4 2 4 2 3 2 5 2" xfId="46481"/>
    <cellStyle name="20% - Accent1 4 2 4 2 3 2 6" xfId="18813"/>
    <cellStyle name="20% - Accent1 4 2 4 2 3 2 6 2" xfId="57032"/>
    <cellStyle name="20% - Accent1 4 2 4 2 3 2 7" xfId="32428"/>
    <cellStyle name="20% - Accent1 4 2 4 2 3 3" xfId="3418"/>
    <cellStyle name="20% - Accent1 4 2 4 2 3 3 2" xfId="5259"/>
    <cellStyle name="20% - Accent1 4 2 4 2 3 3 2 2" xfId="16729"/>
    <cellStyle name="20% - Accent1 4 2 4 2 3 3 2 2 2" xfId="28530"/>
    <cellStyle name="20% - Accent1 4 2 4 2 3 3 2 2 2 2" xfId="57033"/>
    <cellStyle name="20% - Accent1 4 2 4 2 3 3 2 2 3" xfId="42145"/>
    <cellStyle name="20% - Accent1 4 2 4 2 3 3 2 3" xfId="10712"/>
    <cellStyle name="20% - Accent1 4 2 4 2 3 3 2 3 2" xfId="57034"/>
    <cellStyle name="20% - Accent1 4 2 4 2 3 3 2 4" xfId="22513"/>
    <cellStyle name="20% - Accent1 4 2 4 2 3 3 2 4 2" xfId="57035"/>
    <cellStyle name="20% - Accent1 4 2 4 2 3 3 2 5" xfId="36128"/>
    <cellStyle name="20% - Accent1 4 2 4 2 3 3 3" xfId="14554"/>
    <cellStyle name="20% - Accent1 4 2 4 2 3 3 3 2" xfId="26355"/>
    <cellStyle name="20% - Accent1 4 2 4 2 3 3 3 2 2" xfId="57036"/>
    <cellStyle name="20% - Accent1 4 2 4 2 3 3 3 3" xfId="39970"/>
    <cellStyle name="20% - Accent1 4 2 4 2 3 3 4" xfId="8871"/>
    <cellStyle name="20% - Accent1 4 2 4 2 3 3 4 2" xfId="57037"/>
    <cellStyle name="20% - Accent1 4 2 4 2 3 3 5" xfId="20672"/>
    <cellStyle name="20% - Accent1 4 2 4 2 3 3 5 2" xfId="57038"/>
    <cellStyle name="20% - Accent1 4 2 4 2 3 3 6" xfId="34287"/>
    <cellStyle name="20% - Accent1 4 2 4 2 3 4" xfId="4123"/>
    <cellStyle name="20% - Accent1 4 2 4 2 3 4 2" xfId="14555"/>
    <cellStyle name="20% - Accent1 4 2 4 2 3 4 2 2" xfId="26356"/>
    <cellStyle name="20% - Accent1 4 2 4 2 3 4 2 2 2" xfId="57039"/>
    <cellStyle name="20% - Accent1 4 2 4 2 3 4 2 3" xfId="39971"/>
    <cellStyle name="20% - Accent1 4 2 4 2 3 4 3" xfId="9576"/>
    <cellStyle name="20% - Accent1 4 2 4 2 3 4 3 2" xfId="46482"/>
    <cellStyle name="20% - Accent1 4 2 4 2 3 4 4" xfId="21377"/>
    <cellStyle name="20% - Accent1 4 2 4 2 3 4 4 2" xfId="57040"/>
    <cellStyle name="20% - Accent1 4 2 4 2 3 4 5" xfId="34992"/>
    <cellStyle name="20% - Accent1 4 2 4 2 3 5" xfId="2282"/>
    <cellStyle name="20% - Accent1 4 2 4 2 3 5 2" xfId="17135"/>
    <cellStyle name="20% - Accent1 4 2 4 2 3 5 2 2" xfId="28936"/>
    <cellStyle name="20% - Accent1 4 2 4 2 3 5 2 2 2" xfId="57041"/>
    <cellStyle name="20% - Accent1 4 2 4 2 3 5 2 3" xfId="42551"/>
    <cellStyle name="20% - Accent1 4 2 4 2 3 5 3" xfId="7735"/>
    <cellStyle name="20% - Accent1 4 2 4 2 3 5 3 2" xfId="57042"/>
    <cellStyle name="20% - Accent1 4 2 4 2 3 5 4" xfId="19536"/>
    <cellStyle name="20% - Accent1 4 2 4 2 3 5 4 2" xfId="57043"/>
    <cellStyle name="20% - Accent1 4 2 4 2 3 5 5" xfId="33151"/>
    <cellStyle name="20% - Accent1 4 2 4 2 3 6" xfId="14556"/>
    <cellStyle name="20% - Accent1 4 2 4 2 3 6 2" xfId="26357"/>
    <cellStyle name="20% - Accent1 4 2 4 2 3 6 2 2" xfId="57044"/>
    <cellStyle name="20% - Accent1 4 2 4 2 3 6 3" xfId="39972"/>
    <cellStyle name="20% - Accent1 4 2 4 2 3 7" xfId="5835"/>
    <cellStyle name="20% - Accent1 4 2 4 2 3 7 2" xfId="57045"/>
    <cellStyle name="20% - Accent1 4 2 4 2 3 8" xfId="17636"/>
    <cellStyle name="20% - Accent1 4 2 4 2 3 8 2" xfId="57046"/>
    <cellStyle name="20% - Accent1 4 2 4 2 3 9" xfId="31251"/>
    <cellStyle name="20% - Accent1 4 2 4 2 4" xfId="659"/>
    <cellStyle name="20% - Accent1 4 2 4 2 4 2" xfId="1559"/>
    <cellStyle name="20% - Accent1 4 2 4 2 4 2 2" xfId="4401"/>
    <cellStyle name="20% - Accent1 4 2 4 2 4 2 2 2" xfId="14557"/>
    <cellStyle name="20% - Accent1 4 2 4 2 4 2 2 2 2" xfId="26358"/>
    <cellStyle name="20% - Accent1 4 2 4 2 4 2 2 2 2 2" xfId="57047"/>
    <cellStyle name="20% - Accent1 4 2 4 2 4 2 2 2 3" xfId="39973"/>
    <cellStyle name="20% - Accent1 4 2 4 2 4 2 2 3" xfId="9854"/>
    <cellStyle name="20% - Accent1 4 2 4 2 4 2 2 3 2" xfId="46483"/>
    <cellStyle name="20% - Accent1 4 2 4 2 4 2 2 4" xfId="21655"/>
    <cellStyle name="20% - Accent1 4 2 4 2 4 2 2 4 2" xfId="57048"/>
    <cellStyle name="20% - Accent1 4 2 4 2 4 2 2 5" xfId="35270"/>
    <cellStyle name="20% - Accent1 4 2 4 2 4 2 3" xfId="14558"/>
    <cellStyle name="20% - Accent1 4 2 4 2 4 2 3 2" xfId="26359"/>
    <cellStyle name="20% - Accent1 4 2 4 2 4 2 3 2 2" xfId="46484"/>
    <cellStyle name="20% - Accent1 4 2 4 2 4 2 3 3" xfId="30219"/>
    <cellStyle name="20% - Accent1 4 2 4 2 4 2 3 3 2" xfId="46485"/>
    <cellStyle name="20% - Accent1 4 2 4 2 4 2 3 4" xfId="30220"/>
    <cellStyle name="20% - Accent1 4 2 4 2 4 2 3 4 2" xfId="57049"/>
    <cellStyle name="20% - Accent1 4 2 4 2 4 2 3 5" xfId="39974"/>
    <cellStyle name="20% - Accent1 4 2 4 2 4 2 4" xfId="14559"/>
    <cellStyle name="20% - Accent1 4 2 4 2 4 2 4 2" xfId="26360"/>
    <cellStyle name="20% - Accent1 4 2 4 2 4 2 4 2 2" xfId="57050"/>
    <cellStyle name="20% - Accent1 4 2 4 2 4 2 4 3" xfId="39975"/>
    <cellStyle name="20% - Accent1 4 2 4 2 4 2 5" xfId="7013"/>
    <cellStyle name="20% - Accent1 4 2 4 2 4 2 5 2" xfId="46486"/>
    <cellStyle name="20% - Accent1 4 2 4 2 4 2 6" xfId="18814"/>
    <cellStyle name="20% - Accent1 4 2 4 2 4 2 6 2" xfId="57051"/>
    <cellStyle name="20% - Accent1 4 2 4 2 4 2 7" xfId="32429"/>
    <cellStyle name="20% - Accent1 4 2 4 2 4 3" xfId="2560"/>
    <cellStyle name="20% - Accent1 4 2 4 2 4 3 2" xfId="14560"/>
    <cellStyle name="20% - Accent1 4 2 4 2 4 3 2 2" xfId="26361"/>
    <cellStyle name="20% - Accent1 4 2 4 2 4 3 2 2 2" xfId="57052"/>
    <cellStyle name="20% - Accent1 4 2 4 2 4 3 2 3" xfId="39976"/>
    <cellStyle name="20% - Accent1 4 2 4 2 4 3 3" xfId="8013"/>
    <cellStyle name="20% - Accent1 4 2 4 2 4 3 3 2" xfId="46487"/>
    <cellStyle name="20% - Accent1 4 2 4 2 4 3 4" xfId="19814"/>
    <cellStyle name="20% - Accent1 4 2 4 2 4 3 4 2" xfId="57053"/>
    <cellStyle name="20% - Accent1 4 2 4 2 4 3 5" xfId="33429"/>
    <cellStyle name="20% - Accent1 4 2 4 2 4 4" xfId="14561"/>
    <cellStyle name="20% - Accent1 4 2 4 2 4 4 2" xfId="26362"/>
    <cellStyle name="20% - Accent1 4 2 4 2 4 4 2 2" xfId="46488"/>
    <cellStyle name="20% - Accent1 4 2 4 2 4 4 3" xfId="30221"/>
    <cellStyle name="20% - Accent1 4 2 4 2 4 4 3 2" xfId="46489"/>
    <cellStyle name="20% - Accent1 4 2 4 2 4 4 4" xfId="30222"/>
    <cellStyle name="20% - Accent1 4 2 4 2 4 4 4 2" xfId="57054"/>
    <cellStyle name="20% - Accent1 4 2 4 2 4 4 5" xfId="39977"/>
    <cellStyle name="20% - Accent1 4 2 4 2 4 5" xfId="14562"/>
    <cellStyle name="20% - Accent1 4 2 4 2 4 5 2" xfId="26363"/>
    <cellStyle name="20% - Accent1 4 2 4 2 4 5 2 2" xfId="57055"/>
    <cellStyle name="20% - Accent1 4 2 4 2 4 5 3" xfId="39978"/>
    <cellStyle name="20% - Accent1 4 2 4 2 4 6" xfId="6113"/>
    <cellStyle name="20% - Accent1 4 2 4 2 4 6 2" xfId="46490"/>
    <cellStyle name="20% - Accent1 4 2 4 2 4 7" xfId="17914"/>
    <cellStyle name="20% - Accent1 4 2 4 2 4 7 2" xfId="57056"/>
    <cellStyle name="20% - Accent1 4 2 4 2 4 8" xfId="31529"/>
    <cellStyle name="20% - Accent1 4 2 4 2 5" xfId="900"/>
    <cellStyle name="20% - Accent1 4 2 4 2 5 2" xfId="1560"/>
    <cellStyle name="20% - Accent1 4 2 4 2 5 2 2" xfId="4969"/>
    <cellStyle name="20% - Accent1 4 2 4 2 5 2 2 2" xfId="14563"/>
    <cellStyle name="20% - Accent1 4 2 4 2 5 2 2 2 2" xfId="26364"/>
    <cellStyle name="20% - Accent1 4 2 4 2 5 2 2 2 2 2" xfId="57057"/>
    <cellStyle name="20% - Accent1 4 2 4 2 5 2 2 2 3" xfId="39979"/>
    <cellStyle name="20% - Accent1 4 2 4 2 5 2 2 3" xfId="10422"/>
    <cellStyle name="20% - Accent1 4 2 4 2 5 2 2 3 2" xfId="46491"/>
    <cellStyle name="20% - Accent1 4 2 4 2 5 2 2 4" xfId="22223"/>
    <cellStyle name="20% - Accent1 4 2 4 2 5 2 2 4 2" xfId="57058"/>
    <cellStyle name="20% - Accent1 4 2 4 2 5 2 2 5" xfId="35838"/>
    <cellStyle name="20% - Accent1 4 2 4 2 5 2 3" xfId="14564"/>
    <cellStyle name="20% - Accent1 4 2 4 2 5 2 3 2" xfId="26365"/>
    <cellStyle name="20% - Accent1 4 2 4 2 5 2 3 2 2" xfId="46492"/>
    <cellStyle name="20% - Accent1 4 2 4 2 5 2 3 3" xfId="30223"/>
    <cellStyle name="20% - Accent1 4 2 4 2 5 2 3 3 2" xfId="46493"/>
    <cellStyle name="20% - Accent1 4 2 4 2 5 2 3 4" xfId="30224"/>
    <cellStyle name="20% - Accent1 4 2 4 2 5 2 3 4 2" xfId="57059"/>
    <cellStyle name="20% - Accent1 4 2 4 2 5 2 3 5" xfId="39980"/>
    <cellStyle name="20% - Accent1 4 2 4 2 5 2 4" xfId="14565"/>
    <cellStyle name="20% - Accent1 4 2 4 2 5 2 4 2" xfId="26366"/>
    <cellStyle name="20% - Accent1 4 2 4 2 5 2 4 2 2" xfId="57060"/>
    <cellStyle name="20% - Accent1 4 2 4 2 5 2 4 3" xfId="39981"/>
    <cellStyle name="20% - Accent1 4 2 4 2 5 2 5" xfId="7014"/>
    <cellStyle name="20% - Accent1 4 2 4 2 5 2 5 2" xfId="46494"/>
    <cellStyle name="20% - Accent1 4 2 4 2 5 2 6" xfId="18815"/>
    <cellStyle name="20% - Accent1 4 2 4 2 5 2 6 2" xfId="57061"/>
    <cellStyle name="20% - Accent1 4 2 4 2 5 2 7" xfId="32430"/>
    <cellStyle name="20% - Accent1 4 2 4 2 5 3" xfId="3128"/>
    <cellStyle name="20% - Accent1 4 2 4 2 5 3 2" xfId="14566"/>
    <cellStyle name="20% - Accent1 4 2 4 2 5 3 2 2" xfId="26367"/>
    <cellStyle name="20% - Accent1 4 2 4 2 5 3 2 2 2" xfId="57062"/>
    <cellStyle name="20% - Accent1 4 2 4 2 5 3 2 3" xfId="39982"/>
    <cellStyle name="20% - Accent1 4 2 4 2 5 3 3" xfId="8581"/>
    <cellStyle name="20% - Accent1 4 2 4 2 5 3 3 2" xfId="46495"/>
    <cellStyle name="20% - Accent1 4 2 4 2 5 3 4" xfId="20382"/>
    <cellStyle name="20% - Accent1 4 2 4 2 5 3 4 2" xfId="57063"/>
    <cellStyle name="20% - Accent1 4 2 4 2 5 3 5" xfId="33997"/>
    <cellStyle name="20% - Accent1 4 2 4 2 5 4" xfId="14567"/>
    <cellStyle name="20% - Accent1 4 2 4 2 5 4 2" xfId="26368"/>
    <cellStyle name="20% - Accent1 4 2 4 2 5 4 2 2" xfId="46496"/>
    <cellStyle name="20% - Accent1 4 2 4 2 5 4 3" xfId="30225"/>
    <cellStyle name="20% - Accent1 4 2 4 2 5 4 3 2" xfId="46497"/>
    <cellStyle name="20% - Accent1 4 2 4 2 5 4 4" xfId="30226"/>
    <cellStyle name="20% - Accent1 4 2 4 2 5 4 4 2" xfId="57064"/>
    <cellStyle name="20% - Accent1 4 2 4 2 5 4 5" xfId="39983"/>
    <cellStyle name="20% - Accent1 4 2 4 2 5 5" xfId="14568"/>
    <cellStyle name="20% - Accent1 4 2 4 2 5 5 2" xfId="26369"/>
    <cellStyle name="20% - Accent1 4 2 4 2 5 5 2 2" xfId="57065"/>
    <cellStyle name="20% - Accent1 4 2 4 2 5 5 3" xfId="39984"/>
    <cellStyle name="20% - Accent1 4 2 4 2 5 6" xfId="6354"/>
    <cellStyle name="20% - Accent1 4 2 4 2 5 6 2" xfId="46498"/>
    <cellStyle name="20% - Accent1 4 2 4 2 5 7" xfId="18155"/>
    <cellStyle name="20% - Accent1 4 2 4 2 5 7 2" xfId="57066"/>
    <cellStyle name="20% - Accent1 4 2 4 2 5 8" xfId="31770"/>
    <cellStyle name="20% - Accent1 4 2 4 2 6" xfId="1561"/>
    <cellStyle name="20% - Accent1 4 2 4 2 6 2" xfId="3833"/>
    <cellStyle name="20% - Accent1 4 2 4 2 6 2 2" xfId="14569"/>
    <cellStyle name="20% - Accent1 4 2 4 2 6 2 2 2" xfId="26370"/>
    <cellStyle name="20% - Accent1 4 2 4 2 6 2 2 2 2" xfId="57067"/>
    <cellStyle name="20% - Accent1 4 2 4 2 6 2 2 3" xfId="39985"/>
    <cellStyle name="20% - Accent1 4 2 4 2 6 2 3" xfId="9286"/>
    <cellStyle name="20% - Accent1 4 2 4 2 6 2 3 2" xfId="46499"/>
    <cellStyle name="20% - Accent1 4 2 4 2 6 2 4" xfId="21087"/>
    <cellStyle name="20% - Accent1 4 2 4 2 6 2 4 2" xfId="57068"/>
    <cellStyle name="20% - Accent1 4 2 4 2 6 2 5" xfId="34702"/>
    <cellStyle name="20% - Accent1 4 2 4 2 6 3" xfId="14570"/>
    <cellStyle name="20% - Accent1 4 2 4 2 6 3 2" xfId="26371"/>
    <cellStyle name="20% - Accent1 4 2 4 2 6 3 2 2" xfId="46500"/>
    <cellStyle name="20% - Accent1 4 2 4 2 6 3 3" xfId="30227"/>
    <cellStyle name="20% - Accent1 4 2 4 2 6 3 3 2" xfId="46501"/>
    <cellStyle name="20% - Accent1 4 2 4 2 6 3 4" xfId="30228"/>
    <cellStyle name="20% - Accent1 4 2 4 2 6 3 4 2" xfId="57069"/>
    <cellStyle name="20% - Accent1 4 2 4 2 6 3 5" xfId="39986"/>
    <cellStyle name="20% - Accent1 4 2 4 2 6 4" xfId="14571"/>
    <cellStyle name="20% - Accent1 4 2 4 2 6 4 2" xfId="26372"/>
    <cellStyle name="20% - Accent1 4 2 4 2 6 4 2 2" xfId="57070"/>
    <cellStyle name="20% - Accent1 4 2 4 2 6 4 3" xfId="39987"/>
    <cellStyle name="20% - Accent1 4 2 4 2 6 5" xfId="7015"/>
    <cellStyle name="20% - Accent1 4 2 4 2 6 5 2" xfId="46502"/>
    <cellStyle name="20% - Accent1 4 2 4 2 6 6" xfId="18816"/>
    <cellStyle name="20% - Accent1 4 2 4 2 6 6 2" xfId="57071"/>
    <cellStyle name="20% - Accent1 4 2 4 2 6 7" xfId="32431"/>
    <cellStyle name="20% - Accent1 4 2 4 2 7" xfId="3696"/>
    <cellStyle name="20% - Accent1 4 2 4 2 7 2" xfId="14572"/>
    <cellStyle name="20% - Accent1 4 2 4 2 7 2 2" xfId="26373"/>
    <cellStyle name="20% - Accent1 4 2 4 2 7 2 2 2" xfId="57072"/>
    <cellStyle name="20% - Accent1 4 2 4 2 7 2 3" xfId="39988"/>
    <cellStyle name="20% - Accent1 4 2 4 2 7 3" xfId="9149"/>
    <cellStyle name="20% - Accent1 4 2 4 2 7 3 2" xfId="46503"/>
    <cellStyle name="20% - Accent1 4 2 4 2 7 4" xfId="20950"/>
    <cellStyle name="20% - Accent1 4 2 4 2 7 4 2" xfId="57073"/>
    <cellStyle name="20% - Accent1 4 2 4 2 7 5" xfId="34565"/>
    <cellStyle name="20% - Accent1 4 2 4 2 8" xfId="1992"/>
    <cellStyle name="20% - Accent1 4 2 4 2 8 2" xfId="14573"/>
    <cellStyle name="20% - Accent1 4 2 4 2 8 2 2" xfId="26374"/>
    <cellStyle name="20% - Accent1 4 2 4 2 8 2 2 2" xfId="57074"/>
    <cellStyle name="20% - Accent1 4 2 4 2 8 2 3" xfId="39989"/>
    <cellStyle name="20% - Accent1 4 2 4 2 8 3" xfId="7445"/>
    <cellStyle name="20% - Accent1 4 2 4 2 8 3 2" xfId="46504"/>
    <cellStyle name="20% - Accent1 4 2 4 2 8 4" xfId="19246"/>
    <cellStyle name="20% - Accent1 4 2 4 2 8 4 2" xfId="57075"/>
    <cellStyle name="20% - Accent1 4 2 4 2 8 5" xfId="32861"/>
    <cellStyle name="20% - Accent1 4 2 4 2 9" xfId="14574"/>
    <cellStyle name="20% - Accent1 4 2 4 2 9 2" xfId="26375"/>
    <cellStyle name="20% - Accent1 4 2 4 2 9 2 2" xfId="57076"/>
    <cellStyle name="20% - Accent1 4 2 4 2 9 3" xfId="39990"/>
    <cellStyle name="20% - Accent1 4 2 4 3" xfId="176"/>
    <cellStyle name="20% - Accent1 4 2 4 3 10" xfId="31046"/>
    <cellStyle name="20% - Accent1 4 2 4 3 2" xfId="314"/>
    <cellStyle name="20% - Accent1 4 2 4 3 2 2" xfId="1562"/>
    <cellStyle name="20% - Accent1 4 2 4 3 2 2 2" xfId="4624"/>
    <cellStyle name="20% - Accent1 4 2 4 3 2 2 2 2" xfId="14575"/>
    <cellStyle name="20% - Accent1 4 2 4 3 2 2 2 2 2" xfId="26376"/>
    <cellStyle name="20% - Accent1 4 2 4 3 2 2 2 2 2 2" xfId="57077"/>
    <cellStyle name="20% - Accent1 4 2 4 3 2 2 2 2 3" xfId="39991"/>
    <cellStyle name="20% - Accent1 4 2 4 3 2 2 2 3" xfId="10077"/>
    <cellStyle name="20% - Accent1 4 2 4 3 2 2 2 3 2" xfId="46505"/>
    <cellStyle name="20% - Accent1 4 2 4 3 2 2 2 4" xfId="21878"/>
    <cellStyle name="20% - Accent1 4 2 4 3 2 2 2 4 2" xfId="57078"/>
    <cellStyle name="20% - Accent1 4 2 4 3 2 2 2 5" xfId="35493"/>
    <cellStyle name="20% - Accent1 4 2 4 3 2 2 3" xfId="2783"/>
    <cellStyle name="20% - Accent1 4 2 4 3 2 2 3 2" xfId="14576"/>
    <cellStyle name="20% - Accent1 4 2 4 3 2 2 3 2 2" xfId="26377"/>
    <cellStyle name="20% - Accent1 4 2 4 3 2 2 3 2 2 2" xfId="57079"/>
    <cellStyle name="20% - Accent1 4 2 4 3 2 2 3 2 3" xfId="39992"/>
    <cellStyle name="20% - Accent1 4 2 4 3 2 2 3 3" xfId="8236"/>
    <cellStyle name="20% - Accent1 4 2 4 3 2 2 3 3 2" xfId="46506"/>
    <cellStyle name="20% - Accent1 4 2 4 3 2 2 3 4" xfId="20037"/>
    <cellStyle name="20% - Accent1 4 2 4 3 2 2 3 4 2" xfId="57080"/>
    <cellStyle name="20% - Accent1 4 2 4 3 2 2 3 5" xfId="33652"/>
    <cellStyle name="20% - Accent1 4 2 4 3 2 2 4" xfId="14577"/>
    <cellStyle name="20% - Accent1 4 2 4 3 2 2 4 2" xfId="26378"/>
    <cellStyle name="20% - Accent1 4 2 4 3 2 2 4 2 2" xfId="57081"/>
    <cellStyle name="20% - Accent1 4 2 4 3 2 2 4 3" xfId="39993"/>
    <cellStyle name="20% - Accent1 4 2 4 3 2 2 5" xfId="7016"/>
    <cellStyle name="20% - Accent1 4 2 4 3 2 2 5 2" xfId="46507"/>
    <cellStyle name="20% - Accent1 4 2 4 3 2 2 6" xfId="18817"/>
    <cellStyle name="20% - Accent1 4 2 4 3 2 2 6 2" xfId="57082"/>
    <cellStyle name="20% - Accent1 4 2 4 3 2 2 7" xfId="32432"/>
    <cellStyle name="20% - Accent1 4 2 4 3 2 3" xfId="3351"/>
    <cellStyle name="20% - Accent1 4 2 4 3 2 3 2" xfId="5192"/>
    <cellStyle name="20% - Accent1 4 2 4 3 2 3 2 2" xfId="16662"/>
    <cellStyle name="20% - Accent1 4 2 4 3 2 3 2 2 2" xfId="28463"/>
    <cellStyle name="20% - Accent1 4 2 4 3 2 3 2 2 2 2" xfId="57083"/>
    <cellStyle name="20% - Accent1 4 2 4 3 2 3 2 2 3" xfId="42078"/>
    <cellStyle name="20% - Accent1 4 2 4 3 2 3 2 3" xfId="10645"/>
    <cellStyle name="20% - Accent1 4 2 4 3 2 3 2 3 2" xfId="57084"/>
    <cellStyle name="20% - Accent1 4 2 4 3 2 3 2 4" xfId="22446"/>
    <cellStyle name="20% - Accent1 4 2 4 3 2 3 2 4 2" xfId="57085"/>
    <cellStyle name="20% - Accent1 4 2 4 3 2 3 2 5" xfId="36061"/>
    <cellStyle name="20% - Accent1 4 2 4 3 2 3 3" xfId="14578"/>
    <cellStyle name="20% - Accent1 4 2 4 3 2 3 3 2" xfId="26379"/>
    <cellStyle name="20% - Accent1 4 2 4 3 2 3 3 2 2" xfId="57086"/>
    <cellStyle name="20% - Accent1 4 2 4 3 2 3 3 3" xfId="39994"/>
    <cellStyle name="20% - Accent1 4 2 4 3 2 3 4" xfId="8804"/>
    <cellStyle name="20% - Accent1 4 2 4 3 2 3 4 2" xfId="57087"/>
    <cellStyle name="20% - Accent1 4 2 4 3 2 3 5" xfId="20605"/>
    <cellStyle name="20% - Accent1 4 2 4 3 2 3 5 2" xfId="57088"/>
    <cellStyle name="20% - Accent1 4 2 4 3 2 3 6" xfId="34220"/>
    <cellStyle name="20% - Accent1 4 2 4 3 2 4" xfId="4056"/>
    <cellStyle name="20% - Accent1 4 2 4 3 2 4 2" xfId="14579"/>
    <cellStyle name="20% - Accent1 4 2 4 3 2 4 2 2" xfId="26380"/>
    <cellStyle name="20% - Accent1 4 2 4 3 2 4 2 2 2" xfId="57089"/>
    <cellStyle name="20% - Accent1 4 2 4 3 2 4 2 3" xfId="39995"/>
    <cellStyle name="20% - Accent1 4 2 4 3 2 4 3" xfId="9509"/>
    <cellStyle name="20% - Accent1 4 2 4 3 2 4 3 2" xfId="46508"/>
    <cellStyle name="20% - Accent1 4 2 4 3 2 4 4" xfId="21310"/>
    <cellStyle name="20% - Accent1 4 2 4 3 2 4 4 2" xfId="57090"/>
    <cellStyle name="20% - Accent1 4 2 4 3 2 4 5" xfId="34925"/>
    <cellStyle name="20% - Accent1 4 2 4 3 2 5" xfId="2215"/>
    <cellStyle name="20% - Accent1 4 2 4 3 2 5 2" xfId="17136"/>
    <cellStyle name="20% - Accent1 4 2 4 3 2 5 2 2" xfId="28937"/>
    <cellStyle name="20% - Accent1 4 2 4 3 2 5 2 2 2" xfId="57091"/>
    <cellStyle name="20% - Accent1 4 2 4 3 2 5 2 3" xfId="42552"/>
    <cellStyle name="20% - Accent1 4 2 4 3 2 5 3" xfId="7668"/>
    <cellStyle name="20% - Accent1 4 2 4 3 2 5 3 2" xfId="57092"/>
    <cellStyle name="20% - Accent1 4 2 4 3 2 5 4" xfId="19469"/>
    <cellStyle name="20% - Accent1 4 2 4 3 2 5 4 2" xfId="57093"/>
    <cellStyle name="20% - Accent1 4 2 4 3 2 5 5" xfId="33084"/>
    <cellStyle name="20% - Accent1 4 2 4 3 2 6" xfId="14580"/>
    <cellStyle name="20% - Accent1 4 2 4 3 2 6 2" xfId="26381"/>
    <cellStyle name="20% - Accent1 4 2 4 3 2 6 2 2" xfId="57094"/>
    <cellStyle name="20% - Accent1 4 2 4 3 2 6 3" xfId="39996"/>
    <cellStyle name="20% - Accent1 4 2 4 3 2 7" xfId="5768"/>
    <cellStyle name="20% - Accent1 4 2 4 3 2 7 2" xfId="57095"/>
    <cellStyle name="20% - Accent1 4 2 4 3 2 8" xfId="17569"/>
    <cellStyle name="20% - Accent1 4 2 4 3 2 8 2" xfId="57096"/>
    <cellStyle name="20% - Accent1 4 2 4 3 2 9" xfId="31184"/>
    <cellStyle name="20% - Accent1 4 2 4 3 3" xfId="744"/>
    <cellStyle name="20% - Accent1 4 2 4 3 3 2" xfId="1563"/>
    <cellStyle name="20% - Accent1 4 2 4 3 3 2 2" xfId="4486"/>
    <cellStyle name="20% - Accent1 4 2 4 3 3 2 2 2" xfId="14581"/>
    <cellStyle name="20% - Accent1 4 2 4 3 3 2 2 2 2" xfId="26382"/>
    <cellStyle name="20% - Accent1 4 2 4 3 3 2 2 2 2 2" xfId="57097"/>
    <cellStyle name="20% - Accent1 4 2 4 3 3 2 2 2 3" xfId="39997"/>
    <cellStyle name="20% - Accent1 4 2 4 3 3 2 2 3" xfId="9939"/>
    <cellStyle name="20% - Accent1 4 2 4 3 3 2 2 3 2" xfId="46509"/>
    <cellStyle name="20% - Accent1 4 2 4 3 3 2 2 4" xfId="21740"/>
    <cellStyle name="20% - Accent1 4 2 4 3 3 2 2 4 2" xfId="57098"/>
    <cellStyle name="20% - Accent1 4 2 4 3 3 2 2 5" xfId="35355"/>
    <cellStyle name="20% - Accent1 4 2 4 3 3 2 3" xfId="14582"/>
    <cellStyle name="20% - Accent1 4 2 4 3 3 2 3 2" xfId="26383"/>
    <cellStyle name="20% - Accent1 4 2 4 3 3 2 3 2 2" xfId="46510"/>
    <cellStyle name="20% - Accent1 4 2 4 3 3 2 3 3" xfId="30229"/>
    <cellStyle name="20% - Accent1 4 2 4 3 3 2 3 3 2" xfId="46511"/>
    <cellStyle name="20% - Accent1 4 2 4 3 3 2 3 4" xfId="30230"/>
    <cellStyle name="20% - Accent1 4 2 4 3 3 2 3 4 2" xfId="57099"/>
    <cellStyle name="20% - Accent1 4 2 4 3 3 2 3 5" xfId="39998"/>
    <cellStyle name="20% - Accent1 4 2 4 3 3 2 4" xfId="14583"/>
    <cellStyle name="20% - Accent1 4 2 4 3 3 2 4 2" xfId="26384"/>
    <cellStyle name="20% - Accent1 4 2 4 3 3 2 4 2 2" xfId="57100"/>
    <cellStyle name="20% - Accent1 4 2 4 3 3 2 4 3" xfId="39999"/>
    <cellStyle name="20% - Accent1 4 2 4 3 3 2 5" xfId="7017"/>
    <cellStyle name="20% - Accent1 4 2 4 3 3 2 5 2" xfId="46512"/>
    <cellStyle name="20% - Accent1 4 2 4 3 3 2 6" xfId="18818"/>
    <cellStyle name="20% - Accent1 4 2 4 3 3 2 6 2" xfId="57101"/>
    <cellStyle name="20% - Accent1 4 2 4 3 3 2 7" xfId="32433"/>
    <cellStyle name="20% - Accent1 4 2 4 3 3 3" xfId="2645"/>
    <cellStyle name="20% - Accent1 4 2 4 3 3 3 2" xfId="14584"/>
    <cellStyle name="20% - Accent1 4 2 4 3 3 3 2 2" xfId="26385"/>
    <cellStyle name="20% - Accent1 4 2 4 3 3 3 2 2 2" xfId="57102"/>
    <cellStyle name="20% - Accent1 4 2 4 3 3 3 2 3" xfId="40000"/>
    <cellStyle name="20% - Accent1 4 2 4 3 3 3 3" xfId="8098"/>
    <cellStyle name="20% - Accent1 4 2 4 3 3 3 3 2" xfId="46513"/>
    <cellStyle name="20% - Accent1 4 2 4 3 3 3 4" xfId="19899"/>
    <cellStyle name="20% - Accent1 4 2 4 3 3 3 4 2" xfId="57103"/>
    <cellStyle name="20% - Accent1 4 2 4 3 3 3 5" xfId="33514"/>
    <cellStyle name="20% - Accent1 4 2 4 3 3 4" xfId="14585"/>
    <cellStyle name="20% - Accent1 4 2 4 3 3 4 2" xfId="26386"/>
    <cellStyle name="20% - Accent1 4 2 4 3 3 4 2 2" xfId="46514"/>
    <cellStyle name="20% - Accent1 4 2 4 3 3 4 3" xfId="30231"/>
    <cellStyle name="20% - Accent1 4 2 4 3 3 4 3 2" xfId="46515"/>
    <cellStyle name="20% - Accent1 4 2 4 3 3 4 4" xfId="30232"/>
    <cellStyle name="20% - Accent1 4 2 4 3 3 4 4 2" xfId="57104"/>
    <cellStyle name="20% - Accent1 4 2 4 3 3 4 5" xfId="40001"/>
    <cellStyle name="20% - Accent1 4 2 4 3 3 5" xfId="14586"/>
    <cellStyle name="20% - Accent1 4 2 4 3 3 5 2" xfId="26387"/>
    <cellStyle name="20% - Accent1 4 2 4 3 3 5 2 2" xfId="57105"/>
    <cellStyle name="20% - Accent1 4 2 4 3 3 5 3" xfId="40002"/>
    <cellStyle name="20% - Accent1 4 2 4 3 3 6" xfId="6198"/>
    <cellStyle name="20% - Accent1 4 2 4 3 3 6 2" xfId="46516"/>
    <cellStyle name="20% - Accent1 4 2 4 3 3 7" xfId="17999"/>
    <cellStyle name="20% - Accent1 4 2 4 3 3 7 2" xfId="57106"/>
    <cellStyle name="20% - Accent1 4 2 4 3 3 8" xfId="31614"/>
    <cellStyle name="20% - Accent1 4 2 4 3 4" xfId="1564"/>
    <cellStyle name="20% - Accent1 4 2 4 3 4 2" xfId="5054"/>
    <cellStyle name="20% - Accent1 4 2 4 3 4 2 2" xfId="14587"/>
    <cellStyle name="20% - Accent1 4 2 4 3 4 2 2 2" xfId="26388"/>
    <cellStyle name="20% - Accent1 4 2 4 3 4 2 2 2 2" xfId="57107"/>
    <cellStyle name="20% - Accent1 4 2 4 3 4 2 2 3" xfId="40003"/>
    <cellStyle name="20% - Accent1 4 2 4 3 4 2 3" xfId="10507"/>
    <cellStyle name="20% - Accent1 4 2 4 3 4 2 3 2" xfId="46517"/>
    <cellStyle name="20% - Accent1 4 2 4 3 4 2 4" xfId="22308"/>
    <cellStyle name="20% - Accent1 4 2 4 3 4 2 4 2" xfId="57108"/>
    <cellStyle name="20% - Accent1 4 2 4 3 4 2 5" xfId="35923"/>
    <cellStyle name="20% - Accent1 4 2 4 3 4 3" xfId="3213"/>
    <cellStyle name="20% - Accent1 4 2 4 3 4 3 2" xfId="14588"/>
    <cellStyle name="20% - Accent1 4 2 4 3 4 3 2 2" xfId="26389"/>
    <cellStyle name="20% - Accent1 4 2 4 3 4 3 2 2 2" xfId="57109"/>
    <cellStyle name="20% - Accent1 4 2 4 3 4 3 2 3" xfId="40004"/>
    <cellStyle name="20% - Accent1 4 2 4 3 4 3 3" xfId="8666"/>
    <cellStyle name="20% - Accent1 4 2 4 3 4 3 3 2" xfId="46518"/>
    <cellStyle name="20% - Accent1 4 2 4 3 4 3 4" xfId="20467"/>
    <cellStyle name="20% - Accent1 4 2 4 3 4 3 4 2" xfId="57110"/>
    <cellStyle name="20% - Accent1 4 2 4 3 4 3 5" xfId="34082"/>
    <cellStyle name="20% - Accent1 4 2 4 3 4 4" xfId="14589"/>
    <cellStyle name="20% - Accent1 4 2 4 3 4 4 2" xfId="26390"/>
    <cellStyle name="20% - Accent1 4 2 4 3 4 4 2 2" xfId="57111"/>
    <cellStyle name="20% - Accent1 4 2 4 3 4 4 3" xfId="40005"/>
    <cellStyle name="20% - Accent1 4 2 4 3 4 5" xfId="7018"/>
    <cellStyle name="20% - Accent1 4 2 4 3 4 5 2" xfId="46519"/>
    <cellStyle name="20% - Accent1 4 2 4 3 4 6" xfId="18819"/>
    <cellStyle name="20% - Accent1 4 2 4 3 4 6 2" xfId="57112"/>
    <cellStyle name="20% - Accent1 4 2 4 3 4 7" xfId="32434"/>
    <cellStyle name="20% - Accent1 4 2 4 3 5" xfId="3918"/>
    <cellStyle name="20% - Accent1 4 2 4 3 5 2" xfId="14590"/>
    <cellStyle name="20% - Accent1 4 2 4 3 5 2 2" xfId="26391"/>
    <cellStyle name="20% - Accent1 4 2 4 3 5 2 2 2" xfId="57113"/>
    <cellStyle name="20% - Accent1 4 2 4 3 5 2 3" xfId="40006"/>
    <cellStyle name="20% - Accent1 4 2 4 3 5 3" xfId="9371"/>
    <cellStyle name="20% - Accent1 4 2 4 3 5 3 2" xfId="46520"/>
    <cellStyle name="20% - Accent1 4 2 4 3 5 4" xfId="21172"/>
    <cellStyle name="20% - Accent1 4 2 4 3 5 4 2" xfId="57114"/>
    <cellStyle name="20% - Accent1 4 2 4 3 5 5" xfId="34787"/>
    <cellStyle name="20% - Accent1 4 2 4 3 6" xfId="2077"/>
    <cellStyle name="20% - Accent1 4 2 4 3 6 2" xfId="14591"/>
    <cellStyle name="20% - Accent1 4 2 4 3 6 2 2" xfId="26392"/>
    <cellStyle name="20% - Accent1 4 2 4 3 6 2 2 2" xfId="57115"/>
    <cellStyle name="20% - Accent1 4 2 4 3 6 2 3" xfId="40007"/>
    <cellStyle name="20% - Accent1 4 2 4 3 6 3" xfId="7530"/>
    <cellStyle name="20% - Accent1 4 2 4 3 6 3 2" xfId="46521"/>
    <cellStyle name="20% - Accent1 4 2 4 3 6 4" xfId="19331"/>
    <cellStyle name="20% - Accent1 4 2 4 3 6 4 2" xfId="57116"/>
    <cellStyle name="20% - Accent1 4 2 4 3 6 5" xfId="32946"/>
    <cellStyle name="20% - Accent1 4 2 4 3 7" xfId="14592"/>
    <cellStyle name="20% - Accent1 4 2 4 3 7 2" xfId="26393"/>
    <cellStyle name="20% - Accent1 4 2 4 3 7 2 2" xfId="57117"/>
    <cellStyle name="20% - Accent1 4 2 4 3 7 3" xfId="40008"/>
    <cellStyle name="20% - Accent1 4 2 4 3 8" xfId="5630"/>
    <cellStyle name="20% - Accent1 4 2 4 3 8 2" xfId="46522"/>
    <cellStyle name="20% - Accent1 4 2 4 3 9" xfId="17431"/>
    <cellStyle name="20% - Accent1 4 2 4 3 9 2" xfId="57118"/>
    <cellStyle name="20% - Accent1 4 2 4 4" xfId="451"/>
    <cellStyle name="20% - Accent1 4 2 4 4 2" xfId="1565"/>
    <cellStyle name="20% - Accent1 4 2 4 4 2 2" xfId="4761"/>
    <cellStyle name="20% - Accent1 4 2 4 4 2 2 2" xfId="14593"/>
    <cellStyle name="20% - Accent1 4 2 4 4 2 2 2 2" xfId="26394"/>
    <cellStyle name="20% - Accent1 4 2 4 4 2 2 2 2 2" xfId="57119"/>
    <cellStyle name="20% - Accent1 4 2 4 4 2 2 2 3" xfId="40009"/>
    <cellStyle name="20% - Accent1 4 2 4 4 2 2 3" xfId="10214"/>
    <cellStyle name="20% - Accent1 4 2 4 4 2 2 3 2" xfId="46523"/>
    <cellStyle name="20% - Accent1 4 2 4 4 2 2 4" xfId="22015"/>
    <cellStyle name="20% - Accent1 4 2 4 4 2 2 4 2" xfId="57120"/>
    <cellStyle name="20% - Accent1 4 2 4 4 2 2 5" xfId="35630"/>
    <cellStyle name="20% - Accent1 4 2 4 4 2 3" xfId="2920"/>
    <cellStyle name="20% - Accent1 4 2 4 4 2 3 2" xfId="14594"/>
    <cellStyle name="20% - Accent1 4 2 4 4 2 3 2 2" xfId="26395"/>
    <cellStyle name="20% - Accent1 4 2 4 4 2 3 2 2 2" xfId="57121"/>
    <cellStyle name="20% - Accent1 4 2 4 4 2 3 2 3" xfId="40010"/>
    <cellStyle name="20% - Accent1 4 2 4 4 2 3 3" xfId="8373"/>
    <cellStyle name="20% - Accent1 4 2 4 4 2 3 3 2" xfId="46524"/>
    <cellStyle name="20% - Accent1 4 2 4 4 2 3 4" xfId="20174"/>
    <cellStyle name="20% - Accent1 4 2 4 4 2 3 4 2" xfId="57122"/>
    <cellStyle name="20% - Accent1 4 2 4 4 2 3 5" xfId="33789"/>
    <cellStyle name="20% - Accent1 4 2 4 4 2 4" xfId="14595"/>
    <cellStyle name="20% - Accent1 4 2 4 4 2 4 2" xfId="26396"/>
    <cellStyle name="20% - Accent1 4 2 4 4 2 4 2 2" xfId="57123"/>
    <cellStyle name="20% - Accent1 4 2 4 4 2 4 3" xfId="40011"/>
    <cellStyle name="20% - Accent1 4 2 4 4 2 5" xfId="7019"/>
    <cellStyle name="20% - Accent1 4 2 4 4 2 5 2" xfId="46525"/>
    <cellStyle name="20% - Accent1 4 2 4 4 2 6" xfId="18820"/>
    <cellStyle name="20% - Accent1 4 2 4 4 2 6 2" xfId="57124"/>
    <cellStyle name="20% - Accent1 4 2 4 4 2 7" xfId="32435"/>
    <cellStyle name="20% - Accent1 4 2 4 4 3" xfId="3488"/>
    <cellStyle name="20% - Accent1 4 2 4 4 3 2" xfId="5329"/>
    <cellStyle name="20% - Accent1 4 2 4 4 3 2 2" xfId="16799"/>
    <cellStyle name="20% - Accent1 4 2 4 4 3 2 2 2" xfId="28600"/>
    <cellStyle name="20% - Accent1 4 2 4 4 3 2 2 2 2" xfId="57125"/>
    <cellStyle name="20% - Accent1 4 2 4 4 3 2 2 3" xfId="42215"/>
    <cellStyle name="20% - Accent1 4 2 4 4 3 2 3" xfId="10782"/>
    <cellStyle name="20% - Accent1 4 2 4 4 3 2 3 2" xfId="57126"/>
    <cellStyle name="20% - Accent1 4 2 4 4 3 2 4" xfId="22583"/>
    <cellStyle name="20% - Accent1 4 2 4 4 3 2 4 2" xfId="57127"/>
    <cellStyle name="20% - Accent1 4 2 4 4 3 2 5" xfId="36198"/>
    <cellStyle name="20% - Accent1 4 2 4 4 3 3" xfId="14596"/>
    <cellStyle name="20% - Accent1 4 2 4 4 3 3 2" xfId="26397"/>
    <cellStyle name="20% - Accent1 4 2 4 4 3 3 2 2" xfId="57128"/>
    <cellStyle name="20% - Accent1 4 2 4 4 3 3 3" xfId="40012"/>
    <cellStyle name="20% - Accent1 4 2 4 4 3 4" xfId="8941"/>
    <cellStyle name="20% - Accent1 4 2 4 4 3 4 2" xfId="57129"/>
    <cellStyle name="20% - Accent1 4 2 4 4 3 5" xfId="20742"/>
    <cellStyle name="20% - Accent1 4 2 4 4 3 5 2" xfId="57130"/>
    <cellStyle name="20% - Accent1 4 2 4 4 3 6" xfId="34357"/>
    <cellStyle name="20% - Accent1 4 2 4 4 4" xfId="4193"/>
    <cellStyle name="20% - Accent1 4 2 4 4 4 2" xfId="14597"/>
    <cellStyle name="20% - Accent1 4 2 4 4 4 2 2" xfId="26398"/>
    <cellStyle name="20% - Accent1 4 2 4 4 4 2 2 2" xfId="57131"/>
    <cellStyle name="20% - Accent1 4 2 4 4 4 2 3" xfId="40013"/>
    <cellStyle name="20% - Accent1 4 2 4 4 4 3" xfId="9646"/>
    <cellStyle name="20% - Accent1 4 2 4 4 4 3 2" xfId="46526"/>
    <cellStyle name="20% - Accent1 4 2 4 4 4 4" xfId="21447"/>
    <cellStyle name="20% - Accent1 4 2 4 4 4 4 2" xfId="57132"/>
    <cellStyle name="20% - Accent1 4 2 4 4 4 5" xfId="35062"/>
    <cellStyle name="20% - Accent1 4 2 4 4 5" xfId="2352"/>
    <cellStyle name="20% - Accent1 4 2 4 4 5 2" xfId="17137"/>
    <cellStyle name="20% - Accent1 4 2 4 4 5 2 2" xfId="28938"/>
    <cellStyle name="20% - Accent1 4 2 4 4 5 2 2 2" xfId="57133"/>
    <cellStyle name="20% - Accent1 4 2 4 4 5 2 3" xfId="42553"/>
    <cellStyle name="20% - Accent1 4 2 4 4 5 3" xfId="7805"/>
    <cellStyle name="20% - Accent1 4 2 4 4 5 3 2" xfId="57134"/>
    <cellStyle name="20% - Accent1 4 2 4 4 5 4" xfId="19606"/>
    <cellStyle name="20% - Accent1 4 2 4 4 5 4 2" xfId="57135"/>
    <cellStyle name="20% - Accent1 4 2 4 4 5 5" xfId="33221"/>
    <cellStyle name="20% - Accent1 4 2 4 4 6" xfId="14598"/>
    <cellStyle name="20% - Accent1 4 2 4 4 6 2" xfId="26399"/>
    <cellStyle name="20% - Accent1 4 2 4 4 6 2 2" xfId="57136"/>
    <cellStyle name="20% - Accent1 4 2 4 4 6 3" xfId="40014"/>
    <cellStyle name="20% - Accent1 4 2 4 4 7" xfId="5905"/>
    <cellStyle name="20% - Accent1 4 2 4 4 7 2" xfId="57137"/>
    <cellStyle name="20% - Accent1 4 2 4 4 8" xfId="17706"/>
    <cellStyle name="20% - Accent1 4 2 4 4 8 2" xfId="57138"/>
    <cellStyle name="20% - Accent1 4 2 4 4 9" xfId="31321"/>
    <cellStyle name="20% - Accent1 4 2 4 5" xfId="265"/>
    <cellStyle name="20% - Accent1 4 2 4 5 2" xfId="1566"/>
    <cellStyle name="20% - Accent1 4 2 4 5 2 2" xfId="4575"/>
    <cellStyle name="20% - Accent1 4 2 4 5 2 2 2" xfId="14599"/>
    <cellStyle name="20% - Accent1 4 2 4 5 2 2 2 2" xfId="26400"/>
    <cellStyle name="20% - Accent1 4 2 4 5 2 2 2 2 2" xfId="57139"/>
    <cellStyle name="20% - Accent1 4 2 4 5 2 2 2 3" xfId="40015"/>
    <cellStyle name="20% - Accent1 4 2 4 5 2 2 3" xfId="10028"/>
    <cellStyle name="20% - Accent1 4 2 4 5 2 2 3 2" xfId="46527"/>
    <cellStyle name="20% - Accent1 4 2 4 5 2 2 4" xfId="21829"/>
    <cellStyle name="20% - Accent1 4 2 4 5 2 2 4 2" xfId="57140"/>
    <cellStyle name="20% - Accent1 4 2 4 5 2 2 5" xfId="35444"/>
    <cellStyle name="20% - Accent1 4 2 4 5 2 3" xfId="2734"/>
    <cellStyle name="20% - Accent1 4 2 4 5 2 3 2" xfId="14600"/>
    <cellStyle name="20% - Accent1 4 2 4 5 2 3 2 2" xfId="26401"/>
    <cellStyle name="20% - Accent1 4 2 4 5 2 3 2 2 2" xfId="57141"/>
    <cellStyle name="20% - Accent1 4 2 4 5 2 3 2 3" xfId="40016"/>
    <cellStyle name="20% - Accent1 4 2 4 5 2 3 3" xfId="8187"/>
    <cellStyle name="20% - Accent1 4 2 4 5 2 3 3 2" xfId="46528"/>
    <cellStyle name="20% - Accent1 4 2 4 5 2 3 4" xfId="19988"/>
    <cellStyle name="20% - Accent1 4 2 4 5 2 3 4 2" xfId="57142"/>
    <cellStyle name="20% - Accent1 4 2 4 5 2 3 5" xfId="33603"/>
    <cellStyle name="20% - Accent1 4 2 4 5 2 4" xfId="14601"/>
    <cellStyle name="20% - Accent1 4 2 4 5 2 4 2" xfId="26402"/>
    <cellStyle name="20% - Accent1 4 2 4 5 2 4 2 2" xfId="57143"/>
    <cellStyle name="20% - Accent1 4 2 4 5 2 4 3" xfId="40017"/>
    <cellStyle name="20% - Accent1 4 2 4 5 2 5" xfId="7020"/>
    <cellStyle name="20% - Accent1 4 2 4 5 2 5 2" xfId="46529"/>
    <cellStyle name="20% - Accent1 4 2 4 5 2 6" xfId="18821"/>
    <cellStyle name="20% - Accent1 4 2 4 5 2 6 2" xfId="57144"/>
    <cellStyle name="20% - Accent1 4 2 4 5 2 7" xfId="32436"/>
    <cellStyle name="20% - Accent1 4 2 4 5 3" xfId="3302"/>
    <cellStyle name="20% - Accent1 4 2 4 5 3 2" xfId="5143"/>
    <cellStyle name="20% - Accent1 4 2 4 5 3 2 2" xfId="16613"/>
    <cellStyle name="20% - Accent1 4 2 4 5 3 2 2 2" xfId="28414"/>
    <cellStyle name="20% - Accent1 4 2 4 5 3 2 2 2 2" xfId="57145"/>
    <cellStyle name="20% - Accent1 4 2 4 5 3 2 2 3" xfId="42029"/>
    <cellStyle name="20% - Accent1 4 2 4 5 3 2 3" xfId="10596"/>
    <cellStyle name="20% - Accent1 4 2 4 5 3 2 3 2" xfId="57146"/>
    <cellStyle name="20% - Accent1 4 2 4 5 3 2 4" xfId="22397"/>
    <cellStyle name="20% - Accent1 4 2 4 5 3 2 4 2" xfId="57147"/>
    <cellStyle name="20% - Accent1 4 2 4 5 3 2 5" xfId="36012"/>
    <cellStyle name="20% - Accent1 4 2 4 5 3 3" xfId="14602"/>
    <cellStyle name="20% - Accent1 4 2 4 5 3 3 2" xfId="26403"/>
    <cellStyle name="20% - Accent1 4 2 4 5 3 3 2 2" xfId="57148"/>
    <cellStyle name="20% - Accent1 4 2 4 5 3 3 3" xfId="40018"/>
    <cellStyle name="20% - Accent1 4 2 4 5 3 4" xfId="8755"/>
    <cellStyle name="20% - Accent1 4 2 4 5 3 4 2" xfId="57149"/>
    <cellStyle name="20% - Accent1 4 2 4 5 3 5" xfId="20556"/>
    <cellStyle name="20% - Accent1 4 2 4 5 3 5 2" xfId="57150"/>
    <cellStyle name="20% - Accent1 4 2 4 5 3 6" xfId="34171"/>
    <cellStyle name="20% - Accent1 4 2 4 5 4" xfId="4007"/>
    <cellStyle name="20% - Accent1 4 2 4 5 4 2" xfId="14603"/>
    <cellStyle name="20% - Accent1 4 2 4 5 4 2 2" xfId="26404"/>
    <cellStyle name="20% - Accent1 4 2 4 5 4 2 2 2" xfId="57151"/>
    <cellStyle name="20% - Accent1 4 2 4 5 4 2 3" xfId="40019"/>
    <cellStyle name="20% - Accent1 4 2 4 5 4 3" xfId="9460"/>
    <cellStyle name="20% - Accent1 4 2 4 5 4 3 2" xfId="46530"/>
    <cellStyle name="20% - Accent1 4 2 4 5 4 4" xfId="21261"/>
    <cellStyle name="20% - Accent1 4 2 4 5 4 4 2" xfId="57152"/>
    <cellStyle name="20% - Accent1 4 2 4 5 4 5" xfId="34876"/>
    <cellStyle name="20% - Accent1 4 2 4 5 5" xfId="2166"/>
    <cellStyle name="20% - Accent1 4 2 4 5 5 2" xfId="17138"/>
    <cellStyle name="20% - Accent1 4 2 4 5 5 2 2" xfId="28939"/>
    <cellStyle name="20% - Accent1 4 2 4 5 5 2 2 2" xfId="57153"/>
    <cellStyle name="20% - Accent1 4 2 4 5 5 2 3" xfId="42554"/>
    <cellStyle name="20% - Accent1 4 2 4 5 5 3" xfId="7619"/>
    <cellStyle name="20% - Accent1 4 2 4 5 5 3 2" xfId="57154"/>
    <cellStyle name="20% - Accent1 4 2 4 5 5 4" xfId="19420"/>
    <cellStyle name="20% - Accent1 4 2 4 5 5 4 2" xfId="57155"/>
    <cellStyle name="20% - Accent1 4 2 4 5 5 5" xfId="33035"/>
    <cellStyle name="20% - Accent1 4 2 4 5 6" xfId="14604"/>
    <cellStyle name="20% - Accent1 4 2 4 5 6 2" xfId="26405"/>
    <cellStyle name="20% - Accent1 4 2 4 5 6 2 2" xfId="57156"/>
    <cellStyle name="20% - Accent1 4 2 4 5 6 3" xfId="40020"/>
    <cellStyle name="20% - Accent1 4 2 4 5 7" xfId="5719"/>
    <cellStyle name="20% - Accent1 4 2 4 5 7 2" xfId="57157"/>
    <cellStyle name="20% - Accent1 4 2 4 5 8" xfId="17520"/>
    <cellStyle name="20% - Accent1 4 2 4 5 8 2" xfId="57158"/>
    <cellStyle name="20% - Accent1 4 2 4 5 9" xfId="31135"/>
    <cellStyle name="20% - Accent1 4 2 4 6" xfId="592"/>
    <cellStyle name="20% - Accent1 4 2 4 6 2" xfId="1567"/>
    <cellStyle name="20% - Accent1 4 2 4 6 2 2" xfId="4334"/>
    <cellStyle name="20% - Accent1 4 2 4 6 2 2 2" xfId="14605"/>
    <cellStyle name="20% - Accent1 4 2 4 6 2 2 2 2" xfId="26406"/>
    <cellStyle name="20% - Accent1 4 2 4 6 2 2 2 2 2" xfId="57159"/>
    <cellStyle name="20% - Accent1 4 2 4 6 2 2 2 3" xfId="40021"/>
    <cellStyle name="20% - Accent1 4 2 4 6 2 2 3" xfId="9787"/>
    <cellStyle name="20% - Accent1 4 2 4 6 2 2 3 2" xfId="46531"/>
    <cellStyle name="20% - Accent1 4 2 4 6 2 2 4" xfId="21588"/>
    <cellStyle name="20% - Accent1 4 2 4 6 2 2 4 2" xfId="57160"/>
    <cellStyle name="20% - Accent1 4 2 4 6 2 2 5" xfId="35203"/>
    <cellStyle name="20% - Accent1 4 2 4 6 2 3" xfId="14606"/>
    <cellStyle name="20% - Accent1 4 2 4 6 2 3 2" xfId="26407"/>
    <cellStyle name="20% - Accent1 4 2 4 6 2 3 2 2" xfId="46532"/>
    <cellStyle name="20% - Accent1 4 2 4 6 2 3 3" xfId="30233"/>
    <cellStyle name="20% - Accent1 4 2 4 6 2 3 3 2" xfId="46533"/>
    <cellStyle name="20% - Accent1 4 2 4 6 2 3 4" xfId="30234"/>
    <cellStyle name="20% - Accent1 4 2 4 6 2 3 4 2" xfId="57161"/>
    <cellStyle name="20% - Accent1 4 2 4 6 2 3 5" xfId="40022"/>
    <cellStyle name="20% - Accent1 4 2 4 6 2 4" xfId="14607"/>
    <cellStyle name="20% - Accent1 4 2 4 6 2 4 2" xfId="26408"/>
    <cellStyle name="20% - Accent1 4 2 4 6 2 4 2 2" xfId="57162"/>
    <cellStyle name="20% - Accent1 4 2 4 6 2 4 3" xfId="40023"/>
    <cellStyle name="20% - Accent1 4 2 4 6 2 5" xfId="7021"/>
    <cellStyle name="20% - Accent1 4 2 4 6 2 5 2" xfId="46534"/>
    <cellStyle name="20% - Accent1 4 2 4 6 2 6" xfId="18822"/>
    <cellStyle name="20% - Accent1 4 2 4 6 2 6 2" xfId="57163"/>
    <cellStyle name="20% - Accent1 4 2 4 6 2 7" xfId="32437"/>
    <cellStyle name="20% - Accent1 4 2 4 6 3" xfId="2493"/>
    <cellStyle name="20% - Accent1 4 2 4 6 3 2" xfId="14608"/>
    <cellStyle name="20% - Accent1 4 2 4 6 3 2 2" xfId="26409"/>
    <cellStyle name="20% - Accent1 4 2 4 6 3 2 2 2" xfId="57164"/>
    <cellStyle name="20% - Accent1 4 2 4 6 3 2 3" xfId="40024"/>
    <cellStyle name="20% - Accent1 4 2 4 6 3 3" xfId="7946"/>
    <cellStyle name="20% - Accent1 4 2 4 6 3 3 2" xfId="46535"/>
    <cellStyle name="20% - Accent1 4 2 4 6 3 4" xfId="19747"/>
    <cellStyle name="20% - Accent1 4 2 4 6 3 4 2" xfId="57165"/>
    <cellStyle name="20% - Accent1 4 2 4 6 3 5" xfId="33362"/>
    <cellStyle name="20% - Accent1 4 2 4 6 4" xfId="14609"/>
    <cellStyle name="20% - Accent1 4 2 4 6 4 2" xfId="26410"/>
    <cellStyle name="20% - Accent1 4 2 4 6 4 2 2" xfId="46536"/>
    <cellStyle name="20% - Accent1 4 2 4 6 4 3" xfId="30235"/>
    <cellStyle name="20% - Accent1 4 2 4 6 4 3 2" xfId="46537"/>
    <cellStyle name="20% - Accent1 4 2 4 6 4 4" xfId="30236"/>
    <cellStyle name="20% - Accent1 4 2 4 6 4 4 2" xfId="57166"/>
    <cellStyle name="20% - Accent1 4 2 4 6 4 5" xfId="40025"/>
    <cellStyle name="20% - Accent1 4 2 4 6 5" xfId="14610"/>
    <cellStyle name="20% - Accent1 4 2 4 6 5 2" xfId="26411"/>
    <cellStyle name="20% - Accent1 4 2 4 6 5 2 2" xfId="57167"/>
    <cellStyle name="20% - Accent1 4 2 4 6 5 3" xfId="40026"/>
    <cellStyle name="20% - Accent1 4 2 4 6 6" xfId="6046"/>
    <cellStyle name="20% - Accent1 4 2 4 6 6 2" xfId="46538"/>
    <cellStyle name="20% - Accent1 4 2 4 6 7" xfId="17847"/>
    <cellStyle name="20% - Accent1 4 2 4 6 7 2" xfId="57168"/>
    <cellStyle name="20% - Accent1 4 2 4 6 8" xfId="31462"/>
    <cellStyle name="20% - Accent1 4 2 4 7" xfId="833"/>
    <cellStyle name="20% - Accent1 4 2 4 7 2" xfId="1568"/>
    <cellStyle name="20% - Accent1 4 2 4 7 2 2" xfId="4902"/>
    <cellStyle name="20% - Accent1 4 2 4 7 2 2 2" xfId="14611"/>
    <cellStyle name="20% - Accent1 4 2 4 7 2 2 2 2" xfId="26412"/>
    <cellStyle name="20% - Accent1 4 2 4 7 2 2 2 2 2" xfId="57169"/>
    <cellStyle name="20% - Accent1 4 2 4 7 2 2 2 3" xfId="40027"/>
    <cellStyle name="20% - Accent1 4 2 4 7 2 2 3" xfId="10355"/>
    <cellStyle name="20% - Accent1 4 2 4 7 2 2 3 2" xfId="46539"/>
    <cellStyle name="20% - Accent1 4 2 4 7 2 2 4" xfId="22156"/>
    <cellStyle name="20% - Accent1 4 2 4 7 2 2 4 2" xfId="57170"/>
    <cellStyle name="20% - Accent1 4 2 4 7 2 2 5" xfId="35771"/>
    <cellStyle name="20% - Accent1 4 2 4 7 2 3" xfId="14612"/>
    <cellStyle name="20% - Accent1 4 2 4 7 2 3 2" xfId="26413"/>
    <cellStyle name="20% - Accent1 4 2 4 7 2 3 2 2" xfId="46540"/>
    <cellStyle name="20% - Accent1 4 2 4 7 2 3 3" xfId="30237"/>
    <cellStyle name="20% - Accent1 4 2 4 7 2 3 3 2" xfId="46541"/>
    <cellStyle name="20% - Accent1 4 2 4 7 2 3 4" xfId="30238"/>
    <cellStyle name="20% - Accent1 4 2 4 7 2 3 4 2" xfId="57171"/>
    <cellStyle name="20% - Accent1 4 2 4 7 2 3 5" xfId="40028"/>
    <cellStyle name="20% - Accent1 4 2 4 7 2 4" xfId="14613"/>
    <cellStyle name="20% - Accent1 4 2 4 7 2 4 2" xfId="26414"/>
    <cellStyle name="20% - Accent1 4 2 4 7 2 4 2 2" xfId="57172"/>
    <cellStyle name="20% - Accent1 4 2 4 7 2 4 3" xfId="40029"/>
    <cellStyle name="20% - Accent1 4 2 4 7 2 5" xfId="7022"/>
    <cellStyle name="20% - Accent1 4 2 4 7 2 5 2" xfId="46542"/>
    <cellStyle name="20% - Accent1 4 2 4 7 2 6" xfId="18823"/>
    <cellStyle name="20% - Accent1 4 2 4 7 2 6 2" xfId="57173"/>
    <cellStyle name="20% - Accent1 4 2 4 7 2 7" xfId="32438"/>
    <cellStyle name="20% - Accent1 4 2 4 7 3" xfId="3061"/>
    <cellStyle name="20% - Accent1 4 2 4 7 3 2" xfId="14614"/>
    <cellStyle name="20% - Accent1 4 2 4 7 3 2 2" xfId="26415"/>
    <cellStyle name="20% - Accent1 4 2 4 7 3 2 2 2" xfId="57174"/>
    <cellStyle name="20% - Accent1 4 2 4 7 3 2 3" xfId="40030"/>
    <cellStyle name="20% - Accent1 4 2 4 7 3 3" xfId="8514"/>
    <cellStyle name="20% - Accent1 4 2 4 7 3 3 2" xfId="46543"/>
    <cellStyle name="20% - Accent1 4 2 4 7 3 4" xfId="20315"/>
    <cellStyle name="20% - Accent1 4 2 4 7 3 4 2" xfId="57175"/>
    <cellStyle name="20% - Accent1 4 2 4 7 3 5" xfId="33930"/>
    <cellStyle name="20% - Accent1 4 2 4 7 4" xfId="14615"/>
    <cellStyle name="20% - Accent1 4 2 4 7 4 2" xfId="26416"/>
    <cellStyle name="20% - Accent1 4 2 4 7 4 2 2" xfId="46544"/>
    <cellStyle name="20% - Accent1 4 2 4 7 4 3" xfId="30239"/>
    <cellStyle name="20% - Accent1 4 2 4 7 4 3 2" xfId="46545"/>
    <cellStyle name="20% - Accent1 4 2 4 7 4 4" xfId="30240"/>
    <cellStyle name="20% - Accent1 4 2 4 7 4 4 2" xfId="57176"/>
    <cellStyle name="20% - Accent1 4 2 4 7 4 5" xfId="40031"/>
    <cellStyle name="20% - Accent1 4 2 4 7 5" xfId="14616"/>
    <cellStyle name="20% - Accent1 4 2 4 7 5 2" xfId="26417"/>
    <cellStyle name="20% - Accent1 4 2 4 7 5 2 2" xfId="57177"/>
    <cellStyle name="20% - Accent1 4 2 4 7 5 3" xfId="40032"/>
    <cellStyle name="20% - Accent1 4 2 4 7 6" xfId="6287"/>
    <cellStyle name="20% - Accent1 4 2 4 7 6 2" xfId="46546"/>
    <cellStyle name="20% - Accent1 4 2 4 7 7" xfId="18088"/>
    <cellStyle name="20% - Accent1 4 2 4 7 7 2" xfId="57178"/>
    <cellStyle name="20% - Accent1 4 2 4 7 8" xfId="31703"/>
    <cellStyle name="20% - Accent1 4 2 4 8" xfId="1569"/>
    <cellStyle name="20% - Accent1 4 2 4 8 2" xfId="3766"/>
    <cellStyle name="20% - Accent1 4 2 4 8 2 2" xfId="14617"/>
    <cellStyle name="20% - Accent1 4 2 4 8 2 2 2" xfId="26418"/>
    <cellStyle name="20% - Accent1 4 2 4 8 2 2 2 2" xfId="57179"/>
    <cellStyle name="20% - Accent1 4 2 4 8 2 2 3" xfId="40033"/>
    <cellStyle name="20% - Accent1 4 2 4 8 2 3" xfId="9219"/>
    <cellStyle name="20% - Accent1 4 2 4 8 2 3 2" xfId="46547"/>
    <cellStyle name="20% - Accent1 4 2 4 8 2 4" xfId="21020"/>
    <cellStyle name="20% - Accent1 4 2 4 8 2 4 2" xfId="57180"/>
    <cellStyle name="20% - Accent1 4 2 4 8 2 5" xfId="34635"/>
    <cellStyle name="20% - Accent1 4 2 4 8 3" xfId="14618"/>
    <cellStyle name="20% - Accent1 4 2 4 8 3 2" xfId="26419"/>
    <cellStyle name="20% - Accent1 4 2 4 8 3 2 2" xfId="46548"/>
    <cellStyle name="20% - Accent1 4 2 4 8 3 3" xfId="30241"/>
    <cellStyle name="20% - Accent1 4 2 4 8 3 3 2" xfId="46549"/>
    <cellStyle name="20% - Accent1 4 2 4 8 3 4" xfId="30242"/>
    <cellStyle name="20% - Accent1 4 2 4 8 3 4 2" xfId="57181"/>
    <cellStyle name="20% - Accent1 4 2 4 8 3 5" xfId="40034"/>
    <cellStyle name="20% - Accent1 4 2 4 8 4" xfId="14619"/>
    <cellStyle name="20% - Accent1 4 2 4 8 4 2" xfId="26420"/>
    <cellStyle name="20% - Accent1 4 2 4 8 4 2 2" xfId="57182"/>
    <cellStyle name="20% - Accent1 4 2 4 8 4 3" xfId="40035"/>
    <cellStyle name="20% - Accent1 4 2 4 8 5" xfId="7023"/>
    <cellStyle name="20% - Accent1 4 2 4 8 5 2" xfId="46550"/>
    <cellStyle name="20% - Accent1 4 2 4 8 6" xfId="18824"/>
    <cellStyle name="20% - Accent1 4 2 4 8 6 2" xfId="57183"/>
    <cellStyle name="20% - Accent1 4 2 4 8 7" xfId="32439"/>
    <cellStyle name="20% - Accent1 4 2 4 9" xfId="3629"/>
    <cellStyle name="20% - Accent1 4 2 4 9 2" xfId="14620"/>
    <cellStyle name="20% - Accent1 4 2 4 9 2 2" xfId="26421"/>
    <cellStyle name="20% - Accent1 4 2 4 9 2 2 2" xfId="57184"/>
    <cellStyle name="20% - Accent1 4 2 4 9 2 3" xfId="40036"/>
    <cellStyle name="20% - Accent1 4 2 4 9 3" xfId="9082"/>
    <cellStyle name="20% - Accent1 4 2 4 9 3 2" xfId="46551"/>
    <cellStyle name="20% - Accent1 4 2 4 9 4" xfId="20883"/>
    <cellStyle name="20% - Accent1 4 2 4 9 4 2" xfId="57185"/>
    <cellStyle name="20% - Accent1 4 2 4 9 5" xfId="34498"/>
    <cellStyle name="20% - Accent1 4 2 5" xfId="61"/>
    <cellStyle name="20% - Accent1 4 2 5 10" xfId="14621"/>
    <cellStyle name="20% - Accent1 4 2 5 10 2" xfId="26422"/>
    <cellStyle name="20% - Accent1 4 2 5 10 2 2" xfId="57186"/>
    <cellStyle name="20% - Accent1 4 2 5 10 3" xfId="40037"/>
    <cellStyle name="20% - Accent1 4 2 5 11" xfId="5515"/>
    <cellStyle name="20% - Accent1 4 2 5 11 2" xfId="46552"/>
    <cellStyle name="20% - Accent1 4 2 5 12" xfId="17316"/>
    <cellStyle name="20% - Accent1 4 2 5 12 2" xfId="57187"/>
    <cellStyle name="20% - Accent1 4 2 5 13" xfId="30931"/>
    <cellStyle name="20% - Accent1 4 2 5 2" xfId="128"/>
    <cellStyle name="20% - Accent1 4 2 5 2 10" xfId="5582"/>
    <cellStyle name="20% - Accent1 4 2 5 2 10 2" xfId="46553"/>
    <cellStyle name="20% - Accent1 4 2 5 2 11" xfId="17383"/>
    <cellStyle name="20% - Accent1 4 2 5 2 11 2" xfId="57188"/>
    <cellStyle name="20% - Accent1 4 2 5 2 12" xfId="30998"/>
    <cellStyle name="20% - Accent1 4 2 5 2 2" xfId="555"/>
    <cellStyle name="20% - Accent1 4 2 5 2 2 2" xfId="1570"/>
    <cellStyle name="20% - Accent1 4 2 5 2 2 2 2" xfId="4865"/>
    <cellStyle name="20% - Accent1 4 2 5 2 2 2 2 2" xfId="14622"/>
    <cellStyle name="20% - Accent1 4 2 5 2 2 2 2 2 2" xfId="26423"/>
    <cellStyle name="20% - Accent1 4 2 5 2 2 2 2 2 2 2" xfId="57189"/>
    <cellStyle name="20% - Accent1 4 2 5 2 2 2 2 2 3" xfId="40038"/>
    <cellStyle name="20% - Accent1 4 2 5 2 2 2 2 3" xfId="10318"/>
    <cellStyle name="20% - Accent1 4 2 5 2 2 2 2 3 2" xfId="46554"/>
    <cellStyle name="20% - Accent1 4 2 5 2 2 2 2 4" xfId="22119"/>
    <cellStyle name="20% - Accent1 4 2 5 2 2 2 2 4 2" xfId="57190"/>
    <cellStyle name="20% - Accent1 4 2 5 2 2 2 2 5" xfId="35734"/>
    <cellStyle name="20% - Accent1 4 2 5 2 2 2 3" xfId="3024"/>
    <cellStyle name="20% - Accent1 4 2 5 2 2 2 3 2" xfId="14623"/>
    <cellStyle name="20% - Accent1 4 2 5 2 2 2 3 2 2" xfId="26424"/>
    <cellStyle name="20% - Accent1 4 2 5 2 2 2 3 2 2 2" xfId="57191"/>
    <cellStyle name="20% - Accent1 4 2 5 2 2 2 3 2 3" xfId="40039"/>
    <cellStyle name="20% - Accent1 4 2 5 2 2 2 3 3" xfId="8477"/>
    <cellStyle name="20% - Accent1 4 2 5 2 2 2 3 3 2" xfId="46555"/>
    <cellStyle name="20% - Accent1 4 2 5 2 2 2 3 4" xfId="20278"/>
    <cellStyle name="20% - Accent1 4 2 5 2 2 2 3 4 2" xfId="57192"/>
    <cellStyle name="20% - Accent1 4 2 5 2 2 2 3 5" xfId="33893"/>
    <cellStyle name="20% - Accent1 4 2 5 2 2 2 4" xfId="14624"/>
    <cellStyle name="20% - Accent1 4 2 5 2 2 2 4 2" xfId="26425"/>
    <cellStyle name="20% - Accent1 4 2 5 2 2 2 4 2 2" xfId="57193"/>
    <cellStyle name="20% - Accent1 4 2 5 2 2 2 4 3" xfId="40040"/>
    <cellStyle name="20% - Accent1 4 2 5 2 2 2 5" xfId="7024"/>
    <cellStyle name="20% - Accent1 4 2 5 2 2 2 5 2" xfId="46556"/>
    <cellStyle name="20% - Accent1 4 2 5 2 2 2 6" xfId="18825"/>
    <cellStyle name="20% - Accent1 4 2 5 2 2 2 6 2" xfId="57194"/>
    <cellStyle name="20% - Accent1 4 2 5 2 2 2 7" xfId="32440"/>
    <cellStyle name="20% - Accent1 4 2 5 2 2 3" xfId="3592"/>
    <cellStyle name="20% - Accent1 4 2 5 2 2 3 2" xfId="5433"/>
    <cellStyle name="20% - Accent1 4 2 5 2 2 3 2 2" xfId="16903"/>
    <cellStyle name="20% - Accent1 4 2 5 2 2 3 2 2 2" xfId="28704"/>
    <cellStyle name="20% - Accent1 4 2 5 2 2 3 2 2 2 2" xfId="57195"/>
    <cellStyle name="20% - Accent1 4 2 5 2 2 3 2 2 3" xfId="42319"/>
    <cellStyle name="20% - Accent1 4 2 5 2 2 3 2 3" xfId="10886"/>
    <cellStyle name="20% - Accent1 4 2 5 2 2 3 2 3 2" xfId="57196"/>
    <cellStyle name="20% - Accent1 4 2 5 2 2 3 2 4" xfId="22687"/>
    <cellStyle name="20% - Accent1 4 2 5 2 2 3 2 4 2" xfId="57197"/>
    <cellStyle name="20% - Accent1 4 2 5 2 2 3 2 5" xfId="36302"/>
    <cellStyle name="20% - Accent1 4 2 5 2 2 3 3" xfId="14625"/>
    <cellStyle name="20% - Accent1 4 2 5 2 2 3 3 2" xfId="26426"/>
    <cellStyle name="20% - Accent1 4 2 5 2 2 3 3 2 2" xfId="57198"/>
    <cellStyle name="20% - Accent1 4 2 5 2 2 3 3 3" xfId="40041"/>
    <cellStyle name="20% - Accent1 4 2 5 2 2 3 4" xfId="9045"/>
    <cellStyle name="20% - Accent1 4 2 5 2 2 3 4 2" xfId="57199"/>
    <cellStyle name="20% - Accent1 4 2 5 2 2 3 5" xfId="20846"/>
    <cellStyle name="20% - Accent1 4 2 5 2 2 3 5 2" xfId="57200"/>
    <cellStyle name="20% - Accent1 4 2 5 2 2 3 6" xfId="34461"/>
    <cellStyle name="20% - Accent1 4 2 5 2 2 4" xfId="4297"/>
    <cellStyle name="20% - Accent1 4 2 5 2 2 4 2" xfId="14626"/>
    <cellStyle name="20% - Accent1 4 2 5 2 2 4 2 2" xfId="26427"/>
    <cellStyle name="20% - Accent1 4 2 5 2 2 4 2 2 2" xfId="57201"/>
    <cellStyle name="20% - Accent1 4 2 5 2 2 4 2 3" xfId="40042"/>
    <cellStyle name="20% - Accent1 4 2 5 2 2 4 3" xfId="9750"/>
    <cellStyle name="20% - Accent1 4 2 5 2 2 4 3 2" xfId="46557"/>
    <cellStyle name="20% - Accent1 4 2 5 2 2 4 4" xfId="21551"/>
    <cellStyle name="20% - Accent1 4 2 5 2 2 4 4 2" xfId="57202"/>
    <cellStyle name="20% - Accent1 4 2 5 2 2 4 5" xfId="35166"/>
    <cellStyle name="20% - Accent1 4 2 5 2 2 5" xfId="2456"/>
    <cellStyle name="20% - Accent1 4 2 5 2 2 5 2" xfId="17139"/>
    <cellStyle name="20% - Accent1 4 2 5 2 2 5 2 2" xfId="28940"/>
    <cellStyle name="20% - Accent1 4 2 5 2 2 5 2 2 2" xfId="57203"/>
    <cellStyle name="20% - Accent1 4 2 5 2 2 5 2 3" xfId="42555"/>
    <cellStyle name="20% - Accent1 4 2 5 2 2 5 3" xfId="7909"/>
    <cellStyle name="20% - Accent1 4 2 5 2 2 5 3 2" xfId="57204"/>
    <cellStyle name="20% - Accent1 4 2 5 2 2 5 4" xfId="19710"/>
    <cellStyle name="20% - Accent1 4 2 5 2 2 5 4 2" xfId="57205"/>
    <cellStyle name="20% - Accent1 4 2 5 2 2 5 5" xfId="33325"/>
    <cellStyle name="20% - Accent1 4 2 5 2 2 6" xfId="14627"/>
    <cellStyle name="20% - Accent1 4 2 5 2 2 6 2" xfId="26428"/>
    <cellStyle name="20% - Accent1 4 2 5 2 2 6 2 2" xfId="57206"/>
    <cellStyle name="20% - Accent1 4 2 5 2 2 6 3" xfId="40043"/>
    <cellStyle name="20% - Accent1 4 2 5 2 2 7" xfId="6009"/>
    <cellStyle name="20% - Accent1 4 2 5 2 2 7 2" xfId="57207"/>
    <cellStyle name="20% - Accent1 4 2 5 2 2 8" xfId="17810"/>
    <cellStyle name="20% - Accent1 4 2 5 2 2 8 2" xfId="57208"/>
    <cellStyle name="20% - Accent1 4 2 5 2 2 9" xfId="31425"/>
    <cellStyle name="20% - Accent1 4 2 5 2 3" xfId="418"/>
    <cellStyle name="20% - Accent1 4 2 5 2 3 2" xfId="1571"/>
    <cellStyle name="20% - Accent1 4 2 5 2 3 2 2" xfId="4728"/>
    <cellStyle name="20% - Accent1 4 2 5 2 3 2 2 2" xfId="14628"/>
    <cellStyle name="20% - Accent1 4 2 5 2 3 2 2 2 2" xfId="26429"/>
    <cellStyle name="20% - Accent1 4 2 5 2 3 2 2 2 2 2" xfId="57209"/>
    <cellStyle name="20% - Accent1 4 2 5 2 3 2 2 2 3" xfId="40044"/>
    <cellStyle name="20% - Accent1 4 2 5 2 3 2 2 3" xfId="10181"/>
    <cellStyle name="20% - Accent1 4 2 5 2 3 2 2 3 2" xfId="46558"/>
    <cellStyle name="20% - Accent1 4 2 5 2 3 2 2 4" xfId="21982"/>
    <cellStyle name="20% - Accent1 4 2 5 2 3 2 2 4 2" xfId="57210"/>
    <cellStyle name="20% - Accent1 4 2 5 2 3 2 2 5" xfId="35597"/>
    <cellStyle name="20% - Accent1 4 2 5 2 3 2 3" xfId="2887"/>
    <cellStyle name="20% - Accent1 4 2 5 2 3 2 3 2" xfId="14629"/>
    <cellStyle name="20% - Accent1 4 2 5 2 3 2 3 2 2" xfId="26430"/>
    <cellStyle name="20% - Accent1 4 2 5 2 3 2 3 2 2 2" xfId="57211"/>
    <cellStyle name="20% - Accent1 4 2 5 2 3 2 3 2 3" xfId="40045"/>
    <cellStyle name="20% - Accent1 4 2 5 2 3 2 3 3" xfId="8340"/>
    <cellStyle name="20% - Accent1 4 2 5 2 3 2 3 3 2" xfId="46559"/>
    <cellStyle name="20% - Accent1 4 2 5 2 3 2 3 4" xfId="20141"/>
    <cellStyle name="20% - Accent1 4 2 5 2 3 2 3 4 2" xfId="57212"/>
    <cellStyle name="20% - Accent1 4 2 5 2 3 2 3 5" xfId="33756"/>
    <cellStyle name="20% - Accent1 4 2 5 2 3 2 4" xfId="14630"/>
    <cellStyle name="20% - Accent1 4 2 5 2 3 2 4 2" xfId="26431"/>
    <cellStyle name="20% - Accent1 4 2 5 2 3 2 4 2 2" xfId="57213"/>
    <cellStyle name="20% - Accent1 4 2 5 2 3 2 4 3" xfId="40046"/>
    <cellStyle name="20% - Accent1 4 2 5 2 3 2 5" xfId="7025"/>
    <cellStyle name="20% - Accent1 4 2 5 2 3 2 5 2" xfId="46560"/>
    <cellStyle name="20% - Accent1 4 2 5 2 3 2 6" xfId="18826"/>
    <cellStyle name="20% - Accent1 4 2 5 2 3 2 6 2" xfId="57214"/>
    <cellStyle name="20% - Accent1 4 2 5 2 3 2 7" xfId="32441"/>
    <cellStyle name="20% - Accent1 4 2 5 2 3 3" xfId="3455"/>
    <cellStyle name="20% - Accent1 4 2 5 2 3 3 2" xfId="5296"/>
    <cellStyle name="20% - Accent1 4 2 5 2 3 3 2 2" xfId="16766"/>
    <cellStyle name="20% - Accent1 4 2 5 2 3 3 2 2 2" xfId="28567"/>
    <cellStyle name="20% - Accent1 4 2 5 2 3 3 2 2 2 2" xfId="57215"/>
    <cellStyle name="20% - Accent1 4 2 5 2 3 3 2 2 3" xfId="42182"/>
    <cellStyle name="20% - Accent1 4 2 5 2 3 3 2 3" xfId="10749"/>
    <cellStyle name="20% - Accent1 4 2 5 2 3 3 2 3 2" xfId="57216"/>
    <cellStyle name="20% - Accent1 4 2 5 2 3 3 2 4" xfId="22550"/>
    <cellStyle name="20% - Accent1 4 2 5 2 3 3 2 4 2" xfId="57217"/>
    <cellStyle name="20% - Accent1 4 2 5 2 3 3 2 5" xfId="36165"/>
    <cellStyle name="20% - Accent1 4 2 5 2 3 3 3" xfId="14631"/>
    <cellStyle name="20% - Accent1 4 2 5 2 3 3 3 2" xfId="26432"/>
    <cellStyle name="20% - Accent1 4 2 5 2 3 3 3 2 2" xfId="57218"/>
    <cellStyle name="20% - Accent1 4 2 5 2 3 3 3 3" xfId="40047"/>
    <cellStyle name="20% - Accent1 4 2 5 2 3 3 4" xfId="8908"/>
    <cellStyle name="20% - Accent1 4 2 5 2 3 3 4 2" xfId="57219"/>
    <cellStyle name="20% - Accent1 4 2 5 2 3 3 5" xfId="20709"/>
    <cellStyle name="20% - Accent1 4 2 5 2 3 3 5 2" xfId="57220"/>
    <cellStyle name="20% - Accent1 4 2 5 2 3 3 6" xfId="34324"/>
    <cellStyle name="20% - Accent1 4 2 5 2 3 4" xfId="4160"/>
    <cellStyle name="20% - Accent1 4 2 5 2 3 4 2" xfId="14632"/>
    <cellStyle name="20% - Accent1 4 2 5 2 3 4 2 2" xfId="26433"/>
    <cellStyle name="20% - Accent1 4 2 5 2 3 4 2 2 2" xfId="57221"/>
    <cellStyle name="20% - Accent1 4 2 5 2 3 4 2 3" xfId="40048"/>
    <cellStyle name="20% - Accent1 4 2 5 2 3 4 3" xfId="9613"/>
    <cellStyle name="20% - Accent1 4 2 5 2 3 4 3 2" xfId="46561"/>
    <cellStyle name="20% - Accent1 4 2 5 2 3 4 4" xfId="21414"/>
    <cellStyle name="20% - Accent1 4 2 5 2 3 4 4 2" xfId="57222"/>
    <cellStyle name="20% - Accent1 4 2 5 2 3 4 5" xfId="35029"/>
    <cellStyle name="20% - Accent1 4 2 5 2 3 5" xfId="2319"/>
    <cellStyle name="20% - Accent1 4 2 5 2 3 5 2" xfId="17140"/>
    <cellStyle name="20% - Accent1 4 2 5 2 3 5 2 2" xfId="28941"/>
    <cellStyle name="20% - Accent1 4 2 5 2 3 5 2 2 2" xfId="57223"/>
    <cellStyle name="20% - Accent1 4 2 5 2 3 5 2 3" xfId="42556"/>
    <cellStyle name="20% - Accent1 4 2 5 2 3 5 3" xfId="7772"/>
    <cellStyle name="20% - Accent1 4 2 5 2 3 5 3 2" xfId="57224"/>
    <cellStyle name="20% - Accent1 4 2 5 2 3 5 4" xfId="19573"/>
    <cellStyle name="20% - Accent1 4 2 5 2 3 5 4 2" xfId="57225"/>
    <cellStyle name="20% - Accent1 4 2 5 2 3 5 5" xfId="33188"/>
    <cellStyle name="20% - Accent1 4 2 5 2 3 6" xfId="14633"/>
    <cellStyle name="20% - Accent1 4 2 5 2 3 6 2" xfId="26434"/>
    <cellStyle name="20% - Accent1 4 2 5 2 3 6 2 2" xfId="57226"/>
    <cellStyle name="20% - Accent1 4 2 5 2 3 6 3" xfId="40049"/>
    <cellStyle name="20% - Accent1 4 2 5 2 3 7" xfId="5872"/>
    <cellStyle name="20% - Accent1 4 2 5 2 3 7 2" xfId="57227"/>
    <cellStyle name="20% - Accent1 4 2 5 2 3 8" xfId="17673"/>
    <cellStyle name="20% - Accent1 4 2 5 2 3 8 2" xfId="57228"/>
    <cellStyle name="20% - Accent1 4 2 5 2 3 9" xfId="31288"/>
    <cellStyle name="20% - Accent1 4 2 5 2 4" xfId="696"/>
    <cellStyle name="20% - Accent1 4 2 5 2 4 2" xfId="1572"/>
    <cellStyle name="20% - Accent1 4 2 5 2 4 2 2" xfId="4438"/>
    <cellStyle name="20% - Accent1 4 2 5 2 4 2 2 2" xfId="14634"/>
    <cellStyle name="20% - Accent1 4 2 5 2 4 2 2 2 2" xfId="26435"/>
    <cellStyle name="20% - Accent1 4 2 5 2 4 2 2 2 2 2" xfId="57229"/>
    <cellStyle name="20% - Accent1 4 2 5 2 4 2 2 2 3" xfId="40050"/>
    <cellStyle name="20% - Accent1 4 2 5 2 4 2 2 3" xfId="9891"/>
    <cellStyle name="20% - Accent1 4 2 5 2 4 2 2 3 2" xfId="46562"/>
    <cellStyle name="20% - Accent1 4 2 5 2 4 2 2 4" xfId="21692"/>
    <cellStyle name="20% - Accent1 4 2 5 2 4 2 2 4 2" xfId="57230"/>
    <cellStyle name="20% - Accent1 4 2 5 2 4 2 2 5" xfId="35307"/>
    <cellStyle name="20% - Accent1 4 2 5 2 4 2 3" xfId="14635"/>
    <cellStyle name="20% - Accent1 4 2 5 2 4 2 3 2" xfId="26436"/>
    <cellStyle name="20% - Accent1 4 2 5 2 4 2 3 2 2" xfId="46563"/>
    <cellStyle name="20% - Accent1 4 2 5 2 4 2 3 3" xfId="30243"/>
    <cellStyle name="20% - Accent1 4 2 5 2 4 2 3 3 2" xfId="46564"/>
    <cellStyle name="20% - Accent1 4 2 5 2 4 2 3 4" xfId="30244"/>
    <cellStyle name="20% - Accent1 4 2 5 2 4 2 3 4 2" xfId="57231"/>
    <cellStyle name="20% - Accent1 4 2 5 2 4 2 3 5" xfId="40051"/>
    <cellStyle name="20% - Accent1 4 2 5 2 4 2 4" xfId="14636"/>
    <cellStyle name="20% - Accent1 4 2 5 2 4 2 4 2" xfId="26437"/>
    <cellStyle name="20% - Accent1 4 2 5 2 4 2 4 2 2" xfId="57232"/>
    <cellStyle name="20% - Accent1 4 2 5 2 4 2 4 3" xfId="40052"/>
    <cellStyle name="20% - Accent1 4 2 5 2 4 2 5" xfId="7026"/>
    <cellStyle name="20% - Accent1 4 2 5 2 4 2 5 2" xfId="46565"/>
    <cellStyle name="20% - Accent1 4 2 5 2 4 2 6" xfId="18827"/>
    <cellStyle name="20% - Accent1 4 2 5 2 4 2 6 2" xfId="57233"/>
    <cellStyle name="20% - Accent1 4 2 5 2 4 2 7" xfId="32442"/>
    <cellStyle name="20% - Accent1 4 2 5 2 4 3" xfId="2597"/>
    <cellStyle name="20% - Accent1 4 2 5 2 4 3 2" xfId="14637"/>
    <cellStyle name="20% - Accent1 4 2 5 2 4 3 2 2" xfId="26438"/>
    <cellStyle name="20% - Accent1 4 2 5 2 4 3 2 2 2" xfId="57234"/>
    <cellStyle name="20% - Accent1 4 2 5 2 4 3 2 3" xfId="40053"/>
    <cellStyle name="20% - Accent1 4 2 5 2 4 3 3" xfId="8050"/>
    <cellStyle name="20% - Accent1 4 2 5 2 4 3 3 2" xfId="46566"/>
    <cellStyle name="20% - Accent1 4 2 5 2 4 3 4" xfId="19851"/>
    <cellStyle name="20% - Accent1 4 2 5 2 4 3 4 2" xfId="57235"/>
    <cellStyle name="20% - Accent1 4 2 5 2 4 3 5" xfId="33466"/>
    <cellStyle name="20% - Accent1 4 2 5 2 4 4" xfId="14638"/>
    <cellStyle name="20% - Accent1 4 2 5 2 4 4 2" xfId="26439"/>
    <cellStyle name="20% - Accent1 4 2 5 2 4 4 2 2" xfId="46567"/>
    <cellStyle name="20% - Accent1 4 2 5 2 4 4 3" xfId="30245"/>
    <cellStyle name="20% - Accent1 4 2 5 2 4 4 3 2" xfId="46568"/>
    <cellStyle name="20% - Accent1 4 2 5 2 4 4 4" xfId="30246"/>
    <cellStyle name="20% - Accent1 4 2 5 2 4 4 4 2" xfId="57236"/>
    <cellStyle name="20% - Accent1 4 2 5 2 4 4 5" xfId="40054"/>
    <cellStyle name="20% - Accent1 4 2 5 2 4 5" xfId="14639"/>
    <cellStyle name="20% - Accent1 4 2 5 2 4 5 2" xfId="26440"/>
    <cellStyle name="20% - Accent1 4 2 5 2 4 5 2 2" xfId="57237"/>
    <cellStyle name="20% - Accent1 4 2 5 2 4 5 3" xfId="40055"/>
    <cellStyle name="20% - Accent1 4 2 5 2 4 6" xfId="6150"/>
    <cellStyle name="20% - Accent1 4 2 5 2 4 6 2" xfId="46569"/>
    <cellStyle name="20% - Accent1 4 2 5 2 4 7" xfId="17951"/>
    <cellStyle name="20% - Accent1 4 2 5 2 4 7 2" xfId="57238"/>
    <cellStyle name="20% - Accent1 4 2 5 2 4 8" xfId="31566"/>
    <cellStyle name="20% - Accent1 4 2 5 2 5" xfId="937"/>
    <cellStyle name="20% - Accent1 4 2 5 2 5 2" xfId="1573"/>
    <cellStyle name="20% - Accent1 4 2 5 2 5 2 2" xfId="5006"/>
    <cellStyle name="20% - Accent1 4 2 5 2 5 2 2 2" xfId="14640"/>
    <cellStyle name="20% - Accent1 4 2 5 2 5 2 2 2 2" xfId="26441"/>
    <cellStyle name="20% - Accent1 4 2 5 2 5 2 2 2 2 2" xfId="57239"/>
    <cellStyle name="20% - Accent1 4 2 5 2 5 2 2 2 3" xfId="40056"/>
    <cellStyle name="20% - Accent1 4 2 5 2 5 2 2 3" xfId="10459"/>
    <cellStyle name="20% - Accent1 4 2 5 2 5 2 2 3 2" xfId="46570"/>
    <cellStyle name="20% - Accent1 4 2 5 2 5 2 2 4" xfId="22260"/>
    <cellStyle name="20% - Accent1 4 2 5 2 5 2 2 4 2" xfId="57240"/>
    <cellStyle name="20% - Accent1 4 2 5 2 5 2 2 5" xfId="35875"/>
    <cellStyle name="20% - Accent1 4 2 5 2 5 2 3" xfId="14641"/>
    <cellStyle name="20% - Accent1 4 2 5 2 5 2 3 2" xfId="26442"/>
    <cellStyle name="20% - Accent1 4 2 5 2 5 2 3 2 2" xfId="46571"/>
    <cellStyle name="20% - Accent1 4 2 5 2 5 2 3 3" xfId="30247"/>
    <cellStyle name="20% - Accent1 4 2 5 2 5 2 3 3 2" xfId="46572"/>
    <cellStyle name="20% - Accent1 4 2 5 2 5 2 3 4" xfId="30248"/>
    <cellStyle name="20% - Accent1 4 2 5 2 5 2 3 4 2" xfId="57241"/>
    <cellStyle name="20% - Accent1 4 2 5 2 5 2 3 5" xfId="40057"/>
    <cellStyle name="20% - Accent1 4 2 5 2 5 2 4" xfId="14642"/>
    <cellStyle name="20% - Accent1 4 2 5 2 5 2 4 2" xfId="26443"/>
    <cellStyle name="20% - Accent1 4 2 5 2 5 2 4 2 2" xfId="57242"/>
    <cellStyle name="20% - Accent1 4 2 5 2 5 2 4 3" xfId="40058"/>
    <cellStyle name="20% - Accent1 4 2 5 2 5 2 5" xfId="7027"/>
    <cellStyle name="20% - Accent1 4 2 5 2 5 2 5 2" xfId="46573"/>
    <cellStyle name="20% - Accent1 4 2 5 2 5 2 6" xfId="18828"/>
    <cellStyle name="20% - Accent1 4 2 5 2 5 2 6 2" xfId="57243"/>
    <cellStyle name="20% - Accent1 4 2 5 2 5 2 7" xfId="32443"/>
    <cellStyle name="20% - Accent1 4 2 5 2 5 3" xfId="3165"/>
    <cellStyle name="20% - Accent1 4 2 5 2 5 3 2" xfId="14643"/>
    <cellStyle name="20% - Accent1 4 2 5 2 5 3 2 2" xfId="26444"/>
    <cellStyle name="20% - Accent1 4 2 5 2 5 3 2 2 2" xfId="57244"/>
    <cellStyle name="20% - Accent1 4 2 5 2 5 3 2 3" xfId="40059"/>
    <cellStyle name="20% - Accent1 4 2 5 2 5 3 3" xfId="8618"/>
    <cellStyle name="20% - Accent1 4 2 5 2 5 3 3 2" xfId="46574"/>
    <cellStyle name="20% - Accent1 4 2 5 2 5 3 4" xfId="20419"/>
    <cellStyle name="20% - Accent1 4 2 5 2 5 3 4 2" xfId="57245"/>
    <cellStyle name="20% - Accent1 4 2 5 2 5 3 5" xfId="34034"/>
    <cellStyle name="20% - Accent1 4 2 5 2 5 4" xfId="14644"/>
    <cellStyle name="20% - Accent1 4 2 5 2 5 4 2" xfId="26445"/>
    <cellStyle name="20% - Accent1 4 2 5 2 5 4 2 2" xfId="46575"/>
    <cellStyle name="20% - Accent1 4 2 5 2 5 4 3" xfId="30249"/>
    <cellStyle name="20% - Accent1 4 2 5 2 5 4 3 2" xfId="46576"/>
    <cellStyle name="20% - Accent1 4 2 5 2 5 4 4" xfId="30250"/>
    <cellStyle name="20% - Accent1 4 2 5 2 5 4 4 2" xfId="57246"/>
    <cellStyle name="20% - Accent1 4 2 5 2 5 4 5" xfId="40060"/>
    <cellStyle name="20% - Accent1 4 2 5 2 5 5" xfId="14645"/>
    <cellStyle name="20% - Accent1 4 2 5 2 5 5 2" xfId="26446"/>
    <cellStyle name="20% - Accent1 4 2 5 2 5 5 2 2" xfId="57247"/>
    <cellStyle name="20% - Accent1 4 2 5 2 5 5 3" xfId="40061"/>
    <cellStyle name="20% - Accent1 4 2 5 2 5 6" xfId="6391"/>
    <cellStyle name="20% - Accent1 4 2 5 2 5 6 2" xfId="46577"/>
    <cellStyle name="20% - Accent1 4 2 5 2 5 7" xfId="18192"/>
    <cellStyle name="20% - Accent1 4 2 5 2 5 7 2" xfId="57248"/>
    <cellStyle name="20% - Accent1 4 2 5 2 5 8" xfId="31807"/>
    <cellStyle name="20% - Accent1 4 2 5 2 6" xfId="1574"/>
    <cellStyle name="20% - Accent1 4 2 5 2 6 2" xfId="3870"/>
    <cellStyle name="20% - Accent1 4 2 5 2 6 2 2" xfId="14646"/>
    <cellStyle name="20% - Accent1 4 2 5 2 6 2 2 2" xfId="26447"/>
    <cellStyle name="20% - Accent1 4 2 5 2 6 2 2 2 2" xfId="57249"/>
    <cellStyle name="20% - Accent1 4 2 5 2 6 2 2 3" xfId="40062"/>
    <cellStyle name="20% - Accent1 4 2 5 2 6 2 3" xfId="9323"/>
    <cellStyle name="20% - Accent1 4 2 5 2 6 2 3 2" xfId="46578"/>
    <cellStyle name="20% - Accent1 4 2 5 2 6 2 4" xfId="21124"/>
    <cellStyle name="20% - Accent1 4 2 5 2 6 2 4 2" xfId="57250"/>
    <cellStyle name="20% - Accent1 4 2 5 2 6 2 5" xfId="34739"/>
    <cellStyle name="20% - Accent1 4 2 5 2 6 3" xfId="14647"/>
    <cellStyle name="20% - Accent1 4 2 5 2 6 3 2" xfId="26448"/>
    <cellStyle name="20% - Accent1 4 2 5 2 6 3 2 2" xfId="46579"/>
    <cellStyle name="20% - Accent1 4 2 5 2 6 3 3" xfId="30251"/>
    <cellStyle name="20% - Accent1 4 2 5 2 6 3 3 2" xfId="46580"/>
    <cellStyle name="20% - Accent1 4 2 5 2 6 3 4" xfId="30252"/>
    <cellStyle name="20% - Accent1 4 2 5 2 6 3 4 2" xfId="57251"/>
    <cellStyle name="20% - Accent1 4 2 5 2 6 3 5" xfId="40063"/>
    <cellStyle name="20% - Accent1 4 2 5 2 6 4" xfId="14648"/>
    <cellStyle name="20% - Accent1 4 2 5 2 6 4 2" xfId="26449"/>
    <cellStyle name="20% - Accent1 4 2 5 2 6 4 2 2" xfId="57252"/>
    <cellStyle name="20% - Accent1 4 2 5 2 6 4 3" xfId="40064"/>
    <cellStyle name="20% - Accent1 4 2 5 2 6 5" xfId="7028"/>
    <cellStyle name="20% - Accent1 4 2 5 2 6 5 2" xfId="46581"/>
    <cellStyle name="20% - Accent1 4 2 5 2 6 6" xfId="18829"/>
    <cellStyle name="20% - Accent1 4 2 5 2 6 6 2" xfId="57253"/>
    <cellStyle name="20% - Accent1 4 2 5 2 6 7" xfId="32444"/>
    <cellStyle name="20% - Accent1 4 2 5 2 7" xfId="3733"/>
    <cellStyle name="20% - Accent1 4 2 5 2 7 2" xfId="14649"/>
    <cellStyle name="20% - Accent1 4 2 5 2 7 2 2" xfId="26450"/>
    <cellStyle name="20% - Accent1 4 2 5 2 7 2 2 2" xfId="57254"/>
    <cellStyle name="20% - Accent1 4 2 5 2 7 2 3" xfId="40065"/>
    <cellStyle name="20% - Accent1 4 2 5 2 7 3" xfId="9186"/>
    <cellStyle name="20% - Accent1 4 2 5 2 7 3 2" xfId="46582"/>
    <cellStyle name="20% - Accent1 4 2 5 2 7 4" xfId="20987"/>
    <cellStyle name="20% - Accent1 4 2 5 2 7 4 2" xfId="57255"/>
    <cellStyle name="20% - Accent1 4 2 5 2 7 5" xfId="34602"/>
    <cellStyle name="20% - Accent1 4 2 5 2 8" xfId="2029"/>
    <cellStyle name="20% - Accent1 4 2 5 2 8 2" xfId="14650"/>
    <cellStyle name="20% - Accent1 4 2 5 2 8 2 2" xfId="26451"/>
    <cellStyle name="20% - Accent1 4 2 5 2 8 2 2 2" xfId="57256"/>
    <cellStyle name="20% - Accent1 4 2 5 2 8 2 3" xfId="40066"/>
    <cellStyle name="20% - Accent1 4 2 5 2 8 3" xfId="7482"/>
    <cellStyle name="20% - Accent1 4 2 5 2 8 3 2" xfId="46583"/>
    <cellStyle name="20% - Accent1 4 2 5 2 8 4" xfId="19283"/>
    <cellStyle name="20% - Accent1 4 2 5 2 8 4 2" xfId="57257"/>
    <cellStyle name="20% - Accent1 4 2 5 2 8 5" xfId="32898"/>
    <cellStyle name="20% - Accent1 4 2 5 2 9" xfId="14651"/>
    <cellStyle name="20% - Accent1 4 2 5 2 9 2" xfId="26452"/>
    <cellStyle name="20% - Accent1 4 2 5 2 9 2 2" xfId="57258"/>
    <cellStyle name="20% - Accent1 4 2 5 2 9 3" xfId="40067"/>
    <cellStyle name="20% - Accent1 4 2 5 3" xfId="223"/>
    <cellStyle name="20% - Accent1 4 2 5 3 10" xfId="31093"/>
    <cellStyle name="20% - Accent1 4 2 5 3 2" xfId="488"/>
    <cellStyle name="20% - Accent1 4 2 5 3 2 2" xfId="1575"/>
    <cellStyle name="20% - Accent1 4 2 5 3 2 2 2" xfId="4798"/>
    <cellStyle name="20% - Accent1 4 2 5 3 2 2 2 2" xfId="14652"/>
    <cellStyle name="20% - Accent1 4 2 5 3 2 2 2 2 2" xfId="26453"/>
    <cellStyle name="20% - Accent1 4 2 5 3 2 2 2 2 2 2" xfId="57259"/>
    <cellStyle name="20% - Accent1 4 2 5 3 2 2 2 2 3" xfId="40068"/>
    <cellStyle name="20% - Accent1 4 2 5 3 2 2 2 3" xfId="10251"/>
    <cellStyle name="20% - Accent1 4 2 5 3 2 2 2 3 2" xfId="46584"/>
    <cellStyle name="20% - Accent1 4 2 5 3 2 2 2 4" xfId="22052"/>
    <cellStyle name="20% - Accent1 4 2 5 3 2 2 2 4 2" xfId="57260"/>
    <cellStyle name="20% - Accent1 4 2 5 3 2 2 2 5" xfId="35667"/>
    <cellStyle name="20% - Accent1 4 2 5 3 2 2 3" xfId="2957"/>
    <cellStyle name="20% - Accent1 4 2 5 3 2 2 3 2" xfId="14653"/>
    <cellStyle name="20% - Accent1 4 2 5 3 2 2 3 2 2" xfId="26454"/>
    <cellStyle name="20% - Accent1 4 2 5 3 2 2 3 2 2 2" xfId="57261"/>
    <cellStyle name="20% - Accent1 4 2 5 3 2 2 3 2 3" xfId="40069"/>
    <cellStyle name="20% - Accent1 4 2 5 3 2 2 3 3" xfId="8410"/>
    <cellStyle name="20% - Accent1 4 2 5 3 2 2 3 3 2" xfId="46585"/>
    <cellStyle name="20% - Accent1 4 2 5 3 2 2 3 4" xfId="20211"/>
    <cellStyle name="20% - Accent1 4 2 5 3 2 2 3 4 2" xfId="57262"/>
    <cellStyle name="20% - Accent1 4 2 5 3 2 2 3 5" xfId="33826"/>
    <cellStyle name="20% - Accent1 4 2 5 3 2 2 4" xfId="14654"/>
    <cellStyle name="20% - Accent1 4 2 5 3 2 2 4 2" xfId="26455"/>
    <cellStyle name="20% - Accent1 4 2 5 3 2 2 4 2 2" xfId="57263"/>
    <cellStyle name="20% - Accent1 4 2 5 3 2 2 4 3" xfId="40070"/>
    <cellStyle name="20% - Accent1 4 2 5 3 2 2 5" xfId="7029"/>
    <cellStyle name="20% - Accent1 4 2 5 3 2 2 5 2" xfId="46586"/>
    <cellStyle name="20% - Accent1 4 2 5 3 2 2 6" xfId="18830"/>
    <cellStyle name="20% - Accent1 4 2 5 3 2 2 6 2" xfId="57264"/>
    <cellStyle name="20% - Accent1 4 2 5 3 2 2 7" xfId="32445"/>
    <cellStyle name="20% - Accent1 4 2 5 3 2 3" xfId="3525"/>
    <cellStyle name="20% - Accent1 4 2 5 3 2 3 2" xfId="5366"/>
    <cellStyle name="20% - Accent1 4 2 5 3 2 3 2 2" xfId="16836"/>
    <cellStyle name="20% - Accent1 4 2 5 3 2 3 2 2 2" xfId="28637"/>
    <cellStyle name="20% - Accent1 4 2 5 3 2 3 2 2 2 2" xfId="57265"/>
    <cellStyle name="20% - Accent1 4 2 5 3 2 3 2 2 3" xfId="42252"/>
    <cellStyle name="20% - Accent1 4 2 5 3 2 3 2 3" xfId="10819"/>
    <cellStyle name="20% - Accent1 4 2 5 3 2 3 2 3 2" xfId="57266"/>
    <cellStyle name="20% - Accent1 4 2 5 3 2 3 2 4" xfId="22620"/>
    <cellStyle name="20% - Accent1 4 2 5 3 2 3 2 4 2" xfId="57267"/>
    <cellStyle name="20% - Accent1 4 2 5 3 2 3 2 5" xfId="36235"/>
    <cellStyle name="20% - Accent1 4 2 5 3 2 3 3" xfId="14655"/>
    <cellStyle name="20% - Accent1 4 2 5 3 2 3 3 2" xfId="26456"/>
    <cellStyle name="20% - Accent1 4 2 5 3 2 3 3 2 2" xfId="57268"/>
    <cellStyle name="20% - Accent1 4 2 5 3 2 3 3 3" xfId="40071"/>
    <cellStyle name="20% - Accent1 4 2 5 3 2 3 4" xfId="8978"/>
    <cellStyle name="20% - Accent1 4 2 5 3 2 3 4 2" xfId="57269"/>
    <cellStyle name="20% - Accent1 4 2 5 3 2 3 5" xfId="20779"/>
    <cellStyle name="20% - Accent1 4 2 5 3 2 3 5 2" xfId="57270"/>
    <cellStyle name="20% - Accent1 4 2 5 3 2 3 6" xfId="34394"/>
    <cellStyle name="20% - Accent1 4 2 5 3 2 4" xfId="4230"/>
    <cellStyle name="20% - Accent1 4 2 5 3 2 4 2" xfId="14656"/>
    <cellStyle name="20% - Accent1 4 2 5 3 2 4 2 2" xfId="26457"/>
    <cellStyle name="20% - Accent1 4 2 5 3 2 4 2 2 2" xfId="57271"/>
    <cellStyle name="20% - Accent1 4 2 5 3 2 4 2 3" xfId="40072"/>
    <cellStyle name="20% - Accent1 4 2 5 3 2 4 3" xfId="9683"/>
    <cellStyle name="20% - Accent1 4 2 5 3 2 4 3 2" xfId="46587"/>
    <cellStyle name="20% - Accent1 4 2 5 3 2 4 4" xfId="21484"/>
    <cellStyle name="20% - Accent1 4 2 5 3 2 4 4 2" xfId="57272"/>
    <cellStyle name="20% - Accent1 4 2 5 3 2 4 5" xfId="35099"/>
    <cellStyle name="20% - Accent1 4 2 5 3 2 5" xfId="2389"/>
    <cellStyle name="20% - Accent1 4 2 5 3 2 5 2" xfId="17141"/>
    <cellStyle name="20% - Accent1 4 2 5 3 2 5 2 2" xfId="28942"/>
    <cellStyle name="20% - Accent1 4 2 5 3 2 5 2 2 2" xfId="57273"/>
    <cellStyle name="20% - Accent1 4 2 5 3 2 5 2 3" xfId="42557"/>
    <cellStyle name="20% - Accent1 4 2 5 3 2 5 3" xfId="7842"/>
    <cellStyle name="20% - Accent1 4 2 5 3 2 5 3 2" xfId="57274"/>
    <cellStyle name="20% - Accent1 4 2 5 3 2 5 4" xfId="19643"/>
    <cellStyle name="20% - Accent1 4 2 5 3 2 5 4 2" xfId="57275"/>
    <cellStyle name="20% - Accent1 4 2 5 3 2 5 5" xfId="33258"/>
    <cellStyle name="20% - Accent1 4 2 5 3 2 6" xfId="14657"/>
    <cellStyle name="20% - Accent1 4 2 5 3 2 6 2" xfId="26458"/>
    <cellStyle name="20% - Accent1 4 2 5 3 2 6 2 2" xfId="57276"/>
    <cellStyle name="20% - Accent1 4 2 5 3 2 6 3" xfId="40073"/>
    <cellStyle name="20% - Accent1 4 2 5 3 2 7" xfId="5942"/>
    <cellStyle name="20% - Accent1 4 2 5 3 2 7 2" xfId="57277"/>
    <cellStyle name="20% - Accent1 4 2 5 3 2 8" xfId="17743"/>
    <cellStyle name="20% - Accent1 4 2 5 3 2 8 2" xfId="57278"/>
    <cellStyle name="20% - Accent1 4 2 5 3 2 9" xfId="31358"/>
    <cellStyle name="20% - Accent1 4 2 5 3 3" xfId="791"/>
    <cellStyle name="20% - Accent1 4 2 5 3 3 2" xfId="1576"/>
    <cellStyle name="20% - Accent1 4 2 5 3 3 2 2" xfId="4533"/>
    <cellStyle name="20% - Accent1 4 2 5 3 3 2 2 2" xfId="14658"/>
    <cellStyle name="20% - Accent1 4 2 5 3 3 2 2 2 2" xfId="26459"/>
    <cellStyle name="20% - Accent1 4 2 5 3 3 2 2 2 2 2" xfId="57279"/>
    <cellStyle name="20% - Accent1 4 2 5 3 3 2 2 2 3" xfId="40074"/>
    <cellStyle name="20% - Accent1 4 2 5 3 3 2 2 3" xfId="9986"/>
    <cellStyle name="20% - Accent1 4 2 5 3 3 2 2 3 2" xfId="46588"/>
    <cellStyle name="20% - Accent1 4 2 5 3 3 2 2 4" xfId="21787"/>
    <cellStyle name="20% - Accent1 4 2 5 3 3 2 2 4 2" xfId="57280"/>
    <cellStyle name="20% - Accent1 4 2 5 3 3 2 2 5" xfId="35402"/>
    <cellStyle name="20% - Accent1 4 2 5 3 3 2 3" xfId="14659"/>
    <cellStyle name="20% - Accent1 4 2 5 3 3 2 3 2" xfId="26460"/>
    <cellStyle name="20% - Accent1 4 2 5 3 3 2 3 2 2" xfId="46589"/>
    <cellStyle name="20% - Accent1 4 2 5 3 3 2 3 3" xfId="30253"/>
    <cellStyle name="20% - Accent1 4 2 5 3 3 2 3 3 2" xfId="46590"/>
    <cellStyle name="20% - Accent1 4 2 5 3 3 2 3 4" xfId="30254"/>
    <cellStyle name="20% - Accent1 4 2 5 3 3 2 3 4 2" xfId="57281"/>
    <cellStyle name="20% - Accent1 4 2 5 3 3 2 3 5" xfId="40075"/>
    <cellStyle name="20% - Accent1 4 2 5 3 3 2 4" xfId="14660"/>
    <cellStyle name="20% - Accent1 4 2 5 3 3 2 4 2" xfId="26461"/>
    <cellStyle name="20% - Accent1 4 2 5 3 3 2 4 2 2" xfId="57282"/>
    <cellStyle name="20% - Accent1 4 2 5 3 3 2 4 3" xfId="40076"/>
    <cellStyle name="20% - Accent1 4 2 5 3 3 2 5" xfId="7030"/>
    <cellStyle name="20% - Accent1 4 2 5 3 3 2 5 2" xfId="46591"/>
    <cellStyle name="20% - Accent1 4 2 5 3 3 2 6" xfId="18831"/>
    <cellStyle name="20% - Accent1 4 2 5 3 3 2 6 2" xfId="57283"/>
    <cellStyle name="20% - Accent1 4 2 5 3 3 2 7" xfId="32446"/>
    <cellStyle name="20% - Accent1 4 2 5 3 3 3" xfId="2692"/>
    <cellStyle name="20% - Accent1 4 2 5 3 3 3 2" xfId="14661"/>
    <cellStyle name="20% - Accent1 4 2 5 3 3 3 2 2" xfId="26462"/>
    <cellStyle name="20% - Accent1 4 2 5 3 3 3 2 2 2" xfId="57284"/>
    <cellStyle name="20% - Accent1 4 2 5 3 3 3 2 3" xfId="40077"/>
    <cellStyle name="20% - Accent1 4 2 5 3 3 3 3" xfId="8145"/>
    <cellStyle name="20% - Accent1 4 2 5 3 3 3 3 2" xfId="46592"/>
    <cellStyle name="20% - Accent1 4 2 5 3 3 3 4" xfId="19946"/>
    <cellStyle name="20% - Accent1 4 2 5 3 3 3 4 2" xfId="57285"/>
    <cellStyle name="20% - Accent1 4 2 5 3 3 3 5" xfId="33561"/>
    <cellStyle name="20% - Accent1 4 2 5 3 3 4" xfId="14662"/>
    <cellStyle name="20% - Accent1 4 2 5 3 3 4 2" xfId="26463"/>
    <cellStyle name="20% - Accent1 4 2 5 3 3 4 2 2" xfId="46593"/>
    <cellStyle name="20% - Accent1 4 2 5 3 3 4 3" xfId="30255"/>
    <cellStyle name="20% - Accent1 4 2 5 3 3 4 3 2" xfId="46594"/>
    <cellStyle name="20% - Accent1 4 2 5 3 3 4 4" xfId="30256"/>
    <cellStyle name="20% - Accent1 4 2 5 3 3 4 4 2" xfId="57286"/>
    <cellStyle name="20% - Accent1 4 2 5 3 3 4 5" xfId="40078"/>
    <cellStyle name="20% - Accent1 4 2 5 3 3 5" xfId="14663"/>
    <cellStyle name="20% - Accent1 4 2 5 3 3 5 2" xfId="26464"/>
    <cellStyle name="20% - Accent1 4 2 5 3 3 5 2 2" xfId="57287"/>
    <cellStyle name="20% - Accent1 4 2 5 3 3 5 3" xfId="40079"/>
    <cellStyle name="20% - Accent1 4 2 5 3 3 6" xfId="6245"/>
    <cellStyle name="20% - Accent1 4 2 5 3 3 6 2" xfId="46595"/>
    <cellStyle name="20% - Accent1 4 2 5 3 3 7" xfId="18046"/>
    <cellStyle name="20% - Accent1 4 2 5 3 3 7 2" xfId="57288"/>
    <cellStyle name="20% - Accent1 4 2 5 3 3 8" xfId="31661"/>
    <cellStyle name="20% - Accent1 4 2 5 3 4" xfId="1577"/>
    <cellStyle name="20% - Accent1 4 2 5 3 4 2" xfId="5101"/>
    <cellStyle name="20% - Accent1 4 2 5 3 4 2 2" xfId="14664"/>
    <cellStyle name="20% - Accent1 4 2 5 3 4 2 2 2" xfId="26465"/>
    <cellStyle name="20% - Accent1 4 2 5 3 4 2 2 2 2" xfId="57289"/>
    <cellStyle name="20% - Accent1 4 2 5 3 4 2 2 3" xfId="40080"/>
    <cellStyle name="20% - Accent1 4 2 5 3 4 2 3" xfId="10554"/>
    <cellStyle name="20% - Accent1 4 2 5 3 4 2 3 2" xfId="46596"/>
    <cellStyle name="20% - Accent1 4 2 5 3 4 2 4" xfId="22355"/>
    <cellStyle name="20% - Accent1 4 2 5 3 4 2 4 2" xfId="57290"/>
    <cellStyle name="20% - Accent1 4 2 5 3 4 2 5" xfId="35970"/>
    <cellStyle name="20% - Accent1 4 2 5 3 4 3" xfId="3260"/>
    <cellStyle name="20% - Accent1 4 2 5 3 4 3 2" xfId="14665"/>
    <cellStyle name="20% - Accent1 4 2 5 3 4 3 2 2" xfId="26466"/>
    <cellStyle name="20% - Accent1 4 2 5 3 4 3 2 2 2" xfId="57291"/>
    <cellStyle name="20% - Accent1 4 2 5 3 4 3 2 3" xfId="40081"/>
    <cellStyle name="20% - Accent1 4 2 5 3 4 3 3" xfId="8713"/>
    <cellStyle name="20% - Accent1 4 2 5 3 4 3 3 2" xfId="46597"/>
    <cellStyle name="20% - Accent1 4 2 5 3 4 3 4" xfId="20514"/>
    <cellStyle name="20% - Accent1 4 2 5 3 4 3 4 2" xfId="57292"/>
    <cellStyle name="20% - Accent1 4 2 5 3 4 3 5" xfId="34129"/>
    <cellStyle name="20% - Accent1 4 2 5 3 4 4" xfId="14666"/>
    <cellStyle name="20% - Accent1 4 2 5 3 4 4 2" xfId="26467"/>
    <cellStyle name="20% - Accent1 4 2 5 3 4 4 2 2" xfId="57293"/>
    <cellStyle name="20% - Accent1 4 2 5 3 4 4 3" xfId="40082"/>
    <cellStyle name="20% - Accent1 4 2 5 3 4 5" xfId="7031"/>
    <cellStyle name="20% - Accent1 4 2 5 3 4 5 2" xfId="46598"/>
    <cellStyle name="20% - Accent1 4 2 5 3 4 6" xfId="18832"/>
    <cellStyle name="20% - Accent1 4 2 5 3 4 6 2" xfId="57294"/>
    <cellStyle name="20% - Accent1 4 2 5 3 4 7" xfId="32447"/>
    <cellStyle name="20% - Accent1 4 2 5 3 5" xfId="3965"/>
    <cellStyle name="20% - Accent1 4 2 5 3 5 2" xfId="14667"/>
    <cellStyle name="20% - Accent1 4 2 5 3 5 2 2" xfId="26468"/>
    <cellStyle name="20% - Accent1 4 2 5 3 5 2 2 2" xfId="57295"/>
    <cellStyle name="20% - Accent1 4 2 5 3 5 2 3" xfId="40083"/>
    <cellStyle name="20% - Accent1 4 2 5 3 5 3" xfId="9418"/>
    <cellStyle name="20% - Accent1 4 2 5 3 5 3 2" xfId="46599"/>
    <cellStyle name="20% - Accent1 4 2 5 3 5 4" xfId="21219"/>
    <cellStyle name="20% - Accent1 4 2 5 3 5 4 2" xfId="57296"/>
    <cellStyle name="20% - Accent1 4 2 5 3 5 5" xfId="34834"/>
    <cellStyle name="20% - Accent1 4 2 5 3 6" xfId="2124"/>
    <cellStyle name="20% - Accent1 4 2 5 3 6 2" xfId="14668"/>
    <cellStyle name="20% - Accent1 4 2 5 3 6 2 2" xfId="26469"/>
    <cellStyle name="20% - Accent1 4 2 5 3 6 2 2 2" xfId="57297"/>
    <cellStyle name="20% - Accent1 4 2 5 3 6 2 3" xfId="40084"/>
    <cellStyle name="20% - Accent1 4 2 5 3 6 3" xfId="7577"/>
    <cellStyle name="20% - Accent1 4 2 5 3 6 3 2" xfId="46600"/>
    <cellStyle name="20% - Accent1 4 2 5 3 6 4" xfId="19378"/>
    <cellStyle name="20% - Accent1 4 2 5 3 6 4 2" xfId="57298"/>
    <cellStyle name="20% - Accent1 4 2 5 3 6 5" xfId="32993"/>
    <cellStyle name="20% - Accent1 4 2 5 3 7" xfId="14669"/>
    <cellStyle name="20% - Accent1 4 2 5 3 7 2" xfId="26470"/>
    <cellStyle name="20% - Accent1 4 2 5 3 7 2 2" xfId="57299"/>
    <cellStyle name="20% - Accent1 4 2 5 3 7 3" xfId="40085"/>
    <cellStyle name="20% - Accent1 4 2 5 3 8" xfId="5677"/>
    <cellStyle name="20% - Accent1 4 2 5 3 8 2" xfId="46601"/>
    <cellStyle name="20% - Accent1 4 2 5 3 9" xfId="17478"/>
    <cellStyle name="20% - Accent1 4 2 5 3 9 2" xfId="57300"/>
    <cellStyle name="20% - Accent1 4 2 5 4" xfId="351"/>
    <cellStyle name="20% - Accent1 4 2 5 4 2" xfId="1578"/>
    <cellStyle name="20% - Accent1 4 2 5 4 2 2" xfId="4661"/>
    <cellStyle name="20% - Accent1 4 2 5 4 2 2 2" xfId="14670"/>
    <cellStyle name="20% - Accent1 4 2 5 4 2 2 2 2" xfId="26471"/>
    <cellStyle name="20% - Accent1 4 2 5 4 2 2 2 2 2" xfId="57301"/>
    <cellStyle name="20% - Accent1 4 2 5 4 2 2 2 3" xfId="40086"/>
    <cellStyle name="20% - Accent1 4 2 5 4 2 2 3" xfId="10114"/>
    <cellStyle name="20% - Accent1 4 2 5 4 2 2 3 2" xfId="46602"/>
    <cellStyle name="20% - Accent1 4 2 5 4 2 2 4" xfId="21915"/>
    <cellStyle name="20% - Accent1 4 2 5 4 2 2 4 2" xfId="57302"/>
    <cellStyle name="20% - Accent1 4 2 5 4 2 2 5" xfId="35530"/>
    <cellStyle name="20% - Accent1 4 2 5 4 2 3" xfId="2820"/>
    <cellStyle name="20% - Accent1 4 2 5 4 2 3 2" xfId="14671"/>
    <cellStyle name="20% - Accent1 4 2 5 4 2 3 2 2" xfId="26472"/>
    <cellStyle name="20% - Accent1 4 2 5 4 2 3 2 2 2" xfId="57303"/>
    <cellStyle name="20% - Accent1 4 2 5 4 2 3 2 3" xfId="40087"/>
    <cellStyle name="20% - Accent1 4 2 5 4 2 3 3" xfId="8273"/>
    <cellStyle name="20% - Accent1 4 2 5 4 2 3 3 2" xfId="46603"/>
    <cellStyle name="20% - Accent1 4 2 5 4 2 3 4" xfId="20074"/>
    <cellStyle name="20% - Accent1 4 2 5 4 2 3 4 2" xfId="57304"/>
    <cellStyle name="20% - Accent1 4 2 5 4 2 3 5" xfId="33689"/>
    <cellStyle name="20% - Accent1 4 2 5 4 2 4" xfId="14672"/>
    <cellStyle name="20% - Accent1 4 2 5 4 2 4 2" xfId="26473"/>
    <cellStyle name="20% - Accent1 4 2 5 4 2 4 2 2" xfId="57305"/>
    <cellStyle name="20% - Accent1 4 2 5 4 2 4 3" xfId="40088"/>
    <cellStyle name="20% - Accent1 4 2 5 4 2 5" xfId="7032"/>
    <cellStyle name="20% - Accent1 4 2 5 4 2 5 2" xfId="46604"/>
    <cellStyle name="20% - Accent1 4 2 5 4 2 6" xfId="18833"/>
    <cellStyle name="20% - Accent1 4 2 5 4 2 6 2" xfId="57306"/>
    <cellStyle name="20% - Accent1 4 2 5 4 2 7" xfId="32448"/>
    <cellStyle name="20% - Accent1 4 2 5 4 3" xfId="3388"/>
    <cellStyle name="20% - Accent1 4 2 5 4 3 2" xfId="5229"/>
    <cellStyle name="20% - Accent1 4 2 5 4 3 2 2" xfId="16699"/>
    <cellStyle name="20% - Accent1 4 2 5 4 3 2 2 2" xfId="28500"/>
    <cellStyle name="20% - Accent1 4 2 5 4 3 2 2 2 2" xfId="57307"/>
    <cellStyle name="20% - Accent1 4 2 5 4 3 2 2 3" xfId="42115"/>
    <cellStyle name="20% - Accent1 4 2 5 4 3 2 3" xfId="10682"/>
    <cellStyle name="20% - Accent1 4 2 5 4 3 2 3 2" xfId="57308"/>
    <cellStyle name="20% - Accent1 4 2 5 4 3 2 4" xfId="22483"/>
    <cellStyle name="20% - Accent1 4 2 5 4 3 2 4 2" xfId="57309"/>
    <cellStyle name="20% - Accent1 4 2 5 4 3 2 5" xfId="36098"/>
    <cellStyle name="20% - Accent1 4 2 5 4 3 3" xfId="14673"/>
    <cellStyle name="20% - Accent1 4 2 5 4 3 3 2" xfId="26474"/>
    <cellStyle name="20% - Accent1 4 2 5 4 3 3 2 2" xfId="57310"/>
    <cellStyle name="20% - Accent1 4 2 5 4 3 3 3" xfId="40089"/>
    <cellStyle name="20% - Accent1 4 2 5 4 3 4" xfId="8841"/>
    <cellStyle name="20% - Accent1 4 2 5 4 3 4 2" xfId="57311"/>
    <cellStyle name="20% - Accent1 4 2 5 4 3 5" xfId="20642"/>
    <cellStyle name="20% - Accent1 4 2 5 4 3 5 2" xfId="57312"/>
    <cellStyle name="20% - Accent1 4 2 5 4 3 6" xfId="34257"/>
    <cellStyle name="20% - Accent1 4 2 5 4 4" xfId="4093"/>
    <cellStyle name="20% - Accent1 4 2 5 4 4 2" xfId="14674"/>
    <cellStyle name="20% - Accent1 4 2 5 4 4 2 2" xfId="26475"/>
    <cellStyle name="20% - Accent1 4 2 5 4 4 2 2 2" xfId="57313"/>
    <cellStyle name="20% - Accent1 4 2 5 4 4 2 3" xfId="40090"/>
    <cellStyle name="20% - Accent1 4 2 5 4 4 3" xfId="9546"/>
    <cellStyle name="20% - Accent1 4 2 5 4 4 3 2" xfId="46605"/>
    <cellStyle name="20% - Accent1 4 2 5 4 4 4" xfId="21347"/>
    <cellStyle name="20% - Accent1 4 2 5 4 4 4 2" xfId="57314"/>
    <cellStyle name="20% - Accent1 4 2 5 4 4 5" xfId="34962"/>
    <cellStyle name="20% - Accent1 4 2 5 4 5" xfId="2252"/>
    <cellStyle name="20% - Accent1 4 2 5 4 5 2" xfId="17142"/>
    <cellStyle name="20% - Accent1 4 2 5 4 5 2 2" xfId="28943"/>
    <cellStyle name="20% - Accent1 4 2 5 4 5 2 2 2" xfId="57315"/>
    <cellStyle name="20% - Accent1 4 2 5 4 5 2 3" xfId="42558"/>
    <cellStyle name="20% - Accent1 4 2 5 4 5 3" xfId="7705"/>
    <cellStyle name="20% - Accent1 4 2 5 4 5 3 2" xfId="57316"/>
    <cellStyle name="20% - Accent1 4 2 5 4 5 4" xfId="19506"/>
    <cellStyle name="20% - Accent1 4 2 5 4 5 4 2" xfId="57317"/>
    <cellStyle name="20% - Accent1 4 2 5 4 5 5" xfId="33121"/>
    <cellStyle name="20% - Accent1 4 2 5 4 6" xfId="14675"/>
    <cellStyle name="20% - Accent1 4 2 5 4 6 2" xfId="26476"/>
    <cellStyle name="20% - Accent1 4 2 5 4 6 2 2" xfId="57318"/>
    <cellStyle name="20% - Accent1 4 2 5 4 6 3" xfId="40091"/>
    <cellStyle name="20% - Accent1 4 2 5 4 7" xfId="5805"/>
    <cellStyle name="20% - Accent1 4 2 5 4 7 2" xfId="57319"/>
    <cellStyle name="20% - Accent1 4 2 5 4 8" xfId="17606"/>
    <cellStyle name="20% - Accent1 4 2 5 4 8 2" xfId="57320"/>
    <cellStyle name="20% - Accent1 4 2 5 4 9" xfId="31221"/>
    <cellStyle name="20% - Accent1 4 2 5 5" xfId="629"/>
    <cellStyle name="20% - Accent1 4 2 5 5 2" xfId="1579"/>
    <cellStyle name="20% - Accent1 4 2 5 5 2 2" xfId="4371"/>
    <cellStyle name="20% - Accent1 4 2 5 5 2 2 2" xfId="14676"/>
    <cellStyle name="20% - Accent1 4 2 5 5 2 2 2 2" xfId="26477"/>
    <cellStyle name="20% - Accent1 4 2 5 5 2 2 2 2 2" xfId="57321"/>
    <cellStyle name="20% - Accent1 4 2 5 5 2 2 2 3" xfId="40092"/>
    <cellStyle name="20% - Accent1 4 2 5 5 2 2 3" xfId="9824"/>
    <cellStyle name="20% - Accent1 4 2 5 5 2 2 3 2" xfId="46606"/>
    <cellStyle name="20% - Accent1 4 2 5 5 2 2 4" xfId="21625"/>
    <cellStyle name="20% - Accent1 4 2 5 5 2 2 4 2" xfId="57322"/>
    <cellStyle name="20% - Accent1 4 2 5 5 2 2 5" xfId="35240"/>
    <cellStyle name="20% - Accent1 4 2 5 5 2 3" xfId="14677"/>
    <cellStyle name="20% - Accent1 4 2 5 5 2 3 2" xfId="26478"/>
    <cellStyle name="20% - Accent1 4 2 5 5 2 3 2 2" xfId="46607"/>
    <cellStyle name="20% - Accent1 4 2 5 5 2 3 3" xfId="30257"/>
    <cellStyle name="20% - Accent1 4 2 5 5 2 3 3 2" xfId="46608"/>
    <cellStyle name="20% - Accent1 4 2 5 5 2 3 4" xfId="30258"/>
    <cellStyle name="20% - Accent1 4 2 5 5 2 3 4 2" xfId="57323"/>
    <cellStyle name="20% - Accent1 4 2 5 5 2 3 5" xfId="40093"/>
    <cellStyle name="20% - Accent1 4 2 5 5 2 4" xfId="14678"/>
    <cellStyle name="20% - Accent1 4 2 5 5 2 4 2" xfId="26479"/>
    <cellStyle name="20% - Accent1 4 2 5 5 2 4 2 2" xfId="57324"/>
    <cellStyle name="20% - Accent1 4 2 5 5 2 4 3" xfId="40094"/>
    <cellStyle name="20% - Accent1 4 2 5 5 2 5" xfId="7033"/>
    <cellStyle name="20% - Accent1 4 2 5 5 2 5 2" xfId="46609"/>
    <cellStyle name="20% - Accent1 4 2 5 5 2 6" xfId="18834"/>
    <cellStyle name="20% - Accent1 4 2 5 5 2 6 2" xfId="57325"/>
    <cellStyle name="20% - Accent1 4 2 5 5 2 7" xfId="32449"/>
    <cellStyle name="20% - Accent1 4 2 5 5 3" xfId="2530"/>
    <cellStyle name="20% - Accent1 4 2 5 5 3 2" xfId="14679"/>
    <cellStyle name="20% - Accent1 4 2 5 5 3 2 2" xfId="26480"/>
    <cellStyle name="20% - Accent1 4 2 5 5 3 2 2 2" xfId="57326"/>
    <cellStyle name="20% - Accent1 4 2 5 5 3 2 3" xfId="40095"/>
    <cellStyle name="20% - Accent1 4 2 5 5 3 3" xfId="7983"/>
    <cellStyle name="20% - Accent1 4 2 5 5 3 3 2" xfId="46610"/>
    <cellStyle name="20% - Accent1 4 2 5 5 3 4" xfId="19784"/>
    <cellStyle name="20% - Accent1 4 2 5 5 3 4 2" xfId="57327"/>
    <cellStyle name="20% - Accent1 4 2 5 5 3 5" xfId="33399"/>
    <cellStyle name="20% - Accent1 4 2 5 5 4" xfId="14680"/>
    <cellStyle name="20% - Accent1 4 2 5 5 4 2" xfId="26481"/>
    <cellStyle name="20% - Accent1 4 2 5 5 4 2 2" xfId="46611"/>
    <cellStyle name="20% - Accent1 4 2 5 5 4 3" xfId="30259"/>
    <cellStyle name="20% - Accent1 4 2 5 5 4 3 2" xfId="46612"/>
    <cellStyle name="20% - Accent1 4 2 5 5 4 4" xfId="30260"/>
    <cellStyle name="20% - Accent1 4 2 5 5 4 4 2" xfId="57328"/>
    <cellStyle name="20% - Accent1 4 2 5 5 4 5" xfId="40096"/>
    <cellStyle name="20% - Accent1 4 2 5 5 5" xfId="14681"/>
    <cellStyle name="20% - Accent1 4 2 5 5 5 2" xfId="26482"/>
    <cellStyle name="20% - Accent1 4 2 5 5 5 2 2" xfId="57329"/>
    <cellStyle name="20% - Accent1 4 2 5 5 5 3" xfId="40097"/>
    <cellStyle name="20% - Accent1 4 2 5 5 6" xfId="6083"/>
    <cellStyle name="20% - Accent1 4 2 5 5 6 2" xfId="46613"/>
    <cellStyle name="20% - Accent1 4 2 5 5 7" xfId="17884"/>
    <cellStyle name="20% - Accent1 4 2 5 5 7 2" xfId="57330"/>
    <cellStyle name="20% - Accent1 4 2 5 5 8" xfId="31499"/>
    <cellStyle name="20% - Accent1 4 2 5 6" xfId="870"/>
    <cellStyle name="20% - Accent1 4 2 5 6 2" xfId="1580"/>
    <cellStyle name="20% - Accent1 4 2 5 6 2 2" xfId="4939"/>
    <cellStyle name="20% - Accent1 4 2 5 6 2 2 2" xfId="14682"/>
    <cellStyle name="20% - Accent1 4 2 5 6 2 2 2 2" xfId="26483"/>
    <cellStyle name="20% - Accent1 4 2 5 6 2 2 2 2 2" xfId="57331"/>
    <cellStyle name="20% - Accent1 4 2 5 6 2 2 2 3" xfId="40098"/>
    <cellStyle name="20% - Accent1 4 2 5 6 2 2 3" xfId="10392"/>
    <cellStyle name="20% - Accent1 4 2 5 6 2 2 3 2" xfId="46614"/>
    <cellStyle name="20% - Accent1 4 2 5 6 2 2 4" xfId="22193"/>
    <cellStyle name="20% - Accent1 4 2 5 6 2 2 4 2" xfId="57332"/>
    <cellStyle name="20% - Accent1 4 2 5 6 2 2 5" xfId="35808"/>
    <cellStyle name="20% - Accent1 4 2 5 6 2 3" xfId="14683"/>
    <cellStyle name="20% - Accent1 4 2 5 6 2 3 2" xfId="26484"/>
    <cellStyle name="20% - Accent1 4 2 5 6 2 3 2 2" xfId="46615"/>
    <cellStyle name="20% - Accent1 4 2 5 6 2 3 3" xfId="30261"/>
    <cellStyle name="20% - Accent1 4 2 5 6 2 3 3 2" xfId="46616"/>
    <cellStyle name="20% - Accent1 4 2 5 6 2 3 4" xfId="30262"/>
    <cellStyle name="20% - Accent1 4 2 5 6 2 3 4 2" xfId="57333"/>
    <cellStyle name="20% - Accent1 4 2 5 6 2 3 5" xfId="40099"/>
    <cellStyle name="20% - Accent1 4 2 5 6 2 4" xfId="14684"/>
    <cellStyle name="20% - Accent1 4 2 5 6 2 4 2" xfId="26485"/>
    <cellStyle name="20% - Accent1 4 2 5 6 2 4 2 2" xfId="57334"/>
    <cellStyle name="20% - Accent1 4 2 5 6 2 4 3" xfId="40100"/>
    <cellStyle name="20% - Accent1 4 2 5 6 2 5" xfId="7034"/>
    <cellStyle name="20% - Accent1 4 2 5 6 2 5 2" xfId="46617"/>
    <cellStyle name="20% - Accent1 4 2 5 6 2 6" xfId="18835"/>
    <cellStyle name="20% - Accent1 4 2 5 6 2 6 2" xfId="57335"/>
    <cellStyle name="20% - Accent1 4 2 5 6 2 7" xfId="32450"/>
    <cellStyle name="20% - Accent1 4 2 5 6 3" xfId="3098"/>
    <cellStyle name="20% - Accent1 4 2 5 6 3 2" xfId="14685"/>
    <cellStyle name="20% - Accent1 4 2 5 6 3 2 2" xfId="26486"/>
    <cellStyle name="20% - Accent1 4 2 5 6 3 2 2 2" xfId="57336"/>
    <cellStyle name="20% - Accent1 4 2 5 6 3 2 3" xfId="40101"/>
    <cellStyle name="20% - Accent1 4 2 5 6 3 3" xfId="8551"/>
    <cellStyle name="20% - Accent1 4 2 5 6 3 3 2" xfId="46618"/>
    <cellStyle name="20% - Accent1 4 2 5 6 3 4" xfId="20352"/>
    <cellStyle name="20% - Accent1 4 2 5 6 3 4 2" xfId="57337"/>
    <cellStyle name="20% - Accent1 4 2 5 6 3 5" xfId="33967"/>
    <cellStyle name="20% - Accent1 4 2 5 6 4" xfId="14686"/>
    <cellStyle name="20% - Accent1 4 2 5 6 4 2" xfId="26487"/>
    <cellStyle name="20% - Accent1 4 2 5 6 4 2 2" xfId="46619"/>
    <cellStyle name="20% - Accent1 4 2 5 6 4 3" xfId="30263"/>
    <cellStyle name="20% - Accent1 4 2 5 6 4 3 2" xfId="46620"/>
    <cellStyle name="20% - Accent1 4 2 5 6 4 4" xfId="30264"/>
    <cellStyle name="20% - Accent1 4 2 5 6 4 4 2" xfId="57338"/>
    <cellStyle name="20% - Accent1 4 2 5 6 4 5" xfId="40102"/>
    <cellStyle name="20% - Accent1 4 2 5 6 5" xfId="14687"/>
    <cellStyle name="20% - Accent1 4 2 5 6 5 2" xfId="26488"/>
    <cellStyle name="20% - Accent1 4 2 5 6 5 2 2" xfId="57339"/>
    <cellStyle name="20% - Accent1 4 2 5 6 5 3" xfId="40103"/>
    <cellStyle name="20% - Accent1 4 2 5 6 6" xfId="6324"/>
    <cellStyle name="20% - Accent1 4 2 5 6 6 2" xfId="46621"/>
    <cellStyle name="20% - Accent1 4 2 5 6 7" xfId="18125"/>
    <cellStyle name="20% - Accent1 4 2 5 6 7 2" xfId="57340"/>
    <cellStyle name="20% - Accent1 4 2 5 6 8" xfId="31740"/>
    <cellStyle name="20% - Accent1 4 2 5 7" xfId="1581"/>
    <cellStyle name="20% - Accent1 4 2 5 7 2" xfId="3803"/>
    <cellStyle name="20% - Accent1 4 2 5 7 2 2" xfId="14688"/>
    <cellStyle name="20% - Accent1 4 2 5 7 2 2 2" xfId="26489"/>
    <cellStyle name="20% - Accent1 4 2 5 7 2 2 2 2" xfId="57341"/>
    <cellStyle name="20% - Accent1 4 2 5 7 2 2 3" xfId="40104"/>
    <cellStyle name="20% - Accent1 4 2 5 7 2 3" xfId="9256"/>
    <cellStyle name="20% - Accent1 4 2 5 7 2 3 2" xfId="46622"/>
    <cellStyle name="20% - Accent1 4 2 5 7 2 4" xfId="21057"/>
    <cellStyle name="20% - Accent1 4 2 5 7 2 4 2" xfId="57342"/>
    <cellStyle name="20% - Accent1 4 2 5 7 2 5" xfId="34672"/>
    <cellStyle name="20% - Accent1 4 2 5 7 3" xfId="14689"/>
    <cellStyle name="20% - Accent1 4 2 5 7 3 2" xfId="26490"/>
    <cellStyle name="20% - Accent1 4 2 5 7 3 2 2" xfId="46623"/>
    <cellStyle name="20% - Accent1 4 2 5 7 3 3" xfId="30265"/>
    <cellStyle name="20% - Accent1 4 2 5 7 3 3 2" xfId="46624"/>
    <cellStyle name="20% - Accent1 4 2 5 7 3 4" xfId="30266"/>
    <cellStyle name="20% - Accent1 4 2 5 7 3 4 2" xfId="57343"/>
    <cellStyle name="20% - Accent1 4 2 5 7 3 5" xfId="40105"/>
    <cellStyle name="20% - Accent1 4 2 5 7 4" xfId="14690"/>
    <cellStyle name="20% - Accent1 4 2 5 7 4 2" xfId="26491"/>
    <cellStyle name="20% - Accent1 4 2 5 7 4 2 2" xfId="57344"/>
    <cellStyle name="20% - Accent1 4 2 5 7 4 3" xfId="40106"/>
    <cellStyle name="20% - Accent1 4 2 5 7 5" xfId="7035"/>
    <cellStyle name="20% - Accent1 4 2 5 7 5 2" xfId="46625"/>
    <cellStyle name="20% - Accent1 4 2 5 7 6" xfId="18836"/>
    <cellStyle name="20% - Accent1 4 2 5 7 6 2" xfId="57345"/>
    <cellStyle name="20% - Accent1 4 2 5 7 7" xfId="32451"/>
    <cellStyle name="20% - Accent1 4 2 5 8" xfId="3666"/>
    <cellStyle name="20% - Accent1 4 2 5 8 2" xfId="14691"/>
    <cellStyle name="20% - Accent1 4 2 5 8 2 2" xfId="26492"/>
    <cellStyle name="20% - Accent1 4 2 5 8 2 2 2" xfId="57346"/>
    <cellStyle name="20% - Accent1 4 2 5 8 2 3" xfId="40107"/>
    <cellStyle name="20% - Accent1 4 2 5 8 3" xfId="9119"/>
    <cellStyle name="20% - Accent1 4 2 5 8 3 2" xfId="46626"/>
    <cellStyle name="20% - Accent1 4 2 5 8 4" xfId="20920"/>
    <cellStyle name="20% - Accent1 4 2 5 8 4 2" xfId="57347"/>
    <cellStyle name="20% - Accent1 4 2 5 8 5" xfId="34535"/>
    <cellStyle name="20% - Accent1 4 2 5 9" xfId="1962"/>
    <cellStyle name="20% - Accent1 4 2 5 9 2" xfId="14692"/>
    <cellStyle name="20% - Accent1 4 2 5 9 2 2" xfId="26493"/>
    <cellStyle name="20% - Accent1 4 2 5 9 2 2 2" xfId="57348"/>
    <cellStyle name="20% - Accent1 4 2 5 9 2 3" xfId="40108"/>
    <cellStyle name="20% - Accent1 4 2 5 9 3" xfId="7415"/>
    <cellStyle name="20% - Accent1 4 2 5 9 3 2" xfId="46627"/>
    <cellStyle name="20% - Accent1 4 2 5 9 4" xfId="19216"/>
    <cellStyle name="20% - Accent1 4 2 5 9 4 2" xfId="57349"/>
    <cellStyle name="20% - Accent1 4 2 5 9 5" xfId="32831"/>
    <cellStyle name="20% - Accent1 4 2 6" xfId="76"/>
    <cellStyle name="20% - Accent1 4 2 6 10" xfId="5530"/>
    <cellStyle name="20% - Accent1 4 2 6 10 2" xfId="46628"/>
    <cellStyle name="20% - Accent1 4 2 6 11" xfId="17331"/>
    <cellStyle name="20% - Accent1 4 2 6 11 2" xfId="57350"/>
    <cellStyle name="20% - Accent1 4 2 6 12" xfId="30946"/>
    <cellStyle name="20% - Accent1 4 2 6 2" xfId="503"/>
    <cellStyle name="20% - Accent1 4 2 6 2 2" xfId="1582"/>
    <cellStyle name="20% - Accent1 4 2 6 2 2 2" xfId="4813"/>
    <cellStyle name="20% - Accent1 4 2 6 2 2 2 2" xfId="14693"/>
    <cellStyle name="20% - Accent1 4 2 6 2 2 2 2 2" xfId="26494"/>
    <cellStyle name="20% - Accent1 4 2 6 2 2 2 2 2 2" xfId="57351"/>
    <cellStyle name="20% - Accent1 4 2 6 2 2 2 2 3" xfId="40109"/>
    <cellStyle name="20% - Accent1 4 2 6 2 2 2 3" xfId="10266"/>
    <cellStyle name="20% - Accent1 4 2 6 2 2 2 3 2" xfId="46629"/>
    <cellStyle name="20% - Accent1 4 2 6 2 2 2 4" xfId="22067"/>
    <cellStyle name="20% - Accent1 4 2 6 2 2 2 4 2" xfId="57352"/>
    <cellStyle name="20% - Accent1 4 2 6 2 2 2 5" xfId="35682"/>
    <cellStyle name="20% - Accent1 4 2 6 2 2 3" xfId="2972"/>
    <cellStyle name="20% - Accent1 4 2 6 2 2 3 2" xfId="14694"/>
    <cellStyle name="20% - Accent1 4 2 6 2 2 3 2 2" xfId="26495"/>
    <cellStyle name="20% - Accent1 4 2 6 2 2 3 2 2 2" xfId="57353"/>
    <cellStyle name="20% - Accent1 4 2 6 2 2 3 2 3" xfId="40110"/>
    <cellStyle name="20% - Accent1 4 2 6 2 2 3 3" xfId="8425"/>
    <cellStyle name="20% - Accent1 4 2 6 2 2 3 3 2" xfId="46630"/>
    <cellStyle name="20% - Accent1 4 2 6 2 2 3 4" xfId="20226"/>
    <cellStyle name="20% - Accent1 4 2 6 2 2 3 4 2" xfId="57354"/>
    <cellStyle name="20% - Accent1 4 2 6 2 2 3 5" xfId="33841"/>
    <cellStyle name="20% - Accent1 4 2 6 2 2 4" xfId="14695"/>
    <cellStyle name="20% - Accent1 4 2 6 2 2 4 2" xfId="26496"/>
    <cellStyle name="20% - Accent1 4 2 6 2 2 4 2 2" xfId="57355"/>
    <cellStyle name="20% - Accent1 4 2 6 2 2 4 3" xfId="40111"/>
    <cellStyle name="20% - Accent1 4 2 6 2 2 5" xfId="7036"/>
    <cellStyle name="20% - Accent1 4 2 6 2 2 5 2" xfId="46631"/>
    <cellStyle name="20% - Accent1 4 2 6 2 2 6" xfId="18837"/>
    <cellStyle name="20% - Accent1 4 2 6 2 2 6 2" xfId="57356"/>
    <cellStyle name="20% - Accent1 4 2 6 2 2 7" xfId="32452"/>
    <cellStyle name="20% - Accent1 4 2 6 2 3" xfId="3540"/>
    <cellStyle name="20% - Accent1 4 2 6 2 3 2" xfId="5381"/>
    <cellStyle name="20% - Accent1 4 2 6 2 3 2 2" xfId="16851"/>
    <cellStyle name="20% - Accent1 4 2 6 2 3 2 2 2" xfId="28652"/>
    <cellStyle name="20% - Accent1 4 2 6 2 3 2 2 2 2" xfId="57357"/>
    <cellStyle name="20% - Accent1 4 2 6 2 3 2 2 3" xfId="42267"/>
    <cellStyle name="20% - Accent1 4 2 6 2 3 2 3" xfId="10834"/>
    <cellStyle name="20% - Accent1 4 2 6 2 3 2 3 2" xfId="57358"/>
    <cellStyle name="20% - Accent1 4 2 6 2 3 2 4" xfId="22635"/>
    <cellStyle name="20% - Accent1 4 2 6 2 3 2 4 2" xfId="57359"/>
    <cellStyle name="20% - Accent1 4 2 6 2 3 2 5" xfId="36250"/>
    <cellStyle name="20% - Accent1 4 2 6 2 3 3" xfId="14696"/>
    <cellStyle name="20% - Accent1 4 2 6 2 3 3 2" xfId="26497"/>
    <cellStyle name="20% - Accent1 4 2 6 2 3 3 2 2" xfId="57360"/>
    <cellStyle name="20% - Accent1 4 2 6 2 3 3 3" xfId="40112"/>
    <cellStyle name="20% - Accent1 4 2 6 2 3 4" xfId="8993"/>
    <cellStyle name="20% - Accent1 4 2 6 2 3 4 2" xfId="57361"/>
    <cellStyle name="20% - Accent1 4 2 6 2 3 5" xfId="20794"/>
    <cellStyle name="20% - Accent1 4 2 6 2 3 5 2" xfId="57362"/>
    <cellStyle name="20% - Accent1 4 2 6 2 3 6" xfId="34409"/>
    <cellStyle name="20% - Accent1 4 2 6 2 4" xfId="4245"/>
    <cellStyle name="20% - Accent1 4 2 6 2 4 2" xfId="14697"/>
    <cellStyle name="20% - Accent1 4 2 6 2 4 2 2" xfId="26498"/>
    <cellStyle name="20% - Accent1 4 2 6 2 4 2 2 2" xfId="57363"/>
    <cellStyle name="20% - Accent1 4 2 6 2 4 2 3" xfId="40113"/>
    <cellStyle name="20% - Accent1 4 2 6 2 4 3" xfId="9698"/>
    <cellStyle name="20% - Accent1 4 2 6 2 4 3 2" xfId="46632"/>
    <cellStyle name="20% - Accent1 4 2 6 2 4 4" xfId="21499"/>
    <cellStyle name="20% - Accent1 4 2 6 2 4 4 2" xfId="57364"/>
    <cellStyle name="20% - Accent1 4 2 6 2 4 5" xfId="35114"/>
    <cellStyle name="20% - Accent1 4 2 6 2 5" xfId="2404"/>
    <cellStyle name="20% - Accent1 4 2 6 2 5 2" xfId="17143"/>
    <cellStyle name="20% - Accent1 4 2 6 2 5 2 2" xfId="28944"/>
    <cellStyle name="20% - Accent1 4 2 6 2 5 2 2 2" xfId="57365"/>
    <cellStyle name="20% - Accent1 4 2 6 2 5 2 3" xfId="42559"/>
    <cellStyle name="20% - Accent1 4 2 6 2 5 3" xfId="7857"/>
    <cellStyle name="20% - Accent1 4 2 6 2 5 3 2" xfId="57366"/>
    <cellStyle name="20% - Accent1 4 2 6 2 5 4" xfId="19658"/>
    <cellStyle name="20% - Accent1 4 2 6 2 5 4 2" xfId="57367"/>
    <cellStyle name="20% - Accent1 4 2 6 2 5 5" xfId="33273"/>
    <cellStyle name="20% - Accent1 4 2 6 2 6" xfId="14698"/>
    <cellStyle name="20% - Accent1 4 2 6 2 6 2" xfId="26499"/>
    <cellStyle name="20% - Accent1 4 2 6 2 6 2 2" xfId="57368"/>
    <cellStyle name="20% - Accent1 4 2 6 2 6 3" xfId="40114"/>
    <cellStyle name="20% - Accent1 4 2 6 2 7" xfId="5957"/>
    <cellStyle name="20% - Accent1 4 2 6 2 7 2" xfId="57369"/>
    <cellStyle name="20% - Accent1 4 2 6 2 8" xfId="17758"/>
    <cellStyle name="20% - Accent1 4 2 6 2 8 2" xfId="57370"/>
    <cellStyle name="20% - Accent1 4 2 6 2 9" xfId="31373"/>
    <cellStyle name="20% - Accent1 4 2 6 3" xfId="366"/>
    <cellStyle name="20% - Accent1 4 2 6 3 2" xfId="1583"/>
    <cellStyle name="20% - Accent1 4 2 6 3 2 2" xfId="4676"/>
    <cellStyle name="20% - Accent1 4 2 6 3 2 2 2" xfId="14699"/>
    <cellStyle name="20% - Accent1 4 2 6 3 2 2 2 2" xfId="26500"/>
    <cellStyle name="20% - Accent1 4 2 6 3 2 2 2 2 2" xfId="57371"/>
    <cellStyle name="20% - Accent1 4 2 6 3 2 2 2 3" xfId="40115"/>
    <cellStyle name="20% - Accent1 4 2 6 3 2 2 3" xfId="10129"/>
    <cellStyle name="20% - Accent1 4 2 6 3 2 2 3 2" xfId="46633"/>
    <cellStyle name="20% - Accent1 4 2 6 3 2 2 4" xfId="21930"/>
    <cellStyle name="20% - Accent1 4 2 6 3 2 2 4 2" xfId="57372"/>
    <cellStyle name="20% - Accent1 4 2 6 3 2 2 5" xfId="35545"/>
    <cellStyle name="20% - Accent1 4 2 6 3 2 3" xfId="2835"/>
    <cellStyle name="20% - Accent1 4 2 6 3 2 3 2" xfId="14700"/>
    <cellStyle name="20% - Accent1 4 2 6 3 2 3 2 2" xfId="26501"/>
    <cellStyle name="20% - Accent1 4 2 6 3 2 3 2 2 2" xfId="57373"/>
    <cellStyle name="20% - Accent1 4 2 6 3 2 3 2 3" xfId="40116"/>
    <cellStyle name="20% - Accent1 4 2 6 3 2 3 3" xfId="8288"/>
    <cellStyle name="20% - Accent1 4 2 6 3 2 3 3 2" xfId="46634"/>
    <cellStyle name="20% - Accent1 4 2 6 3 2 3 4" xfId="20089"/>
    <cellStyle name="20% - Accent1 4 2 6 3 2 3 4 2" xfId="57374"/>
    <cellStyle name="20% - Accent1 4 2 6 3 2 3 5" xfId="33704"/>
    <cellStyle name="20% - Accent1 4 2 6 3 2 4" xfId="14701"/>
    <cellStyle name="20% - Accent1 4 2 6 3 2 4 2" xfId="26502"/>
    <cellStyle name="20% - Accent1 4 2 6 3 2 4 2 2" xfId="57375"/>
    <cellStyle name="20% - Accent1 4 2 6 3 2 4 3" xfId="40117"/>
    <cellStyle name="20% - Accent1 4 2 6 3 2 5" xfId="7037"/>
    <cellStyle name="20% - Accent1 4 2 6 3 2 5 2" xfId="46635"/>
    <cellStyle name="20% - Accent1 4 2 6 3 2 6" xfId="18838"/>
    <cellStyle name="20% - Accent1 4 2 6 3 2 6 2" xfId="57376"/>
    <cellStyle name="20% - Accent1 4 2 6 3 2 7" xfId="32453"/>
    <cellStyle name="20% - Accent1 4 2 6 3 3" xfId="3403"/>
    <cellStyle name="20% - Accent1 4 2 6 3 3 2" xfId="5244"/>
    <cellStyle name="20% - Accent1 4 2 6 3 3 2 2" xfId="16714"/>
    <cellStyle name="20% - Accent1 4 2 6 3 3 2 2 2" xfId="28515"/>
    <cellStyle name="20% - Accent1 4 2 6 3 3 2 2 2 2" xfId="57377"/>
    <cellStyle name="20% - Accent1 4 2 6 3 3 2 2 3" xfId="42130"/>
    <cellStyle name="20% - Accent1 4 2 6 3 3 2 3" xfId="10697"/>
    <cellStyle name="20% - Accent1 4 2 6 3 3 2 3 2" xfId="57378"/>
    <cellStyle name="20% - Accent1 4 2 6 3 3 2 4" xfId="22498"/>
    <cellStyle name="20% - Accent1 4 2 6 3 3 2 4 2" xfId="57379"/>
    <cellStyle name="20% - Accent1 4 2 6 3 3 2 5" xfId="36113"/>
    <cellStyle name="20% - Accent1 4 2 6 3 3 3" xfId="14702"/>
    <cellStyle name="20% - Accent1 4 2 6 3 3 3 2" xfId="26503"/>
    <cellStyle name="20% - Accent1 4 2 6 3 3 3 2 2" xfId="57380"/>
    <cellStyle name="20% - Accent1 4 2 6 3 3 3 3" xfId="40118"/>
    <cellStyle name="20% - Accent1 4 2 6 3 3 4" xfId="8856"/>
    <cellStyle name="20% - Accent1 4 2 6 3 3 4 2" xfId="57381"/>
    <cellStyle name="20% - Accent1 4 2 6 3 3 5" xfId="20657"/>
    <cellStyle name="20% - Accent1 4 2 6 3 3 5 2" xfId="57382"/>
    <cellStyle name="20% - Accent1 4 2 6 3 3 6" xfId="34272"/>
    <cellStyle name="20% - Accent1 4 2 6 3 4" xfId="4108"/>
    <cellStyle name="20% - Accent1 4 2 6 3 4 2" xfId="14703"/>
    <cellStyle name="20% - Accent1 4 2 6 3 4 2 2" xfId="26504"/>
    <cellStyle name="20% - Accent1 4 2 6 3 4 2 2 2" xfId="57383"/>
    <cellStyle name="20% - Accent1 4 2 6 3 4 2 3" xfId="40119"/>
    <cellStyle name="20% - Accent1 4 2 6 3 4 3" xfId="9561"/>
    <cellStyle name="20% - Accent1 4 2 6 3 4 3 2" xfId="46636"/>
    <cellStyle name="20% - Accent1 4 2 6 3 4 4" xfId="21362"/>
    <cellStyle name="20% - Accent1 4 2 6 3 4 4 2" xfId="57384"/>
    <cellStyle name="20% - Accent1 4 2 6 3 4 5" xfId="34977"/>
    <cellStyle name="20% - Accent1 4 2 6 3 5" xfId="2267"/>
    <cellStyle name="20% - Accent1 4 2 6 3 5 2" xfId="17144"/>
    <cellStyle name="20% - Accent1 4 2 6 3 5 2 2" xfId="28945"/>
    <cellStyle name="20% - Accent1 4 2 6 3 5 2 2 2" xfId="57385"/>
    <cellStyle name="20% - Accent1 4 2 6 3 5 2 3" xfId="42560"/>
    <cellStyle name="20% - Accent1 4 2 6 3 5 3" xfId="7720"/>
    <cellStyle name="20% - Accent1 4 2 6 3 5 3 2" xfId="57386"/>
    <cellStyle name="20% - Accent1 4 2 6 3 5 4" xfId="19521"/>
    <cellStyle name="20% - Accent1 4 2 6 3 5 4 2" xfId="57387"/>
    <cellStyle name="20% - Accent1 4 2 6 3 5 5" xfId="33136"/>
    <cellStyle name="20% - Accent1 4 2 6 3 6" xfId="14704"/>
    <cellStyle name="20% - Accent1 4 2 6 3 6 2" xfId="26505"/>
    <cellStyle name="20% - Accent1 4 2 6 3 6 2 2" xfId="57388"/>
    <cellStyle name="20% - Accent1 4 2 6 3 6 3" xfId="40120"/>
    <cellStyle name="20% - Accent1 4 2 6 3 7" xfId="5820"/>
    <cellStyle name="20% - Accent1 4 2 6 3 7 2" xfId="57389"/>
    <cellStyle name="20% - Accent1 4 2 6 3 8" xfId="17621"/>
    <cellStyle name="20% - Accent1 4 2 6 3 8 2" xfId="57390"/>
    <cellStyle name="20% - Accent1 4 2 6 3 9" xfId="31236"/>
    <cellStyle name="20% - Accent1 4 2 6 4" xfId="644"/>
    <cellStyle name="20% - Accent1 4 2 6 4 2" xfId="1584"/>
    <cellStyle name="20% - Accent1 4 2 6 4 2 2" xfId="4386"/>
    <cellStyle name="20% - Accent1 4 2 6 4 2 2 2" xfId="14705"/>
    <cellStyle name="20% - Accent1 4 2 6 4 2 2 2 2" xfId="26506"/>
    <cellStyle name="20% - Accent1 4 2 6 4 2 2 2 2 2" xfId="57391"/>
    <cellStyle name="20% - Accent1 4 2 6 4 2 2 2 3" xfId="40121"/>
    <cellStyle name="20% - Accent1 4 2 6 4 2 2 3" xfId="9839"/>
    <cellStyle name="20% - Accent1 4 2 6 4 2 2 3 2" xfId="46637"/>
    <cellStyle name="20% - Accent1 4 2 6 4 2 2 4" xfId="21640"/>
    <cellStyle name="20% - Accent1 4 2 6 4 2 2 4 2" xfId="57392"/>
    <cellStyle name="20% - Accent1 4 2 6 4 2 2 5" xfId="35255"/>
    <cellStyle name="20% - Accent1 4 2 6 4 2 3" xfId="14706"/>
    <cellStyle name="20% - Accent1 4 2 6 4 2 3 2" xfId="26507"/>
    <cellStyle name="20% - Accent1 4 2 6 4 2 3 2 2" xfId="46638"/>
    <cellStyle name="20% - Accent1 4 2 6 4 2 3 3" xfId="30267"/>
    <cellStyle name="20% - Accent1 4 2 6 4 2 3 3 2" xfId="46639"/>
    <cellStyle name="20% - Accent1 4 2 6 4 2 3 4" xfId="30268"/>
    <cellStyle name="20% - Accent1 4 2 6 4 2 3 4 2" xfId="57393"/>
    <cellStyle name="20% - Accent1 4 2 6 4 2 3 5" xfId="40122"/>
    <cellStyle name="20% - Accent1 4 2 6 4 2 4" xfId="14707"/>
    <cellStyle name="20% - Accent1 4 2 6 4 2 4 2" xfId="26508"/>
    <cellStyle name="20% - Accent1 4 2 6 4 2 4 2 2" xfId="57394"/>
    <cellStyle name="20% - Accent1 4 2 6 4 2 4 3" xfId="40123"/>
    <cellStyle name="20% - Accent1 4 2 6 4 2 5" xfId="7038"/>
    <cellStyle name="20% - Accent1 4 2 6 4 2 5 2" xfId="46640"/>
    <cellStyle name="20% - Accent1 4 2 6 4 2 6" xfId="18839"/>
    <cellStyle name="20% - Accent1 4 2 6 4 2 6 2" xfId="57395"/>
    <cellStyle name="20% - Accent1 4 2 6 4 2 7" xfId="32454"/>
    <cellStyle name="20% - Accent1 4 2 6 4 3" xfId="2545"/>
    <cellStyle name="20% - Accent1 4 2 6 4 3 2" xfId="14708"/>
    <cellStyle name="20% - Accent1 4 2 6 4 3 2 2" xfId="26509"/>
    <cellStyle name="20% - Accent1 4 2 6 4 3 2 2 2" xfId="57396"/>
    <cellStyle name="20% - Accent1 4 2 6 4 3 2 3" xfId="40124"/>
    <cellStyle name="20% - Accent1 4 2 6 4 3 3" xfId="7998"/>
    <cellStyle name="20% - Accent1 4 2 6 4 3 3 2" xfId="46641"/>
    <cellStyle name="20% - Accent1 4 2 6 4 3 4" xfId="19799"/>
    <cellStyle name="20% - Accent1 4 2 6 4 3 4 2" xfId="57397"/>
    <cellStyle name="20% - Accent1 4 2 6 4 3 5" xfId="33414"/>
    <cellStyle name="20% - Accent1 4 2 6 4 4" xfId="14709"/>
    <cellStyle name="20% - Accent1 4 2 6 4 4 2" xfId="26510"/>
    <cellStyle name="20% - Accent1 4 2 6 4 4 2 2" xfId="46642"/>
    <cellStyle name="20% - Accent1 4 2 6 4 4 3" xfId="30269"/>
    <cellStyle name="20% - Accent1 4 2 6 4 4 3 2" xfId="46643"/>
    <cellStyle name="20% - Accent1 4 2 6 4 4 4" xfId="30270"/>
    <cellStyle name="20% - Accent1 4 2 6 4 4 4 2" xfId="57398"/>
    <cellStyle name="20% - Accent1 4 2 6 4 4 5" xfId="40125"/>
    <cellStyle name="20% - Accent1 4 2 6 4 5" xfId="14710"/>
    <cellStyle name="20% - Accent1 4 2 6 4 5 2" xfId="26511"/>
    <cellStyle name="20% - Accent1 4 2 6 4 5 2 2" xfId="57399"/>
    <cellStyle name="20% - Accent1 4 2 6 4 5 3" xfId="40126"/>
    <cellStyle name="20% - Accent1 4 2 6 4 6" xfId="6098"/>
    <cellStyle name="20% - Accent1 4 2 6 4 6 2" xfId="46644"/>
    <cellStyle name="20% - Accent1 4 2 6 4 7" xfId="17899"/>
    <cellStyle name="20% - Accent1 4 2 6 4 7 2" xfId="57400"/>
    <cellStyle name="20% - Accent1 4 2 6 4 8" xfId="31514"/>
    <cellStyle name="20% - Accent1 4 2 6 5" xfId="885"/>
    <cellStyle name="20% - Accent1 4 2 6 5 2" xfId="1585"/>
    <cellStyle name="20% - Accent1 4 2 6 5 2 2" xfId="4954"/>
    <cellStyle name="20% - Accent1 4 2 6 5 2 2 2" xfId="14711"/>
    <cellStyle name="20% - Accent1 4 2 6 5 2 2 2 2" xfId="26512"/>
    <cellStyle name="20% - Accent1 4 2 6 5 2 2 2 2 2" xfId="57401"/>
    <cellStyle name="20% - Accent1 4 2 6 5 2 2 2 3" xfId="40127"/>
    <cellStyle name="20% - Accent1 4 2 6 5 2 2 3" xfId="10407"/>
    <cellStyle name="20% - Accent1 4 2 6 5 2 2 3 2" xfId="46645"/>
    <cellStyle name="20% - Accent1 4 2 6 5 2 2 4" xfId="22208"/>
    <cellStyle name="20% - Accent1 4 2 6 5 2 2 4 2" xfId="57402"/>
    <cellStyle name="20% - Accent1 4 2 6 5 2 2 5" xfId="35823"/>
    <cellStyle name="20% - Accent1 4 2 6 5 2 3" xfId="14712"/>
    <cellStyle name="20% - Accent1 4 2 6 5 2 3 2" xfId="26513"/>
    <cellStyle name="20% - Accent1 4 2 6 5 2 3 2 2" xfId="46646"/>
    <cellStyle name="20% - Accent1 4 2 6 5 2 3 3" xfId="30271"/>
    <cellStyle name="20% - Accent1 4 2 6 5 2 3 3 2" xfId="46647"/>
    <cellStyle name="20% - Accent1 4 2 6 5 2 3 4" xfId="30272"/>
    <cellStyle name="20% - Accent1 4 2 6 5 2 3 4 2" xfId="57403"/>
    <cellStyle name="20% - Accent1 4 2 6 5 2 3 5" xfId="40128"/>
    <cellStyle name="20% - Accent1 4 2 6 5 2 4" xfId="14713"/>
    <cellStyle name="20% - Accent1 4 2 6 5 2 4 2" xfId="26514"/>
    <cellStyle name="20% - Accent1 4 2 6 5 2 4 2 2" xfId="57404"/>
    <cellStyle name="20% - Accent1 4 2 6 5 2 4 3" xfId="40129"/>
    <cellStyle name="20% - Accent1 4 2 6 5 2 5" xfId="7039"/>
    <cellStyle name="20% - Accent1 4 2 6 5 2 5 2" xfId="46648"/>
    <cellStyle name="20% - Accent1 4 2 6 5 2 6" xfId="18840"/>
    <cellStyle name="20% - Accent1 4 2 6 5 2 6 2" xfId="57405"/>
    <cellStyle name="20% - Accent1 4 2 6 5 2 7" xfId="32455"/>
    <cellStyle name="20% - Accent1 4 2 6 5 3" xfId="3113"/>
    <cellStyle name="20% - Accent1 4 2 6 5 3 2" xfId="14714"/>
    <cellStyle name="20% - Accent1 4 2 6 5 3 2 2" xfId="26515"/>
    <cellStyle name="20% - Accent1 4 2 6 5 3 2 2 2" xfId="57406"/>
    <cellStyle name="20% - Accent1 4 2 6 5 3 2 3" xfId="40130"/>
    <cellStyle name="20% - Accent1 4 2 6 5 3 3" xfId="8566"/>
    <cellStyle name="20% - Accent1 4 2 6 5 3 3 2" xfId="46649"/>
    <cellStyle name="20% - Accent1 4 2 6 5 3 4" xfId="20367"/>
    <cellStyle name="20% - Accent1 4 2 6 5 3 4 2" xfId="57407"/>
    <cellStyle name="20% - Accent1 4 2 6 5 3 5" xfId="33982"/>
    <cellStyle name="20% - Accent1 4 2 6 5 4" xfId="14715"/>
    <cellStyle name="20% - Accent1 4 2 6 5 4 2" xfId="26516"/>
    <cellStyle name="20% - Accent1 4 2 6 5 4 2 2" xfId="46650"/>
    <cellStyle name="20% - Accent1 4 2 6 5 4 3" xfId="30273"/>
    <cellStyle name="20% - Accent1 4 2 6 5 4 3 2" xfId="46651"/>
    <cellStyle name="20% - Accent1 4 2 6 5 4 4" xfId="30274"/>
    <cellStyle name="20% - Accent1 4 2 6 5 4 4 2" xfId="57408"/>
    <cellStyle name="20% - Accent1 4 2 6 5 4 5" xfId="40131"/>
    <cellStyle name="20% - Accent1 4 2 6 5 5" xfId="14716"/>
    <cellStyle name="20% - Accent1 4 2 6 5 5 2" xfId="26517"/>
    <cellStyle name="20% - Accent1 4 2 6 5 5 2 2" xfId="57409"/>
    <cellStyle name="20% - Accent1 4 2 6 5 5 3" xfId="40132"/>
    <cellStyle name="20% - Accent1 4 2 6 5 6" xfId="6339"/>
    <cellStyle name="20% - Accent1 4 2 6 5 6 2" xfId="46652"/>
    <cellStyle name="20% - Accent1 4 2 6 5 7" xfId="18140"/>
    <cellStyle name="20% - Accent1 4 2 6 5 7 2" xfId="57410"/>
    <cellStyle name="20% - Accent1 4 2 6 5 8" xfId="31755"/>
    <cellStyle name="20% - Accent1 4 2 6 6" xfId="1586"/>
    <cellStyle name="20% - Accent1 4 2 6 6 2" xfId="3818"/>
    <cellStyle name="20% - Accent1 4 2 6 6 2 2" xfId="14717"/>
    <cellStyle name="20% - Accent1 4 2 6 6 2 2 2" xfId="26518"/>
    <cellStyle name="20% - Accent1 4 2 6 6 2 2 2 2" xfId="57411"/>
    <cellStyle name="20% - Accent1 4 2 6 6 2 2 3" xfId="40133"/>
    <cellStyle name="20% - Accent1 4 2 6 6 2 3" xfId="9271"/>
    <cellStyle name="20% - Accent1 4 2 6 6 2 3 2" xfId="46653"/>
    <cellStyle name="20% - Accent1 4 2 6 6 2 4" xfId="21072"/>
    <cellStyle name="20% - Accent1 4 2 6 6 2 4 2" xfId="57412"/>
    <cellStyle name="20% - Accent1 4 2 6 6 2 5" xfId="34687"/>
    <cellStyle name="20% - Accent1 4 2 6 6 3" xfId="14718"/>
    <cellStyle name="20% - Accent1 4 2 6 6 3 2" xfId="26519"/>
    <cellStyle name="20% - Accent1 4 2 6 6 3 2 2" xfId="46654"/>
    <cellStyle name="20% - Accent1 4 2 6 6 3 3" xfId="30275"/>
    <cellStyle name="20% - Accent1 4 2 6 6 3 3 2" xfId="46655"/>
    <cellStyle name="20% - Accent1 4 2 6 6 3 4" xfId="30276"/>
    <cellStyle name="20% - Accent1 4 2 6 6 3 4 2" xfId="57413"/>
    <cellStyle name="20% - Accent1 4 2 6 6 3 5" xfId="40134"/>
    <cellStyle name="20% - Accent1 4 2 6 6 4" xfId="14719"/>
    <cellStyle name="20% - Accent1 4 2 6 6 4 2" xfId="26520"/>
    <cellStyle name="20% - Accent1 4 2 6 6 4 2 2" xfId="57414"/>
    <cellStyle name="20% - Accent1 4 2 6 6 4 3" xfId="40135"/>
    <cellStyle name="20% - Accent1 4 2 6 6 5" xfId="7040"/>
    <cellStyle name="20% - Accent1 4 2 6 6 5 2" xfId="46656"/>
    <cellStyle name="20% - Accent1 4 2 6 6 6" xfId="18841"/>
    <cellStyle name="20% - Accent1 4 2 6 6 6 2" xfId="57415"/>
    <cellStyle name="20% - Accent1 4 2 6 6 7" xfId="32456"/>
    <cellStyle name="20% - Accent1 4 2 6 7" xfId="3681"/>
    <cellStyle name="20% - Accent1 4 2 6 7 2" xfId="14720"/>
    <cellStyle name="20% - Accent1 4 2 6 7 2 2" xfId="26521"/>
    <cellStyle name="20% - Accent1 4 2 6 7 2 2 2" xfId="57416"/>
    <cellStyle name="20% - Accent1 4 2 6 7 2 3" xfId="40136"/>
    <cellStyle name="20% - Accent1 4 2 6 7 3" xfId="9134"/>
    <cellStyle name="20% - Accent1 4 2 6 7 3 2" xfId="46657"/>
    <cellStyle name="20% - Accent1 4 2 6 7 4" xfId="20935"/>
    <cellStyle name="20% - Accent1 4 2 6 7 4 2" xfId="57417"/>
    <cellStyle name="20% - Accent1 4 2 6 7 5" xfId="34550"/>
    <cellStyle name="20% - Accent1 4 2 6 8" xfId="1977"/>
    <cellStyle name="20% - Accent1 4 2 6 8 2" xfId="14721"/>
    <cellStyle name="20% - Accent1 4 2 6 8 2 2" xfId="26522"/>
    <cellStyle name="20% - Accent1 4 2 6 8 2 2 2" xfId="57418"/>
    <cellStyle name="20% - Accent1 4 2 6 8 2 3" xfId="40137"/>
    <cellStyle name="20% - Accent1 4 2 6 8 3" xfId="7430"/>
    <cellStyle name="20% - Accent1 4 2 6 8 3 2" xfId="46658"/>
    <cellStyle name="20% - Accent1 4 2 6 8 4" xfId="19231"/>
    <cellStyle name="20% - Accent1 4 2 6 8 4 2" xfId="57419"/>
    <cellStyle name="20% - Accent1 4 2 6 8 5" xfId="32846"/>
    <cellStyle name="20% - Accent1 4 2 6 9" xfId="14722"/>
    <cellStyle name="20% - Accent1 4 2 6 9 2" xfId="26523"/>
    <cellStyle name="20% - Accent1 4 2 6 9 2 2" xfId="57420"/>
    <cellStyle name="20% - Accent1 4 2 6 9 3" xfId="40138"/>
    <cellStyle name="20% - Accent1 4 2 7" xfId="147"/>
    <cellStyle name="20% - Accent1 4 2 7 10" xfId="31017"/>
    <cellStyle name="20% - Accent1 4 2 7 2" xfId="299"/>
    <cellStyle name="20% - Accent1 4 2 7 2 2" xfId="1587"/>
    <cellStyle name="20% - Accent1 4 2 7 2 2 2" xfId="4609"/>
    <cellStyle name="20% - Accent1 4 2 7 2 2 2 2" xfId="14723"/>
    <cellStyle name="20% - Accent1 4 2 7 2 2 2 2 2" xfId="26524"/>
    <cellStyle name="20% - Accent1 4 2 7 2 2 2 2 2 2" xfId="57421"/>
    <cellStyle name="20% - Accent1 4 2 7 2 2 2 2 3" xfId="40139"/>
    <cellStyle name="20% - Accent1 4 2 7 2 2 2 3" xfId="10062"/>
    <cellStyle name="20% - Accent1 4 2 7 2 2 2 3 2" xfId="46659"/>
    <cellStyle name="20% - Accent1 4 2 7 2 2 2 4" xfId="21863"/>
    <cellStyle name="20% - Accent1 4 2 7 2 2 2 4 2" xfId="57422"/>
    <cellStyle name="20% - Accent1 4 2 7 2 2 2 5" xfId="35478"/>
    <cellStyle name="20% - Accent1 4 2 7 2 2 3" xfId="2768"/>
    <cellStyle name="20% - Accent1 4 2 7 2 2 3 2" xfId="14724"/>
    <cellStyle name="20% - Accent1 4 2 7 2 2 3 2 2" xfId="26525"/>
    <cellStyle name="20% - Accent1 4 2 7 2 2 3 2 2 2" xfId="57423"/>
    <cellStyle name="20% - Accent1 4 2 7 2 2 3 2 3" xfId="40140"/>
    <cellStyle name="20% - Accent1 4 2 7 2 2 3 3" xfId="8221"/>
    <cellStyle name="20% - Accent1 4 2 7 2 2 3 3 2" xfId="46660"/>
    <cellStyle name="20% - Accent1 4 2 7 2 2 3 4" xfId="20022"/>
    <cellStyle name="20% - Accent1 4 2 7 2 2 3 4 2" xfId="57424"/>
    <cellStyle name="20% - Accent1 4 2 7 2 2 3 5" xfId="33637"/>
    <cellStyle name="20% - Accent1 4 2 7 2 2 4" xfId="14725"/>
    <cellStyle name="20% - Accent1 4 2 7 2 2 4 2" xfId="26526"/>
    <cellStyle name="20% - Accent1 4 2 7 2 2 4 2 2" xfId="57425"/>
    <cellStyle name="20% - Accent1 4 2 7 2 2 4 3" xfId="40141"/>
    <cellStyle name="20% - Accent1 4 2 7 2 2 5" xfId="7041"/>
    <cellStyle name="20% - Accent1 4 2 7 2 2 5 2" xfId="46661"/>
    <cellStyle name="20% - Accent1 4 2 7 2 2 6" xfId="18842"/>
    <cellStyle name="20% - Accent1 4 2 7 2 2 6 2" xfId="57426"/>
    <cellStyle name="20% - Accent1 4 2 7 2 2 7" xfId="32457"/>
    <cellStyle name="20% - Accent1 4 2 7 2 3" xfId="3336"/>
    <cellStyle name="20% - Accent1 4 2 7 2 3 2" xfId="5177"/>
    <cellStyle name="20% - Accent1 4 2 7 2 3 2 2" xfId="16647"/>
    <cellStyle name="20% - Accent1 4 2 7 2 3 2 2 2" xfId="28448"/>
    <cellStyle name="20% - Accent1 4 2 7 2 3 2 2 2 2" xfId="57427"/>
    <cellStyle name="20% - Accent1 4 2 7 2 3 2 2 3" xfId="42063"/>
    <cellStyle name="20% - Accent1 4 2 7 2 3 2 3" xfId="10630"/>
    <cellStyle name="20% - Accent1 4 2 7 2 3 2 3 2" xfId="57428"/>
    <cellStyle name="20% - Accent1 4 2 7 2 3 2 4" xfId="22431"/>
    <cellStyle name="20% - Accent1 4 2 7 2 3 2 4 2" xfId="57429"/>
    <cellStyle name="20% - Accent1 4 2 7 2 3 2 5" xfId="36046"/>
    <cellStyle name="20% - Accent1 4 2 7 2 3 3" xfId="14726"/>
    <cellStyle name="20% - Accent1 4 2 7 2 3 3 2" xfId="26527"/>
    <cellStyle name="20% - Accent1 4 2 7 2 3 3 2 2" xfId="57430"/>
    <cellStyle name="20% - Accent1 4 2 7 2 3 3 3" xfId="40142"/>
    <cellStyle name="20% - Accent1 4 2 7 2 3 4" xfId="8789"/>
    <cellStyle name="20% - Accent1 4 2 7 2 3 4 2" xfId="57431"/>
    <cellStyle name="20% - Accent1 4 2 7 2 3 5" xfId="20590"/>
    <cellStyle name="20% - Accent1 4 2 7 2 3 5 2" xfId="57432"/>
    <cellStyle name="20% - Accent1 4 2 7 2 3 6" xfId="34205"/>
    <cellStyle name="20% - Accent1 4 2 7 2 4" xfId="4041"/>
    <cellStyle name="20% - Accent1 4 2 7 2 4 2" xfId="14727"/>
    <cellStyle name="20% - Accent1 4 2 7 2 4 2 2" xfId="26528"/>
    <cellStyle name="20% - Accent1 4 2 7 2 4 2 2 2" xfId="57433"/>
    <cellStyle name="20% - Accent1 4 2 7 2 4 2 3" xfId="40143"/>
    <cellStyle name="20% - Accent1 4 2 7 2 4 3" xfId="9494"/>
    <cellStyle name="20% - Accent1 4 2 7 2 4 3 2" xfId="46662"/>
    <cellStyle name="20% - Accent1 4 2 7 2 4 4" xfId="21295"/>
    <cellStyle name="20% - Accent1 4 2 7 2 4 4 2" xfId="57434"/>
    <cellStyle name="20% - Accent1 4 2 7 2 4 5" xfId="34910"/>
    <cellStyle name="20% - Accent1 4 2 7 2 5" xfId="2200"/>
    <cellStyle name="20% - Accent1 4 2 7 2 5 2" xfId="17145"/>
    <cellStyle name="20% - Accent1 4 2 7 2 5 2 2" xfId="28946"/>
    <cellStyle name="20% - Accent1 4 2 7 2 5 2 2 2" xfId="57435"/>
    <cellStyle name="20% - Accent1 4 2 7 2 5 2 3" xfId="42561"/>
    <cellStyle name="20% - Accent1 4 2 7 2 5 3" xfId="7653"/>
    <cellStyle name="20% - Accent1 4 2 7 2 5 3 2" xfId="57436"/>
    <cellStyle name="20% - Accent1 4 2 7 2 5 4" xfId="19454"/>
    <cellStyle name="20% - Accent1 4 2 7 2 5 4 2" xfId="57437"/>
    <cellStyle name="20% - Accent1 4 2 7 2 5 5" xfId="33069"/>
    <cellStyle name="20% - Accent1 4 2 7 2 6" xfId="14728"/>
    <cellStyle name="20% - Accent1 4 2 7 2 6 2" xfId="26529"/>
    <cellStyle name="20% - Accent1 4 2 7 2 6 2 2" xfId="57438"/>
    <cellStyle name="20% - Accent1 4 2 7 2 6 3" xfId="40144"/>
    <cellStyle name="20% - Accent1 4 2 7 2 7" xfId="5753"/>
    <cellStyle name="20% - Accent1 4 2 7 2 7 2" xfId="57439"/>
    <cellStyle name="20% - Accent1 4 2 7 2 8" xfId="17554"/>
    <cellStyle name="20% - Accent1 4 2 7 2 8 2" xfId="57440"/>
    <cellStyle name="20% - Accent1 4 2 7 2 9" xfId="31169"/>
    <cellStyle name="20% - Accent1 4 2 7 3" xfId="715"/>
    <cellStyle name="20% - Accent1 4 2 7 3 2" xfId="1588"/>
    <cellStyle name="20% - Accent1 4 2 7 3 2 2" xfId="4457"/>
    <cellStyle name="20% - Accent1 4 2 7 3 2 2 2" xfId="14729"/>
    <cellStyle name="20% - Accent1 4 2 7 3 2 2 2 2" xfId="26530"/>
    <cellStyle name="20% - Accent1 4 2 7 3 2 2 2 2 2" xfId="57441"/>
    <cellStyle name="20% - Accent1 4 2 7 3 2 2 2 3" xfId="40145"/>
    <cellStyle name="20% - Accent1 4 2 7 3 2 2 3" xfId="9910"/>
    <cellStyle name="20% - Accent1 4 2 7 3 2 2 3 2" xfId="46663"/>
    <cellStyle name="20% - Accent1 4 2 7 3 2 2 4" xfId="21711"/>
    <cellStyle name="20% - Accent1 4 2 7 3 2 2 4 2" xfId="57442"/>
    <cellStyle name="20% - Accent1 4 2 7 3 2 2 5" xfId="35326"/>
    <cellStyle name="20% - Accent1 4 2 7 3 2 3" xfId="14730"/>
    <cellStyle name="20% - Accent1 4 2 7 3 2 3 2" xfId="26531"/>
    <cellStyle name="20% - Accent1 4 2 7 3 2 3 2 2" xfId="46664"/>
    <cellStyle name="20% - Accent1 4 2 7 3 2 3 3" xfId="30277"/>
    <cellStyle name="20% - Accent1 4 2 7 3 2 3 3 2" xfId="46665"/>
    <cellStyle name="20% - Accent1 4 2 7 3 2 3 4" xfId="30278"/>
    <cellStyle name="20% - Accent1 4 2 7 3 2 3 4 2" xfId="57443"/>
    <cellStyle name="20% - Accent1 4 2 7 3 2 3 5" xfId="40146"/>
    <cellStyle name="20% - Accent1 4 2 7 3 2 4" xfId="14731"/>
    <cellStyle name="20% - Accent1 4 2 7 3 2 4 2" xfId="26532"/>
    <cellStyle name="20% - Accent1 4 2 7 3 2 4 2 2" xfId="57444"/>
    <cellStyle name="20% - Accent1 4 2 7 3 2 4 3" xfId="40147"/>
    <cellStyle name="20% - Accent1 4 2 7 3 2 5" xfId="7042"/>
    <cellStyle name="20% - Accent1 4 2 7 3 2 5 2" xfId="46666"/>
    <cellStyle name="20% - Accent1 4 2 7 3 2 6" xfId="18843"/>
    <cellStyle name="20% - Accent1 4 2 7 3 2 6 2" xfId="57445"/>
    <cellStyle name="20% - Accent1 4 2 7 3 2 7" xfId="32458"/>
    <cellStyle name="20% - Accent1 4 2 7 3 3" xfId="2616"/>
    <cellStyle name="20% - Accent1 4 2 7 3 3 2" xfId="14732"/>
    <cellStyle name="20% - Accent1 4 2 7 3 3 2 2" xfId="26533"/>
    <cellStyle name="20% - Accent1 4 2 7 3 3 2 2 2" xfId="57446"/>
    <cellStyle name="20% - Accent1 4 2 7 3 3 2 3" xfId="40148"/>
    <cellStyle name="20% - Accent1 4 2 7 3 3 3" xfId="8069"/>
    <cellStyle name="20% - Accent1 4 2 7 3 3 3 2" xfId="46667"/>
    <cellStyle name="20% - Accent1 4 2 7 3 3 4" xfId="19870"/>
    <cellStyle name="20% - Accent1 4 2 7 3 3 4 2" xfId="57447"/>
    <cellStyle name="20% - Accent1 4 2 7 3 3 5" xfId="33485"/>
    <cellStyle name="20% - Accent1 4 2 7 3 4" xfId="14733"/>
    <cellStyle name="20% - Accent1 4 2 7 3 4 2" xfId="26534"/>
    <cellStyle name="20% - Accent1 4 2 7 3 4 2 2" xfId="46668"/>
    <cellStyle name="20% - Accent1 4 2 7 3 4 3" xfId="30279"/>
    <cellStyle name="20% - Accent1 4 2 7 3 4 3 2" xfId="46669"/>
    <cellStyle name="20% - Accent1 4 2 7 3 4 4" xfId="30280"/>
    <cellStyle name="20% - Accent1 4 2 7 3 4 4 2" xfId="57448"/>
    <cellStyle name="20% - Accent1 4 2 7 3 4 5" xfId="40149"/>
    <cellStyle name="20% - Accent1 4 2 7 3 5" xfId="14734"/>
    <cellStyle name="20% - Accent1 4 2 7 3 5 2" xfId="26535"/>
    <cellStyle name="20% - Accent1 4 2 7 3 5 2 2" xfId="57449"/>
    <cellStyle name="20% - Accent1 4 2 7 3 5 3" xfId="40150"/>
    <cellStyle name="20% - Accent1 4 2 7 3 6" xfId="6169"/>
    <cellStyle name="20% - Accent1 4 2 7 3 6 2" xfId="46670"/>
    <cellStyle name="20% - Accent1 4 2 7 3 7" xfId="17970"/>
    <cellStyle name="20% - Accent1 4 2 7 3 7 2" xfId="57450"/>
    <cellStyle name="20% - Accent1 4 2 7 3 8" xfId="31585"/>
    <cellStyle name="20% - Accent1 4 2 7 4" xfId="1589"/>
    <cellStyle name="20% - Accent1 4 2 7 4 2" xfId="5025"/>
    <cellStyle name="20% - Accent1 4 2 7 4 2 2" xfId="14735"/>
    <cellStyle name="20% - Accent1 4 2 7 4 2 2 2" xfId="26536"/>
    <cellStyle name="20% - Accent1 4 2 7 4 2 2 2 2" xfId="57451"/>
    <cellStyle name="20% - Accent1 4 2 7 4 2 2 3" xfId="40151"/>
    <cellStyle name="20% - Accent1 4 2 7 4 2 3" xfId="10478"/>
    <cellStyle name="20% - Accent1 4 2 7 4 2 3 2" xfId="46671"/>
    <cellStyle name="20% - Accent1 4 2 7 4 2 4" xfId="22279"/>
    <cellStyle name="20% - Accent1 4 2 7 4 2 4 2" xfId="57452"/>
    <cellStyle name="20% - Accent1 4 2 7 4 2 5" xfId="35894"/>
    <cellStyle name="20% - Accent1 4 2 7 4 3" xfId="3184"/>
    <cellStyle name="20% - Accent1 4 2 7 4 3 2" xfId="14736"/>
    <cellStyle name="20% - Accent1 4 2 7 4 3 2 2" xfId="26537"/>
    <cellStyle name="20% - Accent1 4 2 7 4 3 2 2 2" xfId="57453"/>
    <cellStyle name="20% - Accent1 4 2 7 4 3 2 3" xfId="40152"/>
    <cellStyle name="20% - Accent1 4 2 7 4 3 3" xfId="8637"/>
    <cellStyle name="20% - Accent1 4 2 7 4 3 3 2" xfId="46672"/>
    <cellStyle name="20% - Accent1 4 2 7 4 3 4" xfId="20438"/>
    <cellStyle name="20% - Accent1 4 2 7 4 3 4 2" xfId="57454"/>
    <cellStyle name="20% - Accent1 4 2 7 4 3 5" xfId="34053"/>
    <cellStyle name="20% - Accent1 4 2 7 4 4" xfId="14737"/>
    <cellStyle name="20% - Accent1 4 2 7 4 4 2" xfId="26538"/>
    <cellStyle name="20% - Accent1 4 2 7 4 4 2 2" xfId="57455"/>
    <cellStyle name="20% - Accent1 4 2 7 4 4 3" xfId="40153"/>
    <cellStyle name="20% - Accent1 4 2 7 4 5" xfId="7043"/>
    <cellStyle name="20% - Accent1 4 2 7 4 5 2" xfId="46673"/>
    <cellStyle name="20% - Accent1 4 2 7 4 6" xfId="18844"/>
    <cellStyle name="20% - Accent1 4 2 7 4 6 2" xfId="57456"/>
    <cellStyle name="20% - Accent1 4 2 7 4 7" xfId="32459"/>
    <cellStyle name="20% - Accent1 4 2 7 5" xfId="3889"/>
    <cellStyle name="20% - Accent1 4 2 7 5 2" xfId="14738"/>
    <cellStyle name="20% - Accent1 4 2 7 5 2 2" xfId="26539"/>
    <cellStyle name="20% - Accent1 4 2 7 5 2 2 2" xfId="57457"/>
    <cellStyle name="20% - Accent1 4 2 7 5 2 3" xfId="40154"/>
    <cellStyle name="20% - Accent1 4 2 7 5 3" xfId="9342"/>
    <cellStyle name="20% - Accent1 4 2 7 5 3 2" xfId="46674"/>
    <cellStyle name="20% - Accent1 4 2 7 5 4" xfId="21143"/>
    <cellStyle name="20% - Accent1 4 2 7 5 4 2" xfId="57458"/>
    <cellStyle name="20% - Accent1 4 2 7 5 5" xfId="34758"/>
    <cellStyle name="20% - Accent1 4 2 7 6" xfId="2048"/>
    <cellStyle name="20% - Accent1 4 2 7 6 2" xfId="14739"/>
    <cellStyle name="20% - Accent1 4 2 7 6 2 2" xfId="26540"/>
    <cellStyle name="20% - Accent1 4 2 7 6 2 2 2" xfId="57459"/>
    <cellStyle name="20% - Accent1 4 2 7 6 2 3" xfId="40155"/>
    <cellStyle name="20% - Accent1 4 2 7 6 3" xfId="7501"/>
    <cellStyle name="20% - Accent1 4 2 7 6 3 2" xfId="46675"/>
    <cellStyle name="20% - Accent1 4 2 7 6 4" xfId="19302"/>
    <cellStyle name="20% - Accent1 4 2 7 6 4 2" xfId="57460"/>
    <cellStyle name="20% - Accent1 4 2 7 6 5" xfId="32917"/>
    <cellStyle name="20% - Accent1 4 2 7 7" xfId="14740"/>
    <cellStyle name="20% - Accent1 4 2 7 7 2" xfId="26541"/>
    <cellStyle name="20% - Accent1 4 2 7 7 2 2" xfId="57461"/>
    <cellStyle name="20% - Accent1 4 2 7 7 3" xfId="40156"/>
    <cellStyle name="20% - Accent1 4 2 7 8" xfId="5601"/>
    <cellStyle name="20% - Accent1 4 2 7 8 2" xfId="46676"/>
    <cellStyle name="20% - Accent1 4 2 7 9" xfId="17402"/>
    <cellStyle name="20% - Accent1 4 2 7 9 2" xfId="57462"/>
    <cellStyle name="20% - Accent1 4 2 8" xfId="436"/>
    <cellStyle name="20% - Accent1 4 2 8 2" xfId="1590"/>
    <cellStyle name="20% - Accent1 4 2 8 2 2" xfId="4746"/>
    <cellStyle name="20% - Accent1 4 2 8 2 2 2" xfId="14741"/>
    <cellStyle name="20% - Accent1 4 2 8 2 2 2 2" xfId="26542"/>
    <cellStyle name="20% - Accent1 4 2 8 2 2 2 2 2" xfId="57463"/>
    <cellStyle name="20% - Accent1 4 2 8 2 2 2 3" xfId="40157"/>
    <cellStyle name="20% - Accent1 4 2 8 2 2 3" xfId="10199"/>
    <cellStyle name="20% - Accent1 4 2 8 2 2 3 2" xfId="46677"/>
    <cellStyle name="20% - Accent1 4 2 8 2 2 4" xfId="22000"/>
    <cellStyle name="20% - Accent1 4 2 8 2 2 4 2" xfId="57464"/>
    <cellStyle name="20% - Accent1 4 2 8 2 2 5" xfId="35615"/>
    <cellStyle name="20% - Accent1 4 2 8 2 3" xfId="2905"/>
    <cellStyle name="20% - Accent1 4 2 8 2 3 2" xfId="14742"/>
    <cellStyle name="20% - Accent1 4 2 8 2 3 2 2" xfId="26543"/>
    <cellStyle name="20% - Accent1 4 2 8 2 3 2 2 2" xfId="57465"/>
    <cellStyle name="20% - Accent1 4 2 8 2 3 2 3" xfId="40158"/>
    <cellStyle name="20% - Accent1 4 2 8 2 3 3" xfId="8358"/>
    <cellStyle name="20% - Accent1 4 2 8 2 3 3 2" xfId="46678"/>
    <cellStyle name="20% - Accent1 4 2 8 2 3 4" xfId="20159"/>
    <cellStyle name="20% - Accent1 4 2 8 2 3 4 2" xfId="57466"/>
    <cellStyle name="20% - Accent1 4 2 8 2 3 5" xfId="33774"/>
    <cellStyle name="20% - Accent1 4 2 8 2 4" xfId="14743"/>
    <cellStyle name="20% - Accent1 4 2 8 2 4 2" xfId="26544"/>
    <cellStyle name="20% - Accent1 4 2 8 2 4 2 2" xfId="57467"/>
    <cellStyle name="20% - Accent1 4 2 8 2 4 3" xfId="40159"/>
    <cellStyle name="20% - Accent1 4 2 8 2 5" xfId="7044"/>
    <cellStyle name="20% - Accent1 4 2 8 2 5 2" xfId="46679"/>
    <cellStyle name="20% - Accent1 4 2 8 2 6" xfId="18845"/>
    <cellStyle name="20% - Accent1 4 2 8 2 6 2" xfId="57468"/>
    <cellStyle name="20% - Accent1 4 2 8 2 7" xfId="32460"/>
    <cellStyle name="20% - Accent1 4 2 8 3" xfId="3473"/>
    <cellStyle name="20% - Accent1 4 2 8 3 2" xfId="5314"/>
    <cellStyle name="20% - Accent1 4 2 8 3 2 2" xfId="16784"/>
    <cellStyle name="20% - Accent1 4 2 8 3 2 2 2" xfId="28585"/>
    <cellStyle name="20% - Accent1 4 2 8 3 2 2 2 2" xfId="57469"/>
    <cellStyle name="20% - Accent1 4 2 8 3 2 2 3" xfId="42200"/>
    <cellStyle name="20% - Accent1 4 2 8 3 2 3" xfId="10767"/>
    <cellStyle name="20% - Accent1 4 2 8 3 2 3 2" xfId="57470"/>
    <cellStyle name="20% - Accent1 4 2 8 3 2 4" xfId="22568"/>
    <cellStyle name="20% - Accent1 4 2 8 3 2 4 2" xfId="57471"/>
    <cellStyle name="20% - Accent1 4 2 8 3 2 5" xfId="36183"/>
    <cellStyle name="20% - Accent1 4 2 8 3 3" xfId="14744"/>
    <cellStyle name="20% - Accent1 4 2 8 3 3 2" xfId="26545"/>
    <cellStyle name="20% - Accent1 4 2 8 3 3 2 2" xfId="57472"/>
    <cellStyle name="20% - Accent1 4 2 8 3 3 3" xfId="40160"/>
    <cellStyle name="20% - Accent1 4 2 8 3 4" xfId="8926"/>
    <cellStyle name="20% - Accent1 4 2 8 3 4 2" xfId="57473"/>
    <cellStyle name="20% - Accent1 4 2 8 3 5" xfId="20727"/>
    <cellStyle name="20% - Accent1 4 2 8 3 5 2" xfId="57474"/>
    <cellStyle name="20% - Accent1 4 2 8 3 6" xfId="34342"/>
    <cellStyle name="20% - Accent1 4 2 8 4" xfId="4178"/>
    <cellStyle name="20% - Accent1 4 2 8 4 2" xfId="14745"/>
    <cellStyle name="20% - Accent1 4 2 8 4 2 2" xfId="26546"/>
    <cellStyle name="20% - Accent1 4 2 8 4 2 2 2" xfId="57475"/>
    <cellStyle name="20% - Accent1 4 2 8 4 2 3" xfId="40161"/>
    <cellStyle name="20% - Accent1 4 2 8 4 3" xfId="9631"/>
    <cellStyle name="20% - Accent1 4 2 8 4 3 2" xfId="46680"/>
    <cellStyle name="20% - Accent1 4 2 8 4 4" xfId="21432"/>
    <cellStyle name="20% - Accent1 4 2 8 4 4 2" xfId="57476"/>
    <cellStyle name="20% - Accent1 4 2 8 4 5" xfId="35047"/>
    <cellStyle name="20% - Accent1 4 2 8 5" xfId="2337"/>
    <cellStyle name="20% - Accent1 4 2 8 5 2" xfId="17146"/>
    <cellStyle name="20% - Accent1 4 2 8 5 2 2" xfId="28947"/>
    <cellStyle name="20% - Accent1 4 2 8 5 2 2 2" xfId="57477"/>
    <cellStyle name="20% - Accent1 4 2 8 5 2 3" xfId="42562"/>
    <cellStyle name="20% - Accent1 4 2 8 5 3" xfId="7790"/>
    <cellStyle name="20% - Accent1 4 2 8 5 3 2" xfId="57478"/>
    <cellStyle name="20% - Accent1 4 2 8 5 4" xfId="19591"/>
    <cellStyle name="20% - Accent1 4 2 8 5 4 2" xfId="57479"/>
    <cellStyle name="20% - Accent1 4 2 8 5 5" xfId="33206"/>
    <cellStyle name="20% - Accent1 4 2 8 6" xfId="14746"/>
    <cellStyle name="20% - Accent1 4 2 8 6 2" xfId="26547"/>
    <cellStyle name="20% - Accent1 4 2 8 6 2 2" xfId="57480"/>
    <cellStyle name="20% - Accent1 4 2 8 6 3" xfId="40162"/>
    <cellStyle name="20% - Accent1 4 2 8 7" xfId="5890"/>
    <cellStyle name="20% - Accent1 4 2 8 7 2" xfId="57481"/>
    <cellStyle name="20% - Accent1 4 2 8 8" xfId="17691"/>
    <cellStyle name="20% - Accent1 4 2 8 8 2" xfId="57482"/>
    <cellStyle name="20% - Accent1 4 2 8 9" xfId="31306"/>
    <cellStyle name="20% - Accent1 4 2 9" xfId="250"/>
    <cellStyle name="20% - Accent1 4 2 9 2" xfId="1591"/>
    <cellStyle name="20% - Accent1 4 2 9 2 2" xfId="4560"/>
    <cellStyle name="20% - Accent1 4 2 9 2 2 2" xfId="14747"/>
    <cellStyle name="20% - Accent1 4 2 9 2 2 2 2" xfId="26548"/>
    <cellStyle name="20% - Accent1 4 2 9 2 2 2 2 2" xfId="57483"/>
    <cellStyle name="20% - Accent1 4 2 9 2 2 2 3" xfId="40163"/>
    <cellStyle name="20% - Accent1 4 2 9 2 2 3" xfId="10013"/>
    <cellStyle name="20% - Accent1 4 2 9 2 2 3 2" xfId="46681"/>
    <cellStyle name="20% - Accent1 4 2 9 2 2 4" xfId="21814"/>
    <cellStyle name="20% - Accent1 4 2 9 2 2 4 2" xfId="57484"/>
    <cellStyle name="20% - Accent1 4 2 9 2 2 5" xfId="35429"/>
    <cellStyle name="20% - Accent1 4 2 9 2 3" xfId="2719"/>
    <cellStyle name="20% - Accent1 4 2 9 2 3 2" xfId="14748"/>
    <cellStyle name="20% - Accent1 4 2 9 2 3 2 2" xfId="26549"/>
    <cellStyle name="20% - Accent1 4 2 9 2 3 2 2 2" xfId="57485"/>
    <cellStyle name="20% - Accent1 4 2 9 2 3 2 3" xfId="40164"/>
    <cellStyle name="20% - Accent1 4 2 9 2 3 3" xfId="8172"/>
    <cellStyle name="20% - Accent1 4 2 9 2 3 3 2" xfId="46682"/>
    <cellStyle name="20% - Accent1 4 2 9 2 3 4" xfId="19973"/>
    <cellStyle name="20% - Accent1 4 2 9 2 3 4 2" xfId="57486"/>
    <cellStyle name="20% - Accent1 4 2 9 2 3 5" xfId="33588"/>
    <cellStyle name="20% - Accent1 4 2 9 2 4" xfId="14749"/>
    <cellStyle name="20% - Accent1 4 2 9 2 4 2" xfId="26550"/>
    <cellStyle name="20% - Accent1 4 2 9 2 4 2 2" xfId="57487"/>
    <cellStyle name="20% - Accent1 4 2 9 2 4 3" xfId="40165"/>
    <cellStyle name="20% - Accent1 4 2 9 2 5" xfId="7045"/>
    <cellStyle name="20% - Accent1 4 2 9 2 5 2" xfId="46683"/>
    <cellStyle name="20% - Accent1 4 2 9 2 6" xfId="18846"/>
    <cellStyle name="20% - Accent1 4 2 9 2 6 2" xfId="57488"/>
    <cellStyle name="20% - Accent1 4 2 9 2 7" xfId="32461"/>
    <cellStyle name="20% - Accent1 4 2 9 3" xfId="3287"/>
    <cellStyle name="20% - Accent1 4 2 9 3 2" xfId="5128"/>
    <cellStyle name="20% - Accent1 4 2 9 3 2 2" xfId="16598"/>
    <cellStyle name="20% - Accent1 4 2 9 3 2 2 2" xfId="28399"/>
    <cellStyle name="20% - Accent1 4 2 9 3 2 2 2 2" xfId="57489"/>
    <cellStyle name="20% - Accent1 4 2 9 3 2 2 3" xfId="42014"/>
    <cellStyle name="20% - Accent1 4 2 9 3 2 3" xfId="10581"/>
    <cellStyle name="20% - Accent1 4 2 9 3 2 3 2" xfId="57490"/>
    <cellStyle name="20% - Accent1 4 2 9 3 2 4" xfId="22382"/>
    <cellStyle name="20% - Accent1 4 2 9 3 2 4 2" xfId="57491"/>
    <cellStyle name="20% - Accent1 4 2 9 3 2 5" xfId="35997"/>
    <cellStyle name="20% - Accent1 4 2 9 3 3" xfId="14750"/>
    <cellStyle name="20% - Accent1 4 2 9 3 3 2" xfId="26551"/>
    <cellStyle name="20% - Accent1 4 2 9 3 3 2 2" xfId="57492"/>
    <cellStyle name="20% - Accent1 4 2 9 3 3 3" xfId="40166"/>
    <cellStyle name="20% - Accent1 4 2 9 3 4" xfId="8740"/>
    <cellStyle name="20% - Accent1 4 2 9 3 4 2" xfId="57493"/>
    <cellStyle name="20% - Accent1 4 2 9 3 5" xfId="20541"/>
    <cellStyle name="20% - Accent1 4 2 9 3 5 2" xfId="57494"/>
    <cellStyle name="20% - Accent1 4 2 9 3 6" xfId="34156"/>
    <cellStyle name="20% - Accent1 4 2 9 4" xfId="3992"/>
    <cellStyle name="20% - Accent1 4 2 9 4 2" xfId="14751"/>
    <cellStyle name="20% - Accent1 4 2 9 4 2 2" xfId="26552"/>
    <cellStyle name="20% - Accent1 4 2 9 4 2 2 2" xfId="57495"/>
    <cellStyle name="20% - Accent1 4 2 9 4 2 3" xfId="40167"/>
    <cellStyle name="20% - Accent1 4 2 9 4 3" xfId="9445"/>
    <cellStyle name="20% - Accent1 4 2 9 4 3 2" xfId="46684"/>
    <cellStyle name="20% - Accent1 4 2 9 4 4" xfId="21246"/>
    <cellStyle name="20% - Accent1 4 2 9 4 4 2" xfId="57496"/>
    <cellStyle name="20% - Accent1 4 2 9 4 5" xfId="34861"/>
    <cellStyle name="20% - Accent1 4 2 9 5" xfId="2151"/>
    <cellStyle name="20% - Accent1 4 2 9 5 2" xfId="17147"/>
    <cellStyle name="20% - Accent1 4 2 9 5 2 2" xfId="28948"/>
    <cellStyle name="20% - Accent1 4 2 9 5 2 2 2" xfId="57497"/>
    <cellStyle name="20% - Accent1 4 2 9 5 2 3" xfId="42563"/>
    <cellStyle name="20% - Accent1 4 2 9 5 3" xfId="7604"/>
    <cellStyle name="20% - Accent1 4 2 9 5 3 2" xfId="57498"/>
    <cellStyle name="20% - Accent1 4 2 9 5 4" xfId="19405"/>
    <cellStyle name="20% - Accent1 4 2 9 5 4 2" xfId="57499"/>
    <cellStyle name="20% - Accent1 4 2 9 5 5" xfId="33020"/>
    <cellStyle name="20% - Accent1 4 2 9 6" xfId="14752"/>
    <cellStyle name="20% - Accent1 4 2 9 6 2" xfId="26553"/>
    <cellStyle name="20% - Accent1 4 2 9 6 2 2" xfId="57500"/>
    <cellStyle name="20% - Accent1 4 2 9 6 3" xfId="40168"/>
    <cellStyle name="20% - Accent1 4 2 9 7" xfId="5704"/>
    <cellStyle name="20% - Accent1 4 2 9 7 2" xfId="57501"/>
    <cellStyle name="20% - Accent1 4 2 9 8" xfId="17505"/>
    <cellStyle name="20% - Accent1 4 2 9 8 2" xfId="57502"/>
    <cellStyle name="20% - Accent1 4 2 9 9" xfId="31120"/>
    <cellStyle name="20% - Accent1 4 20" xfId="61770"/>
    <cellStyle name="20% - Accent1 4 21" xfId="61782"/>
    <cellStyle name="20% - Accent1 4 3" xfId="35"/>
    <cellStyle name="20% - Accent1 4 3 10" xfId="1936"/>
    <cellStyle name="20% - Accent1 4 3 10 2" xfId="14753"/>
    <cellStyle name="20% - Accent1 4 3 10 2 2" xfId="26554"/>
    <cellStyle name="20% - Accent1 4 3 10 2 2 2" xfId="57503"/>
    <cellStyle name="20% - Accent1 4 3 10 2 3" xfId="40169"/>
    <cellStyle name="20% - Accent1 4 3 10 3" xfId="7389"/>
    <cellStyle name="20% - Accent1 4 3 10 3 2" xfId="46685"/>
    <cellStyle name="20% - Accent1 4 3 10 4" xfId="19190"/>
    <cellStyle name="20% - Accent1 4 3 10 4 2" xfId="57504"/>
    <cellStyle name="20% - Accent1 4 3 10 5" xfId="32805"/>
    <cellStyle name="20% - Accent1 4 3 11" xfId="14754"/>
    <cellStyle name="20% - Accent1 4 3 11 2" xfId="26555"/>
    <cellStyle name="20% - Accent1 4 3 11 2 2" xfId="57505"/>
    <cellStyle name="20% - Accent1 4 3 11 3" xfId="40170"/>
    <cellStyle name="20% - Accent1 4 3 12" xfId="5489"/>
    <cellStyle name="20% - Accent1 4 3 12 2" xfId="46686"/>
    <cellStyle name="20% - Accent1 4 3 13" xfId="17290"/>
    <cellStyle name="20% - Accent1 4 3 13 2" xfId="57506"/>
    <cellStyle name="20% - Accent1 4 3 14" xfId="30905"/>
    <cellStyle name="20% - Accent1 4 3 2" xfId="102"/>
    <cellStyle name="20% - Accent1 4 3 2 10" xfId="5556"/>
    <cellStyle name="20% - Accent1 4 3 2 10 2" xfId="46687"/>
    <cellStyle name="20% - Accent1 4 3 2 11" xfId="17357"/>
    <cellStyle name="20% - Accent1 4 3 2 11 2" xfId="57507"/>
    <cellStyle name="20% - Accent1 4 3 2 12" xfId="30972"/>
    <cellStyle name="20% - Accent1 4 3 2 2" xfId="224"/>
    <cellStyle name="20% - Accent1 4 3 2 2 10" xfId="31094"/>
    <cellStyle name="20% - Accent1 4 3 2 2 2" xfId="529"/>
    <cellStyle name="20% - Accent1 4 3 2 2 2 2" xfId="1592"/>
    <cellStyle name="20% - Accent1 4 3 2 2 2 2 2" xfId="4839"/>
    <cellStyle name="20% - Accent1 4 3 2 2 2 2 2 2" xfId="14755"/>
    <cellStyle name="20% - Accent1 4 3 2 2 2 2 2 2 2" xfId="26556"/>
    <cellStyle name="20% - Accent1 4 3 2 2 2 2 2 2 2 2" xfId="57508"/>
    <cellStyle name="20% - Accent1 4 3 2 2 2 2 2 2 3" xfId="40171"/>
    <cellStyle name="20% - Accent1 4 3 2 2 2 2 2 3" xfId="10292"/>
    <cellStyle name="20% - Accent1 4 3 2 2 2 2 2 3 2" xfId="46688"/>
    <cellStyle name="20% - Accent1 4 3 2 2 2 2 2 4" xfId="22093"/>
    <cellStyle name="20% - Accent1 4 3 2 2 2 2 2 4 2" xfId="57509"/>
    <cellStyle name="20% - Accent1 4 3 2 2 2 2 2 5" xfId="35708"/>
    <cellStyle name="20% - Accent1 4 3 2 2 2 2 3" xfId="2998"/>
    <cellStyle name="20% - Accent1 4 3 2 2 2 2 3 2" xfId="14756"/>
    <cellStyle name="20% - Accent1 4 3 2 2 2 2 3 2 2" xfId="26557"/>
    <cellStyle name="20% - Accent1 4 3 2 2 2 2 3 2 2 2" xfId="57510"/>
    <cellStyle name="20% - Accent1 4 3 2 2 2 2 3 2 3" xfId="40172"/>
    <cellStyle name="20% - Accent1 4 3 2 2 2 2 3 3" xfId="8451"/>
    <cellStyle name="20% - Accent1 4 3 2 2 2 2 3 3 2" xfId="46689"/>
    <cellStyle name="20% - Accent1 4 3 2 2 2 2 3 4" xfId="20252"/>
    <cellStyle name="20% - Accent1 4 3 2 2 2 2 3 4 2" xfId="57511"/>
    <cellStyle name="20% - Accent1 4 3 2 2 2 2 3 5" xfId="33867"/>
    <cellStyle name="20% - Accent1 4 3 2 2 2 2 4" xfId="14757"/>
    <cellStyle name="20% - Accent1 4 3 2 2 2 2 4 2" xfId="26558"/>
    <cellStyle name="20% - Accent1 4 3 2 2 2 2 4 2 2" xfId="57512"/>
    <cellStyle name="20% - Accent1 4 3 2 2 2 2 4 3" xfId="40173"/>
    <cellStyle name="20% - Accent1 4 3 2 2 2 2 5" xfId="7046"/>
    <cellStyle name="20% - Accent1 4 3 2 2 2 2 5 2" xfId="46690"/>
    <cellStyle name="20% - Accent1 4 3 2 2 2 2 6" xfId="18847"/>
    <cellStyle name="20% - Accent1 4 3 2 2 2 2 6 2" xfId="57513"/>
    <cellStyle name="20% - Accent1 4 3 2 2 2 2 7" xfId="32462"/>
    <cellStyle name="20% - Accent1 4 3 2 2 2 3" xfId="3566"/>
    <cellStyle name="20% - Accent1 4 3 2 2 2 3 2" xfId="5407"/>
    <cellStyle name="20% - Accent1 4 3 2 2 2 3 2 2" xfId="16877"/>
    <cellStyle name="20% - Accent1 4 3 2 2 2 3 2 2 2" xfId="28678"/>
    <cellStyle name="20% - Accent1 4 3 2 2 2 3 2 2 2 2" xfId="57514"/>
    <cellStyle name="20% - Accent1 4 3 2 2 2 3 2 2 3" xfId="42293"/>
    <cellStyle name="20% - Accent1 4 3 2 2 2 3 2 3" xfId="10860"/>
    <cellStyle name="20% - Accent1 4 3 2 2 2 3 2 3 2" xfId="57515"/>
    <cellStyle name="20% - Accent1 4 3 2 2 2 3 2 4" xfId="22661"/>
    <cellStyle name="20% - Accent1 4 3 2 2 2 3 2 4 2" xfId="57516"/>
    <cellStyle name="20% - Accent1 4 3 2 2 2 3 2 5" xfId="36276"/>
    <cellStyle name="20% - Accent1 4 3 2 2 2 3 3" xfId="14758"/>
    <cellStyle name="20% - Accent1 4 3 2 2 2 3 3 2" xfId="26559"/>
    <cellStyle name="20% - Accent1 4 3 2 2 2 3 3 2 2" xfId="57517"/>
    <cellStyle name="20% - Accent1 4 3 2 2 2 3 3 3" xfId="40174"/>
    <cellStyle name="20% - Accent1 4 3 2 2 2 3 4" xfId="9019"/>
    <cellStyle name="20% - Accent1 4 3 2 2 2 3 4 2" xfId="57518"/>
    <cellStyle name="20% - Accent1 4 3 2 2 2 3 5" xfId="20820"/>
    <cellStyle name="20% - Accent1 4 3 2 2 2 3 5 2" xfId="57519"/>
    <cellStyle name="20% - Accent1 4 3 2 2 2 3 6" xfId="34435"/>
    <cellStyle name="20% - Accent1 4 3 2 2 2 4" xfId="4271"/>
    <cellStyle name="20% - Accent1 4 3 2 2 2 4 2" xfId="14759"/>
    <cellStyle name="20% - Accent1 4 3 2 2 2 4 2 2" xfId="26560"/>
    <cellStyle name="20% - Accent1 4 3 2 2 2 4 2 2 2" xfId="57520"/>
    <cellStyle name="20% - Accent1 4 3 2 2 2 4 2 3" xfId="40175"/>
    <cellStyle name="20% - Accent1 4 3 2 2 2 4 3" xfId="9724"/>
    <cellStyle name="20% - Accent1 4 3 2 2 2 4 3 2" xfId="46691"/>
    <cellStyle name="20% - Accent1 4 3 2 2 2 4 4" xfId="21525"/>
    <cellStyle name="20% - Accent1 4 3 2 2 2 4 4 2" xfId="57521"/>
    <cellStyle name="20% - Accent1 4 3 2 2 2 4 5" xfId="35140"/>
    <cellStyle name="20% - Accent1 4 3 2 2 2 5" xfId="2430"/>
    <cellStyle name="20% - Accent1 4 3 2 2 2 5 2" xfId="17148"/>
    <cellStyle name="20% - Accent1 4 3 2 2 2 5 2 2" xfId="28949"/>
    <cellStyle name="20% - Accent1 4 3 2 2 2 5 2 2 2" xfId="57522"/>
    <cellStyle name="20% - Accent1 4 3 2 2 2 5 2 3" xfId="42564"/>
    <cellStyle name="20% - Accent1 4 3 2 2 2 5 3" xfId="7883"/>
    <cellStyle name="20% - Accent1 4 3 2 2 2 5 3 2" xfId="57523"/>
    <cellStyle name="20% - Accent1 4 3 2 2 2 5 4" xfId="19684"/>
    <cellStyle name="20% - Accent1 4 3 2 2 2 5 4 2" xfId="57524"/>
    <cellStyle name="20% - Accent1 4 3 2 2 2 5 5" xfId="33299"/>
    <cellStyle name="20% - Accent1 4 3 2 2 2 6" xfId="14760"/>
    <cellStyle name="20% - Accent1 4 3 2 2 2 6 2" xfId="26561"/>
    <cellStyle name="20% - Accent1 4 3 2 2 2 6 2 2" xfId="57525"/>
    <cellStyle name="20% - Accent1 4 3 2 2 2 6 3" xfId="40176"/>
    <cellStyle name="20% - Accent1 4 3 2 2 2 7" xfId="5983"/>
    <cellStyle name="20% - Accent1 4 3 2 2 2 7 2" xfId="57526"/>
    <cellStyle name="20% - Accent1 4 3 2 2 2 8" xfId="17784"/>
    <cellStyle name="20% - Accent1 4 3 2 2 2 8 2" xfId="57527"/>
    <cellStyle name="20% - Accent1 4 3 2 2 2 9" xfId="31399"/>
    <cellStyle name="20% - Accent1 4 3 2 2 3" xfId="792"/>
    <cellStyle name="20% - Accent1 4 3 2 2 3 2" xfId="1593"/>
    <cellStyle name="20% - Accent1 4 3 2 2 3 2 2" xfId="4534"/>
    <cellStyle name="20% - Accent1 4 3 2 2 3 2 2 2" xfId="14761"/>
    <cellStyle name="20% - Accent1 4 3 2 2 3 2 2 2 2" xfId="26562"/>
    <cellStyle name="20% - Accent1 4 3 2 2 3 2 2 2 2 2" xfId="57528"/>
    <cellStyle name="20% - Accent1 4 3 2 2 3 2 2 2 3" xfId="40177"/>
    <cellStyle name="20% - Accent1 4 3 2 2 3 2 2 3" xfId="9987"/>
    <cellStyle name="20% - Accent1 4 3 2 2 3 2 2 3 2" xfId="46692"/>
    <cellStyle name="20% - Accent1 4 3 2 2 3 2 2 4" xfId="21788"/>
    <cellStyle name="20% - Accent1 4 3 2 2 3 2 2 4 2" xfId="57529"/>
    <cellStyle name="20% - Accent1 4 3 2 2 3 2 2 5" xfId="35403"/>
    <cellStyle name="20% - Accent1 4 3 2 2 3 2 3" xfId="14762"/>
    <cellStyle name="20% - Accent1 4 3 2 2 3 2 3 2" xfId="26563"/>
    <cellStyle name="20% - Accent1 4 3 2 2 3 2 3 2 2" xfId="46693"/>
    <cellStyle name="20% - Accent1 4 3 2 2 3 2 3 3" xfId="30281"/>
    <cellStyle name="20% - Accent1 4 3 2 2 3 2 3 3 2" xfId="46694"/>
    <cellStyle name="20% - Accent1 4 3 2 2 3 2 3 4" xfId="30282"/>
    <cellStyle name="20% - Accent1 4 3 2 2 3 2 3 4 2" xfId="57530"/>
    <cellStyle name="20% - Accent1 4 3 2 2 3 2 3 5" xfId="40178"/>
    <cellStyle name="20% - Accent1 4 3 2 2 3 2 4" xfId="14763"/>
    <cellStyle name="20% - Accent1 4 3 2 2 3 2 4 2" xfId="26564"/>
    <cellStyle name="20% - Accent1 4 3 2 2 3 2 4 2 2" xfId="57531"/>
    <cellStyle name="20% - Accent1 4 3 2 2 3 2 4 3" xfId="40179"/>
    <cellStyle name="20% - Accent1 4 3 2 2 3 2 5" xfId="7047"/>
    <cellStyle name="20% - Accent1 4 3 2 2 3 2 5 2" xfId="46695"/>
    <cellStyle name="20% - Accent1 4 3 2 2 3 2 6" xfId="18848"/>
    <cellStyle name="20% - Accent1 4 3 2 2 3 2 6 2" xfId="57532"/>
    <cellStyle name="20% - Accent1 4 3 2 2 3 2 7" xfId="32463"/>
    <cellStyle name="20% - Accent1 4 3 2 2 3 3" xfId="2693"/>
    <cellStyle name="20% - Accent1 4 3 2 2 3 3 2" xfId="14764"/>
    <cellStyle name="20% - Accent1 4 3 2 2 3 3 2 2" xfId="26565"/>
    <cellStyle name="20% - Accent1 4 3 2 2 3 3 2 2 2" xfId="57533"/>
    <cellStyle name="20% - Accent1 4 3 2 2 3 3 2 3" xfId="40180"/>
    <cellStyle name="20% - Accent1 4 3 2 2 3 3 3" xfId="8146"/>
    <cellStyle name="20% - Accent1 4 3 2 2 3 3 3 2" xfId="46696"/>
    <cellStyle name="20% - Accent1 4 3 2 2 3 3 4" xfId="19947"/>
    <cellStyle name="20% - Accent1 4 3 2 2 3 3 4 2" xfId="57534"/>
    <cellStyle name="20% - Accent1 4 3 2 2 3 3 5" xfId="33562"/>
    <cellStyle name="20% - Accent1 4 3 2 2 3 4" xfId="14765"/>
    <cellStyle name="20% - Accent1 4 3 2 2 3 4 2" xfId="26566"/>
    <cellStyle name="20% - Accent1 4 3 2 2 3 4 2 2" xfId="46697"/>
    <cellStyle name="20% - Accent1 4 3 2 2 3 4 3" xfId="30283"/>
    <cellStyle name="20% - Accent1 4 3 2 2 3 4 3 2" xfId="46698"/>
    <cellStyle name="20% - Accent1 4 3 2 2 3 4 4" xfId="30284"/>
    <cellStyle name="20% - Accent1 4 3 2 2 3 4 4 2" xfId="57535"/>
    <cellStyle name="20% - Accent1 4 3 2 2 3 4 5" xfId="40181"/>
    <cellStyle name="20% - Accent1 4 3 2 2 3 5" xfId="14766"/>
    <cellStyle name="20% - Accent1 4 3 2 2 3 5 2" xfId="26567"/>
    <cellStyle name="20% - Accent1 4 3 2 2 3 5 2 2" xfId="57536"/>
    <cellStyle name="20% - Accent1 4 3 2 2 3 5 3" xfId="40182"/>
    <cellStyle name="20% - Accent1 4 3 2 2 3 6" xfId="6246"/>
    <cellStyle name="20% - Accent1 4 3 2 2 3 6 2" xfId="46699"/>
    <cellStyle name="20% - Accent1 4 3 2 2 3 7" xfId="18047"/>
    <cellStyle name="20% - Accent1 4 3 2 2 3 7 2" xfId="57537"/>
    <cellStyle name="20% - Accent1 4 3 2 2 3 8" xfId="31662"/>
    <cellStyle name="20% - Accent1 4 3 2 2 4" xfId="1594"/>
    <cellStyle name="20% - Accent1 4 3 2 2 4 2" xfId="5102"/>
    <cellStyle name="20% - Accent1 4 3 2 2 4 2 2" xfId="14767"/>
    <cellStyle name="20% - Accent1 4 3 2 2 4 2 2 2" xfId="26568"/>
    <cellStyle name="20% - Accent1 4 3 2 2 4 2 2 2 2" xfId="57538"/>
    <cellStyle name="20% - Accent1 4 3 2 2 4 2 2 3" xfId="40183"/>
    <cellStyle name="20% - Accent1 4 3 2 2 4 2 3" xfId="10555"/>
    <cellStyle name="20% - Accent1 4 3 2 2 4 2 3 2" xfId="46700"/>
    <cellStyle name="20% - Accent1 4 3 2 2 4 2 4" xfId="22356"/>
    <cellStyle name="20% - Accent1 4 3 2 2 4 2 4 2" xfId="57539"/>
    <cellStyle name="20% - Accent1 4 3 2 2 4 2 5" xfId="35971"/>
    <cellStyle name="20% - Accent1 4 3 2 2 4 3" xfId="3261"/>
    <cellStyle name="20% - Accent1 4 3 2 2 4 3 2" xfId="14768"/>
    <cellStyle name="20% - Accent1 4 3 2 2 4 3 2 2" xfId="26569"/>
    <cellStyle name="20% - Accent1 4 3 2 2 4 3 2 2 2" xfId="57540"/>
    <cellStyle name="20% - Accent1 4 3 2 2 4 3 2 3" xfId="40184"/>
    <cellStyle name="20% - Accent1 4 3 2 2 4 3 3" xfId="8714"/>
    <cellStyle name="20% - Accent1 4 3 2 2 4 3 3 2" xfId="46701"/>
    <cellStyle name="20% - Accent1 4 3 2 2 4 3 4" xfId="20515"/>
    <cellStyle name="20% - Accent1 4 3 2 2 4 3 4 2" xfId="57541"/>
    <cellStyle name="20% - Accent1 4 3 2 2 4 3 5" xfId="34130"/>
    <cellStyle name="20% - Accent1 4 3 2 2 4 4" xfId="14769"/>
    <cellStyle name="20% - Accent1 4 3 2 2 4 4 2" xfId="26570"/>
    <cellStyle name="20% - Accent1 4 3 2 2 4 4 2 2" xfId="57542"/>
    <cellStyle name="20% - Accent1 4 3 2 2 4 4 3" xfId="40185"/>
    <cellStyle name="20% - Accent1 4 3 2 2 4 5" xfId="7048"/>
    <cellStyle name="20% - Accent1 4 3 2 2 4 5 2" xfId="46702"/>
    <cellStyle name="20% - Accent1 4 3 2 2 4 6" xfId="18849"/>
    <cellStyle name="20% - Accent1 4 3 2 2 4 6 2" xfId="57543"/>
    <cellStyle name="20% - Accent1 4 3 2 2 4 7" xfId="32464"/>
    <cellStyle name="20% - Accent1 4 3 2 2 5" xfId="3966"/>
    <cellStyle name="20% - Accent1 4 3 2 2 5 2" xfId="14770"/>
    <cellStyle name="20% - Accent1 4 3 2 2 5 2 2" xfId="26571"/>
    <cellStyle name="20% - Accent1 4 3 2 2 5 2 2 2" xfId="57544"/>
    <cellStyle name="20% - Accent1 4 3 2 2 5 2 3" xfId="40186"/>
    <cellStyle name="20% - Accent1 4 3 2 2 5 3" xfId="9419"/>
    <cellStyle name="20% - Accent1 4 3 2 2 5 3 2" xfId="46703"/>
    <cellStyle name="20% - Accent1 4 3 2 2 5 4" xfId="21220"/>
    <cellStyle name="20% - Accent1 4 3 2 2 5 4 2" xfId="57545"/>
    <cellStyle name="20% - Accent1 4 3 2 2 5 5" xfId="34835"/>
    <cellStyle name="20% - Accent1 4 3 2 2 6" xfId="2125"/>
    <cellStyle name="20% - Accent1 4 3 2 2 6 2" xfId="14771"/>
    <cellStyle name="20% - Accent1 4 3 2 2 6 2 2" xfId="26572"/>
    <cellStyle name="20% - Accent1 4 3 2 2 6 2 2 2" xfId="57546"/>
    <cellStyle name="20% - Accent1 4 3 2 2 6 2 3" xfId="40187"/>
    <cellStyle name="20% - Accent1 4 3 2 2 6 3" xfId="7578"/>
    <cellStyle name="20% - Accent1 4 3 2 2 6 3 2" xfId="46704"/>
    <cellStyle name="20% - Accent1 4 3 2 2 6 4" xfId="19379"/>
    <cellStyle name="20% - Accent1 4 3 2 2 6 4 2" xfId="57547"/>
    <cellStyle name="20% - Accent1 4 3 2 2 6 5" xfId="32994"/>
    <cellStyle name="20% - Accent1 4 3 2 2 7" xfId="14772"/>
    <cellStyle name="20% - Accent1 4 3 2 2 7 2" xfId="26573"/>
    <cellStyle name="20% - Accent1 4 3 2 2 7 2 2" xfId="57548"/>
    <cellStyle name="20% - Accent1 4 3 2 2 7 3" xfId="40188"/>
    <cellStyle name="20% - Accent1 4 3 2 2 8" xfId="5678"/>
    <cellStyle name="20% - Accent1 4 3 2 2 8 2" xfId="46705"/>
    <cellStyle name="20% - Accent1 4 3 2 2 9" xfId="17479"/>
    <cellStyle name="20% - Accent1 4 3 2 2 9 2" xfId="57549"/>
    <cellStyle name="20% - Accent1 4 3 2 3" xfId="392"/>
    <cellStyle name="20% - Accent1 4 3 2 3 2" xfId="1595"/>
    <cellStyle name="20% - Accent1 4 3 2 3 2 2" xfId="4702"/>
    <cellStyle name="20% - Accent1 4 3 2 3 2 2 2" xfId="14773"/>
    <cellStyle name="20% - Accent1 4 3 2 3 2 2 2 2" xfId="26574"/>
    <cellStyle name="20% - Accent1 4 3 2 3 2 2 2 2 2" xfId="57550"/>
    <cellStyle name="20% - Accent1 4 3 2 3 2 2 2 3" xfId="40189"/>
    <cellStyle name="20% - Accent1 4 3 2 3 2 2 3" xfId="10155"/>
    <cellStyle name="20% - Accent1 4 3 2 3 2 2 3 2" xfId="46706"/>
    <cellStyle name="20% - Accent1 4 3 2 3 2 2 4" xfId="21956"/>
    <cellStyle name="20% - Accent1 4 3 2 3 2 2 4 2" xfId="57551"/>
    <cellStyle name="20% - Accent1 4 3 2 3 2 2 5" xfId="35571"/>
    <cellStyle name="20% - Accent1 4 3 2 3 2 3" xfId="2861"/>
    <cellStyle name="20% - Accent1 4 3 2 3 2 3 2" xfId="14774"/>
    <cellStyle name="20% - Accent1 4 3 2 3 2 3 2 2" xfId="26575"/>
    <cellStyle name="20% - Accent1 4 3 2 3 2 3 2 2 2" xfId="57552"/>
    <cellStyle name="20% - Accent1 4 3 2 3 2 3 2 3" xfId="40190"/>
    <cellStyle name="20% - Accent1 4 3 2 3 2 3 3" xfId="8314"/>
    <cellStyle name="20% - Accent1 4 3 2 3 2 3 3 2" xfId="46707"/>
    <cellStyle name="20% - Accent1 4 3 2 3 2 3 4" xfId="20115"/>
    <cellStyle name="20% - Accent1 4 3 2 3 2 3 4 2" xfId="57553"/>
    <cellStyle name="20% - Accent1 4 3 2 3 2 3 5" xfId="33730"/>
    <cellStyle name="20% - Accent1 4 3 2 3 2 4" xfId="14775"/>
    <cellStyle name="20% - Accent1 4 3 2 3 2 4 2" xfId="26576"/>
    <cellStyle name="20% - Accent1 4 3 2 3 2 4 2 2" xfId="57554"/>
    <cellStyle name="20% - Accent1 4 3 2 3 2 4 3" xfId="40191"/>
    <cellStyle name="20% - Accent1 4 3 2 3 2 5" xfId="7049"/>
    <cellStyle name="20% - Accent1 4 3 2 3 2 5 2" xfId="46708"/>
    <cellStyle name="20% - Accent1 4 3 2 3 2 6" xfId="18850"/>
    <cellStyle name="20% - Accent1 4 3 2 3 2 6 2" xfId="57555"/>
    <cellStyle name="20% - Accent1 4 3 2 3 2 7" xfId="32465"/>
    <cellStyle name="20% - Accent1 4 3 2 3 3" xfId="3429"/>
    <cellStyle name="20% - Accent1 4 3 2 3 3 2" xfId="5270"/>
    <cellStyle name="20% - Accent1 4 3 2 3 3 2 2" xfId="16740"/>
    <cellStyle name="20% - Accent1 4 3 2 3 3 2 2 2" xfId="28541"/>
    <cellStyle name="20% - Accent1 4 3 2 3 3 2 2 2 2" xfId="57556"/>
    <cellStyle name="20% - Accent1 4 3 2 3 3 2 2 3" xfId="42156"/>
    <cellStyle name="20% - Accent1 4 3 2 3 3 2 3" xfId="10723"/>
    <cellStyle name="20% - Accent1 4 3 2 3 3 2 3 2" xfId="57557"/>
    <cellStyle name="20% - Accent1 4 3 2 3 3 2 4" xfId="22524"/>
    <cellStyle name="20% - Accent1 4 3 2 3 3 2 4 2" xfId="57558"/>
    <cellStyle name="20% - Accent1 4 3 2 3 3 2 5" xfId="36139"/>
    <cellStyle name="20% - Accent1 4 3 2 3 3 3" xfId="14776"/>
    <cellStyle name="20% - Accent1 4 3 2 3 3 3 2" xfId="26577"/>
    <cellStyle name="20% - Accent1 4 3 2 3 3 3 2 2" xfId="57559"/>
    <cellStyle name="20% - Accent1 4 3 2 3 3 3 3" xfId="40192"/>
    <cellStyle name="20% - Accent1 4 3 2 3 3 4" xfId="8882"/>
    <cellStyle name="20% - Accent1 4 3 2 3 3 4 2" xfId="57560"/>
    <cellStyle name="20% - Accent1 4 3 2 3 3 5" xfId="20683"/>
    <cellStyle name="20% - Accent1 4 3 2 3 3 5 2" xfId="57561"/>
    <cellStyle name="20% - Accent1 4 3 2 3 3 6" xfId="34298"/>
    <cellStyle name="20% - Accent1 4 3 2 3 4" xfId="4134"/>
    <cellStyle name="20% - Accent1 4 3 2 3 4 2" xfId="14777"/>
    <cellStyle name="20% - Accent1 4 3 2 3 4 2 2" xfId="26578"/>
    <cellStyle name="20% - Accent1 4 3 2 3 4 2 2 2" xfId="57562"/>
    <cellStyle name="20% - Accent1 4 3 2 3 4 2 3" xfId="40193"/>
    <cellStyle name="20% - Accent1 4 3 2 3 4 3" xfId="9587"/>
    <cellStyle name="20% - Accent1 4 3 2 3 4 3 2" xfId="46709"/>
    <cellStyle name="20% - Accent1 4 3 2 3 4 4" xfId="21388"/>
    <cellStyle name="20% - Accent1 4 3 2 3 4 4 2" xfId="57563"/>
    <cellStyle name="20% - Accent1 4 3 2 3 4 5" xfId="35003"/>
    <cellStyle name="20% - Accent1 4 3 2 3 5" xfId="2293"/>
    <cellStyle name="20% - Accent1 4 3 2 3 5 2" xfId="17149"/>
    <cellStyle name="20% - Accent1 4 3 2 3 5 2 2" xfId="28950"/>
    <cellStyle name="20% - Accent1 4 3 2 3 5 2 2 2" xfId="57564"/>
    <cellStyle name="20% - Accent1 4 3 2 3 5 2 3" xfId="42565"/>
    <cellStyle name="20% - Accent1 4 3 2 3 5 3" xfId="7746"/>
    <cellStyle name="20% - Accent1 4 3 2 3 5 3 2" xfId="57565"/>
    <cellStyle name="20% - Accent1 4 3 2 3 5 4" xfId="19547"/>
    <cellStyle name="20% - Accent1 4 3 2 3 5 4 2" xfId="57566"/>
    <cellStyle name="20% - Accent1 4 3 2 3 5 5" xfId="33162"/>
    <cellStyle name="20% - Accent1 4 3 2 3 6" xfId="14778"/>
    <cellStyle name="20% - Accent1 4 3 2 3 6 2" xfId="26579"/>
    <cellStyle name="20% - Accent1 4 3 2 3 6 2 2" xfId="57567"/>
    <cellStyle name="20% - Accent1 4 3 2 3 6 3" xfId="40194"/>
    <cellStyle name="20% - Accent1 4 3 2 3 7" xfId="5846"/>
    <cellStyle name="20% - Accent1 4 3 2 3 7 2" xfId="57568"/>
    <cellStyle name="20% - Accent1 4 3 2 3 8" xfId="17647"/>
    <cellStyle name="20% - Accent1 4 3 2 3 8 2" xfId="57569"/>
    <cellStyle name="20% - Accent1 4 3 2 3 9" xfId="31262"/>
    <cellStyle name="20% - Accent1 4 3 2 4" xfId="670"/>
    <cellStyle name="20% - Accent1 4 3 2 4 2" xfId="1596"/>
    <cellStyle name="20% - Accent1 4 3 2 4 2 2" xfId="4412"/>
    <cellStyle name="20% - Accent1 4 3 2 4 2 2 2" xfId="14779"/>
    <cellStyle name="20% - Accent1 4 3 2 4 2 2 2 2" xfId="26580"/>
    <cellStyle name="20% - Accent1 4 3 2 4 2 2 2 2 2" xfId="57570"/>
    <cellStyle name="20% - Accent1 4 3 2 4 2 2 2 3" xfId="40195"/>
    <cellStyle name="20% - Accent1 4 3 2 4 2 2 3" xfId="9865"/>
    <cellStyle name="20% - Accent1 4 3 2 4 2 2 3 2" xfId="46710"/>
    <cellStyle name="20% - Accent1 4 3 2 4 2 2 4" xfId="21666"/>
    <cellStyle name="20% - Accent1 4 3 2 4 2 2 4 2" xfId="57571"/>
    <cellStyle name="20% - Accent1 4 3 2 4 2 2 5" xfId="35281"/>
    <cellStyle name="20% - Accent1 4 3 2 4 2 3" xfId="14780"/>
    <cellStyle name="20% - Accent1 4 3 2 4 2 3 2" xfId="26581"/>
    <cellStyle name="20% - Accent1 4 3 2 4 2 3 2 2" xfId="46711"/>
    <cellStyle name="20% - Accent1 4 3 2 4 2 3 3" xfId="30285"/>
    <cellStyle name="20% - Accent1 4 3 2 4 2 3 3 2" xfId="46712"/>
    <cellStyle name="20% - Accent1 4 3 2 4 2 3 4" xfId="30286"/>
    <cellStyle name="20% - Accent1 4 3 2 4 2 3 4 2" xfId="57572"/>
    <cellStyle name="20% - Accent1 4 3 2 4 2 3 5" xfId="40196"/>
    <cellStyle name="20% - Accent1 4 3 2 4 2 4" xfId="14781"/>
    <cellStyle name="20% - Accent1 4 3 2 4 2 4 2" xfId="26582"/>
    <cellStyle name="20% - Accent1 4 3 2 4 2 4 2 2" xfId="57573"/>
    <cellStyle name="20% - Accent1 4 3 2 4 2 4 3" xfId="40197"/>
    <cellStyle name="20% - Accent1 4 3 2 4 2 5" xfId="7050"/>
    <cellStyle name="20% - Accent1 4 3 2 4 2 5 2" xfId="46713"/>
    <cellStyle name="20% - Accent1 4 3 2 4 2 6" xfId="18851"/>
    <cellStyle name="20% - Accent1 4 3 2 4 2 6 2" xfId="57574"/>
    <cellStyle name="20% - Accent1 4 3 2 4 2 7" xfId="32466"/>
    <cellStyle name="20% - Accent1 4 3 2 4 3" xfId="2571"/>
    <cellStyle name="20% - Accent1 4 3 2 4 3 2" xfId="14782"/>
    <cellStyle name="20% - Accent1 4 3 2 4 3 2 2" xfId="26583"/>
    <cellStyle name="20% - Accent1 4 3 2 4 3 2 2 2" xfId="57575"/>
    <cellStyle name="20% - Accent1 4 3 2 4 3 2 3" xfId="40198"/>
    <cellStyle name="20% - Accent1 4 3 2 4 3 3" xfId="8024"/>
    <cellStyle name="20% - Accent1 4 3 2 4 3 3 2" xfId="46714"/>
    <cellStyle name="20% - Accent1 4 3 2 4 3 4" xfId="19825"/>
    <cellStyle name="20% - Accent1 4 3 2 4 3 4 2" xfId="57576"/>
    <cellStyle name="20% - Accent1 4 3 2 4 3 5" xfId="33440"/>
    <cellStyle name="20% - Accent1 4 3 2 4 4" xfId="14783"/>
    <cellStyle name="20% - Accent1 4 3 2 4 4 2" xfId="26584"/>
    <cellStyle name="20% - Accent1 4 3 2 4 4 2 2" xfId="46715"/>
    <cellStyle name="20% - Accent1 4 3 2 4 4 3" xfId="30287"/>
    <cellStyle name="20% - Accent1 4 3 2 4 4 3 2" xfId="46716"/>
    <cellStyle name="20% - Accent1 4 3 2 4 4 4" xfId="30288"/>
    <cellStyle name="20% - Accent1 4 3 2 4 4 4 2" xfId="57577"/>
    <cellStyle name="20% - Accent1 4 3 2 4 4 5" xfId="40199"/>
    <cellStyle name="20% - Accent1 4 3 2 4 5" xfId="14784"/>
    <cellStyle name="20% - Accent1 4 3 2 4 5 2" xfId="26585"/>
    <cellStyle name="20% - Accent1 4 3 2 4 5 2 2" xfId="57578"/>
    <cellStyle name="20% - Accent1 4 3 2 4 5 3" xfId="40200"/>
    <cellStyle name="20% - Accent1 4 3 2 4 6" xfId="6124"/>
    <cellStyle name="20% - Accent1 4 3 2 4 6 2" xfId="46717"/>
    <cellStyle name="20% - Accent1 4 3 2 4 7" xfId="17925"/>
    <cellStyle name="20% - Accent1 4 3 2 4 7 2" xfId="57579"/>
    <cellStyle name="20% - Accent1 4 3 2 4 8" xfId="31540"/>
    <cellStyle name="20% - Accent1 4 3 2 5" xfId="911"/>
    <cellStyle name="20% - Accent1 4 3 2 5 2" xfId="1597"/>
    <cellStyle name="20% - Accent1 4 3 2 5 2 2" xfId="4980"/>
    <cellStyle name="20% - Accent1 4 3 2 5 2 2 2" xfId="14785"/>
    <cellStyle name="20% - Accent1 4 3 2 5 2 2 2 2" xfId="26586"/>
    <cellStyle name="20% - Accent1 4 3 2 5 2 2 2 2 2" xfId="57580"/>
    <cellStyle name="20% - Accent1 4 3 2 5 2 2 2 3" xfId="40201"/>
    <cellStyle name="20% - Accent1 4 3 2 5 2 2 3" xfId="10433"/>
    <cellStyle name="20% - Accent1 4 3 2 5 2 2 3 2" xfId="46718"/>
    <cellStyle name="20% - Accent1 4 3 2 5 2 2 4" xfId="22234"/>
    <cellStyle name="20% - Accent1 4 3 2 5 2 2 4 2" xfId="57581"/>
    <cellStyle name="20% - Accent1 4 3 2 5 2 2 5" xfId="35849"/>
    <cellStyle name="20% - Accent1 4 3 2 5 2 3" xfId="14786"/>
    <cellStyle name="20% - Accent1 4 3 2 5 2 3 2" xfId="26587"/>
    <cellStyle name="20% - Accent1 4 3 2 5 2 3 2 2" xfId="46719"/>
    <cellStyle name="20% - Accent1 4 3 2 5 2 3 3" xfId="30289"/>
    <cellStyle name="20% - Accent1 4 3 2 5 2 3 3 2" xfId="46720"/>
    <cellStyle name="20% - Accent1 4 3 2 5 2 3 4" xfId="30290"/>
    <cellStyle name="20% - Accent1 4 3 2 5 2 3 4 2" xfId="57582"/>
    <cellStyle name="20% - Accent1 4 3 2 5 2 3 5" xfId="40202"/>
    <cellStyle name="20% - Accent1 4 3 2 5 2 4" xfId="14787"/>
    <cellStyle name="20% - Accent1 4 3 2 5 2 4 2" xfId="26588"/>
    <cellStyle name="20% - Accent1 4 3 2 5 2 4 2 2" xfId="57583"/>
    <cellStyle name="20% - Accent1 4 3 2 5 2 4 3" xfId="40203"/>
    <cellStyle name="20% - Accent1 4 3 2 5 2 5" xfId="7051"/>
    <cellStyle name="20% - Accent1 4 3 2 5 2 5 2" xfId="46721"/>
    <cellStyle name="20% - Accent1 4 3 2 5 2 6" xfId="18852"/>
    <cellStyle name="20% - Accent1 4 3 2 5 2 6 2" xfId="57584"/>
    <cellStyle name="20% - Accent1 4 3 2 5 2 7" xfId="32467"/>
    <cellStyle name="20% - Accent1 4 3 2 5 3" xfId="3139"/>
    <cellStyle name="20% - Accent1 4 3 2 5 3 2" xfId="14788"/>
    <cellStyle name="20% - Accent1 4 3 2 5 3 2 2" xfId="26589"/>
    <cellStyle name="20% - Accent1 4 3 2 5 3 2 2 2" xfId="57585"/>
    <cellStyle name="20% - Accent1 4 3 2 5 3 2 3" xfId="40204"/>
    <cellStyle name="20% - Accent1 4 3 2 5 3 3" xfId="8592"/>
    <cellStyle name="20% - Accent1 4 3 2 5 3 3 2" xfId="46722"/>
    <cellStyle name="20% - Accent1 4 3 2 5 3 4" xfId="20393"/>
    <cellStyle name="20% - Accent1 4 3 2 5 3 4 2" xfId="57586"/>
    <cellStyle name="20% - Accent1 4 3 2 5 3 5" xfId="34008"/>
    <cellStyle name="20% - Accent1 4 3 2 5 4" xfId="14789"/>
    <cellStyle name="20% - Accent1 4 3 2 5 4 2" xfId="26590"/>
    <cellStyle name="20% - Accent1 4 3 2 5 4 2 2" xfId="46723"/>
    <cellStyle name="20% - Accent1 4 3 2 5 4 3" xfId="30291"/>
    <cellStyle name="20% - Accent1 4 3 2 5 4 3 2" xfId="46724"/>
    <cellStyle name="20% - Accent1 4 3 2 5 4 4" xfId="30292"/>
    <cellStyle name="20% - Accent1 4 3 2 5 4 4 2" xfId="57587"/>
    <cellStyle name="20% - Accent1 4 3 2 5 4 5" xfId="40205"/>
    <cellStyle name="20% - Accent1 4 3 2 5 5" xfId="14790"/>
    <cellStyle name="20% - Accent1 4 3 2 5 5 2" xfId="26591"/>
    <cellStyle name="20% - Accent1 4 3 2 5 5 2 2" xfId="57588"/>
    <cellStyle name="20% - Accent1 4 3 2 5 5 3" xfId="40206"/>
    <cellStyle name="20% - Accent1 4 3 2 5 6" xfId="6365"/>
    <cellStyle name="20% - Accent1 4 3 2 5 6 2" xfId="46725"/>
    <cellStyle name="20% - Accent1 4 3 2 5 7" xfId="18166"/>
    <cellStyle name="20% - Accent1 4 3 2 5 7 2" xfId="57589"/>
    <cellStyle name="20% - Accent1 4 3 2 5 8" xfId="31781"/>
    <cellStyle name="20% - Accent1 4 3 2 6" xfId="1598"/>
    <cellStyle name="20% - Accent1 4 3 2 6 2" xfId="3844"/>
    <cellStyle name="20% - Accent1 4 3 2 6 2 2" xfId="14791"/>
    <cellStyle name="20% - Accent1 4 3 2 6 2 2 2" xfId="26592"/>
    <cellStyle name="20% - Accent1 4 3 2 6 2 2 2 2" xfId="57590"/>
    <cellStyle name="20% - Accent1 4 3 2 6 2 2 3" xfId="40207"/>
    <cellStyle name="20% - Accent1 4 3 2 6 2 3" xfId="9297"/>
    <cellStyle name="20% - Accent1 4 3 2 6 2 3 2" xfId="46726"/>
    <cellStyle name="20% - Accent1 4 3 2 6 2 4" xfId="21098"/>
    <cellStyle name="20% - Accent1 4 3 2 6 2 4 2" xfId="57591"/>
    <cellStyle name="20% - Accent1 4 3 2 6 2 5" xfId="34713"/>
    <cellStyle name="20% - Accent1 4 3 2 6 3" xfId="14792"/>
    <cellStyle name="20% - Accent1 4 3 2 6 3 2" xfId="26593"/>
    <cellStyle name="20% - Accent1 4 3 2 6 3 2 2" xfId="46727"/>
    <cellStyle name="20% - Accent1 4 3 2 6 3 3" xfId="30293"/>
    <cellStyle name="20% - Accent1 4 3 2 6 3 3 2" xfId="46728"/>
    <cellStyle name="20% - Accent1 4 3 2 6 3 4" xfId="30294"/>
    <cellStyle name="20% - Accent1 4 3 2 6 3 4 2" xfId="57592"/>
    <cellStyle name="20% - Accent1 4 3 2 6 3 5" xfId="40208"/>
    <cellStyle name="20% - Accent1 4 3 2 6 4" xfId="14793"/>
    <cellStyle name="20% - Accent1 4 3 2 6 4 2" xfId="26594"/>
    <cellStyle name="20% - Accent1 4 3 2 6 4 2 2" xfId="57593"/>
    <cellStyle name="20% - Accent1 4 3 2 6 4 3" xfId="40209"/>
    <cellStyle name="20% - Accent1 4 3 2 6 5" xfId="7052"/>
    <cellStyle name="20% - Accent1 4 3 2 6 5 2" xfId="46729"/>
    <cellStyle name="20% - Accent1 4 3 2 6 6" xfId="18853"/>
    <cellStyle name="20% - Accent1 4 3 2 6 6 2" xfId="57594"/>
    <cellStyle name="20% - Accent1 4 3 2 6 7" xfId="32468"/>
    <cellStyle name="20% - Accent1 4 3 2 7" xfId="3707"/>
    <cellStyle name="20% - Accent1 4 3 2 7 2" xfId="14794"/>
    <cellStyle name="20% - Accent1 4 3 2 7 2 2" xfId="26595"/>
    <cellStyle name="20% - Accent1 4 3 2 7 2 2 2" xfId="57595"/>
    <cellStyle name="20% - Accent1 4 3 2 7 2 3" xfId="40210"/>
    <cellStyle name="20% - Accent1 4 3 2 7 3" xfId="9160"/>
    <cellStyle name="20% - Accent1 4 3 2 7 3 2" xfId="46730"/>
    <cellStyle name="20% - Accent1 4 3 2 7 4" xfId="20961"/>
    <cellStyle name="20% - Accent1 4 3 2 7 4 2" xfId="57596"/>
    <cellStyle name="20% - Accent1 4 3 2 7 5" xfId="34576"/>
    <cellStyle name="20% - Accent1 4 3 2 8" xfId="2003"/>
    <cellStyle name="20% - Accent1 4 3 2 8 2" xfId="14795"/>
    <cellStyle name="20% - Accent1 4 3 2 8 2 2" xfId="26596"/>
    <cellStyle name="20% - Accent1 4 3 2 8 2 2 2" xfId="57597"/>
    <cellStyle name="20% - Accent1 4 3 2 8 2 3" xfId="40211"/>
    <cellStyle name="20% - Accent1 4 3 2 8 3" xfId="7456"/>
    <cellStyle name="20% - Accent1 4 3 2 8 3 2" xfId="46731"/>
    <cellStyle name="20% - Accent1 4 3 2 8 4" xfId="19257"/>
    <cellStyle name="20% - Accent1 4 3 2 8 4 2" xfId="57598"/>
    <cellStyle name="20% - Accent1 4 3 2 8 5" xfId="32872"/>
    <cellStyle name="20% - Accent1 4 3 2 9" xfId="14796"/>
    <cellStyle name="20% - Accent1 4 3 2 9 2" xfId="26597"/>
    <cellStyle name="20% - Accent1 4 3 2 9 2 2" xfId="57599"/>
    <cellStyle name="20% - Accent1 4 3 2 9 3" xfId="40212"/>
    <cellStyle name="20% - Accent1 4 3 3" xfId="177"/>
    <cellStyle name="20% - Accent1 4 3 3 10" xfId="31047"/>
    <cellStyle name="20% - Accent1 4 3 3 2" xfId="325"/>
    <cellStyle name="20% - Accent1 4 3 3 2 2" xfId="1599"/>
    <cellStyle name="20% - Accent1 4 3 3 2 2 2" xfId="4635"/>
    <cellStyle name="20% - Accent1 4 3 3 2 2 2 2" xfId="14797"/>
    <cellStyle name="20% - Accent1 4 3 3 2 2 2 2 2" xfId="26598"/>
    <cellStyle name="20% - Accent1 4 3 3 2 2 2 2 2 2" xfId="57600"/>
    <cellStyle name="20% - Accent1 4 3 3 2 2 2 2 3" xfId="40213"/>
    <cellStyle name="20% - Accent1 4 3 3 2 2 2 3" xfId="10088"/>
    <cellStyle name="20% - Accent1 4 3 3 2 2 2 3 2" xfId="46732"/>
    <cellStyle name="20% - Accent1 4 3 3 2 2 2 4" xfId="21889"/>
    <cellStyle name="20% - Accent1 4 3 3 2 2 2 4 2" xfId="57601"/>
    <cellStyle name="20% - Accent1 4 3 3 2 2 2 5" xfId="35504"/>
    <cellStyle name="20% - Accent1 4 3 3 2 2 3" xfId="2794"/>
    <cellStyle name="20% - Accent1 4 3 3 2 2 3 2" xfId="14798"/>
    <cellStyle name="20% - Accent1 4 3 3 2 2 3 2 2" xfId="26599"/>
    <cellStyle name="20% - Accent1 4 3 3 2 2 3 2 2 2" xfId="57602"/>
    <cellStyle name="20% - Accent1 4 3 3 2 2 3 2 3" xfId="40214"/>
    <cellStyle name="20% - Accent1 4 3 3 2 2 3 3" xfId="8247"/>
    <cellStyle name="20% - Accent1 4 3 3 2 2 3 3 2" xfId="46733"/>
    <cellStyle name="20% - Accent1 4 3 3 2 2 3 4" xfId="20048"/>
    <cellStyle name="20% - Accent1 4 3 3 2 2 3 4 2" xfId="57603"/>
    <cellStyle name="20% - Accent1 4 3 3 2 2 3 5" xfId="33663"/>
    <cellStyle name="20% - Accent1 4 3 3 2 2 4" xfId="14799"/>
    <cellStyle name="20% - Accent1 4 3 3 2 2 4 2" xfId="26600"/>
    <cellStyle name="20% - Accent1 4 3 3 2 2 4 2 2" xfId="57604"/>
    <cellStyle name="20% - Accent1 4 3 3 2 2 4 3" xfId="40215"/>
    <cellStyle name="20% - Accent1 4 3 3 2 2 5" xfId="7053"/>
    <cellStyle name="20% - Accent1 4 3 3 2 2 5 2" xfId="46734"/>
    <cellStyle name="20% - Accent1 4 3 3 2 2 6" xfId="18854"/>
    <cellStyle name="20% - Accent1 4 3 3 2 2 6 2" xfId="57605"/>
    <cellStyle name="20% - Accent1 4 3 3 2 2 7" xfId="32469"/>
    <cellStyle name="20% - Accent1 4 3 3 2 3" xfId="3362"/>
    <cellStyle name="20% - Accent1 4 3 3 2 3 2" xfId="5203"/>
    <cellStyle name="20% - Accent1 4 3 3 2 3 2 2" xfId="16673"/>
    <cellStyle name="20% - Accent1 4 3 3 2 3 2 2 2" xfId="28474"/>
    <cellStyle name="20% - Accent1 4 3 3 2 3 2 2 2 2" xfId="57606"/>
    <cellStyle name="20% - Accent1 4 3 3 2 3 2 2 3" xfId="42089"/>
    <cellStyle name="20% - Accent1 4 3 3 2 3 2 3" xfId="10656"/>
    <cellStyle name="20% - Accent1 4 3 3 2 3 2 3 2" xfId="57607"/>
    <cellStyle name="20% - Accent1 4 3 3 2 3 2 4" xfId="22457"/>
    <cellStyle name="20% - Accent1 4 3 3 2 3 2 4 2" xfId="57608"/>
    <cellStyle name="20% - Accent1 4 3 3 2 3 2 5" xfId="36072"/>
    <cellStyle name="20% - Accent1 4 3 3 2 3 3" xfId="14800"/>
    <cellStyle name="20% - Accent1 4 3 3 2 3 3 2" xfId="26601"/>
    <cellStyle name="20% - Accent1 4 3 3 2 3 3 2 2" xfId="57609"/>
    <cellStyle name="20% - Accent1 4 3 3 2 3 3 3" xfId="40216"/>
    <cellStyle name="20% - Accent1 4 3 3 2 3 4" xfId="8815"/>
    <cellStyle name="20% - Accent1 4 3 3 2 3 4 2" xfId="57610"/>
    <cellStyle name="20% - Accent1 4 3 3 2 3 5" xfId="20616"/>
    <cellStyle name="20% - Accent1 4 3 3 2 3 5 2" xfId="57611"/>
    <cellStyle name="20% - Accent1 4 3 3 2 3 6" xfId="34231"/>
    <cellStyle name="20% - Accent1 4 3 3 2 4" xfId="4067"/>
    <cellStyle name="20% - Accent1 4 3 3 2 4 2" xfId="14801"/>
    <cellStyle name="20% - Accent1 4 3 3 2 4 2 2" xfId="26602"/>
    <cellStyle name="20% - Accent1 4 3 3 2 4 2 2 2" xfId="57612"/>
    <cellStyle name="20% - Accent1 4 3 3 2 4 2 3" xfId="40217"/>
    <cellStyle name="20% - Accent1 4 3 3 2 4 3" xfId="9520"/>
    <cellStyle name="20% - Accent1 4 3 3 2 4 3 2" xfId="46735"/>
    <cellStyle name="20% - Accent1 4 3 3 2 4 4" xfId="21321"/>
    <cellStyle name="20% - Accent1 4 3 3 2 4 4 2" xfId="57613"/>
    <cellStyle name="20% - Accent1 4 3 3 2 4 5" xfId="34936"/>
    <cellStyle name="20% - Accent1 4 3 3 2 5" xfId="2226"/>
    <cellStyle name="20% - Accent1 4 3 3 2 5 2" xfId="17150"/>
    <cellStyle name="20% - Accent1 4 3 3 2 5 2 2" xfId="28951"/>
    <cellStyle name="20% - Accent1 4 3 3 2 5 2 2 2" xfId="57614"/>
    <cellStyle name="20% - Accent1 4 3 3 2 5 2 3" xfId="42566"/>
    <cellStyle name="20% - Accent1 4 3 3 2 5 3" xfId="7679"/>
    <cellStyle name="20% - Accent1 4 3 3 2 5 3 2" xfId="57615"/>
    <cellStyle name="20% - Accent1 4 3 3 2 5 4" xfId="19480"/>
    <cellStyle name="20% - Accent1 4 3 3 2 5 4 2" xfId="57616"/>
    <cellStyle name="20% - Accent1 4 3 3 2 5 5" xfId="33095"/>
    <cellStyle name="20% - Accent1 4 3 3 2 6" xfId="14802"/>
    <cellStyle name="20% - Accent1 4 3 3 2 6 2" xfId="26603"/>
    <cellStyle name="20% - Accent1 4 3 3 2 6 2 2" xfId="57617"/>
    <cellStyle name="20% - Accent1 4 3 3 2 6 3" xfId="40218"/>
    <cellStyle name="20% - Accent1 4 3 3 2 7" xfId="5779"/>
    <cellStyle name="20% - Accent1 4 3 3 2 7 2" xfId="57618"/>
    <cellStyle name="20% - Accent1 4 3 3 2 8" xfId="17580"/>
    <cellStyle name="20% - Accent1 4 3 3 2 8 2" xfId="57619"/>
    <cellStyle name="20% - Accent1 4 3 3 2 9" xfId="31195"/>
    <cellStyle name="20% - Accent1 4 3 3 3" xfId="745"/>
    <cellStyle name="20% - Accent1 4 3 3 3 2" xfId="1600"/>
    <cellStyle name="20% - Accent1 4 3 3 3 2 2" xfId="4487"/>
    <cellStyle name="20% - Accent1 4 3 3 3 2 2 2" xfId="14803"/>
    <cellStyle name="20% - Accent1 4 3 3 3 2 2 2 2" xfId="26604"/>
    <cellStyle name="20% - Accent1 4 3 3 3 2 2 2 2 2" xfId="57620"/>
    <cellStyle name="20% - Accent1 4 3 3 3 2 2 2 3" xfId="40219"/>
    <cellStyle name="20% - Accent1 4 3 3 3 2 2 3" xfId="9940"/>
    <cellStyle name="20% - Accent1 4 3 3 3 2 2 3 2" xfId="46736"/>
    <cellStyle name="20% - Accent1 4 3 3 3 2 2 4" xfId="21741"/>
    <cellStyle name="20% - Accent1 4 3 3 3 2 2 4 2" xfId="57621"/>
    <cellStyle name="20% - Accent1 4 3 3 3 2 2 5" xfId="35356"/>
    <cellStyle name="20% - Accent1 4 3 3 3 2 3" xfId="14804"/>
    <cellStyle name="20% - Accent1 4 3 3 3 2 3 2" xfId="26605"/>
    <cellStyle name="20% - Accent1 4 3 3 3 2 3 2 2" xfId="46737"/>
    <cellStyle name="20% - Accent1 4 3 3 3 2 3 3" xfId="30295"/>
    <cellStyle name="20% - Accent1 4 3 3 3 2 3 3 2" xfId="46738"/>
    <cellStyle name="20% - Accent1 4 3 3 3 2 3 4" xfId="30296"/>
    <cellStyle name="20% - Accent1 4 3 3 3 2 3 4 2" xfId="57622"/>
    <cellStyle name="20% - Accent1 4 3 3 3 2 3 5" xfId="40220"/>
    <cellStyle name="20% - Accent1 4 3 3 3 2 4" xfId="14805"/>
    <cellStyle name="20% - Accent1 4 3 3 3 2 4 2" xfId="26606"/>
    <cellStyle name="20% - Accent1 4 3 3 3 2 4 2 2" xfId="57623"/>
    <cellStyle name="20% - Accent1 4 3 3 3 2 4 3" xfId="40221"/>
    <cellStyle name="20% - Accent1 4 3 3 3 2 5" xfId="7054"/>
    <cellStyle name="20% - Accent1 4 3 3 3 2 5 2" xfId="46739"/>
    <cellStyle name="20% - Accent1 4 3 3 3 2 6" xfId="18855"/>
    <cellStyle name="20% - Accent1 4 3 3 3 2 6 2" xfId="57624"/>
    <cellStyle name="20% - Accent1 4 3 3 3 2 7" xfId="32470"/>
    <cellStyle name="20% - Accent1 4 3 3 3 3" xfId="2646"/>
    <cellStyle name="20% - Accent1 4 3 3 3 3 2" xfId="14806"/>
    <cellStyle name="20% - Accent1 4 3 3 3 3 2 2" xfId="26607"/>
    <cellStyle name="20% - Accent1 4 3 3 3 3 2 2 2" xfId="57625"/>
    <cellStyle name="20% - Accent1 4 3 3 3 3 2 3" xfId="40222"/>
    <cellStyle name="20% - Accent1 4 3 3 3 3 3" xfId="8099"/>
    <cellStyle name="20% - Accent1 4 3 3 3 3 3 2" xfId="46740"/>
    <cellStyle name="20% - Accent1 4 3 3 3 3 4" xfId="19900"/>
    <cellStyle name="20% - Accent1 4 3 3 3 3 4 2" xfId="57626"/>
    <cellStyle name="20% - Accent1 4 3 3 3 3 5" xfId="33515"/>
    <cellStyle name="20% - Accent1 4 3 3 3 4" xfId="14807"/>
    <cellStyle name="20% - Accent1 4 3 3 3 4 2" xfId="26608"/>
    <cellStyle name="20% - Accent1 4 3 3 3 4 2 2" xfId="46741"/>
    <cellStyle name="20% - Accent1 4 3 3 3 4 3" xfId="30297"/>
    <cellStyle name="20% - Accent1 4 3 3 3 4 3 2" xfId="46742"/>
    <cellStyle name="20% - Accent1 4 3 3 3 4 4" xfId="30298"/>
    <cellStyle name="20% - Accent1 4 3 3 3 4 4 2" xfId="57627"/>
    <cellStyle name="20% - Accent1 4 3 3 3 4 5" xfId="40223"/>
    <cellStyle name="20% - Accent1 4 3 3 3 5" xfId="14808"/>
    <cellStyle name="20% - Accent1 4 3 3 3 5 2" xfId="26609"/>
    <cellStyle name="20% - Accent1 4 3 3 3 5 2 2" xfId="57628"/>
    <cellStyle name="20% - Accent1 4 3 3 3 5 3" xfId="40224"/>
    <cellStyle name="20% - Accent1 4 3 3 3 6" xfId="6199"/>
    <cellStyle name="20% - Accent1 4 3 3 3 6 2" xfId="46743"/>
    <cellStyle name="20% - Accent1 4 3 3 3 7" xfId="18000"/>
    <cellStyle name="20% - Accent1 4 3 3 3 7 2" xfId="57629"/>
    <cellStyle name="20% - Accent1 4 3 3 3 8" xfId="31615"/>
    <cellStyle name="20% - Accent1 4 3 3 4" xfId="1601"/>
    <cellStyle name="20% - Accent1 4 3 3 4 2" xfId="5055"/>
    <cellStyle name="20% - Accent1 4 3 3 4 2 2" xfId="14809"/>
    <cellStyle name="20% - Accent1 4 3 3 4 2 2 2" xfId="26610"/>
    <cellStyle name="20% - Accent1 4 3 3 4 2 2 2 2" xfId="57630"/>
    <cellStyle name="20% - Accent1 4 3 3 4 2 2 3" xfId="40225"/>
    <cellStyle name="20% - Accent1 4 3 3 4 2 3" xfId="10508"/>
    <cellStyle name="20% - Accent1 4 3 3 4 2 3 2" xfId="46744"/>
    <cellStyle name="20% - Accent1 4 3 3 4 2 4" xfId="22309"/>
    <cellStyle name="20% - Accent1 4 3 3 4 2 4 2" xfId="57631"/>
    <cellStyle name="20% - Accent1 4 3 3 4 2 5" xfId="35924"/>
    <cellStyle name="20% - Accent1 4 3 3 4 3" xfId="3214"/>
    <cellStyle name="20% - Accent1 4 3 3 4 3 2" xfId="14810"/>
    <cellStyle name="20% - Accent1 4 3 3 4 3 2 2" xfId="26611"/>
    <cellStyle name="20% - Accent1 4 3 3 4 3 2 2 2" xfId="57632"/>
    <cellStyle name="20% - Accent1 4 3 3 4 3 2 3" xfId="40226"/>
    <cellStyle name="20% - Accent1 4 3 3 4 3 3" xfId="8667"/>
    <cellStyle name="20% - Accent1 4 3 3 4 3 3 2" xfId="46745"/>
    <cellStyle name="20% - Accent1 4 3 3 4 3 4" xfId="20468"/>
    <cellStyle name="20% - Accent1 4 3 3 4 3 4 2" xfId="57633"/>
    <cellStyle name="20% - Accent1 4 3 3 4 3 5" xfId="34083"/>
    <cellStyle name="20% - Accent1 4 3 3 4 4" xfId="14811"/>
    <cellStyle name="20% - Accent1 4 3 3 4 4 2" xfId="26612"/>
    <cellStyle name="20% - Accent1 4 3 3 4 4 2 2" xfId="57634"/>
    <cellStyle name="20% - Accent1 4 3 3 4 4 3" xfId="40227"/>
    <cellStyle name="20% - Accent1 4 3 3 4 5" xfId="7055"/>
    <cellStyle name="20% - Accent1 4 3 3 4 5 2" xfId="46746"/>
    <cellStyle name="20% - Accent1 4 3 3 4 6" xfId="18856"/>
    <cellStyle name="20% - Accent1 4 3 3 4 6 2" xfId="57635"/>
    <cellStyle name="20% - Accent1 4 3 3 4 7" xfId="32471"/>
    <cellStyle name="20% - Accent1 4 3 3 5" xfId="3919"/>
    <cellStyle name="20% - Accent1 4 3 3 5 2" xfId="14812"/>
    <cellStyle name="20% - Accent1 4 3 3 5 2 2" xfId="26613"/>
    <cellStyle name="20% - Accent1 4 3 3 5 2 2 2" xfId="57636"/>
    <cellStyle name="20% - Accent1 4 3 3 5 2 3" xfId="40228"/>
    <cellStyle name="20% - Accent1 4 3 3 5 3" xfId="9372"/>
    <cellStyle name="20% - Accent1 4 3 3 5 3 2" xfId="46747"/>
    <cellStyle name="20% - Accent1 4 3 3 5 4" xfId="21173"/>
    <cellStyle name="20% - Accent1 4 3 3 5 4 2" xfId="57637"/>
    <cellStyle name="20% - Accent1 4 3 3 5 5" xfId="34788"/>
    <cellStyle name="20% - Accent1 4 3 3 6" xfId="2078"/>
    <cellStyle name="20% - Accent1 4 3 3 6 2" xfId="14813"/>
    <cellStyle name="20% - Accent1 4 3 3 6 2 2" xfId="26614"/>
    <cellStyle name="20% - Accent1 4 3 3 6 2 2 2" xfId="57638"/>
    <cellStyle name="20% - Accent1 4 3 3 6 2 3" xfId="40229"/>
    <cellStyle name="20% - Accent1 4 3 3 6 3" xfId="7531"/>
    <cellStyle name="20% - Accent1 4 3 3 6 3 2" xfId="46748"/>
    <cellStyle name="20% - Accent1 4 3 3 6 4" xfId="19332"/>
    <cellStyle name="20% - Accent1 4 3 3 6 4 2" xfId="57639"/>
    <cellStyle name="20% - Accent1 4 3 3 6 5" xfId="32947"/>
    <cellStyle name="20% - Accent1 4 3 3 7" xfId="14814"/>
    <cellStyle name="20% - Accent1 4 3 3 7 2" xfId="26615"/>
    <cellStyle name="20% - Accent1 4 3 3 7 2 2" xfId="57640"/>
    <cellStyle name="20% - Accent1 4 3 3 7 3" xfId="40230"/>
    <cellStyle name="20% - Accent1 4 3 3 8" xfId="5631"/>
    <cellStyle name="20% - Accent1 4 3 3 8 2" xfId="46749"/>
    <cellStyle name="20% - Accent1 4 3 3 9" xfId="17432"/>
    <cellStyle name="20% - Accent1 4 3 3 9 2" xfId="57641"/>
    <cellStyle name="20% - Accent1 4 3 4" xfId="462"/>
    <cellStyle name="20% - Accent1 4 3 4 2" xfId="1602"/>
    <cellStyle name="20% - Accent1 4 3 4 2 2" xfId="4772"/>
    <cellStyle name="20% - Accent1 4 3 4 2 2 2" xfId="14815"/>
    <cellStyle name="20% - Accent1 4 3 4 2 2 2 2" xfId="26616"/>
    <cellStyle name="20% - Accent1 4 3 4 2 2 2 2 2" xfId="57642"/>
    <cellStyle name="20% - Accent1 4 3 4 2 2 2 3" xfId="40231"/>
    <cellStyle name="20% - Accent1 4 3 4 2 2 3" xfId="10225"/>
    <cellStyle name="20% - Accent1 4 3 4 2 2 3 2" xfId="46750"/>
    <cellStyle name="20% - Accent1 4 3 4 2 2 4" xfId="22026"/>
    <cellStyle name="20% - Accent1 4 3 4 2 2 4 2" xfId="57643"/>
    <cellStyle name="20% - Accent1 4 3 4 2 2 5" xfId="35641"/>
    <cellStyle name="20% - Accent1 4 3 4 2 3" xfId="2931"/>
    <cellStyle name="20% - Accent1 4 3 4 2 3 2" xfId="14816"/>
    <cellStyle name="20% - Accent1 4 3 4 2 3 2 2" xfId="26617"/>
    <cellStyle name="20% - Accent1 4 3 4 2 3 2 2 2" xfId="57644"/>
    <cellStyle name="20% - Accent1 4 3 4 2 3 2 3" xfId="40232"/>
    <cellStyle name="20% - Accent1 4 3 4 2 3 3" xfId="8384"/>
    <cellStyle name="20% - Accent1 4 3 4 2 3 3 2" xfId="46751"/>
    <cellStyle name="20% - Accent1 4 3 4 2 3 4" xfId="20185"/>
    <cellStyle name="20% - Accent1 4 3 4 2 3 4 2" xfId="57645"/>
    <cellStyle name="20% - Accent1 4 3 4 2 3 5" xfId="33800"/>
    <cellStyle name="20% - Accent1 4 3 4 2 4" xfId="14817"/>
    <cellStyle name="20% - Accent1 4 3 4 2 4 2" xfId="26618"/>
    <cellStyle name="20% - Accent1 4 3 4 2 4 2 2" xfId="57646"/>
    <cellStyle name="20% - Accent1 4 3 4 2 4 3" xfId="40233"/>
    <cellStyle name="20% - Accent1 4 3 4 2 5" xfId="7056"/>
    <cellStyle name="20% - Accent1 4 3 4 2 5 2" xfId="46752"/>
    <cellStyle name="20% - Accent1 4 3 4 2 6" xfId="18857"/>
    <cellStyle name="20% - Accent1 4 3 4 2 6 2" xfId="57647"/>
    <cellStyle name="20% - Accent1 4 3 4 2 7" xfId="32472"/>
    <cellStyle name="20% - Accent1 4 3 4 3" xfId="3499"/>
    <cellStyle name="20% - Accent1 4 3 4 3 2" xfId="5340"/>
    <cellStyle name="20% - Accent1 4 3 4 3 2 2" xfId="16810"/>
    <cellStyle name="20% - Accent1 4 3 4 3 2 2 2" xfId="28611"/>
    <cellStyle name="20% - Accent1 4 3 4 3 2 2 2 2" xfId="57648"/>
    <cellStyle name="20% - Accent1 4 3 4 3 2 2 3" xfId="42226"/>
    <cellStyle name="20% - Accent1 4 3 4 3 2 3" xfId="10793"/>
    <cellStyle name="20% - Accent1 4 3 4 3 2 3 2" xfId="57649"/>
    <cellStyle name="20% - Accent1 4 3 4 3 2 4" xfId="22594"/>
    <cellStyle name="20% - Accent1 4 3 4 3 2 4 2" xfId="57650"/>
    <cellStyle name="20% - Accent1 4 3 4 3 2 5" xfId="36209"/>
    <cellStyle name="20% - Accent1 4 3 4 3 3" xfId="14818"/>
    <cellStyle name="20% - Accent1 4 3 4 3 3 2" xfId="26619"/>
    <cellStyle name="20% - Accent1 4 3 4 3 3 2 2" xfId="57651"/>
    <cellStyle name="20% - Accent1 4 3 4 3 3 3" xfId="40234"/>
    <cellStyle name="20% - Accent1 4 3 4 3 4" xfId="8952"/>
    <cellStyle name="20% - Accent1 4 3 4 3 4 2" xfId="57652"/>
    <cellStyle name="20% - Accent1 4 3 4 3 5" xfId="20753"/>
    <cellStyle name="20% - Accent1 4 3 4 3 5 2" xfId="57653"/>
    <cellStyle name="20% - Accent1 4 3 4 3 6" xfId="34368"/>
    <cellStyle name="20% - Accent1 4 3 4 4" xfId="4204"/>
    <cellStyle name="20% - Accent1 4 3 4 4 2" xfId="14819"/>
    <cellStyle name="20% - Accent1 4 3 4 4 2 2" xfId="26620"/>
    <cellStyle name="20% - Accent1 4 3 4 4 2 2 2" xfId="57654"/>
    <cellStyle name="20% - Accent1 4 3 4 4 2 3" xfId="40235"/>
    <cellStyle name="20% - Accent1 4 3 4 4 3" xfId="9657"/>
    <cellStyle name="20% - Accent1 4 3 4 4 3 2" xfId="46753"/>
    <cellStyle name="20% - Accent1 4 3 4 4 4" xfId="21458"/>
    <cellStyle name="20% - Accent1 4 3 4 4 4 2" xfId="57655"/>
    <cellStyle name="20% - Accent1 4 3 4 4 5" xfId="35073"/>
    <cellStyle name="20% - Accent1 4 3 4 5" xfId="2363"/>
    <cellStyle name="20% - Accent1 4 3 4 5 2" xfId="17151"/>
    <cellStyle name="20% - Accent1 4 3 4 5 2 2" xfId="28952"/>
    <cellStyle name="20% - Accent1 4 3 4 5 2 2 2" xfId="57656"/>
    <cellStyle name="20% - Accent1 4 3 4 5 2 3" xfId="42567"/>
    <cellStyle name="20% - Accent1 4 3 4 5 3" xfId="7816"/>
    <cellStyle name="20% - Accent1 4 3 4 5 3 2" xfId="57657"/>
    <cellStyle name="20% - Accent1 4 3 4 5 4" xfId="19617"/>
    <cellStyle name="20% - Accent1 4 3 4 5 4 2" xfId="57658"/>
    <cellStyle name="20% - Accent1 4 3 4 5 5" xfId="33232"/>
    <cellStyle name="20% - Accent1 4 3 4 6" xfId="14820"/>
    <cellStyle name="20% - Accent1 4 3 4 6 2" xfId="26621"/>
    <cellStyle name="20% - Accent1 4 3 4 6 2 2" xfId="57659"/>
    <cellStyle name="20% - Accent1 4 3 4 6 3" xfId="40236"/>
    <cellStyle name="20% - Accent1 4 3 4 7" xfId="5916"/>
    <cellStyle name="20% - Accent1 4 3 4 7 2" xfId="57660"/>
    <cellStyle name="20% - Accent1 4 3 4 8" xfId="17717"/>
    <cellStyle name="20% - Accent1 4 3 4 8 2" xfId="57661"/>
    <cellStyle name="20% - Accent1 4 3 4 9" xfId="31332"/>
    <cellStyle name="20% - Accent1 4 3 5" xfId="276"/>
    <cellStyle name="20% - Accent1 4 3 5 2" xfId="1603"/>
    <cellStyle name="20% - Accent1 4 3 5 2 2" xfId="4586"/>
    <cellStyle name="20% - Accent1 4 3 5 2 2 2" xfId="14821"/>
    <cellStyle name="20% - Accent1 4 3 5 2 2 2 2" xfId="26622"/>
    <cellStyle name="20% - Accent1 4 3 5 2 2 2 2 2" xfId="57662"/>
    <cellStyle name="20% - Accent1 4 3 5 2 2 2 3" xfId="40237"/>
    <cellStyle name="20% - Accent1 4 3 5 2 2 3" xfId="10039"/>
    <cellStyle name="20% - Accent1 4 3 5 2 2 3 2" xfId="46754"/>
    <cellStyle name="20% - Accent1 4 3 5 2 2 4" xfId="21840"/>
    <cellStyle name="20% - Accent1 4 3 5 2 2 4 2" xfId="57663"/>
    <cellStyle name="20% - Accent1 4 3 5 2 2 5" xfId="35455"/>
    <cellStyle name="20% - Accent1 4 3 5 2 3" xfId="2745"/>
    <cellStyle name="20% - Accent1 4 3 5 2 3 2" xfId="14822"/>
    <cellStyle name="20% - Accent1 4 3 5 2 3 2 2" xfId="26623"/>
    <cellStyle name="20% - Accent1 4 3 5 2 3 2 2 2" xfId="57664"/>
    <cellStyle name="20% - Accent1 4 3 5 2 3 2 3" xfId="40238"/>
    <cellStyle name="20% - Accent1 4 3 5 2 3 3" xfId="8198"/>
    <cellStyle name="20% - Accent1 4 3 5 2 3 3 2" xfId="46755"/>
    <cellStyle name="20% - Accent1 4 3 5 2 3 4" xfId="19999"/>
    <cellStyle name="20% - Accent1 4 3 5 2 3 4 2" xfId="57665"/>
    <cellStyle name="20% - Accent1 4 3 5 2 3 5" xfId="33614"/>
    <cellStyle name="20% - Accent1 4 3 5 2 4" xfId="14823"/>
    <cellStyle name="20% - Accent1 4 3 5 2 4 2" xfId="26624"/>
    <cellStyle name="20% - Accent1 4 3 5 2 4 2 2" xfId="57666"/>
    <cellStyle name="20% - Accent1 4 3 5 2 4 3" xfId="40239"/>
    <cellStyle name="20% - Accent1 4 3 5 2 5" xfId="7057"/>
    <cellStyle name="20% - Accent1 4 3 5 2 5 2" xfId="46756"/>
    <cellStyle name="20% - Accent1 4 3 5 2 6" xfId="18858"/>
    <cellStyle name="20% - Accent1 4 3 5 2 6 2" xfId="57667"/>
    <cellStyle name="20% - Accent1 4 3 5 2 7" xfId="32473"/>
    <cellStyle name="20% - Accent1 4 3 5 3" xfId="3313"/>
    <cellStyle name="20% - Accent1 4 3 5 3 2" xfId="5154"/>
    <cellStyle name="20% - Accent1 4 3 5 3 2 2" xfId="16624"/>
    <cellStyle name="20% - Accent1 4 3 5 3 2 2 2" xfId="28425"/>
    <cellStyle name="20% - Accent1 4 3 5 3 2 2 2 2" xfId="57668"/>
    <cellStyle name="20% - Accent1 4 3 5 3 2 2 3" xfId="42040"/>
    <cellStyle name="20% - Accent1 4 3 5 3 2 3" xfId="10607"/>
    <cellStyle name="20% - Accent1 4 3 5 3 2 3 2" xfId="57669"/>
    <cellStyle name="20% - Accent1 4 3 5 3 2 4" xfId="22408"/>
    <cellStyle name="20% - Accent1 4 3 5 3 2 4 2" xfId="57670"/>
    <cellStyle name="20% - Accent1 4 3 5 3 2 5" xfId="36023"/>
    <cellStyle name="20% - Accent1 4 3 5 3 3" xfId="14824"/>
    <cellStyle name="20% - Accent1 4 3 5 3 3 2" xfId="26625"/>
    <cellStyle name="20% - Accent1 4 3 5 3 3 2 2" xfId="57671"/>
    <cellStyle name="20% - Accent1 4 3 5 3 3 3" xfId="40240"/>
    <cellStyle name="20% - Accent1 4 3 5 3 4" xfId="8766"/>
    <cellStyle name="20% - Accent1 4 3 5 3 4 2" xfId="57672"/>
    <cellStyle name="20% - Accent1 4 3 5 3 5" xfId="20567"/>
    <cellStyle name="20% - Accent1 4 3 5 3 5 2" xfId="57673"/>
    <cellStyle name="20% - Accent1 4 3 5 3 6" xfId="34182"/>
    <cellStyle name="20% - Accent1 4 3 5 4" xfId="4018"/>
    <cellStyle name="20% - Accent1 4 3 5 4 2" xfId="14825"/>
    <cellStyle name="20% - Accent1 4 3 5 4 2 2" xfId="26626"/>
    <cellStyle name="20% - Accent1 4 3 5 4 2 2 2" xfId="57674"/>
    <cellStyle name="20% - Accent1 4 3 5 4 2 3" xfId="40241"/>
    <cellStyle name="20% - Accent1 4 3 5 4 3" xfId="9471"/>
    <cellStyle name="20% - Accent1 4 3 5 4 3 2" xfId="46757"/>
    <cellStyle name="20% - Accent1 4 3 5 4 4" xfId="21272"/>
    <cellStyle name="20% - Accent1 4 3 5 4 4 2" xfId="57675"/>
    <cellStyle name="20% - Accent1 4 3 5 4 5" xfId="34887"/>
    <cellStyle name="20% - Accent1 4 3 5 5" xfId="2177"/>
    <cellStyle name="20% - Accent1 4 3 5 5 2" xfId="17152"/>
    <cellStyle name="20% - Accent1 4 3 5 5 2 2" xfId="28953"/>
    <cellStyle name="20% - Accent1 4 3 5 5 2 2 2" xfId="57676"/>
    <cellStyle name="20% - Accent1 4 3 5 5 2 3" xfId="42568"/>
    <cellStyle name="20% - Accent1 4 3 5 5 3" xfId="7630"/>
    <cellStyle name="20% - Accent1 4 3 5 5 3 2" xfId="57677"/>
    <cellStyle name="20% - Accent1 4 3 5 5 4" xfId="19431"/>
    <cellStyle name="20% - Accent1 4 3 5 5 4 2" xfId="57678"/>
    <cellStyle name="20% - Accent1 4 3 5 5 5" xfId="33046"/>
    <cellStyle name="20% - Accent1 4 3 5 6" xfId="14826"/>
    <cellStyle name="20% - Accent1 4 3 5 6 2" xfId="26627"/>
    <cellStyle name="20% - Accent1 4 3 5 6 2 2" xfId="57679"/>
    <cellStyle name="20% - Accent1 4 3 5 6 3" xfId="40242"/>
    <cellStyle name="20% - Accent1 4 3 5 7" xfId="5730"/>
    <cellStyle name="20% - Accent1 4 3 5 7 2" xfId="57680"/>
    <cellStyle name="20% - Accent1 4 3 5 8" xfId="17531"/>
    <cellStyle name="20% - Accent1 4 3 5 8 2" xfId="57681"/>
    <cellStyle name="20% - Accent1 4 3 5 9" xfId="31146"/>
    <cellStyle name="20% - Accent1 4 3 6" xfId="603"/>
    <cellStyle name="20% - Accent1 4 3 6 2" xfId="1604"/>
    <cellStyle name="20% - Accent1 4 3 6 2 2" xfId="4345"/>
    <cellStyle name="20% - Accent1 4 3 6 2 2 2" xfId="14827"/>
    <cellStyle name="20% - Accent1 4 3 6 2 2 2 2" xfId="26628"/>
    <cellStyle name="20% - Accent1 4 3 6 2 2 2 2 2" xfId="57682"/>
    <cellStyle name="20% - Accent1 4 3 6 2 2 2 3" xfId="40243"/>
    <cellStyle name="20% - Accent1 4 3 6 2 2 3" xfId="9798"/>
    <cellStyle name="20% - Accent1 4 3 6 2 2 3 2" xfId="46758"/>
    <cellStyle name="20% - Accent1 4 3 6 2 2 4" xfId="21599"/>
    <cellStyle name="20% - Accent1 4 3 6 2 2 4 2" xfId="57683"/>
    <cellStyle name="20% - Accent1 4 3 6 2 2 5" xfId="35214"/>
    <cellStyle name="20% - Accent1 4 3 6 2 3" xfId="14828"/>
    <cellStyle name="20% - Accent1 4 3 6 2 3 2" xfId="26629"/>
    <cellStyle name="20% - Accent1 4 3 6 2 3 2 2" xfId="46759"/>
    <cellStyle name="20% - Accent1 4 3 6 2 3 3" xfId="30299"/>
    <cellStyle name="20% - Accent1 4 3 6 2 3 3 2" xfId="46760"/>
    <cellStyle name="20% - Accent1 4 3 6 2 3 4" xfId="30300"/>
    <cellStyle name="20% - Accent1 4 3 6 2 3 4 2" xfId="57684"/>
    <cellStyle name="20% - Accent1 4 3 6 2 3 5" xfId="40244"/>
    <cellStyle name="20% - Accent1 4 3 6 2 4" xfId="14829"/>
    <cellStyle name="20% - Accent1 4 3 6 2 4 2" xfId="26630"/>
    <cellStyle name="20% - Accent1 4 3 6 2 4 2 2" xfId="57685"/>
    <cellStyle name="20% - Accent1 4 3 6 2 4 3" xfId="40245"/>
    <cellStyle name="20% - Accent1 4 3 6 2 5" xfId="7058"/>
    <cellStyle name="20% - Accent1 4 3 6 2 5 2" xfId="46761"/>
    <cellStyle name="20% - Accent1 4 3 6 2 6" xfId="18859"/>
    <cellStyle name="20% - Accent1 4 3 6 2 6 2" xfId="57686"/>
    <cellStyle name="20% - Accent1 4 3 6 2 7" xfId="32474"/>
    <cellStyle name="20% - Accent1 4 3 6 3" xfId="2504"/>
    <cellStyle name="20% - Accent1 4 3 6 3 2" xfId="14830"/>
    <cellStyle name="20% - Accent1 4 3 6 3 2 2" xfId="26631"/>
    <cellStyle name="20% - Accent1 4 3 6 3 2 2 2" xfId="57687"/>
    <cellStyle name="20% - Accent1 4 3 6 3 2 3" xfId="40246"/>
    <cellStyle name="20% - Accent1 4 3 6 3 3" xfId="7957"/>
    <cellStyle name="20% - Accent1 4 3 6 3 3 2" xfId="46762"/>
    <cellStyle name="20% - Accent1 4 3 6 3 4" xfId="19758"/>
    <cellStyle name="20% - Accent1 4 3 6 3 4 2" xfId="57688"/>
    <cellStyle name="20% - Accent1 4 3 6 3 5" xfId="33373"/>
    <cellStyle name="20% - Accent1 4 3 6 4" xfId="14831"/>
    <cellStyle name="20% - Accent1 4 3 6 4 2" xfId="26632"/>
    <cellStyle name="20% - Accent1 4 3 6 4 2 2" xfId="46763"/>
    <cellStyle name="20% - Accent1 4 3 6 4 3" xfId="30301"/>
    <cellStyle name="20% - Accent1 4 3 6 4 3 2" xfId="46764"/>
    <cellStyle name="20% - Accent1 4 3 6 4 4" xfId="30302"/>
    <cellStyle name="20% - Accent1 4 3 6 4 4 2" xfId="57689"/>
    <cellStyle name="20% - Accent1 4 3 6 4 5" xfId="40247"/>
    <cellStyle name="20% - Accent1 4 3 6 5" xfId="14832"/>
    <cellStyle name="20% - Accent1 4 3 6 5 2" xfId="26633"/>
    <cellStyle name="20% - Accent1 4 3 6 5 2 2" xfId="57690"/>
    <cellStyle name="20% - Accent1 4 3 6 5 3" xfId="40248"/>
    <cellStyle name="20% - Accent1 4 3 6 6" xfId="6057"/>
    <cellStyle name="20% - Accent1 4 3 6 6 2" xfId="46765"/>
    <cellStyle name="20% - Accent1 4 3 6 7" xfId="17858"/>
    <cellStyle name="20% - Accent1 4 3 6 7 2" xfId="57691"/>
    <cellStyle name="20% - Accent1 4 3 6 8" xfId="31473"/>
    <cellStyle name="20% - Accent1 4 3 7" xfId="844"/>
    <cellStyle name="20% - Accent1 4 3 7 2" xfId="1605"/>
    <cellStyle name="20% - Accent1 4 3 7 2 2" xfId="4913"/>
    <cellStyle name="20% - Accent1 4 3 7 2 2 2" xfId="14833"/>
    <cellStyle name="20% - Accent1 4 3 7 2 2 2 2" xfId="26634"/>
    <cellStyle name="20% - Accent1 4 3 7 2 2 2 2 2" xfId="57692"/>
    <cellStyle name="20% - Accent1 4 3 7 2 2 2 3" xfId="40249"/>
    <cellStyle name="20% - Accent1 4 3 7 2 2 3" xfId="10366"/>
    <cellStyle name="20% - Accent1 4 3 7 2 2 3 2" xfId="46766"/>
    <cellStyle name="20% - Accent1 4 3 7 2 2 4" xfId="22167"/>
    <cellStyle name="20% - Accent1 4 3 7 2 2 4 2" xfId="57693"/>
    <cellStyle name="20% - Accent1 4 3 7 2 2 5" xfId="35782"/>
    <cellStyle name="20% - Accent1 4 3 7 2 3" xfId="14834"/>
    <cellStyle name="20% - Accent1 4 3 7 2 3 2" xfId="26635"/>
    <cellStyle name="20% - Accent1 4 3 7 2 3 2 2" xfId="46767"/>
    <cellStyle name="20% - Accent1 4 3 7 2 3 3" xfId="30303"/>
    <cellStyle name="20% - Accent1 4 3 7 2 3 3 2" xfId="46768"/>
    <cellStyle name="20% - Accent1 4 3 7 2 3 4" xfId="30304"/>
    <cellStyle name="20% - Accent1 4 3 7 2 3 4 2" xfId="57694"/>
    <cellStyle name="20% - Accent1 4 3 7 2 3 5" xfId="40250"/>
    <cellStyle name="20% - Accent1 4 3 7 2 4" xfId="14835"/>
    <cellStyle name="20% - Accent1 4 3 7 2 4 2" xfId="26636"/>
    <cellStyle name="20% - Accent1 4 3 7 2 4 2 2" xfId="57695"/>
    <cellStyle name="20% - Accent1 4 3 7 2 4 3" xfId="40251"/>
    <cellStyle name="20% - Accent1 4 3 7 2 5" xfId="7059"/>
    <cellStyle name="20% - Accent1 4 3 7 2 5 2" xfId="46769"/>
    <cellStyle name="20% - Accent1 4 3 7 2 6" xfId="18860"/>
    <cellStyle name="20% - Accent1 4 3 7 2 6 2" xfId="57696"/>
    <cellStyle name="20% - Accent1 4 3 7 2 7" xfId="32475"/>
    <cellStyle name="20% - Accent1 4 3 7 3" xfId="3072"/>
    <cellStyle name="20% - Accent1 4 3 7 3 2" xfId="14836"/>
    <cellStyle name="20% - Accent1 4 3 7 3 2 2" xfId="26637"/>
    <cellStyle name="20% - Accent1 4 3 7 3 2 2 2" xfId="57697"/>
    <cellStyle name="20% - Accent1 4 3 7 3 2 3" xfId="40252"/>
    <cellStyle name="20% - Accent1 4 3 7 3 3" xfId="8525"/>
    <cellStyle name="20% - Accent1 4 3 7 3 3 2" xfId="46770"/>
    <cellStyle name="20% - Accent1 4 3 7 3 4" xfId="20326"/>
    <cellStyle name="20% - Accent1 4 3 7 3 4 2" xfId="57698"/>
    <cellStyle name="20% - Accent1 4 3 7 3 5" xfId="33941"/>
    <cellStyle name="20% - Accent1 4 3 7 4" xfId="14837"/>
    <cellStyle name="20% - Accent1 4 3 7 4 2" xfId="26638"/>
    <cellStyle name="20% - Accent1 4 3 7 4 2 2" xfId="46771"/>
    <cellStyle name="20% - Accent1 4 3 7 4 3" xfId="30305"/>
    <cellStyle name="20% - Accent1 4 3 7 4 3 2" xfId="46772"/>
    <cellStyle name="20% - Accent1 4 3 7 4 4" xfId="30306"/>
    <cellStyle name="20% - Accent1 4 3 7 4 4 2" xfId="57699"/>
    <cellStyle name="20% - Accent1 4 3 7 4 5" xfId="40253"/>
    <cellStyle name="20% - Accent1 4 3 7 5" xfId="14838"/>
    <cellStyle name="20% - Accent1 4 3 7 5 2" xfId="26639"/>
    <cellStyle name="20% - Accent1 4 3 7 5 2 2" xfId="57700"/>
    <cellStyle name="20% - Accent1 4 3 7 5 3" xfId="40254"/>
    <cellStyle name="20% - Accent1 4 3 7 6" xfId="6298"/>
    <cellStyle name="20% - Accent1 4 3 7 6 2" xfId="46773"/>
    <cellStyle name="20% - Accent1 4 3 7 7" xfId="18099"/>
    <cellStyle name="20% - Accent1 4 3 7 7 2" xfId="57701"/>
    <cellStyle name="20% - Accent1 4 3 7 8" xfId="31714"/>
    <cellStyle name="20% - Accent1 4 3 8" xfId="1606"/>
    <cellStyle name="20% - Accent1 4 3 8 2" xfId="3777"/>
    <cellStyle name="20% - Accent1 4 3 8 2 2" xfId="14839"/>
    <cellStyle name="20% - Accent1 4 3 8 2 2 2" xfId="26640"/>
    <cellStyle name="20% - Accent1 4 3 8 2 2 2 2" xfId="57702"/>
    <cellStyle name="20% - Accent1 4 3 8 2 2 3" xfId="40255"/>
    <cellStyle name="20% - Accent1 4 3 8 2 3" xfId="9230"/>
    <cellStyle name="20% - Accent1 4 3 8 2 3 2" xfId="46774"/>
    <cellStyle name="20% - Accent1 4 3 8 2 4" xfId="21031"/>
    <cellStyle name="20% - Accent1 4 3 8 2 4 2" xfId="57703"/>
    <cellStyle name="20% - Accent1 4 3 8 2 5" xfId="34646"/>
    <cellStyle name="20% - Accent1 4 3 8 3" xfId="14840"/>
    <cellStyle name="20% - Accent1 4 3 8 3 2" xfId="26641"/>
    <cellStyle name="20% - Accent1 4 3 8 3 2 2" xfId="46775"/>
    <cellStyle name="20% - Accent1 4 3 8 3 3" xfId="30307"/>
    <cellStyle name="20% - Accent1 4 3 8 3 3 2" xfId="46776"/>
    <cellStyle name="20% - Accent1 4 3 8 3 4" xfId="30308"/>
    <cellStyle name="20% - Accent1 4 3 8 3 4 2" xfId="57704"/>
    <cellStyle name="20% - Accent1 4 3 8 3 5" xfId="40256"/>
    <cellStyle name="20% - Accent1 4 3 8 4" xfId="14841"/>
    <cellStyle name="20% - Accent1 4 3 8 4 2" xfId="26642"/>
    <cellStyle name="20% - Accent1 4 3 8 4 2 2" xfId="57705"/>
    <cellStyle name="20% - Accent1 4 3 8 4 3" xfId="40257"/>
    <cellStyle name="20% - Accent1 4 3 8 5" xfId="7060"/>
    <cellStyle name="20% - Accent1 4 3 8 5 2" xfId="46777"/>
    <cellStyle name="20% - Accent1 4 3 8 6" xfId="18861"/>
    <cellStyle name="20% - Accent1 4 3 8 6 2" xfId="57706"/>
    <cellStyle name="20% - Accent1 4 3 8 7" xfId="32476"/>
    <cellStyle name="20% - Accent1 4 3 9" xfId="3640"/>
    <cellStyle name="20% - Accent1 4 3 9 2" xfId="14842"/>
    <cellStyle name="20% - Accent1 4 3 9 2 2" xfId="26643"/>
    <cellStyle name="20% - Accent1 4 3 9 2 2 2" xfId="57707"/>
    <cellStyle name="20% - Accent1 4 3 9 2 3" xfId="40258"/>
    <cellStyle name="20% - Accent1 4 3 9 3" xfId="9093"/>
    <cellStyle name="20% - Accent1 4 3 9 3 2" xfId="46778"/>
    <cellStyle name="20% - Accent1 4 3 9 4" xfId="20894"/>
    <cellStyle name="20% - Accent1 4 3 9 4 2" xfId="57708"/>
    <cellStyle name="20% - Accent1 4 3 9 5" xfId="34509"/>
    <cellStyle name="20% - Accent1 4 4" xfId="46"/>
    <cellStyle name="20% - Accent1 4 4 10" xfId="1947"/>
    <cellStyle name="20% - Accent1 4 4 10 2" xfId="14843"/>
    <cellStyle name="20% - Accent1 4 4 10 2 2" xfId="26644"/>
    <cellStyle name="20% - Accent1 4 4 10 2 2 2" xfId="57709"/>
    <cellStyle name="20% - Accent1 4 4 10 2 3" xfId="40259"/>
    <cellStyle name="20% - Accent1 4 4 10 3" xfId="7400"/>
    <cellStyle name="20% - Accent1 4 4 10 3 2" xfId="46779"/>
    <cellStyle name="20% - Accent1 4 4 10 4" xfId="19201"/>
    <cellStyle name="20% - Accent1 4 4 10 4 2" xfId="57710"/>
    <cellStyle name="20% - Accent1 4 4 10 5" xfId="32816"/>
    <cellStyle name="20% - Accent1 4 4 11" xfId="14844"/>
    <cellStyle name="20% - Accent1 4 4 11 2" xfId="26645"/>
    <cellStyle name="20% - Accent1 4 4 11 2 2" xfId="57711"/>
    <cellStyle name="20% - Accent1 4 4 11 3" xfId="40260"/>
    <cellStyle name="20% - Accent1 4 4 12" xfId="5500"/>
    <cellStyle name="20% - Accent1 4 4 12 2" xfId="46780"/>
    <cellStyle name="20% - Accent1 4 4 13" xfId="17301"/>
    <cellStyle name="20% - Accent1 4 4 13 2" xfId="57712"/>
    <cellStyle name="20% - Accent1 4 4 14" xfId="30916"/>
    <cellStyle name="20% - Accent1 4 4 2" xfId="113"/>
    <cellStyle name="20% - Accent1 4 4 2 10" xfId="5567"/>
    <cellStyle name="20% - Accent1 4 4 2 10 2" xfId="46781"/>
    <cellStyle name="20% - Accent1 4 4 2 11" xfId="17368"/>
    <cellStyle name="20% - Accent1 4 4 2 11 2" xfId="57713"/>
    <cellStyle name="20% - Accent1 4 4 2 12" xfId="30983"/>
    <cellStyle name="20% - Accent1 4 4 2 2" xfId="225"/>
    <cellStyle name="20% - Accent1 4 4 2 2 10" xfId="31095"/>
    <cellStyle name="20% - Accent1 4 4 2 2 2" xfId="540"/>
    <cellStyle name="20% - Accent1 4 4 2 2 2 2" xfId="1607"/>
    <cellStyle name="20% - Accent1 4 4 2 2 2 2 2" xfId="4850"/>
    <cellStyle name="20% - Accent1 4 4 2 2 2 2 2 2" xfId="14845"/>
    <cellStyle name="20% - Accent1 4 4 2 2 2 2 2 2 2" xfId="26646"/>
    <cellStyle name="20% - Accent1 4 4 2 2 2 2 2 2 2 2" xfId="57714"/>
    <cellStyle name="20% - Accent1 4 4 2 2 2 2 2 2 3" xfId="40261"/>
    <cellStyle name="20% - Accent1 4 4 2 2 2 2 2 3" xfId="10303"/>
    <cellStyle name="20% - Accent1 4 4 2 2 2 2 2 3 2" xfId="46782"/>
    <cellStyle name="20% - Accent1 4 4 2 2 2 2 2 4" xfId="22104"/>
    <cellStyle name="20% - Accent1 4 4 2 2 2 2 2 4 2" xfId="57715"/>
    <cellStyle name="20% - Accent1 4 4 2 2 2 2 2 5" xfId="35719"/>
    <cellStyle name="20% - Accent1 4 4 2 2 2 2 3" xfId="3009"/>
    <cellStyle name="20% - Accent1 4 4 2 2 2 2 3 2" xfId="14846"/>
    <cellStyle name="20% - Accent1 4 4 2 2 2 2 3 2 2" xfId="26647"/>
    <cellStyle name="20% - Accent1 4 4 2 2 2 2 3 2 2 2" xfId="57716"/>
    <cellStyle name="20% - Accent1 4 4 2 2 2 2 3 2 3" xfId="40262"/>
    <cellStyle name="20% - Accent1 4 4 2 2 2 2 3 3" xfId="8462"/>
    <cellStyle name="20% - Accent1 4 4 2 2 2 2 3 3 2" xfId="46783"/>
    <cellStyle name="20% - Accent1 4 4 2 2 2 2 3 4" xfId="20263"/>
    <cellStyle name="20% - Accent1 4 4 2 2 2 2 3 4 2" xfId="57717"/>
    <cellStyle name="20% - Accent1 4 4 2 2 2 2 3 5" xfId="33878"/>
    <cellStyle name="20% - Accent1 4 4 2 2 2 2 4" xfId="14847"/>
    <cellStyle name="20% - Accent1 4 4 2 2 2 2 4 2" xfId="26648"/>
    <cellStyle name="20% - Accent1 4 4 2 2 2 2 4 2 2" xfId="57718"/>
    <cellStyle name="20% - Accent1 4 4 2 2 2 2 4 3" xfId="40263"/>
    <cellStyle name="20% - Accent1 4 4 2 2 2 2 5" xfId="7061"/>
    <cellStyle name="20% - Accent1 4 4 2 2 2 2 5 2" xfId="46784"/>
    <cellStyle name="20% - Accent1 4 4 2 2 2 2 6" xfId="18862"/>
    <cellStyle name="20% - Accent1 4 4 2 2 2 2 6 2" xfId="57719"/>
    <cellStyle name="20% - Accent1 4 4 2 2 2 2 7" xfId="32477"/>
    <cellStyle name="20% - Accent1 4 4 2 2 2 3" xfId="3577"/>
    <cellStyle name="20% - Accent1 4 4 2 2 2 3 2" xfId="5418"/>
    <cellStyle name="20% - Accent1 4 4 2 2 2 3 2 2" xfId="16888"/>
    <cellStyle name="20% - Accent1 4 4 2 2 2 3 2 2 2" xfId="28689"/>
    <cellStyle name="20% - Accent1 4 4 2 2 2 3 2 2 2 2" xfId="57720"/>
    <cellStyle name="20% - Accent1 4 4 2 2 2 3 2 2 3" xfId="42304"/>
    <cellStyle name="20% - Accent1 4 4 2 2 2 3 2 3" xfId="10871"/>
    <cellStyle name="20% - Accent1 4 4 2 2 2 3 2 3 2" xfId="57721"/>
    <cellStyle name="20% - Accent1 4 4 2 2 2 3 2 4" xfId="22672"/>
    <cellStyle name="20% - Accent1 4 4 2 2 2 3 2 4 2" xfId="57722"/>
    <cellStyle name="20% - Accent1 4 4 2 2 2 3 2 5" xfId="36287"/>
    <cellStyle name="20% - Accent1 4 4 2 2 2 3 3" xfId="14848"/>
    <cellStyle name="20% - Accent1 4 4 2 2 2 3 3 2" xfId="26649"/>
    <cellStyle name="20% - Accent1 4 4 2 2 2 3 3 2 2" xfId="57723"/>
    <cellStyle name="20% - Accent1 4 4 2 2 2 3 3 3" xfId="40264"/>
    <cellStyle name="20% - Accent1 4 4 2 2 2 3 4" xfId="9030"/>
    <cellStyle name="20% - Accent1 4 4 2 2 2 3 4 2" xfId="57724"/>
    <cellStyle name="20% - Accent1 4 4 2 2 2 3 5" xfId="20831"/>
    <cellStyle name="20% - Accent1 4 4 2 2 2 3 5 2" xfId="57725"/>
    <cellStyle name="20% - Accent1 4 4 2 2 2 3 6" xfId="34446"/>
    <cellStyle name="20% - Accent1 4 4 2 2 2 4" xfId="4282"/>
    <cellStyle name="20% - Accent1 4 4 2 2 2 4 2" xfId="14849"/>
    <cellStyle name="20% - Accent1 4 4 2 2 2 4 2 2" xfId="26650"/>
    <cellStyle name="20% - Accent1 4 4 2 2 2 4 2 2 2" xfId="57726"/>
    <cellStyle name="20% - Accent1 4 4 2 2 2 4 2 3" xfId="40265"/>
    <cellStyle name="20% - Accent1 4 4 2 2 2 4 3" xfId="9735"/>
    <cellStyle name="20% - Accent1 4 4 2 2 2 4 3 2" xfId="46785"/>
    <cellStyle name="20% - Accent1 4 4 2 2 2 4 4" xfId="21536"/>
    <cellStyle name="20% - Accent1 4 4 2 2 2 4 4 2" xfId="57727"/>
    <cellStyle name="20% - Accent1 4 4 2 2 2 4 5" xfId="35151"/>
    <cellStyle name="20% - Accent1 4 4 2 2 2 5" xfId="2441"/>
    <cellStyle name="20% - Accent1 4 4 2 2 2 5 2" xfId="17153"/>
    <cellStyle name="20% - Accent1 4 4 2 2 2 5 2 2" xfId="28954"/>
    <cellStyle name="20% - Accent1 4 4 2 2 2 5 2 2 2" xfId="57728"/>
    <cellStyle name="20% - Accent1 4 4 2 2 2 5 2 3" xfId="42569"/>
    <cellStyle name="20% - Accent1 4 4 2 2 2 5 3" xfId="7894"/>
    <cellStyle name="20% - Accent1 4 4 2 2 2 5 3 2" xfId="57729"/>
    <cellStyle name="20% - Accent1 4 4 2 2 2 5 4" xfId="19695"/>
    <cellStyle name="20% - Accent1 4 4 2 2 2 5 4 2" xfId="57730"/>
    <cellStyle name="20% - Accent1 4 4 2 2 2 5 5" xfId="33310"/>
    <cellStyle name="20% - Accent1 4 4 2 2 2 6" xfId="14850"/>
    <cellStyle name="20% - Accent1 4 4 2 2 2 6 2" xfId="26651"/>
    <cellStyle name="20% - Accent1 4 4 2 2 2 6 2 2" xfId="57731"/>
    <cellStyle name="20% - Accent1 4 4 2 2 2 6 3" xfId="40266"/>
    <cellStyle name="20% - Accent1 4 4 2 2 2 7" xfId="5994"/>
    <cellStyle name="20% - Accent1 4 4 2 2 2 7 2" xfId="57732"/>
    <cellStyle name="20% - Accent1 4 4 2 2 2 8" xfId="17795"/>
    <cellStyle name="20% - Accent1 4 4 2 2 2 8 2" xfId="57733"/>
    <cellStyle name="20% - Accent1 4 4 2 2 2 9" xfId="31410"/>
    <cellStyle name="20% - Accent1 4 4 2 2 3" xfId="793"/>
    <cellStyle name="20% - Accent1 4 4 2 2 3 2" xfId="1608"/>
    <cellStyle name="20% - Accent1 4 4 2 2 3 2 2" xfId="4535"/>
    <cellStyle name="20% - Accent1 4 4 2 2 3 2 2 2" xfId="14851"/>
    <cellStyle name="20% - Accent1 4 4 2 2 3 2 2 2 2" xfId="26652"/>
    <cellStyle name="20% - Accent1 4 4 2 2 3 2 2 2 2 2" xfId="57734"/>
    <cellStyle name="20% - Accent1 4 4 2 2 3 2 2 2 3" xfId="40267"/>
    <cellStyle name="20% - Accent1 4 4 2 2 3 2 2 3" xfId="9988"/>
    <cellStyle name="20% - Accent1 4 4 2 2 3 2 2 3 2" xfId="46786"/>
    <cellStyle name="20% - Accent1 4 4 2 2 3 2 2 4" xfId="21789"/>
    <cellStyle name="20% - Accent1 4 4 2 2 3 2 2 4 2" xfId="57735"/>
    <cellStyle name="20% - Accent1 4 4 2 2 3 2 2 5" xfId="35404"/>
    <cellStyle name="20% - Accent1 4 4 2 2 3 2 3" xfId="14852"/>
    <cellStyle name="20% - Accent1 4 4 2 2 3 2 3 2" xfId="26653"/>
    <cellStyle name="20% - Accent1 4 4 2 2 3 2 3 2 2" xfId="46787"/>
    <cellStyle name="20% - Accent1 4 4 2 2 3 2 3 3" xfId="30309"/>
    <cellStyle name="20% - Accent1 4 4 2 2 3 2 3 3 2" xfId="46788"/>
    <cellStyle name="20% - Accent1 4 4 2 2 3 2 3 4" xfId="30310"/>
    <cellStyle name="20% - Accent1 4 4 2 2 3 2 3 4 2" xfId="57736"/>
    <cellStyle name="20% - Accent1 4 4 2 2 3 2 3 5" xfId="40268"/>
    <cellStyle name="20% - Accent1 4 4 2 2 3 2 4" xfId="14853"/>
    <cellStyle name="20% - Accent1 4 4 2 2 3 2 4 2" xfId="26654"/>
    <cellStyle name="20% - Accent1 4 4 2 2 3 2 4 2 2" xfId="57737"/>
    <cellStyle name="20% - Accent1 4 4 2 2 3 2 4 3" xfId="40269"/>
    <cellStyle name="20% - Accent1 4 4 2 2 3 2 5" xfId="7062"/>
    <cellStyle name="20% - Accent1 4 4 2 2 3 2 5 2" xfId="46789"/>
    <cellStyle name="20% - Accent1 4 4 2 2 3 2 6" xfId="18863"/>
    <cellStyle name="20% - Accent1 4 4 2 2 3 2 6 2" xfId="57738"/>
    <cellStyle name="20% - Accent1 4 4 2 2 3 2 7" xfId="32478"/>
    <cellStyle name="20% - Accent1 4 4 2 2 3 3" xfId="2694"/>
    <cellStyle name="20% - Accent1 4 4 2 2 3 3 2" xfId="14854"/>
    <cellStyle name="20% - Accent1 4 4 2 2 3 3 2 2" xfId="26655"/>
    <cellStyle name="20% - Accent1 4 4 2 2 3 3 2 2 2" xfId="57739"/>
    <cellStyle name="20% - Accent1 4 4 2 2 3 3 2 3" xfId="40270"/>
    <cellStyle name="20% - Accent1 4 4 2 2 3 3 3" xfId="8147"/>
    <cellStyle name="20% - Accent1 4 4 2 2 3 3 3 2" xfId="46790"/>
    <cellStyle name="20% - Accent1 4 4 2 2 3 3 4" xfId="19948"/>
    <cellStyle name="20% - Accent1 4 4 2 2 3 3 4 2" xfId="57740"/>
    <cellStyle name="20% - Accent1 4 4 2 2 3 3 5" xfId="33563"/>
    <cellStyle name="20% - Accent1 4 4 2 2 3 4" xfId="14855"/>
    <cellStyle name="20% - Accent1 4 4 2 2 3 4 2" xfId="26656"/>
    <cellStyle name="20% - Accent1 4 4 2 2 3 4 2 2" xfId="46791"/>
    <cellStyle name="20% - Accent1 4 4 2 2 3 4 3" xfId="30311"/>
    <cellStyle name="20% - Accent1 4 4 2 2 3 4 3 2" xfId="46792"/>
    <cellStyle name="20% - Accent1 4 4 2 2 3 4 4" xfId="30312"/>
    <cellStyle name="20% - Accent1 4 4 2 2 3 4 4 2" xfId="57741"/>
    <cellStyle name="20% - Accent1 4 4 2 2 3 4 5" xfId="40271"/>
    <cellStyle name="20% - Accent1 4 4 2 2 3 5" xfId="14856"/>
    <cellStyle name="20% - Accent1 4 4 2 2 3 5 2" xfId="26657"/>
    <cellStyle name="20% - Accent1 4 4 2 2 3 5 2 2" xfId="57742"/>
    <cellStyle name="20% - Accent1 4 4 2 2 3 5 3" xfId="40272"/>
    <cellStyle name="20% - Accent1 4 4 2 2 3 6" xfId="6247"/>
    <cellStyle name="20% - Accent1 4 4 2 2 3 6 2" xfId="46793"/>
    <cellStyle name="20% - Accent1 4 4 2 2 3 7" xfId="18048"/>
    <cellStyle name="20% - Accent1 4 4 2 2 3 7 2" xfId="57743"/>
    <cellStyle name="20% - Accent1 4 4 2 2 3 8" xfId="31663"/>
    <cellStyle name="20% - Accent1 4 4 2 2 4" xfId="1609"/>
    <cellStyle name="20% - Accent1 4 4 2 2 4 2" xfId="5103"/>
    <cellStyle name="20% - Accent1 4 4 2 2 4 2 2" xfId="14857"/>
    <cellStyle name="20% - Accent1 4 4 2 2 4 2 2 2" xfId="26658"/>
    <cellStyle name="20% - Accent1 4 4 2 2 4 2 2 2 2" xfId="57744"/>
    <cellStyle name="20% - Accent1 4 4 2 2 4 2 2 3" xfId="40273"/>
    <cellStyle name="20% - Accent1 4 4 2 2 4 2 3" xfId="10556"/>
    <cellStyle name="20% - Accent1 4 4 2 2 4 2 3 2" xfId="46794"/>
    <cellStyle name="20% - Accent1 4 4 2 2 4 2 4" xfId="22357"/>
    <cellStyle name="20% - Accent1 4 4 2 2 4 2 4 2" xfId="57745"/>
    <cellStyle name="20% - Accent1 4 4 2 2 4 2 5" xfId="35972"/>
    <cellStyle name="20% - Accent1 4 4 2 2 4 3" xfId="3262"/>
    <cellStyle name="20% - Accent1 4 4 2 2 4 3 2" xfId="14858"/>
    <cellStyle name="20% - Accent1 4 4 2 2 4 3 2 2" xfId="26659"/>
    <cellStyle name="20% - Accent1 4 4 2 2 4 3 2 2 2" xfId="57746"/>
    <cellStyle name="20% - Accent1 4 4 2 2 4 3 2 3" xfId="40274"/>
    <cellStyle name="20% - Accent1 4 4 2 2 4 3 3" xfId="8715"/>
    <cellStyle name="20% - Accent1 4 4 2 2 4 3 3 2" xfId="46795"/>
    <cellStyle name="20% - Accent1 4 4 2 2 4 3 4" xfId="20516"/>
    <cellStyle name="20% - Accent1 4 4 2 2 4 3 4 2" xfId="57747"/>
    <cellStyle name="20% - Accent1 4 4 2 2 4 3 5" xfId="34131"/>
    <cellStyle name="20% - Accent1 4 4 2 2 4 4" xfId="14859"/>
    <cellStyle name="20% - Accent1 4 4 2 2 4 4 2" xfId="26660"/>
    <cellStyle name="20% - Accent1 4 4 2 2 4 4 2 2" xfId="57748"/>
    <cellStyle name="20% - Accent1 4 4 2 2 4 4 3" xfId="40275"/>
    <cellStyle name="20% - Accent1 4 4 2 2 4 5" xfId="7063"/>
    <cellStyle name="20% - Accent1 4 4 2 2 4 5 2" xfId="46796"/>
    <cellStyle name="20% - Accent1 4 4 2 2 4 6" xfId="18864"/>
    <cellStyle name="20% - Accent1 4 4 2 2 4 6 2" xfId="57749"/>
    <cellStyle name="20% - Accent1 4 4 2 2 4 7" xfId="32479"/>
    <cellStyle name="20% - Accent1 4 4 2 2 5" xfId="3967"/>
    <cellStyle name="20% - Accent1 4 4 2 2 5 2" xfId="14860"/>
    <cellStyle name="20% - Accent1 4 4 2 2 5 2 2" xfId="26661"/>
    <cellStyle name="20% - Accent1 4 4 2 2 5 2 2 2" xfId="57750"/>
    <cellStyle name="20% - Accent1 4 4 2 2 5 2 3" xfId="40276"/>
    <cellStyle name="20% - Accent1 4 4 2 2 5 3" xfId="9420"/>
    <cellStyle name="20% - Accent1 4 4 2 2 5 3 2" xfId="46797"/>
    <cellStyle name="20% - Accent1 4 4 2 2 5 4" xfId="21221"/>
    <cellStyle name="20% - Accent1 4 4 2 2 5 4 2" xfId="57751"/>
    <cellStyle name="20% - Accent1 4 4 2 2 5 5" xfId="34836"/>
    <cellStyle name="20% - Accent1 4 4 2 2 6" xfId="2126"/>
    <cellStyle name="20% - Accent1 4 4 2 2 6 2" xfId="14861"/>
    <cellStyle name="20% - Accent1 4 4 2 2 6 2 2" xfId="26662"/>
    <cellStyle name="20% - Accent1 4 4 2 2 6 2 2 2" xfId="57752"/>
    <cellStyle name="20% - Accent1 4 4 2 2 6 2 3" xfId="40277"/>
    <cellStyle name="20% - Accent1 4 4 2 2 6 3" xfId="7579"/>
    <cellStyle name="20% - Accent1 4 4 2 2 6 3 2" xfId="46798"/>
    <cellStyle name="20% - Accent1 4 4 2 2 6 4" xfId="19380"/>
    <cellStyle name="20% - Accent1 4 4 2 2 6 4 2" xfId="57753"/>
    <cellStyle name="20% - Accent1 4 4 2 2 6 5" xfId="32995"/>
    <cellStyle name="20% - Accent1 4 4 2 2 7" xfId="14862"/>
    <cellStyle name="20% - Accent1 4 4 2 2 7 2" xfId="26663"/>
    <cellStyle name="20% - Accent1 4 4 2 2 7 2 2" xfId="57754"/>
    <cellStyle name="20% - Accent1 4 4 2 2 7 3" xfId="40278"/>
    <cellStyle name="20% - Accent1 4 4 2 2 8" xfId="5679"/>
    <cellStyle name="20% - Accent1 4 4 2 2 8 2" xfId="46799"/>
    <cellStyle name="20% - Accent1 4 4 2 2 9" xfId="17480"/>
    <cellStyle name="20% - Accent1 4 4 2 2 9 2" xfId="57755"/>
    <cellStyle name="20% - Accent1 4 4 2 3" xfId="403"/>
    <cellStyle name="20% - Accent1 4 4 2 3 2" xfId="1610"/>
    <cellStyle name="20% - Accent1 4 4 2 3 2 2" xfId="4713"/>
    <cellStyle name="20% - Accent1 4 4 2 3 2 2 2" xfId="14863"/>
    <cellStyle name="20% - Accent1 4 4 2 3 2 2 2 2" xfId="26664"/>
    <cellStyle name="20% - Accent1 4 4 2 3 2 2 2 2 2" xfId="57756"/>
    <cellStyle name="20% - Accent1 4 4 2 3 2 2 2 3" xfId="40279"/>
    <cellStyle name="20% - Accent1 4 4 2 3 2 2 3" xfId="10166"/>
    <cellStyle name="20% - Accent1 4 4 2 3 2 2 3 2" xfId="46800"/>
    <cellStyle name="20% - Accent1 4 4 2 3 2 2 4" xfId="21967"/>
    <cellStyle name="20% - Accent1 4 4 2 3 2 2 4 2" xfId="57757"/>
    <cellStyle name="20% - Accent1 4 4 2 3 2 2 5" xfId="35582"/>
    <cellStyle name="20% - Accent1 4 4 2 3 2 3" xfId="2872"/>
    <cellStyle name="20% - Accent1 4 4 2 3 2 3 2" xfId="14864"/>
    <cellStyle name="20% - Accent1 4 4 2 3 2 3 2 2" xfId="26665"/>
    <cellStyle name="20% - Accent1 4 4 2 3 2 3 2 2 2" xfId="57758"/>
    <cellStyle name="20% - Accent1 4 4 2 3 2 3 2 3" xfId="40280"/>
    <cellStyle name="20% - Accent1 4 4 2 3 2 3 3" xfId="8325"/>
    <cellStyle name="20% - Accent1 4 4 2 3 2 3 3 2" xfId="46801"/>
    <cellStyle name="20% - Accent1 4 4 2 3 2 3 4" xfId="20126"/>
    <cellStyle name="20% - Accent1 4 4 2 3 2 3 4 2" xfId="57759"/>
    <cellStyle name="20% - Accent1 4 4 2 3 2 3 5" xfId="33741"/>
    <cellStyle name="20% - Accent1 4 4 2 3 2 4" xfId="14865"/>
    <cellStyle name="20% - Accent1 4 4 2 3 2 4 2" xfId="26666"/>
    <cellStyle name="20% - Accent1 4 4 2 3 2 4 2 2" xfId="57760"/>
    <cellStyle name="20% - Accent1 4 4 2 3 2 4 3" xfId="40281"/>
    <cellStyle name="20% - Accent1 4 4 2 3 2 5" xfId="7064"/>
    <cellStyle name="20% - Accent1 4 4 2 3 2 5 2" xfId="46802"/>
    <cellStyle name="20% - Accent1 4 4 2 3 2 6" xfId="18865"/>
    <cellStyle name="20% - Accent1 4 4 2 3 2 6 2" xfId="57761"/>
    <cellStyle name="20% - Accent1 4 4 2 3 2 7" xfId="32480"/>
    <cellStyle name="20% - Accent1 4 4 2 3 3" xfId="3440"/>
    <cellStyle name="20% - Accent1 4 4 2 3 3 2" xfId="5281"/>
    <cellStyle name="20% - Accent1 4 4 2 3 3 2 2" xfId="16751"/>
    <cellStyle name="20% - Accent1 4 4 2 3 3 2 2 2" xfId="28552"/>
    <cellStyle name="20% - Accent1 4 4 2 3 3 2 2 2 2" xfId="57762"/>
    <cellStyle name="20% - Accent1 4 4 2 3 3 2 2 3" xfId="42167"/>
    <cellStyle name="20% - Accent1 4 4 2 3 3 2 3" xfId="10734"/>
    <cellStyle name="20% - Accent1 4 4 2 3 3 2 3 2" xfId="57763"/>
    <cellStyle name="20% - Accent1 4 4 2 3 3 2 4" xfId="22535"/>
    <cellStyle name="20% - Accent1 4 4 2 3 3 2 4 2" xfId="57764"/>
    <cellStyle name="20% - Accent1 4 4 2 3 3 2 5" xfId="36150"/>
    <cellStyle name="20% - Accent1 4 4 2 3 3 3" xfId="14866"/>
    <cellStyle name="20% - Accent1 4 4 2 3 3 3 2" xfId="26667"/>
    <cellStyle name="20% - Accent1 4 4 2 3 3 3 2 2" xfId="57765"/>
    <cellStyle name="20% - Accent1 4 4 2 3 3 3 3" xfId="40282"/>
    <cellStyle name="20% - Accent1 4 4 2 3 3 4" xfId="8893"/>
    <cellStyle name="20% - Accent1 4 4 2 3 3 4 2" xfId="57766"/>
    <cellStyle name="20% - Accent1 4 4 2 3 3 5" xfId="20694"/>
    <cellStyle name="20% - Accent1 4 4 2 3 3 5 2" xfId="57767"/>
    <cellStyle name="20% - Accent1 4 4 2 3 3 6" xfId="34309"/>
    <cellStyle name="20% - Accent1 4 4 2 3 4" xfId="4145"/>
    <cellStyle name="20% - Accent1 4 4 2 3 4 2" xfId="14867"/>
    <cellStyle name="20% - Accent1 4 4 2 3 4 2 2" xfId="26668"/>
    <cellStyle name="20% - Accent1 4 4 2 3 4 2 2 2" xfId="57768"/>
    <cellStyle name="20% - Accent1 4 4 2 3 4 2 3" xfId="40283"/>
    <cellStyle name="20% - Accent1 4 4 2 3 4 3" xfId="9598"/>
    <cellStyle name="20% - Accent1 4 4 2 3 4 3 2" xfId="46803"/>
    <cellStyle name="20% - Accent1 4 4 2 3 4 4" xfId="21399"/>
    <cellStyle name="20% - Accent1 4 4 2 3 4 4 2" xfId="57769"/>
    <cellStyle name="20% - Accent1 4 4 2 3 4 5" xfId="35014"/>
    <cellStyle name="20% - Accent1 4 4 2 3 5" xfId="2304"/>
    <cellStyle name="20% - Accent1 4 4 2 3 5 2" xfId="17154"/>
    <cellStyle name="20% - Accent1 4 4 2 3 5 2 2" xfId="28955"/>
    <cellStyle name="20% - Accent1 4 4 2 3 5 2 2 2" xfId="57770"/>
    <cellStyle name="20% - Accent1 4 4 2 3 5 2 3" xfId="42570"/>
    <cellStyle name="20% - Accent1 4 4 2 3 5 3" xfId="7757"/>
    <cellStyle name="20% - Accent1 4 4 2 3 5 3 2" xfId="57771"/>
    <cellStyle name="20% - Accent1 4 4 2 3 5 4" xfId="19558"/>
    <cellStyle name="20% - Accent1 4 4 2 3 5 4 2" xfId="57772"/>
    <cellStyle name="20% - Accent1 4 4 2 3 5 5" xfId="33173"/>
    <cellStyle name="20% - Accent1 4 4 2 3 6" xfId="14868"/>
    <cellStyle name="20% - Accent1 4 4 2 3 6 2" xfId="26669"/>
    <cellStyle name="20% - Accent1 4 4 2 3 6 2 2" xfId="57773"/>
    <cellStyle name="20% - Accent1 4 4 2 3 6 3" xfId="40284"/>
    <cellStyle name="20% - Accent1 4 4 2 3 7" xfId="5857"/>
    <cellStyle name="20% - Accent1 4 4 2 3 7 2" xfId="57774"/>
    <cellStyle name="20% - Accent1 4 4 2 3 8" xfId="17658"/>
    <cellStyle name="20% - Accent1 4 4 2 3 8 2" xfId="57775"/>
    <cellStyle name="20% - Accent1 4 4 2 3 9" xfId="31273"/>
    <cellStyle name="20% - Accent1 4 4 2 4" xfId="681"/>
    <cellStyle name="20% - Accent1 4 4 2 4 2" xfId="1611"/>
    <cellStyle name="20% - Accent1 4 4 2 4 2 2" xfId="4423"/>
    <cellStyle name="20% - Accent1 4 4 2 4 2 2 2" xfId="14869"/>
    <cellStyle name="20% - Accent1 4 4 2 4 2 2 2 2" xfId="26670"/>
    <cellStyle name="20% - Accent1 4 4 2 4 2 2 2 2 2" xfId="57776"/>
    <cellStyle name="20% - Accent1 4 4 2 4 2 2 2 3" xfId="40285"/>
    <cellStyle name="20% - Accent1 4 4 2 4 2 2 3" xfId="9876"/>
    <cellStyle name="20% - Accent1 4 4 2 4 2 2 3 2" xfId="46804"/>
    <cellStyle name="20% - Accent1 4 4 2 4 2 2 4" xfId="21677"/>
    <cellStyle name="20% - Accent1 4 4 2 4 2 2 4 2" xfId="57777"/>
    <cellStyle name="20% - Accent1 4 4 2 4 2 2 5" xfId="35292"/>
    <cellStyle name="20% - Accent1 4 4 2 4 2 3" xfId="14870"/>
    <cellStyle name="20% - Accent1 4 4 2 4 2 3 2" xfId="26671"/>
    <cellStyle name="20% - Accent1 4 4 2 4 2 3 2 2" xfId="46805"/>
    <cellStyle name="20% - Accent1 4 4 2 4 2 3 3" xfId="30313"/>
    <cellStyle name="20% - Accent1 4 4 2 4 2 3 3 2" xfId="46806"/>
    <cellStyle name="20% - Accent1 4 4 2 4 2 3 4" xfId="30314"/>
    <cellStyle name="20% - Accent1 4 4 2 4 2 3 4 2" xfId="57778"/>
    <cellStyle name="20% - Accent1 4 4 2 4 2 3 5" xfId="40286"/>
    <cellStyle name="20% - Accent1 4 4 2 4 2 4" xfId="14871"/>
    <cellStyle name="20% - Accent1 4 4 2 4 2 4 2" xfId="26672"/>
    <cellStyle name="20% - Accent1 4 4 2 4 2 4 2 2" xfId="57779"/>
    <cellStyle name="20% - Accent1 4 4 2 4 2 4 3" xfId="40287"/>
    <cellStyle name="20% - Accent1 4 4 2 4 2 5" xfId="7065"/>
    <cellStyle name="20% - Accent1 4 4 2 4 2 5 2" xfId="46807"/>
    <cellStyle name="20% - Accent1 4 4 2 4 2 6" xfId="18866"/>
    <cellStyle name="20% - Accent1 4 4 2 4 2 6 2" xfId="57780"/>
    <cellStyle name="20% - Accent1 4 4 2 4 2 7" xfId="32481"/>
    <cellStyle name="20% - Accent1 4 4 2 4 3" xfId="2582"/>
    <cellStyle name="20% - Accent1 4 4 2 4 3 2" xfId="14872"/>
    <cellStyle name="20% - Accent1 4 4 2 4 3 2 2" xfId="26673"/>
    <cellStyle name="20% - Accent1 4 4 2 4 3 2 2 2" xfId="57781"/>
    <cellStyle name="20% - Accent1 4 4 2 4 3 2 3" xfId="40288"/>
    <cellStyle name="20% - Accent1 4 4 2 4 3 3" xfId="8035"/>
    <cellStyle name="20% - Accent1 4 4 2 4 3 3 2" xfId="46808"/>
    <cellStyle name="20% - Accent1 4 4 2 4 3 4" xfId="19836"/>
    <cellStyle name="20% - Accent1 4 4 2 4 3 4 2" xfId="57782"/>
    <cellStyle name="20% - Accent1 4 4 2 4 3 5" xfId="33451"/>
    <cellStyle name="20% - Accent1 4 4 2 4 4" xfId="14873"/>
    <cellStyle name="20% - Accent1 4 4 2 4 4 2" xfId="26674"/>
    <cellStyle name="20% - Accent1 4 4 2 4 4 2 2" xfId="46809"/>
    <cellStyle name="20% - Accent1 4 4 2 4 4 3" xfId="30315"/>
    <cellStyle name="20% - Accent1 4 4 2 4 4 3 2" xfId="46810"/>
    <cellStyle name="20% - Accent1 4 4 2 4 4 4" xfId="30316"/>
    <cellStyle name="20% - Accent1 4 4 2 4 4 4 2" xfId="57783"/>
    <cellStyle name="20% - Accent1 4 4 2 4 4 5" xfId="40289"/>
    <cellStyle name="20% - Accent1 4 4 2 4 5" xfId="14874"/>
    <cellStyle name="20% - Accent1 4 4 2 4 5 2" xfId="26675"/>
    <cellStyle name="20% - Accent1 4 4 2 4 5 2 2" xfId="57784"/>
    <cellStyle name="20% - Accent1 4 4 2 4 5 3" xfId="40290"/>
    <cellStyle name="20% - Accent1 4 4 2 4 6" xfId="6135"/>
    <cellStyle name="20% - Accent1 4 4 2 4 6 2" xfId="46811"/>
    <cellStyle name="20% - Accent1 4 4 2 4 7" xfId="17936"/>
    <cellStyle name="20% - Accent1 4 4 2 4 7 2" xfId="57785"/>
    <cellStyle name="20% - Accent1 4 4 2 4 8" xfId="31551"/>
    <cellStyle name="20% - Accent1 4 4 2 5" xfId="922"/>
    <cellStyle name="20% - Accent1 4 4 2 5 2" xfId="1612"/>
    <cellStyle name="20% - Accent1 4 4 2 5 2 2" xfId="4991"/>
    <cellStyle name="20% - Accent1 4 4 2 5 2 2 2" xfId="14875"/>
    <cellStyle name="20% - Accent1 4 4 2 5 2 2 2 2" xfId="26676"/>
    <cellStyle name="20% - Accent1 4 4 2 5 2 2 2 2 2" xfId="57786"/>
    <cellStyle name="20% - Accent1 4 4 2 5 2 2 2 3" xfId="40291"/>
    <cellStyle name="20% - Accent1 4 4 2 5 2 2 3" xfId="10444"/>
    <cellStyle name="20% - Accent1 4 4 2 5 2 2 3 2" xfId="46812"/>
    <cellStyle name="20% - Accent1 4 4 2 5 2 2 4" xfId="22245"/>
    <cellStyle name="20% - Accent1 4 4 2 5 2 2 4 2" xfId="57787"/>
    <cellStyle name="20% - Accent1 4 4 2 5 2 2 5" xfId="35860"/>
    <cellStyle name="20% - Accent1 4 4 2 5 2 3" xfId="14876"/>
    <cellStyle name="20% - Accent1 4 4 2 5 2 3 2" xfId="26677"/>
    <cellStyle name="20% - Accent1 4 4 2 5 2 3 2 2" xfId="46813"/>
    <cellStyle name="20% - Accent1 4 4 2 5 2 3 3" xfId="30317"/>
    <cellStyle name="20% - Accent1 4 4 2 5 2 3 3 2" xfId="46814"/>
    <cellStyle name="20% - Accent1 4 4 2 5 2 3 4" xfId="30318"/>
    <cellStyle name="20% - Accent1 4 4 2 5 2 3 4 2" xfId="57788"/>
    <cellStyle name="20% - Accent1 4 4 2 5 2 3 5" xfId="40292"/>
    <cellStyle name="20% - Accent1 4 4 2 5 2 4" xfId="14877"/>
    <cellStyle name="20% - Accent1 4 4 2 5 2 4 2" xfId="26678"/>
    <cellStyle name="20% - Accent1 4 4 2 5 2 4 2 2" xfId="57789"/>
    <cellStyle name="20% - Accent1 4 4 2 5 2 4 3" xfId="40293"/>
    <cellStyle name="20% - Accent1 4 4 2 5 2 5" xfId="7066"/>
    <cellStyle name="20% - Accent1 4 4 2 5 2 5 2" xfId="46815"/>
    <cellStyle name="20% - Accent1 4 4 2 5 2 6" xfId="18867"/>
    <cellStyle name="20% - Accent1 4 4 2 5 2 6 2" xfId="57790"/>
    <cellStyle name="20% - Accent1 4 4 2 5 2 7" xfId="32482"/>
    <cellStyle name="20% - Accent1 4 4 2 5 3" xfId="3150"/>
    <cellStyle name="20% - Accent1 4 4 2 5 3 2" xfId="14878"/>
    <cellStyle name="20% - Accent1 4 4 2 5 3 2 2" xfId="26679"/>
    <cellStyle name="20% - Accent1 4 4 2 5 3 2 2 2" xfId="57791"/>
    <cellStyle name="20% - Accent1 4 4 2 5 3 2 3" xfId="40294"/>
    <cellStyle name="20% - Accent1 4 4 2 5 3 3" xfId="8603"/>
    <cellStyle name="20% - Accent1 4 4 2 5 3 3 2" xfId="46816"/>
    <cellStyle name="20% - Accent1 4 4 2 5 3 4" xfId="20404"/>
    <cellStyle name="20% - Accent1 4 4 2 5 3 4 2" xfId="57792"/>
    <cellStyle name="20% - Accent1 4 4 2 5 3 5" xfId="34019"/>
    <cellStyle name="20% - Accent1 4 4 2 5 4" xfId="14879"/>
    <cellStyle name="20% - Accent1 4 4 2 5 4 2" xfId="26680"/>
    <cellStyle name="20% - Accent1 4 4 2 5 4 2 2" xfId="46817"/>
    <cellStyle name="20% - Accent1 4 4 2 5 4 3" xfId="30319"/>
    <cellStyle name="20% - Accent1 4 4 2 5 4 3 2" xfId="46818"/>
    <cellStyle name="20% - Accent1 4 4 2 5 4 4" xfId="30320"/>
    <cellStyle name="20% - Accent1 4 4 2 5 4 4 2" xfId="57793"/>
    <cellStyle name="20% - Accent1 4 4 2 5 4 5" xfId="40295"/>
    <cellStyle name="20% - Accent1 4 4 2 5 5" xfId="14880"/>
    <cellStyle name="20% - Accent1 4 4 2 5 5 2" xfId="26681"/>
    <cellStyle name="20% - Accent1 4 4 2 5 5 2 2" xfId="57794"/>
    <cellStyle name="20% - Accent1 4 4 2 5 5 3" xfId="40296"/>
    <cellStyle name="20% - Accent1 4 4 2 5 6" xfId="6376"/>
    <cellStyle name="20% - Accent1 4 4 2 5 6 2" xfId="46819"/>
    <cellStyle name="20% - Accent1 4 4 2 5 7" xfId="18177"/>
    <cellStyle name="20% - Accent1 4 4 2 5 7 2" xfId="57795"/>
    <cellStyle name="20% - Accent1 4 4 2 5 8" xfId="31792"/>
    <cellStyle name="20% - Accent1 4 4 2 6" xfId="1613"/>
    <cellStyle name="20% - Accent1 4 4 2 6 2" xfId="3855"/>
    <cellStyle name="20% - Accent1 4 4 2 6 2 2" xfId="14881"/>
    <cellStyle name="20% - Accent1 4 4 2 6 2 2 2" xfId="26682"/>
    <cellStyle name="20% - Accent1 4 4 2 6 2 2 2 2" xfId="57796"/>
    <cellStyle name="20% - Accent1 4 4 2 6 2 2 3" xfId="40297"/>
    <cellStyle name="20% - Accent1 4 4 2 6 2 3" xfId="9308"/>
    <cellStyle name="20% - Accent1 4 4 2 6 2 3 2" xfId="46820"/>
    <cellStyle name="20% - Accent1 4 4 2 6 2 4" xfId="21109"/>
    <cellStyle name="20% - Accent1 4 4 2 6 2 4 2" xfId="57797"/>
    <cellStyle name="20% - Accent1 4 4 2 6 2 5" xfId="34724"/>
    <cellStyle name="20% - Accent1 4 4 2 6 3" xfId="14882"/>
    <cellStyle name="20% - Accent1 4 4 2 6 3 2" xfId="26683"/>
    <cellStyle name="20% - Accent1 4 4 2 6 3 2 2" xfId="46821"/>
    <cellStyle name="20% - Accent1 4 4 2 6 3 3" xfId="30321"/>
    <cellStyle name="20% - Accent1 4 4 2 6 3 3 2" xfId="46822"/>
    <cellStyle name="20% - Accent1 4 4 2 6 3 4" xfId="30322"/>
    <cellStyle name="20% - Accent1 4 4 2 6 3 4 2" xfId="57798"/>
    <cellStyle name="20% - Accent1 4 4 2 6 3 5" xfId="40298"/>
    <cellStyle name="20% - Accent1 4 4 2 6 4" xfId="14883"/>
    <cellStyle name="20% - Accent1 4 4 2 6 4 2" xfId="26684"/>
    <cellStyle name="20% - Accent1 4 4 2 6 4 2 2" xfId="57799"/>
    <cellStyle name="20% - Accent1 4 4 2 6 4 3" xfId="40299"/>
    <cellStyle name="20% - Accent1 4 4 2 6 5" xfId="7067"/>
    <cellStyle name="20% - Accent1 4 4 2 6 5 2" xfId="46823"/>
    <cellStyle name="20% - Accent1 4 4 2 6 6" xfId="18868"/>
    <cellStyle name="20% - Accent1 4 4 2 6 6 2" xfId="57800"/>
    <cellStyle name="20% - Accent1 4 4 2 6 7" xfId="32483"/>
    <cellStyle name="20% - Accent1 4 4 2 7" xfId="3718"/>
    <cellStyle name="20% - Accent1 4 4 2 7 2" xfId="14884"/>
    <cellStyle name="20% - Accent1 4 4 2 7 2 2" xfId="26685"/>
    <cellStyle name="20% - Accent1 4 4 2 7 2 2 2" xfId="57801"/>
    <cellStyle name="20% - Accent1 4 4 2 7 2 3" xfId="40300"/>
    <cellStyle name="20% - Accent1 4 4 2 7 3" xfId="9171"/>
    <cellStyle name="20% - Accent1 4 4 2 7 3 2" xfId="46824"/>
    <cellStyle name="20% - Accent1 4 4 2 7 4" xfId="20972"/>
    <cellStyle name="20% - Accent1 4 4 2 7 4 2" xfId="57802"/>
    <cellStyle name="20% - Accent1 4 4 2 7 5" xfId="34587"/>
    <cellStyle name="20% - Accent1 4 4 2 8" xfId="2014"/>
    <cellStyle name="20% - Accent1 4 4 2 8 2" xfId="14885"/>
    <cellStyle name="20% - Accent1 4 4 2 8 2 2" xfId="26686"/>
    <cellStyle name="20% - Accent1 4 4 2 8 2 2 2" xfId="57803"/>
    <cellStyle name="20% - Accent1 4 4 2 8 2 3" xfId="40301"/>
    <cellStyle name="20% - Accent1 4 4 2 8 3" xfId="7467"/>
    <cellStyle name="20% - Accent1 4 4 2 8 3 2" xfId="46825"/>
    <cellStyle name="20% - Accent1 4 4 2 8 4" xfId="19268"/>
    <cellStyle name="20% - Accent1 4 4 2 8 4 2" xfId="57804"/>
    <cellStyle name="20% - Accent1 4 4 2 8 5" xfId="32883"/>
    <cellStyle name="20% - Accent1 4 4 2 9" xfId="14886"/>
    <cellStyle name="20% - Accent1 4 4 2 9 2" xfId="26687"/>
    <cellStyle name="20% - Accent1 4 4 2 9 2 2" xfId="57805"/>
    <cellStyle name="20% - Accent1 4 4 2 9 3" xfId="40302"/>
    <cellStyle name="20% - Accent1 4 4 3" xfId="178"/>
    <cellStyle name="20% - Accent1 4 4 3 10" xfId="31048"/>
    <cellStyle name="20% - Accent1 4 4 3 2" xfId="336"/>
    <cellStyle name="20% - Accent1 4 4 3 2 2" xfId="1614"/>
    <cellStyle name="20% - Accent1 4 4 3 2 2 2" xfId="4646"/>
    <cellStyle name="20% - Accent1 4 4 3 2 2 2 2" xfId="14887"/>
    <cellStyle name="20% - Accent1 4 4 3 2 2 2 2 2" xfId="26688"/>
    <cellStyle name="20% - Accent1 4 4 3 2 2 2 2 2 2" xfId="57806"/>
    <cellStyle name="20% - Accent1 4 4 3 2 2 2 2 3" xfId="40303"/>
    <cellStyle name="20% - Accent1 4 4 3 2 2 2 3" xfId="10099"/>
    <cellStyle name="20% - Accent1 4 4 3 2 2 2 3 2" xfId="46826"/>
    <cellStyle name="20% - Accent1 4 4 3 2 2 2 4" xfId="21900"/>
    <cellStyle name="20% - Accent1 4 4 3 2 2 2 4 2" xfId="57807"/>
    <cellStyle name="20% - Accent1 4 4 3 2 2 2 5" xfId="35515"/>
    <cellStyle name="20% - Accent1 4 4 3 2 2 3" xfId="2805"/>
    <cellStyle name="20% - Accent1 4 4 3 2 2 3 2" xfId="14888"/>
    <cellStyle name="20% - Accent1 4 4 3 2 2 3 2 2" xfId="26689"/>
    <cellStyle name="20% - Accent1 4 4 3 2 2 3 2 2 2" xfId="57808"/>
    <cellStyle name="20% - Accent1 4 4 3 2 2 3 2 3" xfId="40304"/>
    <cellStyle name="20% - Accent1 4 4 3 2 2 3 3" xfId="8258"/>
    <cellStyle name="20% - Accent1 4 4 3 2 2 3 3 2" xfId="46827"/>
    <cellStyle name="20% - Accent1 4 4 3 2 2 3 4" xfId="20059"/>
    <cellStyle name="20% - Accent1 4 4 3 2 2 3 4 2" xfId="57809"/>
    <cellStyle name="20% - Accent1 4 4 3 2 2 3 5" xfId="33674"/>
    <cellStyle name="20% - Accent1 4 4 3 2 2 4" xfId="14889"/>
    <cellStyle name="20% - Accent1 4 4 3 2 2 4 2" xfId="26690"/>
    <cellStyle name="20% - Accent1 4 4 3 2 2 4 2 2" xfId="57810"/>
    <cellStyle name="20% - Accent1 4 4 3 2 2 4 3" xfId="40305"/>
    <cellStyle name="20% - Accent1 4 4 3 2 2 5" xfId="7068"/>
    <cellStyle name="20% - Accent1 4 4 3 2 2 5 2" xfId="46828"/>
    <cellStyle name="20% - Accent1 4 4 3 2 2 6" xfId="18869"/>
    <cellStyle name="20% - Accent1 4 4 3 2 2 6 2" xfId="57811"/>
    <cellStyle name="20% - Accent1 4 4 3 2 2 7" xfId="32484"/>
    <cellStyle name="20% - Accent1 4 4 3 2 3" xfId="3373"/>
    <cellStyle name="20% - Accent1 4 4 3 2 3 2" xfId="5214"/>
    <cellStyle name="20% - Accent1 4 4 3 2 3 2 2" xfId="16684"/>
    <cellStyle name="20% - Accent1 4 4 3 2 3 2 2 2" xfId="28485"/>
    <cellStyle name="20% - Accent1 4 4 3 2 3 2 2 2 2" xfId="57812"/>
    <cellStyle name="20% - Accent1 4 4 3 2 3 2 2 3" xfId="42100"/>
    <cellStyle name="20% - Accent1 4 4 3 2 3 2 3" xfId="10667"/>
    <cellStyle name="20% - Accent1 4 4 3 2 3 2 3 2" xfId="57813"/>
    <cellStyle name="20% - Accent1 4 4 3 2 3 2 4" xfId="22468"/>
    <cellStyle name="20% - Accent1 4 4 3 2 3 2 4 2" xfId="57814"/>
    <cellStyle name="20% - Accent1 4 4 3 2 3 2 5" xfId="36083"/>
    <cellStyle name="20% - Accent1 4 4 3 2 3 3" xfId="14890"/>
    <cellStyle name="20% - Accent1 4 4 3 2 3 3 2" xfId="26691"/>
    <cellStyle name="20% - Accent1 4 4 3 2 3 3 2 2" xfId="57815"/>
    <cellStyle name="20% - Accent1 4 4 3 2 3 3 3" xfId="40306"/>
    <cellStyle name="20% - Accent1 4 4 3 2 3 4" xfId="8826"/>
    <cellStyle name="20% - Accent1 4 4 3 2 3 4 2" xfId="57816"/>
    <cellStyle name="20% - Accent1 4 4 3 2 3 5" xfId="20627"/>
    <cellStyle name="20% - Accent1 4 4 3 2 3 5 2" xfId="57817"/>
    <cellStyle name="20% - Accent1 4 4 3 2 3 6" xfId="34242"/>
    <cellStyle name="20% - Accent1 4 4 3 2 4" xfId="4078"/>
    <cellStyle name="20% - Accent1 4 4 3 2 4 2" xfId="14891"/>
    <cellStyle name="20% - Accent1 4 4 3 2 4 2 2" xfId="26692"/>
    <cellStyle name="20% - Accent1 4 4 3 2 4 2 2 2" xfId="57818"/>
    <cellStyle name="20% - Accent1 4 4 3 2 4 2 3" xfId="40307"/>
    <cellStyle name="20% - Accent1 4 4 3 2 4 3" xfId="9531"/>
    <cellStyle name="20% - Accent1 4 4 3 2 4 3 2" xfId="46829"/>
    <cellStyle name="20% - Accent1 4 4 3 2 4 4" xfId="21332"/>
    <cellStyle name="20% - Accent1 4 4 3 2 4 4 2" xfId="57819"/>
    <cellStyle name="20% - Accent1 4 4 3 2 4 5" xfId="34947"/>
    <cellStyle name="20% - Accent1 4 4 3 2 5" xfId="2237"/>
    <cellStyle name="20% - Accent1 4 4 3 2 5 2" xfId="17155"/>
    <cellStyle name="20% - Accent1 4 4 3 2 5 2 2" xfId="28956"/>
    <cellStyle name="20% - Accent1 4 4 3 2 5 2 2 2" xfId="57820"/>
    <cellStyle name="20% - Accent1 4 4 3 2 5 2 3" xfId="42571"/>
    <cellStyle name="20% - Accent1 4 4 3 2 5 3" xfId="7690"/>
    <cellStyle name="20% - Accent1 4 4 3 2 5 3 2" xfId="57821"/>
    <cellStyle name="20% - Accent1 4 4 3 2 5 4" xfId="19491"/>
    <cellStyle name="20% - Accent1 4 4 3 2 5 4 2" xfId="57822"/>
    <cellStyle name="20% - Accent1 4 4 3 2 5 5" xfId="33106"/>
    <cellStyle name="20% - Accent1 4 4 3 2 6" xfId="14892"/>
    <cellStyle name="20% - Accent1 4 4 3 2 6 2" xfId="26693"/>
    <cellStyle name="20% - Accent1 4 4 3 2 6 2 2" xfId="57823"/>
    <cellStyle name="20% - Accent1 4 4 3 2 6 3" xfId="40308"/>
    <cellStyle name="20% - Accent1 4 4 3 2 7" xfId="5790"/>
    <cellStyle name="20% - Accent1 4 4 3 2 7 2" xfId="57824"/>
    <cellStyle name="20% - Accent1 4 4 3 2 8" xfId="17591"/>
    <cellStyle name="20% - Accent1 4 4 3 2 8 2" xfId="57825"/>
    <cellStyle name="20% - Accent1 4 4 3 2 9" xfId="31206"/>
    <cellStyle name="20% - Accent1 4 4 3 3" xfId="746"/>
    <cellStyle name="20% - Accent1 4 4 3 3 2" xfId="1615"/>
    <cellStyle name="20% - Accent1 4 4 3 3 2 2" xfId="4488"/>
    <cellStyle name="20% - Accent1 4 4 3 3 2 2 2" xfId="14893"/>
    <cellStyle name="20% - Accent1 4 4 3 3 2 2 2 2" xfId="26694"/>
    <cellStyle name="20% - Accent1 4 4 3 3 2 2 2 2 2" xfId="57826"/>
    <cellStyle name="20% - Accent1 4 4 3 3 2 2 2 3" xfId="40309"/>
    <cellStyle name="20% - Accent1 4 4 3 3 2 2 3" xfId="9941"/>
    <cellStyle name="20% - Accent1 4 4 3 3 2 2 3 2" xfId="46830"/>
    <cellStyle name="20% - Accent1 4 4 3 3 2 2 4" xfId="21742"/>
    <cellStyle name="20% - Accent1 4 4 3 3 2 2 4 2" xfId="57827"/>
    <cellStyle name="20% - Accent1 4 4 3 3 2 2 5" xfId="35357"/>
    <cellStyle name="20% - Accent1 4 4 3 3 2 3" xfId="14894"/>
    <cellStyle name="20% - Accent1 4 4 3 3 2 3 2" xfId="26695"/>
    <cellStyle name="20% - Accent1 4 4 3 3 2 3 2 2" xfId="46831"/>
    <cellStyle name="20% - Accent1 4 4 3 3 2 3 3" xfId="30323"/>
    <cellStyle name="20% - Accent1 4 4 3 3 2 3 3 2" xfId="46832"/>
    <cellStyle name="20% - Accent1 4 4 3 3 2 3 4" xfId="30324"/>
    <cellStyle name="20% - Accent1 4 4 3 3 2 3 4 2" xfId="57828"/>
    <cellStyle name="20% - Accent1 4 4 3 3 2 3 5" xfId="40310"/>
    <cellStyle name="20% - Accent1 4 4 3 3 2 4" xfId="14895"/>
    <cellStyle name="20% - Accent1 4 4 3 3 2 4 2" xfId="26696"/>
    <cellStyle name="20% - Accent1 4 4 3 3 2 4 2 2" xfId="57829"/>
    <cellStyle name="20% - Accent1 4 4 3 3 2 4 3" xfId="40311"/>
    <cellStyle name="20% - Accent1 4 4 3 3 2 5" xfId="7069"/>
    <cellStyle name="20% - Accent1 4 4 3 3 2 5 2" xfId="46833"/>
    <cellStyle name="20% - Accent1 4 4 3 3 2 6" xfId="18870"/>
    <cellStyle name="20% - Accent1 4 4 3 3 2 6 2" xfId="57830"/>
    <cellStyle name="20% - Accent1 4 4 3 3 2 7" xfId="32485"/>
    <cellStyle name="20% - Accent1 4 4 3 3 3" xfId="2647"/>
    <cellStyle name="20% - Accent1 4 4 3 3 3 2" xfId="14896"/>
    <cellStyle name="20% - Accent1 4 4 3 3 3 2 2" xfId="26697"/>
    <cellStyle name="20% - Accent1 4 4 3 3 3 2 2 2" xfId="57831"/>
    <cellStyle name="20% - Accent1 4 4 3 3 3 2 3" xfId="40312"/>
    <cellStyle name="20% - Accent1 4 4 3 3 3 3" xfId="8100"/>
    <cellStyle name="20% - Accent1 4 4 3 3 3 3 2" xfId="46834"/>
    <cellStyle name="20% - Accent1 4 4 3 3 3 4" xfId="19901"/>
    <cellStyle name="20% - Accent1 4 4 3 3 3 4 2" xfId="57832"/>
    <cellStyle name="20% - Accent1 4 4 3 3 3 5" xfId="33516"/>
    <cellStyle name="20% - Accent1 4 4 3 3 4" xfId="14897"/>
    <cellStyle name="20% - Accent1 4 4 3 3 4 2" xfId="26698"/>
    <cellStyle name="20% - Accent1 4 4 3 3 4 2 2" xfId="46835"/>
    <cellStyle name="20% - Accent1 4 4 3 3 4 3" xfId="30325"/>
    <cellStyle name="20% - Accent1 4 4 3 3 4 3 2" xfId="46836"/>
    <cellStyle name="20% - Accent1 4 4 3 3 4 4" xfId="30326"/>
    <cellStyle name="20% - Accent1 4 4 3 3 4 4 2" xfId="57833"/>
    <cellStyle name="20% - Accent1 4 4 3 3 4 5" xfId="40313"/>
    <cellStyle name="20% - Accent1 4 4 3 3 5" xfId="14898"/>
    <cellStyle name="20% - Accent1 4 4 3 3 5 2" xfId="26699"/>
    <cellStyle name="20% - Accent1 4 4 3 3 5 2 2" xfId="57834"/>
    <cellStyle name="20% - Accent1 4 4 3 3 5 3" xfId="40314"/>
    <cellStyle name="20% - Accent1 4 4 3 3 6" xfId="6200"/>
    <cellStyle name="20% - Accent1 4 4 3 3 6 2" xfId="46837"/>
    <cellStyle name="20% - Accent1 4 4 3 3 7" xfId="18001"/>
    <cellStyle name="20% - Accent1 4 4 3 3 7 2" xfId="57835"/>
    <cellStyle name="20% - Accent1 4 4 3 3 8" xfId="31616"/>
    <cellStyle name="20% - Accent1 4 4 3 4" xfId="1616"/>
    <cellStyle name="20% - Accent1 4 4 3 4 2" xfId="5056"/>
    <cellStyle name="20% - Accent1 4 4 3 4 2 2" xfId="14899"/>
    <cellStyle name="20% - Accent1 4 4 3 4 2 2 2" xfId="26700"/>
    <cellStyle name="20% - Accent1 4 4 3 4 2 2 2 2" xfId="57836"/>
    <cellStyle name="20% - Accent1 4 4 3 4 2 2 3" xfId="40315"/>
    <cellStyle name="20% - Accent1 4 4 3 4 2 3" xfId="10509"/>
    <cellStyle name="20% - Accent1 4 4 3 4 2 3 2" xfId="46838"/>
    <cellStyle name="20% - Accent1 4 4 3 4 2 4" xfId="22310"/>
    <cellStyle name="20% - Accent1 4 4 3 4 2 4 2" xfId="57837"/>
    <cellStyle name="20% - Accent1 4 4 3 4 2 5" xfId="35925"/>
    <cellStyle name="20% - Accent1 4 4 3 4 3" xfId="3215"/>
    <cellStyle name="20% - Accent1 4 4 3 4 3 2" xfId="14900"/>
    <cellStyle name="20% - Accent1 4 4 3 4 3 2 2" xfId="26701"/>
    <cellStyle name="20% - Accent1 4 4 3 4 3 2 2 2" xfId="57838"/>
    <cellStyle name="20% - Accent1 4 4 3 4 3 2 3" xfId="40316"/>
    <cellStyle name="20% - Accent1 4 4 3 4 3 3" xfId="8668"/>
    <cellStyle name="20% - Accent1 4 4 3 4 3 3 2" xfId="46839"/>
    <cellStyle name="20% - Accent1 4 4 3 4 3 4" xfId="20469"/>
    <cellStyle name="20% - Accent1 4 4 3 4 3 4 2" xfId="57839"/>
    <cellStyle name="20% - Accent1 4 4 3 4 3 5" xfId="34084"/>
    <cellStyle name="20% - Accent1 4 4 3 4 4" xfId="14901"/>
    <cellStyle name="20% - Accent1 4 4 3 4 4 2" xfId="26702"/>
    <cellStyle name="20% - Accent1 4 4 3 4 4 2 2" xfId="57840"/>
    <cellStyle name="20% - Accent1 4 4 3 4 4 3" xfId="40317"/>
    <cellStyle name="20% - Accent1 4 4 3 4 5" xfId="7070"/>
    <cellStyle name="20% - Accent1 4 4 3 4 5 2" xfId="46840"/>
    <cellStyle name="20% - Accent1 4 4 3 4 6" xfId="18871"/>
    <cellStyle name="20% - Accent1 4 4 3 4 6 2" xfId="57841"/>
    <cellStyle name="20% - Accent1 4 4 3 4 7" xfId="32486"/>
    <cellStyle name="20% - Accent1 4 4 3 5" xfId="3920"/>
    <cellStyle name="20% - Accent1 4 4 3 5 2" xfId="14902"/>
    <cellStyle name="20% - Accent1 4 4 3 5 2 2" xfId="26703"/>
    <cellStyle name="20% - Accent1 4 4 3 5 2 2 2" xfId="57842"/>
    <cellStyle name="20% - Accent1 4 4 3 5 2 3" xfId="40318"/>
    <cellStyle name="20% - Accent1 4 4 3 5 3" xfId="9373"/>
    <cellStyle name="20% - Accent1 4 4 3 5 3 2" xfId="46841"/>
    <cellStyle name="20% - Accent1 4 4 3 5 4" xfId="21174"/>
    <cellStyle name="20% - Accent1 4 4 3 5 4 2" xfId="57843"/>
    <cellStyle name="20% - Accent1 4 4 3 5 5" xfId="34789"/>
    <cellStyle name="20% - Accent1 4 4 3 6" xfId="2079"/>
    <cellStyle name="20% - Accent1 4 4 3 6 2" xfId="14903"/>
    <cellStyle name="20% - Accent1 4 4 3 6 2 2" xfId="26704"/>
    <cellStyle name="20% - Accent1 4 4 3 6 2 2 2" xfId="57844"/>
    <cellStyle name="20% - Accent1 4 4 3 6 2 3" xfId="40319"/>
    <cellStyle name="20% - Accent1 4 4 3 6 3" xfId="7532"/>
    <cellStyle name="20% - Accent1 4 4 3 6 3 2" xfId="46842"/>
    <cellStyle name="20% - Accent1 4 4 3 6 4" xfId="19333"/>
    <cellStyle name="20% - Accent1 4 4 3 6 4 2" xfId="57845"/>
    <cellStyle name="20% - Accent1 4 4 3 6 5" xfId="32948"/>
    <cellStyle name="20% - Accent1 4 4 3 7" xfId="14904"/>
    <cellStyle name="20% - Accent1 4 4 3 7 2" xfId="26705"/>
    <cellStyle name="20% - Accent1 4 4 3 7 2 2" xfId="57846"/>
    <cellStyle name="20% - Accent1 4 4 3 7 3" xfId="40320"/>
    <cellStyle name="20% - Accent1 4 4 3 8" xfId="5632"/>
    <cellStyle name="20% - Accent1 4 4 3 8 2" xfId="46843"/>
    <cellStyle name="20% - Accent1 4 4 3 9" xfId="17433"/>
    <cellStyle name="20% - Accent1 4 4 3 9 2" xfId="57847"/>
    <cellStyle name="20% - Accent1 4 4 4" xfId="473"/>
    <cellStyle name="20% - Accent1 4 4 4 2" xfId="1617"/>
    <cellStyle name="20% - Accent1 4 4 4 2 2" xfId="4783"/>
    <cellStyle name="20% - Accent1 4 4 4 2 2 2" xfId="14905"/>
    <cellStyle name="20% - Accent1 4 4 4 2 2 2 2" xfId="26706"/>
    <cellStyle name="20% - Accent1 4 4 4 2 2 2 2 2" xfId="57848"/>
    <cellStyle name="20% - Accent1 4 4 4 2 2 2 3" xfId="40321"/>
    <cellStyle name="20% - Accent1 4 4 4 2 2 3" xfId="10236"/>
    <cellStyle name="20% - Accent1 4 4 4 2 2 3 2" xfId="46844"/>
    <cellStyle name="20% - Accent1 4 4 4 2 2 4" xfId="22037"/>
    <cellStyle name="20% - Accent1 4 4 4 2 2 4 2" xfId="57849"/>
    <cellStyle name="20% - Accent1 4 4 4 2 2 5" xfId="35652"/>
    <cellStyle name="20% - Accent1 4 4 4 2 3" xfId="2942"/>
    <cellStyle name="20% - Accent1 4 4 4 2 3 2" xfId="14906"/>
    <cellStyle name="20% - Accent1 4 4 4 2 3 2 2" xfId="26707"/>
    <cellStyle name="20% - Accent1 4 4 4 2 3 2 2 2" xfId="57850"/>
    <cellStyle name="20% - Accent1 4 4 4 2 3 2 3" xfId="40322"/>
    <cellStyle name="20% - Accent1 4 4 4 2 3 3" xfId="8395"/>
    <cellStyle name="20% - Accent1 4 4 4 2 3 3 2" xfId="46845"/>
    <cellStyle name="20% - Accent1 4 4 4 2 3 4" xfId="20196"/>
    <cellStyle name="20% - Accent1 4 4 4 2 3 4 2" xfId="57851"/>
    <cellStyle name="20% - Accent1 4 4 4 2 3 5" xfId="33811"/>
    <cellStyle name="20% - Accent1 4 4 4 2 4" xfId="14907"/>
    <cellStyle name="20% - Accent1 4 4 4 2 4 2" xfId="26708"/>
    <cellStyle name="20% - Accent1 4 4 4 2 4 2 2" xfId="57852"/>
    <cellStyle name="20% - Accent1 4 4 4 2 4 3" xfId="40323"/>
    <cellStyle name="20% - Accent1 4 4 4 2 5" xfId="7071"/>
    <cellStyle name="20% - Accent1 4 4 4 2 5 2" xfId="46846"/>
    <cellStyle name="20% - Accent1 4 4 4 2 6" xfId="18872"/>
    <cellStyle name="20% - Accent1 4 4 4 2 6 2" xfId="57853"/>
    <cellStyle name="20% - Accent1 4 4 4 2 7" xfId="32487"/>
    <cellStyle name="20% - Accent1 4 4 4 3" xfId="3510"/>
    <cellStyle name="20% - Accent1 4 4 4 3 2" xfId="5351"/>
    <cellStyle name="20% - Accent1 4 4 4 3 2 2" xfId="16821"/>
    <cellStyle name="20% - Accent1 4 4 4 3 2 2 2" xfId="28622"/>
    <cellStyle name="20% - Accent1 4 4 4 3 2 2 2 2" xfId="57854"/>
    <cellStyle name="20% - Accent1 4 4 4 3 2 2 3" xfId="42237"/>
    <cellStyle name="20% - Accent1 4 4 4 3 2 3" xfId="10804"/>
    <cellStyle name="20% - Accent1 4 4 4 3 2 3 2" xfId="57855"/>
    <cellStyle name="20% - Accent1 4 4 4 3 2 4" xfId="22605"/>
    <cellStyle name="20% - Accent1 4 4 4 3 2 4 2" xfId="57856"/>
    <cellStyle name="20% - Accent1 4 4 4 3 2 5" xfId="36220"/>
    <cellStyle name="20% - Accent1 4 4 4 3 3" xfId="14908"/>
    <cellStyle name="20% - Accent1 4 4 4 3 3 2" xfId="26709"/>
    <cellStyle name="20% - Accent1 4 4 4 3 3 2 2" xfId="57857"/>
    <cellStyle name="20% - Accent1 4 4 4 3 3 3" xfId="40324"/>
    <cellStyle name="20% - Accent1 4 4 4 3 4" xfId="8963"/>
    <cellStyle name="20% - Accent1 4 4 4 3 4 2" xfId="57858"/>
    <cellStyle name="20% - Accent1 4 4 4 3 5" xfId="20764"/>
    <cellStyle name="20% - Accent1 4 4 4 3 5 2" xfId="57859"/>
    <cellStyle name="20% - Accent1 4 4 4 3 6" xfId="34379"/>
    <cellStyle name="20% - Accent1 4 4 4 4" xfId="4215"/>
    <cellStyle name="20% - Accent1 4 4 4 4 2" xfId="14909"/>
    <cellStyle name="20% - Accent1 4 4 4 4 2 2" xfId="26710"/>
    <cellStyle name="20% - Accent1 4 4 4 4 2 2 2" xfId="57860"/>
    <cellStyle name="20% - Accent1 4 4 4 4 2 3" xfId="40325"/>
    <cellStyle name="20% - Accent1 4 4 4 4 3" xfId="9668"/>
    <cellStyle name="20% - Accent1 4 4 4 4 3 2" xfId="46847"/>
    <cellStyle name="20% - Accent1 4 4 4 4 4" xfId="21469"/>
    <cellStyle name="20% - Accent1 4 4 4 4 4 2" xfId="57861"/>
    <cellStyle name="20% - Accent1 4 4 4 4 5" xfId="35084"/>
    <cellStyle name="20% - Accent1 4 4 4 5" xfId="2374"/>
    <cellStyle name="20% - Accent1 4 4 4 5 2" xfId="17156"/>
    <cellStyle name="20% - Accent1 4 4 4 5 2 2" xfId="28957"/>
    <cellStyle name="20% - Accent1 4 4 4 5 2 2 2" xfId="57862"/>
    <cellStyle name="20% - Accent1 4 4 4 5 2 3" xfId="42572"/>
    <cellStyle name="20% - Accent1 4 4 4 5 3" xfId="7827"/>
    <cellStyle name="20% - Accent1 4 4 4 5 3 2" xfId="57863"/>
    <cellStyle name="20% - Accent1 4 4 4 5 4" xfId="19628"/>
    <cellStyle name="20% - Accent1 4 4 4 5 4 2" xfId="57864"/>
    <cellStyle name="20% - Accent1 4 4 4 5 5" xfId="33243"/>
    <cellStyle name="20% - Accent1 4 4 4 6" xfId="14910"/>
    <cellStyle name="20% - Accent1 4 4 4 6 2" xfId="26711"/>
    <cellStyle name="20% - Accent1 4 4 4 6 2 2" xfId="57865"/>
    <cellStyle name="20% - Accent1 4 4 4 6 3" xfId="40326"/>
    <cellStyle name="20% - Accent1 4 4 4 7" xfId="5927"/>
    <cellStyle name="20% - Accent1 4 4 4 7 2" xfId="57866"/>
    <cellStyle name="20% - Accent1 4 4 4 8" xfId="17728"/>
    <cellStyle name="20% - Accent1 4 4 4 8 2" xfId="57867"/>
    <cellStyle name="20% - Accent1 4 4 4 9" xfId="31343"/>
    <cellStyle name="20% - Accent1 4 4 5" xfId="287"/>
    <cellStyle name="20% - Accent1 4 4 5 2" xfId="1618"/>
    <cellStyle name="20% - Accent1 4 4 5 2 2" xfId="4597"/>
    <cellStyle name="20% - Accent1 4 4 5 2 2 2" xfId="14911"/>
    <cellStyle name="20% - Accent1 4 4 5 2 2 2 2" xfId="26712"/>
    <cellStyle name="20% - Accent1 4 4 5 2 2 2 2 2" xfId="57868"/>
    <cellStyle name="20% - Accent1 4 4 5 2 2 2 3" xfId="40327"/>
    <cellStyle name="20% - Accent1 4 4 5 2 2 3" xfId="10050"/>
    <cellStyle name="20% - Accent1 4 4 5 2 2 3 2" xfId="46848"/>
    <cellStyle name="20% - Accent1 4 4 5 2 2 4" xfId="21851"/>
    <cellStyle name="20% - Accent1 4 4 5 2 2 4 2" xfId="57869"/>
    <cellStyle name="20% - Accent1 4 4 5 2 2 5" xfId="35466"/>
    <cellStyle name="20% - Accent1 4 4 5 2 3" xfId="2756"/>
    <cellStyle name="20% - Accent1 4 4 5 2 3 2" xfId="14912"/>
    <cellStyle name="20% - Accent1 4 4 5 2 3 2 2" xfId="26713"/>
    <cellStyle name="20% - Accent1 4 4 5 2 3 2 2 2" xfId="57870"/>
    <cellStyle name="20% - Accent1 4 4 5 2 3 2 3" xfId="40328"/>
    <cellStyle name="20% - Accent1 4 4 5 2 3 3" xfId="8209"/>
    <cellStyle name="20% - Accent1 4 4 5 2 3 3 2" xfId="46849"/>
    <cellStyle name="20% - Accent1 4 4 5 2 3 4" xfId="20010"/>
    <cellStyle name="20% - Accent1 4 4 5 2 3 4 2" xfId="57871"/>
    <cellStyle name="20% - Accent1 4 4 5 2 3 5" xfId="33625"/>
    <cellStyle name="20% - Accent1 4 4 5 2 4" xfId="14913"/>
    <cellStyle name="20% - Accent1 4 4 5 2 4 2" xfId="26714"/>
    <cellStyle name="20% - Accent1 4 4 5 2 4 2 2" xfId="57872"/>
    <cellStyle name="20% - Accent1 4 4 5 2 4 3" xfId="40329"/>
    <cellStyle name="20% - Accent1 4 4 5 2 5" xfId="7072"/>
    <cellStyle name="20% - Accent1 4 4 5 2 5 2" xfId="46850"/>
    <cellStyle name="20% - Accent1 4 4 5 2 6" xfId="18873"/>
    <cellStyle name="20% - Accent1 4 4 5 2 6 2" xfId="57873"/>
    <cellStyle name="20% - Accent1 4 4 5 2 7" xfId="32488"/>
    <cellStyle name="20% - Accent1 4 4 5 3" xfId="3324"/>
    <cellStyle name="20% - Accent1 4 4 5 3 2" xfId="5165"/>
    <cellStyle name="20% - Accent1 4 4 5 3 2 2" xfId="16635"/>
    <cellStyle name="20% - Accent1 4 4 5 3 2 2 2" xfId="28436"/>
    <cellStyle name="20% - Accent1 4 4 5 3 2 2 2 2" xfId="57874"/>
    <cellStyle name="20% - Accent1 4 4 5 3 2 2 3" xfId="42051"/>
    <cellStyle name="20% - Accent1 4 4 5 3 2 3" xfId="10618"/>
    <cellStyle name="20% - Accent1 4 4 5 3 2 3 2" xfId="57875"/>
    <cellStyle name="20% - Accent1 4 4 5 3 2 4" xfId="22419"/>
    <cellStyle name="20% - Accent1 4 4 5 3 2 4 2" xfId="57876"/>
    <cellStyle name="20% - Accent1 4 4 5 3 2 5" xfId="36034"/>
    <cellStyle name="20% - Accent1 4 4 5 3 3" xfId="14914"/>
    <cellStyle name="20% - Accent1 4 4 5 3 3 2" xfId="26715"/>
    <cellStyle name="20% - Accent1 4 4 5 3 3 2 2" xfId="57877"/>
    <cellStyle name="20% - Accent1 4 4 5 3 3 3" xfId="40330"/>
    <cellStyle name="20% - Accent1 4 4 5 3 4" xfId="8777"/>
    <cellStyle name="20% - Accent1 4 4 5 3 4 2" xfId="57878"/>
    <cellStyle name="20% - Accent1 4 4 5 3 5" xfId="20578"/>
    <cellStyle name="20% - Accent1 4 4 5 3 5 2" xfId="57879"/>
    <cellStyle name="20% - Accent1 4 4 5 3 6" xfId="34193"/>
    <cellStyle name="20% - Accent1 4 4 5 4" xfId="4029"/>
    <cellStyle name="20% - Accent1 4 4 5 4 2" xfId="14915"/>
    <cellStyle name="20% - Accent1 4 4 5 4 2 2" xfId="26716"/>
    <cellStyle name="20% - Accent1 4 4 5 4 2 2 2" xfId="57880"/>
    <cellStyle name="20% - Accent1 4 4 5 4 2 3" xfId="40331"/>
    <cellStyle name="20% - Accent1 4 4 5 4 3" xfId="9482"/>
    <cellStyle name="20% - Accent1 4 4 5 4 3 2" xfId="46851"/>
    <cellStyle name="20% - Accent1 4 4 5 4 4" xfId="21283"/>
    <cellStyle name="20% - Accent1 4 4 5 4 4 2" xfId="57881"/>
    <cellStyle name="20% - Accent1 4 4 5 4 5" xfId="34898"/>
    <cellStyle name="20% - Accent1 4 4 5 5" xfId="2188"/>
    <cellStyle name="20% - Accent1 4 4 5 5 2" xfId="17157"/>
    <cellStyle name="20% - Accent1 4 4 5 5 2 2" xfId="28958"/>
    <cellStyle name="20% - Accent1 4 4 5 5 2 2 2" xfId="57882"/>
    <cellStyle name="20% - Accent1 4 4 5 5 2 3" xfId="42573"/>
    <cellStyle name="20% - Accent1 4 4 5 5 3" xfId="7641"/>
    <cellStyle name="20% - Accent1 4 4 5 5 3 2" xfId="57883"/>
    <cellStyle name="20% - Accent1 4 4 5 5 4" xfId="19442"/>
    <cellStyle name="20% - Accent1 4 4 5 5 4 2" xfId="57884"/>
    <cellStyle name="20% - Accent1 4 4 5 5 5" xfId="33057"/>
    <cellStyle name="20% - Accent1 4 4 5 6" xfId="14916"/>
    <cellStyle name="20% - Accent1 4 4 5 6 2" xfId="26717"/>
    <cellStyle name="20% - Accent1 4 4 5 6 2 2" xfId="57885"/>
    <cellStyle name="20% - Accent1 4 4 5 6 3" xfId="40332"/>
    <cellStyle name="20% - Accent1 4 4 5 7" xfId="5741"/>
    <cellStyle name="20% - Accent1 4 4 5 7 2" xfId="57886"/>
    <cellStyle name="20% - Accent1 4 4 5 8" xfId="17542"/>
    <cellStyle name="20% - Accent1 4 4 5 8 2" xfId="57887"/>
    <cellStyle name="20% - Accent1 4 4 5 9" xfId="31157"/>
    <cellStyle name="20% - Accent1 4 4 6" xfId="614"/>
    <cellStyle name="20% - Accent1 4 4 6 2" xfId="1619"/>
    <cellStyle name="20% - Accent1 4 4 6 2 2" xfId="4356"/>
    <cellStyle name="20% - Accent1 4 4 6 2 2 2" xfId="14917"/>
    <cellStyle name="20% - Accent1 4 4 6 2 2 2 2" xfId="26718"/>
    <cellStyle name="20% - Accent1 4 4 6 2 2 2 2 2" xfId="57888"/>
    <cellStyle name="20% - Accent1 4 4 6 2 2 2 3" xfId="40333"/>
    <cellStyle name="20% - Accent1 4 4 6 2 2 3" xfId="9809"/>
    <cellStyle name="20% - Accent1 4 4 6 2 2 3 2" xfId="46852"/>
    <cellStyle name="20% - Accent1 4 4 6 2 2 4" xfId="21610"/>
    <cellStyle name="20% - Accent1 4 4 6 2 2 4 2" xfId="57889"/>
    <cellStyle name="20% - Accent1 4 4 6 2 2 5" xfId="35225"/>
    <cellStyle name="20% - Accent1 4 4 6 2 3" xfId="14918"/>
    <cellStyle name="20% - Accent1 4 4 6 2 3 2" xfId="26719"/>
    <cellStyle name="20% - Accent1 4 4 6 2 3 2 2" xfId="46853"/>
    <cellStyle name="20% - Accent1 4 4 6 2 3 3" xfId="30327"/>
    <cellStyle name="20% - Accent1 4 4 6 2 3 3 2" xfId="46854"/>
    <cellStyle name="20% - Accent1 4 4 6 2 3 4" xfId="30328"/>
    <cellStyle name="20% - Accent1 4 4 6 2 3 4 2" xfId="57890"/>
    <cellStyle name="20% - Accent1 4 4 6 2 3 5" xfId="40334"/>
    <cellStyle name="20% - Accent1 4 4 6 2 4" xfId="14919"/>
    <cellStyle name="20% - Accent1 4 4 6 2 4 2" xfId="26720"/>
    <cellStyle name="20% - Accent1 4 4 6 2 4 2 2" xfId="57891"/>
    <cellStyle name="20% - Accent1 4 4 6 2 4 3" xfId="40335"/>
    <cellStyle name="20% - Accent1 4 4 6 2 5" xfId="7073"/>
    <cellStyle name="20% - Accent1 4 4 6 2 5 2" xfId="46855"/>
    <cellStyle name="20% - Accent1 4 4 6 2 6" xfId="18874"/>
    <cellStyle name="20% - Accent1 4 4 6 2 6 2" xfId="57892"/>
    <cellStyle name="20% - Accent1 4 4 6 2 7" xfId="32489"/>
    <cellStyle name="20% - Accent1 4 4 6 3" xfId="2515"/>
    <cellStyle name="20% - Accent1 4 4 6 3 2" xfId="14920"/>
    <cellStyle name="20% - Accent1 4 4 6 3 2 2" xfId="26721"/>
    <cellStyle name="20% - Accent1 4 4 6 3 2 2 2" xfId="57893"/>
    <cellStyle name="20% - Accent1 4 4 6 3 2 3" xfId="40336"/>
    <cellStyle name="20% - Accent1 4 4 6 3 3" xfId="7968"/>
    <cellStyle name="20% - Accent1 4 4 6 3 3 2" xfId="46856"/>
    <cellStyle name="20% - Accent1 4 4 6 3 4" xfId="19769"/>
    <cellStyle name="20% - Accent1 4 4 6 3 4 2" xfId="57894"/>
    <cellStyle name="20% - Accent1 4 4 6 3 5" xfId="33384"/>
    <cellStyle name="20% - Accent1 4 4 6 4" xfId="14921"/>
    <cellStyle name="20% - Accent1 4 4 6 4 2" xfId="26722"/>
    <cellStyle name="20% - Accent1 4 4 6 4 2 2" xfId="46857"/>
    <cellStyle name="20% - Accent1 4 4 6 4 3" xfId="30329"/>
    <cellStyle name="20% - Accent1 4 4 6 4 3 2" xfId="46858"/>
    <cellStyle name="20% - Accent1 4 4 6 4 4" xfId="30330"/>
    <cellStyle name="20% - Accent1 4 4 6 4 4 2" xfId="57895"/>
    <cellStyle name="20% - Accent1 4 4 6 4 5" xfId="40337"/>
    <cellStyle name="20% - Accent1 4 4 6 5" xfId="14922"/>
    <cellStyle name="20% - Accent1 4 4 6 5 2" xfId="26723"/>
    <cellStyle name="20% - Accent1 4 4 6 5 2 2" xfId="57896"/>
    <cellStyle name="20% - Accent1 4 4 6 5 3" xfId="40338"/>
    <cellStyle name="20% - Accent1 4 4 6 6" xfId="6068"/>
    <cellStyle name="20% - Accent1 4 4 6 6 2" xfId="46859"/>
    <cellStyle name="20% - Accent1 4 4 6 7" xfId="17869"/>
    <cellStyle name="20% - Accent1 4 4 6 7 2" xfId="57897"/>
    <cellStyle name="20% - Accent1 4 4 6 8" xfId="31484"/>
    <cellStyle name="20% - Accent1 4 4 7" xfId="855"/>
    <cellStyle name="20% - Accent1 4 4 7 2" xfId="1620"/>
    <cellStyle name="20% - Accent1 4 4 7 2 2" xfId="4924"/>
    <cellStyle name="20% - Accent1 4 4 7 2 2 2" xfId="14923"/>
    <cellStyle name="20% - Accent1 4 4 7 2 2 2 2" xfId="26724"/>
    <cellStyle name="20% - Accent1 4 4 7 2 2 2 2 2" xfId="57898"/>
    <cellStyle name="20% - Accent1 4 4 7 2 2 2 3" xfId="40339"/>
    <cellStyle name="20% - Accent1 4 4 7 2 2 3" xfId="10377"/>
    <cellStyle name="20% - Accent1 4 4 7 2 2 3 2" xfId="46860"/>
    <cellStyle name="20% - Accent1 4 4 7 2 2 4" xfId="22178"/>
    <cellStyle name="20% - Accent1 4 4 7 2 2 4 2" xfId="57899"/>
    <cellStyle name="20% - Accent1 4 4 7 2 2 5" xfId="35793"/>
    <cellStyle name="20% - Accent1 4 4 7 2 3" xfId="14924"/>
    <cellStyle name="20% - Accent1 4 4 7 2 3 2" xfId="26725"/>
    <cellStyle name="20% - Accent1 4 4 7 2 3 2 2" xfId="46861"/>
    <cellStyle name="20% - Accent1 4 4 7 2 3 3" xfId="30331"/>
    <cellStyle name="20% - Accent1 4 4 7 2 3 3 2" xfId="46862"/>
    <cellStyle name="20% - Accent1 4 4 7 2 3 4" xfId="30332"/>
    <cellStyle name="20% - Accent1 4 4 7 2 3 4 2" xfId="57900"/>
    <cellStyle name="20% - Accent1 4 4 7 2 3 5" xfId="40340"/>
    <cellStyle name="20% - Accent1 4 4 7 2 4" xfId="14925"/>
    <cellStyle name="20% - Accent1 4 4 7 2 4 2" xfId="26726"/>
    <cellStyle name="20% - Accent1 4 4 7 2 4 2 2" xfId="57901"/>
    <cellStyle name="20% - Accent1 4 4 7 2 4 3" xfId="40341"/>
    <cellStyle name="20% - Accent1 4 4 7 2 5" xfId="7074"/>
    <cellStyle name="20% - Accent1 4 4 7 2 5 2" xfId="46863"/>
    <cellStyle name="20% - Accent1 4 4 7 2 6" xfId="18875"/>
    <cellStyle name="20% - Accent1 4 4 7 2 6 2" xfId="57902"/>
    <cellStyle name="20% - Accent1 4 4 7 2 7" xfId="32490"/>
    <cellStyle name="20% - Accent1 4 4 7 3" xfId="3083"/>
    <cellStyle name="20% - Accent1 4 4 7 3 2" xfId="14926"/>
    <cellStyle name="20% - Accent1 4 4 7 3 2 2" xfId="26727"/>
    <cellStyle name="20% - Accent1 4 4 7 3 2 2 2" xfId="57903"/>
    <cellStyle name="20% - Accent1 4 4 7 3 2 3" xfId="40342"/>
    <cellStyle name="20% - Accent1 4 4 7 3 3" xfId="8536"/>
    <cellStyle name="20% - Accent1 4 4 7 3 3 2" xfId="46864"/>
    <cellStyle name="20% - Accent1 4 4 7 3 4" xfId="20337"/>
    <cellStyle name="20% - Accent1 4 4 7 3 4 2" xfId="57904"/>
    <cellStyle name="20% - Accent1 4 4 7 3 5" xfId="33952"/>
    <cellStyle name="20% - Accent1 4 4 7 4" xfId="14927"/>
    <cellStyle name="20% - Accent1 4 4 7 4 2" xfId="26728"/>
    <cellStyle name="20% - Accent1 4 4 7 4 2 2" xfId="46865"/>
    <cellStyle name="20% - Accent1 4 4 7 4 3" xfId="30333"/>
    <cellStyle name="20% - Accent1 4 4 7 4 3 2" xfId="46866"/>
    <cellStyle name="20% - Accent1 4 4 7 4 4" xfId="30334"/>
    <cellStyle name="20% - Accent1 4 4 7 4 4 2" xfId="57905"/>
    <cellStyle name="20% - Accent1 4 4 7 4 5" xfId="40343"/>
    <cellStyle name="20% - Accent1 4 4 7 5" xfId="14928"/>
    <cellStyle name="20% - Accent1 4 4 7 5 2" xfId="26729"/>
    <cellStyle name="20% - Accent1 4 4 7 5 2 2" xfId="57906"/>
    <cellStyle name="20% - Accent1 4 4 7 5 3" xfId="40344"/>
    <cellStyle name="20% - Accent1 4 4 7 6" xfId="6309"/>
    <cellStyle name="20% - Accent1 4 4 7 6 2" xfId="46867"/>
    <cellStyle name="20% - Accent1 4 4 7 7" xfId="18110"/>
    <cellStyle name="20% - Accent1 4 4 7 7 2" xfId="57907"/>
    <cellStyle name="20% - Accent1 4 4 7 8" xfId="31725"/>
    <cellStyle name="20% - Accent1 4 4 8" xfId="1621"/>
    <cellStyle name="20% - Accent1 4 4 8 2" xfId="3788"/>
    <cellStyle name="20% - Accent1 4 4 8 2 2" xfId="14929"/>
    <cellStyle name="20% - Accent1 4 4 8 2 2 2" xfId="26730"/>
    <cellStyle name="20% - Accent1 4 4 8 2 2 2 2" xfId="57908"/>
    <cellStyle name="20% - Accent1 4 4 8 2 2 3" xfId="40345"/>
    <cellStyle name="20% - Accent1 4 4 8 2 3" xfId="9241"/>
    <cellStyle name="20% - Accent1 4 4 8 2 3 2" xfId="46868"/>
    <cellStyle name="20% - Accent1 4 4 8 2 4" xfId="21042"/>
    <cellStyle name="20% - Accent1 4 4 8 2 4 2" xfId="57909"/>
    <cellStyle name="20% - Accent1 4 4 8 2 5" xfId="34657"/>
    <cellStyle name="20% - Accent1 4 4 8 3" xfId="14930"/>
    <cellStyle name="20% - Accent1 4 4 8 3 2" xfId="26731"/>
    <cellStyle name="20% - Accent1 4 4 8 3 2 2" xfId="46869"/>
    <cellStyle name="20% - Accent1 4 4 8 3 3" xfId="30335"/>
    <cellStyle name="20% - Accent1 4 4 8 3 3 2" xfId="46870"/>
    <cellStyle name="20% - Accent1 4 4 8 3 4" xfId="30336"/>
    <cellStyle name="20% - Accent1 4 4 8 3 4 2" xfId="57910"/>
    <cellStyle name="20% - Accent1 4 4 8 3 5" xfId="40346"/>
    <cellStyle name="20% - Accent1 4 4 8 4" xfId="14931"/>
    <cellStyle name="20% - Accent1 4 4 8 4 2" xfId="26732"/>
    <cellStyle name="20% - Accent1 4 4 8 4 2 2" xfId="57911"/>
    <cellStyle name="20% - Accent1 4 4 8 4 3" xfId="40347"/>
    <cellStyle name="20% - Accent1 4 4 8 5" xfId="7075"/>
    <cellStyle name="20% - Accent1 4 4 8 5 2" xfId="46871"/>
    <cellStyle name="20% - Accent1 4 4 8 6" xfId="18876"/>
    <cellStyle name="20% - Accent1 4 4 8 6 2" xfId="57912"/>
    <cellStyle name="20% - Accent1 4 4 8 7" xfId="32491"/>
    <cellStyle name="20% - Accent1 4 4 9" xfId="3651"/>
    <cellStyle name="20% - Accent1 4 4 9 2" xfId="14932"/>
    <cellStyle name="20% - Accent1 4 4 9 2 2" xfId="26733"/>
    <cellStyle name="20% - Accent1 4 4 9 2 2 2" xfId="57913"/>
    <cellStyle name="20% - Accent1 4 4 9 2 3" xfId="40348"/>
    <cellStyle name="20% - Accent1 4 4 9 3" xfId="9104"/>
    <cellStyle name="20% - Accent1 4 4 9 3 2" xfId="46872"/>
    <cellStyle name="20% - Accent1 4 4 9 4" xfId="20905"/>
    <cellStyle name="20% - Accent1 4 4 9 4 2" xfId="57914"/>
    <cellStyle name="20% - Accent1 4 4 9 5" xfId="34520"/>
    <cellStyle name="20% - Accent1 4 5" xfId="20"/>
    <cellStyle name="20% - Accent1 4 5 10" xfId="1921"/>
    <cellStyle name="20% - Accent1 4 5 10 2" xfId="14933"/>
    <cellStyle name="20% - Accent1 4 5 10 2 2" xfId="26734"/>
    <cellStyle name="20% - Accent1 4 5 10 2 2 2" xfId="57915"/>
    <cellStyle name="20% - Accent1 4 5 10 2 3" xfId="40349"/>
    <cellStyle name="20% - Accent1 4 5 10 3" xfId="7374"/>
    <cellStyle name="20% - Accent1 4 5 10 3 2" xfId="46873"/>
    <cellStyle name="20% - Accent1 4 5 10 4" xfId="19175"/>
    <cellStyle name="20% - Accent1 4 5 10 4 2" xfId="57916"/>
    <cellStyle name="20% - Accent1 4 5 10 5" xfId="32790"/>
    <cellStyle name="20% - Accent1 4 5 11" xfId="14934"/>
    <cellStyle name="20% - Accent1 4 5 11 2" xfId="26735"/>
    <cellStyle name="20% - Accent1 4 5 11 2 2" xfId="57917"/>
    <cellStyle name="20% - Accent1 4 5 11 3" xfId="40350"/>
    <cellStyle name="20% - Accent1 4 5 12" xfId="5474"/>
    <cellStyle name="20% - Accent1 4 5 12 2" xfId="46874"/>
    <cellStyle name="20% - Accent1 4 5 13" xfId="17275"/>
    <cellStyle name="20% - Accent1 4 5 13 2" xfId="57918"/>
    <cellStyle name="20% - Accent1 4 5 14" xfId="30890"/>
    <cellStyle name="20% - Accent1 4 5 2" xfId="87"/>
    <cellStyle name="20% - Accent1 4 5 2 10" xfId="5541"/>
    <cellStyle name="20% - Accent1 4 5 2 10 2" xfId="46875"/>
    <cellStyle name="20% - Accent1 4 5 2 11" xfId="17342"/>
    <cellStyle name="20% - Accent1 4 5 2 11 2" xfId="57919"/>
    <cellStyle name="20% - Accent1 4 5 2 12" xfId="30957"/>
    <cellStyle name="20% - Accent1 4 5 2 2" xfId="226"/>
    <cellStyle name="20% - Accent1 4 5 2 2 10" xfId="31096"/>
    <cellStyle name="20% - Accent1 4 5 2 2 2" xfId="514"/>
    <cellStyle name="20% - Accent1 4 5 2 2 2 2" xfId="1622"/>
    <cellStyle name="20% - Accent1 4 5 2 2 2 2 2" xfId="4824"/>
    <cellStyle name="20% - Accent1 4 5 2 2 2 2 2 2" xfId="14935"/>
    <cellStyle name="20% - Accent1 4 5 2 2 2 2 2 2 2" xfId="26736"/>
    <cellStyle name="20% - Accent1 4 5 2 2 2 2 2 2 2 2" xfId="57920"/>
    <cellStyle name="20% - Accent1 4 5 2 2 2 2 2 2 3" xfId="40351"/>
    <cellStyle name="20% - Accent1 4 5 2 2 2 2 2 3" xfId="10277"/>
    <cellStyle name="20% - Accent1 4 5 2 2 2 2 2 3 2" xfId="46876"/>
    <cellStyle name="20% - Accent1 4 5 2 2 2 2 2 4" xfId="22078"/>
    <cellStyle name="20% - Accent1 4 5 2 2 2 2 2 4 2" xfId="57921"/>
    <cellStyle name="20% - Accent1 4 5 2 2 2 2 2 5" xfId="35693"/>
    <cellStyle name="20% - Accent1 4 5 2 2 2 2 3" xfId="2983"/>
    <cellStyle name="20% - Accent1 4 5 2 2 2 2 3 2" xfId="14936"/>
    <cellStyle name="20% - Accent1 4 5 2 2 2 2 3 2 2" xfId="26737"/>
    <cellStyle name="20% - Accent1 4 5 2 2 2 2 3 2 2 2" xfId="57922"/>
    <cellStyle name="20% - Accent1 4 5 2 2 2 2 3 2 3" xfId="40352"/>
    <cellStyle name="20% - Accent1 4 5 2 2 2 2 3 3" xfId="8436"/>
    <cellStyle name="20% - Accent1 4 5 2 2 2 2 3 3 2" xfId="46877"/>
    <cellStyle name="20% - Accent1 4 5 2 2 2 2 3 4" xfId="20237"/>
    <cellStyle name="20% - Accent1 4 5 2 2 2 2 3 4 2" xfId="57923"/>
    <cellStyle name="20% - Accent1 4 5 2 2 2 2 3 5" xfId="33852"/>
    <cellStyle name="20% - Accent1 4 5 2 2 2 2 4" xfId="14937"/>
    <cellStyle name="20% - Accent1 4 5 2 2 2 2 4 2" xfId="26738"/>
    <cellStyle name="20% - Accent1 4 5 2 2 2 2 4 2 2" xfId="57924"/>
    <cellStyle name="20% - Accent1 4 5 2 2 2 2 4 3" xfId="40353"/>
    <cellStyle name="20% - Accent1 4 5 2 2 2 2 5" xfId="7076"/>
    <cellStyle name="20% - Accent1 4 5 2 2 2 2 5 2" xfId="46878"/>
    <cellStyle name="20% - Accent1 4 5 2 2 2 2 6" xfId="18877"/>
    <cellStyle name="20% - Accent1 4 5 2 2 2 2 6 2" xfId="57925"/>
    <cellStyle name="20% - Accent1 4 5 2 2 2 2 7" xfId="32492"/>
    <cellStyle name="20% - Accent1 4 5 2 2 2 3" xfId="3551"/>
    <cellStyle name="20% - Accent1 4 5 2 2 2 3 2" xfId="5392"/>
    <cellStyle name="20% - Accent1 4 5 2 2 2 3 2 2" xfId="16862"/>
    <cellStyle name="20% - Accent1 4 5 2 2 2 3 2 2 2" xfId="28663"/>
    <cellStyle name="20% - Accent1 4 5 2 2 2 3 2 2 2 2" xfId="57926"/>
    <cellStyle name="20% - Accent1 4 5 2 2 2 3 2 2 3" xfId="42278"/>
    <cellStyle name="20% - Accent1 4 5 2 2 2 3 2 3" xfId="10845"/>
    <cellStyle name="20% - Accent1 4 5 2 2 2 3 2 3 2" xfId="57927"/>
    <cellStyle name="20% - Accent1 4 5 2 2 2 3 2 4" xfId="22646"/>
    <cellStyle name="20% - Accent1 4 5 2 2 2 3 2 4 2" xfId="57928"/>
    <cellStyle name="20% - Accent1 4 5 2 2 2 3 2 5" xfId="36261"/>
    <cellStyle name="20% - Accent1 4 5 2 2 2 3 3" xfId="14938"/>
    <cellStyle name="20% - Accent1 4 5 2 2 2 3 3 2" xfId="26739"/>
    <cellStyle name="20% - Accent1 4 5 2 2 2 3 3 2 2" xfId="57929"/>
    <cellStyle name="20% - Accent1 4 5 2 2 2 3 3 3" xfId="40354"/>
    <cellStyle name="20% - Accent1 4 5 2 2 2 3 4" xfId="9004"/>
    <cellStyle name="20% - Accent1 4 5 2 2 2 3 4 2" xfId="57930"/>
    <cellStyle name="20% - Accent1 4 5 2 2 2 3 5" xfId="20805"/>
    <cellStyle name="20% - Accent1 4 5 2 2 2 3 5 2" xfId="57931"/>
    <cellStyle name="20% - Accent1 4 5 2 2 2 3 6" xfId="34420"/>
    <cellStyle name="20% - Accent1 4 5 2 2 2 4" xfId="4256"/>
    <cellStyle name="20% - Accent1 4 5 2 2 2 4 2" xfId="14939"/>
    <cellStyle name="20% - Accent1 4 5 2 2 2 4 2 2" xfId="26740"/>
    <cellStyle name="20% - Accent1 4 5 2 2 2 4 2 2 2" xfId="57932"/>
    <cellStyle name="20% - Accent1 4 5 2 2 2 4 2 3" xfId="40355"/>
    <cellStyle name="20% - Accent1 4 5 2 2 2 4 3" xfId="9709"/>
    <cellStyle name="20% - Accent1 4 5 2 2 2 4 3 2" xfId="46879"/>
    <cellStyle name="20% - Accent1 4 5 2 2 2 4 4" xfId="21510"/>
    <cellStyle name="20% - Accent1 4 5 2 2 2 4 4 2" xfId="57933"/>
    <cellStyle name="20% - Accent1 4 5 2 2 2 4 5" xfId="35125"/>
    <cellStyle name="20% - Accent1 4 5 2 2 2 5" xfId="2415"/>
    <cellStyle name="20% - Accent1 4 5 2 2 2 5 2" xfId="17158"/>
    <cellStyle name="20% - Accent1 4 5 2 2 2 5 2 2" xfId="28959"/>
    <cellStyle name="20% - Accent1 4 5 2 2 2 5 2 2 2" xfId="57934"/>
    <cellStyle name="20% - Accent1 4 5 2 2 2 5 2 3" xfId="42574"/>
    <cellStyle name="20% - Accent1 4 5 2 2 2 5 3" xfId="7868"/>
    <cellStyle name="20% - Accent1 4 5 2 2 2 5 3 2" xfId="57935"/>
    <cellStyle name="20% - Accent1 4 5 2 2 2 5 4" xfId="19669"/>
    <cellStyle name="20% - Accent1 4 5 2 2 2 5 4 2" xfId="57936"/>
    <cellStyle name="20% - Accent1 4 5 2 2 2 5 5" xfId="33284"/>
    <cellStyle name="20% - Accent1 4 5 2 2 2 6" xfId="14940"/>
    <cellStyle name="20% - Accent1 4 5 2 2 2 6 2" xfId="26741"/>
    <cellStyle name="20% - Accent1 4 5 2 2 2 6 2 2" xfId="57937"/>
    <cellStyle name="20% - Accent1 4 5 2 2 2 6 3" xfId="40356"/>
    <cellStyle name="20% - Accent1 4 5 2 2 2 7" xfId="5968"/>
    <cellStyle name="20% - Accent1 4 5 2 2 2 7 2" xfId="57938"/>
    <cellStyle name="20% - Accent1 4 5 2 2 2 8" xfId="17769"/>
    <cellStyle name="20% - Accent1 4 5 2 2 2 8 2" xfId="57939"/>
    <cellStyle name="20% - Accent1 4 5 2 2 2 9" xfId="31384"/>
    <cellStyle name="20% - Accent1 4 5 2 2 3" xfId="794"/>
    <cellStyle name="20% - Accent1 4 5 2 2 3 2" xfId="1623"/>
    <cellStyle name="20% - Accent1 4 5 2 2 3 2 2" xfId="4536"/>
    <cellStyle name="20% - Accent1 4 5 2 2 3 2 2 2" xfId="14941"/>
    <cellStyle name="20% - Accent1 4 5 2 2 3 2 2 2 2" xfId="26742"/>
    <cellStyle name="20% - Accent1 4 5 2 2 3 2 2 2 2 2" xfId="57940"/>
    <cellStyle name="20% - Accent1 4 5 2 2 3 2 2 2 3" xfId="40357"/>
    <cellStyle name="20% - Accent1 4 5 2 2 3 2 2 3" xfId="9989"/>
    <cellStyle name="20% - Accent1 4 5 2 2 3 2 2 3 2" xfId="46880"/>
    <cellStyle name="20% - Accent1 4 5 2 2 3 2 2 4" xfId="21790"/>
    <cellStyle name="20% - Accent1 4 5 2 2 3 2 2 4 2" xfId="57941"/>
    <cellStyle name="20% - Accent1 4 5 2 2 3 2 2 5" xfId="35405"/>
    <cellStyle name="20% - Accent1 4 5 2 2 3 2 3" xfId="14942"/>
    <cellStyle name="20% - Accent1 4 5 2 2 3 2 3 2" xfId="26743"/>
    <cellStyle name="20% - Accent1 4 5 2 2 3 2 3 2 2" xfId="46881"/>
    <cellStyle name="20% - Accent1 4 5 2 2 3 2 3 3" xfId="30337"/>
    <cellStyle name="20% - Accent1 4 5 2 2 3 2 3 3 2" xfId="46882"/>
    <cellStyle name="20% - Accent1 4 5 2 2 3 2 3 4" xfId="30338"/>
    <cellStyle name="20% - Accent1 4 5 2 2 3 2 3 4 2" xfId="57942"/>
    <cellStyle name="20% - Accent1 4 5 2 2 3 2 3 5" xfId="40358"/>
    <cellStyle name="20% - Accent1 4 5 2 2 3 2 4" xfId="14943"/>
    <cellStyle name="20% - Accent1 4 5 2 2 3 2 4 2" xfId="26744"/>
    <cellStyle name="20% - Accent1 4 5 2 2 3 2 4 2 2" xfId="57943"/>
    <cellStyle name="20% - Accent1 4 5 2 2 3 2 4 3" xfId="40359"/>
    <cellStyle name="20% - Accent1 4 5 2 2 3 2 5" xfId="7077"/>
    <cellStyle name="20% - Accent1 4 5 2 2 3 2 5 2" xfId="46883"/>
    <cellStyle name="20% - Accent1 4 5 2 2 3 2 6" xfId="18878"/>
    <cellStyle name="20% - Accent1 4 5 2 2 3 2 6 2" xfId="57944"/>
    <cellStyle name="20% - Accent1 4 5 2 2 3 2 7" xfId="32493"/>
    <cellStyle name="20% - Accent1 4 5 2 2 3 3" xfId="2695"/>
    <cellStyle name="20% - Accent1 4 5 2 2 3 3 2" xfId="14944"/>
    <cellStyle name="20% - Accent1 4 5 2 2 3 3 2 2" xfId="26745"/>
    <cellStyle name="20% - Accent1 4 5 2 2 3 3 2 2 2" xfId="57945"/>
    <cellStyle name="20% - Accent1 4 5 2 2 3 3 2 3" xfId="40360"/>
    <cellStyle name="20% - Accent1 4 5 2 2 3 3 3" xfId="8148"/>
    <cellStyle name="20% - Accent1 4 5 2 2 3 3 3 2" xfId="46884"/>
    <cellStyle name="20% - Accent1 4 5 2 2 3 3 4" xfId="19949"/>
    <cellStyle name="20% - Accent1 4 5 2 2 3 3 4 2" xfId="57946"/>
    <cellStyle name="20% - Accent1 4 5 2 2 3 3 5" xfId="33564"/>
    <cellStyle name="20% - Accent1 4 5 2 2 3 4" xfId="14945"/>
    <cellStyle name="20% - Accent1 4 5 2 2 3 4 2" xfId="26746"/>
    <cellStyle name="20% - Accent1 4 5 2 2 3 4 2 2" xfId="46885"/>
    <cellStyle name="20% - Accent1 4 5 2 2 3 4 3" xfId="30339"/>
    <cellStyle name="20% - Accent1 4 5 2 2 3 4 3 2" xfId="46886"/>
    <cellStyle name="20% - Accent1 4 5 2 2 3 4 4" xfId="30340"/>
    <cellStyle name="20% - Accent1 4 5 2 2 3 4 4 2" xfId="57947"/>
    <cellStyle name="20% - Accent1 4 5 2 2 3 4 5" xfId="40361"/>
    <cellStyle name="20% - Accent1 4 5 2 2 3 5" xfId="14946"/>
    <cellStyle name="20% - Accent1 4 5 2 2 3 5 2" xfId="26747"/>
    <cellStyle name="20% - Accent1 4 5 2 2 3 5 2 2" xfId="57948"/>
    <cellStyle name="20% - Accent1 4 5 2 2 3 5 3" xfId="40362"/>
    <cellStyle name="20% - Accent1 4 5 2 2 3 6" xfId="6248"/>
    <cellStyle name="20% - Accent1 4 5 2 2 3 6 2" xfId="46887"/>
    <cellStyle name="20% - Accent1 4 5 2 2 3 7" xfId="18049"/>
    <cellStyle name="20% - Accent1 4 5 2 2 3 7 2" xfId="57949"/>
    <cellStyle name="20% - Accent1 4 5 2 2 3 8" xfId="31664"/>
    <cellStyle name="20% - Accent1 4 5 2 2 4" xfId="1624"/>
    <cellStyle name="20% - Accent1 4 5 2 2 4 2" xfId="5104"/>
    <cellStyle name="20% - Accent1 4 5 2 2 4 2 2" xfId="14947"/>
    <cellStyle name="20% - Accent1 4 5 2 2 4 2 2 2" xfId="26748"/>
    <cellStyle name="20% - Accent1 4 5 2 2 4 2 2 2 2" xfId="57950"/>
    <cellStyle name="20% - Accent1 4 5 2 2 4 2 2 3" xfId="40363"/>
    <cellStyle name="20% - Accent1 4 5 2 2 4 2 3" xfId="10557"/>
    <cellStyle name="20% - Accent1 4 5 2 2 4 2 3 2" xfId="46888"/>
    <cellStyle name="20% - Accent1 4 5 2 2 4 2 4" xfId="22358"/>
    <cellStyle name="20% - Accent1 4 5 2 2 4 2 4 2" xfId="57951"/>
    <cellStyle name="20% - Accent1 4 5 2 2 4 2 5" xfId="35973"/>
    <cellStyle name="20% - Accent1 4 5 2 2 4 3" xfId="3263"/>
    <cellStyle name="20% - Accent1 4 5 2 2 4 3 2" xfId="14948"/>
    <cellStyle name="20% - Accent1 4 5 2 2 4 3 2 2" xfId="26749"/>
    <cellStyle name="20% - Accent1 4 5 2 2 4 3 2 2 2" xfId="57952"/>
    <cellStyle name="20% - Accent1 4 5 2 2 4 3 2 3" xfId="40364"/>
    <cellStyle name="20% - Accent1 4 5 2 2 4 3 3" xfId="8716"/>
    <cellStyle name="20% - Accent1 4 5 2 2 4 3 3 2" xfId="46889"/>
    <cellStyle name="20% - Accent1 4 5 2 2 4 3 4" xfId="20517"/>
    <cellStyle name="20% - Accent1 4 5 2 2 4 3 4 2" xfId="57953"/>
    <cellStyle name="20% - Accent1 4 5 2 2 4 3 5" xfId="34132"/>
    <cellStyle name="20% - Accent1 4 5 2 2 4 4" xfId="14949"/>
    <cellStyle name="20% - Accent1 4 5 2 2 4 4 2" xfId="26750"/>
    <cellStyle name="20% - Accent1 4 5 2 2 4 4 2 2" xfId="57954"/>
    <cellStyle name="20% - Accent1 4 5 2 2 4 4 3" xfId="40365"/>
    <cellStyle name="20% - Accent1 4 5 2 2 4 5" xfId="7078"/>
    <cellStyle name="20% - Accent1 4 5 2 2 4 5 2" xfId="46890"/>
    <cellStyle name="20% - Accent1 4 5 2 2 4 6" xfId="18879"/>
    <cellStyle name="20% - Accent1 4 5 2 2 4 6 2" xfId="57955"/>
    <cellStyle name="20% - Accent1 4 5 2 2 4 7" xfId="32494"/>
    <cellStyle name="20% - Accent1 4 5 2 2 5" xfId="3968"/>
    <cellStyle name="20% - Accent1 4 5 2 2 5 2" xfId="14950"/>
    <cellStyle name="20% - Accent1 4 5 2 2 5 2 2" xfId="26751"/>
    <cellStyle name="20% - Accent1 4 5 2 2 5 2 2 2" xfId="57956"/>
    <cellStyle name="20% - Accent1 4 5 2 2 5 2 3" xfId="40366"/>
    <cellStyle name="20% - Accent1 4 5 2 2 5 3" xfId="9421"/>
    <cellStyle name="20% - Accent1 4 5 2 2 5 3 2" xfId="46891"/>
    <cellStyle name="20% - Accent1 4 5 2 2 5 4" xfId="21222"/>
    <cellStyle name="20% - Accent1 4 5 2 2 5 4 2" xfId="57957"/>
    <cellStyle name="20% - Accent1 4 5 2 2 5 5" xfId="34837"/>
    <cellStyle name="20% - Accent1 4 5 2 2 6" xfId="2127"/>
    <cellStyle name="20% - Accent1 4 5 2 2 6 2" xfId="14951"/>
    <cellStyle name="20% - Accent1 4 5 2 2 6 2 2" xfId="26752"/>
    <cellStyle name="20% - Accent1 4 5 2 2 6 2 2 2" xfId="57958"/>
    <cellStyle name="20% - Accent1 4 5 2 2 6 2 3" xfId="40367"/>
    <cellStyle name="20% - Accent1 4 5 2 2 6 3" xfId="7580"/>
    <cellStyle name="20% - Accent1 4 5 2 2 6 3 2" xfId="46892"/>
    <cellStyle name="20% - Accent1 4 5 2 2 6 4" xfId="19381"/>
    <cellStyle name="20% - Accent1 4 5 2 2 6 4 2" xfId="57959"/>
    <cellStyle name="20% - Accent1 4 5 2 2 6 5" xfId="32996"/>
    <cellStyle name="20% - Accent1 4 5 2 2 7" xfId="14952"/>
    <cellStyle name="20% - Accent1 4 5 2 2 7 2" xfId="26753"/>
    <cellStyle name="20% - Accent1 4 5 2 2 7 2 2" xfId="57960"/>
    <cellStyle name="20% - Accent1 4 5 2 2 7 3" xfId="40368"/>
    <cellStyle name="20% - Accent1 4 5 2 2 8" xfId="5680"/>
    <cellStyle name="20% - Accent1 4 5 2 2 8 2" xfId="46893"/>
    <cellStyle name="20% - Accent1 4 5 2 2 9" xfId="17481"/>
    <cellStyle name="20% - Accent1 4 5 2 2 9 2" xfId="57961"/>
    <cellStyle name="20% - Accent1 4 5 2 3" xfId="377"/>
    <cellStyle name="20% - Accent1 4 5 2 3 2" xfId="1625"/>
    <cellStyle name="20% - Accent1 4 5 2 3 2 2" xfId="4687"/>
    <cellStyle name="20% - Accent1 4 5 2 3 2 2 2" xfId="14953"/>
    <cellStyle name="20% - Accent1 4 5 2 3 2 2 2 2" xfId="26754"/>
    <cellStyle name="20% - Accent1 4 5 2 3 2 2 2 2 2" xfId="57962"/>
    <cellStyle name="20% - Accent1 4 5 2 3 2 2 2 3" xfId="40369"/>
    <cellStyle name="20% - Accent1 4 5 2 3 2 2 3" xfId="10140"/>
    <cellStyle name="20% - Accent1 4 5 2 3 2 2 3 2" xfId="46894"/>
    <cellStyle name="20% - Accent1 4 5 2 3 2 2 4" xfId="21941"/>
    <cellStyle name="20% - Accent1 4 5 2 3 2 2 4 2" xfId="57963"/>
    <cellStyle name="20% - Accent1 4 5 2 3 2 2 5" xfId="35556"/>
    <cellStyle name="20% - Accent1 4 5 2 3 2 3" xfId="2846"/>
    <cellStyle name="20% - Accent1 4 5 2 3 2 3 2" xfId="14954"/>
    <cellStyle name="20% - Accent1 4 5 2 3 2 3 2 2" xfId="26755"/>
    <cellStyle name="20% - Accent1 4 5 2 3 2 3 2 2 2" xfId="57964"/>
    <cellStyle name="20% - Accent1 4 5 2 3 2 3 2 3" xfId="40370"/>
    <cellStyle name="20% - Accent1 4 5 2 3 2 3 3" xfId="8299"/>
    <cellStyle name="20% - Accent1 4 5 2 3 2 3 3 2" xfId="46895"/>
    <cellStyle name="20% - Accent1 4 5 2 3 2 3 4" xfId="20100"/>
    <cellStyle name="20% - Accent1 4 5 2 3 2 3 4 2" xfId="57965"/>
    <cellStyle name="20% - Accent1 4 5 2 3 2 3 5" xfId="33715"/>
    <cellStyle name="20% - Accent1 4 5 2 3 2 4" xfId="14955"/>
    <cellStyle name="20% - Accent1 4 5 2 3 2 4 2" xfId="26756"/>
    <cellStyle name="20% - Accent1 4 5 2 3 2 4 2 2" xfId="57966"/>
    <cellStyle name="20% - Accent1 4 5 2 3 2 4 3" xfId="40371"/>
    <cellStyle name="20% - Accent1 4 5 2 3 2 5" xfId="7079"/>
    <cellStyle name="20% - Accent1 4 5 2 3 2 5 2" xfId="46896"/>
    <cellStyle name="20% - Accent1 4 5 2 3 2 6" xfId="18880"/>
    <cellStyle name="20% - Accent1 4 5 2 3 2 6 2" xfId="57967"/>
    <cellStyle name="20% - Accent1 4 5 2 3 2 7" xfId="32495"/>
    <cellStyle name="20% - Accent1 4 5 2 3 3" xfId="3414"/>
    <cellStyle name="20% - Accent1 4 5 2 3 3 2" xfId="5255"/>
    <cellStyle name="20% - Accent1 4 5 2 3 3 2 2" xfId="16725"/>
    <cellStyle name="20% - Accent1 4 5 2 3 3 2 2 2" xfId="28526"/>
    <cellStyle name="20% - Accent1 4 5 2 3 3 2 2 2 2" xfId="57968"/>
    <cellStyle name="20% - Accent1 4 5 2 3 3 2 2 3" xfId="42141"/>
    <cellStyle name="20% - Accent1 4 5 2 3 3 2 3" xfId="10708"/>
    <cellStyle name="20% - Accent1 4 5 2 3 3 2 3 2" xfId="57969"/>
    <cellStyle name="20% - Accent1 4 5 2 3 3 2 4" xfId="22509"/>
    <cellStyle name="20% - Accent1 4 5 2 3 3 2 4 2" xfId="57970"/>
    <cellStyle name="20% - Accent1 4 5 2 3 3 2 5" xfId="36124"/>
    <cellStyle name="20% - Accent1 4 5 2 3 3 3" xfId="14956"/>
    <cellStyle name="20% - Accent1 4 5 2 3 3 3 2" xfId="26757"/>
    <cellStyle name="20% - Accent1 4 5 2 3 3 3 2 2" xfId="57971"/>
    <cellStyle name="20% - Accent1 4 5 2 3 3 3 3" xfId="40372"/>
    <cellStyle name="20% - Accent1 4 5 2 3 3 4" xfId="8867"/>
    <cellStyle name="20% - Accent1 4 5 2 3 3 4 2" xfId="57972"/>
    <cellStyle name="20% - Accent1 4 5 2 3 3 5" xfId="20668"/>
    <cellStyle name="20% - Accent1 4 5 2 3 3 5 2" xfId="57973"/>
    <cellStyle name="20% - Accent1 4 5 2 3 3 6" xfId="34283"/>
    <cellStyle name="20% - Accent1 4 5 2 3 4" xfId="4119"/>
    <cellStyle name="20% - Accent1 4 5 2 3 4 2" xfId="14957"/>
    <cellStyle name="20% - Accent1 4 5 2 3 4 2 2" xfId="26758"/>
    <cellStyle name="20% - Accent1 4 5 2 3 4 2 2 2" xfId="57974"/>
    <cellStyle name="20% - Accent1 4 5 2 3 4 2 3" xfId="40373"/>
    <cellStyle name="20% - Accent1 4 5 2 3 4 3" xfId="9572"/>
    <cellStyle name="20% - Accent1 4 5 2 3 4 3 2" xfId="46897"/>
    <cellStyle name="20% - Accent1 4 5 2 3 4 4" xfId="21373"/>
    <cellStyle name="20% - Accent1 4 5 2 3 4 4 2" xfId="57975"/>
    <cellStyle name="20% - Accent1 4 5 2 3 4 5" xfId="34988"/>
    <cellStyle name="20% - Accent1 4 5 2 3 5" xfId="2278"/>
    <cellStyle name="20% - Accent1 4 5 2 3 5 2" xfId="17159"/>
    <cellStyle name="20% - Accent1 4 5 2 3 5 2 2" xfId="28960"/>
    <cellStyle name="20% - Accent1 4 5 2 3 5 2 2 2" xfId="57976"/>
    <cellStyle name="20% - Accent1 4 5 2 3 5 2 3" xfId="42575"/>
    <cellStyle name="20% - Accent1 4 5 2 3 5 3" xfId="7731"/>
    <cellStyle name="20% - Accent1 4 5 2 3 5 3 2" xfId="57977"/>
    <cellStyle name="20% - Accent1 4 5 2 3 5 4" xfId="19532"/>
    <cellStyle name="20% - Accent1 4 5 2 3 5 4 2" xfId="57978"/>
    <cellStyle name="20% - Accent1 4 5 2 3 5 5" xfId="33147"/>
    <cellStyle name="20% - Accent1 4 5 2 3 6" xfId="14958"/>
    <cellStyle name="20% - Accent1 4 5 2 3 6 2" xfId="26759"/>
    <cellStyle name="20% - Accent1 4 5 2 3 6 2 2" xfId="57979"/>
    <cellStyle name="20% - Accent1 4 5 2 3 6 3" xfId="40374"/>
    <cellStyle name="20% - Accent1 4 5 2 3 7" xfId="5831"/>
    <cellStyle name="20% - Accent1 4 5 2 3 7 2" xfId="57980"/>
    <cellStyle name="20% - Accent1 4 5 2 3 8" xfId="17632"/>
    <cellStyle name="20% - Accent1 4 5 2 3 8 2" xfId="57981"/>
    <cellStyle name="20% - Accent1 4 5 2 3 9" xfId="31247"/>
    <cellStyle name="20% - Accent1 4 5 2 4" xfId="655"/>
    <cellStyle name="20% - Accent1 4 5 2 4 2" xfId="1626"/>
    <cellStyle name="20% - Accent1 4 5 2 4 2 2" xfId="4397"/>
    <cellStyle name="20% - Accent1 4 5 2 4 2 2 2" xfId="14959"/>
    <cellStyle name="20% - Accent1 4 5 2 4 2 2 2 2" xfId="26760"/>
    <cellStyle name="20% - Accent1 4 5 2 4 2 2 2 2 2" xfId="57982"/>
    <cellStyle name="20% - Accent1 4 5 2 4 2 2 2 3" xfId="40375"/>
    <cellStyle name="20% - Accent1 4 5 2 4 2 2 3" xfId="9850"/>
    <cellStyle name="20% - Accent1 4 5 2 4 2 2 3 2" xfId="46898"/>
    <cellStyle name="20% - Accent1 4 5 2 4 2 2 4" xfId="21651"/>
    <cellStyle name="20% - Accent1 4 5 2 4 2 2 4 2" xfId="57983"/>
    <cellStyle name="20% - Accent1 4 5 2 4 2 2 5" xfId="35266"/>
    <cellStyle name="20% - Accent1 4 5 2 4 2 3" xfId="14960"/>
    <cellStyle name="20% - Accent1 4 5 2 4 2 3 2" xfId="26761"/>
    <cellStyle name="20% - Accent1 4 5 2 4 2 3 2 2" xfId="46899"/>
    <cellStyle name="20% - Accent1 4 5 2 4 2 3 3" xfId="30341"/>
    <cellStyle name="20% - Accent1 4 5 2 4 2 3 3 2" xfId="46900"/>
    <cellStyle name="20% - Accent1 4 5 2 4 2 3 4" xfId="30342"/>
    <cellStyle name="20% - Accent1 4 5 2 4 2 3 4 2" xfId="57984"/>
    <cellStyle name="20% - Accent1 4 5 2 4 2 3 5" xfId="40376"/>
    <cellStyle name="20% - Accent1 4 5 2 4 2 4" xfId="14961"/>
    <cellStyle name="20% - Accent1 4 5 2 4 2 4 2" xfId="26762"/>
    <cellStyle name="20% - Accent1 4 5 2 4 2 4 2 2" xfId="57985"/>
    <cellStyle name="20% - Accent1 4 5 2 4 2 4 3" xfId="40377"/>
    <cellStyle name="20% - Accent1 4 5 2 4 2 5" xfId="7080"/>
    <cellStyle name="20% - Accent1 4 5 2 4 2 5 2" xfId="46901"/>
    <cellStyle name="20% - Accent1 4 5 2 4 2 6" xfId="18881"/>
    <cellStyle name="20% - Accent1 4 5 2 4 2 6 2" xfId="57986"/>
    <cellStyle name="20% - Accent1 4 5 2 4 2 7" xfId="32496"/>
    <cellStyle name="20% - Accent1 4 5 2 4 3" xfId="2556"/>
    <cellStyle name="20% - Accent1 4 5 2 4 3 2" xfId="14962"/>
    <cellStyle name="20% - Accent1 4 5 2 4 3 2 2" xfId="26763"/>
    <cellStyle name="20% - Accent1 4 5 2 4 3 2 2 2" xfId="57987"/>
    <cellStyle name="20% - Accent1 4 5 2 4 3 2 3" xfId="40378"/>
    <cellStyle name="20% - Accent1 4 5 2 4 3 3" xfId="8009"/>
    <cellStyle name="20% - Accent1 4 5 2 4 3 3 2" xfId="46902"/>
    <cellStyle name="20% - Accent1 4 5 2 4 3 4" xfId="19810"/>
    <cellStyle name="20% - Accent1 4 5 2 4 3 4 2" xfId="57988"/>
    <cellStyle name="20% - Accent1 4 5 2 4 3 5" xfId="33425"/>
    <cellStyle name="20% - Accent1 4 5 2 4 4" xfId="14963"/>
    <cellStyle name="20% - Accent1 4 5 2 4 4 2" xfId="26764"/>
    <cellStyle name="20% - Accent1 4 5 2 4 4 2 2" xfId="46903"/>
    <cellStyle name="20% - Accent1 4 5 2 4 4 3" xfId="30343"/>
    <cellStyle name="20% - Accent1 4 5 2 4 4 3 2" xfId="46904"/>
    <cellStyle name="20% - Accent1 4 5 2 4 4 4" xfId="30344"/>
    <cellStyle name="20% - Accent1 4 5 2 4 4 4 2" xfId="57989"/>
    <cellStyle name="20% - Accent1 4 5 2 4 4 5" xfId="40379"/>
    <cellStyle name="20% - Accent1 4 5 2 4 5" xfId="14964"/>
    <cellStyle name="20% - Accent1 4 5 2 4 5 2" xfId="26765"/>
    <cellStyle name="20% - Accent1 4 5 2 4 5 2 2" xfId="57990"/>
    <cellStyle name="20% - Accent1 4 5 2 4 5 3" xfId="40380"/>
    <cellStyle name="20% - Accent1 4 5 2 4 6" xfId="6109"/>
    <cellStyle name="20% - Accent1 4 5 2 4 6 2" xfId="46905"/>
    <cellStyle name="20% - Accent1 4 5 2 4 7" xfId="17910"/>
    <cellStyle name="20% - Accent1 4 5 2 4 7 2" xfId="57991"/>
    <cellStyle name="20% - Accent1 4 5 2 4 8" xfId="31525"/>
    <cellStyle name="20% - Accent1 4 5 2 5" xfId="896"/>
    <cellStyle name="20% - Accent1 4 5 2 5 2" xfId="1627"/>
    <cellStyle name="20% - Accent1 4 5 2 5 2 2" xfId="4965"/>
    <cellStyle name="20% - Accent1 4 5 2 5 2 2 2" xfId="14965"/>
    <cellStyle name="20% - Accent1 4 5 2 5 2 2 2 2" xfId="26766"/>
    <cellStyle name="20% - Accent1 4 5 2 5 2 2 2 2 2" xfId="57992"/>
    <cellStyle name="20% - Accent1 4 5 2 5 2 2 2 3" xfId="40381"/>
    <cellStyle name="20% - Accent1 4 5 2 5 2 2 3" xfId="10418"/>
    <cellStyle name="20% - Accent1 4 5 2 5 2 2 3 2" xfId="46906"/>
    <cellStyle name="20% - Accent1 4 5 2 5 2 2 4" xfId="22219"/>
    <cellStyle name="20% - Accent1 4 5 2 5 2 2 4 2" xfId="57993"/>
    <cellStyle name="20% - Accent1 4 5 2 5 2 2 5" xfId="35834"/>
    <cellStyle name="20% - Accent1 4 5 2 5 2 3" xfId="14966"/>
    <cellStyle name="20% - Accent1 4 5 2 5 2 3 2" xfId="26767"/>
    <cellStyle name="20% - Accent1 4 5 2 5 2 3 2 2" xfId="46907"/>
    <cellStyle name="20% - Accent1 4 5 2 5 2 3 3" xfId="30345"/>
    <cellStyle name="20% - Accent1 4 5 2 5 2 3 3 2" xfId="46908"/>
    <cellStyle name="20% - Accent1 4 5 2 5 2 3 4" xfId="30346"/>
    <cellStyle name="20% - Accent1 4 5 2 5 2 3 4 2" xfId="57994"/>
    <cellStyle name="20% - Accent1 4 5 2 5 2 3 5" xfId="40382"/>
    <cellStyle name="20% - Accent1 4 5 2 5 2 4" xfId="14967"/>
    <cellStyle name="20% - Accent1 4 5 2 5 2 4 2" xfId="26768"/>
    <cellStyle name="20% - Accent1 4 5 2 5 2 4 2 2" xfId="57995"/>
    <cellStyle name="20% - Accent1 4 5 2 5 2 4 3" xfId="40383"/>
    <cellStyle name="20% - Accent1 4 5 2 5 2 5" xfId="7081"/>
    <cellStyle name="20% - Accent1 4 5 2 5 2 5 2" xfId="46909"/>
    <cellStyle name="20% - Accent1 4 5 2 5 2 6" xfId="18882"/>
    <cellStyle name="20% - Accent1 4 5 2 5 2 6 2" xfId="57996"/>
    <cellStyle name="20% - Accent1 4 5 2 5 2 7" xfId="32497"/>
    <cellStyle name="20% - Accent1 4 5 2 5 3" xfId="3124"/>
    <cellStyle name="20% - Accent1 4 5 2 5 3 2" xfId="14968"/>
    <cellStyle name="20% - Accent1 4 5 2 5 3 2 2" xfId="26769"/>
    <cellStyle name="20% - Accent1 4 5 2 5 3 2 2 2" xfId="57997"/>
    <cellStyle name="20% - Accent1 4 5 2 5 3 2 3" xfId="40384"/>
    <cellStyle name="20% - Accent1 4 5 2 5 3 3" xfId="8577"/>
    <cellStyle name="20% - Accent1 4 5 2 5 3 3 2" xfId="46910"/>
    <cellStyle name="20% - Accent1 4 5 2 5 3 4" xfId="20378"/>
    <cellStyle name="20% - Accent1 4 5 2 5 3 4 2" xfId="57998"/>
    <cellStyle name="20% - Accent1 4 5 2 5 3 5" xfId="33993"/>
    <cellStyle name="20% - Accent1 4 5 2 5 4" xfId="14969"/>
    <cellStyle name="20% - Accent1 4 5 2 5 4 2" xfId="26770"/>
    <cellStyle name="20% - Accent1 4 5 2 5 4 2 2" xfId="46911"/>
    <cellStyle name="20% - Accent1 4 5 2 5 4 3" xfId="30347"/>
    <cellStyle name="20% - Accent1 4 5 2 5 4 3 2" xfId="46912"/>
    <cellStyle name="20% - Accent1 4 5 2 5 4 4" xfId="30348"/>
    <cellStyle name="20% - Accent1 4 5 2 5 4 4 2" xfId="57999"/>
    <cellStyle name="20% - Accent1 4 5 2 5 4 5" xfId="40385"/>
    <cellStyle name="20% - Accent1 4 5 2 5 5" xfId="14970"/>
    <cellStyle name="20% - Accent1 4 5 2 5 5 2" xfId="26771"/>
    <cellStyle name="20% - Accent1 4 5 2 5 5 2 2" xfId="58000"/>
    <cellStyle name="20% - Accent1 4 5 2 5 5 3" xfId="40386"/>
    <cellStyle name="20% - Accent1 4 5 2 5 6" xfId="6350"/>
    <cellStyle name="20% - Accent1 4 5 2 5 6 2" xfId="46913"/>
    <cellStyle name="20% - Accent1 4 5 2 5 7" xfId="18151"/>
    <cellStyle name="20% - Accent1 4 5 2 5 7 2" xfId="58001"/>
    <cellStyle name="20% - Accent1 4 5 2 5 8" xfId="31766"/>
    <cellStyle name="20% - Accent1 4 5 2 6" xfId="1628"/>
    <cellStyle name="20% - Accent1 4 5 2 6 2" xfId="3829"/>
    <cellStyle name="20% - Accent1 4 5 2 6 2 2" xfId="14971"/>
    <cellStyle name="20% - Accent1 4 5 2 6 2 2 2" xfId="26772"/>
    <cellStyle name="20% - Accent1 4 5 2 6 2 2 2 2" xfId="58002"/>
    <cellStyle name="20% - Accent1 4 5 2 6 2 2 3" xfId="40387"/>
    <cellStyle name="20% - Accent1 4 5 2 6 2 3" xfId="9282"/>
    <cellStyle name="20% - Accent1 4 5 2 6 2 3 2" xfId="46914"/>
    <cellStyle name="20% - Accent1 4 5 2 6 2 4" xfId="21083"/>
    <cellStyle name="20% - Accent1 4 5 2 6 2 4 2" xfId="58003"/>
    <cellStyle name="20% - Accent1 4 5 2 6 2 5" xfId="34698"/>
    <cellStyle name="20% - Accent1 4 5 2 6 3" xfId="14972"/>
    <cellStyle name="20% - Accent1 4 5 2 6 3 2" xfId="26773"/>
    <cellStyle name="20% - Accent1 4 5 2 6 3 2 2" xfId="46915"/>
    <cellStyle name="20% - Accent1 4 5 2 6 3 3" xfId="30349"/>
    <cellStyle name="20% - Accent1 4 5 2 6 3 3 2" xfId="46916"/>
    <cellStyle name="20% - Accent1 4 5 2 6 3 4" xfId="30350"/>
    <cellStyle name="20% - Accent1 4 5 2 6 3 4 2" xfId="58004"/>
    <cellStyle name="20% - Accent1 4 5 2 6 3 5" xfId="40388"/>
    <cellStyle name="20% - Accent1 4 5 2 6 4" xfId="14973"/>
    <cellStyle name="20% - Accent1 4 5 2 6 4 2" xfId="26774"/>
    <cellStyle name="20% - Accent1 4 5 2 6 4 2 2" xfId="58005"/>
    <cellStyle name="20% - Accent1 4 5 2 6 4 3" xfId="40389"/>
    <cellStyle name="20% - Accent1 4 5 2 6 5" xfId="7082"/>
    <cellStyle name="20% - Accent1 4 5 2 6 5 2" xfId="46917"/>
    <cellStyle name="20% - Accent1 4 5 2 6 6" xfId="18883"/>
    <cellStyle name="20% - Accent1 4 5 2 6 6 2" xfId="58006"/>
    <cellStyle name="20% - Accent1 4 5 2 6 7" xfId="32498"/>
    <cellStyle name="20% - Accent1 4 5 2 7" xfId="3692"/>
    <cellStyle name="20% - Accent1 4 5 2 7 2" xfId="14974"/>
    <cellStyle name="20% - Accent1 4 5 2 7 2 2" xfId="26775"/>
    <cellStyle name="20% - Accent1 4 5 2 7 2 2 2" xfId="58007"/>
    <cellStyle name="20% - Accent1 4 5 2 7 2 3" xfId="40390"/>
    <cellStyle name="20% - Accent1 4 5 2 7 3" xfId="9145"/>
    <cellStyle name="20% - Accent1 4 5 2 7 3 2" xfId="46918"/>
    <cellStyle name="20% - Accent1 4 5 2 7 4" xfId="20946"/>
    <cellStyle name="20% - Accent1 4 5 2 7 4 2" xfId="58008"/>
    <cellStyle name="20% - Accent1 4 5 2 7 5" xfId="34561"/>
    <cellStyle name="20% - Accent1 4 5 2 8" xfId="1988"/>
    <cellStyle name="20% - Accent1 4 5 2 8 2" xfId="14975"/>
    <cellStyle name="20% - Accent1 4 5 2 8 2 2" xfId="26776"/>
    <cellStyle name="20% - Accent1 4 5 2 8 2 2 2" xfId="58009"/>
    <cellStyle name="20% - Accent1 4 5 2 8 2 3" xfId="40391"/>
    <cellStyle name="20% - Accent1 4 5 2 8 3" xfId="7441"/>
    <cellStyle name="20% - Accent1 4 5 2 8 3 2" xfId="46919"/>
    <cellStyle name="20% - Accent1 4 5 2 8 4" xfId="19242"/>
    <cellStyle name="20% - Accent1 4 5 2 8 4 2" xfId="58010"/>
    <cellStyle name="20% - Accent1 4 5 2 8 5" xfId="32857"/>
    <cellStyle name="20% - Accent1 4 5 2 9" xfId="14976"/>
    <cellStyle name="20% - Accent1 4 5 2 9 2" xfId="26777"/>
    <cellStyle name="20% - Accent1 4 5 2 9 2 2" xfId="58011"/>
    <cellStyle name="20% - Accent1 4 5 2 9 3" xfId="40392"/>
    <cellStyle name="20% - Accent1 4 5 3" xfId="179"/>
    <cellStyle name="20% - Accent1 4 5 3 10" xfId="31049"/>
    <cellStyle name="20% - Accent1 4 5 3 2" xfId="310"/>
    <cellStyle name="20% - Accent1 4 5 3 2 2" xfId="1629"/>
    <cellStyle name="20% - Accent1 4 5 3 2 2 2" xfId="4620"/>
    <cellStyle name="20% - Accent1 4 5 3 2 2 2 2" xfId="14977"/>
    <cellStyle name="20% - Accent1 4 5 3 2 2 2 2 2" xfId="26778"/>
    <cellStyle name="20% - Accent1 4 5 3 2 2 2 2 2 2" xfId="58012"/>
    <cellStyle name="20% - Accent1 4 5 3 2 2 2 2 3" xfId="40393"/>
    <cellStyle name="20% - Accent1 4 5 3 2 2 2 3" xfId="10073"/>
    <cellStyle name="20% - Accent1 4 5 3 2 2 2 3 2" xfId="46920"/>
    <cellStyle name="20% - Accent1 4 5 3 2 2 2 4" xfId="21874"/>
    <cellStyle name="20% - Accent1 4 5 3 2 2 2 4 2" xfId="58013"/>
    <cellStyle name="20% - Accent1 4 5 3 2 2 2 5" xfId="35489"/>
    <cellStyle name="20% - Accent1 4 5 3 2 2 3" xfId="2779"/>
    <cellStyle name="20% - Accent1 4 5 3 2 2 3 2" xfId="14978"/>
    <cellStyle name="20% - Accent1 4 5 3 2 2 3 2 2" xfId="26779"/>
    <cellStyle name="20% - Accent1 4 5 3 2 2 3 2 2 2" xfId="58014"/>
    <cellStyle name="20% - Accent1 4 5 3 2 2 3 2 3" xfId="40394"/>
    <cellStyle name="20% - Accent1 4 5 3 2 2 3 3" xfId="8232"/>
    <cellStyle name="20% - Accent1 4 5 3 2 2 3 3 2" xfId="46921"/>
    <cellStyle name="20% - Accent1 4 5 3 2 2 3 4" xfId="20033"/>
    <cellStyle name="20% - Accent1 4 5 3 2 2 3 4 2" xfId="58015"/>
    <cellStyle name="20% - Accent1 4 5 3 2 2 3 5" xfId="33648"/>
    <cellStyle name="20% - Accent1 4 5 3 2 2 4" xfId="14979"/>
    <cellStyle name="20% - Accent1 4 5 3 2 2 4 2" xfId="26780"/>
    <cellStyle name="20% - Accent1 4 5 3 2 2 4 2 2" xfId="58016"/>
    <cellStyle name="20% - Accent1 4 5 3 2 2 4 3" xfId="40395"/>
    <cellStyle name="20% - Accent1 4 5 3 2 2 5" xfId="7083"/>
    <cellStyle name="20% - Accent1 4 5 3 2 2 5 2" xfId="46922"/>
    <cellStyle name="20% - Accent1 4 5 3 2 2 6" xfId="18884"/>
    <cellStyle name="20% - Accent1 4 5 3 2 2 6 2" xfId="58017"/>
    <cellStyle name="20% - Accent1 4 5 3 2 2 7" xfId="32499"/>
    <cellStyle name="20% - Accent1 4 5 3 2 3" xfId="3347"/>
    <cellStyle name="20% - Accent1 4 5 3 2 3 2" xfId="5188"/>
    <cellStyle name="20% - Accent1 4 5 3 2 3 2 2" xfId="16658"/>
    <cellStyle name="20% - Accent1 4 5 3 2 3 2 2 2" xfId="28459"/>
    <cellStyle name="20% - Accent1 4 5 3 2 3 2 2 2 2" xfId="58018"/>
    <cellStyle name="20% - Accent1 4 5 3 2 3 2 2 3" xfId="42074"/>
    <cellStyle name="20% - Accent1 4 5 3 2 3 2 3" xfId="10641"/>
    <cellStyle name="20% - Accent1 4 5 3 2 3 2 3 2" xfId="58019"/>
    <cellStyle name="20% - Accent1 4 5 3 2 3 2 4" xfId="22442"/>
    <cellStyle name="20% - Accent1 4 5 3 2 3 2 4 2" xfId="58020"/>
    <cellStyle name="20% - Accent1 4 5 3 2 3 2 5" xfId="36057"/>
    <cellStyle name="20% - Accent1 4 5 3 2 3 3" xfId="14980"/>
    <cellStyle name="20% - Accent1 4 5 3 2 3 3 2" xfId="26781"/>
    <cellStyle name="20% - Accent1 4 5 3 2 3 3 2 2" xfId="58021"/>
    <cellStyle name="20% - Accent1 4 5 3 2 3 3 3" xfId="40396"/>
    <cellStyle name="20% - Accent1 4 5 3 2 3 4" xfId="8800"/>
    <cellStyle name="20% - Accent1 4 5 3 2 3 4 2" xfId="58022"/>
    <cellStyle name="20% - Accent1 4 5 3 2 3 5" xfId="20601"/>
    <cellStyle name="20% - Accent1 4 5 3 2 3 5 2" xfId="58023"/>
    <cellStyle name="20% - Accent1 4 5 3 2 3 6" xfId="34216"/>
    <cellStyle name="20% - Accent1 4 5 3 2 4" xfId="4052"/>
    <cellStyle name="20% - Accent1 4 5 3 2 4 2" xfId="14981"/>
    <cellStyle name="20% - Accent1 4 5 3 2 4 2 2" xfId="26782"/>
    <cellStyle name="20% - Accent1 4 5 3 2 4 2 2 2" xfId="58024"/>
    <cellStyle name="20% - Accent1 4 5 3 2 4 2 3" xfId="40397"/>
    <cellStyle name="20% - Accent1 4 5 3 2 4 3" xfId="9505"/>
    <cellStyle name="20% - Accent1 4 5 3 2 4 3 2" xfId="46923"/>
    <cellStyle name="20% - Accent1 4 5 3 2 4 4" xfId="21306"/>
    <cellStyle name="20% - Accent1 4 5 3 2 4 4 2" xfId="58025"/>
    <cellStyle name="20% - Accent1 4 5 3 2 4 5" xfId="34921"/>
    <cellStyle name="20% - Accent1 4 5 3 2 5" xfId="2211"/>
    <cellStyle name="20% - Accent1 4 5 3 2 5 2" xfId="17160"/>
    <cellStyle name="20% - Accent1 4 5 3 2 5 2 2" xfId="28961"/>
    <cellStyle name="20% - Accent1 4 5 3 2 5 2 2 2" xfId="58026"/>
    <cellStyle name="20% - Accent1 4 5 3 2 5 2 3" xfId="42576"/>
    <cellStyle name="20% - Accent1 4 5 3 2 5 3" xfId="7664"/>
    <cellStyle name="20% - Accent1 4 5 3 2 5 3 2" xfId="58027"/>
    <cellStyle name="20% - Accent1 4 5 3 2 5 4" xfId="19465"/>
    <cellStyle name="20% - Accent1 4 5 3 2 5 4 2" xfId="58028"/>
    <cellStyle name="20% - Accent1 4 5 3 2 5 5" xfId="33080"/>
    <cellStyle name="20% - Accent1 4 5 3 2 6" xfId="14982"/>
    <cellStyle name="20% - Accent1 4 5 3 2 6 2" xfId="26783"/>
    <cellStyle name="20% - Accent1 4 5 3 2 6 2 2" xfId="58029"/>
    <cellStyle name="20% - Accent1 4 5 3 2 6 3" xfId="40398"/>
    <cellStyle name="20% - Accent1 4 5 3 2 7" xfId="5764"/>
    <cellStyle name="20% - Accent1 4 5 3 2 7 2" xfId="58030"/>
    <cellStyle name="20% - Accent1 4 5 3 2 8" xfId="17565"/>
    <cellStyle name="20% - Accent1 4 5 3 2 8 2" xfId="58031"/>
    <cellStyle name="20% - Accent1 4 5 3 2 9" xfId="31180"/>
    <cellStyle name="20% - Accent1 4 5 3 3" xfId="747"/>
    <cellStyle name="20% - Accent1 4 5 3 3 2" xfId="1630"/>
    <cellStyle name="20% - Accent1 4 5 3 3 2 2" xfId="4489"/>
    <cellStyle name="20% - Accent1 4 5 3 3 2 2 2" xfId="14983"/>
    <cellStyle name="20% - Accent1 4 5 3 3 2 2 2 2" xfId="26784"/>
    <cellStyle name="20% - Accent1 4 5 3 3 2 2 2 2 2" xfId="58032"/>
    <cellStyle name="20% - Accent1 4 5 3 3 2 2 2 3" xfId="40399"/>
    <cellStyle name="20% - Accent1 4 5 3 3 2 2 3" xfId="9942"/>
    <cellStyle name="20% - Accent1 4 5 3 3 2 2 3 2" xfId="46924"/>
    <cellStyle name="20% - Accent1 4 5 3 3 2 2 4" xfId="21743"/>
    <cellStyle name="20% - Accent1 4 5 3 3 2 2 4 2" xfId="58033"/>
    <cellStyle name="20% - Accent1 4 5 3 3 2 2 5" xfId="35358"/>
    <cellStyle name="20% - Accent1 4 5 3 3 2 3" xfId="14984"/>
    <cellStyle name="20% - Accent1 4 5 3 3 2 3 2" xfId="26785"/>
    <cellStyle name="20% - Accent1 4 5 3 3 2 3 2 2" xfId="46925"/>
    <cellStyle name="20% - Accent1 4 5 3 3 2 3 3" xfId="30351"/>
    <cellStyle name="20% - Accent1 4 5 3 3 2 3 3 2" xfId="46926"/>
    <cellStyle name="20% - Accent1 4 5 3 3 2 3 4" xfId="30352"/>
    <cellStyle name="20% - Accent1 4 5 3 3 2 3 4 2" xfId="58034"/>
    <cellStyle name="20% - Accent1 4 5 3 3 2 3 5" xfId="40400"/>
    <cellStyle name="20% - Accent1 4 5 3 3 2 4" xfId="14985"/>
    <cellStyle name="20% - Accent1 4 5 3 3 2 4 2" xfId="26786"/>
    <cellStyle name="20% - Accent1 4 5 3 3 2 4 2 2" xfId="58035"/>
    <cellStyle name="20% - Accent1 4 5 3 3 2 4 3" xfId="40401"/>
    <cellStyle name="20% - Accent1 4 5 3 3 2 5" xfId="7084"/>
    <cellStyle name="20% - Accent1 4 5 3 3 2 5 2" xfId="46927"/>
    <cellStyle name="20% - Accent1 4 5 3 3 2 6" xfId="18885"/>
    <cellStyle name="20% - Accent1 4 5 3 3 2 6 2" xfId="58036"/>
    <cellStyle name="20% - Accent1 4 5 3 3 2 7" xfId="32500"/>
    <cellStyle name="20% - Accent1 4 5 3 3 3" xfId="2648"/>
    <cellStyle name="20% - Accent1 4 5 3 3 3 2" xfId="14986"/>
    <cellStyle name="20% - Accent1 4 5 3 3 3 2 2" xfId="26787"/>
    <cellStyle name="20% - Accent1 4 5 3 3 3 2 2 2" xfId="58037"/>
    <cellStyle name="20% - Accent1 4 5 3 3 3 2 3" xfId="40402"/>
    <cellStyle name="20% - Accent1 4 5 3 3 3 3" xfId="8101"/>
    <cellStyle name="20% - Accent1 4 5 3 3 3 3 2" xfId="46928"/>
    <cellStyle name="20% - Accent1 4 5 3 3 3 4" xfId="19902"/>
    <cellStyle name="20% - Accent1 4 5 3 3 3 4 2" xfId="58038"/>
    <cellStyle name="20% - Accent1 4 5 3 3 3 5" xfId="33517"/>
    <cellStyle name="20% - Accent1 4 5 3 3 4" xfId="14987"/>
    <cellStyle name="20% - Accent1 4 5 3 3 4 2" xfId="26788"/>
    <cellStyle name="20% - Accent1 4 5 3 3 4 2 2" xfId="46929"/>
    <cellStyle name="20% - Accent1 4 5 3 3 4 3" xfId="30353"/>
    <cellStyle name="20% - Accent1 4 5 3 3 4 3 2" xfId="46930"/>
    <cellStyle name="20% - Accent1 4 5 3 3 4 4" xfId="30354"/>
    <cellStyle name="20% - Accent1 4 5 3 3 4 4 2" xfId="58039"/>
    <cellStyle name="20% - Accent1 4 5 3 3 4 5" xfId="40403"/>
    <cellStyle name="20% - Accent1 4 5 3 3 5" xfId="14988"/>
    <cellStyle name="20% - Accent1 4 5 3 3 5 2" xfId="26789"/>
    <cellStyle name="20% - Accent1 4 5 3 3 5 2 2" xfId="58040"/>
    <cellStyle name="20% - Accent1 4 5 3 3 5 3" xfId="40404"/>
    <cellStyle name="20% - Accent1 4 5 3 3 6" xfId="6201"/>
    <cellStyle name="20% - Accent1 4 5 3 3 6 2" xfId="46931"/>
    <cellStyle name="20% - Accent1 4 5 3 3 7" xfId="18002"/>
    <cellStyle name="20% - Accent1 4 5 3 3 7 2" xfId="58041"/>
    <cellStyle name="20% - Accent1 4 5 3 3 8" xfId="31617"/>
    <cellStyle name="20% - Accent1 4 5 3 4" xfId="1631"/>
    <cellStyle name="20% - Accent1 4 5 3 4 2" xfId="5057"/>
    <cellStyle name="20% - Accent1 4 5 3 4 2 2" xfId="14989"/>
    <cellStyle name="20% - Accent1 4 5 3 4 2 2 2" xfId="26790"/>
    <cellStyle name="20% - Accent1 4 5 3 4 2 2 2 2" xfId="58042"/>
    <cellStyle name="20% - Accent1 4 5 3 4 2 2 3" xfId="40405"/>
    <cellStyle name="20% - Accent1 4 5 3 4 2 3" xfId="10510"/>
    <cellStyle name="20% - Accent1 4 5 3 4 2 3 2" xfId="46932"/>
    <cellStyle name="20% - Accent1 4 5 3 4 2 4" xfId="22311"/>
    <cellStyle name="20% - Accent1 4 5 3 4 2 4 2" xfId="58043"/>
    <cellStyle name="20% - Accent1 4 5 3 4 2 5" xfId="35926"/>
    <cellStyle name="20% - Accent1 4 5 3 4 3" xfId="3216"/>
    <cellStyle name="20% - Accent1 4 5 3 4 3 2" xfId="14990"/>
    <cellStyle name="20% - Accent1 4 5 3 4 3 2 2" xfId="26791"/>
    <cellStyle name="20% - Accent1 4 5 3 4 3 2 2 2" xfId="58044"/>
    <cellStyle name="20% - Accent1 4 5 3 4 3 2 3" xfId="40406"/>
    <cellStyle name="20% - Accent1 4 5 3 4 3 3" xfId="8669"/>
    <cellStyle name="20% - Accent1 4 5 3 4 3 3 2" xfId="46933"/>
    <cellStyle name="20% - Accent1 4 5 3 4 3 4" xfId="20470"/>
    <cellStyle name="20% - Accent1 4 5 3 4 3 4 2" xfId="58045"/>
    <cellStyle name="20% - Accent1 4 5 3 4 3 5" xfId="34085"/>
    <cellStyle name="20% - Accent1 4 5 3 4 4" xfId="14991"/>
    <cellStyle name="20% - Accent1 4 5 3 4 4 2" xfId="26792"/>
    <cellStyle name="20% - Accent1 4 5 3 4 4 2 2" xfId="58046"/>
    <cellStyle name="20% - Accent1 4 5 3 4 4 3" xfId="40407"/>
    <cellStyle name="20% - Accent1 4 5 3 4 5" xfId="7085"/>
    <cellStyle name="20% - Accent1 4 5 3 4 5 2" xfId="46934"/>
    <cellStyle name="20% - Accent1 4 5 3 4 6" xfId="18886"/>
    <cellStyle name="20% - Accent1 4 5 3 4 6 2" xfId="58047"/>
    <cellStyle name="20% - Accent1 4 5 3 4 7" xfId="32501"/>
    <cellStyle name="20% - Accent1 4 5 3 5" xfId="3921"/>
    <cellStyle name="20% - Accent1 4 5 3 5 2" xfId="14992"/>
    <cellStyle name="20% - Accent1 4 5 3 5 2 2" xfId="26793"/>
    <cellStyle name="20% - Accent1 4 5 3 5 2 2 2" xfId="58048"/>
    <cellStyle name="20% - Accent1 4 5 3 5 2 3" xfId="40408"/>
    <cellStyle name="20% - Accent1 4 5 3 5 3" xfId="9374"/>
    <cellStyle name="20% - Accent1 4 5 3 5 3 2" xfId="46935"/>
    <cellStyle name="20% - Accent1 4 5 3 5 4" xfId="21175"/>
    <cellStyle name="20% - Accent1 4 5 3 5 4 2" xfId="58049"/>
    <cellStyle name="20% - Accent1 4 5 3 5 5" xfId="34790"/>
    <cellStyle name="20% - Accent1 4 5 3 6" xfId="2080"/>
    <cellStyle name="20% - Accent1 4 5 3 6 2" xfId="14993"/>
    <cellStyle name="20% - Accent1 4 5 3 6 2 2" xfId="26794"/>
    <cellStyle name="20% - Accent1 4 5 3 6 2 2 2" xfId="58050"/>
    <cellStyle name="20% - Accent1 4 5 3 6 2 3" xfId="40409"/>
    <cellStyle name="20% - Accent1 4 5 3 6 3" xfId="7533"/>
    <cellStyle name="20% - Accent1 4 5 3 6 3 2" xfId="46936"/>
    <cellStyle name="20% - Accent1 4 5 3 6 4" xfId="19334"/>
    <cellStyle name="20% - Accent1 4 5 3 6 4 2" xfId="58051"/>
    <cellStyle name="20% - Accent1 4 5 3 6 5" xfId="32949"/>
    <cellStyle name="20% - Accent1 4 5 3 7" xfId="14994"/>
    <cellStyle name="20% - Accent1 4 5 3 7 2" xfId="26795"/>
    <cellStyle name="20% - Accent1 4 5 3 7 2 2" xfId="58052"/>
    <cellStyle name="20% - Accent1 4 5 3 7 3" xfId="40410"/>
    <cellStyle name="20% - Accent1 4 5 3 8" xfId="5633"/>
    <cellStyle name="20% - Accent1 4 5 3 8 2" xfId="46937"/>
    <cellStyle name="20% - Accent1 4 5 3 9" xfId="17434"/>
    <cellStyle name="20% - Accent1 4 5 3 9 2" xfId="58053"/>
    <cellStyle name="20% - Accent1 4 5 4" xfId="447"/>
    <cellStyle name="20% - Accent1 4 5 4 2" xfId="1632"/>
    <cellStyle name="20% - Accent1 4 5 4 2 2" xfId="4757"/>
    <cellStyle name="20% - Accent1 4 5 4 2 2 2" xfId="14995"/>
    <cellStyle name="20% - Accent1 4 5 4 2 2 2 2" xfId="26796"/>
    <cellStyle name="20% - Accent1 4 5 4 2 2 2 2 2" xfId="58054"/>
    <cellStyle name="20% - Accent1 4 5 4 2 2 2 3" xfId="40411"/>
    <cellStyle name="20% - Accent1 4 5 4 2 2 3" xfId="10210"/>
    <cellStyle name="20% - Accent1 4 5 4 2 2 3 2" xfId="46938"/>
    <cellStyle name="20% - Accent1 4 5 4 2 2 4" xfId="22011"/>
    <cellStyle name="20% - Accent1 4 5 4 2 2 4 2" xfId="58055"/>
    <cellStyle name="20% - Accent1 4 5 4 2 2 5" xfId="35626"/>
    <cellStyle name="20% - Accent1 4 5 4 2 3" xfId="2916"/>
    <cellStyle name="20% - Accent1 4 5 4 2 3 2" xfId="14996"/>
    <cellStyle name="20% - Accent1 4 5 4 2 3 2 2" xfId="26797"/>
    <cellStyle name="20% - Accent1 4 5 4 2 3 2 2 2" xfId="58056"/>
    <cellStyle name="20% - Accent1 4 5 4 2 3 2 3" xfId="40412"/>
    <cellStyle name="20% - Accent1 4 5 4 2 3 3" xfId="8369"/>
    <cellStyle name="20% - Accent1 4 5 4 2 3 3 2" xfId="46939"/>
    <cellStyle name="20% - Accent1 4 5 4 2 3 4" xfId="20170"/>
    <cellStyle name="20% - Accent1 4 5 4 2 3 4 2" xfId="58057"/>
    <cellStyle name="20% - Accent1 4 5 4 2 3 5" xfId="33785"/>
    <cellStyle name="20% - Accent1 4 5 4 2 4" xfId="14997"/>
    <cellStyle name="20% - Accent1 4 5 4 2 4 2" xfId="26798"/>
    <cellStyle name="20% - Accent1 4 5 4 2 4 2 2" xfId="58058"/>
    <cellStyle name="20% - Accent1 4 5 4 2 4 3" xfId="40413"/>
    <cellStyle name="20% - Accent1 4 5 4 2 5" xfId="7086"/>
    <cellStyle name="20% - Accent1 4 5 4 2 5 2" xfId="46940"/>
    <cellStyle name="20% - Accent1 4 5 4 2 6" xfId="18887"/>
    <cellStyle name="20% - Accent1 4 5 4 2 6 2" xfId="58059"/>
    <cellStyle name="20% - Accent1 4 5 4 2 7" xfId="32502"/>
    <cellStyle name="20% - Accent1 4 5 4 3" xfId="3484"/>
    <cellStyle name="20% - Accent1 4 5 4 3 2" xfId="5325"/>
    <cellStyle name="20% - Accent1 4 5 4 3 2 2" xfId="16795"/>
    <cellStyle name="20% - Accent1 4 5 4 3 2 2 2" xfId="28596"/>
    <cellStyle name="20% - Accent1 4 5 4 3 2 2 2 2" xfId="58060"/>
    <cellStyle name="20% - Accent1 4 5 4 3 2 2 3" xfId="42211"/>
    <cellStyle name="20% - Accent1 4 5 4 3 2 3" xfId="10778"/>
    <cellStyle name="20% - Accent1 4 5 4 3 2 3 2" xfId="58061"/>
    <cellStyle name="20% - Accent1 4 5 4 3 2 4" xfId="22579"/>
    <cellStyle name="20% - Accent1 4 5 4 3 2 4 2" xfId="58062"/>
    <cellStyle name="20% - Accent1 4 5 4 3 2 5" xfId="36194"/>
    <cellStyle name="20% - Accent1 4 5 4 3 3" xfId="14998"/>
    <cellStyle name="20% - Accent1 4 5 4 3 3 2" xfId="26799"/>
    <cellStyle name="20% - Accent1 4 5 4 3 3 2 2" xfId="58063"/>
    <cellStyle name="20% - Accent1 4 5 4 3 3 3" xfId="40414"/>
    <cellStyle name="20% - Accent1 4 5 4 3 4" xfId="8937"/>
    <cellStyle name="20% - Accent1 4 5 4 3 4 2" xfId="58064"/>
    <cellStyle name="20% - Accent1 4 5 4 3 5" xfId="20738"/>
    <cellStyle name="20% - Accent1 4 5 4 3 5 2" xfId="58065"/>
    <cellStyle name="20% - Accent1 4 5 4 3 6" xfId="34353"/>
    <cellStyle name="20% - Accent1 4 5 4 4" xfId="4189"/>
    <cellStyle name="20% - Accent1 4 5 4 4 2" xfId="14999"/>
    <cellStyle name="20% - Accent1 4 5 4 4 2 2" xfId="26800"/>
    <cellStyle name="20% - Accent1 4 5 4 4 2 2 2" xfId="58066"/>
    <cellStyle name="20% - Accent1 4 5 4 4 2 3" xfId="40415"/>
    <cellStyle name="20% - Accent1 4 5 4 4 3" xfId="9642"/>
    <cellStyle name="20% - Accent1 4 5 4 4 3 2" xfId="46941"/>
    <cellStyle name="20% - Accent1 4 5 4 4 4" xfId="21443"/>
    <cellStyle name="20% - Accent1 4 5 4 4 4 2" xfId="58067"/>
    <cellStyle name="20% - Accent1 4 5 4 4 5" xfId="35058"/>
    <cellStyle name="20% - Accent1 4 5 4 5" xfId="2348"/>
    <cellStyle name="20% - Accent1 4 5 4 5 2" xfId="17161"/>
    <cellStyle name="20% - Accent1 4 5 4 5 2 2" xfId="28962"/>
    <cellStyle name="20% - Accent1 4 5 4 5 2 2 2" xfId="58068"/>
    <cellStyle name="20% - Accent1 4 5 4 5 2 3" xfId="42577"/>
    <cellStyle name="20% - Accent1 4 5 4 5 3" xfId="7801"/>
    <cellStyle name="20% - Accent1 4 5 4 5 3 2" xfId="58069"/>
    <cellStyle name="20% - Accent1 4 5 4 5 4" xfId="19602"/>
    <cellStyle name="20% - Accent1 4 5 4 5 4 2" xfId="58070"/>
    <cellStyle name="20% - Accent1 4 5 4 5 5" xfId="33217"/>
    <cellStyle name="20% - Accent1 4 5 4 6" xfId="15000"/>
    <cellStyle name="20% - Accent1 4 5 4 6 2" xfId="26801"/>
    <cellStyle name="20% - Accent1 4 5 4 6 2 2" xfId="58071"/>
    <cellStyle name="20% - Accent1 4 5 4 6 3" xfId="40416"/>
    <cellStyle name="20% - Accent1 4 5 4 7" xfId="5901"/>
    <cellStyle name="20% - Accent1 4 5 4 7 2" xfId="58072"/>
    <cellStyle name="20% - Accent1 4 5 4 8" xfId="17702"/>
    <cellStyle name="20% - Accent1 4 5 4 8 2" xfId="58073"/>
    <cellStyle name="20% - Accent1 4 5 4 9" xfId="31317"/>
    <cellStyle name="20% - Accent1 4 5 5" xfId="261"/>
    <cellStyle name="20% - Accent1 4 5 5 2" xfId="1633"/>
    <cellStyle name="20% - Accent1 4 5 5 2 2" xfId="4571"/>
    <cellStyle name="20% - Accent1 4 5 5 2 2 2" xfId="15001"/>
    <cellStyle name="20% - Accent1 4 5 5 2 2 2 2" xfId="26802"/>
    <cellStyle name="20% - Accent1 4 5 5 2 2 2 2 2" xfId="58074"/>
    <cellStyle name="20% - Accent1 4 5 5 2 2 2 3" xfId="40417"/>
    <cellStyle name="20% - Accent1 4 5 5 2 2 3" xfId="10024"/>
    <cellStyle name="20% - Accent1 4 5 5 2 2 3 2" xfId="46942"/>
    <cellStyle name="20% - Accent1 4 5 5 2 2 4" xfId="21825"/>
    <cellStyle name="20% - Accent1 4 5 5 2 2 4 2" xfId="58075"/>
    <cellStyle name="20% - Accent1 4 5 5 2 2 5" xfId="35440"/>
    <cellStyle name="20% - Accent1 4 5 5 2 3" xfId="2730"/>
    <cellStyle name="20% - Accent1 4 5 5 2 3 2" xfId="15002"/>
    <cellStyle name="20% - Accent1 4 5 5 2 3 2 2" xfId="26803"/>
    <cellStyle name="20% - Accent1 4 5 5 2 3 2 2 2" xfId="58076"/>
    <cellStyle name="20% - Accent1 4 5 5 2 3 2 3" xfId="40418"/>
    <cellStyle name="20% - Accent1 4 5 5 2 3 3" xfId="8183"/>
    <cellStyle name="20% - Accent1 4 5 5 2 3 3 2" xfId="46943"/>
    <cellStyle name="20% - Accent1 4 5 5 2 3 4" xfId="19984"/>
    <cellStyle name="20% - Accent1 4 5 5 2 3 4 2" xfId="58077"/>
    <cellStyle name="20% - Accent1 4 5 5 2 3 5" xfId="33599"/>
    <cellStyle name="20% - Accent1 4 5 5 2 4" xfId="15003"/>
    <cellStyle name="20% - Accent1 4 5 5 2 4 2" xfId="26804"/>
    <cellStyle name="20% - Accent1 4 5 5 2 4 2 2" xfId="58078"/>
    <cellStyle name="20% - Accent1 4 5 5 2 4 3" xfId="40419"/>
    <cellStyle name="20% - Accent1 4 5 5 2 5" xfId="7087"/>
    <cellStyle name="20% - Accent1 4 5 5 2 5 2" xfId="46944"/>
    <cellStyle name="20% - Accent1 4 5 5 2 6" xfId="18888"/>
    <cellStyle name="20% - Accent1 4 5 5 2 6 2" xfId="58079"/>
    <cellStyle name="20% - Accent1 4 5 5 2 7" xfId="32503"/>
    <cellStyle name="20% - Accent1 4 5 5 3" xfId="3298"/>
    <cellStyle name="20% - Accent1 4 5 5 3 2" xfId="5139"/>
    <cellStyle name="20% - Accent1 4 5 5 3 2 2" xfId="16609"/>
    <cellStyle name="20% - Accent1 4 5 5 3 2 2 2" xfId="28410"/>
    <cellStyle name="20% - Accent1 4 5 5 3 2 2 2 2" xfId="58080"/>
    <cellStyle name="20% - Accent1 4 5 5 3 2 2 3" xfId="42025"/>
    <cellStyle name="20% - Accent1 4 5 5 3 2 3" xfId="10592"/>
    <cellStyle name="20% - Accent1 4 5 5 3 2 3 2" xfId="58081"/>
    <cellStyle name="20% - Accent1 4 5 5 3 2 4" xfId="22393"/>
    <cellStyle name="20% - Accent1 4 5 5 3 2 4 2" xfId="58082"/>
    <cellStyle name="20% - Accent1 4 5 5 3 2 5" xfId="36008"/>
    <cellStyle name="20% - Accent1 4 5 5 3 3" xfId="15004"/>
    <cellStyle name="20% - Accent1 4 5 5 3 3 2" xfId="26805"/>
    <cellStyle name="20% - Accent1 4 5 5 3 3 2 2" xfId="58083"/>
    <cellStyle name="20% - Accent1 4 5 5 3 3 3" xfId="40420"/>
    <cellStyle name="20% - Accent1 4 5 5 3 4" xfId="8751"/>
    <cellStyle name="20% - Accent1 4 5 5 3 4 2" xfId="58084"/>
    <cellStyle name="20% - Accent1 4 5 5 3 5" xfId="20552"/>
    <cellStyle name="20% - Accent1 4 5 5 3 5 2" xfId="58085"/>
    <cellStyle name="20% - Accent1 4 5 5 3 6" xfId="34167"/>
    <cellStyle name="20% - Accent1 4 5 5 4" xfId="4003"/>
    <cellStyle name="20% - Accent1 4 5 5 4 2" xfId="15005"/>
    <cellStyle name="20% - Accent1 4 5 5 4 2 2" xfId="26806"/>
    <cellStyle name="20% - Accent1 4 5 5 4 2 2 2" xfId="58086"/>
    <cellStyle name="20% - Accent1 4 5 5 4 2 3" xfId="40421"/>
    <cellStyle name="20% - Accent1 4 5 5 4 3" xfId="9456"/>
    <cellStyle name="20% - Accent1 4 5 5 4 3 2" xfId="46945"/>
    <cellStyle name="20% - Accent1 4 5 5 4 4" xfId="21257"/>
    <cellStyle name="20% - Accent1 4 5 5 4 4 2" xfId="58087"/>
    <cellStyle name="20% - Accent1 4 5 5 4 5" xfId="34872"/>
    <cellStyle name="20% - Accent1 4 5 5 5" xfId="2162"/>
    <cellStyle name="20% - Accent1 4 5 5 5 2" xfId="17162"/>
    <cellStyle name="20% - Accent1 4 5 5 5 2 2" xfId="28963"/>
    <cellStyle name="20% - Accent1 4 5 5 5 2 2 2" xfId="58088"/>
    <cellStyle name="20% - Accent1 4 5 5 5 2 3" xfId="42578"/>
    <cellStyle name="20% - Accent1 4 5 5 5 3" xfId="7615"/>
    <cellStyle name="20% - Accent1 4 5 5 5 3 2" xfId="58089"/>
    <cellStyle name="20% - Accent1 4 5 5 5 4" xfId="19416"/>
    <cellStyle name="20% - Accent1 4 5 5 5 4 2" xfId="58090"/>
    <cellStyle name="20% - Accent1 4 5 5 5 5" xfId="33031"/>
    <cellStyle name="20% - Accent1 4 5 5 6" xfId="15006"/>
    <cellStyle name="20% - Accent1 4 5 5 6 2" xfId="26807"/>
    <cellStyle name="20% - Accent1 4 5 5 6 2 2" xfId="58091"/>
    <cellStyle name="20% - Accent1 4 5 5 6 3" xfId="40422"/>
    <cellStyle name="20% - Accent1 4 5 5 7" xfId="5715"/>
    <cellStyle name="20% - Accent1 4 5 5 7 2" xfId="58092"/>
    <cellStyle name="20% - Accent1 4 5 5 8" xfId="17516"/>
    <cellStyle name="20% - Accent1 4 5 5 8 2" xfId="58093"/>
    <cellStyle name="20% - Accent1 4 5 5 9" xfId="31131"/>
    <cellStyle name="20% - Accent1 4 5 6" xfId="588"/>
    <cellStyle name="20% - Accent1 4 5 6 2" xfId="1634"/>
    <cellStyle name="20% - Accent1 4 5 6 2 2" xfId="4330"/>
    <cellStyle name="20% - Accent1 4 5 6 2 2 2" xfId="15007"/>
    <cellStyle name="20% - Accent1 4 5 6 2 2 2 2" xfId="26808"/>
    <cellStyle name="20% - Accent1 4 5 6 2 2 2 2 2" xfId="58094"/>
    <cellStyle name="20% - Accent1 4 5 6 2 2 2 3" xfId="40423"/>
    <cellStyle name="20% - Accent1 4 5 6 2 2 3" xfId="9783"/>
    <cellStyle name="20% - Accent1 4 5 6 2 2 3 2" xfId="46946"/>
    <cellStyle name="20% - Accent1 4 5 6 2 2 4" xfId="21584"/>
    <cellStyle name="20% - Accent1 4 5 6 2 2 4 2" xfId="58095"/>
    <cellStyle name="20% - Accent1 4 5 6 2 2 5" xfId="35199"/>
    <cellStyle name="20% - Accent1 4 5 6 2 3" xfId="15008"/>
    <cellStyle name="20% - Accent1 4 5 6 2 3 2" xfId="26809"/>
    <cellStyle name="20% - Accent1 4 5 6 2 3 2 2" xfId="46947"/>
    <cellStyle name="20% - Accent1 4 5 6 2 3 3" xfId="30355"/>
    <cellStyle name="20% - Accent1 4 5 6 2 3 3 2" xfId="46948"/>
    <cellStyle name="20% - Accent1 4 5 6 2 3 4" xfId="30356"/>
    <cellStyle name="20% - Accent1 4 5 6 2 3 4 2" xfId="58096"/>
    <cellStyle name="20% - Accent1 4 5 6 2 3 5" xfId="40424"/>
    <cellStyle name="20% - Accent1 4 5 6 2 4" xfId="15009"/>
    <cellStyle name="20% - Accent1 4 5 6 2 4 2" xfId="26810"/>
    <cellStyle name="20% - Accent1 4 5 6 2 4 2 2" xfId="58097"/>
    <cellStyle name="20% - Accent1 4 5 6 2 4 3" xfId="40425"/>
    <cellStyle name="20% - Accent1 4 5 6 2 5" xfId="7088"/>
    <cellStyle name="20% - Accent1 4 5 6 2 5 2" xfId="46949"/>
    <cellStyle name="20% - Accent1 4 5 6 2 6" xfId="18889"/>
    <cellStyle name="20% - Accent1 4 5 6 2 6 2" xfId="58098"/>
    <cellStyle name="20% - Accent1 4 5 6 2 7" xfId="32504"/>
    <cellStyle name="20% - Accent1 4 5 6 3" xfId="2489"/>
    <cellStyle name="20% - Accent1 4 5 6 3 2" xfId="15010"/>
    <cellStyle name="20% - Accent1 4 5 6 3 2 2" xfId="26811"/>
    <cellStyle name="20% - Accent1 4 5 6 3 2 2 2" xfId="58099"/>
    <cellStyle name="20% - Accent1 4 5 6 3 2 3" xfId="40426"/>
    <cellStyle name="20% - Accent1 4 5 6 3 3" xfId="7942"/>
    <cellStyle name="20% - Accent1 4 5 6 3 3 2" xfId="46950"/>
    <cellStyle name="20% - Accent1 4 5 6 3 4" xfId="19743"/>
    <cellStyle name="20% - Accent1 4 5 6 3 4 2" xfId="58100"/>
    <cellStyle name="20% - Accent1 4 5 6 3 5" xfId="33358"/>
    <cellStyle name="20% - Accent1 4 5 6 4" xfId="15011"/>
    <cellStyle name="20% - Accent1 4 5 6 4 2" xfId="26812"/>
    <cellStyle name="20% - Accent1 4 5 6 4 2 2" xfId="46951"/>
    <cellStyle name="20% - Accent1 4 5 6 4 3" xfId="30357"/>
    <cellStyle name="20% - Accent1 4 5 6 4 3 2" xfId="46952"/>
    <cellStyle name="20% - Accent1 4 5 6 4 4" xfId="30358"/>
    <cellStyle name="20% - Accent1 4 5 6 4 4 2" xfId="58101"/>
    <cellStyle name="20% - Accent1 4 5 6 4 5" xfId="40427"/>
    <cellStyle name="20% - Accent1 4 5 6 5" xfId="15012"/>
    <cellStyle name="20% - Accent1 4 5 6 5 2" xfId="26813"/>
    <cellStyle name="20% - Accent1 4 5 6 5 2 2" xfId="58102"/>
    <cellStyle name="20% - Accent1 4 5 6 5 3" xfId="40428"/>
    <cellStyle name="20% - Accent1 4 5 6 6" xfId="6042"/>
    <cellStyle name="20% - Accent1 4 5 6 6 2" xfId="46953"/>
    <cellStyle name="20% - Accent1 4 5 6 7" xfId="17843"/>
    <cellStyle name="20% - Accent1 4 5 6 7 2" xfId="58103"/>
    <cellStyle name="20% - Accent1 4 5 6 8" xfId="31458"/>
    <cellStyle name="20% - Accent1 4 5 7" xfId="829"/>
    <cellStyle name="20% - Accent1 4 5 7 2" xfId="1635"/>
    <cellStyle name="20% - Accent1 4 5 7 2 2" xfId="4898"/>
    <cellStyle name="20% - Accent1 4 5 7 2 2 2" xfId="15013"/>
    <cellStyle name="20% - Accent1 4 5 7 2 2 2 2" xfId="26814"/>
    <cellStyle name="20% - Accent1 4 5 7 2 2 2 2 2" xfId="58104"/>
    <cellStyle name="20% - Accent1 4 5 7 2 2 2 3" xfId="40429"/>
    <cellStyle name="20% - Accent1 4 5 7 2 2 3" xfId="10351"/>
    <cellStyle name="20% - Accent1 4 5 7 2 2 3 2" xfId="46954"/>
    <cellStyle name="20% - Accent1 4 5 7 2 2 4" xfId="22152"/>
    <cellStyle name="20% - Accent1 4 5 7 2 2 4 2" xfId="58105"/>
    <cellStyle name="20% - Accent1 4 5 7 2 2 5" xfId="35767"/>
    <cellStyle name="20% - Accent1 4 5 7 2 3" xfId="15014"/>
    <cellStyle name="20% - Accent1 4 5 7 2 3 2" xfId="26815"/>
    <cellStyle name="20% - Accent1 4 5 7 2 3 2 2" xfId="46955"/>
    <cellStyle name="20% - Accent1 4 5 7 2 3 3" xfId="30359"/>
    <cellStyle name="20% - Accent1 4 5 7 2 3 3 2" xfId="46956"/>
    <cellStyle name="20% - Accent1 4 5 7 2 3 4" xfId="30360"/>
    <cellStyle name="20% - Accent1 4 5 7 2 3 4 2" xfId="58106"/>
    <cellStyle name="20% - Accent1 4 5 7 2 3 5" xfId="40430"/>
    <cellStyle name="20% - Accent1 4 5 7 2 4" xfId="15015"/>
    <cellStyle name="20% - Accent1 4 5 7 2 4 2" xfId="26816"/>
    <cellStyle name="20% - Accent1 4 5 7 2 4 2 2" xfId="58107"/>
    <cellStyle name="20% - Accent1 4 5 7 2 4 3" xfId="40431"/>
    <cellStyle name="20% - Accent1 4 5 7 2 5" xfId="7089"/>
    <cellStyle name="20% - Accent1 4 5 7 2 5 2" xfId="46957"/>
    <cellStyle name="20% - Accent1 4 5 7 2 6" xfId="18890"/>
    <cellStyle name="20% - Accent1 4 5 7 2 6 2" xfId="58108"/>
    <cellStyle name="20% - Accent1 4 5 7 2 7" xfId="32505"/>
    <cellStyle name="20% - Accent1 4 5 7 3" xfId="3057"/>
    <cellStyle name="20% - Accent1 4 5 7 3 2" xfId="15016"/>
    <cellStyle name="20% - Accent1 4 5 7 3 2 2" xfId="26817"/>
    <cellStyle name="20% - Accent1 4 5 7 3 2 2 2" xfId="58109"/>
    <cellStyle name="20% - Accent1 4 5 7 3 2 3" xfId="40432"/>
    <cellStyle name="20% - Accent1 4 5 7 3 3" xfId="8510"/>
    <cellStyle name="20% - Accent1 4 5 7 3 3 2" xfId="46958"/>
    <cellStyle name="20% - Accent1 4 5 7 3 4" xfId="20311"/>
    <cellStyle name="20% - Accent1 4 5 7 3 4 2" xfId="58110"/>
    <cellStyle name="20% - Accent1 4 5 7 3 5" xfId="33926"/>
    <cellStyle name="20% - Accent1 4 5 7 4" xfId="15017"/>
    <cellStyle name="20% - Accent1 4 5 7 4 2" xfId="26818"/>
    <cellStyle name="20% - Accent1 4 5 7 4 2 2" xfId="46959"/>
    <cellStyle name="20% - Accent1 4 5 7 4 3" xfId="30361"/>
    <cellStyle name="20% - Accent1 4 5 7 4 3 2" xfId="46960"/>
    <cellStyle name="20% - Accent1 4 5 7 4 4" xfId="30362"/>
    <cellStyle name="20% - Accent1 4 5 7 4 4 2" xfId="58111"/>
    <cellStyle name="20% - Accent1 4 5 7 4 5" xfId="40433"/>
    <cellStyle name="20% - Accent1 4 5 7 5" xfId="15018"/>
    <cellStyle name="20% - Accent1 4 5 7 5 2" xfId="26819"/>
    <cellStyle name="20% - Accent1 4 5 7 5 2 2" xfId="58112"/>
    <cellStyle name="20% - Accent1 4 5 7 5 3" xfId="40434"/>
    <cellStyle name="20% - Accent1 4 5 7 6" xfId="6283"/>
    <cellStyle name="20% - Accent1 4 5 7 6 2" xfId="46961"/>
    <cellStyle name="20% - Accent1 4 5 7 7" xfId="18084"/>
    <cellStyle name="20% - Accent1 4 5 7 7 2" xfId="58113"/>
    <cellStyle name="20% - Accent1 4 5 7 8" xfId="31699"/>
    <cellStyle name="20% - Accent1 4 5 8" xfId="1636"/>
    <cellStyle name="20% - Accent1 4 5 8 2" xfId="3762"/>
    <cellStyle name="20% - Accent1 4 5 8 2 2" xfId="15019"/>
    <cellStyle name="20% - Accent1 4 5 8 2 2 2" xfId="26820"/>
    <cellStyle name="20% - Accent1 4 5 8 2 2 2 2" xfId="58114"/>
    <cellStyle name="20% - Accent1 4 5 8 2 2 3" xfId="40435"/>
    <cellStyle name="20% - Accent1 4 5 8 2 3" xfId="9215"/>
    <cellStyle name="20% - Accent1 4 5 8 2 3 2" xfId="46962"/>
    <cellStyle name="20% - Accent1 4 5 8 2 4" xfId="21016"/>
    <cellStyle name="20% - Accent1 4 5 8 2 4 2" xfId="58115"/>
    <cellStyle name="20% - Accent1 4 5 8 2 5" xfId="34631"/>
    <cellStyle name="20% - Accent1 4 5 8 3" xfId="15020"/>
    <cellStyle name="20% - Accent1 4 5 8 3 2" xfId="26821"/>
    <cellStyle name="20% - Accent1 4 5 8 3 2 2" xfId="46963"/>
    <cellStyle name="20% - Accent1 4 5 8 3 3" xfId="30363"/>
    <cellStyle name="20% - Accent1 4 5 8 3 3 2" xfId="46964"/>
    <cellStyle name="20% - Accent1 4 5 8 3 4" xfId="30364"/>
    <cellStyle name="20% - Accent1 4 5 8 3 4 2" xfId="58116"/>
    <cellStyle name="20% - Accent1 4 5 8 3 5" xfId="40436"/>
    <cellStyle name="20% - Accent1 4 5 8 4" xfId="15021"/>
    <cellStyle name="20% - Accent1 4 5 8 4 2" xfId="26822"/>
    <cellStyle name="20% - Accent1 4 5 8 4 2 2" xfId="58117"/>
    <cellStyle name="20% - Accent1 4 5 8 4 3" xfId="40437"/>
    <cellStyle name="20% - Accent1 4 5 8 5" xfId="7090"/>
    <cellStyle name="20% - Accent1 4 5 8 5 2" xfId="46965"/>
    <cellStyle name="20% - Accent1 4 5 8 6" xfId="18891"/>
    <cellStyle name="20% - Accent1 4 5 8 6 2" xfId="58118"/>
    <cellStyle name="20% - Accent1 4 5 8 7" xfId="32506"/>
    <cellStyle name="20% - Accent1 4 5 9" xfId="3625"/>
    <cellStyle name="20% - Accent1 4 5 9 2" xfId="15022"/>
    <cellStyle name="20% - Accent1 4 5 9 2 2" xfId="26823"/>
    <cellStyle name="20% - Accent1 4 5 9 2 2 2" xfId="58119"/>
    <cellStyle name="20% - Accent1 4 5 9 2 3" xfId="40438"/>
    <cellStyle name="20% - Accent1 4 5 9 3" xfId="9078"/>
    <cellStyle name="20% - Accent1 4 5 9 3 2" xfId="46966"/>
    <cellStyle name="20% - Accent1 4 5 9 4" xfId="20879"/>
    <cellStyle name="20% - Accent1 4 5 9 4 2" xfId="58120"/>
    <cellStyle name="20% - Accent1 4 5 9 5" xfId="34494"/>
    <cellStyle name="20% - Accent1 4 6" xfId="57"/>
    <cellStyle name="20% - Accent1 4 6 10" xfId="15023"/>
    <cellStyle name="20% - Accent1 4 6 10 2" xfId="26824"/>
    <cellStyle name="20% - Accent1 4 6 10 2 2" xfId="58121"/>
    <cellStyle name="20% - Accent1 4 6 10 3" xfId="40439"/>
    <cellStyle name="20% - Accent1 4 6 11" xfId="5511"/>
    <cellStyle name="20% - Accent1 4 6 11 2" xfId="46967"/>
    <cellStyle name="20% - Accent1 4 6 12" xfId="17312"/>
    <cellStyle name="20% - Accent1 4 6 12 2" xfId="58122"/>
    <cellStyle name="20% - Accent1 4 6 13" xfId="30927"/>
    <cellStyle name="20% - Accent1 4 6 2" xfId="124"/>
    <cellStyle name="20% - Accent1 4 6 2 10" xfId="5578"/>
    <cellStyle name="20% - Accent1 4 6 2 10 2" xfId="46968"/>
    <cellStyle name="20% - Accent1 4 6 2 11" xfId="17379"/>
    <cellStyle name="20% - Accent1 4 6 2 11 2" xfId="58123"/>
    <cellStyle name="20% - Accent1 4 6 2 12" xfId="30994"/>
    <cellStyle name="20% - Accent1 4 6 2 2" xfId="551"/>
    <cellStyle name="20% - Accent1 4 6 2 2 2" xfId="1637"/>
    <cellStyle name="20% - Accent1 4 6 2 2 2 2" xfId="4861"/>
    <cellStyle name="20% - Accent1 4 6 2 2 2 2 2" xfId="15024"/>
    <cellStyle name="20% - Accent1 4 6 2 2 2 2 2 2" xfId="26825"/>
    <cellStyle name="20% - Accent1 4 6 2 2 2 2 2 2 2" xfId="58124"/>
    <cellStyle name="20% - Accent1 4 6 2 2 2 2 2 3" xfId="40440"/>
    <cellStyle name="20% - Accent1 4 6 2 2 2 2 3" xfId="10314"/>
    <cellStyle name="20% - Accent1 4 6 2 2 2 2 3 2" xfId="46969"/>
    <cellStyle name="20% - Accent1 4 6 2 2 2 2 4" xfId="22115"/>
    <cellStyle name="20% - Accent1 4 6 2 2 2 2 4 2" xfId="58125"/>
    <cellStyle name="20% - Accent1 4 6 2 2 2 2 5" xfId="35730"/>
    <cellStyle name="20% - Accent1 4 6 2 2 2 3" xfId="3020"/>
    <cellStyle name="20% - Accent1 4 6 2 2 2 3 2" xfId="15025"/>
    <cellStyle name="20% - Accent1 4 6 2 2 2 3 2 2" xfId="26826"/>
    <cellStyle name="20% - Accent1 4 6 2 2 2 3 2 2 2" xfId="58126"/>
    <cellStyle name="20% - Accent1 4 6 2 2 2 3 2 3" xfId="40441"/>
    <cellStyle name="20% - Accent1 4 6 2 2 2 3 3" xfId="8473"/>
    <cellStyle name="20% - Accent1 4 6 2 2 2 3 3 2" xfId="46970"/>
    <cellStyle name="20% - Accent1 4 6 2 2 2 3 4" xfId="20274"/>
    <cellStyle name="20% - Accent1 4 6 2 2 2 3 4 2" xfId="58127"/>
    <cellStyle name="20% - Accent1 4 6 2 2 2 3 5" xfId="33889"/>
    <cellStyle name="20% - Accent1 4 6 2 2 2 4" xfId="15026"/>
    <cellStyle name="20% - Accent1 4 6 2 2 2 4 2" xfId="26827"/>
    <cellStyle name="20% - Accent1 4 6 2 2 2 4 2 2" xfId="58128"/>
    <cellStyle name="20% - Accent1 4 6 2 2 2 4 3" xfId="40442"/>
    <cellStyle name="20% - Accent1 4 6 2 2 2 5" xfId="7091"/>
    <cellStyle name="20% - Accent1 4 6 2 2 2 5 2" xfId="46971"/>
    <cellStyle name="20% - Accent1 4 6 2 2 2 6" xfId="18892"/>
    <cellStyle name="20% - Accent1 4 6 2 2 2 6 2" xfId="58129"/>
    <cellStyle name="20% - Accent1 4 6 2 2 2 7" xfId="32507"/>
    <cellStyle name="20% - Accent1 4 6 2 2 3" xfId="3588"/>
    <cellStyle name="20% - Accent1 4 6 2 2 3 2" xfId="5429"/>
    <cellStyle name="20% - Accent1 4 6 2 2 3 2 2" xfId="16899"/>
    <cellStyle name="20% - Accent1 4 6 2 2 3 2 2 2" xfId="28700"/>
    <cellStyle name="20% - Accent1 4 6 2 2 3 2 2 2 2" xfId="58130"/>
    <cellStyle name="20% - Accent1 4 6 2 2 3 2 2 3" xfId="42315"/>
    <cellStyle name="20% - Accent1 4 6 2 2 3 2 3" xfId="10882"/>
    <cellStyle name="20% - Accent1 4 6 2 2 3 2 3 2" xfId="58131"/>
    <cellStyle name="20% - Accent1 4 6 2 2 3 2 4" xfId="22683"/>
    <cellStyle name="20% - Accent1 4 6 2 2 3 2 4 2" xfId="58132"/>
    <cellStyle name="20% - Accent1 4 6 2 2 3 2 5" xfId="36298"/>
    <cellStyle name="20% - Accent1 4 6 2 2 3 3" xfId="15027"/>
    <cellStyle name="20% - Accent1 4 6 2 2 3 3 2" xfId="26828"/>
    <cellStyle name="20% - Accent1 4 6 2 2 3 3 2 2" xfId="58133"/>
    <cellStyle name="20% - Accent1 4 6 2 2 3 3 3" xfId="40443"/>
    <cellStyle name="20% - Accent1 4 6 2 2 3 4" xfId="9041"/>
    <cellStyle name="20% - Accent1 4 6 2 2 3 4 2" xfId="58134"/>
    <cellStyle name="20% - Accent1 4 6 2 2 3 5" xfId="20842"/>
    <cellStyle name="20% - Accent1 4 6 2 2 3 5 2" xfId="58135"/>
    <cellStyle name="20% - Accent1 4 6 2 2 3 6" xfId="34457"/>
    <cellStyle name="20% - Accent1 4 6 2 2 4" xfId="4293"/>
    <cellStyle name="20% - Accent1 4 6 2 2 4 2" xfId="15028"/>
    <cellStyle name="20% - Accent1 4 6 2 2 4 2 2" xfId="26829"/>
    <cellStyle name="20% - Accent1 4 6 2 2 4 2 2 2" xfId="58136"/>
    <cellStyle name="20% - Accent1 4 6 2 2 4 2 3" xfId="40444"/>
    <cellStyle name="20% - Accent1 4 6 2 2 4 3" xfId="9746"/>
    <cellStyle name="20% - Accent1 4 6 2 2 4 3 2" xfId="46972"/>
    <cellStyle name="20% - Accent1 4 6 2 2 4 4" xfId="21547"/>
    <cellStyle name="20% - Accent1 4 6 2 2 4 4 2" xfId="58137"/>
    <cellStyle name="20% - Accent1 4 6 2 2 4 5" xfId="35162"/>
    <cellStyle name="20% - Accent1 4 6 2 2 5" xfId="2452"/>
    <cellStyle name="20% - Accent1 4 6 2 2 5 2" xfId="17163"/>
    <cellStyle name="20% - Accent1 4 6 2 2 5 2 2" xfId="28964"/>
    <cellStyle name="20% - Accent1 4 6 2 2 5 2 2 2" xfId="58138"/>
    <cellStyle name="20% - Accent1 4 6 2 2 5 2 3" xfId="42579"/>
    <cellStyle name="20% - Accent1 4 6 2 2 5 3" xfId="7905"/>
    <cellStyle name="20% - Accent1 4 6 2 2 5 3 2" xfId="58139"/>
    <cellStyle name="20% - Accent1 4 6 2 2 5 4" xfId="19706"/>
    <cellStyle name="20% - Accent1 4 6 2 2 5 4 2" xfId="58140"/>
    <cellStyle name="20% - Accent1 4 6 2 2 5 5" xfId="33321"/>
    <cellStyle name="20% - Accent1 4 6 2 2 6" xfId="15029"/>
    <cellStyle name="20% - Accent1 4 6 2 2 6 2" xfId="26830"/>
    <cellStyle name="20% - Accent1 4 6 2 2 6 2 2" xfId="58141"/>
    <cellStyle name="20% - Accent1 4 6 2 2 6 3" xfId="40445"/>
    <cellStyle name="20% - Accent1 4 6 2 2 7" xfId="6005"/>
    <cellStyle name="20% - Accent1 4 6 2 2 7 2" xfId="58142"/>
    <cellStyle name="20% - Accent1 4 6 2 2 8" xfId="17806"/>
    <cellStyle name="20% - Accent1 4 6 2 2 8 2" xfId="58143"/>
    <cellStyle name="20% - Accent1 4 6 2 2 9" xfId="31421"/>
    <cellStyle name="20% - Accent1 4 6 2 3" xfId="414"/>
    <cellStyle name="20% - Accent1 4 6 2 3 2" xfId="1638"/>
    <cellStyle name="20% - Accent1 4 6 2 3 2 2" xfId="4724"/>
    <cellStyle name="20% - Accent1 4 6 2 3 2 2 2" xfId="15030"/>
    <cellStyle name="20% - Accent1 4 6 2 3 2 2 2 2" xfId="26831"/>
    <cellStyle name="20% - Accent1 4 6 2 3 2 2 2 2 2" xfId="58144"/>
    <cellStyle name="20% - Accent1 4 6 2 3 2 2 2 3" xfId="40446"/>
    <cellStyle name="20% - Accent1 4 6 2 3 2 2 3" xfId="10177"/>
    <cellStyle name="20% - Accent1 4 6 2 3 2 2 3 2" xfId="46973"/>
    <cellStyle name="20% - Accent1 4 6 2 3 2 2 4" xfId="21978"/>
    <cellStyle name="20% - Accent1 4 6 2 3 2 2 4 2" xfId="58145"/>
    <cellStyle name="20% - Accent1 4 6 2 3 2 2 5" xfId="35593"/>
    <cellStyle name="20% - Accent1 4 6 2 3 2 3" xfId="2883"/>
    <cellStyle name="20% - Accent1 4 6 2 3 2 3 2" xfId="15031"/>
    <cellStyle name="20% - Accent1 4 6 2 3 2 3 2 2" xfId="26832"/>
    <cellStyle name="20% - Accent1 4 6 2 3 2 3 2 2 2" xfId="58146"/>
    <cellStyle name="20% - Accent1 4 6 2 3 2 3 2 3" xfId="40447"/>
    <cellStyle name="20% - Accent1 4 6 2 3 2 3 3" xfId="8336"/>
    <cellStyle name="20% - Accent1 4 6 2 3 2 3 3 2" xfId="46974"/>
    <cellStyle name="20% - Accent1 4 6 2 3 2 3 4" xfId="20137"/>
    <cellStyle name="20% - Accent1 4 6 2 3 2 3 4 2" xfId="58147"/>
    <cellStyle name="20% - Accent1 4 6 2 3 2 3 5" xfId="33752"/>
    <cellStyle name="20% - Accent1 4 6 2 3 2 4" xfId="15032"/>
    <cellStyle name="20% - Accent1 4 6 2 3 2 4 2" xfId="26833"/>
    <cellStyle name="20% - Accent1 4 6 2 3 2 4 2 2" xfId="58148"/>
    <cellStyle name="20% - Accent1 4 6 2 3 2 4 3" xfId="40448"/>
    <cellStyle name="20% - Accent1 4 6 2 3 2 5" xfId="7092"/>
    <cellStyle name="20% - Accent1 4 6 2 3 2 5 2" xfId="46975"/>
    <cellStyle name="20% - Accent1 4 6 2 3 2 6" xfId="18893"/>
    <cellStyle name="20% - Accent1 4 6 2 3 2 6 2" xfId="58149"/>
    <cellStyle name="20% - Accent1 4 6 2 3 2 7" xfId="32508"/>
    <cellStyle name="20% - Accent1 4 6 2 3 3" xfId="3451"/>
    <cellStyle name="20% - Accent1 4 6 2 3 3 2" xfId="5292"/>
    <cellStyle name="20% - Accent1 4 6 2 3 3 2 2" xfId="16762"/>
    <cellStyle name="20% - Accent1 4 6 2 3 3 2 2 2" xfId="28563"/>
    <cellStyle name="20% - Accent1 4 6 2 3 3 2 2 2 2" xfId="58150"/>
    <cellStyle name="20% - Accent1 4 6 2 3 3 2 2 3" xfId="42178"/>
    <cellStyle name="20% - Accent1 4 6 2 3 3 2 3" xfId="10745"/>
    <cellStyle name="20% - Accent1 4 6 2 3 3 2 3 2" xfId="58151"/>
    <cellStyle name="20% - Accent1 4 6 2 3 3 2 4" xfId="22546"/>
    <cellStyle name="20% - Accent1 4 6 2 3 3 2 4 2" xfId="58152"/>
    <cellStyle name="20% - Accent1 4 6 2 3 3 2 5" xfId="36161"/>
    <cellStyle name="20% - Accent1 4 6 2 3 3 3" xfId="15033"/>
    <cellStyle name="20% - Accent1 4 6 2 3 3 3 2" xfId="26834"/>
    <cellStyle name="20% - Accent1 4 6 2 3 3 3 2 2" xfId="58153"/>
    <cellStyle name="20% - Accent1 4 6 2 3 3 3 3" xfId="40449"/>
    <cellStyle name="20% - Accent1 4 6 2 3 3 4" xfId="8904"/>
    <cellStyle name="20% - Accent1 4 6 2 3 3 4 2" xfId="58154"/>
    <cellStyle name="20% - Accent1 4 6 2 3 3 5" xfId="20705"/>
    <cellStyle name="20% - Accent1 4 6 2 3 3 5 2" xfId="58155"/>
    <cellStyle name="20% - Accent1 4 6 2 3 3 6" xfId="34320"/>
    <cellStyle name="20% - Accent1 4 6 2 3 4" xfId="4156"/>
    <cellStyle name="20% - Accent1 4 6 2 3 4 2" xfId="15034"/>
    <cellStyle name="20% - Accent1 4 6 2 3 4 2 2" xfId="26835"/>
    <cellStyle name="20% - Accent1 4 6 2 3 4 2 2 2" xfId="58156"/>
    <cellStyle name="20% - Accent1 4 6 2 3 4 2 3" xfId="40450"/>
    <cellStyle name="20% - Accent1 4 6 2 3 4 3" xfId="9609"/>
    <cellStyle name="20% - Accent1 4 6 2 3 4 3 2" xfId="46976"/>
    <cellStyle name="20% - Accent1 4 6 2 3 4 4" xfId="21410"/>
    <cellStyle name="20% - Accent1 4 6 2 3 4 4 2" xfId="58157"/>
    <cellStyle name="20% - Accent1 4 6 2 3 4 5" xfId="35025"/>
    <cellStyle name="20% - Accent1 4 6 2 3 5" xfId="2315"/>
    <cellStyle name="20% - Accent1 4 6 2 3 5 2" xfId="17164"/>
    <cellStyle name="20% - Accent1 4 6 2 3 5 2 2" xfId="28965"/>
    <cellStyle name="20% - Accent1 4 6 2 3 5 2 2 2" xfId="58158"/>
    <cellStyle name="20% - Accent1 4 6 2 3 5 2 3" xfId="42580"/>
    <cellStyle name="20% - Accent1 4 6 2 3 5 3" xfId="7768"/>
    <cellStyle name="20% - Accent1 4 6 2 3 5 3 2" xfId="58159"/>
    <cellStyle name="20% - Accent1 4 6 2 3 5 4" xfId="19569"/>
    <cellStyle name="20% - Accent1 4 6 2 3 5 4 2" xfId="58160"/>
    <cellStyle name="20% - Accent1 4 6 2 3 5 5" xfId="33184"/>
    <cellStyle name="20% - Accent1 4 6 2 3 6" xfId="15035"/>
    <cellStyle name="20% - Accent1 4 6 2 3 6 2" xfId="26836"/>
    <cellStyle name="20% - Accent1 4 6 2 3 6 2 2" xfId="58161"/>
    <cellStyle name="20% - Accent1 4 6 2 3 6 3" xfId="40451"/>
    <cellStyle name="20% - Accent1 4 6 2 3 7" xfId="5868"/>
    <cellStyle name="20% - Accent1 4 6 2 3 7 2" xfId="58162"/>
    <cellStyle name="20% - Accent1 4 6 2 3 8" xfId="17669"/>
    <cellStyle name="20% - Accent1 4 6 2 3 8 2" xfId="58163"/>
    <cellStyle name="20% - Accent1 4 6 2 3 9" xfId="31284"/>
    <cellStyle name="20% - Accent1 4 6 2 4" xfId="692"/>
    <cellStyle name="20% - Accent1 4 6 2 4 2" xfId="1639"/>
    <cellStyle name="20% - Accent1 4 6 2 4 2 2" xfId="4434"/>
    <cellStyle name="20% - Accent1 4 6 2 4 2 2 2" xfId="15036"/>
    <cellStyle name="20% - Accent1 4 6 2 4 2 2 2 2" xfId="26837"/>
    <cellStyle name="20% - Accent1 4 6 2 4 2 2 2 2 2" xfId="58164"/>
    <cellStyle name="20% - Accent1 4 6 2 4 2 2 2 3" xfId="40452"/>
    <cellStyle name="20% - Accent1 4 6 2 4 2 2 3" xfId="9887"/>
    <cellStyle name="20% - Accent1 4 6 2 4 2 2 3 2" xfId="46977"/>
    <cellStyle name="20% - Accent1 4 6 2 4 2 2 4" xfId="21688"/>
    <cellStyle name="20% - Accent1 4 6 2 4 2 2 4 2" xfId="58165"/>
    <cellStyle name="20% - Accent1 4 6 2 4 2 2 5" xfId="35303"/>
    <cellStyle name="20% - Accent1 4 6 2 4 2 3" xfId="15037"/>
    <cellStyle name="20% - Accent1 4 6 2 4 2 3 2" xfId="26838"/>
    <cellStyle name="20% - Accent1 4 6 2 4 2 3 2 2" xfId="46978"/>
    <cellStyle name="20% - Accent1 4 6 2 4 2 3 3" xfId="30365"/>
    <cellStyle name="20% - Accent1 4 6 2 4 2 3 3 2" xfId="46979"/>
    <cellStyle name="20% - Accent1 4 6 2 4 2 3 4" xfId="30366"/>
    <cellStyle name="20% - Accent1 4 6 2 4 2 3 4 2" xfId="58166"/>
    <cellStyle name="20% - Accent1 4 6 2 4 2 3 5" xfId="40453"/>
    <cellStyle name="20% - Accent1 4 6 2 4 2 4" xfId="15038"/>
    <cellStyle name="20% - Accent1 4 6 2 4 2 4 2" xfId="26839"/>
    <cellStyle name="20% - Accent1 4 6 2 4 2 4 2 2" xfId="58167"/>
    <cellStyle name="20% - Accent1 4 6 2 4 2 4 3" xfId="40454"/>
    <cellStyle name="20% - Accent1 4 6 2 4 2 5" xfId="7093"/>
    <cellStyle name="20% - Accent1 4 6 2 4 2 5 2" xfId="46980"/>
    <cellStyle name="20% - Accent1 4 6 2 4 2 6" xfId="18894"/>
    <cellStyle name="20% - Accent1 4 6 2 4 2 6 2" xfId="58168"/>
    <cellStyle name="20% - Accent1 4 6 2 4 2 7" xfId="32509"/>
    <cellStyle name="20% - Accent1 4 6 2 4 3" xfId="2593"/>
    <cellStyle name="20% - Accent1 4 6 2 4 3 2" xfId="15039"/>
    <cellStyle name="20% - Accent1 4 6 2 4 3 2 2" xfId="26840"/>
    <cellStyle name="20% - Accent1 4 6 2 4 3 2 2 2" xfId="58169"/>
    <cellStyle name="20% - Accent1 4 6 2 4 3 2 3" xfId="40455"/>
    <cellStyle name="20% - Accent1 4 6 2 4 3 3" xfId="8046"/>
    <cellStyle name="20% - Accent1 4 6 2 4 3 3 2" xfId="46981"/>
    <cellStyle name="20% - Accent1 4 6 2 4 3 4" xfId="19847"/>
    <cellStyle name="20% - Accent1 4 6 2 4 3 4 2" xfId="58170"/>
    <cellStyle name="20% - Accent1 4 6 2 4 3 5" xfId="33462"/>
    <cellStyle name="20% - Accent1 4 6 2 4 4" xfId="15040"/>
    <cellStyle name="20% - Accent1 4 6 2 4 4 2" xfId="26841"/>
    <cellStyle name="20% - Accent1 4 6 2 4 4 2 2" xfId="46982"/>
    <cellStyle name="20% - Accent1 4 6 2 4 4 3" xfId="30367"/>
    <cellStyle name="20% - Accent1 4 6 2 4 4 3 2" xfId="46983"/>
    <cellStyle name="20% - Accent1 4 6 2 4 4 4" xfId="30368"/>
    <cellStyle name="20% - Accent1 4 6 2 4 4 4 2" xfId="58171"/>
    <cellStyle name="20% - Accent1 4 6 2 4 4 5" xfId="40456"/>
    <cellStyle name="20% - Accent1 4 6 2 4 5" xfId="15041"/>
    <cellStyle name="20% - Accent1 4 6 2 4 5 2" xfId="26842"/>
    <cellStyle name="20% - Accent1 4 6 2 4 5 2 2" xfId="58172"/>
    <cellStyle name="20% - Accent1 4 6 2 4 5 3" xfId="40457"/>
    <cellStyle name="20% - Accent1 4 6 2 4 6" xfId="6146"/>
    <cellStyle name="20% - Accent1 4 6 2 4 6 2" xfId="46984"/>
    <cellStyle name="20% - Accent1 4 6 2 4 7" xfId="17947"/>
    <cellStyle name="20% - Accent1 4 6 2 4 7 2" xfId="58173"/>
    <cellStyle name="20% - Accent1 4 6 2 4 8" xfId="31562"/>
    <cellStyle name="20% - Accent1 4 6 2 5" xfId="933"/>
    <cellStyle name="20% - Accent1 4 6 2 5 2" xfId="1640"/>
    <cellStyle name="20% - Accent1 4 6 2 5 2 2" xfId="5002"/>
    <cellStyle name="20% - Accent1 4 6 2 5 2 2 2" xfId="15042"/>
    <cellStyle name="20% - Accent1 4 6 2 5 2 2 2 2" xfId="26843"/>
    <cellStyle name="20% - Accent1 4 6 2 5 2 2 2 2 2" xfId="58174"/>
    <cellStyle name="20% - Accent1 4 6 2 5 2 2 2 3" xfId="40458"/>
    <cellStyle name="20% - Accent1 4 6 2 5 2 2 3" xfId="10455"/>
    <cellStyle name="20% - Accent1 4 6 2 5 2 2 3 2" xfId="46985"/>
    <cellStyle name="20% - Accent1 4 6 2 5 2 2 4" xfId="22256"/>
    <cellStyle name="20% - Accent1 4 6 2 5 2 2 4 2" xfId="58175"/>
    <cellStyle name="20% - Accent1 4 6 2 5 2 2 5" xfId="35871"/>
    <cellStyle name="20% - Accent1 4 6 2 5 2 3" xfId="15043"/>
    <cellStyle name="20% - Accent1 4 6 2 5 2 3 2" xfId="26844"/>
    <cellStyle name="20% - Accent1 4 6 2 5 2 3 2 2" xfId="46986"/>
    <cellStyle name="20% - Accent1 4 6 2 5 2 3 3" xfId="30369"/>
    <cellStyle name="20% - Accent1 4 6 2 5 2 3 3 2" xfId="46987"/>
    <cellStyle name="20% - Accent1 4 6 2 5 2 3 4" xfId="30370"/>
    <cellStyle name="20% - Accent1 4 6 2 5 2 3 4 2" xfId="58176"/>
    <cellStyle name="20% - Accent1 4 6 2 5 2 3 5" xfId="40459"/>
    <cellStyle name="20% - Accent1 4 6 2 5 2 4" xfId="15044"/>
    <cellStyle name="20% - Accent1 4 6 2 5 2 4 2" xfId="26845"/>
    <cellStyle name="20% - Accent1 4 6 2 5 2 4 2 2" xfId="58177"/>
    <cellStyle name="20% - Accent1 4 6 2 5 2 4 3" xfId="40460"/>
    <cellStyle name="20% - Accent1 4 6 2 5 2 5" xfId="7094"/>
    <cellStyle name="20% - Accent1 4 6 2 5 2 5 2" xfId="46988"/>
    <cellStyle name="20% - Accent1 4 6 2 5 2 6" xfId="18895"/>
    <cellStyle name="20% - Accent1 4 6 2 5 2 6 2" xfId="58178"/>
    <cellStyle name="20% - Accent1 4 6 2 5 2 7" xfId="32510"/>
    <cellStyle name="20% - Accent1 4 6 2 5 3" xfId="3161"/>
    <cellStyle name="20% - Accent1 4 6 2 5 3 2" xfId="15045"/>
    <cellStyle name="20% - Accent1 4 6 2 5 3 2 2" xfId="26846"/>
    <cellStyle name="20% - Accent1 4 6 2 5 3 2 2 2" xfId="58179"/>
    <cellStyle name="20% - Accent1 4 6 2 5 3 2 3" xfId="40461"/>
    <cellStyle name="20% - Accent1 4 6 2 5 3 3" xfId="8614"/>
    <cellStyle name="20% - Accent1 4 6 2 5 3 3 2" xfId="46989"/>
    <cellStyle name="20% - Accent1 4 6 2 5 3 4" xfId="20415"/>
    <cellStyle name="20% - Accent1 4 6 2 5 3 4 2" xfId="58180"/>
    <cellStyle name="20% - Accent1 4 6 2 5 3 5" xfId="34030"/>
    <cellStyle name="20% - Accent1 4 6 2 5 4" xfId="15046"/>
    <cellStyle name="20% - Accent1 4 6 2 5 4 2" xfId="26847"/>
    <cellStyle name="20% - Accent1 4 6 2 5 4 2 2" xfId="46990"/>
    <cellStyle name="20% - Accent1 4 6 2 5 4 3" xfId="30371"/>
    <cellStyle name="20% - Accent1 4 6 2 5 4 3 2" xfId="46991"/>
    <cellStyle name="20% - Accent1 4 6 2 5 4 4" xfId="30372"/>
    <cellStyle name="20% - Accent1 4 6 2 5 4 4 2" xfId="58181"/>
    <cellStyle name="20% - Accent1 4 6 2 5 4 5" xfId="40462"/>
    <cellStyle name="20% - Accent1 4 6 2 5 5" xfId="15047"/>
    <cellStyle name="20% - Accent1 4 6 2 5 5 2" xfId="26848"/>
    <cellStyle name="20% - Accent1 4 6 2 5 5 2 2" xfId="58182"/>
    <cellStyle name="20% - Accent1 4 6 2 5 5 3" xfId="40463"/>
    <cellStyle name="20% - Accent1 4 6 2 5 6" xfId="6387"/>
    <cellStyle name="20% - Accent1 4 6 2 5 6 2" xfId="46992"/>
    <cellStyle name="20% - Accent1 4 6 2 5 7" xfId="18188"/>
    <cellStyle name="20% - Accent1 4 6 2 5 7 2" xfId="58183"/>
    <cellStyle name="20% - Accent1 4 6 2 5 8" xfId="31803"/>
    <cellStyle name="20% - Accent1 4 6 2 6" xfId="1641"/>
    <cellStyle name="20% - Accent1 4 6 2 6 2" xfId="3866"/>
    <cellStyle name="20% - Accent1 4 6 2 6 2 2" xfId="15048"/>
    <cellStyle name="20% - Accent1 4 6 2 6 2 2 2" xfId="26849"/>
    <cellStyle name="20% - Accent1 4 6 2 6 2 2 2 2" xfId="58184"/>
    <cellStyle name="20% - Accent1 4 6 2 6 2 2 3" xfId="40464"/>
    <cellStyle name="20% - Accent1 4 6 2 6 2 3" xfId="9319"/>
    <cellStyle name="20% - Accent1 4 6 2 6 2 3 2" xfId="46993"/>
    <cellStyle name="20% - Accent1 4 6 2 6 2 4" xfId="21120"/>
    <cellStyle name="20% - Accent1 4 6 2 6 2 4 2" xfId="58185"/>
    <cellStyle name="20% - Accent1 4 6 2 6 2 5" xfId="34735"/>
    <cellStyle name="20% - Accent1 4 6 2 6 3" xfId="15049"/>
    <cellStyle name="20% - Accent1 4 6 2 6 3 2" xfId="26850"/>
    <cellStyle name="20% - Accent1 4 6 2 6 3 2 2" xfId="46994"/>
    <cellStyle name="20% - Accent1 4 6 2 6 3 3" xfId="30373"/>
    <cellStyle name="20% - Accent1 4 6 2 6 3 3 2" xfId="46995"/>
    <cellStyle name="20% - Accent1 4 6 2 6 3 4" xfId="30374"/>
    <cellStyle name="20% - Accent1 4 6 2 6 3 4 2" xfId="58186"/>
    <cellStyle name="20% - Accent1 4 6 2 6 3 5" xfId="40465"/>
    <cellStyle name="20% - Accent1 4 6 2 6 4" xfId="15050"/>
    <cellStyle name="20% - Accent1 4 6 2 6 4 2" xfId="26851"/>
    <cellStyle name="20% - Accent1 4 6 2 6 4 2 2" xfId="58187"/>
    <cellStyle name="20% - Accent1 4 6 2 6 4 3" xfId="40466"/>
    <cellStyle name="20% - Accent1 4 6 2 6 5" xfId="7095"/>
    <cellStyle name="20% - Accent1 4 6 2 6 5 2" xfId="46996"/>
    <cellStyle name="20% - Accent1 4 6 2 6 6" xfId="18896"/>
    <cellStyle name="20% - Accent1 4 6 2 6 6 2" xfId="58188"/>
    <cellStyle name="20% - Accent1 4 6 2 6 7" xfId="32511"/>
    <cellStyle name="20% - Accent1 4 6 2 7" xfId="3729"/>
    <cellStyle name="20% - Accent1 4 6 2 7 2" xfId="15051"/>
    <cellStyle name="20% - Accent1 4 6 2 7 2 2" xfId="26852"/>
    <cellStyle name="20% - Accent1 4 6 2 7 2 2 2" xfId="58189"/>
    <cellStyle name="20% - Accent1 4 6 2 7 2 3" xfId="40467"/>
    <cellStyle name="20% - Accent1 4 6 2 7 3" xfId="9182"/>
    <cellStyle name="20% - Accent1 4 6 2 7 3 2" xfId="46997"/>
    <cellStyle name="20% - Accent1 4 6 2 7 4" xfId="20983"/>
    <cellStyle name="20% - Accent1 4 6 2 7 4 2" xfId="58190"/>
    <cellStyle name="20% - Accent1 4 6 2 7 5" xfId="34598"/>
    <cellStyle name="20% - Accent1 4 6 2 8" xfId="2025"/>
    <cellStyle name="20% - Accent1 4 6 2 8 2" xfId="15052"/>
    <cellStyle name="20% - Accent1 4 6 2 8 2 2" xfId="26853"/>
    <cellStyle name="20% - Accent1 4 6 2 8 2 2 2" xfId="58191"/>
    <cellStyle name="20% - Accent1 4 6 2 8 2 3" xfId="40468"/>
    <cellStyle name="20% - Accent1 4 6 2 8 3" xfId="7478"/>
    <cellStyle name="20% - Accent1 4 6 2 8 3 2" xfId="46998"/>
    <cellStyle name="20% - Accent1 4 6 2 8 4" xfId="19279"/>
    <cellStyle name="20% - Accent1 4 6 2 8 4 2" xfId="58192"/>
    <cellStyle name="20% - Accent1 4 6 2 8 5" xfId="32894"/>
    <cellStyle name="20% - Accent1 4 6 2 9" xfId="15053"/>
    <cellStyle name="20% - Accent1 4 6 2 9 2" xfId="26854"/>
    <cellStyle name="20% - Accent1 4 6 2 9 2 2" xfId="58193"/>
    <cellStyle name="20% - Accent1 4 6 2 9 3" xfId="40469"/>
    <cellStyle name="20% - Accent1 4 6 3" xfId="227"/>
    <cellStyle name="20% - Accent1 4 6 3 10" xfId="31097"/>
    <cellStyle name="20% - Accent1 4 6 3 2" xfId="484"/>
    <cellStyle name="20% - Accent1 4 6 3 2 2" xfId="1642"/>
    <cellStyle name="20% - Accent1 4 6 3 2 2 2" xfId="4794"/>
    <cellStyle name="20% - Accent1 4 6 3 2 2 2 2" xfId="15054"/>
    <cellStyle name="20% - Accent1 4 6 3 2 2 2 2 2" xfId="26855"/>
    <cellStyle name="20% - Accent1 4 6 3 2 2 2 2 2 2" xfId="58194"/>
    <cellStyle name="20% - Accent1 4 6 3 2 2 2 2 3" xfId="40470"/>
    <cellStyle name="20% - Accent1 4 6 3 2 2 2 3" xfId="10247"/>
    <cellStyle name="20% - Accent1 4 6 3 2 2 2 3 2" xfId="46999"/>
    <cellStyle name="20% - Accent1 4 6 3 2 2 2 4" xfId="22048"/>
    <cellStyle name="20% - Accent1 4 6 3 2 2 2 4 2" xfId="58195"/>
    <cellStyle name="20% - Accent1 4 6 3 2 2 2 5" xfId="35663"/>
    <cellStyle name="20% - Accent1 4 6 3 2 2 3" xfId="2953"/>
    <cellStyle name="20% - Accent1 4 6 3 2 2 3 2" xfId="15055"/>
    <cellStyle name="20% - Accent1 4 6 3 2 2 3 2 2" xfId="26856"/>
    <cellStyle name="20% - Accent1 4 6 3 2 2 3 2 2 2" xfId="58196"/>
    <cellStyle name="20% - Accent1 4 6 3 2 2 3 2 3" xfId="40471"/>
    <cellStyle name="20% - Accent1 4 6 3 2 2 3 3" xfId="8406"/>
    <cellStyle name="20% - Accent1 4 6 3 2 2 3 3 2" xfId="47000"/>
    <cellStyle name="20% - Accent1 4 6 3 2 2 3 4" xfId="20207"/>
    <cellStyle name="20% - Accent1 4 6 3 2 2 3 4 2" xfId="58197"/>
    <cellStyle name="20% - Accent1 4 6 3 2 2 3 5" xfId="33822"/>
    <cellStyle name="20% - Accent1 4 6 3 2 2 4" xfId="15056"/>
    <cellStyle name="20% - Accent1 4 6 3 2 2 4 2" xfId="26857"/>
    <cellStyle name="20% - Accent1 4 6 3 2 2 4 2 2" xfId="58198"/>
    <cellStyle name="20% - Accent1 4 6 3 2 2 4 3" xfId="40472"/>
    <cellStyle name="20% - Accent1 4 6 3 2 2 5" xfId="7096"/>
    <cellStyle name="20% - Accent1 4 6 3 2 2 5 2" xfId="47001"/>
    <cellStyle name="20% - Accent1 4 6 3 2 2 6" xfId="18897"/>
    <cellStyle name="20% - Accent1 4 6 3 2 2 6 2" xfId="58199"/>
    <cellStyle name="20% - Accent1 4 6 3 2 2 7" xfId="32512"/>
    <cellStyle name="20% - Accent1 4 6 3 2 3" xfId="3521"/>
    <cellStyle name="20% - Accent1 4 6 3 2 3 2" xfId="5362"/>
    <cellStyle name="20% - Accent1 4 6 3 2 3 2 2" xfId="16832"/>
    <cellStyle name="20% - Accent1 4 6 3 2 3 2 2 2" xfId="28633"/>
    <cellStyle name="20% - Accent1 4 6 3 2 3 2 2 2 2" xfId="58200"/>
    <cellStyle name="20% - Accent1 4 6 3 2 3 2 2 3" xfId="42248"/>
    <cellStyle name="20% - Accent1 4 6 3 2 3 2 3" xfId="10815"/>
    <cellStyle name="20% - Accent1 4 6 3 2 3 2 3 2" xfId="58201"/>
    <cellStyle name="20% - Accent1 4 6 3 2 3 2 4" xfId="22616"/>
    <cellStyle name="20% - Accent1 4 6 3 2 3 2 4 2" xfId="58202"/>
    <cellStyle name="20% - Accent1 4 6 3 2 3 2 5" xfId="36231"/>
    <cellStyle name="20% - Accent1 4 6 3 2 3 3" xfId="15057"/>
    <cellStyle name="20% - Accent1 4 6 3 2 3 3 2" xfId="26858"/>
    <cellStyle name="20% - Accent1 4 6 3 2 3 3 2 2" xfId="58203"/>
    <cellStyle name="20% - Accent1 4 6 3 2 3 3 3" xfId="40473"/>
    <cellStyle name="20% - Accent1 4 6 3 2 3 4" xfId="8974"/>
    <cellStyle name="20% - Accent1 4 6 3 2 3 4 2" xfId="58204"/>
    <cellStyle name="20% - Accent1 4 6 3 2 3 5" xfId="20775"/>
    <cellStyle name="20% - Accent1 4 6 3 2 3 5 2" xfId="58205"/>
    <cellStyle name="20% - Accent1 4 6 3 2 3 6" xfId="34390"/>
    <cellStyle name="20% - Accent1 4 6 3 2 4" xfId="4226"/>
    <cellStyle name="20% - Accent1 4 6 3 2 4 2" xfId="15058"/>
    <cellStyle name="20% - Accent1 4 6 3 2 4 2 2" xfId="26859"/>
    <cellStyle name="20% - Accent1 4 6 3 2 4 2 2 2" xfId="58206"/>
    <cellStyle name="20% - Accent1 4 6 3 2 4 2 3" xfId="40474"/>
    <cellStyle name="20% - Accent1 4 6 3 2 4 3" xfId="9679"/>
    <cellStyle name="20% - Accent1 4 6 3 2 4 3 2" xfId="47002"/>
    <cellStyle name="20% - Accent1 4 6 3 2 4 4" xfId="21480"/>
    <cellStyle name="20% - Accent1 4 6 3 2 4 4 2" xfId="58207"/>
    <cellStyle name="20% - Accent1 4 6 3 2 4 5" xfId="35095"/>
    <cellStyle name="20% - Accent1 4 6 3 2 5" xfId="2385"/>
    <cellStyle name="20% - Accent1 4 6 3 2 5 2" xfId="17165"/>
    <cellStyle name="20% - Accent1 4 6 3 2 5 2 2" xfId="28966"/>
    <cellStyle name="20% - Accent1 4 6 3 2 5 2 2 2" xfId="58208"/>
    <cellStyle name="20% - Accent1 4 6 3 2 5 2 3" xfId="42581"/>
    <cellStyle name="20% - Accent1 4 6 3 2 5 3" xfId="7838"/>
    <cellStyle name="20% - Accent1 4 6 3 2 5 3 2" xfId="58209"/>
    <cellStyle name="20% - Accent1 4 6 3 2 5 4" xfId="19639"/>
    <cellStyle name="20% - Accent1 4 6 3 2 5 4 2" xfId="58210"/>
    <cellStyle name="20% - Accent1 4 6 3 2 5 5" xfId="33254"/>
    <cellStyle name="20% - Accent1 4 6 3 2 6" xfId="15059"/>
    <cellStyle name="20% - Accent1 4 6 3 2 6 2" xfId="26860"/>
    <cellStyle name="20% - Accent1 4 6 3 2 6 2 2" xfId="58211"/>
    <cellStyle name="20% - Accent1 4 6 3 2 6 3" xfId="40475"/>
    <cellStyle name="20% - Accent1 4 6 3 2 7" xfId="5938"/>
    <cellStyle name="20% - Accent1 4 6 3 2 7 2" xfId="58212"/>
    <cellStyle name="20% - Accent1 4 6 3 2 8" xfId="17739"/>
    <cellStyle name="20% - Accent1 4 6 3 2 8 2" xfId="58213"/>
    <cellStyle name="20% - Accent1 4 6 3 2 9" xfId="31354"/>
    <cellStyle name="20% - Accent1 4 6 3 3" xfId="795"/>
    <cellStyle name="20% - Accent1 4 6 3 3 2" xfId="1643"/>
    <cellStyle name="20% - Accent1 4 6 3 3 2 2" xfId="4537"/>
    <cellStyle name="20% - Accent1 4 6 3 3 2 2 2" xfId="15060"/>
    <cellStyle name="20% - Accent1 4 6 3 3 2 2 2 2" xfId="26861"/>
    <cellStyle name="20% - Accent1 4 6 3 3 2 2 2 2 2" xfId="58214"/>
    <cellStyle name="20% - Accent1 4 6 3 3 2 2 2 3" xfId="40476"/>
    <cellStyle name="20% - Accent1 4 6 3 3 2 2 3" xfId="9990"/>
    <cellStyle name="20% - Accent1 4 6 3 3 2 2 3 2" xfId="47003"/>
    <cellStyle name="20% - Accent1 4 6 3 3 2 2 4" xfId="21791"/>
    <cellStyle name="20% - Accent1 4 6 3 3 2 2 4 2" xfId="58215"/>
    <cellStyle name="20% - Accent1 4 6 3 3 2 2 5" xfId="35406"/>
    <cellStyle name="20% - Accent1 4 6 3 3 2 3" xfId="15061"/>
    <cellStyle name="20% - Accent1 4 6 3 3 2 3 2" xfId="26862"/>
    <cellStyle name="20% - Accent1 4 6 3 3 2 3 2 2" xfId="47004"/>
    <cellStyle name="20% - Accent1 4 6 3 3 2 3 3" xfId="30375"/>
    <cellStyle name="20% - Accent1 4 6 3 3 2 3 3 2" xfId="47005"/>
    <cellStyle name="20% - Accent1 4 6 3 3 2 3 4" xfId="30376"/>
    <cellStyle name="20% - Accent1 4 6 3 3 2 3 4 2" xfId="58216"/>
    <cellStyle name="20% - Accent1 4 6 3 3 2 3 5" xfId="40477"/>
    <cellStyle name="20% - Accent1 4 6 3 3 2 4" xfId="15062"/>
    <cellStyle name="20% - Accent1 4 6 3 3 2 4 2" xfId="26863"/>
    <cellStyle name="20% - Accent1 4 6 3 3 2 4 2 2" xfId="58217"/>
    <cellStyle name="20% - Accent1 4 6 3 3 2 4 3" xfId="40478"/>
    <cellStyle name="20% - Accent1 4 6 3 3 2 5" xfId="7097"/>
    <cellStyle name="20% - Accent1 4 6 3 3 2 5 2" xfId="47006"/>
    <cellStyle name="20% - Accent1 4 6 3 3 2 6" xfId="18898"/>
    <cellStyle name="20% - Accent1 4 6 3 3 2 6 2" xfId="58218"/>
    <cellStyle name="20% - Accent1 4 6 3 3 2 7" xfId="32513"/>
    <cellStyle name="20% - Accent1 4 6 3 3 3" xfId="2696"/>
    <cellStyle name="20% - Accent1 4 6 3 3 3 2" xfId="15063"/>
    <cellStyle name="20% - Accent1 4 6 3 3 3 2 2" xfId="26864"/>
    <cellStyle name="20% - Accent1 4 6 3 3 3 2 2 2" xfId="58219"/>
    <cellStyle name="20% - Accent1 4 6 3 3 3 2 3" xfId="40479"/>
    <cellStyle name="20% - Accent1 4 6 3 3 3 3" xfId="8149"/>
    <cellStyle name="20% - Accent1 4 6 3 3 3 3 2" xfId="47007"/>
    <cellStyle name="20% - Accent1 4 6 3 3 3 4" xfId="19950"/>
    <cellStyle name="20% - Accent1 4 6 3 3 3 4 2" xfId="58220"/>
    <cellStyle name="20% - Accent1 4 6 3 3 3 5" xfId="33565"/>
    <cellStyle name="20% - Accent1 4 6 3 3 4" xfId="15064"/>
    <cellStyle name="20% - Accent1 4 6 3 3 4 2" xfId="26865"/>
    <cellStyle name="20% - Accent1 4 6 3 3 4 2 2" xfId="47008"/>
    <cellStyle name="20% - Accent1 4 6 3 3 4 3" xfId="30377"/>
    <cellStyle name="20% - Accent1 4 6 3 3 4 3 2" xfId="47009"/>
    <cellStyle name="20% - Accent1 4 6 3 3 4 4" xfId="30378"/>
    <cellStyle name="20% - Accent1 4 6 3 3 4 4 2" xfId="58221"/>
    <cellStyle name="20% - Accent1 4 6 3 3 4 5" xfId="40480"/>
    <cellStyle name="20% - Accent1 4 6 3 3 5" xfId="15065"/>
    <cellStyle name="20% - Accent1 4 6 3 3 5 2" xfId="26866"/>
    <cellStyle name="20% - Accent1 4 6 3 3 5 2 2" xfId="58222"/>
    <cellStyle name="20% - Accent1 4 6 3 3 5 3" xfId="40481"/>
    <cellStyle name="20% - Accent1 4 6 3 3 6" xfId="6249"/>
    <cellStyle name="20% - Accent1 4 6 3 3 6 2" xfId="47010"/>
    <cellStyle name="20% - Accent1 4 6 3 3 7" xfId="18050"/>
    <cellStyle name="20% - Accent1 4 6 3 3 7 2" xfId="58223"/>
    <cellStyle name="20% - Accent1 4 6 3 3 8" xfId="31665"/>
    <cellStyle name="20% - Accent1 4 6 3 4" xfId="1644"/>
    <cellStyle name="20% - Accent1 4 6 3 4 2" xfId="5105"/>
    <cellStyle name="20% - Accent1 4 6 3 4 2 2" xfId="15066"/>
    <cellStyle name="20% - Accent1 4 6 3 4 2 2 2" xfId="26867"/>
    <cellStyle name="20% - Accent1 4 6 3 4 2 2 2 2" xfId="58224"/>
    <cellStyle name="20% - Accent1 4 6 3 4 2 2 3" xfId="40482"/>
    <cellStyle name="20% - Accent1 4 6 3 4 2 3" xfId="10558"/>
    <cellStyle name="20% - Accent1 4 6 3 4 2 3 2" xfId="47011"/>
    <cellStyle name="20% - Accent1 4 6 3 4 2 4" xfId="22359"/>
    <cellStyle name="20% - Accent1 4 6 3 4 2 4 2" xfId="58225"/>
    <cellStyle name="20% - Accent1 4 6 3 4 2 5" xfId="35974"/>
    <cellStyle name="20% - Accent1 4 6 3 4 3" xfId="3264"/>
    <cellStyle name="20% - Accent1 4 6 3 4 3 2" xfId="15067"/>
    <cellStyle name="20% - Accent1 4 6 3 4 3 2 2" xfId="26868"/>
    <cellStyle name="20% - Accent1 4 6 3 4 3 2 2 2" xfId="58226"/>
    <cellStyle name="20% - Accent1 4 6 3 4 3 2 3" xfId="40483"/>
    <cellStyle name="20% - Accent1 4 6 3 4 3 3" xfId="8717"/>
    <cellStyle name="20% - Accent1 4 6 3 4 3 3 2" xfId="47012"/>
    <cellStyle name="20% - Accent1 4 6 3 4 3 4" xfId="20518"/>
    <cellStyle name="20% - Accent1 4 6 3 4 3 4 2" xfId="58227"/>
    <cellStyle name="20% - Accent1 4 6 3 4 3 5" xfId="34133"/>
    <cellStyle name="20% - Accent1 4 6 3 4 4" xfId="15068"/>
    <cellStyle name="20% - Accent1 4 6 3 4 4 2" xfId="26869"/>
    <cellStyle name="20% - Accent1 4 6 3 4 4 2 2" xfId="58228"/>
    <cellStyle name="20% - Accent1 4 6 3 4 4 3" xfId="40484"/>
    <cellStyle name="20% - Accent1 4 6 3 4 5" xfId="7098"/>
    <cellStyle name="20% - Accent1 4 6 3 4 5 2" xfId="47013"/>
    <cellStyle name="20% - Accent1 4 6 3 4 6" xfId="18899"/>
    <cellStyle name="20% - Accent1 4 6 3 4 6 2" xfId="58229"/>
    <cellStyle name="20% - Accent1 4 6 3 4 7" xfId="32514"/>
    <cellStyle name="20% - Accent1 4 6 3 5" xfId="3969"/>
    <cellStyle name="20% - Accent1 4 6 3 5 2" xfId="15069"/>
    <cellStyle name="20% - Accent1 4 6 3 5 2 2" xfId="26870"/>
    <cellStyle name="20% - Accent1 4 6 3 5 2 2 2" xfId="58230"/>
    <cellStyle name="20% - Accent1 4 6 3 5 2 3" xfId="40485"/>
    <cellStyle name="20% - Accent1 4 6 3 5 3" xfId="9422"/>
    <cellStyle name="20% - Accent1 4 6 3 5 3 2" xfId="47014"/>
    <cellStyle name="20% - Accent1 4 6 3 5 4" xfId="21223"/>
    <cellStyle name="20% - Accent1 4 6 3 5 4 2" xfId="58231"/>
    <cellStyle name="20% - Accent1 4 6 3 5 5" xfId="34838"/>
    <cellStyle name="20% - Accent1 4 6 3 6" xfId="2128"/>
    <cellStyle name="20% - Accent1 4 6 3 6 2" xfId="15070"/>
    <cellStyle name="20% - Accent1 4 6 3 6 2 2" xfId="26871"/>
    <cellStyle name="20% - Accent1 4 6 3 6 2 2 2" xfId="58232"/>
    <cellStyle name="20% - Accent1 4 6 3 6 2 3" xfId="40486"/>
    <cellStyle name="20% - Accent1 4 6 3 6 3" xfId="7581"/>
    <cellStyle name="20% - Accent1 4 6 3 6 3 2" xfId="47015"/>
    <cellStyle name="20% - Accent1 4 6 3 6 4" xfId="19382"/>
    <cellStyle name="20% - Accent1 4 6 3 6 4 2" xfId="58233"/>
    <cellStyle name="20% - Accent1 4 6 3 6 5" xfId="32997"/>
    <cellStyle name="20% - Accent1 4 6 3 7" xfId="15071"/>
    <cellStyle name="20% - Accent1 4 6 3 7 2" xfId="26872"/>
    <cellStyle name="20% - Accent1 4 6 3 7 2 2" xfId="58234"/>
    <cellStyle name="20% - Accent1 4 6 3 7 3" xfId="40487"/>
    <cellStyle name="20% - Accent1 4 6 3 8" xfId="5681"/>
    <cellStyle name="20% - Accent1 4 6 3 8 2" xfId="47016"/>
    <cellStyle name="20% - Accent1 4 6 3 9" xfId="17482"/>
    <cellStyle name="20% - Accent1 4 6 3 9 2" xfId="58235"/>
    <cellStyle name="20% - Accent1 4 6 4" xfId="347"/>
    <cellStyle name="20% - Accent1 4 6 4 2" xfId="1645"/>
    <cellStyle name="20% - Accent1 4 6 4 2 2" xfId="4657"/>
    <cellStyle name="20% - Accent1 4 6 4 2 2 2" xfId="15072"/>
    <cellStyle name="20% - Accent1 4 6 4 2 2 2 2" xfId="26873"/>
    <cellStyle name="20% - Accent1 4 6 4 2 2 2 2 2" xfId="58236"/>
    <cellStyle name="20% - Accent1 4 6 4 2 2 2 3" xfId="40488"/>
    <cellStyle name="20% - Accent1 4 6 4 2 2 3" xfId="10110"/>
    <cellStyle name="20% - Accent1 4 6 4 2 2 3 2" xfId="47017"/>
    <cellStyle name="20% - Accent1 4 6 4 2 2 4" xfId="21911"/>
    <cellStyle name="20% - Accent1 4 6 4 2 2 4 2" xfId="58237"/>
    <cellStyle name="20% - Accent1 4 6 4 2 2 5" xfId="35526"/>
    <cellStyle name="20% - Accent1 4 6 4 2 3" xfId="2816"/>
    <cellStyle name="20% - Accent1 4 6 4 2 3 2" xfId="15073"/>
    <cellStyle name="20% - Accent1 4 6 4 2 3 2 2" xfId="26874"/>
    <cellStyle name="20% - Accent1 4 6 4 2 3 2 2 2" xfId="58238"/>
    <cellStyle name="20% - Accent1 4 6 4 2 3 2 3" xfId="40489"/>
    <cellStyle name="20% - Accent1 4 6 4 2 3 3" xfId="8269"/>
    <cellStyle name="20% - Accent1 4 6 4 2 3 3 2" xfId="47018"/>
    <cellStyle name="20% - Accent1 4 6 4 2 3 4" xfId="20070"/>
    <cellStyle name="20% - Accent1 4 6 4 2 3 4 2" xfId="58239"/>
    <cellStyle name="20% - Accent1 4 6 4 2 3 5" xfId="33685"/>
    <cellStyle name="20% - Accent1 4 6 4 2 4" xfId="15074"/>
    <cellStyle name="20% - Accent1 4 6 4 2 4 2" xfId="26875"/>
    <cellStyle name="20% - Accent1 4 6 4 2 4 2 2" xfId="58240"/>
    <cellStyle name="20% - Accent1 4 6 4 2 4 3" xfId="40490"/>
    <cellStyle name="20% - Accent1 4 6 4 2 5" xfId="7099"/>
    <cellStyle name="20% - Accent1 4 6 4 2 5 2" xfId="47019"/>
    <cellStyle name="20% - Accent1 4 6 4 2 6" xfId="18900"/>
    <cellStyle name="20% - Accent1 4 6 4 2 6 2" xfId="58241"/>
    <cellStyle name="20% - Accent1 4 6 4 2 7" xfId="32515"/>
    <cellStyle name="20% - Accent1 4 6 4 3" xfId="3384"/>
    <cellStyle name="20% - Accent1 4 6 4 3 2" xfId="5225"/>
    <cellStyle name="20% - Accent1 4 6 4 3 2 2" xfId="16695"/>
    <cellStyle name="20% - Accent1 4 6 4 3 2 2 2" xfId="28496"/>
    <cellStyle name="20% - Accent1 4 6 4 3 2 2 2 2" xfId="58242"/>
    <cellStyle name="20% - Accent1 4 6 4 3 2 2 3" xfId="42111"/>
    <cellStyle name="20% - Accent1 4 6 4 3 2 3" xfId="10678"/>
    <cellStyle name="20% - Accent1 4 6 4 3 2 3 2" xfId="58243"/>
    <cellStyle name="20% - Accent1 4 6 4 3 2 4" xfId="22479"/>
    <cellStyle name="20% - Accent1 4 6 4 3 2 4 2" xfId="58244"/>
    <cellStyle name="20% - Accent1 4 6 4 3 2 5" xfId="36094"/>
    <cellStyle name="20% - Accent1 4 6 4 3 3" xfId="15075"/>
    <cellStyle name="20% - Accent1 4 6 4 3 3 2" xfId="26876"/>
    <cellStyle name="20% - Accent1 4 6 4 3 3 2 2" xfId="58245"/>
    <cellStyle name="20% - Accent1 4 6 4 3 3 3" xfId="40491"/>
    <cellStyle name="20% - Accent1 4 6 4 3 4" xfId="8837"/>
    <cellStyle name="20% - Accent1 4 6 4 3 4 2" xfId="58246"/>
    <cellStyle name="20% - Accent1 4 6 4 3 5" xfId="20638"/>
    <cellStyle name="20% - Accent1 4 6 4 3 5 2" xfId="58247"/>
    <cellStyle name="20% - Accent1 4 6 4 3 6" xfId="34253"/>
    <cellStyle name="20% - Accent1 4 6 4 4" xfId="4089"/>
    <cellStyle name="20% - Accent1 4 6 4 4 2" xfId="15076"/>
    <cellStyle name="20% - Accent1 4 6 4 4 2 2" xfId="26877"/>
    <cellStyle name="20% - Accent1 4 6 4 4 2 2 2" xfId="58248"/>
    <cellStyle name="20% - Accent1 4 6 4 4 2 3" xfId="40492"/>
    <cellStyle name="20% - Accent1 4 6 4 4 3" xfId="9542"/>
    <cellStyle name="20% - Accent1 4 6 4 4 3 2" xfId="47020"/>
    <cellStyle name="20% - Accent1 4 6 4 4 4" xfId="21343"/>
    <cellStyle name="20% - Accent1 4 6 4 4 4 2" xfId="58249"/>
    <cellStyle name="20% - Accent1 4 6 4 4 5" xfId="34958"/>
    <cellStyle name="20% - Accent1 4 6 4 5" xfId="2248"/>
    <cellStyle name="20% - Accent1 4 6 4 5 2" xfId="17166"/>
    <cellStyle name="20% - Accent1 4 6 4 5 2 2" xfId="28967"/>
    <cellStyle name="20% - Accent1 4 6 4 5 2 2 2" xfId="58250"/>
    <cellStyle name="20% - Accent1 4 6 4 5 2 3" xfId="42582"/>
    <cellStyle name="20% - Accent1 4 6 4 5 3" xfId="7701"/>
    <cellStyle name="20% - Accent1 4 6 4 5 3 2" xfId="58251"/>
    <cellStyle name="20% - Accent1 4 6 4 5 4" xfId="19502"/>
    <cellStyle name="20% - Accent1 4 6 4 5 4 2" xfId="58252"/>
    <cellStyle name="20% - Accent1 4 6 4 5 5" xfId="33117"/>
    <cellStyle name="20% - Accent1 4 6 4 6" xfId="15077"/>
    <cellStyle name="20% - Accent1 4 6 4 6 2" xfId="26878"/>
    <cellStyle name="20% - Accent1 4 6 4 6 2 2" xfId="58253"/>
    <cellStyle name="20% - Accent1 4 6 4 6 3" xfId="40493"/>
    <cellStyle name="20% - Accent1 4 6 4 7" xfId="5801"/>
    <cellStyle name="20% - Accent1 4 6 4 7 2" xfId="58254"/>
    <cellStyle name="20% - Accent1 4 6 4 8" xfId="17602"/>
    <cellStyle name="20% - Accent1 4 6 4 8 2" xfId="58255"/>
    <cellStyle name="20% - Accent1 4 6 4 9" xfId="31217"/>
    <cellStyle name="20% - Accent1 4 6 5" xfId="625"/>
    <cellStyle name="20% - Accent1 4 6 5 2" xfId="1646"/>
    <cellStyle name="20% - Accent1 4 6 5 2 2" xfId="4367"/>
    <cellStyle name="20% - Accent1 4 6 5 2 2 2" xfId="15078"/>
    <cellStyle name="20% - Accent1 4 6 5 2 2 2 2" xfId="26879"/>
    <cellStyle name="20% - Accent1 4 6 5 2 2 2 2 2" xfId="58256"/>
    <cellStyle name="20% - Accent1 4 6 5 2 2 2 3" xfId="40494"/>
    <cellStyle name="20% - Accent1 4 6 5 2 2 3" xfId="9820"/>
    <cellStyle name="20% - Accent1 4 6 5 2 2 3 2" xfId="47021"/>
    <cellStyle name="20% - Accent1 4 6 5 2 2 4" xfId="21621"/>
    <cellStyle name="20% - Accent1 4 6 5 2 2 4 2" xfId="58257"/>
    <cellStyle name="20% - Accent1 4 6 5 2 2 5" xfId="35236"/>
    <cellStyle name="20% - Accent1 4 6 5 2 3" xfId="15079"/>
    <cellStyle name="20% - Accent1 4 6 5 2 3 2" xfId="26880"/>
    <cellStyle name="20% - Accent1 4 6 5 2 3 2 2" xfId="47022"/>
    <cellStyle name="20% - Accent1 4 6 5 2 3 3" xfId="30379"/>
    <cellStyle name="20% - Accent1 4 6 5 2 3 3 2" xfId="47023"/>
    <cellStyle name="20% - Accent1 4 6 5 2 3 4" xfId="30380"/>
    <cellStyle name="20% - Accent1 4 6 5 2 3 4 2" xfId="58258"/>
    <cellStyle name="20% - Accent1 4 6 5 2 3 5" xfId="40495"/>
    <cellStyle name="20% - Accent1 4 6 5 2 4" xfId="15080"/>
    <cellStyle name="20% - Accent1 4 6 5 2 4 2" xfId="26881"/>
    <cellStyle name="20% - Accent1 4 6 5 2 4 2 2" xfId="58259"/>
    <cellStyle name="20% - Accent1 4 6 5 2 4 3" xfId="40496"/>
    <cellStyle name="20% - Accent1 4 6 5 2 5" xfId="7100"/>
    <cellStyle name="20% - Accent1 4 6 5 2 5 2" xfId="47024"/>
    <cellStyle name="20% - Accent1 4 6 5 2 6" xfId="18901"/>
    <cellStyle name="20% - Accent1 4 6 5 2 6 2" xfId="58260"/>
    <cellStyle name="20% - Accent1 4 6 5 2 7" xfId="32516"/>
    <cellStyle name="20% - Accent1 4 6 5 3" xfId="2526"/>
    <cellStyle name="20% - Accent1 4 6 5 3 2" xfId="15081"/>
    <cellStyle name="20% - Accent1 4 6 5 3 2 2" xfId="26882"/>
    <cellStyle name="20% - Accent1 4 6 5 3 2 2 2" xfId="58261"/>
    <cellStyle name="20% - Accent1 4 6 5 3 2 3" xfId="40497"/>
    <cellStyle name="20% - Accent1 4 6 5 3 3" xfId="7979"/>
    <cellStyle name="20% - Accent1 4 6 5 3 3 2" xfId="47025"/>
    <cellStyle name="20% - Accent1 4 6 5 3 4" xfId="19780"/>
    <cellStyle name="20% - Accent1 4 6 5 3 4 2" xfId="58262"/>
    <cellStyle name="20% - Accent1 4 6 5 3 5" xfId="33395"/>
    <cellStyle name="20% - Accent1 4 6 5 4" xfId="15082"/>
    <cellStyle name="20% - Accent1 4 6 5 4 2" xfId="26883"/>
    <cellStyle name="20% - Accent1 4 6 5 4 2 2" xfId="47026"/>
    <cellStyle name="20% - Accent1 4 6 5 4 3" xfId="30381"/>
    <cellStyle name="20% - Accent1 4 6 5 4 3 2" xfId="47027"/>
    <cellStyle name="20% - Accent1 4 6 5 4 4" xfId="30382"/>
    <cellStyle name="20% - Accent1 4 6 5 4 4 2" xfId="58263"/>
    <cellStyle name="20% - Accent1 4 6 5 4 5" xfId="40498"/>
    <cellStyle name="20% - Accent1 4 6 5 5" xfId="15083"/>
    <cellStyle name="20% - Accent1 4 6 5 5 2" xfId="26884"/>
    <cellStyle name="20% - Accent1 4 6 5 5 2 2" xfId="58264"/>
    <cellStyle name="20% - Accent1 4 6 5 5 3" xfId="40499"/>
    <cellStyle name="20% - Accent1 4 6 5 6" xfId="6079"/>
    <cellStyle name="20% - Accent1 4 6 5 6 2" xfId="47028"/>
    <cellStyle name="20% - Accent1 4 6 5 7" xfId="17880"/>
    <cellStyle name="20% - Accent1 4 6 5 7 2" xfId="58265"/>
    <cellStyle name="20% - Accent1 4 6 5 8" xfId="31495"/>
    <cellStyle name="20% - Accent1 4 6 6" xfId="866"/>
    <cellStyle name="20% - Accent1 4 6 6 2" xfId="1647"/>
    <cellStyle name="20% - Accent1 4 6 6 2 2" xfId="4935"/>
    <cellStyle name="20% - Accent1 4 6 6 2 2 2" xfId="15084"/>
    <cellStyle name="20% - Accent1 4 6 6 2 2 2 2" xfId="26885"/>
    <cellStyle name="20% - Accent1 4 6 6 2 2 2 2 2" xfId="58266"/>
    <cellStyle name="20% - Accent1 4 6 6 2 2 2 3" xfId="40500"/>
    <cellStyle name="20% - Accent1 4 6 6 2 2 3" xfId="10388"/>
    <cellStyle name="20% - Accent1 4 6 6 2 2 3 2" xfId="47029"/>
    <cellStyle name="20% - Accent1 4 6 6 2 2 4" xfId="22189"/>
    <cellStyle name="20% - Accent1 4 6 6 2 2 4 2" xfId="58267"/>
    <cellStyle name="20% - Accent1 4 6 6 2 2 5" xfId="35804"/>
    <cellStyle name="20% - Accent1 4 6 6 2 3" xfId="15085"/>
    <cellStyle name="20% - Accent1 4 6 6 2 3 2" xfId="26886"/>
    <cellStyle name="20% - Accent1 4 6 6 2 3 2 2" xfId="47030"/>
    <cellStyle name="20% - Accent1 4 6 6 2 3 3" xfId="30383"/>
    <cellStyle name="20% - Accent1 4 6 6 2 3 3 2" xfId="47031"/>
    <cellStyle name="20% - Accent1 4 6 6 2 3 4" xfId="30384"/>
    <cellStyle name="20% - Accent1 4 6 6 2 3 4 2" xfId="58268"/>
    <cellStyle name="20% - Accent1 4 6 6 2 3 5" xfId="40501"/>
    <cellStyle name="20% - Accent1 4 6 6 2 4" xfId="15086"/>
    <cellStyle name="20% - Accent1 4 6 6 2 4 2" xfId="26887"/>
    <cellStyle name="20% - Accent1 4 6 6 2 4 2 2" xfId="58269"/>
    <cellStyle name="20% - Accent1 4 6 6 2 4 3" xfId="40502"/>
    <cellStyle name="20% - Accent1 4 6 6 2 5" xfId="7101"/>
    <cellStyle name="20% - Accent1 4 6 6 2 5 2" xfId="47032"/>
    <cellStyle name="20% - Accent1 4 6 6 2 6" xfId="18902"/>
    <cellStyle name="20% - Accent1 4 6 6 2 6 2" xfId="58270"/>
    <cellStyle name="20% - Accent1 4 6 6 2 7" xfId="32517"/>
    <cellStyle name="20% - Accent1 4 6 6 3" xfId="3094"/>
    <cellStyle name="20% - Accent1 4 6 6 3 2" xfId="15087"/>
    <cellStyle name="20% - Accent1 4 6 6 3 2 2" xfId="26888"/>
    <cellStyle name="20% - Accent1 4 6 6 3 2 2 2" xfId="58271"/>
    <cellStyle name="20% - Accent1 4 6 6 3 2 3" xfId="40503"/>
    <cellStyle name="20% - Accent1 4 6 6 3 3" xfId="8547"/>
    <cellStyle name="20% - Accent1 4 6 6 3 3 2" xfId="47033"/>
    <cellStyle name="20% - Accent1 4 6 6 3 4" xfId="20348"/>
    <cellStyle name="20% - Accent1 4 6 6 3 4 2" xfId="58272"/>
    <cellStyle name="20% - Accent1 4 6 6 3 5" xfId="33963"/>
    <cellStyle name="20% - Accent1 4 6 6 4" xfId="15088"/>
    <cellStyle name="20% - Accent1 4 6 6 4 2" xfId="26889"/>
    <cellStyle name="20% - Accent1 4 6 6 4 2 2" xfId="47034"/>
    <cellStyle name="20% - Accent1 4 6 6 4 3" xfId="30385"/>
    <cellStyle name="20% - Accent1 4 6 6 4 3 2" xfId="47035"/>
    <cellStyle name="20% - Accent1 4 6 6 4 4" xfId="30386"/>
    <cellStyle name="20% - Accent1 4 6 6 4 4 2" xfId="58273"/>
    <cellStyle name="20% - Accent1 4 6 6 4 5" xfId="40504"/>
    <cellStyle name="20% - Accent1 4 6 6 5" xfId="15089"/>
    <cellStyle name="20% - Accent1 4 6 6 5 2" xfId="26890"/>
    <cellStyle name="20% - Accent1 4 6 6 5 2 2" xfId="58274"/>
    <cellStyle name="20% - Accent1 4 6 6 5 3" xfId="40505"/>
    <cellStyle name="20% - Accent1 4 6 6 6" xfId="6320"/>
    <cellStyle name="20% - Accent1 4 6 6 6 2" xfId="47036"/>
    <cellStyle name="20% - Accent1 4 6 6 7" xfId="18121"/>
    <cellStyle name="20% - Accent1 4 6 6 7 2" xfId="58275"/>
    <cellStyle name="20% - Accent1 4 6 6 8" xfId="31736"/>
    <cellStyle name="20% - Accent1 4 6 7" xfId="1648"/>
    <cellStyle name="20% - Accent1 4 6 7 2" xfId="3799"/>
    <cellStyle name="20% - Accent1 4 6 7 2 2" xfId="15090"/>
    <cellStyle name="20% - Accent1 4 6 7 2 2 2" xfId="26891"/>
    <cellStyle name="20% - Accent1 4 6 7 2 2 2 2" xfId="58276"/>
    <cellStyle name="20% - Accent1 4 6 7 2 2 3" xfId="40506"/>
    <cellStyle name="20% - Accent1 4 6 7 2 3" xfId="9252"/>
    <cellStyle name="20% - Accent1 4 6 7 2 3 2" xfId="47037"/>
    <cellStyle name="20% - Accent1 4 6 7 2 4" xfId="21053"/>
    <cellStyle name="20% - Accent1 4 6 7 2 4 2" xfId="58277"/>
    <cellStyle name="20% - Accent1 4 6 7 2 5" xfId="34668"/>
    <cellStyle name="20% - Accent1 4 6 7 3" xfId="15091"/>
    <cellStyle name="20% - Accent1 4 6 7 3 2" xfId="26892"/>
    <cellStyle name="20% - Accent1 4 6 7 3 2 2" xfId="47038"/>
    <cellStyle name="20% - Accent1 4 6 7 3 3" xfId="30387"/>
    <cellStyle name="20% - Accent1 4 6 7 3 3 2" xfId="47039"/>
    <cellStyle name="20% - Accent1 4 6 7 3 4" xfId="30388"/>
    <cellStyle name="20% - Accent1 4 6 7 3 4 2" xfId="58278"/>
    <cellStyle name="20% - Accent1 4 6 7 3 5" xfId="40507"/>
    <cellStyle name="20% - Accent1 4 6 7 4" xfId="15092"/>
    <cellStyle name="20% - Accent1 4 6 7 4 2" xfId="26893"/>
    <cellStyle name="20% - Accent1 4 6 7 4 2 2" xfId="58279"/>
    <cellStyle name="20% - Accent1 4 6 7 4 3" xfId="40508"/>
    <cellStyle name="20% - Accent1 4 6 7 5" xfId="7102"/>
    <cellStyle name="20% - Accent1 4 6 7 5 2" xfId="47040"/>
    <cellStyle name="20% - Accent1 4 6 7 6" xfId="18903"/>
    <cellStyle name="20% - Accent1 4 6 7 6 2" xfId="58280"/>
    <cellStyle name="20% - Accent1 4 6 7 7" xfId="32518"/>
    <cellStyle name="20% - Accent1 4 6 8" xfId="3662"/>
    <cellStyle name="20% - Accent1 4 6 8 2" xfId="15093"/>
    <cellStyle name="20% - Accent1 4 6 8 2 2" xfId="26894"/>
    <cellStyle name="20% - Accent1 4 6 8 2 2 2" xfId="58281"/>
    <cellStyle name="20% - Accent1 4 6 8 2 3" xfId="40509"/>
    <cellStyle name="20% - Accent1 4 6 8 3" xfId="9115"/>
    <cellStyle name="20% - Accent1 4 6 8 3 2" xfId="47041"/>
    <cellStyle name="20% - Accent1 4 6 8 4" xfId="20916"/>
    <cellStyle name="20% - Accent1 4 6 8 4 2" xfId="58282"/>
    <cellStyle name="20% - Accent1 4 6 8 5" xfId="34531"/>
    <cellStyle name="20% - Accent1 4 6 9" xfId="1958"/>
    <cellStyle name="20% - Accent1 4 6 9 2" xfId="15094"/>
    <cellStyle name="20% - Accent1 4 6 9 2 2" xfId="26895"/>
    <cellStyle name="20% - Accent1 4 6 9 2 2 2" xfId="58283"/>
    <cellStyle name="20% - Accent1 4 6 9 2 3" xfId="40510"/>
    <cellStyle name="20% - Accent1 4 6 9 3" xfId="7411"/>
    <cellStyle name="20% - Accent1 4 6 9 3 2" xfId="47042"/>
    <cellStyle name="20% - Accent1 4 6 9 4" xfId="19212"/>
    <cellStyle name="20% - Accent1 4 6 9 4 2" xfId="58284"/>
    <cellStyle name="20% - Accent1 4 6 9 5" xfId="32827"/>
    <cellStyle name="20% - Accent1 4 7" xfId="72"/>
    <cellStyle name="20% - Accent1 4 7 10" xfId="5526"/>
    <cellStyle name="20% - Accent1 4 7 10 2" xfId="47043"/>
    <cellStyle name="20% - Accent1 4 7 11" xfId="17327"/>
    <cellStyle name="20% - Accent1 4 7 11 2" xfId="58285"/>
    <cellStyle name="20% - Accent1 4 7 12" xfId="30942"/>
    <cellStyle name="20% - Accent1 4 7 2" xfId="499"/>
    <cellStyle name="20% - Accent1 4 7 2 2" xfId="1649"/>
    <cellStyle name="20% - Accent1 4 7 2 2 2" xfId="4809"/>
    <cellStyle name="20% - Accent1 4 7 2 2 2 2" xfId="15095"/>
    <cellStyle name="20% - Accent1 4 7 2 2 2 2 2" xfId="26896"/>
    <cellStyle name="20% - Accent1 4 7 2 2 2 2 2 2" xfId="58286"/>
    <cellStyle name="20% - Accent1 4 7 2 2 2 2 3" xfId="40511"/>
    <cellStyle name="20% - Accent1 4 7 2 2 2 3" xfId="10262"/>
    <cellStyle name="20% - Accent1 4 7 2 2 2 3 2" xfId="47044"/>
    <cellStyle name="20% - Accent1 4 7 2 2 2 4" xfId="22063"/>
    <cellStyle name="20% - Accent1 4 7 2 2 2 4 2" xfId="58287"/>
    <cellStyle name="20% - Accent1 4 7 2 2 2 5" xfId="35678"/>
    <cellStyle name="20% - Accent1 4 7 2 2 3" xfId="2968"/>
    <cellStyle name="20% - Accent1 4 7 2 2 3 2" xfId="15096"/>
    <cellStyle name="20% - Accent1 4 7 2 2 3 2 2" xfId="26897"/>
    <cellStyle name="20% - Accent1 4 7 2 2 3 2 2 2" xfId="58288"/>
    <cellStyle name="20% - Accent1 4 7 2 2 3 2 3" xfId="40512"/>
    <cellStyle name="20% - Accent1 4 7 2 2 3 3" xfId="8421"/>
    <cellStyle name="20% - Accent1 4 7 2 2 3 3 2" xfId="47045"/>
    <cellStyle name="20% - Accent1 4 7 2 2 3 4" xfId="20222"/>
    <cellStyle name="20% - Accent1 4 7 2 2 3 4 2" xfId="58289"/>
    <cellStyle name="20% - Accent1 4 7 2 2 3 5" xfId="33837"/>
    <cellStyle name="20% - Accent1 4 7 2 2 4" xfId="15097"/>
    <cellStyle name="20% - Accent1 4 7 2 2 4 2" xfId="26898"/>
    <cellStyle name="20% - Accent1 4 7 2 2 4 2 2" xfId="58290"/>
    <cellStyle name="20% - Accent1 4 7 2 2 4 3" xfId="40513"/>
    <cellStyle name="20% - Accent1 4 7 2 2 5" xfId="7103"/>
    <cellStyle name="20% - Accent1 4 7 2 2 5 2" xfId="47046"/>
    <cellStyle name="20% - Accent1 4 7 2 2 6" xfId="18904"/>
    <cellStyle name="20% - Accent1 4 7 2 2 6 2" xfId="58291"/>
    <cellStyle name="20% - Accent1 4 7 2 2 7" xfId="32519"/>
    <cellStyle name="20% - Accent1 4 7 2 3" xfId="3536"/>
    <cellStyle name="20% - Accent1 4 7 2 3 2" xfId="5377"/>
    <cellStyle name="20% - Accent1 4 7 2 3 2 2" xfId="16847"/>
    <cellStyle name="20% - Accent1 4 7 2 3 2 2 2" xfId="28648"/>
    <cellStyle name="20% - Accent1 4 7 2 3 2 2 2 2" xfId="58292"/>
    <cellStyle name="20% - Accent1 4 7 2 3 2 2 3" xfId="42263"/>
    <cellStyle name="20% - Accent1 4 7 2 3 2 3" xfId="10830"/>
    <cellStyle name="20% - Accent1 4 7 2 3 2 3 2" xfId="58293"/>
    <cellStyle name="20% - Accent1 4 7 2 3 2 4" xfId="22631"/>
    <cellStyle name="20% - Accent1 4 7 2 3 2 4 2" xfId="58294"/>
    <cellStyle name="20% - Accent1 4 7 2 3 2 5" xfId="36246"/>
    <cellStyle name="20% - Accent1 4 7 2 3 3" xfId="15098"/>
    <cellStyle name="20% - Accent1 4 7 2 3 3 2" xfId="26899"/>
    <cellStyle name="20% - Accent1 4 7 2 3 3 2 2" xfId="58295"/>
    <cellStyle name="20% - Accent1 4 7 2 3 3 3" xfId="40514"/>
    <cellStyle name="20% - Accent1 4 7 2 3 4" xfId="8989"/>
    <cellStyle name="20% - Accent1 4 7 2 3 4 2" xfId="58296"/>
    <cellStyle name="20% - Accent1 4 7 2 3 5" xfId="20790"/>
    <cellStyle name="20% - Accent1 4 7 2 3 5 2" xfId="58297"/>
    <cellStyle name="20% - Accent1 4 7 2 3 6" xfId="34405"/>
    <cellStyle name="20% - Accent1 4 7 2 4" xfId="4241"/>
    <cellStyle name="20% - Accent1 4 7 2 4 2" xfId="15099"/>
    <cellStyle name="20% - Accent1 4 7 2 4 2 2" xfId="26900"/>
    <cellStyle name="20% - Accent1 4 7 2 4 2 2 2" xfId="58298"/>
    <cellStyle name="20% - Accent1 4 7 2 4 2 3" xfId="40515"/>
    <cellStyle name="20% - Accent1 4 7 2 4 3" xfId="9694"/>
    <cellStyle name="20% - Accent1 4 7 2 4 3 2" xfId="47047"/>
    <cellStyle name="20% - Accent1 4 7 2 4 4" xfId="21495"/>
    <cellStyle name="20% - Accent1 4 7 2 4 4 2" xfId="58299"/>
    <cellStyle name="20% - Accent1 4 7 2 4 5" xfId="35110"/>
    <cellStyle name="20% - Accent1 4 7 2 5" xfId="2400"/>
    <cellStyle name="20% - Accent1 4 7 2 5 2" xfId="17167"/>
    <cellStyle name="20% - Accent1 4 7 2 5 2 2" xfId="28968"/>
    <cellStyle name="20% - Accent1 4 7 2 5 2 2 2" xfId="58300"/>
    <cellStyle name="20% - Accent1 4 7 2 5 2 3" xfId="42583"/>
    <cellStyle name="20% - Accent1 4 7 2 5 3" xfId="7853"/>
    <cellStyle name="20% - Accent1 4 7 2 5 3 2" xfId="58301"/>
    <cellStyle name="20% - Accent1 4 7 2 5 4" xfId="19654"/>
    <cellStyle name="20% - Accent1 4 7 2 5 4 2" xfId="58302"/>
    <cellStyle name="20% - Accent1 4 7 2 5 5" xfId="33269"/>
    <cellStyle name="20% - Accent1 4 7 2 6" xfId="15100"/>
    <cellStyle name="20% - Accent1 4 7 2 6 2" xfId="26901"/>
    <cellStyle name="20% - Accent1 4 7 2 6 2 2" xfId="58303"/>
    <cellStyle name="20% - Accent1 4 7 2 6 3" xfId="40516"/>
    <cellStyle name="20% - Accent1 4 7 2 7" xfId="5953"/>
    <cellStyle name="20% - Accent1 4 7 2 7 2" xfId="58304"/>
    <cellStyle name="20% - Accent1 4 7 2 8" xfId="17754"/>
    <cellStyle name="20% - Accent1 4 7 2 8 2" xfId="58305"/>
    <cellStyle name="20% - Accent1 4 7 2 9" xfId="31369"/>
    <cellStyle name="20% - Accent1 4 7 3" xfId="362"/>
    <cellStyle name="20% - Accent1 4 7 3 2" xfId="1650"/>
    <cellStyle name="20% - Accent1 4 7 3 2 2" xfId="4672"/>
    <cellStyle name="20% - Accent1 4 7 3 2 2 2" xfId="15101"/>
    <cellStyle name="20% - Accent1 4 7 3 2 2 2 2" xfId="26902"/>
    <cellStyle name="20% - Accent1 4 7 3 2 2 2 2 2" xfId="58306"/>
    <cellStyle name="20% - Accent1 4 7 3 2 2 2 3" xfId="40517"/>
    <cellStyle name="20% - Accent1 4 7 3 2 2 3" xfId="10125"/>
    <cellStyle name="20% - Accent1 4 7 3 2 2 3 2" xfId="47048"/>
    <cellStyle name="20% - Accent1 4 7 3 2 2 4" xfId="21926"/>
    <cellStyle name="20% - Accent1 4 7 3 2 2 4 2" xfId="58307"/>
    <cellStyle name="20% - Accent1 4 7 3 2 2 5" xfId="35541"/>
    <cellStyle name="20% - Accent1 4 7 3 2 3" xfId="2831"/>
    <cellStyle name="20% - Accent1 4 7 3 2 3 2" xfId="15102"/>
    <cellStyle name="20% - Accent1 4 7 3 2 3 2 2" xfId="26903"/>
    <cellStyle name="20% - Accent1 4 7 3 2 3 2 2 2" xfId="58308"/>
    <cellStyle name="20% - Accent1 4 7 3 2 3 2 3" xfId="40518"/>
    <cellStyle name="20% - Accent1 4 7 3 2 3 3" xfId="8284"/>
    <cellStyle name="20% - Accent1 4 7 3 2 3 3 2" xfId="47049"/>
    <cellStyle name="20% - Accent1 4 7 3 2 3 4" xfId="20085"/>
    <cellStyle name="20% - Accent1 4 7 3 2 3 4 2" xfId="58309"/>
    <cellStyle name="20% - Accent1 4 7 3 2 3 5" xfId="33700"/>
    <cellStyle name="20% - Accent1 4 7 3 2 4" xfId="15103"/>
    <cellStyle name="20% - Accent1 4 7 3 2 4 2" xfId="26904"/>
    <cellStyle name="20% - Accent1 4 7 3 2 4 2 2" xfId="58310"/>
    <cellStyle name="20% - Accent1 4 7 3 2 4 3" xfId="40519"/>
    <cellStyle name="20% - Accent1 4 7 3 2 5" xfId="7104"/>
    <cellStyle name="20% - Accent1 4 7 3 2 5 2" xfId="47050"/>
    <cellStyle name="20% - Accent1 4 7 3 2 6" xfId="18905"/>
    <cellStyle name="20% - Accent1 4 7 3 2 6 2" xfId="58311"/>
    <cellStyle name="20% - Accent1 4 7 3 2 7" xfId="32520"/>
    <cellStyle name="20% - Accent1 4 7 3 3" xfId="3399"/>
    <cellStyle name="20% - Accent1 4 7 3 3 2" xfId="5240"/>
    <cellStyle name="20% - Accent1 4 7 3 3 2 2" xfId="16710"/>
    <cellStyle name="20% - Accent1 4 7 3 3 2 2 2" xfId="28511"/>
    <cellStyle name="20% - Accent1 4 7 3 3 2 2 2 2" xfId="58312"/>
    <cellStyle name="20% - Accent1 4 7 3 3 2 2 3" xfId="42126"/>
    <cellStyle name="20% - Accent1 4 7 3 3 2 3" xfId="10693"/>
    <cellStyle name="20% - Accent1 4 7 3 3 2 3 2" xfId="58313"/>
    <cellStyle name="20% - Accent1 4 7 3 3 2 4" xfId="22494"/>
    <cellStyle name="20% - Accent1 4 7 3 3 2 4 2" xfId="58314"/>
    <cellStyle name="20% - Accent1 4 7 3 3 2 5" xfId="36109"/>
    <cellStyle name="20% - Accent1 4 7 3 3 3" xfId="15104"/>
    <cellStyle name="20% - Accent1 4 7 3 3 3 2" xfId="26905"/>
    <cellStyle name="20% - Accent1 4 7 3 3 3 2 2" xfId="58315"/>
    <cellStyle name="20% - Accent1 4 7 3 3 3 3" xfId="40520"/>
    <cellStyle name="20% - Accent1 4 7 3 3 4" xfId="8852"/>
    <cellStyle name="20% - Accent1 4 7 3 3 4 2" xfId="58316"/>
    <cellStyle name="20% - Accent1 4 7 3 3 5" xfId="20653"/>
    <cellStyle name="20% - Accent1 4 7 3 3 5 2" xfId="58317"/>
    <cellStyle name="20% - Accent1 4 7 3 3 6" xfId="34268"/>
    <cellStyle name="20% - Accent1 4 7 3 4" xfId="4104"/>
    <cellStyle name="20% - Accent1 4 7 3 4 2" xfId="15105"/>
    <cellStyle name="20% - Accent1 4 7 3 4 2 2" xfId="26906"/>
    <cellStyle name="20% - Accent1 4 7 3 4 2 2 2" xfId="58318"/>
    <cellStyle name="20% - Accent1 4 7 3 4 2 3" xfId="40521"/>
    <cellStyle name="20% - Accent1 4 7 3 4 3" xfId="9557"/>
    <cellStyle name="20% - Accent1 4 7 3 4 3 2" xfId="47051"/>
    <cellStyle name="20% - Accent1 4 7 3 4 4" xfId="21358"/>
    <cellStyle name="20% - Accent1 4 7 3 4 4 2" xfId="58319"/>
    <cellStyle name="20% - Accent1 4 7 3 4 5" xfId="34973"/>
    <cellStyle name="20% - Accent1 4 7 3 5" xfId="2263"/>
    <cellStyle name="20% - Accent1 4 7 3 5 2" xfId="17168"/>
    <cellStyle name="20% - Accent1 4 7 3 5 2 2" xfId="28969"/>
    <cellStyle name="20% - Accent1 4 7 3 5 2 2 2" xfId="58320"/>
    <cellStyle name="20% - Accent1 4 7 3 5 2 3" xfId="42584"/>
    <cellStyle name="20% - Accent1 4 7 3 5 3" xfId="7716"/>
    <cellStyle name="20% - Accent1 4 7 3 5 3 2" xfId="58321"/>
    <cellStyle name="20% - Accent1 4 7 3 5 4" xfId="19517"/>
    <cellStyle name="20% - Accent1 4 7 3 5 4 2" xfId="58322"/>
    <cellStyle name="20% - Accent1 4 7 3 5 5" xfId="33132"/>
    <cellStyle name="20% - Accent1 4 7 3 6" xfId="15106"/>
    <cellStyle name="20% - Accent1 4 7 3 6 2" xfId="26907"/>
    <cellStyle name="20% - Accent1 4 7 3 6 2 2" xfId="58323"/>
    <cellStyle name="20% - Accent1 4 7 3 6 3" xfId="40522"/>
    <cellStyle name="20% - Accent1 4 7 3 7" xfId="5816"/>
    <cellStyle name="20% - Accent1 4 7 3 7 2" xfId="58324"/>
    <cellStyle name="20% - Accent1 4 7 3 8" xfId="17617"/>
    <cellStyle name="20% - Accent1 4 7 3 8 2" xfId="58325"/>
    <cellStyle name="20% - Accent1 4 7 3 9" xfId="31232"/>
    <cellStyle name="20% - Accent1 4 7 4" xfId="640"/>
    <cellStyle name="20% - Accent1 4 7 4 2" xfId="1651"/>
    <cellStyle name="20% - Accent1 4 7 4 2 2" xfId="4382"/>
    <cellStyle name="20% - Accent1 4 7 4 2 2 2" xfId="15107"/>
    <cellStyle name="20% - Accent1 4 7 4 2 2 2 2" xfId="26908"/>
    <cellStyle name="20% - Accent1 4 7 4 2 2 2 2 2" xfId="58326"/>
    <cellStyle name="20% - Accent1 4 7 4 2 2 2 3" xfId="40523"/>
    <cellStyle name="20% - Accent1 4 7 4 2 2 3" xfId="9835"/>
    <cellStyle name="20% - Accent1 4 7 4 2 2 3 2" xfId="47052"/>
    <cellStyle name="20% - Accent1 4 7 4 2 2 4" xfId="21636"/>
    <cellStyle name="20% - Accent1 4 7 4 2 2 4 2" xfId="58327"/>
    <cellStyle name="20% - Accent1 4 7 4 2 2 5" xfId="35251"/>
    <cellStyle name="20% - Accent1 4 7 4 2 3" xfId="15108"/>
    <cellStyle name="20% - Accent1 4 7 4 2 3 2" xfId="26909"/>
    <cellStyle name="20% - Accent1 4 7 4 2 3 2 2" xfId="47053"/>
    <cellStyle name="20% - Accent1 4 7 4 2 3 3" xfId="30389"/>
    <cellStyle name="20% - Accent1 4 7 4 2 3 3 2" xfId="47054"/>
    <cellStyle name="20% - Accent1 4 7 4 2 3 4" xfId="30390"/>
    <cellStyle name="20% - Accent1 4 7 4 2 3 4 2" xfId="58328"/>
    <cellStyle name="20% - Accent1 4 7 4 2 3 5" xfId="40524"/>
    <cellStyle name="20% - Accent1 4 7 4 2 4" xfId="15109"/>
    <cellStyle name="20% - Accent1 4 7 4 2 4 2" xfId="26910"/>
    <cellStyle name="20% - Accent1 4 7 4 2 4 2 2" xfId="58329"/>
    <cellStyle name="20% - Accent1 4 7 4 2 4 3" xfId="40525"/>
    <cellStyle name="20% - Accent1 4 7 4 2 5" xfId="7105"/>
    <cellStyle name="20% - Accent1 4 7 4 2 5 2" xfId="47055"/>
    <cellStyle name="20% - Accent1 4 7 4 2 6" xfId="18906"/>
    <cellStyle name="20% - Accent1 4 7 4 2 6 2" xfId="58330"/>
    <cellStyle name="20% - Accent1 4 7 4 2 7" xfId="32521"/>
    <cellStyle name="20% - Accent1 4 7 4 3" xfId="2541"/>
    <cellStyle name="20% - Accent1 4 7 4 3 2" xfId="15110"/>
    <cellStyle name="20% - Accent1 4 7 4 3 2 2" xfId="26911"/>
    <cellStyle name="20% - Accent1 4 7 4 3 2 2 2" xfId="58331"/>
    <cellStyle name="20% - Accent1 4 7 4 3 2 3" xfId="40526"/>
    <cellStyle name="20% - Accent1 4 7 4 3 3" xfId="7994"/>
    <cellStyle name="20% - Accent1 4 7 4 3 3 2" xfId="47056"/>
    <cellStyle name="20% - Accent1 4 7 4 3 4" xfId="19795"/>
    <cellStyle name="20% - Accent1 4 7 4 3 4 2" xfId="58332"/>
    <cellStyle name="20% - Accent1 4 7 4 3 5" xfId="33410"/>
    <cellStyle name="20% - Accent1 4 7 4 4" xfId="15111"/>
    <cellStyle name="20% - Accent1 4 7 4 4 2" xfId="26912"/>
    <cellStyle name="20% - Accent1 4 7 4 4 2 2" xfId="47057"/>
    <cellStyle name="20% - Accent1 4 7 4 4 3" xfId="30391"/>
    <cellStyle name="20% - Accent1 4 7 4 4 3 2" xfId="47058"/>
    <cellStyle name="20% - Accent1 4 7 4 4 4" xfId="30392"/>
    <cellStyle name="20% - Accent1 4 7 4 4 4 2" xfId="58333"/>
    <cellStyle name="20% - Accent1 4 7 4 4 5" xfId="40527"/>
    <cellStyle name="20% - Accent1 4 7 4 5" xfId="15112"/>
    <cellStyle name="20% - Accent1 4 7 4 5 2" xfId="26913"/>
    <cellStyle name="20% - Accent1 4 7 4 5 2 2" xfId="58334"/>
    <cellStyle name="20% - Accent1 4 7 4 5 3" xfId="40528"/>
    <cellStyle name="20% - Accent1 4 7 4 6" xfId="6094"/>
    <cellStyle name="20% - Accent1 4 7 4 6 2" xfId="47059"/>
    <cellStyle name="20% - Accent1 4 7 4 7" xfId="17895"/>
    <cellStyle name="20% - Accent1 4 7 4 7 2" xfId="58335"/>
    <cellStyle name="20% - Accent1 4 7 4 8" xfId="31510"/>
    <cellStyle name="20% - Accent1 4 7 5" xfId="881"/>
    <cellStyle name="20% - Accent1 4 7 5 2" xfId="1652"/>
    <cellStyle name="20% - Accent1 4 7 5 2 2" xfId="4950"/>
    <cellStyle name="20% - Accent1 4 7 5 2 2 2" xfId="15113"/>
    <cellStyle name="20% - Accent1 4 7 5 2 2 2 2" xfId="26914"/>
    <cellStyle name="20% - Accent1 4 7 5 2 2 2 2 2" xfId="58336"/>
    <cellStyle name="20% - Accent1 4 7 5 2 2 2 3" xfId="40529"/>
    <cellStyle name="20% - Accent1 4 7 5 2 2 3" xfId="10403"/>
    <cellStyle name="20% - Accent1 4 7 5 2 2 3 2" xfId="47060"/>
    <cellStyle name="20% - Accent1 4 7 5 2 2 4" xfId="22204"/>
    <cellStyle name="20% - Accent1 4 7 5 2 2 4 2" xfId="58337"/>
    <cellStyle name="20% - Accent1 4 7 5 2 2 5" xfId="35819"/>
    <cellStyle name="20% - Accent1 4 7 5 2 3" xfId="15114"/>
    <cellStyle name="20% - Accent1 4 7 5 2 3 2" xfId="26915"/>
    <cellStyle name="20% - Accent1 4 7 5 2 3 2 2" xfId="47061"/>
    <cellStyle name="20% - Accent1 4 7 5 2 3 3" xfId="30393"/>
    <cellStyle name="20% - Accent1 4 7 5 2 3 3 2" xfId="47062"/>
    <cellStyle name="20% - Accent1 4 7 5 2 3 4" xfId="30394"/>
    <cellStyle name="20% - Accent1 4 7 5 2 3 4 2" xfId="58338"/>
    <cellStyle name="20% - Accent1 4 7 5 2 3 5" xfId="40530"/>
    <cellStyle name="20% - Accent1 4 7 5 2 4" xfId="15115"/>
    <cellStyle name="20% - Accent1 4 7 5 2 4 2" xfId="26916"/>
    <cellStyle name="20% - Accent1 4 7 5 2 4 2 2" xfId="58339"/>
    <cellStyle name="20% - Accent1 4 7 5 2 4 3" xfId="40531"/>
    <cellStyle name="20% - Accent1 4 7 5 2 5" xfId="7106"/>
    <cellStyle name="20% - Accent1 4 7 5 2 5 2" xfId="47063"/>
    <cellStyle name="20% - Accent1 4 7 5 2 6" xfId="18907"/>
    <cellStyle name="20% - Accent1 4 7 5 2 6 2" xfId="58340"/>
    <cellStyle name="20% - Accent1 4 7 5 2 7" xfId="32522"/>
    <cellStyle name="20% - Accent1 4 7 5 3" xfId="3109"/>
    <cellStyle name="20% - Accent1 4 7 5 3 2" xfId="15116"/>
    <cellStyle name="20% - Accent1 4 7 5 3 2 2" xfId="26917"/>
    <cellStyle name="20% - Accent1 4 7 5 3 2 2 2" xfId="58341"/>
    <cellStyle name="20% - Accent1 4 7 5 3 2 3" xfId="40532"/>
    <cellStyle name="20% - Accent1 4 7 5 3 3" xfId="8562"/>
    <cellStyle name="20% - Accent1 4 7 5 3 3 2" xfId="47064"/>
    <cellStyle name="20% - Accent1 4 7 5 3 4" xfId="20363"/>
    <cellStyle name="20% - Accent1 4 7 5 3 4 2" xfId="58342"/>
    <cellStyle name="20% - Accent1 4 7 5 3 5" xfId="33978"/>
    <cellStyle name="20% - Accent1 4 7 5 4" xfId="15117"/>
    <cellStyle name="20% - Accent1 4 7 5 4 2" xfId="26918"/>
    <cellStyle name="20% - Accent1 4 7 5 4 2 2" xfId="47065"/>
    <cellStyle name="20% - Accent1 4 7 5 4 3" xfId="30395"/>
    <cellStyle name="20% - Accent1 4 7 5 4 3 2" xfId="47066"/>
    <cellStyle name="20% - Accent1 4 7 5 4 4" xfId="30396"/>
    <cellStyle name="20% - Accent1 4 7 5 4 4 2" xfId="58343"/>
    <cellStyle name="20% - Accent1 4 7 5 4 5" xfId="40533"/>
    <cellStyle name="20% - Accent1 4 7 5 5" xfId="15118"/>
    <cellStyle name="20% - Accent1 4 7 5 5 2" xfId="26919"/>
    <cellStyle name="20% - Accent1 4 7 5 5 2 2" xfId="58344"/>
    <cellStyle name="20% - Accent1 4 7 5 5 3" xfId="40534"/>
    <cellStyle name="20% - Accent1 4 7 5 6" xfId="6335"/>
    <cellStyle name="20% - Accent1 4 7 5 6 2" xfId="47067"/>
    <cellStyle name="20% - Accent1 4 7 5 7" xfId="18136"/>
    <cellStyle name="20% - Accent1 4 7 5 7 2" xfId="58345"/>
    <cellStyle name="20% - Accent1 4 7 5 8" xfId="31751"/>
    <cellStyle name="20% - Accent1 4 7 6" xfId="1653"/>
    <cellStyle name="20% - Accent1 4 7 6 2" xfId="3814"/>
    <cellStyle name="20% - Accent1 4 7 6 2 2" xfId="15119"/>
    <cellStyle name="20% - Accent1 4 7 6 2 2 2" xfId="26920"/>
    <cellStyle name="20% - Accent1 4 7 6 2 2 2 2" xfId="58346"/>
    <cellStyle name="20% - Accent1 4 7 6 2 2 3" xfId="40535"/>
    <cellStyle name="20% - Accent1 4 7 6 2 3" xfId="9267"/>
    <cellStyle name="20% - Accent1 4 7 6 2 3 2" xfId="47068"/>
    <cellStyle name="20% - Accent1 4 7 6 2 4" xfId="21068"/>
    <cellStyle name="20% - Accent1 4 7 6 2 4 2" xfId="58347"/>
    <cellStyle name="20% - Accent1 4 7 6 2 5" xfId="34683"/>
    <cellStyle name="20% - Accent1 4 7 6 3" xfId="15120"/>
    <cellStyle name="20% - Accent1 4 7 6 3 2" xfId="26921"/>
    <cellStyle name="20% - Accent1 4 7 6 3 2 2" xfId="47069"/>
    <cellStyle name="20% - Accent1 4 7 6 3 3" xfId="30397"/>
    <cellStyle name="20% - Accent1 4 7 6 3 3 2" xfId="47070"/>
    <cellStyle name="20% - Accent1 4 7 6 3 4" xfId="30398"/>
    <cellStyle name="20% - Accent1 4 7 6 3 4 2" xfId="58348"/>
    <cellStyle name="20% - Accent1 4 7 6 3 5" xfId="40536"/>
    <cellStyle name="20% - Accent1 4 7 6 4" xfId="15121"/>
    <cellStyle name="20% - Accent1 4 7 6 4 2" xfId="26922"/>
    <cellStyle name="20% - Accent1 4 7 6 4 2 2" xfId="58349"/>
    <cellStyle name="20% - Accent1 4 7 6 4 3" xfId="40537"/>
    <cellStyle name="20% - Accent1 4 7 6 5" xfId="7107"/>
    <cellStyle name="20% - Accent1 4 7 6 5 2" xfId="47071"/>
    <cellStyle name="20% - Accent1 4 7 6 6" xfId="18908"/>
    <cellStyle name="20% - Accent1 4 7 6 6 2" xfId="58350"/>
    <cellStyle name="20% - Accent1 4 7 6 7" xfId="32523"/>
    <cellStyle name="20% - Accent1 4 7 7" xfId="3677"/>
    <cellStyle name="20% - Accent1 4 7 7 2" xfId="15122"/>
    <cellStyle name="20% - Accent1 4 7 7 2 2" xfId="26923"/>
    <cellStyle name="20% - Accent1 4 7 7 2 2 2" xfId="58351"/>
    <cellStyle name="20% - Accent1 4 7 7 2 3" xfId="40538"/>
    <cellStyle name="20% - Accent1 4 7 7 3" xfId="9130"/>
    <cellStyle name="20% - Accent1 4 7 7 3 2" xfId="47072"/>
    <cellStyle name="20% - Accent1 4 7 7 4" xfId="20931"/>
    <cellStyle name="20% - Accent1 4 7 7 4 2" xfId="58352"/>
    <cellStyle name="20% - Accent1 4 7 7 5" xfId="34546"/>
    <cellStyle name="20% - Accent1 4 7 8" xfId="1973"/>
    <cellStyle name="20% - Accent1 4 7 8 2" xfId="15123"/>
    <cellStyle name="20% - Accent1 4 7 8 2 2" xfId="26924"/>
    <cellStyle name="20% - Accent1 4 7 8 2 2 2" xfId="58353"/>
    <cellStyle name="20% - Accent1 4 7 8 2 3" xfId="40539"/>
    <cellStyle name="20% - Accent1 4 7 8 3" xfId="7426"/>
    <cellStyle name="20% - Accent1 4 7 8 3 2" xfId="47073"/>
    <cellStyle name="20% - Accent1 4 7 8 4" xfId="19227"/>
    <cellStyle name="20% - Accent1 4 7 8 4 2" xfId="58354"/>
    <cellStyle name="20% - Accent1 4 7 8 5" xfId="32842"/>
    <cellStyle name="20% - Accent1 4 7 9" xfId="15124"/>
    <cellStyle name="20% - Accent1 4 7 9 2" xfId="26925"/>
    <cellStyle name="20% - Accent1 4 7 9 2 2" xfId="58355"/>
    <cellStyle name="20% - Accent1 4 7 9 3" xfId="40540"/>
    <cellStyle name="20% - Accent1 4 8" xfId="143"/>
    <cellStyle name="20% - Accent1 4 8 10" xfId="31013"/>
    <cellStyle name="20% - Accent1 4 8 2" xfId="295"/>
    <cellStyle name="20% - Accent1 4 8 2 2" xfId="1654"/>
    <cellStyle name="20% - Accent1 4 8 2 2 2" xfId="4605"/>
    <cellStyle name="20% - Accent1 4 8 2 2 2 2" xfId="15125"/>
    <cellStyle name="20% - Accent1 4 8 2 2 2 2 2" xfId="26926"/>
    <cellStyle name="20% - Accent1 4 8 2 2 2 2 2 2" xfId="58356"/>
    <cellStyle name="20% - Accent1 4 8 2 2 2 2 3" xfId="40541"/>
    <cellStyle name="20% - Accent1 4 8 2 2 2 3" xfId="10058"/>
    <cellStyle name="20% - Accent1 4 8 2 2 2 3 2" xfId="47074"/>
    <cellStyle name="20% - Accent1 4 8 2 2 2 4" xfId="21859"/>
    <cellStyle name="20% - Accent1 4 8 2 2 2 4 2" xfId="58357"/>
    <cellStyle name="20% - Accent1 4 8 2 2 2 5" xfId="35474"/>
    <cellStyle name="20% - Accent1 4 8 2 2 3" xfId="2764"/>
    <cellStyle name="20% - Accent1 4 8 2 2 3 2" xfId="15126"/>
    <cellStyle name="20% - Accent1 4 8 2 2 3 2 2" xfId="26927"/>
    <cellStyle name="20% - Accent1 4 8 2 2 3 2 2 2" xfId="58358"/>
    <cellStyle name="20% - Accent1 4 8 2 2 3 2 3" xfId="40542"/>
    <cellStyle name="20% - Accent1 4 8 2 2 3 3" xfId="8217"/>
    <cellStyle name="20% - Accent1 4 8 2 2 3 3 2" xfId="47075"/>
    <cellStyle name="20% - Accent1 4 8 2 2 3 4" xfId="20018"/>
    <cellStyle name="20% - Accent1 4 8 2 2 3 4 2" xfId="58359"/>
    <cellStyle name="20% - Accent1 4 8 2 2 3 5" xfId="33633"/>
    <cellStyle name="20% - Accent1 4 8 2 2 4" xfId="15127"/>
    <cellStyle name="20% - Accent1 4 8 2 2 4 2" xfId="26928"/>
    <cellStyle name="20% - Accent1 4 8 2 2 4 2 2" xfId="58360"/>
    <cellStyle name="20% - Accent1 4 8 2 2 4 3" xfId="40543"/>
    <cellStyle name="20% - Accent1 4 8 2 2 5" xfId="7108"/>
    <cellStyle name="20% - Accent1 4 8 2 2 5 2" xfId="47076"/>
    <cellStyle name="20% - Accent1 4 8 2 2 6" xfId="18909"/>
    <cellStyle name="20% - Accent1 4 8 2 2 6 2" xfId="58361"/>
    <cellStyle name="20% - Accent1 4 8 2 2 7" xfId="32524"/>
    <cellStyle name="20% - Accent1 4 8 2 3" xfId="3332"/>
    <cellStyle name="20% - Accent1 4 8 2 3 2" xfId="5173"/>
    <cellStyle name="20% - Accent1 4 8 2 3 2 2" xfId="16643"/>
    <cellStyle name="20% - Accent1 4 8 2 3 2 2 2" xfId="28444"/>
    <cellStyle name="20% - Accent1 4 8 2 3 2 2 2 2" xfId="58362"/>
    <cellStyle name="20% - Accent1 4 8 2 3 2 2 3" xfId="42059"/>
    <cellStyle name="20% - Accent1 4 8 2 3 2 3" xfId="10626"/>
    <cellStyle name="20% - Accent1 4 8 2 3 2 3 2" xfId="58363"/>
    <cellStyle name="20% - Accent1 4 8 2 3 2 4" xfId="22427"/>
    <cellStyle name="20% - Accent1 4 8 2 3 2 4 2" xfId="58364"/>
    <cellStyle name="20% - Accent1 4 8 2 3 2 5" xfId="36042"/>
    <cellStyle name="20% - Accent1 4 8 2 3 3" xfId="15128"/>
    <cellStyle name="20% - Accent1 4 8 2 3 3 2" xfId="26929"/>
    <cellStyle name="20% - Accent1 4 8 2 3 3 2 2" xfId="58365"/>
    <cellStyle name="20% - Accent1 4 8 2 3 3 3" xfId="40544"/>
    <cellStyle name="20% - Accent1 4 8 2 3 4" xfId="8785"/>
    <cellStyle name="20% - Accent1 4 8 2 3 4 2" xfId="58366"/>
    <cellStyle name="20% - Accent1 4 8 2 3 5" xfId="20586"/>
    <cellStyle name="20% - Accent1 4 8 2 3 5 2" xfId="58367"/>
    <cellStyle name="20% - Accent1 4 8 2 3 6" xfId="34201"/>
    <cellStyle name="20% - Accent1 4 8 2 4" xfId="4037"/>
    <cellStyle name="20% - Accent1 4 8 2 4 2" xfId="15129"/>
    <cellStyle name="20% - Accent1 4 8 2 4 2 2" xfId="26930"/>
    <cellStyle name="20% - Accent1 4 8 2 4 2 2 2" xfId="58368"/>
    <cellStyle name="20% - Accent1 4 8 2 4 2 3" xfId="40545"/>
    <cellStyle name="20% - Accent1 4 8 2 4 3" xfId="9490"/>
    <cellStyle name="20% - Accent1 4 8 2 4 3 2" xfId="47077"/>
    <cellStyle name="20% - Accent1 4 8 2 4 4" xfId="21291"/>
    <cellStyle name="20% - Accent1 4 8 2 4 4 2" xfId="58369"/>
    <cellStyle name="20% - Accent1 4 8 2 4 5" xfId="34906"/>
    <cellStyle name="20% - Accent1 4 8 2 5" xfId="2196"/>
    <cellStyle name="20% - Accent1 4 8 2 5 2" xfId="17169"/>
    <cellStyle name="20% - Accent1 4 8 2 5 2 2" xfId="28970"/>
    <cellStyle name="20% - Accent1 4 8 2 5 2 2 2" xfId="58370"/>
    <cellStyle name="20% - Accent1 4 8 2 5 2 3" xfId="42585"/>
    <cellStyle name="20% - Accent1 4 8 2 5 3" xfId="7649"/>
    <cellStyle name="20% - Accent1 4 8 2 5 3 2" xfId="58371"/>
    <cellStyle name="20% - Accent1 4 8 2 5 4" xfId="19450"/>
    <cellStyle name="20% - Accent1 4 8 2 5 4 2" xfId="58372"/>
    <cellStyle name="20% - Accent1 4 8 2 5 5" xfId="33065"/>
    <cellStyle name="20% - Accent1 4 8 2 6" xfId="15130"/>
    <cellStyle name="20% - Accent1 4 8 2 6 2" xfId="26931"/>
    <cellStyle name="20% - Accent1 4 8 2 6 2 2" xfId="58373"/>
    <cellStyle name="20% - Accent1 4 8 2 6 3" xfId="40546"/>
    <cellStyle name="20% - Accent1 4 8 2 7" xfId="5749"/>
    <cellStyle name="20% - Accent1 4 8 2 7 2" xfId="58374"/>
    <cellStyle name="20% - Accent1 4 8 2 8" xfId="17550"/>
    <cellStyle name="20% - Accent1 4 8 2 8 2" xfId="58375"/>
    <cellStyle name="20% - Accent1 4 8 2 9" xfId="31165"/>
    <cellStyle name="20% - Accent1 4 8 3" xfId="711"/>
    <cellStyle name="20% - Accent1 4 8 3 2" xfId="1655"/>
    <cellStyle name="20% - Accent1 4 8 3 2 2" xfId="4453"/>
    <cellStyle name="20% - Accent1 4 8 3 2 2 2" xfId="15131"/>
    <cellStyle name="20% - Accent1 4 8 3 2 2 2 2" xfId="26932"/>
    <cellStyle name="20% - Accent1 4 8 3 2 2 2 2 2" xfId="58376"/>
    <cellStyle name="20% - Accent1 4 8 3 2 2 2 3" xfId="40547"/>
    <cellStyle name="20% - Accent1 4 8 3 2 2 3" xfId="9906"/>
    <cellStyle name="20% - Accent1 4 8 3 2 2 3 2" xfId="47078"/>
    <cellStyle name="20% - Accent1 4 8 3 2 2 4" xfId="21707"/>
    <cellStyle name="20% - Accent1 4 8 3 2 2 4 2" xfId="58377"/>
    <cellStyle name="20% - Accent1 4 8 3 2 2 5" xfId="35322"/>
    <cellStyle name="20% - Accent1 4 8 3 2 3" xfId="15132"/>
    <cellStyle name="20% - Accent1 4 8 3 2 3 2" xfId="26933"/>
    <cellStyle name="20% - Accent1 4 8 3 2 3 2 2" xfId="47079"/>
    <cellStyle name="20% - Accent1 4 8 3 2 3 3" xfId="30399"/>
    <cellStyle name="20% - Accent1 4 8 3 2 3 3 2" xfId="47080"/>
    <cellStyle name="20% - Accent1 4 8 3 2 3 4" xfId="30400"/>
    <cellStyle name="20% - Accent1 4 8 3 2 3 4 2" xfId="58378"/>
    <cellStyle name="20% - Accent1 4 8 3 2 3 5" xfId="40548"/>
    <cellStyle name="20% - Accent1 4 8 3 2 4" xfId="15133"/>
    <cellStyle name="20% - Accent1 4 8 3 2 4 2" xfId="26934"/>
    <cellStyle name="20% - Accent1 4 8 3 2 4 2 2" xfId="58379"/>
    <cellStyle name="20% - Accent1 4 8 3 2 4 3" xfId="40549"/>
    <cellStyle name="20% - Accent1 4 8 3 2 5" xfId="7109"/>
    <cellStyle name="20% - Accent1 4 8 3 2 5 2" xfId="47081"/>
    <cellStyle name="20% - Accent1 4 8 3 2 6" xfId="18910"/>
    <cellStyle name="20% - Accent1 4 8 3 2 6 2" xfId="58380"/>
    <cellStyle name="20% - Accent1 4 8 3 2 7" xfId="32525"/>
    <cellStyle name="20% - Accent1 4 8 3 3" xfId="2612"/>
    <cellStyle name="20% - Accent1 4 8 3 3 2" xfId="15134"/>
    <cellStyle name="20% - Accent1 4 8 3 3 2 2" xfId="26935"/>
    <cellStyle name="20% - Accent1 4 8 3 3 2 2 2" xfId="58381"/>
    <cellStyle name="20% - Accent1 4 8 3 3 2 3" xfId="40550"/>
    <cellStyle name="20% - Accent1 4 8 3 3 3" xfId="8065"/>
    <cellStyle name="20% - Accent1 4 8 3 3 3 2" xfId="47082"/>
    <cellStyle name="20% - Accent1 4 8 3 3 4" xfId="19866"/>
    <cellStyle name="20% - Accent1 4 8 3 3 4 2" xfId="58382"/>
    <cellStyle name="20% - Accent1 4 8 3 3 5" xfId="33481"/>
    <cellStyle name="20% - Accent1 4 8 3 4" xfId="15135"/>
    <cellStyle name="20% - Accent1 4 8 3 4 2" xfId="26936"/>
    <cellStyle name="20% - Accent1 4 8 3 4 2 2" xfId="47083"/>
    <cellStyle name="20% - Accent1 4 8 3 4 3" xfId="30401"/>
    <cellStyle name="20% - Accent1 4 8 3 4 3 2" xfId="47084"/>
    <cellStyle name="20% - Accent1 4 8 3 4 4" xfId="30402"/>
    <cellStyle name="20% - Accent1 4 8 3 4 4 2" xfId="58383"/>
    <cellStyle name="20% - Accent1 4 8 3 4 5" xfId="40551"/>
    <cellStyle name="20% - Accent1 4 8 3 5" xfId="15136"/>
    <cellStyle name="20% - Accent1 4 8 3 5 2" xfId="26937"/>
    <cellStyle name="20% - Accent1 4 8 3 5 2 2" xfId="58384"/>
    <cellStyle name="20% - Accent1 4 8 3 5 3" xfId="40552"/>
    <cellStyle name="20% - Accent1 4 8 3 6" xfId="6165"/>
    <cellStyle name="20% - Accent1 4 8 3 6 2" xfId="47085"/>
    <cellStyle name="20% - Accent1 4 8 3 7" xfId="17966"/>
    <cellStyle name="20% - Accent1 4 8 3 7 2" xfId="58385"/>
    <cellStyle name="20% - Accent1 4 8 3 8" xfId="31581"/>
    <cellStyle name="20% - Accent1 4 8 4" xfId="1656"/>
    <cellStyle name="20% - Accent1 4 8 4 2" xfId="5021"/>
    <cellStyle name="20% - Accent1 4 8 4 2 2" xfId="15137"/>
    <cellStyle name="20% - Accent1 4 8 4 2 2 2" xfId="26938"/>
    <cellStyle name="20% - Accent1 4 8 4 2 2 2 2" xfId="58386"/>
    <cellStyle name="20% - Accent1 4 8 4 2 2 3" xfId="40553"/>
    <cellStyle name="20% - Accent1 4 8 4 2 3" xfId="10474"/>
    <cellStyle name="20% - Accent1 4 8 4 2 3 2" xfId="47086"/>
    <cellStyle name="20% - Accent1 4 8 4 2 4" xfId="22275"/>
    <cellStyle name="20% - Accent1 4 8 4 2 4 2" xfId="58387"/>
    <cellStyle name="20% - Accent1 4 8 4 2 5" xfId="35890"/>
    <cellStyle name="20% - Accent1 4 8 4 3" xfId="3180"/>
    <cellStyle name="20% - Accent1 4 8 4 3 2" xfId="15138"/>
    <cellStyle name="20% - Accent1 4 8 4 3 2 2" xfId="26939"/>
    <cellStyle name="20% - Accent1 4 8 4 3 2 2 2" xfId="58388"/>
    <cellStyle name="20% - Accent1 4 8 4 3 2 3" xfId="40554"/>
    <cellStyle name="20% - Accent1 4 8 4 3 3" xfId="8633"/>
    <cellStyle name="20% - Accent1 4 8 4 3 3 2" xfId="47087"/>
    <cellStyle name="20% - Accent1 4 8 4 3 4" xfId="20434"/>
    <cellStyle name="20% - Accent1 4 8 4 3 4 2" xfId="58389"/>
    <cellStyle name="20% - Accent1 4 8 4 3 5" xfId="34049"/>
    <cellStyle name="20% - Accent1 4 8 4 4" xfId="15139"/>
    <cellStyle name="20% - Accent1 4 8 4 4 2" xfId="26940"/>
    <cellStyle name="20% - Accent1 4 8 4 4 2 2" xfId="58390"/>
    <cellStyle name="20% - Accent1 4 8 4 4 3" xfId="40555"/>
    <cellStyle name="20% - Accent1 4 8 4 5" xfId="7110"/>
    <cellStyle name="20% - Accent1 4 8 4 5 2" xfId="47088"/>
    <cellStyle name="20% - Accent1 4 8 4 6" xfId="18911"/>
    <cellStyle name="20% - Accent1 4 8 4 6 2" xfId="58391"/>
    <cellStyle name="20% - Accent1 4 8 4 7" xfId="32526"/>
    <cellStyle name="20% - Accent1 4 8 5" xfId="3885"/>
    <cellStyle name="20% - Accent1 4 8 5 2" xfId="15140"/>
    <cellStyle name="20% - Accent1 4 8 5 2 2" xfId="26941"/>
    <cellStyle name="20% - Accent1 4 8 5 2 2 2" xfId="58392"/>
    <cellStyle name="20% - Accent1 4 8 5 2 3" xfId="40556"/>
    <cellStyle name="20% - Accent1 4 8 5 3" xfId="9338"/>
    <cellStyle name="20% - Accent1 4 8 5 3 2" xfId="47089"/>
    <cellStyle name="20% - Accent1 4 8 5 4" xfId="21139"/>
    <cellStyle name="20% - Accent1 4 8 5 4 2" xfId="58393"/>
    <cellStyle name="20% - Accent1 4 8 5 5" xfId="34754"/>
    <cellStyle name="20% - Accent1 4 8 6" xfId="2044"/>
    <cellStyle name="20% - Accent1 4 8 6 2" xfId="15141"/>
    <cellStyle name="20% - Accent1 4 8 6 2 2" xfId="26942"/>
    <cellStyle name="20% - Accent1 4 8 6 2 2 2" xfId="58394"/>
    <cellStyle name="20% - Accent1 4 8 6 2 3" xfId="40557"/>
    <cellStyle name="20% - Accent1 4 8 6 3" xfId="7497"/>
    <cellStyle name="20% - Accent1 4 8 6 3 2" xfId="47090"/>
    <cellStyle name="20% - Accent1 4 8 6 4" xfId="19298"/>
    <cellStyle name="20% - Accent1 4 8 6 4 2" xfId="58395"/>
    <cellStyle name="20% - Accent1 4 8 6 5" xfId="32913"/>
    <cellStyle name="20% - Accent1 4 8 7" xfId="15142"/>
    <cellStyle name="20% - Accent1 4 8 7 2" xfId="26943"/>
    <cellStyle name="20% - Accent1 4 8 7 2 2" xfId="58396"/>
    <cellStyle name="20% - Accent1 4 8 7 3" xfId="40558"/>
    <cellStyle name="20% - Accent1 4 8 8" xfId="5597"/>
    <cellStyle name="20% - Accent1 4 8 8 2" xfId="47091"/>
    <cellStyle name="20% - Accent1 4 8 9" xfId="17398"/>
    <cellStyle name="20% - Accent1 4 8 9 2" xfId="58397"/>
    <cellStyle name="20% - Accent1 4 9" xfId="432"/>
    <cellStyle name="20% - Accent1 4 9 2" xfId="1657"/>
    <cellStyle name="20% - Accent1 4 9 2 2" xfId="4742"/>
    <cellStyle name="20% - Accent1 4 9 2 2 2" xfId="15143"/>
    <cellStyle name="20% - Accent1 4 9 2 2 2 2" xfId="26944"/>
    <cellStyle name="20% - Accent1 4 9 2 2 2 2 2" xfId="58398"/>
    <cellStyle name="20% - Accent1 4 9 2 2 2 3" xfId="40559"/>
    <cellStyle name="20% - Accent1 4 9 2 2 3" xfId="10195"/>
    <cellStyle name="20% - Accent1 4 9 2 2 3 2" xfId="47092"/>
    <cellStyle name="20% - Accent1 4 9 2 2 4" xfId="21996"/>
    <cellStyle name="20% - Accent1 4 9 2 2 4 2" xfId="58399"/>
    <cellStyle name="20% - Accent1 4 9 2 2 5" xfId="35611"/>
    <cellStyle name="20% - Accent1 4 9 2 3" xfId="2901"/>
    <cellStyle name="20% - Accent1 4 9 2 3 2" xfId="15144"/>
    <cellStyle name="20% - Accent1 4 9 2 3 2 2" xfId="26945"/>
    <cellStyle name="20% - Accent1 4 9 2 3 2 2 2" xfId="58400"/>
    <cellStyle name="20% - Accent1 4 9 2 3 2 3" xfId="40560"/>
    <cellStyle name="20% - Accent1 4 9 2 3 3" xfId="8354"/>
    <cellStyle name="20% - Accent1 4 9 2 3 3 2" xfId="47093"/>
    <cellStyle name="20% - Accent1 4 9 2 3 4" xfId="20155"/>
    <cellStyle name="20% - Accent1 4 9 2 3 4 2" xfId="58401"/>
    <cellStyle name="20% - Accent1 4 9 2 3 5" xfId="33770"/>
    <cellStyle name="20% - Accent1 4 9 2 4" xfId="15145"/>
    <cellStyle name="20% - Accent1 4 9 2 4 2" xfId="26946"/>
    <cellStyle name="20% - Accent1 4 9 2 4 2 2" xfId="58402"/>
    <cellStyle name="20% - Accent1 4 9 2 4 3" xfId="40561"/>
    <cellStyle name="20% - Accent1 4 9 2 5" xfId="7111"/>
    <cellStyle name="20% - Accent1 4 9 2 5 2" xfId="47094"/>
    <cellStyle name="20% - Accent1 4 9 2 6" xfId="18912"/>
    <cellStyle name="20% - Accent1 4 9 2 6 2" xfId="58403"/>
    <cellStyle name="20% - Accent1 4 9 2 7" xfId="32527"/>
    <cellStyle name="20% - Accent1 4 9 3" xfId="3469"/>
    <cellStyle name="20% - Accent1 4 9 3 2" xfId="5310"/>
    <cellStyle name="20% - Accent1 4 9 3 2 2" xfId="16780"/>
    <cellStyle name="20% - Accent1 4 9 3 2 2 2" xfId="28581"/>
    <cellStyle name="20% - Accent1 4 9 3 2 2 2 2" xfId="58404"/>
    <cellStyle name="20% - Accent1 4 9 3 2 2 3" xfId="42196"/>
    <cellStyle name="20% - Accent1 4 9 3 2 3" xfId="10763"/>
    <cellStyle name="20% - Accent1 4 9 3 2 3 2" xfId="58405"/>
    <cellStyle name="20% - Accent1 4 9 3 2 4" xfId="22564"/>
    <cellStyle name="20% - Accent1 4 9 3 2 4 2" xfId="58406"/>
    <cellStyle name="20% - Accent1 4 9 3 2 5" xfId="36179"/>
    <cellStyle name="20% - Accent1 4 9 3 3" xfId="15146"/>
    <cellStyle name="20% - Accent1 4 9 3 3 2" xfId="26947"/>
    <cellStyle name="20% - Accent1 4 9 3 3 2 2" xfId="58407"/>
    <cellStyle name="20% - Accent1 4 9 3 3 3" xfId="40562"/>
    <cellStyle name="20% - Accent1 4 9 3 4" xfId="8922"/>
    <cellStyle name="20% - Accent1 4 9 3 4 2" xfId="58408"/>
    <cellStyle name="20% - Accent1 4 9 3 5" xfId="20723"/>
    <cellStyle name="20% - Accent1 4 9 3 5 2" xfId="58409"/>
    <cellStyle name="20% - Accent1 4 9 3 6" xfId="34338"/>
    <cellStyle name="20% - Accent1 4 9 4" xfId="4174"/>
    <cellStyle name="20% - Accent1 4 9 4 2" xfId="15147"/>
    <cellStyle name="20% - Accent1 4 9 4 2 2" xfId="26948"/>
    <cellStyle name="20% - Accent1 4 9 4 2 2 2" xfId="58410"/>
    <cellStyle name="20% - Accent1 4 9 4 2 3" xfId="40563"/>
    <cellStyle name="20% - Accent1 4 9 4 3" xfId="9627"/>
    <cellStyle name="20% - Accent1 4 9 4 3 2" xfId="47095"/>
    <cellStyle name="20% - Accent1 4 9 4 4" xfId="21428"/>
    <cellStyle name="20% - Accent1 4 9 4 4 2" xfId="58411"/>
    <cellStyle name="20% - Accent1 4 9 4 5" xfId="35043"/>
    <cellStyle name="20% - Accent1 4 9 5" xfId="2333"/>
    <cellStyle name="20% - Accent1 4 9 5 2" xfId="17170"/>
    <cellStyle name="20% - Accent1 4 9 5 2 2" xfId="28971"/>
    <cellStyle name="20% - Accent1 4 9 5 2 2 2" xfId="58412"/>
    <cellStyle name="20% - Accent1 4 9 5 2 3" xfId="42586"/>
    <cellStyle name="20% - Accent1 4 9 5 3" xfId="7786"/>
    <cellStyle name="20% - Accent1 4 9 5 3 2" xfId="58413"/>
    <cellStyle name="20% - Accent1 4 9 5 4" xfId="19587"/>
    <cellStyle name="20% - Accent1 4 9 5 4 2" xfId="58414"/>
    <cellStyle name="20% - Accent1 4 9 5 5" xfId="33202"/>
    <cellStyle name="20% - Accent1 4 9 6" xfId="15148"/>
    <cellStyle name="20% - Accent1 4 9 6 2" xfId="26949"/>
    <cellStyle name="20% - Accent1 4 9 6 2 2" xfId="58415"/>
    <cellStyle name="20% - Accent1 4 9 6 3" xfId="40564"/>
    <cellStyle name="20% - Accent1 4 9 7" xfId="5886"/>
    <cellStyle name="20% - Accent1 4 9 7 2" xfId="58416"/>
    <cellStyle name="20% - Accent1 4 9 8" xfId="17687"/>
    <cellStyle name="20% - Accent1 4 9 8 2" xfId="58417"/>
    <cellStyle name="20% - Accent1 4 9 9" xfId="31302"/>
    <cellStyle name="20% - Accent1 5" xfId="7"/>
    <cellStyle name="20% - Accent1 5 10" xfId="575"/>
    <cellStyle name="20% - Accent1 5 10 2" xfId="1658"/>
    <cellStyle name="20% - Accent1 5 10 2 2" xfId="4317"/>
    <cellStyle name="20% - Accent1 5 10 2 2 2" xfId="15149"/>
    <cellStyle name="20% - Accent1 5 10 2 2 2 2" xfId="26950"/>
    <cellStyle name="20% - Accent1 5 10 2 2 2 2 2" xfId="58418"/>
    <cellStyle name="20% - Accent1 5 10 2 2 2 3" xfId="40565"/>
    <cellStyle name="20% - Accent1 5 10 2 2 3" xfId="9770"/>
    <cellStyle name="20% - Accent1 5 10 2 2 3 2" xfId="47096"/>
    <cellStyle name="20% - Accent1 5 10 2 2 4" xfId="21571"/>
    <cellStyle name="20% - Accent1 5 10 2 2 4 2" xfId="58419"/>
    <cellStyle name="20% - Accent1 5 10 2 2 5" xfId="35186"/>
    <cellStyle name="20% - Accent1 5 10 2 3" xfId="15150"/>
    <cellStyle name="20% - Accent1 5 10 2 3 2" xfId="26951"/>
    <cellStyle name="20% - Accent1 5 10 2 3 2 2" xfId="47097"/>
    <cellStyle name="20% - Accent1 5 10 2 3 3" xfId="30403"/>
    <cellStyle name="20% - Accent1 5 10 2 3 3 2" xfId="47098"/>
    <cellStyle name="20% - Accent1 5 10 2 3 4" xfId="30404"/>
    <cellStyle name="20% - Accent1 5 10 2 3 4 2" xfId="58420"/>
    <cellStyle name="20% - Accent1 5 10 2 3 5" xfId="40566"/>
    <cellStyle name="20% - Accent1 5 10 2 4" xfId="15151"/>
    <cellStyle name="20% - Accent1 5 10 2 4 2" xfId="26952"/>
    <cellStyle name="20% - Accent1 5 10 2 4 2 2" xfId="58421"/>
    <cellStyle name="20% - Accent1 5 10 2 4 3" xfId="40567"/>
    <cellStyle name="20% - Accent1 5 10 2 5" xfId="7112"/>
    <cellStyle name="20% - Accent1 5 10 2 5 2" xfId="47099"/>
    <cellStyle name="20% - Accent1 5 10 2 6" xfId="18913"/>
    <cellStyle name="20% - Accent1 5 10 2 6 2" xfId="58422"/>
    <cellStyle name="20% - Accent1 5 10 2 7" xfId="32528"/>
    <cellStyle name="20% - Accent1 5 10 3" xfId="2476"/>
    <cellStyle name="20% - Accent1 5 10 3 2" xfId="15152"/>
    <cellStyle name="20% - Accent1 5 10 3 2 2" xfId="26953"/>
    <cellStyle name="20% - Accent1 5 10 3 2 2 2" xfId="58423"/>
    <cellStyle name="20% - Accent1 5 10 3 2 3" xfId="40568"/>
    <cellStyle name="20% - Accent1 5 10 3 3" xfId="7929"/>
    <cellStyle name="20% - Accent1 5 10 3 3 2" xfId="47100"/>
    <cellStyle name="20% - Accent1 5 10 3 4" xfId="19730"/>
    <cellStyle name="20% - Accent1 5 10 3 4 2" xfId="58424"/>
    <cellStyle name="20% - Accent1 5 10 3 5" xfId="33345"/>
    <cellStyle name="20% - Accent1 5 10 4" xfId="15153"/>
    <cellStyle name="20% - Accent1 5 10 4 2" xfId="26954"/>
    <cellStyle name="20% - Accent1 5 10 4 2 2" xfId="47101"/>
    <cellStyle name="20% - Accent1 5 10 4 3" xfId="30405"/>
    <cellStyle name="20% - Accent1 5 10 4 3 2" xfId="47102"/>
    <cellStyle name="20% - Accent1 5 10 4 4" xfId="30406"/>
    <cellStyle name="20% - Accent1 5 10 4 4 2" xfId="58425"/>
    <cellStyle name="20% - Accent1 5 10 4 5" xfId="40569"/>
    <cellStyle name="20% - Accent1 5 10 5" xfId="15154"/>
    <cellStyle name="20% - Accent1 5 10 5 2" xfId="26955"/>
    <cellStyle name="20% - Accent1 5 10 5 2 2" xfId="58426"/>
    <cellStyle name="20% - Accent1 5 10 5 3" xfId="40570"/>
    <cellStyle name="20% - Accent1 5 10 6" xfId="6029"/>
    <cellStyle name="20% - Accent1 5 10 6 2" xfId="47103"/>
    <cellStyle name="20% - Accent1 5 10 7" xfId="17830"/>
    <cellStyle name="20% - Accent1 5 10 7 2" xfId="58427"/>
    <cellStyle name="20% - Accent1 5 10 8" xfId="31445"/>
    <cellStyle name="20% - Accent1 5 11" xfId="816"/>
    <cellStyle name="20% - Accent1 5 11 2" xfId="1659"/>
    <cellStyle name="20% - Accent1 5 11 2 2" xfId="4885"/>
    <cellStyle name="20% - Accent1 5 11 2 2 2" xfId="15155"/>
    <cellStyle name="20% - Accent1 5 11 2 2 2 2" xfId="26956"/>
    <cellStyle name="20% - Accent1 5 11 2 2 2 2 2" xfId="58428"/>
    <cellStyle name="20% - Accent1 5 11 2 2 2 3" xfId="40571"/>
    <cellStyle name="20% - Accent1 5 11 2 2 3" xfId="10338"/>
    <cellStyle name="20% - Accent1 5 11 2 2 3 2" xfId="47104"/>
    <cellStyle name="20% - Accent1 5 11 2 2 4" xfId="22139"/>
    <cellStyle name="20% - Accent1 5 11 2 2 4 2" xfId="58429"/>
    <cellStyle name="20% - Accent1 5 11 2 2 5" xfId="35754"/>
    <cellStyle name="20% - Accent1 5 11 2 3" xfId="15156"/>
    <cellStyle name="20% - Accent1 5 11 2 3 2" xfId="26957"/>
    <cellStyle name="20% - Accent1 5 11 2 3 2 2" xfId="47105"/>
    <cellStyle name="20% - Accent1 5 11 2 3 3" xfId="30407"/>
    <cellStyle name="20% - Accent1 5 11 2 3 3 2" xfId="47106"/>
    <cellStyle name="20% - Accent1 5 11 2 3 4" xfId="30408"/>
    <cellStyle name="20% - Accent1 5 11 2 3 4 2" xfId="58430"/>
    <cellStyle name="20% - Accent1 5 11 2 3 5" xfId="40572"/>
    <cellStyle name="20% - Accent1 5 11 2 4" xfId="15157"/>
    <cellStyle name="20% - Accent1 5 11 2 4 2" xfId="26958"/>
    <cellStyle name="20% - Accent1 5 11 2 4 2 2" xfId="58431"/>
    <cellStyle name="20% - Accent1 5 11 2 4 3" xfId="40573"/>
    <cellStyle name="20% - Accent1 5 11 2 5" xfId="7113"/>
    <cellStyle name="20% - Accent1 5 11 2 5 2" xfId="47107"/>
    <cellStyle name="20% - Accent1 5 11 2 6" xfId="18914"/>
    <cellStyle name="20% - Accent1 5 11 2 6 2" xfId="58432"/>
    <cellStyle name="20% - Accent1 5 11 2 7" xfId="32529"/>
    <cellStyle name="20% - Accent1 5 11 3" xfId="3044"/>
    <cellStyle name="20% - Accent1 5 11 3 2" xfId="15158"/>
    <cellStyle name="20% - Accent1 5 11 3 2 2" xfId="26959"/>
    <cellStyle name="20% - Accent1 5 11 3 2 2 2" xfId="58433"/>
    <cellStyle name="20% - Accent1 5 11 3 2 3" xfId="40574"/>
    <cellStyle name="20% - Accent1 5 11 3 3" xfId="8497"/>
    <cellStyle name="20% - Accent1 5 11 3 3 2" xfId="47108"/>
    <cellStyle name="20% - Accent1 5 11 3 4" xfId="20298"/>
    <cellStyle name="20% - Accent1 5 11 3 4 2" xfId="58434"/>
    <cellStyle name="20% - Accent1 5 11 3 5" xfId="33913"/>
    <cellStyle name="20% - Accent1 5 11 4" xfId="15159"/>
    <cellStyle name="20% - Accent1 5 11 4 2" xfId="26960"/>
    <cellStyle name="20% - Accent1 5 11 4 2 2" xfId="47109"/>
    <cellStyle name="20% - Accent1 5 11 4 3" xfId="30409"/>
    <cellStyle name="20% - Accent1 5 11 4 3 2" xfId="47110"/>
    <cellStyle name="20% - Accent1 5 11 4 4" xfId="30410"/>
    <cellStyle name="20% - Accent1 5 11 4 4 2" xfId="58435"/>
    <cellStyle name="20% - Accent1 5 11 4 5" xfId="40575"/>
    <cellStyle name="20% - Accent1 5 11 5" xfId="15160"/>
    <cellStyle name="20% - Accent1 5 11 5 2" xfId="26961"/>
    <cellStyle name="20% - Accent1 5 11 5 2 2" xfId="58436"/>
    <cellStyle name="20% - Accent1 5 11 5 3" xfId="40576"/>
    <cellStyle name="20% - Accent1 5 11 6" xfId="6270"/>
    <cellStyle name="20% - Accent1 5 11 6 2" xfId="47111"/>
    <cellStyle name="20% - Accent1 5 11 7" xfId="18071"/>
    <cellStyle name="20% - Accent1 5 11 7 2" xfId="58437"/>
    <cellStyle name="20% - Accent1 5 11 8" xfId="31686"/>
    <cellStyle name="20% - Accent1 5 12" xfId="1660"/>
    <cellStyle name="20% - Accent1 5 12 2" xfId="3749"/>
    <cellStyle name="20% - Accent1 5 12 2 2" xfId="15161"/>
    <cellStyle name="20% - Accent1 5 12 2 2 2" xfId="26962"/>
    <cellStyle name="20% - Accent1 5 12 2 2 2 2" xfId="58438"/>
    <cellStyle name="20% - Accent1 5 12 2 2 3" xfId="40577"/>
    <cellStyle name="20% - Accent1 5 12 2 3" xfId="9202"/>
    <cellStyle name="20% - Accent1 5 12 2 3 2" xfId="47112"/>
    <cellStyle name="20% - Accent1 5 12 2 4" xfId="21003"/>
    <cellStyle name="20% - Accent1 5 12 2 4 2" xfId="58439"/>
    <cellStyle name="20% - Accent1 5 12 2 5" xfId="34618"/>
    <cellStyle name="20% - Accent1 5 12 3" xfId="15162"/>
    <cellStyle name="20% - Accent1 5 12 3 2" xfId="26963"/>
    <cellStyle name="20% - Accent1 5 12 3 2 2" xfId="47113"/>
    <cellStyle name="20% - Accent1 5 12 3 3" xfId="30411"/>
    <cellStyle name="20% - Accent1 5 12 3 3 2" xfId="47114"/>
    <cellStyle name="20% - Accent1 5 12 3 4" xfId="30412"/>
    <cellStyle name="20% - Accent1 5 12 3 4 2" xfId="58440"/>
    <cellStyle name="20% - Accent1 5 12 3 5" xfId="40578"/>
    <cellStyle name="20% - Accent1 5 12 4" xfId="15163"/>
    <cellStyle name="20% - Accent1 5 12 4 2" xfId="26964"/>
    <cellStyle name="20% - Accent1 5 12 4 2 2" xfId="58441"/>
    <cellStyle name="20% - Accent1 5 12 4 3" xfId="40579"/>
    <cellStyle name="20% - Accent1 5 12 5" xfId="7114"/>
    <cellStyle name="20% - Accent1 5 12 5 2" xfId="47115"/>
    <cellStyle name="20% - Accent1 5 12 6" xfId="18915"/>
    <cellStyle name="20% - Accent1 5 12 6 2" xfId="58442"/>
    <cellStyle name="20% - Accent1 5 12 7" xfId="32530"/>
    <cellStyle name="20% - Accent1 5 13" xfId="3612"/>
    <cellStyle name="20% - Accent1 5 13 2" xfId="15164"/>
    <cellStyle name="20% - Accent1 5 13 2 2" xfId="26965"/>
    <cellStyle name="20% - Accent1 5 13 2 2 2" xfId="58443"/>
    <cellStyle name="20% - Accent1 5 13 2 3" xfId="40580"/>
    <cellStyle name="20% - Accent1 5 13 3" xfId="9065"/>
    <cellStyle name="20% - Accent1 5 13 3 2" xfId="47116"/>
    <cellStyle name="20% - Accent1 5 13 4" xfId="20866"/>
    <cellStyle name="20% - Accent1 5 13 4 2" xfId="58444"/>
    <cellStyle name="20% - Accent1 5 13 5" xfId="34481"/>
    <cellStyle name="20% - Accent1 5 14" xfId="1908"/>
    <cellStyle name="20% - Accent1 5 14 2" xfId="15165"/>
    <cellStyle name="20% - Accent1 5 14 2 2" xfId="26966"/>
    <cellStyle name="20% - Accent1 5 14 2 2 2" xfId="58445"/>
    <cellStyle name="20% - Accent1 5 14 2 3" xfId="40581"/>
    <cellStyle name="20% - Accent1 5 14 3" xfId="7361"/>
    <cellStyle name="20% - Accent1 5 14 3 2" xfId="47117"/>
    <cellStyle name="20% - Accent1 5 14 4" xfId="19162"/>
    <cellStyle name="20% - Accent1 5 14 4 2" xfId="58446"/>
    <cellStyle name="20% - Accent1 5 14 5" xfId="32777"/>
    <cellStyle name="20% - Accent1 5 15" xfId="15166"/>
    <cellStyle name="20% - Accent1 5 15 2" xfId="26967"/>
    <cellStyle name="20% - Accent1 5 15 2 2" xfId="47118"/>
    <cellStyle name="20% - Accent1 5 15 3" xfId="30413"/>
    <cellStyle name="20% - Accent1 5 15 3 2" xfId="58447"/>
    <cellStyle name="20% - Accent1 5 15 4" xfId="40582"/>
    <cellStyle name="20% - Accent1 5 16" xfId="5461"/>
    <cellStyle name="20% - Accent1 5 16 2" xfId="30863"/>
    <cellStyle name="20% - Accent1 5 16 2 2" xfId="47120"/>
    <cellStyle name="20% - Accent1 5 16 3" xfId="47119"/>
    <cellStyle name="20% - Accent1 5 17" xfId="17262"/>
    <cellStyle name="20% - Accent1 5 17 2" xfId="47121"/>
    <cellStyle name="20% - Accent1 5 18" xfId="30877"/>
    <cellStyle name="20% - Accent1 5 19" xfId="61742"/>
    <cellStyle name="20% - Accent1 5 2" xfId="36"/>
    <cellStyle name="20% - Accent1 5 2 10" xfId="1937"/>
    <cellStyle name="20% - Accent1 5 2 10 2" xfId="15167"/>
    <cellStyle name="20% - Accent1 5 2 10 2 2" xfId="26968"/>
    <cellStyle name="20% - Accent1 5 2 10 2 2 2" xfId="58448"/>
    <cellStyle name="20% - Accent1 5 2 10 2 3" xfId="40583"/>
    <cellStyle name="20% - Accent1 5 2 10 3" xfId="7390"/>
    <cellStyle name="20% - Accent1 5 2 10 3 2" xfId="47122"/>
    <cellStyle name="20% - Accent1 5 2 10 4" xfId="19191"/>
    <cellStyle name="20% - Accent1 5 2 10 4 2" xfId="58449"/>
    <cellStyle name="20% - Accent1 5 2 10 5" xfId="32806"/>
    <cellStyle name="20% - Accent1 5 2 11" xfId="15168"/>
    <cellStyle name="20% - Accent1 5 2 11 2" xfId="26969"/>
    <cellStyle name="20% - Accent1 5 2 11 2 2" xfId="58450"/>
    <cellStyle name="20% - Accent1 5 2 11 3" xfId="40584"/>
    <cellStyle name="20% - Accent1 5 2 12" xfId="5490"/>
    <cellStyle name="20% - Accent1 5 2 12 2" xfId="47123"/>
    <cellStyle name="20% - Accent1 5 2 13" xfId="17291"/>
    <cellStyle name="20% - Accent1 5 2 13 2" xfId="58451"/>
    <cellStyle name="20% - Accent1 5 2 14" xfId="30906"/>
    <cellStyle name="20% - Accent1 5 2 2" xfId="103"/>
    <cellStyle name="20% - Accent1 5 2 2 10" xfId="5557"/>
    <cellStyle name="20% - Accent1 5 2 2 10 2" xfId="47124"/>
    <cellStyle name="20% - Accent1 5 2 2 11" xfId="17358"/>
    <cellStyle name="20% - Accent1 5 2 2 11 2" xfId="58452"/>
    <cellStyle name="20% - Accent1 5 2 2 12" xfId="30973"/>
    <cellStyle name="20% - Accent1 5 2 2 2" xfId="228"/>
    <cellStyle name="20% - Accent1 5 2 2 2 10" xfId="31098"/>
    <cellStyle name="20% - Accent1 5 2 2 2 2" xfId="530"/>
    <cellStyle name="20% - Accent1 5 2 2 2 2 2" xfId="1661"/>
    <cellStyle name="20% - Accent1 5 2 2 2 2 2 2" xfId="4840"/>
    <cellStyle name="20% - Accent1 5 2 2 2 2 2 2 2" xfId="15169"/>
    <cellStyle name="20% - Accent1 5 2 2 2 2 2 2 2 2" xfId="26970"/>
    <cellStyle name="20% - Accent1 5 2 2 2 2 2 2 2 2 2" xfId="58453"/>
    <cellStyle name="20% - Accent1 5 2 2 2 2 2 2 2 3" xfId="40585"/>
    <cellStyle name="20% - Accent1 5 2 2 2 2 2 2 3" xfId="10293"/>
    <cellStyle name="20% - Accent1 5 2 2 2 2 2 2 3 2" xfId="47125"/>
    <cellStyle name="20% - Accent1 5 2 2 2 2 2 2 4" xfId="22094"/>
    <cellStyle name="20% - Accent1 5 2 2 2 2 2 2 4 2" xfId="58454"/>
    <cellStyle name="20% - Accent1 5 2 2 2 2 2 2 5" xfId="35709"/>
    <cellStyle name="20% - Accent1 5 2 2 2 2 2 3" xfId="2999"/>
    <cellStyle name="20% - Accent1 5 2 2 2 2 2 3 2" xfId="15170"/>
    <cellStyle name="20% - Accent1 5 2 2 2 2 2 3 2 2" xfId="26971"/>
    <cellStyle name="20% - Accent1 5 2 2 2 2 2 3 2 2 2" xfId="58455"/>
    <cellStyle name="20% - Accent1 5 2 2 2 2 2 3 2 3" xfId="40586"/>
    <cellStyle name="20% - Accent1 5 2 2 2 2 2 3 3" xfId="8452"/>
    <cellStyle name="20% - Accent1 5 2 2 2 2 2 3 3 2" xfId="47126"/>
    <cellStyle name="20% - Accent1 5 2 2 2 2 2 3 4" xfId="20253"/>
    <cellStyle name="20% - Accent1 5 2 2 2 2 2 3 4 2" xfId="58456"/>
    <cellStyle name="20% - Accent1 5 2 2 2 2 2 3 5" xfId="33868"/>
    <cellStyle name="20% - Accent1 5 2 2 2 2 2 4" xfId="15171"/>
    <cellStyle name="20% - Accent1 5 2 2 2 2 2 4 2" xfId="26972"/>
    <cellStyle name="20% - Accent1 5 2 2 2 2 2 4 2 2" xfId="58457"/>
    <cellStyle name="20% - Accent1 5 2 2 2 2 2 4 3" xfId="40587"/>
    <cellStyle name="20% - Accent1 5 2 2 2 2 2 5" xfId="7115"/>
    <cellStyle name="20% - Accent1 5 2 2 2 2 2 5 2" xfId="47127"/>
    <cellStyle name="20% - Accent1 5 2 2 2 2 2 6" xfId="18916"/>
    <cellStyle name="20% - Accent1 5 2 2 2 2 2 6 2" xfId="58458"/>
    <cellStyle name="20% - Accent1 5 2 2 2 2 2 7" xfId="32531"/>
    <cellStyle name="20% - Accent1 5 2 2 2 2 3" xfId="3567"/>
    <cellStyle name="20% - Accent1 5 2 2 2 2 3 2" xfId="5408"/>
    <cellStyle name="20% - Accent1 5 2 2 2 2 3 2 2" xfId="16878"/>
    <cellStyle name="20% - Accent1 5 2 2 2 2 3 2 2 2" xfId="28679"/>
    <cellStyle name="20% - Accent1 5 2 2 2 2 3 2 2 2 2" xfId="58459"/>
    <cellStyle name="20% - Accent1 5 2 2 2 2 3 2 2 3" xfId="42294"/>
    <cellStyle name="20% - Accent1 5 2 2 2 2 3 2 3" xfId="10861"/>
    <cellStyle name="20% - Accent1 5 2 2 2 2 3 2 3 2" xfId="58460"/>
    <cellStyle name="20% - Accent1 5 2 2 2 2 3 2 4" xfId="22662"/>
    <cellStyle name="20% - Accent1 5 2 2 2 2 3 2 4 2" xfId="58461"/>
    <cellStyle name="20% - Accent1 5 2 2 2 2 3 2 5" xfId="36277"/>
    <cellStyle name="20% - Accent1 5 2 2 2 2 3 3" xfId="15172"/>
    <cellStyle name="20% - Accent1 5 2 2 2 2 3 3 2" xfId="26973"/>
    <cellStyle name="20% - Accent1 5 2 2 2 2 3 3 2 2" xfId="58462"/>
    <cellStyle name="20% - Accent1 5 2 2 2 2 3 3 3" xfId="40588"/>
    <cellStyle name="20% - Accent1 5 2 2 2 2 3 4" xfId="9020"/>
    <cellStyle name="20% - Accent1 5 2 2 2 2 3 4 2" xfId="58463"/>
    <cellStyle name="20% - Accent1 5 2 2 2 2 3 5" xfId="20821"/>
    <cellStyle name="20% - Accent1 5 2 2 2 2 3 5 2" xfId="58464"/>
    <cellStyle name="20% - Accent1 5 2 2 2 2 3 6" xfId="34436"/>
    <cellStyle name="20% - Accent1 5 2 2 2 2 4" xfId="4272"/>
    <cellStyle name="20% - Accent1 5 2 2 2 2 4 2" xfId="15173"/>
    <cellStyle name="20% - Accent1 5 2 2 2 2 4 2 2" xfId="26974"/>
    <cellStyle name="20% - Accent1 5 2 2 2 2 4 2 2 2" xfId="58465"/>
    <cellStyle name="20% - Accent1 5 2 2 2 2 4 2 3" xfId="40589"/>
    <cellStyle name="20% - Accent1 5 2 2 2 2 4 3" xfId="9725"/>
    <cellStyle name="20% - Accent1 5 2 2 2 2 4 3 2" xfId="47128"/>
    <cellStyle name="20% - Accent1 5 2 2 2 2 4 4" xfId="21526"/>
    <cellStyle name="20% - Accent1 5 2 2 2 2 4 4 2" xfId="58466"/>
    <cellStyle name="20% - Accent1 5 2 2 2 2 4 5" xfId="35141"/>
    <cellStyle name="20% - Accent1 5 2 2 2 2 5" xfId="2431"/>
    <cellStyle name="20% - Accent1 5 2 2 2 2 5 2" xfId="17171"/>
    <cellStyle name="20% - Accent1 5 2 2 2 2 5 2 2" xfId="28972"/>
    <cellStyle name="20% - Accent1 5 2 2 2 2 5 2 2 2" xfId="58467"/>
    <cellStyle name="20% - Accent1 5 2 2 2 2 5 2 3" xfId="42587"/>
    <cellStyle name="20% - Accent1 5 2 2 2 2 5 3" xfId="7884"/>
    <cellStyle name="20% - Accent1 5 2 2 2 2 5 3 2" xfId="58468"/>
    <cellStyle name="20% - Accent1 5 2 2 2 2 5 4" xfId="19685"/>
    <cellStyle name="20% - Accent1 5 2 2 2 2 5 4 2" xfId="58469"/>
    <cellStyle name="20% - Accent1 5 2 2 2 2 5 5" xfId="33300"/>
    <cellStyle name="20% - Accent1 5 2 2 2 2 6" xfId="15174"/>
    <cellStyle name="20% - Accent1 5 2 2 2 2 6 2" xfId="26975"/>
    <cellStyle name="20% - Accent1 5 2 2 2 2 6 2 2" xfId="58470"/>
    <cellStyle name="20% - Accent1 5 2 2 2 2 6 3" xfId="40590"/>
    <cellStyle name="20% - Accent1 5 2 2 2 2 7" xfId="5984"/>
    <cellStyle name="20% - Accent1 5 2 2 2 2 7 2" xfId="58471"/>
    <cellStyle name="20% - Accent1 5 2 2 2 2 8" xfId="17785"/>
    <cellStyle name="20% - Accent1 5 2 2 2 2 8 2" xfId="58472"/>
    <cellStyle name="20% - Accent1 5 2 2 2 2 9" xfId="31400"/>
    <cellStyle name="20% - Accent1 5 2 2 2 3" xfId="796"/>
    <cellStyle name="20% - Accent1 5 2 2 2 3 2" xfId="1662"/>
    <cellStyle name="20% - Accent1 5 2 2 2 3 2 2" xfId="4538"/>
    <cellStyle name="20% - Accent1 5 2 2 2 3 2 2 2" xfId="15175"/>
    <cellStyle name="20% - Accent1 5 2 2 2 3 2 2 2 2" xfId="26976"/>
    <cellStyle name="20% - Accent1 5 2 2 2 3 2 2 2 2 2" xfId="58473"/>
    <cellStyle name="20% - Accent1 5 2 2 2 3 2 2 2 3" xfId="40591"/>
    <cellStyle name="20% - Accent1 5 2 2 2 3 2 2 3" xfId="9991"/>
    <cellStyle name="20% - Accent1 5 2 2 2 3 2 2 3 2" xfId="47129"/>
    <cellStyle name="20% - Accent1 5 2 2 2 3 2 2 4" xfId="21792"/>
    <cellStyle name="20% - Accent1 5 2 2 2 3 2 2 4 2" xfId="58474"/>
    <cellStyle name="20% - Accent1 5 2 2 2 3 2 2 5" xfId="35407"/>
    <cellStyle name="20% - Accent1 5 2 2 2 3 2 3" xfId="15176"/>
    <cellStyle name="20% - Accent1 5 2 2 2 3 2 3 2" xfId="26977"/>
    <cellStyle name="20% - Accent1 5 2 2 2 3 2 3 2 2" xfId="47130"/>
    <cellStyle name="20% - Accent1 5 2 2 2 3 2 3 3" xfId="30414"/>
    <cellStyle name="20% - Accent1 5 2 2 2 3 2 3 3 2" xfId="47131"/>
    <cellStyle name="20% - Accent1 5 2 2 2 3 2 3 4" xfId="30415"/>
    <cellStyle name="20% - Accent1 5 2 2 2 3 2 3 4 2" xfId="58475"/>
    <cellStyle name="20% - Accent1 5 2 2 2 3 2 3 5" xfId="40592"/>
    <cellStyle name="20% - Accent1 5 2 2 2 3 2 4" xfId="15177"/>
    <cellStyle name="20% - Accent1 5 2 2 2 3 2 4 2" xfId="26978"/>
    <cellStyle name="20% - Accent1 5 2 2 2 3 2 4 2 2" xfId="58476"/>
    <cellStyle name="20% - Accent1 5 2 2 2 3 2 4 3" xfId="40593"/>
    <cellStyle name="20% - Accent1 5 2 2 2 3 2 5" xfId="7116"/>
    <cellStyle name="20% - Accent1 5 2 2 2 3 2 5 2" xfId="47132"/>
    <cellStyle name="20% - Accent1 5 2 2 2 3 2 6" xfId="18917"/>
    <cellStyle name="20% - Accent1 5 2 2 2 3 2 6 2" xfId="58477"/>
    <cellStyle name="20% - Accent1 5 2 2 2 3 2 7" xfId="32532"/>
    <cellStyle name="20% - Accent1 5 2 2 2 3 3" xfId="2697"/>
    <cellStyle name="20% - Accent1 5 2 2 2 3 3 2" xfId="15178"/>
    <cellStyle name="20% - Accent1 5 2 2 2 3 3 2 2" xfId="26979"/>
    <cellStyle name="20% - Accent1 5 2 2 2 3 3 2 2 2" xfId="58478"/>
    <cellStyle name="20% - Accent1 5 2 2 2 3 3 2 3" xfId="40594"/>
    <cellStyle name="20% - Accent1 5 2 2 2 3 3 3" xfId="8150"/>
    <cellStyle name="20% - Accent1 5 2 2 2 3 3 3 2" xfId="47133"/>
    <cellStyle name="20% - Accent1 5 2 2 2 3 3 4" xfId="19951"/>
    <cellStyle name="20% - Accent1 5 2 2 2 3 3 4 2" xfId="58479"/>
    <cellStyle name="20% - Accent1 5 2 2 2 3 3 5" xfId="33566"/>
    <cellStyle name="20% - Accent1 5 2 2 2 3 4" xfId="15179"/>
    <cellStyle name="20% - Accent1 5 2 2 2 3 4 2" xfId="26980"/>
    <cellStyle name="20% - Accent1 5 2 2 2 3 4 2 2" xfId="47134"/>
    <cellStyle name="20% - Accent1 5 2 2 2 3 4 3" xfId="30416"/>
    <cellStyle name="20% - Accent1 5 2 2 2 3 4 3 2" xfId="47135"/>
    <cellStyle name="20% - Accent1 5 2 2 2 3 4 4" xfId="30417"/>
    <cellStyle name="20% - Accent1 5 2 2 2 3 4 4 2" xfId="58480"/>
    <cellStyle name="20% - Accent1 5 2 2 2 3 4 5" xfId="40595"/>
    <cellStyle name="20% - Accent1 5 2 2 2 3 5" xfId="15180"/>
    <cellStyle name="20% - Accent1 5 2 2 2 3 5 2" xfId="26981"/>
    <cellStyle name="20% - Accent1 5 2 2 2 3 5 2 2" xfId="58481"/>
    <cellStyle name="20% - Accent1 5 2 2 2 3 5 3" xfId="40596"/>
    <cellStyle name="20% - Accent1 5 2 2 2 3 6" xfId="6250"/>
    <cellStyle name="20% - Accent1 5 2 2 2 3 6 2" xfId="47136"/>
    <cellStyle name="20% - Accent1 5 2 2 2 3 7" xfId="18051"/>
    <cellStyle name="20% - Accent1 5 2 2 2 3 7 2" xfId="58482"/>
    <cellStyle name="20% - Accent1 5 2 2 2 3 8" xfId="31666"/>
    <cellStyle name="20% - Accent1 5 2 2 2 4" xfId="1663"/>
    <cellStyle name="20% - Accent1 5 2 2 2 4 2" xfId="5106"/>
    <cellStyle name="20% - Accent1 5 2 2 2 4 2 2" xfId="15181"/>
    <cellStyle name="20% - Accent1 5 2 2 2 4 2 2 2" xfId="26982"/>
    <cellStyle name="20% - Accent1 5 2 2 2 4 2 2 2 2" xfId="58483"/>
    <cellStyle name="20% - Accent1 5 2 2 2 4 2 2 3" xfId="40597"/>
    <cellStyle name="20% - Accent1 5 2 2 2 4 2 3" xfId="10559"/>
    <cellStyle name="20% - Accent1 5 2 2 2 4 2 3 2" xfId="47137"/>
    <cellStyle name="20% - Accent1 5 2 2 2 4 2 4" xfId="22360"/>
    <cellStyle name="20% - Accent1 5 2 2 2 4 2 4 2" xfId="58484"/>
    <cellStyle name="20% - Accent1 5 2 2 2 4 2 5" xfId="35975"/>
    <cellStyle name="20% - Accent1 5 2 2 2 4 3" xfId="3265"/>
    <cellStyle name="20% - Accent1 5 2 2 2 4 3 2" xfId="15182"/>
    <cellStyle name="20% - Accent1 5 2 2 2 4 3 2 2" xfId="26983"/>
    <cellStyle name="20% - Accent1 5 2 2 2 4 3 2 2 2" xfId="58485"/>
    <cellStyle name="20% - Accent1 5 2 2 2 4 3 2 3" xfId="40598"/>
    <cellStyle name="20% - Accent1 5 2 2 2 4 3 3" xfId="8718"/>
    <cellStyle name="20% - Accent1 5 2 2 2 4 3 3 2" xfId="47138"/>
    <cellStyle name="20% - Accent1 5 2 2 2 4 3 4" xfId="20519"/>
    <cellStyle name="20% - Accent1 5 2 2 2 4 3 4 2" xfId="58486"/>
    <cellStyle name="20% - Accent1 5 2 2 2 4 3 5" xfId="34134"/>
    <cellStyle name="20% - Accent1 5 2 2 2 4 4" xfId="15183"/>
    <cellStyle name="20% - Accent1 5 2 2 2 4 4 2" xfId="26984"/>
    <cellStyle name="20% - Accent1 5 2 2 2 4 4 2 2" xfId="58487"/>
    <cellStyle name="20% - Accent1 5 2 2 2 4 4 3" xfId="40599"/>
    <cellStyle name="20% - Accent1 5 2 2 2 4 5" xfId="7117"/>
    <cellStyle name="20% - Accent1 5 2 2 2 4 5 2" xfId="47139"/>
    <cellStyle name="20% - Accent1 5 2 2 2 4 6" xfId="18918"/>
    <cellStyle name="20% - Accent1 5 2 2 2 4 6 2" xfId="58488"/>
    <cellStyle name="20% - Accent1 5 2 2 2 4 7" xfId="32533"/>
    <cellStyle name="20% - Accent1 5 2 2 2 5" xfId="3970"/>
    <cellStyle name="20% - Accent1 5 2 2 2 5 2" xfId="15184"/>
    <cellStyle name="20% - Accent1 5 2 2 2 5 2 2" xfId="26985"/>
    <cellStyle name="20% - Accent1 5 2 2 2 5 2 2 2" xfId="58489"/>
    <cellStyle name="20% - Accent1 5 2 2 2 5 2 3" xfId="40600"/>
    <cellStyle name="20% - Accent1 5 2 2 2 5 3" xfId="9423"/>
    <cellStyle name="20% - Accent1 5 2 2 2 5 3 2" xfId="47140"/>
    <cellStyle name="20% - Accent1 5 2 2 2 5 4" xfId="21224"/>
    <cellStyle name="20% - Accent1 5 2 2 2 5 4 2" xfId="58490"/>
    <cellStyle name="20% - Accent1 5 2 2 2 5 5" xfId="34839"/>
    <cellStyle name="20% - Accent1 5 2 2 2 6" xfId="2129"/>
    <cellStyle name="20% - Accent1 5 2 2 2 6 2" xfId="15185"/>
    <cellStyle name="20% - Accent1 5 2 2 2 6 2 2" xfId="26986"/>
    <cellStyle name="20% - Accent1 5 2 2 2 6 2 2 2" xfId="58491"/>
    <cellStyle name="20% - Accent1 5 2 2 2 6 2 3" xfId="40601"/>
    <cellStyle name="20% - Accent1 5 2 2 2 6 3" xfId="7582"/>
    <cellStyle name="20% - Accent1 5 2 2 2 6 3 2" xfId="47141"/>
    <cellStyle name="20% - Accent1 5 2 2 2 6 4" xfId="19383"/>
    <cellStyle name="20% - Accent1 5 2 2 2 6 4 2" xfId="58492"/>
    <cellStyle name="20% - Accent1 5 2 2 2 6 5" xfId="32998"/>
    <cellStyle name="20% - Accent1 5 2 2 2 7" xfId="15186"/>
    <cellStyle name="20% - Accent1 5 2 2 2 7 2" xfId="26987"/>
    <cellStyle name="20% - Accent1 5 2 2 2 7 2 2" xfId="58493"/>
    <cellStyle name="20% - Accent1 5 2 2 2 7 3" xfId="40602"/>
    <cellStyle name="20% - Accent1 5 2 2 2 8" xfId="5682"/>
    <cellStyle name="20% - Accent1 5 2 2 2 8 2" xfId="47142"/>
    <cellStyle name="20% - Accent1 5 2 2 2 9" xfId="17483"/>
    <cellStyle name="20% - Accent1 5 2 2 2 9 2" xfId="58494"/>
    <cellStyle name="20% - Accent1 5 2 2 3" xfId="393"/>
    <cellStyle name="20% - Accent1 5 2 2 3 2" xfId="1664"/>
    <cellStyle name="20% - Accent1 5 2 2 3 2 2" xfId="4703"/>
    <cellStyle name="20% - Accent1 5 2 2 3 2 2 2" xfId="15187"/>
    <cellStyle name="20% - Accent1 5 2 2 3 2 2 2 2" xfId="26988"/>
    <cellStyle name="20% - Accent1 5 2 2 3 2 2 2 2 2" xfId="58495"/>
    <cellStyle name="20% - Accent1 5 2 2 3 2 2 2 3" xfId="40603"/>
    <cellStyle name="20% - Accent1 5 2 2 3 2 2 3" xfId="10156"/>
    <cellStyle name="20% - Accent1 5 2 2 3 2 2 3 2" xfId="47143"/>
    <cellStyle name="20% - Accent1 5 2 2 3 2 2 4" xfId="21957"/>
    <cellStyle name="20% - Accent1 5 2 2 3 2 2 4 2" xfId="58496"/>
    <cellStyle name="20% - Accent1 5 2 2 3 2 2 5" xfId="35572"/>
    <cellStyle name="20% - Accent1 5 2 2 3 2 3" xfId="2862"/>
    <cellStyle name="20% - Accent1 5 2 2 3 2 3 2" xfId="15188"/>
    <cellStyle name="20% - Accent1 5 2 2 3 2 3 2 2" xfId="26989"/>
    <cellStyle name="20% - Accent1 5 2 2 3 2 3 2 2 2" xfId="58497"/>
    <cellStyle name="20% - Accent1 5 2 2 3 2 3 2 3" xfId="40604"/>
    <cellStyle name="20% - Accent1 5 2 2 3 2 3 3" xfId="8315"/>
    <cellStyle name="20% - Accent1 5 2 2 3 2 3 3 2" xfId="47144"/>
    <cellStyle name="20% - Accent1 5 2 2 3 2 3 4" xfId="20116"/>
    <cellStyle name="20% - Accent1 5 2 2 3 2 3 4 2" xfId="58498"/>
    <cellStyle name="20% - Accent1 5 2 2 3 2 3 5" xfId="33731"/>
    <cellStyle name="20% - Accent1 5 2 2 3 2 4" xfId="15189"/>
    <cellStyle name="20% - Accent1 5 2 2 3 2 4 2" xfId="26990"/>
    <cellStyle name="20% - Accent1 5 2 2 3 2 4 2 2" xfId="58499"/>
    <cellStyle name="20% - Accent1 5 2 2 3 2 4 3" xfId="40605"/>
    <cellStyle name="20% - Accent1 5 2 2 3 2 5" xfId="7118"/>
    <cellStyle name="20% - Accent1 5 2 2 3 2 5 2" xfId="47145"/>
    <cellStyle name="20% - Accent1 5 2 2 3 2 6" xfId="18919"/>
    <cellStyle name="20% - Accent1 5 2 2 3 2 6 2" xfId="58500"/>
    <cellStyle name="20% - Accent1 5 2 2 3 2 7" xfId="32534"/>
    <cellStyle name="20% - Accent1 5 2 2 3 3" xfId="3430"/>
    <cellStyle name="20% - Accent1 5 2 2 3 3 2" xfId="5271"/>
    <cellStyle name="20% - Accent1 5 2 2 3 3 2 2" xfId="16741"/>
    <cellStyle name="20% - Accent1 5 2 2 3 3 2 2 2" xfId="28542"/>
    <cellStyle name="20% - Accent1 5 2 2 3 3 2 2 2 2" xfId="58501"/>
    <cellStyle name="20% - Accent1 5 2 2 3 3 2 2 3" xfId="42157"/>
    <cellStyle name="20% - Accent1 5 2 2 3 3 2 3" xfId="10724"/>
    <cellStyle name="20% - Accent1 5 2 2 3 3 2 3 2" xfId="58502"/>
    <cellStyle name="20% - Accent1 5 2 2 3 3 2 4" xfId="22525"/>
    <cellStyle name="20% - Accent1 5 2 2 3 3 2 4 2" xfId="58503"/>
    <cellStyle name="20% - Accent1 5 2 2 3 3 2 5" xfId="36140"/>
    <cellStyle name="20% - Accent1 5 2 2 3 3 3" xfId="15190"/>
    <cellStyle name="20% - Accent1 5 2 2 3 3 3 2" xfId="26991"/>
    <cellStyle name="20% - Accent1 5 2 2 3 3 3 2 2" xfId="58504"/>
    <cellStyle name="20% - Accent1 5 2 2 3 3 3 3" xfId="40606"/>
    <cellStyle name="20% - Accent1 5 2 2 3 3 4" xfId="8883"/>
    <cellStyle name="20% - Accent1 5 2 2 3 3 4 2" xfId="58505"/>
    <cellStyle name="20% - Accent1 5 2 2 3 3 5" xfId="20684"/>
    <cellStyle name="20% - Accent1 5 2 2 3 3 5 2" xfId="58506"/>
    <cellStyle name="20% - Accent1 5 2 2 3 3 6" xfId="34299"/>
    <cellStyle name="20% - Accent1 5 2 2 3 4" xfId="4135"/>
    <cellStyle name="20% - Accent1 5 2 2 3 4 2" xfId="15191"/>
    <cellStyle name="20% - Accent1 5 2 2 3 4 2 2" xfId="26992"/>
    <cellStyle name="20% - Accent1 5 2 2 3 4 2 2 2" xfId="58507"/>
    <cellStyle name="20% - Accent1 5 2 2 3 4 2 3" xfId="40607"/>
    <cellStyle name="20% - Accent1 5 2 2 3 4 3" xfId="9588"/>
    <cellStyle name="20% - Accent1 5 2 2 3 4 3 2" xfId="47146"/>
    <cellStyle name="20% - Accent1 5 2 2 3 4 4" xfId="21389"/>
    <cellStyle name="20% - Accent1 5 2 2 3 4 4 2" xfId="58508"/>
    <cellStyle name="20% - Accent1 5 2 2 3 4 5" xfId="35004"/>
    <cellStyle name="20% - Accent1 5 2 2 3 5" xfId="2294"/>
    <cellStyle name="20% - Accent1 5 2 2 3 5 2" xfId="17172"/>
    <cellStyle name="20% - Accent1 5 2 2 3 5 2 2" xfId="28973"/>
    <cellStyle name="20% - Accent1 5 2 2 3 5 2 2 2" xfId="58509"/>
    <cellStyle name="20% - Accent1 5 2 2 3 5 2 3" xfId="42588"/>
    <cellStyle name="20% - Accent1 5 2 2 3 5 3" xfId="7747"/>
    <cellStyle name="20% - Accent1 5 2 2 3 5 3 2" xfId="58510"/>
    <cellStyle name="20% - Accent1 5 2 2 3 5 4" xfId="19548"/>
    <cellStyle name="20% - Accent1 5 2 2 3 5 4 2" xfId="58511"/>
    <cellStyle name="20% - Accent1 5 2 2 3 5 5" xfId="33163"/>
    <cellStyle name="20% - Accent1 5 2 2 3 6" xfId="15192"/>
    <cellStyle name="20% - Accent1 5 2 2 3 6 2" xfId="26993"/>
    <cellStyle name="20% - Accent1 5 2 2 3 6 2 2" xfId="58512"/>
    <cellStyle name="20% - Accent1 5 2 2 3 6 3" xfId="40608"/>
    <cellStyle name="20% - Accent1 5 2 2 3 7" xfId="5847"/>
    <cellStyle name="20% - Accent1 5 2 2 3 7 2" xfId="58513"/>
    <cellStyle name="20% - Accent1 5 2 2 3 8" xfId="17648"/>
    <cellStyle name="20% - Accent1 5 2 2 3 8 2" xfId="58514"/>
    <cellStyle name="20% - Accent1 5 2 2 3 9" xfId="31263"/>
    <cellStyle name="20% - Accent1 5 2 2 4" xfId="671"/>
    <cellStyle name="20% - Accent1 5 2 2 4 2" xfId="1665"/>
    <cellStyle name="20% - Accent1 5 2 2 4 2 2" xfId="4413"/>
    <cellStyle name="20% - Accent1 5 2 2 4 2 2 2" xfId="15193"/>
    <cellStyle name="20% - Accent1 5 2 2 4 2 2 2 2" xfId="26994"/>
    <cellStyle name="20% - Accent1 5 2 2 4 2 2 2 2 2" xfId="58515"/>
    <cellStyle name="20% - Accent1 5 2 2 4 2 2 2 3" xfId="40609"/>
    <cellStyle name="20% - Accent1 5 2 2 4 2 2 3" xfId="9866"/>
    <cellStyle name="20% - Accent1 5 2 2 4 2 2 3 2" xfId="47147"/>
    <cellStyle name="20% - Accent1 5 2 2 4 2 2 4" xfId="21667"/>
    <cellStyle name="20% - Accent1 5 2 2 4 2 2 4 2" xfId="58516"/>
    <cellStyle name="20% - Accent1 5 2 2 4 2 2 5" xfId="35282"/>
    <cellStyle name="20% - Accent1 5 2 2 4 2 3" xfId="15194"/>
    <cellStyle name="20% - Accent1 5 2 2 4 2 3 2" xfId="26995"/>
    <cellStyle name="20% - Accent1 5 2 2 4 2 3 2 2" xfId="47148"/>
    <cellStyle name="20% - Accent1 5 2 2 4 2 3 3" xfId="30418"/>
    <cellStyle name="20% - Accent1 5 2 2 4 2 3 3 2" xfId="47149"/>
    <cellStyle name="20% - Accent1 5 2 2 4 2 3 4" xfId="30419"/>
    <cellStyle name="20% - Accent1 5 2 2 4 2 3 4 2" xfId="58517"/>
    <cellStyle name="20% - Accent1 5 2 2 4 2 3 5" xfId="40610"/>
    <cellStyle name="20% - Accent1 5 2 2 4 2 4" xfId="15195"/>
    <cellStyle name="20% - Accent1 5 2 2 4 2 4 2" xfId="26996"/>
    <cellStyle name="20% - Accent1 5 2 2 4 2 4 2 2" xfId="58518"/>
    <cellStyle name="20% - Accent1 5 2 2 4 2 4 3" xfId="40611"/>
    <cellStyle name="20% - Accent1 5 2 2 4 2 5" xfId="7119"/>
    <cellStyle name="20% - Accent1 5 2 2 4 2 5 2" xfId="47150"/>
    <cellStyle name="20% - Accent1 5 2 2 4 2 6" xfId="18920"/>
    <cellStyle name="20% - Accent1 5 2 2 4 2 6 2" xfId="58519"/>
    <cellStyle name="20% - Accent1 5 2 2 4 2 7" xfId="32535"/>
    <cellStyle name="20% - Accent1 5 2 2 4 3" xfId="2572"/>
    <cellStyle name="20% - Accent1 5 2 2 4 3 2" xfId="15196"/>
    <cellStyle name="20% - Accent1 5 2 2 4 3 2 2" xfId="26997"/>
    <cellStyle name="20% - Accent1 5 2 2 4 3 2 2 2" xfId="58520"/>
    <cellStyle name="20% - Accent1 5 2 2 4 3 2 3" xfId="40612"/>
    <cellStyle name="20% - Accent1 5 2 2 4 3 3" xfId="8025"/>
    <cellStyle name="20% - Accent1 5 2 2 4 3 3 2" xfId="47151"/>
    <cellStyle name="20% - Accent1 5 2 2 4 3 4" xfId="19826"/>
    <cellStyle name="20% - Accent1 5 2 2 4 3 4 2" xfId="58521"/>
    <cellStyle name="20% - Accent1 5 2 2 4 3 5" xfId="33441"/>
    <cellStyle name="20% - Accent1 5 2 2 4 4" xfId="15197"/>
    <cellStyle name="20% - Accent1 5 2 2 4 4 2" xfId="26998"/>
    <cellStyle name="20% - Accent1 5 2 2 4 4 2 2" xfId="47152"/>
    <cellStyle name="20% - Accent1 5 2 2 4 4 3" xfId="30420"/>
    <cellStyle name="20% - Accent1 5 2 2 4 4 3 2" xfId="47153"/>
    <cellStyle name="20% - Accent1 5 2 2 4 4 4" xfId="30421"/>
    <cellStyle name="20% - Accent1 5 2 2 4 4 4 2" xfId="58522"/>
    <cellStyle name="20% - Accent1 5 2 2 4 4 5" xfId="40613"/>
    <cellStyle name="20% - Accent1 5 2 2 4 5" xfId="15198"/>
    <cellStyle name="20% - Accent1 5 2 2 4 5 2" xfId="26999"/>
    <cellStyle name="20% - Accent1 5 2 2 4 5 2 2" xfId="58523"/>
    <cellStyle name="20% - Accent1 5 2 2 4 5 3" xfId="40614"/>
    <cellStyle name="20% - Accent1 5 2 2 4 6" xfId="6125"/>
    <cellStyle name="20% - Accent1 5 2 2 4 6 2" xfId="47154"/>
    <cellStyle name="20% - Accent1 5 2 2 4 7" xfId="17926"/>
    <cellStyle name="20% - Accent1 5 2 2 4 7 2" xfId="58524"/>
    <cellStyle name="20% - Accent1 5 2 2 4 8" xfId="31541"/>
    <cellStyle name="20% - Accent1 5 2 2 5" xfId="912"/>
    <cellStyle name="20% - Accent1 5 2 2 5 2" xfId="1666"/>
    <cellStyle name="20% - Accent1 5 2 2 5 2 2" xfId="4981"/>
    <cellStyle name="20% - Accent1 5 2 2 5 2 2 2" xfId="15199"/>
    <cellStyle name="20% - Accent1 5 2 2 5 2 2 2 2" xfId="27000"/>
    <cellStyle name="20% - Accent1 5 2 2 5 2 2 2 2 2" xfId="58525"/>
    <cellStyle name="20% - Accent1 5 2 2 5 2 2 2 3" xfId="40615"/>
    <cellStyle name="20% - Accent1 5 2 2 5 2 2 3" xfId="10434"/>
    <cellStyle name="20% - Accent1 5 2 2 5 2 2 3 2" xfId="47155"/>
    <cellStyle name="20% - Accent1 5 2 2 5 2 2 4" xfId="22235"/>
    <cellStyle name="20% - Accent1 5 2 2 5 2 2 4 2" xfId="58526"/>
    <cellStyle name="20% - Accent1 5 2 2 5 2 2 5" xfId="35850"/>
    <cellStyle name="20% - Accent1 5 2 2 5 2 3" xfId="15200"/>
    <cellStyle name="20% - Accent1 5 2 2 5 2 3 2" xfId="27001"/>
    <cellStyle name="20% - Accent1 5 2 2 5 2 3 2 2" xfId="47156"/>
    <cellStyle name="20% - Accent1 5 2 2 5 2 3 3" xfId="30422"/>
    <cellStyle name="20% - Accent1 5 2 2 5 2 3 3 2" xfId="47157"/>
    <cellStyle name="20% - Accent1 5 2 2 5 2 3 4" xfId="30423"/>
    <cellStyle name="20% - Accent1 5 2 2 5 2 3 4 2" xfId="58527"/>
    <cellStyle name="20% - Accent1 5 2 2 5 2 3 5" xfId="40616"/>
    <cellStyle name="20% - Accent1 5 2 2 5 2 4" xfId="15201"/>
    <cellStyle name="20% - Accent1 5 2 2 5 2 4 2" xfId="27002"/>
    <cellStyle name="20% - Accent1 5 2 2 5 2 4 2 2" xfId="58528"/>
    <cellStyle name="20% - Accent1 5 2 2 5 2 4 3" xfId="40617"/>
    <cellStyle name="20% - Accent1 5 2 2 5 2 5" xfId="7120"/>
    <cellStyle name="20% - Accent1 5 2 2 5 2 5 2" xfId="47158"/>
    <cellStyle name="20% - Accent1 5 2 2 5 2 6" xfId="18921"/>
    <cellStyle name="20% - Accent1 5 2 2 5 2 6 2" xfId="58529"/>
    <cellStyle name="20% - Accent1 5 2 2 5 2 7" xfId="32536"/>
    <cellStyle name="20% - Accent1 5 2 2 5 3" xfId="3140"/>
    <cellStyle name="20% - Accent1 5 2 2 5 3 2" xfId="15202"/>
    <cellStyle name="20% - Accent1 5 2 2 5 3 2 2" xfId="27003"/>
    <cellStyle name="20% - Accent1 5 2 2 5 3 2 2 2" xfId="58530"/>
    <cellStyle name="20% - Accent1 5 2 2 5 3 2 3" xfId="40618"/>
    <cellStyle name="20% - Accent1 5 2 2 5 3 3" xfId="8593"/>
    <cellStyle name="20% - Accent1 5 2 2 5 3 3 2" xfId="47159"/>
    <cellStyle name="20% - Accent1 5 2 2 5 3 4" xfId="20394"/>
    <cellStyle name="20% - Accent1 5 2 2 5 3 4 2" xfId="58531"/>
    <cellStyle name="20% - Accent1 5 2 2 5 3 5" xfId="34009"/>
    <cellStyle name="20% - Accent1 5 2 2 5 4" xfId="15203"/>
    <cellStyle name="20% - Accent1 5 2 2 5 4 2" xfId="27004"/>
    <cellStyle name="20% - Accent1 5 2 2 5 4 2 2" xfId="47160"/>
    <cellStyle name="20% - Accent1 5 2 2 5 4 3" xfId="30424"/>
    <cellStyle name="20% - Accent1 5 2 2 5 4 3 2" xfId="47161"/>
    <cellStyle name="20% - Accent1 5 2 2 5 4 4" xfId="30425"/>
    <cellStyle name="20% - Accent1 5 2 2 5 4 4 2" xfId="58532"/>
    <cellStyle name="20% - Accent1 5 2 2 5 4 5" xfId="40619"/>
    <cellStyle name="20% - Accent1 5 2 2 5 5" xfId="15204"/>
    <cellStyle name="20% - Accent1 5 2 2 5 5 2" xfId="27005"/>
    <cellStyle name="20% - Accent1 5 2 2 5 5 2 2" xfId="58533"/>
    <cellStyle name="20% - Accent1 5 2 2 5 5 3" xfId="40620"/>
    <cellStyle name="20% - Accent1 5 2 2 5 6" xfId="6366"/>
    <cellStyle name="20% - Accent1 5 2 2 5 6 2" xfId="47162"/>
    <cellStyle name="20% - Accent1 5 2 2 5 7" xfId="18167"/>
    <cellStyle name="20% - Accent1 5 2 2 5 7 2" xfId="58534"/>
    <cellStyle name="20% - Accent1 5 2 2 5 8" xfId="31782"/>
    <cellStyle name="20% - Accent1 5 2 2 6" xfId="1667"/>
    <cellStyle name="20% - Accent1 5 2 2 6 2" xfId="3845"/>
    <cellStyle name="20% - Accent1 5 2 2 6 2 2" xfId="15205"/>
    <cellStyle name="20% - Accent1 5 2 2 6 2 2 2" xfId="27006"/>
    <cellStyle name="20% - Accent1 5 2 2 6 2 2 2 2" xfId="58535"/>
    <cellStyle name="20% - Accent1 5 2 2 6 2 2 3" xfId="40621"/>
    <cellStyle name="20% - Accent1 5 2 2 6 2 3" xfId="9298"/>
    <cellStyle name="20% - Accent1 5 2 2 6 2 3 2" xfId="47163"/>
    <cellStyle name="20% - Accent1 5 2 2 6 2 4" xfId="21099"/>
    <cellStyle name="20% - Accent1 5 2 2 6 2 4 2" xfId="58536"/>
    <cellStyle name="20% - Accent1 5 2 2 6 2 5" xfId="34714"/>
    <cellStyle name="20% - Accent1 5 2 2 6 3" xfId="15206"/>
    <cellStyle name="20% - Accent1 5 2 2 6 3 2" xfId="27007"/>
    <cellStyle name="20% - Accent1 5 2 2 6 3 2 2" xfId="47164"/>
    <cellStyle name="20% - Accent1 5 2 2 6 3 3" xfId="30426"/>
    <cellStyle name="20% - Accent1 5 2 2 6 3 3 2" xfId="47165"/>
    <cellStyle name="20% - Accent1 5 2 2 6 3 4" xfId="30427"/>
    <cellStyle name="20% - Accent1 5 2 2 6 3 4 2" xfId="58537"/>
    <cellStyle name="20% - Accent1 5 2 2 6 3 5" xfId="40622"/>
    <cellStyle name="20% - Accent1 5 2 2 6 4" xfId="15207"/>
    <cellStyle name="20% - Accent1 5 2 2 6 4 2" xfId="27008"/>
    <cellStyle name="20% - Accent1 5 2 2 6 4 2 2" xfId="58538"/>
    <cellStyle name="20% - Accent1 5 2 2 6 4 3" xfId="40623"/>
    <cellStyle name="20% - Accent1 5 2 2 6 5" xfId="7121"/>
    <cellStyle name="20% - Accent1 5 2 2 6 5 2" xfId="47166"/>
    <cellStyle name="20% - Accent1 5 2 2 6 6" xfId="18922"/>
    <cellStyle name="20% - Accent1 5 2 2 6 6 2" xfId="58539"/>
    <cellStyle name="20% - Accent1 5 2 2 6 7" xfId="32537"/>
    <cellStyle name="20% - Accent1 5 2 2 7" xfId="3708"/>
    <cellStyle name="20% - Accent1 5 2 2 7 2" xfId="15208"/>
    <cellStyle name="20% - Accent1 5 2 2 7 2 2" xfId="27009"/>
    <cellStyle name="20% - Accent1 5 2 2 7 2 2 2" xfId="58540"/>
    <cellStyle name="20% - Accent1 5 2 2 7 2 3" xfId="40624"/>
    <cellStyle name="20% - Accent1 5 2 2 7 3" xfId="9161"/>
    <cellStyle name="20% - Accent1 5 2 2 7 3 2" xfId="47167"/>
    <cellStyle name="20% - Accent1 5 2 2 7 4" xfId="20962"/>
    <cellStyle name="20% - Accent1 5 2 2 7 4 2" xfId="58541"/>
    <cellStyle name="20% - Accent1 5 2 2 7 5" xfId="34577"/>
    <cellStyle name="20% - Accent1 5 2 2 8" xfId="2004"/>
    <cellStyle name="20% - Accent1 5 2 2 8 2" xfId="15209"/>
    <cellStyle name="20% - Accent1 5 2 2 8 2 2" xfId="27010"/>
    <cellStyle name="20% - Accent1 5 2 2 8 2 2 2" xfId="58542"/>
    <cellStyle name="20% - Accent1 5 2 2 8 2 3" xfId="40625"/>
    <cellStyle name="20% - Accent1 5 2 2 8 3" xfId="7457"/>
    <cellStyle name="20% - Accent1 5 2 2 8 3 2" xfId="47168"/>
    <cellStyle name="20% - Accent1 5 2 2 8 4" xfId="19258"/>
    <cellStyle name="20% - Accent1 5 2 2 8 4 2" xfId="58543"/>
    <cellStyle name="20% - Accent1 5 2 2 8 5" xfId="32873"/>
    <cellStyle name="20% - Accent1 5 2 2 9" xfId="15210"/>
    <cellStyle name="20% - Accent1 5 2 2 9 2" xfId="27011"/>
    <cellStyle name="20% - Accent1 5 2 2 9 2 2" xfId="58544"/>
    <cellStyle name="20% - Accent1 5 2 2 9 3" xfId="40626"/>
    <cellStyle name="20% - Accent1 5 2 3" xfId="180"/>
    <cellStyle name="20% - Accent1 5 2 3 10" xfId="31050"/>
    <cellStyle name="20% - Accent1 5 2 3 2" xfId="326"/>
    <cellStyle name="20% - Accent1 5 2 3 2 2" xfId="1668"/>
    <cellStyle name="20% - Accent1 5 2 3 2 2 2" xfId="4636"/>
    <cellStyle name="20% - Accent1 5 2 3 2 2 2 2" xfId="15211"/>
    <cellStyle name="20% - Accent1 5 2 3 2 2 2 2 2" xfId="27012"/>
    <cellStyle name="20% - Accent1 5 2 3 2 2 2 2 2 2" xfId="58545"/>
    <cellStyle name="20% - Accent1 5 2 3 2 2 2 2 3" xfId="40627"/>
    <cellStyle name="20% - Accent1 5 2 3 2 2 2 3" xfId="10089"/>
    <cellStyle name="20% - Accent1 5 2 3 2 2 2 3 2" xfId="47169"/>
    <cellStyle name="20% - Accent1 5 2 3 2 2 2 4" xfId="21890"/>
    <cellStyle name="20% - Accent1 5 2 3 2 2 2 4 2" xfId="58546"/>
    <cellStyle name="20% - Accent1 5 2 3 2 2 2 5" xfId="35505"/>
    <cellStyle name="20% - Accent1 5 2 3 2 2 3" xfId="2795"/>
    <cellStyle name="20% - Accent1 5 2 3 2 2 3 2" xfId="15212"/>
    <cellStyle name="20% - Accent1 5 2 3 2 2 3 2 2" xfId="27013"/>
    <cellStyle name="20% - Accent1 5 2 3 2 2 3 2 2 2" xfId="58547"/>
    <cellStyle name="20% - Accent1 5 2 3 2 2 3 2 3" xfId="40628"/>
    <cellStyle name="20% - Accent1 5 2 3 2 2 3 3" xfId="8248"/>
    <cellStyle name="20% - Accent1 5 2 3 2 2 3 3 2" xfId="47170"/>
    <cellStyle name="20% - Accent1 5 2 3 2 2 3 4" xfId="20049"/>
    <cellStyle name="20% - Accent1 5 2 3 2 2 3 4 2" xfId="58548"/>
    <cellStyle name="20% - Accent1 5 2 3 2 2 3 5" xfId="33664"/>
    <cellStyle name="20% - Accent1 5 2 3 2 2 4" xfId="15213"/>
    <cellStyle name="20% - Accent1 5 2 3 2 2 4 2" xfId="27014"/>
    <cellStyle name="20% - Accent1 5 2 3 2 2 4 2 2" xfId="58549"/>
    <cellStyle name="20% - Accent1 5 2 3 2 2 4 3" xfId="40629"/>
    <cellStyle name="20% - Accent1 5 2 3 2 2 5" xfId="7122"/>
    <cellStyle name="20% - Accent1 5 2 3 2 2 5 2" xfId="47171"/>
    <cellStyle name="20% - Accent1 5 2 3 2 2 6" xfId="18923"/>
    <cellStyle name="20% - Accent1 5 2 3 2 2 6 2" xfId="58550"/>
    <cellStyle name="20% - Accent1 5 2 3 2 2 7" xfId="32538"/>
    <cellStyle name="20% - Accent1 5 2 3 2 3" xfId="3363"/>
    <cellStyle name="20% - Accent1 5 2 3 2 3 2" xfId="5204"/>
    <cellStyle name="20% - Accent1 5 2 3 2 3 2 2" xfId="16674"/>
    <cellStyle name="20% - Accent1 5 2 3 2 3 2 2 2" xfId="28475"/>
    <cellStyle name="20% - Accent1 5 2 3 2 3 2 2 2 2" xfId="58551"/>
    <cellStyle name="20% - Accent1 5 2 3 2 3 2 2 3" xfId="42090"/>
    <cellStyle name="20% - Accent1 5 2 3 2 3 2 3" xfId="10657"/>
    <cellStyle name="20% - Accent1 5 2 3 2 3 2 3 2" xfId="58552"/>
    <cellStyle name="20% - Accent1 5 2 3 2 3 2 4" xfId="22458"/>
    <cellStyle name="20% - Accent1 5 2 3 2 3 2 4 2" xfId="58553"/>
    <cellStyle name="20% - Accent1 5 2 3 2 3 2 5" xfId="36073"/>
    <cellStyle name="20% - Accent1 5 2 3 2 3 3" xfId="15214"/>
    <cellStyle name="20% - Accent1 5 2 3 2 3 3 2" xfId="27015"/>
    <cellStyle name="20% - Accent1 5 2 3 2 3 3 2 2" xfId="58554"/>
    <cellStyle name="20% - Accent1 5 2 3 2 3 3 3" xfId="40630"/>
    <cellStyle name="20% - Accent1 5 2 3 2 3 4" xfId="8816"/>
    <cellStyle name="20% - Accent1 5 2 3 2 3 4 2" xfId="58555"/>
    <cellStyle name="20% - Accent1 5 2 3 2 3 5" xfId="20617"/>
    <cellStyle name="20% - Accent1 5 2 3 2 3 5 2" xfId="58556"/>
    <cellStyle name="20% - Accent1 5 2 3 2 3 6" xfId="34232"/>
    <cellStyle name="20% - Accent1 5 2 3 2 4" xfId="4068"/>
    <cellStyle name="20% - Accent1 5 2 3 2 4 2" xfId="15215"/>
    <cellStyle name="20% - Accent1 5 2 3 2 4 2 2" xfId="27016"/>
    <cellStyle name="20% - Accent1 5 2 3 2 4 2 2 2" xfId="58557"/>
    <cellStyle name="20% - Accent1 5 2 3 2 4 2 3" xfId="40631"/>
    <cellStyle name="20% - Accent1 5 2 3 2 4 3" xfId="9521"/>
    <cellStyle name="20% - Accent1 5 2 3 2 4 3 2" xfId="47172"/>
    <cellStyle name="20% - Accent1 5 2 3 2 4 4" xfId="21322"/>
    <cellStyle name="20% - Accent1 5 2 3 2 4 4 2" xfId="58558"/>
    <cellStyle name="20% - Accent1 5 2 3 2 4 5" xfId="34937"/>
    <cellStyle name="20% - Accent1 5 2 3 2 5" xfId="2227"/>
    <cellStyle name="20% - Accent1 5 2 3 2 5 2" xfId="17173"/>
    <cellStyle name="20% - Accent1 5 2 3 2 5 2 2" xfId="28974"/>
    <cellStyle name="20% - Accent1 5 2 3 2 5 2 2 2" xfId="58559"/>
    <cellStyle name="20% - Accent1 5 2 3 2 5 2 3" xfId="42589"/>
    <cellStyle name="20% - Accent1 5 2 3 2 5 3" xfId="7680"/>
    <cellStyle name="20% - Accent1 5 2 3 2 5 3 2" xfId="58560"/>
    <cellStyle name="20% - Accent1 5 2 3 2 5 4" xfId="19481"/>
    <cellStyle name="20% - Accent1 5 2 3 2 5 4 2" xfId="58561"/>
    <cellStyle name="20% - Accent1 5 2 3 2 5 5" xfId="33096"/>
    <cellStyle name="20% - Accent1 5 2 3 2 6" xfId="15216"/>
    <cellStyle name="20% - Accent1 5 2 3 2 6 2" xfId="27017"/>
    <cellStyle name="20% - Accent1 5 2 3 2 6 2 2" xfId="58562"/>
    <cellStyle name="20% - Accent1 5 2 3 2 6 3" xfId="40632"/>
    <cellStyle name="20% - Accent1 5 2 3 2 7" xfId="5780"/>
    <cellStyle name="20% - Accent1 5 2 3 2 7 2" xfId="58563"/>
    <cellStyle name="20% - Accent1 5 2 3 2 8" xfId="17581"/>
    <cellStyle name="20% - Accent1 5 2 3 2 8 2" xfId="58564"/>
    <cellStyle name="20% - Accent1 5 2 3 2 9" xfId="31196"/>
    <cellStyle name="20% - Accent1 5 2 3 3" xfId="748"/>
    <cellStyle name="20% - Accent1 5 2 3 3 2" xfId="1669"/>
    <cellStyle name="20% - Accent1 5 2 3 3 2 2" xfId="4490"/>
    <cellStyle name="20% - Accent1 5 2 3 3 2 2 2" xfId="15217"/>
    <cellStyle name="20% - Accent1 5 2 3 3 2 2 2 2" xfId="27018"/>
    <cellStyle name="20% - Accent1 5 2 3 3 2 2 2 2 2" xfId="58565"/>
    <cellStyle name="20% - Accent1 5 2 3 3 2 2 2 3" xfId="40633"/>
    <cellStyle name="20% - Accent1 5 2 3 3 2 2 3" xfId="9943"/>
    <cellStyle name="20% - Accent1 5 2 3 3 2 2 3 2" xfId="47173"/>
    <cellStyle name="20% - Accent1 5 2 3 3 2 2 4" xfId="21744"/>
    <cellStyle name="20% - Accent1 5 2 3 3 2 2 4 2" xfId="58566"/>
    <cellStyle name="20% - Accent1 5 2 3 3 2 2 5" xfId="35359"/>
    <cellStyle name="20% - Accent1 5 2 3 3 2 3" xfId="15218"/>
    <cellStyle name="20% - Accent1 5 2 3 3 2 3 2" xfId="27019"/>
    <cellStyle name="20% - Accent1 5 2 3 3 2 3 2 2" xfId="47174"/>
    <cellStyle name="20% - Accent1 5 2 3 3 2 3 3" xfId="30428"/>
    <cellStyle name="20% - Accent1 5 2 3 3 2 3 3 2" xfId="47175"/>
    <cellStyle name="20% - Accent1 5 2 3 3 2 3 4" xfId="30429"/>
    <cellStyle name="20% - Accent1 5 2 3 3 2 3 4 2" xfId="58567"/>
    <cellStyle name="20% - Accent1 5 2 3 3 2 3 5" xfId="40634"/>
    <cellStyle name="20% - Accent1 5 2 3 3 2 4" xfId="15219"/>
    <cellStyle name="20% - Accent1 5 2 3 3 2 4 2" xfId="27020"/>
    <cellStyle name="20% - Accent1 5 2 3 3 2 4 2 2" xfId="58568"/>
    <cellStyle name="20% - Accent1 5 2 3 3 2 4 3" xfId="40635"/>
    <cellStyle name="20% - Accent1 5 2 3 3 2 5" xfId="7123"/>
    <cellStyle name="20% - Accent1 5 2 3 3 2 5 2" xfId="47176"/>
    <cellStyle name="20% - Accent1 5 2 3 3 2 6" xfId="18924"/>
    <cellStyle name="20% - Accent1 5 2 3 3 2 6 2" xfId="58569"/>
    <cellStyle name="20% - Accent1 5 2 3 3 2 7" xfId="32539"/>
    <cellStyle name="20% - Accent1 5 2 3 3 3" xfId="2649"/>
    <cellStyle name="20% - Accent1 5 2 3 3 3 2" xfId="15220"/>
    <cellStyle name="20% - Accent1 5 2 3 3 3 2 2" xfId="27021"/>
    <cellStyle name="20% - Accent1 5 2 3 3 3 2 2 2" xfId="58570"/>
    <cellStyle name="20% - Accent1 5 2 3 3 3 2 3" xfId="40636"/>
    <cellStyle name="20% - Accent1 5 2 3 3 3 3" xfId="8102"/>
    <cellStyle name="20% - Accent1 5 2 3 3 3 3 2" xfId="47177"/>
    <cellStyle name="20% - Accent1 5 2 3 3 3 4" xfId="19903"/>
    <cellStyle name="20% - Accent1 5 2 3 3 3 4 2" xfId="58571"/>
    <cellStyle name="20% - Accent1 5 2 3 3 3 5" xfId="33518"/>
    <cellStyle name="20% - Accent1 5 2 3 3 4" xfId="15221"/>
    <cellStyle name="20% - Accent1 5 2 3 3 4 2" xfId="27022"/>
    <cellStyle name="20% - Accent1 5 2 3 3 4 2 2" xfId="47178"/>
    <cellStyle name="20% - Accent1 5 2 3 3 4 3" xfId="30430"/>
    <cellStyle name="20% - Accent1 5 2 3 3 4 3 2" xfId="47179"/>
    <cellStyle name="20% - Accent1 5 2 3 3 4 4" xfId="30431"/>
    <cellStyle name="20% - Accent1 5 2 3 3 4 4 2" xfId="58572"/>
    <cellStyle name="20% - Accent1 5 2 3 3 4 5" xfId="40637"/>
    <cellStyle name="20% - Accent1 5 2 3 3 5" xfId="15222"/>
    <cellStyle name="20% - Accent1 5 2 3 3 5 2" xfId="27023"/>
    <cellStyle name="20% - Accent1 5 2 3 3 5 2 2" xfId="58573"/>
    <cellStyle name="20% - Accent1 5 2 3 3 5 3" xfId="40638"/>
    <cellStyle name="20% - Accent1 5 2 3 3 6" xfId="6202"/>
    <cellStyle name="20% - Accent1 5 2 3 3 6 2" xfId="47180"/>
    <cellStyle name="20% - Accent1 5 2 3 3 7" xfId="18003"/>
    <cellStyle name="20% - Accent1 5 2 3 3 7 2" xfId="58574"/>
    <cellStyle name="20% - Accent1 5 2 3 3 8" xfId="31618"/>
    <cellStyle name="20% - Accent1 5 2 3 4" xfId="1670"/>
    <cellStyle name="20% - Accent1 5 2 3 4 2" xfId="5058"/>
    <cellStyle name="20% - Accent1 5 2 3 4 2 2" xfId="15223"/>
    <cellStyle name="20% - Accent1 5 2 3 4 2 2 2" xfId="27024"/>
    <cellStyle name="20% - Accent1 5 2 3 4 2 2 2 2" xfId="58575"/>
    <cellStyle name="20% - Accent1 5 2 3 4 2 2 3" xfId="40639"/>
    <cellStyle name="20% - Accent1 5 2 3 4 2 3" xfId="10511"/>
    <cellStyle name="20% - Accent1 5 2 3 4 2 3 2" xfId="47181"/>
    <cellStyle name="20% - Accent1 5 2 3 4 2 4" xfId="22312"/>
    <cellStyle name="20% - Accent1 5 2 3 4 2 4 2" xfId="58576"/>
    <cellStyle name="20% - Accent1 5 2 3 4 2 5" xfId="35927"/>
    <cellStyle name="20% - Accent1 5 2 3 4 3" xfId="3217"/>
    <cellStyle name="20% - Accent1 5 2 3 4 3 2" xfId="15224"/>
    <cellStyle name="20% - Accent1 5 2 3 4 3 2 2" xfId="27025"/>
    <cellStyle name="20% - Accent1 5 2 3 4 3 2 2 2" xfId="58577"/>
    <cellStyle name="20% - Accent1 5 2 3 4 3 2 3" xfId="40640"/>
    <cellStyle name="20% - Accent1 5 2 3 4 3 3" xfId="8670"/>
    <cellStyle name="20% - Accent1 5 2 3 4 3 3 2" xfId="47182"/>
    <cellStyle name="20% - Accent1 5 2 3 4 3 4" xfId="20471"/>
    <cellStyle name="20% - Accent1 5 2 3 4 3 4 2" xfId="58578"/>
    <cellStyle name="20% - Accent1 5 2 3 4 3 5" xfId="34086"/>
    <cellStyle name="20% - Accent1 5 2 3 4 4" xfId="15225"/>
    <cellStyle name="20% - Accent1 5 2 3 4 4 2" xfId="27026"/>
    <cellStyle name="20% - Accent1 5 2 3 4 4 2 2" xfId="58579"/>
    <cellStyle name="20% - Accent1 5 2 3 4 4 3" xfId="40641"/>
    <cellStyle name="20% - Accent1 5 2 3 4 5" xfId="7124"/>
    <cellStyle name="20% - Accent1 5 2 3 4 5 2" xfId="47183"/>
    <cellStyle name="20% - Accent1 5 2 3 4 6" xfId="18925"/>
    <cellStyle name="20% - Accent1 5 2 3 4 6 2" xfId="58580"/>
    <cellStyle name="20% - Accent1 5 2 3 4 7" xfId="32540"/>
    <cellStyle name="20% - Accent1 5 2 3 5" xfId="3922"/>
    <cellStyle name="20% - Accent1 5 2 3 5 2" xfId="15226"/>
    <cellStyle name="20% - Accent1 5 2 3 5 2 2" xfId="27027"/>
    <cellStyle name="20% - Accent1 5 2 3 5 2 2 2" xfId="58581"/>
    <cellStyle name="20% - Accent1 5 2 3 5 2 3" xfId="40642"/>
    <cellStyle name="20% - Accent1 5 2 3 5 3" xfId="9375"/>
    <cellStyle name="20% - Accent1 5 2 3 5 3 2" xfId="47184"/>
    <cellStyle name="20% - Accent1 5 2 3 5 4" xfId="21176"/>
    <cellStyle name="20% - Accent1 5 2 3 5 4 2" xfId="58582"/>
    <cellStyle name="20% - Accent1 5 2 3 5 5" xfId="34791"/>
    <cellStyle name="20% - Accent1 5 2 3 6" xfId="2081"/>
    <cellStyle name="20% - Accent1 5 2 3 6 2" xfId="15227"/>
    <cellStyle name="20% - Accent1 5 2 3 6 2 2" xfId="27028"/>
    <cellStyle name="20% - Accent1 5 2 3 6 2 2 2" xfId="58583"/>
    <cellStyle name="20% - Accent1 5 2 3 6 2 3" xfId="40643"/>
    <cellStyle name="20% - Accent1 5 2 3 6 3" xfId="7534"/>
    <cellStyle name="20% - Accent1 5 2 3 6 3 2" xfId="47185"/>
    <cellStyle name="20% - Accent1 5 2 3 6 4" xfId="19335"/>
    <cellStyle name="20% - Accent1 5 2 3 6 4 2" xfId="58584"/>
    <cellStyle name="20% - Accent1 5 2 3 6 5" xfId="32950"/>
    <cellStyle name="20% - Accent1 5 2 3 7" xfId="15228"/>
    <cellStyle name="20% - Accent1 5 2 3 7 2" xfId="27029"/>
    <cellStyle name="20% - Accent1 5 2 3 7 2 2" xfId="58585"/>
    <cellStyle name="20% - Accent1 5 2 3 7 3" xfId="40644"/>
    <cellStyle name="20% - Accent1 5 2 3 8" xfId="5634"/>
    <cellStyle name="20% - Accent1 5 2 3 8 2" xfId="47186"/>
    <cellStyle name="20% - Accent1 5 2 3 9" xfId="17435"/>
    <cellStyle name="20% - Accent1 5 2 3 9 2" xfId="58586"/>
    <cellStyle name="20% - Accent1 5 2 4" xfId="463"/>
    <cellStyle name="20% - Accent1 5 2 4 2" xfId="1671"/>
    <cellStyle name="20% - Accent1 5 2 4 2 2" xfId="4773"/>
    <cellStyle name="20% - Accent1 5 2 4 2 2 2" xfId="15229"/>
    <cellStyle name="20% - Accent1 5 2 4 2 2 2 2" xfId="27030"/>
    <cellStyle name="20% - Accent1 5 2 4 2 2 2 2 2" xfId="58587"/>
    <cellStyle name="20% - Accent1 5 2 4 2 2 2 3" xfId="40645"/>
    <cellStyle name="20% - Accent1 5 2 4 2 2 3" xfId="10226"/>
    <cellStyle name="20% - Accent1 5 2 4 2 2 3 2" xfId="47187"/>
    <cellStyle name="20% - Accent1 5 2 4 2 2 4" xfId="22027"/>
    <cellStyle name="20% - Accent1 5 2 4 2 2 4 2" xfId="58588"/>
    <cellStyle name="20% - Accent1 5 2 4 2 2 5" xfId="35642"/>
    <cellStyle name="20% - Accent1 5 2 4 2 3" xfId="2932"/>
    <cellStyle name="20% - Accent1 5 2 4 2 3 2" xfId="15230"/>
    <cellStyle name="20% - Accent1 5 2 4 2 3 2 2" xfId="27031"/>
    <cellStyle name="20% - Accent1 5 2 4 2 3 2 2 2" xfId="58589"/>
    <cellStyle name="20% - Accent1 5 2 4 2 3 2 3" xfId="40646"/>
    <cellStyle name="20% - Accent1 5 2 4 2 3 3" xfId="8385"/>
    <cellStyle name="20% - Accent1 5 2 4 2 3 3 2" xfId="47188"/>
    <cellStyle name="20% - Accent1 5 2 4 2 3 4" xfId="20186"/>
    <cellStyle name="20% - Accent1 5 2 4 2 3 4 2" xfId="58590"/>
    <cellStyle name="20% - Accent1 5 2 4 2 3 5" xfId="33801"/>
    <cellStyle name="20% - Accent1 5 2 4 2 4" xfId="15231"/>
    <cellStyle name="20% - Accent1 5 2 4 2 4 2" xfId="27032"/>
    <cellStyle name="20% - Accent1 5 2 4 2 4 2 2" xfId="58591"/>
    <cellStyle name="20% - Accent1 5 2 4 2 4 3" xfId="40647"/>
    <cellStyle name="20% - Accent1 5 2 4 2 5" xfId="7125"/>
    <cellStyle name="20% - Accent1 5 2 4 2 5 2" xfId="47189"/>
    <cellStyle name="20% - Accent1 5 2 4 2 6" xfId="18926"/>
    <cellStyle name="20% - Accent1 5 2 4 2 6 2" xfId="58592"/>
    <cellStyle name="20% - Accent1 5 2 4 2 7" xfId="32541"/>
    <cellStyle name="20% - Accent1 5 2 4 3" xfId="3500"/>
    <cellStyle name="20% - Accent1 5 2 4 3 2" xfId="5341"/>
    <cellStyle name="20% - Accent1 5 2 4 3 2 2" xfId="16811"/>
    <cellStyle name="20% - Accent1 5 2 4 3 2 2 2" xfId="28612"/>
    <cellStyle name="20% - Accent1 5 2 4 3 2 2 2 2" xfId="58593"/>
    <cellStyle name="20% - Accent1 5 2 4 3 2 2 3" xfId="42227"/>
    <cellStyle name="20% - Accent1 5 2 4 3 2 3" xfId="10794"/>
    <cellStyle name="20% - Accent1 5 2 4 3 2 3 2" xfId="58594"/>
    <cellStyle name="20% - Accent1 5 2 4 3 2 4" xfId="22595"/>
    <cellStyle name="20% - Accent1 5 2 4 3 2 4 2" xfId="58595"/>
    <cellStyle name="20% - Accent1 5 2 4 3 2 5" xfId="36210"/>
    <cellStyle name="20% - Accent1 5 2 4 3 3" xfId="15232"/>
    <cellStyle name="20% - Accent1 5 2 4 3 3 2" xfId="27033"/>
    <cellStyle name="20% - Accent1 5 2 4 3 3 2 2" xfId="58596"/>
    <cellStyle name="20% - Accent1 5 2 4 3 3 3" xfId="40648"/>
    <cellStyle name="20% - Accent1 5 2 4 3 4" xfId="8953"/>
    <cellStyle name="20% - Accent1 5 2 4 3 4 2" xfId="58597"/>
    <cellStyle name="20% - Accent1 5 2 4 3 5" xfId="20754"/>
    <cellStyle name="20% - Accent1 5 2 4 3 5 2" xfId="58598"/>
    <cellStyle name="20% - Accent1 5 2 4 3 6" xfId="34369"/>
    <cellStyle name="20% - Accent1 5 2 4 4" xfId="4205"/>
    <cellStyle name="20% - Accent1 5 2 4 4 2" xfId="15233"/>
    <cellStyle name="20% - Accent1 5 2 4 4 2 2" xfId="27034"/>
    <cellStyle name="20% - Accent1 5 2 4 4 2 2 2" xfId="58599"/>
    <cellStyle name="20% - Accent1 5 2 4 4 2 3" xfId="40649"/>
    <cellStyle name="20% - Accent1 5 2 4 4 3" xfId="9658"/>
    <cellStyle name="20% - Accent1 5 2 4 4 3 2" xfId="47190"/>
    <cellStyle name="20% - Accent1 5 2 4 4 4" xfId="21459"/>
    <cellStyle name="20% - Accent1 5 2 4 4 4 2" xfId="58600"/>
    <cellStyle name="20% - Accent1 5 2 4 4 5" xfId="35074"/>
    <cellStyle name="20% - Accent1 5 2 4 5" xfId="2364"/>
    <cellStyle name="20% - Accent1 5 2 4 5 2" xfId="17174"/>
    <cellStyle name="20% - Accent1 5 2 4 5 2 2" xfId="28975"/>
    <cellStyle name="20% - Accent1 5 2 4 5 2 2 2" xfId="58601"/>
    <cellStyle name="20% - Accent1 5 2 4 5 2 3" xfId="42590"/>
    <cellStyle name="20% - Accent1 5 2 4 5 3" xfId="7817"/>
    <cellStyle name="20% - Accent1 5 2 4 5 3 2" xfId="58602"/>
    <cellStyle name="20% - Accent1 5 2 4 5 4" xfId="19618"/>
    <cellStyle name="20% - Accent1 5 2 4 5 4 2" xfId="58603"/>
    <cellStyle name="20% - Accent1 5 2 4 5 5" xfId="33233"/>
    <cellStyle name="20% - Accent1 5 2 4 6" xfId="15234"/>
    <cellStyle name="20% - Accent1 5 2 4 6 2" xfId="27035"/>
    <cellStyle name="20% - Accent1 5 2 4 6 2 2" xfId="58604"/>
    <cellStyle name="20% - Accent1 5 2 4 6 3" xfId="40650"/>
    <cellStyle name="20% - Accent1 5 2 4 7" xfId="5917"/>
    <cellStyle name="20% - Accent1 5 2 4 7 2" xfId="58605"/>
    <cellStyle name="20% - Accent1 5 2 4 8" xfId="17718"/>
    <cellStyle name="20% - Accent1 5 2 4 8 2" xfId="58606"/>
    <cellStyle name="20% - Accent1 5 2 4 9" xfId="31333"/>
    <cellStyle name="20% - Accent1 5 2 5" xfId="277"/>
    <cellStyle name="20% - Accent1 5 2 5 2" xfId="1672"/>
    <cellStyle name="20% - Accent1 5 2 5 2 2" xfId="4587"/>
    <cellStyle name="20% - Accent1 5 2 5 2 2 2" xfId="15235"/>
    <cellStyle name="20% - Accent1 5 2 5 2 2 2 2" xfId="27036"/>
    <cellStyle name="20% - Accent1 5 2 5 2 2 2 2 2" xfId="58607"/>
    <cellStyle name="20% - Accent1 5 2 5 2 2 2 3" xfId="40651"/>
    <cellStyle name="20% - Accent1 5 2 5 2 2 3" xfId="10040"/>
    <cellStyle name="20% - Accent1 5 2 5 2 2 3 2" xfId="47191"/>
    <cellStyle name="20% - Accent1 5 2 5 2 2 4" xfId="21841"/>
    <cellStyle name="20% - Accent1 5 2 5 2 2 4 2" xfId="58608"/>
    <cellStyle name="20% - Accent1 5 2 5 2 2 5" xfId="35456"/>
    <cellStyle name="20% - Accent1 5 2 5 2 3" xfId="2746"/>
    <cellStyle name="20% - Accent1 5 2 5 2 3 2" xfId="15236"/>
    <cellStyle name="20% - Accent1 5 2 5 2 3 2 2" xfId="27037"/>
    <cellStyle name="20% - Accent1 5 2 5 2 3 2 2 2" xfId="58609"/>
    <cellStyle name="20% - Accent1 5 2 5 2 3 2 3" xfId="40652"/>
    <cellStyle name="20% - Accent1 5 2 5 2 3 3" xfId="8199"/>
    <cellStyle name="20% - Accent1 5 2 5 2 3 3 2" xfId="47192"/>
    <cellStyle name="20% - Accent1 5 2 5 2 3 4" xfId="20000"/>
    <cellStyle name="20% - Accent1 5 2 5 2 3 4 2" xfId="58610"/>
    <cellStyle name="20% - Accent1 5 2 5 2 3 5" xfId="33615"/>
    <cellStyle name="20% - Accent1 5 2 5 2 4" xfId="15237"/>
    <cellStyle name="20% - Accent1 5 2 5 2 4 2" xfId="27038"/>
    <cellStyle name="20% - Accent1 5 2 5 2 4 2 2" xfId="58611"/>
    <cellStyle name="20% - Accent1 5 2 5 2 4 3" xfId="40653"/>
    <cellStyle name="20% - Accent1 5 2 5 2 5" xfId="7126"/>
    <cellStyle name="20% - Accent1 5 2 5 2 5 2" xfId="47193"/>
    <cellStyle name="20% - Accent1 5 2 5 2 6" xfId="18927"/>
    <cellStyle name="20% - Accent1 5 2 5 2 6 2" xfId="58612"/>
    <cellStyle name="20% - Accent1 5 2 5 2 7" xfId="32542"/>
    <cellStyle name="20% - Accent1 5 2 5 3" xfId="3314"/>
    <cellStyle name="20% - Accent1 5 2 5 3 2" xfId="5155"/>
    <cellStyle name="20% - Accent1 5 2 5 3 2 2" xfId="16625"/>
    <cellStyle name="20% - Accent1 5 2 5 3 2 2 2" xfId="28426"/>
    <cellStyle name="20% - Accent1 5 2 5 3 2 2 2 2" xfId="58613"/>
    <cellStyle name="20% - Accent1 5 2 5 3 2 2 3" xfId="42041"/>
    <cellStyle name="20% - Accent1 5 2 5 3 2 3" xfId="10608"/>
    <cellStyle name="20% - Accent1 5 2 5 3 2 3 2" xfId="58614"/>
    <cellStyle name="20% - Accent1 5 2 5 3 2 4" xfId="22409"/>
    <cellStyle name="20% - Accent1 5 2 5 3 2 4 2" xfId="58615"/>
    <cellStyle name="20% - Accent1 5 2 5 3 2 5" xfId="36024"/>
    <cellStyle name="20% - Accent1 5 2 5 3 3" xfId="15238"/>
    <cellStyle name="20% - Accent1 5 2 5 3 3 2" xfId="27039"/>
    <cellStyle name="20% - Accent1 5 2 5 3 3 2 2" xfId="58616"/>
    <cellStyle name="20% - Accent1 5 2 5 3 3 3" xfId="40654"/>
    <cellStyle name="20% - Accent1 5 2 5 3 4" xfId="8767"/>
    <cellStyle name="20% - Accent1 5 2 5 3 4 2" xfId="58617"/>
    <cellStyle name="20% - Accent1 5 2 5 3 5" xfId="20568"/>
    <cellStyle name="20% - Accent1 5 2 5 3 5 2" xfId="58618"/>
    <cellStyle name="20% - Accent1 5 2 5 3 6" xfId="34183"/>
    <cellStyle name="20% - Accent1 5 2 5 4" xfId="4019"/>
    <cellStyle name="20% - Accent1 5 2 5 4 2" xfId="15239"/>
    <cellStyle name="20% - Accent1 5 2 5 4 2 2" xfId="27040"/>
    <cellStyle name="20% - Accent1 5 2 5 4 2 2 2" xfId="58619"/>
    <cellStyle name="20% - Accent1 5 2 5 4 2 3" xfId="40655"/>
    <cellStyle name="20% - Accent1 5 2 5 4 3" xfId="9472"/>
    <cellStyle name="20% - Accent1 5 2 5 4 3 2" xfId="47194"/>
    <cellStyle name="20% - Accent1 5 2 5 4 4" xfId="21273"/>
    <cellStyle name="20% - Accent1 5 2 5 4 4 2" xfId="58620"/>
    <cellStyle name="20% - Accent1 5 2 5 4 5" xfId="34888"/>
    <cellStyle name="20% - Accent1 5 2 5 5" xfId="2178"/>
    <cellStyle name="20% - Accent1 5 2 5 5 2" xfId="17175"/>
    <cellStyle name="20% - Accent1 5 2 5 5 2 2" xfId="28976"/>
    <cellStyle name="20% - Accent1 5 2 5 5 2 2 2" xfId="58621"/>
    <cellStyle name="20% - Accent1 5 2 5 5 2 3" xfId="42591"/>
    <cellStyle name="20% - Accent1 5 2 5 5 3" xfId="7631"/>
    <cellStyle name="20% - Accent1 5 2 5 5 3 2" xfId="58622"/>
    <cellStyle name="20% - Accent1 5 2 5 5 4" xfId="19432"/>
    <cellStyle name="20% - Accent1 5 2 5 5 4 2" xfId="58623"/>
    <cellStyle name="20% - Accent1 5 2 5 5 5" xfId="33047"/>
    <cellStyle name="20% - Accent1 5 2 5 6" xfId="15240"/>
    <cellStyle name="20% - Accent1 5 2 5 6 2" xfId="27041"/>
    <cellStyle name="20% - Accent1 5 2 5 6 2 2" xfId="58624"/>
    <cellStyle name="20% - Accent1 5 2 5 6 3" xfId="40656"/>
    <cellStyle name="20% - Accent1 5 2 5 7" xfId="5731"/>
    <cellStyle name="20% - Accent1 5 2 5 7 2" xfId="58625"/>
    <cellStyle name="20% - Accent1 5 2 5 8" xfId="17532"/>
    <cellStyle name="20% - Accent1 5 2 5 8 2" xfId="58626"/>
    <cellStyle name="20% - Accent1 5 2 5 9" xfId="31147"/>
    <cellStyle name="20% - Accent1 5 2 6" xfId="604"/>
    <cellStyle name="20% - Accent1 5 2 6 2" xfId="1673"/>
    <cellStyle name="20% - Accent1 5 2 6 2 2" xfId="4346"/>
    <cellStyle name="20% - Accent1 5 2 6 2 2 2" xfId="15241"/>
    <cellStyle name="20% - Accent1 5 2 6 2 2 2 2" xfId="27042"/>
    <cellStyle name="20% - Accent1 5 2 6 2 2 2 2 2" xfId="58627"/>
    <cellStyle name="20% - Accent1 5 2 6 2 2 2 3" xfId="40657"/>
    <cellStyle name="20% - Accent1 5 2 6 2 2 3" xfId="9799"/>
    <cellStyle name="20% - Accent1 5 2 6 2 2 3 2" xfId="47195"/>
    <cellStyle name="20% - Accent1 5 2 6 2 2 4" xfId="21600"/>
    <cellStyle name="20% - Accent1 5 2 6 2 2 4 2" xfId="58628"/>
    <cellStyle name="20% - Accent1 5 2 6 2 2 5" xfId="35215"/>
    <cellStyle name="20% - Accent1 5 2 6 2 3" xfId="15242"/>
    <cellStyle name="20% - Accent1 5 2 6 2 3 2" xfId="27043"/>
    <cellStyle name="20% - Accent1 5 2 6 2 3 2 2" xfId="47196"/>
    <cellStyle name="20% - Accent1 5 2 6 2 3 3" xfId="30432"/>
    <cellStyle name="20% - Accent1 5 2 6 2 3 3 2" xfId="47197"/>
    <cellStyle name="20% - Accent1 5 2 6 2 3 4" xfId="30433"/>
    <cellStyle name="20% - Accent1 5 2 6 2 3 4 2" xfId="58629"/>
    <cellStyle name="20% - Accent1 5 2 6 2 3 5" xfId="40658"/>
    <cellStyle name="20% - Accent1 5 2 6 2 4" xfId="15243"/>
    <cellStyle name="20% - Accent1 5 2 6 2 4 2" xfId="27044"/>
    <cellStyle name="20% - Accent1 5 2 6 2 4 2 2" xfId="58630"/>
    <cellStyle name="20% - Accent1 5 2 6 2 4 3" xfId="40659"/>
    <cellStyle name="20% - Accent1 5 2 6 2 5" xfId="7127"/>
    <cellStyle name="20% - Accent1 5 2 6 2 5 2" xfId="47198"/>
    <cellStyle name="20% - Accent1 5 2 6 2 6" xfId="18928"/>
    <cellStyle name="20% - Accent1 5 2 6 2 6 2" xfId="58631"/>
    <cellStyle name="20% - Accent1 5 2 6 2 7" xfId="32543"/>
    <cellStyle name="20% - Accent1 5 2 6 3" xfId="2505"/>
    <cellStyle name="20% - Accent1 5 2 6 3 2" xfId="15244"/>
    <cellStyle name="20% - Accent1 5 2 6 3 2 2" xfId="27045"/>
    <cellStyle name="20% - Accent1 5 2 6 3 2 2 2" xfId="58632"/>
    <cellStyle name="20% - Accent1 5 2 6 3 2 3" xfId="40660"/>
    <cellStyle name="20% - Accent1 5 2 6 3 3" xfId="7958"/>
    <cellStyle name="20% - Accent1 5 2 6 3 3 2" xfId="47199"/>
    <cellStyle name="20% - Accent1 5 2 6 3 4" xfId="19759"/>
    <cellStyle name="20% - Accent1 5 2 6 3 4 2" xfId="58633"/>
    <cellStyle name="20% - Accent1 5 2 6 3 5" xfId="33374"/>
    <cellStyle name="20% - Accent1 5 2 6 4" xfId="15245"/>
    <cellStyle name="20% - Accent1 5 2 6 4 2" xfId="27046"/>
    <cellStyle name="20% - Accent1 5 2 6 4 2 2" xfId="47200"/>
    <cellStyle name="20% - Accent1 5 2 6 4 3" xfId="30434"/>
    <cellStyle name="20% - Accent1 5 2 6 4 3 2" xfId="47201"/>
    <cellStyle name="20% - Accent1 5 2 6 4 4" xfId="30435"/>
    <cellStyle name="20% - Accent1 5 2 6 4 4 2" xfId="58634"/>
    <cellStyle name="20% - Accent1 5 2 6 4 5" xfId="40661"/>
    <cellStyle name="20% - Accent1 5 2 6 5" xfId="15246"/>
    <cellStyle name="20% - Accent1 5 2 6 5 2" xfId="27047"/>
    <cellStyle name="20% - Accent1 5 2 6 5 2 2" xfId="58635"/>
    <cellStyle name="20% - Accent1 5 2 6 5 3" xfId="40662"/>
    <cellStyle name="20% - Accent1 5 2 6 6" xfId="6058"/>
    <cellStyle name="20% - Accent1 5 2 6 6 2" xfId="47202"/>
    <cellStyle name="20% - Accent1 5 2 6 7" xfId="17859"/>
    <cellStyle name="20% - Accent1 5 2 6 7 2" xfId="58636"/>
    <cellStyle name="20% - Accent1 5 2 6 8" xfId="31474"/>
    <cellStyle name="20% - Accent1 5 2 7" xfId="845"/>
    <cellStyle name="20% - Accent1 5 2 7 2" xfId="1674"/>
    <cellStyle name="20% - Accent1 5 2 7 2 2" xfId="4914"/>
    <cellStyle name="20% - Accent1 5 2 7 2 2 2" xfId="15247"/>
    <cellStyle name="20% - Accent1 5 2 7 2 2 2 2" xfId="27048"/>
    <cellStyle name="20% - Accent1 5 2 7 2 2 2 2 2" xfId="58637"/>
    <cellStyle name="20% - Accent1 5 2 7 2 2 2 3" xfId="40663"/>
    <cellStyle name="20% - Accent1 5 2 7 2 2 3" xfId="10367"/>
    <cellStyle name="20% - Accent1 5 2 7 2 2 3 2" xfId="47203"/>
    <cellStyle name="20% - Accent1 5 2 7 2 2 4" xfId="22168"/>
    <cellStyle name="20% - Accent1 5 2 7 2 2 4 2" xfId="58638"/>
    <cellStyle name="20% - Accent1 5 2 7 2 2 5" xfId="35783"/>
    <cellStyle name="20% - Accent1 5 2 7 2 3" xfId="15248"/>
    <cellStyle name="20% - Accent1 5 2 7 2 3 2" xfId="27049"/>
    <cellStyle name="20% - Accent1 5 2 7 2 3 2 2" xfId="47204"/>
    <cellStyle name="20% - Accent1 5 2 7 2 3 3" xfId="30436"/>
    <cellStyle name="20% - Accent1 5 2 7 2 3 3 2" xfId="47205"/>
    <cellStyle name="20% - Accent1 5 2 7 2 3 4" xfId="30437"/>
    <cellStyle name="20% - Accent1 5 2 7 2 3 4 2" xfId="58639"/>
    <cellStyle name="20% - Accent1 5 2 7 2 3 5" xfId="40664"/>
    <cellStyle name="20% - Accent1 5 2 7 2 4" xfId="15249"/>
    <cellStyle name="20% - Accent1 5 2 7 2 4 2" xfId="27050"/>
    <cellStyle name="20% - Accent1 5 2 7 2 4 2 2" xfId="58640"/>
    <cellStyle name="20% - Accent1 5 2 7 2 4 3" xfId="40665"/>
    <cellStyle name="20% - Accent1 5 2 7 2 5" xfId="7128"/>
    <cellStyle name="20% - Accent1 5 2 7 2 5 2" xfId="47206"/>
    <cellStyle name="20% - Accent1 5 2 7 2 6" xfId="18929"/>
    <cellStyle name="20% - Accent1 5 2 7 2 6 2" xfId="58641"/>
    <cellStyle name="20% - Accent1 5 2 7 2 7" xfId="32544"/>
    <cellStyle name="20% - Accent1 5 2 7 3" xfId="3073"/>
    <cellStyle name="20% - Accent1 5 2 7 3 2" xfId="15250"/>
    <cellStyle name="20% - Accent1 5 2 7 3 2 2" xfId="27051"/>
    <cellStyle name="20% - Accent1 5 2 7 3 2 2 2" xfId="58642"/>
    <cellStyle name="20% - Accent1 5 2 7 3 2 3" xfId="40666"/>
    <cellStyle name="20% - Accent1 5 2 7 3 3" xfId="8526"/>
    <cellStyle name="20% - Accent1 5 2 7 3 3 2" xfId="47207"/>
    <cellStyle name="20% - Accent1 5 2 7 3 4" xfId="20327"/>
    <cellStyle name="20% - Accent1 5 2 7 3 4 2" xfId="58643"/>
    <cellStyle name="20% - Accent1 5 2 7 3 5" xfId="33942"/>
    <cellStyle name="20% - Accent1 5 2 7 4" xfId="15251"/>
    <cellStyle name="20% - Accent1 5 2 7 4 2" xfId="27052"/>
    <cellStyle name="20% - Accent1 5 2 7 4 2 2" xfId="47208"/>
    <cellStyle name="20% - Accent1 5 2 7 4 3" xfId="30438"/>
    <cellStyle name="20% - Accent1 5 2 7 4 3 2" xfId="47209"/>
    <cellStyle name="20% - Accent1 5 2 7 4 4" xfId="30439"/>
    <cellStyle name="20% - Accent1 5 2 7 4 4 2" xfId="58644"/>
    <cellStyle name="20% - Accent1 5 2 7 4 5" xfId="40667"/>
    <cellStyle name="20% - Accent1 5 2 7 5" xfId="15252"/>
    <cellStyle name="20% - Accent1 5 2 7 5 2" xfId="27053"/>
    <cellStyle name="20% - Accent1 5 2 7 5 2 2" xfId="58645"/>
    <cellStyle name="20% - Accent1 5 2 7 5 3" xfId="40668"/>
    <cellStyle name="20% - Accent1 5 2 7 6" xfId="6299"/>
    <cellStyle name="20% - Accent1 5 2 7 6 2" xfId="47210"/>
    <cellStyle name="20% - Accent1 5 2 7 7" xfId="18100"/>
    <cellStyle name="20% - Accent1 5 2 7 7 2" xfId="58646"/>
    <cellStyle name="20% - Accent1 5 2 7 8" xfId="31715"/>
    <cellStyle name="20% - Accent1 5 2 8" xfId="1675"/>
    <cellStyle name="20% - Accent1 5 2 8 2" xfId="3778"/>
    <cellStyle name="20% - Accent1 5 2 8 2 2" xfId="15253"/>
    <cellStyle name="20% - Accent1 5 2 8 2 2 2" xfId="27054"/>
    <cellStyle name="20% - Accent1 5 2 8 2 2 2 2" xfId="58647"/>
    <cellStyle name="20% - Accent1 5 2 8 2 2 3" xfId="40669"/>
    <cellStyle name="20% - Accent1 5 2 8 2 3" xfId="9231"/>
    <cellStyle name="20% - Accent1 5 2 8 2 3 2" xfId="47211"/>
    <cellStyle name="20% - Accent1 5 2 8 2 4" xfId="21032"/>
    <cellStyle name="20% - Accent1 5 2 8 2 4 2" xfId="58648"/>
    <cellStyle name="20% - Accent1 5 2 8 2 5" xfId="34647"/>
    <cellStyle name="20% - Accent1 5 2 8 3" xfId="15254"/>
    <cellStyle name="20% - Accent1 5 2 8 3 2" xfId="27055"/>
    <cellStyle name="20% - Accent1 5 2 8 3 2 2" xfId="47212"/>
    <cellStyle name="20% - Accent1 5 2 8 3 3" xfId="30440"/>
    <cellStyle name="20% - Accent1 5 2 8 3 3 2" xfId="47213"/>
    <cellStyle name="20% - Accent1 5 2 8 3 4" xfId="30441"/>
    <cellStyle name="20% - Accent1 5 2 8 3 4 2" xfId="58649"/>
    <cellStyle name="20% - Accent1 5 2 8 3 5" xfId="40670"/>
    <cellStyle name="20% - Accent1 5 2 8 4" xfId="15255"/>
    <cellStyle name="20% - Accent1 5 2 8 4 2" xfId="27056"/>
    <cellStyle name="20% - Accent1 5 2 8 4 2 2" xfId="58650"/>
    <cellStyle name="20% - Accent1 5 2 8 4 3" xfId="40671"/>
    <cellStyle name="20% - Accent1 5 2 8 5" xfId="7129"/>
    <cellStyle name="20% - Accent1 5 2 8 5 2" xfId="47214"/>
    <cellStyle name="20% - Accent1 5 2 8 6" xfId="18930"/>
    <cellStyle name="20% - Accent1 5 2 8 6 2" xfId="58651"/>
    <cellStyle name="20% - Accent1 5 2 8 7" xfId="32545"/>
    <cellStyle name="20% - Accent1 5 2 9" xfId="3641"/>
    <cellStyle name="20% - Accent1 5 2 9 2" xfId="15256"/>
    <cellStyle name="20% - Accent1 5 2 9 2 2" xfId="27057"/>
    <cellStyle name="20% - Accent1 5 2 9 2 2 2" xfId="58652"/>
    <cellStyle name="20% - Accent1 5 2 9 2 3" xfId="40672"/>
    <cellStyle name="20% - Accent1 5 2 9 3" xfId="9094"/>
    <cellStyle name="20% - Accent1 5 2 9 3 2" xfId="47215"/>
    <cellStyle name="20% - Accent1 5 2 9 4" xfId="20895"/>
    <cellStyle name="20% - Accent1 5 2 9 4 2" xfId="58653"/>
    <cellStyle name="20% - Accent1 5 2 9 5" xfId="34510"/>
    <cellStyle name="20% - Accent1 5 20 2" xfId="61882"/>
    <cellStyle name="20% - Accent1 5 21" xfId="61880"/>
    <cellStyle name="20% - Accent1 5 3" xfId="48"/>
    <cellStyle name="20% - Accent1 5 3 10" xfId="1949"/>
    <cellStyle name="20% - Accent1 5 3 10 2" xfId="15257"/>
    <cellStyle name="20% - Accent1 5 3 10 2 2" xfId="27058"/>
    <cellStyle name="20% - Accent1 5 3 10 2 2 2" xfId="58654"/>
    <cellStyle name="20% - Accent1 5 3 10 2 3" xfId="40673"/>
    <cellStyle name="20% - Accent1 5 3 10 3" xfId="7402"/>
    <cellStyle name="20% - Accent1 5 3 10 3 2" xfId="47216"/>
    <cellStyle name="20% - Accent1 5 3 10 4" xfId="19203"/>
    <cellStyle name="20% - Accent1 5 3 10 4 2" xfId="58655"/>
    <cellStyle name="20% - Accent1 5 3 10 5" xfId="32818"/>
    <cellStyle name="20% - Accent1 5 3 11" xfId="15258"/>
    <cellStyle name="20% - Accent1 5 3 11 2" xfId="27059"/>
    <cellStyle name="20% - Accent1 5 3 11 2 2" xfId="58656"/>
    <cellStyle name="20% - Accent1 5 3 11 3" xfId="40674"/>
    <cellStyle name="20% - Accent1 5 3 12" xfId="5502"/>
    <cellStyle name="20% - Accent1 5 3 12 2" xfId="47217"/>
    <cellStyle name="20% - Accent1 5 3 13" xfId="17303"/>
    <cellStyle name="20% - Accent1 5 3 13 2" xfId="58657"/>
    <cellStyle name="20% - Accent1 5 3 14" xfId="30918"/>
    <cellStyle name="20% - Accent1 5 3 2" xfId="115"/>
    <cellStyle name="20% - Accent1 5 3 2 10" xfId="5569"/>
    <cellStyle name="20% - Accent1 5 3 2 10 2" xfId="47218"/>
    <cellStyle name="20% - Accent1 5 3 2 11" xfId="17370"/>
    <cellStyle name="20% - Accent1 5 3 2 11 2" xfId="58658"/>
    <cellStyle name="20% - Accent1 5 3 2 12" xfId="30985"/>
    <cellStyle name="20% - Accent1 5 3 2 2" xfId="229"/>
    <cellStyle name="20% - Accent1 5 3 2 2 10" xfId="31099"/>
    <cellStyle name="20% - Accent1 5 3 2 2 2" xfId="542"/>
    <cellStyle name="20% - Accent1 5 3 2 2 2 2" xfId="1676"/>
    <cellStyle name="20% - Accent1 5 3 2 2 2 2 2" xfId="4852"/>
    <cellStyle name="20% - Accent1 5 3 2 2 2 2 2 2" xfId="15259"/>
    <cellStyle name="20% - Accent1 5 3 2 2 2 2 2 2 2" xfId="27060"/>
    <cellStyle name="20% - Accent1 5 3 2 2 2 2 2 2 2 2" xfId="58659"/>
    <cellStyle name="20% - Accent1 5 3 2 2 2 2 2 2 3" xfId="40675"/>
    <cellStyle name="20% - Accent1 5 3 2 2 2 2 2 3" xfId="10305"/>
    <cellStyle name="20% - Accent1 5 3 2 2 2 2 2 3 2" xfId="47219"/>
    <cellStyle name="20% - Accent1 5 3 2 2 2 2 2 4" xfId="22106"/>
    <cellStyle name="20% - Accent1 5 3 2 2 2 2 2 4 2" xfId="58660"/>
    <cellStyle name="20% - Accent1 5 3 2 2 2 2 2 5" xfId="35721"/>
    <cellStyle name="20% - Accent1 5 3 2 2 2 2 3" xfId="3011"/>
    <cellStyle name="20% - Accent1 5 3 2 2 2 2 3 2" xfId="15260"/>
    <cellStyle name="20% - Accent1 5 3 2 2 2 2 3 2 2" xfId="27061"/>
    <cellStyle name="20% - Accent1 5 3 2 2 2 2 3 2 2 2" xfId="58661"/>
    <cellStyle name="20% - Accent1 5 3 2 2 2 2 3 2 3" xfId="40676"/>
    <cellStyle name="20% - Accent1 5 3 2 2 2 2 3 3" xfId="8464"/>
    <cellStyle name="20% - Accent1 5 3 2 2 2 2 3 3 2" xfId="47220"/>
    <cellStyle name="20% - Accent1 5 3 2 2 2 2 3 4" xfId="20265"/>
    <cellStyle name="20% - Accent1 5 3 2 2 2 2 3 4 2" xfId="58662"/>
    <cellStyle name="20% - Accent1 5 3 2 2 2 2 3 5" xfId="33880"/>
    <cellStyle name="20% - Accent1 5 3 2 2 2 2 4" xfId="15261"/>
    <cellStyle name="20% - Accent1 5 3 2 2 2 2 4 2" xfId="27062"/>
    <cellStyle name="20% - Accent1 5 3 2 2 2 2 4 2 2" xfId="58663"/>
    <cellStyle name="20% - Accent1 5 3 2 2 2 2 4 3" xfId="40677"/>
    <cellStyle name="20% - Accent1 5 3 2 2 2 2 5" xfId="7130"/>
    <cellStyle name="20% - Accent1 5 3 2 2 2 2 5 2" xfId="47221"/>
    <cellStyle name="20% - Accent1 5 3 2 2 2 2 6" xfId="18931"/>
    <cellStyle name="20% - Accent1 5 3 2 2 2 2 6 2" xfId="58664"/>
    <cellStyle name="20% - Accent1 5 3 2 2 2 2 7" xfId="32546"/>
    <cellStyle name="20% - Accent1 5 3 2 2 2 3" xfId="3579"/>
    <cellStyle name="20% - Accent1 5 3 2 2 2 3 2" xfId="5420"/>
    <cellStyle name="20% - Accent1 5 3 2 2 2 3 2 2" xfId="16890"/>
    <cellStyle name="20% - Accent1 5 3 2 2 2 3 2 2 2" xfId="28691"/>
    <cellStyle name="20% - Accent1 5 3 2 2 2 3 2 2 2 2" xfId="58665"/>
    <cellStyle name="20% - Accent1 5 3 2 2 2 3 2 2 3" xfId="42306"/>
    <cellStyle name="20% - Accent1 5 3 2 2 2 3 2 3" xfId="10873"/>
    <cellStyle name="20% - Accent1 5 3 2 2 2 3 2 3 2" xfId="58666"/>
    <cellStyle name="20% - Accent1 5 3 2 2 2 3 2 4" xfId="22674"/>
    <cellStyle name="20% - Accent1 5 3 2 2 2 3 2 4 2" xfId="58667"/>
    <cellStyle name="20% - Accent1 5 3 2 2 2 3 2 5" xfId="36289"/>
    <cellStyle name="20% - Accent1 5 3 2 2 2 3 3" xfId="15262"/>
    <cellStyle name="20% - Accent1 5 3 2 2 2 3 3 2" xfId="27063"/>
    <cellStyle name="20% - Accent1 5 3 2 2 2 3 3 2 2" xfId="58668"/>
    <cellStyle name="20% - Accent1 5 3 2 2 2 3 3 3" xfId="40678"/>
    <cellStyle name="20% - Accent1 5 3 2 2 2 3 4" xfId="9032"/>
    <cellStyle name="20% - Accent1 5 3 2 2 2 3 4 2" xfId="58669"/>
    <cellStyle name="20% - Accent1 5 3 2 2 2 3 5" xfId="20833"/>
    <cellStyle name="20% - Accent1 5 3 2 2 2 3 5 2" xfId="58670"/>
    <cellStyle name="20% - Accent1 5 3 2 2 2 3 6" xfId="34448"/>
    <cellStyle name="20% - Accent1 5 3 2 2 2 4" xfId="4284"/>
    <cellStyle name="20% - Accent1 5 3 2 2 2 4 2" xfId="15263"/>
    <cellStyle name="20% - Accent1 5 3 2 2 2 4 2 2" xfId="27064"/>
    <cellStyle name="20% - Accent1 5 3 2 2 2 4 2 2 2" xfId="58671"/>
    <cellStyle name="20% - Accent1 5 3 2 2 2 4 2 3" xfId="40679"/>
    <cellStyle name="20% - Accent1 5 3 2 2 2 4 3" xfId="9737"/>
    <cellStyle name="20% - Accent1 5 3 2 2 2 4 3 2" xfId="47222"/>
    <cellStyle name="20% - Accent1 5 3 2 2 2 4 4" xfId="21538"/>
    <cellStyle name="20% - Accent1 5 3 2 2 2 4 4 2" xfId="58672"/>
    <cellStyle name="20% - Accent1 5 3 2 2 2 4 5" xfId="35153"/>
    <cellStyle name="20% - Accent1 5 3 2 2 2 5" xfId="2443"/>
    <cellStyle name="20% - Accent1 5 3 2 2 2 5 2" xfId="17176"/>
    <cellStyle name="20% - Accent1 5 3 2 2 2 5 2 2" xfId="28977"/>
    <cellStyle name="20% - Accent1 5 3 2 2 2 5 2 2 2" xfId="58673"/>
    <cellStyle name="20% - Accent1 5 3 2 2 2 5 2 3" xfId="42592"/>
    <cellStyle name="20% - Accent1 5 3 2 2 2 5 3" xfId="7896"/>
    <cellStyle name="20% - Accent1 5 3 2 2 2 5 3 2" xfId="58674"/>
    <cellStyle name="20% - Accent1 5 3 2 2 2 5 4" xfId="19697"/>
    <cellStyle name="20% - Accent1 5 3 2 2 2 5 4 2" xfId="58675"/>
    <cellStyle name="20% - Accent1 5 3 2 2 2 5 5" xfId="33312"/>
    <cellStyle name="20% - Accent1 5 3 2 2 2 6" xfId="15264"/>
    <cellStyle name="20% - Accent1 5 3 2 2 2 6 2" xfId="27065"/>
    <cellStyle name="20% - Accent1 5 3 2 2 2 6 2 2" xfId="58676"/>
    <cellStyle name="20% - Accent1 5 3 2 2 2 6 3" xfId="40680"/>
    <cellStyle name="20% - Accent1 5 3 2 2 2 7" xfId="5996"/>
    <cellStyle name="20% - Accent1 5 3 2 2 2 7 2" xfId="58677"/>
    <cellStyle name="20% - Accent1 5 3 2 2 2 8" xfId="17797"/>
    <cellStyle name="20% - Accent1 5 3 2 2 2 8 2" xfId="58678"/>
    <cellStyle name="20% - Accent1 5 3 2 2 2 9" xfId="31412"/>
    <cellStyle name="20% - Accent1 5 3 2 2 3" xfId="797"/>
    <cellStyle name="20% - Accent1 5 3 2 2 3 2" xfId="1677"/>
    <cellStyle name="20% - Accent1 5 3 2 2 3 2 2" xfId="4539"/>
    <cellStyle name="20% - Accent1 5 3 2 2 3 2 2 2" xfId="15265"/>
    <cellStyle name="20% - Accent1 5 3 2 2 3 2 2 2 2" xfId="27066"/>
    <cellStyle name="20% - Accent1 5 3 2 2 3 2 2 2 2 2" xfId="58679"/>
    <cellStyle name="20% - Accent1 5 3 2 2 3 2 2 2 3" xfId="40681"/>
    <cellStyle name="20% - Accent1 5 3 2 2 3 2 2 3" xfId="9992"/>
    <cellStyle name="20% - Accent1 5 3 2 2 3 2 2 3 2" xfId="47223"/>
    <cellStyle name="20% - Accent1 5 3 2 2 3 2 2 4" xfId="21793"/>
    <cellStyle name="20% - Accent1 5 3 2 2 3 2 2 4 2" xfId="58680"/>
    <cellStyle name="20% - Accent1 5 3 2 2 3 2 2 5" xfId="35408"/>
    <cellStyle name="20% - Accent1 5 3 2 2 3 2 3" xfId="15266"/>
    <cellStyle name="20% - Accent1 5 3 2 2 3 2 3 2" xfId="27067"/>
    <cellStyle name="20% - Accent1 5 3 2 2 3 2 3 2 2" xfId="47224"/>
    <cellStyle name="20% - Accent1 5 3 2 2 3 2 3 3" xfId="30442"/>
    <cellStyle name="20% - Accent1 5 3 2 2 3 2 3 3 2" xfId="47225"/>
    <cellStyle name="20% - Accent1 5 3 2 2 3 2 3 4" xfId="30443"/>
    <cellStyle name="20% - Accent1 5 3 2 2 3 2 3 4 2" xfId="58681"/>
    <cellStyle name="20% - Accent1 5 3 2 2 3 2 3 5" xfId="40682"/>
    <cellStyle name="20% - Accent1 5 3 2 2 3 2 4" xfId="15267"/>
    <cellStyle name="20% - Accent1 5 3 2 2 3 2 4 2" xfId="27068"/>
    <cellStyle name="20% - Accent1 5 3 2 2 3 2 4 2 2" xfId="58682"/>
    <cellStyle name="20% - Accent1 5 3 2 2 3 2 4 3" xfId="40683"/>
    <cellStyle name="20% - Accent1 5 3 2 2 3 2 5" xfId="7131"/>
    <cellStyle name="20% - Accent1 5 3 2 2 3 2 5 2" xfId="47226"/>
    <cellStyle name="20% - Accent1 5 3 2 2 3 2 6" xfId="18932"/>
    <cellStyle name="20% - Accent1 5 3 2 2 3 2 6 2" xfId="58683"/>
    <cellStyle name="20% - Accent1 5 3 2 2 3 2 7" xfId="32547"/>
    <cellStyle name="20% - Accent1 5 3 2 2 3 3" xfId="2698"/>
    <cellStyle name="20% - Accent1 5 3 2 2 3 3 2" xfId="15268"/>
    <cellStyle name="20% - Accent1 5 3 2 2 3 3 2 2" xfId="27069"/>
    <cellStyle name="20% - Accent1 5 3 2 2 3 3 2 2 2" xfId="58684"/>
    <cellStyle name="20% - Accent1 5 3 2 2 3 3 2 3" xfId="40684"/>
    <cellStyle name="20% - Accent1 5 3 2 2 3 3 3" xfId="8151"/>
    <cellStyle name="20% - Accent1 5 3 2 2 3 3 3 2" xfId="47227"/>
    <cellStyle name="20% - Accent1 5 3 2 2 3 3 4" xfId="19952"/>
    <cellStyle name="20% - Accent1 5 3 2 2 3 3 4 2" xfId="58685"/>
    <cellStyle name="20% - Accent1 5 3 2 2 3 3 5" xfId="33567"/>
    <cellStyle name="20% - Accent1 5 3 2 2 3 4" xfId="15269"/>
    <cellStyle name="20% - Accent1 5 3 2 2 3 4 2" xfId="27070"/>
    <cellStyle name="20% - Accent1 5 3 2 2 3 4 2 2" xfId="47228"/>
    <cellStyle name="20% - Accent1 5 3 2 2 3 4 3" xfId="30444"/>
    <cellStyle name="20% - Accent1 5 3 2 2 3 4 3 2" xfId="47229"/>
    <cellStyle name="20% - Accent1 5 3 2 2 3 4 4" xfId="30445"/>
    <cellStyle name="20% - Accent1 5 3 2 2 3 4 4 2" xfId="58686"/>
    <cellStyle name="20% - Accent1 5 3 2 2 3 4 5" xfId="40685"/>
    <cellStyle name="20% - Accent1 5 3 2 2 3 5" xfId="15270"/>
    <cellStyle name="20% - Accent1 5 3 2 2 3 5 2" xfId="27071"/>
    <cellStyle name="20% - Accent1 5 3 2 2 3 5 2 2" xfId="58687"/>
    <cellStyle name="20% - Accent1 5 3 2 2 3 5 3" xfId="40686"/>
    <cellStyle name="20% - Accent1 5 3 2 2 3 6" xfId="6251"/>
    <cellStyle name="20% - Accent1 5 3 2 2 3 6 2" xfId="47230"/>
    <cellStyle name="20% - Accent1 5 3 2 2 3 7" xfId="18052"/>
    <cellStyle name="20% - Accent1 5 3 2 2 3 7 2" xfId="58688"/>
    <cellStyle name="20% - Accent1 5 3 2 2 3 8" xfId="31667"/>
    <cellStyle name="20% - Accent1 5 3 2 2 4" xfId="1678"/>
    <cellStyle name="20% - Accent1 5 3 2 2 4 2" xfId="5107"/>
    <cellStyle name="20% - Accent1 5 3 2 2 4 2 2" xfId="15271"/>
    <cellStyle name="20% - Accent1 5 3 2 2 4 2 2 2" xfId="27072"/>
    <cellStyle name="20% - Accent1 5 3 2 2 4 2 2 2 2" xfId="58689"/>
    <cellStyle name="20% - Accent1 5 3 2 2 4 2 2 3" xfId="40687"/>
    <cellStyle name="20% - Accent1 5 3 2 2 4 2 3" xfId="10560"/>
    <cellStyle name="20% - Accent1 5 3 2 2 4 2 3 2" xfId="47231"/>
    <cellStyle name="20% - Accent1 5 3 2 2 4 2 4" xfId="22361"/>
    <cellStyle name="20% - Accent1 5 3 2 2 4 2 4 2" xfId="58690"/>
    <cellStyle name="20% - Accent1 5 3 2 2 4 2 5" xfId="35976"/>
    <cellStyle name="20% - Accent1 5 3 2 2 4 3" xfId="3266"/>
    <cellStyle name="20% - Accent1 5 3 2 2 4 3 2" xfId="15272"/>
    <cellStyle name="20% - Accent1 5 3 2 2 4 3 2 2" xfId="27073"/>
    <cellStyle name="20% - Accent1 5 3 2 2 4 3 2 2 2" xfId="58691"/>
    <cellStyle name="20% - Accent1 5 3 2 2 4 3 2 3" xfId="40688"/>
    <cellStyle name="20% - Accent1 5 3 2 2 4 3 3" xfId="8719"/>
    <cellStyle name="20% - Accent1 5 3 2 2 4 3 3 2" xfId="47232"/>
    <cellStyle name="20% - Accent1 5 3 2 2 4 3 4" xfId="20520"/>
    <cellStyle name="20% - Accent1 5 3 2 2 4 3 4 2" xfId="58692"/>
    <cellStyle name="20% - Accent1 5 3 2 2 4 3 5" xfId="34135"/>
    <cellStyle name="20% - Accent1 5 3 2 2 4 4" xfId="15273"/>
    <cellStyle name="20% - Accent1 5 3 2 2 4 4 2" xfId="27074"/>
    <cellStyle name="20% - Accent1 5 3 2 2 4 4 2 2" xfId="58693"/>
    <cellStyle name="20% - Accent1 5 3 2 2 4 4 3" xfId="40689"/>
    <cellStyle name="20% - Accent1 5 3 2 2 4 5" xfId="7132"/>
    <cellStyle name="20% - Accent1 5 3 2 2 4 5 2" xfId="47233"/>
    <cellStyle name="20% - Accent1 5 3 2 2 4 6" xfId="18933"/>
    <cellStyle name="20% - Accent1 5 3 2 2 4 6 2" xfId="58694"/>
    <cellStyle name="20% - Accent1 5 3 2 2 4 7" xfId="32548"/>
    <cellStyle name="20% - Accent1 5 3 2 2 5" xfId="3971"/>
    <cellStyle name="20% - Accent1 5 3 2 2 5 2" xfId="15274"/>
    <cellStyle name="20% - Accent1 5 3 2 2 5 2 2" xfId="27075"/>
    <cellStyle name="20% - Accent1 5 3 2 2 5 2 2 2" xfId="58695"/>
    <cellStyle name="20% - Accent1 5 3 2 2 5 2 3" xfId="40690"/>
    <cellStyle name="20% - Accent1 5 3 2 2 5 3" xfId="9424"/>
    <cellStyle name="20% - Accent1 5 3 2 2 5 3 2" xfId="47234"/>
    <cellStyle name="20% - Accent1 5 3 2 2 5 4" xfId="21225"/>
    <cellStyle name="20% - Accent1 5 3 2 2 5 4 2" xfId="58696"/>
    <cellStyle name="20% - Accent1 5 3 2 2 5 5" xfId="34840"/>
    <cellStyle name="20% - Accent1 5 3 2 2 6" xfId="2130"/>
    <cellStyle name="20% - Accent1 5 3 2 2 6 2" xfId="15275"/>
    <cellStyle name="20% - Accent1 5 3 2 2 6 2 2" xfId="27076"/>
    <cellStyle name="20% - Accent1 5 3 2 2 6 2 2 2" xfId="58697"/>
    <cellStyle name="20% - Accent1 5 3 2 2 6 2 3" xfId="40691"/>
    <cellStyle name="20% - Accent1 5 3 2 2 6 3" xfId="7583"/>
    <cellStyle name="20% - Accent1 5 3 2 2 6 3 2" xfId="47235"/>
    <cellStyle name="20% - Accent1 5 3 2 2 6 4" xfId="19384"/>
    <cellStyle name="20% - Accent1 5 3 2 2 6 4 2" xfId="58698"/>
    <cellStyle name="20% - Accent1 5 3 2 2 6 5" xfId="32999"/>
    <cellStyle name="20% - Accent1 5 3 2 2 7" xfId="15276"/>
    <cellStyle name="20% - Accent1 5 3 2 2 7 2" xfId="27077"/>
    <cellStyle name="20% - Accent1 5 3 2 2 7 2 2" xfId="58699"/>
    <cellStyle name="20% - Accent1 5 3 2 2 7 3" xfId="40692"/>
    <cellStyle name="20% - Accent1 5 3 2 2 8" xfId="5683"/>
    <cellStyle name="20% - Accent1 5 3 2 2 8 2" xfId="47236"/>
    <cellStyle name="20% - Accent1 5 3 2 2 9" xfId="17484"/>
    <cellStyle name="20% - Accent1 5 3 2 2 9 2" xfId="58700"/>
    <cellStyle name="20% - Accent1 5 3 2 3" xfId="405"/>
    <cellStyle name="20% - Accent1 5 3 2 3 2" xfId="1679"/>
    <cellStyle name="20% - Accent1 5 3 2 3 2 2" xfId="4715"/>
    <cellStyle name="20% - Accent1 5 3 2 3 2 2 2" xfId="15277"/>
    <cellStyle name="20% - Accent1 5 3 2 3 2 2 2 2" xfId="27078"/>
    <cellStyle name="20% - Accent1 5 3 2 3 2 2 2 2 2" xfId="58701"/>
    <cellStyle name="20% - Accent1 5 3 2 3 2 2 2 3" xfId="40693"/>
    <cellStyle name="20% - Accent1 5 3 2 3 2 2 3" xfId="10168"/>
    <cellStyle name="20% - Accent1 5 3 2 3 2 2 3 2" xfId="47237"/>
    <cellStyle name="20% - Accent1 5 3 2 3 2 2 4" xfId="21969"/>
    <cellStyle name="20% - Accent1 5 3 2 3 2 2 4 2" xfId="58702"/>
    <cellStyle name="20% - Accent1 5 3 2 3 2 2 5" xfId="35584"/>
    <cellStyle name="20% - Accent1 5 3 2 3 2 3" xfId="2874"/>
    <cellStyle name="20% - Accent1 5 3 2 3 2 3 2" xfId="15278"/>
    <cellStyle name="20% - Accent1 5 3 2 3 2 3 2 2" xfId="27079"/>
    <cellStyle name="20% - Accent1 5 3 2 3 2 3 2 2 2" xfId="58703"/>
    <cellStyle name="20% - Accent1 5 3 2 3 2 3 2 3" xfId="40694"/>
    <cellStyle name="20% - Accent1 5 3 2 3 2 3 3" xfId="8327"/>
    <cellStyle name="20% - Accent1 5 3 2 3 2 3 3 2" xfId="47238"/>
    <cellStyle name="20% - Accent1 5 3 2 3 2 3 4" xfId="20128"/>
    <cellStyle name="20% - Accent1 5 3 2 3 2 3 4 2" xfId="58704"/>
    <cellStyle name="20% - Accent1 5 3 2 3 2 3 5" xfId="33743"/>
    <cellStyle name="20% - Accent1 5 3 2 3 2 4" xfId="15279"/>
    <cellStyle name="20% - Accent1 5 3 2 3 2 4 2" xfId="27080"/>
    <cellStyle name="20% - Accent1 5 3 2 3 2 4 2 2" xfId="58705"/>
    <cellStyle name="20% - Accent1 5 3 2 3 2 4 3" xfId="40695"/>
    <cellStyle name="20% - Accent1 5 3 2 3 2 5" xfId="7133"/>
    <cellStyle name="20% - Accent1 5 3 2 3 2 5 2" xfId="47239"/>
    <cellStyle name="20% - Accent1 5 3 2 3 2 6" xfId="18934"/>
    <cellStyle name="20% - Accent1 5 3 2 3 2 6 2" xfId="58706"/>
    <cellStyle name="20% - Accent1 5 3 2 3 2 7" xfId="32549"/>
    <cellStyle name="20% - Accent1 5 3 2 3 3" xfId="3442"/>
    <cellStyle name="20% - Accent1 5 3 2 3 3 2" xfId="5283"/>
    <cellStyle name="20% - Accent1 5 3 2 3 3 2 2" xfId="16753"/>
    <cellStyle name="20% - Accent1 5 3 2 3 3 2 2 2" xfId="28554"/>
    <cellStyle name="20% - Accent1 5 3 2 3 3 2 2 2 2" xfId="58707"/>
    <cellStyle name="20% - Accent1 5 3 2 3 3 2 2 3" xfId="42169"/>
    <cellStyle name="20% - Accent1 5 3 2 3 3 2 3" xfId="10736"/>
    <cellStyle name="20% - Accent1 5 3 2 3 3 2 3 2" xfId="58708"/>
    <cellStyle name="20% - Accent1 5 3 2 3 3 2 4" xfId="22537"/>
    <cellStyle name="20% - Accent1 5 3 2 3 3 2 4 2" xfId="58709"/>
    <cellStyle name="20% - Accent1 5 3 2 3 3 2 5" xfId="36152"/>
    <cellStyle name="20% - Accent1 5 3 2 3 3 3" xfId="15280"/>
    <cellStyle name="20% - Accent1 5 3 2 3 3 3 2" xfId="27081"/>
    <cellStyle name="20% - Accent1 5 3 2 3 3 3 2 2" xfId="58710"/>
    <cellStyle name="20% - Accent1 5 3 2 3 3 3 3" xfId="40696"/>
    <cellStyle name="20% - Accent1 5 3 2 3 3 4" xfId="8895"/>
    <cellStyle name="20% - Accent1 5 3 2 3 3 4 2" xfId="58711"/>
    <cellStyle name="20% - Accent1 5 3 2 3 3 5" xfId="20696"/>
    <cellStyle name="20% - Accent1 5 3 2 3 3 5 2" xfId="58712"/>
    <cellStyle name="20% - Accent1 5 3 2 3 3 6" xfId="34311"/>
    <cellStyle name="20% - Accent1 5 3 2 3 4" xfId="4147"/>
    <cellStyle name="20% - Accent1 5 3 2 3 4 2" xfId="15281"/>
    <cellStyle name="20% - Accent1 5 3 2 3 4 2 2" xfId="27082"/>
    <cellStyle name="20% - Accent1 5 3 2 3 4 2 2 2" xfId="58713"/>
    <cellStyle name="20% - Accent1 5 3 2 3 4 2 3" xfId="40697"/>
    <cellStyle name="20% - Accent1 5 3 2 3 4 3" xfId="9600"/>
    <cellStyle name="20% - Accent1 5 3 2 3 4 3 2" xfId="47240"/>
    <cellStyle name="20% - Accent1 5 3 2 3 4 4" xfId="21401"/>
    <cellStyle name="20% - Accent1 5 3 2 3 4 4 2" xfId="58714"/>
    <cellStyle name="20% - Accent1 5 3 2 3 4 5" xfId="35016"/>
    <cellStyle name="20% - Accent1 5 3 2 3 5" xfId="2306"/>
    <cellStyle name="20% - Accent1 5 3 2 3 5 2" xfId="17177"/>
    <cellStyle name="20% - Accent1 5 3 2 3 5 2 2" xfId="28978"/>
    <cellStyle name="20% - Accent1 5 3 2 3 5 2 2 2" xfId="58715"/>
    <cellStyle name="20% - Accent1 5 3 2 3 5 2 3" xfId="42593"/>
    <cellStyle name="20% - Accent1 5 3 2 3 5 3" xfId="7759"/>
    <cellStyle name="20% - Accent1 5 3 2 3 5 3 2" xfId="58716"/>
    <cellStyle name="20% - Accent1 5 3 2 3 5 4" xfId="19560"/>
    <cellStyle name="20% - Accent1 5 3 2 3 5 4 2" xfId="58717"/>
    <cellStyle name="20% - Accent1 5 3 2 3 5 5" xfId="33175"/>
    <cellStyle name="20% - Accent1 5 3 2 3 6" xfId="15282"/>
    <cellStyle name="20% - Accent1 5 3 2 3 6 2" xfId="27083"/>
    <cellStyle name="20% - Accent1 5 3 2 3 6 2 2" xfId="58718"/>
    <cellStyle name="20% - Accent1 5 3 2 3 6 3" xfId="40698"/>
    <cellStyle name="20% - Accent1 5 3 2 3 7" xfId="5859"/>
    <cellStyle name="20% - Accent1 5 3 2 3 7 2" xfId="58719"/>
    <cellStyle name="20% - Accent1 5 3 2 3 8" xfId="17660"/>
    <cellStyle name="20% - Accent1 5 3 2 3 8 2" xfId="58720"/>
    <cellStyle name="20% - Accent1 5 3 2 3 9" xfId="31275"/>
    <cellStyle name="20% - Accent1 5 3 2 4" xfId="683"/>
    <cellStyle name="20% - Accent1 5 3 2 4 2" xfId="1680"/>
    <cellStyle name="20% - Accent1 5 3 2 4 2 2" xfId="4425"/>
    <cellStyle name="20% - Accent1 5 3 2 4 2 2 2" xfId="15283"/>
    <cellStyle name="20% - Accent1 5 3 2 4 2 2 2 2" xfId="27084"/>
    <cellStyle name="20% - Accent1 5 3 2 4 2 2 2 2 2" xfId="58721"/>
    <cellStyle name="20% - Accent1 5 3 2 4 2 2 2 3" xfId="40699"/>
    <cellStyle name="20% - Accent1 5 3 2 4 2 2 3" xfId="9878"/>
    <cellStyle name="20% - Accent1 5 3 2 4 2 2 3 2" xfId="47241"/>
    <cellStyle name="20% - Accent1 5 3 2 4 2 2 4" xfId="21679"/>
    <cellStyle name="20% - Accent1 5 3 2 4 2 2 4 2" xfId="58722"/>
    <cellStyle name="20% - Accent1 5 3 2 4 2 2 5" xfId="35294"/>
    <cellStyle name="20% - Accent1 5 3 2 4 2 3" xfId="15284"/>
    <cellStyle name="20% - Accent1 5 3 2 4 2 3 2" xfId="27085"/>
    <cellStyle name="20% - Accent1 5 3 2 4 2 3 2 2" xfId="47242"/>
    <cellStyle name="20% - Accent1 5 3 2 4 2 3 3" xfId="30446"/>
    <cellStyle name="20% - Accent1 5 3 2 4 2 3 3 2" xfId="47243"/>
    <cellStyle name="20% - Accent1 5 3 2 4 2 3 4" xfId="30447"/>
    <cellStyle name="20% - Accent1 5 3 2 4 2 3 4 2" xfId="58723"/>
    <cellStyle name="20% - Accent1 5 3 2 4 2 3 5" xfId="40700"/>
    <cellStyle name="20% - Accent1 5 3 2 4 2 4" xfId="15285"/>
    <cellStyle name="20% - Accent1 5 3 2 4 2 4 2" xfId="27086"/>
    <cellStyle name="20% - Accent1 5 3 2 4 2 4 2 2" xfId="58724"/>
    <cellStyle name="20% - Accent1 5 3 2 4 2 4 3" xfId="40701"/>
    <cellStyle name="20% - Accent1 5 3 2 4 2 5" xfId="7134"/>
    <cellStyle name="20% - Accent1 5 3 2 4 2 5 2" xfId="47244"/>
    <cellStyle name="20% - Accent1 5 3 2 4 2 6" xfId="18935"/>
    <cellStyle name="20% - Accent1 5 3 2 4 2 6 2" xfId="58725"/>
    <cellStyle name="20% - Accent1 5 3 2 4 2 7" xfId="32550"/>
    <cellStyle name="20% - Accent1 5 3 2 4 3" xfId="2584"/>
    <cellStyle name="20% - Accent1 5 3 2 4 3 2" xfId="15286"/>
    <cellStyle name="20% - Accent1 5 3 2 4 3 2 2" xfId="27087"/>
    <cellStyle name="20% - Accent1 5 3 2 4 3 2 2 2" xfId="58726"/>
    <cellStyle name="20% - Accent1 5 3 2 4 3 2 3" xfId="40702"/>
    <cellStyle name="20% - Accent1 5 3 2 4 3 3" xfId="8037"/>
    <cellStyle name="20% - Accent1 5 3 2 4 3 3 2" xfId="47245"/>
    <cellStyle name="20% - Accent1 5 3 2 4 3 4" xfId="19838"/>
    <cellStyle name="20% - Accent1 5 3 2 4 3 4 2" xfId="58727"/>
    <cellStyle name="20% - Accent1 5 3 2 4 3 5" xfId="33453"/>
    <cellStyle name="20% - Accent1 5 3 2 4 4" xfId="15287"/>
    <cellStyle name="20% - Accent1 5 3 2 4 4 2" xfId="27088"/>
    <cellStyle name="20% - Accent1 5 3 2 4 4 2 2" xfId="47246"/>
    <cellStyle name="20% - Accent1 5 3 2 4 4 3" xfId="30448"/>
    <cellStyle name="20% - Accent1 5 3 2 4 4 3 2" xfId="47247"/>
    <cellStyle name="20% - Accent1 5 3 2 4 4 4" xfId="30449"/>
    <cellStyle name="20% - Accent1 5 3 2 4 4 4 2" xfId="58728"/>
    <cellStyle name="20% - Accent1 5 3 2 4 4 5" xfId="40703"/>
    <cellStyle name="20% - Accent1 5 3 2 4 5" xfId="15288"/>
    <cellStyle name="20% - Accent1 5 3 2 4 5 2" xfId="27089"/>
    <cellStyle name="20% - Accent1 5 3 2 4 5 2 2" xfId="58729"/>
    <cellStyle name="20% - Accent1 5 3 2 4 5 3" xfId="40704"/>
    <cellStyle name="20% - Accent1 5 3 2 4 6" xfId="6137"/>
    <cellStyle name="20% - Accent1 5 3 2 4 6 2" xfId="47248"/>
    <cellStyle name="20% - Accent1 5 3 2 4 7" xfId="17938"/>
    <cellStyle name="20% - Accent1 5 3 2 4 7 2" xfId="58730"/>
    <cellStyle name="20% - Accent1 5 3 2 4 8" xfId="31553"/>
    <cellStyle name="20% - Accent1 5 3 2 5" xfId="924"/>
    <cellStyle name="20% - Accent1 5 3 2 5 2" xfId="1681"/>
    <cellStyle name="20% - Accent1 5 3 2 5 2 2" xfId="4993"/>
    <cellStyle name="20% - Accent1 5 3 2 5 2 2 2" xfId="15289"/>
    <cellStyle name="20% - Accent1 5 3 2 5 2 2 2 2" xfId="27090"/>
    <cellStyle name="20% - Accent1 5 3 2 5 2 2 2 2 2" xfId="58731"/>
    <cellStyle name="20% - Accent1 5 3 2 5 2 2 2 3" xfId="40705"/>
    <cellStyle name="20% - Accent1 5 3 2 5 2 2 3" xfId="10446"/>
    <cellStyle name="20% - Accent1 5 3 2 5 2 2 3 2" xfId="47249"/>
    <cellStyle name="20% - Accent1 5 3 2 5 2 2 4" xfId="22247"/>
    <cellStyle name="20% - Accent1 5 3 2 5 2 2 4 2" xfId="58732"/>
    <cellStyle name="20% - Accent1 5 3 2 5 2 2 5" xfId="35862"/>
    <cellStyle name="20% - Accent1 5 3 2 5 2 3" xfId="15290"/>
    <cellStyle name="20% - Accent1 5 3 2 5 2 3 2" xfId="27091"/>
    <cellStyle name="20% - Accent1 5 3 2 5 2 3 2 2" xfId="47250"/>
    <cellStyle name="20% - Accent1 5 3 2 5 2 3 3" xfId="30450"/>
    <cellStyle name="20% - Accent1 5 3 2 5 2 3 3 2" xfId="47251"/>
    <cellStyle name="20% - Accent1 5 3 2 5 2 3 4" xfId="30451"/>
    <cellStyle name="20% - Accent1 5 3 2 5 2 3 4 2" xfId="58733"/>
    <cellStyle name="20% - Accent1 5 3 2 5 2 3 5" xfId="40706"/>
    <cellStyle name="20% - Accent1 5 3 2 5 2 4" xfId="15291"/>
    <cellStyle name="20% - Accent1 5 3 2 5 2 4 2" xfId="27092"/>
    <cellStyle name="20% - Accent1 5 3 2 5 2 4 2 2" xfId="58734"/>
    <cellStyle name="20% - Accent1 5 3 2 5 2 4 3" xfId="40707"/>
    <cellStyle name="20% - Accent1 5 3 2 5 2 5" xfId="7135"/>
    <cellStyle name="20% - Accent1 5 3 2 5 2 5 2" xfId="47252"/>
    <cellStyle name="20% - Accent1 5 3 2 5 2 6" xfId="18936"/>
    <cellStyle name="20% - Accent1 5 3 2 5 2 6 2" xfId="58735"/>
    <cellStyle name="20% - Accent1 5 3 2 5 2 7" xfId="32551"/>
    <cellStyle name="20% - Accent1 5 3 2 5 3" xfId="3152"/>
    <cellStyle name="20% - Accent1 5 3 2 5 3 2" xfId="15292"/>
    <cellStyle name="20% - Accent1 5 3 2 5 3 2 2" xfId="27093"/>
    <cellStyle name="20% - Accent1 5 3 2 5 3 2 2 2" xfId="58736"/>
    <cellStyle name="20% - Accent1 5 3 2 5 3 2 3" xfId="40708"/>
    <cellStyle name="20% - Accent1 5 3 2 5 3 3" xfId="8605"/>
    <cellStyle name="20% - Accent1 5 3 2 5 3 3 2" xfId="47253"/>
    <cellStyle name="20% - Accent1 5 3 2 5 3 4" xfId="20406"/>
    <cellStyle name="20% - Accent1 5 3 2 5 3 4 2" xfId="58737"/>
    <cellStyle name="20% - Accent1 5 3 2 5 3 5" xfId="34021"/>
    <cellStyle name="20% - Accent1 5 3 2 5 4" xfId="15293"/>
    <cellStyle name="20% - Accent1 5 3 2 5 4 2" xfId="27094"/>
    <cellStyle name="20% - Accent1 5 3 2 5 4 2 2" xfId="47254"/>
    <cellStyle name="20% - Accent1 5 3 2 5 4 3" xfId="30452"/>
    <cellStyle name="20% - Accent1 5 3 2 5 4 3 2" xfId="47255"/>
    <cellStyle name="20% - Accent1 5 3 2 5 4 4" xfId="30453"/>
    <cellStyle name="20% - Accent1 5 3 2 5 4 4 2" xfId="58738"/>
    <cellStyle name="20% - Accent1 5 3 2 5 4 5" xfId="40709"/>
    <cellStyle name="20% - Accent1 5 3 2 5 5" xfId="15294"/>
    <cellStyle name="20% - Accent1 5 3 2 5 5 2" xfId="27095"/>
    <cellStyle name="20% - Accent1 5 3 2 5 5 2 2" xfId="58739"/>
    <cellStyle name="20% - Accent1 5 3 2 5 5 3" xfId="40710"/>
    <cellStyle name="20% - Accent1 5 3 2 5 6" xfId="6378"/>
    <cellStyle name="20% - Accent1 5 3 2 5 6 2" xfId="47256"/>
    <cellStyle name="20% - Accent1 5 3 2 5 7" xfId="18179"/>
    <cellStyle name="20% - Accent1 5 3 2 5 7 2" xfId="58740"/>
    <cellStyle name="20% - Accent1 5 3 2 5 8" xfId="31794"/>
    <cellStyle name="20% - Accent1 5 3 2 6" xfId="1682"/>
    <cellStyle name="20% - Accent1 5 3 2 6 2" xfId="3857"/>
    <cellStyle name="20% - Accent1 5 3 2 6 2 2" xfId="15295"/>
    <cellStyle name="20% - Accent1 5 3 2 6 2 2 2" xfId="27096"/>
    <cellStyle name="20% - Accent1 5 3 2 6 2 2 2 2" xfId="58741"/>
    <cellStyle name="20% - Accent1 5 3 2 6 2 2 3" xfId="40711"/>
    <cellStyle name="20% - Accent1 5 3 2 6 2 3" xfId="9310"/>
    <cellStyle name="20% - Accent1 5 3 2 6 2 3 2" xfId="47257"/>
    <cellStyle name="20% - Accent1 5 3 2 6 2 4" xfId="21111"/>
    <cellStyle name="20% - Accent1 5 3 2 6 2 4 2" xfId="58742"/>
    <cellStyle name="20% - Accent1 5 3 2 6 2 5" xfId="34726"/>
    <cellStyle name="20% - Accent1 5 3 2 6 3" xfId="15296"/>
    <cellStyle name="20% - Accent1 5 3 2 6 3 2" xfId="27097"/>
    <cellStyle name="20% - Accent1 5 3 2 6 3 2 2" xfId="47258"/>
    <cellStyle name="20% - Accent1 5 3 2 6 3 3" xfId="30454"/>
    <cellStyle name="20% - Accent1 5 3 2 6 3 3 2" xfId="47259"/>
    <cellStyle name="20% - Accent1 5 3 2 6 3 4" xfId="30455"/>
    <cellStyle name="20% - Accent1 5 3 2 6 3 4 2" xfId="58743"/>
    <cellStyle name="20% - Accent1 5 3 2 6 3 5" xfId="40712"/>
    <cellStyle name="20% - Accent1 5 3 2 6 4" xfId="15297"/>
    <cellStyle name="20% - Accent1 5 3 2 6 4 2" xfId="27098"/>
    <cellStyle name="20% - Accent1 5 3 2 6 4 2 2" xfId="58744"/>
    <cellStyle name="20% - Accent1 5 3 2 6 4 3" xfId="40713"/>
    <cellStyle name="20% - Accent1 5 3 2 6 5" xfId="7136"/>
    <cellStyle name="20% - Accent1 5 3 2 6 5 2" xfId="47260"/>
    <cellStyle name="20% - Accent1 5 3 2 6 6" xfId="18937"/>
    <cellStyle name="20% - Accent1 5 3 2 6 6 2" xfId="58745"/>
    <cellStyle name="20% - Accent1 5 3 2 6 7" xfId="32552"/>
    <cellStyle name="20% - Accent1 5 3 2 7" xfId="3720"/>
    <cellStyle name="20% - Accent1 5 3 2 7 2" xfId="15298"/>
    <cellStyle name="20% - Accent1 5 3 2 7 2 2" xfId="27099"/>
    <cellStyle name="20% - Accent1 5 3 2 7 2 2 2" xfId="58746"/>
    <cellStyle name="20% - Accent1 5 3 2 7 2 3" xfId="40714"/>
    <cellStyle name="20% - Accent1 5 3 2 7 3" xfId="9173"/>
    <cellStyle name="20% - Accent1 5 3 2 7 3 2" xfId="47261"/>
    <cellStyle name="20% - Accent1 5 3 2 7 4" xfId="20974"/>
    <cellStyle name="20% - Accent1 5 3 2 7 4 2" xfId="58747"/>
    <cellStyle name="20% - Accent1 5 3 2 7 5" xfId="34589"/>
    <cellStyle name="20% - Accent1 5 3 2 8" xfId="2016"/>
    <cellStyle name="20% - Accent1 5 3 2 8 2" xfId="15299"/>
    <cellStyle name="20% - Accent1 5 3 2 8 2 2" xfId="27100"/>
    <cellStyle name="20% - Accent1 5 3 2 8 2 2 2" xfId="58748"/>
    <cellStyle name="20% - Accent1 5 3 2 8 2 3" xfId="40715"/>
    <cellStyle name="20% - Accent1 5 3 2 8 3" xfId="7469"/>
    <cellStyle name="20% - Accent1 5 3 2 8 3 2" xfId="47262"/>
    <cellStyle name="20% - Accent1 5 3 2 8 4" xfId="19270"/>
    <cellStyle name="20% - Accent1 5 3 2 8 4 2" xfId="58749"/>
    <cellStyle name="20% - Accent1 5 3 2 8 5" xfId="32885"/>
    <cellStyle name="20% - Accent1 5 3 2 9" xfId="15300"/>
    <cellStyle name="20% - Accent1 5 3 2 9 2" xfId="27101"/>
    <cellStyle name="20% - Accent1 5 3 2 9 2 2" xfId="58750"/>
    <cellStyle name="20% - Accent1 5 3 2 9 3" xfId="40716"/>
    <cellStyle name="20% - Accent1 5 3 3" xfId="181"/>
    <cellStyle name="20% - Accent1 5 3 3 10" xfId="31051"/>
    <cellStyle name="20% - Accent1 5 3 3 2" xfId="338"/>
    <cellStyle name="20% - Accent1 5 3 3 2 2" xfId="1683"/>
    <cellStyle name="20% - Accent1 5 3 3 2 2 2" xfId="4648"/>
    <cellStyle name="20% - Accent1 5 3 3 2 2 2 2" xfId="15301"/>
    <cellStyle name="20% - Accent1 5 3 3 2 2 2 2 2" xfId="27102"/>
    <cellStyle name="20% - Accent1 5 3 3 2 2 2 2 2 2" xfId="58751"/>
    <cellStyle name="20% - Accent1 5 3 3 2 2 2 2 3" xfId="40717"/>
    <cellStyle name="20% - Accent1 5 3 3 2 2 2 3" xfId="10101"/>
    <cellStyle name="20% - Accent1 5 3 3 2 2 2 3 2" xfId="47263"/>
    <cellStyle name="20% - Accent1 5 3 3 2 2 2 4" xfId="21902"/>
    <cellStyle name="20% - Accent1 5 3 3 2 2 2 4 2" xfId="58752"/>
    <cellStyle name="20% - Accent1 5 3 3 2 2 2 5" xfId="35517"/>
    <cellStyle name="20% - Accent1 5 3 3 2 2 3" xfId="2807"/>
    <cellStyle name="20% - Accent1 5 3 3 2 2 3 2" xfId="15302"/>
    <cellStyle name="20% - Accent1 5 3 3 2 2 3 2 2" xfId="27103"/>
    <cellStyle name="20% - Accent1 5 3 3 2 2 3 2 2 2" xfId="58753"/>
    <cellStyle name="20% - Accent1 5 3 3 2 2 3 2 3" xfId="40718"/>
    <cellStyle name="20% - Accent1 5 3 3 2 2 3 3" xfId="8260"/>
    <cellStyle name="20% - Accent1 5 3 3 2 2 3 3 2" xfId="47264"/>
    <cellStyle name="20% - Accent1 5 3 3 2 2 3 4" xfId="20061"/>
    <cellStyle name="20% - Accent1 5 3 3 2 2 3 4 2" xfId="58754"/>
    <cellStyle name="20% - Accent1 5 3 3 2 2 3 5" xfId="33676"/>
    <cellStyle name="20% - Accent1 5 3 3 2 2 4" xfId="15303"/>
    <cellStyle name="20% - Accent1 5 3 3 2 2 4 2" xfId="27104"/>
    <cellStyle name="20% - Accent1 5 3 3 2 2 4 2 2" xfId="58755"/>
    <cellStyle name="20% - Accent1 5 3 3 2 2 4 3" xfId="40719"/>
    <cellStyle name="20% - Accent1 5 3 3 2 2 5" xfId="7137"/>
    <cellStyle name="20% - Accent1 5 3 3 2 2 5 2" xfId="47265"/>
    <cellStyle name="20% - Accent1 5 3 3 2 2 6" xfId="18938"/>
    <cellStyle name="20% - Accent1 5 3 3 2 2 6 2" xfId="58756"/>
    <cellStyle name="20% - Accent1 5 3 3 2 2 7" xfId="32553"/>
    <cellStyle name="20% - Accent1 5 3 3 2 3" xfId="3375"/>
    <cellStyle name="20% - Accent1 5 3 3 2 3 2" xfId="5216"/>
    <cellStyle name="20% - Accent1 5 3 3 2 3 2 2" xfId="16686"/>
    <cellStyle name="20% - Accent1 5 3 3 2 3 2 2 2" xfId="28487"/>
    <cellStyle name="20% - Accent1 5 3 3 2 3 2 2 2 2" xfId="58757"/>
    <cellStyle name="20% - Accent1 5 3 3 2 3 2 2 3" xfId="42102"/>
    <cellStyle name="20% - Accent1 5 3 3 2 3 2 3" xfId="10669"/>
    <cellStyle name="20% - Accent1 5 3 3 2 3 2 3 2" xfId="58758"/>
    <cellStyle name="20% - Accent1 5 3 3 2 3 2 4" xfId="22470"/>
    <cellStyle name="20% - Accent1 5 3 3 2 3 2 4 2" xfId="58759"/>
    <cellStyle name="20% - Accent1 5 3 3 2 3 2 5" xfId="36085"/>
    <cellStyle name="20% - Accent1 5 3 3 2 3 3" xfId="15304"/>
    <cellStyle name="20% - Accent1 5 3 3 2 3 3 2" xfId="27105"/>
    <cellStyle name="20% - Accent1 5 3 3 2 3 3 2 2" xfId="58760"/>
    <cellStyle name="20% - Accent1 5 3 3 2 3 3 3" xfId="40720"/>
    <cellStyle name="20% - Accent1 5 3 3 2 3 4" xfId="8828"/>
    <cellStyle name="20% - Accent1 5 3 3 2 3 4 2" xfId="58761"/>
    <cellStyle name="20% - Accent1 5 3 3 2 3 5" xfId="20629"/>
    <cellStyle name="20% - Accent1 5 3 3 2 3 5 2" xfId="58762"/>
    <cellStyle name="20% - Accent1 5 3 3 2 3 6" xfId="34244"/>
    <cellStyle name="20% - Accent1 5 3 3 2 4" xfId="4080"/>
    <cellStyle name="20% - Accent1 5 3 3 2 4 2" xfId="15305"/>
    <cellStyle name="20% - Accent1 5 3 3 2 4 2 2" xfId="27106"/>
    <cellStyle name="20% - Accent1 5 3 3 2 4 2 2 2" xfId="58763"/>
    <cellStyle name="20% - Accent1 5 3 3 2 4 2 3" xfId="40721"/>
    <cellStyle name="20% - Accent1 5 3 3 2 4 3" xfId="9533"/>
    <cellStyle name="20% - Accent1 5 3 3 2 4 3 2" xfId="47266"/>
    <cellStyle name="20% - Accent1 5 3 3 2 4 4" xfId="21334"/>
    <cellStyle name="20% - Accent1 5 3 3 2 4 4 2" xfId="58764"/>
    <cellStyle name="20% - Accent1 5 3 3 2 4 5" xfId="34949"/>
    <cellStyle name="20% - Accent1 5 3 3 2 5" xfId="2239"/>
    <cellStyle name="20% - Accent1 5 3 3 2 5 2" xfId="17178"/>
    <cellStyle name="20% - Accent1 5 3 3 2 5 2 2" xfId="28979"/>
    <cellStyle name="20% - Accent1 5 3 3 2 5 2 2 2" xfId="58765"/>
    <cellStyle name="20% - Accent1 5 3 3 2 5 2 3" xfId="42594"/>
    <cellStyle name="20% - Accent1 5 3 3 2 5 3" xfId="7692"/>
    <cellStyle name="20% - Accent1 5 3 3 2 5 3 2" xfId="58766"/>
    <cellStyle name="20% - Accent1 5 3 3 2 5 4" xfId="19493"/>
    <cellStyle name="20% - Accent1 5 3 3 2 5 4 2" xfId="58767"/>
    <cellStyle name="20% - Accent1 5 3 3 2 5 5" xfId="33108"/>
    <cellStyle name="20% - Accent1 5 3 3 2 6" xfId="15306"/>
    <cellStyle name="20% - Accent1 5 3 3 2 6 2" xfId="27107"/>
    <cellStyle name="20% - Accent1 5 3 3 2 6 2 2" xfId="58768"/>
    <cellStyle name="20% - Accent1 5 3 3 2 6 3" xfId="40722"/>
    <cellStyle name="20% - Accent1 5 3 3 2 7" xfId="5792"/>
    <cellStyle name="20% - Accent1 5 3 3 2 7 2" xfId="58769"/>
    <cellStyle name="20% - Accent1 5 3 3 2 8" xfId="17593"/>
    <cellStyle name="20% - Accent1 5 3 3 2 8 2" xfId="58770"/>
    <cellStyle name="20% - Accent1 5 3 3 2 9" xfId="31208"/>
    <cellStyle name="20% - Accent1 5 3 3 3" xfId="749"/>
    <cellStyle name="20% - Accent1 5 3 3 3 2" xfId="1684"/>
    <cellStyle name="20% - Accent1 5 3 3 3 2 2" xfId="4491"/>
    <cellStyle name="20% - Accent1 5 3 3 3 2 2 2" xfId="15307"/>
    <cellStyle name="20% - Accent1 5 3 3 3 2 2 2 2" xfId="27108"/>
    <cellStyle name="20% - Accent1 5 3 3 3 2 2 2 2 2" xfId="58771"/>
    <cellStyle name="20% - Accent1 5 3 3 3 2 2 2 3" xfId="40723"/>
    <cellStyle name="20% - Accent1 5 3 3 3 2 2 3" xfId="9944"/>
    <cellStyle name="20% - Accent1 5 3 3 3 2 2 3 2" xfId="47267"/>
    <cellStyle name="20% - Accent1 5 3 3 3 2 2 4" xfId="21745"/>
    <cellStyle name="20% - Accent1 5 3 3 3 2 2 4 2" xfId="58772"/>
    <cellStyle name="20% - Accent1 5 3 3 3 2 2 5" xfId="35360"/>
    <cellStyle name="20% - Accent1 5 3 3 3 2 3" xfId="15308"/>
    <cellStyle name="20% - Accent1 5 3 3 3 2 3 2" xfId="27109"/>
    <cellStyle name="20% - Accent1 5 3 3 3 2 3 2 2" xfId="47268"/>
    <cellStyle name="20% - Accent1 5 3 3 3 2 3 3" xfId="30456"/>
    <cellStyle name="20% - Accent1 5 3 3 3 2 3 3 2" xfId="47269"/>
    <cellStyle name="20% - Accent1 5 3 3 3 2 3 4" xfId="30457"/>
    <cellStyle name="20% - Accent1 5 3 3 3 2 3 4 2" xfId="58773"/>
    <cellStyle name="20% - Accent1 5 3 3 3 2 3 5" xfId="40724"/>
    <cellStyle name="20% - Accent1 5 3 3 3 2 4" xfId="15309"/>
    <cellStyle name="20% - Accent1 5 3 3 3 2 4 2" xfId="27110"/>
    <cellStyle name="20% - Accent1 5 3 3 3 2 4 2 2" xfId="58774"/>
    <cellStyle name="20% - Accent1 5 3 3 3 2 4 3" xfId="40725"/>
    <cellStyle name="20% - Accent1 5 3 3 3 2 5" xfId="7138"/>
    <cellStyle name="20% - Accent1 5 3 3 3 2 5 2" xfId="47270"/>
    <cellStyle name="20% - Accent1 5 3 3 3 2 6" xfId="18939"/>
    <cellStyle name="20% - Accent1 5 3 3 3 2 6 2" xfId="58775"/>
    <cellStyle name="20% - Accent1 5 3 3 3 2 7" xfId="32554"/>
    <cellStyle name="20% - Accent1 5 3 3 3 3" xfId="2650"/>
    <cellStyle name="20% - Accent1 5 3 3 3 3 2" xfId="15310"/>
    <cellStyle name="20% - Accent1 5 3 3 3 3 2 2" xfId="27111"/>
    <cellStyle name="20% - Accent1 5 3 3 3 3 2 2 2" xfId="58776"/>
    <cellStyle name="20% - Accent1 5 3 3 3 3 2 3" xfId="40726"/>
    <cellStyle name="20% - Accent1 5 3 3 3 3 3" xfId="8103"/>
    <cellStyle name="20% - Accent1 5 3 3 3 3 3 2" xfId="47271"/>
    <cellStyle name="20% - Accent1 5 3 3 3 3 4" xfId="19904"/>
    <cellStyle name="20% - Accent1 5 3 3 3 3 4 2" xfId="58777"/>
    <cellStyle name="20% - Accent1 5 3 3 3 3 5" xfId="33519"/>
    <cellStyle name="20% - Accent1 5 3 3 3 4" xfId="15311"/>
    <cellStyle name="20% - Accent1 5 3 3 3 4 2" xfId="27112"/>
    <cellStyle name="20% - Accent1 5 3 3 3 4 2 2" xfId="47272"/>
    <cellStyle name="20% - Accent1 5 3 3 3 4 3" xfId="30458"/>
    <cellStyle name="20% - Accent1 5 3 3 3 4 3 2" xfId="47273"/>
    <cellStyle name="20% - Accent1 5 3 3 3 4 4" xfId="30459"/>
    <cellStyle name="20% - Accent1 5 3 3 3 4 4 2" xfId="58778"/>
    <cellStyle name="20% - Accent1 5 3 3 3 4 5" xfId="40727"/>
    <cellStyle name="20% - Accent1 5 3 3 3 5" xfId="15312"/>
    <cellStyle name="20% - Accent1 5 3 3 3 5 2" xfId="27113"/>
    <cellStyle name="20% - Accent1 5 3 3 3 5 2 2" xfId="58779"/>
    <cellStyle name="20% - Accent1 5 3 3 3 5 3" xfId="40728"/>
    <cellStyle name="20% - Accent1 5 3 3 3 6" xfId="6203"/>
    <cellStyle name="20% - Accent1 5 3 3 3 6 2" xfId="47274"/>
    <cellStyle name="20% - Accent1 5 3 3 3 7" xfId="18004"/>
    <cellStyle name="20% - Accent1 5 3 3 3 7 2" xfId="58780"/>
    <cellStyle name="20% - Accent1 5 3 3 3 8" xfId="31619"/>
    <cellStyle name="20% - Accent1 5 3 3 4" xfId="1685"/>
    <cellStyle name="20% - Accent1 5 3 3 4 2" xfId="5059"/>
    <cellStyle name="20% - Accent1 5 3 3 4 2 2" xfId="15313"/>
    <cellStyle name="20% - Accent1 5 3 3 4 2 2 2" xfId="27114"/>
    <cellStyle name="20% - Accent1 5 3 3 4 2 2 2 2" xfId="58781"/>
    <cellStyle name="20% - Accent1 5 3 3 4 2 2 3" xfId="40729"/>
    <cellStyle name="20% - Accent1 5 3 3 4 2 3" xfId="10512"/>
    <cellStyle name="20% - Accent1 5 3 3 4 2 3 2" xfId="47275"/>
    <cellStyle name="20% - Accent1 5 3 3 4 2 4" xfId="22313"/>
    <cellStyle name="20% - Accent1 5 3 3 4 2 4 2" xfId="58782"/>
    <cellStyle name="20% - Accent1 5 3 3 4 2 5" xfId="35928"/>
    <cellStyle name="20% - Accent1 5 3 3 4 3" xfId="3218"/>
    <cellStyle name="20% - Accent1 5 3 3 4 3 2" xfId="15314"/>
    <cellStyle name="20% - Accent1 5 3 3 4 3 2 2" xfId="27115"/>
    <cellStyle name="20% - Accent1 5 3 3 4 3 2 2 2" xfId="58783"/>
    <cellStyle name="20% - Accent1 5 3 3 4 3 2 3" xfId="40730"/>
    <cellStyle name="20% - Accent1 5 3 3 4 3 3" xfId="8671"/>
    <cellStyle name="20% - Accent1 5 3 3 4 3 3 2" xfId="47276"/>
    <cellStyle name="20% - Accent1 5 3 3 4 3 4" xfId="20472"/>
    <cellStyle name="20% - Accent1 5 3 3 4 3 4 2" xfId="58784"/>
    <cellStyle name="20% - Accent1 5 3 3 4 3 5" xfId="34087"/>
    <cellStyle name="20% - Accent1 5 3 3 4 4" xfId="15315"/>
    <cellStyle name="20% - Accent1 5 3 3 4 4 2" xfId="27116"/>
    <cellStyle name="20% - Accent1 5 3 3 4 4 2 2" xfId="58785"/>
    <cellStyle name="20% - Accent1 5 3 3 4 4 3" xfId="40731"/>
    <cellStyle name="20% - Accent1 5 3 3 4 5" xfId="7139"/>
    <cellStyle name="20% - Accent1 5 3 3 4 5 2" xfId="47277"/>
    <cellStyle name="20% - Accent1 5 3 3 4 6" xfId="18940"/>
    <cellStyle name="20% - Accent1 5 3 3 4 6 2" xfId="58786"/>
    <cellStyle name="20% - Accent1 5 3 3 4 7" xfId="32555"/>
    <cellStyle name="20% - Accent1 5 3 3 5" xfId="3923"/>
    <cellStyle name="20% - Accent1 5 3 3 5 2" xfId="15316"/>
    <cellStyle name="20% - Accent1 5 3 3 5 2 2" xfId="27117"/>
    <cellStyle name="20% - Accent1 5 3 3 5 2 2 2" xfId="58787"/>
    <cellStyle name="20% - Accent1 5 3 3 5 2 3" xfId="40732"/>
    <cellStyle name="20% - Accent1 5 3 3 5 3" xfId="9376"/>
    <cellStyle name="20% - Accent1 5 3 3 5 3 2" xfId="47278"/>
    <cellStyle name="20% - Accent1 5 3 3 5 4" xfId="21177"/>
    <cellStyle name="20% - Accent1 5 3 3 5 4 2" xfId="58788"/>
    <cellStyle name="20% - Accent1 5 3 3 5 5" xfId="34792"/>
    <cellStyle name="20% - Accent1 5 3 3 6" xfId="2082"/>
    <cellStyle name="20% - Accent1 5 3 3 6 2" xfId="15317"/>
    <cellStyle name="20% - Accent1 5 3 3 6 2 2" xfId="27118"/>
    <cellStyle name="20% - Accent1 5 3 3 6 2 2 2" xfId="58789"/>
    <cellStyle name="20% - Accent1 5 3 3 6 2 3" xfId="40733"/>
    <cellStyle name="20% - Accent1 5 3 3 6 3" xfId="7535"/>
    <cellStyle name="20% - Accent1 5 3 3 6 3 2" xfId="47279"/>
    <cellStyle name="20% - Accent1 5 3 3 6 4" xfId="19336"/>
    <cellStyle name="20% - Accent1 5 3 3 6 4 2" xfId="58790"/>
    <cellStyle name="20% - Accent1 5 3 3 6 5" xfId="32951"/>
    <cellStyle name="20% - Accent1 5 3 3 7" xfId="15318"/>
    <cellStyle name="20% - Accent1 5 3 3 7 2" xfId="27119"/>
    <cellStyle name="20% - Accent1 5 3 3 7 2 2" xfId="58791"/>
    <cellStyle name="20% - Accent1 5 3 3 7 3" xfId="40734"/>
    <cellStyle name="20% - Accent1 5 3 3 8" xfId="5635"/>
    <cellStyle name="20% - Accent1 5 3 3 8 2" xfId="47280"/>
    <cellStyle name="20% - Accent1 5 3 3 9" xfId="17436"/>
    <cellStyle name="20% - Accent1 5 3 3 9 2" xfId="58792"/>
    <cellStyle name="20% - Accent1 5 3 4" xfId="475"/>
    <cellStyle name="20% - Accent1 5 3 4 2" xfId="1686"/>
    <cellStyle name="20% - Accent1 5 3 4 2 2" xfId="4785"/>
    <cellStyle name="20% - Accent1 5 3 4 2 2 2" xfId="15319"/>
    <cellStyle name="20% - Accent1 5 3 4 2 2 2 2" xfId="27120"/>
    <cellStyle name="20% - Accent1 5 3 4 2 2 2 2 2" xfId="58793"/>
    <cellStyle name="20% - Accent1 5 3 4 2 2 2 3" xfId="40735"/>
    <cellStyle name="20% - Accent1 5 3 4 2 2 3" xfId="10238"/>
    <cellStyle name="20% - Accent1 5 3 4 2 2 3 2" xfId="47281"/>
    <cellStyle name="20% - Accent1 5 3 4 2 2 4" xfId="22039"/>
    <cellStyle name="20% - Accent1 5 3 4 2 2 4 2" xfId="58794"/>
    <cellStyle name="20% - Accent1 5 3 4 2 2 5" xfId="35654"/>
    <cellStyle name="20% - Accent1 5 3 4 2 3" xfId="2944"/>
    <cellStyle name="20% - Accent1 5 3 4 2 3 2" xfId="15320"/>
    <cellStyle name="20% - Accent1 5 3 4 2 3 2 2" xfId="27121"/>
    <cellStyle name="20% - Accent1 5 3 4 2 3 2 2 2" xfId="58795"/>
    <cellStyle name="20% - Accent1 5 3 4 2 3 2 3" xfId="40736"/>
    <cellStyle name="20% - Accent1 5 3 4 2 3 3" xfId="8397"/>
    <cellStyle name="20% - Accent1 5 3 4 2 3 3 2" xfId="47282"/>
    <cellStyle name="20% - Accent1 5 3 4 2 3 4" xfId="20198"/>
    <cellStyle name="20% - Accent1 5 3 4 2 3 4 2" xfId="58796"/>
    <cellStyle name="20% - Accent1 5 3 4 2 3 5" xfId="33813"/>
    <cellStyle name="20% - Accent1 5 3 4 2 4" xfId="15321"/>
    <cellStyle name="20% - Accent1 5 3 4 2 4 2" xfId="27122"/>
    <cellStyle name="20% - Accent1 5 3 4 2 4 2 2" xfId="58797"/>
    <cellStyle name="20% - Accent1 5 3 4 2 4 3" xfId="40737"/>
    <cellStyle name="20% - Accent1 5 3 4 2 5" xfId="7140"/>
    <cellStyle name="20% - Accent1 5 3 4 2 5 2" xfId="47283"/>
    <cellStyle name="20% - Accent1 5 3 4 2 6" xfId="18941"/>
    <cellStyle name="20% - Accent1 5 3 4 2 6 2" xfId="58798"/>
    <cellStyle name="20% - Accent1 5 3 4 2 7" xfId="32556"/>
    <cellStyle name="20% - Accent1 5 3 4 3" xfId="3512"/>
    <cellStyle name="20% - Accent1 5 3 4 3 2" xfId="5353"/>
    <cellStyle name="20% - Accent1 5 3 4 3 2 2" xfId="16823"/>
    <cellStyle name="20% - Accent1 5 3 4 3 2 2 2" xfId="28624"/>
    <cellStyle name="20% - Accent1 5 3 4 3 2 2 2 2" xfId="58799"/>
    <cellStyle name="20% - Accent1 5 3 4 3 2 2 3" xfId="42239"/>
    <cellStyle name="20% - Accent1 5 3 4 3 2 3" xfId="10806"/>
    <cellStyle name="20% - Accent1 5 3 4 3 2 3 2" xfId="58800"/>
    <cellStyle name="20% - Accent1 5 3 4 3 2 4" xfId="22607"/>
    <cellStyle name="20% - Accent1 5 3 4 3 2 4 2" xfId="58801"/>
    <cellStyle name="20% - Accent1 5 3 4 3 2 5" xfId="36222"/>
    <cellStyle name="20% - Accent1 5 3 4 3 3" xfId="15322"/>
    <cellStyle name="20% - Accent1 5 3 4 3 3 2" xfId="27123"/>
    <cellStyle name="20% - Accent1 5 3 4 3 3 2 2" xfId="58802"/>
    <cellStyle name="20% - Accent1 5 3 4 3 3 3" xfId="40738"/>
    <cellStyle name="20% - Accent1 5 3 4 3 4" xfId="8965"/>
    <cellStyle name="20% - Accent1 5 3 4 3 4 2" xfId="58803"/>
    <cellStyle name="20% - Accent1 5 3 4 3 5" xfId="20766"/>
    <cellStyle name="20% - Accent1 5 3 4 3 5 2" xfId="58804"/>
    <cellStyle name="20% - Accent1 5 3 4 3 6" xfId="34381"/>
    <cellStyle name="20% - Accent1 5 3 4 4" xfId="4217"/>
    <cellStyle name="20% - Accent1 5 3 4 4 2" xfId="15323"/>
    <cellStyle name="20% - Accent1 5 3 4 4 2 2" xfId="27124"/>
    <cellStyle name="20% - Accent1 5 3 4 4 2 2 2" xfId="58805"/>
    <cellStyle name="20% - Accent1 5 3 4 4 2 3" xfId="40739"/>
    <cellStyle name="20% - Accent1 5 3 4 4 3" xfId="9670"/>
    <cellStyle name="20% - Accent1 5 3 4 4 3 2" xfId="47284"/>
    <cellStyle name="20% - Accent1 5 3 4 4 4" xfId="21471"/>
    <cellStyle name="20% - Accent1 5 3 4 4 4 2" xfId="58806"/>
    <cellStyle name="20% - Accent1 5 3 4 4 5" xfId="35086"/>
    <cellStyle name="20% - Accent1 5 3 4 5" xfId="2376"/>
    <cellStyle name="20% - Accent1 5 3 4 5 2" xfId="17179"/>
    <cellStyle name="20% - Accent1 5 3 4 5 2 2" xfId="28980"/>
    <cellStyle name="20% - Accent1 5 3 4 5 2 2 2" xfId="58807"/>
    <cellStyle name="20% - Accent1 5 3 4 5 2 3" xfId="42595"/>
    <cellStyle name="20% - Accent1 5 3 4 5 3" xfId="7829"/>
    <cellStyle name="20% - Accent1 5 3 4 5 3 2" xfId="58808"/>
    <cellStyle name="20% - Accent1 5 3 4 5 4" xfId="19630"/>
    <cellStyle name="20% - Accent1 5 3 4 5 4 2" xfId="58809"/>
    <cellStyle name="20% - Accent1 5 3 4 5 5" xfId="33245"/>
    <cellStyle name="20% - Accent1 5 3 4 6" xfId="15324"/>
    <cellStyle name="20% - Accent1 5 3 4 6 2" xfId="27125"/>
    <cellStyle name="20% - Accent1 5 3 4 6 2 2" xfId="58810"/>
    <cellStyle name="20% - Accent1 5 3 4 6 3" xfId="40740"/>
    <cellStyle name="20% - Accent1 5 3 4 7" xfId="5929"/>
    <cellStyle name="20% - Accent1 5 3 4 7 2" xfId="58811"/>
    <cellStyle name="20% - Accent1 5 3 4 8" xfId="17730"/>
    <cellStyle name="20% - Accent1 5 3 4 8 2" xfId="58812"/>
    <cellStyle name="20% - Accent1 5 3 4 9" xfId="31345"/>
    <cellStyle name="20% - Accent1 5 3 5" xfId="289"/>
    <cellStyle name="20% - Accent1 5 3 5 2" xfId="1687"/>
    <cellStyle name="20% - Accent1 5 3 5 2 2" xfId="4599"/>
    <cellStyle name="20% - Accent1 5 3 5 2 2 2" xfId="15325"/>
    <cellStyle name="20% - Accent1 5 3 5 2 2 2 2" xfId="27126"/>
    <cellStyle name="20% - Accent1 5 3 5 2 2 2 2 2" xfId="58813"/>
    <cellStyle name="20% - Accent1 5 3 5 2 2 2 3" xfId="40741"/>
    <cellStyle name="20% - Accent1 5 3 5 2 2 3" xfId="10052"/>
    <cellStyle name="20% - Accent1 5 3 5 2 2 3 2" xfId="47285"/>
    <cellStyle name="20% - Accent1 5 3 5 2 2 4" xfId="21853"/>
    <cellStyle name="20% - Accent1 5 3 5 2 2 4 2" xfId="58814"/>
    <cellStyle name="20% - Accent1 5 3 5 2 2 5" xfId="35468"/>
    <cellStyle name="20% - Accent1 5 3 5 2 3" xfId="2758"/>
    <cellStyle name="20% - Accent1 5 3 5 2 3 2" xfId="15326"/>
    <cellStyle name="20% - Accent1 5 3 5 2 3 2 2" xfId="27127"/>
    <cellStyle name="20% - Accent1 5 3 5 2 3 2 2 2" xfId="58815"/>
    <cellStyle name="20% - Accent1 5 3 5 2 3 2 3" xfId="40742"/>
    <cellStyle name="20% - Accent1 5 3 5 2 3 3" xfId="8211"/>
    <cellStyle name="20% - Accent1 5 3 5 2 3 3 2" xfId="47286"/>
    <cellStyle name="20% - Accent1 5 3 5 2 3 4" xfId="20012"/>
    <cellStyle name="20% - Accent1 5 3 5 2 3 4 2" xfId="58816"/>
    <cellStyle name="20% - Accent1 5 3 5 2 3 5" xfId="33627"/>
    <cellStyle name="20% - Accent1 5 3 5 2 4" xfId="15327"/>
    <cellStyle name="20% - Accent1 5 3 5 2 4 2" xfId="27128"/>
    <cellStyle name="20% - Accent1 5 3 5 2 4 2 2" xfId="58817"/>
    <cellStyle name="20% - Accent1 5 3 5 2 4 3" xfId="40743"/>
    <cellStyle name="20% - Accent1 5 3 5 2 5" xfId="7141"/>
    <cellStyle name="20% - Accent1 5 3 5 2 5 2" xfId="47287"/>
    <cellStyle name="20% - Accent1 5 3 5 2 6" xfId="18942"/>
    <cellStyle name="20% - Accent1 5 3 5 2 6 2" xfId="58818"/>
    <cellStyle name="20% - Accent1 5 3 5 2 7" xfId="32557"/>
    <cellStyle name="20% - Accent1 5 3 5 3" xfId="3326"/>
    <cellStyle name="20% - Accent1 5 3 5 3 2" xfId="5167"/>
    <cellStyle name="20% - Accent1 5 3 5 3 2 2" xfId="16637"/>
    <cellStyle name="20% - Accent1 5 3 5 3 2 2 2" xfId="28438"/>
    <cellStyle name="20% - Accent1 5 3 5 3 2 2 2 2" xfId="58819"/>
    <cellStyle name="20% - Accent1 5 3 5 3 2 2 3" xfId="42053"/>
    <cellStyle name="20% - Accent1 5 3 5 3 2 3" xfId="10620"/>
    <cellStyle name="20% - Accent1 5 3 5 3 2 3 2" xfId="58820"/>
    <cellStyle name="20% - Accent1 5 3 5 3 2 4" xfId="22421"/>
    <cellStyle name="20% - Accent1 5 3 5 3 2 4 2" xfId="58821"/>
    <cellStyle name="20% - Accent1 5 3 5 3 2 5" xfId="36036"/>
    <cellStyle name="20% - Accent1 5 3 5 3 3" xfId="15328"/>
    <cellStyle name="20% - Accent1 5 3 5 3 3 2" xfId="27129"/>
    <cellStyle name="20% - Accent1 5 3 5 3 3 2 2" xfId="58822"/>
    <cellStyle name="20% - Accent1 5 3 5 3 3 3" xfId="40744"/>
    <cellStyle name="20% - Accent1 5 3 5 3 4" xfId="8779"/>
    <cellStyle name="20% - Accent1 5 3 5 3 4 2" xfId="58823"/>
    <cellStyle name="20% - Accent1 5 3 5 3 5" xfId="20580"/>
    <cellStyle name="20% - Accent1 5 3 5 3 5 2" xfId="58824"/>
    <cellStyle name="20% - Accent1 5 3 5 3 6" xfId="34195"/>
    <cellStyle name="20% - Accent1 5 3 5 4" xfId="4031"/>
    <cellStyle name="20% - Accent1 5 3 5 4 2" xfId="15329"/>
    <cellStyle name="20% - Accent1 5 3 5 4 2 2" xfId="27130"/>
    <cellStyle name="20% - Accent1 5 3 5 4 2 2 2" xfId="58825"/>
    <cellStyle name="20% - Accent1 5 3 5 4 2 3" xfId="40745"/>
    <cellStyle name="20% - Accent1 5 3 5 4 3" xfId="9484"/>
    <cellStyle name="20% - Accent1 5 3 5 4 3 2" xfId="47288"/>
    <cellStyle name="20% - Accent1 5 3 5 4 4" xfId="21285"/>
    <cellStyle name="20% - Accent1 5 3 5 4 4 2" xfId="58826"/>
    <cellStyle name="20% - Accent1 5 3 5 4 5" xfId="34900"/>
    <cellStyle name="20% - Accent1 5 3 5 5" xfId="2190"/>
    <cellStyle name="20% - Accent1 5 3 5 5 2" xfId="17180"/>
    <cellStyle name="20% - Accent1 5 3 5 5 2 2" xfId="28981"/>
    <cellStyle name="20% - Accent1 5 3 5 5 2 2 2" xfId="58827"/>
    <cellStyle name="20% - Accent1 5 3 5 5 2 3" xfId="42596"/>
    <cellStyle name="20% - Accent1 5 3 5 5 3" xfId="7643"/>
    <cellStyle name="20% - Accent1 5 3 5 5 3 2" xfId="58828"/>
    <cellStyle name="20% - Accent1 5 3 5 5 4" xfId="19444"/>
    <cellStyle name="20% - Accent1 5 3 5 5 4 2" xfId="58829"/>
    <cellStyle name="20% - Accent1 5 3 5 5 5" xfId="33059"/>
    <cellStyle name="20% - Accent1 5 3 5 6" xfId="15330"/>
    <cellStyle name="20% - Accent1 5 3 5 6 2" xfId="27131"/>
    <cellStyle name="20% - Accent1 5 3 5 6 2 2" xfId="58830"/>
    <cellStyle name="20% - Accent1 5 3 5 6 3" xfId="40746"/>
    <cellStyle name="20% - Accent1 5 3 5 7" xfId="5743"/>
    <cellStyle name="20% - Accent1 5 3 5 7 2" xfId="58831"/>
    <cellStyle name="20% - Accent1 5 3 5 8" xfId="17544"/>
    <cellStyle name="20% - Accent1 5 3 5 8 2" xfId="58832"/>
    <cellStyle name="20% - Accent1 5 3 5 9" xfId="31159"/>
    <cellStyle name="20% - Accent1 5 3 6" xfId="616"/>
    <cellStyle name="20% - Accent1 5 3 6 2" xfId="1688"/>
    <cellStyle name="20% - Accent1 5 3 6 2 2" xfId="4358"/>
    <cellStyle name="20% - Accent1 5 3 6 2 2 2" xfId="15331"/>
    <cellStyle name="20% - Accent1 5 3 6 2 2 2 2" xfId="27132"/>
    <cellStyle name="20% - Accent1 5 3 6 2 2 2 2 2" xfId="58833"/>
    <cellStyle name="20% - Accent1 5 3 6 2 2 2 3" xfId="40747"/>
    <cellStyle name="20% - Accent1 5 3 6 2 2 3" xfId="9811"/>
    <cellStyle name="20% - Accent1 5 3 6 2 2 3 2" xfId="47289"/>
    <cellStyle name="20% - Accent1 5 3 6 2 2 4" xfId="21612"/>
    <cellStyle name="20% - Accent1 5 3 6 2 2 4 2" xfId="58834"/>
    <cellStyle name="20% - Accent1 5 3 6 2 2 5" xfId="35227"/>
    <cellStyle name="20% - Accent1 5 3 6 2 3" xfId="15332"/>
    <cellStyle name="20% - Accent1 5 3 6 2 3 2" xfId="27133"/>
    <cellStyle name="20% - Accent1 5 3 6 2 3 2 2" xfId="47290"/>
    <cellStyle name="20% - Accent1 5 3 6 2 3 3" xfId="30460"/>
    <cellStyle name="20% - Accent1 5 3 6 2 3 3 2" xfId="47291"/>
    <cellStyle name="20% - Accent1 5 3 6 2 3 4" xfId="30461"/>
    <cellStyle name="20% - Accent1 5 3 6 2 3 4 2" xfId="58835"/>
    <cellStyle name="20% - Accent1 5 3 6 2 3 5" xfId="40748"/>
    <cellStyle name="20% - Accent1 5 3 6 2 4" xfId="15333"/>
    <cellStyle name="20% - Accent1 5 3 6 2 4 2" xfId="27134"/>
    <cellStyle name="20% - Accent1 5 3 6 2 4 2 2" xfId="58836"/>
    <cellStyle name="20% - Accent1 5 3 6 2 4 3" xfId="40749"/>
    <cellStyle name="20% - Accent1 5 3 6 2 5" xfId="7142"/>
    <cellStyle name="20% - Accent1 5 3 6 2 5 2" xfId="47292"/>
    <cellStyle name="20% - Accent1 5 3 6 2 6" xfId="18943"/>
    <cellStyle name="20% - Accent1 5 3 6 2 6 2" xfId="58837"/>
    <cellStyle name="20% - Accent1 5 3 6 2 7" xfId="32558"/>
    <cellStyle name="20% - Accent1 5 3 6 3" xfId="2517"/>
    <cellStyle name="20% - Accent1 5 3 6 3 2" xfId="15334"/>
    <cellStyle name="20% - Accent1 5 3 6 3 2 2" xfId="27135"/>
    <cellStyle name="20% - Accent1 5 3 6 3 2 2 2" xfId="58838"/>
    <cellStyle name="20% - Accent1 5 3 6 3 2 3" xfId="40750"/>
    <cellStyle name="20% - Accent1 5 3 6 3 3" xfId="7970"/>
    <cellStyle name="20% - Accent1 5 3 6 3 3 2" xfId="47293"/>
    <cellStyle name="20% - Accent1 5 3 6 3 4" xfId="19771"/>
    <cellStyle name="20% - Accent1 5 3 6 3 4 2" xfId="58839"/>
    <cellStyle name="20% - Accent1 5 3 6 3 5" xfId="33386"/>
    <cellStyle name="20% - Accent1 5 3 6 4" xfId="15335"/>
    <cellStyle name="20% - Accent1 5 3 6 4 2" xfId="27136"/>
    <cellStyle name="20% - Accent1 5 3 6 4 2 2" xfId="47294"/>
    <cellStyle name="20% - Accent1 5 3 6 4 3" xfId="30462"/>
    <cellStyle name="20% - Accent1 5 3 6 4 3 2" xfId="47295"/>
    <cellStyle name="20% - Accent1 5 3 6 4 4" xfId="30463"/>
    <cellStyle name="20% - Accent1 5 3 6 4 4 2" xfId="58840"/>
    <cellStyle name="20% - Accent1 5 3 6 4 5" xfId="40751"/>
    <cellStyle name="20% - Accent1 5 3 6 5" xfId="15336"/>
    <cellStyle name="20% - Accent1 5 3 6 5 2" xfId="27137"/>
    <cellStyle name="20% - Accent1 5 3 6 5 2 2" xfId="58841"/>
    <cellStyle name="20% - Accent1 5 3 6 5 3" xfId="40752"/>
    <cellStyle name="20% - Accent1 5 3 6 6" xfId="6070"/>
    <cellStyle name="20% - Accent1 5 3 6 6 2" xfId="47296"/>
    <cellStyle name="20% - Accent1 5 3 6 7" xfId="17871"/>
    <cellStyle name="20% - Accent1 5 3 6 7 2" xfId="58842"/>
    <cellStyle name="20% - Accent1 5 3 6 8" xfId="31486"/>
    <cellStyle name="20% - Accent1 5 3 7" xfId="857"/>
    <cellStyle name="20% - Accent1 5 3 7 2" xfId="1689"/>
    <cellStyle name="20% - Accent1 5 3 7 2 2" xfId="4926"/>
    <cellStyle name="20% - Accent1 5 3 7 2 2 2" xfId="15337"/>
    <cellStyle name="20% - Accent1 5 3 7 2 2 2 2" xfId="27138"/>
    <cellStyle name="20% - Accent1 5 3 7 2 2 2 2 2" xfId="58843"/>
    <cellStyle name="20% - Accent1 5 3 7 2 2 2 3" xfId="40753"/>
    <cellStyle name="20% - Accent1 5 3 7 2 2 3" xfId="10379"/>
    <cellStyle name="20% - Accent1 5 3 7 2 2 3 2" xfId="47297"/>
    <cellStyle name="20% - Accent1 5 3 7 2 2 4" xfId="22180"/>
    <cellStyle name="20% - Accent1 5 3 7 2 2 4 2" xfId="58844"/>
    <cellStyle name="20% - Accent1 5 3 7 2 2 5" xfId="35795"/>
    <cellStyle name="20% - Accent1 5 3 7 2 3" xfId="15338"/>
    <cellStyle name="20% - Accent1 5 3 7 2 3 2" xfId="27139"/>
    <cellStyle name="20% - Accent1 5 3 7 2 3 2 2" xfId="47298"/>
    <cellStyle name="20% - Accent1 5 3 7 2 3 3" xfId="30464"/>
    <cellStyle name="20% - Accent1 5 3 7 2 3 3 2" xfId="47299"/>
    <cellStyle name="20% - Accent1 5 3 7 2 3 4" xfId="30465"/>
    <cellStyle name="20% - Accent1 5 3 7 2 3 4 2" xfId="58845"/>
    <cellStyle name="20% - Accent1 5 3 7 2 3 5" xfId="40754"/>
    <cellStyle name="20% - Accent1 5 3 7 2 4" xfId="15339"/>
    <cellStyle name="20% - Accent1 5 3 7 2 4 2" xfId="27140"/>
    <cellStyle name="20% - Accent1 5 3 7 2 4 2 2" xfId="58846"/>
    <cellStyle name="20% - Accent1 5 3 7 2 4 3" xfId="40755"/>
    <cellStyle name="20% - Accent1 5 3 7 2 5" xfId="7143"/>
    <cellStyle name="20% - Accent1 5 3 7 2 5 2" xfId="47300"/>
    <cellStyle name="20% - Accent1 5 3 7 2 6" xfId="18944"/>
    <cellStyle name="20% - Accent1 5 3 7 2 6 2" xfId="58847"/>
    <cellStyle name="20% - Accent1 5 3 7 2 7" xfId="32559"/>
    <cellStyle name="20% - Accent1 5 3 7 3" xfId="3085"/>
    <cellStyle name="20% - Accent1 5 3 7 3 2" xfId="15340"/>
    <cellStyle name="20% - Accent1 5 3 7 3 2 2" xfId="27141"/>
    <cellStyle name="20% - Accent1 5 3 7 3 2 2 2" xfId="58848"/>
    <cellStyle name="20% - Accent1 5 3 7 3 2 3" xfId="40756"/>
    <cellStyle name="20% - Accent1 5 3 7 3 3" xfId="8538"/>
    <cellStyle name="20% - Accent1 5 3 7 3 3 2" xfId="47301"/>
    <cellStyle name="20% - Accent1 5 3 7 3 4" xfId="20339"/>
    <cellStyle name="20% - Accent1 5 3 7 3 4 2" xfId="58849"/>
    <cellStyle name="20% - Accent1 5 3 7 3 5" xfId="33954"/>
    <cellStyle name="20% - Accent1 5 3 7 4" xfId="15341"/>
    <cellStyle name="20% - Accent1 5 3 7 4 2" xfId="27142"/>
    <cellStyle name="20% - Accent1 5 3 7 4 2 2" xfId="47302"/>
    <cellStyle name="20% - Accent1 5 3 7 4 3" xfId="30466"/>
    <cellStyle name="20% - Accent1 5 3 7 4 3 2" xfId="47303"/>
    <cellStyle name="20% - Accent1 5 3 7 4 4" xfId="30467"/>
    <cellStyle name="20% - Accent1 5 3 7 4 4 2" xfId="58850"/>
    <cellStyle name="20% - Accent1 5 3 7 4 5" xfId="40757"/>
    <cellStyle name="20% - Accent1 5 3 7 5" xfId="15342"/>
    <cellStyle name="20% - Accent1 5 3 7 5 2" xfId="27143"/>
    <cellStyle name="20% - Accent1 5 3 7 5 2 2" xfId="58851"/>
    <cellStyle name="20% - Accent1 5 3 7 5 3" xfId="40758"/>
    <cellStyle name="20% - Accent1 5 3 7 6" xfId="6311"/>
    <cellStyle name="20% - Accent1 5 3 7 6 2" xfId="47304"/>
    <cellStyle name="20% - Accent1 5 3 7 7" xfId="18112"/>
    <cellStyle name="20% - Accent1 5 3 7 7 2" xfId="58852"/>
    <cellStyle name="20% - Accent1 5 3 7 8" xfId="31727"/>
    <cellStyle name="20% - Accent1 5 3 8" xfId="1690"/>
    <cellStyle name="20% - Accent1 5 3 8 2" xfId="3790"/>
    <cellStyle name="20% - Accent1 5 3 8 2 2" xfId="15343"/>
    <cellStyle name="20% - Accent1 5 3 8 2 2 2" xfId="27144"/>
    <cellStyle name="20% - Accent1 5 3 8 2 2 2 2" xfId="58853"/>
    <cellStyle name="20% - Accent1 5 3 8 2 2 3" xfId="40759"/>
    <cellStyle name="20% - Accent1 5 3 8 2 3" xfId="9243"/>
    <cellStyle name="20% - Accent1 5 3 8 2 3 2" xfId="47305"/>
    <cellStyle name="20% - Accent1 5 3 8 2 4" xfId="21044"/>
    <cellStyle name="20% - Accent1 5 3 8 2 4 2" xfId="58854"/>
    <cellStyle name="20% - Accent1 5 3 8 2 5" xfId="34659"/>
    <cellStyle name="20% - Accent1 5 3 8 3" xfId="15344"/>
    <cellStyle name="20% - Accent1 5 3 8 3 2" xfId="27145"/>
    <cellStyle name="20% - Accent1 5 3 8 3 2 2" xfId="47306"/>
    <cellStyle name="20% - Accent1 5 3 8 3 3" xfId="30468"/>
    <cellStyle name="20% - Accent1 5 3 8 3 3 2" xfId="47307"/>
    <cellStyle name="20% - Accent1 5 3 8 3 4" xfId="30469"/>
    <cellStyle name="20% - Accent1 5 3 8 3 4 2" xfId="58855"/>
    <cellStyle name="20% - Accent1 5 3 8 3 5" xfId="40760"/>
    <cellStyle name="20% - Accent1 5 3 8 4" xfId="15345"/>
    <cellStyle name="20% - Accent1 5 3 8 4 2" xfId="27146"/>
    <cellStyle name="20% - Accent1 5 3 8 4 2 2" xfId="58856"/>
    <cellStyle name="20% - Accent1 5 3 8 4 3" xfId="40761"/>
    <cellStyle name="20% - Accent1 5 3 8 5" xfId="7144"/>
    <cellStyle name="20% - Accent1 5 3 8 5 2" xfId="47308"/>
    <cellStyle name="20% - Accent1 5 3 8 6" xfId="18945"/>
    <cellStyle name="20% - Accent1 5 3 8 6 2" xfId="58857"/>
    <cellStyle name="20% - Accent1 5 3 8 7" xfId="32560"/>
    <cellStyle name="20% - Accent1 5 3 9" xfId="3653"/>
    <cellStyle name="20% - Accent1 5 3 9 2" xfId="15346"/>
    <cellStyle name="20% - Accent1 5 3 9 2 2" xfId="27147"/>
    <cellStyle name="20% - Accent1 5 3 9 2 2 2" xfId="58858"/>
    <cellStyle name="20% - Accent1 5 3 9 2 3" xfId="40762"/>
    <cellStyle name="20% - Accent1 5 3 9 3" xfId="9106"/>
    <cellStyle name="20% - Accent1 5 3 9 3 2" xfId="47309"/>
    <cellStyle name="20% - Accent1 5 3 9 4" xfId="20907"/>
    <cellStyle name="20% - Accent1 5 3 9 4 2" xfId="58859"/>
    <cellStyle name="20% - Accent1 5 3 9 5" xfId="34522"/>
    <cellStyle name="20% - Accent1 5 4" xfId="22"/>
    <cellStyle name="20% - Accent1 5 4 10" xfId="1923"/>
    <cellStyle name="20% - Accent1 5 4 10 2" xfId="15347"/>
    <cellStyle name="20% - Accent1 5 4 10 2 2" xfId="27148"/>
    <cellStyle name="20% - Accent1 5 4 10 2 2 2" xfId="58860"/>
    <cellStyle name="20% - Accent1 5 4 10 2 3" xfId="40763"/>
    <cellStyle name="20% - Accent1 5 4 10 3" xfId="7376"/>
    <cellStyle name="20% - Accent1 5 4 10 3 2" xfId="47310"/>
    <cellStyle name="20% - Accent1 5 4 10 4" xfId="19177"/>
    <cellStyle name="20% - Accent1 5 4 10 4 2" xfId="58861"/>
    <cellStyle name="20% - Accent1 5 4 10 5" xfId="32792"/>
    <cellStyle name="20% - Accent1 5 4 11" xfId="15348"/>
    <cellStyle name="20% - Accent1 5 4 11 2" xfId="27149"/>
    <cellStyle name="20% - Accent1 5 4 11 2 2" xfId="58862"/>
    <cellStyle name="20% - Accent1 5 4 11 3" xfId="40764"/>
    <cellStyle name="20% - Accent1 5 4 12" xfId="5476"/>
    <cellStyle name="20% - Accent1 5 4 12 2" xfId="47311"/>
    <cellStyle name="20% - Accent1 5 4 13" xfId="17277"/>
    <cellStyle name="20% - Accent1 5 4 13 2" xfId="58863"/>
    <cellStyle name="20% - Accent1 5 4 14" xfId="30892"/>
    <cellStyle name="20% - Accent1 5 4 2" xfId="89"/>
    <cellStyle name="20% - Accent1 5 4 2 10" xfId="5543"/>
    <cellStyle name="20% - Accent1 5 4 2 10 2" xfId="47312"/>
    <cellStyle name="20% - Accent1 5 4 2 11" xfId="17344"/>
    <cellStyle name="20% - Accent1 5 4 2 11 2" xfId="58864"/>
    <cellStyle name="20% - Accent1 5 4 2 12" xfId="30959"/>
    <cellStyle name="20% - Accent1 5 4 2 2" xfId="230"/>
    <cellStyle name="20% - Accent1 5 4 2 2 10" xfId="31100"/>
    <cellStyle name="20% - Accent1 5 4 2 2 2" xfId="516"/>
    <cellStyle name="20% - Accent1 5 4 2 2 2 2" xfId="1691"/>
    <cellStyle name="20% - Accent1 5 4 2 2 2 2 2" xfId="4826"/>
    <cellStyle name="20% - Accent1 5 4 2 2 2 2 2 2" xfId="15349"/>
    <cellStyle name="20% - Accent1 5 4 2 2 2 2 2 2 2" xfId="27150"/>
    <cellStyle name="20% - Accent1 5 4 2 2 2 2 2 2 2 2" xfId="58865"/>
    <cellStyle name="20% - Accent1 5 4 2 2 2 2 2 2 3" xfId="40765"/>
    <cellStyle name="20% - Accent1 5 4 2 2 2 2 2 3" xfId="10279"/>
    <cellStyle name="20% - Accent1 5 4 2 2 2 2 2 3 2" xfId="47313"/>
    <cellStyle name="20% - Accent1 5 4 2 2 2 2 2 4" xfId="22080"/>
    <cellStyle name="20% - Accent1 5 4 2 2 2 2 2 4 2" xfId="58866"/>
    <cellStyle name="20% - Accent1 5 4 2 2 2 2 2 5" xfId="35695"/>
    <cellStyle name="20% - Accent1 5 4 2 2 2 2 3" xfId="2985"/>
    <cellStyle name="20% - Accent1 5 4 2 2 2 2 3 2" xfId="15350"/>
    <cellStyle name="20% - Accent1 5 4 2 2 2 2 3 2 2" xfId="27151"/>
    <cellStyle name="20% - Accent1 5 4 2 2 2 2 3 2 2 2" xfId="58867"/>
    <cellStyle name="20% - Accent1 5 4 2 2 2 2 3 2 3" xfId="40766"/>
    <cellStyle name="20% - Accent1 5 4 2 2 2 2 3 3" xfId="8438"/>
    <cellStyle name="20% - Accent1 5 4 2 2 2 2 3 3 2" xfId="47314"/>
    <cellStyle name="20% - Accent1 5 4 2 2 2 2 3 4" xfId="20239"/>
    <cellStyle name="20% - Accent1 5 4 2 2 2 2 3 4 2" xfId="58868"/>
    <cellStyle name="20% - Accent1 5 4 2 2 2 2 3 5" xfId="33854"/>
    <cellStyle name="20% - Accent1 5 4 2 2 2 2 4" xfId="15351"/>
    <cellStyle name="20% - Accent1 5 4 2 2 2 2 4 2" xfId="27152"/>
    <cellStyle name="20% - Accent1 5 4 2 2 2 2 4 2 2" xfId="58869"/>
    <cellStyle name="20% - Accent1 5 4 2 2 2 2 4 3" xfId="40767"/>
    <cellStyle name="20% - Accent1 5 4 2 2 2 2 5" xfId="7145"/>
    <cellStyle name="20% - Accent1 5 4 2 2 2 2 5 2" xfId="47315"/>
    <cellStyle name="20% - Accent1 5 4 2 2 2 2 6" xfId="18946"/>
    <cellStyle name="20% - Accent1 5 4 2 2 2 2 6 2" xfId="58870"/>
    <cellStyle name="20% - Accent1 5 4 2 2 2 2 7" xfId="32561"/>
    <cellStyle name="20% - Accent1 5 4 2 2 2 3" xfId="3553"/>
    <cellStyle name="20% - Accent1 5 4 2 2 2 3 2" xfId="5394"/>
    <cellStyle name="20% - Accent1 5 4 2 2 2 3 2 2" xfId="16864"/>
    <cellStyle name="20% - Accent1 5 4 2 2 2 3 2 2 2" xfId="28665"/>
    <cellStyle name="20% - Accent1 5 4 2 2 2 3 2 2 2 2" xfId="58871"/>
    <cellStyle name="20% - Accent1 5 4 2 2 2 3 2 2 3" xfId="42280"/>
    <cellStyle name="20% - Accent1 5 4 2 2 2 3 2 3" xfId="10847"/>
    <cellStyle name="20% - Accent1 5 4 2 2 2 3 2 3 2" xfId="58872"/>
    <cellStyle name="20% - Accent1 5 4 2 2 2 3 2 4" xfId="22648"/>
    <cellStyle name="20% - Accent1 5 4 2 2 2 3 2 4 2" xfId="58873"/>
    <cellStyle name="20% - Accent1 5 4 2 2 2 3 2 5" xfId="36263"/>
    <cellStyle name="20% - Accent1 5 4 2 2 2 3 3" xfId="15352"/>
    <cellStyle name="20% - Accent1 5 4 2 2 2 3 3 2" xfId="27153"/>
    <cellStyle name="20% - Accent1 5 4 2 2 2 3 3 2 2" xfId="58874"/>
    <cellStyle name="20% - Accent1 5 4 2 2 2 3 3 3" xfId="40768"/>
    <cellStyle name="20% - Accent1 5 4 2 2 2 3 4" xfId="9006"/>
    <cellStyle name="20% - Accent1 5 4 2 2 2 3 4 2" xfId="58875"/>
    <cellStyle name="20% - Accent1 5 4 2 2 2 3 5" xfId="20807"/>
    <cellStyle name="20% - Accent1 5 4 2 2 2 3 5 2" xfId="58876"/>
    <cellStyle name="20% - Accent1 5 4 2 2 2 3 6" xfId="34422"/>
    <cellStyle name="20% - Accent1 5 4 2 2 2 4" xfId="4258"/>
    <cellStyle name="20% - Accent1 5 4 2 2 2 4 2" xfId="15353"/>
    <cellStyle name="20% - Accent1 5 4 2 2 2 4 2 2" xfId="27154"/>
    <cellStyle name="20% - Accent1 5 4 2 2 2 4 2 2 2" xfId="58877"/>
    <cellStyle name="20% - Accent1 5 4 2 2 2 4 2 3" xfId="40769"/>
    <cellStyle name="20% - Accent1 5 4 2 2 2 4 3" xfId="9711"/>
    <cellStyle name="20% - Accent1 5 4 2 2 2 4 3 2" xfId="47316"/>
    <cellStyle name="20% - Accent1 5 4 2 2 2 4 4" xfId="21512"/>
    <cellStyle name="20% - Accent1 5 4 2 2 2 4 4 2" xfId="58878"/>
    <cellStyle name="20% - Accent1 5 4 2 2 2 4 5" xfId="35127"/>
    <cellStyle name="20% - Accent1 5 4 2 2 2 5" xfId="2417"/>
    <cellStyle name="20% - Accent1 5 4 2 2 2 5 2" xfId="17181"/>
    <cellStyle name="20% - Accent1 5 4 2 2 2 5 2 2" xfId="28982"/>
    <cellStyle name="20% - Accent1 5 4 2 2 2 5 2 2 2" xfId="58879"/>
    <cellStyle name="20% - Accent1 5 4 2 2 2 5 2 3" xfId="42597"/>
    <cellStyle name="20% - Accent1 5 4 2 2 2 5 3" xfId="7870"/>
    <cellStyle name="20% - Accent1 5 4 2 2 2 5 3 2" xfId="58880"/>
    <cellStyle name="20% - Accent1 5 4 2 2 2 5 4" xfId="19671"/>
    <cellStyle name="20% - Accent1 5 4 2 2 2 5 4 2" xfId="58881"/>
    <cellStyle name="20% - Accent1 5 4 2 2 2 5 5" xfId="33286"/>
    <cellStyle name="20% - Accent1 5 4 2 2 2 6" xfId="15354"/>
    <cellStyle name="20% - Accent1 5 4 2 2 2 6 2" xfId="27155"/>
    <cellStyle name="20% - Accent1 5 4 2 2 2 6 2 2" xfId="58882"/>
    <cellStyle name="20% - Accent1 5 4 2 2 2 6 3" xfId="40770"/>
    <cellStyle name="20% - Accent1 5 4 2 2 2 7" xfId="5970"/>
    <cellStyle name="20% - Accent1 5 4 2 2 2 7 2" xfId="58883"/>
    <cellStyle name="20% - Accent1 5 4 2 2 2 8" xfId="17771"/>
    <cellStyle name="20% - Accent1 5 4 2 2 2 8 2" xfId="58884"/>
    <cellStyle name="20% - Accent1 5 4 2 2 2 9" xfId="31386"/>
    <cellStyle name="20% - Accent1 5 4 2 2 3" xfId="798"/>
    <cellStyle name="20% - Accent1 5 4 2 2 3 2" xfId="1692"/>
    <cellStyle name="20% - Accent1 5 4 2 2 3 2 2" xfId="4540"/>
    <cellStyle name="20% - Accent1 5 4 2 2 3 2 2 2" xfId="15355"/>
    <cellStyle name="20% - Accent1 5 4 2 2 3 2 2 2 2" xfId="27156"/>
    <cellStyle name="20% - Accent1 5 4 2 2 3 2 2 2 2 2" xfId="58885"/>
    <cellStyle name="20% - Accent1 5 4 2 2 3 2 2 2 3" xfId="40771"/>
    <cellStyle name="20% - Accent1 5 4 2 2 3 2 2 3" xfId="9993"/>
    <cellStyle name="20% - Accent1 5 4 2 2 3 2 2 3 2" xfId="47317"/>
    <cellStyle name="20% - Accent1 5 4 2 2 3 2 2 4" xfId="21794"/>
    <cellStyle name="20% - Accent1 5 4 2 2 3 2 2 4 2" xfId="58886"/>
    <cellStyle name="20% - Accent1 5 4 2 2 3 2 2 5" xfId="35409"/>
    <cellStyle name="20% - Accent1 5 4 2 2 3 2 3" xfId="15356"/>
    <cellStyle name="20% - Accent1 5 4 2 2 3 2 3 2" xfId="27157"/>
    <cellStyle name="20% - Accent1 5 4 2 2 3 2 3 2 2" xfId="47318"/>
    <cellStyle name="20% - Accent1 5 4 2 2 3 2 3 3" xfId="30470"/>
    <cellStyle name="20% - Accent1 5 4 2 2 3 2 3 3 2" xfId="47319"/>
    <cellStyle name="20% - Accent1 5 4 2 2 3 2 3 4" xfId="30471"/>
    <cellStyle name="20% - Accent1 5 4 2 2 3 2 3 4 2" xfId="58887"/>
    <cellStyle name="20% - Accent1 5 4 2 2 3 2 3 5" xfId="40772"/>
    <cellStyle name="20% - Accent1 5 4 2 2 3 2 4" xfId="15357"/>
    <cellStyle name="20% - Accent1 5 4 2 2 3 2 4 2" xfId="27158"/>
    <cellStyle name="20% - Accent1 5 4 2 2 3 2 4 2 2" xfId="58888"/>
    <cellStyle name="20% - Accent1 5 4 2 2 3 2 4 3" xfId="40773"/>
    <cellStyle name="20% - Accent1 5 4 2 2 3 2 5" xfId="7146"/>
    <cellStyle name="20% - Accent1 5 4 2 2 3 2 5 2" xfId="47320"/>
    <cellStyle name="20% - Accent1 5 4 2 2 3 2 6" xfId="18947"/>
    <cellStyle name="20% - Accent1 5 4 2 2 3 2 6 2" xfId="58889"/>
    <cellStyle name="20% - Accent1 5 4 2 2 3 2 7" xfId="32562"/>
    <cellStyle name="20% - Accent1 5 4 2 2 3 3" xfId="2699"/>
    <cellStyle name="20% - Accent1 5 4 2 2 3 3 2" xfId="15358"/>
    <cellStyle name="20% - Accent1 5 4 2 2 3 3 2 2" xfId="27159"/>
    <cellStyle name="20% - Accent1 5 4 2 2 3 3 2 2 2" xfId="58890"/>
    <cellStyle name="20% - Accent1 5 4 2 2 3 3 2 3" xfId="40774"/>
    <cellStyle name="20% - Accent1 5 4 2 2 3 3 3" xfId="8152"/>
    <cellStyle name="20% - Accent1 5 4 2 2 3 3 3 2" xfId="47321"/>
    <cellStyle name="20% - Accent1 5 4 2 2 3 3 4" xfId="19953"/>
    <cellStyle name="20% - Accent1 5 4 2 2 3 3 4 2" xfId="58891"/>
    <cellStyle name="20% - Accent1 5 4 2 2 3 3 5" xfId="33568"/>
    <cellStyle name="20% - Accent1 5 4 2 2 3 4" xfId="15359"/>
    <cellStyle name="20% - Accent1 5 4 2 2 3 4 2" xfId="27160"/>
    <cellStyle name="20% - Accent1 5 4 2 2 3 4 2 2" xfId="47322"/>
    <cellStyle name="20% - Accent1 5 4 2 2 3 4 3" xfId="30472"/>
    <cellStyle name="20% - Accent1 5 4 2 2 3 4 3 2" xfId="47323"/>
    <cellStyle name="20% - Accent1 5 4 2 2 3 4 4" xfId="30473"/>
    <cellStyle name="20% - Accent1 5 4 2 2 3 4 4 2" xfId="58892"/>
    <cellStyle name="20% - Accent1 5 4 2 2 3 4 5" xfId="40775"/>
    <cellStyle name="20% - Accent1 5 4 2 2 3 5" xfId="15360"/>
    <cellStyle name="20% - Accent1 5 4 2 2 3 5 2" xfId="27161"/>
    <cellStyle name="20% - Accent1 5 4 2 2 3 5 2 2" xfId="58893"/>
    <cellStyle name="20% - Accent1 5 4 2 2 3 5 3" xfId="40776"/>
    <cellStyle name="20% - Accent1 5 4 2 2 3 6" xfId="6252"/>
    <cellStyle name="20% - Accent1 5 4 2 2 3 6 2" xfId="47324"/>
    <cellStyle name="20% - Accent1 5 4 2 2 3 7" xfId="18053"/>
    <cellStyle name="20% - Accent1 5 4 2 2 3 7 2" xfId="58894"/>
    <cellStyle name="20% - Accent1 5 4 2 2 3 8" xfId="31668"/>
    <cellStyle name="20% - Accent1 5 4 2 2 4" xfId="1693"/>
    <cellStyle name="20% - Accent1 5 4 2 2 4 2" xfId="5108"/>
    <cellStyle name="20% - Accent1 5 4 2 2 4 2 2" xfId="15361"/>
    <cellStyle name="20% - Accent1 5 4 2 2 4 2 2 2" xfId="27162"/>
    <cellStyle name="20% - Accent1 5 4 2 2 4 2 2 2 2" xfId="58895"/>
    <cellStyle name="20% - Accent1 5 4 2 2 4 2 2 3" xfId="40777"/>
    <cellStyle name="20% - Accent1 5 4 2 2 4 2 3" xfId="10561"/>
    <cellStyle name="20% - Accent1 5 4 2 2 4 2 3 2" xfId="47325"/>
    <cellStyle name="20% - Accent1 5 4 2 2 4 2 4" xfId="22362"/>
    <cellStyle name="20% - Accent1 5 4 2 2 4 2 4 2" xfId="58896"/>
    <cellStyle name="20% - Accent1 5 4 2 2 4 2 5" xfId="35977"/>
    <cellStyle name="20% - Accent1 5 4 2 2 4 3" xfId="3267"/>
    <cellStyle name="20% - Accent1 5 4 2 2 4 3 2" xfId="15362"/>
    <cellStyle name="20% - Accent1 5 4 2 2 4 3 2 2" xfId="27163"/>
    <cellStyle name="20% - Accent1 5 4 2 2 4 3 2 2 2" xfId="58897"/>
    <cellStyle name="20% - Accent1 5 4 2 2 4 3 2 3" xfId="40778"/>
    <cellStyle name="20% - Accent1 5 4 2 2 4 3 3" xfId="8720"/>
    <cellStyle name="20% - Accent1 5 4 2 2 4 3 3 2" xfId="47326"/>
    <cellStyle name="20% - Accent1 5 4 2 2 4 3 4" xfId="20521"/>
    <cellStyle name="20% - Accent1 5 4 2 2 4 3 4 2" xfId="58898"/>
    <cellStyle name="20% - Accent1 5 4 2 2 4 3 5" xfId="34136"/>
    <cellStyle name="20% - Accent1 5 4 2 2 4 4" xfId="15363"/>
    <cellStyle name="20% - Accent1 5 4 2 2 4 4 2" xfId="27164"/>
    <cellStyle name="20% - Accent1 5 4 2 2 4 4 2 2" xfId="58899"/>
    <cellStyle name="20% - Accent1 5 4 2 2 4 4 3" xfId="40779"/>
    <cellStyle name="20% - Accent1 5 4 2 2 4 5" xfId="7147"/>
    <cellStyle name="20% - Accent1 5 4 2 2 4 5 2" xfId="47327"/>
    <cellStyle name="20% - Accent1 5 4 2 2 4 6" xfId="18948"/>
    <cellStyle name="20% - Accent1 5 4 2 2 4 6 2" xfId="58900"/>
    <cellStyle name="20% - Accent1 5 4 2 2 4 7" xfId="32563"/>
    <cellStyle name="20% - Accent1 5 4 2 2 5" xfId="3972"/>
    <cellStyle name="20% - Accent1 5 4 2 2 5 2" xfId="15364"/>
    <cellStyle name="20% - Accent1 5 4 2 2 5 2 2" xfId="27165"/>
    <cellStyle name="20% - Accent1 5 4 2 2 5 2 2 2" xfId="58901"/>
    <cellStyle name="20% - Accent1 5 4 2 2 5 2 3" xfId="40780"/>
    <cellStyle name="20% - Accent1 5 4 2 2 5 3" xfId="9425"/>
    <cellStyle name="20% - Accent1 5 4 2 2 5 3 2" xfId="47328"/>
    <cellStyle name="20% - Accent1 5 4 2 2 5 4" xfId="21226"/>
    <cellStyle name="20% - Accent1 5 4 2 2 5 4 2" xfId="58902"/>
    <cellStyle name="20% - Accent1 5 4 2 2 5 5" xfId="34841"/>
    <cellStyle name="20% - Accent1 5 4 2 2 6" xfId="2131"/>
    <cellStyle name="20% - Accent1 5 4 2 2 6 2" xfId="15365"/>
    <cellStyle name="20% - Accent1 5 4 2 2 6 2 2" xfId="27166"/>
    <cellStyle name="20% - Accent1 5 4 2 2 6 2 2 2" xfId="58903"/>
    <cellStyle name="20% - Accent1 5 4 2 2 6 2 3" xfId="40781"/>
    <cellStyle name="20% - Accent1 5 4 2 2 6 3" xfId="7584"/>
    <cellStyle name="20% - Accent1 5 4 2 2 6 3 2" xfId="47329"/>
    <cellStyle name="20% - Accent1 5 4 2 2 6 4" xfId="19385"/>
    <cellStyle name="20% - Accent1 5 4 2 2 6 4 2" xfId="58904"/>
    <cellStyle name="20% - Accent1 5 4 2 2 6 5" xfId="33000"/>
    <cellStyle name="20% - Accent1 5 4 2 2 7" xfId="15366"/>
    <cellStyle name="20% - Accent1 5 4 2 2 7 2" xfId="27167"/>
    <cellStyle name="20% - Accent1 5 4 2 2 7 2 2" xfId="58905"/>
    <cellStyle name="20% - Accent1 5 4 2 2 7 3" xfId="40782"/>
    <cellStyle name="20% - Accent1 5 4 2 2 8" xfId="5684"/>
    <cellStyle name="20% - Accent1 5 4 2 2 8 2" xfId="47330"/>
    <cellStyle name="20% - Accent1 5 4 2 2 9" xfId="17485"/>
    <cellStyle name="20% - Accent1 5 4 2 2 9 2" xfId="58906"/>
    <cellStyle name="20% - Accent1 5 4 2 3" xfId="379"/>
    <cellStyle name="20% - Accent1 5 4 2 3 2" xfId="1694"/>
    <cellStyle name="20% - Accent1 5 4 2 3 2 2" xfId="4689"/>
    <cellStyle name="20% - Accent1 5 4 2 3 2 2 2" xfId="15367"/>
    <cellStyle name="20% - Accent1 5 4 2 3 2 2 2 2" xfId="27168"/>
    <cellStyle name="20% - Accent1 5 4 2 3 2 2 2 2 2" xfId="58907"/>
    <cellStyle name="20% - Accent1 5 4 2 3 2 2 2 3" xfId="40783"/>
    <cellStyle name="20% - Accent1 5 4 2 3 2 2 3" xfId="10142"/>
    <cellStyle name="20% - Accent1 5 4 2 3 2 2 3 2" xfId="47331"/>
    <cellStyle name="20% - Accent1 5 4 2 3 2 2 4" xfId="21943"/>
    <cellStyle name="20% - Accent1 5 4 2 3 2 2 4 2" xfId="58908"/>
    <cellStyle name="20% - Accent1 5 4 2 3 2 2 5" xfId="35558"/>
    <cellStyle name="20% - Accent1 5 4 2 3 2 3" xfId="2848"/>
    <cellStyle name="20% - Accent1 5 4 2 3 2 3 2" xfId="15368"/>
    <cellStyle name="20% - Accent1 5 4 2 3 2 3 2 2" xfId="27169"/>
    <cellStyle name="20% - Accent1 5 4 2 3 2 3 2 2 2" xfId="58909"/>
    <cellStyle name="20% - Accent1 5 4 2 3 2 3 2 3" xfId="40784"/>
    <cellStyle name="20% - Accent1 5 4 2 3 2 3 3" xfId="8301"/>
    <cellStyle name="20% - Accent1 5 4 2 3 2 3 3 2" xfId="47332"/>
    <cellStyle name="20% - Accent1 5 4 2 3 2 3 4" xfId="20102"/>
    <cellStyle name="20% - Accent1 5 4 2 3 2 3 4 2" xfId="58910"/>
    <cellStyle name="20% - Accent1 5 4 2 3 2 3 5" xfId="33717"/>
    <cellStyle name="20% - Accent1 5 4 2 3 2 4" xfId="15369"/>
    <cellStyle name="20% - Accent1 5 4 2 3 2 4 2" xfId="27170"/>
    <cellStyle name="20% - Accent1 5 4 2 3 2 4 2 2" xfId="58911"/>
    <cellStyle name="20% - Accent1 5 4 2 3 2 4 3" xfId="40785"/>
    <cellStyle name="20% - Accent1 5 4 2 3 2 5" xfId="7148"/>
    <cellStyle name="20% - Accent1 5 4 2 3 2 5 2" xfId="47333"/>
    <cellStyle name="20% - Accent1 5 4 2 3 2 6" xfId="18949"/>
    <cellStyle name="20% - Accent1 5 4 2 3 2 6 2" xfId="58912"/>
    <cellStyle name="20% - Accent1 5 4 2 3 2 7" xfId="32564"/>
    <cellStyle name="20% - Accent1 5 4 2 3 3" xfId="3416"/>
    <cellStyle name="20% - Accent1 5 4 2 3 3 2" xfId="5257"/>
    <cellStyle name="20% - Accent1 5 4 2 3 3 2 2" xfId="16727"/>
    <cellStyle name="20% - Accent1 5 4 2 3 3 2 2 2" xfId="28528"/>
    <cellStyle name="20% - Accent1 5 4 2 3 3 2 2 2 2" xfId="58913"/>
    <cellStyle name="20% - Accent1 5 4 2 3 3 2 2 3" xfId="42143"/>
    <cellStyle name="20% - Accent1 5 4 2 3 3 2 3" xfId="10710"/>
    <cellStyle name="20% - Accent1 5 4 2 3 3 2 3 2" xfId="58914"/>
    <cellStyle name="20% - Accent1 5 4 2 3 3 2 4" xfId="22511"/>
    <cellStyle name="20% - Accent1 5 4 2 3 3 2 4 2" xfId="58915"/>
    <cellStyle name="20% - Accent1 5 4 2 3 3 2 5" xfId="36126"/>
    <cellStyle name="20% - Accent1 5 4 2 3 3 3" xfId="15370"/>
    <cellStyle name="20% - Accent1 5 4 2 3 3 3 2" xfId="27171"/>
    <cellStyle name="20% - Accent1 5 4 2 3 3 3 2 2" xfId="58916"/>
    <cellStyle name="20% - Accent1 5 4 2 3 3 3 3" xfId="40786"/>
    <cellStyle name="20% - Accent1 5 4 2 3 3 4" xfId="8869"/>
    <cellStyle name="20% - Accent1 5 4 2 3 3 4 2" xfId="58917"/>
    <cellStyle name="20% - Accent1 5 4 2 3 3 5" xfId="20670"/>
    <cellStyle name="20% - Accent1 5 4 2 3 3 5 2" xfId="58918"/>
    <cellStyle name="20% - Accent1 5 4 2 3 3 6" xfId="34285"/>
    <cellStyle name="20% - Accent1 5 4 2 3 4" xfId="4121"/>
    <cellStyle name="20% - Accent1 5 4 2 3 4 2" xfId="15371"/>
    <cellStyle name="20% - Accent1 5 4 2 3 4 2 2" xfId="27172"/>
    <cellStyle name="20% - Accent1 5 4 2 3 4 2 2 2" xfId="58919"/>
    <cellStyle name="20% - Accent1 5 4 2 3 4 2 3" xfId="40787"/>
    <cellStyle name="20% - Accent1 5 4 2 3 4 3" xfId="9574"/>
    <cellStyle name="20% - Accent1 5 4 2 3 4 3 2" xfId="47334"/>
    <cellStyle name="20% - Accent1 5 4 2 3 4 4" xfId="21375"/>
    <cellStyle name="20% - Accent1 5 4 2 3 4 4 2" xfId="58920"/>
    <cellStyle name="20% - Accent1 5 4 2 3 4 5" xfId="34990"/>
    <cellStyle name="20% - Accent1 5 4 2 3 5" xfId="2280"/>
    <cellStyle name="20% - Accent1 5 4 2 3 5 2" xfId="17182"/>
    <cellStyle name="20% - Accent1 5 4 2 3 5 2 2" xfId="28983"/>
    <cellStyle name="20% - Accent1 5 4 2 3 5 2 2 2" xfId="58921"/>
    <cellStyle name="20% - Accent1 5 4 2 3 5 2 3" xfId="42598"/>
    <cellStyle name="20% - Accent1 5 4 2 3 5 3" xfId="7733"/>
    <cellStyle name="20% - Accent1 5 4 2 3 5 3 2" xfId="58922"/>
    <cellStyle name="20% - Accent1 5 4 2 3 5 4" xfId="19534"/>
    <cellStyle name="20% - Accent1 5 4 2 3 5 4 2" xfId="58923"/>
    <cellStyle name="20% - Accent1 5 4 2 3 5 5" xfId="33149"/>
    <cellStyle name="20% - Accent1 5 4 2 3 6" xfId="15372"/>
    <cellStyle name="20% - Accent1 5 4 2 3 6 2" xfId="27173"/>
    <cellStyle name="20% - Accent1 5 4 2 3 6 2 2" xfId="58924"/>
    <cellStyle name="20% - Accent1 5 4 2 3 6 3" xfId="40788"/>
    <cellStyle name="20% - Accent1 5 4 2 3 7" xfId="5833"/>
    <cellStyle name="20% - Accent1 5 4 2 3 7 2" xfId="58925"/>
    <cellStyle name="20% - Accent1 5 4 2 3 8" xfId="17634"/>
    <cellStyle name="20% - Accent1 5 4 2 3 8 2" xfId="58926"/>
    <cellStyle name="20% - Accent1 5 4 2 3 9" xfId="31249"/>
    <cellStyle name="20% - Accent1 5 4 2 4" xfId="657"/>
    <cellStyle name="20% - Accent1 5 4 2 4 2" xfId="1695"/>
    <cellStyle name="20% - Accent1 5 4 2 4 2 2" xfId="4399"/>
    <cellStyle name="20% - Accent1 5 4 2 4 2 2 2" xfId="15373"/>
    <cellStyle name="20% - Accent1 5 4 2 4 2 2 2 2" xfId="27174"/>
    <cellStyle name="20% - Accent1 5 4 2 4 2 2 2 2 2" xfId="58927"/>
    <cellStyle name="20% - Accent1 5 4 2 4 2 2 2 3" xfId="40789"/>
    <cellStyle name="20% - Accent1 5 4 2 4 2 2 3" xfId="9852"/>
    <cellStyle name="20% - Accent1 5 4 2 4 2 2 3 2" xfId="47335"/>
    <cellStyle name="20% - Accent1 5 4 2 4 2 2 4" xfId="21653"/>
    <cellStyle name="20% - Accent1 5 4 2 4 2 2 4 2" xfId="58928"/>
    <cellStyle name="20% - Accent1 5 4 2 4 2 2 5" xfId="35268"/>
    <cellStyle name="20% - Accent1 5 4 2 4 2 3" xfId="15374"/>
    <cellStyle name="20% - Accent1 5 4 2 4 2 3 2" xfId="27175"/>
    <cellStyle name="20% - Accent1 5 4 2 4 2 3 2 2" xfId="47336"/>
    <cellStyle name="20% - Accent1 5 4 2 4 2 3 3" xfId="30474"/>
    <cellStyle name="20% - Accent1 5 4 2 4 2 3 3 2" xfId="47337"/>
    <cellStyle name="20% - Accent1 5 4 2 4 2 3 4" xfId="30475"/>
    <cellStyle name="20% - Accent1 5 4 2 4 2 3 4 2" xfId="58929"/>
    <cellStyle name="20% - Accent1 5 4 2 4 2 3 5" xfId="40790"/>
    <cellStyle name="20% - Accent1 5 4 2 4 2 4" xfId="15375"/>
    <cellStyle name="20% - Accent1 5 4 2 4 2 4 2" xfId="27176"/>
    <cellStyle name="20% - Accent1 5 4 2 4 2 4 2 2" xfId="58930"/>
    <cellStyle name="20% - Accent1 5 4 2 4 2 4 3" xfId="40791"/>
    <cellStyle name="20% - Accent1 5 4 2 4 2 5" xfId="7149"/>
    <cellStyle name="20% - Accent1 5 4 2 4 2 5 2" xfId="47338"/>
    <cellStyle name="20% - Accent1 5 4 2 4 2 6" xfId="18950"/>
    <cellStyle name="20% - Accent1 5 4 2 4 2 6 2" xfId="58931"/>
    <cellStyle name="20% - Accent1 5 4 2 4 2 7" xfId="32565"/>
    <cellStyle name="20% - Accent1 5 4 2 4 3" xfId="2558"/>
    <cellStyle name="20% - Accent1 5 4 2 4 3 2" xfId="15376"/>
    <cellStyle name="20% - Accent1 5 4 2 4 3 2 2" xfId="27177"/>
    <cellStyle name="20% - Accent1 5 4 2 4 3 2 2 2" xfId="58932"/>
    <cellStyle name="20% - Accent1 5 4 2 4 3 2 3" xfId="40792"/>
    <cellStyle name="20% - Accent1 5 4 2 4 3 3" xfId="8011"/>
    <cellStyle name="20% - Accent1 5 4 2 4 3 3 2" xfId="47339"/>
    <cellStyle name="20% - Accent1 5 4 2 4 3 4" xfId="19812"/>
    <cellStyle name="20% - Accent1 5 4 2 4 3 4 2" xfId="58933"/>
    <cellStyle name="20% - Accent1 5 4 2 4 3 5" xfId="33427"/>
    <cellStyle name="20% - Accent1 5 4 2 4 4" xfId="15377"/>
    <cellStyle name="20% - Accent1 5 4 2 4 4 2" xfId="27178"/>
    <cellStyle name="20% - Accent1 5 4 2 4 4 2 2" xfId="47340"/>
    <cellStyle name="20% - Accent1 5 4 2 4 4 3" xfId="30476"/>
    <cellStyle name="20% - Accent1 5 4 2 4 4 3 2" xfId="47341"/>
    <cellStyle name="20% - Accent1 5 4 2 4 4 4" xfId="30477"/>
    <cellStyle name="20% - Accent1 5 4 2 4 4 4 2" xfId="58934"/>
    <cellStyle name="20% - Accent1 5 4 2 4 4 5" xfId="40793"/>
    <cellStyle name="20% - Accent1 5 4 2 4 5" xfId="15378"/>
    <cellStyle name="20% - Accent1 5 4 2 4 5 2" xfId="27179"/>
    <cellStyle name="20% - Accent1 5 4 2 4 5 2 2" xfId="58935"/>
    <cellStyle name="20% - Accent1 5 4 2 4 5 3" xfId="40794"/>
    <cellStyle name="20% - Accent1 5 4 2 4 6" xfId="6111"/>
    <cellStyle name="20% - Accent1 5 4 2 4 6 2" xfId="47342"/>
    <cellStyle name="20% - Accent1 5 4 2 4 7" xfId="17912"/>
    <cellStyle name="20% - Accent1 5 4 2 4 7 2" xfId="58936"/>
    <cellStyle name="20% - Accent1 5 4 2 4 8" xfId="31527"/>
    <cellStyle name="20% - Accent1 5 4 2 5" xfId="898"/>
    <cellStyle name="20% - Accent1 5 4 2 5 2" xfId="1696"/>
    <cellStyle name="20% - Accent1 5 4 2 5 2 2" xfId="4967"/>
    <cellStyle name="20% - Accent1 5 4 2 5 2 2 2" xfId="15379"/>
    <cellStyle name="20% - Accent1 5 4 2 5 2 2 2 2" xfId="27180"/>
    <cellStyle name="20% - Accent1 5 4 2 5 2 2 2 2 2" xfId="58937"/>
    <cellStyle name="20% - Accent1 5 4 2 5 2 2 2 3" xfId="40795"/>
    <cellStyle name="20% - Accent1 5 4 2 5 2 2 3" xfId="10420"/>
    <cellStyle name="20% - Accent1 5 4 2 5 2 2 3 2" xfId="47343"/>
    <cellStyle name="20% - Accent1 5 4 2 5 2 2 4" xfId="22221"/>
    <cellStyle name="20% - Accent1 5 4 2 5 2 2 4 2" xfId="58938"/>
    <cellStyle name="20% - Accent1 5 4 2 5 2 2 5" xfId="35836"/>
    <cellStyle name="20% - Accent1 5 4 2 5 2 3" xfId="15380"/>
    <cellStyle name="20% - Accent1 5 4 2 5 2 3 2" xfId="27181"/>
    <cellStyle name="20% - Accent1 5 4 2 5 2 3 2 2" xfId="47344"/>
    <cellStyle name="20% - Accent1 5 4 2 5 2 3 3" xfId="30478"/>
    <cellStyle name="20% - Accent1 5 4 2 5 2 3 3 2" xfId="47345"/>
    <cellStyle name="20% - Accent1 5 4 2 5 2 3 4" xfId="30479"/>
    <cellStyle name="20% - Accent1 5 4 2 5 2 3 4 2" xfId="58939"/>
    <cellStyle name="20% - Accent1 5 4 2 5 2 3 5" xfId="40796"/>
    <cellStyle name="20% - Accent1 5 4 2 5 2 4" xfId="15381"/>
    <cellStyle name="20% - Accent1 5 4 2 5 2 4 2" xfId="27182"/>
    <cellStyle name="20% - Accent1 5 4 2 5 2 4 2 2" xfId="58940"/>
    <cellStyle name="20% - Accent1 5 4 2 5 2 4 3" xfId="40797"/>
    <cellStyle name="20% - Accent1 5 4 2 5 2 5" xfId="7150"/>
    <cellStyle name="20% - Accent1 5 4 2 5 2 5 2" xfId="47346"/>
    <cellStyle name="20% - Accent1 5 4 2 5 2 6" xfId="18951"/>
    <cellStyle name="20% - Accent1 5 4 2 5 2 6 2" xfId="58941"/>
    <cellStyle name="20% - Accent1 5 4 2 5 2 7" xfId="32566"/>
    <cellStyle name="20% - Accent1 5 4 2 5 3" xfId="3126"/>
    <cellStyle name="20% - Accent1 5 4 2 5 3 2" xfId="15382"/>
    <cellStyle name="20% - Accent1 5 4 2 5 3 2 2" xfId="27183"/>
    <cellStyle name="20% - Accent1 5 4 2 5 3 2 2 2" xfId="58942"/>
    <cellStyle name="20% - Accent1 5 4 2 5 3 2 3" xfId="40798"/>
    <cellStyle name="20% - Accent1 5 4 2 5 3 3" xfId="8579"/>
    <cellStyle name="20% - Accent1 5 4 2 5 3 3 2" xfId="47347"/>
    <cellStyle name="20% - Accent1 5 4 2 5 3 4" xfId="20380"/>
    <cellStyle name="20% - Accent1 5 4 2 5 3 4 2" xfId="58943"/>
    <cellStyle name="20% - Accent1 5 4 2 5 3 5" xfId="33995"/>
    <cellStyle name="20% - Accent1 5 4 2 5 4" xfId="15383"/>
    <cellStyle name="20% - Accent1 5 4 2 5 4 2" xfId="27184"/>
    <cellStyle name="20% - Accent1 5 4 2 5 4 2 2" xfId="47348"/>
    <cellStyle name="20% - Accent1 5 4 2 5 4 3" xfId="30480"/>
    <cellStyle name="20% - Accent1 5 4 2 5 4 3 2" xfId="47349"/>
    <cellStyle name="20% - Accent1 5 4 2 5 4 4" xfId="30481"/>
    <cellStyle name="20% - Accent1 5 4 2 5 4 4 2" xfId="58944"/>
    <cellStyle name="20% - Accent1 5 4 2 5 4 5" xfId="40799"/>
    <cellStyle name="20% - Accent1 5 4 2 5 5" xfId="15384"/>
    <cellStyle name="20% - Accent1 5 4 2 5 5 2" xfId="27185"/>
    <cellStyle name="20% - Accent1 5 4 2 5 5 2 2" xfId="58945"/>
    <cellStyle name="20% - Accent1 5 4 2 5 5 3" xfId="40800"/>
    <cellStyle name="20% - Accent1 5 4 2 5 6" xfId="6352"/>
    <cellStyle name="20% - Accent1 5 4 2 5 6 2" xfId="47350"/>
    <cellStyle name="20% - Accent1 5 4 2 5 7" xfId="18153"/>
    <cellStyle name="20% - Accent1 5 4 2 5 7 2" xfId="58946"/>
    <cellStyle name="20% - Accent1 5 4 2 5 8" xfId="31768"/>
    <cellStyle name="20% - Accent1 5 4 2 6" xfId="1697"/>
    <cellStyle name="20% - Accent1 5 4 2 6 2" xfId="3831"/>
    <cellStyle name="20% - Accent1 5 4 2 6 2 2" xfId="15385"/>
    <cellStyle name="20% - Accent1 5 4 2 6 2 2 2" xfId="27186"/>
    <cellStyle name="20% - Accent1 5 4 2 6 2 2 2 2" xfId="58947"/>
    <cellStyle name="20% - Accent1 5 4 2 6 2 2 3" xfId="40801"/>
    <cellStyle name="20% - Accent1 5 4 2 6 2 3" xfId="9284"/>
    <cellStyle name="20% - Accent1 5 4 2 6 2 3 2" xfId="47351"/>
    <cellStyle name="20% - Accent1 5 4 2 6 2 4" xfId="21085"/>
    <cellStyle name="20% - Accent1 5 4 2 6 2 4 2" xfId="58948"/>
    <cellStyle name="20% - Accent1 5 4 2 6 2 5" xfId="34700"/>
    <cellStyle name="20% - Accent1 5 4 2 6 3" xfId="15386"/>
    <cellStyle name="20% - Accent1 5 4 2 6 3 2" xfId="27187"/>
    <cellStyle name="20% - Accent1 5 4 2 6 3 2 2" xfId="47352"/>
    <cellStyle name="20% - Accent1 5 4 2 6 3 3" xfId="30482"/>
    <cellStyle name="20% - Accent1 5 4 2 6 3 3 2" xfId="47353"/>
    <cellStyle name="20% - Accent1 5 4 2 6 3 4" xfId="30483"/>
    <cellStyle name="20% - Accent1 5 4 2 6 3 4 2" xfId="58949"/>
    <cellStyle name="20% - Accent1 5 4 2 6 3 5" xfId="40802"/>
    <cellStyle name="20% - Accent1 5 4 2 6 4" xfId="15387"/>
    <cellStyle name="20% - Accent1 5 4 2 6 4 2" xfId="27188"/>
    <cellStyle name="20% - Accent1 5 4 2 6 4 2 2" xfId="58950"/>
    <cellStyle name="20% - Accent1 5 4 2 6 4 3" xfId="40803"/>
    <cellStyle name="20% - Accent1 5 4 2 6 5" xfId="7151"/>
    <cellStyle name="20% - Accent1 5 4 2 6 5 2" xfId="47354"/>
    <cellStyle name="20% - Accent1 5 4 2 6 6" xfId="18952"/>
    <cellStyle name="20% - Accent1 5 4 2 6 6 2" xfId="58951"/>
    <cellStyle name="20% - Accent1 5 4 2 6 7" xfId="32567"/>
    <cellStyle name="20% - Accent1 5 4 2 7" xfId="3694"/>
    <cellStyle name="20% - Accent1 5 4 2 7 2" xfId="15388"/>
    <cellStyle name="20% - Accent1 5 4 2 7 2 2" xfId="27189"/>
    <cellStyle name="20% - Accent1 5 4 2 7 2 2 2" xfId="58952"/>
    <cellStyle name="20% - Accent1 5 4 2 7 2 3" xfId="40804"/>
    <cellStyle name="20% - Accent1 5 4 2 7 3" xfId="9147"/>
    <cellStyle name="20% - Accent1 5 4 2 7 3 2" xfId="47355"/>
    <cellStyle name="20% - Accent1 5 4 2 7 4" xfId="20948"/>
    <cellStyle name="20% - Accent1 5 4 2 7 4 2" xfId="58953"/>
    <cellStyle name="20% - Accent1 5 4 2 7 5" xfId="34563"/>
    <cellStyle name="20% - Accent1 5 4 2 8" xfId="1990"/>
    <cellStyle name="20% - Accent1 5 4 2 8 2" xfId="15389"/>
    <cellStyle name="20% - Accent1 5 4 2 8 2 2" xfId="27190"/>
    <cellStyle name="20% - Accent1 5 4 2 8 2 2 2" xfId="58954"/>
    <cellStyle name="20% - Accent1 5 4 2 8 2 3" xfId="40805"/>
    <cellStyle name="20% - Accent1 5 4 2 8 3" xfId="7443"/>
    <cellStyle name="20% - Accent1 5 4 2 8 3 2" xfId="47356"/>
    <cellStyle name="20% - Accent1 5 4 2 8 4" xfId="19244"/>
    <cellStyle name="20% - Accent1 5 4 2 8 4 2" xfId="58955"/>
    <cellStyle name="20% - Accent1 5 4 2 8 5" xfId="32859"/>
    <cellStyle name="20% - Accent1 5 4 2 9" xfId="15390"/>
    <cellStyle name="20% - Accent1 5 4 2 9 2" xfId="27191"/>
    <cellStyle name="20% - Accent1 5 4 2 9 2 2" xfId="58956"/>
    <cellStyle name="20% - Accent1 5 4 2 9 3" xfId="40806"/>
    <cellStyle name="20% - Accent1 5 4 3" xfId="182"/>
    <cellStyle name="20% - Accent1 5 4 3 10" xfId="31052"/>
    <cellStyle name="20% - Accent1 5 4 3 2" xfId="312"/>
    <cellStyle name="20% - Accent1 5 4 3 2 2" xfId="1698"/>
    <cellStyle name="20% - Accent1 5 4 3 2 2 2" xfId="4622"/>
    <cellStyle name="20% - Accent1 5 4 3 2 2 2 2" xfId="15391"/>
    <cellStyle name="20% - Accent1 5 4 3 2 2 2 2 2" xfId="27192"/>
    <cellStyle name="20% - Accent1 5 4 3 2 2 2 2 2 2" xfId="58957"/>
    <cellStyle name="20% - Accent1 5 4 3 2 2 2 2 3" xfId="40807"/>
    <cellStyle name="20% - Accent1 5 4 3 2 2 2 3" xfId="10075"/>
    <cellStyle name="20% - Accent1 5 4 3 2 2 2 3 2" xfId="47357"/>
    <cellStyle name="20% - Accent1 5 4 3 2 2 2 4" xfId="21876"/>
    <cellStyle name="20% - Accent1 5 4 3 2 2 2 4 2" xfId="58958"/>
    <cellStyle name="20% - Accent1 5 4 3 2 2 2 5" xfId="35491"/>
    <cellStyle name="20% - Accent1 5 4 3 2 2 3" xfId="2781"/>
    <cellStyle name="20% - Accent1 5 4 3 2 2 3 2" xfId="15392"/>
    <cellStyle name="20% - Accent1 5 4 3 2 2 3 2 2" xfId="27193"/>
    <cellStyle name="20% - Accent1 5 4 3 2 2 3 2 2 2" xfId="58959"/>
    <cellStyle name="20% - Accent1 5 4 3 2 2 3 2 3" xfId="40808"/>
    <cellStyle name="20% - Accent1 5 4 3 2 2 3 3" xfId="8234"/>
    <cellStyle name="20% - Accent1 5 4 3 2 2 3 3 2" xfId="47358"/>
    <cellStyle name="20% - Accent1 5 4 3 2 2 3 4" xfId="20035"/>
    <cellStyle name="20% - Accent1 5 4 3 2 2 3 4 2" xfId="58960"/>
    <cellStyle name="20% - Accent1 5 4 3 2 2 3 5" xfId="33650"/>
    <cellStyle name="20% - Accent1 5 4 3 2 2 4" xfId="15393"/>
    <cellStyle name="20% - Accent1 5 4 3 2 2 4 2" xfId="27194"/>
    <cellStyle name="20% - Accent1 5 4 3 2 2 4 2 2" xfId="58961"/>
    <cellStyle name="20% - Accent1 5 4 3 2 2 4 3" xfId="40809"/>
    <cellStyle name="20% - Accent1 5 4 3 2 2 5" xfId="7152"/>
    <cellStyle name="20% - Accent1 5 4 3 2 2 5 2" xfId="47359"/>
    <cellStyle name="20% - Accent1 5 4 3 2 2 6" xfId="18953"/>
    <cellStyle name="20% - Accent1 5 4 3 2 2 6 2" xfId="58962"/>
    <cellStyle name="20% - Accent1 5 4 3 2 2 7" xfId="32568"/>
    <cellStyle name="20% - Accent1 5 4 3 2 3" xfId="3349"/>
    <cellStyle name="20% - Accent1 5 4 3 2 3 2" xfId="5190"/>
    <cellStyle name="20% - Accent1 5 4 3 2 3 2 2" xfId="16660"/>
    <cellStyle name="20% - Accent1 5 4 3 2 3 2 2 2" xfId="28461"/>
    <cellStyle name="20% - Accent1 5 4 3 2 3 2 2 2 2" xfId="58963"/>
    <cellStyle name="20% - Accent1 5 4 3 2 3 2 2 3" xfId="42076"/>
    <cellStyle name="20% - Accent1 5 4 3 2 3 2 3" xfId="10643"/>
    <cellStyle name="20% - Accent1 5 4 3 2 3 2 3 2" xfId="58964"/>
    <cellStyle name="20% - Accent1 5 4 3 2 3 2 4" xfId="22444"/>
    <cellStyle name="20% - Accent1 5 4 3 2 3 2 4 2" xfId="58965"/>
    <cellStyle name="20% - Accent1 5 4 3 2 3 2 5" xfId="36059"/>
    <cellStyle name="20% - Accent1 5 4 3 2 3 3" xfId="15394"/>
    <cellStyle name="20% - Accent1 5 4 3 2 3 3 2" xfId="27195"/>
    <cellStyle name="20% - Accent1 5 4 3 2 3 3 2 2" xfId="58966"/>
    <cellStyle name="20% - Accent1 5 4 3 2 3 3 3" xfId="40810"/>
    <cellStyle name="20% - Accent1 5 4 3 2 3 4" xfId="8802"/>
    <cellStyle name="20% - Accent1 5 4 3 2 3 4 2" xfId="58967"/>
    <cellStyle name="20% - Accent1 5 4 3 2 3 5" xfId="20603"/>
    <cellStyle name="20% - Accent1 5 4 3 2 3 5 2" xfId="58968"/>
    <cellStyle name="20% - Accent1 5 4 3 2 3 6" xfId="34218"/>
    <cellStyle name="20% - Accent1 5 4 3 2 4" xfId="4054"/>
    <cellStyle name="20% - Accent1 5 4 3 2 4 2" xfId="15395"/>
    <cellStyle name="20% - Accent1 5 4 3 2 4 2 2" xfId="27196"/>
    <cellStyle name="20% - Accent1 5 4 3 2 4 2 2 2" xfId="58969"/>
    <cellStyle name="20% - Accent1 5 4 3 2 4 2 3" xfId="40811"/>
    <cellStyle name="20% - Accent1 5 4 3 2 4 3" xfId="9507"/>
    <cellStyle name="20% - Accent1 5 4 3 2 4 3 2" xfId="47360"/>
    <cellStyle name="20% - Accent1 5 4 3 2 4 4" xfId="21308"/>
    <cellStyle name="20% - Accent1 5 4 3 2 4 4 2" xfId="58970"/>
    <cellStyle name="20% - Accent1 5 4 3 2 4 5" xfId="34923"/>
    <cellStyle name="20% - Accent1 5 4 3 2 5" xfId="2213"/>
    <cellStyle name="20% - Accent1 5 4 3 2 5 2" xfId="17183"/>
    <cellStyle name="20% - Accent1 5 4 3 2 5 2 2" xfId="28984"/>
    <cellStyle name="20% - Accent1 5 4 3 2 5 2 2 2" xfId="58971"/>
    <cellStyle name="20% - Accent1 5 4 3 2 5 2 3" xfId="42599"/>
    <cellStyle name="20% - Accent1 5 4 3 2 5 3" xfId="7666"/>
    <cellStyle name="20% - Accent1 5 4 3 2 5 3 2" xfId="58972"/>
    <cellStyle name="20% - Accent1 5 4 3 2 5 4" xfId="19467"/>
    <cellStyle name="20% - Accent1 5 4 3 2 5 4 2" xfId="58973"/>
    <cellStyle name="20% - Accent1 5 4 3 2 5 5" xfId="33082"/>
    <cellStyle name="20% - Accent1 5 4 3 2 6" xfId="15396"/>
    <cellStyle name="20% - Accent1 5 4 3 2 6 2" xfId="27197"/>
    <cellStyle name="20% - Accent1 5 4 3 2 6 2 2" xfId="58974"/>
    <cellStyle name="20% - Accent1 5 4 3 2 6 3" xfId="40812"/>
    <cellStyle name="20% - Accent1 5 4 3 2 7" xfId="5766"/>
    <cellStyle name="20% - Accent1 5 4 3 2 7 2" xfId="58975"/>
    <cellStyle name="20% - Accent1 5 4 3 2 8" xfId="17567"/>
    <cellStyle name="20% - Accent1 5 4 3 2 8 2" xfId="58976"/>
    <cellStyle name="20% - Accent1 5 4 3 2 9" xfId="31182"/>
    <cellStyle name="20% - Accent1 5 4 3 3" xfId="750"/>
    <cellStyle name="20% - Accent1 5 4 3 3 2" xfId="1699"/>
    <cellStyle name="20% - Accent1 5 4 3 3 2 2" xfId="4492"/>
    <cellStyle name="20% - Accent1 5 4 3 3 2 2 2" xfId="15397"/>
    <cellStyle name="20% - Accent1 5 4 3 3 2 2 2 2" xfId="27198"/>
    <cellStyle name="20% - Accent1 5 4 3 3 2 2 2 2 2" xfId="58977"/>
    <cellStyle name="20% - Accent1 5 4 3 3 2 2 2 3" xfId="40813"/>
    <cellStyle name="20% - Accent1 5 4 3 3 2 2 3" xfId="9945"/>
    <cellStyle name="20% - Accent1 5 4 3 3 2 2 3 2" xfId="47361"/>
    <cellStyle name="20% - Accent1 5 4 3 3 2 2 4" xfId="21746"/>
    <cellStyle name="20% - Accent1 5 4 3 3 2 2 4 2" xfId="58978"/>
    <cellStyle name="20% - Accent1 5 4 3 3 2 2 5" xfId="35361"/>
    <cellStyle name="20% - Accent1 5 4 3 3 2 3" xfId="15398"/>
    <cellStyle name="20% - Accent1 5 4 3 3 2 3 2" xfId="27199"/>
    <cellStyle name="20% - Accent1 5 4 3 3 2 3 2 2" xfId="47362"/>
    <cellStyle name="20% - Accent1 5 4 3 3 2 3 3" xfId="30484"/>
    <cellStyle name="20% - Accent1 5 4 3 3 2 3 3 2" xfId="47363"/>
    <cellStyle name="20% - Accent1 5 4 3 3 2 3 4" xfId="30485"/>
    <cellStyle name="20% - Accent1 5 4 3 3 2 3 4 2" xfId="58979"/>
    <cellStyle name="20% - Accent1 5 4 3 3 2 3 5" xfId="40814"/>
    <cellStyle name="20% - Accent1 5 4 3 3 2 4" xfId="15399"/>
    <cellStyle name="20% - Accent1 5 4 3 3 2 4 2" xfId="27200"/>
    <cellStyle name="20% - Accent1 5 4 3 3 2 4 2 2" xfId="58980"/>
    <cellStyle name="20% - Accent1 5 4 3 3 2 4 3" xfId="40815"/>
    <cellStyle name="20% - Accent1 5 4 3 3 2 5" xfId="7153"/>
    <cellStyle name="20% - Accent1 5 4 3 3 2 5 2" xfId="47364"/>
    <cellStyle name="20% - Accent1 5 4 3 3 2 6" xfId="18954"/>
    <cellStyle name="20% - Accent1 5 4 3 3 2 6 2" xfId="58981"/>
    <cellStyle name="20% - Accent1 5 4 3 3 2 7" xfId="32569"/>
    <cellStyle name="20% - Accent1 5 4 3 3 3" xfId="2651"/>
    <cellStyle name="20% - Accent1 5 4 3 3 3 2" xfId="15400"/>
    <cellStyle name="20% - Accent1 5 4 3 3 3 2 2" xfId="27201"/>
    <cellStyle name="20% - Accent1 5 4 3 3 3 2 2 2" xfId="58982"/>
    <cellStyle name="20% - Accent1 5 4 3 3 3 2 3" xfId="40816"/>
    <cellStyle name="20% - Accent1 5 4 3 3 3 3" xfId="8104"/>
    <cellStyle name="20% - Accent1 5 4 3 3 3 3 2" xfId="47365"/>
    <cellStyle name="20% - Accent1 5 4 3 3 3 4" xfId="19905"/>
    <cellStyle name="20% - Accent1 5 4 3 3 3 4 2" xfId="58983"/>
    <cellStyle name="20% - Accent1 5 4 3 3 3 5" xfId="33520"/>
    <cellStyle name="20% - Accent1 5 4 3 3 4" xfId="15401"/>
    <cellStyle name="20% - Accent1 5 4 3 3 4 2" xfId="27202"/>
    <cellStyle name="20% - Accent1 5 4 3 3 4 2 2" xfId="47366"/>
    <cellStyle name="20% - Accent1 5 4 3 3 4 3" xfId="30486"/>
    <cellStyle name="20% - Accent1 5 4 3 3 4 3 2" xfId="47367"/>
    <cellStyle name="20% - Accent1 5 4 3 3 4 4" xfId="30487"/>
    <cellStyle name="20% - Accent1 5 4 3 3 4 4 2" xfId="58984"/>
    <cellStyle name="20% - Accent1 5 4 3 3 4 5" xfId="40817"/>
    <cellStyle name="20% - Accent1 5 4 3 3 5" xfId="15402"/>
    <cellStyle name="20% - Accent1 5 4 3 3 5 2" xfId="27203"/>
    <cellStyle name="20% - Accent1 5 4 3 3 5 2 2" xfId="58985"/>
    <cellStyle name="20% - Accent1 5 4 3 3 5 3" xfId="40818"/>
    <cellStyle name="20% - Accent1 5 4 3 3 6" xfId="6204"/>
    <cellStyle name="20% - Accent1 5 4 3 3 6 2" xfId="47368"/>
    <cellStyle name="20% - Accent1 5 4 3 3 7" xfId="18005"/>
    <cellStyle name="20% - Accent1 5 4 3 3 7 2" xfId="58986"/>
    <cellStyle name="20% - Accent1 5 4 3 3 8" xfId="31620"/>
    <cellStyle name="20% - Accent1 5 4 3 4" xfId="1700"/>
    <cellStyle name="20% - Accent1 5 4 3 4 2" xfId="5060"/>
    <cellStyle name="20% - Accent1 5 4 3 4 2 2" xfId="15403"/>
    <cellStyle name="20% - Accent1 5 4 3 4 2 2 2" xfId="27204"/>
    <cellStyle name="20% - Accent1 5 4 3 4 2 2 2 2" xfId="58987"/>
    <cellStyle name="20% - Accent1 5 4 3 4 2 2 3" xfId="40819"/>
    <cellStyle name="20% - Accent1 5 4 3 4 2 3" xfId="10513"/>
    <cellStyle name="20% - Accent1 5 4 3 4 2 3 2" xfId="47369"/>
    <cellStyle name="20% - Accent1 5 4 3 4 2 4" xfId="22314"/>
    <cellStyle name="20% - Accent1 5 4 3 4 2 4 2" xfId="58988"/>
    <cellStyle name="20% - Accent1 5 4 3 4 2 5" xfId="35929"/>
    <cellStyle name="20% - Accent1 5 4 3 4 3" xfId="3219"/>
    <cellStyle name="20% - Accent1 5 4 3 4 3 2" xfId="15404"/>
    <cellStyle name="20% - Accent1 5 4 3 4 3 2 2" xfId="27205"/>
    <cellStyle name="20% - Accent1 5 4 3 4 3 2 2 2" xfId="58989"/>
    <cellStyle name="20% - Accent1 5 4 3 4 3 2 3" xfId="40820"/>
    <cellStyle name="20% - Accent1 5 4 3 4 3 3" xfId="8672"/>
    <cellStyle name="20% - Accent1 5 4 3 4 3 3 2" xfId="47370"/>
    <cellStyle name="20% - Accent1 5 4 3 4 3 4" xfId="20473"/>
    <cellStyle name="20% - Accent1 5 4 3 4 3 4 2" xfId="58990"/>
    <cellStyle name="20% - Accent1 5 4 3 4 3 5" xfId="34088"/>
    <cellStyle name="20% - Accent1 5 4 3 4 4" xfId="15405"/>
    <cellStyle name="20% - Accent1 5 4 3 4 4 2" xfId="27206"/>
    <cellStyle name="20% - Accent1 5 4 3 4 4 2 2" xfId="58991"/>
    <cellStyle name="20% - Accent1 5 4 3 4 4 3" xfId="40821"/>
    <cellStyle name="20% - Accent1 5 4 3 4 5" xfId="7154"/>
    <cellStyle name="20% - Accent1 5 4 3 4 5 2" xfId="47371"/>
    <cellStyle name="20% - Accent1 5 4 3 4 6" xfId="18955"/>
    <cellStyle name="20% - Accent1 5 4 3 4 6 2" xfId="58992"/>
    <cellStyle name="20% - Accent1 5 4 3 4 7" xfId="32570"/>
    <cellStyle name="20% - Accent1 5 4 3 5" xfId="3924"/>
    <cellStyle name="20% - Accent1 5 4 3 5 2" xfId="15406"/>
    <cellStyle name="20% - Accent1 5 4 3 5 2 2" xfId="27207"/>
    <cellStyle name="20% - Accent1 5 4 3 5 2 2 2" xfId="58993"/>
    <cellStyle name="20% - Accent1 5 4 3 5 2 3" xfId="40822"/>
    <cellStyle name="20% - Accent1 5 4 3 5 3" xfId="9377"/>
    <cellStyle name="20% - Accent1 5 4 3 5 3 2" xfId="47372"/>
    <cellStyle name="20% - Accent1 5 4 3 5 4" xfId="21178"/>
    <cellStyle name="20% - Accent1 5 4 3 5 4 2" xfId="58994"/>
    <cellStyle name="20% - Accent1 5 4 3 5 5" xfId="34793"/>
    <cellStyle name="20% - Accent1 5 4 3 6" xfId="2083"/>
    <cellStyle name="20% - Accent1 5 4 3 6 2" xfId="15407"/>
    <cellStyle name="20% - Accent1 5 4 3 6 2 2" xfId="27208"/>
    <cellStyle name="20% - Accent1 5 4 3 6 2 2 2" xfId="58995"/>
    <cellStyle name="20% - Accent1 5 4 3 6 2 3" xfId="40823"/>
    <cellStyle name="20% - Accent1 5 4 3 6 3" xfId="7536"/>
    <cellStyle name="20% - Accent1 5 4 3 6 3 2" xfId="47373"/>
    <cellStyle name="20% - Accent1 5 4 3 6 4" xfId="19337"/>
    <cellStyle name="20% - Accent1 5 4 3 6 4 2" xfId="58996"/>
    <cellStyle name="20% - Accent1 5 4 3 6 5" xfId="32952"/>
    <cellStyle name="20% - Accent1 5 4 3 7" xfId="15408"/>
    <cellStyle name="20% - Accent1 5 4 3 7 2" xfId="27209"/>
    <cellStyle name="20% - Accent1 5 4 3 7 2 2" xfId="58997"/>
    <cellStyle name="20% - Accent1 5 4 3 7 3" xfId="40824"/>
    <cellStyle name="20% - Accent1 5 4 3 8" xfId="5636"/>
    <cellStyle name="20% - Accent1 5 4 3 8 2" xfId="47374"/>
    <cellStyle name="20% - Accent1 5 4 3 9" xfId="17437"/>
    <cellStyle name="20% - Accent1 5 4 3 9 2" xfId="58998"/>
    <cellStyle name="20% - Accent1 5 4 4" xfId="449"/>
    <cellStyle name="20% - Accent1 5 4 4 2" xfId="1701"/>
    <cellStyle name="20% - Accent1 5 4 4 2 2" xfId="4759"/>
    <cellStyle name="20% - Accent1 5 4 4 2 2 2" xfId="15409"/>
    <cellStyle name="20% - Accent1 5 4 4 2 2 2 2" xfId="27210"/>
    <cellStyle name="20% - Accent1 5 4 4 2 2 2 2 2" xfId="58999"/>
    <cellStyle name="20% - Accent1 5 4 4 2 2 2 3" xfId="40825"/>
    <cellStyle name="20% - Accent1 5 4 4 2 2 3" xfId="10212"/>
    <cellStyle name="20% - Accent1 5 4 4 2 2 3 2" xfId="47375"/>
    <cellStyle name="20% - Accent1 5 4 4 2 2 4" xfId="22013"/>
    <cellStyle name="20% - Accent1 5 4 4 2 2 4 2" xfId="59000"/>
    <cellStyle name="20% - Accent1 5 4 4 2 2 5" xfId="35628"/>
    <cellStyle name="20% - Accent1 5 4 4 2 3" xfId="2918"/>
    <cellStyle name="20% - Accent1 5 4 4 2 3 2" xfId="15410"/>
    <cellStyle name="20% - Accent1 5 4 4 2 3 2 2" xfId="27211"/>
    <cellStyle name="20% - Accent1 5 4 4 2 3 2 2 2" xfId="59001"/>
    <cellStyle name="20% - Accent1 5 4 4 2 3 2 3" xfId="40826"/>
    <cellStyle name="20% - Accent1 5 4 4 2 3 3" xfId="8371"/>
    <cellStyle name="20% - Accent1 5 4 4 2 3 3 2" xfId="47376"/>
    <cellStyle name="20% - Accent1 5 4 4 2 3 4" xfId="20172"/>
    <cellStyle name="20% - Accent1 5 4 4 2 3 4 2" xfId="59002"/>
    <cellStyle name="20% - Accent1 5 4 4 2 3 5" xfId="33787"/>
    <cellStyle name="20% - Accent1 5 4 4 2 4" xfId="15411"/>
    <cellStyle name="20% - Accent1 5 4 4 2 4 2" xfId="27212"/>
    <cellStyle name="20% - Accent1 5 4 4 2 4 2 2" xfId="59003"/>
    <cellStyle name="20% - Accent1 5 4 4 2 4 3" xfId="40827"/>
    <cellStyle name="20% - Accent1 5 4 4 2 5" xfId="7155"/>
    <cellStyle name="20% - Accent1 5 4 4 2 5 2" xfId="47377"/>
    <cellStyle name="20% - Accent1 5 4 4 2 6" xfId="18956"/>
    <cellStyle name="20% - Accent1 5 4 4 2 6 2" xfId="59004"/>
    <cellStyle name="20% - Accent1 5 4 4 2 7" xfId="32571"/>
    <cellStyle name="20% - Accent1 5 4 4 3" xfId="3486"/>
    <cellStyle name="20% - Accent1 5 4 4 3 2" xfId="5327"/>
    <cellStyle name="20% - Accent1 5 4 4 3 2 2" xfId="16797"/>
    <cellStyle name="20% - Accent1 5 4 4 3 2 2 2" xfId="28598"/>
    <cellStyle name="20% - Accent1 5 4 4 3 2 2 2 2" xfId="59005"/>
    <cellStyle name="20% - Accent1 5 4 4 3 2 2 3" xfId="42213"/>
    <cellStyle name="20% - Accent1 5 4 4 3 2 3" xfId="10780"/>
    <cellStyle name="20% - Accent1 5 4 4 3 2 3 2" xfId="59006"/>
    <cellStyle name="20% - Accent1 5 4 4 3 2 4" xfId="22581"/>
    <cellStyle name="20% - Accent1 5 4 4 3 2 4 2" xfId="59007"/>
    <cellStyle name="20% - Accent1 5 4 4 3 2 5" xfId="36196"/>
    <cellStyle name="20% - Accent1 5 4 4 3 3" xfId="15412"/>
    <cellStyle name="20% - Accent1 5 4 4 3 3 2" xfId="27213"/>
    <cellStyle name="20% - Accent1 5 4 4 3 3 2 2" xfId="59008"/>
    <cellStyle name="20% - Accent1 5 4 4 3 3 3" xfId="40828"/>
    <cellStyle name="20% - Accent1 5 4 4 3 4" xfId="8939"/>
    <cellStyle name="20% - Accent1 5 4 4 3 4 2" xfId="59009"/>
    <cellStyle name="20% - Accent1 5 4 4 3 5" xfId="20740"/>
    <cellStyle name="20% - Accent1 5 4 4 3 5 2" xfId="59010"/>
    <cellStyle name="20% - Accent1 5 4 4 3 6" xfId="34355"/>
    <cellStyle name="20% - Accent1 5 4 4 4" xfId="4191"/>
    <cellStyle name="20% - Accent1 5 4 4 4 2" xfId="15413"/>
    <cellStyle name="20% - Accent1 5 4 4 4 2 2" xfId="27214"/>
    <cellStyle name="20% - Accent1 5 4 4 4 2 2 2" xfId="59011"/>
    <cellStyle name="20% - Accent1 5 4 4 4 2 3" xfId="40829"/>
    <cellStyle name="20% - Accent1 5 4 4 4 3" xfId="9644"/>
    <cellStyle name="20% - Accent1 5 4 4 4 3 2" xfId="47378"/>
    <cellStyle name="20% - Accent1 5 4 4 4 4" xfId="21445"/>
    <cellStyle name="20% - Accent1 5 4 4 4 4 2" xfId="59012"/>
    <cellStyle name="20% - Accent1 5 4 4 4 5" xfId="35060"/>
    <cellStyle name="20% - Accent1 5 4 4 5" xfId="2350"/>
    <cellStyle name="20% - Accent1 5 4 4 5 2" xfId="17184"/>
    <cellStyle name="20% - Accent1 5 4 4 5 2 2" xfId="28985"/>
    <cellStyle name="20% - Accent1 5 4 4 5 2 2 2" xfId="59013"/>
    <cellStyle name="20% - Accent1 5 4 4 5 2 3" xfId="42600"/>
    <cellStyle name="20% - Accent1 5 4 4 5 3" xfId="7803"/>
    <cellStyle name="20% - Accent1 5 4 4 5 3 2" xfId="59014"/>
    <cellStyle name="20% - Accent1 5 4 4 5 4" xfId="19604"/>
    <cellStyle name="20% - Accent1 5 4 4 5 4 2" xfId="59015"/>
    <cellStyle name="20% - Accent1 5 4 4 5 5" xfId="33219"/>
    <cellStyle name="20% - Accent1 5 4 4 6" xfId="15414"/>
    <cellStyle name="20% - Accent1 5 4 4 6 2" xfId="27215"/>
    <cellStyle name="20% - Accent1 5 4 4 6 2 2" xfId="59016"/>
    <cellStyle name="20% - Accent1 5 4 4 6 3" xfId="40830"/>
    <cellStyle name="20% - Accent1 5 4 4 7" xfId="5903"/>
    <cellStyle name="20% - Accent1 5 4 4 7 2" xfId="59017"/>
    <cellStyle name="20% - Accent1 5 4 4 8" xfId="17704"/>
    <cellStyle name="20% - Accent1 5 4 4 8 2" xfId="59018"/>
    <cellStyle name="20% - Accent1 5 4 4 9" xfId="31319"/>
    <cellStyle name="20% - Accent1 5 4 5" xfId="263"/>
    <cellStyle name="20% - Accent1 5 4 5 2" xfId="1702"/>
    <cellStyle name="20% - Accent1 5 4 5 2 2" xfId="4573"/>
    <cellStyle name="20% - Accent1 5 4 5 2 2 2" xfId="15415"/>
    <cellStyle name="20% - Accent1 5 4 5 2 2 2 2" xfId="27216"/>
    <cellStyle name="20% - Accent1 5 4 5 2 2 2 2 2" xfId="59019"/>
    <cellStyle name="20% - Accent1 5 4 5 2 2 2 3" xfId="40831"/>
    <cellStyle name="20% - Accent1 5 4 5 2 2 3" xfId="10026"/>
    <cellStyle name="20% - Accent1 5 4 5 2 2 3 2" xfId="47379"/>
    <cellStyle name="20% - Accent1 5 4 5 2 2 4" xfId="21827"/>
    <cellStyle name="20% - Accent1 5 4 5 2 2 4 2" xfId="59020"/>
    <cellStyle name="20% - Accent1 5 4 5 2 2 5" xfId="35442"/>
    <cellStyle name="20% - Accent1 5 4 5 2 3" xfId="2732"/>
    <cellStyle name="20% - Accent1 5 4 5 2 3 2" xfId="15416"/>
    <cellStyle name="20% - Accent1 5 4 5 2 3 2 2" xfId="27217"/>
    <cellStyle name="20% - Accent1 5 4 5 2 3 2 2 2" xfId="59021"/>
    <cellStyle name="20% - Accent1 5 4 5 2 3 2 3" xfId="40832"/>
    <cellStyle name="20% - Accent1 5 4 5 2 3 3" xfId="8185"/>
    <cellStyle name="20% - Accent1 5 4 5 2 3 3 2" xfId="47380"/>
    <cellStyle name="20% - Accent1 5 4 5 2 3 4" xfId="19986"/>
    <cellStyle name="20% - Accent1 5 4 5 2 3 4 2" xfId="59022"/>
    <cellStyle name="20% - Accent1 5 4 5 2 3 5" xfId="33601"/>
    <cellStyle name="20% - Accent1 5 4 5 2 4" xfId="15417"/>
    <cellStyle name="20% - Accent1 5 4 5 2 4 2" xfId="27218"/>
    <cellStyle name="20% - Accent1 5 4 5 2 4 2 2" xfId="59023"/>
    <cellStyle name="20% - Accent1 5 4 5 2 4 3" xfId="40833"/>
    <cellStyle name="20% - Accent1 5 4 5 2 5" xfId="7156"/>
    <cellStyle name="20% - Accent1 5 4 5 2 5 2" xfId="47381"/>
    <cellStyle name="20% - Accent1 5 4 5 2 6" xfId="18957"/>
    <cellStyle name="20% - Accent1 5 4 5 2 6 2" xfId="59024"/>
    <cellStyle name="20% - Accent1 5 4 5 2 7" xfId="32572"/>
    <cellStyle name="20% - Accent1 5 4 5 3" xfId="3300"/>
    <cellStyle name="20% - Accent1 5 4 5 3 2" xfId="5141"/>
    <cellStyle name="20% - Accent1 5 4 5 3 2 2" xfId="16611"/>
    <cellStyle name="20% - Accent1 5 4 5 3 2 2 2" xfId="28412"/>
    <cellStyle name="20% - Accent1 5 4 5 3 2 2 2 2" xfId="59025"/>
    <cellStyle name="20% - Accent1 5 4 5 3 2 2 3" xfId="42027"/>
    <cellStyle name="20% - Accent1 5 4 5 3 2 3" xfId="10594"/>
    <cellStyle name="20% - Accent1 5 4 5 3 2 3 2" xfId="59026"/>
    <cellStyle name="20% - Accent1 5 4 5 3 2 4" xfId="22395"/>
    <cellStyle name="20% - Accent1 5 4 5 3 2 4 2" xfId="59027"/>
    <cellStyle name="20% - Accent1 5 4 5 3 2 5" xfId="36010"/>
    <cellStyle name="20% - Accent1 5 4 5 3 3" xfId="15418"/>
    <cellStyle name="20% - Accent1 5 4 5 3 3 2" xfId="27219"/>
    <cellStyle name="20% - Accent1 5 4 5 3 3 2 2" xfId="59028"/>
    <cellStyle name="20% - Accent1 5 4 5 3 3 3" xfId="40834"/>
    <cellStyle name="20% - Accent1 5 4 5 3 4" xfId="8753"/>
    <cellStyle name="20% - Accent1 5 4 5 3 4 2" xfId="59029"/>
    <cellStyle name="20% - Accent1 5 4 5 3 5" xfId="20554"/>
    <cellStyle name="20% - Accent1 5 4 5 3 5 2" xfId="59030"/>
    <cellStyle name="20% - Accent1 5 4 5 3 6" xfId="34169"/>
    <cellStyle name="20% - Accent1 5 4 5 4" xfId="4005"/>
    <cellStyle name="20% - Accent1 5 4 5 4 2" xfId="15419"/>
    <cellStyle name="20% - Accent1 5 4 5 4 2 2" xfId="27220"/>
    <cellStyle name="20% - Accent1 5 4 5 4 2 2 2" xfId="59031"/>
    <cellStyle name="20% - Accent1 5 4 5 4 2 3" xfId="40835"/>
    <cellStyle name="20% - Accent1 5 4 5 4 3" xfId="9458"/>
    <cellStyle name="20% - Accent1 5 4 5 4 3 2" xfId="47382"/>
    <cellStyle name="20% - Accent1 5 4 5 4 4" xfId="21259"/>
    <cellStyle name="20% - Accent1 5 4 5 4 4 2" xfId="59032"/>
    <cellStyle name="20% - Accent1 5 4 5 4 5" xfId="34874"/>
    <cellStyle name="20% - Accent1 5 4 5 5" xfId="2164"/>
    <cellStyle name="20% - Accent1 5 4 5 5 2" xfId="17185"/>
    <cellStyle name="20% - Accent1 5 4 5 5 2 2" xfId="28986"/>
    <cellStyle name="20% - Accent1 5 4 5 5 2 2 2" xfId="59033"/>
    <cellStyle name="20% - Accent1 5 4 5 5 2 3" xfId="42601"/>
    <cellStyle name="20% - Accent1 5 4 5 5 3" xfId="7617"/>
    <cellStyle name="20% - Accent1 5 4 5 5 3 2" xfId="59034"/>
    <cellStyle name="20% - Accent1 5 4 5 5 4" xfId="19418"/>
    <cellStyle name="20% - Accent1 5 4 5 5 4 2" xfId="59035"/>
    <cellStyle name="20% - Accent1 5 4 5 5 5" xfId="33033"/>
    <cellStyle name="20% - Accent1 5 4 5 6" xfId="15420"/>
    <cellStyle name="20% - Accent1 5 4 5 6 2" xfId="27221"/>
    <cellStyle name="20% - Accent1 5 4 5 6 2 2" xfId="59036"/>
    <cellStyle name="20% - Accent1 5 4 5 6 3" xfId="40836"/>
    <cellStyle name="20% - Accent1 5 4 5 7" xfId="5717"/>
    <cellStyle name="20% - Accent1 5 4 5 7 2" xfId="59037"/>
    <cellStyle name="20% - Accent1 5 4 5 8" xfId="17518"/>
    <cellStyle name="20% - Accent1 5 4 5 8 2" xfId="59038"/>
    <cellStyle name="20% - Accent1 5 4 5 9" xfId="31133"/>
    <cellStyle name="20% - Accent1 5 4 6" xfId="590"/>
    <cellStyle name="20% - Accent1 5 4 6 2" xfId="1703"/>
    <cellStyle name="20% - Accent1 5 4 6 2 2" xfId="4332"/>
    <cellStyle name="20% - Accent1 5 4 6 2 2 2" xfId="15421"/>
    <cellStyle name="20% - Accent1 5 4 6 2 2 2 2" xfId="27222"/>
    <cellStyle name="20% - Accent1 5 4 6 2 2 2 2 2" xfId="59039"/>
    <cellStyle name="20% - Accent1 5 4 6 2 2 2 3" xfId="40837"/>
    <cellStyle name="20% - Accent1 5 4 6 2 2 3" xfId="9785"/>
    <cellStyle name="20% - Accent1 5 4 6 2 2 3 2" xfId="47383"/>
    <cellStyle name="20% - Accent1 5 4 6 2 2 4" xfId="21586"/>
    <cellStyle name="20% - Accent1 5 4 6 2 2 4 2" xfId="59040"/>
    <cellStyle name="20% - Accent1 5 4 6 2 2 5" xfId="35201"/>
    <cellStyle name="20% - Accent1 5 4 6 2 3" xfId="15422"/>
    <cellStyle name="20% - Accent1 5 4 6 2 3 2" xfId="27223"/>
    <cellStyle name="20% - Accent1 5 4 6 2 3 2 2" xfId="47384"/>
    <cellStyle name="20% - Accent1 5 4 6 2 3 3" xfId="30488"/>
    <cellStyle name="20% - Accent1 5 4 6 2 3 3 2" xfId="47385"/>
    <cellStyle name="20% - Accent1 5 4 6 2 3 4" xfId="30489"/>
    <cellStyle name="20% - Accent1 5 4 6 2 3 4 2" xfId="59041"/>
    <cellStyle name="20% - Accent1 5 4 6 2 3 5" xfId="40838"/>
    <cellStyle name="20% - Accent1 5 4 6 2 4" xfId="15423"/>
    <cellStyle name="20% - Accent1 5 4 6 2 4 2" xfId="27224"/>
    <cellStyle name="20% - Accent1 5 4 6 2 4 2 2" xfId="59042"/>
    <cellStyle name="20% - Accent1 5 4 6 2 4 3" xfId="40839"/>
    <cellStyle name="20% - Accent1 5 4 6 2 5" xfId="7157"/>
    <cellStyle name="20% - Accent1 5 4 6 2 5 2" xfId="47386"/>
    <cellStyle name="20% - Accent1 5 4 6 2 6" xfId="18958"/>
    <cellStyle name="20% - Accent1 5 4 6 2 6 2" xfId="59043"/>
    <cellStyle name="20% - Accent1 5 4 6 2 7" xfId="32573"/>
    <cellStyle name="20% - Accent1 5 4 6 3" xfId="2491"/>
    <cellStyle name="20% - Accent1 5 4 6 3 2" xfId="15424"/>
    <cellStyle name="20% - Accent1 5 4 6 3 2 2" xfId="27225"/>
    <cellStyle name="20% - Accent1 5 4 6 3 2 2 2" xfId="59044"/>
    <cellStyle name="20% - Accent1 5 4 6 3 2 3" xfId="40840"/>
    <cellStyle name="20% - Accent1 5 4 6 3 3" xfId="7944"/>
    <cellStyle name="20% - Accent1 5 4 6 3 3 2" xfId="47387"/>
    <cellStyle name="20% - Accent1 5 4 6 3 4" xfId="19745"/>
    <cellStyle name="20% - Accent1 5 4 6 3 4 2" xfId="59045"/>
    <cellStyle name="20% - Accent1 5 4 6 3 5" xfId="33360"/>
    <cellStyle name="20% - Accent1 5 4 6 4" xfId="15425"/>
    <cellStyle name="20% - Accent1 5 4 6 4 2" xfId="27226"/>
    <cellStyle name="20% - Accent1 5 4 6 4 2 2" xfId="47388"/>
    <cellStyle name="20% - Accent1 5 4 6 4 3" xfId="30490"/>
    <cellStyle name="20% - Accent1 5 4 6 4 3 2" xfId="47389"/>
    <cellStyle name="20% - Accent1 5 4 6 4 4" xfId="30491"/>
    <cellStyle name="20% - Accent1 5 4 6 4 4 2" xfId="59046"/>
    <cellStyle name="20% - Accent1 5 4 6 4 5" xfId="40841"/>
    <cellStyle name="20% - Accent1 5 4 6 5" xfId="15426"/>
    <cellStyle name="20% - Accent1 5 4 6 5 2" xfId="27227"/>
    <cellStyle name="20% - Accent1 5 4 6 5 2 2" xfId="59047"/>
    <cellStyle name="20% - Accent1 5 4 6 5 3" xfId="40842"/>
    <cellStyle name="20% - Accent1 5 4 6 6" xfId="6044"/>
    <cellStyle name="20% - Accent1 5 4 6 6 2" xfId="47390"/>
    <cellStyle name="20% - Accent1 5 4 6 7" xfId="17845"/>
    <cellStyle name="20% - Accent1 5 4 6 7 2" xfId="59048"/>
    <cellStyle name="20% - Accent1 5 4 6 8" xfId="31460"/>
    <cellStyle name="20% - Accent1 5 4 7" xfId="831"/>
    <cellStyle name="20% - Accent1 5 4 7 2" xfId="1704"/>
    <cellStyle name="20% - Accent1 5 4 7 2 2" xfId="4900"/>
    <cellStyle name="20% - Accent1 5 4 7 2 2 2" xfId="15427"/>
    <cellStyle name="20% - Accent1 5 4 7 2 2 2 2" xfId="27228"/>
    <cellStyle name="20% - Accent1 5 4 7 2 2 2 2 2" xfId="59049"/>
    <cellStyle name="20% - Accent1 5 4 7 2 2 2 3" xfId="40843"/>
    <cellStyle name="20% - Accent1 5 4 7 2 2 3" xfId="10353"/>
    <cellStyle name="20% - Accent1 5 4 7 2 2 3 2" xfId="47391"/>
    <cellStyle name="20% - Accent1 5 4 7 2 2 4" xfId="22154"/>
    <cellStyle name="20% - Accent1 5 4 7 2 2 4 2" xfId="59050"/>
    <cellStyle name="20% - Accent1 5 4 7 2 2 5" xfId="35769"/>
    <cellStyle name="20% - Accent1 5 4 7 2 3" xfId="15428"/>
    <cellStyle name="20% - Accent1 5 4 7 2 3 2" xfId="27229"/>
    <cellStyle name="20% - Accent1 5 4 7 2 3 2 2" xfId="47392"/>
    <cellStyle name="20% - Accent1 5 4 7 2 3 3" xfId="30492"/>
    <cellStyle name="20% - Accent1 5 4 7 2 3 3 2" xfId="47393"/>
    <cellStyle name="20% - Accent1 5 4 7 2 3 4" xfId="30493"/>
    <cellStyle name="20% - Accent1 5 4 7 2 3 4 2" xfId="59051"/>
    <cellStyle name="20% - Accent1 5 4 7 2 3 5" xfId="40844"/>
    <cellStyle name="20% - Accent1 5 4 7 2 4" xfId="15429"/>
    <cellStyle name="20% - Accent1 5 4 7 2 4 2" xfId="27230"/>
    <cellStyle name="20% - Accent1 5 4 7 2 4 2 2" xfId="59052"/>
    <cellStyle name="20% - Accent1 5 4 7 2 4 3" xfId="40845"/>
    <cellStyle name="20% - Accent1 5 4 7 2 5" xfId="7158"/>
    <cellStyle name="20% - Accent1 5 4 7 2 5 2" xfId="47394"/>
    <cellStyle name="20% - Accent1 5 4 7 2 6" xfId="18959"/>
    <cellStyle name="20% - Accent1 5 4 7 2 6 2" xfId="59053"/>
    <cellStyle name="20% - Accent1 5 4 7 2 7" xfId="32574"/>
    <cellStyle name="20% - Accent1 5 4 7 3" xfId="3059"/>
    <cellStyle name="20% - Accent1 5 4 7 3 2" xfId="15430"/>
    <cellStyle name="20% - Accent1 5 4 7 3 2 2" xfId="27231"/>
    <cellStyle name="20% - Accent1 5 4 7 3 2 2 2" xfId="59054"/>
    <cellStyle name="20% - Accent1 5 4 7 3 2 3" xfId="40846"/>
    <cellStyle name="20% - Accent1 5 4 7 3 3" xfId="8512"/>
    <cellStyle name="20% - Accent1 5 4 7 3 3 2" xfId="47395"/>
    <cellStyle name="20% - Accent1 5 4 7 3 4" xfId="20313"/>
    <cellStyle name="20% - Accent1 5 4 7 3 4 2" xfId="59055"/>
    <cellStyle name="20% - Accent1 5 4 7 3 5" xfId="33928"/>
    <cellStyle name="20% - Accent1 5 4 7 4" xfId="15431"/>
    <cellStyle name="20% - Accent1 5 4 7 4 2" xfId="27232"/>
    <cellStyle name="20% - Accent1 5 4 7 4 2 2" xfId="47396"/>
    <cellStyle name="20% - Accent1 5 4 7 4 3" xfId="30494"/>
    <cellStyle name="20% - Accent1 5 4 7 4 3 2" xfId="47397"/>
    <cellStyle name="20% - Accent1 5 4 7 4 4" xfId="30495"/>
    <cellStyle name="20% - Accent1 5 4 7 4 4 2" xfId="59056"/>
    <cellStyle name="20% - Accent1 5 4 7 4 5" xfId="40847"/>
    <cellStyle name="20% - Accent1 5 4 7 5" xfId="15432"/>
    <cellStyle name="20% - Accent1 5 4 7 5 2" xfId="27233"/>
    <cellStyle name="20% - Accent1 5 4 7 5 2 2" xfId="59057"/>
    <cellStyle name="20% - Accent1 5 4 7 5 3" xfId="40848"/>
    <cellStyle name="20% - Accent1 5 4 7 6" xfId="6285"/>
    <cellStyle name="20% - Accent1 5 4 7 6 2" xfId="47398"/>
    <cellStyle name="20% - Accent1 5 4 7 7" xfId="18086"/>
    <cellStyle name="20% - Accent1 5 4 7 7 2" xfId="59058"/>
    <cellStyle name="20% - Accent1 5 4 7 8" xfId="31701"/>
    <cellStyle name="20% - Accent1 5 4 8" xfId="1705"/>
    <cellStyle name="20% - Accent1 5 4 8 2" xfId="3764"/>
    <cellStyle name="20% - Accent1 5 4 8 2 2" xfId="15433"/>
    <cellStyle name="20% - Accent1 5 4 8 2 2 2" xfId="27234"/>
    <cellStyle name="20% - Accent1 5 4 8 2 2 2 2" xfId="59059"/>
    <cellStyle name="20% - Accent1 5 4 8 2 2 3" xfId="40849"/>
    <cellStyle name="20% - Accent1 5 4 8 2 3" xfId="9217"/>
    <cellStyle name="20% - Accent1 5 4 8 2 3 2" xfId="47399"/>
    <cellStyle name="20% - Accent1 5 4 8 2 4" xfId="21018"/>
    <cellStyle name="20% - Accent1 5 4 8 2 4 2" xfId="59060"/>
    <cellStyle name="20% - Accent1 5 4 8 2 5" xfId="34633"/>
    <cellStyle name="20% - Accent1 5 4 8 3" xfId="15434"/>
    <cellStyle name="20% - Accent1 5 4 8 3 2" xfId="27235"/>
    <cellStyle name="20% - Accent1 5 4 8 3 2 2" xfId="47400"/>
    <cellStyle name="20% - Accent1 5 4 8 3 3" xfId="30496"/>
    <cellStyle name="20% - Accent1 5 4 8 3 3 2" xfId="47401"/>
    <cellStyle name="20% - Accent1 5 4 8 3 4" xfId="30497"/>
    <cellStyle name="20% - Accent1 5 4 8 3 4 2" xfId="59061"/>
    <cellStyle name="20% - Accent1 5 4 8 3 5" xfId="40850"/>
    <cellStyle name="20% - Accent1 5 4 8 4" xfId="15435"/>
    <cellStyle name="20% - Accent1 5 4 8 4 2" xfId="27236"/>
    <cellStyle name="20% - Accent1 5 4 8 4 2 2" xfId="59062"/>
    <cellStyle name="20% - Accent1 5 4 8 4 3" xfId="40851"/>
    <cellStyle name="20% - Accent1 5 4 8 5" xfId="7159"/>
    <cellStyle name="20% - Accent1 5 4 8 5 2" xfId="47402"/>
    <cellStyle name="20% - Accent1 5 4 8 6" xfId="18960"/>
    <cellStyle name="20% - Accent1 5 4 8 6 2" xfId="59063"/>
    <cellStyle name="20% - Accent1 5 4 8 7" xfId="32575"/>
    <cellStyle name="20% - Accent1 5 4 9" xfId="3627"/>
    <cellStyle name="20% - Accent1 5 4 9 2" xfId="15436"/>
    <cellStyle name="20% - Accent1 5 4 9 2 2" xfId="27237"/>
    <cellStyle name="20% - Accent1 5 4 9 2 2 2" xfId="59064"/>
    <cellStyle name="20% - Accent1 5 4 9 2 3" xfId="40852"/>
    <cellStyle name="20% - Accent1 5 4 9 3" xfId="9080"/>
    <cellStyle name="20% - Accent1 5 4 9 3 2" xfId="47403"/>
    <cellStyle name="20% - Accent1 5 4 9 4" xfId="20881"/>
    <cellStyle name="20% - Accent1 5 4 9 4 2" xfId="59065"/>
    <cellStyle name="20% - Accent1 5 4 9 5" xfId="34496"/>
    <cellStyle name="20% - Accent1 5 5" xfId="59"/>
    <cellStyle name="20% - Accent1 5 5 10" xfId="15437"/>
    <cellStyle name="20% - Accent1 5 5 10 2" xfId="27238"/>
    <cellStyle name="20% - Accent1 5 5 10 2 2" xfId="59066"/>
    <cellStyle name="20% - Accent1 5 5 10 3" xfId="40853"/>
    <cellStyle name="20% - Accent1 5 5 11" xfId="5513"/>
    <cellStyle name="20% - Accent1 5 5 11 2" xfId="47404"/>
    <cellStyle name="20% - Accent1 5 5 12" xfId="17314"/>
    <cellStyle name="20% - Accent1 5 5 12 2" xfId="59067"/>
    <cellStyle name="20% - Accent1 5 5 13" xfId="30929"/>
    <cellStyle name="20% - Accent1 5 5 2" xfId="126"/>
    <cellStyle name="20% - Accent1 5 5 2 10" xfId="5580"/>
    <cellStyle name="20% - Accent1 5 5 2 10 2" xfId="47405"/>
    <cellStyle name="20% - Accent1 5 5 2 11" xfId="17381"/>
    <cellStyle name="20% - Accent1 5 5 2 11 2" xfId="59068"/>
    <cellStyle name="20% - Accent1 5 5 2 12" xfId="30996"/>
    <cellStyle name="20% - Accent1 5 5 2 2" xfId="553"/>
    <cellStyle name="20% - Accent1 5 5 2 2 2" xfId="1706"/>
    <cellStyle name="20% - Accent1 5 5 2 2 2 2" xfId="4863"/>
    <cellStyle name="20% - Accent1 5 5 2 2 2 2 2" xfId="15438"/>
    <cellStyle name="20% - Accent1 5 5 2 2 2 2 2 2" xfId="27239"/>
    <cellStyle name="20% - Accent1 5 5 2 2 2 2 2 2 2" xfId="59069"/>
    <cellStyle name="20% - Accent1 5 5 2 2 2 2 2 3" xfId="40854"/>
    <cellStyle name="20% - Accent1 5 5 2 2 2 2 3" xfId="10316"/>
    <cellStyle name="20% - Accent1 5 5 2 2 2 2 3 2" xfId="47406"/>
    <cellStyle name="20% - Accent1 5 5 2 2 2 2 4" xfId="22117"/>
    <cellStyle name="20% - Accent1 5 5 2 2 2 2 4 2" xfId="59070"/>
    <cellStyle name="20% - Accent1 5 5 2 2 2 2 5" xfId="35732"/>
    <cellStyle name="20% - Accent1 5 5 2 2 2 3" xfId="3022"/>
    <cellStyle name="20% - Accent1 5 5 2 2 2 3 2" xfId="15439"/>
    <cellStyle name="20% - Accent1 5 5 2 2 2 3 2 2" xfId="27240"/>
    <cellStyle name="20% - Accent1 5 5 2 2 2 3 2 2 2" xfId="59071"/>
    <cellStyle name="20% - Accent1 5 5 2 2 2 3 2 3" xfId="40855"/>
    <cellStyle name="20% - Accent1 5 5 2 2 2 3 3" xfId="8475"/>
    <cellStyle name="20% - Accent1 5 5 2 2 2 3 3 2" xfId="47407"/>
    <cellStyle name="20% - Accent1 5 5 2 2 2 3 4" xfId="20276"/>
    <cellStyle name="20% - Accent1 5 5 2 2 2 3 4 2" xfId="59072"/>
    <cellStyle name="20% - Accent1 5 5 2 2 2 3 5" xfId="33891"/>
    <cellStyle name="20% - Accent1 5 5 2 2 2 4" xfId="15440"/>
    <cellStyle name="20% - Accent1 5 5 2 2 2 4 2" xfId="27241"/>
    <cellStyle name="20% - Accent1 5 5 2 2 2 4 2 2" xfId="59073"/>
    <cellStyle name="20% - Accent1 5 5 2 2 2 4 3" xfId="40856"/>
    <cellStyle name="20% - Accent1 5 5 2 2 2 5" xfId="7160"/>
    <cellStyle name="20% - Accent1 5 5 2 2 2 5 2" xfId="47408"/>
    <cellStyle name="20% - Accent1 5 5 2 2 2 6" xfId="18961"/>
    <cellStyle name="20% - Accent1 5 5 2 2 2 6 2" xfId="59074"/>
    <cellStyle name="20% - Accent1 5 5 2 2 2 7" xfId="32576"/>
    <cellStyle name="20% - Accent1 5 5 2 2 3" xfId="3590"/>
    <cellStyle name="20% - Accent1 5 5 2 2 3 2" xfId="5431"/>
    <cellStyle name="20% - Accent1 5 5 2 2 3 2 2" xfId="16901"/>
    <cellStyle name="20% - Accent1 5 5 2 2 3 2 2 2" xfId="28702"/>
    <cellStyle name="20% - Accent1 5 5 2 2 3 2 2 2 2" xfId="59075"/>
    <cellStyle name="20% - Accent1 5 5 2 2 3 2 2 3" xfId="42317"/>
    <cellStyle name="20% - Accent1 5 5 2 2 3 2 3" xfId="10884"/>
    <cellStyle name="20% - Accent1 5 5 2 2 3 2 3 2" xfId="59076"/>
    <cellStyle name="20% - Accent1 5 5 2 2 3 2 4" xfId="22685"/>
    <cellStyle name="20% - Accent1 5 5 2 2 3 2 4 2" xfId="59077"/>
    <cellStyle name="20% - Accent1 5 5 2 2 3 2 5" xfId="36300"/>
    <cellStyle name="20% - Accent1 5 5 2 2 3 3" xfId="15441"/>
    <cellStyle name="20% - Accent1 5 5 2 2 3 3 2" xfId="27242"/>
    <cellStyle name="20% - Accent1 5 5 2 2 3 3 2 2" xfId="59078"/>
    <cellStyle name="20% - Accent1 5 5 2 2 3 3 3" xfId="40857"/>
    <cellStyle name="20% - Accent1 5 5 2 2 3 4" xfId="9043"/>
    <cellStyle name="20% - Accent1 5 5 2 2 3 4 2" xfId="59079"/>
    <cellStyle name="20% - Accent1 5 5 2 2 3 5" xfId="20844"/>
    <cellStyle name="20% - Accent1 5 5 2 2 3 5 2" xfId="59080"/>
    <cellStyle name="20% - Accent1 5 5 2 2 3 6" xfId="34459"/>
    <cellStyle name="20% - Accent1 5 5 2 2 4" xfId="4295"/>
    <cellStyle name="20% - Accent1 5 5 2 2 4 2" xfId="15442"/>
    <cellStyle name="20% - Accent1 5 5 2 2 4 2 2" xfId="27243"/>
    <cellStyle name="20% - Accent1 5 5 2 2 4 2 2 2" xfId="59081"/>
    <cellStyle name="20% - Accent1 5 5 2 2 4 2 3" xfId="40858"/>
    <cellStyle name="20% - Accent1 5 5 2 2 4 3" xfId="9748"/>
    <cellStyle name="20% - Accent1 5 5 2 2 4 3 2" xfId="47409"/>
    <cellStyle name="20% - Accent1 5 5 2 2 4 4" xfId="21549"/>
    <cellStyle name="20% - Accent1 5 5 2 2 4 4 2" xfId="59082"/>
    <cellStyle name="20% - Accent1 5 5 2 2 4 5" xfId="35164"/>
    <cellStyle name="20% - Accent1 5 5 2 2 5" xfId="2454"/>
    <cellStyle name="20% - Accent1 5 5 2 2 5 2" xfId="17186"/>
    <cellStyle name="20% - Accent1 5 5 2 2 5 2 2" xfId="28987"/>
    <cellStyle name="20% - Accent1 5 5 2 2 5 2 2 2" xfId="59083"/>
    <cellStyle name="20% - Accent1 5 5 2 2 5 2 3" xfId="42602"/>
    <cellStyle name="20% - Accent1 5 5 2 2 5 3" xfId="7907"/>
    <cellStyle name="20% - Accent1 5 5 2 2 5 3 2" xfId="59084"/>
    <cellStyle name="20% - Accent1 5 5 2 2 5 4" xfId="19708"/>
    <cellStyle name="20% - Accent1 5 5 2 2 5 4 2" xfId="59085"/>
    <cellStyle name="20% - Accent1 5 5 2 2 5 5" xfId="33323"/>
    <cellStyle name="20% - Accent1 5 5 2 2 6" xfId="15443"/>
    <cellStyle name="20% - Accent1 5 5 2 2 6 2" xfId="27244"/>
    <cellStyle name="20% - Accent1 5 5 2 2 6 2 2" xfId="59086"/>
    <cellStyle name="20% - Accent1 5 5 2 2 6 3" xfId="40859"/>
    <cellStyle name="20% - Accent1 5 5 2 2 7" xfId="6007"/>
    <cellStyle name="20% - Accent1 5 5 2 2 7 2" xfId="59087"/>
    <cellStyle name="20% - Accent1 5 5 2 2 8" xfId="17808"/>
    <cellStyle name="20% - Accent1 5 5 2 2 8 2" xfId="59088"/>
    <cellStyle name="20% - Accent1 5 5 2 2 9" xfId="31423"/>
    <cellStyle name="20% - Accent1 5 5 2 3" xfId="416"/>
    <cellStyle name="20% - Accent1 5 5 2 3 2" xfId="1707"/>
    <cellStyle name="20% - Accent1 5 5 2 3 2 2" xfId="4726"/>
    <cellStyle name="20% - Accent1 5 5 2 3 2 2 2" xfId="15444"/>
    <cellStyle name="20% - Accent1 5 5 2 3 2 2 2 2" xfId="27245"/>
    <cellStyle name="20% - Accent1 5 5 2 3 2 2 2 2 2" xfId="59089"/>
    <cellStyle name="20% - Accent1 5 5 2 3 2 2 2 3" xfId="40860"/>
    <cellStyle name="20% - Accent1 5 5 2 3 2 2 3" xfId="10179"/>
    <cellStyle name="20% - Accent1 5 5 2 3 2 2 3 2" xfId="47410"/>
    <cellStyle name="20% - Accent1 5 5 2 3 2 2 4" xfId="21980"/>
    <cellStyle name="20% - Accent1 5 5 2 3 2 2 4 2" xfId="59090"/>
    <cellStyle name="20% - Accent1 5 5 2 3 2 2 5" xfId="35595"/>
    <cellStyle name="20% - Accent1 5 5 2 3 2 3" xfId="2885"/>
    <cellStyle name="20% - Accent1 5 5 2 3 2 3 2" xfId="15445"/>
    <cellStyle name="20% - Accent1 5 5 2 3 2 3 2 2" xfId="27246"/>
    <cellStyle name="20% - Accent1 5 5 2 3 2 3 2 2 2" xfId="59091"/>
    <cellStyle name="20% - Accent1 5 5 2 3 2 3 2 3" xfId="40861"/>
    <cellStyle name="20% - Accent1 5 5 2 3 2 3 3" xfId="8338"/>
    <cellStyle name="20% - Accent1 5 5 2 3 2 3 3 2" xfId="47411"/>
    <cellStyle name="20% - Accent1 5 5 2 3 2 3 4" xfId="20139"/>
    <cellStyle name="20% - Accent1 5 5 2 3 2 3 4 2" xfId="59092"/>
    <cellStyle name="20% - Accent1 5 5 2 3 2 3 5" xfId="33754"/>
    <cellStyle name="20% - Accent1 5 5 2 3 2 4" xfId="15446"/>
    <cellStyle name="20% - Accent1 5 5 2 3 2 4 2" xfId="27247"/>
    <cellStyle name="20% - Accent1 5 5 2 3 2 4 2 2" xfId="59093"/>
    <cellStyle name="20% - Accent1 5 5 2 3 2 4 3" xfId="40862"/>
    <cellStyle name="20% - Accent1 5 5 2 3 2 5" xfId="7161"/>
    <cellStyle name="20% - Accent1 5 5 2 3 2 5 2" xfId="47412"/>
    <cellStyle name="20% - Accent1 5 5 2 3 2 6" xfId="18962"/>
    <cellStyle name="20% - Accent1 5 5 2 3 2 6 2" xfId="59094"/>
    <cellStyle name="20% - Accent1 5 5 2 3 2 7" xfId="32577"/>
    <cellStyle name="20% - Accent1 5 5 2 3 3" xfId="3453"/>
    <cellStyle name="20% - Accent1 5 5 2 3 3 2" xfId="5294"/>
    <cellStyle name="20% - Accent1 5 5 2 3 3 2 2" xfId="16764"/>
    <cellStyle name="20% - Accent1 5 5 2 3 3 2 2 2" xfId="28565"/>
    <cellStyle name="20% - Accent1 5 5 2 3 3 2 2 2 2" xfId="59095"/>
    <cellStyle name="20% - Accent1 5 5 2 3 3 2 2 3" xfId="42180"/>
    <cellStyle name="20% - Accent1 5 5 2 3 3 2 3" xfId="10747"/>
    <cellStyle name="20% - Accent1 5 5 2 3 3 2 3 2" xfId="59096"/>
    <cellStyle name="20% - Accent1 5 5 2 3 3 2 4" xfId="22548"/>
    <cellStyle name="20% - Accent1 5 5 2 3 3 2 4 2" xfId="59097"/>
    <cellStyle name="20% - Accent1 5 5 2 3 3 2 5" xfId="36163"/>
    <cellStyle name="20% - Accent1 5 5 2 3 3 3" xfId="15447"/>
    <cellStyle name="20% - Accent1 5 5 2 3 3 3 2" xfId="27248"/>
    <cellStyle name="20% - Accent1 5 5 2 3 3 3 2 2" xfId="59098"/>
    <cellStyle name="20% - Accent1 5 5 2 3 3 3 3" xfId="40863"/>
    <cellStyle name="20% - Accent1 5 5 2 3 3 4" xfId="8906"/>
    <cellStyle name="20% - Accent1 5 5 2 3 3 4 2" xfId="59099"/>
    <cellStyle name="20% - Accent1 5 5 2 3 3 5" xfId="20707"/>
    <cellStyle name="20% - Accent1 5 5 2 3 3 5 2" xfId="59100"/>
    <cellStyle name="20% - Accent1 5 5 2 3 3 6" xfId="34322"/>
    <cellStyle name="20% - Accent1 5 5 2 3 4" xfId="4158"/>
    <cellStyle name="20% - Accent1 5 5 2 3 4 2" xfId="15448"/>
    <cellStyle name="20% - Accent1 5 5 2 3 4 2 2" xfId="27249"/>
    <cellStyle name="20% - Accent1 5 5 2 3 4 2 2 2" xfId="59101"/>
    <cellStyle name="20% - Accent1 5 5 2 3 4 2 3" xfId="40864"/>
    <cellStyle name="20% - Accent1 5 5 2 3 4 3" xfId="9611"/>
    <cellStyle name="20% - Accent1 5 5 2 3 4 3 2" xfId="47413"/>
    <cellStyle name="20% - Accent1 5 5 2 3 4 4" xfId="21412"/>
    <cellStyle name="20% - Accent1 5 5 2 3 4 4 2" xfId="59102"/>
    <cellStyle name="20% - Accent1 5 5 2 3 4 5" xfId="35027"/>
    <cellStyle name="20% - Accent1 5 5 2 3 5" xfId="2317"/>
    <cellStyle name="20% - Accent1 5 5 2 3 5 2" xfId="17187"/>
    <cellStyle name="20% - Accent1 5 5 2 3 5 2 2" xfId="28988"/>
    <cellStyle name="20% - Accent1 5 5 2 3 5 2 2 2" xfId="59103"/>
    <cellStyle name="20% - Accent1 5 5 2 3 5 2 3" xfId="42603"/>
    <cellStyle name="20% - Accent1 5 5 2 3 5 3" xfId="7770"/>
    <cellStyle name="20% - Accent1 5 5 2 3 5 3 2" xfId="59104"/>
    <cellStyle name="20% - Accent1 5 5 2 3 5 4" xfId="19571"/>
    <cellStyle name="20% - Accent1 5 5 2 3 5 4 2" xfId="59105"/>
    <cellStyle name="20% - Accent1 5 5 2 3 5 5" xfId="33186"/>
    <cellStyle name="20% - Accent1 5 5 2 3 6" xfId="15449"/>
    <cellStyle name="20% - Accent1 5 5 2 3 6 2" xfId="27250"/>
    <cellStyle name="20% - Accent1 5 5 2 3 6 2 2" xfId="59106"/>
    <cellStyle name="20% - Accent1 5 5 2 3 6 3" xfId="40865"/>
    <cellStyle name="20% - Accent1 5 5 2 3 7" xfId="5870"/>
    <cellStyle name="20% - Accent1 5 5 2 3 7 2" xfId="59107"/>
    <cellStyle name="20% - Accent1 5 5 2 3 8" xfId="17671"/>
    <cellStyle name="20% - Accent1 5 5 2 3 8 2" xfId="59108"/>
    <cellStyle name="20% - Accent1 5 5 2 3 9" xfId="31286"/>
    <cellStyle name="20% - Accent1 5 5 2 4" xfId="694"/>
    <cellStyle name="20% - Accent1 5 5 2 4 2" xfId="1708"/>
    <cellStyle name="20% - Accent1 5 5 2 4 2 2" xfId="4436"/>
    <cellStyle name="20% - Accent1 5 5 2 4 2 2 2" xfId="15450"/>
    <cellStyle name="20% - Accent1 5 5 2 4 2 2 2 2" xfId="27251"/>
    <cellStyle name="20% - Accent1 5 5 2 4 2 2 2 2 2" xfId="59109"/>
    <cellStyle name="20% - Accent1 5 5 2 4 2 2 2 3" xfId="40866"/>
    <cellStyle name="20% - Accent1 5 5 2 4 2 2 3" xfId="9889"/>
    <cellStyle name="20% - Accent1 5 5 2 4 2 2 3 2" xfId="47414"/>
    <cellStyle name="20% - Accent1 5 5 2 4 2 2 4" xfId="21690"/>
    <cellStyle name="20% - Accent1 5 5 2 4 2 2 4 2" xfId="59110"/>
    <cellStyle name="20% - Accent1 5 5 2 4 2 2 5" xfId="35305"/>
    <cellStyle name="20% - Accent1 5 5 2 4 2 3" xfId="15451"/>
    <cellStyle name="20% - Accent1 5 5 2 4 2 3 2" xfId="27252"/>
    <cellStyle name="20% - Accent1 5 5 2 4 2 3 2 2" xfId="47415"/>
    <cellStyle name="20% - Accent1 5 5 2 4 2 3 3" xfId="30498"/>
    <cellStyle name="20% - Accent1 5 5 2 4 2 3 3 2" xfId="47416"/>
    <cellStyle name="20% - Accent1 5 5 2 4 2 3 4" xfId="30499"/>
    <cellStyle name="20% - Accent1 5 5 2 4 2 3 4 2" xfId="59111"/>
    <cellStyle name="20% - Accent1 5 5 2 4 2 3 5" xfId="40867"/>
    <cellStyle name="20% - Accent1 5 5 2 4 2 4" xfId="15452"/>
    <cellStyle name="20% - Accent1 5 5 2 4 2 4 2" xfId="27253"/>
    <cellStyle name="20% - Accent1 5 5 2 4 2 4 2 2" xfId="59112"/>
    <cellStyle name="20% - Accent1 5 5 2 4 2 4 3" xfId="40868"/>
    <cellStyle name="20% - Accent1 5 5 2 4 2 5" xfId="7162"/>
    <cellStyle name="20% - Accent1 5 5 2 4 2 5 2" xfId="47417"/>
    <cellStyle name="20% - Accent1 5 5 2 4 2 6" xfId="18963"/>
    <cellStyle name="20% - Accent1 5 5 2 4 2 6 2" xfId="59113"/>
    <cellStyle name="20% - Accent1 5 5 2 4 2 7" xfId="32578"/>
    <cellStyle name="20% - Accent1 5 5 2 4 3" xfId="2595"/>
    <cellStyle name="20% - Accent1 5 5 2 4 3 2" xfId="15453"/>
    <cellStyle name="20% - Accent1 5 5 2 4 3 2 2" xfId="27254"/>
    <cellStyle name="20% - Accent1 5 5 2 4 3 2 2 2" xfId="59114"/>
    <cellStyle name="20% - Accent1 5 5 2 4 3 2 3" xfId="40869"/>
    <cellStyle name="20% - Accent1 5 5 2 4 3 3" xfId="8048"/>
    <cellStyle name="20% - Accent1 5 5 2 4 3 3 2" xfId="47418"/>
    <cellStyle name="20% - Accent1 5 5 2 4 3 4" xfId="19849"/>
    <cellStyle name="20% - Accent1 5 5 2 4 3 4 2" xfId="59115"/>
    <cellStyle name="20% - Accent1 5 5 2 4 3 5" xfId="33464"/>
    <cellStyle name="20% - Accent1 5 5 2 4 4" xfId="15454"/>
    <cellStyle name="20% - Accent1 5 5 2 4 4 2" xfId="27255"/>
    <cellStyle name="20% - Accent1 5 5 2 4 4 2 2" xfId="47419"/>
    <cellStyle name="20% - Accent1 5 5 2 4 4 3" xfId="30500"/>
    <cellStyle name="20% - Accent1 5 5 2 4 4 3 2" xfId="47420"/>
    <cellStyle name="20% - Accent1 5 5 2 4 4 4" xfId="30501"/>
    <cellStyle name="20% - Accent1 5 5 2 4 4 4 2" xfId="59116"/>
    <cellStyle name="20% - Accent1 5 5 2 4 4 5" xfId="40870"/>
    <cellStyle name="20% - Accent1 5 5 2 4 5" xfId="15455"/>
    <cellStyle name="20% - Accent1 5 5 2 4 5 2" xfId="27256"/>
    <cellStyle name="20% - Accent1 5 5 2 4 5 2 2" xfId="59117"/>
    <cellStyle name="20% - Accent1 5 5 2 4 5 3" xfId="40871"/>
    <cellStyle name="20% - Accent1 5 5 2 4 6" xfId="6148"/>
    <cellStyle name="20% - Accent1 5 5 2 4 6 2" xfId="47421"/>
    <cellStyle name="20% - Accent1 5 5 2 4 7" xfId="17949"/>
    <cellStyle name="20% - Accent1 5 5 2 4 7 2" xfId="59118"/>
    <cellStyle name="20% - Accent1 5 5 2 4 8" xfId="31564"/>
    <cellStyle name="20% - Accent1 5 5 2 5" xfId="935"/>
    <cellStyle name="20% - Accent1 5 5 2 5 2" xfId="1709"/>
    <cellStyle name="20% - Accent1 5 5 2 5 2 2" xfId="5004"/>
    <cellStyle name="20% - Accent1 5 5 2 5 2 2 2" xfId="15456"/>
    <cellStyle name="20% - Accent1 5 5 2 5 2 2 2 2" xfId="27257"/>
    <cellStyle name="20% - Accent1 5 5 2 5 2 2 2 2 2" xfId="59119"/>
    <cellStyle name="20% - Accent1 5 5 2 5 2 2 2 3" xfId="40872"/>
    <cellStyle name="20% - Accent1 5 5 2 5 2 2 3" xfId="10457"/>
    <cellStyle name="20% - Accent1 5 5 2 5 2 2 3 2" xfId="47422"/>
    <cellStyle name="20% - Accent1 5 5 2 5 2 2 4" xfId="22258"/>
    <cellStyle name="20% - Accent1 5 5 2 5 2 2 4 2" xfId="59120"/>
    <cellStyle name="20% - Accent1 5 5 2 5 2 2 5" xfId="35873"/>
    <cellStyle name="20% - Accent1 5 5 2 5 2 3" xfId="15457"/>
    <cellStyle name="20% - Accent1 5 5 2 5 2 3 2" xfId="27258"/>
    <cellStyle name="20% - Accent1 5 5 2 5 2 3 2 2" xfId="47423"/>
    <cellStyle name="20% - Accent1 5 5 2 5 2 3 3" xfId="30502"/>
    <cellStyle name="20% - Accent1 5 5 2 5 2 3 3 2" xfId="47424"/>
    <cellStyle name="20% - Accent1 5 5 2 5 2 3 4" xfId="30503"/>
    <cellStyle name="20% - Accent1 5 5 2 5 2 3 4 2" xfId="59121"/>
    <cellStyle name="20% - Accent1 5 5 2 5 2 3 5" xfId="40873"/>
    <cellStyle name="20% - Accent1 5 5 2 5 2 4" xfId="15458"/>
    <cellStyle name="20% - Accent1 5 5 2 5 2 4 2" xfId="27259"/>
    <cellStyle name="20% - Accent1 5 5 2 5 2 4 2 2" xfId="59122"/>
    <cellStyle name="20% - Accent1 5 5 2 5 2 4 3" xfId="40874"/>
    <cellStyle name="20% - Accent1 5 5 2 5 2 5" xfId="7163"/>
    <cellStyle name="20% - Accent1 5 5 2 5 2 5 2" xfId="47425"/>
    <cellStyle name="20% - Accent1 5 5 2 5 2 6" xfId="18964"/>
    <cellStyle name="20% - Accent1 5 5 2 5 2 6 2" xfId="59123"/>
    <cellStyle name="20% - Accent1 5 5 2 5 2 7" xfId="32579"/>
    <cellStyle name="20% - Accent1 5 5 2 5 3" xfId="3163"/>
    <cellStyle name="20% - Accent1 5 5 2 5 3 2" xfId="15459"/>
    <cellStyle name="20% - Accent1 5 5 2 5 3 2 2" xfId="27260"/>
    <cellStyle name="20% - Accent1 5 5 2 5 3 2 2 2" xfId="59124"/>
    <cellStyle name="20% - Accent1 5 5 2 5 3 2 3" xfId="40875"/>
    <cellStyle name="20% - Accent1 5 5 2 5 3 3" xfId="8616"/>
    <cellStyle name="20% - Accent1 5 5 2 5 3 3 2" xfId="47426"/>
    <cellStyle name="20% - Accent1 5 5 2 5 3 4" xfId="20417"/>
    <cellStyle name="20% - Accent1 5 5 2 5 3 4 2" xfId="59125"/>
    <cellStyle name="20% - Accent1 5 5 2 5 3 5" xfId="34032"/>
    <cellStyle name="20% - Accent1 5 5 2 5 4" xfId="15460"/>
    <cellStyle name="20% - Accent1 5 5 2 5 4 2" xfId="27261"/>
    <cellStyle name="20% - Accent1 5 5 2 5 4 2 2" xfId="47427"/>
    <cellStyle name="20% - Accent1 5 5 2 5 4 3" xfId="30504"/>
    <cellStyle name="20% - Accent1 5 5 2 5 4 3 2" xfId="47428"/>
    <cellStyle name="20% - Accent1 5 5 2 5 4 4" xfId="30505"/>
    <cellStyle name="20% - Accent1 5 5 2 5 4 4 2" xfId="59126"/>
    <cellStyle name="20% - Accent1 5 5 2 5 4 5" xfId="40876"/>
    <cellStyle name="20% - Accent1 5 5 2 5 5" xfId="15461"/>
    <cellStyle name="20% - Accent1 5 5 2 5 5 2" xfId="27262"/>
    <cellStyle name="20% - Accent1 5 5 2 5 5 2 2" xfId="59127"/>
    <cellStyle name="20% - Accent1 5 5 2 5 5 3" xfId="40877"/>
    <cellStyle name="20% - Accent1 5 5 2 5 6" xfId="6389"/>
    <cellStyle name="20% - Accent1 5 5 2 5 6 2" xfId="47429"/>
    <cellStyle name="20% - Accent1 5 5 2 5 7" xfId="18190"/>
    <cellStyle name="20% - Accent1 5 5 2 5 7 2" xfId="59128"/>
    <cellStyle name="20% - Accent1 5 5 2 5 8" xfId="31805"/>
    <cellStyle name="20% - Accent1 5 5 2 6" xfId="1710"/>
    <cellStyle name="20% - Accent1 5 5 2 6 2" xfId="3868"/>
    <cellStyle name="20% - Accent1 5 5 2 6 2 2" xfId="15462"/>
    <cellStyle name="20% - Accent1 5 5 2 6 2 2 2" xfId="27263"/>
    <cellStyle name="20% - Accent1 5 5 2 6 2 2 2 2" xfId="59129"/>
    <cellStyle name="20% - Accent1 5 5 2 6 2 2 3" xfId="40878"/>
    <cellStyle name="20% - Accent1 5 5 2 6 2 3" xfId="9321"/>
    <cellStyle name="20% - Accent1 5 5 2 6 2 3 2" xfId="47430"/>
    <cellStyle name="20% - Accent1 5 5 2 6 2 4" xfId="21122"/>
    <cellStyle name="20% - Accent1 5 5 2 6 2 4 2" xfId="59130"/>
    <cellStyle name="20% - Accent1 5 5 2 6 2 5" xfId="34737"/>
    <cellStyle name="20% - Accent1 5 5 2 6 3" xfId="15463"/>
    <cellStyle name="20% - Accent1 5 5 2 6 3 2" xfId="27264"/>
    <cellStyle name="20% - Accent1 5 5 2 6 3 2 2" xfId="47431"/>
    <cellStyle name="20% - Accent1 5 5 2 6 3 3" xfId="30506"/>
    <cellStyle name="20% - Accent1 5 5 2 6 3 3 2" xfId="47432"/>
    <cellStyle name="20% - Accent1 5 5 2 6 3 4" xfId="30507"/>
    <cellStyle name="20% - Accent1 5 5 2 6 3 4 2" xfId="59131"/>
    <cellStyle name="20% - Accent1 5 5 2 6 3 5" xfId="40879"/>
    <cellStyle name="20% - Accent1 5 5 2 6 4" xfId="15464"/>
    <cellStyle name="20% - Accent1 5 5 2 6 4 2" xfId="27265"/>
    <cellStyle name="20% - Accent1 5 5 2 6 4 2 2" xfId="59132"/>
    <cellStyle name="20% - Accent1 5 5 2 6 4 3" xfId="40880"/>
    <cellStyle name="20% - Accent1 5 5 2 6 5" xfId="7164"/>
    <cellStyle name="20% - Accent1 5 5 2 6 5 2" xfId="47433"/>
    <cellStyle name="20% - Accent1 5 5 2 6 6" xfId="18965"/>
    <cellStyle name="20% - Accent1 5 5 2 6 6 2" xfId="59133"/>
    <cellStyle name="20% - Accent1 5 5 2 6 7" xfId="32580"/>
    <cellStyle name="20% - Accent1 5 5 2 7" xfId="3731"/>
    <cellStyle name="20% - Accent1 5 5 2 7 2" xfId="15465"/>
    <cellStyle name="20% - Accent1 5 5 2 7 2 2" xfId="27266"/>
    <cellStyle name="20% - Accent1 5 5 2 7 2 2 2" xfId="59134"/>
    <cellStyle name="20% - Accent1 5 5 2 7 2 3" xfId="40881"/>
    <cellStyle name="20% - Accent1 5 5 2 7 3" xfId="9184"/>
    <cellStyle name="20% - Accent1 5 5 2 7 3 2" xfId="47434"/>
    <cellStyle name="20% - Accent1 5 5 2 7 4" xfId="20985"/>
    <cellStyle name="20% - Accent1 5 5 2 7 4 2" xfId="59135"/>
    <cellStyle name="20% - Accent1 5 5 2 7 5" xfId="34600"/>
    <cellStyle name="20% - Accent1 5 5 2 8" xfId="2027"/>
    <cellStyle name="20% - Accent1 5 5 2 8 2" xfId="15466"/>
    <cellStyle name="20% - Accent1 5 5 2 8 2 2" xfId="27267"/>
    <cellStyle name="20% - Accent1 5 5 2 8 2 2 2" xfId="59136"/>
    <cellStyle name="20% - Accent1 5 5 2 8 2 3" xfId="40882"/>
    <cellStyle name="20% - Accent1 5 5 2 8 3" xfId="7480"/>
    <cellStyle name="20% - Accent1 5 5 2 8 3 2" xfId="47435"/>
    <cellStyle name="20% - Accent1 5 5 2 8 4" xfId="19281"/>
    <cellStyle name="20% - Accent1 5 5 2 8 4 2" xfId="59137"/>
    <cellStyle name="20% - Accent1 5 5 2 8 5" xfId="32896"/>
    <cellStyle name="20% - Accent1 5 5 2 9" xfId="15467"/>
    <cellStyle name="20% - Accent1 5 5 2 9 2" xfId="27268"/>
    <cellStyle name="20% - Accent1 5 5 2 9 2 2" xfId="59138"/>
    <cellStyle name="20% - Accent1 5 5 2 9 3" xfId="40883"/>
    <cellStyle name="20% - Accent1 5 5 3" xfId="231"/>
    <cellStyle name="20% - Accent1 5 5 3 10" xfId="31101"/>
    <cellStyle name="20% - Accent1 5 5 3 2" xfId="486"/>
    <cellStyle name="20% - Accent1 5 5 3 2 2" xfId="1711"/>
    <cellStyle name="20% - Accent1 5 5 3 2 2 2" xfId="4796"/>
    <cellStyle name="20% - Accent1 5 5 3 2 2 2 2" xfId="15468"/>
    <cellStyle name="20% - Accent1 5 5 3 2 2 2 2 2" xfId="27269"/>
    <cellStyle name="20% - Accent1 5 5 3 2 2 2 2 2 2" xfId="59139"/>
    <cellStyle name="20% - Accent1 5 5 3 2 2 2 2 3" xfId="40884"/>
    <cellStyle name="20% - Accent1 5 5 3 2 2 2 3" xfId="10249"/>
    <cellStyle name="20% - Accent1 5 5 3 2 2 2 3 2" xfId="47436"/>
    <cellStyle name="20% - Accent1 5 5 3 2 2 2 4" xfId="22050"/>
    <cellStyle name="20% - Accent1 5 5 3 2 2 2 4 2" xfId="59140"/>
    <cellStyle name="20% - Accent1 5 5 3 2 2 2 5" xfId="35665"/>
    <cellStyle name="20% - Accent1 5 5 3 2 2 3" xfId="2955"/>
    <cellStyle name="20% - Accent1 5 5 3 2 2 3 2" xfId="15469"/>
    <cellStyle name="20% - Accent1 5 5 3 2 2 3 2 2" xfId="27270"/>
    <cellStyle name="20% - Accent1 5 5 3 2 2 3 2 2 2" xfId="59141"/>
    <cellStyle name="20% - Accent1 5 5 3 2 2 3 2 3" xfId="40885"/>
    <cellStyle name="20% - Accent1 5 5 3 2 2 3 3" xfId="8408"/>
    <cellStyle name="20% - Accent1 5 5 3 2 2 3 3 2" xfId="47437"/>
    <cellStyle name="20% - Accent1 5 5 3 2 2 3 4" xfId="20209"/>
    <cellStyle name="20% - Accent1 5 5 3 2 2 3 4 2" xfId="59142"/>
    <cellStyle name="20% - Accent1 5 5 3 2 2 3 5" xfId="33824"/>
    <cellStyle name="20% - Accent1 5 5 3 2 2 4" xfId="15470"/>
    <cellStyle name="20% - Accent1 5 5 3 2 2 4 2" xfId="27271"/>
    <cellStyle name="20% - Accent1 5 5 3 2 2 4 2 2" xfId="59143"/>
    <cellStyle name="20% - Accent1 5 5 3 2 2 4 3" xfId="40886"/>
    <cellStyle name="20% - Accent1 5 5 3 2 2 5" xfId="7165"/>
    <cellStyle name="20% - Accent1 5 5 3 2 2 5 2" xfId="47438"/>
    <cellStyle name="20% - Accent1 5 5 3 2 2 6" xfId="18966"/>
    <cellStyle name="20% - Accent1 5 5 3 2 2 6 2" xfId="59144"/>
    <cellStyle name="20% - Accent1 5 5 3 2 2 7" xfId="32581"/>
    <cellStyle name="20% - Accent1 5 5 3 2 3" xfId="3523"/>
    <cellStyle name="20% - Accent1 5 5 3 2 3 2" xfId="5364"/>
    <cellStyle name="20% - Accent1 5 5 3 2 3 2 2" xfId="16834"/>
    <cellStyle name="20% - Accent1 5 5 3 2 3 2 2 2" xfId="28635"/>
    <cellStyle name="20% - Accent1 5 5 3 2 3 2 2 2 2" xfId="59145"/>
    <cellStyle name="20% - Accent1 5 5 3 2 3 2 2 3" xfId="42250"/>
    <cellStyle name="20% - Accent1 5 5 3 2 3 2 3" xfId="10817"/>
    <cellStyle name="20% - Accent1 5 5 3 2 3 2 3 2" xfId="59146"/>
    <cellStyle name="20% - Accent1 5 5 3 2 3 2 4" xfId="22618"/>
    <cellStyle name="20% - Accent1 5 5 3 2 3 2 4 2" xfId="59147"/>
    <cellStyle name="20% - Accent1 5 5 3 2 3 2 5" xfId="36233"/>
    <cellStyle name="20% - Accent1 5 5 3 2 3 3" xfId="15471"/>
    <cellStyle name="20% - Accent1 5 5 3 2 3 3 2" xfId="27272"/>
    <cellStyle name="20% - Accent1 5 5 3 2 3 3 2 2" xfId="59148"/>
    <cellStyle name="20% - Accent1 5 5 3 2 3 3 3" xfId="40887"/>
    <cellStyle name="20% - Accent1 5 5 3 2 3 4" xfId="8976"/>
    <cellStyle name="20% - Accent1 5 5 3 2 3 4 2" xfId="59149"/>
    <cellStyle name="20% - Accent1 5 5 3 2 3 5" xfId="20777"/>
    <cellStyle name="20% - Accent1 5 5 3 2 3 5 2" xfId="59150"/>
    <cellStyle name="20% - Accent1 5 5 3 2 3 6" xfId="34392"/>
    <cellStyle name="20% - Accent1 5 5 3 2 4" xfId="4228"/>
    <cellStyle name="20% - Accent1 5 5 3 2 4 2" xfId="15472"/>
    <cellStyle name="20% - Accent1 5 5 3 2 4 2 2" xfId="27273"/>
    <cellStyle name="20% - Accent1 5 5 3 2 4 2 2 2" xfId="59151"/>
    <cellStyle name="20% - Accent1 5 5 3 2 4 2 3" xfId="40888"/>
    <cellStyle name="20% - Accent1 5 5 3 2 4 3" xfId="9681"/>
    <cellStyle name="20% - Accent1 5 5 3 2 4 3 2" xfId="47439"/>
    <cellStyle name="20% - Accent1 5 5 3 2 4 4" xfId="21482"/>
    <cellStyle name="20% - Accent1 5 5 3 2 4 4 2" xfId="59152"/>
    <cellStyle name="20% - Accent1 5 5 3 2 4 5" xfId="35097"/>
    <cellStyle name="20% - Accent1 5 5 3 2 5" xfId="2387"/>
    <cellStyle name="20% - Accent1 5 5 3 2 5 2" xfId="17188"/>
    <cellStyle name="20% - Accent1 5 5 3 2 5 2 2" xfId="28989"/>
    <cellStyle name="20% - Accent1 5 5 3 2 5 2 2 2" xfId="59153"/>
    <cellStyle name="20% - Accent1 5 5 3 2 5 2 3" xfId="42604"/>
    <cellStyle name="20% - Accent1 5 5 3 2 5 3" xfId="7840"/>
    <cellStyle name="20% - Accent1 5 5 3 2 5 3 2" xfId="59154"/>
    <cellStyle name="20% - Accent1 5 5 3 2 5 4" xfId="19641"/>
    <cellStyle name="20% - Accent1 5 5 3 2 5 4 2" xfId="59155"/>
    <cellStyle name="20% - Accent1 5 5 3 2 5 5" xfId="33256"/>
    <cellStyle name="20% - Accent1 5 5 3 2 6" xfId="15473"/>
    <cellStyle name="20% - Accent1 5 5 3 2 6 2" xfId="27274"/>
    <cellStyle name="20% - Accent1 5 5 3 2 6 2 2" xfId="59156"/>
    <cellStyle name="20% - Accent1 5 5 3 2 6 3" xfId="40889"/>
    <cellStyle name="20% - Accent1 5 5 3 2 7" xfId="5940"/>
    <cellStyle name="20% - Accent1 5 5 3 2 7 2" xfId="59157"/>
    <cellStyle name="20% - Accent1 5 5 3 2 8" xfId="17741"/>
    <cellStyle name="20% - Accent1 5 5 3 2 8 2" xfId="59158"/>
    <cellStyle name="20% - Accent1 5 5 3 2 9" xfId="31356"/>
    <cellStyle name="20% - Accent1 5 5 3 3" xfId="799"/>
    <cellStyle name="20% - Accent1 5 5 3 3 2" xfId="1712"/>
    <cellStyle name="20% - Accent1 5 5 3 3 2 2" xfId="4541"/>
    <cellStyle name="20% - Accent1 5 5 3 3 2 2 2" xfId="15474"/>
    <cellStyle name="20% - Accent1 5 5 3 3 2 2 2 2" xfId="27275"/>
    <cellStyle name="20% - Accent1 5 5 3 3 2 2 2 2 2" xfId="59159"/>
    <cellStyle name="20% - Accent1 5 5 3 3 2 2 2 3" xfId="40890"/>
    <cellStyle name="20% - Accent1 5 5 3 3 2 2 3" xfId="9994"/>
    <cellStyle name="20% - Accent1 5 5 3 3 2 2 3 2" xfId="47440"/>
    <cellStyle name="20% - Accent1 5 5 3 3 2 2 4" xfId="21795"/>
    <cellStyle name="20% - Accent1 5 5 3 3 2 2 4 2" xfId="59160"/>
    <cellStyle name="20% - Accent1 5 5 3 3 2 2 5" xfId="35410"/>
    <cellStyle name="20% - Accent1 5 5 3 3 2 3" xfId="15475"/>
    <cellStyle name="20% - Accent1 5 5 3 3 2 3 2" xfId="27276"/>
    <cellStyle name="20% - Accent1 5 5 3 3 2 3 2 2" xfId="47441"/>
    <cellStyle name="20% - Accent1 5 5 3 3 2 3 3" xfId="30508"/>
    <cellStyle name="20% - Accent1 5 5 3 3 2 3 3 2" xfId="47442"/>
    <cellStyle name="20% - Accent1 5 5 3 3 2 3 4" xfId="30509"/>
    <cellStyle name="20% - Accent1 5 5 3 3 2 3 4 2" xfId="59161"/>
    <cellStyle name="20% - Accent1 5 5 3 3 2 3 5" xfId="40891"/>
    <cellStyle name="20% - Accent1 5 5 3 3 2 4" xfId="15476"/>
    <cellStyle name="20% - Accent1 5 5 3 3 2 4 2" xfId="27277"/>
    <cellStyle name="20% - Accent1 5 5 3 3 2 4 2 2" xfId="59162"/>
    <cellStyle name="20% - Accent1 5 5 3 3 2 4 3" xfId="40892"/>
    <cellStyle name="20% - Accent1 5 5 3 3 2 5" xfId="7166"/>
    <cellStyle name="20% - Accent1 5 5 3 3 2 5 2" xfId="47443"/>
    <cellStyle name="20% - Accent1 5 5 3 3 2 6" xfId="18967"/>
    <cellStyle name="20% - Accent1 5 5 3 3 2 6 2" xfId="59163"/>
    <cellStyle name="20% - Accent1 5 5 3 3 2 7" xfId="32582"/>
    <cellStyle name="20% - Accent1 5 5 3 3 3" xfId="2700"/>
    <cellStyle name="20% - Accent1 5 5 3 3 3 2" xfId="15477"/>
    <cellStyle name="20% - Accent1 5 5 3 3 3 2 2" xfId="27278"/>
    <cellStyle name="20% - Accent1 5 5 3 3 3 2 2 2" xfId="59164"/>
    <cellStyle name="20% - Accent1 5 5 3 3 3 2 3" xfId="40893"/>
    <cellStyle name="20% - Accent1 5 5 3 3 3 3" xfId="8153"/>
    <cellStyle name="20% - Accent1 5 5 3 3 3 3 2" xfId="47444"/>
    <cellStyle name="20% - Accent1 5 5 3 3 3 4" xfId="19954"/>
    <cellStyle name="20% - Accent1 5 5 3 3 3 4 2" xfId="59165"/>
    <cellStyle name="20% - Accent1 5 5 3 3 3 5" xfId="33569"/>
    <cellStyle name="20% - Accent1 5 5 3 3 4" xfId="15478"/>
    <cellStyle name="20% - Accent1 5 5 3 3 4 2" xfId="27279"/>
    <cellStyle name="20% - Accent1 5 5 3 3 4 2 2" xfId="47445"/>
    <cellStyle name="20% - Accent1 5 5 3 3 4 3" xfId="30510"/>
    <cellStyle name="20% - Accent1 5 5 3 3 4 3 2" xfId="47446"/>
    <cellStyle name="20% - Accent1 5 5 3 3 4 4" xfId="30511"/>
    <cellStyle name="20% - Accent1 5 5 3 3 4 4 2" xfId="59166"/>
    <cellStyle name="20% - Accent1 5 5 3 3 4 5" xfId="40894"/>
    <cellStyle name="20% - Accent1 5 5 3 3 5" xfId="15479"/>
    <cellStyle name="20% - Accent1 5 5 3 3 5 2" xfId="27280"/>
    <cellStyle name="20% - Accent1 5 5 3 3 5 2 2" xfId="59167"/>
    <cellStyle name="20% - Accent1 5 5 3 3 5 3" xfId="40895"/>
    <cellStyle name="20% - Accent1 5 5 3 3 6" xfId="6253"/>
    <cellStyle name="20% - Accent1 5 5 3 3 6 2" xfId="47447"/>
    <cellStyle name="20% - Accent1 5 5 3 3 7" xfId="18054"/>
    <cellStyle name="20% - Accent1 5 5 3 3 7 2" xfId="59168"/>
    <cellStyle name="20% - Accent1 5 5 3 3 8" xfId="31669"/>
    <cellStyle name="20% - Accent1 5 5 3 4" xfId="1713"/>
    <cellStyle name="20% - Accent1 5 5 3 4 2" xfId="5109"/>
    <cellStyle name="20% - Accent1 5 5 3 4 2 2" xfId="15480"/>
    <cellStyle name="20% - Accent1 5 5 3 4 2 2 2" xfId="27281"/>
    <cellStyle name="20% - Accent1 5 5 3 4 2 2 2 2" xfId="59169"/>
    <cellStyle name="20% - Accent1 5 5 3 4 2 2 3" xfId="40896"/>
    <cellStyle name="20% - Accent1 5 5 3 4 2 3" xfId="10562"/>
    <cellStyle name="20% - Accent1 5 5 3 4 2 3 2" xfId="47448"/>
    <cellStyle name="20% - Accent1 5 5 3 4 2 4" xfId="22363"/>
    <cellStyle name="20% - Accent1 5 5 3 4 2 4 2" xfId="59170"/>
    <cellStyle name="20% - Accent1 5 5 3 4 2 5" xfId="35978"/>
    <cellStyle name="20% - Accent1 5 5 3 4 3" xfId="3268"/>
    <cellStyle name="20% - Accent1 5 5 3 4 3 2" xfId="15481"/>
    <cellStyle name="20% - Accent1 5 5 3 4 3 2 2" xfId="27282"/>
    <cellStyle name="20% - Accent1 5 5 3 4 3 2 2 2" xfId="59171"/>
    <cellStyle name="20% - Accent1 5 5 3 4 3 2 3" xfId="40897"/>
    <cellStyle name="20% - Accent1 5 5 3 4 3 3" xfId="8721"/>
    <cellStyle name="20% - Accent1 5 5 3 4 3 3 2" xfId="47449"/>
    <cellStyle name="20% - Accent1 5 5 3 4 3 4" xfId="20522"/>
    <cellStyle name="20% - Accent1 5 5 3 4 3 4 2" xfId="59172"/>
    <cellStyle name="20% - Accent1 5 5 3 4 3 5" xfId="34137"/>
    <cellStyle name="20% - Accent1 5 5 3 4 4" xfId="15482"/>
    <cellStyle name="20% - Accent1 5 5 3 4 4 2" xfId="27283"/>
    <cellStyle name="20% - Accent1 5 5 3 4 4 2 2" xfId="59173"/>
    <cellStyle name="20% - Accent1 5 5 3 4 4 3" xfId="40898"/>
    <cellStyle name="20% - Accent1 5 5 3 4 5" xfId="7167"/>
    <cellStyle name="20% - Accent1 5 5 3 4 5 2" xfId="47450"/>
    <cellStyle name="20% - Accent1 5 5 3 4 6" xfId="18968"/>
    <cellStyle name="20% - Accent1 5 5 3 4 6 2" xfId="59174"/>
    <cellStyle name="20% - Accent1 5 5 3 4 7" xfId="32583"/>
    <cellStyle name="20% - Accent1 5 5 3 5" xfId="3973"/>
    <cellStyle name="20% - Accent1 5 5 3 5 2" xfId="15483"/>
    <cellStyle name="20% - Accent1 5 5 3 5 2 2" xfId="27284"/>
    <cellStyle name="20% - Accent1 5 5 3 5 2 2 2" xfId="59175"/>
    <cellStyle name="20% - Accent1 5 5 3 5 2 3" xfId="40899"/>
    <cellStyle name="20% - Accent1 5 5 3 5 3" xfId="9426"/>
    <cellStyle name="20% - Accent1 5 5 3 5 3 2" xfId="47451"/>
    <cellStyle name="20% - Accent1 5 5 3 5 4" xfId="21227"/>
    <cellStyle name="20% - Accent1 5 5 3 5 4 2" xfId="59176"/>
    <cellStyle name="20% - Accent1 5 5 3 5 5" xfId="34842"/>
    <cellStyle name="20% - Accent1 5 5 3 6" xfId="2132"/>
    <cellStyle name="20% - Accent1 5 5 3 6 2" xfId="15484"/>
    <cellStyle name="20% - Accent1 5 5 3 6 2 2" xfId="27285"/>
    <cellStyle name="20% - Accent1 5 5 3 6 2 2 2" xfId="59177"/>
    <cellStyle name="20% - Accent1 5 5 3 6 2 3" xfId="40900"/>
    <cellStyle name="20% - Accent1 5 5 3 6 3" xfId="7585"/>
    <cellStyle name="20% - Accent1 5 5 3 6 3 2" xfId="47452"/>
    <cellStyle name="20% - Accent1 5 5 3 6 4" xfId="19386"/>
    <cellStyle name="20% - Accent1 5 5 3 6 4 2" xfId="59178"/>
    <cellStyle name="20% - Accent1 5 5 3 6 5" xfId="33001"/>
    <cellStyle name="20% - Accent1 5 5 3 7" xfId="15485"/>
    <cellStyle name="20% - Accent1 5 5 3 7 2" xfId="27286"/>
    <cellStyle name="20% - Accent1 5 5 3 7 2 2" xfId="59179"/>
    <cellStyle name="20% - Accent1 5 5 3 7 3" xfId="40901"/>
    <cellStyle name="20% - Accent1 5 5 3 8" xfId="5685"/>
    <cellStyle name="20% - Accent1 5 5 3 8 2" xfId="47453"/>
    <cellStyle name="20% - Accent1 5 5 3 9" xfId="17486"/>
    <cellStyle name="20% - Accent1 5 5 3 9 2" xfId="59180"/>
    <cellStyle name="20% - Accent1 5 5 4" xfId="349"/>
    <cellStyle name="20% - Accent1 5 5 4 2" xfId="1714"/>
    <cellStyle name="20% - Accent1 5 5 4 2 2" xfId="4659"/>
    <cellStyle name="20% - Accent1 5 5 4 2 2 2" xfId="15486"/>
    <cellStyle name="20% - Accent1 5 5 4 2 2 2 2" xfId="27287"/>
    <cellStyle name="20% - Accent1 5 5 4 2 2 2 2 2" xfId="59181"/>
    <cellStyle name="20% - Accent1 5 5 4 2 2 2 3" xfId="40902"/>
    <cellStyle name="20% - Accent1 5 5 4 2 2 3" xfId="10112"/>
    <cellStyle name="20% - Accent1 5 5 4 2 2 3 2" xfId="47454"/>
    <cellStyle name="20% - Accent1 5 5 4 2 2 4" xfId="21913"/>
    <cellStyle name="20% - Accent1 5 5 4 2 2 4 2" xfId="59182"/>
    <cellStyle name="20% - Accent1 5 5 4 2 2 5" xfId="35528"/>
    <cellStyle name="20% - Accent1 5 5 4 2 3" xfId="2818"/>
    <cellStyle name="20% - Accent1 5 5 4 2 3 2" xfId="15487"/>
    <cellStyle name="20% - Accent1 5 5 4 2 3 2 2" xfId="27288"/>
    <cellStyle name="20% - Accent1 5 5 4 2 3 2 2 2" xfId="59183"/>
    <cellStyle name="20% - Accent1 5 5 4 2 3 2 3" xfId="40903"/>
    <cellStyle name="20% - Accent1 5 5 4 2 3 3" xfId="8271"/>
    <cellStyle name="20% - Accent1 5 5 4 2 3 3 2" xfId="47455"/>
    <cellStyle name="20% - Accent1 5 5 4 2 3 4" xfId="20072"/>
    <cellStyle name="20% - Accent1 5 5 4 2 3 4 2" xfId="59184"/>
    <cellStyle name="20% - Accent1 5 5 4 2 3 5" xfId="33687"/>
    <cellStyle name="20% - Accent1 5 5 4 2 4" xfId="15488"/>
    <cellStyle name="20% - Accent1 5 5 4 2 4 2" xfId="27289"/>
    <cellStyle name="20% - Accent1 5 5 4 2 4 2 2" xfId="59185"/>
    <cellStyle name="20% - Accent1 5 5 4 2 4 3" xfId="40904"/>
    <cellStyle name="20% - Accent1 5 5 4 2 5" xfId="7168"/>
    <cellStyle name="20% - Accent1 5 5 4 2 5 2" xfId="47456"/>
    <cellStyle name="20% - Accent1 5 5 4 2 6" xfId="18969"/>
    <cellStyle name="20% - Accent1 5 5 4 2 6 2" xfId="59186"/>
    <cellStyle name="20% - Accent1 5 5 4 2 7" xfId="32584"/>
    <cellStyle name="20% - Accent1 5 5 4 3" xfId="3386"/>
    <cellStyle name="20% - Accent1 5 5 4 3 2" xfId="5227"/>
    <cellStyle name="20% - Accent1 5 5 4 3 2 2" xfId="16697"/>
    <cellStyle name="20% - Accent1 5 5 4 3 2 2 2" xfId="28498"/>
    <cellStyle name="20% - Accent1 5 5 4 3 2 2 2 2" xfId="59187"/>
    <cellStyle name="20% - Accent1 5 5 4 3 2 2 3" xfId="42113"/>
    <cellStyle name="20% - Accent1 5 5 4 3 2 3" xfId="10680"/>
    <cellStyle name="20% - Accent1 5 5 4 3 2 3 2" xfId="59188"/>
    <cellStyle name="20% - Accent1 5 5 4 3 2 4" xfId="22481"/>
    <cellStyle name="20% - Accent1 5 5 4 3 2 4 2" xfId="59189"/>
    <cellStyle name="20% - Accent1 5 5 4 3 2 5" xfId="36096"/>
    <cellStyle name="20% - Accent1 5 5 4 3 3" xfId="15489"/>
    <cellStyle name="20% - Accent1 5 5 4 3 3 2" xfId="27290"/>
    <cellStyle name="20% - Accent1 5 5 4 3 3 2 2" xfId="59190"/>
    <cellStyle name="20% - Accent1 5 5 4 3 3 3" xfId="40905"/>
    <cellStyle name="20% - Accent1 5 5 4 3 4" xfId="8839"/>
    <cellStyle name="20% - Accent1 5 5 4 3 4 2" xfId="59191"/>
    <cellStyle name="20% - Accent1 5 5 4 3 5" xfId="20640"/>
    <cellStyle name="20% - Accent1 5 5 4 3 5 2" xfId="59192"/>
    <cellStyle name="20% - Accent1 5 5 4 3 6" xfId="34255"/>
    <cellStyle name="20% - Accent1 5 5 4 4" xfId="4091"/>
    <cellStyle name="20% - Accent1 5 5 4 4 2" xfId="15490"/>
    <cellStyle name="20% - Accent1 5 5 4 4 2 2" xfId="27291"/>
    <cellStyle name="20% - Accent1 5 5 4 4 2 2 2" xfId="59193"/>
    <cellStyle name="20% - Accent1 5 5 4 4 2 3" xfId="40906"/>
    <cellStyle name="20% - Accent1 5 5 4 4 3" xfId="9544"/>
    <cellStyle name="20% - Accent1 5 5 4 4 3 2" xfId="47457"/>
    <cellStyle name="20% - Accent1 5 5 4 4 4" xfId="21345"/>
    <cellStyle name="20% - Accent1 5 5 4 4 4 2" xfId="59194"/>
    <cellStyle name="20% - Accent1 5 5 4 4 5" xfId="34960"/>
    <cellStyle name="20% - Accent1 5 5 4 5" xfId="2250"/>
    <cellStyle name="20% - Accent1 5 5 4 5 2" xfId="17189"/>
    <cellStyle name="20% - Accent1 5 5 4 5 2 2" xfId="28990"/>
    <cellStyle name="20% - Accent1 5 5 4 5 2 2 2" xfId="59195"/>
    <cellStyle name="20% - Accent1 5 5 4 5 2 3" xfId="42605"/>
    <cellStyle name="20% - Accent1 5 5 4 5 3" xfId="7703"/>
    <cellStyle name="20% - Accent1 5 5 4 5 3 2" xfId="59196"/>
    <cellStyle name="20% - Accent1 5 5 4 5 4" xfId="19504"/>
    <cellStyle name="20% - Accent1 5 5 4 5 4 2" xfId="59197"/>
    <cellStyle name="20% - Accent1 5 5 4 5 5" xfId="33119"/>
    <cellStyle name="20% - Accent1 5 5 4 6" xfId="15491"/>
    <cellStyle name="20% - Accent1 5 5 4 6 2" xfId="27292"/>
    <cellStyle name="20% - Accent1 5 5 4 6 2 2" xfId="59198"/>
    <cellStyle name="20% - Accent1 5 5 4 6 3" xfId="40907"/>
    <cellStyle name="20% - Accent1 5 5 4 7" xfId="5803"/>
    <cellStyle name="20% - Accent1 5 5 4 7 2" xfId="59199"/>
    <cellStyle name="20% - Accent1 5 5 4 8" xfId="17604"/>
    <cellStyle name="20% - Accent1 5 5 4 8 2" xfId="59200"/>
    <cellStyle name="20% - Accent1 5 5 4 9" xfId="31219"/>
    <cellStyle name="20% - Accent1 5 5 5" xfId="627"/>
    <cellStyle name="20% - Accent1 5 5 5 2" xfId="1715"/>
    <cellStyle name="20% - Accent1 5 5 5 2 2" xfId="4369"/>
    <cellStyle name="20% - Accent1 5 5 5 2 2 2" xfId="15492"/>
    <cellStyle name="20% - Accent1 5 5 5 2 2 2 2" xfId="27293"/>
    <cellStyle name="20% - Accent1 5 5 5 2 2 2 2 2" xfId="59201"/>
    <cellStyle name="20% - Accent1 5 5 5 2 2 2 3" xfId="40908"/>
    <cellStyle name="20% - Accent1 5 5 5 2 2 3" xfId="9822"/>
    <cellStyle name="20% - Accent1 5 5 5 2 2 3 2" xfId="47458"/>
    <cellStyle name="20% - Accent1 5 5 5 2 2 4" xfId="21623"/>
    <cellStyle name="20% - Accent1 5 5 5 2 2 4 2" xfId="59202"/>
    <cellStyle name="20% - Accent1 5 5 5 2 2 5" xfId="35238"/>
    <cellStyle name="20% - Accent1 5 5 5 2 3" xfId="15493"/>
    <cellStyle name="20% - Accent1 5 5 5 2 3 2" xfId="27294"/>
    <cellStyle name="20% - Accent1 5 5 5 2 3 2 2" xfId="47459"/>
    <cellStyle name="20% - Accent1 5 5 5 2 3 3" xfId="30512"/>
    <cellStyle name="20% - Accent1 5 5 5 2 3 3 2" xfId="47460"/>
    <cellStyle name="20% - Accent1 5 5 5 2 3 4" xfId="30513"/>
    <cellStyle name="20% - Accent1 5 5 5 2 3 4 2" xfId="59203"/>
    <cellStyle name="20% - Accent1 5 5 5 2 3 5" xfId="40909"/>
    <cellStyle name="20% - Accent1 5 5 5 2 4" xfId="15494"/>
    <cellStyle name="20% - Accent1 5 5 5 2 4 2" xfId="27295"/>
    <cellStyle name="20% - Accent1 5 5 5 2 4 2 2" xfId="59204"/>
    <cellStyle name="20% - Accent1 5 5 5 2 4 3" xfId="40910"/>
    <cellStyle name="20% - Accent1 5 5 5 2 5" xfId="7169"/>
    <cellStyle name="20% - Accent1 5 5 5 2 5 2" xfId="47461"/>
    <cellStyle name="20% - Accent1 5 5 5 2 6" xfId="18970"/>
    <cellStyle name="20% - Accent1 5 5 5 2 6 2" xfId="59205"/>
    <cellStyle name="20% - Accent1 5 5 5 2 7" xfId="32585"/>
    <cellStyle name="20% - Accent1 5 5 5 3" xfId="2528"/>
    <cellStyle name="20% - Accent1 5 5 5 3 2" xfId="15495"/>
    <cellStyle name="20% - Accent1 5 5 5 3 2 2" xfId="27296"/>
    <cellStyle name="20% - Accent1 5 5 5 3 2 2 2" xfId="59206"/>
    <cellStyle name="20% - Accent1 5 5 5 3 2 3" xfId="40911"/>
    <cellStyle name="20% - Accent1 5 5 5 3 3" xfId="7981"/>
    <cellStyle name="20% - Accent1 5 5 5 3 3 2" xfId="47462"/>
    <cellStyle name="20% - Accent1 5 5 5 3 4" xfId="19782"/>
    <cellStyle name="20% - Accent1 5 5 5 3 4 2" xfId="59207"/>
    <cellStyle name="20% - Accent1 5 5 5 3 5" xfId="33397"/>
    <cellStyle name="20% - Accent1 5 5 5 4" xfId="15496"/>
    <cellStyle name="20% - Accent1 5 5 5 4 2" xfId="27297"/>
    <cellStyle name="20% - Accent1 5 5 5 4 2 2" xfId="47463"/>
    <cellStyle name="20% - Accent1 5 5 5 4 3" xfId="30514"/>
    <cellStyle name="20% - Accent1 5 5 5 4 3 2" xfId="47464"/>
    <cellStyle name="20% - Accent1 5 5 5 4 4" xfId="30515"/>
    <cellStyle name="20% - Accent1 5 5 5 4 4 2" xfId="59208"/>
    <cellStyle name="20% - Accent1 5 5 5 4 5" xfId="40912"/>
    <cellStyle name="20% - Accent1 5 5 5 5" xfId="15497"/>
    <cellStyle name="20% - Accent1 5 5 5 5 2" xfId="27298"/>
    <cellStyle name="20% - Accent1 5 5 5 5 2 2" xfId="59209"/>
    <cellStyle name="20% - Accent1 5 5 5 5 3" xfId="40913"/>
    <cellStyle name="20% - Accent1 5 5 5 6" xfId="6081"/>
    <cellStyle name="20% - Accent1 5 5 5 6 2" xfId="47465"/>
    <cellStyle name="20% - Accent1 5 5 5 7" xfId="17882"/>
    <cellStyle name="20% - Accent1 5 5 5 7 2" xfId="59210"/>
    <cellStyle name="20% - Accent1 5 5 5 8" xfId="31497"/>
    <cellStyle name="20% - Accent1 5 5 6" xfId="868"/>
    <cellStyle name="20% - Accent1 5 5 6 2" xfId="1716"/>
    <cellStyle name="20% - Accent1 5 5 6 2 2" xfId="4937"/>
    <cellStyle name="20% - Accent1 5 5 6 2 2 2" xfId="15498"/>
    <cellStyle name="20% - Accent1 5 5 6 2 2 2 2" xfId="27299"/>
    <cellStyle name="20% - Accent1 5 5 6 2 2 2 2 2" xfId="59211"/>
    <cellStyle name="20% - Accent1 5 5 6 2 2 2 3" xfId="40914"/>
    <cellStyle name="20% - Accent1 5 5 6 2 2 3" xfId="10390"/>
    <cellStyle name="20% - Accent1 5 5 6 2 2 3 2" xfId="47466"/>
    <cellStyle name="20% - Accent1 5 5 6 2 2 4" xfId="22191"/>
    <cellStyle name="20% - Accent1 5 5 6 2 2 4 2" xfId="59212"/>
    <cellStyle name="20% - Accent1 5 5 6 2 2 5" xfId="35806"/>
    <cellStyle name="20% - Accent1 5 5 6 2 3" xfId="15499"/>
    <cellStyle name="20% - Accent1 5 5 6 2 3 2" xfId="27300"/>
    <cellStyle name="20% - Accent1 5 5 6 2 3 2 2" xfId="47467"/>
    <cellStyle name="20% - Accent1 5 5 6 2 3 3" xfId="30516"/>
    <cellStyle name="20% - Accent1 5 5 6 2 3 3 2" xfId="47468"/>
    <cellStyle name="20% - Accent1 5 5 6 2 3 4" xfId="30517"/>
    <cellStyle name="20% - Accent1 5 5 6 2 3 4 2" xfId="59213"/>
    <cellStyle name="20% - Accent1 5 5 6 2 3 5" xfId="40915"/>
    <cellStyle name="20% - Accent1 5 5 6 2 4" xfId="15500"/>
    <cellStyle name="20% - Accent1 5 5 6 2 4 2" xfId="27301"/>
    <cellStyle name="20% - Accent1 5 5 6 2 4 2 2" xfId="59214"/>
    <cellStyle name="20% - Accent1 5 5 6 2 4 3" xfId="40916"/>
    <cellStyle name="20% - Accent1 5 5 6 2 5" xfId="7170"/>
    <cellStyle name="20% - Accent1 5 5 6 2 5 2" xfId="47469"/>
    <cellStyle name="20% - Accent1 5 5 6 2 6" xfId="18971"/>
    <cellStyle name="20% - Accent1 5 5 6 2 6 2" xfId="59215"/>
    <cellStyle name="20% - Accent1 5 5 6 2 7" xfId="32586"/>
    <cellStyle name="20% - Accent1 5 5 6 3" xfId="3096"/>
    <cellStyle name="20% - Accent1 5 5 6 3 2" xfId="15501"/>
    <cellStyle name="20% - Accent1 5 5 6 3 2 2" xfId="27302"/>
    <cellStyle name="20% - Accent1 5 5 6 3 2 2 2" xfId="59216"/>
    <cellStyle name="20% - Accent1 5 5 6 3 2 3" xfId="40917"/>
    <cellStyle name="20% - Accent1 5 5 6 3 3" xfId="8549"/>
    <cellStyle name="20% - Accent1 5 5 6 3 3 2" xfId="47470"/>
    <cellStyle name="20% - Accent1 5 5 6 3 4" xfId="20350"/>
    <cellStyle name="20% - Accent1 5 5 6 3 4 2" xfId="59217"/>
    <cellStyle name="20% - Accent1 5 5 6 3 5" xfId="33965"/>
    <cellStyle name="20% - Accent1 5 5 6 4" xfId="15502"/>
    <cellStyle name="20% - Accent1 5 5 6 4 2" xfId="27303"/>
    <cellStyle name="20% - Accent1 5 5 6 4 2 2" xfId="47471"/>
    <cellStyle name="20% - Accent1 5 5 6 4 3" xfId="30518"/>
    <cellStyle name="20% - Accent1 5 5 6 4 3 2" xfId="47472"/>
    <cellStyle name="20% - Accent1 5 5 6 4 4" xfId="30519"/>
    <cellStyle name="20% - Accent1 5 5 6 4 4 2" xfId="59218"/>
    <cellStyle name="20% - Accent1 5 5 6 4 5" xfId="40918"/>
    <cellStyle name="20% - Accent1 5 5 6 5" xfId="15503"/>
    <cellStyle name="20% - Accent1 5 5 6 5 2" xfId="27304"/>
    <cellStyle name="20% - Accent1 5 5 6 5 2 2" xfId="59219"/>
    <cellStyle name="20% - Accent1 5 5 6 5 3" xfId="40919"/>
    <cellStyle name="20% - Accent1 5 5 6 6" xfId="6322"/>
    <cellStyle name="20% - Accent1 5 5 6 6 2" xfId="47473"/>
    <cellStyle name="20% - Accent1 5 5 6 7" xfId="18123"/>
    <cellStyle name="20% - Accent1 5 5 6 7 2" xfId="59220"/>
    <cellStyle name="20% - Accent1 5 5 6 8" xfId="31738"/>
    <cellStyle name="20% - Accent1 5 5 7" xfId="1717"/>
    <cellStyle name="20% - Accent1 5 5 7 2" xfId="3801"/>
    <cellStyle name="20% - Accent1 5 5 7 2 2" xfId="15504"/>
    <cellStyle name="20% - Accent1 5 5 7 2 2 2" xfId="27305"/>
    <cellStyle name="20% - Accent1 5 5 7 2 2 2 2" xfId="59221"/>
    <cellStyle name="20% - Accent1 5 5 7 2 2 3" xfId="40920"/>
    <cellStyle name="20% - Accent1 5 5 7 2 3" xfId="9254"/>
    <cellStyle name="20% - Accent1 5 5 7 2 3 2" xfId="47474"/>
    <cellStyle name="20% - Accent1 5 5 7 2 4" xfId="21055"/>
    <cellStyle name="20% - Accent1 5 5 7 2 4 2" xfId="59222"/>
    <cellStyle name="20% - Accent1 5 5 7 2 5" xfId="34670"/>
    <cellStyle name="20% - Accent1 5 5 7 3" xfId="15505"/>
    <cellStyle name="20% - Accent1 5 5 7 3 2" xfId="27306"/>
    <cellStyle name="20% - Accent1 5 5 7 3 2 2" xfId="47475"/>
    <cellStyle name="20% - Accent1 5 5 7 3 3" xfId="30520"/>
    <cellStyle name="20% - Accent1 5 5 7 3 3 2" xfId="47476"/>
    <cellStyle name="20% - Accent1 5 5 7 3 4" xfId="30521"/>
    <cellStyle name="20% - Accent1 5 5 7 3 4 2" xfId="59223"/>
    <cellStyle name="20% - Accent1 5 5 7 3 5" xfId="40921"/>
    <cellStyle name="20% - Accent1 5 5 7 4" xfId="15506"/>
    <cellStyle name="20% - Accent1 5 5 7 4 2" xfId="27307"/>
    <cellStyle name="20% - Accent1 5 5 7 4 2 2" xfId="59224"/>
    <cellStyle name="20% - Accent1 5 5 7 4 3" xfId="40922"/>
    <cellStyle name="20% - Accent1 5 5 7 5" xfId="7171"/>
    <cellStyle name="20% - Accent1 5 5 7 5 2" xfId="47477"/>
    <cellStyle name="20% - Accent1 5 5 7 6" xfId="18972"/>
    <cellStyle name="20% - Accent1 5 5 7 6 2" xfId="59225"/>
    <cellStyle name="20% - Accent1 5 5 7 7" xfId="32587"/>
    <cellStyle name="20% - Accent1 5 5 8" xfId="3664"/>
    <cellStyle name="20% - Accent1 5 5 8 2" xfId="15507"/>
    <cellStyle name="20% - Accent1 5 5 8 2 2" xfId="27308"/>
    <cellStyle name="20% - Accent1 5 5 8 2 2 2" xfId="59226"/>
    <cellStyle name="20% - Accent1 5 5 8 2 3" xfId="40923"/>
    <cellStyle name="20% - Accent1 5 5 8 3" xfId="9117"/>
    <cellStyle name="20% - Accent1 5 5 8 3 2" xfId="47478"/>
    <cellStyle name="20% - Accent1 5 5 8 4" xfId="20918"/>
    <cellStyle name="20% - Accent1 5 5 8 4 2" xfId="59227"/>
    <cellStyle name="20% - Accent1 5 5 8 5" xfId="34533"/>
    <cellStyle name="20% - Accent1 5 5 9" xfId="1960"/>
    <cellStyle name="20% - Accent1 5 5 9 2" xfId="15508"/>
    <cellStyle name="20% - Accent1 5 5 9 2 2" xfId="27309"/>
    <cellStyle name="20% - Accent1 5 5 9 2 2 2" xfId="59228"/>
    <cellStyle name="20% - Accent1 5 5 9 2 3" xfId="40924"/>
    <cellStyle name="20% - Accent1 5 5 9 3" xfId="7413"/>
    <cellStyle name="20% - Accent1 5 5 9 3 2" xfId="47479"/>
    <cellStyle name="20% - Accent1 5 5 9 4" xfId="19214"/>
    <cellStyle name="20% - Accent1 5 5 9 4 2" xfId="59229"/>
    <cellStyle name="20% - Accent1 5 5 9 5" xfId="32829"/>
    <cellStyle name="20% - Accent1 5 6" xfId="74"/>
    <cellStyle name="20% - Accent1 5 6 10" xfId="5528"/>
    <cellStyle name="20% - Accent1 5 6 10 2" xfId="47480"/>
    <cellStyle name="20% - Accent1 5 6 11" xfId="17329"/>
    <cellStyle name="20% - Accent1 5 6 11 2" xfId="59230"/>
    <cellStyle name="20% - Accent1 5 6 12" xfId="30944"/>
    <cellStyle name="20% - Accent1 5 6 2" xfId="501"/>
    <cellStyle name="20% - Accent1 5 6 2 2" xfId="1718"/>
    <cellStyle name="20% - Accent1 5 6 2 2 2" xfId="4811"/>
    <cellStyle name="20% - Accent1 5 6 2 2 2 2" xfId="15509"/>
    <cellStyle name="20% - Accent1 5 6 2 2 2 2 2" xfId="27310"/>
    <cellStyle name="20% - Accent1 5 6 2 2 2 2 2 2" xfId="59231"/>
    <cellStyle name="20% - Accent1 5 6 2 2 2 2 3" xfId="40925"/>
    <cellStyle name="20% - Accent1 5 6 2 2 2 3" xfId="10264"/>
    <cellStyle name="20% - Accent1 5 6 2 2 2 3 2" xfId="47481"/>
    <cellStyle name="20% - Accent1 5 6 2 2 2 4" xfId="22065"/>
    <cellStyle name="20% - Accent1 5 6 2 2 2 4 2" xfId="59232"/>
    <cellStyle name="20% - Accent1 5 6 2 2 2 5" xfId="35680"/>
    <cellStyle name="20% - Accent1 5 6 2 2 3" xfId="2970"/>
    <cellStyle name="20% - Accent1 5 6 2 2 3 2" xfId="15510"/>
    <cellStyle name="20% - Accent1 5 6 2 2 3 2 2" xfId="27311"/>
    <cellStyle name="20% - Accent1 5 6 2 2 3 2 2 2" xfId="59233"/>
    <cellStyle name="20% - Accent1 5 6 2 2 3 2 3" xfId="40926"/>
    <cellStyle name="20% - Accent1 5 6 2 2 3 3" xfId="8423"/>
    <cellStyle name="20% - Accent1 5 6 2 2 3 3 2" xfId="47482"/>
    <cellStyle name="20% - Accent1 5 6 2 2 3 4" xfId="20224"/>
    <cellStyle name="20% - Accent1 5 6 2 2 3 4 2" xfId="59234"/>
    <cellStyle name="20% - Accent1 5 6 2 2 3 5" xfId="33839"/>
    <cellStyle name="20% - Accent1 5 6 2 2 4" xfId="15511"/>
    <cellStyle name="20% - Accent1 5 6 2 2 4 2" xfId="27312"/>
    <cellStyle name="20% - Accent1 5 6 2 2 4 2 2" xfId="59235"/>
    <cellStyle name="20% - Accent1 5 6 2 2 4 3" xfId="40927"/>
    <cellStyle name="20% - Accent1 5 6 2 2 5" xfId="7172"/>
    <cellStyle name="20% - Accent1 5 6 2 2 5 2" xfId="47483"/>
    <cellStyle name="20% - Accent1 5 6 2 2 6" xfId="18973"/>
    <cellStyle name="20% - Accent1 5 6 2 2 6 2" xfId="59236"/>
    <cellStyle name="20% - Accent1 5 6 2 2 7" xfId="32588"/>
    <cellStyle name="20% - Accent1 5 6 2 3" xfId="3538"/>
    <cellStyle name="20% - Accent1 5 6 2 3 2" xfId="5379"/>
    <cellStyle name="20% - Accent1 5 6 2 3 2 2" xfId="16849"/>
    <cellStyle name="20% - Accent1 5 6 2 3 2 2 2" xfId="28650"/>
    <cellStyle name="20% - Accent1 5 6 2 3 2 2 2 2" xfId="59237"/>
    <cellStyle name="20% - Accent1 5 6 2 3 2 2 3" xfId="42265"/>
    <cellStyle name="20% - Accent1 5 6 2 3 2 3" xfId="10832"/>
    <cellStyle name="20% - Accent1 5 6 2 3 2 3 2" xfId="59238"/>
    <cellStyle name="20% - Accent1 5 6 2 3 2 4" xfId="22633"/>
    <cellStyle name="20% - Accent1 5 6 2 3 2 4 2" xfId="59239"/>
    <cellStyle name="20% - Accent1 5 6 2 3 2 5" xfId="36248"/>
    <cellStyle name="20% - Accent1 5 6 2 3 3" xfId="15512"/>
    <cellStyle name="20% - Accent1 5 6 2 3 3 2" xfId="27313"/>
    <cellStyle name="20% - Accent1 5 6 2 3 3 2 2" xfId="59240"/>
    <cellStyle name="20% - Accent1 5 6 2 3 3 3" xfId="40928"/>
    <cellStyle name="20% - Accent1 5 6 2 3 4" xfId="8991"/>
    <cellStyle name="20% - Accent1 5 6 2 3 4 2" xfId="59241"/>
    <cellStyle name="20% - Accent1 5 6 2 3 5" xfId="20792"/>
    <cellStyle name="20% - Accent1 5 6 2 3 5 2" xfId="59242"/>
    <cellStyle name="20% - Accent1 5 6 2 3 6" xfId="34407"/>
    <cellStyle name="20% - Accent1 5 6 2 4" xfId="4243"/>
    <cellStyle name="20% - Accent1 5 6 2 4 2" xfId="15513"/>
    <cellStyle name="20% - Accent1 5 6 2 4 2 2" xfId="27314"/>
    <cellStyle name="20% - Accent1 5 6 2 4 2 2 2" xfId="59243"/>
    <cellStyle name="20% - Accent1 5 6 2 4 2 3" xfId="40929"/>
    <cellStyle name="20% - Accent1 5 6 2 4 3" xfId="9696"/>
    <cellStyle name="20% - Accent1 5 6 2 4 3 2" xfId="47484"/>
    <cellStyle name="20% - Accent1 5 6 2 4 4" xfId="21497"/>
    <cellStyle name="20% - Accent1 5 6 2 4 4 2" xfId="59244"/>
    <cellStyle name="20% - Accent1 5 6 2 4 5" xfId="35112"/>
    <cellStyle name="20% - Accent1 5 6 2 5" xfId="2402"/>
    <cellStyle name="20% - Accent1 5 6 2 5 2" xfId="17190"/>
    <cellStyle name="20% - Accent1 5 6 2 5 2 2" xfId="28991"/>
    <cellStyle name="20% - Accent1 5 6 2 5 2 2 2" xfId="59245"/>
    <cellStyle name="20% - Accent1 5 6 2 5 2 3" xfId="42606"/>
    <cellStyle name="20% - Accent1 5 6 2 5 3" xfId="7855"/>
    <cellStyle name="20% - Accent1 5 6 2 5 3 2" xfId="59246"/>
    <cellStyle name="20% - Accent1 5 6 2 5 4" xfId="19656"/>
    <cellStyle name="20% - Accent1 5 6 2 5 4 2" xfId="59247"/>
    <cellStyle name="20% - Accent1 5 6 2 5 5" xfId="33271"/>
    <cellStyle name="20% - Accent1 5 6 2 6" xfId="15514"/>
    <cellStyle name="20% - Accent1 5 6 2 6 2" xfId="27315"/>
    <cellStyle name="20% - Accent1 5 6 2 6 2 2" xfId="59248"/>
    <cellStyle name="20% - Accent1 5 6 2 6 3" xfId="40930"/>
    <cellStyle name="20% - Accent1 5 6 2 7" xfId="5955"/>
    <cellStyle name="20% - Accent1 5 6 2 7 2" xfId="59249"/>
    <cellStyle name="20% - Accent1 5 6 2 8" xfId="17756"/>
    <cellStyle name="20% - Accent1 5 6 2 8 2" xfId="59250"/>
    <cellStyle name="20% - Accent1 5 6 2 9" xfId="31371"/>
    <cellStyle name="20% - Accent1 5 6 3" xfId="364"/>
    <cellStyle name="20% - Accent1 5 6 3 2" xfId="1719"/>
    <cellStyle name="20% - Accent1 5 6 3 2 2" xfId="4674"/>
    <cellStyle name="20% - Accent1 5 6 3 2 2 2" xfId="15515"/>
    <cellStyle name="20% - Accent1 5 6 3 2 2 2 2" xfId="27316"/>
    <cellStyle name="20% - Accent1 5 6 3 2 2 2 2 2" xfId="59251"/>
    <cellStyle name="20% - Accent1 5 6 3 2 2 2 3" xfId="40931"/>
    <cellStyle name="20% - Accent1 5 6 3 2 2 3" xfId="10127"/>
    <cellStyle name="20% - Accent1 5 6 3 2 2 3 2" xfId="47485"/>
    <cellStyle name="20% - Accent1 5 6 3 2 2 4" xfId="21928"/>
    <cellStyle name="20% - Accent1 5 6 3 2 2 4 2" xfId="59252"/>
    <cellStyle name="20% - Accent1 5 6 3 2 2 5" xfId="35543"/>
    <cellStyle name="20% - Accent1 5 6 3 2 3" xfId="2833"/>
    <cellStyle name="20% - Accent1 5 6 3 2 3 2" xfId="15516"/>
    <cellStyle name="20% - Accent1 5 6 3 2 3 2 2" xfId="27317"/>
    <cellStyle name="20% - Accent1 5 6 3 2 3 2 2 2" xfId="59253"/>
    <cellStyle name="20% - Accent1 5 6 3 2 3 2 3" xfId="40932"/>
    <cellStyle name="20% - Accent1 5 6 3 2 3 3" xfId="8286"/>
    <cellStyle name="20% - Accent1 5 6 3 2 3 3 2" xfId="47486"/>
    <cellStyle name="20% - Accent1 5 6 3 2 3 4" xfId="20087"/>
    <cellStyle name="20% - Accent1 5 6 3 2 3 4 2" xfId="59254"/>
    <cellStyle name="20% - Accent1 5 6 3 2 3 5" xfId="33702"/>
    <cellStyle name="20% - Accent1 5 6 3 2 4" xfId="15517"/>
    <cellStyle name="20% - Accent1 5 6 3 2 4 2" xfId="27318"/>
    <cellStyle name="20% - Accent1 5 6 3 2 4 2 2" xfId="59255"/>
    <cellStyle name="20% - Accent1 5 6 3 2 4 3" xfId="40933"/>
    <cellStyle name="20% - Accent1 5 6 3 2 5" xfId="7173"/>
    <cellStyle name="20% - Accent1 5 6 3 2 5 2" xfId="47487"/>
    <cellStyle name="20% - Accent1 5 6 3 2 6" xfId="18974"/>
    <cellStyle name="20% - Accent1 5 6 3 2 6 2" xfId="59256"/>
    <cellStyle name="20% - Accent1 5 6 3 2 7" xfId="32589"/>
    <cellStyle name="20% - Accent1 5 6 3 3" xfId="3401"/>
    <cellStyle name="20% - Accent1 5 6 3 3 2" xfId="5242"/>
    <cellStyle name="20% - Accent1 5 6 3 3 2 2" xfId="16712"/>
    <cellStyle name="20% - Accent1 5 6 3 3 2 2 2" xfId="28513"/>
    <cellStyle name="20% - Accent1 5 6 3 3 2 2 2 2" xfId="59257"/>
    <cellStyle name="20% - Accent1 5 6 3 3 2 2 3" xfId="42128"/>
    <cellStyle name="20% - Accent1 5 6 3 3 2 3" xfId="10695"/>
    <cellStyle name="20% - Accent1 5 6 3 3 2 3 2" xfId="59258"/>
    <cellStyle name="20% - Accent1 5 6 3 3 2 4" xfId="22496"/>
    <cellStyle name="20% - Accent1 5 6 3 3 2 4 2" xfId="59259"/>
    <cellStyle name="20% - Accent1 5 6 3 3 2 5" xfId="36111"/>
    <cellStyle name="20% - Accent1 5 6 3 3 3" xfId="15518"/>
    <cellStyle name="20% - Accent1 5 6 3 3 3 2" xfId="27319"/>
    <cellStyle name="20% - Accent1 5 6 3 3 3 2 2" xfId="59260"/>
    <cellStyle name="20% - Accent1 5 6 3 3 3 3" xfId="40934"/>
    <cellStyle name="20% - Accent1 5 6 3 3 4" xfId="8854"/>
    <cellStyle name="20% - Accent1 5 6 3 3 4 2" xfId="59261"/>
    <cellStyle name="20% - Accent1 5 6 3 3 5" xfId="20655"/>
    <cellStyle name="20% - Accent1 5 6 3 3 5 2" xfId="59262"/>
    <cellStyle name="20% - Accent1 5 6 3 3 6" xfId="34270"/>
    <cellStyle name="20% - Accent1 5 6 3 4" xfId="4106"/>
    <cellStyle name="20% - Accent1 5 6 3 4 2" xfId="15519"/>
    <cellStyle name="20% - Accent1 5 6 3 4 2 2" xfId="27320"/>
    <cellStyle name="20% - Accent1 5 6 3 4 2 2 2" xfId="59263"/>
    <cellStyle name="20% - Accent1 5 6 3 4 2 3" xfId="40935"/>
    <cellStyle name="20% - Accent1 5 6 3 4 3" xfId="9559"/>
    <cellStyle name="20% - Accent1 5 6 3 4 3 2" xfId="47488"/>
    <cellStyle name="20% - Accent1 5 6 3 4 4" xfId="21360"/>
    <cellStyle name="20% - Accent1 5 6 3 4 4 2" xfId="59264"/>
    <cellStyle name="20% - Accent1 5 6 3 4 5" xfId="34975"/>
    <cellStyle name="20% - Accent1 5 6 3 5" xfId="2265"/>
    <cellStyle name="20% - Accent1 5 6 3 5 2" xfId="17191"/>
    <cellStyle name="20% - Accent1 5 6 3 5 2 2" xfId="28992"/>
    <cellStyle name="20% - Accent1 5 6 3 5 2 2 2" xfId="59265"/>
    <cellStyle name="20% - Accent1 5 6 3 5 2 3" xfId="42607"/>
    <cellStyle name="20% - Accent1 5 6 3 5 3" xfId="7718"/>
    <cellStyle name="20% - Accent1 5 6 3 5 3 2" xfId="59266"/>
    <cellStyle name="20% - Accent1 5 6 3 5 4" xfId="19519"/>
    <cellStyle name="20% - Accent1 5 6 3 5 4 2" xfId="59267"/>
    <cellStyle name="20% - Accent1 5 6 3 5 5" xfId="33134"/>
    <cellStyle name="20% - Accent1 5 6 3 6" xfId="15520"/>
    <cellStyle name="20% - Accent1 5 6 3 6 2" xfId="27321"/>
    <cellStyle name="20% - Accent1 5 6 3 6 2 2" xfId="59268"/>
    <cellStyle name="20% - Accent1 5 6 3 6 3" xfId="40936"/>
    <cellStyle name="20% - Accent1 5 6 3 7" xfId="5818"/>
    <cellStyle name="20% - Accent1 5 6 3 7 2" xfId="59269"/>
    <cellStyle name="20% - Accent1 5 6 3 8" xfId="17619"/>
    <cellStyle name="20% - Accent1 5 6 3 8 2" xfId="59270"/>
    <cellStyle name="20% - Accent1 5 6 3 9" xfId="31234"/>
    <cellStyle name="20% - Accent1 5 6 4" xfId="642"/>
    <cellStyle name="20% - Accent1 5 6 4 2" xfId="1720"/>
    <cellStyle name="20% - Accent1 5 6 4 2 2" xfId="4384"/>
    <cellStyle name="20% - Accent1 5 6 4 2 2 2" xfId="15521"/>
    <cellStyle name="20% - Accent1 5 6 4 2 2 2 2" xfId="27322"/>
    <cellStyle name="20% - Accent1 5 6 4 2 2 2 2 2" xfId="59271"/>
    <cellStyle name="20% - Accent1 5 6 4 2 2 2 3" xfId="40937"/>
    <cellStyle name="20% - Accent1 5 6 4 2 2 3" xfId="9837"/>
    <cellStyle name="20% - Accent1 5 6 4 2 2 3 2" xfId="47489"/>
    <cellStyle name="20% - Accent1 5 6 4 2 2 4" xfId="21638"/>
    <cellStyle name="20% - Accent1 5 6 4 2 2 4 2" xfId="59272"/>
    <cellStyle name="20% - Accent1 5 6 4 2 2 5" xfId="35253"/>
    <cellStyle name="20% - Accent1 5 6 4 2 3" xfId="15522"/>
    <cellStyle name="20% - Accent1 5 6 4 2 3 2" xfId="27323"/>
    <cellStyle name="20% - Accent1 5 6 4 2 3 2 2" xfId="47490"/>
    <cellStyle name="20% - Accent1 5 6 4 2 3 3" xfId="30522"/>
    <cellStyle name="20% - Accent1 5 6 4 2 3 3 2" xfId="47491"/>
    <cellStyle name="20% - Accent1 5 6 4 2 3 4" xfId="30523"/>
    <cellStyle name="20% - Accent1 5 6 4 2 3 4 2" xfId="59273"/>
    <cellStyle name="20% - Accent1 5 6 4 2 3 5" xfId="40938"/>
    <cellStyle name="20% - Accent1 5 6 4 2 4" xfId="15523"/>
    <cellStyle name="20% - Accent1 5 6 4 2 4 2" xfId="27324"/>
    <cellStyle name="20% - Accent1 5 6 4 2 4 2 2" xfId="59274"/>
    <cellStyle name="20% - Accent1 5 6 4 2 4 3" xfId="40939"/>
    <cellStyle name="20% - Accent1 5 6 4 2 5" xfId="7174"/>
    <cellStyle name="20% - Accent1 5 6 4 2 5 2" xfId="47492"/>
    <cellStyle name="20% - Accent1 5 6 4 2 6" xfId="18975"/>
    <cellStyle name="20% - Accent1 5 6 4 2 6 2" xfId="59275"/>
    <cellStyle name="20% - Accent1 5 6 4 2 7" xfId="32590"/>
    <cellStyle name="20% - Accent1 5 6 4 3" xfId="2543"/>
    <cellStyle name="20% - Accent1 5 6 4 3 2" xfId="15524"/>
    <cellStyle name="20% - Accent1 5 6 4 3 2 2" xfId="27325"/>
    <cellStyle name="20% - Accent1 5 6 4 3 2 2 2" xfId="59276"/>
    <cellStyle name="20% - Accent1 5 6 4 3 2 3" xfId="40940"/>
    <cellStyle name="20% - Accent1 5 6 4 3 3" xfId="7996"/>
    <cellStyle name="20% - Accent1 5 6 4 3 3 2" xfId="47493"/>
    <cellStyle name="20% - Accent1 5 6 4 3 4" xfId="19797"/>
    <cellStyle name="20% - Accent1 5 6 4 3 4 2" xfId="59277"/>
    <cellStyle name="20% - Accent1 5 6 4 3 5" xfId="33412"/>
    <cellStyle name="20% - Accent1 5 6 4 4" xfId="15525"/>
    <cellStyle name="20% - Accent1 5 6 4 4 2" xfId="27326"/>
    <cellStyle name="20% - Accent1 5 6 4 4 2 2" xfId="47494"/>
    <cellStyle name="20% - Accent1 5 6 4 4 3" xfId="30524"/>
    <cellStyle name="20% - Accent1 5 6 4 4 3 2" xfId="47495"/>
    <cellStyle name="20% - Accent1 5 6 4 4 4" xfId="30525"/>
    <cellStyle name="20% - Accent1 5 6 4 4 4 2" xfId="59278"/>
    <cellStyle name="20% - Accent1 5 6 4 4 5" xfId="40941"/>
    <cellStyle name="20% - Accent1 5 6 4 5" xfId="15526"/>
    <cellStyle name="20% - Accent1 5 6 4 5 2" xfId="27327"/>
    <cellStyle name="20% - Accent1 5 6 4 5 2 2" xfId="59279"/>
    <cellStyle name="20% - Accent1 5 6 4 5 3" xfId="40942"/>
    <cellStyle name="20% - Accent1 5 6 4 6" xfId="6096"/>
    <cellStyle name="20% - Accent1 5 6 4 6 2" xfId="47496"/>
    <cellStyle name="20% - Accent1 5 6 4 7" xfId="17897"/>
    <cellStyle name="20% - Accent1 5 6 4 7 2" xfId="59280"/>
    <cellStyle name="20% - Accent1 5 6 4 8" xfId="31512"/>
    <cellStyle name="20% - Accent1 5 6 5" xfId="883"/>
    <cellStyle name="20% - Accent1 5 6 5 2" xfId="1721"/>
    <cellStyle name="20% - Accent1 5 6 5 2 2" xfId="4952"/>
    <cellStyle name="20% - Accent1 5 6 5 2 2 2" xfId="15527"/>
    <cellStyle name="20% - Accent1 5 6 5 2 2 2 2" xfId="27328"/>
    <cellStyle name="20% - Accent1 5 6 5 2 2 2 2 2" xfId="59281"/>
    <cellStyle name="20% - Accent1 5 6 5 2 2 2 3" xfId="40943"/>
    <cellStyle name="20% - Accent1 5 6 5 2 2 3" xfId="10405"/>
    <cellStyle name="20% - Accent1 5 6 5 2 2 3 2" xfId="47497"/>
    <cellStyle name="20% - Accent1 5 6 5 2 2 4" xfId="22206"/>
    <cellStyle name="20% - Accent1 5 6 5 2 2 4 2" xfId="59282"/>
    <cellStyle name="20% - Accent1 5 6 5 2 2 5" xfId="35821"/>
    <cellStyle name="20% - Accent1 5 6 5 2 3" xfId="15528"/>
    <cellStyle name="20% - Accent1 5 6 5 2 3 2" xfId="27329"/>
    <cellStyle name="20% - Accent1 5 6 5 2 3 2 2" xfId="47498"/>
    <cellStyle name="20% - Accent1 5 6 5 2 3 3" xfId="30526"/>
    <cellStyle name="20% - Accent1 5 6 5 2 3 3 2" xfId="47499"/>
    <cellStyle name="20% - Accent1 5 6 5 2 3 4" xfId="30527"/>
    <cellStyle name="20% - Accent1 5 6 5 2 3 4 2" xfId="59283"/>
    <cellStyle name="20% - Accent1 5 6 5 2 3 5" xfId="40944"/>
    <cellStyle name="20% - Accent1 5 6 5 2 4" xfId="15529"/>
    <cellStyle name="20% - Accent1 5 6 5 2 4 2" xfId="27330"/>
    <cellStyle name="20% - Accent1 5 6 5 2 4 2 2" xfId="59284"/>
    <cellStyle name="20% - Accent1 5 6 5 2 4 3" xfId="40945"/>
    <cellStyle name="20% - Accent1 5 6 5 2 5" xfId="7175"/>
    <cellStyle name="20% - Accent1 5 6 5 2 5 2" xfId="47500"/>
    <cellStyle name="20% - Accent1 5 6 5 2 6" xfId="18976"/>
    <cellStyle name="20% - Accent1 5 6 5 2 6 2" xfId="59285"/>
    <cellStyle name="20% - Accent1 5 6 5 2 7" xfId="32591"/>
    <cellStyle name="20% - Accent1 5 6 5 3" xfId="3111"/>
    <cellStyle name="20% - Accent1 5 6 5 3 2" xfId="15530"/>
    <cellStyle name="20% - Accent1 5 6 5 3 2 2" xfId="27331"/>
    <cellStyle name="20% - Accent1 5 6 5 3 2 2 2" xfId="59286"/>
    <cellStyle name="20% - Accent1 5 6 5 3 2 3" xfId="40946"/>
    <cellStyle name="20% - Accent1 5 6 5 3 3" xfId="8564"/>
    <cellStyle name="20% - Accent1 5 6 5 3 3 2" xfId="47501"/>
    <cellStyle name="20% - Accent1 5 6 5 3 4" xfId="20365"/>
    <cellStyle name="20% - Accent1 5 6 5 3 4 2" xfId="59287"/>
    <cellStyle name="20% - Accent1 5 6 5 3 5" xfId="33980"/>
    <cellStyle name="20% - Accent1 5 6 5 4" xfId="15531"/>
    <cellStyle name="20% - Accent1 5 6 5 4 2" xfId="27332"/>
    <cellStyle name="20% - Accent1 5 6 5 4 2 2" xfId="47502"/>
    <cellStyle name="20% - Accent1 5 6 5 4 3" xfId="30528"/>
    <cellStyle name="20% - Accent1 5 6 5 4 3 2" xfId="47503"/>
    <cellStyle name="20% - Accent1 5 6 5 4 4" xfId="30529"/>
    <cellStyle name="20% - Accent1 5 6 5 4 4 2" xfId="59288"/>
    <cellStyle name="20% - Accent1 5 6 5 4 5" xfId="40947"/>
    <cellStyle name="20% - Accent1 5 6 5 5" xfId="15532"/>
    <cellStyle name="20% - Accent1 5 6 5 5 2" xfId="27333"/>
    <cellStyle name="20% - Accent1 5 6 5 5 2 2" xfId="59289"/>
    <cellStyle name="20% - Accent1 5 6 5 5 3" xfId="40948"/>
    <cellStyle name="20% - Accent1 5 6 5 6" xfId="6337"/>
    <cellStyle name="20% - Accent1 5 6 5 6 2" xfId="47504"/>
    <cellStyle name="20% - Accent1 5 6 5 7" xfId="18138"/>
    <cellStyle name="20% - Accent1 5 6 5 7 2" xfId="59290"/>
    <cellStyle name="20% - Accent1 5 6 5 8" xfId="31753"/>
    <cellStyle name="20% - Accent1 5 6 6" xfId="1722"/>
    <cellStyle name="20% - Accent1 5 6 6 2" xfId="3816"/>
    <cellStyle name="20% - Accent1 5 6 6 2 2" xfId="15533"/>
    <cellStyle name="20% - Accent1 5 6 6 2 2 2" xfId="27334"/>
    <cellStyle name="20% - Accent1 5 6 6 2 2 2 2" xfId="59291"/>
    <cellStyle name="20% - Accent1 5 6 6 2 2 3" xfId="40949"/>
    <cellStyle name="20% - Accent1 5 6 6 2 3" xfId="9269"/>
    <cellStyle name="20% - Accent1 5 6 6 2 3 2" xfId="47505"/>
    <cellStyle name="20% - Accent1 5 6 6 2 4" xfId="21070"/>
    <cellStyle name="20% - Accent1 5 6 6 2 4 2" xfId="59292"/>
    <cellStyle name="20% - Accent1 5 6 6 2 5" xfId="34685"/>
    <cellStyle name="20% - Accent1 5 6 6 3" xfId="15534"/>
    <cellStyle name="20% - Accent1 5 6 6 3 2" xfId="27335"/>
    <cellStyle name="20% - Accent1 5 6 6 3 2 2" xfId="47506"/>
    <cellStyle name="20% - Accent1 5 6 6 3 3" xfId="30530"/>
    <cellStyle name="20% - Accent1 5 6 6 3 3 2" xfId="47507"/>
    <cellStyle name="20% - Accent1 5 6 6 3 4" xfId="30531"/>
    <cellStyle name="20% - Accent1 5 6 6 3 4 2" xfId="59293"/>
    <cellStyle name="20% - Accent1 5 6 6 3 5" xfId="40950"/>
    <cellStyle name="20% - Accent1 5 6 6 4" xfId="15535"/>
    <cellStyle name="20% - Accent1 5 6 6 4 2" xfId="27336"/>
    <cellStyle name="20% - Accent1 5 6 6 4 2 2" xfId="59294"/>
    <cellStyle name="20% - Accent1 5 6 6 4 3" xfId="40951"/>
    <cellStyle name="20% - Accent1 5 6 6 5" xfId="7176"/>
    <cellStyle name="20% - Accent1 5 6 6 5 2" xfId="47508"/>
    <cellStyle name="20% - Accent1 5 6 6 6" xfId="18977"/>
    <cellStyle name="20% - Accent1 5 6 6 6 2" xfId="59295"/>
    <cellStyle name="20% - Accent1 5 6 6 7" xfId="32592"/>
    <cellStyle name="20% - Accent1 5 6 7" xfId="3679"/>
    <cellStyle name="20% - Accent1 5 6 7 2" xfId="15536"/>
    <cellStyle name="20% - Accent1 5 6 7 2 2" xfId="27337"/>
    <cellStyle name="20% - Accent1 5 6 7 2 2 2" xfId="59296"/>
    <cellStyle name="20% - Accent1 5 6 7 2 3" xfId="40952"/>
    <cellStyle name="20% - Accent1 5 6 7 3" xfId="9132"/>
    <cellStyle name="20% - Accent1 5 6 7 3 2" xfId="47509"/>
    <cellStyle name="20% - Accent1 5 6 7 4" xfId="20933"/>
    <cellStyle name="20% - Accent1 5 6 7 4 2" xfId="59297"/>
    <cellStyle name="20% - Accent1 5 6 7 5" xfId="34548"/>
    <cellStyle name="20% - Accent1 5 6 8" xfId="1975"/>
    <cellStyle name="20% - Accent1 5 6 8 2" xfId="15537"/>
    <cellStyle name="20% - Accent1 5 6 8 2 2" xfId="27338"/>
    <cellStyle name="20% - Accent1 5 6 8 2 2 2" xfId="59298"/>
    <cellStyle name="20% - Accent1 5 6 8 2 3" xfId="40953"/>
    <cellStyle name="20% - Accent1 5 6 8 3" xfId="7428"/>
    <cellStyle name="20% - Accent1 5 6 8 3 2" xfId="47510"/>
    <cellStyle name="20% - Accent1 5 6 8 4" xfId="19229"/>
    <cellStyle name="20% - Accent1 5 6 8 4 2" xfId="59299"/>
    <cellStyle name="20% - Accent1 5 6 8 5" xfId="32844"/>
    <cellStyle name="20% - Accent1 5 6 9" xfId="15538"/>
    <cellStyle name="20% - Accent1 5 6 9 2" xfId="27339"/>
    <cellStyle name="20% - Accent1 5 6 9 2 2" xfId="59300"/>
    <cellStyle name="20% - Accent1 5 6 9 3" xfId="40954"/>
    <cellStyle name="20% - Accent1 5 7" xfId="145"/>
    <cellStyle name="20% - Accent1 5 7 10" xfId="31015"/>
    <cellStyle name="20% - Accent1 5 7 2" xfId="297"/>
    <cellStyle name="20% - Accent1 5 7 2 2" xfId="1723"/>
    <cellStyle name="20% - Accent1 5 7 2 2 2" xfId="4607"/>
    <cellStyle name="20% - Accent1 5 7 2 2 2 2" xfId="15539"/>
    <cellStyle name="20% - Accent1 5 7 2 2 2 2 2" xfId="27340"/>
    <cellStyle name="20% - Accent1 5 7 2 2 2 2 2 2" xfId="59301"/>
    <cellStyle name="20% - Accent1 5 7 2 2 2 2 3" xfId="40955"/>
    <cellStyle name="20% - Accent1 5 7 2 2 2 3" xfId="10060"/>
    <cellStyle name="20% - Accent1 5 7 2 2 2 3 2" xfId="47511"/>
    <cellStyle name="20% - Accent1 5 7 2 2 2 4" xfId="21861"/>
    <cellStyle name="20% - Accent1 5 7 2 2 2 4 2" xfId="59302"/>
    <cellStyle name="20% - Accent1 5 7 2 2 2 5" xfId="35476"/>
    <cellStyle name="20% - Accent1 5 7 2 2 3" xfId="2766"/>
    <cellStyle name="20% - Accent1 5 7 2 2 3 2" xfId="15540"/>
    <cellStyle name="20% - Accent1 5 7 2 2 3 2 2" xfId="27341"/>
    <cellStyle name="20% - Accent1 5 7 2 2 3 2 2 2" xfId="59303"/>
    <cellStyle name="20% - Accent1 5 7 2 2 3 2 3" xfId="40956"/>
    <cellStyle name="20% - Accent1 5 7 2 2 3 3" xfId="8219"/>
    <cellStyle name="20% - Accent1 5 7 2 2 3 3 2" xfId="47512"/>
    <cellStyle name="20% - Accent1 5 7 2 2 3 4" xfId="20020"/>
    <cellStyle name="20% - Accent1 5 7 2 2 3 4 2" xfId="59304"/>
    <cellStyle name="20% - Accent1 5 7 2 2 3 5" xfId="33635"/>
    <cellStyle name="20% - Accent1 5 7 2 2 4" xfId="15541"/>
    <cellStyle name="20% - Accent1 5 7 2 2 4 2" xfId="27342"/>
    <cellStyle name="20% - Accent1 5 7 2 2 4 2 2" xfId="59305"/>
    <cellStyle name="20% - Accent1 5 7 2 2 4 3" xfId="40957"/>
    <cellStyle name="20% - Accent1 5 7 2 2 5" xfId="7177"/>
    <cellStyle name="20% - Accent1 5 7 2 2 5 2" xfId="47513"/>
    <cellStyle name="20% - Accent1 5 7 2 2 6" xfId="18978"/>
    <cellStyle name="20% - Accent1 5 7 2 2 6 2" xfId="59306"/>
    <cellStyle name="20% - Accent1 5 7 2 2 7" xfId="32593"/>
    <cellStyle name="20% - Accent1 5 7 2 3" xfId="3334"/>
    <cellStyle name="20% - Accent1 5 7 2 3 2" xfId="5175"/>
    <cellStyle name="20% - Accent1 5 7 2 3 2 2" xfId="16645"/>
    <cellStyle name="20% - Accent1 5 7 2 3 2 2 2" xfId="28446"/>
    <cellStyle name="20% - Accent1 5 7 2 3 2 2 2 2" xfId="59307"/>
    <cellStyle name="20% - Accent1 5 7 2 3 2 2 3" xfId="42061"/>
    <cellStyle name="20% - Accent1 5 7 2 3 2 3" xfId="10628"/>
    <cellStyle name="20% - Accent1 5 7 2 3 2 3 2" xfId="59308"/>
    <cellStyle name="20% - Accent1 5 7 2 3 2 4" xfId="22429"/>
    <cellStyle name="20% - Accent1 5 7 2 3 2 4 2" xfId="59309"/>
    <cellStyle name="20% - Accent1 5 7 2 3 2 5" xfId="36044"/>
    <cellStyle name="20% - Accent1 5 7 2 3 3" xfId="15542"/>
    <cellStyle name="20% - Accent1 5 7 2 3 3 2" xfId="27343"/>
    <cellStyle name="20% - Accent1 5 7 2 3 3 2 2" xfId="59310"/>
    <cellStyle name="20% - Accent1 5 7 2 3 3 3" xfId="40958"/>
    <cellStyle name="20% - Accent1 5 7 2 3 4" xfId="8787"/>
    <cellStyle name="20% - Accent1 5 7 2 3 4 2" xfId="59311"/>
    <cellStyle name="20% - Accent1 5 7 2 3 5" xfId="20588"/>
    <cellStyle name="20% - Accent1 5 7 2 3 5 2" xfId="59312"/>
    <cellStyle name="20% - Accent1 5 7 2 3 6" xfId="34203"/>
    <cellStyle name="20% - Accent1 5 7 2 4" xfId="4039"/>
    <cellStyle name="20% - Accent1 5 7 2 4 2" xfId="15543"/>
    <cellStyle name="20% - Accent1 5 7 2 4 2 2" xfId="27344"/>
    <cellStyle name="20% - Accent1 5 7 2 4 2 2 2" xfId="59313"/>
    <cellStyle name="20% - Accent1 5 7 2 4 2 3" xfId="40959"/>
    <cellStyle name="20% - Accent1 5 7 2 4 3" xfId="9492"/>
    <cellStyle name="20% - Accent1 5 7 2 4 3 2" xfId="47514"/>
    <cellStyle name="20% - Accent1 5 7 2 4 4" xfId="21293"/>
    <cellStyle name="20% - Accent1 5 7 2 4 4 2" xfId="59314"/>
    <cellStyle name="20% - Accent1 5 7 2 4 5" xfId="34908"/>
    <cellStyle name="20% - Accent1 5 7 2 5" xfId="2198"/>
    <cellStyle name="20% - Accent1 5 7 2 5 2" xfId="17192"/>
    <cellStyle name="20% - Accent1 5 7 2 5 2 2" xfId="28993"/>
    <cellStyle name="20% - Accent1 5 7 2 5 2 2 2" xfId="59315"/>
    <cellStyle name="20% - Accent1 5 7 2 5 2 3" xfId="42608"/>
    <cellStyle name="20% - Accent1 5 7 2 5 3" xfId="7651"/>
    <cellStyle name="20% - Accent1 5 7 2 5 3 2" xfId="59316"/>
    <cellStyle name="20% - Accent1 5 7 2 5 4" xfId="19452"/>
    <cellStyle name="20% - Accent1 5 7 2 5 4 2" xfId="59317"/>
    <cellStyle name="20% - Accent1 5 7 2 5 5" xfId="33067"/>
    <cellStyle name="20% - Accent1 5 7 2 6" xfId="15544"/>
    <cellStyle name="20% - Accent1 5 7 2 6 2" xfId="27345"/>
    <cellStyle name="20% - Accent1 5 7 2 6 2 2" xfId="59318"/>
    <cellStyle name="20% - Accent1 5 7 2 6 3" xfId="40960"/>
    <cellStyle name="20% - Accent1 5 7 2 7" xfId="5751"/>
    <cellStyle name="20% - Accent1 5 7 2 7 2" xfId="59319"/>
    <cellStyle name="20% - Accent1 5 7 2 8" xfId="17552"/>
    <cellStyle name="20% - Accent1 5 7 2 8 2" xfId="59320"/>
    <cellStyle name="20% - Accent1 5 7 2 9" xfId="31167"/>
    <cellStyle name="20% - Accent1 5 7 3" xfId="713"/>
    <cellStyle name="20% - Accent1 5 7 3 2" xfId="1724"/>
    <cellStyle name="20% - Accent1 5 7 3 2 2" xfId="4455"/>
    <cellStyle name="20% - Accent1 5 7 3 2 2 2" xfId="15545"/>
    <cellStyle name="20% - Accent1 5 7 3 2 2 2 2" xfId="27346"/>
    <cellStyle name="20% - Accent1 5 7 3 2 2 2 2 2" xfId="59321"/>
    <cellStyle name="20% - Accent1 5 7 3 2 2 2 3" xfId="40961"/>
    <cellStyle name="20% - Accent1 5 7 3 2 2 3" xfId="9908"/>
    <cellStyle name="20% - Accent1 5 7 3 2 2 3 2" xfId="47515"/>
    <cellStyle name="20% - Accent1 5 7 3 2 2 4" xfId="21709"/>
    <cellStyle name="20% - Accent1 5 7 3 2 2 4 2" xfId="59322"/>
    <cellStyle name="20% - Accent1 5 7 3 2 2 5" xfId="35324"/>
    <cellStyle name="20% - Accent1 5 7 3 2 3" xfId="15546"/>
    <cellStyle name="20% - Accent1 5 7 3 2 3 2" xfId="27347"/>
    <cellStyle name="20% - Accent1 5 7 3 2 3 2 2" xfId="47516"/>
    <cellStyle name="20% - Accent1 5 7 3 2 3 3" xfId="30532"/>
    <cellStyle name="20% - Accent1 5 7 3 2 3 3 2" xfId="47517"/>
    <cellStyle name="20% - Accent1 5 7 3 2 3 4" xfId="30533"/>
    <cellStyle name="20% - Accent1 5 7 3 2 3 4 2" xfId="59323"/>
    <cellStyle name="20% - Accent1 5 7 3 2 3 5" xfId="40962"/>
    <cellStyle name="20% - Accent1 5 7 3 2 4" xfId="15547"/>
    <cellStyle name="20% - Accent1 5 7 3 2 4 2" xfId="27348"/>
    <cellStyle name="20% - Accent1 5 7 3 2 4 2 2" xfId="59324"/>
    <cellStyle name="20% - Accent1 5 7 3 2 4 3" xfId="40963"/>
    <cellStyle name="20% - Accent1 5 7 3 2 5" xfId="7178"/>
    <cellStyle name="20% - Accent1 5 7 3 2 5 2" xfId="47518"/>
    <cellStyle name="20% - Accent1 5 7 3 2 6" xfId="18979"/>
    <cellStyle name="20% - Accent1 5 7 3 2 6 2" xfId="59325"/>
    <cellStyle name="20% - Accent1 5 7 3 2 7" xfId="32594"/>
    <cellStyle name="20% - Accent1 5 7 3 3" xfId="2614"/>
    <cellStyle name="20% - Accent1 5 7 3 3 2" xfId="15548"/>
    <cellStyle name="20% - Accent1 5 7 3 3 2 2" xfId="27349"/>
    <cellStyle name="20% - Accent1 5 7 3 3 2 2 2" xfId="59326"/>
    <cellStyle name="20% - Accent1 5 7 3 3 2 3" xfId="40964"/>
    <cellStyle name="20% - Accent1 5 7 3 3 3" xfId="8067"/>
    <cellStyle name="20% - Accent1 5 7 3 3 3 2" xfId="47519"/>
    <cellStyle name="20% - Accent1 5 7 3 3 4" xfId="19868"/>
    <cellStyle name="20% - Accent1 5 7 3 3 4 2" xfId="59327"/>
    <cellStyle name="20% - Accent1 5 7 3 3 5" xfId="33483"/>
    <cellStyle name="20% - Accent1 5 7 3 4" xfId="15549"/>
    <cellStyle name="20% - Accent1 5 7 3 4 2" xfId="27350"/>
    <cellStyle name="20% - Accent1 5 7 3 4 2 2" xfId="47520"/>
    <cellStyle name="20% - Accent1 5 7 3 4 3" xfId="30534"/>
    <cellStyle name="20% - Accent1 5 7 3 4 3 2" xfId="47521"/>
    <cellStyle name="20% - Accent1 5 7 3 4 4" xfId="30535"/>
    <cellStyle name="20% - Accent1 5 7 3 4 4 2" xfId="59328"/>
    <cellStyle name="20% - Accent1 5 7 3 4 5" xfId="40965"/>
    <cellStyle name="20% - Accent1 5 7 3 5" xfId="15550"/>
    <cellStyle name="20% - Accent1 5 7 3 5 2" xfId="27351"/>
    <cellStyle name="20% - Accent1 5 7 3 5 2 2" xfId="59329"/>
    <cellStyle name="20% - Accent1 5 7 3 5 3" xfId="40966"/>
    <cellStyle name="20% - Accent1 5 7 3 6" xfId="6167"/>
    <cellStyle name="20% - Accent1 5 7 3 6 2" xfId="47522"/>
    <cellStyle name="20% - Accent1 5 7 3 7" xfId="17968"/>
    <cellStyle name="20% - Accent1 5 7 3 7 2" xfId="59330"/>
    <cellStyle name="20% - Accent1 5 7 3 8" xfId="31583"/>
    <cellStyle name="20% - Accent1 5 7 4" xfId="1725"/>
    <cellStyle name="20% - Accent1 5 7 4 2" xfId="5023"/>
    <cellStyle name="20% - Accent1 5 7 4 2 2" xfId="15551"/>
    <cellStyle name="20% - Accent1 5 7 4 2 2 2" xfId="27352"/>
    <cellStyle name="20% - Accent1 5 7 4 2 2 2 2" xfId="59331"/>
    <cellStyle name="20% - Accent1 5 7 4 2 2 3" xfId="40967"/>
    <cellStyle name="20% - Accent1 5 7 4 2 3" xfId="10476"/>
    <cellStyle name="20% - Accent1 5 7 4 2 3 2" xfId="47523"/>
    <cellStyle name="20% - Accent1 5 7 4 2 4" xfId="22277"/>
    <cellStyle name="20% - Accent1 5 7 4 2 4 2" xfId="59332"/>
    <cellStyle name="20% - Accent1 5 7 4 2 5" xfId="35892"/>
    <cellStyle name="20% - Accent1 5 7 4 3" xfId="3182"/>
    <cellStyle name="20% - Accent1 5 7 4 3 2" xfId="15552"/>
    <cellStyle name="20% - Accent1 5 7 4 3 2 2" xfId="27353"/>
    <cellStyle name="20% - Accent1 5 7 4 3 2 2 2" xfId="59333"/>
    <cellStyle name="20% - Accent1 5 7 4 3 2 3" xfId="40968"/>
    <cellStyle name="20% - Accent1 5 7 4 3 3" xfId="8635"/>
    <cellStyle name="20% - Accent1 5 7 4 3 3 2" xfId="47524"/>
    <cellStyle name="20% - Accent1 5 7 4 3 4" xfId="20436"/>
    <cellStyle name="20% - Accent1 5 7 4 3 4 2" xfId="59334"/>
    <cellStyle name="20% - Accent1 5 7 4 3 5" xfId="34051"/>
    <cellStyle name="20% - Accent1 5 7 4 4" xfId="15553"/>
    <cellStyle name="20% - Accent1 5 7 4 4 2" xfId="27354"/>
    <cellStyle name="20% - Accent1 5 7 4 4 2 2" xfId="59335"/>
    <cellStyle name="20% - Accent1 5 7 4 4 3" xfId="40969"/>
    <cellStyle name="20% - Accent1 5 7 4 5" xfId="7179"/>
    <cellStyle name="20% - Accent1 5 7 4 5 2" xfId="47525"/>
    <cellStyle name="20% - Accent1 5 7 4 6" xfId="18980"/>
    <cellStyle name="20% - Accent1 5 7 4 6 2" xfId="59336"/>
    <cellStyle name="20% - Accent1 5 7 4 7" xfId="32595"/>
    <cellStyle name="20% - Accent1 5 7 5" xfId="3887"/>
    <cellStyle name="20% - Accent1 5 7 5 2" xfId="15554"/>
    <cellStyle name="20% - Accent1 5 7 5 2 2" xfId="27355"/>
    <cellStyle name="20% - Accent1 5 7 5 2 2 2" xfId="59337"/>
    <cellStyle name="20% - Accent1 5 7 5 2 3" xfId="40970"/>
    <cellStyle name="20% - Accent1 5 7 5 3" xfId="9340"/>
    <cellStyle name="20% - Accent1 5 7 5 3 2" xfId="47526"/>
    <cellStyle name="20% - Accent1 5 7 5 4" xfId="21141"/>
    <cellStyle name="20% - Accent1 5 7 5 4 2" xfId="59338"/>
    <cellStyle name="20% - Accent1 5 7 5 5" xfId="34756"/>
    <cellStyle name="20% - Accent1 5 7 6" xfId="2046"/>
    <cellStyle name="20% - Accent1 5 7 6 2" xfId="15555"/>
    <cellStyle name="20% - Accent1 5 7 6 2 2" xfId="27356"/>
    <cellStyle name="20% - Accent1 5 7 6 2 2 2" xfId="59339"/>
    <cellStyle name="20% - Accent1 5 7 6 2 3" xfId="40971"/>
    <cellStyle name="20% - Accent1 5 7 6 3" xfId="7499"/>
    <cellStyle name="20% - Accent1 5 7 6 3 2" xfId="47527"/>
    <cellStyle name="20% - Accent1 5 7 6 4" xfId="19300"/>
    <cellStyle name="20% - Accent1 5 7 6 4 2" xfId="59340"/>
    <cellStyle name="20% - Accent1 5 7 6 5" xfId="32915"/>
    <cellStyle name="20% - Accent1 5 7 7" xfId="15556"/>
    <cellStyle name="20% - Accent1 5 7 7 2" xfId="27357"/>
    <cellStyle name="20% - Accent1 5 7 7 2 2" xfId="59341"/>
    <cellStyle name="20% - Accent1 5 7 7 3" xfId="40972"/>
    <cellStyle name="20% - Accent1 5 7 8" xfId="5599"/>
    <cellStyle name="20% - Accent1 5 7 8 2" xfId="47528"/>
    <cellStyle name="20% - Accent1 5 7 9" xfId="17400"/>
    <cellStyle name="20% - Accent1 5 7 9 2" xfId="59342"/>
    <cellStyle name="20% - Accent1 5 8" xfId="434"/>
    <cellStyle name="20% - Accent1 5 8 2" xfId="1726"/>
    <cellStyle name="20% - Accent1 5 8 2 2" xfId="4744"/>
    <cellStyle name="20% - Accent1 5 8 2 2 2" xfId="15557"/>
    <cellStyle name="20% - Accent1 5 8 2 2 2 2" xfId="27358"/>
    <cellStyle name="20% - Accent1 5 8 2 2 2 2 2" xfId="59343"/>
    <cellStyle name="20% - Accent1 5 8 2 2 2 3" xfId="40973"/>
    <cellStyle name="20% - Accent1 5 8 2 2 3" xfId="10197"/>
    <cellStyle name="20% - Accent1 5 8 2 2 3 2" xfId="47529"/>
    <cellStyle name="20% - Accent1 5 8 2 2 4" xfId="21998"/>
    <cellStyle name="20% - Accent1 5 8 2 2 4 2" xfId="59344"/>
    <cellStyle name="20% - Accent1 5 8 2 2 5" xfId="35613"/>
    <cellStyle name="20% - Accent1 5 8 2 3" xfId="2903"/>
    <cellStyle name="20% - Accent1 5 8 2 3 2" xfId="15558"/>
    <cellStyle name="20% - Accent1 5 8 2 3 2 2" xfId="27359"/>
    <cellStyle name="20% - Accent1 5 8 2 3 2 2 2" xfId="59345"/>
    <cellStyle name="20% - Accent1 5 8 2 3 2 3" xfId="40974"/>
    <cellStyle name="20% - Accent1 5 8 2 3 3" xfId="8356"/>
    <cellStyle name="20% - Accent1 5 8 2 3 3 2" xfId="47530"/>
    <cellStyle name="20% - Accent1 5 8 2 3 4" xfId="20157"/>
    <cellStyle name="20% - Accent1 5 8 2 3 4 2" xfId="59346"/>
    <cellStyle name="20% - Accent1 5 8 2 3 5" xfId="33772"/>
    <cellStyle name="20% - Accent1 5 8 2 4" xfId="15559"/>
    <cellStyle name="20% - Accent1 5 8 2 4 2" xfId="27360"/>
    <cellStyle name="20% - Accent1 5 8 2 4 2 2" xfId="59347"/>
    <cellStyle name="20% - Accent1 5 8 2 4 3" xfId="40975"/>
    <cellStyle name="20% - Accent1 5 8 2 5" xfId="7180"/>
    <cellStyle name="20% - Accent1 5 8 2 5 2" xfId="47531"/>
    <cellStyle name="20% - Accent1 5 8 2 6" xfId="18981"/>
    <cellStyle name="20% - Accent1 5 8 2 6 2" xfId="59348"/>
    <cellStyle name="20% - Accent1 5 8 2 7" xfId="32596"/>
    <cellStyle name="20% - Accent1 5 8 3" xfId="3471"/>
    <cellStyle name="20% - Accent1 5 8 3 2" xfId="5312"/>
    <cellStyle name="20% - Accent1 5 8 3 2 2" xfId="16782"/>
    <cellStyle name="20% - Accent1 5 8 3 2 2 2" xfId="28583"/>
    <cellStyle name="20% - Accent1 5 8 3 2 2 2 2" xfId="59349"/>
    <cellStyle name="20% - Accent1 5 8 3 2 2 3" xfId="42198"/>
    <cellStyle name="20% - Accent1 5 8 3 2 3" xfId="10765"/>
    <cellStyle name="20% - Accent1 5 8 3 2 3 2" xfId="59350"/>
    <cellStyle name="20% - Accent1 5 8 3 2 4" xfId="22566"/>
    <cellStyle name="20% - Accent1 5 8 3 2 4 2" xfId="59351"/>
    <cellStyle name="20% - Accent1 5 8 3 2 5" xfId="36181"/>
    <cellStyle name="20% - Accent1 5 8 3 3" xfId="15560"/>
    <cellStyle name="20% - Accent1 5 8 3 3 2" xfId="27361"/>
    <cellStyle name="20% - Accent1 5 8 3 3 2 2" xfId="59352"/>
    <cellStyle name="20% - Accent1 5 8 3 3 3" xfId="40976"/>
    <cellStyle name="20% - Accent1 5 8 3 4" xfId="8924"/>
    <cellStyle name="20% - Accent1 5 8 3 4 2" xfId="59353"/>
    <cellStyle name="20% - Accent1 5 8 3 5" xfId="20725"/>
    <cellStyle name="20% - Accent1 5 8 3 5 2" xfId="59354"/>
    <cellStyle name="20% - Accent1 5 8 3 6" xfId="34340"/>
    <cellStyle name="20% - Accent1 5 8 4" xfId="4176"/>
    <cellStyle name="20% - Accent1 5 8 4 2" xfId="15561"/>
    <cellStyle name="20% - Accent1 5 8 4 2 2" xfId="27362"/>
    <cellStyle name="20% - Accent1 5 8 4 2 2 2" xfId="59355"/>
    <cellStyle name="20% - Accent1 5 8 4 2 3" xfId="40977"/>
    <cellStyle name="20% - Accent1 5 8 4 3" xfId="9629"/>
    <cellStyle name="20% - Accent1 5 8 4 3 2" xfId="47532"/>
    <cellStyle name="20% - Accent1 5 8 4 4" xfId="21430"/>
    <cellStyle name="20% - Accent1 5 8 4 4 2" xfId="59356"/>
    <cellStyle name="20% - Accent1 5 8 4 5" xfId="35045"/>
    <cellStyle name="20% - Accent1 5 8 5" xfId="2335"/>
    <cellStyle name="20% - Accent1 5 8 5 2" xfId="17193"/>
    <cellStyle name="20% - Accent1 5 8 5 2 2" xfId="28994"/>
    <cellStyle name="20% - Accent1 5 8 5 2 2 2" xfId="59357"/>
    <cellStyle name="20% - Accent1 5 8 5 2 3" xfId="42609"/>
    <cellStyle name="20% - Accent1 5 8 5 3" xfId="7788"/>
    <cellStyle name="20% - Accent1 5 8 5 3 2" xfId="59358"/>
    <cellStyle name="20% - Accent1 5 8 5 4" xfId="19589"/>
    <cellStyle name="20% - Accent1 5 8 5 4 2" xfId="59359"/>
    <cellStyle name="20% - Accent1 5 8 5 5" xfId="33204"/>
    <cellStyle name="20% - Accent1 5 8 6" xfId="15562"/>
    <cellStyle name="20% - Accent1 5 8 6 2" xfId="27363"/>
    <cellStyle name="20% - Accent1 5 8 6 2 2" xfId="59360"/>
    <cellStyle name="20% - Accent1 5 8 6 3" xfId="40978"/>
    <cellStyle name="20% - Accent1 5 8 7" xfId="5888"/>
    <cellStyle name="20% - Accent1 5 8 7 2" xfId="59361"/>
    <cellStyle name="20% - Accent1 5 8 8" xfId="17689"/>
    <cellStyle name="20% - Accent1 5 8 8 2" xfId="59362"/>
    <cellStyle name="20% - Accent1 5 8 9" xfId="31304"/>
    <cellStyle name="20% - Accent1 5 9" xfId="248"/>
    <cellStyle name="20% - Accent1 5 9 2" xfId="1727"/>
    <cellStyle name="20% - Accent1 5 9 2 2" xfId="4558"/>
    <cellStyle name="20% - Accent1 5 9 2 2 2" xfId="15563"/>
    <cellStyle name="20% - Accent1 5 9 2 2 2 2" xfId="27364"/>
    <cellStyle name="20% - Accent1 5 9 2 2 2 2 2" xfId="59363"/>
    <cellStyle name="20% - Accent1 5 9 2 2 2 3" xfId="40979"/>
    <cellStyle name="20% - Accent1 5 9 2 2 3" xfId="10011"/>
    <cellStyle name="20% - Accent1 5 9 2 2 3 2" xfId="47533"/>
    <cellStyle name="20% - Accent1 5 9 2 2 4" xfId="21812"/>
    <cellStyle name="20% - Accent1 5 9 2 2 4 2" xfId="59364"/>
    <cellStyle name="20% - Accent1 5 9 2 2 5" xfId="35427"/>
    <cellStyle name="20% - Accent1 5 9 2 3" xfId="2717"/>
    <cellStyle name="20% - Accent1 5 9 2 3 2" xfId="15564"/>
    <cellStyle name="20% - Accent1 5 9 2 3 2 2" xfId="27365"/>
    <cellStyle name="20% - Accent1 5 9 2 3 2 2 2" xfId="59365"/>
    <cellStyle name="20% - Accent1 5 9 2 3 2 3" xfId="40980"/>
    <cellStyle name="20% - Accent1 5 9 2 3 3" xfId="8170"/>
    <cellStyle name="20% - Accent1 5 9 2 3 3 2" xfId="47534"/>
    <cellStyle name="20% - Accent1 5 9 2 3 4" xfId="19971"/>
    <cellStyle name="20% - Accent1 5 9 2 3 4 2" xfId="59366"/>
    <cellStyle name="20% - Accent1 5 9 2 3 5" xfId="33586"/>
    <cellStyle name="20% - Accent1 5 9 2 4" xfId="15565"/>
    <cellStyle name="20% - Accent1 5 9 2 4 2" xfId="27366"/>
    <cellStyle name="20% - Accent1 5 9 2 4 2 2" xfId="59367"/>
    <cellStyle name="20% - Accent1 5 9 2 4 3" xfId="40981"/>
    <cellStyle name="20% - Accent1 5 9 2 5" xfId="7181"/>
    <cellStyle name="20% - Accent1 5 9 2 5 2" xfId="47535"/>
    <cellStyle name="20% - Accent1 5 9 2 6" xfId="18982"/>
    <cellStyle name="20% - Accent1 5 9 2 6 2" xfId="59368"/>
    <cellStyle name="20% - Accent1 5 9 2 7" xfId="32597"/>
    <cellStyle name="20% - Accent1 5 9 3" xfId="3285"/>
    <cellStyle name="20% - Accent1 5 9 3 2" xfId="5126"/>
    <cellStyle name="20% - Accent1 5 9 3 2 2" xfId="16596"/>
    <cellStyle name="20% - Accent1 5 9 3 2 2 2" xfId="28397"/>
    <cellStyle name="20% - Accent1 5 9 3 2 2 2 2" xfId="59369"/>
    <cellStyle name="20% - Accent1 5 9 3 2 2 3" xfId="42012"/>
    <cellStyle name="20% - Accent1 5 9 3 2 3" xfId="10579"/>
    <cellStyle name="20% - Accent1 5 9 3 2 3 2" xfId="59370"/>
    <cellStyle name="20% - Accent1 5 9 3 2 4" xfId="22380"/>
    <cellStyle name="20% - Accent1 5 9 3 2 4 2" xfId="59371"/>
    <cellStyle name="20% - Accent1 5 9 3 2 5" xfId="35995"/>
    <cellStyle name="20% - Accent1 5 9 3 3" xfId="15566"/>
    <cellStyle name="20% - Accent1 5 9 3 3 2" xfId="27367"/>
    <cellStyle name="20% - Accent1 5 9 3 3 2 2" xfId="59372"/>
    <cellStyle name="20% - Accent1 5 9 3 3 3" xfId="40982"/>
    <cellStyle name="20% - Accent1 5 9 3 4" xfId="8738"/>
    <cellStyle name="20% - Accent1 5 9 3 4 2" xfId="59373"/>
    <cellStyle name="20% - Accent1 5 9 3 5" xfId="20539"/>
    <cellStyle name="20% - Accent1 5 9 3 5 2" xfId="59374"/>
    <cellStyle name="20% - Accent1 5 9 3 6" xfId="34154"/>
    <cellStyle name="20% - Accent1 5 9 4" xfId="3990"/>
    <cellStyle name="20% - Accent1 5 9 4 2" xfId="15567"/>
    <cellStyle name="20% - Accent1 5 9 4 2 2" xfId="27368"/>
    <cellStyle name="20% - Accent1 5 9 4 2 2 2" xfId="59375"/>
    <cellStyle name="20% - Accent1 5 9 4 2 3" xfId="40983"/>
    <cellStyle name="20% - Accent1 5 9 4 3" xfId="9443"/>
    <cellStyle name="20% - Accent1 5 9 4 3 2" xfId="47536"/>
    <cellStyle name="20% - Accent1 5 9 4 4" xfId="21244"/>
    <cellStyle name="20% - Accent1 5 9 4 4 2" xfId="59376"/>
    <cellStyle name="20% - Accent1 5 9 4 5" xfId="34859"/>
    <cellStyle name="20% - Accent1 5 9 5" xfId="2149"/>
    <cellStyle name="20% - Accent1 5 9 5 2" xfId="17194"/>
    <cellStyle name="20% - Accent1 5 9 5 2 2" xfId="28995"/>
    <cellStyle name="20% - Accent1 5 9 5 2 2 2" xfId="59377"/>
    <cellStyle name="20% - Accent1 5 9 5 2 3" xfId="42610"/>
    <cellStyle name="20% - Accent1 5 9 5 3" xfId="7602"/>
    <cellStyle name="20% - Accent1 5 9 5 3 2" xfId="59378"/>
    <cellStyle name="20% - Accent1 5 9 5 4" xfId="19403"/>
    <cellStyle name="20% - Accent1 5 9 5 4 2" xfId="59379"/>
    <cellStyle name="20% - Accent1 5 9 5 5" xfId="33018"/>
    <cellStyle name="20% - Accent1 5 9 6" xfId="15568"/>
    <cellStyle name="20% - Accent1 5 9 6 2" xfId="27369"/>
    <cellStyle name="20% - Accent1 5 9 6 2 2" xfId="59380"/>
    <cellStyle name="20% - Accent1 5 9 6 3" xfId="40984"/>
    <cellStyle name="20% - Accent1 5 9 7" xfId="5702"/>
    <cellStyle name="20% - Accent1 5 9 7 2" xfId="59381"/>
    <cellStyle name="20% - Accent1 5 9 8" xfId="17503"/>
    <cellStyle name="20% - Accent1 5 9 8 2" xfId="59382"/>
    <cellStyle name="20% - Accent1 5 9 9" xfId="31118"/>
    <cellStyle name="20% - Accent1 6" xfId="17"/>
    <cellStyle name="20% - Accent1 6 10" xfId="1918"/>
    <cellStyle name="20% - Accent1 6 10 2" xfId="15569"/>
    <cellStyle name="20% - Accent1 6 10 2 2" xfId="27370"/>
    <cellStyle name="20% - Accent1 6 10 2 2 2" xfId="59383"/>
    <cellStyle name="20% - Accent1 6 10 2 3" xfId="40985"/>
    <cellStyle name="20% - Accent1 6 10 3" xfId="7371"/>
    <cellStyle name="20% - Accent1 6 10 3 2" xfId="47537"/>
    <cellStyle name="20% - Accent1 6 10 4" xfId="19172"/>
    <cellStyle name="20% - Accent1 6 10 4 2" xfId="59384"/>
    <cellStyle name="20% - Accent1 6 10 5" xfId="32787"/>
    <cellStyle name="20% - Accent1 6 11" xfId="15570"/>
    <cellStyle name="20% - Accent1 6 11 2" xfId="27371"/>
    <cellStyle name="20% - Accent1 6 11 2 2" xfId="59385"/>
    <cellStyle name="20% - Accent1 6 11 3" xfId="40986"/>
    <cellStyle name="20% - Accent1 6 12" xfId="5471"/>
    <cellStyle name="20% - Accent1 6 12 2" xfId="47538"/>
    <cellStyle name="20% - Accent1 6 13" xfId="17272"/>
    <cellStyle name="20% - Accent1 6 13 2" xfId="59386"/>
    <cellStyle name="20% - Accent1 6 14" xfId="30887"/>
    <cellStyle name="20% - Accent1 6 2" xfId="84"/>
    <cellStyle name="20% - Accent1 6 2 10" xfId="5538"/>
    <cellStyle name="20% - Accent1 6 2 10 2" xfId="47539"/>
    <cellStyle name="20% - Accent1 6 2 11" xfId="17339"/>
    <cellStyle name="20% - Accent1 6 2 11 2" xfId="59387"/>
    <cellStyle name="20% - Accent1 6 2 12" xfId="30954"/>
    <cellStyle name="20% - Accent1 6 2 2" xfId="232"/>
    <cellStyle name="20% - Accent1 6 2 2 10" xfId="31102"/>
    <cellStyle name="20% - Accent1 6 2 2 2" xfId="511"/>
    <cellStyle name="20% - Accent1 6 2 2 2 2" xfId="1728"/>
    <cellStyle name="20% - Accent1 6 2 2 2 2 2" xfId="4821"/>
    <cellStyle name="20% - Accent1 6 2 2 2 2 2 2" xfId="15571"/>
    <cellStyle name="20% - Accent1 6 2 2 2 2 2 2 2" xfId="27372"/>
    <cellStyle name="20% - Accent1 6 2 2 2 2 2 2 2 2" xfId="59388"/>
    <cellStyle name="20% - Accent1 6 2 2 2 2 2 2 3" xfId="40987"/>
    <cellStyle name="20% - Accent1 6 2 2 2 2 2 3" xfId="10274"/>
    <cellStyle name="20% - Accent1 6 2 2 2 2 2 3 2" xfId="47540"/>
    <cellStyle name="20% - Accent1 6 2 2 2 2 2 4" xfId="22075"/>
    <cellStyle name="20% - Accent1 6 2 2 2 2 2 4 2" xfId="59389"/>
    <cellStyle name="20% - Accent1 6 2 2 2 2 2 5" xfId="35690"/>
    <cellStyle name="20% - Accent1 6 2 2 2 2 3" xfId="2980"/>
    <cellStyle name="20% - Accent1 6 2 2 2 2 3 2" xfId="15572"/>
    <cellStyle name="20% - Accent1 6 2 2 2 2 3 2 2" xfId="27373"/>
    <cellStyle name="20% - Accent1 6 2 2 2 2 3 2 2 2" xfId="59390"/>
    <cellStyle name="20% - Accent1 6 2 2 2 2 3 2 3" xfId="40988"/>
    <cellStyle name="20% - Accent1 6 2 2 2 2 3 3" xfId="8433"/>
    <cellStyle name="20% - Accent1 6 2 2 2 2 3 3 2" xfId="47541"/>
    <cellStyle name="20% - Accent1 6 2 2 2 2 3 4" xfId="20234"/>
    <cellStyle name="20% - Accent1 6 2 2 2 2 3 4 2" xfId="59391"/>
    <cellStyle name="20% - Accent1 6 2 2 2 2 3 5" xfId="33849"/>
    <cellStyle name="20% - Accent1 6 2 2 2 2 4" xfId="15573"/>
    <cellStyle name="20% - Accent1 6 2 2 2 2 4 2" xfId="27374"/>
    <cellStyle name="20% - Accent1 6 2 2 2 2 4 2 2" xfId="59392"/>
    <cellStyle name="20% - Accent1 6 2 2 2 2 4 3" xfId="40989"/>
    <cellStyle name="20% - Accent1 6 2 2 2 2 5" xfId="7182"/>
    <cellStyle name="20% - Accent1 6 2 2 2 2 5 2" xfId="47542"/>
    <cellStyle name="20% - Accent1 6 2 2 2 2 6" xfId="18983"/>
    <cellStyle name="20% - Accent1 6 2 2 2 2 6 2" xfId="59393"/>
    <cellStyle name="20% - Accent1 6 2 2 2 2 7" xfId="32598"/>
    <cellStyle name="20% - Accent1 6 2 2 2 3" xfId="3548"/>
    <cellStyle name="20% - Accent1 6 2 2 2 3 2" xfId="5389"/>
    <cellStyle name="20% - Accent1 6 2 2 2 3 2 2" xfId="16859"/>
    <cellStyle name="20% - Accent1 6 2 2 2 3 2 2 2" xfId="28660"/>
    <cellStyle name="20% - Accent1 6 2 2 2 3 2 2 2 2" xfId="59394"/>
    <cellStyle name="20% - Accent1 6 2 2 2 3 2 2 3" xfId="42275"/>
    <cellStyle name="20% - Accent1 6 2 2 2 3 2 3" xfId="10842"/>
    <cellStyle name="20% - Accent1 6 2 2 2 3 2 3 2" xfId="59395"/>
    <cellStyle name="20% - Accent1 6 2 2 2 3 2 4" xfId="22643"/>
    <cellStyle name="20% - Accent1 6 2 2 2 3 2 4 2" xfId="59396"/>
    <cellStyle name="20% - Accent1 6 2 2 2 3 2 5" xfId="36258"/>
    <cellStyle name="20% - Accent1 6 2 2 2 3 3" xfId="15574"/>
    <cellStyle name="20% - Accent1 6 2 2 2 3 3 2" xfId="27375"/>
    <cellStyle name="20% - Accent1 6 2 2 2 3 3 2 2" xfId="59397"/>
    <cellStyle name="20% - Accent1 6 2 2 2 3 3 3" xfId="40990"/>
    <cellStyle name="20% - Accent1 6 2 2 2 3 4" xfId="9001"/>
    <cellStyle name="20% - Accent1 6 2 2 2 3 4 2" xfId="59398"/>
    <cellStyle name="20% - Accent1 6 2 2 2 3 5" xfId="20802"/>
    <cellStyle name="20% - Accent1 6 2 2 2 3 5 2" xfId="59399"/>
    <cellStyle name="20% - Accent1 6 2 2 2 3 6" xfId="34417"/>
    <cellStyle name="20% - Accent1 6 2 2 2 4" xfId="4253"/>
    <cellStyle name="20% - Accent1 6 2 2 2 4 2" xfId="15575"/>
    <cellStyle name="20% - Accent1 6 2 2 2 4 2 2" xfId="27376"/>
    <cellStyle name="20% - Accent1 6 2 2 2 4 2 2 2" xfId="59400"/>
    <cellStyle name="20% - Accent1 6 2 2 2 4 2 3" xfId="40991"/>
    <cellStyle name="20% - Accent1 6 2 2 2 4 3" xfId="9706"/>
    <cellStyle name="20% - Accent1 6 2 2 2 4 3 2" xfId="47543"/>
    <cellStyle name="20% - Accent1 6 2 2 2 4 4" xfId="21507"/>
    <cellStyle name="20% - Accent1 6 2 2 2 4 4 2" xfId="59401"/>
    <cellStyle name="20% - Accent1 6 2 2 2 4 5" xfId="35122"/>
    <cellStyle name="20% - Accent1 6 2 2 2 5" xfId="2412"/>
    <cellStyle name="20% - Accent1 6 2 2 2 5 2" xfId="17195"/>
    <cellStyle name="20% - Accent1 6 2 2 2 5 2 2" xfId="28996"/>
    <cellStyle name="20% - Accent1 6 2 2 2 5 2 2 2" xfId="59402"/>
    <cellStyle name="20% - Accent1 6 2 2 2 5 2 3" xfId="42611"/>
    <cellStyle name="20% - Accent1 6 2 2 2 5 3" xfId="7865"/>
    <cellStyle name="20% - Accent1 6 2 2 2 5 3 2" xfId="59403"/>
    <cellStyle name="20% - Accent1 6 2 2 2 5 4" xfId="19666"/>
    <cellStyle name="20% - Accent1 6 2 2 2 5 4 2" xfId="59404"/>
    <cellStyle name="20% - Accent1 6 2 2 2 5 5" xfId="33281"/>
    <cellStyle name="20% - Accent1 6 2 2 2 6" xfId="15576"/>
    <cellStyle name="20% - Accent1 6 2 2 2 6 2" xfId="27377"/>
    <cellStyle name="20% - Accent1 6 2 2 2 6 2 2" xfId="59405"/>
    <cellStyle name="20% - Accent1 6 2 2 2 6 3" xfId="40992"/>
    <cellStyle name="20% - Accent1 6 2 2 2 7" xfId="5965"/>
    <cellStyle name="20% - Accent1 6 2 2 2 7 2" xfId="59406"/>
    <cellStyle name="20% - Accent1 6 2 2 2 8" xfId="17766"/>
    <cellStyle name="20% - Accent1 6 2 2 2 8 2" xfId="59407"/>
    <cellStyle name="20% - Accent1 6 2 2 2 9" xfId="31381"/>
    <cellStyle name="20% - Accent1 6 2 2 3" xfId="800"/>
    <cellStyle name="20% - Accent1 6 2 2 3 2" xfId="1729"/>
    <cellStyle name="20% - Accent1 6 2 2 3 2 2" xfId="4542"/>
    <cellStyle name="20% - Accent1 6 2 2 3 2 2 2" xfId="15577"/>
    <cellStyle name="20% - Accent1 6 2 2 3 2 2 2 2" xfId="27378"/>
    <cellStyle name="20% - Accent1 6 2 2 3 2 2 2 2 2" xfId="59408"/>
    <cellStyle name="20% - Accent1 6 2 2 3 2 2 2 3" xfId="40993"/>
    <cellStyle name="20% - Accent1 6 2 2 3 2 2 3" xfId="9995"/>
    <cellStyle name="20% - Accent1 6 2 2 3 2 2 3 2" xfId="47544"/>
    <cellStyle name="20% - Accent1 6 2 2 3 2 2 4" xfId="21796"/>
    <cellStyle name="20% - Accent1 6 2 2 3 2 2 4 2" xfId="59409"/>
    <cellStyle name="20% - Accent1 6 2 2 3 2 2 5" xfId="35411"/>
    <cellStyle name="20% - Accent1 6 2 2 3 2 3" xfId="15578"/>
    <cellStyle name="20% - Accent1 6 2 2 3 2 3 2" xfId="27379"/>
    <cellStyle name="20% - Accent1 6 2 2 3 2 3 2 2" xfId="47545"/>
    <cellStyle name="20% - Accent1 6 2 2 3 2 3 3" xfId="30536"/>
    <cellStyle name="20% - Accent1 6 2 2 3 2 3 3 2" xfId="47546"/>
    <cellStyle name="20% - Accent1 6 2 2 3 2 3 4" xfId="30537"/>
    <cellStyle name="20% - Accent1 6 2 2 3 2 3 4 2" xfId="59410"/>
    <cellStyle name="20% - Accent1 6 2 2 3 2 3 5" xfId="40994"/>
    <cellStyle name="20% - Accent1 6 2 2 3 2 4" xfId="15579"/>
    <cellStyle name="20% - Accent1 6 2 2 3 2 4 2" xfId="27380"/>
    <cellStyle name="20% - Accent1 6 2 2 3 2 4 2 2" xfId="59411"/>
    <cellStyle name="20% - Accent1 6 2 2 3 2 4 3" xfId="40995"/>
    <cellStyle name="20% - Accent1 6 2 2 3 2 5" xfId="7183"/>
    <cellStyle name="20% - Accent1 6 2 2 3 2 5 2" xfId="47547"/>
    <cellStyle name="20% - Accent1 6 2 2 3 2 6" xfId="18984"/>
    <cellStyle name="20% - Accent1 6 2 2 3 2 6 2" xfId="59412"/>
    <cellStyle name="20% - Accent1 6 2 2 3 2 7" xfId="32599"/>
    <cellStyle name="20% - Accent1 6 2 2 3 3" xfId="2701"/>
    <cellStyle name="20% - Accent1 6 2 2 3 3 2" xfId="15580"/>
    <cellStyle name="20% - Accent1 6 2 2 3 3 2 2" xfId="27381"/>
    <cellStyle name="20% - Accent1 6 2 2 3 3 2 2 2" xfId="59413"/>
    <cellStyle name="20% - Accent1 6 2 2 3 3 2 3" xfId="40996"/>
    <cellStyle name="20% - Accent1 6 2 2 3 3 3" xfId="8154"/>
    <cellStyle name="20% - Accent1 6 2 2 3 3 3 2" xfId="47548"/>
    <cellStyle name="20% - Accent1 6 2 2 3 3 4" xfId="19955"/>
    <cellStyle name="20% - Accent1 6 2 2 3 3 4 2" xfId="59414"/>
    <cellStyle name="20% - Accent1 6 2 2 3 3 5" xfId="33570"/>
    <cellStyle name="20% - Accent1 6 2 2 3 4" xfId="15581"/>
    <cellStyle name="20% - Accent1 6 2 2 3 4 2" xfId="27382"/>
    <cellStyle name="20% - Accent1 6 2 2 3 4 2 2" xfId="47549"/>
    <cellStyle name="20% - Accent1 6 2 2 3 4 3" xfId="30538"/>
    <cellStyle name="20% - Accent1 6 2 2 3 4 3 2" xfId="47550"/>
    <cellStyle name="20% - Accent1 6 2 2 3 4 4" xfId="30539"/>
    <cellStyle name="20% - Accent1 6 2 2 3 4 4 2" xfId="59415"/>
    <cellStyle name="20% - Accent1 6 2 2 3 4 5" xfId="40997"/>
    <cellStyle name="20% - Accent1 6 2 2 3 5" xfId="15582"/>
    <cellStyle name="20% - Accent1 6 2 2 3 5 2" xfId="27383"/>
    <cellStyle name="20% - Accent1 6 2 2 3 5 2 2" xfId="59416"/>
    <cellStyle name="20% - Accent1 6 2 2 3 5 3" xfId="40998"/>
    <cellStyle name="20% - Accent1 6 2 2 3 6" xfId="6254"/>
    <cellStyle name="20% - Accent1 6 2 2 3 6 2" xfId="47551"/>
    <cellStyle name="20% - Accent1 6 2 2 3 7" xfId="18055"/>
    <cellStyle name="20% - Accent1 6 2 2 3 7 2" xfId="59417"/>
    <cellStyle name="20% - Accent1 6 2 2 3 8" xfId="31670"/>
    <cellStyle name="20% - Accent1 6 2 2 4" xfId="1730"/>
    <cellStyle name="20% - Accent1 6 2 2 4 2" xfId="5110"/>
    <cellStyle name="20% - Accent1 6 2 2 4 2 2" xfId="15583"/>
    <cellStyle name="20% - Accent1 6 2 2 4 2 2 2" xfId="27384"/>
    <cellStyle name="20% - Accent1 6 2 2 4 2 2 2 2" xfId="59418"/>
    <cellStyle name="20% - Accent1 6 2 2 4 2 2 3" xfId="40999"/>
    <cellStyle name="20% - Accent1 6 2 2 4 2 3" xfId="10563"/>
    <cellStyle name="20% - Accent1 6 2 2 4 2 3 2" xfId="47552"/>
    <cellStyle name="20% - Accent1 6 2 2 4 2 4" xfId="22364"/>
    <cellStyle name="20% - Accent1 6 2 2 4 2 4 2" xfId="59419"/>
    <cellStyle name="20% - Accent1 6 2 2 4 2 5" xfId="35979"/>
    <cellStyle name="20% - Accent1 6 2 2 4 3" xfId="3269"/>
    <cellStyle name="20% - Accent1 6 2 2 4 3 2" xfId="15584"/>
    <cellStyle name="20% - Accent1 6 2 2 4 3 2 2" xfId="27385"/>
    <cellStyle name="20% - Accent1 6 2 2 4 3 2 2 2" xfId="59420"/>
    <cellStyle name="20% - Accent1 6 2 2 4 3 2 3" xfId="41000"/>
    <cellStyle name="20% - Accent1 6 2 2 4 3 3" xfId="8722"/>
    <cellStyle name="20% - Accent1 6 2 2 4 3 3 2" xfId="47553"/>
    <cellStyle name="20% - Accent1 6 2 2 4 3 4" xfId="20523"/>
    <cellStyle name="20% - Accent1 6 2 2 4 3 4 2" xfId="59421"/>
    <cellStyle name="20% - Accent1 6 2 2 4 3 5" xfId="34138"/>
    <cellStyle name="20% - Accent1 6 2 2 4 4" xfId="15585"/>
    <cellStyle name="20% - Accent1 6 2 2 4 4 2" xfId="27386"/>
    <cellStyle name="20% - Accent1 6 2 2 4 4 2 2" xfId="59422"/>
    <cellStyle name="20% - Accent1 6 2 2 4 4 3" xfId="41001"/>
    <cellStyle name="20% - Accent1 6 2 2 4 5" xfId="7184"/>
    <cellStyle name="20% - Accent1 6 2 2 4 5 2" xfId="47554"/>
    <cellStyle name="20% - Accent1 6 2 2 4 6" xfId="18985"/>
    <cellStyle name="20% - Accent1 6 2 2 4 6 2" xfId="59423"/>
    <cellStyle name="20% - Accent1 6 2 2 4 7" xfId="32600"/>
    <cellStyle name="20% - Accent1 6 2 2 5" xfId="3974"/>
    <cellStyle name="20% - Accent1 6 2 2 5 2" xfId="15586"/>
    <cellStyle name="20% - Accent1 6 2 2 5 2 2" xfId="27387"/>
    <cellStyle name="20% - Accent1 6 2 2 5 2 2 2" xfId="59424"/>
    <cellStyle name="20% - Accent1 6 2 2 5 2 3" xfId="41002"/>
    <cellStyle name="20% - Accent1 6 2 2 5 3" xfId="9427"/>
    <cellStyle name="20% - Accent1 6 2 2 5 3 2" xfId="47555"/>
    <cellStyle name="20% - Accent1 6 2 2 5 4" xfId="21228"/>
    <cellStyle name="20% - Accent1 6 2 2 5 4 2" xfId="59425"/>
    <cellStyle name="20% - Accent1 6 2 2 5 5" xfId="34843"/>
    <cellStyle name="20% - Accent1 6 2 2 6" xfId="2133"/>
    <cellStyle name="20% - Accent1 6 2 2 6 2" xfId="15587"/>
    <cellStyle name="20% - Accent1 6 2 2 6 2 2" xfId="27388"/>
    <cellStyle name="20% - Accent1 6 2 2 6 2 2 2" xfId="59426"/>
    <cellStyle name="20% - Accent1 6 2 2 6 2 3" xfId="41003"/>
    <cellStyle name="20% - Accent1 6 2 2 6 3" xfId="7586"/>
    <cellStyle name="20% - Accent1 6 2 2 6 3 2" xfId="47556"/>
    <cellStyle name="20% - Accent1 6 2 2 6 4" xfId="19387"/>
    <cellStyle name="20% - Accent1 6 2 2 6 4 2" xfId="59427"/>
    <cellStyle name="20% - Accent1 6 2 2 6 5" xfId="33002"/>
    <cellStyle name="20% - Accent1 6 2 2 7" xfId="15588"/>
    <cellStyle name="20% - Accent1 6 2 2 7 2" xfId="27389"/>
    <cellStyle name="20% - Accent1 6 2 2 7 2 2" xfId="59428"/>
    <cellStyle name="20% - Accent1 6 2 2 7 3" xfId="41004"/>
    <cellStyle name="20% - Accent1 6 2 2 8" xfId="5686"/>
    <cellStyle name="20% - Accent1 6 2 2 8 2" xfId="47557"/>
    <cellStyle name="20% - Accent1 6 2 2 9" xfId="17487"/>
    <cellStyle name="20% - Accent1 6 2 2 9 2" xfId="59429"/>
    <cellStyle name="20% - Accent1 6 2 3" xfId="374"/>
    <cellStyle name="20% - Accent1 6 2 3 2" xfId="1731"/>
    <cellStyle name="20% - Accent1 6 2 3 2 2" xfId="4684"/>
    <cellStyle name="20% - Accent1 6 2 3 2 2 2" xfId="15589"/>
    <cellStyle name="20% - Accent1 6 2 3 2 2 2 2" xfId="27390"/>
    <cellStyle name="20% - Accent1 6 2 3 2 2 2 2 2" xfId="59430"/>
    <cellStyle name="20% - Accent1 6 2 3 2 2 2 3" xfId="41005"/>
    <cellStyle name="20% - Accent1 6 2 3 2 2 3" xfId="10137"/>
    <cellStyle name="20% - Accent1 6 2 3 2 2 3 2" xfId="47558"/>
    <cellStyle name="20% - Accent1 6 2 3 2 2 4" xfId="21938"/>
    <cellStyle name="20% - Accent1 6 2 3 2 2 4 2" xfId="59431"/>
    <cellStyle name="20% - Accent1 6 2 3 2 2 5" xfId="35553"/>
    <cellStyle name="20% - Accent1 6 2 3 2 3" xfId="2843"/>
    <cellStyle name="20% - Accent1 6 2 3 2 3 2" xfId="15590"/>
    <cellStyle name="20% - Accent1 6 2 3 2 3 2 2" xfId="27391"/>
    <cellStyle name="20% - Accent1 6 2 3 2 3 2 2 2" xfId="59432"/>
    <cellStyle name="20% - Accent1 6 2 3 2 3 2 3" xfId="41006"/>
    <cellStyle name="20% - Accent1 6 2 3 2 3 3" xfId="8296"/>
    <cellStyle name="20% - Accent1 6 2 3 2 3 3 2" xfId="47559"/>
    <cellStyle name="20% - Accent1 6 2 3 2 3 4" xfId="20097"/>
    <cellStyle name="20% - Accent1 6 2 3 2 3 4 2" xfId="59433"/>
    <cellStyle name="20% - Accent1 6 2 3 2 3 5" xfId="33712"/>
    <cellStyle name="20% - Accent1 6 2 3 2 4" xfId="15591"/>
    <cellStyle name="20% - Accent1 6 2 3 2 4 2" xfId="27392"/>
    <cellStyle name="20% - Accent1 6 2 3 2 4 2 2" xfId="59434"/>
    <cellStyle name="20% - Accent1 6 2 3 2 4 3" xfId="41007"/>
    <cellStyle name="20% - Accent1 6 2 3 2 5" xfId="7185"/>
    <cellStyle name="20% - Accent1 6 2 3 2 5 2" xfId="47560"/>
    <cellStyle name="20% - Accent1 6 2 3 2 6" xfId="18986"/>
    <cellStyle name="20% - Accent1 6 2 3 2 6 2" xfId="59435"/>
    <cellStyle name="20% - Accent1 6 2 3 2 7" xfId="32601"/>
    <cellStyle name="20% - Accent1 6 2 3 3" xfId="3411"/>
    <cellStyle name="20% - Accent1 6 2 3 3 2" xfId="5252"/>
    <cellStyle name="20% - Accent1 6 2 3 3 2 2" xfId="16722"/>
    <cellStyle name="20% - Accent1 6 2 3 3 2 2 2" xfId="28523"/>
    <cellStyle name="20% - Accent1 6 2 3 3 2 2 2 2" xfId="59436"/>
    <cellStyle name="20% - Accent1 6 2 3 3 2 2 3" xfId="42138"/>
    <cellStyle name="20% - Accent1 6 2 3 3 2 3" xfId="10705"/>
    <cellStyle name="20% - Accent1 6 2 3 3 2 3 2" xfId="59437"/>
    <cellStyle name="20% - Accent1 6 2 3 3 2 4" xfId="22506"/>
    <cellStyle name="20% - Accent1 6 2 3 3 2 4 2" xfId="59438"/>
    <cellStyle name="20% - Accent1 6 2 3 3 2 5" xfId="36121"/>
    <cellStyle name="20% - Accent1 6 2 3 3 3" xfId="15592"/>
    <cellStyle name="20% - Accent1 6 2 3 3 3 2" xfId="27393"/>
    <cellStyle name="20% - Accent1 6 2 3 3 3 2 2" xfId="59439"/>
    <cellStyle name="20% - Accent1 6 2 3 3 3 3" xfId="41008"/>
    <cellStyle name="20% - Accent1 6 2 3 3 4" xfId="8864"/>
    <cellStyle name="20% - Accent1 6 2 3 3 4 2" xfId="59440"/>
    <cellStyle name="20% - Accent1 6 2 3 3 5" xfId="20665"/>
    <cellStyle name="20% - Accent1 6 2 3 3 5 2" xfId="59441"/>
    <cellStyle name="20% - Accent1 6 2 3 3 6" xfId="34280"/>
    <cellStyle name="20% - Accent1 6 2 3 4" xfId="4116"/>
    <cellStyle name="20% - Accent1 6 2 3 4 2" xfId="15593"/>
    <cellStyle name="20% - Accent1 6 2 3 4 2 2" xfId="27394"/>
    <cellStyle name="20% - Accent1 6 2 3 4 2 2 2" xfId="59442"/>
    <cellStyle name="20% - Accent1 6 2 3 4 2 3" xfId="41009"/>
    <cellStyle name="20% - Accent1 6 2 3 4 3" xfId="9569"/>
    <cellStyle name="20% - Accent1 6 2 3 4 3 2" xfId="47561"/>
    <cellStyle name="20% - Accent1 6 2 3 4 4" xfId="21370"/>
    <cellStyle name="20% - Accent1 6 2 3 4 4 2" xfId="59443"/>
    <cellStyle name="20% - Accent1 6 2 3 4 5" xfId="34985"/>
    <cellStyle name="20% - Accent1 6 2 3 5" xfId="2275"/>
    <cellStyle name="20% - Accent1 6 2 3 5 2" xfId="17196"/>
    <cellStyle name="20% - Accent1 6 2 3 5 2 2" xfId="28997"/>
    <cellStyle name="20% - Accent1 6 2 3 5 2 2 2" xfId="59444"/>
    <cellStyle name="20% - Accent1 6 2 3 5 2 3" xfId="42612"/>
    <cellStyle name="20% - Accent1 6 2 3 5 3" xfId="7728"/>
    <cellStyle name="20% - Accent1 6 2 3 5 3 2" xfId="59445"/>
    <cellStyle name="20% - Accent1 6 2 3 5 4" xfId="19529"/>
    <cellStyle name="20% - Accent1 6 2 3 5 4 2" xfId="59446"/>
    <cellStyle name="20% - Accent1 6 2 3 5 5" xfId="33144"/>
    <cellStyle name="20% - Accent1 6 2 3 6" xfId="15594"/>
    <cellStyle name="20% - Accent1 6 2 3 6 2" xfId="27395"/>
    <cellStyle name="20% - Accent1 6 2 3 6 2 2" xfId="59447"/>
    <cellStyle name="20% - Accent1 6 2 3 6 3" xfId="41010"/>
    <cellStyle name="20% - Accent1 6 2 3 7" xfId="5828"/>
    <cellStyle name="20% - Accent1 6 2 3 7 2" xfId="59448"/>
    <cellStyle name="20% - Accent1 6 2 3 8" xfId="17629"/>
    <cellStyle name="20% - Accent1 6 2 3 8 2" xfId="59449"/>
    <cellStyle name="20% - Accent1 6 2 3 9" xfId="31244"/>
    <cellStyle name="20% - Accent1 6 2 4" xfId="652"/>
    <cellStyle name="20% - Accent1 6 2 4 2" xfId="1732"/>
    <cellStyle name="20% - Accent1 6 2 4 2 2" xfId="4394"/>
    <cellStyle name="20% - Accent1 6 2 4 2 2 2" xfId="15595"/>
    <cellStyle name="20% - Accent1 6 2 4 2 2 2 2" xfId="27396"/>
    <cellStyle name="20% - Accent1 6 2 4 2 2 2 2 2" xfId="59450"/>
    <cellStyle name="20% - Accent1 6 2 4 2 2 2 3" xfId="41011"/>
    <cellStyle name="20% - Accent1 6 2 4 2 2 3" xfId="9847"/>
    <cellStyle name="20% - Accent1 6 2 4 2 2 3 2" xfId="47562"/>
    <cellStyle name="20% - Accent1 6 2 4 2 2 4" xfId="21648"/>
    <cellStyle name="20% - Accent1 6 2 4 2 2 4 2" xfId="59451"/>
    <cellStyle name="20% - Accent1 6 2 4 2 2 5" xfId="35263"/>
    <cellStyle name="20% - Accent1 6 2 4 2 3" xfId="15596"/>
    <cellStyle name="20% - Accent1 6 2 4 2 3 2" xfId="27397"/>
    <cellStyle name="20% - Accent1 6 2 4 2 3 2 2" xfId="47563"/>
    <cellStyle name="20% - Accent1 6 2 4 2 3 3" xfId="30540"/>
    <cellStyle name="20% - Accent1 6 2 4 2 3 3 2" xfId="47564"/>
    <cellStyle name="20% - Accent1 6 2 4 2 3 4" xfId="30541"/>
    <cellStyle name="20% - Accent1 6 2 4 2 3 4 2" xfId="59452"/>
    <cellStyle name="20% - Accent1 6 2 4 2 3 5" xfId="41012"/>
    <cellStyle name="20% - Accent1 6 2 4 2 4" xfId="15597"/>
    <cellStyle name="20% - Accent1 6 2 4 2 4 2" xfId="27398"/>
    <cellStyle name="20% - Accent1 6 2 4 2 4 2 2" xfId="59453"/>
    <cellStyle name="20% - Accent1 6 2 4 2 4 3" xfId="41013"/>
    <cellStyle name="20% - Accent1 6 2 4 2 5" xfId="7186"/>
    <cellStyle name="20% - Accent1 6 2 4 2 5 2" xfId="47565"/>
    <cellStyle name="20% - Accent1 6 2 4 2 6" xfId="18987"/>
    <cellStyle name="20% - Accent1 6 2 4 2 6 2" xfId="59454"/>
    <cellStyle name="20% - Accent1 6 2 4 2 7" xfId="32602"/>
    <cellStyle name="20% - Accent1 6 2 4 3" xfId="2553"/>
    <cellStyle name="20% - Accent1 6 2 4 3 2" xfId="15598"/>
    <cellStyle name="20% - Accent1 6 2 4 3 2 2" xfId="27399"/>
    <cellStyle name="20% - Accent1 6 2 4 3 2 2 2" xfId="59455"/>
    <cellStyle name="20% - Accent1 6 2 4 3 2 3" xfId="41014"/>
    <cellStyle name="20% - Accent1 6 2 4 3 3" xfId="8006"/>
    <cellStyle name="20% - Accent1 6 2 4 3 3 2" xfId="47566"/>
    <cellStyle name="20% - Accent1 6 2 4 3 4" xfId="19807"/>
    <cellStyle name="20% - Accent1 6 2 4 3 4 2" xfId="59456"/>
    <cellStyle name="20% - Accent1 6 2 4 3 5" xfId="33422"/>
    <cellStyle name="20% - Accent1 6 2 4 4" xfId="15599"/>
    <cellStyle name="20% - Accent1 6 2 4 4 2" xfId="27400"/>
    <cellStyle name="20% - Accent1 6 2 4 4 2 2" xfId="47567"/>
    <cellStyle name="20% - Accent1 6 2 4 4 3" xfId="30542"/>
    <cellStyle name="20% - Accent1 6 2 4 4 3 2" xfId="47568"/>
    <cellStyle name="20% - Accent1 6 2 4 4 4" xfId="30543"/>
    <cellStyle name="20% - Accent1 6 2 4 4 4 2" xfId="59457"/>
    <cellStyle name="20% - Accent1 6 2 4 4 5" xfId="41015"/>
    <cellStyle name="20% - Accent1 6 2 4 5" xfId="15600"/>
    <cellStyle name="20% - Accent1 6 2 4 5 2" xfId="27401"/>
    <cellStyle name="20% - Accent1 6 2 4 5 2 2" xfId="59458"/>
    <cellStyle name="20% - Accent1 6 2 4 5 3" xfId="41016"/>
    <cellStyle name="20% - Accent1 6 2 4 6" xfId="6106"/>
    <cellStyle name="20% - Accent1 6 2 4 6 2" xfId="47569"/>
    <cellStyle name="20% - Accent1 6 2 4 7" xfId="17907"/>
    <cellStyle name="20% - Accent1 6 2 4 7 2" xfId="59459"/>
    <cellStyle name="20% - Accent1 6 2 4 8" xfId="31522"/>
    <cellStyle name="20% - Accent1 6 2 5" xfId="893"/>
    <cellStyle name="20% - Accent1 6 2 5 2" xfId="1733"/>
    <cellStyle name="20% - Accent1 6 2 5 2 2" xfId="4962"/>
    <cellStyle name="20% - Accent1 6 2 5 2 2 2" xfId="15601"/>
    <cellStyle name="20% - Accent1 6 2 5 2 2 2 2" xfId="27402"/>
    <cellStyle name="20% - Accent1 6 2 5 2 2 2 2 2" xfId="59460"/>
    <cellStyle name="20% - Accent1 6 2 5 2 2 2 3" xfId="41017"/>
    <cellStyle name="20% - Accent1 6 2 5 2 2 3" xfId="10415"/>
    <cellStyle name="20% - Accent1 6 2 5 2 2 3 2" xfId="47570"/>
    <cellStyle name="20% - Accent1 6 2 5 2 2 4" xfId="22216"/>
    <cellStyle name="20% - Accent1 6 2 5 2 2 4 2" xfId="59461"/>
    <cellStyle name="20% - Accent1 6 2 5 2 2 5" xfId="35831"/>
    <cellStyle name="20% - Accent1 6 2 5 2 3" xfId="15602"/>
    <cellStyle name="20% - Accent1 6 2 5 2 3 2" xfId="27403"/>
    <cellStyle name="20% - Accent1 6 2 5 2 3 2 2" xfId="47571"/>
    <cellStyle name="20% - Accent1 6 2 5 2 3 3" xfId="30544"/>
    <cellStyle name="20% - Accent1 6 2 5 2 3 3 2" xfId="47572"/>
    <cellStyle name="20% - Accent1 6 2 5 2 3 4" xfId="30545"/>
    <cellStyle name="20% - Accent1 6 2 5 2 3 4 2" xfId="59462"/>
    <cellStyle name="20% - Accent1 6 2 5 2 3 5" xfId="41018"/>
    <cellStyle name="20% - Accent1 6 2 5 2 4" xfId="15603"/>
    <cellStyle name="20% - Accent1 6 2 5 2 4 2" xfId="27404"/>
    <cellStyle name="20% - Accent1 6 2 5 2 4 2 2" xfId="59463"/>
    <cellStyle name="20% - Accent1 6 2 5 2 4 3" xfId="41019"/>
    <cellStyle name="20% - Accent1 6 2 5 2 5" xfId="7187"/>
    <cellStyle name="20% - Accent1 6 2 5 2 5 2" xfId="47573"/>
    <cellStyle name="20% - Accent1 6 2 5 2 6" xfId="18988"/>
    <cellStyle name="20% - Accent1 6 2 5 2 6 2" xfId="59464"/>
    <cellStyle name="20% - Accent1 6 2 5 2 7" xfId="32603"/>
    <cellStyle name="20% - Accent1 6 2 5 3" xfId="3121"/>
    <cellStyle name="20% - Accent1 6 2 5 3 2" xfId="15604"/>
    <cellStyle name="20% - Accent1 6 2 5 3 2 2" xfId="27405"/>
    <cellStyle name="20% - Accent1 6 2 5 3 2 2 2" xfId="59465"/>
    <cellStyle name="20% - Accent1 6 2 5 3 2 3" xfId="41020"/>
    <cellStyle name="20% - Accent1 6 2 5 3 3" xfId="8574"/>
    <cellStyle name="20% - Accent1 6 2 5 3 3 2" xfId="47574"/>
    <cellStyle name="20% - Accent1 6 2 5 3 4" xfId="20375"/>
    <cellStyle name="20% - Accent1 6 2 5 3 4 2" xfId="59466"/>
    <cellStyle name="20% - Accent1 6 2 5 3 5" xfId="33990"/>
    <cellStyle name="20% - Accent1 6 2 5 4" xfId="15605"/>
    <cellStyle name="20% - Accent1 6 2 5 4 2" xfId="27406"/>
    <cellStyle name="20% - Accent1 6 2 5 4 2 2" xfId="47575"/>
    <cellStyle name="20% - Accent1 6 2 5 4 3" xfId="30546"/>
    <cellStyle name="20% - Accent1 6 2 5 4 3 2" xfId="47576"/>
    <cellStyle name="20% - Accent1 6 2 5 4 4" xfId="30547"/>
    <cellStyle name="20% - Accent1 6 2 5 4 4 2" xfId="59467"/>
    <cellStyle name="20% - Accent1 6 2 5 4 5" xfId="41021"/>
    <cellStyle name="20% - Accent1 6 2 5 5" xfId="15606"/>
    <cellStyle name="20% - Accent1 6 2 5 5 2" xfId="27407"/>
    <cellStyle name="20% - Accent1 6 2 5 5 2 2" xfId="59468"/>
    <cellStyle name="20% - Accent1 6 2 5 5 3" xfId="41022"/>
    <cellStyle name="20% - Accent1 6 2 5 6" xfId="6347"/>
    <cellStyle name="20% - Accent1 6 2 5 6 2" xfId="47577"/>
    <cellStyle name="20% - Accent1 6 2 5 7" xfId="18148"/>
    <cellStyle name="20% - Accent1 6 2 5 7 2" xfId="59469"/>
    <cellStyle name="20% - Accent1 6 2 5 8" xfId="31763"/>
    <cellStyle name="20% - Accent1 6 2 6" xfId="1734"/>
    <cellStyle name="20% - Accent1 6 2 6 2" xfId="3826"/>
    <cellStyle name="20% - Accent1 6 2 6 2 2" xfId="15607"/>
    <cellStyle name="20% - Accent1 6 2 6 2 2 2" xfId="27408"/>
    <cellStyle name="20% - Accent1 6 2 6 2 2 2 2" xfId="59470"/>
    <cellStyle name="20% - Accent1 6 2 6 2 2 3" xfId="41023"/>
    <cellStyle name="20% - Accent1 6 2 6 2 3" xfId="9279"/>
    <cellStyle name="20% - Accent1 6 2 6 2 3 2" xfId="47578"/>
    <cellStyle name="20% - Accent1 6 2 6 2 4" xfId="21080"/>
    <cellStyle name="20% - Accent1 6 2 6 2 4 2" xfId="59471"/>
    <cellStyle name="20% - Accent1 6 2 6 2 5" xfId="34695"/>
    <cellStyle name="20% - Accent1 6 2 6 3" xfId="15608"/>
    <cellStyle name="20% - Accent1 6 2 6 3 2" xfId="27409"/>
    <cellStyle name="20% - Accent1 6 2 6 3 2 2" xfId="47579"/>
    <cellStyle name="20% - Accent1 6 2 6 3 3" xfId="30548"/>
    <cellStyle name="20% - Accent1 6 2 6 3 3 2" xfId="47580"/>
    <cellStyle name="20% - Accent1 6 2 6 3 4" xfId="30549"/>
    <cellStyle name="20% - Accent1 6 2 6 3 4 2" xfId="59472"/>
    <cellStyle name="20% - Accent1 6 2 6 3 5" xfId="41024"/>
    <cellStyle name="20% - Accent1 6 2 6 4" xfId="15609"/>
    <cellStyle name="20% - Accent1 6 2 6 4 2" xfId="27410"/>
    <cellStyle name="20% - Accent1 6 2 6 4 2 2" xfId="59473"/>
    <cellStyle name="20% - Accent1 6 2 6 4 3" xfId="41025"/>
    <cellStyle name="20% - Accent1 6 2 6 5" xfId="7188"/>
    <cellStyle name="20% - Accent1 6 2 6 5 2" xfId="47581"/>
    <cellStyle name="20% - Accent1 6 2 6 6" xfId="18989"/>
    <cellStyle name="20% - Accent1 6 2 6 6 2" xfId="59474"/>
    <cellStyle name="20% - Accent1 6 2 6 7" xfId="32604"/>
    <cellStyle name="20% - Accent1 6 2 7" xfId="3689"/>
    <cellStyle name="20% - Accent1 6 2 7 2" xfId="15610"/>
    <cellStyle name="20% - Accent1 6 2 7 2 2" xfId="27411"/>
    <cellStyle name="20% - Accent1 6 2 7 2 2 2" xfId="59475"/>
    <cellStyle name="20% - Accent1 6 2 7 2 3" xfId="41026"/>
    <cellStyle name="20% - Accent1 6 2 7 3" xfId="9142"/>
    <cellStyle name="20% - Accent1 6 2 7 3 2" xfId="47582"/>
    <cellStyle name="20% - Accent1 6 2 7 4" xfId="20943"/>
    <cellStyle name="20% - Accent1 6 2 7 4 2" xfId="59476"/>
    <cellStyle name="20% - Accent1 6 2 7 5" xfId="34558"/>
    <cellStyle name="20% - Accent1 6 2 8" xfId="1985"/>
    <cellStyle name="20% - Accent1 6 2 8 2" xfId="15611"/>
    <cellStyle name="20% - Accent1 6 2 8 2 2" xfId="27412"/>
    <cellStyle name="20% - Accent1 6 2 8 2 2 2" xfId="59477"/>
    <cellStyle name="20% - Accent1 6 2 8 2 3" xfId="41027"/>
    <cellStyle name="20% - Accent1 6 2 8 3" xfId="7438"/>
    <cellStyle name="20% - Accent1 6 2 8 3 2" xfId="47583"/>
    <cellStyle name="20% - Accent1 6 2 8 4" xfId="19239"/>
    <cellStyle name="20% - Accent1 6 2 8 4 2" xfId="59478"/>
    <cellStyle name="20% - Accent1 6 2 8 5" xfId="32854"/>
    <cellStyle name="20% - Accent1 6 2 9" xfId="15612"/>
    <cellStyle name="20% - Accent1 6 2 9 2" xfId="27413"/>
    <cellStyle name="20% - Accent1 6 2 9 2 2" xfId="59479"/>
    <cellStyle name="20% - Accent1 6 2 9 3" xfId="41028"/>
    <cellStyle name="20% - Accent1 6 3" xfId="155"/>
    <cellStyle name="20% - Accent1 6 3 10" xfId="31025"/>
    <cellStyle name="20% - Accent1 6 3 2" xfId="307"/>
    <cellStyle name="20% - Accent1 6 3 2 2" xfId="1735"/>
    <cellStyle name="20% - Accent1 6 3 2 2 2" xfId="4617"/>
    <cellStyle name="20% - Accent1 6 3 2 2 2 2" xfId="15613"/>
    <cellStyle name="20% - Accent1 6 3 2 2 2 2 2" xfId="27414"/>
    <cellStyle name="20% - Accent1 6 3 2 2 2 2 2 2" xfId="59480"/>
    <cellStyle name="20% - Accent1 6 3 2 2 2 2 3" xfId="41029"/>
    <cellStyle name="20% - Accent1 6 3 2 2 2 3" xfId="10070"/>
    <cellStyle name="20% - Accent1 6 3 2 2 2 3 2" xfId="47584"/>
    <cellStyle name="20% - Accent1 6 3 2 2 2 4" xfId="21871"/>
    <cellStyle name="20% - Accent1 6 3 2 2 2 4 2" xfId="59481"/>
    <cellStyle name="20% - Accent1 6 3 2 2 2 5" xfId="35486"/>
    <cellStyle name="20% - Accent1 6 3 2 2 3" xfId="2776"/>
    <cellStyle name="20% - Accent1 6 3 2 2 3 2" xfId="15614"/>
    <cellStyle name="20% - Accent1 6 3 2 2 3 2 2" xfId="27415"/>
    <cellStyle name="20% - Accent1 6 3 2 2 3 2 2 2" xfId="59482"/>
    <cellStyle name="20% - Accent1 6 3 2 2 3 2 3" xfId="41030"/>
    <cellStyle name="20% - Accent1 6 3 2 2 3 3" xfId="8229"/>
    <cellStyle name="20% - Accent1 6 3 2 2 3 3 2" xfId="47585"/>
    <cellStyle name="20% - Accent1 6 3 2 2 3 4" xfId="20030"/>
    <cellStyle name="20% - Accent1 6 3 2 2 3 4 2" xfId="59483"/>
    <cellStyle name="20% - Accent1 6 3 2 2 3 5" xfId="33645"/>
    <cellStyle name="20% - Accent1 6 3 2 2 4" xfId="15615"/>
    <cellStyle name="20% - Accent1 6 3 2 2 4 2" xfId="27416"/>
    <cellStyle name="20% - Accent1 6 3 2 2 4 2 2" xfId="59484"/>
    <cellStyle name="20% - Accent1 6 3 2 2 4 3" xfId="41031"/>
    <cellStyle name="20% - Accent1 6 3 2 2 5" xfId="7189"/>
    <cellStyle name="20% - Accent1 6 3 2 2 5 2" xfId="47586"/>
    <cellStyle name="20% - Accent1 6 3 2 2 6" xfId="18990"/>
    <cellStyle name="20% - Accent1 6 3 2 2 6 2" xfId="59485"/>
    <cellStyle name="20% - Accent1 6 3 2 2 7" xfId="32605"/>
    <cellStyle name="20% - Accent1 6 3 2 3" xfId="3344"/>
    <cellStyle name="20% - Accent1 6 3 2 3 2" xfId="5185"/>
    <cellStyle name="20% - Accent1 6 3 2 3 2 2" xfId="16655"/>
    <cellStyle name="20% - Accent1 6 3 2 3 2 2 2" xfId="28456"/>
    <cellStyle name="20% - Accent1 6 3 2 3 2 2 2 2" xfId="59486"/>
    <cellStyle name="20% - Accent1 6 3 2 3 2 2 3" xfId="42071"/>
    <cellStyle name="20% - Accent1 6 3 2 3 2 3" xfId="10638"/>
    <cellStyle name="20% - Accent1 6 3 2 3 2 3 2" xfId="59487"/>
    <cellStyle name="20% - Accent1 6 3 2 3 2 4" xfId="22439"/>
    <cellStyle name="20% - Accent1 6 3 2 3 2 4 2" xfId="59488"/>
    <cellStyle name="20% - Accent1 6 3 2 3 2 5" xfId="36054"/>
    <cellStyle name="20% - Accent1 6 3 2 3 3" xfId="15616"/>
    <cellStyle name="20% - Accent1 6 3 2 3 3 2" xfId="27417"/>
    <cellStyle name="20% - Accent1 6 3 2 3 3 2 2" xfId="59489"/>
    <cellStyle name="20% - Accent1 6 3 2 3 3 3" xfId="41032"/>
    <cellStyle name="20% - Accent1 6 3 2 3 4" xfId="8797"/>
    <cellStyle name="20% - Accent1 6 3 2 3 4 2" xfId="59490"/>
    <cellStyle name="20% - Accent1 6 3 2 3 5" xfId="20598"/>
    <cellStyle name="20% - Accent1 6 3 2 3 5 2" xfId="59491"/>
    <cellStyle name="20% - Accent1 6 3 2 3 6" xfId="34213"/>
    <cellStyle name="20% - Accent1 6 3 2 4" xfId="4049"/>
    <cellStyle name="20% - Accent1 6 3 2 4 2" xfId="15617"/>
    <cellStyle name="20% - Accent1 6 3 2 4 2 2" xfId="27418"/>
    <cellStyle name="20% - Accent1 6 3 2 4 2 2 2" xfId="59492"/>
    <cellStyle name="20% - Accent1 6 3 2 4 2 3" xfId="41033"/>
    <cellStyle name="20% - Accent1 6 3 2 4 3" xfId="9502"/>
    <cellStyle name="20% - Accent1 6 3 2 4 3 2" xfId="47587"/>
    <cellStyle name="20% - Accent1 6 3 2 4 4" xfId="21303"/>
    <cellStyle name="20% - Accent1 6 3 2 4 4 2" xfId="59493"/>
    <cellStyle name="20% - Accent1 6 3 2 4 5" xfId="34918"/>
    <cellStyle name="20% - Accent1 6 3 2 5" xfId="2208"/>
    <cellStyle name="20% - Accent1 6 3 2 5 2" xfId="17197"/>
    <cellStyle name="20% - Accent1 6 3 2 5 2 2" xfId="28998"/>
    <cellStyle name="20% - Accent1 6 3 2 5 2 2 2" xfId="59494"/>
    <cellStyle name="20% - Accent1 6 3 2 5 2 3" xfId="42613"/>
    <cellStyle name="20% - Accent1 6 3 2 5 3" xfId="7661"/>
    <cellStyle name="20% - Accent1 6 3 2 5 3 2" xfId="59495"/>
    <cellStyle name="20% - Accent1 6 3 2 5 4" xfId="19462"/>
    <cellStyle name="20% - Accent1 6 3 2 5 4 2" xfId="59496"/>
    <cellStyle name="20% - Accent1 6 3 2 5 5" xfId="33077"/>
    <cellStyle name="20% - Accent1 6 3 2 6" xfId="15618"/>
    <cellStyle name="20% - Accent1 6 3 2 6 2" xfId="27419"/>
    <cellStyle name="20% - Accent1 6 3 2 6 2 2" xfId="59497"/>
    <cellStyle name="20% - Accent1 6 3 2 6 3" xfId="41034"/>
    <cellStyle name="20% - Accent1 6 3 2 7" xfId="5761"/>
    <cellStyle name="20% - Accent1 6 3 2 7 2" xfId="59498"/>
    <cellStyle name="20% - Accent1 6 3 2 8" xfId="17562"/>
    <cellStyle name="20% - Accent1 6 3 2 8 2" xfId="59499"/>
    <cellStyle name="20% - Accent1 6 3 2 9" xfId="31177"/>
    <cellStyle name="20% - Accent1 6 3 3" xfId="723"/>
    <cellStyle name="20% - Accent1 6 3 3 2" xfId="1736"/>
    <cellStyle name="20% - Accent1 6 3 3 2 2" xfId="4465"/>
    <cellStyle name="20% - Accent1 6 3 3 2 2 2" xfId="15619"/>
    <cellStyle name="20% - Accent1 6 3 3 2 2 2 2" xfId="27420"/>
    <cellStyle name="20% - Accent1 6 3 3 2 2 2 2 2" xfId="59500"/>
    <cellStyle name="20% - Accent1 6 3 3 2 2 2 3" xfId="41035"/>
    <cellStyle name="20% - Accent1 6 3 3 2 2 3" xfId="9918"/>
    <cellStyle name="20% - Accent1 6 3 3 2 2 3 2" xfId="47588"/>
    <cellStyle name="20% - Accent1 6 3 3 2 2 4" xfId="21719"/>
    <cellStyle name="20% - Accent1 6 3 3 2 2 4 2" xfId="59501"/>
    <cellStyle name="20% - Accent1 6 3 3 2 2 5" xfId="35334"/>
    <cellStyle name="20% - Accent1 6 3 3 2 3" xfId="15620"/>
    <cellStyle name="20% - Accent1 6 3 3 2 3 2" xfId="27421"/>
    <cellStyle name="20% - Accent1 6 3 3 2 3 2 2" xfId="47589"/>
    <cellStyle name="20% - Accent1 6 3 3 2 3 3" xfId="30550"/>
    <cellStyle name="20% - Accent1 6 3 3 2 3 3 2" xfId="47590"/>
    <cellStyle name="20% - Accent1 6 3 3 2 3 4" xfId="30551"/>
    <cellStyle name="20% - Accent1 6 3 3 2 3 4 2" xfId="59502"/>
    <cellStyle name="20% - Accent1 6 3 3 2 3 5" xfId="41036"/>
    <cellStyle name="20% - Accent1 6 3 3 2 4" xfId="15621"/>
    <cellStyle name="20% - Accent1 6 3 3 2 4 2" xfId="27422"/>
    <cellStyle name="20% - Accent1 6 3 3 2 4 2 2" xfId="59503"/>
    <cellStyle name="20% - Accent1 6 3 3 2 4 3" xfId="41037"/>
    <cellStyle name="20% - Accent1 6 3 3 2 5" xfId="7190"/>
    <cellStyle name="20% - Accent1 6 3 3 2 5 2" xfId="47591"/>
    <cellStyle name="20% - Accent1 6 3 3 2 6" xfId="18991"/>
    <cellStyle name="20% - Accent1 6 3 3 2 6 2" xfId="59504"/>
    <cellStyle name="20% - Accent1 6 3 3 2 7" xfId="32606"/>
    <cellStyle name="20% - Accent1 6 3 3 3" xfId="2624"/>
    <cellStyle name="20% - Accent1 6 3 3 3 2" xfId="15622"/>
    <cellStyle name="20% - Accent1 6 3 3 3 2 2" xfId="27423"/>
    <cellStyle name="20% - Accent1 6 3 3 3 2 2 2" xfId="59505"/>
    <cellStyle name="20% - Accent1 6 3 3 3 2 3" xfId="41038"/>
    <cellStyle name="20% - Accent1 6 3 3 3 3" xfId="8077"/>
    <cellStyle name="20% - Accent1 6 3 3 3 3 2" xfId="47592"/>
    <cellStyle name="20% - Accent1 6 3 3 3 4" xfId="19878"/>
    <cellStyle name="20% - Accent1 6 3 3 3 4 2" xfId="59506"/>
    <cellStyle name="20% - Accent1 6 3 3 3 5" xfId="33493"/>
    <cellStyle name="20% - Accent1 6 3 3 4" xfId="15623"/>
    <cellStyle name="20% - Accent1 6 3 3 4 2" xfId="27424"/>
    <cellStyle name="20% - Accent1 6 3 3 4 2 2" xfId="47593"/>
    <cellStyle name="20% - Accent1 6 3 3 4 3" xfId="30552"/>
    <cellStyle name="20% - Accent1 6 3 3 4 3 2" xfId="47594"/>
    <cellStyle name="20% - Accent1 6 3 3 4 4" xfId="30553"/>
    <cellStyle name="20% - Accent1 6 3 3 4 4 2" xfId="59507"/>
    <cellStyle name="20% - Accent1 6 3 3 4 5" xfId="41039"/>
    <cellStyle name="20% - Accent1 6 3 3 5" xfId="15624"/>
    <cellStyle name="20% - Accent1 6 3 3 5 2" xfId="27425"/>
    <cellStyle name="20% - Accent1 6 3 3 5 2 2" xfId="59508"/>
    <cellStyle name="20% - Accent1 6 3 3 5 3" xfId="41040"/>
    <cellStyle name="20% - Accent1 6 3 3 6" xfId="6177"/>
    <cellStyle name="20% - Accent1 6 3 3 6 2" xfId="47595"/>
    <cellStyle name="20% - Accent1 6 3 3 7" xfId="17978"/>
    <cellStyle name="20% - Accent1 6 3 3 7 2" xfId="59509"/>
    <cellStyle name="20% - Accent1 6 3 3 8" xfId="31593"/>
    <cellStyle name="20% - Accent1 6 3 4" xfId="1737"/>
    <cellStyle name="20% - Accent1 6 3 4 2" xfId="5033"/>
    <cellStyle name="20% - Accent1 6 3 4 2 2" xfId="15625"/>
    <cellStyle name="20% - Accent1 6 3 4 2 2 2" xfId="27426"/>
    <cellStyle name="20% - Accent1 6 3 4 2 2 2 2" xfId="59510"/>
    <cellStyle name="20% - Accent1 6 3 4 2 2 3" xfId="41041"/>
    <cellStyle name="20% - Accent1 6 3 4 2 3" xfId="10486"/>
    <cellStyle name="20% - Accent1 6 3 4 2 3 2" xfId="47596"/>
    <cellStyle name="20% - Accent1 6 3 4 2 4" xfId="22287"/>
    <cellStyle name="20% - Accent1 6 3 4 2 4 2" xfId="59511"/>
    <cellStyle name="20% - Accent1 6 3 4 2 5" xfId="35902"/>
    <cellStyle name="20% - Accent1 6 3 4 3" xfId="3192"/>
    <cellStyle name="20% - Accent1 6 3 4 3 2" xfId="15626"/>
    <cellStyle name="20% - Accent1 6 3 4 3 2 2" xfId="27427"/>
    <cellStyle name="20% - Accent1 6 3 4 3 2 2 2" xfId="59512"/>
    <cellStyle name="20% - Accent1 6 3 4 3 2 3" xfId="41042"/>
    <cellStyle name="20% - Accent1 6 3 4 3 3" xfId="8645"/>
    <cellStyle name="20% - Accent1 6 3 4 3 3 2" xfId="47597"/>
    <cellStyle name="20% - Accent1 6 3 4 3 4" xfId="20446"/>
    <cellStyle name="20% - Accent1 6 3 4 3 4 2" xfId="59513"/>
    <cellStyle name="20% - Accent1 6 3 4 3 5" xfId="34061"/>
    <cellStyle name="20% - Accent1 6 3 4 4" xfId="15627"/>
    <cellStyle name="20% - Accent1 6 3 4 4 2" xfId="27428"/>
    <cellStyle name="20% - Accent1 6 3 4 4 2 2" xfId="59514"/>
    <cellStyle name="20% - Accent1 6 3 4 4 3" xfId="41043"/>
    <cellStyle name="20% - Accent1 6 3 4 5" xfId="7191"/>
    <cellStyle name="20% - Accent1 6 3 4 5 2" xfId="47598"/>
    <cellStyle name="20% - Accent1 6 3 4 6" xfId="18992"/>
    <cellStyle name="20% - Accent1 6 3 4 6 2" xfId="59515"/>
    <cellStyle name="20% - Accent1 6 3 4 7" xfId="32607"/>
    <cellStyle name="20% - Accent1 6 3 5" xfId="3897"/>
    <cellStyle name="20% - Accent1 6 3 5 2" xfId="15628"/>
    <cellStyle name="20% - Accent1 6 3 5 2 2" xfId="27429"/>
    <cellStyle name="20% - Accent1 6 3 5 2 2 2" xfId="59516"/>
    <cellStyle name="20% - Accent1 6 3 5 2 3" xfId="41044"/>
    <cellStyle name="20% - Accent1 6 3 5 3" xfId="9350"/>
    <cellStyle name="20% - Accent1 6 3 5 3 2" xfId="47599"/>
    <cellStyle name="20% - Accent1 6 3 5 4" xfId="21151"/>
    <cellStyle name="20% - Accent1 6 3 5 4 2" xfId="59517"/>
    <cellStyle name="20% - Accent1 6 3 5 5" xfId="34766"/>
    <cellStyle name="20% - Accent1 6 3 6" xfId="2056"/>
    <cellStyle name="20% - Accent1 6 3 6 2" xfId="15629"/>
    <cellStyle name="20% - Accent1 6 3 6 2 2" xfId="27430"/>
    <cellStyle name="20% - Accent1 6 3 6 2 2 2" xfId="59518"/>
    <cellStyle name="20% - Accent1 6 3 6 2 3" xfId="41045"/>
    <cellStyle name="20% - Accent1 6 3 6 3" xfId="7509"/>
    <cellStyle name="20% - Accent1 6 3 6 3 2" xfId="47600"/>
    <cellStyle name="20% - Accent1 6 3 6 4" xfId="19310"/>
    <cellStyle name="20% - Accent1 6 3 6 4 2" xfId="59519"/>
    <cellStyle name="20% - Accent1 6 3 6 5" xfId="32925"/>
    <cellStyle name="20% - Accent1 6 3 7" xfId="15630"/>
    <cellStyle name="20% - Accent1 6 3 7 2" xfId="27431"/>
    <cellStyle name="20% - Accent1 6 3 7 2 2" xfId="59520"/>
    <cellStyle name="20% - Accent1 6 3 7 3" xfId="41046"/>
    <cellStyle name="20% - Accent1 6 3 8" xfId="5609"/>
    <cellStyle name="20% - Accent1 6 3 8 2" xfId="30862"/>
    <cellStyle name="20% - Accent1 6 3 8 3" xfId="42675"/>
    <cellStyle name="20% - Accent1 6 3 9" xfId="17410"/>
    <cellStyle name="20% - Accent1 6 3 9 2" xfId="59521"/>
    <cellStyle name="20% - Accent1 6 4" xfId="444"/>
    <cellStyle name="20% - Accent1 6 4 2" xfId="1738"/>
    <cellStyle name="20% - Accent1 6 4 2 2" xfId="4754"/>
    <cellStyle name="20% - Accent1 6 4 2 2 2" xfId="15631"/>
    <cellStyle name="20% - Accent1 6 4 2 2 2 2" xfId="27432"/>
    <cellStyle name="20% - Accent1 6 4 2 2 2 2 2" xfId="59522"/>
    <cellStyle name="20% - Accent1 6 4 2 2 2 3" xfId="41047"/>
    <cellStyle name="20% - Accent1 6 4 2 2 3" xfId="10207"/>
    <cellStyle name="20% - Accent1 6 4 2 2 3 2" xfId="47601"/>
    <cellStyle name="20% - Accent1 6 4 2 2 4" xfId="22008"/>
    <cellStyle name="20% - Accent1 6 4 2 2 4 2" xfId="59523"/>
    <cellStyle name="20% - Accent1 6 4 2 2 5" xfId="35623"/>
    <cellStyle name="20% - Accent1 6 4 2 3" xfId="2913"/>
    <cellStyle name="20% - Accent1 6 4 2 3 2" xfId="15632"/>
    <cellStyle name="20% - Accent1 6 4 2 3 2 2" xfId="27433"/>
    <cellStyle name="20% - Accent1 6 4 2 3 2 2 2" xfId="59524"/>
    <cellStyle name="20% - Accent1 6 4 2 3 2 3" xfId="41048"/>
    <cellStyle name="20% - Accent1 6 4 2 3 3" xfId="8366"/>
    <cellStyle name="20% - Accent1 6 4 2 3 3 2" xfId="47602"/>
    <cellStyle name="20% - Accent1 6 4 2 3 4" xfId="20167"/>
    <cellStyle name="20% - Accent1 6 4 2 3 4 2" xfId="59525"/>
    <cellStyle name="20% - Accent1 6 4 2 3 5" xfId="33782"/>
    <cellStyle name="20% - Accent1 6 4 2 4" xfId="15633"/>
    <cellStyle name="20% - Accent1 6 4 2 4 2" xfId="27434"/>
    <cellStyle name="20% - Accent1 6 4 2 4 2 2" xfId="59526"/>
    <cellStyle name="20% - Accent1 6 4 2 4 3" xfId="41049"/>
    <cellStyle name="20% - Accent1 6 4 2 5" xfId="7192"/>
    <cellStyle name="20% - Accent1 6 4 2 5 2" xfId="47603"/>
    <cellStyle name="20% - Accent1 6 4 2 6" xfId="18993"/>
    <cellStyle name="20% - Accent1 6 4 2 6 2" xfId="59527"/>
    <cellStyle name="20% - Accent1 6 4 2 7" xfId="32608"/>
    <cellStyle name="20% - Accent1 6 4 3" xfId="3481"/>
    <cellStyle name="20% - Accent1 6 4 3 2" xfId="5322"/>
    <cellStyle name="20% - Accent1 6 4 3 2 2" xfId="16792"/>
    <cellStyle name="20% - Accent1 6 4 3 2 2 2" xfId="28593"/>
    <cellStyle name="20% - Accent1 6 4 3 2 2 2 2" xfId="59528"/>
    <cellStyle name="20% - Accent1 6 4 3 2 2 3" xfId="42208"/>
    <cellStyle name="20% - Accent1 6 4 3 2 3" xfId="10775"/>
    <cellStyle name="20% - Accent1 6 4 3 2 3 2" xfId="59529"/>
    <cellStyle name="20% - Accent1 6 4 3 2 4" xfId="22576"/>
    <cellStyle name="20% - Accent1 6 4 3 2 4 2" xfId="59530"/>
    <cellStyle name="20% - Accent1 6 4 3 2 5" xfId="36191"/>
    <cellStyle name="20% - Accent1 6 4 3 3" xfId="15634"/>
    <cellStyle name="20% - Accent1 6 4 3 3 2" xfId="27435"/>
    <cellStyle name="20% - Accent1 6 4 3 3 2 2" xfId="59531"/>
    <cellStyle name="20% - Accent1 6 4 3 3 3" xfId="41050"/>
    <cellStyle name="20% - Accent1 6 4 3 4" xfId="8934"/>
    <cellStyle name="20% - Accent1 6 4 3 4 2" xfId="59532"/>
    <cellStyle name="20% - Accent1 6 4 3 5" xfId="20735"/>
    <cellStyle name="20% - Accent1 6 4 3 5 2" xfId="59533"/>
    <cellStyle name="20% - Accent1 6 4 3 6" xfId="34350"/>
    <cellStyle name="20% - Accent1 6 4 4" xfId="4186"/>
    <cellStyle name="20% - Accent1 6 4 4 2" xfId="15635"/>
    <cellStyle name="20% - Accent1 6 4 4 2 2" xfId="27436"/>
    <cellStyle name="20% - Accent1 6 4 4 2 2 2" xfId="59534"/>
    <cellStyle name="20% - Accent1 6 4 4 2 3" xfId="41051"/>
    <cellStyle name="20% - Accent1 6 4 4 3" xfId="9639"/>
    <cellStyle name="20% - Accent1 6 4 4 3 2" xfId="47604"/>
    <cellStyle name="20% - Accent1 6 4 4 4" xfId="21440"/>
    <cellStyle name="20% - Accent1 6 4 4 4 2" xfId="59535"/>
    <cellStyle name="20% - Accent1 6 4 4 5" xfId="35055"/>
    <cellStyle name="20% - Accent1 6 4 5" xfId="2345"/>
    <cellStyle name="20% - Accent1 6 4 5 2" xfId="17198"/>
    <cellStyle name="20% - Accent1 6 4 5 2 2" xfId="28999"/>
    <cellStyle name="20% - Accent1 6 4 5 2 2 2" xfId="59536"/>
    <cellStyle name="20% - Accent1 6 4 5 2 3" xfId="42614"/>
    <cellStyle name="20% - Accent1 6 4 5 3" xfId="7798"/>
    <cellStyle name="20% - Accent1 6 4 5 3 2" xfId="59537"/>
    <cellStyle name="20% - Accent1 6 4 5 4" xfId="19599"/>
    <cellStyle name="20% - Accent1 6 4 5 4 2" xfId="59538"/>
    <cellStyle name="20% - Accent1 6 4 5 5" xfId="33214"/>
    <cellStyle name="20% - Accent1 6 4 6" xfId="15636"/>
    <cellStyle name="20% - Accent1 6 4 6 2" xfId="27437"/>
    <cellStyle name="20% - Accent1 6 4 6 2 2" xfId="59539"/>
    <cellStyle name="20% - Accent1 6 4 6 3" xfId="41052"/>
    <cellStyle name="20% - Accent1 6 4 7" xfId="5898"/>
    <cellStyle name="20% - Accent1 6 4 7 2" xfId="59540"/>
    <cellStyle name="20% - Accent1 6 4 8" xfId="17699"/>
    <cellStyle name="20% - Accent1 6 4 8 2" xfId="59541"/>
    <cellStyle name="20% - Accent1 6 4 9" xfId="31314"/>
    <cellStyle name="20% - Accent1 6 5" xfId="258"/>
    <cellStyle name="20% - Accent1 6 5 2" xfId="1739"/>
    <cellStyle name="20% - Accent1 6 5 2 2" xfId="4568"/>
    <cellStyle name="20% - Accent1 6 5 2 2 2" xfId="15637"/>
    <cellStyle name="20% - Accent1 6 5 2 2 2 2" xfId="27438"/>
    <cellStyle name="20% - Accent1 6 5 2 2 2 2 2" xfId="59542"/>
    <cellStyle name="20% - Accent1 6 5 2 2 2 3" xfId="41053"/>
    <cellStyle name="20% - Accent1 6 5 2 2 3" xfId="10021"/>
    <cellStyle name="20% - Accent1 6 5 2 2 3 2" xfId="47605"/>
    <cellStyle name="20% - Accent1 6 5 2 2 4" xfId="21822"/>
    <cellStyle name="20% - Accent1 6 5 2 2 4 2" xfId="59543"/>
    <cellStyle name="20% - Accent1 6 5 2 2 5" xfId="35437"/>
    <cellStyle name="20% - Accent1 6 5 2 3" xfId="2727"/>
    <cellStyle name="20% - Accent1 6 5 2 3 2" xfId="15638"/>
    <cellStyle name="20% - Accent1 6 5 2 3 2 2" xfId="27439"/>
    <cellStyle name="20% - Accent1 6 5 2 3 2 2 2" xfId="59544"/>
    <cellStyle name="20% - Accent1 6 5 2 3 2 3" xfId="41054"/>
    <cellStyle name="20% - Accent1 6 5 2 3 3" xfId="8180"/>
    <cellStyle name="20% - Accent1 6 5 2 3 3 2" xfId="47606"/>
    <cellStyle name="20% - Accent1 6 5 2 3 4" xfId="19981"/>
    <cellStyle name="20% - Accent1 6 5 2 3 4 2" xfId="59545"/>
    <cellStyle name="20% - Accent1 6 5 2 3 5" xfId="33596"/>
    <cellStyle name="20% - Accent1 6 5 2 4" xfId="15639"/>
    <cellStyle name="20% - Accent1 6 5 2 4 2" xfId="27440"/>
    <cellStyle name="20% - Accent1 6 5 2 4 2 2" xfId="59546"/>
    <cellStyle name="20% - Accent1 6 5 2 4 3" xfId="41055"/>
    <cellStyle name="20% - Accent1 6 5 2 5" xfId="7193"/>
    <cellStyle name="20% - Accent1 6 5 2 5 2" xfId="47607"/>
    <cellStyle name="20% - Accent1 6 5 2 6" xfId="18994"/>
    <cellStyle name="20% - Accent1 6 5 2 6 2" xfId="59547"/>
    <cellStyle name="20% - Accent1 6 5 2 7" xfId="32609"/>
    <cellStyle name="20% - Accent1 6 5 3" xfId="3295"/>
    <cellStyle name="20% - Accent1 6 5 3 2" xfId="5136"/>
    <cellStyle name="20% - Accent1 6 5 3 2 2" xfId="16606"/>
    <cellStyle name="20% - Accent1 6 5 3 2 2 2" xfId="28407"/>
    <cellStyle name="20% - Accent1 6 5 3 2 2 2 2" xfId="59548"/>
    <cellStyle name="20% - Accent1 6 5 3 2 2 3" xfId="42022"/>
    <cellStyle name="20% - Accent1 6 5 3 2 3" xfId="10589"/>
    <cellStyle name="20% - Accent1 6 5 3 2 3 2" xfId="59549"/>
    <cellStyle name="20% - Accent1 6 5 3 2 4" xfId="22390"/>
    <cellStyle name="20% - Accent1 6 5 3 2 4 2" xfId="59550"/>
    <cellStyle name="20% - Accent1 6 5 3 2 5" xfId="36005"/>
    <cellStyle name="20% - Accent1 6 5 3 3" xfId="15640"/>
    <cellStyle name="20% - Accent1 6 5 3 3 2" xfId="27441"/>
    <cellStyle name="20% - Accent1 6 5 3 3 2 2" xfId="59551"/>
    <cellStyle name="20% - Accent1 6 5 3 3 3" xfId="41056"/>
    <cellStyle name="20% - Accent1 6 5 3 4" xfId="8748"/>
    <cellStyle name="20% - Accent1 6 5 3 4 2" xfId="59552"/>
    <cellStyle name="20% - Accent1 6 5 3 5" xfId="20549"/>
    <cellStyle name="20% - Accent1 6 5 3 5 2" xfId="59553"/>
    <cellStyle name="20% - Accent1 6 5 3 6" xfId="34164"/>
    <cellStyle name="20% - Accent1 6 5 4" xfId="4000"/>
    <cellStyle name="20% - Accent1 6 5 4 2" xfId="15641"/>
    <cellStyle name="20% - Accent1 6 5 4 2 2" xfId="27442"/>
    <cellStyle name="20% - Accent1 6 5 4 2 2 2" xfId="59554"/>
    <cellStyle name="20% - Accent1 6 5 4 2 3" xfId="41057"/>
    <cellStyle name="20% - Accent1 6 5 4 3" xfId="9453"/>
    <cellStyle name="20% - Accent1 6 5 4 3 2" xfId="47608"/>
    <cellStyle name="20% - Accent1 6 5 4 4" xfId="21254"/>
    <cellStyle name="20% - Accent1 6 5 4 4 2" xfId="59555"/>
    <cellStyle name="20% - Accent1 6 5 4 5" xfId="34869"/>
    <cellStyle name="20% - Accent1 6 5 5" xfId="2159"/>
    <cellStyle name="20% - Accent1 6 5 5 2" xfId="17199"/>
    <cellStyle name="20% - Accent1 6 5 5 2 2" xfId="29000"/>
    <cellStyle name="20% - Accent1 6 5 5 2 2 2" xfId="59556"/>
    <cellStyle name="20% - Accent1 6 5 5 2 3" xfId="42615"/>
    <cellStyle name="20% - Accent1 6 5 5 3" xfId="7612"/>
    <cellStyle name="20% - Accent1 6 5 5 3 2" xfId="59557"/>
    <cellStyle name="20% - Accent1 6 5 5 4" xfId="19413"/>
    <cellStyle name="20% - Accent1 6 5 5 4 2" xfId="59558"/>
    <cellStyle name="20% - Accent1 6 5 5 5" xfId="33028"/>
    <cellStyle name="20% - Accent1 6 5 6" xfId="15642"/>
    <cellStyle name="20% - Accent1 6 5 6 2" xfId="27443"/>
    <cellStyle name="20% - Accent1 6 5 6 2 2" xfId="59559"/>
    <cellStyle name="20% - Accent1 6 5 6 3" xfId="41058"/>
    <cellStyle name="20% - Accent1 6 5 7" xfId="5712"/>
    <cellStyle name="20% - Accent1 6 5 7 2" xfId="59560"/>
    <cellStyle name="20% - Accent1 6 5 8" xfId="17513"/>
    <cellStyle name="20% - Accent1 6 5 8 2" xfId="59561"/>
    <cellStyle name="20% - Accent1 6 5 9" xfId="31128"/>
    <cellStyle name="20% - Accent1 6 6" xfId="585"/>
    <cellStyle name="20% - Accent1 6 6 2" xfId="1740"/>
    <cellStyle name="20% - Accent1 6 6 2 2" xfId="4327"/>
    <cellStyle name="20% - Accent1 6 6 2 2 2" xfId="15643"/>
    <cellStyle name="20% - Accent1 6 6 2 2 2 2" xfId="27444"/>
    <cellStyle name="20% - Accent1 6 6 2 2 2 2 2" xfId="59562"/>
    <cellStyle name="20% - Accent1 6 6 2 2 2 3" xfId="41059"/>
    <cellStyle name="20% - Accent1 6 6 2 2 3" xfId="9780"/>
    <cellStyle name="20% - Accent1 6 6 2 2 3 2" xfId="47609"/>
    <cellStyle name="20% - Accent1 6 6 2 2 4" xfId="21581"/>
    <cellStyle name="20% - Accent1 6 6 2 2 4 2" xfId="59563"/>
    <cellStyle name="20% - Accent1 6 6 2 2 5" xfId="35196"/>
    <cellStyle name="20% - Accent1 6 6 2 3" xfId="15644"/>
    <cellStyle name="20% - Accent1 6 6 2 3 2" xfId="27445"/>
    <cellStyle name="20% - Accent1 6 6 2 3 2 2" xfId="47610"/>
    <cellStyle name="20% - Accent1 6 6 2 3 3" xfId="30554"/>
    <cellStyle name="20% - Accent1 6 6 2 3 3 2" xfId="47611"/>
    <cellStyle name="20% - Accent1 6 6 2 3 4" xfId="30555"/>
    <cellStyle name="20% - Accent1 6 6 2 3 4 2" xfId="59564"/>
    <cellStyle name="20% - Accent1 6 6 2 3 5" xfId="41060"/>
    <cellStyle name="20% - Accent1 6 6 2 4" xfId="15645"/>
    <cellStyle name="20% - Accent1 6 6 2 4 2" xfId="27446"/>
    <cellStyle name="20% - Accent1 6 6 2 4 2 2" xfId="59565"/>
    <cellStyle name="20% - Accent1 6 6 2 4 3" xfId="41061"/>
    <cellStyle name="20% - Accent1 6 6 2 5" xfId="7194"/>
    <cellStyle name="20% - Accent1 6 6 2 5 2" xfId="47612"/>
    <cellStyle name="20% - Accent1 6 6 2 6" xfId="18995"/>
    <cellStyle name="20% - Accent1 6 6 2 6 2" xfId="59566"/>
    <cellStyle name="20% - Accent1 6 6 2 7" xfId="32610"/>
    <cellStyle name="20% - Accent1 6 6 3" xfId="2486"/>
    <cellStyle name="20% - Accent1 6 6 3 2" xfId="15646"/>
    <cellStyle name="20% - Accent1 6 6 3 2 2" xfId="27447"/>
    <cellStyle name="20% - Accent1 6 6 3 2 2 2" xfId="59567"/>
    <cellStyle name="20% - Accent1 6 6 3 2 3" xfId="41062"/>
    <cellStyle name="20% - Accent1 6 6 3 3" xfId="7939"/>
    <cellStyle name="20% - Accent1 6 6 3 3 2" xfId="47613"/>
    <cellStyle name="20% - Accent1 6 6 3 4" xfId="19740"/>
    <cellStyle name="20% - Accent1 6 6 3 4 2" xfId="59568"/>
    <cellStyle name="20% - Accent1 6 6 3 5" xfId="33355"/>
    <cellStyle name="20% - Accent1 6 6 4" xfId="15647"/>
    <cellStyle name="20% - Accent1 6 6 4 2" xfId="27448"/>
    <cellStyle name="20% - Accent1 6 6 4 2 2" xfId="47614"/>
    <cellStyle name="20% - Accent1 6 6 4 3" xfId="30556"/>
    <cellStyle name="20% - Accent1 6 6 4 3 2" xfId="47615"/>
    <cellStyle name="20% - Accent1 6 6 4 4" xfId="30557"/>
    <cellStyle name="20% - Accent1 6 6 4 4 2" xfId="59569"/>
    <cellStyle name="20% - Accent1 6 6 4 5" xfId="41063"/>
    <cellStyle name="20% - Accent1 6 6 5" xfId="15648"/>
    <cellStyle name="20% - Accent1 6 6 5 2" xfId="27449"/>
    <cellStyle name="20% - Accent1 6 6 5 2 2" xfId="59570"/>
    <cellStyle name="20% - Accent1 6 6 5 3" xfId="41064"/>
    <cellStyle name="20% - Accent1 6 6 6" xfId="6039"/>
    <cellStyle name="20% - Accent1 6 6 6 2" xfId="47616"/>
    <cellStyle name="20% - Accent1 6 6 7" xfId="17840"/>
    <cellStyle name="20% - Accent1 6 6 7 2" xfId="59571"/>
    <cellStyle name="20% - Accent1 6 6 8" xfId="31455"/>
    <cellStyle name="20% - Accent1 6 7" xfId="826"/>
    <cellStyle name="20% - Accent1 6 7 2" xfId="1741"/>
    <cellStyle name="20% - Accent1 6 7 2 2" xfId="4895"/>
    <cellStyle name="20% - Accent1 6 7 2 2 2" xfId="15649"/>
    <cellStyle name="20% - Accent1 6 7 2 2 2 2" xfId="27450"/>
    <cellStyle name="20% - Accent1 6 7 2 2 2 2 2" xfId="59572"/>
    <cellStyle name="20% - Accent1 6 7 2 2 2 3" xfId="41065"/>
    <cellStyle name="20% - Accent1 6 7 2 2 3" xfId="10348"/>
    <cellStyle name="20% - Accent1 6 7 2 2 3 2" xfId="47617"/>
    <cellStyle name="20% - Accent1 6 7 2 2 4" xfId="22149"/>
    <cellStyle name="20% - Accent1 6 7 2 2 4 2" xfId="59573"/>
    <cellStyle name="20% - Accent1 6 7 2 2 5" xfId="35764"/>
    <cellStyle name="20% - Accent1 6 7 2 3" xfId="15650"/>
    <cellStyle name="20% - Accent1 6 7 2 3 2" xfId="27451"/>
    <cellStyle name="20% - Accent1 6 7 2 3 2 2" xfId="47618"/>
    <cellStyle name="20% - Accent1 6 7 2 3 3" xfId="30558"/>
    <cellStyle name="20% - Accent1 6 7 2 3 3 2" xfId="47619"/>
    <cellStyle name="20% - Accent1 6 7 2 3 4" xfId="30559"/>
    <cellStyle name="20% - Accent1 6 7 2 3 4 2" xfId="59574"/>
    <cellStyle name="20% - Accent1 6 7 2 3 5" xfId="41066"/>
    <cellStyle name="20% - Accent1 6 7 2 4" xfId="15651"/>
    <cellStyle name="20% - Accent1 6 7 2 4 2" xfId="27452"/>
    <cellStyle name="20% - Accent1 6 7 2 4 2 2" xfId="59575"/>
    <cellStyle name="20% - Accent1 6 7 2 4 3" xfId="41067"/>
    <cellStyle name="20% - Accent1 6 7 2 5" xfId="7195"/>
    <cellStyle name="20% - Accent1 6 7 2 5 2" xfId="47620"/>
    <cellStyle name="20% - Accent1 6 7 2 6" xfId="18996"/>
    <cellStyle name="20% - Accent1 6 7 2 6 2" xfId="59576"/>
    <cellStyle name="20% - Accent1 6 7 2 7" xfId="32611"/>
    <cellStyle name="20% - Accent1 6 7 3" xfId="3054"/>
    <cellStyle name="20% - Accent1 6 7 3 2" xfId="15652"/>
    <cellStyle name="20% - Accent1 6 7 3 2 2" xfId="27453"/>
    <cellStyle name="20% - Accent1 6 7 3 2 2 2" xfId="59577"/>
    <cellStyle name="20% - Accent1 6 7 3 2 3" xfId="41068"/>
    <cellStyle name="20% - Accent1 6 7 3 3" xfId="8507"/>
    <cellStyle name="20% - Accent1 6 7 3 3 2" xfId="47621"/>
    <cellStyle name="20% - Accent1 6 7 3 4" xfId="20308"/>
    <cellStyle name="20% - Accent1 6 7 3 4 2" xfId="59578"/>
    <cellStyle name="20% - Accent1 6 7 3 5" xfId="33923"/>
    <cellStyle name="20% - Accent1 6 7 4" xfId="15653"/>
    <cellStyle name="20% - Accent1 6 7 4 2" xfId="27454"/>
    <cellStyle name="20% - Accent1 6 7 4 2 2" xfId="47622"/>
    <cellStyle name="20% - Accent1 6 7 4 3" xfId="30560"/>
    <cellStyle name="20% - Accent1 6 7 4 3 2" xfId="47623"/>
    <cellStyle name="20% - Accent1 6 7 4 4" xfId="30561"/>
    <cellStyle name="20% - Accent1 6 7 4 4 2" xfId="59579"/>
    <cellStyle name="20% - Accent1 6 7 4 5" xfId="41069"/>
    <cellStyle name="20% - Accent1 6 7 5" xfId="15654"/>
    <cellStyle name="20% - Accent1 6 7 5 2" xfId="27455"/>
    <cellStyle name="20% - Accent1 6 7 5 2 2" xfId="59580"/>
    <cellStyle name="20% - Accent1 6 7 5 3" xfId="41070"/>
    <cellStyle name="20% - Accent1 6 7 6" xfId="6280"/>
    <cellStyle name="20% - Accent1 6 7 6 2" xfId="47624"/>
    <cellStyle name="20% - Accent1 6 7 7" xfId="18081"/>
    <cellStyle name="20% - Accent1 6 7 7 2" xfId="59581"/>
    <cellStyle name="20% - Accent1 6 7 8" xfId="31696"/>
    <cellStyle name="20% - Accent1 6 8" xfId="1742"/>
    <cellStyle name="20% - Accent1 6 8 2" xfId="3759"/>
    <cellStyle name="20% - Accent1 6 8 2 2" xfId="15655"/>
    <cellStyle name="20% - Accent1 6 8 2 2 2" xfId="27456"/>
    <cellStyle name="20% - Accent1 6 8 2 2 2 2" xfId="59582"/>
    <cellStyle name="20% - Accent1 6 8 2 2 3" xfId="41071"/>
    <cellStyle name="20% - Accent1 6 8 2 3" xfId="9212"/>
    <cellStyle name="20% - Accent1 6 8 2 3 2" xfId="47625"/>
    <cellStyle name="20% - Accent1 6 8 2 4" xfId="21013"/>
    <cellStyle name="20% - Accent1 6 8 2 4 2" xfId="59583"/>
    <cellStyle name="20% - Accent1 6 8 2 5" xfId="34628"/>
    <cellStyle name="20% - Accent1 6 8 3" xfId="15656"/>
    <cellStyle name="20% - Accent1 6 8 3 2" xfId="27457"/>
    <cellStyle name="20% - Accent1 6 8 3 2 2" xfId="47626"/>
    <cellStyle name="20% - Accent1 6 8 3 3" xfId="30562"/>
    <cellStyle name="20% - Accent1 6 8 3 3 2" xfId="47627"/>
    <cellStyle name="20% - Accent1 6 8 3 4" xfId="30563"/>
    <cellStyle name="20% - Accent1 6 8 3 4 2" xfId="59584"/>
    <cellStyle name="20% - Accent1 6 8 3 5" xfId="41072"/>
    <cellStyle name="20% - Accent1 6 8 4" xfId="15657"/>
    <cellStyle name="20% - Accent1 6 8 4 2" xfId="27458"/>
    <cellStyle name="20% - Accent1 6 8 4 2 2" xfId="59585"/>
    <cellStyle name="20% - Accent1 6 8 4 3" xfId="41073"/>
    <cellStyle name="20% - Accent1 6 8 5" xfId="7196"/>
    <cellStyle name="20% - Accent1 6 8 5 2" xfId="47628"/>
    <cellStyle name="20% - Accent1 6 8 6" xfId="18997"/>
    <cellStyle name="20% - Accent1 6 8 6 2" xfId="59586"/>
    <cellStyle name="20% - Accent1 6 8 7" xfId="32612"/>
    <cellStyle name="20% - Accent1 6 9" xfId="3622"/>
    <cellStyle name="20% - Accent1 6 9 2" xfId="15658"/>
    <cellStyle name="20% - Accent1 6 9 2 2" xfId="27459"/>
    <cellStyle name="20% - Accent1 6 9 2 2 2" xfId="59587"/>
    <cellStyle name="20% - Accent1 6 9 2 3" xfId="41074"/>
    <cellStyle name="20% - Accent1 6 9 3" xfId="9075"/>
    <cellStyle name="20% - Accent1 6 9 3 2" xfId="47629"/>
    <cellStyle name="20% - Accent1 6 9 4" xfId="20876"/>
    <cellStyle name="20% - Accent1 6 9 4 2" xfId="59588"/>
    <cellStyle name="20% - Accent1 6 9 5" xfId="34491"/>
    <cellStyle name="20% - Accent1 7" xfId="51"/>
    <cellStyle name="20% - Accent1 7 10" xfId="3656"/>
    <cellStyle name="20% - Accent1 7 10 2" xfId="15659"/>
    <cellStyle name="20% - Accent1 7 10 2 2" xfId="27460"/>
    <cellStyle name="20% - Accent1 7 10 2 2 2" xfId="59589"/>
    <cellStyle name="20% - Accent1 7 10 2 3" xfId="41075"/>
    <cellStyle name="20% - Accent1 7 10 3" xfId="9109"/>
    <cellStyle name="20% - Accent1 7 10 3 2" xfId="47630"/>
    <cellStyle name="20% - Accent1 7 10 4" xfId="20910"/>
    <cellStyle name="20% - Accent1 7 10 4 2" xfId="59590"/>
    <cellStyle name="20% - Accent1 7 10 5" xfId="34525"/>
    <cellStyle name="20% - Accent1 7 11" xfId="1952"/>
    <cellStyle name="20% - Accent1 7 11 2" xfId="15660"/>
    <cellStyle name="20% - Accent1 7 11 2 2" xfId="27461"/>
    <cellStyle name="20% - Accent1 7 11 2 2 2" xfId="59591"/>
    <cellStyle name="20% - Accent1 7 11 2 3" xfId="41076"/>
    <cellStyle name="20% - Accent1 7 11 3" xfId="7405"/>
    <cellStyle name="20% - Accent1 7 11 3 2" xfId="47631"/>
    <cellStyle name="20% - Accent1 7 11 4" xfId="19206"/>
    <cellStyle name="20% - Accent1 7 11 4 2" xfId="59592"/>
    <cellStyle name="20% - Accent1 7 11 5" xfId="32821"/>
    <cellStyle name="20% - Accent1 7 12" xfId="15661"/>
    <cellStyle name="20% - Accent1 7 12 2" xfId="27462"/>
    <cellStyle name="20% - Accent1 7 12 2 2" xfId="47632"/>
    <cellStyle name="20% - Accent1 7 12 3" xfId="29058"/>
    <cellStyle name="20% - Accent1 7 12 3 2" xfId="30868"/>
    <cellStyle name="20% - Accent1 7 12 3 2 2" xfId="48605"/>
    <cellStyle name="20% - Accent1 7 12 3 3" xfId="47633"/>
    <cellStyle name="20% - Accent1 7 12 4" xfId="30564"/>
    <cellStyle name="20% - Accent1 7 12 4 2" xfId="59593"/>
    <cellStyle name="20% - Accent1 7 12 5" xfId="41077"/>
    <cellStyle name="20% - Accent1 7 13" xfId="15662"/>
    <cellStyle name="20% - Accent1 7 13 2" xfId="27463"/>
    <cellStyle name="20% - Accent1 7 13 2 2" xfId="59594"/>
    <cellStyle name="20% - Accent1 7 13 3" xfId="41078"/>
    <cellStyle name="20% - Accent1 7 14" xfId="5505"/>
    <cellStyle name="20% - Accent1 7 14 2" xfId="47634"/>
    <cellStyle name="20% - Accent1 7 15" xfId="17306"/>
    <cellStyle name="20% - Accent1 7 15 2" xfId="59595"/>
    <cellStyle name="20% - Accent1 7 16" xfId="30921"/>
    <cellStyle name="20% - Accent1 7 2" xfId="118"/>
    <cellStyle name="20% - Accent1 7 2 10" xfId="5572"/>
    <cellStyle name="20% - Accent1 7 2 10 2" xfId="30861"/>
    <cellStyle name="20% - Accent1 7 2 10 3" xfId="42674"/>
    <cellStyle name="20% - Accent1 7 2 11" xfId="17373"/>
    <cellStyle name="20% - Accent1 7 2 11 2" xfId="59596"/>
    <cellStyle name="20% - Accent1 7 2 12" xfId="30988"/>
    <cellStyle name="20% - Accent1 7 2 2" xfId="545"/>
    <cellStyle name="20% - Accent1 7 2 2 2" xfId="1743"/>
    <cellStyle name="20% - Accent1 7 2 2 2 2" xfId="4855"/>
    <cellStyle name="20% - Accent1 7 2 2 2 2 2" xfId="15663"/>
    <cellStyle name="20% - Accent1 7 2 2 2 2 2 2" xfId="27464"/>
    <cellStyle name="20% - Accent1 7 2 2 2 2 2 2 2" xfId="59597"/>
    <cellStyle name="20% - Accent1 7 2 2 2 2 2 3" xfId="41079"/>
    <cellStyle name="20% - Accent1 7 2 2 2 2 3" xfId="10308"/>
    <cellStyle name="20% - Accent1 7 2 2 2 2 3 2" xfId="47635"/>
    <cellStyle name="20% - Accent1 7 2 2 2 2 4" xfId="22109"/>
    <cellStyle name="20% - Accent1 7 2 2 2 2 4 2" xfId="59598"/>
    <cellStyle name="20% - Accent1 7 2 2 2 2 5" xfId="35724"/>
    <cellStyle name="20% - Accent1 7 2 2 2 3" xfId="3014"/>
    <cellStyle name="20% - Accent1 7 2 2 2 3 2" xfId="15664"/>
    <cellStyle name="20% - Accent1 7 2 2 2 3 2 2" xfId="27465"/>
    <cellStyle name="20% - Accent1 7 2 2 2 3 2 2 2" xfId="59599"/>
    <cellStyle name="20% - Accent1 7 2 2 2 3 2 3" xfId="41080"/>
    <cellStyle name="20% - Accent1 7 2 2 2 3 3" xfId="8467"/>
    <cellStyle name="20% - Accent1 7 2 2 2 3 3 2" xfId="47636"/>
    <cellStyle name="20% - Accent1 7 2 2 2 3 4" xfId="20268"/>
    <cellStyle name="20% - Accent1 7 2 2 2 3 4 2" xfId="59600"/>
    <cellStyle name="20% - Accent1 7 2 2 2 3 5" xfId="33883"/>
    <cellStyle name="20% - Accent1 7 2 2 2 4" xfId="15665"/>
    <cellStyle name="20% - Accent1 7 2 2 2 4 2" xfId="27466"/>
    <cellStyle name="20% - Accent1 7 2 2 2 4 2 2" xfId="59601"/>
    <cellStyle name="20% - Accent1 7 2 2 2 4 3" xfId="41081"/>
    <cellStyle name="20% - Accent1 7 2 2 2 5" xfId="7197"/>
    <cellStyle name="20% - Accent1 7 2 2 2 5 2" xfId="47637"/>
    <cellStyle name="20% - Accent1 7 2 2 2 6" xfId="18998"/>
    <cellStyle name="20% - Accent1 7 2 2 2 6 2" xfId="59602"/>
    <cellStyle name="20% - Accent1 7 2 2 2 7" xfId="32613"/>
    <cellStyle name="20% - Accent1 7 2 2 3" xfId="3582"/>
    <cellStyle name="20% - Accent1 7 2 2 3 2" xfId="5423"/>
    <cellStyle name="20% - Accent1 7 2 2 3 2 2" xfId="16893"/>
    <cellStyle name="20% - Accent1 7 2 2 3 2 2 2" xfId="28694"/>
    <cellStyle name="20% - Accent1 7 2 2 3 2 2 2 2" xfId="59603"/>
    <cellStyle name="20% - Accent1 7 2 2 3 2 2 3" xfId="42309"/>
    <cellStyle name="20% - Accent1 7 2 2 3 2 3" xfId="10876"/>
    <cellStyle name="20% - Accent1 7 2 2 3 2 3 2" xfId="59604"/>
    <cellStyle name="20% - Accent1 7 2 2 3 2 4" xfId="22677"/>
    <cellStyle name="20% - Accent1 7 2 2 3 2 4 2" xfId="59605"/>
    <cellStyle name="20% - Accent1 7 2 2 3 2 5" xfId="36292"/>
    <cellStyle name="20% - Accent1 7 2 2 3 3" xfId="15666"/>
    <cellStyle name="20% - Accent1 7 2 2 3 3 2" xfId="27467"/>
    <cellStyle name="20% - Accent1 7 2 2 3 3 2 2" xfId="59606"/>
    <cellStyle name="20% - Accent1 7 2 2 3 3 3" xfId="41082"/>
    <cellStyle name="20% - Accent1 7 2 2 3 4" xfId="9035"/>
    <cellStyle name="20% - Accent1 7 2 2 3 4 2" xfId="59607"/>
    <cellStyle name="20% - Accent1 7 2 2 3 5" xfId="20836"/>
    <cellStyle name="20% - Accent1 7 2 2 3 5 2" xfId="59608"/>
    <cellStyle name="20% - Accent1 7 2 2 3 6" xfId="34451"/>
    <cellStyle name="20% - Accent1 7 2 2 4" xfId="4287"/>
    <cellStyle name="20% - Accent1 7 2 2 4 2" xfId="15667"/>
    <cellStyle name="20% - Accent1 7 2 2 4 2 2" xfId="27468"/>
    <cellStyle name="20% - Accent1 7 2 2 4 2 2 2" xfId="59609"/>
    <cellStyle name="20% - Accent1 7 2 2 4 2 3" xfId="41083"/>
    <cellStyle name="20% - Accent1 7 2 2 4 3" xfId="9740"/>
    <cellStyle name="20% - Accent1 7 2 2 4 3 2" xfId="47638"/>
    <cellStyle name="20% - Accent1 7 2 2 4 4" xfId="21541"/>
    <cellStyle name="20% - Accent1 7 2 2 4 4 2" xfId="59610"/>
    <cellStyle name="20% - Accent1 7 2 2 4 5" xfId="35156"/>
    <cellStyle name="20% - Accent1 7 2 2 5" xfId="2446"/>
    <cellStyle name="20% - Accent1 7 2 2 5 2" xfId="17200"/>
    <cellStyle name="20% - Accent1 7 2 2 5 2 2" xfId="29001"/>
    <cellStyle name="20% - Accent1 7 2 2 5 2 2 2" xfId="59611"/>
    <cellStyle name="20% - Accent1 7 2 2 5 2 3" xfId="42616"/>
    <cellStyle name="20% - Accent1 7 2 2 5 3" xfId="7899"/>
    <cellStyle name="20% - Accent1 7 2 2 5 3 2" xfId="59612"/>
    <cellStyle name="20% - Accent1 7 2 2 5 4" xfId="19700"/>
    <cellStyle name="20% - Accent1 7 2 2 5 4 2" xfId="59613"/>
    <cellStyle name="20% - Accent1 7 2 2 5 5" xfId="33315"/>
    <cellStyle name="20% - Accent1 7 2 2 6" xfId="15668"/>
    <cellStyle name="20% - Accent1 7 2 2 6 2" xfId="27469"/>
    <cellStyle name="20% - Accent1 7 2 2 6 2 2" xfId="59614"/>
    <cellStyle name="20% - Accent1 7 2 2 6 3" xfId="41084"/>
    <cellStyle name="20% - Accent1 7 2 2 7" xfId="5999"/>
    <cellStyle name="20% - Accent1 7 2 2 7 2" xfId="59615"/>
    <cellStyle name="20% - Accent1 7 2 2 8" xfId="17800"/>
    <cellStyle name="20% - Accent1 7 2 2 8 2" xfId="59616"/>
    <cellStyle name="20% - Accent1 7 2 2 9" xfId="31415"/>
    <cellStyle name="20% - Accent1 7 2 3" xfId="408"/>
    <cellStyle name="20% - Accent1 7 2 3 2" xfId="1744"/>
    <cellStyle name="20% - Accent1 7 2 3 2 2" xfId="4718"/>
    <cellStyle name="20% - Accent1 7 2 3 2 2 2" xfId="15669"/>
    <cellStyle name="20% - Accent1 7 2 3 2 2 2 2" xfId="27470"/>
    <cellStyle name="20% - Accent1 7 2 3 2 2 2 2 2" xfId="59617"/>
    <cellStyle name="20% - Accent1 7 2 3 2 2 2 3" xfId="41085"/>
    <cellStyle name="20% - Accent1 7 2 3 2 2 3" xfId="10171"/>
    <cellStyle name="20% - Accent1 7 2 3 2 2 3 2" xfId="47639"/>
    <cellStyle name="20% - Accent1 7 2 3 2 2 4" xfId="21972"/>
    <cellStyle name="20% - Accent1 7 2 3 2 2 4 2" xfId="59618"/>
    <cellStyle name="20% - Accent1 7 2 3 2 2 5" xfId="35587"/>
    <cellStyle name="20% - Accent1 7 2 3 2 3" xfId="2877"/>
    <cellStyle name="20% - Accent1 7 2 3 2 3 2" xfId="15670"/>
    <cellStyle name="20% - Accent1 7 2 3 2 3 2 2" xfId="27471"/>
    <cellStyle name="20% - Accent1 7 2 3 2 3 2 2 2" xfId="59619"/>
    <cellStyle name="20% - Accent1 7 2 3 2 3 2 3" xfId="41086"/>
    <cellStyle name="20% - Accent1 7 2 3 2 3 3" xfId="8330"/>
    <cellStyle name="20% - Accent1 7 2 3 2 3 3 2" xfId="47640"/>
    <cellStyle name="20% - Accent1 7 2 3 2 3 4" xfId="20131"/>
    <cellStyle name="20% - Accent1 7 2 3 2 3 4 2" xfId="59620"/>
    <cellStyle name="20% - Accent1 7 2 3 2 3 5" xfId="33746"/>
    <cellStyle name="20% - Accent1 7 2 3 2 4" xfId="15671"/>
    <cellStyle name="20% - Accent1 7 2 3 2 4 2" xfId="27472"/>
    <cellStyle name="20% - Accent1 7 2 3 2 4 2 2" xfId="59621"/>
    <cellStyle name="20% - Accent1 7 2 3 2 4 3" xfId="41087"/>
    <cellStyle name="20% - Accent1 7 2 3 2 5" xfId="7198"/>
    <cellStyle name="20% - Accent1 7 2 3 2 5 2" xfId="47641"/>
    <cellStyle name="20% - Accent1 7 2 3 2 6" xfId="18999"/>
    <cellStyle name="20% - Accent1 7 2 3 2 6 2" xfId="59622"/>
    <cellStyle name="20% - Accent1 7 2 3 2 7" xfId="32614"/>
    <cellStyle name="20% - Accent1 7 2 3 3" xfId="3445"/>
    <cellStyle name="20% - Accent1 7 2 3 3 2" xfId="5286"/>
    <cellStyle name="20% - Accent1 7 2 3 3 2 2" xfId="16756"/>
    <cellStyle name="20% - Accent1 7 2 3 3 2 2 2" xfId="28557"/>
    <cellStyle name="20% - Accent1 7 2 3 3 2 2 2 2" xfId="59623"/>
    <cellStyle name="20% - Accent1 7 2 3 3 2 2 3" xfId="42172"/>
    <cellStyle name="20% - Accent1 7 2 3 3 2 3" xfId="10739"/>
    <cellStyle name="20% - Accent1 7 2 3 3 2 3 2" xfId="59624"/>
    <cellStyle name="20% - Accent1 7 2 3 3 2 4" xfId="22540"/>
    <cellStyle name="20% - Accent1 7 2 3 3 2 4 2" xfId="59625"/>
    <cellStyle name="20% - Accent1 7 2 3 3 2 5" xfId="36155"/>
    <cellStyle name="20% - Accent1 7 2 3 3 3" xfId="15672"/>
    <cellStyle name="20% - Accent1 7 2 3 3 3 2" xfId="27473"/>
    <cellStyle name="20% - Accent1 7 2 3 3 3 2 2" xfId="59626"/>
    <cellStyle name="20% - Accent1 7 2 3 3 3 3" xfId="41088"/>
    <cellStyle name="20% - Accent1 7 2 3 3 4" xfId="8898"/>
    <cellStyle name="20% - Accent1 7 2 3 3 4 2" xfId="59627"/>
    <cellStyle name="20% - Accent1 7 2 3 3 5" xfId="20699"/>
    <cellStyle name="20% - Accent1 7 2 3 3 5 2" xfId="59628"/>
    <cellStyle name="20% - Accent1 7 2 3 3 6" xfId="34314"/>
    <cellStyle name="20% - Accent1 7 2 3 4" xfId="4150"/>
    <cellStyle name="20% - Accent1 7 2 3 4 2" xfId="15673"/>
    <cellStyle name="20% - Accent1 7 2 3 4 2 2" xfId="27474"/>
    <cellStyle name="20% - Accent1 7 2 3 4 2 2 2" xfId="59629"/>
    <cellStyle name="20% - Accent1 7 2 3 4 2 3" xfId="41089"/>
    <cellStyle name="20% - Accent1 7 2 3 4 3" xfId="9603"/>
    <cellStyle name="20% - Accent1 7 2 3 4 3 2" xfId="47642"/>
    <cellStyle name="20% - Accent1 7 2 3 4 4" xfId="21404"/>
    <cellStyle name="20% - Accent1 7 2 3 4 4 2" xfId="59630"/>
    <cellStyle name="20% - Accent1 7 2 3 4 5" xfId="35019"/>
    <cellStyle name="20% - Accent1 7 2 3 5" xfId="2309"/>
    <cellStyle name="20% - Accent1 7 2 3 5 2" xfId="17201"/>
    <cellStyle name="20% - Accent1 7 2 3 5 2 2" xfId="29002"/>
    <cellStyle name="20% - Accent1 7 2 3 5 2 2 2" xfId="59631"/>
    <cellStyle name="20% - Accent1 7 2 3 5 2 3" xfId="42617"/>
    <cellStyle name="20% - Accent1 7 2 3 5 3" xfId="7762"/>
    <cellStyle name="20% - Accent1 7 2 3 5 3 2" xfId="59632"/>
    <cellStyle name="20% - Accent1 7 2 3 5 4" xfId="19563"/>
    <cellStyle name="20% - Accent1 7 2 3 5 4 2" xfId="59633"/>
    <cellStyle name="20% - Accent1 7 2 3 5 5" xfId="33178"/>
    <cellStyle name="20% - Accent1 7 2 3 6" xfId="15674"/>
    <cellStyle name="20% - Accent1 7 2 3 6 2" xfId="27475"/>
    <cellStyle name="20% - Accent1 7 2 3 6 2 2" xfId="59634"/>
    <cellStyle name="20% - Accent1 7 2 3 6 3" xfId="41090"/>
    <cellStyle name="20% - Accent1 7 2 3 7" xfId="5862"/>
    <cellStyle name="20% - Accent1 7 2 3 7 2" xfId="59635"/>
    <cellStyle name="20% - Accent1 7 2 3 8" xfId="17663"/>
    <cellStyle name="20% - Accent1 7 2 3 8 2" xfId="59636"/>
    <cellStyle name="20% - Accent1 7 2 3 9" xfId="31278"/>
    <cellStyle name="20% - Accent1 7 2 4" xfId="686"/>
    <cellStyle name="20% - Accent1 7 2 4 2" xfId="1745"/>
    <cellStyle name="20% - Accent1 7 2 4 2 2" xfId="4428"/>
    <cellStyle name="20% - Accent1 7 2 4 2 2 2" xfId="15675"/>
    <cellStyle name="20% - Accent1 7 2 4 2 2 2 2" xfId="27476"/>
    <cellStyle name="20% - Accent1 7 2 4 2 2 2 2 2" xfId="59637"/>
    <cellStyle name="20% - Accent1 7 2 4 2 2 2 3" xfId="41091"/>
    <cellStyle name="20% - Accent1 7 2 4 2 2 3" xfId="9881"/>
    <cellStyle name="20% - Accent1 7 2 4 2 2 3 2" xfId="47643"/>
    <cellStyle name="20% - Accent1 7 2 4 2 2 4" xfId="21682"/>
    <cellStyle name="20% - Accent1 7 2 4 2 2 4 2" xfId="59638"/>
    <cellStyle name="20% - Accent1 7 2 4 2 2 5" xfId="35297"/>
    <cellStyle name="20% - Accent1 7 2 4 2 3" xfId="15676"/>
    <cellStyle name="20% - Accent1 7 2 4 2 3 2" xfId="27477"/>
    <cellStyle name="20% - Accent1 7 2 4 2 3 2 2" xfId="47644"/>
    <cellStyle name="20% - Accent1 7 2 4 2 3 3" xfId="30565"/>
    <cellStyle name="20% - Accent1 7 2 4 2 3 3 2" xfId="47645"/>
    <cellStyle name="20% - Accent1 7 2 4 2 3 4" xfId="30566"/>
    <cellStyle name="20% - Accent1 7 2 4 2 3 4 2" xfId="59639"/>
    <cellStyle name="20% - Accent1 7 2 4 2 3 5" xfId="41092"/>
    <cellStyle name="20% - Accent1 7 2 4 2 4" xfId="15677"/>
    <cellStyle name="20% - Accent1 7 2 4 2 4 2" xfId="27478"/>
    <cellStyle name="20% - Accent1 7 2 4 2 4 2 2" xfId="59640"/>
    <cellStyle name="20% - Accent1 7 2 4 2 4 3" xfId="41093"/>
    <cellStyle name="20% - Accent1 7 2 4 2 5" xfId="7199"/>
    <cellStyle name="20% - Accent1 7 2 4 2 5 2" xfId="47646"/>
    <cellStyle name="20% - Accent1 7 2 4 2 6" xfId="19000"/>
    <cellStyle name="20% - Accent1 7 2 4 2 6 2" xfId="59641"/>
    <cellStyle name="20% - Accent1 7 2 4 2 7" xfId="32615"/>
    <cellStyle name="20% - Accent1 7 2 4 3" xfId="2587"/>
    <cellStyle name="20% - Accent1 7 2 4 3 2" xfId="15678"/>
    <cellStyle name="20% - Accent1 7 2 4 3 2 2" xfId="27479"/>
    <cellStyle name="20% - Accent1 7 2 4 3 2 2 2" xfId="59642"/>
    <cellStyle name="20% - Accent1 7 2 4 3 2 3" xfId="41094"/>
    <cellStyle name="20% - Accent1 7 2 4 3 3" xfId="8040"/>
    <cellStyle name="20% - Accent1 7 2 4 3 3 2" xfId="47647"/>
    <cellStyle name="20% - Accent1 7 2 4 3 4" xfId="19841"/>
    <cellStyle name="20% - Accent1 7 2 4 3 4 2" xfId="59643"/>
    <cellStyle name="20% - Accent1 7 2 4 3 5" xfId="33456"/>
    <cellStyle name="20% - Accent1 7 2 4 4" xfId="15679"/>
    <cellStyle name="20% - Accent1 7 2 4 4 2" xfId="27480"/>
    <cellStyle name="20% - Accent1 7 2 4 4 2 2" xfId="47648"/>
    <cellStyle name="20% - Accent1 7 2 4 4 3" xfId="30567"/>
    <cellStyle name="20% - Accent1 7 2 4 4 3 2" xfId="47649"/>
    <cellStyle name="20% - Accent1 7 2 4 4 4" xfId="30568"/>
    <cellStyle name="20% - Accent1 7 2 4 4 4 2" xfId="59644"/>
    <cellStyle name="20% - Accent1 7 2 4 4 5" xfId="41095"/>
    <cellStyle name="20% - Accent1 7 2 4 5" xfId="15680"/>
    <cellStyle name="20% - Accent1 7 2 4 5 2" xfId="27481"/>
    <cellStyle name="20% - Accent1 7 2 4 5 2 2" xfId="59645"/>
    <cellStyle name="20% - Accent1 7 2 4 5 3" xfId="41096"/>
    <cellStyle name="20% - Accent1 7 2 4 6" xfId="6140"/>
    <cellStyle name="20% - Accent1 7 2 4 6 2" xfId="47650"/>
    <cellStyle name="20% - Accent1 7 2 4 7" xfId="17941"/>
    <cellStyle name="20% - Accent1 7 2 4 7 2" xfId="59646"/>
    <cellStyle name="20% - Accent1 7 2 4 8" xfId="31556"/>
    <cellStyle name="20% - Accent1 7 2 5" xfId="927"/>
    <cellStyle name="20% - Accent1 7 2 5 2" xfId="1746"/>
    <cellStyle name="20% - Accent1 7 2 5 2 2" xfId="4996"/>
    <cellStyle name="20% - Accent1 7 2 5 2 2 2" xfId="15681"/>
    <cellStyle name="20% - Accent1 7 2 5 2 2 2 2" xfId="27482"/>
    <cellStyle name="20% - Accent1 7 2 5 2 2 2 2 2" xfId="59647"/>
    <cellStyle name="20% - Accent1 7 2 5 2 2 2 3" xfId="41097"/>
    <cellStyle name="20% - Accent1 7 2 5 2 2 3" xfId="10449"/>
    <cellStyle name="20% - Accent1 7 2 5 2 2 3 2" xfId="47651"/>
    <cellStyle name="20% - Accent1 7 2 5 2 2 4" xfId="22250"/>
    <cellStyle name="20% - Accent1 7 2 5 2 2 4 2" xfId="59648"/>
    <cellStyle name="20% - Accent1 7 2 5 2 2 5" xfId="35865"/>
    <cellStyle name="20% - Accent1 7 2 5 2 3" xfId="15682"/>
    <cellStyle name="20% - Accent1 7 2 5 2 3 2" xfId="27483"/>
    <cellStyle name="20% - Accent1 7 2 5 2 3 2 2" xfId="47652"/>
    <cellStyle name="20% - Accent1 7 2 5 2 3 3" xfId="30569"/>
    <cellStyle name="20% - Accent1 7 2 5 2 3 3 2" xfId="47653"/>
    <cellStyle name="20% - Accent1 7 2 5 2 3 4" xfId="30570"/>
    <cellStyle name="20% - Accent1 7 2 5 2 3 4 2" xfId="59649"/>
    <cellStyle name="20% - Accent1 7 2 5 2 3 5" xfId="41098"/>
    <cellStyle name="20% - Accent1 7 2 5 2 4" xfId="15683"/>
    <cellStyle name="20% - Accent1 7 2 5 2 4 2" xfId="27484"/>
    <cellStyle name="20% - Accent1 7 2 5 2 4 2 2" xfId="59650"/>
    <cellStyle name="20% - Accent1 7 2 5 2 4 3" xfId="41099"/>
    <cellStyle name="20% - Accent1 7 2 5 2 5" xfId="7200"/>
    <cellStyle name="20% - Accent1 7 2 5 2 5 2" xfId="47654"/>
    <cellStyle name="20% - Accent1 7 2 5 2 6" xfId="19001"/>
    <cellStyle name="20% - Accent1 7 2 5 2 6 2" xfId="59651"/>
    <cellStyle name="20% - Accent1 7 2 5 2 7" xfId="32616"/>
    <cellStyle name="20% - Accent1 7 2 5 3" xfId="3155"/>
    <cellStyle name="20% - Accent1 7 2 5 3 2" xfId="15684"/>
    <cellStyle name="20% - Accent1 7 2 5 3 2 2" xfId="27485"/>
    <cellStyle name="20% - Accent1 7 2 5 3 2 2 2" xfId="59652"/>
    <cellStyle name="20% - Accent1 7 2 5 3 2 3" xfId="41100"/>
    <cellStyle name="20% - Accent1 7 2 5 3 3" xfId="8608"/>
    <cellStyle name="20% - Accent1 7 2 5 3 3 2" xfId="47655"/>
    <cellStyle name="20% - Accent1 7 2 5 3 4" xfId="20409"/>
    <cellStyle name="20% - Accent1 7 2 5 3 4 2" xfId="59653"/>
    <cellStyle name="20% - Accent1 7 2 5 3 5" xfId="34024"/>
    <cellStyle name="20% - Accent1 7 2 5 4" xfId="15685"/>
    <cellStyle name="20% - Accent1 7 2 5 4 2" xfId="27486"/>
    <cellStyle name="20% - Accent1 7 2 5 4 2 2" xfId="47656"/>
    <cellStyle name="20% - Accent1 7 2 5 4 3" xfId="30571"/>
    <cellStyle name="20% - Accent1 7 2 5 4 3 2" xfId="47657"/>
    <cellStyle name="20% - Accent1 7 2 5 4 4" xfId="30572"/>
    <cellStyle name="20% - Accent1 7 2 5 4 4 2" xfId="59654"/>
    <cellStyle name="20% - Accent1 7 2 5 4 5" xfId="41101"/>
    <cellStyle name="20% - Accent1 7 2 5 5" xfId="15686"/>
    <cellStyle name="20% - Accent1 7 2 5 5 2" xfId="27487"/>
    <cellStyle name="20% - Accent1 7 2 5 5 2 2" xfId="59655"/>
    <cellStyle name="20% - Accent1 7 2 5 5 3" xfId="41102"/>
    <cellStyle name="20% - Accent1 7 2 5 6" xfId="6381"/>
    <cellStyle name="20% - Accent1 7 2 5 6 2" xfId="47658"/>
    <cellStyle name="20% - Accent1 7 2 5 7" xfId="18182"/>
    <cellStyle name="20% - Accent1 7 2 5 7 2" xfId="59656"/>
    <cellStyle name="20% - Accent1 7 2 5 8" xfId="31797"/>
    <cellStyle name="20% - Accent1 7 2 6" xfId="1747"/>
    <cellStyle name="20% - Accent1 7 2 6 2" xfId="3860"/>
    <cellStyle name="20% - Accent1 7 2 6 2 2" xfId="15687"/>
    <cellStyle name="20% - Accent1 7 2 6 2 2 2" xfId="27488"/>
    <cellStyle name="20% - Accent1 7 2 6 2 2 2 2" xfId="59657"/>
    <cellStyle name="20% - Accent1 7 2 6 2 2 3" xfId="41103"/>
    <cellStyle name="20% - Accent1 7 2 6 2 3" xfId="9313"/>
    <cellStyle name="20% - Accent1 7 2 6 2 3 2" xfId="47659"/>
    <cellStyle name="20% - Accent1 7 2 6 2 4" xfId="21114"/>
    <cellStyle name="20% - Accent1 7 2 6 2 4 2" xfId="59658"/>
    <cellStyle name="20% - Accent1 7 2 6 2 5" xfId="34729"/>
    <cellStyle name="20% - Accent1 7 2 6 3" xfId="15688"/>
    <cellStyle name="20% - Accent1 7 2 6 3 2" xfId="27489"/>
    <cellStyle name="20% - Accent1 7 2 6 3 2 2" xfId="47660"/>
    <cellStyle name="20% - Accent1 7 2 6 3 3" xfId="30573"/>
    <cellStyle name="20% - Accent1 7 2 6 3 3 2" xfId="47661"/>
    <cellStyle name="20% - Accent1 7 2 6 3 4" xfId="30574"/>
    <cellStyle name="20% - Accent1 7 2 6 3 4 2" xfId="59659"/>
    <cellStyle name="20% - Accent1 7 2 6 3 5" xfId="41104"/>
    <cellStyle name="20% - Accent1 7 2 6 4" xfId="15689"/>
    <cellStyle name="20% - Accent1 7 2 6 4 2" xfId="27490"/>
    <cellStyle name="20% - Accent1 7 2 6 4 2 2" xfId="59660"/>
    <cellStyle name="20% - Accent1 7 2 6 4 3" xfId="41105"/>
    <cellStyle name="20% - Accent1 7 2 6 5" xfId="7201"/>
    <cellStyle name="20% - Accent1 7 2 6 5 2" xfId="47662"/>
    <cellStyle name="20% - Accent1 7 2 6 6" xfId="19002"/>
    <cellStyle name="20% - Accent1 7 2 6 6 2" xfId="59661"/>
    <cellStyle name="20% - Accent1 7 2 6 7" xfId="32617"/>
    <cellStyle name="20% - Accent1 7 2 7" xfId="3723"/>
    <cellStyle name="20% - Accent1 7 2 7 2" xfId="15690"/>
    <cellStyle name="20% - Accent1 7 2 7 2 2" xfId="27491"/>
    <cellStyle name="20% - Accent1 7 2 7 2 2 2" xfId="59662"/>
    <cellStyle name="20% - Accent1 7 2 7 2 3" xfId="41106"/>
    <cellStyle name="20% - Accent1 7 2 7 3" xfId="9176"/>
    <cellStyle name="20% - Accent1 7 2 7 3 2" xfId="47663"/>
    <cellStyle name="20% - Accent1 7 2 7 4" xfId="20977"/>
    <cellStyle name="20% - Accent1 7 2 7 4 2" xfId="59663"/>
    <cellStyle name="20% - Accent1 7 2 7 5" xfId="34592"/>
    <cellStyle name="20% - Accent1 7 2 8" xfId="2019"/>
    <cellStyle name="20% - Accent1 7 2 8 2" xfId="15691"/>
    <cellStyle name="20% - Accent1 7 2 8 2 2" xfId="27492"/>
    <cellStyle name="20% - Accent1 7 2 8 2 2 2" xfId="59664"/>
    <cellStyle name="20% - Accent1 7 2 8 2 3" xfId="41107"/>
    <cellStyle name="20% - Accent1 7 2 8 3" xfId="7472"/>
    <cellStyle name="20% - Accent1 7 2 8 3 2" xfId="47664"/>
    <cellStyle name="20% - Accent1 7 2 8 4" xfId="19273"/>
    <cellStyle name="20% - Accent1 7 2 8 4 2" xfId="59665"/>
    <cellStyle name="20% - Accent1 7 2 8 5" xfId="32888"/>
    <cellStyle name="20% - Accent1 7 2 9" xfId="15692"/>
    <cellStyle name="20% - Accent1 7 2 9 2" xfId="27493"/>
    <cellStyle name="20% - Accent1 7 2 9 2 2" xfId="59666"/>
    <cellStyle name="20% - Accent1 7 2 9 3" xfId="41108"/>
    <cellStyle name="20% - Accent1 7 3" xfId="136"/>
    <cellStyle name="20% - Accent1 7 3 10" xfId="5590"/>
    <cellStyle name="20% - Accent1 7 3 10 2" xfId="47665"/>
    <cellStyle name="20% - Accent1 7 3 11" xfId="17391"/>
    <cellStyle name="20% - Accent1 7 3 11 2" xfId="59667"/>
    <cellStyle name="20% - Accent1 7 3 12" xfId="31006"/>
    <cellStyle name="20% - Accent1 7 3 2" xfId="563"/>
    <cellStyle name="20% - Accent1 7 3 2 2" xfId="1748"/>
    <cellStyle name="20% - Accent1 7 3 2 2 2" xfId="4873"/>
    <cellStyle name="20% - Accent1 7 3 2 2 2 2" xfId="15693"/>
    <cellStyle name="20% - Accent1 7 3 2 2 2 2 2" xfId="27494"/>
    <cellStyle name="20% - Accent1 7 3 2 2 2 2 2 2" xfId="59668"/>
    <cellStyle name="20% - Accent1 7 3 2 2 2 2 3" xfId="41109"/>
    <cellStyle name="20% - Accent1 7 3 2 2 2 3" xfId="10326"/>
    <cellStyle name="20% - Accent1 7 3 2 2 2 3 2" xfId="47666"/>
    <cellStyle name="20% - Accent1 7 3 2 2 2 4" xfId="22127"/>
    <cellStyle name="20% - Accent1 7 3 2 2 2 4 2" xfId="59669"/>
    <cellStyle name="20% - Accent1 7 3 2 2 2 5" xfId="35742"/>
    <cellStyle name="20% - Accent1 7 3 2 2 3" xfId="3032"/>
    <cellStyle name="20% - Accent1 7 3 2 2 3 2" xfId="15694"/>
    <cellStyle name="20% - Accent1 7 3 2 2 3 2 2" xfId="27495"/>
    <cellStyle name="20% - Accent1 7 3 2 2 3 2 2 2" xfId="59670"/>
    <cellStyle name="20% - Accent1 7 3 2 2 3 2 3" xfId="41110"/>
    <cellStyle name="20% - Accent1 7 3 2 2 3 3" xfId="8485"/>
    <cellStyle name="20% - Accent1 7 3 2 2 3 3 2" xfId="47667"/>
    <cellStyle name="20% - Accent1 7 3 2 2 3 4" xfId="20286"/>
    <cellStyle name="20% - Accent1 7 3 2 2 3 4 2" xfId="59671"/>
    <cellStyle name="20% - Accent1 7 3 2 2 3 5" xfId="33901"/>
    <cellStyle name="20% - Accent1 7 3 2 2 4" xfId="15695"/>
    <cellStyle name="20% - Accent1 7 3 2 2 4 2" xfId="27496"/>
    <cellStyle name="20% - Accent1 7 3 2 2 4 2 2" xfId="59672"/>
    <cellStyle name="20% - Accent1 7 3 2 2 4 3" xfId="41111"/>
    <cellStyle name="20% - Accent1 7 3 2 2 5" xfId="7202"/>
    <cellStyle name="20% - Accent1 7 3 2 2 5 2" xfId="47668"/>
    <cellStyle name="20% - Accent1 7 3 2 2 6" xfId="19003"/>
    <cellStyle name="20% - Accent1 7 3 2 2 6 2" xfId="59673"/>
    <cellStyle name="20% - Accent1 7 3 2 2 7" xfId="32618"/>
    <cellStyle name="20% - Accent1 7 3 2 3" xfId="3600"/>
    <cellStyle name="20% - Accent1 7 3 2 3 2" xfId="5441"/>
    <cellStyle name="20% - Accent1 7 3 2 3 2 2" xfId="16911"/>
    <cellStyle name="20% - Accent1 7 3 2 3 2 2 2" xfId="28712"/>
    <cellStyle name="20% - Accent1 7 3 2 3 2 2 2 2" xfId="59674"/>
    <cellStyle name="20% - Accent1 7 3 2 3 2 2 3" xfId="42327"/>
    <cellStyle name="20% - Accent1 7 3 2 3 2 3" xfId="10894"/>
    <cellStyle name="20% - Accent1 7 3 2 3 2 3 2" xfId="59675"/>
    <cellStyle name="20% - Accent1 7 3 2 3 2 4" xfId="22695"/>
    <cellStyle name="20% - Accent1 7 3 2 3 2 4 2" xfId="59676"/>
    <cellStyle name="20% - Accent1 7 3 2 3 2 5" xfId="36310"/>
    <cellStyle name="20% - Accent1 7 3 2 3 3" xfId="15696"/>
    <cellStyle name="20% - Accent1 7 3 2 3 3 2" xfId="27497"/>
    <cellStyle name="20% - Accent1 7 3 2 3 3 2 2" xfId="59677"/>
    <cellStyle name="20% - Accent1 7 3 2 3 3 3" xfId="41112"/>
    <cellStyle name="20% - Accent1 7 3 2 3 4" xfId="9053"/>
    <cellStyle name="20% - Accent1 7 3 2 3 4 2" xfId="59678"/>
    <cellStyle name="20% - Accent1 7 3 2 3 5" xfId="20854"/>
    <cellStyle name="20% - Accent1 7 3 2 3 5 2" xfId="59679"/>
    <cellStyle name="20% - Accent1 7 3 2 3 6" xfId="34469"/>
    <cellStyle name="20% - Accent1 7 3 2 4" xfId="4305"/>
    <cellStyle name="20% - Accent1 7 3 2 4 2" xfId="15697"/>
    <cellStyle name="20% - Accent1 7 3 2 4 2 2" xfId="27498"/>
    <cellStyle name="20% - Accent1 7 3 2 4 2 2 2" xfId="59680"/>
    <cellStyle name="20% - Accent1 7 3 2 4 2 3" xfId="41113"/>
    <cellStyle name="20% - Accent1 7 3 2 4 3" xfId="9758"/>
    <cellStyle name="20% - Accent1 7 3 2 4 3 2" xfId="47669"/>
    <cellStyle name="20% - Accent1 7 3 2 4 4" xfId="21559"/>
    <cellStyle name="20% - Accent1 7 3 2 4 4 2" xfId="59681"/>
    <cellStyle name="20% - Accent1 7 3 2 4 5" xfId="35174"/>
    <cellStyle name="20% - Accent1 7 3 2 5" xfId="2464"/>
    <cellStyle name="20% - Accent1 7 3 2 5 2" xfId="17202"/>
    <cellStyle name="20% - Accent1 7 3 2 5 2 2" xfId="29003"/>
    <cellStyle name="20% - Accent1 7 3 2 5 2 2 2" xfId="59682"/>
    <cellStyle name="20% - Accent1 7 3 2 5 2 3" xfId="42618"/>
    <cellStyle name="20% - Accent1 7 3 2 5 3" xfId="7917"/>
    <cellStyle name="20% - Accent1 7 3 2 5 3 2" xfId="59683"/>
    <cellStyle name="20% - Accent1 7 3 2 5 4" xfId="19718"/>
    <cellStyle name="20% - Accent1 7 3 2 5 4 2" xfId="59684"/>
    <cellStyle name="20% - Accent1 7 3 2 5 5" xfId="33333"/>
    <cellStyle name="20% - Accent1 7 3 2 6" xfId="15698"/>
    <cellStyle name="20% - Accent1 7 3 2 6 2" xfId="27499"/>
    <cellStyle name="20% - Accent1 7 3 2 6 2 2" xfId="59685"/>
    <cellStyle name="20% - Accent1 7 3 2 6 3" xfId="41114"/>
    <cellStyle name="20% - Accent1 7 3 2 7" xfId="6017"/>
    <cellStyle name="20% - Accent1 7 3 2 7 2" xfId="59686"/>
    <cellStyle name="20% - Accent1 7 3 2 8" xfId="17818"/>
    <cellStyle name="20% - Accent1 7 3 2 8 2" xfId="59687"/>
    <cellStyle name="20% - Accent1 7 3 2 9" xfId="31433"/>
    <cellStyle name="20% - Accent1 7 3 3" xfId="426"/>
    <cellStyle name="20% - Accent1 7 3 3 2" xfId="1749"/>
    <cellStyle name="20% - Accent1 7 3 3 2 2" xfId="4736"/>
    <cellStyle name="20% - Accent1 7 3 3 2 2 2" xfId="15699"/>
    <cellStyle name="20% - Accent1 7 3 3 2 2 2 2" xfId="27500"/>
    <cellStyle name="20% - Accent1 7 3 3 2 2 2 2 2" xfId="59688"/>
    <cellStyle name="20% - Accent1 7 3 3 2 2 2 3" xfId="41115"/>
    <cellStyle name="20% - Accent1 7 3 3 2 2 3" xfId="10189"/>
    <cellStyle name="20% - Accent1 7 3 3 2 2 3 2" xfId="47670"/>
    <cellStyle name="20% - Accent1 7 3 3 2 2 4" xfId="21990"/>
    <cellStyle name="20% - Accent1 7 3 3 2 2 4 2" xfId="59689"/>
    <cellStyle name="20% - Accent1 7 3 3 2 2 5" xfId="35605"/>
    <cellStyle name="20% - Accent1 7 3 3 2 3" xfId="2895"/>
    <cellStyle name="20% - Accent1 7 3 3 2 3 2" xfId="15700"/>
    <cellStyle name="20% - Accent1 7 3 3 2 3 2 2" xfId="27501"/>
    <cellStyle name="20% - Accent1 7 3 3 2 3 2 2 2" xfId="59690"/>
    <cellStyle name="20% - Accent1 7 3 3 2 3 2 3" xfId="41116"/>
    <cellStyle name="20% - Accent1 7 3 3 2 3 3" xfId="8348"/>
    <cellStyle name="20% - Accent1 7 3 3 2 3 3 2" xfId="47671"/>
    <cellStyle name="20% - Accent1 7 3 3 2 3 4" xfId="20149"/>
    <cellStyle name="20% - Accent1 7 3 3 2 3 4 2" xfId="59691"/>
    <cellStyle name="20% - Accent1 7 3 3 2 3 5" xfId="33764"/>
    <cellStyle name="20% - Accent1 7 3 3 2 4" xfId="15701"/>
    <cellStyle name="20% - Accent1 7 3 3 2 4 2" xfId="27502"/>
    <cellStyle name="20% - Accent1 7 3 3 2 4 2 2" xfId="59692"/>
    <cellStyle name="20% - Accent1 7 3 3 2 4 3" xfId="41117"/>
    <cellStyle name="20% - Accent1 7 3 3 2 5" xfId="7203"/>
    <cellStyle name="20% - Accent1 7 3 3 2 5 2" xfId="47672"/>
    <cellStyle name="20% - Accent1 7 3 3 2 6" xfId="19004"/>
    <cellStyle name="20% - Accent1 7 3 3 2 6 2" xfId="59693"/>
    <cellStyle name="20% - Accent1 7 3 3 2 7" xfId="32619"/>
    <cellStyle name="20% - Accent1 7 3 3 3" xfId="3463"/>
    <cellStyle name="20% - Accent1 7 3 3 3 2" xfId="5304"/>
    <cellStyle name="20% - Accent1 7 3 3 3 2 2" xfId="16774"/>
    <cellStyle name="20% - Accent1 7 3 3 3 2 2 2" xfId="28575"/>
    <cellStyle name="20% - Accent1 7 3 3 3 2 2 2 2" xfId="59694"/>
    <cellStyle name="20% - Accent1 7 3 3 3 2 2 3" xfId="42190"/>
    <cellStyle name="20% - Accent1 7 3 3 3 2 3" xfId="10757"/>
    <cellStyle name="20% - Accent1 7 3 3 3 2 3 2" xfId="59695"/>
    <cellStyle name="20% - Accent1 7 3 3 3 2 4" xfId="22558"/>
    <cellStyle name="20% - Accent1 7 3 3 3 2 4 2" xfId="59696"/>
    <cellStyle name="20% - Accent1 7 3 3 3 2 5" xfId="36173"/>
    <cellStyle name="20% - Accent1 7 3 3 3 3" xfId="15702"/>
    <cellStyle name="20% - Accent1 7 3 3 3 3 2" xfId="27503"/>
    <cellStyle name="20% - Accent1 7 3 3 3 3 2 2" xfId="59697"/>
    <cellStyle name="20% - Accent1 7 3 3 3 3 3" xfId="41118"/>
    <cellStyle name="20% - Accent1 7 3 3 3 4" xfId="8916"/>
    <cellStyle name="20% - Accent1 7 3 3 3 4 2" xfId="59698"/>
    <cellStyle name="20% - Accent1 7 3 3 3 5" xfId="20717"/>
    <cellStyle name="20% - Accent1 7 3 3 3 5 2" xfId="59699"/>
    <cellStyle name="20% - Accent1 7 3 3 3 6" xfId="34332"/>
    <cellStyle name="20% - Accent1 7 3 3 4" xfId="4168"/>
    <cellStyle name="20% - Accent1 7 3 3 4 2" xfId="15703"/>
    <cellStyle name="20% - Accent1 7 3 3 4 2 2" xfId="27504"/>
    <cellStyle name="20% - Accent1 7 3 3 4 2 2 2" xfId="59700"/>
    <cellStyle name="20% - Accent1 7 3 3 4 2 3" xfId="41119"/>
    <cellStyle name="20% - Accent1 7 3 3 4 3" xfId="9621"/>
    <cellStyle name="20% - Accent1 7 3 3 4 3 2" xfId="47673"/>
    <cellStyle name="20% - Accent1 7 3 3 4 4" xfId="21422"/>
    <cellStyle name="20% - Accent1 7 3 3 4 4 2" xfId="59701"/>
    <cellStyle name="20% - Accent1 7 3 3 4 5" xfId="35037"/>
    <cellStyle name="20% - Accent1 7 3 3 5" xfId="2327"/>
    <cellStyle name="20% - Accent1 7 3 3 5 2" xfId="17203"/>
    <cellStyle name="20% - Accent1 7 3 3 5 2 2" xfId="29004"/>
    <cellStyle name="20% - Accent1 7 3 3 5 2 2 2" xfId="59702"/>
    <cellStyle name="20% - Accent1 7 3 3 5 2 3" xfId="42619"/>
    <cellStyle name="20% - Accent1 7 3 3 5 3" xfId="7780"/>
    <cellStyle name="20% - Accent1 7 3 3 5 3 2" xfId="59703"/>
    <cellStyle name="20% - Accent1 7 3 3 5 4" xfId="19581"/>
    <cellStyle name="20% - Accent1 7 3 3 5 4 2" xfId="59704"/>
    <cellStyle name="20% - Accent1 7 3 3 5 5" xfId="33196"/>
    <cellStyle name="20% - Accent1 7 3 3 6" xfId="15704"/>
    <cellStyle name="20% - Accent1 7 3 3 6 2" xfId="27505"/>
    <cellStyle name="20% - Accent1 7 3 3 6 2 2" xfId="59705"/>
    <cellStyle name="20% - Accent1 7 3 3 6 3" xfId="41120"/>
    <cellStyle name="20% - Accent1 7 3 3 7" xfId="5880"/>
    <cellStyle name="20% - Accent1 7 3 3 7 2" xfId="59706"/>
    <cellStyle name="20% - Accent1 7 3 3 8" xfId="17681"/>
    <cellStyle name="20% - Accent1 7 3 3 8 2" xfId="59707"/>
    <cellStyle name="20% - Accent1 7 3 3 9" xfId="31296"/>
    <cellStyle name="20% - Accent1 7 3 4" xfId="704"/>
    <cellStyle name="20% - Accent1 7 3 4 2" xfId="1750"/>
    <cellStyle name="20% - Accent1 7 3 4 2 2" xfId="4446"/>
    <cellStyle name="20% - Accent1 7 3 4 2 2 2" xfId="15705"/>
    <cellStyle name="20% - Accent1 7 3 4 2 2 2 2" xfId="27506"/>
    <cellStyle name="20% - Accent1 7 3 4 2 2 2 2 2" xfId="59708"/>
    <cellStyle name="20% - Accent1 7 3 4 2 2 2 3" xfId="41121"/>
    <cellStyle name="20% - Accent1 7 3 4 2 2 3" xfId="9899"/>
    <cellStyle name="20% - Accent1 7 3 4 2 2 3 2" xfId="47674"/>
    <cellStyle name="20% - Accent1 7 3 4 2 2 4" xfId="21700"/>
    <cellStyle name="20% - Accent1 7 3 4 2 2 4 2" xfId="59709"/>
    <cellStyle name="20% - Accent1 7 3 4 2 2 5" xfId="35315"/>
    <cellStyle name="20% - Accent1 7 3 4 2 3" xfId="15706"/>
    <cellStyle name="20% - Accent1 7 3 4 2 3 2" xfId="27507"/>
    <cellStyle name="20% - Accent1 7 3 4 2 3 2 2" xfId="47675"/>
    <cellStyle name="20% - Accent1 7 3 4 2 3 3" xfId="30575"/>
    <cellStyle name="20% - Accent1 7 3 4 2 3 3 2" xfId="47676"/>
    <cellStyle name="20% - Accent1 7 3 4 2 3 4" xfId="30576"/>
    <cellStyle name="20% - Accent1 7 3 4 2 3 4 2" xfId="59710"/>
    <cellStyle name="20% - Accent1 7 3 4 2 3 5" xfId="41122"/>
    <cellStyle name="20% - Accent1 7 3 4 2 4" xfId="15707"/>
    <cellStyle name="20% - Accent1 7 3 4 2 4 2" xfId="27508"/>
    <cellStyle name="20% - Accent1 7 3 4 2 4 2 2" xfId="59711"/>
    <cellStyle name="20% - Accent1 7 3 4 2 4 3" xfId="41123"/>
    <cellStyle name="20% - Accent1 7 3 4 2 5" xfId="7204"/>
    <cellStyle name="20% - Accent1 7 3 4 2 5 2" xfId="47677"/>
    <cellStyle name="20% - Accent1 7 3 4 2 6" xfId="19005"/>
    <cellStyle name="20% - Accent1 7 3 4 2 6 2" xfId="59712"/>
    <cellStyle name="20% - Accent1 7 3 4 2 7" xfId="32620"/>
    <cellStyle name="20% - Accent1 7 3 4 3" xfId="2605"/>
    <cellStyle name="20% - Accent1 7 3 4 3 2" xfId="15708"/>
    <cellStyle name="20% - Accent1 7 3 4 3 2 2" xfId="27509"/>
    <cellStyle name="20% - Accent1 7 3 4 3 2 2 2" xfId="59713"/>
    <cellStyle name="20% - Accent1 7 3 4 3 2 3" xfId="41124"/>
    <cellStyle name="20% - Accent1 7 3 4 3 3" xfId="8058"/>
    <cellStyle name="20% - Accent1 7 3 4 3 3 2" xfId="47678"/>
    <cellStyle name="20% - Accent1 7 3 4 3 4" xfId="19859"/>
    <cellStyle name="20% - Accent1 7 3 4 3 4 2" xfId="59714"/>
    <cellStyle name="20% - Accent1 7 3 4 3 5" xfId="33474"/>
    <cellStyle name="20% - Accent1 7 3 4 4" xfId="15709"/>
    <cellStyle name="20% - Accent1 7 3 4 4 2" xfId="27510"/>
    <cellStyle name="20% - Accent1 7 3 4 4 2 2" xfId="47679"/>
    <cellStyle name="20% - Accent1 7 3 4 4 3" xfId="30577"/>
    <cellStyle name="20% - Accent1 7 3 4 4 3 2" xfId="47680"/>
    <cellStyle name="20% - Accent1 7 3 4 4 4" xfId="30578"/>
    <cellStyle name="20% - Accent1 7 3 4 4 4 2" xfId="59715"/>
    <cellStyle name="20% - Accent1 7 3 4 4 5" xfId="41125"/>
    <cellStyle name="20% - Accent1 7 3 4 5" xfId="15710"/>
    <cellStyle name="20% - Accent1 7 3 4 5 2" xfId="27511"/>
    <cellStyle name="20% - Accent1 7 3 4 5 2 2" xfId="59716"/>
    <cellStyle name="20% - Accent1 7 3 4 5 3" xfId="41126"/>
    <cellStyle name="20% - Accent1 7 3 4 6" xfId="6158"/>
    <cellStyle name="20% - Accent1 7 3 4 6 2" xfId="47681"/>
    <cellStyle name="20% - Accent1 7 3 4 7" xfId="17959"/>
    <cellStyle name="20% - Accent1 7 3 4 7 2" xfId="59717"/>
    <cellStyle name="20% - Accent1 7 3 4 8" xfId="31574"/>
    <cellStyle name="20% - Accent1 7 3 5" xfId="945"/>
    <cellStyle name="20% - Accent1 7 3 5 2" xfId="1751"/>
    <cellStyle name="20% - Accent1 7 3 5 2 2" xfId="5014"/>
    <cellStyle name="20% - Accent1 7 3 5 2 2 2" xfId="15711"/>
    <cellStyle name="20% - Accent1 7 3 5 2 2 2 2" xfId="27512"/>
    <cellStyle name="20% - Accent1 7 3 5 2 2 2 2 2" xfId="59718"/>
    <cellStyle name="20% - Accent1 7 3 5 2 2 2 3" xfId="41127"/>
    <cellStyle name="20% - Accent1 7 3 5 2 2 3" xfId="10467"/>
    <cellStyle name="20% - Accent1 7 3 5 2 2 3 2" xfId="47682"/>
    <cellStyle name="20% - Accent1 7 3 5 2 2 4" xfId="22268"/>
    <cellStyle name="20% - Accent1 7 3 5 2 2 4 2" xfId="59719"/>
    <cellStyle name="20% - Accent1 7 3 5 2 2 5" xfId="35883"/>
    <cellStyle name="20% - Accent1 7 3 5 2 3" xfId="15712"/>
    <cellStyle name="20% - Accent1 7 3 5 2 3 2" xfId="27513"/>
    <cellStyle name="20% - Accent1 7 3 5 2 3 2 2" xfId="47683"/>
    <cellStyle name="20% - Accent1 7 3 5 2 3 3" xfId="30579"/>
    <cellStyle name="20% - Accent1 7 3 5 2 3 3 2" xfId="47684"/>
    <cellStyle name="20% - Accent1 7 3 5 2 3 4" xfId="30580"/>
    <cellStyle name="20% - Accent1 7 3 5 2 3 4 2" xfId="59720"/>
    <cellStyle name="20% - Accent1 7 3 5 2 3 5" xfId="41128"/>
    <cellStyle name="20% - Accent1 7 3 5 2 4" xfId="15713"/>
    <cellStyle name="20% - Accent1 7 3 5 2 4 2" xfId="27514"/>
    <cellStyle name="20% - Accent1 7 3 5 2 4 2 2" xfId="59721"/>
    <cellStyle name="20% - Accent1 7 3 5 2 4 3" xfId="41129"/>
    <cellStyle name="20% - Accent1 7 3 5 2 5" xfId="7205"/>
    <cellStyle name="20% - Accent1 7 3 5 2 5 2" xfId="47685"/>
    <cellStyle name="20% - Accent1 7 3 5 2 6" xfId="19006"/>
    <cellStyle name="20% - Accent1 7 3 5 2 6 2" xfId="59722"/>
    <cellStyle name="20% - Accent1 7 3 5 2 7" xfId="32621"/>
    <cellStyle name="20% - Accent1 7 3 5 3" xfId="3173"/>
    <cellStyle name="20% - Accent1 7 3 5 3 2" xfId="15714"/>
    <cellStyle name="20% - Accent1 7 3 5 3 2 2" xfId="27515"/>
    <cellStyle name="20% - Accent1 7 3 5 3 2 2 2" xfId="59723"/>
    <cellStyle name="20% - Accent1 7 3 5 3 2 3" xfId="41130"/>
    <cellStyle name="20% - Accent1 7 3 5 3 3" xfId="8626"/>
    <cellStyle name="20% - Accent1 7 3 5 3 3 2" xfId="47686"/>
    <cellStyle name="20% - Accent1 7 3 5 3 4" xfId="20427"/>
    <cellStyle name="20% - Accent1 7 3 5 3 4 2" xfId="59724"/>
    <cellStyle name="20% - Accent1 7 3 5 3 5" xfId="34042"/>
    <cellStyle name="20% - Accent1 7 3 5 4" xfId="15715"/>
    <cellStyle name="20% - Accent1 7 3 5 4 2" xfId="27516"/>
    <cellStyle name="20% - Accent1 7 3 5 4 2 2" xfId="47687"/>
    <cellStyle name="20% - Accent1 7 3 5 4 3" xfId="30581"/>
    <cellStyle name="20% - Accent1 7 3 5 4 3 2" xfId="47688"/>
    <cellStyle name="20% - Accent1 7 3 5 4 4" xfId="30582"/>
    <cellStyle name="20% - Accent1 7 3 5 4 4 2" xfId="59725"/>
    <cellStyle name="20% - Accent1 7 3 5 4 5" xfId="41131"/>
    <cellStyle name="20% - Accent1 7 3 5 5" xfId="15716"/>
    <cellStyle name="20% - Accent1 7 3 5 5 2" xfId="27517"/>
    <cellStyle name="20% - Accent1 7 3 5 5 2 2" xfId="59726"/>
    <cellStyle name="20% - Accent1 7 3 5 5 3" xfId="41132"/>
    <cellStyle name="20% - Accent1 7 3 5 6" xfId="6399"/>
    <cellStyle name="20% - Accent1 7 3 5 6 2" xfId="47689"/>
    <cellStyle name="20% - Accent1 7 3 5 7" xfId="18200"/>
    <cellStyle name="20% - Accent1 7 3 5 7 2" xfId="59727"/>
    <cellStyle name="20% - Accent1 7 3 5 8" xfId="31815"/>
    <cellStyle name="20% - Accent1 7 3 6" xfId="1752"/>
    <cellStyle name="20% - Accent1 7 3 6 2" xfId="3878"/>
    <cellStyle name="20% - Accent1 7 3 6 2 2" xfId="15717"/>
    <cellStyle name="20% - Accent1 7 3 6 2 2 2" xfId="27518"/>
    <cellStyle name="20% - Accent1 7 3 6 2 2 2 2" xfId="59728"/>
    <cellStyle name="20% - Accent1 7 3 6 2 2 3" xfId="41133"/>
    <cellStyle name="20% - Accent1 7 3 6 2 3" xfId="9331"/>
    <cellStyle name="20% - Accent1 7 3 6 2 3 2" xfId="47690"/>
    <cellStyle name="20% - Accent1 7 3 6 2 4" xfId="21132"/>
    <cellStyle name="20% - Accent1 7 3 6 2 4 2" xfId="59729"/>
    <cellStyle name="20% - Accent1 7 3 6 2 5" xfId="34747"/>
    <cellStyle name="20% - Accent1 7 3 6 3" xfId="15718"/>
    <cellStyle name="20% - Accent1 7 3 6 3 2" xfId="27519"/>
    <cellStyle name="20% - Accent1 7 3 6 3 2 2" xfId="47691"/>
    <cellStyle name="20% - Accent1 7 3 6 3 3" xfId="30583"/>
    <cellStyle name="20% - Accent1 7 3 6 3 3 2" xfId="47692"/>
    <cellStyle name="20% - Accent1 7 3 6 3 4" xfId="30584"/>
    <cellStyle name="20% - Accent1 7 3 6 3 4 2" xfId="59730"/>
    <cellStyle name="20% - Accent1 7 3 6 3 5" xfId="41134"/>
    <cellStyle name="20% - Accent1 7 3 6 4" xfId="15719"/>
    <cellStyle name="20% - Accent1 7 3 6 4 2" xfId="27520"/>
    <cellStyle name="20% - Accent1 7 3 6 4 2 2" xfId="59731"/>
    <cellStyle name="20% - Accent1 7 3 6 4 3" xfId="41135"/>
    <cellStyle name="20% - Accent1 7 3 6 5" xfId="7206"/>
    <cellStyle name="20% - Accent1 7 3 6 5 2" xfId="47693"/>
    <cellStyle name="20% - Accent1 7 3 6 6" xfId="19007"/>
    <cellStyle name="20% - Accent1 7 3 6 6 2" xfId="59732"/>
    <cellStyle name="20% - Accent1 7 3 6 7" xfId="32622"/>
    <cellStyle name="20% - Accent1 7 3 7" xfId="3741"/>
    <cellStyle name="20% - Accent1 7 3 7 2" xfId="15720"/>
    <cellStyle name="20% - Accent1 7 3 7 2 2" xfId="27521"/>
    <cellStyle name="20% - Accent1 7 3 7 2 2 2" xfId="59733"/>
    <cellStyle name="20% - Accent1 7 3 7 2 3" xfId="41136"/>
    <cellStyle name="20% - Accent1 7 3 7 3" xfId="9194"/>
    <cellStyle name="20% - Accent1 7 3 7 3 2" xfId="47694"/>
    <cellStyle name="20% - Accent1 7 3 7 4" xfId="20995"/>
    <cellStyle name="20% - Accent1 7 3 7 4 2" xfId="59734"/>
    <cellStyle name="20% - Accent1 7 3 7 5" xfId="34610"/>
    <cellStyle name="20% - Accent1 7 3 8" xfId="2037"/>
    <cellStyle name="20% - Accent1 7 3 8 2" xfId="15721"/>
    <cellStyle name="20% - Accent1 7 3 8 2 2" xfId="27522"/>
    <cellStyle name="20% - Accent1 7 3 8 2 2 2" xfId="59735"/>
    <cellStyle name="20% - Accent1 7 3 8 2 3" xfId="41137"/>
    <cellStyle name="20% - Accent1 7 3 8 3" xfId="7490"/>
    <cellStyle name="20% - Accent1 7 3 8 3 2" xfId="47695"/>
    <cellStyle name="20% - Accent1 7 3 8 4" xfId="19291"/>
    <cellStyle name="20% - Accent1 7 3 8 4 2" xfId="59736"/>
    <cellStyle name="20% - Accent1 7 3 8 5" xfId="32906"/>
    <cellStyle name="20% - Accent1 7 3 9" xfId="15722"/>
    <cellStyle name="20% - Accent1 7 3 9 2" xfId="27523"/>
    <cellStyle name="20% - Accent1 7 3 9 2 2" xfId="59737"/>
    <cellStyle name="20% - Accent1 7 3 9 3" xfId="41138"/>
    <cellStyle name="20% - Accent1 7 4" xfId="139"/>
    <cellStyle name="20% - Accent1 7 4 10" xfId="17394"/>
    <cellStyle name="20% - Accent1 7 4 10 2" xfId="59738"/>
    <cellStyle name="20% - Accent1 7 4 11" xfId="31009"/>
    <cellStyle name="20% - Accent1 7 4 11 2" xfId="61758"/>
    <cellStyle name="20% - Accent1 7 4 11 2 2" xfId="61781"/>
    <cellStyle name="20% - Accent1 7 4 11 2 3" xfId="61784"/>
    <cellStyle name="20% - Accent1 7 4 11 2 3 2" xfId="61853"/>
    <cellStyle name="20% - Accent1 7 4 11 2 3 3" xfId="61860"/>
    <cellStyle name="20% - Accent1 7 4 11 2 3 3 2" xfId="61876"/>
    <cellStyle name="20% - Accent1 7 4 11 2 3 4" xfId="61874"/>
    <cellStyle name="20% - Accent1 7 4 11 2 4" xfId="61790"/>
    <cellStyle name="20% - Accent1 7 4 11 2 4 2" xfId="61852"/>
    <cellStyle name="20% - Accent1 7 4 11 2 4 3" xfId="61858"/>
    <cellStyle name="20% - Accent1 7 4 11 2 4 3 2" xfId="61873"/>
    <cellStyle name="20% - Accent1 7 4 11 3" xfId="61768"/>
    <cellStyle name="20% - Accent1 7 4 11 3 2" xfId="61851"/>
    <cellStyle name="20% - Accent1 7 4 11 3 2 3" xfId="61883"/>
    <cellStyle name="20% - Accent1 7 4 11 3 2 3 3 2" xfId="61884"/>
    <cellStyle name="20% - Accent1 7 4 12" xfId="61736"/>
    <cellStyle name="20% - Accent1 7 4 12 2" xfId="61738"/>
    <cellStyle name="20% - Accent1 7 4 12 2 2" xfId="61753"/>
    <cellStyle name="20% - Accent1 7 4 12 2 3" xfId="61757"/>
    <cellStyle name="20% - Accent1 7 4 12 2 3 2" xfId="61780"/>
    <cellStyle name="20% - Accent1 7 4 12 2 3 3" xfId="61783"/>
    <cellStyle name="20% - Accent1 7 4 12 2 3 3 2" xfId="61792"/>
    <cellStyle name="20% - Accent1 7 4 12 2 3 3 2 2" xfId="61861"/>
    <cellStyle name="20% - Accent1 7 4 12 2 3 3 2 2 2" xfId="61872"/>
    <cellStyle name="20% - Accent1 7 4 12 2 3 3 3" xfId="61857"/>
    <cellStyle name="20% - Accent1 7 4 12 2 3 3 3 2" xfId="61879"/>
    <cellStyle name="20% - Accent1 7 4 12 2 3 4" xfId="61786"/>
    <cellStyle name="20% - Accent1 7 4 12 2 3 4 2" xfId="61793"/>
    <cellStyle name="20% - Accent1 7 4 12 2 3 4 2 2" xfId="61862"/>
    <cellStyle name="20% - Accent1 7 4 12 2 3 4 2 2 2" xfId="61877"/>
    <cellStyle name="20% - Accent1 7 4 12 2 3 5" xfId="61788"/>
    <cellStyle name="20% - Accent1 7 4 12 2 3 5 2" xfId="61855"/>
    <cellStyle name="20% - Accent1 7 4 12 2 3 5 2 2" xfId="61870"/>
    <cellStyle name="20% - Accent1 7 4 12 2 4" xfId="61777"/>
    <cellStyle name="20% - Accent1 7 4 12 2 4 2" xfId="61863"/>
    <cellStyle name="20% - Accent1 7 4 12 2 4 2 2" xfId="61878"/>
    <cellStyle name="20% - Accent1 7 4 12 2 5" xfId="61787"/>
    <cellStyle name="20% - Accent1 7 4 12 2 5 2" xfId="61854"/>
    <cellStyle name="20% - Accent1 7 4 12 2 5 2 2" xfId="61869"/>
    <cellStyle name="20% - Accent1 7 4 12 3" xfId="61749"/>
    <cellStyle name="20% - Accent1 7 4 12 3 2" xfId="61754"/>
    <cellStyle name="20% - Accent1 7 4 2" xfId="241"/>
    <cellStyle name="20% - Accent1 7 4 2 10" xfId="31111"/>
    <cellStyle name="20% - Accent1 7 4 2 2" xfId="567"/>
    <cellStyle name="20% - Accent1 7 4 2 2 2" xfId="1753"/>
    <cellStyle name="20% - Accent1 7 4 2 2 2 2" xfId="4877"/>
    <cellStyle name="20% - Accent1 7 4 2 2 2 2 2" xfId="15723"/>
    <cellStyle name="20% - Accent1 7 4 2 2 2 2 2 2" xfId="27524"/>
    <cellStyle name="20% - Accent1 7 4 2 2 2 2 2 2 2" xfId="59739"/>
    <cellStyle name="20% - Accent1 7 4 2 2 2 2 2 3" xfId="41139"/>
    <cellStyle name="20% - Accent1 7 4 2 2 2 2 3" xfId="10330"/>
    <cellStyle name="20% - Accent1 7 4 2 2 2 2 3 2" xfId="47696"/>
    <cellStyle name="20% - Accent1 7 4 2 2 2 2 4" xfId="22131"/>
    <cellStyle name="20% - Accent1 7 4 2 2 2 2 4 2" xfId="59740"/>
    <cellStyle name="20% - Accent1 7 4 2 2 2 2 5" xfId="35746"/>
    <cellStyle name="20% - Accent1 7 4 2 2 2 3" xfId="3036"/>
    <cellStyle name="20% - Accent1 7 4 2 2 2 3 2" xfId="15724"/>
    <cellStyle name="20% - Accent1 7 4 2 2 2 3 2 2" xfId="27525"/>
    <cellStyle name="20% - Accent1 7 4 2 2 2 3 2 2 2" xfId="59741"/>
    <cellStyle name="20% - Accent1 7 4 2 2 2 3 2 3" xfId="41140"/>
    <cellStyle name="20% - Accent1 7 4 2 2 2 3 3" xfId="8489"/>
    <cellStyle name="20% - Accent1 7 4 2 2 2 3 3 2" xfId="47697"/>
    <cellStyle name="20% - Accent1 7 4 2 2 2 3 4" xfId="20290"/>
    <cellStyle name="20% - Accent1 7 4 2 2 2 3 4 2" xfId="59742"/>
    <cellStyle name="20% - Accent1 7 4 2 2 2 3 5" xfId="33905"/>
    <cellStyle name="20% - Accent1 7 4 2 2 2 4" xfId="15725"/>
    <cellStyle name="20% - Accent1 7 4 2 2 2 4 2" xfId="27526"/>
    <cellStyle name="20% - Accent1 7 4 2 2 2 4 2 2" xfId="59743"/>
    <cellStyle name="20% - Accent1 7 4 2 2 2 4 3" xfId="41141"/>
    <cellStyle name="20% - Accent1 7 4 2 2 2 5" xfId="7207"/>
    <cellStyle name="20% - Accent1 7 4 2 2 2 5 2" xfId="47698"/>
    <cellStyle name="20% - Accent1 7 4 2 2 2 6" xfId="19008"/>
    <cellStyle name="20% - Accent1 7 4 2 2 2 6 2" xfId="59744"/>
    <cellStyle name="20% - Accent1 7 4 2 2 2 7" xfId="32623"/>
    <cellStyle name="20% - Accent1 7 4 2 2 3" xfId="3604"/>
    <cellStyle name="20% - Accent1 7 4 2 2 3 2" xfId="5445"/>
    <cellStyle name="20% - Accent1 7 4 2 2 3 2 2" xfId="16915"/>
    <cellStyle name="20% - Accent1 7 4 2 2 3 2 2 2" xfId="28716"/>
    <cellStyle name="20% - Accent1 7 4 2 2 3 2 2 2 2" xfId="59745"/>
    <cellStyle name="20% - Accent1 7 4 2 2 3 2 2 3" xfId="42331"/>
    <cellStyle name="20% - Accent1 7 4 2 2 3 2 3" xfId="10898"/>
    <cellStyle name="20% - Accent1 7 4 2 2 3 2 3 2" xfId="59746"/>
    <cellStyle name="20% - Accent1 7 4 2 2 3 2 4" xfId="22699"/>
    <cellStyle name="20% - Accent1 7 4 2 2 3 2 4 2" xfId="59747"/>
    <cellStyle name="20% - Accent1 7 4 2 2 3 2 5" xfId="36314"/>
    <cellStyle name="20% - Accent1 7 4 2 2 3 3" xfId="15726"/>
    <cellStyle name="20% - Accent1 7 4 2 2 3 3 2" xfId="27527"/>
    <cellStyle name="20% - Accent1 7 4 2 2 3 3 2 2" xfId="59748"/>
    <cellStyle name="20% - Accent1 7 4 2 2 3 3 3" xfId="41142"/>
    <cellStyle name="20% - Accent1 7 4 2 2 3 4" xfId="9057"/>
    <cellStyle name="20% - Accent1 7 4 2 2 3 4 2" xfId="59749"/>
    <cellStyle name="20% - Accent1 7 4 2 2 3 5" xfId="20858"/>
    <cellStyle name="20% - Accent1 7 4 2 2 3 5 2" xfId="59750"/>
    <cellStyle name="20% - Accent1 7 4 2 2 3 6" xfId="34473"/>
    <cellStyle name="20% - Accent1 7 4 2 2 4" xfId="4309"/>
    <cellStyle name="20% - Accent1 7 4 2 2 4 2" xfId="15727"/>
    <cellStyle name="20% - Accent1 7 4 2 2 4 2 2" xfId="27528"/>
    <cellStyle name="20% - Accent1 7 4 2 2 4 2 2 2" xfId="59751"/>
    <cellStyle name="20% - Accent1 7 4 2 2 4 2 3" xfId="41143"/>
    <cellStyle name="20% - Accent1 7 4 2 2 4 3" xfId="9762"/>
    <cellStyle name="20% - Accent1 7 4 2 2 4 3 2" xfId="47699"/>
    <cellStyle name="20% - Accent1 7 4 2 2 4 4" xfId="21563"/>
    <cellStyle name="20% - Accent1 7 4 2 2 4 4 2" xfId="59752"/>
    <cellStyle name="20% - Accent1 7 4 2 2 4 5" xfId="35178"/>
    <cellStyle name="20% - Accent1 7 4 2 2 5" xfId="2468"/>
    <cellStyle name="20% - Accent1 7 4 2 2 5 2" xfId="17204"/>
    <cellStyle name="20% - Accent1 7 4 2 2 5 2 2" xfId="29005"/>
    <cellStyle name="20% - Accent1 7 4 2 2 5 2 2 2" xfId="59753"/>
    <cellStyle name="20% - Accent1 7 4 2 2 5 2 3" xfId="42620"/>
    <cellStyle name="20% - Accent1 7 4 2 2 5 3" xfId="7921"/>
    <cellStyle name="20% - Accent1 7 4 2 2 5 3 2" xfId="59754"/>
    <cellStyle name="20% - Accent1 7 4 2 2 5 4" xfId="19722"/>
    <cellStyle name="20% - Accent1 7 4 2 2 5 4 2" xfId="59755"/>
    <cellStyle name="20% - Accent1 7 4 2 2 5 5" xfId="33337"/>
    <cellStyle name="20% - Accent1 7 4 2 2 6" xfId="15728"/>
    <cellStyle name="20% - Accent1 7 4 2 2 6 2" xfId="27529"/>
    <cellStyle name="20% - Accent1 7 4 2 2 6 2 2" xfId="59756"/>
    <cellStyle name="20% - Accent1 7 4 2 2 6 3" xfId="41144"/>
    <cellStyle name="20% - Accent1 7 4 2 2 7" xfId="6021"/>
    <cellStyle name="20% - Accent1 7 4 2 2 7 2" xfId="59757"/>
    <cellStyle name="20% - Accent1 7 4 2 2 8" xfId="17822"/>
    <cellStyle name="20% - Accent1 7 4 2 2 8 2" xfId="59758"/>
    <cellStyle name="20% - Accent1 7 4 2 2 9" xfId="31437"/>
    <cellStyle name="20% - Accent1 7 4 2 3" xfId="809"/>
    <cellStyle name="20% - Accent1 7 4 2 3 2" xfId="1754"/>
    <cellStyle name="20% - Accent1 7 4 2 3 2 2" xfId="4551"/>
    <cellStyle name="20% - Accent1 7 4 2 3 2 2 2" xfId="15729"/>
    <cellStyle name="20% - Accent1 7 4 2 3 2 2 2 2" xfId="27530"/>
    <cellStyle name="20% - Accent1 7 4 2 3 2 2 2 2 2" xfId="59759"/>
    <cellStyle name="20% - Accent1 7 4 2 3 2 2 2 3" xfId="41145"/>
    <cellStyle name="20% - Accent1 7 4 2 3 2 2 3" xfId="10004"/>
    <cellStyle name="20% - Accent1 7 4 2 3 2 2 3 2" xfId="47700"/>
    <cellStyle name="20% - Accent1 7 4 2 3 2 2 4" xfId="21805"/>
    <cellStyle name="20% - Accent1 7 4 2 3 2 2 4 2" xfId="59760"/>
    <cellStyle name="20% - Accent1 7 4 2 3 2 2 5" xfId="35420"/>
    <cellStyle name="20% - Accent1 7 4 2 3 2 3" xfId="15730"/>
    <cellStyle name="20% - Accent1 7 4 2 3 2 3 2" xfId="27531"/>
    <cellStyle name="20% - Accent1 7 4 2 3 2 3 2 2" xfId="47701"/>
    <cellStyle name="20% - Accent1 7 4 2 3 2 3 3" xfId="30585"/>
    <cellStyle name="20% - Accent1 7 4 2 3 2 3 3 2" xfId="47702"/>
    <cellStyle name="20% - Accent1 7 4 2 3 2 3 4" xfId="30586"/>
    <cellStyle name="20% - Accent1 7 4 2 3 2 3 4 2" xfId="59761"/>
    <cellStyle name="20% - Accent1 7 4 2 3 2 3 5" xfId="41146"/>
    <cellStyle name="20% - Accent1 7 4 2 3 2 4" xfId="15731"/>
    <cellStyle name="20% - Accent1 7 4 2 3 2 4 2" xfId="27532"/>
    <cellStyle name="20% - Accent1 7 4 2 3 2 4 2 2" xfId="59762"/>
    <cellStyle name="20% - Accent1 7 4 2 3 2 4 3" xfId="41147"/>
    <cellStyle name="20% - Accent1 7 4 2 3 2 5" xfId="7208"/>
    <cellStyle name="20% - Accent1 7 4 2 3 2 5 2" xfId="47703"/>
    <cellStyle name="20% - Accent1 7 4 2 3 2 6" xfId="19009"/>
    <cellStyle name="20% - Accent1 7 4 2 3 2 6 2" xfId="59763"/>
    <cellStyle name="20% - Accent1 7 4 2 3 2 7" xfId="32624"/>
    <cellStyle name="20% - Accent1 7 4 2 3 3" xfId="2710"/>
    <cellStyle name="20% - Accent1 7 4 2 3 3 2" xfId="15732"/>
    <cellStyle name="20% - Accent1 7 4 2 3 3 2 2" xfId="27533"/>
    <cellStyle name="20% - Accent1 7 4 2 3 3 2 2 2" xfId="59764"/>
    <cellStyle name="20% - Accent1 7 4 2 3 3 2 3" xfId="41148"/>
    <cellStyle name="20% - Accent1 7 4 2 3 3 3" xfId="8163"/>
    <cellStyle name="20% - Accent1 7 4 2 3 3 3 2" xfId="47704"/>
    <cellStyle name="20% - Accent1 7 4 2 3 3 4" xfId="19964"/>
    <cellStyle name="20% - Accent1 7 4 2 3 3 4 2" xfId="59765"/>
    <cellStyle name="20% - Accent1 7 4 2 3 3 5" xfId="33579"/>
    <cellStyle name="20% - Accent1 7 4 2 3 4" xfId="15733"/>
    <cellStyle name="20% - Accent1 7 4 2 3 4 2" xfId="27534"/>
    <cellStyle name="20% - Accent1 7 4 2 3 4 2 2" xfId="47705"/>
    <cellStyle name="20% - Accent1 7 4 2 3 4 3" xfId="30587"/>
    <cellStyle name="20% - Accent1 7 4 2 3 4 3 2" xfId="47706"/>
    <cellStyle name="20% - Accent1 7 4 2 3 4 4" xfId="30588"/>
    <cellStyle name="20% - Accent1 7 4 2 3 4 4 2" xfId="59766"/>
    <cellStyle name="20% - Accent1 7 4 2 3 4 5" xfId="41149"/>
    <cellStyle name="20% - Accent1 7 4 2 3 5" xfId="15734"/>
    <cellStyle name="20% - Accent1 7 4 2 3 5 2" xfId="27535"/>
    <cellStyle name="20% - Accent1 7 4 2 3 5 2 2" xfId="59767"/>
    <cellStyle name="20% - Accent1 7 4 2 3 5 3" xfId="41150"/>
    <cellStyle name="20% - Accent1 7 4 2 3 6" xfId="6263"/>
    <cellStyle name="20% - Accent1 7 4 2 3 6 2" xfId="47707"/>
    <cellStyle name="20% - Accent1 7 4 2 3 7" xfId="18064"/>
    <cellStyle name="20% - Accent1 7 4 2 3 7 2" xfId="59768"/>
    <cellStyle name="20% - Accent1 7 4 2 3 8" xfId="31679"/>
    <cellStyle name="20% - Accent1 7 4 2 4" xfId="949"/>
    <cellStyle name="20% - Accent1 7 4 2 4 2" xfId="5119"/>
    <cellStyle name="20% - Accent1 7 4 2 4 2 2" xfId="15735"/>
    <cellStyle name="20% - Accent1 7 4 2 4 2 2 2" xfId="27536"/>
    <cellStyle name="20% - Accent1 7 4 2 4 2 2 2 2" xfId="59769"/>
    <cellStyle name="20% - Accent1 7 4 2 4 2 2 3" xfId="41151"/>
    <cellStyle name="20% - Accent1 7 4 2 4 2 3" xfId="10572"/>
    <cellStyle name="20% - Accent1 7 4 2 4 2 3 2" xfId="47708"/>
    <cellStyle name="20% - Accent1 7 4 2 4 2 4" xfId="22373"/>
    <cellStyle name="20% - Accent1 7 4 2 4 2 4 2" xfId="59770"/>
    <cellStyle name="20% - Accent1 7 4 2 4 2 5" xfId="35988"/>
    <cellStyle name="20% - Accent1 7 4 2 4 3" xfId="5448"/>
    <cellStyle name="20% - Accent1 7 4 2 4 3 2" xfId="15736"/>
    <cellStyle name="20% - Accent1 7 4 2 4 3 2 2" xfId="27537"/>
    <cellStyle name="20% - Accent1 7 4 2 4 3 2 2 2" xfId="59771"/>
    <cellStyle name="20% - Accent1 7 4 2 4 3 2 3" xfId="41152"/>
    <cellStyle name="20% - Accent1 7 4 2 4 3 3" xfId="10901"/>
    <cellStyle name="20% - Accent1 7 4 2 4 3 3 2" xfId="47709"/>
    <cellStyle name="20% - Accent1 7 4 2 4 3 4" xfId="22702"/>
    <cellStyle name="20% - Accent1 7 4 2 4 3 4 2" xfId="59772"/>
    <cellStyle name="20% - Accent1 7 4 2 4 3 5" xfId="36317"/>
    <cellStyle name="20% - Accent1 7 4 2 4 4" xfId="3278"/>
    <cellStyle name="20% - Accent1 7 4 2 4 4 2" xfId="17205"/>
    <cellStyle name="20% - Accent1 7 4 2 4 4 2 2" xfId="29006"/>
    <cellStyle name="20% - Accent1 7 4 2 4 4 2 2 2" xfId="59773"/>
    <cellStyle name="20% - Accent1 7 4 2 4 4 2 3" xfId="42621"/>
    <cellStyle name="20% - Accent1 7 4 2 4 4 3" xfId="8731"/>
    <cellStyle name="20% - Accent1 7 4 2 4 4 3 2" xfId="59774"/>
    <cellStyle name="20% - Accent1 7 4 2 4 4 4" xfId="20532"/>
    <cellStyle name="20% - Accent1 7 4 2 4 4 4 2" xfId="59775"/>
    <cellStyle name="20% - Accent1 7 4 2 4 4 5" xfId="34147"/>
    <cellStyle name="20% - Accent1 7 4 2 4 5" xfId="5450"/>
    <cellStyle name="20% - Accent1 7 4 2 4 5 2" xfId="10903"/>
    <cellStyle name="20% - Accent1 7 4 2 4 5 2 2" xfId="59776"/>
    <cellStyle name="20% - Accent1 7 4 2 4 5 3" xfId="22704"/>
    <cellStyle name="20% - Accent1 7 4 2 4 5 3 2" xfId="59777"/>
    <cellStyle name="20% - Accent1 7 4 2 4 5 4" xfId="36319"/>
    <cellStyle name="20% - Accent1 7 4 2 4 5 5" xfId="61746"/>
    <cellStyle name="20% - Accent1 7 4 2 4 5 5 2" xfId="61763"/>
    <cellStyle name="20% - Accent1 7 4 2 4 5 6" xfId="61765"/>
    <cellStyle name="20% - Accent1 7 4 2 4 5 6 2" xfId="61848"/>
    <cellStyle name="20% - Accent1 7 4 2 4 5 7" xfId="61789"/>
    <cellStyle name="20% - Accent1 7 4 2 4 5 7 2" xfId="61856"/>
    <cellStyle name="20% - Accent1 7 4 2 4 5 7 2 2" xfId="61871"/>
    <cellStyle name="20% - Accent1 7 4 2 4 6" xfId="6403"/>
    <cellStyle name="20% - Accent1 7 4 2 4 6 2" xfId="47710"/>
    <cellStyle name="20% - Accent1 7 4 2 4 7" xfId="18204"/>
    <cellStyle name="20% - Accent1 7 4 2 4 7 2" xfId="59778"/>
    <cellStyle name="20% - Accent1 7 4 2 4 8" xfId="31819"/>
    <cellStyle name="20% - Accent1 7 4 2 5" xfId="3983"/>
    <cellStyle name="20% - Accent1 7 4 2 5 2" xfId="15737"/>
    <cellStyle name="20% - Accent1 7 4 2 5 2 2" xfId="27538"/>
    <cellStyle name="20% - Accent1 7 4 2 5 2 2 2" xfId="59779"/>
    <cellStyle name="20% - Accent1 7 4 2 5 2 3" xfId="41153"/>
    <cellStyle name="20% - Accent1 7 4 2 5 3" xfId="9436"/>
    <cellStyle name="20% - Accent1 7 4 2 5 3 2" xfId="47711"/>
    <cellStyle name="20% - Accent1 7 4 2 5 4" xfId="21237"/>
    <cellStyle name="20% - Accent1 7 4 2 5 4 2" xfId="59780"/>
    <cellStyle name="20% - Accent1 7 4 2 5 5" xfId="34852"/>
    <cellStyle name="20% - Accent1 7 4 2 6" xfId="2142"/>
    <cellStyle name="20% - Accent1 7 4 2 6 2" xfId="15738"/>
    <cellStyle name="20% - Accent1 7 4 2 6 2 2" xfId="27539"/>
    <cellStyle name="20% - Accent1 7 4 2 6 2 2 2" xfId="59781"/>
    <cellStyle name="20% - Accent1 7 4 2 6 2 3" xfId="41154"/>
    <cellStyle name="20% - Accent1 7 4 2 6 3" xfId="7595"/>
    <cellStyle name="20% - Accent1 7 4 2 6 3 2" xfId="47712"/>
    <cellStyle name="20% - Accent1 7 4 2 6 4" xfId="19396"/>
    <cellStyle name="20% - Accent1 7 4 2 6 4 2" xfId="59782"/>
    <cellStyle name="20% - Accent1 7 4 2 6 5" xfId="33011"/>
    <cellStyle name="20% - Accent1 7 4 2 7" xfId="15739"/>
    <cellStyle name="20% - Accent1 7 4 2 7 2" xfId="27540"/>
    <cellStyle name="20% - Accent1 7 4 2 7 2 2" xfId="59783"/>
    <cellStyle name="20% - Accent1 7 4 2 7 3" xfId="41155"/>
    <cellStyle name="20% - Accent1 7 4 2 8" xfId="5695"/>
    <cellStyle name="20% - Accent1 7 4 2 8 2" xfId="47713"/>
    <cellStyle name="20% - Accent1 7 4 2 9" xfId="17496"/>
    <cellStyle name="20% - Accent1 7 4 2 9 2" xfId="59784"/>
    <cellStyle name="20% - Accent1 7 4 3" xfId="566"/>
    <cellStyle name="20% - Accent1 7 4 3 2" xfId="1755"/>
    <cellStyle name="20% - Accent1 7 4 3 2 2" xfId="4876"/>
    <cellStyle name="20% - Accent1 7 4 3 2 2 2" xfId="15740"/>
    <cellStyle name="20% - Accent1 7 4 3 2 2 2 2" xfId="27541"/>
    <cellStyle name="20% - Accent1 7 4 3 2 2 2 2 2" xfId="59785"/>
    <cellStyle name="20% - Accent1 7 4 3 2 2 2 3" xfId="41156"/>
    <cellStyle name="20% - Accent1 7 4 3 2 2 3" xfId="10329"/>
    <cellStyle name="20% - Accent1 7 4 3 2 2 3 2" xfId="47714"/>
    <cellStyle name="20% - Accent1 7 4 3 2 2 4" xfId="22130"/>
    <cellStyle name="20% - Accent1 7 4 3 2 2 4 2" xfId="59786"/>
    <cellStyle name="20% - Accent1 7 4 3 2 2 5" xfId="35745"/>
    <cellStyle name="20% - Accent1 7 4 3 2 3" xfId="3035"/>
    <cellStyle name="20% - Accent1 7 4 3 2 3 2" xfId="15741"/>
    <cellStyle name="20% - Accent1 7 4 3 2 3 2 2" xfId="27542"/>
    <cellStyle name="20% - Accent1 7 4 3 2 3 2 2 2" xfId="59787"/>
    <cellStyle name="20% - Accent1 7 4 3 2 3 2 3" xfId="41157"/>
    <cellStyle name="20% - Accent1 7 4 3 2 3 3" xfId="8488"/>
    <cellStyle name="20% - Accent1 7 4 3 2 3 3 2" xfId="47715"/>
    <cellStyle name="20% - Accent1 7 4 3 2 3 4" xfId="20289"/>
    <cellStyle name="20% - Accent1 7 4 3 2 3 4 2" xfId="59788"/>
    <cellStyle name="20% - Accent1 7 4 3 2 3 5" xfId="33904"/>
    <cellStyle name="20% - Accent1 7 4 3 2 4" xfId="15742"/>
    <cellStyle name="20% - Accent1 7 4 3 2 4 2" xfId="27543"/>
    <cellStyle name="20% - Accent1 7 4 3 2 4 2 2" xfId="59789"/>
    <cellStyle name="20% - Accent1 7 4 3 2 4 3" xfId="41158"/>
    <cellStyle name="20% - Accent1 7 4 3 2 5" xfId="7209"/>
    <cellStyle name="20% - Accent1 7 4 3 2 5 2" xfId="47716"/>
    <cellStyle name="20% - Accent1 7 4 3 2 6" xfId="19010"/>
    <cellStyle name="20% - Accent1 7 4 3 2 6 2" xfId="59790"/>
    <cellStyle name="20% - Accent1 7 4 3 2 7" xfId="32625"/>
    <cellStyle name="20% - Accent1 7 4 3 3" xfId="3603"/>
    <cellStyle name="20% - Accent1 7 4 3 3 2" xfId="5444"/>
    <cellStyle name="20% - Accent1 7 4 3 3 2 2" xfId="16914"/>
    <cellStyle name="20% - Accent1 7 4 3 3 2 2 2" xfId="28715"/>
    <cellStyle name="20% - Accent1 7 4 3 3 2 2 2 2" xfId="59791"/>
    <cellStyle name="20% - Accent1 7 4 3 3 2 2 3" xfId="42330"/>
    <cellStyle name="20% - Accent1 7 4 3 3 2 3" xfId="10897"/>
    <cellStyle name="20% - Accent1 7 4 3 3 2 3 2" xfId="59792"/>
    <cellStyle name="20% - Accent1 7 4 3 3 2 4" xfId="22698"/>
    <cellStyle name="20% - Accent1 7 4 3 3 2 4 2" xfId="59793"/>
    <cellStyle name="20% - Accent1 7 4 3 3 2 5" xfId="36313"/>
    <cellStyle name="20% - Accent1 7 4 3 3 3" xfId="15743"/>
    <cellStyle name="20% - Accent1 7 4 3 3 3 2" xfId="27544"/>
    <cellStyle name="20% - Accent1 7 4 3 3 3 2 2" xfId="59794"/>
    <cellStyle name="20% - Accent1 7 4 3 3 3 3" xfId="41159"/>
    <cellStyle name="20% - Accent1 7 4 3 3 4" xfId="9056"/>
    <cellStyle name="20% - Accent1 7 4 3 3 4 2" xfId="59795"/>
    <cellStyle name="20% - Accent1 7 4 3 3 5" xfId="20857"/>
    <cellStyle name="20% - Accent1 7 4 3 3 5 2" xfId="59796"/>
    <cellStyle name="20% - Accent1 7 4 3 3 6" xfId="34472"/>
    <cellStyle name="20% - Accent1 7 4 3 4" xfId="4308"/>
    <cellStyle name="20% - Accent1 7 4 3 4 2" xfId="15744"/>
    <cellStyle name="20% - Accent1 7 4 3 4 2 2" xfId="27545"/>
    <cellStyle name="20% - Accent1 7 4 3 4 2 2 2" xfId="59797"/>
    <cellStyle name="20% - Accent1 7 4 3 4 2 3" xfId="41160"/>
    <cellStyle name="20% - Accent1 7 4 3 4 3" xfId="9761"/>
    <cellStyle name="20% - Accent1 7 4 3 4 3 2" xfId="47717"/>
    <cellStyle name="20% - Accent1 7 4 3 4 4" xfId="21562"/>
    <cellStyle name="20% - Accent1 7 4 3 4 4 2" xfId="59798"/>
    <cellStyle name="20% - Accent1 7 4 3 4 5" xfId="35177"/>
    <cellStyle name="20% - Accent1 7 4 3 5" xfId="2467"/>
    <cellStyle name="20% - Accent1 7 4 3 5 2" xfId="17206"/>
    <cellStyle name="20% - Accent1 7 4 3 5 2 2" xfId="29007"/>
    <cellStyle name="20% - Accent1 7 4 3 5 2 2 2" xfId="59799"/>
    <cellStyle name="20% - Accent1 7 4 3 5 2 3" xfId="42622"/>
    <cellStyle name="20% - Accent1 7 4 3 5 3" xfId="7920"/>
    <cellStyle name="20% - Accent1 7 4 3 5 3 2" xfId="59800"/>
    <cellStyle name="20% - Accent1 7 4 3 5 4" xfId="19721"/>
    <cellStyle name="20% - Accent1 7 4 3 5 4 2" xfId="59801"/>
    <cellStyle name="20% - Accent1 7 4 3 5 5" xfId="33336"/>
    <cellStyle name="20% - Accent1 7 4 3 6" xfId="15745"/>
    <cellStyle name="20% - Accent1 7 4 3 6 2" xfId="27546"/>
    <cellStyle name="20% - Accent1 7 4 3 6 2 2" xfId="59802"/>
    <cellStyle name="20% - Accent1 7 4 3 6 3" xfId="41161"/>
    <cellStyle name="20% - Accent1 7 4 3 7" xfId="6020"/>
    <cellStyle name="20% - Accent1 7 4 3 7 2" xfId="59803"/>
    <cellStyle name="20% - Accent1 7 4 3 8" xfId="17821"/>
    <cellStyle name="20% - Accent1 7 4 3 8 2" xfId="59804"/>
    <cellStyle name="20% - Accent1 7 4 3 9" xfId="31436"/>
    <cellStyle name="20% - Accent1 7 4 4" xfId="707"/>
    <cellStyle name="20% - Accent1 7 4 4 2" xfId="1756"/>
    <cellStyle name="20% - Accent1 7 4 4 2 2" xfId="4449"/>
    <cellStyle name="20% - Accent1 7 4 4 2 2 2" xfId="15746"/>
    <cellStyle name="20% - Accent1 7 4 4 2 2 2 2" xfId="27547"/>
    <cellStyle name="20% - Accent1 7 4 4 2 2 2 2 2" xfId="59805"/>
    <cellStyle name="20% - Accent1 7 4 4 2 2 2 3" xfId="41162"/>
    <cellStyle name="20% - Accent1 7 4 4 2 2 3" xfId="9902"/>
    <cellStyle name="20% - Accent1 7 4 4 2 2 3 2" xfId="47718"/>
    <cellStyle name="20% - Accent1 7 4 4 2 2 4" xfId="21703"/>
    <cellStyle name="20% - Accent1 7 4 4 2 2 4 2" xfId="59806"/>
    <cellStyle name="20% - Accent1 7 4 4 2 2 5" xfId="35318"/>
    <cellStyle name="20% - Accent1 7 4 4 2 3" xfId="15747"/>
    <cellStyle name="20% - Accent1 7 4 4 2 3 2" xfId="27548"/>
    <cellStyle name="20% - Accent1 7 4 4 2 3 2 2" xfId="47719"/>
    <cellStyle name="20% - Accent1 7 4 4 2 3 3" xfId="30589"/>
    <cellStyle name="20% - Accent1 7 4 4 2 3 3 2" xfId="47720"/>
    <cellStyle name="20% - Accent1 7 4 4 2 3 4" xfId="30590"/>
    <cellStyle name="20% - Accent1 7 4 4 2 3 4 2" xfId="59807"/>
    <cellStyle name="20% - Accent1 7 4 4 2 3 5" xfId="41163"/>
    <cellStyle name="20% - Accent1 7 4 4 2 4" xfId="15748"/>
    <cellStyle name="20% - Accent1 7 4 4 2 4 2" xfId="27549"/>
    <cellStyle name="20% - Accent1 7 4 4 2 4 2 2" xfId="59808"/>
    <cellStyle name="20% - Accent1 7 4 4 2 4 3" xfId="41164"/>
    <cellStyle name="20% - Accent1 7 4 4 2 5" xfId="7210"/>
    <cellStyle name="20% - Accent1 7 4 4 2 5 2" xfId="47721"/>
    <cellStyle name="20% - Accent1 7 4 4 2 6" xfId="19011"/>
    <cellStyle name="20% - Accent1 7 4 4 2 6 2" xfId="59809"/>
    <cellStyle name="20% - Accent1 7 4 4 2 7" xfId="32626"/>
    <cellStyle name="20% - Accent1 7 4 4 3" xfId="2608"/>
    <cellStyle name="20% - Accent1 7 4 4 3 2" xfId="15749"/>
    <cellStyle name="20% - Accent1 7 4 4 3 2 2" xfId="27550"/>
    <cellStyle name="20% - Accent1 7 4 4 3 2 2 2" xfId="59810"/>
    <cellStyle name="20% - Accent1 7 4 4 3 2 3" xfId="41165"/>
    <cellStyle name="20% - Accent1 7 4 4 3 3" xfId="8061"/>
    <cellStyle name="20% - Accent1 7 4 4 3 3 2" xfId="47722"/>
    <cellStyle name="20% - Accent1 7 4 4 3 4" xfId="19862"/>
    <cellStyle name="20% - Accent1 7 4 4 3 4 2" xfId="59811"/>
    <cellStyle name="20% - Accent1 7 4 4 3 5" xfId="33477"/>
    <cellStyle name="20% - Accent1 7 4 4 4" xfId="15750"/>
    <cellStyle name="20% - Accent1 7 4 4 4 2" xfId="27551"/>
    <cellStyle name="20% - Accent1 7 4 4 4 2 2" xfId="47723"/>
    <cellStyle name="20% - Accent1 7 4 4 4 3" xfId="30591"/>
    <cellStyle name="20% - Accent1 7 4 4 4 3 2" xfId="47724"/>
    <cellStyle name="20% - Accent1 7 4 4 4 4" xfId="30592"/>
    <cellStyle name="20% - Accent1 7 4 4 4 4 2" xfId="59812"/>
    <cellStyle name="20% - Accent1 7 4 4 4 5" xfId="41166"/>
    <cellStyle name="20% - Accent1 7 4 4 5" xfId="15751"/>
    <cellStyle name="20% - Accent1 7 4 4 5 2" xfId="27552"/>
    <cellStyle name="20% - Accent1 7 4 4 5 2 2" xfId="59813"/>
    <cellStyle name="20% - Accent1 7 4 4 5 3" xfId="41167"/>
    <cellStyle name="20% - Accent1 7 4 4 6" xfId="6161"/>
    <cellStyle name="20% - Accent1 7 4 4 6 2" xfId="47725"/>
    <cellStyle name="20% - Accent1 7 4 4 7" xfId="17962"/>
    <cellStyle name="20% - Accent1 7 4 4 7 2" xfId="59814"/>
    <cellStyle name="20% - Accent1 7 4 4 8" xfId="31577"/>
    <cellStyle name="20% - Accent1 7 4 5" xfId="948"/>
    <cellStyle name="20% - Accent1 7 4 5 2" xfId="1757"/>
    <cellStyle name="20% - Accent1 7 4 5 2 2" xfId="5017"/>
    <cellStyle name="20% - Accent1 7 4 5 2 2 2" xfId="15752"/>
    <cellStyle name="20% - Accent1 7 4 5 2 2 2 2" xfId="27553"/>
    <cellStyle name="20% - Accent1 7 4 5 2 2 2 2 2" xfId="59815"/>
    <cellStyle name="20% - Accent1 7 4 5 2 2 2 3" xfId="41168"/>
    <cellStyle name="20% - Accent1 7 4 5 2 2 3" xfId="10470"/>
    <cellStyle name="20% - Accent1 7 4 5 2 2 3 2" xfId="47726"/>
    <cellStyle name="20% - Accent1 7 4 5 2 2 4" xfId="22271"/>
    <cellStyle name="20% - Accent1 7 4 5 2 2 4 2" xfId="59816"/>
    <cellStyle name="20% - Accent1 7 4 5 2 2 5" xfId="35886"/>
    <cellStyle name="20% - Accent1 7 4 5 2 3" xfId="15753"/>
    <cellStyle name="20% - Accent1 7 4 5 2 3 2" xfId="27554"/>
    <cellStyle name="20% - Accent1 7 4 5 2 3 2 2" xfId="47727"/>
    <cellStyle name="20% - Accent1 7 4 5 2 3 3" xfId="30593"/>
    <cellStyle name="20% - Accent1 7 4 5 2 3 3 2" xfId="47728"/>
    <cellStyle name="20% - Accent1 7 4 5 2 3 4" xfId="30594"/>
    <cellStyle name="20% - Accent1 7 4 5 2 3 4 2" xfId="59817"/>
    <cellStyle name="20% - Accent1 7 4 5 2 3 5" xfId="41169"/>
    <cellStyle name="20% - Accent1 7 4 5 2 4" xfId="15754"/>
    <cellStyle name="20% - Accent1 7 4 5 2 4 2" xfId="27555"/>
    <cellStyle name="20% - Accent1 7 4 5 2 4 2 2" xfId="59818"/>
    <cellStyle name="20% - Accent1 7 4 5 2 4 3" xfId="41170"/>
    <cellStyle name="20% - Accent1 7 4 5 2 5" xfId="7211"/>
    <cellStyle name="20% - Accent1 7 4 5 2 5 2" xfId="47729"/>
    <cellStyle name="20% - Accent1 7 4 5 2 6" xfId="19012"/>
    <cellStyle name="20% - Accent1 7 4 5 2 6 2" xfId="59819"/>
    <cellStyle name="20% - Accent1 7 4 5 2 7" xfId="32627"/>
    <cellStyle name="20% - Accent1 7 4 5 3" xfId="3176"/>
    <cellStyle name="20% - Accent1 7 4 5 3 2" xfId="15755"/>
    <cellStyle name="20% - Accent1 7 4 5 3 2 2" xfId="27556"/>
    <cellStyle name="20% - Accent1 7 4 5 3 2 2 2" xfId="59820"/>
    <cellStyle name="20% - Accent1 7 4 5 3 2 3" xfId="41171"/>
    <cellStyle name="20% - Accent1 7 4 5 3 3" xfId="8629"/>
    <cellStyle name="20% - Accent1 7 4 5 3 3 2" xfId="47730"/>
    <cellStyle name="20% - Accent1 7 4 5 3 4" xfId="20430"/>
    <cellStyle name="20% - Accent1 7 4 5 3 4 2" xfId="59821"/>
    <cellStyle name="20% - Accent1 7 4 5 3 5" xfId="34045"/>
    <cellStyle name="20% - Accent1 7 4 5 4" xfId="15756"/>
    <cellStyle name="20% - Accent1 7 4 5 4 2" xfId="27557"/>
    <cellStyle name="20% - Accent1 7 4 5 4 2 2" xfId="47731"/>
    <cellStyle name="20% - Accent1 7 4 5 4 3" xfId="30595"/>
    <cellStyle name="20% - Accent1 7 4 5 4 3 2" xfId="47732"/>
    <cellStyle name="20% - Accent1 7 4 5 4 4" xfId="30596"/>
    <cellStyle name="20% - Accent1 7 4 5 4 4 2" xfId="59822"/>
    <cellStyle name="20% - Accent1 7 4 5 4 5" xfId="41172"/>
    <cellStyle name="20% - Accent1 7 4 5 5" xfId="15757"/>
    <cellStyle name="20% - Accent1 7 4 5 5 2" xfId="27558"/>
    <cellStyle name="20% - Accent1 7 4 5 5 2 2" xfId="59823"/>
    <cellStyle name="20% - Accent1 7 4 5 5 3" xfId="41173"/>
    <cellStyle name="20% - Accent1 7 4 5 6" xfId="6402"/>
    <cellStyle name="20% - Accent1 7 4 5 6 2" xfId="47733"/>
    <cellStyle name="20% - Accent1 7 4 5 7" xfId="18203"/>
    <cellStyle name="20% - Accent1 7 4 5 7 2" xfId="59824"/>
    <cellStyle name="20% - Accent1 7 4 5 8" xfId="31818"/>
    <cellStyle name="20% - Accent1 7 4 6" xfId="3881"/>
    <cellStyle name="20% - Accent1 7 4 6 2" xfId="15758"/>
    <cellStyle name="20% - Accent1 7 4 6 2 2" xfId="27559"/>
    <cellStyle name="20% - Accent1 7 4 6 2 2 2" xfId="59825"/>
    <cellStyle name="20% - Accent1 7 4 6 2 3" xfId="41174"/>
    <cellStyle name="20% - Accent1 7 4 6 3" xfId="9334"/>
    <cellStyle name="20% - Accent1 7 4 6 3 2" xfId="47734"/>
    <cellStyle name="20% - Accent1 7 4 6 4" xfId="21135"/>
    <cellStyle name="20% - Accent1 7 4 6 4 2" xfId="59826"/>
    <cellStyle name="20% - Accent1 7 4 6 5" xfId="34750"/>
    <cellStyle name="20% - Accent1 7 4 7" xfId="2040"/>
    <cellStyle name="20% - Accent1 7 4 7 2" xfId="15759"/>
    <cellStyle name="20% - Accent1 7 4 7 2 2" xfId="27560"/>
    <cellStyle name="20% - Accent1 7 4 7 2 2 2" xfId="59827"/>
    <cellStyle name="20% - Accent1 7 4 7 2 3" xfId="41175"/>
    <cellStyle name="20% - Accent1 7 4 7 3" xfId="7493"/>
    <cellStyle name="20% - Accent1 7 4 7 3 2" xfId="47735"/>
    <cellStyle name="20% - Accent1 7 4 7 4" xfId="19294"/>
    <cellStyle name="20% - Accent1 7 4 7 4 2" xfId="59828"/>
    <cellStyle name="20% - Accent1 7 4 7 5" xfId="32909"/>
    <cellStyle name="20% - Accent1 7 4 8" xfId="15760"/>
    <cellStyle name="20% - Accent1 7 4 8 2" xfId="27561"/>
    <cellStyle name="20% - Accent1 7 4 8 2 2" xfId="59829"/>
    <cellStyle name="20% - Accent1 7 4 8 3" xfId="41176"/>
    <cellStyle name="20% - Accent1 7 4 9" xfId="5593"/>
    <cellStyle name="20% - Accent1 7 4 9 2" xfId="47736"/>
    <cellStyle name="20% - Accent1 7 4 9 3" xfId="61737"/>
    <cellStyle name="20% - Accent1 7 4 9 3 2" xfId="61739"/>
    <cellStyle name="20% - Accent1 7 4 9 3 2 2" xfId="61759"/>
    <cellStyle name="20% - Accent1 7 4 9 3 2 2 2" xfId="61785"/>
    <cellStyle name="20% - Accent1 7 4 9 3 2 2 3" xfId="61791"/>
    <cellStyle name="20% - Accent1 7 4 9 3 2 2 3 2" xfId="61859"/>
    <cellStyle name="20% - Accent1 7 4 9 3 2 2 3 2 2" xfId="61875"/>
    <cellStyle name="20% - Accent1 7 4 9 3 2 3" xfId="61778"/>
    <cellStyle name="20% - Accent1 7 5" xfId="189"/>
    <cellStyle name="20% - Accent1 7 5 10" xfId="31059"/>
    <cellStyle name="20% - Accent1 7 5 2" xfId="478"/>
    <cellStyle name="20% - Accent1 7 5 2 2" xfId="1758"/>
    <cellStyle name="20% - Accent1 7 5 2 2 2" xfId="4788"/>
    <cellStyle name="20% - Accent1 7 5 2 2 2 2" xfId="15761"/>
    <cellStyle name="20% - Accent1 7 5 2 2 2 2 2" xfId="27562"/>
    <cellStyle name="20% - Accent1 7 5 2 2 2 2 2 2" xfId="59830"/>
    <cellStyle name="20% - Accent1 7 5 2 2 2 2 3" xfId="41177"/>
    <cellStyle name="20% - Accent1 7 5 2 2 2 3" xfId="10241"/>
    <cellStyle name="20% - Accent1 7 5 2 2 2 3 2" xfId="47737"/>
    <cellStyle name="20% - Accent1 7 5 2 2 2 4" xfId="22042"/>
    <cellStyle name="20% - Accent1 7 5 2 2 2 4 2" xfId="59831"/>
    <cellStyle name="20% - Accent1 7 5 2 2 2 5" xfId="35657"/>
    <cellStyle name="20% - Accent1 7 5 2 2 3" xfId="2947"/>
    <cellStyle name="20% - Accent1 7 5 2 2 3 2" xfId="15762"/>
    <cellStyle name="20% - Accent1 7 5 2 2 3 2 2" xfId="27563"/>
    <cellStyle name="20% - Accent1 7 5 2 2 3 2 2 2" xfId="59832"/>
    <cellStyle name="20% - Accent1 7 5 2 2 3 2 3" xfId="41178"/>
    <cellStyle name="20% - Accent1 7 5 2 2 3 3" xfId="8400"/>
    <cellStyle name="20% - Accent1 7 5 2 2 3 3 2" xfId="47738"/>
    <cellStyle name="20% - Accent1 7 5 2 2 3 4" xfId="20201"/>
    <cellStyle name="20% - Accent1 7 5 2 2 3 4 2" xfId="59833"/>
    <cellStyle name="20% - Accent1 7 5 2 2 3 5" xfId="33816"/>
    <cellStyle name="20% - Accent1 7 5 2 2 4" xfId="15763"/>
    <cellStyle name="20% - Accent1 7 5 2 2 4 2" xfId="27564"/>
    <cellStyle name="20% - Accent1 7 5 2 2 4 2 2" xfId="59834"/>
    <cellStyle name="20% - Accent1 7 5 2 2 4 3" xfId="41179"/>
    <cellStyle name="20% - Accent1 7 5 2 2 5" xfId="7212"/>
    <cellStyle name="20% - Accent1 7 5 2 2 5 2" xfId="47739"/>
    <cellStyle name="20% - Accent1 7 5 2 2 6" xfId="19013"/>
    <cellStyle name="20% - Accent1 7 5 2 2 6 2" xfId="59835"/>
    <cellStyle name="20% - Accent1 7 5 2 2 7" xfId="32628"/>
    <cellStyle name="20% - Accent1 7 5 2 3" xfId="3515"/>
    <cellStyle name="20% - Accent1 7 5 2 3 2" xfId="5356"/>
    <cellStyle name="20% - Accent1 7 5 2 3 2 2" xfId="16826"/>
    <cellStyle name="20% - Accent1 7 5 2 3 2 2 2" xfId="28627"/>
    <cellStyle name="20% - Accent1 7 5 2 3 2 2 2 2" xfId="59836"/>
    <cellStyle name="20% - Accent1 7 5 2 3 2 2 3" xfId="42242"/>
    <cellStyle name="20% - Accent1 7 5 2 3 2 3" xfId="10809"/>
    <cellStyle name="20% - Accent1 7 5 2 3 2 3 2" xfId="59837"/>
    <cellStyle name="20% - Accent1 7 5 2 3 2 4" xfId="22610"/>
    <cellStyle name="20% - Accent1 7 5 2 3 2 4 2" xfId="59838"/>
    <cellStyle name="20% - Accent1 7 5 2 3 2 5" xfId="36225"/>
    <cellStyle name="20% - Accent1 7 5 2 3 3" xfId="15764"/>
    <cellStyle name="20% - Accent1 7 5 2 3 3 2" xfId="27565"/>
    <cellStyle name="20% - Accent1 7 5 2 3 3 2 2" xfId="59839"/>
    <cellStyle name="20% - Accent1 7 5 2 3 3 3" xfId="41180"/>
    <cellStyle name="20% - Accent1 7 5 2 3 4" xfId="8968"/>
    <cellStyle name="20% - Accent1 7 5 2 3 4 2" xfId="59840"/>
    <cellStyle name="20% - Accent1 7 5 2 3 5" xfId="20769"/>
    <cellStyle name="20% - Accent1 7 5 2 3 5 2" xfId="59841"/>
    <cellStyle name="20% - Accent1 7 5 2 3 6" xfId="34384"/>
    <cellStyle name="20% - Accent1 7 5 2 4" xfId="4220"/>
    <cellStyle name="20% - Accent1 7 5 2 4 2" xfId="15765"/>
    <cellStyle name="20% - Accent1 7 5 2 4 2 2" xfId="27566"/>
    <cellStyle name="20% - Accent1 7 5 2 4 2 2 2" xfId="59842"/>
    <cellStyle name="20% - Accent1 7 5 2 4 2 3" xfId="41181"/>
    <cellStyle name="20% - Accent1 7 5 2 4 3" xfId="9673"/>
    <cellStyle name="20% - Accent1 7 5 2 4 3 2" xfId="47740"/>
    <cellStyle name="20% - Accent1 7 5 2 4 4" xfId="21474"/>
    <cellStyle name="20% - Accent1 7 5 2 4 4 2" xfId="59843"/>
    <cellStyle name="20% - Accent1 7 5 2 4 5" xfId="35089"/>
    <cellStyle name="20% - Accent1 7 5 2 5" xfId="2379"/>
    <cellStyle name="20% - Accent1 7 5 2 5 2" xfId="17207"/>
    <cellStyle name="20% - Accent1 7 5 2 5 2 2" xfId="29008"/>
    <cellStyle name="20% - Accent1 7 5 2 5 2 2 2" xfId="59844"/>
    <cellStyle name="20% - Accent1 7 5 2 5 2 3" xfId="42623"/>
    <cellStyle name="20% - Accent1 7 5 2 5 3" xfId="7832"/>
    <cellStyle name="20% - Accent1 7 5 2 5 3 2" xfId="59845"/>
    <cellStyle name="20% - Accent1 7 5 2 5 4" xfId="19633"/>
    <cellStyle name="20% - Accent1 7 5 2 5 4 2" xfId="59846"/>
    <cellStyle name="20% - Accent1 7 5 2 5 5" xfId="33248"/>
    <cellStyle name="20% - Accent1 7 5 2 6" xfId="15766"/>
    <cellStyle name="20% - Accent1 7 5 2 6 2" xfId="27567"/>
    <cellStyle name="20% - Accent1 7 5 2 6 2 2" xfId="59847"/>
    <cellStyle name="20% - Accent1 7 5 2 6 3" xfId="41182"/>
    <cellStyle name="20% - Accent1 7 5 2 7" xfId="5932"/>
    <cellStyle name="20% - Accent1 7 5 2 7 2" xfId="59848"/>
    <cellStyle name="20% - Accent1 7 5 2 8" xfId="17733"/>
    <cellStyle name="20% - Accent1 7 5 2 8 2" xfId="59849"/>
    <cellStyle name="20% - Accent1 7 5 2 9" xfId="31348"/>
    <cellStyle name="20% - Accent1 7 5 3" xfId="757"/>
    <cellStyle name="20% - Accent1 7 5 3 2" xfId="1759"/>
    <cellStyle name="20% - Accent1 7 5 3 2 2" xfId="4499"/>
    <cellStyle name="20% - Accent1 7 5 3 2 2 2" xfId="15767"/>
    <cellStyle name="20% - Accent1 7 5 3 2 2 2 2" xfId="27568"/>
    <cellStyle name="20% - Accent1 7 5 3 2 2 2 2 2" xfId="59850"/>
    <cellStyle name="20% - Accent1 7 5 3 2 2 2 3" xfId="41183"/>
    <cellStyle name="20% - Accent1 7 5 3 2 2 3" xfId="9952"/>
    <cellStyle name="20% - Accent1 7 5 3 2 2 3 2" xfId="47741"/>
    <cellStyle name="20% - Accent1 7 5 3 2 2 4" xfId="21753"/>
    <cellStyle name="20% - Accent1 7 5 3 2 2 4 2" xfId="59851"/>
    <cellStyle name="20% - Accent1 7 5 3 2 2 5" xfId="35368"/>
    <cellStyle name="20% - Accent1 7 5 3 2 3" xfId="15768"/>
    <cellStyle name="20% - Accent1 7 5 3 2 3 2" xfId="27569"/>
    <cellStyle name="20% - Accent1 7 5 3 2 3 2 2" xfId="47742"/>
    <cellStyle name="20% - Accent1 7 5 3 2 3 3" xfId="30597"/>
    <cellStyle name="20% - Accent1 7 5 3 2 3 3 2" xfId="47743"/>
    <cellStyle name="20% - Accent1 7 5 3 2 3 4" xfId="30598"/>
    <cellStyle name="20% - Accent1 7 5 3 2 3 4 2" xfId="59852"/>
    <cellStyle name="20% - Accent1 7 5 3 2 3 5" xfId="41184"/>
    <cellStyle name="20% - Accent1 7 5 3 2 4" xfId="15769"/>
    <cellStyle name="20% - Accent1 7 5 3 2 4 2" xfId="27570"/>
    <cellStyle name="20% - Accent1 7 5 3 2 4 2 2" xfId="59853"/>
    <cellStyle name="20% - Accent1 7 5 3 2 4 3" xfId="41185"/>
    <cellStyle name="20% - Accent1 7 5 3 2 5" xfId="7213"/>
    <cellStyle name="20% - Accent1 7 5 3 2 5 2" xfId="47744"/>
    <cellStyle name="20% - Accent1 7 5 3 2 6" xfId="19014"/>
    <cellStyle name="20% - Accent1 7 5 3 2 6 2" xfId="59854"/>
    <cellStyle name="20% - Accent1 7 5 3 2 7" xfId="32629"/>
    <cellStyle name="20% - Accent1 7 5 3 3" xfId="2658"/>
    <cellStyle name="20% - Accent1 7 5 3 3 2" xfId="15770"/>
    <cellStyle name="20% - Accent1 7 5 3 3 2 2" xfId="27571"/>
    <cellStyle name="20% - Accent1 7 5 3 3 2 2 2" xfId="59855"/>
    <cellStyle name="20% - Accent1 7 5 3 3 2 3" xfId="41186"/>
    <cellStyle name="20% - Accent1 7 5 3 3 3" xfId="8111"/>
    <cellStyle name="20% - Accent1 7 5 3 3 3 2" xfId="47745"/>
    <cellStyle name="20% - Accent1 7 5 3 3 4" xfId="19912"/>
    <cellStyle name="20% - Accent1 7 5 3 3 4 2" xfId="59856"/>
    <cellStyle name="20% - Accent1 7 5 3 3 5" xfId="33527"/>
    <cellStyle name="20% - Accent1 7 5 3 4" xfId="15771"/>
    <cellStyle name="20% - Accent1 7 5 3 4 2" xfId="27572"/>
    <cellStyle name="20% - Accent1 7 5 3 4 2 2" xfId="47746"/>
    <cellStyle name="20% - Accent1 7 5 3 4 3" xfId="30599"/>
    <cellStyle name="20% - Accent1 7 5 3 4 3 2" xfId="47747"/>
    <cellStyle name="20% - Accent1 7 5 3 4 4" xfId="30600"/>
    <cellStyle name="20% - Accent1 7 5 3 4 4 2" xfId="59857"/>
    <cellStyle name="20% - Accent1 7 5 3 4 5" xfId="41187"/>
    <cellStyle name="20% - Accent1 7 5 3 5" xfId="15772"/>
    <cellStyle name="20% - Accent1 7 5 3 5 2" xfId="27573"/>
    <cellStyle name="20% - Accent1 7 5 3 5 2 2" xfId="59858"/>
    <cellStyle name="20% - Accent1 7 5 3 5 3" xfId="41188"/>
    <cellStyle name="20% - Accent1 7 5 3 6" xfId="6211"/>
    <cellStyle name="20% - Accent1 7 5 3 6 2" xfId="47748"/>
    <cellStyle name="20% - Accent1 7 5 3 7" xfId="18012"/>
    <cellStyle name="20% - Accent1 7 5 3 7 2" xfId="59859"/>
    <cellStyle name="20% - Accent1 7 5 3 8" xfId="31627"/>
    <cellStyle name="20% - Accent1 7 5 4" xfId="1760"/>
    <cellStyle name="20% - Accent1 7 5 4 2" xfId="5067"/>
    <cellStyle name="20% - Accent1 7 5 4 2 2" xfId="15773"/>
    <cellStyle name="20% - Accent1 7 5 4 2 2 2" xfId="27574"/>
    <cellStyle name="20% - Accent1 7 5 4 2 2 2 2" xfId="59860"/>
    <cellStyle name="20% - Accent1 7 5 4 2 2 3" xfId="41189"/>
    <cellStyle name="20% - Accent1 7 5 4 2 3" xfId="10520"/>
    <cellStyle name="20% - Accent1 7 5 4 2 3 2" xfId="47749"/>
    <cellStyle name="20% - Accent1 7 5 4 2 4" xfId="22321"/>
    <cellStyle name="20% - Accent1 7 5 4 2 4 2" xfId="59861"/>
    <cellStyle name="20% - Accent1 7 5 4 2 5" xfId="35936"/>
    <cellStyle name="20% - Accent1 7 5 4 3" xfId="3226"/>
    <cellStyle name="20% - Accent1 7 5 4 3 2" xfId="15774"/>
    <cellStyle name="20% - Accent1 7 5 4 3 2 2" xfId="27575"/>
    <cellStyle name="20% - Accent1 7 5 4 3 2 2 2" xfId="59862"/>
    <cellStyle name="20% - Accent1 7 5 4 3 2 3" xfId="41190"/>
    <cellStyle name="20% - Accent1 7 5 4 3 3" xfId="8679"/>
    <cellStyle name="20% - Accent1 7 5 4 3 3 2" xfId="47750"/>
    <cellStyle name="20% - Accent1 7 5 4 3 4" xfId="20480"/>
    <cellStyle name="20% - Accent1 7 5 4 3 4 2" xfId="59863"/>
    <cellStyle name="20% - Accent1 7 5 4 3 5" xfId="34095"/>
    <cellStyle name="20% - Accent1 7 5 4 4" xfId="15775"/>
    <cellStyle name="20% - Accent1 7 5 4 4 2" xfId="27576"/>
    <cellStyle name="20% - Accent1 7 5 4 4 2 2" xfId="59864"/>
    <cellStyle name="20% - Accent1 7 5 4 4 3" xfId="41191"/>
    <cellStyle name="20% - Accent1 7 5 4 5" xfId="7214"/>
    <cellStyle name="20% - Accent1 7 5 4 5 2" xfId="47751"/>
    <cellStyle name="20% - Accent1 7 5 4 6" xfId="19015"/>
    <cellStyle name="20% - Accent1 7 5 4 6 2" xfId="59865"/>
    <cellStyle name="20% - Accent1 7 5 4 7" xfId="32630"/>
    <cellStyle name="20% - Accent1 7 5 5" xfId="3931"/>
    <cellStyle name="20% - Accent1 7 5 5 2" xfId="15776"/>
    <cellStyle name="20% - Accent1 7 5 5 2 2" xfId="27577"/>
    <cellStyle name="20% - Accent1 7 5 5 2 2 2" xfId="59866"/>
    <cellStyle name="20% - Accent1 7 5 5 2 3" xfId="41192"/>
    <cellStyle name="20% - Accent1 7 5 5 3" xfId="9384"/>
    <cellStyle name="20% - Accent1 7 5 5 3 2" xfId="47752"/>
    <cellStyle name="20% - Accent1 7 5 5 4" xfId="21185"/>
    <cellStyle name="20% - Accent1 7 5 5 4 2" xfId="59867"/>
    <cellStyle name="20% - Accent1 7 5 5 5" xfId="34800"/>
    <cellStyle name="20% - Accent1 7 5 6" xfId="2090"/>
    <cellStyle name="20% - Accent1 7 5 6 2" xfId="15777"/>
    <cellStyle name="20% - Accent1 7 5 6 2 2" xfId="27578"/>
    <cellStyle name="20% - Accent1 7 5 6 2 2 2" xfId="59868"/>
    <cellStyle name="20% - Accent1 7 5 6 2 3" xfId="41193"/>
    <cellStyle name="20% - Accent1 7 5 6 3" xfId="7543"/>
    <cellStyle name="20% - Accent1 7 5 6 3 2" xfId="47753"/>
    <cellStyle name="20% - Accent1 7 5 6 4" xfId="19344"/>
    <cellStyle name="20% - Accent1 7 5 6 4 2" xfId="59869"/>
    <cellStyle name="20% - Accent1 7 5 6 5" xfId="32959"/>
    <cellStyle name="20% - Accent1 7 5 7" xfId="15778"/>
    <cellStyle name="20% - Accent1 7 5 7 2" xfId="27579"/>
    <cellStyle name="20% - Accent1 7 5 7 2 2" xfId="59870"/>
    <cellStyle name="20% - Accent1 7 5 7 3" xfId="41194"/>
    <cellStyle name="20% - Accent1 7 5 8" xfId="5643"/>
    <cellStyle name="20% - Accent1 7 5 8 2" xfId="47754"/>
    <cellStyle name="20% - Accent1 7 5 9" xfId="17444"/>
    <cellStyle name="20% - Accent1 7 5 9 2" xfId="59871"/>
    <cellStyle name="20% - Accent1 7 6" xfId="341"/>
    <cellStyle name="20% - Accent1 7 6 2" xfId="1761"/>
    <cellStyle name="20% - Accent1 7 6 2 2" xfId="4651"/>
    <cellStyle name="20% - Accent1 7 6 2 2 2" xfId="15779"/>
    <cellStyle name="20% - Accent1 7 6 2 2 2 2" xfId="27580"/>
    <cellStyle name="20% - Accent1 7 6 2 2 2 2 2" xfId="59872"/>
    <cellStyle name="20% - Accent1 7 6 2 2 2 3" xfId="41195"/>
    <cellStyle name="20% - Accent1 7 6 2 2 3" xfId="10104"/>
    <cellStyle name="20% - Accent1 7 6 2 2 3 2" xfId="47755"/>
    <cellStyle name="20% - Accent1 7 6 2 2 4" xfId="21905"/>
    <cellStyle name="20% - Accent1 7 6 2 2 4 2" xfId="59873"/>
    <cellStyle name="20% - Accent1 7 6 2 2 5" xfId="35520"/>
    <cellStyle name="20% - Accent1 7 6 2 3" xfId="2810"/>
    <cellStyle name="20% - Accent1 7 6 2 3 2" xfId="15780"/>
    <cellStyle name="20% - Accent1 7 6 2 3 2 2" xfId="27581"/>
    <cellStyle name="20% - Accent1 7 6 2 3 2 2 2" xfId="59874"/>
    <cellStyle name="20% - Accent1 7 6 2 3 2 3" xfId="41196"/>
    <cellStyle name="20% - Accent1 7 6 2 3 3" xfId="8263"/>
    <cellStyle name="20% - Accent1 7 6 2 3 3 2" xfId="47756"/>
    <cellStyle name="20% - Accent1 7 6 2 3 4" xfId="20064"/>
    <cellStyle name="20% - Accent1 7 6 2 3 4 2" xfId="59875"/>
    <cellStyle name="20% - Accent1 7 6 2 3 5" xfId="33679"/>
    <cellStyle name="20% - Accent1 7 6 2 4" xfId="15781"/>
    <cellStyle name="20% - Accent1 7 6 2 4 2" xfId="27582"/>
    <cellStyle name="20% - Accent1 7 6 2 4 2 2" xfId="59876"/>
    <cellStyle name="20% - Accent1 7 6 2 4 3" xfId="41197"/>
    <cellStyle name="20% - Accent1 7 6 2 5" xfId="7215"/>
    <cellStyle name="20% - Accent1 7 6 2 5 2" xfId="47757"/>
    <cellStyle name="20% - Accent1 7 6 2 6" xfId="19016"/>
    <cellStyle name="20% - Accent1 7 6 2 6 2" xfId="59877"/>
    <cellStyle name="20% - Accent1 7 6 2 7" xfId="32631"/>
    <cellStyle name="20% - Accent1 7 6 3" xfId="3378"/>
    <cellStyle name="20% - Accent1 7 6 3 2" xfId="5219"/>
    <cellStyle name="20% - Accent1 7 6 3 2 2" xfId="16689"/>
    <cellStyle name="20% - Accent1 7 6 3 2 2 2" xfId="28490"/>
    <cellStyle name="20% - Accent1 7 6 3 2 2 2 2" xfId="59878"/>
    <cellStyle name="20% - Accent1 7 6 3 2 2 3" xfId="42105"/>
    <cellStyle name="20% - Accent1 7 6 3 2 3" xfId="10672"/>
    <cellStyle name="20% - Accent1 7 6 3 2 3 2" xfId="59879"/>
    <cellStyle name="20% - Accent1 7 6 3 2 4" xfId="22473"/>
    <cellStyle name="20% - Accent1 7 6 3 2 4 2" xfId="59880"/>
    <cellStyle name="20% - Accent1 7 6 3 2 5" xfId="36088"/>
    <cellStyle name="20% - Accent1 7 6 3 3" xfId="15782"/>
    <cellStyle name="20% - Accent1 7 6 3 3 2" xfId="27583"/>
    <cellStyle name="20% - Accent1 7 6 3 3 2 2" xfId="59881"/>
    <cellStyle name="20% - Accent1 7 6 3 3 3" xfId="41198"/>
    <cellStyle name="20% - Accent1 7 6 3 4" xfId="8831"/>
    <cellStyle name="20% - Accent1 7 6 3 4 2" xfId="59882"/>
    <cellStyle name="20% - Accent1 7 6 3 5" xfId="20632"/>
    <cellStyle name="20% - Accent1 7 6 3 5 2" xfId="59883"/>
    <cellStyle name="20% - Accent1 7 6 3 6" xfId="34247"/>
    <cellStyle name="20% - Accent1 7 6 4" xfId="4083"/>
    <cellStyle name="20% - Accent1 7 6 4 2" xfId="15783"/>
    <cellStyle name="20% - Accent1 7 6 4 2 2" xfId="27584"/>
    <cellStyle name="20% - Accent1 7 6 4 2 2 2" xfId="59884"/>
    <cellStyle name="20% - Accent1 7 6 4 2 3" xfId="41199"/>
    <cellStyle name="20% - Accent1 7 6 4 3" xfId="9536"/>
    <cellStyle name="20% - Accent1 7 6 4 3 2" xfId="47758"/>
    <cellStyle name="20% - Accent1 7 6 4 4" xfId="21337"/>
    <cellStyle name="20% - Accent1 7 6 4 4 2" xfId="59885"/>
    <cellStyle name="20% - Accent1 7 6 4 5" xfId="34952"/>
    <cellStyle name="20% - Accent1 7 6 5" xfId="2242"/>
    <cellStyle name="20% - Accent1 7 6 5 2" xfId="17208"/>
    <cellStyle name="20% - Accent1 7 6 5 2 2" xfId="29009"/>
    <cellStyle name="20% - Accent1 7 6 5 2 2 2" xfId="59886"/>
    <cellStyle name="20% - Accent1 7 6 5 2 3" xfId="42624"/>
    <cellStyle name="20% - Accent1 7 6 5 3" xfId="7695"/>
    <cellStyle name="20% - Accent1 7 6 5 3 2" xfId="59887"/>
    <cellStyle name="20% - Accent1 7 6 5 4" xfId="19496"/>
    <cellStyle name="20% - Accent1 7 6 5 4 2" xfId="59888"/>
    <cellStyle name="20% - Accent1 7 6 5 5" xfId="33111"/>
    <cellStyle name="20% - Accent1 7 6 6" xfId="15784"/>
    <cellStyle name="20% - Accent1 7 6 6 2" xfId="27585"/>
    <cellStyle name="20% - Accent1 7 6 6 2 2" xfId="59889"/>
    <cellStyle name="20% - Accent1 7 6 6 3" xfId="41200"/>
    <cellStyle name="20% - Accent1 7 6 7" xfId="5795"/>
    <cellStyle name="20% - Accent1 7 6 7 2" xfId="59890"/>
    <cellStyle name="20% - Accent1 7 6 8" xfId="17596"/>
    <cellStyle name="20% - Accent1 7 6 8 2" xfId="59891"/>
    <cellStyle name="20% - Accent1 7 6 9" xfId="31211"/>
    <cellStyle name="20% - Accent1 7 7" xfId="619"/>
    <cellStyle name="20% - Accent1 7 7 2" xfId="1762"/>
    <cellStyle name="20% - Accent1 7 7 2 2" xfId="4361"/>
    <cellStyle name="20% - Accent1 7 7 2 2 2" xfId="15785"/>
    <cellStyle name="20% - Accent1 7 7 2 2 2 2" xfId="27586"/>
    <cellStyle name="20% - Accent1 7 7 2 2 2 2 2" xfId="59892"/>
    <cellStyle name="20% - Accent1 7 7 2 2 2 3" xfId="41201"/>
    <cellStyle name="20% - Accent1 7 7 2 2 3" xfId="9814"/>
    <cellStyle name="20% - Accent1 7 7 2 2 3 2" xfId="47759"/>
    <cellStyle name="20% - Accent1 7 7 2 2 4" xfId="21615"/>
    <cellStyle name="20% - Accent1 7 7 2 2 4 2" xfId="59893"/>
    <cellStyle name="20% - Accent1 7 7 2 2 5" xfId="35230"/>
    <cellStyle name="20% - Accent1 7 7 2 3" xfId="15786"/>
    <cellStyle name="20% - Accent1 7 7 2 3 2" xfId="27587"/>
    <cellStyle name="20% - Accent1 7 7 2 3 2 2" xfId="47760"/>
    <cellStyle name="20% - Accent1 7 7 2 3 3" xfId="30601"/>
    <cellStyle name="20% - Accent1 7 7 2 3 3 2" xfId="47761"/>
    <cellStyle name="20% - Accent1 7 7 2 3 4" xfId="30602"/>
    <cellStyle name="20% - Accent1 7 7 2 3 4 2" xfId="59894"/>
    <cellStyle name="20% - Accent1 7 7 2 3 5" xfId="41202"/>
    <cellStyle name="20% - Accent1 7 7 2 4" xfId="15787"/>
    <cellStyle name="20% - Accent1 7 7 2 4 2" xfId="27588"/>
    <cellStyle name="20% - Accent1 7 7 2 4 2 2" xfId="59895"/>
    <cellStyle name="20% - Accent1 7 7 2 4 3" xfId="41203"/>
    <cellStyle name="20% - Accent1 7 7 2 5" xfId="7216"/>
    <cellStyle name="20% - Accent1 7 7 2 5 2" xfId="47762"/>
    <cellStyle name="20% - Accent1 7 7 2 6" xfId="19017"/>
    <cellStyle name="20% - Accent1 7 7 2 6 2" xfId="59896"/>
    <cellStyle name="20% - Accent1 7 7 2 7" xfId="32632"/>
    <cellStyle name="20% - Accent1 7 7 3" xfId="2520"/>
    <cellStyle name="20% - Accent1 7 7 3 2" xfId="15788"/>
    <cellStyle name="20% - Accent1 7 7 3 2 2" xfId="27589"/>
    <cellStyle name="20% - Accent1 7 7 3 2 2 2" xfId="59897"/>
    <cellStyle name="20% - Accent1 7 7 3 2 3" xfId="41204"/>
    <cellStyle name="20% - Accent1 7 7 3 3" xfId="7973"/>
    <cellStyle name="20% - Accent1 7 7 3 3 2" xfId="47763"/>
    <cellStyle name="20% - Accent1 7 7 3 4" xfId="19774"/>
    <cellStyle name="20% - Accent1 7 7 3 4 2" xfId="59898"/>
    <cellStyle name="20% - Accent1 7 7 3 5" xfId="33389"/>
    <cellStyle name="20% - Accent1 7 7 4" xfId="15789"/>
    <cellStyle name="20% - Accent1 7 7 4 2" xfId="27590"/>
    <cellStyle name="20% - Accent1 7 7 4 2 2" xfId="47764"/>
    <cellStyle name="20% - Accent1 7 7 4 3" xfId="30603"/>
    <cellStyle name="20% - Accent1 7 7 4 3 2" xfId="47765"/>
    <cellStyle name="20% - Accent1 7 7 4 4" xfId="30604"/>
    <cellStyle name="20% - Accent1 7 7 4 4 2" xfId="59899"/>
    <cellStyle name="20% - Accent1 7 7 4 5" xfId="41205"/>
    <cellStyle name="20% - Accent1 7 7 5" xfId="15790"/>
    <cellStyle name="20% - Accent1 7 7 5 2" xfId="27591"/>
    <cellStyle name="20% - Accent1 7 7 5 2 2" xfId="59900"/>
    <cellStyle name="20% - Accent1 7 7 5 3" xfId="41206"/>
    <cellStyle name="20% - Accent1 7 7 6" xfId="6073"/>
    <cellStyle name="20% - Accent1 7 7 6 2" xfId="47766"/>
    <cellStyle name="20% - Accent1 7 7 7" xfId="17874"/>
    <cellStyle name="20% - Accent1 7 7 7 2" xfId="59901"/>
    <cellStyle name="20% - Accent1 7 7 8" xfId="31489"/>
    <cellStyle name="20% - Accent1 7 8" xfId="860"/>
    <cellStyle name="20% - Accent1 7 8 2" xfId="1763"/>
    <cellStyle name="20% - Accent1 7 8 2 2" xfId="4929"/>
    <cellStyle name="20% - Accent1 7 8 2 2 2" xfId="15791"/>
    <cellStyle name="20% - Accent1 7 8 2 2 2 2" xfId="27592"/>
    <cellStyle name="20% - Accent1 7 8 2 2 2 2 2" xfId="59902"/>
    <cellStyle name="20% - Accent1 7 8 2 2 2 3" xfId="41207"/>
    <cellStyle name="20% - Accent1 7 8 2 2 3" xfId="10382"/>
    <cellStyle name="20% - Accent1 7 8 2 2 3 2" xfId="47767"/>
    <cellStyle name="20% - Accent1 7 8 2 2 4" xfId="22183"/>
    <cellStyle name="20% - Accent1 7 8 2 2 4 2" xfId="59903"/>
    <cellStyle name="20% - Accent1 7 8 2 2 5" xfId="35798"/>
    <cellStyle name="20% - Accent1 7 8 2 3" xfId="15792"/>
    <cellStyle name="20% - Accent1 7 8 2 3 2" xfId="27593"/>
    <cellStyle name="20% - Accent1 7 8 2 3 2 2" xfId="47768"/>
    <cellStyle name="20% - Accent1 7 8 2 3 3" xfId="30605"/>
    <cellStyle name="20% - Accent1 7 8 2 3 3 2" xfId="47769"/>
    <cellStyle name="20% - Accent1 7 8 2 3 4" xfId="30606"/>
    <cellStyle name="20% - Accent1 7 8 2 3 4 2" xfId="59904"/>
    <cellStyle name="20% - Accent1 7 8 2 3 5" xfId="41208"/>
    <cellStyle name="20% - Accent1 7 8 2 4" xfId="15793"/>
    <cellStyle name="20% - Accent1 7 8 2 4 2" xfId="27594"/>
    <cellStyle name="20% - Accent1 7 8 2 4 2 2" xfId="59905"/>
    <cellStyle name="20% - Accent1 7 8 2 4 3" xfId="41209"/>
    <cellStyle name="20% - Accent1 7 8 2 5" xfId="7217"/>
    <cellStyle name="20% - Accent1 7 8 2 5 2" xfId="47770"/>
    <cellStyle name="20% - Accent1 7 8 2 6" xfId="19018"/>
    <cellStyle name="20% - Accent1 7 8 2 6 2" xfId="59906"/>
    <cellStyle name="20% - Accent1 7 8 2 7" xfId="32633"/>
    <cellStyle name="20% - Accent1 7 8 3" xfId="3088"/>
    <cellStyle name="20% - Accent1 7 8 3 2" xfId="15794"/>
    <cellStyle name="20% - Accent1 7 8 3 2 2" xfId="27595"/>
    <cellStyle name="20% - Accent1 7 8 3 2 2 2" xfId="59907"/>
    <cellStyle name="20% - Accent1 7 8 3 2 3" xfId="41210"/>
    <cellStyle name="20% - Accent1 7 8 3 3" xfId="8541"/>
    <cellStyle name="20% - Accent1 7 8 3 3 2" xfId="47771"/>
    <cellStyle name="20% - Accent1 7 8 3 4" xfId="20342"/>
    <cellStyle name="20% - Accent1 7 8 3 4 2" xfId="59908"/>
    <cellStyle name="20% - Accent1 7 8 3 5" xfId="33957"/>
    <cellStyle name="20% - Accent1 7 8 4" xfId="15795"/>
    <cellStyle name="20% - Accent1 7 8 4 2" xfId="27596"/>
    <cellStyle name="20% - Accent1 7 8 4 2 2" xfId="47772"/>
    <cellStyle name="20% - Accent1 7 8 4 3" xfId="30607"/>
    <cellStyle name="20% - Accent1 7 8 4 3 2" xfId="47773"/>
    <cellStyle name="20% - Accent1 7 8 4 4" xfId="30608"/>
    <cellStyle name="20% - Accent1 7 8 4 4 2" xfId="59909"/>
    <cellStyle name="20% - Accent1 7 8 4 5" xfId="41211"/>
    <cellStyle name="20% - Accent1 7 8 5" xfId="15796"/>
    <cellStyle name="20% - Accent1 7 8 5 2" xfId="27597"/>
    <cellStyle name="20% - Accent1 7 8 5 2 2" xfId="59910"/>
    <cellStyle name="20% - Accent1 7 8 5 3" xfId="41212"/>
    <cellStyle name="20% - Accent1 7 8 6" xfId="6314"/>
    <cellStyle name="20% - Accent1 7 8 6 2" xfId="47774"/>
    <cellStyle name="20% - Accent1 7 8 7" xfId="18115"/>
    <cellStyle name="20% - Accent1 7 8 7 2" xfId="59911"/>
    <cellStyle name="20% - Accent1 7 8 8" xfId="31730"/>
    <cellStyle name="20% - Accent1 7 9" xfId="3793"/>
    <cellStyle name="20% - Accent1 7 9 2" xfId="15797"/>
    <cellStyle name="20% - Accent1 7 9 2 2" xfId="27598"/>
    <cellStyle name="20% - Accent1 7 9 2 2 2" xfId="47775"/>
    <cellStyle name="20% - Accent1 7 9 2 3" xfId="29061"/>
    <cellStyle name="20% - Accent1 7 9 2 3 2" xfId="30869"/>
    <cellStyle name="20% - Accent1 7 9 2 3 2 2" xfId="48608"/>
    <cellStyle name="20% - Accent1 7 9 2 3 3" xfId="47776"/>
    <cellStyle name="20% - Accent1 7 9 2 4" xfId="30609"/>
    <cellStyle name="20% - Accent1 7 9 2 4 2" xfId="59912"/>
    <cellStyle name="20% - Accent1 7 9 2 5" xfId="41213"/>
    <cellStyle name="20% - Accent1 7 9 3" xfId="15798"/>
    <cellStyle name="20% - Accent1 7 9 3 2" xfId="27599"/>
    <cellStyle name="20% - Accent1 7 9 3 2 2" xfId="59913"/>
    <cellStyle name="20% - Accent1 7 9 3 3" xfId="41214"/>
    <cellStyle name="20% - Accent1 7 9 4" xfId="9246"/>
    <cellStyle name="20% - Accent1 7 9 4 2" xfId="47777"/>
    <cellStyle name="20% - Accent1 7 9 5" xfId="21047"/>
    <cellStyle name="20% - Accent1 7 9 5 2" xfId="59914"/>
    <cellStyle name="20% - Accent1 7 9 6" xfId="34662"/>
    <cellStyle name="20% - Accent1 8" xfId="54"/>
    <cellStyle name="20% - Accent1 8 10" xfId="15799"/>
    <cellStyle name="20% - Accent1 8 10 2" xfId="27600"/>
    <cellStyle name="20% - Accent1 8 10 2 2" xfId="59915"/>
    <cellStyle name="20% - Accent1 8 10 3" xfId="41215"/>
    <cellStyle name="20% - Accent1 8 11" xfId="5508"/>
    <cellStyle name="20% - Accent1 8 11 2" xfId="47778"/>
    <cellStyle name="20% - Accent1 8 12" xfId="17309"/>
    <cellStyle name="20% - Accent1 8 12 2" xfId="59916"/>
    <cellStyle name="20% - Accent1 8 13" xfId="30924"/>
    <cellStyle name="20% - Accent1 8 2" xfId="121"/>
    <cellStyle name="20% - Accent1 8 2 10" xfId="5575"/>
    <cellStyle name="20% - Accent1 8 2 10 2" xfId="47779"/>
    <cellStyle name="20% - Accent1 8 2 11" xfId="17376"/>
    <cellStyle name="20% - Accent1 8 2 11 2" xfId="59917"/>
    <cellStyle name="20% - Accent1 8 2 12" xfId="30991"/>
    <cellStyle name="20% - Accent1 8 2 2" xfId="548"/>
    <cellStyle name="20% - Accent1 8 2 2 2" xfId="1764"/>
    <cellStyle name="20% - Accent1 8 2 2 2 2" xfId="4858"/>
    <cellStyle name="20% - Accent1 8 2 2 2 2 2" xfId="15800"/>
    <cellStyle name="20% - Accent1 8 2 2 2 2 2 2" xfId="27601"/>
    <cellStyle name="20% - Accent1 8 2 2 2 2 2 2 2" xfId="59918"/>
    <cellStyle name="20% - Accent1 8 2 2 2 2 2 3" xfId="41216"/>
    <cellStyle name="20% - Accent1 8 2 2 2 2 3" xfId="10311"/>
    <cellStyle name="20% - Accent1 8 2 2 2 2 3 2" xfId="47780"/>
    <cellStyle name="20% - Accent1 8 2 2 2 2 4" xfId="22112"/>
    <cellStyle name="20% - Accent1 8 2 2 2 2 4 2" xfId="59919"/>
    <cellStyle name="20% - Accent1 8 2 2 2 2 5" xfId="35727"/>
    <cellStyle name="20% - Accent1 8 2 2 2 3" xfId="3017"/>
    <cellStyle name="20% - Accent1 8 2 2 2 3 2" xfId="15801"/>
    <cellStyle name="20% - Accent1 8 2 2 2 3 2 2" xfId="27602"/>
    <cellStyle name="20% - Accent1 8 2 2 2 3 2 2 2" xfId="59920"/>
    <cellStyle name="20% - Accent1 8 2 2 2 3 2 3" xfId="41217"/>
    <cellStyle name="20% - Accent1 8 2 2 2 3 3" xfId="8470"/>
    <cellStyle name="20% - Accent1 8 2 2 2 3 3 2" xfId="47781"/>
    <cellStyle name="20% - Accent1 8 2 2 2 3 4" xfId="20271"/>
    <cellStyle name="20% - Accent1 8 2 2 2 3 4 2" xfId="59921"/>
    <cellStyle name="20% - Accent1 8 2 2 2 3 5" xfId="33886"/>
    <cellStyle name="20% - Accent1 8 2 2 2 4" xfId="15802"/>
    <cellStyle name="20% - Accent1 8 2 2 2 4 2" xfId="27603"/>
    <cellStyle name="20% - Accent1 8 2 2 2 4 2 2" xfId="59922"/>
    <cellStyle name="20% - Accent1 8 2 2 2 4 3" xfId="41218"/>
    <cellStyle name="20% - Accent1 8 2 2 2 5" xfId="7218"/>
    <cellStyle name="20% - Accent1 8 2 2 2 5 2" xfId="47782"/>
    <cellStyle name="20% - Accent1 8 2 2 2 6" xfId="19019"/>
    <cellStyle name="20% - Accent1 8 2 2 2 6 2" xfId="59923"/>
    <cellStyle name="20% - Accent1 8 2 2 2 7" xfId="32634"/>
    <cellStyle name="20% - Accent1 8 2 2 3" xfId="3585"/>
    <cellStyle name="20% - Accent1 8 2 2 3 2" xfId="5426"/>
    <cellStyle name="20% - Accent1 8 2 2 3 2 2" xfId="16896"/>
    <cellStyle name="20% - Accent1 8 2 2 3 2 2 2" xfId="28697"/>
    <cellStyle name="20% - Accent1 8 2 2 3 2 2 2 2" xfId="59924"/>
    <cellStyle name="20% - Accent1 8 2 2 3 2 2 3" xfId="42312"/>
    <cellStyle name="20% - Accent1 8 2 2 3 2 3" xfId="10879"/>
    <cellStyle name="20% - Accent1 8 2 2 3 2 3 2" xfId="59925"/>
    <cellStyle name="20% - Accent1 8 2 2 3 2 4" xfId="22680"/>
    <cellStyle name="20% - Accent1 8 2 2 3 2 4 2" xfId="59926"/>
    <cellStyle name="20% - Accent1 8 2 2 3 2 5" xfId="36295"/>
    <cellStyle name="20% - Accent1 8 2 2 3 3" xfId="15803"/>
    <cellStyle name="20% - Accent1 8 2 2 3 3 2" xfId="27604"/>
    <cellStyle name="20% - Accent1 8 2 2 3 3 2 2" xfId="59927"/>
    <cellStyle name="20% - Accent1 8 2 2 3 3 3" xfId="41219"/>
    <cellStyle name="20% - Accent1 8 2 2 3 4" xfId="9038"/>
    <cellStyle name="20% - Accent1 8 2 2 3 4 2" xfId="59928"/>
    <cellStyle name="20% - Accent1 8 2 2 3 5" xfId="20839"/>
    <cellStyle name="20% - Accent1 8 2 2 3 5 2" xfId="59929"/>
    <cellStyle name="20% - Accent1 8 2 2 3 6" xfId="34454"/>
    <cellStyle name="20% - Accent1 8 2 2 4" xfId="4290"/>
    <cellStyle name="20% - Accent1 8 2 2 4 2" xfId="15804"/>
    <cellStyle name="20% - Accent1 8 2 2 4 2 2" xfId="27605"/>
    <cellStyle name="20% - Accent1 8 2 2 4 2 2 2" xfId="59930"/>
    <cellStyle name="20% - Accent1 8 2 2 4 2 3" xfId="41220"/>
    <cellStyle name="20% - Accent1 8 2 2 4 3" xfId="9743"/>
    <cellStyle name="20% - Accent1 8 2 2 4 3 2" xfId="47783"/>
    <cellStyle name="20% - Accent1 8 2 2 4 4" xfId="21544"/>
    <cellStyle name="20% - Accent1 8 2 2 4 4 2" xfId="59931"/>
    <cellStyle name="20% - Accent1 8 2 2 4 5" xfId="35159"/>
    <cellStyle name="20% - Accent1 8 2 2 5" xfId="2449"/>
    <cellStyle name="20% - Accent1 8 2 2 5 2" xfId="17209"/>
    <cellStyle name="20% - Accent1 8 2 2 5 2 2" xfId="29010"/>
    <cellStyle name="20% - Accent1 8 2 2 5 2 2 2" xfId="59932"/>
    <cellStyle name="20% - Accent1 8 2 2 5 2 3" xfId="42625"/>
    <cellStyle name="20% - Accent1 8 2 2 5 3" xfId="7902"/>
    <cellStyle name="20% - Accent1 8 2 2 5 3 2" xfId="59933"/>
    <cellStyle name="20% - Accent1 8 2 2 5 4" xfId="19703"/>
    <cellStyle name="20% - Accent1 8 2 2 5 4 2" xfId="59934"/>
    <cellStyle name="20% - Accent1 8 2 2 5 5" xfId="33318"/>
    <cellStyle name="20% - Accent1 8 2 2 6" xfId="15805"/>
    <cellStyle name="20% - Accent1 8 2 2 6 2" xfId="27606"/>
    <cellStyle name="20% - Accent1 8 2 2 6 2 2" xfId="59935"/>
    <cellStyle name="20% - Accent1 8 2 2 6 3" xfId="41221"/>
    <cellStyle name="20% - Accent1 8 2 2 7" xfId="6002"/>
    <cellStyle name="20% - Accent1 8 2 2 7 2" xfId="59936"/>
    <cellStyle name="20% - Accent1 8 2 2 8" xfId="17803"/>
    <cellStyle name="20% - Accent1 8 2 2 8 2" xfId="59937"/>
    <cellStyle name="20% - Accent1 8 2 2 9" xfId="31418"/>
    <cellStyle name="20% - Accent1 8 2 3" xfId="411"/>
    <cellStyle name="20% - Accent1 8 2 3 2" xfId="1765"/>
    <cellStyle name="20% - Accent1 8 2 3 2 2" xfId="4721"/>
    <cellStyle name="20% - Accent1 8 2 3 2 2 2" xfId="15806"/>
    <cellStyle name="20% - Accent1 8 2 3 2 2 2 2" xfId="27607"/>
    <cellStyle name="20% - Accent1 8 2 3 2 2 2 2 2" xfId="59938"/>
    <cellStyle name="20% - Accent1 8 2 3 2 2 2 3" xfId="41222"/>
    <cellStyle name="20% - Accent1 8 2 3 2 2 3" xfId="10174"/>
    <cellStyle name="20% - Accent1 8 2 3 2 2 3 2" xfId="47784"/>
    <cellStyle name="20% - Accent1 8 2 3 2 2 4" xfId="21975"/>
    <cellStyle name="20% - Accent1 8 2 3 2 2 4 2" xfId="59939"/>
    <cellStyle name="20% - Accent1 8 2 3 2 2 5" xfId="35590"/>
    <cellStyle name="20% - Accent1 8 2 3 2 3" xfId="2880"/>
    <cellStyle name="20% - Accent1 8 2 3 2 3 2" xfId="15807"/>
    <cellStyle name="20% - Accent1 8 2 3 2 3 2 2" xfId="27608"/>
    <cellStyle name="20% - Accent1 8 2 3 2 3 2 2 2" xfId="59940"/>
    <cellStyle name="20% - Accent1 8 2 3 2 3 2 3" xfId="41223"/>
    <cellStyle name="20% - Accent1 8 2 3 2 3 3" xfId="8333"/>
    <cellStyle name="20% - Accent1 8 2 3 2 3 3 2" xfId="47785"/>
    <cellStyle name="20% - Accent1 8 2 3 2 3 4" xfId="20134"/>
    <cellStyle name="20% - Accent1 8 2 3 2 3 4 2" xfId="59941"/>
    <cellStyle name="20% - Accent1 8 2 3 2 3 5" xfId="33749"/>
    <cellStyle name="20% - Accent1 8 2 3 2 4" xfId="15808"/>
    <cellStyle name="20% - Accent1 8 2 3 2 4 2" xfId="27609"/>
    <cellStyle name="20% - Accent1 8 2 3 2 4 2 2" xfId="59942"/>
    <cellStyle name="20% - Accent1 8 2 3 2 4 3" xfId="41224"/>
    <cellStyle name="20% - Accent1 8 2 3 2 5" xfId="7219"/>
    <cellStyle name="20% - Accent1 8 2 3 2 5 2" xfId="47786"/>
    <cellStyle name="20% - Accent1 8 2 3 2 6" xfId="19020"/>
    <cellStyle name="20% - Accent1 8 2 3 2 6 2" xfId="59943"/>
    <cellStyle name="20% - Accent1 8 2 3 2 7" xfId="32635"/>
    <cellStyle name="20% - Accent1 8 2 3 3" xfId="3448"/>
    <cellStyle name="20% - Accent1 8 2 3 3 2" xfId="5289"/>
    <cellStyle name="20% - Accent1 8 2 3 3 2 2" xfId="16759"/>
    <cellStyle name="20% - Accent1 8 2 3 3 2 2 2" xfId="28560"/>
    <cellStyle name="20% - Accent1 8 2 3 3 2 2 2 2" xfId="59944"/>
    <cellStyle name="20% - Accent1 8 2 3 3 2 2 3" xfId="42175"/>
    <cellStyle name="20% - Accent1 8 2 3 3 2 3" xfId="10742"/>
    <cellStyle name="20% - Accent1 8 2 3 3 2 3 2" xfId="59945"/>
    <cellStyle name="20% - Accent1 8 2 3 3 2 4" xfId="22543"/>
    <cellStyle name="20% - Accent1 8 2 3 3 2 4 2" xfId="59946"/>
    <cellStyle name="20% - Accent1 8 2 3 3 2 5" xfId="36158"/>
    <cellStyle name="20% - Accent1 8 2 3 3 3" xfId="15809"/>
    <cellStyle name="20% - Accent1 8 2 3 3 3 2" xfId="27610"/>
    <cellStyle name="20% - Accent1 8 2 3 3 3 2 2" xfId="59947"/>
    <cellStyle name="20% - Accent1 8 2 3 3 3 3" xfId="41225"/>
    <cellStyle name="20% - Accent1 8 2 3 3 4" xfId="8901"/>
    <cellStyle name="20% - Accent1 8 2 3 3 4 2" xfId="59948"/>
    <cellStyle name="20% - Accent1 8 2 3 3 5" xfId="20702"/>
    <cellStyle name="20% - Accent1 8 2 3 3 5 2" xfId="59949"/>
    <cellStyle name="20% - Accent1 8 2 3 3 6" xfId="34317"/>
    <cellStyle name="20% - Accent1 8 2 3 4" xfId="4153"/>
    <cellStyle name="20% - Accent1 8 2 3 4 2" xfId="15810"/>
    <cellStyle name="20% - Accent1 8 2 3 4 2 2" xfId="27611"/>
    <cellStyle name="20% - Accent1 8 2 3 4 2 2 2" xfId="59950"/>
    <cellStyle name="20% - Accent1 8 2 3 4 2 3" xfId="41226"/>
    <cellStyle name="20% - Accent1 8 2 3 4 3" xfId="9606"/>
    <cellStyle name="20% - Accent1 8 2 3 4 3 2" xfId="47787"/>
    <cellStyle name="20% - Accent1 8 2 3 4 4" xfId="21407"/>
    <cellStyle name="20% - Accent1 8 2 3 4 4 2" xfId="59951"/>
    <cellStyle name="20% - Accent1 8 2 3 4 5" xfId="35022"/>
    <cellStyle name="20% - Accent1 8 2 3 5" xfId="2312"/>
    <cellStyle name="20% - Accent1 8 2 3 5 2" xfId="17210"/>
    <cellStyle name="20% - Accent1 8 2 3 5 2 2" xfId="29011"/>
    <cellStyle name="20% - Accent1 8 2 3 5 2 2 2" xfId="59952"/>
    <cellStyle name="20% - Accent1 8 2 3 5 2 3" xfId="42626"/>
    <cellStyle name="20% - Accent1 8 2 3 5 3" xfId="7765"/>
    <cellStyle name="20% - Accent1 8 2 3 5 3 2" xfId="59953"/>
    <cellStyle name="20% - Accent1 8 2 3 5 4" xfId="19566"/>
    <cellStyle name="20% - Accent1 8 2 3 5 4 2" xfId="59954"/>
    <cellStyle name="20% - Accent1 8 2 3 5 5" xfId="33181"/>
    <cellStyle name="20% - Accent1 8 2 3 6" xfId="15811"/>
    <cellStyle name="20% - Accent1 8 2 3 6 2" xfId="27612"/>
    <cellStyle name="20% - Accent1 8 2 3 6 2 2" xfId="59955"/>
    <cellStyle name="20% - Accent1 8 2 3 6 3" xfId="41227"/>
    <cellStyle name="20% - Accent1 8 2 3 7" xfId="5865"/>
    <cellStyle name="20% - Accent1 8 2 3 7 2" xfId="59956"/>
    <cellStyle name="20% - Accent1 8 2 3 8" xfId="17666"/>
    <cellStyle name="20% - Accent1 8 2 3 8 2" xfId="59957"/>
    <cellStyle name="20% - Accent1 8 2 3 9" xfId="31281"/>
    <cellStyle name="20% - Accent1 8 2 4" xfId="689"/>
    <cellStyle name="20% - Accent1 8 2 4 2" xfId="1766"/>
    <cellStyle name="20% - Accent1 8 2 4 2 2" xfId="4431"/>
    <cellStyle name="20% - Accent1 8 2 4 2 2 2" xfId="15812"/>
    <cellStyle name="20% - Accent1 8 2 4 2 2 2 2" xfId="27613"/>
    <cellStyle name="20% - Accent1 8 2 4 2 2 2 2 2" xfId="59958"/>
    <cellStyle name="20% - Accent1 8 2 4 2 2 2 3" xfId="41228"/>
    <cellStyle name="20% - Accent1 8 2 4 2 2 3" xfId="9884"/>
    <cellStyle name="20% - Accent1 8 2 4 2 2 3 2" xfId="47788"/>
    <cellStyle name="20% - Accent1 8 2 4 2 2 4" xfId="21685"/>
    <cellStyle name="20% - Accent1 8 2 4 2 2 4 2" xfId="59959"/>
    <cellStyle name="20% - Accent1 8 2 4 2 2 5" xfId="35300"/>
    <cellStyle name="20% - Accent1 8 2 4 2 3" xfId="15813"/>
    <cellStyle name="20% - Accent1 8 2 4 2 3 2" xfId="27614"/>
    <cellStyle name="20% - Accent1 8 2 4 2 3 2 2" xfId="47789"/>
    <cellStyle name="20% - Accent1 8 2 4 2 3 3" xfId="30610"/>
    <cellStyle name="20% - Accent1 8 2 4 2 3 3 2" xfId="47790"/>
    <cellStyle name="20% - Accent1 8 2 4 2 3 4" xfId="30611"/>
    <cellStyle name="20% - Accent1 8 2 4 2 3 4 2" xfId="59960"/>
    <cellStyle name="20% - Accent1 8 2 4 2 3 5" xfId="41229"/>
    <cellStyle name="20% - Accent1 8 2 4 2 4" xfId="15814"/>
    <cellStyle name="20% - Accent1 8 2 4 2 4 2" xfId="27615"/>
    <cellStyle name="20% - Accent1 8 2 4 2 4 2 2" xfId="59961"/>
    <cellStyle name="20% - Accent1 8 2 4 2 4 3" xfId="41230"/>
    <cellStyle name="20% - Accent1 8 2 4 2 5" xfId="7220"/>
    <cellStyle name="20% - Accent1 8 2 4 2 5 2" xfId="47791"/>
    <cellStyle name="20% - Accent1 8 2 4 2 6" xfId="19021"/>
    <cellStyle name="20% - Accent1 8 2 4 2 6 2" xfId="59962"/>
    <cellStyle name="20% - Accent1 8 2 4 2 7" xfId="32636"/>
    <cellStyle name="20% - Accent1 8 2 4 3" xfId="2590"/>
    <cellStyle name="20% - Accent1 8 2 4 3 2" xfId="15815"/>
    <cellStyle name="20% - Accent1 8 2 4 3 2 2" xfId="27616"/>
    <cellStyle name="20% - Accent1 8 2 4 3 2 2 2" xfId="59963"/>
    <cellStyle name="20% - Accent1 8 2 4 3 2 3" xfId="41231"/>
    <cellStyle name="20% - Accent1 8 2 4 3 3" xfId="8043"/>
    <cellStyle name="20% - Accent1 8 2 4 3 3 2" xfId="47792"/>
    <cellStyle name="20% - Accent1 8 2 4 3 4" xfId="19844"/>
    <cellStyle name="20% - Accent1 8 2 4 3 4 2" xfId="59964"/>
    <cellStyle name="20% - Accent1 8 2 4 3 5" xfId="33459"/>
    <cellStyle name="20% - Accent1 8 2 4 4" xfId="15816"/>
    <cellStyle name="20% - Accent1 8 2 4 4 2" xfId="27617"/>
    <cellStyle name="20% - Accent1 8 2 4 4 2 2" xfId="47793"/>
    <cellStyle name="20% - Accent1 8 2 4 4 3" xfId="30612"/>
    <cellStyle name="20% - Accent1 8 2 4 4 3 2" xfId="47794"/>
    <cellStyle name="20% - Accent1 8 2 4 4 4" xfId="30613"/>
    <cellStyle name="20% - Accent1 8 2 4 4 4 2" xfId="59965"/>
    <cellStyle name="20% - Accent1 8 2 4 4 5" xfId="41232"/>
    <cellStyle name="20% - Accent1 8 2 4 5" xfId="15817"/>
    <cellStyle name="20% - Accent1 8 2 4 5 2" xfId="27618"/>
    <cellStyle name="20% - Accent1 8 2 4 5 2 2" xfId="59966"/>
    <cellStyle name="20% - Accent1 8 2 4 5 3" xfId="41233"/>
    <cellStyle name="20% - Accent1 8 2 4 6" xfId="6143"/>
    <cellStyle name="20% - Accent1 8 2 4 6 2" xfId="47795"/>
    <cellStyle name="20% - Accent1 8 2 4 7" xfId="17944"/>
    <cellStyle name="20% - Accent1 8 2 4 7 2" xfId="59967"/>
    <cellStyle name="20% - Accent1 8 2 4 8" xfId="31559"/>
    <cellStyle name="20% - Accent1 8 2 5" xfId="930"/>
    <cellStyle name="20% - Accent1 8 2 5 2" xfId="1767"/>
    <cellStyle name="20% - Accent1 8 2 5 2 2" xfId="4999"/>
    <cellStyle name="20% - Accent1 8 2 5 2 2 2" xfId="15818"/>
    <cellStyle name="20% - Accent1 8 2 5 2 2 2 2" xfId="27619"/>
    <cellStyle name="20% - Accent1 8 2 5 2 2 2 2 2" xfId="59968"/>
    <cellStyle name="20% - Accent1 8 2 5 2 2 2 3" xfId="41234"/>
    <cellStyle name="20% - Accent1 8 2 5 2 2 3" xfId="10452"/>
    <cellStyle name="20% - Accent1 8 2 5 2 2 3 2" xfId="47796"/>
    <cellStyle name="20% - Accent1 8 2 5 2 2 4" xfId="22253"/>
    <cellStyle name="20% - Accent1 8 2 5 2 2 4 2" xfId="59969"/>
    <cellStyle name="20% - Accent1 8 2 5 2 2 5" xfId="35868"/>
    <cellStyle name="20% - Accent1 8 2 5 2 3" xfId="15819"/>
    <cellStyle name="20% - Accent1 8 2 5 2 3 2" xfId="27620"/>
    <cellStyle name="20% - Accent1 8 2 5 2 3 2 2" xfId="47797"/>
    <cellStyle name="20% - Accent1 8 2 5 2 3 3" xfId="30614"/>
    <cellStyle name="20% - Accent1 8 2 5 2 3 3 2" xfId="47798"/>
    <cellStyle name="20% - Accent1 8 2 5 2 3 4" xfId="30615"/>
    <cellStyle name="20% - Accent1 8 2 5 2 3 4 2" xfId="59970"/>
    <cellStyle name="20% - Accent1 8 2 5 2 3 5" xfId="41235"/>
    <cellStyle name="20% - Accent1 8 2 5 2 4" xfId="15820"/>
    <cellStyle name="20% - Accent1 8 2 5 2 4 2" xfId="27621"/>
    <cellStyle name="20% - Accent1 8 2 5 2 4 2 2" xfId="59971"/>
    <cellStyle name="20% - Accent1 8 2 5 2 4 3" xfId="41236"/>
    <cellStyle name="20% - Accent1 8 2 5 2 5" xfId="7221"/>
    <cellStyle name="20% - Accent1 8 2 5 2 5 2" xfId="47799"/>
    <cellStyle name="20% - Accent1 8 2 5 2 6" xfId="19022"/>
    <cellStyle name="20% - Accent1 8 2 5 2 6 2" xfId="59972"/>
    <cellStyle name="20% - Accent1 8 2 5 2 7" xfId="32637"/>
    <cellStyle name="20% - Accent1 8 2 5 3" xfId="3158"/>
    <cellStyle name="20% - Accent1 8 2 5 3 2" xfId="15821"/>
    <cellStyle name="20% - Accent1 8 2 5 3 2 2" xfId="27622"/>
    <cellStyle name="20% - Accent1 8 2 5 3 2 2 2" xfId="59973"/>
    <cellStyle name="20% - Accent1 8 2 5 3 2 3" xfId="41237"/>
    <cellStyle name="20% - Accent1 8 2 5 3 3" xfId="8611"/>
    <cellStyle name="20% - Accent1 8 2 5 3 3 2" xfId="47800"/>
    <cellStyle name="20% - Accent1 8 2 5 3 4" xfId="20412"/>
    <cellStyle name="20% - Accent1 8 2 5 3 4 2" xfId="59974"/>
    <cellStyle name="20% - Accent1 8 2 5 3 5" xfId="34027"/>
    <cellStyle name="20% - Accent1 8 2 5 4" xfId="15822"/>
    <cellStyle name="20% - Accent1 8 2 5 4 2" xfId="27623"/>
    <cellStyle name="20% - Accent1 8 2 5 4 2 2" xfId="47801"/>
    <cellStyle name="20% - Accent1 8 2 5 4 3" xfId="30616"/>
    <cellStyle name="20% - Accent1 8 2 5 4 3 2" xfId="47802"/>
    <cellStyle name="20% - Accent1 8 2 5 4 4" xfId="30617"/>
    <cellStyle name="20% - Accent1 8 2 5 4 4 2" xfId="59975"/>
    <cellStyle name="20% - Accent1 8 2 5 4 5" xfId="41238"/>
    <cellStyle name="20% - Accent1 8 2 5 5" xfId="15823"/>
    <cellStyle name="20% - Accent1 8 2 5 5 2" xfId="27624"/>
    <cellStyle name="20% - Accent1 8 2 5 5 2 2" xfId="59976"/>
    <cellStyle name="20% - Accent1 8 2 5 5 3" xfId="41239"/>
    <cellStyle name="20% - Accent1 8 2 5 6" xfId="6384"/>
    <cellStyle name="20% - Accent1 8 2 5 6 2" xfId="47803"/>
    <cellStyle name="20% - Accent1 8 2 5 7" xfId="18185"/>
    <cellStyle name="20% - Accent1 8 2 5 7 2" xfId="59977"/>
    <cellStyle name="20% - Accent1 8 2 5 8" xfId="31800"/>
    <cellStyle name="20% - Accent1 8 2 6" xfId="1768"/>
    <cellStyle name="20% - Accent1 8 2 6 2" xfId="3863"/>
    <cellStyle name="20% - Accent1 8 2 6 2 2" xfId="15824"/>
    <cellStyle name="20% - Accent1 8 2 6 2 2 2" xfId="27625"/>
    <cellStyle name="20% - Accent1 8 2 6 2 2 2 2" xfId="59978"/>
    <cellStyle name="20% - Accent1 8 2 6 2 2 3" xfId="41240"/>
    <cellStyle name="20% - Accent1 8 2 6 2 3" xfId="9316"/>
    <cellStyle name="20% - Accent1 8 2 6 2 3 2" xfId="47804"/>
    <cellStyle name="20% - Accent1 8 2 6 2 4" xfId="21117"/>
    <cellStyle name="20% - Accent1 8 2 6 2 4 2" xfId="59979"/>
    <cellStyle name="20% - Accent1 8 2 6 2 5" xfId="34732"/>
    <cellStyle name="20% - Accent1 8 2 6 3" xfId="15825"/>
    <cellStyle name="20% - Accent1 8 2 6 3 2" xfId="27626"/>
    <cellStyle name="20% - Accent1 8 2 6 3 2 2" xfId="47805"/>
    <cellStyle name="20% - Accent1 8 2 6 3 3" xfId="30618"/>
    <cellStyle name="20% - Accent1 8 2 6 3 3 2" xfId="47806"/>
    <cellStyle name="20% - Accent1 8 2 6 3 4" xfId="30619"/>
    <cellStyle name="20% - Accent1 8 2 6 3 4 2" xfId="59980"/>
    <cellStyle name="20% - Accent1 8 2 6 3 5" xfId="41241"/>
    <cellStyle name="20% - Accent1 8 2 6 4" xfId="15826"/>
    <cellStyle name="20% - Accent1 8 2 6 4 2" xfId="27627"/>
    <cellStyle name="20% - Accent1 8 2 6 4 2 2" xfId="59981"/>
    <cellStyle name="20% - Accent1 8 2 6 4 3" xfId="41242"/>
    <cellStyle name="20% - Accent1 8 2 6 5" xfId="7222"/>
    <cellStyle name="20% - Accent1 8 2 6 5 2" xfId="47807"/>
    <cellStyle name="20% - Accent1 8 2 6 6" xfId="19023"/>
    <cellStyle name="20% - Accent1 8 2 6 6 2" xfId="59982"/>
    <cellStyle name="20% - Accent1 8 2 6 7" xfId="32638"/>
    <cellStyle name="20% - Accent1 8 2 7" xfId="3726"/>
    <cellStyle name="20% - Accent1 8 2 7 2" xfId="15827"/>
    <cellStyle name="20% - Accent1 8 2 7 2 2" xfId="27628"/>
    <cellStyle name="20% - Accent1 8 2 7 2 2 2" xfId="59983"/>
    <cellStyle name="20% - Accent1 8 2 7 2 3" xfId="41243"/>
    <cellStyle name="20% - Accent1 8 2 7 3" xfId="9179"/>
    <cellStyle name="20% - Accent1 8 2 7 3 2" xfId="47808"/>
    <cellStyle name="20% - Accent1 8 2 7 4" xfId="20980"/>
    <cellStyle name="20% - Accent1 8 2 7 4 2" xfId="59984"/>
    <cellStyle name="20% - Accent1 8 2 7 5" xfId="34595"/>
    <cellStyle name="20% - Accent1 8 2 8" xfId="2022"/>
    <cellStyle name="20% - Accent1 8 2 8 2" xfId="15828"/>
    <cellStyle name="20% - Accent1 8 2 8 2 2" xfId="27629"/>
    <cellStyle name="20% - Accent1 8 2 8 2 2 2" xfId="59985"/>
    <cellStyle name="20% - Accent1 8 2 8 2 3" xfId="41244"/>
    <cellStyle name="20% - Accent1 8 2 8 3" xfId="7475"/>
    <cellStyle name="20% - Accent1 8 2 8 3 2" xfId="47809"/>
    <cellStyle name="20% - Accent1 8 2 8 4" xfId="19276"/>
    <cellStyle name="20% - Accent1 8 2 8 4 2" xfId="59986"/>
    <cellStyle name="20% - Accent1 8 2 8 5" xfId="32891"/>
    <cellStyle name="20% - Accent1 8 2 9" xfId="15829"/>
    <cellStyle name="20% - Accent1 8 2 9 2" xfId="27630"/>
    <cellStyle name="20% - Accent1 8 2 9 2 2" xfId="59987"/>
    <cellStyle name="20% - Accent1 8 2 9 3" xfId="41245"/>
    <cellStyle name="20% - Accent1 8 3" xfId="233"/>
    <cellStyle name="20% - Accent1 8 3 10" xfId="31103"/>
    <cellStyle name="20% - Accent1 8 3 2" xfId="481"/>
    <cellStyle name="20% - Accent1 8 3 2 2" xfId="1769"/>
    <cellStyle name="20% - Accent1 8 3 2 2 2" xfId="4791"/>
    <cellStyle name="20% - Accent1 8 3 2 2 2 2" xfId="15830"/>
    <cellStyle name="20% - Accent1 8 3 2 2 2 2 2" xfId="27631"/>
    <cellStyle name="20% - Accent1 8 3 2 2 2 2 2 2" xfId="59988"/>
    <cellStyle name="20% - Accent1 8 3 2 2 2 2 3" xfId="41246"/>
    <cellStyle name="20% - Accent1 8 3 2 2 2 3" xfId="10244"/>
    <cellStyle name="20% - Accent1 8 3 2 2 2 3 2" xfId="47810"/>
    <cellStyle name="20% - Accent1 8 3 2 2 2 4" xfId="22045"/>
    <cellStyle name="20% - Accent1 8 3 2 2 2 4 2" xfId="59989"/>
    <cellStyle name="20% - Accent1 8 3 2 2 2 5" xfId="35660"/>
    <cellStyle name="20% - Accent1 8 3 2 2 3" xfId="2950"/>
    <cellStyle name="20% - Accent1 8 3 2 2 3 2" xfId="15831"/>
    <cellStyle name="20% - Accent1 8 3 2 2 3 2 2" xfId="27632"/>
    <cellStyle name="20% - Accent1 8 3 2 2 3 2 2 2" xfId="59990"/>
    <cellStyle name="20% - Accent1 8 3 2 2 3 2 3" xfId="41247"/>
    <cellStyle name="20% - Accent1 8 3 2 2 3 3" xfId="8403"/>
    <cellStyle name="20% - Accent1 8 3 2 2 3 3 2" xfId="47811"/>
    <cellStyle name="20% - Accent1 8 3 2 2 3 4" xfId="20204"/>
    <cellStyle name="20% - Accent1 8 3 2 2 3 4 2" xfId="59991"/>
    <cellStyle name="20% - Accent1 8 3 2 2 3 5" xfId="33819"/>
    <cellStyle name="20% - Accent1 8 3 2 2 4" xfId="15832"/>
    <cellStyle name="20% - Accent1 8 3 2 2 4 2" xfId="27633"/>
    <cellStyle name="20% - Accent1 8 3 2 2 4 2 2" xfId="59992"/>
    <cellStyle name="20% - Accent1 8 3 2 2 4 3" xfId="41248"/>
    <cellStyle name="20% - Accent1 8 3 2 2 5" xfId="7223"/>
    <cellStyle name="20% - Accent1 8 3 2 2 5 2" xfId="47812"/>
    <cellStyle name="20% - Accent1 8 3 2 2 6" xfId="19024"/>
    <cellStyle name="20% - Accent1 8 3 2 2 6 2" xfId="59993"/>
    <cellStyle name="20% - Accent1 8 3 2 2 7" xfId="32639"/>
    <cellStyle name="20% - Accent1 8 3 2 3" xfId="3518"/>
    <cellStyle name="20% - Accent1 8 3 2 3 2" xfId="5359"/>
    <cellStyle name="20% - Accent1 8 3 2 3 2 2" xfId="16829"/>
    <cellStyle name="20% - Accent1 8 3 2 3 2 2 2" xfId="28630"/>
    <cellStyle name="20% - Accent1 8 3 2 3 2 2 2 2" xfId="59994"/>
    <cellStyle name="20% - Accent1 8 3 2 3 2 2 3" xfId="42245"/>
    <cellStyle name="20% - Accent1 8 3 2 3 2 3" xfId="10812"/>
    <cellStyle name="20% - Accent1 8 3 2 3 2 3 2" xfId="59995"/>
    <cellStyle name="20% - Accent1 8 3 2 3 2 4" xfId="22613"/>
    <cellStyle name="20% - Accent1 8 3 2 3 2 4 2" xfId="59996"/>
    <cellStyle name="20% - Accent1 8 3 2 3 2 5" xfId="36228"/>
    <cellStyle name="20% - Accent1 8 3 2 3 3" xfId="15833"/>
    <cellStyle name="20% - Accent1 8 3 2 3 3 2" xfId="27634"/>
    <cellStyle name="20% - Accent1 8 3 2 3 3 2 2" xfId="59997"/>
    <cellStyle name="20% - Accent1 8 3 2 3 3 3" xfId="41249"/>
    <cellStyle name="20% - Accent1 8 3 2 3 4" xfId="8971"/>
    <cellStyle name="20% - Accent1 8 3 2 3 4 2" xfId="59998"/>
    <cellStyle name="20% - Accent1 8 3 2 3 5" xfId="20772"/>
    <cellStyle name="20% - Accent1 8 3 2 3 5 2" xfId="59999"/>
    <cellStyle name="20% - Accent1 8 3 2 3 6" xfId="34387"/>
    <cellStyle name="20% - Accent1 8 3 2 4" xfId="4223"/>
    <cellStyle name="20% - Accent1 8 3 2 4 2" xfId="15834"/>
    <cellStyle name="20% - Accent1 8 3 2 4 2 2" xfId="27635"/>
    <cellStyle name="20% - Accent1 8 3 2 4 2 2 2" xfId="60000"/>
    <cellStyle name="20% - Accent1 8 3 2 4 2 3" xfId="41250"/>
    <cellStyle name="20% - Accent1 8 3 2 4 3" xfId="9676"/>
    <cellStyle name="20% - Accent1 8 3 2 4 3 2" xfId="47813"/>
    <cellStyle name="20% - Accent1 8 3 2 4 4" xfId="21477"/>
    <cellStyle name="20% - Accent1 8 3 2 4 4 2" xfId="60001"/>
    <cellStyle name="20% - Accent1 8 3 2 4 5" xfId="35092"/>
    <cellStyle name="20% - Accent1 8 3 2 5" xfId="2382"/>
    <cellStyle name="20% - Accent1 8 3 2 5 2" xfId="17211"/>
    <cellStyle name="20% - Accent1 8 3 2 5 2 2" xfId="29012"/>
    <cellStyle name="20% - Accent1 8 3 2 5 2 2 2" xfId="60002"/>
    <cellStyle name="20% - Accent1 8 3 2 5 2 3" xfId="42627"/>
    <cellStyle name="20% - Accent1 8 3 2 5 3" xfId="7835"/>
    <cellStyle name="20% - Accent1 8 3 2 5 3 2" xfId="60003"/>
    <cellStyle name="20% - Accent1 8 3 2 5 4" xfId="19636"/>
    <cellStyle name="20% - Accent1 8 3 2 5 4 2" xfId="60004"/>
    <cellStyle name="20% - Accent1 8 3 2 5 5" xfId="33251"/>
    <cellStyle name="20% - Accent1 8 3 2 6" xfId="15835"/>
    <cellStyle name="20% - Accent1 8 3 2 6 2" xfId="27636"/>
    <cellStyle name="20% - Accent1 8 3 2 6 2 2" xfId="60005"/>
    <cellStyle name="20% - Accent1 8 3 2 6 3" xfId="41251"/>
    <cellStyle name="20% - Accent1 8 3 2 7" xfId="5935"/>
    <cellStyle name="20% - Accent1 8 3 2 7 2" xfId="60006"/>
    <cellStyle name="20% - Accent1 8 3 2 8" xfId="17736"/>
    <cellStyle name="20% - Accent1 8 3 2 8 2" xfId="60007"/>
    <cellStyle name="20% - Accent1 8 3 2 9" xfId="31351"/>
    <cellStyle name="20% - Accent1 8 3 3" xfId="801"/>
    <cellStyle name="20% - Accent1 8 3 3 2" xfId="1770"/>
    <cellStyle name="20% - Accent1 8 3 3 2 2" xfId="4543"/>
    <cellStyle name="20% - Accent1 8 3 3 2 2 2" xfId="15836"/>
    <cellStyle name="20% - Accent1 8 3 3 2 2 2 2" xfId="27637"/>
    <cellStyle name="20% - Accent1 8 3 3 2 2 2 2 2" xfId="60008"/>
    <cellStyle name="20% - Accent1 8 3 3 2 2 2 3" xfId="41252"/>
    <cellStyle name="20% - Accent1 8 3 3 2 2 3" xfId="9996"/>
    <cellStyle name="20% - Accent1 8 3 3 2 2 3 2" xfId="47814"/>
    <cellStyle name="20% - Accent1 8 3 3 2 2 4" xfId="21797"/>
    <cellStyle name="20% - Accent1 8 3 3 2 2 4 2" xfId="60009"/>
    <cellStyle name="20% - Accent1 8 3 3 2 2 5" xfId="35412"/>
    <cellStyle name="20% - Accent1 8 3 3 2 3" xfId="15837"/>
    <cellStyle name="20% - Accent1 8 3 3 2 3 2" xfId="27638"/>
    <cellStyle name="20% - Accent1 8 3 3 2 3 2 2" xfId="47815"/>
    <cellStyle name="20% - Accent1 8 3 3 2 3 3" xfId="30620"/>
    <cellStyle name="20% - Accent1 8 3 3 2 3 3 2" xfId="47816"/>
    <cellStyle name="20% - Accent1 8 3 3 2 3 4" xfId="30621"/>
    <cellStyle name="20% - Accent1 8 3 3 2 3 4 2" xfId="60010"/>
    <cellStyle name="20% - Accent1 8 3 3 2 3 5" xfId="41253"/>
    <cellStyle name="20% - Accent1 8 3 3 2 4" xfId="15838"/>
    <cellStyle name="20% - Accent1 8 3 3 2 4 2" xfId="27639"/>
    <cellStyle name="20% - Accent1 8 3 3 2 4 2 2" xfId="60011"/>
    <cellStyle name="20% - Accent1 8 3 3 2 4 3" xfId="41254"/>
    <cellStyle name="20% - Accent1 8 3 3 2 5" xfId="7224"/>
    <cellStyle name="20% - Accent1 8 3 3 2 5 2" xfId="47817"/>
    <cellStyle name="20% - Accent1 8 3 3 2 6" xfId="19025"/>
    <cellStyle name="20% - Accent1 8 3 3 2 6 2" xfId="60012"/>
    <cellStyle name="20% - Accent1 8 3 3 2 7" xfId="32640"/>
    <cellStyle name="20% - Accent1 8 3 3 3" xfId="2702"/>
    <cellStyle name="20% - Accent1 8 3 3 3 2" xfId="15839"/>
    <cellStyle name="20% - Accent1 8 3 3 3 2 2" xfId="27640"/>
    <cellStyle name="20% - Accent1 8 3 3 3 2 2 2" xfId="60013"/>
    <cellStyle name="20% - Accent1 8 3 3 3 2 3" xfId="41255"/>
    <cellStyle name="20% - Accent1 8 3 3 3 3" xfId="8155"/>
    <cellStyle name="20% - Accent1 8 3 3 3 3 2" xfId="47818"/>
    <cellStyle name="20% - Accent1 8 3 3 3 4" xfId="19956"/>
    <cellStyle name="20% - Accent1 8 3 3 3 4 2" xfId="60014"/>
    <cellStyle name="20% - Accent1 8 3 3 3 5" xfId="33571"/>
    <cellStyle name="20% - Accent1 8 3 3 4" xfId="15840"/>
    <cellStyle name="20% - Accent1 8 3 3 4 2" xfId="27641"/>
    <cellStyle name="20% - Accent1 8 3 3 4 2 2" xfId="47819"/>
    <cellStyle name="20% - Accent1 8 3 3 4 3" xfId="30622"/>
    <cellStyle name="20% - Accent1 8 3 3 4 3 2" xfId="47820"/>
    <cellStyle name="20% - Accent1 8 3 3 4 4" xfId="30623"/>
    <cellStyle name="20% - Accent1 8 3 3 4 4 2" xfId="60015"/>
    <cellStyle name="20% - Accent1 8 3 3 4 5" xfId="41256"/>
    <cellStyle name="20% - Accent1 8 3 3 5" xfId="15841"/>
    <cellStyle name="20% - Accent1 8 3 3 5 2" xfId="27642"/>
    <cellStyle name="20% - Accent1 8 3 3 5 2 2" xfId="60016"/>
    <cellStyle name="20% - Accent1 8 3 3 5 3" xfId="41257"/>
    <cellStyle name="20% - Accent1 8 3 3 6" xfId="6255"/>
    <cellStyle name="20% - Accent1 8 3 3 6 2" xfId="47821"/>
    <cellStyle name="20% - Accent1 8 3 3 7" xfId="18056"/>
    <cellStyle name="20% - Accent1 8 3 3 7 2" xfId="60017"/>
    <cellStyle name="20% - Accent1 8 3 3 8" xfId="31671"/>
    <cellStyle name="20% - Accent1 8 3 4" xfId="1771"/>
    <cellStyle name="20% - Accent1 8 3 4 2" xfId="5111"/>
    <cellStyle name="20% - Accent1 8 3 4 2 2" xfId="15842"/>
    <cellStyle name="20% - Accent1 8 3 4 2 2 2" xfId="27643"/>
    <cellStyle name="20% - Accent1 8 3 4 2 2 2 2" xfId="60018"/>
    <cellStyle name="20% - Accent1 8 3 4 2 2 3" xfId="41258"/>
    <cellStyle name="20% - Accent1 8 3 4 2 3" xfId="10564"/>
    <cellStyle name="20% - Accent1 8 3 4 2 3 2" xfId="47822"/>
    <cellStyle name="20% - Accent1 8 3 4 2 4" xfId="22365"/>
    <cellStyle name="20% - Accent1 8 3 4 2 4 2" xfId="60019"/>
    <cellStyle name="20% - Accent1 8 3 4 2 5" xfId="35980"/>
    <cellStyle name="20% - Accent1 8 3 4 3" xfId="3270"/>
    <cellStyle name="20% - Accent1 8 3 4 3 2" xfId="15843"/>
    <cellStyle name="20% - Accent1 8 3 4 3 2 2" xfId="27644"/>
    <cellStyle name="20% - Accent1 8 3 4 3 2 2 2" xfId="60020"/>
    <cellStyle name="20% - Accent1 8 3 4 3 2 3" xfId="41259"/>
    <cellStyle name="20% - Accent1 8 3 4 3 3" xfId="8723"/>
    <cellStyle name="20% - Accent1 8 3 4 3 3 2" xfId="47823"/>
    <cellStyle name="20% - Accent1 8 3 4 3 4" xfId="20524"/>
    <cellStyle name="20% - Accent1 8 3 4 3 4 2" xfId="60021"/>
    <cellStyle name="20% - Accent1 8 3 4 3 5" xfId="34139"/>
    <cellStyle name="20% - Accent1 8 3 4 4" xfId="15844"/>
    <cellStyle name="20% - Accent1 8 3 4 4 2" xfId="27645"/>
    <cellStyle name="20% - Accent1 8 3 4 4 2 2" xfId="60022"/>
    <cellStyle name="20% - Accent1 8 3 4 4 3" xfId="41260"/>
    <cellStyle name="20% - Accent1 8 3 4 5" xfId="7225"/>
    <cellStyle name="20% - Accent1 8 3 4 5 2" xfId="47824"/>
    <cellStyle name="20% - Accent1 8 3 4 6" xfId="19026"/>
    <cellStyle name="20% - Accent1 8 3 4 6 2" xfId="60023"/>
    <cellStyle name="20% - Accent1 8 3 4 7" xfId="32641"/>
    <cellStyle name="20% - Accent1 8 3 5" xfId="3975"/>
    <cellStyle name="20% - Accent1 8 3 5 2" xfId="15845"/>
    <cellStyle name="20% - Accent1 8 3 5 2 2" xfId="27646"/>
    <cellStyle name="20% - Accent1 8 3 5 2 2 2" xfId="60024"/>
    <cellStyle name="20% - Accent1 8 3 5 2 3" xfId="41261"/>
    <cellStyle name="20% - Accent1 8 3 5 3" xfId="9428"/>
    <cellStyle name="20% - Accent1 8 3 5 3 2" xfId="47825"/>
    <cellStyle name="20% - Accent1 8 3 5 4" xfId="21229"/>
    <cellStyle name="20% - Accent1 8 3 5 4 2" xfId="60025"/>
    <cellStyle name="20% - Accent1 8 3 5 5" xfId="34844"/>
    <cellStyle name="20% - Accent1 8 3 6" xfId="2134"/>
    <cellStyle name="20% - Accent1 8 3 6 2" xfId="15846"/>
    <cellStyle name="20% - Accent1 8 3 6 2 2" xfId="27647"/>
    <cellStyle name="20% - Accent1 8 3 6 2 2 2" xfId="60026"/>
    <cellStyle name="20% - Accent1 8 3 6 2 3" xfId="41262"/>
    <cellStyle name="20% - Accent1 8 3 6 3" xfId="7587"/>
    <cellStyle name="20% - Accent1 8 3 6 3 2" xfId="47826"/>
    <cellStyle name="20% - Accent1 8 3 6 4" xfId="19388"/>
    <cellStyle name="20% - Accent1 8 3 6 4 2" xfId="60027"/>
    <cellStyle name="20% - Accent1 8 3 6 5" xfId="33003"/>
    <cellStyle name="20% - Accent1 8 3 7" xfId="15847"/>
    <cellStyle name="20% - Accent1 8 3 7 2" xfId="27648"/>
    <cellStyle name="20% - Accent1 8 3 7 2 2" xfId="60028"/>
    <cellStyle name="20% - Accent1 8 3 7 3" xfId="41263"/>
    <cellStyle name="20% - Accent1 8 3 8" xfId="5687"/>
    <cellStyle name="20% - Accent1 8 3 8 2" xfId="47827"/>
    <cellStyle name="20% - Accent1 8 3 9" xfId="17488"/>
    <cellStyle name="20% - Accent1 8 3 9 2" xfId="60029"/>
    <cellStyle name="20% - Accent1 8 4" xfId="344"/>
    <cellStyle name="20% - Accent1 8 4 2" xfId="1772"/>
    <cellStyle name="20% - Accent1 8 4 2 2" xfId="4654"/>
    <cellStyle name="20% - Accent1 8 4 2 2 2" xfId="15848"/>
    <cellStyle name="20% - Accent1 8 4 2 2 2 2" xfId="27649"/>
    <cellStyle name="20% - Accent1 8 4 2 2 2 2 2" xfId="60030"/>
    <cellStyle name="20% - Accent1 8 4 2 2 2 3" xfId="41264"/>
    <cellStyle name="20% - Accent1 8 4 2 2 3" xfId="10107"/>
    <cellStyle name="20% - Accent1 8 4 2 2 3 2" xfId="47828"/>
    <cellStyle name="20% - Accent1 8 4 2 2 4" xfId="21908"/>
    <cellStyle name="20% - Accent1 8 4 2 2 4 2" xfId="60031"/>
    <cellStyle name="20% - Accent1 8 4 2 2 5" xfId="35523"/>
    <cellStyle name="20% - Accent1 8 4 2 3" xfId="2813"/>
    <cellStyle name="20% - Accent1 8 4 2 3 2" xfId="15849"/>
    <cellStyle name="20% - Accent1 8 4 2 3 2 2" xfId="27650"/>
    <cellStyle name="20% - Accent1 8 4 2 3 2 2 2" xfId="60032"/>
    <cellStyle name="20% - Accent1 8 4 2 3 2 3" xfId="41265"/>
    <cellStyle name="20% - Accent1 8 4 2 3 3" xfId="8266"/>
    <cellStyle name="20% - Accent1 8 4 2 3 3 2" xfId="47829"/>
    <cellStyle name="20% - Accent1 8 4 2 3 4" xfId="20067"/>
    <cellStyle name="20% - Accent1 8 4 2 3 4 2" xfId="60033"/>
    <cellStyle name="20% - Accent1 8 4 2 3 5" xfId="33682"/>
    <cellStyle name="20% - Accent1 8 4 2 4" xfId="15850"/>
    <cellStyle name="20% - Accent1 8 4 2 4 2" xfId="27651"/>
    <cellStyle name="20% - Accent1 8 4 2 4 2 2" xfId="60034"/>
    <cellStyle name="20% - Accent1 8 4 2 4 3" xfId="41266"/>
    <cellStyle name="20% - Accent1 8 4 2 5" xfId="7226"/>
    <cellStyle name="20% - Accent1 8 4 2 5 2" xfId="47830"/>
    <cellStyle name="20% - Accent1 8 4 2 6" xfId="19027"/>
    <cellStyle name="20% - Accent1 8 4 2 6 2" xfId="60035"/>
    <cellStyle name="20% - Accent1 8 4 2 7" xfId="32642"/>
    <cellStyle name="20% - Accent1 8 4 3" xfId="3381"/>
    <cellStyle name="20% - Accent1 8 4 3 2" xfId="5222"/>
    <cellStyle name="20% - Accent1 8 4 3 2 2" xfId="16692"/>
    <cellStyle name="20% - Accent1 8 4 3 2 2 2" xfId="28493"/>
    <cellStyle name="20% - Accent1 8 4 3 2 2 2 2" xfId="60036"/>
    <cellStyle name="20% - Accent1 8 4 3 2 2 3" xfId="42108"/>
    <cellStyle name="20% - Accent1 8 4 3 2 3" xfId="10675"/>
    <cellStyle name="20% - Accent1 8 4 3 2 3 2" xfId="60037"/>
    <cellStyle name="20% - Accent1 8 4 3 2 4" xfId="22476"/>
    <cellStyle name="20% - Accent1 8 4 3 2 4 2" xfId="60038"/>
    <cellStyle name="20% - Accent1 8 4 3 2 5" xfId="36091"/>
    <cellStyle name="20% - Accent1 8 4 3 3" xfId="15851"/>
    <cellStyle name="20% - Accent1 8 4 3 3 2" xfId="27652"/>
    <cellStyle name="20% - Accent1 8 4 3 3 2 2" xfId="60039"/>
    <cellStyle name="20% - Accent1 8 4 3 3 3" xfId="41267"/>
    <cellStyle name="20% - Accent1 8 4 3 4" xfId="8834"/>
    <cellStyle name="20% - Accent1 8 4 3 4 2" xfId="60040"/>
    <cellStyle name="20% - Accent1 8 4 3 5" xfId="20635"/>
    <cellStyle name="20% - Accent1 8 4 3 5 2" xfId="60041"/>
    <cellStyle name="20% - Accent1 8 4 3 6" xfId="34250"/>
    <cellStyle name="20% - Accent1 8 4 4" xfId="4086"/>
    <cellStyle name="20% - Accent1 8 4 4 2" xfId="15852"/>
    <cellStyle name="20% - Accent1 8 4 4 2 2" xfId="27653"/>
    <cellStyle name="20% - Accent1 8 4 4 2 2 2" xfId="60042"/>
    <cellStyle name="20% - Accent1 8 4 4 2 3" xfId="41268"/>
    <cellStyle name="20% - Accent1 8 4 4 3" xfId="9539"/>
    <cellStyle name="20% - Accent1 8 4 4 3 2" xfId="47831"/>
    <cellStyle name="20% - Accent1 8 4 4 4" xfId="21340"/>
    <cellStyle name="20% - Accent1 8 4 4 4 2" xfId="60043"/>
    <cellStyle name="20% - Accent1 8 4 4 5" xfId="34955"/>
    <cellStyle name="20% - Accent1 8 4 5" xfId="2245"/>
    <cellStyle name="20% - Accent1 8 4 5 2" xfId="17212"/>
    <cellStyle name="20% - Accent1 8 4 5 2 2" xfId="29013"/>
    <cellStyle name="20% - Accent1 8 4 5 2 2 2" xfId="60044"/>
    <cellStyle name="20% - Accent1 8 4 5 2 3" xfId="42628"/>
    <cellStyle name="20% - Accent1 8 4 5 3" xfId="7698"/>
    <cellStyle name="20% - Accent1 8 4 5 3 2" xfId="60045"/>
    <cellStyle name="20% - Accent1 8 4 5 4" xfId="19499"/>
    <cellStyle name="20% - Accent1 8 4 5 4 2" xfId="60046"/>
    <cellStyle name="20% - Accent1 8 4 5 5" xfId="33114"/>
    <cellStyle name="20% - Accent1 8 4 6" xfId="15853"/>
    <cellStyle name="20% - Accent1 8 4 6 2" xfId="27654"/>
    <cellStyle name="20% - Accent1 8 4 6 2 2" xfId="60047"/>
    <cellStyle name="20% - Accent1 8 4 6 3" xfId="41269"/>
    <cellStyle name="20% - Accent1 8 4 7" xfId="5798"/>
    <cellStyle name="20% - Accent1 8 4 7 2" xfId="60048"/>
    <cellStyle name="20% - Accent1 8 4 8" xfId="17599"/>
    <cellStyle name="20% - Accent1 8 4 8 2" xfId="60049"/>
    <cellStyle name="20% - Accent1 8 4 9" xfId="31214"/>
    <cellStyle name="20% - Accent1 8 5" xfId="622"/>
    <cellStyle name="20% - Accent1 8 5 2" xfId="1773"/>
    <cellStyle name="20% - Accent1 8 5 2 2" xfId="4364"/>
    <cellStyle name="20% - Accent1 8 5 2 2 2" xfId="15854"/>
    <cellStyle name="20% - Accent1 8 5 2 2 2 2" xfId="27655"/>
    <cellStyle name="20% - Accent1 8 5 2 2 2 2 2" xfId="60050"/>
    <cellStyle name="20% - Accent1 8 5 2 2 2 3" xfId="41270"/>
    <cellStyle name="20% - Accent1 8 5 2 2 3" xfId="9817"/>
    <cellStyle name="20% - Accent1 8 5 2 2 3 2" xfId="47832"/>
    <cellStyle name="20% - Accent1 8 5 2 2 4" xfId="21618"/>
    <cellStyle name="20% - Accent1 8 5 2 2 4 2" xfId="60051"/>
    <cellStyle name="20% - Accent1 8 5 2 2 5" xfId="35233"/>
    <cellStyle name="20% - Accent1 8 5 2 3" xfId="15855"/>
    <cellStyle name="20% - Accent1 8 5 2 3 2" xfId="27656"/>
    <cellStyle name="20% - Accent1 8 5 2 3 2 2" xfId="47833"/>
    <cellStyle name="20% - Accent1 8 5 2 3 3" xfId="30624"/>
    <cellStyle name="20% - Accent1 8 5 2 3 3 2" xfId="47834"/>
    <cellStyle name="20% - Accent1 8 5 2 3 4" xfId="30625"/>
    <cellStyle name="20% - Accent1 8 5 2 3 4 2" xfId="60052"/>
    <cellStyle name="20% - Accent1 8 5 2 3 5" xfId="41271"/>
    <cellStyle name="20% - Accent1 8 5 2 4" xfId="15856"/>
    <cellStyle name="20% - Accent1 8 5 2 4 2" xfId="27657"/>
    <cellStyle name="20% - Accent1 8 5 2 4 2 2" xfId="60053"/>
    <cellStyle name="20% - Accent1 8 5 2 4 3" xfId="41272"/>
    <cellStyle name="20% - Accent1 8 5 2 5" xfId="7227"/>
    <cellStyle name="20% - Accent1 8 5 2 5 2" xfId="47835"/>
    <cellStyle name="20% - Accent1 8 5 2 6" xfId="19028"/>
    <cellStyle name="20% - Accent1 8 5 2 6 2" xfId="60054"/>
    <cellStyle name="20% - Accent1 8 5 2 7" xfId="32643"/>
    <cellStyle name="20% - Accent1 8 5 3" xfId="2523"/>
    <cellStyle name="20% - Accent1 8 5 3 2" xfId="15857"/>
    <cellStyle name="20% - Accent1 8 5 3 2 2" xfId="27658"/>
    <cellStyle name="20% - Accent1 8 5 3 2 2 2" xfId="60055"/>
    <cellStyle name="20% - Accent1 8 5 3 2 3" xfId="41273"/>
    <cellStyle name="20% - Accent1 8 5 3 3" xfId="7976"/>
    <cellStyle name="20% - Accent1 8 5 3 3 2" xfId="47836"/>
    <cellStyle name="20% - Accent1 8 5 3 4" xfId="19777"/>
    <cellStyle name="20% - Accent1 8 5 3 4 2" xfId="60056"/>
    <cellStyle name="20% - Accent1 8 5 3 5" xfId="33392"/>
    <cellStyle name="20% - Accent1 8 5 4" xfId="15858"/>
    <cellStyle name="20% - Accent1 8 5 4 2" xfId="27659"/>
    <cellStyle name="20% - Accent1 8 5 4 2 2" xfId="47837"/>
    <cellStyle name="20% - Accent1 8 5 4 3" xfId="30626"/>
    <cellStyle name="20% - Accent1 8 5 4 3 2" xfId="47838"/>
    <cellStyle name="20% - Accent1 8 5 4 4" xfId="30627"/>
    <cellStyle name="20% - Accent1 8 5 4 4 2" xfId="60057"/>
    <cellStyle name="20% - Accent1 8 5 4 5" xfId="41274"/>
    <cellStyle name="20% - Accent1 8 5 5" xfId="15859"/>
    <cellStyle name="20% - Accent1 8 5 5 2" xfId="27660"/>
    <cellStyle name="20% - Accent1 8 5 5 2 2" xfId="60058"/>
    <cellStyle name="20% - Accent1 8 5 5 3" xfId="41275"/>
    <cellStyle name="20% - Accent1 8 5 6" xfId="6076"/>
    <cellStyle name="20% - Accent1 8 5 6 2" xfId="47839"/>
    <cellStyle name="20% - Accent1 8 5 7" xfId="17877"/>
    <cellStyle name="20% - Accent1 8 5 7 2" xfId="60059"/>
    <cellStyle name="20% - Accent1 8 5 8" xfId="31492"/>
    <cellStyle name="20% - Accent1 8 6" xfId="863"/>
    <cellStyle name="20% - Accent1 8 6 2" xfId="1774"/>
    <cellStyle name="20% - Accent1 8 6 2 2" xfId="4932"/>
    <cellStyle name="20% - Accent1 8 6 2 2 2" xfId="15860"/>
    <cellStyle name="20% - Accent1 8 6 2 2 2 2" xfId="27661"/>
    <cellStyle name="20% - Accent1 8 6 2 2 2 2 2" xfId="60060"/>
    <cellStyle name="20% - Accent1 8 6 2 2 2 3" xfId="41276"/>
    <cellStyle name="20% - Accent1 8 6 2 2 3" xfId="10385"/>
    <cellStyle name="20% - Accent1 8 6 2 2 3 2" xfId="47840"/>
    <cellStyle name="20% - Accent1 8 6 2 2 4" xfId="22186"/>
    <cellStyle name="20% - Accent1 8 6 2 2 4 2" xfId="60061"/>
    <cellStyle name="20% - Accent1 8 6 2 2 5" xfId="35801"/>
    <cellStyle name="20% - Accent1 8 6 2 3" xfId="15861"/>
    <cellStyle name="20% - Accent1 8 6 2 3 2" xfId="27662"/>
    <cellStyle name="20% - Accent1 8 6 2 3 2 2" xfId="47841"/>
    <cellStyle name="20% - Accent1 8 6 2 3 3" xfId="30628"/>
    <cellStyle name="20% - Accent1 8 6 2 3 3 2" xfId="47842"/>
    <cellStyle name="20% - Accent1 8 6 2 3 4" xfId="30629"/>
    <cellStyle name="20% - Accent1 8 6 2 3 4 2" xfId="60062"/>
    <cellStyle name="20% - Accent1 8 6 2 3 5" xfId="41277"/>
    <cellStyle name="20% - Accent1 8 6 2 4" xfId="15862"/>
    <cellStyle name="20% - Accent1 8 6 2 4 2" xfId="27663"/>
    <cellStyle name="20% - Accent1 8 6 2 4 2 2" xfId="60063"/>
    <cellStyle name="20% - Accent1 8 6 2 4 3" xfId="41278"/>
    <cellStyle name="20% - Accent1 8 6 2 5" xfId="7228"/>
    <cellStyle name="20% - Accent1 8 6 2 5 2" xfId="47843"/>
    <cellStyle name="20% - Accent1 8 6 2 6" xfId="19029"/>
    <cellStyle name="20% - Accent1 8 6 2 6 2" xfId="60064"/>
    <cellStyle name="20% - Accent1 8 6 2 7" xfId="32644"/>
    <cellStyle name="20% - Accent1 8 6 3" xfId="3091"/>
    <cellStyle name="20% - Accent1 8 6 3 2" xfId="15863"/>
    <cellStyle name="20% - Accent1 8 6 3 2 2" xfId="27664"/>
    <cellStyle name="20% - Accent1 8 6 3 2 2 2" xfId="60065"/>
    <cellStyle name="20% - Accent1 8 6 3 2 3" xfId="41279"/>
    <cellStyle name="20% - Accent1 8 6 3 3" xfId="8544"/>
    <cellStyle name="20% - Accent1 8 6 3 3 2" xfId="47844"/>
    <cellStyle name="20% - Accent1 8 6 3 4" xfId="20345"/>
    <cellStyle name="20% - Accent1 8 6 3 4 2" xfId="60066"/>
    <cellStyle name="20% - Accent1 8 6 3 5" xfId="33960"/>
    <cellStyle name="20% - Accent1 8 6 4" xfId="15864"/>
    <cellStyle name="20% - Accent1 8 6 4 2" xfId="27665"/>
    <cellStyle name="20% - Accent1 8 6 4 2 2" xfId="47845"/>
    <cellStyle name="20% - Accent1 8 6 4 3" xfId="30630"/>
    <cellStyle name="20% - Accent1 8 6 4 3 2" xfId="47846"/>
    <cellStyle name="20% - Accent1 8 6 4 4" xfId="30631"/>
    <cellStyle name="20% - Accent1 8 6 4 4 2" xfId="60067"/>
    <cellStyle name="20% - Accent1 8 6 4 5" xfId="41280"/>
    <cellStyle name="20% - Accent1 8 6 5" xfId="15865"/>
    <cellStyle name="20% - Accent1 8 6 5 2" xfId="27666"/>
    <cellStyle name="20% - Accent1 8 6 5 2 2" xfId="60068"/>
    <cellStyle name="20% - Accent1 8 6 5 3" xfId="41281"/>
    <cellStyle name="20% - Accent1 8 6 6" xfId="6317"/>
    <cellStyle name="20% - Accent1 8 6 6 2" xfId="47847"/>
    <cellStyle name="20% - Accent1 8 6 7" xfId="18118"/>
    <cellStyle name="20% - Accent1 8 6 7 2" xfId="60069"/>
    <cellStyle name="20% - Accent1 8 6 8" xfId="31733"/>
    <cellStyle name="20% - Accent1 8 7" xfId="1775"/>
    <cellStyle name="20% - Accent1 8 7 2" xfId="3796"/>
    <cellStyle name="20% - Accent1 8 7 2 2" xfId="15866"/>
    <cellStyle name="20% - Accent1 8 7 2 2 2" xfId="27667"/>
    <cellStyle name="20% - Accent1 8 7 2 2 2 2" xfId="60070"/>
    <cellStyle name="20% - Accent1 8 7 2 2 3" xfId="41282"/>
    <cellStyle name="20% - Accent1 8 7 2 3" xfId="9249"/>
    <cellStyle name="20% - Accent1 8 7 2 3 2" xfId="47848"/>
    <cellStyle name="20% - Accent1 8 7 2 4" xfId="21050"/>
    <cellStyle name="20% - Accent1 8 7 2 4 2" xfId="60071"/>
    <cellStyle name="20% - Accent1 8 7 2 5" xfId="34665"/>
    <cellStyle name="20% - Accent1 8 7 3" xfId="15867"/>
    <cellStyle name="20% - Accent1 8 7 3 2" xfId="27668"/>
    <cellStyle name="20% - Accent1 8 7 3 2 2" xfId="47849"/>
    <cellStyle name="20% - Accent1 8 7 3 3" xfId="30632"/>
    <cellStyle name="20% - Accent1 8 7 3 3 2" xfId="47850"/>
    <cellStyle name="20% - Accent1 8 7 3 4" xfId="30633"/>
    <cellStyle name="20% - Accent1 8 7 3 4 2" xfId="60072"/>
    <cellStyle name="20% - Accent1 8 7 3 5" xfId="41283"/>
    <cellStyle name="20% - Accent1 8 7 4" xfId="15868"/>
    <cellStyle name="20% - Accent1 8 7 4 2" xfId="27669"/>
    <cellStyle name="20% - Accent1 8 7 4 2 2" xfId="60073"/>
    <cellStyle name="20% - Accent1 8 7 4 3" xfId="41284"/>
    <cellStyle name="20% - Accent1 8 7 5" xfId="7229"/>
    <cellStyle name="20% - Accent1 8 7 5 2" xfId="47851"/>
    <cellStyle name="20% - Accent1 8 7 6" xfId="19030"/>
    <cellStyle name="20% - Accent1 8 7 6 2" xfId="60074"/>
    <cellStyle name="20% - Accent1 8 7 7" xfId="32645"/>
    <cellStyle name="20% - Accent1 8 8" xfId="3659"/>
    <cellStyle name="20% - Accent1 8 8 2" xfId="15869"/>
    <cellStyle name="20% - Accent1 8 8 2 2" xfId="27670"/>
    <cellStyle name="20% - Accent1 8 8 2 2 2" xfId="60075"/>
    <cellStyle name="20% - Accent1 8 8 2 3" xfId="41285"/>
    <cellStyle name="20% - Accent1 8 8 3" xfId="9112"/>
    <cellStyle name="20% - Accent1 8 8 3 2" xfId="47852"/>
    <cellStyle name="20% - Accent1 8 8 4" xfId="20913"/>
    <cellStyle name="20% - Accent1 8 8 4 2" xfId="60076"/>
    <cellStyle name="20% - Accent1 8 8 5" xfId="34528"/>
    <cellStyle name="20% - Accent1 8 9" xfId="1955"/>
    <cellStyle name="20% - Accent1 8 9 2" xfId="15870"/>
    <cellStyle name="20% - Accent1 8 9 2 2" xfId="27671"/>
    <cellStyle name="20% - Accent1 8 9 2 2 2" xfId="60077"/>
    <cellStyle name="20% - Accent1 8 9 2 3" xfId="41286"/>
    <cellStyle name="20% - Accent1 8 9 3" xfId="7408"/>
    <cellStyle name="20% - Accent1 8 9 3 2" xfId="47853"/>
    <cellStyle name="20% - Accent1 8 9 4" xfId="19209"/>
    <cellStyle name="20% - Accent1 8 9 4 2" xfId="60078"/>
    <cellStyle name="20% - Accent1 8 9 5" xfId="32824"/>
    <cellStyle name="20% - Accent1 9" xfId="69"/>
    <cellStyle name="20% - Accent1 9 10" xfId="5523"/>
    <cellStyle name="20% - Accent1 9 10 2" xfId="47854"/>
    <cellStyle name="20% - Accent1 9 11" xfId="17324"/>
    <cellStyle name="20% - Accent1 9 11 2" xfId="60079"/>
    <cellStyle name="20% - Accent1 9 12" xfId="30939"/>
    <cellStyle name="20% - Accent1 9 2" xfId="496"/>
    <cellStyle name="20% - Accent1 9 2 2" xfId="1776"/>
    <cellStyle name="20% - Accent1 9 2 2 2" xfId="4806"/>
    <cellStyle name="20% - Accent1 9 2 2 2 2" xfId="15871"/>
    <cellStyle name="20% - Accent1 9 2 2 2 2 2" xfId="27672"/>
    <cellStyle name="20% - Accent1 9 2 2 2 2 2 2" xfId="60080"/>
    <cellStyle name="20% - Accent1 9 2 2 2 2 3" xfId="41287"/>
    <cellStyle name="20% - Accent1 9 2 2 2 3" xfId="10259"/>
    <cellStyle name="20% - Accent1 9 2 2 2 3 2" xfId="47855"/>
    <cellStyle name="20% - Accent1 9 2 2 2 4" xfId="22060"/>
    <cellStyle name="20% - Accent1 9 2 2 2 4 2" xfId="60081"/>
    <cellStyle name="20% - Accent1 9 2 2 2 5" xfId="35675"/>
    <cellStyle name="20% - Accent1 9 2 2 3" xfId="2965"/>
    <cellStyle name="20% - Accent1 9 2 2 3 2" xfId="15872"/>
    <cellStyle name="20% - Accent1 9 2 2 3 2 2" xfId="27673"/>
    <cellStyle name="20% - Accent1 9 2 2 3 2 2 2" xfId="60082"/>
    <cellStyle name="20% - Accent1 9 2 2 3 2 3" xfId="41288"/>
    <cellStyle name="20% - Accent1 9 2 2 3 3" xfId="8418"/>
    <cellStyle name="20% - Accent1 9 2 2 3 3 2" xfId="47856"/>
    <cellStyle name="20% - Accent1 9 2 2 3 4" xfId="20219"/>
    <cellStyle name="20% - Accent1 9 2 2 3 4 2" xfId="60083"/>
    <cellStyle name="20% - Accent1 9 2 2 3 5" xfId="33834"/>
    <cellStyle name="20% - Accent1 9 2 2 4" xfId="15873"/>
    <cellStyle name="20% - Accent1 9 2 2 4 2" xfId="27674"/>
    <cellStyle name="20% - Accent1 9 2 2 4 2 2" xfId="60084"/>
    <cellStyle name="20% - Accent1 9 2 2 4 3" xfId="41289"/>
    <cellStyle name="20% - Accent1 9 2 2 5" xfId="7230"/>
    <cellStyle name="20% - Accent1 9 2 2 5 2" xfId="47857"/>
    <cellStyle name="20% - Accent1 9 2 2 6" xfId="19031"/>
    <cellStyle name="20% - Accent1 9 2 2 6 2" xfId="60085"/>
    <cellStyle name="20% - Accent1 9 2 2 7" xfId="32646"/>
    <cellStyle name="20% - Accent1 9 2 3" xfId="3533"/>
    <cellStyle name="20% - Accent1 9 2 3 2" xfId="5374"/>
    <cellStyle name="20% - Accent1 9 2 3 2 2" xfId="16844"/>
    <cellStyle name="20% - Accent1 9 2 3 2 2 2" xfId="28645"/>
    <cellStyle name="20% - Accent1 9 2 3 2 2 2 2" xfId="60086"/>
    <cellStyle name="20% - Accent1 9 2 3 2 2 3" xfId="42260"/>
    <cellStyle name="20% - Accent1 9 2 3 2 3" xfId="10827"/>
    <cellStyle name="20% - Accent1 9 2 3 2 3 2" xfId="60087"/>
    <cellStyle name="20% - Accent1 9 2 3 2 4" xfId="22628"/>
    <cellStyle name="20% - Accent1 9 2 3 2 4 2" xfId="60088"/>
    <cellStyle name="20% - Accent1 9 2 3 2 5" xfId="36243"/>
    <cellStyle name="20% - Accent1 9 2 3 3" xfId="15874"/>
    <cellStyle name="20% - Accent1 9 2 3 3 2" xfId="27675"/>
    <cellStyle name="20% - Accent1 9 2 3 3 2 2" xfId="60089"/>
    <cellStyle name="20% - Accent1 9 2 3 3 3" xfId="41290"/>
    <cellStyle name="20% - Accent1 9 2 3 4" xfId="8986"/>
    <cellStyle name="20% - Accent1 9 2 3 4 2" xfId="60090"/>
    <cellStyle name="20% - Accent1 9 2 3 5" xfId="20787"/>
    <cellStyle name="20% - Accent1 9 2 3 5 2" xfId="60091"/>
    <cellStyle name="20% - Accent1 9 2 3 6" xfId="34402"/>
    <cellStyle name="20% - Accent1 9 2 4" xfId="4238"/>
    <cellStyle name="20% - Accent1 9 2 4 2" xfId="15875"/>
    <cellStyle name="20% - Accent1 9 2 4 2 2" xfId="27676"/>
    <cellStyle name="20% - Accent1 9 2 4 2 2 2" xfId="60092"/>
    <cellStyle name="20% - Accent1 9 2 4 2 3" xfId="41291"/>
    <cellStyle name="20% - Accent1 9 2 4 3" xfId="9691"/>
    <cellStyle name="20% - Accent1 9 2 4 3 2" xfId="47858"/>
    <cellStyle name="20% - Accent1 9 2 4 4" xfId="21492"/>
    <cellStyle name="20% - Accent1 9 2 4 4 2" xfId="60093"/>
    <cellStyle name="20% - Accent1 9 2 4 5" xfId="35107"/>
    <cellStyle name="20% - Accent1 9 2 5" xfId="2397"/>
    <cellStyle name="20% - Accent1 9 2 5 2" xfId="17213"/>
    <cellStyle name="20% - Accent1 9 2 5 2 2" xfId="29014"/>
    <cellStyle name="20% - Accent1 9 2 5 2 2 2" xfId="60094"/>
    <cellStyle name="20% - Accent1 9 2 5 2 3" xfId="42629"/>
    <cellStyle name="20% - Accent1 9 2 5 3" xfId="7850"/>
    <cellStyle name="20% - Accent1 9 2 5 3 2" xfId="60095"/>
    <cellStyle name="20% - Accent1 9 2 5 4" xfId="19651"/>
    <cellStyle name="20% - Accent1 9 2 5 4 2" xfId="60096"/>
    <cellStyle name="20% - Accent1 9 2 5 5" xfId="33266"/>
    <cellStyle name="20% - Accent1 9 2 6" xfId="15876"/>
    <cellStyle name="20% - Accent1 9 2 6 2" xfId="27677"/>
    <cellStyle name="20% - Accent1 9 2 6 2 2" xfId="60097"/>
    <cellStyle name="20% - Accent1 9 2 6 3" xfId="41292"/>
    <cellStyle name="20% - Accent1 9 2 7" xfId="5950"/>
    <cellStyle name="20% - Accent1 9 2 7 2" xfId="60098"/>
    <cellStyle name="20% - Accent1 9 2 8" xfId="17751"/>
    <cellStyle name="20% - Accent1 9 2 8 2" xfId="60099"/>
    <cellStyle name="20% - Accent1 9 2 9" xfId="31366"/>
    <cellStyle name="20% - Accent1 9 3" xfId="359"/>
    <cellStyle name="20% - Accent1 9 3 2" xfId="1777"/>
    <cellStyle name="20% - Accent1 9 3 2 2" xfId="4669"/>
    <cellStyle name="20% - Accent1 9 3 2 2 2" xfId="15877"/>
    <cellStyle name="20% - Accent1 9 3 2 2 2 2" xfId="27678"/>
    <cellStyle name="20% - Accent1 9 3 2 2 2 2 2" xfId="60100"/>
    <cellStyle name="20% - Accent1 9 3 2 2 2 3" xfId="41293"/>
    <cellStyle name="20% - Accent1 9 3 2 2 3" xfId="10122"/>
    <cellStyle name="20% - Accent1 9 3 2 2 3 2" xfId="47859"/>
    <cellStyle name="20% - Accent1 9 3 2 2 4" xfId="21923"/>
    <cellStyle name="20% - Accent1 9 3 2 2 4 2" xfId="60101"/>
    <cellStyle name="20% - Accent1 9 3 2 2 5" xfId="35538"/>
    <cellStyle name="20% - Accent1 9 3 2 3" xfId="2828"/>
    <cellStyle name="20% - Accent1 9 3 2 3 2" xfId="15878"/>
    <cellStyle name="20% - Accent1 9 3 2 3 2 2" xfId="27679"/>
    <cellStyle name="20% - Accent1 9 3 2 3 2 2 2" xfId="60102"/>
    <cellStyle name="20% - Accent1 9 3 2 3 2 3" xfId="41294"/>
    <cellStyle name="20% - Accent1 9 3 2 3 3" xfId="8281"/>
    <cellStyle name="20% - Accent1 9 3 2 3 3 2" xfId="47860"/>
    <cellStyle name="20% - Accent1 9 3 2 3 4" xfId="20082"/>
    <cellStyle name="20% - Accent1 9 3 2 3 4 2" xfId="60103"/>
    <cellStyle name="20% - Accent1 9 3 2 3 5" xfId="33697"/>
    <cellStyle name="20% - Accent1 9 3 2 4" xfId="15879"/>
    <cellStyle name="20% - Accent1 9 3 2 4 2" xfId="27680"/>
    <cellStyle name="20% - Accent1 9 3 2 4 2 2" xfId="60104"/>
    <cellStyle name="20% - Accent1 9 3 2 4 3" xfId="41295"/>
    <cellStyle name="20% - Accent1 9 3 2 5" xfId="7231"/>
    <cellStyle name="20% - Accent1 9 3 2 5 2" xfId="47861"/>
    <cellStyle name="20% - Accent1 9 3 2 6" xfId="19032"/>
    <cellStyle name="20% - Accent1 9 3 2 6 2" xfId="60105"/>
    <cellStyle name="20% - Accent1 9 3 2 7" xfId="32647"/>
    <cellStyle name="20% - Accent1 9 3 3" xfId="3396"/>
    <cellStyle name="20% - Accent1 9 3 3 2" xfId="5237"/>
    <cellStyle name="20% - Accent1 9 3 3 2 2" xfId="16707"/>
    <cellStyle name="20% - Accent1 9 3 3 2 2 2" xfId="28508"/>
    <cellStyle name="20% - Accent1 9 3 3 2 2 2 2" xfId="60106"/>
    <cellStyle name="20% - Accent1 9 3 3 2 2 3" xfId="42123"/>
    <cellStyle name="20% - Accent1 9 3 3 2 3" xfId="10690"/>
    <cellStyle name="20% - Accent1 9 3 3 2 3 2" xfId="60107"/>
    <cellStyle name="20% - Accent1 9 3 3 2 4" xfId="22491"/>
    <cellStyle name="20% - Accent1 9 3 3 2 4 2" xfId="60108"/>
    <cellStyle name="20% - Accent1 9 3 3 2 5" xfId="36106"/>
    <cellStyle name="20% - Accent1 9 3 3 3" xfId="15880"/>
    <cellStyle name="20% - Accent1 9 3 3 3 2" xfId="27681"/>
    <cellStyle name="20% - Accent1 9 3 3 3 2 2" xfId="60109"/>
    <cellStyle name="20% - Accent1 9 3 3 3 3" xfId="41296"/>
    <cellStyle name="20% - Accent1 9 3 3 4" xfId="8849"/>
    <cellStyle name="20% - Accent1 9 3 3 4 2" xfId="60110"/>
    <cellStyle name="20% - Accent1 9 3 3 5" xfId="20650"/>
    <cellStyle name="20% - Accent1 9 3 3 5 2" xfId="60111"/>
    <cellStyle name="20% - Accent1 9 3 3 6" xfId="34265"/>
    <cellStyle name="20% - Accent1 9 3 4" xfId="4101"/>
    <cellStyle name="20% - Accent1 9 3 4 2" xfId="15881"/>
    <cellStyle name="20% - Accent1 9 3 4 2 2" xfId="27682"/>
    <cellStyle name="20% - Accent1 9 3 4 2 2 2" xfId="60112"/>
    <cellStyle name="20% - Accent1 9 3 4 2 3" xfId="41297"/>
    <cellStyle name="20% - Accent1 9 3 4 3" xfId="9554"/>
    <cellStyle name="20% - Accent1 9 3 4 3 2" xfId="47862"/>
    <cellStyle name="20% - Accent1 9 3 4 4" xfId="21355"/>
    <cellStyle name="20% - Accent1 9 3 4 4 2" xfId="60113"/>
    <cellStyle name="20% - Accent1 9 3 4 5" xfId="34970"/>
    <cellStyle name="20% - Accent1 9 3 5" xfId="2260"/>
    <cellStyle name="20% - Accent1 9 3 5 2" xfId="17214"/>
    <cellStyle name="20% - Accent1 9 3 5 2 2" xfId="29015"/>
    <cellStyle name="20% - Accent1 9 3 5 2 2 2" xfId="60114"/>
    <cellStyle name="20% - Accent1 9 3 5 2 3" xfId="42630"/>
    <cellStyle name="20% - Accent1 9 3 5 3" xfId="7713"/>
    <cellStyle name="20% - Accent1 9 3 5 3 2" xfId="60115"/>
    <cellStyle name="20% - Accent1 9 3 5 4" xfId="19514"/>
    <cellStyle name="20% - Accent1 9 3 5 4 2" xfId="60116"/>
    <cellStyle name="20% - Accent1 9 3 5 5" xfId="33129"/>
    <cellStyle name="20% - Accent1 9 3 6" xfId="15882"/>
    <cellStyle name="20% - Accent1 9 3 6 2" xfId="27683"/>
    <cellStyle name="20% - Accent1 9 3 6 2 2" xfId="60117"/>
    <cellStyle name="20% - Accent1 9 3 6 3" xfId="41298"/>
    <cellStyle name="20% - Accent1 9 3 7" xfId="5813"/>
    <cellStyle name="20% - Accent1 9 3 7 2" xfId="60118"/>
    <cellStyle name="20% - Accent1 9 3 8" xfId="17614"/>
    <cellStyle name="20% - Accent1 9 3 8 2" xfId="60119"/>
    <cellStyle name="20% - Accent1 9 3 9" xfId="31229"/>
    <cellStyle name="20% - Accent1 9 4" xfId="637"/>
    <cellStyle name="20% - Accent1 9 4 2" xfId="1778"/>
    <cellStyle name="20% - Accent1 9 4 2 2" xfId="4379"/>
    <cellStyle name="20% - Accent1 9 4 2 2 2" xfId="15883"/>
    <cellStyle name="20% - Accent1 9 4 2 2 2 2" xfId="27684"/>
    <cellStyle name="20% - Accent1 9 4 2 2 2 2 2" xfId="60120"/>
    <cellStyle name="20% - Accent1 9 4 2 2 2 3" xfId="41299"/>
    <cellStyle name="20% - Accent1 9 4 2 2 3" xfId="9832"/>
    <cellStyle name="20% - Accent1 9 4 2 2 3 2" xfId="47863"/>
    <cellStyle name="20% - Accent1 9 4 2 2 4" xfId="21633"/>
    <cellStyle name="20% - Accent1 9 4 2 2 4 2" xfId="60121"/>
    <cellStyle name="20% - Accent1 9 4 2 2 5" xfId="35248"/>
    <cellStyle name="20% - Accent1 9 4 2 3" xfId="15884"/>
    <cellStyle name="20% - Accent1 9 4 2 3 2" xfId="27685"/>
    <cellStyle name="20% - Accent1 9 4 2 3 2 2" xfId="47864"/>
    <cellStyle name="20% - Accent1 9 4 2 3 3" xfId="30634"/>
    <cellStyle name="20% - Accent1 9 4 2 3 3 2" xfId="47865"/>
    <cellStyle name="20% - Accent1 9 4 2 3 4" xfId="30635"/>
    <cellStyle name="20% - Accent1 9 4 2 3 4 2" xfId="60122"/>
    <cellStyle name="20% - Accent1 9 4 2 3 5" xfId="41300"/>
    <cellStyle name="20% - Accent1 9 4 2 4" xfId="15885"/>
    <cellStyle name="20% - Accent1 9 4 2 4 2" xfId="27686"/>
    <cellStyle name="20% - Accent1 9 4 2 4 2 2" xfId="60123"/>
    <cellStyle name="20% - Accent1 9 4 2 4 3" xfId="41301"/>
    <cellStyle name="20% - Accent1 9 4 2 5" xfId="7232"/>
    <cellStyle name="20% - Accent1 9 4 2 5 2" xfId="47866"/>
    <cellStyle name="20% - Accent1 9 4 2 6" xfId="19033"/>
    <cellStyle name="20% - Accent1 9 4 2 6 2" xfId="60124"/>
    <cellStyle name="20% - Accent1 9 4 2 7" xfId="32648"/>
    <cellStyle name="20% - Accent1 9 4 3" xfId="2538"/>
    <cellStyle name="20% - Accent1 9 4 3 2" xfId="15886"/>
    <cellStyle name="20% - Accent1 9 4 3 2 2" xfId="27687"/>
    <cellStyle name="20% - Accent1 9 4 3 2 2 2" xfId="60125"/>
    <cellStyle name="20% - Accent1 9 4 3 2 3" xfId="41302"/>
    <cellStyle name="20% - Accent1 9 4 3 3" xfId="7991"/>
    <cellStyle name="20% - Accent1 9 4 3 3 2" xfId="47867"/>
    <cellStyle name="20% - Accent1 9 4 3 4" xfId="19792"/>
    <cellStyle name="20% - Accent1 9 4 3 4 2" xfId="60126"/>
    <cellStyle name="20% - Accent1 9 4 3 5" xfId="33407"/>
    <cellStyle name="20% - Accent1 9 4 4" xfId="15887"/>
    <cellStyle name="20% - Accent1 9 4 4 2" xfId="27688"/>
    <cellStyle name="20% - Accent1 9 4 4 2 2" xfId="47868"/>
    <cellStyle name="20% - Accent1 9 4 4 3" xfId="30636"/>
    <cellStyle name="20% - Accent1 9 4 4 3 2" xfId="47869"/>
    <cellStyle name="20% - Accent1 9 4 4 4" xfId="30637"/>
    <cellStyle name="20% - Accent1 9 4 4 4 2" xfId="60127"/>
    <cellStyle name="20% - Accent1 9 4 4 5" xfId="41303"/>
    <cellStyle name="20% - Accent1 9 4 5" xfId="15888"/>
    <cellStyle name="20% - Accent1 9 4 5 2" xfId="27689"/>
    <cellStyle name="20% - Accent1 9 4 5 2 2" xfId="60128"/>
    <cellStyle name="20% - Accent1 9 4 5 3" xfId="41304"/>
    <cellStyle name="20% - Accent1 9 4 6" xfId="6091"/>
    <cellStyle name="20% - Accent1 9 4 6 2" xfId="47870"/>
    <cellStyle name="20% - Accent1 9 4 7" xfId="17892"/>
    <cellStyle name="20% - Accent1 9 4 7 2" xfId="60129"/>
    <cellStyle name="20% - Accent1 9 4 8" xfId="31507"/>
    <cellStyle name="20% - Accent1 9 5" xfId="878"/>
    <cellStyle name="20% - Accent1 9 5 2" xfId="1779"/>
    <cellStyle name="20% - Accent1 9 5 2 2" xfId="4947"/>
    <cellStyle name="20% - Accent1 9 5 2 2 2" xfId="15889"/>
    <cellStyle name="20% - Accent1 9 5 2 2 2 2" xfId="27690"/>
    <cellStyle name="20% - Accent1 9 5 2 2 2 2 2" xfId="60130"/>
    <cellStyle name="20% - Accent1 9 5 2 2 2 3" xfId="41305"/>
    <cellStyle name="20% - Accent1 9 5 2 2 3" xfId="10400"/>
    <cellStyle name="20% - Accent1 9 5 2 2 3 2" xfId="47871"/>
    <cellStyle name="20% - Accent1 9 5 2 2 4" xfId="22201"/>
    <cellStyle name="20% - Accent1 9 5 2 2 4 2" xfId="60131"/>
    <cellStyle name="20% - Accent1 9 5 2 2 5" xfId="35816"/>
    <cellStyle name="20% - Accent1 9 5 2 3" xfId="15890"/>
    <cellStyle name="20% - Accent1 9 5 2 3 2" xfId="27691"/>
    <cellStyle name="20% - Accent1 9 5 2 3 2 2" xfId="47872"/>
    <cellStyle name="20% - Accent1 9 5 2 3 3" xfId="30638"/>
    <cellStyle name="20% - Accent1 9 5 2 3 3 2" xfId="47873"/>
    <cellStyle name="20% - Accent1 9 5 2 3 4" xfId="30639"/>
    <cellStyle name="20% - Accent1 9 5 2 3 4 2" xfId="60132"/>
    <cellStyle name="20% - Accent1 9 5 2 3 5" xfId="41306"/>
    <cellStyle name="20% - Accent1 9 5 2 4" xfId="15891"/>
    <cellStyle name="20% - Accent1 9 5 2 4 2" xfId="27692"/>
    <cellStyle name="20% - Accent1 9 5 2 4 2 2" xfId="60133"/>
    <cellStyle name="20% - Accent1 9 5 2 4 3" xfId="41307"/>
    <cellStyle name="20% - Accent1 9 5 2 5" xfId="7233"/>
    <cellStyle name="20% - Accent1 9 5 2 5 2" xfId="47874"/>
    <cellStyle name="20% - Accent1 9 5 2 6" xfId="19034"/>
    <cellStyle name="20% - Accent1 9 5 2 6 2" xfId="60134"/>
    <cellStyle name="20% - Accent1 9 5 2 7" xfId="32649"/>
    <cellStyle name="20% - Accent1 9 5 3" xfId="3106"/>
    <cellStyle name="20% - Accent1 9 5 3 2" xfId="15892"/>
    <cellStyle name="20% - Accent1 9 5 3 2 2" xfId="27693"/>
    <cellStyle name="20% - Accent1 9 5 3 2 2 2" xfId="60135"/>
    <cellStyle name="20% - Accent1 9 5 3 2 3" xfId="41308"/>
    <cellStyle name="20% - Accent1 9 5 3 3" xfId="8559"/>
    <cellStyle name="20% - Accent1 9 5 3 3 2" xfId="47875"/>
    <cellStyle name="20% - Accent1 9 5 3 4" xfId="20360"/>
    <cellStyle name="20% - Accent1 9 5 3 4 2" xfId="60136"/>
    <cellStyle name="20% - Accent1 9 5 3 5" xfId="33975"/>
    <cellStyle name="20% - Accent1 9 5 4" xfId="15893"/>
    <cellStyle name="20% - Accent1 9 5 4 2" xfId="27694"/>
    <cellStyle name="20% - Accent1 9 5 4 2 2" xfId="47876"/>
    <cellStyle name="20% - Accent1 9 5 4 3" xfId="30640"/>
    <cellStyle name="20% - Accent1 9 5 4 3 2" xfId="47877"/>
    <cellStyle name="20% - Accent1 9 5 4 4" xfId="30641"/>
    <cellStyle name="20% - Accent1 9 5 4 4 2" xfId="60137"/>
    <cellStyle name="20% - Accent1 9 5 4 5" xfId="41309"/>
    <cellStyle name="20% - Accent1 9 5 5" xfId="15894"/>
    <cellStyle name="20% - Accent1 9 5 5 2" xfId="27695"/>
    <cellStyle name="20% - Accent1 9 5 5 2 2" xfId="60138"/>
    <cellStyle name="20% - Accent1 9 5 5 3" xfId="41310"/>
    <cellStyle name="20% - Accent1 9 5 6" xfId="6332"/>
    <cellStyle name="20% - Accent1 9 5 6 2" xfId="47878"/>
    <cellStyle name="20% - Accent1 9 5 7" xfId="18133"/>
    <cellStyle name="20% - Accent1 9 5 7 2" xfId="60139"/>
    <cellStyle name="20% - Accent1 9 5 8" xfId="31748"/>
    <cellStyle name="20% - Accent1 9 6" xfId="1780"/>
    <cellStyle name="20% - Accent1 9 6 2" xfId="3811"/>
    <cellStyle name="20% - Accent1 9 6 2 2" xfId="15895"/>
    <cellStyle name="20% - Accent1 9 6 2 2 2" xfId="27696"/>
    <cellStyle name="20% - Accent1 9 6 2 2 2 2" xfId="60140"/>
    <cellStyle name="20% - Accent1 9 6 2 2 3" xfId="41311"/>
    <cellStyle name="20% - Accent1 9 6 2 3" xfId="9264"/>
    <cellStyle name="20% - Accent1 9 6 2 3 2" xfId="47879"/>
    <cellStyle name="20% - Accent1 9 6 2 4" xfId="21065"/>
    <cellStyle name="20% - Accent1 9 6 2 4 2" xfId="60141"/>
    <cellStyle name="20% - Accent1 9 6 2 5" xfId="34680"/>
    <cellStyle name="20% - Accent1 9 6 3" xfId="15896"/>
    <cellStyle name="20% - Accent1 9 6 3 2" xfId="27697"/>
    <cellStyle name="20% - Accent1 9 6 3 2 2" xfId="47880"/>
    <cellStyle name="20% - Accent1 9 6 3 3" xfId="30642"/>
    <cellStyle name="20% - Accent1 9 6 3 3 2" xfId="47881"/>
    <cellStyle name="20% - Accent1 9 6 3 4" xfId="30643"/>
    <cellStyle name="20% - Accent1 9 6 3 4 2" xfId="60142"/>
    <cellStyle name="20% - Accent1 9 6 3 5" xfId="41312"/>
    <cellStyle name="20% - Accent1 9 6 4" xfId="15897"/>
    <cellStyle name="20% - Accent1 9 6 4 2" xfId="27698"/>
    <cellStyle name="20% - Accent1 9 6 4 2 2" xfId="60143"/>
    <cellStyle name="20% - Accent1 9 6 4 3" xfId="41313"/>
    <cellStyle name="20% - Accent1 9 6 5" xfId="7234"/>
    <cellStyle name="20% - Accent1 9 6 5 2" xfId="47882"/>
    <cellStyle name="20% - Accent1 9 6 6" xfId="19035"/>
    <cellStyle name="20% - Accent1 9 6 6 2" xfId="60144"/>
    <cellStyle name="20% - Accent1 9 6 7" xfId="32650"/>
    <cellStyle name="20% - Accent1 9 7" xfId="3674"/>
    <cellStyle name="20% - Accent1 9 7 2" xfId="15898"/>
    <cellStyle name="20% - Accent1 9 7 2 2" xfId="27699"/>
    <cellStyle name="20% - Accent1 9 7 2 2 2" xfId="60145"/>
    <cellStyle name="20% - Accent1 9 7 2 3" xfId="41314"/>
    <cellStyle name="20% - Accent1 9 7 3" xfId="9127"/>
    <cellStyle name="20% - Accent1 9 7 3 2" xfId="47883"/>
    <cellStyle name="20% - Accent1 9 7 4" xfId="20928"/>
    <cellStyle name="20% - Accent1 9 7 4 2" xfId="60146"/>
    <cellStyle name="20% - Accent1 9 7 5" xfId="34543"/>
    <cellStyle name="20% - Accent1 9 8" xfId="1970"/>
    <cellStyle name="20% - Accent1 9 8 2" xfId="15899"/>
    <cellStyle name="20% - Accent1 9 8 2 2" xfId="27700"/>
    <cellStyle name="20% - Accent1 9 8 2 2 2" xfId="60147"/>
    <cellStyle name="20% - Accent1 9 8 2 3" xfId="41315"/>
    <cellStyle name="20% - Accent1 9 8 3" xfId="7423"/>
    <cellStyle name="20% - Accent1 9 8 3 2" xfId="47884"/>
    <cellStyle name="20% - Accent1 9 8 4" xfId="19224"/>
    <cellStyle name="20% - Accent1 9 8 4 2" xfId="60148"/>
    <cellStyle name="20% - Accent1 9 8 5" xfId="32839"/>
    <cellStyle name="20% - Accent1 9 9" xfId="15900"/>
    <cellStyle name="20% - Accent1 9 9 2" xfId="27701"/>
    <cellStyle name="20% - Accent1 9 9 2 2" xfId="60149"/>
    <cellStyle name="20% - Accent1 9 9 3" xfId="41316"/>
    <cellStyle name="Dezimal [0]_IWD_2004_wk04 Regression Test Allocation_ results_consolidated_20040130" xfId="61800"/>
    <cellStyle name="Dezimal_IWD_2004_wk04 Regression Test Allocation_ results_consolidated_20040130" xfId="61801"/>
    <cellStyle name="Hyperlink 2" xfId="61798"/>
    <cellStyle name="New Change" xfId="61802"/>
    <cellStyle name="New Change 2" xfId="61794"/>
    <cellStyle name="Normal" xfId="0" builtinId="0"/>
    <cellStyle name="Normal 10" xfId="61846"/>
    <cellStyle name="Normal 11" xfId="61866"/>
    <cellStyle name="Normal 2" xfId="12"/>
    <cellStyle name="Normal 2 10" xfId="580"/>
    <cellStyle name="Normal 2 10 2" xfId="1781"/>
    <cellStyle name="Normal 2 10 2 2" xfId="4322"/>
    <cellStyle name="Normal 2 10 2 2 2" xfId="15901"/>
    <cellStyle name="Normal 2 10 2 2 2 2" xfId="27702"/>
    <cellStyle name="Normal 2 10 2 2 2 2 2" xfId="60150"/>
    <cellStyle name="Normal 2 10 2 2 2 3" xfId="41317"/>
    <cellStyle name="Normal 2 10 2 2 3" xfId="9775"/>
    <cellStyle name="Normal 2 10 2 2 3 2" xfId="47885"/>
    <cellStyle name="Normal 2 10 2 2 4" xfId="21576"/>
    <cellStyle name="Normal 2 10 2 2 4 2" xfId="60151"/>
    <cellStyle name="Normal 2 10 2 2 5" xfId="35191"/>
    <cellStyle name="Normal 2 10 2 3" xfId="15902"/>
    <cellStyle name="Normal 2 10 2 3 2" xfId="27703"/>
    <cellStyle name="Normal 2 10 2 3 2 2" xfId="47886"/>
    <cellStyle name="Normal 2 10 2 3 3" xfId="30644"/>
    <cellStyle name="Normal 2 10 2 3 3 2" xfId="47887"/>
    <cellStyle name="Normal 2 10 2 3 4" xfId="30645"/>
    <cellStyle name="Normal 2 10 2 3 4 2" xfId="60152"/>
    <cellStyle name="Normal 2 10 2 3 5" xfId="41318"/>
    <cellStyle name="Normal 2 10 2 4" xfId="15903"/>
    <cellStyle name="Normal 2 10 2 4 2" xfId="27704"/>
    <cellStyle name="Normal 2 10 2 4 2 2" xfId="60153"/>
    <cellStyle name="Normal 2 10 2 4 3" xfId="41319"/>
    <cellStyle name="Normal 2 10 2 5" xfId="7235"/>
    <cellStyle name="Normal 2 10 2 5 2" xfId="47888"/>
    <cellStyle name="Normal 2 10 2 6" xfId="19036"/>
    <cellStyle name="Normal 2 10 2 6 2" xfId="60154"/>
    <cellStyle name="Normal 2 10 2 7" xfId="32651"/>
    <cellStyle name="Normal 2 10 3" xfId="2481"/>
    <cellStyle name="Normal 2 10 3 2" xfId="15904"/>
    <cellStyle name="Normal 2 10 3 2 2" xfId="27705"/>
    <cellStyle name="Normal 2 10 3 2 2 2" xfId="60155"/>
    <cellStyle name="Normal 2 10 3 2 3" xfId="41320"/>
    <cellStyle name="Normal 2 10 3 3" xfId="7934"/>
    <cellStyle name="Normal 2 10 3 3 2" xfId="47889"/>
    <cellStyle name="Normal 2 10 3 4" xfId="19735"/>
    <cellStyle name="Normal 2 10 3 4 2" xfId="60156"/>
    <cellStyle name="Normal 2 10 3 5" xfId="33350"/>
    <cellStyle name="Normal 2 10 4" xfId="15905"/>
    <cellStyle name="Normal 2 10 4 2" xfId="27706"/>
    <cellStyle name="Normal 2 10 4 2 2" xfId="47890"/>
    <cellStyle name="Normal 2 10 4 3" xfId="30646"/>
    <cellStyle name="Normal 2 10 4 3 2" xfId="47891"/>
    <cellStyle name="Normal 2 10 4 4" xfId="30647"/>
    <cellStyle name="Normal 2 10 4 4 2" xfId="60157"/>
    <cellStyle name="Normal 2 10 4 5" xfId="41321"/>
    <cellStyle name="Normal 2 10 5" xfId="15906"/>
    <cellStyle name="Normal 2 10 5 2" xfId="27707"/>
    <cellStyle name="Normal 2 10 5 2 2" xfId="60158"/>
    <cellStyle name="Normal 2 10 5 3" xfId="41322"/>
    <cellStyle name="Normal 2 10 6" xfId="6034"/>
    <cellStyle name="Normal 2 10 6 2" xfId="47892"/>
    <cellStyle name="Normal 2 10 7" xfId="17835"/>
    <cellStyle name="Normal 2 10 7 2" xfId="60159"/>
    <cellStyle name="Normal 2 10 8" xfId="31450"/>
    <cellStyle name="Normal 2 11" xfId="821"/>
    <cellStyle name="Normal 2 11 2" xfId="1782"/>
    <cellStyle name="Normal 2 11 2 2" xfId="4890"/>
    <cellStyle name="Normal 2 11 2 2 2" xfId="15907"/>
    <cellStyle name="Normal 2 11 2 2 2 2" xfId="27708"/>
    <cellStyle name="Normal 2 11 2 2 2 2 2" xfId="60160"/>
    <cellStyle name="Normal 2 11 2 2 2 3" xfId="41323"/>
    <cellStyle name="Normal 2 11 2 2 3" xfId="10343"/>
    <cellStyle name="Normal 2 11 2 2 3 2" xfId="47893"/>
    <cellStyle name="Normal 2 11 2 2 4" xfId="22144"/>
    <cellStyle name="Normal 2 11 2 2 4 2" xfId="60161"/>
    <cellStyle name="Normal 2 11 2 2 5" xfId="35759"/>
    <cellStyle name="Normal 2 11 2 3" xfId="15908"/>
    <cellStyle name="Normal 2 11 2 3 2" xfId="27709"/>
    <cellStyle name="Normal 2 11 2 3 2 2" xfId="47894"/>
    <cellStyle name="Normal 2 11 2 3 3" xfId="30648"/>
    <cellStyle name="Normal 2 11 2 3 3 2" xfId="47895"/>
    <cellStyle name="Normal 2 11 2 3 4" xfId="30649"/>
    <cellStyle name="Normal 2 11 2 3 4 2" xfId="60162"/>
    <cellStyle name="Normal 2 11 2 3 5" xfId="41324"/>
    <cellStyle name="Normal 2 11 2 4" xfId="15909"/>
    <cellStyle name="Normal 2 11 2 4 2" xfId="27710"/>
    <cellStyle name="Normal 2 11 2 4 2 2" xfId="60163"/>
    <cellStyle name="Normal 2 11 2 4 3" xfId="41325"/>
    <cellStyle name="Normal 2 11 2 5" xfId="7236"/>
    <cellStyle name="Normal 2 11 2 5 2" xfId="47896"/>
    <cellStyle name="Normal 2 11 2 6" xfId="19037"/>
    <cellStyle name="Normal 2 11 2 6 2" xfId="60164"/>
    <cellStyle name="Normal 2 11 2 7" xfId="32652"/>
    <cellStyle name="Normal 2 11 3" xfId="3049"/>
    <cellStyle name="Normal 2 11 3 2" xfId="15910"/>
    <cellStyle name="Normal 2 11 3 2 2" xfId="27711"/>
    <cellStyle name="Normal 2 11 3 2 2 2" xfId="60165"/>
    <cellStyle name="Normal 2 11 3 2 3" xfId="41326"/>
    <cellStyle name="Normal 2 11 3 3" xfId="8502"/>
    <cellStyle name="Normal 2 11 3 3 2" xfId="47897"/>
    <cellStyle name="Normal 2 11 3 4" xfId="20303"/>
    <cellStyle name="Normal 2 11 3 4 2" xfId="60166"/>
    <cellStyle name="Normal 2 11 3 5" xfId="33918"/>
    <cellStyle name="Normal 2 11 4" xfId="15911"/>
    <cellStyle name="Normal 2 11 4 2" xfId="27712"/>
    <cellStyle name="Normal 2 11 4 2 2" xfId="47898"/>
    <cellStyle name="Normal 2 11 4 3" xfId="30650"/>
    <cellStyle name="Normal 2 11 4 3 2" xfId="47899"/>
    <cellStyle name="Normal 2 11 4 4" xfId="30651"/>
    <cellStyle name="Normal 2 11 4 4 2" xfId="60167"/>
    <cellStyle name="Normal 2 11 4 5" xfId="41327"/>
    <cellStyle name="Normal 2 11 5" xfId="15912"/>
    <cellStyle name="Normal 2 11 5 2" xfId="27713"/>
    <cellStyle name="Normal 2 11 5 2 2" xfId="60168"/>
    <cellStyle name="Normal 2 11 5 3" xfId="41328"/>
    <cellStyle name="Normal 2 11 6" xfId="6275"/>
    <cellStyle name="Normal 2 11 6 2" xfId="47900"/>
    <cellStyle name="Normal 2 11 7" xfId="18076"/>
    <cellStyle name="Normal 2 11 7 2" xfId="60169"/>
    <cellStyle name="Normal 2 11 8" xfId="31691"/>
    <cellStyle name="Normal 2 12" xfId="1783"/>
    <cellStyle name="Normal 2 12 2" xfId="3754"/>
    <cellStyle name="Normal 2 12 2 2" xfId="15913"/>
    <cellStyle name="Normal 2 12 2 2 2" xfId="27714"/>
    <cellStyle name="Normal 2 12 2 2 2 2" xfId="60170"/>
    <cellStyle name="Normal 2 12 2 2 3" xfId="41329"/>
    <cellStyle name="Normal 2 12 2 3" xfId="9207"/>
    <cellStyle name="Normal 2 12 2 3 2" xfId="47901"/>
    <cellStyle name="Normal 2 12 2 4" xfId="21008"/>
    <cellStyle name="Normal 2 12 2 4 2" xfId="60171"/>
    <cellStyle name="Normal 2 12 2 5" xfId="34623"/>
    <cellStyle name="Normal 2 12 3" xfId="15914"/>
    <cellStyle name="Normal 2 12 3 2" xfId="27715"/>
    <cellStyle name="Normal 2 12 3 2 2" xfId="47902"/>
    <cellStyle name="Normal 2 12 3 3" xfId="30652"/>
    <cellStyle name="Normal 2 12 3 3 2" xfId="47903"/>
    <cellStyle name="Normal 2 12 3 4" xfId="30653"/>
    <cellStyle name="Normal 2 12 3 4 2" xfId="60172"/>
    <cellStyle name="Normal 2 12 3 5" xfId="41330"/>
    <cellStyle name="Normal 2 12 4" xfId="15915"/>
    <cellStyle name="Normal 2 12 4 2" xfId="27716"/>
    <cellStyle name="Normal 2 12 4 2 2" xfId="60173"/>
    <cellStyle name="Normal 2 12 4 3" xfId="41331"/>
    <cellStyle name="Normal 2 12 5" xfId="7237"/>
    <cellStyle name="Normal 2 12 5 2" xfId="47904"/>
    <cellStyle name="Normal 2 12 6" xfId="19038"/>
    <cellStyle name="Normal 2 12 6 2" xfId="60174"/>
    <cellStyle name="Normal 2 12 7" xfId="32653"/>
    <cellStyle name="Normal 2 13" xfId="3617"/>
    <cellStyle name="Normal 2 13 2" xfId="15916"/>
    <cellStyle name="Normal 2 13 2 2" xfId="27717"/>
    <cellStyle name="Normal 2 13 2 2 2" xfId="60175"/>
    <cellStyle name="Normal 2 13 2 3" xfId="41332"/>
    <cellStyle name="Normal 2 13 3" xfId="9070"/>
    <cellStyle name="Normal 2 13 3 2" xfId="47905"/>
    <cellStyle name="Normal 2 13 4" xfId="20871"/>
    <cellStyle name="Normal 2 13 4 2" xfId="60176"/>
    <cellStyle name="Normal 2 13 5" xfId="34486"/>
    <cellStyle name="Normal 2 14" xfId="1913"/>
    <cellStyle name="Normal 2 14 2" xfId="15917"/>
    <cellStyle name="Normal 2 14 2 2" xfId="27718"/>
    <cellStyle name="Normal 2 14 2 2 2" xfId="60177"/>
    <cellStyle name="Normal 2 14 2 3" xfId="41333"/>
    <cellStyle name="Normal 2 14 3" xfId="7366"/>
    <cellStyle name="Normal 2 14 3 2" xfId="47906"/>
    <cellStyle name="Normal 2 14 4" xfId="19167"/>
    <cellStyle name="Normal 2 14 4 2" xfId="60178"/>
    <cellStyle name="Normal 2 14 5" xfId="32782"/>
    <cellStyle name="Normal 2 15" xfId="15918"/>
    <cellStyle name="Normal 2 15 2" xfId="27719"/>
    <cellStyle name="Normal 2 15 2 2" xfId="60179"/>
    <cellStyle name="Normal 2 15 3" xfId="41334"/>
    <cellStyle name="Normal 2 16" xfId="5466"/>
    <cellStyle name="Normal 2 16 2" xfId="47907"/>
    <cellStyle name="Normal 2 17" xfId="17267"/>
    <cellStyle name="Normal 2 17 2" xfId="60180"/>
    <cellStyle name="Normal 2 18" xfId="30882"/>
    <cellStyle name="Normal 2 19" xfId="61796"/>
    <cellStyle name="Normal 2 2" xfId="37"/>
    <cellStyle name="Normal 2 2 10" xfId="1938"/>
    <cellStyle name="Normal 2 2 10 2" xfId="15919"/>
    <cellStyle name="Normal 2 2 10 2 2" xfId="27720"/>
    <cellStyle name="Normal 2 2 10 2 2 2" xfId="60181"/>
    <cellStyle name="Normal 2 2 10 2 3" xfId="41335"/>
    <cellStyle name="Normal 2 2 10 3" xfId="7391"/>
    <cellStyle name="Normal 2 2 10 3 2" xfId="47908"/>
    <cellStyle name="Normal 2 2 10 4" xfId="19192"/>
    <cellStyle name="Normal 2 2 10 4 2" xfId="60182"/>
    <cellStyle name="Normal 2 2 10 5" xfId="32807"/>
    <cellStyle name="Normal 2 2 11" xfId="15920"/>
    <cellStyle name="Normal 2 2 11 2" xfId="27721"/>
    <cellStyle name="Normal 2 2 11 2 2" xfId="60183"/>
    <cellStyle name="Normal 2 2 11 3" xfId="41336"/>
    <cellStyle name="Normal 2 2 12" xfId="5491"/>
    <cellStyle name="Normal 2 2 12 2" xfId="47909"/>
    <cellStyle name="Normal 2 2 13" xfId="17292"/>
    <cellStyle name="Normal 2 2 13 2" xfId="60184"/>
    <cellStyle name="Normal 2 2 14" xfId="30907"/>
    <cellStyle name="Normal 2 2 15" xfId="61803"/>
    <cellStyle name="Normal 2 2 16" xfId="61865"/>
    <cellStyle name="Normal 2 2 2" xfId="104"/>
    <cellStyle name="Normal 2 2 2 10" xfId="5558"/>
    <cellStyle name="Normal 2 2 2 10 2" xfId="47910"/>
    <cellStyle name="Normal 2 2 2 11" xfId="17359"/>
    <cellStyle name="Normal 2 2 2 11 2" xfId="60185"/>
    <cellStyle name="Normal 2 2 2 12" xfId="30974"/>
    <cellStyle name="Normal 2 2 2 2" xfId="234"/>
    <cellStyle name="Normal 2 2 2 2 10" xfId="31104"/>
    <cellStyle name="Normal 2 2 2 2 2" xfId="531"/>
    <cellStyle name="Normal 2 2 2 2 2 2" xfId="1784"/>
    <cellStyle name="Normal 2 2 2 2 2 2 2" xfId="4841"/>
    <cellStyle name="Normal 2 2 2 2 2 2 2 2" xfId="15921"/>
    <cellStyle name="Normal 2 2 2 2 2 2 2 2 2" xfId="27722"/>
    <cellStyle name="Normal 2 2 2 2 2 2 2 2 2 2" xfId="60186"/>
    <cellStyle name="Normal 2 2 2 2 2 2 2 2 3" xfId="41337"/>
    <cellStyle name="Normal 2 2 2 2 2 2 2 3" xfId="10294"/>
    <cellStyle name="Normal 2 2 2 2 2 2 2 3 2" xfId="47911"/>
    <cellStyle name="Normal 2 2 2 2 2 2 2 4" xfId="22095"/>
    <cellStyle name="Normal 2 2 2 2 2 2 2 4 2" xfId="60187"/>
    <cellStyle name="Normal 2 2 2 2 2 2 2 5" xfId="35710"/>
    <cellStyle name="Normal 2 2 2 2 2 2 3" xfId="3000"/>
    <cellStyle name="Normal 2 2 2 2 2 2 3 2" xfId="15922"/>
    <cellStyle name="Normal 2 2 2 2 2 2 3 2 2" xfId="27723"/>
    <cellStyle name="Normal 2 2 2 2 2 2 3 2 2 2" xfId="60188"/>
    <cellStyle name="Normal 2 2 2 2 2 2 3 2 3" xfId="41338"/>
    <cellStyle name="Normal 2 2 2 2 2 2 3 3" xfId="8453"/>
    <cellStyle name="Normal 2 2 2 2 2 2 3 3 2" xfId="47912"/>
    <cellStyle name="Normal 2 2 2 2 2 2 3 4" xfId="20254"/>
    <cellStyle name="Normal 2 2 2 2 2 2 3 4 2" xfId="60189"/>
    <cellStyle name="Normal 2 2 2 2 2 2 3 5" xfId="33869"/>
    <cellStyle name="Normal 2 2 2 2 2 2 4" xfId="15923"/>
    <cellStyle name="Normal 2 2 2 2 2 2 4 2" xfId="27724"/>
    <cellStyle name="Normal 2 2 2 2 2 2 4 2 2" xfId="60190"/>
    <cellStyle name="Normal 2 2 2 2 2 2 4 3" xfId="41339"/>
    <cellStyle name="Normal 2 2 2 2 2 2 5" xfId="7238"/>
    <cellStyle name="Normal 2 2 2 2 2 2 5 2" xfId="47913"/>
    <cellStyle name="Normal 2 2 2 2 2 2 6" xfId="19039"/>
    <cellStyle name="Normal 2 2 2 2 2 2 6 2" xfId="60191"/>
    <cellStyle name="Normal 2 2 2 2 2 2 7" xfId="32654"/>
    <cellStyle name="Normal 2 2 2 2 2 3" xfId="3568"/>
    <cellStyle name="Normal 2 2 2 2 2 3 2" xfId="5409"/>
    <cellStyle name="Normal 2 2 2 2 2 3 2 2" xfId="16879"/>
    <cellStyle name="Normal 2 2 2 2 2 3 2 2 2" xfId="28680"/>
    <cellStyle name="Normal 2 2 2 2 2 3 2 2 2 2" xfId="60192"/>
    <cellStyle name="Normal 2 2 2 2 2 3 2 2 3" xfId="42295"/>
    <cellStyle name="Normal 2 2 2 2 2 3 2 3" xfId="10862"/>
    <cellStyle name="Normal 2 2 2 2 2 3 2 3 2" xfId="60193"/>
    <cellStyle name="Normal 2 2 2 2 2 3 2 4" xfId="22663"/>
    <cellStyle name="Normal 2 2 2 2 2 3 2 4 2" xfId="60194"/>
    <cellStyle name="Normal 2 2 2 2 2 3 2 5" xfId="36278"/>
    <cellStyle name="Normal 2 2 2 2 2 3 3" xfId="15924"/>
    <cellStyle name="Normal 2 2 2 2 2 3 3 2" xfId="27725"/>
    <cellStyle name="Normal 2 2 2 2 2 3 3 2 2" xfId="60195"/>
    <cellStyle name="Normal 2 2 2 2 2 3 3 3" xfId="41340"/>
    <cellStyle name="Normal 2 2 2 2 2 3 4" xfId="9021"/>
    <cellStyle name="Normal 2 2 2 2 2 3 4 2" xfId="60196"/>
    <cellStyle name="Normal 2 2 2 2 2 3 5" xfId="20822"/>
    <cellStyle name="Normal 2 2 2 2 2 3 5 2" xfId="60197"/>
    <cellStyle name="Normal 2 2 2 2 2 3 6" xfId="34437"/>
    <cellStyle name="Normal 2 2 2 2 2 4" xfId="4273"/>
    <cellStyle name="Normal 2 2 2 2 2 4 2" xfId="15925"/>
    <cellStyle name="Normal 2 2 2 2 2 4 2 2" xfId="27726"/>
    <cellStyle name="Normal 2 2 2 2 2 4 2 2 2" xfId="60198"/>
    <cellStyle name="Normal 2 2 2 2 2 4 2 3" xfId="41341"/>
    <cellStyle name="Normal 2 2 2 2 2 4 3" xfId="9726"/>
    <cellStyle name="Normal 2 2 2 2 2 4 3 2" xfId="47914"/>
    <cellStyle name="Normal 2 2 2 2 2 4 4" xfId="21527"/>
    <cellStyle name="Normal 2 2 2 2 2 4 4 2" xfId="60199"/>
    <cellStyle name="Normal 2 2 2 2 2 4 5" xfId="35142"/>
    <cellStyle name="Normal 2 2 2 2 2 5" xfId="2432"/>
    <cellStyle name="Normal 2 2 2 2 2 5 2" xfId="17215"/>
    <cellStyle name="Normal 2 2 2 2 2 5 2 2" xfId="29016"/>
    <cellStyle name="Normal 2 2 2 2 2 5 2 2 2" xfId="60200"/>
    <cellStyle name="Normal 2 2 2 2 2 5 2 3" xfId="42631"/>
    <cellStyle name="Normal 2 2 2 2 2 5 3" xfId="7885"/>
    <cellStyle name="Normal 2 2 2 2 2 5 3 2" xfId="60201"/>
    <cellStyle name="Normal 2 2 2 2 2 5 4" xfId="19686"/>
    <cellStyle name="Normal 2 2 2 2 2 5 4 2" xfId="60202"/>
    <cellStyle name="Normal 2 2 2 2 2 5 5" xfId="33301"/>
    <cellStyle name="Normal 2 2 2 2 2 6" xfId="15926"/>
    <cellStyle name="Normal 2 2 2 2 2 6 2" xfId="27727"/>
    <cellStyle name="Normal 2 2 2 2 2 6 2 2" xfId="60203"/>
    <cellStyle name="Normal 2 2 2 2 2 6 3" xfId="41342"/>
    <cellStyle name="Normal 2 2 2 2 2 7" xfId="5985"/>
    <cellStyle name="Normal 2 2 2 2 2 7 2" xfId="60204"/>
    <cellStyle name="Normal 2 2 2 2 2 8" xfId="17786"/>
    <cellStyle name="Normal 2 2 2 2 2 8 2" xfId="60205"/>
    <cellStyle name="Normal 2 2 2 2 2 9" xfId="31401"/>
    <cellStyle name="Normal 2 2 2 2 3" xfId="802"/>
    <cellStyle name="Normal 2 2 2 2 3 2" xfId="1785"/>
    <cellStyle name="Normal 2 2 2 2 3 2 2" xfId="4544"/>
    <cellStyle name="Normal 2 2 2 2 3 2 2 2" xfId="15927"/>
    <cellStyle name="Normal 2 2 2 2 3 2 2 2 2" xfId="27728"/>
    <cellStyle name="Normal 2 2 2 2 3 2 2 2 2 2" xfId="60206"/>
    <cellStyle name="Normal 2 2 2 2 3 2 2 2 3" xfId="41343"/>
    <cellStyle name="Normal 2 2 2 2 3 2 2 3" xfId="9997"/>
    <cellStyle name="Normal 2 2 2 2 3 2 2 3 2" xfId="47915"/>
    <cellStyle name="Normal 2 2 2 2 3 2 2 4" xfId="21798"/>
    <cellStyle name="Normal 2 2 2 2 3 2 2 4 2" xfId="60207"/>
    <cellStyle name="Normal 2 2 2 2 3 2 2 5" xfId="35413"/>
    <cellStyle name="Normal 2 2 2 2 3 2 3" xfId="15928"/>
    <cellStyle name="Normal 2 2 2 2 3 2 3 2" xfId="27729"/>
    <cellStyle name="Normal 2 2 2 2 3 2 3 2 2" xfId="47916"/>
    <cellStyle name="Normal 2 2 2 2 3 2 3 3" xfId="30654"/>
    <cellStyle name="Normal 2 2 2 2 3 2 3 3 2" xfId="47917"/>
    <cellStyle name="Normal 2 2 2 2 3 2 3 4" xfId="30655"/>
    <cellStyle name="Normal 2 2 2 2 3 2 3 4 2" xfId="60208"/>
    <cellStyle name="Normal 2 2 2 2 3 2 3 5" xfId="41344"/>
    <cellStyle name="Normal 2 2 2 2 3 2 4" xfId="15929"/>
    <cellStyle name="Normal 2 2 2 2 3 2 4 2" xfId="27730"/>
    <cellStyle name="Normal 2 2 2 2 3 2 4 2 2" xfId="60209"/>
    <cellStyle name="Normal 2 2 2 2 3 2 4 3" xfId="41345"/>
    <cellStyle name="Normal 2 2 2 2 3 2 5" xfId="7239"/>
    <cellStyle name="Normal 2 2 2 2 3 2 5 2" xfId="47918"/>
    <cellStyle name="Normal 2 2 2 2 3 2 6" xfId="19040"/>
    <cellStyle name="Normal 2 2 2 2 3 2 6 2" xfId="60210"/>
    <cellStyle name="Normal 2 2 2 2 3 2 7" xfId="32655"/>
    <cellStyle name="Normal 2 2 2 2 3 3" xfId="2703"/>
    <cellStyle name="Normal 2 2 2 2 3 3 2" xfId="15930"/>
    <cellStyle name="Normal 2 2 2 2 3 3 2 2" xfId="27731"/>
    <cellStyle name="Normal 2 2 2 2 3 3 2 2 2" xfId="60211"/>
    <cellStyle name="Normal 2 2 2 2 3 3 2 3" xfId="41346"/>
    <cellStyle name="Normal 2 2 2 2 3 3 3" xfId="8156"/>
    <cellStyle name="Normal 2 2 2 2 3 3 3 2" xfId="47919"/>
    <cellStyle name="Normal 2 2 2 2 3 3 4" xfId="19957"/>
    <cellStyle name="Normal 2 2 2 2 3 3 4 2" xfId="60212"/>
    <cellStyle name="Normal 2 2 2 2 3 3 5" xfId="33572"/>
    <cellStyle name="Normal 2 2 2 2 3 4" xfId="15931"/>
    <cellStyle name="Normal 2 2 2 2 3 4 2" xfId="27732"/>
    <cellStyle name="Normal 2 2 2 2 3 4 2 2" xfId="47920"/>
    <cellStyle name="Normal 2 2 2 2 3 4 3" xfId="30656"/>
    <cellStyle name="Normal 2 2 2 2 3 4 3 2" xfId="47921"/>
    <cellStyle name="Normal 2 2 2 2 3 4 4" xfId="30657"/>
    <cellStyle name="Normal 2 2 2 2 3 4 4 2" xfId="60213"/>
    <cellStyle name="Normal 2 2 2 2 3 4 5" xfId="41347"/>
    <cellStyle name="Normal 2 2 2 2 3 5" xfId="15932"/>
    <cellStyle name="Normal 2 2 2 2 3 5 2" xfId="27733"/>
    <cellStyle name="Normal 2 2 2 2 3 5 2 2" xfId="60214"/>
    <cellStyle name="Normal 2 2 2 2 3 5 3" xfId="41348"/>
    <cellStyle name="Normal 2 2 2 2 3 6" xfId="6256"/>
    <cellStyle name="Normal 2 2 2 2 3 6 2" xfId="47922"/>
    <cellStyle name="Normal 2 2 2 2 3 7" xfId="18057"/>
    <cellStyle name="Normal 2 2 2 2 3 7 2" xfId="60215"/>
    <cellStyle name="Normal 2 2 2 2 3 8" xfId="31672"/>
    <cellStyle name="Normal 2 2 2 2 4" xfId="1786"/>
    <cellStyle name="Normal 2 2 2 2 4 2" xfId="5112"/>
    <cellStyle name="Normal 2 2 2 2 4 2 2" xfId="15933"/>
    <cellStyle name="Normal 2 2 2 2 4 2 2 2" xfId="27734"/>
    <cellStyle name="Normal 2 2 2 2 4 2 2 2 2" xfId="60216"/>
    <cellStyle name="Normal 2 2 2 2 4 2 2 3" xfId="41349"/>
    <cellStyle name="Normal 2 2 2 2 4 2 3" xfId="10565"/>
    <cellStyle name="Normal 2 2 2 2 4 2 3 2" xfId="47923"/>
    <cellStyle name="Normal 2 2 2 2 4 2 4" xfId="22366"/>
    <cellStyle name="Normal 2 2 2 2 4 2 4 2" xfId="60217"/>
    <cellStyle name="Normal 2 2 2 2 4 2 5" xfId="35981"/>
    <cellStyle name="Normal 2 2 2 2 4 3" xfId="3271"/>
    <cellStyle name="Normal 2 2 2 2 4 3 2" xfId="15934"/>
    <cellStyle name="Normal 2 2 2 2 4 3 2 2" xfId="27735"/>
    <cellStyle name="Normal 2 2 2 2 4 3 2 2 2" xfId="60218"/>
    <cellStyle name="Normal 2 2 2 2 4 3 2 3" xfId="41350"/>
    <cellStyle name="Normal 2 2 2 2 4 3 3" xfId="8724"/>
    <cellStyle name="Normal 2 2 2 2 4 3 3 2" xfId="47924"/>
    <cellStyle name="Normal 2 2 2 2 4 3 4" xfId="20525"/>
    <cellStyle name="Normal 2 2 2 2 4 3 4 2" xfId="60219"/>
    <cellStyle name="Normal 2 2 2 2 4 3 5" xfId="34140"/>
    <cellStyle name="Normal 2 2 2 2 4 4" xfId="15935"/>
    <cellStyle name="Normal 2 2 2 2 4 4 2" xfId="27736"/>
    <cellStyle name="Normal 2 2 2 2 4 4 2 2" xfId="60220"/>
    <cellStyle name="Normal 2 2 2 2 4 4 3" xfId="41351"/>
    <cellStyle name="Normal 2 2 2 2 4 5" xfId="7240"/>
    <cellStyle name="Normal 2 2 2 2 4 5 2" xfId="47925"/>
    <cellStyle name="Normal 2 2 2 2 4 6" xfId="19041"/>
    <cellStyle name="Normal 2 2 2 2 4 6 2" xfId="60221"/>
    <cellStyle name="Normal 2 2 2 2 4 7" xfId="32656"/>
    <cellStyle name="Normal 2 2 2 2 5" xfId="3976"/>
    <cellStyle name="Normal 2 2 2 2 5 2" xfId="15936"/>
    <cellStyle name="Normal 2 2 2 2 5 2 2" xfId="27737"/>
    <cellStyle name="Normal 2 2 2 2 5 2 2 2" xfId="60222"/>
    <cellStyle name="Normal 2 2 2 2 5 2 3" xfId="41352"/>
    <cellStyle name="Normal 2 2 2 2 5 3" xfId="9429"/>
    <cellStyle name="Normal 2 2 2 2 5 3 2" xfId="47926"/>
    <cellStyle name="Normal 2 2 2 2 5 4" xfId="21230"/>
    <cellStyle name="Normal 2 2 2 2 5 4 2" xfId="60223"/>
    <cellStyle name="Normal 2 2 2 2 5 5" xfId="34845"/>
    <cellStyle name="Normal 2 2 2 2 6" xfId="2135"/>
    <cellStyle name="Normal 2 2 2 2 6 2" xfId="15937"/>
    <cellStyle name="Normal 2 2 2 2 6 2 2" xfId="27738"/>
    <cellStyle name="Normal 2 2 2 2 6 2 2 2" xfId="60224"/>
    <cellStyle name="Normal 2 2 2 2 6 2 3" xfId="41353"/>
    <cellStyle name="Normal 2 2 2 2 6 3" xfId="7588"/>
    <cellStyle name="Normal 2 2 2 2 6 3 2" xfId="47927"/>
    <cellStyle name="Normal 2 2 2 2 6 4" xfId="19389"/>
    <cellStyle name="Normal 2 2 2 2 6 4 2" xfId="60225"/>
    <cellStyle name="Normal 2 2 2 2 6 5" xfId="33004"/>
    <cellStyle name="Normal 2 2 2 2 7" xfId="15938"/>
    <cellStyle name="Normal 2 2 2 2 7 2" xfId="27739"/>
    <cellStyle name="Normal 2 2 2 2 7 2 2" xfId="60226"/>
    <cellStyle name="Normal 2 2 2 2 7 3" xfId="41354"/>
    <cellStyle name="Normal 2 2 2 2 8" xfId="5688"/>
    <cellStyle name="Normal 2 2 2 2 8 2" xfId="47928"/>
    <cellStyle name="Normal 2 2 2 2 9" xfId="17489"/>
    <cellStyle name="Normal 2 2 2 2 9 2" xfId="60227"/>
    <cellStyle name="Normal 2 2 2 3" xfId="394"/>
    <cellStyle name="Normal 2 2 2 3 2" xfId="1787"/>
    <cellStyle name="Normal 2 2 2 3 2 2" xfId="4704"/>
    <cellStyle name="Normal 2 2 2 3 2 2 2" xfId="15939"/>
    <cellStyle name="Normal 2 2 2 3 2 2 2 2" xfId="27740"/>
    <cellStyle name="Normal 2 2 2 3 2 2 2 2 2" xfId="60228"/>
    <cellStyle name="Normal 2 2 2 3 2 2 2 3" xfId="41355"/>
    <cellStyle name="Normal 2 2 2 3 2 2 3" xfId="10157"/>
    <cellStyle name="Normal 2 2 2 3 2 2 3 2" xfId="47929"/>
    <cellStyle name="Normal 2 2 2 3 2 2 4" xfId="21958"/>
    <cellStyle name="Normal 2 2 2 3 2 2 4 2" xfId="60229"/>
    <cellStyle name="Normal 2 2 2 3 2 2 5" xfId="35573"/>
    <cellStyle name="Normal 2 2 2 3 2 3" xfId="2863"/>
    <cellStyle name="Normal 2 2 2 3 2 3 2" xfId="15940"/>
    <cellStyle name="Normal 2 2 2 3 2 3 2 2" xfId="27741"/>
    <cellStyle name="Normal 2 2 2 3 2 3 2 2 2" xfId="60230"/>
    <cellStyle name="Normal 2 2 2 3 2 3 2 3" xfId="41356"/>
    <cellStyle name="Normal 2 2 2 3 2 3 3" xfId="8316"/>
    <cellStyle name="Normal 2 2 2 3 2 3 3 2" xfId="47930"/>
    <cellStyle name="Normal 2 2 2 3 2 3 4" xfId="20117"/>
    <cellStyle name="Normal 2 2 2 3 2 3 4 2" xfId="60231"/>
    <cellStyle name="Normal 2 2 2 3 2 3 5" xfId="33732"/>
    <cellStyle name="Normal 2 2 2 3 2 4" xfId="15941"/>
    <cellStyle name="Normal 2 2 2 3 2 4 2" xfId="27742"/>
    <cellStyle name="Normal 2 2 2 3 2 4 2 2" xfId="60232"/>
    <cellStyle name="Normal 2 2 2 3 2 4 3" xfId="41357"/>
    <cellStyle name="Normal 2 2 2 3 2 5" xfId="7241"/>
    <cellStyle name="Normal 2 2 2 3 2 5 2" xfId="47931"/>
    <cellStyle name="Normal 2 2 2 3 2 6" xfId="19042"/>
    <cellStyle name="Normal 2 2 2 3 2 6 2" xfId="60233"/>
    <cellStyle name="Normal 2 2 2 3 2 7" xfId="32657"/>
    <cellStyle name="Normal 2 2 2 3 3" xfId="3431"/>
    <cellStyle name="Normal 2 2 2 3 3 2" xfId="5272"/>
    <cellStyle name="Normal 2 2 2 3 3 2 2" xfId="16742"/>
    <cellStyle name="Normal 2 2 2 3 3 2 2 2" xfId="28543"/>
    <cellStyle name="Normal 2 2 2 3 3 2 2 2 2" xfId="60234"/>
    <cellStyle name="Normal 2 2 2 3 3 2 2 3" xfId="42158"/>
    <cellStyle name="Normal 2 2 2 3 3 2 3" xfId="10725"/>
    <cellStyle name="Normal 2 2 2 3 3 2 3 2" xfId="60235"/>
    <cellStyle name="Normal 2 2 2 3 3 2 4" xfId="22526"/>
    <cellStyle name="Normal 2 2 2 3 3 2 4 2" xfId="60236"/>
    <cellStyle name="Normal 2 2 2 3 3 2 5" xfId="36141"/>
    <cellStyle name="Normal 2 2 2 3 3 3" xfId="15942"/>
    <cellStyle name="Normal 2 2 2 3 3 3 2" xfId="27743"/>
    <cellStyle name="Normal 2 2 2 3 3 3 2 2" xfId="60237"/>
    <cellStyle name="Normal 2 2 2 3 3 3 3" xfId="41358"/>
    <cellStyle name="Normal 2 2 2 3 3 4" xfId="8884"/>
    <cellStyle name="Normal 2 2 2 3 3 4 2" xfId="60238"/>
    <cellStyle name="Normal 2 2 2 3 3 5" xfId="20685"/>
    <cellStyle name="Normal 2 2 2 3 3 5 2" xfId="60239"/>
    <cellStyle name="Normal 2 2 2 3 3 6" xfId="34300"/>
    <cellStyle name="Normal 2 2 2 3 4" xfId="4136"/>
    <cellStyle name="Normal 2 2 2 3 4 2" xfId="15943"/>
    <cellStyle name="Normal 2 2 2 3 4 2 2" xfId="27744"/>
    <cellStyle name="Normal 2 2 2 3 4 2 2 2" xfId="60240"/>
    <cellStyle name="Normal 2 2 2 3 4 2 3" xfId="41359"/>
    <cellStyle name="Normal 2 2 2 3 4 3" xfId="9589"/>
    <cellStyle name="Normal 2 2 2 3 4 3 2" xfId="47932"/>
    <cellStyle name="Normal 2 2 2 3 4 4" xfId="21390"/>
    <cellStyle name="Normal 2 2 2 3 4 4 2" xfId="60241"/>
    <cellStyle name="Normal 2 2 2 3 4 5" xfId="35005"/>
    <cellStyle name="Normal 2 2 2 3 5" xfId="2295"/>
    <cellStyle name="Normal 2 2 2 3 5 2" xfId="17216"/>
    <cellStyle name="Normal 2 2 2 3 5 2 2" xfId="29017"/>
    <cellStyle name="Normal 2 2 2 3 5 2 2 2" xfId="60242"/>
    <cellStyle name="Normal 2 2 2 3 5 2 3" xfId="42632"/>
    <cellStyle name="Normal 2 2 2 3 5 3" xfId="7748"/>
    <cellStyle name="Normal 2 2 2 3 5 3 2" xfId="60243"/>
    <cellStyle name="Normal 2 2 2 3 5 4" xfId="19549"/>
    <cellStyle name="Normal 2 2 2 3 5 4 2" xfId="60244"/>
    <cellStyle name="Normal 2 2 2 3 5 5" xfId="33164"/>
    <cellStyle name="Normal 2 2 2 3 6" xfId="15944"/>
    <cellStyle name="Normal 2 2 2 3 6 2" xfId="27745"/>
    <cellStyle name="Normal 2 2 2 3 6 2 2" xfId="60245"/>
    <cellStyle name="Normal 2 2 2 3 6 3" xfId="41360"/>
    <cellStyle name="Normal 2 2 2 3 7" xfId="5848"/>
    <cellStyle name="Normal 2 2 2 3 7 2" xfId="60246"/>
    <cellStyle name="Normal 2 2 2 3 8" xfId="17649"/>
    <cellStyle name="Normal 2 2 2 3 8 2" xfId="60247"/>
    <cellStyle name="Normal 2 2 2 3 9" xfId="31264"/>
    <cellStyle name="Normal 2 2 2 4" xfId="672"/>
    <cellStyle name="Normal 2 2 2 4 2" xfId="1788"/>
    <cellStyle name="Normal 2 2 2 4 2 2" xfId="4414"/>
    <cellStyle name="Normal 2 2 2 4 2 2 2" xfId="15945"/>
    <cellStyle name="Normal 2 2 2 4 2 2 2 2" xfId="27746"/>
    <cellStyle name="Normal 2 2 2 4 2 2 2 2 2" xfId="60248"/>
    <cellStyle name="Normal 2 2 2 4 2 2 2 3" xfId="41361"/>
    <cellStyle name="Normal 2 2 2 4 2 2 3" xfId="9867"/>
    <cellStyle name="Normal 2 2 2 4 2 2 3 2" xfId="47933"/>
    <cellStyle name="Normal 2 2 2 4 2 2 4" xfId="21668"/>
    <cellStyle name="Normal 2 2 2 4 2 2 4 2" xfId="60249"/>
    <cellStyle name="Normal 2 2 2 4 2 2 5" xfId="35283"/>
    <cellStyle name="Normal 2 2 2 4 2 3" xfId="15946"/>
    <cellStyle name="Normal 2 2 2 4 2 3 2" xfId="27747"/>
    <cellStyle name="Normal 2 2 2 4 2 3 2 2" xfId="47934"/>
    <cellStyle name="Normal 2 2 2 4 2 3 3" xfId="30658"/>
    <cellStyle name="Normal 2 2 2 4 2 3 3 2" xfId="47935"/>
    <cellStyle name="Normal 2 2 2 4 2 3 4" xfId="30659"/>
    <cellStyle name="Normal 2 2 2 4 2 3 4 2" xfId="60250"/>
    <cellStyle name="Normal 2 2 2 4 2 3 5" xfId="41362"/>
    <cellStyle name="Normal 2 2 2 4 2 4" xfId="15947"/>
    <cellStyle name="Normal 2 2 2 4 2 4 2" xfId="27748"/>
    <cellStyle name="Normal 2 2 2 4 2 4 2 2" xfId="60251"/>
    <cellStyle name="Normal 2 2 2 4 2 4 3" xfId="41363"/>
    <cellStyle name="Normal 2 2 2 4 2 5" xfId="7242"/>
    <cellStyle name="Normal 2 2 2 4 2 5 2" xfId="47936"/>
    <cellStyle name="Normal 2 2 2 4 2 6" xfId="19043"/>
    <cellStyle name="Normal 2 2 2 4 2 6 2" xfId="60252"/>
    <cellStyle name="Normal 2 2 2 4 2 7" xfId="32658"/>
    <cellStyle name="Normal 2 2 2 4 3" xfId="2573"/>
    <cellStyle name="Normal 2 2 2 4 3 2" xfId="15948"/>
    <cellStyle name="Normal 2 2 2 4 3 2 2" xfId="27749"/>
    <cellStyle name="Normal 2 2 2 4 3 2 2 2" xfId="60253"/>
    <cellStyle name="Normal 2 2 2 4 3 2 3" xfId="41364"/>
    <cellStyle name="Normal 2 2 2 4 3 3" xfId="8026"/>
    <cellStyle name="Normal 2 2 2 4 3 3 2" xfId="47937"/>
    <cellStyle name="Normal 2 2 2 4 3 4" xfId="19827"/>
    <cellStyle name="Normal 2 2 2 4 3 4 2" xfId="60254"/>
    <cellStyle name="Normal 2 2 2 4 3 5" xfId="33442"/>
    <cellStyle name="Normal 2 2 2 4 4" xfId="15949"/>
    <cellStyle name="Normal 2 2 2 4 4 2" xfId="27750"/>
    <cellStyle name="Normal 2 2 2 4 4 2 2" xfId="47938"/>
    <cellStyle name="Normal 2 2 2 4 4 3" xfId="30660"/>
    <cellStyle name="Normal 2 2 2 4 4 3 2" xfId="47939"/>
    <cellStyle name="Normal 2 2 2 4 4 4" xfId="30661"/>
    <cellStyle name="Normal 2 2 2 4 4 4 2" xfId="60255"/>
    <cellStyle name="Normal 2 2 2 4 4 5" xfId="41365"/>
    <cellStyle name="Normal 2 2 2 4 5" xfId="15950"/>
    <cellStyle name="Normal 2 2 2 4 5 2" xfId="27751"/>
    <cellStyle name="Normal 2 2 2 4 5 2 2" xfId="60256"/>
    <cellStyle name="Normal 2 2 2 4 5 3" xfId="41366"/>
    <cellStyle name="Normal 2 2 2 4 6" xfId="6126"/>
    <cellStyle name="Normal 2 2 2 4 6 2" xfId="47940"/>
    <cellStyle name="Normal 2 2 2 4 7" xfId="17927"/>
    <cellStyle name="Normal 2 2 2 4 7 2" xfId="60257"/>
    <cellStyle name="Normal 2 2 2 4 8" xfId="31542"/>
    <cellStyle name="Normal 2 2 2 5" xfId="913"/>
    <cellStyle name="Normal 2 2 2 5 2" xfId="1789"/>
    <cellStyle name="Normal 2 2 2 5 2 2" xfId="4982"/>
    <cellStyle name="Normal 2 2 2 5 2 2 2" xfId="15951"/>
    <cellStyle name="Normal 2 2 2 5 2 2 2 2" xfId="27752"/>
    <cellStyle name="Normal 2 2 2 5 2 2 2 2 2" xfId="60258"/>
    <cellStyle name="Normal 2 2 2 5 2 2 2 3" xfId="41367"/>
    <cellStyle name="Normal 2 2 2 5 2 2 3" xfId="10435"/>
    <cellStyle name="Normal 2 2 2 5 2 2 3 2" xfId="47941"/>
    <cellStyle name="Normal 2 2 2 5 2 2 4" xfId="22236"/>
    <cellStyle name="Normal 2 2 2 5 2 2 4 2" xfId="60259"/>
    <cellStyle name="Normal 2 2 2 5 2 2 5" xfId="35851"/>
    <cellStyle name="Normal 2 2 2 5 2 3" xfId="15952"/>
    <cellStyle name="Normal 2 2 2 5 2 3 2" xfId="27753"/>
    <cellStyle name="Normal 2 2 2 5 2 3 2 2" xfId="47942"/>
    <cellStyle name="Normal 2 2 2 5 2 3 3" xfId="30662"/>
    <cellStyle name="Normal 2 2 2 5 2 3 3 2" xfId="47943"/>
    <cellStyle name="Normal 2 2 2 5 2 3 4" xfId="30663"/>
    <cellStyle name="Normal 2 2 2 5 2 3 4 2" xfId="60260"/>
    <cellStyle name="Normal 2 2 2 5 2 3 5" xfId="41368"/>
    <cellStyle name="Normal 2 2 2 5 2 4" xfId="15953"/>
    <cellStyle name="Normal 2 2 2 5 2 4 2" xfId="27754"/>
    <cellStyle name="Normal 2 2 2 5 2 4 2 2" xfId="60261"/>
    <cellStyle name="Normal 2 2 2 5 2 4 3" xfId="41369"/>
    <cellStyle name="Normal 2 2 2 5 2 5" xfId="7243"/>
    <cellStyle name="Normal 2 2 2 5 2 5 2" xfId="47944"/>
    <cellStyle name="Normal 2 2 2 5 2 6" xfId="19044"/>
    <cellStyle name="Normal 2 2 2 5 2 6 2" xfId="60262"/>
    <cellStyle name="Normal 2 2 2 5 2 7" xfId="32659"/>
    <cellStyle name="Normal 2 2 2 5 3" xfId="3141"/>
    <cellStyle name="Normal 2 2 2 5 3 2" xfId="15954"/>
    <cellStyle name="Normal 2 2 2 5 3 2 2" xfId="27755"/>
    <cellStyle name="Normal 2 2 2 5 3 2 2 2" xfId="60263"/>
    <cellStyle name="Normal 2 2 2 5 3 2 3" xfId="41370"/>
    <cellStyle name="Normal 2 2 2 5 3 3" xfId="8594"/>
    <cellStyle name="Normal 2 2 2 5 3 3 2" xfId="47945"/>
    <cellStyle name="Normal 2 2 2 5 3 4" xfId="20395"/>
    <cellStyle name="Normal 2 2 2 5 3 4 2" xfId="60264"/>
    <cellStyle name="Normal 2 2 2 5 3 5" xfId="34010"/>
    <cellStyle name="Normal 2 2 2 5 4" xfId="15955"/>
    <cellStyle name="Normal 2 2 2 5 4 2" xfId="27756"/>
    <cellStyle name="Normal 2 2 2 5 4 2 2" xfId="47946"/>
    <cellStyle name="Normal 2 2 2 5 4 3" xfId="30664"/>
    <cellStyle name="Normal 2 2 2 5 4 3 2" xfId="47947"/>
    <cellStyle name="Normal 2 2 2 5 4 4" xfId="30665"/>
    <cellStyle name="Normal 2 2 2 5 4 4 2" xfId="60265"/>
    <cellStyle name="Normal 2 2 2 5 4 5" xfId="41371"/>
    <cellStyle name="Normal 2 2 2 5 5" xfId="15956"/>
    <cellStyle name="Normal 2 2 2 5 5 2" xfId="27757"/>
    <cellStyle name="Normal 2 2 2 5 5 2 2" xfId="60266"/>
    <cellStyle name="Normal 2 2 2 5 5 3" xfId="41372"/>
    <cellStyle name="Normal 2 2 2 5 6" xfId="6367"/>
    <cellStyle name="Normal 2 2 2 5 6 2" xfId="47948"/>
    <cellStyle name="Normal 2 2 2 5 7" xfId="18168"/>
    <cellStyle name="Normal 2 2 2 5 7 2" xfId="60267"/>
    <cellStyle name="Normal 2 2 2 5 8" xfId="31783"/>
    <cellStyle name="Normal 2 2 2 6" xfId="1790"/>
    <cellStyle name="Normal 2 2 2 6 2" xfId="3846"/>
    <cellStyle name="Normal 2 2 2 6 2 2" xfId="15957"/>
    <cellStyle name="Normal 2 2 2 6 2 2 2" xfId="27758"/>
    <cellStyle name="Normal 2 2 2 6 2 2 2 2" xfId="60268"/>
    <cellStyle name="Normal 2 2 2 6 2 2 3" xfId="41373"/>
    <cellStyle name="Normal 2 2 2 6 2 3" xfId="9299"/>
    <cellStyle name="Normal 2 2 2 6 2 3 2" xfId="47949"/>
    <cellStyle name="Normal 2 2 2 6 2 4" xfId="21100"/>
    <cellStyle name="Normal 2 2 2 6 2 4 2" xfId="60269"/>
    <cellStyle name="Normal 2 2 2 6 2 5" xfId="34715"/>
    <cellStyle name="Normal 2 2 2 6 3" xfId="15958"/>
    <cellStyle name="Normal 2 2 2 6 3 2" xfId="27759"/>
    <cellStyle name="Normal 2 2 2 6 3 2 2" xfId="47950"/>
    <cellStyle name="Normal 2 2 2 6 3 3" xfId="30666"/>
    <cellStyle name="Normal 2 2 2 6 3 3 2" xfId="47951"/>
    <cellStyle name="Normal 2 2 2 6 3 4" xfId="30667"/>
    <cellStyle name="Normal 2 2 2 6 3 4 2" xfId="60270"/>
    <cellStyle name="Normal 2 2 2 6 3 5" xfId="41374"/>
    <cellStyle name="Normal 2 2 2 6 4" xfId="15959"/>
    <cellStyle name="Normal 2 2 2 6 4 2" xfId="27760"/>
    <cellStyle name="Normal 2 2 2 6 4 2 2" xfId="60271"/>
    <cellStyle name="Normal 2 2 2 6 4 3" xfId="41375"/>
    <cellStyle name="Normal 2 2 2 6 5" xfId="7244"/>
    <cellStyle name="Normal 2 2 2 6 5 2" xfId="47952"/>
    <cellStyle name="Normal 2 2 2 6 6" xfId="19045"/>
    <cellStyle name="Normal 2 2 2 6 6 2" xfId="60272"/>
    <cellStyle name="Normal 2 2 2 6 7" xfId="32660"/>
    <cellStyle name="Normal 2 2 2 7" xfId="3709"/>
    <cellStyle name="Normal 2 2 2 7 2" xfId="15960"/>
    <cellStyle name="Normal 2 2 2 7 2 2" xfId="27761"/>
    <cellStyle name="Normal 2 2 2 7 2 2 2" xfId="60273"/>
    <cellStyle name="Normal 2 2 2 7 2 3" xfId="41376"/>
    <cellStyle name="Normal 2 2 2 7 3" xfId="9162"/>
    <cellStyle name="Normal 2 2 2 7 3 2" xfId="47953"/>
    <cellStyle name="Normal 2 2 2 7 4" xfId="20963"/>
    <cellStyle name="Normal 2 2 2 7 4 2" xfId="60274"/>
    <cellStyle name="Normal 2 2 2 7 5" xfId="34578"/>
    <cellStyle name="Normal 2 2 2 8" xfId="2005"/>
    <cellStyle name="Normal 2 2 2 8 2" xfId="15961"/>
    <cellStyle name="Normal 2 2 2 8 2 2" xfId="27762"/>
    <cellStyle name="Normal 2 2 2 8 2 2 2" xfId="60275"/>
    <cellStyle name="Normal 2 2 2 8 2 3" xfId="41377"/>
    <cellStyle name="Normal 2 2 2 8 3" xfId="7458"/>
    <cellStyle name="Normal 2 2 2 8 3 2" xfId="47954"/>
    <cellStyle name="Normal 2 2 2 8 4" xfId="19259"/>
    <cellStyle name="Normal 2 2 2 8 4 2" xfId="60276"/>
    <cellStyle name="Normal 2 2 2 8 5" xfId="32874"/>
    <cellStyle name="Normal 2 2 2 9" xfId="15962"/>
    <cellStyle name="Normal 2 2 2 9 2" xfId="27763"/>
    <cellStyle name="Normal 2 2 2 9 2 2" xfId="60277"/>
    <cellStyle name="Normal 2 2 2 9 3" xfId="41378"/>
    <cellStyle name="Normal 2 2 3" xfId="183"/>
    <cellStyle name="Normal 2 2 3 10" xfId="31053"/>
    <cellStyle name="Normal 2 2 3 2" xfId="327"/>
    <cellStyle name="Normal 2 2 3 2 2" xfId="1791"/>
    <cellStyle name="Normal 2 2 3 2 2 2" xfId="4637"/>
    <cellStyle name="Normal 2 2 3 2 2 2 2" xfId="15963"/>
    <cellStyle name="Normal 2 2 3 2 2 2 2 2" xfId="27764"/>
    <cellStyle name="Normal 2 2 3 2 2 2 2 2 2" xfId="60278"/>
    <cellStyle name="Normal 2 2 3 2 2 2 2 3" xfId="41379"/>
    <cellStyle name="Normal 2 2 3 2 2 2 3" xfId="10090"/>
    <cellStyle name="Normal 2 2 3 2 2 2 3 2" xfId="47955"/>
    <cellStyle name="Normal 2 2 3 2 2 2 4" xfId="21891"/>
    <cellStyle name="Normal 2 2 3 2 2 2 4 2" xfId="60279"/>
    <cellStyle name="Normal 2 2 3 2 2 2 5" xfId="35506"/>
    <cellStyle name="Normal 2 2 3 2 2 3" xfId="2796"/>
    <cellStyle name="Normal 2 2 3 2 2 3 2" xfId="15964"/>
    <cellStyle name="Normal 2 2 3 2 2 3 2 2" xfId="27765"/>
    <cellStyle name="Normal 2 2 3 2 2 3 2 2 2" xfId="60280"/>
    <cellStyle name="Normal 2 2 3 2 2 3 2 3" xfId="41380"/>
    <cellStyle name="Normal 2 2 3 2 2 3 3" xfId="8249"/>
    <cellStyle name="Normal 2 2 3 2 2 3 3 2" xfId="47956"/>
    <cellStyle name="Normal 2 2 3 2 2 3 4" xfId="20050"/>
    <cellStyle name="Normal 2 2 3 2 2 3 4 2" xfId="60281"/>
    <cellStyle name="Normal 2 2 3 2 2 3 5" xfId="33665"/>
    <cellStyle name="Normal 2 2 3 2 2 4" xfId="15965"/>
    <cellStyle name="Normal 2 2 3 2 2 4 2" xfId="27766"/>
    <cellStyle name="Normal 2 2 3 2 2 4 2 2" xfId="60282"/>
    <cellStyle name="Normal 2 2 3 2 2 4 3" xfId="41381"/>
    <cellStyle name="Normal 2 2 3 2 2 5" xfId="7245"/>
    <cellStyle name="Normal 2 2 3 2 2 5 2" xfId="47957"/>
    <cellStyle name="Normal 2 2 3 2 2 6" xfId="19046"/>
    <cellStyle name="Normal 2 2 3 2 2 6 2" xfId="60283"/>
    <cellStyle name="Normal 2 2 3 2 2 7" xfId="32661"/>
    <cellStyle name="Normal 2 2 3 2 3" xfId="3364"/>
    <cellStyle name="Normal 2 2 3 2 3 2" xfId="5205"/>
    <cellStyle name="Normal 2 2 3 2 3 2 2" xfId="16675"/>
    <cellStyle name="Normal 2 2 3 2 3 2 2 2" xfId="28476"/>
    <cellStyle name="Normal 2 2 3 2 3 2 2 2 2" xfId="60284"/>
    <cellStyle name="Normal 2 2 3 2 3 2 2 3" xfId="42091"/>
    <cellStyle name="Normal 2 2 3 2 3 2 3" xfId="10658"/>
    <cellStyle name="Normal 2 2 3 2 3 2 3 2" xfId="60285"/>
    <cellStyle name="Normal 2 2 3 2 3 2 4" xfId="22459"/>
    <cellStyle name="Normal 2 2 3 2 3 2 4 2" xfId="60286"/>
    <cellStyle name="Normal 2 2 3 2 3 2 5" xfId="36074"/>
    <cellStyle name="Normal 2 2 3 2 3 3" xfId="15966"/>
    <cellStyle name="Normal 2 2 3 2 3 3 2" xfId="27767"/>
    <cellStyle name="Normal 2 2 3 2 3 3 2 2" xfId="60287"/>
    <cellStyle name="Normal 2 2 3 2 3 3 3" xfId="41382"/>
    <cellStyle name="Normal 2 2 3 2 3 4" xfId="8817"/>
    <cellStyle name="Normal 2 2 3 2 3 4 2" xfId="60288"/>
    <cellStyle name="Normal 2 2 3 2 3 5" xfId="20618"/>
    <cellStyle name="Normal 2 2 3 2 3 5 2" xfId="60289"/>
    <cellStyle name="Normal 2 2 3 2 3 6" xfId="34233"/>
    <cellStyle name="Normal 2 2 3 2 4" xfId="4069"/>
    <cellStyle name="Normal 2 2 3 2 4 2" xfId="15967"/>
    <cellStyle name="Normal 2 2 3 2 4 2 2" xfId="27768"/>
    <cellStyle name="Normal 2 2 3 2 4 2 2 2" xfId="60290"/>
    <cellStyle name="Normal 2 2 3 2 4 2 3" xfId="41383"/>
    <cellStyle name="Normal 2 2 3 2 4 3" xfId="9522"/>
    <cellStyle name="Normal 2 2 3 2 4 3 2" xfId="47958"/>
    <cellStyle name="Normal 2 2 3 2 4 4" xfId="21323"/>
    <cellStyle name="Normal 2 2 3 2 4 4 2" xfId="60291"/>
    <cellStyle name="Normal 2 2 3 2 4 5" xfId="34938"/>
    <cellStyle name="Normal 2 2 3 2 5" xfId="2228"/>
    <cellStyle name="Normal 2 2 3 2 5 2" xfId="17217"/>
    <cellStyle name="Normal 2 2 3 2 5 2 2" xfId="29018"/>
    <cellStyle name="Normal 2 2 3 2 5 2 2 2" xfId="60292"/>
    <cellStyle name="Normal 2 2 3 2 5 2 3" xfId="42633"/>
    <cellStyle name="Normal 2 2 3 2 5 3" xfId="7681"/>
    <cellStyle name="Normal 2 2 3 2 5 3 2" xfId="60293"/>
    <cellStyle name="Normal 2 2 3 2 5 4" xfId="19482"/>
    <cellStyle name="Normal 2 2 3 2 5 4 2" xfId="60294"/>
    <cellStyle name="Normal 2 2 3 2 5 5" xfId="33097"/>
    <cellStyle name="Normal 2 2 3 2 6" xfId="15968"/>
    <cellStyle name="Normal 2 2 3 2 6 2" xfId="27769"/>
    <cellStyle name="Normal 2 2 3 2 6 2 2" xfId="60295"/>
    <cellStyle name="Normal 2 2 3 2 6 3" xfId="41384"/>
    <cellStyle name="Normal 2 2 3 2 7" xfId="5781"/>
    <cellStyle name="Normal 2 2 3 2 7 2" xfId="60296"/>
    <cellStyle name="Normal 2 2 3 2 8" xfId="17582"/>
    <cellStyle name="Normal 2 2 3 2 8 2" xfId="60297"/>
    <cellStyle name="Normal 2 2 3 2 9" xfId="31197"/>
    <cellStyle name="Normal 2 2 3 3" xfId="751"/>
    <cellStyle name="Normal 2 2 3 3 2" xfId="1792"/>
    <cellStyle name="Normal 2 2 3 3 2 2" xfId="4493"/>
    <cellStyle name="Normal 2 2 3 3 2 2 2" xfId="15969"/>
    <cellStyle name="Normal 2 2 3 3 2 2 2 2" xfId="27770"/>
    <cellStyle name="Normal 2 2 3 3 2 2 2 2 2" xfId="60298"/>
    <cellStyle name="Normal 2 2 3 3 2 2 2 3" xfId="41385"/>
    <cellStyle name="Normal 2 2 3 3 2 2 3" xfId="9946"/>
    <cellStyle name="Normal 2 2 3 3 2 2 3 2" xfId="47959"/>
    <cellStyle name="Normal 2 2 3 3 2 2 4" xfId="21747"/>
    <cellStyle name="Normal 2 2 3 3 2 2 4 2" xfId="60299"/>
    <cellStyle name="Normal 2 2 3 3 2 2 5" xfId="35362"/>
    <cellStyle name="Normal 2 2 3 3 2 3" xfId="15970"/>
    <cellStyle name="Normal 2 2 3 3 2 3 2" xfId="27771"/>
    <cellStyle name="Normal 2 2 3 3 2 3 2 2" xfId="47960"/>
    <cellStyle name="Normal 2 2 3 3 2 3 3" xfId="30668"/>
    <cellStyle name="Normal 2 2 3 3 2 3 3 2" xfId="47961"/>
    <cellStyle name="Normal 2 2 3 3 2 3 4" xfId="30669"/>
    <cellStyle name="Normal 2 2 3 3 2 3 4 2" xfId="60300"/>
    <cellStyle name="Normal 2 2 3 3 2 3 5" xfId="41386"/>
    <cellStyle name="Normal 2 2 3 3 2 4" xfId="15971"/>
    <cellStyle name="Normal 2 2 3 3 2 4 2" xfId="27772"/>
    <cellStyle name="Normal 2 2 3 3 2 4 2 2" xfId="60301"/>
    <cellStyle name="Normal 2 2 3 3 2 4 3" xfId="41387"/>
    <cellStyle name="Normal 2 2 3 3 2 5" xfId="7246"/>
    <cellStyle name="Normal 2 2 3 3 2 5 2" xfId="47962"/>
    <cellStyle name="Normal 2 2 3 3 2 6" xfId="19047"/>
    <cellStyle name="Normal 2 2 3 3 2 6 2" xfId="60302"/>
    <cellStyle name="Normal 2 2 3 3 2 7" xfId="32662"/>
    <cellStyle name="Normal 2 2 3 3 3" xfId="2652"/>
    <cellStyle name="Normal 2 2 3 3 3 2" xfId="15972"/>
    <cellStyle name="Normal 2 2 3 3 3 2 2" xfId="27773"/>
    <cellStyle name="Normal 2 2 3 3 3 2 2 2" xfId="60303"/>
    <cellStyle name="Normal 2 2 3 3 3 2 3" xfId="41388"/>
    <cellStyle name="Normal 2 2 3 3 3 3" xfId="8105"/>
    <cellStyle name="Normal 2 2 3 3 3 3 2" xfId="47963"/>
    <cellStyle name="Normal 2 2 3 3 3 4" xfId="19906"/>
    <cellStyle name="Normal 2 2 3 3 3 4 2" xfId="60304"/>
    <cellStyle name="Normal 2 2 3 3 3 5" xfId="33521"/>
    <cellStyle name="Normal 2 2 3 3 4" xfId="15973"/>
    <cellStyle name="Normal 2 2 3 3 4 2" xfId="27774"/>
    <cellStyle name="Normal 2 2 3 3 4 2 2" xfId="47964"/>
    <cellStyle name="Normal 2 2 3 3 4 3" xfId="30670"/>
    <cellStyle name="Normal 2 2 3 3 4 3 2" xfId="47965"/>
    <cellStyle name="Normal 2 2 3 3 4 4" xfId="30671"/>
    <cellStyle name="Normal 2 2 3 3 4 4 2" xfId="60305"/>
    <cellStyle name="Normal 2 2 3 3 4 5" xfId="41389"/>
    <cellStyle name="Normal 2 2 3 3 5" xfId="15974"/>
    <cellStyle name="Normal 2 2 3 3 5 2" xfId="27775"/>
    <cellStyle name="Normal 2 2 3 3 5 2 2" xfId="60306"/>
    <cellStyle name="Normal 2 2 3 3 5 3" xfId="41390"/>
    <cellStyle name="Normal 2 2 3 3 6" xfId="6205"/>
    <cellStyle name="Normal 2 2 3 3 6 2" xfId="47966"/>
    <cellStyle name="Normal 2 2 3 3 7" xfId="18006"/>
    <cellStyle name="Normal 2 2 3 3 7 2" xfId="60307"/>
    <cellStyle name="Normal 2 2 3 3 8" xfId="31621"/>
    <cellStyle name="Normal 2 2 3 4" xfId="1793"/>
    <cellStyle name="Normal 2 2 3 4 2" xfId="5061"/>
    <cellStyle name="Normal 2 2 3 4 2 2" xfId="15975"/>
    <cellStyle name="Normal 2 2 3 4 2 2 2" xfId="27776"/>
    <cellStyle name="Normal 2 2 3 4 2 2 2 2" xfId="60308"/>
    <cellStyle name="Normal 2 2 3 4 2 2 3" xfId="41391"/>
    <cellStyle name="Normal 2 2 3 4 2 3" xfId="10514"/>
    <cellStyle name="Normal 2 2 3 4 2 3 2" xfId="47967"/>
    <cellStyle name="Normal 2 2 3 4 2 4" xfId="22315"/>
    <cellStyle name="Normal 2 2 3 4 2 4 2" xfId="60309"/>
    <cellStyle name="Normal 2 2 3 4 2 5" xfId="35930"/>
    <cellStyle name="Normal 2 2 3 4 3" xfId="3220"/>
    <cellStyle name="Normal 2 2 3 4 3 2" xfId="15976"/>
    <cellStyle name="Normal 2 2 3 4 3 2 2" xfId="27777"/>
    <cellStyle name="Normal 2 2 3 4 3 2 2 2" xfId="60310"/>
    <cellStyle name="Normal 2 2 3 4 3 2 3" xfId="41392"/>
    <cellStyle name="Normal 2 2 3 4 3 3" xfId="8673"/>
    <cellStyle name="Normal 2 2 3 4 3 3 2" xfId="47968"/>
    <cellStyle name="Normal 2 2 3 4 3 4" xfId="20474"/>
    <cellStyle name="Normal 2 2 3 4 3 4 2" xfId="60311"/>
    <cellStyle name="Normal 2 2 3 4 3 5" xfId="34089"/>
    <cellStyle name="Normal 2 2 3 4 4" xfId="15977"/>
    <cellStyle name="Normal 2 2 3 4 4 2" xfId="27778"/>
    <cellStyle name="Normal 2 2 3 4 4 2 2" xfId="60312"/>
    <cellStyle name="Normal 2 2 3 4 4 3" xfId="41393"/>
    <cellStyle name="Normal 2 2 3 4 5" xfId="7247"/>
    <cellStyle name="Normal 2 2 3 4 5 2" xfId="47969"/>
    <cellStyle name="Normal 2 2 3 4 6" xfId="19048"/>
    <cellStyle name="Normal 2 2 3 4 6 2" xfId="60313"/>
    <cellStyle name="Normal 2 2 3 4 7" xfId="32663"/>
    <cellStyle name="Normal 2 2 3 5" xfId="3925"/>
    <cellStyle name="Normal 2 2 3 5 2" xfId="15978"/>
    <cellStyle name="Normal 2 2 3 5 2 2" xfId="27779"/>
    <cellStyle name="Normal 2 2 3 5 2 2 2" xfId="60314"/>
    <cellStyle name="Normal 2 2 3 5 2 3" xfId="41394"/>
    <cellStyle name="Normal 2 2 3 5 3" xfId="9378"/>
    <cellStyle name="Normal 2 2 3 5 3 2" xfId="47970"/>
    <cellStyle name="Normal 2 2 3 5 4" xfId="21179"/>
    <cellStyle name="Normal 2 2 3 5 4 2" xfId="60315"/>
    <cellStyle name="Normal 2 2 3 5 5" xfId="34794"/>
    <cellStyle name="Normal 2 2 3 6" xfId="2084"/>
    <cellStyle name="Normal 2 2 3 6 2" xfId="15979"/>
    <cellStyle name="Normal 2 2 3 6 2 2" xfId="27780"/>
    <cellStyle name="Normal 2 2 3 6 2 2 2" xfId="60316"/>
    <cellStyle name="Normal 2 2 3 6 2 3" xfId="41395"/>
    <cellStyle name="Normal 2 2 3 6 3" xfId="7537"/>
    <cellStyle name="Normal 2 2 3 6 3 2" xfId="47971"/>
    <cellStyle name="Normal 2 2 3 6 4" xfId="19338"/>
    <cellStyle name="Normal 2 2 3 6 4 2" xfId="60317"/>
    <cellStyle name="Normal 2 2 3 6 5" xfId="32953"/>
    <cellStyle name="Normal 2 2 3 7" xfId="15980"/>
    <cellStyle name="Normal 2 2 3 7 2" xfId="27781"/>
    <cellStyle name="Normal 2 2 3 7 2 2" xfId="60318"/>
    <cellStyle name="Normal 2 2 3 7 3" xfId="41396"/>
    <cellStyle name="Normal 2 2 3 8" xfId="5637"/>
    <cellStyle name="Normal 2 2 3 8 2" xfId="47972"/>
    <cellStyle name="Normal 2 2 3 9" xfId="17438"/>
    <cellStyle name="Normal 2 2 3 9 2" xfId="60319"/>
    <cellStyle name="Normal 2 2 4" xfId="464"/>
    <cellStyle name="Normal 2 2 4 2" xfId="1794"/>
    <cellStyle name="Normal 2 2 4 2 2" xfId="4774"/>
    <cellStyle name="Normal 2 2 4 2 2 2" xfId="15981"/>
    <cellStyle name="Normal 2 2 4 2 2 2 2" xfId="27782"/>
    <cellStyle name="Normal 2 2 4 2 2 2 2 2" xfId="60320"/>
    <cellStyle name="Normal 2 2 4 2 2 2 3" xfId="41397"/>
    <cellStyle name="Normal 2 2 4 2 2 3" xfId="10227"/>
    <cellStyle name="Normal 2 2 4 2 2 3 2" xfId="47973"/>
    <cellStyle name="Normal 2 2 4 2 2 4" xfId="22028"/>
    <cellStyle name="Normal 2 2 4 2 2 4 2" xfId="60321"/>
    <cellStyle name="Normal 2 2 4 2 2 5" xfId="35643"/>
    <cellStyle name="Normal 2 2 4 2 3" xfId="2933"/>
    <cellStyle name="Normal 2 2 4 2 3 2" xfId="15982"/>
    <cellStyle name="Normal 2 2 4 2 3 2 2" xfId="27783"/>
    <cellStyle name="Normal 2 2 4 2 3 2 2 2" xfId="60322"/>
    <cellStyle name="Normal 2 2 4 2 3 2 3" xfId="41398"/>
    <cellStyle name="Normal 2 2 4 2 3 3" xfId="8386"/>
    <cellStyle name="Normal 2 2 4 2 3 3 2" xfId="47974"/>
    <cellStyle name="Normal 2 2 4 2 3 4" xfId="20187"/>
    <cellStyle name="Normal 2 2 4 2 3 4 2" xfId="60323"/>
    <cellStyle name="Normal 2 2 4 2 3 5" xfId="33802"/>
    <cellStyle name="Normal 2 2 4 2 4" xfId="15983"/>
    <cellStyle name="Normal 2 2 4 2 4 2" xfId="27784"/>
    <cellStyle name="Normal 2 2 4 2 4 2 2" xfId="60324"/>
    <cellStyle name="Normal 2 2 4 2 4 3" xfId="41399"/>
    <cellStyle name="Normal 2 2 4 2 5" xfId="7248"/>
    <cellStyle name="Normal 2 2 4 2 5 2" xfId="47975"/>
    <cellStyle name="Normal 2 2 4 2 6" xfId="19049"/>
    <cellStyle name="Normal 2 2 4 2 6 2" xfId="60325"/>
    <cellStyle name="Normal 2 2 4 2 7" xfId="32664"/>
    <cellStyle name="Normal 2 2 4 3" xfId="3501"/>
    <cellStyle name="Normal 2 2 4 3 2" xfId="5342"/>
    <cellStyle name="Normal 2 2 4 3 2 2" xfId="16812"/>
    <cellStyle name="Normal 2 2 4 3 2 2 2" xfId="28613"/>
    <cellStyle name="Normal 2 2 4 3 2 2 2 2" xfId="60326"/>
    <cellStyle name="Normal 2 2 4 3 2 2 3" xfId="42228"/>
    <cellStyle name="Normal 2 2 4 3 2 3" xfId="10795"/>
    <cellStyle name="Normal 2 2 4 3 2 3 2" xfId="60327"/>
    <cellStyle name="Normal 2 2 4 3 2 4" xfId="22596"/>
    <cellStyle name="Normal 2 2 4 3 2 4 2" xfId="60328"/>
    <cellStyle name="Normal 2 2 4 3 2 5" xfId="36211"/>
    <cellStyle name="Normal 2 2 4 3 3" xfId="15984"/>
    <cellStyle name="Normal 2 2 4 3 3 2" xfId="27785"/>
    <cellStyle name="Normal 2 2 4 3 3 2 2" xfId="60329"/>
    <cellStyle name="Normal 2 2 4 3 3 3" xfId="41400"/>
    <cellStyle name="Normal 2 2 4 3 4" xfId="8954"/>
    <cellStyle name="Normal 2 2 4 3 4 2" xfId="60330"/>
    <cellStyle name="Normal 2 2 4 3 5" xfId="20755"/>
    <cellStyle name="Normal 2 2 4 3 5 2" xfId="60331"/>
    <cellStyle name="Normal 2 2 4 3 6" xfId="34370"/>
    <cellStyle name="Normal 2 2 4 4" xfId="4206"/>
    <cellStyle name="Normal 2 2 4 4 2" xfId="15985"/>
    <cellStyle name="Normal 2 2 4 4 2 2" xfId="27786"/>
    <cellStyle name="Normal 2 2 4 4 2 2 2" xfId="60332"/>
    <cellStyle name="Normal 2 2 4 4 2 3" xfId="41401"/>
    <cellStyle name="Normal 2 2 4 4 3" xfId="9659"/>
    <cellStyle name="Normal 2 2 4 4 3 2" xfId="47976"/>
    <cellStyle name="Normal 2 2 4 4 4" xfId="21460"/>
    <cellStyle name="Normal 2 2 4 4 4 2" xfId="60333"/>
    <cellStyle name="Normal 2 2 4 4 5" xfId="35075"/>
    <cellStyle name="Normal 2 2 4 5" xfId="2365"/>
    <cellStyle name="Normal 2 2 4 5 2" xfId="17218"/>
    <cellStyle name="Normal 2 2 4 5 2 2" xfId="29019"/>
    <cellStyle name="Normal 2 2 4 5 2 2 2" xfId="60334"/>
    <cellStyle name="Normal 2 2 4 5 2 3" xfId="42634"/>
    <cellStyle name="Normal 2 2 4 5 3" xfId="7818"/>
    <cellStyle name="Normal 2 2 4 5 3 2" xfId="60335"/>
    <cellStyle name="Normal 2 2 4 5 4" xfId="19619"/>
    <cellStyle name="Normal 2 2 4 5 4 2" xfId="60336"/>
    <cellStyle name="Normal 2 2 4 5 5" xfId="33234"/>
    <cellStyle name="Normal 2 2 4 6" xfId="15986"/>
    <cellStyle name="Normal 2 2 4 6 2" xfId="27787"/>
    <cellStyle name="Normal 2 2 4 6 2 2" xfId="60337"/>
    <cellStyle name="Normal 2 2 4 6 3" xfId="41402"/>
    <cellStyle name="Normal 2 2 4 7" xfId="5918"/>
    <cellStyle name="Normal 2 2 4 7 2" xfId="60338"/>
    <cellStyle name="Normal 2 2 4 8" xfId="17719"/>
    <cellStyle name="Normal 2 2 4 8 2" xfId="60339"/>
    <cellStyle name="Normal 2 2 4 9" xfId="31334"/>
    <cellStyle name="Normal 2 2 5" xfId="278"/>
    <cellStyle name="Normal 2 2 5 2" xfId="1795"/>
    <cellStyle name="Normal 2 2 5 2 2" xfId="4588"/>
    <cellStyle name="Normal 2 2 5 2 2 2" xfId="15987"/>
    <cellStyle name="Normal 2 2 5 2 2 2 2" xfId="27788"/>
    <cellStyle name="Normal 2 2 5 2 2 2 2 2" xfId="60340"/>
    <cellStyle name="Normal 2 2 5 2 2 2 3" xfId="41403"/>
    <cellStyle name="Normal 2 2 5 2 2 3" xfId="10041"/>
    <cellStyle name="Normal 2 2 5 2 2 3 2" xfId="47977"/>
    <cellStyle name="Normal 2 2 5 2 2 4" xfId="21842"/>
    <cellStyle name="Normal 2 2 5 2 2 4 2" xfId="60341"/>
    <cellStyle name="Normal 2 2 5 2 2 5" xfId="35457"/>
    <cellStyle name="Normal 2 2 5 2 3" xfId="2747"/>
    <cellStyle name="Normal 2 2 5 2 3 2" xfId="15988"/>
    <cellStyle name="Normal 2 2 5 2 3 2 2" xfId="27789"/>
    <cellStyle name="Normal 2 2 5 2 3 2 2 2" xfId="60342"/>
    <cellStyle name="Normal 2 2 5 2 3 2 3" xfId="41404"/>
    <cellStyle name="Normal 2 2 5 2 3 3" xfId="8200"/>
    <cellStyle name="Normal 2 2 5 2 3 3 2" xfId="47978"/>
    <cellStyle name="Normal 2 2 5 2 3 4" xfId="20001"/>
    <cellStyle name="Normal 2 2 5 2 3 4 2" xfId="60343"/>
    <cellStyle name="Normal 2 2 5 2 3 5" xfId="33616"/>
    <cellStyle name="Normal 2 2 5 2 4" xfId="15989"/>
    <cellStyle name="Normal 2 2 5 2 4 2" xfId="27790"/>
    <cellStyle name="Normal 2 2 5 2 4 2 2" xfId="60344"/>
    <cellStyle name="Normal 2 2 5 2 4 3" xfId="41405"/>
    <cellStyle name="Normal 2 2 5 2 5" xfId="7249"/>
    <cellStyle name="Normal 2 2 5 2 5 2" xfId="47979"/>
    <cellStyle name="Normal 2 2 5 2 6" xfId="19050"/>
    <cellStyle name="Normal 2 2 5 2 6 2" xfId="60345"/>
    <cellStyle name="Normal 2 2 5 2 7" xfId="32665"/>
    <cellStyle name="Normal 2 2 5 3" xfId="3315"/>
    <cellStyle name="Normal 2 2 5 3 2" xfId="5156"/>
    <cellStyle name="Normal 2 2 5 3 2 2" xfId="16626"/>
    <cellStyle name="Normal 2 2 5 3 2 2 2" xfId="28427"/>
    <cellStyle name="Normal 2 2 5 3 2 2 2 2" xfId="60346"/>
    <cellStyle name="Normal 2 2 5 3 2 2 3" xfId="42042"/>
    <cellStyle name="Normal 2 2 5 3 2 3" xfId="10609"/>
    <cellStyle name="Normal 2 2 5 3 2 3 2" xfId="60347"/>
    <cellStyle name="Normal 2 2 5 3 2 4" xfId="22410"/>
    <cellStyle name="Normal 2 2 5 3 2 4 2" xfId="60348"/>
    <cellStyle name="Normal 2 2 5 3 2 5" xfId="36025"/>
    <cellStyle name="Normal 2 2 5 3 3" xfId="15990"/>
    <cellStyle name="Normal 2 2 5 3 3 2" xfId="27791"/>
    <cellStyle name="Normal 2 2 5 3 3 2 2" xfId="60349"/>
    <cellStyle name="Normal 2 2 5 3 3 3" xfId="41406"/>
    <cellStyle name="Normal 2 2 5 3 4" xfId="8768"/>
    <cellStyle name="Normal 2 2 5 3 4 2" xfId="60350"/>
    <cellStyle name="Normal 2 2 5 3 5" xfId="20569"/>
    <cellStyle name="Normal 2 2 5 3 5 2" xfId="60351"/>
    <cellStyle name="Normal 2 2 5 3 6" xfId="34184"/>
    <cellStyle name="Normal 2 2 5 4" xfId="4020"/>
    <cellStyle name="Normal 2 2 5 4 2" xfId="15991"/>
    <cellStyle name="Normal 2 2 5 4 2 2" xfId="27792"/>
    <cellStyle name="Normal 2 2 5 4 2 2 2" xfId="60352"/>
    <cellStyle name="Normal 2 2 5 4 2 3" xfId="41407"/>
    <cellStyle name="Normal 2 2 5 4 3" xfId="9473"/>
    <cellStyle name="Normal 2 2 5 4 3 2" xfId="47980"/>
    <cellStyle name="Normal 2 2 5 4 4" xfId="21274"/>
    <cellStyle name="Normal 2 2 5 4 4 2" xfId="60353"/>
    <cellStyle name="Normal 2 2 5 4 5" xfId="34889"/>
    <cellStyle name="Normal 2 2 5 5" xfId="2179"/>
    <cellStyle name="Normal 2 2 5 5 2" xfId="17219"/>
    <cellStyle name="Normal 2 2 5 5 2 2" xfId="29020"/>
    <cellStyle name="Normal 2 2 5 5 2 2 2" xfId="60354"/>
    <cellStyle name="Normal 2 2 5 5 2 3" xfId="42635"/>
    <cellStyle name="Normal 2 2 5 5 3" xfId="7632"/>
    <cellStyle name="Normal 2 2 5 5 3 2" xfId="60355"/>
    <cellStyle name="Normal 2 2 5 5 4" xfId="19433"/>
    <cellStyle name="Normal 2 2 5 5 4 2" xfId="60356"/>
    <cellStyle name="Normal 2 2 5 5 5" xfId="33048"/>
    <cellStyle name="Normal 2 2 5 6" xfId="15992"/>
    <cellStyle name="Normal 2 2 5 6 2" xfId="27793"/>
    <cellStyle name="Normal 2 2 5 6 2 2" xfId="60357"/>
    <cellStyle name="Normal 2 2 5 6 3" xfId="41408"/>
    <cellStyle name="Normal 2 2 5 7" xfId="5732"/>
    <cellStyle name="Normal 2 2 5 7 2" xfId="60358"/>
    <cellStyle name="Normal 2 2 5 8" xfId="17533"/>
    <cellStyle name="Normal 2 2 5 8 2" xfId="60359"/>
    <cellStyle name="Normal 2 2 5 9" xfId="31148"/>
    <cellStyle name="Normal 2 2 6" xfId="605"/>
    <cellStyle name="Normal 2 2 6 2" xfId="1796"/>
    <cellStyle name="Normal 2 2 6 2 2" xfId="4347"/>
    <cellStyle name="Normal 2 2 6 2 2 2" xfId="15993"/>
    <cellStyle name="Normal 2 2 6 2 2 2 2" xfId="27794"/>
    <cellStyle name="Normal 2 2 6 2 2 2 2 2" xfId="60360"/>
    <cellStyle name="Normal 2 2 6 2 2 2 3" xfId="41409"/>
    <cellStyle name="Normal 2 2 6 2 2 3" xfId="9800"/>
    <cellStyle name="Normal 2 2 6 2 2 3 2" xfId="47981"/>
    <cellStyle name="Normal 2 2 6 2 2 4" xfId="21601"/>
    <cellStyle name="Normal 2 2 6 2 2 4 2" xfId="60361"/>
    <cellStyle name="Normal 2 2 6 2 2 5" xfId="35216"/>
    <cellStyle name="Normal 2 2 6 2 3" xfId="15994"/>
    <cellStyle name="Normal 2 2 6 2 3 2" xfId="27795"/>
    <cellStyle name="Normal 2 2 6 2 3 2 2" xfId="47982"/>
    <cellStyle name="Normal 2 2 6 2 3 3" xfId="30672"/>
    <cellStyle name="Normal 2 2 6 2 3 3 2" xfId="47983"/>
    <cellStyle name="Normal 2 2 6 2 3 4" xfId="30673"/>
    <cellStyle name="Normal 2 2 6 2 3 4 2" xfId="60362"/>
    <cellStyle name="Normal 2 2 6 2 3 5" xfId="41410"/>
    <cellStyle name="Normal 2 2 6 2 4" xfId="15995"/>
    <cellStyle name="Normal 2 2 6 2 4 2" xfId="27796"/>
    <cellStyle name="Normal 2 2 6 2 4 2 2" xfId="60363"/>
    <cellStyle name="Normal 2 2 6 2 4 3" xfId="41411"/>
    <cellStyle name="Normal 2 2 6 2 5" xfId="7250"/>
    <cellStyle name="Normal 2 2 6 2 5 2" xfId="47984"/>
    <cellStyle name="Normal 2 2 6 2 6" xfId="19051"/>
    <cellStyle name="Normal 2 2 6 2 6 2" xfId="60364"/>
    <cellStyle name="Normal 2 2 6 2 7" xfId="32666"/>
    <cellStyle name="Normal 2 2 6 3" xfId="2506"/>
    <cellStyle name="Normal 2 2 6 3 2" xfId="15996"/>
    <cellStyle name="Normal 2 2 6 3 2 2" xfId="27797"/>
    <cellStyle name="Normal 2 2 6 3 2 2 2" xfId="60365"/>
    <cellStyle name="Normal 2 2 6 3 2 3" xfId="41412"/>
    <cellStyle name="Normal 2 2 6 3 3" xfId="7959"/>
    <cellStyle name="Normal 2 2 6 3 3 2" xfId="47985"/>
    <cellStyle name="Normal 2 2 6 3 4" xfId="19760"/>
    <cellStyle name="Normal 2 2 6 3 4 2" xfId="60366"/>
    <cellStyle name="Normal 2 2 6 3 5" xfId="33375"/>
    <cellStyle name="Normal 2 2 6 4" xfId="15997"/>
    <cellStyle name="Normal 2 2 6 4 2" xfId="27798"/>
    <cellStyle name="Normal 2 2 6 4 2 2" xfId="47986"/>
    <cellStyle name="Normal 2 2 6 4 3" xfId="30674"/>
    <cellStyle name="Normal 2 2 6 4 3 2" xfId="47987"/>
    <cellStyle name="Normal 2 2 6 4 4" xfId="30675"/>
    <cellStyle name="Normal 2 2 6 4 4 2" xfId="60367"/>
    <cellStyle name="Normal 2 2 6 4 5" xfId="41413"/>
    <cellStyle name="Normal 2 2 6 5" xfId="15998"/>
    <cellStyle name="Normal 2 2 6 5 2" xfId="27799"/>
    <cellStyle name="Normal 2 2 6 5 2 2" xfId="60368"/>
    <cellStyle name="Normal 2 2 6 5 3" xfId="41414"/>
    <cellStyle name="Normal 2 2 6 6" xfId="6059"/>
    <cellStyle name="Normal 2 2 6 6 2" xfId="47988"/>
    <cellStyle name="Normal 2 2 6 7" xfId="17860"/>
    <cellStyle name="Normal 2 2 6 7 2" xfId="60369"/>
    <cellStyle name="Normal 2 2 6 8" xfId="31475"/>
    <cellStyle name="Normal 2 2 7" xfId="846"/>
    <cellStyle name="Normal 2 2 7 2" xfId="1797"/>
    <cellStyle name="Normal 2 2 7 2 2" xfId="4915"/>
    <cellStyle name="Normal 2 2 7 2 2 2" xfId="15999"/>
    <cellStyle name="Normal 2 2 7 2 2 2 2" xfId="27800"/>
    <cellStyle name="Normal 2 2 7 2 2 2 2 2" xfId="60370"/>
    <cellStyle name="Normal 2 2 7 2 2 2 3" xfId="41415"/>
    <cellStyle name="Normal 2 2 7 2 2 3" xfId="10368"/>
    <cellStyle name="Normal 2 2 7 2 2 3 2" xfId="47989"/>
    <cellStyle name="Normal 2 2 7 2 2 4" xfId="22169"/>
    <cellStyle name="Normal 2 2 7 2 2 4 2" xfId="60371"/>
    <cellStyle name="Normal 2 2 7 2 2 5" xfId="35784"/>
    <cellStyle name="Normal 2 2 7 2 3" xfId="16000"/>
    <cellStyle name="Normal 2 2 7 2 3 2" xfId="27801"/>
    <cellStyle name="Normal 2 2 7 2 3 2 2" xfId="47990"/>
    <cellStyle name="Normal 2 2 7 2 3 3" xfId="30676"/>
    <cellStyle name="Normal 2 2 7 2 3 3 2" xfId="47991"/>
    <cellStyle name="Normal 2 2 7 2 3 4" xfId="30677"/>
    <cellStyle name="Normal 2 2 7 2 3 4 2" xfId="60372"/>
    <cellStyle name="Normal 2 2 7 2 3 5" xfId="41416"/>
    <cellStyle name="Normal 2 2 7 2 4" xfId="16001"/>
    <cellStyle name="Normal 2 2 7 2 4 2" xfId="27802"/>
    <cellStyle name="Normal 2 2 7 2 4 2 2" xfId="60373"/>
    <cellStyle name="Normal 2 2 7 2 4 3" xfId="41417"/>
    <cellStyle name="Normal 2 2 7 2 5" xfId="7251"/>
    <cellStyle name="Normal 2 2 7 2 5 2" xfId="47992"/>
    <cellStyle name="Normal 2 2 7 2 6" xfId="19052"/>
    <cellStyle name="Normal 2 2 7 2 6 2" xfId="60374"/>
    <cellStyle name="Normal 2 2 7 2 7" xfId="32667"/>
    <cellStyle name="Normal 2 2 7 3" xfId="3074"/>
    <cellStyle name="Normal 2 2 7 3 2" xfId="16002"/>
    <cellStyle name="Normal 2 2 7 3 2 2" xfId="27803"/>
    <cellStyle name="Normal 2 2 7 3 2 2 2" xfId="60375"/>
    <cellStyle name="Normal 2 2 7 3 2 3" xfId="41418"/>
    <cellStyle name="Normal 2 2 7 3 3" xfId="8527"/>
    <cellStyle name="Normal 2 2 7 3 3 2" xfId="47993"/>
    <cellStyle name="Normal 2 2 7 3 4" xfId="20328"/>
    <cellStyle name="Normal 2 2 7 3 4 2" xfId="60376"/>
    <cellStyle name="Normal 2 2 7 3 5" xfId="33943"/>
    <cellStyle name="Normal 2 2 7 4" xfId="16003"/>
    <cellStyle name="Normal 2 2 7 4 2" xfId="27804"/>
    <cellStyle name="Normal 2 2 7 4 2 2" xfId="47994"/>
    <cellStyle name="Normal 2 2 7 4 3" xfId="30678"/>
    <cellStyle name="Normal 2 2 7 4 3 2" xfId="47995"/>
    <cellStyle name="Normal 2 2 7 4 4" xfId="30679"/>
    <cellStyle name="Normal 2 2 7 4 4 2" xfId="60377"/>
    <cellStyle name="Normal 2 2 7 4 5" xfId="41419"/>
    <cellStyle name="Normal 2 2 7 5" xfId="16004"/>
    <cellStyle name="Normal 2 2 7 5 2" xfId="27805"/>
    <cellStyle name="Normal 2 2 7 5 2 2" xfId="60378"/>
    <cellStyle name="Normal 2 2 7 5 3" xfId="41420"/>
    <cellStyle name="Normal 2 2 7 6" xfId="6300"/>
    <cellStyle name="Normal 2 2 7 6 2" xfId="47996"/>
    <cellStyle name="Normal 2 2 7 7" xfId="18101"/>
    <cellStyle name="Normal 2 2 7 7 2" xfId="60379"/>
    <cellStyle name="Normal 2 2 7 8" xfId="31716"/>
    <cellStyle name="Normal 2 2 8" xfId="1798"/>
    <cellStyle name="Normal 2 2 8 2" xfId="3779"/>
    <cellStyle name="Normal 2 2 8 2 2" xfId="16005"/>
    <cellStyle name="Normal 2 2 8 2 2 2" xfId="27806"/>
    <cellStyle name="Normal 2 2 8 2 2 2 2" xfId="60380"/>
    <cellStyle name="Normal 2 2 8 2 2 3" xfId="41421"/>
    <cellStyle name="Normal 2 2 8 2 3" xfId="9232"/>
    <cellStyle name="Normal 2 2 8 2 3 2" xfId="47997"/>
    <cellStyle name="Normal 2 2 8 2 4" xfId="21033"/>
    <cellStyle name="Normal 2 2 8 2 4 2" xfId="60381"/>
    <cellStyle name="Normal 2 2 8 2 5" xfId="34648"/>
    <cellStyle name="Normal 2 2 8 3" xfId="16006"/>
    <cellStyle name="Normal 2 2 8 3 2" xfId="27807"/>
    <cellStyle name="Normal 2 2 8 3 2 2" xfId="47998"/>
    <cellStyle name="Normal 2 2 8 3 3" xfId="30680"/>
    <cellStyle name="Normal 2 2 8 3 3 2" xfId="47999"/>
    <cellStyle name="Normal 2 2 8 3 4" xfId="30681"/>
    <cellStyle name="Normal 2 2 8 3 4 2" xfId="60382"/>
    <cellStyle name="Normal 2 2 8 3 5" xfId="41422"/>
    <cellStyle name="Normal 2 2 8 4" xfId="16007"/>
    <cellStyle name="Normal 2 2 8 4 2" xfId="27808"/>
    <cellStyle name="Normal 2 2 8 4 2 2" xfId="60383"/>
    <cellStyle name="Normal 2 2 8 4 3" xfId="41423"/>
    <cellStyle name="Normal 2 2 8 5" xfId="7252"/>
    <cellStyle name="Normal 2 2 8 5 2" xfId="48000"/>
    <cellStyle name="Normal 2 2 8 6" xfId="19053"/>
    <cellStyle name="Normal 2 2 8 6 2" xfId="60384"/>
    <cellStyle name="Normal 2 2 8 7" xfId="32668"/>
    <cellStyle name="Normal 2 2 9" xfId="3642"/>
    <cellStyle name="Normal 2 2 9 2" xfId="16008"/>
    <cellStyle name="Normal 2 2 9 2 2" xfId="27809"/>
    <cellStyle name="Normal 2 2 9 2 2 2" xfId="60385"/>
    <cellStyle name="Normal 2 2 9 2 3" xfId="41424"/>
    <cellStyle name="Normal 2 2 9 3" xfId="9095"/>
    <cellStyle name="Normal 2 2 9 3 2" xfId="48001"/>
    <cellStyle name="Normal 2 2 9 4" xfId="20896"/>
    <cellStyle name="Normal 2 2 9 4 2" xfId="60386"/>
    <cellStyle name="Normal 2 2 9 5" xfId="34511"/>
    <cellStyle name="Normal 2 20" xfId="61864"/>
    <cellStyle name="Normal 2 3" xfId="49"/>
    <cellStyle name="Normal 2 3 10" xfId="1950"/>
    <cellStyle name="Normal 2 3 10 2" xfId="16009"/>
    <cellStyle name="Normal 2 3 10 2 2" xfId="27810"/>
    <cellStyle name="Normal 2 3 10 2 2 2" xfId="60387"/>
    <cellStyle name="Normal 2 3 10 2 3" xfId="41425"/>
    <cellStyle name="Normal 2 3 10 3" xfId="7403"/>
    <cellStyle name="Normal 2 3 10 3 2" xfId="48002"/>
    <cellStyle name="Normal 2 3 10 4" xfId="19204"/>
    <cellStyle name="Normal 2 3 10 4 2" xfId="60388"/>
    <cellStyle name="Normal 2 3 10 5" xfId="32819"/>
    <cellStyle name="Normal 2 3 11" xfId="16010"/>
    <cellStyle name="Normal 2 3 11 2" xfId="27811"/>
    <cellStyle name="Normal 2 3 11 2 2" xfId="60389"/>
    <cellStyle name="Normal 2 3 11 3" xfId="41426"/>
    <cellStyle name="Normal 2 3 12" xfId="5503"/>
    <cellStyle name="Normal 2 3 12 2" xfId="48003"/>
    <cellStyle name="Normal 2 3 13" xfId="17304"/>
    <cellStyle name="Normal 2 3 13 2" xfId="60390"/>
    <cellStyle name="Normal 2 3 14" xfId="30919"/>
    <cellStyle name="Normal 2 3 15" xfId="61797"/>
    <cellStyle name="Normal 2 3 2" xfId="116"/>
    <cellStyle name="Normal 2 3 2 10" xfId="5570"/>
    <cellStyle name="Normal 2 3 2 10 2" xfId="48004"/>
    <cellStyle name="Normal 2 3 2 11" xfId="17371"/>
    <cellStyle name="Normal 2 3 2 11 2" xfId="60391"/>
    <cellStyle name="Normal 2 3 2 12" xfId="30986"/>
    <cellStyle name="Normal 2 3 2 2" xfId="235"/>
    <cellStyle name="Normal 2 3 2 2 10" xfId="31105"/>
    <cellStyle name="Normal 2 3 2 2 2" xfId="543"/>
    <cellStyle name="Normal 2 3 2 2 2 2" xfId="1799"/>
    <cellStyle name="Normal 2 3 2 2 2 2 2" xfId="4853"/>
    <cellStyle name="Normal 2 3 2 2 2 2 2 2" xfId="16011"/>
    <cellStyle name="Normal 2 3 2 2 2 2 2 2 2" xfId="27812"/>
    <cellStyle name="Normal 2 3 2 2 2 2 2 2 2 2" xfId="60392"/>
    <cellStyle name="Normal 2 3 2 2 2 2 2 2 3" xfId="41427"/>
    <cellStyle name="Normal 2 3 2 2 2 2 2 3" xfId="10306"/>
    <cellStyle name="Normal 2 3 2 2 2 2 2 3 2" xfId="48005"/>
    <cellStyle name="Normal 2 3 2 2 2 2 2 4" xfId="22107"/>
    <cellStyle name="Normal 2 3 2 2 2 2 2 4 2" xfId="60393"/>
    <cellStyle name="Normal 2 3 2 2 2 2 2 5" xfId="35722"/>
    <cellStyle name="Normal 2 3 2 2 2 2 3" xfId="3012"/>
    <cellStyle name="Normal 2 3 2 2 2 2 3 2" xfId="16012"/>
    <cellStyle name="Normal 2 3 2 2 2 2 3 2 2" xfId="27813"/>
    <cellStyle name="Normal 2 3 2 2 2 2 3 2 2 2" xfId="60394"/>
    <cellStyle name="Normal 2 3 2 2 2 2 3 2 3" xfId="41428"/>
    <cellStyle name="Normal 2 3 2 2 2 2 3 3" xfId="8465"/>
    <cellStyle name="Normal 2 3 2 2 2 2 3 3 2" xfId="48006"/>
    <cellStyle name="Normal 2 3 2 2 2 2 3 4" xfId="20266"/>
    <cellStyle name="Normal 2 3 2 2 2 2 3 4 2" xfId="60395"/>
    <cellStyle name="Normal 2 3 2 2 2 2 3 5" xfId="33881"/>
    <cellStyle name="Normal 2 3 2 2 2 2 4" xfId="16013"/>
    <cellStyle name="Normal 2 3 2 2 2 2 4 2" xfId="27814"/>
    <cellStyle name="Normal 2 3 2 2 2 2 4 2 2" xfId="60396"/>
    <cellStyle name="Normal 2 3 2 2 2 2 4 3" xfId="41429"/>
    <cellStyle name="Normal 2 3 2 2 2 2 5" xfId="7253"/>
    <cellStyle name="Normal 2 3 2 2 2 2 5 2" xfId="48007"/>
    <cellStyle name="Normal 2 3 2 2 2 2 6" xfId="19054"/>
    <cellStyle name="Normal 2 3 2 2 2 2 6 2" xfId="60397"/>
    <cellStyle name="Normal 2 3 2 2 2 2 7" xfId="32669"/>
    <cellStyle name="Normal 2 3 2 2 2 3" xfId="3580"/>
    <cellStyle name="Normal 2 3 2 2 2 3 2" xfId="5421"/>
    <cellStyle name="Normal 2 3 2 2 2 3 2 2" xfId="16891"/>
    <cellStyle name="Normal 2 3 2 2 2 3 2 2 2" xfId="28692"/>
    <cellStyle name="Normal 2 3 2 2 2 3 2 2 2 2" xfId="60398"/>
    <cellStyle name="Normal 2 3 2 2 2 3 2 2 3" xfId="42307"/>
    <cellStyle name="Normal 2 3 2 2 2 3 2 3" xfId="10874"/>
    <cellStyle name="Normal 2 3 2 2 2 3 2 3 2" xfId="60399"/>
    <cellStyle name="Normal 2 3 2 2 2 3 2 4" xfId="22675"/>
    <cellStyle name="Normal 2 3 2 2 2 3 2 4 2" xfId="60400"/>
    <cellStyle name="Normal 2 3 2 2 2 3 2 5" xfId="36290"/>
    <cellStyle name="Normal 2 3 2 2 2 3 3" xfId="16014"/>
    <cellStyle name="Normal 2 3 2 2 2 3 3 2" xfId="27815"/>
    <cellStyle name="Normal 2 3 2 2 2 3 3 2 2" xfId="60401"/>
    <cellStyle name="Normal 2 3 2 2 2 3 3 3" xfId="41430"/>
    <cellStyle name="Normal 2 3 2 2 2 3 4" xfId="9033"/>
    <cellStyle name="Normal 2 3 2 2 2 3 4 2" xfId="60402"/>
    <cellStyle name="Normal 2 3 2 2 2 3 5" xfId="20834"/>
    <cellStyle name="Normal 2 3 2 2 2 3 5 2" xfId="60403"/>
    <cellStyle name="Normal 2 3 2 2 2 3 6" xfId="34449"/>
    <cellStyle name="Normal 2 3 2 2 2 4" xfId="4285"/>
    <cellStyle name="Normal 2 3 2 2 2 4 2" xfId="16015"/>
    <cellStyle name="Normal 2 3 2 2 2 4 2 2" xfId="27816"/>
    <cellStyle name="Normal 2 3 2 2 2 4 2 2 2" xfId="60404"/>
    <cellStyle name="Normal 2 3 2 2 2 4 2 3" xfId="41431"/>
    <cellStyle name="Normal 2 3 2 2 2 4 3" xfId="9738"/>
    <cellStyle name="Normal 2 3 2 2 2 4 3 2" xfId="48008"/>
    <cellStyle name="Normal 2 3 2 2 2 4 4" xfId="21539"/>
    <cellStyle name="Normal 2 3 2 2 2 4 4 2" xfId="60405"/>
    <cellStyle name="Normal 2 3 2 2 2 4 5" xfId="35154"/>
    <cellStyle name="Normal 2 3 2 2 2 5" xfId="2444"/>
    <cellStyle name="Normal 2 3 2 2 2 5 2" xfId="17220"/>
    <cellStyle name="Normal 2 3 2 2 2 5 2 2" xfId="29021"/>
    <cellStyle name="Normal 2 3 2 2 2 5 2 2 2" xfId="60406"/>
    <cellStyle name="Normal 2 3 2 2 2 5 2 3" xfId="42636"/>
    <cellStyle name="Normal 2 3 2 2 2 5 3" xfId="7897"/>
    <cellStyle name="Normal 2 3 2 2 2 5 3 2" xfId="60407"/>
    <cellStyle name="Normal 2 3 2 2 2 5 4" xfId="19698"/>
    <cellStyle name="Normal 2 3 2 2 2 5 4 2" xfId="60408"/>
    <cellStyle name="Normal 2 3 2 2 2 5 5" xfId="33313"/>
    <cellStyle name="Normal 2 3 2 2 2 6" xfId="16016"/>
    <cellStyle name="Normal 2 3 2 2 2 6 2" xfId="27817"/>
    <cellStyle name="Normal 2 3 2 2 2 6 2 2" xfId="60409"/>
    <cellStyle name="Normal 2 3 2 2 2 6 3" xfId="41432"/>
    <cellStyle name="Normal 2 3 2 2 2 7" xfId="5997"/>
    <cellStyle name="Normal 2 3 2 2 2 7 2" xfId="60410"/>
    <cellStyle name="Normal 2 3 2 2 2 8" xfId="17798"/>
    <cellStyle name="Normal 2 3 2 2 2 8 2" xfId="60411"/>
    <cellStyle name="Normal 2 3 2 2 2 9" xfId="31413"/>
    <cellStyle name="Normal 2 3 2 2 3" xfId="803"/>
    <cellStyle name="Normal 2 3 2 2 3 2" xfId="1800"/>
    <cellStyle name="Normal 2 3 2 2 3 2 2" xfId="4545"/>
    <cellStyle name="Normal 2 3 2 2 3 2 2 2" xfId="16017"/>
    <cellStyle name="Normal 2 3 2 2 3 2 2 2 2" xfId="27818"/>
    <cellStyle name="Normal 2 3 2 2 3 2 2 2 2 2" xfId="60412"/>
    <cellStyle name="Normal 2 3 2 2 3 2 2 2 3" xfId="41433"/>
    <cellStyle name="Normal 2 3 2 2 3 2 2 3" xfId="9998"/>
    <cellStyle name="Normal 2 3 2 2 3 2 2 3 2" xfId="48009"/>
    <cellStyle name="Normal 2 3 2 2 3 2 2 4" xfId="21799"/>
    <cellStyle name="Normal 2 3 2 2 3 2 2 4 2" xfId="60413"/>
    <cellStyle name="Normal 2 3 2 2 3 2 2 5" xfId="35414"/>
    <cellStyle name="Normal 2 3 2 2 3 2 3" xfId="16018"/>
    <cellStyle name="Normal 2 3 2 2 3 2 3 2" xfId="27819"/>
    <cellStyle name="Normal 2 3 2 2 3 2 3 2 2" xfId="48010"/>
    <cellStyle name="Normal 2 3 2 2 3 2 3 3" xfId="30682"/>
    <cellStyle name="Normal 2 3 2 2 3 2 3 3 2" xfId="48011"/>
    <cellStyle name="Normal 2 3 2 2 3 2 3 4" xfId="30683"/>
    <cellStyle name="Normal 2 3 2 2 3 2 3 4 2" xfId="60414"/>
    <cellStyle name="Normal 2 3 2 2 3 2 3 5" xfId="41434"/>
    <cellStyle name="Normal 2 3 2 2 3 2 4" xfId="16019"/>
    <cellStyle name="Normal 2 3 2 2 3 2 4 2" xfId="27820"/>
    <cellStyle name="Normal 2 3 2 2 3 2 4 2 2" xfId="60415"/>
    <cellStyle name="Normal 2 3 2 2 3 2 4 3" xfId="41435"/>
    <cellStyle name="Normal 2 3 2 2 3 2 5" xfId="7254"/>
    <cellStyle name="Normal 2 3 2 2 3 2 5 2" xfId="48012"/>
    <cellStyle name="Normal 2 3 2 2 3 2 6" xfId="19055"/>
    <cellStyle name="Normal 2 3 2 2 3 2 6 2" xfId="60416"/>
    <cellStyle name="Normal 2 3 2 2 3 2 7" xfId="32670"/>
    <cellStyle name="Normal 2 3 2 2 3 3" xfId="2704"/>
    <cellStyle name="Normal 2 3 2 2 3 3 2" xfId="16020"/>
    <cellStyle name="Normal 2 3 2 2 3 3 2 2" xfId="27821"/>
    <cellStyle name="Normal 2 3 2 2 3 3 2 2 2" xfId="60417"/>
    <cellStyle name="Normal 2 3 2 2 3 3 2 3" xfId="41436"/>
    <cellStyle name="Normal 2 3 2 2 3 3 3" xfId="8157"/>
    <cellStyle name="Normal 2 3 2 2 3 3 3 2" xfId="48013"/>
    <cellStyle name="Normal 2 3 2 2 3 3 4" xfId="19958"/>
    <cellStyle name="Normal 2 3 2 2 3 3 4 2" xfId="60418"/>
    <cellStyle name="Normal 2 3 2 2 3 3 5" xfId="33573"/>
    <cellStyle name="Normal 2 3 2 2 3 4" xfId="16021"/>
    <cellStyle name="Normal 2 3 2 2 3 4 2" xfId="27822"/>
    <cellStyle name="Normal 2 3 2 2 3 4 2 2" xfId="48014"/>
    <cellStyle name="Normal 2 3 2 2 3 4 3" xfId="30684"/>
    <cellStyle name="Normal 2 3 2 2 3 4 3 2" xfId="48015"/>
    <cellStyle name="Normal 2 3 2 2 3 4 4" xfId="30685"/>
    <cellStyle name="Normal 2 3 2 2 3 4 4 2" xfId="60419"/>
    <cellStyle name="Normal 2 3 2 2 3 4 5" xfId="41437"/>
    <cellStyle name="Normal 2 3 2 2 3 5" xfId="16022"/>
    <cellStyle name="Normal 2 3 2 2 3 5 2" xfId="27823"/>
    <cellStyle name="Normal 2 3 2 2 3 5 2 2" xfId="60420"/>
    <cellStyle name="Normal 2 3 2 2 3 5 3" xfId="41438"/>
    <cellStyle name="Normal 2 3 2 2 3 6" xfId="6257"/>
    <cellStyle name="Normal 2 3 2 2 3 6 2" xfId="48016"/>
    <cellStyle name="Normal 2 3 2 2 3 7" xfId="18058"/>
    <cellStyle name="Normal 2 3 2 2 3 7 2" xfId="60421"/>
    <cellStyle name="Normal 2 3 2 2 3 8" xfId="31673"/>
    <cellStyle name="Normal 2 3 2 2 4" xfId="1801"/>
    <cellStyle name="Normal 2 3 2 2 4 2" xfId="5113"/>
    <cellStyle name="Normal 2 3 2 2 4 2 2" xfId="16023"/>
    <cellStyle name="Normal 2 3 2 2 4 2 2 2" xfId="27824"/>
    <cellStyle name="Normal 2 3 2 2 4 2 2 2 2" xfId="60422"/>
    <cellStyle name="Normal 2 3 2 2 4 2 2 3" xfId="41439"/>
    <cellStyle name="Normal 2 3 2 2 4 2 3" xfId="10566"/>
    <cellStyle name="Normal 2 3 2 2 4 2 3 2" xfId="48017"/>
    <cellStyle name="Normal 2 3 2 2 4 2 4" xfId="22367"/>
    <cellStyle name="Normal 2 3 2 2 4 2 4 2" xfId="60423"/>
    <cellStyle name="Normal 2 3 2 2 4 2 5" xfId="35982"/>
    <cellStyle name="Normal 2 3 2 2 4 3" xfId="3272"/>
    <cellStyle name="Normal 2 3 2 2 4 3 2" xfId="16024"/>
    <cellStyle name="Normal 2 3 2 2 4 3 2 2" xfId="27825"/>
    <cellStyle name="Normal 2 3 2 2 4 3 2 2 2" xfId="60424"/>
    <cellStyle name="Normal 2 3 2 2 4 3 2 3" xfId="41440"/>
    <cellStyle name="Normal 2 3 2 2 4 3 3" xfId="8725"/>
    <cellStyle name="Normal 2 3 2 2 4 3 3 2" xfId="48018"/>
    <cellStyle name="Normal 2 3 2 2 4 3 4" xfId="20526"/>
    <cellStyle name="Normal 2 3 2 2 4 3 4 2" xfId="60425"/>
    <cellStyle name="Normal 2 3 2 2 4 3 5" xfId="34141"/>
    <cellStyle name="Normal 2 3 2 2 4 4" xfId="16025"/>
    <cellStyle name="Normal 2 3 2 2 4 4 2" xfId="27826"/>
    <cellStyle name="Normal 2 3 2 2 4 4 2 2" xfId="60426"/>
    <cellStyle name="Normal 2 3 2 2 4 4 3" xfId="41441"/>
    <cellStyle name="Normal 2 3 2 2 4 5" xfId="7255"/>
    <cellStyle name="Normal 2 3 2 2 4 5 2" xfId="48019"/>
    <cellStyle name="Normal 2 3 2 2 4 6" xfId="19056"/>
    <cellStyle name="Normal 2 3 2 2 4 6 2" xfId="60427"/>
    <cellStyle name="Normal 2 3 2 2 4 7" xfId="32671"/>
    <cellStyle name="Normal 2 3 2 2 5" xfId="3977"/>
    <cellStyle name="Normal 2 3 2 2 5 2" xfId="16026"/>
    <cellStyle name="Normal 2 3 2 2 5 2 2" xfId="27827"/>
    <cellStyle name="Normal 2 3 2 2 5 2 2 2" xfId="60428"/>
    <cellStyle name="Normal 2 3 2 2 5 2 3" xfId="41442"/>
    <cellStyle name="Normal 2 3 2 2 5 3" xfId="9430"/>
    <cellStyle name="Normal 2 3 2 2 5 3 2" xfId="48020"/>
    <cellStyle name="Normal 2 3 2 2 5 4" xfId="21231"/>
    <cellStyle name="Normal 2 3 2 2 5 4 2" xfId="60429"/>
    <cellStyle name="Normal 2 3 2 2 5 5" xfId="34846"/>
    <cellStyle name="Normal 2 3 2 2 6" xfId="2136"/>
    <cellStyle name="Normal 2 3 2 2 6 2" xfId="16027"/>
    <cellStyle name="Normal 2 3 2 2 6 2 2" xfId="27828"/>
    <cellStyle name="Normal 2 3 2 2 6 2 2 2" xfId="60430"/>
    <cellStyle name="Normal 2 3 2 2 6 2 3" xfId="41443"/>
    <cellStyle name="Normal 2 3 2 2 6 3" xfId="7589"/>
    <cellStyle name="Normal 2 3 2 2 6 3 2" xfId="48021"/>
    <cellStyle name="Normal 2 3 2 2 6 4" xfId="19390"/>
    <cellStyle name="Normal 2 3 2 2 6 4 2" xfId="60431"/>
    <cellStyle name="Normal 2 3 2 2 6 5" xfId="33005"/>
    <cellStyle name="Normal 2 3 2 2 7" xfId="16028"/>
    <cellStyle name="Normal 2 3 2 2 7 2" xfId="27829"/>
    <cellStyle name="Normal 2 3 2 2 7 2 2" xfId="60432"/>
    <cellStyle name="Normal 2 3 2 2 7 3" xfId="41444"/>
    <cellStyle name="Normal 2 3 2 2 8" xfId="5689"/>
    <cellStyle name="Normal 2 3 2 2 8 2" xfId="48022"/>
    <cellStyle name="Normal 2 3 2 2 9" xfId="17490"/>
    <cellStyle name="Normal 2 3 2 2 9 2" xfId="60433"/>
    <cellStyle name="Normal 2 3 2 3" xfId="406"/>
    <cellStyle name="Normal 2 3 2 3 2" xfId="1802"/>
    <cellStyle name="Normal 2 3 2 3 2 2" xfId="4716"/>
    <cellStyle name="Normal 2 3 2 3 2 2 2" xfId="16029"/>
    <cellStyle name="Normal 2 3 2 3 2 2 2 2" xfId="27830"/>
    <cellStyle name="Normal 2 3 2 3 2 2 2 2 2" xfId="60434"/>
    <cellStyle name="Normal 2 3 2 3 2 2 2 3" xfId="41445"/>
    <cellStyle name="Normal 2 3 2 3 2 2 3" xfId="10169"/>
    <cellStyle name="Normal 2 3 2 3 2 2 3 2" xfId="48023"/>
    <cellStyle name="Normal 2 3 2 3 2 2 4" xfId="21970"/>
    <cellStyle name="Normal 2 3 2 3 2 2 4 2" xfId="60435"/>
    <cellStyle name="Normal 2 3 2 3 2 2 5" xfId="35585"/>
    <cellStyle name="Normal 2 3 2 3 2 3" xfId="2875"/>
    <cellStyle name="Normal 2 3 2 3 2 3 2" xfId="16030"/>
    <cellStyle name="Normal 2 3 2 3 2 3 2 2" xfId="27831"/>
    <cellStyle name="Normal 2 3 2 3 2 3 2 2 2" xfId="60436"/>
    <cellStyle name="Normal 2 3 2 3 2 3 2 3" xfId="41446"/>
    <cellStyle name="Normal 2 3 2 3 2 3 3" xfId="8328"/>
    <cellStyle name="Normal 2 3 2 3 2 3 3 2" xfId="48024"/>
    <cellStyle name="Normal 2 3 2 3 2 3 4" xfId="20129"/>
    <cellStyle name="Normal 2 3 2 3 2 3 4 2" xfId="60437"/>
    <cellStyle name="Normal 2 3 2 3 2 3 5" xfId="33744"/>
    <cellStyle name="Normal 2 3 2 3 2 4" xfId="16031"/>
    <cellStyle name="Normal 2 3 2 3 2 4 2" xfId="27832"/>
    <cellStyle name="Normal 2 3 2 3 2 4 2 2" xfId="60438"/>
    <cellStyle name="Normal 2 3 2 3 2 4 3" xfId="41447"/>
    <cellStyle name="Normal 2 3 2 3 2 5" xfId="7256"/>
    <cellStyle name="Normal 2 3 2 3 2 5 2" xfId="48025"/>
    <cellStyle name="Normal 2 3 2 3 2 6" xfId="19057"/>
    <cellStyle name="Normal 2 3 2 3 2 6 2" xfId="60439"/>
    <cellStyle name="Normal 2 3 2 3 2 7" xfId="32672"/>
    <cellStyle name="Normal 2 3 2 3 3" xfId="3443"/>
    <cellStyle name="Normal 2 3 2 3 3 2" xfId="5284"/>
    <cellStyle name="Normal 2 3 2 3 3 2 2" xfId="16754"/>
    <cellStyle name="Normal 2 3 2 3 3 2 2 2" xfId="28555"/>
    <cellStyle name="Normal 2 3 2 3 3 2 2 2 2" xfId="60440"/>
    <cellStyle name="Normal 2 3 2 3 3 2 2 3" xfId="42170"/>
    <cellStyle name="Normal 2 3 2 3 3 2 3" xfId="10737"/>
    <cellStyle name="Normal 2 3 2 3 3 2 3 2" xfId="60441"/>
    <cellStyle name="Normal 2 3 2 3 3 2 4" xfId="22538"/>
    <cellStyle name="Normal 2 3 2 3 3 2 4 2" xfId="60442"/>
    <cellStyle name="Normal 2 3 2 3 3 2 5" xfId="36153"/>
    <cellStyle name="Normal 2 3 2 3 3 3" xfId="16032"/>
    <cellStyle name="Normal 2 3 2 3 3 3 2" xfId="27833"/>
    <cellStyle name="Normal 2 3 2 3 3 3 2 2" xfId="60443"/>
    <cellStyle name="Normal 2 3 2 3 3 3 3" xfId="41448"/>
    <cellStyle name="Normal 2 3 2 3 3 4" xfId="8896"/>
    <cellStyle name="Normal 2 3 2 3 3 4 2" xfId="60444"/>
    <cellStyle name="Normal 2 3 2 3 3 5" xfId="20697"/>
    <cellStyle name="Normal 2 3 2 3 3 5 2" xfId="60445"/>
    <cellStyle name="Normal 2 3 2 3 3 6" xfId="34312"/>
    <cellStyle name="Normal 2 3 2 3 4" xfId="4148"/>
    <cellStyle name="Normal 2 3 2 3 4 2" xfId="16033"/>
    <cellStyle name="Normal 2 3 2 3 4 2 2" xfId="27834"/>
    <cellStyle name="Normal 2 3 2 3 4 2 2 2" xfId="60446"/>
    <cellStyle name="Normal 2 3 2 3 4 2 3" xfId="41449"/>
    <cellStyle name="Normal 2 3 2 3 4 3" xfId="9601"/>
    <cellStyle name="Normal 2 3 2 3 4 3 2" xfId="48026"/>
    <cellStyle name="Normal 2 3 2 3 4 4" xfId="21402"/>
    <cellStyle name="Normal 2 3 2 3 4 4 2" xfId="60447"/>
    <cellStyle name="Normal 2 3 2 3 4 5" xfId="35017"/>
    <cellStyle name="Normal 2 3 2 3 5" xfId="2307"/>
    <cellStyle name="Normal 2 3 2 3 5 2" xfId="17221"/>
    <cellStyle name="Normal 2 3 2 3 5 2 2" xfId="29022"/>
    <cellStyle name="Normal 2 3 2 3 5 2 2 2" xfId="60448"/>
    <cellStyle name="Normal 2 3 2 3 5 2 3" xfId="42637"/>
    <cellStyle name="Normal 2 3 2 3 5 3" xfId="7760"/>
    <cellStyle name="Normal 2 3 2 3 5 3 2" xfId="60449"/>
    <cellStyle name="Normal 2 3 2 3 5 4" xfId="19561"/>
    <cellStyle name="Normal 2 3 2 3 5 4 2" xfId="60450"/>
    <cellStyle name="Normal 2 3 2 3 5 5" xfId="33176"/>
    <cellStyle name="Normal 2 3 2 3 6" xfId="16034"/>
    <cellStyle name="Normal 2 3 2 3 6 2" xfId="27835"/>
    <cellStyle name="Normal 2 3 2 3 6 2 2" xfId="60451"/>
    <cellStyle name="Normal 2 3 2 3 6 3" xfId="41450"/>
    <cellStyle name="Normal 2 3 2 3 7" xfId="5860"/>
    <cellStyle name="Normal 2 3 2 3 7 2" xfId="60452"/>
    <cellStyle name="Normal 2 3 2 3 8" xfId="17661"/>
    <cellStyle name="Normal 2 3 2 3 8 2" xfId="60453"/>
    <cellStyle name="Normal 2 3 2 3 9" xfId="31276"/>
    <cellStyle name="Normal 2 3 2 4" xfId="684"/>
    <cellStyle name="Normal 2 3 2 4 2" xfId="1803"/>
    <cellStyle name="Normal 2 3 2 4 2 2" xfId="4426"/>
    <cellStyle name="Normal 2 3 2 4 2 2 2" xfId="16035"/>
    <cellStyle name="Normal 2 3 2 4 2 2 2 2" xfId="27836"/>
    <cellStyle name="Normal 2 3 2 4 2 2 2 2 2" xfId="60454"/>
    <cellStyle name="Normal 2 3 2 4 2 2 2 3" xfId="41451"/>
    <cellStyle name="Normal 2 3 2 4 2 2 3" xfId="9879"/>
    <cellStyle name="Normal 2 3 2 4 2 2 3 2" xfId="48027"/>
    <cellStyle name="Normal 2 3 2 4 2 2 4" xfId="21680"/>
    <cellStyle name="Normal 2 3 2 4 2 2 4 2" xfId="60455"/>
    <cellStyle name="Normal 2 3 2 4 2 2 5" xfId="35295"/>
    <cellStyle name="Normal 2 3 2 4 2 3" xfId="16036"/>
    <cellStyle name="Normal 2 3 2 4 2 3 2" xfId="27837"/>
    <cellStyle name="Normal 2 3 2 4 2 3 2 2" xfId="48028"/>
    <cellStyle name="Normal 2 3 2 4 2 3 3" xfId="30686"/>
    <cellStyle name="Normal 2 3 2 4 2 3 3 2" xfId="48029"/>
    <cellStyle name="Normal 2 3 2 4 2 3 4" xfId="30687"/>
    <cellStyle name="Normal 2 3 2 4 2 3 4 2" xfId="60456"/>
    <cellStyle name="Normal 2 3 2 4 2 3 5" xfId="41452"/>
    <cellStyle name="Normal 2 3 2 4 2 4" xfId="16037"/>
    <cellStyle name="Normal 2 3 2 4 2 4 2" xfId="27838"/>
    <cellStyle name="Normal 2 3 2 4 2 4 2 2" xfId="60457"/>
    <cellStyle name="Normal 2 3 2 4 2 4 3" xfId="41453"/>
    <cellStyle name="Normal 2 3 2 4 2 5" xfId="7257"/>
    <cellStyle name="Normal 2 3 2 4 2 5 2" xfId="48030"/>
    <cellStyle name="Normal 2 3 2 4 2 6" xfId="19058"/>
    <cellStyle name="Normal 2 3 2 4 2 6 2" xfId="60458"/>
    <cellStyle name="Normal 2 3 2 4 2 7" xfId="32673"/>
    <cellStyle name="Normal 2 3 2 4 3" xfId="2585"/>
    <cellStyle name="Normal 2 3 2 4 3 2" xfId="16038"/>
    <cellStyle name="Normal 2 3 2 4 3 2 2" xfId="27839"/>
    <cellStyle name="Normal 2 3 2 4 3 2 2 2" xfId="60459"/>
    <cellStyle name="Normal 2 3 2 4 3 2 3" xfId="41454"/>
    <cellStyle name="Normal 2 3 2 4 3 3" xfId="8038"/>
    <cellStyle name="Normal 2 3 2 4 3 3 2" xfId="48031"/>
    <cellStyle name="Normal 2 3 2 4 3 4" xfId="19839"/>
    <cellStyle name="Normal 2 3 2 4 3 4 2" xfId="60460"/>
    <cellStyle name="Normal 2 3 2 4 3 5" xfId="33454"/>
    <cellStyle name="Normal 2 3 2 4 4" xfId="16039"/>
    <cellStyle name="Normal 2 3 2 4 4 2" xfId="27840"/>
    <cellStyle name="Normal 2 3 2 4 4 2 2" xfId="48032"/>
    <cellStyle name="Normal 2 3 2 4 4 3" xfId="30688"/>
    <cellStyle name="Normal 2 3 2 4 4 3 2" xfId="48033"/>
    <cellStyle name="Normal 2 3 2 4 4 4" xfId="30689"/>
    <cellStyle name="Normal 2 3 2 4 4 4 2" xfId="60461"/>
    <cellStyle name="Normal 2 3 2 4 4 5" xfId="41455"/>
    <cellStyle name="Normal 2 3 2 4 5" xfId="16040"/>
    <cellStyle name="Normal 2 3 2 4 5 2" xfId="27841"/>
    <cellStyle name="Normal 2 3 2 4 5 2 2" xfId="60462"/>
    <cellStyle name="Normal 2 3 2 4 5 3" xfId="41456"/>
    <cellStyle name="Normal 2 3 2 4 6" xfId="6138"/>
    <cellStyle name="Normal 2 3 2 4 6 2" xfId="48034"/>
    <cellStyle name="Normal 2 3 2 4 7" xfId="17939"/>
    <cellStyle name="Normal 2 3 2 4 7 2" xfId="60463"/>
    <cellStyle name="Normal 2 3 2 4 8" xfId="31554"/>
    <cellStyle name="Normal 2 3 2 5" xfId="925"/>
    <cellStyle name="Normal 2 3 2 5 2" xfId="1804"/>
    <cellStyle name="Normal 2 3 2 5 2 2" xfId="4994"/>
    <cellStyle name="Normal 2 3 2 5 2 2 2" xfId="16041"/>
    <cellStyle name="Normal 2 3 2 5 2 2 2 2" xfId="27842"/>
    <cellStyle name="Normal 2 3 2 5 2 2 2 2 2" xfId="60464"/>
    <cellStyle name="Normal 2 3 2 5 2 2 2 3" xfId="41457"/>
    <cellStyle name="Normal 2 3 2 5 2 2 3" xfId="10447"/>
    <cellStyle name="Normal 2 3 2 5 2 2 3 2" xfId="48035"/>
    <cellStyle name="Normal 2 3 2 5 2 2 4" xfId="22248"/>
    <cellStyle name="Normal 2 3 2 5 2 2 4 2" xfId="60465"/>
    <cellStyle name="Normal 2 3 2 5 2 2 5" xfId="35863"/>
    <cellStyle name="Normal 2 3 2 5 2 3" xfId="16042"/>
    <cellStyle name="Normal 2 3 2 5 2 3 2" xfId="27843"/>
    <cellStyle name="Normal 2 3 2 5 2 3 2 2" xfId="48036"/>
    <cellStyle name="Normal 2 3 2 5 2 3 3" xfId="30690"/>
    <cellStyle name="Normal 2 3 2 5 2 3 3 2" xfId="48037"/>
    <cellStyle name="Normal 2 3 2 5 2 3 4" xfId="30691"/>
    <cellStyle name="Normal 2 3 2 5 2 3 4 2" xfId="60466"/>
    <cellStyle name="Normal 2 3 2 5 2 3 5" xfId="41458"/>
    <cellStyle name="Normal 2 3 2 5 2 4" xfId="16043"/>
    <cellStyle name="Normal 2 3 2 5 2 4 2" xfId="27844"/>
    <cellStyle name="Normal 2 3 2 5 2 4 2 2" xfId="60467"/>
    <cellStyle name="Normal 2 3 2 5 2 4 3" xfId="41459"/>
    <cellStyle name="Normal 2 3 2 5 2 5" xfId="7258"/>
    <cellStyle name="Normal 2 3 2 5 2 5 2" xfId="48038"/>
    <cellStyle name="Normal 2 3 2 5 2 6" xfId="19059"/>
    <cellStyle name="Normal 2 3 2 5 2 6 2" xfId="60468"/>
    <cellStyle name="Normal 2 3 2 5 2 7" xfId="32674"/>
    <cellStyle name="Normal 2 3 2 5 3" xfId="3153"/>
    <cellStyle name="Normal 2 3 2 5 3 2" xfId="16044"/>
    <cellStyle name="Normal 2 3 2 5 3 2 2" xfId="27845"/>
    <cellStyle name="Normal 2 3 2 5 3 2 2 2" xfId="60469"/>
    <cellStyle name="Normal 2 3 2 5 3 2 3" xfId="41460"/>
    <cellStyle name="Normal 2 3 2 5 3 3" xfId="8606"/>
    <cellStyle name="Normal 2 3 2 5 3 3 2" xfId="48039"/>
    <cellStyle name="Normal 2 3 2 5 3 4" xfId="20407"/>
    <cellStyle name="Normal 2 3 2 5 3 4 2" xfId="60470"/>
    <cellStyle name="Normal 2 3 2 5 3 5" xfId="34022"/>
    <cellStyle name="Normal 2 3 2 5 4" xfId="16045"/>
    <cellStyle name="Normal 2 3 2 5 4 2" xfId="27846"/>
    <cellStyle name="Normal 2 3 2 5 4 2 2" xfId="48040"/>
    <cellStyle name="Normal 2 3 2 5 4 3" xfId="30692"/>
    <cellStyle name="Normal 2 3 2 5 4 3 2" xfId="48041"/>
    <cellStyle name="Normal 2 3 2 5 4 4" xfId="30693"/>
    <cellStyle name="Normal 2 3 2 5 4 4 2" xfId="60471"/>
    <cellStyle name="Normal 2 3 2 5 4 5" xfId="41461"/>
    <cellStyle name="Normal 2 3 2 5 5" xfId="16046"/>
    <cellStyle name="Normal 2 3 2 5 5 2" xfId="27847"/>
    <cellStyle name="Normal 2 3 2 5 5 2 2" xfId="60472"/>
    <cellStyle name="Normal 2 3 2 5 5 3" xfId="41462"/>
    <cellStyle name="Normal 2 3 2 5 6" xfId="6379"/>
    <cellStyle name="Normal 2 3 2 5 6 2" xfId="48042"/>
    <cellStyle name="Normal 2 3 2 5 7" xfId="18180"/>
    <cellStyle name="Normal 2 3 2 5 7 2" xfId="60473"/>
    <cellStyle name="Normal 2 3 2 5 8" xfId="31795"/>
    <cellStyle name="Normal 2 3 2 6" xfId="1805"/>
    <cellStyle name="Normal 2 3 2 6 2" xfId="3858"/>
    <cellStyle name="Normal 2 3 2 6 2 2" xfId="16047"/>
    <cellStyle name="Normal 2 3 2 6 2 2 2" xfId="27848"/>
    <cellStyle name="Normal 2 3 2 6 2 2 2 2" xfId="60474"/>
    <cellStyle name="Normal 2 3 2 6 2 2 3" xfId="41463"/>
    <cellStyle name="Normal 2 3 2 6 2 3" xfId="9311"/>
    <cellStyle name="Normal 2 3 2 6 2 3 2" xfId="48043"/>
    <cellStyle name="Normal 2 3 2 6 2 4" xfId="21112"/>
    <cellStyle name="Normal 2 3 2 6 2 4 2" xfId="60475"/>
    <cellStyle name="Normal 2 3 2 6 2 5" xfId="34727"/>
    <cellStyle name="Normal 2 3 2 6 3" xfId="16048"/>
    <cellStyle name="Normal 2 3 2 6 3 2" xfId="27849"/>
    <cellStyle name="Normal 2 3 2 6 3 2 2" xfId="48044"/>
    <cellStyle name="Normal 2 3 2 6 3 3" xfId="30694"/>
    <cellStyle name="Normal 2 3 2 6 3 3 2" xfId="48045"/>
    <cellStyle name="Normal 2 3 2 6 3 4" xfId="30695"/>
    <cellStyle name="Normal 2 3 2 6 3 4 2" xfId="60476"/>
    <cellStyle name="Normal 2 3 2 6 3 5" xfId="41464"/>
    <cellStyle name="Normal 2 3 2 6 4" xfId="16049"/>
    <cellStyle name="Normal 2 3 2 6 4 2" xfId="27850"/>
    <cellStyle name="Normal 2 3 2 6 4 2 2" xfId="60477"/>
    <cellStyle name="Normal 2 3 2 6 4 3" xfId="41465"/>
    <cellStyle name="Normal 2 3 2 6 5" xfId="7259"/>
    <cellStyle name="Normal 2 3 2 6 5 2" xfId="48046"/>
    <cellStyle name="Normal 2 3 2 6 6" xfId="19060"/>
    <cellStyle name="Normal 2 3 2 6 6 2" xfId="60478"/>
    <cellStyle name="Normal 2 3 2 6 7" xfId="32675"/>
    <cellStyle name="Normal 2 3 2 7" xfId="3721"/>
    <cellStyle name="Normal 2 3 2 7 2" xfId="16050"/>
    <cellStyle name="Normal 2 3 2 7 2 2" xfId="27851"/>
    <cellStyle name="Normal 2 3 2 7 2 2 2" xfId="60479"/>
    <cellStyle name="Normal 2 3 2 7 2 3" xfId="41466"/>
    <cellStyle name="Normal 2 3 2 7 3" xfId="9174"/>
    <cellStyle name="Normal 2 3 2 7 3 2" xfId="48047"/>
    <cellStyle name="Normal 2 3 2 7 4" xfId="20975"/>
    <cellStyle name="Normal 2 3 2 7 4 2" xfId="60480"/>
    <cellStyle name="Normal 2 3 2 7 5" xfId="34590"/>
    <cellStyle name="Normal 2 3 2 8" xfId="2017"/>
    <cellStyle name="Normal 2 3 2 8 2" xfId="16051"/>
    <cellStyle name="Normal 2 3 2 8 2 2" xfId="27852"/>
    <cellStyle name="Normal 2 3 2 8 2 2 2" xfId="60481"/>
    <cellStyle name="Normal 2 3 2 8 2 3" xfId="41467"/>
    <cellStyle name="Normal 2 3 2 8 3" xfId="7470"/>
    <cellStyle name="Normal 2 3 2 8 3 2" xfId="48048"/>
    <cellStyle name="Normal 2 3 2 8 4" xfId="19271"/>
    <cellStyle name="Normal 2 3 2 8 4 2" xfId="60482"/>
    <cellStyle name="Normal 2 3 2 8 5" xfId="32886"/>
    <cellStyle name="Normal 2 3 2 9" xfId="16052"/>
    <cellStyle name="Normal 2 3 2 9 2" xfId="27853"/>
    <cellStyle name="Normal 2 3 2 9 2 2" xfId="60483"/>
    <cellStyle name="Normal 2 3 2 9 3" xfId="41468"/>
    <cellStyle name="Normal 2 3 3" xfId="184"/>
    <cellStyle name="Normal 2 3 3 10" xfId="31054"/>
    <cellStyle name="Normal 2 3 3 2" xfId="339"/>
    <cellStyle name="Normal 2 3 3 2 2" xfId="1806"/>
    <cellStyle name="Normal 2 3 3 2 2 2" xfId="4649"/>
    <cellStyle name="Normal 2 3 3 2 2 2 2" xfId="16053"/>
    <cellStyle name="Normal 2 3 3 2 2 2 2 2" xfId="27854"/>
    <cellStyle name="Normal 2 3 3 2 2 2 2 2 2" xfId="60484"/>
    <cellStyle name="Normal 2 3 3 2 2 2 2 3" xfId="41469"/>
    <cellStyle name="Normal 2 3 3 2 2 2 3" xfId="10102"/>
    <cellStyle name="Normal 2 3 3 2 2 2 3 2" xfId="48049"/>
    <cellStyle name="Normal 2 3 3 2 2 2 4" xfId="21903"/>
    <cellStyle name="Normal 2 3 3 2 2 2 4 2" xfId="60485"/>
    <cellStyle name="Normal 2 3 3 2 2 2 5" xfId="35518"/>
    <cellStyle name="Normal 2 3 3 2 2 3" xfId="2808"/>
    <cellStyle name="Normal 2 3 3 2 2 3 2" xfId="16054"/>
    <cellStyle name="Normal 2 3 3 2 2 3 2 2" xfId="27855"/>
    <cellStyle name="Normal 2 3 3 2 2 3 2 2 2" xfId="60486"/>
    <cellStyle name="Normal 2 3 3 2 2 3 2 3" xfId="41470"/>
    <cellStyle name="Normal 2 3 3 2 2 3 3" xfId="8261"/>
    <cellStyle name="Normal 2 3 3 2 2 3 3 2" xfId="48050"/>
    <cellStyle name="Normal 2 3 3 2 2 3 4" xfId="20062"/>
    <cellStyle name="Normal 2 3 3 2 2 3 4 2" xfId="60487"/>
    <cellStyle name="Normal 2 3 3 2 2 3 5" xfId="33677"/>
    <cellStyle name="Normal 2 3 3 2 2 4" xfId="16055"/>
    <cellStyle name="Normal 2 3 3 2 2 4 2" xfId="27856"/>
    <cellStyle name="Normal 2 3 3 2 2 4 2 2" xfId="60488"/>
    <cellStyle name="Normal 2 3 3 2 2 4 3" xfId="41471"/>
    <cellStyle name="Normal 2 3 3 2 2 5" xfId="7260"/>
    <cellStyle name="Normal 2 3 3 2 2 5 2" xfId="48051"/>
    <cellStyle name="Normal 2 3 3 2 2 6" xfId="19061"/>
    <cellStyle name="Normal 2 3 3 2 2 6 2" xfId="60489"/>
    <cellStyle name="Normal 2 3 3 2 2 7" xfId="32676"/>
    <cellStyle name="Normal 2 3 3 2 3" xfId="3376"/>
    <cellStyle name="Normal 2 3 3 2 3 2" xfId="5217"/>
    <cellStyle name="Normal 2 3 3 2 3 2 2" xfId="16687"/>
    <cellStyle name="Normal 2 3 3 2 3 2 2 2" xfId="28488"/>
    <cellStyle name="Normal 2 3 3 2 3 2 2 2 2" xfId="60490"/>
    <cellStyle name="Normal 2 3 3 2 3 2 2 3" xfId="42103"/>
    <cellStyle name="Normal 2 3 3 2 3 2 3" xfId="10670"/>
    <cellStyle name="Normal 2 3 3 2 3 2 3 2" xfId="60491"/>
    <cellStyle name="Normal 2 3 3 2 3 2 4" xfId="22471"/>
    <cellStyle name="Normal 2 3 3 2 3 2 4 2" xfId="60492"/>
    <cellStyle name="Normal 2 3 3 2 3 2 5" xfId="36086"/>
    <cellStyle name="Normal 2 3 3 2 3 3" xfId="16056"/>
    <cellStyle name="Normal 2 3 3 2 3 3 2" xfId="27857"/>
    <cellStyle name="Normal 2 3 3 2 3 3 2 2" xfId="60493"/>
    <cellStyle name="Normal 2 3 3 2 3 3 3" xfId="41472"/>
    <cellStyle name="Normal 2 3 3 2 3 4" xfId="8829"/>
    <cellStyle name="Normal 2 3 3 2 3 4 2" xfId="60494"/>
    <cellStyle name="Normal 2 3 3 2 3 5" xfId="20630"/>
    <cellStyle name="Normal 2 3 3 2 3 5 2" xfId="60495"/>
    <cellStyle name="Normal 2 3 3 2 3 6" xfId="34245"/>
    <cellStyle name="Normal 2 3 3 2 4" xfId="4081"/>
    <cellStyle name="Normal 2 3 3 2 4 2" xfId="16057"/>
    <cellStyle name="Normal 2 3 3 2 4 2 2" xfId="27858"/>
    <cellStyle name="Normal 2 3 3 2 4 2 2 2" xfId="60496"/>
    <cellStyle name="Normal 2 3 3 2 4 2 3" xfId="41473"/>
    <cellStyle name="Normal 2 3 3 2 4 3" xfId="9534"/>
    <cellStyle name="Normal 2 3 3 2 4 3 2" xfId="48052"/>
    <cellStyle name="Normal 2 3 3 2 4 4" xfId="21335"/>
    <cellStyle name="Normal 2 3 3 2 4 4 2" xfId="60497"/>
    <cellStyle name="Normal 2 3 3 2 4 5" xfId="34950"/>
    <cellStyle name="Normal 2 3 3 2 5" xfId="2240"/>
    <cellStyle name="Normal 2 3 3 2 5 2" xfId="17222"/>
    <cellStyle name="Normal 2 3 3 2 5 2 2" xfId="29023"/>
    <cellStyle name="Normal 2 3 3 2 5 2 2 2" xfId="60498"/>
    <cellStyle name="Normal 2 3 3 2 5 2 3" xfId="42638"/>
    <cellStyle name="Normal 2 3 3 2 5 3" xfId="7693"/>
    <cellStyle name="Normal 2 3 3 2 5 3 2" xfId="60499"/>
    <cellStyle name="Normal 2 3 3 2 5 4" xfId="19494"/>
    <cellStyle name="Normal 2 3 3 2 5 4 2" xfId="60500"/>
    <cellStyle name="Normal 2 3 3 2 5 5" xfId="33109"/>
    <cellStyle name="Normal 2 3 3 2 6" xfId="16058"/>
    <cellStyle name="Normal 2 3 3 2 6 2" xfId="27859"/>
    <cellStyle name="Normal 2 3 3 2 6 2 2" xfId="60501"/>
    <cellStyle name="Normal 2 3 3 2 6 3" xfId="41474"/>
    <cellStyle name="Normal 2 3 3 2 7" xfId="5793"/>
    <cellStyle name="Normal 2 3 3 2 7 2" xfId="60502"/>
    <cellStyle name="Normal 2 3 3 2 8" xfId="17594"/>
    <cellStyle name="Normal 2 3 3 2 8 2" xfId="60503"/>
    <cellStyle name="Normal 2 3 3 2 9" xfId="31209"/>
    <cellStyle name="Normal 2 3 3 3" xfId="752"/>
    <cellStyle name="Normal 2 3 3 3 2" xfId="1807"/>
    <cellStyle name="Normal 2 3 3 3 2 2" xfId="4494"/>
    <cellStyle name="Normal 2 3 3 3 2 2 2" xfId="16059"/>
    <cellStyle name="Normal 2 3 3 3 2 2 2 2" xfId="27860"/>
    <cellStyle name="Normal 2 3 3 3 2 2 2 2 2" xfId="60504"/>
    <cellStyle name="Normal 2 3 3 3 2 2 2 3" xfId="41475"/>
    <cellStyle name="Normal 2 3 3 3 2 2 3" xfId="9947"/>
    <cellStyle name="Normal 2 3 3 3 2 2 3 2" xfId="48053"/>
    <cellStyle name="Normal 2 3 3 3 2 2 4" xfId="21748"/>
    <cellStyle name="Normal 2 3 3 3 2 2 4 2" xfId="60505"/>
    <cellStyle name="Normal 2 3 3 3 2 2 5" xfId="35363"/>
    <cellStyle name="Normal 2 3 3 3 2 3" xfId="16060"/>
    <cellStyle name="Normal 2 3 3 3 2 3 2" xfId="27861"/>
    <cellStyle name="Normal 2 3 3 3 2 3 2 2" xfId="48054"/>
    <cellStyle name="Normal 2 3 3 3 2 3 3" xfId="30696"/>
    <cellStyle name="Normal 2 3 3 3 2 3 3 2" xfId="48055"/>
    <cellStyle name="Normal 2 3 3 3 2 3 4" xfId="30697"/>
    <cellStyle name="Normal 2 3 3 3 2 3 4 2" xfId="60506"/>
    <cellStyle name="Normal 2 3 3 3 2 3 5" xfId="41476"/>
    <cellStyle name="Normal 2 3 3 3 2 4" xfId="16061"/>
    <cellStyle name="Normal 2 3 3 3 2 4 2" xfId="27862"/>
    <cellStyle name="Normal 2 3 3 3 2 4 2 2" xfId="60507"/>
    <cellStyle name="Normal 2 3 3 3 2 4 3" xfId="41477"/>
    <cellStyle name="Normal 2 3 3 3 2 5" xfId="7261"/>
    <cellStyle name="Normal 2 3 3 3 2 5 2" xfId="48056"/>
    <cellStyle name="Normal 2 3 3 3 2 6" xfId="19062"/>
    <cellStyle name="Normal 2 3 3 3 2 6 2" xfId="60508"/>
    <cellStyle name="Normal 2 3 3 3 2 7" xfId="32677"/>
    <cellStyle name="Normal 2 3 3 3 3" xfId="2653"/>
    <cellStyle name="Normal 2 3 3 3 3 2" xfId="16062"/>
    <cellStyle name="Normal 2 3 3 3 3 2 2" xfId="27863"/>
    <cellStyle name="Normal 2 3 3 3 3 2 2 2" xfId="60509"/>
    <cellStyle name="Normal 2 3 3 3 3 2 3" xfId="41478"/>
    <cellStyle name="Normal 2 3 3 3 3 3" xfId="8106"/>
    <cellStyle name="Normal 2 3 3 3 3 3 2" xfId="48057"/>
    <cellStyle name="Normal 2 3 3 3 3 4" xfId="19907"/>
    <cellStyle name="Normal 2 3 3 3 3 4 2" xfId="60510"/>
    <cellStyle name="Normal 2 3 3 3 3 5" xfId="33522"/>
    <cellStyle name="Normal 2 3 3 3 4" xfId="16063"/>
    <cellStyle name="Normal 2 3 3 3 4 2" xfId="27864"/>
    <cellStyle name="Normal 2 3 3 3 4 2 2" xfId="48058"/>
    <cellStyle name="Normal 2 3 3 3 4 3" xfId="30698"/>
    <cellStyle name="Normal 2 3 3 3 4 3 2" xfId="48059"/>
    <cellStyle name="Normal 2 3 3 3 4 4" xfId="30699"/>
    <cellStyle name="Normal 2 3 3 3 4 4 2" xfId="60511"/>
    <cellStyle name="Normal 2 3 3 3 4 5" xfId="41479"/>
    <cellStyle name="Normal 2 3 3 3 5" xfId="16064"/>
    <cellStyle name="Normal 2 3 3 3 5 2" xfId="27865"/>
    <cellStyle name="Normal 2 3 3 3 5 2 2" xfId="60512"/>
    <cellStyle name="Normal 2 3 3 3 5 3" xfId="41480"/>
    <cellStyle name="Normal 2 3 3 3 6" xfId="6206"/>
    <cellStyle name="Normal 2 3 3 3 6 2" xfId="48060"/>
    <cellStyle name="Normal 2 3 3 3 7" xfId="18007"/>
    <cellStyle name="Normal 2 3 3 3 7 2" xfId="60513"/>
    <cellStyle name="Normal 2 3 3 3 8" xfId="31622"/>
    <cellStyle name="Normal 2 3 3 4" xfId="1808"/>
    <cellStyle name="Normal 2 3 3 4 2" xfId="5062"/>
    <cellStyle name="Normal 2 3 3 4 2 2" xfId="16065"/>
    <cellStyle name="Normal 2 3 3 4 2 2 2" xfId="27866"/>
    <cellStyle name="Normal 2 3 3 4 2 2 2 2" xfId="60514"/>
    <cellStyle name="Normal 2 3 3 4 2 2 3" xfId="41481"/>
    <cellStyle name="Normal 2 3 3 4 2 3" xfId="10515"/>
    <cellStyle name="Normal 2 3 3 4 2 3 2" xfId="48061"/>
    <cellStyle name="Normal 2 3 3 4 2 4" xfId="22316"/>
    <cellStyle name="Normal 2 3 3 4 2 4 2" xfId="60515"/>
    <cellStyle name="Normal 2 3 3 4 2 5" xfId="35931"/>
    <cellStyle name="Normal 2 3 3 4 3" xfId="3221"/>
    <cellStyle name="Normal 2 3 3 4 3 2" xfId="16066"/>
    <cellStyle name="Normal 2 3 3 4 3 2 2" xfId="27867"/>
    <cellStyle name="Normal 2 3 3 4 3 2 2 2" xfId="60516"/>
    <cellStyle name="Normal 2 3 3 4 3 2 3" xfId="41482"/>
    <cellStyle name="Normal 2 3 3 4 3 3" xfId="8674"/>
    <cellStyle name="Normal 2 3 3 4 3 3 2" xfId="48062"/>
    <cellStyle name="Normal 2 3 3 4 3 4" xfId="20475"/>
    <cellStyle name="Normal 2 3 3 4 3 4 2" xfId="60517"/>
    <cellStyle name="Normal 2 3 3 4 3 5" xfId="34090"/>
    <cellStyle name="Normal 2 3 3 4 4" xfId="16067"/>
    <cellStyle name="Normal 2 3 3 4 4 2" xfId="27868"/>
    <cellStyle name="Normal 2 3 3 4 4 2 2" xfId="60518"/>
    <cellStyle name="Normal 2 3 3 4 4 3" xfId="41483"/>
    <cellStyle name="Normal 2 3 3 4 5" xfId="7262"/>
    <cellStyle name="Normal 2 3 3 4 5 2" xfId="48063"/>
    <cellStyle name="Normal 2 3 3 4 6" xfId="19063"/>
    <cellStyle name="Normal 2 3 3 4 6 2" xfId="60519"/>
    <cellStyle name="Normal 2 3 3 4 7" xfId="32678"/>
    <cellStyle name="Normal 2 3 3 5" xfId="3926"/>
    <cellStyle name="Normal 2 3 3 5 2" xfId="16068"/>
    <cellStyle name="Normal 2 3 3 5 2 2" xfId="27869"/>
    <cellStyle name="Normal 2 3 3 5 2 2 2" xfId="60520"/>
    <cellStyle name="Normal 2 3 3 5 2 3" xfId="41484"/>
    <cellStyle name="Normal 2 3 3 5 3" xfId="9379"/>
    <cellStyle name="Normal 2 3 3 5 3 2" xfId="48064"/>
    <cellStyle name="Normal 2 3 3 5 4" xfId="21180"/>
    <cellStyle name="Normal 2 3 3 5 4 2" xfId="60521"/>
    <cellStyle name="Normal 2 3 3 5 5" xfId="34795"/>
    <cellStyle name="Normal 2 3 3 6" xfId="2085"/>
    <cellStyle name="Normal 2 3 3 6 2" xfId="16069"/>
    <cellStyle name="Normal 2 3 3 6 2 2" xfId="27870"/>
    <cellStyle name="Normal 2 3 3 6 2 2 2" xfId="60522"/>
    <cellStyle name="Normal 2 3 3 6 2 3" xfId="41485"/>
    <cellStyle name="Normal 2 3 3 6 3" xfId="7538"/>
    <cellStyle name="Normal 2 3 3 6 3 2" xfId="48065"/>
    <cellStyle name="Normal 2 3 3 6 4" xfId="19339"/>
    <cellStyle name="Normal 2 3 3 6 4 2" xfId="60523"/>
    <cellStyle name="Normal 2 3 3 6 5" xfId="32954"/>
    <cellStyle name="Normal 2 3 3 7" xfId="16070"/>
    <cellStyle name="Normal 2 3 3 7 2" xfId="27871"/>
    <cellStyle name="Normal 2 3 3 7 2 2" xfId="60524"/>
    <cellStyle name="Normal 2 3 3 7 3" xfId="41486"/>
    <cellStyle name="Normal 2 3 3 8" xfId="5638"/>
    <cellStyle name="Normal 2 3 3 8 2" xfId="48066"/>
    <cellStyle name="Normal 2 3 3 9" xfId="17439"/>
    <cellStyle name="Normal 2 3 3 9 2" xfId="60525"/>
    <cellStyle name="Normal 2 3 4" xfId="476"/>
    <cellStyle name="Normal 2 3 4 2" xfId="1809"/>
    <cellStyle name="Normal 2 3 4 2 2" xfId="4786"/>
    <cellStyle name="Normal 2 3 4 2 2 2" xfId="16071"/>
    <cellStyle name="Normal 2 3 4 2 2 2 2" xfId="27872"/>
    <cellStyle name="Normal 2 3 4 2 2 2 2 2" xfId="60526"/>
    <cellStyle name="Normal 2 3 4 2 2 2 3" xfId="41487"/>
    <cellStyle name="Normal 2 3 4 2 2 3" xfId="10239"/>
    <cellStyle name="Normal 2 3 4 2 2 3 2" xfId="48067"/>
    <cellStyle name="Normal 2 3 4 2 2 4" xfId="22040"/>
    <cellStyle name="Normal 2 3 4 2 2 4 2" xfId="60527"/>
    <cellStyle name="Normal 2 3 4 2 2 5" xfId="35655"/>
    <cellStyle name="Normal 2 3 4 2 3" xfId="2945"/>
    <cellStyle name="Normal 2 3 4 2 3 2" xfId="16072"/>
    <cellStyle name="Normal 2 3 4 2 3 2 2" xfId="27873"/>
    <cellStyle name="Normal 2 3 4 2 3 2 2 2" xfId="60528"/>
    <cellStyle name="Normal 2 3 4 2 3 2 3" xfId="41488"/>
    <cellStyle name="Normal 2 3 4 2 3 3" xfId="8398"/>
    <cellStyle name="Normal 2 3 4 2 3 3 2" xfId="48068"/>
    <cellStyle name="Normal 2 3 4 2 3 4" xfId="20199"/>
    <cellStyle name="Normal 2 3 4 2 3 4 2" xfId="60529"/>
    <cellStyle name="Normal 2 3 4 2 3 5" xfId="33814"/>
    <cellStyle name="Normal 2 3 4 2 4" xfId="16073"/>
    <cellStyle name="Normal 2 3 4 2 4 2" xfId="27874"/>
    <cellStyle name="Normal 2 3 4 2 4 2 2" xfId="60530"/>
    <cellStyle name="Normal 2 3 4 2 4 3" xfId="41489"/>
    <cellStyle name="Normal 2 3 4 2 5" xfId="7263"/>
    <cellStyle name="Normal 2 3 4 2 5 2" xfId="48069"/>
    <cellStyle name="Normal 2 3 4 2 6" xfId="19064"/>
    <cellStyle name="Normal 2 3 4 2 6 2" xfId="60531"/>
    <cellStyle name="Normal 2 3 4 2 7" xfId="32679"/>
    <cellStyle name="Normal 2 3 4 3" xfId="3513"/>
    <cellStyle name="Normal 2 3 4 3 2" xfId="5354"/>
    <cellStyle name="Normal 2 3 4 3 2 2" xfId="16824"/>
    <cellStyle name="Normal 2 3 4 3 2 2 2" xfId="28625"/>
    <cellStyle name="Normal 2 3 4 3 2 2 2 2" xfId="60532"/>
    <cellStyle name="Normal 2 3 4 3 2 2 3" xfId="42240"/>
    <cellStyle name="Normal 2 3 4 3 2 3" xfId="10807"/>
    <cellStyle name="Normal 2 3 4 3 2 3 2" xfId="60533"/>
    <cellStyle name="Normal 2 3 4 3 2 4" xfId="22608"/>
    <cellStyle name="Normal 2 3 4 3 2 4 2" xfId="60534"/>
    <cellStyle name="Normal 2 3 4 3 2 5" xfId="36223"/>
    <cellStyle name="Normal 2 3 4 3 3" xfId="16074"/>
    <cellStyle name="Normal 2 3 4 3 3 2" xfId="27875"/>
    <cellStyle name="Normal 2 3 4 3 3 2 2" xfId="60535"/>
    <cellStyle name="Normal 2 3 4 3 3 3" xfId="41490"/>
    <cellStyle name="Normal 2 3 4 3 4" xfId="8966"/>
    <cellStyle name="Normal 2 3 4 3 4 2" xfId="60536"/>
    <cellStyle name="Normal 2 3 4 3 5" xfId="20767"/>
    <cellStyle name="Normal 2 3 4 3 5 2" xfId="60537"/>
    <cellStyle name="Normal 2 3 4 3 6" xfId="34382"/>
    <cellStyle name="Normal 2 3 4 4" xfId="4218"/>
    <cellStyle name="Normal 2 3 4 4 2" xfId="16075"/>
    <cellStyle name="Normal 2 3 4 4 2 2" xfId="27876"/>
    <cellStyle name="Normal 2 3 4 4 2 2 2" xfId="60538"/>
    <cellStyle name="Normal 2 3 4 4 2 3" xfId="41491"/>
    <cellStyle name="Normal 2 3 4 4 3" xfId="9671"/>
    <cellStyle name="Normal 2 3 4 4 3 2" xfId="48070"/>
    <cellStyle name="Normal 2 3 4 4 4" xfId="21472"/>
    <cellStyle name="Normal 2 3 4 4 4 2" xfId="60539"/>
    <cellStyle name="Normal 2 3 4 4 5" xfId="35087"/>
    <cellStyle name="Normal 2 3 4 5" xfId="2377"/>
    <cellStyle name="Normal 2 3 4 5 2" xfId="17223"/>
    <cellStyle name="Normal 2 3 4 5 2 2" xfId="29024"/>
    <cellStyle name="Normal 2 3 4 5 2 2 2" xfId="60540"/>
    <cellStyle name="Normal 2 3 4 5 2 3" xfId="42639"/>
    <cellStyle name="Normal 2 3 4 5 3" xfId="7830"/>
    <cellStyle name="Normal 2 3 4 5 3 2" xfId="60541"/>
    <cellStyle name="Normal 2 3 4 5 4" xfId="19631"/>
    <cellStyle name="Normal 2 3 4 5 4 2" xfId="60542"/>
    <cellStyle name="Normal 2 3 4 5 5" xfId="33246"/>
    <cellStyle name="Normal 2 3 4 6" xfId="16076"/>
    <cellStyle name="Normal 2 3 4 6 2" xfId="27877"/>
    <cellStyle name="Normal 2 3 4 6 2 2" xfId="60543"/>
    <cellStyle name="Normal 2 3 4 6 3" xfId="41492"/>
    <cellStyle name="Normal 2 3 4 7" xfId="5930"/>
    <cellStyle name="Normal 2 3 4 7 2" xfId="60544"/>
    <cellStyle name="Normal 2 3 4 8" xfId="17731"/>
    <cellStyle name="Normal 2 3 4 8 2" xfId="60545"/>
    <cellStyle name="Normal 2 3 4 9" xfId="31346"/>
    <cellStyle name="Normal 2 3 5" xfId="290"/>
    <cellStyle name="Normal 2 3 5 2" xfId="1810"/>
    <cellStyle name="Normal 2 3 5 2 2" xfId="4600"/>
    <cellStyle name="Normal 2 3 5 2 2 2" xfId="16077"/>
    <cellStyle name="Normal 2 3 5 2 2 2 2" xfId="27878"/>
    <cellStyle name="Normal 2 3 5 2 2 2 2 2" xfId="60546"/>
    <cellStyle name="Normal 2 3 5 2 2 2 3" xfId="41493"/>
    <cellStyle name="Normal 2 3 5 2 2 3" xfId="10053"/>
    <cellStyle name="Normal 2 3 5 2 2 3 2" xfId="48071"/>
    <cellStyle name="Normal 2 3 5 2 2 4" xfId="21854"/>
    <cellStyle name="Normal 2 3 5 2 2 4 2" xfId="60547"/>
    <cellStyle name="Normal 2 3 5 2 2 5" xfId="35469"/>
    <cellStyle name="Normal 2 3 5 2 3" xfId="2759"/>
    <cellStyle name="Normal 2 3 5 2 3 2" xfId="16078"/>
    <cellStyle name="Normal 2 3 5 2 3 2 2" xfId="27879"/>
    <cellStyle name="Normal 2 3 5 2 3 2 2 2" xfId="60548"/>
    <cellStyle name="Normal 2 3 5 2 3 2 3" xfId="41494"/>
    <cellStyle name="Normal 2 3 5 2 3 3" xfId="8212"/>
    <cellStyle name="Normal 2 3 5 2 3 3 2" xfId="48072"/>
    <cellStyle name="Normal 2 3 5 2 3 4" xfId="20013"/>
    <cellStyle name="Normal 2 3 5 2 3 4 2" xfId="60549"/>
    <cellStyle name="Normal 2 3 5 2 3 5" xfId="33628"/>
    <cellStyle name="Normal 2 3 5 2 4" xfId="16079"/>
    <cellStyle name="Normal 2 3 5 2 4 2" xfId="27880"/>
    <cellStyle name="Normal 2 3 5 2 4 2 2" xfId="60550"/>
    <cellStyle name="Normal 2 3 5 2 4 3" xfId="41495"/>
    <cellStyle name="Normal 2 3 5 2 5" xfId="7264"/>
    <cellStyle name="Normal 2 3 5 2 5 2" xfId="48073"/>
    <cellStyle name="Normal 2 3 5 2 6" xfId="19065"/>
    <cellStyle name="Normal 2 3 5 2 6 2" xfId="60551"/>
    <cellStyle name="Normal 2 3 5 2 7" xfId="32680"/>
    <cellStyle name="Normal 2 3 5 3" xfId="3327"/>
    <cellStyle name="Normal 2 3 5 3 2" xfId="5168"/>
    <cellStyle name="Normal 2 3 5 3 2 2" xfId="16638"/>
    <cellStyle name="Normal 2 3 5 3 2 2 2" xfId="28439"/>
    <cellStyle name="Normal 2 3 5 3 2 2 2 2" xfId="60552"/>
    <cellStyle name="Normal 2 3 5 3 2 2 3" xfId="42054"/>
    <cellStyle name="Normal 2 3 5 3 2 3" xfId="10621"/>
    <cellStyle name="Normal 2 3 5 3 2 3 2" xfId="60553"/>
    <cellStyle name="Normal 2 3 5 3 2 4" xfId="22422"/>
    <cellStyle name="Normal 2 3 5 3 2 4 2" xfId="60554"/>
    <cellStyle name="Normal 2 3 5 3 2 5" xfId="36037"/>
    <cellStyle name="Normal 2 3 5 3 3" xfId="16080"/>
    <cellStyle name="Normal 2 3 5 3 3 2" xfId="27881"/>
    <cellStyle name="Normal 2 3 5 3 3 2 2" xfId="60555"/>
    <cellStyle name="Normal 2 3 5 3 3 3" xfId="41496"/>
    <cellStyle name="Normal 2 3 5 3 4" xfId="8780"/>
    <cellStyle name="Normal 2 3 5 3 4 2" xfId="60556"/>
    <cellStyle name="Normal 2 3 5 3 5" xfId="20581"/>
    <cellStyle name="Normal 2 3 5 3 5 2" xfId="60557"/>
    <cellStyle name="Normal 2 3 5 3 6" xfId="34196"/>
    <cellStyle name="Normal 2 3 5 4" xfId="4032"/>
    <cellStyle name="Normal 2 3 5 4 2" xfId="16081"/>
    <cellStyle name="Normal 2 3 5 4 2 2" xfId="27882"/>
    <cellStyle name="Normal 2 3 5 4 2 2 2" xfId="60558"/>
    <cellStyle name="Normal 2 3 5 4 2 3" xfId="41497"/>
    <cellStyle name="Normal 2 3 5 4 3" xfId="9485"/>
    <cellStyle name="Normal 2 3 5 4 3 2" xfId="48074"/>
    <cellStyle name="Normal 2 3 5 4 4" xfId="21286"/>
    <cellStyle name="Normal 2 3 5 4 4 2" xfId="60559"/>
    <cellStyle name="Normal 2 3 5 4 5" xfId="34901"/>
    <cellStyle name="Normal 2 3 5 5" xfId="2191"/>
    <cellStyle name="Normal 2 3 5 5 2" xfId="17224"/>
    <cellStyle name="Normal 2 3 5 5 2 2" xfId="29025"/>
    <cellStyle name="Normal 2 3 5 5 2 2 2" xfId="60560"/>
    <cellStyle name="Normal 2 3 5 5 2 3" xfId="42640"/>
    <cellStyle name="Normal 2 3 5 5 3" xfId="7644"/>
    <cellStyle name="Normal 2 3 5 5 3 2" xfId="60561"/>
    <cellStyle name="Normal 2 3 5 5 4" xfId="19445"/>
    <cellStyle name="Normal 2 3 5 5 4 2" xfId="60562"/>
    <cellStyle name="Normal 2 3 5 5 5" xfId="33060"/>
    <cellStyle name="Normal 2 3 5 6" xfId="16082"/>
    <cellStyle name="Normal 2 3 5 6 2" xfId="27883"/>
    <cellStyle name="Normal 2 3 5 6 2 2" xfId="60563"/>
    <cellStyle name="Normal 2 3 5 6 3" xfId="41498"/>
    <cellStyle name="Normal 2 3 5 7" xfId="5744"/>
    <cellStyle name="Normal 2 3 5 7 2" xfId="60564"/>
    <cellStyle name="Normal 2 3 5 8" xfId="17545"/>
    <cellStyle name="Normal 2 3 5 8 2" xfId="60565"/>
    <cellStyle name="Normal 2 3 5 9" xfId="31160"/>
    <cellStyle name="Normal 2 3 6" xfId="617"/>
    <cellStyle name="Normal 2 3 6 2" xfId="1811"/>
    <cellStyle name="Normal 2 3 6 2 2" xfId="4359"/>
    <cellStyle name="Normal 2 3 6 2 2 2" xfId="16083"/>
    <cellStyle name="Normal 2 3 6 2 2 2 2" xfId="27884"/>
    <cellStyle name="Normal 2 3 6 2 2 2 2 2" xfId="60566"/>
    <cellStyle name="Normal 2 3 6 2 2 2 3" xfId="41499"/>
    <cellStyle name="Normal 2 3 6 2 2 3" xfId="9812"/>
    <cellStyle name="Normal 2 3 6 2 2 3 2" xfId="48075"/>
    <cellStyle name="Normal 2 3 6 2 2 4" xfId="21613"/>
    <cellStyle name="Normal 2 3 6 2 2 4 2" xfId="60567"/>
    <cellStyle name="Normal 2 3 6 2 2 5" xfId="35228"/>
    <cellStyle name="Normal 2 3 6 2 3" xfId="16084"/>
    <cellStyle name="Normal 2 3 6 2 3 2" xfId="27885"/>
    <cellStyle name="Normal 2 3 6 2 3 2 2" xfId="48076"/>
    <cellStyle name="Normal 2 3 6 2 3 3" xfId="30700"/>
    <cellStyle name="Normal 2 3 6 2 3 3 2" xfId="48077"/>
    <cellStyle name="Normal 2 3 6 2 3 4" xfId="30701"/>
    <cellStyle name="Normal 2 3 6 2 3 4 2" xfId="60568"/>
    <cellStyle name="Normal 2 3 6 2 3 5" xfId="41500"/>
    <cellStyle name="Normal 2 3 6 2 4" xfId="16085"/>
    <cellStyle name="Normal 2 3 6 2 4 2" xfId="27886"/>
    <cellStyle name="Normal 2 3 6 2 4 2 2" xfId="60569"/>
    <cellStyle name="Normal 2 3 6 2 4 3" xfId="41501"/>
    <cellStyle name="Normal 2 3 6 2 5" xfId="7265"/>
    <cellStyle name="Normal 2 3 6 2 5 2" xfId="48078"/>
    <cellStyle name="Normal 2 3 6 2 6" xfId="19066"/>
    <cellStyle name="Normal 2 3 6 2 6 2" xfId="60570"/>
    <cellStyle name="Normal 2 3 6 2 7" xfId="32681"/>
    <cellStyle name="Normal 2 3 6 3" xfId="2518"/>
    <cellStyle name="Normal 2 3 6 3 2" xfId="16086"/>
    <cellStyle name="Normal 2 3 6 3 2 2" xfId="27887"/>
    <cellStyle name="Normal 2 3 6 3 2 2 2" xfId="60571"/>
    <cellStyle name="Normal 2 3 6 3 2 3" xfId="41502"/>
    <cellStyle name="Normal 2 3 6 3 3" xfId="7971"/>
    <cellStyle name="Normal 2 3 6 3 3 2" xfId="48079"/>
    <cellStyle name="Normal 2 3 6 3 4" xfId="19772"/>
    <cellStyle name="Normal 2 3 6 3 4 2" xfId="60572"/>
    <cellStyle name="Normal 2 3 6 3 5" xfId="33387"/>
    <cellStyle name="Normal 2 3 6 4" xfId="16087"/>
    <cellStyle name="Normal 2 3 6 4 2" xfId="27888"/>
    <cellStyle name="Normal 2 3 6 4 2 2" xfId="48080"/>
    <cellStyle name="Normal 2 3 6 4 3" xfId="30702"/>
    <cellStyle name="Normal 2 3 6 4 3 2" xfId="48081"/>
    <cellStyle name="Normal 2 3 6 4 4" xfId="30703"/>
    <cellStyle name="Normal 2 3 6 4 4 2" xfId="60573"/>
    <cellStyle name="Normal 2 3 6 4 5" xfId="41503"/>
    <cellStyle name="Normal 2 3 6 5" xfId="16088"/>
    <cellStyle name="Normal 2 3 6 5 2" xfId="27889"/>
    <cellStyle name="Normal 2 3 6 5 2 2" xfId="60574"/>
    <cellStyle name="Normal 2 3 6 5 3" xfId="41504"/>
    <cellStyle name="Normal 2 3 6 6" xfId="6071"/>
    <cellStyle name="Normal 2 3 6 6 2" xfId="48082"/>
    <cellStyle name="Normal 2 3 6 7" xfId="17872"/>
    <cellStyle name="Normal 2 3 6 7 2" xfId="60575"/>
    <cellStyle name="Normal 2 3 6 8" xfId="31487"/>
    <cellStyle name="Normal 2 3 7" xfId="858"/>
    <cellStyle name="Normal 2 3 7 2" xfId="1812"/>
    <cellStyle name="Normal 2 3 7 2 2" xfId="4927"/>
    <cellStyle name="Normal 2 3 7 2 2 2" xfId="16089"/>
    <cellStyle name="Normal 2 3 7 2 2 2 2" xfId="27890"/>
    <cellStyle name="Normal 2 3 7 2 2 2 2 2" xfId="60576"/>
    <cellStyle name="Normal 2 3 7 2 2 2 3" xfId="41505"/>
    <cellStyle name="Normal 2 3 7 2 2 3" xfId="10380"/>
    <cellStyle name="Normal 2 3 7 2 2 3 2" xfId="48083"/>
    <cellStyle name="Normal 2 3 7 2 2 4" xfId="22181"/>
    <cellStyle name="Normal 2 3 7 2 2 4 2" xfId="60577"/>
    <cellStyle name="Normal 2 3 7 2 2 5" xfId="35796"/>
    <cellStyle name="Normal 2 3 7 2 3" xfId="16090"/>
    <cellStyle name="Normal 2 3 7 2 3 2" xfId="27891"/>
    <cellStyle name="Normal 2 3 7 2 3 2 2" xfId="48084"/>
    <cellStyle name="Normal 2 3 7 2 3 3" xfId="30704"/>
    <cellStyle name="Normal 2 3 7 2 3 3 2" xfId="48085"/>
    <cellStyle name="Normal 2 3 7 2 3 4" xfId="30705"/>
    <cellStyle name="Normal 2 3 7 2 3 4 2" xfId="60578"/>
    <cellStyle name="Normal 2 3 7 2 3 5" xfId="41506"/>
    <cellStyle name="Normal 2 3 7 2 4" xfId="16091"/>
    <cellStyle name="Normal 2 3 7 2 4 2" xfId="27892"/>
    <cellStyle name="Normal 2 3 7 2 4 2 2" xfId="60579"/>
    <cellStyle name="Normal 2 3 7 2 4 3" xfId="41507"/>
    <cellStyle name="Normal 2 3 7 2 5" xfId="7266"/>
    <cellStyle name="Normal 2 3 7 2 5 2" xfId="48086"/>
    <cellStyle name="Normal 2 3 7 2 6" xfId="19067"/>
    <cellStyle name="Normal 2 3 7 2 6 2" xfId="60580"/>
    <cellStyle name="Normal 2 3 7 2 7" xfId="32682"/>
    <cellStyle name="Normal 2 3 7 3" xfId="3086"/>
    <cellStyle name="Normal 2 3 7 3 2" xfId="16092"/>
    <cellStyle name="Normal 2 3 7 3 2 2" xfId="27893"/>
    <cellStyle name="Normal 2 3 7 3 2 2 2" xfId="60581"/>
    <cellStyle name="Normal 2 3 7 3 2 3" xfId="41508"/>
    <cellStyle name="Normal 2 3 7 3 3" xfId="8539"/>
    <cellStyle name="Normal 2 3 7 3 3 2" xfId="48087"/>
    <cellStyle name="Normal 2 3 7 3 4" xfId="20340"/>
    <cellStyle name="Normal 2 3 7 3 4 2" xfId="60582"/>
    <cellStyle name="Normal 2 3 7 3 5" xfId="33955"/>
    <cellStyle name="Normal 2 3 7 4" xfId="16093"/>
    <cellStyle name="Normal 2 3 7 4 2" xfId="27894"/>
    <cellStyle name="Normal 2 3 7 4 2 2" xfId="48088"/>
    <cellStyle name="Normal 2 3 7 4 3" xfId="30706"/>
    <cellStyle name="Normal 2 3 7 4 3 2" xfId="48089"/>
    <cellStyle name="Normal 2 3 7 4 4" xfId="30707"/>
    <cellStyle name="Normal 2 3 7 4 4 2" xfId="60583"/>
    <cellStyle name="Normal 2 3 7 4 5" xfId="41509"/>
    <cellStyle name="Normal 2 3 7 5" xfId="16094"/>
    <cellStyle name="Normal 2 3 7 5 2" xfId="27895"/>
    <cellStyle name="Normal 2 3 7 5 2 2" xfId="60584"/>
    <cellStyle name="Normal 2 3 7 5 3" xfId="41510"/>
    <cellStyle name="Normal 2 3 7 6" xfId="6312"/>
    <cellStyle name="Normal 2 3 7 6 2" xfId="48090"/>
    <cellStyle name="Normal 2 3 7 7" xfId="18113"/>
    <cellStyle name="Normal 2 3 7 7 2" xfId="60585"/>
    <cellStyle name="Normal 2 3 7 8" xfId="31728"/>
    <cellStyle name="Normal 2 3 8" xfId="1813"/>
    <cellStyle name="Normal 2 3 8 2" xfId="3791"/>
    <cellStyle name="Normal 2 3 8 2 2" xfId="16095"/>
    <cellStyle name="Normal 2 3 8 2 2 2" xfId="27896"/>
    <cellStyle name="Normal 2 3 8 2 2 2 2" xfId="60586"/>
    <cellStyle name="Normal 2 3 8 2 2 3" xfId="41511"/>
    <cellStyle name="Normal 2 3 8 2 3" xfId="9244"/>
    <cellStyle name="Normal 2 3 8 2 3 2" xfId="48091"/>
    <cellStyle name="Normal 2 3 8 2 4" xfId="21045"/>
    <cellStyle name="Normal 2 3 8 2 4 2" xfId="60587"/>
    <cellStyle name="Normal 2 3 8 2 5" xfId="34660"/>
    <cellStyle name="Normal 2 3 8 3" xfId="16096"/>
    <cellStyle name="Normal 2 3 8 3 2" xfId="27897"/>
    <cellStyle name="Normal 2 3 8 3 2 2" xfId="48092"/>
    <cellStyle name="Normal 2 3 8 3 3" xfId="30708"/>
    <cellStyle name="Normal 2 3 8 3 3 2" xfId="48093"/>
    <cellStyle name="Normal 2 3 8 3 4" xfId="30709"/>
    <cellStyle name="Normal 2 3 8 3 4 2" xfId="60588"/>
    <cellStyle name="Normal 2 3 8 3 5" xfId="41512"/>
    <cellStyle name="Normal 2 3 8 4" xfId="16097"/>
    <cellStyle name="Normal 2 3 8 4 2" xfId="27898"/>
    <cellStyle name="Normal 2 3 8 4 2 2" xfId="60589"/>
    <cellStyle name="Normal 2 3 8 4 3" xfId="41513"/>
    <cellStyle name="Normal 2 3 8 5" xfId="7267"/>
    <cellStyle name="Normal 2 3 8 5 2" xfId="48094"/>
    <cellStyle name="Normal 2 3 8 6" xfId="19068"/>
    <cellStyle name="Normal 2 3 8 6 2" xfId="60590"/>
    <cellStyle name="Normal 2 3 8 7" xfId="32683"/>
    <cellStyle name="Normal 2 3 9" xfId="3654"/>
    <cellStyle name="Normal 2 3 9 2" xfId="16098"/>
    <cellStyle name="Normal 2 3 9 2 2" xfId="27899"/>
    <cellStyle name="Normal 2 3 9 2 2 2" xfId="60591"/>
    <cellStyle name="Normal 2 3 9 2 3" xfId="41514"/>
    <cellStyle name="Normal 2 3 9 3" xfId="9107"/>
    <cellStyle name="Normal 2 3 9 3 2" xfId="48095"/>
    <cellStyle name="Normal 2 3 9 4" xfId="20908"/>
    <cellStyle name="Normal 2 3 9 4 2" xfId="60592"/>
    <cellStyle name="Normal 2 3 9 5" xfId="34523"/>
    <cellStyle name="Normal 2 4" xfId="27"/>
    <cellStyle name="Normal 2 4 10" xfId="1928"/>
    <cellStyle name="Normal 2 4 10 2" xfId="16099"/>
    <cellStyle name="Normal 2 4 10 2 2" xfId="27900"/>
    <cellStyle name="Normal 2 4 10 2 2 2" xfId="60593"/>
    <cellStyle name="Normal 2 4 10 2 3" xfId="41515"/>
    <cellStyle name="Normal 2 4 10 3" xfId="7381"/>
    <cellStyle name="Normal 2 4 10 3 2" xfId="48096"/>
    <cellStyle name="Normal 2 4 10 4" xfId="19182"/>
    <cellStyle name="Normal 2 4 10 4 2" xfId="60594"/>
    <cellStyle name="Normal 2 4 10 5" xfId="32797"/>
    <cellStyle name="Normal 2 4 11" xfId="16100"/>
    <cellStyle name="Normal 2 4 11 2" xfId="27901"/>
    <cellStyle name="Normal 2 4 11 2 2" xfId="60595"/>
    <cellStyle name="Normal 2 4 11 3" xfId="41516"/>
    <cellStyle name="Normal 2 4 12" xfId="5481"/>
    <cellStyle name="Normal 2 4 12 2" xfId="48097"/>
    <cellStyle name="Normal 2 4 13" xfId="17282"/>
    <cellStyle name="Normal 2 4 13 2" xfId="60596"/>
    <cellStyle name="Normal 2 4 14" xfId="30897"/>
    <cellStyle name="Normal 2 4 15" xfId="61867"/>
    <cellStyle name="Normal 2 4 2" xfId="94"/>
    <cellStyle name="Normal 2 4 2 10" xfId="5548"/>
    <cellStyle name="Normal 2 4 2 10 2" xfId="48098"/>
    <cellStyle name="Normal 2 4 2 11" xfId="17349"/>
    <cellStyle name="Normal 2 4 2 11 2" xfId="60597"/>
    <cellStyle name="Normal 2 4 2 12" xfId="30964"/>
    <cellStyle name="Normal 2 4 2 2" xfId="236"/>
    <cellStyle name="Normal 2 4 2 2 10" xfId="31106"/>
    <cellStyle name="Normal 2 4 2 2 2" xfId="521"/>
    <cellStyle name="Normal 2 4 2 2 2 2" xfId="1814"/>
    <cellStyle name="Normal 2 4 2 2 2 2 2" xfId="4831"/>
    <cellStyle name="Normal 2 4 2 2 2 2 2 2" xfId="16101"/>
    <cellStyle name="Normal 2 4 2 2 2 2 2 2 2" xfId="27902"/>
    <cellStyle name="Normal 2 4 2 2 2 2 2 2 2 2" xfId="60598"/>
    <cellStyle name="Normal 2 4 2 2 2 2 2 2 3" xfId="41517"/>
    <cellStyle name="Normal 2 4 2 2 2 2 2 3" xfId="10284"/>
    <cellStyle name="Normal 2 4 2 2 2 2 2 3 2" xfId="48099"/>
    <cellStyle name="Normal 2 4 2 2 2 2 2 4" xfId="22085"/>
    <cellStyle name="Normal 2 4 2 2 2 2 2 4 2" xfId="60599"/>
    <cellStyle name="Normal 2 4 2 2 2 2 2 5" xfId="35700"/>
    <cellStyle name="Normal 2 4 2 2 2 2 3" xfId="2990"/>
    <cellStyle name="Normal 2 4 2 2 2 2 3 2" xfId="16102"/>
    <cellStyle name="Normal 2 4 2 2 2 2 3 2 2" xfId="27903"/>
    <cellStyle name="Normal 2 4 2 2 2 2 3 2 2 2" xfId="60600"/>
    <cellStyle name="Normal 2 4 2 2 2 2 3 2 3" xfId="41518"/>
    <cellStyle name="Normal 2 4 2 2 2 2 3 3" xfId="8443"/>
    <cellStyle name="Normal 2 4 2 2 2 2 3 3 2" xfId="48100"/>
    <cellStyle name="Normal 2 4 2 2 2 2 3 4" xfId="20244"/>
    <cellStyle name="Normal 2 4 2 2 2 2 3 4 2" xfId="60601"/>
    <cellStyle name="Normal 2 4 2 2 2 2 3 5" xfId="33859"/>
    <cellStyle name="Normal 2 4 2 2 2 2 4" xfId="16103"/>
    <cellStyle name="Normal 2 4 2 2 2 2 4 2" xfId="27904"/>
    <cellStyle name="Normal 2 4 2 2 2 2 4 2 2" xfId="60602"/>
    <cellStyle name="Normal 2 4 2 2 2 2 4 3" xfId="41519"/>
    <cellStyle name="Normal 2 4 2 2 2 2 5" xfId="7268"/>
    <cellStyle name="Normal 2 4 2 2 2 2 5 2" xfId="48101"/>
    <cellStyle name="Normal 2 4 2 2 2 2 6" xfId="19069"/>
    <cellStyle name="Normal 2 4 2 2 2 2 6 2" xfId="60603"/>
    <cellStyle name="Normal 2 4 2 2 2 2 7" xfId="32684"/>
    <cellStyle name="Normal 2 4 2 2 2 3" xfId="3558"/>
    <cellStyle name="Normal 2 4 2 2 2 3 2" xfId="5399"/>
    <cellStyle name="Normal 2 4 2 2 2 3 2 2" xfId="16869"/>
    <cellStyle name="Normal 2 4 2 2 2 3 2 2 2" xfId="28670"/>
    <cellStyle name="Normal 2 4 2 2 2 3 2 2 2 2" xfId="60604"/>
    <cellStyle name="Normal 2 4 2 2 2 3 2 2 3" xfId="42285"/>
    <cellStyle name="Normal 2 4 2 2 2 3 2 3" xfId="10852"/>
    <cellStyle name="Normal 2 4 2 2 2 3 2 3 2" xfId="60605"/>
    <cellStyle name="Normal 2 4 2 2 2 3 2 4" xfId="22653"/>
    <cellStyle name="Normal 2 4 2 2 2 3 2 4 2" xfId="60606"/>
    <cellStyle name="Normal 2 4 2 2 2 3 2 5" xfId="36268"/>
    <cellStyle name="Normal 2 4 2 2 2 3 3" xfId="16104"/>
    <cellStyle name="Normal 2 4 2 2 2 3 3 2" xfId="27905"/>
    <cellStyle name="Normal 2 4 2 2 2 3 3 2 2" xfId="60607"/>
    <cellStyle name="Normal 2 4 2 2 2 3 3 3" xfId="41520"/>
    <cellStyle name="Normal 2 4 2 2 2 3 4" xfId="9011"/>
    <cellStyle name="Normal 2 4 2 2 2 3 4 2" xfId="60608"/>
    <cellStyle name="Normal 2 4 2 2 2 3 5" xfId="20812"/>
    <cellStyle name="Normal 2 4 2 2 2 3 5 2" xfId="60609"/>
    <cellStyle name="Normal 2 4 2 2 2 3 6" xfId="34427"/>
    <cellStyle name="Normal 2 4 2 2 2 4" xfId="4263"/>
    <cellStyle name="Normal 2 4 2 2 2 4 2" xfId="16105"/>
    <cellStyle name="Normal 2 4 2 2 2 4 2 2" xfId="27906"/>
    <cellStyle name="Normal 2 4 2 2 2 4 2 2 2" xfId="60610"/>
    <cellStyle name="Normal 2 4 2 2 2 4 2 3" xfId="41521"/>
    <cellStyle name="Normal 2 4 2 2 2 4 3" xfId="9716"/>
    <cellStyle name="Normal 2 4 2 2 2 4 3 2" xfId="48102"/>
    <cellStyle name="Normal 2 4 2 2 2 4 4" xfId="21517"/>
    <cellStyle name="Normal 2 4 2 2 2 4 4 2" xfId="60611"/>
    <cellStyle name="Normal 2 4 2 2 2 4 5" xfId="35132"/>
    <cellStyle name="Normal 2 4 2 2 2 5" xfId="2422"/>
    <cellStyle name="Normal 2 4 2 2 2 5 2" xfId="17225"/>
    <cellStyle name="Normal 2 4 2 2 2 5 2 2" xfId="29026"/>
    <cellStyle name="Normal 2 4 2 2 2 5 2 2 2" xfId="60612"/>
    <cellStyle name="Normal 2 4 2 2 2 5 2 3" xfId="42641"/>
    <cellStyle name="Normal 2 4 2 2 2 5 3" xfId="7875"/>
    <cellStyle name="Normal 2 4 2 2 2 5 3 2" xfId="60613"/>
    <cellStyle name="Normal 2 4 2 2 2 5 4" xfId="19676"/>
    <cellStyle name="Normal 2 4 2 2 2 5 4 2" xfId="60614"/>
    <cellStyle name="Normal 2 4 2 2 2 5 5" xfId="33291"/>
    <cellStyle name="Normal 2 4 2 2 2 6" xfId="16106"/>
    <cellStyle name="Normal 2 4 2 2 2 6 2" xfId="27907"/>
    <cellStyle name="Normal 2 4 2 2 2 6 2 2" xfId="60615"/>
    <cellStyle name="Normal 2 4 2 2 2 6 3" xfId="41522"/>
    <cellStyle name="Normal 2 4 2 2 2 7" xfId="5975"/>
    <cellStyle name="Normal 2 4 2 2 2 7 2" xfId="60616"/>
    <cellStyle name="Normal 2 4 2 2 2 8" xfId="17776"/>
    <cellStyle name="Normal 2 4 2 2 2 8 2" xfId="60617"/>
    <cellStyle name="Normal 2 4 2 2 2 9" xfId="31391"/>
    <cellStyle name="Normal 2 4 2 2 3" xfId="804"/>
    <cellStyle name="Normal 2 4 2 2 3 2" xfId="1815"/>
    <cellStyle name="Normal 2 4 2 2 3 2 2" xfId="4546"/>
    <cellStyle name="Normal 2 4 2 2 3 2 2 2" xfId="16107"/>
    <cellStyle name="Normal 2 4 2 2 3 2 2 2 2" xfId="27908"/>
    <cellStyle name="Normal 2 4 2 2 3 2 2 2 2 2" xfId="60618"/>
    <cellStyle name="Normal 2 4 2 2 3 2 2 2 3" xfId="41523"/>
    <cellStyle name="Normal 2 4 2 2 3 2 2 3" xfId="9999"/>
    <cellStyle name="Normal 2 4 2 2 3 2 2 3 2" xfId="48103"/>
    <cellStyle name="Normal 2 4 2 2 3 2 2 4" xfId="21800"/>
    <cellStyle name="Normal 2 4 2 2 3 2 2 4 2" xfId="60619"/>
    <cellStyle name="Normal 2 4 2 2 3 2 2 5" xfId="35415"/>
    <cellStyle name="Normal 2 4 2 2 3 2 3" xfId="16108"/>
    <cellStyle name="Normal 2 4 2 2 3 2 3 2" xfId="27909"/>
    <cellStyle name="Normal 2 4 2 2 3 2 3 2 2" xfId="48104"/>
    <cellStyle name="Normal 2 4 2 2 3 2 3 3" xfId="30710"/>
    <cellStyle name="Normal 2 4 2 2 3 2 3 3 2" xfId="48105"/>
    <cellStyle name="Normal 2 4 2 2 3 2 3 4" xfId="30711"/>
    <cellStyle name="Normal 2 4 2 2 3 2 3 4 2" xfId="60620"/>
    <cellStyle name="Normal 2 4 2 2 3 2 3 5" xfId="41524"/>
    <cellStyle name="Normal 2 4 2 2 3 2 4" xfId="16109"/>
    <cellStyle name="Normal 2 4 2 2 3 2 4 2" xfId="27910"/>
    <cellStyle name="Normal 2 4 2 2 3 2 4 2 2" xfId="60621"/>
    <cellStyle name="Normal 2 4 2 2 3 2 4 3" xfId="41525"/>
    <cellStyle name="Normal 2 4 2 2 3 2 5" xfId="7269"/>
    <cellStyle name="Normal 2 4 2 2 3 2 5 2" xfId="48106"/>
    <cellStyle name="Normal 2 4 2 2 3 2 6" xfId="19070"/>
    <cellStyle name="Normal 2 4 2 2 3 2 6 2" xfId="60622"/>
    <cellStyle name="Normal 2 4 2 2 3 2 7" xfId="32685"/>
    <cellStyle name="Normal 2 4 2 2 3 3" xfId="2705"/>
    <cellStyle name="Normal 2 4 2 2 3 3 2" xfId="16110"/>
    <cellStyle name="Normal 2 4 2 2 3 3 2 2" xfId="27911"/>
    <cellStyle name="Normal 2 4 2 2 3 3 2 2 2" xfId="60623"/>
    <cellStyle name="Normal 2 4 2 2 3 3 2 3" xfId="41526"/>
    <cellStyle name="Normal 2 4 2 2 3 3 3" xfId="8158"/>
    <cellStyle name="Normal 2 4 2 2 3 3 3 2" xfId="48107"/>
    <cellStyle name="Normal 2 4 2 2 3 3 4" xfId="19959"/>
    <cellStyle name="Normal 2 4 2 2 3 3 4 2" xfId="60624"/>
    <cellStyle name="Normal 2 4 2 2 3 3 5" xfId="33574"/>
    <cellStyle name="Normal 2 4 2 2 3 4" xfId="16111"/>
    <cellStyle name="Normal 2 4 2 2 3 4 2" xfId="27912"/>
    <cellStyle name="Normal 2 4 2 2 3 4 2 2" xfId="48108"/>
    <cellStyle name="Normal 2 4 2 2 3 4 3" xfId="30712"/>
    <cellStyle name="Normal 2 4 2 2 3 4 3 2" xfId="48109"/>
    <cellStyle name="Normal 2 4 2 2 3 4 4" xfId="30713"/>
    <cellStyle name="Normal 2 4 2 2 3 4 4 2" xfId="60625"/>
    <cellStyle name="Normal 2 4 2 2 3 4 5" xfId="41527"/>
    <cellStyle name="Normal 2 4 2 2 3 5" xfId="16112"/>
    <cellStyle name="Normal 2 4 2 2 3 5 2" xfId="27913"/>
    <cellStyle name="Normal 2 4 2 2 3 5 2 2" xfId="60626"/>
    <cellStyle name="Normal 2 4 2 2 3 5 3" xfId="41528"/>
    <cellStyle name="Normal 2 4 2 2 3 6" xfId="6258"/>
    <cellStyle name="Normal 2 4 2 2 3 6 2" xfId="48110"/>
    <cellStyle name="Normal 2 4 2 2 3 7" xfId="18059"/>
    <cellStyle name="Normal 2 4 2 2 3 7 2" xfId="60627"/>
    <cellStyle name="Normal 2 4 2 2 3 8" xfId="31674"/>
    <cellStyle name="Normal 2 4 2 2 4" xfId="1816"/>
    <cellStyle name="Normal 2 4 2 2 4 2" xfId="5114"/>
    <cellStyle name="Normal 2 4 2 2 4 2 2" xfId="16113"/>
    <cellStyle name="Normal 2 4 2 2 4 2 2 2" xfId="27914"/>
    <cellStyle name="Normal 2 4 2 2 4 2 2 2 2" xfId="60628"/>
    <cellStyle name="Normal 2 4 2 2 4 2 2 3" xfId="41529"/>
    <cellStyle name="Normal 2 4 2 2 4 2 3" xfId="10567"/>
    <cellStyle name="Normal 2 4 2 2 4 2 3 2" xfId="48111"/>
    <cellStyle name="Normal 2 4 2 2 4 2 4" xfId="22368"/>
    <cellStyle name="Normal 2 4 2 2 4 2 4 2" xfId="60629"/>
    <cellStyle name="Normal 2 4 2 2 4 2 5" xfId="35983"/>
    <cellStyle name="Normal 2 4 2 2 4 3" xfId="3273"/>
    <cellStyle name="Normal 2 4 2 2 4 3 2" xfId="16114"/>
    <cellStyle name="Normal 2 4 2 2 4 3 2 2" xfId="27915"/>
    <cellStyle name="Normal 2 4 2 2 4 3 2 2 2" xfId="60630"/>
    <cellStyle name="Normal 2 4 2 2 4 3 2 3" xfId="41530"/>
    <cellStyle name="Normal 2 4 2 2 4 3 3" xfId="8726"/>
    <cellStyle name="Normal 2 4 2 2 4 3 3 2" xfId="48112"/>
    <cellStyle name="Normal 2 4 2 2 4 3 4" xfId="20527"/>
    <cellStyle name="Normal 2 4 2 2 4 3 4 2" xfId="60631"/>
    <cellStyle name="Normal 2 4 2 2 4 3 5" xfId="34142"/>
    <cellStyle name="Normal 2 4 2 2 4 4" xfId="16115"/>
    <cellStyle name="Normal 2 4 2 2 4 4 2" xfId="27916"/>
    <cellStyle name="Normal 2 4 2 2 4 4 2 2" xfId="60632"/>
    <cellStyle name="Normal 2 4 2 2 4 4 3" xfId="41531"/>
    <cellStyle name="Normal 2 4 2 2 4 5" xfId="7270"/>
    <cellStyle name="Normal 2 4 2 2 4 5 2" xfId="48113"/>
    <cellStyle name="Normal 2 4 2 2 4 6" xfId="19071"/>
    <cellStyle name="Normal 2 4 2 2 4 6 2" xfId="60633"/>
    <cellStyle name="Normal 2 4 2 2 4 7" xfId="32686"/>
    <cellStyle name="Normal 2 4 2 2 5" xfId="3978"/>
    <cellStyle name="Normal 2 4 2 2 5 2" xfId="16116"/>
    <cellStyle name="Normal 2 4 2 2 5 2 2" xfId="27917"/>
    <cellStyle name="Normal 2 4 2 2 5 2 2 2" xfId="60634"/>
    <cellStyle name="Normal 2 4 2 2 5 2 3" xfId="41532"/>
    <cellStyle name="Normal 2 4 2 2 5 3" xfId="9431"/>
    <cellStyle name="Normal 2 4 2 2 5 3 2" xfId="48114"/>
    <cellStyle name="Normal 2 4 2 2 5 4" xfId="21232"/>
    <cellStyle name="Normal 2 4 2 2 5 4 2" xfId="60635"/>
    <cellStyle name="Normal 2 4 2 2 5 5" xfId="34847"/>
    <cellStyle name="Normal 2 4 2 2 6" xfId="2137"/>
    <cellStyle name="Normal 2 4 2 2 6 2" xfId="16117"/>
    <cellStyle name="Normal 2 4 2 2 6 2 2" xfId="27918"/>
    <cellStyle name="Normal 2 4 2 2 6 2 2 2" xfId="60636"/>
    <cellStyle name="Normal 2 4 2 2 6 2 3" xfId="41533"/>
    <cellStyle name="Normal 2 4 2 2 6 3" xfId="7590"/>
    <cellStyle name="Normal 2 4 2 2 6 3 2" xfId="48115"/>
    <cellStyle name="Normal 2 4 2 2 6 4" xfId="19391"/>
    <cellStyle name="Normal 2 4 2 2 6 4 2" xfId="60637"/>
    <cellStyle name="Normal 2 4 2 2 6 5" xfId="33006"/>
    <cellStyle name="Normal 2 4 2 2 7" xfId="16118"/>
    <cellStyle name="Normal 2 4 2 2 7 2" xfId="27919"/>
    <cellStyle name="Normal 2 4 2 2 7 2 2" xfId="60638"/>
    <cellStyle name="Normal 2 4 2 2 7 3" xfId="41534"/>
    <cellStyle name="Normal 2 4 2 2 8" xfId="5690"/>
    <cellStyle name="Normal 2 4 2 2 8 2" xfId="48116"/>
    <cellStyle name="Normal 2 4 2 2 9" xfId="17491"/>
    <cellStyle name="Normal 2 4 2 2 9 2" xfId="60639"/>
    <cellStyle name="Normal 2 4 2 3" xfId="384"/>
    <cellStyle name="Normal 2 4 2 3 2" xfId="1817"/>
    <cellStyle name="Normal 2 4 2 3 2 2" xfId="4694"/>
    <cellStyle name="Normal 2 4 2 3 2 2 2" xfId="16119"/>
    <cellStyle name="Normal 2 4 2 3 2 2 2 2" xfId="27920"/>
    <cellStyle name="Normal 2 4 2 3 2 2 2 2 2" xfId="60640"/>
    <cellStyle name="Normal 2 4 2 3 2 2 2 3" xfId="41535"/>
    <cellStyle name="Normal 2 4 2 3 2 2 3" xfId="10147"/>
    <cellStyle name="Normal 2 4 2 3 2 2 3 2" xfId="48117"/>
    <cellStyle name="Normal 2 4 2 3 2 2 4" xfId="21948"/>
    <cellStyle name="Normal 2 4 2 3 2 2 4 2" xfId="60641"/>
    <cellStyle name="Normal 2 4 2 3 2 2 5" xfId="35563"/>
    <cellStyle name="Normal 2 4 2 3 2 3" xfId="2853"/>
    <cellStyle name="Normal 2 4 2 3 2 3 2" xfId="16120"/>
    <cellStyle name="Normal 2 4 2 3 2 3 2 2" xfId="27921"/>
    <cellStyle name="Normal 2 4 2 3 2 3 2 2 2" xfId="60642"/>
    <cellStyle name="Normal 2 4 2 3 2 3 2 3" xfId="41536"/>
    <cellStyle name="Normal 2 4 2 3 2 3 3" xfId="8306"/>
    <cellStyle name="Normal 2 4 2 3 2 3 3 2" xfId="48118"/>
    <cellStyle name="Normal 2 4 2 3 2 3 4" xfId="20107"/>
    <cellStyle name="Normal 2 4 2 3 2 3 4 2" xfId="60643"/>
    <cellStyle name="Normal 2 4 2 3 2 3 5" xfId="33722"/>
    <cellStyle name="Normal 2 4 2 3 2 4" xfId="16121"/>
    <cellStyle name="Normal 2 4 2 3 2 4 2" xfId="27922"/>
    <cellStyle name="Normal 2 4 2 3 2 4 2 2" xfId="60644"/>
    <cellStyle name="Normal 2 4 2 3 2 4 3" xfId="41537"/>
    <cellStyle name="Normal 2 4 2 3 2 5" xfId="7271"/>
    <cellStyle name="Normal 2 4 2 3 2 5 2" xfId="48119"/>
    <cellStyle name="Normal 2 4 2 3 2 6" xfId="19072"/>
    <cellStyle name="Normal 2 4 2 3 2 6 2" xfId="60645"/>
    <cellStyle name="Normal 2 4 2 3 2 7" xfId="32687"/>
    <cellStyle name="Normal 2 4 2 3 3" xfId="3421"/>
    <cellStyle name="Normal 2 4 2 3 3 2" xfId="5262"/>
    <cellStyle name="Normal 2 4 2 3 3 2 2" xfId="16732"/>
    <cellStyle name="Normal 2 4 2 3 3 2 2 2" xfId="28533"/>
    <cellStyle name="Normal 2 4 2 3 3 2 2 2 2" xfId="60646"/>
    <cellStyle name="Normal 2 4 2 3 3 2 2 3" xfId="42148"/>
    <cellStyle name="Normal 2 4 2 3 3 2 3" xfId="10715"/>
    <cellStyle name="Normal 2 4 2 3 3 2 3 2" xfId="60647"/>
    <cellStyle name="Normal 2 4 2 3 3 2 4" xfId="22516"/>
    <cellStyle name="Normal 2 4 2 3 3 2 4 2" xfId="60648"/>
    <cellStyle name="Normal 2 4 2 3 3 2 5" xfId="36131"/>
    <cellStyle name="Normal 2 4 2 3 3 3" xfId="16122"/>
    <cellStyle name="Normal 2 4 2 3 3 3 2" xfId="27923"/>
    <cellStyle name="Normal 2 4 2 3 3 3 2 2" xfId="60649"/>
    <cellStyle name="Normal 2 4 2 3 3 3 3" xfId="41538"/>
    <cellStyle name="Normal 2 4 2 3 3 4" xfId="8874"/>
    <cellStyle name="Normal 2 4 2 3 3 4 2" xfId="60650"/>
    <cellStyle name="Normal 2 4 2 3 3 5" xfId="20675"/>
    <cellStyle name="Normal 2 4 2 3 3 5 2" xfId="60651"/>
    <cellStyle name="Normal 2 4 2 3 3 6" xfId="34290"/>
    <cellStyle name="Normal 2 4 2 3 4" xfId="4126"/>
    <cellStyle name="Normal 2 4 2 3 4 2" xfId="16123"/>
    <cellStyle name="Normal 2 4 2 3 4 2 2" xfId="27924"/>
    <cellStyle name="Normal 2 4 2 3 4 2 2 2" xfId="60652"/>
    <cellStyle name="Normal 2 4 2 3 4 2 3" xfId="41539"/>
    <cellStyle name="Normal 2 4 2 3 4 3" xfId="9579"/>
    <cellStyle name="Normal 2 4 2 3 4 3 2" xfId="48120"/>
    <cellStyle name="Normal 2 4 2 3 4 4" xfId="21380"/>
    <cellStyle name="Normal 2 4 2 3 4 4 2" xfId="60653"/>
    <cellStyle name="Normal 2 4 2 3 4 5" xfId="34995"/>
    <cellStyle name="Normal 2 4 2 3 5" xfId="2285"/>
    <cellStyle name="Normal 2 4 2 3 5 2" xfId="17226"/>
    <cellStyle name="Normal 2 4 2 3 5 2 2" xfId="29027"/>
    <cellStyle name="Normal 2 4 2 3 5 2 2 2" xfId="60654"/>
    <cellStyle name="Normal 2 4 2 3 5 2 3" xfId="42642"/>
    <cellStyle name="Normal 2 4 2 3 5 3" xfId="7738"/>
    <cellStyle name="Normal 2 4 2 3 5 3 2" xfId="60655"/>
    <cellStyle name="Normal 2 4 2 3 5 4" xfId="19539"/>
    <cellStyle name="Normal 2 4 2 3 5 4 2" xfId="60656"/>
    <cellStyle name="Normal 2 4 2 3 5 5" xfId="33154"/>
    <cellStyle name="Normal 2 4 2 3 6" xfId="16124"/>
    <cellStyle name="Normal 2 4 2 3 6 2" xfId="27925"/>
    <cellStyle name="Normal 2 4 2 3 6 2 2" xfId="60657"/>
    <cellStyle name="Normal 2 4 2 3 6 3" xfId="41540"/>
    <cellStyle name="Normal 2 4 2 3 7" xfId="5838"/>
    <cellStyle name="Normal 2 4 2 3 7 2" xfId="60658"/>
    <cellStyle name="Normal 2 4 2 3 8" xfId="17639"/>
    <cellStyle name="Normal 2 4 2 3 8 2" xfId="60659"/>
    <cellStyle name="Normal 2 4 2 3 9" xfId="31254"/>
    <cellStyle name="Normal 2 4 2 4" xfId="662"/>
    <cellStyle name="Normal 2 4 2 4 2" xfId="1818"/>
    <cellStyle name="Normal 2 4 2 4 2 2" xfId="4404"/>
    <cellStyle name="Normal 2 4 2 4 2 2 2" xfId="16125"/>
    <cellStyle name="Normal 2 4 2 4 2 2 2 2" xfId="27926"/>
    <cellStyle name="Normal 2 4 2 4 2 2 2 2 2" xfId="60660"/>
    <cellStyle name="Normal 2 4 2 4 2 2 2 3" xfId="41541"/>
    <cellStyle name="Normal 2 4 2 4 2 2 3" xfId="9857"/>
    <cellStyle name="Normal 2 4 2 4 2 2 3 2" xfId="48121"/>
    <cellStyle name="Normal 2 4 2 4 2 2 4" xfId="21658"/>
    <cellStyle name="Normal 2 4 2 4 2 2 4 2" xfId="60661"/>
    <cellStyle name="Normal 2 4 2 4 2 2 5" xfId="35273"/>
    <cellStyle name="Normal 2 4 2 4 2 3" xfId="16126"/>
    <cellStyle name="Normal 2 4 2 4 2 3 2" xfId="27927"/>
    <cellStyle name="Normal 2 4 2 4 2 3 2 2" xfId="48122"/>
    <cellStyle name="Normal 2 4 2 4 2 3 3" xfId="30714"/>
    <cellStyle name="Normal 2 4 2 4 2 3 3 2" xfId="48123"/>
    <cellStyle name="Normal 2 4 2 4 2 3 4" xfId="30715"/>
    <cellStyle name="Normal 2 4 2 4 2 3 4 2" xfId="60662"/>
    <cellStyle name="Normal 2 4 2 4 2 3 5" xfId="41542"/>
    <cellStyle name="Normal 2 4 2 4 2 4" xfId="16127"/>
    <cellStyle name="Normal 2 4 2 4 2 4 2" xfId="27928"/>
    <cellStyle name="Normal 2 4 2 4 2 4 2 2" xfId="60663"/>
    <cellStyle name="Normal 2 4 2 4 2 4 3" xfId="41543"/>
    <cellStyle name="Normal 2 4 2 4 2 5" xfId="7272"/>
    <cellStyle name="Normal 2 4 2 4 2 5 2" xfId="48124"/>
    <cellStyle name="Normal 2 4 2 4 2 6" xfId="19073"/>
    <cellStyle name="Normal 2 4 2 4 2 6 2" xfId="60664"/>
    <cellStyle name="Normal 2 4 2 4 2 7" xfId="32688"/>
    <cellStyle name="Normal 2 4 2 4 3" xfId="2563"/>
    <cellStyle name="Normal 2 4 2 4 3 2" xfId="16128"/>
    <cellStyle name="Normal 2 4 2 4 3 2 2" xfId="27929"/>
    <cellStyle name="Normal 2 4 2 4 3 2 2 2" xfId="60665"/>
    <cellStyle name="Normal 2 4 2 4 3 2 3" xfId="41544"/>
    <cellStyle name="Normal 2 4 2 4 3 3" xfId="8016"/>
    <cellStyle name="Normal 2 4 2 4 3 3 2" xfId="48125"/>
    <cellStyle name="Normal 2 4 2 4 3 4" xfId="19817"/>
    <cellStyle name="Normal 2 4 2 4 3 4 2" xfId="60666"/>
    <cellStyle name="Normal 2 4 2 4 3 5" xfId="33432"/>
    <cellStyle name="Normal 2 4 2 4 4" xfId="16129"/>
    <cellStyle name="Normal 2 4 2 4 4 2" xfId="27930"/>
    <cellStyle name="Normal 2 4 2 4 4 2 2" xfId="48126"/>
    <cellStyle name="Normal 2 4 2 4 4 3" xfId="30716"/>
    <cellStyle name="Normal 2 4 2 4 4 3 2" xfId="48127"/>
    <cellStyle name="Normal 2 4 2 4 4 4" xfId="30717"/>
    <cellStyle name="Normal 2 4 2 4 4 4 2" xfId="60667"/>
    <cellStyle name="Normal 2 4 2 4 4 5" xfId="41545"/>
    <cellStyle name="Normal 2 4 2 4 5" xfId="16130"/>
    <cellStyle name="Normal 2 4 2 4 5 2" xfId="27931"/>
    <cellStyle name="Normal 2 4 2 4 5 2 2" xfId="60668"/>
    <cellStyle name="Normal 2 4 2 4 5 3" xfId="41546"/>
    <cellStyle name="Normal 2 4 2 4 6" xfId="6116"/>
    <cellStyle name="Normal 2 4 2 4 6 2" xfId="48128"/>
    <cellStyle name="Normal 2 4 2 4 7" xfId="17917"/>
    <cellStyle name="Normal 2 4 2 4 7 2" xfId="60669"/>
    <cellStyle name="Normal 2 4 2 4 8" xfId="31532"/>
    <cellStyle name="Normal 2 4 2 5" xfId="903"/>
    <cellStyle name="Normal 2 4 2 5 2" xfId="1819"/>
    <cellStyle name="Normal 2 4 2 5 2 2" xfId="4972"/>
    <cellStyle name="Normal 2 4 2 5 2 2 2" xfId="16131"/>
    <cellStyle name="Normal 2 4 2 5 2 2 2 2" xfId="27932"/>
    <cellStyle name="Normal 2 4 2 5 2 2 2 2 2" xfId="60670"/>
    <cellStyle name="Normal 2 4 2 5 2 2 2 3" xfId="41547"/>
    <cellStyle name="Normal 2 4 2 5 2 2 3" xfId="10425"/>
    <cellStyle name="Normal 2 4 2 5 2 2 3 2" xfId="48129"/>
    <cellStyle name="Normal 2 4 2 5 2 2 4" xfId="22226"/>
    <cellStyle name="Normal 2 4 2 5 2 2 4 2" xfId="60671"/>
    <cellStyle name="Normal 2 4 2 5 2 2 5" xfId="35841"/>
    <cellStyle name="Normal 2 4 2 5 2 3" xfId="16132"/>
    <cellStyle name="Normal 2 4 2 5 2 3 2" xfId="27933"/>
    <cellStyle name="Normal 2 4 2 5 2 3 2 2" xfId="48130"/>
    <cellStyle name="Normal 2 4 2 5 2 3 3" xfId="30718"/>
    <cellStyle name="Normal 2 4 2 5 2 3 3 2" xfId="48131"/>
    <cellStyle name="Normal 2 4 2 5 2 3 4" xfId="30719"/>
    <cellStyle name="Normal 2 4 2 5 2 3 4 2" xfId="60672"/>
    <cellStyle name="Normal 2 4 2 5 2 3 5" xfId="41548"/>
    <cellStyle name="Normal 2 4 2 5 2 4" xfId="16133"/>
    <cellStyle name="Normal 2 4 2 5 2 4 2" xfId="27934"/>
    <cellStyle name="Normal 2 4 2 5 2 4 2 2" xfId="60673"/>
    <cellStyle name="Normal 2 4 2 5 2 4 3" xfId="41549"/>
    <cellStyle name="Normal 2 4 2 5 2 5" xfId="7273"/>
    <cellStyle name="Normal 2 4 2 5 2 5 2" xfId="48132"/>
    <cellStyle name="Normal 2 4 2 5 2 6" xfId="19074"/>
    <cellStyle name="Normal 2 4 2 5 2 6 2" xfId="60674"/>
    <cellStyle name="Normal 2 4 2 5 2 7" xfId="32689"/>
    <cellStyle name="Normal 2 4 2 5 3" xfId="3131"/>
    <cellStyle name="Normal 2 4 2 5 3 2" xfId="16134"/>
    <cellStyle name="Normal 2 4 2 5 3 2 2" xfId="27935"/>
    <cellStyle name="Normal 2 4 2 5 3 2 2 2" xfId="60675"/>
    <cellStyle name="Normal 2 4 2 5 3 2 3" xfId="41550"/>
    <cellStyle name="Normal 2 4 2 5 3 3" xfId="8584"/>
    <cellStyle name="Normal 2 4 2 5 3 3 2" xfId="48133"/>
    <cellStyle name="Normal 2 4 2 5 3 4" xfId="20385"/>
    <cellStyle name="Normal 2 4 2 5 3 4 2" xfId="60676"/>
    <cellStyle name="Normal 2 4 2 5 3 5" xfId="34000"/>
    <cellStyle name="Normal 2 4 2 5 4" xfId="16135"/>
    <cellStyle name="Normal 2 4 2 5 4 2" xfId="27936"/>
    <cellStyle name="Normal 2 4 2 5 4 2 2" xfId="48134"/>
    <cellStyle name="Normal 2 4 2 5 4 3" xfId="30720"/>
    <cellStyle name="Normal 2 4 2 5 4 3 2" xfId="48135"/>
    <cellStyle name="Normal 2 4 2 5 4 4" xfId="30721"/>
    <cellStyle name="Normal 2 4 2 5 4 4 2" xfId="60677"/>
    <cellStyle name="Normal 2 4 2 5 4 5" xfId="41551"/>
    <cellStyle name="Normal 2 4 2 5 5" xfId="16136"/>
    <cellStyle name="Normal 2 4 2 5 5 2" xfId="27937"/>
    <cellStyle name="Normal 2 4 2 5 5 2 2" xfId="60678"/>
    <cellStyle name="Normal 2 4 2 5 5 3" xfId="41552"/>
    <cellStyle name="Normal 2 4 2 5 6" xfId="6357"/>
    <cellStyle name="Normal 2 4 2 5 6 2" xfId="48136"/>
    <cellStyle name="Normal 2 4 2 5 7" xfId="18158"/>
    <cellStyle name="Normal 2 4 2 5 7 2" xfId="60679"/>
    <cellStyle name="Normal 2 4 2 5 8" xfId="31773"/>
    <cellStyle name="Normal 2 4 2 6" xfId="1820"/>
    <cellStyle name="Normal 2 4 2 6 2" xfId="3836"/>
    <cellStyle name="Normal 2 4 2 6 2 2" xfId="16137"/>
    <cellStyle name="Normal 2 4 2 6 2 2 2" xfId="27938"/>
    <cellStyle name="Normal 2 4 2 6 2 2 2 2" xfId="60680"/>
    <cellStyle name="Normal 2 4 2 6 2 2 3" xfId="41553"/>
    <cellStyle name="Normal 2 4 2 6 2 3" xfId="9289"/>
    <cellStyle name="Normal 2 4 2 6 2 3 2" xfId="48137"/>
    <cellStyle name="Normal 2 4 2 6 2 4" xfId="21090"/>
    <cellStyle name="Normal 2 4 2 6 2 4 2" xfId="60681"/>
    <cellStyle name="Normal 2 4 2 6 2 5" xfId="34705"/>
    <cellStyle name="Normal 2 4 2 6 3" xfId="16138"/>
    <cellStyle name="Normal 2 4 2 6 3 2" xfId="27939"/>
    <cellStyle name="Normal 2 4 2 6 3 2 2" xfId="48138"/>
    <cellStyle name="Normal 2 4 2 6 3 3" xfId="30722"/>
    <cellStyle name="Normal 2 4 2 6 3 3 2" xfId="48139"/>
    <cellStyle name="Normal 2 4 2 6 3 4" xfId="30723"/>
    <cellStyle name="Normal 2 4 2 6 3 4 2" xfId="60682"/>
    <cellStyle name="Normal 2 4 2 6 3 5" xfId="41554"/>
    <cellStyle name="Normal 2 4 2 6 4" xfId="16139"/>
    <cellStyle name="Normal 2 4 2 6 4 2" xfId="27940"/>
    <cellStyle name="Normal 2 4 2 6 4 2 2" xfId="60683"/>
    <cellStyle name="Normal 2 4 2 6 4 3" xfId="41555"/>
    <cellStyle name="Normal 2 4 2 6 5" xfId="7274"/>
    <cellStyle name="Normal 2 4 2 6 5 2" xfId="48140"/>
    <cellStyle name="Normal 2 4 2 6 6" xfId="19075"/>
    <cellStyle name="Normal 2 4 2 6 6 2" xfId="60684"/>
    <cellStyle name="Normal 2 4 2 6 7" xfId="32690"/>
    <cellStyle name="Normal 2 4 2 7" xfId="3699"/>
    <cellStyle name="Normal 2 4 2 7 2" xfId="16140"/>
    <cellStyle name="Normal 2 4 2 7 2 2" xfId="27941"/>
    <cellStyle name="Normal 2 4 2 7 2 2 2" xfId="60685"/>
    <cellStyle name="Normal 2 4 2 7 2 3" xfId="41556"/>
    <cellStyle name="Normal 2 4 2 7 3" xfId="9152"/>
    <cellStyle name="Normal 2 4 2 7 3 2" xfId="48141"/>
    <cellStyle name="Normal 2 4 2 7 4" xfId="20953"/>
    <cellStyle name="Normal 2 4 2 7 4 2" xfId="60686"/>
    <cellStyle name="Normal 2 4 2 7 5" xfId="34568"/>
    <cellStyle name="Normal 2 4 2 8" xfId="1995"/>
    <cellStyle name="Normal 2 4 2 8 2" xfId="16141"/>
    <cellStyle name="Normal 2 4 2 8 2 2" xfId="27942"/>
    <cellStyle name="Normal 2 4 2 8 2 2 2" xfId="60687"/>
    <cellStyle name="Normal 2 4 2 8 2 3" xfId="41557"/>
    <cellStyle name="Normal 2 4 2 8 3" xfId="7448"/>
    <cellStyle name="Normal 2 4 2 8 3 2" xfId="48142"/>
    <cellStyle name="Normal 2 4 2 8 4" xfId="19249"/>
    <cellStyle name="Normal 2 4 2 8 4 2" xfId="60688"/>
    <cellStyle name="Normal 2 4 2 8 5" xfId="32864"/>
    <cellStyle name="Normal 2 4 2 9" xfId="16142"/>
    <cellStyle name="Normal 2 4 2 9 2" xfId="27943"/>
    <cellStyle name="Normal 2 4 2 9 2 2" xfId="60689"/>
    <cellStyle name="Normal 2 4 2 9 3" xfId="41558"/>
    <cellStyle name="Normal 2 4 3" xfId="185"/>
    <cellStyle name="Normal 2 4 3 10" xfId="31055"/>
    <cellStyle name="Normal 2 4 3 2" xfId="317"/>
    <cellStyle name="Normal 2 4 3 2 2" xfId="1821"/>
    <cellStyle name="Normal 2 4 3 2 2 2" xfId="4627"/>
    <cellStyle name="Normal 2 4 3 2 2 2 2" xfId="16143"/>
    <cellStyle name="Normal 2 4 3 2 2 2 2 2" xfId="27944"/>
    <cellStyle name="Normal 2 4 3 2 2 2 2 2 2" xfId="60690"/>
    <cellStyle name="Normal 2 4 3 2 2 2 2 3" xfId="41559"/>
    <cellStyle name="Normal 2 4 3 2 2 2 3" xfId="10080"/>
    <cellStyle name="Normal 2 4 3 2 2 2 3 2" xfId="48143"/>
    <cellStyle name="Normal 2 4 3 2 2 2 4" xfId="21881"/>
    <cellStyle name="Normal 2 4 3 2 2 2 4 2" xfId="60691"/>
    <cellStyle name="Normal 2 4 3 2 2 2 5" xfId="35496"/>
    <cellStyle name="Normal 2 4 3 2 2 3" xfId="2786"/>
    <cellStyle name="Normal 2 4 3 2 2 3 2" xfId="16144"/>
    <cellStyle name="Normal 2 4 3 2 2 3 2 2" xfId="27945"/>
    <cellStyle name="Normal 2 4 3 2 2 3 2 2 2" xfId="60692"/>
    <cellStyle name="Normal 2 4 3 2 2 3 2 3" xfId="41560"/>
    <cellStyle name="Normal 2 4 3 2 2 3 3" xfId="8239"/>
    <cellStyle name="Normal 2 4 3 2 2 3 3 2" xfId="48144"/>
    <cellStyle name="Normal 2 4 3 2 2 3 4" xfId="20040"/>
    <cellStyle name="Normal 2 4 3 2 2 3 4 2" xfId="60693"/>
    <cellStyle name="Normal 2 4 3 2 2 3 5" xfId="33655"/>
    <cellStyle name="Normal 2 4 3 2 2 4" xfId="16145"/>
    <cellStyle name="Normal 2 4 3 2 2 4 2" xfId="27946"/>
    <cellStyle name="Normal 2 4 3 2 2 4 2 2" xfId="60694"/>
    <cellStyle name="Normal 2 4 3 2 2 4 3" xfId="41561"/>
    <cellStyle name="Normal 2 4 3 2 2 5" xfId="7275"/>
    <cellStyle name="Normal 2 4 3 2 2 5 2" xfId="48145"/>
    <cellStyle name="Normal 2 4 3 2 2 6" xfId="19076"/>
    <cellStyle name="Normal 2 4 3 2 2 6 2" xfId="60695"/>
    <cellStyle name="Normal 2 4 3 2 2 7" xfId="32691"/>
    <cellStyle name="Normal 2 4 3 2 3" xfId="3354"/>
    <cellStyle name="Normal 2 4 3 2 3 2" xfId="5195"/>
    <cellStyle name="Normal 2 4 3 2 3 2 2" xfId="16665"/>
    <cellStyle name="Normal 2 4 3 2 3 2 2 2" xfId="28466"/>
    <cellStyle name="Normal 2 4 3 2 3 2 2 2 2" xfId="60696"/>
    <cellStyle name="Normal 2 4 3 2 3 2 2 3" xfId="42081"/>
    <cellStyle name="Normal 2 4 3 2 3 2 3" xfId="10648"/>
    <cellStyle name="Normal 2 4 3 2 3 2 3 2" xfId="60697"/>
    <cellStyle name="Normal 2 4 3 2 3 2 4" xfId="22449"/>
    <cellStyle name="Normal 2 4 3 2 3 2 4 2" xfId="60698"/>
    <cellStyle name="Normal 2 4 3 2 3 2 5" xfId="36064"/>
    <cellStyle name="Normal 2 4 3 2 3 3" xfId="16146"/>
    <cellStyle name="Normal 2 4 3 2 3 3 2" xfId="27947"/>
    <cellStyle name="Normal 2 4 3 2 3 3 2 2" xfId="60699"/>
    <cellStyle name="Normal 2 4 3 2 3 3 3" xfId="41562"/>
    <cellStyle name="Normal 2 4 3 2 3 4" xfId="8807"/>
    <cellStyle name="Normal 2 4 3 2 3 4 2" xfId="60700"/>
    <cellStyle name="Normal 2 4 3 2 3 5" xfId="20608"/>
    <cellStyle name="Normal 2 4 3 2 3 5 2" xfId="60701"/>
    <cellStyle name="Normal 2 4 3 2 3 6" xfId="34223"/>
    <cellStyle name="Normal 2 4 3 2 4" xfId="4059"/>
    <cellStyle name="Normal 2 4 3 2 4 2" xfId="16147"/>
    <cellStyle name="Normal 2 4 3 2 4 2 2" xfId="27948"/>
    <cellStyle name="Normal 2 4 3 2 4 2 2 2" xfId="60702"/>
    <cellStyle name="Normal 2 4 3 2 4 2 3" xfId="41563"/>
    <cellStyle name="Normal 2 4 3 2 4 3" xfId="9512"/>
    <cellStyle name="Normal 2 4 3 2 4 3 2" xfId="48146"/>
    <cellStyle name="Normal 2 4 3 2 4 4" xfId="21313"/>
    <cellStyle name="Normal 2 4 3 2 4 4 2" xfId="60703"/>
    <cellStyle name="Normal 2 4 3 2 4 5" xfId="34928"/>
    <cellStyle name="Normal 2 4 3 2 5" xfId="2218"/>
    <cellStyle name="Normal 2 4 3 2 5 2" xfId="17227"/>
    <cellStyle name="Normal 2 4 3 2 5 2 2" xfId="29028"/>
    <cellStyle name="Normal 2 4 3 2 5 2 2 2" xfId="60704"/>
    <cellStyle name="Normal 2 4 3 2 5 2 3" xfId="42643"/>
    <cellStyle name="Normal 2 4 3 2 5 3" xfId="7671"/>
    <cellStyle name="Normal 2 4 3 2 5 3 2" xfId="60705"/>
    <cellStyle name="Normal 2 4 3 2 5 4" xfId="19472"/>
    <cellStyle name="Normal 2 4 3 2 5 4 2" xfId="60706"/>
    <cellStyle name="Normal 2 4 3 2 5 5" xfId="33087"/>
    <cellStyle name="Normal 2 4 3 2 6" xfId="16148"/>
    <cellStyle name="Normal 2 4 3 2 6 2" xfId="27949"/>
    <cellStyle name="Normal 2 4 3 2 6 2 2" xfId="60707"/>
    <cellStyle name="Normal 2 4 3 2 6 3" xfId="41564"/>
    <cellStyle name="Normal 2 4 3 2 7" xfId="5771"/>
    <cellStyle name="Normal 2 4 3 2 7 2" xfId="60708"/>
    <cellStyle name="Normal 2 4 3 2 8" xfId="17572"/>
    <cellStyle name="Normal 2 4 3 2 8 2" xfId="60709"/>
    <cellStyle name="Normal 2 4 3 2 9" xfId="31187"/>
    <cellStyle name="Normal 2 4 3 3" xfId="753"/>
    <cellStyle name="Normal 2 4 3 3 2" xfId="1822"/>
    <cellStyle name="Normal 2 4 3 3 2 2" xfId="4495"/>
    <cellStyle name="Normal 2 4 3 3 2 2 2" xfId="16149"/>
    <cellStyle name="Normal 2 4 3 3 2 2 2 2" xfId="27950"/>
    <cellStyle name="Normal 2 4 3 3 2 2 2 2 2" xfId="60710"/>
    <cellStyle name="Normal 2 4 3 3 2 2 2 3" xfId="41565"/>
    <cellStyle name="Normal 2 4 3 3 2 2 3" xfId="9948"/>
    <cellStyle name="Normal 2 4 3 3 2 2 3 2" xfId="48147"/>
    <cellStyle name="Normal 2 4 3 3 2 2 4" xfId="21749"/>
    <cellStyle name="Normal 2 4 3 3 2 2 4 2" xfId="60711"/>
    <cellStyle name="Normal 2 4 3 3 2 2 5" xfId="35364"/>
    <cellStyle name="Normal 2 4 3 3 2 3" xfId="16150"/>
    <cellStyle name="Normal 2 4 3 3 2 3 2" xfId="27951"/>
    <cellStyle name="Normal 2 4 3 3 2 3 2 2" xfId="48148"/>
    <cellStyle name="Normal 2 4 3 3 2 3 3" xfId="30724"/>
    <cellStyle name="Normal 2 4 3 3 2 3 3 2" xfId="48149"/>
    <cellStyle name="Normal 2 4 3 3 2 3 4" xfId="30725"/>
    <cellStyle name="Normal 2 4 3 3 2 3 4 2" xfId="60712"/>
    <cellStyle name="Normal 2 4 3 3 2 3 5" xfId="41566"/>
    <cellStyle name="Normal 2 4 3 3 2 4" xfId="16151"/>
    <cellStyle name="Normal 2 4 3 3 2 4 2" xfId="27952"/>
    <cellStyle name="Normal 2 4 3 3 2 4 2 2" xfId="60713"/>
    <cellStyle name="Normal 2 4 3 3 2 4 3" xfId="41567"/>
    <cellStyle name="Normal 2 4 3 3 2 5" xfId="7276"/>
    <cellStyle name="Normal 2 4 3 3 2 5 2" xfId="48150"/>
    <cellStyle name="Normal 2 4 3 3 2 6" xfId="19077"/>
    <cellStyle name="Normal 2 4 3 3 2 6 2" xfId="60714"/>
    <cellStyle name="Normal 2 4 3 3 2 7" xfId="32692"/>
    <cellStyle name="Normal 2 4 3 3 3" xfId="2654"/>
    <cellStyle name="Normal 2 4 3 3 3 2" xfId="16152"/>
    <cellStyle name="Normal 2 4 3 3 3 2 2" xfId="27953"/>
    <cellStyle name="Normal 2 4 3 3 3 2 2 2" xfId="60715"/>
    <cellStyle name="Normal 2 4 3 3 3 2 3" xfId="41568"/>
    <cellStyle name="Normal 2 4 3 3 3 3" xfId="8107"/>
    <cellStyle name="Normal 2 4 3 3 3 3 2" xfId="48151"/>
    <cellStyle name="Normal 2 4 3 3 3 4" xfId="19908"/>
    <cellStyle name="Normal 2 4 3 3 3 4 2" xfId="60716"/>
    <cellStyle name="Normal 2 4 3 3 3 5" xfId="33523"/>
    <cellStyle name="Normal 2 4 3 3 4" xfId="16153"/>
    <cellStyle name="Normal 2 4 3 3 4 2" xfId="27954"/>
    <cellStyle name="Normal 2 4 3 3 4 2 2" xfId="48152"/>
    <cellStyle name="Normal 2 4 3 3 4 3" xfId="30726"/>
    <cellStyle name="Normal 2 4 3 3 4 3 2" xfId="48153"/>
    <cellStyle name="Normal 2 4 3 3 4 4" xfId="30727"/>
    <cellStyle name="Normal 2 4 3 3 4 4 2" xfId="60717"/>
    <cellStyle name="Normal 2 4 3 3 4 5" xfId="41569"/>
    <cellStyle name="Normal 2 4 3 3 5" xfId="16154"/>
    <cellStyle name="Normal 2 4 3 3 5 2" xfId="27955"/>
    <cellStyle name="Normal 2 4 3 3 5 2 2" xfId="60718"/>
    <cellStyle name="Normal 2 4 3 3 5 3" xfId="41570"/>
    <cellStyle name="Normal 2 4 3 3 6" xfId="6207"/>
    <cellStyle name="Normal 2 4 3 3 6 2" xfId="48154"/>
    <cellStyle name="Normal 2 4 3 3 7" xfId="18008"/>
    <cellStyle name="Normal 2 4 3 3 7 2" xfId="60719"/>
    <cellStyle name="Normal 2 4 3 3 8" xfId="31623"/>
    <cellStyle name="Normal 2 4 3 4" xfId="1823"/>
    <cellStyle name="Normal 2 4 3 4 2" xfId="5063"/>
    <cellStyle name="Normal 2 4 3 4 2 2" xfId="16155"/>
    <cellStyle name="Normal 2 4 3 4 2 2 2" xfId="27956"/>
    <cellStyle name="Normal 2 4 3 4 2 2 2 2" xfId="60720"/>
    <cellStyle name="Normal 2 4 3 4 2 2 3" xfId="41571"/>
    <cellStyle name="Normal 2 4 3 4 2 3" xfId="10516"/>
    <cellStyle name="Normal 2 4 3 4 2 3 2" xfId="48155"/>
    <cellStyle name="Normal 2 4 3 4 2 4" xfId="22317"/>
    <cellStyle name="Normal 2 4 3 4 2 4 2" xfId="60721"/>
    <cellStyle name="Normal 2 4 3 4 2 5" xfId="35932"/>
    <cellStyle name="Normal 2 4 3 4 3" xfId="3222"/>
    <cellStyle name="Normal 2 4 3 4 3 2" xfId="16156"/>
    <cellStyle name="Normal 2 4 3 4 3 2 2" xfId="27957"/>
    <cellStyle name="Normal 2 4 3 4 3 2 2 2" xfId="60722"/>
    <cellStyle name="Normal 2 4 3 4 3 2 3" xfId="41572"/>
    <cellStyle name="Normal 2 4 3 4 3 3" xfId="8675"/>
    <cellStyle name="Normal 2 4 3 4 3 3 2" xfId="48156"/>
    <cellStyle name="Normal 2 4 3 4 3 4" xfId="20476"/>
    <cellStyle name="Normal 2 4 3 4 3 4 2" xfId="60723"/>
    <cellStyle name="Normal 2 4 3 4 3 5" xfId="34091"/>
    <cellStyle name="Normal 2 4 3 4 4" xfId="16157"/>
    <cellStyle name="Normal 2 4 3 4 4 2" xfId="27958"/>
    <cellStyle name="Normal 2 4 3 4 4 2 2" xfId="60724"/>
    <cellStyle name="Normal 2 4 3 4 4 3" xfId="41573"/>
    <cellStyle name="Normal 2 4 3 4 5" xfId="7277"/>
    <cellStyle name="Normal 2 4 3 4 5 2" xfId="48157"/>
    <cellStyle name="Normal 2 4 3 4 6" xfId="19078"/>
    <cellStyle name="Normal 2 4 3 4 6 2" xfId="60725"/>
    <cellStyle name="Normal 2 4 3 4 7" xfId="32693"/>
    <cellStyle name="Normal 2 4 3 5" xfId="3927"/>
    <cellStyle name="Normal 2 4 3 5 2" xfId="16158"/>
    <cellStyle name="Normal 2 4 3 5 2 2" xfId="27959"/>
    <cellStyle name="Normal 2 4 3 5 2 2 2" xfId="60726"/>
    <cellStyle name="Normal 2 4 3 5 2 3" xfId="41574"/>
    <cellStyle name="Normal 2 4 3 5 3" xfId="9380"/>
    <cellStyle name="Normal 2 4 3 5 3 2" xfId="48158"/>
    <cellStyle name="Normal 2 4 3 5 4" xfId="21181"/>
    <cellStyle name="Normal 2 4 3 5 4 2" xfId="60727"/>
    <cellStyle name="Normal 2 4 3 5 5" xfId="34796"/>
    <cellStyle name="Normal 2 4 3 6" xfId="2086"/>
    <cellStyle name="Normal 2 4 3 6 2" xfId="16159"/>
    <cellStyle name="Normal 2 4 3 6 2 2" xfId="27960"/>
    <cellStyle name="Normal 2 4 3 6 2 2 2" xfId="60728"/>
    <cellStyle name="Normal 2 4 3 6 2 3" xfId="41575"/>
    <cellStyle name="Normal 2 4 3 6 3" xfId="7539"/>
    <cellStyle name="Normal 2 4 3 6 3 2" xfId="48159"/>
    <cellStyle name="Normal 2 4 3 6 4" xfId="19340"/>
    <cellStyle name="Normal 2 4 3 6 4 2" xfId="60729"/>
    <cellStyle name="Normal 2 4 3 6 5" xfId="32955"/>
    <cellStyle name="Normal 2 4 3 7" xfId="16160"/>
    <cellStyle name="Normal 2 4 3 7 2" xfId="27961"/>
    <cellStyle name="Normal 2 4 3 7 2 2" xfId="60730"/>
    <cellStyle name="Normal 2 4 3 7 3" xfId="41576"/>
    <cellStyle name="Normal 2 4 3 8" xfId="5639"/>
    <cellStyle name="Normal 2 4 3 8 2" xfId="48160"/>
    <cellStyle name="Normal 2 4 3 9" xfId="17440"/>
    <cellStyle name="Normal 2 4 3 9 2" xfId="60731"/>
    <cellStyle name="Normal 2 4 4" xfId="454"/>
    <cellStyle name="Normal 2 4 4 2" xfId="1824"/>
    <cellStyle name="Normal 2 4 4 2 2" xfId="4764"/>
    <cellStyle name="Normal 2 4 4 2 2 2" xfId="16161"/>
    <cellStyle name="Normal 2 4 4 2 2 2 2" xfId="27962"/>
    <cellStyle name="Normal 2 4 4 2 2 2 2 2" xfId="60732"/>
    <cellStyle name="Normal 2 4 4 2 2 2 3" xfId="41577"/>
    <cellStyle name="Normal 2 4 4 2 2 3" xfId="10217"/>
    <cellStyle name="Normal 2 4 4 2 2 3 2" xfId="48161"/>
    <cellStyle name="Normal 2 4 4 2 2 4" xfId="22018"/>
    <cellStyle name="Normal 2 4 4 2 2 4 2" xfId="60733"/>
    <cellStyle name="Normal 2 4 4 2 2 5" xfId="35633"/>
    <cellStyle name="Normal 2 4 4 2 3" xfId="2923"/>
    <cellStyle name="Normal 2 4 4 2 3 2" xfId="16162"/>
    <cellStyle name="Normal 2 4 4 2 3 2 2" xfId="27963"/>
    <cellStyle name="Normal 2 4 4 2 3 2 2 2" xfId="60734"/>
    <cellStyle name="Normal 2 4 4 2 3 2 3" xfId="41578"/>
    <cellStyle name="Normal 2 4 4 2 3 3" xfId="8376"/>
    <cellStyle name="Normal 2 4 4 2 3 3 2" xfId="48162"/>
    <cellStyle name="Normal 2 4 4 2 3 4" xfId="20177"/>
    <cellStyle name="Normal 2 4 4 2 3 4 2" xfId="60735"/>
    <cellStyle name="Normal 2 4 4 2 3 5" xfId="33792"/>
    <cellStyle name="Normal 2 4 4 2 4" xfId="16163"/>
    <cellStyle name="Normal 2 4 4 2 4 2" xfId="27964"/>
    <cellStyle name="Normal 2 4 4 2 4 2 2" xfId="60736"/>
    <cellStyle name="Normal 2 4 4 2 4 3" xfId="41579"/>
    <cellStyle name="Normal 2 4 4 2 5" xfId="7278"/>
    <cellStyle name="Normal 2 4 4 2 5 2" xfId="48163"/>
    <cellStyle name="Normal 2 4 4 2 6" xfId="19079"/>
    <cellStyle name="Normal 2 4 4 2 6 2" xfId="60737"/>
    <cellStyle name="Normal 2 4 4 2 7" xfId="32694"/>
    <cellStyle name="Normal 2 4 4 3" xfId="3491"/>
    <cellStyle name="Normal 2 4 4 3 2" xfId="5332"/>
    <cellStyle name="Normal 2 4 4 3 2 2" xfId="16802"/>
    <cellStyle name="Normal 2 4 4 3 2 2 2" xfId="28603"/>
    <cellStyle name="Normal 2 4 4 3 2 2 2 2" xfId="60738"/>
    <cellStyle name="Normal 2 4 4 3 2 2 3" xfId="42218"/>
    <cellStyle name="Normal 2 4 4 3 2 3" xfId="10785"/>
    <cellStyle name="Normal 2 4 4 3 2 3 2" xfId="60739"/>
    <cellStyle name="Normal 2 4 4 3 2 4" xfId="22586"/>
    <cellStyle name="Normal 2 4 4 3 2 4 2" xfId="60740"/>
    <cellStyle name="Normal 2 4 4 3 2 5" xfId="36201"/>
    <cellStyle name="Normal 2 4 4 3 3" xfId="16164"/>
    <cellStyle name="Normal 2 4 4 3 3 2" xfId="27965"/>
    <cellStyle name="Normal 2 4 4 3 3 2 2" xfId="60741"/>
    <cellStyle name="Normal 2 4 4 3 3 3" xfId="41580"/>
    <cellStyle name="Normal 2 4 4 3 4" xfId="8944"/>
    <cellStyle name="Normal 2 4 4 3 4 2" xfId="60742"/>
    <cellStyle name="Normal 2 4 4 3 5" xfId="20745"/>
    <cellStyle name="Normal 2 4 4 3 5 2" xfId="60743"/>
    <cellStyle name="Normal 2 4 4 3 6" xfId="34360"/>
    <cellStyle name="Normal 2 4 4 4" xfId="4196"/>
    <cellStyle name="Normal 2 4 4 4 2" xfId="16165"/>
    <cellStyle name="Normal 2 4 4 4 2 2" xfId="27966"/>
    <cellStyle name="Normal 2 4 4 4 2 2 2" xfId="60744"/>
    <cellStyle name="Normal 2 4 4 4 2 3" xfId="41581"/>
    <cellStyle name="Normal 2 4 4 4 3" xfId="9649"/>
    <cellStyle name="Normal 2 4 4 4 3 2" xfId="48164"/>
    <cellStyle name="Normal 2 4 4 4 4" xfId="21450"/>
    <cellStyle name="Normal 2 4 4 4 4 2" xfId="60745"/>
    <cellStyle name="Normal 2 4 4 4 5" xfId="35065"/>
    <cellStyle name="Normal 2 4 4 5" xfId="2355"/>
    <cellStyle name="Normal 2 4 4 5 2" xfId="17228"/>
    <cellStyle name="Normal 2 4 4 5 2 2" xfId="29029"/>
    <cellStyle name="Normal 2 4 4 5 2 2 2" xfId="60746"/>
    <cellStyle name="Normal 2 4 4 5 2 3" xfId="42644"/>
    <cellStyle name="Normal 2 4 4 5 3" xfId="7808"/>
    <cellStyle name="Normal 2 4 4 5 3 2" xfId="60747"/>
    <cellStyle name="Normal 2 4 4 5 4" xfId="19609"/>
    <cellStyle name="Normal 2 4 4 5 4 2" xfId="60748"/>
    <cellStyle name="Normal 2 4 4 5 5" xfId="33224"/>
    <cellStyle name="Normal 2 4 4 6" xfId="16166"/>
    <cellStyle name="Normal 2 4 4 6 2" xfId="27967"/>
    <cellStyle name="Normal 2 4 4 6 2 2" xfId="60749"/>
    <cellStyle name="Normal 2 4 4 6 3" xfId="41582"/>
    <cellStyle name="Normal 2 4 4 7" xfId="5908"/>
    <cellStyle name="Normal 2 4 4 7 2" xfId="60750"/>
    <cellStyle name="Normal 2 4 4 8" xfId="17709"/>
    <cellStyle name="Normal 2 4 4 8 2" xfId="60751"/>
    <cellStyle name="Normal 2 4 4 9" xfId="31324"/>
    <cellStyle name="Normal 2 4 5" xfId="268"/>
    <cellStyle name="Normal 2 4 5 2" xfId="1825"/>
    <cellStyle name="Normal 2 4 5 2 2" xfId="4578"/>
    <cellStyle name="Normal 2 4 5 2 2 2" xfId="16167"/>
    <cellStyle name="Normal 2 4 5 2 2 2 2" xfId="27968"/>
    <cellStyle name="Normal 2 4 5 2 2 2 2 2" xfId="60752"/>
    <cellStyle name="Normal 2 4 5 2 2 2 3" xfId="41583"/>
    <cellStyle name="Normal 2 4 5 2 2 3" xfId="10031"/>
    <cellStyle name="Normal 2 4 5 2 2 3 2" xfId="48165"/>
    <cellStyle name="Normal 2 4 5 2 2 4" xfId="21832"/>
    <cellStyle name="Normal 2 4 5 2 2 4 2" xfId="60753"/>
    <cellStyle name="Normal 2 4 5 2 2 5" xfId="35447"/>
    <cellStyle name="Normal 2 4 5 2 3" xfId="2737"/>
    <cellStyle name="Normal 2 4 5 2 3 2" xfId="16168"/>
    <cellStyle name="Normal 2 4 5 2 3 2 2" xfId="27969"/>
    <cellStyle name="Normal 2 4 5 2 3 2 2 2" xfId="60754"/>
    <cellStyle name="Normal 2 4 5 2 3 2 3" xfId="41584"/>
    <cellStyle name="Normal 2 4 5 2 3 3" xfId="8190"/>
    <cellStyle name="Normal 2 4 5 2 3 3 2" xfId="48166"/>
    <cellStyle name="Normal 2 4 5 2 3 4" xfId="19991"/>
    <cellStyle name="Normal 2 4 5 2 3 4 2" xfId="60755"/>
    <cellStyle name="Normal 2 4 5 2 3 5" xfId="33606"/>
    <cellStyle name="Normal 2 4 5 2 4" xfId="16169"/>
    <cellStyle name="Normal 2 4 5 2 4 2" xfId="27970"/>
    <cellStyle name="Normal 2 4 5 2 4 2 2" xfId="60756"/>
    <cellStyle name="Normal 2 4 5 2 4 3" xfId="41585"/>
    <cellStyle name="Normal 2 4 5 2 5" xfId="7279"/>
    <cellStyle name="Normal 2 4 5 2 5 2" xfId="48167"/>
    <cellStyle name="Normal 2 4 5 2 6" xfId="19080"/>
    <cellStyle name="Normal 2 4 5 2 6 2" xfId="60757"/>
    <cellStyle name="Normal 2 4 5 2 7" xfId="32695"/>
    <cellStyle name="Normal 2 4 5 3" xfId="3305"/>
    <cellStyle name="Normal 2 4 5 3 2" xfId="5146"/>
    <cellStyle name="Normal 2 4 5 3 2 2" xfId="16616"/>
    <cellStyle name="Normal 2 4 5 3 2 2 2" xfId="28417"/>
    <cellStyle name="Normal 2 4 5 3 2 2 2 2" xfId="60758"/>
    <cellStyle name="Normal 2 4 5 3 2 2 3" xfId="42032"/>
    <cellStyle name="Normal 2 4 5 3 2 3" xfId="10599"/>
    <cellStyle name="Normal 2 4 5 3 2 3 2" xfId="60759"/>
    <cellStyle name="Normal 2 4 5 3 2 4" xfId="22400"/>
    <cellStyle name="Normal 2 4 5 3 2 4 2" xfId="60760"/>
    <cellStyle name="Normal 2 4 5 3 2 5" xfId="36015"/>
    <cellStyle name="Normal 2 4 5 3 3" xfId="16170"/>
    <cellStyle name="Normal 2 4 5 3 3 2" xfId="27971"/>
    <cellStyle name="Normal 2 4 5 3 3 2 2" xfId="60761"/>
    <cellStyle name="Normal 2 4 5 3 3 3" xfId="41586"/>
    <cellStyle name="Normal 2 4 5 3 4" xfId="8758"/>
    <cellStyle name="Normal 2 4 5 3 4 2" xfId="60762"/>
    <cellStyle name="Normal 2 4 5 3 5" xfId="20559"/>
    <cellStyle name="Normal 2 4 5 3 5 2" xfId="60763"/>
    <cellStyle name="Normal 2 4 5 3 6" xfId="34174"/>
    <cellStyle name="Normal 2 4 5 4" xfId="4010"/>
    <cellStyle name="Normal 2 4 5 4 2" xfId="16171"/>
    <cellStyle name="Normal 2 4 5 4 2 2" xfId="27972"/>
    <cellStyle name="Normal 2 4 5 4 2 2 2" xfId="60764"/>
    <cellStyle name="Normal 2 4 5 4 2 3" xfId="41587"/>
    <cellStyle name="Normal 2 4 5 4 3" xfId="9463"/>
    <cellStyle name="Normal 2 4 5 4 3 2" xfId="48168"/>
    <cellStyle name="Normal 2 4 5 4 4" xfId="21264"/>
    <cellStyle name="Normal 2 4 5 4 4 2" xfId="60765"/>
    <cellStyle name="Normal 2 4 5 4 5" xfId="34879"/>
    <cellStyle name="Normal 2 4 5 5" xfId="2169"/>
    <cellStyle name="Normal 2 4 5 5 2" xfId="17229"/>
    <cellStyle name="Normal 2 4 5 5 2 2" xfId="29030"/>
    <cellStyle name="Normal 2 4 5 5 2 2 2" xfId="60766"/>
    <cellStyle name="Normal 2 4 5 5 2 3" xfId="42645"/>
    <cellStyle name="Normal 2 4 5 5 3" xfId="7622"/>
    <cellStyle name="Normal 2 4 5 5 3 2" xfId="60767"/>
    <cellStyle name="Normal 2 4 5 5 4" xfId="19423"/>
    <cellStyle name="Normal 2 4 5 5 4 2" xfId="60768"/>
    <cellStyle name="Normal 2 4 5 5 5" xfId="33038"/>
    <cellStyle name="Normal 2 4 5 6" xfId="16172"/>
    <cellStyle name="Normal 2 4 5 6 2" xfId="27973"/>
    <cellStyle name="Normal 2 4 5 6 2 2" xfId="60769"/>
    <cellStyle name="Normal 2 4 5 6 3" xfId="41588"/>
    <cellStyle name="Normal 2 4 5 7" xfId="5722"/>
    <cellStyle name="Normal 2 4 5 7 2" xfId="60770"/>
    <cellStyle name="Normal 2 4 5 8" xfId="17523"/>
    <cellStyle name="Normal 2 4 5 8 2" xfId="60771"/>
    <cellStyle name="Normal 2 4 5 9" xfId="31138"/>
    <cellStyle name="Normal 2 4 6" xfId="595"/>
    <cellStyle name="Normal 2 4 6 2" xfId="1826"/>
    <cellStyle name="Normal 2 4 6 2 2" xfId="4337"/>
    <cellStyle name="Normal 2 4 6 2 2 2" xfId="16173"/>
    <cellStyle name="Normal 2 4 6 2 2 2 2" xfId="27974"/>
    <cellStyle name="Normal 2 4 6 2 2 2 2 2" xfId="60772"/>
    <cellStyle name="Normal 2 4 6 2 2 2 3" xfId="41589"/>
    <cellStyle name="Normal 2 4 6 2 2 3" xfId="9790"/>
    <cellStyle name="Normal 2 4 6 2 2 3 2" xfId="48169"/>
    <cellStyle name="Normal 2 4 6 2 2 4" xfId="21591"/>
    <cellStyle name="Normal 2 4 6 2 2 4 2" xfId="60773"/>
    <cellStyle name="Normal 2 4 6 2 2 5" xfId="35206"/>
    <cellStyle name="Normal 2 4 6 2 3" xfId="16174"/>
    <cellStyle name="Normal 2 4 6 2 3 2" xfId="27975"/>
    <cellStyle name="Normal 2 4 6 2 3 2 2" xfId="48170"/>
    <cellStyle name="Normal 2 4 6 2 3 3" xfId="30728"/>
    <cellStyle name="Normal 2 4 6 2 3 3 2" xfId="48171"/>
    <cellStyle name="Normal 2 4 6 2 3 4" xfId="30729"/>
    <cellStyle name="Normal 2 4 6 2 3 4 2" xfId="60774"/>
    <cellStyle name="Normal 2 4 6 2 3 5" xfId="41590"/>
    <cellStyle name="Normal 2 4 6 2 4" xfId="16175"/>
    <cellStyle name="Normal 2 4 6 2 4 2" xfId="27976"/>
    <cellStyle name="Normal 2 4 6 2 4 2 2" xfId="60775"/>
    <cellStyle name="Normal 2 4 6 2 4 3" xfId="41591"/>
    <cellStyle name="Normal 2 4 6 2 5" xfId="7280"/>
    <cellStyle name="Normal 2 4 6 2 5 2" xfId="48172"/>
    <cellStyle name="Normal 2 4 6 2 6" xfId="19081"/>
    <cellStyle name="Normal 2 4 6 2 6 2" xfId="60776"/>
    <cellStyle name="Normal 2 4 6 2 7" xfId="32696"/>
    <cellStyle name="Normal 2 4 6 3" xfId="2496"/>
    <cellStyle name="Normal 2 4 6 3 2" xfId="16176"/>
    <cellStyle name="Normal 2 4 6 3 2 2" xfId="27977"/>
    <cellStyle name="Normal 2 4 6 3 2 2 2" xfId="60777"/>
    <cellStyle name="Normal 2 4 6 3 2 3" xfId="41592"/>
    <cellStyle name="Normal 2 4 6 3 3" xfId="7949"/>
    <cellStyle name="Normal 2 4 6 3 3 2" xfId="48173"/>
    <cellStyle name="Normal 2 4 6 3 4" xfId="19750"/>
    <cellStyle name="Normal 2 4 6 3 4 2" xfId="60778"/>
    <cellStyle name="Normal 2 4 6 3 5" xfId="33365"/>
    <cellStyle name="Normal 2 4 6 4" xfId="16177"/>
    <cellStyle name="Normal 2 4 6 4 2" xfId="27978"/>
    <cellStyle name="Normal 2 4 6 4 2 2" xfId="48174"/>
    <cellStyle name="Normal 2 4 6 4 3" xfId="30730"/>
    <cellStyle name="Normal 2 4 6 4 3 2" xfId="48175"/>
    <cellStyle name="Normal 2 4 6 4 4" xfId="30731"/>
    <cellStyle name="Normal 2 4 6 4 4 2" xfId="60779"/>
    <cellStyle name="Normal 2 4 6 4 5" xfId="41593"/>
    <cellStyle name="Normal 2 4 6 5" xfId="16178"/>
    <cellStyle name="Normal 2 4 6 5 2" xfId="27979"/>
    <cellStyle name="Normal 2 4 6 5 2 2" xfId="60780"/>
    <cellStyle name="Normal 2 4 6 5 3" xfId="41594"/>
    <cellStyle name="Normal 2 4 6 6" xfId="6049"/>
    <cellStyle name="Normal 2 4 6 6 2" xfId="48176"/>
    <cellStyle name="Normal 2 4 6 7" xfId="17850"/>
    <cellStyle name="Normal 2 4 6 7 2" xfId="60781"/>
    <cellStyle name="Normal 2 4 6 8" xfId="31465"/>
    <cellStyle name="Normal 2 4 7" xfId="836"/>
    <cellStyle name="Normal 2 4 7 2" xfId="1827"/>
    <cellStyle name="Normal 2 4 7 2 2" xfId="4905"/>
    <cellStyle name="Normal 2 4 7 2 2 2" xfId="16179"/>
    <cellStyle name="Normal 2 4 7 2 2 2 2" xfId="27980"/>
    <cellStyle name="Normal 2 4 7 2 2 2 2 2" xfId="60782"/>
    <cellStyle name="Normal 2 4 7 2 2 2 3" xfId="41595"/>
    <cellStyle name="Normal 2 4 7 2 2 3" xfId="10358"/>
    <cellStyle name="Normal 2 4 7 2 2 3 2" xfId="48177"/>
    <cellStyle name="Normal 2 4 7 2 2 4" xfId="22159"/>
    <cellStyle name="Normal 2 4 7 2 2 4 2" xfId="60783"/>
    <cellStyle name="Normal 2 4 7 2 2 5" xfId="35774"/>
    <cellStyle name="Normal 2 4 7 2 3" xfId="16180"/>
    <cellStyle name="Normal 2 4 7 2 3 2" xfId="27981"/>
    <cellStyle name="Normal 2 4 7 2 3 2 2" xfId="48178"/>
    <cellStyle name="Normal 2 4 7 2 3 3" xfId="30732"/>
    <cellStyle name="Normal 2 4 7 2 3 3 2" xfId="48179"/>
    <cellStyle name="Normal 2 4 7 2 3 4" xfId="30733"/>
    <cellStyle name="Normal 2 4 7 2 3 4 2" xfId="60784"/>
    <cellStyle name="Normal 2 4 7 2 3 5" xfId="41596"/>
    <cellStyle name="Normal 2 4 7 2 4" xfId="16181"/>
    <cellStyle name="Normal 2 4 7 2 4 2" xfId="27982"/>
    <cellStyle name="Normal 2 4 7 2 4 2 2" xfId="60785"/>
    <cellStyle name="Normal 2 4 7 2 4 3" xfId="41597"/>
    <cellStyle name="Normal 2 4 7 2 5" xfId="7281"/>
    <cellStyle name="Normal 2 4 7 2 5 2" xfId="48180"/>
    <cellStyle name="Normal 2 4 7 2 6" xfId="19082"/>
    <cellStyle name="Normal 2 4 7 2 6 2" xfId="60786"/>
    <cellStyle name="Normal 2 4 7 2 7" xfId="32697"/>
    <cellStyle name="Normal 2 4 7 3" xfId="3064"/>
    <cellStyle name="Normal 2 4 7 3 2" xfId="16182"/>
    <cellStyle name="Normal 2 4 7 3 2 2" xfId="27983"/>
    <cellStyle name="Normal 2 4 7 3 2 2 2" xfId="60787"/>
    <cellStyle name="Normal 2 4 7 3 2 3" xfId="41598"/>
    <cellStyle name="Normal 2 4 7 3 3" xfId="8517"/>
    <cellStyle name="Normal 2 4 7 3 3 2" xfId="48181"/>
    <cellStyle name="Normal 2 4 7 3 4" xfId="20318"/>
    <cellStyle name="Normal 2 4 7 3 4 2" xfId="60788"/>
    <cellStyle name="Normal 2 4 7 3 5" xfId="33933"/>
    <cellStyle name="Normal 2 4 7 4" xfId="16183"/>
    <cellStyle name="Normal 2 4 7 4 2" xfId="27984"/>
    <cellStyle name="Normal 2 4 7 4 2 2" xfId="48182"/>
    <cellStyle name="Normal 2 4 7 4 3" xfId="30734"/>
    <cellStyle name="Normal 2 4 7 4 3 2" xfId="48183"/>
    <cellStyle name="Normal 2 4 7 4 4" xfId="30735"/>
    <cellStyle name="Normal 2 4 7 4 4 2" xfId="60789"/>
    <cellStyle name="Normal 2 4 7 4 5" xfId="41599"/>
    <cellStyle name="Normal 2 4 7 5" xfId="16184"/>
    <cellStyle name="Normal 2 4 7 5 2" xfId="27985"/>
    <cellStyle name="Normal 2 4 7 5 2 2" xfId="60790"/>
    <cellStyle name="Normal 2 4 7 5 3" xfId="41600"/>
    <cellStyle name="Normal 2 4 7 6" xfId="6290"/>
    <cellStyle name="Normal 2 4 7 6 2" xfId="48184"/>
    <cellStyle name="Normal 2 4 7 7" xfId="18091"/>
    <cellStyle name="Normal 2 4 7 7 2" xfId="60791"/>
    <cellStyle name="Normal 2 4 7 8" xfId="31706"/>
    <cellStyle name="Normal 2 4 8" xfId="1828"/>
    <cellStyle name="Normal 2 4 8 2" xfId="3769"/>
    <cellStyle name="Normal 2 4 8 2 2" xfId="16185"/>
    <cellStyle name="Normal 2 4 8 2 2 2" xfId="27986"/>
    <cellStyle name="Normal 2 4 8 2 2 2 2" xfId="60792"/>
    <cellStyle name="Normal 2 4 8 2 2 3" xfId="41601"/>
    <cellStyle name="Normal 2 4 8 2 3" xfId="9222"/>
    <cellStyle name="Normal 2 4 8 2 3 2" xfId="48185"/>
    <cellStyle name="Normal 2 4 8 2 4" xfId="21023"/>
    <cellStyle name="Normal 2 4 8 2 4 2" xfId="60793"/>
    <cellStyle name="Normal 2 4 8 2 5" xfId="34638"/>
    <cellStyle name="Normal 2 4 8 3" xfId="16186"/>
    <cellStyle name="Normal 2 4 8 3 2" xfId="27987"/>
    <cellStyle name="Normal 2 4 8 3 2 2" xfId="48186"/>
    <cellStyle name="Normal 2 4 8 3 3" xfId="30736"/>
    <cellStyle name="Normal 2 4 8 3 3 2" xfId="48187"/>
    <cellStyle name="Normal 2 4 8 3 4" xfId="30737"/>
    <cellStyle name="Normal 2 4 8 3 4 2" xfId="60794"/>
    <cellStyle name="Normal 2 4 8 3 5" xfId="41602"/>
    <cellStyle name="Normal 2 4 8 4" xfId="16187"/>
    <cellStyle name="Normal 2 4 8 4 2" xfId="27988"/>
    <cellStyle name="Normal 2 4 8 4 2 2" xfId="60795"/>
    <cellStyle name="Normal 2 4 8 4 3" xfId="41603"/>
    <cellStyle name="Normal 2 4 8 5" xfId="7282"/>
    <cellStyle name="Normal 2 4 8 5 2" xfId="48188"/>
    <cellStyle name="Normal 2 4 8 6" xfId="19083"/>
    <cellStyle name="Normal 2 4 8 6 2" xfId="60796"/>
    <cellStyle name="Normal 2 4 8 7" xfId="32698"/>
    <cellStyle name="Normal 2 4 9" xfId="3632"/>
    <cellStyle name="Normal 2 4 9 2" xfId="16188"/>
    <cellStyle name="Normal 2 4 9 2 2" xfId="27989"/>
    <cellStyle name="Normal 2 4 9 2 2 2" xfId="60797"/>
    <cellStyle name="Normal 2 4 9 2 3" xfId="41604"/>
    <cellStyle name="Normal 2 4 9 3" xfId="9085"/>
    <cellStyle name="Normal 2 4 9 3 2" xfId="48189"/>
    <cellStyle name="Normal 2 4 9 4" xfId="20886"/>
    <cellStyle name="Normal 2 4 9 4 2" xfId="60798"/>
    <cellStyle name="Normal 2 4 9 5" xfId="34501"/>
    <cellStyle name="Normal 2 5" xfId="64"/>
    <cellStyle name="Normal 2 5 10" xfId="16189"/>
    <cellStyle name="Normal 2 5 10 2" xfId="27990"/>
    <cellStyle name="Normal 2 5 10 2 2" xfId="60799"/>
    <cellStyle name="Normal 2 5 10 3" xfId="41605"/>
    <cellStyle name="Normal 2 5 11" xfId="5518"/>
    <cellStyle name="Normal 2 5 11 2" xfId="48190"/>
    <cellStyle name="Normal 2 5 12" xfId="17319"/>
    <cellStyle name="Normal 2 5 12 2" xfId="60800"/>
    <cellStyle name="Normal 2 5 13" xfId="30934"/>
    <cellStyle name="Normal 2 5 2" xfId="131"/>
    <cellStyle name="Normal 2 5 2 10" xfId="5585"/>
    <cellStyle name="Normal 2 5 2 10 2" xfId="48191"/>
    <cellStyle name="Normal 2 5 2 11" xfId="17386"/>
    <cellStyle name="Normal 2 5 2 11 2" xfId="60801"/>
    <cellStyle name="Normal 2 5 2 12" xfId="31001"/>
    <cellStyle name="Normal 2 5 2 2" xfId="558"/>
    <cellStyle name="Normal 2 5 2 2 2" xfId="1829"/>
    <cellStyle name="Normal 2 5 2 2 2 2" xfId="4868"/>
    <cellStyle name="Normal 2 5 2 2 2 2 2" xfId="16190"/>
    <cellStyle name="Normal 2 5 2 2 2 2 2 2" xfId="27991"/>
    <cellStyle name="Normal 2 5 2 2 2 2 2 2 2" xfId="60802"/>
    <cellStyle name="Normal 2 5 2 2 2 2 2 3" xfId="41606"/>
    <cellStyle name="Normal 2 5 2 2 2 2 3" xfId="10321"/>
    <cellStyle name="Normal 2 5 2 2 2 2 3 2" xfId="48192"/>
    <cellStyle name="Normal 2 5 2 2 2 2 4" xfId="22122"/>
    <cellStyle name="Normal 2 5 2 2 2 2 4 2" xfId="60803"/>
    <cellStyle name="Normal 2 5 2 2 2 2 5" xfId="35737"/>
    <cellStyle name="Normal 2 5 2 2 2 3" xfId="3027"/>
    <cellStyle name="Normal 2 5 2 2 2 3 2" xfId="16191"/>
    <cellStyle name="Normal 2 5 2 2 2 3 2 2" xfId="27992"/>
    <cellStyle name="Normal 2 5 2 2 2 3 2 2 2" xfId="60804"/>
    <cellStyle name="Normal 2 5 2 2 2 3 2 3" xfId="41607"/>
    <cellStyle name="Normal 2 5 2 2 2 3 3" xfId="8480"/>
    <cellStyle name="Normal 2 5 2 2 2 3 3 2" xfId="48193"/>
    <cellStyle name="Normal 2 5 2 2 2 3 4" xfId="20281"/>
    <cellStyle name="Normal 2 5 2 2 2 3 4 2" xfId="60805"/>
    <cellStyle name="Normal 2 5 2 2 2 3 5" xfId="33896"/>
    <cellStyle name="Normal 2 5 2 2 2 4" xfId="16192"/>
    <cellStyle name="Normal 2 5 2 2 2 4 2" xfId="27993"/>
    <cellStyle name="Normal 2 5 2 2 2 4 2 2" xfId="60806"/>
    <cellStyle name="Normal 2 5 2 2 2 4 3" xfId="41608"/>
    <cellStyle name="Normal 2 5 2 2 2 5" xfId="7283"/>
    <cellStyle name="Normal 2 5 2 2 2 5 2" xfId="48194"/>
    <cellStyle name="Normal 2 5 2 2 2 6" xfId="19084"/>
    <cellStyle name="Normal 2 5 2 2 2 6 2" xfId="60807"/>
    <cellStyle name="Normal 2 5 2 2 2 7" xfId="32699"/>
    <cellStyle name="Normal 2 5 2 2 3" xfId="3595"/>
    <cellStyle name="Normal 2 5 2 2 3 2" xfId="5436"/>
    <cellStyle name="Normal 2 5 2 2 3 2 2" xfId="16906"/>
    <cellStyle name="Normal 2 5 2 2 3 2 2 2" xfId="28707"/>
    <cellStyle name="Normal 2 5 2 2 3 2 2 2 2" xfId="60808"/>
    <cellStyle name="Normal 2 5 2 2 3 2 2 3" xfId="42322"/>
    <cellStyle name="Normal 2 5 2 2 3 2 3" xfId="10889"/>
    <cellStyle name="Normal 2 5 2 2 3 2 3 2" xfId="60809"/>
    <cellStyle name="Normal 2 5 2 2 3 2 4" xfId="22690"/>
    <cellStyle name="Normal 2 5 2 2 3 2 4 2" xfId="60810"/>
    <cellStyle name="Normal 2 5 2 2 3 2 5" xfId="36305"/>
    <cellStyle name="Normal 2 5 2 2 3 3" xfId="16193"/>
    <cellStyle name="Normal 2 5 2 2 3 3 2" xfId="27994"/>
    <cellStyle name="Normal 2 5 2 2 3 3 2 2" xfId="60811"/>
    <cellStyle name="Normal 2 5 2 2 3 3 3" xfId="41609"/>
    <cellStyle name="Normal 2 5 2 2 3 4" xfId="9048"/>
    <cellStyle name="Normal 2 5 2 2 3 4 2" xfId="60812"/>
    <cellStyle name="Normal 2 5 2 2 3 5" xfId="20849"/>
    <cellStyle name="Normal 2 5 2 2 3 5 2" xfId="60813"/>
    <cellStyle name="Normal 2 5 2 2 3 6" xfId="34464"/>
    <cellStyle name="Normal 2 5 2 2 4" xfId="4300"/>
    <cellStyle name="Normal 2 5 2 2 4 2" xfId="16194"/>
    <cellStyle name="Normal 2 5 2 2 4 2 2" xfId="27995"/>
    <cellStyle name="Normal 2 5 2 2 4 2 2 2" xfId="60814"/>
    <cellStyle name="Normal 2 5 2 2 4 2 3" xfId="41610"/>
    <cellStyle name="Normal 2 5 2 2 4 3" xfId="9753"/>
    <cellStyle name="Normal 2 5 2 2 4 3 2" xfId="48195"/>
    <cellStyle name="Normal 2 5 2 2 4 4" xfId="21554"/>
    <cellStyle name="Normal 2 5 2 2 4 4 2" xfId="60815"/>
    <cellStyle name="Normal 2 5 2 2 4 5" xfId="35169"/>
    <cellStyle name="Normal 2 5 2 2 5" xfId="2459"/>
    <cellStyle name="Normal 2 5 2 2 5 2" xfId="17230"/>
    <cellStyle name="Normal 2 5 2 2 5 2 2" xfId="29031"/>
    <cellStyle name="Normal 2 5 2 2 5 2 2 2" xfId="60816"/>
    <cellStyle name="Normal 2 5 2 2 5 2 3" xfId="42646"/>
    <cellStyle name="Normal 2 5 2 2 5 3" xfId="7912"/>
    <cellStyle name="Normal 2 5 2 2 5 3 2" xfId="60817"/>
    <cellStyle name="Normal 2 5 2 2 5 4" xfId="19713"/>
    <cellStyle name="Normal 2 5 2 2 5 4 2" xfId="60818"/>
    <cellStyle name="Normal 2 5 2 2 5 5" xfId="33328"/>
    <cellStyle name="Normal 2 5 2 2 6" xfId="16195"/>
    <cellStyle name="Normal 2 5 2 2 6 2" xfId="27996"/>
    <cellStyle name="Normal 2 5 2 2 6 2 2" xfId="60819"/>
    <cellStyle name="Normal 2 5 2 2 6 3" xfId="41611"/>
    <cellStyle name="Normal 2 5 2 2 7" xfId="6012"/>
    <cellStyle name="Normal 2 5 2 2 7 2" xfId="60820"/>
    <cellStyle name="Normal 2 5 2 2 8" xfId="17813"/>
    <cellStyle name="Normal 2 5 2 2 8 2" xfId="60821"/>
    <cellStyle name="Normal 2 5 2 2 9" xfId="31428"/>
    <cellStyle name="Normal 2 5 2 3" xfId="421"/>
    <cellStyle name="Normal 2 5 2 3 2" xfId="1830"/>
    <cellStyle name="Normal 2 5 2 3 2 2" xfId="4731"/>
    <cellStyle name="Normal 2 5 2 3 2 2 2" xfId="16196"/>
    <cellStyle name="Normal 2 5 2 3 2 2 2 2" xfId="27997"/>
    <cellStyle name="Normal 2 5 2 3 2 2 2 2 2" xfId="60822"/>
    <cellStyle name="Normal 2 5 2 3 2 2 2 3" xfId="41612"/>
    <cellStyle name="Normal 2 5 2 3 2 2 3" xfId="10184"/>
    <cellStyle name="Normal 2 5 2 3 2 2 3 2" xfId="48196"/>
    <cellStyle name="Normal 2 5 2 3 2 2 4" xfId="21985"/>
    <cellStyle name="Normal 2 5 2 3 2 2 4 2" xfId="60823"/>
    <cellStyle name="Normal 2 5 2 3 2 2 5" xfId="35600"/>
    <cellStyle name="Normal 2 5 2 3 2 3" xfId="2890"/>
    <cellStyle name="Normal 2 5 2 3 2 3 2" xfId="16197"/>
    <cellStyle name="Normal 2 5 2 3 2 3 2 2" xfId="27998"/>
    <cellStyle name="Normal 2 5 2 3 2 3 2 2 2" xfId="60824"/>
    <cellStyle name="Normal 2 5 2 3 2 3 2 3" xfId="41613"/>
    <cellStyle name="Normal 2 5 2 3 2 3 3" xfId="8343"/>
    <cellStyle name="Normal 2 5 2 3 2 3 3 2" xfId="48197"/>
    <cellStyle name="Normal 2 5 2 3 2 3 4" xfId="20144"/>
    <cellStyle name="Normal 2 5 2 3 2 3 4 2" xfId="60825"/>
    <cellStyle name="Normal 2 5 2 3 2 3 5" xfId="33759"/>
    <cellStyle name="Normal 2 5 2 3 2 4" xfId="16198"/>
    <cellStyle name="Normal 2 5 2 3 2 4 2" xfId="27999"/>
    <cellStyle name="Normal 2 5 2 3 2 4 2 2" xfId="60826"/>
    <cellStyle name="Normal 2 5 2 3 2 4 3" xfId="41614"/>
    <cellStyle name="Normal 2 5 2 3 2 5" xfId="7284"/>
    <cellStyle name="Normal 2 5 2 3 2 5 2" xfId="48198"/>
    <cellStyle name="Normal 2 5 2 3 2 6" xfId="19085"/>
    <cellStyle name="Normal 2 5 2 3 2 6 2" xfId="60827"/>
    <cellStyle name="Normal 2 5 2 3 2 7" xfId="32700"/>
    <cellStyle name="Normal 2 5 2 3 3" xfId="3458"/>
    <cellStyle name="Normal 2 5 2 3 3 2" xfId="5299"/>
    <cellStyle name="Normal 2 5 2 3 3 2 2" xfId="16769"/>
    <cellStyle name="Normal 2 5 2 3 3 2 2 2" xfId="28570"/>
    <cellStyle name="Normal 2 5 2 3 3 2 2 2 2" xfId="60828"/>
    <cellStyle name="Normal 2 5 2 3 3 2 2 3" xfId="42185"/>
    <cellStyle name="Normal 2 5 2 3 3 2 3" xfId="10752"/>
    <cellStyle name="Normal 2 5 2 3 3 2 3 2" xfId="60829"/>
    <cellStyle name="Normal 2 5 2 3 3 2 4" xfId="22553"/>
    <cellStyle name="Normal 2 5 2 3 3 2 4 2" xfId="60830"/>
    <cellStyle name="Normal 2 5 2 3 3 2 5" xfId="36168"/>
    <cellStyle name="Normal 2 5 2 3 3 3" xfId="16199"/>
    <cellStyle name="Normal 2 5 2 3 3 3 2" xfId="28000"/>
    <cellStyle name="Normal 2 5 2 3 3 3 2 2" xfId="60831"/>
    <cellStyle name="Normal 2 5 2 3 3 3 3" xfId="41615"/>
    <cellStyle name="Normal 2 5 2 3 3 4" xfId="8911"/>
    <cellStyle name="Normal 2 5 2 3 3 4 2" xfId="60832"/>
    <cellStyle name="Normal 2 5 2 3 3 5" xfId="20712"/>
    <cellStyle name="Normal 2 5 2 3 3 5 2" xfId="60833"/>
    <cellStyle name="Normal 2 5 2 3 3 6" xfId="34327"/>
    <cellStyle name="Normal 2 5 2 3 4" xfId="4163"/>
    <cellStyle name="Normal 2 5 2 3 4 2" xfId="16200"/>
    <cellStyle name="Normal 2 5 2 3 4 2 2" xfId="28001"/>
    <cellStyle name="Normal 2 5 2 3 4 2 2 2" xfId="60834"/>
    <cellStyle name="Normal 2 5 2 3 4 2 3" xfId="41616"/>
    <cellStyle name="Normal 2 5 2 3 4 3" xfId="9616"/>
    <cellStyle name="Normal 2 5 2 3 4 3 2" xfId="48199"/>
    <cellStyle name="Normal 2 5 2 3 4 4" xfId="21417"/>
    <cellStyle name="Normal 2 5 2 3 4 4 2" xfId="60835"/>
    <cellStyle name="Normal 2 5 2 3 4 5" xfId="35032"/>
    <cellStyle name="Normal 2 5 2 3 5" xfId="2322"/>
    <cellStyle name="Normal 2 5 2 3 5 2" xfId="17231"/>
    <cellStyle name="Normal 2 5 2 3 5 2 2" xfId="29032"/>
    <cellStyle name="Normal 2 5 2 3 5 2 2 2" xfId="60836"/>
    <cellStyle name="Normal 2 5 2 3 5 2 3" xfId="42647"/>
    <cellStyle name="Normal 2 5 2 3 5 3" xfId="7775"/>
    <cellStyle name="Normal 2 5 2 3 5 3 2" xfId="60837"/>
    <cellStyle name="Normal 2 5 2 3 5 4" xfId="19576"/>
    <cellStyle name="Normal 2 5 2 3 5 4 2" xfId="60838"/>
    <cellStyle name="Normal 2 5 2 3 5 5" xfId="33191"/>
    <cellStyle name="Normal 2 5 2 3 6" xfId="16201"/>
    <cellStyle name="Normal 2 5 2 3 6 2" xfId="28002"/>
    <cellStyle name="Normal 2 5 2 3 6 2 2" xfId="60839"/>
    <cellStyle name="Normal 2 5 2 3 6 3" xfId="41617"/>
    <cellStyle name="Normal 2 5 2 3 7" xfId="5875"/>
    <cellStyle name="Normal 2 5 2 3 7 2" xfId="60840"/>
    <cellStyle name="Normal 2 5 2 3 8" xfId="17676"/>
    <cellStyle name="Normal 2 5 2 3 8 2" xfId="60841"/>
    <cellStyle name="Normal 2 5 2 3 9" xfId="31291"/>
    <cellStyle name="Normal 2 5 2 4" xfId="699"/>
    <cellStyle name="Normal 2 5 2 4 2" xfId="1831"/>
    <cellStyle name="Normal 2 5 2 4 2 2" xfId="4441"/>
    <cellStyle name="Normal 2 5 2 4 2 2 2" xfId="16202"/>
    <cellStyle name="Normal 2 5 2 4 2 2 2 2" xfId="28003"/>
    <cellStyle name="Normal 2 5 2 4 2 2 2 2 2" xfId="60842"/>
    <cellStyle name="Normal 2 5 2 4 2 2 2 3" xfId="41618"/>
    <cellStyle name="Normal 2 5 2 4 2 2 3" xfId="9894"/>
    <cellStyle name="Normal 2 5 2 4 2 2 3 2" xfId="48200"/>
    <cellStyle name="Normal 2 5 2 4 2 2 4" xfId="21695"/>
    <cellStyle name="Normal 2 5 2 4 2 2 4 2" xfId="60843"/>
    <cellStyle name="Normal 2 5 2 4 2 2 5" xfId="35310"/>
    <cellStyle name="Normal 2 5 2 4 2 3" xfId="16203"/>
    <cellStyle name="Normal 2 5 2 4 2 3 2" xfId="28004"/>
    <cellStyle name="Normal 2 5 2 4 2 3 2 2" xfId="48201"/>
    <cellStyle name="Normal 2 5 2 4 2 3 3" xfId="30738"/>
    <cellStyle name="Normal 2 5 2 4 2 3 3 2" xfId="48202"/>
    <cellStyle name="Normal 2 5 2 4 2 3 4" xfId="30739"/>
    <cellStyle name="Normal 2 5 2 4 2 3 4 2" xfId="60844"/>
    <cellStyle name="Normal 2 5 2 4 2 3 5" xfId="41619"/>
    <cellStyle name="Normal 2 5 2 4 2 4" xfId="16204"/>
    <cellStyle name="Normal 2 5 2 4 2 4 2" xfId="28005"/>
    <cellStyle name="Normal 2 5 2 4 2 4 2 2" xfId="60845"/>
    <cellStyle name="Normal 2 5 2 4 2 4 3" xfId="41620"/>
    <cellStyle name="Normal 2 5 2 4 2 5" xfId="7285"/>
    <cellStyle name="Normal 2 5 2 4 2 5 2" xfId="48203"/>
    <cellStyle name="Normal 2 5 2 4 2 6" xfId="19086"/>
    <cellStyle name="Normal 2 5 2 4 2 6 2" xfId="60846"/>
    <cellStyle name="Normal 2 5 2 4 2 7" xfId="32701"/>
    <cellStyle name="Normal 2 5 2 4 3" xfId="2600"/>
    <cellStyle name="Normal 2 5 2 4 3 2" xfId="16205"/>
    <cellStyle name="Normal 2 5 2 4 3 2 2" xfId="28006"/>
    <cellStyle name="Normal 2 5 2 4 3 2 2 2" xfId="60847"/>
    <cellStyle name="Normal 2 5 2 4 3 2 3" xfId="41621"/>
    <cellStyle name="Normal 2 5 2 4 3 3" xfId="8053"/>
    <cellStyle name="Normal 2 5 2 4 3 3 2" xfId="48204"/>
    <cellStyle name="Normal 2 5 2 4 3 4" xfId="19854"/>
    <cellStyle name="Normal 2 5 2 4 3 4 2" xfId="60848"/>
    <cellStyle name="Normal 2 5 2 4 3 5" xfId="33469"/>
    <cellStyle name="Normal 2 5 2 4 4" xfId="16206"/>
    <cellStyle name="Normal 2 5 2 4 4 2" xfId="28007"/>
    <cellStyle name="Normal 2 5 2 4 4 2 2" xfId="48205"/>
    <cellStyle name="Normal 2 5 2 4 4 3" xfId="30740"/>
    <cellStyle name="Normal 2 5 2 4 4 3 2" xfId="48206"/>
    <cellStyle name="Normal 2 5 2 4 4 4" xfId="30741"/>
    <cellStyle name="Normal 2 5 2 4 4 4 2" xfId="60849"/>
    <cellStyle name="Normal 2 5 2 4 4 5" xfId="41622"/>
    <cellStyle name="Normal 2 5 2 4 5" xfId="16207"/>
    <cellStyle name="Normal 2 5 2 4 5 2" xfId="28008"/>
    <cellStyle name="Normal 2 5 2 4 5 2 2" xfId="60850"/>
    <cellStyle name="Normal 2 5 2 4 5 3" xfId="41623"/>
    <cellStyle name="Normal 2 5 2 4 6" xfId="6153"/>
    <cellStyle name="Normal 2 5 2 4 6 2" xfId="48207"/>
    <cellStyle name="Normal 2 5 2 4 7" xfId="17954"/>
    <cellStyle name="Normal 2 5 2 4 7 2" xfId="60851"/>
    <cellStyle name="Normal 2 5 2 4 8" xfId="31569"/>
    <cellStyle name="Normal 2 5 2 5" xfId="940"/>
    <cellStyle name="Normal 2 5 2 5 2" xfId="1832"/>
    <cellStyle name="Normal 2 5 2 5 2 2" xfId="5009"/>
    <cellStyle name="Normal 2 5 2 5 2 2 2" xfId="16208"/>
    <cellStyle name="Normal 2 5 2 5 2 2 2 2" xfId="28009"/>
    <cellStyle name="Normal 2 5 2 5 2 2 2 2 2" xfId="60852"/>
    <cellStyle name="Normal 2 5 2 5 2 2 2 3" xfId="41624"/>
    <cellStyle name="Normal 2 5 2 5 2 2 3" xfId="10462"/>
    <cellStyle name="Normal 2 5 2 5 2 2 3 2" xfId="48208"/>
    <cellStyle name="Normal 2 5 2 5 2 2 4" xfId="22263"/>
    <cellStyle name="Normal 2 5 2 5 2 2 4 2" xfId="60853"/>
    <cellStyle name="Normal 2 5 2 5 2 2 5" xfId="35878"/>
    <cellStyle name="Normal 2 5 2 5 2 3" xfId="16209"/>
    <cellStyle name="Normal 2 5 2 5 2 3 2" xfId="28010"/>
    <cellStyle name="Normal 2 5 2 5 2 3 2 2" xfId="48209"/>
    <cellStyle name="Normal 2 5 2 5 2 3 3" xfId="30742"/>
    <cellStyle name="Normal 2 5 2 5 2 3 3 2" xfId="48210"/>
    <cellStyle name="Normal 2 5 2 5 2 3 4" xfId="30743"/>
    <cellStyle name="Normal 2 5 2 5 2 3 4 2" xfId="60854"/>
    <cellStyle name="Normal 2 5 2 5 2 3 5" xfId="41625"/>
    <cellStyle name="Normal 2 5 2 5 2 4" xfId="16210"/>
    <cellStyle name="Normal 2 5 2 5 2 4 2" xfId="28011"/>
    <cellStyle name="Normal 2 5 2 5 2 4 2 2" xfId="60855"/>
    <cellStyle name="Normal 2 5 2 5 2 4 3" xfId="41626"/>
    <cellStyle name="Normal 2 5 2 5 2 5" xfId="7286"/>
    <cellStyle name="Normal 2 5 2 5 2 5 2" xfId="48211"/>
    <cellStyle name="Normal 2 5 2 5 2 6" xfId="19087"/>
    <cellStyle name="Normal 2 5 2 5 2 6 2" xfId="60856"/>
    <cellStyle name="Normal 2 5 2 5 2 7" xfId="32702"/>
    <cellStyle name="Normal 2 5 2 5 3" xfId="3168"/>
    <cellStyle name="Normal 2 5 2 5 3 2" xfId="16211"/>
    <cellStyle name="Normal 2 5 2 5 3 2 2" xfId="28012"/>
    <cellStyle name="Normal 2 5 2 5 3 2 2 2" xfId="60857"/>
    <cellStyle name="Normal 2 5 2 5 3 2 3" xfId="41627"/>
    <cellStyle name="Normal 2 5 2 5 3 3" xfId="8621"/>
    <cellStyle name="Normal 2 5 2 5 3 3 2" xfId="48212"/>
    <cellStyle name="Normal 2 5 2 5 3 4" xfId="20422"/>
    <cellStyle name="Normal 2 5 2 5 3 4 2" xfId="60858"/>
    <cellStyle name="Normal 2 5 2 5 3 5" xfId="34037"/>
    <cellStyle name="Normal 2 5 2 5 4" xfId="16212"/>
    <cellStyle name="Normal 2 5 2 5 4 2" xfId="28013"/>
    <cellStyle name="Normal 2 5 2 5 4 2 2" xfId="48213"/>
    <cellStyle name="Normal 2 5 2 5 4 3" xfId="30744"/>
    <cellStyle name="Normal 2 5 2 5 4 3 2" xfId="48214"/>
    <cellStyle name="Normal 2 5 2 5 4 4" xfId="30745"/>
    <cellStyle name="Normal 2 5 2 5 4 4 2" xfId="60859"/>
    <cellStyle name="Normal 2 5 2 5 4 5" xfId="41628"/>
    <cellStyle name="Normal 2 5 2 5 5" xfId="16213"/>
    <cellStyle name="Normal 2 5 2 5 5 2" xfId="28014"/>
    <cellStyle name="Normal 2 5 2 5 5 2 2" xfId="60860"/>
    <cellStyle name="Normal 2 5 2 5 5 3" xfId="41629"/>
    <cellStyle name="Normal 2 5 2 5 6" xfId="6394"/>
    <cellStyle name="Normal 2 5 2 5 6 2" xfId="48215"/>
    <cellStyle name="Normal 2 5 2 5 7" xfId="18195"/>
    <cellStyle name="Normal 2 5 2 5 7 2" xfId="60861"/>
    <cellStyle name="Normal 2 5 2 5 8" xfId="31810"/>
    <cellStyle name="Normal 2 5 2 6" xfId="1833"/>
    <cellStyle name="Normal 2 5 2 6 2" xfId="3873"/>
    <cellStyle name="Normal 2 5 2 6 2 2" xfId="16214"/>
    <cellStyle name="Normal 2 5 2 6 2 2 2" xfId="28015"/>
    <cellStyle name="Normal 2 5 2 6 2 2 2 2" xfId="60862"/>
    <cellStyle name="Normal 2 5 2 6 2 2 3" xfId="41630"/>
    <cellStyle name="Normal 2 5 2 6 2 3" xfId="9326"/>
    <cellStyle name="Normal 2 5 2 6 2 3 2" xfId="48216"/>
    <cellStyle name="Normal 2 5 2 6 2 4" xfId="21127"/>
    <cellStyle name="Normal 2 5 2 6 2 4 2" xfId="60863"/>
    <cellStyle name="Normal 2 5 2 6 2 5" xfId="34742"/>
    <cellStyle name="Normal 2 5 2 6 3" xfId="16215"/>
    <cellStyle name="Normal 2 5 2 6 3 2" xfId="28016"/>
    <cellStyle name="Normal 2 5 2 6 3 2 2" xfId="48217"/>
    <cellStyle name="Normal 2 5 2 6 3 3" xfId="30746"/>
    <cellStyle name="Normal 2 5 2 6 3 3 2" xfId="48218"/>
    <cellStyle name="Normal 2 5 2 6 3 4" xfId="30747"/>
    <cellStyle name="Normal 2 5 2 6 3 4 2" xfId="60864"/>
    <cellStyle name="Normal 2 5 2 6 3 5" xfId="41631"/>
    <cellStyle name="Normal 2 5 2 6 4" xfId="16216"/>
    <cellStyle name="Normal 2 5 2 6 4 2" xfId="28017"/>
    <cellStyle name="Normal 2 5 2 6 4 2 2" xfId="60865"/>
    <cellStyle name="Normal 2 5 2 6 4 3" xfId="41632"/>
    <cellStyle name="Normal 2 5 2 6 5" xfId="7287"/>
    <cellStyle name="Normal 2 5 2 6 5 2" xfId="48219"/>
    <cellStyle name="Normal 2 5 2 6 6" xfId="19088"/>
    <cellStyle name="Normal 2 5 2 6 6 2" xfId="60866"/>
    <cellStyle name="Normal 2 5 2 6 7" xfId="32703"/>
    <cellStyle name="Normal 2 5 2 7" xfId="3736"/>
    <cellStyle name="Normal 2 5 2 7 2" xfId="16217"/>
    <cellStyle name="Normal 2 5 2 7 2 2" xfId="28018"/>
    <cellStyle name="Normal 2 5 2 7 2 2 2" xfId="60867"/>
    <cellStyle name="Normal 2 5 2 7 2 3" xfId="41633"/>
    <cellStyle name="Normal 2 5 2 7 3" xfId="9189"/>
    <cellStyle name="Normal 2 5 2 7 3 2" xfId="48220"/>
    <cellStyle name="Normal 2 5 2 7 4" xfId="20990"/>
    <cellStyle name="Normal 2 5 2 7 4 2" xfId="60868"/>
    <cellStyle name="Normal 2 5 2 7 5" xfId="34605"/>
    <cellStyle name="Normal 2 5 2 8" xfId="2032"/>
    <cellStyle name="Normal 2 5 2 8 2" xfId="16218"/>
    <cellStyle name="Normal 2 5 2 8 2 2" xfId="28019"/>
    <cellStyle name="Normal 2 5 2 8 2 2 2" xfId="60869"/>
    <cellStyle name="Normal 2 5 2 8 2 3" xfId="41634"/>
    <cellStyle name="Normal 2 5 2 8 3" xfId="7485"/>
    <cellStyle name="Normal 2 5 2 8 3 2" xfId="48221"/>
    <cellStyle name="Normal 2 5 2 8 4" xfId="19286"/>
    <cellStyle name="Normal 2 5 2 8 4 2" xfId="60870"/>
    <cellStyle name="Normal 2 5 2 8 5" xfId="32901"/>
    <cellStyle name="Normal 2 5 2 9" xfId="16219"/>
    <cellStyle name="Normal 2 5 2 9 2" xfId="28020"/>
    <cellStyle name="Normal 2 5 2 9 2 2" xfId="60871"/>
    <cellStyle name="Normal 2 5 2 9 3" xfId="41635"/>
    <cellStyle name="Normal 2 5 3" xfId="237"/>
    <cellStyle name="Normal 2 5 3 10" xfId="31107"/>
    <cellStyle name="Normal 2 5 3 2" xfId="491"/>
    <cellStyle name="Normal 2 5 3 2 2" xfId="1834"/>
    <cellStyle name="Normal 2 5 3 2 2 2" xfId="4801"/>
    <cellStyle name="Normal 2 5 3 2 2 2 2" xfId="16220"/>
    <cellStyle name="Normal 2 5 3 2 2 2 2 2" xfId="28021"/>
    <cellStyle name="Normal 2 5 3 2 2 2 2 2 2" xfId="60872"/>
    <cellStyle name="Normal 2 5 3 2 2 2 2 3" xfId="41636"/>
    <cellStyle name="Normal 2 5 3 2 2 2 3" xfId="10254"/>
    <cellStyle name="Normal 2 5 3 2 2 2 3 2" xfId="48222"/>
    <cellStyle name="Normal 2 5 3 2 2 2 4" xfId="22055"/>
    <cellStyle name="Normal 2 5 3 2 2 2 4 2" xfId="60873"/>
    <cellStyle name="Normal 2 5 3 2 2 2 5" xfId="35670"/>
    <cellStyle name="Normal 2 5 3 2 2 3" xfId="2960"/>
    <cellStyle name="Normal 2 5 3 2 2 3 2" xfId="16221"/>
    <cellStyle name="Normal 2 5 3 2 2 3 2 2" xfId="28022"/>
    <cellStyle name="Normal 2 5 3 2 2 3 2 2 2" xfId="60874"/>
    <cellStyle name="Normal 2 5 3 2 2 3 2 3" xfId="41637"/>
    <cellStyle name="Normal 2 5 3 2 2 3 3" xfId="8413"/>
    <cellStyle name="Normal 2 5 3 2 2 3 3 2" xfId="48223"/>
    <cellStyle name="Normal 2 5 3 2 2 3 4" xfId="20214"/>
    <cellStyle name="Normal 2 5 3 2 2 3 4 2" xfId="60875"/>
    <cellStyle name="Normal 2 5 3 2 2 3 5" xfId="33829"/>
    <cellStyle name="Normal 2 5 3 2 2 4" xfId="16222"/>
    <cellStyle name="Normal 2 5 3 2 2 4 2" xfId="28023"/>
    <cellStyle name="Normal 2 5 3 2 2 4 2 2" xfId="60876"/>
    <cellStyle name="Normal 2 5 3 2 2 4 3" xfId="41638"/>
    <cellStyle name="Normal 2 5 3 2 2 5" xfId="7288"/>
    <cellStyle name="Normal 2 5 3 2 2 5 2" xfId="48224"/>
    <cellStyle name="Normal 2 5 3 2 2 6" xfId="19089"/>
    <cellStyle name="Normal 2 5 3 2 2 6 2" xfId="60877"/>
    <cellStyle name="Normal 2 5 3 2 2 7" xfId="32704"/>
    <cellStyle name="Normal 2 5 3 2 3" xfId="3528"/>
    <cellStyle name="Normal 2 5 3 2 3 2" xfId="5369"/>
    <cellStyle name="Normal 2 5 3 2 3 2 2" xfId="16839"/>
    <cellStyle name="Normal 2 5 3 2 3 2 2 2" xfId="28640"/>
    <cellStyle name="Normal 2 5 3 2 3 2 2 2 2" xfId="60878"/>
    <cellStyle name="Normal 2 5 3 2 3 2 2 3" xfId="42255"/>
    <cellStyle name="Normal 2 5 3 2 3 2 3" xfId="10822"/>
    <cellStyle name="Normal 2 5 3 2 3 2 3 2" xfId="60879"/>
    <cellStyle name="Normal 2 5 3 2 3 2 4" xfId="22623"/>
    <cellStyle name="Normal 2 5 3 2 3 2 4 2" xfId="60880"/>
    <cellStyle name="Normal 2 5 3 2 3 2 5" xfId="36238"/>
    <cellStyle name="Normal 2 5 3 2 3 3" xfId="16223"/>
    <cellStyle name="Normal 2 5 3 2 3 3 2" xfId="28024"/>
    <cellStyle name="Normal 2 5 3 2 3 3 2 2" xfId="60881"/>
    <cellStyle name="Normal 2 5 3 2 3 3 3" xfId="41639"/>
    <cellStyle name="Normal 2 5 3 2 3 4" xfId="8981"/>
    <cellStyle name="Normal 2 5 3 2 3 4 2" xfId="60882"/>
    <cellStyle name="Normal 2 5 3 2 3 5" xfId="20782"/>
    <cellStyle name="Normal 2 5 3 2 3 5 2" xfId="60883"/>
    <cellStyle name="Normal 2 5 3 2 3 6" xfId="34397"/>
    <cellStyle name="Normal 2 5 3 2 4" xfId="4233"/>
    <cellStyle name="Normal 2 5 3 2 4 2" xfId="16224"/>
    <cellStyle name="Normal 2 5 3 2 4 2 2" xfId="28025"/>
    <cellStyle name="Normal 2 5 3 2 4 2 2 2" xfId="60884"/>
    <cellStyle name="Normal 2 5 3 2 4 2 3" xfId="41640"/>
    <cellStyle name="Normal 2 5 3 2 4 3" xfId="9686"/>
    <cellStyle name="Normal 2 5 3 2 4 3 2" xfId="48225"/>
    <cellStyle name="Normal 2 5 3 2 4 4" xfId="21487"/>
    <cellStyle name="Normal 2 5 3 2 4 4 2" xfId="60885"/>
    <cellStyle name="Normal 2 5 3 2 4 5" xfId="35102"/>
    <cellStyle name="Normal 2 5 3 2 5" xfId="2392"/>
    <cellStyle name="Normal 2 5 3 2 5 2" xfId="17232"/>
    <cellStyle name="Normal 2 5 3 2 5 2 2" xfId="29033"/>
    <cellStyle name="Normal 2 5 3 2 5 2 2 2" xfId="60886"/>
    <cellStyle name="Normal 2 5 3 2 5 2 3" xfId="42648"/>
    <cellStyle name="Normal 2 5 3 2 5 3" xfId="7845"/>
    <cellStyle name="Normal 2 5 3 2 5 3 2" xfId="60887"/>
    <cellStyle name="Normal 2 5 3 2 5 4" xfId="19646"/>
    <cellStyle name="Normal 2 5 3 2 5 4 2" xfId="60888"/>
    <cellStyle name="Normal 2 5 3 2 5 5" xfId="33261"/>
    <cellStyle name="Normal 2 5 3 2 6" xfId="16225"/>
    <cellStyle name="Normal 2 5 3 2 6 2" xfId="28026"/>
    <cellStyle name="Normal 2 5 3 2 6 2 2" xfId="60889"/>
    <cellStyle name="Normal 2 5 3 2 6 3" xfId="41641"/>
    <cellStyle name="Normal 2 5 3 2 7" xfId="5945"/>
    <cellStyle name="Normal 2 5 3 2 7 2" xfId="60890"/>
    <cellStyle name="Normal 2 5 3 2 8" xfId="17746"/>
    <cellStyle name="Normal 2 5 3 2 8 2" xfId="60891"/>
    <cellStyle name="Normal 2 5 3 2 9" xfId="31361"/>
    <cellStyle name="Normal 2 5 3 3" xfId="805"/>
    <cellStyle name="Normal 2 5 3 3 2" xfId="1835"/>
    <cellStyle name="Normal 2 5 3 3 2 2" xfId="4547"/>
    <cellStyle name="Normal 2 5 3 3 2 2 2" xfId="16226"/>
    <cellStyle name="Normal 2 5 3 3 2 2 2 2" xfId="28027"/>
    <cellStyle name="Normal 2 5 3 3 2 2 2 2 2" xfId="60892"/>
    <cellStyle name="Normal 2 5 3 3 2 2 2 3" xfId="41642"/>
    <cellStyle name="Normal 2 5 3 3 2 2 3" xfId="10000"/>
    <cellStyle name="Normal 2 5 3 3 2 2 3 2" xfId="48226"/>
    <cellStyle name="Normal 2 5 3 3 2 2 4" xfId="21801"/>
    <cellStyle name="Normal 2 5 3 3 2 2 4 2" xfId="60893"/>
    <cellStyle name="Normal 2 5 3 3 2 2 5" xfId="35416"/>
    <cellStyle name="Normal 2 5 3 3 2 3" xfId="16227"/>
    <cellStyle name="Normal 2 5 3 3 2 3 2" xfId="28028"/>
    <cellStyle name="Normal 2 5 3 3 2 3 2 2" xfId="48227"/>
    <cellStyle name="Normal 2 5 3 3 2 3 3" xfId="30748"/>
    <cellStyle name="Normal 2 5 3 3 2 3 3 2" xfId="48228"/>
    <cellStyle name="Normal 2 5 3 3 2 3 4" xfId="30749"/>
    <cellStyle name="Normal 2 5 3 3 2 3 4 2" xfId="60894"/>
    <cellStyle name="Normal 2 5 3 3 2 3 5" xfId="41643"/>
    <cellStyle name="Normal 2 5 3 3 2 4" xfId="16228"/>
    <cellStyle name="Normal 2 5 3 3 2 4 2" xfId="28029"/>
    <cellStyle name="Normal 2 5 3 3 2 4 2 2" xfId="60895"/>
    <cellStyle name="Normal 2 5 3 3 2 4 3" xfId="41644"/>
    <cellStyle name="Normal 2 5 3 3 2 5" xfId="7289"/>
    <cellStyle name="Normal 2 5 3 3 2 5 2" xfId="48229"/>
    <cellStyle name="Normal 2 5 3 3 2 6" xfId="19090"/>
    <cellStyle name="Normal 2 5 3 3 2 6 2" xfId="60896"/>
    <cellStyle name="Normal 2 5 3 3 2 7" xfId="32705"/>
    <cellStyle name="Normal 2 5 3 3 3" xfId="2706"/>
    <cellStyle name="Normal 2 5 3 3 3 2" xfId="16229"/>
    <cellStyle name="Normal 2 5 3 3 3 2 2" xfId="28030"/>
    <cellStyle name="Normal 2 5 3 3 3 2 2 2" xfId="60897"/>
    <cellStyle name="Normal 2 5 3 3 3 2 3" xfId="41645"/>
    <cellStyle name="Normal 2 5 3 3 3 3" xfId="8159"/>
    <cellStyle name="Normal 2 5 3 3 3 3 2" xfId="48230"/>
    <cellStyle name="Normal 2 5 3 3 3 4" xfId="19960"/>
    <cellStyle name="Normal 2 5 3 3 3 4 2" xfId="60898"/>
    <cellStyle name="Normal 2 5 3 3 3 5" xfId="33575"/>
    <cellStyle name="Normal 2 5 3 3 4" xfId="16230"/>
    <cellStyle name="Normal 2 5 3 3 4 2" xfId="28031"/>
    <cellStyle name="Normal 2 5 3 3 4 2 2" xfId="48231"/>
    <cellStyle name="Normal 2 5 3 3 4 3" xfId="30750"/>
    <cellStyle name="Normal 2 5 3 3 4 3 2" xfId="48232"/>
    <cellStyle name="Normal 2 5 3 3 4 4" xfId="30751"/>
    <cellStyle name="Normal 2 5 3 3 4 4 2" xfId="60899"/>
    <cellStyle name="Normal 2 5 3 3 4 5" xfId="41646"/>
    <cellStyle name="Normal 2 5 3 3 5" xfId="16231"/>
    <cellStyle name="Normal 2 5 3 3 5 2" xfId="28032"/>
    <cellStyle name="Normal 2 5 3 3 5 2 2" xfId="60900"/>
    <cellStyle name="Normal 2 5 3 3 5 3" xfId="41647"/>
    <cellStyle name="Normal 2 5 3 3 6" xfId="6259"/>
    <cellStyle name="Normal 2 5 3 3 6 2" xfId="48233"/>
    <cellStyle name="Normal 2 5 3 3 7" xfId="18060"/>
    <cellStyle name="Normal 2 5 3 3 7 2" xfId="60901"/>
    <cellStyle name="Normal 2 5 3 3 8" xfId="31675"/>
    <cellStyle name="Normal 2 5 3 4" xfId="1836"/>
    <cellStyle name="Normal 2 5 3 4 2" xfId="5115"/>
    <cellStyle name="Normal 2 5 3 4 2 2" xfId="16232"/>
    <cellStyle name="Normal 2 5 3 4 2 2 2" xfId="28033"/>
    <cellStyle name="Normal 2 5 3 4 2 2 2 2" xfId="60902"/>
    <cellStyle name="Normal 2 5 3 4 2 2 3" xfId="41648"/>
    <cellStyle name="Normal 2 5 3 4 2 3" xfId="10568"/>
    <cellStyle name="Normal 2 5 3 4 2 3 2" xfId="48234"/>
    <cellStyle name="Normal 2 5 3 4 2 4" xfId="22369"/>
    <cellStyle name="Normal 2 5 3 4 2 4 2" xfId="60903"/>
    <cellStyle name="Normal 2 5 3 4 2 5" xfId="35984"/>
    <cellStyle name="Normal 2 5 3 4 3" xfId="3274"/>
    <cellStyle name="Normal 2 5 3 4 3 2" xfId="16233"/>
    <cellStyle name="Normal 2 5 3 4 3 2 2" xfId="28034"/>
    <cellStyle name="Normal 2 5 3 4 3 2 2 2" xfId="60904"/>
    <cellStyle name="Normal 2 5 3 4 3 2 3" xfId="41649"/>
    <cellStyle name="Normal 2 5 3 4 3 3" xfId="8727"/>
    <cellStyle name="Normal 2 5 3 4 3 3 2" xfId="48235"/>
    <cellStyle name="Normal 2 5 3 4 3 4" xfId="20528"/>
    <cellStyle name="Normal 2 5 3 4 3 4 2" xfId="60905"/>
    <cellStyle name="Normal 2 5 3 4 3 5" xfId="34143"/>
    <cellStyle name="Normal 2 5 3 4 4" xfId="16234"/>
    <cellStyle name="Normal 2 5 3 4 4 2" xfId="28035"/>
    <cellStyle name="Normal 2 5 3 4 4 2 2" xfId="60906"/>
    <cellStyle name="Normal 2 5 3 4 4 3" xfId="41650"/>
    <cellStyle name="Normal 2 5 3 4 5" xfId="7290"/>
    <cellStyle name="Normal 2 5 3 4 5 2" xfId="48236"/>
    <cellStyle name="Normal 2 5 3 4 6" xfId="19091"/>
    <cellStyle name="Normal 2 5 3 4 6 2" xfId="60907"/>
    <cellStyle name="Normal 2 5 3 4 7" xfId="32706"/>
    <cellStyle name="Normal 2 5 3 5" xfId="3979"/>
    <cellStyle name="Normal 2 5 3 5 2" xfId="16235"/>
    <cellStyle name="Normal 2 5 3 5 2 2" xfId="28036"/>
    <cellStyle name="Normal 2 5 3 5 2 2 2" xfId="60908"/>
    <cellStyle name="Normal 2 5 3 5 2 3" xfId="41651"/>
    <cellStyle name="Normal 2 5 3 5 3" xfId="9432"/>
    <cellStyle name="Normal 2 5 3 5 3 2" xfId="48237"/>
    <cellStyle name="Normal 2 5 3 5 4" xfId="21233"/>
    <cellStyle name="Normal 2 5 3 5 4 2" xfId="60909"/>
    <cellStyle name="Normal 2 5 3 5 5" xfId="34848"/>
    <cellStyle name="Normal 2 5 3 6" xfId="2138"/>
    <cellStyle name="Normal 2 5 3 6 2" xfId="16236"/>
    <cellStyle name="Normal 2 5 3 6 2 2" xfId="28037"/>
    <cellStyle name="Normal 2 5 3 6 2 2 2" xfId="60910"/>
    <cellStyle name="Normal 2 5 3 6 2 3" xfId="41652"/>
    <cellStyle name="Normal 2 5 3 6 3" xfId="7591"/>
    <cellStyle name="Normal 2 5 3 6 3 2" xfId="48238"/>
    <cellStyle name="Normal 2 5 3 6 4" xfId="19392"/>
    <cellStyle name="Normal 2 5 3 6 4 2" xfId="60911"/>
    <cellStyle name="Normal 2 5 3 6 5" xfId="33007"/>
    <cellStyle name="Normal 2 5 3 7" xfId="16237"/>
    <cellStyle name="Normal 2 5 3 7 2" xfId="28038"/>
    <cellStyle name="Normal 2 5 3 7 2 2" xfId="60912"/>
    <cellStyle name="Normal 2 5 3 7 3" xfId="41653"/>
    <cellStyle name="Normal 2 5 3 8" xfId="5691"/>
    <cellStyle name="Normal 2 5 3 8 2" xfId="48239"/>
    <cellStyle name="Normal 2 5 3 9" xfId="17492"/>
    <cellStyle name="Normal 2 5 3 9 2" xfId="60913"/>
    <cellStyle name="Normal 2 5 4" xfId="354"/>
    <cellStyle name="Normal 2 5 4 2" xfId="1837"/>
    <cellStyle name="Normal 2 5 4 2 2" xfId="4664"/>
    <cellStyle name="Normal 2 5 4 2 2 2" xfId="16238"/>
    <cellStyle name="Normal 2 5 4 2 2 2 2" xfId="28039"/>
    <cellStyle name="Normal 2 5 4 2 2 2 2 2" xfId="60914"/>
    <cellStyle name="Normal 2 5 4 2 2 2 3" xfId="41654"/>
    <cellStyle name="Normal 2 5 4 2 2 3" xfId="10117"/>
    <cellStyle name="Normal 2 5 4 2 2 3 2" xfId="48240"/>
    <cellStyle name="Normal 2 5 4 2 2 4" xfId="21918"/>
    <cellStyle name="Normal 2 5 4 2 2 4 2" xfId="60915"/>
    <cellStyle name="Normal 2 5 4 2 2 5" xfId="35533"/>
    <cellStyle name="Normal 2 5 4 2 3" xfId="2823"/>
    <cellStyle name="Normal 2 5 4 2 3 2" xfId="16239"/>
    <cellStyle name="Normal 2 5 4 2 3 2 2" xfId="28040"/>
    <cellStyle name="Normal 2 5 4 2 3 2 2 2" xfId="60916"/>
    <cellStyle name="Normal 2 5 4 2 3 2 3" xfId="41655"/>
    <cellStyle name="Normal 2 5 4 2 3 3" xfId="8276"/>
    <cellStyle name="Normal 2 5 4 2 3 3 2" xfId="48241"/>
    <cellStyle name="Normal 2 5 4 2 3 4" xfId="20077"/>
    <cellStyle name="Normal 2 5 4 2 3 4 2" xfId="60917"/>
    <cellStyle name="Normal 2 5 4 2 3 5" xfId="33692"/>
    <cellStyle name="Normal 2 5 4 2 4" xfId="16240"/>
    <cellStyle name="Normal 2 5 4 2 4 2" xfId="28041"/>
    <cellStyle name="Normal 2 5 4 2 4 2 2" xfId="60918"/>
    <cellStyle name="Normal 2 5 4 2 4 3" xfId="41656"/>
    <cellStyle name="Normal 2 5 4 2 5" xfId="7291"/>
    <cellStyle name="Normal 2 5 4 2 5 2" xfId="48242"/>
    <cellStyle name="Normal 2 5 4 2 6" xfId="19092"/>
    <cellStyle name="Normal 2 5 4 2 6 2" xfId="60919"/>
    <cellStyle name="Normal 2 5 4 2 7" xfId="32707"/>
    <cellStyle name="Normal 2 5 4 3" xfId="3391"/>
    <cellStyle name="Normal 2 5 4 3 2" xfId="5232"/>
    <cellStyle name="Normal 2 5 4 3 2 2" xfId="16702"/>
    <cellStyle name="Normal 2 5 4 3 2 2 2" xfId="28503"/>
    <cellStyle name="Normal 2 5 4 3 2 2 2 2" xfId="60920"/>
    <cellStyle name="Normal 2 5 4 3 2 2 3" xfId="42118"/>
    <cellStyle name="Normal 2 5 4 3 2 3" xfId="10685"/>
    <cellStyle name="Normal 2 5 4 3 2 3 2" xfId="60921"/>
    <cellStyle name="Normal 2 5 4 3 2 4" xfId="22486"/>
    <cellStyle name="Normal 2 5 4 3 2 4 2" xfId="60922"/>
    <cellStyle name="Normal 2 5 4 3 2 5" xfId="36101"/>
    <cellStyle name="Normal 2 5 4 3 3" xfId="16241"/>
    <cellStyle name="Normal 2 5 4 3 3 2" xfId="28042"/>
    <cellStyle name="Normal 2 5 4 3 3 2 2" xfId="60923"/>
    <cellStyle name="Normal 2 5 4 3 3 3" xfId="41657"/>
    <cellStyle name="Normal 2 5 4 3 4" xfId="8844"/>
    <cellStyle name="Normal 2 5 4 3 4 2" xfId="60924"/>
    <cellStyle name="Normal 2 5 4 3 5" xfId="20645"/>
    <cellStyle name="Normal 2 5 4 3 5 2" xfId="60925"/>
    <cellStyle name="Normal 2 5 4 3 6" xfId="34260"/>
    <cellStyle name="Normal 2 5 4 4" xfId="4096"/>
    <cellStyle name="Normal 2 5 4 4 2" xfId="16242"/>
    <cellStyle name="Normal 2 5 4 4 2 2" xfId="28043"/>
    <cellStyle name="Normal 2 5 4 4 2 2 2" xfId="60926"/>
    <cellStyle name="Normal 2 5 4 4 2 3" xfId="41658"/>
    <cellStyle name="Normal 2 5 4 4 3" xfId="9549"/>
    <cellStyle name="Normal 2 5 4 4 3 2" xfId="48243"/>
    <cellStyle name="Normal 2 5 4 4 4" xfId="21350"/>
    <cellStyle name="Normal 2 5 4 4 4 2" xfId="60927"/>
    <cellStyle name="Normal 2 5 4 4 5" xfId="34965"/>
    <cellStyle name="Normal 2 5 4 5" xfId="2255"/>
    <cellStyle name="Normal 2 5 4 5 2" xfId="17233"/>
    <cellStyle name="Normal 2 5 4 5 2 2" xfId="29034"/>
    <cellStyle name="Normal 2 5 4 5 2 2 2" xfId="60928"/>
    <cellStyle name="Normal 2 5 4 5 2 3" xfId="42649"/>
    <cellStyle name="Normal 2 5 4 5 3" xfId="7708"/>
    <cellStyle name="Normal 2 5 4 5 3 2" xfId="60929"/>
    <cellStyle name="Normal 2 5 4 5 4" xfId="19509"/>
    <cellStyle name="Normal 2 5 4 5 4 2" xfId="60930"/>
    <cellStyle name="Normal 2 5 4 5 5" xfId="33124"/>
    <cellStyle name="Normal 2 5 4 6" xfId="16243"/>
    <cellStyle name="Normal 2 5 4 6 2" xfId="28044"/>
    <cellStyle name="Normal 2 5 4 6 2 2" xfId="60931"/>
    <cellStyle name="Normal 2 5 4 6 3" xfId="41659"/>
    <cellStyle name="Normal 2 5 4 7" xfId="5808"/>
    <cellStyle name="Normal 2 5 4 7 2" xfId="60932"/>
    <cellStyle name="Normal 2 5 4 8" xfId="17609"/>
    <cellStyle name="Normal 2 5 4 8 2" xfId="60933"/>
    <cellStyle name="Normal 2 5 4 9" xfId="31224"/>
    <cellStyle name="Normal 2 5 5" xfId="632"/>
    <cellStyle name="Normal 2 5 5 2" xfId="1838"/>
    <cellStyle name="Normal 2 5 5 2 2" xfId="4374"/>
    <cellStyle name="Normal 2 5 5 2 2 2" xfId="16244"/>
    <cellStyle name="Normal 2 5 5 2 2 2 2" xfId="28045"/>
    <cellStyle name="Normal 2 5 5 2 2 2 2 2" xfId="60934"/>
    <cellStyle name="Normal 2 5 5 2 2 2 3" xfId="41660"/>
    <cellStyle name="Normal 2 5 5 2 2 3" xfId="9827"/>
    <cellStyle name="Normal 2 5 5 2 2 3 2" xfId="48244"/>
    <cellStyle name="Normal 2 5 5 2 2 4" xfId="21628"/>
    <cellStyle name="Normal 2 5 5 2 2 4 2" xfId="60935"/>
    <cellStyle name="Normal 2 5 5 2 2 5" xfId="35243"/>
    <cellStyle name="Normal 2 5 5 2 3" xfId="16245"/>
    <cellStyle name="Normal 2 5 5 2 3 2" xfId="28046"/>
    <cellStyle name="Normal 2 5 5 2 3 2 2" xfId="48245"/>
    <cellStyle name="Normal 2 5 5 2 3 3" xfId="30752"/>
    <cellStyle name="Normal 2 5 5 2 3 3 2" xfId="48246"/>
    <cellStyle name="Normal 2 5 5 2 3 4" xfId="30753"/>
    <cellStyle name="Normal 2 5 5 2 3 4 2" xfId="60936"/>
    <cellStyle name="Normal 2 5 5 2 3 5" xfId="41661"/>
    <cellStyle name="Normal 2 5 5 2 4" xfId="16246"/>
    <cellStyle name="Normal 2 5 5 2 4 2" xfId="28047"/>
    <cellStyle name="Normal 2 5 5 2 4 2 2" xfId="60937"/>
    <cellStyle name="Normal 2 5 5 2 4 3" xfId="41662"/>
    <cellStyle name="Normal 2 5 5 2 5" xfId="7292"/>
    <cellStyle name="Normal 2 5 5 2 5 2" xfId="48247"/>
    <cellStyle name="Normal 2 5 5 2 6" xfId="19093"/>
    <cellStyle name="Normal 2 5 5 2 6 2" xfId="60938"/>
    <cellStyle name="Normal 2 5 5 2 7" xfId="32708"/>
    <cellStyle name="Normal 2 5 5 3" xfId="2533"/>
    <cellStyle name="Normal 2 5 5 3 2" xfId="16247"/>
    <cellStyle name="Normal 2 5 5 3 2 2" xfId="28048"/>
    <cellStyle name="Normal 2 5 5 3 2 2 2" xfId="60939"/>
    <cellStyle name="Normal 2 5 5 3 2 3" xfId="41663"/>
    <cellStyle name="Normal 2 5 5 3 3" xfId="7986"/>
    <cellStyle name="Normal 2 5 5 3 3 2" xfId="48248"/>
    <cellStyle name="Normal 2 5 5 3 4" xfId="19787"/>
    <cellStyle name="Normal 2 5 5 3 4 2" xfId="60940"/>
    <cellStyle name="Normal 2 5 5 3 5" xfId="33402"/>
    <cellStyle name="Normal 2 5 5 4" xfId="16248"/>
    <cellStyle name="Normal 2 5 5 4 2" xfId="28049"/>
    <cellStyle name="Normal 2 5 5 4 2 2" xfId="48249"/>
    <cellStyle name="Normal 2 5 5 4 3" xfId="30754"/>
    <cellStyle name="Normal 2 5 5 4 3 2" xfId="48250"/>
    <cellStyle name="Normal 2 5 5 4 4" xfId="30755"/>
    <cellStyle name="Normal 2 5 5 4 4 2" xfId="60941"/>
    <cellStyle name="Normal 2 5 5 4 5" xfId="41664"/>
    <cellStyle name="Normal 2 5 5 5" xfId="16249"/>
    <cellStyle name="Normal 2 5 5 5 2" xfId="28050"/>
    <cellStyle name="Normal 2 5 5 5 2 2" xfId="60942"/>
    <cellStyle name="Normal 2 5 5 5 3" xfId="41665"/>
    <cellStyle name="Normal 2 5 5 6" xfId="6086"/>
    <cellStyle name="Normal 2 5 5 6 2" xfId="48251"/>
    <cellStyle name="Normal 2 5 5 7" xfId="17887"/>
    <cellStyle name="Normal 2 5 5 7 2" xfId="60943"/>
    <cellStyle name="Normal 2 5 5 8" xfId="31502"/>
    <cellStyle name="Normal 2 5 6" xfId="873"/>
    <cellStyle name="Normal 2 5 6 2" xfId="1839"/>
    <cellStyle name="Normal 2 5 6 2 2" xfId="4942"/>
    <cellStyle name="Normal 2 5 6 2 2 2" xfId="16250"/>
    <cellStyle name="Normal 2 5 6 2 2 2 2" xfId="28051"/>
    <cellStyle name="Normal 2 5 6 2 2 2 2 2" xfId="60944"/>
    <cellStyle name="Normal 2 5 6 2 2 2 3" xfId="41666"/>
    <cellStyle name="Normal 2 5 6 2 2 3" xfId="10395"/>
    <cellStyle name="Normal 2 5 6 2 2 3 2" xfId="48252"/>
    <cellStyle name="Normal 2 5 6 2 2 4" xfId="22196"/>
    <cellStyle name="Normal 2 5 6 2 2 4 2" xfId="60945"/>
    <cellStyle name="Normal 2 5 6 2 2 5" xfId="35811"/>
    <cellStyle name="Normal 2 5 6 2 3" xfId="16251"/>
    <cellStyle name="Normal 2 5 6 2 3 2" xfId="28052"/>
    <cellStyle name="Normal 2 5 6 2 3 2 2" xfId="48253"/>
    <cellStyle name="Normal 2 5 6 2 3 3" xfId="30756"/>
    <cellStyle name="Normal 2 5 6 2 3 3 2" xfId="48254"/>
    <cellStyle name="Normal 2 5 6 2 3 4" xfId="30757"/>
    <cellStyle name="Normal 2 5 6 2 3 4 2" xfId="60946"/>
    <cellStyle name="Normal 2 5 6 2 3 5" xfId="41667"/>
    <cellStyle name="Normal 2 5 6 2 4" xfId="16252"/>
    <cellStyle name="Normal 2 5 6 2 4 2" xfId="28053"/>
    <cellStyle name="Normal 2 5 6 2 4 2 2" xfId="60947"/>
    <cellStyle name="Normal 2 5 6 2 4 3" xfId="41668"/>
    <cellStyle name="Normal 2 5 6 2 5" xfId="7293"/>
    <cellStyle name="Normal 2 5 6 2 5 2" xfId="48255"/>
    <cellStyle name="Normal 2 5 6 2 6" xfId="19094"/>
    <cellStyle name="Normal 2 5 6 2 6 2" xfId="60948"/>
    <cellStyle name="Normal 2 5 6 2 7" xfId="32709"/>
    <cellStyle name="Normal 2 5 6 3" xfId="3101"/>
    <cellStyle name="Normal 2 5 6 3 2" xfId="16253"/>
    <cellStyle name="Normal 2 5 6 3 2 2" xfId="28054"/>
    <cellStyle name="Normal 2 5 6 3 2 2 2" xfId="60949"/>
    <cellStyle name="Normal 2 5 6 3 2 3" xfId="41669"/>
    <cellStyle name="Normal 2 5 6 3 3" xfId="8554"/>
    <cellStyle name="Normal 2 5 6 3 3 2" xfId="48256"/>
    <cellStyle name="Normal 2 5 6 3 4" xfId="20355"/>
    <cellStyle name="Normal 2 5 6 3 4 2" xfId="60950"/>
    <cellStyle name="Normal 2 5 6 3 5" xfId="33970"/>
    <cellStyle name="Normal 2 5 6 4" xfId="16254"/>
    <cellStyle name="Normal 2 5 6 4 2" xfId="28055"/>
    <cellStyle name="Normal 2 5 6 4 2 2" xfId="48257"/>
    <cellStyle name="Normal 2 5 6 4 3" xfId="30758"/>
    <cellStyle name="Normal 2 5 6 4 3 2" xfId="48258"/>
    <cellStyle name="Normal 2 5 6 4 4" xfId="30759"/>
    <cellStyle name="Normal 2 5 6 4 4 2" xfId="60951"/>
    <cellStyle name="Normal 2 5 6 4 5" xfId="41670"/>
    <cellStyle name="Normal 2 5 6 5" xfId="16255"/>
    <cellStyle name="Normal 2 5 6 5 2" xfId="28056"/>
    <cellStyle name="Normal 2 5 6 5 2 2" xfId="60952"/>
    <cellStyle name="Normal 2 5 6 5 3" xfId="41671"/>
    <cellStyle name="Normal 2 5 6 6" xfId="6327"/>
    <cellStyle name="Normal 2 5 6 6 2" xfId="48259"/>
    <cellStyle name="Normal 2 5 6 7" xfId="18128"/>
    <cellStyle name="Normal 2 5 6 7 2" xfId="60953"/>
    <cellStyle name="Normal 2 5 6 8" xfId="31743"/>
    <cellStyle name="Normal 2 5 7" xfId="1840"/>
    <cellStyle name="Normal 2 5 7 2" xfId="3806"/>
    <cellStyle name="Normal 2 5 7 2 2" xfId="16256"/>
    <cellStyle name="Normal 2 5 7 2 2 2" xfId="28057"/>
    <cellStyle name="Normal 2 5 7 2 2 2 2" xfId="60954"/>
    <cellStyle name="Normal 2 5 7 2 2 3" xfId="41672"/>
    <cellStyle name="Normal 2 5 7 2 3" xfId="9259"/>
    <cellStyle name="Normal 2 5 7 2 3 2" xfId="48260"/>
    <cellStyle name="Normal 2 5 7 2 4" xfId="21060"/>
    <cellStyle name="Normal 2 5 7 2 4 2" xfId="60955"/>
    <cellStyle name="Normal 2 5 7 2 5" xfId="34675"/>
    <cellStyle name="Normal 2 5 7 3" xfId="16257"/>
    <cellStyle name="Normal 2 5 7 3 2" xfId="28058"/>
    <cellStyle name="Normal 2 5 7 3 2 2" xfId="48261"/>
    <cellStyle name="Normal 2 5 7 3 3" xfId="30760"/>
    <cellStyle name="Normal 2 5 7 3 3 2" xfId="48262"/>
    <cellStyle name="Normal 2 5 7 3 4" xfId="30761"/>
    <cellStyle name="Normal 2 5 7 3 4 2" xfId="60956"/>
    <cellStyle name="Normal 2 5 7 3 5" xfId="41673"/>
    <cellStyle name="Normal 2 5 7 4" xfId="16258"/>
    <cellStyle name="Normal 2 5 7 4 2" xfId="28059"/>
    <cellStyle name="Normal 2 5 7 4 2 2" xfId="60957"/>
    <cellStyle name="Normal 2 5 7 4 3" xfId="41674"/>
    <cellStyle name="Normal 2 5 7 5" xfId="7294"/>
    <cellStyle name="Normal 2 5 7 5 2" xfId="48263"/>
    <cellStyle name="Normal 2 5 7 6" xfId="19095"/>
    <cellStyle name="Normal 2 5 7 6 2" xfId="60958"/>
    <cellStyle name="Normal 2 5 7 7" xfId="32710"/>
    <cellStyle name="Normal 2 5 8" xfId="3669"/>
    <cellStyle name="Normal 2 5 8 2" xfId="16259"/>
    <cellStyle name="Normal 2 5 8 2 2" xfId="28060"/>
    <cellStyle name="Normal 2 5 8 2 2 2" xfId="60959"/>
    <cellStyle name="Normal 2 5 8 2 3" xfId="41675"/>
    <cellStyle name="Normal 2 5 8 3" xfId="9122"/>
    <cellStyle name="Normal 2 5 8 3 2" xfId="48264"/>
    <cellStyle name="Normal 2 5 8 4" xfId="20923"/>
    <cellStyle name="Normal 2 5 8 4 2" xfId="60960"/>
    <cellStyle name="Normal 2 5 8 5" xfId="34538"/>
    <cellStyle name="Normal 2 5 9" xfId="1965"/>
    <cellStyle name="Normal 2 5 9 2" xfId="16260"/>
    <cellStyle name="Normal 2 5 9 2 2" xfId="28061"/>
    <cellStyle name="Normal 2 5 9 2 2 2" xfId="60961"/>
    <cellStyle name="Normal 2 5 9 2 3" xfId="41676"/>
    <cellStyle name="Normal 2 5 9 3" xfId="7418"/>
    <cellStyle name="Normal 2 5 9 3 2" xfId="48265"/>
    <cellStyle name="Normal 2 5 9 4" xfId="19219"/>
    <cellStyle name="Normal 2 5 9 4 2" xfId="60962"/>
    <cellStyle name="Normal 2 5 9 5" xfId="32834"/>
    <cellStyle name="Normal 2 6" xfId="79"/>
    <cellStyle name="Normal 2 6 10" xfId="5533"/>
    <cellStyle name="Normal 2 6 10 2" xfId="48266"/>
    <cellStyle name="Normal 2 6 11" xfId="17334"/>
    <cellStyle name="Normal 2 6 11 2" xfId="60963"/>
    <cellStyle name="Normal 2 6 12" xfId="30949"/>
    <cellStyle name="Normal 2 6 2" xfId="506"/>
    <cellStyle name="Normal 2 6 2 2" xfId="1841"/>
    <cellStyle name="Normal 2 6 2 2 2" xfId="4816"/>
    <cellStyle name="Normal 2 6 2 2 2 2" xfId="16261"/>
    <cellStyle name="Normal 2 6 2 2 2 2 2" xfId="28062"/>
    <cellStyle name="Normal 2 6 2 2 2 2 2 2" xfId="60964"/>
    <cellStyle name="Normal 2 6 2 2 2 2 3" xfId="41677"/>
    <cellStyle name="Normal 2 6 2 2 2 3" xfId="10269"/>
    <cellStyle name="Normal 2 6 2 2 2 3 2" xfId="48267"/>
    <cellStyle name="Normal 2 6 2 2 2 4" xfId="22070"/>
    <cellStyle name="Normal 2 6 2 2 2 4 2" xfId="60965"/>
    <cellStyle name="Normal 2 6 2 2 2 5" xfId="35685"/>
    <cellStyle name="Normal 2 6 2 2 3" xfId="2975"/>
    <cellStyle name="Normal 2 6 2 2 3 2" xfId="16262"/>
    <cellStyle name="Normal 2 6 2 2 3 2 2" xfId="28063"/>
    <cellStyle name="Normal 2 6 2 2 3 2 2 2" xfId="60966"/>
    <cellStyle name="Normal 2 6 2 2 3 2 3" xfId="41678"/>
    <cellStyle name="Normal 2 6 2 2 3 3" xfId="8428"/>
    <cellStyle name="Normal 2 6 2 2 3 3 2" xfId="48268"/>
    <cellStyle name="Normal 2 6 2 2 3 4" xfId="20229"/>
    <cellStyle name="Normal 2 6 2 2 3 4 2" xfId="60967"/>
    <cellStyle name="Normal 2 6 2 2 3 5" xfId="33844"/>
    <cellStyle name="Normal 2 6 2 2 4" xfId="16263"/>
    <cellStyle name="Normal 2 6 2 2 4 2" xfId="28064"/>
    <cellStyle name="Normal 2 6 2 2 4 2 2" xfId="60968"/>
    <cellStyle name="Normal 2 6 2 2 4 3" xfId="41679"/>
    <cellStyle name="Normal 2 6 2 2 5" xfId="7295"/>
    <cellStyle name="Normal 2 6 2 2 5 2" xfId="48269"/>
    <cellStyle name="Normal 2 6 2 2 6" xfId="19096"/>
    <cellStyle name="Normal 2 6 2 2 6 2" xfId="60969"/>
    <cellStyle name="Normal 2 6 2 2 7" xfId="32711"/>
    <cellStyle name="Normal 2 6 2 3" xfId="3543"/>
    <cellStyle name="Normal 2 6 2 3 2" xfId="5384"/>
    <cellStyle name="Normal 2 6 2 3 2 2" xfId="16854"/>
    <cellStyle name="Normal 2 6 2 3 2 2 2" xfId="28655"/>
    <cellStyle name="Normal 2 6 2 3 2 2 2 2" xfId="60970"/>
    <cellStyle name="Normal 2 6 2 3 2 2 3" xfId="42270"/>
    <cellStyle name="Normal 2 6 2 3 2 3" xfId="10837"/>
    <cellStyle name="Normal 2 6 2 3 2 3 2" xfId="60971"/>
    <cellStyle name="Normal 2 6 2 3 2 4" xfId="22638"/>
    <cellStyle name="Normal 2 6 2 3 2 4 2" xfId="60972"/>
    <cellStyle name="Normal 2 6 2 3 2 5" xfId="36253"/>
    <cellStyle name="Normal 2 6 2 3 3" xfId="16264"/>
    <cellStyle name="Normal 2 6 2 3 3 2" xfId="28065"/>
    <cellStyle name="Normal 2 6 2 3 3 2 2" xfId="60973"/>
    <cellStyle name="Normal 2 6 2 3 3 3" xfId="41680"/>
    <cellStyle name="Normal 2 6 2 3 4" xfId="8996"/>
    <cellStyle name="Normal 2 6 2 3 4 2" xfId="60974"/>
    <cellStyle name="Normal 2 6 2 3 5" xfId="20797"/>
    <cellStyle name="Normal 2 6 2 3 5 2" xfId="60975"/>
    <cellStyle name="Normal 2 6 2 3 6" xfId="34412"/>
    <cellStyle name="Normal 2 6 2 4" xfId="4248"/>
    <cellStyle name="Normal 2 6 2 4 2" xfId="16265"/>
    <cellStyle name="Normal 2 6 2 4 2 2" xfId="28066"/>
    <cellStyle name="Normal 2 6 2 4 2 2 2" xfId="60976"/>
    <cellStyle name="Normal 2 6 2 4 2 3" xfId="41681"/>
    <cellStyle name="Normal 2 6 2 4 3" xfId="9701"/>
    <cellStyle name="Normal 2 6 2 4 3 2" xfId="48270"/>
    <cellStyle name="Normal 2 6 2 4 4" xfId="21502"/>
    <cellStyle name="Normal 2 6 2 4 4 2" xfId="60977"/>
    <cellStyle name="Normal 2 6 2 4 5" xfId="35117"/>
    <cellStyle name="Normal 2 6 2 5" xfId="2407"/>
    <cellStyle name="Normal 2 6 2 5 2" xfId="17234"/>
    <cellStyle name="Normal 2 6 2 5 2 2" xfId="29035"/>
    <cellStyle name="Normal 2 6 2 5 2 2 2" xfId="60978"/>
    <cellStyle name="Normal 2 6 2 5 2 3" xfId="42650"/>
    <cellStyle name="Normal 2 6 2 5 3" xfId="7860"/>
    <cellStyle name="Normal 2 6 2 5 3 2" xfId="60979"/>
    <cellStyle name="Normal 2 6 2 5 4" xfId="19661"/>
    <cellStyle name="Normal 2 6 2 5 4 2" xfId="60980"/>
    <cellStyle name="Normal 2 6 2 5 5" xfId="33276"/>
    <cellStyle name="Normal 2 6 2 6" xfId="16266"/>
    <cellStyle name="Normal 2 6 2 6 2" xfId="28067"/>
    <cellStyle name="Normal 2 6 2 6 2 2" xfId="60981"/>
    <cellStyle name="Normal 2 6 2 6 3" xfId="41682"/>
    <cellStyle name="Normal 2 6 2 7" xfId="5960"/>
    <cellStyle name="Normal 2 6 2 7 2" xfId="60982"/>
    <cellStyle name="Normal 2 6 2 8" xfId="17761"/>
    <cellStyle name="Normal 2 6 2 8 2" xfId="60983"/>
    <cellStyle name="Normal 2 6 2 9" xfId="31376"/>
    <cellStyle name="Normal 2 6 3" xfId="369"/>
    <cellStyle name="Normal 2 6 3 2" xfId="1842"/>
    <cellStyle name="Normal 2 6 3 2 2" xfId="4679"/>
    <cellStyle name="Normal 2 6 3 2 2 2" xfId="16267"/>
    <cellStyle name="Normal 2 6 3 2 2 2 2" xfId="28068"/>
    <cellStyle name="Normal 2 6 3 2 2 2 2 2" xfId="60984"/>
    <cellStyle name="Normal 2 6 3 2 2 2 3" xfId="41683"/>
    <cellStyle name="Normal 2 6 3 2 2 3" xfId="10132"/>
    <cellStyle name="Normal 2 6 3 2 2 3 2" xfId="48271"/>
    <cellStyle name="Normal 2 6 3 2 2 4" xfId="21933"/>
    <cellStyle name="Normal 2 6 3 2 2 4 2" xfId="60985"/>
    <cellStyle name="Normal 2 6 3 2 2 5" xfId="35548"/>
    <cellStyle name="Normal 2 6 3 2 3" xfId="2838"/>
    <cellStyle name="Normal 2 6 3 2 3 2" xfId="16268"/>
    <cellStyle name="Normal 2 6 3 2 3 2 2" xfId="28069"/>
    <cellStyle name="Normal 2 6 3 2 3 2 2 2" xfId="60986"/>
    <cellStyle name="Normal 2 6 3 2 3 2 3" xfId="41684"/>
    <cellStyle name="Normal 2 6 3 2 3 3" xfId="8291"/>
    <cellStyle name="Normal 2 6 3 2 3 3 2" xfId="48272"/>
    <cellStyle name="Normal 2 6 3 2 3 4" xfId="20092"/>
    <cellStyle name="Normal 2 6 3 2 3 4 2" xfId="60987"/>
    <cellStyle name="Normal 2 6 3 2 3 5" xfId="33707"/>
    <cellStyle name="Normal 2 6 3 2 4" xfId="16269"/>
    <cellStyle name="Normal 2 6 3 2 4 2" xfId="28070"/>
    <cellStyle name="Normal 2 6 3 2 4 2 2" xfId="60988"/>
    <cellStyle name="Normal 2 6 3 2 4 3" xfId="41685"/>
    <cellStyle name="Normal 2 6 3 2 5" xfId="7296"/>
    <cellStyle name="Normal 2 6 3 2 5 2" xfId="48273"/>
    <cellStyle name="Normal 2 6 3 2 6" xfId="19097"/>
    <cellStyle name="Normal 2 6 3 2 6 2" xfId="60989"/>
    <cellStyle name="Normal 2 6 3 2 7" xfId="32712"/>
    <cellStyle name="Normal 2 6 3 3" xfId="3406"/>
    <cellStyle name="Normal 2 6 3 3 2" xfId="5247"/>
    <cellStyle name="Normal 2 6 3 3 2 2" xfId="16717"/>
    <cellStyle name="Normal 2 6 3 3 2 2 2" xfId="28518"/>
    <cellStyle name="Normal 2 6 3 3 2 2 2 2" xfId="60990"/>
    <cellStyle name="Normal 2 6 3 3 2 2 3" xfId="42133"/>
    <cellStyle name="Normal 2 6 3 3 2 3" xfId="10700"/>
    <cellStyle name="Normal 2 6 3 3 2 3 2" xfId="60991"/>
    <cellStyle name="Normal 2 6 3 3 2 4" xfId="22501"/>
    <cellStyle name="Normal 2 6 3 3 2 4 2" xfId="60992"/>
    <cellStyle name="Normal 2 6 3 3 2 5" xfId="36116"/>
    <cellStyle name="Normal 2 6 3 3 3" xfId="16270"/>
    <cellStyle name="Normal 2 6 3 3 3 2" xfId="28071"/>
    <cellStyle name="Normal 2 6 3 3 3 2 2" xfId="60993"/>
    <cellStyle name="Normal 2 6 3 3 3 3" xfId="41686"/>
    <cellStyle name="Normal 2 6 3 3 4" xfId="8859"/>
    <cellStyle name="Normal 2 6 3 3 4 2" xfId="60994"/>
    <cellStyle name="Normal 2 6 3 3 5" xfId="20660"/>
    <cellStyle name="Normal 2 6 3 3 5 2" xfId="60995"/>
    <cellStyle name="Normal 2 6 3 3 6" xfId="34275"/>
    <cellStyle name="Normal 2 6 3 4" xfId="4111"/>
    <cellStyle name="Normal 2 6 3 4 2" xfId="16271"/>
    <cellStyle name="Normal 2 6 3 4 2 2" xfId="28072"/>
    <cellStyle name="Normal 2 6 3 4 2 2 2" xfId="60996"/>
    <cellStyle name="Normal 2 6 3 4 2 3" xfId="41687"/>
    <cellStyle name="Normal 2 6 3 4 3" xfId="9564"/>
    <cellStyle name="Normal 2 6 3 4 3 2" xfId="48274"/>
    <cellStyle name="Normal 2 6 3 4 4" xfId="21365"/>
    <cellStyle name="Normal 2 6 3 4 4 2" xfId="60997"/>
    <cellStyle name="Normal 2 6 3 4 5" xfId="34980"/>
    <cellStyle name="Normal 2 6 3 5" xfId="2270"/>
    <cellStyle name="Normal 2 6 3 5 2" xfId="17235"/>
    <cellStyle name="Normal 2 6 3 5 2 2" xfId="29036"/>
    <cellStyle name="Normal 2 6 3 5 2 2 2" xfId="60998"/>
    <cellStyle name="Normal 2 6 3 5 2 3" xfId="42651"/>
    <cellStyle name="Normal 2 6 3 5 3" xfId="7723"/>
    <cellStyle name="Normal 2 6 3 5 3 2" xfId="60999"/>
    <cellStyle name="Normal 2 6 3 5 4" xfId="19524"/>
    <cellStyle name="Normal 2 6 3 5 4 2" xfId="61000"/>
    <cellStyle name="Normal 2 6 3 5 5" xfId="33139"/>
    <cellStyle name="Normal 2 6 3 6" xfId="16272"/>
    <cellStyle name="Normal 2 6 3 6 2" xfId="28073"/>
    <cellStyle name="Normal 2 6 3 6 2 2" xfId="61001"/>
    <cellStyle name="Normal 2 6 3 6 3" xfId="41688"/>
    <cellStyle name="Normal 2 6 3 7" xfId="5823"/>
    <cellStyle name="Normal 2 6 3 7 2" xfId="61002"/>
    <cellStyle name="Normal 2 6 3 8" xfId="17624"/>
    <cellStyle name="Normal 2 6 3 8 2" xfId="61003"/>
    <cellStyle name="Normal 2 6 3 9" xfId="31239"/>
    <cellStyle name="Normal 2 6 4" xfId="647"/>
    <cellStyle name="Normal 2 6 4 2" xfId="1843"/>
    <cellStyle name="Normal 2 6 4 2 2" xfId="4389"/>
    <cellStyle name="Normal 2 6 4 2 2 2" xfId="16273"/>
    <cellStyle name="Normal 2 6 4 2 2 2 2" xfId="28074"/>
    <cellStyle name="Normal 2 6 4 2 2 2 2 2" xfId="61004"/>
    <cellStyle name="Normal 2 6 4 2 2 2 3" xfId="41689"/>
    <cellStyle name="Normal 2 6 4 2 2 3" xfId="9842"/>
    <cellStyle name="Normal 2 6 4 2 2 3 2" xfId="48275"/>
    <cellStyle name="Normal 2 6 4 2 2 4" xfId="21643"/>
    <cellStyle name="Normal 2 6 4 2 2 4 2" xfId="61005"/>
    <cellStyle name="Normal 2 6 4 2 2 5" xfId="35258"/>
    <cellStyle name="Normal 2 6 4 2 3" xfId="16274"/>
    <cellStyle name="Normal 2 6 4 2 3 2" xfId="28075"/>
    <cellStyle name="Normal 2 6 4 2 3 2 2" xfId="48276"/>
    <cellStyle name="Normal 2 6 4 2 3 3" xfId="30762"/>
    <cellStyle name="Normal 2 6 4 2 3 3 2" xfId="48277"/>
    <cellStyle name="Normal 2 6 4 2 3 4" xfId="30763"/>
    <cellStyle name="Normal 2 6 4 2 3 4 2" xfId="61006"/>
    <cellStyle name="Normal 2 6 4 2 3 5" xfId="41690"/>
    <cellStyle name="Normal 2 6 4 2 4" xfId="16275"/>
    <cellStyle name="Normal 2 6 4 2 4 2" xfId="28076"/>
    <cellStyle name="Normal 2 6 4 2 4 2 2" xfId="61007"/>
    <cellStyle name="Normal 2 6 4 2 4 3" xfId="41691"/>
    <cellStyle name="Normal 2 6 4 2 5" xfId="7297"/>
    <cellStyle name="Normal 2 6 4 2 5 2" xfId="48278"/>
    <cellStyle name="Normal 2 6 4 2 6" xfId="19098"/>
    <cellStyle name="Normal 2 6 4 2 6 2" xfId="61008"/>
    <cellStyle name="Normal 2 6 4 2 7" xfId="32713"/>
    <cellStyle name="Normal 2 6 4 3" xfId="2548"/>
    <cellStyle name="Normal 2 6 4 3 2" xfId="16276"/>
    <cellStyle name="Normal 2 6 4 3 2 2" xfId="28077"/>
    <cellStyle name="Normal 2 6 4 3 2 2 2" xfId="61009"/>
    <cellStyle name="Normal 2 6 4 3 2 3" xfId="41692"/>
    <cellStyle name="Normal 2 6 4 3 3" xfId="8001"/>
    <cellStyle name="Normal 2 6 4 3 3 2" xfId="48279"/>
    <cellStyle name="Normal 2 6 4 3 4" xfId="19802"/>
    <cellStyle name="Normal 2 6 4 3 4 2" xfId="61010"/>
    <cellStyle name="Normal 2 6 4 3 5" xfId="33417"/>
    <cellStyle name="Normal 2 6 4 4" xfId="16277"/>
    <cellStyle name="Normal 2 6 4 4 2" xfId="28078"/>
    <cellStyle name="Normal 2 6 4 4 2 2" xfId="48280"/>
    <cellStyle name="Normal 2 6 4 4 3" xfId="30764"/>
    <cellStyle name="Normal 2 6 4 4 3 2" xfId="48281"/>
    <cellStyle name="Normal 2 6 4 4 4" xfId="30765"/>
    <cellStyle name="Normal 2 6 4 4 4 2" xfId="61011"/>
    <cellStyle name="Normal 2 6 4 4 5" xfId="41693"/>
    <cellStyle name="Normal 2 6 4 5" xfId="16278"/>
    <cellStyle name="Normal 2 6 4 5 2" xfId="28079"/>
    <cellStyle name="Normal 2 6 4 5 2 2" xfId="61012"/>
    <cellStyle name="Normal 2 6 4 5 3" xfId="41694"/>
    <cellStyle name="Normal 2 6 4 6" xfId="6101"/>
    <cellStyle name="Normal 2 6 4 6 2" xfId="48282"/>
    <cellStyle name="Normal 2 6 4 7" xfId="17902"/>
    <cellStyle name="Normal 2 6 4 7 2" xfId="61013"/>
    <cellStyle name="Normal 2 6 4 8" xfId="31517"/>
    <cellStyle name="Normal 2 6 5" xfId="888"/>
    <cellStyle name="Normal 2 6 5 2" xfId="1844"/>
    <cellStyle name="Normal 2 6 5 2 2" xfId="4957"/>
    <cellStyle name="Normal 2 6 5 2 2 2" xfId="16279"/>
    <cellStyle name="Normal 2 6 5 2 2 2 2" xfId="28080"/>
    <cellStyle name="Normal 2 6 5 2 2 2 2 2" xfId="61014"/>
    <cellStyle name="Normal 2 6 5 2 2 2 3" xfId="41695"/>
    <cellStyle name="Normal 2 6 5 2 2 3" xfId="10410"/>
    <cellStyle name="Normal 2 6 5 2 2 3 2" xfId="48283"/>
    <cellStyle name="Normal 2 6 5 2 2 4" xfId="22211"/>
    <cellStyle name="Normal 2 6 5 2 2 4 2" xfId="61015"/>
    <cellStyle name="Normal 2 6 5 2 2 5" xfId="35826"/>
    <cellStyle name="Normal 2 6 5 2 3" xfId="16280"/>
    <cellStyle name="Normal 2 6 5 2 3 2" xfId="28081"/>
    <cellStyle name="Normal 2 6 5 2 3 2 2" xfId="48284"/>
    <cellStyle name="Normal 2 6 5 2 3 3" xfId="30766"/>
    <cellStyle name="Normal 2 6 5 2 3 3 2" xfId="48285"/>
    <cellStyle name="Normal 2 6 5 2 3 4" xfId="30767"/>
    <cellStyle name="Normal 2 6 5 2 3 4 2" xfId="61016"/>
    <cellStyle name="Normal 2 6 5 2 3 5" xfId="41696"/>
    <cellStyle name="Normal 2 6 5 2 4" xfId="16281"/>
    <cellStyle name="Normal 2 6 5 2 4 2" xfId="28082"/>
    <cellStyle name="Normal 2 6 5 2 4 2 2" xfId="61017"/>
    <cellStyle name="Normal 2 6 5 2 4 3" xfId="41697"/>
    <cellStyle name="Normal 2 6 5 2 5" xfId="7298"/>
    <cellStyle name="Normal 2 6 5 2 5 2" xfId="48286"/>
    <cellStyle name="Normal 2 6 5 2 6" xfId="19099"/>
    <cellStyle name="Normal 2 6 5 2 6 2" xfId="61018"/>
    <cellStyle name="Normal 2 6 5 2 7" xfId="32714"/>
    <cellStyle name="Normal 2 6 5 3" xfId="3116"/>
    <cellStyle name="Normal 2 6 5 3 2" xfId="16282"/>
    <cellStyle name="Normal 2 6 5 3 2 2" xfId="28083"/>
    <cellStyle name="Normal 2 6 5 3 2 2 2" xfId="61019"/>
    <cellStyle name="Normal 2 6 5 3 2 3" xfId="41698"/>
    <cellStyle name="Normal 2 6 5 3 3" xfId="8569"/>
    <cellStyle name="Normal 2 6 5 3 3 2" xfId="48287"/>
    <cellStyle name="Normal 2 6 5 3 4" xfId="20370"/>
    <cellStyle name="Normal 2 6 5 3 4 2" xfId="61020"/>
    <cellStyle name="Normal 2 6 5 3 5" xfId="33985"/>
    <cellStyle name="Normal 2 6 5 4" xfId="16283"/>
    <cellStyle name="Normal 2 6 5 4 2" xfId="28084"/>
    <cellStyle name="Normal 2 6 5 4 2 2" xfId="48288"/>
    <cellStyle name="Normal 2 6 5 4 3" xfId="30768"/>
    <cellStyle name="Normal 2 6 5 4 3 2" xfId="48289"/>
    <cellStyle name="Normal 2 6 5 4 4" xfId="30769"/>
    <cellStyle name="Normal 2 6 5 4 4 2" xfId="61021"/>
    <cellStyle name="Normal 2 6 5 4 5" xfId="41699"/>
    <cellStyle name="Normal 2 6 5 5" xfId="16284"/>
    <cellStyle name="Normal 2 6 5 5 2" xfId="28085"/>
    <cellStyle name="Normal 2 6 5 5 2 2" xfId="61022"/>
    <cellStyle name="Normal 2 6 5 5 3" xfId="41700"/>
    <cellStyle name="Normal 2 6 5 6" xfId="6342"/>
    <cellStyle name="Normal 2 6 5 6 2" xfId="48290"/>
    <cellStyle name="Normal 2 6 5 7" xfId="18143"/>
    <cellStyle name="Normal 2 6 5 7 2" xfId="61023"/>
    <cellStyle name="Normal 2 6 5 8" xfId="31758"/>
    <cellStyle name="Normal 2 6 6" xfId="1845"/>
    <cellStyle name="Normal 2 6 6 2" xfId="3821"/>
    <cellStyle name="Normal 2 6 6 2 2" xfId="16285"/>
    <cellStyle name="Normal 2 6 6 2 2 2" xfId="28086"/>
    <cellStyle name="Normal 2 6 6 2 2 2 2" xfId="61024"/>
    <cellStyle name="Normal 2 6 6 2 2 3" xfId="41701"/>
    <cellStyle name="Normal 2 6 6 2 3" xfId="9274"/>
    <cellStyle name="Normal 2 6 6 2 3 2" xfId="48291"/>
    <cellStyle name="Normal 2 6 6 2 4" xfId="21075"/>
    <cellStyle name="Normal 2 6 6 2 4 2" xfId="61025"/>
    <cellStyle name="Normal 2 6 6 2 5" xfId="34690"/>
    <cellStyle name="Normal 2 6 6 3" xfId="16286"/>
    <cellStyle name="Normal 2 6 6 3 2" xfId="28087"/>
    <cellStyle name="Normal 2 6 6 3 2 2" xfId="48292"/>
    <cellStyle name="Normal 2 6 6 3 3" xfId="30770"/>
    <cellStyle name="Normal 2 6 6 3 3 2" xfId="48293"/>
    <cellStyle name="Normal 2 6 6 3 4" xfId="30771"/>
    <cellStyle name="Normal 2 6 6 3 4 2" xfId="61026"/>
    <cellStyle name="Normal 2 6 6 3 5" xfId="41702"/>
    <cellStyle name="Normal 2 6 6 4" xfId="16287"/>
    <cellStyle name="Normal 2 6 6 4 2" xfId="28088"/>
    <cellStyle name="Normal 2 6 6 4 2 2" xfId="61027"/>
    <cellStyle name="Normal 2 6 6 4 3" xfId="41703"/>
    <cellStyle name="Normal 2 6 6 5" xfId="7299"/>
    <cellStyle name="Normal 2 6 6 5 2" xfId="48294"/>
    <cellStyle name="Normal 2 6 6 6" xfId="19100"/>
    <cellStyle name="Normal 2 6 6 6 2" xfId="61028"/>
    <cellStyle name="Normal 2 6 6 7" xfId="32715"/>
    <cellStyle name="Normal 2 6 7" xfId="3684"/>
    <cellStyle name="Normal 2 6 7 2" xfId="16288"/>
    <cellStyle name="Normal 2 6 7 2 2" xfId="28089"/>
    <cellStyle name="Normal 2 6 7 2 2 2" xfId="61029"/>
    <cellStyle name="Normal 2 6 7 2 3" xfId="41704"/>
    <cellStyle name="Normal 2 6 7 3" xfId="9137"/>
    <cellStyle name="Normal 2 6 7 3 2" xfId="48295"/>
    <cellStyle name="Normal 2 6 7 4" xfId="20938"/>
    <cellStyle name="Normal 2 6 7 4 2" xfId="61030"/>
    <cellStyle name="Normal 2 6 7 5" xfId="34553"/>
    <cellStyle name="Normal 2 6 8" xfId="1980"/>
    <cellStyle name="Normal 2 6 8 2" xfId="16289"/>
    <cellStyle name="Normal 2 6 8 2 2" xfId="28090"/>
    <cellStyle name="Normal 2 6 8 2 2 2" xfId="61031"/>
    <cellStyle name="Normal 2 6 8 2 3" xfId="41705"/>
    <cellStyle name="Normal 2 6 8 3" xfId="7433"/>
    <cellStyle name="Normal 2 6 8 3 2" xfId="48296"/>
    <cellStyle name="Normal 2 6 8 4" xfId="19234"/>
    <cellStyle name="Normal 2 6 8 4 2" xfId="61032"/>
    <cellStyle name="Normal 2 6 8 5" xfId="32849"/>
    <cellStyle name="Normal 2 6 9" xfId="16290"/>
    <cellStyle name="Normal 2 6 9 2" xfId="28091"/>
    <cellStyle name="Normal 2 6 9 2 2" xfId="61033"/>
    <cellStyle name="Normal 2 6 9 3" xfId="41706"/>
    <cellStyle name="Normal 2 7" xfId="150"/>
    <cellStyle name="Normal 2 7 10" xfId="31020"/>
    <cellStyle name="Normal 2 7 2" xfId="302"/>
    <cellStyle name="Normal 2 7 2 2" xfId="1846"/>
    <cellStyle name="Normal 2 7 2 2 2" xfId="4612"/>
    <cellStyle name="Normal 2 7 2 2 2 2" xfId="16291"/>
    <cellStyle name="Normal 2 7 2 2 2 2 2" xfId="28092"/>
    <cellStyle name="Normal 2 7 2 2 2 2 2 2" xfId="61034"/>
    <cellStyle name="Normal 2 7 2 2 2 2 3" xfId="41707"/>
    <cellStyle name="Normal 2 7 2 2 2 3" xfId="10065"/>
    <cellStyle name="Normal 2 7 2 2 2 3 2" xfId="48297"/>
    <cellStyle name="Normal 2 7 2 2 2 4" xfId="21866"/>
    <cellStyle name="Normal 2 7 2 2 2 4 2" xfId="61035"/>
    <cellStyle name="Normal 2 7 2 2 2 5" xfId="35481"/>
    <cellStyle name="Normal 2 7 2 2 3" xfId="2771"/>
    <cellStyle name="Normal 2 7 2 2 3 2" xfId="16292"/>
    <cellStyle name="Normal 2 7 2 2 3 2 2" xfId="28093"/>
    <cellStyle name="Normal 2 7 2 2 3 2 2 2" xfId="61036"/>
    <cellStyle name="Normal 2 7 2 2 3 2 3" xfId="41708"/>
    <cellStyle name="Normal 2 7 2 2 3 3" xfId="8224"/>
    <cellStyle name="Normal 2 7 2 2 3 3 2" xfId="48298"/>
    <cellStyle name="Normal 2 7 2 2 3 4" xfId="20025"/>
    <cellStyle name="Normal 2 7 2 2 3 4 2" xfId="61037"/>
    <cellStyle name="Normal 2 7 2 2 3 5" xfId="33640"/>
    <cellStyle name="Normal 2 7 2 2 4" xfId="16293"/>
    <cellStyle name="Normal 2 7 2 2 4 2" xfId="28094"/>
    <cellStyle name="Normal 2 7 2 2 4 2 2" xfId="61038"/>
    <cellStyle name="Normal 2 7 2 2 4 3" xfId="41709"/>
    <cellStyle name="Normal 2 7 2 2 5" xfId="7300"/>
    <cellStyle name="Normal 2 7 2 2 5 2" xfId="48299"/>
    <cellStyle name="Normal 2 7 2 2 6" xfId="19101"/>
    <cellStyle name="Normal 2 7 2 2 6 2" xfId="61039"/>
    <cellStyle name="Normal 2 7 2 2 7" xfId="32716"/>
    <cellStyle name="Normal 2 7 2 3" xfId="3339"/>
    <cellStyle name="Normal 2 7 2 3 2" xfId="5180"/>
    <cellStyle name="Normal 2 7 2 3 2 2" xfId="16650"/>
    <cellStyle name="Normal 2 7 2 3 2 2 2" xfId="28451"/>
    <cellStyle name="Normal 2 7 2 3 2 2 2 2" xfId="61040"/>
    <cellStyle name="Normal 2 7 2 3 2 2 3" xfId="42066"/>
    <cellStyle name="Normal 2 7 2 3 2 3" xfId="10633"/>
    <cellStyle name="Normal 2 7 2 3 2 3 2" xfId="61041"/>
    <cellStyle name="Normal 2 7 2 3 2 4" xfId="22434"/>
    <cellStyle name="Normal 2 7 2 3 2 4 2" xfId="61042"/>
    <cellStyle name="Normal 2 7 2 3 2 5" xfId="36049"/>
    <cellStyle name="Normal 2 7 2 3 3" xfId="16294"/>
    <cellStyle name="Normal 2 7 2 3 3 2" xfId="28095"/>
    <cellStyle name="Normal 2 7 2 3 3 2 2" xfId="61043"/>
    <cellStyle name="Normal 2 7 2 3 3 3" xfId="41710"/>
    <cellStyle name="Normal 2 7 2 3 4" xfId="8792"/>
    <cellStyle name="Normal 2 7 2 3 4 2" xfId="61044"/>
    <cellStyle name="Normal 2 7 2 3 5" xfId="20593"/>
    <cellStyle name="Normal 2 7 2 3 5 2" xfId="61045"/>
    <cellStyle name="Normal 2 7 2 3 6" xfId="34208"/>
    <cellStyle name="Normal 2 7 2 4" xfId="4044"/>
    <cellStyle name="Normal 2 7 2 4 2" xfId="16295"/>
    <cellStyle name="Normal 2 7 2 4 2 2" xfId="28096"/>
    <cellStyle name="Normal 2 7 2 4 2 2 2" xfId="61046"/>
    <cellStyle name="Normal 2 7 2 4 2 3" xfId="41711"/>
    <cellStyle name="Normal 2 7 2 4 3" xfId="9497"/>
    <cellStyle name="Normal 2 7 2 4 3 2" xfId="48300"/>
    <cellStyle name="Normal 2 7 2 4 4" xfId="21298"/>
    <cellStyle name="Normal 2 7 2 4 4 2" xfId="61047"/>
    <cellStyle name="Normal 2 7 2 4 5" xfId="34913"/>
    <cellStyle name="Normal 2 7 2 5" xfId="2203"/>
    <cellStyle name="Normal 2 7 2 5 2" xfId="17236"/>
    <cellStyle name="Normal 2 7 2 5 2 2" xfId="29037"/>
    <cellStyle name="Normal 2 7 2 5 2 2 2" xfId="61048"/>
    <cellStyle name="Normal 2 7 2 5 2 3" xfId="42652"/>
    <cellStyle name="Normal 2 7 2 5 3" xfId="7656"/>
    <cellStyle name="Normal 2 7 2 5 3 2" xfId="61049"/>
    <cellStyle name="Normal 2 7 2 5 4" xfId="19457"/>
    <cellStyle name="Normal 2 7 2 5 4 2" xfId="61050"/>
    <cellStyle name="Normal 2 7 2 5 5" xfId="33072"/>
    <cellStyle name="Normal 2 7 2 6" xfId="16296"/>
    <cellStyle name="Normal 2 7 2 6 2" xfId="28097"/>
    <cellStyle name="Normal 2 7 2 6 2 2" xfId="61051"/>
    <cellStyle name="Normal 2 7 2 6 3" xfId="41712"/>
    <cellStyle name="Normal 2 7 2 7" xfId="5756"/>
    <cellStyle name="Normal 2 7 2 7 2" xfId="61052"/>
    <cellStyle name="Normal 2 7 2 8" xfId="17557"/>
    <cellStyle name="Normal 2 7 2 8 2" xfId="61053"/>
    <cellStyle name="Normal 2 7 2 9" xfId="31172"/>
    <cellStyle name="Normal 2 7 3" xfId="718"/>
    <cellStyle name="Normal 2 7 3 2" xfId="1847"/>
    <cellStyle name="Normal 2 7 3 2 2" xfId="4460"/>
    <cellStyle name="Normal 2 7 3 2 2 2" xfId="16297"/>
    <cellStyle name="Normal 2 7 3 2 2 2 2" xfId="28098"/>
    <cellStyle name="Normal 2 7 3 2 2 2 2 2" xfId="61054"/>
    <cellStyle name="Normal 2 7 3 2 2 2 3" xfId="41713"/>
    <cellStyle name="Normal 2 7 3 2 2 3" xfId="9913"/>
    <cellStyle name="Normal 2 7 3 2 2 3 2" xfId="48301"/>
    <cellStyle name="Normal 2 7 3 2 2 4" xfId="21714"/>
    <cellStyle name="Normal 2 7 3 2 2 4 2" xfId="61055"/>
    <cellStyle name="Normal 2 7 3 2 2 5" xfId="35329"/>
    <cellStyle name="Normal 2 7 3 2 3" xfId="16298"/>
    <cellStyle name="Normal 2 7 3 2 3 2" xfId="28099"/>
    <cellStyle name="Normal 2 7 3 2 3 2 2" xfId="48302"/>
    <cellStyle name="Normal 2 7 3 2 3 3" xfId="30772"/>
    <cellStyle name="Normal 2 7 3 2 3 3 2" xfId="48303"/>
    <cellStyle name="Normal 2 7 3 2 3 4" xfId="30773"/>
    <cellStyle name="Normal 2 7 3 2 3 4 2" xfId="61056"/>
    <cellStyle name="Normal 2 7 3 2 3 5" xfId="41714"/>
    <cellStyle name="Normal 2 7 3 2 4" xfId="16299"/>
    <cellStyle name="Normal 2 7 3 2 4 2" xfId="28100"/>
    <cellStyle name="Normal 2 7 3 2 4 2 2" xfId="61057"/>
    <cellStyle name="Normal 2 7 3 2 4 3" xfId="41715"/>
    <cellStyle name="Normal 2 7 3 2 5" xfId="7301"/>
    <cellStyle name="Normal 2 7 3 2 5 2" xfId="48304"/>
    <cellStyle name="Normal 2 7 3 2 6" xfId="19102"/>
    <cellStyle name="Normal 2 7 3 2 6 2" xfId="61058"/>
    <cellStyle name="Normal 2 7 3 2 7" xfId="32717"/>
    <cellStyle name="Normal 2 7 3 3" xfId="2619"/>
    <cellStyle name="Normal 2 7 3 3 2" xfId="16300"/>
    <cellStyle name="Normal 2 7 3 3 2 2" xfId="28101"/>
    <cellStyle name="Normal 2 7 3 3 2 2 2" xfId="61059"/>
    <cellStyle name="Normal 2 7 3 3 2 3" xfId="41716"/>
    <cellStyle name="Normal 2 7 3 3 3" xfId="8072"/>
    <cellStyle name="Normal 2 7 3 3 3 2" xfId="48305"/>
    <cellStyle name="Normal 2 7 3 3 4" xfId="19873"/>
    <cellStyle name="Normal 2 7 3 3 4 2" xfId="61060"/>
    <cellStyle name="Normal 2 7 3 3 5" xfId="33488"/>
    <cellStyle name="Normal 2 7 3 4" xfId="16301"/>
    <cellStyle name="Normal 2 7 3 4 2" xfId="28102"/>
    <cellStyle name="Normal 2 7 3 4 2 2" xfId="48306"/>
    <cellStyle name="Normal 2 7 3 4 3" xfId="30774"/>
    <cellStyle name="Normal 2 7 3 4 3 2" xfId="48307"/>
    <cellStyle name="Normal 2 7 3 4 4" xfId="30775"/>
    <cellStyle name="Normal 2 7 3 4 4 2" xfId="61061"/>
    <cellStyle name="Normal 2 7 3 4 5" xfId="41717"/>
    <cellStyle name="Normal 2 7 3 5" xfId="16302"/>
    <cellStyle name="Normal 2 7 3 5 2" xfId="28103"/>
    <cellStyle name="Normal 2 7 3 5 2 2" xfId="61062"/>
    <cellStyle name="Normal 2 7 3 5 3" xfId="41718"/>
    <cellStyle name="Normal 2 7 3 6" xfId="6172"/>
    <cellStyle name="Normal 2 7 3 6 2" xfId="48308"/>
    <cellStyle name="Normal 2 7 3 7" xfId="17973"/>
    <cellStyle name="Normal 2 7 3 7 2" xfId="61063"/>
    <cellStyle name="Normal 2 7 3 8" xfId="31588"/>
    <cellStyle name="Normal 2 7 4" xfId="1848"/>
    <cellStyle name="Normal 2 7 4 2" xfId="5028"/>
    <cellStyle name="Normal 2 7 4 2 2" xfId="16303"/>
    <cellStyle name="Normal 2 7 4 2 2 2" xfId="28104"/>
    <cellStyle name="Normal 2 7 4 2 2 2 2" xfId="61064"/>
    <cellStyle name="Normal 2 7 4 2 2 3" xfId="41719"/>
    <cellStyle name="Normal 2 7 4 2 3" xfId="10481"/>
    <cellStyle name="Normal 2 7 4 2 3 2" xfId="48309"/>
    <cellStyle name="Normal 2 7 4 2 4" xfId="22282"/>
    <cellStyle name="Normal 2 7 4 2 4 2" xfId="61065"/>
    <cellStyle name="Normal 2 7 4 2 5" xfId="35897"/>
    <cellStyle name="Normal 2 7 4 3" xfId="3187"/>
    <cellStyle name="Normal 2 7 4 3 2" xfId="16304"/>
    <cellStyle name="Normal 2 7 4 3 2 2" xfId="28105"/>
    <cellStyle name="Normal 2 7 4 3 2 2 2" xfId="61066"/>
    <cellStyle name="Normal 2 7 4 3 2 3" xfId="41720"/>
    <cellStyle name="Normal 2 7 4 3 3" xfId="8640"/>
    <cellStyle name="Normal 2 7 4 3 3 2" xfId="48310"/>
    <cellStyle name="Normal 2 7 4 3 4" xfId="20441"/>
    <cellStyle name="Normal 2 7 4 3 4 2" xfId="61067"/>
    <cellStyle name="Normal 2 7 4 3 5" xfId="34056"/>
    <cellStyle name="Normal 2 7 4 4" xfId="16305"/>
    <cellStyle name="Normal 2 7 4 4 2" xfId="28106"/>
    <cellStyle name="Normal 2 7 4 4 2 2" xfId="61068"/>
    <cellStyle name="Normal 2 7 4 4 3" xfId="41721"/>
    <cellStyle name="Normal 2 7 4 5" xfId="7302"/>
    <cellStyle name="Normal 2 7 4 5 2" xfId="48311"/>
    <cellStyle name="Normal 2 7 4 6" xfId="19103"/>
    <cellStyle name="Normal 2 7 4 6 2" xfId="61069"/>
    <cellStyle name="Normal 2 7 4 7" xfId="32718"/>
    <cellStyle name="Normal 2 7 5" xfId="3892"/>
    <cellStyle name="Normal 2 7 5 2" xfId="16306"/>
    <cellStyle name="Normal 2 7 5 2 2" xfId="28107"/>
    <cellStyle name="Normal 2 7 5 2 2 2" xfId="61070"/>
    <cellStyle name="Normal 2 7 5 2 3" xfId="41722"/>
    <cellStyle name="Normal 2 7 5 3" xfId="9345"/>
    <cellStyle name="Normal 2 7 5 3 2" xfId="48312"/>
    <cellStyle name="Normal 2 7 5 4" xfId="21146"/>
    <cellStyle name="Normal 2 7 5 4 2" xfId="61071"/>
    <cellStyle name="Normal 2 7 5 5" xfId="34761"/>
    <cellStyle name="Normal 2 7 6" xfId="2051"/>
    <cellStyle name="Normal 2 7 6 2" xfId="16307"/>
    <cellStyle name="Normal 2 7 6 2 2" xfId="28108"/>
    <cellStyle name="Normal 2 7 6 2 2 2" xfId="61072"/>
    <cellStyle name="Normal 2 7 6 2 3" xfId="41723"/>
    <cellStyle name="Normal 2 7 6 3" xfId="7504"/>
    <cellStyle name="Normal 2 7 6 3 2" xfId="48313"/>
    <cellStyle name="Normal 2 7 6 4" xfId="19305"/>
    <cellStyle name="Normal 2 7 6 4 2" xfId="61073"/>
    <cellStyle name="Normal 2 7 6 5" xfId="32920"/>
    <cellStyle name="Normal 2 7 7" xfId="16308"/>
    <cellStyle name="Normal 2 7 7 2" xfId="28109"/>
    <cellStyle name="Normal 2 7 7 2 2" xfId="61074"/>
    <cellStyle name="Normal 2 7 7 3" xfId="41724"/>
    <cellStyle name="Normal 2 7 8" xfId="5604"/>
    <cellStyle name="Normal 2 7 8 2" xfId="48314"/>
    <cellStyle name="Normal 2 7 9" xfId="17405"/>
    <cellStyle name="Normal 2 7 9 2" xfId="61075"/>
    <cellStyle name="Normal 2 8" xfId="439"/>
    <cellStyle name="Normal 2 8 2" xfId="1849"/>
    <cellStyle name="Normal 2 8 2 2" xfId="4749"/>
    <cellStyle name="Normal 2 8 2 2 2" xfId="16309"/>
    <cellStyle name="Normal 2 8 2 2 2 2" xfId="28110"/>
    <cellStyle name="Normal 2 8 2 2 2 2 2" xfId="61076"/>
    <cellStyle name="Normal 2 8 2 2 2 3" xfId="41725"/>
    <cellStyle name="Normal 2 8 2 2 3" xfId="10202"/>
    <cellStyle name="Normal 2 8 2 2 3 2" xfId="48315"/>
    <cellStyle name="Normal 2 8 2 2 4" xfId="22003"/>
    <cellStyle name="Normal 2 8 2 2 4 2" xfId="61077"/>
    <cellStyle name="Normal 2 8 2 2 5" xfId="35618"/>
    <cellStyle name="Normal 2 8 2 3" xfId="2908"/>
    <cellStyle name="Normal 2 8 2 3 2" xfId="16310"/>
    <cellStyle name="Normal 2 8 2 3 2 2" xfId="28111"/>
    <cellStyle name="Normal 2 8 2 3 2 2 2" xfId="61078"/>
    <cellStyle name="Normal 2 8 2 3 2 3" xfId="41726"/>
    <cellStyle name="Normal 2 8 2 3 3" xfId="8361"/>
    <cellStyle name="Normal 2 8 2 3 3 2" xfId="48316"/>
    <cellStyle name="Normal 2 8 2 3 4" xfId="20162"/>
    <cellStyle name="Normal 2 8 2 3 4 2" xfId="61079"/>
    <cellStyle name="Normal 2 8 2 3 5" xfId="33777"/>
    <cellStyle name="Normal 2 8 2 4" xfId="16311"/>
    <cellStyle name="Normal 2 8 2 4 2" xfId="28112"/>
    <cellStyle name="Normal 2 8 2 4 2 2" xfId="61080"/>
    <cellStyle name="Normal 2 8 2 4 3" xfId="41727"/>
    <cellStyle name="Normal 2 8 2 5" xfId="7303"/>
    <cellStyle name="Normal 2 8 2 5 2" xfId="48317"/>
    <cellStyle name="Normal 2 8 2 6" xfId="19104"/>
    <cellStyle name="Normal 2 8 2 6 2" xfId="61081"/>
    <cellStyle name="Normal 2 8 2 7" xfId="32719"/>
    <cellStyle name="Normal 2 8 3" xfId="3476"/>
    <cellStyle name="Normal 2 8 3 2" xfId="5317"/>
    <cellStyle name="Normal 2 8 3 2 2" xfId="16787"/>
    <cellStyle name="Normal 2 8 3 2 2 2" xfId="28588"/>
    <cellStyle name="Normal 2 8 3 2 2 2 2" xfId="61082"/>
    <cellStyle name="Normal 2 8 3 2 2 3" xfId="42203"/>
    <cellStyle name="Normal 2 8 3 2 3" xfId="10770"/>
    <cellStyle name="Normal 2 8 3 2 3 2" xfId="61083"/>
    <cellStyle name="Normal 2 8 3 2 4" xfId="22571"/>
    <cellStyle name="Normal 2 8 3 2 4 2" xfId="61084"/>
    <cellStyle name="Normal 2 8 3 2 5" xfId="36186"/>
    <cellStyle name="Normal 2 8 3 3" xfId="16312"/>
    <cellStyle name="Normal 2 8 3 3 2" xfId="28113"/>
    <cellStyle name="Normal 2 8 3 3 2 2" xfId="61085"/>
    <cellStyle name="Normal 2 8 3 3 3" xfId="41728"/>
    <cellStyle name="Normal 2 8 3 4" xfId="8929"/>
    <cellStyle name="Normal 2 8 3 4 2" xfId="61086"/>
    <cellStyle name="Normal 2 8 3 5" xfId="20730"/>
    <cellStyle name="Normal 2 8 3 5 2" xfId="61087"/>
    <cellStyle name="Normal 2 8 3 6" xfId="34345"/>
    <cellStyle name="Normal 2 8 4" xfId="4181"/>
    <cellStyle name="Normal 2 8 4 2" xfId="16313"/>
    <cellStyle name="Normal 2 8 4 2 2" xfId="28114"/>
    <cellStyle name="Normal 2 8 4 2 2 2" xfId="61088"/>
    <cellStyle name="Normal 2 8 4 2 3" xfId="41729"/>
    <cellStyle name="Normal 2 8 4 3" xfId="9634"/>
    <cellStyle name="Normal 2 8 4 3 2" xfId="48318"/>
    <cellStyle name="Normal 2 8 4 4" xfId="21435"/>
    <cellStyle name="Normal 2 8 4 4 2" xfId="61089"/>
    <cellStyle name="Normal 2 8 4 5" xfId="35050"/>
    <cellStyle name="Normal 2 8 5" xfId="2340"/>
    <cellStyle name="Normal 2 8 5 2" xfId="17237"/>
    <cellStyle name="Normal 2 8 5 2 2" xfId="29038"/>
    <cellStyle name="Normal 2 8 5 2 2 2" xfId="61090"/>
    <cellStyle name="Normal 2 8 5 2 3" xfId="42653"/>
    <cellStyle name="Normal 2 8 5 3" xfId="7793"/>
    <cellStyle name="Normal 2 8 5 3 2" xfId="61091"/>
    <cellStyle name="Normal 2 8 5 4" xfId="19594"/>
    <cellStyle name="Normal 2 8 5 4 2" xfId="61092"/>
    <cellStyle name="Normal 2 8 5 5" xfId="33209"/>
    <cellStyle name="Normal 2 8 6" xfId="16314"/>
    <cellStyle name="Normal 2 8 6 2" xfId="28115"/>
    <cellStyle name="Normal 2 8 6 2 2" xfId="61093"/>
    <cellStyle name="Normal 2 8 6 3" xfId="41730"/>
    <cellStyle name="Normal 2 8 7" xfId="5893"/>
    <cellStyle name="Normal 2 8 7 2" xfId="61094"/>
    <cellStyle name="Normal 2 8 8" xfId="17694"/>
    <cellStyle name="Normal 2 8 8 2" xfId="61095"/>
    <cellStyle name="Normal 2 8 9" xfId="31309"/>
    <cellStyle name="Normal 2 9" xfId="253"/>
    <cellStyle name="Normal 2 9 2" xfId="1850"/>
    <cellStyle name="Normal 2 9 2 2" xfId="4563"/>
    <cellStyle name="Normal 2 9 2 2 2" xfId="16315"/>
    <cellStyle name="Normal 2 9 2 2 2 2" xfId="28116"/>
    <cellStyle name="Normal 2 9 2 2 2 2 2" xfId="61096"/>
    <cellStyle name="Normal 2 9 2 2 2 3" xfId="41731"/>
    <cellStyle name="Normal 2 9 2 2 3" xfId="10016"/>
    <cellStyle name="Normal 2 9 2 2 3 2" xfId="48319"/>
    <cellStyle name="Normal 2 9 2 2 4" xfId="21817"/>
    <cellStyle name="Normal 2 9 2 2 4 2" xfId="61097"/>
    <cellStyle name="Normal 2 9 2 2 5" xfId="35432"/>
    <cellStyle name="Normal 2 9 2 3" xfId="2722"/>
    <cellStyle name="Normal 2 9 2 3 2" xfId="16316"/>
    <cellStyle name="Normal 2 9 2 3 2 2" xfId="28117"/>
    <cellStyle name="Normal 2 9 2 3 2 2 2" xfId="61098"/>
    <cellStyle name="Normal 2 9 2 3 2 3" xfId="41732"/>
    <cellStyle name="Normal 2 9 2 3 3" xfId="8175"/>
    <cellStyle name="Normal 2 9 2 3 3 2" xfId="48320"/>
    <cellStyle name="Normal 2 9 2 3 4" xfId="19976"/>
    <cellStyle name="Normal 2 9 2 3 4 2" xfId="61099"/>
    <cellStyle name="Normal 2 9 2 3 5" xfId="33591"/>
    <cellStyle name="Normal 2 9 2 4" xfId="16317"/>
    <cellStyle name="Normal 2 9 2 4 2" xfId="28118"/>
    <cellStyle name="Normal 2 9 2 4 2 2" xfId="61100"/>
    <cellStyle name="Normal 2 9 2 4 3" xfId="41733"/>
    <cellStyle name="Normal 2 9 2 5" xfId="7304"/>
    <cellStyle name="Normal 2 9 2 5 2" xfId="48321"/>
    <cellStyle name="Normal 2 9 2 6" xfId="19105"/>
    <cellStyle name="Normal 2 9 2 6 2" xfId="61101"/>
    <cellStyle name="Normal 2 9 2 7" xfId="32720"/>
    <cellStyle name="Normal 2 9 3" xfId="3290"/>
    <cellStyle name="Normal 2 9 3 2" xfId="5131"/>
    <cellStyle name="Normal 2 9 3 2 2" xfId="16601"/>
    <cellStyle name="Normal 2 9 3 2 2 2" xfId="28402"/>
    <cellStyle name="Normal 2 9 3 2 2 2 2" xfId="61102"/>
    <cellStyle name="Normal 2 9 3 2 2 3" xfId="42017"/>
    <cellStyle name="Normal 2 9 3 2 3" xfId="10584"/>
    <cellStyle name="Normal 2 9 3 2 3 2" xfId="61103"/>
    <cellStyle name="Normal 2 9 3 2 4" xfId="22385"/>
    <cellStyle name="Normal 2 9 3 2 4 2" xfId="61104"/>
    <cellStyle name="Normal 2 9 3 2 5" xfId="36000"/>
    <cellStyle name="Normal 2 9 3 3" xfId="16318"/>
    <cellStyle name="Normal 2 9 3 3 2" xfId="28119"/>
    <cellStyle name="Normal 2 9 3 3 2 2" xfId="61105"/>
    <cellStyle name="Normal 2 9 3 3 3" xfId="41734"/>
    <cellStyle name="Normal 2 9 3 4" xfId="8743"/>
    <cellStyle name="Normal 2 9 3 4 2" xfId="61106"/>
    <cellStyle name="Normal 2 9 3 5" xfId="20544"/>
    <cellStyle name="Normal 2 9 3 5 2" xfId="61107"/>
    <cellStyle name="Normal 2 9 3 6" xfId="34159"/>
    <cellStyle name="Normal 2 9 4" xfId="3995"/>
    <cellStyle name="Normal 2 9 4 2" xfId="16319"/>
    <cellStyle name="Normal 2 9 4 2 2" xfId="28120"/>
    <cellStyle name="Normal 2 9 4 2 2 2" xfId="61108"/>
    <cellStyle name="Normal 2 9 4 2 3" xfId="41735"/>
    <cellStyle name="Normal 2 9 4 3" xfId="9448"/>
    <cellStyle name="Normal 2 9 4 3 2" xfId="48322"/>
    <cellStyle name="Normal 2 9 4 4" xfId="21249"/>
    <cellStyle name="Normal 2 9 4 4 2" xfId="61109"/>
    <cellStyle name="Normal 2 9 4 5" xfId="34864"/>
    <cellStyle name="Normal 2 9 5" xfId="2154"/>
    <cellStyle name="Normal 2 9 5 2" xfId="17238"/>
    <cellStyle name="Normal 2 9 5 2 2" xfId="29039"/>
    <cellStyle name="Normal 2 9 5 2 2 2" xfId="61110"/>
    <cellStyle name="Normal 2 9 5 2 3" xfId="42654"/>
    <cellStyle name="Normal 2 9 5 3" xfId="7607"/>
    <cellStyle name="Normal 2 9 5 3 2" xfId="61111"/>
    <cellStyle name="Normal 2 9 5 4" xfId="19408"/>
    <cellStyle name="Normal 2 9 5 4 2" xfId="61112"/>
    <cellStyle name="Normal 2 9 5 5" xfId="33023"/>
    <cellStyle name="Normal 2 9 6" xfId="16320"/>
    <cellStyle name="Normal 2 9 6 2" xfId="28121"/>
    <cellStyle name="Normal 2 9 6 2 2" xfId="61113"/>
    <cellStyle name="Normal 2 9 6 3" xfId="41736"/>
    <cellStyle name="Normal 2 9 7" xfId="5707"/>
    <cellStyle name="Normal 2 9 7 2" xfId="61114"/>
    <cellStyle name="Normal 2 9 8" xfId="17508"/>
    <cellStyle name="Normal 2 9 8 2" xfId="61115"/>
    <cellStyle name="Normal 2 9 9" xfId="31123"/>
    <cellStyle name="Normal 3" xfId="3"/>
    <cellStyle name="Normal 3 2" xfId="61804"/>
    <cellStyle name="Normal 3 2 2" xfId="61805"/>
    <cellStyle name="Normal 3 3" xfId="61806"/>
    <cellStyle name="Normal 3 3 2" xfId="61807"/>
    <cellStyle name="Normal 3 3 2 2" xfId="61808"/>
    <cellStyle name="Normal 3 3 2 3" xfId="61809"/>
    <cellStyle name="Normal 3 3 2 4" xfId="61810"/>
    <cellStyle name="Normal 3 3 3" xfId="61811"/>
    <cellStyle name="Normal 3 4" xfId="61812"/>
    <cellStyle name="Normal 3 4 2" xfId="61813"/>
    <cellStyle name="Normal 3 4 3" xfId="61814"/>
    <cellStyle name="Normal 3 4 4" xfId="61815"/>
    <cellStyle name="Normal 3 5" xfId="61816"/>
    <cellStyle name="Normal 3 6" xfId="61817"/>
    <cellStyle name="Normal 3 7" xfId="61818"/>
    <cellStyle name="Normal 3 8" xfId="61799"/>
    <cellStyle name="Normal 4" xfId="38"/>
    <cellStyle name="Normal 4 10" xfId="1851"/>
    <cellStyle name="Normal 4 10 2" xfId="3780"/>
    <cellStyle name="Normal 4 10 2 2" xfId="16321"/>
    <cellStyle name="Normal 4 10 2 2 2" xfId="28122"/>
    <cellStyle name="Normal 4 10 2 2 2 2" xfId="61116"/>
    <cellStyle name="Normal 4 10 2 2 3" xfId="41737"/>
    <cellStyle name="Normal 4 10 2 3" xfId="9233"/>
    <cellStyle name="Normal 4 10 2 3 2" xfId="48323"/>
    <cellStyle name="Normal 4 10 2 4" xfId="21034"/>
    <cellStyle name="Normal 4 10 2 4 2" xfId="61117"/>
    <cellStyle name="Normal 4 10 2 5" xfId="34649"/>
    <cellStyle name="Normal 4 10 3" xfId="16322"/>
    <cellStyle name="Normal 4 10 3 2" xfId="28123"/>
    <cellStyle name="Normal 4 10 3 2 2" xfId="48324"/>
    <cellStyle name="Normal 4 10 3 3" xfId="30776"/>
    <cellStyle name="Normal 4 10 3 3 2" xfId="48325"/>
    <cellStyle name="Normal 4 10 3 4" xfId="30777"/>
    <cellStyle name="Normal 4 10 3 4 2" xfId="61118"/>
    <cellStyle name="Normal 4 10 3 5" xfId="41738"/>
    <cellStyle name="Normal 4 10 4" xfId="16323"/>
    <cellStyle name="Normal 4 10 4 2" xfId="28124"/>
    <cellStyle name="Normal 4 10 4 2 2" xfId="61119"/>
    <cellStyle name="Normal 4 10 4 3" xfId="41739"/>
    <cellStyle name="Normal 4 10 5" xfId="7305"/>
    <cellStyle name="Normal 4 10 5 2" xfId="48326"/>
    <cellStyle name="Normal 4 10 6" xfId="19106"/>
    <cellStyle name="Normal 4 10 6 2" xfId="61120"/>
    <cellStyle name="Normal 4 10 7" xfId="32721"/>
    <cellStyle name="Normal 4 11" xfId="3643"/>
    <cellStyle name="Normal 4 11 2" xfId="16324"/>
    <cellStyle name="Normal 4 11 2 2" xfId="28125"/>
    <cellStyle name="Normal 4 11 2 2 2" xfId="61121"/>
    <cellStyle name="Normal 4 11 2 3" xfId="41740"/>
    <cellStyle name="Normal 4 11 3" xfId="9096"/>
    <cellStyle name="Normal 4 11 3 2" xfId="48327"/>
    <cellStyle name="Normal 4 11 4" xfId="20897"/>
    <cellStyle name="Normal 4 11 4 2" xfId="61122"/>
    <cellStyle name="Normal 4 11 5" xfId="34512"/>
    <cellStyle name="Normal 4 12" xfId="1939"/>
    <cellStyle name="Normal 4 12 2" xfId="16325"/>
    <cellStyle name="Normal 4 12 2 2" xfId="28126"/>
    <cellStyle name="Normal 4 12 2 2 2" xfId="61123"/>
    <cellStyle name="Normal 4 12 2 3" xfId="41741"/>
    <cellStyle name="Normal 4 12 3" xfId="7392"/>
    <cellStyle name="Normal 4 12 3 2" xfId="48328"/>
    <cellStyle name="Normal 4 12 4" xfId="19193"/>
    <cellStyle name="Normal 4 12 4 2" xfId="61124"/>
    <cellStyle name="Normal 4 12 5" xfId="32808"/>
    <cellStyle name="Normal 4 13" xfId="16326"/>
    <cellStyle name="Normal 4 13 2" xfId="28127"/>
    <cellStyle name="Normal 4 13 2 2" xfId="61125"/>
    <cellStyle name="Normal 4 13 3" xfId="41742"/>
    <cellStyle name="Normal 4 14" xfId="5492"/>
    <cellStyle name="Normal 4 14 2" xfId="48329"/>
    <cellStyle name="Normal 4 15" xfId="17293"/>
    <cellStyle name="Normal 4 15 2" xfId="61126"/>
    <cellStyle name="Normal 4 16" xfId="30908"/>
    <cellStyle name="Normal 4 17" xfId="61819"/>
    <cellStyle name="Normal 4 2" xfId="39"/>
    <cellStyle name="Normal 4 2 10" xfId="1940"/>
    <cellStyle name="Normal 4 2 10 2" xfId="16327"/>
    <cellStyle name="Normal 4 2 10 2 2" xfId="28128"/>
    <cellStyle name="Normal 4 2 10 2 2 2" xfId="61127"/>
    <cellStyle name="Normal 4 2 10 2 3" xfId="41743"/>
    <cellStyle name="Normal 4 2 10 3" xfId="7393"/>
    <cellStyle name="Normal 4 2 10 3 2" xfId="48330"/>
    <cellStyle name="Normal 4 2 10 4" xfId="19194"/>
    <cellStyle name="Normal 4 2 10 4 2" xfId="61128"/>
    <cellStyle name="Normal 4 2 10 5" xfId="32809"/>
    <cellStyle name="Normal 4 2 11" xfId="16328"/>
    <cellStyle name="Normal 4 2 11 2" xfId="28129"/>
    <cellStyle name="Normal 4 2 11 2 2" xfId="61129"/>
    <cellStyle name="Normal 4 2 11 3" xfId="41744"/>
    <cellStyle name="Normal 4 2 12" xfId="5493"/>
    <cellStyle name="Normal 4 2 12 2" xfId="48331"/>
    <cellStyle name="Normal 4 2 13" xfId="17294"/>
    <cellStyle name="Normal 4 2 13 2" xfId="61130"/>
    <cellStyle name="Normal 4 2 14" xfId="30909"/>
    <cellStyle name="Normal 4 2 15" xfId="61820"/>
    <cellStyle name="Normal 4 2 2" xfId="106"/>
    <cellStyle name="Normal 4 2 2 10" xfId="5560"/>
    <cellStyle name="Normal 4 2 2 10 2" xfId="48332"/>
    <cellStyle name="Normal 4 2 2 11" xfId="17361"/>
    <cellStyle name="Normal 4 2 2 11 2" xfId="61131"/>
    <cellStyle name="Normal 4 2 2 12" xfId="30976"/>
    <cellStyle name="Normal 4 2 2 2" xfId="238"/>
    <cellStyle name="Normal 4 2 2 2 10" xfId="31108"/>
    <cellStyle name="Normal 4 2 2 2 2" xfId="533"/>
    <cellStyle name="Normal 4 2 2 2 2 2" xfId="1852"/>
    <cellStyle name="Normal 4 2 2 2 2 2 2" xfId="4843"/>
    <cellStyle name="Normal 4 2 2 2 2 2 2 2" xfId="16329"/>
    <cellStyle name="Normal 4 2 2 2 2 2 2 2 2" xfId="28130"/>
    <cellStyle name="Normal 4 2 2 2 2 2 2 2 2 2" xfId="61132"/>
    <cellStyle name="Normal 4 2 2 2 2 2 2 2 3" xfId="41745"/>
    <cellStyle name="Normal 4 2 2 2 2 2 2 3" xfId="10296"/>
    <cellStyle name="Normal 4 2 2 2 2 2 2 3 2" xfId="48333"/>
    <cellStyle name="Normal 4 2 2 2 2 2 2 4" xfId="22097"/>
    <cellStyle name="Normal 4 2 2 2 2 2 2 4 2" xfId="61133"/>
    <cellStyle name="Normal 4 2 2 2 2 2 2 5" xfId="35712"/>
    <cellStyle name="Normal 4 2 2 2 2 2 3" xfId="3002"/>
    <cellStyle name="Normal 4 2 2 2 2 2 3 2" xfId="16330"/>
    <cellStyle name="Normal 4 2 2 2 2 2 3 2 2" xfId="28131"/>
    <cellStyle name="Normal 4 2 2 2 2 2 3 2 2 2" xfId="61134"/>
    <cellStyle name="Normal 4 2 2 2 2 2 3 2 3" xfId="41746"/>
    <cellStyle name="Normal 4 2 2 2 2 2 3 3" xfId="8455"/>
    <cellStyle name="Normal 4 2 2 2 2 2 3 3 2" xfId="48334"/>
    <cellStyle name="Normal 4 2 2 2 2 2 3 4" xfId="20256"/>
    <cellStyle name="Normal 4 2 2 2 2 2 3 4 2" xfId="61135"/>
    <cellStyle name="Normal 4 2 2 2 2 2 3 5" xfId="33871"/>
    <cellStyle name="Normal 4 2 2 2 2 2 4" xfId="16331"/>
    <cellStyle name="Normal 4 2 2 2 2 2 4 2" xfId="28132"/>
    <cellStyle name="Normal 4 2 2 2 2 2 4 2 2" xfId="61136"/>
    <cellStyle name="Normal 4 2 2 2 2 2 4 3" xfId="41747"/>
    <cellStyle name="Normal 4 2 2 2 2 2 5" xfId="7306"/>
    <cellStyle name="Normal 4 2 2 2 2 2 5 2" xfId="48335"/>
    <cellStyle name="Normal 4 2 2 2 2 2 6" xfId="19107"/>
    <cellStyle name="Normal 4 2 2 2 2 2 6 2" xfId="61137"/>
    <cellStyle name="Normal 4 2 2 2 2 2 7" xfId="32722"/>
    <cellStyle name="Normal 4 2 2 2 2 3" xfId="3570"/>
    <cellStyle name="Normal 4 2 2 2 2 3 2" xfId="5411"/>
    <cellStyle name="Normal 4 2 2 2 2 3 2 2" xfId="16881"/>
    <cellStyle name="Normal 4 2 2 2 2 3 2 2 2" xfId="28682"/>
    <cellStyle name="Normal 4 2 2 2 2 3 2 2 2 2" xfId="61138"/>
    <cellStyle name="Normal 4 2 2 2 2 3 2 2 3" xfId="42297"/>
    <cellStyle name="Normal 4 2 2 2 2 3 2 3" xfId="10864"/>
    <cellStyle name="Normal 4 2 2 2 2 3 2 3 2" xfId="61139"/>
    <cellStyle name="Normal 4 2 2 2 2 3 2 4" xfId="22665"/>
    <cellStyle name="Normal 4 2 2 2 2 3 2 4 2" xfId="61140"/>
    <cellStyle name="Normal 4 2 2 2 2 3 2 5" xfId="36280"/>
    <cellStyle name="Normal 4 2 2 2 2 3 3" xfId="16332"/>
    <cellStyle name="Normal 4 2 2 2 2 3 3 2" xfId="28133"/>
    <cellStyle name="Normal 4 2 2 2 2 3 3 2 2" xfId="61141"/>
    <cellStyle name="Normal 4 2 2 2 2 3 3 3" xfId="41748"/>
    <cellStyle name="Normal 4 2 2 2 2 3 4" xfId="9023"/>
    <cellStyle name="Normal 4 2 2 2 2 3 4 2" xfId="61142"/>
    <cellStyle name="Normal 4 2 2 2 2 3 5" xfId="20824"/>
    <cellStyle name="Normal 4 2 2 2 2 3 5 2" xfId="61143"/>
    <cellStyle name="Normal 4 2 2 2 2 3 6" xfId="34439"/>
    <cellStyle name="Normal 4 2 2 2 2 4" xfId="4275"/>
    <cellStyle name="Normal 4 2 2 2 2 4 2" xfId="16333"/>
    <cellStyle name="Normal 4 2 2 2 2 4 2 2" xfId="28134"/>
    <cellStyle name="Normal 4 2 2 2 2 4 2 2 2" xfId="61144"/>
    <cellStyle name="Normal 4 2 2 2 2 4 2 3" xfId="41749"/>
    <cellStyle name="Normal 4 2 2 2 2 4 3" xfId="9728"/>
    <cellStyle name="Normal 4 2 2 2 2 4 3 2" xfId="48336"/>
    <cellStyle name="Normal 4 2 2 2 2 4 4" xfId="21529"/>
    <cellStyle name="Normal 4 2 2 2 2 4 4 2" xfId="61145"/>
    <cellStyle name="Normal 4 2 2 2 2 4 5" xfId="35144"/>
    <cellStyle name="Normal 4 2 2 2 2 5" xfId="2434"/>
    <cellStyle name="Normal 4 2 2 2 2 5 2" xfId="17239"/>
    <cellStyle name="Normal 4 2 2 2 2 5 2 2" xfId="29040"/>
    <cellStyle name="Normal 4 2 2 2 2 5 2 2 2" xfId="61146"/>
    <cellStyle name="Normal 4 2 2 2 2 5 2 3" xfId="42655"/>
    <cellStyle name="Normal 4 2 2 2 2 5 3" xfId="7887"/>
    <cellStyle name="Normal 4 2 2 2 2 5 3 2" xfId="61147"/>
    <cellStyle name="Normal 4 2 2 2 2 5 4" xfId="19688"/>
    <cellStyle name="Normal 4 2 2 2 2 5 4 2" xfId="61148"/>
    <cellStyle name="Normal 4 2 2 2 2 5 5" xfId="33303"/>
    <cellStyle name="Normal 4 2 2 2 2 6" xfId="16334"/>
    <cellStyle name="Normal 4 2 2 2 2 6 2" xfId="28135"/>
    <cellStyle name="Normal 4 2 2 2 2 6 2 2" xfId="61149"/>
    <cellStyle name="Normal 4 2 2 2 2 6 3" xfId="41750"/>
    <cellStyle name="Normal 4 2 2 2 2 7" xfId="5987"/>
    <cellStyle name="Normal 4 2 2 2 2 7 2" xfId="61150"/>
    <cellStyle name="Normal 4 2 2 2 2 8" xfId="17788"/>
    <cellStyle name="Normal 4 2 2 2 2 8 2" xfId="61151"/>
    <cellStyle name="Normal 4 2 2 2 2 9" xfId="31403"/>
    <cellStyle name="Normal 4 2 2 2 3" xfId="806"/>
    <cellStyle name="Normal 4 2 2 2 3 2" xfId="1853"/>
    <cellStyle name="Normal 4 2 2 2 3 2 2" xfId="4548"/>
    <cellStyle name="Normal 4 2 2 2 3 2 2 2" xfId="16335"/>
    <cellStyle name="Normal 4 2 2 2 3 2 2 2 2" xfId="28136"/>
    <cellStyle name="Normal 4 2 2 2 3 2 2 2 2 2" xfId="61152"/>
    <cellStyle name="Normal 4 2 2 2 3 2 2 2 3" xfId="41751"/>
    <cellStyle name="Normal 4 2 2 2 3 2 2 3" xfId="10001"/>
    <cellStyle name="Normal 4 2 2 2 3 2 2 3 2" xfId="48337"/>
    <cellStyle name="Normal 4 2 2 2 3 2 2 4" xfId="21802"/>
    <cellStyle name="Normal 4 2 2 2 3 2 2 4 2" xfId="61153"/>
    <cellStyle name="Normal 4 2 2 2 3 2 2 5" xfId="35417"/>
    <cellStyle name="Normal 4 2 2 2 3 2 3" xfId="16336"/>
    <cellStyle name="Normal 4 2 2 2 3 2 3 2" xfId="28137"/>
    <cellStyle name="Normal 4 2 2 2 3 2 3 2 2" xfId="48338"/>
    <cellStyle name="Normal 4 2 2 2 3 2 3 3" xfId="30778"/>
    <cellStyle name="Normal 4 2 2 2 3 2 3 3 2" xfId="48339"/>
    <cellStyle name="Normal 4 2 2 2 3 2 3 4" xfId="30779"/>
    <cellStyle name="Normal 4 2 2 2 3 2 3 4 2" xfId="61154"/>
    <cellStyle name="Normal 4 2 2 2 3 2 3 5" xfId="41752"/>
    <cellStyle name="Normal 4 2 2 2 3 2 4" xfId="16337"/>
    <cellStyle name="Normal 4 2 2 2 3 2 4 2" xfId="28138"/>
    <cellStyle name="Normal 4 2 2 2 3 2 4 2 2" xfId="61155"/>
    <cellStyle name="Normal 4 2 2 2 3 2 4 3" xfId="41753"/>
    <cellStyle name="Normal 4 2 2 2 3 2 5" xfId="7307"/>
    <cellStyle name="Normal 4 2 2 2 3 2 5 2" xfId="48340"/>
    <cellStyle name="Normal 4 2 2 2 3 2 6" xfId="19108"/>
    <cellStyle name="Normal 4 2 2 2 3 2 6 2" xfId="61156"/>
    <cellStyle name="Normal 4 2 2 2 3 2 7" xfId="32723"/>
    <cellStyle name="Normal 4 2 2 2 3 3" xfId="2707"/>
    <cellStyle name="Normal 4 2 2 2 3 3 2" xfId="16338"/>
    <cellStyle name="Normal 4 2 2 2 3 3 2 2" xfId="28139"/>
    <cellStyle name="Normal 4 2 2 2 3 3 2 2 2" xfId="61157"/>
    <cellStyle name="Normal 4 2 2 2 3 3 2 3" xfId="41754"/>
    <cellStyle name="Normal 4 2 2 2 3 3 3" xfId="8160"/>
    <cellStyle name="Normal 4 2 2 2 3 3 3 2" xfId="48341"/>
    <cellStyle name="Normal 4 2 2 2 3 3 4" xfId="19961"/>
    <cellStyle name="Normal 4 2 2 2 3 3 4 2" xfId="61158"/>
    <cellStyle name="Normal 4 2 2 2 3 3 5" xfId="33576"/>
    <cellStyle name="Normal 4 2 2 2 3 4" xfId="16339"/>
    <cellStyle name="Normal 4 2 2 2 3 4 2" xfId="28140"/>
    <cellStyle name="Normal 4 2 2 2 3 4 2 2" xfId="48342"/>
    <cellStyle name="Normal 4 2 2 2 3 4 3" xfId="30780"/>
    <cellStyle name="Normal 4 2 2 2 3 4 3 2" xfId="48343"/>
    <cellStyle name="Normal 4 2 2 2 3 4 4" xfId="30781"/>
    <cellStyle name="Normal 4 2 2 2 3 4 4 2" xfId="61159"/>
    <cellStyle name="Normal 4 2 2 2 3 4 5" xfId="41755"/>
    <cellStyle name="Normal 4 2 2 2 3 5" xfId="16340"/>
    <cellStyle name="Normal 4 2 2 2 3 5 2" xfId="28141"/>
    <cellStyle name="Normal 4 2 2 2 3 5 2 2" xfId="61160"/>
    <cellStyle name="Normal 4 2 2 2 3 5 3" xfId="41756"/>
    <cellStyle name="Normal 4 2 2 2 3 6" xfId="6260"/>
    <cellStyle name="Normal 4 2 2 2 3 6 2" xfId="48344"/>
    <cellStyle name="Normal 4 2 2 2 3 7" xfId="18061"/>
    <cellStyle name="Normal 4 2 2 2 3 7 2" xfId="61161"/>
    <cellStyle name="Normal 4 2 2 2 3 8" xfId="31676"/>
    <cellStyle name="Normal 4 2 2 2 4" xfId="1854"/>
    <cellStyle name="Normal 4 2 2 2 4 2" xfId="5116"/>
    <cellStyle name="Normal 4 2 2 2 4 2 2" xfId="16341"/>
    <cellStyle name="Normal 4 2 2 2 4 2 2 2" xfId="28142"/>
    <cellStyle name="Normal 4 2 2 2 4 2 2 2 2" xfId="61162"/>
    <cellStyle name="Normal 4 2 2 2 4 2 2 3" xfId="41757"/>
    <cellStyle name="Normal 4 2 2 2 4 2 3" xfId="10569"/>
    <cellStyle name="Normal 4 2 2 2 4 2 3 2" xfId="48345"/>
    <cellStyle name="Normal 4 2 2 2 4 2 4" xfId="22370"/>
    <cellStyle name="Normal 4 2 2 2 4 2 4 2" xfId="61163"/>
    <cellStyle name="Normal 4 2 2 2 4 2 5" xfId="35985"/>
    <cellStyle name="Normal 4 2 2 2 4 3" xfId="3275"/>
    <cellStyle name="Normal 4 2 2 2 4 3 2" xfId="16342"/>
    <cellStyle name="Normal 4 2 2 2 4 3 2 2" xfId="28143"/>
    <cellStyle name="Normal 4 2 2 2 4 3 2 2 2" xfId="61164"/>
    <cellStyle name="Normal 4 2 2 2 4 3 2 3" xfId="41758"/>
    <cellStyle name="Normal 4 2 2 2 4 3 3" xfId="8728"/>
    <cellStyle name="Normal 4 2 2 2 4 3 3 2" xfId="48346"/>
    <cellStyle name="Normal 4 2 2 2 4 3 4" xfId="20529"/>
    <cellStyle name="Normal 4 2 2 2 4 3 4 2" xfId="61165"/>
    <cellStyle name="Normal 4 2 2 2 4 3 5" xfId="34144"/>
    <cellStyle name="Normal 4 2 2 2 4 4" xfId="16343"/>
    <cellStyle name="Normal 4 2 2 2 4 4 2" xfId="28144"/>
    <cellStyle name="Normal 4 2 2 2 4 4 2 2" xfId="61166"/>
    <cellStyle name="Normal 4 2 2 2 4 4 3" xfId="41759"/>
    <cellStyle name="Normal 4 2 2 2 4 5" xfId="7308"/>
    <cellStyle name="Normal 4 2 2 2 4 5 2" xfId="48347"/>
    <cellStyle name="Normal 4 2 2 2 4 6" xfId="19109"/>
    <cellStyle name="Normal 4 2 2 2 4 6 2" xfId="61167"/>
    <cellStyle name="Normal 4 2 2 2 4 7" xfId="32724"/>
    <cellStyle name="Normal 4 2 2 2 5" xfId="3980"/>
    <cellStyle name="Normal 4 2 2 2 5 2" xfId="16344"/>
    <cellStyle name="Normal 4 2 2 2 5 2 2" xfId="28145"/>
    <cellStyle name="Normal 4 2 2 2 5 2 2 2" xfId="61168"/>
    <cellStyle name="Normal 4 2 2 2 5 2 3" xfId="41760"/>
    <cellStyle name="Normal 4 2 2 2 5 3" xfId="9433"/>
    <cellStyle name="Normal 4 2 2 2 5 3 2" xfId="48348"/>
    <cellStyle name="Normal 4 2 2 2 5 4" xfId="21234"/>
    <cellStyle name="Normal 4 2 2 2 5 4 2" xfId="61169"/>
    <cellStyle name="Normal 4 2 2 2 5 5" xfId="34849"/>
    <cellStyle name="Normal 4 2 2 2 6" xfId="2139"/>
    <cellStyle name="Normal 4 2 2 2 6 2" xfId="16345"/>
    <cellStyle name="Normal 4 2 2 2 6 2 2" xfId="28146"/>
    <cellStyle name="Normal 4 2 2 2 6 2 2 2" xfId="61170"/>
    <cellStyle name="Normal 4 2 2 2 6 2 3" xfId="41761"/>
    <cellStyle name="Normal 4 2 2 2 6 3" xfId="7592"/>
    <cellStyle name="Normal 4 2 2 2 6 3 2" xfId="48349"/>
    <cellStyle name="Normal 4 2 2 2 6 4" xfId="19393"/>
    <cellStyle name="Normal 4 2 2 2 6 4 2" xfId="61171"/>
    <cellStyle name="Normal 4 2 2 2 6 5" xfId="33008"/>
    <cellStyle name="Normal 4 2 2 2 7" xfId="16346"/>
    <cellStyle name="Normal 4 2 2 2 7 2" xfId="28147"/>
    <cellStyle name="Normal 4 2 2 2 7 2 2" xfId="61172"/>
    <cellStyle name="Normal 4 2 2 2 7 3" xfId="41762"/>
    <cellStyle name="Normal 4 2 2 2 8" xfId="5692"/>
    <cellStyle name="Normal 4 2 2 2 8 2" xfId="48350"/>
    <cellStyle name="Normal 4 2 2 2 9" xfId="17493"/>
    <cellStyle name="Normal 4 2 2 2 9 2" xfId="61173"/>
    <cellStyle name="Normal 4 2 2 3" xfId="396"/>
    <cellStyle name="Normal 4 2 2 3 2" xfId="1855"/>
    <cellStyle name="Normal 4 2 2 3 2 2" xfId="4706"/>
    <cellStyle name="Normal 4 2 2 3 2 2 2" xfId="16347"/>
    <cellStyle name="Normal 4 2 2 3 2 2 2 2" xfId="28148"/>
    <cellStyle name="Normal 4 2 2 3 2 2 2 2 2" xfId="61174"/>
    <cellStyle name="Normal 4 2 2 3 2 2 2 3" xfId="41763"/>
    <cellStyle name="Normal 4 2 2 3 2 2 3" xfId="10159"/>
    <cellStyle name="Normal 4 2 2 3 2 2 3 2" xfId="48351"/>
    <cellStyle name="Normal 4 2 2 3 2 2 4" xfId="21960"/>
    <cellStyle name="Normal 4 2 2 3 2 2 4 2" xfId="61175"/>
    <cellStyle name="Normal 4 2 2 3 2 2 5" xfId="35575"/>
    <cellStyle name="Normal 4 2 2 3 2 3" xfId="2865"/>
    <cellStyle name="Normal 4 2 2 3 2 3 2" xfId="16348"/>
    <cellStyle name="Normal 4 2 2 3 2 3 2 2" xfId="28149"/>
    <cellStyle name="Normal 4 2 2 3 2 3 2 2 2" xfId="61176"/>
    <cellStyle name="Normal 4 2 2 3 2 3 2 3" xfId="41764"/>
    <cellStyle name="Normal 4 2 2 3 2 3 3" xfId="8318"/>
    <cellStyle name="Normal 4 2 2 3 2 3 3 2" xfId="48352"/>
    <cellStyle name="Normal 4 2 2 3 2 3 4" xfId="20119"/>
    <cellStyle name="Normal 4 2 2 3 2 3 4 2" xfId="61177"/>
    <cellStyle name="Normal 4 2 2 3 2 3 5" xfId="33734"/>
    <cellStyle name="Normal 4 2 2 3 2 4" xfId="16349"/>
    <cellStyle name="Normal 4 2 2 3 2 4 2" xfId="28150"/>
    <cellStyle name="Normal 4 2 2 3 2 4 2 2" xfId="61178"/>
    <cellStyle name="Normal 4 2 2 3 2 4 3" xfId="41765"/>
    <cellStyle name="Normal 4 2 2 3 2 5" xfId="7309"/>
    <cellStyle name="Normal 4 2 2 3 2 5 2" xfId="48353"/>
    <cellStyle name="Normal 4 2 2 3 2 6" xfId="19110"/>
    <cellStyle name="Normal 4 2 2 3 2 6 2" xfId="61179"/>
    <cellStyle name="Normal 4 2 2 3 2 7" xfId="32725"/>
    <cellStyle name="Normal 4 2 2 3 3" xfId="3433"/>
    <cellStyle name="Normal 4 2 2 3 3 2" xfId="5274"/>
    <cellStyle name="Normal 4 2 2 3 3 2 2" xfId="16744"/>
    <cellStyle name="Normal 4 2 2 3 3 2 2 2" xfId="28545"/>
    <cellStyle name="Normal 4 2 2 3 3 2 2 2 2" xfId="61180"/>
    <cellStyle name="Normal 4 2 2 3 3 2 2 3" xfId="42160"/>
    <cellStyle name="Normal 4 2 2 3 3 2 3" xfId="10727"/>
    <cellStyle name="Normal 4 2 2 3 3 2 3 2" xfId="61181"/>
    <cellStyle name="Normal 4 2 2 3 3 2 4" xfId="22528"/>
    <cellStyle name="Normal 4 2 2 3 3 2 4 2" xfId="61182"/>
    <cellStyle name="Normal 4 2 2 3 3 2 5" xfId="36143"/>
    <cellStyle name="Normal 4 2 2 3 3 3" xfId="16350"/>
    <cellStyle name="Normal 4 2 2 3 3 3 2" xfId="28151"/>
    <cellStyle name="Normal 4 2 2 3 3 3 2 2" xfId="61183"/>
    <cellStyle name="Normal 4 2 2 3 3 3 3" xfId="41766"/>
    <cellStyle name="Normal 4 2 2 3 3 4" xfId="8886"/>
    <cellStyle name="Normal 4 2 2 3 3 4 2" xfId="61184"/>
    <cellStyle name="Normal 4 2 2 3 3 5" xfId="20687"/>
    <cellStyle name="Normal 4 2 2 3 3 5 2" xfId="61185"/>
    <cellStyle name="Normal 4 2 2 3 3 6" xfId="34302"/>
    <cellStyle name="Normal 4 2 2 3 4" xfId="4138"/>
    <cellStyle name="Normal 4 2 2 3 4 2" xfId="16351"/>
    <cellStyle name="Normal 4 2 2 3 4 2 2" xfId="28152"/>
    <cellStyle name="Normal 4 2 2 3 4 2 2 2" xfId="61186"/>
    <cellStyle name="Normal 4 2 2 3 4 2 3" xfId="41767"/>
    <cellStyle name="Normal 4 2 2 3 4 3" xfId="9591"/>
    <cellStyle name="Normal 4 2 2 3 4 3 2" xfId="48354"/>
    <cellStyle name="Normal 4 2 2 3 4 4" xfId="21392"/>
    <cellStyle name="Normal 4 2 2 3 4 4 2" xfId="61187"/>
    <cellStyle name="Normal 4 2 2 3 4 5" xfId="35007"/>
    <cellStyle name="Normal 4 2 2 3 5" xfId="2297"/>
    <cellStyle name="Normal 4 2 2 3 5 2" xfId="17240"/>
    <cellStyle name="Normal 4 2 2 3 5 2 2" xfId="29041"/>
    <cellStyle name="Normal 4 2 2 3 5 2 2 2" xfId="61188"/>
    <cellStyle name="Normal 4 2 2 3 5 2 3" xfId="42656"/>
    <cellStyle name="Normal 4 2 2 3 5 3" xfId="7750"/>
    <cellStyle name="Normal 4 2 2 3 5 3 2" xfId="61189"/>
    <cellStyle name="Normal 4 2 2 3 5 4" xfId="19551"/>
    <cellStyle name="Normal 4 2 2 3 5 4 2" xfId="61190"/>
    <cellStyle name="Normal 4 2 2 3 5 5" xfId="33166"/>
    <cellStyle name="Normal 4 2 2 3 6" xfId="16352"/>
    <cellStyle name="Normal 4 2 2 3 6 2" xfId="28153"/>
    <cellStyle name="Normal 4 2 2 3 6 2 2" xfId="61191"/>
    <cellStyle name="Normal 4 2 2 3 6 3" xfId="41768"/>
    <cellStyle name="Normal 4 2 2 3 7" xfId="5850"/>
    <cellStyle name="Normal 4 2 2 3 7 2" xfId="61192"/>
    <cellStyle name="Normal 4 2 2 3 8" xfId="17651"/>
    <cellStyle name="Normal 4 2 2 3 8 2" xfId="61193"/>
    <cellStyle name="Normal 4 2 2 3 9" xfId="31266"/>
    <cellStyle name="Normal 4 2 2 4" xfId="674"/>
    <cellStyle name="Normal 4 2 2 4 2" xfId="1856"/>
    <cellStyle name="Normal 4 2 2 4 2 2" xfId="4416"/>
    <cellStyle name="Normal 4 2 2 4 2 2 2" xfId="16353"/>
    <cellStyle name="Normal 4 2 2 4 2 2 2 2" xfId="28154"/>
    <cellStyle name="Normal 4 2 2 4 2 2 2 2 2" xfId="61194"/>
    <cellStyle name="Normal 4 2 2 4 2 2 2 3" xfId="41769"/>
    <cellStyle name="Normal 4 2 2 4 2 2 3" xfId="9869"/>
    <cellStyle name="Normal 4 2 2 4 2 2 3 2" xfId="48355"/>
    <cellStyle name="Normal 4 2 2 4 2 2 4" xfId="21670"/>
    <cellStyle name="Normal 4 2 2 4 2 2 4 2" xfId="61195"/>
    <cellStyle name="Normal 4 2 2 4 2 2 5" xfId="35285"/>
    <cellStyle name="Normal 4 2 2 4 2 3" xfId="16354"/>
    <cellStyle name="Normal 4 2 2 4 2 3 2" xfId="28155"/>
    <cellStyle name="Normal 4 2 2 4 2 3 2 2" xfId="48356"/>
    <cellStyle name="Normal 4 2 2 4 2 3 3" xfId="30782"/>
    <cellStyle name="Normal 4 2 2 4 2 3 3 2" xfId="48357"/>
    <cellStyle name="Normal 4 2 2 4 2 3 4" xfId="30783"/>
    <cellStyle name="Normal 4 2 2 4 2 3 4 2" xfId="61196"/>
    <cellStyle name="Normal 4 2 2 4 2 3 5" xfId="41770"/>
    <cellStyle name="Normal 4 2 2 4 2 4" xfId="16355"/>
    <cellStyle name="Normal 4 2 2 4 2 4 2" xfId="28156"/>
    <cellStyle name="Normal 4 2 2 4 2 4 2 2" xfId="61197"/>
    <cellStyle name="Normal 4 2 2 4 2 4 3" xfId="41771"/>
    <cellStyle name="Normal 4 2 2 4 2 5" xfId="7310"/>
    <cellStyle name="Normal 4 2 2 4 2 5 2" xfId="48358"/>
    <cellStyle name="Normal 4 2 2 4 2 6" xfId="19111"/>
    <cellStyle name="Normal 4 2 2 4 2 6 2" xfId="61198"/>
    <cellStyle name="Normal 4 2 2 4 2 7" xfId="32726"/>
    <cellStyle name="Normal 4 2 2 4 3" xfId="2575"/>
    <cellStyle name="Normal 4 2 2 4 3 2" xfId="16356"/>
    <cellStyle name="Normal 4 2 2 4 3 2 2" xfId="28157"/>
    <cellStyle name="Normal 4 2 2 4 3 2 2 2" xfId="61199"/>
    <cellStyle name="Normal 4 2 2 4 3 2 3" xfId="41772"/>
    <cellStyle name="Normal 4 2 2 4 3 3" xfId="8028"/>
    <cellStyle name="Normal 4 2 2 4 3 3 2" xfId="48359"/>
    <cellStyle name="Normal 4 2 2 4 3 4" xfId="19829"/>
    <cellStyle name="Normal 4 2 2 4 3 4 2" xfId="61200"/>
    <cellStyle name="Normal 4 2 2 4 3 5" xfId="33444"/>
    <cellStyle name="Normal 4 2 2 4 4" xfId="16357"/>
    <cellStyle name="Normal 4 2 2 4 4 2" xfId="28158"/>
    <cellStyle name="Normal 4 2 2 4 4 2 2" xfId="48360"/>
    <cellStyle name="Normal 4 2 2 4 4 3" xfId="30784"/>
    <cellStyle name="Normal 4 2 2 4 4 3 2" xfId="48361"/>
    <cellStyle name="Normal 4 2 2 4 4 4" xfId="30785"/>
    <cellStyle name="Normal 4 2 2 4 4 4 2" xfId="61201"/>
    <cellStyle name="Normal 4 2 2 4 4 5" xfId="41773"/>
    <cellStyle name="Normal 4 2 2 4 5" xfId="16358"/>
    <cellStyle name="Normal 4 2 2 4 5 2" xfId="28159"/>
    <cellStyle name="Normal 4 2 2 4 5 2 2" xfId="61202"/>
    <cellStyle name="Normal 4 2 2 4 5 3" xfId="41774"/>
    <cellStyle name="Normal 4 2 2 4 6" xfId="6128"/>
    <cellStyle name="Normal 4 2 2 4 6 2" xfId="48362"/>
    <cellStyle name="Normal 4 2 2 4 7" xfId="17929"/>
    <cellStyle name="Normal 4 2 2 4 7 2" xfId="61203"/>
    <cellStyle name="Normal 4 2 2 4 8" xfId="31544"/>
    <cellStyle name="Normal 4 2 2 5" xfId="915"/>
    <cellStyle name="Normal 4 2 2 5 2" xfId="1857"/>
    <cellStyle name="Normal 4 2 2 5 2 2" xfId="4984"/>
    <cellStyle name="Normal 4 2 2 5 2 2 2" xfId="16359"/>
    <cellStyle name="Normal 4 2 2 5 2 2 2 2" xfId="28160"/>
    <cellStyle name="Normal 4 2 2 5 2 2 2 2 2" xfId="61204"/>
    <cellStyle name="Normal 4 2 2 5 2 2 2 3" xfId="41775"/>
    <cellStyle name="Normal 4 2 2 5 2 2 3" xfId="10437"/>
    <cellStyle name="Normal 4 2 2 5 2 2 3 2" xfId="48363"/>
    <cellStyle name="Normal 4 2 2 5 2 2 4" xfId="22238"/>
    <cellStyle name="Normal 4 2 2 5 2 2 4 2" xfId="61205"/>
    <cellStyle name="Normal 4 2 2 5 2 2 5" xfId="35853"/>
    <cellStyle name="Normal 4 2 2 5 2 3" xfId="16360"/>
    <cellStyle name="Normal 4 2 2 5 2 3 2" xfId="28161"/>
    <cellStyle name="Normal 4 2 2 5 2 3 2 2" xfId="48364"/>
    <cellStyle name="Normal 4 2 2 5 2 3 3" xfId="30786"/>
    <cellStyle name="Normal 4 2 2 5 2 3 3 2" xfId="48365"/>
    <cellStyle name="Normal 4 2 2 5 2 3 4" xfId="30787"/>
    <cellStyle name="Normal 4 2 2 5 2 3 4 2" xfId="61206"/>
    <cellStyle name="Normal 4 2 2 5 2 3 5" xfId="41776"/>
    <cellStyle name="Normal 4 2 2 5 2 4" xfId="16361"/>
    <cellStyle name="Normal 4 2 2 5 2 4 2" xfId="28162"/>
    <cellStyle name="Normal 4 2 2 5 2 4 2 2" xfId="61207"/>
    <cellStyle name="Normal 4 2 2 5 2 4 3" xfId="41777"/>
    <cellStyle name="Normal 4 2 2 5 2 5" xfId="7311"/>
    <cellStyle name="Normal 4 2 2 5 2 5 2" xfId="48366"/>
    <cellStyle name="Normal 4 2 2 5 2 6" xfId="19112"/>
    <cellStyle name="Normal 4 2 2 5 2 6 2" xfId="61208"/>
    <cellStyle name="Normal 4 2 2 5 2 7" xfId="32727"/>
    <cellStyle name="Normal 4 2 2 5 3" xfId="3143"/>
    <cellStyle name="Normal 4 2 2 5 3 2" xfId="16362"/>
    <cellStyle name="Normal 4 2 2 5 3 2 2" xfId="28163"/>
    <cellStyle name="Normal 4 2 2 5 3 2 2 2" xfId="61209"/>
    <cellStyle name="Normal 4 2 2 5 3 2 3" xfId="41778"/>
    <cellStyle name="Normal 4 2 2 5 3 3" xfId="8596"/>
    <cellStyle name="Normal 4 2 2 5 3 3 2" xfId="48367"/>
    <cellStyle name="Normal 4 2 2 5 3 4" xfId="20397"/>
    <cellStyle name="Normal 4 2 2 5 3 4 2" xfId="61210"/>
    <cellStyle name="Normal 4 2 2 5 3 5" xfId="34012"/>
    <cellStyle name="Normal 4 2 2 5 4" xfId="16363"/>
    <cellStyle name="Normal 4 2 2 5 4 2" xfId="28164"/>
    <cellStyle name="Normal 4 2 2 5 4 2 2" xfId="48368"/>
    <cellStyle name="Normal 4 2 2 5 4 3" xfId="30788"/>
    <cellStyle name="Normal 4 2 2 5 4 3 2" xfId="48369"/>
    <cellStyle name="Normal 4 2 2 5 4 4" xfId="30789"/>
    <cellStyle name="Normal 4 2 2 5 4 4 2" xfId="61211"/>
    <cellStyle name="Normal 4 2 2 5 4 5" xfId="41779"/>
    <cellStyle name="Normal 4 2 2 5 5" xfId="16364"/>
    <cellStyle name="Normal 4 2 2 5 5 2" xfId="28165"/>
    <cellStyle name="Normal 4 2 2 5 5 2 2" xfId="61212"/>
    <cellStyle name="Normal 4 2 2 5 5 3" xfId="41780"/>
    <cellStyle name="Normal 4 2 2 5 6" xfId="6369"/>
    <cellStyle name="Normal 4 2 2 5 6 2" xfId="48370"/>
    <cellStyle name="Normal 4 2 2 5 7" xfId="18170"/>
    <cellStyle name="Normal 4 2 2 5 7 2" xfId="61213"/>
    <cellStyle name="Normal 4 2 2 5 8" xfId="31785"/>
    <cellStyle name="Normal 4 2 2 6" xfId="1858"/>
    <cellStyle name="Normal 4 2 2 6 2" xfId="3848"/>
    <cellStyle name="Normal 4 2 2 6 2 2" xfId="16365"/>
    <cellStyle name="Normal 4 2 2 6 2 2 2" xfId="28166"/>
    <cellStyle name="Normal 4 2 2 6 2 2 2 2" xfId="61214"/>
    <cellStyle name="Normal 4 2 2 6 2 2 3" xfId="41781"/>
    <cellStyle name="Normal 4 2 2 6 2 3" xfId="9301"/>
    <cellStyle name="Normal 4 2 2 6 2 3 2" xfId="48371"/>
    <cellStyle name="Normal 4 2 2 6 2 4" xfId="21102"/>
    <cellStyle name="Normal 4 2 2 6 2 4 2" xfId="61215"/>
    <cellStyle name="Normal 4 2 2 6 2 5" xfId="34717"/>
    <cellStyle name="Normal 4 2 2 6 3" xfId="16366"/>
    <cellStyle name="Normal 4 2 2 6 3 2" xfId="28167"/>
    <cellStyle name="Normal 4 2 2 6 3 2 2" xfId="48372"/>
    <cellStyle name="Normal 4 2 2 6 3 3" xfId="30790"/>
    <cellStyle name="Normal 4 2 2 6 3 3 2" xfId="48373"/>
    <cellStyle name="Normal 4 2 2 6 3 4" xfId="30791"/>
    <cellStyle name="Normal 4 2 2 6 3 4 2" xfId="61216"/>
    <cellStyle name="Normal 4 2 2 6 3 5" xfId="41782"/>
    <cellStyle name="Normal 4 2 2 6 4" xfId="16367"/>
    <cellStyle name="Normal 4 2 2 6 4 2" xfId="28168"/>
    <cellStyle name="Normal 4 2 2 6 4 2 2" xfId="61217"/>
    <cellStyle name="Normal 4 2 2 6 4 3" xfId="41783"/>
    <cellStyle name="Normal 4 2 2 6 5" xfId="7312"/>
    <cellStyle name="Normal 4 2 2 6 5 2" xfId="48374"/>
    <cellStyle name="Normal 4 2 2 6 6" xfId="19113"/>
    <cellStyle name="Normal 4 2 2 6 6 2" xfId="61218"/>
    <cellStyle name="Normal 4 2 2 6 7" xfId="32728"/>
    <cellStyle name="Normal 4 2 2 7" xfId="3711"/>
    <cellStyle name="Normal 4 2 2 7 2" xfId="16368"/>
    <cellStyle name="Normal 4 2 2 7 2 2" xfId="28169"/>
    <cellStyle name="Normal 4 2 2 7 2 2 2" xfId="61219"/>
    <cellStyle name="Normal 4 2 2 7 2 3" xfId="41784"/>
    <cellStyle name="Normal 4 2 2 7 3" xfId="9164"/>
    <cellStyle name="Normal 4 2 2 7 3 2" xfId="48375"/>
    <cellStyle name="Normal 4 2 2 7 4" xfId="20965"/>
    <cellStyle name="Normal 4 2 2 7 4 2" xfId="61220"/>
    <cellStyle name="Normal 4 2 2 7 5" xfId="34580"/>
    <cellStyle name="Normal 4 2 2 8" xfId="2007"/>
    <cellStyle name="Normal 4 2 2 8 2" xfId="16369"/>
    <cellStyle name="Normal 4 2 2 8 2 2" xfId="28170"/>
    <cellStyle name="Normal 4 2 2 8 2 2 2" xfId="61221"/>
    <cellStyle name="Normal 4 2 2 8 2 3" xfId="41785"/>
    <cellStyle name="Normal 4 2 2 8 3" xfId="7460"/>
    <cellStyle name="Normal 4 2 2 8 3 2" xfId="48376"/>
    <cellStyle name="Normal 4 2 2 8 4" xfId="19261"/>
    <cellStyle name="Normal 4 2 2 8 4 2" xfId="61222"/>
    <cellStyle name="Normal 4 2 2 8 5" xfId="32876"/>
    <cellStyle name="Normal 4 2 2 9" xfId="16370"/>
    <cellStyle name="Normal 4 2 2 9 2" xfId="28171"/>
    <cellStyle name="Normal 4 2 2 9 2 2" xfId="61223"/>
    <cellStyle name="Normal 4 2 2 9 3" xfId="41786"/>
    <cellStyle name="Normal 4 2 3" xfId="187"/>
    <cellStyle name="Normal 4 2 3 10" xfId="31057"/>
    <cellStyle name="Normal 4 2 3 2" xfId="329"/>
    <cellStyle name="Normal 4 2 3 2 2" xfId="1859"/>
    <cellStyle name="Normal 4 2 3 2 2 2" xfId="4639"/>
    <cellStyle name="Normal 4 2 3 2 2 2 2" xfId="16371"/>
    <cellStyle name="Normal 4 2 3 2 2 2 2 2" xfId="28172"/>
    <cellStyle name="Normal 4 2 3 2 2 2 2 2 2" xfId="61224"/>
    <cellStyle name="Normal 4 2 3 2 2 2 2 3" xfId="41787"/>
    <cellStyle name="Normal 4 2 3 2 2 2 3" xfId="10092"/>
    <cellStyle name="Normal 4 2 3 2 2 2 3 2" xfId="48377"/>
    <cellStyle name="Normal 4 2 3 2 2 2 4" xfId="21893"/>
    <cellStyle name="Normal 4 2 3 2 2 2 4 2" xfId="61225"/>
    <cellStyle name="Normal 4 2 3 2 2 2 5" xfId="35508"/>
    <cellStyle name="Normal 4 2 3 2 2 3" xfId="2798"/>
    <cellStyle name="Normal 4 2 3 2 2 3 2" xfId="16372"/>
    <cellStyle name="Normal 4 2 3 2 2 3 2 2" xfId="28173"/>
    <cellStyle name="Normal 4 2 3 2 2 3 2 2 2" xfId="61226"/>
    <cellStyle name="Normal 4 2 3 2 2 3 2 3" xfId="41788"/>
    <cellStyle name="Normal 4 2 3 2 2 3 3" xfId="8251"/>
    <cellStyle name="Normal 4 2 3 2 2 3 3 2" xfId="48378"/>
    <cellStyle name="Normal 4 2 3 2 2 3 4" xfId="20052"/>
    <cellStyle name="Normal 4 2 3 2 2 3 4 2" xfId="61227"/>
    <cellStyle name="Normal 4 2 3 2 2 3 5" xfId="33667"/>
    <cellStyle name="Normal 4 2 3 2 2 4" xfId="16373"/>
    <cellStyle name="Normal 4 2 3 2 2 4 2" xfId="28174"/>
    <cellStyle name="Normal 4 2 3 2 2 4 2 2" xfId="61228"/>
    <cellStyle name="Normal 4 2 3 2 2 4 3" xfId="41789"/>
    <cellStyle name="Normal 4 2 3 2 2 5" xfId="7313"/>
    <cellStyle name="Normal 4 2 3 2 2 5 2" xfId="48379"/>
    <cellStyle name="Normal 4 2 3 2 2 6" xfId="19114"/>
    <cellStyle name="Normal 4 2 3 2 2 6 2" xfId="61229"/>
    <cellStyle name="Normal 4 2 3 2 2 7" xfId="32729"/>
    <cellStyle name="Normal 4 2 3 2 3" xfId="3366"/>
    <cellStyle name="Normal 4 2 3 2 3 2" xfId="5207"/>
    <cellStyle name="Normal 4 2 3 2 3 2 2" xfId="16677"/>
    <cellStyle name="Normal 4 2 3 2 3 2 2 2" xfId="28478"/>
    <cellStyle name="Normal 4 2 3 2 3 2 2 2 2" xfId="61230"/>
    <cellStyle name="Normal 4 2 3 2 3 2 2 3" xfId="42093"/>
    <cellStyle name="Normal 4 2 3 2 3 2 3" xfId="10660"/>
    <cellStyle name="Normal 4 2 3 2 3 2 3 2" xfId="61231"/>
    <cellStyle name="Normal 4 2 3 2 3 2 4" xfId="22461"/>
    <cellStyle name="Normal 4 2 3 2 3 2 4 2" xfId="61232"/>
    <cellStyle name="Normal 4 2 3 2 3 2 5" xfId="36076"/>
    <cellStyle name="Normal 4 2 3 2 3 3" xfId="16374"/>
    <cellStyle name="Normal 4 2 3 2 3 3 2" xfId="28175"/>
    <cellStyle name="Normal 4 2 3 2 3 3 2 2" xfId="61233"/>
    <cellStyle name="Normal 4 2 3 2 3 3 3" xfId="41790"/>
    <cellStyle name="Normal 4 2 3 2 3 4" xfId="8819"/>
    <cellStyle name="Normal 4 2 3 2 3 4 2" xfId="61234"/>
    <cellStyle name="Normal 4 2 3 2 3 5" xfId="20620"/>
    <cellStyle name="Normal 4 2 3 2 3 5 2" xfId="61235"/>
    <cellStyle name="Normal 4 2 3 2 3 6" xfId="34235"/>
    <cellStyle name="Normal 4 2 3 2 4" xfId="4071"/>
    <cellStyle name="Normal 4 2 3 2 4 2" xfId="16375"/>
    <cellStyle name="Normal 4 2 3 2 4 2 2" xfId="28176"/>
    <cellStyle name="Normal 4 2 3 2 4 2 2 2" xfId="61236"/>
    <cellStyle name="Normal 4 2 3 2 4 2 3" xfId="41791"/>
    <cellStyle name="Normal 4 2 3 2 4 3" xfId="9524"/>
    <cellStyle name="Normal 4 2 3 2 4 3 2" xfId="48380"/>
    <cellStyle name="Normal 4 2 3 2 4 4" xfId="21325"/>
    <cellStyle name="Normal 4 2 3 2 4 4 2" xfId="61237"/>
    <cellStyle name="Normal 4 2 3 2 4 5" xfId="34940"/>
    <cellStyle name="Normal 4 2 3 2 5" xfId="2230"/>
    <cellStyle name="Normal 4 2 3 2 5 2" xfId="17241"/>
    <cellStyle name="Normal 4 2 3 2 5 2 2" xfId="29042"/>
    <cellStyle name="Normal 4 2 3 2 5 2 2 2" xfId="61238"/>
    <cellStyle name="Normal 4 2 3 2 5 2 3" xfId="42657"/>
    <cellStyle name="Normal 4 2 3 2 5 3" xfId="7683"/>
    <cellStyle name="Normal 4 2 3 2 5 3 2" xfId="61239"/>
    <cellStyle name="Normal 4 2 3 2 5 4" xfId="19484"/>
    <cellStyle name="Normal 4 2 3 2 5 4 2" xfId="61240"/>
    <cellStyle name="Normal 4 2 3 2 5 5" xfId="33099"/>
    <cellStyle name="Normal 4 2 3 2 6" xfId="16376"/>
    <cellStyle name="Normal 4 2 3 2 6 2" xfId="28177"/>
    <cellStyle name="Normal 4 2 3 2 6 2 2" xfId="61241"/>
    <cellStyle name="Normal 4 2 3 2 6 3" xfId="41792"/>
    <cellStyle name="Normal 4 2 3 2 7" xfId="5783"/>
    <cellStyle name="Normal 4 2 3 2 7 2" xfId="61242"/>
    <cellStyle name="Normal 4 2 3 2 8" xfId="17584"/>
    <cellStyle name="Normal 4 2 3 2 8 2" xfId="61243"/>
    <cellStyle name="Normal 4 2 3 2 9" xfId="31199"/>
    <cellStyle name="Normal 4 2 3 3" xfId="755"/>
    <cellStyle name="Normal 4 2 3 3 2" xfId="1860"/>
    <cellStyle name="Normal 4 2 3 3 2 2" xfId="4497"/>
    <cellStyle name="Normal 4 2 3 3 2 2 2" xfId="16377"/>
    <cellStyle name="Normal 4 2 3 3 2 2 2 2" xfId="28178"/>
    <cellStyle name="Normal 4 2 3 3 2 2 2 2 2" xfId="61244"/>
    <cellStyle name="Normal 4 2 3 3 2 2 2 3" xfId="41793"/>
    <cellStyle name="Normal 4 2 3 3 2 2 3" xfId="9950"/>
    <cellStyle name="Normal 4 2 3 3 2 2 3 2" xfId="48381"/>
    <cellStyle name="Normal 4 2 3 3 2 2 4" xfId="21751"/>
    <cellStyle name="Normal 4 2 3 3 2 2 4 2" xfId="61245"/>
    <cellStyle name="Normal 4 2 3 3 2 2 5" xfId="35366"/>
    <cellStyle name="Normal 4 2 3 3 2 3" xfId="16378"/>
    <cellStyle name="Normal 4 2 3 3 2 3 2" xfId="28179"/>
    <cellStyle name="Normal 4 2 3 3 2 3 2 2" xfId="48382"/>
    <cellStyle name="Normal 4 2 3 3 2 3 3" xfId="30792"/>
    <cellStyle name="Normal 4 2 3 3 2 3 3 2" xfId="48383"/>
    <cellStyle name="Normal 4 2 3 3 2 3 4" xfId="30793"/>
    <cellStyle name="Normal 4 2 3 3 2 3 4 2" xfId="61246"/>
    <cellStyle name="Normal 4 2 3 3 2 3 5" xfId="41794"/>
    <cellStyle name="Normal 4 2 3 3 2 4" xfId="16379"/>
    <cellStyle name="Normal 4 2 3 3 2 4 2" xfId="28180"/>
    <cellStyle name="Normal 4 2 3 3 2 4 2 2" xfId="61247"/>
    <cellStyle name="Normal 4 2 3 3 2 4 3" xfId="41795"/>
    <cellStyle name="Normal 4 2 3 3 2 5" xfId="7314"/>
    <cellStyle name="Normal 4 2 3 3 2 5 2" xfId="48384"/>
    <cellStyle name="Normal 4 2 3 3 2 6" xfId="19115"/>
    <cellStyle name="Normal 4 2 3 3 2 6 2" xfId="61248"/>
    <cellStyle name="Normal 4 2 3 3 2 7" xfId="32730"/>
    <cellStyle name="Normal 4 2 3 3 3" xfId="2656"/>
    <cellStyle name="Normal 4 2 3 3 3 2" xfId="16380"/>
    <cellStyle name="Normal 4 2 3 3 3 2 2" xfId="28181"/>
    <cellStyle name="Normal 4 2 3 3 3 2 2 2" xfId="61249"/>
    <cellStyle name="Normal 4 2 3 3 3 2 3" xfId="41796"/>
    <cellStyle name="Normal 4 2 3 3 3 3" xfId="8109"/>
    <cellStyle name="Normal 4 2 3 3 3 3 2" xfId="48385"/>
    <cellStyle name="Normal 4 2 3 3 3 4" xfId="19910"/>
    <cellStyle name="Normal 4 2 3 3 3 4 2" xfId="61250"/>
    <cellStyle name="Normal 4 2 3 3 3 5" xfId="33525"/>
    <cellStyle name="Normal 4 2 3 3 4" xfId="16381"/>
    <cellStyle name="Normal 4 2 3 3 4 2" xfId="28182"/>
    <cellStyle name="Normal 4 2 3 3 4 2 2" xfId="48386"/>
    <cellStyle name="Normal 4 2 3 3 4 3" xfId="30794"/>
    <cellStyle name="Normal 4 2 3 3 4 3 2" xfId="48387"/>
    <cellStyle name="Normal 4 2 3 3 4 4" xfId="30795"/>
    <cellStyle name="Normal 4 2 3 3 4 4 2" xfId="61251"/>
    <cellStyle name="Normal 4 2 3 3 4 5" xfId="41797"/>
    <cellStyle name="Normal 4 2 3 3 5" xfId="16382"/>
    <cellStyle name="Normal 4 2 3 3 5 2" xfId="28183"/>
    <cellStyle name="Normal 4 2 3 3 5 2 2" xfId="61252"/>
    <cellStyle name="Normal 4 2 3 3 5 3" xfId="41798"/>
    <cellStyle name="Normal 4 2 3 3 6" xfId="6209"/>
    <cellStyle name="Normal 4 2 3 3 6 2" xfId="48388"/>
    <cellStyle name="Normal 4 2 3 3 7" xfId="18010"/>
    <cellStyle name="Normal 4 2 3 3 7 2" xfId="61253"/>
    <cellStyle name="Normal 4 2 3 3 8" xfId="31625"/>
    <cellStyle name="Normal 4 2 3 4" xfId="1861"/>
    <cellStyle name="Normal 4 2 3 4 2" xfId="5065"/>
    <cellStyle name="Normal 4 2 3 4 2 2" xfId="16383"/>
    <cellStyle name="Normal 4 2 3 4 2 2 2" xfId="28184"/>
    <cellStyle name="Normal 4 2 3 4 2 2 2 2" xfId="61254"/>
    <cellStyle name="Normal 4 2 3 4 2 2 3" xfId="41799"/>
    <cellStyle name="Normal 4 2 3 4 2 3" xfId="10518"/>
    <cellStyle name="Normal 4 2 3 4 2 3 2" xfId="48389"/>
    <cellStyle name="Normal 4 2 3 4 2 4" xfId="22319"/>
    <cellStyle name="Normal 4 2 3 4 2 4 2" xfId="61255"/>
    <cellStyle name="Normal 4 2 3 4 2 5" xfId="35934"/>
    <cellStyle name="Normal 4 2 3 4 3" xfId="3224"/>
    <cellStyle name="Normal 4 2 3 4 3 2" xfId="16384"/>
    <cellStyle name="Normal 4 2 3 4 3 2 2" xfId="28185"/>
    <cellStyle name="Normal 4 2 3 4 3 2 2 2" xfId="61256"/>
    <cellStyle name="Normal 4 2 3 4 3 2 3" xfId="41800"/>
    <cellStyle name="Normal 4 2 3 4 3 3" xfId="8677"/>
    <cellStyle name="Normal 4 2 3 4 3 3 2" xfId="48390"/>
    <cellStyle name="Normal 4 2 3 4 3 4" xfId="20478"/>
    <cellStyle name="Normal 4 2 3 4 3 4 2" xfId="61257"/>
    <cellStyle name="Normal 4 2 3 4 3 5" xfId="34093"/>
    <cellStyle name="Normal 4 2 3 4 4" xfId="16385"/>
    <cellStyle name="Normal 4 2 3 4 4 2" xfId="28186"/>
    <cellStyle name="Normal 4 2 3 4 4 2 2" xfId="61258"/>
    <cellStyle name="Normal 4 2 3 4 4 3" xfId="41801"/>
    <cellStyle name="Normal 4 2 3 4 5" xfId="7315"/>
    <cellStyle name="Normal 4 2 3 4 5 2" xfId="48391"/>
    <cellStyle name="Normal 4 2 3 4 6" xfId="19116"/>
    <cellStyle name="Normal 4 2 3 4 6 2" xfId="61259"/>
    <cellStyle name="Normal 4 2 3 4 7" xfId="32731"/>
    <cellStyle name="Normal 4 2 3 5" xfId="3929"/>
    <cellStyle name="Normal 4 2 3 5 2" xfId="16386"/>
    <cellStyle name="Normal 4 2 3 5 2 2" xfId="28187"/>
    <cellStyle name="Normal 4 2 3 5 2 2 2" xfId="61260"/>
    <cellStyle name="Normal 4 2 3 5 2 3" xfId="41802"/>
    <cellStyle name="Normal 4 2 3 5 3" xfId="9382"/>
    <cellStyle name="Normal 4 2 3 5 3 2" xfId="48392"/>
    <cellStyle name="Normal 4 2 3 5 4" xfId="21183"/>
    <cellStyle name="Normal 4 2 3 5 4 2" xfId="61261"/>
    <cellStyle name="Normal 4 2 3 5 5" xfId="34798"/>
    <cellStyle name="Normal 4 2 3 6" xfId="2088"/>
    <cellStyle name="Normal 4 2 3 6 2" xfId="16387"/>
    <cellStyle name="Normal 4 2 3 6 2 2" xfId="28188"/>
    <cellStyle name="Normal 4 2 3 6 2 2 2" xfId="61262"/>
    <cellStyle name="Normal 4 2 3 6 2 3" xfId="41803"/>
    <cellStyle name="Normal 4 2 3 6 3" xfId="7541"/>
    <cellStyle name="Normal 4 2 3 6 3 2" xfId="48393"/>
    <cellStyle name="Normal 4 2 3 6 4" xfId="19342"/>
    <cellStyle name="Normal 4 2 3 6 4 2" xfId="61263"/>
    <cellStyle name="Normal 4 2 3 6 5" xfId="32957"/>
    <cellStyle name="Normal 4 2 3 7" xfId="16388"/>
    <cellStyle name="Normal 4 2 3 7 2" xfId="28189"/>
    <cellStyle name="Normal 4 2 3 7 2 2" xfId="61264"/>
    <cellStyle name="Normal 4 2 3 7 3" xfId="41804"/>
    <cellStyle name="Normal 4 2 3 8" xfId="5641"/>
    <cellStyle name="Normal 4 2 3 8 2" xfId="48394"/>
    <cellStyle name="Normal 4 2 3 9" xfId="17442"/>
    <cellStyle name="Normal 4 2 3 9 2" xfId="61265"/>
    <cellStyle name="Normal 4 2 4" xfId="466"/>
    <cellStyle name="Normal 4 2 4 2" xfId="1862"/>
    <cellStyle name="Normal 4 2 4 2 2" xfId="4776"/>
    <cellStyle name="Normal 4 2 4 2 2 2" xfId="16389"/>
    <cellStyle name="Normal 4 2 4 2 2 2 2" xfId="28190"/>
    <cellStyle name="Normal 4 2 4 2 2 2 2 2" xfId="61266"/>
    <cellStyle name="Normal 4 2 4 2 2 2 3" xfId="41805"/>
    <cellStyle name="Normal 4 2 4 2 2 3" xfId="10229"/>
    <cellStyle name="Normal 4 2 4 2 2 3 2" xfId="48395"/>
    <cellStyle name="Normal 4 2 4 2 2 4" xfId="22030"/>
    <cellStyle name="Normal 4 2 4 2 2 4 2" xfId="61267"/>
    <cellStyle name="Normal 4 2 4 2 2 5" xfId="35645"/>
    <cellStyle name="Normal 4 2 4 2 3" xfId="2935"/>
    <cellStyle name="Normal 4 2 4 2 3 2" xfId="16390"/>
    <cellStyle name="Normal 4 2 4 2 3 2 2" xfId="28191"/>
    <cellStyle name="Normal 4 2 4 2 3 2 2 2" xfId="61268"/>
    <cellStyle name="Normal 4 2 4 2 3 2 3" xfId="41806"/>
    <cellStyle name="Normal 4 2 4 2 3 3" xfId="8388"/>
    <cellStyle name="Normal 4 2 4 2 3 3 2" xfId="48396"/>
    <cellStyle name="Normal 4 2 4 2 3 4" xfId="20189"/>
    <cellStyle name="Normal 4 2 4 2 3 4 2" xfId="61269"/>
    <cellStyle name="Normal 4 2 4 2 3 5" xfId="33804"/>
    <cellStyle name="Normal 4 2 4 2 4" xfId="16391"/>
    <cellStyle name="Normal 4 2 4 2 4 2" xfId="28192"/>
    <cellStyle name="Normal 4 2 4 2 4 2 2" xfId="61270"/>
    <cellStyle name="Normal 4 2 4 2 4 3" xfId="41807"/>
    <cellStyle name="Normal 4 2 4 2 5" xfId="7316"/>
    <cellStyle name="Normal 4 2 4 2 5 2" xfId="48397"/>
    <cellStyle name="Normal 4 2 4 2 6" xfId="19117"/>
    <cellStyle name="Normal 4 2 4 2 6 2" xfId="61271"/>
    <cellStyle name="Normal 4 2 4 2 7" xfId="32732"/>
    <cellStyle name="Normal 4 2 4 3" xfId="3503"/>
    <cellStyle name="Normal 4 2 4 3 2" xfId="5344"/>
    <cellStyle name="Normal 4 2 4 3 2 2" xfId="16814"/>
    <cellStyle name="Normal 4 2 4 3 2 2 2" xfId="28615"/>
    <cellStyle name="Normal 4 2 4 3 2 2 2 2" xfId="61272"/>
    <cellStyle name="Normal 4 2 4 3 2 2 3" xfId="42230"/>
    <cellStyle name="Normal 4 2 4 3 2 3" xfId="10797"/>
    <cellStyle name="Normal 4 2 4 3 2 3 2" xfId="61273"/>
    <cellStyle name="Normal 4 2 4 3 2 4" xfId="22598"/>
    <cellStyle name="Normal 4 2 4 3 2 4 2" xfId="61274"/>
    <cellStyle name="Normal 4 2 4 3 2 5" xfId="36213"/>
    <cellStyle name="Normal 4 2 4 3 3" xfId="16392"/>
    <cellStyle name="Normal 4 2 4 3 3 2" xfId="28193"/>
    <cellStyle name="Normal 4 2 4 3 3 2 2" xfId="61275"/>
    <cellStyle name="Normal 4 2 4 3 3 3" xfId="41808"/>
    <cellStyle name="Normal 4 2 4 3 4" xfId="8956"/>
    <cellStyle name="Normal 4 2 4 3 4 2" xfId="61276"/>
    <cellStyle name="Normal 4 2 4 3 5" xfId="20757"/>
    <cellStyle name="Normal 4 2 4 3 5 2" xfId="61277"/>
    <cellStyle name="Normal 4 2 4 3 6" xfId="34372"/>
    <cellStyle name="Normal 4 2 4 4" xfId="4208"/>
    <cellStyle name="Normal 4 2 4 4 2" xfId="16393"/>
    <cellStyle name="Normal 4 2 4 4 2 2" xfId="28194"/>
    <cellStyle name="Normal 4 2 4 4 2 2 2" xfId="61278"/>
    <cellStyle name="Normal 4 2 4 4 2 3" xfId="41809"/>
    <cellStyle name="Normal 4 2 4 4 3" xfId="9661"/>
    <cellStyle name="Normal 4 2 4 4 3 2" xfId="48398"/>
    <cellStyle name="Normal 4 2 4 4 4" xfId="21462"/>
    <cellStyle name="Normal 4 2 4 4 4 2" xfId="61279"/>
    <cellStyle name="Normal 4 2 4 4 5" xfId="35077"/>
    <cellStyle name="Normal 4 2 4 5" xfId="2367"/>
    <cellStyle name="Normal 4 2 4 5 2" xfId="17242"/>
    <cellStyle name="Normal 4 2 4 5 2 2" xfId="29043"/>
    <cellStyle name="Normal 4 2 4 5 2 2 2" xfId="61280"/>
    <cellStyle name="Normal 4 2 4 5 2 3" xfId="42658"/>
    <cellStyle name="Normal 4 2 4 5 3" xfId="7820"/>
    <cellStyle name="Normal 4 2 4 5 3 2" xfId="61281"/>
    <cellStyle name="Normal 4 2 4 5 4" xfId="19621"/>
    <cellStyle name="Normal 4 2 4 5 4 2" xfId="61282"/>
    <cellStyle name="Normal 4 2 4 5 5" xfId="33236"/>
    <cellStyle name="Normal 4 2 4 6" xfId="16394"/>
    <cellStyle name="Normal 4 2 4 6 2" xfId="28195"/>
    <cellStyle name="Normal 4 2 4 6 2 2" xfId="61283"/>
    <cellStyle name="Normal 4 2 4 6 3" xfId="41810"/>
    <cellStyle name="Normal 4 2 4 7" xfId="5920"/>
    <cellStyle name="Normal 4 2 4 7 2" xfId="61284"/>
    <cellStyle name="Normal 4 2 4 8" xfId="17721"/>
    <cellStyle name="Normal 4 2 4 8 2" xfId="61285"/>
    <cellStyle name="Normal 4 2 4 9" xfId="31336"/>
    <cellStyle name="Normal 4 2 5" xfId="280"/>
    <cellStyle name="Normal 4 2 5 2" xfId="1863"/>
    <cellStyle name="Normal 4 2 5 2 2" xfId="4590"/>
    <cellStyle name="Normal 4 2 5 2 2 2" xfId="16395"/>
    <cellStyle name="Normal 4 2 5 2 2 2 2" xfId="28196"/>
    <cellStyle name="Normal 4 2 5 2 2 2 2 2" xfId="61286"/>
    <cellStyle name="Normal 4 2 5 2 2 2 3" xfId="41811"/>
    <cellStyle name="Normal 4 2 5 2 2 3" xfId="10043"/>
    <cellStyle name="Normal 4 2 5 2 2 3 2" xfId="48399"/>
    <cellStyle name="Normal 4 2 5 2 2 4" xfId="21844"/>
    <cellStyle name="Normal 4 2 5 2 2 4 2" xfId="61287"/>
    <cellStyle name="Normal 4 2 5 2 2 5" xfId="35459"/>
    <cellStyle name="Normal 4 2 5 2 3" xfId="2749"/>
    <cellStyle name="Normal 4 2 5 2 3 2" xfId="16396"/>
    <cellStyle name="Normal 4 2 5 2 3 2 2" xfId="28197"/>
    <cellStyle name="Normal 4 2 5 2 3 2 2 2" xfId="61288"/>
    <cellStyle name="Normal 4 2 5 2 3 2 3" xfId="41812"/>
    <cellStyle name="Normal 4 2 5 2 3 3" xfId="8202"/>
    <cellStyle name="Normal 4 2 5 2 3 3 2" xfId="48400"/>
    <cellStyle name="Normal 4 2 5 2 3 4" xfId="20003"/>
    <cellStyle name="Normal 4 2 5 2 3 4 2" xfId="61289"/>
    <cellStyle name="Normal 4 2 5 2 3 5" xfId="33618"/>
    <cellStyle name="Normal 4 2 5 2 4" xfId="16397"/>
    <cellStyle name="Normal 4 2 5 2 4 2" xfId="28198"/>
    <cellStyle name="Normal 4 2 5 2 4 2 2" xfId="61290"/>
    <cellStyle name="Normal 4 2 5 2 4 3" xfId="41813"/>
    <cellStyle name="Normal 4 2 5 2 5" xfId="7317"/>
    <cellStyle name="Normal 4 2 5 2 5 2" xfId="48401"/>
    <cellStyle name="Normal 4 2 5 2 6" xfId="19118"/>
    <cellStyle name="Normal 4 2 5 2 6 2" xfId="61291"/>
    <cellStyle name="Normal 4 2 5 2 7" xfId="32733"/>
    <cellStyle name="Normal 4 2 5 3" xfId="3317"/>
    <cellStyle name="Normal 4 2 5 3 2" xfId="5158"/>
    <cellStyle name="Normal 4 2 5 3 2 2" xfId="16628"/>
    <cellStyle name="Normal 4 2 5 3 2 2 2" xfId="28429"/>
    <cellStyle name="Normal 4 2 5 3 2 2 2 2" xfId="61292"/>
    <cellStyle name="Normal 4 2 5 3 2 2 3" xfId="42044"/>
    <cellStyle name="Normal 4 2 5 3 2 3" xfId="10611"/>
    <cellStyle name="Normal 4 2 5 3 2 3 2" xfId="61293"/>
    <cellStyle name="Normal 4 2 5 3 2 4" xfId="22412"/>
    <cellStyle name="Normal 4 2 5 3 2 4 2" xfId="61294"/>
    <cellStyle name="Normal 4 2 5 3 2 5" xfId="36027"/>
    <cellStyle name="Normal 4 2 5 3 3" xfId="16398"/>
    <cellStyle name="Normal 4 2 5 3 3 2" xfId="28199"/>
    <cellStyle name="Normal 4 2 5 3 3 2 2" xfId="61295"/>
    <cellStyle name="Normal 4 2 5 3 3 3" xfId="41814"/>
    <cellStyle name="Normal 4 2 5 3 4" xfId="8770"/>
    <cellStyle name="Normal 4 2 5 3 4 2" xfId="61296"/>
    <cellStyle name="Normal 4 2 5 3 5" xfId="20571"/>
    <cellStyle name="Normal 4 2 5 3 5 2" xfId="61297"/>
    <cellStyle name="Normal 4 2 5 3 6" xfId="34186"/>
    <cellStyle name="Normal 4 2 5 4" xfId="4022"/>
    <cellStyle name="Normal 4 2 5 4 2" xfId="16399"/>
    <cellStyle name="Normal 4 2 5 4 2 2" xfId="28200"/>
    <cellStyle name="Normal 4 2 5 4 2 2 2" xfId="61298"/>
    <cellStyle name="Normal 4 2 5 4 2 3" xfId="41815"/>
    <cellStyle name="Normal 4 2 5 4 3" xfId="9475"/>
    <cellStyle name="Normal 4 2 5 4 3 2" xfId="48402"/>
    <cellStyle name="Normal 4 2 5 4 4" xfId="21276"/>
    <cellStyle name="Normal 4 2 5 4 4 2" xfId="61299"/>
    <cellStyle name="Normal 4 2 5 4 5" xfId="34891"/>
    <cellStyle name="Normal 4 2 5 5" xfId="2181"/>
    <cellStyle name="Normal 4 2 5 5 2" xfId="17243"/>
    <cellStyle name="Normal 4 2 5 5 2 2" xfId="29044"/>
    <cellStyle name="Normal 4 2 5 5 2 2 2" xfId="61300"/>
    <cellStyle name="Normal 4 2 5 5 2 3" xfId="42659"/>
    <cellStyle name="Normal 4 2 5 5 3" xfId="7634"/>
    <cellStyle name="Normal 4 2 5 5 3 2" xfId="61301"/>
    <cellStyle name="Normal 4 2 5 5 4" xfId="19435"/>
    <cellStyle name="Normal 4 2 5 5 4 2" xfId="61302"/>
    <cellStyle name="Normal 4 2 5 5 5" xfId="33050"/>
    <cellStyle name="Normal 4 2 5 6" xfId="16400"/>
    <cellStyle name="Normal 4 2 5 6 2" xfId="28201"/>
    <cellStyle name="Normal 4 2 5 6 2 2" xfId="61303"/>
    <cellStyle name="Normal 4 2 5 6 3" xfId="41816"/>
    <cellStyle name="Normal 4 2 5 7" xfId="5734"/>
    <cellStyle name="Normal 4 2 5 7 2" xfId="61304"/>
    <cellStyle name="Normal 4 2 5 8" xfId="17535"/>
    <cellStyle name="Normal 4 2 5 8 2" xfId="61305"/>
    <cellStyle name="Normal 4 2 5 9" xfId="31150"/>
    <cellStyle name="Normal 4 2 6" xfId="607"/>
    <cellStyle name="Normal 4 2 6 2" xfId="1864"/>
    <cellStyle name="Normal 4 2 6 2 2" xfId="4349"/>
    <cellStyle name="Normal 4 2 6 2 2 2" xfId="16401"/>
    <cellStyle name="Normal 4 2 6 2 2 2 2" xfId="28202"/>
    <cellStyle name="Normal 4 2 6 2 2 2 2 2" xfId="61306"/>
    <cellStyle name="Normal 4 2 6 2 2 2 3" xfId="41817"/>
    <cellStyle name="Normal 4 2 6 2 2 3" xfId="9802"/>
    <cellStyle name="Normal 4 2 6 2 2 3 2" xfId="48403"/>
    <cellStyle name="Normal 4 2 6 2 2 4" xfId="21603"/>
    <cellStyle name="Normal 4 2 6 2 2 4 2" xfId="61307"/>
    <cellStyle name="Normal 4 2 6 2 2 5" xfId="35218"/>
    <cellStyle name="Normal 4 2 6 2 3" xfId="16402"/>
    <cellStyle name="Normal 4 2 6 2 3 2" xfId="28203"/>
    <cellStyle name="Normal 4 2 6 2 3 2 2" xfId="48404"/>
    <cellStyle name="Normal 4 2 6 2 3 3" xfId="30796"/>
    <cellStyle name="Normal 4 2 6 2 3 3 2" xfId="48405"/>
    <cellStyle name="Normal 4 2 6 2 3 4" xfId="30797"/>
    <cellStyle name="Normal 4 2 6 2 3 4 2" xfId="61308"/>
    <cellStyle name="Normal 4 2 6 2 3 5" xfId="41818"/>
    <cellStyle name="Normal 4 2 6 2 4" xfId="16403"/>
    <cellStyle name="Normal 4 2 6 2 4 2" xfId="28204"/>
    <cellStyle name="Normal 4 2 6 2 4 2 2" xfId="61309"/>
    <cellStyle name="Normal 4 2 6 2 4 3" xfId="41819"/>
    <cellStyle name="Normal 4 2 6 2 5" xfId="7318"/>
    <cellStyle name="Normal 4 2 6 2 5 2" xfId="48406"/>
    <cellStyle name="Normal 4 2 6 2 6" xfId="19119"/>
    <cellStyle name="Normal 4 2 6 2 6 2" xfId="61310"/>
    <cellStyle name="Normal 4 2 6 2 7" xfId="32734"/>
    <cellStyle name="Normal 4 2 6 3" xfId="2508"/>
    <cellStyle name="Normal 4 2 6 3 2" xfId="16404"/>
    <cellStyle name="Normal 4 2 6 3 2 2" xfId="28205"/>
    <cellStyle name="Normal 4 2 6 3 2 2 2" xfId="61311"/>
    <cellStyle name="Normal 4 2 6 3 2 3" xfId="41820"/>
    <cellStyle name="Normal 4 2 6 3 3" xfId="7961"/>
    <cellStyle name="Normal 4 2 6 3 3 2" xfId="48407"/>
    <cellStyle name="Normal 4 2 6 3 4" xfId="19762"/>
    <cellStyle name="Normal 4 2 6 3 4 2" xfId="61312"/>
    <cellStyle name="Normal 4 2 6 3 5" xfId="33377"/>
    <cellStyle name="Normal 4 2 6 4" xfId="16405"/>
    <cellStyle name="Normal 4 2 6 4 2" xfId="28206"/>
    <cellStyle name="Normal 4 2 6 4 2 2" xfId="48408"/>
    <cellStyle name="Normal 4 2 6 4 3" xfId="30798"/>
    <cellStyle name="Normal 4 2 6 4 3 2" xfId="48409"/>
    <cellStyle name="Normal 4 2 6 4 4" xfId="30799"/>
    <cellStyle name="Normal 4 2 6 4 4 2" xfId="61313"/>
    <cellStyle name="Normal 4 2 6 4 5" xfId="41821"/>
    <cellStyle name="Normal 4 2 6 5" xfId="16406"/>
    <cellStyle name="Normal 4 2 6 5 2" xfId="28207"/>
    <cellStyle name="Normal 4 2 6 5 2 2" xfId="61314"/>
    <cellStyle name="Normal 4 2 6 5 3" xfId="41822"/>
    <cellStyle name="Normal 4 2 6 6" xfId="6061"/>
    <cellStyle name="Normal 4 2 6 6 2" xfId="48410"/>
    <cellStyle name="Normal 4 2 6 7" xfId="17862"/>
    <cellStyle name="Normal 4 2 6 7 2" xfId="61315"/>
    <cellStyle name="Normal 4 2 6 8" xfId="31477"/>
    <cellStyle name="Normal 4 2 7" xfId="848"/>
    <cellStyle name="Normal 4 2 7 2" xfId="1865"/>
    <cellStyle name="Normal 4 2 7 2 2" xfId="4917"/>
    <cellStyle name="Normal 4 2 7 2 2 2" xfId="16407"/>
    <cellStyle name="Normal 4 2 7 2 2 2 2" xfId="28208"/>
    <cellStyle name="Normal 4 2 7 2 2 2 2 2" xfId="61316"/>
    <cellStyle name="Normal 4 2 7 2 2 2 3" xfId="41823"/>
    <cellStyle name="Normal 4 2 7 2 2 3" xfId="10370"/>
    <cellStyle name="Normal 4 2 7 2 2 3 2" xfId="48411"/>
    <cellStyle name="Normal 4 2 7 2 2 4" xfId="22171"/>
    <cellStyle name="Normal 4 2 7 2 2 4 2" xfId="61317"/>
    <cellStyle name="Normal 4 2 7 2 2 5" xfId="35786"/>
    <cellStyle name="Normal 4 2 7 2 3" xfId="16408"/>
    <cellStyle name="Normal 4 2 7 2 3 2" xfId="28209"/>
    <cellStyle name="Normal 4 2 7 2 3 2 2" xfId="48412"/>
    <cellStyle name="Normal 4 2 7 2 3 3" xfId="30800"/>
    <cellStyle name="Normal 4 2 7 2 3 3 2" xfId="48413"/>
    <cellStyle name="Normal 4 2 7 2 3 4" xfId="30801"/>
    <cellStyle name="Normal 4 2 7 2 3 4 2" xfId="61318"/>
    <cellStyle name="Normal 4 2 7 2 3 5" xfId="41824"/>
    <cellStyle name="Normal 4 2 7 2 4" xfId="16409"/>
    <cellStyle name="Normal 4 2 7 2 4 2" xfId="28210"/>
    <cellStyle name="Normal 4 2 7 2 4 2 2" xfId="61319"/>
    <cellStyle name="Normal 4 2 7 2 4 3" xfId="41825"/>
    <cellStyle name="Normal 4 2 7 2 5" xfId="7319"/>
    <cellStyle name="Normal 4 2 7 2 5 2" xfId="48414"/>
    <cellStyle name="Normal 4 2 7 2 6" xfId="19120"/>
    <cellStyle name="Normal 4 2 7 2 6 2" xfId="61320"/>
    <cellStyle name="Normal 4 2 7 2 7" xfId="32735"/>
    <cellStyle name="Normal 4 2 7 3" xfId="3076"/>
    <cellStyle name="Normal 4 2 7 3 2" xfId="16410"/>
    <cellStyle name="Normal 4 2 7 3 2 2" xfId="28211"/>
    <cellStyle name="Normal 4 2 7 3 2 2 2" xfId="61321"/>
    <cellStyle name="Normal 4 2 7 3 2 3" xfId="41826"/>
    <cellStyle name="Normal 4 2 7 3 3" xfId="8529"/>
    <cellStyle name="Normal 4 2 7 3 3 2" xfId="48415"/>
    <cellStyle name="Normal 4 2 7 3 4" xfId="20330"/>
    <cellStyle name="Normal 4 2 7 3 4 2" xfId="61322"/>
    <cellStyle name="Normal 4 2 7 3 5" xfId="33945"/>
    <cellStyle name="Normal 4 2 7 4" xfId="16411"/>
    <cellStyle name="Normal 4 2 7 4 2" xfId="28212"/>
    <cellStyle name="Normal 4 2 7 4 2 2" xfId="48416"/>
    <cellStyle name="Normal 4 2 7 4 3" xfId="30802"/>
    <cellStyle name="Normal 4 2 7 4 3 2" xfId="48417"/>
    <cellStyle name="Normal 4 2 7 4 4" xfId="30803"/>
    <cellStyle name="Normal 4 2 7 4 4 2" xfId="61323"/>
    <cellStyle name="Normal 4 2 7 4 5" xfId="41827"/>
    <cellStyle name="Normal 4 2 7 5" xfId="16412"/>
    <cellStyle name="Normal 4 2 7 5 2" xfId="28213"/>
    <cellStyle name="Normal 4 2 7 5 2 2" xfId="61324"/>
    <cellStyle name="Normal 4 2 7 5 3" xfId="41828"/>
    <cellStyle name="Normal 4 2 7 6" xfId="6302"/>
    <cellStyle name="Normal 4 2 7 6 2" xfId="48418"/>
    <cellStyle name="Normal 4 2 7 7" xfId="18103"/>
    <cellStyle name="Normal 4 2 7 7 2" xfId="61325"/>
    <cellStyle name="Normal 4 2 7 8" xfId="31718"/>
    <cellStyle name="Normal 4 2 8" xfId="1866"/>
    <cellStyle name="Normal 4 2 8 2" xfId="3781"/>
    <cellStyle name="Normal 4 2 8 2 2" xfId="16413"/>
    <cellStyle name="Normal 4 2 8 2 2 2" xfId="28214"/>
    <cellStyle name="Normal 4 2 8 2 2 2 2" xfId="61326"/>
    <cellStyle name="Normal 4 2 8 2 2 3" xfId="41829"/>
    <cellStyle name="Normal 4 2 8 2 3" xfId="9234"/>
    <cellStyle name="Normal 4 2 8 2 3 2" xfId="48419"/>
    <cellStyle name="Normal 4 2 8 2 4" xfId="21035"/>
    <cellStyle name="Normal 4 2 8 2 4 2" xfId="61327"/>
    <cellStyle name="Normal 4 2 8 2 5" xfId="34650"/>
    <cellStyle name="Normal 4 2 8 3" xfId="16414"/>
    <cellStyle name="Normal 4 2 8 3 2" xfId="28215"/>
    <cellStyle name="Normal 4 2 8 3 2 2" xfId="48420"/>
    <cellStyle name="Normal 4 2 8 3 3" xfId="30804"/>
    <cellStyle name="Normal 4 2 8 3 3 2" xfId="48421"/>
    <cellStyle name="Normal 4 2 8 3 4" xfId="30805"/>
    <cellStyle name="Normal 4 2 8 3 4 2" xfId="61328"/>
    <cellStyle name="Normal 4 2 8 3 5" xfId="41830"/>
    <cellStyle name="Normal 4 2 8 4" xfId="16415"/>
    <cellStyle name="Normal 4 2 8 4 2" xfId="28216"/>
    <cellStyle name="Normal 4 2 8 4 2 2" xfId="61329"/>
    <cellStyle name="Normal 4 2 8 4 3" xfId="41831"/>
    <cellStyle name="Normal 4 2 8 5" xfId="7320"/>
    <cellStyle name="Normal 4 2 8 5 2" xfId="48422"/>
    <cellStyle name="Normal 4 2 8 6" xfId="19121"/>
    <cellStyle name="Normal 4 2 8 6 2" xfId="61330"/>
    <cellStyle name="Normal 4 2 8 7" xfId="32736"/>
    <cellStyle name="Normal 4 2 9" xfId="3644"/>
    <cellStyle name="Normal 4 2 9 2" xfId="16416"/>
    <cellStyle name="Normal 4 2 9 2 2" xfId="28217"/>
    <cellStyle name="Normal 4 2 9 2 2 2" xfId="61331"/>
    <cellStyle name="Normal 4 2 9 2 3" xfId="41832"/>
    <cellStyle name="Normal 4 2 9 3" xfId="9097"/>
    <cellStyle name="Normal 4 2 9 3 2" xfId="48423"/>
    <cellStyle name="Normal 4 2 9 4" xfId="20898"/>
    <cellStyle name="Normal 4 2 9 4 2" xfId="61332"/>
    <cellStyle name="Normal 4 2 9 5" xfId="34513"/>
    <cellStyle name="Normal 4 3" xfId="50"/>
    <cellStyle name="Normal 4 3 10" xfId="1951"/>
    <cellStyle name="Normal 4 3 10 2" xfId="16417"/>
    <cellStyle name="Normal 4 3 10 2 2" xfId="28218"/>
    <cellStyle name="Normal 4 3 10 2 2 2" xfId="61333"/>
    <cellStyle name="Normal 4 3 10 2 3" xfId="41833"/>
    <cellStyle name="Normal 4 3 10 3" xfId="7404"/>
    <cellStyle name="Normal 4 3 10 3 2" xfId="48424"/>
    <cellStyle name="Normal 4 3 10 4" xfId="19205"/>
    <cellStyle name="Normal 4 3 10 4 2" xfId="61334"/>
    <cellStyle name="Normal 4 3 10 5" xfId="32820"/>
    <cellStyle name="Normal 4 3 11" xfId="16418"/>
    <cellStyle name="Normal 4 3 11 2" xfId="28219"/>
    <cellStyle name="Normal 4 3 11 2 2" xfId="61335"/>
    <cellStyle name="Normal 4 3 11 3" xfId="41834"/>
    <cellStyle name="Normal 4 3 12" xfId="5504"/>
    <cellStyle name="Normal 4 3 12 2" xfId="48425"/>
    <cellStyle name="Normal 4 3 13" xfId="17305"/>
    <cellStyle name="Normal 4 3 13 2" xfId="61336"/>
    <cellStyle name="Normal 4 3 14" xfId="30920"/>
    <cellStyle name="Normal 4 3 15" xfId="61821"/>
    <cellStyle name="Normal 4 3 2" xfId="117"/>
    <cellStyle name="Normal 4 3 2 10" xfId="5571"/>
    <cellStyle name="Normal 4 3 2 10 2" xfId="48426"/>
    <cellStyle name="Normal 4 3 2 11" xfId="17372"/>
    <cellStyle name="Normal 4 3 2 11 2" xfId="61337"/>
    <cellStyle name="Normal 4 3 2 12" xfId="30987"/>
    <cellStyle name="Normal 4 3 2 2" xfId="239"/>
    <cellStyle name="Normal 4 3 2 2 10" xfId="31109"/>
    <cellStyle name="Normal 4 3 2 2 2" xfId="544"/>
    <cellStyle name="Normal 4 3 2 2 2 2" xfId="1867"/>
    <cellStyle name="Normal 4 3 2 2 2 2 2" xfId="4854"/>
    <cellStyle name="Normal 4 3 2 2 2 2 2 2" xfId="16419"/>
    <cellStyle name="Normal 4 3 2 2 2 2 2 2 2" xfId="28220"/>
    <cellStyle name="Normal 4 3 2 2 2 2 2 2 2 2" xfId="61338"/>
    <cellStyle name="Normal 4 3 2 2 2 2 2 2 3" xfId="41835"/>
    <cellStyle name="Normal 4 3 2 2 2 2 2 3" xfId="10307"/>
    <cellStyle name="Normal 4 3 2 2 2 2 2 3 2" xfId="48427"/>
    <cellStyle name="Normal 4 3 2 2 2 2 2 4" xfId="22108"/>
    <cellStyle name="Normal 4 3 2 2 2 2 2 4 2" xfId="61339"/>
    <cellStyle name="Normal 4 3 2 2 2 2 2 5" xfId="35723"/>
    <cellStyle name="Normal 4 3 2 2 2 2 3" xfId="3013"/>
    <cellStyle name="Normal 4 3 2 2 2 2 3 2" xfId="16420"/>
    <cellStyle name="Normal 4 3 2 2 2 2 3 2 2" xfId="28221"/>
    <cellStyle name="Normal 4 3 2 2 2 2 3 2 2 2" xfId="61340"/>
    <cellStyle name="Normal 4 3 2 2 2 2 3 2 3" xfId="41836"/>
    <cellStyle name="Normal 4 3 2 2 2 2 3 3" xfId="8466"/>
    <cellStyle name="Normal 4 3 2 2 2 2 3 3 2" xfId="48428"/>
    <cellStyle name="Normal 4 3 2 2 2 2 3 4" xfId="20267"/>
    <cellStyle name="Normal 4 3 2 2 2 2 3 4 2" xfId="61341"/>
    <cellStyle name="Normal 4 3 2 2 2 2 3 5" xfId="33882"/>
    <cellStyle name="Normal 4 3 2 2 2 2 4" xfId="16421"/>
    <cellStyle name="Normal 4 3 2 2 2 2 4 2" xfId="28222"/>
    <cellStyle name="Normal 4 3 2 2 2 2 4 2 2" xfId="61342"/>
    <cellStyle name="Normal 4 3 2 2 2 2 4 3" xfId="41837"/>
    <cellStyle name="Normal 4 3 2 2 2 2 5" xfId="7321"/>
    <cellStyle name="Normal 4 3 2 2 2 2 5 2" xfId="48429"/>
    <cellStyle name="Normal 4 3 2 2 2 2 6" xfId="19122"/>
    <cellStyle name="Normal 4 3 2 2 2 2 6 2" xfId="61343"/>
    <cellStyle name="Normal 4 3 2 2 2 2 7" xfId="32737"/>
    <cellStyle name="Normal 4 3 2 2 2 3" xfId="3581"/>
    <cellStyle name="Normal 4 3 2 2 2 3 2" xfId="5422"/>
    <cellStyle name="Normal 4 3 2 2 2 3 2 2" xfId="16892"/>
    <cellStyle name="Normal 4 3 2 2 2 3 2 2 2" xfId="28693"/>
    <cellStyle name="Normal 4 3 2 2 2 3 2 2 2 2" xfId="61344"/>
    <cellStyle name="Normal 4 3 2 2 2 3 2 2 3" xfId="42308"/>
    <cellStyle name="Normal 4 3 2 2 2 3 2 3" xfId="10875"/>
    <cellStyle name="Normal 4 3 2 2 2 3 2 3 2" xfId="61345"/>
    <cellStyle name="Normal 4 3 2 2 2 3 2 4" xfId="22676"/>
    <cellStyle name="Normal 4 3 2 2 2 3 2 4 2" xfId="61346"/>
    <cellStyle name="Normal 4 3 2 2 2 3 2 5" xfId="36291"/>
    <cellStyle name="Normal 4 3 2 2 2 3 3" xfId="16422"/>
    <cellStyle name="Normal 4 3 2 2 2 3 3 2" xfId="28223"/>
    <cellStyle name="Normal 4 3 2 2 2 3 3 2 2" xfId="61347"/>
    <cellStyle name="Normal 4 3 2 2 2 3 3 3" xfId="41838"/>
    <cellStyle name="Normal 4 3 2 2 2 3 4" xfId="9034"/>
    <cellStyle name="Normal 4 3 2 2 2 3 4 2" xfId="61348"/>
    <cellStyle name="Normal 4 3 2 2 2 3 5" xfId="20835"/>
    <cellStyle name="Normal 4 3 2 2 2 3 5 2" xfId="61349"/>
    <cellStyle name="Normal 4 3 2 2 2 3 6" xfId="34450"/>
    <cellStyle name="Normal 4 3 2 2 2 4" xfId="4286"/>
    <cellStyle name="Normal 4 3 2 2 2 4 2" xfId="16423"/>
    <cellStyle name="Normal 4 3 2 2 2 4 2 2" xfId="28224"/>
    <cellStyle name="Normal 4 3 2 2 2 4 2 2 2" xfId="61350"/>
    <cellStyle name="Normal 4 3 2 2 2 4 2 3" xfId="41839"/>
    <cellStyle name="Normal 4 3 2 2 2 4 3" xfId="9739"/>
    <cellStyle name="Normal 4 3 2 2 2 4 3 2" xfId="48430"/>
    <cellStyle name="Normal 4 3 2 2 2 4 4" xfId="21540"/>
    <cellStyle name="Normal 4 3 2 2 2 4 4 2" xfId="61351"/>
    <cellStyle name="Normal 4 3 2 2 2 4 5" xfId="35155"/>
    <cellStyle name="Normal 4 3 2 2 2 5" xfId="2445"/>
    <cellStyle name="Normal 4 3 2 2 2 5 2" xfId="17244"/>
    <cellStyle name="Normal 4 3 2 2 2 5 2 2" xfId="29045"/>
    <cellStyle name="Normal 4 3 2 2 2 5 2 2 2" xfId="61352"/>
    <cellStyle name="Normal 4 3 2 2 2 5 2 3" xfId="42660"/>
    <cellStyle name="Normal 4 3 2 2 2 5 3" xfId="7898"/>
    <cellStyle name="Normal 4 3 2 2 2 5 3 2" xfId="61353"/>
    <cellStyle name="Normal 4 3 2 2 2 5 4" xfId="19699"/>
    <cellStyle name="Normal 4 3 2 2 2 5 4 2" xfId="61354"/>
    <cellStyle name="Normal 4 3 2 2 2 5 5" xfId="33314"/>
    <cellStyle name="Normal 4 3 2 2 2 6" xfId="16424"/>
    <cellStyle name="Normal 4 3 2 2 2 6 2" xfId="28225"/>
    <cellStyle name="Normal 4 3 2 2 2 6 2 2" xfId="61355"/>
    <cellStyle name="Normal 4 3 2 2 2 6 3" xfId="41840"/>
    <cellStyle name="Normal 4 3 2 2 2 7" xfId="5998"/>
    <cellStyle name="Normal 4 3 2 2 2 7 2" xfId="61356"/>
    <cellStyle name="Normal 4 3 2 2 2 8" xfId="17799"/>
    <cellStyle name="Normal 4 3 2 2 2 8 2" xfId="61357"/>
    <cellStyle name="Normal 4 3 2 2 2 9" xfId="31414"/>
    <cellStyle name="Normal 4 3 2 2 3" xfId="807"/>
    <cellStyle name="Normal 4 3 2 2 3 2" xfId="1868"/>
    <cellStyle name="Normal 4 3 2 2 3 2 2" xfId="4549"/>
    <cellStyle name="Normal 4 3 2 2 3 2 2 2" xfId="16425"/>
    <cellStyle name="Normal 4 3 2 2 3 2 2 2 2" xfId="28226"/>
    <cellStyle name="Normal 4 3 2 2 3 2 2 2 2 2" xfId="61358"/>
    <cellStyle name="Normal 4 3 2 2 3 2 2 2 3" xfId="41841"/>
    <cellStyle name="Normal 4 3 2 2 3 2 2 3" xfId="10002"/>
    <cellStyle name="Normal 4 3 2 2 3 2 2 3 2" xfId="48431"/>
    <cellStyle name="Normal 4 3 2 2 3 2 2 4" xfId="21803"/>
    <cellStyle name="Normal 4 3 2 2 3 2 2 4 2" xfId="61359"/>
    <cellStyle name="Normal 4 3 2 2 3 2 2 5" xfId="35418"/>
    <cellStyle name="Normal 4 3 2 2 3 2 3" xfId="16426"/>
    <cellStyle name="Normal 4 3 2 2 3 2 3 2" xfId="28227"/>
    <cellStyle name="Normal 4 3 2 2 3 2 3 2 2" xfId="48432"/>
    <cellStyle name="Normal 4 3 2 2 3 2 3 3" xfId="30806"/>
    <cellStyle name="Normal 4 3 2 2 3 2 3 3 2" xfId="48433"/>
    <cellStyle name="Normal 4 3 2 2 3 2 3 4" xfId="30807"/>
    <cellStyle name="Normal 4 3 2 2 3 2 3 4 2" xfId="61360"/>
    <cellStyle name="Normal 4 3 2 2 3 2 3 5" xfId="41842"/>
    <cellStyle name="Normal 4 3 2 2 3 2 4" xfId="16427"/>
    <cellStyle name="Normal 4 3 2 2 3 2 4 2" xfId="28228"/>
    <cellStyle name="Normal 4 3 2 2 3 2 4 2 2" xfId="61361"/>
    <cellStyle name="Normal 4 3 2 2 3 2 4 3" xfId="41843"/>
    <cellStyle name="Normal 4 3 2 2 3 2 5" xfId="7322"/>
    <cellStyle name="Normal 4 3 2 2 3 2 5 2" xfId="48434"/>
    <cellStyle name="Normal 4 3 2 2 3 2 6" xfId="19123"/>
    <cellStyle name="Normal 4 3 2 2 3 2 6 2" xfId="61362"/>
    <cellStyle name="Normal 4 3 2 2 3 2 7" xfId="32738"/>
    <cellStyle name="Normal 4 3 2 2 3 3" xfId="2708"/>
    <cellStyle name="Normal 4 3 2 2 3 3 2" xfId="16428"/>
    <cellStyle name="Normal 4 3 2 2 3 3 2 2" xfId="28229"/>
    <cellStyle name="Normal 4 3 2 2 3 3 2 2 2" xfId="61363"/>
    <cellStyle name="Normal 4 3 2 2 3 3 2 3" xfId="41844"/>
    <cellStyle name="Normal 4 3 2 2 3 3 3" xfId="8161"/>
    <cellStyle name="Normal 4 3 2 2 3 3 3 2" xfId="48435"/>
    <cellStyle name="Normal 4 3 2 2 3 3 4" xfId="19962"/>
    <cellStyle name="Normal 4 3 2 2 3 3 4 2" xfId="61364"/>
    <cellStyle name="Normal 4 3 2 2 3 3 5" xfId="33577"/>
    <cellStyle name="Normal 4 3 2 2 3 4" xfId="16429"/>
    <cellStyle name="Normal 4 3 2 2 3 4 2" xfId="28230"/>
    <cellStyle name="Normal 4 3 2 2 3 4 2 2" xfId="48436"/>
    <cellStyle name="Normal 4 3 2 2 3 4 3" xfId="30808"/>
    <cellStyle name="Normal 4 3 2 2 3 4 3 2" xfId="48437"/>
    <cellStyle name="Normal 4 3 2 2 3 4 4" xfId="30809"/>
    <cellStyle name="Normal 4 3 2 2 3 4 4 2" xfId="61365"/>
    <cellStyle name="Normal 4 3 2 2 3 4 5" xfId="41845"/>
    <cellStyle name="Normal 4 3 2 2 3 5" xfId="16430"/>
    <cellStyle name="Normal 4 3 2 2 3 5 2" xfId="28231"/>
    <cellStyle name="Normal 4 3 2 2 3 5 2 2" xfId="61366"/>
    <cellStyle name="Normal 4 3 2 2 3 5 3" xfId="41846"/>
    <cellStyle name="Normal 4 3 2 2 3 6" xfId="6261"/>
    <cellStyle name="Normal 4 3 2 2 3 6 2" xfId="48438"/>
    <cellStyle name="Normal 4 3 2 2 3 7" xfId="18062"/>
    <cellStyle name="Normal 4 3 2 2 3 7 2" xfId="61367"/>
    <cellStyle name="Normal 4 3 2 2 3 8" xfId="31677"/>
    <cellStyle name="Normal 4 3 2 2 4" xfId="1869"/>
    <cellStyle name="Normal 4 3 2 2 4 2" xfId="5117"/>
    <cellStyle name="Normal 4 3 2 2 4 2 2" xfId="16431"/>
    <cellStyle name="Normal 4 3 2 2 4 2 2 2" xfId="28232"/>
    <cellStyle name="Normal 4 3 2 2 4 2 2 2 2" xfId="61368"/>
    <cellStyle name="Normal 4 3 2 2 4 2 2 3" xfId="41847"/>
    <cellStyle name="Normal 4 3 2 2 4 2 3" xfId="10570"/>
    <cellStyle name="Normal 4 3 2 2 4 2 3 2" xfId="48439"/>
    <cellStyle name="Normal 4 3 2 2 4 2 4" xfId="22371"/>
    <cellStyle name="Normal 4 3 2 2 4 2 4 2" xfId="61369"/>
    <cellStyle name="Normal 4 3 2 2 4 2 5" xfId="35986"/>
    <cellStyle name="Normal 4 3 2 2 4 3" xfId="3276"/>
    <cellStyle name="Normal 4 3 2 2 4 3 2" xfId="16432"/>
    <cellStyle name="Normal 4 3 2 2 4 3 2 2" xfId="28233"/>
    <cellStyle name="Normal 4 3 2 2 4 3 2 2 2" xfId="61370"/>
    <cellStyle name="Normal 4 3 2 2 4 3 2 3" xfId="41848"/>
    <cellStyle name="Normal 4 3 2 2 4 3 3" xfId="8729"/>
    <cellStyle name="Normal 4 3 2 2 4 3 3 2" xfId="48440"/>
    <cellStyle name="Normal 4 3 2 2 4 3 4" xfId="20530"/>
    <cellStyle name="Normal 4 3 2 2 4 3 4 2" xfId="61371"/>
    <cellStyle name="Normal 4 3 2 2 4 3 5" xfId="34145"/>
    <cellStyle name="Normal 4 3 2 2 4 4" xfId="16433"/>
    <cellStyle name="Normal 4 3 2 2 4 4 2" xfId="28234"/>
    <cellStyle name="Normal 4 3 2 2 4 4 2 2" xfId="61372"/>
    <cellStyle name="Normal 4 3 2 2 4 4 3" xfId="41849"/>
    <cellStyle name="Normal 4 3 2 2 4 5" xfId="7323"/>
    <cellStyle name="Normal 4 3 2 2 4 5 2" xfId="48441"/>
    <cellStyle name="Normal 4 3 2 2 4 6" xfId="19124"/>
    <cellStyle name="Normal 4 3 2 2 4 6 2" xfId="61373"/>
    <cellStyle name="Normal 4 3 2 2 4 7" xfId="32739"/>
    <cellStyle name="Normal 4 3 2 2 5" xfId="3981"/>
    <cellStyle name="Normal 4 3 2 2 5 2" xfId="16434"/>
    <cellStyle name="Normal 4 3 2 2 5 2 2" xfId="28235"/>
    <cellStyle name="Normal 4 3 2 2 5 2 2 2" xfId="61374"/>
    <cellStyle name="Normal 4 3 2 2 5 2 3" xfId="41850"/>
    <cellStyle name="Normal 4 3 2 2 5 3" xfId="9434"/>
    <cellStyle name="Normal 4 3 2 2 5 3 2" xfId="48442"/>
    <cellStyle name="Normal 4 3 2 2 5 4" xfId="21235"/>
    <cellStyle name="Normal 4 3 2 2 5 4 2" xfId="61375"/>
    <cellStyle name="Normal 4 3 2 2 5 5" xfId="34850"/>
    <cellStyle name="Normal 4 3 2 2 6" xfId="2140"/>
    <cellStyle name="Normal 4 3 2 2 6 2" xfId="16435"/>
    <cellStyle name="Normal 4 3 2 2 6 2 2" xfId="28236"/>
    <cellStyle name="Normal 4 3 2 2 6 2 2 2" xfId="61376"/>
    <cellStyle name="Normal 4 3 2 2 6 2 3" xfId="41851"/>
    <cellStyle name="Normal 4 3 2 2 6 3" xfId="7593"/>
    <cellStyle name="Normal 4 3 2 2 6 3 2" xfId="48443"/>
    <cellStyle name="Normal 4 3 2 2 6 4" xfId="19394"/>
    <cellStyle name="Normal 4 3 2 2 6 4 2" xfId="61377"/>
    <cellStyle name="Normal 4 3 2 2 6 5" xfId="33009"/>
    <cellStyle name="Normal 4 3 2 2 7" xfId="16436"/>
    <cellStyle name="Normal 4 3 2 2 7 2" xfId="28237"/>
    <cellStyle name="Normal 4 3 2 2 7 2 2" xfId="61378"/>
    <cellStyle name="Normal 4 3 2 2 7 3" xfId="41852"/>
    <cellStyle name="Normal 4 3 2 2 8" xfId="5693"/>
    <cellStyle name="Normal 4 3 2 2 8 2" xfId="48444"/>
    <cellStyle name="Normal 4 3 2 2 9" xfId="17494"/>
    <cellStyle name="Normal 4 3 2 2 9 2" xfId="61379"/>
    <cellStyle name="Normal 4 3 2 3" xfId="407"/>
    <cellStyle name="Normal 4 3 2 3 2" xfId="1870"/>
    <cellStyle name="Normal 4 3 2 3 2 2" xfId="4717"/>
    <cellStyle name="Normal 4 3 2 3 2 2 2" xfId="16437"/>
    <cellStyle name="Normal 4 3 2 3 2 2 2 2" xfId="28238"/>
    <cellStyle name="Normal 4 3 2 3 2 2 2 2 2" xfId="61380"/>
    <cellStyle name="Normal 4 3 2 3 2 2 2 3" xfId="41853"/>
    <cellStyle name="Normal 4 3 2 3 2 2 3" xfId="10170"/>
    <cellStyle name="Normal 4 3 2 3 2 2 3 2" xfId="48445"/>
    <cellStyle name="Normal 4 3 2 3 2 2 4" xfId="21971"/>
    <cellStyle name="Normal 4 3 2 3 2 2 4 2" xfId="61381"/>
    <cellStyle name="Normal 4 3 2 3 2 2 5" xfId="35586"/>
    <cellStyle name="Normal 4 3 2 3 2 3" xfId="2876"/>
    <cellStyle name="Normal 4 3 2 3 2 3 2" xfId="16438"/>
    <cellStyle name="Normal 4 3 2 3 2 3 2 2" xfId="28239"/>
    <cellStyle name="Normal 4 3 2 3 2 3 2 2 2" xfId="61382"/>
    <cellStyle name="Normal 4 3 2 3 2 3 2 3" xfId="41854"/>
    <cellStyle name="Normal 4 3 2 3 2 3 3" xfId="8329"/>
    <cellStyle name="Normal 4 3 2 3 2 3 3 2" xfId="48446"/>
    <cellStyle name="Normal 4 3 2 3 2 3 4" xfId="20130"/>
    <cellStyle name="Normal 4 3 2 3 2 3 4 2" xfId="61383"/>
    <cellStyle name="Normal 4 3 2 3 2 3 5" xfId="33745"/>
    <cellStyle name="Normal 4 3 2 3 2 4" xfId="16439"/>
    <cellStyle name="Normal 4 3 2 3 2 4 2" xfId="28240"/>
    <cellStyle name="Normal 4 3 2 3 2 4 2 2" xfId="61384"/>
    <cellStyle name="Normal 4 3 2 3 2 4 3" xfId="41855"/>
    <cellStyle name="Normal 4 3 2 3 2 5" xfId="7324"/>
    <cellStyle name="Normal 4 3 2 3 2 5 2" xfId="48447"/>
    <cellStyle name="Normal 4 3 2 3 2 6" xfId="19125"/>
    <cellStyle name="Normal 4 3 2 3 2 6 2" xfId="61385"/>
    <cellStyle name="Normal 4 3 2 3 2 7" xfId="32740"/>
    <cellStyle name="Normal 4 3 2 3 3" xfId="3444"/>
    <cellStyle name="Normal 4 3 2 3 3 2" xfId="5285"/>
    <cellStyle name="Normal 4 3 2 3 3 2 2" xfId="16755"/>
    <cellStyle name="Normal 4 3 2 3 3 2 2 2" xfId="28556"/>
    <cellStyle name="Normal 4 3 2 3 3 2 2 2 2" xfId="61386"/>
    <cellStyle name="Normal 4 3 2 3 3 2 2 3" xfId="42171"/>
    <cellStyle name="Normal 4 3 2 3 3 2 3" xfId="10738"/>
    <cellStyle name="Normal 4 3 2 3 3 2 3 2" xfId="61387"/>
    <cellStyle name="Normal 4 3 2 3 3 2 4" xfId="22539"/>
    <cellStyle name="Normal 4 3 2 3 3 2 4 2" xfId="61388"/>
    <cellStyle name="Normal 4 3 2 3 3 2 5" xfId="36154"/>
    <cellStyle name="Normal 4 3 2 3 3 3" xfId="16440"/>
    <cellStyle name="Normal 4 3 2 3 3 3 2" xfId="28241"/>
    <cellStyle name="Normal 4 3 2 3 3 3 2 2" xfId="61389"/>
    <cellStyle name="Normal 4 3 2 3 3 3 3" xfId="41856"/>
    <cellStyle name="Normal 4 3 2 3 3 4" xfId="8897"/>
    <cellStyle name="Normal 4 3 2 3 3 4 2" xfId="61390"/>
    <cellStyle name="Normal 4 3 2 3 3 5" xfId="20698"/>
    <cellStyle name="Normal 4 3 2 3 3 5 2" xfId="61391"/>
    <cellStyle name="Normal 4 3 2 3 3 6" xfId="34313"/>
    <cellStyle name="Normal 4 3 2 3 4" xfId="4149"/>
    <cellStyle name="Normal 4 3 2 3 4 2" xfId="16441"/>
    <cellStyle name="Normal 4 3 2 3 4 2 2" xfId="28242"/>
    <cellStyle name="Normal 4 3 2 3 4 2 2 2" xfId="61392"/>
    <cellStyle name="Normal 4 3 2 3 4 2 3" xfId="41857"/>
    <cellStyle name="Normal 4 3 2 3 4 3" xfId="9602"/>
    <cellStyle name="Normal 4 3 2 3 4 3 2" xfId="48448"/>
    <cellStyle name="Normal 4 3 2 3 4 4" xfId="21403"/>
    <cellStyle name="Normal 4 3 2 3 4 4 2" xfId="61393"/>
    <cellStyle name="Normal 4 3 2 3 4 5" xfId="35018"/>
    <cellStyle name="Normal 4 3 2 3 5" xfId="2308"/>
    <cellStyle name="Normal 4 3 2 3 5 2" xfId="17245"/>
    <cellStyle name="Normal 4 3 2 3 5 2 2" xfId="29046"/>
    <cellStyle name="Normal 4 3 2 3 5 2 2 2" xfId="61394"/>
    <cellStyle name="Normal 4 3 2 3 5 2 3" xfId="42661"/>
    <cellStyle name="Normal 4 3 2 3 5 3" xfId="7761"/>
    <cellStyle name="Normal 4 3 2 3 5 3 2" xfId="61395"/>
    <cellStyle name="Normal 4 3 2 3 5 4" xfId="19562"/>
    <cellStyle name="Normal 4 3 2 3 5 4 2" xfId="61396"/>
    <cellStyle name="Normal 4 3 2 3 5 5" xfId="33177"/>
    <cellStyle name="Normal 4 3 2 3 6" xfId="16442"/>
    <cellStyle name="Normal 4 3 2 3 6 2" xfId="28243"/>
    <cellStyle name="Normal 4 3 2 3 6 2 2" xfId="61397"/>
    <cellStyle name="Normal 4 3 2 3 6 3" xfId="41858"/>
    <cellStyle name="Normal 4 3 2 3 7" xfId="5861"/>
    <cellStyle name="Normal 4 3 2 3 7 2" xfId="61398"/>
    <cellStyle name="Normal 4 3 2 3 8" xfId="17662"/>
    <cellStyle name="Normal 4 3 2 3 8 2" xfId="61399"/>
    <cellStyle name="Normal 4 3 2 3 9" xfId="31277"/>
    <cellStyle name="Normal 4 3 2 4" xfId="685"/>
    <cellStyle name="Normal 4 3 2 4 2" xfId="1871"/>
    <cellStyle name="Normal 4 3 2 4 2 2" xfId="4427"/>
    <cellStyle name="Normal 4 3 2 4 2 2 2" xfId="16443"/>
    <cellStyle name="Normal 4 3 2 4 2 2 2 2" xfId="28244"/>
    <cellStyle name="Normal 4 3 2 4 2 2 2 2 2" xfId="61400"/>
    <cellStyle name="Normal 4 3 2 4 2 2 2 3" xfId="41859"/>
    <cellStyle name="Normal 4 3 2 4 2 2 3" xfId="9880"/>
    <cellStyle name="Normal 4 3 2 4 2 2 3 2" xfId="48449"/>
    <cellStyle name="Normal 4 3 2 4 2 2 4" xfId="21681"/>
    <cellStyle name="Normal 4 3 2 4 2 2 4 2" xfId="61401"/>
    <cellStyle name="Normal 4 3 2 4 2 2 5" xfId="35296"/>
    <cellStyle name="Normal 4 3 2 4 2 3" xfId="16444"/>
    <cellStyle name="Normal 4 3 2 4 2 3 2" xfId="28245"/>
    <cellStyle name="Normal 4 3 2 4 2 3 2 2" xfId="48450"/>
    <cellStyle name="Normal 4 3 2 4 2 3 3" xfId="30810"/>
    <cellStyle name="Normal 4 3 2 4 2 3 3 2" xfId="48451"/>
    <cellStyle name="Normal 4 3 2 4 2 3 4" xfId="30811"/>
    <cellStyle name="Normal 4 3 2 4 2 3 4 2" xfId="61402"/>
    <cellStyle name="Normal 4 3 2 4 2 3 5" xfId="41860"/>
    <cellStyle name="Normal 4 3 2 4 2 4" xfId="16445"/>
    <cellStyle name="Normal 4 3 2 4 2 4 2" xfId="28246"/>
    <cellStyle name="Normal 4 3 2 4 2 4 2 2" xfId="61403"/>
    <cellStyle name="Normal 4 3 2 4 2 4 3" xfId="41861"/>
    <cellStyle name="Normal 4 3 2 4 2 5" xfId="7325"/>
    <cellStyle name="Normal 4 3 2 4 2 5 2" xfId="48452"/>
    <cellStyle name="Normal 4 3 2 4 2 6" xfId="19126"/>
    <cellStyle name="Normal 4 3 2 4 2 6 2" xfId="61404"/>
    <cellStyle name="Normal 4 3 2 4 2 7" xfId="32741"/>
    <cellStyle name="Normal 4 3 2 4 3" xfId="2586"/>
    <cellStyle name="Normal 4 3 2 4 3 2" xfId="16446"/>
    <cellStyle name="Normal 4 3 2 4 3 2 2" xfId="28247"/>
    <cellStyle name="Normal 4 3 2 4 3 2 2 2" xfId="61405"/>
    <cellStyle name="Normal 4 3 2 4 3 2 3" xfId="41862"/>
    <cellStyle name="Normal 4 3 2 4 3 3" xfId="8039"/>
    <cellStyle name="Normal 4 3 2 4 3 3 2" xfId="48453"/>
    <cellStyle name="Normal 4 3 2 4 3 4" xfId="19840"/>
    <cellStyle name="Normal 4 3 2 4 3 4 2" xfId="61406"/>
    <cellStyle name="Normal 4 3 2 4 3 5" xfId="33455"/>
    <cellStyle name="Normal 4 3 2 4 4" xfId="16447"/>
    <cellStyle name="Normal 4 3 2 4 4 2" xfId="28248"/>
    <cellStyle name="Normal 4 3 2 4 4 2 2" xfId="48454"/>
    <cellStyle name="Normal 4 3 2 4 4 3" xfId="30812"/>
    <cellStyle name="Normal 4 3 2 4 4 3 2" xfId="48455"/>
    <cellStyle name="Normal 4 3 2 4 4 4" xfId="30813"/>
    <cellStyle name="Normal 4 3 2 4 4 4 2" xfId="61407"/>
    <cellStyle name="Normal 4 3 2 4 4 5" xfId="41863"/>
    <cellStyle name="Normal 4 3 2 4 5" xfId="16448"/>
    <cellStyle name="Normal 4 3 2 4 5 2" xfId="28249"/>
    <cellStyle name="Normal 4 3 2 4 5 2 2" xfId="61408"/>
    <cellStyle name="Normal 4 3 2 4 5 3" xfId="41864"/>
    <cellStyle name="Normal 4 3 2 4 6" xfId="6139"/>
    <cellStyle name="Normal 4 3 2 4 6 2" xfId="48456"/>
    <cellStyle name="Normal 4 3 2 4 7" xfId="17940"/>
    <cellStyle name="Normal 4 3 2 4 7 2" xfId="61409"/>
    <cellStyle name="Normal 4 3 2 4 8" xfId="31555"/>
    <cellStyle name="Normal 4 3 2 5" xfId="926"/>
    <cellStyle name="Normal 4 3 2 5 2" xfId="1872"/>
    <cellStyle name="Normal 4 3 2 5 2 2" xfId="4995"/>
    <cellStyle name="Normal 4 3 2 5 2 2 2" xfId="16449"/>
    <cellStyle name="Normal 4 3 2 5 2 2 2 2" xfId="28250"/>
    <cellStyle name="Normal 4 3 2 5 2 2 2 2 2" xfId="61410"/>
    <cellStyle name="Normal 4 3 2 5 2 2 2 3" xfId="41865"/>
    <cellStyle name="Normal 4 3 2 5 2 2 3" xfId="10448"/>
    <cellStyle name="Normal 4 3 2 5 2 2 3 2" xfId="48457"/>
    <cellStyle name="Normal 4 3 2 5 2 2 4" xfId="22249"/>
    <cellStyle name="Normal 4 3 2 5 2 2 4 2" xfId="61411"/>
    <cellStyle name="Normal 4 3 2 5 2 2 5" xfId="35864"/>
    <cellStyle name="Normal 4 3 2 5 2 3" xfId="16450"/>
    <cellStyle name="Normal 4 3 2 5 2 3 2" xfId="28251"/>
    <cellStyle name="Normal 4 3 2 5 2 3 2 2" xfId="48458"/>
    <cellStyle name="Normal 4 3 2 5 2 3 3" xfId="30814"/>
    <cellStyle name="Normal 4 3 2 5 2 3 3 2" xfId="48459"/>
    <cellStyle name="Normal 4 3 2 5 2 3 4" xfId="30815"/>
    <cellStyle name="Normal 4 3 2 5 2 3 4 2" xfId="61412"/>
    <cellStyle name="Normal 4 3 2 5 2 3 5" xfId="41866"/>
    <cellStyle name="Normal 4 3 2 5 2 4" xfId="16451"/>
    <cellStyle name="Normal 4 3 2 5 2 4 2" xfId="28252"/>
    <cellStyle name="Normal 4 3 2 5 2 4 2 2" xfId="61413"/>
    <cellStyle name="Normal 4 3 2 5 2 4 3" xfId="41867"/>
    <cellStyle name="Normal 4 3 2 5 2 5" xfId="7326"/>
    <cellStyle name="Normal 4 3 2 5 2 5 2" xfId="48460"/>
    <cellStyle name="Normal 4 3 2 5 2 6" xfId="19127"/>
    <cellStyle name="Normal 4 3 2 5 2 6 2" xfId="61414"/>
    <cellStyle name="Normal 4 3 2 5 2 7" xfId="32742"/>
    <cellStyle name="Normal 4 3 2 5 3" xfId="3154"/>
    <cellStyle name="Normal 4 3 2 5 3 2" xfId="16452"/>
    <cellStyle name="Normal 4 3 2 5 3 2 2" xfId="28253"/>
    <cellStyle name="Normal 4 3 2 5 3 2 2 2" xfId="61415"/>
    <cellStyle name="Normal 4 3 2 5 3 2 3" xfId="41868"/>
    <cellStyle name="Normal 4 3 2 5 3 3" xfId="8607"/>
    <cellStyle name="Normal 4 3 2 5 3 3 2" xfId="48461"/>
    <cellStyle name="Normal 4 3 2 5 3 4" xfId="20408"/>
    <cellStyle name="Normal 4 3 2 5 3 4 2" xfId="61416"/>
    <cellStyle name="Normal 4 3 2 5 3 5" xfId="34023"/>
    <cellStyle name="Normal 4 3 2 5 4" xfId="16453"/>
    <cellStyle name="Normal 4 3 2 5 4 2" xfId="28254"/>
    <cellStyle name="Normal 4 3 2 5 4 2 2" xfId="48462"/>
    <cellStyle name="Normal 4 3 2 5 4 3" xfId="30816"/>
    <cellStyle name="Normal 4 3 2 5 4 3 2" xfId="48463"/>
    <cellStyle name="Normal 4 3 2 5 4 4" xfId="30817"/>
    <cellStyle name="Normal 4 3 2 5 4 4 2" xfId="61417"/>
    <cellStyle name="Normal 4 3 2 5 4 5" xfId="41869"/>
    <cellStyle name="Normal 4 3 2 5 5" xfId="16454"/>
    <cellStyle name="Normal 4 3 2 5 5 2" xfId="28255"/>
    <cellStyle name="Normal 4 3 2 5 5 2 2" xfId="61418"/>
    <cellStyle name="Normal 4 3 2 5 5 3" xfId="41870"/>
    <cellStyle name="Normal 4 3 2 5 6" xfId="6380"/>
    <cellStyle name="Normal 4 3 2 5 6 2" xfId="48464"/>
    <cellStyle name="Normal 4 3 2 5 7" xfId="18181"/>
    <cellStyle name="Normal 4 3 2 5 7 2" xfId="61419"/>
    <cellStyle name="Normal 4 3 2 5 8" xfId="31796"/>
    <cellStyle name="Normal 4 3 2 6" xfId="1873"/>
    <cellStyle name="Normal 4 3 2 6 2" xfId="3859"/>
    <cellStyle name="Normal 4 3 2 6 2 2" xfId="16455"/>
    <cellStyle name="Normal 4 3 2 6 2 2 2" xfId="28256"/>
    <cellStyle name="Normal 4 3 2 6 2 2 2 2" xfId="61420"/>
    <cellStyle name="Normal 4 3 2 6 2 2 3" xfId="41871"/>
    <cellStyle name="Normal 4 3 2 6 2 3" xfId="9312"/>
    <cellStyle name="Normal 4 3 2 6 2 3 2" xfId="48465"/>
    <cellStyle name="Normal 4 3 2 6 2 4" xfId="21113"/>
    <cellStyle name="Normal 4 3 2 6 2 4 2" xfId="61421"/>
    <cellStyle name="Normal 4 3 2 6 2 5" xfId="34728"/>
    <cellStyle name="Normal 4 3 2 6 3" xfId="16456"/>
    <cellStyle name="Normal 4 3 2 6 3 2" xfId="28257"/>
    <cellStyle name="Normal 4 3 2 6 3 2 2" xfId="48466"/>
    <cellStyle name="Normal 4 3 2 6 3 3" xfId="30818"/>
    <cellStyle name="Normal 4 3 2 6 3 3 2" xfId="48467"/>
    <cellStyle name="Normal 4 3 2 6 3 4" xfId="30819"/>
    <cellStyle name="Normal 4 3 2 6 3 4 2" xfId="61422"/>
    <cellStyle name="Normal 4 3 2 6 3 5" xfId="41872"/>
    <cellStyle name="Normal 4 3 2 6 4" xfId="16457"/>
    <cellStyle name="Normal 4 3 2 6 4 2" xfId="28258"/>
    <cellStyle name="Normal 4 3 2 6 4 2 2" xfId="61423"/>
    <cellStyle name="Normal 4 3 2 6 4 3" xfId="41873"/>
    <cellStyle name="Normal 4 3 2 6 5" xfId="7327"/>
    <cellStyle name="Normal 4 3 2 6 5 2" xfId="48468"/>
    <cellStyle name="Normal 4 3 2 6 6" xfId="19128"/>
    <cellStyle name="Normal 4 3 2 6 6 2" xfId="61424"/>
    <cellStyle name="Normal 4 3 2 6 7" xfId="32743"/>
    <cellStyle name="Normal 4 3 2 7" xfId="3722"/>
    <cellStyle name="Normal 4 3 2 7 2" xfId="16458"/>
    <cellStyle name="Normal 4 3 2 7 2 2" xfId="28259"/>
    <cellStyle name="Normal 4 3 2 7 2 2 2" xfId="61425"/>
    <cellStyle name="Normal 4 3 2 7 2 3" xfId="41874"/>
    <cellStyle name="Normal 4 3 2 7 3" xfId="9175"/>
    <cellStyle name="Normal 4 3 2 7 3 2" xfId="48469"/>
    <cellStyle name="Normal 4 3 2 7 4" xfId="20976"/>
    <cellStyle name="Normal 4 3 2 7 4 2" xfId="61426"/>
    <cellStyle name="Normal 4 3 2 7 5" xfId="34591"/>
    <cellStyle name="Normal 4 3 2 8" xfId="2018"/>
    <cellStyle name="Normal 4 3 2 8 2" xfId="16459"/>
    <cellStyle name="Normal 4 3 2 8 2 2" xfId="28260"/>
    <cellStyle name="Normal 4 3 2 8 2 2 2" xfId="61427"/>
    <cellStyle name="Normal 4 3 2 8 2 3" xfId="41875"/>
    <cellStyle name="Normal 4 3 2 8 3" xfId="7471"/>
    <cellStyle name="Normal 4 3 2 8 3 2" xfId="48470"/>
    <cellStyle name="Normal 4 3 2 8 4" xfId="19272"/>
    <cellStyle name="Normal 4 3 2 8 4 2" xfId="61428"/>
    <cellStyle name="Normal 4 3 2 8 5" xfId="32887"/>
    <cellStyle name="Normal 4 3 2 9" xfId="16460"/>
    <cellStyle name="Normal 4 3 2 9 2" xfId="28261"/>
    <cellStyle name="Normal 4 3 2 9 2 2" xfId="61429"/>
    <cellStyle name="Normal 4 3 2 9 3" xfId="41876"/>
    <cellStyle name="Normal 4 3 3" xfId="188"/>
    <cellStyle name="Normal 4 3 3 10" xfId="31058"/>
    <cellStyle name="Normal 4 3 3 2" xfId="340"/>
    <cellStyle name="Normal 4 3 3 2 2" xfId="1874"/>
    <cellStyle name="Normal 4 3 3 2 2 2" xfId="4650"/>
    <cellStyle name="Normal 4 3 3 2 2 2 2" xfId="16461"/>
    <cellStyle name="Normal 4 3 3 2 2 2 2 2" xfId="28262"/>
    <cellStyle name="Normal 4 3 3 2 2 2 2 2 2" xfId="61430"/>
    <cellStyle name="Normal 4 3 3 2 2 2 2 3" xfId="41877"/>
    <cellStyle name="Normal 4 3 3 2 2 2 3" xfId="10103"/>
    <cellStyle name="Normal 4 3 3 2 2 2 3 2" xfId="48471"/>
    <cellStyle name="Normal 4 3 3 2 2 2 4" xfId="21904"/>
    <cellStyle name="Normal 4 3 3 2 2 2 4 2" xfId="61431"/>
    <cellStyle name="Normal 4 3 3 2 2 2 5" xfId="35519"/>
    <cellStyle name="Normal 4 3 3 2 2 3" xfId="2809"/>
    <cellStyle name="Normal 4 3 3 2 2 3 2" xfId="16462"/>
    <cellStyle name="Normal 4 3 3 2 2 3 2 2" xfId="28263"/>
    <cellStyle name="Normal 4 3 3 2 2 3 2 2 2" xfId="61432"/>
    <cellStyle name="Normal 4 3 3 2 2 3 2 3" xfId="41878"/>
    <cellStyle name="Normal 4 3 3 2 2 3 3" xfId="8262"/>
    <cellStyle name="Normal 4 3 3 2 2 3 3 2" xfId="48472"/>
    <cellStyle name="Normal 4 3 3 2 2 3 4" xfId="20063"/>
    <cellStyle name="Normal 4 3 3 2 2 3 4 2" xfId="61433"/>
    <cellStyle name="Normal 4 3 3 2 2 3 5" xfId="33678"/>
    <cellStyle name="Normal 4 3 3 2 2 4" xfId="16463"/>
    <cellStyle name="Normal 4 3 3 2 2 4 2" xfId="28264"/>
    <cellStyle name="Normal 4 3 3 2 2 4 2 2" xfId="61434"/>
    <cellStyle name="Normal 4 3 3 2 2 4 3" xfId="41879"/>
    <cellStyle name="Normal 4 3 3 2 2 5" xfId="7328"/>
    <cellStyle name="Normal 4 3 3 2 2 5 2" xfId="48473"/>
    <cellStyle name="Normal 4 3 3 2 2 6" xfId="19129"/>
    <cellStyle name="Normal 4 3 3 2 2 6 2" xfId="61435"/>
    <cellStyle name="Normal 4 3 3 2 2 7" xfId="32744"/>
    <cellStyle name="Normal 4 3 3 2 3" xfId="3377"/>
    <cellStyle name="Normal 4 3 3 2 3 2" xfId="5218"/>
    <cellStyle name="Normal 4 3 3 2 3 2 2" xfId="16688"/>
    <cellStyle name="Normal 4 3 3 2 3 2 2 2" xfId="28489"/>
    <cellStyle name="Normal 4 3 3 2 3 2 2 2 2" xfId="61436"/>
    <cellStyle name="Normal 4 3 3 2 3 2 2 3" xfId="42104"/>
    <cellStyle name="Normal 4 3 3 2 3 2 3" xfId="10671"/>
    <cellStyle name="Normal 4 3 3 2 3 2 3 2" xfId="61437"/>
    <cellStyle name="Normal 4 3 3 2 3 2 4" xfId="22472"/>
    <cellStyle name="Normal 4 3 3 2 3 2 4 2" xfId="61438"/>
    <cellStyle name="Normal 4 3 3 2 3 2 5" xfId="36087"/>
    <cellStyle name="Normal 4 3 3 2 3 3" xfId="16464"/>
    <cellStyle name="Normal 4 3 3 2 3 3 2" xfId="28265"/>
    <cellStyle name="Normal 4 3 3 2 3 3 2 2" xfId="61439"/>
    <cellStyle name="Normal 4 3 3 2 3 3 3" xfId="41880"/>
    <cellStyle name="Normal 4 3 3 2 3 4" xfId="8830"/>
    <cellStyle name="Normal 4 3 3 2 3 4 2" xfId="61440"/>
    <cellStyle name="Normal 4 3 3 2 3 5" xfId="20631"/>
    <cellStyle name="Normal 4 3 3 2 3 5 2" xfId="61441"/>
    <cellStyle name="Normal 4 3 3 2 3 6" xfId="34246"/>
    <cellStyle name="Normal 4 3 3 2 4" xfId="4082"/>
    <cellStyle name="Normal 4 3 3 2 4 2" xfId="16465"/>
    <cellStyle name="Normal 4 3 3 2 4 2 2" xfId="28266"/>
    <cellStyle name="Normal 4 3 3 2 4 2 2 2" xfId="61442"/>
    <cellStyle name="Normal 4 3 3 2 4 2 3" xfId="41881"/>
    <cellStyle name="Normal 4 3 3 2 4 3" xfId="9535"/>
    <cellStyle name="Normal 4 3 3 2 4 3 2" xfId="48474"/>
    <cellStyle name="Normal 4 3 3 2 4 4" xfId="21336"/>
    <cellStyle name="Normal 4 3 3 2 4 4 2" xfId="61443"/>
    <cellStyle name="Normal 4 3 3 2 4 5" xfId="34951"/>
    <cellStyle name="Normal 4 3 3 2 5" xfId="2241"/>
    <cellStyle name="Normal 4 3 3 2 5 2" xfId="17246"/>
    <cellStyle name="Normal 4 3 3 2 5 2 2" xfId="29047"/>
    <cellStyle name="Normal 4 3 3 2 5 2 2 2" xfId="61444"/>
    <cellStyle name="Normal 4 3 3 2 5 2 3" xfId="42662"/>
    <cellStyle name="Normal 4 3 3 2 5 3" xfId="7694"/>
    <cellStyle name="Normal 4 3 3 2 5 3 2" xfId="61445"/>
    <cellStyle name="Normal 4 3 3 2 5 4" xfId="19495"/>
    <cellStyle name="Normal 4 3 3 2 5 4 2" xfId="61446"/>
    <cellStyle name="Normal 4 3 3 2 5 5" xfId="33110"/>
    <cellStyle name="Normal 4 3 3 2 6" xfId="16466"/>
    <cellStyle name="Normal 4 3 3 2 6 2" xfId="28267"/>
    <cellStyle name="Normal 4 3 3 2 6 2 2" xfId="61447"/>
    <cellStyle name="Normal 4 3 3 2 6 3" xfId="41882"/>
    <cellStyle name="Normal 4 3 3 2 7" xfId="5794"/>
    <cellStyle name="Normal 4 3 3 2 7 2" xfId="61448"/>
    <cellStyle name="Normal 4 3 3 2 8" xfId="17595"/>
    <cellStyle name="Normal 4 3 3 2 8 2" xfId="61449"/>
    <cellStyle name="Normal 4 3 3 2 9" xfId="31210"/>
    <cellStyle name="Normal 4 3 3 3" xfId="756"/>
    <cellStyle name="Normal 4 3 3 3 2" xfId="1875"/>
    <cellStyle name="Normal 4 3 3 3 2 2" xfId="4498"/>
    <cellStyle name="Normal 4 3 3 3 2 2 2" xfId="16467"/>
    <cellStyle name="Normal 4 3 3 3 2 2 2 2" xfId="28268"/>
    <cellStyle name="Normal 4 3 3 3 2 2 2 2 2" xfId="61450"/>
    <cellStyle name="Normal 4 3 3 3 2 2 2 3" xfId="41883"/>
    <cellStyle name="Normal 4 3 3 3 2 2 3" xfId="9951"/>
    <cellStyle name="Normal 4 3 3 3 2 2 3 2" xfId="48475"/>
    <cellStyle name="Normal 4 3 3 3 2 2 4" xfId="21752"/>
    <cellStyle name="Normal 4 3 3 3 2 2 4 2" xfId="61451"/>
    <cellStyle name="Normal 4 3 3 3 2 2 5" xfId="35367"/>
    <cellStyle name="Normal 4 3 3 3 2 3" xfId="16468"/>
    <cellStyle name="Normal 4 3 3 3 2 3 2" xfId="28269"/>
    <cellStyle name="Normal 4 3 3 3 2 3 2 2" xfId="48476"/>
    <cellStyle name="Normal 4 3 3 3 2 3 3" xfId="30820"/>
    <cellStyle name="Normal 4 3 3 3 2 3 3 2" xfId="48477"/>
    <cellStyle name="Normal 4 3 3 3 2 3 4" xfId="30821"/>
    <cellStyle name="Normal 4 3 3 3 2 3 4 2" xfId="61452"/>
    <cellStyle name="Normal 4 3 3 3 2 3 5" xfId="41884"/>
    <cellStyle name="Normal 4 3 3 3 2 4" xfId="16469"/>
    <cellStyle name="Normal 4 3 3 3 2 4 2" xfId="28270"/>
    <cellStyle name="Normal 4 3 3 3 2 4 2 2" xfId="61453"/>
    <cellStyle name="Normal 4 3 3 3 2 4 3" xfId="41885"/>
    <cellStyle name="Normal 4 3 3 3 2 5" xfId="7329"/>
    <cellStyle name="Normal 4 3 3 3 2 5 2" xfId="48478"/>
    <cellStyle name="Normal 4 3 3 3 2 6" xfId="19130"/>
    <cellStyle name="Normal 4 3 3 3 2 6 2" xfId="61454"/>
    <cellStyle name="Normal 4 3 3 3 2 7" xfId="32745"/>
    <cellStyle name="Normal 4 3 3 3 3" xfId="2657"/>
    <cellStyle name="Normal 4 3 3 3 3 2" xfId="16470"/>
    <cellStyle name="Normal 4 3 3 3 3 2 2" xfId="28271"/>
    <cellStyle name="Normal 4 3 3 3 3 2 2 2" xfId="61455"/>
    <cellStyle name="Normal 4 3 3 3 3 2 3" xfId="41886"/>
    <cellStyle name="Normal 4 3 3 3 3 3" xfId="8110"/>
    <cellStyle name="Normal 4 3 3 3 3 3 2" xfId="48479"/>
    <cellStyle name="Normal 4 3 3 3 3 4" xfId="19911"/>
    <cellStyle name="Normal 4 3 3 3 3 4 2" xfId="61456"/>
    <cellStyle name="Normal 4 3 3 3 3 5" xfId="33526"/>
    <cellStyle name="Normal 4 3 3 3 4" xfId="16471"/>
    <cellStyle name="Normal 4 3 3 3 4 2" xfId="28272"/>
    <cellStyle name="Normal 4 3 3 3 4 2 2" xfId="48480"/>
    <cellStyle name="Normal 4 3 3 3 4 3" xfId="30822"/>
    <cellStyle name="Normal 4 3 3 3 4 3 2" xfId="48481"/>
    <cellStyle name="Normal 4 3 3 3 4 4" xfId="30823"/>
    <cellStyle name="Normal 4 3 3 3 4 4 2" xfId="61457"/>
    <cellStyle name="Normal 4 3 3 3 4 5" xfId="41887"/>
    <cellStyle name="Normal 4 3 3 3 5" xfId="16472"/>
    <cellStyle name="Normal 4 3 3 3 5 2" xfId="28273"/>
    <cellStyle name="Normal 4 3 3 3 5 2 2" xfId="61458"/>
    <cellStyle name="Normal 4 3 3 3 5 3" xfId="41888"/>
    <cellStyle name="Normal 4 3 3 3 6" xfId="6210"/>
    <cellStyle name="Normal 4 3 3 3 6 2" xfId="48482"/>
    <cellStyle name="Normal 4 3 3 3 7" xfId="18011"/>
    <cellStyle name="Normal 4 3 3 3 7 2" xfId="61459"/>
    <cellStyle name="Normal 4 3 3 3 8" xfId="31626"/>
    <cellStyle name="Normal 4 3 3 4" xfId="1876"/>
    <cellStyle name="Normal 4 3 3 4 2" xfId="5066"/>
    <cellStyle name="Normal 4 3 3 4 2 2" xfId="16473"/>
    <cellStyle name="Normal 4 3 3 4 2 2 2" xfId="28274"/>
    <cellStyle name="Normal 4 3 3 4 2 2 2 2" xfId="61460"/>
    <cellStyle name="Normal 4 3 3 4 2 2 3" xfId="41889"/>
    <cellStyle name="Normal 4 3 3 4 2 3" xfId="10519"/>
    <cellStyle name="Normal 4 3 3 4 2 3 2" xfId="48483"/>
    <cellStyle name="Normal 4 3 3 4 2 4" xfId="22320"/>
    <cellStyle name="Normal 4 3 3 4 2 4 2" xfId="61461"/>
    <cellStyle name="Normal 4 3 3 4 2 5" xfId="35935"/>
    <cellStyle name="Normal 4 3 3 4 3" xfId="3225"/>
    <cellStyle name="Normal 4 3 3 4 3 2" xfId="16474"/>
    <cellStyle name="Normal 4 3 3 4 3 2 2" xfId="28275"/>
    <cellStyle name="Normal 4 3 3 4 3 2 2 2" xfId="61462"/>
    <cellStyle name="Normal 4 3 3 4 3 2 3" xfId="41890"/>
    <cellStyle name="Normal 4 3 3 4 3 3" xfId="8678"/>
    <cellStyle name="Normal 4 3 3 4 3 3 2" xfId="48484"/>
    <cellStyle name="Normal 4 3 3 4 3 4" xfId="20479"/>
    <cellStyle name="Normal 4 3 3 4 3 4 2" xfId="61463"/>
    <cellStyle name="Normal 4 3 3 4 3 5" xfId="34094"/>
    <cellStyle name="Normal 4 3 3 4 4" xfId="16475"/>
    <cellStyle name="Normal 4 3 3 4 4 2" xfId="28276"/>
    <cellStyle name="Normal 4 3 3 4 4 2 2" xfId="61464"/>
    <cellStyle name="Normal 4 3 3 4 4 3" xfId="41891"/>
    <cellStyle name="Normal 4 3 3 4 5" xfId="7330"/>
    <cellStyle name="Normal 4 3 3 4 5 2" xfId="48485"/>
    <cellStyle name="Normal 4 3 3 4 6" xfId="19131"/>
    <cellStyle name="Normal 4 3 3 4 6 2" xfId="61465"/>
    <cellStyle name="Normal 4 3 3 4 7" xfId="32746"/>
    <cellStyle name="Normal 4 3 3 5" xfId="3930"/>
    <cellStyle name="Normal 4 3 3 5 2" xfId="16476"/>
    <cellStyle name="Normal 4 3 3 5 2 2" xfId="28277"/>
    <cellStyle name="Normal 4 3 3 5 2 2 2" xfId="61466"/>
    <cellStyle name="Normal 4 3 3 5 2 3" xfId="41892"/>
    <cellStyle name="Normal 4 3 3 5 3" xfId="9383"/>
    <cellStyle name="Normal 4 3 3 5 3 2" xfId="48486"/>
    <cellStyle name="Normal 4 3 3 5 4" xfId="21184"/>
    <cellStyle name="Normal 4 3 3 5 4 2" xfId="61467"/>
    <cellStyle name="Normal 4 3 3 5 5" xfId="34799"/>
    <cellStyle name="Normal 4 3 3 6" xfId="2089"/>
    <cellStyle name="Normal 4 3 3 6 2" xfId="16477"/>
    <cellStyle name="Normal 4 3 3 6 2 2" xfId="28278"/>
    <cellStyle name="Normal 4 3 3 6 2 2 2" xfId="61468"/>
    <cellStyle name="Normal 4 3 3 6 2 3" xfId="41893"/>
    <cellStyle name="Normal 4 3 3 6 3" xfId="7542"/>
    <cellStyle name="Normal 4 3 3 6 3 2" xfId="48487"/>
    <cellStyle name="Normal 4 3 3 6 4" xfId="19343"/>
    <cellStyle name="Normal 4 3 3 6 4 2" xfId="61469"/>
    <cellStyle name="Normal 4 3 3 6 5" xfId="32958"/>
    <cellStyle name="Normal 4 3 3 7" xfId="16478"/>
    <cellStyle name="Normal 4 3 3 7 2" xfId="28279"/>
    <cellStyle name="Normal 4 3 3 7 2 2" xfId="61470"/>
    <cellStyle name="Normal 4 3 3 7 3" xfId="41894"/>
    <cellStyle name="Normal 4 3 3 8" xfId="5642"/>
    <cellStyle name="Normal 4 3 3 8 2" xfId="48488"/>
    <cellStyle name="Normal 4 3 3 9" xfId="17443"/>
    <cellStyle name="Normal 4 3 3 9 2" xfId="61471"/>
    <cellStyle name="Normal 4 3 4" xfId="477"/>
    <cellStyle name="Normal 4 3 4 2" xfId="1877"/>
    <cellStyle name="Normal 4 3 4 2 2" xfId="4787"/>
    <cellStyle name="Normal 4 3 4 2 2 2" xfId="16479"/>
    <cellStyle name="Normal 4 3 4 2 2 2 2" xfId="28280"/>
    <cellStyle name="Normal 4 3 4 2 2 2 2 2" xfId="61472"/>
    <cellStyle name="Normal 4 3 4 2 2 2 3" xfId="41895"/>
    <cellStyle name="Normal 4 3 4 2 2 3" xfId="10240"/>
    <cellStyle name="Normal 4 3 4 2 2 3 2" xfId="48489"/>
    <cellStyle name="Normal 4 3 4 2 2 4" xfId="22041"/>
    <cellStyle name="Normal 4 3 4 2 2 4 2" xfId="61473"/>
    <cellStyle name="Normal 4 3 4 2 2 5" xfId="35656"/>
    <cellStyle name="Normal 4 3 4 2 3" xfId="2946"/>
    <cellStyle name="Normal 4 3 4 2 3 2" xfId="16480"/>
    <cellStyle name="Normal 4 3 4 2 3 2 2" xfId="28281"/>
    <cellStyle name="Normal 4 3 4 2 3 2 2 2" xfId="61474"/>
    <cellStyle name="Normal 4 3 4 2 3 2 3" xfId="41896"/>
    <cellStyle name="Normal 4 3 4 2 3 3" xfId="8399"/>
    <cellStyle name="Normal 4 3 4 2 3 3 2" xfId="48490"/>
    <cellStyle name="Normal 4 3 4 2 3 4" xfId="20200"/>
    <cellStyle name="Normal 4 3 4 2 3 4 2" xfId="61475"/>
    <cellStyle name="Normal 4 3 4 2 3 5" xfId="33815"/>
    <cellStyle name="Normal 4 3 4 2 4" xfId="16481"/>
    <cellStyle name="Normal 4 3 4 2 4 2" xfId="28282"/>
    <cellStyle name="Normal 4 3 4 2 4 2 2" xfId="61476"/>
    <cellStyle name="Normal 4 3 4 2 4 3" xfId="41897"/>
    <cellStyle name="Normal 4 3 4 2 5" xfId="7331"/>
    <cellStyle name="Normal 4 3 4 2 5 2" xfId="48491"/>
    <cellStyle name="Normal 4 3 4 2 6" xfId="19132"/>
    <cellStyle name="Normal 4 3 4 2 6 2" xfId="61477"/>
    <cellStyle name="Normal 4 3 4 2 7" xfId="32747"/>
    <cellStyle name="Normal 4 3 4 3" xfId="3514"/>
    <cellStyle name="Normal 4 3 4 3 2" xfId="5355"/>
    <cellStyle name="Normal 4 3 4 3 2 2" xfId="16825"/>
    <cellStyle name="Normal 4 3 4 3 2 2 2" xfId="28626"/>
    <cellStyle name="Normal 4 3 4 3 2 2 2 2" xfId="61478"/>
    <cellStyle name="Normal 4 3 4 3 2 2 3" xfId="42241"/>
    <cellStyle name="Normal 4 3 4 3 2 3" xfId="10808"/>
    <cellStyle name="Normal 4 3 4 3 2 3 2" xfId="61479"/>
    <cellStyle name="Normal 4 3 4 3 2 4" xfId="22609"/>
    <cellStyle name="Normal 4 3 4 3 2 4 2" xfId="61480"/>
    <cellStyle name="Normal 4 3 4 3 2 5" xfId="36224"/>
    <cellStyle name="Normal 4 3 4 3 3" xfId="16482"/>
    <cellStyle name="Normal 4 3 4 3 3 2" xfId="28283"/>
    <cellStyle name="Normal 4 3 4 3 3 2 2" xfId="61481"/>
    <cellStyle name="Normal 4 3 4 3 3 3" xfId="41898"/>
    <cellStyle name="Normal 4 3 4 3 4" xfId="8967"/>
    <cellStyle name="Normal 4 3 4 3 4 2" xfId="61482"/>
    <cellStyle name="Normal 4 3 4 3 5" xfId="20768"/>
    <cellStyle name="Normal 4 3 4 3 5 2" xfId="61483"/>
    <cellStyle name="Normal 4 3 4 3 6" xfId="34383"/>
    <cellStyle name="Normal 4 3 4 4" xfId="4219"/>
    <cellStyle name="Normal 4 3 4 4 2" xfId="16483"/>
    <cellStyle name="Normal 4 3 4 4 2 2" xfId="28284"/>
    <cellStyle name="Normal 4 3 4 4 2 2 2" xfId="61484"/>
    <cellStyle name="Normal 4 3 4 4 2 3" xfId="41899"/>
    <cellStyle name="Normal 4 3 4 4 3" xfId="9672"/>
    <cellStyle name="Normal 4 3 4 4 3 2" xfId="48492"/>
    <cellStyle name="Normal 4 3 4 4 4" xfId="21473"/>
    <cellStyle name="Normal 4 3 4 4 4 2" xfId="61485"/>
    <cellStyle name="Normal 4 3 4 4 5" xfId="35088"/>
    <cellStyle name="Normal 4 3 4 5" xfId="2378"/>
    <cellStyle name="Normal 4 3 4 5 2" xfId="17247"/>
    <cellStyle name="Normal 4 3 4 5 2 2" xfId="29048"/>
    <cellStyle name="Normal 4 3 4 5 2 2 2" xfId="61486"/>
    <cellStyle name="Normal 4 3 4 5 2 3" xfId="42663"/>
    <cellStyle name="Normal 4 3 4 5 3" xfId="7831"/>
    <cellStyle name="Normal 4 3 4 5 3 2" xfId="61487"/>
    <cellStyle name="Normal 4 3 4 5 4" xfId="19632"/>
    <cellStyle name="Normal 4 3 4 5 4 2" xfId="61488"/>
    <cellStyle name="Normal 4 3 4 5 5" xfId="33247"/>
    <cellStyle name="Normal 4 3 4 6" xfId="16484"/>
    <cellStyle name="Normal 4 3 4 6 2" xfId="28285"/>
    <cellStyle name="Normal 4 3 4 6 2 2" xfId="61489"/>
    <cellStyle name="Normal 4 3 4 6 3" xfId="41900"/>
    <cellStyle name="Normal 4 3 4 7" xfId="5931"/>
    <cellStyle name="Normal 4 3 4 7 2" xfId="61490"/>
    <cellStyle name="Normal 4 3 4 8" xfId="17732"/>
    <cellStyle name="Normal 4 3 4 8 2" xfId="61491"/>
    <cellStyle name="Normal 4 3 4 9" xfId="31347"/>
    <cellStyle name="Normal 4 3 5" xfId="291"/>
    <cellStyle name="Normal 4 3 5 2" xfId="1878"/>
    <cellStyle name="Normal 4 3 5 2 2" xfId="4601"/>
    <cellStyle name="Normal 4 3 5 2 2 2" xfId="16485"/>
    <cellStyle name="Normal 4 3 5 2 2 2 2" xfId="28286"/>
    <cellStyle name="Normal 4 3 5 2 2 2 2 2" xfId="61492"/>
    <cellStyle name="Normal 4 3 5 2 2 2 3" xfId="41901"/>
    <cellStyle name="Normal 4 3 5 2 2 3" xfId="10054"/>
    <cellStyle name="Normal 4 3 5 2 2 3 2" xfId="48493"/>
    <cellStyle name="Normal 4 3 5 2 2 4" xfId="21855"/>
    <cellStyle name="Normal 4 3 5 2 2 4 2" xfId="61493"/>
    <cellStyle name="Normal 4 3 5 2 2 5" xfId="35470"/>
    <cellStyle name="Normal 4 3 5 2 3" xfId="2760"/>
    <cellStyle name="Normal 4 3 5 2 3 2" xfId="16486"/>
    <cellStyle name="Normal 4 3 5 2 3 2 2" xfId="28287"/>
    <cellStyle name="Normal 4 3 5 2 3 2 2 2" xfId="61494"/>
    <cellStyle name="Normal 4 3 5 2 3 2 3" xfId="41902"/>
    <cellStyle name="Normal 4 3 5 2 3 3" xfId="8213"/>
    <cellStyle name="Normal 4 3 5 2 3 3 2" xfId="48494"/>
    <cellStyle name="Normal 4 3 5 2 3 4" xfId="20014"/>
    <cellStyle name="Normal 4 3 5 2 3 4 2" xfId="61495"/>
    <cellStyle name="Normal 4 3 5 2 3 5" xfId="33629"/>
    <cellStyle name="Normal 4 3 5 2 4" xfId="16487"/>
    <cellStyle name="Normal 4 3 5 2 4 2" xfId="28288"/>
    <cellStyle name="Normal 4 3 5 2 4 2 2" xfId="61496"/>
    <cellStyle name="Normal 4 3 5 2 4 3" xfId="41903"/>
    <cellStyle name="Normal 4 3 5 2 5" xfId="7332"/>
    <cellStyle name="Normal 4 3 5 2 5 2" xfId="48495"/>
    <cellStyle name="Normal 4 3 5 2 6" xfId="19133"/>
    <cellStyle name="Normal 4 3 5 2 6 2" xfId="61497"/>
    <cellStyle name="Normal 4 3 5 2 7" xfId="32748"/>
    <cellStyle name="Normal 4 3 5 3" xfId="3328"/>
    <cellStyle name="Normal 4 3 5 3 2" xfId="5169"/>
    <cellStyle name="Normal 4 3 5 3 2 2" xfId="16639"/>
    <cellStyle name="Normal 4 3 5 3 2 2 2" xfId="28440"/>
    <cellStyle name="Normal 4 3 5 3 2 2 2 2" xfId="61498"/>
    <cellStyle name="Normal 4 3 5 3 2 2 3" xfId="42055"/>
    <cellStyle name="Normal 4 3 5 3 2 3" xfId="10622"/>
    <cellStyle name="Normal 4 3 5 3 2 3 2" xfId="61499"/>
    <cellStyle name="Normal 4 3 5 3 2 4" xfId="22423"/>
    <cellStyle name="Normal 4 3 5 3 2 4 2" xfId="61500"/>
    <cellStyle name="Normal 4 3 5 3 2 5" xfId="36038"/>
    <cellStyle name="Normal 4 3 5 3 3" xfId="16488"/>
    <cellStyle name="Normal 4 3 5 3 3 2" xfId="28289"/>
    <cellStyle name="Normal 4 3 5 3 3 2 2" xfId="61501"/>
    <cellStyle name="Normal 4 3 5 3 3 3" xfId="41904"/>
    <cellStyle name="Normal 4 3 5 3 4" xfId="8781"/>
    <cellStyle name="Normal 4 3 5 3 4 2" xfId="61502"/>
    <cellStyle name="Normal 4 3 5 3 5" xfId="20582"/>
    <cellStyle name="Normal 4 3 5 3 5 2" xfId="61503"/>
    <cellStyle name="Normal 4 3 5 3 6" xfId="34197"/>
    <cellStyle name="Normal 4 3 5 4" xfId="4033"/>
    <cellStyle name="Normal 4 3 5 4 2" xfId="16489"/>
    <cellStyle name="Normal 4 3 5 4 2 2" xfId="28290"/>
    <cellStyle name="Normal 4 3 5 4 2 2 2" xfId="61504"/>
    <cellStyle name="Normal 4 3 5 4 2 3" xfId="41905"/>
    <cellStyle name="Normal 4 3 5 4 3" xfId="9486"/>
    <cellStyle name="Normal 4 3 5 4 3 2" xfId="48496"/>
    <cellStyle name="Normal 4 3 5 4 4" xfId="21287"/>
    <cellStyle name="Normal 4 3 5 4 4 2" xfId="61505"/>
    <cellStyle name="Normal 4 3 5 4 5" xfId="34902"/>
    <cellStyle name="Normal 4 3 5 5" xfId="2192"/>
    <cellStyle name="Normal 4 3 5 5 2" xfId="17248"/>
    <cellStyle name="Normal 4 3 5 5 2 2" xfId="29049"/>
    <cellStyle name="Normal 4 3 5 5 2 2 2" xfId="61506"/>
    <cellStyle name="Normal 4 3 5 5 2 3" xfId="42664"/>
    <cellStyle name="Normal 4 3 5 5 3" xfId="7645"/>
    <cellStyle name="Normal 4 3 5 5 3 2" xfId="61507"/>
    <cellStyle name="Normal 4 3 5 5 4" xfId="19446"/>
    <cellStyle name="Normal 4 3 5 5 4 2" xfId="61508"/>
    <cellStyle name="Normal 4 3 5 5 5" xfId="33061"/>
    <cellStyle name="Normal 4 3 5 6" xfId="16490"/>
    <cellStyle name="Normal 4 3 5 6 2" xfId="28291"/>
    <cellStyle name="Normal 4 3 5 6 2 2" xfId="61509"/>
    <cellStyle name="Normal 4 3 5 6 3" xfId="41906"/>
    <cellStyle name="Normal 4 3 5 7" xfId="5745"/>
    <cellStyle name="Normal 4 3 5 7 2" xfId="61510"/>
    <cellStyle name="Normal 4 3 5 8" xfId="17546"/>
    <cellStyle name="Normal 4 3 5 8 2" xfId="61511"/>
    <cellStyle name="Normal 4 3 5 9" xfId="31161"/>
    <cellStyle name="Normal 4 3 6" xfId="618"/>
    <cellStyle name="Normal 4 3 6 2" xfId="1879"/>
    <cellStyle name="Normal 4 3 6 2 2" xfId="4360"/>
    <cellStyle name="Normal 4 3 6 2 2 2" xfId="16491"/>
    <cellStyle name="Normal 4 3 6 2 2 2 2" xfId="28292"/>
    <cellStyle name="Normal 4 3 6 2 2 2 2 2" xfId="61512"/>
    <cellStyle name="Normal 4 3 6 2 2 2 3" xfId="41907"/>
    <cellStyle name="Normal 4 3 6 2 2 3" xfId="9813"/>
    <cellStyle name="Normal 4 3 6 2 2 3 2" xfId="48497"/>
    <cellStyle name="Normal 4 3 6 2 2 4" xfId="21614"/>
    <cellStyle name="Normal 4 3 6 2 2 4 2" xfId="61513"/>
    <cellStyle name="Normal 4 3 6 2 2 5" xfId="35229"/>
    <cellStyle name="Normal 4 3 6 2 3" xfId="16492"/>
    <cellStyle name="Normal 4 3 6 2 3 2" xfId="28293"/>
    <cellStyle name="Normal 4 3 6 2 3 2 2" xfId="48498"/>
    <cellStyle name="Normal 4 3 6 2 3 3" xfId="30824"/>
    <cellStyle name="Normal 4 3 6 2 3 3 2" xfId="48499"/>
    <cellStyle name="Normal 4 3 6 2 3 4" xfId="30825"/>
    <cellStyle name="Normal 4 3 6 2 3 4 2" xfId="61514"/>
    <cellStyle name="Normal 4 3 6 2 3 5" xfId="41908"/>
    <cellStyle name="Normal 4 3 6 2 4" xfId="16493"/>
    <cellStyle name="Normal 4 3 6 2 4 2" xfId="28294"/>
    <cellStyle name="Normal 4 3 6 2 4 2 2" xfId="61515"/>
    <cellStyle name="Normal 4 3 6 2 4 3" xfId="41909"/>
    <cellStyle name="Normal 4 3 6 2 5" xfId="7333"/>
    <cellStyle name="Normal 4 3 6 2 5 2" xfId="48500"/>
    <cellStyle name="Normal 4 3 6 2 6" xfId="19134"/>
    <cellStyle name="Normal 4 3 6 2 6 2" xfId="61516"/>
    <cellStyle name="Normal 4 3 6 2 7" xfId="32749"/>
    <cellStyle name="Normal 4 3 6 3" xfId="2519"/>
    <cellStyle name="Normal 4 3 6 3 2" xfId="16494"/>
    <cellStyle name="Normal 4 3 6 3 2 2" xfId="28295"/>
    <cellStyle name="Normal 4 3 6 3 2 2 2" xfId="61517"/>
    <cellStyle name="Normal 4 3 6 3 2 3" xfId="41910"/>
    <cellStyle name="Normal 4 3 6 3 3" xfId="7972"/>
    <cellStyle name="Normal 4 3 6 3 3 2" xfId="48501"/>
    <cellStyle name="Normal 4 3 6 3 4" xfId="19773"/>
    <cellStyle name="Normal 4 3 6 3 4 2" xfId="61518"/>
    <cellStyle name="Normal 4 3 6 3 5" xfId="33388"/>
    <cellStyle name="Normal 4 3 6 4" xfId="16495"/>
    <cellStyle name="Normal 4 3 6 4 2" xfId="28296"/>
    <cellStyle name="Normal 4 3 6 4 2 2" xfId="48502"/>
    <cellStyle name="Normal 4 3 6 4 3" xfId="30826"/>
    <cellStyle name="Normal 4 3 6 4 3 2" xfId="48503"/>
    <cellStyle name="Normal 4 3 6 4 4" xfId="30827"/>
    <cellStyle name="Normal 4 3 6 4 4 2" xfId="61519"/>
    <cellStyle name="Normal 4 3 6 4 5" xfId="41911"/>
    <cellStyle name="Normal 4 3 6 5" xfId="16496"/>
    <cellStyle name="Normal 4 3 6 5 2" xfId="28297"/>
    <cellStyle name="Normal 4 3 6 5 2 2" xfId="61520"/>
    <cellStyle name="Normal 4 3 6 5 3" xfId="41912"/>
    <cellStyle name="Normal 4 3 6 6" xfId="6072"/>
    <cellStyle name="Normal 4 3 6 6 2" xfId="48504"/>
    <cellStyle name="Normal 4 3 6 7" xfId="17873"/>
    <cellStyle name="Normal 4 3 6 7 2" xfId="61521"/>
    <cellStyle name="Normal 4 3 6 8" xfId="31488"/>
    <cellStyle name="Normal 4 3 7" xfId="859"/>
    <cellStyle name="Normal 4 3 7 2" xfId="1880"/>
    <cellStyle name="Normal 4 3 7 2 2" xfId="4928"/>
    <cellStyle name="Normal 4 3 7 2 2 2" xfId="16497"/>
    <cellStyle name="Normal 4 3 7 2 2 2 2" xfId="28298"/>
    <cellStyle name="Normal 4 3 7 2 2 2 2 2" xfId="61522"/>
    <cellStyle name="Normal 4 3 7 2 2 2 3" xfId="41913"/>
    <cellStyle name="Normal 4 3 7 2 2 3" xfId="10381"/>
    <cellStyle name="Normal 4 3 7 2 2 3 2" xfId="48505"/>
    <cellStyle name="Normal 4 3 7 2 2 4" xfId="22182"/>
    <cellStyle name="Normal 4 3 7 2 2 4 2" xfId="61523"/>
    <cellStyle name="Normal 4 3 7 2 2 5" xfId="35797"/>
    <cellStyle name="Normal 4 3 7 2 3" xfId="16498"/>
    <cellStyle name="Normal 4 3 7 2 3 2" xfId="28299"/>
    <cellStyle name="Normal 4 3 7 2 3 2 2" xfId="48506"/>
    <cellStyle name="Normal 4 3 7 2 3 3" xfId="30828"/>
    <cellStyle name="Normal 4 3 7 2 3 3 2" xfId="48507"/>
    <cellStyle name="Normal 4 3 7 2 3 4" xfId="30829"/>
    <cellStyle name="Normal 4 3 7 2 3 4 2" xfId="61524"/>
    <cellStyle name="Normal 4 3 7 2 3 5" xfId="41914"/>
    <cellStyle name="Normal 4 3 7 2 4" xfId="16499"/>
    <cellStyle name="Normal 4 3 7 2 4 2" xfId="28300"/>
    <cellStyle name="Normal 4 3 7 2 4 2 2" xfId="61525"/>
    <cellStyle name="Normal 4 3 7 2 4 3" xfId="41915"/>
    <cellStyle name="Normal 4 3 7 2 5" xfId="7334"/>
    <cellStyle name="Normal 4 3 7 2 5 2" xfId="48508"/>
    <cellStyle name="Normal 4 3 7 2 6" xfId="19135"/>
    <cellStyle name="Normal 4 3 7 2 6 2" xfId="61526"/>
    <cellStyle name="Normal 4 3 7 2 7" xfId="32750"/>
    <cellStyle name="Normal 4 3 7 3" xfId="3087"/>
    <cellStyle name="Normal 4 3 7 3 2" xfId="16500"/>
    <cellStyle name="Normal 4 3 7 3 2 2" xfId="28301"/>
    <cellStyle name="Normal 4 3 7 3 2 2 2" xfId="61527"/>
    <cellStyle name="Normal 4 3 7 3 2 3" xfId="41916"/>
    <cellStyle name="Normal 4 3 7 3 3" xfId="8540"/>
    <cellStyle name="Normal 4 3 7 3 3 2" xfId="48509"/>
    <cellStyle name="Normal 4 3 7 3 4" xfId="20341"/>
    <cellStyle name="Normal 4 3 7 3 4 2" xfId="61528"/>
    <cellStyle name="Normal 4 3 7 3 5" xfId="33956"/>
    <cellStyle name="Normal 4 3 7 4" xfId="16501"/>
    <cellStyle name="Normal 4 3 7 4 2" xfId="28302"/>
    <cellStyle name="Normal 4 3 7 4 2 2" xfId="48510"/>
    <cellStyle name="Normal 4 3 7 4 3" xfId="30830"/>
    <cellStyle name="Normal 4 3 7 4 3 2" xfId="48511"/>
    <cellStyle name="Normal 4 3 7 4 4" xfId="30831"/>
    <cellStyle name="Normal 4 3 7 4 4 2" xfId="61529"/>
    <cellStyle name="Normal 4 3 7 4 5" xfId="41917"/>
    <cellStyle name="Normal 4 3 7 5" xfId="16502"/>
    <cellStyle name="Normal 4 3 7 5 2" xfId="28303"/>
    <cellStyle name="Normal 4 3 7 5 2 2" xfId="61530"/>
    <cellStyle name="Normal 4 3 7 5 3" xfId="41918"/>
    <cellStyle name="Normal 4 3 7 6" xfId="6313"/>
    <cellStyle name="Normal 4 3 7 6 2" xfId="48512"/>
    <cellStyle name="Normal 4 3 7 7" xfId="18114"/>
    <cellStyle name="Normal 4 3 7 7 2" xfId="61531"/>
    <cellStyle name="Normal 4 3 7 8" xfId="31729"/>
    <cellStyle name="Normal 4 3 8" xfId="1881"/>
    <cellStyle name="Normal 4 3 8 2" xfId="3792"/>
    <cellStyle name="Normal 4 3 8 2 2" xfId="16503"/>
    <cellStyle name="Normal 4 3 8 2 2 2" xfId="28304"/>
    <cellStyle name="Normal 4 3 8 2 2 2 2" xfId="61532"/>
    <cellStyle name="Normal 4 3 8 2 2 3" xfId="41919"/>
    <cellStyle name="Normal 4 3 8 2 3" xfId="9245"/>
    <cellStyle name="Normal 4 3 8 2 3 2" xfId="48513"/>
    <cellStyle name="Normal 4 3 8 2 4" xfId="21046"/>
    <cellStyle name="Normal 4 3 8 2 4 2" xfId="61533"/>
    <cellStyle name="Normal 4 3 8 2 5" xfId="34661"/>
    <cellStyle name="Normal 4 3 8 3" xfId="16504"/>
    <cellStyle name="Normal 4 3 8 3 2" xfId="28305"/>
    <cellStyle name="Normal 4 3 8 3 2 2" xfId="48514"/>
    <cellStyle name="Normal 4 3 8 3 3" xfId="30832"/>
    <cellStyle name="Normal 4 3 8 3 3 2" xfId="48515"/>
    <cellStyle name="Normal 4 3 8 3 4" xfId="30833"/>
    <cellStyle name="Normal 4 3 8 3 4 2" xfId="61534"/>
    <cellStyle name="Normal 4 3 8 3 5" xfId="41920"/>
    <cellStyle name="Normal 4 3 8 4" xfId="16505"/>
    <cellStyle name="Normal 4 3 8 4 2" xfId="28306"/>
    <cellStyle name="Normal 4 3 8 4 2 2" xfId="61535"/>
    <cellStyle name="Normal 4 3 8 4 3" xfId="41921"/>
    <cellStyle name="Normal 4 3 8 5" xfId="7335"/>
    <cellStyle name="Normal 4 3 8 5 2" xfId="48516"/>
    <cellStyle name="Normal 4 3 8 6" xfId="19136"/>
    <cellStyle name="Normal 4 3 8 6 2" xfId="61536"/>
    <cellStyle name="Normal 4 3 8 7" xfId="32751"/>
    <cellStyle name="Normal 4 3 9" xfId="3655"/>
    <cellStyle name="Normal 4 3 9 2" xfId="16506"/>
    <cellStyle name="Normal 4 3 9 2 2" xfId="28307"/>
    <cellStyle name="Normal 4 3 9 2 2 2" xfId="61537"/>
    <cellStyle name="Normal 4 3 9 2 3" xfId="41922"/>
    <cellStyle name="Normal 4 3 9 3" xfId="9108"/>
    <cellStyle name="Normal 4 3 9 3 2" xfId="48517"/>
    <cellStyle name="Normal 4 3 9 4" xfId="20909"/>
    <cellStyle name="Normal 4 3 9 4 2" xfId="61538"/>
    <cellStyle name="Normal 4 3 9 5" xfId="34524"/>
    <cellStyle name="Normal 4 4" xfId="105"/>
    <cellStyle name="Normal 4 4 10" xfId="5559"/>
    <cellStyle name="Normal 4 4 10 2" xfId="48518"/>
    <cellStyle name="Normal 4 4 11" xfId="17360"/>
    <cellStyle name="Normal 4 4 11 2" xfId="61539"/>
    <cellStyle name="Normal 4 4 12" xfId="30975"/>
    <cellStyle name="Normal 4 4 13" xfId="61822"/>
    <cellStyle name="Normal 4 4 2" xfId="240"/>
    <cellStyle name="Normal 4 4 2 10" xfId="31110"/>
    <cellStyle name="Normal 4 4 2 2" xfId="532"/>
    <cellStyle name="Normal 4 4 2 2 2" xfId="1882"/>
    <cellStyle name="Normal 4 4 2 2 2 2" xfId="4842"/>
    <cellStyle name="Normal 4 4 2 2 2 2 2" xfId="16507"/>
    <cellStyle name="Normal 4 4 2 2 2 2 2 2" xfId="28308"/>
    <cellStyle name="Normal 4 4 2 2 2 2 2 2 2" xfId="61540"/>
    <cellStyle name="Normal 4 4 2 2 2 2 2 3" xfId="41923"/>
    <cellStyle name="Normal 4 4 2 2 2 2 3" xfId="10295"/>
    <cellStyle name="Normal 4 4 2 2 2 2 3 2" xfId="48519"/>
    <cellStyle name="Normal 4 4 2 2 2 2 4" xfId="22096"/>
    <cellStyle name="Normal 4 4 2 2 2 2 4 2" xfId="61541"/>
    <cellStyle name="Normal 4 4 2 2 2 2 5" xfId="35711"/>
    <cellStyle name="Normal 4 4 2 2 2 3" xfId="3001"/>
    <cellStyle name="Normal 4 4 2 2 2 3 2" xfId="16508"/>
    <cellStyle name="Normal 4 4 2 2 2 3 2 2" xfId="28309"/>
    <cellStyle name="Normal 4 4 2 2 2 3 2 2 2" xfId="61542"/>
    <cellStyle name="Normal 4 4 2 2 2 3 2 3" xfId="41924"/>
    <cellStyle name="Normal 4 4 2 2 2 3 3" xfId="8454"/>
    <cellStyle name="Normal 4 4 2 2 2 3 3 2" xfId="48520"/>
    <cellStyle name="Normal 4 4 2 2 2 3 4" xfId="20255"/>
    <cellStyle name="Normal 4 4 2 2 2 3 4 2" xfId="61543"/>
    <cellStyle name="Normal 4 4 2 2 2 3 5" xfId="33870"/>
    <cellStyle name="Normal 4 4 2 2 2 4" xfId="16509"/>
    <cellStyle name="Normal 4 4 2 2 2 4 2" xfId="28310"/>
    <cellStyle name="Normal 4 4 2 2 2 4 2 2" xfId="61544"/>
    <cellStyle name="Normal 4 4 2 2 2 4 3" xfId="41925"/>
    <cellStyle name="Normal 4 4 2 2 2 5" xfId="7336"/>
    <cellStyle name="Normal 4 4 2 2 2 5 2" xfId="48521"/>
    <cellStyle name="Normal 4 4 2 2 2 6" xfId="19137"/>
    <cellStyle name="Normal 4 4 2 2 2 6 2" xfId="61545"/>
    <cellStyle name="Normal 4 4 2 2 2 7" xfId="32752"/>
    <cellStyle name="Normal 4 4 2 2 3" xfId="3569"/>
    <cellStyle name="Normal 4 4 2 2 3 2" xfId="5410"/>
    <cellStyle name="Normal 4 4 2 2 3 2 2" xfId="16880"/>
    <cellStyle name="Normal 4 4 2 2 3 2 2 2" xfId="28681"/>
    <cellStyle name="Normal 4 4 2 2 3 2 2 2 2" xfId="61546"/>
    <cellStyle name="Normal 4 4 2 2 3 2 2 3" xfId="42296"/>
    <cellStyle name="Normal 4 4 2 2 3 2 3" xfId="10863"/>
    <cellStyle name="Normal 4 4 2 2 3 2 3 2" xfId="61547"/>
    <cellStyle name="Normal 4 4 2 2 3 2 4" xfId="22664"/>
    <cellStyle name="Normal 4 4 2 2 3 2 4 2" xfId="61548"/>
    <cellStyle name="Normal 4 4 2 2 3 2 5" xfId="36279"/>
    <cellStyle name="Normal 4 4 2 2 3 3" xfId="16510"/>
    <cellStyle name="Normal 4 4 2 2 3 3 2" xfId="28311"/>
    <cellStyle name="Normal 4 4 2 2 3 3 2 2" xfId="61549"/>
    <cellStyle name="Normal 4 4 2 2 3 3 3" xfId="41926"/>
    <cellStyle name="Normal 4 4 2 2 3 4" xfId="9022"/>
    <cellStyle name="Normal 4 4 2 2 3 4 2" xfId="61550"/>
    <cellStyle name="Normal 4 4 2 2 3 5" xfId="20823"/>
    <cellStyle name="Normal 4 4 2 2 3 5 2" xfId="61551"/>
    <cellStyle name="Normal 4 4 2 2 3 6" xfId="34438"/>
    <cellStyle name="Normal 4 4 2 2 4" xfId="4274"/>
    <cellStyle name="Normal 4 4 2 2 4 2" xfId="16511"/>
    <cellStyle name="Normal 4 4 2 2 4 2 2" xfId="28312"/>
    <cellStyle name="Normal 4 4 2 2 4 2 2 2" xfId="61552"/>
    <cellStyle name="Normal 4 4 2 2 4 2 3" xfId="41927"/>
    <cellStyle name="Normal 4 4 2 2 4 3" xfId="9727"/>
    <cellStyle name="Normal 4 4 2 2 4 3 2" xfId="48522"/>
    <cellStyle name="Normal 4 4 2 2 4 4" xfId="21528"/>
    <cellStyle name="Normal 4 4 2 2 4 4 2" xfId="61553"/>
    <cellStyle name="Normal 4 4 2 2 4 5" xfId="35143"/>
    <cellStyle name="Normal 4 4 2 2 5" xfId="2433"/>
    <cellStyle name="Normal 4 4 2 2 5 2" xfId="17249"/>
    <cellStyle name="Normal 4 4 2 2 5 2 2" xfId="29050"/>
    <cellStyle name="Normal 4 4 2 2 5 2 2 2" xfId="61554"/>
    <cellStyle name="Normal 4 4 2 2 5 2 3" xfId="42665"/>
    <cellStyle name="Normal 4 4 2 2 5 3" xfId="7886"/>
    <cellStyle name="Normal 4 4 2 2 5 3 2" xfId="61555"/>
    <cellStyle name="Normal 4 4 2 2 5 4" xfId="19687"/>
    <cellStyle name="Normal 4 4 2 2 5 4 2" xfId="61556"/>
    <cellStyle name="Normal 4 4 2 2 5 5" xfId="33302"/>
    <cellStyle name="Normal 4 4 2 2 6" xfId="16512"/>
    <cellStyle name="Normal 4 4 2 2 6 2" xfId="28313"/>
    <cellStyle name="Normal 4 4 2 2 6 2 2" xfId="61557"/>
    <cellStyle name="Normal 4 4 2 2 6 3" xfId="41928"/>
    <cellStyle name="Normal 4 4 2 2 7" xfId="5986"/>
    <cellStyle name="Normal 4 4 2 2 7 2" xfId="61558"/>
    <cellStyle name="Normal 4 4 2 2 8" xfId="17787"/>
    <cellStyle name="Normal 4 4 2 2 8 2" xfId="61559"/>
    <cellStyle name="Normal 4 4 2 2 9" xfId="31402"/>
    <cellStyle name="Normal 4 4 2 3" xfId="808"/>
    <cellStyle name="Normal 4 4 2 3 2" xfId="1883"/>
    <cellStyle name="Normal 4 4 2 3 2 2" xfId="4550"/>
    <cellStyle name="Normal 4 4 2 3 2 2 2" xfId="16513"/>
    <cellStyle name="Normal 4 4 2 3 2 2 2 2" xfId="28314"/>
    <cellStyle name="Normal 4 4 2 3 2 2 2 2 2" xfId="61560"/>
    <cellStyle name="Normal 4 4 2 3 2 2 2 3" xfId="41929"/>
    <cellStyle name="Normal 4 4 2 3 2 2 3" xfId="10003"/>
    <cellStyle name="Normal 4 4 2 3 2 2 3 2" xfId="48523"/>
    <cellStyle name="Normal 4 4 2 3 2 2 4" xfId="21804"/>
    <cellStyle name="Normal 4 4 2 3 2 2 4 2" xfId="61561"/>
    <cellStyle name="Normal 4 4 2 3 2 2 5" xfId="35419"/>
    <cellStyle name="Normal 4 4 2 3 2 3" xfId="16514"/>
    <cellStyle name="Normal 4 4 2 3 2 3 2" xfId="28315"/>
    <cellStyle name="Normal 4 4 2 3 2 3 2 2" xfId="48524"/>
    <cellStyle name="Normal 4 4 2 3 2 3 3" xfId="30834"/>
    <cellStyle name="Normal 4 4 2 3 2 3 3 2" xfId="48525"/>
    <cellStyle name="Normal 4 4 2 3 2 3 4" xfId="30835"/>
    <cellStyle name="Normal 4 4 2 3 2 3 4 2" xfId="61562"/>
    <cellStyle name="Normal 4 4 2 3 2 3 5" xfId="41930"/>
    <cellStyle name="Normal 4 4 2 3 2 4" xfId="16515"/>
    <cellStyle name="Normal 4 4 2 3 2 4 2" xfId="28316"/>
    <cellStyle name="Normal 4 4 2 3 2 4 2 2" xfId="61563"/>
    <cellStyle name="Normal 4 4 2 3 2 4 3" xfId="41931"/>
    <cellStyle name="Normal 4 4 2 3 2 5" xfId="7337"/>
    <cellStyle name="Normal 4 4 2 3 2 5 2" xfId="48526"/>
    <cellStyle name="Normal 4 4 2 3 2 6" xfId="19138"/>
    <cellStyle name="Normal 4 4 2 3 2 6 2" xfId="61564"/>
    <cellStyle name="Normal 4 4 2 3 2 7" xfId="32753"/>
    <cellStyle name="Normal 4 4 2 3 3" xfId="2709"/>
    <cellStyle name="Normal 4 4 2 3 3 2" xfId="16516"/>
    <cellStyle name="Normal 4 4 2 3 3 2 2" xfId="28317"/>
    <cellStyle name="Normal 4 4 2 3 3 2 2 2" xfId="61565"/>
    <cellStyle name="Normal 4 4 2 3 3 2 3" xfId="41932"/>
    <cellStyle name="Normal 4 4 2 3 3 3" xfId="8162"/>
    <cellStyle name="Normal 4 4 2 3 3 3 2" xfId="48527"/>
    <cellStyle name="Normal 4 4 2 3 3 4" xfId="19963"/>
    <cellStyle name="Normal 4 4 2 3 3 4 2" xfId="61566"/>
    <cellStyle name="Normal 4 4 2 3 3 5" xfId="33578"/>
    <cellStyle name="Normal 4 4 2 3 4" xfId="16517"/>
    <cellStyle name="Normal 4 4 2 3 4 2" xfId="28318"/>
    <cellStyle name="Normal 4 4 2 3 4 2 2" xfId="48528"/>
    <cellStyle name="Normal 4 4 2 3 4 3" xfId="30836"/>
    <cellStyle name="Normal 4 4 2 3 4 3 2" xfId="48529"/>
    <cellStyle name="Normal 4 4 2 3 4 4" xfId="30837"/>
    <cellStyle name="Normal 4 4 2 3 4 4 2" xfId="61567"/>
    <cellStyle name="Normal 4 4 2 3 4 5" xfId="41933"/>
    <cellStyle name="Normal 4 4 2 3 5" xfId="16518"/>
    <cellStyle name="Normal 4 4 2 3 5 2" xfId="28319"/>
    <cellStyle name="Normal 4 4 2 3 5 2 2" xfId="61568"/>
    <cellStyle name="Normal 4 4 2 3 5 3" xfId="41934"/>
    <cellStyle name="Normal 4 4 2 3 6" xfId="6262"/>
    <cellStyle name="Normal 4 4 2 3 6 2" xfId="48530"/>
    <cellStyle name="Normal 4 4 2 3 7" xfId="18063"/>
    <cellStyle name="Normal 4 4 2 3 7 2" xfId="61569"/>
    <cellStyle name="Normal 4 4 2 3 8" xfId="31678"/>
    <cellStyle name="Normal 4 4 2 4" xfId="1884"/>
    <cellStyle name="Normal 4 4 2 4 2" xfId="5118"/>
    <cellStyle name="Normal 4 4 2 4 2 2" xfId="16519"/>
    <cellStyle name="Normal 4 4 2 4 2 2 2" xfId="28320"/>
    <cellStyle name="Normal 4 4 2 4 2 2 2 2" xfId="61570"/>
    <cellStyle name="Normal 4 4 2 4 2 2 3" xfId="41935"/>
    <cellStyle name="Normal 4 4 2 4 2 3" xfId="10571"/>
    <cellStyle name="Normal 4 4 2 4 2 3 2" xfId="48531"/>
    <cellStyle name="Normal 4 4 2 4 2 4" xfId="22372"/>
    <cellStyle name="Normal 4 4 2 4 2 4 2" xfId="61571"/>
    <cellStyle name="Normal 4 4 2 4 2 5" xfId="35987"/>
    <cellStyle name="Normal 4 4 2 4 3" xfId="3277"/>
    <cellStyle name="Normal 4 4 2 4 3 2" xfId="16520"/>
    <cellStyle name="Normal 4 4 2 4 3 2 2" xfId="28321"/>
    <cellStyle name="Normal 4 4 2 4 3 2 2 2" xfId="61572"/>
    <cellStyle name="Normal 4 4 2 4 3 2 3" xfId="41936"/>
    <cellStyle name="Normal 4 4 2 4 3 3" xfId="8730"/>
    <cellStyle name="Normal 4 4 2 4 3 3 2" xfId="48532"/>
    <cellStyle name="Normal 4 4 2 4 3 4" xfId="20531"/>
    <cellStyle name="Normal 4 4 2 4 3 4 2" xfId="61573"/>
    <cellStyle name="Normal 4 4 2 4 3 5" xfId="34146"/>
    <cellStyle name="Normal 4 4 2 4 4" xfId="16521"/>
    <cellStyle name="Normal 4 4 2 4 4 2" xfId="28322"/>
    <cellStyle name="Normal 4 4 2 4 4 2 2" xfId="61574"/>
    <cellStyle name="Normal 4 4 2 4 4 3" xfId="41937"/>
    <cellStyle name="Normal 4 4 2 4 5" xfId="7338"/>
    <cellStyle name="Normal 4 4 2 4 5 2" xfId="48533"/>
    <cellStyle name="Normal 4 4 2 4 6" xfId="19139"/>
    <cellStyle name="Normal 4 4 2 4 6 2" xfId="61575"/>
    <cellStyle name="Normal 4 4 2 4 7" xfId="32754"/>
    <cellStyle name="Normal 4 4 2 5" xfId="3982"/>
    <cellStyle name="Normal 4 4 2 5 2" xfId="16522"/>
    <cellStyle name="Normal 4 4 2 5 2 2" xfId="28323"/>
    <cellStyle name="Normal 4 4 2 5 2 2 2" xfId="61576"/>
    <cellStyle name="Normal 4 4 2 5 2 3" xfId="41938"/>
    <cellStyle name="Normal 4 4 2 5 3" xfId="9435"/>
    <cellStyle name="Normal 4 4 2 5 3 2" xfId="48534"/>
    <cellStyle name="Normal 4 4 2 5 4" xfId="21236"/>
    <cellStyle name="Normal 4 4 2 5 4 2" xfId="61577"/>
    <cellStyle name="Normal 4 4 2 5 5" xfId="34851"/>
    <cellStyle name="Normal 4 4 2 6" xfId="2141"/>
    <cellStyle name="Normal 4 4 2 6 2" xfId="16523"/>
    <cellStyle name="Normal 4 4 2 6 2 2" xfId="28324"/>
    <cellStyle name="Normal 4 4 2 6 2 2 2" xfId="61578"/>
    <cellStyle name="Normal 4 4 2 6 2 3" xfId="41939"/>
    <cellStyle name="Normal 4 4 2 6 3" xfId="7594"/>
    <cellStyle name="Normal 4 4 2 6 3 2" xfId="48535"/>
    <cellStyle name="Normal 4 4 2 6 4" xfId="19395"/>
    <cellStyle name="Normal 4 4 2 6 4 2" xfId="61579"/>
    <cellStyle name="Normal 4 4 2 6 5" xfId="33010"/>
    <cellStyle name="Normal 4 4 2 7" xfId="16524"/>
    <cellStyle name="Normal 4 4 2 7 2" xfId="28325"/>
    <cellStyle name="Normal 4 4 2 7 2 2" xfId="61580"/>
    <cellStyle name="Normal 4 4 2 7 3" xfId="41940"/>
    <cellStyle name="Normal 4 4 2 8" xfId="5694"/>
    <cellStyle name="Normal 4 4 2 8 2" xfId="48536"/>
    <cellStyle name="Normal 4 4 2 9" xfId="17495"/>
    <cellStyle name="Normal 4 4 2 9 2" xfId="61581"/>
    <cellStyle name="Normal 4 4 3" xfId="395"/>
    <cellStyle name="Normal 4 4 3 2" xfId="1885"/>
    <cellStyle name="Normal 4 4 3 2 2" xfId="4705"/>
    <cellStyle name="Normal 4 4 3 2 2 2" xfId="16525"/>
    <cellStyle name="Normal 4 4 3 2 2 2 2" xfId="28326"/>
    <cellStyle name="Normal 4 4 3 2 2 2 2 2" xfId="61582"/>
    <cellStyle name="Normal 4 4 3 2 2 2 3" xfId="41941"/>
    <cellStyle name="Normal 4 4 3 2 2 3" xfId="10158"/>
    <cellStyle name="Normal 4 4 3 2 2 3 2" xfId="48537"/>
    <cellStyle name="Normal 4 4 3 2 2 4" xfId="21959"/>
    <cellStyle name="Normal 4 4 3 2 2 4 2" xfId="61583"/>
    <cellStyle name="Normal 4 4 3 2 2 5" xfId="35574"/>
    <cellStyle name="Normal 4 4 3 2 3" xfId="2864"/>
    <cellStyle name="Normal 4 4 3 2 3 2" xfId="16526"/>
    <cellStyle name="Normal 4 4 3 2 3 2 2" xfId="28327"/>
    <cellStyle name="Normal 4 4 3 2 3 2 2 2" xfId="61584"/>
    <cellStyle name="Normal 4 4 3 2 3 2 3" xfId="41942"/>
    <cellStyle name="Normal 4 4 3 2 3 3" xfId="8317"/>
    <cellStyle name="Normal 4 4 3 2 3 3 2" xfId="48538"/>
    <cellStyle name="Normal 4 4 3 2 3 4" xfId="20118"/>
    <cellStyle name="Normal 4 4 3 2 3 4 2" xfId="61585"/>
    <cellStyle name="Normal 4 4 3 2 3 5" xfId="33733"/>
    <cellStyle name="Normal 4 4 3 2 4" xfId="16527"/>
    <cellStyle name="Normal 4 4 3 2 4 2" xfId="28328"/>
    <cellStyle name="Normal 4 4 3 2 4 2 2" xfId="61586"/>
    <cellStyle name="Normal 4 4 3 2 4 3" xfId="41943"/>
    <cellStyle name="Normal 4 4 3 2 5" xfId="7339"/>
    <cellStyle name="Normal 4 4 3 2 5 2" xfId="48539"/>
    <cellStyle name="Normal 4 4 3 2 6" xfId="19140"/>
    <cellStyle name="Normal 4 4 3 2 6 2" xfId="61587"/>
    <cellStyle name="Normal 4 4 3 2 7" xfId="32755"/>
    <cellStyle name="Normal 4 4 3 3" xfId="3432"/>
    <cellStyle name="Normal 4 4 3 3 2" xfId="5273"/>
    <cellStyle name="Normal 4 4 3 3 2 2" xfId="16743"/>
    <cellStyle name="Normal 4 4 3 3 2 2 2" xfId="28544"/>
    <cellStyle name="Normal 4 4 3 3 2 2 2 2" xfId="61588"/>
    <cellStyle name="Normal 4 4 3 3 2 2 3" xfId="42159"/>
    <cellStyle name="Normal 4 4 3 3 2 3" xfId="10726"/>
    <cellStyle name="Normal 4 4 3 3 2 3 2" xfId="61589"/>
    <cellStyle name="Normal 4 4 3 3 2 4" xfId="22527"/>
    <cellStyle name="Normal 4 4 3 3 2 4 2" xfId="61590"/>
    <cellStyle name="Normal 4 4 3 3 2 5" xfId="36142"/>
    <cellStyle name="Normal 4 4 3 3 3" xfId="16528"/>
    <cellStyle name="Normal 4 4 3 3 3 2" xfId="28329"/>
    <cellStyle name="Normal 4 4 3 3 3 2 2" xfId="61591"/>
    <cellStyle name="Normal 4 4 3 3 3 3" xfId="41944"/>
    <cellStyle name="Normal 4 4 3 3 4" xfId="8885"/>
    <cellStyle name="Normal 4 4 3 3 4 2" xfId="61592"/>
    <cellStyle name="Normal 4 4 3 3 5" xfId="20686"/>
    <cellStyle name="Normal 4 4 3 3 5 2" xfId="61593"/>
    <cellStyle name="Normal 4 4 3 3 6" xfId="34301"/>
    <cellStyle name="Normal 4 4 3 4" xfId="4137"/>
    <cellStyle name="Normal 4 4 3 4 2" xfId="16529"/>
    <cellStyle name="Normal 4 4 3 4 2 2" xfId="28330"/>
    <cellStyle name="Normal 4 4 3 4 2 2 2" xfId="61594"/>
    <cellStyle name="Normal 4 4 3 4 2 3" xfId="41945"/>
    <cellStyle name="Normal 4 4 3 4 3" xfId="9590"/>
    <cellStyle name="Normal 4 4 3 4 3 2" xfId="48540"/>
    <cellStyle name="Normal 4 4 3 4 4" xfId="21391"/>
    <cellStyle name="Normal 4 4 3 4 4 2" xfId="61595"/>
    <cellStyle name="Normal 4 4 3 4 5" xfId="35006"/>
    <cellStyle name="Normal 4 4 3 5" xfId="2296"/>
    <cellStyle name="Normal 4 4 3 5 2" xfId="17250"/>
    <cellStyle name="Normal 4 4 3 5 2 2" xfId="29051"/>
    <cellStyle name="Normal 4 4 3 5 2 2 2" xfId="61596"/>
    <cellStyle name="Normal 4 4 3 5 2 3" xfId="42666"/>
    <cellStyle name="Normal 4 4 3 5 3" xfId="7749"/>
    <cellStyle name="Normal 4 4 3 5 3 2" xfId="61597"/>
    <cellStyle name="Normal 4 4 3 5 4" xfId="19550"/>
    <cellStyle name="Normal 4 4 3 5 4 2" xfId="61598"/>
    <cellStyle name="Normal 4 4 3 5 5" xfId="33165"/>
    <cellStyle name="Normal 4 4 3 6" xfId="16530"/>
    <cellStyle name="Normal 4 4 3 6 2" xfId="28331"/>
    <cellStyle name="Normal 4 4 3 6 2 2" xfId="61599"/>
    <cellStyle name="Normal 4 4 3 6 3" xfId="41946"/>
    <cellStyle name="Normal 4 4 3 7" xfId="5849"/>
    <cellStyle name="Normal 4 4 3 7 2" xfId="61600"/>
    <cellStyle name="Normal 4 4 3 8" xfId="17650"/>
    <cellStyle name="Normal 4 4 3 8 2" xfId="61601"/>
    <cellStyle name="Normal 4 4 3 9" xfId="31265"/>
    <cellStyle name="Normal 4 4 4" xfId="673"/>
    <cellStyle name="Normal 4 4 4 2" xfId="1886"/>
    <cellStyle name="Normal 4 4 4 2 2" xfId="4415"/>
    <cellStyle name="Normal 4 4 4 2 2 2" xfId="16531"/>
    <cellStyle name="Normal 4 4 4 2 2 2 2" xfId="28332"/>
    <cellStyle name="Normal 4 4 4 2 2 2 2 2" xfId="61602"/>
    <cellStyle name="Normal 4 4 4 2 2 2 3" xfId="41947"/>
    <cellStyle name="Normal 4 4 4 2 2 3" xfId="9868"/>
    <cellStyle name="Normal 4 4 4 2 2 3 2" xfId="48541"/>
    <cellStyle name="Normal 4 4 4 2 2 4" xfId="21669"/>
    <cellStyle name="Normal 4 4 4 2 2 4 2" xfId="61603"/>
    <cellStyle name="Normal 4 4 4 2 2 5" xfId="35284"/>
    <cellStyle name="Normal 4 4 4 2 3" xfId="16532"/>
    <cellStyle name="Normal 4 4 4 2 3 2" xfId="28333"/>
    <cellStyle name="Normal 4 4 4 2 3 2 2" xfId="48542"/>
    <cellStyle name="Normal 4 4 4 2 3 3" xfId="30838"/>
    <cellStyle name="Normal 4 4 4 2 3 3 2" xfId="48543"/>
    <cellStyle name="Normal 4 4 4 2 3 4" xfId="30839"/>
    <cellStyle name="Normal 4 4 4 2 3 4 2" xfId="61604"/>
    <cellStyle name="Normal 4 4 4 2 3 5" xfId="41948"/>
    <cellStyle name="Normal 4 4 4 2 4" xfId="16533"/>
    <cellStyle name="Normal 4 4 4 2 4 2" xfId="28334"/>
    <cellStyle name="Normal 4 4 4 2 4 2 2" xfId="61605"/>
    <cellStyle name="Normal 4 4 4 2 4 3" xfId="41949"/>
    <cellStyle name="Normal 4 4 4 2 5" xfId="7340"/>
    <cellStyle name="Normal 4 4 4 2 5 2" xfId="48544"/>
    <cellStyle name="Normal 4 4 4 2 6" xfId="19141"/>
    <cellStyle name="Normal 4 4 4 2 6 2" xfId="61606"/>
    <cellStyle name="Normal 4 4 4 2 7" xfId="32756"/>
    <cellStyle name="Normal 4 4 4 3" xfId="2574"/>
    <cellStyle name="Normal 4 4 4 3 2" xfId="16534"/>
    <cellStyle name="Normal 4 4 4 3 2 2" xfId="28335"/>
    <cellStyle name="Normal 4 4 4 3 2 2 2" xfId="61607"/>
    <cellStyle name="Normal 4 4 4 3 2 3" xfId="41950"/>
    <cellStyle name="Normal 4 4 4 3 3" xfId="8027"/>
    <cellStyle name="Normal 4 4 4 3 3 2" xfId="48545"/>
    <cellStyle name="Normal 4 4 4 3 4" xfId="19828"/>
    <cellStyle name="Normal 4 4 4 3 4 2" xfId="61608"/>
    <cellStyle name="Normal 4 4 4 3 5" xfId="33443"/>
    <cellStyle name="Normal 4 4 4 4" xfId="16535"/>
    <cellStyle name="Normal 4 4 4 4 2" xfId="28336"/>
    <cellStyle name="Normal 4 4 4 4 2 2" xfId="48546"/>
    <cellStyle name="Normal 4 4 4 4 3" xfId="30840"/>
    <cellStyle name="Normal 4 4 4 4 3 2" xfId="48547"/>
    <cellStyle name="Normal 4 4 4 4 4" xfId="30841"/>
    <cellStyle name="Normal 4 4 4 4 4 2" xfId="61609"/>
    <cellStyle name="Normal 4 4 4 4 5" xfId="41951"/>
    <cellStyle name="Normal 4 4 4 5" xfId="16536"/>
    <cellStyle name="Normal 4 4 4 5 2" xfId="28337"/>
    <cellStyle name="Normal 4 4 4 5 2 2" xfId="61610"/>
    <cellStyle name="Normal 4 4 4 5 3" xfId="41952"/>
    <cellStyle name="Normal 4 4 4 6" xfId="6127"/>
    <cellStyle name="Normal 4 4 4 6 2" xfId="48548"/>
    <cellStyle name="Normal 4 4 4 7" xfId="17928"/>
    <cellStyle name="Normal 4 4 4 7 2" xfId="61611"/>
    <cellStyle name="Normal 4 4 4 8" xfId="31543"/>
    <cellStyle name="Normal 4 4 5" xfId="914"/>
    <cellStyle name="Normal 4 4 5 2" xfId="1887"/>
    <cellStyle name="Normal 4 4 5 2 2" xfId="4983"/>
    <cellStyle name="Normal 4 4 5 2 2 2" xfId="16537"/>
    <cellStyle name="Normal 4 4 5 2 2 2 2" xfId="28338"/>
    <cellStyle name="Normal 4 4 5 2 2 2 2 2" xfId="61612"/>
    <cellStyle name="Normal 4 4 5 2 2 2 3" xfId="41953"/>
    <cellStyle name="Normal 4 4 5 2 2 3" xfId="10436"/>
    <cellStyle name="Normal 4 4 5 2 2 3 2" xfId="48549"/>
    <cellStyle name="Normal 4 4 5 2 2 4" xfId="22237"/>
    <cellStyle name="Normal 4 4 5 2 2 4 2" xfId="61613"/>
    <cellStyle name="Normal 4 4 5 2 2 5" xfId="35852"/>
    <cellStyle name="Normal 4 4 5 2 3" xfId="16538"/>
    <cellStyle name="Normal 4 4 5 2 3 2" xfId="28339"/>
    <cellStyle name="Normal 4 4 5 2 3 2 2" xfId="48550"/>
    <cellStyle name="Normal 4 4 5 2 3 3" xfId="30842"/>
    <cellStyle name="Normal 4 4 5 2 3 3 2" xfId="48551"/>
    <cellStyle name="Normal 4 4 5 2 3 4" xfId="30843"/>
    <cellStyle name="Normal 4 4 5 2 3 4 2" xfId="61614"/>
    <cellStyle name="Normal 4 4 5 2 3 5" xfId="41954"/>
    <cellStyle name="Normal 4 4 5 2 4" xfId="16539"/>
    <cellStyle name="Normal 4 4 5 2 4 2" xfId="28340"/>
    <cellStyle name="Normal 4 4 5 2 4 2 2" xfId="61615"/>
    <cellStyle name="Normal 4 4 5 2 4 3" xfId="41955"/>
    <cellStyle name="Normal 4 4 5 2 5" xfId="7341"/>
    <cellStyle name="Normal 4 4 5 2 5 2" xfId="48552"/>
    <cellStyle name="Normal 4 4 5 2 6" xfId="19142"/>
    <cellStyle name="Normal 4 4 5 2 6 2" xfId="61616"/>
    <cellStyle name="Normal 4 4 5 2 7" xfId="32757"/>
    <cellStyle name="Normal 4 4 5 3" xfId="3142"/>
    <cellStyle name="Normal 4 4 5 3 2" xfId="16540"/>
    <cellStyle name="Normal 4 4 5 3 2 2" xfId="28341"/>
    <cellStyle name="Normal 4 4 5 3 2 2 2" xfId="61617"/>
    <cellStyle name="Normal 4 4 5 3 2 3" xfId="41956"/>
    <cellStyle name="Normal 4 4 5 3 3" xfId="8595"/>
    <cellStyle name="Normal 4 4 5 3 3 2" xfId="48553"/>
    <cellStyle name="Normal 4 4 5 3 4" xfId="20396"/>
    <cellStyle name="Normal 4 4 5 3 4 2" xfId="61618"/>
    <cellStyle name="Normal 4 4 5 3 5" xfId="34011"/>
    <cellStyle name="Normal 4 4 5 4" xfId="16541"/>
    <cellStyle name="Normal 4 4 5 4 2" xfId="28342"/>
    <cellStyle name="Normal 4 4 5 4 2 2" xfId="48554"/>
    <cellStyle name="Normal 4 4 5 4 3" xfId="30844"/>
    <cellStyle name="Normal 4 4 5 4 3 2" xfId="48555"/>
    <cellStyle name="Normal 4 4 5 4 4" xfId="30845"/>
    <cellStyle name="Normal 4 4 5 4 4 2" xfId="61619"/>
    <cellStyle name="Normal 4 4 5 4 5" xfId="41957"/>
    <cellStyle name="Normal 4 4 5 5" xfId="16542"/>
    <cellStyle name="Normal 4 4 5 5 2" xfId="28343"/>
    <cellStyle name="Normal 4 4 5 5 2 2" xfId="61620"/>
    <cellStyle name="Normal 4 4 5 5 3" xfId="41958"/>
    <cellStyle name="Normal 4 4 5 6" xfId="6368"/>
    <cellStyle name="Normal 4 4 5 6 2" xfId="48556"/>
    <cellStyle name="Normal 4 4 5 7" xfId="18169"/>
    <cellStyle name="Normal 4 4 5 7 2" xfId="61621"/>
    <cellStyle name="Normal 4 4 5 8" xfId="31784"/>
    <cellStyle name="Normal 4 4 6" xfId="1888"/>
    <cellStyle name="Normal 4 4 6 2" xfId="3847"/>
    <cellStyle name="Normal 4 4 6 2 2" xfId="16543"/>
    <cellStyle name="Normal 4 4 6 2 2 2" xfId="28344"/>
    <cellStyle name="Normal 4 4 6 2 2 2 2" xfId="61622"/>
    <cellStyle name="Normal 4 4 6 2 2 3" xfId="41959"/>
    <cellStyle name="Normal 4 4 6 2 3" xfId="9300"/>
    <cellStyle name="Normal 4 4 6 2 3 2" xfId="48557"/>
    <cellStyle name="Normal 4 4 6 2 4" xfId="21101"/>
    <cellStyle name="Normal 4 4 6 2 4 2" xfId="61623"/>
    <cellStyle name="Normal 4 4 6 2 5" xfId="34716"/>
    <cellStyle name="Normal 4 4 6 3" xfId="16544"/>
    <cellStyle name="Normal 4 4 6 3 2" xfId="28345"/>
    <cellStyle name="Normal 4 4 6 3 2 2" xfId="48558"/>
    <cellStyle name="Normal 4 4 6 3 3" xfId="30846"/>
    <cellStyle name="Normal 4 4 6 3 3 2" xfId="48559"/>
    <cellStyle name="Normal 4 4 6 3 4" xfId="30847"/>
    <cellStyle name="Normal 4 4 6 3 4 2" xfId="61624"/>
    <cellStyle name="Normal 4 4 6 3 5" xfId="41960"/>
    <cellStyle name="Normal 4 4 6 4" xfId="16545"/>
    <cellStyle name="Normal 4 4 6 4 2" xfId="28346"/>
    <cellStyle name="Normal 4 4 6 4 2 2" xfId="61625"/>
    <cellStyle name="Normal 4 4 6 4 3" xfId="41961"/>
    <cellStyle name="Normal 4 4 6 5" xfId="7342"/>
    <cellStyle name="Normal 4 4 6 5 2" xfId="48560"/>
    <cellStyle name="Normal 4 4 6 6" xfId="19143"/>
    <cellStyle name="Normal 4 4 6 6 2" xfId="61626"/>
    <cellStyle name="Normal 4 4 6 7" xfId="32758"/>
    <cellStyle name="Normal 4 4 7" xfId="3710"/>
    <cellStyle name="Normal 4 4 7 2" xfId="16546"/>
    <cellStyle name="Normal 4 4 7 2 2" xfId="28347"/>
    <cellStyle name="Normal 4 4 7 2 2 2" xfId="61627"/>
    <cellStyle name="Normal 4 4 7 2 3" xfId="41962"/>
    <cellStyle name="Normal 4 4 7 3" xfId="9163"/>
    <cellStyle name="Normal 4 4 7 3 2" xfId="48561"/>
    <cellStyle name="Normal 4 4 7 4" xfId="20964"/>
    <cellStyle name="Normal 4 4 7 4 2" xfId="61628"/>
    <cellStyle name="Normal 4 4 7 5" xfId="34579"/>
    <cellStyle name="Normal 4 4 8" xfId="2006"/>
    <cellStyle name="Normal 4 4 8 2" xfId="16547"/>
    <cellStyle name="Normal 4 4 8 2 2" xfId="28348"/>
    <cellStyle name="Normal 4 4 8 2 2 2" xfId="61629"/>
    <cellStyle name="Normal 4 4 8 2 3" xfId="41963"/>
    <cellStyle name="Normal 4 4 8 3" xfId="7459"/>
    <cellStyle name="Normal 4 4 8 3 2" xfId="48562"/>
    <cellStyle name="Normal 4 4 8 4" xfId="19260"/>
    <cellStyle name="Normal 4 4 8 4 2" xfId="61630"/>
    <cellStyle name="Normal 4 4 8 5" xfId="32875"/>
    <cellStyle name="Normal 4 4 9" xfId="16548"/>
    <cellStyle name="Normal 4 4 9 2" xfId="28349"/>
    <cellStyle name="Normal 4 4 9 2 2" xfId="61631"/>
    <cellStyle name="Normal 4 4 9 3" xfId="41964"/>
    <cellStyle name="Normal 4 5" xfId="186"/>
    <cellStyle name="Normal 4 5 10" xfId="31056"/>
    <cellStyle name="Normal 4 5 2" xfId="328"/>
    <cellStyle name="Normal 4 5 2 2" xfId="1889"/>
    <cellStyle name="Normal 4 5 2 2 2" xfId="4638"/>
    <cellStyle name="Normal 4 5 2 2 2 2" xfId="16549"/>
    <cellStyle name="Normal 4 5 2 2 2 2 2" xfId="28350"/>
    <cellStyle name="Normal 4 5 2 2 2 2 2 2" xfId="61632"/>
    <cellStyle name="Normal 4 5 2 2 2 2 3" xfId="41965"/>
    <cellStyle name="Normal 4 5 2 2 2 3" xfId="10091"/>
    <cellStyle name="Normal 4 5 2 2 2 3 2" xfId="48563"/>
    <cellStyle name="Normal 4 5 2 2 2 4" xfId="21892"/>
    <cellStyle name="Normal 4 5 2 2 2 4 2" xfId="61633"/>
    <cellStyle name="Normal 4 5 2 2 2 5" xfId="35507"/>
    <cellStyle name="Normal 4 5 2 2 3" xfId="2797"/>
    <cellStyle name="Normal 4 5 2 2 3 2" xfId="16550"/>
    <cellStyle name="Normal 4 5 2 2 3 2 2" xfId="28351"/>
    <cellStyle name="Normal 4 5 2 2 3 2 2 2" xfId="61634"/>
    <cellStyle name="Normal 4 5 2 2 3 2 3" xfId="41966"/>
    <cellStyle name="Normal 4 5 2 2 3 3" xfId="8250"/>
    <cellStyle name="Normal 4 5 2 2 3 3 2" xfId="48564"/>
    <cellStyle name="Normal 4 5 2 2 3 4" xfId="20051"/>
    <cellStyle name="Normal 4 5 2 2 3 4 2" xfId="61635"/>
    <cellStyle name="Normal 4 5 2 2 3 5" xfId="33666"/>
    <cellStyle name="Normal 4 5 2 2 4" xfId="16551"/>
    <cellStyle name="Normal 4 5 2 2 4 2" xfId="28352"/>
    <cellStyle name="Normal 4 5 2 2 4 2 2" xfId="61636"/>
    <cellStyle name="Normal 4 5 2 2 4 3" xfId="41967"/>
    <cellStyle name="Normal 4 5 2 2 5" xfId="7343"/>
    <cellStyle name="Normal 4 5 2 2 5 2" xfId="48565"/>
    <cellStyle name="Normal 4 5 2 2 6" xfId="19144"/>
    <cellStyle name="Normal 4 5 2 2 6 2" xfId="61637"/>
    <cellStyle name="Normal 4 5 2 2 7" xfId="32759"/>
    <cellStyle name="Normal 4 5 2 3" xfId="3365"/>
    <cellStyle name="Normal 4 5 2 3 2" xfId="5206"/>
    <cellStyle name="Normal 4 5 2 3 2 2" xfId="16676"/>
    <cellStyle name="Normal 4 5 2 3 2 2 2" xfId="28477"/>
    <cellStyle name="Normal 4 5 2 3 2 2 2 2" xfId="61638"/>
    <cellStyle name="Normal 4 5 2 3 2 2 3" xfId="42092"/>
    <cellStyle name="Normal 4 5 2 3 2 3" xfId="10659"/>
    <cellStyle name="Normal 4 5 2 3 2 3 2" xfId="61639"/>
    <cellStyle name="Normal 4 5 2 3 2 4" xfId="22460"/>
    <cellStyle name="Normal 4 5 2 3 2 4 2" xfId="61640"/>
    <cellStyle name="Normal 4 5 2 3 2 5" xfId="36075"/>
    <cellStyle name="Normal 4 5 2 3 3" xfId="16552"/>
    <cellStyle name="Normal 4 5 2 3 3 2" xfId="28353"/>
    <cellStyle name="Normal 4 5 2 3 3 2 2" xfId="61641"/>
    <cellStyle name="Normal 4 5 2 3 3 3" xfId="41968"/>
    <cellStyle name="Normal 4 5 2 3 4" xfId="8818"/>
    <cellStyle name="Normal 4 5 2 3 4 2" xfId="61642"/>
    <cellStyle name="Normal 4 5 2 3 5" xfId="20619"/>
    <cellStyle name="Normal 4 5 2 3 5 2" xfId="61643"/>
    <cellStyle name="Normal 4 5 2 3 6" xfId="34234"/>
    <cellStyle name="Normal 4 5 2 4" xfId="4070"/>
    <cellStyle name="Normal 4 5 2 4 2" xfId="16553"/>
    <cellStyle name="Normal 4 5 2 4 2 2" xfId="28354"/>
    <cellStyle name="Normal 4 5 2 4 2 2 2" xfId="61644"/>
    <cellStyle name="Normal 4 5 2 4 2 3" xfId="41969"/>
    <cellStyle name="Normal 4 5 2 4 3" xfId="9523"/>
    <cellStyle name="Normal 4 5 2 4 3 2" xfId="48566"/>
    <cellStyle name="Normal 4 5 2 4 4" xfId="21324"/>
    <cellStyle name="Normal 4 5 2 4 4 2" xfId="61645"/>
    <cellStyle name="Normal 4 5 2 4 5" xfId="34939"/>
    <cellStyle name="Normal 4 5 2 5" xfId="2229"/>
    <cellStyle name="Normal 4 5 2 5 2" xfId="17251"/>
    <cellStyle name="Normal 4 5 2 5 2 2" xfId="29052"/>
    <cellStyle name="Normal 4 5 2 5 2 2 2" xfId="61646"/>
    <cellStyle name="Normal 4 5 2 5 2 3" xfId="42667"/>
    <cellStyle name="Normal 4 5 2 5 3" xfId="7682"/>
    <cellStyle name="Normal 4 5 2 5 3 2" xfId="61647"/>
    <cellStyle name="Normal 4 5 2 5 4" xfId="19483"/>
    <cellStyle name="Normal 4 5 2 5 4 2" xfId="61648"/>
    <cellStyle name="Normal 4 5 2 5 5" xfId="33098"/>
    <cellStyle name="Normal 4 5 2 6" xfId="16554"/>
    <cellStyle name="Normal 4 5 2 6 2" xfId="28355"/>
    <cellStyle name="Normal 4 5 2 6 2 2" xfId="61649"/>
    <cellStyle name="Normal 4 5 2 6 3" xfId="41970"/>
    <cellStyle name="Normal 4 5 2 7" xfId="5782"/>
    <cellStyle name="Normal 4 5 2 7 2" xfId="61650"/>
    <cellStyle name="Normal 4 5 2 8" xfId="17583"/>
    <cellStyle name="Normal 4 5 2 8 2" xfId="61651"/>
    <cellStyle name="Normal 4 5 2 9" xfId="31198"/>
    <cellStyle name="Normal 4 5 3" xfId="754"/>
    <cellStyle name="Normal 4 5 3 2" xfId="1890"/>
    <cellStyle name="Normal 4 5 3 2 2" xfId="4496"/>
    <cellStyle name="Normal 4 5 3 2 2 2" xfId="16555"/>
    <cellStyle name="Normal 4 5 3 2 2 2 2" xfId="28356"/>
    <cellStyle name="Normal 4 5 3 2 2 2 2 2" xfId="61652"/>
    <cellStyle name="Normal 4 5 3 2 2 2 3" xfId="41971"/>
    <cellStyle name="Normal 4 5 3 2 2 3" xfId="9949"/>
    <cellStyle name="Normal 4 5 3 2 2 3 2" xfId="48567"/>
    <cellStyle name="Normal 4 5 3 2 2 4" xfId="21750"/>
    <cellStyle name="Normal 4 5 3 2 2 4 2" xfId="61653"/>
    <cellStyle name="Normal 4 5 3 2 2 5" xfId="35365"/>
    <cellStyle name="Normal 4 5 3 2 3" xfId="16556"/>
    <cellStyle name="Normal 4 5 3 2 3 2" xfId="28357"/>
    <cellStyle name="Normal 4 5 3 2 3 2 2" xfId="48568"/>
    <cellStyle name="Normal 4 5 3 2 3 3" xfId="30848"/>
    <cellStyle name="Normal 4 5 3 2 3 3 2" xfId="48569"/>
    <cellStyle name="Normal 4 5 3 2 3 4" xfId="30849"/>
    <cellStyle name="Normal 4 5 3 2 3 4 2" xfId="61654"/>
    <cellStyle name="Normal 4 5 3 2 3 5" xfId="41972"/>
    <cellStyle name="Normal 4 5 3 2 4" xfId="16557"/>
    <cellStyle name="Normal 4 5 3 2 4 2" xfId="28358"/>
    <cellStyle name="Normal 4 5 3 2 4 2 2" xfId="61655"/>
    <cellStyle name="Normal 4 5 3 2 4 3" xfId="41973"/>
    <cellStyle name="Normal 4 5 3 2 5" xfId="7344"/>
    <cellStyle name="Normal 4 5 3 2 5 2" xfId="48570"/>
    <cellStyle name="Normal 4 5 3 2 6" xfId="19145"/>
    <cellStyle name="Normal 4 5 3 2 6 2" xfId="61656"/>
    <cellStyle name="Normal 4 5 3 2 7" xfId="32760"/>
    <cellStyle name="Normal 4 5 3 3" xfId="2655"/>
    <cellStyle name="Normal 4 5 3 3 2" xfId="16558"/>
    <cellStyle name="Normal 4 5 3 3 2 2" xfId="28359"/>
    <cellStyle name="Normal 4 5 3 3 2 2 2" xfId="61657"/>
    <cellStyle name="Normal 4 5 3 3 2 3" xfId="41974"/>
    <cellStyle name="Normal 4 5 3 3 3" xfId="8108"/>
    <cellStyle name="Normal 4 5 3 3 3 2" xfId="48571"/>
    <cellStyle name="Normal 4 5 3 3 4" xfId="19909"/>
    <cellStyle name="Normal 4 5 3 3 4 2" xfId="61658"/>
    <cellStyle name="Normal 4 5 3 3 5" xfId="33524"/>
    <cellStyle name="Normal 4 5 3 4" xfId="16559"/>
    <cellStyle name="Normal 4 5 3 4 2" xfId="28360"/>
    <cellStyle name="Normal 4 5 3 4 2 2" xfId="48572"/>
    <cellStyle name="Normal 4 5 3 4 3" xfId="30850"/>
    <cellStyle name="Normal 4 5 3 4 3 2" xfId="48573"/>
    <cellStyle name="Normal 4 5 3 4 4" xfId="30851"/>
    <cellStyle name="Normal 4 5 3 4 4 2" xfId="61659"/>
    <cellStyle name="Normal 4 5 3 4 5" xfId="41975"/>
    <cellStyle name="Normal 4 5 3 5" xfId="16560"/>
    <cellStyle name="Normal 4 5 3 5 2" xfId="28361"/>
    <cellStyle name="Normal 4 5 3 5 2 2" xfId="61660"/>
    <cellStyle name="Normal 4 5 3 5 3" xfId="41976"/>
    <cellStyle name="Normal 4 5 3 6" xfId="6208"/>
    <cellStyle name="Normal 4 5 3 6 2" xfId="48574"/>
    <cellStyle name="Normal 4 5 3 7" xfId="18009"/>
    <cellStyle name="Normal 4 5 3 7 2" xfId="61661"/>
    <cellStyle name="Normal 4 5 3 8" xfId="31624"/>
    <cellStyle name="Normal 4 5 4" xfId="1891"/>
    <cellStyle name="Normal 4 5 4 2" xfId="5064"/>
    <cellStyle name="Normal 4 5 4 2 2" xfId="16561"/>
    <cellStyle name="Normal 4 5 4 2 2 2" xfId="28362"/>
    <cellStyle name="Normal 4 5 4 2 2 2 2" xfId="61662"/>
    <cellStyle name="Normal 4 5 4 2 2 3" xfId="41977"/>
    <cellStyle name="Normal 4 5 4 2 3" xfId="10517"/>
    <cellStyle name="Normal 4 5 4 2 3 2" xfId="48575"/>
    <cellStyle name="Normal 4 5 4 2 4" xfId="22318"/>
    <cellStyle name="Normal 4 5 4 2 4 2" xfId="61663"/>
    <cellStyle name="Normal 4 5 4 2 5" xfId="35933"/>
    <cellStyle name="Normal 4 5 4 3" xfId="3223"/>
    <cellStyle name="Normal 4 5 4 3 2" xfId="16562"/>
    <cellStyle name="Normal 4 5 4 3 2 2" xfId="28363"/>
    <cellStyle name="Normal 4 5 4 3 2 2 2" xfId="61664"/>
    <cellStyle name="Normal 4 5 4 3 2 3" xfId="41978"/>
    <cellStyle name="Normal 4 5 4 3 3" xfId="8676"/>
    <cellStyle name="Normal 4 5 4 3 3 2" xfId="48576"/>
    <cellStyle name="Normal 4 5 4 3 4" xfId="20477"/>
    <cellStyle name="Normal 4 5 4 3 4 2" xfId="61665"/>
    <cellStyle name="Normal 4 5 4 3 5" xfId="34092"/>
    <cellStyle name="Normal 4 5 4 4" xfId="16563"/>
    <cellStyle name="Normal 4 5 4 4 2" xfId="28364"/>
    <cellStyle name="Normal 4 5 4 4 2 2" xfId="61666"/>
    <cellStyle name="Normal 4 5 4 4 3" xfId="41979"/>
    <cellStyle name="Normal 4 5 4 5" xfId="7345"/>
    <cellStyle name="Normal 4 5 4 5 2" xfId="48577"/>
    <cellStyle name="Normal 4 5 4 6" xfId="19146"/>
    <cellStyle name="Normal 4 5 4 6 2" xfId="61667"/>
    <cellStyle name="Normal 4 5 4 7" xfId="32761"/>
    <cellStyle name="Normal 4 5 5" xfId="3928"/>
    <cellStyle name="Normal 4 5 5 2" xfId="16564"/>
    <cellStyle name="Normal 4 5 5 2 2" xfId="28365"/>
    <cellStyle name="Normal 4 5 5 2 2 2" xfId="61668"/>
    <cellStyle name="Normal 4 5 5 2 3" xfId="41980"/>
    <cellStyle name="Normal 4 5 5 3" xfId="9381"/>
    <cellStyle name="Normal 4 5 5 3 2" xfId="48578"/>
    <cellStyle name="Normal 4 5 5 4" xfId="21182"/>
    <cellStyle name="Normal 4 5 5 4 2" xfId="61669"/>
    <cellStyle name="Normal 4 5 5 5" xfId="34797"/>
    <cellStyle name="Normal 4 5 6" xfId="2087"/>
    <cellStyle name="Normal 4 5 6 2" xfId="16565"/>
    <cellStyle name="Normal 4 5 6 2 2" xfId="28366"/>
    <cellStyle name="Normal 4 5 6 2 2 2" xfId="61670"/>
    <cellStyle name="Normal 4 5 6 2 3" xfId="41981"/>
    <cellStyle name="Normal 4 5 6 3" xfId="7540"/>
    <cellStyle name="Normal 4 5 6 3 2" xfId="48579"/>
    <cellStyle name="Normal 4 5 6 4" xfId="19341"/>
    <cellStyle name="Normal 4 5 6 4 2" xfId="61671"/>
    <cellStyle name="Normal 4 5 6 5" xfId="32956"/>
    <cellStyle name="Normal 4 5 7" xfId="16566"/>
    <cellStyle name="Normal 4 5 7 2" xfId="28367"/>
    <cellStyle name="Normal 4 5 7 2 2" xfId="61672"/>
    <cellStyle name="Normal 4 5 7 3" xfId="41982"/>
    <cellStyle name="Normal 4 5 8" xfId="5640"/>
    <cellStyle name="Normal 4 5 8 2" xfId="48580"/>
    <cellStyle name="Normal 4 5 9" xfId="17441"/>
    <cellStyle name="Normal 4 5 9 2" xfId="61673"/>
    <cellStyle name="Normal 4 6" xfId="465"/>
    <cellStyle name="Normal 4 6 2" xfId="1892"/>
    <cellStyle name="Normal 4 6 2 2" xfId="4775"/>
    <cellStyle name="Normal 4 6 2 2 2" xfId="16567"/>
    <cellStyle name="Normal 4 6 2 2 2 2" xfId="28368"/>
    <cellStyle name="Normal 4 6 2 2 2 2 2" xfId="61674"/>
    <cellStyle name="Normal 4 6 2 2 2 3" xfId="41983"/>
    <cellStyle name="Normal 4 6 2 2 3" xfId="10228"/>
    <cellStyle name="Normal 4 6 2 2 3 2" xfId="48581"/>
    <cellStyle name="Normal 4 6 2 2 4" xfId="22029"/>
    <cellStyle name="Normal 4 6 2 2 4 2" xfId="61675"/>
    <cellStyle name="Normal 4 6 2 2 5" xfId="35644"/>
    <cellStyle name="Normal 4 6 2 3" xfId="2934"/>
    <cellStyle name="Normal 4 6 2 3 2" xfId="16568"/>
    <cellStyle name="Normal 4 6 2 3 2 2" xfId="28369"/>
    <cellStyle name="Normal 4 6 2 3 2 2 2" xfId="61676"/>
    <cellStyle name="Normal 4 6 2 3 2 3" xfId="41984"/>
    <cellStyle name="Normal 4 6 2 3 3" xfId="8387"/>
    <cellStyle name="Normal 4 6 2 3 3 2" xfId="48582"/>
    <cellStyle name="Normal 4 6 2 3 4" xfId="20188"/>
    <cellStyle name="Normal 4 6 2 3 4 2" xfId="61677"/>
    <cellStyle name="Normal 4 6 2 3 5" xfId="33803"/>
    <cellStyle name="Normal 4 6 2 4" xfId="16569"/>
    <cellStyle name="Normal 4 6 2 4 2" xfId="28370"/>
    <cellStyle name="Normal 4 6 2 4 2 2" xfId="61678"/>
    <cellStyle name="Normal 4 6 2 4 3" xfId="41985"/>
    <cellStyle name="Normal 4 6 2 5" xfId="7346"/>
    <cellStyle name="Normal 4 6 2 5 2" xfId="48583"/>
    <cellStyle name="Normal 4 6 2 6" xfId="19147"/>
    <cellStyle name="Normal 4 6 2 6 2" xfId="61679"/>
    <cellStyle name="Normal 4 6 2 7" xfId="32762"/>
    <cellStyle name="Normal 4 6 3" xfId="3502"/>
    <cellStyle name="Normal 4 6 3 2" xfId="5343"/>
    <cellStyle name="Normal 4 6 3 2 2" xfId="16813"/>
    <cellStyle name="Normal 4 6 3 2 2 2" xfId="28614"/>
    <cellStyle name="Normal 4 6 3 2 2 2 2" xfId="61680"/>
    <cellStyle name="Normal 4 6 3 2 2 3" xfId="42229"/>
    <cellStyle name="Normal 4 6 3 2 3" xfId="10796"/>
    <cellStyle name="Normal 4 6 3 2 3 2" xfId="61681"/>
    <cellStyle name="Normal 4 6 3 2 4" xfId="22597"/>
    <cellStyle name="Normal 4 6 3 2 4 2" xfId="61682"/>
    <cellStyle name="Normal 4 6 3 2 5" xfId="36212"/>
    <cellStyle name="Normal 4 6 3 3" xfId="16570"/>
    <cellStyle name="Normal 4 6 3 3 2" xfId="28371"/>
    <cellStyle name="Normal 4 6 3 3 2 2" xfId="61683"/>
    <cellStyle name="Normal 4 6 3 3 3" xfId="41986"/>
    <cellStyle name="Normal 4 6 3 4" xfId="8955"/>
    <cellStyle name="Normal 4 6 3 4 2" xfId="61684"/>
    <cellStyle name="Normal 4 6 3 5" xfId="20756"/>
    <cellStyle name="Normal 4 6 3 5 2" xfId="61685"/>
    <cellStyle name="Normal 4 6 3 6" xfId="34371"/>
    <cellStyle name="Normal 4 6 4" xfId="4207"/>
    <cellStyle name="Normal 4 6 4 2" xfId="16571"/>
    <cellStyle name="Normal 4 6 4 2 2" xfId="28372"/>
    <cellStyle name="Normal 4 6 4 2 2 2" xfId="61686"/>
    <cellStyle name="Normal 4 6 4 2 3" xfId="41987"/>
    <cellStyle name="Normal 4 6 4 3" xfId="9660"/>
    <cellStyle name="Normal 4 6 4 3 2" xfId="48584"/>
    <cellStyle name="Normal 4 6 4 4" xfId="21461"/>
    <cellStyle name="Normal 4 6 4 4 2" xfId="61687"/>
    <cellStyle name="Normal 4 6 4 5" xfId="35076"/>
    <cellStyle name="Normal 4 6 5" xfId="2366"/>
    <cellStyle name="Normal 4 6 5 2" xfId="17252"/>
    <cellStyle name="Normal 4 6 5 2 2" xfId="29053"/>
    <cellStyle name="Normal 4 6 5 2 2 2" xfId="61688"/>
    <cellStyle name="Normal 4 6 5 2 3" xfId="42668"/>
    <cellStyle name="Normal 4 6 5 3" xfId="7819"/>
    <cellStyle name="Normal 4 6 5 3 2" xfId="61689"/>
    <cellStyle name="Normal 4 6 5 4" xfId="19620"/>
    <cellStyle name="Normal 4 6 5 4 2" xfId="61690"/>
    <cellStyle name="Normal 4 6 5 5" xfId="33235"/>
    <cellStyle name="Normal 4 6 6" xfId="16572"/>
    <cellStyle name="Normal 4 6 6 2" xfId="28373"/>
    <cellStyle name="Normal 4 6 6 2 2" xfId="61691"/>
    <cellStyle name="Normal 4 6 6 3" xfId="41988"/>
    <cellStyle name="Normal 4 6 7" xfId="5919"/>
    <cellStyle name="Normal 4 6 7 2" xfId="61692"/>
    <cellStyle name="Normal 4 6 8" xfId="17720"/>
    <cellStyle name="Normal 4 6 8 2" xfId="61693"/>
    <cellStyle name="Normal 4 6 9" xfId="31335"/>
    <cellStyle name="Normal 4 7" xfId="279"/>
    <cellStyle name="Normal 4 7 2" xfId="1893"/>
    <cellStyle name="Normal 4 7 2 2" xfId="4589"/>
    <cellStyle name="Normal 4 7 2 2 2" xfId="16573"/>
    <cellStyle name="Normal 4 7 2 2 2 2" xfId="28374"/>
    <cellStyle name="Normal 4 7 2 2 2 2 2" xfId="61694"/>
    <cellStyle name="Normal 4 7 2 2 2 3" xfId="41989"/>
    <cellStyle name="Normal 4 7 2 2 3" xfId="10042"/>
    <cellStyle name="Normal 4 7 2 2 3 2" xfId="48585"/>
    <cellStyle name="Normal 4 7 2 2 4" xfId="21843"/>
    <cellStyle name="Normal 4 7 2 2 4 2" xfId="61695"/>
    <cellStyle name="Normal 4 7 2 2 5" xfId="35458"/>
    <cellStyle name="Normal 4 7 2 3" xfId="2748"/>
    <cellStyle name="Normal 4 7 2 3 2" xfId="16574"/>
    <cellStyle name="Normal 4 7 2 3 2 2" xfId="28375"/>
    <cellStyle name="Normal 4 7 2 3 2 2 2" xfId="61696"/>
    <cellStyle name="Normal 4 7 2 3 2 3" xfId="41990"/>
    <cellStyle name="Normal 4 7 2 3 3" xfId="8201"/>
    <cellStyle name="Normal 4 7 2 3 3 2" xfId="48586"/>
    <cellStyle name="Normal 4 7 2 3 4" xfId="20002"/>
    <cellStyle name="Normal 4 7 2 3 4 2" xfId="61697"/>
    <cellStyle name="Normal 4 7 2 3 5" xfId="33617"/>
    <cellStyle name="Normal 4 7 2 4" xfId="16575"/>
    <cellStyle name="Normal 4 7 2 4 2" xfId="28376"/>
    <cellStyle name="Normal 4 7 2 4 2 2" xfId="61698"/>
    <cellStyle name="Normal 4 7 2 4 3" xfId="41991"/>
    <cellStyle name="Normal 4 7 2 5" xfId="7347"/>
    <cellStyle name="Normal 4 7 2 5 2" xfId="48587"/>
    <cellStyle name="Normal 4 7 2 6" xfId="19148"/>
    <cellStyle name="Normal 4 7 2 6 2" xfId="61699"/>
    <cellStyle name="Normal 4 7 2 7" xfId="32763"/>
    <cellStyle name="Normal 4 7 3" xfId="3316"/>
    <cellStyle name="Normal 4 7 3 2" xfId="5157"/>
    <cellStyle name="Normal 4 7 3 2 2" xfId="16627"/>
    <cellStyle name="Normal 4 7 3 2 2 2" xfId="28428"/>
    <cellStyle name="Normal 4 7 3 2 2 2 2" xfId="61700"/>
    <cellStyle name="Normal 4 7 3 2 2 3" xfId="42043"/>
    <cellStyle name="Normal 4 7 3 2 3" xfId="10610"/>
    <cellStyle name="Normal 4 7 3 2 3 2" xfId="61701"/>
    <cellStyle name="Normal 4 7 3 2 4" xfId="22411"/>
    <cellStyle name="Normal 4 7 3 2 4 2" xfId="61702"/>
    <cellStyle name="Normal 4 7 3 2 5" xfId="36026"/>
    <cellStyle name="Normal 4 7 3 3" xfId="16576"/>
    <cellStyle name="Normal 4 7 3 3 2" xfId="28377"/>
    <cellStyle name="Normal 4 7 3 3 2 2" xfId="61703"/>
    <cellStyle name="Normal 4 7 3 3 3" xfId="41992"/>
    <cellStyle name="Normal 4 7 3 4" xfId="8769"/>
    <cellStyle name="Normal 4 7 3 4 2" xfId="61704"/>
    <cellStyle name="Normal 4 7 3 5" xfId="20570"/>
    <cellStyle name="Normal 4 7 3 5 2" xfId="61705"/>
    <cellStyle name="Normal 4 7 3 6" xfId="34185"/>
    <cellStyle name="Normal 4 7 4" xfId="4021"/>
    <cellStyle name="Normal 4 7 4 2" xfId="16577"/>
    <cellStyle name="Normal 4 7 4 2 2" xfId="28378"/>
    <cellStyle name="Normal 4 7 4 2 2 2" xfId="61706"/>
    <cellStyle name="Normal 4 7 4 2 3" xfId="41993"/>
    <cellStyle name="Normal 4 7 4 3" xfId="9474"/>
    <cellStyle name="Normal 4 7 4 3 2" xfId="48588"/>
    <cellStyle name="Normal 4 7 4 4" xfId="21275"/>
    <cellStyle name="Normal 4 7 4 4 2" xfId="61707"/>
    <cellStyle name="Normal 4 7 4 5" xfId="34890"/>
    <cellStyle name="Normal 4 7 5" xfId="2180"/>
    <cellStyle name="Normal 4 7 5 2" xfId="17253"/>
    <cellStyle name="Normal 4 7 5 2 2" xfId="29054"/>
    <cellStyle name="Normal 4 7 5 2 2 2" xfId="61708"/>
    <cellStyle name="Normal 4 7 5 2 3" xfId="42669"/>
    <cellStyle name="Normal 4 7 5 3" xfId="7633"/>
    <cellStyle name="Normal 4 7 5 3 2" xfId="61709"/>
    <cellStyle name="Normal 4 7 5 4" xfId="19434"/>
    <cellStyle name="Normal 4 7 5 4 2" xfId="61710"/>
    <cellStyle name="Normal 4 7 5 5" xfId="33049"/>
    <cellStyle name="Normal 4 7 6" xfId="16578"/>
    <cellStyle name="Normal 4 7 6 2" xfId="28379"/>
    <cellStyle name="Normal 4 7 6 2 2" xfId="61711"/>
    <cellStyle name="Normal 4 7 6 3" xfId="41994"/>
    <cellStyle name="Normal 4 7 7" xfId="5733"/>
    <cellStyle name="Normal 4 7 7 2" xfId="61712"/>
    <cellStyle name="Normal 4 7 8" xfId="17534"/>
    <cellStyle name="Normal 4 7 8 2" xfId="61713"/>
    <cellStyle name="Normal 4 7 9" xfId="31149"/>
    <cellStyle name="Normal 4 8" xfId="606"/>
    <cellStyle name="Normal 4 8 2" xfId="1894"/>
    <cellStyle name="Normal 4 8 2 2" xfId="4348"/>
    <cellStyle name="Normal 4 8 2 2 2" xfId="16579"/>
    <cellStyle name="Normal 4 8 2 2 2 2" xfId="28380"/>
    <cellStyle name="Normal 4 8 2 2 2 2 2" xfId="61714"/>
    <cellStyle name="Normal 4 8 2 2 2 3" xfId="41995"/>
    <cellStyle name="Normal 4 8 2 2 3" xfId="9801"/>
    <cellStyle name="Normal 4 8 2 2 3 2" xfId="48589"/>
    <cellStyle name="Normal 4 8 2 2 4" xfId="21602"/>
    <cellStyle name="Normal 4 8 2 2 4 2" xfId="61715"/>
    <cellStyle name="Normal 4 8 2 2 5" xfId="35217"/>
    <cellStyle name="Normal 4 8 2 3" xfId="16580"/>
    <cellStyle name="Normal 4 8 2 3 2" xfId="28381"/>
    <cellStyle name="Normal 4 8 2 3 2 2" xfId="48590"/>
    <cellStyle name="Normal 4 8 2 3 3" xfId="30852"/>
    <cellStyle name="Normal 4 8 2 3 3 2" xfId="48591"/>
    <cellStyle name="Normal 4 8 2 3 4" xfId="30853"/>
    <cellStyle name="Normal 4 8 2 3 4 2" xfId="61716"/>
    <cellStyle name="Normal 4 8 2 3 5" xfId="41996"/>
    <cellStyle name="Normal 4 8 2 4" xfId="16581"/>
    <cellStyle name="Normal 4 8 2 4 2" xfId="28382"/>
    <cellStyle name="Normal 4 8 2 4 2 2" xfId="61717"/>
    <cellStyle name="Normal 4 8 2 4 3" xfId="41997"/>
    <cellStyle name="Normal 4 8 2 5" xfId="7348"/>
    <cellStyle name="Normal 4 8 2 5 2" xfId="48592"/>
    <cellStyle name="Normal 4 8 2 6" xfId="19149"/>
    <cellStyle name="Normal 4 8 2 6 2" xfId="61718"/>
    <cellStyle name="Normal 4 8 2 7" xfId="32764"/>
    <cellStyle name="Normal 4 8 3" xfId="2507"/>
    <cellStyle name="Normal 4 8 3 2" xfId="16582"/>
    <cellStyle name="Normal 4 8 3 2 2" xfId="28383"/>
    <cellStyle name="Normal 4 8 3 2 2 2" xfId="61719"/>
    <cellStyle name="Normal 4 8 3 2 3" xfId="41998"/>
    <cellStyle name="Normal 4 8 3 3" xfId="7960"/>
    <cellStyle name="Normal 4 8 3 3 2" xfId="48593"/>
    <cellStyle name="Normal 4 8 3 4" xfId="19761"/>
    <cellStyle name="Normal 4 8 3 4 2" xfId="61720"/>
    <cellStyle name="Normal 4 8 3 5" xfId="33376"/>
    <cellStyle name="Normal 4 8 4" xfId="16583"/>
    <cellStyle name="Normal 4 8 4 2" xfId="28384"/>
    <cellStyle name="Normal 4 8 4 2 2" xfId="48594"/>
    <cellStyle name="Normal 4 8 4 3" xfId="30854"/>
    <cellStyle name="Normal 4 8 4 3 2" xfId="48595"/>
    <cellStyle name="Normal 4 8 4 4" xfId="30855"/>
    <cellStyle name="Normal 4 8 4 4 2" xfId="61721"/>
    <cellStyle name="Normal 4 8 4 5" xfId="41999"/>
    <cellStyle name="Normal 4 8 5" xfId="16584"/>
    <cellStyle name="Normal 4 8 5 2" xfId="28385"/>
    <cellStyle name="Normal 4 8 5 2 2" xfId="61722"/>
    <cellStyle name="Normal 4 8 5 3" xfId="42000"/>
    <cellStyle name="Normal 4 8 6" xfId="6060"/>
    <cellStyle name="Normal 4 8 6 2" xfId="48596"/>
    <cellStyle name="Normal 4 8 7" xfId="17861"/>
    <cellStyle name="Normal 4 8 7 2" xfId="61723"/>
    <cellStyle name="Normal 4 8 8" xfId="31476"/>
    <cellStyle name="Normal 4 9" xfId="847"/>
    <cellStyle name="Normal 4 9 2" xfId="1895"/>
    <cellStyle name="Normal 4 9 2 2" xfId="4916"/>
    <cellStyle name="Normal 4 9 2 2 2" xfId="16585"/>
    <cellStyle name="Normal 4 9 2 2 2 2" xfId="28386"/>
    <cellStyle name="Normal 4 9 2 2 2 2 2" xfId="61724"/>
    <cellStyle name="Normal 4 9 2 2 2 3" xfId="42001"/>
    <cellStyle name="Normal 4 9 2 2 3" xfId="10369"/>
    <cellStyle name="Normal 4 9 2 2 3 2" xfId="48597"/>
    <cellStyle name="Normal 4 9 2 2 4" xfId="22170"/>
    <cellStyle name="Normal 4 9 2 2 4 2" xfId="61725"/>
    <cellStyle name="Normal 4 9 2 2 5" xfId="35785"/>
    <cellStyle name="Normal 4 9 2 3" xfId="16586"/>
    <cellStyle name="Normal 4 9 2 3 2" xfId="28387"/>
    <cellStyle name="Normal 4 9 2 3 2 2" xfId="48598"/>
    <cellStyle name="Normal 4 9 2 3 3" xfId="30856"/>
    <cellStyle name="Normal 4 9 2 3 3 2" xfId="48599"/>
    <cellStyle name="Normal 4 9 2 3 4" xfId="30857"/>
    <cellStyle name="Normal 4 9 2 3 4 2" xfId="61726"/>
    <cellStyle name="Normal 4 9 2 3 5" xfId="42002"/>
    <cellStyle name="Normal 4 9 2 4" xfId="16587"/>
    <cellStyle name="Normal 4 9 2 4 2" xfId="28388"/>
    <cellStyle name="Normal 4 9 2 4 2 2" xfId="61727"/>
    <cellStyle name="Normal 4 9 2 4 3" xfId="42003"/>
    <cellStyle name="Normal 4 9 2 5" xfId="7349"/>
    <cellStyle name="Normal 4 9 2 5 2" xfId="48600"/>
    <cellStyle name="Normal 4 9 2 6" xfId="19150"/>
    <cellStyle name="Normal 4 9 2 6 2" xfId="61728"/>
    <cellStyle name="Normal 4 9 2 7" xfId="32765"/>
    <cellStyle name="Normal 4 9 3" xfId="3075"/>
    <cellStyle name="Normal 4 9 3 2" xfId="16588"/>
    <cellStyle name="Normal 4 9 3 2 2" xfId="28389"/>
    <cellStyle name="Normal 4 9 3 2 2 2" xfId="61729"/>
    <cellStyle name="Normal 4 9 3 2 3" xfId="42004"/>
    <cellStyle name="Normal 4 9 3 3" xfId="8528"/>
    <cellStyle name="Normal 4 9 3 3 2" xfId="48601"/>
    <cellStyle name="Normal 4 9 3 4" xfId="20329"/>
    <cellStyle name="Normal 4 9 3 4 2" xfId="61730"/>
    <cellStyle name="Normal 4 9 3 5" xfId="33944"/>
    <cellStyle name="Normal 4 9 4" xfId="16589"/>
    <cellStyle name="Normal 4 9 4 2" xfId="28390"/>
    <cellStyle name="Normal 4 9 4 2 2" xfId="48602"/>
    <cellStyle name="Normal 4 9 4 3" xfId="30858"/>
    <cellStyle name="Normal 4 9 4 3 2" xfId="48603"/>
    <cellStyle name="Normal 4 9 4 4" xfId="30859"/>
    <cellStyle name="Normal 4 9 4 4 2" xfId="61731"/>
    <cellStyle name="Normal 4 9 4 5" xfId="42005"/>
    <cellStyle name="Normal 4 9 5" xfId="16590"/>
    <cellStyle name="Normal 4 9 5 2" xfId="28391"/>
    <cellStyle name="Normal 4 9 5 2 2" xfId="61732"/>
    <cellStyle name="Normal 4 9 5 3" xfId="42006"/>
    <cellStyle name="Normal 4 9 6" xfId="6301"/>
    <cellStyle name="Normal 4 9 6 2" xfId="48604"/>
    <cellStyle name="Normal 4 9 7" xfId="18102"/>
    <cellStyle name="Normal 4 9 7 2" xfId="61733"/>
    <cellStyle name="Normal 4 9 8" xfId="31717"/>
    <cellStyle name="Normal 5" xfId="1896"/>
    <cellStyle name="Normal 5 2" xfId="61823"/>
    <cellStyle name="Normal 6" xfId="61795"/>
    <cellStyle name="Normal 6 2" xfId="61824"/>
    <cellStyle name="Normal 6 3" xfId="61825"/>
    <cellStyle name="Normal 6 4" xfId="61826"/>
    <cellStyle name="Normal 6 5" xfId="61827"/>
    <cellStyle name="Normal 7" xfId="61828"/>
    <cellStyle name="Normal 8" xfId="61829"/>
    <cellStyle name="Normal 9" xfId="61830"/>
    <cellStyle name="Note 2" xfId="61831"/>
    <cellStyle name="Note 2 2" xfId="61832"/>
    <cellStyle name="Note 3" xfId="61833"/>
    <cellStyle name="Note 3 2" xfId="61834"/>
    <cellStyle name="Note 4" xfId="61835"/>
    <cellStyle name="Note 4 2" xfId="61836"/>
    <cellStyle name="Note 5" xfId="61837"/>
    <cellStyle name="Note 5 2" xfId="61838"/>
    <cellStyle name="Note 5 3" xfId="61839"/>
    <cellStyle name="Note 5 4" xfId="61840"/>
    <cellStyle name="Note 6" xfId="61841"/>
    <cellStyle name="Note 7" xfId="61842"/>
    <cellStyle name="Note 8" xfId="61843"/>
    <cellStyle name="Style 2" xfId="4"/>
    <cellStyle name="Währung [0]_CR tracking" xfId="61844"/>
    <cellStyle name="Währung_CR tracking" xfId="61845"/>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z val="11"/>
        <color rgb="FF9C0006"/>
        <name val="Calibri"/>
      </font>
      <fill>
        <patternFill>
          <bgColor rgb="FFFFC7CE"/>
        </patternFill>
      </fill>
    </dxf>
    <dxf>
      <font>
        <sz val="11"/>
        <color rgb="FF9C0006"/>
        <name val="Calibri"/>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609600</xdr:colOff>
          <xdr:row>21</xdr:row>
          <xdr:rowOff>85725</xdr:rowOff>
        </xdr:from>
        <xdr:to>
          <xdr:col>3</xdr:col>
          <xdr:colOff>257175</xdr:colOff>
          <xdr:row>23</xdr:row>
          <xdr:rowOff>95250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Generate Source Files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25</xdr:row>
          <xdr:rowOff>28575</xdr:rowOff>
        </xdr:from>
        <xdr:to>
          <xdr:col>3</xdr:col>
          <xdr:colOff>247650</xdr:colOff>
          <xdr:row>27</xdr:row>
          <xdr:rowOff>19050</xdr:rowOff>
        </xdr:to>
        <xdr:sp macro="" textlink="">
          <xdr:nvSpPr>
            <xdr:cNvPr id="4109" name="Button 13" hidden="1">
              <a:extLst>
                <a:ext uri="{63B3BB69-23CF-44E3-9099-C40C66FF867C}">
                  <a14:compatExt spid="_x0000_s41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Generate Sources and Build MBN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19</xdr:row>
          <xdr:rowOff>0</xdr:rowOff>
        </xdr:from>
        <xdr:to>
          <xdr:col>1</xdr:col>
          <xdr:colOff>238125</xdr:colOff>
          <xdr:row>20</xdr:row>
          <xdr:rowOff>9525</xdr:rowOff>
        </xdr:to>
        <xdr:sp macro="" textlink="">
          <xdr:nvSpPr>
            <xdr:cNvPr id="4117" name="keepBuildWindowOpen" hidden="1">
              <a:extLst>
                <a:ext uri="{63B3BB69-23CF-44E3-9099-C40C66FF867C}">
                  <a14:compatExt spid="_x0000_s4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542925</xdr:colOff>
          <xdr:row>15</xdr:row>
          <xdr:rowOff>28575</xdr:rowOff>
        </xdr:from>
        <xdr:to>
          <xdr:col>0</xdr:col>
          <xdr:colOff>1914525</xdr:colOff>
          <xdr:row>16</xdr:row>
          <xdr:rowOff>38100</xdr:rowOff>
        </xdr:to>
        <xdr:sp macro="" textlink="">
          <xdr:nvSpPr>
            <xdr:cNvPr id="4146" name="Button 50" hidden="1">
              <a:extLst>
                <a:ext uri="{63B3BB69-23CF-44E3-9099-C40C66FF867C}">
                  <a14:compatExt spid="_x0000_s41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552450</xdr:colOff>
          <xdr:row>16</xdr:row>
          <xdr:rowOff>57150</xdr:rowOff>
        </xdr:from>
        <xdr:to>
          <xdr:col>0</xdr:col>
          <xdr:colOff>1914525</xdr:colOff>
          <xdr:row>17</xdr:row>
          <xdr:rowOff>47625</xdr:rowOff>
        </xdr:to>
        <xdr:sp macro="" textlink="">
          <xdr:nvSpPr>
            <xdr:cNvPr id="4147" name="Button 51" hidden="1">
              <a:extLst>
                <a:ext uri="{63B3BB69-23CF-44E3-9099-C40C66FF867C}">
                  <a14:compatExt spid="_x0000_s4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542925</xdr:colOff>
          <xdr:row>17</xdr:row>
          <xdr:rowOff>85725</xdr:rowOff>
        </xdr:from>
        <xdr:to>
          <xdr:col>0</xdr:col>
          <xdr:colOff>1885950</xdr:colOff>
          <xdr:row>18</xdr:row>
          <xdr:rowOff>95250</xdr:rowOff>
        </xdr:to>
        <xdr:sp macro="" textlink="">
          <xdr:nvSpPr>
            <xdr:cNvPr id="4164" name="Button 68" hidden="1">
              <a:extLst>
                <a:ext uri="{63B3BB69-23CF-44E3-9099-C40C66FF867C}">
                  <a14:compatExt spid="_x0000_s41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Refresh Summary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15</xdr:row>
          <xdr:rowOff>0</xdr:rowOff>
        </xdr:to>
        <xdr:sp macro="" textlink="">
          <xdr:nvSpPr>
            <xdr:cNvPr id="4398" name="Non_VoLTE" hidden="1">
              <a:extLst>
                <a:ext uri="{63B3BB69-23CF-44E3-9099-C40C66FF867C}">
                  <a14:compatExt spid="_x0000_s43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99" name="VoLTE" hidden="1">
              <a:extLst>
                <a:ext uri="{63B3BB69-23CF-44E3-9099-C40C66FF867C}">
                  <a14:compatExt spid="_x0000_s43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_kperiy/AppData/Local/Temp/p4v/c_kperiy_qcthydp4p01_1668/components/rel/mcfg.mpss/6.0/mcfg_gen/generic/NA/ATT/MCFG_SW_Items_List_Macro%23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Non_VoLTE"/>
      <sheetName val="VoLTE"/>
      <sheetName val="Revision History"/>
    </sheetNames>
    <sheetDataSet>
      <sheetData sheetId="0" refreshError="1"/>
      <sheetData sheetId="1" refreshError="1"/>
      <sheetData sheetId="2"/>
      <sheetData sheetId="3"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olstice">
  <a:themeElements>
    <a:clrScheme name="Solstice">
      <a:dk1>
        <a:sysClr val="windowText" lastClr="000000"/>
      </a:dk1>
      <a:lt1>
        <a:sysClr val="window" lastClr="FFFFFF"/>
      </a:lt1>
      <a:dk2>
        <a:srgbClr val="4F271C"/>
      </a:dk2>
      <a:lt2>
        <a:srgbClr val="E7DEC9"/>
      </a:lt2>
      <a:accent1>
        <a:srgbClr val="3891A7"/>
      </a:accent1>
      <a:accent2>
        <a:srgbClr val="FEB80A"/>
      </a:accent2>
      <a:accent3>
        <a:srgbClr val="C32D2E"/>
      </a:accent3>
      <a:accent4>
        <a:srgbClr val="84AA33"/>
      </a:accent4>
      <a:accent5>
        <a:srgbClr val="964305"/>
      </a:accent5>
      <a:accent6>
        <a:srgbClr val="475A8D"/>
      </a:accent6>
      <a:hlink>
        <a:srgbClr val="8DC765"/>
      </a:hlink>
      <a:folHlink>
        <a:srgbClr val="AA8A14"/>
      </a:folHlink>
    </a:clrScheme>
    <a:fontScheme name="Solstice">
      <a:majorFont>
        <a:latin typeface="Gill Sans MT"/>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Gill Sans MT"/>
        <a:ea typeface=""/>
        <a:cs typeface=""/>
        <a:font script="Grek" typeface="Corbel"/>
        <a:font script="Cyrl" typeface="Corbel"/>
        <a:font script="Jpan" typeface="HGｺﾞｼｯｸE"/>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Solstice">
      <a:fillStyleLst>
        <a:solidFill>
          <a:schemeClr val="phClr"/>
        </a:solidFill>
        <a:gradFill rotWithShape="1">
          <a:gsLst>
            <a:gs pos="0">
              <a:schemeClr val="phClr">
                <a:tint val="35000"/>
                <a:satMod val="253000"/>
              </a:schemeClr>
            </a:gs>
            <a:gs pos="50000">
              <a:schemeClr val="phClr">
                <a:tint val="42000"/>
                <a:satMod val="255000"/>
              </a:schemeClr>
            </a:gs>
            <a:gs pos="97000">
              <a:schemeClr val="phClr">
                <a:tint val="53000"/>
                <a:satMod val="260000"/>
              </a:schemeClr>
            </a:gs>
            <a:gs pos="100000">
              <a:schemeClr val="phClr">
                <a:tint val="56000"/>
                <a:satMod val="275000"/>
              </a:schemeClr>
            </a:gs>
          </a:gsLst>
          <a:path path="circle">
            <a:fillToRect l="50000" t="50000" r="50000" b="50000"/>
          </a:path>
        </a:gradFill>
        <a:gradFill rotWithShape="1">
          <a:gsLst>
            <a:gs pos="0">
              <a:schemeClr val="phClr">
                <a:tint val="92000"/>
                <a:satMod val="170000"/>
              </a:schemeClr>
            </a:gs>
            <a:gs pos="15000">
              <a:schemeClr val="phClr">
                <a:tint val="92000"/>
                <a:shade val="99000"/>
                <a:satMod val="170000"/>
              </a:schemeClr>
            </a:gs>
            <a:gs pos="62000">
              <a:schemeClr val="phClr">
                <a:tint val="96000"/>
                <a:shade val="80000"/>
                <a:satMod val="170000"/>
              </a:schemeClr>
            </a:gs>
            <a:gs pos="97000">
              <a:schemeClr val="phClr">
                <a:tint val="98000"/>
                <a:shade val="63000"/>
                <a:satMod val="170000"/>
              </a:schemeClr>
            </a:gs>
            <a:gs pos="100000">
              <a:schemeClr val="phClr">
                <a:shade val="62000"/>
                <a:satMod val="170000"/>
              </a:schemeClr>
            </a:gs>
          </a:gsLst>
          <a:path path="circle">
            <a:fillToRect l="50000" t="50000" r="50000" b="50000"/>
          </a:path>
        </a:gradFill>
      </a:fillStyleLst>
      <a:lnStyleLst>
        <a:ln w="9525" cap="flat" cmpd="sng" algn="ctr">
          <a:solidFill>
            <a:schemeClr val="phClr"/>
          </a:solidFill>
          <a:prstDash val="solid"/>
        </a:ln>
        <a:ln w="25400" cap="flat" cmpd="sng" algn="ctr">
          <a:solidFill>
            <a:schemeClr val="phClr"/>
          </a:solidFill>
          <a:prstDash val="solid"/>
        </a:ln>
        <a:ln w="25400" cap="flat" cmpd="sng" algn="ctr">
          <a:solidFill>
            <a:schemeClr val="phClr"/>
          </a:solidFill>
          <a:prstDash val="solid"/>
        </a:ln>
      </a:lnStyleLst>
      <a:effectStyleLst>
        <a:effectStyle>
          <a:effectLst>
            <a:outerShdw blurRad="63500" dist="25400" dir="5400000" rotWithShape="0">
              <a:srgbClr val="000000">
                <a:alpha val="43137"/>
              </a:srgbClr>
            </a:outerShdw>
          </a:effectLst>
        </a:effectStyle>
        <a:effectStyle>
          <a:effectLst>
            <a:outerShdw blurRad="63500" dist="25400" dir="5400000" rotWithShape="0">
              <a:srgbClr val="000000">
                <a:alpha val="43137"/>
              </a:srgbClr>
            </a:outerShdw>
          </a:effectLst>
          <a:scene3d>
            <a:camera prst="orthographicFront" fov="0">
              <a:rot lat="0" lon="0" rev="0"/>
            </a:camera>
            <a:lightRig rig="brightRoom" dir="tl">
              <a:rot lat="0" lon="0" rev="8700000"/>
            </a:lightRig>
          </a:scene3d>
          <a:sp3d contourW="12700">
            <a:bevelT w="0" h="0"/>
            <a:contourClr>
              <a:schemeClr val="phClr">
                <a:shade val="80000"/>
              </a:schemeClr>
            </a:contourClr>
          </a:sp3d>
        </a:effectStyle>
        <a:effectStyle>
          <a:effectLst>
            <a:outerShdw blurRad="63500" dist="25400" dir="5400000" rotWithShape="0">
              <a:srgbClr val="000000">
                <a:alpha val="43137"/>
              </a:srgbClr>
            </a:outerShdw>
          </a:effectLst>
          <a:scene3d>
            <a:camera prst="orthographicFront" fov="0">
              <a:rot lat="0" lon="0" rev="0"/>
            </a:camera>
            <a:lightRig rig="brightRoom" dir="tl">
              <a:rot lat="0" lon="0" rev="5400000"/>
            </a:lightRig>
          </a:scene3d>
          <a:sp3d contourW="12700">
            <a:bevelT w="25400" h="50800" prst="angle"/>
            <a:contourClr>
              <a:schemeClr val="phClr"/>
            </a:contourClr>
          </a:sp3d>
        </a:effectStyle>
      </a:effectStyleLst>
      <a:bgFillStyleLst>
        <a:solidFill>
          <a:schemeClr val="phClr"/>
        </a:solidFill>
        <a:gradFill rotWithShape="1">
          <a:gsLst>
            <a:gs pos="0">
              <a:schemeClr val="phClr">
                <a:tint val="60000"/>
                <a:satMod val="355000"/>
              </a:schemeClr>
            </a:gs>
            <a:gs pos="40000">
              <a:schemeClr val="phClr">
                <a:tint val="85000"/>
                <a:satMod val="320000"/>
              </a:schemeClr>
            </a:gs>
            <a:gs pos="100000">
              <a:schemeClr val="phClr">
                <a:shade val="55000"/>
                <a:satMod val="300000"/>
              </a:schemeClr>
            </a:gs>
          </a:gsLst>
          <a:path path="circle">
            <a:fillToRect l="-24500" t="-20000" r="124500" b="120000"/>
          </a:path>
        </a:gradFill>
        <a:blipFill>
          <a:blip xmlns:r="http://schemas.openxmlformats.org/officeDocument/2006/relationships" r:embed="rId1">
            <a:duotone>
              <a:schemeClr val="phClr">
                <a:shade val="9000"/>
                <a:satMod val="300000"/>
              </a:schemeClr>
              <a:schemeClr val="phClr">
                <a:tint val="90000"/>
                <a:satMod val="225000"/>
              </a:schemeClr>
            </a:duotone>
          </a:blip>
          <a:tile tx="0" ty="0" sx="90000" sy="90000" flip="xy" algn="tl"/>
        </a:blip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S46"/>
  <sheetViews>
    <sheetView tabSelected="1" zoomScale="90" zoomScaleNormal="90" workbookViewId="0">
      <selection activeCell="C10" sqref="C10:C15"/>
    </sheetView>
  </sheetViews>
  <sheetFormatPr defaultRowHeight="12.75" x14ac:dyDescent="0.2"/>
  <cols>
    <col min="1" max="1" width="38.85546875" customWidth="1"/>
    <col min="2" max="2" width="15.28515625" style="10" bestFit="1" customWidth="1"/>
    <col min="3" max="4" width="15.28515625" style="27" customWidth="1"/>
    <col min="5" max="5" width="12.85546875" bestFit="1" customWidth="1"/>
    <col min="6" max="7" width="12.7109375" bestFit="1" customWidth="1"/>
    <col min="8" max="8" width="12.7109375" style="27" customWidth="1"/>
    <col min="9" max="9" width="12.7109375" bestFit="1" customWidth="1"/>
  </cols>
  <sheetData>
    <row r="1" spans="1:18" s="1" customFormat="1" ht="12.75" customHeight="1" x14ac:dyDescent="0.3">
      <c r="C1" s="22"/>
      <c r="D1" s="22"/>
      <c r="H1" s="22"/>
    </row>
    <row r="2" spans="1:18" s="7" customFormat="1" ht="45" customHeight="1" x14ac:dyDescent="0.2">
      <c r="A2" s="299" t="s">
        <v>284</v>
      </c>
      <c r="B2" s="299"/>
      <c r="C2" s="299"/>
      <c r="D2" s="299"/>
      <c r="E2" s="299"/>
      <c r="F2" s="299"/>
      <c r="G2" s="299"/>
      <c r="H2" s="30"/>
    </row>
    <row r="3" spans="1:18" s="1" customFormat="1" ht="15" x14ac:dyDescent="0.3">
      <c r="C3" s="22"/>
      <c r="D3" s="22"/>
      <c r="H3" s="22"/>
    </row>
    <row r="4" spans="1:18" s="1" customFormat="1" ht="15" x14ac:dyDescent="0.3">
      <c r="A4" s="3" t="s">
        <v>0</v>
      </c>
      <c r="B4" s="15">
        <f>MAX('Revision History'!C:C)</f>
        <v>42606</v>
      </c>
      <c r="C4" s="15"/>
      <c r="D4" s="15"/>
      <c r="H4" s="22"/>
    </row>
    <row r="5" spans="1:18" s="1" customFormat="1" ht="15" x14ac:dyDescent="0.3">
      <c r="A5" s="3" t="s">
        <v>1</v>
      </c>
      <c r="B5" s="16">
        <f>LOOKUP(2,1/('Revision History'!B:B&lt;&gt;""),'Revision History'!B:B)</f>
        <v>108</v>
      </c>
      <c r="C5" s="16"/>
      <c r="D5" s="16"/>
      <c r="H5" s="22"/>
    </row>
    <row r="6" spans="1:18" s="1" customFormat="1" ht="15" x14ac:dyDescent="0.3">
      <c r="A6" s="12" t="s">
        <v>283</v>
      </c>
      <c r="B6" s="46" t="s">
        <v>674</v>
      </c>
      <c r="C6" s="13"/>
      <c r="D6" s="13"/>
      <c r="H6" s="22"/>
    </row>
    <row r="7" spans="1:18" s="1" customFormat="1" ht="15" x14ac:dyDescent="0.3">
      <c r="A7" s="12" t="s">
        <v>281</v>
      </c>
      <c r="B7" s="13" t="s">
        <v>662</v>
      </c>
      <c r="C7" s="13"/>
      <c r="D7" s="13"/>
      <c r="H7" s="22"/>
    </row>
    <row r="8" spans="1:18" s="1" customFormat="1" ht="15" x14ac:dyDescent="0.3">
      <c r="A8" s="12" t="s">
        <v>282</v>
      </c>
      <c r="B8" s="13" t="s">
        <v>664</v>
      </c>
      <c r="C8" s="13"/>
      <c r="D8" s="13"/>
      <c r="H8" s="22"/>
    </row>
    <row r="9" spans="1:18" s="6" customFormat="1" ht="19.5" x14ac:dyDescent="0.4">
      <c r="A9" s="12" t="s">
        <v>663</v>
      </c>
      <c r="B9" s="13" t="s">
        <v>99</v>
      </c>
    </row>
    <row r="10" spans="1:18" s="1" customFormat="1" ht="20.25" thickBot="1" x14ac:dyDescent="0.45">
      <c r="A10" s="14" t="s">
        <v>71</v>
      </c>
      <c r="B10" s="25"/>
      <c r="C10" s="25"/>
    </row>
    <row r="11" spans="1:18" s="1" customFormat="1" ht="15.75" thickBot="1" x14ac:dyDescent="0.35">
      <c r="A11" s="5"/>
      <c r="B11" s="5" t="s">
        <v>667</v>
      </c>
      <c r="C11" s="5" t="s">
        <v>665</v>
      </c>
      <c r="K11" s="22"/>
      <c r="L11" s="22"/>
      <c r="M11" s="22"/>
    </row>
    <row r="12" spans="1:18" s="2" customFormat="1" ht="15" x14ac:dyDescent="0.3">
      <c r="A12" s="4" t="s">
        <v>2</v>
      </c>
      <c r="B12" s="23">
        <v>3</v>
      </c>
      <c r="C12" s="23">
        <v>3</v>
      </c>
      <c r="K12" s="22"/>
      <c r="L12" s="22"/>
      <c r="M12" s="22"/>
    </row>
    <row r="13" spans="1:18" s="17" customFormat="1" ht="15" x14ac:dyDescent="0.3">
      <c r="A13" s="11" t="s">
        <v>47</v>
      </c>
      <c r="B13" s="11" t="str">
        <f>Non_VoLTE!F227</f>
        <v>0x05010320</v>
      </c>
      <c r="C13" s="11" t="str">
        <f>VoLTE!$F$744</f>
        <v>0x05010353</v>
      </c>
      <c r="K13" s="29"/>
      <c r="L13" s="29"/>
      <c r="M13" s="29"/>
    </row>
    <row r="14" spans="1:18" s="28" customFormat="1" ht="15" x14ac:dyDescent="0.3">
      <c r="A14" s="23" t="s">
        <v>56</v>
      </c>
      <c r="B14" s="23">
        <v>1</v>
      </c>
      <c r="C14" s="23">
        <v>1</v>
      </c>
      <c r="F14" s="22"/>
      <c r="G14" s="22"/>
      <c r="H14" s="22"/>
      <c r="I14" s="22"/>
      <c r="J14" s="22"/>
      <c r="K14" s="22"/>
      <c r="L14" s="22"/>
      <c r="M14" s="22"/>
    </row>
    <row r="15" spans="1:18" s="17" customFormat="1" ht="20.25" thickBot="1" x14ac:dyDescent="0.45">
      <c r="A15" s="31" t="s">
        <v>448</v>
      </c>
      <c r="B15" s="31"/>
      <c r="C15" s="31"/>
      <c r="F15" s="22"/>
      <c r="G15" s="22"/>
      <c r="H15" s="22"/>
      <c r="I15" s="22"/>
      <c r="J15" s="22"/>
      <c r="K15" s="22"/>
      <c r="L15" s="22"/>
      <c r="M15" s="6"/>
    </row>
    <row r="16" spans="1:18" s="26" customFormat="1" ht="15" x14ac:dyDescent="0.3">
      <c r="A16" s="32"/>
      <c r="B16" s="32"/>
      <c r="C16" s="32"/>
      <c r="D16" s="32"/>
      <c r="E16" s="32"/>
      <c r="F16" s="32"/>
      <c r="G16" s="32"/>
      <c r="H16" s="32"/>
      <c r="I16" s="32"/>
      <c r="K16" s="22"/>
      <c r="L16" s="22"/>
      <c r="M16" s="22"/>
      <c r="N16" s="22"/>
      <c r="O16" s="22"/>
      <c r="P16" s="22"/>
      <c r="Q16" s="22"/>
      <c r="R16" s="22"/>
    </row>
    <row r="17" spans="1:19" s="26" customFormat="1" ht="16.5" customHeight="1" x14ac:dyDescent="0.3">
      <c r="A17" s="32"/>
      <c r="F17" s="32"/>
      <c r="G17" s="32"/>
      <c r="H17" s="32"/>
      <c r="I17" s="32"/>
      <c r="K17" s="22"/>
      <c r="L17" s="22"/>
      <c r="M17" s="22"/>
      <c r="N17" s="22"/>
      <c r="O17" s="22"/>
      <c r="P17" s="22"/>
      <c r="Q17" s="22"/>
      <c r="R17" s="22"/>
    </row>
    <row r="18" spans="1:19" s="26" customFormat="1" ht="16.5" customHeight="1" x14ac:dyDescent="0.3">
      <c r="A18" s="32"/>
      <c r="B18" s="32"/>
      <c r="C18" s="32"/>
      <c r="D18" s="32"/>
      <c r="E18" s="32"/>
      <c r="F18" s="32"/>
      <c r="G18" s="32"/>
      <c r="H18" s="32"/>
      <c r="I18" s="32"/>
      <c r="J18" s="22"/>
      <c r="K18" s="22"/>
      <c r="L18" s="22"/>
      <c r="M18" s="28"/>
      <c r="N18" s="28"/>
      <c r="O18" s="22"/>
      <c r="P18" s="22"/>
      <c r="Q18" s="22"/>
      <c r="R18" s="28"/>
    </row>
    <row r="19" spans="1:19" s="2" customFormat="1" ht="19.5" x14ac:dyDescent="0.4">
      <c r="A19"/>
      <c r="B19" s="10"/>
      <c r="C19" s="27"/>
      <c r="D19" s="27"/>
      <c r="E19"/>
      <c r="F19"/>
      <c r="H19" s="28"/>
      <c r="J19" s="22"/>
      <c r="K19" s="22"/>
      <c r="L19" s="6"/>
      <c r="M19" s="17"/>
      <c r="N19" s="17"/>
      <c r="O19" s="6"/>
      <c r="P19" s="6"/>
      <c r="Q19" s="6"/>
      <c r="R19" s="28"/>
      <c r="S19" s="28"/>
    </row>
    <row r="20" spans="1:19" s="2" customFormat="1" ht="15" x14ac:dyDescent="0.3">
      <c r="A20" s="9" t="s">
        <v>98</v>
      </c>
      <c r="B20" s="9"/>
      <c r="C20" s="9"/>
      <c r="D20" s="9"/>
      <c r="H20" s="28"/>
      <c r="J20" s="28"/>
      <c r="K20" s="28"/>
      <c r="L20" s="22"/>
      <c r="M20" s="28"/>
      <c r="N20" s="28"/>
      <c r="O20" s="26"/>
      <c r="P20" s="22"/>
      <c r="Q20" s="22"/>
      <c r="R20" s="22"/>
      <c r="S20" s="26"/>
    </row>
    <row r="21" spans="1:19" s="2" customFormat="1" ht="15" x14ac:dyDescent="0.3">
      <c r="A21" s="8"/>
      <c r="B21" s="8"/>
      <c r="C21" s="24"/>
      <c r="D21" s="24"/>
      <c r="H21" s="28"/>
      <c r="J21" s="28"/>
      <c r="K21" s="28"/>
      <c r="L21" s="28"/>
      <c r="M21" s="28"/>
      <c r="N21" s="28"/>
      <c r="O21" s="28"/>
      <c r="P21" s="28"/>
      <c r="Q21" s="28"/>
      <c r="R21" s="28"/>
    </row>
    <row r="22" spans="1:19" s="2" customFormat="1" ht="15" x14ac:dyDescent="0.3">
      <c r="A22"/>
      <c r="B22" s="10"/>
      <c r="C22" s="27"/>
      <c r="D22" s="27"/>
      <c r="E22"/>
      <c r="F22"/>
      <c r="G22"/>
      <c r="H22" s="27"/>
      <c r="I22"/>
      <c r="J22" s="28"/>
      <c r="K22" s="28"/>
      <c r="L22" s="28"/>
      <c r="M22" s="17"/>
      <c r="N22" s="28"/>
      <c r="O22" s="28"/>
      <c r="P22" s="28"/>
      <c r="Q22" s="28"/>
      <c r="R22" s="28"/>
    </row>
    <row r="23" spans="1:19" s="2" customFormat="1" ht="19.5" x14ac:dyDescent="0.4">
      <c r="A23"/>
      <c r="B23" s="10"/>
      <c r="C23" s="27"/>
      <c r="D23" s="27"/>
      <c r="E23"/>
      <c r="F23"/>
      <c r="G23"/>
      <c r="H23" s="27"/>
      <c r="I23"/>
      <c r="J23" s="17"/>
      <c r="K23" s="17"/>
      <c r="L23" s="22"/>
      <c r="M23" s="26"/>
      <c r="N23" s="28"/>
      <c r="P23" s="6"/>
      <c r="Q23" s="6"/>
      <c r="R23" s="28"/>
    </row>
    <row r="24" spans="1:19" s="2" customFormat="1" ht="15" x14ac:dyDescent="0.3">
      <c r="A24"/>
      <c r="B24" s="10"/>
      <c r="C24" s="27"/>
      <c r="D24" s="27"/>
      <c r="E24"/>
      <c r="F24"/>
      <c r="G24"/>
      <c r="H24" s="27"/>
      <c r="I24"/>
      <c r="J24" s="22"/>
      <c r="K24" s="22"/>
      <c r="L24" s="22"/>
      <c r="M24" s="26"/>
      <c r="N24" s="28"/>
      <c r="P24" s="22"/>
      <c r="Q24" s="22"/>
      <c r="R24" s="17"/>
    </row>
    <row r="25" spans="1:19" ht="15" x14ac:dyDescent="0.3">
      <c r="J25" s="28"/>
      <c r="K25" s="28"/>
      <c r="L25" s="28"/>
      <c r="M25" s="28"/>
      <c r="N25" s="28"/>
      <c r="P25" s="22"/>
      <c r="Q25" s="22"/>
      <c r="R25" s="26"/>
    </row>
    <row r="26" spans="1:19" ht="15" x14ac:dyDescent="0.3">
      <c r="J26" s="28"/>
      <c r="K26" s="28"/>
      <c r="L26" s="28"/>
      <c r="M26" s="28"/>
      <c r="N26" s="28"/>
    </row>
    <row r="27" spans="1:19" ht="19.5" x14ac:dyDescent="0.4">
      <c r="J27" s="6"/>
      <c r="K27" s="6"/>
      <c r="L27" s="28"/>
      <c r="M27" s="28"/>
      <c r="N27" s="28"/>
    </row>
    <row r="28" spans="1:19" ht="15" x14ac:dyDescent="0.3">
      <c r="J28" s="22"/>
      <c r="K28" s="22"/>
      <c r="L28" s="17"/>
      <c r="M28" s="28"/>
      <c r="N28" s="28"/>
    </row>
    <row r="29" spans="1:19" ht="15" x14ac:dyDescent="0.3">
      <c r="J29" s="22"/>
      <c r="K29" s="22"/>
      <c r="L29" s="26"/>
      <c r="M29" s="27"/>
      <c r="N29" s="27"/>
    </row>
    <row r="30" spans="1:19" x14ac:dyDescent="0.2">
      <c r="J30" s="27"/>
      <c r="K30" s="27"/>
      <c r="L30" s="27"/>
      <c r="M30" s="27"/>
      <c r="N30" s="27"/>
    </row>
    <row r="31" spans="1:19" x14ac:dyDescent="0.2">
      <c r="B31" s="27"/>
    </row>
    <row r="32" spans="1:19" x14ac:dyDescent="0.2">
      <c r="B32" s="27"/>
    </row>
    <row r="44" spans="5:6" x14ac:dyDescent="0.2">
      <c r="E44" s="27"/>
      <c r="F44" s="27"/>
    </row>
    <row r="45" spans="5:6" x14ac:dyDescent="0.2">
      <c r="E45" s="27"/>
      <c r="F45" s="27"/>
    </row>
    <row r="46" spans="5:6" x14ac:dyDescent="0.2">
      <c r="E46" s="27"/>
      <c r="F46" s="27"/>
    </row>
  </sheetData>
  <dataConsolidate/>
  <mergeCells count="1">
    <mergeCell ref="A2:G2"/>
  </mergeCells>
  <hyperlinks>
    <hyperlink ref="B11" location="'Non_VoLTE'!A5" tooltip="Jump to worksheet" display="'Non_VoLTE'!A5"/>
    <hyperlink ref="C11" location="'VoLTE'!A5" tooltip="Jump to worksheet" display="'VoLTE'!A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7" r:id="rId4" name="keepBuildWindowOpen">
              <controlPr defaultSize="0" autoFill="0" autoLine="0" autoPict="0" altText="">
                <anchor moveWithCells="1">
                  <from>
                    <xdr:col>1</xdr:col>
                    <xdr:colOff>57150</xdr:colOff>
                    <xdr:row>19</xdr:row>
                    <xdr:rowOff>0</xdr:rowOff>
                  </from>
                  <to>
                    <xdr:col>1</xdr:col>
                    <xdr:colOff>238125</xdr:colOff>
                    <xdr:row>20</xdr:row>
                    <xdr:rowOff>9525</xdr:rowOff>
                  </to>
                </anchor>
              </controlPr>
            </control>
          </mc:Choice>
        </mc:AlternateContent>
        <mc:AlternateContent xmlns:mc="http://schemas.openxmlformats.org/markup-compatibility/2006">
          <mc:Choice Requires="x14">
            <control shapeId="4104" r:id="rId5" name="Button 8">
              <controlPr defaultSize="0" print="0" autoFill="0" autoPict="0" macro="[0]!GenerateSources">
                <anchor moveWithCells="1">
                  <from>
                    <xdr:col>0</xdr:col>
                    <xdr:colOff>609600</xdr:colOff>
                    <xdr:row>21</xdr:row>
                    <xdr:rowOff>85725</xdr:rowOff>
                  </from>
                  <to>
                    <xdr:col>3</xdr:col>
                    <xdr:colOff>257175</xdr:colOff>
                    <xdr:row>23</xdr:row>
                    <xdr:rowOff>95250</xdr:rowOff>
                  </to>
                </anchor>
              </controlPr>
            </control>
          </mc:Choice>
        </mc:AlternateContent>
        <mc:AlternateContent xmlns:mc="http://schemas.openxmlformats.org/markup-compatibility/2006">
          <mc:Choice Requires="x14">
            <control shapeId="4109" r:id="rId6" name="Button 13">
              <controlPr defaultSize="0" print="0" autoFill="0" autoPict="0" macro="[0]!GenerateMBNs">
                <anchor moveWithCells="1">
                  <from>
                    <xdr:col>0</xdr:col>
                    <xdr:colOff>600075</xdr:colOff>
                    <xdr:row>25</xdr:row>
                    <xdr:rowOff>28575</xdr:rowOff>
                  </from>
                  <to>
                    <xdr:col>3</xdr:col>
                    <xdr:colOff>247650</xdr:colOff>
                    <xdr:row>27</xdr:row>
                    <xdr:rowOff>19050</xdr:rowOff>
                  </to>
                </anchor>
              </controlPr>
            </control>
          </mc:Choice>
        </mc:AlternateContent>
        <mc:AlternateContent xmlns:mc="http://schemas.openxmlformats.org/markup-compatibility/2006">
          <mc:Choice Requires="x14">
            <control shapeId="4146" r:id="rId7" name="Button 50">
              <controlPr defaultSize="0" print="0" autoFill="0" autoPict="0" macro="[0]!SelAllCfgs">
                <anchor moveWithCells="1" sizeWithCells="1">
                  <from>
                    <xdr:col>0</xdr:col>
                    <xdr:colOff>542925</xdr:colOff>
                    <xdr:row>15</xdr:row>
                    <xdr:rowOff>28575</xdr:rowOff>
                  </from>
                  <to>
                    <xdr:col>0</xdr:col>
                    <xdr:colOff>1914525</xdr:colOff>
                    <xdr:row>16</xdr:row>
                    <xdr:rowOff>38100</xdr:rowOff>
                  </to>
                </anchor>
              </controlPr>
            </control>
          </mc:Choice>
        </mc:AlternateContent>
        <mc:AlternateContent xmlns:mc="http://schemas.openxmlformats.org/markup-compatibility/2006">
          <mc:Choice Requires="x14">
            <control shapeId="4147" r:id="rId8" name="Button 51">
              <controlPr defaultSize="0" print="0" autoFill="0" autoPict="0" macro="[0]!DeselAllCfgs">
                <anchor moveWithCells="1" sizeWithCells="1">
                  <from>
                    <xdr:col>0</xdr:col>
                    <xdr:colOff>552450</xdr:colOff>
                    <xdr:row>16</xdr:row>
                    <xdr:rowOff>57150</xdr:rowOff>
                  </from>
                  <to>
                    <xdr:col>0</xdr:col>
                    <xdr:colOff>1914525</xdr:colOff>
                    <xdr:row>17</xdr:row>
                    <xdr:rowOff>47625</xdr:rowOff>
                  </to>
                </anchor>
              </controlPr>
            </control>
          </mc:Choice>
        </mc:AlternateContent>
        <mc:AlternateContent xmlns:mc="http://schemas.openxmlformats.org/markup-compatibility/2006">
          <mc:Choice Requires="x14">
            <control shapeId="4164" r:id="rId9" name="Button 68">
              <controlPr defaultSize="0" print="0" autoFill="0" autoPict="0" macro="[0]!RefreshSummary">
                <anchor moveWithCells="1" sizeWithCells="1">
                  <from>
                    <xdr:col>0</xdr:col>
                    <xdr:colOff>542925</xdr:colOff>
                    <xdr:row>17</xdr:row>
                    <xdr:rowOff>85725</xdr:rowOff>
                  </from>
                  <to>
                    <xdr:col>0</xdr:col>
                    <xdr:colOff>1885950</xdr:colOff>
                    <xdr:row>18</xdr:row>
                    <xdr:rowOff>95250</xdr:rowOff>
                  </to>
                </anchor>
              </controlPr>
            </control>
          </mc:Choice>
        </mc:AlternateContent>
        <mc:AlternateContent xmlns:mc="http://schemas.openxmlformats.org/markup-compatibility/2006">
          <mc:Choice Requires="x14">
            <control shapeId="4398" r:id="rId10" name="Non_VoLTE">
              <controlPr defaultSize="0" autoFill="0" autoLine="0" autoPict="0">
                <anchor moveWithCells="1">
                  <from>
                    <xdr:col>1</xdr:col>
                    <xdr:colOff>0</xdr:colOff>
                    <xdr:row>14</xdr:row>
                    <xdr:rowOff>0</xdr:rowOff>
                  </from>
                  <to>
                    <xdr:col>2</xdr:col>
                    <xdr:colOff>0</xdr:colOff>
                    <xdr:row>15</xdr:row>
                    <xdr:rowOff>0</xdr:rowOff>
                  </to>
                </anchor>
              </controlPr>
            </control>
          </mc:Choice>
        </mc:AlternateContent>
        <mc:AlternateContent xmlns:mc="http://schemas.openxmlformats.org/markup-compatibility/2006">
          <mc:Choice Requires="x14">
            <control shapeId="4399" r:id="rId11" name="VoLTE">
              <controlPr defaultSize="0" autoFill="0" autoLine="0" autoPict="0">
                <anchor moveWithCells="1">
                  <from>
                    <xdr:col>2</xdr:col>
                    <xdr:colOff>0</xdr:colOff>
                    <xdr:row>14</xdr:row>
                    <xdr:rowOff>0</xdr:rowOff>
                  </from>
                  <to>
                    <xdr:col>3</xdr:col>
                    <xdr:colOff>0</xdr:colOff>
                    <xdr:row>15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autoPageBreaks="0"/>
  </sheetPr>
  <dimension ref="A2:J627"/>
  <sheetViews>
    <sheetView topLeftCell="A218" zoomScale="70" zoomScaleNormal="70" workbookViewId="0">
      <selection activeCell="B1" sqref="B1"/>
    </sheetView>
  </sheetViews>
  <sheetFormatPr defaultColWidth="9.140625" defaultRowHeight="12.75" x14ac:dyDescent="0.2"/>
  <cols>
    <col min="1" max="1" width="54.5703125" style="35" bestFit="1" customWidth="1"/>
    <col min="2" max="2" width="63.140625" style="35" bestFit="1" customWidth="1"/>
    <col min="3" max="3" width="17.28515625" style="35" bestFit="1" customWidth="1"/>
    <col min="4" max="4" width="13.85546875" style="35" customWidth="1"/>
    <col min="5" max="5" width="34.85546875" style="35" bestFit="1" customWidth="1"/>
    <col min="6" max="6" width="32.42578125" style="36" customWidth="1"/>
    <col min="7" max="7" width="12.28515625" style="35" customWidth="1"/>
    <col min="8" max="8" width="112.5703125" style="37" bestFit="1" customWidth="1"/>
    <col min="9" max="9" width="44.28515625" style="35" customWidth="1"/>
    <col min="10" max="10" width="19.28515625" style="35" customWidth="1"/>
    <col min="11" max="11" width="9.140625" style="35"/>
    <col min="12" max="12" width="55.85546875" style="35" bestFit="1" customWidth="1"/>
    <col min="13" max="16384" width="9.140625" style="35"/>
  </cols>
  <sheetData>
    <row r="2" spans="1:9" s="33" customFormat="1" ht="27.75" customHeight="1" x14ac:dyDescent="0.55000000000000004">
      <c r="A2" s="300" t="s">
        <v>668</v>
      </c>
      <c r="B2" s="300"/>
      <c r="C2" s="300"/>
      <c r="D2" s="300"/>
      <c r="E2" s="300"/>
      <c r="F2" s="300"/>
      <c r="G2" s="300"/>
      <c r="H2" s="300"/>
      <c r="I2" s="300"/>
    </row>
    <row r="3" spans="1:9" ht="13.5" thickBot="1" x14ac:dyDescent="0.25">
      <c r="A3" s="34"/>
    </row>
    <row r="4" spans="1:9" s="38" customFormat="1" ht="20.25" thickBot="1" x14ac:dyDescent="0.45">
      <c r="A4" s="301" t="s">
        <v>313</v>
      </c>
      <c r="B4" s="302"/>
      <c r="C4" s="302"/>
      <c r="D4" s="302"/>
      <c r="E4" s="302"/>
      <c r="F4" s="302"/>
      <c r="G4" s="302"/>
      <c r="H4" s="303"/>
    </row>
    <row r="5" spans="1:9" s="43" customFormat="1" ht="15.75" thickBot="1" x14ac:dyDescent="0.35">
      <c r="A5" s="39" t="s">
        <v>9</v>
      </c>
      <c r="B5" s="40" t="s">
        <v>8</v>
      </c>
      <c r="C5" s="39" t="s">
        <v>41</v>
      </c>
      <c r="D5" s="39" t="s">
        <v>42</v>
      </c>
      <c r="E5" s="39" t="s">
        <v>10</v>
      </c>
      <c r="F5" s="39" t="s">
        <v>43</v>
      </c>
      <c r="G5" s="41" t="s">
        <v>49</v>
      </c>
      <c r="H5" s="42" t="s">
        <v>11</v>
      </c>
    </row>
    <row r="6" spans="1:9" s="44" customFormat="1" ht="17.25" x14ac:dyDescent="0.35">
      <c r="A6" s="157" t="s">
        <v>14</v>
      </c>
      <c r="B6" s="171">
        <v>71</v>
      </c>
      <c r="C6" s="171"/>
      <c r="D6" s="171"/>
      <c r="E6" s="158" t="s">
        <v>15</v>
      </c>
      <c r="F6" s="171"/>
      <c r="G6" s="171" t="s">
        <v>53</v>
      </c>
      <c r="H6" s="151" t="s">
        <v>7</v>
      </c>
      <c r="I6" s="17"/>
    </row>
    <row r="7" spans="1:9" s="44" customFormat="1" ht="17.25" x14ac:dyDescent="0.35">
      <c r="A7" s="159"/>
      <c r="B7" s="172"/>
      <c r="C7" s="172" t="s">
        <v>45</v>
      </c>
      <c r="D7" s="172">
        <v>13</v>
      </c>
      <c r="E7" s="160" t="s">
        <v>16</v>
      </c>
      <c r="F7" s="172" t="s">
        <v>343</v>
      </c>
      <c r="G7" s="172"/>
      <c r="H7" s="152" t="s">
        <v>100</v>
      </c>
      <c r="I7" s="17"/>
    </row>
    <row r="8" spans="1:9" s="44" customFormat="1" ht="17.25" x14ac:dyDescent="0.35">
      <c r="A8" s="161" t="s">
        <v>568</v>
      </c>
      <c r="B8" s="172">
        <v>452</v>
      </c>
      <c r="C8" s="172" t="s">
        <v>44</v>
      </c>
      <c r="D8" s="172">
        <v>4</v>
      </c>
      <c r="E8" s="162" t="s">
        <v>569</v>
      </c>
      <c r="F8" s="172">
        <v>0</v>
      </c>
      <c r="G8" s="172" t="s">
        <v>53</v>
      </c>
      <c r="H8" s="173"/>
      <c r="I8" s="17"/>
    </row>
    <row r="9" spans="1:9" s="44" customFormat="1" ht="17.25" x14ac:dyDescent="0.35">
      <c r="A9" s="159" t="s">
        <v>101</v>
      </c>
      <c r="B9" s="172">
        <v>553</v>
      </c>
      <c r="C9" s="172" t="s">
        <v>44</v>
      </c>
      <c r="D9" s="172">
        <v>1</v>
      </c>
      <c r="E9" s="160" t="s">
        <v>102</v>
      </c>
      <c r="F9" s="172" t="s">
        <v>27</v>
      </c>
      <c r="G9" s="172" t="s">
        <v>53</v>
      </c>
      <c r="H9" s="152" t="s">
        <v>103</v>
      </c>
      <c r="I9" s="17"/>
    </row>
    <row r="10" spans="1:9" s="44" customFormat="1" ht="17.25" x14ac:dyDescent="0.35">
      <c r="A10" s="159" t="s">
        <v>104</v>
      </c>
      <c r="B10" s="172">
        <v>848</v>
      </c>
      <c r="C10" s="172"/>
      <c r="D10" s="172"/>
      <c r="E10" s="160"/>
      <c r="F10" s="172"/>
      <c r="G10" s="172" t="s">
        <v>72</v>
      </c>
      <c r="H10" s="152"/>
      <c r="I10" s="17"/>
    </row>
    <row r="11" spans="1:9" s="44" customFormat="1" ht="17.25" x14ac:dyDescent="0.35">
      <c r="A11" s="159"/>
      <c r="B11" s="172"/>
      <c r="C11" s="172" t="s">
        <v>44</v>
      </c>
      <c r="D11" s="172">
        <v>1</v>
      </c>
      <c r="E11" s="160" t="s">
        <v>12</v>
      </c>
      <c r="F11" s="172">
        <v>0</v>
      </c>
      <c r="G11" s="172"/>
      <c r="H11" s="152"/>
      <c r="I11" s="17"/>
    </row>
    <row r="12" spans="1:9" s="44" customFormat="1" ht="51.75" x14ac:dyDescent="0.35">
      <c r="A12" s="159"/>
      <c r="B12" s="172"/>
      <c r="C12" s="172" t="s">
        <v>44</v>
      </c>
      <c r="D12" s="172">
        <v>2</v>
      </c>
      <c r="E12" s="160" t="s">
        <v>105</v>
      </c>
      <c r="F12" s="172">
        <v>0</v>
      </c>
      <c r="G12" s="172"/>
      <c r="H12" s="152" t="s">
        <v>258</v>
      </c>
      <c r="I12" s="17"/>
    </row>
    <row r="13" spans="1:9" s="44" customFormat="1" ht="17.25" x14ac:dyDescent="0.35">
      <c r="A13" s="159" t="s">
        <v>106</v>
      </c>
      <c r="B13" s="172">
        <v>849</v>
      </c>
      <c r="C13" s="172"/>
      <c r="D13" s="172"/>
      <c r="E13" s="160"/>
      <c r="F13" s="172"/>
      <c r="G13" s="172" t="s">
        <v>72</v>
      </c>
      <c r="H13" s="152"/>
      <c r="I13" s="17"/>
    </row>
    <row r="14" spans="1:9" ht="17.25" x14ac:dyDescent="0.35">
      <c r="A14" s="159"/>
      <c r="B14" s="172"/>
      <c r="C14" s="172" t="s">
        <v>44</v>
      </c>
      <c r="D14" s="172">
        <v>1</v>
      </c>
      <c r="E14" s="160" t="s">
        <v>12</v>
      </c>
      <c r="F14" s="172">
        <v>0</v>
      </c>
      <c r="G14" s="172"/>
      <c r="H14" s="152"/>
      <c r="I14" s="47"/>
    </row>
    <row r="15" spans="1:9" s="44" customFormat="1" ht="34.5" x14ac:dyDescent="0.35">
      <c r="A15" s="159"/>
      <c r="B15" s="172"/>
      <c r="C15" s="172" t="s">
        <v>44</v>
      </c>
      <c r="D15" s="172">
        <v>2</v>
      </c>
      <c r="E15" s="160" t="s">
        <v>107</v>
      </c>
      <c r="F15" s="172">
        <v>0</v>
      </c>
      <c r="G15" s="172"/>
      <c r="H15" s="152" t="s">
        <v>259</v>
      </c>
      <c r="I15" s="17"/>
    </row>
    <row r="16" spans="1:9" s="44" customFormat="1" ht="17.25" x14ac:dyDescent="0.35">
      <c r="A16" s="159" t="s">
        <v>57</v>
      </c>
      <c r="B16" s="172">
        <v>855</v>
      </c>
      <c r="C16" s="172" t="s">
        <v>44</v>
      </c>
      <c r="D16" s="172">
        <v>2</v>
      </c>
      <c r="E16" s="160" t="s">
        <v>21</v>
      </c>
      <c r="F16" s="172">
        <v>0</v>
      </c>
      <c r="G16" s="172" t="s">
        <v>53</v>
      </c>
      <c r="H16" s="152" t="s">
        <v>215</v>
      </c>
      <c r="I16" s="17"/>
    </row>
    <row r="17" spans="1:9" s="44" customFormat="1" ht="17.25" x14ac:dyDescent="0.35">
      <c r="A17" s="159" t="s">
        <v>230</v>
      </c>
      <c r="B17" s="172">
        <v>562</v>
      </c>
      <c r="C17" s="172" t="s">
        <v>44</v>
      </c>
      <c r="D17" s="172">
        <v>1</v>
      </c>
      <c r="E17" s="160" t="s">
        <v>231</v>
      </c>
      <c r="F17" s="172">
        <v>1</v>
      </c>
      <c r="G17" s="172" t="s">
        <v>53</v>
      </c>
      <c r="H17" s="152" t="s">
        <v>13</v>
      </c>
      <c r="I17" s="17"/>
    </row>
    <row r="18" spans="1:9" s="44" customFormat="1" ht="17.25" x14ac:dyDescent="0.35">
      <c r="A18" s="159" t="s">
        <v>62</v>
      </c>
      <c r="B18" s="172">
        <v>4265</v>
      </c>
      <c r="C18" s="172" t="s">
        <v>44</v>
      </c>
      <c r="D18" s="172">
        <v>1</v>
      </c>
      <c r="E18" s="160" t="s">
        <v>251</v>
      </c>
      <c r="F18" s="172" t="s">
        <v>28</v>
      </c>
      <c r="G18" s="172" t="s">
        <v>53</v>
      </c>
      <c r="H18" s="152"/>
      <c r="I18" s="17"/>
    </row>
    <row r="19" spans="1:9" s="44" customFormat="1" ht="17.25" x14ac:dyDescent="0.35">
      <c r="A19" s="159" t="s">
        <v>58</v>
      </c>
      <c r="B19" s="172">
        <v>880</v>
      </c>
      <c r="C19" s="172" t="s">
        <v>44</v>
      </c>
      <c r="D19" s="172">
        <v>1</v>
      </c>
      <c r="E19" s="160" t="s">
        <v>108</v>
      </c>
      <c r="F19" s="172" t="s">
        <v>4</v>
      </c>
      <c r="G19" s="172" t="s">
        <v>53</v>
      </c>
      <c r="H19" s="152"/>
      <c r="I19" s="17"/>
    </row>
    <row r="20" spans="1:9" s="44" customFormat="1" ht="17.25" x14ac:dyDescent="0.35">
      <c r="A20" s="159" t="s">
        <v>59</v>
      </c>
      <c r="B20" s="172">
        <v>881</v>
      </c>
      <c r="C20" s="172" t="s">
        <v>44</v>
      </c>
      <c r="D20" s="172">
        <v>1</v>
      </c>
      <c r="E20" s="160" t="s">
        <v>109</v>
      </c>
      <c r="F20" s="172" t="s">
        <v>4</v>
      </c>
      <c r="G20" s="172" t="s">
        <v>53</v>
      </c>
      <c r="H20" s="152"/>
      <c r="I20" s="17"/>
    </row>
    <row r="21" spans="1:9" s="44" customFormat="1" ht="17.25" x14ac:dyDescent="0.35">
      <c r="A21" s="159" t="s">
        <v>60</v>
      </c>
      <c r="B21" s="172">
        <v>882</v>
      </c>
      <c r="C21" s="172" t="s">
        <v>44</v>
      </c>
      <c r="D21" s="172">
        <v>1</v>
      </c>
      <c r="E21" s="160" t="s">
        <v>110</v>
      </c>
      <c r="F21" s="172" t="s">
        <v>28</v>
      </c>
      <c r="G21" s="172" t="s">
        <v>53</v>
      </c>
      <c r="H21" s="152"/>
      <c r="I21" s="17"/>
    </row>
    <row r="22" spans="1:9" s="44" customFormat="1" ht="34.5" x14ac:dyDescent="0.35">
      <c r="A22" s="159" t="s">
        <v>111</v>
      </c>
      <c r="B22" s="172">
        <v>896</v>
      </c>
      <c r="C22" s="172" t="s">
        <v>44</v>
      </c>
      <c r="D22" s="172">
        <v>2</v>
      </c>
      <c r="E22" s="160" t="s">
        <v>112</v>
      </c>
      <c r="F22" s="172">
        <v>1</v>
      </c>
      <c r="G22" s="172" t="s">
        <v>53</v>
      </c>
      <c r="H22" s="152" t="s">
        <v>260</v>
      </c>
      <c r="I22" s="17"/>
    </row>
    <row r="23" spans="1:9" s="44" customFormat="1" ht="51.75" x14ac:dyDescent="0.35">
      <c r="A23" s="159" t="s">
        <v>113</v>
      </c>
      <c r="B23" s="172">
        <v>909</v>
      </c>
      <c r="C23" s="172" t="s">
        <v>44</v>
      </c>
      <c r="D23" s="172">
        <v>1</v>
      </c>
      <c r="E23" s="160" t="s">
        <v>32</v>
      </c>
      <c r="F23" s="172">
        <v>2</v>
      </c>
      <c r="G23" s="172" t="s">
        <v>53</v>
      </c>
      <c r="H23" s="152" t="s">
        <v>114</v>
      </c>
      <c r="I23" s="17"/>
    </row>
    <row r="24" spans="1:9" s="44" customFormat="1" ht="17.25" x14ac:dyDescent="0.35">
      <c r="A24" s="159" t="s">
        <v>115</v>
      </c>
      <c r="B24" s="172">
        <v>911</v>
      </c>
      <c r="C24" s="172" t="s">
        <v>44</v>
      </c>
      <c r="D24" s="172">
        <v>1</v>
      </c>
      <c r="E24" s="160" t="s">
        <v>116</v>
      </c>
      <c r="F24" s="172">
        <v>33</v>
      </c>
      <c r="G24" s="172" t="s">
        <v>53</v>
      </c>
      <c r="H24" s="152" t="s">
        <v>7</v>
      </c>
      <c r="I24" s="17"/>
    </row>
    <row r="25" spans="1:9" s="44" customFormat="1" ht="17.25" x14ac:dyDescent="0.35">
      <c r="A25" s="159" t="s">
        <v>117</v>
      </c>
      <c r="B25" s="172">
        <v>441</v>
      </c>
      <c r="C25" s="172"/>
      <c r="D25" s="172"/>
      <c r="E25" s="160"/>
      <c r="F25" s="172"/>
      <c r="G25" s="172" t="s">
        <v>72</v>
      </c>
      <c r="H25" s="152"/>
      <c r="I25" s="17"/>
    </row>
    <row r="26" spans="1:9" s="44" customFormat="1" ht="17.25" x14ac:dyDescent="0.35">
      <c r="A26" s="159"/>
      <c r="B26" s="172"/>
      <c r="C26" s="172" t="s">
        <v>44</v>
      </c>
      <c r="D26" s="172">
        <v>1</v>
      </c>
      <c r="E26" s="160" t="s">
        <v>12</v>
      </c>
      <c r="F26" s="172">
        <v>0</v>
      </c>
      <c r="G26" s="172"/>
      <c r="H26" s="152"/>
      <c r="I26" s="17"/>
    </row>
    <row r="27" spans="1:9" s="44" customFormat="1" ht="17.25" x14ac:dyDescent="0.35">
      <c r="A27" s="159"/>
      <c r="B27" s="172"/>
      <c r="C27" s="172" t="s">
        <v>44</v>
      </c>
      <c r="D27" s="172">
        <v>2</v>
      </c>
      <c r="E27" s="160" t="s">
        <v>118</v>
      </c>
      <c r="F27" s="172" t="s">
        <v>216</v>
      </c>
      <c r="G27" s="172"/>
      <c r="H27" s="152" t="s">
        <v>7</v>
      </c>
      <c r="I27" s="17"/>
    </row>
    <row r="28" spans="1:9" s="44" customFormat="1" ht="17.25" x14ac:dyDescent="0.35">
      <c r="A28" s="159" t="s">
        <v>119</v>
      </c>
      <c r="B28" s="172">
        <v>946</v>
      </c>
      <c r="C28" s="172"/>
      <c r="D28" s="172"/>
      <c r="E28" s="160"/>
      <c r="F28" s="172"/>
      <c r="G28" s="172" t="s">
        <v>72</v>
      </c>
      <c r="H28" s="152"/>
      <c r="I28" s="17"/>
    </row>
    <row r="29" spans="1:9" s="44" customFormat="1" ht="17.25" x14ac:dyDescent="0.35">
      <c r="A29" s="159"/>
      <c r="B29" s="172"/>
      <c r="C29" s="172" t="s">
        <v>44</v>
      </c>
      <c r="D29" s="172">
        <v>1</v>
      </c>
      <c r="E29" s="160" t="s">
        <v>12</v>
      </c>
      <c r="F29" s="172">
        <v>0</v>
      </c>
      <c r="G29" s="172"/>
      <c r="H29" s="152"/>
      <c r="I29" s="17"/>
    </row>
    <row r="30" spans="1:9" s="44" customFormat="1" ht="17.25" x14ac:dyDescent="0.35">
      <c r="A30" s="159"/>
      <c r="B30" s="172"/>
      <c r="C30" s="172" t="s">
        <v>44</v>
      </c>
      <c r="D30" s="172">
        <v>2</v>
      </c>
      <c r="E30" s="160" t="s">
        <v>120</v>
      </c>
      <c r="F30" s="172" t="s">
        <v>218</v>
      </c>
      <c r="G30" s="172"/>
      <c r="H30" s="152" t="s">
        <v>7</v>
      </c>
      <c r="I30" s="17"/>
    </row>
    <row r="31" spans="1:9" s="44" customFormat="1" ht="17.25" x14ac:dyDescent="0.35">
      <c r="A31" s="159" t="s">
        <v>121</v>
      </c>
      <c r="B31" s="172">
        <v>2954</v>
      </c>
      <c r="C31" s="172"/>
      <c r="D31" s="172"/>
      <c r="E31" s="160"/>
      <c r="F31" s="172"/>
      <c r="G31" s="172" t="s">
        <v>72</v>
      </c>
      <c r="H31" s="152"/>
      <c r="I31" s="17"/>
    </row>
    <row r="32" spans="1:9" s="44" customFormat="1" ht="17.25" x14ac:dyDescent="0.35">
      <c r="A32" s="159"/>
      <c r="B32" s="172"/>
      <c r="C32" s="172" t="s">
        <v>44</v>
      </c>
      <c r="D32" s="172">
        <v>1</v>
      </c>
      <c r="E32" s="160" t="s">
        <v>12</v>
      </c>
      <c r="F32" s="172">
        <v>0</v>
      </c>
      <c r="G32" s="172"/>
      <c r="H32" s="152"/>
      <c r="I32" s="17"/>
    </row>
    <row r="33" spans="1:9" s="44" customFormat="1" ht="17.25" x14ac:dyDescent="0.35">
      <c r="A33" s="159"/>
      <c r="B33" s="172"/>
      <c r="C33" s="172" t="s">
        <v>44</v>
      </c>
      <c r="D33" s="172">
        <v>4</v>
      </c>
      <c r="E33" s="160" t="s">
        <v>122</v>
      </c>
      <c r="F33" s="172" t="s">
        <v>66</v>
      </c>
      <c r="G33" s="172"/>
      <c r="H33" s="152" t="s">
        <v>7</v>
      </c>
      <c r="I33" s="17"/>
    </row>
    <row r="34" spans="1:9" s="44" customFormat="1" ht="34.5" x14ac:dyDescent="0.35">
      <c r="A34" s="159" t="s">
        <v>123</v>
      </c>
      <c r="B34" s="172">
        <v>1016</v>
      </c>
      <c r="C34" s="172" t="s">
        <v>44</v>
      </c>
      <c r="D34" s="172">
        <v>1</v>
      </c>
      <c r="E34" s="160" t="s">
        <v>124</v>
      </c>
      <c r="F34" s="172">
        <v>1</v>
      </c>
      <c r="G34" s="172" t="s">
        <v>53</v>
      </c>
      <c r="H34" s="152" t="s">
        <v>125</v>
      </c>
      <c r="I34" s="17"/>
    </row>
    <row r="35" spans="1:9" s="44" customFormat="1" ht="34.5" x14ac:dyDescent="0.35">
      <c r="A35" s="159" t="s">
        <v>126</v>
      </c>
      <c r="B35" s="172">
        <v>1017</v>
      </c>
      <c r="C35" s="172" t="s">
        <v>44</v>
      </c>
      <c r="D35" s="172">
        <v>1</v>
      </c>
      <c r="E35" s="160" t="s">
        <v>127</v>
      </c>
      <c r="F35" s="172">
        <v>2</v>
      </c>
      <c r="G35" s="172" t="s">
        <v>53</v>
      </c>
      <c r="H35" s="152" t="s">
        <v>128</v>
      </c>
      <c r="I35" s="17"/>
    </row>
    <row r="36" spans="1:9" s="44" customFormat="1" ht="51.75" x14ac:dyDescent="0.35">
      <c r="A36" s="159" t="s">
        <v>129</v>
      </c>
      <c r="B36" s="172">
        <v>1030</v>
      </c>
      <c r="C36" s="172" t="s">
        <v>44</v>
      </c>
      <c r="D36" s="172">
        <v>1</v>
      </c>
      <c r="E36" s="160" t="s">
        <v>130</v>
      </c>
      <c r="F36" s="172" t="s">
        <v>6</v>
      </c>
      <c r="G36" s="172" t="s">
        <v>53</v>
      </c>
      <c r="H36" s="152" t="s">
        <v>261</v>
      </c>
      <c r="I36" s="17"/>
    </row>
    <row r="37" spans="1:9" s="44" customFormat="1" ht="34.5" x14ac:dyDescent="0.35">
      <c r="A37" s="159" t="s">
        <v>132</v>
      </c>
      <c r="B37" s="172">
        <v>1031</v>
      </c>
      <c r="C37" s="172" t="s">
        <v>44</v>
      </c>
      <c r="D37" s="172">
        <v>1</v>
      </c>
      <c r="E37" s="160" t="s">
        <v>133</v>
      </c>
      <c r="F37" s="172" t="s">
        <v>6</v>
      </c>
      <c r="G37" s="172" t="s">
        <v>53</v>
      </c>
      <c r="H37" s="152" t="s">
        <v>131</v>
      </c>
      <c r="I37" s="17"/>
    </row>
    <row r="38" spans="1:9" s="44" customFormat="1" ht="17.25" x14ac:dyDescent="0.35">
      <c r="A38" s="159" t="s">
        <v>134</v>
      </c>
      <c r="B38" s="172">
        <v>1302</v>
      </c>
      <c r="C38" s="172" t="s">
        <v>44</v>
      </c>
      <c r="D38" s="172">
        <v>1</v>
      </c>
      <c r="E38" s="160" t="s">
        <v>135</v>
      </c>
      <c r="F38" s="172">
        <v>1</v>
      </c>
      <c r="G38" s="172" t="s">
        <v>53</v>
      </c>
      <c r="H38" s="152" t="s">
        <v>136</v>
      </c>
      <c r="I38" s="17"/>
    </row>
    <row r="39" spans="1:9" s="44" customFormat="1" ht="17.25" x14ac:dyDescent="0.35">
      <c r="A39" s="165" t="s">
        <v>61</v>
      </c>
      <c r="B39" s="172">
        <v>1896</v>
      </c>
      <c r="C39" s="172" t="s">
        <v>44</v>
      </c>
      <c r="D39" s="172">
        <v>1</v>
      </c>
      <c r="E39" s="166" t="s">
        <v>395</v>
      </c>
      <c r="F39" s="172">
        <v>1</v>
      </c>
      <c r="G39" s="172" t="s">
        <v>53</v>
      </c>
      <c r="H39" s="154"/>
      <c r="I39" s="17"/>
    </row>
    <row r="40" spans="1:9" s="44" customFormat="1" ht="17.25" x14ac:dyDescent="0.35">
      <c r="A40" s="159" t="s">
        <v>17</v>
      </c>
      <c r="B40" s="172">
        <v>1918</v>
      </c>
      <c r="C40" s="172" t="s">
        <v>44</v>
      </c>
      <c r="D40" s="172">
        <v>4</v>
      </c>
      <c r="E40" s="160" t="s">
        <v>18</v>
      </c>
      <c r="F40" s="172">
        <v>64</v>
      </c>
      <c r="G40" s="172" t="s">
        <v>53</v>
      </c>
      <c r="H40" s="152"/>
      <c r="I40" s="17"/>
    </row>
    <row r="41" spans="1:9" s="44" customFormat="1" ht="34.5" x14ac:dyDescent="0.35">
      <c r="A41" s="165" t="s">
        <v>19</v>
      </c>
      <c r="B41" s="172">
        <v>1920</v>
      </c>
      <c r="C41" s="172" t="s">
        <v>44</v>
      </c>
      <c r="D41" s="172">
        <v>4</v>
      </c>
      <c r="E41" s="166" t="s">
        <v>20</v>
      </c>
      <c r="F41" s="172" t="s">
        <v>396</v>
      </c>
      <c r="G41" s="172" t="s">
        <v>53</v>
      </c>
      <c r="H41" s="154" t="s">
        <v>137</v>
      </c>
      <c r="I41" s="17"/>
    </row>
    <row r="42" spans="1:9" s="44" customFormat="1" ht="34.5" x14ac:dyDescent="0.35">
      <c r="A42" s="159" t="s">
        <v>138</v>
      </c>
      <c r="B42" s="172">
        <v>2508</v>
      </c>
      <c r="C42" s="172" t="s">
        <v>44</v>
      </c>
      <c r="D42" s="172">
        <v>1</v>
      </c>
      <c r="E42" s="160" t="s">
        <v>139</v>
      </c>
      <c r="F42" s="172">
        <v>1</v>
      </c>
      <c r="G42" s="172" t="s">
        <v>53</v>
      </c>
      <c r="H42" s="152" t="s">
        <v>217</v>
      </c>
      <c r="I42" s="17"/>
    </row>
    <row r="43" spans="1:9" s="44" customFormat="1" ht="17.25" x14ac:dyDescent="0.35">
      <c r="A43" s="159" t="s">
        <v>140</v>
      </c>
      <c r="B43" s="172">
        <v>2509</v>
      </c>
      <c r="C43" s="172" t="s">
        <v>44</v>
      </c>
      <c r="D43" s="172">
        <v>1</v>
      </c>
      <c r="E43" s="160" t="s">
        <v>141</v>
      </c>
      <c r="F43" s="172">
        <v>33</v>
      </c>
      <c r="G43" s="172" t="s">
        <v>53</v>
      </c>
      <c r="H43" s="152"/>
      <c r="I43" s="17"/>
    </row>
    <row r="44" spans="1:9" s="44" customFormat="1" ht="17.25" x14ac:dyDescent="0.35">
      <c r="A44" s="159" t="s">
        <v>142</v>
      </c>
      <c r="B44" s="172">
        <v>3630</v>
      </c>
      <c r="C44" s="172" t="s">
        <v>44</v>
      </c>
      <c r="D44" s="172">
        <v>1</v>
      </c>
      <c r="E44" s="160" t="s">
        <v>143</v>
      </c>
      <c r="F44" s="172">
        <v>1</v>
      </c>
      <c r="G44" s="172" t="s">
        <v>53</v>
      </c>
      <c r="H44" s="152" t="s">
        <v>144</v>
      </c>
      <c r="I44" s="17"/>
    </row>
    <row r="45" spans="1:9" s="44" customFormat="1" ht="17.25" x14ac:dyDescent="0.35">
      <c r="A45" s="159" t="s">
        <v>145</v>
      </c>
      <c r="B45" s="172">
        <v>2512</v>
      </c>
      <c r="C45" s="172" t="s">
        <v>44</v>
      </c>
      <c r="D45" s="172">
        <v>1</v>
      </c>
      <c r="E45" s="160" t="s">
        <v>146</v>
      </c>
      <c r="F45" s="172">
        <v>1</v>
      </c>
      <c r="G45" s="172" t="s">
        <v>53</v>
      </c>
      <c r="H45" s="152" t="s">
        <v>147</v>
      </c>
      <c r="I45" s="17"/>
    </row>
    <row r="46" spans="1:9" s="44" customFormat="1" ht="17.25" x14ac:dyDescent="0.35">
      <c r="A46" s="159" t="s">
        <v>148</v>
      </c>
      <c r="B46" s="172">
        <v>3006</v>
      </c>
      <c r="C46" s="172" t="s">
        <v>44</v>
      </c>
      <c r="D46" s="172">
        <v>2</v>
      </c>
      <c r="E46" s="160" t="s">
        <v>149</v>
      </c>
      <c r="F46" s="172">
        <v>255</v>
      </c>
      <c r="G46" s="172" t="s">
        <v>53</v>
      </c>
      <c r="H46" s="152"/>
      <c r="I46" s="17"/>
    </row>
    <row r="47" spans="1:9" s="44" customFormat="1" ht="17.25" x14ac:dyDescent="0.35">
      <c r="A47" s="159" t="s">
        <v>22</v>
      </c>
      <c r="B47" s="172">
        <v>3532</v>
      </c>
      <c r="C47" s="172" t="s">
        <v>44</v>
      </c>
      <c r="D47" s="172">
        <v>1</v>
      </c>
      <c r="E47" s="160" t="s">
        <v>23</v>
      </c>
      <c r="F47" s="172">
        <v>180</v>
      </c>
      <c r="G47" s="172" t="s">
        <v>53</v>
      </c>
      <c r="H47" s="152" t="s">
        <v>7</v>
      </c>
      <c r="I47" s="17"/>
    </row>
    <row r="48" spans="1:9" s="44" customFormat="1" ht="17.25" x14ac:dyDescent="0.35">
      <c r="A48" s="159" t="s">
        <v>24</v>
      </c>
      <c r="B48" s="172">
        <v>3533</v>
      </c>
      <c r="C48" s="172" t="s">
        <v>44</v>
      </c>
      <c r="D48" s="172">
        <v>1</v>
      </c>
      <c r="E48" s="160" t="s">
        <v>25</v>
      </c>
      <c r="F48" s="172">
        <v>45</v>
      </c>
      <c r="G48" s="172" t="s">
        <v>53</v>
      </c>
      <c r="H48" s="152" t="s">
        <v>7</v>
      </c>
      <c r="I48" s="17"/>
    </row>
    <row r="49" spans="1:9" s="44" customFormat="1" ht="17.25" x14ac:dyDescent="0.35">
      <c r="A49" s="159" t="s">
        <v>150</v>
      </c>
      <c r="B49" s="172">
        <v>3461</v>
      </c>
      <c r="C49" s="172" t="s">
        <v>44</v>
      </c>
      <c r="D49" s="172">
        <v>1</v>
      </c>
      <c r="E49" s="160" t="s">
        <v>151</v>
      </c>
      <c r="F49" s="172">
        <v>1</v>
      </c>
      <c r="G49" s="172" t="s">
        <v>53</v>
      </c>
      <c r="H49" s="152"/>
      <c r="I49" s="17"/>
    </row>
    <row r="50" spans="1:9" s="44" customFormat="1" ht="17.25" x14ac:dyDescent="0.35">
      <c r="A50" s="159" t="s">
        <v>152</v>
      </c>
      <c r="B50" s="172">
        <v>3628</v>
      </c>
      <c r="C50" s="172" t="s">
        <v>44</v>
      </c>
      <c r="D50" s="172">
        <v>1</v>
      </c>
      <c r="E50" s="160" t="s">
        <v>153</v>
      </c>
      <c r="F50" s="172">
        <v>0</v>
      </c>
      <c r="G50" s="172" t="s">
        <v>53</v>
      </c>
      <c r="H50" s="152" t="s">
        <v>154</v>
      </c>
      <c r="I50" s="17"/>
    </row>
    <row r="51" spans="1:9" s="44" customFormat="1" ht="17.25" x14ac:dyDescent="0.35">
      <c r="A51" s="159" t="s">
        <v>155</v>
      </c>
      <c r="B51" s="172">
        <v>3629</v>
      </c>
      <c r="C51" s="172" t="s">
        <v>44</v>
      </c>
      <c r="D51" s="172">
        <v>1</v>
      </c>
      <c r="E51" s="160" t="s">
        <v>156</v>
      </c>
      <c r="F51" s="172">
        <v>3</v>
      </c>
      <c r="G51" s="172" t="s">
        <v>53</v>
      </c>
      <c r="H51" s="152" t="s">
        <v>157</v>
      </c>
      <c r="I51" s="17"/>
    </row>
    <row r="52" spans="1:9" s="44" customFormat="1" ht="17.25" x14ac:dyDescent="0.35">
      <c r="A52" s="161" t="s">
        <v>570</v>
      </c>
      <c r="B52" s="172">
        <v>3758</v>
      </c>
      <c r="C52" s="172" t="s">
        <v>44</v>
      </c>
      <c r="D52" s="172">
        <v>1</v>
      </c>
      <c r="E52" s="162" t="s">
        <v>571</v>
      </c>
      <c r="F52" s="172">
        <v>1</v>
      </c>
      <c r="G52" s="172" t="s">
        <v>53</v>
      </c>
      <c r="H52" s="173"/>
      <c r="I52" s="17"/>
    </row>
    <row r="53" spans="1:9" s="44" customFormat="1" ht="17.25" x14ac:dyDescent="0.35">
      <c r="A53" s="159" t="s">
        <v>158</v>
      </c>
      <c r="B53" s="172">
        <v>3851</v>
      </c>
      <c r="C53" s="172" t="s">
        <v>44</v>
      </c>
      <c r="D53" s="172">
        <v>1</v>
      </c>
      <c r="E53" s="160" t="s">
        <v>159</v>
      </c>
      <c r="F53" s="172">
        <v>3</v>
      </c>
      <c r="G53" s="172" t="s">
        <v>53</v>
      </c>
      <c r="H53" s="152" t="s">
        <v>160</v>
      </c>
      <c r="I53" s="17"/>
    </row>
    <row r="54" spans="1:9" s="44" customFormat="1" ht="34.5" x14ac:dyDescent="0.35">
      <c r="A54" s="159" t="s">
        <v>161</v>
      </c>
      <c r="B54" s="172">
        <v>4117</v>
      </c>
      <c r="C54" s="172" t="s">
        <v>44</v>
      </c>
      <c r="D54" s="172">
        <v>1</v>
      </c>
      <c r="E54" s="160" t="s">
        <v>162</v>
      </c>
      <c r="F54" s="172">
        <v>1</v>
      </c>
      <c r="G54" s="172" t="s">
        <v>53</v>
      </c>
      <c r="H54" s="152" t="s">
        <v>163</v>
      </c>
      <c r="I54" s="17"/>
    </row>
    <row r="55" spans="1:9" s="44" customFormat="1" ht="34.5" x14ac:dyDescent="0.35">
      <c r="A55" s="159" t="s">
        <v>164</v>
      </c>
      <c r="B55" s="172">
        <v>4118</v>
      </c>
      <c r="C55" s="172" t="s">
        <v>44</v>
      </c>
      <c r="D55" s="172">
        <v>1</v>
      </c>
      <c r="E55" s="160" t="s">
        <v>165</v>
      </c>
      <c r="F55" s="172">
        <v>14</v>
      </c>
      <c r="G55" s="172" t="s">
        <v>53</v>
      </c>
      <c r="H55" s="152" t="s">
        <v>166</v>
      </c>
      <c r="I55" s="17"/>
    </row>
    <row r="56" spans="1:9" s="44" customFormat="1" ht="17.25" x14ac:dyDescent="0.35">
      <c r="A56" s="159" t="s">
        <v>167</v>
      </c>
      <c r="B56" s="172">
        <v>4209</v>
      </c>
      <c r="C56" s="172" t="s">
        <v>44</v>
      </c>
      <c r="D56" s="172">
        <v>1</v>
      </c>
      <c r="E56" s="160" t="s">
        <v>168</v>
      </c>
      <c r="F56" s="172">
        <v>0</v>
      </c>
      <c r="G56" s="172" t="s">
        <v>53</v>
      </c>
      <c r="H56" s="152" t="s">
        <v>169</v>
      </c>
      <c r="I56" s="17"/>
    </row>
    <row r="57" spans="1:9" s="44" customFormat="1" ht="17.25" x14ac:dyDescent="0.35">
      <c r="A57" s="159" t="s">
        <v>170</v>
      </c>
      <c r="B57" s="172">
        <v>4261</v>
      </c>
      <c r="C57" s="172" t="s">
        <v>44</v>
      </c>
      <c r="D57" s="172">
        <v>1</v>
      </c>
      <c r="E57" s="160"/>
      <c r="F57" s="172">
        <v>1</v>
      </c>
      <c r="G57" s="172" t="s">
        <v>53</v>
      </c>
      <c r="H57" s="152" t="s">
        <v>171</v>
      </c>
      <c r="I57" s="17"/>
    </row>
    <row r="58" spans="1:9" ht="17.25" x14ac:dyDescent="0.35">
      <c r="A58" s="161" t="s">
        <v>566</v>
      </c>
      <c r="B58" s="172">
        <v>4703</v>
      </c>
      <c r="C58" s="172" t="s">
        <v>45</v>
      </c>
      <c r="D58" s="172">
        <v>128</v>
      </c>
      <c r="E58" s="162" t="s">
        <v>567</v>
      </c>
      <c r="F58" s="172">
        <v>0</v>
      </c>
      <c r="G58" s="172" t="s">
        <v>53</v>
      </c>
      <c r="H58" s="173"/>
      <c r="I58" s="47"/>
    </row>
    <row r="59" spans="1:9" s="44" customFormat="1" ht="69" x14ac:dyDescent="0.35">
      <c r="A59" s="167" t="s">
        <v>277</v>
      </c>
      <c r="B59" s="172">
        <v>4722</v>
      </c>
      <c r="C59" s="172" t="s">
        <v>44</v>
      </c>
      <c r="D59" s="172">
        <v>1</v>
      </c>
      <c r="E59" s="168" t="s">
        <v>278</v>
      </c>
      <c r="F59" s="172">
        <v>3</v>
      </c>
      <c r="G59" s="172" t="s">
        <v>53</v>
      </c>
      <c r="H59" s="155" t="s">
        <v>438</v>
      </c>
      <c r="I59" s="17"/>
    </row>
    <row r="60" spans="1:9" s="44" customFormat="1" ht="17.25" x14ac:dyDescent="0.35">
      <c r="A60" s="159" t="s">
        <v>172</v>
      </c>
      <c r="B60" s="172">
        <v>5090</v>
      </c>
      <c r="C60" s="172" t="s">
        <v>44</v>
      </c>
      <c r="D60" s="172">
        <v>1</v>
      </c>
      <c r="E60" s="160" t="s">
        <v>173</v>
      </c>
      <c r="F60" s="172">
        <v>1</v>
      </c>
      <c r="G60" s="172" t="s">
        <v>53</v>
      </c>
      <c r="H60" s="152" t="s">
        <v>174</v>
      </c>
      <c r="I60" s="17"/>
    </row>
    <row r="61" spans="1:9" s="44" customFormat="1" ht="17.25" x14ac:dyDescent="0.35">
      <c r="A61" s="161" t="s">
        <v>572</v>
      </c>
      <c r="B61" s="172">
        <v>6789</v>
      </c>
      <c r="C61" s="172" t="s">
        <v>44</v>
      </c>
      <c r="D61" s="172">
        <v>1</v>
      </c>
      <c r="E61" s="162" t="s">
        <v>573</v>
      </c>
      <c r="F61" s="172" t="s">
        <v>579</v>
      </c>
      <c r="G61" s="172" t="s">
        <v>53</v>
      </c>
      <c r="H61" s="173"/>
      <c r="I61" s="17" t="s">
        <v>7</v>
      </c>
    </row>
    <row r="62" spans="1:9" s="44" customFormat="1" ht="34.5" x14ac:dyDescent="0.35">
      <c r="A62" s="161" t="s">
        <v>574</v>
      </c>
      <c r="B62" s="172">
        <v>6790</v>
      </c>
      <c r="C62" s="172" t="s">
        <v>44</v>
      </c>
      <c r="D62" s="172">
        <v>2</v>
      </c>
      <c r="E62" s="162" t="s">
        <v>575</v>
      </c>
      <c r="F62" s="172">
        <v>0</v>
      </c>
      <c r="G62" s="172" t="s">
        <v>53</v>
      </c>
      <c r="H62" s="173"/>
      <c r="I62" s="17"/>
    </row>
    <row r="63" spans="1:9" s="44" customFormat="1" ht="396.75" x14ac:dyDescent="0.35">
      <c r="A63" s="159" t="s">
        <v>177</v>
      </c>
      <c r="B63" s="172">
        <v>6844</v>
      </c>
      <c r="C63" s="172" t="s">
        <v>220</v>
      </c>
      <c r="D63" s="172">
        <v>1</v>
      </c>
      <c r="E63" s="160" t="s">
        <v>219</v>
      </c>
      <c r="F63" s="172" t="s">
        <v>239</v>
      </c>
      <c r="G63" s="172" t="s">
        <v>53</v>
      </c>
      <c r="H63" s="152" t="s">
        <v>228</v>
      </c>
      <c r="I63" s="17"/>
    </row>
    <row r="64" spans="1:9" ht="34.5" x14ac:dyDescent="0.35">
      <c r="A64" s="159" t="s">
        <v>26</v>
      </c>
      <c r="B64" s="172">
        <v>5280</v>
      </c>
      <c r="C64" s="172" t="s">
        <v>44</v>
      </c>
      <c r="D64" s="172">
        <v>8</v>
      </c>
      <c r="E64" s="160" t="s">
        <v>175</v>
      </c>
      <c r="F64" s="172">
        <v>2</v>
      </c>
      <c r="G64" s="172" t="s">
        <v>53</v>
      </c>
      <c r="H64" s="152" t="s">
        <v>176</v>
      </c>
      <c r="I64" s="47"/>
    </row>
    <row r="65" spans="1:9" s="44" customFormat="1" ht="17.25" x14ac:dyDescent="0.35">
      <c r="A65" s="159" t="s">
        <v>244</v>
      </c>
      <c r="B65" s="172">
        <v>6850</v>
      </c>
      <c r="C65" s="172" t="s">
        <v>44</v>
      </c>
      <c r="D65" s="172">
        <v>1</v>
      </c>
      <c r="E65" s="160"/>
      <c r="F65" s="172" t="s">
        <v>54</v>
      </c>
      <c r="G65" s="172" t="s">
        <v>53</v>
      </c>
      <c r="H65" s="152"/>
      <c r="I65" s="17"/>
    </row>
    <row r="66" spans="1:9" s="44" customFormat="1" ht="17.25" x14ac:dyDescent="0.35">
      <c r="A66" s="159" t="s">
        <v>252</v>
      </c>
      <c r="B66" s="172">
        <v>6830</v>
      </c>
      <c r="C66" s="172" t="s">
        <v>44</v>
      </c>
      <c r="D66" s="172">
        <v>1</v>
      </c>
      <c r="E66" s="160"/>
      <c r="F66" s="172">
        <v>10</v>
      </c>
      <c r="G66" s="172" t="s">
        <v>53</v>
      </c>
      <c r="H66" s="152"/>
      <c r="I66" s="17"/>
    </row>
    <row r="67" spans="1:9" ht="17.25" x14ac:dyDescent="0.35">
      <c r="A67" s="159" t="s">
        <v>253</v>
      </c>
      <c r="B67" s="172">
        <v>6831</v>
      </c>
      <c r="C67" s="172" t="s">
        <v>44</v>
      </c>
      <c r="D67" s="172">
        <v>1</v>
      </c>
      <c r="E67" s="160"/>
      <c r="F67" s="172">
        <v>10</v>
      </c>
      <c r="G67" s="172" t="s">
        <v>53</v>
      </c>
      <c r="H67" s="152"/>
      <c r="I67" s="47"/>
    </row>
    <row r="68" spans="1:9" ht="17.25" x14ac:dyDescent="0.35">
      <c r="A68" s="159" t="s">
        <v>232</v>
      </c>
      <c r="B68" s="172">
        <v>4230</v>
      </c>
      <c r="C68" s="172" t="s">
        <v>44</v>
      </c>
      <c r="D68" s="172">
        <v>2</v>
      </c>
      <c r="E68" s="160" t="s">
        <v>266</v>
      </c>
      <c r="F68" s="172">
        <v>0</v>
      </c>
      <c r="G68" s="172" t="s">
        <v>53</v>
      </c>
      <c r="H68" s="152"/>
      <c r="I68" s="47"/>
    </row>
    <row r="69" spans="1:9" s="44" customFormat="1" ht="17.25" x14ac:dyDescent="0.35">
      <c r="A69" s="159"/>
      <c r="B69" s="172"/>
      <c r="C69" s="172"/>
      <c r="D69" s="172"/>
      <c r="E69" s="160"/>
      <c r="F69" s="172"/>
      <c r="G69" s="172"/>
      <c r="H69" s="152"/>
      <c r="I69" s="17"/>
    </row>
    <row r="70" spans="1:9" s="44" customFormat="1" ht="17.25" x14ac:dyDescent="0.35">
      <c r="A70" s="159" t="s">
        <v>29</v>
      </c>
      <c r="B70" s="172">
        <v>10</v>
      </c>
      <c r="C70" s="172"/>
      <c r="D70" s="172"/>
      <c r="E70" s="160" t="s">
        <v>30</v>
      </c>
      <c r="F70" s="172"/>
      <c r="G70" s="172" t="s">
        <v>72</v>
      </c>
      <c r="H70" s="152" t="s">
        <v>7</v>
      </c>
      <c r="I70" s="17"/>
    </row>
    <row r="71" spans="1:9" s="44" customFormat="1" ht="17.25" x14ac:dyDescent="0.35">
      <c r="A71" s="159"/>
      <c r="B71" s="172"/>
      <c r="C71" s="172" t="s">
        <v>44</v>
      </c>
      <c r="D71" s="172">
        <v>1</v>
      </c>
      <c r="E71" s="160" t="s">
        <v>12</v>
      </c>
      <c r="F71" s="172">
        <v>0</v>
      </c>
      <c r="G71" s="172"/>
      <c r="H71" s="152"/>
      <c r="I71" s="17"/>
    </row>
    <row r="72" spans="1:9" s="44" customFormat="1" ht="17.25" x14ac:dyDescent="0.35">
      <c r="A72" s="159"/>
      <c r="B72" s="172"/>
      <c r="C72" s="172" t="s">
        <v>44</v>
      </c>
      <c r="D72" s="172">
        <v>2</v>
      </c>
      <c r="E72" s="160" t="s">
        <v>31</v>
      </c>
      <c r="F72" s="172">
        <v>4</v>
      </c>
      <c r="G72" s="172"/>
      <c r="H72" s="152" t="s">
        <v>7</v>
      </c>
      <c r="I72" s="17"/>
    </row>
    <row r="73" spans="1:9" s="44" customFormat="1" ht="17.25" x14ac:dyDescent="0.35">
      <c r="A73" s="159" t="s">
        <v>29</v>
      </c>
      <c r="B73" s="172">
        <v>10</v>
      </c>
      <c r="C73" s="172"/>
      <c r="D73" s="172"/>
      <c r="E73" s="160" t="s">
        <v>30</v>
      </c>
      <c r="F73" s="172"/>
      <c r="G73" s="172" t="s">
        <v>635</v>
      </c>
      <c r="H73" s="152" t="s">
        <v>7</v>
      </c>
      <c r="I73" s="17"/>
    </row>
    <row r="74" spans="1:9" s="44" customFormat="1" ht="17.25" x14ac:dyDescent="0.35">
      <c r="A74" s="163"/>
      <c r="B74" s="172" t="s">
        <v>1305</v>
      </c>
      <c r="C74" s="172" t="s">
        <v>44</v>
      </c>
      <c r="D74" s="172">
        <v>1</v>
      </c>
      <c r="E74" s="164"/>
      <c r="F74" s="172" t="s">
        <v>636</v>
      </c>
      <c r="G74" s="172"/>
      <c r="H74" s="153"/>
      <c r="I74" s="17"/>
    </row>
    <row r="75" spans="1:9" s="44" customFormat="1" ht="17.25" x14ac:dyDescent="0.35">
      <c r="A75" s="159"/>
      <c r="B75" s="172"/>
      <c r="C75" s="172" t="s">
        <v>44</v>
      </c>
      <c r="D75" s="172">
        <v>1</v>
      </c>
      <c r="E75" s="160" t="s">
        <v>12</v>
      </c>
      <c r="F75" s="172">
        <v>0</v>
      </c>
      <c r="G75" s="172"/>
      <c r="H75" s="152"/>
      <c r="I75" s="17"/>
    </row>
    <row r="76" spans="1:9" s="44" customFormat="1" ht="17.25" x14ac:dyDescent="0.35">
      <c r="A76" s="159"/>
      <c r="B76" s="172"/>
      <c r="C76" s="172" t="s">
        <v>44</v>
      </c>
      <c r="D76" s="172">
        <v>2</v>
      </c>
      <c r="E76" s="160" t="s">
        <v>31</v>
      </c>
      <c r="F76" s="172">
        <v>13</v>
      </c>
      <c r="G76" s="172"/>
      <c r="H76" s="152" t="s">
        <v>7</v>
      </c>
      <c r="I76" s="17"/>
    </row>
    <row r="77" spans="1:9" s="44" customFormat="1" ht="34.5" x14ac:dyDescent="0.35">
      <c r="A77" s="150" t="s">
        <v>178</v>
      </c>
      <c r="B77" s="172">
        <v>5080</v>
      </c>
      <c r="C77" s="172" t="s">
        <v>7</v>
      </c>
      <c r="D77" s="172" t="s">
        <v>7</v>
      </c>
      <c r="E77" s="160"/>
      <c r="F77" s="172" t="s">
        <v>7</v>
      </c>
      <c r="G77" s="172" t="s">
        <v>7</v>
      </c>
      <c r="H77" s="117" t="s">
        <v>227</v>
      </c>
      <c r="I77" s="17"/>
    </row>
    <row r="78" spans="1:9" s="44" customFormat="1" ht="17.25" x14ac:dyDescent="0.35">
      <c r="A78" s="163" t="s">
        <v>561</v>
      </c>
      <c r="B78" s="172">
        <v>6792</v>
      </c>
      <c r="C78" s="172" t="s">
        <v>44</v>
      </c>
      <c r="D78" s="172">
        <v>4</v>
      </c>
      <c r="E78" s="164" t="s">
        <v>562</v>
      </c>
      <c r="F78" s="172" t="s">
        <v>563</v>
      </c>
      <c r="G78" s="172" t="s">
        <v>53</v>
      </c>
      <c r="H78" s="153"/>
      <c r="I78" s="17"/>
    </row>
    <row r="79" spans="1:9" s="44" customFormat="1" ht="18" thickBot="1" x14ac:dyDescent="0.4">
      <c r="A79" s="169"/>
      <c r="B79" s="174"/>
      <c r="C79" s="174"/>
      <c r="D79" s="174"/>
      <c r="E79" s="170"/>
      <c r="F79" s="174"/>
      <c r="G79" s="174"/>
      <c r="H79" s="156"/>
      <c r="I79" s="17"/>
    </row>
    <row r="80" spans="1:9" s="44" customFormat="1" ht="15.75" thickBot="1" x14ac:dyDescent="0.35">
      <c r="A80" s="49"/>
      <c r="B80" s="50"/>
      <c r="C80" s="51"/>
      <c r="D80" s="51"/>
      <c r="E80" s="51"/>
      <c r="F80" s="52"/>
      <c r="G80" s="51"/>
      <c r="H80" s="53"/>
      <c r="I80" s="17"/>
    </row>
    <row r="81" spans="1:9" s="44" customFormat="1" ht="20.25" thickBot="1" x14ac:dyDescent="0.45">
      <c r="A81" s="54" t="s">
        <v>48</v>
      </c>
      <c r="B81" s="55"/>
      <c r="C81" s="56"/>
      <c r="D81" s="56"/>
      <c r="E81" s="56"/>
      <c r="F81" s="56"/>
      <c r="G81" s="56"/>
      <c r="H81" s="57"/>
      <c r="I81" s="58"/>
    </row>
    <row r="82" spans="1:9" s="44" customFormat="1" ht="15.75" thickBot="1" x14ac:dyDescent="0.35">
      <c r="A82" s="128" t="s">
        <v>33</v>
      </c>
      <c r="B82" s="129" t="s">
        <v>34</v>
      </c>
      <c r="C82" s="130" t="s">
        <v>41</v>
      </c>
      <c r="D82" s="131" t="s">
        <v>51</v>
      </c>
      <c r="E82" s="130" t="s">
        <v>50</v>
      </c>
      <c r="F82" s="130" t="s">
        <v>43</v>
      </c>
      <c r="G82" s="130" t="s">
        <v>49</v>
      </c>
      <c r="H82" s="132" t="s">
        <v>55</v>
      </c>
      <c r="I82" s="59" t="s">
        <v>35</v>
      </c>
    </row>
    <row r="83" spans="1:9" s="45" customFormat="1" ht="17.25" x14ac:dyDescent="0.35">
      <c r="A83" s="134" t="s">
        <v>179</v>
      </c>
      <c r="B83" s="143" t="s">
        <v>180</v>
      </c>
      <c r="C83" s="143" t="s">
        <v>67</v>
      </c>
      <c r="D83" s="143"/>
      <c r="E83" s="143"/>
      <c r="F83" s="143"/>
      <c r="G83" s="143" t="s">
        <v>53</v>
      </c>
      <c r="H83" s="144" t="s">
        <v>7</v>
      </c>
      <c r="I83" s="60"/>
    </row>
    <row r="84" spans="1:9" s="124" customFormat="1" ht="34.5" x14ac:dyDescent="0.35">
      <c r="A84" s="135"/>
      <c r="B84" s="145"/>
      <c r="C84" s="145"/>
      <c r="D84" s="145" t="s">
        <v>44</v>
      </c>
      <c r="E84" s="145">
        <v>1</v>
      </c>
      <c r="F84" s="145">
        <v>0</v>
      </c>
      <c r="G84" s="145"/>
      <c r="H84" s="146"/>
      <c r="I84" s="60" t="s">
        <v>181</v>
      </c>
    </row>
    <row r="85" spans="1:9" s="45" customFormat="1" ht="17.25" x14ac:dyDescent="0.35">
      <c r="A85" s="135" t="s">
        <v>182</v>
      </c>
      <c r="B85" s="145" t="s">
        <v>69</v>
      </c>
      <c r="C85" s="145" t="s">
        <v>67</v>
      </c>
      <c r="D85" s="145"/>
      <c r="E85" s="145"/>
      <c r="F85" s="145"/>
      <c r="G85" s="145" t="s">
        <v>53</v>
      </c>
      <c r="H85" s="146" t="s">
        <v>7</v>
      </c>
      <c r="I85" s="60" t="s">
        <v>256</v>
      </c>
    </row>
    <row r="86" spans="1:9" s="45" customFormat="1" ht="17.25" x14ac:dyDescent="0.35">
      <c r="A86" s="135"/>
      <c r="B86" s="145"/>
      <c r="C86" s="145"/>
      <c r="D86" s="145" t="s">
        <v>44</v>
      </c>
      <c r="E86" s="145">
        <v>1</v>
      </c>
      <c r="F86" s="145">
        <v>0</v>
      </c>
      <c r="G86" s="145"/>
      <c r="H86" s="146"/>
      <c r="I86" s="60" t="s">
        <v>255</v>
      </c>
    </row>
    <row r="87" spans="1:9" s="119" customFormat="1" ht="17.25" x14ac:dyDescent="0.35">
      <c r="A87" s="135" t="s">
        <v>183</v>
      </c>
      <c r="B87" s="145" t="s">
        <v>184</v>
      </c>
      <c r="C87" s="145" t="s">
        <v>67</v>
      </c>
      <c r="D87" s="145"/>
      <c r="E87" s="145"/>
      <c r="F87" s="145"/>
      <c r="G87" s="145" t="s">
        <v>53</v>
      </c>
      <c r="H87" s="146"/>
      <c r="I87" s="60"/>
    </row>
    <row r="88" spans="1:9" s="45" customFormat="1" ht="69" x14ac:dyDescent="0.35">
      <c r="A88" s="135"/>
      <c r="B88" s="145"/>
      <c r="C88" s="145"/>
      <c r="D88" s="145" t="s">
        <v>44</v>
      </c>
      <c r="E88" s="145">
        <v>4</v>
      </c>
      <c r="F88" s="145">
        <v>0</v>
      </c>
      <c r="G88" s="145"/>
      <c r="H88" s="146"/>
      <c r="I88" s="60" t="s">
        <v>185</v>
      </c>
    </row>
    <row r="89" spans="1:9" s="45" customFormat="1" ht="17.25" x14ac:dyDescent="0.35">
      <c r="A89" s="135" t="s">
        <v>186</v>
      </c>
      <c r="B89" s="145" t="s">
        <v>240</v>
      </c>
      <c r="C89" s="145" t="s">
        <v>67</v>
      </c>
      <c r="D89" s="145"/>
      <c r="E89" s="145"/>
      <c r="F89" s="145"/>
      <c r="G89" s="145" t="s">
        <v>53</v>
      </c>
      <c r="H89" s="146"/>
      <c r="I89" s="60"/>
    </row>
    <row r="90" spans="1:9" s="45" customFormat="1" ht="34.5" x14ac:dyDescent="0.35">
      <c r="A90" s="135"/>
      <c r="B90" s="145"/>
      <c r="C90" s="145"/>
      <c r="D90" s="145" t="s">
        <v>44</v>
      </c>
      <c r="E90" s="145">
        <v>1</v>
      </c>
      <c r="F90" s="145">
        <v>1</v>
      </c>
      <c r="G90" s="145"/>
      <c r="H90" s="146"/>
      <c r="I90" s="60" t="s">
        <v>187</v>
      </c>
    </row>
    <row r="91" spans="1:9" s="45" customFormat="1" ht="17.25" x14ac:dyDescent="0.35">
      <c r="A91" s="135" t="s">
        <v>188</v>
      </c>
      <c r="B91" s="145" t="s">
        <v>245</v>
      </c>
      <c r="C91" s="145" t="s">
        <v>67</v>
      </c>
      <c r="D91" s="145"/>
      <c r="E91" s="145"/>
      <c r="F91" s="145"/>
      <c r="G91" s="145" t="s">
        <v>53</v>
      </c>
      <c r="H91" s="146"/>
      <c r="I91" s="60"/>
    </row>
    <row r="92" spans="1:9" s="45" customFormat="1" ht="51.75" x14ac:dyDescent="0.35">
      <c r="A92" s="135"/>
      <c r="B92" s="145"/>
      <c r="C92" s="145"/>
      <c r="D92" s="145" t="s">
        <v>243</v>
      </c>
      <c r="E92" s="145">
        <v>1</v>
      </c>
      <c r="F92" s="145" t="s">
        <v>299</v>
      </c>
      <c r="G92" s="145"/>
      <c r="H92" s="146"/>
      <c r="I92" s="60" t="s">
        <v>189</v>
      </c>
    </row>
    <row r="93" spans="1:9" s="45" customFormat="1" ht="17.25" x14ac:dyDescent="0.35">
      <c r="A93" s="135" t="s">
        <v>190</v>
      </c>
      <c r="B93" s="145" t="s">
        <v>191</v>
      </c>
      <c r="C93" s="145" t="s">
        <v>67</v>
      </c>
      <c r="D93" s="145"/>
      <c r="E93" s="145"/>
      <c r="F93" s="145"/>
      <c r="G93" s="145" t="s">
        <v>53</v>
      </c>
      <c r="H93" s="146"/>
      <c r="I93" s="60">
        <v>67204</v>
      </c>
    </row>
    <row r="94" spans="1:9" s="45" customFormat="1" ht="17.25" x14ac:dyDescent="0.35">
      <c r="A94" s="135"/>
      <c r="B94" s="145"/>
      <c r="C94" s="145"/>
      <c r="D94" s="145" t="s">
        <v>44</v>
      </c>
      <c r="E94" s="145">
        <v>1</v>
      </c>
      <c r="F94" s="145">
        <v>1</v>
      </c>
      <c r="G94" s="145"/>
      <c r="H94" s="146"/>
      <c r="I94" s="60" t="s">
        <v>192</v>
      </c>
    </row>
    <row r="95" spans="1:9" s="45" customFormat="1" ht="17.25" x14ac:dyDescent="0.35">
      <c r="A95" s="135"/>
      <c r="B95" s="145"/>
      <c r="C95" s="145"/>
      <c r="D95" s="145" t="s">
        <v>44</v>
      </c>
      <c r="E95" s="145">
        <v>1</v>
      </c>
      <c r="F95" s="145">
        <v>60</v>
      </c>
      <c r="G95" s="145"/>
      <c r="H95" s="146"/>
      <c r="I95" s="60" t="s">
        <v>193</v>
      </c>
    </row>
    <row r="96" spans="1:9" s="45" customFormat="1" ht="17.25" x14ac:dyDescent="0.35">
      <c r="A96" s="135"/>
      <c r="B96" s="145"/>
      <c r="C96" s="145"/>
      <c r="D96" s="145" t="s">
        <v>44</v>
      </c>
      <c r="E96" s="145">
        <v>1</v>
      </c>
      <c r="F96" s="145">
        <v>30</v>
      </c>
      <c r="G96" s="145"/>
      <c r="H96" s="146"/>
      <c r="I96" s="60" t="s">
        <v>194</v>
      </c>
    </row>
    <row r="97" spans="1:9" s="45" customFormat="1" ht="17.25" x14ac:dyDescent="0.35">
      <c r="A97" s="135"/>
      <c r="B97" s="145"/>
      <c r="C97" s="145"/>
      <c r="D97" s="145" t="s">
        <v>44</v>
      </c>
      <c r="E97" s="145">
        <v>1</v>
      </c>
      <c r="F97" s="145">
        <v>60</v>
      </c>
      <c r="G97" s="145"/>
      <c r="H97" s="146"/>
      <c r="I97" s="60" t="s">
        <v>195</v>
      </c>
    </row>
    <row r="98" spans="1:9" s="45" customFormat="1" ht="17.25" x14ac:dyDescent="0.35">
      <c r="A98" s="135"/>
      <c r="B98" s="145"/>
      <c r="C98" s="145"/>
      <c r="D98" s="145" t="s">
        <v>44</v>
      </c>
      <c r="E98" s="145">
        <v>1</v>
      </c>
      <c r="F98" s="145">
        <v>30</v>
      </c>
      <c r="G98" s="145"/>
      <c r="H98" s="146"/>
      <c r="I98" s="60" t="s">
        <v>196</v>
      </c>
    </row>
    <row r="99" spans="1:9" s="45" customFormat="1" ht="17.25" x14ac:dyDescent="0.35">
      <c r="A99" s="135"/>
      <c r="B99" s="145"/>
      <c r="C99" s="145"/>
      <c r="D99" s="145" t="s">
        <v>44</v>
      </c>
      <c r="E99" s="145">
        <v>1</v>
      </c>
      <c r="F99" s="145">
        <v>0</v>
      </c>
      <c r="G99" s="145"/>
      <c r="H99" s="146"/>
      <c r="I99" s="60" t="s">
        <v>197</v>
      </c>
    </row>
    <row r="100" spans="1:9" s="45" customFormat="1" ht="17.25" x14ac:dyDescent="0.35">
      <c r="A100" s="135"/>
      <c r="B100" s="145"/>
      <c r="C100" s="145"/>
      <c r="D100" s="145" t="s">
        <v>44</v>
      </c>
      <c r="E100" s="145">
        <v>1</v>
      </c>
      <c r="F100" s="145">
        <v>0</v>
      </c>
      <c r="G100" s="145"/>
      <c r="H100" s="146"/>
      <c r="I100" s="60" t="s">
        <v>197</v>
      </c>
    </row>
    <row r="101" spans="1:9" s="45" customFormat="1" ht="17.25" x14ac:dyDescent="0.35">
      <c r="A101" s="135"/>
      <c r="B101" s="145"/>
      <c r="C101" s="145"/>
      <c r="D101" s="145" t="s">
        <v>44</v>
      </c>
      <c r="E101" s="145">
        <v>1</v>
      </c>
      <c r="F101" s="145">
        <v>0</v>
      </c>
      <c r="G101" s="145"/>
      <c r="H101" s="146"/>
      <c r="I101" s="60" t="s">
        <v>197</v>
      </c>
    </row>
    <row r="102" spans="1:9" s="45" customFormat="1" ht="17.25" x14ac:dyDescent="0.35">
      <c r="A102" s="135"/>
      <c r="B102" s="145"/>
      <c r="C102" s="145"/>
      <c r="D102" s="145" t="s">
        <v>44</v>
      </c>
      <c r="E102" s="145">
        <v>1</v>
      </c>
      <c r="F102" s="145">
        <v>0</v>
      </c>
      <c r="G102" s="145"/>
      <c r="H102" s="146"/>
      <c r="I102" s="60" t="s">
        <v>197</v>
      </c>
    </row>
    <row r="103" spans="1:9" s="45" customFormat="1" ht="17.25" x14ac:dyDescent="0.35">
      <c r="A103" s="135"/>
      <c r="B103" s="145"/>
      <c r="C103" s="145"/>
      <c r="D103" s="145" t="s">
        <v>44</v>
      </c>
      <c r="E103" s="145">
        <v>1</v>
      </c>
      <c r="F103" s="145">
        <v>0</v>
      </c>
      <c r="G103" s="145"/>
      <c r="H103" s="146"/>
      <c r="I103" s="60" t="s">
        <v>198</v>
      </c>
    </row>
    <row r="104" spans="1:9" s="45" customFormat="1" ht="17.25" x14ac:dyDescent="0.35">
      <c r="A104" s="135" t="s">
        <v>199</v>
      </c>
      <c r="B104" s="145" t="s">
        <v>200</v>
      </c>
      <c r="C104" s="145" t="s">
        <v>67</v>
      </c>
      <c r="D104" s="145"/>
      <c r="E104" s="145"/>
      <c r="F104" s="145"/>
      <c r="G104" s="145" t="s">
        <v>53</v>
      </c>
      <c r="H104" s="146"/>
      <c r="I104" s="60">
        <v>69710</v>
      </c>
    </row>
    <row r="105" spans="1:9" s="45" customFormat="1" ht="17.25" x14ac:dyDescent="0.35">
      <c r="A105" s="135"/>
      <c r="B105" s="145"/>
      <c r="C105" s="145"/>
      <c r="D105" s="145" t="s">
        <v>44</v>
      </c>
      <c r="E105" s="145">
        <v>4</v>
      </c>
      <c r="F105" s="145">
        <v>1</v>
      </c>
      <c r="G105" s="145"/>
      <c r="H105" s="146"/>
      <c r="I105" s="60" t="s">
        <v>7</v>
      </c>
    </row>
    <row r="106" spans="1:9" s="45" customFormat="1" ht="17.25" x14ac:dyDescent="0.35">
      <c r="A106" s="135" t="s">
        <v>63</v>
      </c>
      <c r="B106" s="145" t="s">
        <v>64</v>
      </c>
      <c r="C106" s="145" t="s">
        <v>46</v>
      </c>
      <c r="D106" s="145"/>
      <c r="E106" s="145"/>
      <c r="F106" s="145"/>
      <c r="G106" s="145" t="s">
        <v>53</v>
      </c>
      <c r="H106" s="146" t="s">
        <v>222</v>
      </c>
      <c r="I106" s="60"/>
    </row>
    <row r="107" spans="1:9" s="45" customFormat="1" ht="17.25" x14ac:dyDescent="0.35">
      <c r="A107" s="135" t="s">
        <v>201</v>
      </c>
      <c r="B107" s="145" t="s">
        <v>202</v>
      </c>
      <c r="C107" s="145" t="s">
        <v>67</v>
      </c>
      <c r="D107" s="145"/>
      <c r="E107" s="145"/>
      <c r="F107" s="145"/>
      <c r="G107" s="145" t="s">
        <v>53</v>
      </c>
      <c r="H107" s="146"/>
      <c r="I107" s="60">
        <v>69676</v>
      </c>
    </row>
    <row r="108" spans="1:9" s="45" customFormat="1" ht="17.25" x14ac:dyDescent="0.35">
      <c r="A108" s="135"/>
      <c r="B108" s="145"/>
      <c r="C108" s="145"/>
      <c r="D108" s="145" t="s">
        <v>44</v>
      </c>
      <c r="E108" s="145">
        <v>1</v>
      </c>
      <c r="F108" s="145">
        <v>1</v>
      </c>
      <c r="G108" s="145"/>
      <c r="H108" s="146"/>
      <c r="I108" s="60" t="s">
        <v>7</v>
      </c>
    </row>
    <row r="109" spans="1:9" s="45" customFormat="1" ht="103.5" x14ac:dyDescent="0.35">
      <c r="A109" s="135" t="s">
        <v>203</v>
      </c>
      <c r="B109" s="145" t="s">
        <v>68</v>
      </c>
      <c r="C109" s="145" t="s">
        <v>46</v>
      </c>
      <c r="D109" s="145"/>
      <c r="E109" s="145"/>
      <c r="F109" s="145"/>
      <c r="G109" s="145" t="s">
        <v>53</v>
      </c>
      <c r="H109" s="146" t="s">
        <v>223</v>
      </c>
      <c r="I109" s="60" t="s">
        <v>204</v>
      </c>
    </row>
    <row r="110" spans="1:9" s="45" customFormat="1" ht="30.75" x14ac:dyDescent="0.35">
      <c r="A110" s="135" t="s">
        <v>205</v>
      </c>
      <c r="B110" s="145" t="s">
        <v>206</v>
      </c>
      <c r="C110" s="145" t="s">
        <v>67</v>
      </c>
      <c r="D110" s="145"/>
      <c r="E110" s="145"/>
      <c r="F110" s="145"/>
      <c r="G110" s="145" t="s">
        <v>53</v>
      </c>
      <c r="H110" s="146"/>
      <c r="I110" s="60"/>
    </row>
    <row r="111" spans="1:9" s="45" customFormat="1" ht="34.5" x14ac:dyDescent="0.35">
      <c r="A111" s="135"/>
      <c r="B111" s="145"/>
      <c r="C111" s="145"/>
      <c r="D111" s="145" t="s">
        <v>44</v>
      </c>
      <c r="E111" s="145">
        <v>1</v>
      </c>
      <c r="F111" s="145">
        <v>0</v>
      </c>
      <c r="G111" s="145"/>
      <c r="H111" s="146"/>
      <c r="I111" s="60" t="s">
        <v>207</v>
      </c>
    </row>
    <row r="112" spans="1:9" s="45" customFormat="1" ht="17.25" x14ac:dyDescent="0.35">
      <c r="A112" s="135" t="s">
        <v>208</v>
      </c>
      <c r="B112" s="145" t="s">
        <v>242</v>
      </c>
      <c r="C112" s="145" t="s">
        <v>67</v>
      </c>
      <c r="D112" s="145"/>
      <c r="E112" s="145"/>
      <c r="F112" s="145"/>
      <c r="G112" s="145" t="s">
        <v>53</v>
      </c>
      <c r="H112" s="146"/>
      <c r="I112" s="60"/>
    </row>
    <row r="113" spans="1:10" s="45" customFormat="1" ht="86.25" x14ac:dyDescent="0.35">
      <c r="A113" s="135"/>
      <c r="B113" s="145"/>
      <c r="C113" s="145"/>
      <c r="D113" s="145" t="s">
        <v>44</v>
      </c>
      <c r="E113" s="145">
        <v>1</v>
      </c>
      <c r="F113" s="145">
        <v>0</v>
      </c>
      <c r="G113" s="145"/>
      <c r="H113" s="146"/>
      <c r="I113" s="60" t="s">
        <v>209</v>
      </c>
    </row>
    <row r="114" spans="1:10" s="45" customFormat="1" ht="17.25" x14ac:dyDescent="0.35">
      <c r="A114" s="135" t="s">
        <v>273</v>
      </c>
      <c r="B114" s="145" t="s">
        <v>274</v>
      </c>
      <c r="C114" s="145" t="s">
        <v>67</v>
      </c>
      <c r="D114" s="145" t="s">
        <v>7</v>
      </c>
      <c r="E114" s="145" t="s">
        <v>7</v>
      </c>
      <c r="F114" s="145" t="s">
        <v>7</v>
      </c>
      <c r="G114" s="145" t="s">
        <v>53</v>
      </c>
      <c r="H114" s="146"/>
      <c r="I114" s="60">
        <v>67305</v>
      </c>
    </row>
    <row r="115" spans="1:10" s="45" customFormat="1" ht="17.25" x14ac:dyDescent="0.35">
      <c r="A115" s="135"/>
      <c r="B115" s="145"/>
      <c r="C115" s="145"/>
      <c r="D115" s="145" t="s">
        <v>44</v>
      </c>
      <c r="E115" s="145">
        <v>1</v>
      </c>
      <c r="F115" s="145">
        <v>1</v>
      </c>
      <c r="G115" s="145"/>
      <c r="H115" s="146"/>
      <c r="I115" s="60"/>
    </row>
    <row r="116" spans="1:10" s="45" customFormat="1" ht="17.25" x14ac:dyDescent="0.35">
      <c r="A116" s="135" t="s">
        <v>275</v>
      </c>
      <c r="B116" s="145" t="s">
        <v>276</v>
      </c>
      <c r="C116" s="145" t="s">
        <v>67</v>
      </c>
      <c r="D116" s="145" t="s">
        <v>7</v>
      </c>
      <c r="E116" s="145" t="s">
        <v>7</v>
      </c>
      <c r="F116" s="145" t="s">
        <v>7</v>
      </c>
      <c r="G116" s="145" t="s">
        <v>53</v>
      </c>
      <c r="H116" s="146"/>
      <c r="I116" s="60">
        <v>65683</v>
      </c>
    </row>
    <row r="117" spans="1:10" s="45" customFormat="1" ht="17.25" x14ac:dyDescent="0.35">
      <c r="A117" s="135"/>
      <c r="B117" s="145"/>
      <c r="C117" s="145"/>
      <c r="D117" s="145" t="s">
        <v>44</v>
      </c>
      <c r="E117" s="145">
        <v>1</v>
      </c>
      <c r="F117" s="145">
        <v>2</v>
      </c>
      <c r="G117" s="145"/>
      <c r="H117" s="146"/>
      <c r="I117" s="60"/>
    </row>
    <row r="118" spans="1:10" s="45" customFormat="1" ht="17.25" x14ac:dyDescent="0.35">
      <c r="A118" s="135" t="s">
        <v>210</v>
      </c>
      <c r="B118" s="145" t="s">
        <v>241</v>
      </c>
      <c r="C118" s="145" t="s">
        <v>67</v>
      </c>
      <c r="D118" s="145"/>
      <c r="E118" s="145"/>
      <c r="F118" s="145"/>
      <c r="G118" s="145" t="s">
        <v>53</v>
      </c>
      <c r="H118" s="146"/>
      <c r="I118" s="60"/>
    </row>
    <row r="119" spans="1:10" s="45" customFormat="1" ht="103.5" x14ac:dyDescent="0.35">
      <c r="A119" s="135"/>
      <c r="B119" s="145"/>
      <c r="C119" s="145"/>
      <c r="D119" s="145" t="s">
        <v>44</v>
      </c>
      <c r="E119" s="145">
        <v>2</v>
      </c>
      <c r="F119" s="145">
        <v>0</v>
      </c>
      <c r="G119" s="145"/>
      <c r="H119" s="146"/>
      <c r="I119" s="60" t="s">
        <v>279</v>
      </c>
    </row>
    <row r="120" spans="1:10" s="45" customFormat="1" ht="17.25" x14ac:dyDescent="0.35">
      <c r="A120" s="137" t="s">
        <v>211</v>
      </c>
      <c r="B120" s="145" t="s">
        <v>212</v>
      </c>
      <c r="C120" s="145" t="s">
        <v>7</v>
      </c>
      <c r="D120" s="145"/>
      <c r="E120" s="145"/>
      <c r="F120" s="147"/>
      <c r="G120" s="145"/>
      <c r="H120" s="146" t="s">
        <v>224</v>
      </c>
      <c r="I120" s="61" t="s">
        <v>234</v>
      </c>
    </row>
    <row r="121" spans="1:10" s="45" customFormat="1" ht="17.25" x14ac:dyDescent="0.35">
      <c r="A121" s="137" t="s">
        <v>213</v>
      </c>
      <c r="B121" s="145" t="s">
        <v>214</v>
      </c>
      <c r="C121" s="145" t="s">
        <v>7</v>
      </c>
      <c r="D121" s="145"/>
      <c r="E121" s="145"/>
      <c r="F121" s="147"/>
      <c r="G121" s="145"/>
      <c r="H121" s="146" t="s">
        <v>225</v>
      </c>
      <c r="I121" s="61" t="s">
        <v>235</v>
      </c>
    </row>
    <row r="122" spans="1:10" s="45" customFormat="1" ht="17.25" x14ac:dyDescent="0.35">
      <c r="A122" s="135" t="s">
        <v>65</v>
      </c>
      <c r="B122" s="145" t="s">
        <v>70</v>
      </c>
      <c r="C122" s="145" t="s">
        <v>46</v>
      </c>
      <c r="D122" s="145"/>
      <c r="E122" s="145"/>
      <c r="F122" s="145"/>
      <c r="G122" s="145" t="s">
        <v>53</v>
      </c>
      <c r="H122" s="146" t="s">
        <v>221</v>
      </c>
      <c r="I122" s="60">
        <v>65591</v>
      </c>
    </row>
    <row r="123" spans="1:10" s="45" customFormat="1" ht="34.5" x14ac:dyDescent="0.35">
      <c r="A123" s="137" t="s">
        <v>73</v>
      </c>
      <c r="B123" s="145" t="s">
        <v>74</v>
      </c>
      <c r="C123" s="145" t="s">
        <v>67</v>
      </c>
      <c r="D123" s="145"/>
      <c r="E123" s="145"/>
      <c r="F123" s="147"/>
      <c r="G123" s="145" t="s">
        <v>7</v>
      </c>
      <c r="H123" s="146"/>
      <c r="I123" s="61" t="s">
        <v>233</v>
      </c>
    </row>
    <row r="124" spans="1:10" s="45" customFormat="1" ht="17.25" x14ac:dyDescent="0.35">
      <c r="A124" s="137"/>
      <c r="B124" s="145"/>
      <c r="C124" s="145"/>
      <c r="D124" s="145" t="s">
        <v>44</v>
      </c>
      <c r="E124" s="145">
        <v>1</v>
      </c>
      <c r="F124" s="147">
        <v>1</v>
      </c>
      <c r="G124" s="145"/>
      <c r="H124" s="146"/>
      <c r="I124" s="61"/>
    </row>
    <row r="125" spans="1:10" s="45" customFormat="1" ht="17.25" x14ac:dyDescent="0.35">
      <c r="A125" s="135" t="s">
        <v>564</v>
      </c>
      <c r="B125" s="145" t="s">
        <v>565</v>
      </c>
      <c r="C125" s="145" t="s">
        <v>67</v>
      </c>
      <c r="D125" s="145"/>
      <c r="E125" s="145"/>
      <c r="F125" s="145"/>
      <c r="G125" s="145" t="s">
        <v>53</v>
      </c>
      <c r="H125" s="146"/>
      <c r="I125" s="60">
        <v>65811</v>
      </c>
    </row>
    <row r="126" spans="1:10" s="119" customFormat="1" ht="17.25" x14ac:dyDescent="0.35">
      <c r="A126" s="135"/>
      <c r="B126" s="145"/>
      <c r="C126" s="145"/>
      <c r="D126" s="145" t="s">
        <v>44</v>
      </c>
      <c r="E126" s="145">
        <v>1</v>
      </c>
      <c r="F126" s="145">
        <v>0</v>
      </c>
      <c r="G126" s="145"/>
      <c r="H126" s="146"/>
      <c r="I126" s="60"/>
      <c r="J126" s="119" t="s">
        <v>7</v>
      </c>
    </row>
    <row r="127" spans="1:10" s="119" customFormat="1" ht="17.25" x14ac:dyDescent="0.35">
      <c r="A127" s="135" t="s">
        <v>557</v>
      </c>
      <c r="B127" s="145" t="s">
        <v>558</v>
      </c>
      <c r="C127" s="145" t="s">
        <v>67</v>
      </c>
      <c r="D127" s="145"/>
      <c r="E127" s="145"/>
      <c r="F127" s="145"/>
      <c r="G127" s="145" t="s">
        <v>53</v>
      </c>
      <c r="H127" s="146"/>
      <c r="I127" s="60">
        <v>67217</v>
      </c>
      <c r="J127" s="119" t="s">
        <v>7</v>
      </c>
    </row>
    <row r="128" spans="1:10" s="45" customFormat="1" ht="17.25" x14ac:dyDescent="0.35">
      <c r="A128" s="135"/>
      <c r="B128" s="145"/>
      <c r="C128" s="145"/>
      <c r="D128" s="145" t="s">
        <v>44</v>
      </c>
      <c r="E128" s="145">
        <v>1</v>
      </c>
      <c r="F128" s="145">
        <v>1</v>
      </c>
      <c r="G128" s="145"/>
      <c r="H128" s="146"/>
      <c r="I128" s="60" t="s">
        <v>559</v>
      </c>
    </row>
    <row r="129" spans="1:9" s="45" customFormat="1" ht="17.25" x14ac:dyDescent="0.35">
      <c r="A129" s="135"/>
      <c r="B129" s="145"/>
      <c r="C129" s="145"/>
      <c r="D129" s="145" t="s">
        <v>44</v>
      </c>
      <c r="E129" s="145">
        <v>2</v>
      </c>
      <c r="F129" s="145" t="s">
        <v>216</v>
      </c>
      <c r="G129" s="145"/>
      <c r="H129" s="146"/>
      <c r="I129" s="60" t="s">
        <v>560</v>
      </c>
    </row>
    <row r="130" spans="1:9" s="45" customFormat="1" ht="17.25" x14ac:dyDescent="0.35">
      <c r="A130" s="135" t="s">
        <v>397</v>
      </c>
      <c r="B130" s="145" t="s">
        <v>226</v>
      </c>
      <c r="C130" s="145" t="s">
        <v>67</v>
      </c>
      <c r="D130" s="145"/>
      <c r="E130" s="145"/>
      <c r="F130" s="145"/>
      <c r="G130" s="145" t="s">
        <v>53</v>
      </c>
      <c r="H130" s="146"/>
      <c r="I130" s="60">
        <v>69673</v>
      </c>
    </row>
    <row r="131" spans="1:9" s="119" customFormat="1" ht="17.25" x14ac:dyDescent="0.35">
      <c r="A131" s="135"/>
      <c r="B131" s="145"/>
      <c r="C131" s="145"/>
      <c r="D131" s="145" t="s">
        <v>44</v>
      </c>
      <c r="E131" s="145">
        <v>1</v>
      </c>
      <c r="F131" s="145">
        <v>5</v>
      </c>
      <c r="G131" s="145"/>
      <c r="H131" s="146"/>
      <c r="I131" s="60" t="s">
        <v>7</v>
      </c>
    </row>
    <row r="132" spans="1:9" s="119" customFormat="1" ht="17.25" x14ac:dyDescent="0.35">
      <c r="A132" s="135" t="s">
        <v>398</v>
      </c>
      <c r="B132" s="145" t="s">
        <v>399</v>
      </c>
      <c r="C132" s="145" t="s">
        <v>67</v>
      </c>
      <c r="D132" s="145"/>
      <c r="E132" s="145"/>
      <c r="F132" s="145"/>
      <c r="G132" s="145" t="s">
        <v>53</v>
      </c>
      <c r="H132" s="146"/>
      <c r="I132" s="60">
        <v>69749</v>
      </c>
    </row>
    <row r="133" spans="1:9" s="45" customFormat="1" ht="17.25" x14ac:dyDescent="0.35">
      <c r="A133" s="135"/>
      <c r="B133" s="145"/>
      <c r="C133" s="145"/>
      <c r="D133" s="145" t="s">
        <v>44</v>
      </c>
      <c r="E133" s="145">
        <v>2</v>
      </c>
      <c r="F133" s="145">
        <v>2000</v>
      </c>
      <c r="G133" s="145"/>
      <c r="H133" s="146"/>
      <c r="I133" s="60"/>
    </row>
    <row r="134" spans="1:9" s="45" customFormat="1" ht="17.25" x14ac:dyDescent="0.35">
      <c r="A134" s="135" t="s">
        <v>400</v>
      </c>
      <c r="B134" s="145" t="s">
        <v>401</v>
      </c>
      <c r="C134" s="145" t="s">
        <v>67</v>
      </c>
      <c r="D134" s="145"/>
      <c r="E134" s="145"/>
      <c r="F134" s="145"/>
      <c r="G134" s="145" t="s">
        <v>53</v>
      </c>
      <c r="H134" s="146"/>
      <c r="I134" s="60">
        <v>65814</v>
      </c>
    </row>
    <row r="135" spans="1:9" s="45" customFormat="1" ht="17.25" x14ac:dyDescent="0.35">
      <c r="A135" s="135"/>
      <c r="B135" s="145"/>
      <c r="C135" s="145"/>
      <c r="D135" s="145" t="s">
        <v>44</v>
      </c>
      <c r="E135" s="145">
        <v>2</v>
      </c>
      <c r="F135" s="145">
        <v>1430</v>
      </c>
      <c r="G135" s="145"/>
      <c r="H135" s="146"/>
      <c r="I135" s="60"/>
    </row>
    <row r="136" spans="1:9" s="45" customFormat="1" ht="17.25" x14ac:dyDescent="0.35">
      <c r="A136" s="135" t="s">
        <v>576</v>
      </c>
      <c r="B136" s="145" t="s">
        <v>577</v>
      </c>
      <c r="C136" s="145" t="s">
        <v>67</v>
      </c>
      <c r="D136" s="145"/>
      <c r="E136" s="145"/>
      <c r="F136" s="145"/>
      <c r="G136" s="145" t="s">
        <v>53</v>
      </c>
      <c r="H136" s="146"/>
      <c r="I136" s="60">
        <v>70192</v>
      </c>
    </row>
    <row r="137" spans="1:9" s="45" customFormat="1" ht="17.25" x14ac:dyDescent="0.35">
      <c r="A137" s="135"/>
      <c r="B137" s="145"/>
      <c r="C137" s="145"/>
      <c r="D137" s="145" t="s">
        <v>44</v>
      </c>
      <c r="E137" s="145">
        <v>4</v>
      </c>
      <c r="F137" s="145" t="s">
        <v>578</v>
      </c>
      <c r="G137" s="145"/>
      <c r="H137" s="146"/>
      <c r="I137" s="60"/>
    </row>
    <row r="138" spans="1:9" s="45" customFormat="1" ht="34.5" x14ac:dyDescent="0.35">
      <c r="A138" s="135" t="s">
        <v>402</v>
      </c>
      <c r="B138" s="145" t="s">
        <v>403</v>
      </c>
      <c r="C138" s="145" t="s">
        <v>67</v>
      </c>
      <c r="D138" s="145"/>
      <c r="E138" s="145"/>
      <c r="F138" s="145"/>
      <c r="G138" s="145"/>
      <c r="H138" s="146"/>
      <c r="I138" s="60" t="s">
        <v>404</v>
      </c>
    </row>
    <row r="139" spans="1:9" s="45" customFormat="1" ht="34.5" x14ac:dyDescent="0.35">
      <c r="A139" s="135"/>
      <c r="B139" s="145"/>
      <c r="C139" s="145"/>
      <c r="D139" s="145" t="s">
        <v>44</v>
      </c>
      <c r="E139" s="145">
        <v>1</v>
      </c>
      <c r="F139" s="145">
        <v>54</v>
      </c>
      <c r="G139" s="145"/>
      <c r="H139" s="146"/>
      <c r="I139" s="60" t="s">
        <v>405</v>
      </c>
    </row>
    <row r="140" spans="1:9" s="45" customFormat="1" ht="17.25" x14ac:dyDescent="0.35">
      <c r="A140" s="135" t="s">
        <v>406</v>
      </c>
      <c r="B140" s="145" t="s">
        <v>407</v>
      </c>
      <c r="C140" s="145" t="s">
        <v>67</v>
      </c>
      <c r="D140" s="145"/>
      <c r="E140" s="145"/>
      <c r="F140" s="145"/>
      <c r="G140" s="145" t="s">
        <v>53</v>
      </c>
      <c r="H140" s="146"/>
      <c r="I140" s="60">
        <v>70319</v>
      </c>
    </row>
    <row r="141" spans="1:9" s="45" customFormat="1" ht="17.25" x14ac:dyDescent="0.35">
      <c r="A141" s="135"/>
      <c r="B141" s="145"/>
      <c r="C141" s="145"/>
      <c r="D141" s="145" t="s">
        <v>44</v>
      </c>
      <c r="E141" s="145">
        <v>1</v>
      </c>
      <c r="F141" s="145">
        <v>2</v>
      </c>
      <c r="G141" s="145"/>
      <c r="H141" s="146"/>
      <c r="I141" s="60"/>
    </row>
    <row r="142" spans="1:9" s="45" customFormat="1" ht="17.25" x14ac:dyDescent="0.35">
      <c r="A142" s="135" t="s">
        <v>246</v>
      </c>
      <c r="B142" s="145" t="s">
        <v>247</v>
      </c>
      <c r="C142" s="145" t="s">
        <v>67</v>
      </c>
      <c r="D142" s="145"/>
      <c r="E142" s="145"/>
      <c r="F142" s="145"/>
      <c r="G142" s="145" t="s">
        <v>53</v>
      </c>
      <c r="H142" s="146"/>
      <c r="I142" s="60">
        <v>66472</v>
      </c>
    </row>
    <row r="143" spans="1:9" s="45" customFormat="1" ht="17.25" x14ac:dyDescent="0.35">
      <c r="A143" s="135" t="s">
        <v>254</v>
      </c>
      <c r="B143" s="145" t="s">
        <v>254</v>
      </c>
      <c r="C143" s="145"/>
      <c r="D143" s="145" t="s">
        <v>44</v>
      </c>
      <c r="E143" s="145">
        <v>1</v>
      </c>
      <c r="F143" s="145">
        <v>1</v>
      </c>
      <c r="G143" s="145"/>
      <c r="H143" s="146"/>
      <c r="I143" s="60"/>
    </row>
    <row r="144" spans="1:9" s="45" customFormat="1" ht="17.25" x14ac:dyDescent="0.35">
      <c r="A144" s="135" t="s">
        <v>248</v>
      </c>
      <c r="B144" s="145" t="s">
        <v>249</v>
      </c>
      <c r="C144" s="145" t="s">
        <v>67</v>
      </c>
      <c r="D144" s="145"/>
      <c r="E144" s="145"/>
      <c r="F144" s="145"/>
      <c r="G144" s="145" t="s">
        <v>53</v>
      </c>
      <c r="H144" s="146"/>
      <c r="I144" s="60">
        <v>66473</v>
      </c>
    </row>
    <row r="145" spans="1:9" s="45" customFormat="1" ht="17.25" x14ac:dyDescent="0.35">
      <c r="A145" s="135" t="s">
        <v>254</v>
      </c>
      <c r="B145" s="145" t="s">
        <v>254</v>
      </c>
      <c r="C145" s="145"/>
      <c r="D145" s="145" t="s">
        <v>44</v>
      </c>
      <c r="E145" s="145">
        <v>1</v>
      </c>
      <c r="F145" s="145">
        <v>1</v>
      </c>
      <c r="G145" s="145"/>
      <c r="H145" s="146"/>
      <c r="I145" s="60"/>
    </row>
    <row r="146" spans="1:9" s="45" customFormat="1" ht="17.25" x14ac:dyDescent="0.35">
      <c r="A146" s="135" t="s">
        <v>257</v>
      </c>
      <c r="B146" s="145" t="s">
        <v>250</v>
      </c>
      <c r="C146" s="145" t="s">
        <v>67</v>
      </c>
      <c r="D146" s="145"/>
      <c r="E146" s="145"/>
      <c r="F146" s="145"/>
      <c r="G146" s="145" t="s">
        <v>53</v>
      </c>
      <c r="H146" s="146"/>
      <c r="I146" s="60">
        <v>66048</v>
      </c>
    </row>
    <row r="147" spans="1:9" s="45" customFormat="1" ht="17.25" x14ac:dyDescent="0.35">
      <c r="A147" s="135" t="s">
        <v>254</v>
      </c>
      <c r="B147" s="145" t="s">
        <v>254</v>
      </c>
      <c r="C147" s="145"/>
      <c r="D147" s="145" t="s">
        <v>44</v>
      </c>
      <c r="E147" s="145">
        <v>1</v>
      </c>
      <c r="F147" s="145">
        <v>3</v>
      </c>
      <c r="G147" s="145"/>
      <c r="H147" s="146"/>
      <c r="I147" s="60"/>
    </row>
    <row r="148" spans="1:9" s="45" customFormat="1" ht="17.25" x14ac:dyDescent="0.35">
      <c r="A148" s="135" t="s">
        <v>362</v>
      </c>
      <c r="B148" s="145" t="s">
        <v>361</v>
      </c>
      <c r="C148" s="145" t="s">
        <v>67</v>
      </c>
      <c r="D148" s="145"/>
      <c r="E148" s="145"/>
      <c r="F148" s="145"/>
      <c r="G148" s="145" t="s">
        <v>53</v>
      </c>
      <c r="H148" s="146"/>
      <c r="I148" s="60">
        <v>70239</v>
      </c>
    </row>
    <row r="149" spans="1:9" s="45" customFormat="1" ht="34.5" x14ac:dyDescent="0.35">
      <c r="A149" s="135"/>
      <c r="B149" s="145"/>
      <c r="C149" s="145"/>
      <c r="D149" s="145" t="s">
        <v>44</v>
      </c>
      <c r="E149" s="145">
        <v>1</v>
      </c>
      <c r="F149" s="145">
        <v>2</v>
      </c>
      <c r="G149" s="145"/>
      <c r="H149" s="146"/>
      <c r="I149" s="60" t="s">
        <v>363</v>
      </c>
    </row>
    <row r="150" spans="1:9" s="45" customFormat="1" ht="17.25" x14ac:dyDescent="0.35">
      <c r="A150" s="135" t="s">
        <v>580</v>
      </c>
      <c r="B150" s="145" t="s">
        <v>581</v>
      </c>
      <c r="C150" s="145" t="s">
        <v>67</v>
      </c>
      <c r="D150" s="145"/>
      <c r="E150" s="145"/>
      <c r="F150" s="145"/>
      <c r="G150" s="145" t="s">
        <v>53</v>
      </c>
      <c r="H150" s="146"/>
      <c r="I150" s="60">
        <v>71564</v>
      </c>
    </row>
    <row r="151" spans="1:9" s="45" customFormat="1" ht="17.25" x14ac:dyDescent="0.35">
      <c r="A151" s="135"/>
      <c r="B151" s="145"/>
      <c r="C151" s="145"/>
      <c r="D151" s="145" t="s">
        <v>44</v>
      </c>
      <c r="E151" s="145">
        <v>1</v>
      </c>
      <c r="F151" s="145">
        <v>1</v>
      </c>
      <c r="G151" s="145"/>
      <c r="H151" s="146"/>
      <c r="I151" s="60"/>
    </row>
    <row r="152" spans="1:9" s="45" customFormat="1" ht="17.25" x14ac:dyDescent="0.35">
      <c r="A152" s="135" t="s">
        <v>264</v>
      </c>
      <c r="B152" s="145" t="s">
        <v>263</v>
      </c>
      <c r="C152" s="145" t="s">
        <v>67</v>
      </c>
      <c r="D152" s="145"/>
      <c r="E152" s="145"/>
      <c r="F152" s="145"/>
      <c r="G152" s="145" t="s">
        <v>53</v>
      </c>
      <c r="H152" s="146"/>
      <c r="I152" s="60">
        <v>67225</v>
      </c>
    </row>
    <row r="153" spans="1:9" s="45" customFormat="1" ht="17.25" x14ac:dyDescent="0.35">
      <c r="A153" s="135"/>
      <c r="B153" s="145"/>
      <c r="C153" s="145"/>
      <c r="D153" s="145" t="s">
        <v>44</v>
      </c>
      <c r="E153" s="145">
        <v>1</v>
      </c>
      <c r="F153" s="145">
        <v>2</v>
      </c>
      <c r="G153" s="145"/>
      <c r="H153" s="146"/>
      <c r="I153" s="60" t="s">
        <v>7</v>
      </c>
    </row>
    <row r="154" spans="1:9" s="45" customFormat="1" ht="17.25" x14ac:dyDescent="0.35">
      <c r="A154" s="135" t="s">
        <v>271</v>
      </c>
      <c r="B154" s="145" t="s">
        <v>272</v>
      </c>
      <c r="C154" s="145" t="s">
        <v>539</v>
      </c>
      <c r="D154" s="145"/>
      <c r="E154" s="145"/>
      <c r="F154" s="145"/>
      <c r="G154" s="145" t="s">
        <v>53</v>
      </c>
      <c r="H154" s="146"/>
      <c r="I154" s="60">
        <v>65781</v>
      </c>
    </row>
    <row r="155" spans="1:9" s="45" customFormat="1" ht="17.25" x14ac:dyDescent="0.35">
      <c r="A155" s="135"/>
      <c r="B155" s="145"/>
      <c r="C155" s="145"/>
      <c r="D155" s="145" t="s">
        <v>44</v>
      </c>
      <c r="E155" s="145">
        <v>4</v>
      </c>
      <c r="F155" s="145">
        <v>1</v>
      </c>
      <c r="G155" s="145"/>
      <c r="H155" s="146"/>
      <c r="I155" s="60" t="s">
        <v>268</v>
      </c>
    </row>
    <row r="156" spans="1:9" s="45" customFormat="1" ht="17.25" x14ac:dyDescent="0.35">
      <c r="A156" s="135"/>
      <c r="B156" s="145"/>
      <c r="C156" s="145"/>
      <c r="D156" s="145" t="s">
        <v>44</v>
      </c>
      <c r="E156" s="145">
        <v>4</v>
      </c>
      <c r="F156" s="145">
        <v>90000</v>
      </c>
      <c r="G156" s="145"/>
      <c r="H156" s="146"/>
      <c r="I156" s="60" t="s">
        <v>269</v>
      </c>
    </row>
    <row r="157" spans="1:9" s="45" customFormat="1" ht="17.25" x14ac:dyDescent="0.35">
      <c r="A157" s="135"/>
      <c r="B157" s="145"/>
      <c r="C157" s="145"/>
      <c r="D157" s="145" t="s">
        <v>44</v>
      </c>
      <c r="E157" s="145">
        <v>4</v>
      </c>
      <c r="F157" s="145">
        <v>4</v>
      </c>
      <c r="G157" s="145"/>
      <c r="H157" s="146"/>
      <c r="I157" s="60" t="s">
        <v>267</v>
      </c>
    </row>
    <row r="158" spans="1:9" s="45" customFormat="1" ht="17.25" x14ac:dyDescent="0.35">
      <c r="A158" s="135"/>
      <c r="B158" s="145"/>
      <c r="C158" s="145"/>
      <c r="D158" s="145" t="s">
        <v>44</v>
      </c>
      <c r="E158" s="145">
        <v>4</v>
      </c>
      <c r="F158" s="145">
        <v>1500</v>
      </c>
      <c r="G158" s="145"/>
      <c r="H158" s="146"/>
      <c r="I158" s="60" t="s">
        <v>270</v>
      </c>
    </row>
    <row r="159" spans="1:9" s="45" customFormat="1" ht="30.75" x14ac:dyDescent="0.35">
      <c r="A159" s="135" t="s">
        <v>368</v>
      </c>
      <c r="B159" s="145" t="s">
        <v>369</v>
      </c>
      <c r="C159" s="145" t="s">
        <v>67</v>
      </c>
      <c r="D159" s="145"/>
      <c r="E159" s="145"/>
      <c r="F159" s="145"/>
      <c r="G159" s="145" t="s">
        <v>53</v>
      </c>
      <c r="H159" s="146"/>
      <c r="I159" s="60">
        <v>70332</v>
      </c>
    </row>
    <row r="160" spans="1:9" s="45" customFormat="1" ht="17.25" x14ac:dyDescent="0.35">
      <c r="A160" s="135"/>
      <c r="B160" s="145"/>
      <c r="C160" s="145"/>
      <c r="D160" s="145" t="s">
        <v>44</v>
      </c>
      <c r="E160" s="145">
        <v>1</v>
      </c>
      <c r="F160" s="145">
        <v>0</v>
      </c>
      <c r="G160" s="145"/>
      <c r="H160" s="146"/>
      <c r="I160" s="60"/>
    </row>
    <row r="161" spans="1:9" s="45" customFormat="1" ht="17.25" x14ac:dyDescent="0.35">
      <c r="A161" s="135" t="s">
        <v>238</v>
      </c>
      <c r="B161" s="145" t="s">
        <v>237</v>
      </c>
      <c r="C161" s="145" t="s">
        <v>67</v>
      </c>
      <c r="D161" s="145"/>
      <c r="E161" s="145"/>
      <c r="F161" s="145"/>
      <c r="G161" s="145" t="s">
        <v>53</v>
      </c>
      <c r="H161" s="146"/>
      <c r="I161" s="60">
        <v>69679</v>
      </c>
    </row>
    <row r="162" spans="1:9" s="45" customFormat="1" ht="17.25" x14ac:dyDescent="0.35">
      <c r="A162" s="135"/>
      <c r="B162" s="145"/>
      <c r="C162" s="145"/>
      <c r="D162" s="145" t="s">
        <v>44</v>
      </c>
      <c r="E162" s="145">
        <v>1</v>
      </c>
      <c r="F162" s="145">
        <v>0</v>
      </c>
      <c r="G162" s="145"/>
      <c r="H162" s="146"/>
      <c r="I162" s="60"/>
    </row>
    <row r="163" spans="1:9" s="45" customFormat="1" ht="30.75" x14ac:dyDescent="0.35">
      <c r="A163" s="135" t="s">
        <v>371</v>
      </c>
      <c r="B163" s="145" t="s">
        <v>370</v>
      </c>
      <c r="C163" s="145" t="s">
        <v>46</v>
      </c>
      <c r="D163" s="145"/>
      <c r="E163" s="145"/>
      <c r="F163" s="145"/>
      <c r="G163" s="145" t="s">
        <v>53</v>
      </c>
      <c r="H163" s="146" t="s">
        <v>376</v>
      </c>
      <c r="I163" s="60" t="s">
        <v>372</v>
      </c>
    </row>
    <row r="164" spans="1:9" s="45" customFormat="1" ht="17.25" x14ac:dyDescent="0.35">
      <c r="A164" s="135" t="s">
        <v>530</v>
      </c>
      <c r="B164" s="145" t="s">
        <v>531</v>
      </c>
      <c r="C164" s="145" t="s">
        <v>46</v>
      </c>
      <c r="D164" s="145"/>
      <c r="E164" s="145"/>
      <c r="F164" s="145"/>
      <c r="G164" s="145" t="s">
        <v>53</v>
      </c>
      <c r="H164" s="146" t="s">
        <v>532</v>
      </c>
      <c r="I164" s="60">
        <v>67211</v>
      </c>
    </row>
    <row r="165" spans="1:9" s="45" customFormat="1" ht="69" x14ac:dyDescent="0.35">
      <c r="A165" s="135" t="s">
        <v>378</v>
      </c>
      <c r="B165" s="145" t="s">
        <v>373</v>
      </c>
      <c r="C165" s="145" t="s">
        <v>46</v>
      </c>
      <c r="D165" s="145"/>
      <c r="E165" s="145"/>
      <c r="F165" s="145"/>
      <c r="G165" s="145" t="s">
        <v>53</v>
      </c>
      <c r="H165" s="146" t="s">
        <v>388</v>
      </c>
      <c r="I165" s="60" t="s">
        <v>380</v>
      </c>
    </row>
    <row r="166" spans="1:9" s="45" customFormat="1" ht="86.25" x14ac:dyDescent="0.35">
      <c r="A166" s="135" t="s">
        <v>377</v>
      </c>
      <c r="B166" s="145" t="s">
        <v>374</v>
      </c>
      <c r="C166" s="145" t="s">
        <v>46</v>
      </c>
      <c r="D166" s="145"/>
      <c r="E166" s="145"/>
      <c r="F166" s="145"/>
      <c r="G166" s="145" t="s">
        <v>53</v>
      </c>
      <c r="H166" s="146" t="s">
        <v>387</v>
      </c>
      <c r="I166" s="60" t="s">
        <v>381</v>
      </c>
    </row>
    <row r="167" spans="1:9" s="45" customFormat="1" ht="51.75" x14ac:dyDescent="0.35">
      <c r="A167" s="135" t="s">
        <v>379</v>
      </c>
      <c r="B167" s="145" t="s">
        <v>375</v>
      </c>
      <c r="C167" s="145" t="s">
        <v>46</v>
      </c>
      <c r="D167" s="145"/>
      <c r="E167" s="145"/>
      <c r="F167" s="145"/>
      <c r="G167" s="145" t="s">
        <v>53</v>
      </c>
      <c r="H167" s="146" t="s">
        <v>386</v>
      </c>
      <c r="I167" s="60" t="s">
        <v>382</v>
      </c>
    </row>
    <row r="168" spans="1:9" s="45" customFormat="1" ht="30.75" x14ac:dyDescent="0.35">
      <c r="A168" s="138" t="s">
        <v>498</v>
      </c>
      <c r="B168" s="145" t="s">
        <v>499</v>
      </c>
      <c r="C168" s="145" t="s">
        <v>67</v>
      </c>
      <c r="D168" s="145"/>
      <c r="E168" s="145"/>
      <c r="F168" s="145"/>
      <c r="G168" s="145" t="s">
        <v>53</v>
      </c>
      <c r="H168" s="146"/>
      <c r="I168" s="62">
        <v>71568</v>
      </c>
    </row>
    <row r="169" spans="1:9" s="45" customFormat="1" ht="17.25" x14ac:dyDescent="0.35">
      <c r="A169" s="138"/>
      <c r="B169" s="145"/>
      <c r="C169" s="145"/>
      <c r="D169" s="145" t="s">
        <v>44</v>
      </c>
      <c r="E169" s="145">
        <v>1</v>
      </c>
      <c r="F169" s="145">
        <v>1</v>
      </c>
      <c r="G169" s="145"/>
      <c r="H169" s="146"/>
      <c r="I169" s="62" t="s">
        <v>500</v>
      </c>
    </row>
    <row r="170" spans="1:9" s="45" customFormat="1" ht="34.5" x14ac:dyDescent="0.35">
      <c r="A170" s="138"/>
      <c r="B170" s="145"/>
      <c r="C170" s="145"/>
      <c r="D170" s="145" t="s">
        <v>44</v>
      </c>
      <c r="E170" s="145">
        <v>1</v>
      </c>
      <c r="F170" s="145">
        <v>1</v>
      </c>
      <c r="G170" s="145"/>
      <c r="H170" s="146"/>
      <c r="I170" s="62" t="s">
        <v>501</v>
      </c>
    </row>
    <row r="171" spans="1:9" s="45" customFormat="1" ht="17.25" x14ac:dyDescent="0.35">
      <c r="A171" s="138"/>
      <c r="B171" s="145"/>
      <c r="C171" s="145"/>
      <c r="D171" s="145" t="s">
        <v>44</v>
      </c>
      <c r="E171" s="145">
        <v>1</v>
      </c>
      <c r="F171" s="145">
        <v>1</v>
      </c>
      <c r="G171" s="145"/>
      <c r="H171" s="146"/>
      <c r="I171" s="62" t="s">
        <v>502</v>
      </c>
    </row>
    <row r="172" spans="1:9" s="45" customFormat="1" ht="17.25" x14ac:dyDescent="0.35">
      <c r="A172" s="138"/>
      <c r="B172" s="145"/>
      <c r="C172" s="145"/>
      <c r="D172" s="145" t="s">
        <v>44</v>
      </c>
      <c r="E172" s="145">
        <v>1</v>
      </c>
      <c r="F172" s="145">
        <v>1</v>
      </c>
      <c r="G172" s="145"/>
      <c r="H172" s="146"/>
      <c r="I172" s="62" t="s">
        <v>503</v>
      </c>
    </row>
    <row r="173" spans="1:9" s="45" customFormat="1" ht="17.25" x14ac:dyDescent="0.35">
      <c r="A173" s="138"/>
      <c r="B173" s="145"/>
      <c r="C173" s="145"/>
      <c r="D173" s="145" t="s">
        <v>44</v>
      </c>
      <c r="E173" s="145">
        <v>8</v>
      </c>
      <c r="F173" s="145">
        <v>0</v>
      </c>
      <c r="G173" s="145"/>
      <c r="H173" s="146"/>
      <c r="I173" s="62" t="s">
        <v>265</v>
      </c>
    </row>
    <row r="174" spans="1:9" s="45" customFormat="1" ht="17.25" x14ac:dyDescent="0.35">
      <c r="A174" s="138" t="s">
        <v>514</v>
      </c>
      <c r="B174" s="145" t="s">
        <v>515</v>
      </c>
      <c r="C174" s="145" t="s">
        <v>67</v>
      </c>
      <c r="D174" s="145"/>
      <c r="E174" s="145"/>
      <c r="F174" s="145"/>
      <c r="G174" s="145" t="s">
        <v>53</v>
      </c>
      <c r="H174" s="146"/>
      <c r="I174" s="62">
        <v>70331</v>
      </c>
    </row>
    <row r="175" spans="1:9" s="45" customFormat="1" ht="17.25" x14ac:dyDescent="0.35">
      <c r="A175" s="138"/>
      <c r="B175" s="145"/>
      <c r="C175" s="145"/>
      <c r="D175" s="145" t="s">
        <v>44</v>
      </c>
      <c r="E175" s="145">
        <v>1</v>
      </c>
      <c r="F175" s="145">
        <v>1</v>
      </c>
      <c r="G175" s="145"/>
      <c r="H175" s="146"/>
      <c r="I175" s="62"/>
    </row>
    <row r="176" spans="1:9" s="45" customFormat="1" ht="17.25" x14ac:dyDescent="0.35">
      <c r="A176" s="138" t="s">
        <v>516</v>
      </c>
      <c r="B176" s="145" t="s">
        <v>517</v>
      </c>
      <c r="C176" s="145" t="s">
        <v>67</v>
      </c>
      <c r="D176" s="145"/>
      <c r="E176" s="145"/>
      <c r="F176" s="145"/>
      <c r="G176" s="145" t="s">
        <v>53</v>
      </c>
      <c r="H176" s="146"/>
      <c r="I176" s="62">
        <v>70361</v>
      </c>
    </row>
    <row r="177" spans="1:9" s="45" customFormat="1" ht="17.25" x14ac:dyDescent="0.35">
      <c r="A177" s="138"/>
      <c r="B177" s="145"/>
      <c r="C177" s="145"/>
      <c r="D177" s="145" t="s">
        <v>44</v>
      </c>
      <c r="E177" s="145">
        <v>1</v>
      </c>
      <c r="F177" s="145">
        <v>1</v>
      </c>
      <c r="G177" s="145"/>
      <c r="H177" s="146"/>
      <c r="I177" s="62" t="s">
        <v>518</v>
      </c>
    </row>
    <row r="178" spans="1:9" s="45" customFormat="1" ht="30.75" x14ac:dyDescent="0.35">
      <c r="A178" s="138" t="s">
        <v>519</v>
      </c>
      <c r="B178" s="145" t="s">
        <v>520</v>
      </c>
      <c r="C178" s="145" t="s">
        <v>67</v>
      </c>
      <c r="D178" s="145"/>
      <c r="E178" s="145"/>
      <c r="F178" s="145"/>
      <c r="G178" s="145" t="s">
        <v>53</v>
      </c>
      <c r="H178" s="146"/>
      <c r="I178" s="62">
        <v>72564</v>
      </c>
    </row>
    <row r="179" spans="1:9" s="45" customFormat="1" ht="17.25" x14ac:dyDescent="0.35">
      <c r="A179" s="138"/>
      <c r="B179" s="145"/>
      <c r="C179" s="145"/>
      <c r="D179" s="145" t="s">
        <v>44</v>
      </c>
      <c r="E179" s="145">
        <v>1</v>
      </c>
      <c r="F179" s="145">
        <v>0</v>
      </c>
      <c r="G179" s="145"/>
      <c r="H179" s="146"/>
      <c r="I179" s="62"/>
    </row>
    <row r="180" spans="1:9" s="45" customFormat="1" ht="17.25" x14ac:dyDescent="0.35">
      <c r="A180" s="138" t="s">
        <v>521</v>
      </c>
      <c r="B180" s="145" t="s">
        <v>522</v>
      </c>
      <c r="C180" s="145" t="s">
        <v>67</v>
      </c>
      <c r="D180" s="145"/>
      <c r="E180" s="145"/>
      <c r="F180" s="145"/>
      <c r="G180" s="145" t="s">
        <v>53</v>
      </c>
      <c r="H180" s="146"/>
      <c r="I180" s="62">
        <v>72579</v>
      </c>
    </row>
    <row r="181" spans="1:9" s="45" customFormat="1" ht="17.25" x14ac:dyDescent="0.35">
      <c r="A181" s="138"/>
      <c r="B181" s="145"/>
      <c r="C181" s="145"/>
      <c r="D181" s="145" t="s">
        <v>44</v>
      </c>
      <c r="E181" s="145">
        <v>1</v>
      </c>
      <c r="F181" s="145">
        <v>0</v>
      </c>
      <c r="G181" s="145"/>
      <c r="H181" s="146"/>
      <c r="I181" s="62" t="s">
        <v>262</v>
      </c>
    </row>
    <row r="182" spans="1:9" s="45" customFormat="1" ht="17.25" x14ac:dyDescent="0.35">
      <c r="A182" s="138"/>
      <c r="B182" s="145"/>
      <c r="C182" s="145"/>
      <c r="D182" s="145" t="s">
        <v>44</v>
      </c>
      <c r="E182" s="145">
        <v>1</v>
      </c>
      <c r="F182" s="145">
        <v>0</v>
      </c>
      <c r="G182" s="145"/>
      <c r="H182" s="146"/>
      <c r="I182" s="62" t="s">
        <v>523</v>
      </c>
    </row>
    <row r="183" spans="1:9" s="45" customFormat="1" ht="17.25" x14ac:dyDescent="0.35">
      <c r="A183" s="138"/>
      <c r="B183" s="145"/>
      <c r="C183" s="145"/>
      <c r="D183" s="145" t="s">
        <v>44</v>
      </c>
      <c r="E183" s="145">
        <v>1</v>
      </c>
      <c r="F183" s="145">
        <v>0</v>
      </c>
      <c r="G183" s="145"/>
      <c r="H183" s="146"/>
      <c r="I183" s="62" t="s">
        <v>265</v>
      </c>
    </row>
    <row r="184" spans="1:9" s="45" customFormat="1" ht="17.25" x14ac:dyDescent="0.35">
      <c r="A184" s="138"/>
      <c r="B184" s="145"/>
      <c r="C184" s="145"/>
      <c r="D184" s="145" t="s">
        <v>44</v>
      </c>
      <c r="E184" s="145">
        <v>1</v>
      </c>
      <c r="F184" s="145">
        <v>0</v>
      </c>
      <c r="G184" s="145"/>
      <c r="H184" s="146"/>
      <c r="I184" s="62" t="s">
        <v>265</v>
      </c>
    </row>
    <row r="185" spans="1:9" s="45" customFormat="1" ht="17.25" x14ac:dyDescent="0.35">
      <c r="A185" s="139" t="s">
        <v>605</v>
      </c>
      <c r="B185" s="145" t="s">
        <v>604</v>
      </c>
      <c r="C185" s="145" t="s">
        <v>539</v>
      </c>
      <c r="D185" s="145"/>
      <c r="E185" s="145"/>
      <c r="F185" s="145"/>
      <c r="G185" s="145" t="s">
        <v>53</v>
      </c>
      <c r="H185" s="146"/>
      <c r="I185" s="64">
        <v>73534</v>
      </c>
    </row>
    <row r="186" spans="1:9" s="45" customFormat="1" ht="17.25" x14ac:dyDescent="0.35">
      <c r="A186" s="139"/>
      <c r="B186" s="145"/>
      <c r="C186" s="145"/>
      <c r="D186" s="145" t="s">
        <v>44</v>
      </c>
      <c r="E186" s="145">
        <v>1</v>
      </c>
      <c r="F186" s="145">
        <v>1</v>
      </c>
      <c r="G186" s="145"/>
      <c r="H186" s="146"/>
      <c r="I186" s="64"/>
    </row>
    <row r="187" spans="1:9" s="45" customFormat="1" ht="17.25" x14ac:dyDescent="0.35">
      <c r="A187" s="259" t="s">
        <v>1398</v>
      </c>
      <c r="B187" s="260" t="s">
        <v>1399</v>
      </c>
      <c r="C187" s="261" t="s">
        <v>67</v>
      </c>
      <c r="D187" s="261"/>
      <c r="E187" s="260"/>
      <c r="F187" s="261"/>
      <c r="G187" s="261" t="s">
        <v>1180</v>
      </c>
      <c r="H187" s="262"/>
      <c r="I187" s="263">
        <v>73657</v>
      </c>
    </row>
    <row r="188" spans="1:9" s="45" customFormat="1" ht="17.25" x14ac:dyDescent="0.35">
      <c r="A188" s="259"/>
      <c r="B188" s="260"/>
      <c r="C188" s="261"/>
      <c r="D188" s="261" t="s">
        <v>44</v>
      </c>
      <c r="E188" s="260">
        <v>1</v>
      </c>
      <c r="F188" s="261">
        <v>1</v>
      </c>
      <c r="G188" s="261"/>
      <c r="H188" s="262"/>
      <c r="I188" s="263"/>
    </row>
    <row r="189" spans="1:9" s="45" customFormat="1" ht="17.25" x14ac:dyDescent="0.35">
      <c r="A189" s="135" t="s">
        <v>236</v>
      </c>
      <c r="B189" s="145" t="s">
        <v>1213</v>
      </c>
      <c r="C189" s="145" t="s">
        <v>46</v>
      </c>
      <c r="D189" s="145"/>
      <c r="E189" s="145"/>
      <c r="F189" s="145"/>
      <c r="G189" s="145" t="s">
        <v>1180</v>
      </c>
      <c r="H189" s="146" t="s">
        <v>347</v>
      </c>
      <c r="I189" s="60" t="s">
        <v>340</v>
      </c>
    </row>
    <row r="190" spans="1:9" s="45" customFormat="1" ht="17.25" x14ac:dyDescent="0.35">
      <c r="A190" s="135" t="s">
        <v>285</v>
      </c>
      <c r="B190" s="145" t="s">
        <v>1214</v>
      </c>
      <c r="C190" s="145" t="s">
        <v>46</v>
      </c>
      <c r="D190" s="145"/>
      <c r="E190" s="145"/>
      <c r="F190" s="145"/>
      <c r="G190" s="145" t="s">
        <v>1180</v>
      </c>
      <c r="H190" s="146" t="s">
        <v>348</v>
      </c>
      <c r="I190" s="60" t="s">
        <v>341</v>
      </c>
    </row>
    <row r="191" spans="1:9" s="45" customFormat="1" ht="17.25" x14ac:dyDescent="0.35">
      <c r="A191" s="135" t="s">
        <v>286</v>
      </c>
      <c r="B191" s="145" t="s">
        <v>1215</v>
      </c>
      <c r="C191" s="145" t="s">
        <v>46</v>
      </c>
      <c r="D191" s="145"/>
      <c r="E191" s="145"/>
      <c r="F191" s="145"/>
      <c r="G191" s="145" t="s">
        <v>1180</v>
      </c>
      <c r="H191" s="146" t="s">
        <v>349</v>
      </c>
      <c r="I191" s="60" t="s">
        <v>342</v>
      </c>
    </row>
    <row r="192" spans="1:9" s="45" customFormat="1" ht="17.25" x14ac:dyDescent="0.35">
      <c r="A192" s="140" t="s">
        <v>1258</v>
      </c>
      <c r="B192" s="145" t="s">
        <v>1253</v>
      </c>
      <c r="C192" s="145" t="s">
        <v>46</v>
      </c>
      <c r="D192" s="145"/>
      <c r="E192" s="145"/>
      <c r="F192" s="145"/>
      <c r="G192" s="145" t="s">
        <v>1180</v>
      </c>
      <c r="H192" s="146" t="s">
        <v>1254</v>
      </c>
      <c r="I192" s="63" t="s">
        <v>1252</v>
      </c>
    </row>
    <row r="193" spans="1:9" s="45" customFormat="1" ht="17.25" x14ac:dyDescent="0.35">
      <c r="A193" s="140" t="s">
        <v>1257</v>
      </c>
      <c r="B193" s="145" t="s">
        <v>1250</v>
      </c>
      <c r="C193" s="145" t="s">
        <v>46</v>
      </c>
      <c r="D193" s="145"/>
      <c r="E193" s="145"/>
      <c r="F193" s="145"/>
      <c r="G193" s="145" t="s">
        <v>1180</v>
      </c>
      <c r="H193" s="146" t="s">
        <v>1251</v>
      </c>
      <c r="I193" s="63" t="s">
        <v>1252</v>
      </c>
    </row>
    <row r="194" spans="1:9" s="45" customFormat="1" ht="17.25" x14ac:dyDescent="0.35">
      <c r="A194" s="140" t="s">
        <v>1259</v>
      </c>
      <c r="B194" s="145" t="s">
        <v>1255</v>
      </c>
      <c r="C194" s="145" t="s">
        <v>46</v>
      </c>
      <c r="D194" s="145"/>
      <c r="E194" s="145"/>
      <c r="F194" s="145"/>
      <c r="G194" s="145" t="s">
        <v>1180</v>
      </c>
      <c r="H194" s="146" t="s">
        <v>1256</v>
      </c>
      <c r="I194" s="63" t="s">
        <v>1252</v>
      </c>
    </row>
    <row r="195" spans="1:9" s="45" customFormat="1" ht="17.25" x14ac:dyDescent="0.35">
      <c r="A195" s="140" t="s">
        <v>1260</v>
      </c>
      <c r="B195" s="145" t="s">
        <v>1247</v>
      </c>
      <c r="C195" s="145" t="s">
        <v>46</v>
      </c>
      <c r="D195" s="145"/>
      <c r="E195" s="145"/>
      <c r="F195" s="145"/>
      <c r="G195" s="145" t="s">
        <v>53</v>
      </c>
      <c r="H195" s="146" t="s">
        <v>1248</v>
      </c>
      <c r="I195" s="63" t="s">
        <v>1249</v>
      </c>
    </row>
    <row r="196" spans="1:9" s="45" customFormat="1" ht="17.25" x14ac:dyDescent="0.35">
      <c r="A196" s="135" t="s">
        <v>1217</v>
      </c>
      <c r="B196" s="145" t="s">
        <v>1218</v>
      </c>
      <c r="C196" s="145" t="s">
        <v>46</v>
      </c>
      <c r="D196" s="145"/>
      <c r="E196" s="145"/>
      <c r="F196" s="145"/>
      <c r="G196" s="145" t="s">
        <v>1180</v>
      </c>
      <c r="H196" s="146" t="s">
        <v>1219</v>
      </c>
      <c r="I196" s="60"/>
    </row>
    <row r="197" spans="1:9" s="45" customFormat="1" ht="17.25" x14ac:dyDescent="0.35">
      <c r="A197" s="139" t="s">
        <v>622</v>
      </c>
      <c r="B197" s="145" t="s">
        <v>623</v>
      </c>
      <c r="C197" s="145" t="s">
        <v>67</v>
      </c>
      <c r="D197" s="145"/>
      <c r="E197" s="145"/>
      <c r="F197" s="145"/>
      <c r="G197" s="145" t="s">
        <v>53</v>
      </c>
      <c r="H197" s="146"/>
      <c r="I197" s="64">
        <v>65633</v>
      </c>
    </row>
    <row r="198" spans="1:9" s="45" customFormat="1" ht="17.25" x14ac:dyDescent="0.35">
      <c r="A198" s="139"/>
      <c r="B198" s="145"/>
      <c r="C198" s="145"/>
      <c r="D198" s="145" t="s">
        <v>44</v>
      </c>
      <c r="E198" s="145">
        <v>8</v>
      </c>
      <c r="F198" s="145" t="s">
        <v>684</v>
      </c>
      <c r="G198" s="145"/>
      <c r="H198" s="146"/>
      <c r="I198" s="64" t="s">
        <v>624</v>
      </c>
    </row>
    <row r="199" spans="1:9" s="45" customFormat="1" ht="30.75" x14ac:dyDescent="0.35">
      <c r="A199" s="139" t="s">
        <v>625</v>
      </c>
      <c r="B199" s="145" t="s">
        <v>626</v>
      </c>
      <c r="C199" s="145" t="s">
        <v>67</v>
      </c>
      <c r="D199" s="145"/>
      <c r="E199" s="145"/>
      <c r="F199" s="145"/>
      <c r="G199" s="145" t="s">
        <v>53</v>
      </c>
      <c r="H199" s="146"/>
      <c r="I199" s="64">
        <v>70358</v>
      </c>
    </row>
    <row r="200" spans="1:9" s="45" customFormat="1" ht="17.25" x14ac:dyDescent="0.35">
      <c r="A200" s="139"/>
      <c r="B200" s="145"/>
      <c r="C200" s="145"/>
      <c r="D200" s="145" t="s">
        <v>44</v>
      </c>
      <c r="E200" s="145">
        <v>1</v>
      </c>
      <c r="F200" s="145">
        <v>1</v>
      </c>
      <c r="G200" s="145"/>
      <c r="H200" s="146"/>
      <c r="I200" s="64" t="s">
        <v>627</v>
      </c>
    </row>
    <row r="201" spans="1:9" s="45" customFormat="1" ht="17.25" x14ac:dyDescent="0.35">
      <c r="A201" s="139"/>
      <c r="B201" s="145"/>
      <c r="C201" s="145"/>
      <c r="D201" s="145" t="s">
        <v>44</v>
      </c>
      <c r="E201" s="145">
        <v>1</v>
      </c>
      <c r="F201" s="145">
        <v>3</v>
      </c>
      <c r="G201" s="145"/>
      <c r="H201" s="146"/>
      <c r="I201" s="64" t="s">
        <v>628</v>
      </c>
    </row>
    <row r="202" spans="1:9" s="45" customFormat="1" ht="17.25" x14ac:dyDescent="0.35">
      <c r="A202" s="141" t="s">
        <v>715</v>
      </c>
      <c r="B202" s="145" t="s">
        <v>716</v>
      </c>
      <c r="C202" s="145" t="s">
        <v>46</v>
      </c>
      <c r="D202" s="145"/>
      <c r="E202" s="145"/>
      <c r="F202" s="145"/>
      <c r="G202" s="145" t="s">
        <v>53</v>
      </c>
      <c r="H202" s="146" t="s">
        <v>1079</v>
      </c>
      <c r="I202" s="65">
        <v>67332</v>
      </c>
    </row>
    <row r="203" spans="1:9" s="45" customFormat="1" ht="17.25" x14ac:dyDescent="0.35">
      <c r="A203" s="139" t="s">
        <v>708</v>
      </c>
      <c r="B203" s="145" t="s">
        <v>709</v>
      </c>
      <c r="C203" s="145" t="s">
        <v>67</v>
      </c>
      <c r="D203" s="145"/>
      <c r="E203" s="145"/>
      <c r="F203" s="145"/>
      <c r="G203" s="145" t="s">
        <v>53</v>
      </c>
      <c r="H203" s="146"/>
      <c r="I203" s="64">
        <v>73509</v>
      </c>
    </row>
    <row r="204" spans="1:9" s="45" customFormat="1" ht="17.25" x14ac:dyDescent="0.35">
      <c r="A204" s="139"/>
      <c r="B204" s="145"/>
      <c r="C204" s="145"/>
      <c r="D204" s="145" t="s">
        <v>44</v>
      </c>
      <c r="E204" s="145">
        <v>1</v>
      </c>
      <c r="F204" s="145">
        <v>0</v>
      </c>
      <c r="G204" s="145"/>
      <c r="H204" s="146"/>
      <c r="I204" s="64" t="s">
        <v>708</v>
      </c>
    </row>
    <row r="205" spans="1:9" s="45" customFormat="1" ht="17.25" x14ac:dyDescent="0.35">
      <c r="A205" s="140" t="s">
        <v>1178</v>
      </c>
      <c r="B205" s="145" t="s">
        <v>1179</v>
      </c>
      <c r="C205" s="145" t="s">
        <v>67</v>
      </c>
      <c r="D205" s="145"/>
      <c r="E205" s="145"/>
      <c r="F205" s="145"/>
      <c r="G205" s="145" t="s">
        <v>1180</v>
      </c>
      <c r="H205" s="146"/>
      <c r="I205" s="63">
        <v>73545</v>
      </c>
    </row>
    <row r="206" spans="1:9" s="45" customFormat="1" ht="17.25" x14ac:dyDescent="0.35">
      <c r="A206" s="140"/>
      <c r="B206" s="145"/>
      <c r="C206" s="145"/>
      <c r="D206" s="145" t="s">
        <v>44</v>
      </c>
      <c r="E206" s="145">
        <v>1</v>
      </c>
      <c r="F206" s="145">
        <v>3</v>
      </c>
      <c r="G206" s="145"/>
      <c r="H206" s="146"/>
      <c r="I206" s="63" t="s">
        <v>1181</v>
      </c>
    </row>
    <row r="207" spans="1:9" s="45" customFormat="1" ht="34.5" x14ac:dyDescent="0.35">
      <c r="A207" s="140"/>
      <c r="B207" s="145"/>
      <c r="C207" s="145"/>
      <c r="D207" s="145" t="s">
        <v>44</v>
      </c>
      <c r="E207" s="145">
        <v>1</v>
      </c>
      <c r="F207" s="145">
        <v>1</v>
      </c>
      <c r="G207" s="145"/>
      <c r="H207" s="146"/>
      <c r="I207" s="63" t="s">
        <v>1182</v>
      </c>
    </row>
    <row r="208" spans="1:9" s="45" customFormat="1" ht="17.25" x14ac:dyDescent="0.35">
      <c r="A208" s="140"/>
      <c r="B208" s="145"/>
      <c r="C208" s="145"/>
      <c r="D208" s="145" t="s">
        <v>44</v>
      </c>
      <c r="E208" s="145">
        <v>1</v>
      </c>
      <c r="F208" s="145">
        <v>1</v>
      </c>
      <c r="G208" s="145"/>
      <c r="H208" s="146"/>
      <c r="I208" s="63" t="s">
        <v>1183</v>
      </c>
    </row>
    <row r="209" spans="1:9" s="45" customFormat="1" ht="17.25" x14ac:dyDescent="0.35">
      <c r="A209" s="140"/>
      <c r="B209" s="145"/>
      <c r="C209" s="145"/>
      <c r="D209" s="145" t="s">
        <v>44</v>
      </c>
      <c r="E209" s="145">
        <v>1</v>
      </c>
      <c r="F209" s="145">
        <v>40</v>
      </c>
      <c r="G209" s="145"/>
      <c r="H209" s="146"/>
      <c r="I209" s="63" t="s">
        <v>1184</v>
      </c>
    </row>
    <row r="210" spans="1:9" s="45" customFormat="1" ht="17.25" x14ac:dyDescent="0.35">
      <c r="A210" s="140"/>
      <c r="B210" s="145"/>
      <c r="C210" s="145"/>
      <c r="D210" s="145" t="s">
        <v>44</v>
      </c>
      <c r="E210" s="145">
        <v>7</v>
      </c>
      <c r="F210" s="145">
        <v>0</v>
      </c>
      <c r="G210" s="145"/>
      <c r="H210" s="146"/>
      <c r="I210" s="63" t="s">
        <v>1185</v>
      </c>
    </row>
    <row r="211" spans="1:9" s="45" customFormat="1" ht="17.25" x14ac:dyDescent="0.35">
      <c r="A211" s="139" t="s">
        <v>1374</v>
      </c>
      <c r="B211" s="145" t="s">
        <v>1379</v>
      </c>
      <c r="C211" s="145" t="s">
        <v>67</v>
      </c>
      <c r="D211" s="145"/>
      <c r="E211" s="145"/>
      <c r="F211" s="145"/>
      <c r="G211" s="145" t="s">
        <v>1180</v>
      </c>
      <c r="H211" s="146"/>
      <c r="I211" s="64">
        <v>73596</v>
      </c>
    </row>
    <row r="212" spans="1:9" s="45" customFormat="1" ht="17.25" x14ac:dyDescent="0.35">
      <c r="A212" s="139"/>
      <c r="B212" s="145"/>
      <c r="C212" s="145"/>
      <c r="D212" s="145" t="s">
        <v>44</v>
      </c>
      <c r="E212" s="145">
        <v>1</v>
      </c>
      <c r="F212" s="145">
        <v>0</v>
      </c>
      <c r="G212" s="145"/>
      <c r="H212" s="146"/>
      <c r="I212" s="64" t="s">
        <v>717</v>
      </c>
    </row>
    <row r="213" spans="1:9" s="45" customFormat="1" ht="17.25" x14ac:dyDescent="0.35">
      <c r="A213" s="139"/>
      <c r="B213" s="145"/>
      <c r="C213" s="145"/>
      <c r="D213" s="145" t="s">
        <v>44</v>
      </c>
      <c r="E213" s="145">
        <v>1</v>
      </c>
      <c r="F213" s="145">
        <v>0</v>
      </c>
      <c r="G213" s="145"/>
      <c r="H213" s="146"/>
      <c r="I213" s="64" t="s">
        <v>1375</v>
      </c>
    </row>
    <row r="214" spans="1:9" s="45" customFormat="1" ht="17.25" x14ac:dyDescent="0.35">
      <c r="A214" s="139"/>
      <c r="B214" s="145"/>
      <c r="C214" s="145"/>
      <c r="D214" s="145" t="s">
        <v>44</v>
      </c>
      <c r="E214" s="145">
        <v>1</v>
      </c>
      <c r="F214" s="145">
        <v>1</v>
      </c>
      <c r="G214" s="145"/>
      <c r="H214" s="146"/>
      <c r="I214" s="64" t="s">
        <v>1376</v>
      </c>
    </row>
    <row r="215" spans="1:9" s="45" customFormat="1" ht="17.25" x14ac:dyDescent="0.35">
      <c r="A215" s="139"/>
      <c r="B215" s="145"/>
      <c r="C215" s="145"/>
      <c r="D215" s="145" t="s">
        <v>1380</v>
      </c>
      <c r="E215" s="145">
        <v>1</v>
      </c>
      <c r="F215" s="145">
        <v>0</v>
      </c>
      <c r="G215" s="145"/>
      <c r="H215" s="146"/>
      <c r="I215" s="64"/>
    </row>
    <row r="216" spans="1:9" s="45" customFormat="1" ht="17.25" x14ac:dyDescent="0.35">
      <c r="A216" s="139" t="s">
        <v>1392</v>
      </c>
      <c r="B216" s="145" t="s">
        <v>1393</v>
      </c>
      <c r="C216" s="145" t="s">
        <v>46</v>
      </c>
      <c r="D216" s="145"/>
      <c r="E216" s="145"/>
      <c r="F216" s="145"/>
      <c r="G216" s="145" t="s">
        <v>1180</v>
      </c>
      <c r="H216" s="146" t="s">
        <v>1396</v>
      </c>
      <c r="I216" s="64"/>
    </row>
    <row r="217" spans="1:9" s="45" customFormat="1" ht="18" thickBot="1" x14ac:dyDescent="0.4">
      <c r="A217" s="142"/>
      <c r="B217" s="148"/>
      <c r="C217" s="148"/>
      <c r="D217" s="148"/>
      <c r="E217" s="148"/>
      <c r="F217" s="148"/>
      <c r="G217" s="148"/>
      <c r="H217" s="149"/>
      <c r="I217" s="116"/>
    </row>
    <row r="218" spans="1:9" s="45" customFormat="1" ht="13.5" thickBot="1" x14ac:dyDescent="0.25">
      <c r="A218" s="119"/>
      <c r="B218" s="119"/>
      <c r="F218" s="125"/>
      <c r="H218" s="126"/>
    </row>
    <row r="219" spans="1:9" s="45" customFormat="1" ht="20.25" thickBot="1" x14ac:dyDescent="0.45">
      <c r="A219" s="304" t="s">
        <v>75</v>
      </c>
      <c r="B219" s="305"/>
      <c r="C219" s="305"/>
      <c r="D219" s="305"/>
      <c r="E219" s="305"/>
      <c r="F219" s="305"/>
      <c r="G219" s="305"/>
      <c r="H219" s="306"/>
    </row>
    <row r="220" spans="1:9" s="45" customFormat="1" ht="18" thickBot="1" x14ac:dyDescent="0.4">
      <c r="A220" s="274" t="s">
        <v>92</v>
      </c>
      <c r="B220" s="275"/>
      <c r="C220" s="275" t="s">
        <v>41</v>
      </c>
      <c r="D220" s="275" t="s">
        <v>93</v>
      </c>
      <c r="E220" s="275" t="s">
        <v>94</v>
      </c>
      <c r="F220" s="276" t="s">
        <v>95</v>
      </c>
      <c r="G220" s="275" t="s">
        <v>49</v>
      </c>
      <c r="H220" s="277"/>
    </row>
    <row r="221" spans="1:9" s="45" customFormat="1" ht="17.25" x14ac:dyDescent="0.35">
      <c r="A221" s="284" t="s">
        <v>91</v>
      </c>
      <c r="B221" s="285"/>
      <c r="C221" s="286" t="s">
        <v>76</v>
      </c>
      <c r="D221" s="286"/>
      <c r="E221" s="286"/>
      <c r="F221" s="286"/>
      <c r="G221" s="286" t="s">
        <v>28</v>
      </c>
      <c r="H221" s="278"/>
    </row>
    <row r="222" spans="1:9" s="45" customFormat="1" ht="17.25" x14ac:dyDescent="0.35">
      <c r="A222" s="287" t="s">
        <v>77</v>
      </c>
      <c r="B222" s="288"/>
      <c r="C222" s="289"/>
      <c r="D222" s="289" t="s">
        <v>44</v>
      </c>
      <c r="E222" s="289">
        <v>1</v>
      </c>
      <c r="F222" s="289">
        <v>0</v>
      </c>
      <c r="G222" s="289"/>
      <c r="H222" s="279"/>
    </row>
    <row r="223" spans="1:9" s="45" customFormat="1" ht="17.25" x14ac:dyDescent="0.35">
      <c r="A223" s="287" t="s">
        <v>78</v>
      </c>
      <c r="B223" s="288"/>
      <c r="C223" s="289"/>
      <c r="D223" s="289" t="s">
        <v>44</v>
      </c>
      <c r="E223" s="289">
        <v>2</v>
      </c>
      <c r="F223" s="289">
        <v>2</v>
      </c>
      <c r="G223" s="289"/>
      <c r="H223" s="279"/>
    </row>
    <row r="224" spans="1:9" s="45" customFormat="1" ht="17.25" x14ac:dyDescent="0.35">
      <c r="A224" s="287" t="s">
        <v>79</v>
      </c>
      <c r="B224" s="288"/>
      <c r="C224" s="289"/>
      <c r="D224" s="289" t="s">
        <v>44</v>
      </c>
      <c r="E224" s="289">
        <v>2</v>
      </c>
      <c r="F224" s="289" t="s">
        <v>96</v>
      </c>
      <c r="G224" s="289"/>
      <c r="H224" s="279"/>
    </row>
    <row r="225" spans="1:8" s="45" customFormat="1" ht="17.25" x14ac:dyDescent="0.35">
      <c r="A225" s="287" t="s">
        <v>80</v>
      </c>
      <c r="B225" s="288"/>
      <c r="C225" s="289"/>
      <c r="D225" s="289" t="s">
        <v>44</v>
      </c>
      <c r="E225" s="289">
        <v>1</v>
      </c>
      <c r="F225" s="289" t="s">
        <v>4</v>
      </c>
      <c r="G225" s="289"/>
      <c r="H225" s="279"/>
    </row>
    <row r="226" spans="1:8" s="45" customFormat="1" ht="17.25" x14ac:dyDescent="0.35">
      <c r="A226" s="287" t="s">
        <v>81</v>
      </c>
      <c r="B226" s="288"/>
      <c r="C226" s="289"/>
      <c r="D226" s="289" t="s">
        <v>44</v>
      </c>
      <c r="E226" s="289">
        <v>2</v>
      </c>
      <c r="F226" s="289">
        <v>4</v>
      </c>
      <c r="G226" s="289"/>
      <c r="H226" s="279"/>
    </row>
    <row r="227" spans="1:8" s="45" customFormat="1" ht="17.25" x14ac:dyDescent="0.35">
      <c r="A227" s="290" t="s">
        <v>82</v>
      </c>
      <c r="B227" s="291"/>
      <c r="C227" s="292"/>
      <c r="D227" s="292" t="s">
        <v>44</v>
      </c>
      <c r="E227" s="292">
        <f>F226</f>
        <v>4</v>
      </c>
      <c r="F227" s="292" t="s">
        <v>1403</v>
      </c>
      <c r="G227" s="292"/>
      <c r="H227" s="280"/>
    </row>
    <row r="228" spans="1:8" s="45" customFormat="1" ht="17.25" x14ac:dyDescent="0.35">
      <c r="A228" s="287" t="s">
        <v>83</v>
      </c>
      <c r="B228" s="288"/>
      <c r="C228" s="289"/>
      <c r="D228" s="289" t="s">
        <v>44</v>
      </c>
      <c r="E228" s="289">
        <v>1</v>
      </c>
      <c r="F228" s="289" t="s">
        <v>5</v>
      </c>
      <c r="G228" s="289"/>
      <c r="H228" s="279"/>
    </row>
    <row r="229" spans="1:8" s="45" customFormat="1" ht="17.25" x14ac:dyDescent="0.35">
      <c r="A229" s="287" t="s">
        <v>84</v>
      </c>
      <c r="B229" s="288"/>
      <c r="C229" s="289"/>
      <c r="D229" s="289" t="s">
        <v>44</v>
      </c>
      <c r="E229" s="289">
        <v>2</v>
      </c>
      <c r="F229" s="289">
        <f>LEN(F230)</f>
        <v>9</v>
      </c>
      <c r="G229" s="289"/>
      <c r="H229" s="279"/>
    </row>
    <row r="230" spans="1:8" s="45" customFormat="1" ht="17.25" x14ac:dyDescent="0.35">
      <c r="A230" s="287" t="s">
        <v>85</v>
      </c>
      <c r="B230" s="288"/>
      <c r="C230" s="289"/>
      <c r="D230" s="289" t="s">
        <v>45</v>
      </c>
      <c r="E230" s="289">
        <f>F229</f>
        <v>9</v>
      </c>
      <c r="F230" s="289" t="s">
        <v>669</v>
      </c>
      <c r="G230" s="289"/>
      <c r="H230" s="279" t="s">
        <v>229</v>
      </c>
    </row>
    <row r="231" spans="1:8" s="45" customFormat="1" ht="17.25" x14ac:dyDescent="0.35">
      <c r="A231" s="287" t="s">
        <v>86</v>
      </c>
      <c r="B231" s="288"/>
      <c r="C231" s="289"/>
      <c r="D231" s="289" t="s">
        <v>44</v>
      </c>
      <c r="E231" s="289">
        <v>1</v>
      </c>
      <c r="F231" s="289" t="s">
        <v>97</v>
      </c>
      <c r="G231" s="289"/>
      <c r="H231" s="279"/>
    </row>
    <row r="232" spans="1:8" s="45" customFormat="1" ht="17.25" x14ac:dyDescent="0.35">
      <c r="A232" s="287" t="s">
        <v>87</v>
      </c>
      <c r="B232" s="288"/>
      <c r="C232" s="289"/>
      <c r="D232" s="289" t="s">
        <v>44</v>
      </c>
      <c r="E232" s="289">
        <v>2</v>
      </c>
      <c r="F232" s="289">
        <f>SUM(E233:E234)+E235*F234</f>
        <v>30</v>
      </c>
      <c r="G232" s="289"/>
      <c r="H232" s="279"/>
    </row>
    <row r="233" spans="1:8" s="45" customFormat="1" ht="17.25" x14ac:dyDescent="0.35">
      <c r="A233" s="287" t="s">
        <v>88</v>
      </c>
      <c r="B233" s="288"/>
      <c r="C233" s="289"/>
      <c r="D233" s="289" t="s">
        <v>44</v>
      </c>
      <c r="E233" s="289">
        <v>1</v>
      </c>
      <c r="F233" s="289">
        <v>0</v>
      </c>
      <c r="G233" s="289"/>
      <c r="H233" s="279"/>
    </row>
    <row r="234" spans="1:8" s="45" customFormat="1" ht="17.25" x14ac:dyDescent="0.35">
      <c r="A234" s="287" t="s">
        <v>89</v>
      </c>
      <c r="B234" s="288"/>
      <c r="C234" s="289"/>
      <c r="D234" s="289" t="s">
        <v>44</v>
      </c>
      <c r="E234" s="289">
        <v>1</v>
      </c>
      <c r="F234" s="289">
        <f>LEN(F235)-LEN(SUBSTITUTE(F235,",","")) +1</f>
        <v>7</v>
      </c>
      <c r="G234" s="289"/>
      <c r="H234" s="279"/>
    </row>
    <row r="235" spans="1:8" s="45" customFormat="1" ht="40.5" x14ac:dyDescent="0.35">
      <c r="A235" s="287" t="s">
        <v>90</v>
      </c>
      <c r="B235" s="288"/>
      <c r="C235" s="289"/>
      <c r="D235" s="289" t="s">
        <v>52</v>
      </c>
      <c r="E235" s="289">
        <v>4</v>
      </c>
      <c r="F235" s="127" t="s">
        <v>634</v>
      </c>
      <c r="G235" s="289"/>
      <c r="H235" s="279"/>
    </row>
    <row r="236" spans="1:8" s="45" customFormat="1" ht="17.25" x14ac:dyDescent="0.35">
      <c r="A236" s="287" t="s">
        <v>675</v>
      </c>
      <c r="B236" s="288"/>
      <c r="C236" s="289"/>
      <c r="D236" s="289" t="s">
        <v>44</v>
      </c>
      <c r="E236" s="289">
        <v>1</v>
      </c>
      <c r="F236" s="289" t="s">
        <v>27</v>
      </c>
      <c r="G236" s="289"/>
      <c r="H236" s="279"/>
    </row>
    <row r="237" spans="1:8" s="45" customFormat="1" ht="17.25" x14ac:dyDescent="0.35">
      <c r="A237" s="287" t="s">
        <v>676</v>
      </c>
      <c r="B237" s="288"/>
      <c r="C237" s="289"/>
      <c r="D237" s="289" t="s">
        <v>44</v>
      </c>
      <c r="E237" s="289">
        <v>2</v>
      </c>
      <c r="F237" s="289">
        <v>4</v>
      </c>
      <c r="G237" s="289"/>
      <c r="H237" s="279"/>
    </row>
    <row r="238" spans="1:8" s="45" customFormat="1" ht="17.25" x14ac:dyDescent="0.35">
      <c r="A238" s="290" t="s">
        <v>677</v>
      </c>
      <c r="B238" s="291"/>
      <c r="C238" s="292"/>
      <c r="D238" s="292" t="s">
        <v>44</v>
      </c>
      <c r="E238" s="292">
        <v>4</v>
      </c>
      <c r="F238" s="292" t="str">
        <f>$F$227</f>
        <v>0x05010320</v>
      </c>
      <c r="G238" s="292"/>
      <c r="H238" s="281"/>
    </row>
    <row r="239" spans="1:8" s="119" customFormat="1" ht="17.25" x14ac:dyDescent="0.35">
      <c r="A239" s="293" t="s">
        <v>1355</v>
      </c>
      <c r="B239" s="272"/>
      <c r="C239" s="268"/>
      <c r="D239" s="268" t="s">
        <v>44</v>
      </c>
      <c r="E239" s="268">
        <v>1</v>
      </c>
      <c r="F239" s="268" t="s">
        <v>636</v>
      </c>
      <c r="G239" s="268"/>
      <c r="H239" s="294"/>
    </row>
    <row r="240" spans="1:8" s="119" customFormat="1" ht="17.25" x14ac:dyDescent="0.35">
      <c r="A240" s="293" t="s">
        <v>1356</v>
      </c>
      <c r="B240" s="272"/>
      <c r="C240" s="268"/>
      <c r="D240" s="268" t="s">
        <v>44</v>
      </c>
      <c r="E240" s="268">
        <v>2</v>
      </c>
      <c r="F240" s="273">
        <f>2+F242*E243*2</f>
        <v>50</v>
      </c>
      <c r="G240" s="268"/>
      <c r="H240" s="294"/>
    </row>
    <row r="241" spans="1:8" s="119" customFormat="1" ht="17.25" x14ac:dyDescent="0.35">
      <c r="A241" s="293" t="s">
        <v>1357</v>
      </c>
      <c r="B241" s="272"/>
      <c r="C241" s="268"/>
      <c r="D241" s="268" t="s">
        <v>44</v>
      </c>
      <c r="E241" s="268">
        <v>1</v>
      </c>
      <c r="F241" s="268">
        <v>0</v>
      </c>
      <c r="G241" s="268"/>
      <c r="H241" s="294" t="s">
        <v>1358</v>
      </c>
    </row>
    <row r="242" spans="1:8" s="119" customFormat="1" ht="17.25" x14ac:dyDescent="0.35">
      <c r="A242" s="293" t="s">
        <v>1359</v>
      </c>
      <c r="B242" s="272"/>
      <c r="C242" s="268"/>
      <c r="D242" s="268" t="s">
        <v>44</v>
      </c>
      <c r="E242" s="268">
        <v>1</v>
      </c>
      <c r="F242" s="273">
        <f>SUM(LEN(F243)-LEN(SUBSTITUTE(F243,"-","")))</f>
        <v>12</v>
      </c>
      <c r="G242" s="268"/>
      <c r="H242" s="294" t="s">
        <v>1360</v>
      </c>
    </row>
    <row r="243" spans="1:8" s="119" customFormat="1" ht="53.25" x14ac:dyDescent="0.35">
      <c r="A243" s="293" t="s">
        <v>1361</v>
      </c>
      <c r="B243" s="272"/>
      <c r="C243" s="268"/>
      <c r="D243" s="268" t="s">
        <v>52</v>
      </c>
      <c r="E243" s="268">
        <v>2</v>
      </c>
      <c r="F243" s="268" t="s">
        <v>1362</v>
      </c>
      <c r="G243" s="268"/>
      <c r="H243" s="294"/>
    </row>
    <row r="244" spans="1:8" s="119" customFormat="1" ht="17.25" x14ac:dyDescent="0.35">
      <c r="A244" s="295" t="s">
        <v>1363</v>
      </c>
      <c r="B244" s="269"/>
      <c r="C244" s="252"/>
      <c r="D244" s="252" t="s">
        <v>44</v>
      </c>
      <c r="E244" s="252">
        <v>1</v>
      </c>
      <c r="F244" s="252" t="s">
        <v>1364</v>
      </c>
      <c r="G244" s="252"/>
      <c r="H244" s="282"/>
    </row>
    <row r="245" spans="1:8" s="119" customFormat="1" ht="17.25" x14ac:dyDescent="0.35">
      <c r="A245" s="295" t="s">
        <v>1365</v>
      </c>
      <c r="B245" s="269"/>
      <c r="C245" s="252"/>
      <c r="D245" s="252" t="s">
        <v>44</v>
      </c>
      <c r="E245" s="252">
        <v>2</v>
      </c>
      <c r="F245" s="252">
        <v>4</v>
      </c>
      <c r="G245" s="252"/>
      <c r="H245" s="282"/>
    </row>
    <row r="246" spans="1:8" s="119" customFormat="1" ht="138.75" thickBot="1" x14ac:dyDescent="0.4">
      <c r="A246" s="296" t="s">
        <v>1366</v>
      </c>
      <c r="B246" s="297"/>
      <c r="C246" s="298"/>
      <c r="D246" s="298" t="s">
        <v>44</v>
      </c>
      <c r="E246" s="298">
        <v>4</v>
      </c>
      <c r="F246" s="298" t="s">
        <v>1367</v>
      </c>
      <c r="G246" s="298"/>
      <c r="H246" s="283" t="s">
        <v>1368</v>
      </c>
    </row>
    <row r="247" spans="1:8" s="119" customFormat="1" x14ac:dyDescent="0.2">
      <c r="F247" s="120"/>
      <c r="H247" s="121"/>
    </row>
    <row r="248" spans="1:8" s="119" customFormat="1" x14ac:dyDescent="0.2">
      <c r="F248" s="120"/>
      <c r="H248" s="121"/>
    </row>
    <row r="249" spans="1:8" s="119" customFormat="1" x14ac:dyDescent="0.2">
      <c r="F249" s="120"/>
      <c r="H249" s="121"/>
    </row>
    <row r="250" spans="1:8" s="119" customFormat="1" x14ac:dyDescent="0.2">
      <c r="F250" s="120"/>
      <c r="H250" s="121"/>
    </row>
    <row r="251" spans="1:8" s="119" customFormat="1" x14ac:dyDescent="0.2">
      <c r="F251" s="120"/>
      <c r="H251" s="121"/>
    </row>
    <row r="252" spans="1:8" s="119" customFormat="1" x14ac:dyDescent="0.2">
      <c r="F252" s="120"/>
      <c r="H252" s="121"/>
    </row>
    <row r="253" spans="1:8" s="119" customFormat="1" x14ac:dyDescent="0.2">
      <c r="F253" s="120"/>
      <c r="H253" s="121"/>
    </row>
    <row r="254" spans="1:8" s="119" customFormat="1" x14ac:dyDescent="0.2">
      <c r="F254" s="120"/>
      <c r="H254" s="121"/>
    </row>
    <row r="255" spans="1:8" s="119" customFormat="1" x14ac:dyDescent="0.2">
      <c r="F255" s="120"/>
      <c r="H255" s="121"/>
    </row>
    <row r="256" spans="1:8" s="119" customFormat="1" x14ac:dyDescent="0.2">
      <c r="F256" s="120"/>
      <c r="H256" s="121"/>
    </row>
    <row r="257" spans="6:8" s="119" customFormat="1" x14ac:dyDescent="0.2">
      <c r="F257" s="120"/>
      <c r="H257" s="121"/>
    </row>
    <row r="258" spans="6:8" s="119" customFormat="1" x14ac:dyDescent="0.2">
      <c r="F258" s="120"/>
      <c r="H258" s="121"/>
    </row>
    <row r="259" spans="6:8" s="119" customFormat="1" x14ac:dyDescent="0.2">
      <c r="F259" s="120"/>
      <c r="H259" s="121"/>
    </row>
    <row r="260" spans="6:8" s="119" customFormat="1" x14ac:dyDescent="0.2">
      <c r="F260" s="120"/>
      <c r="H260" s="121"/>
    </row>
    <row r="261" spans="6:8" s="119" customFormat="1" x14ac:dyDescent="0.2">
      <c r="F261" s="120"/>
      <c r="H261" s="121"/>
    </row>
    <row r="262" spans="6:8" s="119" customFormat="1" x14ac:dyDescent="0.2">
      <c r="F262" s="120"/>
      <c r="H262" s="121"/>
    </row>
    <row r="263" spans="6:8" s="119" customFormat="1" x14ac:dyDescent="0.2">
      <c r="F263" s="120"/>
      <c r="H263" s="121"/>
    </row>
    <row r="264" spans="6:8" s="119" customFormat="1" x14ac:dyDescent="0.2">
      <c r="F264" s="120"/>
      <c r="H264" s="121"/>
    </row>
    <row r="265" spans="6:8" s="119" customFormat="1" x14ac:dyDescent="0.2">
      <c r="F265" s="120"/>
      <c r="H265" s="121"/>
    </row>
    <row r="266" spans="6:8" s="119" customFormat="1" x14ac:dyDescent="0.2">
      <c r="F266" s="120"/>
      <c r="H266" s="121"/>
    </row>
    <row r="267" spans="6:8" s="119" customFormat="1" x14ac:dyDescent="0.2">
      <c r="F267" s="120"/>
      <c r="H267" s="121"/>
    </row>
    <row r="268" spans="6:8" s="119" customFormat="1" x14ac:dyDescent="0.2">
      <c r="F268" s="120"/>
      <c r="H268" s="121"/>
    </row>
    <row r="269" spans="6:8" s="119" customFormat="1" x14ac:dyDescent="0.2">
      <c r="F269" s="120"/>
      <c r="H269" s="121"/>
    </row>
    <row r="270" spans="6:8" s="119" customFormat="1" x14ac:dyDescent="0.2">
      <c r="F270" s="120"/>
      <c r="H270" s="121"/>
    </row>
    <row r="271" spans="6:8" s="119" customFormat="1" x14ac:dyDescent="0.2">
      <c r="F271" s="120"/>
      <c r="H271" s="121"/>
    </row>
    <row r="272" spans="6:8" s="119" customFormat="1" x14ac:dyDescent="0.2">
      <c r="F272" s="120"/>
      <c r="H272" s="121"/>
    </row>
    <row r="273" spans="6:8" s="119" customFormat="1" x14ac:dyDescent="0.2">
      <c r="F273" s="120"/>
      <c r="H273" s="121"/>
    </row>
    <row r="274" spans="6:8" s="119" customFormat="1" x14ac:dyDescent="0.2">
      <c r="F274" s="120"/>
      <c r="H274" s="121"/>
    </row>
    <row r="275" spans="6:8" s="119" customFormat="1" x14ac:dyDescent="0.2">
      <c r="F275" s="120"/>
      <c r="H275" s="121"/>
    </row>
    <row r="276" spans="6:8" s="119" customFormat="1" x14ac:dyDescent="0.2">
      <c r="F276" s="120"/>
      <c r="H276" s="121"/>
    </row>
    <row r="277" spans="6:8" s="119" customFormat="1" x14ac:dyDescent="0.2">
      <c r="F277" s="120"/>
      <c r="H277" s="121"/>
    </row>
    <row r="278" spans="6:8" s="119" customFormat="1" x14ac:dyDescent="0.2">
      <c r="F278" s="120"/>
      <c r="H278" s="121"/>
    </row>
    <row r="279" spans="6:8" s="119" customFormat="1" x14ac:dyDescent="0.2">
      <c r="F279" s="120"/>
      <c r="H279" s="121"/>
    </row>
    <row r="280" spans="6:8" s="119" customFormat="1" x14ac:dyDescent="0.2">
      <c r="F280" s="120"/>
      <c r="H280" s="121"/>
    </row>
    <row r="281" spans="6:8" s="119" customFormat="1" x14ac:dyDescent="0.2">
      <c r="F281" s="120"/>
      <c r="H281" s="121"/>
    </row>
    <row r="282" spans="6:8" s="119" customFormat="1" x14ac:dyDescent="0.2">
      <c r="F282" s="120"/>
      <c r="H282" s="121"/>
    </row>
    <row r="283" spans="6:8" s="119" customFormat="1" x14ac:dyDescent="0.2">
      <c r="F283" s="120"/>
      <c r="H283" s="121"/>
    </row>
    <row r="284" spans="6:8" s="119" customFormat="1" x14ac:dyDescent="0.2">
      <c r="F284" s="120"/>
      <c r="H284" s="121"/>
    </row>
    <row r="285" spans="6:8" s="119" customFormat="1" x14ac:dyDescent="0.2">
      <c r="F285" s="120"/>
      <c r="H285" s="121"/>
    </row>
    <row r="286" spans="6:8" s="119" customFormat="1" x14ac:dyDescent="0.2">
      <c r="F286" s="120"/>
      <c r="H286" s="121"/>
    </row>
    <row r="287" spans="6:8" s="119" customFormat="1" x14ac:dyDescent="0.2">
      <c r="F287" s="120"/>
      <c r="H287" s="121"/>
    </row>
    <row r="288" spans="6:8" s="119" customFormat="1" x14ac:dyDescent="0.2">
      <c r="F288" s="120"/>
      <c r="H288" s="121"/>
    </row>
    <row r="289" spans="6:8" s="119" customFormat="1" x14ac:dyDescent="0.2">
      <c r="F289" s="120"/>
      <c r="H289" s="121"/>
    </row>
    <row r="290" spans="6:8" s="119" customFormat="1" x14ac:dyDescent="0.2">
      <c r="F290" s="120"/>
      <c r="H290" s="121"/>
    </row>
    <row r="291" spans="6:8" s="119" customFormat="1" x14ac:dyDescent="0.2">
      <c r="F291" s="120"/>
      <c r="H291" s="121"/>
    </row>
    <row r="292" spans="6:8" s="119" customFormat="1" x14ac:dyDescent="0.2">
      <c r="F292" s="120"/>
      <c r="H292" s="121"/>
    </row>
    <row r="293" spans="6:8" s="119" customFormat="1" x14ac:dyDescent="0.2">
      <c r="F293" s="120"/>
      <c r="H293" s="121"/>
    </row>
    <row r="294" spans="6:8" s="119" customFormat="1" x14ac:dyDescent="0.2">
      <c r="F294" s="120"/>
      <c r="H294" s="121"/>
    </row>
    <row r="295" spans="6:8" s="119" customFormat="1" x14ac:dyDescent="0.2">
      <c r="F295" s="120"/>
      <c r="H295" s="121"/>
    </row>
    <row r="296" spans="6:8" s="119" customFormat="1" x14ac:dyDescent="0.2">
      <c r="F296" s="120"/>
      <c r="H296" s="121"/>
    </row>
    <row r="297" spans="6:8" s="119" customFormat="1" x14ac:dyDescent="0.2">
      <c r="F297" s="120"/>
      <c r="H297" s="121"/>
    </row>
    <row r="298" spans="6:8" s="119" customFormat="1" x14ac:dyDescent="0.2">
      <c r="F298" s="120"/>
      <c r="H298" s="121"/>
    </row>
    <row r="299" spans="6:8" s="119" customFormat="1" x14ac:dyDescent="0.2">
      <c r="F299" s="120"/>
      <c r="H299" s="121"/>
    </row>
    <row r="300" spans="6:8" s="119" customFormat="1" x14ac:dyDescent="0.2">
      <c r="F300" s="120"/>
      <c r="H300" s="121"/>
    </row>
    <row r="301" spans="6:8" s="119" customFormat="1" x14ac:dyDescent="0.2">
      <c r="F301" s="120"/>
      <c r="H301" s="121"/>
    </row>
    <row r="302" spans="6:8" s="119" customFormat="1" x14ac:dyDescent="0.2">
      <c r="F302" s="120"/>
      <c r="H302" s="121"/>
    </row>
    <row r="303" spans="6:8" s="119" customFormat="1" x14ac:dyDescent="0.2">
      <c r="F303" s="120"/>
      <c r="H303" s="121"/>
    </row>
    <row r="304" spans="6:8" s="119" customFormat="1" x14ac:dyDescent="0.2">
      <c r="F304" s="120"/>
      <c r="H304" s="121"/>
    </row>
    <row r="305" spans="6:8" s="119" customFormat="1" x14ac:dyDescent="0.2">
      <c r="F305" s="120"/>
      <c r="H305" s="121"/>
    </row>
    <row r="306" spans="6:8" s="119" customFormat="1" x14ac:dyDescent="0.2">
      <c r="F306" s="120"/>
      <c r="H306" s="121"/>
    </row>
    <row r="307" spans="6:8" s="119" customFormat="1" x14ac:dyDescent="0.2">
      <c r="F307" s="120"/>
      <c r="H307" s="121"/>
    </row>
    <row r="308" spans="6:8" s="119" customFormat="1" x14ac:dyDescent="0.2">
      <c r="F308" s="120"/>
      <c r="H308" s="121"/>
    </row>
    <row r="309" spans="6:8" s="119" customFormat="1" x14ac:dyDescent="0.2">
      <c r="F309" s="120"/>
      <c r="H309" s="121"/>
    </row>
    <row r="310" spans="6:8" s="119" customFormat="1" x14ac:dyDescent="0.2">
      <c r="F310" s="120"/>
      <c r="H310" s="121"/>
    </row>
    <row r="311" spans="6:8" s="119" customFormat="1" x14ac:dyDescent="0.2">
      <c r="F311" s="120"/>
      <c r="H311" s="121"/>
    </row>
    <row r="312" spans="6:8" s="119" customFormat="1" x14ac:dyDescent="0.2">
      <c r="F312" s="120"/>
      <c r="H312" s="121"/>
    </row>
    <row r="313" spans="6:8" s="119" customFormat="1" x14ac:dyDescent="0.2">
      <c r="F313" s="120"/>
      <c r="H313" s="121"/>
    </row>
    <row r="314" spans="6:8" s="119" customFormat="1" x14ac:dyDescent="0.2">
      <c r="F314" s="120"/>
      <c r="H314" s="121"/>
    </row>
    <row r="315" spans="6:8" s="119" customFormat="1" x14ac:dyDescent="0.2">
      <c r="F315" s="120"/>
      <c r="H315" s="121"/>
    </row>
    <row r="316" spans="6:8" s="119" customFormat="1" x14ac:dyDescent="0.2">
      <c r="F316" s="120"/>
      <c r="H316" s="121"/>
    </row>
    <row r="317" spans="6:8" s="119" customFormat="1" x14ac:dyDescent="0.2">
      <c r="F317" s="120"/>
      <c r="H317" s="121"/>
    </row>
    <row r="318" spans="6:8" s="119" customFormat="1" x14ac:dyDescent="0.2">
      <c r="F318" s="120"/>
      <c r="H318" s="121"/>
    </row>
    <row r="319" spans="6:8" s="119" customFormat="1" x14ac:dyDescent="0.2">
      <c r="F319" s="120"/>
      <c r="H319" s="121"/>
    </row>
    <row r="320" spans="6:8" s="119" customFormat="1" x14ac:dyDescent="0.2">
      <c r="F320" s="120"/>
      <c r="H320" s="121"/>
    </row>
    <row r="321" spans="6:8" s="119" customFormat="1" x14ac:dyDescent="0.2">
      <c r="F321" s="120"/>
      <c r="H321" s="121"/>
    </row>
    <row r="322" spans="6:8" s="119" customFormat="1" x14ac:dyDescent="0.2">
      <c r="F322" s="120"/>
      <c r="H322" s="121"/>
    </row>
    <row r="323" spans="6:8" s="119" customFormat="1" x14ac:dyDescent="0.2">
      <c r="F323" s="120"/>
      <c r="H323" s="121"/>
    </row>
    <row r="324" spans="6:8" s="119" customFormat="1" x14ac:dyDescent="0.2">
      <c r="F324" s="120"/>
      <c r="H324" s="121"/>
    </row>
    <row r="325" spans="6:8" s="119" customFormat="1" x14ac:dyDescent="0.2">
      <c r="F325" s="120"/>
      <c r="H325" s="121"/>
    </row>
    <row r="326" spans="6:8" s="119" customFormat="1" x14ac:dyDescent="0.2">
      <c r="F326" s="120"/>
      <c r="H326" s="121"/>
    </row>
    <row r="327" spans="6:8" s="119" customFormat="1" x14ac:dyDescent="0.2">
      <c r="F327" s="120"/>
      <c r="H327" s="121"/>
    </row>
    <row r="328" spans="6:8" s="119" customFormat="1" x14ac:dyDescent="0.2">
      <c r="F328" s="120"/>
      <c r="H328" s="121"/>
    </row>
    <row r="329" spans="6:8" s="119" customFormat="1" x14ac:dyDescent="0.2">
      <c r="F329" s="120"/>
      <c r="H329" s="121"/>
    </row>
    <row r="330" spans="6:8" s="119" customFormat="1" x14ac:dyDescent="0.2">
      <c r="F330" s="120"/>
      <c r="H330" s="121"/>
    </row>
    <row r="331" spans="6:8" s="119" customFormat="1" x14ac:dyDescent="0.2">
      <c r="F331" s="120"/>
      <c r="H331" s="121"/>
    </row>
    <row r="332" spans="6:8" s="119" customFormat="1" x14ac:dyDescent="0.2">
      <c r="F332" s="120"/>
      <c r="H332" s="121"/>
    </row>
    <row r="333" spans="6:8" s="119" customFormat="1" x14ac:dyDescent="0.2">
      <c r="F333" s="120"/>
      <c r="H333" s="121"/>
    </row>
    <row r="334" spans="6:8" s="119" customFormat="1" x14ac:dyDescent="0.2">
      <c r="F334" s="120"/>
      <c r="H334" s="121"/>
    </row>
    <row r="335" spans="6:8" s="119" customFormat="1" x14ac:dyDescent="0.2">
      <c r="F335" s="120"/>
      <c r="H335" s="121"/>
    </row>
    <row r="336" spans="6:8" s="119" customFormat="1" x14ac:dyDescent="0.2">
      <c r="F336" s="120"/>
      <c r="H336" s="121"/>
    </row>
    <row r="337" spans="6:8" s="119" customFormat="1" x14ac:dyDescent="0.2">
      <c r="F337" s="120"/>
      <c r="H337" s="121"/>
    </row>
    <row r="338" spans="6:8" s="119" customFormat="1" x14ac:dyDescent="0.2">
      <c r="F338" s="120"/>
      <c r="H338" s="121"/>
    </row>
    <row r="339" spans="6:8" s="119" customFormat="1" x14ac:dyDescent="0.2">
      <c r="F339" s="120"/>
      <c r="H339" s="121"/>
    </row>
    <row r="340" spans="6:8" s="119" customFormat="1" x14ac:dyDescent="0.2">
      <c r="F340" s="120"/>
      <c r="H340" s="121"/>
    </row>
    <row r="341" spans="6:8" s="119" customFormat="1" x14ac:dyDescent="0.2">
      <c r="F341" s="120"/>
      <c r="H341" s="121"/>
    </row>
    <row r="342" spans="6:8" s="119" customFormat="1" x14ac:dyDescent="0.2">
      <c r="F342" s="120"/>
      <c r="H342" s="121"/>
    </row>
    <row r="343" spans="6:8" s="119" customFormat="1" x14ac:dyDescent="0.2">
      <c r="F343" s="120"/>
      <c r="H343" s="121"/>
    </row>
    <row r="344" spans="6:8" s="119" customFormat="1" x14ac:dyDescent="0.2">
      <c r="F344" s="120"/>
      <c r="H344" s="121"/>
    </row>
    <row r="345" spans="6:8" s="119" customFormat="1" x14ac:dyDescent="0.2">
      <c r="F345" s="120"/>
      <c r="H345" s="121"/>
    </row>
    <row r="346" spans="6:8" s="119" customFormat="1" x14ac:dyDescent="0.2">
      <c r="F346" s="120"/>
      <c r="H346" s="121"/>
    </row>
    <row r="347" spans="6:8" s="119" customFormat="1" x14ac:dyDescent="0.2">
      <c r="F347" s="120"/>
      <c r="H347" s="121"/>
    </row>
    <row r="348" spans="6:8" s="119" customFormat="1" x14ac:dyDescent="0.2">
      <c r="F348" s="120"/>
      <c r="H348" s="121"/>
    </row>
    <row r="349" spans="6:8" s="119" customFormat="1" x14ac:dyDescent="0.2">
      <c r="F349" s="120"/>
      <c r="H349" s="121"/>
    </row>
    <row r="350" spans="6:8" s="119" customFormat="1" x14ac:dyDescent="0.2">
      <c r="F350" s="120"/>
      <c r="H350" s="121"/>
    </row>
    <row r="351" spans="6:8" s="119" customFormat="1" x14ac:dyDescent="0.2">
      <c r="F351" s="120"/>
      <c r="H351" s="121"/>
    </row>
    <row r="352" spans="6:8" s="119" customFormat="1" x14ac:dyDescent="0.2">
      <c r="F352" s="120"/>
      <c r="H352" s="121"/>
    </row>
    <row r="353" spans="6:8" s="119" customFormat="1" x14ac:dyDescent="0.2">
      <c r="F353" s="120"/>
      <c r="H353" s="121"/>
    </row>
    <row r="354" spans="6:8" s="119" customFormat="1" ht="36.75" customHeight="1" x14ac:dyDescent="0.2">
      <c r="F354" s="120"/>
      <c r="H354" s="121"/>
    </row>
    <row r="355" spans="6:8" s="119" customFormat="1" x14ac:dyDescent="0.2">
      <c r="F355" s="120"/>
      <c r="H355" s="121"/>
    </row>
    <row r="356" spans="6:8" s="119" customFormat="1" x14ac:dyDescent="0.2">
      <c r="F356" s="120"/>
      <c r="H356" s="121"/>
    </row>
    <row r="357" spans="6:8" s="119" customFormat="1" x14ac:dyDescent="0.2">
      <c r="F357" s="120"/>
      <c r="H357" s="121"/>
    </row>
    <row r="358" spans="6:8" s="119" customFormat="1" x14ac:dyDescent="0.2">
      <c r="F358" s="120"/>
      <c r="H358" s="121"/>
    </row>
    <row r="359" spans="6:8" s="119" customFormat="1" x14ac:dyDescent="0.2">
      <c r="F359" s="120"/>
      <c r="H359" s="121"/>
    </row>
    <row r="360" spans="6:8" s="119" customFormat="1" x14ac:dyDescent="0.2">
      <c r="F360" s="120"/>
      <c r="H360" s="121"/>
    </row>
    <row r="361" spans="6:8" s="119" customFormat="1" x14ac:dyDescent="0.2">
      <c r="F361" s="120"/>
      <c r="H361" s="121"/>
    </row>
    <row r="362" spans="6:8" s="119" customFormat="1" x14ac:dyDescent="0.2">
      <c r="F362" s="120"/>
      <c r="H362" s="121"/>
    </row>
    <row r="363" spans="6:8" s="119" customFormat="1" x14ac:dyDescent="0.2">
      <c r="F363" s="120"/>
      <c r="H363" s="121"/>
    </row>
    <row r="364" spans="6:8" s="119" customFormat="1" x14ac:dyDescent="0.2">
      <c r="F364" s="120"/>
      <c r="H364" s="121"/>
    </row>
    <row r="365" spans="6:8" s="119" customFormat="1" x14ac:dyDescent="0.2">
      <c r="F365" s="120"/>
      <c r="H365" s="121"/>
    </row>
    <row r="366" spans="6:8" s="119" customFormat="1" x14ac:dyDescent="0.2">
      <c r="F366" s="120"/>
      <c r="H366" s="121"/>
    </row>
    <row r="367" spans="6:8" s="119" customFormat="1" x14ac:dyDescent="0.2">
      <c r="F367" s="120"/>
      <c r="H367" s="121"/>
    </row>
    <row r="368" spans="6:8" s="119" customFormat="1" x14ac:dyDescent="0.2">
      <c r="F368" s="120"/>
      <c r="H368" s="121"/>
    </row>
    <row r="369" spans="6:8" s="119" customFormat="1" x14ac:dyDescent="0.2">
      <c r="F369" s="120"/>
      <c r="H369" s="121"/>
    </row>
    <row r="370" spans="6:8" s="119" customFormat="1" x14ac:dyDescent="0.2">
      <c r="F370" s="120"/>
      <c r="H370" s="121"/>
    </row>
    <row r="371" spans="6:8" s="119" customFormat="1" x14ac:dyDescent="0.2">
      <c r="F371" s="120"/>
      <c r="H371" s="121"/>
    </row>
    <row r="372" spans="6:8" s="119" customFormat="1" x14ac:dyDescent="0.2">
      <c r="F372" s="120"/>
      <c r="H372" s="121"/>
    </row>
    <row r="373" spans="6:8" s="119" customFormat="1" x14ac:dyDescent="0.2">
      <c r="F373" s="120"/>
      <c r="H373" s="121"/>
    </row>
    <row r="374" spans="6:8" s="119" customFormat="1" x14ac:dyDescent="0.2">
      <c r="F374" s="120"/>
      <c r="H374" s="121"/>
    </row>
    <row r="375" spans="6:8" s="119" customFormat="1" x14ac:dyDescent="0.2">
      <c r="F375" s="120"/>
      <c r="H375" s="121"/>
    </row>
    <row r="376" spans="6:8" s="119" customFormat="1" x14ac:dyDescent="0.2">
      <c r="F376" s="120"/>
      <c r="H376" s="121"/>
    </row>
    <row r="377" spans="6:8" s="119" customFormat="1" x14ac:dyDescent="0.2">
      <c r="F377" s="120"/>
      <c r="H377" s="121"/>
    </row>
    <row r="378" spans="6:8" s="119" customFormat="1" x14ac:dyDescent="0.2">
      <c r="F378" s="120"/>
      <c r="H378" s="121"/>
    </row>
    <row r="379" spans="6:8" s="119" customFormat="1" x14ac:dyDescent="0.2">
      <c r="F379" s="120"/>
      <c r="H379" s="121"/>
    </row>
    <row r="380" spans="6:8" s="119" customFormat="1" x14ac:dyDescent="0.2">
      <c r="F380" s="120"/>
      <c r="H380" s="121"/>
    </row>
    <row r="381" spans="6:8" s="119" customFormat="1" x14ac:dyDescent="0.2">
      <c r="F381" s="120"/>
      <c r="H381" s="121"/>
    </row>
    <row r="382" spans="6:8" s="119" customFormat="1" x14ac:dyDescent="0.2">
      <c r="F382" s="120"/>
      <c r="H382" s="121"/>
    </row>
    <row r="383" spans="6:8" s="119" customFormat="1" x14ac:dyDescent="0.2">
      <c r="F383" s="120"/>
      <c r="H383" s="121"/>
    </row>
    <row r="384" spans="6:8" s="119" customFormat="1" x14ac:dyDescent="0.2">
      <c r="F384" s="120"/>
      <c r="H384" s="121"/>
    </row>
    <row r="385" spans="6:8" s="119" customFormat="1" x14ac:dyDescent="0.2">
      <c r="F385" s="120"/>
      <c r="H385" s="121"/>
    </row>
    <row r="386" spans="6:8" s="119" customFormat="1" x14ac:dyDescent="0.2">
      <c r="F386" s="120"/>
      <c r="H386" s="121"/>
    </row>
    <row r="387" spans="6:8" s="119" customFormat="1" x14ac:dyDescent="0.2">
      <c r="F387" s="120"/>
      <c r="H387" s="121"/>
    </row>
    <row r="388" spans="6:8" s="119" customFormat="1" x14ac:dyDescent="0.2">
      <c r="F388" s="120"/>
      <c r="H388" s="121"/>
    </row>
    <row r="389" spans="6:8" s="119" customFormat="1" x14ac:dyDescent="0.2">
      <c r="F389" s="120"/>
      <c r="H389" s="121"/>
    </row>
    <row r="390" spans="6:8" s="119" customFormat="1" x14ac:dyDescent="0.2">
      <c r="F390" s="120"/>
      <c r="H390" s="121"/>
    </row>
    <row r="391" spans="6:8" s="119" customFormat="1" x14ac:dyDescent="0.2">
      <c r="F391" s="120"/>
      <c r="H391" s="121"/>
    </row>
    <row r="392" spans="6:8" s="119" customFormat="1" x14ac:dyDescent="0.2">
      <c r="F392" s="120"/>
      <c r="H392" s="121"/>
    </row>
    <row r="393" spans="6:8" s="119" customFormat="1" x14ac:dyDescent="0.2">
      <c r="F393" s="120"/>
      <c r="H393" s="121"/>
    </row>
    <row r="394" spans="6:8" s="119" customFormat="1" x14ac:dyDescent="0.2">
      <c r="F394" s="120"/>
      <c r="H394" s="121"/>
    </row>
    <row r="395" spans="6:8" s="119" customFormat="1" x14ac:dyDescent="0.2">
      <c r="F395" s="120"/>
      <c r="H395" s="121"/>
    </row>
    <row r="396" spans="6:8" s="119" customFormat="1" x14ac:dyDescent="0.2">
      <c r="F396" s="120"/>
      <c r="H396" s="121"/>
    </row>
    <row r="397" spans="6:8" s="119" customFormat="1" x14ac:dyDescent="0.2">
      <c r="F397" s="120"/>
      <c r="H397" s="121"/>
    </row>
    <row r="398" spans="6:8" s="119" customFormat="1" x14ac:dyDescent="0.2">
      <c r="F398" s="120"/>
      <c r="H398" s="121"/>
    </row>
    <row r="399" spans="6:8" s="119" customFormat="1" x14ac:dyDescent="0.2">
      <c r="F399" s="120"/>
      <c r="H399" s="121"/>
    </row>
    <row r="400" spans="6:8" s="119" customFormat="1" x14ac:dyDescent="0.2">
      <c r="F400" s="120"/>
      <c r="H400" s="121"/>
    </row>
    <row r="401" spans="6:8" s="119" customFormat="1" x14ac:dyDescent="0.2">
      <c r="F401" s="120"/>
      <c r="H401" s="121"/>
    </row>
    <row r="402" spans="6:8" s="119" customFormat="1" x14ac:dyDescent="0.2">
      <c r="F402" s="120"/>
      <c r="H402" s="121"/>
    </row>
    <row r="403" spans="6:8" s="119" customFormat="1" x14ac:dyDescent="0.2">
      <c r="F403" s="120"/>
      <c r="H403" s="121"/>
    </row>
    <row r="404" spans="6:8" s="119" customFormat="1" x14ac:dyDescent="0.2">
      <c r="F404" s="120"/>
      <c r="H404" s="121"/>
    </row>
    <row r="405" spans="6:8" s="119" customFormat="1" x14ac:dyDescent="0.2">
      <c r="F405" s="120"/>
      <c r="H405" s="121"/>
    </row>
    <row r="406" spans="6:8" s="119" customFormat="1" x14ac:dyDescent="0.2">
      <c r="F406" s="120"/>
      <c r="H406" s="121"/>
    </row>
    <row r="407" spans="6:8" s="119" customFormat="1" x14ac:dyDescent="0.2">
      <c r="F407" s="120"/>
      <c r="H407" s="121"/>
    </row>
    <row r="408" spans="6:8" s="119" customFormat="1" x14ac:dyDescent="0.2">
      <c r="F408" s="120"/>
      <c r="H408" s="121"/>
    </row>
    <row r="409" spans="6:8" s="119" customFormat="1" x14ac:dyDescent="0.2">
      <c r="F409" s="120"/>
      <c r="H409" s="121"/>
    </row>
    <row r="410" spans="6:8" s="119" customFormat="1" x14ac:dyDescent="0.2">
      <c r="F410" s="120"/>
      <c r="H410" s="121"/>
    </row>
    <row r="411" spans="6:8" s="119" customFormat="1" x14ac:dyDescent="0.2">
      <c r="F411" s="120"/>
      <c r="H411" s="121"/>
    </row>
    <row r="412" spans="6:8" s="119" customFormat="1" x14ac:dyDescent="0.2">
      <c r="F412" s="120"/>
      <c r="H412" s="121"/>
    </row>
    <row r="413" spans="6:8" s="119" customFormat="1" x14ac:dyDescent="0.2">
      <c r="F413" s="120"/>
      <c r="H413" s="121"/>
    </row>
    <row r="414" spans="6:8" s="119" customFormat="1" x14ac:dyDescent="0.2">
      <c r="F414" s="120"/>
      <c r="H414" s="121"/>
    </row>
    <row r="415" spans="6:8" s="119" customFormat="1" x14ac:dyDescent="0.2">
      <c r="F415" s="120"/>
      <c r="H415" s="121"/>
    </row>
    <row r="416" spans="6:8" s="119" customFormat="1" x14ac:dyDescent="0.2">
      <c r="F416" s="120"/>
      <c r="H416" s="121"/>
    </row>
    <row r="417" spans="6:8" s="119" customFormat="1" x14ac:dyDescent="0.2">
      <c r="F417" s="120"/>
      <c r="H417" s="121"/>
    </row>
    <row r="418" spans="6:8" s="119" customFormat="1" x14ac:dyDescent="0.2">
      <c r="F418" s="120"/>
      <c r="H418" s="121"/>
    </row>
    <row r="419" spans="6:8" s="119" customFormat="1" x14ac:dyDescent="0.2">
      <c r="F419" s="120"/>
      <c r="H419" s="121"/>
    </row>
    <row r="420" spans="6:8" s="119" customFormat="1" x14ac:dyDescent="0.2">
      <c r="F420" s="120"/>
      <c r="H420" s="121"/>
    </row>
    <row r="421" spans="6:8" s="119" customFormat="1" x14ac:dyDescent="0.2">
      <c r="F421" s="120"/>
      <c r="H421" s="121"/>
    </row>
    <row r="422" spans="6:8" s="119" customFormat="1" x14ac:dyDescent="0.2">
      <c r="F422" s="120"/>
      <c r="H422" s="121"/>
    </row>
    <row r="423" spans="6:8" s="119" customFormat="1" x14ac:dyDescent="0.2">
      <c r="F423" s="120"/>
      <c r="H423" s="121"/>
    </row>
    <row r="424" spans="6:8" s="119" customFormat="1" x14ac:dyDescent="0.2">
      <c r="F424" s="120"/>
      <c r="H424" s="121"/>
    </row>
    <row r="425" spans="6:8" s="119" customFormat="1" x14ac:dyDescent="0.2">
      <c r="F425" s="120"/>
      <c r="H425" s="121"/>
    </row>
    <row r="426" spans="6:8" s="119" customFormat="1" x14ac:dyDescent="0.2">
      <c r="F426" s="120"/>
      <c r="H426" s="121"/>
    </row>
    <row r="427" spans="6:8" s="119" customFormat="1" x14ac:dyDescent="0.2">
      <c r="F427" s="120"/>
      <c r="H427" s="121"/>
    </row>
    <row r="428" spans="6:8" s="119" customFormat="1" x14ac:dyDescent="0.2">
      <c r="F428" s="120"/>
      <c r="H428" s="121"/>
    </row>
    <row r="429" spans="6:8" s="119" customFormat="1" x14ac:dyDescent="0.2">
      <c r="F429" s="120"/>
      <c r="H429" s="121"/>
    </row>
    <row r="430" spans="6:8" s="119" customFormat="1" x14ac:dyDescent="0.2">
      <c r="F430" s="120"/>
      <c r="H430" s="121"/>
    </row>
    <row r="431" spans="6:8" s="119" customFormat="1" x14ac:dyDescent="0.2">
      <c r="F431" s="120"/>
      <c r="H431" s="121"/>
    </row>
    <row r="432" spans="6:8" s="119" customFormat="1" x14ac:dyDescent="0.2">
      <c r="F432" s="120"/>
      <c r="H432" s="121"/>
    </row>
    <row r="433" spans="6:8" s="119" customFormat="1" x14ac:dyDescent="0.2">
      <c r="F433" s="120"/>
      <c r="H433" s="121"/>
    </row>
    <row r="434" spans="6:8" s="119" customFormat="1" x14ac:dyDescent="0.2">
      <c r="F434" s="120"/>
      <c r="H434" s="121"/>
    </row>
    <row r="435" spans="6:8" s="119" customFormat="1" x14ac:dyDescent="0.2">
      <c r="F435" s="120"/>
      <c r="H435" s="121"/>
    </row>
    <row r="436" spans="6:8" s="119" customFormat="1" x14ac:dyDescent="0.2">
      <c r="F436" s="120"/>
      <c r="H436" s="121"/>
    </row>
    <row r="437" spans="6:8" s="119" customFormat="1" x14ac:dyDescent="0.2">
      <c r="F437" s="120"/>
      <c r="H437" s="121"/>
    </row>
    <row r="438" spans="6:8" s="119" customFormat="1" x14ac:dyDescent="0.2">
      <c r="F438" s="120"/>
      <c r="H438" s="121"/>
    </row>
    <row r="439" spans="6:8" s="119" customFormat="1" x14ac:dyDescent="0.2">
      <c r="F439" s="120"/>
      <c r="H439" s="121"/>
    </row>
    <row r="440" spans="6:8" s="119" customFormat="1" x14ac:dyDescent="0.2">
      <c r="F440" s="120"/>
      <c r="H440" s="121"/>
    </row>
    <row r="441" spans="6:8" s="119" customFormat="1" x14ac:dyDescent="0.2">
      <c r="F441" s="120"/>
      <c r="H441" s="121"/>
    </row>
    <row r="442" spans="6:8" s="119" customFormat="1" x14ac:dyDescent="0.2">
      <c r="F442" s="120"/>
      <c r="H442" s="121"/>
    </row>
    <row r="443" spans="6:8" s="119" customFormat="1" x14ac:dyDescent="0.2">
      <c r="F443" s="120"/>
      <c r="H443" s="121"/>
    </row>
    <row r="444" spans="6:8" s="119" customFormat="1" x14ac:dyDescent="0.2">
      <c r="F444" s="120"/>
      <c r="H444" s="121"/>
    </row>
    <row r="445" spans="6:8" s="119" customFormat="1" x14ac:dyDescent="0.2">
      <c r="F445" s="120"/>
      <c r="H445" s="121"/>
    </row>
    <row r="446" spans="6:8" s="119" customFormat="1" x14ac:dyDescent="0.2">
      <c r="F446" s="120"/>
      <c r="H446" s="121"/>
    </row>
    <row r="447" spans="6:8" s="119" customFormat="1" x14ac:dyDescent="0.2">
      <c r="F447" s="120"/>
      <c r="H447" s="121"/>
    </row>
    <row r="448" spans="6:8" s="119" customFormat="1" x14ac:dyDescent="0.2">
      <c r="F448" s="120"/>
      <c r="H448" s="121"/>
    </row>
    <row r="449" spans="6:8" s="119" customFormat="1" x14ac:dyDescent="0.2">
      <c r="F449" s="120"/>
      <c r="H449" s="121"/>
    </row>
    <row r="450" spans="6:8" s="119" customFormat="1" x14ac:dyDescent="0.2">
      <c r="F450" s="120"/>
      <c r="H450" s="121"/>
    </row>
    <row r="451" spans="6:8" s="119" customFormat="1" x14ac:dyDescent="0.2">
      <c r="F451" s="120"/>
      <c r="H451" s="121"/>
    </row>
    <row r="452" spans="6:8" s="119" customFormat="1" x14ac:dyDescent="0.2">
      <c r="F452" s="120"/>
      <c r="H452" s="121"/>
    </row>
    <row r="453" spans="6:8" s="119" customFormat="1" x14ac:dyDescent="0.2">
      <c r="F453" s="120"/>
      <c r="H453" s="121"/>
    </row>
    <row r="454" spans="6:8" s="119" customFormat="1" x14ac:dyDescent="0.2">
      <c r="F454" s="120"/>
      <c r="H454" s="121"/>
    </row>
    <row r="455" spans="6:8" s="119" customFormat="1" x14ac:dyDescent="0.2">
      <c r="F455" s="120"/>
      <c r="H455" s="121"/>
    </row>
    <row r="456" spans="6:8" s="119" customFormat="1" x14ac:dyDescent="0.2">
      <c r="F456" s="120"/>
      <c r="H456" s="121"/>
    </row>
    <row r="457" spans="6:8" s="119" customFormat="1" x14ac:dyDescent="0.2">
      <c r="F457" s="120"/>
      <c r="H457" s="121"/>
    </row>
    <row r="458" spans="6:8" s="119" customFormat="1" x14ac:dyDescent="0.2">
      <c r="F458" s="120"/>
      <c r="H458" s="121"/>
    </row>
    <row r="459" spans="6:8" s="119" customFormat="1" x14ac:dyDescent="0.2">
      <c r="F459" s="120"/>
      <c r="H459" s="121"/>
    </row>
    <row r="460" spans="6:8" s="119" customFormat="1" x14ac:dyDescent="0.2">
      <c r="F460" s="120"/>
      <c r="H460" s="121"/>
    </row>
    <row r="461" spans="6:8" s="119" customFormat="1" x14ac:dyDescent="0.2">
      <c r="F461" s="120"/>
      <c r="H461" s="121"/>
    </row>
    <row r="462" spans="6:8" s="119" customFormat="1" x14ac:dyDescent="0.2">
      <c r="F462" s="120"/>
      <c r="H462" s="121"/>
    </row>
    <row r="463" spans="6:8" s="119" customFormat="1" x14ac:dyDescent="0.2">
      <c r="F463" s="120"/>
      <c r="H463" s="121"/>
    </row>
    <row r="464" spans="6:8" s="119" customFormat="1" x14ac:dyDescent="0.2">
      <c r="F464" s="120"/>
      <c r="H464" s="121"/>
    </row>
    <row r="465" spans="6:8" s="119" customFormat="1" x14ac:dyDescent="0.2">
      <c r="F465" s="120"/>
      <c r="H465" s="121"/>
    </row>
    <row r="466" spans="6:8" s="119" customFormat="1" x14ac:dyDescent="0.2">
      <c r="F466" s="120"/>
      <c r="H466" s="121"/>
    </row>
    <row r="467" spans="6:8" s="119" customFormat="1" x14ac:dyDescent="0.2">
      <c r="F467" s="120"/>
      <c r="H467" s="121"/>
    </row>
    <row r="468" spans="6:8" s="119" customFormat="1" x14ac:dyDescent="0.2">
      <c r="F468" s="120"/>
      <c r="H468" s="121"/>
    </row>
    <row r="469" spans="6:8" s="119" customFormat="1" x14ac:dyDescent="0.2">
      <c r="F469" s="120"/>
      <c r="H469" s="121"/>
    </row>
    <row r="470" spans="6:8" s="119" customFormat="1" x14ac:dyDescent="0.2">
      <c r="F470" s="120"/>
      <c r="H470" s="121"/>
    </row>
    <row r="471" spans="6:8" s="119" customFormat="1" x14ac:dyDescent="0.2">
      <c r="F471" s="120"/>
      <c r="H471" s="121"/>
    </row>
    <row r="472" spans="6:8" s="119" customFormat="1" x14ac:dyDescent="0.2">
      <c r="F472" s="120"/>
      <c r="H472" s="121"/>
    </row>
    <row r="473" spans="6:8" s="119" customFormat="1" x14ac:dyDescent="0.2">
      <c r="F473" s="120"/>
      <c r="H473" s="121"/>
    </row>
    <row r="474" spans="6:8" s="119" customFormat="1" x14ac:dyDescent="0.2">
      <c r="F474" s="120"/>
      <c r="H474" s="121"/>
    </row>
    <row r="475" spans="6:8" s="119" customFormat="1" x14ac:dyDescent="0.2">
      <c r="F475" s="120"/>
      <c r="H475" s="121"/>
    </row>
    <row r="476" spans="6:8" s="119" customFormat="1" x14ac:dyDescent="0.2">
      <c r="F476" s="120"/>
      <c r="H476" s="121"/>
    </row>
    <row r="477" spans="6:8" s="119" customFormat="1" x14ac:dyDescent="0.2">
      <c r="F477" s="120"/>
      <c r="H477" s="121"/>
    </row>
    <row r="478" spans="6:8" s="119" customFormat="1" x14ac:dyDescent="0.2">
      <c r="F478" s="120"/>
      <c r="H478" s="121"/>
    </row>
    <row r="479" spans="6:8" s="119" customFormat="1" x14ac:dyDescent="0.2">
      <c r="F479" s="120"/>
      <c r="H479" s="121"/>
    </row>
    <row r="480" spans="6:8" s="119" customFormat="1" x14ac:dyDescent="0.2">
      <c r="F480" s="120"/>
      <c r="H480" s="121"/>
    </row>
    <row r="481" spans="6:8" s="119" customFormat="1" x14ac:dyDescent="0.2">
      <c r="F481" s="120"/>
      <c r="H481" s="121"/>
    </row>
    <row r="482" spans="6:8" s="119" customFormat="1" x14ac:dyDescent="0.2">
      <c r="F482" s="120"/>
      <c r="H482" s="121"/>
    </row>
    <row r="483" spans="6:8" s="119" customFormat="1" x14ac:dyDescent="0.2">
      <c r="F483" s="120"/>
      <c r="H483" s="121"/>
    </row>
    <row r="484" spans="6:8" s="119" customFormat="1" x14ac:dyDescent="0.2">
      <c r="F484" s="120"/>
      <c r="H484" s="121"/>
    </row>
    <row r="485" spans="6:8" s="119" customFormat="1" x14ac:dyDescent="0.2">
      <c r="F485" s="120"/>
      <c r="H485" s="121"/>
    </row>
    <row r="486" spans="6:8" s="119" customFormat="1" x14ac:dyDescent="0.2">
      <c r="F486" s="120"/>
      <c r="H486" s="121"/>
    </row>
    <row r="487" spans="6:8" s="119" customFormat="1" x14ac:dyDescent="0.2">
      <c r="F487" s="120"/>
      <c r="H487" s="121"/>
    </row>
    <row r="488" spans="6:8" s="119" customFormat="1" x14ac:dyDescent="0.2">
      <c r="F488" s="120"/>
      <c r="H488" s="121"/>
    </row>
    <row r="489" spans="6:8" s="119" customFormat="1" x14ac:dyDescent="0.2">
      <c r="F489" s="120"/>
      <c r="H489" s="121"/>
    </row>
    <row r="490" spans="6:8" s="119" customFormat="1" x14ac:dyDescent="0.2">
      <c r="F490" s="120"/>
      <c r="H490" s="121"/>
    </row>
    <row r="491" spans="6:8" s="119" customFormat="1" x14ac:dyDescent="0.2">
      <c r="F491" s="120"/>
      <c r="H491" s="121"/>
    </row>
    <row r="492" spans="6:8" s="119" customFormat="1" x14ac:dyDescent="0.2">
      <c r="F492" s="120"/>
      <c r="H492" s="121"/>
    </row>
    <row r="493" spans="6:8" s="119" customFormat="1" x14ac:dyDescent="0.2">
      <c r="F493" s="120"/>
      <c r="H493" s="121"/>
    </row>
    <row r="494" spans="6:8" s="119" customFormat="1" x14ac:dyDescent="0.2">
      <c r="F494" s="120"/>
      <c r="H494" s="121"/>
    </row>
    <row r="495" spans="6:8" s="119" customFormat="1" x14ac:dyDescent="0.2">
      <c r="F495" s="120"/>
      <c r="H495" s="121"/>
    </row>
    <row r="496" spans="6:8" s="119" customFormat="1" x14ac:dyDescent="0.2">
      <c r="F496" s="120"/>
      <c r="H496" s="121"/>
    </row>
    <row r="497" spans="6:8" s="119" customFormat="1" x14ac:dyDescent="0.2">
      <c r="F497" s="120"/>
      <c r="H497" s="121"/>
    </row>
    <row r="498" spans="6:8" s="119" customFormat="1" x14ac:dyDescent="0.2">
      <c r="F498" s="120"/>
      <c r="H498" s="121"/>
    </row>
    <row r="499" spans="6:8" s="119" customFormat="1" x14ac:dyDescent="0.2">
      <c r="F499" s="120"/>
      <c r="H499" s="121"/>
    </row>
    <row r="500" spans="6:8" s="119" customFormat="1" x14ac:dyDescent="0.2">
      <c r="F500" s="120"/>
      <c r="H500" s="121"/>
    </row>
    <row r="501" spans="6:8" s="119" customFormat="1" x14ac:dyDescent="0.2">
      <c r="F501" s="120"/>
      <c r="H501" s="121"/>
    </row>
    <row r="502" spans="6:8" s="119" customFormat="1" x14ac:dyDescent="0.2">
      <c r="F502" s="120"/>
      <c r="H502" s="121"/>
    </row>
    <row r="503" spans="6:8" s="119" customFormat="1" x14ac:dyDescent="0.2">
      <c r="F503" s="120"/>
      <c r="H503" s="121"/>
    </row>
    <row r="504" spans="6:8" s="119" customFormat="1" x14ac:dyDescent="0.2">
      <c r="F504" s="120"/>
      <c r="H504" s="121"/>
    </row>
    <row r="505" spans="6:8" s="119" customFormat="1" x14ac:dyDescent="0.2">
      <c r="F505" s="120"/>
      <c r="H505" s="121"/>
    </row>
    <row r="506" spans="6:8" s="119" customFormat="1" x14ac:dyDescent="0.2">
      <c r="F506" s="120"/>
      <c r="H506" s="121"/>
    </row>
    <row r="507" spans="6:8" s="119" customFormat="1" x14ac:dyDescent="0.2">
      <c r="F507" s="120"/>
      <c r="H507" s="121"/>
    </row>
    <row r="508" spans="6:8" s="119" customFormat="1" x14ac:dyDescent="0.2">
      <c r="F508" s="120"/>
      <c r="H508" s="121"/>
    </row>
    <row r="509" spans="6:8" s="119" customFormat="1" x14ac:dyDescent="0.2">
      <c r="F509" s="120"/>
      <c r="H509" s="121"/>
    </row>
    <row r="510" spans="6:8" s="119" customFormat="1" x14ac:dyDescent="0.2">
      <c r="F510" s="120"/>
      <c r="H510" s="121"/>
    </row>
    <row r="511" spans="6:8" s="119" customFormat="1" x14ac:dyDescent="0.2">
      <c r="F511" s="120"/>
      <c r="H511" s="121"/>
    </row>
    <row r="512" spans="6:8" s="119" customFormat="1" x14ac:dyDescent="0.2">
      <c r="F512" s="120"/>
      <c r="H512" s="121"/>
    </row>
    <row r="513" spans="6:10" s="119" customFormat="1" x14ac:dyDescent="0.2">
      <c r="F513" s="120"/>
      <c r="H513" s="121"/>
    </row>
    <row r="514" spans="6:10" s="119" customFormat="1" x14ac:dyDescent="0.2">
      <c r="F514" s="120"/>
      <c r="H514" s="121"/>
    </row>
    <row r="515" spans="6:10" s="119" customFormat="1" x14ac:dyDescent="0.2">
      <c r="F515" s="120"/>
      <c r="H515" s="121"/>
    </row>
    <row r="516" spans="6:10" s="119" customFormat="1" x14ac:dyDescent="0.2">
      <c r="F516" s="120"/>
      <c r="H516" s="121"/>
    </row>
    <row r="517" spans="6:10" s="119" customFormat="1" x14ac:dyDescent="0.2">
      <c r="F517" s="120"/>
      <c r="H517" s="121"/>
    </row>
    <row r="518" spans="6:10" s="119" customFormat="1" x14ac:dyDescent="0.2">
      <c r="F518" s="120"/>
      <c r="H518" s="121"/>
    </row>
    <row r="519" spans="6:10" s="119" customFormat="1" x14ac:dyDescent="0.2">
      <c r="F519" s="120"/>
      <c r="H519" s="121"/>
    </row>
    <row r="520" spans="6:10" s="119" customFormat="1" x14ac:dyDescent="0.2">
      <c r="F520" s="120"/>
      <c r="H520" s="121"/>
    </row>
    <row r="521" spans="6:10" s="119" customFormat="1" x14ac:dyDescent="0.2">
      <c r="F521" s="120"/>
      <c r="H521" s="121"/>
    </row>
    <row r="522" spans="6:10" s="119" customFormat="1" x14ac:dyDescent="0.2">
      <c r="F522" s="120"/>
      <c r="H522" s="121"/>
    </row>
    <row r="523" spans="6:10" s="119" customFormat="1" x14ac:dyDescent="0.2">
      <c r="F523" s="120"/>
      <c r="H523" s="121"/>
    </row>
    <row r="524" spans="6:10" s="119" customFormat="1" x14ac:dyDescent="0.2">
      <c r="F524" s="120"/>
      <c r="H524" s="121"/>
    </row>
    <row r="525" spans="6:10" s="119" customFormat="1" ht="17.25" x14ac:dyDescent="0.35">
      <c r="F525" s="120"/>
      <c r="H525" s="121"/>
      <c r="J525" s="122"/>
    </row>
    <row r="526" spans="6:10" s="119" customFormat="1" x14ac:dyDescent="0.2">
      <c r="F526" s="120"/>
      <c r="H526" s="121"/>
    </row>
    <row r="527" spans="6:10" s="119" customFormat="1" x14ac:dyDescent="0.2">
      <c r="F527" s="120"/>
      <c r="H527" s="121"/>
    </row>
    <row r="528" spans="6:10" s="119" customFormat="1" x14ac:dyDescent="0.2">
      <c r="F528" s="120"/>
      <c r="H528" s="121"/>
    </row>
    <row r="529" spans="1:9" s="119" customFormat="1" x14ac:dyDescent="0.2">
      <c r="F529" s="120"/>
      <c r="H529" s="121"/>
    </row>
    <row r="530" spans="1:9" s="119" customFormat="1" x14ac:dyDescent="0.2">
      <c r="F530" s="120"/>
      <c r="H530" s="121"/>
    </row>
    <row r="531" spans="1:9" s="119" customFormat="1" x14ac:dyDescent="0.2">
      <c r="F531" s="120"/>
      <c r="H531" s="121"/>
    </row>
    <row r="532" spans="1:9" s="123" customFormat="1" x14ac:dyDescent="0.2">
      <c r="A532" s="119"/>
      <c r="B532" s="119"/>
      <c r="C532" s="119"/>
      <c r="D532" s="119"/>
      <c r="E532" s="119"/>
      <c r="F532" s="120"/>
      <c r="G532" s="119"/>
      <c r="H532" s="121"/>
      <c r="I532" s="119"/>
    </row>
    <row r="533" spans="1:9" s="119" customFormat="1" x14ac:dyDescent="0.2">
      <c r="F533" s="120"/>
      <c r="H533" s="121"/>
    </row>
    <row r="534" spans="1:9" s="119" customFormat="1" x14ac:dyDescent="0.2">
      <c r="F534" s="120"/>
      <c r="H534" s="121"/>
    </row>
    <row r="535" spans="1:9" s="119" customFormat="1" x14ac:dyDescent="0.2">
      <c r="F535" s="120"/>
      <c r="H535" s="121"/>
    </row>
    <row r="536" spans="1:9" s="119" customFormat="1" x14ac:dyDescent="0.2">
      <c r="F536" s="120"/>
      <c r="H536" s="121"/>
    </row>
    <row r="537" spans="1:9" s="119" customFormat="1" x14ac:dyDescent="0.2">
      <c r="F537" s="120"/>
      <c r="H537" s="121"/>
    </row>
    <row r="538" spans="1:9" s="119" customFormat="1" x14ac:dyDescent="0.2">
      <c r="F538" s="120"/>
      <c r="H538" s="121"/>
    </row>
    <row r="539" spans="1:9" s="119" customFormat="1" x14ac:dyDescent="0.2">
      <c r="F539" s="120"/>
      <c r="H539" s="121"/>
    </row>
    <row r="540" spans="1:9" s="119" customFormat="1" x14ac:dyDescent="0.2">
      <c r="F540" s="120"/>
      <c r="H540" s="121"/>
    </row>
    <row r="541" spans="1:9" s="119" customFormat="1" x14ac:dyDescent="0.2">
      <c r="F541" s="120"/>
      <c r="H541" s="121"/>
    </row>
    <row r="542" spans="1:9" s="119" customFormat="1" x14ac:dyDescent="0.2">
      <c r="F542" s="120"/>
      <c r="H542" s="121"/>
    </row>
    <row r="543" spans="1:9" s="119" customFormat="1" x14ac:dyDescent="0.2">
      <c r="F543" s="120"/>
      <c r="H543" s="121"/>
    </row>
    <row r="544" spans="1:9" s="119" customFormat="1" x14ac:dyDescent="0.2">
      <c r="F544" s="120"/>
      <c r="H544" s="121"/>
    </row>
    <row r="545" spans="6:8" s="119" customFormat="1" x14ac:dyDescent="0.2">
      <c r="F545" s="120"/>
      <c r="H545" s="121"/>
    </row>
    <row r="546" spans="6:8" s="119" customFormat="1" x14ac:dyDescent="0.2">
      <c r="F546" s="120"/>
      <c r="H546" s="121"/>
    </row>
    <row r="547" spans="6:8" s="119" customFormat="1" x14ac:dyDescent="0.2">
      <c r="F547" s="120"/>
      <c r="H547" s="121"/>
    </row>
    <row r="548" spans="6:8" s="119" customFormat="1" x14ac:dyDescent="0.2">
      <c r="F548" s="120"/>
      <c r="H548" s="121"/>
    </row>
    <row r="549" spans="6:8" s="119" customFormat="1" x14ac:dyDescent="0.2">
      <c r="F549" s="120"/>
      <c r="H549" s="121"/>
    </row>
    <row r="550" spans="6:8" s="119" customFormat="1" x14ac:dyDescent="0.2">
      <c r="F550" s="120"/>
      <c r="H550" s="121"/>
    </row>
    <row r="551" spans="6:8" s="119" customFormat="1" x14ac:dyDescent="0.2">
      <c r="F551" s="120"/>
      <c r="H551" s="121"/>
    </row>
    <row r="552" spans="6:8" s="119" customFormat="1" x14ac:dyDescent="0.2">
      <c r="F552" s="120"/>
      <c r="H552" s="121"/>
    </row>
    <row r="553" spans="6:8" s="119" customFormat="1" x14ac:dyDescent="0.2">
      <c r="F553" s="120"/>
      <c r="H553" s="121"/>
    </row>
    <row r="554" spans="6:8" s="119" customFormat="1" x14ac:dyDescent="0.2">
      <c r="F554" s="120"/>
      <c r="H554" s="121"/>
    </row>
    <row r="555" spans="6:8" s="119" customFormat="1" x14ac:dyDescent="0.2">
      <c r="F555" s="120"/>
      <c r="H555" s="121"/>
    </row>
    <row r="556" spans="6:8" s="119" customFormat="1" x14ac:dyDescent="0.2">
      <c r="F556" s="120"/>
      <c r="H556" s="121"/>
    </row>
    <row r="557" spans="6:8" s="119" customFormat="1" x14ac:dyDescent="0.2">
      <c r="F557" s="120"/>
      <c r="H557" s="121"/>
    </row>
    <row r="558" spans="6:8" s="119" customFormat="1" x14ac:dyDescent="0.2">
      <c r="F558" s="120"/>
      <c r="H558" s="121"/>
    </row>
    <row r="559" spans="6:8" s="119" customFormat="1" x14ac:dyDescent="0.2">
      <c r="F559" s="120"/>
      <c r="H559" s="121"/>
    </row>
    <row r="560" spans="6:8" s="119" customFormat="1" x14ac:dyDescent="0.2">
      <c r="F560" s="120"/>
      <c r="H560" s="121"/>
    </row>
    <row r="561" spans="6:8" s="119" customFormat="1" x14ac:dyDescent="0.2">
      <c r="F561" s="120"/>
      <c r="H561" s="121"/>
    </row>
    <row r="562" spans="6:8" s="119" customFormat="1" x14ac:dyDescent="0.2">
      <c r="F562" s="120"/>
      <c r="H562" s="121"/>
    </row>
    <row r="563" spans="6:8" s="119" customFormat="1" x14ac:dyDescent="0.2">
      <c r="F563" s="120"/>
      <c r="H563" s="121"/>
    </row>
    <row r="564" spans="6:8" s="119" customFormat="1" x14ac:dyDescent="0.2">
      <c r="F564" s="120"/>
      <c r="H564" s="121"/>
    </row>
    <row r="565" spans="6:8" s="119" customFormat="1" x14ac:dyDescent="0.2">
      <c r="F565" s="120"/>
      <c r="H565" s="121"/>
    </row>
    <row r="566" spans="6:8" s="119" customFormat="1" x14ac:dyDescent="0.2">
      <c r="F566" s="120"/>
      <c r="H566" s="121"/>
    </row>
    <row r="567" spans="6:8" s="119" customFormat="1" x14ac:dyDescent="0.2">
      <c r="F567" s="120"/>
      <c r="H567" s="121"/>
    </row>
    <row r="568" spans="6:8" s="119" customFormat="1" x14ac:dyDescent="0.2">
      <c r="F568" s="120"/>
      <c r="H568" s="121"/>
    </row>
    <row r="569" spans="6:8" s="119" customFormat="1" x14ac:dyDescent="0.2">
      <c r="F569" s="120"/>
      <c r="H569" s="121"/>
    </row>
    <row r="570" spans="6:8" s="119" customFormat="1" x14ac:dyDescent="0.2">
      <c r="F570" s="120"/>
      <c r="H570" s="121"/>
    </row>
    <row r="571" spans="6:8" s="119" customFormat="1" x14ac:dyDescent="0.2">
      <c r="F571" s="120"/>
      <c r="H571" s="121"/>
    </row>
    <row r="572" spans="6:8" s="119" customFormat="1" x14ac:dyDescent="0.2">
      <c r="F572" s="120"/>
      <c r="H572" s="121"/>
    </row>
    <row r="573" spans="6:8" s="119" customFormat="1" x14ac:dyDescent="0.2">
      <c r="F573" s="120"/>
      <c r="H573" s="121"/>
    </row>
    <row r="574" spans="6:8" s="119" customFormat="1" x14ac:dyDescent="0.2">
      <c r="F574" s="120"/>
      <c r="H574" s="121"/>
    </row>
    <row r="575" spans="6:8" s="119" customFormat="1" x14ac:dyDescent="0.2">
      <c r="F575" s="120"/>
      <c r="H575" s="121"/>
    </row>
    <row r="576" spans="6:8" s="119" customFormat="1" x14ac:dyDescent="0.2">
      <c r="F576" s="120"/>
      <c r="H576" s="121"/>
    </row>
    <row r="577" spans="6:8" s="119" customFormat="1" x14ac:dyDescent="0.2">
      <c r="F577" s="120"/>
      <c r="H577" s="121"/>
    </row>
    <row r="578" spans="6:8" s="119" customFormat="1" x14ac:dyDescent="0.2">
      <c r="F578" s="120"/>
      <c r="H578" s="121"/>
    </row>
    <row r="579" spans="6:8" s="119" customFormat="1" x14ac:dyDescent="0.2">
      <c r="F579" s="120"/>
      <c r="H579" s="121"/>
    </row>
    <row r="580" spans="6:8" s="119" customFormat="1" x14ac:dyDescent="0.2">
      <c r="F580" s="120"/>
      <c r="H580" s="121"/>
    </row>
    <row r="581" spans="6:8" s="119" customFormat="1" x14ac:dyDescent="0.2">
      <c r="F581" s="120"/>
      <c r="H581" s="121"/>
    </row>
    <row r="582" spans="6:8" s="119" customFormat="1" x14ac:dyDescent="0.2">
      <c r="F582" s="120"/>
      <c r="H582" s="121"/>
    </row>
    <row r="583" spans="6:8" s="119" customFormat="1" x14ac:dyDescent="0.2">
      <c r="F583" s="120"/>
      <c r="H583" s="121"/>
    </row>
    <row r="584" spans="6:8" s="119" customFormat="1" x14ac:dyDescent="0.2">
      <c r="F584" s="120"/>
      <c r="H584" s="121"/>
    </row>
    <row r="585" spans="6:8" s="119" customFormat="1" x14ac:dyDescent="0.2">
      <c r="F585" s="120"/>
      <c r="H585" s="121"/>
    </row>
    <row r="586" spans="6:8" s="119" customFormat="1" x14ac:dyDescent="0.2">
      <c r="F586" s="120"/>
      <c r="H586" s="121"/>
    </row>
    <row r="587" spans="6:8" s="119" customFormat="1" x14ac:dyDescent="0.2">
      <c r="F587" s="120"/>
      <c r="H587" s="121"/>
    </row>
    <row r="588" spans="6:8" s="119" customFormat="1" x14ac:dyDescent="0.2">
      <c r="F588" s="120"/>
      <c r="H588" s="121"/>
    </row>
    <row r="589" spans="6:8" s="119" customFormat="1" x14ac:dyDescent="0.2">
      <c r="F589" s="120"/>
      <c r="H589" s="121"/>
    </row>
    <row r="590" spans="6:8" s="119" customFormat="1" x14ac:dyDescent="0.2">
      <c r="F590" s="120"/>
      <c r="H590" s="121"/>
    </row>
    <row r="591" spans="6:8" s="119" customFormat="1" x14ac:dyDescent="0.2">
      <c r="F591" s="120"/>
      <c r="H591" s="121"/>
    </row>
    <row r="592" spans="6:8" s="119" customFormat="1" x14ac:dyDescent="0.2">
      <c r="F592" s="120"/>
      <c r="H592" s="121"/>
    </row>
    <row r="593" spans="6:8" s="119" customFormat="1" x14ac:dyDescent="0.2">
      <c r="F593" s="120"/>
      <c r="H593" s="121"/>
    </row>
    <row r="594" spans="6:8" s="119" customFormat="1" x14ac:dyDescent="0.2">
      <c r="F594" s="120"/>
      <c r="H594" s="121"/>
    </row>
    <row r="595" spans="6:8" s="119" customFormat="1" x14ac:dyDescent="0.2">
      <c r="F595" s="120"/>
      <c r="H595" s="121"/>
    </row>
    <row r="596" spans="6:8" s="119" customFormat="1" x14ac:dyDescent="0.2">
      <c r="F596" s="120"/>
      <c r="H596" s="121"/>
    </row>
    <row r="597" spans="6:8" s="119" customFormat="1" x14ac:dyDescent="0.2">
      <c r="F597" s="120"/>
      <c r="H597" s="121"/>
    </row>
    <row r="598" spans="6:8" s="119" customFormat="1" x14ac:dyDescent="0.2">
      <c r="F598" s="120"/>
      <c r="H598" s="121"/>
    </row>
    <row r="599" spans="6:8" s="119" customFormat="1" x14ac:dyDescent="0.2">
      <c r="F599" s="120"/>
      <c r="H599" s="121"/>
    </row>
    <row r="600" spans="6:8" s="119" customFormat="1" x14ac:dyDescent="0.2">
      <c r="F600" s="120"/>
      <c r="H600" s="121"/>
    </row>
    <row r="601" spans="6:8" s="119" customFormat="1" x14ac:dyDescent="0.2">
      <c r="F601" s="120"/>
      <c r="H601" s="121"/>
    </row>
    <row r="602" spans="6:8" s="119" customFormat="1" x14ac:dyDescent="0.2">
      <c r="F602" s="120"/>
      <c r="H602" s="121"/>
    </row>
    <row r="603" spans="6:8" s="119" customFormat="1" x14ac:dyDescent="0.2">
      <c r="F603" s="120"/>
      <c r="H603" s="121"/>
    </row>
    <row r="604" spans="6:8" s="119" customFormat="1" x14ac:dyDescent="0.2">
      <c r="F604" s="120"/>
      <c r="H604" s="121"/>
    </row>
    <row r="605" spans="6:8" s="119" customFormat="1" x14ac:dyDescent="0.2">
      <c r="F605" s="120"/>
      <c r="H605" s="121"/>
    </row>
    <row r="606" spans="6:8" s="119" customFormat="1" x14ac:dyDescent="0.2">
      <c r="F606" s="120"/>
      <c r="H606" s="121"/>
    </row>
    <row r="607" spans="6:8" s="119" customFormat="1" x14ac:dyDescent="0.2">
      <c r="F607" s="120"/>
      <c r="H607" s="121"/>
    </row>
    <row r="608" spans="6:8" s="119" customFormat="1" x14ac:dyDescent="0.2">
      <c r="F608" s="120"/>
      <c r="H608" s="121"/>
    </row>
    <row r="609" spans="6:8" s="119" customFormat="1" x14ac:dyDescent="0.2">
      <c r="F609" s="120"/>
      <c r="H609" s="121"/>
    </row>
    <row r="610" spans="6:8" s="119" customFormat="1" x14ac:dyDescent="0.2">
      <c r="F610" s="120"/>
      <c r="H610" s="121"/>
    </row>
    <row r="611" spans="6:8" s="119" customFormat="1" x14ac:dyDescent="0.2">
      <c r="F611" s="120"/>
      <c r="H611" s="121"/>
    </row>
    <row r="612" spans="6:8" s="119" customFormat="1" x14ac:dyDescent="0.2">
      <c r="F612" s="120"/>
      <c r="H612" s="121"/>
    </row>
    <row r="613" spans="6:8" s="119" customFormat="1" x14ac:dyDescent="0.2">
      <c r="F613" s="120"/>
      <c r="H613" s="121"/>
    </row>
    <row r="614" spans="6:8" s="119" customFormat="1" x14ac:dyDescent="0.2">
      <c r="F614" s="120"/>
      <c r="H614" s="121"/>
    </row>
    <row r="615" spans="6:8" s="119" customFormat="1" x14ac:dyDescent="0.2">
      <c r="F615" s="120"/>
      <c r="H615" s="121"/>
    </row>
    <row r="616" spans="6:8" s="119" customFormat="1" x14ac:dyDescent="0.2">
      <c r="F616" s="120"/>
      <c r="H616" s="121"/>
    </row>
    <row r="617" spans="6:8" s="119" customFormat="1" x14ac:dyDescent="0.2">
      <c r="F617" s="120"/>
      <c r="H617" s="121"/>
    </row>
    <row r="618" spans="6:8" s="119" customFormat="1" x14ac:dyDescent="0.2">
      <c r="F618" s="120"/>
      <c r="H618" s="121"/>
    </row>
    <row r="619" spans="6:8" s="119" customFormat="1" x14ac:dyDescent="0.2">
      <c r="F619" s="120"/>
      <c r="H619" s="121"/>
    </row>
    <row r="620" spans="6:8" s="119" customFormat="1" x14ac:dyDescent="0.2">
      <c r="F620" s="120"/>
      <c r="H620" s="121"/>
    </row>
    <row r="621" spans="6:8" s="119" customFormat="1" x14ac:dyDescent="0.2">
      <c r="F621" s="120"/>
      <c r="H621" s="121"/>
    </row>
    <row r="622" spans="6:8" s="119" customFormat="1" x14ac:dyDescent="0.2">
      <c r="F622" s="120"/>
      <c r="H622" s="121"/>
    </row>
    <row r="623" spans="6:8" s="119" customFormat="1" x14ac:dyDescent="0.2">
      <c r="F623" s="120"/>
      <c r="H623" s="121"/>
    </row>
    <row r="624" spans="6:8" s="119" customFormat="1" x14ac:dyDescent="0.2">
      <c r="F624" s="120"/>
      <c r="H624" s="121"/>
    </row>
    <row r="625" spans="6:8" s="119" customFormat="1" x14ac:dyDescent="0.2">
      <c r="F625" s="120"/>
      <c r="H625" s="121"/>
    </row>
    <row r="626" spans="6:8" s="119" customFormat="1" x14ac:dyDescent="0.2">
      <c r="F626" s="120"/>
      <c r="H626" s="121"/>
    </row>
    <row r="627" spans="6:8" s="119" customFormat="1" x14ac:dyDescent="0.2">
      <c r="F627" s="120"/>
      <c r="H627" s="121"/>
    </row>
  </sheetData>
  <mergeCells count="3">
    <mergeCell ref="A2:I2"/>
    <mergeCell ref="A4:H4"/>
    <mergeCell ref="A219:H219"/>
  </mergeCells>
  <conditionalFormatting sqref="B197:B204 B1:B186 B247:B1048576 B189:B191 B217:B238">
    <cfRule type="containsText" dxfId="36" priority="10" operator="containsText" text="/ims/">
      <formula>NOT(ISERROR(SEARCH("/ims/",B1)))</formula>
    </cfRule>
  </conditionalFormatting>
  <conditionalFormatting sqref="B195">
    <cfRule type="containsText" dxfId="35" priority="8" operator="containsText" text="ims">
      <formula>NOT(ISERROR(SEARCH("ims",B195)))</formula>
    </cfRule>
  </conditionalFormatting>
  <conditionalFormatting sqref="B239:B246">
    <cfRule type="containsText" dxfId="34" priority="7" operator="containsText" text="/ims/">
      <formula>NOT(ISERROR(SEARCH("/ims/",B239)))</formula>
    </cfRule>
  </conditionalFormatting>
  <conditionalFormatting sqref="B212:B215">
    <cfRule type="containsText" dxfId="33" priority="5" operator="containsText" text="/ims/">
      <formula>NOT(ISERROR(SEARCH("/ims/",B212)))</formula>
    </cfRule>
  </conditionalFormatting>
  <conditionalFormatting sqref="B187:B188">
    <cfRule type="containsText" dxfId="32" priority="1" operator="containsText" text="ims">
      <formula>NOT(ISERROR(SEARCH("ims",B187)))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9" operator="containsText" text="ims" id="{2E555978-0AED-47A1-AF58-020BED2D0CFE}">
            <xm:f>NOT(ISERROR(SEARCH("ims",'\Users\c_kperiy\AppData\Local\Temp\p4v\c_kperiy_qcthydp4p01_1668\components\rel\mcfg.mpss\6.0\mcfg_gen\generic\NA\ATT\[MCFG_SW_Items_List_Macro#32.xlsm]VoLTE'!#REF!)))</xm:f>
            <x14:dxf>
              <font>
                <color rgb="FF9C0006"/>
              </font>
              <fill>
                <patternFill>
                  <bgColor rgb="FFFFC7CE"/>
                </patternFill>
              </fill>
            </x14:dxf>
          </x14:cfRule>
          <xm:sqref>B205:B210</xm:sqref>
        </x14:conditionalFormatting>
        <x14:conditionalFormatting xmlns:xm="http://schemas.microsoft.com/office/excel/2006/main">
          <x14:cfRule type="containsText" priority="4" operator="containsText" text="ims" id="{401E467C-60D2-4D7D-B9BE-B9F229314E15}">
            <xm:f>NOT(ISERROR(SEARCH("ims",'\Users\c_kperiy\AppData\Local\Temp\p4v\c_kperiy_qcthydp4p01_1668\components\rel\mcfg.mpss\6.0\mcfg_gen\generic\NA\ATT\[MCFG_SW_Items_List_Macro#32.xlsm]VoLTE'!#REF!)))</xm:f>
            <x14:dxf>
              <font>
                <color rgb="FF9C0006"/>
              </font>
              <fill>
                <patternFill>
                  <bgColor rgb="FFFFC7CE"/>
                </patternFill>
              </fill>
            </x14:dxf>
          </x14:cfRule>
          <xm:sqref>B211</xm:sqref>
        </x14:conditionalFormatting>
        <x14:conditionalFormatting xmlns:xm="http://schemas.microsoft.com/office/excel/2006/main">
          <x14:cfRule type="containsText" priority="2" operator="containsText" text="ims" id="{C9EA6BB5-7E3E-446B-95BB-DB8CD5E681DD}">
            <xm:f>NOT(ISERROR(SEARCH("ims",'\Users\c_kperiy\AppData\Local\Temp\p4v\c_kperiy_qcthydp4p01_1668\components\rel\mcfg.mpss\6.0\mcfg_gen\generic\NA\ATT\[MCFG_SW_Items_List_Macro#32.xlsm]VoLTE'!#REF!)))</xm:f>
            <x14:dxf>
              <font>
                <color rgb="FF9C0006"/>
              </font>
              <fill>
                <patternFill>
                  <bgColor rgb="FFFFC7CE"/>
                </patternFill>
              </fill>
            </x14:dxf>
          </x14:cfRule>
          <xm:sqref>B216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autoPageBreaks="0"/>
  </sheetPr>
  <dimension ref="A2:K763"/>
  <sheetViews>
    <sheetView topLeftCell="F725" zoomScale="70" zoomScaleNormal="70" workbookViewId="0">
      <selection activeCell="F744" sqref="F744"/>
    </sheetView>
  </sheetViews>
  <sheetFormatPr defaultColWidth="9.140625" defaultRowHeight="12.75" x14ac:dyDescent="0.2"/>
  <cols>
    <col min="1" max="1" width="54.5703125" style="35" bestFit="1" customWidth="1"/>
    <col min="2" max="2" width="63.140625" style="35" bestFit="1" customWidth="1"/>
    <col min="3" max="3" width="17.28515625" style="35" bestFit="1" customWidth="1"/>
    <col min="4" max="4" width="13.85546875" style="35" customWidth="1"/>
    <col min="5" max="5" width="34.85546875" style="35" bestFit="1" customWidth="1"/>
    <col min="6" max="6" width="61.42578125" style="36" customWidth="1"/>
    <col min="7" max="7" width="12.28515625" style="35" customWidth="1"/>
    <col min="8" max="8" width="77" style="37" customWidth="1"/>
    <col min="9" max="9" width="44.28515625" style="35" customWidth="1"/>
    <col min="10" max="10" width="19.28515625" style="35" customWidth="1"/>
    <col min="11" max="11" width="9.140625" style="35"/>
    <col min="12" max="12" width="55.85546875" style="35" bestFit="1" customWidth="1"/>
    <col min="13" max="16384" width="9.140625" style="35"/>
  </cols>
  <sheetData>
    <row r="2" spans="1:9" s="33" customFormat="1" ht="27.75" x14ac:dyDescent="0.55000000000000004">
      <c r="A2" s="300" t="s">
        <v>344</v>
      </c>
      <c r="B2" s="300"/>
      <c r="C2" s="300"/>
      <c r="D2" s="300"/>
      <c r="E2" s="300"/>
      <c r="F2" s="300"/>
      <c r="G2" s="300"/>
      <c r="H2" s="300"/>
      <c r="I2" s="300"/>
    </row>
    <row r="3" spans="1:9" ht="13.5" thickBot="1" x14ac:dyDescent="0.25">
      <c r="A3" s="34"/>
    </row>
    <row r="4" spans="1:9" s="38" customFormat="1" ht="20.25" thickBot="1" x14ac:dyDescent="0.45">
      <c r="A4" s="301" t="s">
        <v>313</v>
      </c>
      <c r="B4" s="302"/>
      <c r="C4" s="302"/>
      <c r="D4" s="302"/>
      <c r="E4" s="302"/>
      <c r="F4" s="302"/>
      <c r="G4" s="302"/>
      <c r="H4" s="303"/>
    </row>
    <row r="5" spans="1:9" s="43" customFormat="1" ht="15.75" thickBot="1" x14ac:dyDescent="0.35">
      <c r="A5" s="39" t="s">
        <v>9</v>
      </c>
      <c r="B5" s="40" t="s">
        <v>8</v>
      </c>
      <c r="C5" s="39" t="s">
        <v>41</v>
      </c>
      <c r="D5" s="39" t="s">
        <v>42</v>
      </c>
      <c r="E5" s="39" t="s">
        <v>10</v>
      </c>
      <c r="F5" s="39" t="s">
        <v>43</v>
      </c>
      <c r="G5" s="41" t="s">
        <v>49</v>
      </c>
      <c r="H5" s="42" t="s">
        <v>11</v>
      </c>
    </row>
    <row r="6" spans="1:9" s="44" customFormat="1" ht="17.25" x14ac:dyDescent="0.35">
      <c r="A6" s="195" t="s">
        <v>14</v>
      </c>
      <c r="B6" s="192">
        <v>71</v>
      </c>
      <c r="C6" s="192"/>
      <c r="D6" s="192"/>
      <c r="E6" s="196" t="s">
        <v>15</v>
      </c>
      <c r="F6" s="192"/>
      <c r="G6" s="192" t="s">
        <v>53</v>
      </c>
      <c r="H6" s="197" t="s">
        <v>7</v>
      </c>
      <c r="I6" s="28"/>
    </row>
    <row r="7" spans="1:9" s="44" customFormat="1" ht="17.25" x14ac:dyDescent="0.35">
      <c r="A7" s="198"/>
      <c r="B7" s="193"/>
      <c r="C7" s="193" t="s">
        <v>45</v>
      </c>
      <c r="D7" s="193">
        <v>13</v>
      </c>
      <c r="E7" s="199" t="s">
        <v>16</v>
      </c>
      <c r="F7" s="193" t="s">
        <v>343</v>
      </c>
      <c r="G7" s="193"/>
      <c r="H7" s="200" t="s">
        <v>100</v>
      </c>
      <c r="I7" s="28"/>
    </row>
    <row r="8" spans="1:9" s="44" customFormat="1" ht="17.25" x14ac:dyDescent="0.35">
      <c r="A8" s="201" t="s">
        <v>568</v>
      </c>
      <c r="B8" s="193">
        <v>452</v>
      </c>
      <c r="C8" s="193" t="s">
        <v>44</v>
      </c>
      <c r="D8" s="193">
        <v>4</v>
      </c>
      <c r="E8" s="202" t="s">
        <v>569</v>
      </c>
      <c r="F8" s="193">
        <v>0</v>
      </c>
      <c r="G8" s="193" t="s">
        <v>53</v>
      </c>
      <c r="H8" s="191"/>
      <c r="I8" s="28"/>
    </row>
    <row r="9" spans="1:9" s="44" customFormat="1" ht="17.25" x14ac:dyDescent="0.35">
      <c r="A9" s="198" t="s">
        <v>101</v>
      </c>
      <c r="B9" s="193">
        <v>553</v>
      </c>
      <c r="C9" s="193" t="s">
        <v>44</v>
      </c>
      <c r="D9" s="193">
        <v>1</v>
      </c>
      <c r="E9" s="199" t="s">
        <v>102</v>
      </c>
      <c r="F9" s="193" t="s">
        <v>27</v>
      </c>
      <c r="G9" s="193" t="s">
        <v>53</v>
      </c>
      <c r="H9" s="200" t="s">
        <v>103</v>
      </c>
      <c r="I9" s="28"/>
    </row>
    <row r="10" spans="1:9" s="44" customFormat="1" ht="17.25" x14ac:dyDescent="0.35">
      <c r="A10" s="198" t="s">
        <v>104</v>
      </c>
      <c r="B10" s="193">
        <v>848</v>
      </c>
      <c r="C10" s="193"/>
      <c r="D10" s="193"/>
      <c r="E10" s="199"/>
      <c r="F10" s="193"/>
      <c r="G10" s="193" t="s">
        <v>72</v>
      </c>
      <c r="H10" s="200"/>
      <c r="I10" s="28"/>
    </row>
    <row r="11" spans="1:9" s="44" customFormat="1" ht="17.25" x14ac:dyDescent="0.35">
      <c r="A11" s="198"/>
      <c r="B11" s="193"/>
      <c r="C11" s="193" t="s">
        <v>44</v>
      </c>
      <c r="D11" s="193">
        <v>1</v>
      </c>
      <c r="E11" s="199" t="s">
        <v>12</v>
      </c>
      <c r="F11" s="193">
        <v>0</v>
      </c>
      <c r="G11" s="193"/>
      <c r="H11" s="200"/>
      <c r="I11" s="28"/>
    </row>
    <row r="12" spans="1:9" s="44" customFormat="1" ht="51.75" x14ac:dyDescent="0.35">
      <c r="A12" s="198"/>
      <c r="B12" s="193"/>
      <c r="C12" s="193" t="s">
        <v>44</v>
      </c>
      <c r="D12" s="193">
        <v>2</v>
      </c>
      <c r="E12" s="199" t="s">
        <v>105</v>
      </c>
      <c r="F12" s="193">
        <v>0</v>
      </c>
      <c r="G12" s="193"/>
      <c r="H12" s="200" t="s">
        <v>258</v>
      </c>
      <c r="I12" s="28"/>
    </row>
    <row r="13" spans="1:9" s="44" customFormat="1" ht="17.25" x14ac:dyDescent="0.35">
      <c r="A13" s="198" t="s">
        <v>106</v>
      </c>
      <c r="B13" s="193">
        <v>849</v>
      </c>
      <c r="C13" s="193"/>
      <c r="D13" s="193"/>
      <c r="E13" s="199"/>
      <c r="F13" s="193"/>
      <c r="G13" s="193" t="s">
        <v>72</v>
      </c>
      <c r="H13" s="200"/>
      <c r="I13" s="28"/>
    </row>
    <row r="14" spans="1:9" ht="17.25" x14ac:dyDescent="0.35">
      <c r="A14" s="198"/>
      <c r="B14" s="193"/>
      <c r="C14" s="193" t="s">
        <v>44</v>
      </c>
      <c r="D14" s="193">
        <v>1</v>
      </c>
      <c r="E14" s="199" t="s">
        <v>12</v>
      </c>
      <c r="F14" s="193">
        <v>0</v>
      </c>
      <c r="G14" s="193"/>
      <c r="H14" s="200"/>
      <c r="I14" s="66"/>
    </row>
    <row r="15" spans="1:9" s="44" customFormat="1" ht="34.5" x14ac:dyDescent="0.35">
      <c r="A15" s="198"/>
      <c r="B15" s="193"/>
      <c r="C15" s="193" t="s">
        <v>44</v>
      </c>
      <c r="D15" s="193">
        <v>2</v>
      </c>
      <c r="E15" s="199" t="s">
        <v>107</v>
      </c>
      <c r="F15" s="193">
        <v>0</v>
      </c>
      <c r="G15" s="193"/>
      <c r="H15" s="200" t="s">
        <v>259</v>
      </c>
      <c r="I15" s="28"/>
    </row>
    <row r="16" spans="1:9" s="44" customFormat="1" ht="17.25" x14ac:dyDescent="0.35">
      <c r="A16" s="198" t="s">
        <v>57</v>
      </c>
      <c r="B16" s="193">
        <v>855</v>
      </c>
      <c r="C16" s="193" t="s">
        <v>44</v>
      </c>
      <c r="D16" s="193">
        <v>2</v>
      </c>
      <c r="E16" s="199" t="s">
        <v>21</v>
      </c>
      <c r="F16" s="193">
        <v>0</v>
      </c>
      <c r="G16" s="193" t="s">
        <v>53</v>
      </c>
      <c r="H16" s="200" t="s">
        <v>215</v>
      </c>
      <c r="I16" s="28"/>
    </row>
    <row r="17" spans="1:9" s="44" customFormat="1" ht="17.25" x14ac:dyDescent="0.35">
      <c r="A17" s="198" t="s">
        <v>230</v>
      </c>
      <c r="B17" s="193">
        <v>562</v>
      </c>
      <c r="C17" s="193" t="s">
        <v>44</v>
      </c>
      <c r="D17" s="193">
        <v>1</v>
      </c>
      <c r="E17" s="199" t="s">
        <v>231</v>
      </c>
      <c r="F17" s="193">
        <v>1</v>
      </c>
      <c r="G17" s="193" t="s">
        <v>53</v>
      </c>
      <c r="H17" s="200" t="s">
        <v>13</v>
      </c>
      <c r="I17" s="28"/>
    </row>
    <row r="18" spans="1:9" s="44" customFormat="1" ht="17.25" x14ac:dyDescent="0.35">
      <c r="A18" s="198" t="s">
        <v>62</v>
      </c>
      <c r="B18" s="193">
        <v>4265</v>
      </c>
      <c r="C18" s="193" t="s">
        <v>44</v>
      </c>
      <c r="D18" s="193">
        <v>1</v>
      </c>
      <c r="E18" s="199" t="s">
        <v>251</v>
      </c>
      <c r="F18" s="193" t="s">
        <v>28</v>
      </c>
      <c r="G18" s="193" t="s">
        <v>53</v>
      </c>
      <c r="H18" s="200"/>
      <c r="I18" s="28"/>
    </row>
    <row r="19" spans="1:9" s="44" customFormat="1" ht="17.25" x14ac:dyDescent="0.35">
      <c r="A19" s="198" t="s">
        <v>58</v>
      </c>
      <c r="B19" s="193">
        <v>880</v>
      </c>
      <c r="C19" s="193" t="s">
        <v>44</v>
      </c>
      <c r="D19" s="193">
        <v>1</v>
      </c>
      <c r="E19" s="199" t="s">
        <v>108</v>
      </c>
      <c r="F19" s="193" t="s">
        <v>4</v>
      </c>
      <c r="G19" s="193" t="s">
        <v>53</v>
      </c>
      <c r="H19" s="200"/>
      <c r="I19" s="28"/>
    </row>
    <row r="20" spans="1:9" s="44" customFormat="1" ht="17.25" x14ac:dyDescent="0.35">
      <c r="A20" s="198" t="s">
        <v>59</v>
      </c>
      <c r="B20" s="193">
        <v>881</v>
      </c>
      <c r="C20" s="193" t="s">
        <v>44</v>
      </c>
      <c r="D20" s="193">
        <v>1</v>
      </c>
      <c r="E20" s="199" t="s">
        <v>109</v>
      </c>
      <c r="F20" s="193" t="s">
        <v>4</v>
      </c>
      <c r="G20" s="193" t="s">
        <v>53</v>
      </c>
      <c r="H20" s="200"/>
      <c r="I20" s="28"/>
    </row>
    <row r="21" spans="1:9" s="44" customFormat="1" ht="17.25" x14ac:dyDescent="0.35">
      <c r="A21" s="198" t="s">
        <v>60</v>
      </c>
      <c r="B21" s="193">
        <v>882</v>
      </c>
      <c r="C21" s="193" t="s">
        <v>44</v>
      </c>
      <c r="D21" s="193">
        <v>1</v>
      </c>
      <c r="E21" s="199" t="s">
        <v>110</v>
      </c>
      <c r="F21" s="193" t="s">
        <v>28</v>
      </c>
      <c r="G21" s="193" t="s">
        <v>53</v>
      </c>
      <c r="H21" s="200"/>
      <c r="I21" s="28"/>
    </row>
    <row r="22" spans="1:9" s="44" customFormat="1" ht="34.5" x14ac:dyDescent="0.35">
      <c r="A22" s="198" t="s">
        <v>111</v>
      </c>
      <c r="B22" s="193">
        <v>896</v>
      </c>
      <c r="C22" s="193" t="s">
        <v>44</v>
      </c>
      <c r="D22" s="193">
        <v>2</v>
      </c>
      <c r="E22" s="199" t="s">
        <v>112</v>
      </c>
      <c r="F22" s="193">
        <v>1</v>
      </c>
      <c r="G22" s="193" t="s">
        <v>53</v>
      </c>
      <c r="H22" s="200" t="s">
        <v>260</v>
      </c>
      <c r="I22" s="28"/>
    </row>
    <row r="23" spans="1:9" s="44" customFormat="1" ht="69" x14ac:dyDescent="0.35">
      <c r="A23" s="198" t="s">
        <v>113</v>
      </c>
      <c r="B23" s="193">
        <v>909</v>
      </c>
      <c r="C23" s="193" t="s">
        <v>44</v>
      </c>
      <c r="D23" s="193">
        <v>1</v>
      </c>
      <c r="E23" s="199" t="s">
        <v>32</v>
      </c>
      <c r="F23" s="193">
        <v>2</v>
      </c>
      <c r="G23" s="193" t="s">
        <v>53</v>
      </c>
      <c r="H23" s="200" t="s">
        <v>114</v>
      </c>
      <c r="I23" s="28"/>
    </row>
    <row r="24" spans="1:9" s="44" customFormat="1" ht="17.25" x14ac:dyDescent="0.35">
      <c r="A24" s="198" t="s">
        <v>115</v>
      </c>
      <c r="B24" s="193">
        <v>911</v>
      </c>
      <c r="C24" s="193" t="s">
        <v>44</v>
      </c>
      <c r="D24" s="193">
        <v>1</v>
      </c>
      <c r="E24" s="199" t="s">
        <v>116</v>
      </c>
      <c r="F24" s="193">
        <v>33</v>
      </c>
      <c r="G24" s="193" t="s">
        <v>53</v>
      </c>
      <c r="H24" s="200" t="s">
        <v>7</v>
      </c>
      <c r="I24" s="28"/>
    </row>
    <row r="25" spans="1:9" s="44" customFormat="1" ht="17.25" x14ac:dyDescent="0.35">
      <c r="A25" s="198" t="s">
        <v>117</v>
      </c>
      <c r="B25" s="193">
        <v>441</v>
      </c>
      <c r="C25" s="193"/>
      <c r="D25" s="193"/>
      <c r="E25" s="199"/>
      <c r="F25" s="193"/>
      <c r="G25" s="193" t="s">
        <v>72</v>
      </c>
      <c r="H25" s="200"/>
      <c r="I25" s="28"/>
    </row>
    <row r="26" spans="1:9" s="44" customFormat="1" ht="17.25" x14ac:dyDescent="0.35">
      <c r="A26" s="198"/>
      <c r="B26" s="193"/>
      <c r="C26" s="193" t="s">
        <v>44</v>
      </c>
      <c r="D26" s="193">
        <v>1</v>
      </c>
      <c r="E26" s="199" t="s">
        <v>12</v>
      </c>
      <c r="F26" s="193">
        <v>0</v>
      </c>
      <c r="G26" s="193"/>
      <c r="H26" s="200"/>
      <c r="I26" s="28"/>
    </row>
    <row r="27" spans="1:9" s="44" customFormat="1" ht="17.25" x14ac:dyDescent="0.35">
      <c r="A27" s="198"/>
      <c r="B27" s="193"/>
      <c r="C27" s="193" t="s">
        <v>44</v>
      </c>
      <c r="D27" s="193">
        <v>2</v>
      </c>
      <c r="E27" s="199" t="s">
        <v>118</v>
      </c>
      <c r="F27" s="193" t="s">
        <v>216</v>
      </c>
      <c r="G27" s="193"/>
      <c r="H27" s="200" t="s">
        <v>7</v>
      </c>
      <c r="I27" s="28"/>
    </row>
    <row r="28" spans="1:9" s="44" customFormat="1" ht="17.25" x14ac:dyDescent="0.35">
      <c r="A28" s="198" t="s">
        <v>119</v>
      </c>
      <c r="B28" s="193">
        <v>946</v>
      </c>
      <c r="C28" s="193"/>
      <c r="D28" s="193"/>
      <c r="E28" s="199"/>
      <c r="F28" s="193"/>
      <c r="G28" s="193" t="s">
        <v>72</v>
      </c>
      <c r="H28" s="200"/>
      <c r="I28" s="28"/>
    </row>
    <row r="29" spans="1:9" s="44" customFormat="1" ht="17.25" x14ac:dyDescent="0.35">
      <c r="A29" s="198"/>
      <c r="B29" s="193"/>
      <c r="C29" s="193" t="s">
        <v>44</v>
      </c>
      <c r="D29" s="193">
        <v>1</v>
      </c>
      <c r="E29" s="199" t="s">
        <v>12</v>
      </c>
      <c r="F29" s="193">
        <v>0</v>
      </c>
      <c r="G29" s="193"/>
      <c r="H29" s="200"/>
      <c r="I29" s="28"/>
    </row>
    <row r="30" spans="1:9" s="44" customFormat="1" ht="17.25" x14ac:dyDescent="0.35">
      <c r="A30" s="198"/>
      <c r="B30" s="193"/>
      <c r="C30" s="193" t="s">
        <v>44</v>
      </c>
      <c r="D30" s="193">
        <v>2</v>
      </c>
      <c r="E30" s="199" t="s">
        <v>120</v>
      </c>
      <c r="F30" s="193" t="s">
        <v>218</v>
      </c>
      <c r="G30" s="193"/>
      <c r="H30" s="200" t="s">
        <v>7</v>
      </c>
      <c r="I30" s="28"/>
    </row>
    <row r="31" spans="1:9" s="44" customFormat="1" ht="17.25" x14ac:dyDescent="0.35">
      <c r="A31" s="198" t="s">
        <v>121</v>
      </c>
      <c r="B31" s="193">
        <v>2954</v>
      </c>
      <c r="C31" s="193"/>
      <c r="D31" s="193"/>
      <c r="E31" s="199"/>
      <c r="F31" s="193"/>
      <c r="G31" s="193" t="s">
        <v>72</v>
      </c>
      <c r="H31" s="200"/>
      <c r="I31" s="28"/>
    </row>
    <row r="32" spans="1:9" s="44" customFormat="1" ht="17.25" x14ac:dyDescent="0.35">
      <c r="A32" s="198"/>
      <c r="B32" s="193"/>
      <c r="C32" s="193" t="s">
        <v>44</v>
      </c>
      <c r="D32" s="193">
        <v>1</v>
      </c>
      <c r="E32" s="199" t="s">
        <v>12</v>
      </c>
      <c r="F32" s="193">
        <v>0</v>
      </c>
      <c r="G32" s="193"/>
      <c r="H32" s="200"/>
      <c r="I32" s="28"/>
    </row>
    <row r="33" spans="1:9" s="44" customFormat="1" ht="17.25" x14ac:dyDescent="0.35">
      <c r="A33" s="198"/>
      <c r="B33" s="193"/>
      <c r="C33" s="193" t="s">
        <v>44</v>
      </c>
      <c r="D33" s="193">
        <v>4</v>
      </c>
      <c r="E33" s="199" t="s">
        <v>122</v>
      </c>
      <c r="F33" s="193" t="s">
        <v>66</v>
      </c>
      <c r="G33" s="193"/>
      <c r="H33" s="200" t="s">
        <v>7</v>
      </c>
      <c r="I33" s="28"/>
    </row>
    <row r="34" spans="1:9" s="44" customFormat="1" ht="51.75" x14ac:dyDescent="0.35">
      <c r="A34" s="198" t="s">
        <v>123</v>
      </c>
      <c r="B34" s="193">
        <v>1016</v>
      </c>
      <c r="C34" s="193" t="s">
        <v>44</v>
      </c>
      <c r="D34" s="193">
        <v>1</v>
      </c>
      <c r="E34" s="199" t="s">
        <v>124</v>
      </c>
      <c r="F34" s="193">
        <v>1</v>
      </c>
      <c r="G34" s="193" t="s">
        <v>53</v>
      </c>
      <c r="H34" s="200" t="s">
        <v>125</v>
      </c>
      <c r="I34" s="28"/>
    </row>
    <row r="35" spans="1:9" s="44" customFormat="1" ht="51.75" x14ac:dyDescent="0.35">
      <c r="A35" s="198" t="s">
        <v>126</v>
      </c>
      <c r="B35" s="193">
        <v>1017</v>
      </c>
      <c r="C35" s="193" t="s">
        <v>44</v>
      </c>
      <c r="D35" s="193">
        <v>1</v>
      </c>
      <c r="E35" s="199" t="s">
        <v>127</v>
      </c>
      <c r="F35" s="193">
        <v>2</v>
      </c>
      <c r="G35" s="193" t="s">
        <v>53</v>
      </c>
      <c r="H35" s="200" t="s">
        <v>128</v>
      </c>
      <c r="I35" s="28"/>
    </row>
    <row r="36" spans="1:9" s="44" customFormat="1" ht="51.75" x14ac:dyDescent="0.35">
      <c r="A36" s="198" t="s">
        <v>129</v>
      </c>
      <c r="B36" s="193">
        <v>1030</v>
      </c>
      <c r="C36" s="193" t="s">
        <v>44</v>
      </c>
      <c r="D36" s="193">
        <v>1</v>
      </c>
      <c r="E36" s="199" t="s">
        <v>130</v>
      </c>
      <c r="F36" s="193" t="s">
        <v>6</v>
      </c>
      <c r="G36" s="193" t="s">
        <v>53</v>
      </c>
      <c r="H36" s="200" t="s">
        <v>261</v>
      </c>
      <c r="I36" s="28"/>
    </row>
    <row r="37" spans="1:9" s="44" customFormat="1" ht="34.5" x14ac:dyDescent="0.35">
      <c r="A37" s="198" t="s">
        <v>132</v>
      </c>
      <c r="B37" s="193">
        <v>1031</v>
      </c>
      <c r="C37" s="193" t="s">
        <v>44</v>
      </c>
      <c r="D37" s="193">
        <v>1</v>
      </c>
      <c r="E37" s="199" t="s">
        <v>133</v>
      </c>
      <c r="F37" s="193" t="s">
        <v>6</v>
      </c>
      <c r="G37" s="193" t="s">
        <v>53</v>
      </c>
      <c r="H37" s="200" t="s">
        <v>131</v>
      </c>
      <c r="I37" s="28"/>
    </row>
    <row r="38" spans="1:9" s="44" customFormat="1" ht="34.5" x14ac:dyDescent="0.35">
      <c r="A38" s="198" t="s">
        <v>134</v>
      </c>
      <c r="B38" s="193">
        <v>1302</v>
      </c>
      <c r="C38" s="193" t="s">
        <v>44</v>
      </c>
      <c r="D38" s="193">
        <v>1</v>
      </c>
      <c r="E38" s="199" t="s">
        <v>135</v>
      </c>
      <c r="F38" s="193">
        <v>1</v>
      </c>
      <c r="G38" s="193" t="s">
        <v>53</v>
      </c>
      <c r="H38" s="200" t="s">
        <v>136</v>
      </c>
      <c r="I38" s="28"/>
    </row>
    <row r="39" spans="1:9" s="44" customFormat="1" ht="17.25" x14ac:dyDescent="0.35">
      <c r="A39" s="206" t="s">
        <v>61</v>
      </c>
      <c r="B39" s="193">
        <v>1896</v>
      </c>
      <c r="C39" s="193" t="s">
        <v>44</v>
      </c>
      <c r="D39" s="193">
        <v>1</v>
      </c>
      <c r="E39" s="207" t="s">
        <v>395</v>
      </c>
      <c r="F39" s="193">
        <v>1</v>
      </c>
      <c r="G39" s="193" t="s">
        <v>53</v>
      </c>
      <c r="H39" s="208"/>
      <c r="I39" s="28"/>
    </row>
    <row r="40" spans="1:9" s="44" customFormat="1" ht="17.25" x14ac:dyDescent="0.35">
      <c r="A40" s="198" t="s">
        <v>17</v>
      </c>
      <c r="B40" s="193">
        <v>1918</v>
      </c>
      <c r="C40" s="193" t="s">
        <v>44</v>
      </c>
      <c r="D40" s="193">
        <v>4</v>
      </c>
      <c r="E40" s="199" t="s">
        <v>18</v>
      </c>
      <c r="F40" s="193">
        <v>64</v>
      </c>
      <c r="G40" s="193" t="s">
        <v>53</v>
      </c>
      <c r="H40" s="200"/>
      <c r="I40" s="28"/>
    </row>
    <row r="41" spans="1:9" s="44" customFormat="1" ht="51.75" x14ac:dyDescent="0.35">
      <c r="A41" s="206" t="s">
        <v>19</v>
      </c>
      <c r="B41" s="193">
        <v>1920</v>
      </c>
      <c r="C41" s="193" t="s">
        <v>44</v>
      </c>
      <c r="D41" s="193">
        <v>4</v>
      </c>
      <c r="E41" s="207" t="s">
        <v>20</v>
      </c>
      <c r="F41" s="193" t="s">
        <v>396</v>
      </c>
      <c r="G41" s="193" t="s">
        <v>53</v>
      </c>
      <c r="H41" s="208" t="s">
        <v>137</v>
      </c>
      <c r="I41" s="28"/>
    </row>
    <row r="42" spans="1:9" s="44" customFormat="1" ht="51.75" x14ac:dyDescent="0.35">
      <c r="A42" s="198" t="s">
        <v>138</v>
      </c>
      <c r="B42" s="193">
        <v>2508</v>
      </c>
      <c r="C42" s="193" t="s">
        <v>44</v>
      </c>
      <c r="D42" s="193">
        <v>1</v>
      </c>
      <c r="E42" s="199" t="s">
        <v>139</v>
      </c>
      <c r="F42" s="193">
        <v>1</v>
      </c>
      <c r="G42" s="193" t="s">
        <v>53</v>
      </c>
      <c r="H42" s="200" t="s">
        <v>217</v>
      </c>
      <c r="I42" s="28"/>
    </row>
    <row r="43" spans="1:9" s="44" customFormat="1" ht="17.25" x14ac:dyDescent="0.35">
      <c r="A43" s="198" t="s">
        <v>140</v>
      </c>
      <c r="B43" s="193">
        <v>2509</v>
      </c>
      <c r="C43" s="193" t="s">
        <v>44</v>
      </c>
      <c r="D43" s="193">
        <v>1</v>
      </c>
      <c r="E43" s="199" t="s">
        <v>141</v>
      </c>
      <c r="F43" s="193">
        <v>33</v>
      </c>
      <c r="G43" s="193" t="s">
        <v>53</v>
      </c>
      <c r="H43" s="200"/>
      <c r="I43" s="28"/>
    </row>
    <row r="44" spans="1:9" s="44" customFormat="1" ht="17.25" x14ac:dyDescent="0.35">
      <c r="A44" s="198" t="s">
        <v>142</v>
      </c>
      <c r="B44" s="193">
        <v>3630</v>
      </c>
      <c r="C44" s="193" t="s">
        <v>44</v>
      </c>
      <c r="D44" s="193">
        <v>1</v>
      </c>
      <c r="E44" s="199" t="s">
        <v>143</v>
      </c>
      <c r="F44" s="193">
        <v>1</v>
      </c>
      <c r="G44" s="193" t="s">
        <v>53</v>
      </c>
      <c r="H44" s="200" t="s">
        <v>144</v>
      </c>
      <c r="I44" s="28"/>
    </row>
    <row r="45" spans="1:9" s="44" customFormat="1" ht="34.5" x14ac:dyDescent="0.35">
      <c r="A45" s="198" t="s">
        <v>145</v>
      </c>
      <c r="B45" s="193">
        <v>2512</v>
      </c>
      <c r="C45" s="193" t="s">
        <v>44</v>
      </c>
      <c r="D45" s="193">
        <v>1</v>
      </c>
      <c r="E45" s="199" t="s">
        <v>146</v>
      </c>
      <c r="F45" s="193">
        <v>1</v>
      </c>
      <c r="G45" s="193" t="s">
        <v>53</v>
      </c>
      <c r="H45" s="200" t="s">
        <v>147</v>
      </c>
      <c r="I45" s="28"/>
    </row>
    <row r="46" spans="1:9" s="44" customFormat="1" ht="17.25" x14ac:dyDescent="0.35">
      <c r="A46" s="198" t="s">
        <v>148</v>
      </c>
      <c r="B46" s="193">
        <v>3006</v>
      </c>
      <c r="C46" s="193" t="s">
        <v>44</v>
      </c>
      <c r="D46" s="193">
        <v>2</v>
      </c>
      <c r="E46" s="199" t="s">
        <v>149</v>
      </c>
      <c r="F46" s="193">
        <v>255</v>
      </c>
      <c r="G46" s="193" t="s">
        <v>53</v>
      </c>
      <c r="H46" s="200"/>
      <c r="I46" s="28"/>
    </row>
    <row r="47" spans="1:9" s="44" customFormat="1" ht="17.25" x14ac:dyDescent="0.35">
      <c r="A47" s="198" t="s">
        <v>22</v>
      </c>
      <c r="B47" s="193">
        <v>3532</v>
      </c>
      <c r="C47" s="193" t="s">
        <v>44</v>
      </c>
      <c r="D47" s="193">
        <v>1</v>
      </c>
      <c r="E47" s="199" t="s">
        <v>23</v>
      </c>
      <c r="F47" s="193">
        <v>180</v>
      </c>
      <c r="G47" s="193" t="s">
        <v>53</v>
      </c>
      <c r="H47" s="200" t="s">
        <v>7</v>
      </c>
      <c r="I47" s="28"/>
    </row>
    <row r="48" spans="1:9" s="44" customFormat="1" ht="17.25" x14ac:dyDescent="0.35">
      <c r="A48" s="198" t="s">
        <v>24</v>
      </c>
      <c r="B48" s="193">
        <v>3533</v>
      </c>
      <c r="C48" s="193" t="s">
        <v>44</v>
      </c>
      <c r="D48" s="193">
        <v>1</v>
      </c>
      <c r="E48" s="199" t="s">
        <v>25</v>
      </c>
      <c r="F48" s="193">
        <v>45</v>
      </c>
      <c r="G48" s="193" t="s">
        <v>53</v>
      </c>
      <c r="H48" s="200" t="s">
        <v>7</v>
      </c>
      <c r="I48" s="28"/>
    </row>
    <row r="49" spans="1:9" s="44" customFormat="1" ht="17.25" x14ac:dyDescent="0.35">
      <c r="A49" s="198" t="s">
        <v>150</v>
      </c>
      <c r="B49" s="193">
        <v>3461</v>
      </c>
      <c r="C49" s="193" t="s">
        <v>44</v>
      </c>
      <c r="D49" s="193">
        <v>1</v>
      </c>
      <c r="E49" s="199" t="s">
        <v>151</v>
      </c>
      <c r="F49" s="193">
        <v>1</v>
      </c>
      <c r="G49" s="193" t="s">
        <v>53</v>
      </c>
      <c r="H49" s="200"/>
      <c r="I49" s="28"/>
    </row>
    <row r="50" spans="1:9" s="44" customFormat="1" ht="17.25" x14ac:dyDescent="0.35">
      <c r="A50" s="198" t="s">
        <v>152</v>
      </c>
      <c r="B50" s="193">
        <v>3628</v>
      </c>
      <c r="C50" s="193" t="s">
        <v>44</v>
      </c>
      <c r="D50" s="193">
        <v>1</v>
      </c>
      <c r="E50" s="199" t="s">
        <v>153</v>
      </c>
      <c r="F50" s="193">
        <v>0</v>
      </c>
      <c r="G50" s="193" t="s">
        <v>53</v>
      </c>
      <c r="H50" s="200" t="s">
        <v>154</v>
      </c>
      <c r="I50" s="28"/>
    </row>
    <row r="51" spans="1:9" s="44" customFormat="1" ht="34.5" x14ac:dyDescent="0.35">
      <c r="A51" s="198" t="s">
        <v>155</v>
      </c>
      <c r="B51" s="193">
        <v>3629</v>
      </c>
      <c r="C51" s="193" t="s">
        <v>44</v>
      </c>
      <c r="D51" s="193">
        <v>1</v>
      </c>
      <c r="E51" s="199" t="s">
        <v>156</v>
      </c>
      <c r="F51" s="193">
        <v>3</v>
      </c>
      <c r="G51" s="193" t="s">
        <v>53</v>
      </c>
      <c r="H51" s="200" t="s">
        <v>157</v>
      </c>
      <c r="I51" s="28"/>
    </row>
    <row r="52" spans="1:9" s="44" customFormat="1" ht="17.25" x14ac:dyDescent="0.35">
      <c r="A52" s="201" t="s">
        <v>570</v>
      </c>
      <c r="B52" s="193">
        <v>3758</v>
      </c>
      <c r="C52" s="193" t="s">
        <v>44</v>
      </c>
      <c r="D52" s="193">
        <v>1</v>
      </c>
      <c r="E52" s="202" t="s">
        <v>571</v>
      </c>
      <c r="F52" s="193">
        <v>1</v>
      </c>
      <c r="G52" s="193" t="s">
        <v>53</v>
      </c>
      <c r="H52" s="191"/>
      <c r="I52" s="28"/>
    </row>
    <row r="53" spans="1:9" s="44" customFormat="1" ht="17.25" x14ac:dyDescent="0.35">
      <c r="A53" s="198" t="s">
        <v>158</v>
      </c>
      <c r="B53" s="193">
        <v>3851</v>
      </c>
      <c r="C53" s="193" t="s">
        <v>44</v>
      </c>
      <c r="D53" s="193">
        <v>1</v>
      </c>
      <c r="E53" s="199" t="s">
        <v>159</v>
      </c>
      <c r="F53" s="193">
        <v>3</v>
      </c>
      <c r="G53" s="193" t="s">
        <v>53</v>
      </c>
      <c r="H53" s="200" t="s">
        <v>160</v>
      </c>
      <c r="I53" s="28"/>
    </row>
    <row r="54" spans="1:9" s="44" customFormat="1" ht="51.75" x14ac:dyDescent="0.35">
      <c r="A54" s="198" t="s">
        <v>161</v>
      </c>
      <c r="B54" s="193">
        <v>4117</v>
      </c>
      <c r="C54" s="193" t="s">
        <v>44</v>
      </c>
      <c r="D54" s="193">
        <v>1</v>
      </c>
      <c r="E54" s="199" t="s">
        <v>162</v>
      </c>
      <c r="F54" s="193">
        <v>1</v>
      </c>
      <c r="G54" s="193" t="s">
        <v>53</v>
      </c>
      <c r="H54" s="200" t="s">
        <v>163</v>
      </c>
      <c r="I54" s="28"/>
    </row>
    <row r="55" spans="1:9" s="44" customFormat="1" ht="34.5" x14ac:dyDescent="0.35">
      <c r="A55" s="198" t="s">
        <v>164</v>
      </c>
      <c r="B55" s="193">
        <v>4118</v>
      </c>
      <c r="C55" s="193" t="s">
        <v>44</v>
      </c>
      <c r="D55" s="193">
        <v>1</v>
      </c>
      <c r="E55" s="199" t="s">
        <v>165</v>
      </c>
      <c r="F55" s="193">
        <v>14</v>
      </c>
      <c r="G55" s="193" t="s">
        <v>53</v>
      </c>
      <c r="H55" s="200" t="s">
        <v>166</v>
      </c>
      <c r="I55" s="28"/>
    </row>
    <row r="56" spans="1:9" s="44" customFormat="1" ht="17.25" x14ac:dyDescent="0.35">
      <c r="A56" s="198" t="s">
        <v>167</v>
      </c>
      <c r="B56" s="193">
        <v>4209</v>
      </c>
      <c r="C56" s="193" t="s">
        <v>44</v>
      </c>
      <c r="D56" s="193">
        <v>1</v>
      </c>
      <c r="E56" s="199" t="s">
        <v>168</v>
      </c>
      <c r="F56" s="193">
        <v>0</v>
      </c>
      <c r="G56" s="193" t="s">
        <v>53</v>
      </c>
      <c r="H56" s="200" t="s">
        <v>169</v>
      </c>
      <c r="I56" s="28"/>
    </row>
    <row r="57" spans="1:9" s="44" customFormat="1" ht="17.25" x14ac:dyDescent="0.35">
      <c r="A57" s="198" t="s">
        <v>170</v>
      </c>
      <c r="B57" s="193">
        <v>4261</v>
      </c>
      <c r="C57" s="193" t="s">
        <v>44</v>
      </c>
      <c r="D57" s="193">
        <v>1</v>
      </c>
      <c r="E57" s="199"/>
      <c r="F57" s="193">
        <v>1</v>
      </c>
      <c r="G57" s="193" t="s">
        <v>53</v>
      </c>
      <c r="H57" s="200" t="s">
        <v>171</v>
      </c>
      <c r="I57" s="28"/>
    </row>
    <row r="58" spans="1:9" ht="17.25" x14ac:dyDescent="0.35">
      <c r="A58" s="201" t="s">
        <v>566</v>
      </c>
      <c r="B58" s="193">
        <v>4703</v>
      </c>
      <c r="C58" s="193" t="s">
        <v>45</v>
      </c>
      <c r="D58" s="193">
        <v>128</v>
      </c>
      <c r="E58" s="202" t="s">
        <v>567</v>
      </c>
      <c r="F58" s="193">
        <v>0</v>
      </c>
      <c r="G58" s="193" t="s">
        <v>53</v>
      </c>
      <c r="H58" s="191"/>
      <c r="I58" s="66"/>
    </row>
    <row r="59" spans="1:9" s="44" customFormat="1" ht="69" x14ac:dyDescent="0.35">
      <c r="A59" s="209" t="s">
        <v>277</v>
      </c>
      <c r="B59" s="193">
        <v>4722</v>
      </c>
      <c r="C59" s="193" t="s">
        <v>44</v>
      </c>
      <c r="D59" s="193">
        <v>1</v>
      </c>
      <c r="E59" s="210" t="s">
        <v>278</v>
      </c>
      <c r="F59" s="193">
        <v>3</v>
      </c>
      <c r="G59" s="193" t="s">
        <v>53</v>
      </c>
      <c r="H59" s="211" t="s">
        <v>438</v>
      </c>
      <c r="I59" s="28"/>
    </row>
    <row r="60" spans="1:9" s="44" customFormat="1" ht="17.25" x14ac:dyDescent="0.35">
      <c r="A60" s="198" t="s">
        <v>172</v>
      </c>
      <c r="B60" s="193">
        <v>5090</v>
      </c>
      <c r="C60" s="193" t="s">
        <v>44</v>
      </c>
      <c r="D60" s="193">
        <v>1</v>
      </c>
      <c r="E60" s="199" t="s">
        <v>173</v>
      </c>
      <c r="F60" s="193">
        <v>1</v>
      </c>
      <c r="G60" s="193" t="s">
        <v>53</v>
      </c>
      <c r="H60" s="200" t="s">
        <v>174</v>
      </c>
      <c r="I60" s="28"/>
    </row>
    <row r="61" spans="1:9" s="44" customFormat="1" ht="17.25" x14ac:dyDescent="0.35">
      <c r="A61" s="201" t="s">
        <v>572</v>
      </c>
      <c r="B61" s="193">
        <v>6789</v>
      </c>
      <c r="C61" s="193" t="s">
        <v>44</v>
      </c>
      <c r="D61" s="193">
        <v>1</v>
      </c>
      <c r="E61" s="202" t="s">
        <v>573</v>
      </c>
      <c r="F61" s="193" t="s">
        <v>579</v>
      </c>
      <c r="G61" s="193" t="s">
        <v>53</v>
      </c>
      <c r="H61" s="191"/>
      <c r="I61" s="28" t="s">
        <v>7</v>
      </c>
    </row>
    <row r="62" spans="1:9" s="44" customFormat="1" ht="34.5" x14ac:dyDescent="0.35">
      <c r="A62" s="201" t="s">
        <v>574</v>
      </c>
      <c r="B62" s="193">
        <v>6790</v>
      </c>
      <c r="C62" s="193" t="s">
        <v>44</v>
      </c>
      <c r="D62" s="193">
        <v>2</v>
      </c>
      <c r="E62" s="202" t="s">
        <v>575</v>
      </c>
      <c r="F62" s="193">
        <v>0</v>
      </c>
      <c r="G62" s="193" t="s">
        <v>53</v>
      </c>
      <c r="H62" s="191"/>
      <c r="I62" s="28"/>
    </row>
    <row r="63" spans="1:9" s="44" customFormat="1" ht="409.5" x14ac:dyDescent="0.35">
      <c r="A63" s="198" t="s">
        <v>177</v>
      </c>
      <c r="B63" s="193">
        <v>6844</v>
      </c>
      <c r="C63" s="193" t="s">
        <v>220</v>
      </c>
      <c r="D63" s="193">
        <v>1</v>
      </c>
      <c r="E63" s="199" t="s">
        <v>219</v>
      </c>
      <c r="F63" s="193" t="s">
        <v>239</v>
      </c>
      <c r="G63" s="193" t="s">
        <v>53</v>
      </c>
      <c r="H63" s="200" t="s">
        <v>228</v>
      </c>
      <c r="I63" s="28"/>
    </row>
    <row r="64" spans="1:9" ht="51.75" x14ac:dyDescent="0.35">
      <c r="A64" s="198" t="s">
        <v>26</v>
      </c>
      <c r="B64" s="193">
        <v>5280</v>
      </c>
      <c r="C64" s="193" t="s">
        <v>44</v>
      </c>
      <c r="D64" s="193">
        <v>8</v>
      </c>
      <c r="E64" s="199" t="s">
        <v>175</v>
      </c>
      <c r="F64" s="193">
        <v>2</v>
      </c>
      <c r="G64" s="193" t="s">
        <v>53</v>
      </c>
      <c r="H64" s="200" t="s">
        <v>176</v>
      </c>
      <c r="I64" s="66"/>
    </row>
    <row r="65" spans="1:9" s="44" customFormat="1" ht="17.25" x14ac:dyDescent="0.35">
      <c r="A65" s="198" t="s">
        <v>244</v>
      </c>
      <c r="B65" s="193">
        <v>6850</v>
      </c>
      <c r="C65" s="193" t="s">
        <v>44</v>
      </c>
      <c r="D65" s="193">
        <v>1</v>
      </c>
      <c r="E65" s="199"/>
      <c r="F65" s="193" t="s">
        <v>54</v>
      </c>
      <c r="G65" s="193" t="s">
        <v>53</v>
      </c>
      <c r="H65" s="200"/>
      <c r="I65" s="28"/>
    </row>
    <row r="66" spans="1:9" s="44" customFormat="1" ht="17.25" x14ac:dyDescent="0.35">
      <c r="A66" s="198" t="s">
        <v>252</v>
      </c>
      <c r="B66" s="193">
        <v>6830</v>
      </c>
      <c r="C66" s="193" t="s">
        <v>44</v>
      </c>
      <c r="D66" s="193">
        <v>1</v>
      </c>
      <c r="E66" s="199"/>
      <c r="F66" s="193">
        <v>10</v>
      </c>
      <c r="G66" s="193" t="s">
        <v>53</v>
      </c>
      <c r="H66" s="200"/>
      <c r="I66" s="28"/>
    </row>
    <row r="67" spans="1:9" ht="17.25" x14ac:dyDescent="0.35">
      <c r="A67" s="198" t="s">
        <v>253</v>
      </c>
      <c r="B67" s="193">
        <v>6831</v>
      </c>
      <c r="C67" s="193" t="s">
        <v>44</v>
      </c>
      <c r="D67" s="193">
        <v>1</v>
      </c>
      <c r="E67" s="199"/>
      <c r="F67" s="193">
        <v>10</v>
      </c>
      <c r="G67" s="193" t="s">
        <v>53</v>
      </c>
      <c r="H67" s="200"/>
      <c r="I67" s="66"/>
    </row>
    <row r="68" spans="1:9" ht="17.25" x14ac:dyDescent="0.35">
      <c r="A68" s="198" t="s">
        <v>232</v>
      </c>
      <c r="B68" s="193">
        <v>4230</v>
      </c>
      <c r="C68" s="193" t="s">
        <v>44</v>
      </c>
      <c r="D68" s="193">
        <v>2</v>
      </c>
      <c r="E68" s="199" t="s">
        <v>266</v>
      </c>
      <c r="F68" s="193">
        <v>0</v>
      </c>
      <c r="G68" s="193" t="s">
        <v>53</v>
      </c>
      <c r="H68" s="200"/>
      <c r="I68" s="66"/>
    </row>
    <row r="69" spans="1:9" s="44" customFormat="1" ht="17.25" x14ac:dyDescent="0.35">
      <c r="A69" s="198"/>
      <c r="B69" s="193"/>
      <c r="C69" s="193"/>
      <c r="D69" s="193"/>
      <c r="E69" s="199"/>
      <c r="F69" s="193"/>
      <c r="G69" s="193"/>
      <c r="H69" s="200"/>
      <c r="I69" s="28"/>
    </row>
    <row r="70" spans="1:9" s="44" customFormat="1" ht="17.25" x14ac:dyDescent="0.35">
      <c r="A70" s="198" t="s">
        <v>29</v>
      </c>
      <c r="B70" s="193">
        <v>10</v>
      </c>
      <c r="C70" s="193"/>
      <c r="D70" s="193"/>
      <c r="E70" s="199" t="s">
        <v>30</v>
      </c>
      <c r="F70" s="193"/>
      <c r="G70" s="193" t="s">
        <v>72</v>
      </c>
      <c r="H70" s="200" t="s">
        <v>7</v>
      </c>
      <c r="I70" s="28"/>
    </row>
    <row r="71" spans="1:9" s="44" customFormat="1" ht="17.25" x14ac:dyDescent="0.35">
      <c r="A71" s="198"/>
      <c r="B71" s="193"/>
      <c r="C71" s="193" t="s">
        <v>44</v>
      </c>
      <c r="D71" s="193">
        <v>1</v>
      </c>
      <c r="E71" s="199" t="s">
        <v>12</v>
      </c>
      <c r="F71" s="193">
        <v>0</v>
      </c>
      <c r="G71" s="193"/>
      <c r="H71" s="200"/>
      <c r="I71" s="28"/>
    </row>
    <row r="72" spans="1:9" s="44" customFormat="1" ht="17.25" x14ac:dyDescent="0.35">
      <c r="A72" s="198"/>
      <c r="B72" s="193"/>
      <c r="C72" s="193" t="s">
        <v>44</v>
      </c>
      <c r="D72" s="193">
        <v>2</v>
      </c>
      <c r="E72" s="199" t="s">
        <v>31</v>
      </c>
      <c r="F72" s="193">
        <v>4</v>
      </c>
      <c r="G72" s="193"/>
      <c r="H72" s="200" t="s">
        <v>7</v>
      </c>
      <c r="I72" s="28"/>
    </row>
    <row r="73" spans="1:9" s="44" customFormat="1" ht="17.25" x14ac:dyDescent="0.35">
      <c r="A73" s="198" t="s">
        <v>29</v>
      </c>
      <c r="B73" s="193">
        <v>10</v>
      </c>
      <c r="C73" s="193"/>
      <c r="D73" s="193"/>
      <c r="E73" s="199" t="s">
        <v>30</v>
      </c>
      <c r="F73" s="193"/>
      <c r="G73" s="193" t="s">
        <v>635</v>
      </c>
      <c r="H73" s="200" t="s">
        <v>7</v>
      </c>
      <c r="I73" s="28"/>
    </row>
    <row r="74" spans="1:9" s="44" customFormat="1" ht="17.25" x14ac:dyDescent="0.35">
      <c r="A74" s="203"/>
      <c r="B74" s="193" t="s">
        <v>1305</v>
      </c>
      <c r="C74" s="193" t="s">
        <v>44</v>
      </c>
      <c r="D74" s="193">
        <v>1</v>
      </c>
      <c r="E74" s="204"/>
      <c r="F74" s="193" t="s">
        <v>636</v>
      </c>
      <c r="G74" s="193"/>
      <c r="H74" s="205"/>
      <c r="I74" s="28"/>
    </row>
    <row r="75" spans="1:9" s="44" customFormat="1" ht="17.25" x14ac:dyDescent="0.35">
      <c r="A75" s="198"/>
      <c r="B75" s="193"/>
      <c r="C75" s="193" t="s">
        <v>44</v>
      </c>
      <c r="D75" s="193">
        <v>1</v>
      </c>
      <c r="E75" s="199" t="s">
        <v>12</v>
      </c>
      <c r="F75" s="193">
        <v>0</v>
      </c>
      <c r="G75" s="193"/>
      <c r="H75" s="200"/>
      <c r="I75" s="28"/>
    </row>
    <row r="76" spans="1:9" s="44" customFormat="1" ht="17.25" x14ac:dyDescent="0.35">
      <c r="A76" s="198"/>
      <c r="B76" s="193"/>
      <c r="C76" s="193" t="s">
        <v>44</v>
      </c>
      <c r="D76" s="193">
        <v>2</v>
      </c>
      <c r="E76" s="199" t="s">
        <v>31</v>
      </c>
      <c r="F76" s="193">
        <v>13</v>
      </c>
      <c r="G76" s="193"/>
      <c r="H76" s="200" t="s">
        <v>7</v>
      </c>
      <c r="I76" s="28"/>
    </row>
    <row r="77" spans="1:9" s="44" customFormat="1" ht="34.5" x14ac:dyDescent="0.35">
      <c r="A77" s="217" t="s">
        <v>178</v>
      </c>
      <c r="B77" s="218">
        <v>5080</v>
      </c>
      <c r="C77" s="218" t="s">
        <v>7</v>
      </c>
      <c r="D77" s="218" t="s">
        <v>7</v>
      </c>
      <c r="E77" s="199"/>
      <c r="F77" s="218" t="s">
        <v>7</v>
      </c>
      <c r="G77" s="218" t="s">
        <v>7</v>
      </c>
      <c r="H77" s="215" t="s">
        <v>227</v>
      </c>
      <c r="I77" s="28"/>
    </row>
    <row r="78" spans="1:9" s="44" customFormat="1" ht="17.25" x14ac:dyDescent="0.35">
      <c r="A78" s="203" t="s">
        <v>561</v>
      </c>
      <c r="B78" s="193">
        <v>6792</v>
      </c>
      <c r="C78" s="193" t="s">
        <v>44</v>
      </c>
      <c r="D78" s="193">
        <v>4</v>
      </c>
      <c r="E78" s="204" t="s">
        <v>562</v>
      </c>
      <c r="F78" s="219" t="s">
        <v>563</v>
      </c>
      <c r="G78" s="218" t="s">
        <v>53</v>
      </c>
      <c r="H78" s="216"/>
      <c r="I78" s="28"/>
    </row>
    <row r="79" spans="1:9" s="44" customFormat="1" ht="18" thickBot="1" x14ac:dyDescent="0.4">
      <c r="A79" s="212"/>
      <c r="B79" s="194"/>
      <c r="C79" s="194"/>
      <c r="D79" s="194"/>
      <c r="E79" s="213"/>
      <c r="F79" s="194"/>
      <c r="G79" s="194"/>
      <c r="H79" s="214"/>
      <c r="I79" s="28"/>
    </row>
    <row r="80" spans="1:9" s="44" customFormat="1" ht="15.75" thickBot="1" x14ac:dyDescent="0.35">
      <c r="A80" s="67"/>
      <c r="B80" s="68"/>
      <c r="C80" s="69"/>
      <c r="D80" s="69"/>
      <c r="E80" s="69"/>
      <c r="F80" s="70"/>
      <c r="G80" s="69"/>
      <c r="H80" s="71"/>
      <c r="I80" s="28"/>
    </row>
    <row r="81" spans="1:9" s="44" customFormat="1" ht="20.25" thickBot="1" x14ac:dyDescent="0.45">
      <c r="A81" s="72" t="s">
        <v>48</v>
      </c>
      <c r="B81" s="73"/>
      <c r="C81" s="74"/>
      <c r="D81" s="74"/>
      <c r="E81" s="74"/>
      <c r="F81" s="74"/>
      <c r="G81" s="74"/>
      <c r="H81" s="75"/>
      <c r="I81" s="76"/>
    </row>
    <row r="82" spans="1:9" s="44" customFormat="1" ht="15.75" thickBot="1" x14ac:dyDescent="0.35">
      <c r="A82" s="220" t="s">
        <v>33</v>
      </c>
      <c r="B82" s="220" t="s">
        <v>34</v>
      </c>
      <c r="C82" s="220" t="s">
        <v>41</v>
      </c>
      <c r="D82" s="220" t="s">
        <v>51</v>
      </c>
      <c r="E82" s="220" t="s">
        <v>50</v>
      </c>
      <c r="F82" s="220" t="s">
        <v>43</v>
      </c>
      <c r="G82" s="220" t="s">
        <v>49</v>
      </c>
      <c r="H82" s="221" t="s">
        <v>55</v>
      </c>
      <c r="I82" s="77" t="s">
        <v>35</v>
      </c>
    </row>
    <row r="83" spans="1:9" s="119" customFormat="1" ht="17.25" x14ac:dyDescent="0.35">
      <c r="A83" s="222" t="s">
        <v>179</v>
      </c>
      <c r="B83" s="223" t="s">
        <v>180</v>
      </c>
      <c r="C83" s="223" t="s">
        <v>67</v>
      </c>
      <c r="D83" s="223"/>
      <c r="E83" s="223"/>
      <c r="F83" s="223"/>
      <c r="G83" s="223" t="s">
        <v>53</v>
      </c>
      <c r="H83" s="224" t="s">
        <v>7</v>
      </c>
      <c r="I83" s="78"/>
    </row>
    <row r="84" spans="1:9" s="176" customFormat="1" ht="34.5" x14ac:dyDescent="0.35">
      <c r="A84" s="225"/>
      <c r="B84" s="226"/>
      <c r="C84" s="226"/>
      <c r="D84" s="226" t="s">
        <v>44</v>
      </c>
      <c r="E84" s="226">
        <v>1</v>
      </c>
      <c r="F84" s="226">
        <v>0</v>
      </c>
      <c r="G84" s="226"/>
      <c r="H84" s="227"/>
      <c r="I84" s="78" t="s">
        <v>181</v>
      </c>
    </row>
    <row r="85" spans="1:9" s="119" customFormat="1" ht="17.25" x14ac:dyDescent="0.35">
      <c r="A85" s="225" t="s">
        <v>182</v>
      </c>
      <c r="B85" s="226" t="s">
        <v>69</v>
      </c>
      <c r="C85" s="226" t="s">
        <v>67</v>
      </c>
      <c r="D85" s="226"/>
      <c r="E85" s="226"/>
      <c r="F85" s="226"/>
      <c r="G85" s="226" t="s">
        <v>53</v>
      </c>
      <c r="H85" s="227" t="s">
        <v>7</v>
      </c>
      <c r="I85" s="78" t="s">
        <v>256</v>
      </c>
    </row>
    <row r="86" spans="1:9" s="119" customFormat="1" ht="17.25" x14ac:dyDescent="0.35">
      <c r="A86" s="225"/>
      <c r="B86" s="226"/>
      <c r="C86" s="226"/>
      <c r="D86" s="226" t="s">
        <v>44</v>
      </c>
      <c r="E86" s="226">
        <v>1</v>
      </c>
      <c r="F86" s="226">
        <v>0</v>
      </c>
      <c r="G86" s="226"/>
      <c r="H86" s="227"/>
      <c r="I86" s="78" t="s">
        <v>255</v>
      </c>
    </row>
    <row r="87" spans="1:9" s="119" customFormat="1" ht="17.25" x14ac:dyDescent="0.35">
      <c r="A87" s="225" t="s">
        <v>183</v>
      </c>
      <c r="B87" s="226" t="s">
        <v>184</v>
      </c>
      <c r="C87" s="226" t="s">
        <v>67</v>
      </c>
      <c r="D87" s="226"/>
      <c r="E87" s="226"/>
      <c r="F87" s="226"/>
      <c r="G87" s="226" t="s">
        <v>53</v>
      </c>
      <c r="H87" s="227"/>
      <c r="I87" s="78"/>
    </row>
    <row r="88" spans="1:9" s="119" customFormat="1" ht="69" x14ac:dyDescent="0.35">
      <c r="A88" s="225"/>
      <c r="B88" s="226"/>
      <c r="C88" s="226"/>
      <c r="D88" s="226" t="s">
        <v>44</v>
      </c>
      <c r="E88" s="226">
        <v>4</v>
      </c>
      <c r="F88" s="226">
        <v>0</v>
      </c>
      <c r="G88" s="226"/>
      <c r="H88" s="227"/>
      <c r="I88" s="78" t="s">
        <v>185</v>
      </c>
    </row>
    <row r="89" spans="1:9" s="119" customFormat="1" ht="17.25" x14ac:dyDescent="0.35">
      <c r="A89" s="225" t="s">
        <v>186</v>
      </c>
      <c r="B89" s="226" t="s">
        <v>240</v>
      </c>
      <c r="C89" s="226" t="s">
        <v>67</v>
      </c>
      <c r="D89" s="226"/>
      <c r="E89" s="226"/>
      <c r="F89" s="226"/>
      <c r="G89" s="226" t="s">
        <v>53</v>
      </c>
      <c r="H89" s="227"/>
      <c r="I89" s="78"/>
    </row>
    <row r="90" spans="1:9" s="119" customFormat="1" ht="34.5" x14ac:dyDescent="0.35">
      <c r="A90" s="225"/>
      <c r="B90" s="226"/>
      <c r="C90" s="226"/>
      <c r="D90" s="226" t="s">
        <v>44</v>
      </c>
      <c r="E90" s="226">
        <v>1</v>
      </c>
      <c r="F90" s="226">
        <v>1</v>
      </c>
      <c r="G90" s="226"/>
      <c r="H90" s="227"/>
      <c r="I90" s="78" t="s">
        <v>187</v>
      </c>
    </row>
    <row r="91" spans="1:9" s="119" customFormat="1" ht="17.25" x14ac:dyDescent="0.35">
      <c r="A91" s="225" t="s">
        <v>188</v>
      </c>
      <c r="B91" s="226" t="s">
        <v>245</v>
      </c>
      <c r="C91" s="226" t="s">
        <v>67</v>
      </c>
      <c r="D91" s="226"/>
      <c r="E91" s="226"/>
      <c r="F91" s="226"/>
      <c r="G91" s="226" t="s">
        <v>53</v>
      </c>
      <c r="H91" s="227"/>
      <c r="I91" s="78"/>
    </row>
    <row r="92" spans="1:9" s="119" customFormat="1" ht="51.75" x14ac:dyDescent="0.35">
      <c r="A92" s="225"/>
      <c r="B92" s="226"/>
      <c r="C92" s="226"/>
      <c r="D92" s="226" t="s">
        <v>243</v>
      </c>
      <c r="E92" s="226">
        <v>1</v>
      </c>
      <c r="F92" s="226" t="s">
        <v>299</v>
      </c>
      <c r="G92" s="226"/>
      <c r="H92" s="227"/>
      <c r="I92" s="78" t="s">
        <v>189</v>
      </c>
    </row>
    <row r="93" spans="1:9" s="119" customFormat="1" ht="17.25" x14ac:dyDescent="0.35">
      <c r="A93" s="225" t="s">
        <v>190</v>
      </c>
      <c r="B93" s="226" t="s">
        <v>191</v>
      </c>
      <c r="C93" s="226" t="s">
        <v>67</v>
      </c>
      <c r="D93" s="226"/>
      <c r="E93" s="226"/>
      <c r="F93" s="226"/>
      <c r="G93" s="226" t="s">
        <v>53</v>
      </c>
      <c r="H93" s="227"/>
      <c r="I93" s="78">
        <v>67204</v>
      </c>
    </row>
    <row r="94" spans="1:9" s="119" customFormat="1" ht="17.25" x14ac:dyDescent="0.35">
      <c r="A94" s="225"/>
      <c r="B94" s="226"/>
      <c r="C94" s="226"/>
      <c r="D94" s="226" t="s">
        <v>44</v>
      </c>
      <c r="E94" s="226">
        <v>1</v>
      </c>
      <c r="F94" s="226">
        <v>1</v>
      </c>
      <c r="G94" s="226"/>
      <c r="H94" s="227"/>
      <c r="I94" s="78" t="s">
        <v>192</v>
      </c>
    </row>
    <row r="95" spans="1:9" s="119" customFormat="1" ht="17.25" x14ac:dyDescent="0.35">
      <c r="A95" s="225"/>
      <c r="B95" s="226"/>
      <c r="C95" s="226"/>
      <c r="D95" s="226" t="s">
        <v>44</v>
      </c>
      <c r="E95" s="226">
        <v>1</v>
      </c>
      <c r="F95" s="226">
        <v>60</v>
      </c>
      <c r="G95" s="226"/>
      <c r="H95" s="227"/>
      <c r="I95" s="78" t="s">
        <v>193</v>
      </c>
    </row>
    <row r="96" spans="1:9" s="119" customFormat="1" ht="17.25" x14ac:dyDescent="0.35">
      <c r="A96" s="225"/>
      <c r="B96" s="226"/>
      <c r="C96" s="226"/>
      <c r="D96" s="226" t="s">
        <v>44</v>
      </c>
      <c r="E96" s="226">
        <v>1</v>
      </c>
      <c r="F96" s="226">
        <v>30</v>
      </c>
      <c r="G96" s="226"/>
      <c r="H96" s="227"/>
      <c r="I96" s="78" t="s">
        <v>194</v>
      </c>
    </row>
    <row r="97" spans="1:9" s="119" customFormat="1" ht="17.25" x14ac:dyDescent="0.35">
      <c r="A97" s="225"/>
      <c r="B97" s="226"/>
      <c r="C97" s="226"/>
      <c r="D97" s="226" t="s">
        <v>44</v>
      </c>
      <c r="E97" s="226">
        <v>1</v>
      </c>
      <c r="F97" s="226">
        <v>60</v>
      </c>
      <c r="G97" s="226"/>
      <c r="H97" s="227"/>
      <c r="I97" s="78" t="s">
        <v>195</v>
      </c>
    </row>
    <row r="98" spans="1:9" s="119" customFormat="1" ht="17.25" x14ac:dyDescent="0.35">
      <c r="A98" s="225"/>
      <c r="B98" s="226"/>
      <c r="C98" s="226"/>
      <c r="D98" s="226" t="s">
        <v>44</v>
      </c>
      <c r="E98" s="226">
        <v>1</v>
      </c>
      <c r="F98" s="226">
        <v>30</v>
      </c>
      <c r="G98" s="226"/>
      <c r="H98" s="227"/>
      <c r="I98" s="78" t="s">
        <v>196</v>
      </c>
    </row>
    <row r="99" spans="1:9" s="119" customFormat="1" ht="17.25" x14ac:dyDescent="0.35">
      <c r="A99" s="225"/>
      <c r="B99" s="226"/>
      <c r="C99" s="226"/>
      <c r="D99" s="226" t="s">
        <v>44</v>
      </c>
      <c r="E99" s="226">
        <v>1</v>
      </c>
      <c r="F99" s="226">
        <v>0</v>
      </c>
      <c r="G99" s="226"/>
      <c r="H99" s="227"/>
      <c r="I99" s="78" t="s">
        <v>197</v>
      </c>
    </row>
    <row r="100" spans="1:9" s="119" customFormat="1" ht="17.25" x14ac:dyDescent="0.35">
      <c r="A100" s="225"/>
      <c r="B100" s="226"/>
      <c r="C100" s="226"/>
      <c r="D100" s="226" t="s">
        <v>44</v>
      </c>
      <c r="E100" s="226">
        <v>1</v>
      </c>
      <c r="F100" s="226">
        <v>0</v>
      </c>
      <c r="G100" s="226"/>
      <c r="H100" s="227"/>
      <c r="I100" s="78" t="s">
        <v>197</v>
      </c>
    </row>
    <row r="101" spans="1:9" s="119" customFormat="1" ht="17.25" x14ac:dyDescent="0.35">
      <c r="A101" s="225"/>
      <c r="B101" s="226"/>
      <c r="C101" s="226"/>
      <c r="D101" s="226" t="s">
        <v>44</v>
      </c>
      <c r="E101" s="226">
        <v>1</v>
      </c>
      <c r="F101" s="226">
        <v>0</v>
      </c>
      <c r="G101" s="226"/>
      <c r="H101" s="227"/>
      <c r="I101" s="78" t="s">
        <v>197</v>
      </c>
    </row>
    <row r="102" spans="1:9" s="119" customFormat="1" ht="17.25" x14ac:dyDescent="0.35">
      <c r="A102" s="225"/>
      <c r="B102" s="226"/>
      <c r="C102" s="226"/>
      <c r="D102" s="226" t="s">
        <v>44</v>
      </c>
      <c r="E102" s="226">
        <v>1</v>
      </c>
      <c r="F102" s="226">
        <v>0</v>
      </c>
      <c r="G102" s="226"/>
      <c r="H102" s="227"/>
      <c r="I102" s="78" t="s">
        <v>197</v>
      </c>
    </row>
    <row r="103" spans="1:9" s="119" customFormat="1" ht="17.25" x14ac:dyDescent="0.35">
      <c r="A103" s="225"/>
      <c r="B103" s="226"/>
      <c r="C103" s="226"/>
      <c r="D103" s="226" t="s">
        <v>44</v>
      </c>
      <c r="E103" s="226">
        <v>1</v>
      </c>
      <c r="F103" s="226">
        <v>0</v>
      </c>
      <c r="G103" s="226"/>
      <c r="H103" s="227"/>
      <c r="I103" s="78" t="s">
        <v>198</v>
      </c>
    </row>
    <row r="104" spans="1:9" s="119" customFormat="1" ht="17.25" x14ac:dyDescent="0.35">
      <c r="A104" s="225" t="s">
        <v>199</v>
      </c>
      <c r="B104" s="226" t="s">
        <v>200</v>
      </c>
      <c r="C104" s="226" t="s">
        <v>67</v>
      </c>
      <c r="D104" s="226"/>
      <c r="E104" s="226"/>
      <c r="F104" s="226"/>
      <c r="G104" s="226" t="s">
        <v>53</v>
      </c>
      <c r="H104" s="227"/>
      <c r="I104" s="78">
        <v>69710</v>
      </c>
    </row>
    <row r="105" spans="1:9" s="119" customFormat="1" ht="17.25" x14ac:dyDescent="0.35">
      <c r="A105" s="225"/>
      <c r="B105" s="226"/>
      <c r="C105" s="226"/>
      <c r="D105" s="226" t="s">
        <v>44</v>
      </c>
      <c r="E105" s="226">
        <v>4</v>
      </c>
      <c r="F105" s="226">
        <v>1</v>
      </c>
      <c r="G105" s="226"/>
      <c r="H105" s="227"/>
      <c r="I105" s="78" t="s">
        <v>7</v>
      </c>
    </row>
    <row r="106" spans="1:9" s="119" customFormat="1" ht="17.25" x14ac:dyDescent="0.35">
      <c r="A106" s="225" t="s">
        <v>63</v>
      </c>
      <c r="B106" s="226" t="s">
        <v>64</v>
      </c>
      <c r="C106" s="226" t="s">
        <v>46</v>
      </c>
      <c r="D106" s="226"/>
      <c r="E106" s="226"/>
      <c r="F106" s="226"/>
      <c r="G106" s="226" t="s">
        <v>53</v>
      </c>
      <c r="H106" s="227" t="s">
        <v>222</v>
      </c>
      <c r="I106" s="78"/>
    </row>
    <row r="107" spans="1:9" s="119" customFormat="1" ht="17.25" x14ac:dyDescent="0.35">
      <c r="A107" s="225" t="s">
        <v>201</v>
      </c>
      <c r="B107" s="226" t="s">
        <v>202</v>
      </c>
      <c r="C107" s="226" t="s">
        <v>67</v>
      </c>
      <c r="D107" s="226"/>
      <c r="E107" s="226"/>
      <c r="F107" s="226"/>
      <c r="G107" s="226" t="s">
        <v>53</v>
      </c>
      <c r="H107" s="227"/>
      <c r="I107" s="78">
        <v>69676</v>
      </c>
    </row>
    <row r="108" spans="1:9" s="119" customFormat="1" ht="17.25" x14ac:dyDescent="0.35">
      <c r="A108" s="225"/>
      <c r="B108" s="226"/>
      <c r="C108" s="226"/>
      <c r="D108" s="226" t="s">
        <v>44</v>
      </c>
      <c r="E108" s="226">
        <v>1</v>
      </c>
      <c r="F108" s="226">
        <v>1</v>
      </c>
      <c r="G108" s="226"/>
      <c r="H108" s="227"/>
      <c r="I108" s="78" t="s">
        <v>7</v>
      </c>
    </row>
    <row r="109" spans="1:9" s="119" customFormat="1" ht="103.5" x14ac:dyDescent="0.35">
      <c r="A109" s="225" t="s">
        <v>203</v>
      </c>
      <c r="B109" s="226" t="s">
        <v>68</v>
      </c>
      <c r="C109" s="226" t="s">
        <v>46</v>
      </c>
      <c r="D109" s="226"/>
      <c r="E109" s="226"/>
      <c r="F109" s="226"/>
      <c r="G109" s="226" t="s">
        <v>53</v>
      </c>
      <c r="H109" s="227" t="s">
        <v>223</v>
      </c>
      <c r="I109" s="78" t="s">
        <v>204</v>
      </c>
    </row>
    <row r="110" spans="1:9" s="119" customFormat="1" ht="17.25" x14ac:dyDescent="0.35">
      <c r="A110" s="225" t="s">
        <v>205</v>
      </c>
      <c r="B110" s="226" t="s">
        <v>206</v>
      </c>
      <c r="C110" s="226" t="s">
        <v>67</v>
      </c>
      <c r="D110" s="226"/>
      <c r="E110" s="226"/>
      <c r="F110" s="226"/>
      <c r="G110" s="226" t="s">
        <v>53</v>
      </c>
      <c r="H110" s="227"/>
      <c r="I110" s="78"/>
    </row>
    <row r="111" spans="1:9" s="119" customFormat="1" ht="34.5" x14ac:dyDescent="0.35">
      <c r="A111" s="225"/>
      <c r="B111" s="226"/>
      <c r="C111" s="226"/>
      <c r="D111" s="226" t="s">
        <v>44</v>
      </c>
      <c r="E111" s="226">
        <v>1</v>
      </c>
      <c r="F111" s="226">
        <v>0</v>
      </c>
      <c r="G111" s="226"/>
      <c r="H111" s="227"/>
      <c r="I111" s="78" t="s">
        <v>207</v>
      </c>
    </row>
    <row r="112" spans="1:9" s="119" customFormat="1" ht="17.25" x14ac:dyDescent="0.35">
      <c r="A112" s="225" t="s">
        <v>208</v>
      </c>
      <c r="B112" s="226" t="s">
        <v>242</v>
      </c>
      <c r="C112" s="226" t="s">
        <v>67</v>
      </c>
      <c r="D112" s="226"/>
      <c r="E112" s="226"/>
      <c r="F112" s="226"/>
      <c r="G112" s="226" t="s">
        <v>53</v>
      </c>
      <c r="H112" s="227"/>
      <c r="I112" s="78"/>
    </row>
    <row r="113" spans="1:10" s="119" customFormat="1" ht="86.25" x14ac:dyDescent="0.35">
      <c r="A113" s="225"/>
      <c r="B113" s="226"/>
      <c r="C113" s="226"/>
      <c r="D113" s="226" t="s">
        <v>44</v>
      </c>
      <c r="E113" s="226">
        <v>1</v>
      </c>
      <c r="F113" s="226">
        <v>0</v>
      </c>
      <c r="G113" s="226"/>
      <c r="H113" s="227"/>
      <c r="I113" s="78" t="s">
        <v>209</v>
      </c>
    </row>
    <row r="114" spans="1:10" s="119" customFormat="1" ht="17.25" x14ac:dyDescent="0.35">
      <c r="A114" s="225" t="s">
        <v>273</v>
      </c>
      <c r="B114" s="226" t="s">
        <v>274</v>
      </c>
      <c r="C114" s="226" t="s">
        <v>67</v>
      </c>
      <c r="D114" s="226" t="s">
        <v>7</v>
      </c>
      <c r="E114" s="226" t="s">
        <v>7</v>
      </c>
      <c r="F114" s="226" t="s">
        <v>7</v>
      </c>
      <c r="G114" s="226" t="s">
        <v>53</v>
      </c>
      <c r="H114" s="227"/>
      <c r="I114" s="78">
        <v>67305</v>
      </c>
    </row>
    <row r="115" spans="1:10" s="119" customFormat="1" ht="17.25" x14ac:dyDescent="0.35">
      <c r="A115" s="225"/>
      <c r="B115" s="226"/>
      <c r="C115" s="226"/>
      <c r="D115" s="226" t="s">
        <v>44</v>
      </c>
      <c r="E115" s="226">
        <v>1</v>
      </c>
      <c r="F115" s="226">
        <v>1</v>
      </c>
      <c r="G115" s="226"/>
      <c r="H115" s="227"/>
      <c r="I115" s="78"/>
    </row>
    <row r="116" spans="1:10" s="119" customFormat="1" ht="17.25" x14ac:dyDescent="0.35">
      <c r="A116" s="225" t="s">
        <v>275</v>
      </c>
      <c r="B116" s="226" t="s">
        <v>276</v>
      </c>
      <c r="C116" s="226" t="s">
        <v>67</v>
      </c>
      <c r="D116" s="226" t="s">
        <v>7</v>
      </c>
      <c r="E116" s="226" t="s">
        <v>7</v>
      </c>
      <c r="F116" s="226" t="s">
        <v>7</v>
      </c>
      <c r="G116" s="226" t="s">
        <v>53</v>
      </c>
      <c r="H116" s="227"/>
      <c r="I116" s="78">
        <v>65683</v>
      </c>
    </row>
    <row r="117" spans="1:10" s="119" customFormat="1" ht="17.25" x14ac:dyDescent="0.35">
      <c r="A117" s="225"/>
      <c r="B117" s="226"/>
      <c r="C117" s="226"/>
      <c r="D117" s="226" t="s">
        <v>44</v>
      </c>
      <c r="E117" s="226">
        <v>1</v>
      </c>
      <c r="F117" s="226">
        <v>2</v>
      </c>
      <c r="G117" s="226"/>
      <c r="H117" s="227"/>
      <c r="I117" s="78"/>
    </row>
    <row r="118" spans="1:10" s="119" customFormat="1" ht="17.25" x14ac:dyDescent="0.35">
      <c r="A118" s="225" t="s">
        <v>210</v>
      </c>
      <c r="B118" s="226" t="s">
        <v>241</v>
      </c>
      <c r="C118" s="226" t="s">
        <v>67</v>
      </c>
      <c r="D118" s="226"/>
      <c r="E118" s="226"/>
      <c r="F118" s="226"/>
      <c r="G118" s="226" t="s">
        <v>53</v>
      </c>
      <c r="H118" s="227"/>
      <c r="I118" s="78"/>
    </row>
    <row r="119" spans="1:10" s="119" customFormat="1" ht="103.5" x14ac:dyDescent="0.35">
      <c r="A119" s="225"/>
      <c r="B119" s="226"/>
      <c r="C119" s="226"/>
      <c r="D119" s="226" t="s">
        <v>44</v>
      </c>
      <c r="E119" s="226">
        <v>2</v>
      </c>
      <c r="F119" s="226">
        <v>0</v>
      </c>
      <c r="G119" s="226"/>
      <c r="H119" s="227"/>
      <c r="I119" s="78" t="s">
        <v>279</v>
      </c>
    </row>
    <row r="120" spans="1:10" s="119" customFormat="1" ht="17.25" x14ac:dyDescent="0.35">
      <c r="A120" s="225" t="s">
        <v>65</v>
      </c>
      <c r="B120" s="226" t="s">
        <v>70</v>
      </c>
      <c r="C120" s="226" t="s">
        <v>46</v>
      </c>
      <c r="D120" s="226"/>
      <c r="E120" s="226"/>
      <c r="F120" s="226"/>
      <c r="G120" s="226" t="s">
        <v>53</v>
      </c>
      <c r="H120" s="227" t="s">
        <v>221</v>
      </c>
      <c r="I120" s="78">
        <v>65591</v>
      </c>
    </row>
    <row r="121" spans="1:10" s="119" customFormat="1" ht="17.25" x14ac:dyDescent="0.35">
      <c r="A121" s="225" t="s">
        <v>564</v>
      </c>
      <c r="B121" s="226" t="s">
        <v>565</v>
      </c>
      <c r="C121" s="226" t="s">
        <v>67</v>
      </c>
      <c r="D121" s="226"/>
      <c r="E121" s="226"/>
      <c r="F121" s="226"/>
      <c r="G121" s="226" t="s">
        <v>53</v>
      </c>
      <c r="H121" s="227"/>
      <c r="I121" s="78">
        <v>65811</v>
      </c>
    </row>
    <row r="122" spans="1:10" s="119" customFormat="1" ht="17.25" x14ac:dyDescent="0.35">
      <c r="A122" s="225"/>
      <c r="B122" s="226"/>
      <c r="C122" s="226"/>
      <c r="D122" s="226" t="s">
        <v>44</v>
      </c>
      <c r="E122" s="226">
        <v>1</v>
      </c>
      <c r="F122" s="226">
        <v>0</v>
      </c>
      <c r="G122" s="226"/>
      <c r="H122" s="227"/>
      <c r="I122" s="78"/>
      <c r="J122" s="119" t="s">
        <v>7</v>
      </c>
    </row>
    <row r="123" spans="1:10" s="119" customFormat="1" ht="17.25" x14ac:dyDescent="0.35">
      <c r="A123" s="225" t="s">
        <v>557</v>
      </c>
      <c r="B123" s="226" t="s">
        <v>558</v>
      </c>
      <c r="C123" s="226" t="s">
        <v>67</v>
      </c>
      <c r="D123" s="226"/>
      <c r="E123" s="226"/>
      <c r="F123" s="226"/>
      <c r="G123" s="226" t="s">
        <v>53</v>
      </c>
      <c r="H123" s="227"/>
      <c r="I123" s="78">
        <v>67217</v>
      </c>
      <c r="J123" s="119" t="s">
        <v>7</v>
      </c>
    </row>
    <row r="124" spans="1:10" s="119" customFormat="1" ht="17.25" x14ac:dyDescent="0.35">
      <c r="A124" s="225"/>
      <c r="B124" s="226"/>
      <c r="C124" s="226"/>
      <c r="D124" s="226" t="s">
        <v>44</v>
      </c>
      <c r="E124" s="226">
        <v>1</v>
      </c>
      <c r="F124" s="226">
        <v>1</v>
      </c>
      <c r="G124" s="226"/>
      <c r="H124" s="227"/>
      <c r="I124" s="78" t="s">
        <v>559</v>
      </c>
    </row>
    <row r="125" spans="1:10" s="119" customFormat="1" ht="17.25" x14ac:dyDescent="0.35">
      <c r="A125" s="225"/>
      <c r="B125" s="226"/>
      <c r="C125" s="226"/>
      <c r="D125" s="226" t="s">
        <v>44</v>
      </c>
      <c r="E125" s="226">
        <v>2</v>
      </c>
      <c r="F125" s="226" t="s">
        <v>216</v>
      </c>
      <c r="G125" s="226"/>
      <c r="H125" s="227"/>
      <c r="I125" s="78" t="s">
        <v>560</v>
      </c>
    </row>
    <row r="126" spans="1:10" s="119" customFormat="1" ht="17.25" x14ac:dyDescent="0.35">
      <c r="A126" s="225" t="s">
        <v>720</v>
      </c>
      <c r="B126" s="136" t="s">
        <v>1331</v>
      </c>
      <c r="C126" s="226" t="s">
        <v>67</v>
      </c>
      <c r="D126" s="226"/>
      <c r="E126" s="226"/>
      <c r="F126" s="226"/>
      <c r="G126" s="226" t="s">
        <v>1180</v>
      </c>
      <c r="H126" s="227"/>
      <c r="I126" s="78">
        <v>73805</v>
      </c>
    </row>
    <row r="127" spans="1:10" s="119" customFormat="1" ht="17.25" x14ac:dyDescent="0.35">
      <c r="A127" s="225"/>
      <c r="B127" s="226"/>
      <c r="C127" s="226"/>
      <c r="D127" s="226" t="s">
        <v>44</v>
      </c>
      <c r="E127" s="226">
        <v>1</v>
      </c>
      <c r="F127" s="226">
        <v>0</v>
      </c>
      <c r="G127" s="226"/>
      <c r="H127" s="227"/>
      <c r="I127" s="78" t="s">
        <v>262</v>
      </c>
    </row>
    <row r="128" spans="1:10" s="119" customFormat="1" ht="17.25" x14ac:dyDescent="0.35">
      <c r="A128" s="225"/>
      <c r="B128" s="226"/>
      <c r="C128" s="226"/>
      <c r="D128" s="226" t="s">
        <v>44</v>
      </c>
      <c r="E128" s="226">
        <v>1</v>
      </c>
      <c r="F128" s="226">
        <v>5</v>
      </c>
      <c r="G128" s="226"/>
      <c r="H128" s="227"/>
      <c r="I128" s="78" t="s">
        <v>1332</v>
      </c>
    </row>
    <row r="129" spans="1:9" s="119" customFormat="1" ht="17.25" x14ac:dyDescent="0.35">
      <c r="A129" s="225"/>
      <c r="B129" s="226"/>
      <c r="C129" s="226"/>
      <c r="D129" s="226" t="s">
        <v>45</v>
      </c>
      <c r="E129" s="226">
        <v>128</v>
      </c>
      <c r="F129" s="226" t="s">
        <v>1333</v>
      </c>
      <c r="G129" s="226"/>
      <c r="H129" s="227"/>
      <c r="I129" s="78" t="s">
        <v>1334</v>
      </c>
    </row>
    <row r="130" spans="1:9" s="119" customFormat="1" ht="17.25" x14ac:dyDescent="0.35">
      <c r="A130" s="225"/>
      <c r="B130" s="226"/>
      <c r="C130" s="226"/>
      <c r="D130" s="226" t="s">
        <v>45</v>
      </c>
      <c r="E130" s="226">
        <v>128</v>
      </c>
      <c r="F130" s="226" t="s">
        <v>1349</v>
      </c>
      <c r="G130" s="226"/>
      <c r="H130" s="227"/>
      <c r="I130" s="78" t="s">
        <v>1335</v>
      </c>
    </row>
    <row r="131" spans="1:9" s="119" customFormat="1" ht="17.25" x14ac:dyDescent="0.35">
      <c r="A131" s="225"/>
      <c r="B131" s="226"/>
      <c r="C131" s="226"/>
      <c r="D131" s="226" t="s">
        <v>45</v>
      </c>
      <c r="E131" s="226">
        <v>128</v>
      </c>
      <c r="F131" s="226" t="s">
        <v>1404</v>
      </c>
      <c r="G131" s="226"/>
      <c r="H131" s="227"/>
      <c r="I131" s="78" t="s">
        <v>1336</v>
      </c>
    </row>
    <row r="132" spans="1:9" s="119" customFormat="1" ht="17.25" x14ac:dyDescent="0.35">
      <c r="A132" s="225"/>
      <c r="B132" s="226"/>
      <c r="C132" s="226"/>
      <c r="D132" s="226" t="s">
        <v>45</v>
      </c>
      <c r="E132" s="226">
        <v>128</v>
      </c>
      <c r="F132" s="226" t="s">
        <v>1404</v>
      </c>
      <c r="G132" s="226"/>
      <c r="H132" s="227"/>
      <c r="I132" s="78" t="s">
        <v>1337</v>
      </c>
    </row>
    <row r="133" spans="1:9" s="119" customFormat="1" ht="17.25" x14ac:dyDescent="0.35">
      <c r="A133" s="225"/>
      <c r="B133" s="226"/>
      <c r="C133" s="226"/>
      <c r="D133" s="226" t="s">
        <v>45</v>
      </c>
      <c r="E133" s="226">
        <v>128</v>
      </c>
      <c r="F133" s="226" t="s">
        <v>1350</v>
      </c>
      <c r="G133" s="226"/>
      <c r="H133" s="227"/>
      <c r="I133" s="78" t="s">
        <v>1338</v>
      </c>
    </row>
    <row r="134" spans="1:9" s="119" customFormat="1" ht="17.25" x14ac:dyDescent="0.35">
      <c r="A134" s="225"/>
      <c r="B134" s="226"/>
      <c r="C134" s="226"/>
      <c r="D134" s="226" t="s">
        <v>44</v>
      </c>
      <c r="E134" s="226">
        <v>382</v>
      </c>
      <c r="F134" s="226">
        <v>0</v>
      </c>
      <c r="G134" s="226"/>
      <c r="H134" s="227"/>
      <c r="I134" s="78" t="s">
        <v>265</v>
      </c>
    </row>
    <row r="135" spans="1:9" s="119" customFormat="1" ht="17.25" x14ac:dyDescent="0.35">
      <c r="A135" s="225" t="s">
        <v>398</v>
      </c>
      <c r="B135" s="226" t="s">
        <v>399</v>
      </c>
      <c r="C135" s="226" t="s">
        <v>67</v>
      </c>
      <c r="D135" s="226"/>
      <c r="E135" s="226"/>
      <c r="F135" s="226"/>
      <c r="G135" s="226" t="s">
        <v>53</v>
      </c>
      <c r="H135" s="227"/>
      <c r="I135" s="78">
        <v>69749</v>
      </c>
    </row>
    <row r="136" spans="1:9" s="119" customFormat="1" ht="17.25" x14ac:dyDescent="0.35">
      <c r="A136" s="225"/>
      <c r="B136" s="226"/>
      <c r="C136" s="226"/>
      <c r="D136" s="226" t="s">
        <v>44</v>
      </c>
      <c r="E136" s="226">
        <v>2</v>
      </c>
      <c r="F136" s="226">
        <v>2000</v>
      </c>
      <c r="G136" s="226"/>
      <c r="H136" s="227"/>
      <c r="I136" s="78"/>
    </row>
    <row r="137" spans="1:9" s="119" customFormat="1" ht="17.25" x14ac:dyDescent="0.35">
      <c r="A137" s="225" t="s">
        <v>400</v>
      </c>
      <c r="B137" s="226" t="s">
        <v>401</v>
      </c>
      <c r="C137" s="226" t="s">
        <v>67</v>
      </c>
      <c r="D137" s="226"/>
      <c r="E137" s="226"/>
      <c r="F137" s="226"/>
      <c r="G137" s="226" t="s">
        <v>53</v>
      </c>
      <c r="H137" s="227"/>
      <c r="I137" s="78">
        <v>65814</v>
      </c>
    </row>
    <row r="138" spans="1:9" s="119" customFormat="1" ht="17.25" x14ac:dyDescent="0.35">
      <c r="A138" s="225"/>
      <c r="B138" s="226"/>
      <c r="C138" s="226"/>
      <c r="D138" s="226" t="s">
        <v>44</v>
      </c>
      <c r="E138" s="226">
        <v>2</v>
      </c>
      <c r="F138" s="226">
        <v>1430</v>
      </c>
      <c r="G138" s="226"/>
      <c r="H138" s="227"/>
      <c r="I138" s="78"/>
    </row>
    <row r="139" spans="1:9" s="119" customFormat="1" ht="17.25" x14ac:dyDescent="0.35">
      <c r="A139" s="225" t="s">
        <v>576</v>
      </c>
      <c r="B139" s="226" t="s">
        <v>577</v>
      </c>
      <c r="C139" s="226" t="s">
        <v>67</v>
      </c>
      <c r="D139" s="226"/>
      <c r="E139" s="226"/>
      <c r="F139" s="226"/>
      <c r="G139" s="226" t="s">
        <v>53</v>
      </c>
      <c r="H139" s="227"/>
      <c r="I139" s="78">
        <v>70192</v>
      </c>
    </row>
    <row r="140" spans="1:9" s="119" customFormat="1" ht="17.25" x14ac:dyDescent="0.35">
      <c r="A140" s="225"/>
      <c r="B140" s="226"/>
      <c r="C140" s="226"/>
      <c r="D140" s="226" t="s">
        <v>44</v>
      </c>
      <c r="E140" s="226">
        <v>4</v>
      </c>
      <c r="F140" s="226" t="s">
        <v>578</v>
      </c>
      <c r="G140" s="226"/>
      <c r="H140" s="227"/>
      <c r="I140" s="78"/>
    </row>
    <row r="141" spans="1:9" s="123" customFormat="1" ht="34.5" x14ac:dyDescent="0.35">
      <c r="A141" s="225" t="s">
        <v>402</v>
      </c>
      <c r="B141" s="226" t="s">
        <v>403</v>
      </c>
      <c r="C141" s="226" t="s">
        <v>67</v>
      </c>
      <c r="D141" s="226"/>
      <c r="E141" s="226"/>
      <c r="F141" s="226"/>
      <c r="G141" s="226"/>
      <c r="H141" s="227"/>
      <c r="I141" s="78" t="s">
        <v>404</v>
      </c>
    </row>
    <row r="142" spans="1:9" s="123" customFormat="1" ht="34.5" x14ac:dyDescent="0.35">
      <c r="A142" s="225"/>
      <c r="B142" s="226"/>
      <c r="C142" s="226"/>
      <c r="D142" s="226" t="s">
        <v>44</v>
      </c>
      <c r="E142" s="226">
        <v>1</v>
      </c>
      <c r="F142" s="226">
        <v>54</v>
      </c>
      <c r="G142" s="226"/>
      <c r="H142" s="227"/>
      <c r="I142" s="78" t="s">
        <v>405</v>
      </c>
    </row>
    <row r="143" spans="1:9" s="123" customFormat="1" ht="19.5" customHeight="1" x14ac:dyDescent="0.35">
      <c r="A143" s="225" t="s">
        <v>406</v>
      </c>
      <c r="B143" s="226" t="s">
        <v>407</v>
      </c>
      <c r="C143" s="226" t="s">
        <v>67</v>
      </c>
      <c r="D143" s="226"/>
      <c r="E143" s="226"/>
      <c r="F143" s="226"/>
      <c r="G143" s="226" t="s">
        <v>53</v>
      </c>
      <c r="H143" s="227"/>
      <c r="I143" s="78">
        <v>70319</v>
      </c>
    </row>
    <row r="144" spans="1:9" s="123" customFormat="1" ht="19.5" customHeight="1" x14ac:dyDescent="0.35">
      <c r="A144" s="225"/>
      <c r="B144" s="226"/>
      <c r="C144" s="226"/>
      <c r="D144" s="226" t="s">
        <v>44</v>
      </c>
      <c r="E144" s="226">
        <v>1</v>
      </c>
      <c r="F144" s="226">
        <v>2</v>
      </c>
      <c r="G144" s="226"/>
      <c r="H144" s="227"/>
      <c r="I144" s="78"/>
    </row>
    <row r="145" spans="1:9" s="119" customFormat="1" ht="17.25" x14ac:dyDescent="0.35">
      <c r="A145" s="225" t="s">
        <v>408</v>
      </c>
      <c r="B145" s="226" t="s">
        <v>361</v>
      </c>
      <c r="C145" s="226" t="s">
        <v>67</v>
      </c>
      <c r="D145" s="226"/>
      <c r="E145" s="226"/>
      <c r="F145" s="226"/>
      <c r="G145" s="226" t="s">
        <v>53</v>
      </c>
      <c r="H145" s="227"/>
      <c r="I145" s="78">
        <v>70239</v>
      </c>
    </row>
    <row r="146" spans="1:9" s="119" customFormat="1" ht="17.25" x14ac:dyDescent="0.35">
      <c r="A146" s="225"/>
      <c r="B146" s="226"/>
      <c r="C146" s="226"/>
      <c r="D146" s="226" t="s">
        <v>44</v>
      </c>
      <c r="E146" s="226">
        <v>1</v>
      </c>
      <c r="F146" s="226">
        <v>2</v>
      </c>
      <c r="G146" s="226"/>
      <c r="H146" s="227"/>
      <c r="I146" s="78"/>
    </row>
    <row r="147" spans="1:9" s="119" customFormat="1" ht="17.25" x14ac:dyDescent="0.35">
      <c r="A147" s="225" t="s">
        <v>246</v>
      </c>
      <c r="B147" s="226" t="s">
        <v>247</v>
      </c>
      <c r="C147" s="226" t="s">
        <v>67</v>
      </c>
      <c r="D147" s="226"/>
      <c r="E147" s="226"/>
      <c r="F147" s="226"/>
      <c r="G147" s="226" t="s">
        <v>53</v>
      </c>
      <c r="H147" s="227"/>
      <c r="I147" s="78">
        <v>66472</v>
      </c>
    </row>
    <row r="148" spans="1:9" s="119" customFormat="1" ht="17.25" x14ac:dyDescent="0.35">
      <c r="A148" s="225" t="s">
        <v>254</v>
      </c>
      <c r="B148" s="226" t="s">
        <v>254</v>
      </c>
      <c r="C148" s="226"/>
      <c r="D148" s="226" t="s">
        <v>44</v>
      </c>
      <c r="E148" s="226">
        <v>1</v>
      </c>
      <c r="F148" s="226">
        <v>1</v>
      </c>
      <c r="G148" s="226"/>
      <c r="H148" s="227"/>
      <c r="I148" s="78"/>
    </row>
    <row r="149" spans="1:9" s="119" customFormat="1" ht="17.25" x14ac:dyDescent="0.35">
      <c r="A149" s="225" t="s">
        <v>248</v>
      </c>
      <c r="B149" s="226" t="s">
        <v>249</v>
      </c>
      <c r="C149" s="226" t="s">
        <v>67</v>
      </c>
      <c r="D149" s="226"/>
      <c r="E149" s="226"/>
      <c r="F149" s="226"/>
      <c r="G149" s="226" t="s">
        <v>53</v>
      </c>
      <c r="H149" s="227"/>
      <c r="I149" s="78">
        <v>66473</v>
      </c>
    </row>
    <row r="150" spans="1:9" s="119" customFormat="1" ht="17.25" x14ac:dyDescent="0.35">
      <c r="A150" s="225" t="s">
        <v>254</v>
      </c>
      <c r="B150" s="226" t="s">
        <v>254</v>
      </c>
      <c r="C150" s="226"/>
      <c r="D150" s="226" t="s">
        <v>44</v>
      </c>
      <c r="E150" s="226">
        <v>1</v>
      </c>
      <c r="F150" s="226">
        <v>1</v>
      </c>
      <c r="G150" s="226"/>
      <c r="H150" s="227"/>
      <c r="I150" s="78"/>
    </row>
    <row r="151" spans="1:9" s="119" customFormat="1" ht="17.25" x14ac:dyDescent="0.35">
      <c r="A151" s="225" t="s">
        <v>257</v>
      </c>
      <c r="B151" s="226" t="s">
        <v>250</v>
      </c>
      <c r="C151" s="226" t="s">
        <v>67</v>
      </c>
      <c r="D151" s="226"/>
      <c r="E151" s="226"/>
      <c r="F151" s="226"/>
      <c r="G151" s="226" t="s">
        <v>53</v>
      </c>
      <c r="H151" s="227"/>
      <c r="I151" s="78">
        <v>66048</v>
      </c>
    </row>
    <row r="152" spans="1:9" s="119" customFormat="1" ht="17.25" x14ac:dyDescent="0.35">
      <c r="A152" s="225" t="s">
        <v>254</v>
      </c>
      <c r="B152" s="226" t="s">
        <v>254</v>
      </c>
      <c r="C152" s="226"/>
      <c r="D152" s="226" t="s">
        <v>44</v>
      </c>
      <c r="E152" s="226">
        <v>1</v>
      </c>
      <c r="F152" s="226">
        <v>3</v>
      </c>
      <c r="G152" s="226"/>
      <c r="H152" s="227"/>
      <c r="I152" s="78"/>
    </row>
    <row r="153" spans="1:9" s="119" customFormat="1" ht="17.25" x14ac:dyDescent="0.35">
      <c r="A153" s="225" t="s">
        <v>580</v>
      </c>
      <c r="B153" s="226" t="s">
        <v>581</v>
      </c>
      <c r="C153" s="226" t="s">
        <v>67</v>
      </c>
      <c r="D153" s="226"/>
      <c r="E153" s="226"/>
      <c r="F153" s="226"/>
      <c r="G153" s="226" t="s">
        <v>53</v>
      </c>
      <c r="H153" s="227"/>
      <c r="I153" s="78">
        <v>71564</v>
      </c>
    </row>
    <row r="154" spans="1:9" s="119" customFormat="1" ht="17.25" x14ac:dyDescent="0.35">
      <c r="A154" s="225"/>
      <c r="B154" s="226"/>
      <c r="C154" s="226"/>
      <c r="D154" s="226" t="s">
        <v>44</v>
      </c>
      <c r="E154" s="226">
        <v>1</v>
      </c>
      <c r="F154" s="226">
        <v>1</v>
      </c>
      <c r="G154" s="226"/>
      <c r="H154" s="227"/>
      <c r="I154" s="78"/>
    </row>
    <row r="155" spans="1:9" s="119" customFormat="1" ht="17.25" x14ac:dyDescent="0.35">
      <c r="A155" s="225" t="s">
        <v>264</v>
      </c>
      <c r="B155" s="226" t="s">
        <v>263</v>
      </c>
      <c r="C155" s="226" t="s">
        <v>67</v>
      </c>
      <c r="D155" s="226"/>
      <c r="E155" s="226"/>
      <c r="F155" s="226"/>
      <c r="G155" s="226" t="s">
        <v>53</v>
      </c>
      <c r="H155" s="227"/>
      <c r="I155" s="78">
        <v>67225</v>
      </c>
    </row>
    <row r="156" spans="1:9" s="119" customFormat="1" ht="17.25" x14ac:dyDescent="0.35">
      <c r="A156" s="225"/>
      <c r="B156" s="226"/>
      <c r="C156" s="226"/>
      <c r="D156" s="226" t="s">
        <v>44</v>
      </c>
      <c r="E156" s="226">
        <v>1</v>
      </c>
      <c r="F156" s="226">
        <v>2</v>
      </c>
      <c r="G156" s="226"/>
      <c r="H156" s="227"/>
      <c r="I156" s="78" t="s">
        <v>7</v>
      </c>
    </row>
    <row r="157" spans="1:9" s="119" customFormat="1" ht="17.25" x14ac:dyDescent="0.35">
      <c r="A157" s="225" t="s">
        <v>271</v>
      </c>
      <c r="B157" s="226" t="s">
        <v>272</v>
      </c>
      <c r="C157" s="226" t="s">
        <v>539</v>
      </c>
      <c r="D157" s="226"/>
      <c r="E157" s="226"/>
      <c r="F157" s="226"/>
      <c r="G157" s="226" t="s">
        <v>53</v>
      </c>
      <c r="H157" s="227"/>
      <c r="I157" s="78">
        <v>65781</v>
      </c>
    </row>
    <row r="158" spans="1:9" s="119" customFormat="1" ht="17.25" x14ac:dyDescent="0.35">
      <c r="A158" s="225"/>
      <c r="B158" s="226"/>
      <c r="C158" s="226"/>
      <c r="D158" s="226" t="s">
        <v>44</v>
      </c>
      <c r="E158" s="226">
        <v>4</v>
      </c>
      <c r="F158" s="226">
        <v>1</v>
      </c>
      <c r="G158" s="226"/>
      <c r="H158" s="227"/>
      <c r="I158" s="78" t="s">
        <v>268</v>
      </c>
    </row>
    <row r="159" spans="1:9" s="119" customFormat="1" ht="17.25" x14ac:dyDescent="0.35">
      <c r="A159" s="225"/>
      <c r="B159" s="226"/>
      <c r="C159" s="226"/>
      <c r="D159" s="226" t="s">
        <v>44</v>
      </c>
      <c r="E159" s="226">
        <v>4</v>
      </c>
      <c r="F159" s="226">
        <v>90000</v>
      </c>
      <c r="G159" s="226"/>
      <c r="H159" s="227"/>
      <c r="I159" s="78" t="s">
        <v>269</v>
      </c>
    </row>
    <row r="160" spans="1:9" s="119" customFormat="1" ht="17.25" x14ac:dyDescent="0.35">
      <c r="A160" s="225"/>
      <c r="B160" s="226"/>
      <c r="C160" s="226"/>
      <c r="D160" s="226" t="s">
        <v>44</v>
      </c>
      <c r="E160" s="226">
        <v>4</v>
      </c>
      <c r="F160" s="226">
        <v>4</v>
      </c>
      <c r="G160" s="226"/>
      <c r="H160" s="227"/>
      <c r="I160" s="78" t="s">
        <v>267</v>
      </c>
    </row>
    <row r="161" spans="1:9" s="119" customFormat="1" ht="17.25" x14ac:dyDescent="0.35">
      <c r="A161" s="225"/>
      <c r="B161" s="226"/>
      <c r="C161" s="226"/>
      <c r="D161" s="226" t="s">
        <v>44</v>
      </c>
      <c r="E161" s="226">
        <v>4</v>
      </c>
      <c r="F161" s="226">
        <v>1500</v>
      </c>
      <c r="G161" s="226"/>
      <c r="H161" s="227"/>
      <c r="I161" s="78" t="s">
        <v>270</v>
      </c>
    </row>
    <row r="162" spans="1:9" s="119" customFormat="1" ht="17.25" x14ac:dyDescent="0.35">
      <c r="A162" s="225" t="s">
        <v>368</v>
      </c>
      <c r="B162" s="226" t="s">
        <v>369</v>
      </c>
      <c r="C162" s="226" t="s">
        <v>67</v>
      </c>
      <c r="D162" s="226"/>
      <c r="E162" s="226"/>
      <c r="F162" s="226"/>
      <c r="G162" s="226" t="s">
        <v>53</v>
      </c>
      <c r="H162" s="227"/>
      <c r="I162" s="78">
        <v>70332</v>
      </c>
    </row>
    <row r="163" spans="1:9" s="119" customFormat="1" ht="17.25" x14ac:dyDescent="0.35">
      <c r="A163" s="225"/>
      <c r="B163" s="226"/>
      <c r="C163" s="226"/>
      <c r="D163" s="226" t="s">
        <v>44</v>
      </c>
      <c r="E163" s="226">
        <v>1</v>
      </c>
      <c r="F163" s="226">
        <v>0</v>
      </c>
      <c r="G163" s="226"/>
      <c r="H163" s="227"/>
      <c r="I163" s="78"/>
    </row>
    <row r="164" spans="1:9" s="119" customFormat="1" ht="17.25" x14ac:dyDescent="0.35">
      <c r="A164" s="225" t="s">
        <v>238</v>
      </c>
      <c r="B164" s="226" t="s">
        <v>237</v>
      </c>
      <c r="C164" s="226" t="s">
        <v>67</v>
      </c>
      <c r="D164" s="226"/>
      <c r="E164" s="226"/>
      <c r="F164" s="226"/>
      <c r="G164" s="226" t="s">
        <v>53</v>
      </c>
      <c r="H164" s="227"/>
      <c r="I164" s="78">
        <v>69679</v>
      </c>
    </row>
    <row r="165" spans="1:9" s="119" customFormat="1" ht="17.25" x14ac:dyDescent="0.35">
      <c r="A165" s="225"/>
      <c r="B165" s="226"/>
      <c r="C165" s="226"/>
      <c r="D165" s="226" t="s">
        <v>44</v>
      </c>
      <c r="E165" s="226">
        <v>1</v>
      </c>
      <c r="F165" s="226">
        <v>0</v>
      </c>
      <c r="G165" s="226"/>
      <c r="H165" s="227"/>
      <c r="I165" s="78"/>
    </row>
    <row r="166" spans="1:9" s="119" customFormat="1" ht="17.25" x14ac:dyDescent="0.35">
      <c r="A166" s="225" t="s">
        <v>371</v>
      </c>
      <c r="B166" s="226" t="s">
        <v>370</v>
      </c>
      <c r="C166" s="226" t="s">
        <v>46</v>
      </c>
      <c r="D166" s="226"/>
      <c r="E166" s="226"/>
      <c r="F166" s="226"/>
      <c r="G166" s="226" t="s">
        <v>53</v>
      </c>
      <c r="H166" s="227" t="s">
        <v>376</v>
      </c>
      <c r="I166" s="78" t="s">
        <v>372</v>
      </c>
    </row>
    <row r="167" spans="1:9" s="119" customFormat="1" ht="17.25" x14ac:dyDescent="0.35">
      <c r="A167" s="225" t="s">
        <v>530</v>
      </c>
      <c r="B167" s="226" t="s">
        <v>531</v>
      </c>
      <c r="C167" s="226" t="s">
        <v>46</v>
      </c>
      <c r="D167" s="226"/>
      <c r="E167" s="226"/>
      <c r="F167" s="226"/>
      <c r="G167" s="226" t="s">
        <v>53</v>
      </c>
      <c r="H167" s="227" t="s">
        <v>532</v>
      </c>
      <c r="I167" s="78">
        <v>67211</v>
      </c>
    </row>
    <row r="168" spans="1:9" s="119" customFormat="1" ht="69" x14ac:dyDescent="0.35">
      <c r="A168" s="225" t="s">
        <v>378</v>
      </c>
      <c r="B168" s="226" t="s">
        <v>373</v>
      </c>
      <c r="C168" s="226" t="s">
        <v>46</v>
      </c>
      <c r="D168" s="226"/>
      <c r="E168" s="226"/>
      <c r="F168" s="226"/>
      <c r="G168" s="226" t="s">
        <v>53</v>
      </c>
      <c r="H168" s="227" t="s">
        <v>388</v>
      </c>
      <c r="I168" s="78" t="s">
        <v>380</v>
      </c>
    </row>
    <row r="169" spans="1:9" s="119" customFormat="1" ht="86.25" x14ac:dyDescent="0.35">
      <c r="A169" s="225" t="s">
        <v>377</v>
      </c>
      <c r="B169" s="226" t="s">
        <v>374</v>
      </c>
      <c r="C169" s="226" t="s">
        <v>46</v>
      </c>
      <c r="D169" s="226"/>
      <c r="E169" s="226"/>
      <c r="F169" s="226"/>
      <c r="G169" s="226" t="s">
        <v>53</v>
      </c>
      <c r="H169" s="227" t="s">
        <v>387</v>
      </c>
      <c r="I169" s="78" t="s">
        <v>381</v>
      </c>
    </row>
    <row r="170" spans="1:9" s="119" customFormat="1" ht="51.75" x14ac:dyDescent="0.35">
      <c r="A170" s="225" t="s">
        <v>379</v>
      </c>
      <c r="B170" s="226" t="s">
        <v>375</v>
      </c>
      <c r="C170" s="226" t="s">
        <v>46</v>
      </c>
      <c r="D170" s="226"/>
      <c r="E170" s="226"/>
      <c r="F170" s="226"/>
      <c r="G170" s="226" t="s">
        <v>53</v>
      </c>
      <c r="H170" s="227" t="s">
        <v>386</v>
      </c>
      <c r="I170" s="78" t="s">
        <v>382</v>
      </c>
    </row>
    <row r="171" spans="1:9" s="119" customFormat="1" ht="17.25" x14ac:dyDescent="0.35">
      <c r="A171" s="228" t="s">
        <v>498</v>
      </c>
      <c r="B171" s="226" t="s">
        <v>499</v>
      </c>
      <c r="C171" s="226" t="s">
        <v>67</v>
      </c>
      <c r="D171" s="226"/>
      <c r="E171" s="226"/>
      <c r="F171" s="226"/>
      <c r="G171" s="226" t="s">
        <v>53</v>
      </c>
      <c r="H171" s="227"/>
      <c r="I171" s="79">
        <v>71568</v>
      </c>
    </row>
    <row r="172" spans="1:9" s="119" customFormat="1" ht="17.25" x14ac:dyDescent="0.35">
      <c r="A172" s="228"/>
      <c r="B172" s="226"/>
      <c r="C172" s="226"/>
      <c r="D172" s="226" t="s">
        <v>44</v>
      </c>
      <c r="E172" s="226">
        <v>1</v>
      </c>
      <c r="F172" s="226">
        <v>1</v>
      </c>
      <c r="G172" s="226"/>
      <c r="H172" s="227"/>
      <c r="I172" s="79" t="s">
        <v>500</v>
      </c>
    </row>
    <row r="173" spans="1:9" s="119" customFormat="1" ht="34.5" x14ac:dyDescent="0.35">
      <c r="A173" s="228"/>
      <c r="B173" s="226"/>
      <c r="C173" s="226"/>
      <c r="D173" s="226" t="s">
        <v>44</v>
      </c>
      <c r="E173" s="226">
        <v>1</v>
      </c>
      <c r="F173" s="226">
        <v>1</v>
      </c>
      <c r="G173" s="226"/>
      <c r="H173" s="227"/>
      <c r="I173" s="79" t="s">
        <v>501</v>
      </c>
    </row>
    <row r="174" spans="1:9" s="119" customFormat="1" ht="17.25" x14ac:dyDescent="0.35">
      <c r="A174" s="228"/>
      <c r="B174" s="226"/>
      <c r="C174" s="226"/>
      <c r="D174" s="226" t="s">
        <v>44</v>
      </c>
      <c r="E174" s="226">
        <v>1</v>
      </c>
      <c r="F174" s="226">
        <v>1</v>
      </c>
      <c r="G174" s="226"/>
      <c r="H174" s="227"/>
      <c r="I174" s="79" t="s">
        <v>502</v>
      </c>
    </row>
    <row r="175" spans="1:9" s="119" customFormat="1" ht="17.25" x14ac:dyDescent="0.35">
      <c r="A175" s="228"/>
      <c r="B175" s="226"/>
      <c r="C175" s="226"/>
      <c r="D175" s="226" t="s">
        <v>44</v>
      </c>
      <c r="E175" s="226">
        <v>1</v>
      </c>
      <c r="F175" s="226">
        <v>1</v>
      </c>
      <c r="G175" s="226"/>
      <c r="H175" s="227"/>
      <c r="I175" s="79" t="s">
        <v>503</v>
      </c>
    </row>
    <row r="176" spans="1:9" s="119" customFormat="1" ht="17.25" x14ac:dyDescent="0.35">
      <c r="A176" s="228"/>
      <c r="B176" s="226"/>
      <c r="C176" s="226"/>
      <c r="D176" s="226" t="s">
        <v>44</v>
      </c>
      <c r="E176" s="226">
        <v>8</v>
      </c>
      <c r="F176" s="226">
        <v>0</v>
      </c>
      <c r="G176" s="226"/>
      <c r="H176" s="227"/>
      <c r="I176" s="79" t="s">
        <v>265</v>
      </c>
    </row>
    <row r="177" spans="1:9" s="119" customFormat="1" ht="17.25" x14ac:dyDescent="0.35">
      <c r="A177" s="228" t="s">
        <v>514</v>
      </c>
      <c r="B177" s="226" t="s">
        <v>515</v>
      </c>
      <c r="C177" s="226" t="s">
        <v>67</v>
      </c>
      <c r="D177" s="226"/>
      <c r="E177" s="226"/>
      <c r="F177" s="226"/>
      <c r="G177" s="226" t="s">
        <v>53</v>
      </c>
      <c r="H177" s="227"/>
      <c r="I177" s="79">
        <v>70331</v>
      </c>
    </row>
    <row r="178" spans="1:9" s="119" customFormat="1" ht="17.25" x14ac:dyDescent="0.35">
      <c r="A178" s="228"/>
      <c r="B178" s="226"/>
      <c r="C178" s="226"/>
      <c r="D178" s="226" t="s">
        <v>44</v>
      </c>
      <c r="E178" s="226">
        <v>1</v>
      </c>
      <c r="F178" s="226">
        <v>1</v>
      </c>
      <c r="G178" s="226"/>
      <c r="H178" s="227"/>
      <c r="I178" s="79"/>
    </row>
    <row r="179" spans="1:9" s="119" customFormat="1" ht="17.25" x14ac:dyDescent="0.35">
      <c r="A179" s="228" t="s">
        <v>516</v>
      </c>
      <c r="B179" s="226" t="s">
        <v>517</v>
      </c>
      <c r="C179" s="226" t="s">
        <v>67</v>
      </c>
      <c r="D179" s="226"/>
      <c r="E179" s="226"/>
      <c r="F179" s="226"/>
      <c r="G179" s="226" t="s">
        <v>53</v>
      </c>
      <c r="H179" s="227"/>
      <c r="I179" s="79">
        <v>70361</v>
      </c>
    </row>
    <row r="180" spans="1:9" s="119" customFormat="1" ht="17.25" x14ac:dyDescent="0.35">
      <c r="A180" s="228"/>
      <c r="B180" s="226"/>
      <c r="C180" s="226"/>
      <c r="D180" s="226" t="s">
        <v>44</v>
      </c>
      <c r="E180" s="226">
        <v>1</v>
      </c>
      <c r="F180" s="226">
        <v>1</v>
      </c>
      <c r="G180" s="226"/>
      <c r="H180" s="227"/>
      <c r="I180" s="79" t="s">
        <v>518</v>
      </c>
    </row>
    <row r="181" spans="1:9" s="119" customFormat="1" ht="17.25" x14ac:dyDescent="0.35">
      <c r="A181" s="228" t="s">
        <v>519</v>
      </c>
      <c r="B181" s="226" t="s">
        <v>520</v>
      </c>
      <c r="C181" s="226" t="s">
        <v>67</v>
      </c>
      <c r="D181" s="226"/>
      <c r="E181" s="226"/>
      <c r="F181" s="226"/>
      <c r="G181" s="226" t="s">
        <v>53</v>
      </c>
      <c r="H181" s="227"/>
      <c r="I181" s="79">
        <v>72564</v>
      </c>
    </row>
    <row r="182" spans="1:9" s="119" customFormat="1" ht="17.25" x14ac:dyDescent="0.35">
      <c r="A182" s="228"/>
      <c r="B182" s="226"/>
      <c r="C182" s="226"/>
      <c r="D182" s="226" t="s">
        <v>44</v>
      </c>
      <c r="E182" s="226">
        <v>1</v>
      </c>
      <c r="F182" s="226">
        <v>0</v>
      </c>
      <c r="G182" s="226"/>
      <c r="H182" s="227"/>
      <c r="I182" s="79"/>
    </row>
    <row r="183" spans="1:9" s="119" customFormat="1" ht="17.25" x14ac:dyDescent="0.35">
      <c r="A183" s="228" t="s">
        <v>521</v>
      </c>
      <c r="B183" s="226" t="s">
        <v>522</v>
      </c>
      <c r="C183" s="226" t="s">
        <v>67</v>
      </c>
      <c r="D183" s="226"/>
      <c r="E183" s="226"/>
      <c r="F183" s="226"/>
      <c r="G183" s="226" t="s">
        <v>53</v>
      </c>
      <c r="H183" s="227"/>
      <c r="I183" s="79">
        <v>72579</v>
      </c>
    </row>
    <row r="184" spans="1:9" s="119" customFormat="1" ht="17.25" x14ac:dyDescent="0.35">
      <c r="A184" s="228"/>
      <c r="B184" s="226"/>
      <c r="C184" s="226"/>
      <c r="D184" s="226" t="s">
        <v>44</v>
      </c>
      <c r="E184" s="226">
        <v>1</v>
      </c>
      <c r="F184" s="226">
        <v>0</v>
      </c>
      <c r="G184" s="226"/>
      <c r="H184" s="227"/>
      <c r="I184" s="79" t="s">
        <v>262</v>
      </c>
    </row>
    <row r="185" spans="1:9" s="119" customFormat="1" ht="17.25" x14ac:dyDescent="0.35">
      <c r="A185" s="228"/>
      <c r="B185" s="226"/>
      <c r="C185" s="226"/>
      <c r="D185" s="226" t="s">
        <v>44</v>
      </c>
      <c r="E185" s="226">
        <v>1</v>
      </c>
      <c r="F185" s="226">
        <v>0</v>
      </c>
      <c r="G185" s="226"/>
      <c r="H185" s="227"/>
      <c r="I185" s="79" t="s">
        <v>523</v>
      </c>
    </row>
    <row r="186" spans="1:9" s="119" customFormat="1" ht="17.25" x14ac:dyDescent="0.35">
      <c r="A186" s="228"/>
      <c r="B186" s="226"/>
      <c r="C186" s="226"/>
      <c r="D186" s="226" t="s">
        <v>44</v>
      </c>
      <c r="E186" s="226">
        <v>1</v>
      </c>
      <c r="F186" s="226">
        <v>0</v>
      </c>
      <c r="G186" s="226"/>
      <c r="H186" s="227"/>
      <c r="I186" s="79" t="s">
        <v>265</v>
      </c>
    </row>
    <row r="187" spans="1:9" s="119" customFormat="1" ht="17.25" x14ac:dyDescent="0.35">
      <c r="A187" s="228"/>
      <c r="B187" s="226"/>
      <c r="C187" s="226"/>
      <c r="D187" s="226" t="s">
        <v>44</v>
      </c>
      <c r="E187" s="226">
        <v>1</v>
      </c>
      <c r="F187" s="226">
        <v>0</v>
      </c>
      <c r="G187" s="226"/>
      <c r="H187" s="227"/>
      <c r="I187" s="79" t="s">
        <v>265</v>
      </c>
    </row>
    <row r="188" spans="1:9" s="123" customFormat="1" ht="17.25" x14ac:dyDescent="0.35">
      <c r="A188" s="229" t="s">
        <v>605</v>
      </c>
      <c r="B188" s="226" t="s">
        <v>604</v>
      </c>
      <c r="C188" s="226" t="s">
        <v>539</v>
      </c>
      <c r="D188" s="226"/>
      <c r="E188" s="226"/>
      <c r="F188" s="226"/>
      <c r="G188" s="226" t="s">
        <v>53</v>
      </c>
      <c r="H188" s="227"/>
      <c r="I188" s="80">
        <v>73534</v>
      </c>
    </row>
    <row r="189" spans="1:9" s="123" customFormat="1" ht="17.25" x14ac:dyDescent="0.35">
      <c r="A189" s="229"/>
      <c r="B189" s="226"/>
      <c r="C189" s="226"/>
      <c r="D189" s="226" t="s">
        <v>44</v>
      </c>
      <c r="E189" s="226">
        <v>1</v>
      </c>
      <c r="F189" s="226">
        <v>1</v>
      </c>
      <c r="G189" s="226"/>
      <c r="H189" s="227"/>
      <c r="I189" s="80"/>
    </row>
    <row r="190" spans="1:9" s="123" customFormat="1" ht="17.25" x14ac:dyDescent="0.35">
      <c r="A190" s="229" t="s">
        <v>622</v>
      </c>
      <c r="B190" s="226" t="s">
        <v>623</v>
      </c>
      <c r="C190" s="226" t="s">
        <v>67</v>
      </c>
      <c r="D190" s="226"/>
      <c r="E190" s="226"/>
      <c r="F190" s="226"/>
      <c r="G190" s="226" t="s">
        <v>53</v>
      </c>
      <c r="H190" s="227"/>
      <c r="I190" s="80">
        <v>65633</v>
      </c>
    </row>
    <row r="191" spans="1:9" s="123" customFormat="1" ht="17.25" x14ac:dyDescent="0.35">
      <c r="A191" s="229"/>
      <c r="B191" s="226"/>
      <c r="C191" s="226"/>
      <c r="D191" s="226" t="s">
        <v>44</v>
      </c>
      <c r="E191" s="226">
        <v>8</v>
      </c>
      <c r="F191" s="226" t="s">
        <v>684</v>
      </c>
      <c r="G191" s="226"/>
      <c r="H191" s="227"/>
      <c r="I191" s="80" t="s">
        <v>624</v>
      </c>
    </row>
    <row r="192" spans="1:9" s="119" customFormat="1" ht="27.75" x14ac:dyDescent="0.35">
      <c r="A192" s="229" t="s">
        <v>625</v>
      </c>
      <c r="B192" s="226" t="s">
        <v>626</v>
      </c>
      <c r="C192" s="226" t="s">
        <v>67</v>
      </c>
      <c r="D192" s="226"/>
      <c r="E192" s="226"/>
      <c r="F192" s="226"/>
      <c r="G192" s="226" t="s">
        <v>53</v>
      </c>
      <c r="H192" s="227"/>
      <c r="I192" s="80">
        <v>70358</v>
      </c>
    </row>
    <row r="193" spans="1:10" s="119" customFormat="1" ht="17.25" x14ac:dyDescent="0.35">
      <c r="A193" s="229"/>
      <c r="B193" s="226"/>
      <c r="C193" s="226"/>
      <c r="D193" s="226" t="s">
        <v>44</v>
      </c>
      <c r="E193" s="226">
        <v>1</v>
      </c>
      <c r="F193" s="226">
        <v>1</v>
      </c>
      <c r="G193" s="226"/>
      <c r="H193" s="227"/>
      <c r="I193" s="80" t="s">
        <v>627</v>
      </c>
    </row>
    <row r="194" spans="1:10" s="119" customFormat="1" ht="17.25" x14ac:dyDescent="0.35">
      <c r="A194" s="229"/>
      <c r="B194" s="226"/>
      <c r="C194" s="226"/>
      <c r="D194" s="226" t="s">
        <v>44</v>
      </c>
      <c r="E194" s="226">
        <v>1</v>
      </c>
      <c r="F194" s="226">
        <v>3</v>
      </c>
      <c r="G194" s="226"/>
      <c r="H194" s="227"/>
      <c r="I194" s="80" t="s">
        <v>628</v>
      </c>
    </row>
    <row r="195" spans="1:10" s="119" customFormat="1" ht="17.25" x14ac:dyDescent="0.35">
      <c r="A195" s="229" t="s">
        <v>708</v>
      </c>
      <c r="B195" s="226" t="s">
        <v>709</v>
      </c>
      <c r="C195" s="226" t="s">
        <v>67</v>
      </c>
      <c r="D195" s="226"/>
      <c r="E195" s="226"/>
      <c r="F195" s="226"/>
      <c r="G195" s="226" t="s">
        <v>53</v>
      </c>
      <c r="H195" s="227"/>
      <c r="I195" s="80">
        <v>73509</v>
      </c>
    </row>
    <row r="196" spans="1:10" s="119" customFormat="1" ht="17.25" x14ac:dyDescent="0.35">
      <c r="A196" s="229"/>
      <c r="B196" s="226"/>
      <c r="C196" s="226"/>
      <c r="D196" s="226" t="s">
        <v>44</v>
      </c>
      <c r="E196" s="226">
        <v>1</v>
      </c>
      <c r="F196" s="226">
        <v>0</v>
      </c>
      <c r="G196" s="226"/>
      <c r="H196" s="227"/>
      <c r="I196" s="80" t="s">
        <v>708</v>
      </c>
    </row>
    <row r="197" spans="1:10" s="119" customFormat="1" ht="17.25" x14ac:dyDescent="0.35">
      <c r="A197" s="259" t="s">
        <v>1398</v>
      </c>
      <c r="B197" s="260" t="s">
        <v>1399</v>
      </c>
      <c r="C197" s="261" t="s">
        <v>67</v>
      </c>
      <c r="D197" s="261"/>
      <c r="E197" s="260"/>
      <c r="F197" s="261"/>
      <c r="G197" s="261" t="s">
        <v>1180</v>
      </c>
      <c r="H197" s="262"/>
      <c r="I197" s="263">
        <v>73657</v>
      </c>
    </row>
    <row r="198" spans="1:10" s="119" customFormat="1" ht="17.25" x14ac:dyDescent="0.35">
      <c r="A198" s="259"/>
      <c r="B198" s="260"/>
      <c r="C198" s="261"/>
      <c r="D198" s="261" t="s">
        <v>44</v>
      </c>
      <c r="E198" s="260">
        <v>1</v>
      </c>
      <c r="F198" s="261">
        <v>1</v>
      </c>
      <c r="G198" s="261"/>
      <c r="H198" s="262"/>
      <c r="I198" s="263"/>
    </row>
    <row r="199" spans="1:10" s="123" customFormat="1" ht="17.25" x14ac:dyDescent="0.35">
      <c r="A199" s="225" t="s">
        <v>236</v>
      </c>
      <c r="B199" s="136" t="s">
        <v>1213</v>
      </c>
      <c r="C199" s="136" t="s">
        <v>46</v>
      </c>
      <c r="D199" s="136"/>
      <c r="E199" s="136"/>
      <c r="F199" s="136"/>
      <c r="G199" s="136" t="s">
        <v>1180</v>
      </c>
      <c r="H199" s="227" t="s">
        <v>347</v>
      </c>
      <c r="I199" s="78" t="s">
        <v>340</v>
      </c>
    </row>
    <row r="200" spans="1:10" s="123" customFormat="1" ht="17.25" x14ac:dyDescent="0.35">
      <c r="A200" s="225" t="s">
        <v>285</v>
      </c>
      <c r="B200" s="136" t="s">
        <v>1214</v>
      </c>
      <c r="C200" s="136" t="s">
        <v>46</v>
      </c>
      <c r="D200" s="136"/>
      <c r="E200" s="136"/>
      <c r="F200" s="136"/>
      <c r="G200" s="136" t="s">
        <v>1180</v>
      </c>
      <c r="H200" s="227" t="s">
        <v>348</v>
      </c>
      <c r="I200" s="78" t="s">
        <v>341</v>
      </c>
    </row>
    <row r="201" spans="1:10" s="123" customFormat="1" ht="17.25" x14ac:dyDescent="0.35">
      <c r="A201" s="225" t="s">
        <v>286</v>
      </c>
      <c r="B201" s="136" t="s">
        <v>1215</v>
      </c>
      <c r="C201" s="136" t="s">
        <v>46</v>
      </c>
      <c r="D201" s="136"/>
      <c r="E201" s="136"/>
      <c r="F201" s="136"/>
      <c r="G201" s="136" t="s">
        <v>1180</v>
      </c>
      <c r="H201" s="227" t="s">
        <v>349</v>
      </c>
      <c r="I201" s="78" t="s">
        <v>342</v>
      </c>
    </row>
    <row r="202" spans="1:10" s="123" customFormat="1" ht="17.25" x14ac:dyDescent="0.35">
      <c r="A202" s="140" t="s">
        <v>1258</v>
      </c>
      <c r="B202" s="136" t="s">
        <v>1253</v>
      </c>
      <c r="C202" s="136" t="s">
        <v>46</v>
      </c>
      <c r="D202" s="136"/>
      <c r="E202" s="136"/>
      <c r="F202" s="136"/>
      <c r="G202" s="136" t="s">
        <v>1180</v>
      </c>
      <c r="H202" s="133" t="s">
        <v>1254</v>
      </c>
      <c r="I202" s="63" t="s">
        <v>1252</v>
      </c>
    </row>
    <row r="203" spans="1:10" s="123" customFormat="1" ht="17.25" x14ac:dyDescent="0.35">
      <c r="A203" s="140" t="s">
        <v>1257</v>
      </c>
      <c r="B203" s="136" t="s">
        <v>1250</v>
      </c>
      <c r="C203" s="136" t="s">
        <v>46</v>
      </c>
      <c r="D203" s="136"/>
      <c r="E203" s="136"/>
      <c r="F203" s="136"/>
      <c r="G203" s="136" t="s">
        <v>1180</v>
      </c>
      <c r="H203" s="133" t="s">
        <v>1251</v>
      </c>
      <c r="I203" s="63" t="s">
        <v>1252</v>
      </c>
    </row>
    <row r="204" spans="1:10" s="123" customFormat="1" ht="17.25" x14ac:dyDescent="0.35">
      <c r="A204" s="140" t="s">
        <v>1259</v>
      </c>
      <c r="B204" s="136" t="s">
        <v>1255</v>
      </c>
      <c r="C204" s="136" t="s">
        <v>46</v>
      </c>
      <c r="D204" s="136"/>
      <c r="E204" s="136"/>
      <c r="F204" s="136"/>
      <c r="G204" s="136" t="s">
        <v>1180</v>
      </c>
      <c r="H204" s="133" t="s">
        <v>1256</v>
      </c>
      <c r="I204" s="63" t="s">
        <v>1252</v>
      </c>
    </row>
    <row r="205" spans="1:10" s="123" customFormat="1" ht="17.25" x14ac:dyDescent="0.35">
      <c r="A205" s="140" t="s">
        <v>1260</v>
      </c>
      <c r="B205" s="136" t="s">
        <v>1247</v>
      </c>
      <c r="C205" s="136" t="s">
        <v>46</v>
      </c>
      <c r="D205" s="136"/>
      <c r="E205" s="136"/>
      <c r="F205" s="136"/>
      <c r="G205" s="136" t="s">
        <v>53</v>
      </c>
      <c r="H205" s="133" t="s">
        <v>1248</v>
      </c>
      <c r="I205" s="63" t="s">
        <v>1249</v>
      </c>
    </row>
    <row r="206" spans="1:10" s="123" customFormat="1" ht="17.25" x14ac:dyDescent="0.35">
      <c r="A206" s="135" t="s">
        <v>1217</v>
      </c>
      <c r="B206" s="136" t="s">
        <v>1218</v>
      </c>
      <c r="C206" s="136" t="s">
        <v>46</v>
      </c>
      <c r="D206" s="136"/>
      <c r="E206" s="136"/>
      <c r="F206" s="136"/>
      <c r="G206" s="136" t="s">
        <v>1180</v>
      </c>
      <c r="H206" s="133" t="s">
        <v>1219</v>
      </c>
      <c r="I206" s="60"/>
    </row>
    <row r="207" spans="1:10" s="119" customFormat="1" ht="17.25" x14ac:dyDescent="0.35">
      <c r="A207" s="225" t="s">
        <v>714</v>
      </c>
      <c r="B207" s="226"/>
      <c r="C207" s="226"/>
      <c r="D207" s="226"/>
      <c r="E207" s="226"/>
      <c r="F207" s="226"/>
      <c r="G207" s="226"/>
      <c r="H207" s="227"/>
      <c r="I207" s="78"/>
    </row>
    <row r="208" spans="1:10" s="119" customFormat="1" ht="17.25" x14ac:dyDescent="0.35">
      <c r="A208" s="225" t="s">
        <v>397</v>
      </c>
      <c r="B208" s="226" t="s">
        <v>226</v>
      </c>
      <c r="C208" s="226" t="s">
        <v>67</v>
      </c>
      <c r="D208" s="226"/>
      <c r="E208" s="226"/>
      <c r="F208" s="226"/>
      <c r="G208" s="226" t="s">
        <v>1180</v>
      </c>
      <c r="H208" s="227"/>
      <c r="I208" s="78">
        <v>69673</v>
      </c>
      <c r="J208" s="123"/>
    </row>
    <row r="209" spans="1:10" s="119" customFormat="1" ht="17.25" x14ac:dyDescent="0.35">
      <c r="A209" s="225"/>
      <c r="B209" s="226"/>
      <c r="C209" s="226"/>
      <c r="D209" s="226" t="s">
        <v>44</v>
      </c>
      <c r="E209" s="226">
        <v>1</v>
      </c>
      <c r="F209" s="226">
        <v>5</v>
      </c>
      <c r="G209" s="226"/>
      <c r="H209" s="227"/>
      <c r="I209" s="78" t="s">
        <v>7</v>
      </c>
      <c r="J209" s="123"/>
    </row>
    <row r="210" spans="1:10" s="119" customFormat="1" ht="17.25" x14ac:dyDescent="0.35">
      <c r="A210" s="234" t="s">
        <v>1272</v>
      </c>
      <c r="B210" s="136" t="s">
        <v>1273</v>
      </c>
      <c r="C210" s="136" t="s">
        <v>67</v>
      </c>
      <c r="D210" s="136"/>
      <c r="E210" s="136"/>
      <c r="F210" s="136"/>
      <c r="G210" s="136" t="s">
        <v>53</v>
      </c>
      <c r="H210" s="133"/>
      <c r="I210" s="115">
        <v>70315</v>
      </c>
      <c r="J210" s="123"/>
    </row>
    <row r="211" spans="1:10" s="119" customFormat="1" ht="17.25" x14ac:dyDescent="0.35">
      <c r="A211" s="234"/>
      <c r="B211" s="136"/>
      <c r="C211" s="136"/>
      <c r="D211" s="136" t="s">
        <v>44</v>
      </c>
      <c r="E211" s="136">
        <v>1</v>
      </c>
      <c r="F211" s="136">
        <v>2</v>
      </c>
      <c r="G211" s="136"/>
      <c r="H211" s="133"/>
      <c r="I211" s="115"/>
      <c r="J211" s="123"/>
    </row>
    <row r="212" spans="1:10" s="119" customFormat="1" ht="19.5" x14ac:dyDescent="0.4">
      <c r="A212" s="230" t="s">
        <v>715</v>
      </c>
      <c r="B212" s="231" t="s">
        <v>716</v>
      </c>
      <c r="C212" s="231" t="s">
        <v>67</v>
      </c>
      <c r="D212" s="231"/>
      <c r="E212" s="231"/>
      <c r="F212" s="231"/>
      <c r="G212" s="226" t="s">
        <v>1180</v>
      </c>
      <c r="H212" s="232"/>
      <c r="I212" s="81">
        <v>67332</v>
      </c>
      <c r="J212" s="123"/>
    </row>
    <row r="213" spans="1:10" s="119" customFormat="1" ht="19.5" x14ac:dyDescent="0.4">
      <c r="A213" s="230" t="s">
        <v>254</v>
      </c>
      <c r="B213" s="231" t="s">
        <v>254</v>
      </c>
      <c r="C213" s="231"/>
      <c r="D213" s="231" t="s">
        <v>44</v>
      </c>
      <c r="E213" s="231">
        <v>1</v>
      </c>
      <c r="F213" s="231">
        <v>6</v>
      </c>
      <c r="G213" s="231"/>
      <c r="H213" s="232"/>
      <c r="I213" s="81" t="s">
        <v>717</v>
      </c>
      <c r="J213" s="123"/>
    </row>
    <row r="214" spans="1:10" s="119" customFormat="1" ht="19.5" x14ac:dyDescent="0.4">
      <c r="A214" s="230" t="s">
        <v>254</v>
      </c>
      <c r="B214" s="231" t="s">
        <v>254</v>
      </c>
      <c r="C214" s="231"/>
      <c r="D214" s="231" t="s">
        <v>44</v>
      </c>
      <c r="E214" s="231">
        <v>2</v>
      </c>
      <c r="F214" s="231">
        <v>1400</v>
      </c>
      <c r="G214" s="231"/>
      <c r="H214" s="232"/>
      <c r="I214" s="81" t="s">
        <v>1087</v>
      </c>
      <c r="J214" s="123"/>
    </row>
    <row r="215" spans="1:10" s="119" customFormat="1" ht="19.5" x14ac:dyDescent="0.4">
      <c r="A215" s="230" t="s">
        <v>254</v>
      </c>
      <c r="B215" s="231" t="s">
        <v>254</v>
      </c>
      <c r="C215" s="231"/>
      <c r="D215" s="231" t="s">
        <v>44</v>
      </c>
      <c r="E215" s="231">
        <v>1</v>
      </c>
      <c r="F215" s="231">
        <v>0</v>
      </c>
      <c r="G215" s="231"/>
      <c r="H215" s="232"/>
      <c r="I215" s="81" t="s">
        <v>1088</v>
      </c>
      <c r="J215" s="123"/>
    </row>
    <row r="216" spans="1:10" s="119" customFormat="1" ht="19.5" x14ac:dyDescent="0.4">
      <c r="A216" s="230" t="s">
        <v>254</v>
      </c>
      <c r="B216" s="231" t="s">
        <v>254</v>
      </c>
      <c r="C216" s="231"/>
      <c r="D216" s="231" t="s">
        <v>44</v>
      </c>
      <c r="E216" s="231">
        <v>2</v>
      </c>
      <c r="F216" s="231">
        <v>0</v>
      </c>
      <c r="G216" s="231"/>
      <c r="H216" s="232"/>
      <c r="I216" s="81" t="s">
        <v>1089</v>
      </c>
      <c r="J216" s="123"/>
    </row>
    <row r="217" spans="1:10" s="119" customFormat="1" ht="19.5" x14ac:dyDescent="0.4">
      <c r="A217" s="230" t="s">
        <v>254</v>
      </c>
      <c r="B217" s="231" t="s">
        <v>254</v>
      </c>
      <c r="C217" s="231"/>
      <c r="D217" s="231" t="s">
        <v>44</v>
      </c>
      <c r="E217" s="231">
        <v>1</v>
      </c>
      <c r="F217" s="231">
        <v>0</v>
      </c>
      <c r="G217" s="231"/>
      <c r="H217" s="232"/>
      <c r="I217" s="81" t="s">
        <v>1090</v>
      </c>
      <c r="J217" s="123"/>
    </row>
    <row r="218" spans="1:10" s="119" customFormat="1" ht="19.5" x14ac:dyDescent="0.4">
      <c r="A218" s="230" t="s">
        <v>254</v>
      </c>
      <c r="B218" s="231" t="s">
        <v>254</v>
      </c>
      <c r="C218" s="231"/>
      <c r="D218" s="231" t="s">
        <v>44</v>
      </c>
      <c r="E218" s="231">
        <v>1</v>
      </c>
      <c r="F218" s="231">
        <v>0</v>
      </c>
      <c r="G218" s="231"/>
      <c r="H218" s="232"/>
      <c r="I218" s="81" t="s">
        <v>1091</v>
      </c>
      <c r="J218" s="123"/>
    </row>
    <row r="219" spans="1:10" s="119" customFormat="1" ht="19.5" x14ac:dyDescent="0.4">
      <c r="A219" s="230" t="s">
        <v>254</v>
      </c>
      <c r="B219" s="231" t="s">
        <v>254</v>
      </c>
      <c r="C219" s="231"/>
      <c r="D219" s="231" t="s">
        <v>44</v>
      </c>
      <c r="E219" s="231">
        <v>1</v>
      </c>
      <c r="F219" s="231">
        <v>0</v>
      </c>
      <c r="G219" s="231"/>
      <c r="H219" s="232"/>
      <c r="I219" s="81" t="s">
        <v>1092</v>
      </c>
      <c r="J219" s="123"/>
    </row>
    <row r="220" spans="1:10" s="119" customFormat="1" ht="19.5" x14ac:dyDescent="0.4">
      <c r="A220" s="230" t="s">
        <v>254</v>
      </c>
      <c r="B220" s="231" t="s">
        <v>254</v>
      </c>
      <c r="C220" s="231"/>
      <c r="D220" s="231" t="s">
        <v>44</v>
      </c>
      <c r="E220" s="231">
        <v>1</v>
      </c>
      <c r="F220" s="231">
        <v>0</v>
      </c>
      <c r="G220" s="231"/>
      <c r="H220" s="232"/>
      <c r="I220" s="81" t="s">
        <v>1093</v>
      </c>
      <c r="J220" s="123"/>
    </row>
    <row r="221" spans="1:10" s="119" customFormat="1" ht="19.5" x14ac:dyDescent="0.4">
      <c r="A221" s="230" t="s">
        <v>254</v>
      </c>
      <c r="B221" s="231" t="s">
        <v>254</v>
      </c>
      <c r="C221" s="231"/>
      <c r="D221" s="231" t="s">
        <v>44</v>
      </c>
      <c r="E221" s="231">
        <v>1</v>
      </c>
      <c r="F221" s="231">
        <v>0</v>
      </c>
      <c r="G221" s="231"/>
      <c r="H221" s="232"/>
      <c r="I221" s="81" t="s">
        <v>1094</v>
      </c>
      <c r="J221" s="123"/>
    </row>
    <row r="222" spans="1:10" s="119" customFormat="1" ht="19.5" x14ac:dyDescent="0.4">
      <c r="A222" s="230" t="s">
        <v>254</v>
      </c>
      <c r="B222" s="231" t="s">
        <v>254</v>
      </c>
      <c r="C222" s="231"/>
      <c r="D222" s="231" t="s">
        <v>44</v>
      </c>
      <c r="E222" s="231">
        <v>1</v>
      </c>
      <c r="F222" s="231">
        <v>0</v>
      </c>
      <c r="G222" s="231"/>
      <c r="H222" s="232"/>
      <c r="I222" s="81" t="s">
        <v>1095</v>
      </c>
      <c r="J222" s="123"/>
    </row>
    <row r="223" spans="1:10" s="119" customFormat="1" ht="19.5" x14ac:dyDescent="0.4">
      <c r="A223" s="230" t="s">
        <v>254</v>
      </c>
      <c r="B223" s="231" t="s">
        <v>254</v>
      </c>
      <c r="C223" s="231"/>
      <c r="D223" s="231" t="s">
        <v>44</v>
      </c>
      <c r="E223" s="231">
        <v>2</v>
      </c>
      <c r="F223" s="231">
        <v>0</v>
      </c>
      <c r="G223" s="231"/>
      <c r="H223" s="232"/>
      <c r="I223" s="81" t="s">
        <v>1096</v>
      </c>
      <c r="J223" s="123"/>
    </row>
    <row r="224" spans="1:10" s="119" customFormat="1" ht="19.5" x14ac:dyDescent="0.4">
      <c r="A224" s="230" t="s">
        <v>254</v>
      </c>
      <c r="B224" s="231" t="s">
        <v>254</v>
      </c>
      <c r="C224" s="231"/>
      <c r="D224" s="231" t="s">
        <v>44</v>
      </c>
      <c r="E224" s="231">
        <v>2</v>
      </c>
      <c r="F224" s="231">
        <v>0</v>
      </c>
      <c r="G224" s="231"/>
      <c r="H224" s="232"/>
      <c r="I224" s="81" t="s">
        <v>1097</v>
      </c>
      <c r="J224" s="123"/>
    </row>
    <row r="225" spans="1:10" s="119" customFormat="1" ht="19.5" x14ac:dyDescent="0.4">
      <c r="A225" s="230" t="s">
        <v>254</v>
      </c>
      <c r="B225" s="231" t="s">
        <v>254</v>
      </c>
      <c r="C225" s="231"/>
      <c r="D225" s="231" t="s">
        <v>44</v>
      </c>
      <c r="E225" s="231">
        <v>1</v>
      </c>
      <c r="F225" s="231">
        <v>0</v>
      </c>
      <c r="G225" s="231"/>
      <c r="H225" s="232"/>
      <c r="I225" s="81" t="s">
        <v>1098</v>
      </c>
      <c r="J225" s="123"/>
    </row>
    <row r="226" spans="1:10" s="119" customFormat="1" ht="19.5" x14ac:dyDescent="0.4">
      <c r="A226" s="230" t="s">
        <v>254</v>
      </c>
      <c r="B226" s="231" t="s">
        <v>254</v>
      </c>
      <c r="C226" s="231"/>
      <c r="D226" s="231" t="s">
        <v>44</v>
      </c>
      <c r="E226" s="231">
        <v>1</v>
      </c>
      <c r="F226" s="231">
        <v>0</v>
      </c>
      <c r="G226" s="231"/>
      <c r="H226" s="232"/>
      <c r="I226" s="81" t="s">
        <v>1099</v>
      </c>
      <c r="J226" s="123"/>
    </row>
    <row r="227" spans="1:10" s="119" customFormat="1" ht="19.5" x14ac:dyDescent="0.4">
      <c r="A227" s="230" t="s">
        <v>254</v>
      </c>
      <c r="B227" s="231" t="s">
        <v>254</v>
      </c>
      <c r="C227" s="231"/>
      <c r="D227" s="231" t="s">
        <v>44</v>
      </c>
      <c r="E227" s="231">
        <v>1</v>
      </c>
      <c r="F227" s="231">
        <v>2</v>
      </c>
      <c r="G227" s="231"/>
      <c r="H227" s="232"/>
      <c r="I227" s="81" t="s">
        <v>1100</v>
      </c>
      <c r="J227" s="123"/>
    </row>
    <row r="228" spans="1:10" s="119" customFormat="1" ht="19.5" x14ac:dyDescent="0.4">
      <c r="A228" s="230" t="s">
        <v>254</v>
      </c>
      <c r="B228" s="231" t="s">
        <v>254</v>
      </c>
      <c r="C228" s="231"/>
      <c r="D228" s="231" t="s">
        <v>44</v>
      </c>
      <c r="E228" s="231">
        <v>1</v>
      </c>
      <c r="F228" s="231">
        <v>0</v>
      </c>
      <c r="G228" s="231"/>
      <c r="H228" s="232"/>
      <c r="I228" s="81" t="s">
        <v>1101</v>
      </c>
      <c r="J228" s="123"/>
    </row>
    <row r="229" spans="1:10" s="119" customFormat="1" ht="19.5" x14ac:dyDescent="0.4">
      <c r="A229" s="230" t="s">
        <v>254</v>
      </c>
      <c r="B229" s="231" t="s">
        <v>254</v>
      </c>
      <c r="C229" s="231"/>
      <c r="D229" s="231" t="s">
        <v>44</v>
      </c>
      <c r="E229" s="231">
        <v>1</v>
      </c>
      <c r="F229" s="231">
        <v>100</v>
      </c>
      <c r="G229" s="231"/>
      <c r="H229" s="232"/>
      <c r="I229" s="81" t="s">
        <v>1102</v>
      </c>
      <c r="J229" s="123"/>
    </row>
    <row r="230" spans="1:10" s="119" customFormat="1" ht="19.5" x14ac:dyDescent="0.4">
      <c r="A230" s="230" t="s">
        <v>254</v>
      </c>
      <c r="B230" s="231" t="s">
        <v>254</v>
      </c>
      <c r="C230" s="231"/>
      <c r="D230" s="231" t="s">
        <v>44</v>
      </c>
      <c r="E230" s="231">
        <v>1</v>
      </c>
      <c r="F230" s="231">
        <v>40</v>
      </c>
      <c r="G230" s="231"/>
      <c r="H230" s="232"/>
      <c r="I230" s="81" t="s">
        <v>1103</v>
      </c>
      <c r="J230" s="123"/>
    </row>
    <row r="231" spans="1:10" s="119" customFormat="1" ht="19.5" x14ac:dyDescent="0.4">
      <c r="A231" s="230" t="s">
        <v>254</v>
      </c>
      <c r="B231" s="231" t="s">
        <v>254</v>
      </c>
      <c r="C231" s="231"/>
      <c r="D231" s="231" t="s">
        <v>44</v>
      </c>
      <c r="E231" s="231">
        <v>1</v>
      </c>
      <c r="F231" s="231">
        <v>0</v>
      </c>
      <c r="G231" s="231"/>
      <c r="H231" s="232"/>
      <c r="I231" s="81" t="s">
        <v>1104</v>
      </c>
      <c r="J231" s="123"/>
    </row>
    <row r="232" spans="1:10" s="119" customFormat="1" ht="19.5" x14ac:dyDescent="0.4">
      <c r="A232" s="230" t="s">
        <v>254</v>
      </c>
      <c r="B232" s="231" t="s">
        <v>254</v>
      </c>
      <c r="C232" s="231"/>
      <c r="D232" s="231" t="s">
        <v>44</v>
      </c>
      <c r="E232" s="231">
        <v>1</v>
      </c>
      <c r="F232" s="231">
        <v>0</v>
      </c>
      <c r="G232" s="231"/>
      <c r="H232" s="232"/>
      <c r="I232" s="81" t="s">
        <v>1105</v>
      </c>
      <c r="J232" s="123"/>
    </row>
    <row r="233" spans="1:10" s="119" customFormat="1" ht="19.5" x14ac:dyDescent="0.4">
      <c r="A233" s="230" t="s">
        <v>254</v>
      </c>
      <c r="B233" s="231" t="s">
        <v>254</v>
      </c>
      <c r="C233" s="231"/>
      <c r="D233" s="231" t="s">
        <v>44</v>
      </c>
      <c r="E233" s="231">
        <v>1</v>
      </c>
      <c r="F233" s="231">
        <v>0</v>
      </c>
      <c r="G233" s="231"/>
      <c r="H233" s="232"/>
      <c r="I233" s="81" t="s">
        <v>1106</v>
      </c>
      <c r="J233" s="123"/>
    </row>
    <row r="234" spans="1:10" s="119" customFormat="1" ht="19.5" x14ac:dyDescent="0.4">
      <c r="A234" s="230" t="s">
        <v>254</v>
      </c>
      <c r="B234" s="231" t="s">
        <v>254</v>
      </c>
      <c r="C234" s="231"/>
      <c r="D234" s="231" t="s">
        <v>44</v>
      </c>
      <c r="E234" s="231">
        <v>1</v>
      </c>
      <c r="F234" s="231">
        <v>20</v>
      </c>
      <c r="G234" s="231"/>
      <c r="H234" s="232"/>
      <c r="I234" s="81" t="s">
        <v>1107</v>
      </c>
      <c r="J234" s="123"/>
    </row>
    <row r="235" spans="1:10" s="119" customFormat="1" ht="19.5" x14ac:dyDescent="0.4">
      <c r="A235" s="230" t="s">
        <v>254</v>
      </c>
      <c r="B235" s="231" t="s">
        <v>254</v>
      </c>
      <c r="C235" s="231"/>
      <c r="D235" s="231" t="s">
        <v>44</v>
      </c>
      <c r="E235" s="231">
        <v>2</v>
      </c>
      <c r="F235" s="231">
        <v>5</v>
      </c>
      <c r="G235" s="231"/>
      <c r="H235" s="232"/>
      <c r="I235" s="81" t="s">
        <v>1108</v>
      </c>
      <c r="J235" s="123"/>
    </row>
    <row r="236" spans="1:10" s="119" customFormat="1" ht="19.5" x14ac:dyDescent="0.4">
      <c r="A236" s="230" t="s">
        <v>254</v>
      </c>
      <c r="B236" s="231" t="s">
        <v>254</v>
      </c>
      <c r="C236" s="231"/>
      <c r="D236" s="231" t="s">
        <v>44</v>
      </c>
      <c r="E236" s="231">
        <v>2</v>
      </c>
      <c r="F236" s="231">
        <v>60</v>
      </c>
      <c r="G236" s="231"/>
      <c r="H236" s="232"/>
      <c r="I236" s="81" t="s">
        <v>1109</v>
      </c>
      <c r="J236" s="123"/>
    </row>
    <row r="237" spans="1:10" s="119" customFormat="1" ht="19.5" x14ac:dyDescent="0.4">
      <c r="A237" s="230" t="s">
        <v>254</v>
      </c>
      <c r="B237" s="231" t="s">
        <v>254</v>
      </c>
      <c r="C237" s="231"/>
      <c r="D237" s="231" t="s">
        <v>44</v>
      </c>
      <c r="E237" s="231">
        <v>2</v>
      </c>
      <c r="F237" s="231">
        <v>60</v>
      </c>
      <c r="G237" s="231"/>
      <c r="H237" s="232"/>
      <c r="I237" s="81" t="s">
        <v>1110</v>
      </c>
      <c r="J237" s="123"/>
    </row>
    <row r="238" spans="1:10" s="178" customFormat="1" ht="19.5" x14ac:dyDescent="0.4">
      <c r="A238" s="230" t="s">
        <v>254</v>
      </c>
      <c r="B238" s="231" t="s">
        <v>254</v>
      </c>
      <c r="C238" s="231"/>
      <c r="D238" s="231" t="s">
        <v>44</v>
      </c>
      <c r="E238" s="231">
        <v>2</v>
      </c>
      <c r="F238" s="231" t="s">
        <v>1111</v>
      </c>
      <c r="G238" s="231"/>
      <c r="H238" s="232"/>
      <c r="I238" s="81" t="s">
        <v>1112</v>
      </c>
      <c r="J238" s="123"/>
    </row>
    <row r="239" spans="1:10" s="119" customFormat="1" ht="19.5" x14ac:dyDescent="0.4">
      <c r="A239" s="230" t="s">
        <v>254</v>
      </c>
      <c r="B239" s="231" t="s">
        <v>254</v>
      </c>
      <c r="C239" s="231"/>
      <c r="D239" s="231" t="s">
        <v>44</v>
      </c>
      <c r="E239" s="231">
        <v>1</v>
      </c>
      <c r="F239" s="231" t="s">
        <v>1113</v>
      </c>
      <c r="G239" s="231"/>
      <c r="H239" s="232"/>
      <c r="I239" s="81" t="s">
        <v>1114</v>
      </c>
      <c r="J239" s="123"/>
    </row>
    <row r="240" spans="1:10" s="119" customFormat="1" ht="19.5" x14ac:dyDescent="0.4">
      <c r="A240" s="230" t="s">
        <v>254</v>
      </c>
      <c r="B240" s="231" t="s">
        <v>254</v>
      </c>
      <c r="C240" s="231"/>
      <c r="D240" s="231" t="s">
        <v>44</v>
      </c>
      <c r="E240" s="231">
        <v>1</v>
      </c>
      <c r="F240" s="231" t="s">
        <v>1113</v>
      </c>
      <c r="G240" s="231"/>
      <c r="H240" s="232"/>
      <c r="I240" s="81" t="s">
        <v>1115</v>
      </c>
      <c r="J240" s="123"/>
    </row>
    <row r="241" spans="1:10" s="119" customFormat="1" ht="19.5" x14ac:dyDescent="0.4">
      <c r="A241" s="230" t="s">
        <v>254</v>
      </c>
      <c r="B241" s="231" t="s">
        <v>254</v>
      </c>
      <c r="C241" s="231"/>
      <c r="D241" s="231" t="s">
        <v>44</v>
      </c>
      <c r="E241" s="231">
        <v>1</v>
      </c>
      <c r="F241" s="231" t="s">
        <v>1113</v>
      </c>
      <c r="G241" s="231"/>
      <c r="H241" s="232"/>
      <c r="I241" s="81" t="s">
        <v>1116</v>
      </c>
      <c r="J241" s="123"/>
    </row>
    <row r="242" spans="1:10" s="119" customFormat="1" ht="19.5" x14ac:dyDescent="0.4">
      <c r="A242" s="230" t="s">
        <v>254</v>
      </c>
      <c r="B242" s="231" t="s">
        <v>254</v>
      </c>
      <c r="C242" s="231"/>
      <c r="D242" s="231" t="s">
        <v>44</v>
      </c>
      <c r="E242" s="231">
        <v>2</v>
      </c>
      <c r="F242" s="231" t="s">
        <v>1113</v>
      </c>
      <c r="G242" s="231"/>
      <c r="H242" s="232"/>
      <c r="I242" s="81" t="s">
        <v>1117</v>
      </c>
      <c r="J242" s="123"/>
    </row>
    <row r="243" spans="1:10" s="119" customFormat="1" ht="19.5" x14ac:dyDescent="0.4">
      <c r="A243" s="230"/>
      <c r="B243" s="231"/>
      <c r="C243" s="231"/>
      <c r="D243" s="231" t="s">
        <v>44</v>
      </c>
      <c r="E243" s="231">
        <v>1</v>
      </c>
      <c r="F243" s="231">
        <v>3</v>
      </c>
      <c r="G243" s="231"/>
      <c r="H243" s="232"/>
      <c r="I243" s="81" t="s">
        <v>1118</v>
      </c>
      <c r="J243" s="123"/>
    </row>
    <row r="244" spans="1:10" s="119" customFormat="1" ht="19.5" x14ac:dyDescent="0.4">
      <c r="A244" s="230"/>
      <c r="B244" s="231"/>
      <c r="C244" s="231"/>
      <c r="D244" s="231" t="s">
        <v>44</v>
      </c>
      <c r="E244" s="231">
        <v>1</v>
      </c>
      <c r="F244" s="231">
        <v>0</v>
      </c>
      <c r="G244" s="231"/>
      <c r="H244" s="232"/>
      <c r="I244" s="81" t="s">
        <v>1119</v>
      </c>
      <c r="J244" s="123"/>
    </row>
    <row r="245" spans="1:10" s="119" customFormat="1" ht="19.5" x14ac:dyDescent="0.4">
      <c r="A245" s="230"/>
      <c r="B245" s="231"/>
      <c r="C245" s="231"/>
      <c r="D245" s="231" t="s">
        <v>44</v>
      </c>
      <c r="E245" s="231">
        <v>1</v>
      </c>
      <c r="F245" s="231">
        <v>0</v>
      </c>
      <c r="G245" s="231"/>
      <c r="H245" s="232"/>
      <c r="I245" s="81" t="s">
        <v>1120</v>
      </c>
      <c r="J245" s="123"/>
    </row>
    <row r="246" spans="1:10" s="119" customFormat="1" ht="19.5" x14ac:dyDescent="0.4">
      <c r="A246" s="230"/>
      <c r="B246" s="231"/>
      <c r="C246" s="231"/>
      <c r="D246" s="231" t="s">
        <v>44</v>
      </c>
      <c r="E246" s="231">
        <v>4</v>
      </c>
      <c r="F246" s="231">
        <v>46</v>
      </c>
      <c r="G246" s="231"/>
      <c r="H246" s="232"/>
      <c r="I246" s="81" t="s">
        <v>1121</v>
      </c>
      <c r="J246" s="123"/>
    </row>
    <row r="247" spans="1:10" s="119" customFormat="1" ht="19.5" x14ac:dyDescent="0.4">
      <c r="A247" s="230"/>
      <c r="B247" s="231"/>
      <c r="C247" s="231"/>
      <c r="D247" s="231" t="s">
        <v>44</v>
      </c>
      <c r="E247" s="231">
        <v>4</v>
      </c>
      <c r="F247" s="231">
        <v>46</v>
      </c>
      <c r="G247" s="231"/>
      <c r="H247" s="232"/>
      <c r="I247" s="81" t="s">
        <v>1122</v>
      </c>
      <c r="J247" s="123"/>
    </row>
    <row r="248" spans="1:10" s="119" customFormat="1" ht="19.5" x14ac:dyDescent="0.4">
      <c r="A248" s="230"/>
      <c r="B248" s="231"/>
      <c r="C248" s="231"/>
      <c r="D248" s="231" t="s">
        <v>44</v>
      </c>
      <c r="E248" s="231">
        <v>1</v>
      </c>
      <c r="F248" s="231">
        <v>0</v>
      </c>
      <c r="G248" s="231"/>
      <c r="H248" s="232"/>
      <c r="I248" s="81" t="s">
        <v>1123</v>
      </c>
      <c r="J248" s="123"/>
    </row>
    <row r="249" spans="1:10" s="119" customFormat="1" ht="19.5" x14ac:dyDescent="0.4">
      <c r="A249" s="230"/>
      <c r="B249" s="231"/>
      <c r="C249" s="231"/>
      <c r="D249" s="231" t="s">
        <v>44</v>
      </c>
      <c r="E249" s="231">
        <v>484</v>
      </c>
      <c r="F249" s="231"/>
      <c r="G249" s="231"/>
      <c r="H249" s="232"/>
      <c r="I249" s="81" t="s">
        <v>1033</v>
      </c>
      <c r="J249" s="123"/>
    </row>
    <row r="250" spans="1:10" s="119" customFormat="1" ht="17.25" x14ac:dyDescent="0.35">
      <c r="A250" s="225" t="s">
        <v>718</v>
      </c>
      <c r="B250" s="226" t="s">
        <v>719</v>
      </c>
      <c r="C250" s="226" t="s">
        <v>67</v>
      </c>
      <c r="D250" s="226"/>
      <c r="E250" s="226"/>
      <c r="F250" s="226"/>
      <c r="G250" s="226" t="s">
        <v>1180</v>
      </c>
      <c r="H250" s="227"/>
      <c r="I250" s="78">
        <v>70202</v>
      </c>
      <c r="J250" s="123"/>
    </row>
    <row r="251" spans="1:10" s="119" customFormat="1" ht="17.25" x14ac:dyDescent="0.35">
      <c r="A251" s="225"/>
      <c r="B251" s="226"/>
      <c r="C251" s="226"/>
      <c r="D251" s="226" t="s">
        <v>44</v>
      </c>
      <c r="E251" s="226">
        <v>1</v>
      </c>
      <c r="F251" s="226">
        <v>2</v>
      </c>
      <c r="G251" s="226"/>
      <c r="H251" s="227"/>
      <c r="I251" s="78"/>
      <c r="J251" s="123"/>
    </row>
    <row r="252" spans="1:10" s="119" customFormat="1" ht="17.25" x14ac:dyDescent="0.35">
      <c r="A252" s="225" t="s">
        <v>720</v>
      </c>
      <c r="B252" s="226" t="s">
        <v>721</v>
      </c>
      <c r="C252" s="226" t="s">
        <v>67</v>
      </c>
      <c r="D252" s="226"/>
      <c r="E252" s="226"/>
      <c r="F252" s="226"/>
      <c r="G252" s="226" t="s">
        <v>1180</v>
      </c>
      <c r="H252" s="227"/>
      <c r="I252" s="78">
        <v>69750</v>
      </c>
      <c r="J252" s="123"/>
    </row>
    <row r="253" spans="1:10" s="123" customFormat="1" ht="17.25" x14ac:dyDescent="0.35">
      <c r="A253" s="233"/>
      <c r="B253" s="136"/>
      <c r="C253" s="136"/>
      <c r="D253" s="136" t="s">
        <v>44</v>
      </c>
      <c r="E253" s="136">
        <v>1</v>
      </c>
      <c r="F253" s="136">
        <v>5</v>
      </c>
      <c r="G253" s="136"/>
      <c r="H253" s="133"/>
      <c r="I253" s="113" t="s">
        <v>262</v>
      </c>
    </row>
    <row r="254" spans="1:10" s="123" customFormat="1" ht="17.25" x14ac:dyDescent="0.35">
      <c r="A254" s="233"/>
      <c r="B254" s="136"/>
      <c r="C254" s="136"/>
      <c r="D254" s="136" t="s">
        <v>44</v>
      </c>
      <c r="E254" s="136">
        <v>1</v>
      </c>
      <c r="F254" s="136">
        <v>0</v>
      </c>
      <c r="G254" s="136"/>
      <c r="H254" s="133"/>
      <c r="I254" s="113" t="s">
        <v>722</v>
      </c>
    </row>
    <row r="255" spans="1:10" s="123" customFormat="1" ht="17.25" x14ac:dyDescent="0.35">
      <c r="A255" s="233"/>
      <c r="B255" s="136"/>
      <c r="C255" s="136"/>
      <c r="D255" s="136" t="s">
        <v>44</v>
      </c>
      <c r="E255" s="136">
        <v>1</v>
      </c>
      <c r="F255" s="136">
        <v>2</v>
      </c>
      <c r="G255" s="136"/>
      <c r="H255" s="133"/>
      <c r="I255" s="113" t="s">
        <v>723</v>
      </c>
    </row>
    <row r="256" spans="1:10" s="123" customFormat="1" ht="17.25" x14ac:dyDescent="0.35">
      <c r="A256" s="233"/>
      <c r="B256" s="136"/>
      <c r="C256" s="136"/>
      <c r="D256" s="136" t="s">
        <v>44</v>
      </c>
      <c r="E256" s="136">
        <v>4</v>
      </c>
      <c r="F256" s="136">
        <v>0</v>
      </c>
      <c r="G256" s="136"/>
      <c r="H256" s="133"/>
      <c r="I256" s="113" t="s">
        <v>1193</v>
      </c>
    </row>
    <row r="257" spans="1:10" s="123" customFormat="1" ht="17.25" x14ac:dyDescent="0.35">
      <c r="A257" s="233"/>
      <c r="B257" s="136"/>
      <c r="C257" s="136"/>
      <c r="D257" s="136" t="s">
        <v>44</v>
      </c>
      <c r="E257" s="136">
        <v>1</v>
      </c>
      <c r="F257" s="136">
        <v>2</v>
      </c>
      <c r="G257" s="136"/>
      <c r="H257" s="133"/>
      <c r="I257" s="113" t="s">
        <v>1194</v>
      </c>
    </row>
    <row r="258" spans="1:10" s="123" customFormat="1" ht="17.25" x14ac:dyDescent="0.35">
      <c r="A258" s="233"/>
      <c r="B258" s="136"/>
      <c r="C258" s="136"/>
      <c r="D258" s="136" t="s">
        <v>44</v>
      </c>
      <c r="E258" s="136">
        <v>1</v>
      </c>
      <c r="F258" s="136">
        <v>3</v>
      </c>
      <c r="G258" s="136"/>
      <c r="H258" s="133"/>
      <c r="I258" s="113" t="s">
        <v>1195</v>
      </c>
    </row>
    <row r="259" spans="1:10" s="123" customFormat="1" ht="17.25" x14ac:dyDescent="0.35">
      <c r="A259" s="233"/>
      <c r="B259" s="136"/>
      <c r="C259" s="136"/>
      <c r="D259" s="136" t="s">
        <v>44</v>
      </c>
      <c r="E259" s="136">
        <v>1</v>
      </c>
      <c r="F259" s="136">
        <v>0</v>
      </c>
      <c r="G259" s="136"/>
      <c r="H259" s="133"/>
      <c r="I259" s="113" t="s">
        <v>1196</v>
      </c>
    </row>
    <row r="260" spans="1:10" s="123" customFormat="1" ht="17.25" x14ac:dyDescent="0.35">
      <c r="A260" s="233"/>
      <c r="B260" s="136"/>
      <c r="C260" s="136"/>
      <c r="D260" s="136" t="s">
        <v>44</v>
      </c>
      <c r="E260" s="136">
        <v>1</v>
      </c>
      <c r="F260" s="136">
        <v>1</v>
      </c>
      <c r="G260" s="136"/>
      <c r="H260" s="133"/>
      <c r="I260" s="113" t="s">
        <v>1197</v>
      </c>
    </row>
    <row r="261" spans="1:10" s="123" customFormat="1" ht="17.25" x14ac:dyDescent="0.35">
      <c r="A261" s="233"/>
      <c r="B261" s="136"/>
      <c r="C261" s="136"/>
      <c r="D261" s="136" t="s">
        <v>45</v>
      </c>
      <c r="E261" s="136">
        <v>128</v>
      </c>
      <c r="F261" s="136"/>
      <c r="G261" s="136"/>
      <c r="H261" s="133"/>
      <c r="I261" s="113" t="s">
        <v>1267</v>
      </c>
    </row>
    <row r="262" spans="1:10" s="123" customFormat="1" ht="17.25" x14ac:dyDescent="0.35">
      <c r="A262" s="233"/>
      <c r="B262" s="136"/>
      <c r="C262" s="136"/>
      <c r="D262" s="136" t="s">
        <v>45</v>
      </c>
      <c r="E262" s="136">
        <v>373</v>
      </c>
      <c r="F262" s="136">
        <v>0</v>
      </c>
      <c r="G262" s="136"/>
      <c r="H262" s="133"/>
      <c r="I262" s="113" t="s">
        <v>265</v>
      </c>
    </row>
    <row r="263" spans="1:10" s="123" customFormat="1" ht="19.5" customHeight="1" x14ac:dyDescent="0.35">
      <c r="A263" s="234" t="s">
        <v>1207</v>
      </c>
      <c r="B263" s="136" t="s">
        <v>1208</v>
      </c>
      <c r="C263" s="136" t="s">
        <v>67</v>
      </c>
      <c r="D263" s="136"/>
      <c r="E263" s="136"/>
      <c r="F263" s="136"/>
      <c r="G263" s="226" t="s">
        <v>1180</v>
      </c>
      <c r="H263" s="133"/>
      <c r="I263" s="115">
        <v>73717</v>
      </c>
    </row>
    <row r="264" spans="1:10" s="123" customFormat="1" ht="19.5" customHeight="1" x14ac:dyDescent="0.35">
      <c r="A264" s="234"/>
      <c r="B264" s="136"/>
      <c r="C264" s="136"/>
      <c r="D264" s="136" t="s">
        <v>44</v>
      </c>
      <c r="E264" s="136">
        <v>1</v>
      </c>
      <c r="F264" s="136">
        <v>0</v>
      </c>
      <c r="G264" s="136"/>
      <c r="H264" s="133"/>
      <c r="I264" s="115"/>
    </row>
    <row r="265" spans="1:10" s="119" customFormat="1" ht="17.25" x14ac:dyDescent="0.35">
      <c r="A265" s="225" t="s">
        <v>724</v>
      </c>
      <c r="B265" s="226" t="s">
        <v>725</v>
      </c>
      <c r="C265" s="226" t="s">
        <v>67</v>
      </c>
      <c r="D265" s="226"/>
      <c r="E265" s="226"/>
      <c r="F265" s="226"/>
      <c r="G265" s="226" t="s">
        <v>1180</v>
      </c>
      <c r="H265" s="227"/>
      <c r="I265" s="78">
        <v>67194</v>
      </c>
      <c r="J265" s="123"/>
    </row>
    <row r="266" spans="1:10" s="119" customFormat="1" ht="69" x14ac:dyDescent="0.35">
      <c r="A266" s="225"/>
      <c r="B266" s="226"/>
      <c r="C266" s="226"/>
      <c r="D266" s="226" t="s">
        <v>44</v>
      </c>
      <c r="E266" s="226">
        <v>4</v>
      </c>
      <c r="F266" s="226">
        <v>20</v>
      </c>
      <c r="G266" s="226"/>
      <c r="H266" s="227"/>
      <c r="I266" s="78" t="s">
        <v>726</v>
      </c>
      <c r="J266" s="123"/>
    </row>
    <row r="267" spans="1:10" s="119" customFormat="1" ht="17.25" x14ac:dyDescent="0.35">
      <c r="A267" s="225" t="s">
        <v>727</v>
      </c>
      <c r="B267" s="226" t="s">
        <v>728</v>
      </c>
      <c r="C267" s="226" t="s">
        <v>67</v>
      </c>
      <c r="D267" s="226"/>
      <c r="E267" s="226"/>
      <c r="F267" s="226"/>
      <c r="G267" s="226" t="s">
        <v>1180</v>
      </c>
      <c r="H267" s="227"/>
      <c r="I267" s="78">
        <v>67195</v>
      </c>
      <c r="J267" s="123"/>
    </row>
    <row r="268" spans="1:10" s="119" customFormat="1" ht="17.25" x14ac:dyDescent="0.35">
      <c r="A268" s="225"/>
      <c r="B268" s="226"/>
      <c r="C268" s="226"/>
      <c r="D268" s="226" t="s">
        <v>44</v>
      </c>
      <c r="E268" s="226">
        <v>4</v>
      </c>
      <c r="F268" s="226">
        <v>5</v>
      </c>
      <c r="G268" s="226"/>
      <c r="H268" s="227"/>
      <c r="I268" s="78"/>
      <c r="J268" s="123"/>
    </row>
    <row r="269" spans="1:10" s="119" customFormat="1" ht="17.25" x14ac:dyDescent="0.35">
      <c r="A269" s="225" t="s">
        <v>729</v>
      </c>
      <c r="B269" s="226" t="s">
        <v>730</v>
      </c>
      <c r="C269" s="226" t="s">
        <v>67</v>
      </c>
      <c r="D269" s="226"/>
      <c r="E269" s="226"/>
      <c r="F269" s="226"/>
      <c r="G269" s="226" t="s">
        <v>1180</v>
      </c>
      <c r="H269" s="227"/>
      <c r="I269" s="78">
        <v>70233</v>
      </c>
      <c r="J269" s="123"/>
    </row>
    <row r="270" spans="1:10" s="119" customFormat="1" ht="17.25" x14ac:dyDescent="0.35">
      <c r="A270" s="225"/>
      <c r="B270" s="226"/>
      <c r="C270" s="226"/>
      <c r="D270" s="226" t="s">
        <v>44</v>
      </c>
      <c r="E270" s="226">
        <v>1</v>
      </c>
      <c r="F270" s="226">
        <v>3</v>
      </c>
      <c r="G270" s="226"/>
      <c r="H270" s="227"/>
      <c r="I270" s="78" t="s">
        <v>262</v>
      </c>
      <c r="J270" s="123"/>
    </row>
    <row r="271" spans="1:10" s="119" customFormat="1" ht="17.25" x14ac:dyDescent="0.35">
      <c r="A271" s="225"/>
      <c r="B271" s="226"/>
      <c r="C271" s="226"/>
      <c r="D271" s="226" t="s">
        <v>44</v>
      </c>
      <c r="E271" s="226">
        <v>1</v>
      </c>
      <c r="F271" s="226">
        <v>1</v>
      </c>
      <c r="G271" s="226"/>
      <c r="H271" s="227"/>
      <c r="I271" s="78" t="s">
        <v>731</v>
      </c>
      <c r="J271" s="123"/>
    </row>
    <row r="272" spans="1:10" s="119" customFormat="1" ht="17.25" x14ac:dyDescent="0.35">
      <c r="A272" s="225"/>
      <c r="B272" s="226"/>
      <c r="C272" s="226"/>
      <c r="D272" s="226" t="s">
        <v>44</v>
      </c>
      <c r="E272" s="226">
        <v>1</v>
      </c>
      <c r="F272" s="226">
        <v>0</v>
      </c>
      <c r="G272" s="226"/>
      <c r="H272" s="227"/>
      <c r="I272" s="78" t="s">
        <v>732</v>
      </c>
      <c r="J272" s="123"/>
    </row>
    <row r="273" spans="1:10" s="119" customFormat="1" ht="17.25" x14ac:dyDescent="0.35">
      <c r="A273" s="225"/>
      <c r="B273" s="226"/>
      <c r="C273" s="226"/>
      <c r="D273" s="226" t="s">
        <v>45</v>
      </c>
      <c r="E273" s="226">
        <v>32</v>
      </c>
      <c r="F273" s="226"/>
      <c r="G273" s="226"/>
      <c r="H273" s="227"/>
      <c r="I273" s="78" t="s">
        <v>733</v>
      </c>
      <c r="J273" s="123"/>
    </row>
    <row r="274" spans="1:10" s="119" customFormat="1" ht="17.25" x14ac:dyDescent="0.35">
      <c r="A274" s="225"/>
      <c r="B274" s="226"/>
      <c r="C274" s="226"/>
      <c r="D274" s="226" t="s">
        <v>45</v>
      </c>
      <c r="E274" s="226">
        <v>32</v>
      </c>
      <c r="F274" s="226"/>
      <c r="G274" s="226"/>
      <c r="H274" s="227"/>
      <c r="I274" s="78" t="s">
        <v>734</v>
      </c>
      <c r="J274" s="123"/>
    </row>
    <row r="275" spans="1:10" s="119" customFormat="1" ht="17.25" x14ac:dyDescent="0.35">
      <c r="A275" s="225"/>
      <c r="B275" s="226"/>
      <c r="C275" s="226"/>
      <c r="D275" s="226" t="s">
        <v>44</v>
      </c>
      <c r="E275" s="226">
        <v>1</v>
      </c>
      <c r="F275" s="226">
        <v>0</v>
      </c>
      <c r="G275" s="226"/>
      <c r="H275" s="227"/>
      <c r="I275" s="78" t="s">
        <v>735</v>
      </c>
      <c r="J275" s="123"/>
    </row>
    <row r="276" spans="1:10" s="119" customFormat="1" ht="17.25" x14ac:dyDescent="0.35">
      <c r="A276" s="225"/>
      <c r="B276" s="226"/>
      <c r="C276" s="226"/>
      <c r="D276" s="226" t="s">
        <v>44</v>
      </c>
      <c r="E276" s="226">
        <v>1</v>
      </c>
      <c r="F276" s="226">
        <v>0</v>
      </c>
      <c r="G276" s="226"/>
      <c r="H276" s="227"/>
      <c r="I276" s="78" t="s">
        <v>736</v>
      </c>
      <c r="J276" s="123"/>
    </row>
    <row r="277" spans="1:10" s="119" customFormat="1" ht="17.25" x14ac:dyDescent="0.35">
      <c r="A277" s="225"/>
      <c r="B277" s="226"/>
      <c r="C277" s="226"/>
      <c r="D277" s="226" t="s">
        <v>44</v>
      </c>
      <c r="E277" s="226">
        <v>1</v>
      </c>
      <c r="F277" s="226">
        <v>0</v>
      </c>
      <c r="G277" s="226"/>
      <c r="H277" s="227"/>
      <c r="I277" s="78" t="s">
        <v>737</v>
      </c>
      <c r="J277" s="123"/>
    </row>
    <row r="278" spans="1:10" s="119" customFormat="1" ht="17.25" x14ac:dyDescent="0.35">
      <c r="A278" s="225"/>
      <c r="B278" s="226"/>
      <c r="C278" s="226"/>
      <c r="D278" s="226" t="s">
        <v>44</v>
      </c>
      <c r="E278" s="226">
        <v>1</v>
      </c>
      <c r="F278" s="226">
        <v>0</v>
      </c>
      <c r="G278" s="226"/>
      <c r="H278" s="227"/>
      <c r="I278" s="78" t="s">
        <v>738</v>
      </c>
      <c r="J278" s="123"/>
    </row>
    <row r="279" spans="1:10" s="119" customFormat="1" ht="17.25" x14ac:dyDescent="0.35">
      <c r="A279" s="225"/>
      <c r="B279" s="226"/>
      <c r="C279" s="226"/>
      <c r="D279" s="226" t="s">
        <v>45</v>
      </c>
      <c r="E279" s="226">
        <v>16</v>
      </c>
      <c r="F279" s="226"/>
      <c r="G279" s="226"/>
      <c r="H279" s="227"/>
      <c r="I279" s="78" t="s">
        <v>739</v>
      </c>
      <c r="J279" s="123"/>
    </row>
    <row r="280" spans="1:10" s="119" customFormat="1" ht="17.25" x14ac:dyDescent="0.35">
      <c r="A280" s="225"/>
      <c r="B280" s="226"/>
      <c r="C280" s="226"/>
      <c r="D280" s="226" t="s">
        <v>45</v>
      </c>
      <c r="E280" s="226">
        <v>16</v>
      </c>
      <c r="F280" s="226"/>
      <c r="G280" s="226"/>
      <c r="H280" s="227"/>
      <c r="I280" s="78" t="s">
        <v>740</v>
      </c>
      <c r="J280" s="123"/>
    </row>
    <row r="281" spans="1:10" s="119" customFormat="1" ht="17.25" x14ac:dyDescent="0.35">
      <c r="A281" s="225"/>
      <c r="B281" s="226"/>
      <c r="C281" s="226"/>
      <c r="D281" s="226" t="s">
        <v>45</v>
      </c>
      <c r="E281" s="226">
        <v>16</v>
      </c>
      <c r="F281" s="226"/>
      <c r="G281" s="226"/>
      <c r="H281" s="227"/>
      <c r="I281" s="78" t="s">
        <v>741</v>
      </c>
      <c r="J281" s="123"/>
    </row>
    <row r="282" spans="1:10" s="119" customFormat="1" ht="17.25" x14ac:dyDescent="0.35">
      <c r="A282" s="225"/>
      <c r="B282" s="226"/>
      <c r="C282" s="226"/>
      <c r="D282" s="226" t="s">
        <v>45</v>
      </c>
      <c r="E282" s="226">
        <v>16</v>
      </c>
      <c r="F282" s="226"/>
      <c r="G282" s="226"/>
      <c r="H282" s="227"/>
      <c r="I282" s="78" t="s">
        <v>742</v>
      </c>
      <c r="J282" s="123"/>
    </row>
    <row r="283" spans="1:10" s="119" customFormat="1" ht="17.25" x14ac:dyDescent="0.35">
      <c r="A283" s="225"/>
      <c r="B283" s="226"/>
      <c r="C283" s="226"/>
      <c r="D283" s="226" t="s">
        <v>45</v>
      </c>
      <c r="E283" s="226">
        <v>16</v>
      </c>
      <c r="F283" s="226"/>
      <c r="G283" s="226"/>
      <c r="H283" s="227"/>
      <c r="I283" s="78" t="s">
        <v>743</v>
      </c>
      <c r="J283" s="123"/>
    </row>
    <row r="284" spans="1:10" s="119" customFormat="1" ht="17.25" x14ac:dyDescent="0.35">
      <c r="A284" s="225"/>
      <c r="B284" s="226"/>
      <c r="C284" s="226"/>
      <c r="D284" s="226" t="s">
        <v>45</v>
      </c>
      <c r="E284" s="226">
        <v>45</v>
      </c>
      <c r="F284" s="226"/>
      <c r="G284" s="226"/>
      <c r="H284" s="227"/>
      <c r="I284" s="78" t="s">
        <v>744</v>
      </c>
      <c r="J284" s="123"/>
    </row>
    <row r="285" spans="1:10" s="119" customFormat="1" ht="17.25" x14ac:dyDescent="0.35">
      <c r="A285" s="225"/>
      <c r="B285" s="226"/>
      <c r="C285" s="226"/>
      <c r="D285" s="226" t="s">
        <v>45</v>
      </c>
      <c r="E285" s="226">
        <v>5</v>
      </c>
      <c r="F285" s="226"/>
      <c r="G285" s="226"/>
      <c r="H285" s="227"/>
      <c r="I285" s="78" t="s">
        <v>745</v>
      </c>
      <c r="J285" s="123"/>
    </row>
    <row r="286" spans="1:10" s="119" customFormat="1" ht="17.25" x14ac:dyDescent="0.35">
      <c r="A286" s="225"/>
      <c r="B286" s="226"/>
      <c r="C286" s="226"/>
      <c r="D286" s="226" t="s">
        <v>44</v>
      </c>
      <c r="E286" s="226">
        <v>1</v>
      </c>
      <c r="F286" s="226">
        <v>0</v>
      </c>
      <c r="G286" s="226"/>
      <c r="H286" s="227"/>
      <c r="I286" s="78" t="s">
        <v>746</v>
      </c>
      <c r="J286" s="123"/>
    </row>
    <row r="287" spans="1:10" s="123" customFormat="1" ht="27.75" x14ac:dyDescent="0.35">
      <c r="A287" s="225"/>
      <c r="B287" s="226"/>
      <c r="C287" s="226"/>
      <c r="D287" s="226" t="s">
        <v>45</v>
      </c>
      <c r="E287" s="226">
        <v>128</v>
      </c>
      <c r="F287" s="235" t="s">
        <v>1076</v>
      </c>
      <c r="G287" s="226"/>
      <c r="H287" s="227"/>
      <c r="I287" s="78" t="s">
        <v>747</v>
      </c>
    </row>
    <row r="288" spans="1:10" s="123" customFormat="1" ht="40.5" x14ac:dyDescent="0.35">
      <c r="A288" s="225"/>
      <c r="B288" s="226"/>
      <c r="C288" s="226"/>
      <c r="D288" s="226" t="s">
        <v>45</v>
      </c>
      <c r="E288" s="226">
        <v>128</v>
      </c>
      <c r="F288" s="235" t="s">
        <v>1124</v>
      </c>
      <c r="G288" s="226"/>
      <c r="H288" s="227"/>
      <c r="I288" s="78" t="s">
        <v>748</v>
      </c>
    </row>
    <row r="289" spans="1:9" s="123" customFormat="1" ht="27.75" x14ac:dyDescent="0.35">
      <c r="A289" s="225"/>
      <c r="B289" s="226"/>
      <c r="C289" s="226"/>
      <c r="D289" s="226" t="s">
        <v>45</v>
      </c>
      <c r="E289" s="226">
        <v>128</v>
      </c>
      <c r="F289" s="235" t="s">
        <v>1077</v>
      </c>
      <c r="G289" s="226"/>
      <c r="H289" s="227"/>
      <c r="I289" s="78" t="s">
        <v>749</v>
      </c>
    </row>
    <row r="290" spans="1:9" s="123" customFormat="1" ht="17.25" x14ac:dyDescent="0.35">
      <c r="A290" s="225"/>
      <c r="B290" s="226"/>
      <c r="C290" s="226"/>
      <c r="D290" s="226" t="s">
        <v>45</v>
      </c>
      <c r="E290" s="226">
        <v>128</v>
      </c>
      <c r="F290" s="226"/>
      <c r="G290" s="226"/>
      <c r="H290" s="227"/>
      <c r="I290" s="78" t="s">
        <v>750</v>
      </c>
    </row>
    <row r="291" spans="1:9" s="123" customFormat="1" ht="17.25" x14ac:dyDescent="0.35">
      <c r="A291" s="225"/>
      <c r="B291" s="226"/>
      <c r="C291" s="226"/>
      <c r="D291" s="226" t="s">
        <v>45</v>
      </c>
      <c r="E291" s="226">
        <v>128</v>
      </c>
      <c r="F291" s="226"/>
      <c r="G291" s="226"/>
      <c r="H291" s="227"/>
      <c r="I291" s="78" t="s">
        <v>751</v>
      </c>
    </row>
    <row r="292" spans="1:9" s="123" customFormat="1" ht="17.25" x14ac:dyDescent="0.35">
      <c r="A292" s="225"/>
      <c r="B292" s="226"/>
      <c r="C292" s="226"/>
      <c r="D292" s="226" t="s">
        <v>44</v>
      </c>
      <c r="E292" s="226">
        <v>182</v>
      </c>
      <c r="F292" s="226"/>
      <c r="G292" s="226"/>
      <c r="H292" s="227"/>
      <c r="I292" s="78" t="s">
        <v>752</v>
      </c>
    </row>
    <row r="293" spans="1:9" s="123" customFormat="1" ht="17.25" x14ac:dyDescent="0.35">
      <c r="A293" s="225" t="s">
        <v>1277</v>
      </c>
      <c r="B293" s="226" t="s">
        <v>1278</v>
      </c>
      <c r="C293" s="226" t="s">
        <v>67</v>
      </c>
      <c r="D293" s="226"/>
      <c r="E293" s="226"/>
      <c r="F293" s="226"/>
      <c r="G293" s="226" t="s">
        <v>1180</v>
      </c>
      <c r="H293" s="227"/>
      <c r="I293" s="78" t="s">
        <v>1279</v>
      </c>
    </row>
    <row r="294" spans="1:9" s="179" customFormat="1" ht="17.25" x14ac:dyDescent="0.35">
      <c r="A294" s="225"/>
      <c r="B294" s="226"/>
      <c r="C294" s="226"/>
      <c r="D294" s="226" t="s">
        <v>44</v>
      </c>
      <c r="E294" s="226">
        <v>1</v>
      </c>
      <c r="F294" s="226">
        <v>1</v>
      </c>
      <c r="G294" s="226"/>
      <c r="H294" s="227"/>
      <c r="I294" s="78" t="s">
        <v>262</v>
      </c>
    </row>
    <row r="295" spans="1:9" s="179" customFormat="1" ht="17.25" x14ac:dyDescent="0.35">
      <c r="A295" s="225"/>
      <c r="B295" s="226"/>
      <c r="C295" s="226"/>
      <c r="D295" s="226" t="s">
        <v>44</v>
      </c>
      <c r="E295" s="226">
        <v>1</v>
      </c>
      <c r="F295" s="226">
        <v>1</v>
      </c>
      <c r="G295" s="226"/>
      <c r="H295" s="227"/>
      <c r="I295" s="78" t="s">
        <v>1280</v>
      </c>
    </row>
    <row r="296" spans="1:9" s="179" customFormat="1" ht="17.25" x14ac:dyDescent="0.35">
      <c r="A296" s="225"/>
      <c r="B296" s="226"/>
      <c r="C296" s="226"/>
      <c r="D296" s="226" t="s">
        <v>45</v>
      </c>
      <c r="E296" s="226">
        <v>100</v>
      </c>
      <c r="F296" s="226"/>
      <c r="G296" s="226"/>
      <c r="H296" s="227"/>
      <c r="I296" s="78" t="s">
        <v>1281</v>
      </c>
    </row>
    <row r="297" spans="1:9" s="179" customFormat="1" ht="17.25" x14ac:dyDescent="0.35">
      <c r="A297" s="225"/>
      <c r="B297" s="226"/>
      <c r="C297" s="226"/>
      <c r="D297" s="226" t="s">
        <v>44</v>
      </c>
      <c r="E297" s="226">
        <v>1</v>
      </c>
      <c r="F297" s="226"/>
      <c r="G297" s="226"/>
      <c r="H297" s="227"/>
      <c r="I297" s="78" t="s">
        <v>1282</v>
      </c>
    </row>
    <row r="298" spans="1:9" s="179" customFormat="1" ht="17.25" x14ac:dyDescent="0.35">
      <c r="A298" s="225"/>
      <c r="B298" s="226"/>
      <c r="C298" s="226"/>
      <c r="D298" s="226" t="s">
        <v>44</v>
      </c>
      <c r="E298" s="226">
        <v>1</v>
      </c>
      <c r="F298" s="226"/>
      <c r="G298" s="226"/>
      <c r="H298" s="227"/>
      <c r="I298" s="78" t="s">
        <v>1283</v>
      </c>
    </row>
    <row r="299" spans="1:9" s="179" customFormat="1" ht="17.25" x14ac:dyDescent="0.35">
      <c r="A299" s="225"/>
      <c r="B299" s="226"/>
      <c r="C299" s="226"/>
      <c r="D299" s="226" t="s">
        <v>44</v>
      </c>
      <c r="E299" s="226">
        <v>4</v>
      </c>
      <c r="F299" s="226"/>
      <c r="G299" s="226"/>
      <c r="H299" s="227"/>
      <c r="I299" s="78" t="s">
        <v>1284</v>
      </c>
    </row>
    <row r="300" spans="1:9" s="179" customFormat="1" ht="17.25" x14ac:dyDescent="0.35">
      <c r="A300" s="225"/>
      <c r="B300" s="226"/>
      <c r="C300" s="226"/>
      <c r="D300" s="226" t="s">
        <v>44</v>
      </c>
      <c r="E300" s="226">
        <v>4</v>
      </c>
      <c r="F300" s="226"/>
      <c r="G300" s="226"/>
      <c r="H300" s="227"/>
      <c r="I300" s="78" t="s">
        <v>1285</v>
      </c>
    </row>
    <row r="301" spans="1:9" s="179" customFormat="1" ht="17.25" x14ac:dyDescent="0.35">
      <c r="A301" s="225"/>
      <c r="B301" s="226"/>
      <c r="C301" s="226"/>
      <c r="D301" s="226" t="s">
        <v>44</v>
      </c>
      <c r="E301" s="226">
        <v>2</v>
      </c>
      <c r="F301" s="226"/>
      <c r="G301" s="226"/>
      <c r="H301" s="227"/>
      <c r="I301" s="78" t="s">
        <v>1286</v>
      </c>
    </row>
    <row r="302" spans="1:9" s="179" customFormat="1" ht="17.25" x14ac:dyDescent="0.35">
      <c r="A302" s="225"/>
      <c r="B302" s="226"/>
      <c r="C302" s="226"/>
      <c r="D302" s="226" t="s">
        <v>44</v>
      </c>
      <c r="E302" s="226">
        <v>1</v>
      </c>
      <c r="F302" s="226"/>
      <c r="G302" s="226"/>
      <c r="H302" s="227"/>
      <c r="I302" s="78" t="s">
        <v>1287</v>
      </c>
    </row>
    <row r="303" spans="1:9" s="179" customFormat="1" ht="17.25" x14ac:dyDescent="0.35">
      <c r="A303" s="225"/>
      <c r="B303" s="226"/>
      <c r="C303" s="226"/>
      <c r="D303" s="226" t="s">
        <v>44</v>
      </c>
      <c r="E303" s="226">
        <v>1</v>
      </c>
      <c r="F303" s="226"/>
      <c r="G303" s="226"/>
      <c r="H303" s="227"/>
      <c r="I303" s="78" t="s">
        <v>1288</v>
      </c>
    </row>
    <row r="304" spans="1:9" s="179" customFormat="1" ht="17.25" x14ac:dyDescent="0.35">
      <c r="A304" s="225"/>
      <c r="B304" s="226"/>
      <c r="C304" s="226"/>
      <c r="D304" s="226" t="s">
        <v>45</v>
      </c>
      <c r="E304" s="226">
        <v>64</v>
      </c>
      <c r="F304" s="226"/>
      <c r="G304" s="226"/>
      <c r="H304" s="227"/>
      <c r="I304" s="78" t="s">
        <v>1289</v>
      </c>
    </row>
    <row r="305" spans="1:9" s="179" customFormat="1" ht="17.25" x14ac:dyDescent="0.35">
      <c r="A305" s="225"/>
      <c r="B305" s="226"/>
      <c r="C305" s="226"/>
      <c r="D305" s="226" t="s">
        <v>45</v>
      </c>
      <c r="E305" s="226">
        <v>128</v>
      </c>
      <c r="F305" s="226"/>
      <c r="G305" s="226"/>
      <c r="H305" s="227"/>
      <c r="I305" s="78" t="s">
        <v>1290</v>
      </c>
    </row>
    <row r="306" spans="1:9" s="179" customFormat="1" ht="17.25" x14ac:dyDescent="0.35">
      <c r="A306" s="225"/>
      <c r="B306" s="226"/>
      <c r="C306" s="226"/>
      <c r="D306" s="226" t="s">
        <v>44</v>
      </c>
      <c r="E306" s="226">
        <v>1</v>
      </c>
      <c r="F306" s="226"/>
      <c r="G306" s="226"/>
      <c r="H306" s="227"/>
      <c r="I306" s="78" t="s">
        <v>1291</v>
      </c>
    </row>
    <row r="307" spans="1:9" s="179" customFormat="1" ht="17.25" x14ac:dyDescent="0.35">
      <c r="A307" s="225"/>
      <c r="B307" s="226"/>
      <c r="C307" s="226"/>
      <c r="D307" s="226" t="s">
        <v>45</v>
      </c>
      <c r="E307" s="226">
        <v>100</v>
      </c>
      <c r="F307" s="226"/>
      <c r="G307" s="226"/>
      <c r="H307" s="227"/>
      <c r="I307" s="78" t="s">
        <v>1292</v>
      </c>
    </row>
    <row r="308" spans="1:9" s="179" customFormat="1" ht="17.25" x14ac:dyDescent="0.35">
      <c r="A308" s="225"/>
      <c r="B308" s="226"/>
      <c r="C308" s="226"/>
      <c r="D308" s="226" t="s">
        <v>45</v>
      </c>
      <c r="E308" s="226">
        <v>128</v>
      </c>
      <c r="F308" s="226"/>
      <c r="G308" s="226"/>
      <c r="H308" s="227"/>
      <c r="I308" s="78" t="s">
        <v>1293</v>
      </c>
    </row>
    <row r="309" spans="1:9" s="179" customFormat="1" ht="17.25" x14ac:dyDescent="0.35">
      <c r="A309" s="225"/>
      <c r="B309" s="226"/>
      <c r="C309" s="226"/>
      <c r="D309" s="226" t="s">
        <v>45</v>
      </c>
      <c r="E309" s="226">
        <v>128</v>
      </c>
      <c r="F309" s="226"/>
      <c r="G309" s="226"/>
      <c r="H309" s="227"/>
      <c r="I309" s="78" t="s">
        <v>1294</v>
      </c>
    </row>
    <row r="310" spans="1:9" s="179" customFormat="1" ht="17.25" x14ac:dyDescent="0.35">
      <c r="A310" s="225"/>
      <c r="B310" s="226"/>
      <c r="C310" s="226"/>
      <c r="D310" s="226" t="s">
        <v>45</v>
      </c>
      <c r="E310" s="226">
        <v>128</v>
      </c>
      <c r="F310" s="226"/>
      <c r="G310" s="226"/>
      <c r="H310" s="227"/>
      <c r="I310" s="78" t="s">
        <v>1295</v>
      </c>
    </row>
    <row r="311" spans="1:9" s="179" customFormat="1" ht="17.25" x14ac:dyDescent="0.35">
      <c r="A311" s="225"/>
      <c r="B311" s="226"/>
      <c r="C311" s="226"/>
      <c r="D311" s="226" t="s">
        <v>44</v>
      </c>
      <c r="E311" s="226">
        <v>1</v>
      </c>
      <c r="F311" s="226"/>
      <c r="G311" s="226"/>
      <c r="H311" s="227"/>
      <c r="I311" s="78" t="s">
        <v>1296</v>
      </c>
    </row>
    <row r="312" spans="1:9" s="179" customFormat="1" ht="17.25" x14ac:dyDescent="0.35">
      <c r="A312" s="225"/>
      <c r="B312" s="226"/>
      <c r="C312" s="226"/>
      <c r="D312" s="226" t="s">
        <v>44</v>
      </c>
      <c r="E312" s="226">
        <v>4</v>
      </c>
      <c r="F312" s="226"/>
      <c r="G312" s="226"/>
      <c r="H312" s="227"/>
      <c r="I312" s="78" t="s">
        <v>1297</v>
      </c>
    </row>
    <row r="313" spans="1:9" s="179" customFormat="1" ht="17.25" x14ac:dyDescent="0.35">
      <c r="A313" s="225"/>
      <c r="B313" s="226"/>
      <c r="C313" s="226"/>
      <c r="D313" s="226" t="s">
        <v>44</v>
      </c>
      <c r="E313" s="226">
        <v>1</v>
      </c>
      <c r="F313" s="226"/>
      <c r="G313" s="226"/>
      <c r="H313" s="227"/>
      <c r="I313" s="78" t="s">
        <v>1298</v>
      </c>
    </row>
    <row r="314" spans="1:9" s="179" customFormat="1" ht="17.25" x14ac:dyDescent="0.35">
      <c r="A314" s="225"/>
      <c r="B314" s="226"/>
      <c r="C314" s="226"/>
      <c r="D314" s="226" t="s">
        <v>44</v>
      </c>
      <c r="E314" s="226">
        <v>1</v>
      </c>
      <c r="F314" s="226"/>
      <c r="G314" s="226"/>
      <c r="H314" s="227"/>
      <c r="I314" s="78" t="s">
        <v>1299</v>
      </c>
    </row>
    <row r="315" spans="1:9" s="179" customFormat="1" ht="17.25" x14ac:dyDescent="0.35">
      <c r="A315" s="225"/>
      <c r="B315" s="226"/>
      <c r="C315" s="226"/>
      <c r="D315" s="226" t="s">
        <v>45</v>
      </c>
      <c r="E315" s="226">
        <v>128</v>
      </c>
      <c r="F315" s="226"/>
      <c r="G315" s="226"/>
      <c r="H315" s="227"/>
      <c r="I315" s="78" t="s">
        <v>1300</v>
      </c>
    </row>
    <row r="316" spans="1:9" s="179" customFormat="1" ht="17.25" x14ac:dyDescent="0.35">
      <c r="A316" s="225"/>
      <c r="B316" s="226"/>
      <c r="C316" s="226"/>
      <c r="D316" s="226" t="s">
        <v>44</v>
      </c>
      <c r="E316" s="226">
        <v>1</v>
      </c>
      <c r="F316" s="226"/>
      <c r="G316" s="226"/>
      <c r="H316" s="227"/>
      <c r="I316" s="78" t="s">
        <v>1301</v>
      </c>
    </row>
    <row r="317" spans="1:9" s="179" customFormat="1" ht="17.25" x14ac:dyDescent="0.35">
      <c r="A317" s="225"/>
      <c r="B317" s="226"/>
      <c r="C317" s="226"/>
      <c r="D317" s="226" t="s">
        <v>44</v>
      </c>
      <c r="E317" s="226">
        <v>2</v>
      </c>
      <c r="F317" s="226"/>
      <c r="G317" s="226"/>
      <c r="H317" s="227"/>
      <c r="I317" s="78" t="s">
        <v>1302</v>
      </c>
    </row>
    <row r="318" spans="1:9" s="179" customFormat="1" ht="17.25" x14ac:dyDescent="0.35">
      <c r="A318" s="225"/>
      <c r="B318" s="226"/>
      <c r="C318" s="226"/>
      <c r="D318" s="226" t="s">
        <v>45</v>
      </c>
      <c r="E318" s="226">
        <v>93</v>
      </c>
      <c r="F318" s="226"/>
      <c r="G318" s="226"/>
      <c r="H318" s="227"/>
      <c r="I318" s="78" t="s">
        <v>1158</v>
      </c>
    </row>
    <row r="319" spans="1:9" s="179" customFormat="1" ht="17.25" x14ac:dyDescent="0.35">
      <c r="A319" s="225"/>
      <c r="B319" s="226"/>
      <c r="C319" s="226"/>
      <c r="D319" s="226"/>
      <c r="E319" s="226"/>
      <c r="F319" s="226"/>
      <c r="G319" s="226"/>
      <c r="H319" s="227"/>
      <c r="I319" s="78"/>
    </row>
    <row r="320" spans="1:9" s="179" customFormat="1" ht="17.25" x14ac:dyDescent="0.35">
      <c r="A320" s="236" t="s">
        <v>1125</v>
      </c>
      <c r="B320" s="226" t="s">
        <v>753</v>
      </c>
      <c r="C320" s="237" t="s">
        <v>67</v>
      </c>
      <c r="D320" s="237"/>
      <c r="E320" s="226"/>
      <c r="F320" s="237"/>
      <c r="G320" s="226" t="s">
        <v>1180</v>
      </c>
      <c r="H320" s="227"/>
      <c r="I320" s="185">
        <v>70291</v>
      </c>
    </row>
    <row r="321" spans="1:10" s="179" customFormat="1" ht="17.25" x14ac:dyDescent="0.35">
      <c r="A321" s="236"/>
      <c r="B321" s="226"/>
      <c r="C321" s="237"/>
      <c r="D321" s="237" t="s">
        <v>44</v>
      </c>
      <c r="E321" s="226">
        <v>1</v>
      </c>
      <c r="F321" s="237">
        <v>2</v>
      </c>
      <c r="G321" s="226"/>
      <c r="H321" s="227"/>
      <c r="I321" s="185" t="s">
        <v>262</v>
      </c>
    </row>
    <row r="322" spans="1:10" s="179" customFormat="1" ht="17.25" x14ac:dyDescent="0.35">
      <c r="A322" s="236"/>
      <c r="B322" s="226"/>
      <c r="C322" s="237"/>
      <c r="D322" s="237" t="s">
        <v>44</v>
      </c>
      <c r="E322" s="226">
        <v>1</v>
      </c>
      <c r="F322" s="237">
        <v>1</v>
      </c>
      <c r="G322" s="226"/>
      <c r="H322" s="227"/>
      <c r="I322" s="185" t="s">
        <v>1126</v>
      </c>
    </row>
    <row r="323" spans="1:10" s="179" customFormat="1" ht="17.25" x14ac:dyDescent="0.35">
      <c r="A323" s="236"/>
      <c r="B323" s="226"/>
      <c r="C323" s="237"/>
      <c r="D323" s="237" t="s">
        <v>44</v>
      </c>
      <c r="E323" s="226">
        <v>1</v>
      </c>
      <c r="F323" s="237">
        <v>0</v>
      </c>
      <c r="G323" s="226"/>
      <c r="H323" s="227"/>
      <c r="I323" s="185" t="s">
        <v>1127</v>
      </c>
    </row>
    <row r="324" spans="1:10" s="179" customFormat="1" ht="17.25" x14ac:dyDescent="0.35">
      <c r="A324" s="236"/>
      <c r="B324" s="226"/>
      <c r="C324" s="237"/>
      <c r="D324" s="237" t="s">
        <v>44</v>
      </c>
      <c r="E324" s="226">
        <v>2</v>
      </c>
      <c r="F324" s="237">
        <v>0</v>
      </c>
      <c r="G324" s="226"/>
      <c r="H324" s="227"/>
      <c r="I324" s="185" t="s">
        <v>1128</v>
      </c>
    </row>
    <row r="325" spans="1:10" s="179" customFormat="1" ht="17.25" x14ac:dyDescent="0.35">
      <c r="A325" s="236"/>
      <c r="B325" s="226"/>
      <c r="C325" s="237"/>
      <c r="D325" s="237" t="s">
        <v>44</v>
      </c>
      <c r="E325" s="226">
        <v>1</v>
      </c>
      <c r="F325" s="237">
        <v>0</v>
      </c>
      <c r="G325" s="226"/>
      <c r="H325" s="227"/>
      <c r="I325" s="185" t="s">
        <v>1129</v>
      </c>
    </row>
    <row r="326" spans="1:10" s="179" customFormat="1" ht="17.25" x14ac:dyDescent="0.35">
      <c r="A326" s="236"/>
      <c r="B326" s="226"/>
      <c r="C326" s="237"/>
      <c r="D326" s="237" t="s">
        <v>44</v>
      </c>
      <c r="E326" s="226">
        <v>1</v>
      </c>
      <c r="F326" s="237">
        <v>0</v>
      </c>
      <c r="G326" s="226"/>
      <c r="H326" s="227"/>
      <c r="I326" s="185" t="s">
        <v>1130</v>
      </c>
    </row>
    <row r="327" spans="1:10" s="123" customFormat="1" ht="17.25" x14ac:dyDescent="0.35">
      <c r="A327" s="236"/>
      <c r="B327" s="226"/>
      <c r="C327" s="237"/>
      <c r="D327" s="237" t="s">
        <v>44</v>
      </c>
      <c r="E327" s="226">
        <v>1</v>
      </c>
      <c r="F327" s="237">
        <v>0</v>
      </c>
      <c r="G327" s="226"/>
      <c r="H327" s="227"/>
      <c r="I327" s="185" t="s">
        <v>1131</v>
      </c>
    </row>
    <row r="328" spans="1:10" s="123" customFormat="1" ht="19.5" customHeight="1" x14ac:dyDescent="0.35">
      <c r="A328" s="236"/>
      <c r="B328" s="226"/>
      <c r="C328" s="237"/>
      <c r="D328" s="237" t="s">
        <v>44</v>
      </c>
      <c r="E328" s="226">
        <v>4</v>
      </c>
      <c r="F328" s="237">
        <v>0</v>
      </c>
      <c r="G328" s="226"/>
      <c r="H328" s="227"/>
      <c r="I328" s="185" t="s">
        <v>1132</v>
      </c>
    </row>
    <row r="329" spans="1:10" s="123" customFormat="1" ht="19.5" customHeight="1" x14ac:dyDescent="0.35">
      <c r="A329" s="236"/>
      <c r="B329" s="226"/>
      <c r="C329" s="237"/>
      <c r="D329" s="237" t="s">
        <v>44</v>
      </c>
      <c r="E329" s="226">
        <v>2</v>
      </c>
      <c r="F329" s="237">
        <v>0</v>
      </c>
      <c r="G329" s="226"/>
      <c r="H329" s="227"/>
      <c r="I329" s="185" t="s">
        <v>1133</v>
      </c>
    </row>
    <row r="330" spans="1:10" s="123" customFormat="1" ht="19.5" customHeight="1" x14ac:dyDescent="0.35">
      <c r="A330" s="236"/>
      <c r="B330" s="226"/>
      <c r="C330" s="237"/>
      <c r="D330" s="237" t="s">
        <v>44</v>
      </c>
      <c r="E330" s="226">
        <v>2</v>
      </c>
      <c r="F330" s="237">
        <v>0</v>
      </c>
      <c r="G330" s="226"/>
      <c r="H330" s="227"/>
      <c r="I330" s="185" t="s">
        <v>1134</v>
      </c>
    </row>
    <row r="331" spans="1:10" s="123" customFormat="1" ht="19.5" customHeight="1" x14ac:dyDescent="0.35">
      <c r="A331" s="236"/>
      <c r="B331" s="226"/>
      <c r="C331" s="237"/>
      <c r="D331" s="237" t="s">
        <v>44</v>
      </c>
      <c r="E331" s="226">
        <v>2</v>
      </c>
      <c r="F331" s="237">
        <v>0</v>
      </c>
      <c r="G331" s="226"/>
      <c r="H331" s="227"/>
      <c r="I331" s="185" t="s">
        <v>1135</v>
      </c>
    </row>
    <row r="332" spans="1:10" s="119" customFormat="1" ht="19.5" customHeight="1" x14ac:dyDescent="0.35">
      <c r="A332" s="236"/>
      <c r="B332" s="226"/>
      <c r="C332" s="237"/>
      <c r="D332" s="237" t="s">
        <v>44</v>
      </c>
      <c r="E332" s="226">
        <v>1</v>
      </c>
      <c r="F332" s="237">
        <v>0</v>
      </c>
      <c r="G332" s="226"/>
      <c r="H332" s="227"/>
      <c r="I332" s="185" t="s">
        <v>1136</v>
      </c>
      <c r="J332" s="123"/>
    </row>
    <row r="333" spans="1:10" s="119" customFormat="1" ht="19.5" customHeight="1" x14ac:dyDescent="0.35">
      <c r="A333" s="236"/>
      <c r="B333" s="226"/>
      <c r="C333" s="237"/>
      <c r="D333" s="237" t="s">
        <v>44</v>
      </c>
      <c r="E333" s="226">
        <v>1</v>
      </c>
      <c r="F333" s="237">
        <v>0</v>
      </c>
      <c r="G333" s="226"/>
      <c r="H333" s="227"/>
      <c r="I333" s="185" t="s">
        <v>1137</v>
      </c>
      <c r="J333" s="123"/>
    </row>
    <row r="334" spans="1:10" s="119" customFormat="1" ht="17.25" x14ac:dyDescent="0.35">
      <c r="A334" s="236"/>
      <c r="B334" s="226"/>
      <c r="C334" s="237"/>
      <c r="D334" s="237" t="s">
        <v>44</v>
      </c>
      <c r="E334" s="226">
        <v>1</v>
      </c>
      <c r="F334" s="237">
        <v>0</v>
      </c>
      <c r="G334" s="226"/>
      <c r="H334" s="227"/>
      <c r="I334" s="185" t="s">
        <v>1138</v>
      </c>
      <c r="J334" s="123"/>
    </row>
    <row r="335" spans="1:10" s="119" customFormat="1" ht="17.25" x14ac:dyDescent="0.35">
      <c r="A335" s="236"/>
      <c r="B335" s="226"/>
      <c r="C335" s="237"/>
      <c r="D335" s="237" t="s">
        <v>44</v>
      </c>
      <c r="E335" s="226">
        <v>2</v>
      </c>
      <c r="F335" s="237">
        <v>0</v>
      </c>
      <c r="G335" s="226"/>
      <c r="H335" s="227"/>
      <c r="I335" s="185" t="s">
        <v>1139</v>
      </c>
      <c r="J335" s="123"/>
    </row>
    <row r="336" spans="1:10" s="119" customFormat="1" ht="17.25" x14ac:dyDescent="0.35">
      <c r="A336" s="236"/>
      <c r="B336" s="226"/>
      <c r="C336" s="237"/>
      <c r="D336" s="237" t="s">
        <v>44</v>
      </c>
      <c r="E336" s="226">
        <v>2</v>
      </c>
      <c r="F336" s="237">
        <v>0</v>
      </c>
      <c r="G336" s="226"/>
      <c r="H336" s="227"/>
      <c r="I336" s="185" t="s">
        <v>1140</v>
      </c>
      <c r="J336" s="123"/>
    </row>
    <row r="337" spans="1:10" s="119" customFormat="1" ht="17.25" x14ac:dyDescent="0.35">
      <c r="A337" s="236"/>
      <c r="B337" s="226"/>
      <c r="C337" s="237"/>
      <c r="D337" s="237" t="s">
        <v>44</v>
      </c>
      <c r="E337" s="226">
        <v>1</v>
      </c>
      <c r="F337" s="237">
        <v>0</v>
      </c>
      <c r="G337" s="226"/>
      <c r="H337" s="227"/>
      <c r="I337" s="185" t="s">
        <v>1141</v>
      </c>
      <c r="J337" s="123"/>
    </row>
    <row r="338" spans="1:10" s="119" customFormat="1" ht="17.25" x14ac:dyDescent="0.35">
      <c r="A338" s="236"/>
      <c r="B338" s="226"/>
      <c r="C338" s="237"/>
      <c r="D338" s="237" t="s">
        <v>44</v>
      </c>
      <c r="E338" s="226">
        <v>2</v>
      </c>
      <c r="F338" s="237">
        <v>0</v>
      </c>
      <c r="G338" s="226"/>
      <c r="H338" s="227"/>
      <c r="I338" s="185" t="s">
        <v>1142</v>
      </c>
      <c r="J338" s="123"/>
    </row>
    <row r="339" spans="1:10" s="119" customFormat="1" ht="17.25" x14ac:dyDescent="0.35">
      <c r="A339" s="236"/>
      <c r="B339" s="226"/>
      <c r="C339" s="237"/>
      <c r="D339" s="237" t="s">
        <v>44</v>
      </c>
      <c r="E339" s="226">
        <v>2</v>
      </c>
      <c r="F339" s="237">
        <v>0</v>
      </c>
      <c r="G339" s="226"/>
      <c r="H339" s="227"/>
      <c r="I339" s="185" t="s">
        <v>1143</v>
      </c>
      <c r="J339" s="123"/>
    </row>
    <row r="340" spans="1:10" s="119" customFormat="1" ht="17.25" x14ac:dyDescent="0.35">
      <c r="A340" s="236"/>
      <c r="B340" s="226"/>
      <c r="C340" s="237"/>
      <c r="D340" s="237" t="s">
        <v>44</v>
      </c>
      <c r="E340" s="226">
        <v>1</v>
      </c>
      <c r="F340" s="237">
        <v>1</v>
      </c>
      <c r="G340" s="226"/>
      <c r="H340" s="227"/>
      <c r="I340" s="185" t="s">
        <v>1144</v>
      </c>
      <c r="J340" s="123"/>
    </row>
    <row r="341" spans="1:10" s="119" customFormat="1" ht="17.25" x14ac:dyDescent="0.35">
      <c r="A341" s="236"/>
      <c r="B341" s="226"/>
      <c r="C341" s="237"/>
      <c r="D341" s="237" t="s">
        <v>44</v>
      </c>
      <c r="E341" s="226">
        <v>1</v>
      </c>
      <c r="F341" s="237">
        <v>4</v>
      </c>
      <c r="G341" s="226"/>
      <c r="H341" s="227"/>
      <c r="I341" s="185" t="s">
        <v>1145</v>
      </c>
      <c r="J341" s="123"/>
    </row>
    <row r="342" spans="1:10" s="119" customFormat="1" ht="17.25" x14ac:dyDescent="0.35">
      <c r="A342" s="236"/>
      <c r="B342" s="226"/>
      <c r="C342" s="237"/>
      <c r="D342" s="237" t="s">
        <v>44</v>
      </c>
      <c r="E342" s="226">
        <v>1</v>
      </c>
      <c r="F342" s="237">
        <v>7</v>
      </c>
      <c r="G342" s="226"/>
      <c r="H342" s="227"/>
      <c r="I342" s="185" t="s">
        <v>1146</v>
      </c>
      <c r="J342" s="123"/>
    </row>
    <row r="343" spans="1:10" s="119" customFormat="1" ht="17.25" x14ac:dyDescent="0.35">
      <c r="A343" s="236"/>
      <c r="B343" s="226"/>
      <c r="C343" s="237"/>
      <c r="D343" s="237" t="s">
        <v>44</v>
      </c>
      <c r="E343" s="226">
        <v>4</v>
      </c>
      <c r="F343" s="237">
        <v>0</v>
      </c>
      <c r="G343" s="226"/>
      <c r="H343" s="227"/>
      <c r="I343" s="185" t="s">
        <v>1147</v>
      </c>
      <c r="J343" s="123"/>
    </row>
    <row r="344" spans="1:10" s="119" customFormat="1" ht="17.25" x14ac:dyDescent="0.35">
      <c r="A344" s="236"/>
      <c r="B344" s="226"/>
      <c r="C344" s="237"/>
      <c r="D344" s="237" t="s">
        <v>44</v>
      </c>
      <c r="E344" s="226">
        <v>2</v>
      </c>
      <c r="F344" s="237">
        <v>384</v>
      </c>
      <c r="G344" s="226"/>
      <c r="H344" s="227"/>
      <c r="I344" s="185" t="s">
        <v>1148</v>
      </c>
      <c r="J344" s="123"/>
    </row>
    <row r="345" spans="1:10" s="119" customFormat="1" ht="17.25" x14ac:dyDescent="0.35">
      <c r="A345" s="236"/>
      <c r="B345" s="226"/>
      <c r="C345" s="237"/>
      <c r="D345" s="237" t="s">
        <v>44</v>
      </c>
      <c r="E345" s="226">
        <v>2</v>
      </c>
      <c r="F345" s="237">
        <v>64</v>
      </c>
      <c r="G345" s="226"/>
      <c r="H345" s="227"/>
      <c r="I345" s="185" t="s">
        <v>1149</v>
      </c>
      <c r="J345" s="123"/>
    </row>
    <row r="346" spans="1:10" s="119" customFormat="1" ht="17.25" x14ac:dyDescent="0.35">
      <c r="A346" s="236"/>
      <c r="B346" s="226"/>
      <c r="C346" s="237"/>
      <c r="D346" s="237" t="s">
        <v>44</v>
      </c>
      <c r="E346" s="226">
        <v>2</v>
      </c>
      <c r="F346" s="237">
        <v>384</v>
      </c>
      <c r="G346" s="226"/>
      <c r="H346" s="227"/>
      <c r="I346" s="185" t="s">
        <v>1150</v>
      </c>
      <c r="J346" s="123"/>
    </row>
    <row r="347" spans="1:10" s="119" customFormat="1" ht="17.25" x14ac:dyDescent="0.35">
      <c r="A347" s="236"/>
      <c r="B347" s="226"/>
      <c r="C347" s="237"/>
      <c r="D347" s="237" t="s">
        <v>44</v>
      </c>
      <c r="E347" s="226">
        <v>1</v>
      </c>
      <c r="F347" s="237">
        <v>15</v>
      </c>
      <c r="G347" s="226"/>
      <c r="H347" s="227"/>
      <c r="I347" s="185" t="s">
        <v>1151</v>
      </c>
      <c r="J347" s="123"/>
    </row>
    <row r="348" spans="1:10" s="119" customFormat="1" ht="17.25" x14ac:dyDescent="0.35">
      <c r="A348" s="236"/>
      <c r="B348" s="226"/>
      <c r="C348" s="237"/>
      <c r="D348" s="237" t="s">
        <v>44</v>
      </c>
      <c r="E348" s="226">
        <v>1</v>
      </c>
      <c r="F348" s="237">
        <v>7</v>
      </c>
      <c r="G348" s="226"/>
      <c r="H348" s="227"/>
      <c r="I348" s="185" t="s">
        <v>1152</v>
      </c>
      <c r="J348" s="123"/>
    </row>
    <row r="349" spans="1:10" s="119" customFormat="1" ht="17.25" x14ac:dyDescent="0.35">
      <c r="A349" s="236"/>
      <c r="B349" s="226"/>
      <c r="C349" s="237"/>
      <c r="D349" s="237" t="s">
        <v>44</v>
      </c>
      <c r="E349" s="226">
        <v>1</v>
      </c>
      <c r="F349" s="237">
        <v>15</v>
      </c>
      <c r="G349" s="226"/>
      <c r="H349" s="227"/>
      <c r="I349" s="185" t="s">
        <v>1153</v>
      </c>
      <c r="J349" s="123"/>
    </row>
    <row r="350" spans="1:10" s="119" customFormat="1" ht="17.25" x14ac:dyDescent="0.35">
      <c r="A350" s="236"/>
      <c r="B350" s="226"/>
      <c r="C350" s="237"/>
      <c r="D350" s="237" t="s">
        <v>44</v>
      </c>
      <c r="E350" s="226">
        <v>2</v>
      </c>
      <c r="F350" s="237">
        <v>0</v>
      </c>
      <c r="G350" s="226"/>
      <c r="H350" s="227"/>
      <c r="I350" s="185" t="s">
        <v>1154</v>
      </c>
      <c r="J350" s="123"/>
    </row>
    <row r="351" spans="1:10" s="119" customFormat="1" ht="17.25" x14ac:dyDescent="0.35">
      <c r="A351" s="236"/>
      <c r="B351" s="226"/>
      <c r="C351" s="237"/>
      <c r="D351" s="237" t="s">
        <v>44</v>
      </c>
      <c r="E351" s="226">
        <v>2</v>
      </c>
      <c r="F351" s="237">
        <v>0</v>
      </c>
      <c r="G351" s="226"/>
      <c r="H351" s="227"/>
      <c r="I351" s="185" t="s">
        <v>1155</v>
      </c>
      <c r="J351" s="123"/>
    </row>
    <row r="352" spans="1:10" s="119" customFormat="1" ht="17.25" x14ac:dyDescent="0.35">
      <c r="A352" s="236"/>
      <c r="B352" s="226"/>
      <c r="C352" s="237"/>
      <c r="D352" s="237" t="s">
        <v>44</v>
      </c>
      <c r="E352" s="226">
        <v>532</v>
      </c>
      <c r="F352" s="237"/>
      <c r="G352" s="226"/>
      <c r="H352" s="227"/>
      <c r="I352" s="185" t="s">
        <v>752</v>
      </c>
      <c r="J352" s="123"/>
    </row>
    <row r="353" spans="1:10" s="119" customFormat="1" ht="34.5" x14ac:dyDescent="0.35">
      <c r="A353" s="238" t="s">
        <v>754</v>
      </c>
      <c r="B353" s="226" t="s">
        <v>755</v>
      </c>
      <c r="C353" s="226" t="s">
        <v>67</v>
      </c>
      <c r="D353" s="226"/>
      <c r="E353" s="226"/>
      <c r="F353" s="226"/>
      <c r="G353" s="226" t="s">
        <v>1180</v>
      </c>
      <c r="H353" s="227"/>
      <c r="I353" s="82" t="s">
        <v>756</v>
      </c>
      <c r="J353" s="123"/>
    </row>
    <row r="354" spans="1:10" s="119" customFormat="1" ht="17.25" x14ac:dyDescent="0.35">
      <c r="A354" s="238"/>
      <c r="B354" s="226"/>
      <c r="C354" s="226"/>
      <c r="D354" s="226" t="s">
        <v>44</v>
      </c>
      <c r="E354" s="226">
        <v>1</v>
      </c>
      <c r="F354" s="226">
        <v>0</v>
      </c>
      <c r="G354" s="226"/>
      <c r="H354" s="227"/>
      <c r="I354" s="82" t="s">
        <v>717</v>
      </c>
      <c r="J354" s="123"/>
    </row>
    <row r="355" spans="1:10" s="119" customFormat="1" ht="17.25" x14ac:dyDescent="0.35">
      <c r="A355" s="238"/>
      <c r="B355" s="226"/>
      <c r="C355" s="226"/>
      <c r="D355" s="226" t="s">
        <v>44</v>
      </c>
      <c r="E355" s="226">
        <v>4</v>
      </c>
      <c r="F355" s="226">
        <v>0</v>
      </c>
      <c r="G355" s="226"/>
      <c r="H355" s="227"/>
      <c r="I355" s="82" t="s">
        <v>757</v>
      </c>
      <c r="J355" s="123"/>
    </row>
    <row r="356" spans="1:10" s="119" customFormat="1" ht="17.25" x14ac:dyDescent="0.35">
      <c r="A356" s="238"/>
      <c r="B356" s="226"/>
      <c r="C356" s="226"/>
      <c r="D356" s="226" t="s">
        <v>44</v>
      </c>
      <c r="E356" s="226">
        <v>1</v>
      </c>
      <c r="F356" s="226">
        <v>0</v>
      </c>
      <c r="G356" s="226"/>
      <c r="H356" s="227"/>
      <c r="I356" s="82" t="s">
        <v>758</v>
      </c>
      <c r="J356" s="123"/>
    </row>
    <row r="357" spans="1:10" s="119" customFormat="1" ht="17.25" x14ac:dyDescent="0.35">
      <c r="A357" s="238"/>
      <c r="B357" s="226"/>
      <c r="C357" s="226"/>
      <c r="D357" s="226" t="s">
        <v>44</v>
      </c>
      <c r="E357" s="226">
        <v>122</v>
      </c>
      <c r="F357" s="226"/>
      <c r="G357" s="226"/>
      <c r="H357" s="227"/>
      <c r="I357" s="82" t="s">
        <v>265</v>
      </c>
      <c r="J357" s="123"/>
    </row>
    <row r="358" spans="1:10" s="119" customFormat="1" ht="17.25" x14ac:dyDescent="0.35">
      <c r="A358" s="228" t="s">
        <v>759</v>
      </c>
      <c r="B358" s="226" t="s">
        <v>760</v>
      </c>
      <c r="C358" s="226" t="s">
        <v>67</v>
      </c>
      <c r="D358" s="226"/>
      <c r="E358" s="226"/>
      <c r="F358" s="226"/>
      <c r="G358" s="226" t="s">
        <v>1180</v>
      </c>
      <c r="H358" s="227"/>
      <c r="I358" s="79">
        <v>72553</v>
      </c>
      <c r="J358" s="123"/>
    </row>
    <row r="359" spans="1:10" s="119" customFormat="1" ht="17.25" x14ac:dyDescent="0.35">
      <c r="A359" s="228"/>
      <c r="B359" s="226"/>
      <c r="C359" s="226"/>
      <c r="D359" s="226" t="s">
        <v>44</v>
      </c>
      <c r="E359" s="226">
        <v>1</v>
      </c>
      <c r="F359" s="226">
        <v>0</v>
      </c>
      <c r="G359" s="226"/>
      <c r="H359" s="227"/>
      <c r="I359" s="79"/>
      <c r="J359" s="123"/>
    </row>
    <row r="360" spans="1:10" s="119" customFormat="1" ht="17.25" x14ac:dyDescent="0.35">
      <c r="A360" s="225" t="s">
        <v>761</v>
      </c>
      <c r="B360" s="226" t="s">
        <v>762</v>
      </c>
      <c r="C360" s="226" t="s">
        <v>67</v>
      </c>
      <c r="D360" s="226"/>
      <c r="E360" s="226"/>
      <c r="F360" s="226"/>
      <c r="G360" s="226" t="s">
        <v>1180</v>
      </c>
      <c r="H360" s="227"/>
      <c r="I360" s="78">
        <v>70263</v>
      </c>
      <c r="J360" s="123"/>
    </row>
    <row r="361" spans="1:10" s="119" customFormat="1" ht="17.25" x14ac:dyDescent="0.35">
      <c r="A361" s="225"/>
      <c r="B361" s="226"/>
      <c r="C361" s="226"/>
      <c r="D361" s="226" t="s">
        <v>44</v>
      </c>
      <c r="E361" s="226">
        <v>1</v>
      </c>
      <c r="F361" s="226">
        <v>8</v>
      </c>
      <c r="G361" s="226"/>
      <c r="H361" s="227"/>
      <c r="I361" s="78" t="s">
        <v>262</v>
      </c>
      <c r="J361" s="123"/>
    </row>
    <row r="362" spans="1:10" s="119" customFormat="1" ht="17.25" x14ac:dyDescent="0.35">
      <c r="A362" s="225"/>
      <c r="B362" s="226"/>
      <c r="C362" s="226"/>
      <c r="D362" s="226" t="s">
        <v>45</v>
      </c>
      <c r="E362" s="226">
        <v>64</v>
      </c>
      <c r="F362" s="226" t="s">
        <v>763</v>
      </c>
      <c r="G362" s="226"/>
      <c r="H362" s="227"/>
      <c r="I362" s="78" t="s">
        <v>764</v>
      </c>
      <c r="J362" s="123"/>
    </row>
    <row r="363" spans="1:10" s="119" customFormat="1" ht="17.25" x14ac:dyDescent="0.35">
      <c r="A363" s="225"/>
      <c r="B363" s="226"/>
      <c r="C363" s="226"/>
      <c r="D363" s="226" t="s">
        <v>45</v>
      </c>
      <c r="E363" s="226">
        <v>256</v>
      </c>
      <c r="F363" s="226"/>
      <c r="G363" s="226"/>
      <c r="H363" s="227"/>
      <c r="I363" s="78" t="s">
        <v>765</v>
      </c>
      <c r="J363" s="123"/>
    </row>
    <row r="364" spans="1:10" s="119" customFormat="1" ht="17.25" x14ac:dyDescent="0.35">
      <c r="A364" s="225"/>
      <c r="B364" s="226"/>
      <c r="C364" s="226"/>
      <c r="D364" s="226" t="s">
        <v>45</v>
      </c>
      <c r="E364" s="226">
        <v>256</v>
      </c>
      <c r="F364" s="226"/>
      <c r="G364" s="226"/>
      <c r="H364" s="227"/>
      <c r="I364" s="78" t="s">
        <v>766</v>
      </c>
      <c r="J364" s="123"/>
    </row>
    <row r="365" spans="1:10" s="119" customFormat="1" ht="17.25" x14ac:dyDescent="0.35">
      <c r="A365" s="225"/>
      <c r="B365" s="226"/>
      <c r="C365" s="226"/>
      <c r="D365" s="226" t="s">
        <v>45</v>
      </c>
      <c r="E365" s="226">
        <v>128</v>
      </c>
      <c r="F365" s="226" t="s">
        <v>767</v>
      </c>
      <c r="G365" s="226"/>
      <c r="H365" s="227"/>
      <c r="I365" s="78" t="s">
        <v>768</v>
      </c>
      <c r="J365" s="123"/>
    </row>
    <row r="366" spans="1:10" s="119" customFormat="1" ht="17.25" x14ac:dyDescent="0.35">
      <c r="A366" s="225"/>
      <c r="B366" s="226"/>
      <c r="C366" s="226"/>
      <c r="D366" s="226" t="s">
        <v>44</v>
      </c>
      <c r="E366" s="226">
        <v>4</v>
      </c>
      <c r="F366" s="226">
        <v>10</v>
      </c>
      <c r="G366" s="226"/>
      <c r="H366" s="227"/>
      <c r="I366" s="78" t="s">
        <v>769</v>
      </c>
      <c r="J366" s="123"/>
    </row>
    <row r="367" spans="1:10" s="119" customFormat="1" ht="17.25" x14ac:dyDescent="0.35">
      <c r="A367" s="225"/>
      <c r="B367" s="226"/>
      <c r="C367" s="226"/>
      <c r="D367" s="226" t="s">
        <v>44</v>
      </c>
      <c r="E367" s="226">
        <v>1</v>
      </c>
      <c r="F367" s="226">
        <v>1</v>
      </c>
      <c r="G367" s="226"/>
      <c r="H367" s="227"/>
      <c r="I367" s="78" t="s">
        <v>770</v>
      </c>
      <c r="J367" s="123"/>
    </row>
    <row r="368" spans="1:10" s="175" customFormat="1" ht="17.25" customHeight="1" x14ac:dyDescent="0.35">
      <c r="A368" s="225"/>
      <c r="B368" s="226"/>
      <c r="C368" s="226"/>
      <c r="D368" s="226" t="s">
        <v>44</v>
      </c>
      <c r="E368" s="226">
        <v>1</v>
      </c>
      <c r="F368" s="226">
        <v>10</v>
      </c>
      <c r="G368" s="226"/>
      <c r="H368" s="227"/>
      <c r="I368" s="78" t="s">
        <v>771</v>
      </c>
    </row>
    <row r="369" spans="1:10" s="175" customFormat="1" ht="17.25" customHeight="1" x14ac:dyDescent="0.35">
      <c r="A369" s="225"/>
      <c r="B369" s="226"/>
      <c r="C369" s="226"/>
      <c r="D369" s="226" t="s">
        <v>44</v>
      </c>
      <c r="E369" s="226">
        <v>1</v>
      </c>
      <c r="F369" s="226">
        <v>2</v>
      </c>
      <c r="G369" s="226"/>
      <c r="H369" s="227"/>
      <c r="I369" s="78" t="s">
        <v>772</v>
      </c>
    </row>
    <row r="370" spans="1:10" s="175" customFormat="1" ht="17.25" customHeight="1" x14ac:dyDescent="0.35">
      <c r="A370" s="225"/>
      <c r="B370" s="226"/>
      <c r="C370" s="226"/>
      <c r="D370" s="226" t="s">
        <v>44</v>
      </c>
      <c r="E370" s="226">
        <v>1</v>
      </c>
      <c r="F370" s="226">
        <v>5</v>
      </c>
      <c r="G370" s="226"/>
      <c r="H370" s="227"/>
      <c r="I370" s="78" t="s">
        <v>773</v>
      </c>
    </row>
    <row r="371" spans="1:10" s="175" customFormat="1" ht="17.25" customHeight="1" x14ac:dyDescent="0.35">
      <c r="A371" s="225"/>
      <c r="B371" s="226"/>
      <c r="C371" s="226"/>
      <c r="D371" s="226" t="s">
        <v>44</v>
      </c>
      <c r="E371" s="226">
        <v>1</v>
      </c>
      <c r="F371" s="226">
        <v>0</v>
      </c>
      <c r="G371" s="226"/>
      <c r="H371" s="227"/>
      <c r="I371" s="78" t="s">
        <v>774</v>
      </c>
    </row>
    <row r="372" spans="1:10" s="175" customFormat="1" ht="17.25" customHeight="1" x14ac:dyDescent="0.35">
      <c r="A372" s="225"/>
      <c r="B372" s="226"/>
      <c r="C372" s="226"/>
      <c r="D372" s="226" t="s">
        <v>44</v>
      </c>
      <c r="E372" s="226">
        <v>1</v>
      </c>
      <c r="F372" s="226">
        <v>0</v>
      </c>
      <c r="G372" s="226"/>
      <c r="H372" s="227"/>
      <c r="I372" s="78" t="s">
        <v>775</v>
      </c>
    </row>
    <row r="373" spans="1:10" s="175" customFormat="1" ht="17.25" customHeight="1" x14ac:dyDescent="0.35">
      <c r="A373" s="225"/>
      <c r="B373" s="226"/>
      <c r="C373" s="226"/>
      <c r="D373" s="226" t="s">
        <v>45</v>
      </c>
      <c r="E373" s="226">
        <v>64</v>
      </c>
      <c r="F373" s="226"/>
      <c r="G373" s="226"/>
      <c r="H373" s="227"/>
      <c r="I373" s="78" t="s">
        <v>776</v>
      </c>
    </row>
    <row r="374" spans="1:10" s="119" customFormat="1" ht="17.25" x14ac:dyDescent="0.35">
      <c r="A374" s="225"/>
      <c r="B374" s="226"/>
      <c r="C374" s="226"/>
      <c r="D374" s="226" t="s">
        <v>44</v>
      </c>
      <c r="E374" s="226">
        <v>1</v>
      </c>
      <c r="F374" s="226">
        <v>0</v>
      </c>
      <c r="G374" s="226"/>
      <c r="H374" s="227"/>
      <c r="I374" s="78" t="s">
        <v>777</v>
      </c>
      <c r="J374" s="123"/>
    </row>
    <row r="375" spans="1:10" s="119" customFormat="1" ht="17.25" x14ac:dyDescent="0.35">
      <c r="A375" s="225"/>
      <c r="B375" s="226"/>
      <c r="C375" s="226"/>
      <c r="D375" s="226" t="s">
        <v>44</v>
      </c>
      <c r="E375" s="226">
        <v>1</v>
      </c>
      <c r="F375" s="226">
        <v>0</v>
      </c>
      <c r="G375" s="226"/>
      <c r="H375" s="227"/>
      <c r="I375" s="78" t="s">
        <v>778</v>
      </c>
      <c r="J375" s="123"/>
    </row>
    <row r="376" spans="1:10" s="119" customFormat="1" ht="17.25" x14ac:dyDescent="0.35">
      <c r="A376" s="225"/>
      <c r="B376" s="226"/>
      <c r="C376" s="226"/>
      <c r="D376" s="226" t="s">
        <v>44</v>
      </c>
      <c r="E376" s="226">
        <v>2</v>
      </c>
      <c r="F376" s="226">
        <v>0</v>
      </c>
      <c r="G376" s="226"/>
      <c r="H376" s="227"/>
      <c r="I376" s="78" t="s">
        <v>779</v>
      </c>
      <c r="J376" s="123"/>
    </row>
    <row r="377" spans="1:10" s="119" customFormat="1" ht="17.25" x14ac:dyDescent="0.35">
      <c r="A377" s="225"/>
      <c r="B377" s="226"/>
      <c r="C377" s="226"/>
      <c r="D377" s="226" t="s">
        <v>44</v>
      </c>
      <c r="E377" s="226">
        <v>4</v>
      </c>
      <c r="F377" s="226">
        <v>0</v>
      </c>
      <c r="G377" s="226"/>
      <c r="H377" s="227"/>
      <c r="I377" s="78" t="s">
        <v>780</v>
      </c>
      <c r="J377" s="123"/>
    </row>
    <row r="378" spans="1:10" s="119" customFormat="1" ht="17.25" x14ac:dyDescent="0.35">
      <c r="A378" s="225"/>
      <c r="B378" s="226"/>
      <c r="C378" s="226"/>
      <c r="D378" s="226" t="s">
        <v>44</v>
      </c>
      <c r="E378" s="226">
        <v>1</v>
      </c>
      <c r="F378" s="226">
        <v>1</v>
      </c>
      <c r="G378" s="226"/>
      <c r="H378" s="227"/>
      <c r="I378" s="78" t="s">
        <v>1325</v>
      </c>
      <c r="J378" s="123"/>
    </row>
    <row r="379" spans="1:10" s="119" customFormat="1" ht="17.25" x14ac:dyDescent="0.35">
      <c r="A379" s="225"/>
      <c r="B379" s="226"/>
      <c r="C379" s="226"/>
      <c r="D379" s="226" t="s">
        <v>45</v>
      </c>
      <c r="E379" s="226">
        <v>100</v>
      </c>
      <c r="F379" s="226"/>
      <c r="G379" s="226"/>
      <c r="H379" s="227"/>
      <c r="I379" s="78" t="s">
        <v>1326</v>
      </c>
      <c r="J379" s="123"/>
    </row>
    <row r="380" spans="1:10" s="119" customFormat="1" ht="17.25" x14ac:dyDescent="0.35">
      <c r="A380" s="225"/>
      <c r="B380" s="226"/>
      <c r="C380" s="226"/>
      <c r="D380" s="226" t="s">
        <v>44</v>
      </c>
      <c r="E380" s="226">
        <v>108</v>
      </c>
      <c r="F380" s="226"/>
      <c r="G380" s="226"/>
      <c r="H380" s="227"/>
      <c r="I380" s="78" t="s">
        <v>265</v>
      </c>
      <c r="J380" s="123"/>
    </row>
    <row r="381" spans="1:10" s="119" customFormat="1" ht="17.25" x14ac:dyDescent="0.35">
      <c r="A381" s="225" t="s">
        <v>781</v>
      </c>
      <c r="B381" s="226" t="s">
        <v>782</v>
      </c>
      <c r="C381" s="226" t="s">
        <v>67</v>
      </c>
      <c r="D381" s="226"/>
      <c r="E381" s="226"/>
      <c r="F381" s="226"/>
      <c r="G381" s="226" t="s">
        <v>1180</v>
      </c>
      <c r="H381" s="227"/>
      <c r="I381" s="78">
        <v>65961</v>
      </c>
      <c r="J381" s="123"/>
    </row>
    <row r="382" spans="1:10" s="119" customFormat="1" ht="17.25" x14ac:dyDescent="0.35">
      <c r="A382" s="225"/>
      <c r="B382" s="226"/>
      <c r="C382" s="226"/>
      <c r="D382" s="226" t="s">
        <v>44</v>
      </c>
      <c r="E382" s="226">
        <v>1</v>
      </c>
      <c r="F382" s="226">
        <v>0</v>
      </c>
      <c r="G382" s="226"/>
      <c r="H382" s="227"/>
      <c r="I382" s="78"/>
      <c r="J382" s="123"/>
    </row>
    <row r="383" spans="1:10" s="119" customFormat="1" ht="17.25" x14ac:dyDescent="0.35">
      <c r="A383" s="225" t="s">
        <v>783</v>
      </c>
      <c r="B383" s="226" t="s">
        <v>784</v>
      </c>
      <c r="C383" s="226" t="s">
        <v>67</v>
      </c>
      <c r="D383" s="226"/>
      <c r="E383" s="226"/>
      <c r="F383" s="226"/>
      <c r="G383" s="226" t="s">
        <v>1180</v>
      </c>
      <c r="H383" s="227"/>
      <c r="I383" s="78">
        <v>65956</v>
      </c>
      <c r="J383" s="123"/>
    </row>
    <row r="384" spans="1:10" s="119" customFormat="1" ht="17.25" x14ac:dyDescent="0.35">
      <c r="A384" s="225" t="s">
        <v>254</v>
      </c>
      <c r="B384" s="226" t="s">
        <v>254</v>
      </c>
      <c r="C384" s="226"/>
      <c r="D384" s="226" t="s">
        <v>44</v>
      </c>
      <c r="E384" s="226">
        <v>2</v>
      </c>
      <c r="F384" s="226">
        <v>0</v>
      </c>
      <c r="G384" s="226"/>
      <c r="H384" s="227"/>
      <c r="I384" s="78"/>
      <c r="J384" s="123"/>
    </row>
    <row r="385" spans="1:10" s="119" customFormat="1" ht="17.25" x14ac:dyDescent="0.35">
      <c r="A385" s="225" t="s">
        <v>785</v>
      </c>
      <c r="B385" s="226" t="s">
        <v>786</v>
      </c>
      <c r="C385" s="226" t="s">
        <v>67</v>
      </c>
      <c r="D385" s="226"/>
      <c r="E385" s="226"/>
      <c r="F385" s="226"/>
      <c r="G385" s="226" t="s">
        <v>1180</v>
      </c>
      <c r="H385" s="227"/>
      <c r="I385" s="78">
        <v>67218</v>
      </c>
      <c r="J385" s="123"/>
    </row>
    <row r="386" spans="1:10" s="119" customFormat="1" ht="17.25" x14ac:dyDescent="0.35">
      <c r="A386" s="225" t="s">
        <v>254</v>
      </c>
      <c r="B386" s="226" t="s">
        <v>254</v>
      </c>
      <c r="C386" s="226"/>
      <c r="D386" s="226" t="s">
        <v>44</v>
      </c>
      <c r="E386" s="226">
        <v>1</v>
      </c>
      <c r="F386" s="226">
        <v>1</v>
      </c>
      <c r="G386" s="226"/>
      <c r="H386" s="227"/>
      <c r="I386" s="78"/>
      <c r="J386" s="123"/>
    </row>
    <row r="387" spans="1:10" s="119" customFormat="1" ht="17.25" x14ac:dyDescent="0.35">
      <c r="A387" s="225" t="s">
        <v>787</v>
      </c>
      <c r="B387" s="226" t="s">
        <v>788</v>
      </c>
      <c r="C387" s="226" t="s">
        <v>67</v>
      </c>
      <c r="D387" s="226"/>
      <c r="E387" s="226"/>
      <c r="F387" s="226"/>
      <c r="G387" s="226" t="s">
        <v>1180</v>
      </c>
      <c r="H387" s="227"/>
      <c r="I387" s="78">
        <v>67261</v>
      </c>
      <c r="J387" s="123"/>
    </row>
    <row r="388" spans="1:10" s="119" customFormat="1" ht="17.25" x14ac:dyDescent="0.35">
      <c r="A388" s="225"/>
      <c r="B388" s="226"/>
      <c r="C388" s="226"/>
      <c r="D388" s="226" t="s">
        <v>44</v>
      </c>
      <c r="E388" s="226">
        <v>2</v>
      </c>
      <c r="F388" s="226">
        <v>0</v>
      </c>
      <c r="G388" s="226"/>
      <c r="H388" s="227"/>
      <c r="I388" s="78" t="s">
        <v>789</v>
      </c>
      <c r="J388" s="123"/>
    </row>
    <row r="389" spans="1:10" s="119" customFormat="1" ht="17.25" x14ac:dyDescent="0.35">
      <c r="A389" s="225"/>
      <c r="B389" s="226"/>
      <c r="C389" s="226"/>
      <c r="D389" s="226" t="s">
        <v>44</v>
      </c>
      <c r="E389" s="226">
        <v>2</v>
      </c>
      <c r="F389" s="226">
        <v>1</v>
      </c>
      <c r="G389" s="226"/>
      <c r="H389" s="227"/>
      <c r="I389" s="78" t="s">
        <v>790</v>
      </c>
      <c r="J389" s="123"/>
    </row>
    <row r="390" spans="1:10" s="119" customFormat="1" ht="17.25" x14ac:dyDescent="0.35">
      <c r="A390" s="225"/>
      <c r="B390" s="226"/>
      <c r="C390" s="226"/>
      <c r="D390" s="226" t="s">
        <v>44</v>
      </c>
      <c r="E390" s="226">
        <v>1</v>
      </c>
      <c r="F390" s="226">
        <v>1</v>
      </c>
      <c r="G390" s="226"/>
      <c r="H390" s="227"/>
      <c r="I390" s="78" t="s">
        <v>791</v>
      </c>
      <c r="J390" s="123"/>
    </row>
    <row r="391" spans="1:10" s="119" customFormat="1" ht="17.25" x14ac:dyDescent="0.35">
      <c r="A391" s="225"/>
      <c r="B391" s="226"/>
      <c r="C391" s="226"/>
      <c r="D391" s="226" t="s">
        <v>44</v>
      </c>
      <c r="E391" s="226">
        <v>1</v>
      </c>
      <c r="F391" s="226">
        <v>1</v>
      </c>
      <c r="G391" s="226"/>
      <c r="H391" s="227"/>
      <c r="I391" s="78" t="s">
        <v>792</v>
      </c>
      <c r="J391" s="123"/>
    </row>
    <row r="392" spans="1:10" s="119" customFormat="1" ht="17.25" x14ac:dyDescent="0.35">
      <c r="A392" s="225"/>
      <c r="B392" s="226"/>
      <c r="C392" s="226"/>
      <c r="D392" s="226" t="s">
        <v>44</v>
      </c>
      <c r="E392" s="226">
        <v>2</v>
      </c>
      <c r="F392" s="226">
        <v>0</v>
      </c>
      <c r="G392" s="226"/>
      <c r="H392" s="227"/>
      <c r="I392" s="78" t="s">
        <v>793</v>
      </c>
      <c r="J392" s="123"/>
    </row>
    <row r="393" spans="1:10" s="119" customFormat="1" ht="17.25" x14ac:dyDescent="0.35">
      <c r="A393" s="225"/>
      <c r="B393" s="226"/>
      <c r="C393" s="226"/>
      <c r="D393" s="226" t="s">
        <v>44</v>
      </c>
      <c r="E393" s="226">
        <v>4</v>
      </c>
      <c r="F393" s="226">
        <v>0</v>
      </c>
      <c r="G393" s="226"/>
      <c r="H393" s="227"/>
      <c r="I393" s="78" t="s">
        <v>795</v>
      </c>
      <c r="J393" s="123"/>
    </row>
    <row r="394" spans="1:10" s="119" customFormat="1" ht="17.25" x14ac:dyDescent="0.35">
      <c r="A394" s="225"/>
      <c r="B394" s="226"/>
      <c r="C394" s="226"/>
      <c r="D394" s="226" t="s">
        <v>44</v>
      </c>
      <c r="E394" s="226">
        <v>1</v>
      </c>
      <c r="F394" s="226">
        <v>0</v>
      </c>
      <c r="G394" s="226"/>
      <c r="H394" s="227"/>
      <c r="I394" s="78" t="s">
        <v>794</v>
      </c>
      <c r="J394" s="123"/>
    </row>
    <row r="395" spans="1:10" s="119" customFormat="1" ht="17.25" x14ac:dyDescent="0.35">
      <c r="A395" s="225"/>
      <c r="B395" s="226"/>
      <c r="C395" s="226"/>
      <c r="D395" s="226" t="s">
        <v>44</v>
      </c>
      <c r="E395" s="226">
        <v>1</v>
      </c>
      <c r="F395" s="226">
        <v>2</v>
      </c>
      <c r="G395" s="226"/>
      <c r="H395" s="227"/>
      <c r="I395" s="78" t="s">
        <v>796</v>
      </c>
      <c r="J395" s="123"/>
    </row>
    <row r="396" spans="1:10" s="119" customFormat="1" ht="17.25" x14ac:dyDescent="0.35">
      <c r="A396" s="239" t="s">
        <v>1156</v>
      </c>
      <c r="B396" s="226" t="s">
        <v>1157</v>
      </c>
      <c r="C396" s="226" t="s">
        <v>67</v>
      </c>
      <c r="D396" s="226"/>
      <c r="E396" s="226"/>
      <c r="F396" s="226"/>
      <c r="G396" s="226" t="s">
        <v>1180</v>
      </c>
      <c r="H396" s="227"/>
      <c r="I396" s="83">
        <v>73693</v>
      </c>
      <c r="J396" s="123"/>
    </row>
    <row r="397" spans="1:10" s="119" customFormat="1" ht="17.25" x14ac:dyDescent="0.35">
      <c r="A397" s="239"/>
      <c r="B397" s="226"/>
      <c r="C397" s="226"/>
      <c r="D397" s="226" t="s">
        <v>44</v>
      </c>
      <c r="E397" s="226">
        <v>1</v>
      </c>
      <c r="F397" s="226">
        <v>0</v>
      </c>
      <c r="G397" s="226"/>
      <c r="H397" s="227"/>
      <c r="I397" s="83"/>
      <c r="J397" s="123"/>
    </row>
    <row r="398" spans="1:10" s="119" customFormat="1" ht="17.25" x14ac:dyDescent="0.35">
      <c r="A398" s="239"/>
      <c r="B398" s="226"/>
      <c r="C398" s="226"/>
      <c r="D398" s="226" t="s">
        <v>44</v>
      </c>
      <c r="E398" s="226">
        <v>1</v>
      </c>
      <c r="F398" s="226"/>
      <c r="G398" s="226"/>
      <c r="H398" s="227"/>
      <c r="I398" s="83"/>
      <c r="J398" s="123"/>
    </row>
    <row r="399" spans="1:10" s="119" customFormat="1" ht="17.25" x14ac:dyDescent="0.35">
      <c r="A399" s="239"/>
      <c r="B399" s="226"/>
      <c r="C399" s="226"/>
      <c r="D399" s="226" t="s">
        <v>44</v>
      </c>
      <c r="E399" s="226">
        <v>1</v>
      </c>
      <c r="F399" s="226">
        <v>1</v>
      </c>
      <c r="G399" s="226"/>
      <c r="H399" s="227"/>
      <c r="I399" s="83"/>
      <c r="J399" s="123"/>
    </row>
    <row r="400" spans="1:10" s="119" customFormat="1" ht="17.25" x14ac:dyDescent="0.35">
      <c r="A400" s="239"/>
      <c r="B400" s="226"/>
      <c r="C400" s="226"/>
      <c r="D400" s="226" t="s">
        <v>44</v>
      </c>
      <c r="E400" s="226">
        <v>1</v>
      </c>
      <c r="F400" s="226"/>
      <c r="G400" s="226"/>
      <c r="H400" s="227"/>
      <c r="I400" s="83"/>
      <c r="J400" s="123"/>
    </row>
    <row r="401" spans="1:10" s="119" customFormat="1" ht="17.25" x14ac:dyDescent="0.35">
      <c r="A401" s="239"/>
      <c r="B401" s="226"/>
      <c r="C401" s="226"/>
      <c r="D401" s="226" t="s">
        <v>44</v>
      </c>
      <c r="E401" s="226">
        <v>1020</v>
      </c>
      <c r="F401" s="226"/>
      <c r="G401" s="226"/>
      <c r="H401" s="227"/>
      <c r="I401" s="83" t="s">
        <v>1158</v>
      </c>
      <c r="J401" s="123"/>
    </row>
    <row r="402" spans="1:10" s="119" customFormat="1" ht="17.25" x14ac:dyDescent="0.35">
      <c r="A402" s="225" t="s">
        <v>797</v>
      </c>
      <c r="B402" s="226" t="s">
        <v>798</v>
      </c>
      <c r="C402" s="226" t="s">
        <v>67</v>
      </c>
      <c r="D402" s="226"/>
      <c r="E402" s="226"/>
      <c r="F402" s="226"/>
      <c r="G402" s="226" t="s">
        <v>1180</v>
      </c>
      <c r="H402" s="227"/>
      <c r="I402" s="78">
        <v>67264</v>
      </c>
      <c r="J402" s="123"/>
    </row>
    <row r="403" spans="1:10" s="119" customFormat="1" ht="17.25" x14ac:dyDescent="0.35">
      <c r="A403" s="225"/>
      <c r="B403" s="226"/>
      <c r="C403" s="226"/>
      <c r="D403" s="226" t="s">
        <v>44</v>
      </c>
      <c r="E403" s="226">
        <v>1</v>
      </c>
      <c r="F403" s="226">
        <v>1</v>
      </c>
      <c r="G403" s="226"/>
      <c r="H403" s="227"/>
      <c r="I403" s="78" t="s">
        <v>799</v>
      </c>
      <c r="J403" s="123"/>
    </row>
    <row r="404" spans="1:10" s="119" customFormat="1" ht="34.5" x14ac:dyDescent="0.35">
      <c r="A404" s="225"/>
      <c r="B404" s="226"/>
      <c r="C404" s="226"/>
      <c r="D404" s="226" t="s">
        <v>44</v>
      </c>
      <c r="E404" s="226">
        <v>1</v>
      </c>
      <c r="F404" s="226">
        <v>2</v>
      </c>
      <c r="G404" s="226"/>
      <c r="H404" s="227"/>
      <c r="I404" s="78" t="s">
        <v>800</v>
      </c>
      <c r="J404" s="123"/>
    </row>
    <row r="405" spans="1:10" s="119" customFormat="1" ht="69" x14ac:dyDescent="0.35">
      <c r="A405" s="225"/>
      <c r="B405" s="226"/>
      <c r="C405" s="226"/>
      <c r="D405" s="226" t="s">
        <v>45</v>
      </c>
      <c r="E405" s="226">
        <v>32</v>
      </c>
      <c r="F405" s="226" t="s">
        <v>801</v>
      </c>
      <c r="G405" s="226"/>
      <c r="H405" s="227"/>
      <c r="I405" s="78" t="s">
        <v>802</v>
      </c>
      <c r="J405" s="123"/>
    </row>
    <row r="406" spans="1:10" s="119" customFormat="1" ht="17.25" x14ac:dyDescent="0.35">
      <c r="A406" s="225"/>
      <c r="B406" s="226"/>
      <c r="C406" s="226"/>
      <c r="D406" s="226" t="s">
        <v>44</v>
      </c>
      <c r="E406" s="226">
        <v>1</v>
      </c>
      <c r="F406" s="226">
        <v>1</v>
      </c>
      <c r="G406" s="226"/>
      <c r="H406" s="227"/>
      <c r="I406" s="78" t="s">
        <v>803</v>
      </c>
      <c r="J406" s="123"/>
    </row>
    <row r="407" spans="1:10" s="119" customFormat="1" ht="17.25" x14ac:dyDescent="0.35">
      <c r="A407" s="225"/>
      <c r="B407" s="226"/>
      <c r="C407" s="226"/>
      <c r="D407" s="226" t="s">
        <v>44</v>
      </c>
      <c r="E407" s="226">
        <v>1</v>
      </c>
      <c r="F407" s="226">
        <v>1</v>
      </c>
      <c r="G407" s="226"/>
      <c r="H407" s="227"/>
      <c r="I407" s="78" t="s">
        <v>804</v>
      </c>
      <c r="J407" s="123"/>
    </row>
    <row r="408" spans="1:10" s="119" customFormat="1" ht="17.25" x14ac:dyDescent="0.35">
      <c r="A408" s="225"/>
      <c r="B408" s="226"/>
      <c r="C408" s="226"/>
      <c r="D408" s="226" t="s">
        <v>44</v>
      </c>
      <c r="E408" s="226">
        <v>1</v>
      </c>
      <c r="F408" s="226">
        <v>0</v>
      </c>
      <c r="G408" s="226"/>
      <c r="H408" s="227"/>
      <c r="I408" s="78" t="s">
        <v>805</v>
      </c>
      <c r="J408" s="123"/>
    </row>
    <row r="409" spans="1:10" s="119" customFormat="1" ht="17.25" x14ac:dyDescent="0.35">
      <c r="A409" s="225"/>
      <c r="B409" s="226"/>
      <c r="C409" s="226"/>
      <c r="D409" s="226" t="s">
        <v>44</v>
      </c>
      <c r="E409" s="226">
        <v>1</v>
      </c>
      <c r="F409" s="226">
        <v>0</v>
      </c>
      <c r="G409" s="226"/>
      <c r="H409" s="227"/>
      <c r="I409" s="78" t="s">
        <v>806</v>
      </c>
      <c r="J409" s="123"/>
    </row>
    <row r="410" spans="1:10" s="119" customFormat="1" ht="17.25" x14ac:dyDescent="0.35">
      <c r="A410" s="225"/>
      <c r="B410" s="226"/>
      <c r="C410" s="226"/>
      <c r="D410" s="226" t="s">
        <v>45</v>
      </c>
      <c r="E410" s="226">
        <v>256</v>
      </c>
      <c r="F410" s="226"/>
      <c r="G410" s="226"/>
      <c r="H410" s="227"/>
      <c r="I410" s="78" t="s">
        <v>807</v>
      </c>
      <c r="J410" s="123"/>
    </row>
    <row r="411" spans="1:10" s="119" customFormat="1" ht="17.25" x14ac:dyDescent="0.35">
      <c r="A411" s="225"/>
      <c r="B411" s="226"/>
      <c r="C411" s="226"/>
      <c r="D411" s="226" t="s">
        <v>44</v>
      </c>
      <c r="E411" s="226">
        <v>1</v>
      </c>
      <c r="F411" s="226">
        <v>10</v>
      </c>
      <c r="G411" s="226"/>
      <c r="H411" s="227"/>
      <c r="I411" s="78" t="s">
        <v>808</v>
      </c>
      <c r="J411" s="123"/>
    </row>
    <row r="412" spans="1:10" s="119" customFormat="1" ht="17.25" x14ac:dyDescent="0.35">
      <c r="A412" s="225"/>
      <c r="B412" s="226"/>
      <c r="C412" s="226"/>
      <c r="D412" s="226" t="s">
        <v>44</v>
      </c>
      <c r="E412" s="226">
        <v>1</v>
      </c>
      <c r="F412" s="226">
        <v>0</v>
      </c>
      <c r="G412" s="226"/>
      <c r="H412" s="227"/>
      <c r="I412" s="78" t="s">
        <v>809</v>
      </c>
      <c r="J412" s="123"/>
    </row>
    <row r="413" spans="1:10" s="119" customFormat="1" ht="17.25" x14ac:dyDescent="0.35">
      <c r="A413" s="225"/>
      <c r="B413" s="226"/>
      <c r="C413" s="226"/>
      <c r="D413" s="226" t="s">
        <v>44</v>
      </c>
      <c r="E413" s="226">
        <v>1</v>
      </c>
      <c r="F413" s="226">
        <v>0</v>
      </c>
      <c r="G413" s="226"/>
      <c r="H413" s="227"/>
      <c r="I413" s="78" t="s">
        <v>810</v>
      </c>
      <c r="J413" s="123"/>
    </row>
    <row r="414" spans="1:10" s="119" customFormat="1" ht="17.25" x14ac:dyDescent="0.35">
      <c r="A414" s="225"/>
      <c r="B414" s="226"/>
      <c r="C414" s="226"/>
      <c r="D414" s="226" t="s">
        <v>44</v>
      </c>
      <c r="E414" s="226">
        <v>2</v>
      </c>
      <c r="F414" s="226">
        <v>0</v>
      </c>
      <c r="G414" s="226"/>
      <c r="H414" s="227"/>
      <c r="I414" s="78" t="s">
        <v>811</v>
      </c>
      <c r="J414" s="123"/>
    </row>
    <row r="415" spans="1:10" s="119" customFormat="1" ht="17.25" x14ac:dyDescent="0.35">
      <c r="A415" s="225"/>
      <c r="B415" s="226"/>
      <c r="C415" s="226"/>
      <c r="D415" s="226" t="s">
        <v>44</v>
      </c>
      <c r="E415" s="226">
        <v>1</v>
      </c>
      <c r="F415" s="226">
        <v>0</v>
      </c>
      <c r="G415" s="226"/>
      <c r="H415" s="227"/>
      <c r="I415" s="78" t="s">
        <v>812</v>
      </c>
      <c r="J415" s="123"/>
    </row>
    <row r="416" spans="1:10" s="119" customFormat="1" ht="17.25" x14ac:dyDescent="0.35">
      <c r="A416" s="225"/>
      <c r="B416" s="226"/>
      <c r="C416" s="226"/>
      <c r="D416" s="226" t="s">
        <v>44</v>
      </c>
      <c r="E416" s="226">
        <v>1</v>
      </c>
      <c r="F416" s="226">
        <v>0</v>
      </c>
      <c r="G416" s="226"/>
      <c r="H416" s="227"/>
      <c r="I416" s="78" t="s">
        <v>813</v>
      </c>
      <c r="J416" s="123"/>
    </row>
    <row r="417" spans="1:10" s="119" customFormat="1" ht="17.25" x14ac:dyDescent="0.35">
      <c r="A417" s="225"/>
      <c r="B417" s="226"/>
      <c r="C417" s="226"/>
      <c r="D417" s="226" t="s">
        <v>45</v>
      </c>
      <c r="E417" s="226">
        <v>32</v>
      </c>
      <c r="F417" s="226">
        <v>7200</v>
      </c>
      <c r="G417" s="226"/>
      <c r="H417" s="227"/>
      <c r="I417" s="78" t="s">
        <v>814</v>
      </c>
      <c r="J417" s="123"/>
    </row>
    <row r="418" spans="1:10" s="119" customFormat="1" ht="17.25" x14ac:dyDescent="0.35">
      <c r="A418" s="225"/>
      <c r="B418" s="226"/>
      <c r="C418" s="226"/>
      <c r="D418" s="226" t="s">
        <v>45</v>
      </c>
      <c r="E418" s="226">
        <v>32</v>
      </c>
      <c r="F418" s="226">
        <v>106</v>
      </c>
      <c r="G418" s="226"/>
      <c r="H418" s="227"/>
      <c r="I418" s="78" t="s">
        <v>815</v>
      </c>
      <c r="J418" s="123"/>
    </row>
    <row r="419" spans="1:10" s="119" customFormat="1" ht="17.25" x14ac:dyDescent="0.35">
      <c r="A419" s="225"/>
      <c r="B419" s="226"/>
      <c r="C419" s="226"/>
      <c r="D419" s="226" t="s">
        <v>44</v>
      </c>
      <c r="E419" s="226">
        <v>1</v>
      </c>
      <c r="F419" s="226">
        <v>30</v>
      </c>
      <c r="G419" s="226"/>
      <c r="H419" s="227"/>
      <c r="I419" s="78" t="s">
        <v>816</v>
      </c>
      <c r="J419" s="123"/>
    </row>
    <row r="420" spans="1:10" s="119" customFormat="1" ht="17.25" x14ac:dyDescent="0.35">
      <c r="A420" s="225"/>
      <c r="B420" s="226"/>
      <c r="C420" s="226"/>
      <c r="D420" s="226" t="s">
        <v>45</v>
      </c>
      <c r="E420" s="226">
        <v>32</v>
      </c>
      <c r="F420" s="226" t="s">
        <v>817</v>
      </c>
      <c r="G420" s="226"/>
      <c r="H420" s="227"/>
      <c r="I420" s="78" t="s">
        <v>818</v>
      </c>
      <c r="J420" s="123"/>
    </row>
    <row r="421" spans="1:10" s="119" customFormat="1" ht="17.25" x14ac:dyDescent="0.35">
      <c r="A421" s="225"/>
      <c r="B421" s="226"/>
      <c r="C421" s="226"/>
      <c r="D421" s="226" t="s">
        <v>44</v>
      </c>
      <c r="E421" s="226">
        <v>1</v>
      </c>
      <c r="F421" s="226">
        <v>1</v>
      </c>
      <c r="G421" s="226"/>
      <c r="H421" s="227"/>
      <c r="I421" s="78" t="s">
        <v>819</v>
      </c>
      <c r="J421" s="123"/>
    </row>
    <row r="422" spans="1:10" s="119" customFormat="1" ht="17.25" x14ac:dyDescent="0.35">
      <c r="A422" s="225"/>
      <c r="B422" s="226"/>
      <c r="C422" s="226"/>
      <c r="D422" s="226" t="s">
        <v>44</v>
      </c>
      <c r="E422" s="226">
        <v>1</v>
      </c>
      <c r="F422" s="226">
        <v>15</v>
      </c>
      <c r="G422" s="226"/>
      <c r="H422" s="227"/>
      <c r="I422" s="78" t="s">
        <v>820</v>
      </c>
      <c r="J422" s="123"/>
    </row>
    <row r="423" spans="1:10" s="119" customFormat="1" ht="17.25" x14ac:dyDescent="0.35">
      <c r="A423" s="225"/>
      <c r="B423" s="226"/>
      <c r="C423" s="226"/>
      <c r="D423" s="226" t="s">
        <v>44</v>
      </c>
      <c r="E423" s="226">
        <v>1</v>
      </c>
      <c r="F423" s="226">
        <v>3</v>
      </c>
      <c r="G423" s="226"/>
      <c r="H423" s="227"/>
      <c r="I423" s="78" t="s">
        <v>821</v>
      </c>
      <c r="J423" s="123"/>
    </row>
    <row r="424" spans="1:10" s="119" customFormat="1" ht="17.25" x14ac:dyDescent="0.35">
      <c r="A424" s="225"/>
      <c r="B424" s="226"/>
      <c r="C424" s="226"/>
      <c r="D424" s="226" t="s">
        <v>44</v>
      </c>
      <c r="E424" s="226">
        <v>1</v>
      </c>
      <c r="F424" s="226">
        <v>120</v>
      </c>
      <c r="G424" s="226"/>
      <c r="H424" s="227"/>
      <c r="I424" s="78" t="s">
        <v>822</v>
      </c>
      <c r="J424" s="123"/>
    </row>
    <row r="425" spans="1:10" s="119" customFormat="1" ht="17.25" x14ac:dyDescent="0.35">
      <c r="A425" s="225"/>
      <c r="B425" s="226"/>
      <c r="C425" s="226"/>
      <c r="D425" s="226" t="s">
        <v>44</v>
      </c>
      <c r="E425" s="226">
        <v>1</v>
      </c>
      <c r="F425" s="226">
        <v>0</v>
      </c>
      <c r="G425" s="226"/>
      <c r="H425" s="227"/>
      <c r="I425" s="78" t="s">
        <v>823</v>
      </c>
      <c r="J425" s="123"/>
    </row>
    <row r="426" spans="1:10" s="119" customFormat="1" ht="17.25" x14ac:dyDescent="0.35">
      <c r="A426" s="225"/>
      <c r="B426" s="226"/>
      <c r="C426" s="226"/>
      <c r="D426" s="226" t="s">
        <v>44</v>
      </c>
      <c r="E426" s="226">
        <v>2</v>
      </c>
      <c r="F426" s="226">
        <v>5060</v>
      </c>
      <c r="G426" s="226"/>
      <c r="H426" s="227"/>
      <c r="I426" s="78" t="s">
        <v>824</v>
      </c>
      <c r="J426" s="123"/>
    </row>
    <row r="427" spans="1:10" s="119" customFormat="1" ht="17.25" x14ac:dyDescent="0.35">
      <c r="A427" s="225" t="s">
        <v>825</v>
      </c>
      <c r="B427" s="226" t="s">
        <v>826</v>
      </c>
      <c r="C427" s="226" t="s">
        <v>67</v>
      </c>
      <c r="D427" s="226"/>
      <c r="E427" s="226"/>
      <c r="F427" s="226"/>
      <c r="G427" s="226" t="s">
        <v>1180</v>
      </c>
      <c r="H427" s="227"/>
      <c r="I427" s="78">
        <v>67259</v>
      </c>
      <c r="J427" s="123"/>
    </row>
    <row r="428" spans="1:10" s="119" customFormat="1" ht="17.25" x14ac:dyDescent="0.35">
      <c r="A428" s="225" t="s">
        <v>254</v>
      </c>
      <c r="B428" s="226" t="s">
        <v>254</v>
      </c>
      <c r="C428" s="226"/>
      <c r="D428" s="226" t="s">
        <v>45</v>
      </c>
      <c r="E428" s="226">
        <v>128</v>
      </c>
      <c r="F428" s="226">
        <v>10138</v>
      </c>
      <c r="G428" s="226"/>
      <c r="H428" s="227"/>
      <c r="I428" s="78" t="s">
        <v>827</v>
      </c>
      <c r="J428" s="123"/>
    </row>
    <row r="429" spans="1:10" s="119" customFormat="1" ht="17.25" x14ac:dyDescent="0.35">
      <c r="A429" s="225" t="s">
        <v>254</v>
      </c>
      <c r="B429" s="226" t="s">
        <v>254</v>
      </c>
      <c r="C429" s="226"/>
      <c r="D429" s="226" t="s">
        <v>44</v>
      </c>
      <c r="E429" s="226">
        <v>1</v>
      </c>
      <c r="F429" s="226">
        <v>1</v>
      </c>
      <c r="G429" s="226"/>
      <c r="H429" s="227"/>
      <c r="I429" s="78" t="s">
        <v>828</v>
      </c>
      <c r="J429" s="123"/>
    </row>
    <row r="430" spans="1:10" s="119" customFormat="1" ht="17.25" x14ac:dyDescent="0.35">
      <c r="A430" s="225" t="s">
        <v>254</v>
      </c>
      <c r="B430" s="226" t="s">
        <v>254</v>
      </c>
      <c r="C430" s="226"/>
      <c r="D430" s="226" t="s">
        <v>45</v>
      </c>
      <c r="E430" s="226">
        <v>128</v>
      </c>
      <c r="F430" s="226" t="s">
        <v>829</v>
      </c>
      <c r="G430" s="226"/>
      <c r="H430" s="227"/>
      <c r="I430" s="78" t="s">
        <v>830</v>
      </c>
      <c r="J430" s="123"/>
    </row>
    <row r="431" spans="1:10" s="119" customFormat="1" ht="17.25" x14ac:dyDescent="0.35">
      <c r="A431" s="225" t="s">
        <v>254</v>
      </c>
      <c r="B431" s="226" t="s">
        <v>254</v>
      </c>
      <c r="C431" s="226"/>
      <c r="D431" s="226" t="s">
        <v>45</v>
      </c>
      <c r="E431" s="226">
        <v>64</v>
      </c>
      <c r="F431" s="226" t="s">
        <v>1192</v>
      </c>
      <c r="G431" s="226"/>
      <c r="H431" s="227"/>
      <c r="I431" s="78" t="s">
        <v>831</v>
      </c>
      <c r="J431" s="123"/>
    </row>
    <row r="432" spans="1:10" s="119" customFormat="1" ht="17.25" x14ac:dyDescent="0.35">
      <c r="A432" s="225" t="s">
        <v>254</v>
      </c>
      <c r="B432" s="226" t="s">
        <v>254</v>
      </c>
      <c r="C432" s="226"/>
      <c r="D432" s="226" t="s">
        <v>44</v>
      </c>
      <c r="E432" s="226">
        <v>4</v>
      </c>
      <c r="F432" s="237">
        <v>25678</v>
      </c>
      <c r="G432" s="226"/>
      <c r="H432" s="227"/>
      <c r="I432" s="78" t="s">
        <v>832</v>
      </c>
      <c r="J432" s="123"/>
    </row>
    <row r="433" spans="1:10" s="119" customFormat="1" ht="17.25" x14ac:dyDescent="0.35">
      <c r="A433" s="225" t="s">
        <v>254</v>
      </c>
      <c r="B433" s="226" t="s">
        <v>254</v>
      </c>
      <c r="C433" s="226"/>
      <c r="D433" s="226" t="s">
        <v>45</v>
      </c>
      <c r="E433" s="226">
        <v>256</v>
      </c>
      <c r="F433" s="226" t="s">
        <v>833</v>
      </c>
      <c r="G433" s="226"/>
      <c r="H433" s="227"/>
      <c r="I433" s="78" t="s">
        <v>834</v>
      </c>
      <c r="J433" s="123"/>
    </row>
    <row r="434" spans="1:10" s="119" customFormat="1" ht="17.25" x14ac:dyDescent="0.35">
      <c r="A434" s="225" t="s">
        <v>254</v>
      </c>
      <c r="B434" s="226" t="s">
        <v>254</v>
      </c>
      <c r="C434" s="226"/>
      <c r="D434" s="226" t="s">
        <v>44</v>
      </c>
      <c r="E434" s="226">
        <v>1</v>
      </c>
      <c r="F434" s="226">
        <v>1</v>
      </c>
      <c r="G434" s="226"/>
      <c r="H434" s="227"/>
      <c r="I434" s="78" t="s">
        <v>835</v>
      </c>
      <c r="J434" s="123"/>
    </row>
    <row r="435" spans="1:10" s="119" customFormat="1" ht="17.25" x14ac:dyDescent="0.35">
      <c r="A435" s="225" t="s">
        <v>836</v>
      </c>
      <c r="B435" s="226" t="s">
        <v>837</v>
      </c>
      <c r="C435" s="226" t="s">
        <v>67</v>
      </c>
      <c r="D435" s="226"/>
      <c r="E435" s="226"/>
      <c r="F435" s="226"/>
      <c r="G435" s="226" t="s">
        <v>1180</v>
      </c>
      <c r="H435" s="227"/>
      <c r="I435" s="78">
        <v>71527</v>
      </c>
      <c r="J435" s="123"/>
    </row>
    <row r="436" spans="1:10" s="119" customFormat="1" ht="17.25" x14ac:dyDescent="0.35">
      <c r="A436" s="225"/>
      <c r="B436" s="226"/>
      <c r="C436" s="226"/>
      <c r="D436" s="226" t="s">
        <v>44</v>
      </c>
      <c r="E436" s="226">
        <v>1</v>
      </c>
      <c r="F436" s="226">
        <v>0</v>
      </c>
      <c r="G436" s="226"/>
      <c r="H436" s="227"/>
      <c r="I436" s="78" t="s">
        <v>262</v>
      </c>
      <c r="J436" s="123"/>
    </row>
    <row r="437" spans="1:10" s="119" customFormat="1" ht="17.25" x14ac:dyDescent="0.35">
      <c r="A437" s="225"/>
      <c r="B437" s="226"/>
      <c r="C437" s="226"/>
      <c r="D437" s="226" t="s">
        <v>44</v>
      </c>
      <c r="E437" s="226">
        <v>2</v>
      </c>
      <c r="F437" s="226">
        <v>272</v>
      </c>
      <c r="G437" s="226"/>
      <c r="H437" s="227"/>
      <c r="I437" s="78" t="s">
        <v>838</v>
      </c>
      <c r="J437" s="123"/>
    </row>
    <row r="438" spans="1:10" s="119" customFormat="1" ht="17.25" x14ac:dyDescent="0.35">
      <c r="A438" s="225"/>
      <c r="B438" s="226"/>
      <c r="C438" s="226"/>
      <c r="D438" s="226" t="s">
        <v>44</v>
      </c>
      <c r="E438" s="226">
        <v>1</v>
      </c>
      <c r="F438" s="226">
        <v>17</v>
      </c>
      <c r="G438" s="226"/>
      <c r="H438" s="227"/>
      <c r="I438" s="78" t="s">
        <v>839</v>
      </c>
      <c r="J438" s="123"/>
    </row>
    <row r="439" spans="1:10" s="119" customFormat="1" ht="17.25" x14ac:dyDescent="0.35">
      <c r="A439" s="225"/>
      <c r="B439" s="226"/>
      <c r="C439" s="226"/>
      <c r="D439" s="226" t="s">
        <v>44</v>
      </c>
      <c r="E439" s="226">
        <v>2</v>
      </c>
      <c r="F439" s="226">
        <v>1287</v>
      </c>
      <c r="G439" s="226"/>
      <c r="H439" s="227"/>
      <c r="I439" s="78" t="s">
        <v>840</v>
      </c>
      <c r="J439" s="123"/>
    </row>
    <row r="440" spans="1:10" s="119" customFormat="1" ht="17.25" x14ac:dyDescent="0.35">
      <c r="A440" s="225"/>
      <c r="B440" s="226"/>
      <c r="C440" s="226"/>
      <c r="D440" s="226" t="s">
        <v>44</v>
      </c>
      <c r="E440" s="226">
        <v>1</v>
      </c>
      <c r="F440" s="226">
        <v>136</v>
      </c>
      <c r="G440" s="226"/>
      <c r="H440" s="227"/>
      <c r="I440" s="78" t="s">
        <v>841</v>
      </c>
      <c r="J440" s="123"/>
    </row>
    <row r="441" spans="1:10" s="119" customFormat="1" ht="17.25" x14ac:dyDescent="0.35">
      <c r="A441" s="225"/>
      <c r="B441" s="226"/>
      <c r="C441" s="226"/>
      <c r="D441" s="226" t="s">
        <v>44</v>
      </c>
      <c r="E441" s="226">
        <v>1</v>
      </c>
      <c r="F441" s="226">
        <v>64</v>
      </c>
      <c r="G441" s="226"/>
      <c r="H441" s="227"/>
      <c r="I441" s="78" t="s">
        <v>842</v>
      </c>
      <c r="J441" s="123"/>
    </row>
    <row r="442" spans="1:10" s="119" customFormat="1" ht="17.25" x14ac:dyDescent="0.35">
      <c r="A442" s="225"/>
      <c r="B442" s="226"/>
      <c r="C442" s="226"/>
      <c r="D442" s="226" t="s">
        <v>44</v>
      </c>
      <c r="E442" s="226">
        <v>2</v>
      </c>
      <c r="F442" s="226">
        <v>615</v>
      </c>
      <c r="G442" s="226"/>
      <c r="H442" s="227"/>
      <c r="I442" s="78" t="s">
        <v>843</v>
      </c>
      <c r="J442" s="123"/>
    </row>
    <row r="443" spans="1:10" s="119" customFormat="1" ht="17.25" x14ac:dyDescent="0.35">
      <c r="A443" s="225"/>
      <c r="B443" s="226"/>
      <c r="C443" s="226"/>
      <c r="D443" s="226" t="s">
        <v>44</v>
      </c>
      <c r="E443" s="226">
        <v>1</v>
      </c>
      <c r="F443" s="226">
        <v>17</v>
      </c>
      <c r="G443" s="226"/>
      <c r="H443" s="227"/>
      <c r="I443" s="78" t="s">
        <v>844</v>
      </c>
      <c r="J443" s="123"/>
    </row>
    <row r="444" spans="1:10" s="119" customFormat="1" ht="17.25" x14ac:dyDescent="0.35">
      <c r="A444" s="225"/>
      <c r="B444" s="226"/>
      <c r="C444" s="226"/>
      <c r="D444" s="226" t="s">
        <v>44</v>
      </c>
      <c r="E444" s="226">
        <v>2</v>
      </c>
      <c r="F444" s="226">
        <v>1284</v>
      </c>
      <c r="G444" s="226"/>
      <c r="H444" s="227"/>
      <c r="I444" s="78" t="s">
        <v>845</v>
      </c>
      <c r="J444" s="123"/>
    </row>
    <row r="445" spans="1:10" s="119" customFormat="1" ht="17.25" x14ac:dyDescent="0.35">
      <c r="A445" s="225"/>
      <c r="B445" s="226"/>
      <c r="C445" s="226"/>
      <c r="D445" s="226" t="s">
        <v>44</v>
      </c>
      <c r="E445" s="226">
        <v>1</v>
      </c>
      <c r="F445" s="226">
        <v>136</v>
      </c>
      <c r="G445" s="226"/>
      <c r="H445" s="227"/>
      <c r="I445" s="78" t="s">
        <v>846</v>
      </c>
      <c r="J445" s="123"/>
    </row>
    <row r="446" spans="1:10" s="119" customFormat="1" ht="17.25" x14ac:dyDescent="0.35">
      <c r="A446" s="225"/>
      <c r="B446" s="226"/>
      <c r="C446" s="226"/>
      <c r="D446" s="226" t="s">
        <v>44</v>
      </c>
      <c r="E446" s="226">
        <v>1</v>
      </c>
      <c r="F446" s="226">
        <v>64</v>
      </c>
      <c r="G446" s="226"/>
      <c r="H446" s="227"/>
      <c r="I446" s="78" t="s">
        <v>847</v>
      </c>
      <c r="J446" s="123"/>
    </row>
    <row r="447" spans="1:10" s="119" customFormat="1" ht="17.25" x14ac:dyDescent="0.35">
      <c r="A447" s="225"/>
      <c r="B447" s="226"/>
      <c r="C447" s="226"/>
      <c r="D447" s="226" t="s">
        <v>44</v>
      </c>
      <c r="E447" s="226">
        <v>2</v>
      </c>
      <c r="F447" s="226">
        <v>0</v>
      </c>
      <c r="G447" s="226"/>
      <c r="H447" s="227"/>
      <c r="I447" s="78" t="s">
        <v>848</v>
      </c>
      <c r="J447" s="123"/>
    </row>
    <row r="448" spans="1:10" s="119" customFormat="1" ht="17.25" x14ac:dyDescent="0.35">
      <c r="A448" s="225"/>
      <c r="B448" s="226"/>
      <c r="C448" s="226"/>
      <c r="D448" s="226" t="s">
        <v>44</v>
      </c>
      <c r="E448" s="226">
        <v>1</v>
      </c>
      <c r="F448" s="226">
        <v>0</v>
      </c>
      <c r="G448" s="226"/>
      <c r="H448" s="227"/>
      <c r="I448" s="78" t="s">
        <v>849</v>
      </c>
      <c r="J448" s="123"/>
    </row>
    <row r="449" spans="1:10" s="119" customFormat="1" ht="17.25" x14ac:dyDescent="0.35">
      <c r="A449" s="225"/>
      <c r="B449" s="226"/>
      <c r="C449" s="226"/>
      <c r="D449" s="226" t="s">
        <v>44</v>
      </c>
      <c r="E449" s="226">
        <v>2</v>
      </c>
      <c r="F449" s="226">
        <v>0</v>
      </c>
      <c r="G449" s="226"/>
      <c r="H449" s="227"/>
      <c r="I449" s="78" t="s">
        <v>850</v>
      </c>
      <c r="J449" s="123"/>
    </row>
    <row r="450" spans="1:10" s="119" customFormat="1" ht="17.25" x14ac:dyDescent="0.35">
      <c r="A450" s="225"/>
      <c r="B450" s="226"/>
      <c r="C450" s="226"/>
      <c r="D450" s="226" t="s">
        <v>44</v>
      </c>
      <c r="E450" s="226">
        <v>1</v>
      </c>
      <c r="F450" s="226">
        <v>0</v>
      </c>
      <c r="G450" s="226"/>
      <c r="H450" s="227"/>
      <c r="I450" s="78" t="s">
        <v>851</v>
      </c>
      <c r="J450" s="123"/>
    </row>
    <row r="451" spans="1:10" s="119" customFormat="1" ht="17.25" x14ac:dyDescent="0.35">
      <c r="A451" s="225"/>
      <c r="B451" s="226"/>
      <c r="C451" s="226"/>
      <c r="D451" s="226" t="s">
        <v>44</v>
      </c>
      <c r="E451" s="226">
        <v>1</v>
      </c>
      <c r="F451" s="226">
        <v>0</v>
      </c>
      <c r="G451" s="226"/>
      <c r="H451" s="227"/>
      <c r="I451" s="78" t="s">
        <v>852</v>
      </c>
      <c r="J451" s="123"/>
    </row>
    <row r="452" spans="1:10" s="119" customFormat="1" ht="17.25" x14ac:dyDescent="0.35">
      <c r="A452" s="225"/>
      <c r="B452" s="226"/>
      <c r="C452" s="226"/>
      <c r="D452" s="226" t="s">
        <v>44</v>
      </c>
      <c r="E452" s="226">
        <v>2</v>
      </c>
      <c r="F452" s="226">
        <v>0</v>
      </c>
      <c r="G452" s="226"/>
      <c r="H452" s="227"/>
      <c r="I452" s="78" t="s">
        <v>853</v>
      </c>
      <c r="J452" s="123"/>
    </row>
    <row r="453" spans="1:10" s="119" customFormat="1" ht="17.25" x14ac:dyDescent="0.35">
      <c r="A453" s="225"/>
      <c r="B453" s="226"/>
      <c r="C453" s="226"/>
      <c r="D453" s="226" t="s">
        <v>44</v>
      </c>
      <c r="E453" s="226">
        <v>1</v>
      </c>
      <c r="F453" s="226">
        <v>0</v>
      </c>
      <c r="G453" s="226"/>
      <c r="H453" s="227"/>
      <c r="I453" s="78" t="s">
        <v>854</v>
      </c>
      <c r="J453" s="123"/>
    </row>
    <row r="454" spans="1:10" s="119" customFormat="1" ht="17.25" x14ac:dyDescent="0.35">
      <c r="A454" s="225"/>
      <c r="B454" s="226"/>
      <c r="C454" s="226"/>
      <c r="D454" s="226" t="s">
        <v>44</v>
      </c>
      <c r="E454" s="226">
        <v>2</v>
      </c>
      <c r="F454" s="226">
        <v>0</v>
      </c>
      <c r="G454" s="226"/>
      <c r="H454" s="227"/>
      <c r="I454" s="78" t="s">
        <v>855</v>
      </c>
      <c r="J454" s="123"/>
    </row>
    <row r="455" spans="1:10" s="119" customFormat="1" ht="17.25" x14ac:dyDescent="0.35">
      <c r="A455" s="225"/>
      <c r="B455" s="226"/>
      <c r="C455" s="226"/>
      <c r="D455" s="226" t="s">
        <v>44</v>
      </c>
      <c r="E455" s="226">
        <v>1</v>
      </c>
      <c r="F455" s="226">
        <v>0</v>
      </c>
      <c r="G455" s="226"/>
      <c r="H455" s="227"/>
      <c r="I455" s="78" t="s">
        <v>856</v>
      </c>
      <c r="J455" s="123"/>
    </row>
    <row r="456" spans="1:10" s="119" customFormat="1" ht="17.25" x14ac:dyDescent="0.35">
      <c r="A456" s="225"/>
      <c r="B456" s="226"/>
      <c r="C456" s="226"/>
      <c r="D456" s="226" t="s">
        <v>44</v>
      </c>
      <c r="E456" s="226">
        <v>1</v>
      </c>
      <c r="F456" s="226">
        <v>0</v>
      </c>
      <c r="G456" s="226"/>
      <c r="H456" s="227"/>
      <c r="I456" s="78" t="s">
        <v>857</v>
      </c>
      <c r="J456" s="123"/>
    </row>
    <row r="457" spans="1:10" s="119" customFormat="1" ht="17.25" x14ac:dyDescent="0.35">
      <c r="A457" s="225"/>
      <c r="B457" s="226"/>
      <c r="C457" s="226"/>
      <c r="D457" s="226" t="s">
        <v>44</v>
      </c>
      <c r="E457" s="226">
        <v>2</v>
      </c>
      <c r="F457" s="226">
        <v>0</v>
      </c>
      <c r="G457" s="226"/>
      <c r="H457" s="227"/>
      <c r="I457" s="78" t="s">
        <v>858</v>
      </c>
      <c r="J457" s="123"/>
    </row>
    <row r="458" spans="1:10" s="119" customFormat="1" ht="17.25" x14ac:dyDescent="0.35">
      <c r="A458" s="225"/>
      <c r="B458" s="226"/>
      <c r="C458" s="226"/>
      <c r="D458" s="226" t="s">
        <v>44</v>
      </c>
      <c r="E458" s="226">
        <v>1</v>
      </c>
      <c r="F458" s="226">
        <v>0</v>
      </c>
      <c r="G458" s="226"/>
      <c r="H458" s="227"/>
      <c r="I458" s="78" t="s">
        <v>859</v>
      </c>
      <c r="J458" s="123"/>
    </row>
    <row r="459" spans="1:10" s="119" customFormat="1" ht="17.25" x14ac:dyDescent="0.35">
      <c r="A459" s="225"/>
      <c r="B459" s="226"/>
      <c r="C459" s="226"/>
      <c r="D459" s="226" t="s">
        <v>44</v>
      </c>
      <c r="E459" s="226">
        <v>2</v>
      </c>
      <c r="F459" s="226">
        <v>0</v>
      </c>
      <c r="G459" s="226"/>
      <c r="H459" s="227"/>
      <c r="I459" s="78" t="s">
        <v>860</v>
      </c>
      <c r="J459" s="123"/>
    </row>
    <row r="460" spans="1:10" s="119" customFormat="1" ht="17.25" x14ac:dyDescent="0.35">
      <c r="A460" s="225"/>
      <c r="B460" s="226"/>
      <c r="C460" s="226"/>
      <c r="D460" s="226" t="s">
        <v>44</v>
      </c>
      <c r="E460" s="226">
        <v>1</v>
      </c>
      <c r="F460" s="226">
        <v>0</v>
      </c>
      <c r="G460" s="226"/>
      <c r="H460" s="227"/>
      <c r="I460" s="78" t="s">
        <v>861</v>
      </c>
      <c r="J460" s="123"/>
    </row>
    <row r="461" spans="1:10" s="119" customFormat="1" ht="17.25" x14ac:dyDescent="0.35">
      <c r="A461" s="225"/>
      <c r="B461" s="226"/>
      <c r="C461" s="226"/>
      <c r="D461" s="226" t="s">
        <v>44</v>
      </c>
      <c r="E461" s="226">
        <v>1</v>
      </c>
      <c r="F461" s="226">
        <v>0</v>
      </c>
      <c r="G461" s="226"/>
      <c r="H461" s="227"/>
      <c r="I461" s="78" t="s">
        <v>862</v>
      </c>
      <c r="J461" s="123"/>
    </row>
    <row r="462" spans="1:10" s="119" customFormat="1" ht="17.25" x14ac:dyDescent="0.35">
      <c r="A462" s="225"/>
      <c r="B462" s="226"/>
      <c r="C462" s="226"/>
      <c r="D462" s="226" t="s">
        <v>44</v>
      </c>
      <c r="E462" s="226">
        <v>2</v>
      </c>
      <c r="F462" s="226">
        <v>0</v>
      </c>
      <c r="G462" s="226"/>
      <c r="H462" s="227"/>
      <c r="I462" s="78" t="s">
        <v>863</v>
      </c>
      <c r="J462" s="123"/>
    </row>
    <row r="463" spans="1:10" s="119" customFormat="1" ht="17.25" x14ac:dyDescent="0.35">
      <c r="A463" s="225"/>
      <c r="B463" s="226"/>
      <c r="C463" s="226"/>
      <c r="D463" s="226" t="s">
        <v>44</v>
      </c>
      <c r="E463" s="226">
        <v>1</v>
      </c>
      <c r="F463" s="226">
        <v>0</v>
      </c>
      <c r="G463" s="226"/>
      <c r="H463" s="227"/>
      <c r="I463" s="78" t="s">
        <v>864</v>
      </c>
      <c r="J463" s="123"/>
    </row>
    <row r="464" spans="1:10" s="119" customFormat="1" ht="17.25" x14ac:dyDescent="0.35">
      <c r="A464" s="225"/>
      <c r="B464" s="226"/>
      <c r="C464" s="226"/>
      <c r="D464" s="226" t="s">
        <v>44</v>
      </c>
      <c r="E464" s="226">
        <v>2</v>
      </c>
      <c r="F464" s="226">
        <v>0</v>
      </c>
      <c r="G464" s="226"/>
      <c r="H464" s="227"/>
      <c r="I464" s="78" t="s">
        <v>865</v>
      </c>
      <c r="J464" s="123"/>
    </row>
    <row r="465" spans="1:10" s="119" customFormat="1" ht="17.25" x14ac:dyDescent="0.35">
      <c r="A465" s="225"/>
      <c r="B465" s="226"/>
      <c r="C465" s="226"/>
      <c r="D465" s="226" t="s">
        <v>44</v>
      </c>
      <c r="E465" s="226">
        <v>1</v>
      </c>
      <c r="F465" s="226">
        <v>0</v>
      </c>
      <c r="G465" s="226"/>
      <c r="H465" s="227"/>
      <c r="I465" s="78" t="s">
        <v>866</v>
      </c>
      <c r="J465" s="123"/>
    </row>
    <row r="466" spans="1:10" s="119" customFormat="1" ht="17.25" x14ac:dyDescent="0.35">
      <c r="A466" s="225"/>
      <c r="B466" s="226"/>
      <c r="C466" s="226"/>
      <c r="D466" s="226" t="s">
        <v>44</v>
      </c>
      <c r="E466" s="226">
        <v>1</v>
      </c>
      <c r="F466" s="226">
        <v>0</v>
      </c>
      <c r="G466" s="226"/>
      <c r="H466" s="227"/>
      <c r="I466" s="78" t="s">
        <v>867</v>
      </c>
      <c r="J466" s="123"/>
    </row>
    <row r="467" spans="1:10" s="119" customFormat="1" ht="17.25" x14ac:dyDescent="0.35">
      <c r="A467" s="225"/>
      <c r="B467" s="226"/>
      <c r="C467" s="226"/>
      <c r="D467" s="226" t="s">
        <v>44</v>
      </c>
      <c r="E467" s="226">
        <v>2</v>
      </c>
      <c r="F467" s="226">
        <v>0</v>
      </c>
      <c r="G467" s="226"/>
      <c r="H467" s="227"/>
      <c r="I467" s="78" t="s">
        <v>868</v>
      </c>
      <c r="J467" s="123"/>
    </row>
    <row r="468" spans="1:10" s="119" customFormat="1" ht="17.25" x14ac:dyDescent="0.35">
      <c r="A468" s="225"/>
      <c r="B468" s="226"/>
      <c r="C468" s="226"/>
      <c r="D468" s="226" t="s">
        <v>44</v>
      </c>
      <c r="E468" s="226">
        <v>1</v>
      </c>
      <c r="F468" s="226">
        <v>0</v>
      </c>
      <c r="G468" s="226"/>
      <c r="H468" s="227"/>
      <c r="I468" s="78" t="s">
        <v>869</v>
      </c>
      <c r="J468" s="123"/>
    </row>
    <row r="469" spans="1:10" s="119" customFormat="1" ht="17.25" x14ac:dyDescent="0.35">
      <c r="A469" s="225"/>
      <c r="B469" s="226"/>
      <c r="C469" s="226"/>
      <c r="D469" s="226" t="s">
        <v>44</v>
      </c>
      <c r="E469" s="226">
        <v>2</v>
      </c>
      <c r="F469" s="226">
        <v>0</v>
      </c>
      <c r="G469" s="226"/>
      <c r="H469" s="227"/>
      <c r="I469" s="78" t="s">
        <v>870</v>
      </c>
      <c r="J469" s="123"/>
    </row>
    <row r="470" spans="1:10" s="119" customFormat="1" ht="17.25" x14ac:dyDescent="0.35">
      <c r="A470" s="225"/>
      <c r="B470" s="226"/>
      <c r="C470" s="226"/>
      <c r="D470" s="226" t="s">
        <v>44</v>
      </c>
      <c r="E470" s="226">
        <v>1</v>
      </c>
      <c r="F470" s="226">
        <v>0</v>
      </c>
      <c r="G470" s="226"/>
      <c r="H470" s="227"/>
      <c r="I470" s="78" t="s">
        <v>871</v>
      </c>
      <c r="J470" s="123"/>
    </row>
    <row r="471" spans="1:10" s="119" customFormat="1" ht="17.25" x14ac:dyDescent="0.35">
      <c r="A471" s="225"/>
      <c r="B471" s="226"/>
      <c r="C471" s="226"/>
      <c r="D471" s="226" t="s">
        <v>44</v>
      </c>
      <c r="E471" s="226">
        <v>1</v>
      </c>
      <c r="F471" s="226">
        <v>0</v>
      </c>
      <c r="G471" s="226"/>
      <c r="H471" s="227"/>
      <c r="I471" s="78" t="s">
        <v>872</v>
      </c>
      <c r="J471" s="123"/>
    </row>
    <row r="472" spans="1:10" s="119" customFormat="1" ht="17.25" x14ac:dyDescent="0.35">
      <c r="A472" s="225"/>
      <c r="B472" s="226"/>
      <c r="C472" s="226"/>
      <c r="D472" s="226" t="s">
        <v>44</v>
      </c>
      <c r="E472" s="226">
        <v>2</v>
      </c>
      <c r="F472" s="226">
        <v>0</v>
      </c>
      <c r="G472" s="226"/>
      <c r="H472" s="227"/>
      <c r="I472" s="78" t="s">
        <v>873</v>
      </c>
      <c r="J472" s="123"/>
    </row>
    <row r="473" spans="1:10" s="119" customFormat="1" ht="17.25" x14ac:dyDescent="0.35">
      <c r="A473" s="225"/>
      <c r="B473" s="226"/>
      <c r="C473" s="226"/>
      <c r="D473" s="226" t="s">
        <v>44</v>
      </c>
      <c r="E473" s="226">
        <v>1</v>
      </c>
      <c r="F473" s="226">
        <v>0</v>
      </c>
      <c r="G473" s="226"/>
      <c r="H473" s="227"/>
      <c r="I473" s="78" t="s">
        <v>874</v>
      </c>
      <c r="J473" s="123"/>
    </row>
    <row r="474" spans="1:10" s="119" customFormat="1" ht="17.25" x14ac:dyDescent="0.35">
      <c r="A474" s="225"/>
      <c r="B474" s="226"/>
      <c r="C474" s="226"/>
      <c r="D474" s="226" t="s">
        <v>44</v>
      </c>
      <c r="E474" s="226">
        <v>2</v>
      </c>
      <c r="F474" s="226">
        <v>0</v>
      </c>
      <c r="G474" s="226"/>
      <c r="H474" s="227"/>
      <c r="I474" s="78" t="s">
        <v>875</v>
      </c>
      <c r="J474" s="123"/>
    </row>
    <row r="475" spans="1:10" s="119" customFormat="1" ht="17.25" x14ac:dyDescent="0.35">
      <c r="A475" s="225"/>
      <c r="B475" s="226"/>
      <c r="C475" s="226"/>
      <c r="D475" s="226" t="s">
        <v>44</v>
      </c>
      <c r="E475" s="226">
        <v>1</v>
      </c>
      <c r="F475" s="226">
        <v>0</v>
      </c>
      <c r="G475" s="226"/>
      <c r="H475" s="227"/>
      <c r="I475" s="78" t="s">
        <v>876</v>
      </c>
      <c r="J475" s="123"/>
    </row>
    <row r="476" spans="1:10" s="119" customFormat="1" ht="17.25" x14ac:dyDescent="0.35">
      <c r="A476" s="225"/>
      <c r="B476" s="226"/>
      <c r="C476" s="226"/>
      <c r="D476" s="226" t="s">
        <v>44</v>
      </c>
      <c r="E476" s="226">
        <v>1</v>
      </c>
      <c r="F476" s="226">
        <v>0</v>
      </c>
      <c r="G476" s="226"/>
      <c r="H476" s="227"/>
      <c r="I476" s="78" t="s">
        <v>877</v>
      </c>
      <c r="J476" s="123"/>
    </row>
    <row r="477" spans="1:10" s="119" customFormat="1" ht="17.25" x14ac:dyDescent="0.35">
      <c r="A477" s="225"/>
      <c r="B477" s="226"/>
      <c r="C477" s="226"/>
      <c r="D477" s="226" t="s">
        <v>44</v>
      </c>
      <c r="E477" s="226">
        <v>2</v>
      </c>
      <c r="F477" s="226">
        <v>0</v>
      </c>
      <c r="G477" s="226"/>
      <c r="H477" s="227"/>
      <c r="I477" s="78" t="s">
        <v>878</v>
      </c>
      <c r="J477" s="123"/>
    </row>
    <row r="478" spans="1:10" s="119" customFormat="1" ht="17.25" x14ac:dyDescent="0.35">
      <c r="A478" s="225"/>
      <c r="B478" s="226"/>
      <c r="C478" s="226"/>
      <c r="D478" s="226" t="s">
        <v>44</v>
      </c>
      <c r="E478" s="226">
        <v>1</v>
      </c>
      <c r="F478" s="226">
        <v>0</v>
      </c>
      <c r="G478" s="226"/>
      <c r="H478" s="227"/>
      <c r="I478" s="78" t="s">
        <v>879</v>
      </c>
      <c r="J478" s="123"/>
    </row>
    <row r="479" spans="1:10" s="119" customFormat="1" ht="17.25" x14ac:dyDescent="0.35">
      <c r="A479" s="225"/>
      <c r="B479" s="226"/>
      <c r="C479" s="226"/>
      <c r="D479" s="226" t="s">
        <v>44</v>
      </c>
      <c r="E479" s="226">
        <v>2</v>
      </c>
      <c r="F479" s="226">
        <v>0</v>
      </c>
      <c r="G479" s="226"/>
      <c r="H479" s="227"/>
      <c r="I479" s="78" t="s">
        <v>880</v>
      </c>
      <c r="J479" s="123"/>
    </row>
    <row r="480" spans="1:10" s="119" customFormat="1" ht="17.25" x14ac:dyDescent="0.35">
      <c r="A480" s="225"/>
      <c r="B480" s="226"/>
      <c r="C480" s="226"/>
      <c r="D480" s="226" t="s">
        <v>44</v>
      </c>
      <c r="E480" s="226">
        <v>1</v>
      </c>
      <c r="F480" s="226">
        <v>0</v>
      </c>
      <c r="G480" s="226"/>
      <c r="H480" s="227"/>
      <c r="I480" s="78" t="s">
        <v>881</v>
      </c>
      <c r="J480" s="123"/>
    </row>
    <row r="481" spans="1:11" s="119" customFormat="1" ht="17.25" x14ac:dyDescent="0.35">
      <c r="A481" s="225"/>
      <c r="B481" s="226"/>
      <c r="C481" s="226"/>
      <c r="D481" s="226" t="s">
        <v>44</v>
      </c>
      <c r="E481" s="226">
        <v>1</v>
      </c>
      <c r="F481" s="226">
        <v>0</v>
      </c>
      <c r="G481" s="226"/>
      <c r="H481" s="227"/>
      <c r="I481" s="78" t="s">
        <v>882</v>
      </c>
      <c r="J481" s="123"/>
    </row>
    <row r="482" spans="1:11" s="119" customFormat="1" ht="17.25" x14ac:dyDescent="0.35">
      <c r="A482" s="225"/>
      <c r="B482" s="226"/>
      <c r="C482" s="226"/>
      <c r="D482" s="226" t="s">
        <v>44</v>
      </c>
      <c r="E482" s="226">
        <v>2</v>
      </c>
      <c r="F482" s="226">
        <v>784</v>
      </c>
      <c r="G482" s="226"/>
      <c r="H482" s="227"/>
      <c r="I482" s="78" t="s">
        <v>883</v>
      </c>
      <c r="J482" s="123"/>
    </row>
    <row r="483" spans="1:11" s="119" customFormat="1" ht="17.25" x14ac:dyDescent="0.35">
      <c r="A483" s="225"/>
      <c r="B483" s="226"/>
      <c r="C483" s="226"/>
      <c r="D483" s="226" t="s">
        <v>44</v>
      </c>
      <c r="E483" s="226">
        <v>1</v>
      </c>
      <c r="F483" s="226">
        <v>51</v>
      </c>
      <c r="G483" s="226"/>
      <c r="H483" s="227"/>
      <c r="I483" s="78" t="s">
        <v>884</v>
      </c>
      <c r="J483" s="123"/>
    </row>
    <row r="484" spans="1:11" s="119" customFormat="1" ht="17.25" x14ac:dyDescent="0.35">
      <c r="A484" s="225"/>
      <c r="B484" s="226"/>
      <c r="C484" s="226"/>
      <c r="D484" s="226" t="s">
        <v>44</v>
      </c>
      <c r="E484" s="226">
        <v>2</v>
      </c>
      <c r="F484" s="226">
        <v>7</v>
      </c>
      <c r="G484" s="226"/>
      <c r="H484" s="227"/>
      <c r="I484" s="78" t="s">
        <v>885</v>
      </c>
      <c r="J484" s="123"/>
    </row>
    <row r="485" spans="1:11" s="119" customFormat="1" ht="17.25" x14ac:dyDescent="0.35">
      <c r="A485" s="225"/>
      <c r="B485" s="226"/>
      <c r="C485" s="226"/>
      <c r="D485" s="226" t="s">
        <v>44</v>
      </c>
      <c r="E485" s="226">
        <v>1</v>
      </c>
      <c r="F485" s="226">
        <v>136</v>
      </c>
      <c r="G485" s="226"/>
      <c r="H485" s="227"/>
      <c r="I485" s="78" t="s">
        <v>886</v>
      </c>
      <c r="J485" s="123"/>
    </row>
    <row r="486" spans="1:11" s="119" customFormat="1" ht="17.25" x14ac:dyDescent="0.35">
      <c r="A486" s="225"/>
      <c r="B486" s="226"/>
      <c r="C486" s="226"/>
      <c r="D486" s="226" t="s">
        <v>44</v>
      </c>
      <c r="E486" s="226">
        <v>1</v>
      </c>
      <c r="F486" s="226">
        <v>64</v>
      </c>
      <c r="G486" s="226"/>
      <c r="H486" s="227"/>
      <c r="I486" s="78" t="s">
        <v>887</v>
      </c>
      <c r="J486" s="123"/>
    </row>
    <row r="487" spans="1:11" s="119" customFormat="1" ht="17.25" x14ac:dyDescent="0.35">
      <c r="A487" s="225"/>
      <c r="B487" s="226"/>
      <c r="C487" s="226"/>
      <c r="D487" s="226" t="s">
        <v>44</v>
      </c>
      <c r="E487" s="226">
        <v>2</v>
      </c>
      <c r="F487" s="226">
        <v>20992</v>
      </c>
      <c r="G487" s="226"/>
      <c r="H487" s="227"/>
      <c r="I487" s="78" t="s">
        <v>888</v>
      </c>
      <c r="J487" s="123"/>
    </row>
    <row r="488" spans="1:11" s="119" customFormat="1" ht="17.25" x14ac:dyDescent="0.35">
      <c r="A488" s="225"/>
      <c r="B488" s="226"/>
      <c r="C488" s="226"/>
      <c r="D488" s="226" t="s">
        <v>44</v>
      </c>
      <c r="E488" s="226">
        <v>2</v>
      </c>
      <c r="F488" s="226">
        <v>0</v>
      </c>
      <c r="G488" s="226"/>
      <c r="H488" s="227"/>
      <c r="I488" s="78" t="s">
        <v>889</v>
      </c>
      <c r="J488" s="123"/>
    </row>
    <row r="489" spans="1:11" s="119" customFormat="1" ht="17.25" x14ac:dyDescent="0.35">
      <c r="A489" s="225"/>
      <c r="B489" s="226"/>
      <c r="C489" s="226"/>
      <c r="D489" s="226" t="s">
        <v>44</v>
      </c>
      <c r="E489" s="226">
        <v>2</v>
      </c>
      <c r="F489" s="226">
        <v>12800</v>
      </c>
      <c r="G489" s="226"/>
      <c r="H489" s="227"/>
      <c r="I489" s="78" t="s">
        <v>890</v>
      </c>
      <c r="J489" s="123"/>
    </row>
    <row r="490" spans="1:11" s="119" customFormat="1" ht="17.25" x14ac:dyDescent="0.35">
      <c r="A490" s="225"/>
      <c r="B490" s="226"/>
      <c r="C490" s="226"/>
      <c r="D490" s="226" t="s">
        <v>44</v>
      </c>
      <c r="E490" s="226">
        <v>2</v>
      </c>
      <c r="F490" s="226">
        <v>0</v>
      </c>
      <c r="G490" s="226"/>
      <c r="H490" s="227"/>
      <c r="I490" s="78" t="s">
        <v>891</v>
      </c>
      <c r="J490" s="123"/>
    </row>
    <row r="491" spans="1:11" s="119" customFormat="1" ht="17.25" x14ac:dyDescent="0.35">
      <c r="A491" s="225"/>
      <c r="B491" s="226"/>
      <c r="C491" s="226"/>
      <c r="D491" s="226" t="s">
        <v>44</v>
      </c>
      <c r="E491" s="226">
        <v>2</v>
      </c>
      <c r="F491" s="226">
        <v>8704</v>
      </c>
      <c r="G491" s="226"/>
      <c r="H491" s="227"/>
      <c r="I491" s="78" t="s">
        <v>892</v>
      </c>
      <c r="J491" s="123"/>
    </row>
    <row r="492" spans="1:11" s="180" customFormat="1" ht="17.25" customHeight="1" x14ac:dyDescent="0.35">
      <c r="A492" s="225"/>
      <c r="B492" s="226"/>
      <c r="C492" s="226"/>
      <c r="D492" s="226" t="s">
        <v>44</v>
      </c>
      <c r="E492" s="226">
        <v>2</v>
      </c>
      <c r="F492" s="226">
        <v>0</v>
      </c>
      <c r="G492" s="226"/>
      <c r="H492" s="227"/>
      <c r="I492" s="78" t="s">
        <v>893</v>
      </c>
    </row>
    <row r="493" spans="1:11" s="180" customFormat="1" ht="86.25" customHeight="1" x14ac:dyDescent="0.35">
      <c r="A493" s="225"/>
      <c r="B493" s="226"/>
      <c r="C493" s="226"/>
      <c r="D493" s="226" t="s">
        <v>44</v>
      </c>
      <c r="E493" s="226">
        <v>2</v>
      </c>
      <c r="F493" s="226">
        <v>4608</v>
      </c>
      <c r="G493" s="226"/>
      <c r="H493" s="227"/>
      <c r="I493" s="78" t="s">
        <v>894</v>
      </c>
    </row>
    <row r="494" spans="1:11" s="183" customFormat="1" ht="17.25" customHeight="1" x14ac:dyDescent="0.35">
      <c r="A494" s="225"/>
      <c r="B494" s="226"/>
      <c r="C494" s="226"/>
      <c r="D494" s="226" t="s">
        <v>44</v>
      </c>
      <c r="E494" s="226">
        <v>2</v>
      </c>
      <c r="F494" s="226">
        <v>0</v>
      </c>
      <c r="G494" s="226"/>
      <c r="H494" s="227"/>
      <c r="I494" s="78" t="s">
        <v>895</v>
      </c>
      <c r="J494" s="182"/>
      <c r="K494" s="182"/>
    </row>
    <row r="495" spans="1:11" s="183" customFormat="1" ht="17.25" customHeight="1" x14ac:dyDescent="0.35">
      <c r="A495" s="225"/>
      <c r="B495" s="226"/>
      <c r="C495" s="226"/>
      <c r="D495" s="226" t="s">
        <v>44</v>
      </c>
      <c r="E495" s="226">
        <v>2</v>
      </c>
      <c r="F495" s="226">
        <v>25088</v>
      </c>
      <c r="G495" s="226"/>
      <c r="H495" s="227"/>
      <c r="I495" s="78" t="s">
        <v>896</v>
      </c>
      <c r="J495" s="182"/>
      <c r="K495" s="182"/>
    </row>
    <row r="496" spans="1:11" s="183" customFormat="1" ht="17.25" customHeight="1" x14ac:dyDescent="0.35">
      <c r="A496" s="225"/>
      <c r="B496" s="226"/>
      <c r="C496" s="226"/>
      <c r="D496" s="226" t="s">
        <v>44</v>
      </c>
      <c r="E496" s="226">
        <v>2</v>
      </c>
      <c r="F496" s="226">
        <v>0</v>
      </c>
      <c r="G496" s="226"/>
      <c r="H496" s="227"/>
      <c r="I496" s="78" t="s">
        <v>897</v>
      </c>
      <c r="J496" s="182"/>
      <c r="K496" s="182"/>
    </row>
    <row r="497" spans="1:11" s="183" customFormat="1" ht="17.25" customHeight="1" x14ac:dyDescent="0.35">
      <c r="A497" s="225"/>
      <c r="B497" s="226"/>
      <c r="C497" s="226"/>
      <c r="D497" s="226" t="s">
        <v>44</v>
      </c>
      <c r="E497" s="226">
        <v>2</v>
      </c>
      <c r="F497" s="226">
        <v>29184</v>
      </c>
      <c r="G497" s="226"/>
      <c r="H497" s="227"/>
      <c r="I497" s="78" t="s">
        <v>898</v>
      </c>
      <c r="J497" s="182"/>
      <c r="K497" s="182"/>
    </row>
    <row r="498" spans="1:11" s="183" customFormat="1" ht="17.25" customHeight="1" x14ac:dyDescent="0.35">
      <c r="A498" s="225"/>
      <c r="B498" s="226"/>
      <c r="C498" s="226"/>
      <c r="D498" s="226" t="s">
        <v>44</v>
      </c>
      <c r="E498" s="226">
        <v>2</v>
      </c>
      <c r="F498" s="226">
        <v>0</v>
      </c>
      <c r="G498" s="226"/>
      <c r="H498" s="227"/>
      <c r="I498" s="78" t="s">
        <v>899</v>
      </c>
      <c r="J498" s="182"/>
      <c r="K498" s="182"/>
    </row>
    <row r="499" spans="1:11" s="183" customFormat="1" ht="17.25" customHeight="1" x14ac:dyDescent="0.35">
      <c r="A499" s="225"/>
      <c r="B499" s="226"/>
      <c r="C499" s="226"/>
      <c r="D499" s="226" t="s">
        <v>44</v>
      </c>
      <c r="E499" s="226">
        <v>2</v>
      </c>
      <c r="F499" s="226">
        <v>37376</v>
      </c>
      <c r="G499" s="226"/>
      <c r="H499" s="227"/>
      <c r="I499" s="78" t="s">
        <v>900</v>
      </c>
      <c r="J499" s="182"/>
      <c r="K499" s="182"/>
    </row>
    <row r="500" spans="1:11" s="183" customFormat="1" ht="17.25" customHeight="1" x14ac:dyDescent="0.35">
      <c r="A500" s="225"/>
      <c r="B500" s="226"/>
      <c r="C500" s="226"/>
      <c r="D500" s="226" t="s">
        <v>44</v>
      </c>
      <c r="E500" s="226">
        <v>2</v>
      </c>
      <c r="F500" s="226">
        <v>0</v>
      </c>
      <c r="G500" s="226"/>
      <c r="H500" s="227"/>
      <c r="I500" s="78" t="s">
        <v>901</v>
      </c>
      <c r="J500" s="182"/>
      <c r="K500" s="182"/>
    </row>
    <row r="501" spans="1:11" s="183" customFormat="1" ht="17.25" customHeight="1" x14ac:dyDescent="0.35">
      <c r="A501" s="225"/>
      <c r="B501" s="226"/>
      <c r="C501" s="226"/>
      <c r="D501" s="226" t="s">
        <v>44</v>
      </c>
      <c r="E501" s="226">
        <v>2</v>
      </c>
      <c r="F501" s="226">
        <v>41472</v>
      </c>
      <c r="G501" s="226"/>
      <c r="H501" s="227"/>
      <c r="I501" s="78" t="s">
        <v>902</v>
      </c>
      <c r="J501" s="182"/>
      <c r="K501" s="182"/>
    </row>
    <row r="502" spans="1:11" s="183" customFormat="1" ht="17.25" customHeight="1" x14ac:dyDescent="0.35">
      <c r="A502" s="225"/>
      <c r="B502" s="226"/>
      <c r="C502" s="226"/>
      <c r="D502" s="226" t="s">
        <v>44</v>
      </c>
      <c r="E502" s="226">
        <v>2</v>
      </c>
      <c r="F502" s="226">
        <v>0</v>
      </c>
      <c r="G502" s="226"/>
      <c r="H502" s="227"/>
      <c r="I502" s="78" t="s">
        <v>903</v>
      </c>
      <c r="J502" s="182"/>
      <c r="K502" s="182"/>
    </row>
    <row r="503" spans="1:11" s="183" customFormat="1" ht="17.25" customHeight="1" x14ac:dyDescent="0.35">
      <c r="A503" s="225"/>
      <c r="B503" s="226"/>
      <c r="C503" s="226"/>
      <c r="D503" s="226" t="s">
        <v>44</v>
      </c>
      <c r="E503" s="226">
        <v>2</v>
      </c>
      <c r="F503" s="226">
        <v>0</v>
      </c>
      <c r="G503" s="226"/>
      <c r="H503" s="227"/>
      <c r="I503" s="78" t="s">
        <v>904</v>
      </c>
      <c r="J503" s="182"/>
      <c r="K503" s="182"/>
    </row>
    <row r="504" spans="1:11" s="183" customFormat="1" ht="17.25" customHeight="1" x14ac:dyDescent="0.35">
      <c r="A504" s="225"/>
      <c r="B504" s="226"/>
      <c r="C504" s="226"/>
      <c r="D504" s="226" t="s">
        <v>44</v>
      </c>
      <c r="E504" s="226">
        <v>2</v>
      </c>
      <c r="F504" s="226">
        <v>0</v>
      </c>
      <c r="G504" s="226"/>
      <c r="H504" s="227"/>
      <c r="I504" s="78" t="s">
        <v>905</v>
      </c>
      <c r="J504" s="182"/>
      <c r="K504" s="182"/>
    </row>
    <row r="505" spans="1:11" s="183" customFormat="1" ht="17.25" customHeight="1" x14ac:dyDescent="0.35">
      <c r="A505" s="225"/>
      <c r="B505" s="226"/>
      <c r="C505" s="226"/>
      <c r="D505" s="226" t="s">
        <v>44</v>
      </c>
      <c r="E505" s="226">
        <v>2</v>
      </c>
      <c r="F505" s="226">
        <v>0</v>
      </c>
      <c r="G505" s="226"/>
      <c r="H505" s="227"/>
      <c r="I505" s="78" t="s">
        <v>906</v>
      </c>
      <c r="J505" s="182"/>
      <c r="K505" s="182"/>
    </row>
    <row r="506" spans="1:11" s="183" customFormat="1" ht="17.25" customHeight="1" x14ac:dyDescent="0.35">
      <c r="A506" s="225"/>
      <c r="B506" s="226"/>
      <c r="C506" s="226"/>
      <c r="D506" s="226" t="s">
        <v>44</v>
      </c>
      <c r="E506" s="226">
        <v>2</v>
      </c>
      <c r="F506" s="226">
        <v>0</v>
      </c>
      <c r="G506" s="226"/>
      <c r="H506" s="227"/>
      <c r="I506" s="78" t="s">
        <v>907</v>
      </c>
      <c r="J506" s="182"/>
      <c r="K506" s="182"/>
    </row>
    <row r="507" spans="1:11" s="183" customFormat="1" ht="17.25" customHeight="1" x14ac:dyDescent="0.35">
      <c r="A507" s="225"/>
      <c r="B507" s="226"/>
      <c r="C507" s="226"/>
      <c r="D507" s="226" t="s">
        <v>44</v>
      </c>
      <c r="E507" s="226">
        <v>2</v>
      </c>
      <c r="F507" s="226">
        <v>0</v>
      </c>
      <c r="G507" s="226"/>
      <c r="H507" s="227"/>
      <c r="I507" s="78" t="s">
        <v>908</v>
      </c>
      <c r="J507" s="182"/>
      <c r="K507" s="182"/>
    </row>
    <row r="508" spans="1:11" s="183" customFormat="1" ht="17.25" customHeight="1" x14ac:dyDescent="0.35">
      <c r="A508" s="225"/>
      <c r="B508" s="226"/>
      <c r="C508" s="226"/>
      <c r="D508" s="226" t="s">
        <v>44</v>
      </c>
      <c r="E508" s="226">
        <v>1</v>
      </c>
      <c r="F508" s="226">
        <v>1</v>
      </c>
      <c r="G508" s="226"/>
      <c r="H508" s="227"/>
      <c r="I508" s="78" t="s">
        <v>909</v>
      </c>
      <c r="J508" s="182"/>
      <c r="K508" s="182"/>
    </row>
    <row r="509" spans="1:11" s="183" customFormat="1" ht="17.25" customHeight="1" x14ac:dyDescent="0.35">
      <c r="A509" s="225"/>
      <c r="B509" s="226"/>
      <c r="C509" s="226"/>
      <c r="D509" s="226" t="s">
        <v>44</v>
      </c>
      <c r="E509" s="226">
        <v>1</v>
      </c>
      <c r="F509" s="226">
        <v>0</v>
      </c>
      <c r="G509" s="226"/>
      <c r="H509" s="227"/>
      <c r="I509" s="78" t="s">
        <v>910</v>
      </c>
      <c r="J509" s="182"/>
      <c r="K509" s="182"/>
    </row>
    <row r="510" spans="1:11" s="183" customFormat="1" ht="17.25" customHeight="1" x14ac:dyDescent="0.35">
      <c r="A510" s="225"/>
      <c r="B510" s="226"/>
      <c r="C510" s="226"/>
      <c r="D510" s="226" t="s">
        <v>44</v>
      </c>
      <c r="E510" s="226">
        <v>1</v>
      </c>
      <c r="F510" s="226">
        <v>2</v>
      </c>
      <c r="G510" s="226"/>
      <c r="H510" s="227"/>
      <c r="I510" s="78" t="s">
        <v>911</v>
      </c>
      <c r="J510" s="182"/>
      <c r="K510" s="182"/>
    </row>
    <row r="511" spans="1:11" s="183" customFormat="1" ht="17.25" customHeight="1" x14ac:dyDescent="0.35">
      <c r="A511" s="225"/>
      <c r="B511" s="226"/>
      <c r="C511" s="226"/>
      <c r="D511" s="226" t="s">
        <v>44</v>
      </c>
      <c r="E511" s="226">
        <v>1</v>
      </c>
      <c r="F511" s="226">
        <v>3</v>
      </c>
      <c r="G511" s="226"/>
      <c r="H511" s="227"/>
      <c r="I511" s="78" t="s">
        <v>912</v>
      </c>
      <c r="J511" s="182"/>
      <c r="K511" s="182"/>
    </row>
    <row r="512" spans="1:11" s="183" customFormat="1" ht="17.25" customHeight="1" x14ac:dyDescent="0.35">
      <c r="A512" s="225"/>
      <c r="B512" s="226"/>
      <c r="C512" s="226"/>
      <c r="D512" s="226" t="s">
        <v>44</v>
      </c>
      <c r="E512" s="226">
        <v>1</v>
      </c>
      <c r="F512" s="226">
        <v>1</v>
      </c>
      <c r="G512" s="226"/>
      <c r="H512" s="227"/>
      <c r="I512" s="78" t="s">
        <v>913</v>
      </c>
      <c r="J512" s="182"/>
      <c r="K512" s="182"/>
    </row>
    <row r="513" spans="1:11" s="183" customFormat="1" ht="17.25" customHeight="1" x14ac:dyDescent="0.35">
      <c r="A513" s="225"/>
      <c r="B513" s="226"/>
      <c r="C513" s="226"/>
      <c r="D513" s="226" t="s">
        <v>44</v>
      </c>
      <c r="E513" s="226">
        <v>2</v>
      </c>
      <c r="F513" s="226">
        <v>34055</v>
      </c>
      <c r="G513" s="226"/>
      <c r="H513" s="227"/>
      <c r="I513" s="78" t="s">
        <v>914</v>
      </c>
      <c r="J513" s="182"/>
      <c r="K513" s="182"/>
    </row>
    <row r="514" spans="1:11" s="183" customFormat="1" ht="17.25" customHeight="1" x14ac:dyDescent="0.35">
      <c r="A514" s="225"/>
      <c r="B514" s="226"/>
      <c r="C514" s="226"/>
      <c r="D514" s="226" t="s">
        <v>45</v>
      </c>
      <c r="E514" s="226">
        <v>50</v>
      </c>
      <c r="F514" s="226" t="s">
        <v>801</v>
      </c>
      <c r="G514" s="226"/>
      <c r="H514" s="227"/>
      <c r="I514" s="78" t="s">
        <v>915</v>
      </c>
      <c r="J514" s="182"/>
      <c r="K514" s="182"/>
    </row>
    <row r="515" spans="1:11" s="183" customFormat="1" ht="17.25" customHeight="1" x14ac:dyDescent="0.35">
      <c r="A515" s="225"/>
      <c r="B515" s="226"/>
      <c r="C515" s="226"/>
      <c r="D515" s="226" t="s">
        <v>45</v>
      </c>
      <c r="E515" s="226">
        <v>50</v>
      </c>
      <c r="F515" s="226"/>
      <c r="G515" s="226"/>
      <c r="H515" s="227"/>
      <c r="I515" s="78" t="s">
        <v>916</v>
      </c>
      <c r="J515" s="182"/>
      <c r="K515" s="182"/>
    </row>
    <row r="516" spans="1:11" s="183" customFormat="1" ht="17.25" customHeight="1" x14ac:dyDescent="0.35">
      <c r="A516" s="225"/>
      <c r="B516" s="226"/>
      <c r="C516" s="226"/>
      <c r="D516" s="226" t="s">
        <v>45</v>
      </c>
      <c r="E516" s="226">
        <v>50</v>
      </c>
      <c r="F516" s="226" t="s">
        <v>1198</v>
      </c>
      <c r="G516" s="226"/>
      <c r="H516" s="227"/>
      <c r="I516" s="78" t="s">
        <v>917</v>
      </c>
      <c r="J516" s="182"/>
      <c r="K516" s="182"/>
    </row>
    <row r="517" spans="1:11" s="183" customFormat="1" ht="17.25" customHeight="1" x14ac:dyDescent="0.35">
      <c r="A517" s="225"/>
      <c r="B517" s="226"/>
      <c r="C517" s="226"/>
      <c r="D517" s="226" t="s">
        <v>45</v>
      </c>
      <c r="E517" s="226">
        <v>754</v>
      </c>
      <c r="F517" s="226"/>
      <c r="G517" s="226"/>
      <c r="H517" s="227"/>
      <c r="I517" s="78" t="s">
        <v>265</v>
      </c>
      <c r="J517" s="182"/>
      <c r="K517" s="182"/>
    </row>
    <row r="518" spans="1:11" s="183" customFormat="1" ht="17.25" customHeight="1" x14ac:dyDescent="0.35">
      <c r="A518" s="239" t="s">
        <v>1159</v>
      </c>
      <c r="B518" s="226" t="s">
        <v>1160</v>
      </c>
      <c r="C518" s="226" t="s">
        <v>67</v>
      </c>
      <c r="D518" s="226"/>
      <c r="E518" s="226"/>
      <c r="F518" s="226"/>
      <c r="G518" s="226" t="s">
        <v>1180</v>
      </c>
      <c r="H518" s="227"/>
      <c r="I518" s="83">
        <v>67198</v>
      </c>
      <c r="J518" s="182"/>
      <c r="K518" s="182"/>
    </row>
    <row r="519" spans="1:11" s="183" customFormat="1" ht="17.25" customHeight="1" x14ac:dyDescent="0.35">
      <c r="A519" s="239"/>
      <c r="B519" s="226"/>
      <c r="C519" s="226"/>
      <c r="D519" s="226" t="s">
        <v>44</v>
      </c>
      <c r="E519" s="226">
        <v>1</v>
      </c>
      <c r="F519" s="226">
        <v>0</v>
      </c>
      <c r="G519" s="226"/>
      <c r="H519" s="227"/>
      <c r="I519" s="83" t="s">
        <v>1161</v>
      </c>
      <c r="J519" s="182"/>
      <c r="K519" s="182"/>
    </row>
    <row r="520" spans="1:11" s="183" customFormat="1" ht="17.25" customHeight="1" x14ac:dyDescent="0.35">
      <c r="A520" s="240" t="s">
        <v>918</v>
      </c>
      <c r="B520" s="241" t="s">
        <v>919</v>
      </c>
      <c r="C520" s="241" t="s">
        <v>67</v>
      </c>
      <c r="D520" s="241"/>
      <c r="E520" s="241"/>
      <c r="F520" s="241"/>
      <c r="G520" s="226" t="s">
        <v>1180</v>
      </c>
      <c r="H520" s="242"/>
      <c r="I520" s="186">
        <v>69744</v>
      </c>
      <c r="J520" s="182"/>
      <c r="K520" s="182"/>
    </row>
    <row r="521" spans="1:11" s="183" customFormat="1" ht="17.25" customHeight="1" x14ac:dyDescent="0.35">
      <c r="A521" s="240"/>
      <c r="B521" s="241"/>
      <c r="C521" s="241"/>
      <c r="D521" s="241" t="s">
        <v>44</v>
      </c>
      <c r="E521" s="241">
        <v>1</v>
      </c>
      <c r="F521" s="241">
        <v>18</v>
      </c>
      <c r="G521" s="241"/>
      <c r="H521" s="242"/>
      <c r="I521" s="186" t="s">
        <v>717</v>
      </c>
      <c r="J521" s="182"/>
      <c r="K521" s="182"/>
    </row>
    <row r="522" spans="1:11" s="183" customFormat="1" ht="17.25" customHeight="1" x14ac:dyDescent="0.35">
      <c r="A522" s="240"/>
      <c r="B522" s="241"/>
      <c r="C522" s="241"/>
      <c r="D522" s="241" t="s">
        <v>44</v>
      </c>
      <c r="E522" s="241">
        <v>2</v>
      </c>
      <c r="F522" s="241">
        <v>5060</v>
      </c>
      <c r="G522" s="241"/>
      <c r="H522" s="242"/>
      <c r="I522" s="186" t="s">
        <v>920</v>
      </c>
      <c r="J522" s="182"/>
      <c r="K522" s="182"/>
    </row>
    <row r="523" spans="1:11" s="183" customFormat="1" ht="17.25" customHeight="1" x14ac:dyDescent="0.35">
      <c r="A523" s="240"/>
      <c r="B523" s="241"/>
      <c r="C523" s="241"/>
      <c r="D523" s="241" t="s">
        <v>44</v>
      </c>
      <c r="E523" s="241">
        <v>4</v>
      </c>
      <c r="F523" s="241">
        <v>0</v>
      </c>
      <c r="G523" s="241"/>
      <c r="H523" s="242"/>
      <c r="I523" s="186" t="s">
        <v>921</v>
      </c>
      <c r="J523" s="182"/>
      <c r="K523" s="182"/>
    </row>
    <row r="524" spans="1:11" s="183" customFormat="1" ht="17.25" customHeight="1" x14ac:dyDescent="0.35">
      <c r="A524" s="240"/>
      <c r="B524" s="241"/>
      <c r="C524" s="241"/>
      <c r="D524" s="241" t="s">
        <v>44</v>
      </c>
      <c r="E524" s="241">
        <v>4</v>
      </c>
      <c r="F524" s="241">
        <v>0</v>
      </c>
      <c r="G524" s="241"/>
      <c r="H524" s="242"/>
      <c r="I524" s="186" t="s">
        <v>922</v>
      </c>
      <c r="J524" s="182"/>
      <c r="K524" s="182"/>
    </row>
    <row r="525" spans="1:11" s="183" customFormat="1" ht="17.25" customHeight="1" x14ac:dyDescent="0.35">
      <c r="A525" s="240"/>
      <c r="B525" s="241"/>
      <c r="C525" s="241"/>
      <c r="D525" s="241" t="s">
        <v>44</v>
      </c>
      <c r="E525" s="241">
        <v>4</v>
      </c>
      <c r="F525" s="241">
        <v>2000</v>
      </c>
      <c r="G525" s="241"/>
      <c r="H525" s="242"/>
      <c r="I525" s="186" t="s">
        <v>923</v>
      </c>
      <c r="J525" s="182"/>
      <c r="K525" s="182"/>
    </row>
    <row r="526" spans="1:11" s="183" customFormat="1" ht="17.25" customHeight="1" x14ac:dyDescent="0.35">
      <c r="A526" s="240"/>
      <c r="B526" s="241"/>
      <c r="C526" s="241"/>
      <c r="D526" s="241" t="s">
        <v>44</v>
      </c>
      <c r="E526" s="241">
        <v>4</v>
      </c>
      <c r="F526" s="241">
        <v>16000</v>
      </c>
      <c r="G526" s="241"/>
      <c r="H526" s="242"/>
      <c r="I526" s="186" t="s">
        <v>924</v>
      </c>
      <c r="J526" s="182"/>
      <c r="K526" s="182"/>
    </row>
    <row r="527" spans="1:11" s="183" customFormat="1" ht="17.25" customHeight="1" x14ac:dyDescent="0.35">
      <c r="A527" s="240"/>
      <c r="B527" s="241"/>
      <c r="C527" s="241"/>
      <c r="D527" s="241" t="s">
        <v>44</v>
      </c>
      <c r="E527" s="241">
        <v>4</v>
      </c>
      <c r="F527" s="241">
        <v>17000</v>
      </c>
      <c r="G527" s="241"/>
      <c r="H527" s="242"/>
      <c r="I527" s="186" t="s">
        <v>925</v>
      </c>
      <c r="J527" s="182"/>
      <c r="K527" s="182"/>
    </row>
    <row r="528" spans="1:11" s="181" customFormat="1" ht="17.25" customHeight="1" x14ac:dyDescent="0.35">
      <c r="A528" s="240"/>
      <c r="B528" s="241"/>
      <c r="C528" s="241"/>
      <c r="D528" s="241" t="s">
        <v>44</v>
      </c>
      <c r="E528" s="241">
        <v>4</v>
      </c>
      <c r="F528" s="241">
        <v>32000</v>
      </c>
      <c r="G528" s="241"/>
      <c r="H528" s="242"/>
      <c r="I528" s="186" t="s">
        <v>926</v>
      </c>
      <c r="J528" s="182"/>
      <c r="K528" s="182"/>
    </row>
    <row r="529" spans="1:11" s="181" customFormat="1" ht="17.25" customHeight="1" x14ac:dyDescent="0.35">
      <c r="A529" s="240"/>
      <c r="B529" s="241"/>
      <c r="C529" s="241"/>
      <c r="D529" s="241" t="s">
        <v>44</v>
      </c>
      <c r="E529" s="241">
        <v>4</v>
      </c>
      <c r="F529" s="241">
        <v>32000</v>
      </c>
      <c r="G529" s="241"/>
      <c r="H529" s="242"/>
      <c r="I529" s="186" t="s">
        <v>927</v>
      </c>
      <c r="J529" s="182"/>
      <c r="K529" s="182"/>
    </row>
    <row r="530" spans="1:11" s="181" customFormat="1" ht="17.25" customHeight="1" x14ac:dyDescent="0.35">
      <c r="A530" s="240"/>
      <c r="B530" s="241"/>
      <c r="C530" s="241"/>
      <c r="D530" s="241" t="s">
        <v>44</v>
      </c>
      <c r="E530" s="241">
        <v>2</v>
      </c>
      <c r="F530" s="241">
        <v>1230</v>
      </c>
      <c r="G530" s="241"/>
      <c r="H530" s="242"/>
      <c r="I530" s="186" t="s">
        <v>928</v>
      </c>
      <c r="J530" s="182"/>
      <c r="K530" s="182"/>
    </row>
    <row r="531" spans="1:11" s="181" customFormat="1" ht="17.25" customHeight="1" x14ac:dyDescent="0.35">
      <c r="A531" s="240"/>
      <c r="B531" s="241"/>
      <c r="C531" s="241"/>
      <c r="D531" s="241" t="s">
        <v>44</v>
      </c>
      <c r="E531" s="241">
        <v>1</v>
      </c>
      <c r="F531" s="241">
        <v>1</v>
      </c>
      <c r="G531" s="241"/>
      <c r="H531" s="242"/>
      <c r="I531" s="186" t="s">
        <v>929</v>
      </c>
      <c r="J531" s="182"/>
      <c r="K531" s="182"/>
    </row>
    <row r="532" spans="1:11" s="181" customFormat="1" ht="17.25" customHeight="1" x14ac:dyDescent="0.35">
      <c r="A532" s="240"/>
      <c r="B532" s="241"/>
      <c r="C532" s="241"/>
      <c r="D532" s="241" t="s">
        <v>44</v>
      </c>
      <c r="E532" s="241">
        <v>1</v>
      </c>
      <c r="F532" s="241">
        <v>0</v>
      </c>
      <c r="G532" s="241"/>
      <c r="H532" s="242"/>
      <c r="I532" s="186" t="s">
        <v>930</v>
      </c>
      <c r="J532" s="182"/>
      <c r="K532" s="182"/>
    </row>
    <row r="533" spans="1:11" s="181" customFormat="1" ht="17.25" customHeight="1" x14ac:dyDescent="0.35">
      <c r="A533" s="240"/>
      <c r="B533" s="241"/>
      <c r="C533" s="241"/>
      <c r="D533" s="241" t="s">
        <v>44</v>
      </c>
      <c r="E533" s="241">
        <v>1</v>
      </c>
      <c r="F533" s="241">
        <v>0</v>
      </c>
      <c r="G533" s="241"/>
      <c r="H533" s="242"/>
      <c r="I533" s="186" t="s">
        <v>931</v>
      </c>
      <c r="J533" s="182"/>
      <c r="K533" s="182"/>
    </row>
    <row r="534" spans="1:11" s="181" customFormat="1" ht="17.25" customHeight="1" x14ac:dyDescent="0.35">
      <c r="A534" s="240"/>
      <c r="B534" s="241"/>
      <c r="C534" s="241"/>
      <c r="D534" s="241" t="s">
        <v>44</v>
      </c>
      <c r="E534" s="241">
        <v>1</v>
      </c>
      <c r="F534" s="241">
        <v>3</v>
      </c>
      <c r="G534" s="241"/>
      <c r="H534" s="242"/>
      <c r="I534" s="186" t="s">
        <v>932</v>
      </c>
      <c r="J534" s="182"/>
      <c r="K534" s="182"/>
    </row>
    <row r="535" spans="1:11" s="181" customFormat="1" ht="17.25" customHeight="1" x14ac:dyDescent="0.35">
      <c r="A535" s="240"/>
      <c r="B535" s="241"/>
      <c r="C535" s="241"/>
      <c r="D535" s="241" t="s">
        <v>44</v>
      </c>
      <c r="E535" s="241">
        <v>1</v>
      </c>
      <c r="F535" s="241">
        <v>7</v>
      </c>
      <c r="G535" s="241"/>
      <c r="H535" s="242"/>
      <c r="I535" s="186" t="s">
        <v>933</v>
      </c>
      <c r="J535" s="182"/>
      <c r="K535" s="182"/>
    </row>
    <row r="536" spans="1:11" s="181" customFormat="1" ht="17.25" customHeight="1" x14ac:dyDescent="0.35">
      <c r="A536" s="240"/>
      <c r="B536" s="241"/>
      <c r="C536" s="241"/>
      <c r="D536" s="241" t="s">
        <v>44</v>
      </c>
      <c r="E536" s="241">
        <v>1</v>
      </c>
      <c r="F536" s="241">
        <v>0</v>
      </c>
      <c r="G536" s="241"/>
      <c r="H536" s="242"/>
      <c r="I536" s="186" t="s">
        <v>934</v>
      </c>
      <c r="J536" s="182"/>
      <c r="K536" s="182"/>
    </row>
    <row r="537" spans="1:11" s="181" customFormat="1" ht="17.25" customHeight="1" x14ac:dyDescent="0.35">
      <c r="A537" s="240"/>
      <c r="B537" s="241"/>
      <c r="C537" s="241"/>
      <c r="D537" s="241" t="s">
        <v>44</v>
      </c>
      <c r="E537" s="241">
        <v>1</v>
      </c>
      <c r="F537" s="241">
        <v>0</v>
      </c>
      <c r="G537" s="241"/>
      <c r="H537" s="242"/>
      <c r="I537" s="186" t="s">
        <v>935</v>
      </c>
      <c r="J537" s="182"/>
      <c r="K537" s="182"/>
    </row>
    <row r="538" spans="1:11" s="181" customFormat="1" ht="17.25" customHeight="1" x14ac:dyDescent="0.35">
      <c r="A538" s="240"/>
      <c r="B538" s="241"/>
      <c r="C538" s="241"/>
      <c r="D538" s="241" t="s">
        <v>45</v>
      </c>
      <c r="E538" s="241">
        <v>256</v>
      </c>
      <c r="F538" s="241">
        <v>711</v>
      </c>
      <c r="G538" s="241"/>
      <c r="H538" s="242"/>
      <c r="I538" s="186" t="s">
        <v>1409</v>
      </c>
      <c r="J538" s="182"/>
      <c r="K538" s="182"/>
    </row>
    <row r="539" spans="1:11" s="181" customFormat="1" ht="17.25" customHeight="1" x14ac:dyDescent="0.35">
      <c r="A539" s="240"/>
      <c r="B539" s="241"/>
      <c r="C539" s="241"/>
      <c r="D539" s="241" t="s">
        <v>45</v>
      </c>
      <c r="E539" s="241">
        <v>256</v>
      </c>
      <c r="F539" s="241"/>
      <c r="G539" s="241"/>
      <c r="H539" s="242"/>
      <c r="I539" s="186" t="s">
        <v>936</v>
      </c>
      <c r="J539" s="182"/>
      <c r="K539" s="182"/>
    </row>
    <row r="540" spans="1:11" s="181" customFormat="1" ht="17.25" customHeight="1" x14ac:dyDescent="0.35">
      <c r="A540" s="240"/>
      <c r="B540" s="241"/>
      <c r="C540" s="241"/>
      <c r="D540" s="241" t="s">
        <v>44</v>
      </c>
      <c r="E540" s="241">
        <v>1</v>
      </c>
      <c r="F540" s="241"/>
      <c r="G540" s="241"/>
      <c r="H540" s="242"/>
      <c r="I540" s="186" t="s">
        <v>937</v>
      </c>
      <c r="J540" s="182"/>
      <c r="K540" s="182"/>
    </row>
    <row r="541" spans="1:11" s="181" customFormat="1" ht="17.25" customHeight="1" x14ac:dyDescent="0.35">
      <c r="A541" s="240"/>
      <c r="B541" s="241"/>
      <c r="C541" s="241"/>
      <c r="D541" s="241" t="s">
        <v>44</v>
      </c>
      <c r="E541" s="241">
        <v>4</v>
      </c>
      <c r="F541" s="241"/>
      <c r="G541" s="241"/>
      <c r="H541" s="242"/>
      <c r="I541" s="186" t="s">
        <v>1162</v>
      </c>
      <c r="J541" s="182"/>
      <c r="K541" s="182"/>
    </row>
    <row r="542" spans="1:11" s="181" customFormat="1" ht="17.25" customHeight="1" x14ac:dyDescent="0.35">
      <c r="A542" s="240"/>
      <c r="B542" s="241"/>
      <c r="C542" s="241"/>
      <c r="D542" s="241" t="s">
        <v>44</v>
      </c>
      <c r="E542" s="241">
        <v>4</v>
      </c>
      <c r="F542" s="241"/>
      <c r="G542" s="241"/>
      <c r="H542" s="242"/>
      <c r="I542" s="186" t="s">
        <v>1163</v>
      </c>
      <c r="J542" s="182"/>
      <c r="K542" s="182"/>
    </row>
    <row r="543" spans="1:11" s="181" customFormat="1" ht="17.25" customHeight="1" x14ac:dyDescent="0.35">
      <c r="A543" s="240"/>
      <c r="B543" s="241"/>
      <c r="C543" s="241"/>
      <c r="D543" s="241" t="s">
        <v>44</v>
      </c>
      <c r="E543" s="241">
        <v>4</v>
      </c>
      <c r="F543" s="241"/>
      <c r="G543" s="241"/>
      <c r="H543" s="242"/>
      <c r="I543" s="186" t="s">
        <v>1164</v>
      </c>
      <c r="J543" s="182"/>
      <c r="K543" s="182"/>
    </row>
    <row r="544" spans="1:11" s="181" customFormat="1" ht="17.25" customHeight="1" x14ac:dyDescent="0.35">
      <c r="A544" s="240"/>
      <c r="B544" s="241"/>
      <c r="C544" s="241"/>
      <c r="D544" s="241" t="s">
        <v>44</v>
      </c>
      <c r="E544" s="241">
        <v>4</v>
      </c>
      <c r="F544" s="241"/>
      <c r="G544" s="241"/>
      <c r="H544" s="242"/>
      <c r="I544" s="186" t="s">
        <v>1165</v>
      </c>
      <c r="J544" s="182"/>
      <c r="K544" s="182"/>
    </row>
    <row r="545" spans="1:11" s="181" customFormat="1" ht="17.25" customHeight="1" x14ac:dyDescent="0.35">
      <c r="A545" s="240"/>
      <c r="B545" s="241"/>
      <c r="C545" s="241"/>
      <c r="D545" s="241" t="s">
        <v>44</v>
      </c>
      <c r="E545" s="241">
        <v>4</v>
      </c>
      <c r="F545" s="241"/>
      <c r="G545" s="241"/>
      <c r="H545" s="242"/>
      <c r="I545" s="186" t="s">
        <v>1166</v>
      </c>
      <c r="J545" s="182"/>
      <c r="K545" s="182"/>
    </row>
    <row r="546" spans="1:11" s="119" customFormat="1" ht="17.25" x14ac:dyDescent="0.35">
      <c r="A546" s="240"/>
      <c r="B546" s="241"/>
      <c r="C546" s="241"/>
      <c r="D546" s="241" t="s">
        <v>44</v>
      </c>
      <c r="E546" s="241">
        <v>4</v>
      </c>
      <c r="F546" s="241"/>
      <c r="G546" s="241"/>
      <c r="H546" s="242"/>
      <c r="I546" s="186" t="s">
        <v>1167</v>
      </c>
      <c r="J546" s="123"/>
    </row>
    <row r="547" spans="1:11" s="119" customFormat="1" ht="17.25" x14ac:dyDescent="0.35">
      <c r="A547" s="240"/>
      <c r="B547" s="241"/>
      <c r="C547" s="241"/>
      <c r="D547" s="241" t="s">
        <v>44</v>
      </c>
      <c r="E547" s="241">
        <v>4</v>
      </c>
      <c r="F547" s="241"/>
      <c r="G547" s="241"/>
      <c r="H547" s="242"/>
      <c r="I547" s="186" t="s">
        <v>1168</v>
      </c>
      <c r="J547" s="123"/>
    </row>
    <row r="548" spans="1:11" s="119" customFormat="1" ht="17.25" x14ac:dyDescent="0.35">
      <c r="A548" s="240"/>
      <c r="B548" s="241"/>
      <c r="C548" s="241"/>
      <c r="D548" s="241" t="s">
        <v>44</v>
      </c>
      <c r="E548" s="241">
        <v>4</v>
      </c>
      <c r="F548" s="241"/>
      <c r="G548" s="241"/>
      <c r="H548" s="242"/>
      <c r="I548" s="186" t="s">
        <v>1169</v>
      </c>
      <c r="J548" s="123"/>
    </row>
    <row r="549" spans="1:11" s="119" customFormat="1" ht="17.25" x14ac:dyDescent="0.35">
      <c r="A549" s="240"/>
      <c r="B549" s="241"/>
      <c r="C549" s="241"/>
      <c r="D549" s="241" t="s">
        <v>44</v>
      </c>
      <c r="E549" s="241">
        <v>1</v>
      </c>
      <c r="F549" s="241">
        <v>2</v>
      </c>
      <c r="G549" s="241"/>
      <c r="H549" s="242"/>
      <c r="I549" s="186" t="s">
        <v>1224</v>
      </c>
      <c r="J549" s="123"/>
    </row>
    <row r="550" spans="1:11" s="119" customFormat="1" ht="17.25" x14ac:dyDescent="0.35">
      <c r="A550" s="240"/>
      <c r="B550" s="241"/>
      <c r="C550" s="241"/>
      <c r="D550" s="241" t="s">
        <v>44</v>
      </c>
      <c r="E550" s="241">
        <v>2</v>
      </c>
      <c r="F550" s="241">
        <v>60</v>
      </c>
      <c r="G550" s="241"/>
      <c r="H550" s="242"/>
      <c r="I550" s="186" t="s">
        <v>1225</v>
      </c>
      <c r="J550" s="123"/>
    </row>
    <row r="551" spans="1:11" s="119" customFormat="1" ht="17.25" x14ac:dyDescent="0.35">
      <c r="A551" s="240"/>
      <c r="B551" s="241"/>
      <c r="C551" s="241"/>
      <c r="D551" s="241" t="s">
        <v>44</v>
      </c>
      <c r="E551" s="241">
        <v>4</v>
      </c>
      <c r="F551" s="241">
        <v>32000</v>
      </c>
      <c r="G551" s="241"/>
      <c r="H551" s="242"/>
      <c r="I551" s="186" t="s">
        <v>1170</v>
      </c>
      <c r="J551" s="123"/>
    </row>
    <row r="552" spans="1:11" s="119" customFormat="1" ht="17.25" x14ac:dyDescent="0.35">
      <c r="A552" s="240"/>
      <c r="B552" s="241"/>
      <c r="C552" s="241"/>
      <c r="D552" s="241" t="s">
        <v>44</v>
      </c>
      <c r="E552" s="241">
        <v>1</v>
      </c>
      <c r="F552" s="241">
        <v>0</v>
      </c>
      <c r="G552" s="241"/>
      <c r="H552" s="242"/>
      <c r="I552" s="186" t="s">
        <v>1171</v>
      </c>
      <c r="J552" s="123"/>
    </row>
    <row r="553" spans="1:11" s="119" customFormat="1" ht="17.25" x14ac:dyDescent="0.35">
      <c r="A553" s="240"/>
      <c r="B553" s="241"/>
      <c r="C553" s="241"/>
      <c r="D553" s="241" t="s">
        <v>44</v>
      </c>
      <c r="E553" s="241">
        <v>1</v>
      </c>
      <c r="F553" s="241"/>
      <c r="G553" s="241"/>
      <c r="H553" s="242"/>
      <c r="I553" s="186" t="s">
        <v>1172</v>
      </c>
      <c r="J553" s="123"/>
    </row>
    <row r="554" spans="1:11" s="119" customFormat="1" ht="17.25" x14ac:dyDescent="0.35">
      <c r="A554" s="240"/>
      <c r="B554" s="241"/>
      <c r="C554" s="241"/>
      <c r="D554" s="241" t="s">
        <v>44</v>
      </c>
      <c r="E554" s="241">
        <v>4</v>
      </c>
      <c r="F554" s="241"/>
      <c r="G554" s="241"/>
      <c r="H554" s="242"/>
      <c r="I554" s="186" t="s">
        <v>1173</v>
      </c>
      <c r="J554" s="123"/>
    </row>
    <row r="555" spans="1:11" s="119" customFormat="1" ht="17.25" x14ac:dyDescent="0.35">
      <c r="A555" s="240"/>
      <c r="B555" s="241"/>
      <c r="C555" s="241"/>
      <c r="D555" s="241" t="s">
        <v>44</v>
      </c>
      <c r="E555" s="241">
        <v>1</v>
      </c>
      <c r="F555" s="241">
        <v>1</v>
      </c>
      <c r="G555" s="241"/>
      <c r="H555" s="242"/>
      <c r="I555" s="186" t="s">
        <v>1174</v>
      </c>
      <c r="J555" s="123"/>
    </row>
    <row r="556" spans="1:11" s="119" customFormat="1" ht="17.25" x14ac:dyDescent="0.35">
      <c r="A556" s="240"/>
      <c r="B556" s="241"/>
      <c r="C556" s="241"/>
      <c r="D556" s="241" t="s">
        <v>44</v>
      </c>
      <c r="E556" s="241">
        <v>1</v>
      </c>
      <c r="F556" s="241">
        <v>60</v>
      </c>
      <c r="G556" s="241"/>
      <c r="H556" s="242"/>
      <c r="I556" s="186" t="s">
        <v>1175</v>
      </c>
      <c r="J556" s="123"/>
    </row>
    <row r="557" spans="1:11" s="119" customFormat="1" ht="17.25" x14ac:dyDescent="0.35">
      <c r="A557" s="240"/>
      <c r="B557" s="241"/>
      <c r="C557" s="241"/>
      <c r="D557" s="241" t="s">
        <v>44</v>
      </c>
      <c r="E557" s="241">
        <v>4</v>
      </c>
      <c r="F557" s="241"/>
      <c r="G557" s="241"/>
      <c r="H557" s="242"/>
      <c r="I557" s="186" t="s">
        <v>1226</v>
      </c>
      <c r="J557" s="123"/>
    </row>
    <row r="558" spans="1:11" s="119" customFormat="1" ht="17.25" x14ac:dyDescent="0.35">
      <c r="A558" s="240"/>
      <c r="B558" s="241"/>
      <c r="C558" s="241"/>
      <c r="D558" s="241" t="s">
        <v>44</v>
      </c>
      <c r="E558" s="241">
        <v>4</v>
      </c>
      <c r="F558" s="241"/>
      <c r="G558" s="241"/>
      <c r="H558" s="242"/>
      <c r="I558" s="186" t="s">
        <v>1227</v>
      </c>
      <c r="J558" s="123"/>
    </row>
    <row r="559" spans="1:11" s="119" customFormat="1" ht="17.25" x14ac:dyDescent="0.35">
      <c r="A559" s="240"/>
      <c r="B559" s="241"/>
      <c r="C559" s="241"/>
      <c r="D559" s="241" t="s">
        <v>45</v>
      </c>
      <c r="E559" s="241">
        <v>50</v>
      </c>
      <c r="F559" s="241"/>
      <c r="G559" s="241"/>
      <c r="H559" s="242"/>
      <c r="I559" s="186" t="s">
        <v>1228</v>
      </c>
      <c r="J559" s="123"/>
    </row>
    <row r="560" spans="1:11" s="119" customFormat="1" ht="17.25" x14ac:dyDescent="0.35">
      <c r="A560" s="240"/>
      <c r="B560" s="241"/>
      <c r="C560" s="241"/>
      <c r="D560" s="241" t="s">
        <v>44</v>
      </c>
      <c r="E560" s="241">
        <v>4</v>
      </c>
      <c r="F560" s="241"/>
      <c r="G560" s="241"/>
      <c r="H560" s="242"/>
      <c r="I560" s="186" t="s">
        <v>1229</v>
      </c>
      <c r="J560" s="123"/>
    </row>
    <row r="561" spans="1:10" s="119" customFormat="1" ht="17.25" x14ac:dyDescent="0.35">
      <c r="A561" s="240"/>
      <c r="B561" s="241"/>
      <c r="C561" s="241"/>
      <c r="D561" s="241" t="s">
        <v>44</v>
      </c>
      <c r="E561" s="241">
        <v>4</v>
      </c>
      <c r="F561" s="241"/>
      <c r="G561" s="241"/>
      <c r="H561" s="242"/>
      <c r="I561" s="186" t="s">
        <v>1230</v>
      </c>
      <c r="J561" s="123"/>
    </row>
    <row r="562" spans="1:10" s="119" customFormat="1" ht="17.25" x14ac:dyDescent="0.35">
      <c r="A562" s="240"/>
      <c r="B562" s="241"/>
      <c r="C562" s="241"/>
      <c r="D562" s="241" t="s">
        <v>44</v>
      </c>
      <c r="E562" s="241">
        <v>4</v>
      </c>
      <c r="F562" s="241"/>
      <c r="G562" s="241"/>
      <c r="H562" s="242"/>
      <c r="I562" s="186" t="s">
        <v>1231</v>
      </c>
      <c r="J562" s="123"/>
    </row>
    <row r="563" spans="1:10" s="119" customFormat="1" ht="17.25" x14ac:dyDescent="0.35">
      <c r="A563" s="240"/>
      <c r="B563" s="241"/>
      <c r="C563" s="241"/>
      <c r="D563" s="241" t="s">
        <v>44</v>
      </c>
      <c r="E563" s="241">
        <v>4</v>
      </c>
      <c r="F563" s="241"/>
      <c r="G563" s="241"/>
      <c r="H563" s="242"/>
      <c r="I563" s="186" t="s">
        <v>1232</v>
      </c>
      <c r="J563" s="123"/>
    </row>
    <row r="564" spans="1:10" s="123" customFormat="1" ht="17.25" x14ac:dyDescent="0.35">
      <c r="A564" s="240"/>
      <c r="B564" s="241"/>
      <c r="C564" s="241"/>
      <c r="D564" s="241" t="s">
        <v>44</v>
      </c>
      <c r="E564" s="241">
        <v>4</v>
      </c>
      <c r="F564" s="241"/>
      <c r="G564" s="241"/>
      <c r="H564" s="242"/>
      <c r="I564" s="186" t="s">
        <v>1233</v>
      </c>
    </row>
    <row r="565" spans="1:10" s="123" customFormat="1" ht="17.25" x14ac:dyDescent="0.35">
      <c r="A565" s="240"/>
      <c r="B565" s="241"/>
      <c r="C565" s="241"/>
      <c r="D565" s="241" t="s">
        <v>44</v>
      </c>
      <c r="E565" s="241">
        <v>4</v>
      </c>
      <c r="F565" s="241"/>
      <c r="G565" s="241"/>
      <c r="H565" s="242"/>
      <c r="I565" s="186" t="s">
        <v>1234</v>
      </c>
    </row>
    <row r="566" spans="1:10" s="123" customFormat="1" ht="17.25" x14ac:dyDescent="0.35">
      <c r="A566" s="240"/>
      <c r="B566" s="241"/>
      <c r="C566" s="241"/>
      <c r="D566" s="241" t="s">
        <v>44</v>
      </c>
      <c r="E566" s="241">
        <v>4</v>
      </c>
      <c r="F566" s="241"/>
      <c r="G566" s="241"/>
      <c r="H566" s="242"/>
      <c r="I566" s="186" t="s">
        <v>1235</v>
      </c>
    </row>
    <row r="567" spans="1:10" s="123" customFormat="1" ht="17.25" x14ac:dyDescent="0.35">
      <c r="A567" s="240"/>
      <c r="B567" s="241"/>
      <c r="C567" s="241"/>
      <c r="D567" s="241" t="s">
        <v>44</v>
      </c>
      <c r="E567" s="241">
        <v>4</v>
      </c>
      <c r="F567" s="241"/>
      <c r="G567" s="241"/>
      <c r="H567" s="242"/>
      <c r="I567" s="186" t="s">
        <v>1236</v>
      </c>
    </row>
    <row r="568" spans="1:10" s="119" customFormat="1" ht="17.25" x14ac:dyDescent="0.35">
      <c r="A568" s="240"/>
      <c r="B568" s="241"/>
      <c r="C568" s="241"/>
      <c r="D568" s="241" t="s">
        <v>44</v>
      </c>
      <c r="E568" s="241">
        <v>4</v>
      </c>
      <c r="F568" s="241"/>
      <c r="G568" s="241"/>
      <c r="H568" s="242"/>
      <c r="I568" s="186" t="s">
        <v>1237</v>
      </c>
      <c r="J568" s="123"/>
    </row>
    <row r="569" spans="1:10" s="119" customFormat="1" ht="17.25" x14ac:dyDescent="0.35">
      <c r="A569" s="240"/>
      <c r="B569" s="241"/>
      <c r="C569" s="241"/>
      <c r="D569" s="241" t="s">
        <v>44</v>
      </c>
      <c r="E569" s="241">
        <v>4</v>
      </c>
      <c r="F569" s="241"/>
      <c r="G569" s="241"/>
      <c r="H569" s="242"/>
      <c r="I569" s="186" t="s">
        <v>1238</v>
      </c>
      <c r="J569" s="123"/>
    </row>
    <row r="570" spans="1:10" s="119" customFormat="1" ht="17.25" x14ac:dyDescent="0.35">
      <c r="A570" s="240"/>
      <c r="B570" s="241"/>
      <c r="C570" s="241"/>
      <c r="D570" s="241" t="s">
        <v>45</v>
      </c>
      <c r="E570" s="241">
        <v>10</v>
      </c>
      <c r="F570" s="241"/>
      <c r="G570" s="241"/>
      <c r="H570" s="242"/>
      <c r="I570" s="186" t="s">
        <v>1239</v>
      </c>
      <c r="J570" s="123"/>
    </row>
    <row r="571" spans="1:10" s="123" customFormat="1" ht="17.25" x14ac:dyDescent="0.35">
      <c r="A571" s="240"/>
      <c r="B571" s="241"/>
      <c r="C571" s="241"/>
      <c r="D571" s="241" t="s">
        <v>45</v>
      </c>
      <c r="E571" s="241">
        <v>316</v>
      </c>
      <c r="F571" s="241"/>
      <c r="G571" s="241"/>
      <c r="H571" s="242"/>
      <c r="I571" s="186" t="s">
        <v>265</v>
      </c>
    </row>
    <row r="572" spans="1:10" s="119" customFormat="1" ht="17.25" x14ac:dyDescent="0.35">
      <c r="A572" s="225" t="s">
        <v>938</v>
      </c>
      <c r="B572" s="226" t="s">
        <v>939</v>
      </c>
      <c r="C572" s="226" t="s">
        <v>67</v>
      </c>
      <c r="D572" s="226"/>
      <c r="E572" s="226"/>
      <c r="F572" s="226"/>
      <c r="G572" s="226" t="s">
        <v>1180</v>
      </c>
      <c r="H572" s="227"/>
      <c r="I572" s="78">
        <v>67257</v>
      </c>
      <c r="J572" s="123"/>
    </row>
    <row r="573" spans="1:10" s="119" customFormat="1" ht="17.25" x14ac:dyDescent="0.35">
      <c r="A573" s="225" t="s">
        <v>254</v>
      </c>
      <c r="B573" s="226" t="s">
        <v>254</v>
      </c>
      <c r="C573" s="226"/>
      <c r="D573" s="226" t="s">
        <v>44</v>
      </c>
      <c r="E573" s="226">
        <v>1</v>
      </c>
      <c r="F573" s="226">
        <v>0</v>
      </c>
      <c r="G573" s="226"/>
      <c r="H573" s="227"/>
      <c r="I573" s="78" t="s">
        <v>940</v>
      </c>
      <c r="J573" s="123"/>
    </row>
    <row r="574" spans="1:10" s="175" customFormat="1" ht="17.25" x14ac:dyDescent="0.35">
      <c r="A574" s="225" t="s">
        <v>254</v>
      </c>
      <c r="B574" s="226" t="s">
        <v>254</v>
      </c>
      <c r="C574" s="226"/>
      <c r="D574" s="226" t="s">
        <v>44</v>
      </c>
      <c r="E574" s="226">
        <v>1</v>
      </c>
      <c r="F574" s="226">
        <v>1</v>
      </c>
      <c r="G574" s="226"/>
      <c r="H574" s="227"/>
      <c r="I574" s="78" t="s">
        <v>941</v>
      </c>
    </row>
    <row r="575" spans="1:10" s="119" customFormat="1" ht="17.25" x14ac:dyDescent="0.35">
      <c r="A575" s="225" t="s">
        <v>254</v>
      </c>
      <c r="B575" s="226" t="s">
        <v>254</v>
      </c>
      <c r="C575" s="226"/>
      <c r="D575" s="226" t="s">
        <v>44</v>
      </c>
      <c r="E575" s="226">
        <v>1</v>
      </c>
      <c r="F575" s="226">
        <v>1</v>
      </c>
      <c r="G575" s="226"/>
      <c r="H575" s="227"/>
      <c r="I575" s="78" t="s">
        <v>942</v>
      </c>
      <c r="J575" s="123"/>
    </row>
    <row r="576" spans="1:10" s="119" customFormat="1" ht="17.25" x14ac:dyDescent="0.35">
      <c r="A576" s="225" t="s">
        <v>254</v>
      </c>
      <c r="B576" s="226" t="s">
        <v>254</v>
      </c>
      <c r="C576" s="226"/>
      <c r="D576" s="226" t="s">
        <v>45</v>
      </c>
      <c r="E576" s="226">
        <v>128</v>
      </c>
      <c r="F576" s="226" t="s">
        <v>943</v>
      </c>
      <c r="G576" s="226"/>
      <c r="H576" s="227"/>
      <c r="I576" s="78" t="s">
        <v>944</v>
      </c>
      <c r="J576" s="123"/>
    </row>
    <row r="577" spans="1:10" s="119" customFormat="1" ht="17.25" x14ac:dyDescent="0.35">
      <c r="A577" s="225" t="s">
        <v>254</v>
      </c>
      <c r="B577" s="226" t="s">
        <v>254</v>
      </c>
      <c r="C577" s="226"/>
      <c r="D577" s="226" t="s">
        <v>44</v>
      </c>
      <c r="E577" s="226">
        <v>2</v>
      </c>
      <c r="F577" s="226">
        <v>1800</v>
      </c>
      <c r="G577" s="226"/>
      <c r="H577" s="227"/>
      <c r="I577" s="78" t="s">
        <v>945</v>
      </c>
      <c r="J577" s="123"/>
    </row>
    <row r="578" spans="1:10" s="119" customFormat="1" ht="17.25" x14ac:dyDescent="0.35">
      <c r="A578" s="225" t="s">
        <v>254</v>
      </c>
      <c r="B578" s="226" t="s">
        <v>254</v>
      </c>
      <c r="C578" s="226"/>
      <c r="D578" s="226" t="s">
        <v>44</v>
      </c>
      <c r="E578" s="226">
        <v>2</v>
      </c>
      <c r="F578" s="226">
        <v>90</v>
      </c>
      <c r="G578" s="226"/>
      <c r="H578" s="227"/>
      <c r="I578" s="78" t="s">
        <v>946</v>
      </c>
      <c r="J578" s="123"/>
    </row>
    <row r="579" spans="1:10" s="119" customFormat="1" ht="17.25" x14ac:dyDescent="0.35">
      <c r="A579" s="225" t="s">
        <v>254</v>
      </c>
      <c r="B579" s="226" t="s">
        <v>254</v>
      </c>
      <c r="C579" s="226"/>
      <c r="D579" s="226" t="s">
        <v>44</v>
      </c>
      <c r="E579" s="226">
        <v>1</v>
      </c>
      <c r="F579" s="226">
        <v>1</v>
      </c>
      <c r="G579" s="226"/>
      <c r="H579" s="227"/>
      <c r="I579" s="257" t="s">
        <v>947</v>
      </c>
      <c r="J579" s="123"/>
    </row>
    <row r="580" spans="1:10" s="119" customFormat="1" ht="17.25" x14ac:dyDescent="0.35">
      <c r="A580" s="225" t="s">
        <v>254</v>
      </c>
      <c r="B580" s="226" t="s">
        <v>254</v>
      </c>
      <c r="C580" s="226"/>
      <c r="D580" s="226" t="s">
        <v>45</v>
      </c>
      <c r="E580" s="226">
        <v>128</v>
      </c>
      <c r="F580" s="226" t="s">
        <v>948</v>
      </c>
      <c r="G580" s="226"/>
      <c r="H580" s="227"/>
      <c r="I580" s="78" t="s">
        <v>949</v>
      </c>
      <c r="J580" s="123"/>
    </row>
    <row r="581" spans="1:10" s="119" customFormat="1" ht="17.25" x14ac:dyDescent="0.35">
      <c r="A581" s="225" t="s">
        <v>254</v>
      </c>
      <c r="B581" s="226" t="s">
        <v>254</v>
      </c>
      <c r="C581" s="226"/>
      <c r="D581" s="226" t="s">
        <v>44</v>
      </c>
      <c r="E581" s="226">
        <v>1</v>
      </c>
      <c r="F581" s="226">
        <v>0</v>
      </c>
      <c r="G581" s="226"/>
      <c r="H581" s="227"/>
      <c r="I581" s="78" t="s">
        <v>950</v>
      </c>
      <c r="J581" s="123"/>
    </row>
    <row r="582" spans="1:10" s="119" customFormat="1" ht="17.25" x14ac:dyDescent="0.35">
      <c r="A582" s="225" t="s">
        <v>254</v>
      </c>
      <c r="B582" s="226" t="s">
        <v>254</v>
      </c>
      <c r="C582" s="226"/>
      <c r="D582" s="226" t="s">
        <v>44</v>
      </c>
      <c r="E582" s="226">
        <v>2</v>
      </c>
      <c r="F582" s="226">
        <v>1</v>
      </c>
      <c r="G582" s="226"/>
      <c r="H582" s="227"/>
      <c r="I582" s="118" t="s">
        <v>1244</v>
      </c>
      <c r="J582" s="123"/>
    </row>
    <row r="583" spans="1:10" s="119" customFormat="1" ht="17.25" x14ac:dyDescent="0.35">
      <c r="A583" s="225" t="s">
        <v>254</v>
      </c>
      <c r="B583" s="226" t="s">
        <v>254</v>
      </c>
      <c r="C583" s="226"/>
      <c r="D583" s="226" t="s">
        <v>44</v>
      </c>
      <c r="E583" s="226">
        <v>1</v>
      </c>
      <c r="F583" s="226">
        <v>0</v>
      </c>
      <c r="G583" s="226"/>
      <c r="H583" s="227"/>
      <c r="I583" s="78" t="s">
        <v>951</v>
      </c>
      <c r="J583" s="123"/>
    </row>
    <row r="584" spans="1:10" s="119" customFormat="1" ht="17.25" x14ac:dyDescent="0.35">
      <c r="A584" s="225" t="s">
        <v>254</v>
      </c>
      <c r="B584" s="226" t="s">
        <v>254</v>
      </c>
      <c r="C584" s="226"/>
      <c r="D584" s="226" t="s">
        <v>44</v>
      </c>
      <c r="E584" s="226">
        <v>1</v>
      </c>
      <c r="F584" s="226">
        <v>1</v>
      </c>
      <c r="G584" s="226"/>
      <c r="H584" s="227"/>
      <c r="I584" s="78" t="s">
        <v>952</v>
      </c>
      <c r="J584" s="123"/>
    </row>
    <row r="585" spans="1:10" s="119" customFormat="1" ht="17.25" x14ac:dyDescent="0.35">
      <c r="A585" s="225" t="s">
        <v>254</v>
      </c>
      <c r="B585" s="226" t="s">
        <v>254</v>
      </c>
      <c r="C585" s="226"/>
      <c r="D585" s="226" t="s">
        <v>45</v>
      </c>
      <c r="E585" s="226">
        <v>128</v>
      </c>
      <c r="F585" s="226"/>
      <c r="G585" s="226"/>
      <c r="H585" s="227"/>
      <c r="I585" s="78" t="s">
        <v>953</v>
      </c>
      <c r="J585" s="123"/>
    </row>
    <row r="586" spans="1:10" s="119" customFormat="1" ht="17.25" x14ac:dyDescent="0.35">
      <c r="A586" s="225" t="s">
        <v>954</v>
      </c>
      <c r="B586" s="226" t="s">
        <v>955</v>
      </c>
      <c r="C586" s="226" t="s">
        <v>67</v>
      </c>
      <c r="D586" s="226"/>
      <c r="E586" s="226"/>
      <c r="F586" s="226"/>
      <c r="G586" s="226" t="s">
        <v>1180</v>
      </c>
      <c r="H586" s="227"/>
      <c r="I586" s="78">
        <v>65959</v>
      </c>
      <c r="J586" s="177"/>
    </row>
    <row r="587" spans="1:10" s="119" customFormat="1" ht="17.25" x14ac:dyDescent="0.35">
      <c r="A587" s="225" t="s">
        <v>254</v>
      </c>
      <c r="B587" s="226" t="s">
        <v>254</v>
      </c>
      <c r="C587" s="226"/>
      <c r="D587" s="226" t="s">
        <v>44</v>
      </c>
      <c r="E587" s="226">
        <v>2</v>
      </c>
      <c r="F587" s="226">
        <v>16</v>
      </c>
      <c r="G587" s="226"/>
      <c r="H587" s="227"/>
      <c r="I587" s="78"/>
      <c r="J587" s="123"/>
    </row>
    <row r="588" spans="1:10" s="119" customFormat="1" ht="17.25" x14ac:dyDescent="0.35">
      <c r="A588" s="225" t="s">
        <v>956</v>
      </c>
      <c r="B588" s="226" t="s">
        <v>957</v>
      </c>
      <c r="C588" s="226" t="s">
        <v>67</v>
      </c>
      <c r="D588" s="226"/>
      <c r="E588" s="226"/>
      <c r="F588" s="226"/>
      <c r="G588" s="226" t="s">
        <v>1180</v>
      </c>
      <c r="H588" s="227"/>
      <c r="I588" s="78">
        <v>65955</v>
      </c>
      <c r="J588" s="123"/>
    </row>
    <row r="589" spans="1:10" s="119" customFormat="1" ht="17.25" x14ac:dyDescent="0.35">
      <c r="A589" s="225" t="s">
        <v>254</v>
      </c>
      <c r="B589" s="226" t="s">
        <v>254</v>
      </c>
      <c r="C589" s="226"/>
      <c r="D589" s="226" t="s">
        <v>44</v>
      </c>
      <c r="E589" s="226">
        <v>1</v>
      </c>
      <c r="F589" s="226">
        <v>1</v>
      </c>
      <c r="G589" s="226"/>
      <c r="H589" s="227"/>
      <c r="I589" s="78"/>
      <c r="J589" s="123"/>
    </row>
    <row r="590" spans="1:10" s="119" customFormat="1" ht="17.25" x14ac:dyDescent="0.35">
      <c r="A590" s="225" t="s">
        <v>958</v>
      </c>
      <c r="B590" s="226" t="s">
        <v>959</v>
      </c>
      <c r="C590" s="226" t="s">
        <v>67</v>
      </c>
      <c r="D590" s="226"/>
      <c r="E590" s="226"/>
      <c r="F590" s="226"/>
      <c r="G590" s="226" t="s">
        <v>1180</v>
      </c>
      <c r="H590" s="227"/>
      <c r="I590" s="78">
        <v>65957</v>
      </c>
      <c r="J590" s="123"/>
    </row>
    <row r="591" spans="1:10" s="119" customFormat="1" ht="17.25" x14ac:dyDescent="0.35">
      <c r="A591" s="225" t="s">
        <v>254</v>
      </c>
      <c r="B591" s="226" t="s">
        <v>254</v>
      </c>
      <c r="C591" s="226"/>
      <c r="D591" s="226" t="s">
        <v>44</v>
      </c>
      <c r="E591" s="226">
        <v>1</v>
      </c>
      <c r="F591" s="226">
        <v>1</v>
      </c>
      <c r="G591" s="226"/>
      <c r="H591" s="227"/>
      <c r="I591" s="78"/>
      <c r="J591" s="123"/>
    </row>
    <row r="592" spans="1:10" s="119" customFormat="1" ht="17.25" x14ac:dyDescent="0.35">
      <c r="A592" s="225" t="s">
        <v>960</v>
      </c>
      <c r="B592" s="226" t="s">
        <v>961</v>
      </c>
      <c r="C592" s="226" t="s">
        <v>67</v>
      </c>
      <c r="D592" s="226"/>
      <c r="E592" s="226"/>
      <c r="F592" s="226"/>
      <c r="G592" s="226" t="s">
        <v>1180</v>
      </c>
      <c r="H592" s="227"/>
      <c r="I592" s="78">
        <v>67199</v>
      </c>
      <c r="J592" s="123"/>
    </row>
    <row r="593" spans="1:10" s="123" customFormat="1" ht="17.25" x14ac:dyDescent="0.35">
      <c r="A593" s="225" t="s">
        <v>254</v>
      </c>
      <c r="B593" s="226" t="s">
        <v>254</v>
      </c>
      <c r="C593" s="226"/>
      <c r="D593" s="226" t="s">
        <v>44</v>
      </c>
      <c r="E593" s="226">
        <v>1</v>
      </c>
      <c r="F593" s="226">
        <v>1</v>
      </c>
      <c r="G593" s="226"/>
      <c r="H593" s="227"/>
      <c r="I593" s="78"/>
    </row>
    <row r="594" spans="1:10" s="119" customFormat="1" ht="17.25" x14ac:dyDescent="0.35">
      <c r="A594" s="225" t="s">
        <v>962</v>
      </c>
      <c r="B594" s="226" t="s">
        <v>963</v>
      </c>
      <c r="C594" s="226" t="s">
        <v>67</v>
      </c>
      <c r="D594" s="226"/>
      <c r="E594" s="226"/>
      <c r="F594" s="226"/>
      <c r="G594" s="226" t="s">
        <v>1180</v>
      </c>
      <c r="H594" s="227"/>
      <c r="I594" s="78">
        <v>70213</v>
      </c>
      <c r="J594" s="123"/>
    </row>
    <row r="595" spans="1:10" s="119" customFormat="1" ht="17.25" x14ac:dyDescent="0.35">
      <c r="A595" s="225" t="s">
        <v>254</v>
      </c>
      <c r="B595" s="226" t="s">
        <v>254</v>
      </c>
      <c r="C595" s="226"/>
      <c r="D595" s="226" t="s">
        <v>44</v>
      </c>
      <c r="E595" s="226">
        <v>2</v>
      </c>
      <c r="F595" s="226">
        <v>-115</v>
      </c>
      <c r="G595" s="226"/>
      <c r="H595" s="227"/>
      <c r="I595" s="78"/>
      <c r="J595" s="123"/>
    </row>
    <row r="596" spans="1:10" s="119" customFormat="1" ht="17.25" x14ac:dyDescent="0.35">
      <c r="A596" s="225" t="s">
        <v>964</v>
      </c>
      <c r="B596" s="226" t="s">
        <v>965</v>
      </c>
      <c r="C596" s="226" t="s">
        <v>67</v>
      </c>
      <c r="D596" s="226"/>
      <c r="E596" s="226"/>
      <c r="F596" s="226"/>
      <c r="G596" s="226" t="s">
        <v>1180</v>
      </c>
      <c r="H596" s="227"/>
      <c r="I596" s="78">
        <v>65964</v>
      </c>
      <c r="J596" s="123"/>
    </row>
    <row r="597" spans="1:10" s="119" customFormat="1" ht="17.25" x14ac:dyDescent="0.35">
      <c r="A597" s="225" t="s">
        <v>254</v>
      </c>
      <c r="B597" s="226" t="s">
        <v>254</v>
      </c>
      <c r="C597" s="226"/>
      <c r="D597" s="226" t="s">
        <v>44</v>
      </c>
      <c r="E597" s="226">
        <v>1</v>
      </c>
      <c r="F597" s="226">
        <v>1</v>
      </c>
      <c r="G597" s="226"/>
      <c r="H597" s="227"/>
      <c r="I597" s="78"/>
      <c r="J597" s="123"/>
    </row>
    <row r="598" spans="1:10" s="119" customFormat="1" ht="17.25" x14ac:dyDescent="0.35">
      <c r="A598" s="225" t="s">
        <v>966</v>
      </c>
      <c r="B598" s="226" t="s">
        <v>967</v>
      </c>
      <c r="C598" s="226" t="s">
        <v>67</v>
      </c>
      <c r="D598" s="226"/>
      <c r="E598" s="226"/>
      <c r="F598" s="226"/>
      <c r="G598" s="226" t="s">
        <v>1180</v>
      </c>
      <c r="H598" s="227"/>
      <c r="I598" s="78">
        <v>65960</v>
      </c>
      <c r="J598" s="123"/>
    </row>
    <row r="599" spans="1:10" s="119" customFormat="1" ht="17.25" x14ac:dyDescent="0.35">
      <c r="A599" s="225" t="s">
        <v>254</v>
      </c>
      <c r="B599" s="226" t="s">
        <v>254</v>
      </c>
      <c r="C599" s="226"/>
      <c r="D599" s="226" t="s">
        <v>44</v>
      </c>
      <c r="E599" s="226">
        <v>1</v>
      </c>
      <c r="F599" s="226">
        <v>1</v>
      </c>
      <c r="G599" s="226"/>
      <c r="H599" s="227"/>
      <c r="I599" s="78"/>
      <c r="J599" s="123"/>
    </row>
    <row r="600" spans="1:10" s="123" customFormat="1" ht="17.25" x14ac:dyDescent="0.35">
      <c r="A600" s="243" t="s">
        <v>1189</v>
      </c>
      <c r="B600" s="136" t="s">
        <v>1190</v>
      </c>
      <c r="C600" s="136" t="s">
        <v>46</v>
      </c>
      <c r="D600" s="136"/>
      <c r="E600" s="136"/>
      <c r="F600" s="136"/>
      <c r="G600" s="226" t="s">
        <v>1180</v>
      </c>
      <c r="H600" s="133" t="s">
        <v>1209</v>
      </c>
      <c r="I600" s="112"/>
    </row>
    <row r="601" spans="1:10" s="123" customFormat="1" ht="17.25" x14ac:dyDescent="0.35">
      <c r="A601" s="225" t="s">
        <v>968</v>
      </c>
      <c r="B601" s="226" t="s">
        <v>969</v>
      </c>
      <c r="C601" s="226" t="s">
        <v>67</v>
      </c>
      <c r="D601" s="226"/>
      <c r="E601" s="226"/>
      <c r="F601" s="226"/>
      <c r="G601" s="226" t="s">
        <v>1180</v>
      </c>
      <c r="H601" s="227"/>
      <c r="I601" s="78">
        <v>67239</v>
      </c>
    </row>
    <row r="602" spans="1:10" s="123" customFormat="1" ht="17.25" x14ac:dyDescent="0.35">
      <c r="A602" s="225" t="s">
        <v>254</v>
      </c>
      <c r="B602" s="226" t="s">
        <v>254</v>
      </c>
      <c r="C602" s="226"/>
      <c r="D602" s="226" t="s">
        <v>44</v>
      </c>
      <c r="E602" s="226">
        <v>4</v>
      </c>
      <c r="F602" s="226">
        <v>0</v>
      </c>
      <c r="G602" s="226"/>
      <c r="H602" s="227"/>
      <c r="I602" s="78"/>
    </row>
    <row r="603" spans="1:10" s="123" customFormat="1" ht="17.25" x14ac:dyDescent="0.35">
      <c r="A603" s="225" t="s">
        <v>970</v>
      </c>
      <c r="B603" s="226" t="s">
        <v>971</v>
      </c>
      <c r="C603" s="226" t="s">
        <v>67</v>
      </c>
      <c r="D603" s="226"/>
      <c r="E603" s="226"/>
      <c r="F603" s="226"/>
      <c r="G603" s="226" t="s">
        <v>1180</v>
      </c>
      <c r="H603" s="227"/>
      <c r="I603" s="78">
        <v>67240</v>
      </c>
    </row>
    <row r="604" spans="1:10" s="123" customFormat="1" ht="17.25" x14ac:dyDescent="0.35">
      <c r="A604" s="225" t="s">
        <v>254</v>
      </c>
      <c r="B604" s="226" t="s">
        <v>254</v>
      </c>
      <c r="C604" s="226"/>
      <c r="D604" s="226" t="s">
        <v>44</v>
      </c>
      <c r="E604" s="226">
        <v>1</v>
      </c>
      <c r="F604" s="226">
        <v>0</v>
      </c>
      <c r="G604" s="226"/>
      <c r="H604" s="227"/>
      <c r="I604" s="78"/>
    </row>
    <row r="605" spans="1:10" s="119" customFormat="1" ht="17.25" x14ac:dyDescent="0.35">
      <c r="A605" s="225" t="s">
        <v>972</v>
      </c>
      <c r="B605" s="226" t="s">
        <v>973</v>
      </c>
      <c r="C605" s="226" t="s">
        <v>67</v>
      </c>
      <c r="D605" s="226"/>
      <c r="E605" s="226"/>
      <c r="F605" s="226"/>
      <c r="G605" s="226" t="s">
        <v>1180</v>
      </c>
      <c r="H605" s="227"/>
      <c r="I605" s="78">
        <v>67241</v>
      </c>
      <c r="J605" s="123"/>
    </row>
    <row r="606" spans="1:10" s="119" customFormat="1" ht="17.25" x14ac:dyDescent="0.35">
      <c r="A606" s="225" t="s">
        <v>254</v>
      </c>
      <c r="B606" s="226" t="s">
        <v>254</v>
      </c>
      <c r="C606" s="226"/>
      <c r="D606" s="226" t="s">
        <v>44</v>
      </c>
      <c r="E606" s="226">
        <v>1</v>
      </c>
      <c r="F606" s="226">
        <v>0</v>
      </c>
      <c r="G606" s="226"/>
      <c r="H606" s="227"/>
      <c r="I606" s="78"/>
      <c r="J606" s="123"/>
    </row>
    <row r="607" spans="1:10" s="119" customFormat="1" ht="17.25" x14ac:dyDescent="0.35">
      <c r="A607" s="225" t="s">
        <v>974</v>
      </c>
      <c r="B607" s="226" t="s">
        <v>975</v>
      </c>
      <c r="C607" s="226" t="s">
        <v>67</v>
      </c>
      <c r="D607" s="226"/>
      <c r="E607" s="226"/>
      <c r="F607" s="226"/>
      <c r="G607" s="226" t="s">
        <v>1180</v>
      </c>
      <c r="H607" s="227"/>
      <c r="I607" s="78">
        <v>66031</v>
      </c>
      <c r="J607" s="123"/>
    </row>
    <row r="608" spans="1:10" s="119" customFormat="1" ht="17.25" x14ac:dyDescent="0.35">
      <c r="A608" s="225" t="s">
        <v>254</v>
      </c>
      <c r="B608" s="226" t="s">
        <v>254</v>
      </c>
      <c r="C608" s="226"/>
      <c r="D608" s="226" t="s">
        <v>44</v>
      </c>
      <c r="E608" s="226">
        <v>4</v>
      </c>
      <c r="F608" s="226">
        <v>0</v>
      </c>
      <c r="G608" s="226"/>
      <c r="H608" s="227"/>
      <c r="I608" s="78"/>
      <c r="J608" s="123"/>
    </row>
    <row r="609" spans="1:10" s="119" customFormat="1" ht="17.25" x14ac:dyDescent="0.35">
      <c r="A609" s="238" t="s">
        <v>1034</v>
      </c>
      <c r="B609" s="226" t="s">
        <v>1035</v>
      </c>
      <c r="C609" s="226" t="s">
        <v>67</v>
      </c>
      <c r="D609" s="226"/>
      <c r="E609" s="226"/>
      <c r="F609" s="226"/>
      <c r="G609" s="226" t="s">
        <v>1180</v>
      </c>
      <c r="H609" s="227"/>
      <c r="I609" s="82">
        <v>67314</v>
      </c>
      <c r="J609" s="123"/>
    </row>
    <row r="610" spans="1:10" s="119" customFormat="1" ht="17.25" x14ac:dyDescent="0.35">
      <c r="A610" s="238" t="s">
        <v>254</v>
      </c>
      <c r="B610" s="226" t="s">
        <v>254</v>
      </c>
      <c r="C610" s="226"/>
      <c r="D610" s="226" t="s">
        <v>44</v>
      </c>
      <c r="E610" s="226">
        <v>4</v>
      </c>
      <c r="F610" s="226"/>
      <c r="G610" s="226"/>
      <c r="H610" s="227"/>
      <c r="I610" s="82" t="s">
        <v>1036</v>
      </c>
      <c r="J610" s="123"/>
    </row>
    <row r="611" spans="1:10" s="119" customFormat="1" ht="17.25" x14ac:dyDescent="0.35">
      <c r="A611" s="238" t="s">
        <v>254</v>
      </c>
      <c r="B611" s="226" t="s">
        <v>254</v>
      </c>
      <c r="C611" s="226"/>
      <c r="D611" s="226" t="s">
        <v>44</v>
      </c>
      <c r="E611" s="226">
        <v>4</v>
      </c>
      <c r="F611" s="226">
        <v>0</v>
      </c>
      <c r="G611" s="226"/>
      <c r="H611" s="227"/>
      <c r="I611" s="82" t="s">
        <v>1037</v>
      </c>
      <c r="J611" s="123"/>
    </row>
    <row r="612" spans="1:10" s="119" customFormat="1" ht="17.25" x14ac:dyDescent="0.35">
      <c r="A612" s="238" t="s">
        <v>254</v>
      </c>
      <c r="B612" s="226" t="s">
        <v>254</v>
      </c>
      <c r="C612" s="226"/>
      <c r="D612" s="226" t="s">
        <v>44</v>
      </c>
      <c r="E612" s="226">
        <v>4</v>
      </c>
      <c r="F612" s="226">
        <v>30</v>
      </c>
      <c r="G612" s="226"/>
      <c r="H612" s="227"/>
      <c r="I612" s="82" t="s">
        <v>1038</v>
      </c>
      <c r="J612" s="123"/>
    </row>
    <row r="613" spans="1:10" s="119" customFormat="1" ht="17.25" x14ac:dyDescent="0.35">
      <c r="A613" s="238" t="s">
        <v>254</v>
      </c>
      <c r="B613" s="226" t="s">
        <v>254</v>
      </c>
      <c r="C613" s="226"/>
      <c r="D613" s="226" t="s">
        <v>44</v>
      </c>
      <c r="E613" s="226">
        <v>4</v>
      </c>
      <c r="F613" s="226">
        <v>30</v>
      </c>
      <c r="G613" s="226"/>
      <c r="H613" s="227"/>
      <c r="I613" s="82" t="s">
        <v>1039</v>
      </c>
      <c r="J613" s="123"/>
    </row>
    <row r="614" spans="1:10" s="119" customFormat="1" ht="34.5" x14ac:dyDescent="0.35">
      <c r="A614" s="238" t="s">
        <v>254</v>
      </c>
      <c r="B614" s="226" t="s">
        <v>254</v>
      </c>
      <c r="C614" s="226"/>
      <c r="D614" s="226" t="s">
        <v>44</v>
      </c>
      <c r="E614" s="226">
        <v>1</v>
      </c>
      <c r="F614" s="226">
        <v>1</v>
      </c>
      <c r="G614" s="226"/>
      <c r="H614" s="227"/>
      <c r="I614" s="82" t="s">
        <v>1040</v>
      </c>
      <c r="J614" s="123"/>
    </row>
    <row r="615" spans="1:10" s="123" customFormat="1" ht="17.25" x14ac:dyDescent="0.35">
      <c r="A615" s="238" t="s">
        <v>254</v>
      </c>
      <c r="B615" s="226" t="s">
        <v>254</v>
      </c>
      <c r="C615" s="226"/>
      <c r="D615" s="226" t="s">
        <v>44</v>
      </c>
      <c r="E615" s="226">
        <v>4</v>
      </c>
      <c r="F615" s="226">
        <v>0</v>
      </c>
      <c r="G615" s="226"/>
      <c r="H615" s="227"/>
      <c r="I615" s="82" t="s">
        <v>1041</v>
      </c>
    </row>
    <row r="616" spans="1:10" s="123" customFormat="1" ht="17.25" x14ac:dyDescent="0.35">
      <c r="A616" s="238" t="s">
        <v>254</v>
      </c>
      <c r="B616" s="226" t="s">
        <v>254</v>
      </c>
      <c r="C616" s="226"/>
      <c r="D616" s="226" t="s">
        <v>44</v>
      </c>
      <c r="E616" s="226">
        <v>4</v>
      </c>
      <c r="F616" s="226">
        <v>0</v>
      </c>
      <c r="G616" s="226"/>
      <c r="H616" s="227"/>
      <c r="I616" s="82" t="s">
        <v>1042</v>
      </c>
    </row>
    <row r="617" spans="1:10" s="123" customFormat="1" ht="17.25" x14ac:dyDescent="0.35">
      <c r="A617" s="238" t="s">
        <v>254</v>
      </c>
      <c r="B617" s="226" t="s">
        <v>254</v>
      </c>
      <c r="C617" s="226"/>
      <c r="D617" s="226" t="s">
        <v>44</v>
      </c>
      <c r="E617" s="226">
        <v>4</v>
      </c>
      <c r="F617" s="226">
        <v>1206000</v>
      </c>
      <c r="G617" s="226"/>
      <c r="H617" s="227"/>
      <c r="I617" s="82" t="s">
        <v>1043</v>
      </c>
    </row>
    <row r="618" spans="1:10" s="123" customFormat="1" ht="17.25" x14ac:dyDescent="0.35">
      <c r="A618" s="238" t="s">
        <v>254</v>
      </c>
      <c r="B618" s="226" t="s">
        <v>254</v>
      </c>
      <c r="C618" s="226"/>
      <c r="D618" s="226" t="s">
        <v>44</v>
      </c>
      <c r="E618" s="226">
        <v>4</v>
      </c>
      <c r="F618" s="226">
        <v>100</v>
      </c>
      <c r="G618" s="226"/>
      <c r="H618" s="227"/>
      <c r="I618" s="82" t="s">
        <v>1044</v>
      </c>
    </row>
    <row r="619" spans="1:10" s="123" customFormat="1" ht="17.25" x14ac:dyDescent="0.35">
      <c r="A619" s="238" t="s">
        <v>254</v>
      </c>
      <c r="B619" s="226" t="s">
        <v>254</v>
      </c>
      <c r="C619" s="226"/>
      <c r="D619" s="226" t="s">
        <v>44</v>
      </c>
      <c r="E619" s="226">
        <v>1</v>
      </c>
      <c r="F619" s="226">
        <v>1</v>
      </c>
      <c r="G619" s="226"/>
      <c r="H619" s="227"/>
      <c r="I619" s="82" t="s">
        <v>1045</v>
      </c>
    </row>
    <row r="620" spans="1:10" s="123" customFormat="1" ht="17.25" x14ac:dyDescent="0.35">
      <c r="A620" s="238" t="s">
        <v>254</v>
      </c>
      <c r="B620" s="226" t="s">
        <v>254</v>
      </c>
      <c r="C620" s="226"/>
      <c r="D620" s="226" t="s">
        <v>45</v>
      </c>
      <c r="E620" s="226">
        <v>128</v>
      </c>
      <c r="F620" s="226"/>
      <c r="G620" s="226"/>
      <c r="H620" s="227"/>
      <c r="I620" s="82" t="s">
        <v>1046</v>
      </c>
    </row>
    <row r="621" spans="1:10" s="123" customFormat="1" ht="17.25" x14ac:dyDescent="0.35">
      <c r="A621" s="238" t="s">
        <v>254</v>
      </c>
      <c r="B621" s="226" t="s">
        <v>254</v>
      </c>
      <c r="C621" s="226"/>
      <c r="D621" s="226" t="s">
        <v>44</v>
      </c>
      <c r="E621" s="226">
        <v>4</v>
      </c>
      <c r="F621" s="226">
        <v>0</v>
      </c>
      <c r="G621" s="226"/>
      <c r="H621" s="227"/>
      <c r="I621" s="82" t="s">
        <v>1047</v>
      </c>
    </row>
    <row r="622" spans="1:10" s="123" customFormat="1" ht="17.25" x14ac:dyDescent="0.35">
      <c r="A622" s="238" t="s">
        <v>254</v>
      </c>
      <c r="B622" s="226" t="s">
        <v>254</v>
      </c>
      <c r="C622" s="226"/>
      <c r="D622" s="226" t="s">
        <v>44</v>
      </c>
      <c r="E622" s="226">
        <v>4</v>
      </c>
      <c r="F622" s="226">
        <v>0</v>
      </c>
      <c r="G622" s="226"/>
      <c r="H622" s="227"/>
      <c r="I622" s="82" t="s">
        <v>1048</v>
      </c>
    </row>
    <row r="623" spans="1:10" s="123" customFormat="1" ht="17.25" x14ac:dyDescent="0.35">
      <c r="A623" s="238" t="s">
        <v>254</v>
      </c>
      <c r="B623" s="226" t="s">
        <v>254</v>
      </c>
      <c r="C623" s="226"/>
      <c r="D623" s="226" t="s">
        <v>44</v>
      </c>
      <c r="E623" s="226">
        <v>1</v>
      </c>
      <c r="F623" s="226">
        <v>1</v>
      </c>
      <c r="G623" s="226"/>
      <c r="H623" s="227"/>
      <c r="I623" s="82" t="s">
        <v>1049</v>
      </c>
    </row>
    <row r="624" spans="1:10" s="180" customFormat="1" ht="17.25" customHeight="1" x14ac:dyDescent="0.35">
      <c r="A624" s="238" t="s">
        <v>254</v>
      </c>
      <c r="B624" s="226" t="s">
        <v>254</v>
      </c>
      <c r="C624" s="226"/>
      <c r="D624" s="226" t="s">
        <v>44</v>
      </c>
      <c r="E624" s="226">
        <v>1</v>
      </c>
      <c r="F624" s="226">
        <v>30</v>
      </c>
      <c r="G624" s="226"/>
      <c r="H624" s="227"/>
      <c r="I624" s="82" t="s">
        <v>1050</v>
      </c>
    </row>
    <row r="625" spans="1:9" s="180" customFormat="1" ht="17.25" customHeight="1" x14ac:dyDescent="0.35">
      <c r="A625" s="225" t="s">
        <v>1051</v>
      </c>
      <c r="B625" s="226" t="s">
        <v>1052</v>
      </c>
      <c r="C625" s="226" t="s">
        <v>67</v>
      </c>
      <c r="D625" s="226"/>
      <c r="E625" s="226"/>
      <c r="F625" s="226"/>
      <c r="G625" s="226" t="s">
        <v>1180</v>
      </c>
      <c r="H625" s="227"/>
      <c r="I625" s="78">
        <v>67280</v>
      </c>
    </row>
    <row r="626" spans="1:9" s="180" customFormat="1" ht="17.25" customHeight="1" x14ac:dyDescent="0.35">
      <c r="A626" s="225" t="s">
        <v>254</v>
      </c>
      <c r="B626" s="226" t="s">
        <v>254</v>
      </c>
      <c r="C626" s="226"/>
      <c r="D626" s="226" t="s">
        <v>44</v>
      </c>
      <c r="E626" s="226">
        <v>4</v>
      </c>
      <c r="F626" s="226">
        <v>45000</v>
      </c>
      <c r="G626" s="226"/>
      <c r="H626" s="227"/>
      <c r="I626" s="78"/>
    </row>
    <row r="627" spans="1:9" s="180" customFormat="1" ht="17.25" customHeight="1" x14ac:dyDescent="0.35">
      <c r="A627" s="225" t="s">
        <v>1053</v>
      </c>
      <c r="B627" s="226" t="s">
        <v>1054</v>
      </c>
      <c r="C627" s="226" t="s">
        <v>67</v>
      </c>
      <c r="D627" s="226"/>
      <c r="E627" s="226"/>
      <c r="F627" s="226"/>
      <c r="G627" s="226" t="s">
        <v>1180</v>
      </c>
      <c r="H627" s="227"/>
      <c r="I627" s="78">
        <v>67281</v>
      </c>
    </row>
    <row r="628" spans="1:9" s="180" customFormat="1" ht="17.25" customHeight="1" x14ac:dyDescent="0.35">
      <c r="A628" s="225" t="s">
        <v>254</v>
      </c>
      <c r="B628" s="226" t="s">
        <v>254</v>
      </c>
      <c r="C628" s="226"/>
      <c r="D628" s="226" t="s">
        <v>44</v>
      </c>
      <c r="E628" s="226">
        <v>4</v>
      </c>
      <c r="F628" s="226">
        <v>180000</v>
      </c>
      <c r="G628" s="226"/>
      <c r="H628" s="227"/>
      <c r="I628" s="78"/>
    </row>
    <row r="629" spans="1:9" s="180" customFormat="1" ht="17.25" customHeight="1" x14ac:dyDescent="0.35">
      <c r="A629" s="225" t="s">
        <v>1055</v>
      </c>
      <c r="B629" s="226" t="s">
        <v>1056</v>
      </c>
      <c r="C629" s="226" t="s">
        <v>67</v>
      </c>
      <c r="D629" s="226"/>
      <c r="E629" s="226"/>
      <c r="F629" s="226"/>
      <c r="G629" s="226" t="s">
        <v>1180</v>
      </c>
      <c r="H629" s="227"/>
      <c r="I629" s="78">
        <v>67282</v>
      </c>
    </row>
    <row r="630" spans="1:9" s="180" customFormat="1" ht="17.25" customHeight="1" x14ac:dyDescent="0.35">
      <c r="A630" s="225" t="s">
        <v>254</v>
      </c>
      <c r="B630" s="226" t="s">
        <v>254</v>
      </c>
      <c r="C630" s="226"/>
      <c r="D630" s="226" t="s">
        <v>44</v>
      </c>
      <c r="E630" s="226">
        <v>4</v>
      </c>
      <c r="F630" s="226">
        <v>20</v>
      </c>
      <c r="G630" s="226"/>
      <c r="H630" s="227"/>
      <c r="I630" s="78"/>
    </row>
    <row r="631" spans="1:9" s="180" customFormat="1" ht="17.25" customHeight="1" x14ac:dyDescent="0.35">
      <c r="A631" s="225" t="s">
        <v>1057</v>
      </c>
      <c r="B631" s="226" t="s">
        <v>1058</v>
      </c>
      <c r="C631" s="226" t="s">
        <v>67</v>
      </c>
      <c r="D631" s="226"/>
      <c r="E631" s="226"/>
      <c r="F631" s="226"/>
      <c r="G631" s="226" t="s">
        <v>1180</v>
      </c>
      <c r="H631" s="227"/>
      <c r="I631" s="78" t="s">
        <v>1059</v>
      </c>
    </row>
    <row r="632" spans="1:9" s="180" customFormat="1" ht="17.25" customHeight="1" x14ac:dyDescent="0.35">
      <c r="A632" s="225" t="s">
        <v>254</v>
      </c>
      <c r="B632" s="226" t="s">
        <v>254</v>
      </c>
      <c r="C632" s="226"/>
      <c r="D632" s="226" t="s">
        <v>45</v>
      </c>
      <c r="E632" s="226">
        <v>128</v>
      </c>
      <c r="F632" s="226"/>
      <c r="G632" s="226"/>
      <c r="H632" s="227"/>
      <c r="I632" s="78" t="s">
        <v>1060</v>
      </c>
    </row>
    <row r="633" spans="1:9" s="180" customFormat="1" ht="17.25" customHeight="1" x14ac:dyDescent="0.35">
      <c r="A633" s="225" t="s">
        <v>254</v>
      </c>
      <c r="B633" s="226" t="s">
        <v>254</v>
      </c>
      <c r="C633" s="226"/>
      <c r="D633" s="226" t="s">
        <v>45</v>
      </c>
      <c r="E633" s="226">
        <v>128</v>
      </c>
      <c r="F633" s="226"/>
      <c r="G633" s="226"/>
      <c r="H633" s="227"/>
      <c r="I633" s="78" t="s">
        <v>1061</v>
      </c>
    </row>
    <row r="634" spans="1:9" s="180" customFormat="1" ht="17.25" customHeight="1" x14ac:dyDescent="0.35">
      <c r="A634" s="225" t="s">
        <v>254</v>
      </c>
      <c r="B634" s="226" t="s">
        <v>254</v>
      </c>
      <c r="C634" s="226"/>
      <c r="D634" s="226" t="s">
        <v>45</v>
      </c>
      <c r="E634" s="226">
        <v>128</v>
      </c>
      <c r="F634" s="226"/>
      <c r="G634" s="226"/>
      <c r="H634" s="227"/>
      <c r="I634" s="78" t="s">
        <v>1062</v>
      </c>
    </row>
    <row r="635" spans="1:9" s="180" customFormat="1" ht="17.25" customHeight="1" x14ac:dyDescent="0.35">
      <c r="A635" s="225" t="s">
        <v>254</v>
      </c>
      <c r="B635" s="226" t="s">
        <v>254</v>
      </c>
      <c r="C635" s="226"/>
      <c r="D635" s="226" t="s">
        <v>45</v>
      </c>
      <c r="E635" s="226">
        <v>128</v>
      </c>
      <c r="F635" s="226"/>
      <c r="G635" s="226"/>
      <c r="H635" s="227"/>
      <c r="I635" s="78" t="s">
        <v>1063</v>
      </c>
    </row>
    <row r="636" spans="1:9" s="180" customFormat="1" ht="17.25" customHeight="1" x14ac:dyDescent="0.35">
      <c r="A636" s="225" t="s">
        <v>254</v>
      </c>
      <c r="B636" s="226" t="s">
        <v>254</v>
      </c>
      <c r="C636" s="226"/>
      <c r="D636" s="226" t="s">
        <v>45</v>
      </c>
      <c r="E636" s="226">
        <v>256</v>
      </c>
      <c r="F636" s="226"/>
      <c r="G636" s="226"/>
      <c r="H636" s="227"/>
      <c r="I636" s="78" t="s">
        <v>1064</v>
      </c>
    </row>
    <row r="637" spans="1:9" s="180" customFormat="1" ht="17.25" customHeight="1" x14ac:dyDescent="0.35">
      <c r="A637" s="225" t="s">
        <v>254</v>
      </c>
      <c r="B637" s="226" t="s">
        <v>254</v>
      </c>
      <c r="C637" s="226"/>
      <c r="D637" s="226" t="s">
        <v>45</v>
      </c>
      <c r="E637" s="226">
        <v>32</v>
      </c>
      <c r="F637" s="226"/>
      <c r="G637" s="226"/>
      <c r="H637" s="227"/>
      <c r="I637" s="78" t="s">
        <v>1065</v>
      </c>
    </row>
    <row r="638" spans="1:9" s="180" customFormat="1" ht="17.25" customHeight="1" x14ac:dyDescent="0.35">
      <c r="A638" s="225" t="s">
        <v>254</v>
      </c>
      <c r="B638" s="226" t="s">
        <v>254</v>
      </c>
      <c r="C638" s="226"/>
      <c r="D638" s="226" t="s">
        <v>44</v>
      </c>
      <c r="E638" s="226">
        <v>1</v>
      </c>
      <c r="F638" s="226">
        <v>0</v>
      </c>
      <c r="G638" s="226"/>
      <c r="H638" s="227"/>
      <c r="I638" s="78" t="s">
        <v>1066</v>
      </c>
    </row>
    <row r="639" spans="1:9" s="180" customFormat="1" ht="17.25" customHeight="1" x14ac:dyDescent="0.35">
      <c r="A639" s="225" t="s">
        <v>254</v>
      </c>
      <c r="B639" s="226" t="s">
        <v>254</v>
      </c>
      <c r="C639" s="226"/>
      <c r="D639" s="226" t="s">
        <v>45</v>
      </c>
      <c r="E639" s="226">
        <v>32</v>
      </c>
      <c r="F639" s="226"/>
      <c r="G639" s="226"/>
      <c r="H639" s="227"/>
      <c r="I639" s="78" t="s">
        <v>1067</v>
      </c>
    </row>
    <row r="640" spans="1:9" s="180" customFormat="1" ht="17.25" customHeight="1" x14ac:dyDescent="0.35">
      <c r="A640" s="225" t="s">
        <v>1074</v>
      </c>
      <c r="B640" s="226" t="s">
        <v>1075</v>
      </c>
      <c r="C640" s="226" t="s">
        <v>67</v>
      </c>
      <c r="D640" s="226"/>
      <c r="E640" s="226"/>
      <c r="F640" s="226"/>
      <c r="G640" s="226" t="s">
        <v>1180</v>
      </c>
      <c r="H640" s="227"/>
      <c r="I640" s="78">
        <v>70235</v>
      </c>
    </row>
    <row r="641" spans="1:9" s="180" customFormat="1" ht="17.25" customHeight="1" x14ac:dyDescent="0.35">
      <c r="A641" s="244"/>
      <c r="B641" s="136"/>
      <c r="C641" s="136"/>
      <c r="D641" s="136" t="s">
        <v>44</v>
      </c>
      <c r="E641" s="136">
        <v>1</v>
      </c>
      <c r="F641" s="136">
        <v>5</v>
      </c>
      <c r="G641" s="136"/>
      <c r="H641" s="133"/>
      <c r="I641" s="114" t="s">
        <v>262</v>
      </c>
    </row>
    <row r="642" spans="1:9" s="180" customFormat="1" ht="17.25" customHeight="1" x14ac:dyDescent="0.35">
      <c r="A642" s="244"/>
      <c r="B642" s="136"/>
      <c r="C642" s="136"/>
      <c r="D642" s="136" t="s">
        <v>44</v>
      </c>
      <c r="E642" s="136">
        <v>2</v>
      </c>
      <c r="F642" s="136">
        <v>60</v>
      </c>
      <c r="G642" s="136"/>
      <c r="H642" s="133"/>
      <c r="I642" s="114" t="s">
        <v>1199</v>
      </c>
    </row>
    <row r="643" spans="1:9" s="180" customFormat="1" ht="17.25" customHeight="1" x14ac:dyDescent="0.35">
      <c r="A643" s="244"/>
      <c r="B643" s="136"/>
      <c r="C643" s="136"/>
      <c r="D643" s="136" t="s">
        <v>44</v>
      </c>
      <c r="E643" s="136">
        <v>2</v>
      </c>
      <c r="F643" s="136">
        <v>0</v>
      </c>
      <c r="G643" s="136"/>
      <c r="H643" s="133"/>
      <c r="I643" s="114" t="s">
        <v>1200</v>
      </c>
    </row>
    <row r="644" spans="1:9" s="180" customFormat="1" ht="17.25" customHeight="1" x14ac:dyDescent="0.35">
      <c r="A644" s="244"/>
      <c r="B644" s="136"/>
      <c r="C644" s="136"/>
      <c r="D644" s="136" t="s">
        <v>44</v>
      </c>
      <c r="E644" s="136">
        <v>2</v>
      </c>
      <c r="F644" s="136">
        <v>0</v>
      </c>
      <c r="G644" s="136"/>
      <c r="H644" s="133"/>
      <c r="I644" s="114" t="s">
        <v>1201</v>
      </c>
    </row>
    <row r="645" spans="1:9" s="180" customFormat="1" ht="17.25" customHeight="1" x14ac:dyDescent="0.35">
      <c r="A645" s="244"/>
      <c r="B645" s="136"/>
      <c r="C645" s="136"/>
      <c r="D645" s="136" t="s">
        <v>44</v>
      </c>
      <c r="E645" s="136">
        <v>1</v>
      </c>
      <c r="F645" s="136">
        <v>0</v>
      </c>
      <c r="G645" s="136"/>
      <c r="H645" s="133"/>
      <c r="I645" s="114" t="s">
        <v>1202</v>
      </c>
    </row>
    <row r="646" spans="1:9" s="180" customFormat="1" ht="17.25" customHeight="1" x14ac:dyDescent="0.35">
      <c r="A646" s="244"/>
      <c r="B646" s="136"/>
      <c r="C646" s="136"/>
      <c r="D646" s="136" t="s">
        <v>44</v>
      </c>
      <c r="E646" s="136">
        <v>2</v>
      </c>
      <c r="F646" s="136">
        <v>0</v>
      </c>
      <c r="G646" s="136"/>
      <c r="H646" s="133"/>
      <c r="I646" s="114" t="s">
        <v>1203</v>
      </c>
    </row>
    <row r="647" spans="1:9" s="180" customFormat="1" ht="17.25" customHeight="1" x14ac:dyDescent="0.35">
      <c r="A647" s="244"/>
      <c r="B647" s="136"/>
      <c r="C647" s="136"/>
      <c r="D647" s="136" t="s">
        <v>44</v>
      </c>
      <c r="E647" s="136">
        <v>2</v>
      </c>
      <c r="F647" s="136">
        <v>0</v>
      </c>
      <c r="G647" s="136"/>
      <c r="H647" s="133"/>
      <c r="I647" s="114" t="s">
        <v>1204</v>
      </c>
    </row>
    <row r="648" spans="1:9" s="180" customFormat="1" ht="17.25" customHeight="1" x14ac:dyDescent="0.35">
      <c r="A648" s="244"/>
      <c r="B648" s="136"/>
      <c r="C648" s="136"/>
      <c r="D648" s="136" t="s">
        <v>44</v>
      </c>
      <c r="E648" s="136">
        <v>1</v>
      </c>
      <c r="F648" s="136">
        <v>2</v>
      </c>
      <c r="G648" s="136"/>
      <c r="H648" s="133"/>
      <c r="I648" s="114" t="s">
        <v>1205</v>
      </c>
    </row>
    <row r="649" spans="1:9" s="180" customFormat="1" ht="17.25" customHeight="1" x14ac:dyDescent="0.35">
      <c r="A649" s="244"/>
      <c r="B649" s="136"/>
      <c r="C649" s="136"/>
      <c r="D649" s="136" t="s">
        <v>45</v>
      </c>
      <c r="E649" s="136">
        <v>1011</v>
      </c>
      <c r="F649" s="136">
        <v>0</v>
      </c>
      <c r="G649" s="136"/>
      <c r="H649" s="133"/>
      <c r="I649" s="114" t="s">
        <v>1206</v>
      </c>
    </row>
    <row r="650" spans="1:9" s="178" customFormat="1" ht="17.25" customHeight="1" x14ac:dyDescent="0.35">
      <c r="A650" s="239" t="s">
        <v>976</v>
      </c>
      <c r="B650" s="226" t="s">
        <v>977</v>
      </c>
      <c r="C650" s="226" t="s">
        <v>67</v>
      </c>
      <c r="D650" s="226"/>
      <c r="E650" s="226"/>
      <c r="F650" s="226"/>
      <c r="G650" s="226" t="s">
        <v>1180</v>
      </c>
      <c r="H650" s="227"/>
      <c r="I650" s="83">
        <v>67348</v>
      </c>
    </row>
    <row r="651" spans="1:9" s="180" customFormat="1" ht="15.75" customHeight="1" x14ac:dyDescent="0.35">
      <c r="A651" s="239"/>
      <c r="B651" s="226"/>
      <c r="C651" s="226"/>
      <c r="D651" s="226" t="s">
        <v>44</v>
      </c>
      <c r="E651" s="226">
        <v>1</v>
      </c>
      <c r="F651" s="226">
        <v>25</v>
      </c>
      <c r="G651" s="226"/>
      <c r="H651" s="227"/>
      <c r="I651" s="187" t="s">
        <v>262</v>
      </c>
    </row>
    <row r="652" spans="1:9" s="180" customFormat="1" ht="18.75" customHeight="1" x14ac:dyDescent="0.35">
      <c r="A652" s="239"/>
      <c r="B652" s="226"/>
      <c r="C652" s="226"/>
      <c r="D652" s="226" t="s">
        <v>44</v>
      </c>
      <c r="E652" s="226">
        <v>1</v>
      </c>
      <c r="F652" s="226">
        <v>1</v>
      </c>
      <c r="G652" s="226"/>
      <c r="H652" s="227"/>
      <c r="I652" s="187" t="s">
        <v>978</v>
      </c>
    </row>
    <row r="653" spans="1:9" s="180" customFormat="1" ht="17.25" customHeight="1" x14ac:dyDescent="0.35">
      <c r="A653" s="239"/>
      <c r="B653" s="226"/>
      <c r="C653" s="226"/>
      <c r="D653" s="226" t="s">
        <v>44</v>
      </c>
      <c r="E653" s="226">
        <v>4</v>
      </c>
      <c r="F653" s="226">
        <v>0</v>
      </c>
      <c r="G653" s="226"/>
      <c r="H653" s="227"/>
      <c r="I653" s="187" t="s">
        <v>979</v>
      </c>
    </row>
    <row r="654" spans="1:9" s="180" customFormat="1" ht="17.25" customHeight="1" x14ac:dyDescent="0.35">
      <c r="A654" s="239"/>
      <c r="B654" s="226"/>
      <c r="C654" s="226"/>
      <c r="D654" s="226" t="s">
        <v>44</v>
      </c>
      <c r="E654" s="226">
        <v>1</v>
      </c>
      <c r="F654" s="226">
        <v>0</v>
      </c>
      <c r="G654" s="226"/>
      <c r="H654" s="227"/>
      <c r="I654" s="187" t="s">
        <v>980</v>
      </c>
    </row>
    <row r="655" spans="1:9" s="180" customFormat="1" ht="17.25" customHeight="1" x14ac:dyDescent="0.35">
      <c r="A655" s="239"/>
      <c r="B655" s="226"/>
      <c r="C655" s="226"/>
      <c r="D655" s="226" t="s">
        <v>44</v>
      </c>
      <c r="E655" s="226">
        <v>1</v>
      </c>
      <c r="F655" s="226">
        <v>0</v>
      </c>
      <c r="G655" s="226"/>
      <c r="H655" s="227"/>
      <c r="I655" s="187" t="s">
        <v>981</v>
      </c>
    </row>
    <row r="656" spans="1:9" s="180" customFormat="1" ht="17.25" customHeight="1" x14ac:dyDescent="0.35">
      <c r="A656" s="239"/>
      <c r="B656" s="226"/>
      <c r="C656" s="226"/>
      <c r="D656" s="226" t="s">
        <v>44</v>
      </c>
      <c r="E656" s="226">
        <v>1</v>
      </c>
      <c r="F656" s="226">
        <v>0</v>
      </c>
      <c r="G656" s="226"/>
      <c r="H656" s="227"/>
      <c r="I656" s="187" t="s">
        <v>982</v>
      </c>
    </row>
    <row r="657" spans="1:9" s="180" customFormat="1" ht="17.25" customHeight="1" x14ac:dyDescent="0.35">
      <c r="A657" s="239"/>
      <c r="B657" s="226"/>
      <c r="C657" s="226"/>
      <c r="D657" s="226" t="s">
        <v>44</v>
      </c>
      <c r="E657" s="226">
        <v>1</v>
      </c>
      <c r="F657" s="226">
        <v>0</v>
      </c>
      <c r="G657" s="226"/>
      <c r="H657" s="227"/>
      <c r="I657" s="187" t="s">
        <v>983</v>
      </c>
    </row>
    <row r="658" spans="1:9" s="180" customFormat="1" ht="17.25" customHeight="1" x14ac:dyDescent="0.35">
      <c r="A658" s="239"/>
      <c r="B658" s="226"/>
      <c r="C658" s="226"/>
      <c r="D658" s="226" t="s">
        <v>45</v>
      </c>
      <c r="E658" s="226">
        <v>16</v>
      </c>
      <c r="F658" s="226"/>
      <c r="G658" s="226"/>
      <c r="H658" s="227"/>
      <c r="I658" s="187" t="s">
        <v>984</v>
      </c>
    </row>
    <row r="659" spans="1:9" s="180" customFormat="1" ht="17.25" customHeight="1" x14ac:dyDescent="0.35">
      <c r="A659" s="239"/>
      <c r="B659" s="226"/>
      <c r="C659" s="226"/>
      <c r="D659" s="226" t="s">
        <v>44</v>
      </c>
      <c r="E659" s="226">
        <v>1</v>
      </c>
      <c r="F659" s="226">
        <v>1</v>
      </c>
      <c r="G659" s="226"/>
      <c r="H659" s="227"/>
      <c r="I659" s="187" t="s">
        <v>985</v>
      </c>
    </row>
    <row r="660" spans="1:9" s="180" customFormat="1" ht="17.25" customHeight="1" x14ac:dyDescent="0.35">
      <c r="A660" s="239"/>
      <c r="B660" s="226"/>
      <c r="C660" s="226"/>
      <c r="D660" s="226" t="s">
        <v>44</v>
      </c>
      <c r="E660" s="226">
        <v>1</v>
      </c>
      <c r="F660" s="226">
        <v>0</v>
      </c>
      <c r="G660" s="226"/>
      <c r="H660" s="227"/>
      <c r="I660" s="187" t="s">
        <v>986</v>
      </c>
    </row>
    <row r="661" spans="1:9" s="180" customFormat="1" ht="17.25" customHeight="1" x14ac:dyDescent="0.35">
      <c r="A661" s="239"/>
      <c r="B661" s="226"/>
      <c r="C661" s="226"/>
      <c r="D661" s="226" t="s">
        <v>44</v>
      </c>
      <c r="E661" s="226">
        <v>1</v>
      </c>
      <c r="F661" s="226">
        <v>0</v>
      </c>
      <c r="G661" s="226"/>
      <c r="H661" s="227"/>
      <c r="I661" s="187" t="s">
        <v>987</v>
      </c>
    </row>
    <row r="662" spans="1:9" s="180" customFormat="1" ht="17.25" customHeight="1" x14ac:dyDescent="0.35">
      <c r="A662" s="239"/>
      <c r="B662" s="226"/>
      <c r="C662" s="226"/>
      <c r="D662" s="226" t="s">
        <v>44</v>
      </c>
      <c r="E662" s="226">
        <v>1</v>
      </c>
      <c r="F662" s="226"/>
      <c r="G662" s="226"/>
      <c r="H662" s="227"/>
      <c r="I662" s="187" t="s">
        <v>988</v>
      </c>
    </row>
    <row r="663" spans="1:9" s="180" customFormat="1" ht="17.25" customHeight="1" x14ac:dyDescent="0.35">
      <c r="A663" s="239"/>
      <c r="B663" s="226"/>
      <c r="C663" s="226"/>
      <c r="D663" s="226" t="s">
        <v>44</v>
      </c>
      <c r="E663" s="226">
        <v>1</v>
      </c>
      <c r="F663" s="226">
        <v>3</v>
      </c>
      <c r="G663" s="226"/>
      <c r="H663" s="227"/>
      <c r="I663" s="187" t="s">
        <v>989</v>
      </c>
    </row>
    <row r="664" spans="1:9" s="180" customFormat="1" ht="17.25" customHeight="1" x14ac:dyDescent="0.35">
      <c r="A664" s="239"/>
      <c r="B664" s="226"/>
      <c r="C664" s="226"/>
      <c r="D664" s="226" t="s">
        <v>44</v>
      </c>
      <c r="E664" s="226">
        <v>1</v>
      </c>
      <c r="F664" s="226">
        <v>1</v>
      </c>
      <c r="G664" s="226"/>
      <c r="H664" s="227"/>
      <c r="I664" s="187" t="s">
        <v>990</v>
      </c>
    </row>
    <row r="665" spans="1:9" s="180" customFormat="1" ht="17.25" customHeight="1" x14ac:dyDescent="0.35">
      <c r="A665" s="239"/>
      <c r="B665" s="226"/>
      <c r="C665" s="226"/>
      <c r="D665" s="226" t="s">
        <v>44</v>
      </c>
      <c r="E665" s="226">
        <v>1</v>
      </c>
      <c r="F665" s="226">
        <v>1</v>
      </c>
      <c r="G665" s="226"/>
      <c r="H665" s="227"/>
      <c r="I665" s="187" t="s">
        <v>991</v>
      </c>
    </row>
    <row r="666" spans="1:9" s="180" customFormat="1" ht="17.25" customHeight="1" x14ac:dyDescent="0.35">
      <c r="A666" s="239"/>
      <c r="B666" s="226"/>
      <c r="C666" s="226"/>
      <c r="D666" s="226" t="s">
        <v>44</v>
      </c>
      <c r="E666" s="226">
        <v>1</v>
      </c>
      <c r="F666" s="226">
        <v>0</v>
      </c>
      <c r="G666" s="226"/>
      <c r="H666" s="227"/>
      <c r="I666" s="187" t="s">
        <v>992</v>
      </c>
    </row>
    <row r="667" spans="1:9" s="180" customFormat="1" ht="17.25" customHeight="1" x14ac:dyDescent="0.35">
      <c r="A667" s="239"/>
      <c r="B667" s="226"/>
      <c r="C667" s="226"/>
      <c r="D667" s="226" t="s">
        <v>44</v>
      </c>
      <c r="E667" s="226">
        <v>1</v>
      </c>
      <c r="F667" s="226">
        <v>1</v>
      </c>
      <c r="G667" s="226"/>
      <c r="H667" s="227"/>
      <c r="I667" s="187" t="s">
        <v>993</v>
      </c>
    </row>
    <row r="668" spans="1:9" s="180" customFormat="1" ht="17.25" customHeight="1" x14ac:dyDescent="0.35">
      <c r="A668" s="239"/>
      <c r="B668" s="226"/>
      <c r="C668" s="226"/>
      <c r="D668" s="226" t="s">
        <v>45</v>
      </c>
      <c r="E668" s="226">
        <v>128</v>
      </c>
      <c r="F668" s="226"/>
      <c r="G668" s="226"/>
      <c r="H668" s="227"/>
      <c r="I668" s="187" t="s">
        <v>994</v>
      </c>
    </row>
    <row r="669" spans="1:9" s="180" customFormat="1" ht="17.25" customHeight="1" x14ac:dyDescent="0.35">
      <c r="A669" s="239"/>
      <c r="B669" s="226"/>
      <c r="C669" s="226"/>
      <c r="D669" s="226" t="s">
        <v>45</v>
      </c>
      <c r="E669" s="226">
        <v>128</v>
      </c>
      <c r="F669" s="226" t="s">
        <v>995</v>
      </c>
      <c r="G669" s="226"/>
      <c r="H669" s="227"/>
      <c r="I669" s="187" t="s">
        <v>996</v>
      </c>
    </row>
    <row r="670" spans="1:9" s="180" customFormat="1" ht="17.25" customHeight="1" x14ac:dyDescent="0.35">
      <c r="A670" s="239"/>
      <c r="B670" s="226"/>
      <c r="C670" s="226"/>
      <c r="D670" s="226" t="s">
        <v>44</v>
      </c>
      <c r="E670" s="226">
        <v>1</v>
      </c>
      <c r="F670" s="226"/>
      <c r="G670" s="226"/>
      <c r="H670" s="227"/>
      <c r="I670" s="187" t="s">
        <v>997</v>
      </c>
    </row>
    <row r="671" spans="1:9" s="180" customFormat="1" ht="17.25" customHeight="1" x14ac:dyDescent="0.35">
      <c r="A671" s="239"/>
      <c r="B671" s="226"/>
      <c r="C671" s="226"/>
      <c r="D671" s="226" t="s">
        <v>44</v>
      </c>
      <c r="E671" s="226">
        <v>1</v>
      </c>
      <c r="F671" s="226"/>
      <c r="G671" s="226"/>
      <c r="H671" s="227"/>
      <c r="I671" s="187" t="s">
        <v>998</v>
      </c>
    </row>
    <row r="672" spans="1:9" s="180" customFormat="1" ht="17.25" customHeight="1" x14ac:dyDescent="0.35">
      <c r="A672" s="239"/>
      <c r="B672" s="226"/>
      <c r="C672" s="226"/>
      <c r="D672" s="226" t="s">
        <v>44</v>
      </c>
      <c r="E672" s="226">
        <v>1</v>
      </c>
      <c r="F672" s="226"/>
      <c r="G672" s="226"/>
      <c r="H672" s="227"/>
      <c r="I672" s="187" t="s">
        <v>999</v>
      </c>
    </row>
    <row r="673" spans="1:10" s="180" customFormat="1" ht="17.25" customHeight="1" x14ac:dyDescent="0.35">
      <c r="A673" s="239"/>
      <c r="B673" s="226"/>
      <c r="C673" s="226"/>
      <c r="D673" s="226" t="s">
        <v>44</v>
      </c>
      <c r="E673" s="226">
        <v>1</v>
      </c>
      <c r="F673" s="226"/>
      <c r="G673" s="226"/>
      <c r="H673" s="227"/>
      <c r="I673" s="187" t="s">
        <v>1000</v>
      </c>
    </row>
    <row r="674" spans="1:10" s="180" customFormat="1" ht="17.25" customHeight="1" x14ac:dyDescent="0.35">
      <c r="A674" s="239"/>
      <c r="B674" s="226"/>
      <c r="C674" s="226"/>
      <c r="D674" s="226" t="s">
        <v>44</v>
      </c>
      <c r="E674" s="226">
        <v>1</v>
      </c>
      <c r="F674" s="226"/>
      <c r="G674" s="226"/>
      <c r="H674" s="227"/>
      <c r="I674" s="187" t="s">
        <v>1001</v>
      </c>
    </row>
    <row r="675" spans="1:10" s="180" customFormat="1" ht="17.25" customHeight="1" x14ac:dyDescent="0.35">
      <c r="A675" s="239"/>
      <c r="B675" s="226"/>
      <c r="C675" s="226"/>
      <c r="D675" s="226" t="s">
        <v>44</v>
      </c>
      <c r="E675" s="226">
        <v>1</v>
      </c>
      <c r="F675" s="226"/>
      <c r="G675" s="226"/>
      <c r="H675" s="227"/>
      <c r="I675" s="187" t="s">
        <v>1002</v>
      </c>
    </row>
    <row r="676" spans="1:10" s="180" customFormat="1" ht="17.25" customHeight="1" x14ac:dyDescent="0.35">
      <c r="A676" s="239"/>
      <c r="B676" s="226"/>
      <c r="C676" s="226"/>
      <c r="D676" s="226" t="s">
        <v>44</v>
      </c>
      <c r="E676" s="226">
        <v>4</v>
      </c>
      <c r="F676" s="226">
        <v>300000</v>
      </c>
      <c r="G676" s="226"/>
      <c r="H676" s="227"/>
      <c r="I676" s="187" t="s">
        <v>1003</v>
      </c>
    </row>
    <row r="677" spans="1:10" s="180" customFormat="1" ht="17.25" customHeight="1" x14ac:dyDescent="0.35">
      <c r="A677" s="239"/>
      <c r="B677" s="226"/>
      <c r="C677" s="226"/>
      <c r="D677" s="226" t="s">
        <v>44</v>
      </c>
      <c r="E677" s="226">
        <v>4</v>
      </c>
      <c r="F677" s="226">
        <v>12000</v>
      </c>
      <c r="G677" s="226"/>
      <c r="H677" s="227"/>
      <c r="I677" s="187" t="s">
        <v>1004</v>
      </c>
    </row>
    <row r="678" spans="1:10" s="180" customFormat="1" ht="17.25" customHeight="1" x14ac:dyDescent="0.35">
      <c r="A678" s="239"/>
      <c r="B678" s="226"/>
      <c r="C678" s="226"/>
      <c r="D678" s="226" t="s">
        <v>44</v>
      </c>
      <c r="E678" s="226">
        <v>1</v>
      </c>
      <c r="F678" s="226">
        <v>0</v>
      </c>
      <c r="G678" s="226"/>
      <c r="H678" s="227"/>
      <c r="I678" s="187" t="s">
        <v>1005</v>
      </c>
    </row>
    <row r="679" spans="1:10" s="180" customFormat="1" ht="17.25" customHeight="1" x14ac:dyDescent="0.35">
      <c r="A679" s="239"/>
      <c r="B679" s="226"/>
      <c r="C679" s="226"/>
      <c r="D679" s="226" t="s">
        <v>44</v>
      </c>
      <c r="E679" s="226">
        <v>1</v>
      </c>
      <c r="F679" s="226"/>
      <c r="G679" s="226"/>
      <c r="H679" s="227"/>
      <c r="I679" s="187" t="s">
        <v>1006</v>
      </c>
    </row>
    <row r="680" spans="1:10" s="180" customFormat="1" ht="17.25" customHeight="1" x14ac:dyDescent="0.35">
      <c r="A680" s="239"/>
      <c r="B680" s="226"/>
      <c r="C680" s="226"/>
      <c r="D680" s="226" t="s">
        <v>45</v>
      </c>
      <c r="E680" s="226">
        <v>128</v>
      </c>
      <c r="F680" s="226">
        <v>0</v>
      </c>
      <c r="G680" s="226"/>
      <c r="H680" s="227"/>
      <c r="I680" s="187" t="s">
        <v>1007</v>
      </c>
    </row>
    <row r="681" spans="1:10" s="119" customFormat="1" ht="17.25" x14ac:dyDescent="0.35">
      <c r="A681" s="239"/>
      <c r="B681" s="226"/>
      <c r="C681" s="226"/>
      <c r="D681" s="226" t="s">
        <v>44</v>
      </c>
      <c r="E681" s="226">
        <v>1</v>
      </c>
      <c r="F681" s="226"/>
      <c r="G681" s="226"/>
      <c r="H681" s="227"/>
      <c r="I681" s="187" t="s">
        <v>1008</v>
      </c>
      <c r="J681" s="123"/>
    </row>
    <row r="682" spans="1:10" s="119" customFormat="1" ht="17.25" x14ac:dyDescent="0.35">
      <c r="A682" s="239"/>
      <c r="B682" s="226"/>
      <c r="C682" s="226"/>
      <c r="D682" s="226" t="s">
        <v>44</v>
      </c>
      <c r="E682" s="226">
        <v>1</v>
      </c>
      <c r="F682" s="226"/>
      <c r="G682" s="226"/>
      <c r="H682" s="227"/>
      <c r="I682" s="187" t="s">
        <v>1009</v>
      </c>
      <c r="J682" s="123"/>
    </row>
    <row r="683" spans="1:10" s="119" customFormat="1" ht="17.25" x14ac:dyDescent="0.35">
      <c r="A683" s="239"/>
      <c r="B683" s="226"/>
      <c r="C683" s="226"/>
      <c r="D683" s="226" t="s">
        <v>44</v>
      </c>
      <c r="E683" s="226">
        <v>1</v>
      </c>
      <c r="F683" s="226"/>
      <c r="G683" s="226"/>
      <c r="H683" s="227"/>
      <c r="I683" s="187" t="s">
        <v>1010</v>
      </c>
      <c r="J683" s="123"/>
    </row>
    <row r="684" spans="1:10" s="119" customFormat="1" ht="17.25" x14ac:dyDescent="0.35">
      <c r="A684" s="239"/>
      <c r="B684" s="226"/>
      <c r="C684" s="226"/>
      <c r="D684" s="226" t="s">
        <v>44</v>
      </c>
      <c r="E684" s="226">
        <v>2</v>
      </c>
      <c r="F684" s="226"/>
      <c r="G684" s="226"/>
      <c r="H684" s="227"/>
      <c r="I684" s="187" t="s">
        <v>1011</v>
      </c>
      <c r="J684" s="123"/>
    </row>
    <row r="685" spans="1:10" s="119" customFormat="1" ht="17.25" x14ac:dyDescent="0.35">
      <c r="A685" s="239"/>
      <c r="B685" s="226"/>
      <c r="C685" s="226"/>
      <c r="D685" s="226" t="s">
        <v>44</v>
      </c>
      <c r="E685" s="226">
        <v>2</v>
      </c>
      <c r="F685" s="226"/>
      <c r="G685" s="226"/>
      <c r="H685" s="227"/>
      <c r="I685" s="187" t="s">
        <v>1012</v>
      </c>
      <c r="J685" s="123"/>
    </row>
    <row r="686" spans="1:10" s="119" customFormat="1" ht="17.25" x14ac:dyDescent="0.35">
      <c r="A686" s="239"/>
      <c r="B686" s="226"/>
      <c r="C686" s="226"/>
      <c r="D686" s="226" t="s">
        <v>44</v>
      </c>
      <c r="E686" s="226">
        <v>2</v>
      </c>
      <c r="F686" s="226"/>
      <c r="G686" s="226"/>
      <c r="H686" s="227"/>
      <c r="I686" s="187" t="s">
        <v>1013</v>
      </c>
      <c r="J686" s="123"/>
    </row>
    <row r="687" spans="1:10" s="119" customFormat="1" ht="17.25" x14ac:dyDescent="0.35">
      <c r="A687" s="239"/>
      <c r="B687" s="226"/>
      <c r="C687" s="226"/>
      <c r="D687" s="226" t="s">
        <v>44</v>
      </c>
      <c r="E687" s="226">
        <v>2</v>
      </c>
      <c r="F687" s="226"/>
      <c r="G687" s="226"/>
      <c r="H687" s="227"/>
      <c r="I687" s="187" t="s">
        <v>1014</v>
      </c>
      <c r="J687" s="123"/>
    </row>
    <row r="688" spans="1:10" s="119" customFormat="1" ht="17.25" x14ac:dyDescent="0.35">
      <c r="A688" s="239"/>
      <c r="B688" s="226"/>
      <c r="C688" s="226"/>
      <c r="D688" s="226" t="s">
        <v>44</v>
      </c>
      <c r="E688" s="226">
        <v>2</v>
      </c>
      <c r="F688" s="226"/>
      <c r="G688" s="226"/>
      <c r="H688" s="227"/>
      <c r="I688" s="187" t="s">
        <v>1015</v>
      </c>
    </row>
    <row r="689" spans="1:9" s="119" customFormat="1" ht="17.25" x14ac:dyDescent="0.35">
      <c r="A689" s="239"/>
      <c r="B689" s="226"/>
      <c r="C689" s="226"/>
      <c r="D689" s="226" t="s">
        <v>44</v>
      </c>
      <c r="E689" s="226">
        <v>2</v>
      </c>
      <c r="F689" s="226"/>
      <c r="G689" s="226"/>
      <c r="H689" s="227"/>
      <c r="I689" s="187" t="s">
        <v>1016</v>
      </c>
    </row>
    <row r="690" spans="1:9" s="119" customFormat="1" ht="17.25" x14ac:dyDescent="0.35">
      <c r="A690" s="239"/>
      <c r="B690" s="226"/>
      <c r="C690" s="226"/>
      <c r="D690" s="226" t="s">
        <v>44</v>
      </c>
      <c r="E690" s="226">
        <v>2</v>
      </c>
      <c r="F690" s="226"/>
      <c r="G690" s="226"/>
      <c r="H690" s="227"/>
      <c r="I690" s="187" t="s">
        <v>1017</v>
      </c>
    </row>
    <row r="691" spans="1:9" s="119" customFormat="1" ht="17.25" x14ac:dyDescent="0.35">
      <c r="A691" s="239"/>
      <c r="B691" s="226"/>
      <c r="C691" s="226"/>
      <c r="D691" s="226" t="s">
        <v>44</v>
      </c>
      <c r="E691" s="226">
        <v>2</v>
      </c>
      <c r="F691" s="226"/>
      <c r="G691" s="226"/>
      <c r="H691" s="227"/>
      <c r="I691" s="187" t="s">
        <v>1018</v>
      </c>
    </row>
    <row r="692" spans="1:9" ht="17.25" x14ac:dyDescent="0.35">
      <c r="A692" s="239"/>
      <c r="B692" s="226"/>
      <c r="C692" s="226"/>
      <c r="D692" s="226" t="s">
        <v>44</v>
      </c>
      <c r="E692" s="226">
        <v>2</v>
      </c>
      <c r="F692" s="226"/>
      <c r="G692" s="226"/>
      <c r="H692" s="227"/>
      <c r="I692" s="187" t="s">
        <v>1019</v>
      </c>
    </row>
    <row r="693" spans="1:9" ht="17.25" x14ac:dyDescent="0.35">
      <c r="A693" s="239"/>
      <c r="B693" s="226"/>
      <c r="C693" s="226"/>
      <c r="D693" s="226" t="s">
        <v>44</v>
      </c>
      <c r="E693" s="226">
        <v>1</v>
      </c>
      <c r="F693" s="226"/>
      <c r="G693" s="226"/>
      <c r="H693" s="227"/>
      <c r="I693" s="187" t="s">
        <v>1020</v>
      </c>
    </row>
    <row r="694" spans="1:9" ht="17.25" x14ac:dyDescent="0.35">
      <c r="A694" s="239"/>
      <c r="B694" s="226"/>
      <c r="C694" s="226"/>
      <c r="D694" s="226" t="s">
        <v>44</v>
      </c>
      <c r="E694" s="226">
        <v>1</v>
      </c>
      <c r="F694" s="226"/>
      <c r="G694" s="226"/>
      <c r="H694" s="227"/>
      <c r="I694" s="187" t="s">
        <v>1021</v>
      </c>
    </row>
    <row r="695" spans="1:9" ht="17.25" x14ac:dyDescent="0.35">
      <c r="A695" s="239"/>
      <c r="B695" s="226"/>
      <c r="C695" s="226"/>
      <c r="D695" s="226" t="s">
        <v>44</v>
      </c>
      <c r="E695" s="226">
        <v>2</v>
      </c>
      <c r="F695" s="226"/>
      <c r="G695" s="226"/>
      <c r="H695" s="227"/>
      <c r="I695" s="187" t="s">
        <v>1022</v>
      </c>
    </row>
    <row r="696" spans="1:9" ht="17.25" x14ac:dyDescent="0.35">
      <c r="A696" s="239"/>
      <c r="B696" s="226"/>
      <c r="C696" s="226"/>
      <c r="D696" s="226" t="s">
        <v>44</v>
      </c>
      <c r="E696" s="226">
        <v>2</v>
      </c>
      <c r="F696" s="226"/>
      <c r="G696" s="226"/>
      <c r="H696" s="227"/>
      <c r="I696" s="187" t="s">
        <v>1023</v>
      </c>
    </row>
    <row r="697" spans="1:9" ht="17.25" x14ac:dyDescent="0.35">
      <c r="A697" s="239"/>
      <c r="B697" s="226"/>
      <c r="C697" s="226"/>
      <c r="D697" s="226" t="s">
        <v>44</v>
      </c>
      <c r="E697" s="226">
        <v>2</v>
      </c>
      <c r="F697" s="226"/>
      <c r="G697" s="226"/>
      <c r="H697" s="227"/>
      <c r="I697" s="187" t="s">
        <v>1024</v>
      </c>
    </row>
    <row r="698" spans="1:9" ht="17.25" x14ac:dyDescent="0.35">
      <c r="A698" s="239"/>
      <c r="B698" s="226"/>
      <c r="C698" s="226"/>
      <c r="D698" s="226" t="s">
        <v>44</v>
      </c>
      <c r="E698" s="226">
        <v>2</v>
      </c>
      <c r="F698" s="226"/>
      <c r="G698" s="226"/>
      <c r="H698" s="227"/>
      <c r="I698" s="187" t="s">
        <v>1025</v>
      </c>
    </row>
    <row r="699" spans="1:9" ht="17.25" x14ac:dyDescent="0.35">
      <c r="A699" s="239"/>
      <c r="B699" s="226"/>
      <c r="C699" s="226"/>
      <c r="D699" s="226" t="s">
        <v>44</v>
      </c>
      <c r="E699" s="226">
        <v>1</v>
      </c>
      <c r="F699" s="226">
        <v>1</v>
      </c>
      <c r="G699" s="226"/>
      <c r="H699" s="227"/>
      <c r="I699" s="187" t="s">
        <v>1026</v>
      </c>
    </row>
    <row r="700" spans="1:9" ht="38.25" customHeight="1" x14ac:dyDescent="0.35">
      <c r="A700" s="239"/>
      <c r="B700" s="226"/>
      <c r="C700" s="226"/>
      <c r="D700" s="226" t="s">
        <v>44</v>
      </c>
      <c r="E700" s="226">
        <v>2</v>
      </c>
      <c r="F700" s="226"/>
      <c r="G700" s="226"/>
      <c r="H700" s="227"/>
      <c r="I700" s="187" t="s">
        <v>1027</v>
      </c>
    </row>
    <row r="701" spans="1:9" ht="17.25" x14ac:dyDescent="0.35">
      <c r="A701" s="239"/>
      <c r="B701" s="226"/>
      <c r="C701" s="226"/>
      <c r="D701" s="226" t="s">
        <v>44</v>
      </c>
      <c r="E701" s="226">
        <v>2</v>
      </c>
      <c r="F701" s="226"/>
      <c r="G701" s="226"/>
      <c r="H701" s="227"/>
      <c r="I701" s="187" t="s">
        <v>1028</v>
      </c>
    </row>
    <row r="702" spans="1:9" ht="17.25" x14ac:dyDescent="0.35">
      <c r="A702" s="239"/>
      <c r="B702" s="226"/>
      <c r="C702" s="226"/>
      <c r="D702" s="226" t="s">
        <v>44</v>
      </c>
      <c r="E702" s="226">
        <v>2</v>
      </c>
      <c r="F702" s="226"/>
      <c r="G702" s="226"/>
      <c r="H702" s="227"/>
      <c r="I702" s="187" t="s">
        <v>1029</v>
      </c>
    </row>
    <row r="703" spans="1:9" ht="17.25" x14ac:dyDescent="0.35">
      <c r="A703" s="239"/>
      <c r="B703" s="226"/>
      <c r="C703" s="226"/>
      <c r="D703" s="226" t="s">
        <v>44</v>
      </c>
      <c r="E703" s="226">
        <v>2</v>
      </c>
      <c r="F703" s="226"/>
      <c r="G703" s="226"/>
      <c r="H703" s="227"/>
      <c r="I703" s="187" t="s">
        <v>1030</v>
      </c>
    </row>
    <row r="704" spans="1:9" ht="17.25" x14ac:dyDescent="0.35">
      <c r="A704" s="239"/>
      <c r="B704" s="226"/>
      <c r="C704" s="226"/>
      <c r="D704" s="226" t="s">
        <v>44</v>
      </c>
      <c r="E704" s="226">
        <v>1</v>
      </c>
      <c r="F704" s="226"/>
      <c r="G704" s="226"/>
      <c r="H704" s="227"/>
      <c r="I704" s="187" t="s">
        <v>1031</v>
      </c>
    </row>
    <row r="705" spans="1:9" ht="17.25" x14ac:dyDescent="0.35">
      <c r="A705" s="239"/>
      <c r="B705" s="226"/>
      <c r="C705" s="226"/>
      <c r="D705" s="226" t="s">
        <v>44</v>
      </c>
      <c r="E705" s="226">
        <v>1</v>
      </c>
      <c r="F705" s="226">
        <v>7</v>
      </c>
      <c r="G705" s="226"/>
      <c r="H705" s="227"/>
      <c r="I705" s="187" t="s">
        <v>1032</v>
      </c>
    </row>
    <row r="706" spans="1:9" ht="17.25" x14ac:dyDescent="0.35">
      <c r="A706" s="239"/>
      <c r="B706" s="226"/>
      <c r="C706" s="226"/>
      <c r="D706" s="226" t="s">
        <v>44</v>
      </c>
      <c r="E706" s="226">
        <v>35</v>
      </c>
      <c r="F706" s="226"/>
      <c r="G706" s="226"/>
      <c r="H706" s="227"/>
      <c r="I706" s="83" t="s">
        <v>1033</v>
      </c>
    </row>
    <row r="707" spans="1:9" ht="17.25" x14ac:dyDescent="0.35">
      <c r="A707" s="228" t="s">
        <v>1386</v>
      </c>
      <c r="B707" s="226" t="s">
        <v>1387</v>
      </c>
      <c r="C707" s="226" t="s">
        <v>67</v>
      </c>
      <c r="D707" s="226"/>
      <c r="E707" s="226"/>
      <c r="F707" s="226"/>
      <c r="G707" s="226" t="s">
        <v>1180</v>
      </c>
      <c r="H707" s="227"/>
      <c r="I707" s="79">
        <v>71572</v>
      </c>
    </row>
    <row r="708" spans="1:9" ht="17.25" x14ac:dyDescent="0.35">
      <c r="A708" s="228"/>
      <c r="B708" s="226"/>
      <c r="C708" s="226"/>
      <c r="D708" s="226" t="s">
        <v>44</v>
      </c>
      <c r="E708" s="226">
        <v>4</v>
      </c>
      <c r="F708" s="226">
        <v>8000</v>
      </c>
      <c r="G708" s="226"/>
      <c r="H708" s="227"/>
      <c r="I708" s="79"/>
    </row>
    <row r="709" spans="1:9" ht="17.25" x14ac:dyDescent="0.35">
      <c r="A709" s="228" t="s">
        <v>1068</v>
      </c>
      <c r="B709" s="226" t="s">
        <v>1069</v>
      </c>
      <c r="C709" s="226" t="s">
        <v>67</v>
      </c>
      <c r="D709" s="226"/>
      <c r="E709" s="226"/>
      <c r="F709" s="226"/>
      <c r="G709" s="226" t="s">
        <v>1180</v>
      </c>
      <c r="H709" s="227"/>
      <c r="I709" s="79">
        <v>71597</v>
      </c>
    </row>
    <row r="710" spans="1:9" ht="17.25" x14ac:dyDescent="0.35">
      <c r="A710" s="228"/>
      <c r="B710" s="226"/>
      <c r="C710" s="226"/>
      <c r="D710" s="226" t="s">
        <v>44</v>
      </c>
      <c r="E710" s="226">
        <v>1</v>
      </c>
      <c r="F710" s="226">
        <v>0</v>
      </c>
      <c r="G710" s="226"/>
      <c r="H710" s="227"/>
      <c r="I710" s="79" t="s">
        <v>262</v>
      </c>
    </row>
    <row r="711" spans="1:9" ht="17.25" x14ac:dyDescent="0.35">
      <c r="A711" s="228"/>
      <c r="B711" s="226"/>
      <c r="C711" s="226"/>
      <c r="D711" s="226" t="s">
        <v>44</v>
      </c>
      <c r="E711" s="226">
        <v>1</v>
      </c>
      <c r="F711" s="226">
        <v>1</v>
      </c>
      <c r="G711" s="226"/>
      <c r="H711" s="227"/>
      <c r="I711" s="79" t="s">
        <v>1070</v>
      </c>
    </row>
    <row r="712" spans="1:9" ht="17.25" x14ac:dyDescent="0.35">
      <c r="A712" s="228"/>
      <c r="B712" s="226"/>
      <c r="C712" s="226"/>
      <c r="D712" s="226" t="s">
        <v>44</v>
      </c>
      <c r="E712" s="226">
        <v>1</v>
      </c>
      <c r="F712" s="226">
        <v>1</v>
      </c>
      <c r="G712" s="226"/>
      <c r="H712" s="227"/>
      <c r="I712" s="79" t="s">
        <v>1071</v>
      </c>
    </row>
    <row r="713" spans="1:9" ht="17.25" x14ac:dyDescent="0.35">
      <c r="A713" s="245"/>
      <c r="B713" s="226"/>
      <c r="C713" s="226"/>
      <c r="D713" s="226" t="s">
        <v>44</v>
      </c>
      <c r="E713" s="226">
        <v>1</v>
      </c>
      <c r="F713" s="226">
        <v>0</v>
      </c>
      <c r="G713" s="226"/>
      <c r="H713" s="227"/>
      <c r="I713" s="84" t="s">
        <v>1072</v>
      </c>
    </row>
    <row r="714" spans="1:9" ht="17.25" x14ac:dyDescent="0.35">
      <c r="A714" s="245"/>
      <c r="B714" s="226"/>
      <c r="C714" s="226"/>
      <c r="D714" s="226" t="s">
        <v>44</v>
      </c>
      <c r="E714" s="226">
        <v>1</v>
      </c>
      <c r="F714" s="226">
        <v>0</v>
      </c>
      <c r="G714" s="226"/>
      <c r="H714" s="227"/>
      <c r="I714" s="84" t="s">
        <v>1073</v>
      </c>
    </row>
    <row r="715" spans="1:9" ht="17.25" x14ac:dyDescent="0.35">
      <c r="A715" s="228"/>
      <c r="B715" s="226"/>
      <c r="C715" s="226"/>
      <c r="D715" s="226" t="s">
        <v>44</v>
      </c>
      <c r="E715" s="226">
        <v>27</v>
      </c>
      <c r="F715" s="226"/>
      <c r="G715" s="226"/>
      <c r="H715" s="227"/>
      <c r="I715" s="79" t="s">
        <v>265</v>
      </c>
    </row>
    <row r="716" spans="1:9" ht="17.25" x14ac:dyDescent="0.35">
      <c r="A716" s="228" t="s">
        <v>1308</v>
      </c>
      <c r="B716" s="226" t="s">
        <v>1179</v>
      </c>
      <c r="C716" s="226" t="s">
        <v>67</v>
      </c>
      <c r="D716" s="226"/>
      <c r="E716" s="226"/>
      <c r="F716" s="226"/>
      <c r="G716" s="226" t="s">
        <v>1180</v>
      </c>
      <c r="H716" s="227"/>
      <c r="I716" s="79">
        <v>73545</v>
      </c>
    </row>
    <row r="717" spans="1:9" ht="17.25" x14ac:dyDescent="0.35">
      <c r="A717" s="228"/>
      <c r="B717" s="226"/>
      <c r="C717" s="226"/>
      <c r="D717" s="226" t="s">
        <v>44</v>
      </c>
      <c r="E717" s="226">
        <v>1</v>
      </c>
      <c r="F717" s="226">
        <v>0</v>
      </c>
      <c r="G717" s="226"/>
      <c r="H717" s="227"/>
      <c r="I717" s="79" t="s">
        <v>1181</v>
      </c>
    </row>
    <row r="718" spans="1:9" ht="34.5" x14ac:dyDescent="0.35">
      <c r="A718" s="228"/>
      <c r="B718" s="226"/>
      <c r="C718" s="226"/>
      <c r="D718" s="226" t="s">
        <v>44</v>
      </c>
      <c r="E718" s="226">
        <v>1</v>
      </c>
      <c r="F718" s="226">
        <v>1</v>
      </c>
      <c r="G718" s="226"/>
      <c r="H718" s="227"/>
      <c r="I718" s="79" t="s">
        <v>1182</v>
      </c>
    </row>
    <row r="719" spans="1:9" ht="17.25" x14ac:dyDescent="0.35">
      <c r="A719" s="228"/>
      <c r="B719" s="226"/>
      <c r="C719" s="226"/>
      <c r="D719" s="226" t="s">
        <v>44</v>
      </c>
      <c r="E719" s="226">
        <v>1</v>
      </c>
      <c r="F719" s="226">
        <v>1</v>
      </c>
      <c r="G719" s="226"/>
      <c r="H719" s="227"/>
      <c r="I719" s="79" t="s">
        <v>1183</v>
      </c>
    </row>
    <row r="720" spans="1:9" ht="17.25" x14ac:dyDescent="0.35">
      <c r="A720" s="228"/>
      <c r="B720" s="226"/>
      <c r="C720" s="226"/>
      <c r="D720" s="226" t="s">
        <v>44</v>
      </c>
      <c r="E720" s="226">
        <v>1</v>
      </c>
      <c r="F720" s="226">
        <v>40</v>
      </c>
      <c r="G720" s="226"/>
      <c r="H720" s="227"/>
      <c r="I720" s="79" t="s">
        <v>1184</v>
      </c>
    </row>
    <row r="721" spans="1:9" ht="17.25" x14ac:dyDescent="0.35">
      <c r="A721" s="228"/>
      <c r="B721" s="226"/>
      <c r="C721" s="226"/>
      <c r="D721" s="226" t="s">
        <v>44</v>
      </c>
      <c r="E721" s="226">
        <v>1</v>
      </c>
      <c r="F721" s="226">
        <v>0</v>
      </c>
      <c r="G721" s="226"/>
      <c r="H721" s="227"/>
      <c r="I721" s="79" t="s">
        <v>1309</v>
      </c>
    </row>
    <row r="722" spans="1:9" ht="17.25" x14ac:dyDescent="0.35">
      <c r="A722" s="228"/>
      <c r="B722" s="226"/>
      <c r="C722" s="226"/>
      <c r="D722" s="226" t="s">
        <v>44</v>
      </c>
      <c r="E722" s="226">
        <v>1</v>
      </c>
      <c r="F722" s="226">
        <v>0</v>
      </c>
      <c r="G722" s="226"/>
      <c r="H722" s="227"/>
      <c r="I722" s="79" t="s">
        <v>1310</v>
      </c>
    </row>
    <row r="723" spans="1:9" ht="17.25" x14ac:dyDescent="0.35">
      <c r="A723" s="228"/>
      <c r="B723" s="226"/>
      <c r="C723" s="226"/>
      <c r="D723" s="226" t="s">
        <v>44</v>
      </c>
      <c r="E723" s="226">
        <v>1</v>
      </c>
      <c r="F723" s="226">
        <v>0</v>
      </c>
      <c r="G723" s="226"/>
      <c r="H723" s="227"/>
      <c r="I723" s="79" t="s">
        <v>1311</v>
      </c>
    </row>
    <row r="724" spans="1:9" ht="17.25" x14ac:dyDescent="0.35">
      <c r="A724" s="228"/>
      <c r="B724" s="226"/>
      <c r="C724" s="226"/>
      <c r="D724" s="226" t="s">
        <v>44</v>
      </c>
      <c r="E724" s="226">
        <v>1</v>
      </c>
      <c r="F724" s="226">
        <v>0</v>
      </c>
      <c r="G724" s="226"/>
      <c r="H724" s="227"/>
      <c r="I724" s="79" t="s">
        <v>1312</v>
      </c>
    </row>
    <row r="725" spans="1:9" ht="17.25" x14ac:dyDescent="0.35">
      <c r="A725" s="228"/>
      <c r="B725" s="226"/>
      <c r="C725" s="226"/>
      <c r="D725" s="226" t="s">
        <v>44</v>
      </c>
      <c r="E725" s="226">
        <v>1</v>
      </c>
      <c r="F725" s="226">
        <v>0</v>
      </c>
      <c r="G725" s="226"/>
      <c r="H725" s="227"/>
      <c r="I725" s="79" t="s">
        <v>1313</v>
      </c>
    </row>
    <row r="726" spans="1:9" ht="17.25" x14ac:dyDescent="0.35">
      <c r="A726" s="228"/>
      <c r="B726" s="226"/>
      <c r="C726" s="226"/>
      <c r="D726" s="226" t="s">
        <v>44</v>
      </c>
      <c r="E726" s="226">
        <v>1</v>
      </c>
      <c r="F726" s="226">
        <v>0</v>
      </c>
      <c r="G726" s="226"/>
      <c r="H726" s="227"/>
      <c r="I726" s="79" t="s">
        <v>1314</v>
      </c>
    </row>
    <row r="727" spans="1:9" ht="17.25" x14ac:dyDescent="0.35">
      <c r="A727" s="228"/>
      <c r="B727" s="226"/>
      <c r="C727" s="226"/>
      <c r="D727" s="226" t="s">
        <v>44</v>
      </c>
      <c r="E727" s="226">
        <v>1</v>
      </c>
      <c r="F727" s="226">
        <v>0</v>
      </c>
      <c r="G727" s="226"/>
      <c r="H727" s="227"/>
      <c r="I727" s="79" t="s">
        <v>1315</v>
      </c>
    </row>
    <row r="728" spans="1:9" s="45" customFormat="1" ht="17.25" x14ac:dyDescent="0.35">
      <c r="A728" s="139" t="s">
        <v>1374</v>
      </c>
      <c r="B728" s="145" t="s">
        <v>1379</v>
      </c>
      <c r="C728" s="145" t="s">
        <v>67</v>
      </c>
      <c r="D728" s="145"/>
      <c r="E728" s="145"/>
      <c r="F728" s="145"/>
      <c r="G728" s="145" t="s">
        <v>1180</v>
      </c>
      <c r="H728" s="146"/>
      <c r="I728" s="64">
        <v>73596</v>
      </c>
    </row>
    <row r="729" spans="1:9" s="45" customFormat="1" ht="17.25" x14ac:dyDescent="0.35">
      <c r="A729" s="139"/>
      <c r="B729" s="145"/>
      <c r="C729" s="145"/>
      <c r="D729" s="145" t="s">
        <v>44</v>
      </c>
      <c r="E729" s="145">
        <v>1</v>
      </c>
      <c r="F729" s="145">
        <v>0</v>
      </c>
      <c r="G729" s="145"/>
      <c r="H729" s="146"/>
      <c r="I729" s="64" t="s">
        <v>717</v>
      </c>
    </row>
    <row r="730" spans="1:9" s="45" customFormat="1" ht="17.25" x14ac:dyDescent="0.35">
      <c r="A730" s="139"/>
      <c r="B730" s="145"/>
      <c r="C730" s="145"/>
      <c r="D730" s="145" t="s">
        <v>44</v>
      </c>
      <c r="E730" s="145">
        <v>1</v>
      </c>
      <c r="F730" s="145">
        <v>0</v>
      </c>
      <c r="G730" s="145"/>
      <c r="H730" s="146"/>
      <c r="I730" s="64" t="s">
        <v>1375</v>
      </c>
    </row>
    <row r="731" spans="1:9" s="45" customFormat="1" ht="17.25" x14ac:dyDescent="0.35">
      <c r="A731" s="139"/>
      <c r="B731" s="145"/>
      <c r="C731" s="145"/>
      <c r="D731" s="145" t="s">
        <v>44</v>
      </c>
      <c r="E731" s="145">
        <v>1</v>
      </c>
      <c r="F731" s="145">
        <v>1</v>
      </c>
      <c r="G731" s="145"/>
      <c r="H731" s="146"/>
      <c r="I731" s="64" t="s">
        <v>1376</v>
      </c>
    </row>
    <row r="732" spans="1:9" s="45" customFormat="1" ht="17.25" x14ac:dyDescent="0.35">
      <c r="A732" s="139"/>
      <c r="B732" s="145"/>
      <c r="C732" s="145"/>
      <c r="D732" s="145" t="s">
        <v>1380</v>
      </c>
      <c r="E732" s="145">
        <v>1</v>
      </c>
      <c r="F732" s="145">
        <v>0</v>
      </c>
      <c r="G732" s="145"/>
      <c r="H732" s="146"/>
      <c r="I732" s="64"/>
    </row>
    <row r="733" spans="1:9" s="45" customFormat="1" ht="17.25" x14ac:dyDescent="0.35">
      <c r="A733" s="139" t="s">
        <v>1392</v>
      </c>
      <c r="B733" s="145" t="s">
        <v>1393</v>
      </c>
      <c r="C733" s="145" t="s">
        <v>46</v>
      </c>
      <c r="D733" s="145"/>
      <c r="E733" s="145"/>
      <c r="F733" s="145"/>
      <c r="G733" s="145" t="s">
        <v>1180</v>
      </c>
      <c r="H733" s="146" t="s">
        <v>1396</v>
      </c>
      <c r="I733" s="64"/>
    </row>
    <row r="734" spans="1:9" ht="18" thickBot="1" x14ac:dyDescent="0.4">
      <c r="A734" s="246"/>
      <c r="B734" s="247"/>
      <c r="C734" s="247"/>
      <c r="D734" s="247"/>
      <c r="E734" s="247"/>
      <c r="F734" s="247"/>
      <c r="G734" s="247"/>
      <c r="H734" s="248"/>
      <c r="I734" s="184"/>
    </row>
    <row r="735" spans="1:9" ht="13.5" thickBot="1" x14ac:dyDescent="0.25">
      <c r="A735" s="34"/>
      <c r="B735" s="34"/>
    </row>
    <row r="736" spans="1:9" ht="19.5" x14ac:dyDescent="0.4">
      <c r="A736" s="307" t="s">
        <v>75</v>
      </c>
      <c r="B736" s="308"/>
      <c r="C736" s="308"/>
      <c r="D736" s="308"/>
      <c r="E736" s="308"/>
      <c r="F736" s="308"/>
      <c r="G736" s="308"/>
      <c r="H736" s="309"/>
    </row>
    <row r="737" spans="1:8" ht="17.25" x14ac:dyDescent="0.35">
      <c r="A737" s="48" t="s">
        <v>92</v>
      </c>
      <c r="B737" s="48"/>
      <c r="C737" s="48" t="s">
        <v>41</v>
      </c>
      <c r="D737" s="48" t="s">
        <v>93</v>
      </c>
      <c r="E737" s="48" t="s">
        <v>94</v>
      </c>
      <c r="F737" s="190" t="s">
        <v>95</v>
      </c>
      <c r="G737" s="48" t="s">
        <v>49</v>
      </c>
      <c r="H737" s="188"/>
    </row>
    <row r="738" spans="1:8" ht="17.25" x14ac:dyDescent="0.35">
      <c r="A738" s="265" t="s">
        <v>91</v>
      </c>
      <c r="B738" s="265"/>
      <c r="C738" s="270" t="s">
        <v>76</v>
      </c>
      <c r="D738" s="270"/>
      <c r="E738" s="270"/>
      <c r="F738" s="270"/>
      <c r="G738" s="270" t="s">
        <v>28</v>
      </c>
      <c r="H738" s="265"/>
    </row>
    <row r="739" spans="1:8" ht="17.25" x14ac:dyDescent="0.35">
      <c r="A739" s="265" t="s">
        <v>77</v>
      </c>
      <c r="B739" s="265"/>
      <c r="C739" s="270"/>
      <c r="D739" s="270" t="s">
        <v>44</v>
      </c>
      <c r="E739" s="270">
        <v>1</v>
      </c>
      <c r="F739" s="270">
        <v>0</v>
      </c>
      <c r="G739" s="270"/>
      <c r="H739" s="265"/>
    </row>
    <row r="740" spans="1:8" ht="17.25" x14ac:dyDescent="0.35">
      <c r="A740" s="265" t="s">
        <v>78</v>
      </c>
      <c r="B740" s="265"/>
      <c r="C740" s="270"/>
      <c r="D740" s="270" t="s">
        <v>44</v>
      </c>
      <c r="E740" s="270">
        <v>2</v>
      </c>
      <c r="F740" s="270">
        <v>2</v>
      </c>
      <c r="G740" s="270"/>
      <c r="H740" s="265"/>
    </row>
    <row r="741" spans="1:8" ht="17.25" x14ac:dyDescent="0.35">
      <c r="A741" s="265" t="s">
        <v>79</v>
      </c>
      <c r="B741" s="265"/>
      <c r="C741" s="270"/>
      <c r="D741" s="270" t="s">
        <v>44</v>
      </c>
      <c r="E741" s="270">
        <v>2</v>
      </c>
      <c r="F741" s="270" t="s">
        <v>96</v>
      </c>
      <c r="G741" s="270"/>
      <c r="H741" s="265"/>
    </row>
    <row r="742" spans="1:8" ht="17.25" x14ac:dyDescent="0.35">
      <c r="A742" s="265" t="s">
        <v>80</v>
      </c>
      <c r="B742" s="265"/>
      <c r="C742" s="270"/>
      <c r="D742" s="270" t="s">
        <v>44</v>
      </c>
      <c r="E742" s="270">
        <v>1</v>
      </c>
      <c r="F742" s="270" t="s">
        <v>4</v>
      </c>
      <c r="G742" s="270"/>
      <c r="H742" s="265"/>
    </row>
    <row r="743" spans="1:8" ht="17.25" x14ac:dyDescent="0.35">
      <c r="A743" s="265" t="s">
        <v>81</v>
      </c>
      <c r="B743" s="265"/>
      <c r="C743" s="270"/>
      <c r="D743" s="270" t="s">
        <v>44</v>
      </c>
      <c r="E743" s="270">
        <v>2</v>
      </c>
      <c r="F743" s="270">
        <v>4</v>
      </c>
      <c r="G743" s="270"/>
      <c r="H743" s="265"/>
    </row>
    <row r="744" spans="1:8" ht="17.25" x14ac:dyDescent="0.35">
      <c r="A744" s="267" t="s">
        <v>82</v>
      </c>
      <c r="B744" s="267"/>
      <c r="C744" s="271"/>
      <c r="D744" s="271" t="s">
        <v>44</v>
      </c>
      <c r="E744" s="271">
        <f>F743</f>
        <v>4</v>
      </c>
      <c r="F744" s="271" t="s">
        <v>1410</v>
      </c>
      <c r="G744" s="271"/>
      <c r="H744" s="266"/>
    </row>
    <row r="745" spans="1:8" ht="17.25" x14ac:dyDescent="0.35">
      <c r="A745" s="265" t="s">
        <v>83</v>
      </c>
      <c r="B745" s="265"/>
      <c r="C745" s="270"/>
      <c r="D745" s="270" t="s">
        <v>44</v>
      </c>
      <c r="E745" s="270">
        <v>1</v>
      </c>
      <c r="F745" s="270" t="s">
        <v>5</v>
      </c>
      <c r="G745" s="270"/>
      <c r="H745" s="265"/>
    </row>
    <row r="746" spans="1:8" ht="17.25" x14ac:dyDescent="0.35">
      <c r="A746" s="265" t="s">
        <v>84</v>
      </c>
      <c r="B746" s="265"/>
      <c r="C746" s="270"/>
      <c r="D746" s="270" t="s">
        <v>44</v>
      </c>
      <c r="E746" s="270">
        <v>2</v>
      </c>
      <c r="F746" s="270">
        <f>LEN(F747)</f>
        <v>9</v>
      </c>
      <c r="G746" s="270"/>
      <c r="H746" s="265"/>
    </row>
    <row r="747" spans="1:8" ht="17.25" x14ac:dyDescent="0.35">
      <c r="A747" s="265" t="s">
        <v>85</v>
      </c>
      <c r="B747" s="265"/>
      <c r="C747" s="270"/>
      <c r="D747" s="270" t="s">
        <v>45</v>
      </c>
      <c r="E747" s="270">
        <f>F746</f>
        <v>9</v>
      </c>
      <c r="F747" s="270" t="s">
        <v>666</v>
      </c>
      <c r="G747" s="270"/>
      <c r="H747" s="265" t="s">
        <v>229</v>
      </c>
    </row>
    <row r="748" spans="1:8" ht="17.25" x14ac:dyDescent="0.35">
      <c r="A748" s="265" t="s">
        <v>86</v>
      </c>
      <c r="B748" s="265"/>
      <c r="C748" s="270"/>
      <c r="D748" s="270" t="s">
        <v>44</v>
      </c>
      <c r="E748" s="270">
        <v>1</v>
      </c>
      <c r="F748" s="270" t="s">
        <v>97</v>
      </c>
      <c r="G748" s="270"/>
      <c r="H748" s="265"/>
    </row>
    <row r="749" spans="1:8" ht="17.25" x14ac:dyDescent="0.35">
      <c r="A749" s="265" t="s">
        <v>87</v>
      </c>
      <c r="B749" s="265"/>
      <c r="C749" s="270"/>
      <c r="D749" s="270" t="s">
        <v>44</v>
      </c>
      <c r="E749" s="270">
        <v>2</v>
      </c>
      <c r="F749" s="270">
        <f>SUM(E750:E751)+E752*F751</f>
        <v>30</v>
      </c>
      <c r="G749" s="270"/>
      <c r="H749" s="265"/>
    </row>
    <row r="750" spans="1:8" ht="17.25" x14ac:dyDescent="0.35">
      <c r="A750" s="265" t="s">
        <v>88</v>
      </c>
      <c r="B750" s="265"/>
      <c r="C750" s="270"/>
      <c r="D750" s="270" t="s">
        <v>44</v>
      </c>
      <c r="E750" s="270">
        <v>1</v>
      </c>
      <c r="F750" s="270">
        <v>0</v>
      </c>
      <c r="G750" s="270"/>
      <c r="H750" s="265"/>
    </row>
    <row r="751" spans="1:8" ht="17.25" x14ac:dyDescent="0.35">
      <c r="A751" s="265" t="s">
        <v>89</v>
      </c>
      <c r="B751" s="265"/>
      <c r="C751" s="270"/>
      <c r="D751" s="270" t="s">
        <v>44</v>
      </c>
      <c r="E751" s="270">
        <v>1</v>
      </c>
      <c r="F751" s="270">
        <f>LEN(F752)-LEN(SUBSTITUTE(F752,",","")) +1</f>
        <v>7</v>
      </c>
      <c r="G751" s="270"/>
      <c r="H751" s="265"/>
    </row>
    <row r="752" spans="1:8" ht="17.25" x14ac:dyDescent="0.35">
      <c r="A752" s="265" t="s">
        <v>90</v>
      </c>
      <c r="B752" s="265"/>
      <c r="C752" s="270"/>
      <c r="D752" s="270" t="s">
        <v>52</v>
      </c>
      <c r="E752" s="270">
        <v>4</v>
      </c>
      <c r="F752" s="189" t="s">
        <v>634</v>
      </c>
      <c r="G752" s="270"/>
      <c r="H752" s="265"/>
    </row>
    <row r="753" spans="1:8" ht="17.25" x14ac:dyDescent="0.35">
      <c r="A753" s="265" t="s">
        <v>675</v>
      </c>
      <c r="B753" s="265"/>
      <c r="C753" s="270"/>
      <c r="D753" s="270" t="s">
        <v>44</v>
      </c>
      <c r="E753" s="270">
        <v>1</v>
      </c>
      <c r="F753" s="270" t="s">
        <v>27</v>
      </c>
      <c r="G753" s="270"/>
      <c r="H753" s="265"/>
    </row>
    <row r="754" spans="1:8" ht="17.25" x14ac:dyDescent="0.35">
      <c r="A754" s="265" t="s">
        <v>676</v>
      </c>
      <c r="B754" s="265"/>
      <c r="C754" s="270"/>
      <c r="D754" s="270" t="s">
        <v>44</v>
      </c>
      <c r="E754" s="270">
        <v>2</v>
      </c>
      <c r="F754" s="270">
        <v>4</v>
      </c>
      <c r="G754" s="270"/>
      <c r="H754" s="265"/>
    </row>
    <row r="755" spans="1:8" ht="17.25" x14ac:dyDescent="0.35">
      <c r="A755" s="267" t="s">
        <v>677</v>
      </c>
      <c r="B755" s="267"/>
      <c r="C755" s="271"/>
      <c r="D755" s="271" t="s">
        <v>44</v>
      </c>
      <c r="E755" s="271">
        <v>4</v>
      </c>
      <c r="F755" s="271" t="str">
        <f>$F$744</f>
        <v>0x05010353</v>
      </c>
      <c r="G755" s="271"/>
      <c r="H755" s="267"/>
    </row>
    <row r="756" spans="1:8" ht="17.25" x14ac:dyDescent="0.35">
      <c r="A756" s="272" t="s">
        <v>1355</v>
      </c>
      <c r="B756" s="272"/>
      <c r="C756" s="268"/>
      <c r="D756" s="268" t="s">
        <v>44</v>
      </c>
      <c r="E756" s="268">
        <v>1</v>
      </c>
      <c r="F756" s="268" t="s">
        <v>636</v>
      </c>
      <c r="G756" s="268"/>
      <c r="H756" s="272"/>
    </row>
    <row r="757" spans="1:8" ht="17.25" x14ac:dyDescent="0.35">
      <c r="A757" s="272" t="s">
        <v>1356</v>
      </c>
      <c r="B757" s="272"/>
      <c r="C757" s="268"/>
      <c r="D757" s="268" t="s">
        <v>44</v>
      </c>
      <c r="E757" s="268">
        <v>2</v>
      </c>
      <c r="F757" s="273">
        <f>2+F759*E760*2</f>
        <v>50</v>
      </c>
      <c r="G757" s="268"/>
      <c r="H757" s="272"/>
    </row>
    <row r="758" spans="1:8" ht="17.25" x14ac:dyDescent="0.35">
      <c r="A758" s="272" t="s">
        <v>1357</v>
      </c>
      <c r="B758" s="272"/>
      <c r="C758" s="268"/>
      <c r="D758" s="268" t="s">
        <v>44</v>
      </c>
      <c r="E758" s="268">
        <v>1</v>
      </c>
      <c r="F758" s="268">
        <v>0</v>
      </c>
      <c r="G758" s="268"/>
      <c r="H758" s="272" t="s">
        <v>1358</v>
      </c>
    </row>
    <row r="759" spans="1:8" ht="17.25" x14ac:dyDescent="0.35">
      <c r="A759" s="272" t="s">
        <v>1359</v>
      </c>
      <c r="B759" s="272"/>
      <c r="C759" s="268"/>
      <c r="D759" s="268" t="s">
        <v>44</v>
      </c>
      <c r="E759" s="268">
        <v>1</v>
      </c>
      <c r="F759" s="273">
        <f>SUM(LEN(F760)-LEN(SUBSTITUTE(F760,"-","")))</f>
        <v>12</v>
      </c>
      <c r="G759" s="268"/>
      <c r="H759" s="272" t="s">
        <v>1360</v>
      </c>
    </row>
    <row r="760" spans="1:8" ht="27.75" x14ac:dyDescent="0.35">
      <c r="A760" s="272" t="s">
        <v>1361</v>
      </c>
      <c r="B760" s="272"/>
      <c r="C760" s="268"/>
      <c r="D760" s="268" t="s">
        <v>52</v>
      </c>
      <c r="E760" s="268">
        <v>2</v>
      </c>
      <c r="F760" s="268" t="s">
        <v>1362</v>
      </c>
      <c r="G760" s="268"/>
      <c r="H760" s="272"/>
    </row>
    <row r="761" spans="1:8" ht="17.25" x14ac:dyDescent="0.35">
      <c r="A761" s="269" t="s">
        <v>1363</v>
      </c>
      <c r="B761" s="269"/>
      <c r="C761" s="252"/>
      <c r="D761" s="252" t="s">
        <v>44</v>
      </c>
      <c r="E761" s="252">
        <v>1</v>
      </c>
      <c r="F761" s="252" t="s">
        <v>1364</v>
      </c>
      <c r="G761" s="252"/>
      <c r="H761" s="269"/>
    </row>
    <row r="762" spans="1:8" ht="17.25" x14ac:dyDescent="0.35">
      <c r="A762" s="269" t="s">
        <v>1365</v>
      </c>
      <c r="B762" s="269"/>
      <c r="C762" s="252"/>
      <c r="D762" s="252" t="s">
        <v>44</v>
      </c>
      <c r="E762" s="252">
        <v>2</v>
      </c>
      <c r="F762" s="252">
        <v>4</v>
      </c>
      <c r="G762" s="252"/>
      <c r="H762" s="269"/>
    </row>
    <row r="763" spans="1:8" ht="138" x14ac:dyDescent="0.35">
      <c r="A763" s="269" t="s">
        <v>1366</v>
      </c>
      <c r="B763" s="269"/>
      <c r="C763" s="252"/>
      <c r="D763" s="252" t="s">
        <v>44</v>
      </c>
      <c r="E763" s="252">
        <v>4</v>
      </c>
      <c r="F763" s="252" t="s">
        <v>1369</v>
      </c>
      <c r="G763" s="252"/>
      <c r="H763" s="269" t="s">
        <v>1368</v>
      </c>
    </row>
  </sheetData>
  <mergeCells count="3">
    <mergeCell ref="A2:I2"/>
    <mergeCell ref="A4:H4"/>
    <mergeCell ref="A736:H736"/>
  </mergeCells>
  <conditionalFormatting sqref="B207 B572:B599 B265:B292 B319:B519 B1:B125 B135:B196 B764:B1048576 B650:B715 B734:B755">
    <cfRule type="containsText" dxfId="28" priority="43" operator="containsText" text="ims">
      <formula>NOT(ISERROR(SEARCH("ims",B1)))</formula>
    </cfRule>
  </conditionalFormatting>
  <conditionalFormatting sqref="B208:B209 B601:B640 B212:B252">
    <cfRule type="containsText" dxfId="27" priority="42" operator="containsText" text="ims">
      <formula>NOT(ISERROR(SEARCH("ims",B208)))</formula>
    </cfRule>
  </conditionalFormatting>
  <conditionalFormatting sqref="B320:B352">
    <cfRule type="containsText" dxfId="26" priority="41" operator="containsText" text="ims">
      <formula>NOT(ISERROR(SEARCH("ims",B320)))</formula>
    </cfRule>
  </conditionalFormatting>
  <conditionalFormatting sqref="B320:B352">
    <cfRule type="containsText" dxfId="25" priority="40" operator="containsText" text="ims">
      <formula>NOT(ISERROR(SEARCH("ims",B320)))</formula>
    </cfRule>
  </conditionalFormatting>
  <conditionalFormatting sqref="B518:B519">
    <cfRule type="containsText" dxfId="24" priority="37" operator="containsText" text="ims">
      <formula>NOT(ISERROR(SEARCH("ims",B518)))</formula>
    </cfRule>
  </conditionalFormatting>
  <conditionalFormatting sqref="B600">
    <cfRule type="containsText" dxfId="23" priority="35" operator="containsText" text="ims">
      <formula>NOT(ISERROR(SEARCH("ims",B600)))</formula>
    </cfRule>
  </conditionalFormatting>
  <conditionalFormatting sqref="B253:B262">
    <cfRule type="containsText" dxfId="22" priority="34" operator="containsText" text="ims">
      <formula>NOT(ISERROR(SEARCH("ims",B253)))</formula>
    </cfRule>
  </conditionalFormatting>
  <conditionalFormatting sqref="B649">
    <cfRule type="containsText" dxfId="21" priority="31" operator="containsText" text="ims">
      <formula>NOT(ISERROR(SEARCH("ims",B649)))</formula>
    </cfRule>
  </conditionalFormatting>
  <conditionalFormatting sqref="B641:B649">
    <cfRule type="containsText" dxfId="20" priority="33" operator="containsText" text="ims">
      <formula>NOT(ISERROR(SEARCH("ims",B641)))</formula>
    </cfRule>
  </conditionalFormatting>
  <conditionalFormatting sqref="B642">
    <cfRule type="containsText" dxfId="19" priority="32" operator="containsText" text="ims">
      <formula>NOT(ISERROR(SEARCH("ims",B642)))</formula>
    </cfRule>
  </conditionalFormatting>
  <conditionalFormatting sqref="B263:B264">
    <cfRule type="containsText" dxfId="18" priority="30" operator="containsText" text="ims">
      <formula>NOT(ISERROR(SEARCH("ims",B263)))</formula>
    </cfRule>
  </conditionalFormatting>
  <conditionalFormatting sqref="B263:B264">
    <cfRule type="containsText" dxfId="17" priority="29" operator="containsText" text="ims">
      <formula>NOT(ISERROR(SEARCH("ims",B263)))</formula>
    </cfRule>
  </conditionalFormatting>
  <conditionalFormatting sqref="B199:B201">
    <cfRule type="containsText" dxfId="16" priority="21" operator="containsText" text="/ims/">
      <formula>NOT(ISERROR(SEARCH("/ims/",B199)))</formula>
    </cfRule>
  </conditionalFormatting>
  <conditionalFormatting sqref="B520:B571">
    <cfRule type="containsText" dxfId="15" priority="19" operator="containsText" text="ims">
      <formula>NOT(ISERROR(SEARCH("ims",B520)))</formula>
    </cfRule>
    <cfRule type="containsText" dxfId="14" priority="20" operator="containsText" text="ims">
      <formula>NOT(ISERROR(SEARCH("ims",B520)))</formula>
    </cfRule>
  </conditionalFormatting>
  <conditionalFormatting sqref="B205">
    <cfRule type="containsText" dxfId="13" priority="18" operator="containsText" text="ims">
      <formula>NOT(ISERROR(SEARCH("ims",B205)))</formula>
    </cfRule>
  </conditionalFormatting>
  <conditionalFormatting sqref="B210:B211">
    <cfRule type="containsText" dxfId="12" priority="17" operator="containsText" text="ims">
      <formula>NOT(ISERROR(SEARCH("ims",B210)))</formula>
    </cfRule>
  </conditionalFormatting>
  <conditionalFormatting sqref="B293:B298">
    <cfRule type="containsText" dxfId="11" priority="16" operator="containsText" text="ims">
      <formula>NOT(ISERROR(SEARCH("ims",B293)))</formula>
    </cfRule>
  </conditionalFormatting>
  <conditionalFormatting sqref="B299:B318">
    <cfRule type="containsText" dxfId="10" priority="15" operator="containsText" text="ims">
      <formula>NOT(ISERROR(SEARCH("ims",B299)))</formula>
    </cfRule>
  </conditionalFormatting>
  <conditionalFormatting sqref="B716:B727">
    <cfRule type="containsText" dxfId="9" priority="14" operator="containsText" text="ims">
      <formula>NOT(ISERROR(SEARCH("ims",B716)))</formula>
    </cfRule>
  </conditionalFormatting>
  <conditionalFormatting sqref="B127:B134">
    <cfRule type="containsText" dxfId="8" priority="9" operator="containsText" text="ims">
      <formula>NOT(ISERROR(SEARCH("ims",B127)))</formula>
    </cfRule>
  </conditionalFormatting>
  <conditionalFormatting sqref="B126">
    <cfRule type="containsText" dxfId="7" priority="8" operator="containsText" text="ims">
      <formula>NOT(ISERROR(SEARCH("ims",B126)))</formula>
    </cfRule>
  </conditionalFormatting>
  <conditionalFormatting sqref="B756:B763">
    <cfRule type="containsText" dxfId="6" priority="7" operator="containsText" text="ims">
      <formula>NOT(ISERROR(SEARCH("ims",B756)))</formula>
    </cfRule>
  </conditionalFormatting>
  <conditionalFormatting sqref="B732">
    <cfRule type="containsText" dxfId="5" priority="4" operator="containsText" text="/ims/">
      <formula>NOT(ISERROR(SEARCH("/ims/",B732)))</formula>
    </cfRule>
  </conditionalFormatting>
  <conditionalFormatting sqref="B707:B708">
    <cfRule type="containsText" dxfId="4" priority="3" operator="containsText" text="ims">
      <formula>NOT(ISERROR(SEARCH("ims",B707)))</formula>
    </cfRule>
  </conditionalFormatting>
  <conditionalFormatting sqref="B197:B198">
    <cfRule type="containsText" dxfId="3" priority="1" operator="containsText" text="ims">
      <formula>NOT(ISERROR(SEARCH("ims",B197)))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5" operator="containsText" text="ims" id="{FDE1FB58-FAC8-4D5F-9E6B-FAC37CF8FDC8}">
            <xm:f>NOT(ISERROR(SEARCH("ims",'\Users\c_kperiy\AppData\Local\Temp\p4v\c_kperiy_qcthydp4p01_1668\components\rel\mcfg.mpss\6.0\mcfg_gen\generic\NA\ATT\[MCFG_SW_Items_List_Macro#32.xlsm]VoLTE'!#REF!)))</xm:f>
            <x14:dxf>
              <font>
                <color rgb="FF9C0006"/>
              </font>
              <fill>
                <patternFill>
                  <bgColor rgb="FFFFC7CE"/>
                </patternFill>
              </fill>
            </x14:dxf>
          </x14:cfRule>
          <xm:sqref>B728</xm:sqref>
        </x14:conditionalFormatting>
        <x14:conditionalFormatting xmlns:xm="http://schemas.microsoft.com/office/excel/2006/main">
          <x14:cfRule type="containsText" priority="6" operator="containsText" text="/ims/" id="{DBBEBF6B-C14F-4630-A1FA-0C3171E3A581}">
            <xm:f>NOT(ISERROR(SEARCH("/ims/",Non_VoLTE!B677)))</xm:f>
            <x14:dxf>
              <font>
                <color rgb="FF9C0006"/>
              </font>
              <fill>
                <patternFill>
                  <bgColor rgb="FFFFC7CE"/>
                </patternFill>
              </fill>
            </x14:dxf>
          </x14:cfRule>
          <xm:sqref>B729:B731</xm:sqref>
        </x14:conditionalFormatting>
        <x14:conditionalFormatting xmlns:xm="http://schemas.microsoft.com/office/excel/2006/main">
          <x14:cfRule type="containsText" priority="2" operator="containsText" text="ims" id="{F46785A8-D718-4BAB-ADAE-184F35CE500C}">
            <xm:f>NOT(ISERROR(SEARCH("ims",'\Users\c_kperiy\AppData\Local\Temp\p4v\c_kperiy_qcthydp4p01_1668\components\rel\mcfg.mpss\6.0\mcfg_gen\generic\NA\ATT\[MCFG_SW_Items_List_Macro#32.xlsm]VoLTE'!#REF!)))</xm:f>
            <x14:dxf>
              <font>
                <color rgb="FF9C0006"/>
              </font>
              <fill>
                <patternFill>
                  <bgColor rgb="FFFFC7CE"/>
                </patternFill>
              </fill>
            </x14:dxf>
          </x14:cfRule>
          <xm:sqref>B733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2:I178"/>
  <sheetViews>
    <sheetView topLeftCell="A160" zoomScale="80" zoomScaleNormal="80" workbookViewId="0">
      <selection activeCell="G178" sqref="G178"/>
    </sheetView>
  </sheetViews>
  <sheetFormatPr defaultColWidth="9.140625" defaultRowHeight="12.75" x14ac:dyDescent="0.2"/>
  <cols>
    <col min="1" max="1" width="2.85546875" style="19" customWidth="1"/>
    <col min="2" max="2" width="11.7109375" style="92" customWidth="1"/>
    <col min="3" max="3" width="12.85546875" style="92" bestFit="1" customWidth="1"/>
    <col min="4" max="4" width="56.28515625" style="19" bestFit="1" customWidth="1"/>
    <col min="5" max="5" width="20.5703125" style="92" customWidth="1"/>
    <col min="6" max="6" width="57.7109375" style="19" customWidth="1"/>
    <col min="7" max="7" width="53.28515625" style="19" customWidth="1"/>
    <col min="8" max="8" width="9.140625" style="19" customWidth="1"/>
    <col min="9" max="11" width="9.140625" style="19"/>
    <col min="12" max="12" width="10.85546875" style="19" bestFit="1" customWidth="1"/>
    <col min="13" max="16384" width="9.140625" style="19"/>
  </cols>
  <sheetData>
    <row r="2" spans="2:7" s="18" customFormat="1" ht="45" customHeight="1" x14ac:dyDescent="0.55000000000000004">
      <c r="B2" s="98" t="s">
        <v>39</v>
      </c>
      <c r="C2" s="98"/>
      <c r="D2" s="94"/>
      <c r="E2" s="98"/>
      <c r="F2" s="94"/>
      <c r="G2" s="94"/>
    </row>
    <row r="3" spans="2:7" ht="13.5" thickBot="1" x14ac:dyDescent="0.25"/>
    <row r="4" spans="2:7" ht="15.75" thickBot="1" x14ac:dyDescent="0.35">
      <c r="D4" s="105" t="s">
        <v>440</v>
      </c>
      <c r="E4" s="101"/>
    </row>
    <row r="5" spans="2:7" x14ac:dyDescent="0.2">
      <c r="D5" s="19" t="s">
        <v>441</v>
      </c>
      <c r="E5" s="92">
        <v>2</v>
      </c>
    </row>
    <row r="6" spans="2:7" x14ac:dyDescent="0.2">
      <c r="D6" s="19" t="s">
        <v>442</v>
      </c>
      <c r="E6" s="92">
        <v>377</v>
      </c>
    </row>
    <row r="7" spans="2:7" ht="13.5" thickBot="1" x14ac:dyDescent="0.25"/>
    <row r="8" spans="2:7" s="20" customFormat="1" ht="15.75" thickBot="1" x14ac:dyDescent="0.35">
      <c r="B8" s="5" t="s">
        <v>40</v>
      </c>
      <c r="C8" s="101" t="s">
        <v>36</v>
      </c>
      <c r="D8" s="105" t="s">
        <v>37</v>
      </c>
      <c r="E8" s="101" t="s">
        <v>38</v>
      </c>
      <c r="F8" s="95" t="s">
        <v>3</v>
      </c>
      <c r="G8" s="91" t="s">
        <v>280</v>
      </c>
    </row>
    <row r="9" spans="2:7" s="28" customFormat="1" ht="15" x14ac:dyDescent="0.3">
      <c r="B9" s="86"/>
      <c r="C9" s="109"/>
      <c r="D9" s="107"/>
      <c r="E9" s="99"/>
      <c r="F9" s="96"/>
      <c r="G9" s="87"/>
    </row>
    <row r="10" spans="2:7" s="28" customFormat="1" ht="15" x14ac:dyDescent="0.3">
      <c r="B10" s="88">
        <v>1</v>
      </c>
      <c r="C10" s="110">
        <v>41571</v>
      </c>
      <c r="D10" s="106" t="s">
        <v>289</v>
      </c>
      <c r="E10" s="100">
        <v>566149</v>
      </c>
      <c r="F10" s="97" t="s">
        <v>288</v>
      </c>
      <c r="G10" s="89" t="s">
        <v>287</v>
      </c>
    </row>
    <row r="11" spans="2:7" s="28" customFormat="1" ht="90" x14ac:dyDescent="0.3">
      <c r="B11" s="88">
        <v>4</v>
      </c>
      <c r="C11" s="110">
        <v>41577</v>
      </c>
      <c r="D11" s="106" t="s">
        <v>290</v>
      </c>
      <c r="E11" s="100">
        <v>568683</v>
      </c>
      <c r="F11" s="97" t="s">
        <v>291</v>
      </c>
      <c r="G11" s="89" t="s">
        <v>292</v>
      </c>
    </row>
    <row r="12" spans="2:7" s="28" customFormat="1" ht="75" x14ac:dyDescent="0.3">
      <c r="B12" s="88">
        <v>5</v>
      </c>
      <c r="C12" s="110">
        <v>41577</v>
      </c>
      <c r="D12" s="106" t="s">
        <v>293</v>
      </c>
      <c r="E12" s="100">
        <v>568646</v>
      </c>
      <c r="F12" s="97" t="s">
        <v>295</v>
      </c>
      <c r="G12" s="89" t="s">
        <v>294</v>
      </c>
    </row>
    <row r="13" spans="2:7" s="28" customFormat="1" ht="30" x14ac:dyDescent="0.3">
      <c r="B13" s="88">
        <v>6</v>
      </c>
      <c r="C13" s="110">
        <v>41577</v>
      </c>
      <c r="D13" s="106" t="s">
        <v>296</v>
      </c>
      <c r="E13" s="100">
        <v>527130</v>
      </c>
      <c r="F13" s="97" t="s">
        <v>297</v>
      </c>
      <c r="G13" s="89" t="s">
        <v>298</v>
      </c>
    </row>
    <row r="14" spans="2:7" s="28" customFormat="1" ht="195" x14ac:dyDescent="0.3">
      <c r="B14" s="88">
        <v>10</v>
      </c>
      <c r="C14" s="110">
        <v>41586</v>
      </c>
      <c r="D14" s="106" t="s">
        <v>300</v>
      </c>
      <c r="E14" s="100">
        <v>572776</v>
      </c>
      <c r="F14" s="97" t="s">
        <v>301</v>
      </c>
      <c r="G14" s="89" t="s">
        <v>302</v>
      </c>
    </row>
    <row r="15" spans="2:7" s="28" customFormat="1" ht="30" x14ac:dyDescent="0.3">
      <c r="B15" s="88">
        <v>12</v>
      </c>
      <c r="C15" s="110">
        <v>41591</v>
      </c>
      <c r="D15" s="106" t="s">
        <v>303</v>
      </c>
      <c r="E15" s="100">
        <v>573207</v>
      </c>
      <c r="F15" s="97" t="s">
        <v>304</v>
      </c>
      <c r="G15" s="89" t="s">
        <v>305</v>
      </c>
    </row>
    <row r="16" spans="2:7" s="28" customFormat="1" ht="75" x14ac:dyDescent="0.3">
      <c r="B16" s="88">
        <v>13</v>
      </c>
      <c r="C16" s="110">
        <v>41592</v>
      </c>
      <c r="D16" s="106" t="s">
        <v>306</v>
      </c>
      <c r="E16" s="100">
        <v>575756</v>
      </c>
      <c r="F16" s="97" t="s">
        <v>308</v>
      </c>
      <c r="G16" s="89" t="s">
        <v>307</v>
      </c>
    </row>
    <row r="17" spans="2:7" s="28" customFormat="1" ht="45" x14ac:dyDescent="0.3">
      <c r="B17" s="88">
        <v>15</v>
      </c>
      <c r="C17" s="110">
        <v>41593</v>
      </c>
      <c r="D17" s="106" t="s">
        <v>306</v>
      </c>
      <c r="E17" s="100">
        <v>575733</v>
      </c>
      <c r="F17" s="97" t="s">
        <v>309</v>
      </c>
      <c r="G17" s="89" t="s">
        <v>310</v>
      </c>
    </row>
    <row r="18" spans="2:7" s="28" customFormat="1" ht="30" x14ac:dyDescent="0.3">
      <c r="B18" s="88">
        <v>17</v>
      </c>
      <c r="C18" s="110">
        <v>41605</v>
      </c>
      <c r="D18" s="106" t="s">
        <v>303</v>
      </c>
      <c r="E18" s="100">
        <v>582187</v>
      </c>
      <c r="F18" s="97" t="s">
        <v>311</v>
      </c>
      <c r="G18" s="89" t="s">
        <v>312</v>
      </c>
    </row>
    <row r="19" spans="2:7" s="28" customFormat="1" ht="75" x14ac:dyDescent="0.3">
      <c r="B19" s="88">
        <v>18</v>
      </c>
      <c r="C19" s="110">
        <v>41612</v>
      </c>
      <c r="D19" s="106" t="s">
        <v>316</v>
      </c>
      <c r="E19" s="100">
        <v>584363</v>
      </c>
      <c r="F19" s="97" t="s">
        <v>314</v>
      </c>
      <c r="G19" s="89" t="s">
        <v>315</v>
      </c>
    </row>
    <row r="20" spans="2:7" s="28" customFormat="1" ht="30" x14ac:dyDescent="0.3">
      <c r="B20" s="88">
        <v>20</v>
      </c>
      <c r="C20" s="110">
        <v>41620</v>
      </c>
      <c r="D20" s="106" t="s">
        <v>306</v>
      </c>
      <c r="E20" s="102">
        <v>588451</v>
      </c>
      <c r="F20" s="97" t="s">
        <v>317</v>
      </c>
      <c r="G20" s="89" t="s">
        <v>318</v>
      </c>
    </row>
    <row r="21" spans="2:7" s="28" customFormat="1" ht="60" x14ac:dyDescent="0.3">
      <c r="B21" s="88">
        <v>23</v>
      </c>
      <c r="C21" s="110">
        <v>41631</v>
      </c>
      <c r="D21" s="106" t="s">
        <v>319</v>
      </c>
      <c r="E21" s="100">
        <v>593228</v>
      </c>
      <c r="F21" s="97" t="s">
        <v>509</v>
      </c>
      <c r="G21" s="89" t="s">
        <v>320</v>
      </c>
    </row>
    <row r="22" spans="2:7" s="28" customFormat="1" ht="105" x14ac:dyDescent="0.3">
      <c r="B22" s="88">
        <v>24</v>
      </c>
      <c r="C22" s="110">
        <v>41281</v>
      </c>
      <c r="D22" s="106" t="s">
        <v>319</v>
      </c>
      <c r="E22" s="100">
        <v>593228</v>
      </c>
      <c r="F22" s="97" t="s">
        <v>510</v>
      </c>
      <c r="G22" s="89" t="s">
        <v>321</v>
      </c>
    </row>
    <row r="23" spans="2:7" s="28" customFormat="1" ht="30" x14ac:dyDescent="0.3">
      <c r="B23" s="88">
        <v>26</v>
      </c>
      <c r="C23" s="110">
        <v>41660</v>
      </c>
      <c r="D23" s="106" t="s">
        <v>322</v>
      </c>
      <c r="E23" s="102">
        <v>605080</v>
      </c>
      <c r="F23" s="97" t="s">
        <v>324</v>
      </c>
      <c r="G23" s="89" t="s">
        <v>323</v>
      </c>
    </row>
    <row r="24" spans="2:7" s="28" customFormat="1" ht="45" x14ac:dyDescent="0.3">
      <c r="B24" s="88">
        <v>27</v>
      </c>
      <c r="C24" s="110">
        <v>41666</v>
      </c>
      <c r="D24" s="106" t="s">
        <v>322</v>
      </c>
      <c r="E24" s="102">
        <v>600954</v>
      </c>
      <c r="F24" s="97" t="s">
        <v>326</v>
      </c>
      <c r="G24" s="89" t="s">
        <v>325</v>
      </c>
    </row>
    <row r="25" spans="2:7" s="28" customFormat="1" ht="30" x14ac:dyDescent="0.3">
      <c r="B25" s="88">
        <v>28</v>
      </c>
      <c r="C25" s="110">
        <v>41667</v>
      </c>
      <c r="D25" s="106" t="s">
        <v>322</v>
      </c>
      <c r="E25" s="102">
        <v>607795</v>
      </c>
      <c r="F25" s="97" t="s">
        <v>328</v>
      </c>
      <c r="G25" s="89" t="s">
        <v>327</v>
      </c>
    </row>
    <row r="26" spans="2:7" s="28" customFormat="1" ht="75" x14ac:dyDescent="0.3">
      <c r="B26" s="88">
        <v>29</v>
      </c>
      <c r="C26" s="110">
        <v>41668</v>
      </c>
      <c r="D26" s="106" t="s">
        <v>329</v>
      </c>
      <c r="E26" s="102">
        <v>604548</v>
      </c>
      <c r="F26" s="97" t="s">
        <v>330</v>
      </c>
      <c r="G26" s="89" t="s">
        <v>331</v>
      </c>
    </row>
    <row r="27" spans="2:7" s="28" customFormat="1" ht="183" customHeight="1" x14ac:dyDescent="0.3">
      <c r="B27" s="88">
        <v>30</v>
      </c>
      <c r="C27" s="110">
        <v>41669</v>
      </c>
      <c r="D27" s="106" t="s">
        <v>333</v>
      </c>
      <c r="E27" s="102">
        <v>595984</v>
      </c>
      <c r="F27" s="97" t="s">
        <v>334</v>
      </c>
      <c r="G27" s="89" t="s">
        <v>332</v>
      </c>
    </row>
    <row r="28" spans="2:7" s="28" customFormat="1" ht="18" customHeight="1" x14ac:dyDescent="0.3">
      <c r="B28" s="88">
        <v>31</v>
      </c>
      <c r="C28" s="110">
        <v>41668</v>
      </c>
      <c r="D28" s="106" t="s">
        <v>335</v>
      </c>
      <c r="E28" s="102">
        <v>606544</v>
      </c>
      <c r="F28" s="97"/>
      <c r="G28" s="89" t="s">
        <v>336</v>
      </c>
    </row>
    <row r="29" spans="2:7" s="28" customFormat="1" ht="90" x14ac:dyDescent="0.3">
      <c r="B29" s="88">
        <v>32</v>
      </c>
      <c r="C29" s="110">
        <v>41676</v>
      </c>
      <c r="D29" s="106" t="s">
        <v>337</v>
      </c>
      <c r="E29" s="102">
        <v>612629</v>
      </c>
      <c r="F29" s="97" t="s">
        <v>339</v>
      </c>
      <c r="G29" s="89" t="s">
        <v>338</v>
      </c>
    </row>
    <row r="30" spans="2:7" s="28" customFormat="1" ht="65.25" customHeight="1" x14ac:dyDescent="0.3">
      <c r="B30" s="88">
        <v>33</v>
      </c>
      <c r="C30" s="110">
        <v>41677</v>
      </c>
      <c r="D30" s="106" t="s">
        <v>345</v>
      </c>
      <c r="E30" s="102">
        <v>612082</v>
      </c>
      <c r="F30" s="97" t="s">
        <v>346</v>
      </c>
      <c r="G30" s="89" t="s">
        <v>350</v>
      </c>
    </row>
    <row r="31" spans="2:7" s="28" customFormat="1" ht="65.25" customHeight="1" x14ac:dyDescent="0.3">
      <c r="B31" s="88">
        <v>34</v>
      </c>
      <c r="C31" s="110">
        <v>41683</v>
      </c>
      <c r="D31" s="106" t="s">
        <v>322</v>
      </c>
      <c r="E31" s="102">
        <v>615255</v>
      </c>
      <c r="F31" s="97" t="s">
        <v>352</v>
      </c>
      <c r="G31" s="89" t="s">
        <v>351</v>
      </c>
    </row>
    <row r="32" spans="2:7" s="28" customFormat="1" ht="195" x14ac:dyDescent="0.3">
      <c r="B32" s="88">
        <v>35</v>
      </c>
      <c r="C32" s="110">
        <v>41684</v>
      </c>
      <c r="D32" s="106" t="s">
        <v>353</v>
      </c>
      <c r="E32" s="102">
        <v>615268</v>
      </c>
      <c r="F32" s="97" t="s">
        <v>355</v>
      </c>
      <c r="G32" s="89" t="s">
        <v>354</v>
      </c>
    </row>
    <row r="33" spans="2:7" s="28" customFormat="1" ht="60" x14ac:dyDescent="0.3">
      <c r="B33" s="88">
        <v>36</v>
      </c>
      <c r="C33" s="110">
        <v>41689</v>
      </c>
      <c r="D33" s="106" t="s">
        <v>303</v>
      </c>
      <c r="E33" s="102">
        <v>619733</v>
      </c>
      <c r="F33" s="97" t="s">
        <v>357</v>
      </c>
      <c r="G33" s="89" t="s">
        <v>356</v>
      </c>
    </row>
    <row r="34" spans="2:7" s="28" customFormat="1" ht="150" x14ac:dyDescent="0.3">
      <c r="B34" s="88">
        <v>38</v>
      </c>
      <c r="C34" s="110">
        <v>41690</v>
      </c>
      <c r="D34" s="106" t="s">
        <v>358</v>
      </c>
      <c r="E34" s="102">
        <v>619478</v>
      </c>
      <c r="F34" s="97" t="s">
        <v>360</v>
      </c>
      <c r="G34" s="89" t="s">
        <v>359</v>
      </c>
    </row>
    <row r="35" spans="2:7" s="28" customFormat="1" ht="75" x14ac:dyDescent="0.3">
      <c r="B35" s="88">
        <v>39</v>
      </c>
      <c r="C35" s="110">
        <v>41695</v>
      </c>
      <c r="D35" s="106" t="s">
        <v>303</v>
      </c>
      <c r="E35" s="102">
        <v>622214</v>
      </c>
      <c r="F35" s="97" t="s">
        <v>365</v>
      </c>
      <c r="G35" s="89" t="s">
        <v>364</v>
      </c>
    </row>
    <row r="36" spans="2:7" s="28" customFormat="1" ht="30" x14ac:dyDescent="0.3">
      <c r="B36" s="88">
        <v>41</v>
      </c>
      <c r="C36" s="110">
        <v>41697</v>
      </c>
      <c r="D36" s="106" t="s">
        <v>306</v>
      </c>
      <c r="E36" s="103">
        <v>622664</v>
      </c>
      <c r="F36" s="97" t="s">
        <v>366</v>
      </c>
      <c r="G36" s="89" t="s">
        <v>367</v>
      </c>
    </row>
    <row r="37" spans="2:7" s="28" customFormat="1" ht="90" x14ac:dyDescent="0.3">
      <c r="B37" s="88">
        <v>42</v>
      </c>
      <c r="C37" s="110">
        <v>41698</v>
      </c>
      <c r="D37" s="106" t="s">
        <v>383</v>
      </c>
      <c r="E37" s="103">
        <v>623601</v>
      </c>
      <c r="F37" s="97" t="s">
        <v>384</v>
      </c>
      <c r="G37" s="89" t="s">
        <v>385</v>
      </c>
    </row>
    <row r="38" spans="2:7" s="28" customFormat="1" ht="120" x14ac:dyDescent="0.3">
      <c r="B38" s="88">
        <v>43</v>
      </c>
      <c r="C38" s="110">
        <v>41705</v>
      </c>
      <c r="D38" s="106" t="s">
        <v>389</v>
      </c>
      <c r="E38" s="103">
        <v>626253</v>
      </c>
      <c r="F38" s="97" t="s">
        <v>391</v>
      </c>
      <c r="G38" s="89" t="s">
        <v>390</v>
      </c>
    </row>
    <row r="39" spans="2:7" s="28" customFormat="1" ht="105" x14ac:dyDescent="0.3">
      <c r="B39" s="88">
        <v>44</v>
      </c>
      <c r="C39" s="110">
        <v>41709</v>
      </c>
      <c r="D39" s="106" t="s">
        <v>293</v>
      </c>
      <c r="E39" s="103" t="s">
        <v>392</v>
      </c>
      <c r="F39" s="97" t="s">
        <v>394</v>
      </c>
      <c r="G39" s="89" t="s">
        <v>393</v>
      </c>
    </row>
    <row r="40" spans="2:7" s="28" customFormat="1" ht="165" x14ac:dyDescent="0.3">
      <c r="B40" s="88">
        <v>45</v>
      </c>
      <c r="C40" s="110">
        <v>41710</v>
      </c>
      <c r="D40" s="106" t="s">
        <v>409</v>
      </c>
      <c r="E40" s="103">
        <v>598055</v>
      </c>
      <c r="F40" s="97" t="s">
        <v>411</v>
      </c>
      <c r="G40" s="89" t="s">
        <v>410</v>
      </c>
    </row>
    <row r="41" spans="2:7" s="28" customFormat="1" ht="30" x14ac:dyDescent="0.3">
      <c r="B41" s="88">
        <v>46</v>
      </c>
      <c r="C41" s="110">
        <v>41716</v>
      </c>
      <c r="D41" s="106" t="s">
        <v>303</v>
      </c>
      <c r="E41" s="103">
        <v>634822</v>
      </c>
      <c r="F41" s="97" t="s">
        <v>412</v>
      </c>
      <c r="G41" s="89" t="s">
        <v>413</v>
      </c>
    </row>
    <row r="42" spans="2:7" s="28" customFormat="1" ht="30" x14ac:dyDescent="0.3">
      <c r="B42" s="88">
        <v>47</v>
      </c>
      <c r="C42" s="110">
        <v>41717</v>
      </c>
      <c r="D42" s="106" t="s">
        <v>303</v>
      </c>
      <c r="E42" s="103">
        <v>634830</v>
      </c>
      <c r="F42" s="97" t="s">
        <v>415</v>
      </c>
      <c r="G42" s="89" t="s">
        <v>414</v>
      </c>
    </row>
    <row r="43" spans="2:7" s="28" customFormat="1" ht="195" x14ac:dyDescent="0.3">
      <c r="B43" s="88">
        <v>48</v>
      </c>
      <c r="C43" s="110">
        <v>41722</v>
      </c>
      <c r="D43" s="106" t="s">
        <v>409</v>
      </c>
      <c r="E43" s="103">
        <v>637527</v>
      </c>
      <c r="F43" s="97" t="s">
        <v>417</v>
      </c>
      <c r="G43" s="89" t="s">
        <v>416</v>
      </c>
    </row>
    <row r="44" spans="2:7" s="28" customFormat="1" ht="30" x14ac:dyDescent="0.3">
      <c r="B44" s="88">
        <v>49</v>
      </c>
      <c r="C44" s="110">
        <v>41723</v>
      </c>
      <c r="D44" s="106" t="s">
        <v>306</v>
      </c>
      <c r="E44" s="103">
        <v>627760</v>
      </c>
      <c r="F44" s="97" t="s">
        <v>418</v>
      </c>
      <c r="G44" s="89" t="s">
        <v>419</v>
      </c>
    </row>
    <row r="45" spans="2:7" s="28" customFormat="1" ht="30" x14ac:dyDescent="0.3">
      <c r="B45" s="88">
        <v>51</v>
      </c>
      <c r="C45" s="110">
        <v>41729</v>
      </c>
      <c r="D45" s="106" t="s">
        <v>303</v>
      </c>
      <c r="E45" s="103">
        <v>640206</v>
      </c>
      <c r="F45" s="97" t="s">
        <v>420</v>
      </c>
      <c r="G45" s="89" t="s">
        <v>421</v>
      </c>
    </row>
    <row r="46" spans="2:7" s="28" customFormat="1" ht="15" x14ac:dyDescent="0.3">
      <c r="B46" s="88">
        <v>52</v>
      </c>
      <c r="C46" s="110">
        <v>41730</v>
      </c>
      <c r="D46" s="106" t="s">
        <v>423</v>
      </c>
      <c r="E46" s="103">
        <v>636005</v>
      </c>
      <c r="F46" s="97" t="s">
        <v>424</v>
      </c>
      <c r="G46" s="89" t="s">
        <v>422</v>
      </c>
    </row>
    <row r="47" spans="2:7" s="28" customFormat="1" ht="105" x14ac:dyDescent="0.3">
      <c r="B47" s="88">
        <v>53</v>
      </c>
      <c r="C47" s="110">
        <v>41730</v>
      </c>
      <c r="D47" s="106" t="s">
        <v>306</v>
      </c>
      <c r="E47" s="103">
        <v>640507</v>
      </c>
      <c r="F47" s="97" t="s">
        <v>425</v>
      </c>
      <c r="G47" s="89" t="s">
        <v>426</v>
      </c>
    </row>
    <row r="48" spans="2:7" s="28" customFormat="1" ht="15" x14ac:dyDescent="0.3">
      <c r="B48" s="88">
        <v>54</v>
      </c>
      <c r="C48" s="110">
        <v>41731</v>
      </c>
      <c r="D48" s="106" t="s">
        <v>303</v>
      </c>
      <c r="E48" s="103">
        <v>641997</v>
      </c>
      <c r="F48" s="97" t="s">
        <v>427</v>
      </c>
      <c r="G48" s="89" t="s">
        <v>428</v>
      </c>
    </row>
    <row r="49" spans="2:7" s="28" customFormat="1" ht="165" x14ac:dyDescent="0.3">
      <c r="B49" s="88">
        <v>57</v>
      </c>
      <c r="C49" s="110">
        <v>41750</v>
      </c>
      <c r="D49" s="106" t="s">
        <v>430</v>
      </c>
      <c r="E49" s="103">
        <v>636791</v>
      </c>
      <c r="F49" s="97" t="s">
        <v>431</v>
      </c>
      <c r="G49" s="89" t="s">
        <v>429</v>
      </c>
    </row>
    <row r="50" spans="2:7" s="28" customFormat="1" ht="93.75" customHeight="1" x14ac:dyDescent="0.3">
      <c r="B50" s="88">
        <v>58</v>
      </c>
      <c r="C50" s="110">
        <v>41753</v>
      </c>
      <c r="D50" s="106" t="s">
        <v>432</v>
      </c>
      <c r="E50" s="103">
        <v>651193</v>
      </c>
      <c r="F50" s="97" t="s">
        <v>433</v>
      </c>
      <c r="G50" s="89" t="s">
        <v>434</v>
      </c>
    </row>
    <row r="51" spans="2:7" s="28" customFormat="1" ht="60" x14ac:dyDescent="0.3">
      <c r="B51" s="88">
        <v>59</v>
      </c>
      <c r="C51" s="110">
        <v>41754</v>
      </c>
      <c r="D51" s="106" t="s">
        <v>293</v>
      </c>
      <c r="E51" s="103">
        <v>643085</v>
      </c>
      <c r="F51" s="97" t="s">
        <v>508</v>
      </c>
      <c r="G51" s="89" t="s">
        <v>435</v>
      </c>
    </row>
    <row r="52" spans="2:7" s="28" customFormat="1" ht="120" x14ac:dyDescent="0.3">
      <c r="B52" s="88">
        <v>60</v>
      </c>
      <c r="C52" s="110">
        <v>41757</v>
      </c>
      <c r="D52" s="106" t="s">
        <v>436</v>
      </c>
      <c r="E52" s="103">
        <v>652703</v>
      </c>
      <c r="F52" s="97" t="s">
        <v>437</v>
      </c>
      <c r="G52" s="89" t="s">
        <v>439</v>
      </c>
    </row>
    <row r="53" spans="2:7" s="28" customFormat="1" ht="30" x14ac:dyDescent="0.3">
      <c r="B53" s="88">
        <v>63</v>
      </c>
      <c r="C53" s="110">
        <v>41759</v>
      </c>
      <c r="D53" s="106" t="s">
        <v>443</v>
      </c>
      <c r="E53" s="103">
        <v>624590</v>
      </c>
      <c r="F53" s="97" t="s">
        <v>445</v>
      </c>
      <c r="G53" s="89" t="s">
        <v>444</v>
      </c>
    </row>
    <row r="54" spans="2:7" s="28" customFormat="1" ht="15" x14ac:dyDescent="0.3">
      <c r="B54" s="88">
        <v>64</v>
      </c>
      <c r="C54" s="110">
        <v>41764</v>
      </c>
      <c r="D54" s="106" t="s">
        <v>446</v>
      </c>
      <c r="E54" s="103">
        <v>654168</v>
      </c>
      <c r="F54" s="97" t="s">
        <v>447</v>
      </c>
      <c r="G54" s="89"/>
    </row>
    <row r="55" spans="2:7" s="28" customFormat="1" ht="195" x14ac:dyDescent="0.3">
      <c r="B55" s="88">
        <v>65</v>
      </c>
      <c r="C55" s="110">
        <v>41765</v>
      </c>
      <c r="D55" s="106" t="s">
        <v>452</v>
      </c>
      <c r="E55" s="103">
        <v>653991</v>
      </c>
      <c r="F55" s="97" t="s">
        <v>451</v>
      </c>
      <c r="G55" s="89" t="s">
        <v>450</v>
      </c>
    </row>
    <row r="56" spans="2:7" s="28" customFormat="1" ht="27" x14ac:dyDescent="0.3">
      <c r="B56" s="88">
        <v>66</v>
      </c>
      <c r="C56" s="110">
        <v>41767</v>
      </c>
      <c r="D56" s="106" t="s">
        <v>453</v>
      </c>
      <c r="E56" s="103">
        <v>661656</v>
      </c>
      <c r="F56" s="97" t="s">
        <v>454</v>
      </c>
      <c r="G56" s="89" t="s">
        <v>455</v>
      </c>
    </row>
    <row r="57" spans="2:7" s="28" customFormat="1" ht="15" x14ac:dyDescent="0.3">
      <c r="B57" s="88">
        <v>67</v>
      </c>
      <c r="C57" s="110">
        <v>41768</v>
      </c>
      <c r="D57" s="106" t="s">
        <v>456</v>
      </c>
      <c r="E57" s="103">
        <v>661822</v>
      </c>
      <c r="F57" s="97" t="s">
        <v>457</v>
      </c>
      <c r="G57" s="89" t="s">
        <v>458</v>
      </c>
    </row>
    <row r="58" spans="2:7" s="28" customFormat="1" ht="30" x14ac:dyDescent="0.3">
      <c r="B58" s="88">
        <v>68</v>
      </c>
      <c r="C58" s="110">
        <v>41774</v>
      </c>
      <c r="D58" s="106" t="s">
        <v>452</v>
      </c>
      <c r="E58" s="103">
        <v>665181</v>
      </c>
      <c r="F58" s="97" t="s">
        <v>460</v>
      </c>
      <c r="G58" s="89" t="s">
        <v>459</v>
      </c>
    </row>
    <row r="59" spans="2:7" s="28" customFormat="1" ht="30" x14ac:dyDescent="0.3">
      <c r="B59" s="88">
        <v>69</v>
      </c>
      <c r="C59" s="110">
        <v>41782</v>
      </c>
      <c r="D59" s="106" t="s">
        <v>461</v>
      </c>
      <c r="E59" s="103">
        <v>668790</v>
      </c>
      <c r="F59" s="97" t="s">
        <v>462</v>
      </c>
      <c r="G59" s="89" t="s">
        <v>463</v>
      </c>
    </row>
    <row r="60" spans="2:7" s="28" customFormat="1" ht="90" x14ac:dyDescent="0.3">
      <c r="B60" s="88">
        <v>70</v>
      </c>
      <c r="C60" s="110">
        <v>41796</v>
      </c>
      <c r="D60" s="106" t="s">
        <v>464</v>
      </c>
      <c r="E60" s="103">
        <v>659628</v>
      </c>
      <c r="F60" s="97" t="s">
        <v>527</v>
      </c>
      <c r="G60" s="89" t="s">
        <v>465</v>
      </c>
    </row>
    <row r="61" spans="2:7" s="21" customFormat="1" ht="15" x14ac:dyDescent="0.3">
      <c r="B61" s="88">
        <v>71</v>
      </c>
      <c r="C61" s="110">
        <v>41796</v>
      </c>
      <c r="D61" s="97" t="s">
        <v>468</v>
      </c>
      <c r="E61" s="100">
        <v>658811</v>
      </c>
      <c r="F61" s="97" t="s">
        <v>466</v>
      </c>
      <c r="G61" s="89" t="s">
        <v>467</v>
      </c>
    </row>
    <row r="62" spans="2:7" s="21" customFormat="1" ht="45" x14ac:dyDescent="0.3">
      <c r="B62" s="88">
        <v>72</v>
      </c>
      <c r="C62" s="110">
        <v>41802</v>
      </c>
      <c r="D62" s="97" t="s">
        <v>470</v>
      </c>
      <c r="E62" s="100">
        <v>663855</v>
      </c>
      <c r="F62" s="97" t="s">
        <v>471</v>
      </c>
      <c r="G62" s="89" t="s">
        <v>472</v>
      </c>
    </row>
    <row r="63" spans="2:7" s="28" customFormat="1" ht="150" x14ac:dyDescent="0.3">
      <c r="B63" s="88">
        <v>73</v>
      </c>
      <c r="C63" s="110">
        <v>41802</v>
      </c>
      <c r="D63" s="106" t="s">
        <v>452</v>
      </c>
      <c r="E63" s="103" t="s">
        <v>473</v>
      </c>
      <c r="F63" s="97" t="s">
        <v>474</v>
      </c>
      <c r="G63" s="89" t="s">
        <v>469</v>
      </c>
    </row>
    <row r="64" spans="2:7" s="28" customFormat="1" ht="60" x14ac:dyDescent="0.3">
      <c r="B64" s="88">
        <v>74</v>
      </c>
      <c r="C64" s="110">
        <v>41805</v>
      </c>
      <c r="D64" s="106" t="s">
        <v>475</v>
      </c>
      <c r="E64" s="103">
        <v>663669</v>
      </c>
      <c r="F64" s="97" t="s">
        <v>477</v>
      </c>
      <c r="G64" s="89" t="s">
        <v>476</v>
      </c>
    </row>
    <row r="65" spans="2:7" s="28" customFormat="1" ht="15" x14ac:dyDescent="0.3">
      <c r="B65" s="88">
        <v>1</v>
      </c>
      <c r="C65" s="110">
        <v>41810</v>
      </c>
      <c r="D65" s="106" t="s">
        <v>479</v>
      </c>
      <c r="E65" s="103">
        <v>672662</v>
      </c>
      <c r="F65" s="97" t="s">
        <v>478</v>
      </c>
      <c r="G65" s="89"/>
    </row>
    <row r="66" spans="2:7" s="28" customFormat="1" ht="30" x14ac:dyDescent="0.3">
      <c r="B66" s="88">
        <v>2</v>
      </c>
      <c r="C66" s="110">
        <v>41813</v>
      </c>
      <c r="D66" s="106" t="s">
        <v>480</v>
      </c>
      <c r="E66" s="103">
        <v>682529</v>
      </c>
      <c r="F66" s="97" t="s">
        <v>482</v>
      </c>
      <c r="G66" s="89" t="s">
        <v>481</v>
      </c>
    </row>
    <row r="67" spans="2:7" s="28" customFormat="1" ht="15" x14ac:dyDescent="0.3">
      <c r="B67" s="88">
        <v>3</v>
      </c>
      <c r="C67" s="110">
        <v>41815</v>
      </c>
      <c r="D67" s="106" t="s">
        <v>475</v>
      </c>
      <c r="E67" s="103">
        <v>681659</v>
      </c>
      <c r="F67" s="97" t="s">
        <v>483</v>
      </c>
      <c r="G67" s="89" t="s">
        <v>484</v>
      </c>
    </row>
    <row r="68" spans="2:7" s="28" customFormat="1" ht="285" x14ac:dyDescent="0.3">
      <c r="B68" s="88">
        <v>4</v>
      </c>
      <c r="C68" s="110">
        <v>41821</v>
      </c>
      <c r="D68" s="106" t="s">
        <v>485</v>
      </c>
      <c r="E68" s="103">
        <v>681140</v>
      </c>
      <c r="F68" s="97" t="s">
        <v>487</v>
      </c>
      <c r="G68" s="89" t="s">
        <v>486</v>
      </c>
    </row>
    <row r="69" spans="2:7" s="28" customFormat="1" ht="52.5" x14ac:dyDescent="0.3">
      <c r="B69" s="88">
        <v>5</v>
      </c>
      <c r="C69" s="110">
        <v>41827</v>
      </c>
      <c r="D69" s="106" t="s">
        <v>485</v>
      </c>
      <c r="E69" s="103">
        <v>665030</v>
      </c>
      <c r="F69" s="97" t="s">
        <v>489</v>
      </c>
      <c r="G69" s="89" t="s">
        <v>488</v>
      </c>
    </row>
    <row r="70" spans="2:7" s="28" customFormat="1" ht="30" x14ac:dyDescent="0.3">
      <c r="B70" s="88">
        <v>6</v>
      </c>
      <c r="C70" s="110">
        <v>41828</v>
      </c>
      <c r="D70" s="106" t="s">
        <v>303</v>
      </c>
      <c r="E70" s="103">
        <v>688828</v>
      </c>
      <c r="F70" s="97" t="s">
        <v>491</v>
      </c>
      <c r="G70" s="89" t="s">
        <v>490</v>
      </c>
    </row>
    <row r="71" spans="2:7" s="28" customFormat="1" ht="39.75" x14ac:dyDescent="0.3">
      <c r="B71" s="88">
        <v>7</v>
      </c>
      <c r="C71" s="110">
        <v>41828</v>
      </c>
      <c r="D71" s="106" t="s">
        <v>485</v>
      </c>
      <c r="E71" s="103">
        <v>690091</v>
      </c>
      <c r="F71" s="97" t="s">
        <v>493</v>
      </c>
      <c r="G71" s="89" t="s">
        <v>492</v>
      </c>
    </row>
    <row r="72" spans="2:7" s="28" customFormat="1" ht="39.75" x14ac:dyDescent="0.3">
      <c r="B72" s="88">
        <v>8</v>
      </c>
      <c r="C72" s="110">
        <v>41829</v>
      </c>
      <c r="D72" s="106" t="s">
        <v>485</v>
      </c>
      <c r="E72" s="103">
        <v>690602</v>
      </c>
      <c r="F72" s="97" t="s">
        <v>494</v>
      </c>
      <c r="G72" s="89" t="s">
        <v>495</v>
      </c>
    </row>
    <row r="73" spans="2:7" s="28" customFormat="1" ht="180" x14ac:dyDescent="0.3">
      <c r="B73" s="88">
        <v>9</v>
      </c>
      <c r="C73" s="110">
        <v>41838</v>
      </c>
      <c r="D73" s="106" t="s">
        <v>496</v>
      </c>
      <c r="E73" s="103">
        <v>691941</v>
      </c>
      <c r="F73" s="97" t="s">
        <v>504</v>
      </c>
      <c r="G73" s="89" t="s">
        <v>497</v>
      </c>
    </row>
    <row r="74" spans="2:7" s="28" customFormat="1" ht="93.75" customHeight="1" x14ac:dyDescent="0.3">
      <c r="B74" s="88">
        <v>10</v>
      </c>
      <c r="C74" s="110">
        <v>41843</v>
      </c>
      <c r="D74" s="106" t="s">
        <v>505</v>
      </c>
      <c r="E74" s="103">
        <v>696680</v>
      </c>
      <c r="F74" s="97" t="s">
        <v>506</v>
      </c>
      <c r="G74" s="89" t="s">
        <v>507</v>
      </c>
    </row>
    <row r="75" spans="2:7" s="28" customFormat="1" ht="75" x14ac:dyDescent="0.3">
      <c r="B75" s="88">
        <v>11</v>
      </c>
      <c r="C75" s="110">
        <v>41848</v>
      </c>
      <c r="D75" s="106" t="s">
        <v>511</v>
      </c>
      <c r="E75" s="103">
        <v>697683</v>
      </c>
      <c r="F75" s="97" t="s">
        <v>512</v>
      </c>
      <c r="G75" s="89" t="s">
        <v>513</v>
      </c>
    </row>
    <row r="76" spans="2:7" s="28" customFormat="1" ht="39.75" x14ac:dyDescent="0.3">
      <c r="B76" s="88">
        <v>12</v>
      </c>
      <c r="C76" s="110">
        <v>41848</v>
      </c>
      <c r="D76" s="106" t="s">
        <v>524</v>
      </c>
      <c r="E76" s="103">
        <v>686944</v>
      </c>
      <c r="F76" s="97" t="s">
        <v>525</v>
      </c>
      <c r="G76" s="89" t="s">
        <v>526</v>
      </c>
    </row>
    <row r="77" spans="2:7" s="28" customFormat="1" ht="93.75" customHeight="1" x14ac:dyDescent="0.3">
      <c r="B77" s="88">
        <v>13</v>
      </c>
      <c r="C77" s="110">
        <v>41855</v>
      </c>
      <c r="D77" s="106" t="s">
        <v>528</v>
      </c>
      <c r="E77" s="100">
        <v>704321</v>
      </c>
      <c r="F77" s="97" t="s">
        <v>529</v>
      </c>
      <c r="G77" s="89" t="s">
        <v>533</v>
      </c>
    </row>
    <row r="78" spans="2:7" s="28" customFormat="1" ht="93.75" customHeight="1" x14ac:dyDescent="0.3">
      <c r="B78" s="88">
        <v>14</v>
      </c>
      <c r="C78" s="110">
        <v>41856</v>
      </c>
      <c r="D78" s="106" t="s">
        <v>534</v>
      </c>
      <c r="E78" s="100">
        <v>704927</v>
      </c>
      <c r="F78" s="97" t="s">
        <v>535</v>
      </c>
      <c r="G78" s="89" t="s">
        <v>536</v>
      </c>
    </row>
    <row r="79" spans="2:7" s="28" customFormat="1" ht="93.75" customHeight="1" x14ac:dyDescent="0.3">
      <c r="B79" s="88">
        <v>15</v>
      </c>
      <c r="C79" s="110">
        <v>41864</v>
      </c>
      <c r="D79" s="106" t="s">
        <v>524</v>
      </c>
      <c r="E79" s="100">
        <v>680226</v>
      </c>
      <c r="F79" s="97" t="s">
        <v>542</v>
      </c>
      <c r="G79" s="89" t="s">
        <v>543</v>
      </c>
    </row>
    <row r="80" spans="2:7" s="28" customFormat="1" ht="93.75" customHeight="1" x14ac:dyDescent="0.3">
      <c r="B80" s="88">
        <v>16</v>
      </c>
      <c r="C80" s="110">
        <v>41864</v>
      </c>
      <c r="D80" s="106" t="s">
        <v>537</v>
      </c>
      <c r="E80" s="100" t="s">
        <v>538</v>
      </c>
      <c r="F80" s="97" t="s">
        <v>541</v>
      </c>
      <c r="G80" s="89" t="s">
        <v>540</v>
      </c>
    </row>
    <row r="81" spans="2:7" s="28" customFormat="1" ht="93.75" customHeight="1" x14ac:dyDescent="0.3">
      <c r="B81" s="88">
        <v>17</v>
      </c>
      <c r="C81" s="110">
        <v>41866</v>
      </c>
      <c r="D81" s="106" t="s">
        <v>306</v>
      </c>
      <c r="E81" s="100">
        <v>709135</v>
      </c>
      <c r="F81" s="97" t="s">
        <v>544</v>
      </c>
      <c r="G81" s="89" t="s">
        <v>545</v>
      </c>
    </row>
    <row r="82" spans="2:7" s="28" customFormat="1" ht="93.75" customHeight="1" x14ac:dyDescent="0.3">
      <c r="B82" s="88">
        <v>18</v>
      </c>
      <c r="C82" s="110">
        <v>41870</v>
      </c>
      <c r="D82" s="106" t="s">
        <v>534</v>
      </c>
      <c r="E82" s="100">
        <v>676695</v>
      </c>
      <c r="F82" s="97" t="s">
        <v>546</v>
      </c>
      <c r="G82" s="89" t="s">
        <v>547</v>
      </c>
    </row>
    <row r="83" spans="2:7" s="28" customFormat="1" ht="180" x14ac:dyDescent="0.3">
      <c r="B83" s="88">
        <v>19</v>
      </c>
      <c r="C83" s="110">
        <v>41871</v>
      </c>
      <c r="D83" s="106" t="s">
        <v>548</v>
      </c>
      <c r="E83" s="100">
        <v>711635</v>
      </c>
      <c r="F83" s="97" t="s">
        <v>549</v>
      </c>
      <c r="G83" s="89" t="s">
        <v>550</v>
      </c>
    </row>
    <row r="84" spans="2:7" s="28" customFormat="1" ht="52.5" x14ac:dyDescent="0.3">
      <c r="B84" s="88">
        <v>20</v>
      </c>
      <c r="C84" s="110">
        <v>41873</v>
      </c>
      <c r="D84" s="106" t="s">
        <v>551</v>
      </c>
      <c r="E84" s="100">
        <v>702898</v>
      </c>
      <c r="F84" s="97" t="s">
        <v>552</v>
      </c>
      <c r="G84" s="89" t="s">
        <v>553</v>
      </c>
    </row>
    <row r="85" spans="2:7" s="28" customFormat="1" ht="255" x14ac:dyDescent="0.3">
      <c r="B85" s="88">
        <v>21</v>
      </c>
      <c r="C85" s="110">
        <v>41879</v>
      </c>
      <c r="D85" s="106" t="s">
        <v>555</v>
      </c>
      <c r="E85" s="100">
        <v>703460</v>
      </c>
      <c r="F85" s="97" t="s">
        <v>556</v>
      </c>
      <c r="G85" s="89" t="s">
        <v>554</v>
      </c>
    </row>
    <row r="86" spans="2:7" s="28" customFormat="1" ht="15" x14ac:dyDescent="0.3">
      <c r="B86" s="88">
        <v>22</v>
      </c>
      <c r="C86" s="110">
        <v>41880</v>
      </c>
      <c r="D86" s="106" t="s">
        <v>449</v>
      </c>
      <c r="E86" s="100">
        <v>713118</v>
      </c>
      <c r="F86" s="97" t="s">
        <v>582</v>
      </c>
      <c r="G86" s="89" t="s">
        <v>584</v>
      </c>
    </row>
    <row r="87" spans="2:7" s="28" customFormat="1" ht="15" x14ac:dyDescent="0.3">
      <c r="B87" s="88">
        <v>23</v>
      </c>
      <c r="C87" s="110">
        <v>41880</v>
      </c>
      <c r="D87" s="106" t="s">
        <v>449</v>
      </c>
      <c r="E87" s="100">
        <v>702002</v>
      </c>
      <c r="F87" s="97" t="s">
        <v>583</v>
      </c>
      <c r="G87" s="89" t="s">
        <v>585</v>
      </c>
    </row>
    <row r="88" spans="2:7" s="28" customFormat="1" ht="27" x14ac:dyDescent="0.3">
      <c r="B88" s="88">
        <v>24</v>
      </c>
      <c r="C88" s="110">
        <v>41885</v>
      </c>
      <c r="D88" s="106" t="s">
        <v>524</v>
      </c>
      <c r="E88" s="100">
        <v>718462</v>
      </c>
      <c r="F88" s="97" t="s">
        <v>586</v>
      </c>
      <c r="G88" s="89" t="s">
        <v>587</v>
      </c>
    </row>
    <row r="89" spans="2:7" s="28" customFormat="1" ht="15" x14ac:dyDescent="0.3">
      <c r="B89" s="88">
        <v>25</v>
      </c>
      <c r="C89" s="110">
        <v>41898</v>
      </c>
      <c r="D89" s="106" t="s">
        <v>303</v>
      </c>
      <c r="E89" s="100">
        <v>701324</v>
      </c>
      <c r="F89" s="97" t="s">
        <v>589</v>
      </c>
      <c r="G89" s="89" t="s">
        <v>588</v>
      </c>
    </row>
    <row r="90" spans="2:7" s="28" customFormat="1" ht="45" x14ac:dyDescent="0.3">
      <c r="B90" s="88">
        <v>26</v>
      </c>
      <c r="C90" s="110">
        <v>41900</v>
      </c>
      <c r="D90" s="106" t="s">
        <v>590</v>
      </c>
      <c r="E90" s="100">
        <v>725549</v>
      </c>
      <c r="F90" s="97" t="s">
        <v>592</v>
      </c>
      <c r="G90" s="89" t="s">
        <v>591</v>
      </c>
    </row>
    <row r="91" spans="2:7" s="28" customFormat="1" ht="345" x14ac:dyDescent="0.3">
      <c r="B91" s="88">
        <v>27</v>
      </c>
      <c r="C91" s="110">
        <v>41901</v>
      </c>
      <c r="D91" s="106" t="s">
        <v>590</v>
      </c>
      <c r="E91" s="100" t="s">
        <v>593</v>
      </c>
      <c r="F91" s="97" t="s">
        <v>595</v>
      </c>
      <c r="G91" s="89" t="s">
        <v>594</v>
      </c>
    </row>
    <row r="92" spans="2:7" s="28" customFormat="1" ht="15" x14ac:dyDescent="0.3">
      <c r="B92" s="88">
        <v>28</v>
      </c>
      <c r="C92" s="110">
        <v>41542</v>
      </c>
      <c r="D92" s="106" t="s">
        <v>596</v>
      </c>
      <c r="E92" s="100">
        <v>684883</v>
      </c>
      <c r="F92" s="97" t="s">
        <v>597</v>
      </c>
      <c r="G92" s="89" t="s">
        <v>598</v>
      </c>
    </row>
    <row r="93" spans="2:7" s="28" customFormat="1" ht="90" x14ac:dyDescent="0.3">
      <c r="B93" s="88">
        <v>29</v>
      </c>
      <c r="C93" s="110">
        <v>41914</v>
      </c>
      <c r="D93" s="106" t="s">
        <v>596</v>
      </c>
      <c r="E93" s="100">
        <v>730489</v>
      </c>
      <c r="F93" s="97" t="s">
        <v>599</v>
      </c>
      <c r="G93" s="89" t="s">
        <v>600</v>
      </c>
    </row>
    <row r="94" spans="2:7" s="28" customFormat="1" ht="45" x14ac:dyDescent="0.3">
      <c r="B94" s="88">
        <v>30</v>
      </c>
      <c r="C94" s="110">
        <v>41915</v>
      </c>
      <c r="D94" s="106" t="s">
        <v>601</v>
      </c>
      <c r="E94" s="100">
        <v>701629</v>
      </c>
      <c r="F94" s="97" t="s">
        <v>603</v>
      </c>
      <c r="G94" s="89" t="s">
        <v>602</v>
      </c>
    </row>
    <row r="95" spans="2:7" s="28" customFormat="1" ht="90" x14ac:dyDescent="0.3">
      <c r="B95" s="88">
        <v>31</v>
      </c>
      <c r="C95" s="110">
        <v>41918</v>
      </c>
      <c r="D95" s="106" t="s">
        <v>606</v>
      </c>
      <c r="E95" s="100">
        <v>721130</v>
      </c>
      <c r="F95" s="97" t="s">
        <v>607</v>
      </c>
      <c r="G95" s="89" t="s">
        <v>608</v>
      </c>
    </row>
    <row r="96" spans="2:7" s="28" customFormat="1" ht="78" x14ac:dyDescent="0.3">
      <c r="B96" s="88">
        <v>32</v>
      </c>
      <c r="C96" s="110">
        <v>41927</v>
      </c>
      <c r="D96" s="106" t="s">
        <v>609</v>
      </c>
      <c r="E96" s="100">
        <v>729685</v>
      </c>
      <c r="F96" s="97" t="s">
        <v>613</v>
      </c>
      <c r="G96" s="89" t="s">
        <v>614</v>
      </c>
    </row>
    <row r="97" spans="1:7" s="28" customFormat="1" ht="330" x14ac:dyDescent="0.3">
      <c r="B97" s="88">
        <v>33</v>
      </c>
      <c r="C97" s="110">
        <v>41927</v>
      </c>
      <c r="D97" s="106" t="s">
        <v>610</v>
      </c>
      <c r="E97" s="100">
        <v>729685</v>
      </c>
      <c r="F97" s="97" t="s">
        <v>616</v>
      </c>
      <c r="G97" s="89" t="s">
        <v>615</v>
      </c>
    </row>
    <row r="98" spans="1:7" s="28" customFormat="1" ht="315" x14ac:dyDescent="0.3">
      <c r="B98" s="88">
        <v>33</v>
      </c>
      <c r="C98" s="110">
        <v>41927</v>
      </c>
      <c r="D98" s="106" t="s">
        <v>610</v>
      </c>
      <c r="E98" s="100">
        <v>729685</v>
      </c>
      <c r="F98" s="97" t="s">
        <v>617</v>
      </c>
      <c r="G98" s="89" t="s">
        <v>615</v>
      </c>
    </row>
    <row r="99" spans="1:7" s="28" customFormat="1" ht="345" x14ac:dyDescent="0.3">
      <c r="A99" s="85"/>
      <c r="B99" s="88">
        <v>33</v>
      </c>
      <c r="C99" s="110">
        <v>41927</v>
      </c>
      <c r="D99" s="106" t="s">
        <v>610</v>
      </c>
      <c r="E99" s="100">
        <v>729685</v>
      </c>
      <c r="F99" s="97" t="s">
        <v>612</v>
      </c>
      <c r="G99" s="89" t="s">
        <v>615</v>
      </c>
    </row>
    <row r="100" spans="1:7" s="28" customFormat="1" ht="135" x14ac:dyDescent="0.3">
      <c r="B100" s="88">
        <v>33</v>
      </c>
      <c r="C100" s="110">
        <v>41927</v>
      </c>
      <c r="D100" s="106" t="s">
        <v>610</v>
      </c>
      <c r="E100" s="100">
        <v>729685</v>
      </c>
      <c r="F100" s="97" t="s">
        <v>611</v>
      </c>
      <c r="G100" s="89" t="s">
        <v>615</v>
      </c>
    </row>
    <row r="101" spans="1:7" s="28" customFormat="1" ht="195" x14ac:dyDescent="0.3">
      <c r="B101" s="88">
        <v>34</v>
      </c>
      <c r="C101" s="110">
        <v>41929</v>
      </c>
      <c r="D101" s="106" t="s">
        <v>618</v>
      </c>
      <c r="E101" s="100" t="s">
        <v>619</v>
      </c>
      <c r="F101" s="97" t="s">
        <v>620</v>
      </c>
      <c r="G101" s="89" t="s">
        <v>621</v>
      </c>
    </row>
    <row r="102" spans="1:7" s="28" customFormat="1" ht="120" x14ac:dyDescent="0.3">
      <c r="B102" s="88">
        <v>35</v>
      </c>
      <c r="C102" s="110">
        <v>41933</v>
      </c>
      <c r="D102" s="106" t="s">
        <v>293</v>
      </c>
      <c r="E102" s="100">
        <v>726130</v>
      </c>
      <c r="F102" s="97" t="s">
        <v>630</v>
      </c>
      <c r="G102" s="89" t="s">
        <v>629</v>
      </c>
    </row>
    <row r="103" spans="1:7" s="28" customFormat="1" ht="30" x14ac:dyDescent="0.3">
      <c r="B103" s="88">
        <v>36</v>
      </c>
      <c r="C103" s="110">
        <v>41940</v>
      </c>
      <c r="D103" s="106" t="s">
        <v>303</v>
      </c>
      <c r="E103" s="100">
        <v>746507</v>
      </c>
      <c r="F103" s="97" t="s">
        <v>632</v>
      </c>
      <c r="G103" s="89" t="s">
        <v>631</v>
      </c>
    </row>
    <row r="104" spans="1:7" s="28" customFormat="1" ht="60" x14ac:dyDescent="0.3">
      <c r="B104" s="88">
        <v>37</v>
      </c>
      <c r="C104" s="110">
        <v>41943</v>
      </c>
      <c r="D104" s="106" t="s">
        <v>638</v>
      </c>
      <c r="E104" s="100">
        <v>712640</v>
      </c>
      <c r="F104" s="97" t="s">
        <v>637</v>
      </c>
      <c r="G104" s="89" t="s">
        <v>633</v>
      </c>
    </row>
    <row r="105" spans="1:7" s="28" customFormat="1" ht="30" x14ac:dyDescent="0.3">
      <c r="B105" s="88">
        <v>38</v>
      </c>
      <c r="C105" s="110">
        <v>41953</v>
      </c>
      <c r="D105" s="106" t="s">
        <v>293</v>
      </c>
      <c r="E105" s="100">
        <v>748644</v>
      </c>
      <c r="F105" s="97" t="s">
        <v>639</v>
      </c>
      <c r="G105" s="89" t="s">
        <v>640</v>
      </c>
    </row>
    <row r="106" spans="1:7" s="28" customFormat="1" ht="27" x14ac:dyDescent="0.3">
      <c r="B106" s="88">
        <v>39</v>
      </c>
      <c r="C106" s="110">
        <v>41956</v>
      </c>
      <c r="D106" s="106" t="s">
        <v>293</v>
      </c>
      <c r="E106" s="100">
        <v>754359</v>
      </c>
      <c r="F106" s="97" t="s">
        <v>641</v>
      </c>
      <c r="G106" s="89" t="s">
        <v>642</v>
      </c>
    </row>
    <row r="107" spans="1:7" s="28" customFormat="1" ht="15" x14ac:dyDescent="0.3">
      <c r="B107" s="88">
        <v>40</v>
      </c>
      <c r="C107" s="110">
        <v>41957</v>
      </c>
      <c r="D107" s="106" t="s">
        <v>643</v>
      </c>
      <c r="E107" s="100">
        <v>751357</v>
      </c>
      <c r="F107" s="97" t="s">
        <v>644</v>
      </c>
      <c r="G107" s="89" t="s">
        <v>645</v>
      </c>
    </row>
    <row r="108" spans="1:7" s="28" customFormat="1" ht="15" x14ac:dyDescent="0.3">
      <c r="B108" s="88">
        <v>41</v>
      </c>
      <c r="C108" s="110">
        <v>41958</v>
      </c>
      <c r="D108" s="106" t="s">
        <v>389</v>
      </c>
      <c r="E108" s="100">
        <v>696800</v>
      </c>
      <c r="F108" s="97" t="s">
        <v>647</v>
      </c>
      <c r="G108" s="89" t="s">
        <v>646</v>
      </c>
    </row>
    <row r="109" spans="1:7" s="28" customFormat="1" ht="27" x14ac:dyDescent="0.3">
      <c r="B109" s="88">
        <v>42</v>
      </c>
      <c r="C109" s="110">
        <v>41959</v>
      </c>
      <c r="D109" s="106" t="s">
        <v>293</v>
      </c>
      <c r="E109" s="100">
        <v>739445</v>
      </c>
      <c r="F109" s="97" t="s">
        <v>649</v>
      </c>
      <c r="G109" s="89" t="s">
        <v>648</v>
      </c>
    </row>
    <row r="110" spans="1:7" s="28" customFormat="1" ht="30" x14ac:dyDescent="0.3">
      <c r="B110" s="88">
        <v>43</v>
      </c>
      <c r="C110" s="110">
        <v>41960</v>
      </c>
      <c r="D110" s="106" t="s">
        <v>653</v>
      </c>
      <c r="E110" s="100" t="s">
        <v>651</v>
      </c>
      <c r="F110" s="97" t="s">
        <v>652</v>
      </c>
      <c r="G110" s="89" t="s">
        <v>650</v>
      </c>
    </row>
    <row r="111" spans="1:7" s="28" customFormat="1" ht="15" x14ac:dyDescent="0.3">
      <c r="B111" s="88">
        <v>44</v>
      </c>
      <c r="C111" s="110">
        <v>41961</v>
      </c>
      <c r="D111" s="106" t="s">
        <v>655</v>
      </c>
      <c r="E111" s="100">
        <v>750474</v>
      </c>
      <c r="F111" s="97" t="s">
        <v>657</v>
      </c>
      <c r="G111" s="89" t="s">
        <v>658</v>
      </c>
    </row>
    <row r="112" spans="1:7" s="28" customFormat="1" ht="27" x14ac:dyDescent="0.3">
      <c r="B112" s="88">
        <v>45</v>
      </c>
      <c r="C112" s="110">
        <v>41962</v>
      </c>
      <c r="D112" s="106" t="s">
        <v>534</v>
      </c>
      <c r="E112" s="100">
        <v>752877</v>
      </c>
      <c r="F112" s="97" t="s">
        <v>654</v>
      </c>
      <c r="G112" s="89" t="s">
        <v>656</v>
      </c>
    </row>
    <row r="113" spans="1:9" s="28" customFormat="1" ht="30" x14ac:dyDescent="0.3">
      <c r="B113" s="88">
        <v>43</v>
      </c>
      <c r="C113" s="110">
        <v>41960</v>
      </c>
      <c r="D113" s="106" t="s">
        <v>653</v>
      </c>
      <c r="E113" s="100" t="s">
        <v>651</v>
      </c>
      <c r="F113" s="97" t="s">
        <v>652</v>
      </c>
      <c r="G113" s="89" t="s">
        <v>650</v>
      </c>
    </row>
    <row r="114" spans="1:9" s="28" customFormat="1" ht="45" x14ac:dyDescent="0.3">
      <c r="B114" s="88">
        <v>44</v>
      </c>
      <c r="C114" s="110">
        <v>41961</v>
      </c>
      <c r="D114" s="106" t="s">
        <v>659</v>
      </c>
      <c r="E114" s="100">
        <v>744465</v>
      </c>
      <c r="F114" s="97" t="s">
        <v>660</v>
      </c>
      <c r="G114" s="89" t="s">
        <v>661</v>
      </c>
    </row>
    <row r="115" spans="1:9" s="28" customFormat="1" ht="15" x14ac:dyDescent="0.3">
      <c r="B115" s="88">
        <v>45</v>
      </c>
      <c r="C115" s="110">
        <v>41963</v>
      </c>
      <c r="D115" s="97" t="s">
        <v>534</v>
      </c>
      <c r="E115" s="100">
        <v>756439</v>
      </c>
      <c r="F115" s="97" t="s">
        <v>670</v>
      </c>
      <c r="G115" s="89" t="s">
        <v>671</v>
      </c>
    </row>
    <row r="116" spans="1:9" s="28" customFormat="1" ht="30" x14ac:dyDescent="0.3">
      <c r="B116" s="88">
        <v>46</v>
      </c>
      <c r="C116" s="110">
        <v>41964</v>
      </c>
      <c r="D116" s="97" t="s">
        <v>534</v>
      </c>
      <c r="E116" s="100">
        <v>760291</v>
      </c>
      <c r="F116" s="97" t="s">
        <v>672</v>
      </c>
      <c r="G116" s="89" t="s">
        <v>673</v>
      </c>
    </row>
    <row r="117" spans="1:9" s="21" customFormat="1" ht="15" x14ac:dyDescent="0.3">
      <c r="B117" s="88">
        <v>47</v>
      </c>
      <c r="C117" s="110">
        <v>41983</v>
      </c>
      <c r="D117" s="97" t="s">
        <v>534</v>
      </c>
      <c r="E117" s="100">
        <v>750720</v>
      </c>
      <c r="F117" s="97" t="s">
        <v>679</v>
      </c>
      <c r="G117" s="89" t="s">
        <v>678</v>
      </c>
    </row>
    <row r="118" spans="1:9" s="21" customFormat="1" ht="15" x14ac:dyDescent="0.3">
      <c r="B118" s="88">
        <v>48</v>
      </c>
      <c r="C118" s="110">
        <v>41992</v>
      </c>
      <c r="D118" s="97" t="s">
        <v>534</v>
      </c>
      <c r="E118" s="100">
        <v>724627</v>
      </c>
      <c r="F118" s="97" t="s">
        <v>680</v>
      </c>
      <c r="G118" s="89" t="s">
        <v>681</v>
      </c>
    </row>
    <row r="119" spans="1:9" s="21" customFormat="1" ht="15" x14ac:dyDescent="0.3">
      <c r="B119" s="88">
        <v>49</v>
      </c>
      <c r="C119" s="110">
        <v>42016</v>
      </c>
      <c r="D119" s="97" t="s">
        <v>534</v>
      </c>
      <c r="E119" s="100">
        <v>772380</v>
      </c>
      <c r="F119" s="97" t="s">
        <v>682</v>
      </c>
      <c r="G119" s="89" t="s">
        <v>683</v>
      </c>
    </row>
    <row r="120" spans="1:9" ht="15" x14ac:dyDescent="0.3">
      <c r="A120" s="21"/>
      <c r="B120" s="88">
        <v>50</v>
      </c>
      <c r="C120" s="110">
        <v>42019</v>
      </c>
      <c r="D120" s="97" t="s">
        <v>534</v>
      </c>
      <c r="E120" s="100">
        <v>768066</v>
      </c>
      <c r="F120" s="97" t="s">
        <v>685</v>
      </c>
      <c r="G120" s="89" t="s">
        <v>686</v>
      </c>
      <c r="H120" s="21"/>
      <c r="I120" s="21"/>
    </row>
    <row r="121" spans="1:9" ht="15" x14ac:dyDescent="0.3">
      <c r="B121" s="88">
        <v>51</v>
      </c>
      <c r="C121" s="110">
        <v>42023</v>
      </c>
      <c r="D121" s="97" t="s">
        <v>534</v>
      </c>
      <c r="E121" s="100">
        <v>769253</v>
      </c>
      <c r="F121" s="97" t="s">
        <v>688</v>
      </c>
      <c r="G121" s="89" t="s">
        <v>687</v>
      </c>
    </row>
    <row r="122" spans="1:9" ht="15" x14ac:dyDescent="0.3">
      <c r="B122" s="88">
        <v>52</v>
      </c>
      <c r="C122" s="110">
        <v>42025</v>
      </c>
      <c r="D122" s="97" t="s">
        <v>534</v>
      </c>
      <c r="E122" s="100">
        <v>752895</v>
      </c>
      <c r="F122" s="97" t="s">
        <v>689</v>
      </c>
      <c r="G122" s="89" t="s">
        <v>690</v>
      </c>
    </row>
    <row r="123" spans="1:9" ht="15" x14ac:dyDescent="0.3">
      <c r="B123" s="88">
        <v>53</v>
      </c>
      <c r="C123" s="110">
        <v>42031</v>
      </c>
      <c r="D123" s="97" t="s">
        <v>534</v>
      </c>
      <c r="E123" s="100">
        <v>750575</v>
      </c>
      <c r="F123" s="97" t="s">
        <v>691</v>
      </c>
      <c r="G123" s="89" t="s">
        <v>692</v>
      </c>
    </row>
    <row r="124" spans="1:9" ht="90" x14ac:dyDescent="0.3">
      <c r="B124" s="88">
        <v>54</v>
      </c>
      <c r="C124" s="110">
        <v>42032</v>
      </c>
      <c r="D124" s="97" t="s">
        <v>534</v>
      </c>
      <c r="E124" s="100" t="s">
        <v>693</v>
      </c>
      <c r="F124" s="97" t="s">
        <v>694</v>
      </c>
      <c r="G124" s="89" t="s">
        <v>695</v>
      </c>
    </row>
    <row r="125" spans="1:9" ht="27" x14ac:dyDescent="0.3">
      <c r="B125" s="88">
        <v>55</v>
      </c>
      <c r="C125" s="110">
        <v>42047</v>
      </c>
      <c r="D125" s="97" t="s">
        <v>534</v>
      </c>
      <c r="E125" s="100">
        <v>791412</v>
      </c>
      <c r="F125" s="97" t="s">
        <v>696</v>
      </c>
      <c r="G125" s="89" t="s">
        <v>697</v>
      </c>
    </row>
    <row r="126" spans="1:9" ht="27" x14ac:dyDescent="0.3">
      <c r="B126" s="88">
        <v>56</v>
      </c>
      <c r="C126" s="110">
        <v>42115</v>
      </c>
      <c r="D126" s="97" t="s">
        <v>534</v>
      </c>
      <c r="E126" s="100">
        <v>815987</v>
      </c>
      <c r="F126" s="97" t="s">
        <v>698</v>
      </c>
      <c r="G126" s="89" t="s">
        <v>699</v>
      </c>
    </row>
    <row r="127" spans="1:9" ht="27" x14ac:dyDescent="0.3">
      <c r="B127" s="88">
        <v>57</v>
      </c>
      <c r="C127" s="110">
        <v>42121</v>
      </c>
      <c r="D127" s="97" t="s">
        <v>534</v>
      </c>
      <c r="E127" s="100">
        <v>823630</v>
      </c>
      <c r="F127" s="97" t="s">
        <v>700</v>
      </c>
      <c r="G127" s="89" t="s">
        <v>701</v>
      </c>
    </row>
    <row r="128" spans="1:9" ht="27" x14ac:dyDescent="0.3">
      <c r="B128" s="88">
        <v>58</v>
      </c>
      <c r="C128" s="110">
        <v>42129</v>
      </c>
      <c r="D128" s="97" t="s">
        <v>534</v>
      </c>
      <c r="E128" s="100">
        <v>831725</v>
      </c>
      <c r="F128" s="97" t="s">
        <v>702</v>
      </c>
      <c r="G128" s="89" t="s">
        <v>703</v>
      </c>
    </row>
    <row r="129" spans="2:7" ht="15" x14ac:dyDescent="0.3">
      <c r="B129" s="88">
        <v>59</v>
      </c>
      <c r="C129" s="110">
        <v>42142</v>
      </c>
      <c r="D129" s="97" t="s">
        <v>534</v>
      </c>
      <c r="E129" s="100">
        <v>835367</v>
      </c>
      <c r="F129" s="97" t="s">
        <v>704</v>
      </c>
      <c r="G129" s="89" t="s">
        <v>705</v>
      </c>
    </row>
    <row r="130" spans="2:7" ht="15" x14ac:dyDescent="0.3">
      <c r="B130" s="88">
        <v>60</v>
      </c>
      <c r="C130" s="110">
        <v>42174</v>
      </c>
      <c r="D130" s="97" t="s">
        <v>534</v>
      </c>
      <c r="E130" s="100">
        <v>854835</v>
      </c>
      <c r="F130" s="97" t="s">
        <v>706</v>
      </c>
      <c r="G130" s="89" t="s">
        <v>707</v>
      </c>
    </row>
    <row r="131" spans="2:7" ht="27" x14ac:dyDescent="0.3">
      <c r="B131" s="88">
        <v>61</v>
      </c>
      <c r="C131" s="110">
        <v>42179</v>
      </c>
      <c r="D131" s="97" t="s">
        <v>534</v>
      </c>
      <c r="E131" s="100">
        <v>855438</v>
      </c>
      <c r="F131" s="97" t="s">
        <v>711</v>
      </c>
      <c r="G131" s="89" t="s">
        <v>710</v>
      </c>
    </row>
    <row r="132" spans="2:7" ht="30" x14ac:dyDescent="0.3">
      <c r="B132" s="88">
        <v>62</v>
      </c>
      <c r="C132" s="110">
        <v>42226</v>
      </c>
      <c r="D132" s="97" t="s">
        <v>712</v>
      </c>
      <c r="E132" s="104">
        <v>42226</v>
      </c>
      <c r="F132" s="97" t="s">
        <v>1078</v>
      </c>
      <c r="G132" s="89" t="s">
        <v>713</v>
      </c>
    </row>
    <row r="133" spans="2:7" ht="15" x14ac:dyDescent="0.3">
      <c r="B133" s="88">
        <v>63</v>
      </c>
      <c r="C133" s="110">
        <v>42235</v>
      </c>
      <c r="D133" s="97" t="s">
        <v>712</v>
      </c>
      <c r="E133" s="100">
        <v>854297</v>
      </c>
      <c r="F133" s="97" t="s">
        <v>1081</v>
      </c>
      <c r="G133" s="89" t="s">
        <v>1080</v>
      </c>
    </row>
    <row r="134" spans="2:7" ht="15" x14ac:dyDescent="0.3">
      <c r="B134" s="88">
        <v>64</v>
      </c>
      <c r="C134" s="110">
        <v>42244</v>
      </c>
      <c r="D134" s="97" t="s">
        <v>1082</v>
      </c>
      <c r="E134" s="100">
        <v>892323</v>
      </c>
      <c r="F134" s="90" t="s">
        <v>1083</v>
      </c>
      <c r="G134" s="90" t="s">
        <v>1085</v>
      </c>
    </row>
    <row r="135" spans="2:7" ht="15" x14ac:dyDescent="0.3">
      <c r="B135" s="88">
        <v>65</v>
      </c>
      <c r="C135" s="110">
        <v>42269</v>
      </c>
      <c r="D135" s="97" t="s">
        <v>1082</v>
      </c>
      <c r="E135" s="100">
        <v>906677</v>
      </c>
      <c r="F135" s="90" t="s">
        <v>1084</v>
      </c>
      <c r="G135" s="90" t="s">
        <v>1086</v>
      </c>
    </row>
    <row r="136" spans="2:7" ht="15" x14ac:dyDescent="0.3">
      <c r="B136" s="88">
        <v>66</v>
      </c>
      <c r="C136" s="111">
        <v>42290</v>
      </c>
      <c r="D136" s="90" t="s">
        <v>1176</v>
      </c>
      <c r="E136" s="93">
        <v>917846</v>
      </c>
      <c r="F136" s="90" t="s">
        <v>1177</v>
      </c>
      <c r="G136" s="90"/>
    </row>
    <row r="137" spans="2:7" ht="25.5" x14ac:dyDescent="0.2">
      <c r="B137" s="93">
        <v>67</v>
      </c>
      <c r="C137" s="111">
        <v>42313</v>
      </c>
      <c r="D137" s="108" t="s">
        <v>1186</v>
      </c>
      <c r="E137" s="93">
        <v>933594</v>
      </c>
      <c r="F137" s="90" t="s">
        <v>1187</v>
      </c>
      <c r="G137" s="108" t="s">
        <v>1188</v>
      </c>
    </row>
    <row r="138" spans="2:7" x14ac:dyDescent="0.2">
      <c r="B138" s="93">
        <v>68</v>
      </c>
      <c r="C138" s="111">
        <v>42313</v>
      </c>
      <c r="D138" s="108" t="s">
        <v>712</v>
      </c>
      <c r="E138" s="93">
        <v>931729</v>
      </c>
      <c r="F138" s="90" t="s">
        <v>1210</v>
      </c>
      <c r="G138" s="108" t="s">
        <v>1191</v>
      </c>
    </row>
    <row r="139" spans="2:7" ht="25.5" x14ac:dyDescent="0.2">
      <c r="B139" s="93">
        <v>69</v>
      </c>
      <c r="C139" s="111">
        <v>42317</v>
      </c>
      <c r="D139" s="108" t="s">
        <v>1211</v>
      </c>
      <c r="E139" s="93">
        <v>936684</v>
      </c>
      <c r="F139" s="90" t="s">
        <v>1212</v>
      </c>
      <c r="G139" s="108" t="s">
        <v>1216</v>
      </c>
    </row>
    <row r="140" spans="2:7" ht="25.5" x14ac:dyDescent="0.2">
      <c r="B140" s="93">
        <v>70</v>
      </c>
      <c r="C140" s="111">
        <v>42331</v>
      </c>
      <c r="D140" s="108" t="s">
        <v>1211</v>
      </c>
      <c r="E140" s="93">
        <v>891535</v>
      </c>
      <c r="F140" s="90" t="s">
        <v>1220</v>
      </c>
      <c r="G140" s="108" t="s">
        <v>1221</v>
      </c>
    </row>
    <row r="141" spans="2:7" x14ac:dyDescent="0.2">
      <c r="B141" s="93">
        <v>71</v>
      </c>
      <c r="C141" s="111">
        <v>42332</v>
      </c>
      <c r="D141" s="108" t="s">
        <v>1082</v>
      </c>
      <c r="E141" s="93">
        <v>928970</v>
      </c>
      <c r="F141" s="90" t="s">
        <v>1222</v>
      </c>
      <c r="G141" s="108" t="s">
        <v>1223</v>
      </c>
    </row>
    <row r="142" spans="2:7" x14ac:dyDescent="0.2">
      <c r="B142" s="93">
        <v>72</v>
      </c>
      <c r="C142" s="111">
        <v>42332</v>
      </c>
      <c r="D142" s="108" t="s">
        <v>1082</v>
      </c>
      <c r="E142" s="93">
        <v>932510</v>
      </c>
      <c r="F142" s="90" t="s">
        <v>1240</v>
      </c>
      <c r="G142" s="108" t="s">
        <v>1241</v>
      </c>
    </row>
    <row r="143" spans="2:7" x14ac:dyDescent="0.2">
      <c r="B143" s="93">
        <v>73</v>
      </c>
      <c r="C143" s="111">
        <v>42334</v>
      </c>
      <c r="D143" s="108" t="s">
        <v>1186</v>
      </c>
      <c r="E143" s="93">
        <v>942845</v>
      </c>
      <c r="F143" s="90" t="s">
        <v>1242</v>
      </c>
      <c r="G143" s="108" t="s">
        <v>1243</v>
      </c>
    </row>
    <row r="144" spans="2:7" x14ac:dyDescent="0.2">
      <c r="B144" s="93">
        <v>74</v>
      </c>
      <c r="C144" s="111">
        <v>42345</v>
      </c>
      <c r="D144" s="108" t="s">
        <v>1082</v>
      </c>
      <c r="E144" s="93">
        <v>945769</v>
      </c>
      <c r="F144" s="90" t="s">
        <v>1245</v>
      </c>
      <c r="G144" s="108" t="s">
        <v>1246</v>
      </c>
    </row>
    <row r="145" spans="2:7" ht="38.25" x14ac:dyDescent="0.2">
      <c r="B145" s="93">
        <v>75</v>
      </c>
      <c r="C145" s="111">
        <v>42346</v>
      </c>
      <c r="D145" s="108" t="s">
        <v>1261</v>
      </c>
      <c r="E145" s="93" t="s">
        <v>1264</v>
      </c>
      <c r="F145" s="90" t="s">
        <v>1263</v>
      </c>
      <c r="G145" s="108" t="s">
        <v>1262</v>
      </c>
    </row>
    <row r="146" spans="2:7" ht="38.25" x14ac:dyDescent="0.2">
      <c r="B146" s="93">
        <v>76</v>
      </c>
      <c r="C146" s="111">
        <v>42352</v>
      </c>
      <c r="D146" s="108" t="s">
        <v>1265</v>
      </c>
      <c r="E146" s="93">
        <v>945689</v>
      </c>
      <c r="F146" s="90" t="s">
        <v>1265</v>
      </c>
      <c r="G146" s="108" t="s">
        <v>1266</v>
      </c>
    </row>
    <row r="147" spans="2:7" x14ac:dyDescent="0.2">
      <c r="B147" s="93">
        <v>77</v>
      </c>
      <c r="C147" s="111">
        <v>42353</v>
      </c>
      <c r="D147" s="108" t="s">
        <v>1265</v>
      </c>
      <c r="E147" s="93">
        <v>947196</v>
      </c>
      <c r="F147" s="90" t="s">
        <v>1268</v>
      </c>
      <c r="G147" s="108" t="s">
        <v>1269</v>
      </c>
    </row>
    <row r="148" spans="2:7" ht="38.25" x14ac:dyDescent="0.2">
      <c r="B148" s="93">
        <v>78</v>
      </c>
      <c r="C148" s="111">
        <v>42362</v>
      </c>
      <c r="D148" s="108" t="s">
        <v>1261</v>
      </c>
      <c r="E148" s="93">
        <v>955348</v>
      </c>
      <c r="F148" s="90" t="s">
        <v>1270</v>
      </c>
      <c r="G148" s="108" t="s">
        <v>1271</v>
      </c>
    </row>
    <row r="149" spans="2:7" ht="18.75" x14ac:dyDescent="0.3">
      <c r="B149" s="93">
        <v>79</v>
      </c>
      <c r="C149" s="111">
        <v>42376</v>
      </c>
      <c r="D149" s="108" t="s">
        <v>1274</v>
      </c>
      <c r="E149" s="93">
        <v>945608</v>
      </c>
      <c r="F149" s="90" t="s">
        <v>1275</v>
      </c>
      <c r="G149" s="108" t="s">
        <v>1276</v>
      </c>
    </row>
    <row r="150" spans="2:7" x14ac:dyDescent="0.2">
      <c r="B150" s="93">
        <v>80</v>
      </c>
      <c r="C150" s="111">
        <v>42411</v>
      </c>
      <c r="D150" s="108" t="s">
        <v>1265</v>
      </c>
      <c r="E150" s="93">
        <v>972508</v>
      </c>
      <c r="F150" s="90" t="s">
        <v>1303</v>
      </c>
      <c r="G150" s="108" t="s">
        <v>1304</v>
      </c>
    </row>
    <row r="151" spans="2:7" ht="25.5" x14ac:dyDescent="0.2">
      <c r="B151" s="93">
        <v>81</v>
      </c>
      <c r="C151" s="111">
        <v>42418</v>
      </c>
      <c r="D151" s="108" t="s">
        <v>1186</v>
      </c>
      <c r="E151" s="93">
        <v>936682</v>
      </c>
      <c r="F151" s="90" t="s">
        <v>1307</v>
      </c>
      <c r="G151" s="108" t="s">
        <v>1306</v>
      </c>
    </row>
    <row r="152" spans="2:7" x14ac:dyDescent="0.2">
      <c r="B152" s="93">
        <v>82</v>
      </c>
      <c r="C152" s="111">
        <v>42424</v>
      </c>
      <c r="D152" s="108" t="s">
        <v>1186</v>
      </c>
      <c r="E152" s="93">
        <v>977468</v>
      </c>
      <c r="F152" s="90" t="s">
        <v>1317</v>
      </c>
      <c r="G152" s="108" t="s">
        <v>1316</v>
      </c>
    </row>
    <row r="153" spans="2:7" ht="25.5" x14ac:dyDescent="0.2">
      <c r="B153" s="93">
        <v>83</v>
      </c>
      <c r="C153" s="111">
        <v>42424</v>
      </c>
      <c r="D153" s="108" t="s">
        <v>1211</v>
      </c>
      <c r="E153" s="93">
        <v>973486</v>
      </c>
      <c r="F153" s="90" t="s">
        <v>1319</v>
      </c>
      <c r="G153" s="108" t="s">
        <v>1318</v>
      </c>
    </row>
    <row r="154" spans="2:7" x14ac:dyDescent="0.2">
      <c r="B154" s="93">
        <v>84</v>
      </c>
      <c r="C154" s="111">
        <v>42425</v>
      </c>
      <c r="D154" s="108" t="s">
        <v>1082</v>
      </c>
      <c r="E154" s="93">
        <v>980130</v>
      </c>
      <c r="F154" s="90" t="s">
        <v>1320</v>
      </c>
      <c r="G154" s="108" t="s">
        <v>1321</v>
      </c>
    </row>
    <row r="155" spans="2:7" x14ac:dyDescent="0.2">
      <c r="B155" s="92">
        <v>85</v>
      </c>
      <c r="C155" s="249">
        <v>42429</v>
      </c>
      <c r="D155" s="250" t="s">
        <v>1322</v>
      </c>
      <c r="E155" s="92">
        <v>977465</v>
      </c>
      <c r="F155" s="251" t="s">
        <v>1323</v>
      </c>
      <c r="G155" s="250" t="s">
        <v>1324</v>
      </c>
    </row>
    <row r="156" spans="2:7" x14ac:dyDescent="0.2">
      <c r="B156" s="92">
        <v>86</v>
      </c>
      <c r="C156" s="249">
        <v>42437</v>
      </c>
      <c r="D156" s="250" t="s">
        <v>1265</v>
      </c>
      <c r="E156" s="92">
        <v>983387</v>
      </c>
      <c r="F156" s="251" t="s">
        <v>1327</v>
      </c>
      <c r="G156" s="250" t="s">
        <v>1328</v>
      </c>
    </row>
    <row r="157" spans="2:7" x14ac:dyDescent="0.2">
      <c r="B157" s="92">
        <v>87</v>
      </c>
      <c r="C157" s="249">
        <v>42439</v>
      </c>
      <c r="D157" s="250" t="s">
        <v>1082</v>
      </c>
      <c r="E157" s="92">
        <v>979317</v>
      </c>
      <c r="F157" s="251" t="s">
        <v>1329</v>
      </c>
      <c r="G157" s="250" t="s">
        <v>1330</v>
      </c>
    </row>
    <row r="158" spans="2:7" x14ac:dyDescent="0.2">
      <c r="B158" s="92">
        <v>88</v>
      </c>
      <c r="C158" s="249">
        <v>42440</v>
      </c>
      <c r="D158" s="250" t="s">
        <v>1082</v>
      </c>
      <c r="E158" s="92">
        <v>961363</v>
      </c>
      <c r="F158" s="251" t="s">
        <v>1339</v>
      </c>
      <c r="G158" s="250" t="s">
        <v>1340</v>
      </c>
    </row>
    <row r="159" spans="2:7" x14ac:dyDescent="0.2">
      <c r="B159" s="92">
        <v>89</v>
      </c>
      <c r="C159" s="249">
        <v>42446</v>
      </c>
      <c r="D159" s="250" t="s">
        <v>1082</v>
      </c>
      <c r="E159" s="92">
        <v>985821</v>
      </c>
      <c r="F159" s="251" t="s">
        <v>1341</v>
      </c>
      <c r="G159" s="250" t="s">
        <v>1342</v>
      </c>
    </row>
    <row r="160" spans="2:7" x14ac:dyDescent="0.2">
      <c r="B160" s="92">
        <v>90</v>
      </c>
      <c r="C160" s="249">
        <v>42459</v>
      </c>
      <c r="D160" s="250" t="s">
        <v>1082</v>
      </c>
      <c r="E160" s="92">
        <v>992268</v>
      </c>
      <c r="F160" s="251" t="s">
        <v>1343</v>
      </c>
      <c r="G160" s="250" t="s">
        <v>1344</v>
      </c>
    </row>
    <row r="161" spans="2:8" x14ac:dyDescent="0.2">
      <c r="B161" s="92">
        <v>91</v>
      </c>
      <c r="C161" s="249">
        <v>42461</v>
      </c>
      <c r="D161" s="250" t="s">
        <v>1082</v>
      </c>
      <c r="E161" s="92">
        <v>994659</v>
      </c>
      <c r="F161" s="251" t="s">
        <v>1345</v>
      </c>
      <c r="G161" s="250" t="s">
        <v>1346</v>
      </c>
    </row>
    <row r="162" spans="2:8" x14ac:dyDescent="0.2">
      <c r="B162" s="92">
        <v>92</v>
      </c>
      <c r="C162" s="249">
        <v>42486</v>
      </c>
      <c r="D162" s="250" t="s">
        <v>1082</v>
      </c>
      <c r="E162" s="92">
        <v>986958</v>
      </c>
      <c r="F162" s="251" t="s">
        <v>1347</v>
      </c>
      <c r="G162" s="250" t="s">
        <v>1348</v>
      </c>
    </row>
    <row r="163" spans="2:8" x14ac:dyDescent="0.2">
      <c r="B163" s="92">
        <v>93</v>
      </c>
      <c r="C163" s="249">
        <v>42493</v>
      </c>
      <c r="D163" s="108" t="s">
        <v>1186</v>
      </c>
      <c r="E163" s="92">
        <v>1000825</v>
      </c>
      <c r="F163" s="251" t="s">
        <v>1351</v>
      </c>
      <c r="G163" s="250" t="s">
        <v>1352</v>
      </c>
    </row>
    <row r="164" spans="2:8" ht="25.5" x14ac:dyDescent="0.2">
      <c r="B164" s="92">
        <v>94</v>
      </c>
      <c r="C164" s="249">
        <v>42493</v>
      </c>
      <c r="D164" s="250" t="s">
        <v>1186</v>
      </c>
      <c r="E164" s="92">
        <v>902207</v>
      </c>
      <c r="F164" s="19" t="s">
        <v>1353</v>
      </c>
      <c r="G164" s="108" t="s">
        <v>1354</v>
      </c>
    </row>
    <row r="165" spans="2:8" x14ac:dyDescent="0.2">
      <c r="B165" s="92">
        <v>95</v>
      </c>
      <c r="C165" s="249">
        <v>42500</v>
      </c>
      <c r="D165" s="250" t="s">
        <v>1371</v>
      </c>
      <c r="E165" s="92">
        <v>1009845</v>
      </c>
      <c r="F165" s="253" t="s">
        <v>1371</v>
      </c>
      <c r="G165" s="250" t="s">
        <v>1370</v>
      </c>
    </row>
    <row r="166" spans="2:8" ht="25.5" x14ac:dyDescent="0.2">
      <c r="B166" s="92">
        <v>96</v>
      </c>
      <c r="C166" s="249">
        <v>42502</v>
      </c>
      <c r="D166" s="250" t="s">
        <v>1082</v>
      </c>
      <c r="E166" s="92">
        <v>1009811</v>
      </c>
      <c r="F166" s="108" t="s">
        <v>1372</v>
      </c>
      <c r="G166" s="250" t="s">
        <v>1373</v>
      </c>
    </row>
    <row r="167" spans="2:8" ht="25.5" x14ac:dyDescent="0.2">
      <c r="B167" s="92">
        <v>97</v>
      </c>
      <c r="C167" s="249">
        <v>42508</v>
      </c>
      <c r="D167" s="250" t="s">
        <v>1186</v>
      </c>
      <c r="E167" s="92">
        <v>1016817</v>
      </c>
      <c r="F167" s="19" t="s">
        <v>1378</v>
      </c>
      <c r="G167" s="108" t="s">
        <v>1377</v>
      </c>
    </row>
    <row r="168" spans="2:8" ht="15" x14ac:dyDescent="0.3">
      <c r="B168" s="254">
        <v>98</v>
      </c>
      <c r="C168" s="255">
        <v>42510</v>
      </c>
      <c r="D168" s="250" t="s">
        <v>1381</v>
      </c>
      <c r="E168" s="92">
        <v>1018321</v>
      </c>
      <c r="F168" s="19" t="s">
        <v>1382</v>
      </c>
      <c r="G168" s="108" t="s">
        <v>1383</v>
      </c>
      <c r="H168" s="256"/>
    </row>
    <row r="169" spans="2:8" ht="15" x14ac:dyDescent="0.3">
      <c r="B169" s="254">
        <v>99</v>
      </c>
      <c r="C169" s="255">
        <v>42514</v>
      </c>
      <c r="D169" s="250" t="s">
        <v>1381</v>
      </c>
      <c r="E169" s="92">
        <v>1018321</v>
      </c>
      <c r="F169" s="19" t="s">
        <v>1384</v>
      </c>
      <c r="G169" s="108" t="s">
        <v>1385</v>
      </c>
      <c r="H169" s="256"/>
    </row>
    <row r="170" spans="2:8" ht="15" x14ac:dyDescent="0.3">
      <c r="B170" s="254">
        <v>100</v>
      </c>
      <c r="C170" s="255">
        <v>42530</v>
      </c>
      <c r="D170" s="250" t="s">
        <v>1186</v>
      </c>
      <c r="E170" s="92">
        <v>1003246</v>
      </c>
      <c r="F170" s="19" t="s">
        <v>1388</v>
      </c>
      <c r="G170" s="108" t="s">
        <v>1389</v>
      </c>
    </row>
    <row r="171" spans="2:8" x14ac:dyDescent="0.2">
      <c r="B171" s="92">
        <v>101</v>
      </c>
      <c r="C171" s="249">
        <v>42545</v>
      </c>
      <c r="D171" s="250" t="s">
        <v>1391</v>
      </c>
      <c r="E171" s="92">
        <v>1026846</v>
      </c>
      <c r="F171" s="250" t="s">
        <v>1391</v>
      </c>
      <c r="G171" s="108" t="s">
        <v>1390</v>
      </c>
    </row>
    <row r="172" spans="2:8" ht="25.5" x14ac:dyDescent="0.2">
      <c r="B172" s="92">
        <v>102</v>
      </c>
      <c r="C172" s="249">
        <v>42550</v>
      </c>
      <c r="D172" s="250" t="s">
        <v>1186</v>
      </c>
      <c r="E172" s="92">
        <v>986456</v>
      </c>
      <c r="F172" s="250" t="s">
        <v>1394</v>
      </c>
      <c r="G172" s="108" t="s">
        <v>1395</v>
      </c>
    </row>
    <row r="173" spans="2:8" ht="25.5" x14ac:dyDescent="0.2">
      <c r="B173" s="92">
        <v>103</v>
      </c>
      <c r="C173" s="249">
        <v>42555</v>
      </c>
      <c r="D173" s="250" t="s">
        <v>1186</v>
      </c>
      <c r="E173" s="92">
        <v>1036916</v>
      </c>
      <c r="F173" s="258" t="s">
        <v>1372</v>
      </c>
      <c r="G173" s="108" t="s">
        <v>1397</v>
      </c>
    </row>
    <row r="174" spans="2:8" ht="25.5" x14ac:dyDescent="0.2">
      <c r="B174" s="92">
        <v>104</v>
      </c>
      <c r="C174" s="249">
        <v>42559</v>
      </c>
      <c r="D174" s="250" t="s">
        <v>1186</v>
      </c>
      <c r="E174" s="92">
        <v>991863</v>
      </c>
      <c r="F174" s="264" t="s">
        <v>1401</v>
      </c>
      <c r="G174" s="108" t="s">
        <v>1400</v>
      </c>
    </row>
    <row r="175" spans="2:8" ht="25.5" x14ac:dyDescent="0.2">
      <c r="B175" s="92">
        <v>105</v>
      </c>
      <c r="C175" s="249">
        <v>42563</v>
      </c>
      <c r="D175" s="250" t="s">
        <v>1186</v>
      </c>
      <c r="E175" s="92">
        <v>1036916</v>
      </c>
      <c r="F175" s="258" t="s">
        <v>1372</v>
      </c>
      <c r="G175" s="108" t="s">
        <v>1402</v>
      </c>
    </row>
    <row r="176" spans="2:8" ht="25.5" x14ac:dyDescent="0.2">
      <c r="B176" s="92">
        <v>106</v>
      </c>
      <c r="C176" s="249">
        <v>42577</v>
      </c>
      <c r="D176" s="250" t="s">
        <v>1186</v>
      </c>
      <c r="E176" s="92">
        <v>1044110</v>
      </c>
      <c r="F176" s="258" t="s">
        <v>1405</v>
      </c>
      <c r="G176" s="108" t="s">
        <v>1406</v>
      </c>
    </row>
    <row r="177" spans="2:7" x14ac:dyDescent="0.2">
      <c r="B177" s="92">
        <v>107</v>
      </c>
      <c r="C177" s="249">
        <v>42606</v>
      </c>
      <c r="D177" s="250" t="s">
        <v>1408</v>
      </c>
      <c r="E177" s="92">
        <v>1055779</v>
      </c>
      <c r="F177" s="250" t="s">
        <v>1408</v>
      </c>
      <c r="G177" s="108" t="s">
        <v>1407</v>
      </c>
    </row>
    <row r="178" spans="2:7" ht="14.25" x14ac:dyDescent="0.2">
      <c r="B178" s="92">
        <v>108</v>
      </c>
      <c r="C178" s="92" t="s">
        <v>1411</v>
      </c>
      <c r="D178" s="250" t="s">
        <v>1186</v>
      </c>
      <c r="E178" s="92">
        <v>1072398</v>
      </c>
      <c r="F178" s="310" t="s">
        <v>1412</v>
      </c>
      <c r="G178" s="108" t="s">
        <v>1413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Summary</vt:lpstr>
      <vt:lpstr>Non_VoLTE</vt:lpstr>
      <vt:lpstr>VoLTE</vt:lpstr>
      <vt:lpstr>Revision History</vt:lpstr>
    </vt:vector>
  </TitlesOfParts>
  <Company>Qualcomm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Kolipaka, Srinivasa Shashank</dc:creator>
  <cp:lastModifiedBy>Qualcomm User</cp:lastModifiedBy>
  <dcterms:created xsi:type="dcterms:W3CDTF">2009-07-08T16:51:53Z</dcterms:created>
  <dcterms:modified xsi:type="dcterms:W3CDTF">2016-10-13T07:29:24Z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-1738660454</vt:i4>
  </property>
  <property fmtid="{D5CDD505-2E9C-101B-9397-08002B2CF9AE}" pid="3" name="_NewReviewCycle">
    <vt:lpwstr/>
  </property>
  <property fmtid="{D5CDD505-2E9C-101B-9397-08002B2CF9AE}" pid="4" name="_EmailSubject">
    <vt:lpwstr>MCFG Gen - Notes  - 6/20/2012</vt:lpwstr>
  </property>
  <property fmtid="{D5CDD505-2E9C-101B-9397-08002B2CF9AE}" pid="5" name="_AuthorEmail">
    <vt:lpwstr>jrife@qualcomm.com</vt:lpwstr>
  </property>
  <property fmtid="{D5CDD505-2E9C-101B-9397-08002B2CF9AE}" pid="6" name="_AuthorEmailDisplayName">
    <vt:lpwstr>Rife, Jordan</vt:lpwstr>
  </property>
  <property fmtid="{D5CDD505-2E9C-101B-9397-08002B2CF9AE}" pid="7" name="_PreviousAdHocReviewCycleID">
    <vt:i4>-74022067</vt:i4>
  </property>
  <property fmtid="{D5CDD505-2E9C-101B-9397-08002B2CF9AE}" pid="8" name="_ReviewingToolsShownOnce">
    <vt:lpwstr/>
  </property>
</Properties>
</file>